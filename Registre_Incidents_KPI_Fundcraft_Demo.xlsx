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Registre" sheetId="2" state="visible" r:id="rId4"/>
    <sheet name="Indicateurs" sheetId="3" state="visible" r:id="rId5"/>
    <sheet name="Champs" sheetId="4" state="visible" r:id="rId6"/>
    <sheet name="Données" sheetId="5" state="visible" r:id="rId7"/>
  </sheets>
  <definedNames>
    <definedName function="false" hidden="false" localSheetId="3" name="_xlnm.Print_Area" vbProcedure="false">Champs!$B$2:$I$83</definedName>
    <definedName function="false" hidden="false" localSheetId="0" name="_xlnm.Print_Area" vbProcedure="false">Dashboard!$B$2:$V$57</definedName>
    <definedName function="false" hidden="false" localSheetId="4" name="_xlnm.Print_Area" vbProcedure="false">Données!$B$2:$I$181</definedName>
    <definedName function="false" hidden="false" localSheetId="2" name="_xlnm.Print_Area" vbProcedure="false">Indicateurs!$B$2:$N$45</definedName>
    <definedName function="false" hidden="false" localSheetId="1" name="_xlnm.Print_Area" vbProcedure="false">Registre!$B$2:$AL$1006</definedName>
    <definedName function="false" hidden="false" name="DebutPeriode" vbProcedure="false">Données!$D$7</definedName>
    <definedName function="false" hidden="false" name="DELAI_ESC" vbProcedure="false">Données!$G$17:$G$20</definedName>
    <definedName function="false" hidden="false" name="DORA_H_CLA" vbProcedure="false">Données!$D$32</definedName>
    <definedName function="false" hidden="false" name="DORA_H_DET" vbProcedure="false">Données!$D$33</definedName>
    <definedName function="false" hidden="false" name="DORA_H_INT" vbProcedure="false">Données!$D$34</definedName>
    <definedName function="false" hidden="false" name="DORA_M_FIN" vbProcedure="false">Données!$D$35</definedName>
    <definedName function="false" hidden="false" name="DureeMois" vbProcedure="false">Données!$D$8</definedName>
    <definedName function="false" hidden="false" name="FinPeriode" vbProcedure="false">Données!$D$9</definedName>
    <definedName function="false" hidden="false" name="HFer" vbProcedure="false">Données!$D$12</definedName>
    <definedName function="false" hidden="false" name="HJour" vbProcedure="false">Données!$D$13</definedName>
    <definedName function="false" hidden="false" name="HOuv" vbProcedure="false">Données!$D$11</definedName>
    <definedName function="false" hidden="false" name="JoursFeries" vbProcedure="false">Données!$D$137:$D$180</definedName>
    <definedName function="false" hidden="false" name="L_Bale" vbProcedure="false">Données!$C$117:$C$123</definedName>
    <definedName function="false" hidden="false" name="L_Crit" vbProcedure="false">Données!$C$17:$C$20</definedName>
    <definedName function="false" hidden="false" name="L_Domaines" vbProcedure="false">Données!$C$102:$C$114</definedName>
    <definedName function="false" hidden="false" name="L_Fonds" vbProcedure="false">Données!$C$94:$C$99</definedName>
    <definedName function="false" hidden="false" name="L_NivLib" vbProcedure="false">Données!$C$25:$C$28</definedName>
    <definedName function="false" hidden="false" name="L_NivNum" vbProcedure="false">Données!$D$25:$D$28</definedName>
    <definedName function="false" hidden="false" name="L_OuiNon" vbProcedure="false">Données!$C$90:$C$91</definedName>
    <definedName function="false" hidden="false" name="L_Sources" vbProcedure="false">Données!$C$126:$C$133</definedName>
    <definedName function="false" hidden="false" name="L_SrcInterne" vbProcedure="false">Données!$D$126:$D$133</definedName>
    <definedName function="false" hidden="false" name="L_Statuts" vbProcedure="false">Données!$C$82:$C$87</definedName>
    <definedName function="false" hidden="false" name="L_Type" vbProcedure="false">Données!$C$78:$C$79</definedName>
    <definedName function="false" hidden="false" name="NIV_REQ" vbProcedure="false">Données!$F$17:$F$20</definedName>
    <definedName function="false" hidden="false" name="NMin" vbProcedure="false">Données!$D$10</definedName>
    <definedName function="false" hidden="false" name="R_Actif" vbProcedure="false">Registre!$AQ$7:$AQ$1006</definedName>
    <definedName function="false" hidden="false" name="R_ActOK" vbProcedure="false">Registre!$BX$7:$BX$1006</definedName>
    <definedName function="false" hidden="false" name="R_ActReq" vbProcedure="false">Registre!$AI$7:$AI$1006</definedName>
    <definedName function="false" hidden="false" name="R_Bale" vbProcedure="false">Registre!$F$7:$F$1006</definedName>
    <definedName function="false" hidden="false" name="R_Clo" vbProcedure="false">Registre!$S$7:$S$1006</definedName>
    <definedName function="false" hidden="false" name="R_Com" vbProcedure="false">Registre!$AL$7:$AL$1006</definedName>
    <definedName function="false" hidden="false" name="R_cPEC" vbProcedure="false">Registre!$AY$7:$AY$1006</definedName>
    <definedName function="false" hidden="false" name="R_Cpt" vbProcedure="false">Registre!$AO$7:$AO$1006</definedName>
    <definedName function="false" hidden="false" name="R_cRes" vbProcedure="false">Registre!$BA$7:$BA$1006</definedName>
    <definedName function="false" hidden="false" name="R_Crit" vbProcedure="false">Registre!$J$7:$J$1006</definedName>
    <definedName function="false" hidden="false" name="R_CritN" vbProcedure="false">Registre!$AR$7:$AR$1006</definedName>
    <definedName function="false" hidden="false" name="R_Ctrl" vbProcedure="false">Registre!$AN$7:$AN$1006</definedName>
    <definedName function="false" hidden="false" name="R_D1Esc" vbProcedure="false">Registre!$BK$7:$BK$1006</definedName>
    <definedName function="false" hidden="false" name="R_DClas" vbProcedure="false">Registre!$AC$7:$AC$1006</definedName>
    <definedName function="false" hidden="false" name="R_Desc" vbProcedure="false">Registre!$I$7:$I$1006</definedName>
    <definedName function="false" hidden="false" name="R_DEsc_0" vbProcedure="false">Registre!$BH$7:$BH$1006</definedName>
    <definedName function="false" hidden="false" name="R_Det" vbProcedure="false">Registre!$O$7:$O$1006</definedName>
    <definedName function="false" hidden="false" name="R_DFin" vbProcedure="false">Registre!$AF$7:$AF$1006</definedName>
    <definedName function="false" hidden="false" name="R_DInit" vbProcedure="false">Registre!$AD$7:$AD$1006</definedName>
    <definedName function="false" hidden="false" name="R_DInter" vbProcedure="false">Registre!$AE$7:$AE$1006</definedName>
    <definedName function="false" hidden="false" name="R_DL" vbProcedure="false">Registre!$BC$7:$BC$1006</definedName>
    <definedName function="false" hidden="false" name="R_Dom" vbProcedure="false">Registre!$E$7:$E$1006</definedName>
    <definedName function="false" hidden="false" name="R_DORA" vbProcedure="false">Registre!$K$7:$K$1006</definedName>
    <definedName function="false" hidden="false" name="R_DoraDL" vbProcedure="false">Registre!$BR$7:$BR$1006</definedName>
    <definedName function="false" hidden="false" name="R_DoraF" vbProcedure="false">Registre!$BU$7:$BU$1006</definedName>
    <definedName function="false" hidden="false" name="R_DoraI" vbProcedure="false">Registre!$BS$7:$BS$1006</definedName>
    <definedName function="false" hidden="false" name="R_DoraM" vbProcedure="false">Registre!$BT$7:$BT$1006</definedName>
    <definedName function="false" hidden="false" name="R_DoraOK" vbProcedure="false">Registre!$BV$7:$BV$1006</definedName>
    <definedName function="false" hidden="false" name="R_Ech" vbProcedure="false">Registre!$AJ$7:$AJ$1006</definedName>
    <definedName function="false" hidden="false" name="R_Enr" vbProcedure="false">Registre!$P$7:$P$1006</definedName>
    <definedName function="false" hidden="false" name="R_EscDel" vbProcedure="false">Registre!$BJ$7:$BJ$1006</definedName>
    <definedName function="false" hidden="false" name="R_EscN2" vbProcedure="false">Registre!$T$7:$T$1006</definedName>
    <definedName function="false" hidden="false" name="R_EscN3" vbProcedure="false">Registre!$U$7:$U$1006</definedName>
    <definedName function="false" hidden="false" name="R_EscOK" vbProcedure="false">Registre!$BG$7:$BG$1006</definedName>
    <definedName function="false" hidden="false" name="R_Fonds" vbProcedure="false">Registre!$D$7:$D$1006</definedName>
    <definedName function="false" hidden="false" name="R_hDecl" vbProcedure="false">Registre!$AU$7:$AU$1006</definedName>
    <definedName function="false" hidden="false" name="R_hEsc" vbProcedure="false">Registre!$BI$7:$BI$1006</definedName>
    <definedName function="false" hidden="false" name="R_hPEC" vbProcedure="false">Registre!$AV$7:$AV$1006</definedName>
    <definedName function="false" hidden="false" name="R_ID" vbProcedure="false">Registre!$B$7:$B$1006</definedName>
    <definedName function="false" hidden="false" name="R_Int" vbProcedure="false">Registre!$AS$7:$AS$1006</definedName>
    <definedName function="false" hidden="false" name="R_jClo" vbProcedure="false">Registre!$AX$7:$AX$1006</definedName>
    <definedName function="false" hidden="false" name="R_jDet" vbProcedure="false">Registre!$AT$7:$AT$1006</definedName>
    <definedName function="false" hidden="false" name="R_jEsc" vbProcedure="false">Registre!$BL$7:$BL$1006</definedName>
    <definedName function="false" hidden="false" name="R_jRes" vbProcedure="false">Registre!$AW$7:$AW$1006</definedName>
    <definedName function="false" hidden="false" name="R_Lien" vbProcedure="false">Registre!$X$7:$X$1006</definedName>
    <definedName function="false" hidden="false" name="R_Niv" vbProcedure="false">Registre!$BD$7:$BD$1006</definedName>
    <definedName function="false" hidden="false" name="R_NivM" vbProcedure="false">Registre!$BE$7:$BE$1006</definedName>
    <definedName function="false" hidden="false" name="R_NivR" vbProcedure="false">Registre!$BF$7:$BF$1006</definedName>
    <definedName function="false" hidden="false" name="R_Not" vbProcedure="false">Registre!$AB$7:$AB$1006</definedName>
    <definedName function="false" hidden="false" name="R_NotLim" vbProcedure="false">Registre!$AA$7:$AA$1006</definedName>
    <definedName function="false" hidden="false" name="R_NotOK" vbProcedure="false">Registre!$BQ$7:$BQ$1006</definedName>
    <definedName function="false" hidden="false" name="R_NotReq" vbProcedure="false">Registre!$Z$7:$Z$1006</definedName>
    <definedName function="false" hidden="false" name="R_okPEC" vbProcedure="false">Registre!$AZ$7:$AZ$1006</definedName>
    <definedName function="false" hidden="false" name="R_okRes" vbProcedure="false">Registre!$BB$7:$BB$1006</definedName>
    <definedName function="false" hidden="false" name="R_PB" vbProcedure="false">Registre!$AG$7:$AG$1006</definedName>
    <definedName function="false" hidden="false" name="R_PEC" vbProcedure="false">Registre!$Q$7:$Q$1006</definedName>
    <definedName function="false" hidden="false" name="R_PN" vbProcedure="false">Registre!$BW$7:$BW$1006</definedName>
    <definedName function="false" hidden="false" name="R_Presta" vbProcedure="false">Registre!$H$7:$H$1006</definedName>
    <definedName function="false" hidden="false" name="R_QI" vbProcedure="false">Registre!$AP$7:$AP$1006</definedName>
    <definedName function="false" hidden="false" name="R_RCA" vbProcedure="false">Registre!$Y$7:$Y$1006</definedName>
    <definedName function="false" hidden="false" name="R_RCAN" vbProcedure="false">Registre!$BP$7:$BP$1006</definedName>
    <definedName function="false" hidden="false" name="R_Reaf" vbProcedure="false">Registre!$V$7:$V$1006</definedName>
    <definedName function="false" hidden="false" name="R_Real" vbProcedure="false">Registre!$AK$7:$AK$1006</definedName>
    <definedName function="false" hidden="false" name="R_Rec" vbProcedure="false">Registre!$BO$7:$BO$1006</definedName>
    <definedName function="false" hidden="false" name="R_Recup" vbProcedure="false">Registre!$AH$7:$AH$1006</definedName>
    <definedName function="false" hidden="false" name="R_Reo" vbProcedure="false">Registre!$W$7:$W$1006</definedName>
    <definedName function="false" hidden="false" name="R_ReoN" vbProcedure="false">Registre!$BN$7:$BN$1006</definedName>
    <definedName function="false" hidden="false" name="R_Res" vbProcedure="false">Registre!$R$7:$R$1006</definedName>
    <definedName function="false" hidden="false" name="R_ResN1" vbProcedure="false">Registre!$BM$7:$BM$1006</definedName>
    <definedName function="false" hidden="false" name="R_Resp" vbProcedure="false">Registre!$M$7:$M$1006</definedName>
    <definedName function="false" hidden="false" name="R_Src" vbProcedure="false">Registre!$G$7:$G$1006</definedName>
    <definedName function="false" hidden="false" name="R_Statut" vbProcedure="false">Registre!$L$7:$L$1006</definedName>
    <definedName function="false" hidden="false" name="R_Surv" vbProcedure="false">Registre!$N$7:$N$1006</definedName>
    <definedName function="false" hidden="false" name="R_Type" vbProcedure="false">Registre!$C$7:$C$1006</definedName>
    <definedName function="false" hidden="false" name="SLA_PEC" vbProcedure="false">Données!$D$17:$D$20</definedName>
    <definedName function="false" hidden="false" name="SLA_RES" vbProcedure="false">Données!$E$17:$E$20</definedName>
    <definedName function="false" hidden="false" name="T_Alerte" vbProcedure="false">Données!$G$40:$G$73</definedName>
    <definedName function="false" hidden="false" name="T_Base" vbProcedure="false">Données!$H$40:$H$73</definedName>
    <definedName function="false" hidden="false" name="T_Cible" vbProcedure="false">Données!$F$40:$F$73</definedName>
    <definedName function="false" hidden="false" name="T_Lib" vbProcedure="false">Données!$C$40:$C$73</definedName>
    <definedName function="false" hidden="false" name="T_Ref" vbProcedure="false">Données!$B$40:$B$73</definedName>
    <definedName function="false" hidden="false" name="T_Sens" vbProcedure="false">Données!$E$40:$E$73</definedName>
    <definedName function="false" hidden="false" name="T_Unite" vbProcedure="false">Données!$D$40:$D$73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<sst xmlns="http://schemas.openxmlformats.org/spreadsheetml/2006/main" count="2910" uniqueCount="976">
  <si>
    <t xml:space="preserve">Tableau de bord du registre des incidents et des escalades</t>
  </si>
  <si>
    <t xml:space="preserve">Données fictives de démonstration. Fundcraft - indicateurs calculés à partir de l'onglet Registre ; paramètres, matrice SLA et cibles dans l'onglet Données ; définitions dans l'onglet Indicateurs (lien sur chaque référence).</t>
  </si>
  <si>
    <t xml:space="preserve">Période d'analyse et qualité des données</t>
  </si>
  <si>
    <t xml:space="preserve">Répartition par criticité</t>
  </si>
  <si>
    <t xml:space="preserve">Bornes</t>
  </si>
  <si>
    <t xml:space="preserve">Période</t>
  </si>
  <si>
    <t xml:space="preserve">Période précédente</t>
  </si>
  <si>
    <t xml:space="preserve">12 mois glissants</t>
  </si>
  <si>
    <t xml:space="preserve">Criticité</t>
  </si>
  <si>
    <t xml:space="preserve">%</t>
  </si>
  <si>
    <t xml:space="preserve">12 mois</t>
  </si>
  <si>
    <t xml:space="preserve">MTTR 12 mois (j.o.)</t>
  </si>
  <si>
    <t xml:space="preserve">SLA résol. 12 mois</t>
  </si>
  <si>
    <t xml:space="preserve">Début</t>
  </si>
  <si>
    <t xml:space="preserve">Fin</t>
  </si>
  <si>
    <t xml:space="preserve">Lignes saisies dans le registre</t>
  </si>
  <si>
    <t xml:space="preserve">Lignes en anomalie de saisie (voir le registre)</t>
  </si>
  <si>
    <t xml:space="preserve">Total</t>
  </si>
  <si>
    <t xml:space="preserve">Réf</t>
  </si>
  <si>
    <t xml:space="preserve">Indicateur</t>
  </si>
  <si>
    <t xml:space="preserve">Unité</t>
  </si>
  <si>
    <t xml:space="preserve">n</t>
  </si>
  <si>
    <t xml:space="preserve">Statut</t>
  </si>
  <si>
    <t xml:space="preserve">Statut 12 mois</t>
  </si>
  <si>
    <t xml:space="preserve">Sens</t>
  </si>
  <si>
    <t xml:space="preserve">Cible</t>
  </si>
  <si>
    <t xml:space="preserve">Seuil d'alerte</t>
  </si>
  <si>
    <t xml:space="preserve">1. Volume et répartition</t>
  </si>
  <si>
    <t xml:space="preserve">Répartition par domaine</t>
  </si>
  <si>
    <t xml:space="preserve">V01</t>
  </si>
  <si>
    <t xml:space="preserve">Domaine</t>
  </si>
  <si>
    <t xml:space="preserve">Préc.</t>
  </si>
  <si>
    <t xml:space="preserve">% 12 mois</t>
  </si>
  <si>
    <t xml:space="preserve">V02</t>
  </si>
  <si>
    <t xml:space="preserve">V03</t>
  </si>
  <si>
    <t xml:space="preserve">V04</t>
  </si>
  <si>
    <t xml:space="preserve">V05</t>
  </si>
  <si>
    <t xml:space="preserve">V06</t>
  </si>
  <si>
    <t xml:space="preserve">V07</t>
  </si>
  <si>
    <t xml:space="preserve">V08</t>
  </si>
  <si>
    <t xml:space="preserve">2. Délais et réactivité</t>
  </si>
  <si>
    <t xml:space="preserve">D01</t>
  </si>
  <si>
    <t xml:space="preserve">D02</t>
  </si>
  <si>
    <t xml:space="preserve">D03</t>
  </si>
  <si>
    <t xml:space="preserve">D04</t>
  </si>
  <si>
    <t xml:space="preserve">D05</t>
  </si>
  <si>
    <t xml:space="preserve">D06</t>
  </si>
  <si>
    <t xml:space="preserve">D07</t>
  </si>
  <si>
    <t xml:space="preserve">Répartition par fonds / véhicule (perte nette en EUR)</t>
  </si>
  <si>
    <t xml:space="preserve">D08</t>
  </si>
  <si>
    <t xml:space="preserve">Fonds / véhicule</t>
  </si>
  <si>
    <t xml:space="preserve">Perte 12 mois</t>
  </si>
  <si>
    <t xml:space="preserve">3. Efficacité de résolution</t>
  </si>
  <si>
    <t xml:space="preserve">E01</t>
  </si>
  <si>
    <t xml:space="preserve">E02</t>
  </si>
  <si>
    <t xml:space="preserve">E03</t>
  </si>
  <si>
    <t xml:space="preserve">E04</t>
  </si>
  <si>
    <t xml:space="preserve">E05</t>
  </si>
  <si>
    <t xml:space="preserve">E06</t>
  </si>
  <si>
    <t xml:space="preserve">E07</t>
  </si>
  <si>
    <t xml:space="preserve">Répartition par niveau d'escalade maximal</t>
  </si>
  <si>
    <t xml:space="preserve">E08</t>
  </si>
  <si>
    <t xml:space="preserve">Niveau</t>
  </si>
  <si>
    <t xml:space="preserve">4. Analyse des escalades</t>
  </si>
  <si>
    <t xml:space="preserve">X01</t>
  </si>
  <si>
    <t xml:space="preserve">X02</t>
  </si>
  <si>
    <t xml:space="preserve">X03</t>
  </si>
  <si>
    <t xml:space="preserve">X04</t>
  </si>
  <si>
    <t xml:space="preserve">X05</t>
  </si>
  <si>
    <t xml:space="preserve">Répartition par catégorie d'événement (Bâle II)</t>
  </si>
  <si>
    <t xml:space="preserve">X06</t>
  </si>
  <si>
    <t xml:space="preserve">Catégorie</t>
  </si>
  <si>
    <t xml:space="preserve">X07</t>
  </si>
  <si>
    <t xml:space="preserve">X08</t>
  </si>
  <si>
    <t xml:space="preserve">X09</t>
  </si>
  <si>
    <t xml:space="preserve">X10</t>
  </si>
  <si>
    <t xml:space="preserve">Statuts : Conforme ; Vigilance (entre la cible et le seuil d'alerte) ; Hors cible ; Base insuffisante (dénominateur n inférieur à la base minimale, ratio non significatif) ; Suivi (indicateur sans cible) ; Cible à définir ; n.d. (aucune donnée).</t>
  </si>
  <si>
    <t xml:space="preserve">n : nombre d'incidents au dénominateur du ratio. Délais en heures ouvrées (h) et jours ouvrés (j.o.) selon le calendrier de l'onglet Données ; délais DORA en heures calendaires. Période précédente : même durée, immédiatement avant la période.</t>
  </si>
  <si>
    <t xml:space="preserve">Registre des incidents et des escalades</t>
  </si>
  <si>
    <t xml:space="preserve">Données fictives de démonstration, à supprimer avant utilisation. Une ligne par incident ou quasi-incident. Saisie dans les cellules crème (listes déroulantes alimentées par l'onglet Données), dates au format jj/mm/aaaa hh:mm. Colonnes AN à BX calculées : ne pas saisir. Définitions et exemples : onglet Champs.</t>
  </si>
  <si>
    <t xml:space="preserve">Identification et qualification</t>
  </si>
  <si>
    <t xml:space="preserve">Chronologie</t>
  </si>
  <si>
    <t xml:space="preserve">Escalade</t>
  </si>
  <si>
    <t xml:space="preserve">Qualité de résolution</t>
  </si>
  <si>
    <t xml:space="preserve">Notifications externes</t>
  </si>
  <si>
    <t xml:space="preserve">DORA</t>
  </si>
  <si>
    <t xml:space="preserve">Impact financier</t>
  </si>
  <si>
    <t xml:space="preserve">Actions correctives</t>
  </si>
  <si>
    <t xml:space="preserve">Calculs automatiques - ne pas saisir</t>
  </si>
  <si>
    <t xml:space="preserve">ID incident</t>
  </si>
  <si>
    <t xml:space="preserve">Type</t>
  </si>
  <si>
    <t xml:space="preserve">Catégorie d'événement (Bâle II)</t>
  </si>
  <si>
    <t xml:space="preserve">Source de détection</t>
  </si>
  <si>
    <t xml:space="preserve">Prestataire / tiers concerné</t>
  </si>
  <si>
    <t xml:space="preserve">Description courte</t>
  </si>
  <si>
    <t xml:space="preserve">Incident TIC majeur (DORA)</t>
  </si>
  <si>
    <t xml:space="preserve">Responsable</t>
  </si>
  <si>
    <t xml:space="preserve">Date-heure de survenance</t>
  </si>
  <si>
    <t xml:space="preserve">Date-heure de détection</t>
  </si>
  <si>
    <t xml:space="preserve">Date-heure d'enregistrement</t>
  </si>
  <si>
    <t xml:space="preserve">Date-heure de prise en compte</t>
  </si>
  <si>
    <t xml:space="preserve">Date-heure de résolution</t>
  </si>
  <si>
    <t xml:space="preserve">Date-heure de clôture</t>
  </si>
  <si>
    <t xml:space="preserve">Date-heure escalade N2 (Contrôle)</t>
  </si>
  <si>
    <t xml:space="preserve">Date-heure escalade N3 (Direction)</t>
  </si>
  <si>
    <t xml:space="preserve">Nombre de réaffectations</t>
  </si>
  <si>
    <t xml:space="preserve">Réouvert</t>
  </si>
  <si>
    <t xml:space="preserve">ID incident antérieur lié</t>
  </si>
  <si>
    <t xml:space="preserve">Analyse de cause racine réalisée</t>
  </si>
  <si>
    <t xml:space="preserve">Notification externe requise</t>
  </si>
  <si>
    <t xml:space="preserve">Date-heure limite de notification externe</t>
  </si>
  <si>
    <t xml:space="preserve">Date-heure de notification externe</t>
  </si>
  <si>
    <t xml:space="preserve">Date-heure de classification majeur (DORA)</t>
  </si>
  <si>
    <t xml:space="preserve">Date-heure de notification initiale (DORA)</t>
  </si>
  <si>
    <t xml:space="preserve">Date-heure du rapport intermédiaire (DORA)</t>
  </si>
  <si>
    <t xml:space="preserve">Date du rapport final (DORA)</t>
  </si>
  <si>
    <t xml:space="preserve">Perte brute estimée (EUR)</t>
  </si>
  <si>
    <t xml:space="preserve">Récupérations (EUR)</t>
  </si>
  <si>
    <t xml:space="preserve">Action corrective requise</t>
  </si>
  <si>
    <t xml:space="preserve">Échéance de l'action corrective</t>
  </si>
  <si>
    <t xml:space="preserve">Date de réalisation de l'action corrective</t>
  </si>
  <si>
    <t xml:space="preserve">Commentaire</t>
  </si>
  <si>
    <t xml:space="preserve">Contrôle de saisie</t>
  </si>
  <si>
    <t xml:space="preserve">Incident compté</t>
  </si>
  <si>
    <t xml:space="preserve">Quasi-incident compté</t>
  </si>
  <si>
    <t xml:space="preserve">Ligne active</t>
  </si>
  <si>
    <t xml:space="preserve">Criticité (numéro)</t>
  </si>
  <si>
    <t xml:space="preserve">Détection interne</t>
  </si>
  <si>
    <t xml:space="preserve">Délai de détection (j.o.)</t>
  </si>
  <si>
    <t xml:space="preserve">Délai de déclaration (h)</t>
  </si>
  <si>
    <t xml:space="preserve">Délai de prise en compte (h)</t>
  </si>
  <si>
    <t xml:space="preserve">Délai de résolution (j.o.)</t>
  </si>
  <si>
    <t xml:space="preserve">Délai de clôture (j.o.)</t>
  </si>
  <si>
    <t xml:space="preserve">Cible de prise en compte (h)</t>
  </si>
  <si>
    <t xml:space="preserve">Prise en compte dans le SLA</t>
  </si>
  <si>
    <t xml:space="preserve">Cible de résolution (j.o.)</t>
  </si>
  <si>
    <t xml:space="preserve">Résolution dans le SLA</t>
  </si>
  <si>
    <t xml:space="preserve">Échéance SLA de résolution</t>
  </si>
  <si>
    <t xml:space="preserve">Niveau maximal atteint</t>
  </si>
  <si>
    <t xml:space="preserve">Niveau requis (matrice)</t>
  </si>
  <si>
    <t xml:space="preserve">Niveau requis (total)</t>
  </si>
  <si>
    <t xml:space="preserve">Escalade conforme</t>
  </si>
  <si>
    <t xml:space="preserve">Date d'atteinte du niveau requis</t>
  </si>
  <si>
    <t xml:space="preserve">Délai d'escalade (h)</t>
  </si>
  <si>
    <t xml:space="preserve">Escalade dans les délais</t>
  </si>
  <si>
    <t xml:space="preserve">Date de première escalade</t>
  </si>
  <si>
    <t xml:space="preserve">Temps en escalade (j.o.)</t>
  </si>
  <si>
    <t xml:space="preserve">Résolu au 1er niveau</t>
  </si>
  <si>
    <t xml:space="preserve">Réouvert (1/0)</t>
  </si>
  <si>
    <t xml:space="preserve">Récurrent (1/0)</t>
  </si>
  <si>
    <t xml:space="preserve">Cause racine (1/0)</t>
  </si>
  <si>
    <t xml:space="preserve">Notification externe dans les délais</t>
  </si>
  <si>
    <t xml:space="preserve">DORA - échéance de notification initiale</t>
  </si>
  <si>
    <t xml:space="preserve">DORA - notification initiale</t>
  </si>
  <si>
    <t xml:space="preserve">DORA - rapport intermédiaire</t>
  </si>
  <si>
    <t xml:space="preserve">DORA - rapport final</t>
  </si>
  <si>
    <t xml:space="preserve">DORA - conformité</t>
  </si>
  <si>
    <t xml:space="preserve">Perte nette (EUR)</t>
  </si>
  <si>
    <t xml:space="preserve">Action corrective à échéance</t>
  </si>
  <si>
    <t xml:space="preserve">INC-2025-001</t>
  </si>
  <si>
    <t xml:space="preserve">Quasi-incident</t>
  </si>
  <si>
    <t xml:space="preserve">Fonds test 1 (FoF PE evergreen)</t>
  </si>
  <si>
    <t xml:space="preserve">Valorisation et VL</t>
  </si>
  <si>
    <t xml:space="preserve">Clients, produits et pratiques commerciales</t>
  </si>
  <si>
    <t xml:space="preserve">Contrôle de 2nd niveau (Risk / Conformité)</t>
  </si>
  <si>
    <t xml:space="preserve">Administrateur de fonds</t>
  </si>
  <si>
    <t xml:space="preserve">Écart de VL détecté au contrôle de cohérence</t>
  </si>
  <si>
    <t xml:space="preserve">3 - Modérée</t>
  </si>
  <si>
    <t xml:space="preserve">Non</t>
  </si>
  <si>
    <t xml:space="preserve">Clos</t>
  </si>
  <si>
    <t xml:space="preserve">INC-2025-002</t>
  </si>
  <si>
    <t xml:space="preserve">Passif (souscriptions, rachats, registre)</t>
  </si>
  <si>
    <t xml:space="preserve">Exécution, livraison et gestion des processus</t>
  </si>
  <si>
    <t xml:space="preserve">Investisseur ou distributeur</t>
  </si>
  <si>
    <t xml:space="preserve">Agent de transfert</t>
  </si>
  <si>
    <t xml:space="preserve">Retard de mise à jour du registre des porteurs</t>
  </si>
  <si>
    <t xml:space="preserve">Conformité</t>
  </si>
  <si>
    <t xml:space="preserve">INC-2025-003</t>
  </si>
  <si>
    <t xml:space="preserve">Incident</t>
  </si>
  <si>
    <t xml:space="preserve">Investissements et limites (ratios)</t>
  </si>
  <si>
    <t xml:space="preserve">Contrôle de 1er niveau (opérationnel)</t>
  </si>
  <si>
    <t xml:space="preserve">Engagement souscrit sans contrôle préalable des limites</t>
  </si>
  <si>
    <t xml:space="preserve">Prestataire informatique</t>
  </si>
  <si>
    <t xml:space="preserve">INC-2025-004</t>
  </si>
  <si>
    <t xml:space="preserve">Fonds test 3 (FPS infrastructure)</t>
  </si>
  <si>
    <t xml:space="preserve">Délégataire ou prestataire (administrateur, TA)</t>
  </si>
  <si>
    <t xml:space="preserve">Erreur de change dans le calcul de la VL</t>
  </si>
  <si>
    <t xml:space="preserve">4 - Mineure</t>
  </si>
  <si>
    <t xml:space="preserve">Gestion</t>
  </si>
  <si>
    <t xml:space="preserve">Oui</t>
  </si>
  <si>
    <t xml:space="preserve">INC-2025-005</t>
  </si>
  <si>
    <t xml:space="preserve">Fonds test 5 (nourricier ELTIF)</t>
  </si>
  <si>
    <t xml:space="preserve">Reporting réglementaire (Annex IV, PRIIPs, EET)</t>
  </si>
  <si>
    <t xml:space="preserve">KID PRIIPs publié avec un SRI non mis à jour</t>
  </si>
  <si>
    <t xml:space="preserve">INC-2025-006</t>
  </si>
  <si>
    <t xml:space="preserve">Fonds test 4 (onboarding)</t>
  </si>
  <si>
    <t xml:space="preserve">Dépositaire</t>
  </si>
  <si>
    <t xml:space="preserve">INC-2025-007</t>
  </si>
  <si>
    <t xml:space="preserve">Fonds test 2 (closed-end)</t>
  </si>
  <si>
    <t xml:space="preserve">Trésorerie et paiements</t>
  </si>
  <si>
    <t xml:space="preserve">Paiement fournisseur émis en double</t>
  </si>
  <si>
    <t xml:space="preserve">Risk Management</t>
  </si>
  <si>
    <t xml:space="preserve">INC-2025-008</t>
  </si>
  <si>
    <t xml:space="preserve">Systèmes d'information et cybersécurité (TIC)</t>
  </si>
  <si>
    <t xml:space="preserve">Interruption d'activité et dysfonctionnement des systèmes</t>
  </si>
  <si>
    <t xml:space="preserve">Tentative d'hameçonnage ayant compromis une messagerie</t>
  </si>
  <si>
    <t xml:space="preserve">Middle-office</t>
  </si>
  <si>
    <t xml:space="preserve">INC-2025-009</t>
  </si>
  <si>
    <t xml:space="preserve">INC-2025-010</t>
  </si>
  <si>
    <t xml:space="preserve">Rapprochement bancaire non réalisé à J+1</t>
  </si>
  <si>
    <t xml:space="preserve">INC-2025-011</t>
  </si>
  <si>
    <t xml:space="preserve">Alerte automatique (outil, rapprochement)</t>
  </si>
  <si>
    <t xml:space="preserve">Valorisation d'un fonds cible intégrée sur une base erronée</t>
  </si>
  <si>
    <t xml:space="preserve">INC-2025-012</t>
  </si>
  <si>
    <t xml:space="preserve">INC-2025-013</t>
  </si>
  <si>
    <t xml:space="preserve">INC-2025-014</t>
  </si>
  <si>
    <t xml:space="preserve">INC-2025-015</t>
  </si>
  <si>
    <t xml:space="preserve">INC-2025-016</t>
  </si>
  <si>
    <t xml:space="preserve">INC-2025-017</t>
  </si>
  <si>
    <t xml:space="preserve">2 - Majeure</t>
  </si>
  <si>
    <t xml:space="preserve">INC-2025-018</t>
  </si>
  <si>
    <t xml:space="preserve">Appels de fonds et distributions</t>
  </si>
  <si>
    <t xml:space="preserve">Avis d'appel de fonds envoyé avec un montant erroné</t>
  </si>
  <si>
    <t xml:space="preserve">INC-2025-019</t>
  </si>
  <si>
    <t xml:space="preserve">SGP test (transverse)</t>
  </si>
  <si>
    <t xml:space="preserve">Juridique et documentation des fonds</t>
  </si>
  <si>
    <t xml:space="preserve">Version non à jour du règlement transmise à un investisseur</t>
  </si>
  <si>
    <t xml:space="preserve">INC-2025-020</t>
  </si>
  <si>
    <t xml:space="preserve">Indisponibilité de l'outil de gestion du passif</t>
  </si>
  <si>
    <t xml:space="preserve">INC-2025-021</t>
  </si>
  <si>
    <t xml:space="preserve">INC-2026-001</t>
  </si>
  <si>
    <t xml:space="preserve">Délégataires et prestataires</t>
  </si>
  <si>
    <t xml:space="preserve">Retard de production de la VL par l'administrateur</t>
  </si>
  <si>
    <t xml:space="preserve">INC-2026-002</t>
  </si>
  <si>
    <t xml:space="preserve">Reporting investisseurs</t>
  </si>
  <si>
    <t xml:space="preserve">Relevé de position transmis en retard</t>
  </si>
  <si>
    <t xml:space="preserve">INC-2026-003</t>
  </si>
  <si>
    <t xml:space="preserve">Doublon d'une déclaration existante</t>
  </si>
  <si>
    <t xml:space="preserve">Annulé</t>
  </si>
  <si>
    <t xml:space="preserve">INC-2026-004</t>
  </si>
  <si>
    <t xml:space="preserve">Commissaire aux comptes ou audit</t>
  </si>
  <si>
    <t xml:space="preserve">Ordre de souscription traité sur une mauvaise part</t>
  </si>
  <si>
    <t xml:space="preserve">Rouvert après contrôle de second niveau</t>
  </si>
  <si>
    <t xml:space="preserve">INC-2026-005</t>
  </si>
  <si>
    <t xml:space="preserve">INC-2026-006</t>
  </si>
  <si>
    <t xml:space="preserve">INC-2026-007</t>
  </si>
  <si>
    <t xml:space="preserve">INC-2026-008</t>
  </si>
  <si>
    <t xml:space="preserve">Dépassement passif d'une limite de concentration</t>
  </si>
  <si>
    <t xml:space="preserve">INC-2026-009</t>
  </si>
  <si>
    <t xml:space="preserve">INC-2026-010</t>
  </si>
  <si>
    <t xml:space="preserve">INC-2026-011</t>
  </si>
  <si>
    <t xml:space="preserve">Fraude externe</t>
  </si>
  <si>
    <t xml:space="preserve">1 - Critique</t>
  </si>
  <si>
    <t xml:space="preserve">INC-2026-012</t>
  </si>
  <si>
    <t xml:space="preserve">Conformité et LCB-FT</t>
  </si>
  <si>
    <t xml:space="preserve">Revue périodique LCB-FT non réalisée à échéance</t>
  </si>
  <si>
    <t xml:space="preserve">INC-2026-013</t>
  </si>
  <si>
    <t xml:space="preserve">INC-2026-014</t>
  </si>
  <si>
    <t xml:space="preserve">INC-2026-015</t>
  </si>
  <si>
    <t xml:space="preserve">INC-2026-016</t>
  </si>
  <si>
    <t xml:space="preserve">Prestataire n'ayant pas transmis son rapport de contrôle</t>
  </si>
  <si>
    <t xml:space="preserve">INC-2026-017</t>
  </si>
  <si>
    <t xml:space="preserve">Dossier KYC incomplet constaté après souscription</t>
  </si>
  <si>
    <t xml:space="preserve">INC-2026-018</t>
  </si>
  <si>
    <t xml:space="preserve">INC-2026-019</t>
  </si>
  <si>
    <t xml:space="preserve">INC-2026-020</t>
  </si>
  <si>
    <t xml:space="preserve">INC-2026-021</t>
  </si>
  <si>
    <t xml:space="preserve">INC-2026-022</t>
  </si>
  <si>
    <t xml:space="preserve">INC-2026-023</t>
  </si>
  <si>
    <t xml:space="preserve">Liquidité (gates, outils de gestion)</t>
  </si>
  <si>
    <t xml:space="preserve">Prévision de liquidité non mise à jour avant la fenêtre de rachat</t>
  </si>
  <si>
    <t xml:space="preserve">INC-2026-024</t>
  </si>
  <si>
    <t xml:space="preserve">Fichier Annex IV rejeté par l'AMF (schéma XSD)</t>
  </si>
  <si>
    <t xml:space="preserve">INC-2026-025</t>
  </si>
  <si>
    <t xml:space="preserve">Seuil de gate mal paramétré dans l'outil de suivi</t>
  </si>
  <si>
    <t xml:space="preserve">INC-2026-026</t>
  </si>
  <si>
    <t xml:space="preserve">Distribution versée à la mauvaise date de valeur</t>
  </si>
  <si>
    <t xml:space="preserve">INC-2026-027</t>
  </si>
  <si>
    <t xml:space="preserve">INC-2026-028</t>
  </si>
  <si>
    <t xml:space="preserve">INC-2026-029</t>
  </si>
  <si>
    <t xml:space="preserve">INC-2026-030</t>
  </si>
  <si>
    <t xml:space="preserve">INC-2026-031</t>
  </si>
  <si>
    <t xml:space="preserve">INC-2026-032</t>
  </si>
  <si>
    <t xml:space="preserve">INC-2026-033</t>
  </si>
  <si>
    <t xml:space="preserve">INC-2026-034</t>
  </si>
  <si>
    <t xml:space="preserve">Dommages aux actifs physiques</t>
  </si>
  <si>
    <t xml:space="preserve">INC-2026-035</t>
  </si>
  <si>
    <t xml:space="preserve">INC-2026-036</t>
  </si>
  <si>
    <t xml:space="preserve">INC-2026-037</t>
  </si>
  <si>
    <t xml:space="preserve">INC-2026-038</t>
  </si>
  <si>
    <t xml:space="preserve">Autre</t>
  </si>
  <si>
    <t xml:space="preserve">Erreur d'archivage d'un procès-verbal</t>
  </si>
  <si>
    <t xml:space="preserve">INC-2026-039</t>
  </si>
  <si>
    <t xml:space="preserve">Résolu</t>
  </si>
  <si>
    <t xml:space="preserve">INC-2026-040</t>
  </si>
  <si>
    <t xml:space="preserve">Délai de notification d'une modification du règlement dépassé</t>
  </si>
  <si>
    <t xml:space="preserve">INC-2026-041</t>
  </si>
  <si>
    <t xml:space="preserve">INC-2026-042</t>
  </si>
  <si>
    <t xml:space="preserve">INC-2026-043</t>
  </si>
  <si>
    <t xml:space="preserve">INC-2026-044</t>
  </si>
  <si>
    <t xml:space="preserve">INC-2026-045</t>
  </si>
  <si>
    <t xml:space="preserve">INC-2026-046</t>
  </si>
  <si>
    <t xml:space="preserve">INC-2026-047</t>
  </si>
  <si>
    <t xml:space="preserve">INC-2026-048</t>
  </si>
  <si>
    <t xml:space="preserve">INC-2026-049</t>
  </si>
  <si>
    <t xml:space="preserve">INC-2026-050</t>
  </si>
  <si>
    <t xml:space="preserve">INC-2026-051</t>
  </si>
  <si>
    <t xml:space="preserve">INC-2026-052</t>
  </si>
  <si>
    <t xml:space="preserve">Accès d'un collaborateur non révoqué à son départ</t>
  </si>
  <si>
    <t xml:space="preserve">INC-2026-053</t>
  </si>
  <si>
    <t xml:space="preserve">INC-2026-054</t>
  </si>
  <si>
    <t xml:space="preserve">INC-2026-055</t>
  </si>
  <si>
    <t xml:space="preserve">INC-2026-056</t>
  </si>
  <si>
    <t xml:space="preserve">En cours</t>
  </si>
  <si>
    <t xml:space="preserve">INC-2026-057</t>
  </si>
  <si>
    <t xml:space="preserve">INC-2026-058</t>
  </si>
  <si>
    <t xml:space="preserve">INC-2026-059</t>
  </si>
  <si>
    <t xml:space="preserve">INC-2026-060</t>
  </si>
  <si>
    <t xml:space="preserve">INC-2026-061</t>
  </si>
  <si>
    <t xml:space="preserve">INC-2026-062</t>
  </si>
  <si>
    <t xml:space="preserve">INC-2026-063</t>
  </si>
  <si>
    <t xml:space="preserve">INC-2026-064</t>
  </si>
  <si>
    <t xml:space="preserve">INC-2026-065</t>
  </si>
  <si>
    <t xml:space="preserve">INC-2026-066</t>
  </si>
  <si>
    <t xml:space="preserve">INC-2026-067</t>
  </si>
  <si>
    <t xml:space="preserve">INC-2026-068</t>
  </si>
  <si>
    <t xml:space="preserve">Dictionnaire des indicateurs</t>
  </si>
  <si>
    <t xml:space="preserve">Indicateurs strictement quantitatifs, regroupés en quatre catégories. Libellé, unité, sens, cible et seuil d'alerte sont lus dans l'onglet Données ; R_xxx désigne la colonne du registre de même nom (plage nommée), Début et Fin les bornes de la période.</t>
  </si>
  <si>
    <t xml:space="preserve">Formule de calcul</t>
  </si>
  <si>
    <t xml:space="preserve">Méthode Excel</t>
  </si>
  <si>
    <t xml:space="preserve">Objectif métier</t>
  </si>
  <si>
    <t xml:space="preserve">Origine de la cible</t>
  </si>
  <si>
    <t xml:space="preserve">Champs requis du registre</t>
  </si>
  <si>
    <t xml:space="preserve">Fréquence</t>
  </si>
  <si>
    <t xml:space="preserve">Points de vigilance</t>
  </si>
  <si>
    <t xml:space="preserve">N = nombre d'incidents (Type = Incident, Statut ≠ Annulé) dont la date-heure d'enregistrement est comprise dans [Début ; Fin].</t>
  </si>
  <si>
    <t xml:space="preserve">NB.SI.ENS(R_Cpt;1;R_Enr;"&gt;="&amp;Début;R_Enr;"&lt;"&amp;Fin+1)</t>
  </si>
  <si>
    <t xml:space="preserve">Mesurer l'exposition au risque opérationnel et la charge de traitement ; dénominateur des ratios ; alimente la base historique des pertes exigée par le Règlement délégué (UE) n° 231/2013, art. 13.</t>
  </si>
  <si>
    <t xml:space="preserve">Pas de cible absolue : une baisse peut traduire une sous-déclaration. Lecture en tendance (période précédente, 12 mois glissants).</t>
  </si>
  <si>
    <t xml:space="preserve">ID incident (B) ; Type (C) ; Statut (L) ; Date-heure d'enregistrement (P)</t>
  </si>
  <si>
    <t xml:space="preserve">Mensuelle</t>
  </si>
  <si>
    <t xml:space="preserve">À lire avec V02 et V05 : un volume faible n'est pas un signal positif en soi.</t>
  </si>
  <si>
    <t xml:space="preserve">Nombre de quasi-incidents enregistrés sur la période / N (V01).</t>
  </si>
  <si>
    <t xml:space="preserve">NB.SI.ENS(R_QI;1;R_Enr;...) / V01</t>
  </si>
  <si>
    <t xml:space="preserve">Mesurer la culture de déclaration : les quasi-incidents sont des signaux faibles qui permettent de corriger avant perte.</t>
  </si>
  <si>
    <t xml:space="preserve">Bonne pratique de gestion du risque opérationnel (pyramide de Bird) ; pas de norme ITSM. Confiance faible, à calibrer sur l'historique.</t>
  </si>
  <si>
    <t xml:space="preserve">Type (C) ; Statut (L) ; Date-heure d'enregistrement (P)</t>
  </si>
  <si>
    <t xml:space="preserve">Trimestrielle</t>
  </si>
  <si>
    <t xml:space="preserve">Un ratio très bas signale le plus souvent une sous-déclaration, pas une absence de risque.</t>
  </si>
  <si>
    <t xml:space="preserve">Nombre d'incidents de criticité 1 ou 2 / N.</t>
  </si>
  <si>
    <t xml:space="preserve">NB.SI.ENS(R_Cpt;1;R_CritN;"&lt;=2";R_Enr;...) / V01</t>
  </si>
  <si>
    <t xml:space="preserve">Mesurer la gravité du profil de risque ; une hausse signale une dégradation du dispositif ou une sous-déclaration des incidents mineurs.</t>
  </si>
  <si>
    <t xml:space="preserve">Ordre de grandeur ITSM : priorités 1-2 généralement inférieures à 10-15 % des tickets. Cible SGP à calibrer sur 12 mois d'historique.</t>
  </si>
  <si>
    <t xml:space="preserve">Criticité (J) ; Type (C) ; Statut (L) ; Date-heure d'enregistrement (P)</t>
  </si>
  <si>
    <t xml:space="preserve">Dépend de la qualité de la cotation : contrôler la cohérence avec la matrice de criticité.</t>
  </si>
  <si>
    <t xml:space="preserve">Nombre d'incidents de criticité 1 sur la période.</t>
  </si>
  <si>
    <t xml:space="preserve">NB.SI.ENS(R_Cpt;1;R_CritN;1;R_Enr;...)</t>
  </si>
  <si>
    <t xml:space="preserve">Suivre les événements susceptibles d'affecter les investisseurs, la VL ou la conformité ; déclencheur d'information des dirigeants et du Comité des risques.</t>
  </si>
  <si>
    <t xml:space="preserve">Appétence au risque interne : tout incident critique est hors cible et fait l'objet d'une revue dédiée.</t>
  </si>
  <si>
    <t xml:space="preserve">Indicateur absolu : pas de contrôle de base minimale.</t>
  </si>
  <si>
    <t xml:space="preserve">Incidents détectés par le dispositif interne (contrôles de 1er et 2nd niveau, alerte automatique, délégataire) / incidents dont la source est renseignée.</t>
  </si>
  <si>
    <t xml:space="preserve">NB.SI.ENS(R_Int;1;R_Enr;...) / NB.SI.ENS(R_Int;"&gt;=0";R_Enr;...)</t>
  </si>
  <si>
    <t xml:space="preserve">Mesurer l'efficacité du contrôle permanent : un incident révélé par un investisseur, le dépositaire, le CAC ou l'AMF traduit une défaillance de contrôle.</t>
  </si>
  <si>
    <t xml:space="preserve">Bonne pratique de contrôle interne ; pas de standard publié. Confiance moyenne.</t>
  </si>
  <si>
    <t xml:space="preserve">Source de détection (G) ; Type (C) ; Statut (L) ; Date-heure d'enregistrement (P)</t>
  </si>
  <si>
    <t xml:space="preserve">Convention à valider : un incident remonté par un délégataire est classé interne par défaut (modifiable dans Données).</t>
  </si>
  <si>
    <t xml:space="preserve">max sur les domaines d (nombre d'incidents du domaine d) / N.</t>
  </si>
  <si>
    <t xml:space="preserve">MAX(répartition par domaine du Dashboard) / V01</t>
  </si>
  <si>
    <t xml:space="preserve">Identifier un processus défaillant (valorisation, passif, appels de fonds, reporting) et orienter le plan de contrôle.</t>
  </si>
  <si>
    <t xml:space="preserve">Hypothèse : au-delà de 30 % sur 12 mois, un domaine concentre le risque.</t>
  </si>
  <si>
    <t xml:space="preserve">Domaine (E) ; Type (C) ; Statut (L) ; Date-heure d'enregistrement (P)</t>
  </si>
  <si>
    <t xml:space="preserve">Non significatif sur une petite base : lire la colonne 12 mois glissants.</t>
  </si>
  <si>
    <t xml:space="preserve">Somme (perte brute estimée - récupérations) des incidents enregistrés sur la période.</t>
  </si>
  <si>
    <t xml:space="preserve">SOMME.SI.ENS(R_PN;R_Cpt;1;R_Enr;...)</t>
  </si>
  <si>
    <t xml:space="preserve">Alimenter la base historique des pertes (Règlement délégué (UE) n° 231/2013, art. 13) et la mettre en regard des fonds propres supplémentaires ou de l'assurance RC professionnelle (art. 12 à 15) et de l'appétence au risque.</t>
  </si>
  <si>
    <t xml:space="preserve">Aucun standard : cible à fixer par la Direction (seuil d'appétence), non renseignée par défaut.</t>
  </si>
  <si>
    <t xml:space="preserve">Perte brute estimée (EUR) (AG) ; Récupérations (EUR) (AH) ; Type (C) ; Statut (L) ; Date-heure d'enregistrement (P)</t>
  </si>
  <si>
    <t xml:space="preserve">Montants estimés à la déclaration : mettre à jour à la clôture (perte définitive).</t>
  </si>
  <si>
    <t xml:space="preserve">Nombre d'incidents classés « incident majeur lié aux TIC » sur la période.</t>
  </si>
  <si>
    <t xml:space="preserve">NB.SI.ENS(R_Cpt;1;R_DORA;"Oui";R_Enr;...)</t>
  </si>
  <si>
    <t xml:space="preserve">Suivre l'exposition au risque TIC et les obligations de notification à l'AMF (Règlement (UE) 2022/2554, art. 17 à 19).</t>
  </si>
  <si>
    <t xml:space="preserve">Appétence au risque interne.</t>
  </si>
  <si>
    <t xml:space="preserve">Incident TIC majeur (DORA) (K) ; Type (C) ; Statut (L) ; Date-heure d'enregistrement (P)</t>
  </si>
  <si>
    <t xml:space="preserve">Classification selon le Règlement délégué (UE) 2024/1772 ; documenter chaque décision de non-classement.</t>
  </si>
  <si>
    <t xml:space="preserve">Somme (détection - survenance) en jours ouvrés / nombre d'incidents dont les deux dates sont renseignées.</t>
  </si>
  <si>
    <t xml:space="preserve">MOYENNE.SI.ENS(R_jDet;R_Cpt;1;R_Enr;...)</t>
  </si>
  <si>
    <t xml:space="preserve">Mesurer la latence des erreurs (VL, allocation d'un appel de fonds, ratio) : plus la détection est tardive, plus la correction est coûteuse (recalcul de VL, indemnisation).</t>
  </si>
  <si>
    <t xml:space="preserve">Pas de benchmark ITSM direct ; hypothèse cohérente avec un cycle de valorisation mensuel ou trimestriel.</t>
  </si>
  <si>
    <t xml:space="preserve">Date-heure de survenance (N) ; Date-heure de détection (O) ; Date-heure d'enregistrement (P)</t>
  </si>
  <si>
    <t xml:space="preserve">Moyenne tirée par les erreurs latentes de plusieurs mois : examiner les incidents au-delà de 20 j.o.</t>
  </si>
  <si>
    <t xml:space="preserve">Somme (enregistrement - détection) en heures ouvrées / nombre d'incidents.</t>
  </si>
  <si>
    <t xml:space="preserve">MOYENNE.SI.ENS(R_hDecl;R_Cpt;1;R_Enr;...)</t>
  </si>
  <si>
    <t xml:space="preserve">Discipline de remontée au registre et aux fonctions de contrôle ; condition du respect des délais réglementaires (DORA : 24 h).</t>
  </si>
  <si>
    <t xml:space="preserve">Pratique de place : déclaration le jour même. Cible à aligner sur la procédure de gestion des incidents.</t>
  </si>
  <si>
    <t xml:space="preserve">Date-heure de détection (O) ; Date-heure d'enregistrement (P)</t>
  </si>
  <si>
    <t xml:space="preserve">Les heures ouvrées n'intègrent pas les week-ends : les délais DORA, eux, courent en heures calendaires.</t>
  </si>
  <si>
    <t xml:space="preserve">Somme (prise en compte - enregistrement) en heures ouvrées / nombre d'incidents pris en compte.</t>
  </si>
  <si>
    <t xml:space="preserve">MOYENNE.SI.ENS(R_hPEC;R_Cpt;1;R_Enr;...)</t>
  </si>
  <si>
    <t xml:space="preserve">Réactivité de l'affectation d'un responsable et du lancement des mesures conservatoires.</t>
  </si>
  <si>
    <t xml:space="preserve">ITSM : réponse de 15 min (P1) à 8 h (P4). La cible par criticité figure dans la matrice SLA de Données.</t>
  </si>
  <si>
    <t xml:space="preserve">Date-heure d'enregistrement (P) ; Date-heure de prise en compte (Q)</t>
  </si>
  <si>
    <t xml:space="preserve">Moyenne toutes criticités : lire avec D04, qui tient compte de la cible propre à chaque criticité.</t>
  </si>
  <si>
    <t xml:space="preserve">Incidents pris en compte dans la cible SLA de leur criticité / incidents pris en compte.</t>
  </si>
  <si>
    <t xml:space="preserve">NB.SI.ENS(R_okPEC;1;R_Enr;...) / NB.SI.ENS(R_okPEC;"&gt;=0";R_Enr;...)</t>
  </si>
  <si>
    <t xml:space="preserve">Vérifier que chaque incident est traité dans le délai attendu pour sa gravité.</t>
  </si>
  <si>
    <t xml:space="preserve">Standard ITSM : taux de respect des SLA de réponse supérieur ou égal à 95 %.</t>
  </si>
  <si>
    <t xml:space="preserve">Criticité (J) ; Date-heure d'enregistrement (P) ; Date-heure de prise en compte (Q)</t>
  </si>
  <si>
    <t xml:space="preserve">Sur une base inférieure à la base minimale, un seul dépassement fait varier le taux de plus de 20 points.</t>
  </si>
  <si>
    <t xml:space="preserve">Somme (résolution - enregistrement) en jours ouvrés / nombre d'incidents résolus sur la période.</t>
  </si>
  <si>
    <t xml:space="preserve">MOYENNE.SI.ENS(R_jRes;R_Res;"&gt;="&amp;Début;R_Res;"&lt;"&amp;Fin+1)</t>
  </si>
  <si>
    <t xml:space="preserve">Capacité à contenir l'impact (VL corrigée, opération régularisée, service rétabli) ; la résolution précède la clôture.</t>
  </si>
  <si>
    <t xml:space="preserve">ITSM : quelques heures pour un service desk IT, non transposable aux incidents de valorisation ou de passif ; cible SGP hypothétique.</t>
  </si>
  <si>
    <t xml:space="preserve">Date-heure d'enregistrement (P) ; Date-heure de résolution (R)</t>
  </si>
  <si>
    <t xml:space="preserve">Rattaché à la date de résolution ; lire avec D06 (90e centile) et le MTTR par criticité du Dashboard.</t>
  </si>
  <si>
    <t xml:space="preserve">90e centile de la distribution (résolution - enregistrement) des incidents résolus sur la période.</t>
  </si>
  <si>
    <t xml:space="preserve">{=CENTILE(SI(ESTNUM(R_jRes)*(R_Res&gt;=Début)*(R_Res&lt;Fin+1);R_jRes);0,9)} (formule matricielle)</t>
  </si>
  <si>
    <t xml:space="preserve">Mesurer la queue de distribution : les dossiers qui s'éternisent, invisibles dans la moyenne.</t>
  </si>
  <si>
    <t xml:space="preserve">Hypothèse alignée sur le SLA de résolution de la criticité 3.</t>
  </si>
  <si>
    <t xml:space="preserve">Avec moins de 10 incidents résolus, le 90e centile est proche du maximum.</t>
  </si>
  <si>
    <t xml:space="preserve">Incidents résolus dans la cible SLA de leur criticité / incidents résolus sur la période.</t>
  </si>
  <si>
    <t xml:space="preserve">NB.SI.ENS(R_okRes;1;R_Res;...) / NB.SI.ENS(R_okRes;"&gt;=0";R_Res;...)</t>
  </si>
  <si>
    <t xml:space="preserve">Indicateur de service principal : respect des engagements de résolution par niveau de gravité.</t>
  </si>
  <si>
    <t xml:space="preserve">Standard ITSM : 90 à 95 %.</t>
  </si>
  <si>
    <t xml:space="preserve">Criticité (J) ; Date-heure d'enregistrement (P) ; Date-heure de résolution (R)</t>
  </si>
  <si>
    <t xml:space="preserve">Ne voit pas les incidents non résolus en dépassement : lire avec E04.</t>
  </si>
  <si>
    <t xml:space="preserve">Somme (clôture - enregistrement) en jours ouvrés / nombre d'incidents clos sur la période.</t>
  </si>
  <si>
    <t xml:space="preserve">MOYENNE.SI.ENS(R_jClo;R_Clo;"&gt;="&amp;Début;R_Clo;"&lt;"&amp;Fin+1)</t>
  </si>
  <si>
    <t xml:space="preserve">Délai complet incluant l'analyse de cause et la validation par les fonctions de contrôle ; un écart important avec le MTTR signale des dossiers résolus mais non soldés.</t>
  </si>
  <si>
    <t xml:space="preserve">Pratique de place : clôture sous un mois environ. Hypothèse.</t>
  </si>
  <si>
    <t xml:space="preserve">Date-heure d'enregistrement (P) ; Date-heure de clôture (S)</t>
  </si>
  <si>
    <t xml:space="preserve">Dépend de la discipline de clôture formelle dans le registre.</t>
  </si>
  <si>
    <t xml:space="preserve">Incidents de criticité 3-4 résolus sans escalade (niveau maximal N1) / incidents de criticité 3-4 résolus.</t>
  </si>
  <si>
    <t xml:space="preserve">NB.SI.ENS(R_ResN1;1;R_CritN;"&gt;=3";R_Res;...) / NB.SI.ENS(R_ResN1;"&gt;=0";R_CritN;"&gt;=3";R_Res;...)</t>
  </si>
  <si>
    <t xml:space="preserve">Transposition du « First Contact Resolution » ITIL : autonomie des équipes et des délégataires sur les incidents courants.</t>
  </si>
  <si>
    <t xml:space="preserve">Benchmark service desk : FCR de l'ordre de 70-75 % ; cible relevée car le périmètre exclut les criticités 1-2, dont l'escalade est obligatoire.</t>
  </si>
  <si>
    <t xml:space="preserve">Criticité (J) ; Date-heure de résolution (R) ; Date-heure escalade N2 (Contrôle) (T) ; Date-heure escalade N3 (Direction) (U) ; Date-heure de notification externe (AB) ; Date-heure de notification initiale (DORA) (AD)</t>
  </si>
  <si>
    <t xml:space="preserve">Un taux élevé n'est sain que si X04 (conformité de l'escalade) est à 100 %.</t>
  </si>
  <si>
    <t xml:space="preserve">Nombre d'incidents résolus sur la période / N.</t>
  </si>
  <si>
    <t xml:space="preserve">NB.SI.ENS(R_Cpt;1;R_Res;...) / V01</t>
  </si>
  <si>
    <t xml:space="preserve">Capacité d'absorption : un ratio inférieur à 1 signifie que le stock d'incidents ouverts augmente.</t>
  </si>
  <si>
    <t xml:space="preserve">Standard ITSM (closure ratio).</t>
  </si>
  <si>
    <t xml:space="preserve">Volatil sur une période courte : privilégier la lecture 12 mois.</t>
  </si>
  <si>
    <t xml:space="preserve">Incidents enregistrés avant la fin de période et non résolus à cette date.</t>
  </si>
  <si>
    <t xml:space="preserve">NB.SI.ENS(R_Cpt;1;R_Enr;"&lt;"&amp;Fin+1) - NB.SI.ENS(R_Cpt;1;R_Enr;"&lt;"&amp;Fin+1;R_Res;"&lt;"&amp;Fin+1)</t>
  </si>
  <si>
    <t xml:space="preserve">Stock de risque non maîtrisé à la date d'arrêté, à présenter au Comité des risques.</t>
  </si>
  <si>
    <t xml:space="preserve">Pas de cible absolue : comparer au flux mensuel (backlog inférieur à un mois de flux entrant).</t>
  </si>
  <si>
    <t xml:space="preserve">Calculé en date de résolution : un incident résolu mais non clos sort du backlog.</t>
  </si>
  <si>
    <t xml:space="preserve">Incidents du backlog dont l'échéance SLA de résolution est dépassée en fin de période / backlog (E03).</t>
  </si>
  <si>
    <t xml:space="preserve">[NB.SI.ENS(R_Cpt;1;R_Enr;"&lt;"&amp;Fin+1;R_DL;"&lt;"&amp;Fin+1) - idem résolus avant Fin+1] / E03</t>
  </si>
  <si>
    <t xml:space="preserve">Mesurer le vieillissement du stock : dossiers ouverts au-delà du délai attendu.</t>
  </si>
  <si>
    <t xml:space="preserve">Standard ITSM (aged backlog) ; cible usuelle inférieure à 10 %.</t>
  </si>
  <si>
    <t xml:space="preserve">Échéance calculée en jours ouvrés depuis l'enregistrement (approximation à la journée).</t>
  </si>
  <si>
    <t xml:space="preserve">Incidents réouverts / incidents résolus sur la période.</t>
  </si>
  <si>
    <t xml:space="preserve">NB.SI.ENS(R_ReoN;1;R_Res;...) / NB.SI.ENS(R_Cpt;1;R_Res;...)</t>
  </si>
  <si>
    <t xml:space="preserve">Qualité de la résolution : correction incomplète ou mauvais diagnostic.</t>
  </si>
  <si>
    <t xml:space="preserve">Standard ITSM : inférieur à 5 %.</t>
  </si>
  <si>
    <t xml:space="preserve">Réouvert (W) ; Date-heure de résolution (R)</t>
  </si>
  <si>
    <t xml:space="preserve">Suppose que l'incident est rouvert sur la même ligne (et non recréé).</t>
  </si>
  <si>
    <t xml:space="preserve">Incidents rattachés à un incident antérieur de même cause / N.</t>
  </si>
  <si>
    <t xml:space="preserve">NB.SI.ENS(R_Rec;1;R_Enr;...) / V01</t>
  </si>
  <si>
    <t xml:space="preserve">Efficacité de la gestion des problèmes (ITIL Problem Management) : un incident récurrent révèle une action corrective inefficace.</t>
  </si>
  <si>
    <t xml:space="preserve">Bonne pratique ITIL ; cible hypothétique.</t>
  </si>
  <si>
    <t xml:space="preserve">ID incident antérieur lié (X) ; Date-heure d'enregistrement (P)</t>
  </si>
  <si>
    <t xml:space="preserve">Dépend de la rigueur du rattachement par le déclarant ; revue par le Risk Management recommandée.</t>
  </si>
  <si>
    <t xml:space="preserve">Incidents de criticité 1-2 clos avec analyse de cause racine / incidents de criticité 1-2 clos sur la période.</t>
  </si>
  <si>
    <t xml:space="preserve">NB.SI.ENS(R_RCAN;1;R_CritN;"&lt;=2";R_Clo;...) / NB.SI.ENS(R_Cpt;1;R_CritN;"&lt;=2";R_Clo;...)</t>
  </si>
  <si>
    <t xml:space="preserve">Garantir que chaque incident grave donne lieu à une analyse documentée avant clôture.</t>
  </si>
  <si>
    <t xml:space="preserve">Bonne pratique ITIL et attente usuelle de contrôle interne : 100 %.</t>
  </si>
  <si>
    <t xml:space="preserve">Criticité (J) ; Analyse de cause racine réalisée (Y) ; Date-heure de clôture (S)</t>
  </si>
  <si>
    <t xml:space="preserve">Indicateur de conformité : jugé quel que soit n.</t>
  </si>
  <si>
    <t xml:space="preserve">Actions réalisées au plus tard à l'échéance / actions dont l'échéance tombe dans la période (réalisées ou non).</t>
  </si>
  <si>
    <t xml:space="preserve">NB.SI.ENS(R_ActOK;1;R_Ech;...) / NB.SI.ENS(R_ActOK;"&gt;=0";R_Ech;...)</t>
  </si>
  <si>
    <t xml:space="preserve">Suivi du plan d'action, point d'attention récurrent du RCCI et des contrôles AMF.</t>
  </si>
  <si>
    <t xml:space="preserve">Pratique de place ; cible hypothétique.</t>
  </si>
  <si>
    <t xml:space="preserve">Action corrective requise (AI) ; Échéance de l'action corrective (AJ) ; Date de réalisation de l'action corrective (AK)</t>
  </si>
  <si>
    <t xml:space="preserve">Inclut les actions issues de quasi-incidents ; une action non réalisée après échéance compte en échec.</t>
  </si>
  <si>
    <t xml:space="preserve">Incidents ayant atteint au moins le niveau N2 / N.</t>
  </si>
  <si>
    <t xml:space="preserve">NB.SI.ENS(R_Niv;"&gt;=2";R_Enr;...) / V01</t>
  </si>
  <si>
    <t xml:space="preserve">Mesurer la dépendance aux fonctions de contrôle et à la Direction : un taux élevé révèle un manque d'autonomie du 1er niveau.</t>
  </si>
  <si>
    <t xml:space="preserve">Benchmark service desk : escalade du niveau 1 vers le niveau 2 de l'ordre de 20-30 %. Hypothèse.</t>
  </si>
  <si>
    <t xml:space="preserve">Date-heure escalade N2 (Contrôle) (T) ; Date-heure escalade N3 (Direction) (U) ; Date-heure de notification externe (AB) ; Date-heure de notification initiale (DORA) (AD) ; Date-heure d'enregistrement (P)</t>
  </si>
  <si>
    <t xml:space="preserve">Un taux bas n'est rassurant que si X04 est à 100 % (pas de sous-escalade).</t>
  </si>
  <si>
    <t xml:space="preserve">Incidents ayant atteint N3 (dirigeants effectifs, Comité des risques) ou N4 / N.</t>
  </si>
  <si>
    <t xml:space="preserve">NB.SI.ENS(R_Niv;"&gt;=3";R_Enr;...) / V01</t>
  </si>
  <si>
    <t xml:space="preserve">Mesurer la charge de décision remontée à la Direction.</t>
  </si>
  <si>
    <t xml:space="preserve">Cohérence avec la part des incidents critiques et majeurs (V03).</t>
  </si>
  <si>
    <t xml:space="preserve">Date-heure escalade N3 (Direction) (U) ; Date-heure de notification externe (AB) ; Date-heure de notification initiale (DORA) (AD) ; Date-heure d'enregistrement (P)</t>
  </si>
  <si>
    <t xml:space="preserve">Le détail N1 à N4 figure dans la répartition par niveau du Dashboard.</t>
  </si>
  <si>
    <t xml:space="preserve">Incidents ayant donné lieu à une notification externe (AMF, dépositaire, investisseurs, CAC) / N.</t>
  </si>
  <si>
    <t xml:space="preserve">NB.SI.ENS(R_Niv;4;R_Enr;...) / V01</t>
  </si>
  <si>
    <t xml:space="preserve">Mesurer l'exposition réglementaire et réputationnelle.</t>
  </si>
  <si>
    <t xml:space="preserve">Pas de cible de performance : la notification découle d'une obligation.</t>
  </si>
  <si>
    <t xml:space="preserve">Date-heure de notification externe (AB) ; Date-heure de notification initiale (DORA) (AD) ; Date-heure d'enregistrement (P)</t>
  </si>
  <si>
    <t xml:space="preserve">La qualité des notifications se lit dans X09 et X10.</t>
  </si>
  <si>
    <t xml:space="preserve">Incidents dont le niveau maximal atteint est supérieur ou égal au niveau requis (matrice selon criticité ; N4 si notification requise ou DORA) / incidents.</t>
  </si>
  <si>
    <t xml:space="preserve">NB.SI.ENS(R_EscOK;1;R_Enr;...) / NB.SI.ENS(R_EscOK;"&gt;=0";R_Enr;...)</t>
  </si>
  <si>
    <t xml:space="preserve">Détecter la sous-escalade, principal risque de gouvernance : dirigeants non informés d'un incident critique.</t>
  </si>
  <si>
    <t xml:space="preserve">Exigence interne : 100 %.</t>
  </si>
  <si>
    <t xml:space="preserve">Criticité (J) ; Incident TIC majeur (DORA) (K) ; Notification externe requise (Z) ; Date-heure escalade N2 (Contrôle) (T) ; Date-heure escalade N3 (Direction) (U) ; Date-heure de notification externe (AB) ; Date-heure de notification initiale (DORA) (AD) ; Date-heure d'enregistrement (P)</t>
  </si>
  <si>
    <t xml:space="preserve">Incidents escaladés au niveau requis dans le délai maximal de la matrice, compté depuis la détection / incidents escaladés au niveau requis (N2 ou N3).</t>
  </si>
  <si>
    <t xml:space="preserve">NB.SI.ENS(R_EscDel;1;R_Enr;...) / NB.SI.ENS(R_EscDel;"&gt;=0";R_Enr;...)</t>
  </si>
  <si>
    <t xml:space="preserve">Vérifier que l'information parvient au bon niveau à temps pour décider.</t>
  </si>
  <si>
    <t xml:space="preserve">Exigence interne ; délais de la matrice à valider en Comité des risques.</t>
  </si>
  <si>
    <t xml:space="preserve">Criticité (J) ; Date-heure de détection (O) ; Date-heure escalade N2 (Contrôle) (T) ; Date-heure escalade N3 (Direction) (U) ; Date-heure d'enregistrement (P)</t>
  </si>
  <si>
    <t xml:space="preserve">Les incidents non escaladés alors qu'ils devaient l'être sont captés par X04, pas par X05.</t>
  </si>
  <si>
    <t xml:space="preserve">Somme (atteinte du niveau requis par la matrice - détection) en heures ouvrées / incidents escaladés au niveau requis (N2 ou N3).</t>
  </si>
  <si>
    <t xml:space="preserve">MOYENNE.SI.ENS(R_hEsc;R_Cpt;1;R_Enr;...)</t>
  </si>
  <si>
    <t xml:space="preserve">Mesurer la vitesse de remontée de l'information vers le niveau de décision ; complète X05 en donnant l'ampleur des retards.</t>
  </si>
  <si>
    <t xml:space="preserve">Hypothèse cohérente avec les délais maximaux de la matrice (2 h pour la criticité 1, 4 h pour la criticité 2).</t>
  </si>
  <si>
    <t xml:space="preserve">Porte sur les seuls incidents dont la matrice exige une escalade (criticités 1 et 2 par défaut).</t>
  </si>
  <si>
    <t xml:space="preserve">Somme (résolution - première escalade N2 ou N3) en jours ouvrés / incidents escaladés résolus sur la période.</t>
  </si>
  <si>
    <t xml:space="preserve">MOYENNE.SI.ENS(R_jEsc;R_Res;"&gt;="&amp;Début;R_Res;"&lt;"&amp;Fin+1)</t>
  </si>
  <si>
    <t xml:space="preserve">Mesurer le délai de décision et de traitement une fois l'incident remonté aux fonctions de contrôle ou à la Direction.</t>
  </si>
  <si>
    <t xml:space="preserve">Hypothèse ; pas de standard de marché.</t>
  </si>
  <si>
    <t xml:space="preserve">Date-heure escalade N2 (Contrôle) (T) ; Date-heure escalade N3 (Direction) (U) ; Date-heure de résolution (R)</t>
  </si>
  <si>
    <t xml:space="preserve">Inclut le temps d'exécution après décision ; dans une SGP, les criticités 1-2 sont escaladées dès la détection, ce délai est donc proche du MTTR de ces incidents.</t>
  </si>
  <si>
    <t xml:space="preserve">Incidents réaffectés au moins 2 fois / incidents dont le nombre de réaffectations est renseigné.</t>
  </si>
  <si>
    <t xml:space="preserve">NB.SI.ENS(R_Cpt;1;R_Reaf;"&gt;=2";R_Enr;...) / NB.SI.ENS(R_Cpt;1;R_Reaf;"&gt;=0";R_Enr;...)</t>
  </si>
  <si>
    <t xml:space="preserve">Escalade fonctionnelle mal orientée (« ping-pong » entre SGP, administrateur, dépositaire, agent de transfert) : signe d'un RACI incomplet dans les conventions de délégation.</t>
  </si>
  <si>
    <t xml:space="preserve">Standard ITSM (hop rate, reassignment rate).</t>
  </si>
  <si>
    <t xml:space="preserve">Nombre de réaffectations (V) ; Date-heure d'enregistrement (P)</t>
  </si>
  <si>
    <t xml:space="preserve">Exige la saisie systématique du nombre de réaffectations (0 compris).</t>
  </si>
  <si>
    <t xml:space="preserve">Notifications externes (AMF, dépositaire, investisseurs, CAC) envoyées au plus tard à la date limite / notifications requises échues.</t>
  </si>
  <si>
    <t xml:space="preserve">NB.SI.ENS(R_NotOK;1;R_Enr;...) / NB.SI.ENS(R_NotOK;"&gt;=0";R_Enr;...)</t>
  </si>
  <si>
    <t xml:space="preserve">Conformité réglementaire et contractuelle (règlement ou prospectus du fonds, convention dépositaire).</t>
  </si>
  <si>
    <t xml:space="preserve">Obligation : 100 %.</t>
  </si>
  <si>
    <t xml:space="preserve">Notification externe requise (Z) ; Date-heure limite de notification externe (AA) ; Date-heure de notification externe (AB) ; Date-heure d'enregistrement (P)</t>
  </si>
  <si>
    <t xml:space="preserve">Une notification non envoyée après la limite compte en échec à la date de calcul (fonction MAINTENANT).</t>
  </si>
  <si>
    <t xml:space="preserve">Incidents TIC majeurs dont la notification initiale (4 h après classification, 24 h au plus après détection), le rapport intermédiaire (72 h) et le rapport final (1 mois) respectent les délais / incidents TIC majeurs évaluables.</t>
  </si>
  <si>
    <t xml:space="preserve">NB.SI.ENS(R_DoraOK;1;R_Enr;...) / NB.SI.ENS(R_DoraOK;"&gt;=0";R_Enr;...)</t>
  </si>
  <si>
    <t xml:space="preserve">Conformité aux obligations de notification des incidents majeurs liés aux TIC à l'AMF.</t>
  </si>
  <si>
    <t xml:space="preserve">Réglementaire : Règlement (UE) 2022/2554, art. 19 ; Règlement délégué (UE) 2025/301 (délais). 100 %.</t>
  </si>
  <si>
    <t xml:space="preserve">Incident TIC majeur (DORA) (K) ; Date-heure de détection (O) ; Date-heure de classification majeur (DORA) (AC) ; Date-heure de notification initiale (DORA) (AD) ; Date-heure du rapport intermédiaire (DORA) (AE) ; Date du rapport final (DORA) (AF) ; Date-heure d'enregistrement (P)</t>
  </si>
  <si>
    <t xml:space="preserve">Délais en heures calendaires ; assouplissements éventuels week-end et jours fériés non modélisés (à vérifier).</t>
  </si>
  <si>
    <t xml:space="preserve">Références réglementaires : Règlement délégué (UE) n° 231/2013 (niveau 2 AIFMD), art. 13 - risque opérationnel et base historique des pertes, art. 12 à 15 - fonds propres supplémentaires et assurance RC professionnelle ; Règlement (UE) 2022/2554 (DORA), art. 17 à 19 ; Règlement délégué (UE) 2024/1772 (classification) ; Règlement délégué (UE) 2025/301 (délais de notification). Les standards ITSM cités (FCR, taux de réouverture, respect des SLA) sont des ordres de grandeur de service desk informatique (pratique de marché, non réglementaire), transposés au contexte d'une SGP de fonds non cotés.</t>
  </si>
  <si>
    <t xml:space="preserve">Champs du registre</t>
  </si>
  <si>
    <t xml:space="preserve">Modèle de données du registre : définition, règle de saisie et exemple de format pour chaque colonne, puis champs calculés.</t>
  </si>
  <si>
    <t xml:space="preserve">Col.</t>
  </si>
  <si>
    <t xml:space="preserve">Bloc</t>
  </si>
  <si>
    <t xml:space="preserve">Champ</t>
  </si>
  <si>
    <t xml:space="preserve">Saisie</t>
  </si>
  <si>
    <t xml:space="preserve">Format</t>
  </si>
  <si>
    <t xml:space="preserve">Définition et règle de saisie</t>
  </si>
  <si>
    <t xml:space="preserve">Exemple</t>
  </si>
  <si>
    <t xml:space="preserve">Indicateurs alimentés</t>
  </si>
  <si>
    <t xml:space="preserve">Champs saisis</t>
  </si>
  <si>
    <t xml:space="preserve">B</t>
  </si>
  <si>
    <t xml:space="preserve">Identification</t>
  </si>
  <si>
    <t xml:space="preserve">Texte</t>
  </si>
  <si>
    <t xml:space="preserve">Identifiant unique, une ligne par événement ; format conseillé INC-AAAA-NNN.</t>
  </si>
  <si>
    <t xml:space="preserve">C</t>
  </si>
  <si>
    <t xml:space="preserve">Liste</t>
  </si>
  <si>
    <t xml:space="preserve">Incident (événement avéré) ou Quasi-incident (événement évité avant tout impact).</t>
  </si>
  <si>
    <t xml:space="preserve">V01, V02, V03, V04, V05, V06, V07, V08</t>
  </si>
  <si>
    <t xml:space="preserve">D</t>
  </si>
  <si>
    <t xml:space="preserve">Fonds ou véhicule concerné ; ligne transverse si l'incident concerne la SGP.</t>
  </si>
  <si>
    <t xml:space="preserve">Dashboard : répartition par fonds</t>
  </si>
  <si>
    <t xml:space="preserve">E</t>
  </si>
  <si>
    <t xml:space="preserve">Processus à l'origine de l'incident.</t>
  </si>
  <si>
    <t xml:space="preserve">V06 ; Dashboard : répartition par domaine</t>
  </si>
  <si>
    <t xml:space="preserve">F</t>
  </si>
  <si>
    <t xml:space="preserve">Recommandé</t>
  </si>
  <si>
    <t xml:space="preserve">Classification des événements de risque opérationnel (Comité de Bâle, 2006) ; alimente la base historique des pertes.</t>
  </si>
  <si>
    <t xml:space="preserve">Dashboard : répartition Bâle II</t>
  </si>
  <si>
    <t xml:space="preserve">G</t>
  </si>
  <si>
    <t xml:space="preserve">Qui a détecté l'incident ; l'indicateur Interne de l'onglet Données fixe la convention du taux de détection interne.</t>
  </si>
  <si>
    <t xml:space="preserve">H</t>
  </si>
  <si>
    <t xml:space="preserve">Délégataire ou tiers impliqué, le cas échéant.</t>
  </si>
  <si>
    <t xml:space="preserve">-</t>
  </si>
  <si>
    <t xml:space="preserve">I</t>
  </si>
  <si>
    <t xml:space="preserve">Une phrase factuelle.</t>
  </si>
  <si>
    <t xml:space="preserve">J</t>
  </si>
  <si>
    <t xml:space="preserve">Qualification</t>
  </si>
  <si>
    <t xml:space="preserve">Selon la matrice de l'onglet Données ; détermine les SLA et le niveau d'escalade requis.</t>
  </si>
  <si>
    <t xml:space="preserve">V03, V04, D04, D07, E01, E04, E07, X04, X05, X06 ; Dashboard : répartition par criticité</t>
  </si>
  <si>
    <t xml:space="preserve">K</t>
  </si>
  <si>
    <t xml:space="preserve">Liste Oui / Non</t>
  </si>
  <si>
    <t xml:space="preserve">Oui si l'incident est classé majeur selon le Règlement délégué (UE) 2024/1772.</t>
  </si>
  <si>
    <t xml:space="preserve">V08, X04, X10</t>
  </si>
  <si>
    <t xml:space="preserve">L</t>
  </si>
  <si>
    <t xml:space="preserve">Ouvert, En cours, En escalade, Résolu, Clos, Annulé ; une ligne Annulé est exclue des indicateurs.</t>
  </si>
  <si>
    <t xml:space="preserve">M</t>
  </si>
  <si>
    <t xml:space="preserve">Personne ou équipe en charge de la résolution.</t>
  </si>
  <si>
    <t xml:space="preserve">N</t>
  </si>
  <si>
    <t xml:space="preserve">jj/mm/aaaa hh:mm</t>
  </si>
  <si>
    <t xml:space="preserve">Date de l'événement générateur (estimée si nécessaire).</t>
  </si>
  <si>
    <t xml:space="preserve">30/06/2026 18:00</t>
  </si>
  <si>
    <t xml:space="preserve">O</t>
  </si>
  <si>
    <t xml:space="preserve">Prise de connaissance par la SGP ou son délégataire ; point de départ des délais d'escalade et DORA.</t>
  </si>
  <si>
    <t xml:space="preserve">15/07/2026 10:30</t>
  </si>
  <si>
    <t xml:space="preserve">D01, D02, X05, X06, X10</t>
  </si>
  <si>
    <t xml:space="preserve">P</t>
  </si>
  <si>
    <t xml:space="preserve">Inscription au registre ; rattache l'incident à une période.</t>
  </si>
  <si>
    <t xml:space="preserve">15/07/2026 11:00</t>
  </si>
  <si>
    <t xml:space="preserve">V01, V02, V03, V04, V05, V06, V07, V08, D01, D02, D03, D04, D05, D06, D07, D08, E02, E03, E04, E06, X01, X02, X03, X04, X05, X06, X08, X09, X10</t>
  </si>
  <si>
    <t xml:space="preserve">Q</t>
  </si>
  <si>
    <t xml:space="preserve">Affectation d'un responsable et lancement des mesures conservatoires.</t>
  </si>
  <si>
    <t xml:space="preserve">15/07/2026 11:45</t>
  </si>
  <si>
    <t xml:space="preserve">D03, D04</t>
  </si>
  <si>
    <t xml:space="preserve">R</t>
  </si>
  <si>
    <t xml:space="preserve">Si résolu</t>
  </si>
  <si>
    <t xml:space="preserve">Impact contenu : VL corrigée, opération régularisée, service rétabli.</t>
  </si>
  <si>
    <t xml:space="preserve">17/07/2026 16:00</t>
  </si>
  <si>
    <t xml:space="preserve">D05, D06, D07, E01, E02, E03, E04, E05, X07</t>
  </si>
  <si>
    <t xml:space="preserve">S</t>
  </si>
  <si>
    <t xml:space="preserve">Si clos</t>
  </si>
  <si>
    <t xml:space="preserve">Clôture validée par le Risk Management après analyse de cause.</t>
  </si>
  <si>
    <t xml:space="preserve">31/07/2026 12:00</t>
  </si>
  <si>
    <t xml:space="preserve">D08, E07</t>
  </si>
  <si>
    <t xml:space="preserve">T</t>
  </si>
  <si>
    <t xml:space="preserve">Si escaladé</t>
  </si>
  <si>
    <t xml:space="preserve">Saisine formelle du Risk Management ou du RCCI pour décision.</t>
  </si>
  <si>
    <t xml:space="preserve">15/07/2026 12:00</t>
  </si>
  <si>
    <t xml:space="preserve">E01, X01, X04, X05, X06, X07</t>
  </si>
  <si>
    <t xml:space="preserve">U</t>
  </si>
  <si>
    <t xml:space="preserve">Information des dirigeants effectifs ou saisine du Comité des risques.</t>
  </si>
  <si>
    <t xml:space="preserve">Vide si non escaladé</t>
  </si>
  <si>
    <t xml:space="preserve">E01, X01, X02, X04, X05, X06, X07</t>
  </si>
  <si>
    <t xml:space="preserve">V</t>
  </si>
  <si>
    <t xml:space="preserve">Nombre entier</t>
  </si>
  <si>
    <t xml:space="preserve">Nombre de changements d'équipe responsable (escalade fonctionnelle).</t>
  </si>
  <si>
    <t xml:space="preserve">1</t>
  </si>
  <si>
    <t xml:space="preserve">W</t>
  </si>
  <si>
    <t xml:space="preserve">Qualité</t>
  </si>
  <si>
    <t xml:space="preserve">Oui si l'incident a été rouvert après une première résolution.</t>
  </si>
  <si>
    <t xml:space="preserve">X</t>
  </si>
  <si>
    <t xml:space="preserve">Si récurrent</t>
  </si>
  <si>
    <t xml:space="preserve">ID d'un incident antérieur de même cause racine.</t>
  </si>
  <si>
    <t xml:space="preserve">Y</t>
  </si>
  <si>
    <t xml:space="preserve">Oui pour criticités 1-2</t>
  </si>
  <si>
    <t xml:space="preserve">Analyse documentée : cause, périmètre, correction.</t>
  </si>
  <si>
    <t xml:space="preserve">Z</t>
  </si>
  <si>
    <t xml:space="preserve">Notifications</t>
  </si>
  <si>
    <t xml:space="preserve">AMF, dépositaire, investisseurs ou CAC selon la réglementation, le règlement du fonds ou les conventions (hors DORA).</t>
  </si>
  <si>
    <t xml:space="preserve">X04, X09</t>
  </si>
  <si>
    <t xml:space="preserve">AA</t>
  </si>
  <si>
    <t xml:space="preserve">Si requise</t>
  </si>
  <si>
    <t xml:space="preserve">Échéance issue de la procédure ou de la convention applicable.</t>
  </si>
  <si>
    <t xml:space="preserve">17/07/2026 18:00</t>
  </si>
  <si>
    <t xml:space="preserve">AB</t>
  </si>
  <si>
    <t xml:space="preserve">Envoi effectif ; vaut escalade N4.</t>
  </si>
  <si>
    <t xml:space="preserve">16/07/2026 15:00</t>
  </si>
  <si>
    <t xml:space="preserve">E01, X01, X02, X03, X04, X09</t>
  </si>
  <si>
    <t xml:space="preserve">AC</t>
  </si>
  <si>
    <t xml:space="preserve">Si DORA</t>
  </si>
  <si>
    <t xml:space="preserve">Décision de classement en incident majeur lié aux TIC.</t>
  </si>
  <si>
    <t xml:space="preserve">02/09/2026 14:00</t>
  </si>
  <si>
    <t xml:space="preserve">AD</t>
  </si>
  <si>
    <t xml:space="preserve">Envoi à l'AMF ; vaut escalade N4.</t>
  </si>
  <si>
    <t xml:space="preserve">02/09/2026 16:30</t>
  </si>
  <si>
    <t xml:space="preserve">E01, X01, X02, X03, X04, X10</t>
  </si>
  <si>
    <t xml:space="preserve">AE</t>
  </si>
  <si>
    <t xml:space="preserve">Dernier rapport intermédiaire transmis.</t>
  </si>
  <si>
    <t xml:space="preserve">05/09/2026 11:00</t>
  </si>
  <si>
    <t xml:space="preserve">AF</t>
  </si>
  <si>
    <t xml:space="preserve">jj/mm/aaaa</t>
  </si>
  <si>
    <t xml:space="preserve">Rapport final transmis.</t>
  </si>
  <si>
    <t xml:space="preserve">29/09/2026</t>
  </si>
  <si>
    <t xml:space="preserve">AG</t>
  </si>
  <si>
    <t xml:space="preserve">Impact</t>
  </si>
  <si>
    <t xml:space="preserve">Si impact</t>
  </si>
  <si>
    <t xml:space="preserve">Nombre</t>
  </si>
  <si>
    <t xml:space="preserve">Coût total : correction, indemnisation des investisseurs, frais.</t>
  </si>
  <si>
    <t xml:space="preserve">12 500</t>
  </si>
  <si>
    <t xml:space="preserve">AH</t>
  </si>
  <si>
    <t xml:space="preserve">Montants recouvrés : délégataire, assurance, contrepartie.</t>
  </si>
  <si>
    <t xml:space="preserve">AI</t>
  </si>
  <si>
    <t xml:space="preserve">Actions</t>
  </si>
  <si>
    <t xml:space="preserve">Oui si un plan d'action est ouvert.</t>
  </si>
  <si>
    <t xml:space="preserve">AJ</t>
  </si>
  <si>
    <t xml:space="preserve">Si action</t>
  </si>
  <si>
    <t xml:space="preserve">Date cible validée par le Risk Management.</t>
  </si>
  <si>
    <t xml:space="preserve">30/09/2026</t>
  </si>
  <si>
    <t xml:space="preserve">AK</t>
  </si>
  <si>
    <t xml:space="preserve">Si réalisée</t>
  </si>
  <si>
    <t xml:space="preserve">Date de réalisation constatée.</t>
  </si>
  <si>
    <t xml:space="preserve">25/09/2026</t>
  </si>
  <si>
    <t xml:space="preserve">AL</t>
  </si>
  <si>
    <t xml:space="preserve">Information complémentaire.</t>
  </si>
  <si>
    <t xml:space="preserve">Champs calculés (colonnes groupées AN à BX)</t>
  </si>
  <si>
    <t xml:space="preserve">AN</t>
  </si>
  <si>
    <t xml:space="preserve">Calcul</t>
  </si>
  <si>
    <t xml:space="preserve">Calculé</t>
  </si>
  <si>
    <t xml:space="preserve">@</t>
  </si>
  <si>
    <t xml:space="preserve">OK ou première anomalie détectée (champ obligatoire, chronologie, statut).</t>
  </si>
  <si>
    <t xml:space="preserve">Dashboard (contrôle de saisie)</t>
  </si>
  <si>
    <t xml:space="preserve">AO</t>
  </si>
  <si>
    <t xml:space="preserve">0 / 1</t>
  </si>
  <si>
    <t xml:space="preserve">1 si Type = Incident et Statut différent de Annulé.</t>
  </si>
  <si>
    <t xml:space="preserve">V01, V03, V04, V07, V08, D01, D02, D03, E02, E03, E04, E05, E07, X06, X08</t>
  </si>
  <si>
    <t xml:space="preserve">AP</t>
  </si>
  <si>
    <t xml:space="preserve">1 si Type = Quasi-incident et Statut différent de Annulé.</t>
  </si>
  <si>
    <t xml:space="preserve">AQ</t>
  </si>
  <si>
    <t xml:space="preserve">Incident ou quasi-incident non annulé.</t>
  </si>
  <si>
    <t xml:space="preserve">Calcul intermédiaire</t>
  </si>
  <si>
    <t xml:space="preserve">AR</t>
  </si>
  <si>
    <t xml:space="preserve">0</t>
  </si>
  <si>
    <t xml:space="preserve">1 à 4.</t>
  </si>
  <si>
    <t xml:space="preserve">V03, V04, E01, E07</t>
  </si>
  <si>
    <t xml:space="preserve">AS</t>
  </si>
  <si>
    <t xml:space="preserve">1 si la source de détection est marquée Interne dans Données.</t>
  </si>
  <si>
    <t xml:space="preserve">AT</t>
  </si>
  <si>
    <t xml:space="preserve">0.0</t>
  </si>
  <si>
    <t xml:space="preserve">Survenance à détection, en jours ouvrés.</t>
  </si>
  <si>
    <t xml:space="preserve">AU</t>
  </si>
  <si>
    <t xml:space="preserve">Détection à enregistrement, en heures ouvrées.</t>
  </si>
  <si>
    <t xml:space="preserve">AV</t>
  </si>
  <si>
    <t xml:space="preserve">Enregistrement à prise en compte, en heures ouvrées.</t>
  </si>
  <si>
    <t xml:space="preserve">AW</t>
  </si>
  <si>
    <t xml:space="preserve">Enregistrement à résolution, en jours ouvrés.</t>
  </si>
  <si>
    <t xml:space="preserve">D05, D06</t>
  </si>
  <si>
    <t xml:space="preserve">AX</t>
  </si>
  <si>
    <t xml:space="preserve">Enregistrement à clôture, en jours ouvrés.</t>
  </si>
  <si>
    <t xml:space="preserve">AY</t>
  </si>
  <si>
    <t xml:space="preserve">Lue dans la matrice SLA selon la criticité.</t>
  </si>
  <si>
    <t xml:space="preserve">AZ</t>
  </si>
  <si>
    <t xml:space="preserve">1 si délai de prise en compte inférieur ou égal à la cible.</t>
  </si>
  <si>
    <t xml:space="preserve">BA</t>
  </si>
  <si>
    <t xml:space="preserve">BB</t>
  </si>
  <si>
    <t xml:space="preserve">1 si délai de résolution inférieur ou égal à la cible.</t>
  </si>
  <si>
    <t xml:space="preserve">BC</t>
  </si>
  <si>
    <t xml:space="preserve">dd/mm/yyyy hh:mm</t>
  </si>
  <si>
    <t xml:space="preserve">Enregistrement + cible en jours ouvrés (approximation à la journée).</t>
  </si>
  <si>
    <t xml:space="preserve">BD</t>
  </si>
  <si>
    <t xml:space="preserve">N1 à N4</t>
  </si>
  <si>
    <t xml:space="preserve">4 si notification externe ou DORA, 3 si escalade N3, 2 si escalade N2, sinon 1.</t>
  </si>
  <si>
    <t xml:space="preserve">X01, X02, X03</t>
  </si>
  <si>
    <t xml:space="preserve">BE</t>
  </si>
  <si>
    <t xml:space="preserve">Lu dans la matrice selon la criticité.</t>
  </si>
  <si>
    <t xml:space="preserve">BF</t>
  </si>
  <si>
    <t xml:space="preserve">Matrice, porté à N4 si notification externe requise ou incident DORA.</t>
  </si>
  <si>
    <t xml:space="preserve">BG</t>
  </si>
  <si>
    <t xml:space="preserve">1 si niveau maximal atteint supérieur ou égal au niveau requis.</t>
  </si>
  <si>
    <t xml:space="preserve">BH</t>
  </si>
  <si>
    <t xml:space="preserve">Première escalade au niveau requis par la matrice (N2 ou N3).</t>
  </si>
  <si>
    <t xml:space="preserve">BI</t>
  </si>
  <si>
    <t xml:space="preserve">Détection à atteinte du niveau requis, en heures ouvrées.</t>
  </si>
  <si>
    <t xml:space="preserve">BJ</t>
  </si>
  <si>
    <t xml:space="preserve">1 si délai d'escalade inférieur ou égal au délai maximal de la matrice.</t>
  </si>
  <si>
    <t xml:space="preserve">BK</t>
  </si>
  <si>
    <t xml:space="preserve">Première date entre escalade N2 et N3.</t>
  </si>
  <si>
    <t xml:space="preserve">BL</t>
  </si>
  <si>
    <t xml:space="preserve">Première escalade à résolution, en jours ouvrés.</t>
  </si>
  <si>
    <t xml:space="preserve">BM</t>
  </si>
  <si>
    <t xml:space="preserve">1 si résolu sans escalade (niveau maximal N1).</t>
  </si>
  <si>
    <t xml:space="preserve">BN</t>
  </si>
  <si>
    <t xml:space="preserve">1 si Réouvert = Oui.</t>
  </si>
  <si>
    <t xml:space="preserve">BO</t>
  </si>
  <si>
    <t xml:space="preserve">1 si un incident antérieur lié est renseigné.</t>
  </si>
  <si>
    <t xml:space="preserve">BP</t>
  </si>
  <si>
    <t xml:space="preserve">1 si analyse de cause racine réalisée.</t>
  </si>
  <si>
    <t xml:space="preserve">BQ</t>
  </si>
  <si>
    <t xml:space="preserve">1 si envoyée avant la limite, 0 si en retard ou non envoyée après la limite.</t>
  </si>
  <si>
    <t xml:space="preserve">BR</t>
  </si>
  <si>
    <t xml:space="preserve">4 h après classification et au plus 24 h après détection ; 4 h après classification si celle-ci intervient après 24 h.</t>
  </si>
  <si>
    <t xml:space="preserve">BS</t>
  </si>
  <si>
    <t xml:space="preserve">1 si dans les délais, 0 sinon (y compris non envoyée après échéance).</t>
  </si>
  <si>
    <t xml:space="preserve">BT</t>
  </si>
  <si>
    <t xml:space="preserve">1 si au plus 72 h après la notification initiale.</t>
  </si>
  <si>
    <t xml:space="preserve">BU</t>
  </si>
  <si>
    <t xml:space="preserve">1 si au plus 1 mois après le rapport intermédiaire.</t>
  </si>
  <si>
    <t xml:space="preserve">BV</t>
  </si>
  <si>
    <t xml:space="preserve">Minimum des trois contrôles évaluables.</t>
  </si>
  <si>
    <t xml:space="preserve">BW</t>
  </si>
  <si>
    <t xml:space="preserve">#,##0</t>
  </si>
  <si>
    <t xml:space="preserve">Perte brute - récupérations.</t>
  </si>
  <si>
    <t xml:space="preserve">BX</t>
  </si>
  <si>
    <t xml:space="preserve">1 si réalisée au plus tard à l'échéance, 0 si en retard ou non réalisée après l'échéance.</t>
  </si>
  <si>
    <t xml:space="preserve">Données et paramètres</t>
  </si>
  <si>
    <t xml:space="preserve">Cellules crème : paramètres modifiables. Tous les calculs du classeur lisent ces cellules par plages nommées. Les cibles par défaut sont des standards de marché ou des hypothèses à valider en Comité des risques.</t>
  </si>
  <si>
    <t xml:space="preserve">1. Période d'analyse et calendrier ouvré</t>
  </si>
  <si>
    <t xml:space="preserve">Code</t>
  </si>
  <si>
    <t xml:space="preserve">Paramètre</t>
  </si>
  <si>
    <t xml:space="preserve">Valeur</t>
  </si>
  <si>
    <t xml:space="preserve">Source / statut</t>
  </si>
  <si>
    <t xml:space="preserve">P01</t>
  </si>
  <si>
    <t xml:space="preserve">Début de période</t>
  </si>
  <si>
    <t xml:space="preserve">date</t>
  </si>
  <si>
    <t xml:space="preserve">Saisie - premier jour de la période analysée</t>
  </si>
  <si>
    <t xml:space="preserve">P02</t>
  </si>
  <si>
    <t xml:space="preserve">Durée de la période</t>
  </si>
  <si>
    <t xml:space="preserve">mois</t>
  </si>
  <si>
    <t xml:space="preserve">Saisie - 1 = mois, 3 = trimestre, 12 = année</t>
  </si>
  <si>
    <t xml:space="preserve">P03</t>
  </si>
  <si>
    <t xml:space="preserve">Fin de période</t>
  </si>
  <si>
    <t xml:space="preserve">P04</t>
  </si>
  <si>
    <t xml:space="preserve">Base minimale pour juger un ratio</t>
  </si>
  <si>
    <t xml:space="preserve">incidents</t>
  </si>
  <si>
    <t xml:space="preserve">Hypothèse à confirmer - en dessous, le statut affiché est « Base insuffisante »</t>
  </si>
  <si>
    <t xml:space="preserve">P05</t>
  </si>
  <si>
    <t xml:space="preserve">Heure d'ouverture</t>
  </si>
  <si>
    <t xml:space="preserve">heure</t>
  </si>
  <si>
    <t xml:space="preserve">Hypothèse - horaires de référence de la SGP</t>
  </si>
  <si>
    <t xml:space="preserve">P06</t>
  </si>
  <si>
    <t xml:space="preserve">Heure de fermeture</t>
  </si>
  <si>
    <t xml:space="preserve">P07</t>
  </si>
  <si>
    <t xml:space="preserve">Heures ouvrées par jour</t>
  </si>
  <si>
    <t xml:space="preserve">h</t>
  </si>
  <si>
    <t xml:space="preserve">Calcul - 1 j.o. = ce nombre d'heures ouvrées</t>
  </si>
  <si>
    <t xml:space="preserve">2. Matrice de criticité, SLA et escalade</t>
  </si>
  <si>
    <t xml:space="preserve">Prise en compte (h ouvrées)</t>
  </si>
  <si>
    <t xml:space="preserve">Résolution (j.o.)</t>
  </si>
  <si>
    <t xml:space="preserve">Niveau d'escalade requis</t>
  </si>
  <si>
    <t xml:space="preserve">Délai max d'escalade (h ouvrées)</t>
  </si>
  <si>
    <t xml:space="preserve">Critères indicatifs</t>
  </si>
  <si>
    <t xml:space="preserve">C1</t>
  </si>
  <si>
    <t xml:space="preserve">Impact avéré sur les investisseurs ou la VL au-delà du seuil de significativité, manquement réglementaire, incident TIC majeur DORA, atteinte à la réputation ou perte au-delà du seuil d'appétence.</t>
  </si>
  <si>
    <t xml:space="preserve">C2</t>
  </si>
  <si>
    <t xml:space="preserve">Impact potentiel sur un fonds ou des investisseurs, dépassement de limite d'investissement, retard d'un reporting réglementaire ou d'un appel de fonds, perte significative mais sous le seuil d'appétence.</t>
  </si>
  <si>
    <t xml:space="preserve">C3</t>
  </si>
  <si>
    <t xml:space="preserve">Erreur corrigée avant tout impact externe, retard opérationnel sans conséquence pour les investisseurs.</t>
  </si>
  <si>
    <t xml:space="preserve">C4</t>
  </si>
  <si>
    <t xml:space="preserve">Anomalie de forme ou de documentation, sans impact financier, investisseur ni réglementaire.</t>
  </si>
  <si>
    <t xml:space="preserve">Source : hypothèses de calibrage pour une SGP de fonds non cotés, à valider en Comité des risques. Références ITSM usuelles (service desk informatique) : prise en compte de 15 min à 8 h et résolution de 4 h à 5 jours selon la priorité, non transposables telles quelles aux incidents de valorisation, de passif ou d'appels de fonds. Les seuils financiers de criticité (perte, impact VL) sont à fixer par la Direction.</t>
  </si>
  <si>
    <t xml:space="preserve">3. Niveaux d'escalade</t>
  </si>
  <si>
    <t xml:space="preserve">Définition</t>
  </si>
  <si>
    <t xml:space="preserve">N1</t>
  </si>
  <si>
    <t xml:space="preserve">Opérationnel</t>
  </si>
  <si>
    <t xml:space="preserve">Équipe en charge : gestion, middle et back-office, administrateur, agent de transfert, prestataire. Traitement courant.</t>
  </si>
  <si>
    <t xml:space="preserve">N2</t>
  </si>
  <si>
    <t xml:space="preserve">Contrôle</t>
  </si>
  <si>
    <t xml:space="preserve">Risk Management et/ou RCCI saisis formellement pour qualification, arbitrage et suivi du plan d'action. La seule inscription au registre n'est pas une escalade.</t>
  </si>
  <si>
    <t xml:space="preserve">N3</t>
  </si>
  <si>
    <t xml:space="preserve">Direction</t>
  </si>
  <si>
    <t xml:space="preserve">Dirigeants effectifs ou Comité des risques : décision (indemnisation, suspension, communication).</t>
  </si>
  <si>
    <t xml:space="preserve">N4</t>
  </si>
  <si>
    <t xml:space="preserve">Externe</t>
  </si>
  <si>
    <t xml:space="preserve">Notification à l'AMF (dont DORA), au dépositaire, aux investisseurs ou au commissaire aux comptes.</t>
  </si>
  <si>
    <t xml:space="preserve">4. Paramètres DORA (incident majeur lié aux TIC)</t>
  </si>
  <si>
    <t xml:space="preserve">DORA1</t>
  </si>
  <si>
    <t xml:space="preserve">Notification initiale - délai après classification</t>
  </si>
  <si>
    <t xml:space="preserve">Règlement (UE) 2022/2554 (DORA), art. 19 ; Règlement délégué (UE) 2025/301 (contenu et délais des notifications) ; classification : Règlement délégué (UE) 2024/1772. Heures calendaires.</t>
  </si>
  <si>
    <t xml:space="preserve">DORA2</t>
  </si>
  <si>
    <t xml:space="preserve">Notification initiale - délai maximal après détection</t>
  </si>
  <si>
    <t xml:space="preserve">Idem</t>
  </si>
  <si>
    <t xml:space="preserve">DORA3</t>
  </si>
  <si>
    <t xml:space="preserve">Rapport intermédiaire - délai après notification initiale</t>
  </si>
  <si>
    <t xml:space="preserve">DORA4</t>
  </si>
  <si>
    <t xml:space="preserve">Rapport final - délai après le dernier rapport intermédiaire</t>
  </si>
  <si>
    <t xml:space="preserve">Si la classification intervient plus de 24 h après la détection, le délai de 4 h court depuis la classification. Les assouplissements éventuels pour les échéances tombant un week-end ou un jour férié ne sont pas modélisés : à vérifier dans le texte du règlement délégué avant usage.</t>
  </si>
  <si>
    <t xml:space="preserve">5. Cibles des indicateurs</t>
  </si>
  <si>
    <t xml:space="preserve">Base minimale</t>
  </si>
  <si>
    <t xml:space="preserve">Nombre d'incidents déclarés</t>
  </si>
  <si>
    <t xml:space="preserve">nb</t>
  </si>
  <si>
    <t xml:space="preserve">Suivi</t>
  </si>
  <si>
    <t xml:space="preserve">Pas de cible : tendance</t>
  </si>
  <si>
    <t xml:space="preserve">Ratio quasi-incidents / incidents</t>
  </si>
  <si>
    <t xml:space="preserve">x</t>
  </si>
  <si>
    <t xml:space="preserve">≥</t>
  </si>
  <si>
    <t xml:space="preserve">Hypothèse à confirmer</t>
  </si>
  <si>
    <t xml:space="preserve">Part des incidents critiques et majeurs</t>
  </si>
  <si>
    <t xml:space="preserve">≤</t>
  </si>
  <si>
    <t xml:space="preserve">Benchmark ITSM transposé - à calibrer</t>
  </si>
  <si>
    <t xml:space="preserve">Nombre d'incidents critiques</t>
  </si>
  <si>
    <t xml:space="preserve">Appétence au risque - hypothèse</t>
  </si>
  <si>
    <t xml:space="preserve">Taux de détection interne</t>
  </si>
  <si>
    <t xml:space="preserve">Bonne pratique - à confirmer</t>
  </si>
  <si>
    <t xml:space="preserve">Concentration : part du premier domaine</t>
  </si>
  <si>
    <t xml:space="preserve">Perte opérationnelle nette</t>
  </si>
  <si>
    <t xml:space="preserve">EUR</t>
  </si>
  <si>
    <t xml:space="preserve">À calibrer - seuil d'appétence</t>
  </si>
  <si>
    <t xml:space="preserve">Nombre d'incidents TIC majeurs (DORA)</t>
  </si>
  <si>
    <t xml:space="preserve">Délai moyen de détection (MTTD)</t>
  </si>
  <si>
    <t xml:space="preserve">j.o.</t>
  </si>
  <si>
    <t xml:space="preserve">Hypothèse SGP non cotée</t>
  </si>
  <si>
    <t xml:space="preserve">Délai moyen de déclaration</t>
  </si>
  <si>
    <t xml:space="preserve">Pratique de place - à aligner sur la procédure</t>
  </si>
  <si>
    <t xml:space="preserve">Temps moyen de prise en compte (MTTA)</t>
  </si>
  <si>
    <t xml:space="preserve">Benchmark ITSM - à confirmer</t>
  </si>
  <si>
    <t xml:space="preserve">Respect du SLA de prise en compte</t>
  </si>
  <si>
    <t xml:space="preserve">Standard ITSM</t>
  </si>
  <si>
    <t xml:space="preserve">Temps moyen de résolution (MTTR)</t>
  </si>
  <si>
    <t xml:space="preserve">Délai de résolution - 90e centile</t>
  </si>
  <si>
    <t xml:space="preserve">Respect du SLA de résolution</t>
  </si>
  <si>
    <t xml:space="preserve">Délai moyen de clôture</t>
  </si>
  <si>
    <t xml:space="preserve">Pratique de place - hypothèse</t>
  </si>
  <si>
    <t xml:space="preserve">Résolution au 1er niveau (criticités 3 et 4)</t>
  </si>
  <si>
    <t xml:space="preserve">Benchmark ITSM adapté</t>
  </si>
  <si>
    <t xml:space="preserve">Ratio de traitement (résolus / nouveaux)</t>
  </si>
  <si>
    <t xml:space="preserve">Backlog en fin de période</t>
  </si>
  <si>
    <t xml:space="preserve">Part du backlog hors SLA</t>
  </si>
  <si>
    <t xml:space="preserve">Taux de réouverture</t>
  </si>
  <si>
    <t xml:space="preserve">Taux de récurrence</t>
  </si>
  <si>
    <t xml:space="preserve">Bonne pratique ITIL - hypothèse</t>
  </si>
  <si>
    <t xml:space="preserve">Couverture des analyses de cause racine (criticités 1 et 2)</t>
  </si>
  <si>
    <t xml:space="preserve">Bonne pratique - exigence interne</t>
  </si>
  <si>
    <t xml:space="preserve">Actions correctives réalisées à échéance</t>
  </si>
  <si>
    <t xml:space="preserve">Taux d'escalade global (N2 et plus)</t>
  </si>
  <si>
    <t xml:space="preserve">Benchmark ITSM - hypothèse</t>
  </si>
  <si>
    <t xml:space="preserve">Taux d'escalade à la Direction (N3 et plus)</t>
  </si>
  <si>
    <t xml:space="preserve">Hypothèse - cohérence avec V03</t>
  </si>
  <si>
    <t xml:space="preserve">Taux d'escalade externe (N4)</t>
  </si>
  <si>
    <t xml:space="preserve">Pas de cible : obligation</t>
  </si>
  <si>
    <t xml:space="preserve">Conformité à la matrice d'escalade</t>
  </si>
  <si>
    <t xml:space="preserve">Exigence interne de gouvernance</t>
  </si>
  <si>
    <t xml:space="preserve">Escalades réalisées dans les délais</t>
  </si>
  <si>
    <t xml:space="preserve">Exigence interne - hypothèse</t>
  </si>
  <si>
    <t xml:space="preserve">Délai moyen d'escalade au niveau requis</t>
  </si>
  <si>
    <t xml:space="preserve">Temps moyen passé en escalade</t>
  </si>
  <si>
    <t xml:space="preserve">Hypothèse</t>
  </si>
  <si>
    <t xml:space="preserve">Taux de réaffectation multiple</t>
  </si>
  <si>
    <t xml:space="preserve">Notifications externes dans les délais</t>
  </si>
  <si>
    <t xml:space="preserve">Obligation réglementaire ou contractuelle</t>
  </si>
  <si>
    <t xml:space="preserve">Conformité des notifications DORA</t>
  </si>
  <si>
    <t xml:space="preserve">Règlement (UE) 2022/2554 et RD (UE) 2025/301</t>
  </si>
  <si>
    <t xml:space="preserve">Sens : « ≥ » la valeur doit être supérieure ou égale à la cible, « ≤ » inférieure ou égale, « Suivi » sans cible. Entre la cible et le seuil d'alerte : Vigilance ; au-delà : Hors cible. Base minimale = Oui : le ratio n'est jugé que si son dénominateur atteint la base minimale (P04) ; Non pour les indicateurs absolus et de conformité.</t>
  </si>
  <si>
    <t xml:space="preserve">6. Listes de saisie du registre</t>
  </si>
  <si>
    <t xml:space="preserve">Ouvert</t>
  </si>
  <si>
    <t xml:space="preserve">En escalade</t>
  </si>
  <si>
    <t xml:space="preserve">Oui / Non</t>
  </si>
  <si>
    <t xml:space="preserve">Données fictives de démonstration</t>
  </si>
  <si>
    <t xml:space="preserve">Fraude interne</t>
  </si>
  <si>
    <t xml:space="preserve">Comité de Bâle, classification des événements de perte (2006)</t>
  </si>
  <si>
    <t xml:space="preserve">Pratiques en matière d'emploi et sécurité au travail</t>
  </si>
  <si>
    <t xml:space="preserve">Interne</t>
  </si>
  <si>
    <t xml:space="preserve">Interne = détection par le dispositif de la SGP ou de ses délégataires (convention à valider)</t>
  </si>
  <si>
    <t xml:space="preserve">Régulateur (AMF)</t>
  </si>
  <si>
    <t xml:space="preserve">7. Jours fériés (France)</t>
  </si>
  <si>
    <t xml:space="preserve">Jour férié</t>
  </si>
  <si>
    <t xml:space="preserve">Date</t>
  </si>
  <si>
    <t xml:space="preserve">JF01</t>
  </si>
  <si>
    <t xml:space="preserve">Jour de l'an</t>
  </si>
  <si>
    <t xml:space="preserve">Code du travail, art. L3133-1 ; Alsace-Moselle non intégrée ; à prolonger au-delà de 2028</t>
  </si>
  <si>
    <t xml:space="preserve">JF02</t>
  </si>
  <si>
    <t xml:space="preserve">Lundi de Pâques</t>
  </si>
  <si>
    <t xml:space="preserve">JF03</t>
  </si>
  <si>
    <t xml:space="preserve">Fête du travail</t>
  </si>
  <si>
    <t xml:space="preserve">JF04</t>
  </si>
  <si>
    <t xml:space="preserve">Victoire 1945</t>
  </si>
  <si>
    <t xml:space="preserve">JF05</t>
  </si>
  <si>
    <t xml:space="preserve">Ascension</t>
  </si>
  <si>
    <t xml:space="preserve">JF06</t>
  </si>
  <si>
    <t xml:space="preserve">Lundi de Pentecôte</t>
  </si>
  <si>
    <t xml:space="preserve">JF07</t>
  </si>
  <si>
    <t xml:space="preserve">Fête nationale</t>
  </si>
  <si>
    <t xml:space="preserve">JF08</t>
  </si>
  <si>
    <t xml:space="preserve">Assomption</t>
  </si>
  <si>
    <t xml:space="preserve">JF09</t>
  </si>
  <si>
    <t xml:space="preserve">Toussaint</t>
  </si>
  <si>
    <t xml:space="preserve">JF10</t>
  </si>
  <si>
    <t xml:space="preserve">Armistice 1918</t>
  </si>
  <si>
    <t xml:space="preserve">JF11</t>
  </si>
  <si>
    <t xml:space="preserve">Noël</t>
  </si>
  <si>
    <t xml:space="preserve">JF12</t>
  </si>
  <si>
    <t xml:space="preserve">JF13</t>
  </si>
  <si>
    <t xml:space="preserve">JF14</t>
  </si>
  <si>
    <t xml:space="preserve">JF15</t>
  </si>
  <si>
    <t xml:space="preserve">JF16</t>
  </si>
  <si>
    <t xml:space="preserve">JF17</t>
  </si>
  <si>
    <t xml:space="preserve">JF18</t>
  </si>
  <si>
    <t xml:space="preserve">JF19</t>
  </si>
  <si>
    <t xml:space="preserve">JF20</t>
  </si>
  <si>
    <t xml:space="preserve">JF21</t>
  </si>
  <si>
    <t xml:space="preserve">JF22</t>
  </si>
  <si>
    <t xml:space="preserve">JF23</t>
  </si>
  <si>
    <t xml:space="preserve">JF24</t>
  </si>
  <si>
    <t xml:space="preserve">JF25</t>
  </si>
  <si>
    <t xml:space="preserve">JF26</t>
  </si>
  <si>
    <t xml:space="preserve">JF27</t>
  </si>
  <si>
    <t xml:space="preserve">JF28</t>
  </si>
  <si>
    <t xml:space="preserve">JF29</t>
  </si>
  <si>
    <t xml:space="preserve">JF30</t>
  </si>
  <si>
    <t xml:space="preserve">JF31</t>
  </si>
  <si>
    <t xml:space="preserve">JF32</t>
  </si>
  <si>
    <t xml:space="preserve">JF33</t>
  </si>
  <si>
    <t xml:space="preserve">JF34</t>
  </si>
  <si>
    <t xml:space="preserve">JF35</t>
  </si>
  <si>
    <t xml:space="preserve">JF36</t>
  </si>
  <si>
    <t xml:space="preserve">JF37</t>
  </si>
  <si>
    <t xml:space="preserve">JF38</t>
  </si>
  <si>
    <t xml:space="preserve">JF39</t>
  </si>
  <si>
    <t xml:space="preserve">JF40</t>
  </si>
  <si>
    <t xml:space="preserve">JF41</t>
  </si>
  <si>
    <t xml:space="preserve">JF42</t>
  </si>
  <si>
    <t xml:space="preserve">JF43</t>
  </si>
  <si>
    <t xml:space="preserve">JF44</t>
  </si>
</sst>
</file>

<file path=xl/styles.xml><?xml version="1.0" encoding="utf-8"?>
<styleSheet xmlns="http://schemas.openxmlformats.org/spreadsheetml/2006/main">
  <numFmts count="12">
    <numFmt numFmtId="164" formatCode="General"/>
    <numFmt numFmtId="165" formatCode="dd/mm/yyyy"/>
    <numFmt numFmtId="166" formatCode="0"/>
    <numFmt numFmtId="167" formatCode="0.0%"/>
    <numFmt numFmtId="168" formatCode="0.0"/>
    <numFmt numFmtId="169" formatCode="0.0\x"/>
    <numFmt numFmtId="170" formatCode="#,##0"/>
    <numFmt numFmtId="171" formatCode="dd/mm/yyyy\ hh:mm"/>
    <numFmt numFmtId="172" formatCode="@"/>
    <numFmt numFmtId="173" formatCode="General"/>
    <numFmt numFmtId="174" formatCode="\N0"/>
    <numFmt numFmtId="175" formatCode="hh:mm"/>
  </numFmts>
  <fonts count="10">
    <font>
      <sz val="9"/>
      <name val="Calibri"/>
      <family val="2"/>
      <charset val="1"/>
    </font>
    <font>
      <sz val="10"/>
      <name val="Arial"/>
      <family val="0"/>
    </font>
    <font>
      <sz val="10"/>
      <name val="Arial"/>
      <family val="0"/>
    </font>
    <font>
      <sz val="10"/>
      <name val="Arial"/>
      <family val="0"/>
    </font>
    <font>
      <b val="true"/>
      <sz val="10"/>
      <color rgb="FF1A2027"/>
      <name val="Calibri"/>
      <family val="0"/>
      <charset val="1"/>
    </font>
    <font>
      <sz val="9"/>
      <color rgb="FF5A6B72"/>
      <name val="Calibri"/>
      <family val="0"/>
      <charset val="1"/>
    </font>
    <font>
      <b val="true"/>
      <sz val="9"/>
      <color rgb="FFFFFFFF"/>
      <name val="Calibri"/>
      <family val="0"/>
      <charset val="1"/>
    </font>
    <font>
      <sz val="9"/>
      <color rgb="FF1A2027"/>
      <name val="Calibri"/>
      <family val="0"/>
      <charset val="1"/>
    </font>
    <font>
      <b val="true"/>
      <sz val="9"/>
      <color rgb="FF1A2027"/>
      <name val="Calibri"/>
      <family val="0"/>
      <charset val="1"/>
    </font>
    <font>
      <b val="true"/>
      <sz val="9"/>
      <color rgb="FF218E8E"/>
      <name val="Calibri"/>
      <family val="0"/>
      <charset val="1"/>
    </font>
  </fonts>
  <fills count="6">
    <fill>
      <patternFill patternType="none"/>
    </fill>
    <fill>
      <patternFill patternType="gray125"/>
    </fill>
    <fill>
      <patternFill patternType="solid">
        <fgColor rgb="FF2F4858"/>
        <bgColor rgb="FF333399"/>
      </patternFill>
    </fill>
    <fill>
      <patternFill patternType="solid">
        <fgColor rgb="FF218E8E"/>
        <bgColor rgb="FF008080"/>
      </patternFill>
    </fill>
    <fill>
      <patternFill patternType="solid">
        <fgColor rgb="FFD9F785"/>
        <bgColor rgb="FFCCFFCC"/>
      </patternFill>
    </fill>
    <fill>
      <patternFill patternType="solid">
        <fgColor rgb="FFFFF8F2"/>
        <bgColor rgb="FFFFFFFF"/>
      </patternFill>
    </fill>
  </fills>
  <borders count="2">
    <border diagonalUp="false" diagonalDown="false">
      <left/>
      <right/>
      <top/>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2" borderId="0" xfId="0" applyFont="true" applyBorder="false" applyAlignment="true" applyProtection="false">
      <alignment horizontal="left"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left" vertical="center" textRotation="0" wrapText="tru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8" fillId="4" borderId="1" xfId="0" applyFont="true" applyBorder="true" applyAlignment="true" applyProtection="false">
      <alignment horizontal="righ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8" fillId="4"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8" fontId="7" fillId="0" borderId="1" xfId="0" applyFont="true" applyBorder="true" applyAlignment="true" applyProtection="false">
      <alignment horizontal="righ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6" fontId="8" fillId="0" borderId="1" xfId="0" applyFont="true" applyBorder="true" applyAlignment="true" applyProtection="false">
      <alignment horizontal="righ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center" vertical="center" textRotation="0" wrapText="false" indent="0" shrinkToFit="false"/>
      <protection locked="true" hidden="false"/>
    </xf>
    <xf numFmtId="169" fontId="8" fillId="4" borderId="1" xfId="0" applyFont="true" applyBorder="true" applyAlignment="true" applyProtection="false">
      <alignment horizontal="right" vertical="center" textRotation="0" wrapText="false" indent="0" shrinkToFit="false"/>
      <protection locked="true" hidden="false"/>
    </xf>
    <xf numFmtId="169" fontId="7" fillId="0" borderId="1" xfId="0" applyFont="true" applyBorder="true" applyAlignment="true" applyProtection="false">
      <alignment horizontal="right" vertical="center" textRotation="0" wrapText="false" indent="0" shrinkToFit="false"/>
      <protection locked="true" hidden="false"/>
    </xf>
    <xf numFmtId="167" fontId="8" fillId="4" borderId="1" xfId="0" applyFont="true" applyBorder="true" applyAlignment="true" applyProtection="false">
      <alignment horizontal="right" vertical="center" textRotation="0" wrapText="false" indent="0" shrinkToFit="false"/>
      <protection locked="true" hidden="false"/>
    </xf>
    <xf numFmtId="170" fontId="8" fillId="4" borderId="1" xfId="0" applyFont="true" applyBorder="true" applyAlignment="true" applyProtection="false">
      <alignment horizontal="right" vertical="center" textRotation="0" wrapText="false" indent="0" shrinkToFit="false"/>
      <protection locked="true" hidden="false"/>
    </xf>
    <xf numFmtId="170" fontId="7" fillId="0" borderId="1" xfId="0" applyFont="true" applyBorder="true" applyAlignment="true" applyProtection="false">
      <alignment horizontal="right" vertical="center" textRotation="0" wrapText="false" indent="0" shrinkToFit="false"/>
      <protection locked="true" hidden="false"/>
    </xf>
    <xf numFmtId="168" fontId="8" fillId="4" borderId="1" xfId="0" applyFont="true" applyBorder="true" applyAlignment="true" applyProtection="false">
      <alignment horizontal="right" vertical="center"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71" fontId="7" fillId="5"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70" fontId="7" fillId="5"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4"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6" fontId="7" fillId="0" borderId="1" xfId="0" applyFont="true" applyBorder="true" applyAlignment="true" applyProtection="false">
      <alignment horizontal="right" vertical="top" textRotation="0" wrapText="false" indent="0" shrinkToFit="false"/>
      <protection locked="true" hidden="false"/>
    </xf>
    <xf numFmtId="169" fontId="7" fillId="0" borderId="1" xfId="0" applyFont="true" applyBorder="true" applyAlignment="true" applyProtection="false">
      <alignment horizontal="right" vertical="top" textRotation="0" wrapText="false" indent="0" shrinkToFit="false"/>
      <protection locked="true" hidden="false"/>
    </xf>
    <xf numFmtId="167" fontId="7" fillId="0" borderId="1" xfId="0" applyFont="true" applyBorder="true" applyAlignment="true" applyProtection="false">
      <alignment horizontal="right" vertical="top" textRotation="0" wrapText="false" indent="0" shrinkToFit="false"/>
      <protection locked="true" hidden="false"/>
    </xf>
    <xf numFmtId="170" fontId="7" fillId="0" borderId="1" xfId="0" applyFont="true" applyBorder="true" applyAlignment="true" applyProtection="false">
      <alignment horizontal="right" vertical="top" textRotation="0" wrapText="false" indent="0" shrinkToFit="false"/>
      <protection locked="true" hidden="false"/>
    </xf>
    <xf numFmtId="168" fontId="7" fillId="0" borderId="1" xfId="0" applyFont="true" applyBorder="true" applyAlignment="true" applyProtection="false">
      <alignment horizontal="right" vertical="top" textRotation="0" wrapText="fals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5" fontId="7" fillId="5" borderId="1" xfId="0" applyFont="true" applyBorder="true" applyAlignment="true" applyProtection="false">
      <alignment horizontal="righ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6" fontId="7" fillId="5" borderId="1" xfId="0" applyFont="true" applyBorder="true" applyAlignment="true" applyProtection="false">
      <alignment horizontal="right" vertical="center" textRotation="0" wrapText="false" indent="0" shrinkToFit="false"/>
      <protection locked="true" hidden="false"/>
    </xf>
    <xf numFmtId="165" fontId="8" fillId="0" borderId="1" xfId="0" applyFont="true" applyBorder="true" applyAlignment="true" applyProtection="false">
      <alignment horizontal="right" vertical="center" textRotation="0" wrapText="false" indent="0" shrinkToFit="false"/>
      <protection locked="true" hidden="false"/>
    </xf>
    <xf numFmtId="175" fontId="7" fillId="5" borderId="1" xfId="0" applyFont="true" applyBorder="true" applyAlignment="true" applyProtection="false">
      <alignment horizontal="right" vertical="center" textRotation="0" wrapText="false" indent="0" shrinkToFit="false"/>
      <protection locked="true" hidden="false"/>
    </xf>
    <xf numFmtId="168" fontId="8" fillId="0" borderId="1" xfId="0" applyFont="true" applyBorder="true" applyAlignment="true" applyProtection="false">
      <alignment horizontal="right" vertical="center" textRotation="0" wrapText="false" indent="0" shrinkToFit="false"/>
      <protection locked="true" hidden="false"/>
    </xf>
    <xf numFmtId="174" fontId="7" fillId="5" borderId="1" xfId="0" applyFont="true" applyBorder="true" applyAlignment="true" applyProtection="false">
      <alignment horizontal="righ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74" fontId="8" fillId="0" borderId="1" xfId="0" applyFont="true" applyBorder="true" applyAlignment="true" applyProtection="false">
      <alignment horizontal="right"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9" fontId="7" fillId="5" borderId="1" xfId="0" applyFont="true" applyBorder="true" applyAlignment="true" applyProtection="false">
      <alignment horizontal="right" vertical="center" textRotation="0" wrapText="false" indent="0" shrinkToFit="false"/>
      <protection locked="true" hidden="false"/>
    </xf>
    <xf numFmtId="167" fontId="7" fillId="5" borderId="1" xfId="0" applyFont="true" applyBorder="true" applyAlignment="true" applyProtection="false">
      <alignment horizontal="right" vertical="center" textRotation="0" wrapText="false" indent="0" shrinkToFit="false"/>
      <protection locked="true" hidden="false"/>
    </xf>
    <xf numFmtId="170" fontId="7" fillId="5" borderId="1" xfId="0" applyFont="true" applyBorder="true" applyAlignment="true" applyProtection="false">
      <alignment horizontal="right" vertical="center" textRotation="0" wrapText="false" indent="0" shrinkToFit="false"/>
      <protection locked="true" hidden="false"/>
    </xf>
    <xf numFmtId="168" fontId="7" fillId="5" borderId="1" xfId="0" applyFont="true" applyBorder="true" applyAlignment="true" applyProtection="false">
      <alignment horizontal="right"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F2"/>
      <rgbColor rgb="FFCCFFFF"/>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CCFFFF"/>
      <rgbColor rgb="FFCCFFCC"/>
      <rgbColor rgb="FFD9F785"/>
      <rgbColor rgb="FF99CCFF"/>
      <rgbColor rgb="FFFF99CC"/>
      <rgbColor rgb="FFCC99FF"/>
      <rgbColor rgb="FFFFCC99"/>
      <rgbColor rgb="FF3366FF"/>
      <rgbColor rgb="FF33CCCC"/>
      <rgbColor rgb="FF99CC00"/>
      <rgbColor rgb="FFFFCC00"/>
      <rgbColor rgb="FFFF9900"/>
      <rgbColor rgb="FFFF6600"/>
      <rgbColor rgb="FF5A6B72"/>
      <rgbColor rgb="FF969696"/>
      <rgbColor rgb="FF003366"/>
      <rgbColor rgb="FF218E8E"/>
      <rgbColor rgb="FF003300"/>
      <rgbColor rgb="FF1A2027"/>
      <rgbColor rgb="FF993300"/>
      <rgbColor rgb="FF993366"/>
      <rgbColor rgb="FF333399"/>
      <rgbColor rgb="FF2F485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V5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812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42"/>
    <col collapsed="false" customWidth="true" hidden="false" outlineLevel="0" max="4" min="4" style="0" width="6"/>
    <col collapsed="false" customWidth="true" hidden="false" outlineLevel="0" max="5" min="5" style="0" width="11"/>
    <col collapsed="false" customWidth="true" hidden="false" outlineLevel="0" max="6" min="6" style="0" width="5"/>
    <col collapsed="false" customWidth="true" hidden="false" outlineLevel="0" max="7" min="7" style="0" width="15"/>
    <col collapsed="false" customWidth="true" hidden="false" outlineLevel="0" max="9" min="8" style="0" width="11"/>
    <col collapsed="false" customWidth="true" hidden="false" outlineLevel="0" max="10" min="10" style="0" width="5"/>
    <col collapsed="false" customWidth="true" hidden="false" outlineLevel="0" max="11" min="11" style="0" width="15"/>
    <col collapsed="false" customWidth="true" hidden="false" outlineLevel="0" max="12" min="12" style="0" width="5"/>
    <col collapsed="false" customWidth="true" hidden="false" outlineLevel="0" max="14" min="13" style="0" width="8"/>
    <col collapsed="false" customWidth="true" hidden="false" outlineLevel="0" max="15" min="15" style="0" width="2"/>
    <col collapsed="false" customWidth="true" hidden="false" outlineLevel="0" max="16" min="16" style="0" width="48"/>
    <col collapsed="false" customWidth="true" hidden="false" outlineLevel="0" max="20" min="17" style="0" width="10"/>
    <col collapsed="false" customWidth="true" hidden="false" outlineLevel="0" max="21" min="21" style="0" width="14"/>
    <col collapsed="false" customWidth="true" hidden="false" outlineLevel="0" max="22" min="22" style="0" width="12"/>
  </cols>
  <sheetData>
    <row r="2" customFormat="false" ht="15" hidden="false" customHeight="false" outlineLevel="0" collapsed="false">
      <c r="B2" s="1" t="s">
        <v>0</v>
      </c>
    </row>
    <row r="3" customFormat="false" ht="15" hidden="false" customHeight="false" outlineLevel="0" collapsed="false">
      <c r="B3" s="2" t="s">
        <v>1</v>
      </c>
    </row>
    <row r="5" customFormat="false" ht="15" hidden="false" customHeight="true" outlineLevel="0" collapsed="false">
      <c r="B5" s="3" t="s">
        <v>2</v>
      </c>
      <c r="C5" s="4"/>
      <c r="D5" s="4"/>
      <c r="E5" s="4"/>
      <c r="F5" s="4"/>
      <c r="G5" s="4"/>
      <c r="H5" s="4"/>
      <c r="I5" s="4"/>
      <c r="J5" s="4"/>
      <c r="K5" s="4"/>
      <c r="L5" s="4"/>
      <c r="M5" s="4"/>
      <c r="N5" s="4"/>
      <c r="P5" s="3" t="s">
        <v>3</v>
      </c>
      <c r="Q5" s="4"/>
      <c r="R5" s="4"/>
      <c r="S5" s="4"/>
      <c r="T5" s="4"/>
      <c r="U5" s="4"/>
      <c r="V5" s="4"/>
    </row>
    <row r="6" customFormat="false" ht="25.5" hidden="false" customHeight="true" outlineLevel="0" collapsed="false">
      <c r="B6" s="5"/>
      <c r="C6" s="6" t="s">
        <v>4</v>
      </c>
      <c r="D6" s="6"/>
      <c r="E6" s="6" t="s">
        <v>5</v>
      </c>
      <c r="F6" s="6"/>
      <c r="G6" s="6"/>
      <c r="H6" s="6" t="s">
        <v>6</v>
      </c>
      <c r="I6" s="6" t="s">
        <v>7</v>
      </c>
      <c r="J6" s="6"/>
      <c r="K6" s="6"/>
      <c r="L6" s="6"/>
      <c r="M6" s="6"/>
      <c r="N6" s="6"/>
      <c r="P6" s="5" t="s">
        <v>8</v>
      </c>
      <c r="Q6" s="6" t="s">
        <v>5</v>
      </c>
      <c r="R6" s="6" t="s">
        <v>9</v>
      </c>
      <c r="S6" s="6" t="s">
        <v>10</v>
      </c>
      <c r="T6" s="6" t="s">
        <v>9</v>
      </c>
      <c r="U6" s="6" t="s">
        <v>11</v>
      </c>
      <c r="V6" s="6" t="s">
        <v>12</v>
      </c>
    </row>
    <row r="7" customFormat="false" ht="15" hidden="false" customHeight="false" outlineLevel="0" collapsed="false">
      <c r="B7" s="7"/>
      <c r="C7" s="7" t="s">
        <v>13</v>
      </c>
      <c r="D7" s="7"/>
      <c r="E7" s="8" t="n">
        <f aca="false">DebutPeriode</f>
        <v>46204</v>
      </c>
      <c r="F7" s="7"/>
      <c r="G7" s="7"/>
      <c r="H7" s="9" t="n">
        <f aca="false">EDATE(E7,-DureeMois)</f>
        <v>46113</v>
      </c>
      <c r="I7" s="9" t="n">
        <f aca="false">EDATE(E8+1,-12)</f>
        <v>45931</v>
      </c>
      <c r="J7" s="7"/>
      <c r="K7" s="7"/>
      <c r="L7" s="7"/>
      <c r="M7" s="7"/>
      <c r="N7" s="7"/>
      <c r="P7" s="7" t="str">
        <f aca="false">INDEX(L_Crit,1)</f>
        <v>1 - Critique</v>
      </c>
      <c r="Q7" s="10" t="n">
        <f aca="false">COUNTIFS(R_Cpt,1,R_Crit,$P7,R_Enr,"&gt;="&amp;$E$7,R_Enr,"&lt;"&amp;($E$8+1))</f>
        <v>3</v>
      </c>
      <c r="R7" s="11" t="n">
        <f aca="false">IFERROR(Q7/Q$11,"n.d.")</f>
        <v>0.142857142857143</v>
      </c>
      <c r="S7" s="12" t="n">
        <f aca="false">COUNTIFS(R_Cpt,1,R_Crit,$P7,R_Enr,"&gt;="&amp;$I$7,R_Enr,"&lt;"&amp;($I$8+1))</f>
        <v>4</v>
      </c>
      <c r="T7" s="11" t="n">
        <f aca="false">IFERROR(S7/S$11,"n.d.")</f>
        <v>0.0727272727272727</v>
      </c>
      <c r="U7" s="13" t="n">
        <f aca="false">IFERROR(AVERAGEIFS(R_jRes,R_Crit,$P7,R_Res,"&gt;="&amp;$I$7,R_Res,"&lt;"&amp;($I$8+1)),"n.d.")</f>
        <v>0.777775</v>
      </c>
      <c r="V7" s="11" t="n">
        <f aca="false">IFERROR(COUNTIFS(R_okRes,1,R_Crit,$P7,R_Res,"&gt;="&amp;$I$7,R_Res,"&lt;"&amp;($I$8+1))/COUNTIFS(R_okRes,"&gt;=0",R_Crit,$P7,R_Res,"&gt;="&amp;$I$7,R_Res,"&lt;"&amp;($I$8+1)),"n.d.")</f>
        <v>1</v>
      </c>
    </row>
    <row r="8" customFormat="false" ht="15" hidden="false" customHeight="false" outlineLevel="0" collapsed="false">
      <c r="B8" s="7"/>
      <c r="C8" s="7" t="s">
        <v>14</v>
      </c>
      <c r="D8" s="7"/>
      <c r="E8" s="8" t="n">
        <f aca="false">FinPeriode</f>
        <v>46295</v>
      </c>
      <c r="F8" s="7"/>
      <c r="G8" s="7"/>
      <c r="H8" s="9" t="n">
        <f aca="false">E7-1</f>
        <v>46203</v>
      </c>
      <c r="I8" s="9" t="n">
        <f aca="false">E8</f>
        <v>46295</v>
      </c>
      <c r="J8" s="7"/>
      <c r="K8" s="7"/>
      <c r="L8" s="7"/>
      <c r="M8" s="7"/>
      <c r="N8" s="7"/>
      <c r="P8" s="7" t="str">
        <f aca="false">INDEX(L_Crit,2)</f>
        <v>2 - Majeure</v>
      </c>
      <c r="Q8" s="10" t="n">
        <f aca="false">COUNTIFS(R_Cpt,1,R_Crit,$P8,R_Enr,"&gt;="&amp;$E$7,R_Enr,"&lt;"&amp;($E$8+1))</f>
        <v>5</v>
      </c>
      <c r="R8" s="11" t="n">
        <f aca="false">IFERROR(Q8/Q$11,"n.d.")</f>
        <v>0.238095238095238</v>
      </c>
      <c r="S8" s="12" t="n">
        <f aca="false">COUNTIFS(R_Cpt,1,R_Crit,$P8,R_Enr,"&gt;="&amp;$I$7,R_Enr,"&lt;"&amp;($I$8+1))</f>
        <v>11</v>
      </c>
      <c r="T8" s="11" t="n">
        <f aca="false">IFERROR(S8/S$11,"n.d.")</f>
        <v>0.2</v>
      </c>
      <c r="U8" s="13" t="n">
        <f aca="false">IFERROR(AVERAGEIFS(R_jRes,R_Crit,$P8,R_Res,"&gt;="&amp;$I$7,R_Res,"&lt;"&amp;($I$8+1)),"n.d.")</f>
        <v>1.98401818181818</v>
      </c>
      <c r="V8" s="11" t="n">
        <f aca="false">IFERROR(COUNTIFS(R_okRes,1,R_Crit,$P8,R_Res,"&gt;="&amp;$I$7,R_Res,"&lt;"&amp;($I$8+1))/COUNTIFS(R_okRes,"&gt;=0",R_Crit,$P8,R_Res,"&gt;="&amp;$I$7,R_Res,"&lt;"&amp;($I$8+1)),"n.d.")</f>
        <v>0.818181818181818</v>
      </c>
    </row>
    <row r="9" customFormat="false" ht="15" hidden="false" customHeight="false" outlineLevel="0" collapsed="false">
      <c r="B9" s="7"/>
      <c r="C9" s="7" t="s">
        <v>15</v>
      </c>
      <c r="D9" s="7"/>
      <c r="E9" s="10" t="n">
        <f aca="false">COUNTA(R_ID)</f>
        <v>89</v>
      </c>
      <c r="F9" s="7"/>
      <c r="G9" s="7"/>
      <c r="H9" s="7"/>
      <c r="I9" s="7"/>
      <c r="J9" s="7"/>
      <c r="K9" s="7"/>
      <c r="L9" s="7"/>
      <c r="M9" s="7"/>
      <c r="N9" s="7"/>
      <c r="P9" s="7" t="str">
        <f aca="false">INDEX(L_Crit,3)</f>
        <v>3 - Modérée</v>
      </c>
      <c r="Q9" s="10" t="n">
        <f aca="false">COUNTIFS(R_Cpt,1,R_Crit,$P9,R_Enr,"&gt;="&amp;$E$7,R_Enr,"&lt;"&amp;($E$8+1))</f>
        <v>9</v>
      </c>
      <c r="R9" s="11" t="n">
        <f aca="false">IFERROR(Q9/Q$11,"n.d.")</f>
        <v>0.428571428571429</v>
      </c>
      <c r="S9" s="12" t="n">
        <f aca="false">COUNTIFS(R_Cpt,1,R_Crit,$P9,R_Enr,"&gt;="&amp;$I$7,R_Enr,"&lt;"&amp;($I$8+1))</f>
        <v>27</v>
      </c>
      <c r="T9" s="11" t="n">
        <f aca="false">IFERROR(S9/S$11,"n.d.")</f>
        <v>0.490909090909091</v>
      </c>
      <c r="U9" s="13" t="n">
        <f aca="false">IFERROR(AVERAGEIFS(R_jRes,R_Crit,$P9,R_Res,"&gt;="&amp;$I$7,R_Res,"&lt;"&amp;($I$8+1)),"n.d.")</f>
        <v>5.29475</v>
      </c>
      <c r="V9" s="11" t="n">
        <f aca="false">IFERROR(COUNTIFS(R_okRes,1,R_Crit,$P9,R_Res,"&gt;="&amp;$I$7,R_Res,"&lt;"&amp;($I$8+1))/COUNTIFS(R_okRes,"&gt;=0",R_Crit,$P9,R_Res,"&gt;="&amp;$I$7,R_Res,"&lt;"&amp;($I$8+1)),"n.d.")</f>
        <v>0.958333333333333</v>
      </c>
    </row>
    <row r="10" customFormat="false" ht="15" hidden="false" customHeight="false" outlineLevel="0" collapsed="false">
      <c r="B10" s="7"/>
      <c r="C10" s="7" t="s">
        <v>16</v>
      </c>
      <c r="D10" s="7"/>
      <c r="E10" s="10" t="n">
        <f aca="false">SUMPRODUCT((R_Ctrl&lt;&gt;"")*(R_Ctrl&lt;&gt;"OK"))</f>
        <v>1</v>
      </c>
      <c r="F10" s="7"/>
      <c r="G10" s="7"/>
      <c r="H10" s="7"/>
      <c r="I10" s="7"/>
      <c r="J10" s="7"/>
      <c r="K10" s="7"/>
      <c r="L10" s="7"/>
      <c r="M10" s="7"/>
      <c r="N10" s="7"/>
      <c r="P10" s="7" t="str">
        <f aca="false">INDEX(L_Crit,4)</f>
        <v>4 - Mineure</v>
      </c>
      <c r="Q10" s="10" t="n">
        <f aca="false">COUNTIFS(R_Cpt,1,R_Crit,$P10,R_Enr,"&gt;="&amp;$E$7,R_Enr,"&lt;"&amp;($E$8+1))</f>
        <v>4</v>
      </c>
      <c r="R10" s="11" t="n">
        <f aca="false">IFERROR(Q10/Q$11,"n.d.")</f>
        <v>0.19047619047619</v>
      </c>
      <c r="S10" s="12" t="n">
        <f aca="false">COUNTIFS(R_Cpt,1,R_Crit,$P10,R_Enr,"&gt;="&amp;$I$7,R_Enr,"&lt;"&amp;($I$8+1))</f>
        <v>13</v>
      </c>
      <c r="T10" s="11" t="n">
        <f aca="false">IFERROR(S10/S$11,"n.d.")</f>
        <v>0.236363636363636</v>
      </c>
      <c r="U10" s="13" t="n">
        <f aca="false">IFERROR(AVERAGEIFS(R_jRes,R_Crit,$P10,R_Res,"&gt;="&amp;$I$7,R_Res,"&lt;"&amp;($I$8+1)),"n.d.")</f>
        <v>13.040125</v>
      </c>
      <c r="V10" s="11" t="n">
        <f aca="false">IFERROR(COUNTIFS(R_okRes,1,R_Crit,$P10,R_Res,"&gt;="&amp;$I$7,R_Res,"&lt;"&amp;($I$8+1))/COUNTIFS(R_okRes,"&gt;=0",R_Crit,$P10,R_Res,"&gt;="&amp;$I$7,R_Res,"&lt;"&amp;($I$8+1)),"n.d.")</f>
        <v>0.916666666666667</v>
      </c>
    </row>
    <row r="11" customFormat="false" ht="15" hidden="false" customHeight="false" outlineLevel="0" collapsed="false">
      <c r="P11" s="14" t="s">
        <v>17</v>
      </c>
      <c r="Q11" s="15" t="n">
        <f aca="false">SUM(Q7:Q10)</f>
        <v>21</v>
      </c>
      <c r="R11" s="7"/>
      <c r="S11" s="15" t="n">
        <f aca="false">SUM(S7:S10)</f>
        <v>55</v>
      </c>
      <c r="T11" s="7"/>
      <c r="U11" s="7"/>
      <c r="V11" s="7"/>
    </row>
    <row r="12" customFormat="false" ht="25.5" hidden="false" customHeight="true" outlineLevel="0" collapsed="false">
      <c r="B12" s="5" t="s">
        <v>18</v>
      </c>
      <c r="C12" s="6" t="s">
        <v>19</v>
      </c>
      <c r="D12" s="6" t="s">
        <v>20</v>
      </c>
      <c r="E12" s="6" t="s">
        <v>5</v>
      </c>
      <c r="F12" s="6" t="s">
        <v>21</v>
      </c>
      <c r="G12" s="6" t="s">
        <v>22</v>
      </c>
      <c r="H12" s="6" t="s">
        <v>6</v>
      </c>
      <c r="I12" s="6" t="s">
        <v>7</v>
      </c>
      <c r="J12" s="6" t="s">
        <v>21</v>
      </c>
      <c r="K12" s="6" t="s">
        <v>23</v>
      </c>
      <c r="L12" s="6" t="s">
        <v>24</v>
      </c>
      <c r="M12" s="6" t="s">
        <v>25</v>
      </c>
      <c r="N12" s="6" t="s">
        <v>26</v>
      </c>
    </row>
    <row r="13" customFormat="false" ht="15" hidden="false" customHeight="true" outlineLevel="0" collapsed="false">
      <c r="B13" s="3" t="s">
        <v>27</v>
      </c>
      <c r="C13" s="4"/>
      <c r="D13" s="4"/>
      <c r="E13" s="4"/>
      <c r="F13" s="4"/>
      <c r="G13" s="4"/>
      <c r="H13" s="4"/>
      <c r="I13" s="4"/>
      <c r="J13" s="4"/>
      <c r="K13" s="4"/>
      <c r="L13" s="4"/>
      <c r="M13" s="4"/>
      <c r="N13" s="4"/>
      <c r="P13" s="3" t="s">
        <v>28</v>
      </c>
      <c r="Q13" s="4"/>
      <c r="R13" s="4"/>
      <c r="S13" s="4"/>
      <c r="T13" s="4"/>
      <c r="U13" s="4"/>
      <c r="V13" s="4"/>
    </row>
    <row r="14" customFormat="false" ht="15" hidden="false" customHeight="false" outlineLevel="0" collapsed="false">
      <c r="B14" s="16" t="s">
        <v>29</v>
      </c>
      <c r="C14" s="7" t="str">
        <f aca="false">INDEX(T_Lib,MATCH($B14,T_Ref,0))</f>
        <v>Nombre d'incidents déclarés</v>
      </c>
      <c r="D14" s="17" t="str">
        <f aca="false">INDEX(T_Unite,MATCH($B14,T_Ref,0))</f>
        <v>nb</v>
      </c>
      <c r="E14" s="10" t="n">
        <f aca="false">COUNTIFS(R_Cpt,1,R_Enr,"&gt;="&amp;E$7,R_Enr,"&lt;"&amp;(E$8+1))</f>
        <v>21</v>
      </c>
      <c r="F14" s="18"/>
      <c r="G14" s="7" t="str">
        <f aca="false">IF(NOT(ISNUMBER(E14)),"n.d.",IF($L14="Suivi","Suivi",IF($M14="","Cible à définir",IF(AND(INDEX(T_Base,MATCH($B14,T_Ref,0))="Oui",ISNUMBER(F14),N(F14)&lt;NMin),"Base insuffisante",IF($L14="≥",IF(E14&gt;=$M14,"Conforme",IF(E14&gt;=$N14,"Vigilance","Hors cible")),IF(E14&lt;=$M14,"Conforme",IF(E14&lt;=$N14,"Vigilance","Hors cible")))))))</f>
        <v>Suivi</v>
      </c>
      <c r="H14" s="12" t="n">
        <f aca="false">COUNTIFS(R_Cpt,1,R_Enr,"&gt;="&amp;H$7,R_Enr,"&lt;"&amp;(H$8+1))</f>
        <v>8</v>
      </c>
      <c r="I14" s="12" t="n">
        <f aca="false">COUNTIFS(R_Cpt,1,R_Enr,"&gt;="&amp;I$7,R_Enr,"&lt;"&amp;(I$8+1))</f>
        <v>55</v>
      </c>
      <c r="J14" s="18"/>
      <c r="K14" s="7" t="str">
        <f aca="false">IF(NOT(ISNUMBER(I14)),"n.d.",IF($L14="Suivi","Suivi",IF($M14="","Cible à définir",IF(AND(INDEX(T_Base,MATCH($B14,T_Ref,0))="Oui",ISNUMBER(J14),N(J14)&lt;NMin),"Base insuffisante",IF($L14="≥",IF(I14&gt;=$M14,"Conforme",IF(I14&gt;=$N14,"Vigilance","Hors cible")),IF(I14&lt;=$M14,"Conforme",IF(I14&lt;=$N14,"Vigilance","Hors cible")))))))</f>
        <v>Suivi</v>
      </c>
      <c r="L14" s="19" t="str">
        <f aca="false">INDEX(T_Sens,MATCH($B14,T_Ref,0))</f>
        <v>Suivi</v>
      </c>
      <c r="M14" s="12" t="str">
        <f aca="false">IF(INDEX(T_Cible,MATCH($B14,T_Ref,0))="","",INDEX(T_Cible,MATCH($B14,T_Ref,0)))</f>
        <v/>
      </c>
      <c r="N14" s="12" t="str">
        <f aca="false">IF(INDEX(T_Alerte,MATCH($B14,T_Ref,0))="","",INDEX(T_Alerte,MATCH($B14,T_Ref,0)))</f>
        <v/>
      </c>
      <c r="P14" s="20" t="s">
        <v>30</v>
      </c>
      <c r="Q14" s="21" t="s">
        <v>5</v>
      </c>
      <c r="R14" s="21" t="s">
        <v>31</v>
      </c>
      <c r="S14" s="21" t="s">
        <v>10</v>
      </c>
      <c r="T14" s="21" t="s">
        <v>32</v>
      </c>
      <c r="U14" s="21"/>
      <c r="V14" s="21"/>
    </row>
    <row r="15" customFormat="false" ht="15" hidden="false" customHeight="false" outlineLevel="0" collapsed="false">
      <c r="B15" s="16" t="s">
        <v>33</v>
      </c>
      <c r="C15" s="7" t="str">
        <f aca="false">INDEX(T_Lib,MATCH($B15,T_Ref,0))</f>
        <v>Ratio quasi-incidents / incidents</v>
      </c>
      <c r="D15" s="17" t="str">
        <f aca="false">INDEX(T_Unite,MATCH($B15,T_Ref,0))</f>
        <v>x</v>
      </c>
      <c r="E15" s="22" t="n">
        <f aca="false">IFERROR(COUNTIFS(R_QI,1,R_Enr,"&gt;="&amp;E$7,R_Enr,"&lt;"&amp;(E$8+1))/E$14,"n.d.")</f>
        <v>0.238095238095238</v>
      </c>
      <c r="F15" s="18" t="n">
        <f aca="false">E$14</f>
        <v>21</v>
      </c>
      <c r="G15" s="7" t="str">
        <f aca="false">IF(NOT(ISNUMBER(E15)),"n.d.",IF($L15="Suivi","Suivi",IF($M15="","Cible à définir",IF(AND(INDEX(T_Base,MATCH($B15,T_Ref,0))="Oui",ISNUMBER(F15),N(F15)&lt;NMin),"Base insuffisante",IF($L15="≥",IF(E15&gt;=$M15,"Conforme",IF(E15&gt;=$N15,"Vigilance","Hors cible")),IF(E15&lt;=$M15,"Conforme",IF(E15&lt;=$N15,"Vigilance","Hors cible")))))))</f>
        <v>Hors cible</v>
      </c>
      <c r="H15" s="23" t="n">
        <f aca="false">IFERROR(COUNTIFS(R_QI,1,R_Enr,"&gt;="&amp;H$7,R_Enr,"&lt;"&amp;(H$8+1))/H$14,"n.d.")</f>
        <v>0.875</v>
      </c>
      <c r="I15" s="23" t="n">
        <f aca="false">IFERROR(COUNTIFS(R_QI,1,R_Enr,"&gt;="&amp;I$7,R_Enr,"&lt;"&amp;(I$8+1))/I$14,"n.d.")</f>
        <v>0.545454545454545</v>
      </c>
      <c r="J15" s="18" t="n">
        <f aca="false">I$14</f>
        <v>55</v>
      </c>
      <c r="K15" s="7" t="str">
        <f aca="false">IF(NOT(ISNUMBER(I15)),"n.d.",IF($L15="Suivi","Suivi",IF($M15="","Cible à définir",IF(AND(INDEX(T_Base,MATCH($B15,T_Ref,0))="Oui",ISNUMBER(J15),N(J15)&lt;NMin),"Base insuffisante",IF($L15="≥",IF(I15&gt;=$M15,"Conforme",IF(I15&gt;=$N15,"Vigilance","Hors cible")),IF(I15&lt;=$M15,"Conforme",IF(I15&lt;=$N15,"Vigilance","Hors cible")))))))</f>
        <v>Vigilance</v>
      </c>
      <c r="L15" s="19" t="str">
        <f aca="false">INDEX(T_Sens,MATCH($B15,T_Ref,0))</f>
        <v>≥</v>
      </c>
      <c r="M15" s="23" t="n">
        <f aca="false">IF(INDEX(T_Cible,MATCH($B15,T_Ref,0))="","",INDEX(T_Cible,MATCH($B15,T_Ref,0)))</f>
        <v>1</v>
      </c>
      <c r="N15" s="23" t="n">
        <f aca="false">IF(INDEX(T_Alerte,MATCH($B15,T_Ref,0))="","",INDEX(T_Alerte,MATCH($B15,T_Ref,0)))</f>
        <v>0.5</v>
      </c>
      <c r="P15" s="7" t="str">
        <f aca="false">INDEX(L_Domaines,1)</f>
        <v>Valorisation et VL</v>
      </c>
      <c r="Q15" s="10" t="n">
        <f aca="false">COUNTIFS(R_Cpt,1,R_Dom,$P15,R_Enr,"&gt;="&amp;$E$7,R_Enr,"&lt;"&amp;($E$8+1))</f>
        <v>1</v>
      </c>
      <c r="R15" s="12" t="n">
        <f aca="false">COUNTIFS(R_Cpt,1,R_Dom,$P15,R_Enr,"&gt;="&amp;$H$7,R_Enr,"&lt;"&amp;($H$8+1))</f>
        <v>1</v>
      </c>
      <c r="S15" s="12" t="n">
        <f aca="false">COUNTIFS(R_Cpt,1,R_Dom,$P15,R_Enr,"&gt;="&amp;$I$7,R_Enr,"&lt;"&amp;($I$8+1))</f>
        <v>8</v>
      </c>
      <c r="T15" s="11" t="n">
        <f aca="false">IFERROR(S15/$I$14,"n.d.")</f>
        <v>0.145454545454545</v>
      </c>
      <c r="U15" s="7"/>
      <c r="V15" s="7"/>
    </row>
    <row r="16" customFormat="false" ht="15" hidden="false" customHeight="false" outlineLevel="0" collapsed="false">
      <c r="B16" s="16" t="s">
        <v>34</v>
      </c>
      <c r="C16" s="7" t="str">
        <f aca="false">INDEX(T_Lib,MATCH($B16,T_Ref,0))</f>
        <v>Part des incidents critiques et majeurs</v>
      </c>
      <c r="D16" s="17" t="str">
        <f aca="false">INDEX(T_Unite,MATCH($B16,T_Ref,0))</f>
        <v>%</v>
      </c>
      <c r="E16" s="24" t="n">
        <f aca="false">IFERROR(COUNTIFS(R_Cpt,1,R_CritN,"&lt;=2",R_Enr,"&gt;="&amp;E$7,R_Enr,"&lt;"&amp;(E$8+1))/E$14,"n.d.")</f>
        <v>0.380952380952381</v>
      </c>
      <c r="F16" s="18" t="n">
        <f aca="false">E$14</f>
        <v>21</v>
      </c>
      <c r="G16" s="7" t="str">
        <f aca="false">IF(NOT(ISNUMBER(E16)),"n.d.",IF($L16="Suivi","Suivi",IF($M16="","Cible à définir",IF(AND(INDEX(T_Base,MATCH($B16,T_Ref,0))="Oui",ISNUMBER(F16),N(F16)&lt;NMin),"Base insuffisante",IF($L16="≥",IF(E16&gt;=$M16,"Conforme",IF(E16&gt;=$N16,"Vigilance","Hors cible")),IF(E16&lt;=$M16,"Conforme",IF(E16&lt;=$N16,"Vigilance","Hors cible")))))))</f>
        <v>Hors cible</v>
      </c>
      <c r="H16" s="11" t="n">
        <f aca="false">IFERROR(COUNTIFS(R_Cpt,1,R_CritN,"&lt;=2",R_Enr,"&gt;="&amp;H$7,R_Enr,"&lt;"&amp;(H$8+1))/H$14,"n.d.")</f>
        <v>0.25</v>
      </c>
      <c r="I16" s="11" t="n">
        <f aca="false">IFERROR(COUNTIFS(R_Cpt,1,R_CritN,"&lt;=2",R_Enr,"&gt;="&amp;I$7,R_Enr,"&lt;"&amp;(I$8+1))/I$14,"n.d.")</f>
        <v>0.272727272727273</v>
      </c>
      <c r="J16" s="18" t="n">
        <f aca="false">I$14</f>
        <v>55</v>
      </c>
      <c r="K16" s="7" t="str">
        <f aca="false">IF(NOT(ISNUMBER(I16)),"n.d.",IF($L16="Suivi","Suivi",IF($M16="","Cible à définir",IF(AND(INDEX(T_Base,MATCH($B16,T_Ref,0))="Oui",ISNUMBER(J16),N(J16)&lt;NMin),"Base insuffisante",IF($L16="≥",IF(I16&gt;=$M16,"Conforme",IF(I16&gt;=$N16,"Vigilance","Hors cible")),IF(I16&lt;=$M16,"Conforme",IF(I16&lt;=$N16,"Vigilance","Hors cible")))))))</f>
        <v>Hors cible</v>
      </c>
      <c r="L16" s="19" t="str">
        <f aca="false">INDEX(T_Sens,MATCH($B16,T_Ref,0))</f>
        <v>≤</v>
      </c>
      <c r="M16" s="11" t="n">
        <f aca="false">IF(INDEX(T_Cible,MATCH($B16,T_Ref,0))="","",INDEX(T_Cible,MATCH($B16,T_Ref,0)))</f>
        <v>0.1</v>
      </c>
      <c r="N16" s="11" t="n">
        <f aca="false">IF(INDEX(T_Alerte,MATCH($B16,T_Ref,0))="","",INDEX(T_Alerte,MATCH($B16,T_Ref,0)))</f>
        <v>0.2</v>
      </c>
      <c r="P16" s="7" t="str">
        <f aca="false">INDEX(L_Domaines,2)</f>
        <v>Passif (souscriptions, rachats, registre)</v>
      </c>
      <c r="Q16" s="10" t="n">
        <f aca="false">COUNTIFS(R_Cpt,1,R_Dom,$P16,R_Enr,"&gt;="&amp;$E$7,R_Enr,"&lt;"&amp;($E$8+1))</f>
        <v>1</v>
      </c>
      <c r="R16" s="12" t="n">
        <f aca="false">COUNTIFS(R_Cpt,1,R_Dom,$P16,R_Enr,"&gt;="&amp;$H$7,R_Enr,"&lt;"&amp;($H$8+1))</f>
        <v>1</v>
      </c>
      <c r="S16" s="12" t="n">
        <f aca="false">COUNTIFS(R_Cpt,1,R_Dom,$P16,R_Enr,"&gt;="&amp;$I$7,R_Enr,"&lt;"&amp;($I$8+1))</f>
        <v>7</v>
      </c>
      <c r="T16" s="11" t="n">
        <f aca="false">IFERROR(S16/$I$14,"n.d.")</f>
        <v>0.127272727272727</v>
      </c>
      <c r="U16" s="7"/>
      <c r="V16" s="7"/>
    </row>
    <row r="17" customFormat="false" ht="15" hidden="false" customHeight="false" outlineLevel="0" collapsed="false">
      <c r="B17" s="16" t="s">
        <v>35</v>
      </c>
      <c r="C17" s="7" t="str">
        <f aca="false">INDEX(T_Lib,MATCH($B17,T_Ref,0))</f>
        <v>Nombre d'incidents critiques</v>
      </c>
      <c r="D17" s="17" t="str">
        <f aca="false">INDEX(T_Unite,MATCH($B17,T_Ref,0))</f>
        <v>nb</v>
      </c>
      <c r="E17" s="10" t="n">
        <f aca="false">COUNTIFS(R_Cpt,1,R_CritN,1,R_Enr,"&gt;="&amp;E$7,R_Enr,"&lt;"&amp;(E$8+1))</f>
        <v>3</v>
      </c>
      <c r="F17" s="18"/>
      <c r="G17" s="7" t="str">
        <f aca="false">IF(NOT(ISNUMBER(E17)),"n.d.",IF($L17="Suivi","Suivi",IF($M17="","Cible à définir",IF(AND(INDEX(T_Base,MATCH($B17,T_Ref,0))="Oui",ISNUMBER(F17),N(F17)&lt;NMin),"Base insuffisante",IF($L17="≥",IF(E17&gt;=$M17,"Conforme",IF(E17&gt;=$N17,"Vigilance","Hors cible")),IF(E17&lt;=$M17,"Conforme",IF(E17&lt;=$N17,"Vigilance","Hors cible")))))))</f>
        <v>Hors cible</v>
      </c>
      <c r="H17" s="12" t="n">
        <f aca="false">COUNTIFS(R_Cpt,1,R_CritN,1,R_Enr,"&gt;="&amp;H$7,R_Enr,"&lt;"&amp;(H$8+1))</f>
        <v>0</v>
      </c>
      <c r="I17" s="12" t="n">
        <f aca="false">COUNTIFS(R_Cpt,1,R_CritN,1,R_Enr,"&gt;="&amp;I$7,R_Enr,"&lt;"&amp;(I$8+1))</f>
        <v>4</v>
      </c>
      <c r="J17" s="18"/>
      <c r="K17" s="7" t="str">
        <f aca="false">IF(NOT(ISNUMBER(I17)),"n.d.",IF($L17="Suivi","Suivi",IF($M17="","Cible à définir",IF(AND(INDEX(T_Base,MATCH($B17,T_Ref,0))="Oui",ISNUMBER(J17),N(J17)&lt;NMin),"Base insuffisante",IF($L17="≥",IF(I17&gt;=$M17,"Conforme",IF(I17&gt;=$N17,"Vigilance","Hors cible")),IF(I17&lt;=$M17,"Conforme",IF(I17&lt;=$N17,"Vigilance","Hors cible")))))))</f>
        <v>Hors cible</v>
      </c>
      <c r="L17" s="19" t="str">
        <f aca="false">INDEX(T_Sens,MATCH($B17,T_Ref,0))</f>
        <v>≤</v>
      </c>
      <c r="M17" s="12" t="n">
        <f aca="false">IF(INDEX(T_Cible,MATCH($B17,T_Ref,0))="","",INDEX(T_Cible,MATCH($B17,T_Ref,0)))</f>
        <v>0</v>
      </c>
      <c r="N17" s="12" t="n">
        <f aca="false">IF(INDEX(T_Alerte,MATCH($B17,T_Ref,0))="","",INDEX(T_Alerte,MATCH($B17,T_Ref,0)))</f>
        <v>0</v>
      </c>
      <c r="P17" s="7" t="str">
        <f aca="false">INDEX(L_Domaines,3)</f>
        <v>Appels de fonds et distributions</v>
      </c>
      <c r="Q17" s="10" t="n">
        <f aca="false">COUNTIFS(R_Cpt,1,R_Dom,$P17,R_Enr,"&gt;="&amp;$E$7,R_Enr,"&lt;"&amp;($E$8+1))</f>
        <v>4</v>
      </c>
      <c r="R17" s="12" t="n">
        <f aca="false">COUNTIFS(R_Cpt,1,R_Dom,$P17,R_Enr,"&gt;="&amp;$H$7,R_Enr,"&lt;"&amp;($H$8+1))</f>
        <v>1</v>
      </c>
      <c r="S17" s="12" t="n">
        <f aca="false">COUNTIFS(R_Cpt,1,R_Dom,$P17,R_Enr,"&gt;="&amp;$I$7,R_Enr,"&lt;"&amp;($I$8+1))</f>
        <v>6</v>
      </c>
      <c r="T17" s="11" t="n">
        <f aca="false">IFERROR(S17/$I$14,"n.d.")</f>
        <v>0.109090909090909</v>
      </c>
      <c r="U17" s="7"/>
      <c r="V17" s="7"/>
    </row>
    <row r="18" customFormat="false" ht="15" hidden="false" customHeight="false" outlineLevel="0" collapsed="false">
      <c r="B18" s="16" t="s">
        <v>36</v>
      </c>
      <c r="C18" s="7" t="str">
        <f aca="false">INDEX(T_Lib,MATCH($B18,T_Ref,0))</f>
        <v>Taux de détection interne</v>
      </c>
      <c r="D18" s="17" t="str">
        <f aca="false">INDEX(T_Unite,MATCH($B18,T_Ref,0))</f>
        <v>%</v>
      </c>
      <c r="E18" s="24" t="n">
        <f aca="false">IFERROR((COUNTIFS(R_Int,1,R_Enr,"&gt;="&amp;E$7,R_Enr,"&lt;"&amp;(E$8+1)))/(COUNTIFS(R_Int,"&gt;=0",R_Enr,"&gt;="&amp;E$7,R_Enr,"&lt;"&amp;(E$8+1))),"n.d.")</f>
        <v>0.952380952380952</v>
      </c>
      <c r="F18" s="18" t="n">
        <f aca="false">COUNTIFS(R_Int,"&gt;=0",R_Enr,"&gt;="&amp;E$7,R_Enr,"&lt;"&amp;(E$8+1))</f>
        <v>21</v>
      </c>
      <c r="G18" s="7" t="str">
        <f aca="false">IF(NOT(ISNUMBER(E18)),"n.d.",IF($L18="Suivi","Suivi",IF($M18="","Cible à définir",IF(AND(INDEX(T_Base,MATCH($B18,T_Ref,0))="Oui",ISNUMBER(F18),N(F18)&lt;NMin),"Base insuffisante",IF($L18="≥",IF(E18&gt;=$M18,"Conforme",IF(E18&gt;=$N18,"Vigilance","Hors cible")),IF(E18&lt;=$M18,"Conforme",IF(E18&lt;=$N18,"Vigilance","Hors cible")))))))</f>
        <v>Conforme</v>
      </c>
      <c r="H18" s="11" t="n">
        <f aca="false">IFERROR((COUNTIFS(R_Int,1,R_Enr,"&gt;="&amp;H$7,R_Enr,"&lt;"&amp;(H$8+1)))/(COUNTIFS(R_Int,"&gt;=0",R_Enr,"&gt;="&amp;H$7,R_Enr,"&lt;"&amp;(H$8+1))),"n.d.")</f>
        <v>0.875</v>
      </c>
      <c r="I18" s="11" t="n">
        <f aca="false">IFERROR((COUNTIFS(R_Int,1,R_Enr,"&gt;="&amp;I$7,R_Enr,"&lt;"&amp;(I$8+1)))/(COUNTIFS(R_Int,"&gt;=0",R_Enr,"&gt;="&amp;I$7,R_Enr,"&lt;"&amp;(I$8+1))),"n.d.")</f>
        <v>0.890909090909091</v>
      </c>
      <c r="J18" s="18" t="n">
        <f aca="false">COUNTIFS(R_Int,"&gt;=0",R_Enr,"&gt;="&amp;I$7,R_Enr,"&lt;"&amp;(I$8+1))</f>
        <v>55</v>
      </c>
      <c r="K18" s="7" t="str">
        <f aca="false">IF(NOT(ISNUMBER(I18)),"n.d.",IF($L18="Suivi","Suivi",IF($M18="","Cible à définir",IF(AND(INDEX(T_Base,MATCH($B18,T_Ref,0))="Oui",ISNUMBER(J18),N(J18)&lt;NMin),"Base insuffisante",IF($L18="≥",IF(I18&gt;=$M18,"Conforme",IF(I18&gt;=$N18,"Vigilance","Hors cible")),IF(I18&lt;=$M18,"Conforme",IF(I18&lt;=$N18,"Vigilance","Hors cible")))))))</f>
        <v>Conforme</v>
      </c>
      <c r="L18" s="19" t="str">
        <f aca="false">INDEX(T_Sens,MATCH($B18,T_Ref,0))</f>
        <v>≥</v>
      </c>
      <c r="M18" s="11" t="n">
        <f aca="false">IF(INDEX(T_Cible,MATCH($B18,T_Ref,0))="","",INDEX(T_Cible,MATCH($B18,T_Ref,0)))</f>
        <v>0.8</v>
      </c>
      <c r="N18" s="11" t="n">
        <f aca="false">IF(INDEX(T_Alerte,MATCH($B18,T_Ref,0))="","",INDEX(T_Alerte,MATCH($B18,T_Ref,0)))</f>
        <v>0.6</v>
      </c>
      <c r="P18" s="7" t="str">
        <f aca="false">INDEX(L_Domaines,4)</f>
        <v>Trésorerie et paiements</v>
      </c>
      <c r="Q18" s="10" t="n">
        <f aca="false">COUNTIFS(R_Cpt,1,R_Dom,$P18,R_Enr,"&gt;="&amp;$E$7,R_Enr,"&lt;"&amp;($E$8+1))</f>
        <v>2</v>
      </c>
      <c r="R18" s="12" t="n">
        <f aca="false">COUNTIFS(R_Cpt,1,R_Dom,$P18,R_Enr,"&gt;="&amp;$H$7,R_Enr,"&lt;"&amp;($H$8+1))</f>
        <v>0</v>
      </c>
      <c r="S18" s="12" t="n">
        <f aca="false">COUNTIFS(R_Cpt,1,R_Dom,$P18,R_Enr,"&gt;="&amp;$I$7,R_Enr,"&lt;"&amp;($I$8+1))</f>
        <v>3</v>
      </c>
      <c r="T18" s="11" t="n">
        <f aca="false">IFERROR(S18/$I$14,"n.d.")</f>
        <v>0.0545454545454545</v>
      </c>
      <c r="U18" s="7"/>
      <c r="V18" s="7"/>
    </row>
    <row r="19" customFormat="false" ht="15" hidden="false" customHeight="false" outlineLevel="0" collapsed="false">
      <c r="B19" s="16" t="s">
        <v>37</v>
      </c>
      <c r="C19" s="7" t="str">
        <f aca="false">INDEX(T_Lib,MATCH($B19,T_Ref,0))</f>
        <v>Concentration : part du premier domaine</v>
      </c>
      <c r="D19" s="17" t="str">
        <f aca="false">INDEX(T_Unite,MATCH($B19,T_Ref,0))</f>
        <v>%</v>
      </c>
      <c r="E19" s="24" t="n">
        <f aca="false">IFERROR(MAX($Q$15:$Q$27)/E$14,"n.d.")</f>
        <v>0.19047619047619</v>
      </c>
      <c r="F19" s="18" t="n">
        <f aca="false">E$14</f>
        <v>21</v>
      </c>
      <c r="G19" s="7" t="str">
        <f aca="false">IF(NOT(ISNUMBER(E19)),"n.d.",IF($L19="Suivi","Suivi",IF($M19="","Cible à définir",IF(AND(INDEX(T_Base,MATCH($B19,T_Ref,0))="Oui",ISNUMBER(F19),N(F19)&lt;NMin),"Base insuffisante",IF($L19="≥",IF(E19&gt;=$M19,"Conforme",IF(E19&gt;=$N19,"Vigilance","Hors cible")),IF(E19&lt;=$M19,"Conforme",IF(E19&lt;=$N19,"Vigilance","Hors cible")))))))</f>
        <v>Conforme</v>
      </c>
      <c r="H19" s="11" t="n">
        <f aca="false">IFERROR(MAX($R$15:$R$27)/H$14,"n.d.")</f>
        <v>0.25</v>
      </c>
      <c r="I19" s="11" t="n">
        <f aca="false">IFERROR(MAX($S$15:$S$27)/I$14,"n.d.")</f>
        <v>0.145454545454545</v>
      </c>
      <c r="J19" s="18" t="n">
        <f aca="false">I$14</f>
        <v>55</v>
      </c>
      <c r="K19" s="7" t="str">
        <f aca="false">IF(NOT(ISNUMBER(I19)),"n.d.",IF($L19="Suivi","Suivi",IF($M19="","Cible à définir",IF(AND(INDEX(T_Base,MATCH($B19,T_Ref,0))="Oui",ISNUMBER(J19),N(J19)&lt;NMin),"Base insuffisante",IF($L19="≥",IF(I19&gt;=$M19,"Conforme",IF(I19&gt;=$N19,"Vigilance","Hors cible")),IF(I19&lt;=$M19,"Conforme",IF(I19&lt;=$N19,"Vigilance","Hors cible")))))))</f>
        <v>Conforme</v>
      </c>
      <c r="L19" s="19" t="str">
        <f aca="false">INDEX(T_Sens,MATCH($B19,T_Ref,0))</f>
        <v>≤</v>
      </c>
      <c r="M19" s="11" t="n">
        <f aca="false">IF(INDEX(T_Cible,MATCH($B19,T_Ref,0))="","",INDEX(T_Cible,MATCH($B19,T_Ref,0)))</f>
        <v>0.3</v>
      </c>
      <c r="N19" s="11" t="n">
        <f aca="false">IF(INDEX(T_Alerte,MATCH($B19,T_Ref,0))="","",INDEX(T_Alerte,MATCH($B19,T_Ref,0)))</f>
        <v>0.5</v>
      </c>
      <c r="P19" s="7" t="str">
        <f aca="false">INDEX(L_Domaines,5)</f>
        <v>Investissements et limites (ratios)</v>
      </c>
      <c r="Q19" s="10" t="n">
        <f aca="false">COUNTIFS(R_Cpt,1,R_Dom,$P19,R_Enr,"&gt;="&amp;$E$7,R_Enr,"&lt;"&amp;($E$8+1))</f>
        <v>1</v>
      </c>
      <c r="R19" s="12" t="n">
        <f aca="false">COUNTIFS(R_Cpt,1,R_Dom,$P19,R_Enr,"&gt;="&amp;$H$7,R_Enr,"&lt;"&amp;($H$8+1))</f>
        <v>0</v>
      </c>
      <c r="S19" s="12" t="n">
        <f aca="false">COUNTIFS(R_Cpt,1,R_Dom,$P19,R_Enr,"&gt;="&amp;$I$7,R_Enr,"&lt;"&amp;($I$8+1))</f>
        <v>3</v>
      </c>
      <c r="T19" s="11" t="n">
        <f aca="false">IFERROR(S19/$I$14,"n.d.")</f>
        <v>0.0545454545454545</v>
      </c>
      <c r="U19" s="7"/>
      <c r="V19" s="7"/>
    </row>
    <row r="20" customFormat="false" ht="15" hidden="false" customHeight="false" outlineLevel="0" collapsed="false">
      <c r="B20" s="16" t="s">
        <v>38</v>
      </c>
      <c r="C20" s="7" t="str">
        <f aca="false">INDEX(T_Lib,MATCH($B20,T_Ref,0))</f>
        <v>Perte opérationnelle nette</v>
      </c>
      <c r="D20" s="17" t="str">
        <f aca="false">INDEX(T_Unite,MATCH($B20,T_Ref,0))</f>
        <v>EUR</v>
      </c>
      <c r="E20" s="25" t="n">
        <f aca="false">SUMIFS(R_PN,R_Cpt,1,R_Enr,"&gt;="&amp;E$7,R_Enr,"&lt;"&amp;(E$8+1))</f>
        <v>95400</v>
      </c>
      <c r="F20" s="18"/>
      <c r="G20" s="7" t="str">
        <f aca="false">IF(NOT(ISNUMBER(E20)),"n.d.",IF($L20="Suivi","Suivi",IF($M20="","Cible à définir",IF(AND(INDEX(T_Base,MATCH($B20,T_Ref,0))="Oui",ISNUMBER(F20),N(F20)&lt;NMin),"Base insuffisante",IF($L20="≥",IF(E20&gt;=$M20,"Conforme",IF(E20&gt;=$N20,"Vigilance","Hors cible")),IF(E20&lt;=$M20,"Conforme",IF(E20&lt;=$N20,"Vigilance","Hors cible")))))))</f>
        <v>Cible à définir</v>
      </c>
      <c r="H20" s="26" t="n">
        <f aca="false">SUMIFS(R_PN,R_Cpt,1,R_Enr,"&gt;="&amp;H$7,R_Enr,"&lt;"&amp;(H$8+1))</f>
        <v>0</v>
      </c>
      <c r="I20" s="26" t="n">
        <f aca="false">SUMIFS(R_PN,R_Cpt,1,R_Enr,"&gt;="&amp;I$7,R_Enr,"&lt;"&amp;(I$8+1))</f>
        <v>301000</v>
      </c>
      <c r="J20" s="18"/>
      <c r="K20" s="7" t="str">
        <f aca="false">IF(NOT(ISNUMBER(I20)),"n.d.",IF($L20="Suivi","Suivi",IF($M20="","Cible à définir",IF(AND(INDEX(T_Base,MATCH($B20,T_Ref,0))="Oui",ISNUMBER(J20),N(J20)&lt;NMin),"Base insuffisante",IF($L20="≥",IF(I20&gt;=$M20,"Conforme",IF(I20&gt;=$N20,"Vigilance","Hors cible")),IF(I20&lt;=$M20,"Conforme",IF(I20&lt;=$N20,"Vigilance","Hors cible")))))))</f>
        <v>Cible à définir</v>
      </c>
      <c r="L20" s="19" t="str">
        <f aca="false">INDEX(T_Sens,MATCH($B20,T_Ref,0))</f>
        <v>≤</v>
      </c>
      <c r="M20" s="26" t="str">
        <f aca="false">IF(INDEX(T_Cible,MATCH($B20,T_Ref,0))="","",INDEX(T_Cible,MATCH($B20,T_Ref,0)))</f>
        <v/>
      </c>
      <c r="N20" s="26" t="str">
        <f aca="false">IF(INDEX(T_Alerte,MATCH($B20,T_Ref,0))="","",INDEX(T_Alerte,MATCH($B20,T_Ref,0)))</f>
        <v/>
      </c>
      <c r="P20" s="7" t="str">
        <f aca="false">INDEX(L_Domaines,6)</f>
        <v>Liquidité (gates, outils de gestion)</v>
      </c>
      <c r="Q20" s="10" t="n">
        <f aca="false">COUNTIFS(R_Cpt,1,R_Dom,$P20,R_Enr,"&gt;="&amp;$E$7,R_Enr,"&lt;"&amp;($E$8+1))</f>
        <v>2</v>
      </c>
      <c r="R20" s="12" t="n">
        <f aca="false">COUNTIFS(R_Cpt,1,R_Dom,$P20,R_Enr,"&gt;="&amp;$H$7,R_Enr,"&lt;"&amp;($H$8+1))</f>
        <v>1</v>
      </c>
      <c r="S20" s="12" t="n">
        <f aca="false">COUNTIFS(R_Cpt,1,R_Dom,$P20,R_Enr,"&gt;="&amp;$I$7,R_Enr,"&lt;"&amp;($I$8+1))</f>
        <v>3</v>
      </c>
      <c r="T20" s="11" t="n">
        <f aca="false">IFERROR(S20/$I$14,"n.d.")</f>
        <v>0.0545454545454545</v>
      </c>
      <c r="U20" s="7"/>
      <c r="V20" s="7"/>
    </row>
    <row r="21" customFormat="false" ht="15" hidden="false" customHeight="false" outlineLevel="0" collapsed="false">
      <c r="B21" s="16" t="s">
        <v>39</v>
      </c>
      <c r="C21" s="7" t="str">
        <f aca="false">INDEX(T_Lib,MATCH($B21,T_Ref,0))</f>
        <v>Nombre d'incidents TIC majeurs (DORA)</v>
      </c>
      <c r="D21" s="17" t="str">
        <f aca="false">INDEX(T_Unite,MATCH($B21,T_Ref,0))</f>
        <v>nb</v>
      </c>
      <c r="E21" s="10" t="n">
        <f aca="false">COUNTIFS(R_Cpt,1,R_DORA,"Oui",R_Enr,"&gt;="&amp;E$7,R_Enr,"&lt;"&amp;(E$8+1))</f>
        <v>1</v>
      </c>
      <c r="F21" s="18"/>
      <c r="G21" s="7" t="str">
        <f aca="false">IF(NOT(ISNUMBER(E21)),"n.d.",IF($L21="Suivi","Suivi",IF($M21="","Cible à définir",IF(AND(INDEX(T_Base,MATCH($B21,T_Ref,0))="Oui",ISNUMBER(F21),N(F21)&lt;NMin),"Base insuffisante",IF($L21="≥",IF(E21&gt;=$M21,"Conforme",IF(E21&gt;=$N21,"Vigilance","Hors cible")),IF(E21&lt;=$M21,"Conforme",IF(E21&lt;=$N21,"Vigilance","Hors cible")))))))</f>
        <v>Hors cible</v>
      </c>
      <c r="H21" s="12" t="n">
        <f aca="false">COUNTIFS(R_Cpt,1,R_DORA,"Oui",R_Enr,"&gt;="&amp;H$7,R_Enr,"&lt;"&amp;(H$8+1))</f>
        <v>0</v>
      </c>
      <c r="I21" s="12" t="n">
        <f aca="false">COUNTIFS(R_Cpt,1,R_DORA,"Oui",R_Enr,"&gt;="&amp;I$7,R_Enr,"&lt;"&amp;(I$8+1))</f>
        <v>2</v>
      </c>
      <c r="J21" s="18"/>
      <c r="K21" s="7" t="str">
        <f aca="false">IF(NOT(ISNUMBER(I21)),"n.d.",IF($L21="Suivi","Suivi",IF($M21="","Cible à définir",IF(AND(INDEX(T_Base,MATCH($B21,T_Ref,0))="Oui",ISNUMBER(J21),N(J21)&lt;NMin),"Base insuffisante",IF($L21="≥",IF(I21&gt;=$M21,"Conforme",IF(I21&gt;=$N21,"Vigilance","Hors cible")),IF(I21&lt;=$M21,"Conforme",IF(I21&lt;=$N21,"Vigilance","Hors cible")))))))</f>
        <v>Hors cible</v>
      </c>
      <c r="L21" s="19" t="str">
        <f aca="false">INDEX(T_Sens,MATCH($B21,T_Ref,0))</f>
        <v>≤</v>
      </c>
      <c r="M21" s="12" t="n">
        <f aca="false">IF(INDEX(T_Cible,MATCH($B21,T_Ref,0))="","",INDEX(T_Cible,MATCH($B21,T_Ref,0)))</f>
        <v>0</v>
      </c>
      <c r="N21" s="12" t="n">
        <f aca="false">IF(INDEX(T_Alerte,MATCH($B21,T_Ref,0))="","",INDEX(T_Alerte,MATCH($B21,T_Ref,0)))</f>
        <v>0</v>
      </c>
      <c r="P21" s="7" t="str">
        <f aca="false">INDEX(L_Domaines,7)</f>
        <v>Conformité et LCB-FT</v>
      </c>
      <c r="Q21" s="10" t="n">
        <f aca="false">COUNTIFS(R_Cpt,1,R_Dom,$P21,R_Enr,"&gt;="&amp;$E$7,R_Enr,"&lt;"&amp;($E$8+1))</f>
        <v>1</v>
      </c>
      <c r="R21" s="12" t="n">
        <f aca="false">COUNTIFS(R_Cpt,1,R_Dom,$P21,R_Enr,"&gt;="&amp;$H$7,R_Enr,"&lt;"&amp;($H$8+1))</f>
        <v>2</v>
      </c>
      <c r="S21" s="12" t="n">
        <f aca="false">COUNTIFS(R_Cpt,1,R_Dom,$P21,R_Enr,"&gt;="&amp;$I$7,R_Enr,"&lt;"&amp;($I$8+1))</f>
        <v>5</v>
      </c>
      <c r="T21" s="11" t="n">
        <f aca="false">IFERROR(S21/$I$14,"n.d.")</f>
        <v>0.0909090909090909</v>
      </c>
      <c r="U21" s="7"/>
      <c r="V21" s="7"/>
    </row>
    <row r="22" customFormat="false" ht="15" hidden="false" customHeight="true" outlineLevel="0" collapsed="false">
      <c r="B22" s="3" t="s">
        <v>40</v>
      </c>
      <c r="C22" s="4"/>
      <c r="D22" s="4"/>
      <c r="E22" s="4"/>
      <c r="F22" s="4"/>
      <c r="G22" s="4"/>
      <c r="H22" s="4"/>
      <c r="I22" s="4"/>
      <c r="J22" s="4"/>
      <c r="K22" s="4"/>
      <c r="L22" s="4"/>
      <c r="M22" s="4"/>
      <c r="N22" s="4"/>
      <c r="P22" s="7" t="str">
        <f aca="false">INDEX(L_Domaines,8)</f>
        <v>Reporting réglementaire (Annex IV, PRIIPs, EET)</v>
      </c>
      <c r="Q22" s="10" t="n">
        <f aca="false">COUNTIFS(R_Cpt,1,R_Dom,$P22,R_Enr,"&gt;="&amp;$E$7,R_Enr,"&lt;"&amp;($E$8+1))</f>
        <v>1</v>
      </c>
      <c r="R22" s="12" t="n">
        <f aca="false">COUNTIFS(R_Cpt,1,R_Dom,$P22,R_Enr,"&gt;="&amp;$H$7,R_Enr,"&lt;"&amp;($H$8+1))</f>
        <v>0</v>
      </c>
      <c r="S22" s="12" t="n">
        <f aca="false">COUNTIFS(R_Cpt,1,R_Dom,$P22,R_Enr,"&gt;="&amp;$I$7,R_Enr,"&lt;"&amp;($I$8+1))</f>
        <v>4</v>
      </c>
      <c r="T22" s="11" t="n">
        <f aca="false">IFERROR(S22/$I$14,"n.d.")</f>
        <v>0.0727272727272727</v>
      </c>
      <c r="U22" s="7"/>
      <c r="V22" s="7"/>
    </row>
    <row r="23" customFormat="false" ht="15" hidden="false" customHeight="false" outlineLevel="0" collapsed="false">
      <c r="B23" s="16" t="s">
        <v>41</v>
      </c>
      <c r="C23" s="7" t="str">
        <f aca="false">INDEX(T_Lib,MATCH($B23,T_Ref,0))</f>
        <v>Délai moyen de détection (MTTD)</v>
      </c>
      <c r="D23" s="17" t="str">
        <f aca="false">INDEX(T_Unite,MATCH($B23,T_Ref,0))</f>
        <v>j.o.</v>
      </c>
      <c r="E23" s="27" t="n">
        <f aca="false">IFERROR(AVERAGEIFS(R_jDet,R_Cpt,1,R_Enr,"&gt;="&amp;E$7,R_Enr,"&lt;"&amp;(E$8+1)),"n.d.")</f>
        <v>1.58907619047619</v>
      </c>
      <c r="F23" s="18" t="n">
        <f aca="false">COUNTIFS(R_jDet,"&gt;=0",R_Enr,"&gt;="&amp;E$7,R_Enr,"&lt;"&amp;(E$8+1))</f>
        <v>21</v>
      </c>
      <c r="G23" s="7" t="str">
        <f aca="false">IF(NOT(ISNUMBER(E23)),"n.d.",IF($L23="Suivi","Suivi",IF($M23="","Cible à définir",IF(AND(INDEX(T_Base,MATCH($B23,T_Ref,0))="Oui",ISNUMBER(F23),N(F23)&lt;NMin),"Base insuffisante",IF($L23="≥",IF(E23&gt;=$M23,"Conforme",IF(E23&gt;=$N23,"Vigilance","Hors cible")),IF(E23&lt;=$M23,"Conforme",IF(E23&lt;=$N23,"Vigilance","Hors cible")))))))</f>
        <v>Conforme</v>
      </c>
      <c r="H23" s="13" t="n">
        <f aca="false">IFERROR(AVERAGEIFS(R_jDet,R_Cpt,1,R_Enr,"&gt;="&amp;H$7,R_Enr,"&lt;"&amp;(H$8+1)),"n.d.")</f>
        <v>2.314825</v>
      </c>
      <c r="I23" s="13" t="n">
        <f aca="false">IFERROR(AVERAGEIFS(R_jDet,R_Cpt,1,R_Enr,"&gt;="&amp;I$7,R_Enr,"&lt;"&amp;(I$8+1)),"n.d.")</f>
        <v>1.62643272727273</v>
      </c>
      <c r="J23" s="18" t="n">
        <f aca="false">COUNTIFS(R_jDet,"&gt;=0",R_Enr,"&gt;="&amp;I$7,R_Enr,"&lt;"&amp;(I$8+1))</f>
        <v>55</v>
      </c>
      <c r="K23" s="7" t="str">
        <f aca="false">IF(NOT(ISNUMBER(I23)),"n.d.",IF($L23="Suivi","Suivi",IF($M23="","Cible à définir",IF(AND(INDEX(T_Base,MATCH($B23,T_Ref,0))="Oui",ISNUMBER(J23),N(J23)&lt;NMin),"Base insuffisante",IF($L23="≥",IF(I23&gt;=$M23,"Conforme",IF(I23&gt;=$N23,"Vigilance","Hors cible")),IF(I23&lt;=$M23,"Conforme",IF(I23&lt;=$N23,"Vigilance","Hors cible")))))))</f>
        <v>Conforme</v>
      </c>
      <c r="L23" s="19" t="str">
        <f aca="false">INDEX(T_Sens,MATCH($B23,T_Ref,0))</f>
        <v>≤</v>
      </c>
      <c r="M23" s="13" t="n">
        <f aca="false">IF(INDEX(T_Cible,MATCH($B23,T_Ref,0))="","",INDEX(T_Cible,MATCH($B23,T_Ref,0)))</f>
        <v>2</v>
      </c>
      <c r="N23" s="13" t="n">
        <f aca="false">IF(INDEX(T_Alerte,MATCH($B23,T_Ref,0))="","",INDEX(T_Alerte,MATCH($B23,T_Ref,0)))</f>
        <v>5</v>
      </c>
      <c r="P23" s="7" t="str">
        <f aca="false">INDEX(L_Domaines,9)</f>
        <v>Reporting investisseurs</v>
      </c>
      <c r="Q23" s="10" t="n">
        <f aca="false">COUNTIFS(R_Cpt,1,R_Dom,$P23,R_Enr,"&gt;="&amp;$E$7,R_Enr,"&lt;"&amp;($E$8+1))</f>
        <v>2</v>
      </c>
      <c r="R23" s="12" t="n">
        <f aca="false">COUNTIFS(R_Cpt,1,R_Dom,$P23,R_Enr,"&gt;="&amp;$H$7,R_Enr,"&lt;"&amp;($H$8+1))</f>
        <v>0</v>
      </c>
      <c r="S23" s="12" t="n">
        <f aca="false">COUNTIFS(R_Cpt,1,R_Dom,$P23,R_Enr,"&gt;="&amp;$I$7,R_Enr,"&lt;"&amp;($I$8+1))</f>
        <v>4</v>
      </c>
      <c r="T23" s="11" t="n">
        <f aca="false">IFERROR(S23/$I$14,"n.d.")</f>
        <v>0.0727272727272727</v>
      </c>
      <c r="U23" s="7"/>
      <c r="V23" s="7"/>
    </row>
    <row r="24" customFormat="false" ht="15" hidden="false" customHeight="false" outlineLevel="0" collapsed="false">
      <c r="B24" s="16" t="s">
        <v>42</v>
      </c>
      <c r="C24" s="7" t="str">
        <f aca="false">INDEX(T_Lib,MATCH($B24,T_Ref,0))</f>
        <v>Délai moyen de déclaration</v>
      </c>
      <c r="D24" s="17" t="str">
        <f aca="false">INDEX(T_Unite,MATCH($B24,T_Ref,0))</f>
        <v>h</v>
      </c>
      <c r="E24" s="27" t="n">
        <f aca="false">IFERROR(AVERAGEIFS(R_hDecl,R_Cpt,1,R_Enr,"&gt;="&amp;E$7,R_Enr,"&lt;"&amp;(E$8+1)),"n.d.")</f>
        <v>0.789690476190476</v>
      </c>
      <c r="F24" s="18" t="n">
        <f aca="false">COUNTIFS(R_hDecl,"&gt;=0",R_Enr,"&gt;="&amp;E$7,R_Enr,"&lt;"&amp;(E$8+1))</f>
        <v>21</v>
      </c>
      <c r="G24" s="7" t="str">
        <f aca="false">IF(NOT(ISNUMBER(E24)),"n.d.",IF($L24="Suivi","Suivi",IF($M24="","Cible à définir",IF(AND(INDEX(T_Base,MATCH($B24,T_Ref,0))="Oui",ISNUMBER(F24),N(F24)&lt;NMin),"Base insuffisante",IF($L24="≥",IF(E24&gt;=$M24,"Conforme",IF(E24&gt;=$N24,"Vigilance","Hors cible")),IF(E24&lt;=$M24,"Conforme",IF(E24&lt;=$N24,"Vigilance","Hors cible")))))))</f>
        <v>Conforme</v>
      </c>
      <c r="H24" s="13" t="n">
        <f aca="false">IFERROR(AVERAGEIFS(R_hDecl,R_Cpt,1,R_Enr,"&gt;="&amp;H$7,R_Enr,"&lt;"&amp;(H$8+1)),"n.d.")</f>
        <v>0.5104125</v>
      </c>
      <c r="I24" s="13" t="n">
        <f aca="false">IFERROR(AVERAGEIFS(R_hDecl,R_Cpt,1,R_Enr,"&gt;="&amp;I$7,R_Enr,"&lt;"&amp;(I$8+1)),"n.d.")</f>
        <v>0.806061818181818</v>
      </c>
      <c r="J24" s="18" t="n">
        <f aca="false">COUNTIFS(R_hDecl,"&gt;=0",R_Enr,"&gt;="&amp;I$7,R_Enr,"&lt;"&amp;(I$8+1))</f>
        <v>55</v>
      </c>
      <c r="K24" s="7" t="str">
        <f aca="false">IF(NOT(ISNUMBER(I24)),"n.d.",IF($L24="Suivi","Suivi",IF($M24="","Cible à définir",IF(AND(INDEX(T_Base,MATCH($B24,T_Ref,0))="Oui",ISNUMBER(J24),N(J24)&lt;NMin),"Base insuffisante",IF($L24="≥",IF(I24&gt;=$M24,"Conforme",IF(I24&gt;=$N24,"Vigilance","Hors cible")),IF(I24&lt;=$M24,"Conforme",IF(I24&lt;=$N24,"Vigilance","Hors cible")))))))</f>
        <v>Conforme</v>
      </c>
      <c r="L24" s="19" t="str">
        <f aca="false">INDEX(T_Sens,MATCH($B24,T_Ref,0))</f>
        <v>≤</v>
      </c>
      <c r="M24" s="13" t="n">
        <f aca="false">IF(INDEX(T_Cible,MATCH($B24,T_Ref,0))="","",INDEX(T_Cible,MATCH($B24,T_Ref,0)))</f>
        <v>4</v>
      </c>
      <c r="N24" s="13" t="n">
        <f aca="false">IF(INDEX(T_Alerte,MATCH($B24,T_Ref,0))="","",INDEX(T_Alerte,MATCH($B24,T_Ref,0)))</f>
        <v>9</v>
      </c>
      <c r="P24" s="7" t="str">
        <f aca="false">INDEX(L_Domaines,10)</f>
        <v>Systèmes d'information et cybersécurité (TIC)</v>
      </c>
      <c r="Q24" s="10" t="n">
        <f aca="false">COUNTIFS(R_Cpt,1,R_Dom,$P24,R_Enr,"&gt;="&amp;$E$7,R_Enr,"&lt;"&amp;($E$8+1))</f>
        <v>4</v>
      </c>
      <c r="R24" s="12" t="n">
        <f aca="false">COUNTIFS(R_Cpt,1,R_Dom,$P24,R_Enr,"&gt;="&amp;$H$7,R_Enr,"&lt;"&amp;($H$8+1))</f>
        <v>0</v>
      </c>
      <c r="S24" s="12" t="n">
        <f aca="false">COUNTIFS(R_Cpt,1,R_Dom,$P24,R_Enr,"&gt;="&amp;$I$7,R_Enr,"&lt;"&amp;($I$8+1))</f>
        <v>7</v>
      </c>
      <c r="T24" s="11" t="n">
        <f aca="false">IFERROR(S24/$I$14,"n.d.")</f>
        <v>0.127272727272727</v>
      </c>
      <c r="U24" s="7"/>
      <c r="V24" s="7"/>
    </row>
    <row r="25" customFormat="false" ht="15" hidden="false" customHeight="false" outlineLevel="0" collapsed="false">
      <c r="B25" s="16" t="s">
        <v>43</v>
      </c>
      <c r="C25" s="7" t="str">
        <f aca="false">INDEX(T_Lib,MATCH($B25,T_Ref,0))</f>
        <v>Temps moyen de prise en compte (MTTA)</v>
      </c>
      <c r="D25" s="17" t="str">
        <f aca="false">INDEX(T_Unite,MATCH($B25,T_Ref,0))</f>
        <v>h</v>
      </c>
      <c r="E25" s="27" t="n">
        <f aca="false">IFERROR(AVERAGEIFS(R_hPEC,R_Cpt,1,R_Enr,"&gt;="&amp;E$7,R_Enr,"&lt;"&amp;(E$8+1)),"n.d.")</f>
        <v>5.72221428571429</v>
      </c>
      <c r="F25" s="18" t="n">
        <f aca="false">COUNTIFS(R_hPEC,"&gt;=0",R_Enr,"&gt;="&amp;E$7,R_Enr,"&lt;"&amp;(E$8+1))</f>
        <v>21</v>
      </c>
      <c r="G25" s="7" t="str">
        <f aca="false">IF(NOT(ISNUMBER(E25)),"n.d.",IF($L25="Suivi","Suivi",IF($M25="","Cible à définir",IF(AND(INDEX(T_Base,MATCH($B25,T_Ref,0))="Oui",ISNUMBER(F25),N(F25)&lt;NMin),"Base insuffisante",IF($L25="≥",IF(E25&gt;=$M25,"Conforme",IF(E25&gt;=$N25,"Vigilance","Hors cible")),IF(E25&lt;=$M25,"Conforme",IF(E25&lt;=$N25,"Vigilance","Hors cible")))))))</f>
        <v>Vigilance</v>
      </c>
      <c r="H25" s="13" t="n">
        <f aca="false">IFERROR(AVERAGEIFS(R_hPEC,R_Cpt,1,R_Enr,"&gt;="&amp;H$7,R_Enr,"&lt;"&amp;(H$8+1)),"n.d.")</f>
        <v>9.260425</v>
      </c>
      <c r="I25" s="13" t="n">
        <f aca="false">IFERROR(AVERAGEIFS(R_hPEC,R_Cpt,1,R_Enr,"&gt;="&amp;I$7,R_Enr,"&lt;"&amp;(I$8+1)),"n.d.")</f>
        <v>5.89394</v>
      </c>
      <c r="J25" s="18" t="n">
        <f aca="false">COUNTIFS(R_hPEC,"&gt;=0",R_Enr,"&gt;="&amp;I$7,R_Enr,"&lt;"&amp;(I$8+1))</f>
        <v>55</v>
      </c>
      <c r="K25" s="7" t="str">
        <f aca="false">IF(NOT(ISNUMBER(I25)),"n.d.",IF($L25="Suivi","Suivi",IF($M25="","Cible à définir",IF(AND(INDEX(T_Base,MATCH($B25,T_Ref,0))="Oui",ISNUMBER(J25),N(J25)&lt;NMin),"Base insuffisante",IF($L25="≥",IF(I25&gt;=$M25,"Conforme",IF(I25&gt;=$N25,"Vigilance","Hors cible")),IF(I25&lt;=$M25,"Conforme",IF(I25&lt;=$N25,"Vigilance","Hors cible")))))))</f>
        <v>Vigilance</v>
      </c>
      <c r="L25" s="19" t="str">
        <f aca="false">INDEX(T_Sens,MATCH($B25,T_Ref,0))</f>
        <v>≤</v>
      </c>
      <c r="M25" s="13" t="n">
        <f aca="false">IF(INDEX(T_Cible,MATCH($B25,T_Ref,0))="","",INDEX(T_Cible,MATCH($B25,T_Ref,0)))</f>
        <v>4</v>
      </c>
      <c r="N25" s="13" t="n">
        <f aca="false">IF(INDEX(T_Alerte,MATCH($B25,T_Ref,0))="","",INDEX(T_Alerte,MATCH($B25,T_Ref,0)))</f>
        <v>9</v>
      </c>
      <c r="P25" s="7" t="str">
        <f aca="false">INDEX(L_Domaines,11)</f>
        <v>Délégataires et prestataires</v>
      </c>
      <c r="Q25" s="10" t="n">
        <f aca="false">COUNTIFS(R_Cpt,1,R_Dom,$P25,R_Enr,"&gt;="&amp;$E$7,R_Enr,"&lt;"&amp;($E$8+1))</f>
        <v>0</v>
      </c>
      <c r="R25" s="12" t="n">
        <f aca="false">COUNTIFS(R_Cpt,1,R_Dom,$P25,R_Enr,"&gt;="&amp;$H$7,R_Enr,"&lt;"&amp;($H$8+1))</f>
        <v>1</v>
      </c>
      <c r="S25" s="12" t="n">
        <f aca="false">COUNTIFS(R_Cpt,1,R_Dom,$P25,R_Enr,"&gt;="&amp;$I$7,R_Enr,"&lt;"&amp;($I$8+1))</f>
        <v>2</v>
      </c>
      <c r="T25" s="11" t="n">
        <f aca="false">IFERROR(S25/$I$14,"n.d.")</f>
        <v>0.0363636363636364</v>
      </c>
      <c r="U25" s="7"/>
      <c r="V25" s="7"/>
    </row>
    <row r="26" customFormat="false" ht="15" hidden="false" customHeight="false" outlineLevel="0" collapsed="false">
      <c r="B26" s="16" t="s">
        <v>44</v>
      </c>
      <c r="C26" s="7" t="str">
        <f aca="false">INDEX(T_Lib,MATCH($B26,T_Ref,0))</f>
        <v>Respect du SLA de prise en compte</v>
      </c>
      <c r="D26" s="17" t="str">
        <f aca="false">INDEX(T_Unite,MATCH($B26,T_Ref,0))</f>
        <v>%</v>
      </c>
      <c r="E26" s="24" t="n">
        <f aca="false">IFERROR((COUNTIFS(R_okPEC,1,R_Enr,"&gt;="&amp;E$7,R_Enr,"&lt;"&amp;(E$8+1)))/(COUNTIFS(R_okPEC,"&gt;=0",R_Enr,"&gt;="&amp;E$7,R_Enr,"&lt;"&amp;(E$8+1))),"n.d.")</f>
        <v>0.904761904761905</v>
      </c>
      <c r="F26" s="18" t="n">
        <f aca="false">COUNTIFS(R_okPEC,"&gt;=0",R_Enr,"&gt;="&amp;E$7,R_Enr,"&lt;"&amp;(E$8+1))</f>
        <v>21</v>
      </c>
      <c r="G26" s="7" t="str">
        <f aca="false">IF(NOT(ISNUMBER(E26)),"n.d.",IF($L26="Suivi","Suivi",IF($M26="","Cible à définir",IF(AND(INDEX(T_Base,MATCH($B26,T_Ref,0))="Oui",ISNUMBER(F26),N(F26)&lt;NMin),"Base insuffisante",IF($L26="≥",IF(E26&gt;=$M26,"Conforme",IF(E26&gt;=$N26,"Vigilance","Hors cible")),IF(E26&lt;=$M26,"Conforme",IF(E26&lt;=$N26,"Vigilance","Hors cible")))))))</f>
        <v>Vigilance</v>
      </c>
      <c r="H26" s="11" t="n">
        <f aca="false">IFERROR((COUNTIFS(R_okPEC,1,R_Enr,"&gt;="&amp;H$7,R_Enr,"&lt;"&amp;(H$8+1)))/(COUNTIFS(R_okPEC,"&gt;=0",R_Enr,"&gt;="&amp;H$7,R_Enr,"&lt;"&amp;(H$8+1))),"n.d.")</f>
        <v>1</v>
      </c>
      <c r="I26" s="11" t="n">
        <f aca="false">IFERROR((COUNTIFS(R_okPEC,1,R_Enr,"&gt;="&amp;I$7,R_Enr,"&lt;"&amp;(I$8+1)))/(COUNTIFS(R_okPEC,"&gt;=0",R_Enr,"&gt;="&amp;I$7,R_Enr,"&lt;"&amp;(I$8+1))),"n.d.")</f>
        <v>0.909090909090909</v>
      </c>
      <c r="J26" s="18" t="n">
        <f aca="false">COUNTIFS(R_okPEC,"&gt;=0",R_Enr,"&gt;="&amp;I$7,R_Enr,"&lt;"&amp;(I$8+1))</f>
        <v>55</v>
      </c>
      <c r="K26" s="7" t="str">
        <f aca="false">IF(NOT(ISNUMBER(I26)),"n.d.",IF($L26="Suivi","Suivi",IF($M26="","Cible à définir",IF(AND(INDEX(T_Base,MATCH($B26,T_Ref,0))="Oui",ISNUMBER(J26),N(J26)&lt;NMin),"Base insuffisante",IF($L26="≥",IF(I26&gt;=$M26,"Conforme",IF(I26&gt;=$N26,"Vigilance","Hors cible")),IF(I26&lt;=$M26,"Conforme",IF(I26&lt;=$N26,"Vigilance","Hors cible")))))))</f>
        <v>Vigilance</v>
      </c>
      <c r="L26" s="19" t="str">
        <f aca="false">INDEX(T_Sens,MATCH($B26,T_Ref,0))</f>
        <v>≥</v>
      </c>
      <c r="M26" s="11" t="n">
        <f aca="false">IF(INDEX(T_Cible,MATCH($B26,T_Ref,0))="","",INDEX(T_Cible,MATCH($B26,T_Ref,0)))</f>
        <v>0.95</v>
      </c>
      <c r="N26" s="11" t="n">
        <f aca="false">IF(INDEX(T_Alerte,MATCH($B26,T_Ref,0))="","",INDEX(T_Alerte,MATCH($B26,T_Ref,0)))</f>
        <v>0.85</v>
      </c>
      <c r="P26" s="7" t="str">
        <f aca="false">INDEX(L_Domaines,12)</f>
        <v>Juridique et documentation des fonds</v>
      </c>
      <c r="Q26" s="10" t="n">
        <f aca="false">COUNTIFS(R_Cpt,1,R_Dom,$P26,R_Enr,"&gt;="&amp;$E$7,R_Enr,"&lt;"&amp;($E$8+1))</f>
        <v>1</v>
      </c>
      <c r="R26" s="12" t="n">
        <f aca="false">COUNTIFS(R_Cpt,1,R_Dom,$P26,R_Enr,"&gt;="&amp;$H$7,R_Enr,"&lt;"&amp;($H$8+1))</f>
        <v>0</v>
      </c>
      <c r="S26" s="12" t="n">
        <f aca="false">COUNTIFS(R_Cpt,1,R_Dom,$P26,R_Enr,"&gt;="&amp;$I$7,R_Enr,"&lt;"&amp;($I$8+1))</f>
        <v>1</v>
      </c>
      <c r="T26" s="11" t="n">
        <f aca="false">IFERROR(S26/$I$14,"n.d.")</f>
        <v>0.0181818181818182</v>
      </c>
      <c r="U26" s="7"/>
      <c r="V26" s="7"/>
    </row>
    <row r="27" customFormat="false" ht="15" hidden="false" customHeight="false" outlineLevel="0" collapsed="false">
      <c r="B27" s="16" t="s">
        <v>45</v>
      </c>
      <c r="C27" s="7" t="str">
        <f aca="false">INDEX(T_Lib,MATCH($B27,T_Ref,0))</f>
        <v>Temps moyen de résolution (MTTR)</v>
      </c>
      <c r="D27" s="17" t="str">
        <f aca="false">INDEX(T_Unite,MATCH($B27,T_Ref,0))</f>
        <v>j.o.</v>
      </c>
      <c r="E27" s="27" t="n">
        <f aca="false">IFERROR(AVERAGEIFS(R_jRes,R_Res,"&gt;="&amp;E$7,R_Res,"&lt;"&amp;(E$8+1)),"n.d.")</f>
        <v>4.80701052631579</v>
      </c>
      <c r="F27" s="18" t="n">
        <f aca="false">COUNTIFS(R_jRes,"&gt;=0",R_Res,"&gt;="&amp;E$7,R_Res,"&lt;"&amp;(E$8+1))</f>
        <v>19</v>
      </c>
      <c r="G27" s="7" t="str">
        <f aca="false">IF(NOT(ISNUMBER(E27)),"n.d.",IF($L27="Suivi","Suivi",IF($M27="","Cible à définir",IF(AND(INDEX(T_Base,MATCH($B27,T_Ref,0))="Oui",ISNUMBER(F27),N(F27)&lt;NMin),"Base insuffisante",IF($L27="≥",IF(E27&gt;=$M27,"Conforme",IF(E27&gt;=$N27,"Vigilance","Hors cible")),IF(E27&lt;=$M27,"Conforme",IF(E27&lt;=$N27,"Vigilance","Hors cible")))))))</f>
        <v>Conforme</v>
      </c>
      <c r="H27" s="13" t="n">
        <f aca="false">IFERROR(AVERAGEIFS(R_jRes,R_Res,"&gt;="&amp;H$7,R_Res,"&lt;"&amp;(H$8+1)),"n.d.")</f>
        <v>8.89154285714286</v>
      </c>
      <c r="I27" s="13" t="n">
        <f aca="false">IFERROR(AVERAGEIFS(R_jRes,R_Res,"&gt;="&amp;I$7,R_Res,"&lt;"&amp;(I$8+1)),"n.d.")</f>
        <v>6.04883921568627</v>
      </c>
      <c r="J27" s="18" t="n">
        <f aca="false">COUNTIFS(R_jRes,"&gt;=0",R_Res,"&gt;="&amp;I$7,R_Res,"&lt;"&amp;(I$8+1))</f>
        <v>51</v>
      </c>
      <c r="K27" s="7" t="str">
        <f aca="false">IF(NOT(ISNUMBER(I27)),"n.d.",IF($L27="Suivi","Suivi",IF($M27="","Cible à définir",IF(AND(INDEX(T_Base,MATCH($B27,T_Ref,0))="Oui",ISNUMBER(J27),N(J27)&lt;NMin),"Base insuffisante",IF($L27="≥",IF(I27&gt;=$M27,"Conforme",IF(I27&gt;=$N27,"Vigilance","Hors cible")),IF(I27&lt;=$M27,"Conforme",IF(I27&lt;=$N27,"Vigilance","Hors cible")))))))</f>
        <v>Vigilance</v>
      </c>
      <c r="L27" s="19" t="str">
        <f aca="false">INDEX(T_Sens,MATCH($B27,T_Ref,0))</f>
        <v>≤</v>
      </c>
      <c r="M27" s="13" t="n">
        <f aca="false">IF(INDEX(T_Cible,MATCH($B27,T_Ref,0))="","",INDEX(T_Cible,MATCH($B27,T_Ref,0)))</f>
        <v>5</v>
      </c>
      <c r="N27" s="13" t="n">
        <f aca="false">IF(INDEX(T_Alerte,MATCH($B27,T_Ref,0))="","",INDEX(T_Alerte,MATCH($B27,T_Ref,0)))</f>
        <v>10</v>
      </c>
      <c r="P27" s="7" t="str">
        <f aca="false">INDEX(L_Domaines,13)</f>
        <v>Autre</v>
      </c>
      <c r="Q27" s="10" t="n">
        <f aca="false">COUNTIFS(R_Cpt,1,R_Dom,$P27,R_Enr,"&gt;="&amp;$E$7,R_Enr,"&lt;"&amp;($E$8+1))</f>
        <v>1</v>
      </c>
      <c r="R27" s="12" t="n">
        <f aca="false">COUNTIFS(R_Cpt,1,R_Dom,$P27,R_Enr,"&gt;="&amp;$H$7,R_Enr,"&lt;"&amp;($H$8+1))</f>
        <v>1</v>
      </c>
      <c r="S27" s="12" t="n">
        <f aca="false">COUNTIFS(R_Cpt,1,R_Dom,$P27,R_Enr,"&gt;="&amp;$I$7,R_Enr,"&lt;"&amp;($I$8+1))</f>
        <v>2</v>
      </c>
      <c r="T27" s="11" t="n">
        <f aca="false">IFERROR(S27/$I$14,"n.d.")</f>
        <v>0.0363636363636364</v>
      </c>
      <c r="U27" s="7"/>
      <c r="V27" s="7"/>
    </row>
    <row r="28" customFormat="false" ht="15" hidden="false" customHeight="false" outlineLevel="0" collapsed="false">
      <c r="B28" s="16" t="s">
        <v>46</v>
      </c>
      <c r="C28" s="7" t="str">
        <f aca="false">INDEX(T_Lib,MATCH($B28,T_Ref,0))</f>
        <v>Délai de résolution - 90e centile</v>
      </c>
      <c r="D28" s="17" t="str">
        <f aca="false">INDEX(T_Unite,MATCH($B28,T_Ref,0))</f>
        <v>j.o.</v>
      </c>
      <c r="E28" s="27" t="n">
        <f aca="false" t="array" ref="E28:E28">IFERROR(PERCENTILE(IF(ISNUMBER(R_jRes)*(R_Res&gt;=E$7)*(R_Res&lt;E$8+1),R_jRes),0.9),"n.d.")</f>
        <v>10.28704</v>
      </c>
      <c r="F28" s="18" t="n">
        <f aca="false">COUNTIFS(R_jRes,"&gt;=0",R_Res,"&gt;="&amp;E$7,R_Res,"&lt;"&amp;(E$8+1))</f>
        <v>19</v>
      </c>
      <c r="G28" s="7" t="str">
        <f aca="false">IF(NOT(ISNUMBER(E28)),"n.d.",IF($L28="Suivi","Suivi",IF($M28="","Cible à définir",IF(AND(INDEX(T_Base,MATCH($B28,T_Ref,0))="Oui",ISNUMBER(F28),N(F28)&lt;NMin),"Base insuffisante",IF($L28="≥",IF(E28&gt;=$M28,"Conforme",IF(E28&gt;=$N28,"Vigilance","Hors cible")),IF(E28&lt;=$M28,"Conforme",IF(E28&lt;=$N28,"Vigilance","Hors cible")))))))</f>
        <v>Vigilance</v>
      </c>
      <c r="H28" s="13" t="n">
        <f aca="false" t="array" ref="H28:H28">IFERROR(PERCENTILE(IF(ISNUMBER(R_jRes)*(R_Res&gt;=H$7)*(R_Res&lt;H$8+1),R_jRes),0.9),"n.d.")</f>
        <v>16.25188</v>
      </c>
      <c r="I28" s="13" t="n">
        <f aca="false" t="array" ref="I28:I28">IFERROR(PERCENTILE(IF(ISNUMBER(R_jRes)*(R_Res&gt;=I$7)*(R_Res&lt;I$8+1),R_jRes),0.9),"n.d.")</f>
        <v>13.8704</v>
      </c>
      <c r="J28" s="18" t="n">
        <f aca="false">COUNTIFS(R_jRes,"&gt;=0",R_Res,"&gt;="&amp;I$7,R_Res,"&lt;"&amp;(I$8+1))</f>
        <v>51</v>
      </c>
      <c r="K28" s="7" t="str">
        <f aca="false">IF(NOT(ISNUMBER(I28)),"n.d.",IF($L28="Suivi","Suivi",IF($M28="","Cible à définir",IF(AND(INDEX(T_Base,MATCH($B28,T_Ref,0))="Oui",ISNUMBER(J28),N(J28)&lt;NMin),"Base insuffisante",IF($L28="≥",IF(I28&gt;=$M28,"Conforme",IF(I28&gt;=$N28,"Vigilance","Hors cible")),IF(I28&lt;=$M28,"Conforme",IF(I28&lt;=$N28,"Vigilance","Hors cible")))))))</f>
        <v>Vigilance</v>
      </c>
      <c r="L28" s="19" t="str">
        <f aca="false">INDEX(T_Sens,MATCH($B28,T_Ref,0))</f>
        <v>≤</v>
      </c>
      <c r="M28" s="13" t="n">
        <f aca="false">IF(INDEX(T_Cible,MATCH($B28,T_Ref,0))="","",INDEX(T_Cible,MATCH($B28,T_Ref,0)))</f>
        <v>10</v>
      </c>
      <c r="N28" s="13" t="n">
        <f aca="false">IF(INDEX(T_Alerte,MATCH($B28,T_Ref,0))="","",INDEX(T_Alerte,MATCH($B28,T_Ref,0)))</f>
        <v>20</v>
      </c>
    </row>
    <row r="29" customFormat="false" ht="15" hidden="false" customHeight="true" outlineLevel="0" collapsed="false">
      <c r="B29" s="16" t="s">
        <v>47</v>
      </c>
      <c r="C29" s="7" t="str">
        <f aca="false">INDEX(T_Lib,MATCH($B29,T_Ref,0))</f>
        <v>Respect du SLA de résolution</v>
      </c>
      <c r="D29" s="17" t="str">
        <f aca="false">INDEX(T_Unite,MATCH($B29,T_Ref,0))</f>
        <v>%</v>
      </c>
      <c r="E29" s="24" t="n">
        <f aca="false">IFERROR((COUNTIFS(R_okRes,1,R_Res,"&gt;="&amp;E$7,R_Res,"&lt;"&amp;(E$8+1)))/(COUNTIFS(R_okRes,"&gt;=0",R_Res,"&gt;="&amp;E$7,R_Res,"&lt;"&amp;(E$8+1))),"n.d.")</f>
        <v>0.894736842105263</v>
      </c>
      <c r="F29" s="18" t="n">
        <f aca="false">COUNTIFS(R_okRes,"&gt;=0",R_Res,"&gt;="&amp;E$7,R_Res,"&lt;"&amp;(E$8+1))</f>
        <v>19</v>
      </c>
      <c r="G29" s="7" t="str">
        <f aca="false">IF(NOT(ISNUMBER(E29)),"n.d.",IF($L29="Suivi","Suivi",IF($M29="","Cible à définir",IF(AND(INDEX(T_Base,MATCH($B29,T_Ref,0))="Oui",ISNUMBER(F29),N(F29)&lt;NMin),"Base insuffisante",IF($L29="≥",IF(E29&gt;=$M29,"Conforme",IF(E29&gt;=$N29,"Vigilance","Hors cible")),IF(E29&lt;=$M29,"Conforme",IF(E29&lt;=$N29,"Vigilance","Hors cible")))))))</f>
        <v>Vigilance</v>
      </c>
      <c r="H29" s="11" t="n">
        <f aca="false">IFERROR((COUNTIFS(R_okRes,1,R_Res,"&gt;="&amp;H$7,R_Res,"&lt;"&amp;(H$8+1)))/(COUNTIFS(R_okRes,"&gt;=0",R_Res,"&gt;="&amp;H$7,R_Res,"&lt;"&amp;(H$8+1))),"n.d.")</f>
        <v>0.857142857142857</v>
      </c>
      <c r="I29" s="11" t="n">
        <f aca="false">IFERROR((COUNTIFS(R_okRes,1,R_Res,"&gt;="&amp;I$7,R_Res,"&lt;"&amp;(I$8+1)))/(COUNTIFS(R_okRes,"&gt;=0",R_Res,"&gt;="&amp;I$7,R_Res,"&lt;"&amp;(I$8+1))),"n.d.")</f>
        <v>0.92156862745098</v>
      </c>
      <c r="J29" s="18" t="n">
        <f aca="false">COUNTIFS(R_okRes,"&gt;=0",R_Res,"&gt;="&amp;I$7,R_Res,"&lt;"&amp;(I$8+1))</f>
        <v>51</v>
      </c>
      <c r="K29" s="7" t="str">
        <f aca="false">IF(NOT(ISNUMBER(I29)),"n.d.",IF($L29="Suivi","Suivi",IF($M29="","Cible à définir",IF(AND(INDEX(T_Base,MATCH($B29,T_Ref,0))="Oui",ISNUMBER(J29),N(J29)&lt;NMin),"Base insuffisante",IF($L29="≥",IF(I29&gt;=$M29,"Conforme",IF(I29&gt;=$N29,"Vigilance","Hors cible")),IF(I29&lt;=$M29,"Conforme",IF(I29&lt;=$N29,"Vigilance","Hors cible")))))))</f>
        <v>Conforme</v>
      </c>
      <c r="L29" s="19" t="str">
        <f aca="false">INDEX(T_Sens,MATCH($B29,T_Ref,0))</f>
        <v>≥</v>
      </c>
      <c r="M29" s="11" t="n">
        <f aca="false">IF(INDEX(T_Cible,MATCH($B29,T_Ref,0))="","",INDEX(T_Cible,MATCH($B29,T_Ref,0)))</f>
        <v>0.9</v>
      </c>
      <c r="N29" s="11" t="n">
        <f aca="false">IF(INDEX(T_Alerte,MATCH($B29,T_Ref,0))="","",INDEX(T_Alerte,MATCH($B29,T_Ref,0)))</f>
        <v>0.8</v>
      </c>
      <c r="P29" s="3" t="s">
        <v>48</v>
      </c>
      <c r="Q29" s="4"/>
      <c r="R29" s="4"/>
      <c r="S29" s="4"/>
      <c r="T29" s="4"/>
      <c r="U29" s="4"/>
      <c r="V29" s="4"/>
    </row>
    <row r="30" customFormat="false" ht="15" hidden="false" customHeight="false" outlineLevel="0" collapsed="false">
      <c r="B30" s="16" t="s">
        <v>49</v>
      </c>
      <c r="C30" s="7" t="str">
        <f aca="false">INDEX(T_Lib,MATCH($B30,T_Ref,0))</f>
        <v>Délai moyen de clôture</v>
      </c>
      <c r="D30" s="17" t="str">
        <f aca="false">INDEX(T_Unite,MATCH($B30,T_Ref,0))</f>
        <v>j.o.</v>
      </c>
      <c r="E30" s="27" t="n">
        <f aca="false">IFERROR(AVERAGEIFS(R_jClo,R_Clo,"&gt;="&amp;E$7,R_Clo,"&lt;"&amp;(E$8+1)),"n.d.")</f>
        <v>19.1280833333333</v>
      </c>
      <c r="F30" s="18" t="n">
        <f aca="false">COUNTIFS(R_jClo,"&gt;=0",R_Clo,"&gt;="&amp;E$7,R_Clo,"&lt;"&amp;(E$8+1))</f>
        <v>18</v>
      </c>
      <c r="G30" s="7" t="str">
        <f aca="false">IF(NOT(ISNUMBER(E30)),"n.d.",IF($L30="Suivi","Suivi",IF($M30="","Cible à définir",IF(AND(INDEX(T_Base,MATCH($B30,T_Ref,0))="Oui",ISNUMBER(F30),N(F30)&lt;NMin),"Base insuffisante",IF($L30="≥",IF(E30&gt;=$M30,"Conforme",IF(E30&gt;=$N30,"Vigilance","Hors cible")),IF(E30&lt;=$M30,"Conforme",IF(E30&lt;=$N30,"Vigilance","Hors cible")))))))</f>
        <v>Conforme</v>
      </c>
      <c r="H30" s="13" t="n">
        <f aca="false">IFERROR(AVERAGEIFS(R_jClo,R_Clo,"&gt;="&amp;H$7,R_Clo,"&lt;"&amp;(H$8+1)),"n.d.")</f>
        <v>22.5821875</v>
      </c>
      <c r="I30" s="13" t="n">
        <f aca="false">IFERROR(AVERAGEIFS(R_jClo,R_Clo,"&gt;="&amp;I$7,R_Clo,"&lt;"&amp;(I$8+1)),"n.d.")</f>
        <v>19.8423957446809</v>
      </c>
      <c r="J30" s="18" t="n">
        <f aca="false">COUNTIFS(R_jClo,"&gt;=0",R_Clo,"&gt;="&amp;I$7,R_Clo,"&lt;"&amp;(I$8+1))</f>
        <v>47</v>
      </c>
      <c r="K30" s="7" t="str">
        <f aca="false">IF(NOT(ISNUMBER(I30)),"n.d.",IF($L30="Suivi","Suivi",IF($M30="","Cible à définir",IF(AND(INDEX(T_Base,MATCH($B30,T_Ref,0))="Oui",ISNUMBER(J30),N(J30)&lt;NMin),"Base insuffisante",IF($L30="≥",IF(I30&gt;=$M30,"Conforme",IF(I30&gt;=$N30,"Vigilance","Hors cible")),IF(I30&lt;=$M30,"Conforme",IF(I30&lt;=$N30,"Vigilance","Hors cible")))))))</f>
        <v>Conforme</v>
      </c>
      <c r="L30" s="19" t="str">
        <f aca="false">INDEX(T_Sens,MATCH($B30,T_Ref,0))</f>
        <v>≤</v>
      </c>
      <c r="M30" s="13" t="n">
        <f aca="false">IF(INDEX(T_Cible,MATCH($B30,T_Ref,0))="","",INDEX(T_Cible,MATCH($B30,T_Ref,0)))</f>
        <v>20</v>
      </c>
      <c r="N30" s="13" t="n">
        <f aca="false">IF(INDEX(T_Alerte,MATCH($B30,T_Ref,0))="","",INDEX(T_Alerte,MATCH($B30,T_Ref,0)))</f>
        <v>40</v>
      </c>
      <c r="P30" s="20" t="s">
        <v>50</v>
      </c>
      <c r="Q30" s="21" t="s">
        <v>5</v>
      </c>
      <c r="R30" s="21" t="s">
        <v>10</v>
      </c>
      <c r="S30" s="21" t="s">
        <v>32</v>
      </c>
      <c r="T30" s="21"/>
      <c r="U30" s="21" t="s">
        <v>51</v>
      </c>
      <c r="V30" s="21"/>
    </row>
    <row r="31" customFormat="false" ht="15" hidden="false" customHeight="true" outlineLevel="0" collapsed="false">
      <c r="B31" s="3" t="s">
        <v>52</v>
      </c>
      <c r="C31" s="4"/>
      <c r="D31" s="4"/>
      <c r="E31" s="4"/>
      <c r="F31" s="4"/>
      <c r="G31" s="4"/>
      <c r="H31" s="4"/>
      <c r="I31" s="4"/>
      <c r="J31" s="4"/>
      <c r="K31" s="4"/>
      <c r="L31" s="4"/>
      <c r="M31" s="4"/>
      <c r="N31" s="4"/>
      <c r="P31" s="7" t="str">
        <f aca="false">INDEX(L_Fonds,1)</f>
        <v>Fonds test 1 (FoF PE evergreen)</v>
      </c>
      <c r="Q31" s="10" t="n">
        <f aca="false">COUNTIFS(R_Cpt,1,R_Fonds,$P31,R_Enr,"&gt;="&amp;$E$7,R_Enr,"&lt;"&amp;($E$8+1))</f>
        <v>7</v>
      </c>
      <c r="R31" s="12" t="n">
        <f aca="false">COUNTIFS(R_Cpt,1,R_Fonds,$P31,R_Enr,"&gt;="&amp;$I$7,R_Enr,"&lt;"&amp;($I$8+1))</f>
        <v>18</v>
      </c>
      <c r="S31" s="11" t="n">
        <f aca="false">IFERROR(R31/$I$14,"n.d.")</f>
        <v>0.327272727272727</v>
      </c>
      <c r="T31" s="7"/>
      <c r="U31" s="26" t="n">
        <f aca="false">SUMIFS(R_PN,R_Cpt,1,R_Fonds,$P31,R_Enr,"&gt;="&amp;$I$7,R_Enr,"&lt;"&amp;($I$8+1))</f>
        <v>88300</v>
      </c>
      <c r="V31" s="7"/>
    </row>
    <row r="32" customFormat="false" ht="15" hidden="false" customHeight="false" outlineLevel="0" collapsed="false">
      <c r="B32" s="16" t="s">
        <v>53</v>
      </c>
      <c r="C32" s="7" t="str">
        <f aca="false">INDEX(T_Lib,MATCH($B32,T_Ref,0))</f>
        <v>Résolution au 1er niveau (criticités 3 et 4)</v>
      </c>
      <c r="D32" s="17" t="str">
        <f aca="false">INDEX(T_Unite,MATCH($B32,T_Ref,0))</f>
        <v>%</v>
      </c>
      <c r="E32" s="24" t="n">
        <f aca="false">IFERROR((COUNTIFS(R_ResN1,1,R_CritN,"&gt;=3",R_Res,"&gt;="&amp;E$7,R_Res,"&lt;"&amp;(E$8+1)))/(COUNTIFS(R_ResN1,"&gt;=0",R_CritN,"&gt;=3",R_Res,"&gt;="&amp;E$7,R_Res,"&lt;"&amp;(E$8+1))),"n.d.")</f>
        <v>1</v>
      </c>
      <c r="F32" s="18" t="n">
        <f aca="false">COUNTIFS(R_ResN1,"&gt;=0",R_CritN,"&gt;=3",R_Res,"&gt;="&amp;E$7,R_Res,"&lt;"&amp;(E$8+1))</f>
        <v>10</v>
      </c>
      <c r="G32" s="7" t="str">
        <f aca="false">IF(NOT(ISNUMBER(E32)),"n.d.",IF($L32="Suivi","Suivi",IF($M32="","Cible à définir",IF(AND(INDEX(T_Base,MATCH($B32,T_Ref,0))="Oui",ISNUMBER(F32),N(F32)&lt;NMin),"Base insuffisante",IF($L32="≥",IF(E32&gt;=$M32,"Conforme",IF(E32&gt;=$N32,"Vigilance","Hors cible")),IF(E32&lt;=$M32,"Conforme",IF(E32&lt;=$N32,"Vigilance","Hors cible")))))))</f>
        <v>Conforme</v>
      </c>
      <c r="H32" s="11" t="n">
        <f aca="false">IFERROR((COUNTIFS(R_ResN1,1,R_CritN,"&gt;=3",R_Res,"&gt;="&amp;H$7,R_Res,"&lt;"&amp;(H$8+1)))/(COUNTIFS(R_ResN1,"&gt;=0",R_CritN,"&gt;=3",R_Res,"&gt;="&amp;H$7,R_Res,"&lt;"&amp;(H$8+1))),"n.d.")</f>
        <v>1</v>
      </c>
      <c r="I32" s="11" t="n">
        <f aca="false">IFERROR((COUNTIFS(R_ResN1,1,R_CritN,"&gt;=3",R_Res,"&gt;="&amp;I$7,R_Res,"&lt;"&amp;(I$8+1)))/(COUNTIFS(R_ResN1,"&gt;=0",R_CritN,"&gt;=3",R_Res,"&gt;="&amp;I$7,R_Res,"&lt;"&amp;(I$8+1))),"n.d.")</f>
        <v>0.972222222222222</v>
      </c>
      <c r="J32" s="18" t="n">
        <f aca="false">COUNTIFS(R_ResN1,"&gt;=0",R_CritN,"&gt;=3",R_Res,"&gt;="&amp;I$7,R_Res,"&lt;"&amp;(I$8+1))</f>
        <v>36</v>
      </c>
      <c r="K32" s="7" t="str">
        <f aca="false">IF(NOT(ISNUMBER(I32)),"n.d.",IF($L32="Suivi","Suivi",IF($M32="","Cible à définir",IF(AND(INDEX(T_Base,MATCH($B32,T_Ref,0))="Oui",ISNUMBER(J32),N(J32)&lt;NMin),"Base insuffisante",IF($L32="≥",IF(I32&gt;=$M32,"Conforme",IF(I32&gt;=$N32,"Vigilance","Hors cible")),IF(I32&lt;=$M32,"Conforme",IF(I32&lt;=$N32,"Vigilance","Hors cible")))))))</f>
        <v>Conforme</v>
      </c>
      <c r="L32" s="19" t="str">
        <f aca="false">INDEX(T_Sens,MATCH($B32,T_Ref,0))</f>
        <v>≥</v>
      </c>
      <c r="M32" s="11" t="n">
        <f aca="false">IF(INDEX(T_Cible,MATCH($B32,T_Ref,0))="","",INDEX(T_Cible,MATCH($B32,T_Ref,0)))</f>
        <v>0.8</v>
      </c>
      <c r="N32" s="11" t="n">
        <f aca="false">IF(INDEX(T_Alerte,MATCH($B32,T_Ref,0))="","",INDEX(T_Alerte,MATCH($B32,T_Ref,0)))</f>
        <v>0.65</v>
      </c>
      <c r="P32" s="7" t="str">
        <f aca="false">INDEX(L_Fonds,2)</f>
        <v>Fonds test 2 (closed-end)</v>
      </c>
      <c r="Q32" s="10" t="n">
        <f aca="false">COUNTIFS(R_Cpt,1,R_Fonds,$P32,R_Enr,"&gt;="&amp;$E$7,R_Enr,"&lt;"&amp;($E$8+1))</f>
        <v>1</v>
      </c>
      <c r="R32" s="12" t="n">
        <f aca="false">COUNTIFS(R_Cpt,1,R_Fonds,$P32,R_Enr,"&gt;="&amp;$I$7,R_Enr,"&lt;"&amp;($I$8+1))</f>
        <v>6</v>
      </c>
      <c r="S32" s="11" t="n">
        <f aca="false">IFERROR(R32/$I$14,"n.d.")</f>
        <v>0.109090909090909</v>
      </c>
      <c r="T32" s="7"/>
      <c r="U32" s="26" t="n">
        <f aca="false">SUMIFS(R_PN,R_Cpt,1,R_Fonds,$P32,R_Enr,"&gt;="&amp;$I$7,R_Enr,"&lt;"&amp;($I$8+1))</f>
        <v>56600</v>
      </c>
      <c r="V32" s="7"/>
    </row>
    <row r="33" customFormat="false" ht="15" hidden="false" customHeight="false" outlineLevel="0" collapsed="false">
      <c r="B33" s="16" t="s">
        <v>54</v>
      </c>
      <c r="C33" s="7" t="str">
        <f aca="false">INDEX(T_Lib,MATCH($B33,T_Ref,0))</f>
        <v>Ratio de traitement (résolus / nouveaux)</v>
      </c>
      <c r="D33" s="17" t="str">
        <f aca="false">INDEX(T_Unite,MATCH($B33,T_Ref,0))</f>
        <v>x</v>
      </c>
      <c r="E33" s="22" t="n">
        <f aca="false">IFERROR(COUNTIFS(R_Cpt,1,R_Res,"&gt;="&amp;E$7,R_Res,"&lt;"&amp;(E$8+1))/E$14,"n.d.")</f>
        <v>0.904761904761905</v>
      </c>
      <c r="F33" s="18" t="n">
        <f aca="false">E$14</f>
        <v>21</v>
      </c>
      <c r="G33" s="7" t="str">
        <f aca="false">IF(NOT(ISNUMBER(E33)),"n.d.",IF($L33="Suivi","Suivi",IF($M33="","Cible à définir",IF(AND(INDEX(T_Base,MATCH($B33,T_Ref,0))="Oui",ISNUMBER(F33),N(F33)&lt;NMin),"Base insuffisante",IF($L33="≥",IF(E33&gt;=$M33,"Conforme",IF(E33&gt;=$N33,"Vigilance","Hors cible")),IF(E33&lt;=$M33,"Conforme",IF(E33&lt;=$N33,"Vigilance","Hors cible")))))))</f>
        <v>Vigilance</v>
      </c>
      <c r="H33" s="23" t="n">
        <f aca="false">IFERROR(COUNTIFS(R_Cpt,1,R_Res,"&gt;="&amp;H$7,R_Res,"&lt;"&amp;(H$8+1))/H$14,"n.d.")</f>
        <v>0.875</v>
      </c>
      <c r="I33" s="23" t="n">
        <f aca="false">IFERROR(COUNTIFS(R_Cpt,1,R_Res,"&gt;="&amp;I$7,R_Res,"&lt;"&amp;(I$8+1))/I$14,"n.d.")</f>
        <v>0.927272727272727</v>
      </c>
      <c r="J33" s="18" t="n">
        <f aca="false">I$14</f>
        <v>55</v>
      </c>
      <c r="K33" s="7" t="str">
        <f aca="false">IF(NOT(ISNUMBER(I33)),"n.d.",IF($L33="Suivi","Suivi",IF($M33="","Cible à définir",IF(AND(INDEX(T_Base,MATCH($B33,T_Ref,0))="Oui",ISNUMBER(J33),N(J33)&lt;NMin),"Base insuffisante",IF($L33="≥",IF(I33&gt;=$M33,"Conforme",IF(I33&gt;=$N33,"Vigilance","Hors cible")),IF(I33&lt;=$M33,"Conforme",IF(I33&lt;=$N33,"Vigilance","Hors cible")))))))</f>
        <v>Vigilance</v>
      </c>
      <c r="L33" s="19" t="str">
        <f aca="false">INDEX(T_Sens,MATCH($B33,T_Ref,0))</f>
        <v>≥</v>
      </c>
      <c r="M33" s="23" t="n">
        <f aca="false">IF(INDEX(T_Cible,MATCH($B33,T_Ref,0))="","",INDEX(T_Cible,MATCH($B33,T_Ref,0)))</f>
        <v>1</v>
      </c>
      <c r="N33" s="23" t="n">
        <f aca="false">IF(INDEX(T_Alerte,MATCH($B33,T_Ref,0))="","",INDEX(T_Alerte,MATCH($B33,T_Ref,0)))</f>
        <v>0.8</v>
      </c>
      <c r="P33" s="7" t="str">
        <f aca="false">INDEX(L_Fonds,3)</f>
        <v>Fonds test 3 (FPS infrastructure)</v>
      </c>
      <c r="Q33" s="10" t="n">
        <f aca="false">COUNTIFS(R_Cpt,1,R_Fonds,$P33,R_Enr,"&gt;="&amp;$E$7,R_Enr,"&lt;"&amp;($E$8+1))</f>
        <v>6</v>
      </c>
      <c r="R33" s="12" t="n">
        <f aca="false">COUNTIFS(R_Cpt,1,R_Fonds,$P33,R_Enr,"&gt;="&amp;$I$7,R_Enr,"&lt;"&amp;($I$8+1))</f>
        <v>15</v>
      </c>
      <c r="S33" s="11" t="n">
        <f aca="false">IFERROR(R33/$I$14,"n.d.")</f>
        <v>0.272727272727273</v>
      </c>
      <c r="T33" s="7"/>
      <c r="U33" s="26" t="n">
        <f aca="false">SUMIFS(R_PN,R_Cpt,1,R_Fonds,$P33,R_Enr,"&gt;="&amp;$I$7,R_Enr,"&lt;"&amp;($I$8+1))</f>
        <v>119400</v>
      </c>
      <c r="V33" s="7"/>
    </row>
    <row r="34" customFormat="false" ht="15" hidden="false" customHeight="false" outlineLevel="0" collapsed="false">
      <c r="B34" s="16" t="s">
        <v>55</v>
      </c>
      <c r="C34" s="7" t="str">
        <f aca="false">INDEX(T_Lib,MATCH($B34,T_Ref,0))</f>
        <v>Backlog en fin de période</v>
      </c>
      <c r="D34" s="17" t="str">
        <f aca="false">INDEX(T_Unite,MATCH($B34,T_Ref,0))</f>
        <v>nb</v>
      </c>
      <c r="E34" s="10" t="n">
        <f aca="false">COUNTIFS(R_Cpt,1,R_Enr,"&lt;"&amp;(E$8+1))-COUNTIFS(R_Cpt,1,R_Enr,"&lt;"&amp;(E$8+1),R_Res,"&lt;"&amp;(E$8+1))</f>
        <v>4</v>
      </c>
      <c r="F34" s="18"/>
      <c r="G34" s="7" t="str">
        <f aca="false">IF(NOT(ISNUMBER(E34)),"n.d.",IF($L34="Suivi","Suivi",IF($M34="","Cible à définir",IF(AND(INDEX(T_Base,MATCH($B34,T_Ref,0))="Oui",ISNUMBER(F34),N(F34)&lt;NMin),"Base insuffisante",IF($L34="≥",IF(E34&gt;=$M34,"Conforme",IF(E34&gt;=$N34,"Vigilance","Hors cible")),IF(E34&lt;=$M34,"Conforme",IF(E34&lt;=$N34,"Vigilance","Hors cible")))))))</f>
        <v>Suivi</v>
      </c>
      <c r="H34" s="12" t="n">
        <f aca="false">COUNTIFS(R_Cpt,1,R_Enr,"&lt;"&amp;(H$8+1))-COUNTIFS(R_Cpt,1,R_Enr,"&lt;"&amp;(H$8+1),R_Res,"&lt;"&amp;(H$8+1))</f>
        <v>2</v>
      </c>
      <c r="I34" s="12" t="n">
        <f aca="false">COUNTIFS(R_Cpt,1,R_Enr,"&lt;"&amp;(I$8+1))-COUNTIFS(R_Cpt,1,R_Enr,"&lt;"&amp;(I$8+1),R_Res,"&lt;"&amp;(I$8+1))</f>
        <v>4</v>
      </c>
      <c r="J34" s="18"/>
      <c r="K34" s="7" t="str">
        <f aca="false">IF(NOT(ISNUMBER(I34)),"n.d.",IF($L34="Suivi","Suivi",IF($M34="","Cible à définir",IF(AND(INDEX(T_Base,MATCH($B34,T_Ref,0))="Oui",ISNUMBER(J34),N(J34)&lt;NMin),"Base insuffisante",IF($L34="≥",IF(I34&gt;=$M34,"Conforme",IF(I34&gt;=$N34,"Vigilance","Hors cible")),IF(I34&lt;=$M34,"Conforme",IF(I34&lt;=$N34,"Vigilance","Hors cible")))))))</f>
        <v>Suivi</v>
      </c>
      <c r="L34" s="19" t="str">
        <f aca="false">INDEX(T_Sens,MATCH($B34,T_Ref,0))</f>
        <v>Suivi</v>
      </c>
      <c r="M34" s="12" t="str">
        <f aca="false">IF(INDEX(T_Cible,MATCH($B34,T_Ref,0))="","",INDEX(T_Cible,MATCH($B34,T_Ref,0)))</f>
        <v/>
      </c>
      <c r="N34" s="12" t="str">
        <f aca="false">IF(INDEX(T_Alerte,MATCH($B34,T_Ref,0))="","",INDEX(T_Alerte,MATCH($B34,T_Ref,0)))</f>
        <v/>
      </c>
      <c r="P34" s="7" t="str">
        <f aca="false">INDEX(L_Fonds,4)</f>
        <v>Fonds test 4 (onboarding)</v>
      </c>
      <c r="Q34" s="10" t="n">
        <f aca="false">COUNTIFS(R_Cpt,1,R_Fonds,$P34,R_Enr,"&gt;="&amp;$E$7,R_Enr,"&lt;"&amp;($E$8+1))</f>
        <v>2</v>
      </c>
      <c r="R34" s="12" t="n">
        <f aca="false">COUNTIFS(R_Cpt,1,R_Fonds,$P34,R_Enr,"&gt;="&amp;$I$7,R_Enr,"&lt;"&amp;($I$8+1))</f>
        <v>4</v>
      </c>
      <c r="S34" s="11" t="n">
        <f aca="false">IFERROR(R34/$I$14,"n.d.")</f>
        <v>0.0727272727272727</v>
      </c>
      <c r="T34" s="7"/>
      <c r="U34" s="26" t="n">
        <f aca="false">SUMIFS(R_PN,R_Cpt,1,R_Fonds,$P34,R_Enr,"&gt;="&amp;$I$7,R_Enr,"&lt;"&amp;($I$8+1))</f>
        <v>23200</v>
      </c>
      <c r="V34" s="7"/>
    </row>
    <row r="35" customFormat="false" ht="15" hidden="false" customHeight="false" outlineLevel="0" collapsed="false">
      <c r="B35" s="16" t="s">
        <v>56</v>
      </c>
      <c r="C35" s="7" t="str">
        <f aca="false">INDEX(T_Lib,MATCH($B35,T_Ref,0))</f>
        <v>Part du backlog hors SLA</v>
      </c>
      <c r="D35" s="17" t="str">
        <f aca="false">INDEX(T_Unite,MATCH($B35,T_Ref,0))</f>
        <v>%</v>
      </c>
      <c r="E35" s="24" t="n">
        <f aca="false">IFERROR(((COUNTIFS(R_Cpt,1,R_Enr,"&lt;"&amp;(E$8+1),R_DL,"&lt;"&amp;(E$8+1))-COUNTIFS(R_Cpt,1,R_Enr,"&lt;"&amp;(E$8+1),R_DL,"&lt;"&amp;(E$8+1),R_Res,"&lt;"&amp;(E$8+1))))/((COUNTIFS(R_Cpt,1,R_Enr,"&lt;"&amp;(E$8+1))-COUNTIFS(R_Cpt,1,R_Enr,"&lt;"&amp;(E$8+1),R_Res,"&lt;"&amp;(E$8+1)))),"n.d.")</f>
        <v>0.75</v>
      </c>
      <c r="F35" s="18" t="n">
        <f aca="false">(COUNTIFS(R_Cpt,1,R_Enr,"&lt;"&amp;(E$8+1))-COUNTIFS(R_Cpt,1,R_Enr,"&lt;"&amp;(E$8+1),R_Res,"&lt;"&amp;(E$8+1)))</f>
        <v>4</v>
      </c>
      <c r="G35" s="7" t="str">
        <f aca="false">IF(NOT(ISNUMBER(E35)),"n.d.",IF($L35="Suivi","Suivi",IF($M35="","Cible à définir",IF(AND(INDEX(T_Base,MATCH($B35,T_Ref,0))="Oui",ISNUMBER(F35),N(F35)&lt;NMin),"Base insuffisante",IF($L35="≥",IF(E35&gt;=$M35,"Conforme",IF(E35&gt;=$N35,"Vigilance","Hors cible")),IF(E35&lt;=$M35,"Conforme",IF(E35&lt;=$N35,"Vigilance","Hors cible")))))))</f>
        <v>Base insuffisante</v>
      </c>
      <c r="H35" s="11" t="n">
        <f aca="false">IFERROR(((COUNTIFS(R_Cpt,1,R_Enr,"&lt;"&amp;(H$8+1),R_DL,"&lt;"&amp;(H$8+1))-COUNTIFS(R_Cpt,1,R_Enr,"&lt;"&amp;(H$8+1),R_DL,"&lt;"&amp;(H$8+1),R_Res,"&lt;"&amp;(H$8+1))))/((COUNTIFS(R_Cpt,1,R_Enr,"&lt;"&amp;(H$8+1))-COUNTIFS(R_Cpt,1,R_Enr,"&lt;"&amp;(H$8+1),R_Res,"&lt;"&amp;(H$8+1)))),"n.d.")</f>
        <v>0</v>
      </c>
      <c r="I35" s="11" t="n">
        <f aca="false">IFERROR(((COUNTIFS(R_Cpt,1,R_Enr,"&lt;"&amp;(I$8+1),R_DL,"&lt;"&amp;(I$8+1))-COUNTIFS(R_Cpt,1,R_Enr,"&lt;"&amp;(I$8+1),R_DL,"&lt;"&amp;(I$8+1),R_Res,"&lt;"&amp;(I$8+1))))/((COUNTIFS(R_Cpt,1,R_Enr,"&lt;"&amp;(I$8+1))-COUNTIFS(R_Cpt,1,R_Enr,"&lt;"&amp;(I$8+1),R_Res,"&lt;"&amp;(I$8+1)))),"n.d.")</f>
        <v>0.75</v>
      </c>
      <c r="J35" s="18" t="n">
        <f aca="false">(COUNTIFS(R_Cpt,1,R_Enr,"&lt;"&amp;(I$8+1))-COUNTIFS(R_Cpt,1,R_Enr,"&lt;"&amp;(I$8+1),R_Res,"&lt;"&amp;(I$8+1)))</f>
        <v>4</v>
      </c>
      <c r="K35" s="7" t="str">
        <f aca="false">IF(NOT(ISNUMBER(I35)),"n.d.",IF($L35="Suivi","Suivi",IF($M35="","Cible à définir",IF(AND(INDEX(T_Base,MATCH($B35,T_Ref,0))="Oui",ISNUMBER(J35),N(J35)&lt;NMin),"Base insuffisante",IF($L35="≥",IF(I35&gt;=$M35,"Conforme",IF(I35&gt;=$N35,"Vigilance","Hors cible")),IF(I35&lt;=$M35,"Conforme",IF(I35&lt;=$N35,"Vigilance","Hors cible")))))))</f>
        <v>Base insuffisante</v>
      </c>
      <c r="L35" s="19" t="str">
        <f aca="false">INDEX(T_Sens,MATCH($B35,T_Ref,0))</f>
        <v>≤</v>
      </c>
      <c r="M35" s="11" t="n">
        <f aca="false">IF(INDEX(T_Cible,MATCH($B35,T_Ref,0))="","",INDEX(T_Cible,MATCH($B35,T_Ref,0)))</f>
        <v>0.1</v>
      </c>
      <c r="N35" s="11" t="n">
        <f aca="false">IF(INDEX(T_Alerte,MATCH($B35,T_Ref,0))="","",INDEX(T_Alerte,MATCH($B35,T_Ref,0)))</f>
        <v>0.25</v>
      </c>
      <c r="P35" s="7" t="str">
        <f aca="false">INDEX(L_Fonds,5)</f>
        <v>Fonds test 5 (nourricier ELTIF)</v>
      </c>
      <c r="Q35" s="10" t="n">
        <f aca="false">COUNTIFS(R_Cpt,1,R_Fonds,$P35,R_Enr,"&gt;="&amp;$E$7,R_Enr,"&lt;"&amp;($E$8+1))</f>
        <v>2</v>
      </c>
      <c r="R35" s="12" t="n">
        <f aca="false">COUNTIFS(R_Cpt,1,R_Fonds,$P35,R_Enr,"&gt;="&amp;$I$7,R_Enr,"&lt;"&amp;($I$8+1))</f>
        <v>6</v>
      </c>
      <c r="S35" s="11" t="n">
        <f aca="false">IFERROR(R35/$I$14,"n.d.")</f>
        <v>0.109090909090909</v>
      </c>
      <c r="T35" s="7"/>
      <c r="U35" s="26" t="n">
        <f aca="false">SUMIFS(R_PN,R_Cpt,1,R_Fonds,$P35,R_Enr,"&gt;="&amp;$I$7,R_Enr,"&lt;"&amp;($I$8+1))</f>
        <v>13500</v>
      </c>
      <c r="V35" s="7"/>
    </row>
    <row r="36" customFormat="false" ht="15" hidden="false" customHeight="false" outlineLevel="0" collapsed="false">
      <c r="B36" s="16" t="s">
        <v>57</v>
      </c>
      <c r="C36" s="7" t="str">
        <f aca="false">INDEX(T_Lib,MATCH($B36,T_Ref,0))</f>
        <v>Taux de réouverture</v>
      </c>
      <c r="D36" s="17" t="str">
        <f aca="false">INDEX(T_Unite,MATCH($B36,T_Ref,0))</f>
        <v>%</v>
      </c>
      <c r="E36" s="24" t="n">
        <f aca="false">IFERROR((COUNTIFS(R_ReoN,1,R_Res,"&gt;="&amp;E$7,R_Res,"&lt;"&amp;(E$8+1)))/(COUNTIFS(R_Cpt,1,R_Res,"&gt;="&amp;E$7,R_Res,"&lt;"&amp;(E$8+1))),"n.d.")</f>
        <v>0.157894736842105</v>
      </c>
      <c r="F36" s="18" t="n">
        <f aca="false">COUNTIFS(R_Cpt,1,R_Res,"&gt;="&amp;E$7,R_Res,"&lt;"&amp;(E$8+1))</f>
        <v>19</v>
      </c>
      <c r="G36" s="7" t="str">
        <f aca="false">IF(NOT(ISNUMBER(E36)),"n.d.",IF($L36="Suivi","Suivi",IF($M36="","Cible à définir",IF(AND(INDEX(T_Base,MATCH($B36,T_Ref,0))="Oui",ISNUMBER(F36),N(F36)&lt;NMin),"Base insuffisante",IF($L36="≥",IF(E36&gt;=$M36,"Conforme",IF(E36&gt;=$N36,"Vigilance","Hors cible")),IF(E36&lt;=$M36,"Conforme",IF(E36&lt;=$N36,"Vigilance","Hors cible")))))))</f>
        <v>Hors cible</v>
      </c>
      <c r="H36" s="11" t="n">
        <f aca="false">IFERROR((COUNTIFS(R_ReoN,1,R_Res,"&gt;="&amp;H$7,R_Res,"&lt;"&amp;(H$8+1)))/(COUNTIFS(R_Cpt,1,R_Res,"&gt;="&amp;H$7,R_Res,"&lt;"&amp;(H$8+1))),"n.d.")</f>
        <v>0</v>
      </c>
      <c r="I36" s="11" t="n">
        <f aca="false">IFERROR((COUNTIFS(R_ReoN,1,R_Res,"&gt;="&amp;I$7,R_Res,"&lt;"&amp;(I$8+1)))/(COUNTIFS(R_Cpt,1,R_Res,"&gt;="&amp;I$7,R_Res,"&lt;"&amp;(I$8+1))),"n.d.")</f>
        <v>0.117647058823529</v>
      </c>
      <c r="J36" s="18" t="n">
        <f aca="false">COUNTIFS(R_Cpt,1,R_Res,"&gt;="&amp;I$7,R_Res,"&lt;"&amp;(I$8+1))</f>
        <v>51</v>
      </c>
      <c r="K36" s="7" t="str">
        <f aca="false">IF(NOT(ISNUMBER(I36)),"n.d.",IF($L36="Suivi","Suivi",IF($M36="","Cible à définir",IF(AND(INDEX(T_Base,MATCH($B36,T_Ref,0))="Oui",ISNUMBER(J36),N(J36)&lt;NMin),"Base insuffisante",IF($L36="≥",IF(I36&gt;=$M36,"Conforme",IF(I36&gt;=$N36,"Vigilance","Hors cible")),IF(I36&lt;=$M36,"Conforme",IF(I36&lt;=$N36,"Vigilance","Hors cible")))))))</f>
        <v>Hors cible</v>
      </c>
      <c r="L36" s="19" t="str">
        <f aca="false">INDEX(T_Sens,MATCH($B36,T_Ref,0))</f>
        <v>≤</v>
      </c>
      <c r="M36" s="11" t="n">
        <f aca="false">IF(INDEX(T_Cible,MATCH($B36,T_Ref,0))="","",INDEX(T_Cible,MATCH($B36,T_Ref,0)))</f>
        <v>0.05</v>
      </c>
      <c r="N36" s="11" t="n">
        <f aca="false">IF(INDEX(T_Alerte,MATCH($B36,T_Ref,0))="","",INDEX(T_Alerte,MATCH($B36,T_Ref,0)))</f>
        <v>0.1</v>
      </c>
      <c r="P36" s="7" t="str">
        <f aca="false">INDEX(L_Fonds,6)</f>
        <v>SGP test (transverse)</v>
      </c>
      <c r="Q36" s="10" t="n">
        <f aca="false">COUNTIFS(R_Cpt,1,R_Fonds,$P36,R_Enr,"&gt;="&amp;$E$7,R_Enr,"&lt;"&amp;($E$8+1))</f>
        <v>3</v>
      </c>
      <c r="R36" s="12" t="n">
        <f aca="false">COUNTIFS(R_Cpt,1,R_Fonds,$P36,R_Enr,"&gt;="&amp;$I$7,R_Enr,"&lt;"&amp;($I$8+1))</f>
        <v>6</v>
      </c>
      <c r="S36" s="11" t="n">
        <f aca="false">IFERROR(R36/$I$14,"n.d.")</f>
        <v>0.109090909090909</v>
      </c>
      <c r="T36" s="7"/>
      <c r="U36" s="26" t="n">
        <f aca="false">SUMIFS(R_PN,R_Cpt,1,R_Fonds,$P36,R_Enr,"&gt;="&amp;$I$7,R_Enr,"&lt;"&amp;($I$8+1))</f>
        <v>0</v>
      </c>
      <c r="V36" s="7"/>
    </row>
    <row r="37" customFormat="false" ht="15" hidden="false" customHeight="false" outlineLevel="0" collapsed="false">
      <c r="B37" s="16" t="s">
        <v>58</v>
      </c>
      <c r="C37" s="7" t="str">
        <f aca="false">INDEX(T_Lib,MATCH($B37,T_Ref,0))</f>
        <v>Taux de récurrence</v>
      </c>
      <c r="D37" s="17" t="str">
        <f aca="false">INDEX(T_Unite,MATCH($B37,T_Ref,0))</f>
        <v>%</v>
      </c>
      <c r="E37" s="24" t="n">
        <f aca="false">IFERROR(COUNTIFS(R_Rec,1,R_Enr,"&gt;="&amp;E$7,R_Enr,"&lt;"&amp;(E$8+1))/E$14,"n.d.")</f>
        <v>0.0476190476190476</v>
      </c>
      <c r="F37" s="18" t="n">
        <f aca="false">E$14</f>
        <v>21</v>
      </c>
      <c r="G37" s="7" t="str">
        <f aca="false">IF(NOT(ISNUMBER(E37)),"n.d.",IF($L37="Suivi","Suivi",IF($M37="","Cible à définir",IF(AND(INDEX(T_Base,MATCH($B37,T_Ref,0))="Oui",ISNUMBER(F37),N(F37)&lt;NMin),"Base insuffisante",IF($L37="≥",IF(E37&gt;=$M37,"Conforme",IF(E37&gt;=$N37,"Vigilance","Hors cible")),IF(E37&lt;=$M37,"Conforme",IF(E37&lt;=$N37,"Vigilance","Hors cible")))))))</f>
        <v>Conforme</v>
      </c>
      <c r="H37" s="11" t="n">
        <f aca="false">IFERROR(COUNTIFS(R_Rec,1,R_Enr,"&gt;="&amp;H$7,R_Enr,"&lt;"&amp;(H$8+1))/H$14,"n.d.")</f>
        <v>0</v>
      </c>
      <c r="I37" s="11" t="n">
        <f aca="false">IFERROR(COUNTIFS(R_Rec,1,R_Enr,"&gt;="&amp;I$7,R_Enr,"&lt;"&amp;(I$8+1))/I$14,"n.d.")</f>
        <v>0.0545454545454545</v>
      </c>
      <c r="J37" s="18" t="n">
        <f aca="false">I$14</f>
        <v>55</v>
      </c>
      <c r="K37" s="7" t="str">
        <f aca="false">IF(NOT(ISNUMBER(I37)),"n.d.",IF($L37="Suivi","Suivi",IF($M37="","Cible à définir",IF(AND(INDEX(T_Base,MATCH($B37,T_Ref,0))="Oui",ISNUMBER(J37),N(J37)&lt;NMin),"Base insuffisante",IF($L37="≥",IF(I37&gt;=$M37,"Conforme",IF(I37&gt;=$N37,"Vigilance","Hors cible")),IF(I37&lt;=$M37,"Conforme",IF(I37&lt;=$N37,"Vigilance","Hors cible")))))))</f>
        <v>Conforme</v>
      </c>
      <c r="L37" s="19" t="str">
        <f aca="false">INDEX(T_Sens,MATCH($B37,T_Ref,0))</f>
        <v>≤</v>
      </c>
      <c r="M37" s="11" t="n">
        <f aca="false">IF(INDEX(T_Cible,MATCH($B37,T_Ref,0))="","",INDEX(T_Cible,MATCH($B37,T_Ref,0)))</f>
        <v>0.1</v>
      </c>
      <c r="N37" s="11" t="n">
        <f aca="false">IF(INDEX(T_Alerte,MATCH($B37,T_Ref,0))="","",INDEX(T_Alerte,MATCH($B37,T_Ref,0)))</f>
        <v>0.2</v>
      </c>
    </row>
    <row r="38" customFormat="false" ht="15" hidden="false" customHeight="true" outlineLevel="0" collapsed="false">
      <c r="B38" s="16" t="s">
        <v>59</v>
      </c>
      <c r="C38" s="7" t="str">
        <f aca="false">INDEX(T_Lib,MATCH($B38,T_Ref,0))</f>
        <v>Couverture des analyses de cause racine (criticités 1 et 2)</v>
      </c>
      <c r="D38" s="17" t="str">
        <f aca="false">INDEX(T_Unite,MATCH($B38,T_Ref,0))</f>
        <v>%</v>
      </c>
      <c r="E38" s="24" t="n">
        <f aca="false">IFERROR((COUNTIFS(R_RCAN,1,R_CritN,"&lt;=2",R_Clo,"&gt;="&amp;E$7,R_Clo,"&lt;"&amp;(E$8+1)))/(COUNTIFS(R_Cpt,1,R_CritN,"&lt;=2",R_Clo,"&gt;="&amp;E$7,R_Clo,"&lt;"&amp;(E$8+1))),"n.d.")</f>
        <v>0.888888888888889</v>
      </c>
      <c r="F38" s="18" t="n">
        <f aca="false">COUNTIFS(R_Cpt,1,R_CritN,"&lt;=2",R_Clo,"&gt;="&amp;E$7,R_Clo,"&lt;"&amp;(E$8+1))</f>
        <v>9</v>
      </c>
      <c r="G38" s="7" t="str">
        <f aca="false">IF(NOT(ISNUMBER(E38)),"n.d.",IF($L38="Suivi","Suivi",IF($M38="","Cible à définir",IF(AND(INDEX(T_Base,MATCH($B38,T_Ref,0))="Oui",ISNUMBER(F38),N(F38)&lt;NMin),"Base insuffisante",IF($L38="≥",IF(E38&gt;=$M38,"Conforme",IF(E38&gt;=$N38,"Vigilance","Hors cible")),IF(E38&lt;=$M38,"Conforme",IF(E38&lt;=$N38,"Vigilance","Hors cible")))))))</f>
        <v>Hors cible</v>
      </c>
      <c r="H38" s="11" t="str">
        <f aca="false">IFERROR((COUNTIFS(R_RCAN,1,R_CritN,"&lt;=2",R_Clo,"&gt;="&amp;H$7,R_Clo,"&lt;"&amp;(H$8+1)))/(COUNTIFS(R_Cpt,1,R_CritN,"&lt;=2",R_Clo,"&gt;="&amp;H$7,R_Clo,"&lt;"&amp;(H$8+1))),"n.d.")</f>
        <v>n.d.</v>
      </c>
      <c r="I38" s="11" t="n">
        <f aca="false">IFERROR((COUNTIFS(R_RCAN,1,R_CritN,"&lt;=2",R_Clo,"&gt;="&amp;I$7,R_Clo,"&lt;"&amp;(I$8+1)))/(COUNTIFS(R_Cpt,1,R_CritN,"&lt;=2",R_Clo,"&gt;="&amp;I$7,R_Clo,"&lt;"&amp;(I$8+1))),"n.d.")</f>
        <v>0.857142857142857</v>
      </c>
      <c r="J38" s="18" t="n">
        <f aca="false">COUNTIFS(R_Cpt,1,R_CritN,"&lt;=2",R_Clo,"&gt;="&amp;I$7,R_Clo,"&lt;"&amp;(I$8+1))</f>
        <v>14</v>
      </c>
      <c r="K38" s="7" t="str">
        <f aca="false">IF(NOT(ISNUMBER(I38)),"n.d.",IF($L38="Suivi","Suivi",IF($M38="","Cible à définir",IF(AND(INDEX(T_Base,MATCH($B38,T_Ref,0))="Oui",ISNUMBER(J38),N(J38)&lt;NMin),"Base insuffisante",IF($L38="≥",IF(I38&gt;=$M38,"Conforme",IF(I38&gt;=$N38,"Vigilance","Hors cible")),IF(I38&lt;=$M38,"Conforme",IF(I38&lt;=$N38,"Vigilance","Hors cible")))))))</f>
        <v>Hors cible</v>
      </c>
      <c r="L38" s="19" t="str">
        <f aca="false">INDEX(T_Sens,MATCH($B38,T_Ref,0))</f>
        <v>≥</v>
      </c>
      <c r="M38" s="11" t="n">
        <f aca="false">IF(INDEX(T_Cible,MATCH($B38,T_Ref,0))="","",INDEX(T_Cible,MATCH($B38,T_Ref,0)))</f>
        <v>1</v>
      </c>
      <c r="N38" s="11" t="n">
        <f aca="false">IF(INDEX(T_Alerte,MATCH($B38,T_Ref,0))="","",INDEX(T_Alerte,MATCH($B38,T_Ref,0)))</f>
        <v>0.9</v>
      </c>
      <c r="P38" s="3" t="s">
        <v>60</v>
      </c>
      <c r="Q38" s="4"/>
      <c r="R38" s="4"/>
      <c r="S38" s="4"/>
      <c r="T38" s="4"/>
      <c r="U38" s="4"/>
      <c r="V38" s="4"/>
    </row>
    <row r="39" customFormat="false" ht="15" hidden="false" customHeight="false" outlineLevel="0" collapsed="false">
      <c r="B39" s="16" t="s">
        <v>61</v>
      </c>
      <c r="C39" s="7" t="str">
        <f aca="false">INDEX(T_Lib,MATCH($B39,T_Ref,0))</f>
        <v>Actions correctives réalisées à échéance</v>
      </c>
      <c r="D39" s="17" t="str">
        <f aca="false">INDEX(T_Unite,MATCH($B39,T_Ref,0))</f>
        <v>%</v>
      </c>
      <c r="E39" s="24" t="n">
        <f aca="false">IFERROR((COUNTIFS(R_ActOK,1,R_Ech,"&gt;="&amp;E$7,R_Ech,"&lt;"&amp;(E$8+1)))/(COUNTIFS(R_ActOK,"&gt;=0",R_Ech,"&gt;="&amp;E$7,R_Ech,"&lt;"&amp;(E$8+1))),"n.d.")</f>
        <v>0.9</v>
      </c>
      <c r="F39" s="18" t="n">
        <f aca="false">COUNTIFS(R_ActOK,"&gt;=0",R_Ech,"&gt;="&amp;E$7,R_Ech,"&lt;"&amp;(E$8+1))</f>
        <v>10</v>
      </c>
      <c r="G39" s="7" t="str">
        <f aca="false">IF(NOT(ISNUMBER(E39)),"n.d.",IF($L39="Suivi","Suivi",IF($M39="","Cible à définir",IF(AND(INDEX(T_Base,MATCH($B39,T_Ref,0))="Oui",ISNUMBER(F39),N(F39)&lt;NMin),"Base insuffisante",IF($L39="≥",IF(E39&gt;=$M39,"Conforme",IF(E39&gt;=$N39,"Vigilance","Hors cible")),IF(E39&lt;=$M39,"Conforme",IF(E39&lt;=$N39,"Vigilance","Hors cible")))))))</f>
        <v>Conforme</v>
      </c>
      <c r="H39" s="11" t="n">
        <f aca="false">IFERROR((COUNTIFS(R_ActOK,1,R_Ech,"&gt;="&amp;H$7,R_Ech,"&lt;"&amp;(H$8+1)))/(COUNTIFS(R_ActOK,"&gt;=0",R_Ech,"&gt;="&amp;H$7,R_Ech,"&lt;"&amp;(H$8+1))),"n.d.")</f>
        <v>1</v>
      </c>
      <c r="I39" s="11" t="n">
        <f aca="false">IFERROR((COUNTIFS(R_ActOK,1,R_Ech,"&gt;="&amp;I$7,R_Ech,"&lt;"&amp;(I$8+1)))/(COUNTIFS(R_ActOK,"&gt;=0",R_Ech,"&gt;="&amp;I$7,R_Ech,"&lt;"&amp;(I$8+1))),"n.d.")</f>
        <v>0.92</v>
      </c>
      <c r="J39" s="18" t="n">
        <f aca="false">COUNTIFS(R_ActOK,"&gt;=0",R_Ech,"&gt;="&amp;I$7,R_Ech,"&lt;"&amp;(I$8+1))</f>
        <v>25</v>
      </c>
      <c r="K39" s="7" t="str">
        <f aca="false">IF(NOT(ISNUMBER(I39)),"n.d.",IF($L39="Suivi","Suivi",IF($M39="","Cible à définir",IF(AND(INDEX(T_Base,MATCH($B39,T_Ref,0))="Oui",ISNUMBER(J39),N(J39)&lt;NMin),"Base insuffisante",IF($L39="≥",IF(I39&gt;=$M39,"Conforme",IF(I39&gt;=$N39,"Vigilance","Hors cible")),IF(I39&lt;=$M39,"Conforme",IF(I39&lt;=$N39,"Vigilance","Hors cible")))))))</f>
        <v>Conforme</v>
      </c>
      <c r="L39" s="19" t="str">
        <f aca="false">INDEX(T_Sens,MATCH($B39,T_Ref,0))</f>
        <v>≥</v>
      </c>
      <c r="M39" s="11" t="n">
        <f aca="false">IF(INDEX(T_Cible,MATCH($B39,T_Ref,0))="","",INDEX(T_Cible,MATCH($B39,T_Ref,0)))</f>
        <v>0.9</v>
      </c>
      <c r="N39" s="11" t="n">
        <f aca="false">IF(INDEX(T_Alerte,MATCH($B39,T_Ref,0))="","",INDEX(T_Alerte,MATCH($B39,T_Ref,0)))</f>
        <v>0.75</v>
      </c>
      <c r="P39" s="20" t="s">
        <v>62</v>
      </c>
      <c r="Q39" s="21" t="s">
        <v>5</v>
      </c>
      <c r="R39" s="21" t="s">
        <v>9</v>
      </c>
      <c r="S39" s="21" t="s">
        <v>10</v>
      </c>
      <c r="T39" s="21" t="s">
        <v>9</v>
      </c>
      <c r="U39" s="21"/>
      <c r="V39" s="21"/>
    </row>
    <row r="40" customFormat="false" ht="15" hidden="false" customHeight="true" outlineLevel="0" collapsed="false">
      <c r="B40" s="3" t="s">
        <v>63</v>
      </c>
      <c r="C40" s="4"/>
      <c r="D40" s="4"/>
      <c r="E40" s="4"/>
      <c r="F40" s="4"/>
      <c r="G40" s="4"/>
      <c r="H40" s="4"/>
      <c r="I40" s="4"/>
      <c r="J40" s="4"/>
      <c r="K40" s="4"/>
      <c r="L40" s="4"/>
      <c r="M40" s="4"/>
      <c r="N40" s="4"/>
      <c r="P40" s="7" t="str">
        <f aca="false">"N"&amp;INDEX(L_NivNum,1)&amp;" - "&amp;INDEX(L_NivLib,1)</f>
        <v>N1 - Opérationnel</v>
      </c>
      <c r="Q40" s="10" t="n">
        <f aca="false">COUNTIFS(R_Niv,INDEX(L_NivNum,1),R_Enr,"&gt;="&amp;$E$7,R_Enr,"&lt;"&amp;($E$8+1))</f>
        <v>13</v>
      </c>
      <c r="R40" s="11" t="n">
        <f aca="false">IFERROR(Q40/$E$14,"n.d.")</f>
        <v>0.619047619047619</v>
      </c>
      <c r="S40" s="12" t="n">
        <f aca="false">COUNTIFS(R_Niv,INDEX(L_NivNum,1),R_Enr,"&gt;="&amp;$I$7,R_Enr,"&lt;"&amp;($I$8+1))</f>
        <v>41</v>
      </c>
      <c r="T40" s="11" t="n">
        <f aca="false">IFERROR(S40/$I$14,"n.d.")</f>
        <v>0.745454545454546</v>
      </c>
      <c r="U40" s="7"/>
      <c r="V40" s="7"/>
    </row>
    <row r="41" customFormat="false" ht="15" hidden="false" customHeight="false" outlineLevel="0" collapsed="false">
      <c r="B41" s="16" t="s">
        <v>64</v>
      </c>
      <c r="C41" s="7" t="str">
        <f aca="false">INDEX(T_Lib,MATCH($B41,T_Ref,0))</f>
        <v>Taux d'escalade global (N2 et plus)</v>
      </c>
      <c r="D41" s="17" t="str">
        <f aca="false">INDEX(T_Unite,MATCH($B41,T_Ref,0))</f>
        <v>%</v>
      </c>
      <c r="E41" s="24" t="n">
        <f aca="false">IFERROR(COUNTIFS(R_Niv,"&gt;=2",R_Enr,"&gt;="&amp;E$7,R_Enr,"&lt;"&amp;(E$8+1))/E$14,"n.d.")</f>
        <v>0.380952380952381</v>
      </c>
      <c r="F41" s="18" t="n">
        <f aca="false">E$14</f>
        <v>21</v>
      </c>
      <c r="G41" s="7" t="str">
        <f aca="false">IF(NOT(ISNUMBER(E41)),"n.d.",IF($L41="Suivi","Suivi",IF($M41="","Cible à définir",IF(AND(INDEX(T_Base,MATCH($B41,T_Ref,0))="Oui",ISNUMBER(F41),N(F41)&lt;NMin),"Base insuffisante",IF($L41="≥",IF(E41&gt;=$M41,"Conforme",IF(E41&gt;=$N41,"Vigilance","Hors cible")),IF(E41&lt;=$M41,"Conforme",IF(E41&lt;=$N41,"Vigilance","Hors cible")))))))</f>
        <v>Vigilance</v>
      </c>
      <c r="H41" s="11" t="n">
        <f aca="false">IFERROR(COUNTIFS(R_Niv,"&gt;=2",R_Enr,"&gt;="&amp;H$7,R_Enr,"&lt;"&amp;(H$8+1))/H$14,"n.d.")</f>
        <v>0.125</v>
      </c>
      <c r="I41" s="11" t="n">
        <f aca="false">IFERROR(COUNTIFS(R_Niv,"&gt;=2",R_Enr,"&gt;="&amp;I$7,R_Enr,"&lt;"&amp;(I$8+1))/I$14,"n.d.")</f>
        <v>0.254545454545455</v>
      </c>
      <c r="J41" s="18" t="n">
        <f aca="false">I$14</f>
        <v>55</v>
      </c>
      <c r="K41" s="7" t="str">
        <f aca="false">IF(NOT(ISNUMBER(I41)),"n.d.",IF($L41="Suivi","Suivi",IF($M41="","Cible à définir",IF(AND(INDEX(T_Base,MATCH($B41,T_Ref,0))="Oui",ISNUMBER(J41),N(J41)&lt;NMin),"Base insuffisante",IF($L41="≥",IF(I41&gt;=$M41,"Conforme",IF(I41&gt;=$N41,"Vigilance","Hors cible")),IF(I41&lt;=$M41,"Conforme",IF(I41&lt;=$N41,"Vigilance","Hors cible")))))))</f>
        <v>Conforme</v>
      </c>
      <c r="L41" s="19" t="str">
        <f aca="false">INDEX(T_Sens,MATCH($B41,T_Ref,0))</f>
        <v>≤</v>
      </c>
      <c r="M41" s="11" t="n">
        <f aca="false">IF(INDEX(T_Cible,MATCH($B41,T_Ref,0))="","",INDEX(T_Cible,MATCH($B41,T_Ref,0)))</f>
        <v>0.3</v>
      </c>
      <c r="N41" s="11" t="n">
        <f aca="false">IF(INDEX(T_Alerte,MATCH($B41,T_Ref,0))="","",INDEX(T_Alerte,MATCH($B41,T_Ref,0)))</f>
        <v>0.4</v>
      </c>
      <c r="P41" s="7" t="str">
        <f aca="false">"N"&amp;INDEX(L_NivNum,2)&amp;" - "&amp;INDEX(L_NivLib,2)</f>
        <v>N2 - Contrôle</v>
      </c>
      <c r="Q41" s="10" t="n">
        <f aca="false">COUNTIFS(R_Niv,INDEX(L_NivNum,2),R_Enr,"&gt;="&amp;$E$7,R_Enr,"&lt;"&amp;($E$8+1))</f>
        <v>2</v>
      </c>
      <c r="R41" s="11" t="n">
        <f aca="false">IFERROR(Q41/$E$14,"n.d.")</f>
        <v>0.0952380952380952</v>
      </c>
      <c r="S41" s="12" t="n">
        <f aca="false">COUNTIFS(R_Niv,INDEX(L_NivNum,2),R_Enr,"&gt;="&amp;$I$7,R_Enr,"&lt;"&amp;($I$8+1))</f>
        <v>7</v>
      </c>
      <c r="T41" s="11" t="n">
        <f aca="false">IFERROR(S41/$I$14,"n.d.")</f>
        <v>0.127272727272727</v>
      </c>
      <c r="U41" s="7"/>
      <c r="V41" s="7"/>
    </row>
    <row r="42" customFormat="false" ht="15" hidden="false" customHeight="false" outlineLevel="0" collapsed="false">
      <c r="B42" s="16" t="s">
        <v>65</v>
      </c>
      <c r="C42" s="7" t="str">
        <f aca="false">INDEX(T_Lib,MATCH($B42,T_Ref,0))</f>
        <v>Taux d'escalade à la Direction (N3 et plus)</v>
      </c>
      <c r="D42" s="17" t="str">
        <f aca="false">INDEX(T_Unite,MATCH($B42,T_Ref,0))</f>
        <v>%</v>
      </c>
      <c r="E42" s="24" t="n">
        <f aca="false">IFERROR(COUNTIFS(R_Niv,"&gt;=3",R_Enr,"&gt;="&amp;E$7,R_Enr,"&lt;"&amp;(E$8+1))/E$14,"n.d.")</f>
        <v>0.285714285714286</v>
      </c>
      <c r="F42" s="18" t="n">
        <f aca="false">E$14</f>
        <v>21</v>
      </c>
      <c r="G42" s="7" t="str">
        <f aca="false">IF(NOT(ISNUMBER(E42)),"n.d.",IF($L42="Suivi","Suivi",IF($M42="","Cible à définir",IF(AND(INDEX(T_Base,MATCH($B42,T_Ref,0))="Oui",ISNUMBER(F42),N(F42)&lt;NMin),"Base insuffisante",IF($L42="≥",IF(E42&gt;=$M42,"Conforme",IF(E42&gt;=$N42,"Vigilance","Hors cible")),IF(E42&lt;=$M42,"Conforme",IF(E42&lt;=$N42,"Vigilance","Hors cible")))))))</f>
        <v>Hors cible</v>
      </c>
      <c r="H42" s="11" t="n">
        <f aca="false">IFERROR(COUNTIFS(R_Niv,"&gt;=3",R_Enr,"&gt;="&amp;H$7,R_Enr,"&lt;"&amp;(H$8+1))/H$14,"n.d.")</f>
        <v>0</v>
      </c>
      <c r="I42" s="11" t="n">
        <f aca="false">IFERROR(COUNTIFS(R_Niv,"&gt;=3",R_Enr,"&gt;="&amp;I$7,R_Enr,"&lt;"&amp;(I$8+1))/I$14,"n.d.")</f>
        <v>0.127272727272727</v>
      </c>
      <c r="J42" s="18" t="n">
        <f aca="false">I$14</f>
        <v>55</v>
      </c>
      <c r="K42" s="7" t="str">
        <f aca="false">IF(NOT(ISNUMBER(I42)),"n.d.",IF($L42="Suivi","Suivi",IF($M42="","Cible à définir",IF(AND(INDEX(T_Base,MATCH($B42,T_Ref,0))="Oui",ISNUMBER(J42),N(J42)&lt;NMin),"Base insuffisante",IF($L42="≥",IF(I42&gt;=$M42,"Conforme",IF(I42&gt;=$N42,"Vigilance","Hors cible")),IF(I42&lt;=$M42,"Conforme",IF(I42&lt;=$N42,"Vigilance","Hors cible")))))))</f>
        <v>Vigilance</v>
      </c>
      <c r="L42" s="19" t="str">
        <f aca="false">INDEX(T_Sens,MATCH($B42,T_Ref,0))</f>
        <v>≤</v>
      </c>
      <c r="M42" s="11" t="n">
        <f aca="false">IF(INDEX(T_Cible,MATCH($B42,T_Ref,0))="","",INDEX(T_Cible,MATCH($B42,T_Ref,0)))</f>
        <v>0.1</v>
      </c>
      <c r="N42" s="11" t="n">
        <f aca="false">IF(INDEX(T_Alerte,MATCH($B42,T_Ref,0))="","",INDEX(T_Alerte,MATCH($B42,T_Ref,0)))</f>
        <v>0.2</v>
      </c>
      <c r="P42" s="7" t="str">
        <f aca="false">"N"&amp;INDEX(L_NivNum,3)&amp;" - "&amp;INDEX(L_NivLib,3)</f>
        <v>N3 - Direction</v>
      </c>
      <c r="Q42" s="10" t="n">
        <f aca="false">COUNTIFS(R_Niv,INDEX(L_NivNum,3),R_Enr,"&gt;="&amp;$E$7,R_Enr,"&lt;"&amp;($E$8+1))</f>
        <v>1</v>
      </c>
      <c r="R42" s="11" t="n">
        <f aca="false">IFERROR(Q42/$E$14,"n.d.")</f>
        <v>0.0476190476190476</v>
      </c>
      <c r="S42" s="12" t="n">
        <f aca="false">COUNTIFS(R_Niv,INDEX(L_NivNum,3),R_Enr,"&gt;="&amp;$I$7,R_Enr,"&lt;"&amp;($I$8+1))</f>
        <v>1</v>
      </c>
      <c r="T42" s="11" t="n">
        <f aca="false">IFERROR(S42/$I$14,"n.d.")</f>
        <v>0.0181818181818182</v>
      </c>
      <c r="U42" s="7"/>
      <c r="V42" s="7"/>
    </row>
    <row r="43" customFormat="false" ht="15" hidden="false" customHeight="false" outlineLevel="0" collapsed="false">
      <c r="B43" s="16" t="s">
        <v>66</v>
      </c>
      <c r="C43" s="7" t="str">
        <f aca="false">INDEX(T_Lib,MATCH($B43,T_Ref,0))</f>
        <v>Taux d'escalade externe (N4)</v>
      </c>
      <c r="D43" s="17" t="str">
        <f aca="false">INDEX(T_Unite,MATCH($B43,T_Ref,0))</f>
        <v>%</v>
      </c>
      <c r="E43" s="24" t="n">
        <f aca="false">IFERROR(COUNTIFS(R_Niv,4,R_Enr,"&gt;="&amp;E$7,R_Enr,"&lt;"&amp;(E$8+1))/E$14,"n.d.")</f>
        <v>0.238095238095238</v>
      </c>
      <c r="F43" s="18" t="n">
        <f aca="false">E$14</f>
        <v>21</v>
      </c>
      <c r="G43" s="7" t="str">
        <f aca="false">IF(NOT(ISNUMBER(E43)),"n.d.",IF($L43="Suivi","Suivi",IF($M43="","Cible à définir",IF(AND(INDEX(T_Base,MATCH($B43,T_Ref,0))="Oui",ISNUMBER(F43),N(F43)&lt;NMin),"Base insuffisante",IF($L43="≥",IF(E43&gt;=$M43,"Conforme",IF(E43&gt;=$N43,"Vigilance","Hors cible")),IF(E43&lt;=$M43,"Conforme",IF(E43&lt;=$N43,"Vigilance","Hors cible")))))))</f>
        <v>Suivi</v>
      </c>
      <c r="H43" s="11" t="n">
        <f aca="false">IFERROR(COUNTIFS(R_Niv,4,R_Enr,"&gt;="&amp;H$7,R_Enr,"&lt;"&amp;(H$8+1))/H$14,"n.d.")</f>
        <v>0</v>
      </c>
      <c r="I43" s="11" t="n">
        <f aca="false">IFERROR(COUNTIFS(R_Niv,4,R_Enr,"&gt;="&amp;I$7,R_Enr,"&lt;"&amp;(I$8+1))/I$14,"n.d.")</f>
        <v>0.109090909090909</v>
      </c>
      <c r="J43" s="18" t="n">
        <f aca="false">I$14</f>
        <v>55</v>
      </c>
      <c r="K43" s="7" t="str">
        <f aca="false">IF(NOT(ISNUMBER(I43)),"n.d.",IF($L43="Suivi","Suivi",IF($M43="","Cible à définir",IF(AND(INDEX(T_Base,MATCH($B43,T_Ref,0))="Oui",ISNUMBER(J43),N(J43)&lt;NMin),"Base insuffisante",IF($L43="≥",IF(I43&gt;=$M43,"Conforme",IF(I43&gt;=$N43,"Vigilance","Hors cible")),IF(I43&lt;=$M43,"Conforme",IF(I43&lt;=$N43,"Vigilance","Hors cible")))))))</f>
        <v>Suivi</v>
      </c>
      <c r="L43" s="19" t="str">
        <f aca="false">INDEX(T_Sens,MATCH($B43,T_Ref,0))</f>
        <v>Suivi</v>
      </c>
      <c r="M43" s="11" t="str">
        <f aca="false">IF(INDEX(T_Cible,MATCH($B43,T_Ref,0))="","",INDEX(T_Cible,MATCH($B43,T_Ref,0)))</f>
        <v/>
      </c>
      <c r="N43" s="11" t="str">
        <f aca="false">IF(INDEX(T_Alerte,MATCH($B43,T_Ref,0))="","",INDEX(T_Alerte,MATCH($B43,T_Ref,0)))</f>
        <v/>
      </c>
      <c r="P43" s="7" t="str">
        <f aca="false">"N"&amp;INDEX(L_NivNum,4)&amp;" - "&amp;INDEX(L_NivLib,4)</f>
        <v>N4 - Externe</v>
      </c>
      <c r="Q43" s="10" t="n">
        <f aca="false">COUNTIFS(R_Niv,INDEX(L_NivNum,4),R_Enr,"&gt;="&amp;$E$7,R_Enr,"&lt;"&amp;($E$8+1))</f>
        <v>5</v>
      </c>
      <c r="R43" s="11" t="n">
        <f aca="false">IFERROR(Q43/$E$14,"n.d.")</f>
        <v>0.238095238095238</v>
      </c>
      <c r="S43" s="12" t="n">
        <f aca="false">COUNTIFS(R_Niv,INDEX(L_NivNum,4),R_Enr,"&gt;="&amp;$I$7,R_Enr,"&lt;"&amp;($I$8+1))</f>
        <v>6</v>
      </c>
      <c r="T43" s="11" t="n">
        <f aca="false">IFERROR(S43/$I$14,"n.d.")</f>
        <v>0.109090909090909</v>
      </c>
      <c r="U43" s="7"/>
      <c r="V43" s="7"/>
    </row>
    <row r="44" customFormat="false" ht="15" hidden="false" customHeight="false" outlineLevel="0" collapsed="false">
      <c r="B44" s="16" t="s">
        <v>67</v>
      </c>
      <c r="C44" s="7" t="str">
        <f aca="false">INDEX(T_Lib,MATCH($B44,T_Ref,0))</f>
        <v>Conformité à la matrice d'escalade</v>
      </c>
      <c r="D44" s="17" t="str">
        <f aca="false">INDEX(T_Unite,MATCH($B44,T_Ref,0))</f>
        <v>%</v>
      </c>
      <c r="E44" s="24" t="n">
        <f aca="false">IFERROR((COUNTIFS(R_EscOK,1,R_Enr,"&gt;="&amp;E$7,R_Enr,"&lt;"&amp;(E$8+1)))/(COUNTIFS(R_EscOK,"&gt;=0",R_Enr,"&gt;="&amp;E$7,R_Enr,"&lt;"&amp;(E$8+1))),"n.d.")</f>
        <v>1</v>
      </c>
      <c r="F44" s="18" t="n">
        <f aca="false">COUNTIFS(R_EscOK,"&gt;=0",R_Enr,"&gt;="&amp;E$7,R_Enr,"&lt;"&amp;(E$8+1))</f>
        <v>21</v>
      </c>
      <c r="G44" s="7" t="str">
        <f aca="false">IF(NOT(ISNUMBER(E44)),"n.d.",IF($L44="Suivi","Suivi",IF($M44="","Cible à définir",IF(AND(INDEX(T_Base,MATCH($B44,T_Ref,0))="Oui",ISNUMBER(F44),N(F44)&lt;NMin),"Base insuffisante",IF($L44="≥",IF(E44&gt;=$M44,"Conforme",IF(E44&gt;=$N44,"Vigilance","Hors cible")),IF(E44&lt;=$M44,"Conforme",IF(E44&lt;=$N44,"Vigilance","Hors cible")))))))</f>
        <v>Conforme</v>
      </c>
      <c r="H44" s="11" t="n">
        <f aca="false">IFERROR((COUNTIFS(R_EscOK,1,R_Enr,"&gt;="&amp;H$7,R_Enr,"&lt;"&amp;(H$8+1)))/(COUNTIFS(R_EscOK,"&gt;=0",R_Enr,"&gt;="&amp;H$7,R_Enr,"&lt;"&amp;(H$8+1))),"n.d.")</f>
        <v>0.875</v>
      </c>
      <c r="I44" s="11" t="n">
        <f aca="false">IFERROR((COUNTIFS(R_EscOK,1,R_Enr,"&gt;="&amp;I$7,R_Enr,"&lt;"&amp;(I$8+1)))/(COUNTIFS(R_EscOK,"&gt;=0",R_Enr,"&gt;="&amp;I$7,R_Enr,"&lt;"&amp;(I$8+1))),"n.d.")</f>
        <v>0.963636363636364</v>
      </c>
      <c r="J44" s="18" t="n">
        <f aca="false">COUNTIFS(R_EscOK,"&gt;=0",R_Enr,"&gt;="&amp;I$7,R_Enr,"&lt;"&amp;(I$8+1))</f>
        <v>55</v>
      </c>
      <c r="K44" s="7" t="str">
        <f aca="false">IF(NOT(ISNUMBER(I44)),"n.d.",IF($L44="Suivi","Suivi",IF($M44="","Cible à définir",IF(AND(INDEX(T_Base,MATCH($B44,T_Ref,0))="Oui",ISNUMBER(J44),N(J44)&lt;NMin),"Base insuffisante",IF($L44="≥",IF(I44&gt;=$M44,"Conforme",IF(I44&gt;=$N44,"Vigilance","Hors cible")),IF(I44&lt;=$M44,"Conforme",IF(I44&lt;=$N44,"Vigilance","Hors cible")))))))</f>
        <v>Vigilance</v>
      </c>
      <c r="L44" s="19" t="str">
        <f aca="false">INDEX(T_Sens,MATCH($B44,T_Ref,0))</f>
        <v>≥</v>
      </c>
      <c r="M44" s="11" t="n">
        <f aca="false">IF(INDEX(T_Cible,MATCH($B44,T_Ref,0))="","",INDEX(T_Cible,MATCH($B44,T_Ref,0)))</f>
        <v>1</v>
      </c>
      <c r="N44" s="11" t="n">
        <f aca="false">IF(INDEX(T_Alerte,MATCH($B44,T_Ref,0))="","",INDEX(T_Alerte,MATCH($B44,T_Ref,0)))</f>
        <v>0.95</v>
      </c>
    </row>
    <row r="45" customFormat="false" ht="15" hidden="false" customHeight="true" outlineLevel="0" collapsed="false">
      <c r="B45" s="16" t="s">
        <v>68</v>
      </c>
      <c r="C45" s="7" t="str">
        <f aca="false">INDEX(T_Lib,MATCH($B45,T_Ref,0))</f>
        <v>Escalades réalisées dans les délais</v>
      </c>
      <c r="D45" s="17" t="str">
        <f aca="false">INDEX(T_Unite,MATCH($B45,T_Ref,0))</f>
        <v>%</v>
      </c>
      <c r="E45" s="24" t="n">
        <f aca="false">IFERROR((COUNTIFS(R_EscDel,1,R_Enr,"&gt;="&amp;E$7,R_Enr,"&lt;"&amp;(E$8+1)))/(COUNTIFS(R_EscDel,"&gt;=0",R_Enr,"&gt;="&amp;E$7,R_Enr,"&lt;"&amp;(E$8+1))),"n.d.")</f>
        <v>0.75</v>
      </c>
      <c r="F45" s="18" t="n">
        <f aca="false">COUNTIFS(R_EscDel,"&gt;=0",R_Enr,"&gt;="&amp;E$7,R_Enr,"&lt;"&amp;(E$8+1))</f>
        <v>8</v>
      </c>
      <c r="G45" s="7" t="str">
        <f aca="false">IF(NOT(ISNUMBER(E45)),"n.d.",IF($L45="Suivi","Suivi",IF($M45="","Cible à définir",IF(AND(INDEX(T_Base,MATCH($B45,T_Ref,0))="Oui",ISNUMBER(F45),N(F45)&lt;NMin),"Base insuffisante",IF($L45="≥",IF(E45&gt;=$M45,"Conforme",IF(E45&gt;=$N45,"Vigilance","Hors cible")),IF(E45&lt;=$M45,"Conforme",IF(E45&lt;=$N45,"Vigilance","Hors cible")))))))</f>
        <v>Hors cible</v>
      </c>
      <c r="H45" s="11" t="n">
        <f aca="false">IFERROR((COUNTIFS(R_EscDel,1,R_Enr,"&gt;="&amp;H$7,R_Enr,"&lt;"&amp;(H$8+1)))/(COUNTIFS(R_EscDel,"&gt;=0",R_Enr,"&gt;="&amp;H$7,R_Enr,"&lt;"&amp;(H$8+1))),"n.d.")</f>
        <v>1</v>
      </c>
      <c r="I45" s="11" t="n">
        <f aca="false">IFERROR((COUNTIFS(R_EscDel,1,R_Enr,"&gt;="&amp;I$7,R_Enr,"&lt;"&amp;(I$8+1)))/(COUNTIFS(R_EscDel,"&gt;=0",R_Enr,"&gt;="&amp;I$7,R_Enr,"&lt;"&amp;(I$8+1))),"n.d.")</f>
        <v>0.769230769230769</v>
      </c>
      <c r="J45" s="18" t="n">
        <f aca="false">COUNTIFS(R_EscDel,"&gt;=0",R_Enr,"&gt;="&amp;I$7,R_Enr,"&lt;"&amp;(I$8+1))</f>
        <v>13</v>
      </c>
      <c r="K45" s="7" t="str">
        <f aca="false">IF(NOT(ISNUMBER(I45)),"n.d.",IF($L45="Suivi","Suivi",IF($M45="","Cible à définir",IF(AND(INDEX(T_Base,MATCH($B45,T_Ref,0))="Oui",ISNUMBER(J45),N(J45)&lt;NMin),"Base insuffisante",IF($L45="≥",IF(I45&gt;=$M45,"Conforme",IF(I45&gt;=$N45,"Vigilance","Hors cible")),IF(I45&lt;=$M45,"Conforme",IF(I45&lt;=$N45,"Vigilance","Hors cible")))))))</f>
        <v>Hors cible</v>
      </c>
      <c r="L45" s="19" t="str">
        <f aca="false">INDEX(T_Sens,MATCH($B45,T_Ref,0))</f>
        <v>≥</v>
      </c>
      <c r="M45" s="11" t="n">
        <f aca="false">IF(INDEX(T_Cible,MATCH($B45,T_Ref,0))="","",INDEX(T_Cible,MATCH($B45,T_Ref,0)))</f>
        <v>0.95</v>
      </c>
      <c r="N45" s="11" t="n">
        <f aca="false">IF(INDEX(T_Alerte,MATCH($B45,T_Ref,0))="","",INDEX(T_Alerte,MATCH($B45,T_Ref,0)))</f>
        <v>0.85</v>
      </c>
      <c r="P45" s="3" t="s">
        <v>69</v>
      </c>
      <c r="Q45" s="4"/>
      <c r="R45" s="4"/>
      <c r="S45" s="4"/>
      <c r="T45" s="4"/>
      <c r="U45" s="4"/>
      <c r="V45" s="4"/>
    </row>
    <row r="46" customFormat="false" ht="15" hidden="false" customHeight="false" outlineLevel="0" collapsed="false">
      <c r="B46" s="16" t="s">
        <v>70</v>
      </c>
      <c r="C46" s="7" t="str">
        <f aca="false">INDEX(T_Lib,MATCH($B46,T_Ref,0))</f>
        <v>Délai moyen d'escalade au niveau requis</v>
      </c>
      <c r="D46" s="17" t="str">
        <f aca="false">INDEX(T_Unite,MATCH($B46,T_Ref,0))</f>
        <v>h</v>
      </c>
      <c r="E46" s="27" t="n">
        <f aca="false">IFERROR(AVERAGEIFS(R_hEsc,R_Cpt,1,R_Enr,"&gt;="&amp;E$7,R_Enr,"&lt;"&amp;(E$8+1)),"n.d.")</f>
        <v>2.552075</v>
      </c>
      <c r="F46" s="18" t="n">
        <f aca="false">COUNTIFS(R_hEsc,"&gt;=0",R_Enr,"&gt;="&amp;E$7,R_Enr,"&lt;"&amp;(E$8+1))</f>
        <v>8</v>
      </c>
      <c r="G46" s="7" t="str">
        <f aca="false">IF(NOT(ISNUMBER(E46)),"n.d.",IF($L46="Suivi","Suivi",IF($M46="","Cible à définir",IF(AND(INDEX(T_Base,MATCH($B46,T_Ref,0))="Oui",ISNUMBER(F46),N(F46)&lt;NMin),"Base insuffisante",IF($L46="≥",IF(E46&gt;=$M46,"Conforme",IF(E46&gt;=$N46,"Vigilance","Hors cible")),IF(E46&lt;=$M46,"Conforme",IF(E46&lt;=$N46,"Vigilance","Hors cible")))))))</f>
        <v>Vigilance</v>
      </c>
      <c r="H46" s="13" t="n">
        <f aca="false">IFERROR(AVERAGEIFS(R_hEsc,R_Cpt,1,R_Enr,"&gt;="&amp;H$7,R_Enr,"&lt;"&amp;(H$8+1)),"n.d.")</f>
        <v>1</v>
      </c>
      <c r="I46" s="13" t="n">
        <f aca="false">IFERROR(AVERAGEIFS(R_hEsc,R_Cpt,1,R_Enr,"&gt;="&amp;I$7,R_Enr,"&lt;"&amp;(I$8+1)),"n.d.")</f>
        <v>2.42947692307692</v>
      </c>
      <c r="J46" s="18" t="n">
        <f aca="false">COUNTIFS(R_hEsc,"&gt;=0",R_Enr,"&gt;="&amp;I$7,R_Enr,"&lt;"&amp;(I$8+1))</f>
        <v>13</v>
      </c>
      <c r="K46" s="7" t="str">
        <f aca="false">IF(NOT(ISNUMBER(I46)),"n.d.",IF($L46="Suivi","Suivi",IF($M46="","Cible à définir",IF(AND(INDEX(T_Base,MATCH($B46,T_Ref,0))="Oui",ISNUMBER(J46),N(J46)&lt;NMin),"Base insuffisante",IF($L46="≥",IF(I46&gt;=$M46,"Conforme",IF(I46&gt;=$N46,"Vigilance","Hors cible")),IF(I46&lt;=$M46,"Conforme",IF(I46&lt;=$N46,"Vigilance","Hors cible")))))))</f>
        <v>Vigilance</v>
      </c>
      <c r="L46" s="19" t="str">
        <f aca="false">INDEX(T_Sens,MATCH($B46,T_Ref,0))</f>
        <v>≤</v>
      </c>
      <c r="M46" s="13" t="n">
        <f aca="false">IF(INDEX(T_Cible,MATCH($B46,T_Ref,0))="","",INDEX(T_Cible,MATCH($B46,T_Ref,0)))</f>
        <v>2</v>
      </c>
      <c r="N46" s="13" t="n">
        <f aca="false">IF(INDEX(T_Alerte,MATCH($B46,T_Ref,0))="","",INDEX(T_Alerte,MATCH($B46,T_Ref,0)))</f>
        <v>4</v>
      </c>
      <c r="P46" s="20" t="s">
        <v>71</v>
      </c>
      <c r="Q46" s="21" t="s">
        <v>5</v>
      </c>
      <c r="R46" s="21" t="s">
        <v>10</v>
      </c>
      <c r="S46" s="21" t="s">
        <v>32</v>
      </c>
      <c r="T46" s="21"/>
      <c r="U46" s="21"/>
      <c r="V46" s="21"/>
    </row>
    <row r="47" customFormat="false" ht="15" hidden="false" customHeight="false" outlineLevel="0" collapsed="false">
      <c r="B47" s="16" t="s">
        <v>72</v>
      </c>
      <c r="C47" s="7" t="str">
        <f aca="false">INDEX(T_Lib,MATCH($B47,T_Ref,0))</f>
        <v>Temps moyen passé en escalade</v>
      </c>
      <c r="D47" s="17" t="str">
        <f aca="false">INDEX(T_Unite,MATCH($B47,T_Ref,0))</f>
        <v>j.o.</v>
      </c>
      <c r="E47" s="27" t="n">
        <f aca="false">IFERROR(AVERAGEIFS(R_jEsc,R_Res,"&gt;="&amp;E$7,R_Res,"&lt;"&amp;(E$8+1)),"n.d.")</f>
        <v>1.2234</v>
      </c>
      <c r="F47" s="18" t="n">
        <f aca="false">COUNTIFS(R_jEsc,"&gt;=0",R_Res,"&gt;="&amp;E$7,R_Res,"&lt;"&amp;(E$8+1))</f>
        <v>8</v>
      </c>
      <c r="G47" s="7" t="str">
        <f aca="false">IF(NOT(ISNUMBER(E47)),"n.d.",IF($L47="Suivi","Suivi",IF($M47="","Cible à définir",IF(AND(INDEX(T_Base,MATCH($B47,T_Ref,0))="Oui",ISNUMBER(F47),N(F47)&lt;NMin),"Base insuffisante",IF($L47="≥",IF(E47&gt;=$M47,"Conforme",IF(E47&gt;=$N47,"Vigilance","Hors cible")),IF(E47&lt;=$M47,"Conforme",IF(E47&lt;=$N47,"Vigilance","Hors cible")))))))</f>
        <v>Conforme</v>
      </c>
      <c r="H47" s="13" t="n">
        <f aca="false">IFERROR(AVERAGEIFS(R_jEsc,R_Res,"&gt;="&amp;H$7,R_Res,"&lt;"&amp;(H$8+1)),"n.d.")</f>
        <v>1.6574</v>
      </c>
      <c r="I47" s="13" t="n">
        <f aca="false">IFERROR(AVERAGEIFS(R_jEsc,R_Res,"&gt;="&amp;I$7,R_Res,"&lt;"&amp;(I$8+1)),"n.d.")</f>
        <v>1.48281428571429</v>
      </c>
      <c r="J47" s="18" t="n">
        <f aca="false">COUNTIFS(R_jEsc,"&gt;=0",R_Res,"&gt;="&amp;I$7,R_Res,"&lt;"&amp;(I$8+1))</f>
        <v>14</v>
      </c>
      <c r="K47" s="7" t="str">
        <f aca="false">IF(NOT(ISNUMBER(I47)),"n.d.",IF($L47="Suivi","Suivi",IF($M47="","Cible à définir",IF(AND(INDEX(T_Base,MATCH($B47,T_Ref,0))="Oui",ISNUMBER(J47),N(J47)&lt;NMin),"Base insuffisante",IF($L47="≥",IF(I47&gt;=$M47,"Conforme",IF(I47&gt;=$N47,"Vigilance","Hors cible")),IF(I47&lt;=$M47,"Conforme",IF(I47&lt;=$N47,"Vigilance","Hors cible")))))))</f>
        <v>Conforme</v>
      </c>
      <c r="L47" s="19" t="str">
        <f aca="false">INDEX(T_Sens,MATCH($B47,T_Ref,0))</f>
        <v>≤</v>
      </c>
      <c r="M47" s="13" t="n">
        <f aca="false">IF(INDEX(T_Cible,MATCH($B47,T_Ref,0))="","",INDEX(T_Cible,MATCH($B47,T_Ref,0)))</f>
        <v>3</v>
      </c>
      <c r="N47" s="13" t="n">
        <f aca="false">IF(INDEX(T_Alerte,MATCH($B47,T_Ref,0))="","",INDEX(T_Alerte,MATCH($B47,T_Ref,0)))</f>
        <v>5</v>
      </c>
      <c r="P47" s="7" t="str">
        <f aca="false">INDEX(L_Bale,1)</f>
        <v>Fraude interne</v>
      </c>
      <c r="Q47" s="10" t="n">
        <f aca="false">COUNTIFS(R_Cpt,1,R_Bale,$P47,R_Enr,"&gt;="&amp;$E$7,R_Enr,"&lt;"&amp;($E$8+1))</f>
        <v>0</v>
      </c>
      <c r="R47" s="12" t="n">
        <f aca="false">COUNTIFS(R_Cpt,1,R_Bale,$P47,R_Enr,"&gt;="&amp;$I$7,R_Enr,"&lt;"&amp;($I$8+1))</f>
        <v>0</v>
      </c>
      <c r="S47" s="11" t="n">
        <f aca="false">IFERROR(R47/$I$14,"n.d.")</f>
        <v>0</v>
      </c>
      <c r="T47" s="7"/>
      <c r="U47" s="7"/>
      <c r="V47" s="7"/>
    </row>
    <row r="48" customFormat="false" ht="15" hidden="false" customHeight="false" outlineLevel="0" collapsed="false">
      <c r="B48" s="16" t="s">
        <v>73</v>
      </c>
      <c r="C48" s="7" t="str">
        <f aca="false">INDEX(T_Lib,MATCH($B48,T_Ref,0))</f>
        <v>Taux de réaffectation multiple</v>
      </c>
      <c r="D48" s="17" t="str">
        <f aca="false">INDEX(T_Unite,MATCH($B48,T_Ref,0))</f>
        <v>%</v>
      </c>
      <c r="E48" s="24" t="n">
        <f aca="false">IFERROR((COUNTIFS(R_Cpt,1,R_Reaf,"&gt;=2",R_Enr,"&gt;="&amp;E$7,R_Enr,"&lt;"&amp;(E$8+1)))/(COUNTIFS(R_Cpt,1,R_Reaf,"&gt;=0",R_Enr,"&gt;="&amp;E$7,R_Enr,"&lt;"&amp;(E$8+1))),"n.d.")</f>
        <v>0.0952380952380952</v>
      </c>
      <c r="F48" s="18" t="n">
        <f aca="false">COUNTIFS(R_Cpt,1,R_Reaf,"&gt;=0",R_Enr,"&gt;="&amp;E$7,R_Enr,"&lt;"&amp;(E$8+1))</f>
        <v>21</v>
      </c>
      <c r="G48" s="7" t="str">
        <f aca="false">IF(NOT(ISNUMBER(E48)),"n.d.",IF($L48="Suivi","Suivi",IF($M48="","Cible à définir",IF(AND(INDEX(T_Base,MATCH($B48,T_Ref,0))="Oui",ISNUMBER(F48),N(F48)&lt;NMin),"Base insuffisante",IF($L48="≥",IF(E48&gt;=$M48,"Conforme",IF(E48&gt;=$N48,"Vigilance","Hors cible")),IF(E48&lt;=$M48,"Conforme",IF(E48&lt;=$N48,"Vigilance","Hors cible")))))))</f>
        <v>Conforme</v>
      </c>
      <c r="H48" s="11" t="n">
        <f aca="false">IFERROR((COUNTIFS(R_Cpt,1,R_Reaf,"&gt;=2",R_Enr,"&gt;="&amp;H$7,R_Enr,"&lt;"&amp;(H$8+1)))/(COUNTIFS(R_Cpt,1,R_Reaf,"&gt;=0",R_Enr,"&gt;="&amp;H$7,R_Enr,"&lt;"&amp;(H$8+1))),"n.d.")</f>
        <v>0</v>
      </c>
      <c r="I48" s="11" t="n">
        <f aca="false">IFERROR((COUNTIFS(R_Cpt,1,R_Reaf,"&gt;=2",R_Enr,"&gt;="&amp;I$7,R_Enr,"&lt;"&amp;(I$8+1)))/(COUNTIFS(R_Cpt,1,R_Reaf,"&gt;=0",R_Enr,"&gt;="&amp;I$7,R_Enr,"&lt;"&amp;(I$8+1))),"n.d.")</f>
        <v>0.0909090909090909</v>
      </c>
      <c r="J48" s="18" t="n">
        <f aca="false">COUNTIFS(R_Cpt,1,R_Reaf,"&gt;=0",R_Enr,"&gt;="&amp;I$7,R_Enr,"&lt;"&amp;(I$8+1))</f>
        <v>55</v>
      </c>
      <c r="K48" s="7" t="str">
        <f aca="false">IF(NOT(ISNUMBER(I48)),"n.d.",IF($L48="Suivi","Suivi",IF($M48="","Cible à définir",IF(AND(INDEX(T_Base,MATCH($B48,T_Ref,0))="Oui",ISNUMBER(J48),N(J48)&lt;NMin),"Base insuffisante",IF($L48="≥",IF(I48&gt;=$M48,"Conforme",IF(I48&gt;=$N48,"Vigilance","Hors cible")),IF(I48&lt;=$M48,"Conforme",IF(I48&lt;=$N48,"Vigilance","Hors cible")))))))</f>
        <v>Conforme</v>
      </c>
      <c r="L48" s="19" t="str">
        <f aca="false">INDEX(T_Sens,MATCH($B48,T_Ref,0))</f>
        <v>≤</v>
      </c>
      <c r="M48" s="11" t="n">
        <f aca="false">IF(INDEX(T_Cible,MATCH($B48,T_Ref,0))="","",INDEX(T_Cible,MATCH($B48,T_Ref,0)))</f>
        <v>0.1</v>
      </c>
      <c r="N48" s="11" t="n">
        <f aca="false">IF(INDEX(T_Alerte,MATCH($B48,T_Ref,0))="","",INDEX(T_Alerte,MATCH($B48,T_Ref,0)))</f>
        <v>0.2</v>
      </c>
      <c r="P48" s="7" t="str">
        <f aca="false">INDEX(L_Bale,2)</f>
        <v>Fraude externe</v>
      </c>
      <c r="Q48" s="10" t="n">
        <f aca="false">COUNTIFS(R_Cpt,1,R_Bale,$P48,R_Enr,"&gt;="&amp;$E$7,R_Enr,"&lt;"&amp;($E$8+1))</f>
        <v>1</v>
      </c>
      <c r="R48" s="12" t="n">
        <f aca="false">COUNTIFS(R_Cpt,1,R_Bale,$P48,R_Enr,"&gt;="&amp;$I$7,R_Enr,"&lt;"&amp;($I$8+1))</f>
        <v>2</v>
      </c>
      <c r="S48" s="11" t="n">
        <f aca="false">IFERROR(R48/$I$14,"n.d.")</f>
        <v>0.0363636363636364</v>
      </c>
      <c r="T48" s="7"/>
      <c r="U48" s="7"/>
      <c r="V48" s="7"/>
    </row>
    <row r="49" customFormat="false" ht="15" hidden="false" customHeight="false" outlineLevel="0" collapsed="false">
      <c r="B49" s="16" t="s">
        <v>74</v>
      </c>
      <c r="C49" s="7" t="str">
        <f aca="false">INDEX(T_Lib,MATCH($B49,T_Ref,0))</f>
        <v>Notifications externes dans les délais</v>
      </c>
      <c r="D49" s="17" t="str">
        <f aca="false">INDEX(T_Unite,MATCH($B49,T_Ref,0))</f>
        <v>%</v>
      </c>
      <c r="E49" s="24" t="n">
        <f aca="false">IFERROR((COUNTIFS(R_NotOK,1,R_Enr,"&gt;="&amp;E$7,R_Enr,"&lt;"&amp;(E$8+1)))/(COUNTIFS(R_NotOK,"&gt;=0",R_Enr,"&gt;="&amp;E$7,R_Enr,"&lt;"&amp;(E$8+1))),"n.d.")</f>
        <v>0.75</v>
      </c>
      <c r="F49" s="18" t="n">
        <f aca="false">COUNTIFS(R_NotOK,"&gt;=0",R_Enr,"&gt;="&amp;E$7,R_Enr,"&lt;"&amp;(E$8+1))</f>
        <v>4</v>
      </c>
      <c r="G49" s="7" t="str">
        <f aca="false">IF(NOT(ISNUMBER(E49)),"n.d.",IF($L49="Suivi","Suivi",IF($M49="","Cible à définir",IF(AND(INDEX(T_Base,MATCH($B49,T_Ref,0))="Oui",ISNUMBER(F49),N(F49)&lt;NMin),"Base insuffisante",IF($L49="≥",IF(E49&gt;=$M49,"Conforme",IF(E49&gt;=$N49,"Vigilance","Hors cible")),IF(E49&lt;=$M49,"Conforme",IF(E49&lt;=$N49,"Vigilance","Hors cible")))))))</f>
        <v>Hors cible</v>
      </c>
      <c r="H49" s="11" t="str">
        <f aca="false">IFERROR((COUNTIFS(R_NotOK,1,R_Enr,"&gt;="&amp;H$7,R_Enr,"&lt;"&amp;(H$8+1)))/(COUNTIFS(R_NotOK,"&gt;=0",R_Enr,"&gt;="&amp;H$7,R_Enr,"&lt;"&amp;(H$8+1))),"n.d.")</f>
        <v>n.d.</v>
      </c>
      <c r="I49" s="11" t="n">
        <f aca="false">IFERROR((COUNTIFS(R_NotOK,1,R_Enr,"&gt;="&amp;I$7,R_Enr,"&lt;"&amp;(I$8+1)))/(COUNTIFS(R_NotOK,"&gt;=0",R_Enr,"&gt;="&amp;I$7,R_Enr,"&lt;"&amp;(I$8+1))),"n.d.")</f>
        <v>0.75</v>
      </c>
      <c r="J49" s="18" t="n">
        <f aca="false">COUNTIFS(R_NotOK,"&gt;=0",R_Enr,"&gt;="&amp;I$7,R_Enr,"&lt;"&amp;(I$8+1))</f>
        <v>4</v>
      </c>
      <c r="K49" s="7" t="str">
        <f aca="false">IF(NOT(ISNUMBER(I49)),"n.d.",IF($L49="Suivi","Suivi",IF($M49="","Cible à définir",IF(AND(INDEX(T_Base,MATCH($B49,T_Ref,0))="Oui",ISNUMBER(J49),N(J49)&lt;NMin),"Base insuffisante",IF($L49="≥",IF(I49&gt;=$M49,"Conforme",IF(I49&gt;=$N49,"Vigilance","Hors cible")),IF(I49&lt;=$M49,"Conforme",IF(I49&lt;=$N49,"Vigilance","Hors cible")))))))</f>
        <v>Hors cible</v>
      </c>
      <c r="L49" s="19" t="str">
        <f aca="false">INDEX(T_Sens,MATCH($B49,T_Ref,0))</f>
        <v>≥</v>
      </c>
      <c r="M49" s="11" t="n">
        <f aca="false">IF(INDEX(T_Cible,MATCH($B49,T_Ref,0))="","",INDEX(T_Cible,MATCH($B49,T_Ref,0)))</f>
        <v>1</v>
      </c>
      <c r="N49" s="11" t="n">
        <f aca="false">IF(INDEX(T_Alerte,MATCH($B49,T_Ref,0))="","",INDEX(T_Alerte,MATCH($B49,T_Ref,0)))</f>
        <v>1</v>
      </c>
      <c r="P49" s="7" t="str">
        <f aca="false">INDEX(L_Bale,3)</f>
        <v>Pratiques en matière d'emploi et sécurité au travail</v>
      </c>
      <c r="Q49" s="10" t="n">
        <f aca="false">COUNTIFS(R_Cpt,1,R_Bale,$P49,R_Enr,"&gt;="&amp;$E$7,R_Enr,"&lt;"&amp;($E$8+1))</f>
        <v>0</v>
      </c>
      <c r="R49" s="12" t="n">
        <f aca="false">COUNTIFS(R_Cpt,1,R_Bale,$P49,R_Enr,"&gt;="&amp;$I$7,R_Enr,"&lt;"&amp;($I$8+1))</f>
        <v>0</v>
      </c>
      <c r="S49" s="11" t="n">
        <f aca="false">IFERROR(R49/$I$14,"n.d.")</f>
        <v>0</v>
      </c>
      <c r="T49" s="7"/>
      <c r="U49" s="7"/>
      <c r="V49" s="7"/>
    </row>
    <row r="50" customFormat="false" ht="15" hidden="false" customHeight="false" outlineLevel="0" collapsed="false">
      <c r="B50" s="16" t="s">
        <v>75</v>
      </c>
      <c r="C50" s="7" t="str">
        <f aca="false">INDEX(T_Lib,MATCH($B50,T_Ref,0))</f>
        <v>Conformité des notifications DORA</v>
      </c>
      <c r="D50" s="17" t="str">
        <f aca="false">INDEX(T_Unite,MATCH($B50,T_Ref,0))</f>
        <v>%</v>
      </c>
      <c r="E50" s="24" t="n">
        <f aca="false">IFERROR((COUNTIFS(R_DoraOK,1,R_Enr,"&gt;="&amp;E$7,R_Enr,"&lt;"&amp;(E$8+1)))/(COUNTIFS(R_DoraOK,"&gt;=0",R_Enr,"&gt;="&amp;E$7,R_Enr,"&lt;"&amp;(E$8+1))),"n.d.")</f>
        <v>1</v>
      </c>
      <c r="F50" s="18" t="n">
        <f aca="false">COUNTIFS(R_DoraOK,"&gt;=0",R_Enr,"&gt;="&amp;E$7,R_Enr,"&lt;"&amp;(E$8+1))</f>
        <v>1</v>
      </c>
      <c r="G50" s="7" t="str">
        <f aca="false">IF(NOT(ISNUMBER(E50)),"n.d.",IF($L50="Suivi","Suivi",IF($M50="","Cible à définir",IF(AND(INDEX(T_Base,MATCH($B50,T_Ref,0))="Oui",ISNUMBER(F50),N(F50)&lt;NMin),"Base insuffisante",IF($L50="≥",IF(E50&gt;=$M50,"Conforme",IF(E50&gt;=$N50,"Vigilance","Hors cible")),IF(E50&lt;=$M50,"Conforme",IF(E50&lt;=$N50,"Vigilance","Hors cible")))))))</f>
        <v>Conforme</v>
      </c>
      <c r="H50" s="11" t="str">
        <f aca="false">IFERROR((COUNTIFS(R_DoraOK,1,R_Enr,"&gt;="&amp;H$7,R_Enr,"&lt;"&amp;(H$8+1)))/(COUNTIFS(R_DoraOK,"&gt;=0",R_Enr,"&gt;="&amp;H$7,R_Enr,"&lt;"&amp;(H$8+1))),"n.d.")</f>
        <v>n.d.</v>
      </c>
      <c r="I50" s="11" t="n">
        <f aca="false">IFERROR((COUNTIFS(R_DoraOK,1,R_Enr,"&gt;="&amp;I$7,R_Enr,"&lt;"&amp;(I$8+1)))/(COUNTIFS(R_DoraOK,"&gt;=0",R_Enr,"&gt;="&amp;I$7,R_Enr,"&lt;"&amp;(I$8+1))),"n.d.")</f>
        <v>0.5</v>
      </c>
      <c r="J50" s="18" t="n">
        <f aca="false">COUNTIFS(R_DoraOK,"&gt;=0",R_Enr,"&gt;="&amp;I$7,R_Enr,"&lt;"&amp;(I$8+1))</f>
        <v>2</v>
      </c>
      <c r="K50" s="7" t="str">
        <f aca="false">IF(NOT(ISNUMBER(I50)),"n.d.",IF($L50="Suivi","Suivi",IF($M50="","Cible à définir",IF(AND(INDEX(T_Base,MATCH($B50,T_Ref,0))="Oui",ISNUMBER(J50),N(J50)&lt;NMin),"Base insuffisante",IF($L50="≥",IF(I50&gt;=$M50,"Conforme",IF(I50&gt;=$N50,"Vigilance","Hors cible")),IF(I50&lt;=$M50,"Conforme",IF(I50&lt;=$N50,"Vigilance","Hors cible")))))))</f>
        <v>Hors cible</v>
      </c>
      <c r="L50" s="19" t="str">
        <f aca="false">INDEX(T_Sens,MATCH($B50,T_Ref,0))</f>
        <v>≥</v>
      </c>
      <c r="M50" s="11" t="n">
        <f aca="false">IF(INDEX(T_Cible,MATCH($B50,T_Ref,0))="","",INDEX(T_Cible,MATCH($B50,T_Ref,0)))</f>
        <v>1</v>
      </c>
      <c r="N50" s="11" t="n">
        <f aca="false">IF(INDEX(T_Alerte,MATCH($B50,T_Ref,0))="","",INDEX(T_Alerte,MATCH($B50,T_Ref,0)))</f>
        <v>1</v>
      </c>
      <c r="P50" s="7" t="str">
        <f aca="false">INDEX(L_Bale,4)</f>
        <v>Clients, produits et pratiques commerciales</v>
      </c>
      <c r="Q50" s="10" t="n">
        <f aca="false">COUNTIFS(R_Cpt,1,R_Bale,$P50,R_Enr,"&gt;="&amp;$E$7,R_Enr,"&lt;"&amp;($E$8+1))</f>
        <v>2</v>
      </c>
      <c r="R50" s="12" t="n">
        <f aca="false">COUNTIFS(R_Cpt,1,R_Bale,$P50,R_Enr,"&gt;="&amp;$I$7,R_Enr,"&lt;"&amp;($I$8+1))</f>
        <v>4</v>
      </c>
      <c r="S50" s="11" t="n">
        <f aca="false">IFERROR(R50/$I$14,"n.d.")</f>
        <v>0.0727272727272727</v>
      </c>
      <c r="T50" s="7"/>
      <c r="U50" s="7"/>
      <c r="V50" s="7"/>
    </row>
    <row r="51" customFormat="false" ht="15" hidden="false" customHeight="false" outlineLevel="0" collapsed="false">
      <c r="P51" s="7" t="str">
        <f aca="false">INDEX(L_Bale,5)</f>
        <v>Dommages aux actifs physiques</v>
      </c>
      <c r="Q51" s="10" t="n">
        <f aca="false">COUNTIFS(R_Cpt,1,R_Bale,$P51,R_Enr,"&gt;="&amp;$E$7,R_Enr,"&lt;"&amp;($E$8+1))</f>
        <v>0</v>
      </c>
      <c r="R51" s="12" t="n">
        <f aca="false">COUNTIFS(R_Cpt,1,R_Bale,$P51,R_Enr,"&gt;="&amp;$I$7,R_Enr,"&lt;"&amp;($I$8+1))</f>
        <v>0</v>
      </c>
      <c r="S51" s="11" t="n">
        <f aca="false">IFERROR(R51/$I$14,"n.d.")</f>
        <v>0</v>
      </c>
      <c r="T51" s="7"/>
      <c r="U51" s="7"/>
      <c r="V51" s="7"/>
    </row>
    <row r="52" customFormat="false" ht="15" hidden="false" customHeight="false" outlineLevel="0" collapsed="false">
      <c r="P52" s="7" t="str">
        <f aca="false">INDEX(L_Bale,6)</f>
        <v>Interruption d'activité et dysfonctionnement des systèmes</v>
      </c>
      <c r="Q52" s="10" t="n">
        <f aca="false">COUNTIFS(R_Cpt,1,R_Bale,$P52,R_Enr,"&gt;="&amp;$E$7,R_Enr,"&lt;"&amp;($E$8+1))</f>
        <v>4</v>
      </c>
      <c r="R52" s="12" t="n">
        <f aca="false">COUNTIFS(R_Cpt,1,R_Bale,$P52,R_Enr,"&gt;="&amp;$I$7,R_Enr,"&lt;"&amp;($I$8+1))</f>
        <v>7</v>
      </c>
      <c r="S52" s="11" t="n">
        <f aca="false">IFERROR(R52/$I$14,"n.d.")</f>
        <v>0.127272727272727</v>
      </c>
      <c r="T52" s="7"/>
      <c r="U52" s="7"/>
      <c r="V52" s="7"/>
    </row>
    <row r="53" customFormat="false" ht="15" hidden="false" customHeight="false" outlineLevel="0" collapsed="false">
      <c r="P53" s="7" t="str">
        <f aca="false">INDEX(L_Bale,7)</f>
        <v>Exécution, livraison et gestion des processus</v>
      </c>
      <c r="Q53" s="10" t="n">
        <f aca="false">COUNTIFS(R_Cpt,1,R_Bale,$P53,R_Enr,"&gt;="&amp;$E$7,R_Enr,"&lt;"&amp;($E$8+1))</f>
        <v>14</v>
      </c>
      <c r="R53" s="12" t="n">
        <f aca="false">COUNTIFS(R_Cpt,1,R_Bale,$P53,R_Enr,"&gt;="&amp;$I$7,R_Enr,"&lt;"&amp;($I$8+1))</f>
        <v>42</v>
      </c>
      <c r="S53" s="11" t="n">
        <f aca="false">IFERROR(R53/$I$14,"n.d.")</f>
        <v>0.763636363636364</v>
      </c>
      <c r="T53" s="7"/>
      <c r="U53" s="7"/>
      <c r="V53" s="7"/>
    </row>
    <row r="55" customFormat="false" ht="14.25" hidden="false" customHeight="true" outlineLevel="0" collapsed="false">
      <c r="B55" s="28" t="s">
        <v>76</v>
      </c>
      <c r="C55" s="28"/>
      <c r="D55" s="28"/>
      <c r="E55" s="28"/>
      <c r="F55" s="28"/>
      <c r="G55" s="28"/>
      <c r="H55" s="28"/>
      <c r="I55" s="28"/>
      <c r="J55" s="28"/>
      <c r="K55" s="28"/>
      <c r="L55" s="28"/>
      <c r="M55" s="28"/>
      <c r="N55" s="28"/>
      <c r="O55" s="28"/>
      <c r="P55" s="28"/>
      <c r="Q55" s="28"/>
      <c r="R55" s="28"/>
      <c r="S55" s="28"/>
      <c r="T55" s="28"/>
      <c r="U55" s="28"/>
      <c r="V55" s="28"/>
    </row>
    <row r="56" customFormat="false" ht="14.25" hidden="false" customHeight="true" outlineLevel="0" collapsed="false">
      <c r="B56" s="28" t="s">
        <v>77</v>
      </c>
      <c r="C56" s="28"/>
      <c r="D56" s="28"/>
      <c r="E56" s="28"/>
      <c r="F56" s="28"/>
      <c r="G56" s="28"/>
      <c r="H56" s="28"/>
      <c r="I56" s="28"/>
      <c r="J56" s="28"/>
      <c r="K56" s="28"/>
      <c r="L56" s="28"/>
      <c r="M56" s="28"/>
      <c r="N56" s="28"/>
      <c r="O56" s="28"/>
      <c r="P56" s="28"/>
      <c r="Q56" s="28"/>
      <c r="R56" s="28"/>
      <c r="S56" s="28"/>
      <c r="T56" s="28"/>
      <c r="U56" s="28"/>
      <c r="V56" s="28"/>
    </row>
  </sheetData>
  <mergeCells count="2">
    <mergeCell ref="B55:V55"/>
    <mergeCell ref="B56:V56"/>
  </mergeCells>
  <hyperlinks>
    <hyperlink ref="B14" location="'Indicateurs'!B7" display="V01"/>
    <hyperlink ref="B15" location="'Indicateurs'!B8" display="V02"/>
    <hyperlink ref="B16" location="'Indicateurs'!B9" display="V03"/>
    <hyperlink ref="B17" location="'Indicateurs'!B10" display="V04"/>
    <hyperlink ref="B18" location="'Indicateurs'!B11" display="V05"/>
    <hyperlink ref="B19" location="'Indicateurs'!B12" display="V06"/>
    <hyperlink ref="B20" location="'Indicateurs'!B13" display="V07"/>
    <hyperlink ref="B21" location="'Indicateurs'!B14" display="V08"/>
    <hyperlink ref="B23" location="'Indicateurs'!B16" display="D01"/>
    <hyperlink ref="B24" location="'Indicateurs'!B17" display="D02"/>
    <hyperlink ref="B25" location="'Indicateurs'!B18" display="D03"/>
    <hyperlink ref="B26" location="'Indicateurs'!B19" display="D04"/>
    <hyperlink ref="B27" location="'Indicateurs'!B20" display="D05"/>
    <hyperlink ref="B28" location="'Indicateurs'!B21" display="D06"/>
    <hyperlink ref="B29" location="'Indicateurs'!B22" display="D07"/>
    <hyperlink ref="B30" location="'Indicateurs'!B23" display="D08"/>
    <hyperlink ref="B32" location="'Indicateurs'!B25" display="E01"/>
    <hyperlink ref="B33" location="'Indicateurs'!B26" display="E02"/>
    <hyperlink ref="B34" location="'Indicateurs'!B27" display="E03"/>
    <hyperlink ref="B35" location="'Indicateurs'!B28" display="E04"/>
    <hyperlink ref="B36" location="'Indicateurs'!B29" display="E05"/>
    <hyperlink ref="B37" location="'Indicateurs'!B30" display="E06"/>
    <hyperlink ref="B38" location="'Indicateurs'!B31" display="E07"/>
    <hyperlink ref="B39" location="'Indicateurs'!B32" display="E08"/>
    <hyperlink ref="B41" location="'Indicateurs'!B34" display="X01"/>
    <hyperlink ref="B42" location="'Indicateurs'!B35" display="X02"/>
    <hyperlink ref="B43" location="'Indicateurs'!B36" display="X03"/>
    <hyperlink ref="B44" location="'Indicateurs'!B37" display="X04"/>
    <hyperlink ref="B45" location="'Indicateurs'!B38" display="X05"/>
    <hyperlink ref="B46" location="'Indicateurs'!B39" display="X06"/>
    <hyperlink ref="B47" location="'Indicateurs'!B40" display="X07"/>
    <hyperlink ref="B48" location="'Indicateurs'!B41" display="X08"/>
    <hyperlink ref="B49" location="'Indicateurs'!B42" display="X09"/>
    <hyperlink ref="B50" location="'Indicateurs'!B43" display="X10"/>
  </hyperlinks>
  <printOptions headings="false" gridLines="false" gridLinesSet="true" horizontalCentered="false" verticalCentered="false"/>
  <pageMargins left="0.4" right="0.4" top="0.5" bottom="0.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X10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28125" defaultRowHeight="15" zeroHeight="false" outlineLevelRow="0" outlineLevelCol="1"/>
  <cols>
    <col collapsed="false" customWidth="true" hidden="false" outlineLevel="0" max="1" min="1" style="0" width="2"/>
    <col collapsed="false" customWidth="true" hidden="false" outlineLevel="0" max="3" min="2" style="0" width="12"/>
    <col collapsed="false" customWidth="true" hidden="false" outlineLevel="0" max="4" min="4" style="0" width="30"/>
    <col collapsed="false" customWidth="true" hidden="false" outlineLevel="0" max="7" min="5" style="0" width="28"/>
    <col collapsed="false" customWidth="true" hidden="false" outlineLevel="0" max="8" min="8" style="0" width="18"/>
    <col collapsed="false" customWidth="true" hidden="false" outlineLevel="0" max="9" min="9" style="0" width="36"/>
    <col collapsed="false" customWidth="true" hidden="false" outlineLevel="0" max="10" min="10" style="0" width="11"/>
    <col collapsed="false" customWidth="true" hidden="false" outlineLevel="0" max="12" min="11" style="0" width="10"/>
    <col collapsed="false" customWidth="true" hidden="false" outlineLevel="0" max="13" min="13" style="0" width="15"/>
    <col collapsed="false" customWidth="true" hidden="false" outlineLevel="0" max="21" min="14" style="0" width="16"/>
    <col collapsed="false" customWidth="true" hidden="false" outlineLevel="0" max="22" min="22" style="0" width="13"/>
    <col collapsed="false" customWidth="true" hidden="false" outlineLevel="0" max="23" min="23" style="0" width="9"/>
    <col collapsed="false" customWidth="true" hidden="false" outlineLevel="0" max="24" min="24" style="0" width="12"/>
    <col collapsed="false" customWidth="true" hidden="false" outlineLevel="0" max="25" min="25" style="0" width="11"/>
    <col collapsed="false" customWidth="true" hidden="false" outlineLevel="0" max="26" min="26" style="0" width="12"/>
    <col collapsed="false" customWidth="true" hidden="false" outlineLevel="0" max="31" min="27" style="0" width="16"/>
    <col collapsed="false" customWidth="true" hidden="false" outlineLevel="0" max="33" min="32" style="0" width="11"/>
    <col collapsed="false" customWidth="true" hidden="false" outlineLevel="0" max="35" min="34" style="0" width="12"/>
    <col collapsed="false" customWidth="true" hidden="false" outlineLevel="0" max="37" min="36" style="0" width="11"/>
    <col collapsed="false" customWidth="true" hidden="false" outlineLevel="0" max="38" min="38" style="0" width="30"/>
    <col collapsed="false" customWidth="true" hidden="false" outlineLevel="0" max="39" min="39" style="0" width="2"/>
    <col collapsed="false" customWidth="true" hidden="false" outlineLevel="1" max="76" min="40" style="0" width="22"/>
  </cols>
  <sheetData>
    <row r="2" customFormat="false" ht="15" hidden="false" customHeight="false" outlineLevel="0" collapsed="false">
      <c r="B2" s="1" t="s">
        <v>78</v>
      </c>
    </row>
    <row r="3" customFormat="false" ht="15" hidden="false" customHeight="false" outlineLevel="0" collapsed="false">
      <c r="B3" s="2" t="s">
        <v>79</v>
      </c>
    </row>
    <row r="5" customFormat="false" ht="15" hidden="false" customHeight="true" outlineLevel="0" collapsed="false">
      <c r="B5" s="3" t="s">
        <v>80</v>
      </c>
      <c r="C5" s="4"/>
      <c r="D5" s="4"/>
      <c r="E5" s="4"/>
      <c r="F5" s="4"/>
      <c r="G5" s="4"/>
      <c r="H5" s="4"/>
      <c r="I5" s="4"/>
      <c r="J5" s="4"/>
      <c r="K5" s="4"/>
      <c r="L5" s="4"/>
      <c r="M5" s="4"/>
      <c r="N5" s="3" t="s">
        <v>81</v>
      </c>
      <c r="O5" s="4"/>
      <c r="P5" s="4"/>
      <c r="Q5" s="4"/>
      <c r="R5" s="4"/>
      <c r="S5" s="4"/>
      <c r="T5" s="3" t="s">
        <v>82</v>
      </c>
      <c r="U5" s="4"/>
      <c r="V5" s="4"/>
      <c r="W5" s="3" t="s">
        <v>83</v>
      </c>
      <c r="X5" s="4"/>
      <c r="Y5" s="4"/>
      <c r="Z5" s="3" t="s">
        <v>84</v>
      </c>
      <c r="AA5" s="4"/>
      <c r="AB5" s="4"/>
      <c r="AC5" s="3" t="s">
        <v>85</v>
      </c>
      <c r="AD5" s="4"/>
      <c r="AE5" s="4"/>
      <c r="AF5" s="4"/>
      <c r="AG5" s="3" t="s">
        <v>86</v>
      </c>
      <c r="AH5" s="4"/>
      <c r="AI5" s="3" t="s">
        <v>87</v>
      </c>
      <c r="AJ5" s="4"/>
      <c r="AK5" s="4"/>
      <c r="AL5" s="4"/>
      <c r="AN5" s="3" t="s">
        <v>88</v>
      </c>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row>
    <row r="6" customFormat="false" ht="48" hidden="false" customHeight="true" outlineLevel="0" collapsed="false">
      <c r="B6" s="5" t="s">
        <v>89</v>
      </c>
      <c r="C6" s="5" t="s">
        <v>90</v>
      </c>
      <c r="D6" s="5" t="s">
        <v>50</v>
      </c>
      <c r="E6" s="5" t="s">
        <v>30</v>
      </c>
      <c r="F6" s="5" t="s">
        <v>91</v>
      </c>
      <c r="G6" s="5" t="s">
        <v>92</v>
      </c>
      <c r="H6" s="5" t="s">
        <v>93</v>
      </c>
      <c r="I6" s="5" t="s">
        <v>94</v>
      </c>
      <c r="J6" s="5" t="s">
        <v>8</v>
      </c>
      <c r="K6" s="5" t="s">
        <v>95</v>
      </c>
      <c r="L6" s="5" t="s">
        <v>22</v>
      </c>
      <c r="M6" s="5" t="s">
        <v>96</v>
      </c>
      <c r="N6" s="5" t="s">
        <v>97</v>
      </c>
      <c r="O6" s="5" t="s">
        <v>98</v>
      </c>
      <c r="P6" s="5" t="s">
        <v>99</v>
      </c>
      <c r="Q6" s="5" t="s">
        <v>100</v>
      </c>
      <c r="R6" s="5" t="s">
        <v>101</v>
      </c>
      <c r="S6" s="5" t="s">
        <v>102</v>
      </c>
      <c r="T6" s="5" t="s">
        <v>103</v>
      </c>
      <c r="U6" s="5" t="s">
        <v>104</v>
      </c>
      <c r="V6" s="5" t="s">
        <v>105</v>
      </c>
      <c r="W6" s="5" t="s">
        <v>106</v>
      </c>
      <c r="X6" s="5" t="s">
        <v>107</v>
      </c>
      <c r="Y6" s="5" t="s">
        <v>108</v>
      </c>
      <c r="Z6" s="5" t="s">
        <v>109</v>
      </c>
      <c r="AA6" s="5" t="s">
        <v>110</v>
      </c>
      <c r="AB6" s="5" t="s">
        <v>111</v>
      </c>
      <c r="AC6" s="5" t="s">
        <v>112</v>
      </c>
      <c r="AD6" s="5" t="s">
        <v>113</v>
      </c>
      <c r="AE6" s="5" t="s">
        <v>114</v>
      </c>
      <c r="AF6" s="5" t="s">
        <v>115</v>
      </c>
      <c r="AG6" s="5" t="s">
        <v>116</v>
      </c>
      <c r="AH6" s="5" t="s">
        <v>117</v>
      </c>
      <c r="AI6" s="5" t="s">
        <v>118</v>
      </c>
      <c r="AJ6" s="5" t="s">
        <v>119</v>
      </c>
      <c r="AK6" s="5" t="s">
        <v>120</v>
      </c>
      <c r="AL6" s="5" t="s">
        <v>121</v>
      </c>
      <c r="AN6" s="5" t="s">
        <v>122</v>
      </c>
      <c r="AO6" s="5" t="s">
        <v>123</v>
      </c>
      <c r="AP6" s="5" t="s">
        <v>124</v>
      </c>
      <c r="AQ6" s="5" t="s">
        <v>125</v>
      </c>
      <c r="AR6" s="5" t="s">
        <v>126</v>
      </c>
      <c r="AS6" s="5" t="s">
        <v>127</v>
      </c>
      <c r="AT6" s="5" t="s">
        <v>128</v>
      </c>
      <c r="AU6" s="5" t="s">
        <v>129</v>
      </c>
      <c r="AV6" s="5" t="s">
        <v>130</v>
      </c>
      <c r="AW6" s="5" t="s">
        <v>131</v>
      </c>
      <c r="AX6" s="5" t="s">
        <v>132</v>
      </c>
      <c r="AY6" s="5" t="s">
        <v>133</v>
      </c>
      <c r="AZ6" s="5" t="s">
        <v>134</v>
      </c>
      <c r="BA6" s="5" t="s">
        <v>135</v>
      </c>
      <c r="BB6" s="5" t="s">
        <v>136</v>
      </c>
      <c r="BC6" s="5" t="s">
        <v>137</v>
      </c>
      <c r="BD6" s="5" t="s">
        <v>138</v>
      </c>
      <c r="BE6" s="5" t="s">
        <v>139</v>
      </c>
      <c r="BF6" s="5" t="s">
        <v>140</v>
      </c>
      <c r="BG6" s="5" t="s">
        <v>141</v>
      </c>
      <c r="BH6" s="5" t="s">
        <v>142</v>
      </c>
      <c r="BI6" s="5" t="s">
        <v>143</v>
      </c>
      <c r="BJ6" s="5" t="s">
        <v>144</v>
      </c>
      <c r="BK6" s="5" t="s">
        <v>145</v>
      </c>
      <c r="BL6" s="5" t="s">
        <v>146</v>
      </c>
      <c r="BM6" s="5" t="s">
        <v>147</v>
      </c>
      <c r="BN6" s="5" t="s">
        <v>148</v>
      </c>
      <c r="BO6" s="5" t="s">
        <v>149</v>
      </c>
      <c r="BP6" s="5" t="s">
        <v>150</v>
      </c>
      <c r="BQ6" s="5" t="s">
        <v>151</v>
      </c>
      <c r="BR6" s="5" t="s">
        <v>152</v>
      </c>
      <c r="BS6" s="5" t="s">
        <v>153</v>
      </c>
      <c r="BT6" s="5" t="s">
        <v>154</v>
      </c>
      <c r="BU6" s="5" t="s">
        <v>155</v>
      </c>
      <c r="BV6" s="5" t="s">
        <v>156</v>
      </c>
      <c r="BW6" s="5" t="s">
        <v>157</v>
      </c>
      <c r="BX6" s="5" t="s">
        <v>158</v>
      </c>
    </row>
    <row r="7" customFormat="false" ht="15" hidden="false" customHeight="false" outlineLevel="0" collapsed="false">
      <c r="B7" s="29" t="s">
        <v>159</v>
      </c>
      <c r="C7" s="29" t="s">
        <v>160</v>
      </c>
      <c r="D7" s="29" t="s">
        <v>161</v>
      </c>
      <c r="E7" s="29" t="s">
        <v>162</v>
      </c>
      <c r="F7" s="29" t="s">
        <v>163</v>
      </c>
      <c r="G7" s="29" t="s">
        <v>164</v>
      </c>
      <c r="H7" s="29" t="s">
        <v>165</v>
      </c>
      <c r="I7" s="29" t="s">
        <v>166</v>
      </c>
      <c r="J7" s="29" t="s">
        <v>167</v>
      </c>
      <c r="K7" s="29" t="s">
        <v>168</v>
      </c>
      <c r="L7" s="29" t="s">
        <v>169</v>
      </c>
      <c r="M7" s="29" t="s">
        <v>165</v>
      </c>
      <c r="N7" s="30" t="n">
        <v>45929.4895833333</v>
      </c>
      <c r="O7" s="30" t="n">
        <v>45933.4895833333</v>
      </c>
      <c r="P7" s="30" t="n">
        <v>45933.5208333333</v>
      </c>
      <c r="Q7" s="30" t="n">
        <v>45933.6423611111</v>
      </c>
      <c r="R7" s="30" t="n">
        <v>45937.40625</v>
      </c>
      <c r="S7" s="30" t="n">
        <v>45943.4513888889</v>
      </c>
      <c r="T7" s="30"/>
      <c r="U7" s="30"/>
      <c r="V7" s="31" t="n">
        <v>0</v>
      </c>
      <c r="W7" s="29" t="s">
        <v>168</v>
      </c>
      <c r="X7" s="29"/>
      <c r="Y7" s="29" t="s">
        <v>168</v>
      </c>
      <c r="Z7" s="29" t="s">
        <v>168</v>
      </c>
      <c r="AA7" s="30"/>
      <c r="AB7" s="30"/>
      <c r="AC7" s="30"/>
      <c r="AD7" s="30"/>
      <c r="AE7" s="30"/>
      <c r="AF7" s="32"/>
      <c r="AG7" s="33"/>
      <c r="AH7" s="33"/>
      <c r="AI7" s="29" t="s">
        <v>168</v>
      </c>
      <c r="AJ7" s="32"/>
      <c r="AK7" s="32"/>
      <c r="AL7" s="29"/>
      <c r="AN7" s="34" t="str">
        <f aca="false">IF($B7="","",IF(OR(C7="",D7="",E7="",G7="",I7="",J7="",L7="",O7="",P7=""),"Champ obligatoire manquant",IF(OR(AND(N7&lt;&gt;"",N7&gt;O7),O7&gt;P7,AND(Q7&lt;&gt;"",Q7&lt;P7),AND(R7&lt;&gt;"",R7&lt;P7),AND(S7&lt;&gt;"",S7&lt;R7),AND(S7&lt;&gt;"",R7=""),AND(T7&lt;&gt;"",T7&lt;O7),AND(U7&lt;&gt;"",U7&lt;O7)),"Chronologie incohérente",IF(AND(OR(L7="Résolu",L7="Clos"),R7=""),"Date de résolution manquante",IF(AND(L7="Clos",S7=""),"Date de clôture manquante",IF(AND(K7="Oui",AC7=""),"Classification DORA manquante","OK"))))))</f>
        <v>OK</v>
      </c>
      <c r="AO7" s="35" t="n">
        <f aca="false">IF($B7="","",IF(AND(C7="Incident",L7&lt;&gt;"Annulé"),1,0))</f>
        <v>0</v>
      </c>
      <c r="AP7" s="35" t="n">
        <f aca="false">IF($B7="","",IF(AND(C7="Quasi-incident",L7&lt;&gt;"Annulé"),1,0))</f>
        <v>1</v>
      </c>
      <c r="AQ7" s="35" t="n">
        <f aca="false">IF($B7="","",AO7+AP7)</f>
        <v>1</v>
      </c>
      <c r="AR7" s="36" t="n">
        <f aca="false">IF(OR($B7="",J7=""),"",IFERROR(VALUE(LEFT(J7,1)),""))</f>
        <v>3</v>
      </c>
      <c r="AS7" s="35" t="str">
        <f aca="false">IF(OR(AO7&lt;&gt;1,G7=""),"",IFERROR(IF(INDEX(L_SrcInterne,MATCH(G7,L_Sources,0))="Oui",1,0),""))</f>
        <v/>
      </c>
      <c r="AT7" s="37" t="str">
        <f aca="false">IF(AO7&lt;&gt;1,"",IFERROR(ROUND(IF(OR(N7="",O7=""),"",IF(O7&lt;N7,"",ROUND(((NETWORKDAYS(N7,O7,JoursFeries)-1)*(HFer-HOuv)+IF(NETWORKDAYS(O7,O7,JoursFeries),MEDIAN(MOD(O7,1),HFer,HOuv),HFer)-IF(NETWORKDAYS(N7,N7,JoursFeries),MEDIAN(MOD(N7,1),HFer,HOuv),HOuv))*24,4)))/HJour,4),""))</f>
        <v/>
      </c>
      <c r="AU7" s="37" t="str">
        <f aca="false">IF(AO7&lt;&gt;1,"",IF(OR(O7="",P7=""),"",IF(P7&lt;O7,"",ROUND(((NETWORKDAYS(O7,P7,JoursFeries)-1)*(HFer-HOuv)+IF(NETWORKDAYS(P7,P7,JoursFeries),MEDIAN(MOD(P7,1),HFer,HOuv),HFer)-IF(NETWORKDAYS(O7,O7,JoursFeries),MEDIAN(MOD(O7,1),HFer,HOuv),HOuv))*24,4))))</f>
        <v/>
      </c>
      <c r="AV7" s="37" t="str">
        <f aca="false">IF(AO7&lt;&gt;1,"",IF(OR(P7="",Q7=""),"",IF(Q7&lt;P7,"",ROUND(((NETWORKDAYS(P7,Q7,JoursFeries)-1)*(HFer-HOuv)+IF(NETWORKDAYS(Q7,Q7,JoursFeries),MEDIAN(MOD(Q7,1),HFer,HOuv),HFer)-IF(NETWORKDAYS(P7,P7,JoursFeries),MEDIAN(MOD(P7,1),HFer,HOuv),HOuv))*24,4))))</f>
        <v/>
      </c>
      <c r="AW7" s="37" t="str">
        <f aca="false">IF(AO7&lt;&gt;1,"",IFERROR(ROUND(IF(OR(P7="",R7=""),"",IF(R7&lt;P7,"",ROUND(((NETWORKDAYS(P7,R7,JoursFeries)-1)*(HFer-HOuv)+IF(NETWORKDAYS(R7,R7,JoursFeries),MEDIAN(MOD(R7,1),HFer,HOuv),HFer)-IF(NETWORKDAYS(P7,P7,JoursFeries),MEDIAN(MOD(P7,1),HFer,HOuv),HOuv))*24,4)))/HJour,4),""))</f>
        <v/>
      </c>
      <c r="AX7" s="37" t="str">
        <f aca="false">IF(AO7&lt;&gt;1,"",IFERROR(ROUND(IF(OR(P7="",S7=""),"",IF(S7&lt;P7,"",ROUND(((NETWORKDAYS(P7,S7,JoursFeries)-1)*(HFer-HOuv)+IF(NETWORKDAYS(S7,S7,JoursFeries),MEDIAN(MOD(S7,1),HFer,HOuv),HFer)-IF(NETWORKDAYS(P7,P7,JoursFeries),MEDIAN(MOD(P7,1),HFer,HOuv),HOuv))*24,4)))/HJour,4),""))</f>
        <v/>
      </c>
      <c r="AY7" s="36" t="str">
        <f aca="false">IF(OR(AO7&lt;&gt;1,AR7=""),"",INDEX(SLA_PEC,AR7))</f>
        <v/>
      </c>
      <c r="AZ7" s="35" t="str">
        <f aca="false">IF(OR(AV7="",AY7=""),"",IF(AV7&lt;=AY7,1,0))</f>
        <v/>
      </c>
      <c r="BA7" s="36" t="str">
        <f aca="false">IF(OR(AO7&lt;&gt;1,AR7=""),"",INDEX(SLA_RES,AR7))</f>
        <v/>
      </c>
      <c r="BB7" s="35" t="str">
        <f aca="false">IF(OR(AW7="",BA7=""),"",IF(AW7&lt;=BA7,1,0))</f>
        <v/>
      </c>
      <c r="BC7" s="38" t="str">
        <f aca="false">IF(OR(BA7="",P7=""),"",WORKDAY(INT(P7),BA7,JoursFeries)+MOD(P7,1))</f>
        <v/>
      </c>
      <c r="BD7" s="39" t="str">
        <f aca="false">IF(AO7&lt;&gt;1,"",IF(OR(AB7&lt;&gt;"",AD7&lt;&gt;""),4,IF(U7&lt;&gt;"",3,IF(T7&lt;&gt;"",2,1))))</f>
        <v/>
      </c>
      <c r="BE7" s="39" t="str">
        <f aca="false">IF(OR(AO7&lt;&gt;1,AR7=""),"",INDEX(NIV_REQ,AR7))</f>
        <v/>
      </c>
      <c r="BF7" s="39" t="str">
        <f aca="false">IF(BE7="","",MAX(BE7,IF(OR(K7="Oui",Z7="Oui"),4,1)))</f>
        <v/>
      </c>
      <c r="BG7" s="35" t="str">
        <f aca="false">IF(OR(BF7="",BD7=""),"",IF(BD7&gt;=BF7,1,0))</f>
        <v/>
      </c>
      <c r="BH7" s="38" t="str">
        <f aca="false">IF(BE7="","",IF(BE7&lt;2,"",IF(BE7=2,IF(AND(T7="",U7=""),"",MIN(T7,U7)),IF(U7="","",U7))))</f>
        <v/>
      </c>
      <c r="BI7" s="37" t="str">
        <f aca="false">IF(BH7="","",IF(OR(O7="",BH7=""),"",IF(BH7&lt;O7,"",ROUND(((NETWORKDAYS(O7,BH7,JoursFeries)-1)*(HFer-HOuv)+IF(NETWORKDAYS(BH7,BH7,JoursFeries),MEDIAN(MOD(BH7,1),HFer,HOuv),HFer)-IF(NETWORKDAYS(O7,O7,JoursFeries),MEDIAN(MOD(O7,1),HFer,HOuv),HOuv))*24,4))))</f>
        <v/>
      </c>
      <c r="BJ7" s="35" t="str">
        <f aca="false">IF(OR(BI7="",AR7=""),"",IF(BI7&lt;=INDEX(DELAI_ESC,AR7),1,0))</f>
        <v/>
      </c>
      <c r="BK7" s="38" t="str">
        <f aca="false">IF(AO7&lt;&gt;1,"",IF(AND(T7="",U7=""),"",MIN(T7,U7)))</f>
        <v/>
      </c>
      <c r="BL7" s="37" t="str">
        <f aca="false">IF(OR(BK7="",R7=""),"",IFERROR(ROUND(IF(OR(BK7="",R7=""),"",IF(R7&lt;BK7,"",ROUND(((NETWORKDAYS(BK7,R7,JoursFeries)-1)*(HFer-HOuv)+IF(NETWORKDAYS(R7,R7,JoursFeries),MEDIAN(MOD(R7,1),HFer,HOuv),HFer)-IF(NETWORKDAYS(BK7,BK7,JoursFeries),MEDIAN(MOD(BK7,1),HFer,HOuv),HOuv))*24,4)))/HJour,4),""))</f>
        <v/>
      </c>
      <c r="BM7" s="35" t="str">
        <f aca="false">IF(OR(AO7&lt;&gt;1,R7=""),"",IF(BD7=1,1,0))</f>
        <v/>
      </c>
      <c r="BN7" s="35" t="str">
        <f aca="false">IF(AO7&lt;&gt;1,"",IF(W7="Oui",1,0))</f>
        <v/>
      </c>
      <c r="BO7" s="35" t="str">
        <f aca="false">IF(AO7&lt;&gt;1,"",IF(X7&lt;&gt;"",1,0))</f>
        <v/>
      </c>
      <c r="BP7" s="35" t="str">
        <f aca="false">IF(AO7&lt;&gt;1,"",IF(Y7="Oui",1,0))</f>
        <v/>
      </c>
      <c r="BQ7" s="35" t="str">
        <f aca="true">IF(OR(AO7&lt;&gt;1,Z7&lt;&gt;"Oui"),"",IF(AB7="",IF(AND(AA7&lt;&gt;"",NOW()&gt;AA7),0,""),IF(AA7="","",IF(AB7&lt;=AA7,1,0))))</f>
        <v/>
      </c>
      <c r="BR7" s="38" t="str">
        <f aca="false">IF(OR(AO7&lt;&gt;1,K7&lt;&gt;"Oui",O7=""),"",IF(AC7="",O7+DORA_H_DET/24,IF(AC7-O7&lt;=DORA_H_DET/24,MIN(AC7+DORA_H_CLA/24,O7+DORA_H_DET/24),AC7+DORA_H_CLA/24)))</f>
        <v/>
      </c>
      <c r="BS7" s="35" t="str">
        <f aca="true">IF(BR7="","",IF(AD7="",IF(NOW()&gt;BR7,0,""),IF(AD7&lt;=BR7,1,0)))</f>
        <v/>
      </c>
      <c r="BT7" s="35" t="str">
        <f aca="true">IF(OR(BR7="",AD7=""),"",IF(AE7="",IF(NOW()&gt;AD7+DORA_H_INT/24,0,""),IF(AE7&lt;=AD7+DORA_H_INT/24,1,0)))</f>
        <v/>
      </c>
      <c r="BU7" s="35" t="str">
        <f aca="true">IF(OR(BR7="",AE7=""),"",IF(AF7="",IF(NOW()&gt;EDATE(AE7,DORA_M_FIN)+1,0,""),IF(AF7&lt;=EDATE(AE7,DORA_M_FIN),1,0)))</f>
        <v/>
      </c>
      <c r="BV7" s="35" t="str">
        <f aca="false">IF(BR7="","",IF(COUNT(BS7:BU7)=0,"",MIN(BS7:BU7)))</f>
        <v/>
      </c>
      <c r="BW7" s="40" t="str">
        <f aca="false">IF(AQ7&lt;&gt;1,"",IF(AND(AG7="",AH7=""),"",N(AG7)-N(AH7)))</f>
        <v/>
      </c>
      <c r="BX7" s="35" t="str">
        <f aca="true">IF(OR(AQ7&lt;&gt;1,AI7&lt;&gt;"Oui",AJ7=""),"",IF(AK7="",IF(NOW()&gt;AJ7+1,0,""),IF(AK7&lt;=AJ7,1,0)))</f>
        <v/>
      </c>
    </row>
    <row r="8" customFormat="false" ht="15" hidden="false" customHeight="false" outlineLevel="0" collapsed="false">
      <c r="B8" s="29" t="s">
        <v>170</v>
      </c>
      <c r="C8" s="29" t="s">
        <v>160</v>
      </c>
      <c r="D8" s="29" t="s">
        <v>161</v>
      </c>
      <c r="E8" s="29" t="s">
        <v>171</v>
      </c>
      <c r="F8" s="29" t="s">
        <v>172</v>
      </c>
      <c r="G8" s="29" t="s">
        <v>173</v>
      </c>
      <c r="H8" s="29" t="s">
        <v>174</v>
      </c>
      <c r="I8" s="29" t="s">
        <v>175</v>
      </c>
      <c r="J8" s="29" t="s">
        <v>167</v>
      </c>
      <c r="K8" s="29" t="s">
        <v>168</v>
      </c>
      <c r="L8" s="29" t="s">
        <v>169</v>
      </c>
      <c r="M8" s="29" t="s">
        <v>176</v>
      </c>
      <c r="N8" s="30" t="n">
        <v>45935.4027777778</v>
      </c>
      <c r="O8" s="30" t="n">
        <v>45938.4027777778</v>
      </c>
      <c r="P8" s="30" t="n">
        <v>45938.4166666667</v>
      </c>
      <c r="Q8" s="30" t="n">
        <v>45938.6875</v>
      </c>
      <c r="R8" s="30" t="n">
        <v>45945.5798611111</v>
      </c>
      <c r="S8" s="30" t="n">
        <v>45953.5555555556</v>
      </c>
      <c r="T8" s="30"/>
      <c r="U8" s="30"/>
      <c r="V8" s="31" t="n">
        <v>0</v>
      </c>
      <c r="W8" s="29" t="s">
        <v>168</v>
      </c>
      <c r="X8" s="29"/>
      <c r="Y8" s="29" t="s">
        <v>168</v>
      </c>
      <c r="Z8" s="29" t="s">
        <v>168</v>
      </c>
      <c r="AA8" s="30"/>
      <c r="AB8" s="30"/>
      <c r="AC8" s="30"/>
      <c r="AD8" s="30"/>
      <c r="AE8" s="30"/>
      <c r="AF8" s="32"/>
      <c r="AG8" s="33"/>
      <c r="AH8" s="33"/>
      <c r="AI8" s="29" t="s">
        <v>168</v>
      </c>
      <c r="AJ8" s="32"/>
      <c r="AK8" s="32"/>
      <c r="AL8" s="29"/>
      <c r="AN8" s="34" t="str">
        <f aca="false">IF($B8="","",IF(OR(C8="",D8="",E8="",G8="",I8="",J8="",L8="",O8="",P8=""),"Champ obligatoire manquant",IF(OR(AND(N8&lt;&gt;"",N8&gt;O8),O8&gt;P8,AND(Q8&lt;&gt;"",Q8&lt;P8),AND(R8&lt;&gt;"",R8&lt;P8),AND(S8&lt;&gt;"",S8&lt;R8),AND(S8&lt;&gt;"",R8=""),AND(T8&lt;&gt;"",T8&lt;O8),AND(U8&lt;&gt;"",U8&lt;O8)),"Chronologie incohérente",IF(AND(OR(L8="Résolu",L8="Clos"),R8=""),"Date de résolution manquante",IF(AND(L8="Clos",S8=""),"Date de clôture manquante",IF(AND(K8="Oui",AC8=""),"Classification DORA manquante","OK"))))))</f>
        <v>OK</v>
      </c>
      <c r="AO8" s="35" t="n">
        <f aca="false">IF($B8="","",IF(AND(C8="Incident",L8&lt;&gt;"Annulé"),1,0))</f>
        <v>0</v>
      </c>
      <c r="AP8" s="35" t="n">
        <f aca="false">IF($B8="","",IF(AND(C8="Quasi-incident",L8&lt;&gt;"Annulé"),1,0))</f>
        <v>1</v>
      </c>
      <c r="AQ8" s="35" t="n">
        <f aca="false">IF($B8="","",AO8+AP8)</f>
        <v>1</v>
      </c>
      <c r="AR8" s="36" t="n">
        <f aca="false">IF(OR($B8="",J8=""),"",IFERROR(VALUE(LEFT(J8,1)),""))</f>
        <v>3</v>
      </c>
      <c r="AS8" s="35" t="str">
        <f aca="false">IF(OR(AO8&lt;&gt;1,G8=""),"",IFERROR(IF(INDEX(L_SrcInterne,MATCH(G8,L_Sources,0))="Oui",1,0),""))</f>
        <v/>
      </c>
      <c r="AT8" s="37" t="str">
        <f aca="false">IF(AO8&lt;&gt;1,"",IFERROR(ROUND(IF(OR(N8="",O8=""),"",IF(O8&lt;N8,"",ROUND(((NETWORKDAYS(N8,O8,JoursFeries)-1)*(HFer-HOuv)+IF(NETWORKDAYS(O8,O8,JoursFeries),MEDIAN(MOD(O8,1),HFer,HOuv),HFer)-IF(NETWORKDAYS(N8,N8,JoursFeries),MEDIAN(MOD(N8,1),HFer,HOuv),HOuv))*24,4)))/HJour,4),""))</f>
        <v/>
      </c>
      <c r="AU8" s="37" t="str">
        <f aca="false">IF(AO8&lt;&gt;1,"",IF(OR(O8="",P8=""),"",IF(P8&lt;O8,"",ROUND(((NETWORKDAYS(O8,P8,JoursFeries)-1)*(HFer-HOuv)+IF(NETWORKDAYS(P8,P8,JoursFeries),MEDIAN(MOD(P8,1),HFer,HOuv),HFer)-IF(NETWORKDAYS(O8,O8,JoursFeries),MEDIAN(MOD(O8,1),HFer,HOuv),HOuv))*24,4))))</f>
        <v/>
      </c>
      <c r="AV8" s="37" t="str">
        <f aca="false">IF(AO8&lt;&gt;1,"",IF(OR(P8="",Q8=""),"",IF(Q8&lt;P8,"",ROUND(((NETWORKDAYS(P8,Q8,JoursFeries)-1)*(HFer-HOuv)+IF(NETWORKDAYS(Q8,Q8,JoursFeries),MEDIAN(MOD(Q8,1),HFer,HOuv),HFer)-IF(NETWORKDAYS(P8,P8,JoursFeries),MEDIAN(MOD(P8,1),HFer,HOuv),HOuv))*24,4))))</f>
        <v/>
      </c>
      <c r="AW8" s="37" t="str">
        <f aca="false">IF(AO8&lt;&gt;1,"",IFERROR(ROUND(IF(OR(P8="",R8=""),"",IF(R8&lt;P8,"",ROUND(((NETWORKDAYS(P8,R8,JoursFeries)-1)*(HFer-HOuv)+IF(NETWORKDAYS(R8,R8,JoursFeries),MEDIAN(MOD(R8,1),HFer,HOuv),HFer)-IF(NETWORKDAYS(P8,P8,JoursFeries),MEDIAN(MOD(P8,1),HFer,HOuv),HOuv))*24,4)))/HJour,4),""))</f>
        <v/>
      </c>
      <c r="AX8" s="37" t="str">
        <f aca="false">IF(AO8&lt;&gt;1,"",IFERROR(ROUND(IF(OR(P8="",S8=""),"",IF(S8&lt;P8,"",ROUND(((NETWORKDAYS(P8,S8,JoursFeries)-1)*(HFer-HOuv)+IF(NETWORKDAYS(S8,S8,JoursFeries),MEDIAN(MOD(S8,1),HFer,HOuv),HFer)-IF(NETWORKDAYS(P8,P8,JoursFeries),MEDIAN(MOD(P8,1),HFer,HOuv),HOuv))*24,4)))/HJour,4),""))</f>
        <v/>
      </c>
      <c r="AY8" s="36" t="str">
        <f aca="false">IF(OR(AO8&lt;&gt;1,AR8=""),"",INDEX(SLA_PEC,AR8))</f>
        <v/>
      </c>
      <c r="AZ8" s="35" t="str">
        <f aca="false">IF(OR(AV8="",AY8=""),"",IF(AV8&lt;=AY8,1,0))</f>
        <v/>
      </c>
      <c r="BA8" s="36" t="str">
        <f aca="false">IF(OR(AO8&lt;&gt;1,AR8=""),"",INDEX(SLA_RES,AR8))</f>
        <v/>
      </c>
      <c r="BB8" s="35" t="str">
        <f aca="false">IF(OR(AW8="",BA8=""),"",IF(AW8&lt;=BA8,1,0))</f>
        <v/>
      </c>
      <c r="BC8" s="38" t="str">
        <f aca="false">IF(OR(BA8="",P8=""),"",WORKDAY(INT(P8),BA8,JoursFeries)+MOD(P8,1))</f>
        <v/>
      </c>
      <c r="BD8" s="39" t="str">
        <f aca="false">IF(AO8&lt;&gt;1,"",IF(OR(AB8&lt;&gt;"",AD8&lt;&gt;""),4,IF(U8&lt;&gt;"",3,IF(T8&lt;&gt;"",2,1))))</f>
        <v/>
      </c>
      <c r="BE8" s="39" t="str">
        <f aca="false">IF(OR(AO8&lt;&gt;1,AR8=""),"",INDEX(NIV_REQ,AR8))</f>
        <v/>
      </c>
      <c r="BF8" s="39" t="str">
        <f aca="false">IF(BE8="","",MAX(BE8,IF(OR(K8="Oui",Z8="Oui"),4,1)))</f>
        <v/>
      </c>
      <c r="BG8" s="35" t="str">
        <f aca="false">IF(OR(BF8="",BD8=""),"",IF(BD8&gt;=BF8,1,0))</f>
        <v/>
      </c>
      <c r="BH8" s="38" t="str">
        <f aca="false">IF(BE8="","",IF(BE8&lt;2,"",IF(BE8=2,IF(AND(T8="",U8=""),"",MIN(T8,U8)),IF(U8="","",U8))))</f>
        <v/>
      </c>
      <c r="BI8" s="37" t="str">
        <f aca="false">IF(BH8="","",IF(OR(O8="",BH8=""),"",IF(BH8&lt;O8,"",ROUND(((NETWORKDAYS(O8,BH8,JoursFeries)-1)*(HFer-HOuv)+IF(NETWORKDAYS(BH8,BH8,JoursFeries),MEDIAN(MOD(BH8,1),HFer,HOuv),HFer)-IF(NETWORKDAYS(O8,O8,JoursFeries),MEDIAN(MOD(O8,1),HFer,HOuv),HOuv))*24,4))))</f>
        <v/>
      </c>
      <c r="BJ8" s="35" t="str">
        <f aca="false">IF(OR(BI8="",AR8=""),"",IF(BI8&lt;=INDEX(DELAI_ESC,AR8),1,0))</f>
        <v/>
      </c>
      <c r="BK8" s="38" t="str">
        <f aca="false">IF(AO8&lt;&gt;1,"",IF(AND(T8="",U8=""),"",MIN(T8,U8)))</f>
        <v/>
      </c>
      <c r="BL8" s="37" t="str">
        <f aca="false">IF(OR(BK8="",R8=""),"",IFERROR(ROUND(IF(OR(BK8="",R8=""),"",IF(R8&lt;BK8,"",ROUND(((NETWORKDAYS(BK8,R8,JoursFeries)-1)*(HFer-HOuv)+IF(NETWORKDAYS(R8,R8,JoursFeries),MEDIAN(MOD(R8,1),HFer,HOuv),HFer)-IF(NETWORKDAYS(BK8,BK8,JoursFeries),MEDIAN(MOD(BK8,1),HFer,HOuv),HOuv))*24,4)))/HJour,4),""))</f>
        <v/>
      </c>
      <c r="BM8" s="35" t="str">
        <f aca="false">IF(OR(AO8&lt;&gt;1,R8=""),"",IF(BD8=1,1,0))</f>
        <v/>
      </c>
      <c r="BN8" s="35" t="str">
        <f aca="false">IF(AO8&lt;&gt;1,"",IF(W8="Oui",1,0))</f>
        <v/>
      </c>
      <c r="BO8" s="35" t="str">
        <f aca="false">IF(AO8&lt;&gt;1,"",IF(X8&lt;&gt;"",1,0))</f>
        <v/>
      </c>
      <c r="BP8" s="35" t="str">
        <f aca="false">IF(AO8&lt;&gt;1,"",IF(Y8="Oui",1,0))</f>
        <v/>
      </c>
      <c r="BQ8" s="35" t="str">
        <f aca="true">IF(OR(AO8&lt;&gt;1,Z8&lt;&gt;"Oui"),"",IF(AB8="",IF(AND(AA8&lt;&gt;"",NOW()&gt;AA8),0,""),IF(AA8="","",IF(AB8&lt;=AA8,1,0))))</f>
        <v/>
      </c>
      <c r="BR8" s="38" t="str">
        <f aca="false">IF(OR(AO8&lt;&gt;1,K8&lt;&gt;"Oui",O8=""),"",IF(AC8="",O8+DORA_H_DET/24,IF(AC8-O8&lt;=DORA_H_DET/24,MIN(AC8+DORA_H_CLA/24,O8+DORA_H_DET/24),AC8+DORA_H_CLA/24)))</f>
        <v/>
      </c>
      <c r="BS8" s="35" t="str">
        <f aca="true">IF(BR8="","",IF(AD8="",IF(NOW()&gt;BR8,0,""),IF(AD8&lt;=BR8,1,0)))</f>
        <v/>
      </c>
      <c r="BT8" s="35" t="str">
        <f aca="true">IF(OR(BR8="",AD8=""),"",IF(AE8="",IF(NOW()&gt;AD8+DORA_H_INT/24,0,""),IF(AE8&lt;=AD8+DORA_H_INT/24,1,0)))</f>
        <v/>
      </c>
      <c r="BU8" s="35" t="str">
        <f aca="true">IF(OR(BR8="",AE8=""),"",IF(AF8="",IF(NOW()&gt;EDATE(AE8,DORA_M_FIN)+1,0,""),IF(AF8&lt;=EDATE(AE8,DORA_M_FIN),1,0)))</f>
        <v/>
      </c>
      <c r="BV8" s="35" t="str">
        <f aca="false">IF(BR8="","",IF(COUNT(BS8:BU8)=0,"",MIN(BS8:BU8)))</f>
        <v/>
      </c>
      <c r="BW8" s="40" t="str">
        <f aca="false">IF(AQ8&lt;&gt;1,"",IF(AND(AG8="",AH8=""),"",N(AG8)-N(AH8)))</f>
        <v/>
      </c>
      <c r="BX8" s="35" t="str">
        <f aca="true">IF(OR(AQ8&lt;&gt;1,AI8&lt;&gt;"Oui",AJ8=""),"",IF(AK8="",IF(NOW()&gt;AJ8+1,0,""),IF(AK8&lt;=AJ8,1,0)))</f>
        <v/>
      </c>
    </row>
    <row r="9" customFormat="false" ht="15" hidden="false" customHeight="false" outlineLevel="0" collapsed="false">
      <c r="B9" s="29" t="s">
        <v>177</v>
      </c>
      <c r="C9" s="29" t="s">
        <v>178</v>
      </c>
      <c r="D9" s="29" t="s">
        <v>161</v>
      </c>
      <c r="E9" s="29" t="s">
        <v>179</v>
      </c>
      <c r="F9" s="29" t="s">
        <v>172</v>
      </c>
      <c r="G9" s="29" t="s">
        <v>180</v>
      </c>
      <c r="H9" s="29"/>
      <c r="I9" s="29" t="s">
        <v>181</v>
      </c>
      <c r="J9" s="29" t="s">
        <v>167</v>
      </c>
      <c r="K9" s="29" t="s">
        <v>168</v>
      </c>
      <c r="L9" s="29" t="s">
        <v>169</v>
      </c>
      <c r="M9" s="29" t="s">
        <v>182</v>
      </c>
      <c r="N9" s="30" t="n">
        <v>45935.3923611111</v>
      </c>
      <c r="O9" s="30" t="n">
        <v>45938.3923611111</v>
      </c>
      <c r="P9" s="30" t="n">
        <v>45938.4236111111</v>
      </c>
      <c r="Q9" s="30" t="n">
        <v>45938.6840277778</v>
      </c>
      <c r="R9" s="30" t="n">
        <v>45947.5694444445</v>
      </c>
      <c r="S9" s="30" t="n">
        <v>45967.4513888889</v>
      </c>
      <c r="T9" s="30"/>
      <c r="U9" s="30"/>
      <c r="V9" s="31" t="n">
        <v>1</v>
      </c>
      <c r="W9" s="29" t="s">
        <v>168</v>
      </c>
      <c r="X9" s="29"/>
      <c r="Y9" s="29" t="s">
        <v>168</v>
      </c>
      <c r="Z9" s="29" t="s">
        <v>168</v>
      </c>
      <c r="AA9" s="30"/>
      <c r="AB9" s="30"/>
      <c r="AC9" s="30"/>
      <c r="AD9" s="30"/>
      <c r="AE9" s="30"/>
      <c r="AF9" s="32"/>
      <c r="AG9" s="33"/>
      <c r="AH9" s="33"/>
      <c r="AI9" s="29" t="s">
        <v>168</v>
      </c>
      <c r="AJ9" s="32"/>
      <c r="AK9" s="32"/>
      <c r="AL9" s="29"/>
      <c r="AN9" s="34" t="str">
        <f aca="false">IF($B9="","",IF(OR(C9="",D9="",E9="",G9="",I9="",J9="",L9="",O9="",P9=""),"Champ obligatoire manquant",IF(OR(AND(N9&lt;&gt;"",N9&gt;O9),O9&gt;P9,AND(Q9&lt;&gt;"",Q9&lt;P9),AND(R9&lt;&gt;"",R9&lt;P9),AND(S9&lt;&gt;"",S9&lt;R9),AND(S9&lt;&gt;"",R9=""),AND(T9&lt;&gt;"",T9&lt;O9),AND(U9&lt;&gt;"",U9&lt;O9)),"Chronologie incohérente",IF(AND(OR(L9="Résolu",L9="Clos"),R9=""),"Date de résolution manquante",IF(AND(L9="Clos",S9=""),"Date de clôture manquante",IF(AND(K9="Oui",AC9=""),"Classification DORA manquante","OK"))))))</f>
        <v>OK</v>
      </c>
      <c r="AO9" s="35" t="n">
        <f aca="false">IF($B9="","",IF(AND(C9="Incident",L9&lt;&gt;"Annulé"),1,0))</f>
        <v>1</v>
      </c>
      <c r="AP9" s="35" t="n">
        <f aca="false">IF($B9="","",IF(AND(C9="Quasi-incident",L9&lt;&gt;"Annulé"),1,0))</f>
        <v>0</v>
      </c>
      <c r="AQ9" s="35" t="n">
        <f aca="false">IF($B9="","",AO9+AP9)</f>
        <v>1</v>
      </c>
      <c r="AR9" s="36" t="n">
        <f aca="false">IF(OR($B9="",J9=""),"",IFERROR(VALUE(LEFT(J9,1)),""))</f>
        <v>3</v>
      </c>
      <c r="AS9" s="35" t="n">
        <f aca="false">IF(OR(AO9&lt;&gt;1,G9=""),"",IFERROR(IF(INDEX(L_SrcInterne,MATCH(G9,L_Sources,0))="Oui",1,0),""))</f>
        <v>1</v>
      </c>
      <c r="AT9" s="37" t="n">
        <f aca="false">IF(AO9&lt;&gt;1,"",IFERROR(ROUND(IF(OR(N9="",O9=""),"",IF(O9&lt;N9,"",ROUND(((NETWORKDAYS(N9,O9,JoursFeries)-1)*(HFer-HOuv)+IF(NETWORKDAYS(O9,O9,JoursFeries),MEDIAN(MOD(O9,1),HFer,HOuv),HFer)-IF(NETWORKDAYS(N9,N9,JoursFeries),MEDIAN(MOD(N9,1),HFer,HOuv),HOuv))*24,4)))/HJour,4),""))</f>
        <v>2.0463</v>
      </c>
      <c r="AU9" s="37" t="n">
        <f aca="false">IF(AO9&lt;&gt;1,"",IF(OR(O9="",P9=""),"",IF(P9&lt;O9,"",ROUND(((NETWORKDAYS(O9,P9,JoursFeries)-1)*(HFer-HOuv)+IF(NETWORKDAYS(P9,P9,JoursFeries),MEDIAN(MOD(P9,1),HFer,HOuv),HFer)-IF(NETWORKDAYS(O9,O9,JoursFeries),MEDIAN(MOD(O9,1),HFer,HOuv),HOuv))*24,4))))</f>
        <v>0.75</v>
      </c>
      <c r="AV9" s="37" t="n">
        <f aca="false">IF(AO9&lt;&gt;1,"",IF(OR(P9="",Q9=""),"",IF(Q9&lt;P9,"",ROUND(((NETWORKDAYS(P9,Q9,JoursFeries)-1)*(HFer-HOuv)+IF(NETWORKDAYS(Q9,Q9,JoursFeries),MEDIAN(MOD(Q9,1),HFer,HOuv),HFer)-IF(NETWORKDAYS(P9,P9,JoursFeries),MEDIAN(MOD(P9,1),HFer,HOuv),HOuv))*24,4))))</f>
        <v>6.25</v>
      </c>
      <c r="AW9" s="37" t="n">
        <f aca="false">IF(AO9&lt;&gt;1,"",IFERROR(ROUND(IF(OR(P9="",R9=""),"",IF(R9&lt;P9,"",ROUND(((NETWORKDAYS(P9,R9,JoursFeries)-1)*(HFer-HOuv)+IF(NETWORKDAYS(R9,R9,JoursFeries),MEDIAN(MOD(R9,1),HFer,HOuv),HFer)-IF(NETWORKDAYS(P9,P9,JoursFeries),MEDIAN(MOD(P9,1),HFer,HOuv),HOuv))*24,4)))/HJour,4),""))</f>
        <v>7.3889</v>
      </c>
      <c r="AX9" s="37" t="n">
        <f aca="false">IF(AO9&lt;&gt;1,"",IFERROR(ROUND(IF(OR(P9="",S9=""),"",IF(S9&lt;P9,"",ROUND(((NETWORKDAYS(P9,S9,JoursFeries)-1)*(HFer-HOuv)+IF(NETWORKDAYS(S9,S9,JoursFeries),MEDIAN(MOD(S9,1),HFer,HOuv),HFer)-IF(NETWORKDAYS(P9,P9,JoursFeries),MEDIAN(MOD(P9,1),HFer,HOuv),HOuv))*24,4)))/HJour,4),""))</f>
        <v>21.0741</v>
      </c>
      <c r="AY9" s="36" t="n">
        <f aca="false">IF(OR(AO9&lt;&gt;1,AR9=""),"",INDEX(SLA_PEC,AR9))</f>
        <v>9</v>
      </c>
      <c r="AZ9" s="35" t="n">
        <f aca="false">IF(OR(AV9="",AY9=""),"",IF(AV9&lt;=AY9,1,0))</f>
        <v>1</v>
      </c>
      <c r="BA9" s="36" t="n">
        <f aca="false">IF(OR(AO9&lt;&gt;1,AR9=""),"",INDEX(SLA_RES,AR9))</f>
        <v>10</v>
      </c>
      <c r="BB9" s="35" t="n">
        <f aca="false">IF(OR(AW9="",BA9=""),"",IF(AW9&lt;=BA9,1,0))</f>
        <v>1</v>
      </c>
      <c r="BC9" s="38" t="n">
        <f aca="false">IF(OR(BA9="",P9=""),"",WORKDAY(INT(P9),BA9,JoursFeries)+MOD(P9,1))</f>
        <v>45952.4236111111</v>
      </c>
      <c r="BD9" s="39" t="n">
        <f aca="false">IF(AO9&lt;&gt;1,"",IF(OR(AB9&lt;&gt;"",AD9&lt;&gt;""),4,IF(U9&lt;&gt;"",3,IF(T9&lt;&gt;"",2,1))))</f>
        <v>1</v>
      </c>
      <c r="BE9" s="39" t="n">
        <f aca="false">IF(OR(AO9&lt;&gt;1,AR9=""),"",INDEX(NIV_REQ,AR9))</f>
        <v>1</v>
      </c>
      <c r="BF9" s="39" t="n">
        <f aca="false">IF(BE9="","",MAX(BE9,IF(OR(K9="Oui",Z9="Oui"),4,1)))</f>
        <v>1</v>
      </c>
      <c r="BG9" s="35" t="n">
        <f aca="false">IF(OR(BF9="",BD9=""),"",IF(BD9&gt;=BF9,1,0))</f>
        <v>1</v>
      </c>
      <c r="BH9" s="38" t="str">
        <f aca="false">IF(BE9="","",IF(BE9&lt;2,"",IF(BE9=2,IF(AND(T9="",U9=""),"",MIN(T9,U9)),IF(U9="","",U9))))</f>
        <v/>
      </c>
      <c r="BI9" s="37" t="str">
        <f aca="false">IF(BH9="","",IF(OR(O9="",BH9=""),"",IF(BH9&lt;O9,"",ROUND(((NETWORKDAYS(O9,BH9,JoursFeries)-1)*(HFer-HOuv)+IF(NETWORKDAYS(BH9,BH9,JoursFeries),MEDIAN(MOD(BH9,1),HFer,HOuv),HFer)-IF(NETWORKDAYS(O9,O9,JoursFeries),MEDIAN(MOD(O9,1),HFer,HOuv),HOuv))*24,4))))</f>
        <v/>
      </c>
      <c r="BJ9" s="35" t="str">
        <f aca="false">IF(OR(BI9="",AR9=""),"",IF(BI9&lt;=INDEX(DELAI_ESC,AR9),1,0))</f>
        <v/>
      </c>
      <c r="BK9" s="38" t="str">
        <f aca="false">IF(AO9&lt;&gt;1,"",IF(AND(T9="",U9=""),"",MIN(T9,U9)))</f>
        <v/>
      </c>
      <c r="BL9" s="37" t="str">
        <f aca="false">IF(OR(BK9="",R9=""),"",IFERROR(ROUND(IF(OR(BK9="",R9=""),"",IF(R9&lt;BK9,"",ROUND(((NETWORKDAYS(BK9,R9,JoursFeries)-1)*(HFer-HOuv)+IF(NETWORKDAYS(R9,R9,JoursFeries),MEDIAN(MOD(R9,1),HFer,HOuv),HFer)-IF(NETWORKDAYS(BK9,BK9,JoursFeries),MEDIAN(MOD(BK9,1),HFer,HOuv),HOuv))*24,4)))/HJour,4),""))</f>
        <v/>
      </c>
      <c r="BM9" s="35" t="n">
        <f aca="false">IF(OR(AO9&lt;&gt;1,R9=""),"",IF(BD9=1,1,0))</f>
        <v>1</v>
      </c>
      <c r="BN9" s="35" t="n">
        <f aca="false">IF(AO9&lt;&gt;1,"",IF(W9="Oui",1,0))</f>
        <v>0</v>
      </c>
      <c r="BO9" s="35" t="n">
        <f aca="false">IF(AO9&lt;&gt;1,"",IF(X9&lt;&gt;"",1,0))</f>
        <v>0</v>
      </c>
      <c r="BP9" s="35" t="n">
        <f aca="false">IF(AO9&lt;&gt;1,"",IF(Y9="Oui",1,0))</f>
        <v>0</v>
      </c>
      <c r="BQ9" s="35" t="str">
        <f aca="true">IF(OR(AO9&lt;&gt;1,Z9&lt;&gt;"Oui"),"",IF(AB9="",IF(AND(AA9&lt;&gt;"",NOW()&gt;AA9),0,""),IF(AA9="","",IF(AB9&lt;=AA9,1,0))))</f>
        <v/>
      </c>
      <c r="BR9" s="38" t="str">
        <f aca="false">IF(OR(AO9&lt;&gt;1,K9&lt;&gt;"Oui",O9=""),"",IF(AC9="",O9+DORA_H_DET/24,IF(AC9-O9&lt;=DORA_H_DET/24,MIN(AC9+DORA_H_CLA/24,O9+DORA_H_DET/24),AC9+DORA_H_CLA/24)))</f>
        <v/>
      </c>
      <c r="BS9" s="35" t="str">
        <f aca="true">IF(BR9="","",IF(AD9="",IF(NOW()&gt;BR9,0,""),IF(AD9&lt;=BR9,1,0)))</f>
        <v/>
      </c>
      <c r="BT9" s="35" t="str">
        <f aca="true">IF(OR(BR9="",AD9=""),"",IF(AE9="",IF(NOW()&gt;AD9+DORA_H_INT/24,0,""),IF(AE9&lt;=AD9+DORA_H_INT/24,1,0)))</f>
        <v/>
      </c>
      <c r="BU9" s="35" t="str">
        <f aca="true">IF(OR(BR9="",AE9=""),"",IF(AF9="",IF(NOW()&gt;EDATE(AE9,DORA_M_FIN)+1,0,""),IF(AF9&lt;=EDATE(AE9,DORA_M_FIN),1,0)))</f>
        <v/>
      </c>
      <c r="BV9" s="35" t="str">
        <f aca="false">IF(BR9="","",IF(COUNT(BS9:BU9)=0,"",MIN(BS9:BU9)))</f>
        <v/>
      </c>
      <c r="BW9" s="40" t="str">
        <f aca="false">IF(AQ9&lt;&gt;1,"",IF(AND(AG9="",AH9=""),"",N(AG9)-N(AH9)))</f>
        <v/>
      </c>
      <c r="BX9" s="35" t="str">
        <f aca="true">IF(OR(AQ9&lt;&gt;1,AI9&lt;&gt;"Oui",AJ9=""),"",IF(AK9="",IF(NOW()&gt;AJ9+1,0,""),IF(AK9&lt;=AJ9,1,0)))</f>
        <v/>
      </c>
    </row>
    <row r="10" customFormat="false" ht="15" hidden="false" customHeight="false" outlineLevel="0" collapsed="false">
      <c r="B10" s="29" t="s">
        <v>183</v>
      </c>
      <c r="C10" s="29" t="s">
        <v>178</v>
      </c>
      <c r="D10" s="29" t="s">
        <v>184</v>
      </c>
      <c r="E10" s="29" t="s">
        <v>162</v>
      </c>
      <c r="F10" s="29" t="s">
        <v>172</v>
      </c>
      <c r="G10" s="29" t="s">
        <v>185</v>
      </c>
      <c r="H10" s="29" t="s">
        <v>165</v>
      </c>
      <c r="I10" s="29" t="s">
        <v>186</v>
      </c>
      <c r="J10" s="29" t="s">
        <v>187</v>
      </c>
      <c r="K10" s="29" t="s">
        <v>168</v>
      </c>
      <c r="L10" s="29" t="s">
        <v>169</v>
      </c>
      <c r="M10" s="29" t="s">
        <v>188</v>
      </c>
      <c r="N10" s="30" t="n">
        <v>45941.6388888889</v>
      </c>
      <c r="O10" s="30" t="n">
        <v>45944.6388888889</v>
      </c>
      <c r="P10" s="30" t="n">
        <v>45944.6597222222</v>
      </c>
      <c r="Q10" s="30" t="n">
        <v>45946.4722222222</v>
      </c>
      <c r="R10" s="30" t="n">
        <v>45967.40625</v>
      </c>
      <c r="S10" s="30" t="n">
        <v>45981.5590277778</v>
      </c>
      <c r="T10" s="30"/>
      <c r="U10" s="30"/>
      <c r="V10" s="31" t="n">
        <v>1</v>
      </c>
      <c r="W10" s="29" t="s">
        <v>168</v>
      </c>
      <c r="X10" s="29"/>
      <c r="Y10" s="29" t="s">
        <v>189</v>
      </c>
      <c r="Z10" s="29" t="s">
        <v>168</v>
      </c>
      <c r="AA10" s="30"/>
      <c r="AB10" s="30"/>
      <c r="AC10" s="30"/>
      <c r="AD10" s="30"/>
      <c r="AE10" s="30"/>
      <c r="AF10" s="32"/>
      <c r="AG10" s="33"/>
      <c r="AH10" s="33"/>
      <c r="AI10" s="29" t="s">
        <v>168</v>
      </c>
      <c r="AJ10" s="32"/>
      <c r="AK10" s="32"/>
      <c r="AL10" s="29"/>
      <c r="AN10" s="34" t="str">
        <f aca="false">IF($B10="","",IF(OR(C10="",D10="",E10="",G10="",I10="",J10="",L10="",O10="",P10=""),"Champ obligatoire manquant",IF(OR(AND(N10&lt;&gt;"",N10&gt;O10),O10&gt;P10,AND(Q10&lt;&gt;"",Q10&lt;P10),AND(R10&lt;&gt;"",R10&lt;P10),AND(S10&lt;&gt;"",S10&lt;R10),AND(S10&lt;&gt;"",R10=""),AND(T10&lt;&gt;"",T10&lt;O10),AND(U10&lt;&gt;"",U10&lt;O10)),"Chronologie incohérente",IF(AND(OR(L10="Résolu",L10="Clos"),R10=""),"Date de résolution manquante",IF(AND(L10="Clos",S10=""),"Date de clôture manquante",IF(AND(K10="Oui",AC10=""),"Classification DORA manquante","OK"))))))</f>
        <v>OK</v>
      </c>
      <c r="AO10" s="35" t="n">
        <f aca="false">IF($B10="","",IF(AND(C10="Incident",L10&lt;&gt;"Annulé"),1,0))</f>
        <v>1</v>
      </c>
      <c r="AP10" s="35" t="n">
        <f aca="false">IF($B10="","",IF(AND(C10="Quasi-incident",L10&lt;&gt;"Annulé"),1,0))</f>
        <v>0</v>
      </c>
      <c r="AQ10" s="35" t="n">
        <f aca="false">IF($B10="","",AO10+AP10)</f>
        <v>1</v>
      </c>
      <c r="AR10" s="36" t="n">
        <f aca="false">IF(OR($B10="",J10=""),"",IFERROR(VALUE(LEFT(J10,1)),""))</f>
        <v>4</v>
      </c>
      <c r="AS10" s="35" t="n">
        <f aca="false">IF(OR(AO10&lt;&gt;1,G10=""),"",IFERROR(IF(INDEX(L_SrcInterne,MATCH(G10,L_Sources,0))="Oui",1,0),""))</f>
        <v>1</v>
      </c>
      <c r="AT10" s="37" t="n">
        <f aca="false">IF(AO10&lt;&gt;1,"",IFERROR(ROUND(IF(OR(N10="",O10=""),"",IF(O10&lt;N10,"",ROUND(((NETWORKDAYS(N10,O10,JoursFeries)-1)*(HFer-HOuv)+IF(NETWORKDAYS(O10,O10,JoursFeries),MEDIAN(MOD(O10,1),HFer,HOuv),HFer)-IF(NETWORKDAYS(N10,N10,JoursFeries),MEDIAN(MOD(N10,1),HFer,HOuv),HOuv))*24,4)))/HJour,4),""))</f>
        <v>1.7037</v>
      </c>
      <c r="AU10" s="37" t="n">
        <f aca="false">IF(AO10&lt;&gt;1,"",IF(OR(O10="",P10=""),"",IF(P10&lt;O10,"",ROUND(((NETWORKDAYS(O10,P10,JoursFeries)-1)*(HFer-HOuv)+IF(NETWORKDAYS(P10,P10,JoursFeries),MEDIAN(MOD(P10,1),HFer,HOuv),HFer)-IF(NETWORKDAYS(O10,O10,JoursFeries),MEDIAN(MOD(O10,1),HFer,HOuv),HOuv))*24,4))))</f>
        <v>0.5</v>
      </c>
      <c r="AV10" s="37" t="n">
        <f aca="false">IF(AO10&lt;&gt;1,"",IF(OR(P10="",Q10=""),"",IF(Q10&lt;P10,"",ROUND(((NETWORKDAYS(P10,Q10,JoursFeries)-1)*(HFer-HOuv)+IF(NETWORKDAYS(Q10,Q10,JoursFeries),MEDIAN(MOD(Q10,1),HFer,HOuv),HFer)-IF(NETWORKDAYS(P10,P10,JoursFeries),MEDIAN(MOD(P10,1),HFer,HOuv),HOuv))*24,4))))</f>
        <v>13.5</v>
      </c>
      <c r="AW10" s="37" t="n">
        <f aca="false">IF(AO10&lt;&gt;1,"",IFERROR(ROUND(IF(OR(P10="",R10=""),"",IF(R10&lt;P10,"",ROUND(((NETWORKDAYS(P10,R10,JoursFeries)-1)*(HFer-HOuv)+IF(NETWORKDAYS(R10,R10,JoursFeries),MEDIAN(MOD(R10,1),HFer,HOuv),HFer)-IF(NETWORKDAYS(P10,P10,JoursFeries),MEDIAN(MOD(P10,1),HFer,HOuv),HOuv))*24,4)))/HJour,4),""))</f>
        <v>16.3241</v>
      </c>
      <c r="AX10" s="37" t="n">
        <f aca="false">IF(AO10&lt;&gt;1,"",IFERROR(ROUND(IF(OR(P10="",S10=""),"",IF(S10&lt;P10,"",ROUND(((NETWORKDAYS(P10,S10,JoursFeries)-1)*(HFer-HOuv)+IF(NETWORKDAYS(S10,S10,JoursFeries),MEDIAN(MOD(S10,1),HFer,HOuv),HFer)-IF(NETWORKDAYS(P10,P10,JoursFeries),MEDIAN(MOD(P10,1),HFer,HOuv),HOuv))*24,4)))/HJour,4),""))</f>
        <v>25.7315</v>
      </c>
      <c r="AY10" s="36" t="n">
        <f aca="false">IF(OR(AO10&lt;&gt;1,AR10=""),"",INDEX(SLA_PEC,AR10))</f>
        <v>18</v>
      </c>
      <c r="AZ10" s="35" t="n">
        <f aca="false">IF(OR(AV10="",AY10=""),"",IF(AV10&lt;=AY10,1,0))</f>
        <v>1</v>
      </c>
      <c r="BA10" s="36" t="n">
        <f aca="false">IF(OR(AO10&lt;&gt;1,AR10=""),"",INDEX(SLA_RES,AR10))</f>
        <v>20</v>
      </c>
      <c r="BB10" s="35" t="n">
        <f aca="false">IF(OR(AW10="",BA10=""),"",IF(AW10&lt;=BA10,1,0))</f>
        <v>1</v>
      </c>
      <c r="BC10" s="38" t="n">
        <f aca="false">IF(OR(BA10="",P10=""),"",WORKDAY(INT(P10),BA10,JoursFeries)+MOD(P10,1))</f>
        <v>45973.6597222222</v>
      </c>
      <c r="BD10" s="39" t="n">
        <f aca="false">IF(AO10&lt;&gt;1,"",IF(OR(AB10&lt;&gt;"",AD10&lt;&gt;""),4,IF(U10&lt;&gt;"",3,IF(T10&lt;&gt;"",2,1))))</f>
        <v>1</v>
      </c>
      <c r="BE10" s="39" t="n">
        <f aca="false">IF(OR(AO10&lt;&gt;1,AR10=""),"",INDEX(NIV_REQ,AR10))</f>
        <v>1</v>
      </c>
      <c r="BF10" s="39" t="n">
        <f aca="false">IF(BE10="","",MAX(BE10,IF(OR(K10="Oui",Z10="Oui"),4,1)))</f>
        <v>1</v>
      </c>
      <c r="BG10" s="35" t="n">
        <f aca="false">IF(OR(BF10="",BD10=""),"",IF(BD10&gt;=BF10,1,0))</f>
        <v>1</v>
      </c>
      <c r="BH10" s="38" t="str">
        <f aca="false">IF(BE10="","",IF(BE10&lt;2,"",IF(BE10=2,IF(AND(T10="",U10=""),"",MIN(T10,U10)),IF(U10="","",U10))))</f>
        <v/>
      </c>
      <c r="BI10" s="37" t="str">
        <f aca="false">IF(BH10="","",IF(OR(O10="",BH10=""),"",IF(BH10&lt;O10,"",ROUND(((NETWORKDAYS(O10,BH10,JoursFeries)-1)*(HFer-HOuv)+IF(NETWORKDAYS(BH10,BH10,JoursFeries),MEDIAN(MOD(BH10,1),HFer,HOuv),HFer)-IF(NETWORKDAYS(O10,O10,JoursFeries),MEDIAN(MOD(O10,1),HFer,HOuv),HOuv))*24,4))))</f>
        <v/>
      </c>
      <c r="BJ10" s="35" t="str">
        <f aca="false">IF(OR(BI10="",AR10=""),"",IF(BI10&lt;=INDEX(DELAI_ESC,AR10),1,0))</f>
        <v/>
      </c>
      <c r="BK10" s="38" t="str">
        <f aca="false">IF(AO10&lt;&gt;1,"",IF(AND(T10="",U10=""),"",MIN(T10,U10)))</f>
        <v/>
      </c>
      <c r="BL10" s="37" t="str">
        <f aca="false">IF(OR(BK10="",R10=""),"",IFERROR(ROUND(IF(OR(BK10="",R10=""),"",IF(R10&lt;BK10,"",ROUND(((NETWORKDAYS(BK10,R10,JoursFeries)-1)*(HFer-HOuv)+IF(NETWORKDAYS(R10,R10,JoursFeries),MEDIAN(MOD(R10,1),HFer,HOuv),HFer)-IF(NETWORKDAYS(BK10,BK10,JoursFeries),MEDIAN(MOD(BK10,1),HFer,HOuv),HOuv))*24,4)))/HJour,4),""))</f>
        <v/>
      </c>
      <c r="BM10" s="35" t="n">
        <f aca="false">IF(OR(AO10&lt;&gt;1,R10=""),"",IF(BD10=1,1,0))</f>
        <v>1</v>
      </c>
      <c r="BN10" s="35" t="n">
        <f aca="false">IF(AO10&lt;&gt;1,"",IF(W10="Oui",1,0))</f>
        <v>0</v>
      </c>
      <c r="BO10" s="35" t="n">
        <f aca="false">IF(AO10&lt;&gt;1,"",IF(X10&lt;&gt;"",1,0))</f>
        <v>0</v>
      </c>
      <c r="BP10" s="35" t="n">
        <f aca="false">IF(AO10&lt;&gt;1,"",IF(Y10="Oui",1,0))</f>
        <v>1</v>
      </c>
      <c r="BQ10" s="35" t="str">
        <f aca="true">IF(OR(AO10&lt;&gt;1,Z10&lt;&gt;"Oui"),"",IF(AB10="",IF(AND(AA10&lt;&gt;"",NOW()&gt;AA10),0,""),IF(AA10="","",IF(AB10&lt;=AA10,1,0))))</f>
        <v/>
      </c>
      <c r="BR10" s="38" t="str">
        <f aca="false">IF(OR(AO10&lt;&gt;1,K10&lt;&gt;"Oui",O10=""),"",IF(AC10="",O10+DORA_H_DET/24,IF(AC10-O10&lt;=DORA_H_DET/24,MIN(AC10+DORA_H_CLA/24,O10+DORA_H_DET/24),AC10+DORA_H_CLA/24)))</f>
        <v/>
      </c>
      <c r="BS10" s="35" t="str">
        <f aca="true">IF(BR10="","",IF(AD10="",IF(NOW()&gt;BR10,0,""),IF(AD10&lt;=BR10,1,0)))</f>
        <v/>
      </c>
      <c r="BT10" s="35" t="str">
        <f aca="true">IF(OR(BR10="",AD10=""),"",IF(AE10="",IF(NOW()&gt;AD10+DORA_H_INT/24,0,""),IF(AE10&lt;=AD10+DORA_H_INT/24,1,0)))</f>
        <v/>
      </c>
      <c r="BU10" s="35" t="str">
        <f aca="true">IF(OR(BR10="",AE10=""),"",IF(AF10="",IF(NOW()&gt;EDATE(AE10,DORA_M_FIN)+1,0,""),IF(AF10&lt;=EDATE(AE10,DORA_M_FIN),1,0)))</f>
        <v/>
      </c>
      <c r="BV10" s="35" t="str">
        <f aca="false">IF(BR10="","",IF(COUNT(BS10:BU10)=0,"",MIN(BS10:BU10)))</f>
        <v/>
      </c>
      <c r="BW10" s="40" t="str">
        <f aca="false">IF(AQ10&lt;&gt;1,"",IF(AND(AG10="",AH10=""),"",N(AG10)-N(AH10)))</f>
        <v/>
      </c>
      <c r="BX10" s="35" t="str">
        <f aca="true">IF(OR(AQ10&lt;&gt;1,AI10&lt;&gt;"Oui",AJ10=""),"",IF(AK10="",IF(NOW()&gt;AJ10+1,0,""),IF(AK10&lt;=AJ10,1,0)))</f>
        <v/>
      </c>
    </row>
    <row r="11" customFormat="false" ht="15" hidden="false" customHeight="false" outlineLevel="0" collapsed="false">
      <c r="B11" s="29" t="s">
        <v>190</v>
      </c>
      <c r="C11" s="29" t="s">
        <v>178</v>
      </c>
      <c r="D11" s="29" t="s">
        <v>191</v>
      </c>
      <c r="E11" s="29" t="s">
        <v>192</v>
      </c>
      <c r="F11" s="29" t="s">
        <v>172</v>
      </c>
      <c r="G11" s="29" t="s">
        <v>180</v>
      </c>
      <c r="H11" s="29"/>
      <c r="I11" s="29" t="s">
        <v>193</v>
      </c>
      <c r="J11" s="29" t="s">
        <v>167</v>
      </c>
      <c r="K11" s="29" t="s">
        <v>168</v>
      </c>
      <c r="L11" s="29" t="s">
        <v>169</v>
      </c>
      <c r="M11" s="29" t="s">
        <v>188</v>
      </c>
      <c r="N11" s="30" t="n">
        <v>45948.4583333333</v>
      </c>
      <c r="O11" s="30" t="n">
        <v>45952.4583333333</v>
      </c>
      <c r="P11" s="30" t="n">
        <v>45952.5208333333</v>
      </c>
      <c r="Q11" s="30" t="n">
        <v>45952.6909722222</v>
      </c>
      <c r="R11" s="30" t="n">
        <v>45954.4270833333</v>
      </c>
      <c r="S11" s="30" t="n">
        <v>45959.4027777778</v>
      </c>
      <c r="T11" s="30"/>
      <c r="U11" s="30"/>
      <c r="V11" s="31" t="n">
        <v>0</v>
      </c>
      <c r="W11" s="29" t="s">
        <v>168</v>
      </c>
      <c r="X11" s="29"/>
      <c r="Y11" s="29" t="s">
        <v>168</v>
      </c>
      <c r="Z11" s="29" t="s">
        <v>168</v>
      </c>
      <c r="AA11" s="30"/>
      <c r="AB11" s="30"/>
      <c r="AC11" s="30"/>
      <c r="AD11" s="30"/>
      <c r="AE11" s="30"/>
      <c r="AF11" s="32"/>
      <c r="AG11" s="33"/>
      <c r="AH11" s="33"/>
      <c r="AI11" s="29" t="s">
        <v>168</v>
      </c>
      <c r="AJ11" s="32"/>
      <c r="AK11" s="32"/>
      <c r="AL11" s="29"/>
      <c r="AN11" s="34" t="str">
        <f aca="false">IF($B11="","",IF(OR(C11="",D11="",E11="",G11="",I11="",J11="",L11="",O11="",P11=""),"Champ obligatoire manquant",IF(OR(AND(N11&lt;&gt;"",N11&gt;O11),O11&gt;P11,AND(Q11&lt;&gt;"",Q11&lt;P11),AND(R11&lt;&gt;"",R11&lt;P11),AND(S11&lt;&gt;"",S11&lt;R11),AND(S11&lt;&gt;"",R11=""),AND(T11&lt;&gt;"",T11&lt;O11),AND(U11&lt;&gt;"",U11&lt;O11)),"Chronologie incohérente",IF(AND(OR(L11="Résolu",L11="Clos"),R11=""),"Date de résolution manquante",IF(AND(L11="Clos",S11=""),"Date de clôture manquante",IF(AND(K11="Oui",AC11=""),"Classification DORA manquante","OK"))))))</f>
        <v>OK</v>
      </c>
      <c r="AO11" s="35" t="n">
        <f aca="false">IF($B11="","",IF(AND(C11="Incident",L11&lt;&gt;"Annulé"),1,0))</f>
        <v>1</v>
      </c>
      <c r="AP11" s="35" t="n">
        <f aca="false">IF($B11="","",IF(AND(C11="Quasi-incident",L11&lt;&gt;"Annulé"),1,0))</f>
        <v>0</v>
      </c>
      <c r="AQ11" s="35" t="n">
        <f aca="false">IF($B11="","",AO11+AP11)</f>
        <v>1</v>
      </c>
      <c r="AR11" s="36" t="n">
        <f aca="false">IF(OR($B11="",J11=""),"",IFERROR(VALUE(LEFT(J11,1)),""))</f>
        <v>3</v>
      </c>
      <c r="AS11" s="35" t="n">
        <f aca="false">IF(OR(AO11&lt;&gt;1,G11=""),"",IFERROR(IF(INDEX(L_SrcInterne,MATCH(G11,L_Sources,0))="Oui",1,0),""))</f>
        <v>1</v>
      </c>
      <c r="AT11" s="37" t="n">
        <f aca="false">IF(AO11&lt;&gt;1,"",IFERROR(ROUND(IF(OR(N11="",O11=""),"",IF(O11&lt;N11,"",ROUND(((NETWORKDAYS(N11,O11,JoursFeries)-1)*(HFer-HOuv)+IF(NETWORKDAYS(O11,O11,JoursFeries),MEDIAN(MOD(O11,1),HFer,HOuv),HFer)-IF(NETWORKDAYS(N11,N11,JoursFeries),MEDIAN(MOD(N11,1),HFer,HOuv),HOuv))*24,4)))/HJour,4),""))</f>
        <v>2.2222</v>
      </c>
      <c r="AU11" s="37" t="n">
        <f aca="false">IF(AO11&lt;&gt;1,"",IF(OR(O11="",P11=""),"",IF(P11&lt;O11,"",ROUND(((NETWORKDAYS(O11,P11,JoursFeries)-1)*(HFer-HOuv)+IF(NETWORKDAYS(P11,P11,JoursFeries),MEDIAN(MOD(P11,1),HFer,HOuv),HFer)-IF(NETWORKDAYS(O11,O11,JoursFeries),MEDIAN(MOD(O11,1),HFer,HOuv),HOuv))*24,4))))</f>
        <v>1.5</v>
      </c>
      <c r="AV11" s="37" t="n">
        <f aca="false">IF(AO11&lt;&gt;1,"",IF(OR(P11="",Q11=""),"",IF(Q11&lt;P11,"",ROUND(((NETWORKDAYS(P11,Q11,JoursFeries)-1)*(HFer-HOuv)+IF(NETWORKDAYS(Q11,Q11,JoursFeries),MEDIAN(MOD(Q11,1),HFer,HOuv),HFer)-IF(NETWORKDAYS(P11,P11,JoursFeries),MEDIAN(MOD(P11,1),HFer,HOuv),HOuv))*24,4))))</f>
        <v>4.0833</v>
      </c>
      <c r="AW11" s="37" t="n">
        <f aca="false">IF(AO11&lt;&gt;1,"",IFERROR(ROUND(IF(OR(P11="",R11=""),"",IF(R11&lt;P11,"",ROUND(((NETWORKDAYS(P11,R11,JoursFeries)-1)*(HFer-HOuv)+IF(NETWORKDAYS(R11,R11,JoursFeries),MEDIAN(MOD(R11,1),HFer,HOuv),HFer)-IF(NETWORKDAYS(P11,P11,JoursFeries),MEDIAN(MOD(P11,1),HFer,HOuv),HOuv))*24,4)))/HJour,4),""))</f>
        <v>1.75</v>
      </c>
      <c r="AX11" s="37" t="n">
        <f aca="false">IF(AO11&lt;&gt;1,"",IFERROR(ROUND(IF(OR(P11="",S11=""),"",IF(S11&lt;P11,"",ROUND(((NETWORKDAYS(P11,S11,JoursFeries)-1)*(HFer-HOuv)+IF(NETWORKDAYS(S11,S11,JoursFeries),MEDIAN(MOD(S11,1),HFer,HOuv),HFer)-IF(NETWORKDAYS(P11,P11,JoursFeries),MEDIAN(MOD(P11,1),HFer,HOuv),HOuv))*24,4)))/HJour,4),""))</f>
        <v>4.6852</v>
      </c>
      <c r="AY11" s="36" t="n">
        <f aca="false">IF(OR(AO11&lt;&gt;1,AR11=""),"",INDEX(SLA_PEC,AR11))</f>
        <v>9</v>
      </c>
      <c r="AZ11" s="35" t="n">
        <f aca="false">IF(OR(AV11="",AY11=""),"",IF(AV11&lt;=AY11,1,0))</f>
        <v>1</v>
      </c>
      <c r="BA11" s="36" t="n">
        <f aca="false">IF(OR(AO11&lt;&gt;1,AR11=""),"",INDEX(SLA_RES,AR11))</f>
        <v>10</v>
      </c>
      <c r="BB11" s="35" t="n">
        <f aca="false">IF(OR(AW11="",BA11=""),"",IF(AW11&lt;=BA11,1,0))</f>
        <v>1</v>
      </c>
      <c r="BC11" s="38" t="n">
        <f aca="false">IF(OR(BA11="",P11=""),"",WORKDAY(INT(P11),BA11,JoursFeries)+MOD(P11,1))</f>
        <v>45966.5208333333</v>
      </c>
      <c r="BD11" s="39" t="n">
        <f aca="false">IF(AO11&lt;&gt;1,"",IF(OR(AB11&lt;&gt;"",AD11&lt;&gt;""),4,IF(U11&lt;&gt;"",3,IF(T11&lt;&gt;"",2,1))))</f>
        <v>1</v>
      </c>
      <c r="BE11" s="39" t="n">
        <f aca="false">IF(OR(AO11&lt;&gt;1,AR11=""),"",INDEX(NIV_REQ,AR11))</f>
        <v>1</v>
      </c>
      <c r="BF11" s="39" t="n">
        <f aca="false">IF(BE11="","",MAX(BE11,IF(OR(K11="Oui",Z11="Oui"),4,1)))</f>
        <v>1</v>
      </c>
      <c r="BG11" s="35" t="n">
        <f aca="false">IF(OR(BF11="",BD11=""),"",IF(BD11&gt;=BF11,1,0))</f>
        <v>1</v>
      </c>
      <c r="BH11" s="38" t="str">
        <f aca="false">IF(BE11="","",IF(BE11&lt;2,"",IF(BE11=2,IF(AND(T11="",U11=""),"",MIN(T11,U11)),IF(U11="","",U11))))</f>
        <v/>
      </c>
      <c r="BI11" s="37" t="str">
        <f aca="false">IF(BH11="","",IF(OR(O11="",BH11=""),"",IF(BH11&lt;O11,"",ROUND(((NETWORKDAYS(O11,BH11,JoursFeries)-1)*(HFer-HOuv)+IF(NETWORKDAYS(BH11,BH11,JoursFeries),MEDIAN(MOD(BH11,1),HFer,HOuv),HFer)-IF(NETWORKDAYS(O11,O11,JoursFeries),MEDIAN(MOD(O11,1),HFer,HOuv),HOuv))*24,4))))</f>
        <v/>
      </c>
      <c r="BJ11" s="35" t="str">
        <f aca="false">IF(OR(BI11="",AR11=""),"",IF(BI11&lt;=INDEX(DELAI_ESC,AR11),1,0))</f>
        <v/>
      </c>
      <c r="BK11" s="38" t="str">
        <f aca="false">IF(AO11&lt;&gt;1,"",IF(AND(T11="",U11=""),"",MIN(T11,U11)))</f>
        <v/>
      </c>
      <c r="BL11" s="37" t="str">
        <f aca="false">IF(OR(BK11="",R11=""),"",IFERROR(ROUND(IF(OR(BK11="",R11=""),"",IF(R11&lt;BK11,"",ROUND(((NETWORKDAYS(BK11,R11,JoursFeries)-1)*(HFer-HOuv)+IF(NETWORKDAYS(R11,R11,JoursFeries),MEDIAN(MOD(R11,1),HFer,HOuv),HFer)-IF(NETWORKDAYS(BK11,BK11,JoursFeries),MEDIAN(MOD(BK11,1),HFer,HOuv),HOuv))*24,4)))/HJour,4),""))</f>
        <v/>
      </c>
      <c r="BM11" s="35" t="n">
        <f aca="false">IF(OR(AO11&lt;&gt;1,R11=""),"",IF(BD11=1,1,0))</f>
        <v>1</v>
      </c>
      <c r="BN11" s="35" t="n">
        <f aca="false">IF(AO11&lt;&gt;1,"",IF(W11="Oui",1,0))</f>
        <v>0</v>
      </c>
      <c r="BO11" s="35" t="n">
        <f aca="false">IF(AO11&lt;&gt;1,"",IF(X11&lt;&gt;"",1,0))</f>
        <v>0</v>
      </c>
      <c r="BP11" s="35" t="n">
        <f aca="false">IF(AO11&lt;&gt;1,"",IF(Y11="Oui",1,0))</f>
        <v>0</v>
      </c>
      <c r="BQ11" s="35" t="str">
        <f aca="true">IF(OR(AO11&lt;&gt;1,Z11&lt;&gt;"Oui"),"",IF(AB11="",IF(AND(AA11&lt;&gt;"",NOW()&gt;AA11),0,""),IF(AA11="","",IF(AB11&lt;=AA11,1,0))))</f>
        <v/>
      </c>
      <c r="BR11" s="38" t="str">
        <f aca="false">IF(OR(AO11&lt;&gt;1,K11&lt;&gt;"Oui",O11=""),"",IF(AC11="",O11+DORA_H_DET/24,IF(AC11-O11&lt;=DORA_H_DET/24,MIN(AC11+DORA_H_CLA/24,O11+DORA_H_DET/24),AC11+DORA_H_CLA/24)))</f>
        <v/>
      </c>
      <c r="BS11" s="35" t="str">
        <f aca="true">IF(BR11="","",IF(AD11="",IF(NOW()&gt;BR11,0,""),IF(AD11&lt;=BR11,1,0)))</f>
        <v/>
      </c>
      <c r="BT11" s="35" t="str">
        <f aca="true">IF(OR(BR11="",AD11=""),"",IF(AE11="",IF(NOW()&gt;AD11+DORA_H_INT/24,0,""),IF(AE11&lt;=AD11+DORA_H_INT/24,1,0)))</f>
        <v/>
      </c>
      <c r="BU11" s="35" t="str">
        <f aca="true">IF(OR(BR11="",AE11=""),"",IF(AF11="",IF(NOW()&gt;EDATE(AE11,DORA_M_FIN)+1,0,""),IF(AF11&lt;=EDATE(AE11,DORA_M_FIN),1,0)))</f>
        <v/>
      </c>
      <c r="BV11" s="35" t="str">
        <f aca="false">IF(BR11="","",IF(COUNT(BS11:BU11)=0,"",MIN(BS11:BU11)))</f>
        <v/>
      </c>
      <c r="BW11" s="40" t="str">
        <f aca="false">IF(AQ11&lt;&gt;1,"",IF(AND(AG11="",AH11=""),"",N(AG11)-N(AH11)))</f>
        <v/>
      </c>
      <c r="BX11" s="35" t="str">
        <f aca="true">IF(OR(AQ11&lt;&gt;1,AI11&lt;&gt;"Oui",AJ11=""),"",IF(AK11="",IF(NOW()&gt;AJ11+1,0,""),IF(AK11&lt;=AJ11,1,0)))</f>
        <v/>
      </c>
    </row>
    <row r="12" customFormat="false" ht="15" hidden="false" customHeight="false" outlineLevel="0" collapsed="false">
      <c r="B12" s="29" t="s">
        <v>194</v>
      </c>
      <c r="C12" s="29" t="s">
        <v>160</v>
      </c>
      <c r="D12" s="29" t="s">
        <v>195</v>
      </c>
      <c r="E12" s="29" t="s">
        <v>179</v>
      </c>
      <c r="F12" s="29" t="s">
        <v>172</v>
      </c>
      <c r="G12" s="29" t="s">
        <v>196</v>
      </c>
      <c r="H12" s="29"/>
      <c r="I12" s="29" t="s">
        <v>181</v>
      </c>
      <c r="J12" s="29" t="s">
        <v>187</v>
      </c>
      <c r="K12" s="29" t="s">
        <v>168</v>
      </c>
      <c r="L12" s="29" t="s">
        <v>169</v>
      </c>
      <c r="M12" s="29" t="s">
        <v>176</v>
      </c>
      <c r="N12" s="30" t="n">
        <v>45948.6145833333</v>
      </c>
      <c r="O12" s="30" t="n">
        <v>45952.6145833333</v>
      </c>
      <c r="P12" s="30" t="n">
        <v>45952.6354166667</v>
      </c>
      <c r="Q12" s="30" t="n">
        <v>45953.4375</v>
      </c>
      <c r="R12" s="30" t="n">
        <v>45957.6215277778</v>
      </c>
      <c r="S12" s="30" t="n">
        <v>45965.5069444445</v>
      </c>
      <c r="T12" s="30"/>
      <c r="U12" s="30"/>
      <c r="V12" s="31" t="n">
        <v>0</v>
      </c>
      <c r="W12" s="29" t="s">
        <v>168</v>
      </c>
      <c r="X12" s="29"/>
      <c r="Y12" s="29" t="s">
        <v>168</v>
      </c>
      <c r="Z12" s="29" t="s">
        <v>168</v>
      </c>
      <c r="AA12" s="30"/>
      <c r="AB12" s="30"/>
      <c r="AC12" s="30"/>
      <c r="AD12" s="30"/>
      <c r="AE12" s="30"/>
      <c r="AF12" s="32"/>
      <c r="AG12" s="33"/>
      <c r="AH12" s="33"/>
      <c r="AI12" s="29" t="s">
        <v>189</v>
      </c>
      <c r="AJ12" s="32" t="n">
        <v>45982</v>
      </c>
      <c r="AK12" s="32" t="n">
        <v>45979</v>
      </c>
      <c r="AL12" s="29"/>
      <c r="AN12" s="34" t="str">
        <f aca="false">IF($B12="","",IF(OR(C12="",D12="",E12="",G12="",I12="",J12="",L12="",O12="",P12=""),"Champ obligatoire manquant",IF(OR(AND(N12&lt;&gt;"",N12&gt;O12),O12&gt;P12,AND(Q12&lt;&gt;"",Q12&lt;P12),AND(R12&lt;&gt;"",R12&lt;P12),AND(S12&lt;&gt;"",S12&lt;R12),AND(S12&lt;&gt;"",R12=""),AND(T12&lt;&gt;"",T12&lt;O12),AND(U12&lt;&gt;"",U12&lt;O12)),"Chronologie incohérente",IF(AND(OR(L12="Résolu",L12="Clos"),R12=""),"Date de résolution manquante",IF(AND(L12="Clos",S12=""),"Date de clôture manquante",IF(AND(K12="Oui",AC12=""),"Classification DORA manquante","OK"))))))</f>
        <v>OK</v>
      </c>
      <c r="AO12" s="35" t="n">
        <f aca="false">IF($B12="","",IF(AND(C12="Incident",L12&lt;&gt;"Annulé"),1,0))</f>
        <v>0</v>
      </c>
      <c r="AP12" s="35" t="n">
        <f aca="false">IF($B12="","",IF(AND(C12="Quasi-incident",L12&lt;&gt;"Annulé"),1,0))</f>
        <v>1</v>
      </c>
      <c r="AQ12" s="35" t="n">
        <f aca="false">IF($B12="","",AO12+AP12)</f>
        <v>1</v>
      </c>
      <c r="AR12" s="36" t="n">
        <f aca="false">IF(OR($B12="",J12=""),"",IFERROR(VALUE(LEFT(J12,1)),""))</f>
        <v>4</v>
      </c>
      <c r="AS12" s="35" t="str">
        <f aca="false">IF(OR(AO12&lt;&gt;1,G12=""),"",IFERROR(IF(INDEX(L_SrcInterne,MATCH(G12,L_Sources,0))="Oui",1,0),""))</f>
        <v/>
      </c>
      <c r="AT12" s="37" t="str">
        <f aca="false">IF(AO12&lt;&gt;1,"",IFERROR(ROUND(IF(OR(N12="",O12=""),"",IF(O12&lt;N12,"",ROUND(((NETWORKDAYS(N12,O12,JoursFeries)-1)*(HFer-HOuv)+IF(NETWORKDAYS(O12,O12,JoursFeries),MEDIAN(MOD(O12,1),HFer,HOuv),HFer)-IF(NETWORKDAYS(N12,N12,JoursFeries),MEDIAN(MOD(N12,1),HFer,HOuv),HOuv))*24,4)))/HJour,4),""))</f>
        <v/>
      </c>
      <c r="AU12" s="37" t="str">
        <f aca="false">IF(AO12&lt;&gt;1,"",IF(OR(O12="",P12=""),"",IF(P12&lt;O12,"",ROUND(((NETWORKDAYS(O12,P12,JoursFeries)-1)*(HFer-HOuv)+IF(NETWORKDAYS(P12,P12,JoursFeries),MEDIAN(MOD(P12,1),HFer,HOuv),HFer)-IF(NETWORKDAYS(O12,O12,JoursFeries),MEDIAN(MOD(O12,1),HFer,HOuv),HOuv))*24,4))))</f>
        <v/>
      </c>
      <c r="AV12" s="37" t="str">
        <f aca="false">IF(AO12&lt;&gt;1,"",IF(OR(P12="",Q12=""),"",IF(Q12&lt;P12,"",ROUND(((NETWORKDAYS(P12,Q12,JoursFeries)-1)*(HFer-HOuv)+IF(NETWORKDAYS(Q12,Q12,JoursFeries),MEDIAN(MOD(Q12,1),HFer,HOuv),HFer)-IF(NETWORKDAYS(P12,P12,JoursFeries),MEDIAN(MOD(P12,1),HFer,HOuv),HOuv))*24,4))))</f>
        <v/>
      </c>
      <c r="AW12" s="37" t="str">
        <f aca="false">IF(AO12&lt;&gt;1,"",IFERROR(ROUND(IF(OR(P12="",R12=""),"",IF(R12&lt;P12,"",ROUND(((NETWORKDAYS(P12,R12,JoursFeries)-1)*(HFer-HOuv)+IF(NETWORKDAYS(R12,R12,JoursFeries),MEDIAN(MOD(R12,1),HFer,HOuv),HFer)-IF(NETWORKDAYS(P12,P12,JoursFeries),MEDIAN(MOD(P12,1),HFer,HOuv),HOuv))*24,4)))/HJour,4),""))</f>
        <v/>
      </c>
      <c r="AX12" s="37" t="str">
        <f aca="false">IF(AO12&lt;&gt;1,"",IFERROR(ROUND(IF(OR(P12="",S12=""),"",IF(S12&lt;P12,"",ROUND(((NETWORKDAYS(P12,S12,JoursFeries)-1)*(HFer-HOuv)+IF(NETWORKDAYS(S12,S12,JoursFeries),MEDIAN(MOD(S12,1),HFer,HOuv),HFer)-IF(NETWORKDAYS(P12,P12,JoursFeries),MEDIAN(MOD(P12,1),HFer,HOuv),HOuv))*24,4)))/HJour,4),""))</f>
        <v/>
      </c>
      <c r="AY12" s="36" t="str">
        <f aca="false">IF(OR(AO12&lt;&gt;1,AR12=""),"",INDEX(SLA_PEC,AR12))</f>
        <v/>
      </c>
      <c r="AZ12" s="35" t="str">
        <f aca="false">IF(OR(AV12="",AY12=""),"",IF(AV12&lt;=AY12,1,0))</f>
        <v/>
      </c>
      <c r="BA12" s="36" t="str">
        <f aca="false">IF(OR(AO12&lt;&gt;1,AR12=""),"",INDEX(SLA_RES,AR12))</f>
        <v/>
      </c>
      <c r="BB12" s="35" t="str">
        <f aca="false">IF(OR(AW12="",BA12=""),"",IF(AW12&lt;=BA12,1,0))</f>
        <v/>
      </c>
      <c r="BC12" s="38" t="str">
        <f aca="false">IF(OR(BA12="",P12=""),"",WORKDAY(INT(P12),BA12,JoursFeries)+MOD(P12,1))</f>
        <v/>
      </c>
      <c r="BD12" s="39" t="str">
        <f aca="false">IF(AO12&lt;&gt;1,"",IF(OR(AB12&lt;&gt;"",AD12&lt;&gt;""),4,IF(U12&lt;&gt;"",3,IF(T12&lt;&gt;"",2,1))))</f>
        <v/>
      </c>
      <c r="BE12" s="39" t="str">
        <f aca="false">IF(OR(AO12&lt;&gt;1,AR12=""),"",INDEX(NIV_REQ,AR12))</f>
        <v/>
      </c>
      <c r="BF12" s="39" t="str">
        <f aca="false">IF(BE12="","",MAX(BE12,IF(OR(K12="Oui",Z12="Oui"),4,1)))</f>
        <v/>
      </c>
      <c r="BG12" s="35" t="str">
        <f aca="false">IF(OR(BF12="",BD12=""),"",IF(BD12&gt;=BF12,1,0))</f>
        <v/>
      </c>
      <c r="BH12" s="38" t="str">
        <f aca="false">IF(BE12="","",IF(BE12&lt;2,"",IF(BE12=2,IF(AND(T12="",U12=""),"",MIN(T12,U12)),IF(U12="","",U12))))</f>
        <v/>
      </c>
      <c r="BI12" s="37" t="str">
        <f aca="false">IF(BH12="","",IF(OR(O12="",BH12=""),"",IF(BH12&lt;O12,"",ROUND(((NETWORKDAYS(O12,BH12,JoursFeries)-1)*(HFer-HOuv)+IF(NETWORKDAYS(BH12,BH12,JoursFeries),MEDIAN(MOD(BH12,1),HFer,HOuv),HFer)-IF(NETWORKDAYS(O12,O12,JoursFeries),MEDIAN(MOD(O12,1),HFer,HOuv),HOuv))*24,4))))</f>
        <v/>
      </c>
      <c r="BJ12" s="35" t="str">
        <f aca="false">IF(OR(BI12="",AR12=""),"",IF(BI12&lt;=INDEX(DELAI_ESC,AR12),1,0))</f>
        <v/>
      </c>
      <c r="BK12" s="38" t="str">
        <f aca="false">IF(AO12&lt;&gt;1,"",IF(AND(T12="",U12=""),"",MIN(T12,U12)))</f>
        <v/>
      </c>
      <c r="BL12" s="37" t="str">
        <f aca="false">IF(OR(BK12="",R12=""),"",IFERROR(ROUND(IF(OR(BK12="",R12=""),"",IF(R12&lt;BK12,"",ROUND(((NETWORKDAYS(BK12,R12,JoursFeries)-1)*(HFer-HOuv)+IF(NETWORKDAYS(R12,R12,JoursFeries),MEDIAN(MOD(R12,1),HFer,HOuv),HFer)-IF(NETWORKDAYS(BK12,BK12,JoursFeries),MEDIAN(MOD(BK12,1),HFer,HOuv),HOuv))*24,4)))/HJour,4),""))</f>
        <v/>
      </c>
      <c r="BM12" s="35" t="str">
        <f aca="false">IF(OR(AO12&lt;&gt;1,R12=""),"",IF(BD12=1,1,0))</f>
        <v/>
      </c>
      <c r="BN12" s="35" t="str">
        <f aca="false">IF(AO12&lt;&gt;1,"",IF(W12="Oui",1,0))</f>
        <v/>
      </c>
      <c r="BO12" s="35" t="str">
        <f aca="false">IF(AO12&lt;&gt;1,"",IF(X12&lt;&gt;"",1,0))</f>
        <v/>
      </c>
      <c r="BP12" s="35" t="str">
        <f aca="false">IF(AO12&lt;&gt;1,"",IF(Y12="Oui",1,0))</f>
        <v/>
      </c>
      <c r="BQ12" s="35" t="str">
        <f aca="true">IF(OR(AO12&lt;&gt;1,Z12&lt;&gt;"Oui"),"",IF(AB12="",IF(AND(AA12&lt;&gt;"",NOW()&gt;AA12),0,""),IF(AA12="","",IF(AB12&lt;=AA12,1,0))))</f>
        <v/>
      </c>
      <c r="BR12" s="38" t="str">
        <f aca="false">IF(OR(AO12&lt;&gt;1,K12&lt;&gt;"Oui",O12=""),"",IF(AC12="",O12+DORA_H_DET/24,IF(AC12-O12&lt;=DORA_H_DET/24,MIN(AC12+DORA_H_CLA/24,O12+DORA_H_DET/24),AC12+DORA_H_CLA/24)))</f>
        <v/>
      </c>
      <c r="BS12" s="35" t="str">
        <f aca="true">IF(BR12="","",IF(AD12="",IF(NOW()&gt;BR12,0,""),IF(AD12&lt;=BR12,1,0)))</f>
        <v/>
      </c>
      <c r="BT12" s="35" t="str">
        <f aca="true">IF(OR(BR12="",AD12=""),"",IF(AE12="",IF(NOW()&gt;AD12+DORA_H_INT/24,0,""),IF(AE12&lt;=AD12+DORA_H_INT/24,1,0)))</f>
        <v/>
      </c>
      <c r="BU12" s="35" t="str">
        <f aca="true">IF(OR(BR12="",AE12=""),"",IF(AF12="",IF(NOW()&gt;EDATE(AE12,DORA_M_FIN)+1,0,""),IF(AF12&lt;=EDATE(AE12,DORA_M_FIN),1,0)))</f>
        <v/>
      </c>
      <c r="BV12" s="35" t="str">
        <f aca="false">IF(BR12="","",IF(COUNT(BS12:BU12)=0,"",MIN(BS12:BU12)))</f>
        <v/>
      </c>
      <c r="BW12" s="40" t="str">
        <f aca="false">IF(AQ12&lt;&gt;1,"",IF(AND(AG12="",AH12=""),"",N(AG12)-N(AH12)))</f>
        <v/>
      </c>
      <c r="BX12" s="35" t="n">
        <f aca="true">IF(OR(AQ12&lt;&gt;1,AI12&lt;&gt;"Oui",AJ12=""),"",IF(AK12="",IF(NOW()&gt;AJ12+1,0,""),IF(AK12&lt;=AJ12,1,0)))</f>
        <v>1</v>
      </c>
    </row>
    <row r="13" customFormat="false" ht="15" hidden="false" customHeight="false" outlineLevel="0" collapsed="false">
      <c r="B13" s="29" t="s">
        <v>197</v>
      </c>
      <c r="C13" s="29" t="s">
        <v>178</v>
      </c>
      <c r="D13" s="29" t="s">
        <v>198</v>
      </c>
      <c r="E13" s="29" t="s">
        <v>199</v>
      </c>
      <c r="F13" s="29" t="s">
        <v>172</v>
      </c>
      <c r="G13" s="29" t="s">
        <v>180</v>
      </c>
      <c r="H13" s="29"/>
      <c r="I13" s="29" t="s">
        <v>200</v>
      </c>
      <c r="J13" s="29" t="s">
        <v>167</v>
      </c>
      <c r="K13" s="29" t="s">
        <v>168</v>
      </c>
      <c r="L13" s="29" t="s">
        <v>169</v>
      </c>
      <c r="M13" s="29" t="s">
        <v>201</v>
      </c>
      <c r="N13" s="30" t="n">
        <v>45955.5138888889</v>
      </c>
      <c r="O13" s="30" t="n">
        <v>45959.5138888889</v>
      </c>
      <c r="P13" s="30" t="n">
        <v>45959.5451388889</v>
      </c>
      <c r="Q13" s="30" t="n">
        <v>45959.5972222222</v>
      </c>
      <c r="R13" s="30" t="n">
        <v>45961.4270833333</v>
      </c>
      <c r="S13" s="30" t="n">
        <v>45968.7048611111</v>
      </c>
      <c r="T13" s="30"/>
      <c r="U13" s="30"/>
      <c r="V13" s="31" t="n">
        <v>0</v>
      </c>
      <c r="W13" s="29" t="s">
        <v>168</v>
      </c>
      <c r="X13" s="29"/>
      <c r="Y13" s="29" t="s">
        <v>168</v>
      </c>
      <c r="Z13" s="29" t="s">
        <v>168</v>
      </c>
      <c r="AA13" s="30"/>
      <c r="AB13" s="30"/>
      <c r="AC13" s="30"/>
      <c r="AD13" s="30"/>
      <c r="AE13" s="30"/>
      <c r="AF13" s="32"/>
      <c r="AG13" s="33"/>
      <c r="AH13" s="33"/>
      <c r="AI13" s="29" t="s">
        <v>168</v>
      </c>
      <c r="AJ13" s="32"/>
      <c r="AK13" s="32"/>
      <c r="AL13" s="29"/>
      <c r="AN13" s="34" t="str">
        <f aca="false">IF($B13="","",IF(OR(C13="",D13="",E13="",G13="",I13="",J13="",L13="",O13="",P13=""),"Champ obligatoire manquant",IF(OR(AND(N13&lt;&gt;"",N13&gt;O13),O13&gt;P13,AND(Q13&lt;&gt;"",Q13&lt;P13),AND(R13&lt;&gt;"",R13&lt;P13),AND(S13&lt;&gt;"",S13&lt;R13),AND(S13&lt;&gt;"",R13=""),AND(T13&lt;&gt;"",T13&lt;O13),AND(U13&lt;&gt;"",U13&lt;O13)),"Chronologie incohérente",IF(AND(OR(L13="Résolu",L13="Clos"),R13=""),"Date de résolution manquante",IF(AND(L13="Clos",S13=""),"Date de clôture manquante",IF(AND(K13="Oui",AC13=""),"Classification DORA manquante","OK"))))))</f>
        <v>OK</v>
      </c>
      <c r="AO13" s="35" t="n">
        <f aca="false">IF($B13="","",IF(AND(C13="Incident",L13&lt;&gt;"Annulé"),1,0))</f>
        <v>1</v>
      </c>
      <c r="AP13" s="35" t="n">
        <f aca="false">IF($B13="","",IF(AND(C13="Quasi-incident",L13&lt;&gt;"Annulé"),1,0))</f>
        <v>0</v>
      </c>
      <c r="AQ13" s="35" t="n">
        <f aca="false">IF($B13="","",AO13+AP13)</f>
        <v>1</v>
      </c>
      <c r="AR13" s="36" t="n">
        <f aca="false">IF(OR($B13="",J13=""),"",IFERROR(VALUE(LEFT(J13,1)),""))</f>
        <v>3</v>
      </c>
      <c r="AS13" s="35" t="n">
        <f aca="false">IF(OR(AO13&lt;&gt;1,G13=""),"",IFERROR(IF(INDEX(L_SrcInterne,MATCH(G13,L_Sources,0))="Oui",1,0),""))</f>
        <v>1</v>
      </c>
      <c r="AT13" s="37" t="n">
        <f aca="false">IF(AO13&lt;&gt;1,"",IFERROR(ROUND(IF(OR(N13="",O13=""),"",IF(O13&lt;N13,"",ROUND(((NETWORKDAYS(N13,O13,JoursFeries)-1)*(HFer-HOuv)+IF(NETWORKDAYS(O13,O13,JoursFeries),MEDIAN(MOD(O13,1),HFer,HOuv),HFer)-IF(NETWORKDAYS(N13,N13,JoursFeries),MEDIAN(MOD(N13,1),HFer,HOuv),HOuv))*24,4)))/HJour,4),""))</f>
        <v>2.3704</v>
      </c>
      <c r="AU13" s="37" t="n">
        <f aca="false">IF(AO13&lt;&gt;1,"",IF(OR(O13="",P13=""),"",IF(P13&lt;O13,"",ROUND(((NETWORKDAYS(O13,P13,JoursFeries)-1)*(HFer-HOuv)+IF(NETWORKDAYS(P13,P13,JoursFeries),MEDIAN(MOD(P13,1),HFer,HOuv),HFer)-IF(NETWORKDAYS(O13,O13,JoursFeries),MEDIAN(MOD(O13,1),HFer,HOuv),HOuv))*24,4))))</f>
        <v>0.75</v>
      </c>
      <c r="AV13" s="37" t="n">
        <f aca="false">IF(AO13&lt;&gt;1,"",IF(OR(P13="",Q13=""),"",IF(Q13&lt;P13,"",ROUND(((NETWORKDAYS(P13,Q13,JoursFeries)-1)*(HFer-HOuv)+IF(NETWORKDAYS(Q13,Q13,JoursFeries),MEDIAN(MOD(Q13,1),HFer,HOuv),HFer)-IF(NETWORKDAYS(P13,P13,JoursFeries),MEDIAN(MOD(P13,1),HFer,HOuv),HOuv))*24,4))))</f>
        <v>1.25</v>
      </c>
      <c r="AW13" s="37" t="n">
        <f aca="false">IF(AO13&lt;&gt;1,"",IFERROR(ROUND(IF(OR(P13="",R13=""),"",IF(R13&lt;P13,"",ROUND(((NETWORKDAYS(P13,R13,JoursFeries)-1)*(HFer-HOuv)+IF(NETWORKDAYS(R13,R13,JoursFeries),MEDIAN(MOD(R13,1),HFer,HOuv),HFer)-IF(NETWORKDAYS(P13,P13,JoursFeries),MEDIAN(MOD(P13,1),HFer,HOuv),HOuv))*24,4)))/HJour,4),""))</f>
        <v>1.6852</v>
      </c>
      <c r="AX13" s="37" t="n">
        <f aca="false">IF(AO13&lt;&gt;1,"",IFERROR(ROUND(IF(OR(P13="",S13=""),"",IF(S13&lt;P13,"",ROUND(((NETWORKDAYS(P13,S13,JoursFeries)-1)*(HFer-HOuv)+IF(NETWORKDAYS(S13,S13,JoursFeries),MEDIAN(MOD(S13,1),HFer,HOuv),HFer)-IF(NETWORKDAYS(P13,P13,JoursFeries),MEDIAN(MOD(P13,1),HFer,HOuv),HOuv))*24,4)))/HJour,4),""))</f>
        <v>7.4259</v>
      </c>
      <c r="AY13" s="36" t="n">
        <f aca="false">IF(OR(AO13&lt;&gt;1,AR13=""),"",INDEX(SLA_PEC,AR13))</f>
        <v>9</v>
      </c>
      <c r="AZ13" s="35" t="n">
        <f aca="false">IF(OR(AV13="",AY13=""),"",IF(AV13&lt;=AY13,1,0))</f>
        <v>1</v>
      </c>
      <c r="BA13" s="36" t="n">
        <f aca="false">IF(OR(AO13&lt;&gt;1,AR13=""),"",INDEX(SLA_RES,AR13))</f>
        <v>10</v>
      </c>
      <c r="BB13" s="35" t="n">
        <f aca="false">IF(OR(AW13="",BA13=""),"",IF(AW13&lt;=BA13,1,0))</f>
        <v>1</v>
      </c>
      <c r="BC13" s="38" t="n">
        <f aca="false">IF(OR(BA13="",P13=""),"",WORKDAY(INT(P13),BA13,JoursFeries)+MOD(P13,1))</f>
        <v>45974.5451388889</v>
      </c>
      <c r="BD13" s="39" t="n">
        <f aca="false">IF(AO13&lt;&gt;1,"",IF(OR(AB13&lt;&gt;"",AD13&lt;&gt;""),4,IF(U13&lt;&gt;"",3,IF(T13&lt;&gt;"",2,1))))</f>
        <v>1</v>
      </c>
      <c r="BE13" s="39" t="n">
        <f aca="false">IF(OR(AO13&lt;&gt;1,AR13=""),"",INDEX(NIV_REQ,AR13))</f>
        <v>1</v>
      </c>
      <c r="BF13" s="39" t="n">
        <f aca="false">IF(BE13="","",MAX(BE13,IF(OR(K13="Oui",Z13="Oui"),4,1)))</f>
        <v>1</v>
      </c>
      <c r="BG13" s="35" t="n">
        <f aca="false">IF(OR(BF13="",BD13=""),"",IF(BD13&gt;=BF13,1,0))</f>
        <v>1</v>
      </c>
      <c r="BH13" s="38" t="str">
        <f aca="false">IF(BE13="","",IF(BE13&lt;2,"",IF(BE13=2,IF(AND(T13="",U13=""),"",MIN(T13,U13)),IF(U13="","",U13))))</f>
        <v/>
      </c>
      <c r="BI13" s="37" t="str">
        <f aca="false">IF(BH13="","",IF(OR(O13="",BH13=""),"",IF(BH13&lt;O13,"",ROUND(((NETWORKDAYS(O13,BH13,JoursFeries)-1)*(HFer-HOuv)+IF(NETWORKDAYS(BH13,BH13,JoursFeries),MEDIAN(MOD(BH13,1),HFer,HOuv),HFer)-IF(NETWORKDAYS(O13,O13,JoursFeries),MEDIAN(MOD(O13,1),HFer,HOuv),HOuv))*24,4))))</f>
        <v/>
      </c>
      <c r="BJ13" s="35" t="str">
        <f aca="false">IF(OR(BI13="",AR13=""),"",IF(BI13&lt;=INDEX(DELAI_ESC,AR13),1,0))</f>
        <v/>
      </c>
      <c r="BK13" s="38" t="str">
        <f aca="false">IF(AO13&lt;&gt;1,"",IF(AND(T13="",U13=""),"",MIN(T13,U13)))</f>
        <v/>
      </c>
      <c r="BL13" s="37" t="str">
        <f aca="false">IF(OR(BK13="",R13=""),"",IFERROR(ROUND(IF(OR(BK13="",R13=""),"",IF(R13&lt;BK13,"",ROUND(((NETWORKDAYS(BK13,R13,JoursFeries)-1)*(HFer-HOuv)+IF(NETWORKDAYS(R13,R13,JoursFeries),MEDIAN(MOD(R13,1),HFer,HOuv),HFer)-IF(NETWORKDAYS(BK13,BK13,JoursFeries),MEDIAN(MOD(BK13,1),HFer,HOuv),HOuv))*24,4)))/HJour,4),""))</f>
        <v/>
      </c>
      <c r="BM13" s="35" t="n">
        <f aca="false">IF(OR(AO13&lt;&gt;1,R13=""),"",IF(BD13=1,1,0))</f>
        <v>1</v>
      </c>
      <c r="BN13" s="35" t="n">
        <f aca="false">IF(AO13&lt;&gt;1,"",IF(W13="Oui",1,0))</f>
        <v>0</v>
      </c>
      <c r="BO13" s="35" t="n">
        <f aca="false">IF(AO13&lt;&gt;1,"",IF(X13&lt;&gt;"",1,0))</f>
        <v>0</v>
      </c>
      <c r="BP13" s="35" t="n">
        <f aca="false">IF(AO13&lt;&gt;1,"",IF(Y13="Oui",1,0))</f>
        <v>0</v>
      </c>
      <c r="BQ13" s="35" t="str">
        <f aca="true">IF(OR(AO13&lt;&gt;1,Z13&lt;&gt;"Oui"),"",IF(AB13="",IF(AND(AA13&lt;&gt;"",NOW()&gt;AA13),0,""),IF(AA13="","",IF(AB13&lt;=AA13,1,0))))</f>
        <v/>
      </c>
      <c r="BR13" s="38" t="str">
        <f aca="false">IF(OR(AO13&lt;&gt;1,K13&lt;&gt;"Oui",O13=""),"",IF(AC13="",O13+DORA_H_DET/24,IF(AC13-O13&lt;=DORA_H_DET/24,MIN(AC13+DORA_H_CLA/24,O13+DORA_H_DET/24),AC13+DORA_H_CLA/24)))</f>
        <v/>
      </c>
      <c r="BS13" s="35" t="str">
        <f aca="true">IF(BR13="","",IF(AD13="",IF(NOW()&gt;BR13,0,""),IF(AD13&lt;=BR13,1,0)))</f>
        <v/>
      </c>
      <c r="BT13" s="35" t="str">
        <f aca="true">IF(OR(BR13="",AD13=""),"",IF(AE13="",IF(NOW()&gt;AD13+DORA_H_INT/24,0,""),IF(AE13&lt;=AD13+DORA_H_INT/24,1,0)))</f>
        <v/>
      </c>
      <c r="BU13" s="35" t="str">
        <f aca="true">IF(OR(BR13="",AE13=""),"",IF(AF13="",IF(NOW()&gt;EDATE(AE13,DORA_M_FIN)+1,0,""),IF(AF13&lt;=EDATE(AE13,DORA_M_FIN),1,0)))</f>
        <v/>
      </c>
      <c r="BV13" s="35" t="str">
        <f aca="false">IF(BR13="","",IF(COUNT(BS13:BU13)=0,"",MIN(BS13:BU13)))</f>
        <v/>
      </c>
      <c r="BW13" s="40" t="str">
        <f aca="false">IF(AQ13&lt;&gt;1,"",IF(AND(AG13="",AH13=""),"",N(AG13)-N(AH13)))</f>
        <v/>
      </c>
      <c r="BX13" s="35" t="str">
        <f aca="true">IF(OR(AQ13&lt;&gt;1,AI13&lt;&gt;"Oui",AJ13=""),"",IF(AK13="",IF(NOW()&gt;AJ13+1,0,""),IF(AK13&lt;=AJ13,1,0)))</f>
        <v/>
      </c>
    </row>
    <row r="14" customFormat="false" ht="15" hidden="false" customHeight="false" outlineLevel="0" collapsed="false">
      <c r="B14" s="29" t="s">
        <v>202</v>
      </c>
      <c r="C14" s="29" t="s">
        <v>178</v>
      </c>
      <c r="D14" s="29" t="s">
        <v>161</v>
      </c>
      <c r="E14" s="29" t="s">
        <v>203</v>
      </c>
      <c r="F14" s="29" t="s">
        <v>204</v>
      </c>
      <c r="G14" s="29" t="s">
        <v>185</v>
      </c>
      <c r="H14" s="29" t="s">
        <v>182</v>
      </c>
      <c r="I14" s="29" t="s">
        <v>205</v>
      </c>
      <c r="J14" s="29" t="s">
        <v>187</v>
      </c>
      <c r="K14" s="29" t="s">
        <v>168</v>
      </c>
      <c r="L14" s="29" t="s">
        <v>169</v>
      </c>
      <c r="M14" s="29" t="s">
        <v>206</v>
      </c>
      <c r="N14" s="30" t="n">
        <v>45954.6319444445</v>
      </c>
      <c r="O14" s="30" t="n">
        <v>45959.6319444445</v>
      </c>
      <c r="P14" s="30" t="n">
        <v>45959.6631944445</v>
      </c>
      <c r="Q14" s="30" t="n">
        <v>45961.4791666667</v>
      </c>
      <c r="R14" s="30" t="n">
        <v>45968.7395833333</v>
      </c>
      <c r="S14" s="30" t="n">
        <v>45993.4652777778</v>
      </c>
      <c r="T14" s="30"/>
      <c r="U14" s="30"/>
      <c r="V14" s="31" t="n">
        <v>1</v>
      </c>
      <c r="W14" s="29" t="s">
        <v>168</v>
      </c>
      <c r="X14" s="29"/>
      <c r="Y14" s="29" t="s">
        <v>168</v>
      </c>
      <c r="Z14" s="29" t="s">
        <v>168</v>
      </c>
      <c r="AA14" s="30"/>
      <c r="AB14" s="30"/>
      <c r="AC14" s="30"/>
      <c r="AD14" s="30"/>
      <c r="AE14" s="30"/>
      <c r="AF14" s="32"/>
      <c r="AG14" s="33"/>
      <c r="AH14" s="33"/>
      <c r="AI14" s="29" t="s">
        <v>168</v>
      </c>
      <c r="AJ14" s="32"/>
      <c r="AK14" s="32"/>
      <c r="AL14" s="29"/>
      <c r="AN14" s="34" t="str">
        <f aca="false">IF($B14="","",IF(OR(C14="",D14="",E14="",G14="",I14="",J14="",L14="",O14="",P14=""),"Champ obligatoire manquant",IF(OR(AND(N14&lt;&gt;"",N14&gt;O14),O14&gt;P14,AND(Q14&lt;&gt;"",Q14&lt;P14),AND(R14&lt;&gt;"",R14&lt;P14),AND(S14&lt;&gt;"",S14&lt;R14),AND(S14&lt;&gt;"",R14=""),AND(T14&lt;&gt;"",T14&lt;O14),AND(U14&lt;&gt;"",U14&lt;O14)),"Chronologie incohérente",IF(AND(OR(L14="Résolu",L14="Clos"),R14=""),"Date de résolution manquante",IF(AND(L14="Clos",S14=""),"Date de clôture manquante",IF(AND(K14="Oui",AC14=""),"Classification DORA manquante","OK"))))))</f>
        <v>OK</v>
      </c>
      <c r="AO14" s="35" t="n">
        <f aca="false">IF($B14="","",IF(AND(C14="Incident",L14&lt;&gt;"Annulé"),1,0))</f>
        <v>1</v>
      </c>
      <c r="AP14" s="35" t="n">
        <f aca="false">IF($B14="","",IF(AND(C14="Quasi-incident",L14&lt;&gt;"Annulé"),1,0))</f>
        <v>0</v>
      </c>
      <c r="AQ14" s="35" t="n">
        <f aca="false">IF($B14="","",AO14+AP14)</f>
        <v>1</v>
      </c>
      <c r="AR14" s="36" t="n">
        <f aca="false">IF(OR($B14="",J14=""),"",IFERROR(VALUE(LEFT(J14,1)),""))</f>
        <v>4</v>
      </c>
      <c r="AS14" s="35" t="n">
        <f aca="false">IF(OR(AO14&lt;&gt;1,G14=""),"",IFERROR(IF(INDEX(L_SrcInterne,MATCH(G14,L_Sources,0))="Oui",1,0),""))</f>
        <v>1</v>
      </c>
      <c r="AT14" s="37" t="n">
        <f aca="false">IF(AO14&lt;&gt;1,"",IFERROR(ROUND(IF(OR(N14="",O14=""),"",IF(O14&lt;N14,"",ROUND(((NETWORKDAYS(N14,O14,JoursFeries)-1)*(HFer-HOuv)+IF(NETWORKDAYS(O14,O14,JoursFeries),MEDIAN(MOD(O14,1),HFer,HOuv),HFer)-IF(NETWORKDAYS(N14,N14,JoursFeries),MEDIAN(MOD(N14,1),HFer,HOuv),HOuv))*24,4)))/HJour,4),""))</f>
        <v>3</v>
      </c>
      <c r="AU14" s="37" t="n">
        <f aca="false">IF(AO14&lt;&gt;1,"",IF(OR(O14="",P14=""),"",IF(P14&lt;O14,"",ROUND(((NETWORKDAYS(O14,P14,JoursFeries)-1)*(HFer-HOuv)+IF(NETWORKDAYS(P14,P14,JoursFeries),MEDIAN(MOD(P14,1),HFer,HOuv),HFer)-IF(NETWORKDAYS(O14,O14,JoursFeries),MEDIAN(MOD(O14,1),HFer,HOuv),HOuv))*24,4))))</f>
        <v>0.75</v>
      </c>
      <c r="AV14" s="37" t="n">
        <f aca="false">IF(AO14&lt;&gt;1,"",IF(OR(P14="",Q14=""),"",IF(Q14&lt;P14,"",ROUND(((NETWORKDAYS(P14,Q14,JoursFeries)-1)*(HFer-HOuv)+IF(NETWORKDAYS(Q14,Q14,JoursFeries),MEDIAN(MOD(Q14,1),HFer,HOuv),HFer)-IF(NETWORKDAYS(P14,P14,JoursFeries),MEDIAN(MOD(P14,1),HFer,HOuv),HOuv))*24,4))))</f>
        <v>13.5833</v>
      </c>
      <c r="AW14" s="37" t="n">
        <f aca="false">IF(AO14&lt;&gt;1,"",IFERROR(ROUND(IF(OR(P14="",R14=""),"",IF(R14&lt;P14,"",ROUND(((NETWORKDAYS(P14,R14,JoursFeries)-1)*(HFer-HOuv)+IF(NETWORKDAYS(R14,R14,JoursFeries),MEDIAN(MOD(R14,1),HFer,HOuv),HFer)-IF(NETWORKDAYS(P14,P14,JoursFeries),MEDIAN(MOD(P14,1),HFer,HOuv),HOuv))*24,4)))/HJour,4),""))</f>
        <v>7.2037</v>
      </c>
      <c r="AX14" s="37" t="n">
        <f aca="false">IF(AO14&lt;&gt;1,"",IFERROR(ROUND(IF(OR(P14="",S14=""),"",IF(S14&lt;P14,"",ROUND(((NETWORKDAYS(P14,S14,JoursFeries)-1)*(HFer-HOuv)+IF(NETWORKDAYS(S14,S14,JoursFeries),MEDIAN(MOD(S14,1),HFer,HOuv),HFer)-IF(NETWORKDAYS(P14,P14,JoursFeries),MEDIAN(MOD(P14,1),HFer,HOuv),HOuv))*24,4)))/HJour,4),""))</f>
        <v>22.4722</v>
      </c>
      <c r="AY14" s="36" t="n">
        <f aca="false">IF(OR(AO14&lt;&gt;1,AR14=""),"",INDEX(SLA_PEC,AR14))</f>
        <v>18</v>
      </c>
      <c r="AZ14" s="35" t="n">
        <f aca="false">IF(OR(AV14="",AY14=""),"",IF(AV14&lt;=AY14,1,0))</f>
        <v>1</v>
      </c>
      <c r="BA14" s="36" t="n">
        <f aca="false">IF(OR(AO14&lt;&gt;1,AR14=""),"",INDEX(SLA_RES,AR14))</f>
        <v>20</v>
      </c>
      <c r="BB14" s="35" t="n">
        <f aca="false">IF(OR(AW14="",BA14=""),"",IF(AW14&lt;=BA14,1,0))</f>
        <v>1</v>
      </c>
      <c r="BC14" s="38" t="n">
        <f aca="false">IF(OR(BA14="",P14=""),"",WORKDAY(INT(P14),BA14,JoursFeries)+MOD(P14,1))</f>
        <v>45988.6631944445</v>
      </c>
      <c r="BD14" s="39" t="n">
        <f aca="false">IF(AO14&lt;&gt;1,"",IF(OR(AB14&lt;&gt;"",AD14&lt;&gt;""),4,IF(U14&lt;&gt;"",3,IF(T14&lt;&gt;"",2,1))))</f>
        <v>1</v>
      </c>
      <c r="BE14" s="39" t="n">
        <f aca="false">IF(OR(AO14&lt;&gt;1,AR14=""),"",INDEX(NIV_REQ,AR14))</f>
        <v>1</v>
      </c>
      <c r="BF14" s="39" t="n">
        <f aca="false">IF(BE14="","",MAX(BE14,IF(OR(K14="Oui",Z14="Oui"),4,1)))</f>
        <v>1</v>
      </c>
      <c r="BG14" s="35" t="n">
        <f aca="false">IF(OR(BF14="",BD14=""),"",IF(BD14&gt;=BF14,1,0))</f>
        <v>1</v>
      </c>
      <c r="BH14" s="38" t="str">
        <f aca="false">IF(BE14="","",IF(BE14&lt;2,"",IF(BE14=2,IF(AND(T14="",U14=""),"",MIN(T14,U14)),IF(U14="","",U14))))</f>
        <v/>
      </c>
      <c r="BI14" s="37" t="str">
        <f aca="false">IF(BH14="","",IF(OR(O14="",BH14=""),"",IF(BH14&lt;O14,"",ROUND(((NETWORKDAYS(O14,BH14,JoursFeries)-1)*(HFer-HOuv)+IF(NETWORKDAYS(BH14,BH14,JoursFeries),MEDIAN(MOD(BH14,1),HFer,HOuv),HFer)-IF(NETWORKDAYS(O14,O14,JoursFeries),MEDIAN(MOD(O14,1),HFer,HOuv),HOuv))*24,4))))</f>
        <v/>
      </c>
      <c r="BJ14" s="35" t="str">
        <f aca="false">IF(OR(BI14="",AR14=""),"",IF(BI14&lt;=INDEX(DELAI_ESC,AR14),1,0))</f>
        <v/>
      </c>
      <c r="BK14" s="38" t="str">
        <f aca="false">IF(AO14&lt;&gt;1,"",IF(AND(T14="",U14=""),"",MIN(T14,U14)))</f>
        <v/>
      </c>
      <c r="BL14" s="37" t="str">
        <f aca="false">IF(OR(BK14="",R14=""),"",IFERROR(ROUND(IF(OR(BK14="",R14=""),"",IF(R14&lt;BK14,"",ROUND(((NETWORKDAYS(BK14,R14,JoursFeries)-1)*(HFer-HOuv)+IF(NETWORKDAYS(R14,R14,JoursFeries),MEDIAN(MOD(R14,1),HFer,HOuv),HFer)-IF(NETWORKDAYS(BK14,BK14,JoursFeries),MEDIAN(MOD(BK14,1),HFer,HOuv),HOuv))*24,4)))/HJour,4),""))</f>
        <v/>
      </c>
      <c r="BM14" s="35" t="n">
        <f aca="false">IF(OR(AO14&lt;&gt;1,R14=""),"",IF(BD14=1,1,0))</f>
        <v>1</v>
      </c>
      <c r="BN14" s="35" t="n">
        <f aca="false">IF(AO14&lt;&gt;1,"",IF(W14="Oui",1,0))</f>
        <v>0</v>
      </c>
      <c r="BO14" s="35" t="n">
        <f aca="false">IF(AO14&lt;&gt;1,"",IF(X14&lt;&gt;"",1,0))</f>
        <v>0</v>
      </c>
      <c r="BP14" s="35" t="n">
        <f aca="false">IF(AO14&lt;&gt;1,"",IF(Y14="Oui",1,0))</f>
        <v>0</v>
      </c>
      <c r="BQ14" s="35" t="str">
        <f aca="true">IF(OR(AO14&lt;&gt;1,Z14&lt;&gt;"Oui"),"",IF(AB14="",IF(AND(AA14&lt;&gt;"",NOW()&gt;AA14),0,""),IF(AA14="","",IF(AB14&lt;=AA14,1,0))))</f>
        <v/>
      </c>
      <c r="BR14" s="38" t="str">
        <f aca="false">IF(OR(AO14&lt;&gt;1,K14&lt;&gt;"Oui",O14=""),"",IF(AC14="",O14+DORA_H_DET/24,IF(AC14-O14&lt;=DORA_H_DET/24,MIN(AC14+DORA_H_CLA/24,O14+DORA_H_DET/24),AC14+DORA_H_CLA/24)))</f>
        <v/>
      </c>
      <c r="BS14" s="35" t="str">
        <f aca="true">IF(BR14="","",IF(AD14="",IF(NOW()&gt;BR14,0,""),IF(AD14&lt;=BR14,1,0)))</f>
        <v/>
      </c>
      <c r="BT14" s="35" t="str">
        <f aca="true">IF(OR(BR14="",AD14=""),"",IF(AE14="",IF(NOW()&gt;AD14+DORA_H_INT/24,0,""),IF(AE14&lt;=AD14+DORA_H_INT/24,1,0)))</f>
        <v/>
      </c>
      <c r="BU14" s="35" t="str">
        <f aca="true">IF(OR(BR14="",AE14=""),"",IF(AF14="",IF(NOW()&gt;EDATE(AE14,DORA_M_FIN)+1,0,""),IF(AF14&lt;=EDATE(AE14,DORA_M_FIN),1,0)))</f>
        <v/>
      </c>
      <c r="BV14" s="35" t="str">
        <f aca="false">IF(BR14="","",IF(COUNT(BS14:BU14)=0,"",MIN(BS14:BU14)))</f>
        <v/>
      </c>
      <c r="BW14" s="40" t="str">
        <f aca="false">IF(AQ14&lt;&gt;1,"",IF(AND(AG14="",AH14=""),"",N(AG14)-N(AH14)))</f>
        <v/>
      </c>
      <c r="BX14" s="35" t="str">
        <f aca="true">IF(OR(AQ14&lt;&gt;1,AI14&lt;&gt;"Oui",AJ14=""),"",IF(AK14="",IF(NOW()&gt;AJ14+1,0,""),IF(AK14&lt;=AJ14,1,0)))</f>
        <v/>
      </c>
    </row>
    <row r="15" customFormat="false" ht="15" hidden="false" customHeight="false" outlineLevel="0" collapsed="false">
      <c r="B15" s="29" t="s">
        <v>207</v>
      </c>
      <c r="C15" s="29" t="s">
        <v>178</v>
      </c>
      <c r="D15" s="29" t="s">
        <v>198</v>
      </c>
      <c r="E15" s="29" t="s">
        <v>192</v>
      </c>
      <c r="F15" s="29" t="s">
        <v>172</v>
      </c>
      <c r="G15" s="29" t="s">
        <v>164</v>
      </c>
      <c r="H15" s="29"/>
      <c r="I15" s="29" t="s">
        <v>193</v>
      </c>
      <c r="J15" s="29" t="s">
        <v>187</v>
      </c>
      <c r="K15" s="29" t="s">
        <v>168</v>
      </c>
      <c r="L15" s="29" t="s">
        <v>169</v>
      </c>
      <c r="M15" s="29" t="s">
        <v>206</v>
      </c>
      <c r="N15" s="30" t="n">
        <v>45960.4583333333</v>
      </c>
      <c r="O15" s="30" t="n">
        <v>45960.5486111111</v>
      </c>
      <c r="P15" s="30" t="n">
        <v>45960.6319444445</v>
      </c>
      <c r="Q15" s="30" t="n">
        <v>45961.4756944445</v>
      </c>
      <c r="R15" s="30" t="n">
        <v>45986.7430555556</v>
      </c>
      <c r="S15" s="30" t="n">
        <v>46009.3854166667</v>
      </c>
      <c r="T15" s="30"/>
      <c r="U15" s="30"/>
      <c r="V15" s="31" t="n">
        <v>0</v>
      </c>
      <c r="W15" s="29" t="s">
        <v>168</v>
      </c>
      <c r="X15" s="29"/>
      <c r="Y15" s="29" t="s">
        <v>168</v>
      </c>
      <c r="Z15" s="29" t="s">
        <v>168</v>
      </c>
      <c r="AA15" s="30"/>
      <c r="AB15" s="30"/>
      <c r="AC15" s="30"/>
      <c r="AD15" s="30"/>
      <c r="AE15" s="30"/>
      <c r="AF15" s="32"/>
      <c r="AG15" s="33"/>
      <c r="AH15" s="33"/>
      <c r="AI15" s="29" t="s">
        <v>168</v>
      </c>
      <c r="AJ15" s="32"/>
      <c r="AK15" s="32"/>
      <c r="AL15" s="29"/>
      <c r="AN15" s="34" t="str">
        <f aca="false">IF($B15="","",IF(OR(C15="",D15="",E15="",G15="",I15="",J15="",L15="",O15="",P15=""),"Champ obligatoire manquant",IF(OR(AND(N15&lt;&gt;"",N15&gt;O15),O15&gt;P15,AND(Q15&lt;&gt;"",Q15&lt;P15),AND(R15&lt;&gt;"",R15&lt;P15),AND(S15&lt;&gt;"",S15&lt;R15),AND(S15&lt;&gt;"",R15=""),AND(T15&lt;&gt;"",T15&lt;O15),AND(U15&lt;&gt;"",U15&lt;O15)),"Chronologie incohérente",IF(AND(OR(L15="Résolu",L15="Clos"),R15=""),"Date de résolution manquante",IF(AND(L15="Clos",S15=""),"Date de clôture manquante",IF(AND(K15="Oui",AC15=""),"Classification DORA manquante","OK"))))))</f>
        <v>OK</v>
      </c>
      <c r="AO15" s="35" t="n">
        <f aca="false">IF($B15="","",IF(AND(C15="Incident",L15&lt;&gt;"Annulé"),1,0))</f>
        <v>1</v>
      </c>
      <c r="AP15" s="35" t="n">
        <f aca="false">IF($B15="","",IF(AND(C15="Quasi-incident",L15&lt;&gt;"Annulé"),1,0))</f>
        <v>0</v>
      </c>
      <c r="AQ15" s="35" t="n">
        <f aca="false">IF($B15="","",AO15+AP15)</f>
        <v>1</v>
      </c>
      <c r="AR15" s="36" t="n">
        <f aca="false">IF(OR($B15="",J15=""),"",IFERROR(VALUE(LEFT(J15,1)),""))</f>
        <v>4</v>
      </c>
      <c r="AS15" s="35" t="n">
        <f aca="false">IF(OR(AO15&lt;&gt;1,G15=""),"",IFERROR(IF(INDEX(L_SrcInterne,MATCH(G15,L_Sources,0))="Oui",1,0),""))</f>
        <v>1</v>
      </c>
      <c r="AT15" s="37" t="n">
        <f aca="false">IF(AO15&lt;&gt;1,"",IFERROR(ROUND(IF(OR(N15="",O15=""),"",IF(O15&lt;N15,"",ROUND(((NETWORKDAYS(N15,O15,JoursFeries)-1)*(HFer-HOuv)+IF(NETWORKDAYS(O15,O15,JoursFeries),MEDIAN(MOD(O15,1),HFer,HOuv),HFer)-IF(NETWORKDAYS(N15,N15,JoursFeries),MEDIAN(MOD(N15,1),HFer,HOuv),HOuv))*24,4)))/HJour,4),""))</f>
        <v>0.2407</v>
      </c>
      <c r="AU15" s="37" t="n">
        <f aca="false">IF(AO15&lt;&gt;1,"",IF(OR(O15="",P15=""),"",IF(P15&lt;O15,"",ROUND(((NETWORKDAYS(O15,P15,JoursFeries)-1)*(HFer-HOuv)+IF(NETWORKDAYS(P15,P15,JoursFeries),MEDIAN(MOD(P15,1),HFer,HOuv),HFer)-IF(NETWORKDAYS(O15,O15,JoursFeries),MEDIAN(MOD(O15,1),HFer,HOuv),HOuv))*24,4))))</f>
        <v>2</v>
      </c>
      <c r="AV15" s="37" t="n">
        <f aca="false">IF(AO15&lt;&gt;1,"",IF(OR(P15="",Q15=""),"",IF(Q15&lt;P15,"",ROUND(((NETWORKDAYS(P15,Q15,JoursFeries)-1)*(HFer-HOuv)+IF(NETWORKDAYS(Q15,Q15,JoursFeries),MEDIAN(MOD(Q15,1),HFer,HOuv),HFer)-IF(NETWORKDAYS(P15,P15,JoursFeries),MEDIAN(MOD(P15,1),HFer,HOuv),HOuv))*24,4))))</f>
        <v>5.25</v>
      </c>
      <c r="AW15" s="37" t="n">
        <f aca="false">IF(AO15&lt;&gt;1,"",IFERROR(ROUND(IF(OR(P15="",R15=""),"",IF(R15&lt;P15,"",ROUND(((NETWORKDAYS(P15,R15,JoursFeries)-1)*(HFer-HOuv)+IF(NETWORKDAYS(R15,R15,JoursFeries),MEDIAN(MOD(R15,1),HFer,HOuv),HFer)-IF(NETWORKDAYS(P15,P15,JoursFeries),MEDIAN(MOD(P15,1),HFer,HOuv),HOuv))*24,4)))/HJour,4),""))</f>
        <v>17.2963</v>
      </c>
      <c r="AX15" s="37" t="n">
        <f aca="false">IF(AO15&lt;&gt;1,"",IFERROR(ROUND(IF(OR(P15="",S15=""),"",IF(S15&lt;P15,"",ROUND(((NETWORKDAYS(P15,S15,JoursFeries)-1)*(HFer-HOuv)+IF(NETWORKDAYS(S15,S15,JoursFeries),MEDIAN(MOD(S15,1),HFer,HOuv),HFer)-IF(NETWORKDAYS(P15,P15,JoursFeries),MEDIAN(MOD(P15,1),HFer,HOuv),HOuv))*24,4)))/HJour,4),""))</f>
        <v>33.3426</v>
      </c>
      <c r="AY15" s="36" t="n">
        <f aca="false">IF(OR(AO15&lt;&gt;1,AR15=""),"",INDEX(SLA_PEC,AR15))</f>
        <v>18</v>
      </c>
      <c r="AZ15" s="35" t="n">
        <f aca="false">IF(OR(AV15="",AY15=""),"",IF(AV15&lt;=AY15,1,0))</f>
        <v>1</v>
      </c>
      <c r="BA15" s="36" t="n">
        <f aca="false">IF(OR(AO15&lt;&gt;1,AR15=""),"",INDEX(SLA_RES,AR15))</f>
        <v>20</v>
      </c>
      <c r="BB15" s="35" t="n">
        <f aca="false">IF(OR(AW15="",BA15=""),"",IF(AW15&lt;=BA15,1,0))</f>
        <v>1</v>
      </c>
      <c r="BC15" s="38" t="n">
        <f aca="false">IF(OR(BA15="",P15=""),"",WORKDAY(INT(P15),BA15,JoursFeries)+MOD(P15,1))</f>
        <v>45989.6319444445</v>
      </c>
      <c r="BD15" s="39" t="n">
        <f aca="false">IF(AO15&lt;&gt;1,"",IF(OR(AB15&lt;&gt;"",AD15&lt;&gt;""),4,IF(U15&lt;&gt;"",3,IF(T15&lt;&gt;"",2,1))))</f>
        <v>1</v>
      </c>
      <c r="BE15" s="39" t="n">
        <f aca="false">IF(OR(AO15&lt;&gt;1,AR15=""),"",INDEX(NIV_REQ,AR15))</f>
        <v>1</v>
      </c>
      <c r="BF15" s="39" t="n">
        <f aca="false">IF(BE15="","",MAX(BE15,IF(OR(K15="Oui",Z15="Oui"),4,1)))</f>
        <v>1</v>
      </c>
      <c r="BG15" s="35" t="n">
        <f aca="false">IF(OR(BF15="",BD15=""),"",IF(BD15&gt;=BF15,1,0))</f>
        <v>1</v>
      </c>
      <c r="BH15" s="38" t="str">
        <f aca="false">IF(BE15="","",IF(BE15&lt;2,"",IF(BE15=2,IF(AND(T15="",U15=""),"",MIN(T15,U15)),IF(U15="","",U15))))</f>
        <v/>
      </c>
      <c r="BI15" s="37" t="str">
        <f aca="false">IF(BH15="","",IF(OR(O15="",BH15=""),"",IF(BH15&lt;O15,"",ROUND(((NETWORKDAYS(O15,BH15,JoursFeries)-1)*(HFer-HOuv)+IF(NETWORKDAYS(BH15,BH15,JoursFeries),MEDIAN(MOD(BH15,1),HFer,HOuv),HFer)-IF(NETWORKDAYS(O15,O15,JoursFeries),MEDIAN(MOD(O15,1),HFer,HOuv),HOuv))*24,4))))</f>
        <v/>
      </c>
      <c r="BJ15" s="35" t="str">
        <f aca="false">IF(OR(BI15="",AR15=""),"",IF(BI15&lt;=INDEX(DELAI_ESC,AR15),1,0))</f>
        <v/>
      </c>
      <c r="BK15" s="38" t="str">
        <f aca="false">IF(AO15&lt;&gt;1,"",IF(AND(T15="",U15=""),"",MIN(T15,U15)))</f>
        <v/>
      </c>
      <c r="BL15" s="37" t="str">
        <f aca="false">IF(OR(BK15="",R15=""),"",IFERROR(ROUND(IF(OR(BK15="",R15=""),"",IF(R15&lt;BK15,"",ROUND(((NETWORKDAYS(BK15,R15,JoursFeries)-1)*(HFer-HOuv)+IF(NETWORKDAYS(R15,R15,JoursFeries),MEDIAN(MOD(R15,1),HFer,HOuv),HFer)-IF(NETWORKDAYS(BK15,BK15,JoursFeries),MEDIAN(MOD(BK15,1),HFer,HOuv),HOuv))*24,4)))/HJour,4),""))</f>
        <v/>
      </c>
      <c r="BM15" s="35" t="n">
        <f aca="false">IF(OR(AO15&lt;&gt;1,R15=""),"",IF(BD15=1,1,0))</f>
        <v>1</v>
      </c>
      <c r="BN15" s="35" t="n">
        <f aca="false">IF(AO15&lt;&gt;1,"",IF(W15="Oui",1,0))</f>
        <v>0</v>
      </c>
      <c r="BO15" s="35" t="n">
        <f aca="false">IF(AO15&lt;&gt;1,"",IF(X15&lt;&gt;"",1,0))</f>
        <v>0</v>
      </c>
      <c r="BP15" s="35" t="n">
        <f aca="false">IF(AO15&lt;&gt;1,"",IF(Y15="Oui",1,0))</f>
        <v>0</v>
      </c>
      <c r="BQ15" s="35" t="str">
        <f aca="true">IF(OR(AO15&lt;&gt;1,Z15&lt;&gt;"Oui"),"",IF(AB15="",IF(AND(AA15&lt;&gt;"",NOW()&gt;AA15),0,""),IF(AA15="","",IF(AB15&lt;=AA15,1,0))))</f>
        <v/>
      </c>
      <c r="BR15" s="38" t="str">
        <f aca="false">IF(OR(AO15&lt;&gt;1,K15&lt;&gt;"Oui",O15=""),"",IF(AC15="",O15+DORA_H_DET/24,IF(AC15-O15&lt;=DORA_H_DET/24,MIN(AC15+DORA_H_CLA/24,O15+DORA_H_DET/24),AC15+DORA_H_CLA/24)))</f>
        <v/>
      </c>
      <c r="BS15" s="35" t="str">
        <f aca="true">IF(BR15="","",IF(AD15="",IF(NOW()&gt;BR15,0,""),IF(AD15&lt;=BR15,1,0)))</f>
        <v/>
      </c>
      <c r="BT15" s="35" t="str">
        <f aca="true">IF(OR(BR15="",AD15=""),"",IF(AE15="",IF(NOW()&gt;AD15+DORA_H_INT/24,0,""),IF(AE15&lt;=AD15+DORA_H_INT/24,1,0)))</f>
        <v/>
      </c>
      <c r="BU15" s="35" t="str">
        <f aca="true">IF(OR(BR15="",AE15=""),"",IF(AF15="",IF(NOW()&gt;EDATE(AE15,DORA_M_FIN)+1,0,""),IF(AF15&lt;=EDATE(AE15,DORA_M_FIN),1,0)))</f>
        <v/>
      </c>
      <c r="BV15" s="35" t="str">
        <f aca="false">IF(BR15="","",IF(COUNT(BS15:BU15)=0,"",MIN(BS15:BU15)))</f>
        <v/>
      </c>
      <c r="BW15" s="40" t="str">
        <f aca="false">IF(AQ15&lt;&gt;1,"",IF(AND(AG15="",AH15=""),"",N(AG15)-N(AH15)))</f>
        <v/>
      </c>
      <c r="BX15" s="35" t="str">
        <f aca="true">IF(OR(AQ15&lt;&gt;1,AI15&lt;&gt;"Oui",AJ15=""),"",IF(AK15="",IF(NOW()&gt;AJ15+1,0,""),IF(AK15&lt;=AJ15,1,0)))</f>
        <v/>
      </c>
    </row>
    <row r="16" customFormat="false" ht="15" hidden="false" customHeight="false" outlineLevel="0" collapsed="false">
      <c r="B16" s="29" t="s">
        <v>208</v>
      </c>
      <c r="C16" s="29" t="s">
        <v>160</v>
      </c>
      <c r="D16" s="29" t="s">
        <v>161</v>
      </c>
      <c r="E16" s="29" t="s">
        <v>199</v>
      </c>
      <c r="F16" s="29" t="s">
        <v>172</v>
      </c>
      <c r="G16" s="29" t="s">
        <v>180</v>
      </c>
      <c r="H16" s="29"/>
      <c r="I16" s="29" t="s">
        <v>209</v>
      </c>
      <c r="J16" s="29" t="s">
        <v>167</v>
      </c>
      <c r="K16" s="29" t="s">
        <v>168</v>
      </c>
      <c r="L16" s="29" t="s">
        <v>169</v>
      </c>
      <c r="M16" s="29" t="s">
        <v>206</v>
      </c>
      <c r="N16" s="30" t="n">
        <v>45939.6875</v>
      </c>
      <c r="O16" s="30" t="n">
        <v>45966.6875</v>
      </c>
      <c r="P16" s="30" t="n">
        <v>45966.7013888889</v>
      </c>
      <c r="Q16" s="30" t="n">
        <v>45967.65625</v>
      </c>
      <c r="R16" s="30" t="n">
        <v>45968.4826388889</v>
      </c>
      <c r="S16" s="30" t="n">
        <v>45981.4583333333</v>
      </c>
      <c r="T16" s="30"/>
      <c r="U16" s="30"/>
      <c r="V16" s="31" t="n">
        <v>0</v>
      </c>
      <c r="W16" s="29" t="s">
        <v>168</v>
      </c>
      <c r="X16" s="29"/>
      <c r="Y16" s="29" t="s">
        <v>168</v>
      </c>
      <c r="Z16" s="29" t="s">
        <v>168</v>
      </c>
      <c r="AA16" s="30"/>
      <c r="AB16" s="30"/>
      <c r="AC16" s="30"/>
      <c r="AD16" s="30"/>
      <c r="AE16" s="30"/>
      <c r="AF16" s="32"/>
      <c r="AG16" s="33"/>
      <c r="AH16" s="33"/>
      <c r="AI16" s="29" t="s">
        <v>189</v>
      </c>
      <c r="AJ16" s="32" t="n">
        <v>45996</v>
      </c>
      <c r="AK16" s="32" t="n">
        <v>45993</v>
      </c>
      <c r="AL16" s="29"/>
      <c r="AN16" s="34" t="str">
        <f aca="false">IF($B16="","",IF(OR(C16="",D16="",E16="",G16="",I16="",J16="",L16="",O16="",P16=""),"Champ obligatoire manquant",IF(OR(AND(N16&lt;&gt;"",N16&gt;O16),O16&gt;P16,AND(Q16&lt;&gt;"",Q16&lt;P16),AND(R16&lt;&gt;"",R16&lt;P16),AND(S16&lt;&gt;"",S16&lt;R16),AND(S16&lt;&gt;"",R16=""),AND(T16&lt;&gt;"",T16&lt;O16),AND(U16&lt;&gt;"",U16&lt;O16)),"Chronologie incohérente",IF(AND(OR(L16="Résolu",L16="Clos"),R16=""),"Date de résolution manquante",IF(AND(L16="Clos",S16=""),"Date de clôture manquante",IF(AND(K16="Oui",AC16=""),"Classification DORA manquante","OK"))))))</f>
        <v>OK</v>
      </c>
      <c r="AO16" s="35" t="n">
        <f aca="false">IF($B16="","",IF(AND(C16="Incident",L16&lt;&gt;"Annulé"),1,0))</f>
        <v>0</v>
      </c>
      <c r="AP16" s="35" t="n">
        <f aca="false">IF($B16="","",IF(AND(C16="Quasi-incident",L16&lt;&gt;"Annulé"),1,0))</f>
        <v>1</v>
      </c>
      <c r="AQ16" s="35" t="n">
        <f aca="false">IF($B16="","",AO16+AP16)</f>
        <v>1</v>
      </c>
      <c r="AR16" s="36" t="n">
        <f aca="false">IF(OR($B16="",J16=""),"",IFERROR(VALUE(LEFT(J16,1)),""))</f>
        <v>3</v>
      </c>
      <c r="AS16" s="35" t="str">
        <f aca="false">IF(OR(AO16&lt;&gt;1,G16=""),"",IFERROR(IF(INDEX(L_SrcInterne,MATCH(G16,L_Sources,0))="Oui",1,0),""))</f>
        <v/>
      </c>
      <c r="AT16" s="37" t="str">
        <f aca="false">IF(AO16&lt;&gt;1,"",IFERROR(ROUND(IF(OR(N16="",O16=""),"",IF(O16&lt;N16,"",ROUND(((NETWORKDAYS(N16,O16,JoursFeries)-1)*(HFer-HOuv)+IF(NETWORKDAYS(O16,O16,JoursFeries),MEDIAN(MOD(O16,1),HFer,HOuv),HFer)-IF(NETWORKDAYS(N16,N16,JoursFeries),MEDIAN(MOD(N16,1),HFer,HOuv),HOuv))*24,4)))/HJour,4),""))</f>
        <v/>
      </c>
      <c r="AU16" s="37" t="str">
        <f aca="false">IF(AO16&lt;&gt;1,"",IF(OR(O16="",P16=""),"",IF(P16&lt;O16,"",ROUND(((NETWORKDAYS(O16,P16,JoursFeries)-1)*(HFer-HOuv)+IF(NETWORKDAYS(P16,P16,JoursFeries),MEDIAN(MOD(P16,1),HFer,HOuv),HFer)-IF(NETWORKDAYS(O16,O16,JoursFeries),MEDIAN(MOD(O16,1),HFer,HOuv),HOuv))*24,4))))</f>
        <v/>
      </c>
      <c r="AV16" s="37" t="str">
        <f aca="false">IF(AO16&lt;&gt;1,"",IF(OR(P16="",Q16=""),"",IF(Q16&lt;P16,"",ROUND(((NETWORKDAYS(P16,Q16,JoursFeries)-1)*(HFer-HOuv)+IF(NETWORKDAYS(Q16,Q16,JoursFeries),MEDIAN(MOD(Q16,1),HFer,HOuv),HFer)-IF(NETWORKDAYS(P16,P16,JoursFeries),MEDIAN(MOD(P16,1),HFer,HOuv),HOuv))*24,4))))</f>
        <v/>
      </c>
      <c r="AW16" s="37" t="str">
        <f aca="false">IF(AO16&lt;&gt;1,"",IFERROR(ROUND(IF(OR(P16="",R16=""),"",IF(R16&lt;P16,"",ROUND(((NETWORKDAYS(P16,R16,JoursFeries)-1)*(HFer-HOuv)+IF(NETWORKDAYS(R16,R16,JoursFeries),MEDIAN(MOD(R16,1),HFer,HOuv),HFer)-IF(NETWORKDAYS(P16,P16,JoursFeries),MEDIAN(MOD(P16,1),HFer,HOuv),HOuv))*24,4)))/HJour,4),""))</f>
        <v/>
      </c>
      <c r="AX16" s="37" t="str">
        <f aca="false">IF(AO16&lt;&gt;1,"",IFERROR(ROUND(IF(OR(P16="",S16=""),"",IF(S16&lt;P16,"",ROUND(((NETWORKDAYS(P16,S16,JoursFeries)-1)*(HFer-HOuv)+IF(NETWORKDAYS(S16,S16,JoursFeries),MEDIAN(MOD(S16,1),HFer,HOuv),HFer)-IF(NETWORKDAYS(P16,P16,JoursFeries),MEDIAN(MOD(P16,1),HFer,HOuv),HOuv))*24,4)))/HJour,4),""))</f>
        <v/>
      </c>
      <c r="AY16" s="36" t="str">
        <f aca="false">IF(OR(AO16&lt;&gt;1,AR16=""),"",INDEX(SLA_PEC,AR16))</f>
        <v/>
      </c>
      <c r="AZ16" s="35" t="str">
        <f aca="false">IF(OR(AV16="",AY16=""),"",IF(AV16&lt;=AY16,1,0))</f>
        <v/>
      </c>
      <c r="BA16" s="36" t="str">
        <f aca="false">IF(OR(AO16&lt;&gt;1,AR16=""),"",INDEX(SLA_RES,AR16))</f>
        <v/>
      </c>
      <c r="BB16" s="35" t="str">
        <f aca="false">IF(OR(AW16="",BA16=""),"",IF(AW16&lt;=BA16,1,0))</f>
        <v/>
      </c>
      <c r="BC16" s="38" t="str">
        <f aca="false">IF(OR(BA16="",P16=""),"",WORKDAY(INT(P16),BA16,JoursFeries)+MOD(P16,1))</f>
        <v/>
      </c>
      <c r="BD16" s="39" t="str">
        <f aca="false">IF(AO16&lt;&gt;1,"",IF(OR(AB16&lt;&gt;"",AD16&lt;&gt;""),4,IF(U16&lt;&gt;"",3,IF(T16&lt;&gt;"",2,1))))</f>
        <v/>
      </c>
      <c r="BE16" s="39" t="str">
        <f aca="false">IF(OR(AO16&lt;&gt;1,AR16=""),"",INDEX(NIV_REQ,AR16))</f>
        <v/>
      </c>
      <c r="BF16" s="39" t="str">
        <f aca="false">IF(BE16="","",MAX(BE16,IF(OR(K16="Oui",Z16="Oui"),4,1)))</f>
        <v/>
      </c>
      <c r="BG16" s="35" t="str">
        <f aca="false">IF(OR(BF16="",BD16=""),"",IF(BD16&gt;=BF16,1,0))</f>
        <v/>
      </c>
      <c r="BH16" s="38" t="str">
        <f aca="false">IF(BE16="","",IF(BE16&lt;2,"",IF(BE16=2,IF(AND(T16="",U16=""),"",MIN(T16,U16)),IF(U16="","",U16))))</f>
        <v/>
      </c>
      <c r="BI16" s="37" t="str">
        <f aca="false">IF(BH16="","",IF(OR(O16="",BH16=""),"",IF(BH16&lt;O16,"",ROUND(((NETWORKDAYS(O16,BH16,JoursFeries)-1)*(HFer-HOuv)+IF(NETWORKDAYS(BH16,BH16,JoursFeries),MEDIAN(MOD(BH16,1),HFer,HOuv),HFer)-IF(NETWORKDAYS(O16,O16,JoursFeries),MEDIAN(MOD(O16,1),HFer,HOuv),HOuv))*24,4))))</f>
        <v/>
      </c>
      <c r="BJ16" s="35" t="str">
        <f aca="false">IF(OR(BI16="",AR16=""),"",IF(BI16&lt;=INDEX(DELAI_ESC,AR16),1,0))</f>
        <v/>
      </c>
      <c r="BK16" s="38" t="str">
        <f aca="false">IF(AO16&lt;&gt;1,"",IF(AND(T16="",U16=""),"",MIN(T16,U16)))</f>
        <v/>
      </c>
      <c r="BL16" s="37" t="str">
        <f aca="false">IF(OR(BK16="",R16=""),"",IFERROR(ROUND(IF(OR(BK16="",R16=""),"",IF(R16&lt;BK16,"",ROUND(((NETWORKDAYS(BK16,R16,JoursFeries)-1)*(HFer-HOuv)+IF(NETWORKDAYS(R16,R16,JoursFeries),MEDIAN(MOD(R16,1),HFer,HOuv),HFer)-IF(NETWORKDAYS(BK16,BK16,JoursFeries),MEDIAN(MOD(BK16,1),HFer,HOuv),HOuv))*24,4)))/HJour,4),""))</f>
        <v/>
      </c>
      <c r="BM16" s="35" t="str">
        <f aca="false">IF(OR(AO16&lt;&gt;1,R16=""),"",IF(BD16=1,1,0))</f>
        <v/>
      </c>
      <c r="BN16" s="35" t="str">
        <f aca="false">IF(AO16&lt;&gt;1,"",IF(W16="Oui",1,0))</f>
        <v/>
      </c>
      <c r="BO16" s="35" t="str">
        <f aca="false">IF(AO16&lt;&gt;1,"",IF(X16&lt;&gt;"",1,0))</f>
        <v/>
      </c>
      <c r="BP16" s="35" t="str">
        <f aca="false">IF(AO16&lt;&gt;1,"",IF(Y16="Oui",1,0))</f>
        <v/>
      </c>
      <c r="BQ16" s="35" t="str">
        <f aca="true">IF(OR(AO16&lt;&gt;1,Z16&lt;&gt;"Oui"),"",IF(AB16="",IF(AND(AA16&lt;&gt;"",NOW()&gt;AA16),0,""),IF(AA16="","",IF(AB16&lt;=AA16,1,0))))</f>
        <v/>
      </c>
      <c r="BR16" s="38" t="str">
        <f aca="false">IF(OR(AO16&lt;&gt;1,K16&lt;&gt;"Oui",O16=""),"",IF(AC16="",O16+DORA_H_DET/24,IF(AC16-O16&lt;=DORA_H_DET/24,MIN(AC16+DORA_H_CLA/24,O16+DORA_H_DET/24),AC16+DORA_H_CLA/24)))</f>
        <v/>
      </c>
      <c r="BS16" s="35" t="str">
        <f aca="true">IF(BR16="","",IF(AD16="",IF(NOW()&gt;BR16,0,""),IF(AD16&lt;=BR16,1,0)))</f>
        <v/>
      </c>
      <c r="BT16" s="35" t="str">
        <f aca="true">IF(OR(BR16="",AD16=""),"",IF(AE16="",IF(NOW()&gt;AD16+DORA_H_INT/24,0,""),IF(AE16&lt;=AD16+DORA_H_INT/24,1,0)))</f>
        <v/>
      </c>
      <c r="BU16" s="35" t="str">
        <f aca="true">IF(OR(BR16="",AE16=""),"",IF(AF16="",IF(NOW()&gt;EDATE(AE16,DORA_M_FIN)+1,0,""),IF(AF16&lt;=EDATE(AE16,DORA_M_FIN),1,0)))</f>
        <v/>
      </c>
      <c r="BV16" s="35" t="str">
        <f aca="false">IF(BR16="","",IF(COUNT(BS16:BU16)=0,"",MIN(BS16:BU16)))</f>
        <v/>
      </c>
      <c r="BW16" s="40" t="str">
        <f aca="false">IF(AQ16&lt;&gt;1,"",IF(AND(AG16="",AH16=""),"",N(AG16)-N(AH16)))</f>
        <v/>
      </c>
      <c r="BX16" s="35" t="n">
        <f aca="true">IF(OR(AQ16&lt;&gt;1,AI16&lt;&gt;"Oui",AJ16=""),"",IF(AK16="",IF(NOW()&gt;AJ16+1,0,""),IF(AK16&lt;=AJ16,1,0)))</f>
        <v>1</v>
      </c>
    </row>
    <row r="17" customFormat="false" ht="15" hidden="false" customHeight="false" outlineLevel="0" collapsed="false">
      <c r="B17" s="29" t="s">
        <v>210</v>
      </c>
      <c r="C17" s="29" t="s">
        <v>160</v>
      </c>
      <c r="D17" s="29" t="s">
        <v>161</v>
      </c>
      <c r="E17" s="29" t="s">
        <v>162</v>
      </c>
      <c r="F17" s="29" t="s">
        <v>172</v>
      </c>
      <c r="G17" s="29" t="s">
        <v>211</v>
      </c>
      <c r="H17" s="29" t="s">
        <v>165</v>
      </c>
      <c r="I17" s="29" t="s">
        <v>212</v>
      </c>
      <c r="J17" s="29" t="s">
        <v>167</v>
      </c>
      <c r="K17" s="29" t="s">
        <v>168</v>
      </c>
      <c r="L17" s="29" t="s">
        <v>169</v>
      </c>
      <c r="M17" s="29" t="s">
        <v>174</v>
      </c>
      <c r="N17" s="30" t="n">
        <v>45971.1770833333</v>
      </c>
      <c r="O17" s="30" t="n">
        <v>45971.3715277778</v>
      </c>
      <c r="P17" s="30" t="n">
        <v>45971.3923611111</v>
      </c>
      <c r="Q17" s="30" t="n">
        <v>45971.5659722222</v>
      </c>
      <c r="R17" s="30" t="n">
        <v>45975.4201388889</v>
      </c>
      <c r="S17" s="30" t="n">
        <v>45982.4201388889</v>
      </c>
      <c r="T17" s="30"/>
      <c r="U17" s="30"/>
      <c r="V17" s="31" t="n">
        <v>0</v>
      </c>
      <c r="W17" s="29" t="s">
        <v>168</v>
      </c>
      <c r="X17" s="29"/>
      <c r="Y17" s="29" t="s">
        <v>168</v>
      </c>
      <c r="Z17" s="29" t="s">
        <v>168</v>
      </c>
      <c r="AA17" s="30"/>
      <c r="AB17" s="30"/>
      <c r="AC17" s="30"/>
      <c r="AD17" s="30"/>
      <c r="AE17" s="30"/>
      <c r="AF17" s="32"/>
      <c r="AG17" s="33"/>
      <c r="AH17" s="33"/>
      <c r="AI17" s="29" t="s">
        <v>168</v>
      </c>
      <c r="AJ17" s="32"/>
      <c r="AK17" s="32"/>
      <c r="AL17" s="29"/>
      <c r="AN17" s="34" t="str">
        <f aca="false">IF($B17="","",IF(OR(C17="",D17="",E17="",G17="",I17="",J17="",L17="",O17="",P17=""),"Champ obligatoire manquant",IF(OR(AND(N17&lt;&gt;"",N17&gt;O17),O17&gt;P17,AND(Q17&lt;&gt;"",Q17&lt;P17),AND(R17&lt;&gt;"",R17&lt;P17),AND(S17&lt;&gt;"",S17&lt;R17),AND(S17&lt;&gt;"",R17=""),AND(T17&lt;&gt;"",T17&lt;O17),AND(U17&lt;&gt;"",U17&lt;O17)),"Chronologie incohérente",IF(AND(OR(L17="Résolu",L17="Clos"),R17=""),"Date de résolution manquante",IF(AND(L17="Clos",S17=""),"Date de clôture manquante",IF(AND(K17="Oui",AC17=""),"Classification DORA manquante","OK"))))))</f>
        <v>OK</v>
      </c>
      <c r="AO17" s="35" t="n">
        <f aca="false">IF($B17="","",IF(AND(C17="Incident",L17&lt;&gt;"Annulé"),1,0))</f>
        <v>0</v>
      </c>
      <c r="AP17" s="35" t="n">
        <f aca="false">IF($B17="","",IF(AND(C17="Quasi-incident",L17&lt;&gt;"Annulé"),1,0))</f>
        <v>1</v>
      </c>
      <c r="AQ17" s="35" t="n">
        <f aca="false">IF($B17="","",AO17+AP17)</f>
        <v>1</v>
      </c>
      <c r="AR17" s="36" t="n">
        <f aca="false">IF(OR($B17="",J17=""),"",IFERROR(VALUE(LEFT(J17,1)),""))</f>
        <v>3</v>
      </c>
      <c r="AS17" s="35" t="str">
        <f aca="false">IF(OR(AO17&lt;&gt;1,G17=""),"",IFERROR(IF(INDEX(L_SrcInterne,MATCH(G17,L_Sources,0))="Oui",1,0),""))</f>
        <v/>
      </c>
      <c r="AT17" s="37" t="str">
        <f aca="false">IF(AO17&lt;&gt;1,"",IFERROR(ROUND(IF(OR(N17="",O17=""),"",IF(O17&lt;N17,"",ROUND(((NETWORKDAYS(N17,O17,JoursFeries)-1)*(HFer-HOuv)+IF(NETWORKDAYS(O17,O17,JoursFeries),MEDIAN(MOD(O17,1),HFer,HOuv),HFer)-IF(NETWORKDAYS(N17,N17,JoursFeries),MEDIAN(MOD(N17,1),HFer,HOuv),HOuv))*24,4)))/HJour,4),""))</f>
        <v/>
      </c>
      <c r="AU17" s="37" t="str">
        <f aca="false">IF(AO17&lt;&gt;1,"",IF(OR(O17="",P17=""),"",IF(P17&lt;O17,"",ROUND(((NETWORKDAYS(O17,P17,JoursFeries)-1)*(HFer-HOuv)+IF(NETWORKDAYS(P17,P17,JoursFeries),MEDIAN(MOD(P17,1),HFer,HOuv),HFer)-IF(NETWORKDAYS(O17,O17,JoursFeries),MEDIAN(MOD(O17,1),HFer,HOuv),HOuv))*24,4))))</f>
        <v/>
      </c>
      <c r="AV17" s="37" t="str">
        <f aca="false">IF(AO17&lt;&gt;1,"",IF(OR(P17="",Q17=""),"",IF(Q17&lt;P17,"",ROUND(((NETWORKDAYS(P17,Q17,JoursFeries)-1)*(HFer-HOuv)+IF(NETWORKDAYS(Q17,Q17,JoursFeries),MEDIAN(MOD(Q17,1),HFer,HOuv),HFer)-IF(NETWORKDAYS(P17,P17,JoursFeries),MEDIAN(MOD(P17,1),HFer,HOuv),HOuv))*24,4))))</f>
        <v/>
      </c>
      <c r="AW17" s="37" t="str">
        <f aca="false">IF(AO17&lt;&gt;1,"",IFERROR(ROUND(IF(OR(P17="",R17=""),"",IF(R17&lt;P17,"",ROUND(((NETWORKDAYS(P17,R17,JoursFeries)-1)*(HFer-HOuv)+IF(NETWORKDAYS(R17,R17,JoursFeries),MEDIAN(MOD(R17,1),HFer,HOuv),HFer)-IF(NETWORKDAYS(P17,P17,JoursFeries),MEDIAN(MOD(P17,1),HFer,HOuv),HOuv))*24,4)))/HJour,4),""))</f>
        <v/>
      </c>
      <c r="AX17" s="37" t="str">
        <f aca="false">IF(AO17&lt;&gt;1,"",IFERROR(ROUND(IF(OR(P17="",S17=""),"",IF(S17&lt;P17,"",ROUND(((NETWORKDAYS(P17,S17,JoursFeries)-1)*(HFer-HOuv)+IF(NETWORKDAYS(S17,S17,JoursFeries),MEDIAN(MOD(S17,1),HFer,HOuv),HFer)-IF(NETWORKDAYS(P17,P17,JoursFeries),MEDIAN(MOD(P17,1),HFer,HOuv),HOuv))*24,4)))/HJour,4),""))</f>
        <v/>
      </c>
      <c r="AY17" s="36" t="str">
        <f aca="false">IF(OR(AO17&lt;&gt;1,AR17=""),"",INDEX(SLA_PEC,AR17))</f>
        <v/>
      </c>
      <c r="AZ17" s="35" t="str">
        <f aca="false">IF(OR(AV17="",AY17=""),"",IF(AV17&lt;=AY17,1,0))</f>
        <v/>
      </c>
      <c r="BA17" s="36" t="str">
        <f aca="false">IF(OR(AO17&lt;&gt;1,AR17=""),"",INDEX(SLA_RES,AR17))</f>
        <v/>
      </c>
      <c r="BB17" s="35" t="str">
        <f aca="false">IF(OR(AW17="",BA17=""),"",IF(AW17&lt;=BA17,1,0))</f>
        <v/>
      </c>
      <c r="BC17" s="38" t="str">
        <f aca="false">IF(OR(BA17="",P17=""),"",WORKDAY(INT(P17),BA17,JoursFeries)+MOD(P17,1))</f>
        <v/>
      </c>
      <c r="BD17" s="39" t="str">
        <f aca="false">IF(AO17&lt;&gt;1,"",IF(OR(AB17&lt;&gt;"",AD17&lt;&gt;""),4,IF(U17&lt;&gt;"",3,IF(T17&lt;&gt;"",2,1))))</f>
        <v/>
      </c>
      <c r="BE17" s="39" t="str">
        <f aca="false">IF(OR(AO17&lt;&gt;1,AR17=""),"",INDEX(NIV_REQ,AR17))</f>
        <v/>
      </c>
      <c r="BF17" s="39" t="str">
        <f aca="false">IF(BE17="","",MAX(BE17,IF(OR(K17="Oui",Z17="Oui"),4,1)))</f>
        <v/>
      </c>
      <c r="BG17" s="35" t="str">
        <f aca="false">IF(OR(BF17="",BD17=""),"",IF(BD17&gt;=BF17,1,0))</f>
        <v/>
      </c>
      <c r="BH17" s="38" t="str">
        <f aca="false">IF(BE17="","",IF(BE17&lt;2,"",IF(BE17=2,IF(AND(T17="",U17=""),"",MIN(T17,U17)),IF(U17="","",U17))))</f>
        <v/>
      </c>
      <c r="BI17" s="37" t="str">
        <f aca="false">IF(BH17="","",IF(OR(O17="",BH17=""),"",IF(BH17&lt;O17,"",ROUND(((NETWORKDAYS(O17,BH17,JoursFeries)-1)*(HFer-HOuv)+IF(NETWORKDAYS(BH17,BH17,JoursFeries),MEDIAN(MOD(BH17,1),HFer,HOuv),HFer)-IF(NETWORKDAYS(O17,O17,JoursFeries),MEDIAN(MOD(O17,1),HFer,HOuv),HOuv))*24,4))))</f>
        <v/>
      </c>
      <c r="BJ17" s="35" t="str">
        <f aca="false">IF(OR(BI17="",AR17=""),"",IF(BI17&lt;=INDEX(DELAI_ESC,AR17),1,0))</f>
        <v/>
      </c>
      <c r="BK17" s="38" t="str">
        <f aca="false">IF(AO17&lt;&gt;1,"",IF(AND(T17="",U17=""),"",MIN(T17,U17)))</f>
        <v/>
      </c>
      <c r="BL17" s="37" t="str">
        <f aca="false">IF(OR(BK17="",R17=""),"",IFERROR(ROUND(IF(OR(BK17="",R17=""),"",IF(R17&lt;BK17,"",ROUND(((NETWORKDAYS(BK17,R17,JoursFeries)-1)*(HFer-HOuv)+IF(NETWORKDAYS(R17,R17,JoursFeries),MEDIAN(MOD(R17,1),HFer,HOuv),HFer)-IF(NETWORKDAYS(BK17,BK17,JoursFeries),MEDIAN(MOD(BK17,1),HFer,HOuv),HOuv))*24,4)))/HJour,4),""))</f>
        <v/>
      </c>
      <c r="BM17" s="35" t="str">
        <f aca="false">IF(OR(AO17&lt;&gt;1,R17=""),"",IF(BD17=1,1,0))</f>
        <v/>
      </c>
      <c r="BN17" s="35" t="str">
        <f aca="false">IF(AO17&lt;&gt;1,"",IF(W17="Oui",1,0))</f>
        <v/>
      </c>
      <c r="BO17" s="35" t="str">
        <f aca="false">IF(AO17&lt;&gt;1,"",IF(X17&lt;&gt;"",1,0))</f>
        <v/>
      </c>
      <c r="BP17" s="35" t="str">
        <f aca="false">IF(AO17&lt;&gt;1,"",IF(Y17="Oui",1,0))</f>
        <v/>
      </c>
      <c r="BQ17" s="35" t="str">
        <f aca="true">IF(OR(AO17&lt;&gt;1,Z17&lt;&gt;"Oui"),"",IF(AB17="",IF(AND(AA17&lt;&gt;"",NOW()&gt;AA17),0,""),IF(AA17="","",IF(AB17&lt;=AA17,1,0))))</f>
        <v/>
      </c>
      <c r="BR17" s="38" t="str">
        <f aca="false">IF(OR(AO17&lt;&gt;1,K17&lt;&gt;"Oui",O17=""),"",IF(AC17="",O17+DORA_H_DET/24,IF(AC17-O17&lt;=DORA_H_DET/24,MIN(AC17+DORA_H_CLA/24,O17+DORA_H_DET/24),AC17+DORA_H_CLA/24)))</f>
        <v/>
      </c>
      <c r="BS17" s="35" t="str">
        <f aca="true">IF(BR17="","",IF(AD17="",IF(NOW()&gt;BR17,0,""),IF(AD17&lt;=BR17,1,0)))</f>
        <v/>
      </c>
      <c r="BT17" s="35" t="str">
        <f aca="true">IF(OR(BR17="",AD17=""),"",IF(AE17="",IF(NOW()&gt;AD17+DORA_H_INT/24,0,""),IF(AE17&lt;=AD17+DORA_H_INT/24,1,0)))</f>
        <v/>
      </c>
      <c r="BU17" s="35" t="str">
        <f aca="true">IF(OR(BR17="",AE17=""),"",IF(AF17="",IF(NOW()&gt;EDATE(AE17,DORA_M_FIN)+1,0,""),IF(AF17&lt;=EDATE(AE17,DORA_M_FIN),1,0)))</f>
        <v/>
      </c>
      <c r="BV17" s="35" t="str">
        <f aca="false">IF(BR17="","",IF(COUNT(BS17:BU17)=0,"",MIN(BS17:BU17)))</f>
        <v/>
      </c>
      <c r="BW17" s="40" t="str">
        <f aca="false">IF(AQ17&lt;&gt;1,"",IF(AND(AG17="",AH17=""),"",N(AG17)-N(AH17)))</f>
        <v/>
      </c>
      <c r="BX17" s="35" t="str">
        <f aca="true">IF(OR(AQ17&lt;&gt;1,AI17&lt;&gt;"Oui",AJ17=""),"",IF(AK17="",IF(NOW()&gt;AJ17+1,0,""),IF(AK17&lt;=AJ17,1,0)))</f>
        <v/>
      </c>
    </row>
    <row r="18" customFormat="false" ht="15" hidden="false" customHeight="false" outlineLevel="0" collapsed="false">
      <c r="B18" s="29" t="s">
        <v>213</v>
      </c>
      <c r="C18" s="29" t="s">
        <v>160</v>
      </c>
      <c r="D18" s="29" t="s">
        <v>191</v>
      </c>
      <c r="E18" s="29" t="s">
        <v>192</v>
      </c>
      <c r="F18" s="29" t="s">
        <v>172</v>
      </c>
      <c r="G18" s="29" t="s">
        <v>185</v>
      </c>
      <c r="H18" s="29"/>
      <c r="I18" s="29" t="s">
        <v>193</v>
      </c>
      <c r="J18" s="29" t="s">
        <v>167</v>
      </c>
      <c r="K18" s="29" t="s">
        <v>168</v>
      </c>
      <c r="L18" s="29" t="s">
        <v>169</v>
      </c>
      <c r="M18" s="29" t="s">
        <v>165</v>
      </c>
      <c r="N18" s="30" t="n">
        <v>45971.6111111111</v>
      </c>
      <c r="O18" s="30" t="n">
        <v>45971.6493055556</v>
      </c>
      <c r="P18" s="30" t="n">
        <v>45971.7326388889</v>
      </c>
      <c r="Q18" s="30" t="n">
        <v>45973.46875</v>
      </c>
      <c r="R18" s="30" t="n">
        <v>45978.4548611111</v>
      </c>
      <c r="S18" s="30" t="n">
        <v>45981.4444444445</v>
      </c>
      <c r="T18" s="30"/>
      <c r="U18" s="30"/>
      <c r="V18" s="31" t="n">
        <v>0</v>
      </c>
      <c r="W18" s="29" t="s">
        <v>168</v>
      </c>
      <c r="X18" s="29"/>
      <c r="Y18" s="29" t="s">
        <v>168</v>
      </c>
      <c r="Z18" s="29" t="s">
        <v>168</v>
      </c>
      <c r="AA18" s="30"/>
      <c r="AB18" s="30"/>
      <c r="AC18" s="30"/>
      <c r="AD18" s="30"/>
      <c r="AE18" s="30"/>
      <c r="AF18" s="32"/>
      <c r="AG18" s="33"/>
      <c r="AH18" s="33"/>
      <c r="AI18" s="29" t="s">
        <v>168</v>
      </c>
      <c r="AJ18" s="32"/>
      <c r="AK18" s="32"/>
      <c r="AL18" s="29"/>
      <c r="AN18" s="34" t="str">
        <f aca="false">IF($B18="","",IF(OR(C18="",D18="",E18="",G18="",I18="",J18="",L18="",O18="",P18=""),"Champ obligatoire manquant",IF(OR(AND(N18&lt;&gt;"",N18&gt;O18),O18&gt;P18,AND(Q18&lt;&gt;"",Q18&lt;P18),AND(R18&lt;&gt;"",R18&lt;P18),AND(S18&lt;&gt;"",S18&lt;R18),AND(S18&lt;&gt;"",R18=""),AND(T18&lt;&gt;"",T18&lt;O18),AND(U18&lt;&gt;"",U18&lt;O18)),"Chronologie incohérente",IF(AND(OR(L18="Résolu",L18="Clos"),R18=""),"Date de résolution manquante",IF(AND(L18="Clos",S18=""),"Date de clôture manquante",IF(AND(K18="Oui",AC18=""),"Classification DORA manquante","OK"))))))</f>
        <v>OK</v>
      </c>
      <c r="AO18" s="35" t="n">
        <f aca="false">IF($B18="","",IF(AND(C18="Incident",L18&lt;&gt;"Annulé"),1,0))</f>
        <v>0</v>
      </c>
      <c r="AP18" s="35" t="n">
        <f aca="false">IF($B18="","",IF(AND(C18="Quasi-incident",L18&lt;&gt;"Annulé"),1,0))</f>
        <v>1</v>
      </c>
      <c r="AQ18" s="35" t="n">
        <f aca="false">IF($B18="","",AO18+AP18)</f>
        <v>1</v>
      </c>
      <c r="AR18" s="36" t="n">
        <f aca="false">IF(OR($B18="",J18=""),"",IFERROR(VALUE(LEFT(J18,1)),""))</f>
        <v>3</v>
      </c>
      <c r="AS18" s="35" t="str">
        <f aca="false">IF(OR(AO18&lt;&gt;1,G18=""),"",IFERROR(IF(INDEX(L_SrcInterne,MATCH(G18,L_Sources,0))="Oui",1,0),""))</f>
        <v/>
      </c>
      <c r="AT18" s="37" t="str">
        <f aca="false">IF(AO18&lt;&gt;1,"",IFERROR(ROUND(IF(OR(N18="",O18=""),"",IF(O18&lt;N18,"",ROUND(((NETWORKDAYS(N18,O18,JoursFeries)-1)*(HFer-HOuv)+IF(NETWORKDAYS(O18,O18,JoursFeries),MEDIAN(MOD(O18,1),HFer,HOuv),HFer)-IF(NETWORKDAYS(N18,N18,JoursFeries),MEDIAN(MOD(N18,1),HFer,HOuv),HOuv))*24,4)))/HJour,4),""))</f>
        <v/>
      </c>
      <c r="AU18" s="37" t="str">
        <f aca="false">IF(AO18&lt;&gt;1,"",IF(OR(O18="",P18=""),"",IF(P18&lt;O18,"",ROUND(((NETWORKDAYS(O18,P18,JoursFeries)-1)*(HFer-HOuv)+IF(NETWORKDAYS(P18,P18,JoursFeries),MEDIAN(MOD(P18,1),HFer,HOuv),HFer)-IF(NETWORKDAYS(O18,O18,JoursFeries),MEDIAN(MOD(O18,1),HFer,HOuv),HOuv))*24,4))))</f>
        <v/>
      </c>
      <c r="AV18" s="37" t="str">
        <f aca="false">IF(AO18&lt;&gt;1,"",IF(OR(P18="",Q18=""),"",IF(Q18&lt;P18,"",ROUND(((NETWORKDAYS(P18,Q18,JoursFeries)-1)*(HFer-HOuv)+IF(NETWORKDAYS(Q18,Q18,JoursFeries),MEDIAN(MOD(Q18,1),HFer,HOuv),HFer)-IF(NETWORKDAYS(P18,P18,JoursFeries),MEDIAN(MOD(P18,1),HFer,HOuv),HOuv))*24,4))))</f>
        <v/>
      </c>
      <c r="AW18" s="37" t="str">
        <f aca="false">IF(AO18&lt;&gt;1,"",IFERROR(ROUND(IF(OR(P18="",R18=""),"",IF(R18&lt;P18,"",ROUND(((NETWORKDAYS(P18,R18,JoursFeries)-1)*(HFer-HOuv)+IF(NETWORKDAYS(R18,R18,JoursFeries),MEDIAN(MOD(R18,1),HFer,HOuv),HFer)-IF(NETWORKDAYS(P18,P18,JoursFeries),MEDIAN(MOD(P18,1),HFer,HOuv),HOuv))*24,4)))/HJour,4),""))</f>
        <v/>
      </c>
      <c r="AX18" s="37" t="str">
        <f aca="false">IF(AO18&lt;&gt;1,"",IFERROR(ROUND(IF(OR(P18="",S18=""),"",IF(S18&lt;P18,"",ROUND(((NETWORKDAYS(P18,S18,JoursFeries)-1)*(HFer-HOuv)+IF(NETWORKDAYS(S18,S18,JoursFeries),MEDIAN(MOD(S18,1),HFer,HOuv),HFer)-IF(NETWORKDAYS(P18,P18,JoursFeries),MEDIAN(MOD(P18,1),HFer,HOuv),HOuv))*24,4)))/HJour,4),""))</f>
        <v/>
      </c>
      <c r="AY18" s="36" t="str">
        <f aca="false">IF(OR(AO18&lt;&gt;1,AR18=""),"",INDEX(SLA_PEC,AR18))</f>
        <v/>
      </c>
      <c r="AZ18" s="35" t="str">
        <f aca="false">IF(OR(AV18="",AY18=""),"",IF(AV18&lt;=AY18,1,0))</f>
        <v/>
      </c>
      <c r="BA18" s="36" t="str">
        <f aca="false">IF(OR(AO18&lt;&gt;1,AR18=""),"",INDEX(SLA_RES,AR18))</f>
        <v/>
      </c>
      <c r="BB18" s="35" t="str">
        <f aca="false">IF(OR(AW18="",BA18=""),"",IF(AW18&lt;=BA18,1,0))</f>
        <v/>
      </c>
      <c r="BC18" s="38" t="str">
        <f aca="false">IF(OR(BA18="",P18=""),"",WORKDAY(INT(P18),BA18,JoursFeries)+MOD(P18,1))</f>
        <v/>
      </c>
      <c r="BD18" s="39" t="str">
        <f aca="false">IF(AO18&lt;&gt;1,"",IF(OR(AB18&lt;&gt;"",AD18&lt;&gt;""),4,IF(U18&lt;&gt;"",3,IF(T18&lt;&gt;"",2,1))))</f>
        <v/>
      </c>
      <c r="BE18" s="39" t="str">
        <f aca="false">IF(OR(AO18&lt;&gt;1,AR18=""),"",INDEX(NIV_REQ,AR18))</f>
        <v/>
      </c>
      <c r="BF18" s="39" t="str">
        <f aca="false">IF(BE18="","",MAX(BE18,IF(OR(K18="Oui",Z18="Oui"),4,1)))</f>
        <v/>
      </c>
      <c r="BG18" s="35" t="str">
        <f aca="false">IF(OR(BF18="",BD18=""),"",IF(BD18&gt;=BF18,1,0))</f>
        <v/>
      </c>
      <c r="BH18" s="38" t="str">
        <f aca="false">IF(BE18="","",IF(BE18&lt;2,"",IF(BE18=2,IF(AND(T18="",U18=""),"",MIN(T18,U18)),IF(U18="","",U18))))</f>
        <v/>
      </c>
      <c r="BI18" s="37" t="str">
        <f aca="false">IF(BH18="","",IF(OR(O18="",BH18=""),"",IF(BH18&lt;O18,"",ROUND(((NETWORKDAYS(O18,BH18,JoursFeries)-1)*(HFer-HOuv)+IF(NETWORKDAYS(BH18,BH18,JoursFeries),MEDIAN(MOD(BH18,1),HFer,HOuv),HFer)-IF(NETWORKDAYS(O18,O18,JoursFeries),MEDIAN(MOD(O18,1),HFer,HOuv),HOuv))*24,4))))</f>
        <v/>
      </c>
      <c r="BJ18" s="35" t="str">
        <f aca="false">IF(OR(BI18="",AR18=""),"",IF(BI18&lt;=INDEX(DELAI_ESC,AR18),1,0))</f>
        <v/>
      </c>
      <c r="BK18" s="38" t="str">
        <f aca="false">IF(AO18&lt;&gt;1,"",IF(AND(T18="",U18=""),"",MIN(T18,U18)))</f>
        <v/>
      </c>
      <c r="BL18" s="37" t="str">
        <f aca="false">IF(OR(BK18="",R18=""),"",IFERROR(ROUND(IF(OR(BK18="",R18=""),"",IF(R18&lt;BK18,"",ROUND(((NETWORKDAYS(BK18,R18,JoursFeries)-1)*(HFer-HOuv)+IF(NETWORKDAYS(R18,R18,JoursFeries),MEDIAN(MOD(R18,1),HFer,HOuv),HFer)-IF(NETWORKDAYS(BK18,BK18,JoursFeries),MEDIAN(MOD(BK18,1),HFer,HOuv),HOuv))*24,4)))/HJour,4),""))</f>
        <v/>
      </c>
      <c r="BM18" s="35" t="str">
        <f aca="false">IF(OR(AO18&lt;&gt;1,R18=""),"",IF(BD18=1,1,0))</f>
        <v/>
      </c>
      <c r="BN18" s="35" t="str">
        <f aca="false">IF(AO18&lt;&gt;1,"",IF(W18="Oui",1,0))</f>
        <v/>
      </c>
      <c r="BO18" s="35" t="str">
        <f aca="false">IF(AO18&lt;&gt;1,"",IF(X18&lt;&gt;"",1,0))</f>
        <v/>
      </c>
      <c r="BP18" s="35" t="str">
        <f aca="false">IF(AO18&lt;&gt;1,"",IF(Y18="Oui",1,0))</f>
        <v/>
      </c>
      <c r="BQ18" s="35" t="str">
        <f aca="true">IF(OR(AO18&lt;&gt;1,Z18&lt;&gt;"Oui"),"",IF(AB18="",IF(AND(AA18&lt;&gt;"",NOW()&gt;AA18),0,""),IF(AA18="","",IF(AB18&lt;=AA18,1,0))))</f>
        <v/>
      </c>
      <c r="BR18" s="38" t="str">
        <f aca="false">IF(OR(AO18&lt;&gt;1,K18&lt;&gt;"Oui",O18=""),"",IF(AC18="",O18+DORA_H_DET/24,IF(AC18-O18&lt;=DORA_H_DET/24,MIN(AC18+DORA_H_CLA/24,O18+DORA_H_DET/24),AC18+DORA_H_CLA/24)))</f>
        <v/>
      </c>
      <c r="BS18" s="35" t="str">
        <f aca="true">IF(BR18="","",IF(AD18="",IF(NOW()&gt;BR18,0,""),IF(AD18&lt;=BR18,1,0)))</f>
        <v/>
      </c>
      <c r="BT18" s="35" t="str">
        <f aca="true">IF(OR(BR18="",AD18=""),"",IF(AE18="",IF(NOW()&gt;AD18+DORA_H_INT/24,0,""),IF(AE18&lt;=AD18+DORA_H_INT/24,1,0)))</f>
        <v/>
      </c>
      <c r="BU18" s="35" t="str">
        <f aca="true">IF(OR(BR18="",AE18=""),"",IF(AF18="",IF(NOW()&gt;EDATE(AE18,DORA_M_FIN)+1,0,""),IF(AF18&lt;=EDATE(AE18,DORA_M_FIN),1,0)))</f>
        <v/>
      </c>
      <c r="BV18" s="35" t="str">
        <f aca="false">IF(BR18="","",IF(COUNT(BS18:BU18)=0,"",MIN(BS18:BU18)))</f>
        <v/>
      </c>
      <c r="BW18" s="40" t="str">
        <f aca="false">IF(AQ18&lt;&gt;1,"",IF(AND(AG18="",AH18=""),"",N(AG18)-N(AH18)))</f>
        <v/>
      </c>
      <c r="BX18" s="35" t="str">
        <f aca="true">IF(OR(AQ18&lt;&gt;1,AI18&lt;&gt;"Oui",AJ18=""),"",IF(AK18="",IF(NOW()&gt;AJ18+1,0,""),IF(AK18&lt;=AJ18,1,0)))</f>
        <v/>
      </c>
    </row>
    <row r="19" customFormat="false" ht="15" hidden="false" customHeight="false" outlineLevel="0" collapsed="false">
      <c r="B19" s="29" t="s">
        <v>214</v>
      </c>
      <c r="C19" s="29" t="s">
        <v>178</v>
      </c>
      <c r="D19" s="29" t="s">
        <v>161</v>
      </c>
      <c r="E19" s="29" t="s">
        <v>162</v>
      </c>
      <c r="F19" s="29" t="s">
        <v>172</v>
      </c>
      <c r="G19" s="29" t="s">
        <v>173</v>
      </c>
      <c r="H19" s="29" t="s">
        <v>165</v>
      </c>
      <c r="I19" s="29" t="s">
        <v>186</v>
      </c>
      <c r="J19" s="29" t="s">
        <v>187</v>
      </c>
      <c r="K19" s="29" t="s">
        <v>168</v>
      </c>
      <c r="L19" s="29" t="s">
        <v>169</v>
      </c>
      <c r="M19" s="29" t="s">
        <v>165</v>
      </c>
      <c r="N19" s="30" t="n">
        <v>45981.1944444445</v>
      </c>
      <c r="O19" s="30" t="n">
        <v>45981.3888888889</v>
      </c>
      <c r="P19" s="30" t="n">
        <v>45981.3958333333</v>
      </c>
      <c r="Q19" s="30" t="n">
        <v>45981.5208333333</v>
      </c>
      <c r="R19" s="30" t="n">
        <v>45994.6076388889</v>
      </c>
      <c r="S19" s="30" t="n">
        <v>46009.4895833333</v>
      </c>
      <c r="T19" s="30"/>
      <c r="U19" s="30"/>
      <c r="V19" s="31" t="n">
        <v>0</v>
      </c>
      <c r="W19" s="29" t="s">
        <v>168</v>
      </c>
      <c r="X19" s="29"/>
      <c r="Y19" s="29" t="s">
        <v>189</v>
      </c>
      <c r="Z19" s="29" t="s">
        <v>168</v>
      </c>
      <c r="AA19" s="30"/>
      <c r="AB19" s="30"/>
      <c r="AC19" s="30"/>
      <c r="AD19" s="30"/>
      <c r="AE19" s="30"/>
      <c r="AF19" s="32"/>
      <c r="AG19" s="33"/>
      <c r="AH19" s="33"/>
      <c r="AI19" s="29" t="s">
        <v>168</v>
      </c>
      <c r="AJ19" s="32"/>
      <c r="AK19" s="32"/>
      <c r="AL19" s="29"/>
      <c r="AN19" s="34" t="str">
        <f aca="false">IF($B19="","",IF(OR(C19="",D19="",E19="",G19="",I19="",J19="",L19="",O19="",P19=""),"Champ obligatoire manquant",IF(OR(AND(N19&lt;&gt;"",N19&gt;O19),O19&gt;P19,AND(Q19&lt;&gt;"",Q19&lt;P19),AND(R19&lt;&gt;"",R19&lt;P19),AND(S19&lt;&gt;"",S19&lt;R19),AND(S19&lt;&gt;"",R19=""),AND(T19&lt;&gt;"",T19&lt;O19),AND(U19&lt;&gt;"",U19&lt;O19)),"Chronologie incohérente",IF(AND(OR(L19="Résolu",L19="Clos"),R19=""),"Date de résolution manquante",IF(AND(L19="Clos",S19=""),"Date de clôture manquante",IF(AND(K19="Oui",AC19=""),"Classification DORA manquante","OK"))))))</f>
        <v>OK</v>
      </c>
      <c r="AO19" s="35" t="n">
        <f aca="false">IF($B19="","",IF(AND(C19="Incident",L19&lt;&gt;"Annulé"),1,0))</f>
        <v>1</v>
      </c>
      <c r="AP19" s="35" t="n">
        <f aca="false">IF($B19="","",IF(AND(C19="Quasi-incident",L19&lt;&gt;"Annulé"),1,0))</f>
        <v>0</v>
      </c>
      <c r="AQ19" s="35" t="n">
        <f aca="false">IF($B19="","",AO19+AP19)</f>
        <v>1</v>
      </c>
      <c r="AR19" s="36" t="n">
        <f aca="false">IF(OR($B19="",J19=""),"",IFERROR(VALUE(LEFT(J19,1)),""))</f>
        <v>4</v>
      </c>
      <c r="AS19" s="35" t="n">
        <f aca="false">IF(OR(AO19&lt;&gt;1,G19=""),"",IFERROR(IF(INDEX(L_SrcInterne,MATCH(G19,L_Sources,0))="Oui",1,0),""))</f>
        <v>0</v>
      </c>
      <c r="AT19" s="37" t="n">
        <f aca="false">IF(AO19&lt;&gt;1,"",IFERROR(ROUND(IF(OR(N19="",O19=""),"",IF(O19&lt;N19,"",ROUND(((NETWORKDAYS(N19,O19,JoursFeries)-1)*(HFer-HOuv)+IF(NETWORKDAYS(O19,O19,JoursFeries),MEDIAN(MOD(O19,1),HFer,HOuv),HFer)-IF(NETWORKDAYS(N19,N19,JoursFeries),MEDIAN(MOD(N19,1),HFer,HOuv),HOuv))*24,4)))/HJour,4),""))</f>
        <v>0.037</v>
      </c>
      <c r="AU19" s="37" t="n">
        <f aca="false">IF(AO19&lt;&gt;1,"",IF(OR(O19="",P19=""),"",IF(P19&lt;O19,"",ROUND(((NETWORKDAYS(O19,P19,JoursFeries)-1)*(HFer-HOuv)+IF(NETWORKDAYS(P19,P19,JoursFeries),MEDIAN(MOD(P19,1),HFer,HOuv),HFer)-IF(NETWORKDAYS(O19,O19,JoursFeries),MEDIAN(MOD(O19,1),HFer,HOuv),HOuv))*24,4))))</f>
        <v>0.1667</v>
      </c>
      <c r="AV19" s="37" t="n">
        <f aca="false">IF(AO19&lt;&gt;1,"",IF(OR(P19="",Q19=""),"",IF(Q19&lt;P19,"",ROUND(((NETWORKDAYS(P19,Q19,JoursFeries)-1)*(HFer-HOuv)+IF(NETWORKDAYS(Q19,Q19,JoursFeries),MEDIAN(MOD(Q19,1),HFer,HOuv),HFer)-IF(NETWORKDAYS(P19,P19,JoursFeries),MEDIAN(MOD(P19,1),HFer,HOuv),HOuv))*24,4))))</f>
        <v>3</v>
      </c>
      <c r="AW19" s="37" t="n">
        <f aca="false">IF(AO19&lt;&gt;1,"",IFERROR(ROUND(IF(OR(P19="",R19=""),"",IF(R19&lt;P19,"",ROUND(((NETWORKDAYS(P19,R19,JoursFeries)-1)*(HFer-HOuv)+IF(NETWORKDAYS(R19,R19,JoursFeries),MEDIAN(MOD(R19,1),HFer,HOuv),HFer)-IF(NETWORKDAYS(P19,P19,JoursFeries),MEDIAN(MOD(P19,1),HFer,HOuv),HOuv))*24,4)))/HJour,4),""))</f>
        <v>9.5648</v>
      </c>
      <c r="AX19" s="37" t="n">
        <f aca="false">IF(AO19&lt;&gt;1,"",IFERROR(ROUND(IF(OR(P19="",S19=""),"",IF(S19&lt;P19,"",ROUND(((NETWORKDAYS(P19,S19,JoursFeries)-1)*(HFer-HOuv)+IF(NETWORKDAYS(S19,S19,JoursFeries),MEDIAN(MOD(S19,1),HFer,HOuv),HFer)-IF(NETWORKDAYS(P19,P19,JoursFeries),MEDIAN(MOD(P19,1),HFer,HOuv),HOuv))*24,4)))/HJour,4),""))</f>
        <v>20.25</v>
      </c>
      <c r="AY19" s="36" t="n">
        <f aca="false">IF(OR(AO19&lt;&gt;1,AR19=""),"",INDEX(SLA_PEC,AR19))</f>
        <v>18</v>
      </c>
      <c r="AZ19" s="35" t="n">
        <f aca="false">IF(OR(AV19="",AY19=""),"",IF(AV19&lt;=AY19,1,0))</f>
        <v>1</v>
      </c>
      <c r="BA19" s="36" t="n">
        <f aca="false">IF(OR(AO19&lt;&gt;1,AR19=""),"",INDEX(SLA_RES,AR19))</f>
        <v>20</v>
      </c>
      <c r="BB19" s="35" t="n">
        <f aca="false">IF(OR(AW19="",BA19=""),"",IF(AW19&lt;=BA19,1,0))</f>
        <v>1</v>
      </c>
      <c r="BC19" s="38" t="n">
        <f aca="false">IF(OR(BA19="",P19=""),"",WORKDAY(INT(P19),BA19,JoursFeries)+MOD(P19,1))</f>
        <v>46009.3958333333</v>
      </c>
      <c r="BD19" s="39" t="n">
        <f aca="false">IF(AO19&lt;&gt;1,"",IF(OR(AB19&lt;&gt;"",AD19&lt;&gt;""),4,IF(U19&lt;&gt;"",3,IF(T19&lt;&gt;"",2,1))))</f>
        <v>1</v>
      </c>
      <c r="BE19" s="39" t="n">
        <f aca="false">IF(OR(AO19&lt;&gt;1,AR19=""),"",INDEX(NIV_REQ,AR19))</f>
        <v>1</v>
      </c>
      <c r="BF19" s="39" t="n">
        <f aca="false">IF(BE19="","",MAX(BE19,IF(OR(K19="Oui",Z19="Oui"),4,1)))</f>
        <v>1</v>
      </c>
      <c r="BG19" s="35" t="n">
        <f aca="false">IF(OR(BF19="",BD19=""),"",IF(BD19&gt;=BF19,1,0))</f>
        <v>1</v>
      </c>
      <c r="BH19" s="38" t="str">
        <f aca="false">IF(BE19="","",IF(BE19&lt;2,"",IF(BE19=2,IF(AND(T19="",U19=""),"",MIN(T19,U19)),IF(U19="","",U19))))</f>
        <v/>
      </c>
      <c r="BI19" s="37" t="str">
        <f aca="false">IF(BH19="","",IF(OR(O19="",BH19=""),"",IF(BH19&lt;O19,"",ROUND(((NETWORKDAYS(O19,BH19,JoursFeries)-1)*(HFer-HOuv)+IF(NETWORKDAYS(BH19,BH19,JoursFeries),MEDIAN(MOD(BH19,1),HFer,HOuv),HFer)-IF(NETWORKDAYS(O19,O19,JoursFeries),MEDIAN(MOD(O19,1),HFer,HOuv),HOuv))*24,4))))</f>
        <v/>
      </c>
      <c r="BJ19" s="35" t="str">
        <f aca="false">IF(OR(BI19="",AR19=""),"",IF(BI19&lt;=INDEX(DELAI_ESC,AR19),1,0))</f>
        <v/>
      </c>
      <c r="BK19" s="38" t="str">
        <f aca="false">IF(AO19&lt;&gt;1,"",IF(AND(T19="",U19=""),"",MIN(T19,U19)))</f>
        <v/>
      </c>
      <c r="BL19" s="37" t="str">
        <f aca="false">IF(OR(BK19="",R19=""),"",IFERROR(ROUND(IF(OR(BK19="",R19=""),"",IF(R19&lt;BK19,"",ROUND(((NETWORKDAYS(BK19,R19,JoursFeries)-1)*(HFer-HOuv)+IF(NETWORKDAYS(R19,R19,JoursFeries),MEDIAN(MOD(R19,1),HFer,HOuv),HFer)-IF(NETWORKDAYS(BK19,BK19,JoursFeries),MEDIAN(MOD(BK19,1),HFer,HOuv),HOuv))*24,4)))/HJour,4),""))</f>
        <v/>
      </c>
      <c r="BM19" s="35" t="n">
        <f aca="false">IF(OR(AO19&lt;&gt;1,R19=""),"",IF(BD19=1,1,0))</f>
        <v>1</v>
      </c>
      <c r="BN19" s="35" t="n">
        <f aca="false">IF(AO19&lt;&gt;1,"",IF(W19="Oui",1,0))</f>
        <v>0</v>
      </c>
      <c r="BO19" s="35" t="n">
        <f aca="false">IF(AO19&lt;&gt;1,"",IF(X19&lt;&gt;"",1,0))</f>
        <v>0</v>
      </c>
      <c r="BP19" s="35" t="n">
        <f aca="false">IF(AO19&lt;&gt;1,"",IF(Y19="Oui",1,0))</f>
        <v>1</v>
      </c>
      <c r="BQ19" s="35" t="str">
        <f aca="true">IF(OR(AO19&lt;&gt;1,Z19&lt;&gt;"Oui"),"",IF(AB19="",IF(AND(AA19&lt;&gt;"",NOW()&gt;AA19),0,""),IF(AA19="","",IF(AB19&lt;=AA19,1,0))))</f>
        <v/>
      </c>
      <c r="BR19" s="38" t="str">
        <f aca="false">IF(OR(AO19&lt;&gt;1,K19&lt;&gt;"Oui",O19=""),"",IF(AC19="",O19+DORA_H_DET/24,IF(AC19-O19&lt;=DORA_H_DET/24,MIN(AC19+DORA_H_CLA/24,O19+DORA_H_DET/24),AC19+DORA_H_CLA/24)))</f>
        <v/>
      </c>
      <c r="BS19" s="35" t="str">
        <f aca="true">IF(BR19="","",IF(AD19="",IF(NOW()&gt;BR19,0,""),IF(AD19&lt;=BR19,1,0)))</f>
        <v/>
      </c>
      <c r="BT19" s="35" t="str">
        <f aca="true">IF(OR(BR19="",AD19=""),"",IF(AE19="",IF(NOW()&gt;AD19+DORA_H_INT/24,0,""),IF(AE19&lt;=AD19+DORA_H_INT/24,1,0)))</f>
        <v/>
      </c>
      <c r="BU19" s="35" t="str">
        <f aca="true">IF(OR(BR19="",AE19=""),"",IF(AF19="",IF(NOW()&gt;EDATE(AE19,DORA_M_FIN)+1,0,""),IF(AF19&lt;=EDATE(AE19,DORA_M_FIN),1,0)))</f>
        <v/>
      </c>
      <c r="BV19" s="35" t="str">
        <f aca="false">IF(BR19="","",IF(COUNT(BS19:BU19)=0,"",MIN(BS19:BU19)))</f>
        <v/>
      </c>
      <c r="BW19" s="40" t="str">
        <f aca="false">IF(AQ19&lt;&gt;1,"",IF(AND(AG19="",AH19=""),"",N(AG19)-N(AH19)))</f>
        <v/>
      </c>
      <c r="BX19" s="35" t="str">
        <f aca="true">IF(OR(AQ19&lt;&gt;1,AI19&lt;&gt;"Oui",AJ19=""),"",IF(AK19="",IF(NOW()&gt;AJ19+1,0,""),IF(AK19&lt;=AJ19,1,0)))</f>
        <v/>
      </c>
    </row>
    <row r="20" customFormat="false" ht="15" hidden="false" customHeight="false" outlineLevel="0" collapsed="false">
      <c r="B20" s="29" t="s">
        <v>215</v>
      </c>
      <c r="C20" s="29" t="s">
        <v>160</v>
      </c>
      <c r="D20" s="29" t="s">
        <v>198</v>
      </c>
      <c r="E20" s="29" t="s">
        <v>192</v>
      </c>
      <c r="F20" s="29" t="s">
        <v>172</v>
      </c>
      <c r="G20" s="29" t="s">
        <v>185</v>
      </c>
      <c r="H20" s="29"/>
      <c r="I20" s="29" t="s">
        <v>193</v>
      </c>
      <c r="J20" s="29" t="s">
        <v>167</v>
      </c>
      <c r="K20" s="29" t="s">
        <v>168</v>
      </c>
      <c r="L20" s="29" t="s">
        <v>169</v>
      </c>
      <c r="M20" s="29" t="s">
        <v>182</v>
      </c>
      <c r="N20" s="30" t="n">
        <v>45980.625</v>
      </c>
      <c r="O20" s="30" t="n">
        <v>45981.625</v>
      </c>
      <c r="P20" s="30" t="n">
        <v>45981.7083333333</v>
      </c>
      <c r="Q20" s="30" t="n">
        <v>45982.4027777778</v>
      </c>
      <c r="R20" s="30" t="n">
        <v>45988.5451388889</v>
      </c>
      <c r="S20" s="30" t="n">
        <v>45996.4305555556</v>
      </c>
      <c r="T20" s="30"/>
      <c r="U20" s="30"/>
      <c r="V20" s="31" t="n">
        <v>0</v>
      </c>
      <c r="W20" s="29" t="s">
        <v>168</v>
      </c>
      <c r="X20" s="29"/>
      <c r="Y20" s="29" t="s">
        <v>168</v>
      </c>
      <c r="Z20" s="29" t="s">
        <v>168</v>
      </c>
      <c r="AA20" s="30"/>
      <c r="AB20" s="30"/>
      <c r="AC20" s="30"/>
      <c r="AD20" s="30"/>
      <c r="AE20" s="30"/>
      <c r="AF20" s="32"/>
      <c r="AG20" s="33"/>
      <c r="AH20" s="33"/>
      <c r="AI20" s="29" t="s">
        <v>168</v>
      </c>
      <c r="AJ20" s="32"/>
      <c r="AK20" s="32"/>
      <c r="AL20" s="29"/>
      <c r="AN20" s="34" t="str">
        <f aca="false">IF($B20="","",IF(OR(C20="",D20="",E20="",G20="",I20="",J20="",L20="",O20="",P20=""),"Champ obligatoire manquant",IF(OR(AND(N20&lt;&gt;"",N20&gt;O20),O20&gt;P20,AND(Q20&lt;&gt;"",Q20&lt;P20),AND(R20&lt;&gt;"",R20&lt;P20),AND(S20&lt;&gt;"",S20&lt;R20),AND(S20&lt;&gt;"",R20=""),AND(T20&lt;&gt;"",T20&lt;O20),AND(U20&lt;&gt;"",U20&lt;O20)),"Chronologie incohérente",IF(AND(OR(L20="Résolu",L20="Clos"),R20=""),"Date de résolution manquante",IF(AND(L20="Clos",S20=""),"Date de clôture manquante",IF(AND(K20="Oui",AC20=""),"Classification DORA manquante","OK"))))))</f>
        <v>OK</v>
      </c>
      <c r="AO20" s="35" t="n">
        <f aca="false">IF($B20="","",IF(AND(C20="Incident",L20&lt;&gt;"Annulé"),1,0))</f>
        <v>0</v>
      </c>
      <c r="AP20" s="35" t="n">
        <f aca="false">IF($B20="","",IF(AND(C20="Quasi-incident",L20&lt;&gt;"Annulé"),1,0))</f>
        <v>1</v>
      </c>
      <c r="AQ20" s="35" t="n">
        <f aca="false">IF($B20="","",AO20+AP20)</f>
        <v>1</v>
      </c>
      <c r="AR20" s="36" t="n">
        <f aca="false">IF(OR($B20="",J20=""),"",IFERROR(VALUE(LEFT(J20,1)),""))</f>
        <v>3</v>
      </c>
      <c r="AS20" s="35" t="str">
        <f aca="false">IF(OR(AO20&lt;&gt;1,G20=""),"",IFERROR(IF(INDEX(L_SrcInterne,MATCH(G20,L_Sources,0))="Oui",1,0),""))</f>
        <v/>
      </c>
      <c r="AT20" s="37" t="str">
        <f aca="false">IF(AO20&lt;&gt;1,"",IFERROR(ROUND(IF(OR(N20="",O20=""),"",IF(O20&lt;N20,"",ROUND(((NETWORKDAYS(N20,O20,JoursFeries)-1)*(HFer-HOuv)+IF(NETWORKDAYS(O20,O20,JoursFeries),MEDIAN(MOD(O20,1),HFer,HOuv),HFer)-IF(NETWORKDAYS(N20,N20,JoursFeries),MEDIAN(MOD(N20,1),HFer,HOuv),HOuv))*24,4)))/HJour,4),""))</f>
        <v/>
      </c>
      <c r="AU20" s="37" t="str">
        <f aca="false">IF(AO20&lt;&gt;1,"",IF(OR(O20="",P20=""),"",IF(P20&lt;O20,"",ROUND(((NETWORKDAYS(O20,P20,JoursFeries)-1)*(HFer-HOuv)+IF(NETWORKDAYS(P20,P20,JoursFeries),MEDIAN(MOD(P20,1),HFer,HOuv),HFer)-IF(NETWORKDAYS(O20,O20,JoursFeries),MEDIAN(MOD(O20,1),HFer,HOuv),HOuv))*24,4))))</f>
        <v/>
      </c>
      <c r="AV20" s="37" t="str">
        <f aca="false">IF(AO20&lt;&gt;1,"",IF(OR(P20="",Q20=""),"",IF(Q20&lt;P20,"",ROUND(((NETWORKDAYS(P20,Q20,JoursFeries)-1)*(HFer-HOuv)+IF(NETWORKDAYS(Q20,Q20,JoursFeries),MEDIAN(MOD(Q20,1),HFer,HOuv),HFer)-IF(NETWORKDAYS(P20,P20,JoursFeries),MEDIAN(MOD(P20,1),HFer,HOuv),HOuv))*24,4))))</f>
        <v/>
      </c>
      <c r="AW20" s="37" t="str">
        <f aca="false">IF(AO20&lt;&gt;1,"",IFERROR(ROUND(IF(OR(P20="",R20=""),"",IF(R20&lt;P20,"",ROUND(((NETWORKDAYS(P20,R20,JoursFeries)-1)*(HFer-HOuv)+IF(NETWORKDAYS(R20,R20,JoursFeries),MEDIAN(MOD(R20,1),HFer,HOuv),HFer)-IF(NETWORKDAYS(P20,P20,JoursFeries),MEDIAN(MOD(P20,1),HFer,HOuv),HOuv))*24,4)))/HJour,4),""))</f>
        <v/>
      </c>
      <c r="AX20" s="37" t="str">
        <f aca="false">IF(AO20&lt;&gt;1,"",IFERROR(ROUND(IF(OR(P20="",S20=""),"",IF(S20&lt;P20,"",ROUND(((NETWORKDAYS(P20,S20,JoursFeries)-1)*(HFer-HOuv)+IF(NETWORKDAYS(S20,S20,JoursFeries),MEDIAN(MOD(S20,1),HFer,HOuv),HFer)-IF(NETWORKDAYS(P20,P20,JoursFeries),MEDIAN(MOD(P20,1),HFer,HOuv),HOuv))*24,4)))/HJour,4),""))</f>
        <v/>
      </c>
      <c r="AY20" s="36" t="str">
        <f aca="false">IF(OR(AO20&lt;&gt;1,AR20=""),"",INDEX(SLA_PEC,AR20))</f>
        <v/>
      </c>
      <c r="AZ20" s="35" t="str">
        <f aca="false">IF(OR(AV20="",AY20=""),"",IF(AV20&lt;=AY20,1,0))</f>
        <v/>
      </c>
      <c r="BA20" s="36" t="str">
        <f aca="false">IF(OR(AO20&lt;&gt;1,AR20=""),"",INDEX(SLA_RES,AR20))</f>
        <v/>
      </c>
      <c r="BB20" s="35" t="str">
        <f aca="false">IF(OR(AW20="",BA20=""),"",IF(AW20&lt;=BA20,1,0))</f>
        <v/>
      </c>
      <c r="BC20" s="38" t="str">
        <f aca="false">IF(OR(BA20="",P20=""),"",WORKDAY(INT(P20),BA20,JoursFeries)+MOD(P20,1))</f>
        <v/>
      </c>
      <c r="BD20" s="39" t="str">
        <f aca="false">IF(AO20&lt;&gt;1,"",IF(OR(AB20&lt;&gt;"",AD20&lt;&gt;""),4,IF(U20&lt;&gt;"",3,IF(T20&lt;&gt;"",2,1))))</f>
        <v/>
      </c>
      <c r="BE20" s="39" t="str">
        <f aca="false">IF(OR(AO20&lt;&gt;1,AR20=""),"",INDEX(NIV_REQ,AR20))</f>
        <v/>
      </c>
      <c r="BF20" s="39" t="str">
        <f aca="false">IF(BE20="","",MAX(BE20,IF(OR(K20="Oui",Z20="Oui"),4,1)))</f>
        <v/>
      </c>
      <c r="BG20" s="35" t="str">
        <f aca="false">IF(OR(BF20="",BD20=""),"",IF(BD20&gt;=BF20,1,0))</f>
        <v/>
      </c>
      <c r="BH20" s="38" t="str">
        <f aca="false">IF(BE20="","",IF(BE20&lt;2,"",IF(BE20=2,IF(AND(T20="",U20=""),"",MIN(T20,U20)),IF(U20="","",U20))))</f>
        <v/>
      </c>
      <c r="BI20" s="37" t="str">
        <f aca="false">IF(BH20="","",IF(OR(O20="",BH20=""),"",IF(BH20&lt;O20,"",ROUND(((NETWORKDAYS(O20,BH20,JoursFeries)-1)*(HFer-HOuv)+IF(NETWORKDAYS(BH20,BH20,JoursFeries),MEDIAN(MOD(BH20,1),HFer,HOuv),HFer)-IF(NETWORKDAYS(O20,O20,JoursFeries),MEDIAN(MOD(O20,1),HFer,HOuv),HOuv))*24,4))))</f>
        <v/>
      </c>
      <c r="BJ20" s="35" t="str">
        <f aca="false">IF(OR(BI20="",AR20=""),"",IF(BI20&lt;=INDEX(DELAI_ESC,AR20),1,0))</f>
        <v/>
      </c>
      <c r="BK20" s="38" t="str">
        <f aca="false">IF(AO20&lt;&gt;1,"",IF(AND(T20="",U20=""),"",MIN(T20,U20)))</f>
        <v/>
      </c>
      <c r="BL20" s="37" t="str">
        <f aca="false">IF(OR(BK20="",R20=""),"",IFERROR(ROUND(IF(OR(BK20="",R20=""),"",IF(R20&lt;BK20,"",ROUND(((NETWORKDAYS(BK20,R20,JoursFeries)-1)*(HFer-HOuv)+IF(NETWORKDAYS(R20,R20,JoursFeries),MEDIAN(MOD(R20,1),HFer,HOuv),HFer)-IF(NETWORKDAYS(BK20,BK20,JoursFeries),MEDIAN(MOD(BK20,1),HFer,HOuv),HOuv))*24,4)))/HJour,4),""))</f>
        <v/>
      </c>
      <c r="BM20" s="35" t="str">
        <f aca="false">IF(OR(AO20&lt;&gt;1,R20=""),"",IF(BD20=1,1,0))</f>
        <v/>
      </c>
      <c r="BN20" s="35" t="str">
        <f aca="false">IF(AO20&lt;&gt;1,"",IF(W20="Oui",1,0))</f>
        <v/>
      </c>
      <c r="BO20" s="35" t="str">
        <f aca="false">IF(AO20&lt;&gt;1,"",IF(X20&lt;&gt;"",1,0))</f>
        <v/>
      </c>
      <c r="BP20" s="35" t="str">
        <f aca="false">IF(AO20&lt;&gt;1,"",IF(Y20="Oui",1,0))</f>
        <v/>
      </c>
      <c r="BQ20" s="35" t="str">
        <f aca="true">IF(OR(AO20&lt;&gt;1,Z20&lt;&gt;"Oui"),"",IF(AB20="",IF(AND(AA20&lt;&gt;"",NOW()&gt;AA20),0,""),IF(AA20="","",IF(AB20&lt;=AA20,1,0))))</f>
        <v/>
      </c>
      <c r="BR20" s="38" t="str">
        <f aca="false">IF(OR(AO20&lt;&gt;1,K20&lt;&gt;"Oui",O20=""),"",IF(AC20="",O20+DORA_H_DET/24,IF(AC20-O20&lt;=DORA_H_DET/24,MIN(AC20+DORA_H_CLA/24,O20+DORA_H_DET/24),AC20+DORA_H_CLA/24)))</f>
        <v/>
      </c>
      <c r="BS20" s="35" t="str">
        <f aca="true">IF(BR20="","",IF(AD20="",IF(NOW()&gt;BR20,0,""),IF(AD20&lt;=BR20,1,0)))</f>
        <v/>
      </c>
      <c r="BT20" s="35" t="str">
        <f aca="true">IF(OR(BR20="",AD20=""),"",IF(AE20="",IF(NOW()&gt;AD20+DORA_H_INT/24,0,""),IF(AE20&lt;=AD20+DORA_H_INT/24,1,0)))</f>
        <v/>
      </c>
      <c r="BU20" s="35" t="str">
        <f aca="true">IF(OR(BR20="",AE20=""),"",IF(AF20="",IF(NOW()&gt;EDATE(AE20,DORA_M_FIN)+1,0,""),IF(AF20&lt;=EDATE(AE20,DORA_M_FIN),1,0)))</f>
        <v/>
      </c>
      <c r="BV20" s="35" t="str">
        <f aca="false">IF(BR20="","",IF(COUNT(BS20:BU20)=0,"",MIN(BS20:BU20)))</f>
        <v/>
      </c>
      <c r="BW20" s="40" t="str">
        <f aca="false">IF(AQ20&lt;&gt;1,"",IF(AND(AG20="",AH20=""),"",N(AG20)-N(AH20)))</f>
        <v/>
      </c>
      <c r="BX20" s="35" t="str">
        <f aca="true">IF(OR(AQ20&lt;&gt;1,AI20&lt;&gt;"Oui",AJ20=""),"",IF(AK20="",IF(NOW()&gt;AJ20+1,0,""),IF(AK20&lt;=AJ20,1,0)))</f>
        <v/>
      </c>
    </row>
    <row r="21" customFormat="false" ht="15" hidden="false" customHeight="false" outlineLevel="0" collapsed="false">
      <c r="B21" s="29" t="s">
        <v>216</v>
      </c>
      <c r="C21" s="29" t="s">
        <v>160</v>
      </c>
      <c r="D21" s="29" t="s">
        <v>191</v>
      </c>
      <c r="E21" s="29" t="s">
        <v>199</v>
      </c>
      <c r="F21" s="29" t="s">
        <v>172</v>
      </c>
      <c r="G21" s="29" t="s">
        <v>164</v>
      </c>
      <c r="H21" s="29"/>
      <c r="I21" s="29" t="s">
        <v>209</v>
      </c>
      <c r="J21" s="29" t="s">
        <v>167</v>
      </c>
      <c r="K21" s="29" t="s">
        <v>168</v>
      </c>
      <c r="L21" s="29" t="s">
        <v>169</v>
      </c>
      <c r="M21" s="29" t="s">
        <v>201</v>
      </c>
      <c r="N21" s="30" t="n">
        <v>45969.5277777778</v>
      </c>
      <c r="O21" s="30" t="n">
        <v>45985.5277777778</v>
      </c>
      <c r="P21" s="30" t="n">
        <v>45985.5902777778</v>
      </c>
      <c r="Q21" s="30" t="n">
        <v>45985.6701388889</v>
      </c>
      <c r="R21" s="30" t="n">
        <v>45987.6076388889</v>
      </c>
      <c r="S21" s="30" t="n">
        <v>45994.4201388889</v>
      </c>
      <c r="T21" s="30"/>
      <c r="U21" s="30"/>
      <c r="V21" s="31" t="n">
        <v>0</v>
      </c>
      <c r="W21" s="29" t="s">
        <v>168</v>
      </c>
      <c r="X21" s="29"/>
      <c r="Y21" s="29" t="s">
        <v>168</v>
      </c>
      <c r="Z21" s="29" t="s">
        <v>168</v>
      </c>
      <c r="AA21" s="30"/>
      <c r="AB21" s="30"/>
      <c r="AC21" s="30"/>
      <c r="AD21" s="30"/>
      <c r="AE21" s="30"/>
      <c r="AF21" s="32"/>
      <c r="AG21" s="33"/>
      <c r="AH21" s="33"/>
      <c r="AI21" s="29" t="s">
        <v>189</v>
      </c>
      <c r="AJ21" s="32" t="n">
        <v>46015</v>
      </c>
      <c r="AK21" s="32" t="n">
        <v>46012</v>
      </c>
      <c r="AL21" s="29"/>
      <c r="AN21" s="34" t="str">
        <f aca="false">IF($B21="","",IF(OR(C21="",D21="",E21="",G21="",I21="",J21="",L21="",O21="",P21=""),"Champ obligatoire manquant",IF(OR(AND(N21&lt;&gt;"",N21&gt;O21),O21&gt;P21,AND(Q21&lt;&gt;"",Q21&lt;P21),AND(R21&lt;&gt;"",R21&lt;P21),AND(S21&lt;&gt;"",S21&lt;R21),AND(S21&lt;&gt;"",R21=""),AND(T21&lt;&gt;"",T21&lt;O21),AND(U21&lt;&gt;"",U21&lt;O21)),"Chronologie incohérente",IF(AND(OR(L21="Résolu",L21="Clos"),R21=""),"Date de résolution manquante",IF(AND(L21="Clos",S21=""),"Date de clôture manquante",IF(AND(K21="Oui",AC21=""),"Classification DORA manquante","OK"))))))</f>
        <v>OK</v>
      </c>
      <c r="AO21" s="35" t="n">
        <f aca="false">IF($B21="","",IF(AND(C21="Incident",L21&lt;&gt;"Annulé"),1,0))</f>
        <v>0</v>
      </c>
      <c r="AP21" s="35" t="n">
        <f aca="false">IF($B21="","",IF(AND(C21="Quasi-incident",L21&lt;&gt;"Annulé"),1,0))</f>
        <v>1</v>
      </c>
      <c r="AQ21" s="35" t="n">
        <f aca="false">IF($B21="","",AO21+AP21)</f>
        <v>1</v>
      </c>
      <c r="AR21" s="36" t="n">
        <f aca="false">IF(OR($B21="",J21=""),"",IFERROR(VALUE(LEFT(J21,1)),""))</f>
        <v>3</v>
      </c>
      <c r="AS21" s="35" t="str">
        <f aca="false">IF(OR(AO21&lt;&gt;1,G21=""),"",IFERROR(IF(INDEX(L_SrcInterne,MATCH(G21,L_Sources,0))="Oui",1,0),""))</f>
        <v/>
      </c>
      <c r="AT21" s="37" t="str">
        <f aca="false">IF(AO21&lt;&gt;1,"",IFERROR(ROUND(IF(OR(N21="",O21=""),"",IF(O21&lt;N21,"",ROUND(((NETWORKDAYS(N21,O21,JoursFeries)-1)*(HFer-HOuv)+IF(NETWORKDAYS(O21,O21,JoursFeries),MEDIAN(MOD(O21,1),HFer,HOuv),HFer)-IF(NETWORKDAYS(N21,N21,JoursFeries),MEDIAN(MOD(N21,1),HFer,HOuv),HOuv))*24,4)))/HJour,4),""))</f>
        <v/>
      </c>
      <c r="AU21" s="37" t="str">
        <f aca="false">IF(AO21&lt;&gt;1,"",IF(OR(O21="",P21=""),"",IF(P21&lt;O21,"",ROUND(((NETWORKDAYS(O21,P21,JoursFeries)-1)*(HFer-HOuv)+IF(NETWORKDAYS(P21,P21,JoursFeries),MEDIAN(MOD(P21,1),HFer,HOuv),HFer)-IF(NETWORKDAYS(O21,O21,JoursFeries),MEDIAN(MOD(O21,1),HFer,HOuv),HOuv))*24,4))))</f>
        <v/>
      </c>
      <c r="AV21" s="37" t="str">
        <f aca="false">IF(AO21&lt;&gt;1,"",IF(OR(P21="",Q21=""),"",IF(Q21&lt;P21,"",ROUND(((NETWORKDAYS(P21,Q21,JoursFeries)-1)*(HFer-HOuv)+IF(NETWORKDAYS(Q21,Q21,JoursFeries),MEDIAN(MOD(Q21,1),HFer,HOuv),HFer)-IF(NETWORKDAYS(P21,P21,JoursFeries),MEDIAN(MOD(P21,1),HFer,HOuv),HOuv))*24,4))))</f>
        <v/>
      </c>
      <c r="AW21" s="37" t="str">
        <f aca="false">IF(AO21&lt;&gt;1,"",IFERROR(ROUND(IF(OR(P21="",R21=""),"",IF(R21&lt;P21,"",ROUND(((NETWORKDAYS(P21,R21,JoursFeries)-1)*(HFer-HOuv)+IF(NETWORKDAYS(R21,R21,JoursFeries),MEDIAN(MOD(R21,1),HFer,HOuv),HFer)-IF(NETWORKDAYS(P21,P21,JoursFeries),MEDIAN(MOD(P21,1),HFer,HOuv),HOuv))*24,4)))/HJour,4),""))</f>
        <v/>
      </c>
      <c r="AX21" s="37" t="str">
        <f aca="false">IF(AO21&lt;&gt;1,"",IFERROR(ROUND(IF(OR(P21="",S21=""),"",IF(S21&lt;P21,"",ROUND(((NETWORKDAYS(P21,S21,JoursFeries)-1)*(HFer-HOuv)+IF(NETWORKDAYS(S21,S21,JoursFeries),MEDIAN(MOD(S21,1),HFer,HOuv),HFer)-IF(NETWORKDAYS(P21,P21,JoursFeries),MEDIAN(MOD(P21,1),HFer,HOuv),HOuv))*24,4)))/HJour,4),""))</f>
        <v/>
      </c>
      <c r="AY21" s="36" t="str">
        <f aca="false">IF(OR(AO21&lt;&gt;1,AR21=""),"",INDEX(SLA_PEC,AR21))</f>
        <v/>
      </c>
      <c r="AZ21" s="35" t="str">
        <f aca="false">IF(OR(AV21="",AY21=""),"",IF(AV21&lt;=AY21,1,0))</f>
        <v/>
      </c>
      <c r="BA21" s="36" t="str">
        <f aca="false">IF(OR(AO21&lt;&gt;1,AR21=""),"",INDEX(SLA_RES,AR21))</f>
        <v/>
      </c>
      <c r="BB21" s="35" t="str">
        <f aca="false">IF(OR(AW21="",BA21=""),"",IF(AW21&lt;=BA21,1,0))</f>
        <v/>
      </c>
      <c r="BC21" s="38" t="str">
        <f aca="false">IF(OR(BA21="",P21=""),"",WORKDAY(INT(P21),BA21,JoursFeries)+MOD(P21,1))</f>
        <v/>
      </c>
      <c r="BD21" s="39" t="str">
        <f aca="false">IF(AO21&lt;&gt;1,"",IF(OR(AB21&lt;&gt;"",AD21&lt;&gt;""),4,IF(U21&lt;&gt;"",3,IF(T21&lt;&gt;"",2,1))))</f>
        <v/>
      </c>
      <c r="BE21" s="39" t="str">
        <f aca="false">IF(OR(AO21&lt;&gt;1,AR21=""),"",INDEX(NIV_REQ,AR21))</f>
        <v/>
      </c>
      <c r="BF21" s="39" t="str">
        <f aca="false">IF(BE21="","",MAX(BE21,IF(OR(K21="Oui",Z21="Oui"),4,1)))</f>
        <v/>
      </c>
      <c r="BG21" s="35" t="str">
        <f aca="false">IF(OR(BF21="",BD21=""),"",IF(BD21&gt;=BF21,1,0))</f>
        <v/>
      </c>
      <c r="BH21" s="38" t="str">
        <f aca="false">IF(BE21="","",IF(BE21&lt;2,"",IF(BE21=2,IF(AND(T21="",U21=""),"",MIN(T21,U21)),IF(U21="","",U21))))</f>
        <v/>
      </c>
      <c r="BI21" s="37" t="str">
        <f aca="false">IF(BH21="","",IF(OR(O21="",BH21=""),"",IF(BH21&lt;O21,"",ROUND(((NETWORKDAYS(O21,BH21,JoursFeries)-1)*(HFer-HOuv)+IF(NETWORKDAYS(BH21,BH21,JoursFeries),MEDIAN(MOD(BH21,1),HFer,HOuv),HFer)-IF(NETWORKDAYS(O21,O21,JoursFeries),MEDIAN(MOD(O21,1),HFer,HOuv),HOuv))*24,4))))</f>
        <v/>
      </c>
      <c r="BJ21" s="35" t="str">
        <f aca="false">IF(OR(BI21="",AR21=""),"",IF(BI21&lt;=INDEX(DELAI_ESC,AR21),1,0))</f>
        <v/>
      </c>
      <c r="BK21" s="38" t="str">
        <f aca="false">IF(AO21&lt;&gt;1,"",IF(AND(T21="",U21=""),"",MIN(T21,U21)))</f>
        <v/>
      </c>
      <c r="BL21" s="37" t="str">
        <f aca="false">IF(OR(BK21="",R21=""),"",IFERROR(ROUND(IF(OR(BK21="",R21=""),"",IF(R21&lt;BK21,"",ROUND(((NETWORKDAYS(BK21,R21,JoursFeries)-1)*(HFer-HOuv)+IF(NETWORKDAYS(R21,R21,JoursFeries),MEDIAN(MOD(R21,1),HFer,HOuv),HFer)-IF(NETWORKDAYS(BK21,BK21,JoursFeries),MEDIAN(MOD(BK21,1),HFer,HOuv),HOuv))*24,4)))/HJour,4),""))</f>
        <v/>
      </c>
      <c r="BM21" s="35" t="str">
        <f aca="false">IF(OR(AO21&lt;&gt;1,R21=""),"",IF(BD21=1,1,0))</f>
        <v/>
      </c>
      <c r="BN21" s="35" t="str">
        <f aca="false">IF(AO21&lt;&gt;1,"",IF(W21="Oui",1,0))</f>
        <v/>
      </c>
      <c r="BO21" s="35" t="str">
        <f aca="false">IF(AO21&lt;&gt;1,"",IF(X21&lt;&gt;"",1,0))</f>
        <v/>
      </c>
      <c r="BP21" s="35" t="str">
        <f aca="false">IF(AO21&lt;&gt;1,"",IF(Y21="Oui",1,0))</f>
        <v/>
      </c>
      <c r="BQ21" s="35" t="str">
        <f aca="true">IF(OR(AO21&lt;&gt;1,Z21&lt;&gt;"Oui"),"",IF(AB21="",IF(AND(AA21&lt;&gt;"",NOW()&gt;AA21),0,""),IF(AA21="","",IF(AB21&lt;=AA21,1,0))))</f>
        <v/>
      </c>
      <c r="BR21" s="38" t="str">
        <f aca="false">IF(OR(AO21&lt;&gt;1,K21&lt;&gt;"Oui",O21=""),"",IF(AC21="",O21+DORA_H_DET/24,IF(AC21-O21&lt;=DORA_H_DET/24,MIN(AC21+DORA_H_CLA/24,O21+DORA_H_DET/24),AC21+DORA_H_CLA/24)))</f>
        <v/>
      </c>
      <c r="BS21" s="35" t="str">
        <f aca="true">IF(BR21="","",IF(AD21="",IF(NOW()&gt;BR21,0,""),IF(AD21&lt;=BR21,1,0)))</f>
        <v/>
      </c>
      <c r="BT21" s="35" t="str">
        <f aca="true">IF(OR(BR21="",AD21=""),"",IF(AE21="",IF(NOW()&gt;AD21+DORA_H_INT/24,0,""),IF(AE21&lt;=AD21+DORA_H_INT/24,1,0)))</f>
        <v/>
      </c>
      <c r="BU21" s="35" t="str">
        <f aca="true">IF(OR(BR21="",AE21=""),"",IF(AF21="",IF(NOW()&gt;EDATE(AE21,DORA_M_FIN)+1,0,""),IF(AF21&lt;=EDATE(AE21,DORA_M_FIN),1,0)))</f>
        <v/>
      </c>
      <c r="BV21" s="35" t="str">
        <f aca="false">IF(BR21="","",IF(COUNT(BS21:BU21)=0,"",MIN(BS21:BU21)))</f>
        <v/>
      </c>
      <c r="BW21" s="40" t="str">
        <f aca="false">IF(AQ21&lt;&gt;1,"",IF(AND(AG21="",AH21=""),"",N(AG21)-N(AH21)))</f>
        <v/>
      </c>
      <c r="BX21" s="35" t="n">
        <f aca="true">IF(OR(AQ21&lt;&gt;1,AI21&lt;&gt;"Oui",AJ21=""),"",IF(AK21="",IF(NOW()&gt;AJ21+1,0,""),IF(AK21&lt;=AJ21,1,0)))</f>
        <v>1</v>
      </c>
    </row>
    <row r="22" customFormat="false" ht="15" hidden="false" customHeight="false" outlineLevel="0" collapsed="false">
      <c r="B22" s="29" t="s">
        <v>217</v>
      </c>
      <c r="C22" s="29" t="s">
        <v>178</v>
      </c>
      <c r="D22" s="29" t="s">
        <v>184</v>
      </c>
      <c r="E22" s="29" t="s">
        <v>171</v>
      </c>
      <c r="F22" s="29" t="s">
        <v>172</v>
      </c>
      <c r="G22" s="29" t="s">
        <v>173</v>
      </c>
      <c r="H22" s="29" t="s">
        <v>174</v>
      </c>
      <c r="I22" s="29" t="s">
        <v>175</v>
      </c>
      <c r="J22" s="29" t="s">
        <v>187</v>
      </c>
      <c r="K22" s="29" t="s">
        <v>168</v>
      </c>
      <c r="L22" s="29" t="s">
        <v>169</v>
      </c>
      <c r="M22" s="29" t="s">
        <v>176</v>
      </c>
      <c r="N22" s="30" t="n">
        <v>45983.6319444445</v>
      </c>
      <c r="O22" s="30" t="n">
        <v>45985.6319444445</v>
      </c>
      <c r="P22" s="30" t="n">
        <v>45985.7152777778</v>
      </c>
      <c r="Q22" s="30" t="n">
        <v>45987.4826388889</v>
      </c>
      <c r="R22" s="30" t="n">
        <v>45993.7083333333</v>
      </c>
      <c r="S22" s="30" t="n">
        <v>46010.5243055556</v>
      </c>
      <c r="T22" s="30"/>
      <c r="U22" s="30"/>
      <c r="V22" s="31" t="n">
        <v>0</v>
      </c>
      <c r="W22" s="29" t="s">
        <v>168</v>
      </c>
      <c r="X22" s="29"/>
      <c r="Y22" s="29" t="s">
        <v>168</v>
      </c>
      <c r="Z22" s="29" t="s">
        <v>168</v>
      </c>
      <c r="AA22" s="30"/>
      <c r="AB22" s="30"/>
      <c r="AC22" s="30"/>
      <c r="AD22" s="30"/>
      <c r="AE22" s="30"/>
      <c r="AF22" s="32"/>
      <c r="AG22" s="33"/>
      <c r="AH22" s="33"/>
      <c r="AI22" s="29" t="s">
        <v>168</v>
      </c>
      <c r="AJ22" s="32"/>
      <c r="AK22" s="32"/>
      <c r="AL22" s="29"/>
      <c r="AN22" s="34" t="str">
        <f aca="false">IF($B22="","",IF(OR(C22="",D22="",E22="",G22="",I22="",J22="",L22="",O22="",P22=""),"Champ obligatoire manquant",IF(OR(AND(N22&lt;&gt;"",N22&gt;O22),O22&gt;P22,AND(Q22&lt;&gt;"",Q22&lt;P22),AND(R22&lt;&gt;"",R22&lt;P22),AND(S22&lt;&gt;"",S22&lt;R22),AND(S22&lt;&gt;"",R22=""),AND(T22&lt;&gt;"",T22&lt;O22),AND(U22&lt;&gt;"",U22&lt;O22)),"Chronologie incohérente",IF(AND(OR(L22="Résolu",L22="Clos"),R22=""),"Date de résolution manquante",IF(AND(L22="Clos",S22=""),"Date de clôture manquante",IF(AND(K22="Oui",AC22=""),"Classification DORA manquante","OK"))))))</f>
        <v>OK</v>
      </c>
      <c r="AO22" s="35" t="n">
        <f aca="false">IF($B22="","",IF(AND(C22="Incident",L22&lt;&gt;"Annulé"),1,0))</f>
        <v>1</v>
      </c>
      <c r="AP22" s="35" t="n">
        <f aca="false">IF($B22="","",IF(AND(C22="Quasi-incident",L22&lt;&gt;"Annulé"),1,0))</f>
        <v>0</v>
      </c>
      <c r="AQ22" s="35" t="n">
        <f aca="false">IF($B22="","",AO22+AP22)</f>
        <v>1</v>
      </c>
      <c r="AR22" s="36" t="n">
        <f aca="false">IF(OR($B22="",J22=""),"",IFERROR(VALUE(LEFT(J22,1)),""))</f>
        <v>4</v>
      </c>
      <c r="AS22" s="35" t="n">
        <f aca="false">IF(OR(AO22&lt;&gt;1,G22=""),"",IFERROR(IF(INDEX(L_SrcInterne,MATCH(G22,L_Sources,0))="Oui",1,0),""))</f>
        <v>0</v>
      </c>
      <c r="AT22" s="37" t="n">
        <f aca="false">IF(AO22&lt;&gt;1,"",IFERROR(ROUND(IF(OR(N22="",O22=""),"",IF(O22&lt;N22,"",ROUND(((NETWORKDAYS(N22,O22,JoursFeries)-1)*(HFer-HOuv)+IF(NETWORKDAYS(O22,O22,JoursFeries),MEDIAN(MOD(O22,1),HFer,HOuv),HFer)-IF(NETWORKDAYS(N22,N22,JoursFeries),MEDIAN(MOD(N22,1),HFer,HOuv),HOuv))*24,4)))/HJour,4),""))</f>
        <v>0.6852</v>
      </c>
      <c r="AU22" s="37" t="n">
        <f aca="false">IF(AO22&lt;&gt;1,"",IF(OR(O22="",P22=""),"",IF(P22&lt;O22,"",ROUND(((NETWORKDAYS(O22,P22,JoursFeries)-1)*(HFer-HOuv)+IF(NETWORKDAYS(P22,P22,JoursFeries),MEDIAN(MOD(P22,1),HFer,HOuv),HFer)-IF(NETWORKDAYS(O22,O22,JoursFeries),MEDIAN(MOD(O22,1),HFer,HOuv),HOuv))*24,4))))</f>
        <v>2</v>
      </c>
      <c r="AV22" s="37" t="n">
        <f aca="false">IF(AO22&lt;&gt;1,"",IF(OR(P22="",Q22=""),"",IF(Q22&lt;P22,"",ROUND(((NETWORKDAYS(P22,Q22,JoursFeries)-1)*(HFer-HOuv)+IF(NETWORKDAYS(Q22,Q22,JoursFeries),MEDIAN(MOD(Q22,1),HFer,HOuv),HFer)-IF(NETWORKDAYS(P22,P22,JoursFeries),MEDIAN(MOD(P22,1),HFer,HOuv),HOuv))*24,4))))</f>
        <v>12.4167</v>
      </c>
      <c r="AW22" s="37" t="n">
        <f aca="false">IF(AO22&lt;&gt;1,"",IFERROR(ROUND(IF(OR(P22="",R22=""),"",IF(R22&lt;P22,"",ROUND(((NETWORKDAYS(P22,R22,JoursFeries)-1)*(HFer-HOuv)+IF(NETWORKDAYS(R22,R22,JoursFeries),MEDIAN(MOD(R22,1),HFer,HOuv),HFer)-IF(NETWORKDAYS(P22,P22,JoursFeries),MEDIAN(MOD(P22,1),HFer,HOuv),HOuv))*24,4)))/HJour,4),""))</f>
        <v>5.9815</v>
      </c>
      <c r="AX22" s="37" t="n">
        <f aca="false">IF(AO22&lt;&gt;1,"",IFERROR(ROUND(IF(OR(P22="",S22=""),"",IF(S22&lt;P22,"",ROUND(((NETWORKDAYS(P22,S22,JoursFeries)-1)*(HFer-HOuv)+IF(NETWORKDAYS(S22,S22,JoursFeries),MEDIAN(MOD(S22,1),HFer,HOuv),HFer)-IF(NETWORKDAYS(P22,P22,JoursFeries),MEDIAN(MOD(P22,1),HFer,HOuv),HOuv))*24,4)))/HJour,4),""))</f>
        <v>18.4907</v>
      </c>
      <c r="AY22" s="36" t="n">
        <f aca="false">IF(OR(AO22&lt;&gt;1,AR22=""),"",INDEX(SLA_PEC,AR22))</f>
        <v>18</v>
      </c>
      <c r="AZ22" s="35" t="n">
        <f aca="false">IF(OR(AV22="",AY22=""),"",IF(AV22&lt;=AY22,1,0))</f>
        <v>1</v>
      </c>
      <c r="BA22" s="36" t="n">
        <f aca="false">IF(OR(AO22&lt;&gt;1,AR22=""),"",INDEX(SLA_RES,AR22))</f>
        <v>20</v>
      </c>
      <c r="BB22" s="35" t="n">
        <f aca="false">IF(OR(AW22="",BA22=""),"",IF(AW22&lt;=BA22,1,0))</f>
        <v>1</v>
      </c>
      <c r="BC22" s="38" t="n">
        <f aca="false">IF(OR(BA22="",P22=""),"",WORKDAY(INT(P22),BA22,JoursFeries)+MOD(P22,1))</f>
        <v>46013.7152777778</v>
      </c>
      <c r="BD22" s="39" t="n">
        <f aca="false">IF(AO22&lt;&gt;1,"",IF(OR(AB22&lt;&gt;"",AD22&lt;&gt;""),4,IF(U22&lt;&gt;"",3,IF(T22&lt;&gt;"",2,1))))</f>
        <v>1</v>
      </c>
      <c r="BE22" s="39" t="n">
        <f aca="false">IF(OR(AO22&lt;&gt;1,AR22=""),"",INDEX(NIV_REQ,AR22))</f>
        <v>1</v>
      </c>
      <c r="BF22" s="39" t="n">
        <f aca="false">IF(BE22="","",MAX(BE22,IF(OR(K22="Oui",Z22="Oui"),4,1)))</f>
        <v>1</v>
      </c>
      <c r="BG22" s="35" t="n">
        <f aca="false">IF(OR(BF22="",BD22=""),"",IF(BD22&gt;=BF22,1,0))</f>
        <v>1</v>
      </c>
      <c r="BH22" s="38" t="str">
        <f aca="false">IF(BE22="","",IF(BE22&lt;2,"",IF(BE22=2,IF(AND(T22="",U22=""),"",MIN(T22,U22)),IF(U22="","",U22))))</f>
        <v/>
      </c>
      <c r="BI22" s="37" t="str">
        <f aca="false">IF(BH22="","",IF(OR(O22="",BH22=""),"",IF(BH22&lt;O22,"",ROUND(((NETWORKDAYS(O22,BH22,JoursFeries)-1)*(HFer-HOuv)+IF(NETWORKDAYS(BH22,BH22,JoursFeries),MEDIAN(MOD(BH22,1),HFer,HOuv),HFer)-IF(NETWORKDAYS(O22,O22,JoursFeries),MEDIAN(MOD(O22,1),HFer,HOuv),HOuv))*24,4))))</f>
        <v/>
      </c>
      <c r="BJ22" s="35" t="str">
        <f aca="false">IF(OR(BI22="",AR22=""),"",IF(BI22&lt;=INDEX(DELAI_ESC,AR22),1,0))</f>
        <v/>
      </c>
      <c r="BK22" s="38" t="str">
        <f aca="false">IF(AO22&lt;&gt;1,"",IF(AND(T22="",U22=""),"",MIN(T22,U22)))</f>
        <v/>
      </c>
      <c r="BL22" s="37" t="str">
        <f aca="false">IF(OR(BK22="",R22=""),"",IFERROR(ROUND(IF(OR(BK22="",R22=""),"",IF(R22&lt;BK22,"",ROUND(((NETWORKDAYS(BK22,R22,JoursFeries)-1)*(HFer-HOuv)+IF(NETWORKDAYS(R22,R22,JoursFeries),MEDIAN(MOD(R22,1),HFer,HOuv),HFer)-IF(NETWORKDAYS(BK22,BK22,JoursFeries),MEDIAN(MOD(BK22,1),HFer,HOuv),HOuv))*24,4)))/HJour,4),""))</f>
        <v/>
      </c>
      <c r="BM22" s="35" t="n">
        <f aca="false">IF(OR(AO22&lt;&gt;1,R22=""),"",IF(BD22=1,1,0))</f>
        <v>1</v>
      </c>
      <c r="BN22" s="35" t="n">
        <f aca="false">IF(AO22&lt;&gt;1,"",IF(W22="Oui",1,0))</f>
        <v>0</v>
      </c>
      <c r="BO22" s="35" t="n">
        <f aca="false">IF(AO22&lt;&gt;1,"",IF(X22&lt;&gt;"",1,0))</f>
        <v>0</v>
      </c>
      <c r="BP22" s="35" t="n">
        <f aca="false">IF(AO22&lt;&gt;1,"",IF(Y22="Oui",1,0))</f>
        <v>0</v>
      </c>
      <c r="BQ22" s="35" t="str">
        <f aca="true">IF(OR(AO22&lt;&gt;1,Z22&lt;&gt;"Oui"),"",IF(AB22="",IF(AND(AA22&lt;&gt;"",NOW()&gt;AA22),0,""),IF(AA22="","",IF(AB22&lt;=AA22,1,0))))</f>
        <v/>
      </c>
      <c r="BR22" s="38" t="str">
        <f aca="false">IF(OR(AO22&lt;&gt;1,K22&lt;&gt;"Oui",O22=""),"",IF(AC22="",O22+DORA_H_DET/24,IF(AC22-O22&lt;=DORA_H_DET/24,MIN(AC22+DORA_H_CLA/24,O22+DORA_H_DET/24),AC22+DORA_H_CLA/24)))</f>
        <v/>
      </c>
      <c r="BS22" s="35" t="str">
        <f aca="true">IF(BR22="","",IF(AD22="",IF(NOW()&gt;BR22,0,""),IF(AD22&lt;=BR22,1,0)))</f>
        <v/>
      </c>
      <c r="BT22" s="35" t="str">
        <f aca="true">IF(OR(BR22="",AD22=""),"",IF(AE22="",IF(NOW()&gt;AD22+DORA_H_INT/24,0,""),IF(AE22&lt;=AD22+DORA_H_INT/24,1,0)))</f>
        <v/>
      </c>
      <c r="BU22" s="35" t="str">
        <f aca="true">IF(OR(BR22="",AE22=""),"",IF(AF22="",IF(NOW()&gt;EDATE(AE22,DORA_M_FIN)+1,0,""),IF(AF22&lt;=EDATE(AE22,DORA_M_FIN),1,0)))</f>
        <v/>
      </c>
      <c r="BV22" s="35" t="str">
        <f aca="false">IF(BR22="","",IF(COUNT(BS22:BU22)=0,"",MIN(BS22:BU22)))</f>
        <v/>
      </c>
      <c r="BW22" s="40" t="str">
        <f aca="false">IF(AQ22&lt;&gt;1,"",IF(AND(AG22="",AH22=""),"",N(AG22)-N(AH22)))</f>
        <v/>
      </c>
      <c r="BX22" s="35" t="str">
        <f aca="true">IF(OR(AQ22&lt;&gt;1,AI22&lt;&gt;"Oui",AJ22=""),"",IF(AK22="",IF(NOW()&gt;AJ22+1,0,""),IF(AK22&lt;=AJ22,1,0)))</f>
        <v/>
      </c>
    </row>
    <row r="23" customFormat="false" ht="15" hidden="false" customHeight="false" outlineLevel="0" collapsed="false">
      <c r="B23" s="29" t="s">
        <v>218</v>
      </c>
      <c r="C23" s="29" t="s">
        <v>178</v>
      </c>
      <c r="D23" s="29" t="s">
        <v>161</v>
      </c>
      <c r="E23" s="29" t="s">
        <v>162</v>
      </c>
      <c r="F23" s="29" t="s">
        <v>163</v>
      </c>
      <c r="G23" s="29" t="s">
        <v>164</v>
      </c>
      <c r="H23" s="29" t="s">
        <v>165</v>
      </c>
      <c r="I23" s="29" t="s">
        <v>166</v>
      </c>
      <c r="J23" s="29" t="s">
        <v>219</v>
      </c>
      <c r="K23" s="29" t="s">
        <v>168</v>
      </c>
      <c r="L23" s="29" t="s">
        <v>169</v>
      </c>
      <c r="M23" s="29" t="s">
        <v>206</v>
      </c>
      <c r="N23" s="30" t="n">
        <v>45990.6111111111</v>
      </c>
      <c r="O23" s="30" t="n">
        <v>45993.6111111111</v>
      </c>
      <c r="P23" s="30" t="n">
        <v>45993.6736111111</v>
      </c>
      <c r="Q23" s="30" t="n">
        <v>45993.7118055556</v>
      </c>
      <c r="R23" s="30" t="n">
        <v>45996.4722222222</v>
      </c>
      <c r="S23" s="30" t="n">
        <v>46022.625</v>
      </c>
      <c r="T23" s="30" t="n">
        <v>45994.4583333333</v>
      </c>
      <c r="U23" s="30"/>
      <c r="V23" s="31" t="n">
        <v>0</v>
      </c>
      <c r="W23" s="29" t="s">
        <v>168</v>
      </c>
      <c r="X23" s="29"/>
      <c r="Y23" s="29" t="s">
        <v>189</v>
      </c>
      <c r="Z23" s="29" t="s">
        <v>168</v>
      </c>
      <c r="AA23" s="30"/>
      <c r="AB23" s="30"/>
      <c r="AC23" s="30"/>
      <c r="AD23" s="30"/>
      <c r="AE23" s="30"/>
      <c r="AF23" s="32"/>
      <c r="AG23" s="33" t="n">
        <v>50400</v>
      </c>
      <c r="AH23" s="33" t="n">
        <v>0</v>
      </c>
      <c r="AI23" s="29" t="s">
        <v>189</v>
      </c>
      <c r="AJ23" s="32" t="n">
        <v>46042</v>
      </c>
      <c r="AK23" s="32" t="n">
        <v>46041</v>
      </c>
      <c r="AL23" s="29"/>
      <c r="AN23" s="34" t="str">
        <f aca="false">IF($B23="","",IF(OR(C23="",D23="",E23="",G23="",I23="",J23="",L23="",O23="",P23=""),"Champ obligatoire manquant",IF(OR(AND(N23&lt;&gt;"",N23&gt;O23),O23&gt;P23,AND(Q23&lt;&gt;"",Q23&lt;P23),AND(R23&lt;&gt;"",R23&lt;P23),AND(S23&lt;&gt;"",S23&lt;R23),AND(S23&lt;&gt;"",R23=""),AND(T23&lt;&gt;"",T23&lt;O23),AND(U23&lt;&gt;"",U23&lt;O23)),"Chronologie incohérente",IF(AND(OR(L23="Résolu",L23="Clos"),R23=""),"Date de résolution manquante",IF(AND(L23="Clos",S23=""),"Date de clôture manquante",IF(AND(K23="Oui",AC23=""),"Classification DORA manquante","OK"))))))</f>
        <v>OK</v>
      </c>
      <c r="AO23" s="35" t="n">
        <f aca="false">IF($B23="","",IF(AND(C23="Incident",L23&lt;&gt;"Annulé"),1,0))</f>
        <v>1</v>
      </c>
      <c r="AP23" s="35" t="n">
        <f aca="false">IF($B23="","",IF(AND(C23="Quasi-incident",L23&lt;&gt;"Annulé"),1,0))</f>
        <v>0</v>
      </c>
      <c r="AQ23" s="35" t="n">
        <f aca="false">IF($B23="","",AO23+AP23)</f>
        <v>1</v>
      </c>
      <c r="AR23" s="36" t="n">
        <f aca="false">IF(OR($B23="",J23=""),"",IFERROR(VALUE(LEFT(J23,1)),""))</f>
        <v>2</v>
      </c>
      <c r="AS23" s="35" t="n">
        <f aca="false">IF(OR(AO23&lt;&gt;1,G23=""),"",IFERROR(IF(INDEX(L_SrcInterne,MATCH(G23,L_Sources,0))="Oui",1,0),""))</f>
        <v>1</v>
      </c>
      <c r="AT23" s="37" t="n">
        <f aca="false">IF(AO23&lt;&gt;1,"",IFERROR(ROUND(IF(OR(N23="",O23=""),"",IF(O23&lt;N23,"",ROUND(((NETWORKDAYS(N23,O23,JoursFeries)-1)*(HFer-HOuv)+IF(NETWORKDAYS(O23,O23,JoursFeries),MEDIAN(MOD(O23,1),HFer,HOuv),HFer)-IF(NETWORKDAYS(N23,N23,JoursFeries),MEDIAN(MOD(N23,1),HFer,HOuv),HOuv))*24,4)))/HJour,4),""))</f>
        <v>1.6296</v>
      </c>
      <c r="AU23" s="37" t="n">
        <f aca="false">IF(AO23&lt;&gt;1,"",IF(OR(O23="",P23=""),"",IF(P23&lt;O23,"",ROUND(((NETWORKDAYS(O23,P23,JoursFeries)-1)*(HFer-HOuv)+IF(NETWORKDAYS(P23,P23,JoursFeries),MEDIAN(MOD(P23,1),HFer,HOuv),HFer)-IF(NETWORKDAYS(O23,O23,JoursFeries),MEDIAN(MOD(O23,1),HFer,HOuv),HOuv))*24,4))))</f>
        <v>1.5</v>
      </c>
      <c r="AV23" s="37" t="n">
        <f aca="false">IF(AO23&lt;&gt;1,"",IF(OR(P23="",Q23=""),"",IF(Q23&lt;P23,"",ROUND(((NETWORKDAYS(P23,Q23,JoursFeries)-1)*(HFer-HOuv)+IF(NETWORKDAYS(Q23,Q23,JoursFeries),MEDIAN(MOD(Q23,1),HFer,HOuv),HFer)-IF(NETWORKDAYS(P23,P23,JoursFeries),MEDIAN(MOD(P23,1),HFer,HOuv),HOuv))*24,4))))</f>
        <v>0.9167</v>
      </c>
      <c r="AW23" s="37" t="n">
        <f aca="false">IF(AO23&lt;&gt;1,"",IFERROR(ROUND(IF(OR(P23="",R23=""),"",IF(R23&lt;P23,"",ROUND(((NETWORKDAYS(P23,R23,JoursFeries)-1)*(HFer-HOuv)+IF(NETWORKDAYS(R23,R23,JoursFeries),MEDIAN(MOD(R23,1),HFer,HOuv),HFer)-IF(NETWORKDAYS(P23,P23,JoursFeries),MEDIAN(MOD(P23,1),HFer,HOuv),HOuv))*24,4)))/HJour,4),""))</f>
        <v>2.463</v>
      </c>
      <c r="AX23" s="37" t="n">
        <f aca="false">IF(AO23&lt;&gt;1,"",IFERROR(ROUND(IF(OR(P23="",S23=""),"",IF(S23&lt;P23,"",ROUND(((NETWORKDAYS(P23,S23,JoursFeries)-1)*(HFer-HOuv)+IF(NETWORKDAYS(S23,S23,JoursFeries),MEDIAN(MOD(S23,1),HFer,HOuv),HFer)-IF(NETWORKDAYS(P23,P23,JoursFeries),MEDIAN(MOD(P23,1),HFer,HOuv),HOuv))*24,4)))/HJour,4),""))</f>
        <v>19.8704</v>
      </c>
      <c r="AY23" s="36" t="n">
        <f aca="false">IF(OR(AO23&lt;&gt;1,AR23=""),"",INDEX(SLA_PEC,AR23))</f>
        <v>2</v>
      </c>
      <c r="AZ23" s="35" t="n">
        <f aca="false">IF(OR(AV23="",AY23=""),"",IF(AV23&lt;=AY23,1,0))</f>
        <v>1</v>
      </c>
      <c r="BA23" s="36" t="n">
        <f aca="false">IF(OR(AO23&lt;&gt;1,AR23=""),"",INDEX(SLA_RES,AR23))</f>
        <v>3</v>
      </c>
      <c r="BB23" s="35" t="n">
        <f aca="false">IF(OR(AW23="",BA23=""),"",IF(AW23&lt;=BA23,1,0))</f>
        <v>1</v>
      </c>
      <c r="BC23" s="38" t="n">
        <f aca="false">IF(OR(BA23="",P23=""),"",WORKDAY(INT(P23),BA23,JoursFeries)+MOD(P23,1))</f>
        <v>45996.6736111111</v>
      </c>
      <c r="BD23" s="39" t="n">
        <f aca="false">IF(AO23&lt;&gt;1,"",IF(OR(AB23&lt;&gt;"",AD23&lt;&gt;""),4,IF(U23&lt;&gt;"",3,IF(T23&lt;&gt;"",2,1))))</f>
        <v>2</v>
      </c>
      <c r="BE23" s="39" t="n">
        <f aca="false">IF(OR(AO23&lt;&gt;1,AR23=""),"",INDEX(NIV_REQ,AR23))</f>
        <v>2</v>
      </c>
      <c r="BF23" s="39" t="n">
        <f aca="false">IF(BE23="","",MAX(BE23,IF(OR(K23="Oui",Z23="Oui"),4,1)))</f>
        <v>2</v>
      </c>
      <c r="BG23" s="35" t="n">
        <f aca="false">IF(OR(BF23="",BD23=""),"",IF(BD23&gt;=BF23,1,0))</f>
        <v>1</v>
      </c>
      <c r="BH23" s="38" t="n">
        <f aca="false">IF(BE23="","",IF(BE23&lt;2,"",IF(BE23=2,IF(AND(T23="",U23=""),"",MIN(T23,U23)),IF(U23="","",U23))))</f>
        <v>45994.4583333333</v>
      </c>
      <c r="BI23" s="37" t="n">
        <f aca="false">IF(BH23="","",IF(OR(O23="",BH23=""),"",IF(BH23&lt;O23,"",ROUND(((NETWORKDAYS(O23,BH23,JoursFeries)-1)*(HFer-HOuv)+IF(NETWORKDAYS(BH23,BH23,JoursFeries),MEDIAN(MOD(BH23,1),HFer,HOuv),HFer)-IF(NETWORKDAYS(O23,O23,JoursFeries),MEDIAN(MOD(O23,1),HFer,HOuv),HOuv))*24,4))))</f>
        <v>5.3333</v>
      </c>
      <c r="BJ23" s="35" t="n">
        <f aca="false">IF(OR(BI23="",AR23=""),"",IF(BI23&lt;=INDEX(DELAI_ESC,AR23),1,0))</f>
        <v>0</v>
      </c>
      <c r="BK23" s="38" t="n">
        <f aca="false">IF(AO23&lt;&gt;1,"",IF(AND(T23="",U23=""),"",MIN(T23,U23)))</f>
        <v>45994.4583333333</v>
      </c>
      <c r="BL23" s="37" t="n">
        <f aca="false">IF(OR(BK23="",R23=""),"",IFERROR(ROUND(IF(OR(BK23="",R23=""),"",IF(R23&lt;BK23,"",ROUND(((NETWORKDAYS(BK23,R23,JoursFeries)-1)*(HFer-HOuv)+IF(NETWORKDAYS(R23,R23,JoursFeries),MEDIAN(MOD(R23,1),HFer,HOuv),HFer)-IF(NETWORKDAYS(BK23,BK23,JoursFeries),MEDIAN(MOD(BK23,1),HFer,HOuv),HOuv))*24,4)))/HJour,4),""))</f>
        <v>2.037</v>
      </c>
      <c r="BM23" s="35" t="n">
        <f aca="false">IF(OR(AO23&lt;&gt;1,R23=""),"",IF(BD23=1,1,0))</f>
        <v>0</v>
      </c>
      <c r="BN23" s="35" t="n">
        <f aca="false">IF(AO23&lt;&gt;1,"",IF(W23="Oui",1,0))</f>
        <v>0</v>
      </c>
      <c r="BO23" s="35" t="n">
        <f aca="false">IF(AO23&lt;&gt;1,"",IF(X23&lt;&gt;"",1,0))</f>
        <v>0</v>
      </c>
      <c r="BP23" s="35" t="n">
        <f aca="false">IF(AO23&lt;&gt;1,"",IF(Y23="Oui",1,0))</f>
        <v>1</v>
      </c>
      <c r="BQ23" s="35" t="str">
        <f aca="true">IF(OR(AO23&lt;&gt;1,Z23&lt;&gt;"Oui"),"",IF(AB23="",IF(AND(AA23&lt;&gt;"",NOW()&gt;AA23),0,""),IF(AA23="","",IF(AB23&lt;=AA23,1,0))))</f>
        <v/>
      </c>
      <c r="BR23" s="38" t="str">
        <f aca="false">IF(OR(AO23&lt;&gt;1,K23&lt;&gt;"Oui",O23=""),"",IF(AC23="",O23+DORA_H_DET/24,IF(AC23-O23&lt;=DORA_H_DET/24,MIN(AC23+DORA_H_CLA/24,O23+DORA_H_DET/24),AC23+DORA_H_CLA/24)))</f>
        <v/>
      </c>
      <c r="BS23" s="35" t="str">
        <f aca="true">IF(BR23="","",IF(AD23="",IF(NOW()&gt;BR23,0,""),IF(AD23&lt;=BR23,1,0)))</f>
        <v/>
      </c>
      <c r="BT23" s="35" t="str">
        <f aca="true">IF(OR(BR23="",AD23=""),"",IF(AE23="",IF(NOW()&gt;AD23+DORA_H_INT/24,0,""),IF(AE23&lt;=AD23+DORA_H_INT/24,1,0)))</f>
        <v/>
      </c>
      <c r="BU23" s="35" t="str">
        <f aca="true">IF(OR(BR23="",AE23=""),"",IF(AF23="",IF(NOW()&gt;EDATE(AE23,DORA_M_FIN)+1,0,""),IF(AF23&lt;=EDATE(AE23,DORA_M_FIN),1,0)))</f>
        <v/>
      </c>
      <c r="BV23" s="35" t="str">
        <f aca="false">IF(BR23="","",IF(COUNT(BS23:BU23)=0,"",MIN(BS23:BU23)))</f>
        <v/>
      </c>
      <c r="BW23" s="40" t="n">
        <f aca="false">IF(AQ23&lt;&gt;1,"",IF(AND(AG23="",AH23=""),"",N(AG23)-N(AH23)))</f>
        <v>50400</v>
      </c>
      <c r="BX23" s="35" t="n">
        <f aca="true">IF(OR(AQ23&lt;&gt;1,AI23&lt;&gt;"Oui",AJ23=""),"",IF(AK23="",IF(NOW()&gt;AJ23+1,0,""),IF(AK23&lt;=AJ23,1,0)))</f>
        <v>1</v>
      </c>
    </row>
    <row r="24" customFormat="false" ht="15" hidden="false" customHeight="false" outlineLevel="0" collapsed="false">
      <c r="B24" s="29" t="s">
        <v>220</v>
      </c>
      <c r="C24" s="29" t="s">
        <v>178</v>
      </c>
      <c r="D24" s="29" t="s">
        <v>198</v>
      </c>
      <c r="E24" s="29" t="s">
        <v>221</v>
      </c>
      <c r="F24" s="29" t="s">
        <v>172</v>
      </c>
      <c r="G24" s="29" t="s">
        <v>180</v>
      </c>
      <c r="H24" s="29"/>
      <c r="I24" s="29" t="s">
        <v>222</v>
      </c>
      <c r="J24" s="29" t="s">
        <v>167</v>
      </c>
      <c r="K24" s="29" t="s">
        <v>168</v>
      </c>
      <c r="L24" s="29" t="s">
        <v>169</v>
      </c>
      <c r="M24" s="29" t="s">
        <v>165</v>
      </c>
      <c r="N24" s="30" t="n">
        <v>45991.3680555556</v>
      </c>
      <c r="O24" s="30" t="n">
        <v>45994.3680555556</v>
      </c>
      <c r="P24" s="30" t="n">
        <v>45994.3993055556</v>
      </c>
      <c r="Q24" s="30" t="n">
        <v>45995.40625</v>
      </c>
      <c r="R24" s="30" t="n">
        <v>46000.4340277778</v>
      </c>
      <c r="S24" s="30" t="n">
        <v>46006.7395833333</v>
      </c>
      <c r="T24" s="30" t="n">
        <v>45995.4652777778</v>
      </c>
      <c r="U24" s="30"/>
      <c r="V24" s="31" t="n">
        <v>0</v>
      </c>
      <c r="W24" s="29" t="s">
        <v>168</v>
      </c>
      <c r="X24" s="29"/>
      <c r="Y24" s="29" t="s">
        <v>168</v>
      </c>
      <c r="Z24" s="29" t="s">
        <v>168</v>
      </c>
      <c r="AA24" s="30"/>
      <c r="AB24" s="30"/>
      <c r="AC24" s="30"/>
      <c r="AD24" s="30"/>
      <c r="AE24" s="30"/>
      <c r="AF24" s="32"/>
      <c r="AG24" s="33"/>
      <c r="AH24" s="33"/>
      <c r="AI24" s="29" t="s">
        <v>168</v>
      </c>
      <c r="AJ24" s="32"/>
      <c r="AK24" s="32"/>
      <c r="AL24" s="29"/>
      <c r="AN24" s="34" t="str">
        <f aca="false">IF($B24="","",IF(OR(C24="",D24="",E24="",G24="",I24="",J24="",L24="",O24="",P24=""),"Champ obligatoire manquant",IF(OR(AND(N24&lt;&gt;"",N24&gt;O24),O24&gt;P24,AND(Q24&lt;&gt;"",Q24&lt;P24),AND(R24&lt;&gt;"",R24&lt;P24),AND(S24&lt;&gt;"",S24&lt;R24),AND(S24&lt;&gt;"",R24=""),AND(T24&lt;&gt;"",T24&lt;O24),AND(U24&lt;&gt;"",U24&lt;O24)),"Chronologie incohérente",IF(AND(OR(L24="Résolu",L24="Clos"),R24=""),"Date de résolution manquante",IF(AND(L24="Clos",S24=""),"Date de clôture manquante",IF(AND(K24="Oui",AC24=""),"Classification DORA manquante","OK"))))))</f>
        <v>OK</v>
      </c>
      <c r="AO24" s="35" t="n">
        <f aca="false">IF($B24="","",IF(AND(C24="Incident",L24&lt;&gt;"Annulé"),1,0))</f>
        <v>1</v>
      </c>
      <c r="AP24" s="35" t="n">
        <f aca="false">IF($B24="","",IF(AND(C24="Quasi-incident",L24&lt;&gt;"Annulé"),1,0))</f>
        <v>0</v>
      </c>
      <c r="AQ24" s="35" t="n">
        <f aca="false">IF($B24="","",AO24+AP24)</f>
        <v>1</v>
      </c>
      <c r="AR24" s="36" t="n">
        <f aca="false">IF(OR($B24="",J24=""),"",IFERROR(VALUE(LEFT(J24,1)),""))</f>
        <v>3</v>
      </c>
      <c r="AS24" s="35" t="n">
        <f aca="false">IF(OR(AO24&lt;&gt;1,G24=""),"",IFERROR(IF(INDEX(L_SrcInterne,MATCH(G24,L_Sources,0))="Oui",1,0),""))</f>
        <v>1</v>
      </c>
      <c r="AT24" s="37" t="n">
        <f aca="false">IF(AO24&lt;&gt;1,"",IFERROR(ROUND(IF(OR(N24="",O24=""),"",IF(O24&lt;N24,"",ROUND(((NETWORKDAYS(N24,O24,JoursFeries)-1)*(HFer-HOuv)+IF(NETWORKDAYS(O24,O24,JoursFeries),MEDIAN(MOD(O24,1),HFer,HOuv),HFer)-IF(NETWORKDAYS(N24,N24,JoursFeries),MEDIAN(MOD(N24,1),HFer,HOuv),HOuv))*24,4)))/HJour,4),""))</f>
        <v>2</v>
      </c>
      <c r="AU24" s="37" t="n">
        <f aca="false">IF(AO24&lt;&gt;1,"",IF(OR(O24="",P24=""),"",IF(P24&lt;O24,"",ROUND(((NETWORKDAYS(O24,P24,JoursFeries)-1)*(HFer-HOuv)+IF(NETWORKDAYS(P24,P24,JoursFeries),MEDIAN(MOD(P24,1),HFer,HOuv),HFer)-IF(NETWORKDAYS(O24,O24,JoursFeries),MEDIAN(MOD(O24,1),HFer,HOuv),HOuv))*24,4))))</f>
        <v>0.5833</v>
      </c>
      <c r="AV24" s="37" t="n">
        <f aca="false">IF(AO24&lt;&gt;1,"",IF(OR(P24="",Q24=""),"",IF(Q24&lt;P24,"",ROUND(((NETWORKDAYS(P24,Q24,JoursFeries)-1)*(HFer-HOuv)+IF(NETWORKDAYS(Q24,Q24,JoursFeries),MEDIAN(MOD(Q24,1),HFer,HOuv),HFer)-IF(NETWORKDAYS(P24,P24,JoursFeries),MEDIAN(MOD(P24,1),HFer,HOuv),HOuv))*24,4))))</f>
        <v>9.1667</v>
      </c>
      <c r="AW24" s="37" t="n">
        <f aca="false">IF(AO24&lt;&gt;1,"",IFERROR(ROUND(IF(OR(P24="",R24=""),"",IF(R24&lt;P24,"",ROUND(((NETWORKDAYS(P24,R24,JoursFeries)-1)*(HFer-HOuv)+IF(NETWORKDAYS(R24,R24,JoursFeries),MEDIAN(MOD(R24,1),HFer,HOuv),HFer)-IF(NETWORKDAYS(P24,P24,JoursFeries),MEDIAN(MOD(P24,1),HFer,HOuv),HOuv))*24,4)))/HJour,4),""))</f>
        <v>4.0926</v>
      </c>
      <c r="AX24" s="37" t="n">
        <f aca="false">IF(AO24&lt;&gt;1,"",IFERROR(ROUND(IF(OR(P24="",S24=""),"",IF(S24&lt;P24,"",ROUND(((NETWORKDAYS(P24,S24,JoursFeries)-1)*(HFer-HOuv)+IF(NETWORKDAYS(S24,S24,JoursFeries),MEDIAN(MOD(S24,1),HFer,HOuv),HFer)-IF(NETWORKDAYS(P24,P24,JoursFeries),MEDIAN(MOD(P24,1),HFer,HOuv),HOuv))*24,4)))/HJour,4),""))</f>
        <v>8.9074</v>
      </c>
      <c r="AY24" s="36" t="n">
        <f aca="false">IF(OR(AO24&lt;&gt;1,AR24=""),"",INDEX(SLA_PEC,AR24))</f>
        <v>9</v>
      </c>
      <c r="AZ24" s="35" t="n">
        <f aca="false">IF(OR(AV24="",AY24=""),"",IF(AV24&lt;=AY24,1,0))</f>
        <v>0</v>
      </c>
      <c r="BA24" s="36" t="n">
        <f aca="false">IF(OR(AO24&lt;&gt;1,AR24=""),"",INDEX(SLA_RES,AR24))</f>
        <v>10</v>
      </c>
      <c r="BB24" s="35" t="n">
        <f aca="false">IF(OR(AW24="",BA24=""),"",IF(AW24&lt;=BA24,1,0))</f>
        <v>1</v>
      </c>
      <c r="BC24" s="38" t="n">
        <f aca="false">IF(OR(BA24="",P24=""),"",WORKDAY(INT(P24),BA24,JoursFeries)+MOD(P24,1))</f>
        <v>46008.3993055556</v>
      </c>
      <c r="BD24" s="39" t="n">
        <f aca="false">IF(AO24&lt;&gt;1,"",IF(OR(AB24&lt;&gt;"",AD24&lt;&gt;""),4,IF(U24&lt;&gt;"",3,IF(T24&lt;&gt;"",2,1))))</f>
        <v>2</v>
      </c>
      <c r="BE24" s="39" t="n">
        <f aca="false">IF(OR(AO24&lt;&gt;1,AR24=""),"",INDEX(NIV_REQ,AR24))</f>
        <v>1</v>
      </c>
      <c r="BF24" s="39" t="n">
        <f aca="false">IF(BE24="","",MAX(BE24,IF(OR(K24="Oui",Z24="Oui"),4,1)))</f>
        <v>1</v>
      </c>
      <c r="BG24" s="35" t="n">
        <f aca="false">IF(OR(BF24="",BD24=""),"",IF(BD24&gt;=BF24,1,0))</f>
        <v>1</v>
      </c>
      <c r="BH24" s="38" t="str">
        <f aca="false">IF(BE24="","",IF(BE24&lt;2,"",IF(BE24=2,IF(AND(T24="",U24=""),"",MIN(T24,U24)),IF(U24="","",U24))))</f>
        <v/>
      </c>
      <c r="BI24" s="37" t="str">
        <f aca="false">IF(BH24="","",IF(OR(O24="",BH24=""),"",IF(BH24&lt;O24,"",ROUND(((NETWORKDAYS(O24,BH24,JoursFeries)-1)*(HFer-HOuv)+IF(NETWORKDAYS(BH24,BH24,JoursFeries),MEDIAN(MOD(BH24,1),HFer,HOuv),HFer)-IF(NETWORKDAYS(O24,O24,JoursFeries),MEDIAN(MOD(O24,1),HFer,HOuv),HOuv))*24,4))))</f>
        <v/>
      </c>
      <c r="BJ24" s="35" t="str">
        <f aca="false">IF(OR(BI24="",AR24=""),"",IF(BI24&lt;=INDEX(DELAI_ESC,AR24),1,0))</f>
        <v/>
      </c>
      <c r="BK24" s="38" t="n">
        <f aca="false">IF(AO24&lt;&gt;1,"",IF(AND(T24="",U24=""),"",MIN(T24,U24)))</f>
        <v>45995.4652777778</v>
      </c>
      <c r="BL24" s="37" t="n">
        <f aca="false">IF(OR(BK24="",R24=""),"",IFERROR(ROUND(IF(OR(BK24="",R24=""),"",IF(R24&lt;BK24,"",ROUND(((NETWORKDAYS(BK24,R24,JoursFeries)-1)*(HFer-HOuv)+IF(NETWORKDAYS(R24,R24,JoursFeries),MEDIAN(MOD(R24,1),HFer,HOuv),HFer)-IF(NETWORKDAYS(BK24,BK24,JoursFeries),MEDIAN(MOD(BK24,1),HFer,HOuv),HOuv))*24,4)))/HJour,4),""))</f>
        <v>2.9167</v>
      </c>
      <c r="BM24" s="35" t="n">
        <f aca="false">IF(OR(AO24&lt;&gt;1,R24=""),"",IF(BD24=1,1,0))</f>
        <v>0</v>
      </c>
      <c r="BN24" s="35" t="n">
        <f aca="false">IF(AO24&lt;&gt;1,"",IF(W24="Oui",1,0))</f>
        <v>0</v>
      </c>
      <c r="BO24" s="35" t="n">
        <f aca="false">IF(AO24&lt;&gt;1,"",IF(X24&lt;&gt;"",1,0))</f>
        <v>0</v>
      </c>
      <c r="BP24" s="35" t="n">
        <f aca="false">IF(AO24&lt;&gt;1,"",IF(Y24="Oui",1,0))</f>
        <v>0</v>
      </c>
      <c r="BQ24" s="35" t="str">
        <f aca="true">IF(OR(AO24&lt;&gt;1,Z24&lt;&gt;"Oui"),"",IF(AB24="",IF(AND(AA24&lt;&gt;"",NOW()&gt;AA24),0,""),IF(AA24="","",IF(AB24&lt;=AA24,1,0))))</f>
        <v/>
      </c>
      <c r="BR24" s="38" t="str">
        <f aca="false">IF(OR(AO24&lt;&gt;1,K24&lt;&gt;"Oui",O24=""),"",IF(AC24="",O24+DORA_H_DET/24,IF(AC24-O24&lt;=DORA_H_DET/24,MIN(AC24+DORA_H_CLA/24,O24+DORA_H_DET/24),AC24+DORA_H_CLA/24)))</f>
        <v/>
      </c>
      <c r="BS24" s="35" t="str">
        <f aca="true">IF(BR24="","",IF(AD24="",IF(NOW()&gt;BR24,0,""),IF(AD24&lt;=BR24,1,0)))</f>
        <v/>
      </c>
      <c r="BT24" s="35" t="str">
        <f aca="true">IF(OR(BR24="",AD24=""),"",IF(AE24="",IF(NOW()&gt;AD24+DORA_H_INT/24,0,""),IF(AE24&lt;=AD24+DORA_H_INT/24,1,0)))</f>
        <v/>
      </c>
      <c r="BU24" s="35" t="str">
        <f aca="true">IF(OR(BR24="",AE24=""),"",IF(AF24="",IF(NOW()&gt;EDATE(AE24,DORA_M_FIN)+1,0,""),IF(AF24&lt;=EDATE(AE24,DORA_M_FIN),1,0)))</f>
        <v/>
      </c>
      <c r="BV24" s="35" t="str">
        <f aca="false">IF(BR24="","",IF(COUNT(BS24:BU24)=0,"",MIN(BS24:BU24)))</f>
        <v/>
      </c>
      <c r="BW24" s="40" t="str">
        <f aca="false">IF(AQ24&lt;&gt;1,"",IF(AND(AG24="",AH24=""),"",N(AG24)-N(AH24)))</f>
        <v/>
      </c>
      <c r="BX24" s="35" t="str">
        <f aca="true">IF(OR(AQ24&lt;&gt;1,AI24&lt;&gt;"Oui",AJ24=""),"",IF(AK24="",IF(NOW()&gt;AJ24+1,0,""),IF(AK24&lt;=AJ24,1,0)))</f>
        <v/>
      </c>
    </row>
    <row r="25" customFormat="false" ht="15" hidden="false" customHeight="false" outlineLevel="0" collapsed="false">
      <c r="B25" s="29" t="s">
        <v>223</v>
      </c>
      <c r="C25" s="29" t="s">
        <v>160</v>
      </c>
      <c r="D25" s="29" t="s">
        <v>224</v>
      </c>
      <c r="E25" s="29" t="s">
        <v>225</v>
      </c>
      <c r="F25" s="29" t="s">
        <v>172</v>
      </c>
      <c r="G25" s="29" t="s">
        <v>180</v>
      </c>
      <c r="H25" s="29"/>
      <c r="I25" s="29" t="s">
        <v>226</v>
      </c>
      <c r="J25" s="29" t="s">
        <v>167</v>
      </c>
      <c r="K25" s="29" t="s">
        <v>168</v>
      </c>
      <c r="L25" s="29" t="s">
        <v>169</v>
      </c>
      <c r="M25" s="29" t="s">
        <v>165</v>
      </c>
      <c r="N25" s="30" t="n">
        <v>46001.3715277778</v>
      </c>
      <c r="O25" s="30" t="n">
        <v>46002.3715277778</v>
      </c>
      <c r="P25" s="30" t="n">
        <v>46002.3854166667</v>
      </c>
      <c r="Q25" s="30" t="n">
        <v>46002.6597222222</v>
      </c>
      <c r="R25" s="30" t="n">
        <v>46007.4722222222</v>
      </c>
      <c r="S25" s="30" t="n">
        <v>46009.6145833333</v>
      </c>
      <c r="T25" s="30"/>
      <c r="U25" s="30"/>
      <c r="V25" s="31" t="n">
        <v>0</v>
      </c>
      <c r="W25" s="29" t="s">
        <v>168</v>
      </c>
      <c r="X25" s="29"/>
      <c r="Y25" s="29" t="s">
        <v>168</v>
      </c>
      <c r="Z25" s="29" t="s">
        <v>168</v>
      </c>
      <c r="AA25" s="30"/>
      <c r="AB25" s="30"/>
      <c r="AC25" s="30"/>
      <c r="AD25" s="30"/>
      <c r="AE25" s="30"/>
      <c r="AF25" s="32"/>
      <c r="AG25" s="33"/>
      <c r="AH25" s="33"/>
      <c r="AI25" s="29" t="s">
        <v>168</v>
      </c>
      <c r="AJ25" s="32"/>
      <c r="AK25" s="32"/>
      <c r="AL25" s="29"/>
      <c r="AN25" s="34" t="str">
        <f aca="false">IF($B25="","",IF(OR(C25="",D25="",E25="",G25="",I25="",J25="",L25="",O25="",P25=""),"Champ obligatoire manquant",IF(OR(AND(N25&lt;&gt;"",N25&gt;O25),O25&gt;P25,AND(Q25&lt;&gt;"",Q25&lt;P25),AND(R25&lt;&gt;"",R25&lt;P25),AND(S25&lt;&gt;"",S25&lt;R25),AND(S25&lt;&gt;"",R25=""),AND(T25&lt;&gt;"",T25&lt;O25),AND(U25&lt;&gt;"",U25&lt;O25)),"Chronologie incohérente",IF(AND(OR(L25="Résolu",L25="Clos"),R25=""),"Date de résolution manquante",IF(AND(L25="Clos",S25=""),"Date de clôture manquante",IF(AND(K25="Oui",AC25=""),"Classification DORA manquante","OK"))))))</f>
        <v>OK</v>
      </c>
      <c r="AO25" s="35" t="n">
        <f aca="false">IF($B25="","",IF(AND(C25="Incident",L25&lt;&gt;"Annulé"),1,0))</f>
        <v>0</v>
      </c>
      <c r="AP25" s="35" t="n">
        <f aca="false">IF($B25="","",IF(AND(C25="Quasi-incident",L25&lt;&gt;"Annulé"),1,0))</f>
        <v>1</v>
      </c>
      <c r="AQ25" s="35" t="n">
        <f aca="false">IF($B25="","",AO25+AP25)</f>
        <v>1</v>
      </c>
      <c r="AR25" s="36" t="n">
        <f aca="false">IF(OR($B25="",J25=""),"",IFERROR(VALUE(LEFT(J25,1)),""))</f>
        <v>3</v>
      </c>
      <c r="AS25" s="35" t="str">
        <f aca="false">IF(OR(AO25&lt;&gt;1,G25=""),"",IFERROR(IF(INDEX(L_SrcInterne,MATCH(G25,L_Sources,0))="Oui",1,0),""))</f>
        <v/>
      </c>
      <c r="AT25" s="37" t="str">
        <f aca="false">IF(AO25&lt;&gt;1,"",IFERROR(ROUND(IF(OR(N25="",O25=""),"",IF(O25&lt;N25,"",ROUND(((NETWORKDAYS(N25,O25,JoursFeries)-1)*(HFer-HOuv)+IF(NETWORKDAYS(O25,O25,JoursFeries),MEDIAN(MOD(O25,1),HFer,HOuv),HFer)-IF(NETWORKDAYS(N25,N25,JoursFeries),MEDIAN(MOD(N25,1),HFer,HOuv),HOuv))*24,4)))/HJour,4),""))</f>
        <v/>
      </c>
      <c r="AU25" s="37" t="str">
        <f aca="false">IF(AO25&lt;&gt;1,"",IF(OR(O25="",P25=""),"",IF(P25&lt;O25,"",ROUND(((NETWORKDAYS(O25,P25,JoursFeries)-1)*(HFer-HOuv)+IF(NETWORKDAYS(P25,P25,JoursFeries),MEDIAN(MOD(P25,1),HFer,HOuv),HFer)-IF(NETWORKDAYS(O25,O25,JoursFeries),MEDIAN(MOD(O25,1),HFer,HOuv),HOuv))*24,4))))</f>
        <v/>
      </c>
      <c r="AV25" s="37" t="str">
        <f aca="false">IF(AO25&lt;&gt;1,"",IF(OR(P25="",Q25=""),"",IF(Q25&lt;P25,"",ROUND(((NETWORKDAYS(P25,Q25,JoursFeries)-1)*(HFer-HOuv)+IF(NETWORKDAYS(Q25,Q25,JoursFeries),MEDIAN(MOD(Q25,1),HFer,HOuv),HFer)-IF(NETWORKDAYS(P25,P25,JoursFeries),MEDIAN(MOD(P25,1),HFer,HOuv),HOuv))*24,4))))</f>
        <v/>
      </c>
      <c r="AW25" s="37" t="str">
        <f aca="false">IF(AO25&lt;&gt;1,"",IFERROR(ROUND(IF(OR(P25="",R25=""),"",IF(R25&lt;P25,"",ROUND(((NETWORKDAYS(P25,R25,JoursFeries)-1)*(HFer-HOuv)+IF(NETWORKDAYS(R25,R25,JoursFeries),MEDIAN(MOD(R25,1),HFer,HOuv),HFer)-IF(NETWORKDAYS(P25,P25,JoursFeries),MEDIAN(MOD(P25,1),HFer,HOuv),HOuv))*24,4)))/HJour,4),""))</f>
        <v/>
      </c>
      <c r="AX25" s="37" t="str">
        <f aca="false">IF(AO25&lt;&gt;1,"",IFERROR(ROUND(IF(OR(P25="",S25=""),"",IF(S25&lt;P25,"",ROUND(((NETWORKDAYS(P25,S25,JoursFeries)-1)*(HFer-HOuv)+IF(NETWORKDAYS(S25,S25,JoursFeries),MEDIAN(MOD(S25,1),HFer,HOuv),HFer)-IF(NETWORKDAYS(P25,P25,JoursFeries),MEDIAN(MOD(P25,1),HFer,HOuv),HOuv))*24,4)))/HJour,4),""))</f>
        <v/>
      </c>
      <c r="AY25" s="36" t="str">
        <f aca="false">IF(OR(AO25&lt;&gt;1,AR25=""),"",INDEX(SLA_PEC,AR25))</f>
        <v/>
      </c>
      <c r="AZ25" s="35" t="str">
        <f aca="false">IF(OR(AV25="",AY25=""),"",IF(AV25&lt;=AY25,1,0))</f>
        <v/>
      </c>
      <c r="BA25" s="36" t="str">
        <f aca="false">IF(OR(AO25&lt;&gt;1,AR25=""),"",INDEX(SLA_RES,AR25))</f>
        <v/>
      </c>
      <c r="BB25" s="35" t="str">
        <f aca="false">IF(OR(AW25="",BA25=""),"",IF(AW25&lt;=BA25,1,0))</f>
        <v/>
      </c>
      <c r="BC25" s="38" t="str">
        <f aca="false">IF(OR(BA25="",P25=""),"",WORKDAY(INT(P25),BA25,JoursFeries)+MOD(P25,1))</f>
        <v/>
      </c>
      <c r="BD25" s="39" t="str">
        <f aca="false">IF(AO25&lt;&gt;1,"",IF(OR(AB25&lt;&gt;"",AD25&lt;&gt;""),4,IF(U25&lt;&gt;"",3,IF(T25&lt;&gt;"",2,1))))</f>
        <v/>
      </c>
      <c r="BE25" s="39" t="str">
        <f aca="false">IF(OR(AO25&lt;&gt;1,AR25=""),"",INDEX(NIV_REQ,AR25))</f>
        <v/>
      </c>
      <c r="BF25" s="39" t="str">
        <f aca="false">IF(BE25="","",MAX(BE25,IF(OR(K25="Oui",Z25="Oui"),4,1)))</f>
        <v/>
      </c>
      <c r="BG25" s="35" t="str">
        <f aca="false">IF(OR(BF25="",BD25=""),"",IF(BD25&gt;=BF25,1,0))</f>
        <v/>
      </c>
      <c r="BH25" s="38" t="str">
        <f aca="false">IF(BE25="","",IF(BE25&lt;2,"",IF(BE25=2,IF(AND(T25="",U25=""),"",MIN(T25,U25)),IF(U25="","",U25))))</f>
        <v/>
      </c>
      <c r="BI25" s="37" t="str">
        <f aca="false">IF(BH25="","",IF(OR(O25="",BH25=""),"",IF(BH25&lt;O25,"",ROUND(((NETWORKDAYS(O25,BH25,JoursFeries)-1)*(HFer-HOuv)+IF(NETWORKDAYS(BH25,BH25,JoursFeries),MEDIAN(MOD(BH25,1),HFer,HOuv),HFer)-IF(NETWORKDAYS(O25,O25,JoursFeries),MEDIAN(MOD(O25,1),HFer,HOuv),HOuv))*24,4))))</f>
        <v/>
      </c>
      <c r="BJ25" s="35" t="str">
        <f aca="false">IF(OR(BI25="",AR25=""),"",IF(BI25&lt;=INDEX(DELAI_ESC,AR25),1,0))</f>
        <v/>
      </c>
      <c r="BK25" s="38" t="str">
        <f aca="false">IF(AO25&lt;&gt;1,"",IF(AND(T25="",U25=""),"",MIN(T25,U25)))</f>
        <v/>
      </c>
      <c r="BL25" s="37" t="str">
        <f aca="false">IF(OR(BK25="",R25=""),"",IFERROR(ROUND(IF(OR(BK25="",R25=""),"",IF(R25&lt;BK25,"",ROUND(((NETWORKDAYS(BK25,R25,JoursFeries)-1)*(HFer-HOuv)+IF(NETWORKDAYS(R25,R25,JoursFeries),MEDIAN(MOD(R25,1),HFer,HOuv),HFer)-IF(NETWORKDAYS(BK25,BK25,JoursFeries),MEDIAN(MOD(BK25,1),HFer,HOuv),HOuv))*24,4)))/HJour,4),""))</f>
        <v/>
      </c>
      <c r="BM25" s="35" t="str">
        <f aca="false">IF(OR(AO25&lt;&gt;1,R25=""),"",IF(BD25=1,1,0))</f>
        <v/>
      </c>
      <c r="BN25" s="35" t="str">
        <f aca="false">IF(AO25&lt;&gt;1,"",IF(W25="Oui",1,0))</f>
        <v/>
      </c>
      <c r="BO25" s="35" t="str">
        <f aca="false">IF(AO25&lt;&gt;1,"",IF(X25&lt;&gt;"",1,0))</f>
        <v/>
      </c>
      <c r="BP25" s="35" t="str">
        <f aca="false">IF(AO25&lt;&gt;1,"",IF(Y25="Oui",1,0))</f>
        <v/>
      </c>
      <c r="BQ25" s="35" t="str">
        <f aca="true">IF(OR(AO25&lt;&gt;1,Z25&lt;&gt;"Oui"),"",IF(AB25="",IF(AND(AA25&lt;&gt;"",NOW()&gt;AA25),0,""),IF(AA25="","",IF(AB25&lt;=AA25,1,0))))</f>
        <v/>
      </c>
      <c r="BR25" s="38" t="str">
        <f aca="false">IF(OR(AO25&lt;&gt;1,K25&lt;&gt;"Oui",O25=""),"",IF(AC25="",O25+DORA_H_DET/24,IF(AC25-O25&lt;=DORA_H_DET/24,MIN(AC25+DORA_H_CLA/24,O25+DORA_H_DET/24),AC25+DORA_H_CLA/24)))</f>
        <v/>
      </c>
      <c r="BS25" s="35" t="str">
        <f aca="true">IF(BR25="","",IF(AD25="",IF(NOW()&gt;BR25,0,""),IF(AD25&lt;=BR25,1,0)))</f>
        <v/>
      </c>
      <c r="BT25" s="35" t="str">
        <f aca="true">IF(OR(BR25="",AD25=""),"",IF(AE25="",IF(NOW()&gt;AD25+DORA_H_INT/24,0,""),IF(AE25&lt;=AD25+DORA_H_INT/24,1,0)))</f>
        <v/>
      </c>
      <c r="BU25" s="35" t="str">
        <f aca="true">IF(OR(BR25="",AE25=""),"",IF(AF25="",IF(NOW()&gt;EDATE(AE25,DORA_M_FIN)+1,0,""),IF(AF25&lt;=EDATE(AE25,DORA_M_FIN),1,0)))</f>
        <v/>
      </c>
      <c r="BV25" s="35" t="str">
        <f aca="false">IF(BR25="","",IF(COUNT(BS25:BU25)=0,"",MIN(BS25:BU25)))</f>
        <v/>
      </c>
      <c r="BW25" s="40" t="str">
        <f aca="false">IF(AQ25&lt;&gt;1,"",IF(AND(AG25="",AH25=""),"",N(AG25)-N(AH25)))</f>
        <v/>
      </c>
      <c r="BX25" s="35" t="str">
        <f aca="true">IF(OR(AQ25&lt;&gt;1,AI25&lt;&gt;"Oui",AJ25=""),"",IF(AK25="",IF(NOW()&gt;AJ25+1,0,""),IF(AK25&lt;=AJ25,1,0)))</f>
        <v/>
      </c>
    </row>
    <row r="26" customFormat="false" ht="15" hidden="false" customHeight="false" outlineLevel="0" collapsed="false">
      <c r="B26" s="29" t="s">
        <v>227</v>
      </c>
      <c r="C26" s="29" t="s">
        <v>160</v>
      </c>
      <c r="D26" s="29" t="s">
        <v>161</v>
      </c>
      <c r="E26" s="29" t="s">
        <v>203</v>
      </c>
      <c r="F26" s="29" t="s">
        <v>204</v>
      </c>
      <c r="G26" s="29" t="s">
        <v>164</v>
      </c>
      <c r="H26" s="29" t="s">
        <v>182</v>
      </c>
      <c r="I26" s="29" t="s">
        <v>228</v>
      </c>
      <c r="J26" s="29" t="s">
        <v>167</v>
      </c>
      <c r="K26" s="29" t="s">
        <v>168</v>
      </c>
      <c r="L26" s="29" t="s">
        <v>169</v>
      </c>
      <c r="M26" s="29" t="s">
        <v>165</v>
      </c>
      <c r="N26" s="30" t="n">
        <v>46015.3784722222</v>
      </c>
      <c r="O26" s="30" t="n">
        <v>46015.5729166667</v>
      </c>
      <c r="P26" s="30" t="n">
        <v>46015.5798611111</v>
      </c>
      <c r="Q26" s="30" t="n">
        <v>46017.3819444445</v>
      </c>
      <c r="R26" s="30" t="n">
        <v>46017.6388888889</v>
      </c>
      <c r="S26" s="30" t="n">
        <v>46028.7083333333</v>
      </c>
      <c r="T26" s="30"/>
      <c r="U26" s="30"/>
      <c r="V26" s="31" t="n">
        <v>0</v>
      </c>
      <c r="W26" s="29" t="s">
        <v>168</v>
      </c>
      <c r="X26" s="29"/>
      <c r="Y26" s="29" t="s">
        <v>168</v>
      </c>
      <c r="Z26" s="29" t="s">
        <v>168</v>
      </c>
      <c r="AA26" s="30"/>
      <c r="AB26" s="30"/>
      <c r="AC26" s="30"/>
      <c r="AD26" s="30"/>
      <c r="AE26" s="30"/>
      <c r="AF26" s="32"/>
      <c r="AG26" s="33"/>
      <c r="AH26" s="33"/>
      <c r="AI26" s="29" t="s">
        <v>189</v>
      </c>
      <c r="AJ26" s="32" t="n">
        <v>46045</v>
      </c>
      <c r="AK26" s="32" t="n">
        <v>46042</v>
      </c>
      <c r="AL26" s="29"/>
      <c r="AN26" s="34" t="str">
        <f aca="false">IF($B26="","",IF(OR(C26="",D26="",E26="",G26="",I26="",J26="",L26="",O26="",P26=""),"Champ obligatoire manquant",IF(OR(AND(N26&lt;&gt;"",N26&gt;O26),O26&gt;P26,AND(Q26&lt;&gt;"",Q26&lt;P26),AND(R26&lt;&gt;"",R26&lt;P26),AND(S26&lt;&gt;"",S26&lt;R26),AND(S26&lt;&gt;"",R26=""),AND(T26&lt;&gt;"",T26&lt;O26),AND(U26&lt;&gt;"",U26&lt;O26)),"Chronologie incohérente",IF(AND(OR(L26="Résolu",L26="Clos"),R26=""),"Date de résolution manquante",IF(AND(L26="Clos",S26=""),"Date de clôture manquante",IF(AND(K26="Oui",AC26=""),"Classification DORA manquante","OK"))))))</f>
        <v>OK</v>
      </c>
      <c r="AO26" s="35" t="n">
        <f aca="false">IF($B26="","",IF(AND(C26="Incident",L26&lt;&gt;"Annulé"),1,0))</f>
        <v>0</v>
      </c>
      <c r="AP26" s="35" t="n">
        <f aca="false">IF($B26="","",IF(AND(C26="Quasi-incident",L26&lt;&gt;"Annulé"),1,0))</f>
        <v>1</v>
      </c>
      <c r="AQ26" s="35" t="n">
        <f aca="false">IF($B26="","",AO26+AP26)</f>
        <v>1</v>
      </c>
      <c r="AR26" s="36" t="n">
        <f aca="false">IF(OR($B26="",J26=""),"",IFERROR(VALUE(LEFT(J26,1)),""))</f>
        <v>3</v>
      </c>
      <c r="AS26" s="35" t="str">
        <f aca="false">IF(OR(AO26&lt;&gt;1,G26=""),"",IFERROR(IF(INDEX(L_SrcInterne,MATCH(G26,L_Sources,0))="Oui",1,0),""))</f>
        <v/>
      </c>
      <c r="AT26" s="37" t="str">
        <f aca="false">IF(AO26&lt;&gt;1,"",IFERROR(ROUND(IF(OR(N26="",O26=""),"",IF(O26&lt;N26,"",ROUND(((NETWORKDAYS(N26,O26,JoursFeries)-1)*(HFer-HOuv)+IF(NETWORKDAYS(O26,O26,JoursFeries),MEDIAN(MOD(O26,1),HFer,HOuv),HFer)-IF(NETWORKDAYS(N26,N26,JoursFeries),MEDIAN(MOD(N26,1),HFer,HOuv),HOuv))*24,4)))/HJour,4),""))</f>
        <v/>
      </c>
      <c r="AU26" s="37" t="str">
        <f aca="false">IF(AO26&lt;&gt;1,"",IF(OR(O26="",P26=""),"",IF(P26&lt;O26,"",ROUND(((NETWORKDAYS(O26,P26,JoursFeries)-1)*(HFer-HOuv)+IF(NETWORKDAYS(P26,P26,JoursFeries),MEDIAN(MOD(P26,1),HFer,HOuv),HFer)-IF(NETWORKDAYS(O26,O26,JoursFeries),MEDIAN(MOD(O26,1),HFer,HOuv),HOuv))*24,4))))</f>
        <v/>
      </c>
      <c r="AV26" s="37" t="str">
        <f aca="false">IF(AO26&lt;&gt;1,"",IF(OR(P26="",Q26=""),"",IF(Q26&lt;P26,"",ROUND(((NETWORKDAYS(P26,Q26,JoursFeries)-1)*(HFer-HOuv)+IF(NETWORKDAYS(Q26,Q26,JoursFeries),MEDIAN(MOD(Q26,1),HFer,HOuv),HFer)-IF(NETWORKDAYS(P26,P26,JoursFeries),MEDIAN(MOD(P26,1),HFer,HOuv),HOuv))*24,4))))</f>
        <v/>
      </c>
      <c r="AW26" s="37" t="str">
        <f aca="false">IF(AO26&lt;&gt;1,"",IFERROR(ROUND(IF(OR(P26="",R26=""),"",IF(R26&lt;P26,"",ROUND(((NETWORKDAYS(P26,R26,JoursFeries)-1)*(HFer-HOuv)+IF(NETWORKDAYS(R26,R26,JoursFeries),MEDIAN(MOD(R26,1),HFer,HOuv),HFer)-IF(NETWORKDAYS(P26,P26,JoursFeries),MEDIAN(MOD(P26,1),HFer,HOuv),HOuv))*24,4)))/HJour,4),""))</f>
        <v/>
      </c>
      <c r="AX26" s="37" t="str">
        <f aca="false">IF(AO26&lt;&gt;1,"",IFERROR(ROUND(IF(OR(P26="",S26=""),"",IF(S26&lt;P26,"",ROUND(((NETWORKDAYS(P26,S26,JoursFeries)-1)*(HFer-HOuv)+IF(NETWORKDAYS(S26,S26,JoursFeries),MEDIAN(MOD(S26,1),HFer,HOuv),HFer)-IF(NETWORKDAYS(P26,P26,JoursFeries),MEDIAN(MOD(P26,1),HFer,HOuv),HOuv))*24,4)))/HJour,4),""))</f>
        <v/>
      </c>
      <c r="AY26" s="36" t="str">
        <f aca="false">IF(OR(AO26&lt;&gt;1,AR26=""),"",INDEX(SLA_PEC,AR26))</f>
        <v/>
      </c>
      <c r="AZ26" s="35" t="str">
        <f aca="false">IF(OR(AV26="",AY26=""),"",IF(AV26&lt;=AY26,1,0))</f>
        <v/>
      </c>
      <c r="BA26" s="36" t="str">
        <f aca="false">IF(OR(AO26&lt;&gt;1,AR26=""),"",INDEX(SLA_RES,AR26))</f>
        <v/>
      </c>
      <c r="BB26" s="35" t="str">
        <f aca="false">IF(OR(AW26="",BA26=""),"",IF(AW26&lt;=BA26,1,0))</f>
        <v/>
      </c>
      <c r="BC26" s="38" t="str">
        <f aca="false">IF(OR(BA26="",P26=""),"",WORKDAY(INT(P26),BA26,JoursFeries)+MOD(P26,1))</f>
        <v/>
      </c>
      <c r="BD26" s="39" t="str">
        <f aca="false">IF(AO26&lt;&gt;1,"",IF(OR(AB26&lt;&gt;"",AD26&lt;&gt;""),4,IF(U26&lt;&gt;"",3,IF(T26&lt;&gt;"",2,1))))</f>
        <v/>
      </c>
      <c r="BE26" s="39" t="str">
        <f aca="false">IF(OR(AO26&lt;&gt;1,AR26=""),"",INDEX(NIV_REQ,AR26))</f>
        <v/>
      </c>
      <c r="BF26" s="39" t="str">
        <f aca="false">IF(BE26="","",MAX(BE26,IF(OR(K26="Oui",Z26="Oui"),4,1)))</f>
        <v/>
      </c>
      <c r="BG26" s="35" t="str">
        <f aca="false">IF(OR(BF26="",BD26=""),"",IF(BD26&gt;=BF26,1,0))</f>
        <v/>
      </c>
      <c r="BH26" s="38" t="str">
        <f aca="false">IF(BE26="","",IF(BE26&lt;2,"",IF(BE26=2,IF(AND(T26="",U26=""),"",MIN(T26,U26)),IF(U26="","",U26))))</f>
        <v/>
      </c>
      <c r="BI26" s="37" t="str">
        <f aca="false">IF(BH26="","",IF(OR(O26="",BH26=""),"",IF(BH26&lt;O26,"",ROUND(((NETWORKDAYS(O26,BH26,JoursFeries)-1)*(HFer-HOuv)+IF(NETWORKDAYS(BH26,BH26,JoursFeries),MEDIAN(MOD(BH26,1),HFer,HOuv),HFer)-IF(NETWORKDAYS(O26,O26,JoursFeries),MEDIAN(MOD(O26,1),HFer,HOuv),HOuv))*24,4))))</f>
        <v/>
      </c>
      <c r="BJ26" s="35" t="str">
        <f aca="false">IF(OR(BI26="",AR26=""),"",IF(BI26&lt;=INDEX(DELAI_ESC,AR26),1,0))</f>
        <v/>
      </c>
      <c r="BK26" s="38" t="str">
        <f aca="false">IF(AO26&lt;&gt;1,"",IF(AND(T26="",U26=""),"",MIN(T26,U26)))</f>
        <v/>
      </c>
      <c r="BL26" s="37" t="str">
        <f aca="false">IF(OR(BK26="",R26=""),"",IFERROR(ROUND(IF(OR(BK26="",R26=""),"",IF(R26&lt;BK26,"",ROUND(((NETWORKDAYS(BK26,R26,JoursFeries)-1)*(HFer-HOuv)+IF(NETWORKDAYS(R26,R26,JoursFeries),MEDIAN(MOD(R26,1),HFer,HOuv),HFer)-IF(NETWORKDAYS(BK26,BK26,JoursFeries),MEDIAN(MOD(BK26,1),HFer,HOuv),HOuv))*24,4)))/HJour,4),""))</f>
        <v/>
      </c>
      <c r="BM26" s="35" t="str">
        <f aca="false">IF(OR(AO26&lt;&gt;1,R26=""),"",IF(BD26=1,1,0))</f>
        <v/>
      </c>
      <c r="BN26" s="35" t="str">
        <f aca="false">IF(AO26&lt;&gt;1,"",IF(W26="Oui",1,0))</f>
        <v/>
      </c>
      <c r="BO26" s="35" t="str">
        <f aca="false">IF(AO26&lt;&gt;1,"",IF(X26&lt;&gt;"",1,0))</f>
        <v/>
      </c>
      <c r="BP26" s="35" t="str">
        <f aca="false">IF(AO26&lt;&gt;1,"",IF(Y26="Oui",1,0))</f>
        <v/>
      </c>
      <c r="BQ26" s="35" t="str">
        <f aca="true">IF(OR(AO26&lt;&gt;1,Z26&lt;&gt;"Oui"),"",IF(AB26="",IF(AND(AA26&lt;&gt;"",NOW()&gt;AA26),0,""),IF(AA26="","",IF(AB26&lt;=AA26,1,0))))</f>
        <v/>
      </c>
      <c r="BR26" s="38" t="str">
        <f aca="false">IF(OR(AO26&lt;&gt;1,K26&lt;&gt;"Oui",O26=""),"",IF(AC26="",O26+DORA_H_DET/24,IF(AC26-O26&lt;=DORA_H_DET/24,MIN(AC26+DORA_H_CLA/24,O26+DORA_H_DET/24),AC26+DORA_H_CLA/24)))</f>
        <v/>
      </c>
      <c r="BS26" s="35" t="str">
        <f aca="true">IF(BR26="","",IF(AD26="",IF(NOW()&gt;BR26,0,""),IF(AD26&lt;=BR26,1,0)))</f>
        <v/>
      </c>
      <c r="BT26" s="35" t="str">
        <f aca="true">IF(OR(BR26="",AD26=""),"",IF(AE26="",IF(NOW()&gt;AD26+DORA_H_INT/24,0,""),IF(AE26&lt;=AD26+DORA_H_INT/24,1,0)))</f>
        <v/>
      </c>
      <c r="BU26" s="35" t="str">
        <f aca="true">IF(OR(BR26="",AE26=""),"",IF(AF26="",IF(NOW()&gt;EDATE(AE26,DORA_M_FIN)+1,0,""),IF(AF26&lt;=EDATE(AE26,DORA_M_FIN),1,0)))</f>
        <v/>
      </c>
      <c r="BV26" s="35" t="str">
        <f aca="false">IF(BR26="","",IF(COUNT(BS26:BU26)=0,"",MIN(BS26:BU26)))</f>
        <v/>
      </c>
      <c r="BW26" s="40" t="str">
        <f aca="false">IF(AQ26&lt;&gt;1,"",IF(AND(AG26="",AH26=""),"",N(AG26)-N(AH26)))</f>
        <v/>
      </c>
      <c r="BX26" s="35" t="n">
        <f aca="true">IF(OR(AQ26&lt;&gt;1,AI26&lt;&gt;"Oui",AJ26=""),"",IF(AK26="",IF(NOW()&gt;AJ26+1,0,""),IF(AK26&lt;=AJ26,1,0)))</f>
        <v>1</v>
      </c>
    </row>
    <row r="27" customFormat="false" ht="15" hidden="false" customHeight="false" outlineLevel="0" collapsed="false">
      <c r="B27" s="29" t="s">
        <v>229</v>
      </c>
      <c r="C27" s="29" t="s">
        <v>160</v>
      </c>
      <c r="D27" s="29" t="s">
        <v>161</v>
      </c>
      <c r="E27" s="29" t="s">
        <v>203</v>
      </c>
      <c r="F27" s="29" t="s">
        <v>204</v>
      </c>
      <c r="G27" s="29" t="s">
        <v>185</v>
      </c>
      <c r="H27" s="29" t="s">
        <v>182</v>
      </c>
      <c r="I27" s="29" t="s">
        <v>228</v>
      </c>
      <c r="J27" s="29" t="s">
        <v>167</v>
      </c>
      <c r="K27" s="29" t="s">
        <v>168</v>
      </c>
      <c r="L27" s="29" t="s">
        <v>169</v>
      </c>
      <c r="M27" s="29" t="s">
        <v>174</v>
      </c>
      <c r="N27" s="30" t="n">
        <v>46022.3576388889</v>
      </c>
      <c r="O27" s="30" t="n">
        <v>46022.4548611111</v>
      </c>
      <c r="P27" s="30" t="n">
        <v>46022.4965277778</v>
      </c>
      <c r="Q27" s="30" t="n">
        <v>46022.5416666667</v>
      </c>
      <c r="R27" s="30" t="n">
        <v>46024.6354166667</v>
      </c>
      <c r="S27" s="30" t="n">
        <v>46031.6701388889</v>
      </c>
      <c r="T27" s="30"/>
      <c r="U27" s="30"/>
      <c r="V27" s="31" t="n">
        <v>0</v>
      </c>
      <c r="W27" s="29" t="s">
        <v>168</v>
      </c>
      <c r="X27" s="29"/>
      <c r="Y27" s="29" t="s">
        <v>168</v>
      </c>
      <c r="Z27" s="29" t="s">
        <v>168</v>
      </c>
      <c r="AA27" s="30"/>
      <c r="AB27" s="30"/>
      <c r="AC27" s="30"/>
      <c r="AD27" s="30"/>
      <c r="AE27" s="30"/>
      <c r="AF27" s="32"/>
      <c r="AG27" s="33"/>
      <c r="AH27" s="33"/>
      <c r="AI27" s="29" t="s">
        <v>168</v>
      </c>
      <c r="AJ27" s="32"/>
      <c r="AK27" s="32"/>
      <c r="AL27" s="29"/>
      <c r="AN27" s="34" t="str">
        <f aca="false">IF($B27="","",IF(OR(C27="",D27="",E27="",G27="",I27="",J27="",L27="",O27="",P27=""),"Champ obligatoire manquant",IF(OR(AND(N27&lt;&gt;"",N27&gt;O27),O27&gt;P27,AND(Q27&lt;&gt;"",Q27&lt;P27),AND(R27&lt;&gt;"",R27&lt;P27),AND(S27&lt;&gt;"",S27&lt;R27),AND(S27&lt;&gt;"",R27=""),AND(T27&lt;&gt;"",T27&lt;O27),AND(U27&lt;&gt;"",U27&lt;O27)),"Chronologie incohérente",IF(AND(OR(L27="Résolu",L27="Clos"),R27=""),"Date de résolution manquante",IF(AND(L27="Clos",S27=""),"Date de clôture manquante",IF(AND(K27="Oui",AC27=""),"Classification DORA manquante","OK"))))))</f>
        <v>OK</v>
      </c>
      <c r="AO27" s="35" t="n">
        <f aca="false">IF($B27="","",IF(AND(C27="Incident",L27&lt;&gt;"Annulé"),1,0))</f>
        <v>0</v>
      </c>
      <c r="AP27" s="35" t="n">
        <f aca="false">IF($B27="","",IF(AND(C27="Quasi-incident",L27&lt;&gt;"Annulé"),1,0))</f>
        <v>1</v>
      </c>
      <c r="AQ27" s="35" t="n">
        <f aca="false">IF($B27="","",AO27+AP27)</f>
        <v>1</v>
      </c>
      <c r="AR27" s="36" t="n">
        <f aca="false">IF(OR($B27="",J27=""),"",IFERROR(VALUE(LEFT(J27,1)),""))</f>
        <v>3</v>
      </c>
      <c r="AS27" s="35" t="str">
        <f aca="false">IF(OR(AO27&lt;&gt;1,G27=""),"",IFERROR(IF(INDEX(L_SrcInterne,MATCH(G27,L_Sources,0))="Oui",1,0),""))</f>
        <v/>
      </c>
      <c r="AT27" s="37" t="str">
        <f aca="false">IF(AO27&lt;&gt;1,"",IFERROR(ROUND(IF(OR(N27="",O27=""),"",IF(O27&lt;N27,"",ROUND(((NETWORKDAYS(N27,O27,JoursFeries)-1)*(HFer-HOuv)+IF(NETWORKDAYS(O27,O27,JoursFeries),MEDIAN(MOD(O27,1),HFer,HOuv),HFer)-IF(NETWORKDAYS(N27,N27,JoursFeries),MEDIAN(MOD(N27,1),HFer,HOuv),HOuv))*24,4)))/HJour,4),""))</f>
        <v/>
      </c>
      <c r="AU27" s="37" t="str">
        <f aca="false">IF(AO27&lt;&gt;1,"",IF(OR(O27="",P27=""),"",IF(P27&lt;O27,"",ROUND(((NETWORKDAYS(O27,P27,JoursFeries)-1)*(HFer-HOuv)+IF(NETWORKDAYS(P27,P27,JoursFeries),MEDIAN(MOD(P27,1),HFer,HOuv),HFer)-IF(NETWORKDAYS(O27,O27,JoursFeries),MEDIAN(MOD(O27,1),HFer,HOuv),HOuv))*24,4))))</f>
        <v/>
      </c>
      <c r="AV27" s="37" t="str">
        <f aca="false">IF(AO27&lt;&gt;1,"",IF(OR(P27="",Q27=""),"",IF(Q27&lt;P27,"",ROUND(((NETWORKDAYS(P27,Q27,JoursFeries)-1)*(HFer-HOuv)+IF(NETWORKDAYS(Q27,Q27,JoursFeries),MEDIAN(MOD(Q27,1),HFer,HOuv),HFer)-IF(NETWORKDAYS(P27,P27,JoursFeries),MEDIAN(MOD(P27,1),HFer,HOuv),HOuv))*24,4))))</f>
        <v/>
      </c>
      <c r="AW27" s="37" t="str">
        <f aca="false">IF(AO27&lt;&gt;1,"",IFERROR(ROUND(IF(OR(P27="",R27=""),"",IF(R27&lt;P27,"",ROUND(((NETWORKDAYS(P27,R27,JoursFeries)-1)*(HFer-HOuv)+IF(NETWORKDAYS(R27,R27,JoursFeries),MEDIAN(MOD(R27,1),HFer,HOuv),HFer)-IF(NETWORKDAYS(P27,P27,JoursFeries),MEDIAN(MOD(P27,1),HFer,HOuv),HOuv))*24,4)))/HJour,4),""))</f>
        <v/>
      </c>
      <c r="AX27" s="37" t="str">
        <f aca="false">IF(AO27&lt;&gt;1,"",IFERROR(ROUND(IF(OR(P27="",S27=""),"",IF(S27&lt;P27,"",ROUND(((NETWORKDAYS(P27,S27,JoursFeries)-1)*(HFer-HOuv)+IF(NETWORKDAYS(S27,S27,JoursFeries),MEDIAN(MOD(S27,1),HFer,HOuv),HFer)-IF(NETWORKDAYS(P27,P27,JoursFeries),MEDIAN(MOD(P27,1),HFer,HOuv),HOuv))*24,4)))/HJour,4),""))</f>
        <v/>
      </c>
      <c r="AY27" s="36" t="str">
        <f aca="false">IF(OR(AO27&lt;&gt;1,AR27=""),"",INDEX(SLA_PEC,AR27))</f>
        <v/>
      </c>
      <c r="AZ27" s="35" t="str">
        <f aca="false">IF(OR(AV27="",AY27=""),"",IF(AV27&lt;=AY27,1,0))</f>
        <v/>
      </c>
      <c r="BA27" s="36" t="str">
        <f aca="false">IF(OR(AO27&lt;&gt;1,AR27=""),"",INDEX(SLA_RES,AR27))</f>
        <v/>
      </c>
      <c r="BB27" s="35" t="str">
        <f aca="false">IF(OR(AW27="",BA27=""),"",IF(AW27&lt;=BA27,1,0))</f>
        <v/>
      </c>
      <c r="BC27" s="38" t="str">
        <f aca="false">IF(OR(BA27="",P27=""),"",WORKDAY(INT(P27),BA27,JoursFeries)+MOD(P27,1))</f>
        <v/>
      </c>
      <c r="BD27" s="39" t="str">
        <f aca="false">IF(AO27&lt;&gt;1,"",IF(OR(AB27&lt;&gt;"",AD27&lt;&gt;""),4,IF(U27&lt;&gt;"",3,IF(T27&lt;&gt;"",2,1))))</f>
        <v/>
      </c>
      <c r="BE27" s="39" t="str">
        <f aca="false">IF(OR(AO27&lt;&gt;1,AR27=""),"",INDEX(NIV_REQ,AR27))</f>
        <v/>
      </c>
      <c r="BF27" s="39" t="str">
        <f aca="false">IF(BE27="","",MAX(BE27,IF(OR(K27="Oui",Z27="Oui"),4,1)))</f>
        <v/>
      </c>
      <c r="BG27" s="35" t="str">
        <f aca="false">IF(OR(BF27="",BD27=""),"",IF(BD27&gt;=BF27,1,0))</f>
        <v/>
      </c>
      <c r="BH27" s="38" t="str">
        <f aca="false">IF(BE27="","",IF(BE27&lt;2,"",IF(BE27=2,IF(AND(T27="",U27=""),"",MIN(T27,U27)),IF(U27="","",U27))))</f>
        <v/>
      </c>
      <c r="BI27" s="37" t="str">
        <f aca="false">IF(BH27="","",IF(OR(O27="",BH27=""),"",IF(BH27&lt;O27,"",ROUND(((NETWORKDAYS(O27,BH27,JoursFeries)-1)*(HFer-HOuv)+IF(NETWORKDAYS(BH27,BH27,JoursFeries),MEDIAN(MOD(BH27,1),HFer,HOuv),HFer)-IF(NETWORKDAYS(O27,O27,JoursFeries),MEDIAN(MOD(O27,1),HFer,HOuv),HOuv))*24,4))))</f>
        <v/>
      </c>
      <c r="BJ27" s="35" t="str">
        <f aca="false">IF(OR(BI27="",AR27=""),"",IF(BI27&lt;=INDEX(DELAI_ESC,AR27),1,0))</f>
        <v/>
      </c>
      <c r="BK27" s="38" t="str">
        <f aca="false">IF(AO27&lt;&gt;1,"",IF(AND(T27="",U27=""),"",MIN(T27,U27)))</f>
        <v/>
      </c>
      <c r="BL27" s="37" t="str">
        <f aca="false">IF(OR(BK27="",R27=""),"",IFERROR(ROUND(IF(OR(BK27="",R27=""),"",IF(R27&lt;BK27,"",ROUND(((NETWORKDAYS(BK27,R27,JoursFeries)-1)*(HFer-HOuv)+IF(NETWORKDAYS(R27,R27,JoursFeries),MEDIAN(MOD(R27,1),HFer,HOuv),HFer)-IF(NETWORKDAYS(BK27,BK27,JoursFeries),MEDIAN(MOD(BK27,1),HFer,HOuv),HOuv))*24,4)))/HJour,4),""))</f>
        <v/>
      </c>
      <c r="BM27" s="35" t="str">
        <f aca="false">IF(OR(AO27&lt;&gt;1,R27=""),"",IF(BD27=1,1,0))</f>
        <v/>
      </c>
      <c r="BN27" s="35" t="str">
        <f aca="false">IF(AO27&lt;&gt;1,"",IF(W27="Oui",1,0))</f>
        <v/>
      </c>
      <c r="BO27" s="35" t="str">
        <f aca="false">IF(AO27&lt;&gt;1,"",IF(X27&lt;&gt;"",1,0))</f>
        <v/>
      </c>
      <c r="BP27" s="35" t="str">
        <f aca="false">IF(AO27&lt;&gt;1,"",IF(Y27="Oui",1,0))</f>
        <v/>
      </c>
      <c r="BQ27" s="35" t="str">
        <f aca="true">IF(OR(AO27&lt;&gt;1,Z27&lt;&gt;"Oui"),"",IF(AB27="",IF(AND(AA27&lt;&gt;"",NOW()&gt;AA27),0,""),IF(AA27="","",IF(AB27&lt;=AA27,1,0))))</f>
        <v/>
      </c>
      <c r="BR27" s="38" t="str">
        <f aca="false">IF(OR(AO27&lt;&gt;1,K27&lt;&gt;"Oui",O27=""),"",IF(AC27="",O27+DORA_H_DET/24,IF(AC27-O27&lt;=DORA_H_DET/24,MIN(AC27+DORA_H_CLA/24,O27+DORA_H_DET/24),AC27+DORA_H_CLA/24)))</f>
        <v/>
      </c>
      <c r="BS27" s="35" t="str">
        <f aca="true">IF(BR27="","",IF(AD27="",IF(NOW()&gt;BR27,0,""),IF(AD27&lt;=BR27,1,0)))</f>
        <v/>
      </c>
      <c r="BT27" s="35" t="str">
        <f aca="true">IF(OR(BR27="",AD27=""),"",IF(AE27="",IF(NOW()&gt;AD27+DORA_H_INT/24,0,""),IF(AE27&lt;=AD27+DORA_H_INT/24,1,0)))</f>
        <v/>
      </c>
      <c r="BU27" s="35" t="str">
        <f aca="true">IF(OR(BR27="",AE27=""),"",IF(AF27="",IF(NOW()&gt;EDATE(AE27,DORA_M_FIN)+1,0,""),IF(AF27&lt;=EDATE(AE27,DORA_M_FIN),1,0)))</f>
        <v/>
      </c>
      <c r="BV27" s="35" t="str">
        <f aca="false">IF(BR27="","",IF(COUNT(BS27:BU27)=0,"",MIN(BS27:BU27)))</f>
        <v/>
      </c>
      <c r="BW27" s="40" t="str">
        <f aca="false">IF(AQ27&lt;&gt;1,"",IF(AND(AG27="",AH27=""),"",N(AG27)-N(AH27)))</f>
        <v/>
      </c>
      <c r="BX27" s="35" t="str">
        <f aca="true">IF(OR(AQ27&lt;&gt;1,AI27&lt;&gt;"Oui",AJ27=""),"",IF(AK27="",IF(NOW()&gt;AJ27+1,0,""),IF(AK27&lt;=AJ27,1,0)))</f>
        <v/>
      </c>
    </row>
    <row r="28" customFormat="false" ht="15" hidden="false" customHeight="false" outlineLevel="0" collapsed="false">
      <c r="B28" s="29" t="s">
        <v>230</v>
      </c>
      <c r="C28" s="29" t="s">
        <v>178</v>
      </c>
      <c r="D28" s="29" t="s">
        <v>184</v>
      </c>
      <c r="E28" s="29" t="s">
        <v>231</v>
      </c>
      <c r="F28" s="29" t="s">
        <v>172</v>
      </c>
      <c r="G28" s="29" t="s">
        <v>211</v>
      </c>
      <c r="H28" s="29" t="s">
        <v>165</v>
      </c>
      <c r="I28" s="29" t="s">
        <v>232</v>
      </c>
      <c r="J28" s="29" t="s">
        <v>167</v>
      </c>
      <c r="K28" s="29" t="s">
        <v>168</v>
      </c>
      <c r="L28" s="29" t="s">
        <v>169</v>
      </c>
      <c r="M28" s="29" t="s">
        <v>188</v>
      </c>
      <c r="N28" s="30" t="n">
        <v>46019.6527777778</v>
      </c>
      <c r="O28" s="30" t="n">
        <v>46024.6527777778</v>
      </c>
      <c r="P28" s="30" t="n">
        <v>46024.6736111111</v>
      </c>
      <c r="Q28" s="30" t="n">
        <v>46027.4895833333</v>
      </c>
      <c r="R28" s="30" t="n">
        <v>46030.7152777778</v>
      </c>
      <c r="S28" s="30" t="n">
        <v>46057.6805555556</v>
      </c>
      <c r="T28" s="30"/>
      <c r="U28" s="30"/>
      <c r="V28" s="31" t="n">
        <v>0</v>
      </c>
      <c r="W28" s="29" t="s">
        <v>168</v>
      </c>
      <c r="X28" s="29"/>
      <c r="Y28" s="29" t="s">
        <v>168</v>
      </c>
      <c r="Z28" s="29" t="s">
        <v>168</v>
      </c>
      <c r="AA28" s="30"/>
      <c r="AB28" s="30"/>
      <c r="AC28" s="30"/>
      <c r="AD28" s="30"/>
      <c r="AE28" s="30"/>
      <c r="AF28" s="32"/>
      <c r="AG28" s="33"/>
      <c r="AH28" s="33"/>
      <c r="AI28" s="29" t="s">
        <v>189</v>
      </c>
      <c r="AJ28" s="32" t="n">
        <v>46063</v>
      </c>
      <c r="AK28" s="32" t="n">
        <v>46060</v>
      </c>
      <c r="AL28" s="29"/>
      <c r="AN28" s="34" t="str">
        <f aca="false">IF($B28="","",IF(OR(C28="",D28="",E28="",G28="",I28="",J28="",L28="",O28="",P28=""),"Champ obligatoire manquant",IF(OR(AND(N28&lt;&gt;"",N28&gt;O28),O28&gt;P28,AND(Q28&lt;&gt;"",Q28&lt;P28),AND(R28&lt;&gt;"",R28&lt;P28),AND(S28&lt;&gt;"",S28&lt;R28),AND(S28&lt;&gt;"",R28=""),AND(T28&lt;&gt;"",T28&lt;O28),AND(U28&lt;&gt;"",U28&lt;O28)),"Chronologie incohérente",IF(AND(OR(L28="Résolu",L28="Clos"),R28=""),"Date de résolution manquante",IF(AND(L28="Clos",S28=""),"Date de clôture manquante",IF(AND(K28="Oui",AC28=""),"Classification DORA manquante","OK"))))))</f>
        <v>OK</v>
      </c>
      <c r="AO28" s="35" t="n">
        <f aca="false">IF($B28="","",IF(AND(C28="Incident",L28&lt;&gt;"Annulé"),1,0))</f>
        <v>1</v>
      </c>
      <c r="AP28" s="35" t="n">
        <f aca="false">IF($B28="","",IF(AND(C28="Quasi-incident",L28&lt;&gt;"Annulé"),1,0))</f>
        <v>0</v>
      </c>
      <c r="AQ28" s="35" t="n">
        <f aca="false">IF($B28="","",AO28+AP28)</f>
        <v>1</v>
      </c>
      <c r="AR28" s="36" t="n">
        <f aca="false">IF(OR($B28="",J28=""),"",IFERROR(VALUE(LEFT(J28,1)),""))</f>
        <v>3</v>
      </c>
      <c r="AS28" s="35" t="n">
        <f aca="false">IF(OR(AO28&lt;&gt;1,G28=""),"",IFERROR(IF(INDEX(L_SrcInterne,MATCH(G28,L_Sources,0))="Oui",1,0),""))</f>
        <v>1</v>
      </c>
      <c r="AT28" s="37" t="n">
        <f aca="false">IF(AO28&lt;&gt;1,"",IFERROR(ROUND(IF(OR(N28="",O28=""),"",IF(O28&lt;N28,"",ROUND(((NETWORKDAYS(N28,O28,JoursFeries)-1)*(HFer-HOuv)+IF(NETWORKDAYS(O28,O28,JoursFeries),MEDIAN(MOD(O28,1),HFer,HOuv),HFer)-IF(NETWORKDAYS(N28,N28,JoursFeries),MEDIAN(MOD(N28,1),HFer,HOuv),HOuv))*24,4)))/HJour,4),""))</f>
        <v>3.7407</v>
      </c>
      <c r="AU28" s="37" t="n">
        <f aca="false">IF(AO28&lt;&gt;1,"",IF(OR(O28="",P28=""),"",IF(P28&lt;O28,"",ROUND(((NETWORKDAYS(O28,P28,JoursFeries)-1)*(HFer-HOuv)+IF(NETWORKDAYS(P28,P28,JoursFeries),MEDIAN(MOD(P28,1),HFer,HOuv),HFer)-IF(NETWORKDAYS(O28,O28,JoursFeries),MEDIAN(MOD(O28,1),HFer,HOuv),HOuv))*24,4))))</f>
        <v>0.5</v>
      </c>
      <c r="AV28" s="37" t="n">
        <f aca="false">IF(AO28&lt;&gt;1,"",IF(OR(P28="",Q28=""),"",IF(Q28&lt;P28,"",ROUND(((NETWORKDAYS(P28,Q28,JoursFeries)-1)*(HFer-HOuv)+IF(NETWORKDAYS(Q28,Q28,JoursFeries),MEDIAN(MOD(Q28,1),HFer,HOuv),HFer)-IF(NETWORKDAYS(P28,P28,JoursFeries),MEDIAN(MOD(P28,1),HFer,HOuv),HOuv))*24,4))))</f>
        <v>4.5833</v>
      </c>
      <c r="AW28" s="37" t="n">
        <f aca="false">IF(AO28&lt;&gt;1,"",IFERROR(ROUND(IF(OR(P28="",R28=""),"",IF(R28&lt;P28,"",ROUND(((NETWORKDAYS(P28,R28,JoursFeries)-1)*(HFer-HOuv)+IF(NETWORKDAYS(R28,R28,JoursFeries),MEDIAN(MOD(R28,1),HFer,HOuv),HFer)-IF(NETWORKDAYS(P28,P28,JoursFeries),MEDIAN(MOD(P28,1),HFer,HOuv),HOuv))*24,4)))/HJour,4),""))</f>
        <v>4.1111</v>
      </c>
      <c r="AX28" s="37" t="n">
        <f aca="false">IF(AO28&lt;&gt;1,"",IFERROR(ROUND(IF(OR(P28="",S28=""),"",IF(S28&lt;P28,"",ROUND(((NETWORKDAYS(P28,S28,JoursFeries)-1)*(HFer-HOuv)+IF(NETWORKDAYS(S28,S28,JoursFeries),MEDIAN(MOD(S28,1),HFer,HOuv),HFer)-IF(NETWORKDAYS(P28,P28,JoursFeries),MEDIAN(MOD(P28,1),HFer,HOuv),HOuv))*24,4)))/HJour,4),""))</f>
        <v>23.0185</v>
      </c>
      <c r="AY28" s="36" t="n">
        <f aca="false">IF(OR(AO28&lt;&gt;1,AR28=""),"",INDEX(SLA_PEC,AR28))</f>
        <v>9</v>
      </c>
      <c r="AZ28" s="35" t="n">
        <f aca="false">IF(OR(AV28="",AY28=""),"",IF(AV28&lt;=AY28,1,0))</f>
        <v>1</v>
      </c>
      <c r="BA28" s="36" t="n">
        <f aca="false">IF(OR(AO28&lt;&gt;1,AR28=""),"",INDEX(SLA_RES,AR28))</f>
        <v>10</v>
      </c>
      <c r="BB28" s="35" t="n">
        <f aca="false">IF(OR(AW28="",BA28=""),"",IF(AW28&lt;=BA28,1,0))</f>
        <v>1</v>
      </c>
      <c r="BC28" s="38" t="n">
        <f aca="false">IF(OR(BA28="",P28=""),"",WORKDAY(INT(P28),BA28,JoursFeries)+MOD(P28,1))</f>
        <v>46038.6736111111</v>
      </c>
      <c r="BD28" s="39" t="n">
        <f aca="false">IF(AO28&lt;&gt;1,"",IF(OR(AB28&lt;&gt;"",AD28&lt;&gt;""),4,IF(U28&lt;&gt;"",3,IF(T28&lt;&gt;"",2,1))))</f>
        <v>1</v>
      </c>
      <c r="BE28" s="39" t="n">
        <f aca="false">IF(OR(AO28&lt;&gt;1,AR28=""),"",INDEX(NIV_REQ,AR28))</f>
        <v>1</v>
      </c>
      <c r="BF28" s="39" t="n">
        <f aca="false">IF(BE28="","",MAX(BE28,IF(OR(K28="Oui",Z28="Oui"),4,1)))</f>
        <v>1</v>
      </c>
      <c r="BG28" s="35" t="n">
        <f aca="false">IF(OR(BF28="",BD28=""),"",IF(BD28&gt;=BF28,1,0))</f>
        <v>1</v>
      </c>
      <c r="BH28" s="38" t="str">
        <f aca="false">IF(BE28="","",IF(BE28&lt;2,"",IF(BE28=2,IF(AND(T28="",U28=""),"",MIN(T28,U28)),IF(U28="","",U28))))</f>
        <v/>
      </c>
      <c r="BI28" s="37" t="str">
        <f aca="false">IF(BH28="","",IF(OR(O28="",BH28=""),"",IF(BH28&lt;O28,"",ROUND(((NETWORKDAYS(O28,BH28,JoursFeries)-1)*(HFer-HOuv)+IF(NETWORKDAYS(BH28,BH28,JoursFeries),MEDIAN(MOD(BH28,1),HFer,HOuv),HFer)-IF(NETWORKDAYS(O28,O28,JoursFeries),MEDIAN(MOD(O28,1),HFer,HOuv),HOuv))*24,4))))</f>
        <v/>
      </c>
      <c r="BJ28" s="35" t="str">
        <f aca="false">IF(OR(BI28="",AR28=""),"",IF(BI28&lt;=INDEX(DELAI_ESC,AR28),1,0))</f>
        <v/>
      </c>
      <c r="BK28" s="38" t="str">
        <f aca="false">IF(AO28&lt;&gt;1,"",IF(AND(T28="",U28=""),"",MIN(T28,U28)))</f>
        <v/>
      </c>
      <c r="BL28" s="37" t="str">
        <f aca="false">IF(OR(BK28="",R28=""),"",IFERROR(ROUND(IF(OR(BK28="",R28=""),"",IF(R28&lt;BK28,"",ROUND(((NETWORKDAYS(BK28,R28,JoursFeries)-1)*(HFer-HOuv)+IF(NETWORKDAYS(R28,R28,JoursFeries),MEDIAN(MOD(R28,1),HFer,HOuv),HFer)-IF(NETWORKDAYS(BK28,BK28,JoursFeries),MEDIAN(MOD(BK28,1),HFer,HOuv),HOuv))*24,4)))/HJour,4),""))</f>
        <v/>
      </c>
      <c r="BM28" s="35" t="n">
        <f aca="false">IF(OR(AO28&lt;&gt;1,R28=""),"",IF(BD28=1,1,0))</f>
        <v>1</v>
      </c>
      <c r="BN28" s="35" t="n">
        <f aca="false">IF(AO28&lt;&gt;1,"",IF(W28="Oui",1,0))</f>
        <v>0</v>
      </c>
      <c r="BO28" s="35" t="n">
        <f aca="false">IF(AO28&lt;&gt;1,"",IF(X28&lt;&gt;"",1,0))</f>
        <v>0</v>
      </c>
      <c r="BP28" s="35" t="n">
        <f aca="false">IF(AO28&lt;&gt;1,"",IF(Y28="Oui",1,0))</f>
        <v>0</v>
      </c>
      <c r="BQ28" s="35" t="str">
        <f aca="true">IF(OR(AO28&lt;&gt;1,Z28&lt;&gt;"Oui"),"",IF(AB28="",IF(AND(AA28&lt;&gt;"",NOW()&gt;AA28),0,""),IF(AA28="","",IF(AB28&lt;=AA28,1,0))))</f>
        <v/>
      </c>
      <c r="BR28" s="38" t="str">
        <f aca="false">IF(OR(AO28&lt;&gt;1,K28&lt;&gt;"Oui",O28=""),"",IF(AC28="",O28+DORA_H_DET/24,IF(AC28-O28&lt;=DORA_H_DET/24,MIN(AC28+DORA_H_CLA/24,O28+DORA_H_DET/24),AC28+DORA_H_CLA/24)))</f>
        <v/>
      </c>
      <c r="BS28" s="35" t="str">
        <f aca="true">IF(BR28="","",IF(AD28="",IF(NOW()&gt;BR28,0,""),IF(AD28&lt;=BR28,1,0)))</f>
        <v/>
      </c>
      <c r="BT28" s="35" t="str">
        <f aca="true">IF(OR(BR28="",AD28=""),"",IF(AE28="",IF(NOW()&gt;AD28+DORA_H_INT/24,0,""),IF(AE28&lt;=AD28+DORA_H_INT/24,1,0)))</f>
        <v/>
      </c>
      <c r="BU28" s="35" t="str">
        <f aca="true">IF(OR(BR28="",AE28=""),"",IF(AF28="",IF(NOW()&gt;EDATE(AE28,DORA_M_FIN)+1,0,""),IF(AF28&lt;=EDATE(AE28,DORA_M_FIN),1,0)))</f>
        <v/>
      </c>
      <c r="BV28" s="35" t="str">
        <f aca="false">IF(BR28="","",IF(COUNT(BS28:BU28)=0,"",MIN(BS28:BU28)))</f>
        <v/>
      </c>
      <c r="BW28" s="40" t="str">
        <f aca="false">IF(AQ28&lt;&gt;1,"",IF(AND(AG28="",AH28=""),"",N(AG28)-N(AH28)))</f>
        <v/>
      </c>
      <c r="BX28" s="35" t="n">
        <f aca="true">IF(OR(AQ28&lt;&gt;1,AI28&lt;&gt;"Oui",AJ28=""),"",IF(AK28="",IF(NOW()&gt;AJ28+1,0,""),IF(AK28&lt;=AJ28,1,0)))</f>
        <v>1</v>
      </c>
    </row>
    <row r="29" customFormat="false" ht="15" hidden="false" customHeight="false" outlineLevel="0" collapsed="false">
      <c r="B29" s="29" t="s">
        <v>233</v>
      </c>
      <c r="C29" s="29" t="s">
        <v>178</v>
      </c>
      <c r="D29" s="29" t="s">
        <v>224</v>
      </c>
      <c r="E29" s="29" t="s">
        <v>234</v>
      </c>
      <c r="F29" s="29" t="s">
        <v>172</v>
      </c>
      <c r="G29" s="29" t="s">
        <v>180</v>
      </c>
      <c r="H29" s="29"/>
      <c r="I29" s="29" t="s">
        <v>235</v>
      </c>
      <c r="J29" s="29" t="s">
        <v>167</v>
      </c>
      <c r="K29" s="29" t="s">
        <v>168</v>
      </c>
      <c r="L29" s="29" t="s">
        <v>169</v>
      </c>
      <c r="M29" s="29" t="s">
        <v>201</v>
      </c>
      <c r="N29" s="30" t="n">
        <v>46030.4513888889</v>
      </c>
      <c r="O29" s="30" t="n">
        <v>46030.6979166667</v>
      </c>
      <c r="P29" s="30" t="n">
        <v>46030.71875</v>
      </c>
      <c r="Q29" s="30" t="n">
        <v>46031.3958333333</v>
      </c>
      <c r="R29" s="30" t="n">
        <v>46038.5833333333</v>
      </c>
      <c r="S29" s="30" t="n">
        <v>46064.5034722222</v>
      </c>
      <c r="T29" s="30"/>
      <c r="U29" s="30"/>
      <c r="V29" s="31" t="n">
        <v>0</v>
      </c>
      <c r="W29" s="29" t="s">
        <v>168</v>
      </c>
      <c r="X29" s="29"/>
      <c r="Y29" s="29" t="s">
        <v>189</v>
      </c>
      <c r="Z29" s="29" t="s">
        <v>168</v>
      </c>
      <c r="AA29" s="30"/>
      <c r="AB29" s="30"/>
      <c r="AC29" s="30"/>
      <c r="AD29" s="30"/>
      <c r="AE29" s="30"/>
      <c r="AF29" s="32"/>
      <c r="AG29" s="33"/>
      <c r="AH29" s="33"/>
      <c r="AI29" s="29" t="s">
        <v>168</v>
      </c>
      <c r="AJ29" s="32"/>
      <c r="AK29" s="32"/>
      <c r="AL29" s="29"/>
      <c r="AN29" s="34" t="str">
        <f aca="false">IF($B29="","",IF(OR(C29="",D29="",E29="",G29="",I29="",J29="",L29="",O29="",P29=""),"Champ obligatoire manquant",IF(OR(AND(N29&lt;&gt;"",N29&gt;O29),O29&gt;P29,AND(Q29&lt;&gt;"",Q29&lt;P29),AND(R29&lt;&gt;"",R29&lt;P29),AND(S29&lt;&gt;"",S29&lt;R29),AND(S29&lt;&gt;"",R29=""),AND(T29&lt;&gt;"",T29&lt;O29),AND(U29&lt;&gt;"",U29&lt;O29)),"Chronologie incohérente",IF(AND(OR(L29="Résolu",L29="Clos"),R29=""),"Date de résolution manquante",IF(AND(L29="Clos",S29=""),"Date de clôture manquante",IF(AND(K29="Oui",AC29=""),"Classification DORA manquante","OK"))))))</f>
        <v>OK</v>
      </c>
      <c r="AO29" s="35" t="n">
        <f aca="false">IF($B29="","",IF(AND(C29="Incident",L29&lt;&gt;"Annulé"),1,0))</f>
        <v>1</v>
      </c>
      <c r="AP29" s="35" t="n">
        <f aca="false">IF($B29="","",IF(AND(C29="Quasi-incident",L29&lt;&gt;"Annulé"),1,0))</f>
        <v>0</v>
      </c>
      <c r="AQ29" s="35" t="n">
        <f aca="false">IF($B29="","",AO29+AP29)</f>
        <v>1</v>
      </c>
      <c r="AR29" s="36" t="n">
        <f aca="false">IF(OR($B29="",J29=""),"",IFERROR(VALUE(LEFT(J29,1)),""))</f>
        <v>3</v>
      </c>
      <c r="AS29" s="35" t="n">
        <f aca="false">IF(OR(AO29&lt;&gt;1,G29=""),"",IFERROR(IF(INDEX(L_SrcInterne,MATCH(G29,L_Sources,0))="Oui",1,0),""))</f>
        <v>1</v>
      </c>
      <c r="AT29" s="37" t="n">
        <f aca="false">IF(AO29&lt;&gt;1,"",IFERROR(ROUND(IF(OR(N29="",O29=""),"",IF(O29&lt;N29,"",ROUND(((NETWORKDAYS(N29,O29,JoursFeries)-1)*(HFer-HOuv)+IF(NETWORKDAYS(O29,O29,JoursFeries),MEDIAN(MOD(O29,1),HFer,HOuv),HFer)-IF(NETWORKDAYS(N29,N29,JoursFeries),MEDIAN(MOD(N29,1),HFer,HOuv),HOuv))*24,4)))/HJour,4),""))</f>
        <v>0.6574</v>
      </c>
      <c r="AU29" s="37" t="n">
        <f aca="false">IF(AO29&lt;&gt;1,"",IF(OR(O29="",P29=""),"",IF(P29&lt;O29,"",ROUND(((NETWORKDAYS(O29,P29,JoursFeries)-1)*(HFer-HOuv)+IF(NETWORKDAYS(P29,P29,JoursFeries),MEDIAN(MOD(P29,1),HFer,HOuv),HFer)-IF(NETWORKDAYS(O29,O29,JoursFeries),MEDIAN(MOD(O29,1),HFer,HOuv),HOuv))*24,4))))</f>
        <v>0.5</v>
      </c>
      <c r="AV29" s="37" t="n">
        <f aca="false">IF(AO29&lt;&gt;1,"",IF(OR(P29="",Q29=""),"",IF(Q29&lt;P29,"",ROUND(((NETWORKDAYS(P29,Q29,JoursFeries)-1)*(HFer-HOuv)+IF(NETWORKDAYS(Q29,Q29,JoursFeries),MEDIAN(MOD(Q29,1),HFer,HOuv),HFer)-IF(NETWORKDAYS(P29,P29,JoursFeries),MEDIAN(MOD(P29,1),HFer,HOuv),HOuv))*24,4))))</f>
        <v>1.25</v>
      </c>
      <c r="AW29" s="37" t="n">
        <f aca="false">IF(AO29&lt;&gt;1,"",IFERROR(ROUND(IF(OR(P29="",R29=""),"",IF(R29&lt;P29,"",ROUND(((NETWORKDAYS(P29,R29,JoursFeries)-1)*(HFer-HOuv)+IF(NETWORKDAYS(R29,R29,JoursFeries),MEDIAN(MOD(R29,1),HFer,HOuv),HFer)-IF(NETWORKDAYS(P29,P29,JoursFeries),MEDIAN(MOD(P29,1),HFer,HOuv),HOuv))*24,4)))/HJour,4),""))</f>
        <v>5.6389</v>
      </c>
      <c r="AX29" s="37" t="n">
        <f aca="false">IF(AO29&lt;&gt;1,"",IFERROR(ROUND(IF(OR(P29="",S29=""),"",IF(S29&lt;P29,"",ROUND(((NETWORKDAYS(P29,S29,JoursFeries)-1)*(HFer-HOuv)+IF(NETWORKDAYS(S29,S29,JoursFeries),MEDIAN(MOD(S29,1),HFer,HOuv),HFer)-IF(NETWORKDAYS(P29,P29,JoursFeries),MEDIAN(MOD(P29,1),HFer,HOuv),HOuv))*24,4)))/HJour,4),""))</f>
        <v>23.4259</v>
      </c>
      <c r="AY29" s="36" t="n">
        <f aca="false">IF(OR(AO29&lt;&gt;1,AR29=""),"",INDEX(SLA_PEC,AR29))</f>
        <v>9</v>
      </c>
      <c r="AZ29" s="35" t="n">
        <f aca="false">IF(OR(AV29="",AY29=""),"",IF(AV29&lt;=AY29,1,0))</f>
        <v>1</v>
      </c>
      <c r="BA29" s="36" t="n">
        <f aca="false">IF(OR(AO29&lt;&gt;1,AR29=""),"",INDEX(SLA_RES,AR29))</f>
        <v>10</v>
      </c>
      <c r="BB29" s="35" t="n">
        <f aca="false">IF(OR(AW29="",BA29=""),"",IF(AW29&lt;=BA29,1,0))</f>
        <v>1</v>
      </c>
      <c r="BC29" s="38" t="n">
        <f aca="false">IF(OR(BA29="",P29=""),"",WORKDAY(INT(P29),BA29,JoursFeries)+MOD(P29,1))</f>
        <v>46044.71875</v>
      </c>
      <c r="BD29" s="39" t="n">
        <f aca="false">IF(AO29&lt;&gt;1,"",IF(OR(AB29&lt;&gt;"",AD29&lt;&gt;""),4,IF(U29&lt;&gt;"",3,IF(T29&lt;&gt;"",2,1))))</f>
        <v>1</v>
      </c>
      <c r="BE29" s="39" t="n">
        <f aca="false">IF(OR(AO29&lt;&gt;1,AR29=""),"",INDEX(NIV_REQ,AR29))</f>
        <v>1</v>
      </c>
      <c r="BF29" s="39" t="n">
        <f aca="false">IF(BE29="","",MAX(BE29,IF(OR(K29="Oui",Z29="Oui"),4,1)))</f>
        <v>1</v>
      </c>
      <c r="BG29" s="35" t="n">
        <f aca="false">IF(OR(BF29="",BD29=""),"",IF(BD29&gt;=BF29,1,0))</f>
        <v>1</v>
      </c>
      <c r="BH29" s="38" t="str">
        <f aca="false">IF(BE29="","",IF(BE29&lt;2,"",IF(BE29=2,IF(AND(T29="",U29=""),"",MIN(T29,U29)),IF(U29="","",U29))))</f>
        <v/>
      </c>
      <c r="BI29" s="37" t="str">
        <f aca="false">IF(BH29="","",IF(OR(O29="",BH29=""),"",IF(BH29&lt;O29,"",ROUND(((NETWORKDAYS(O29,BH29,JoursFeries)-1)*(HFer-HOuv)+IF(NETWORKDAYS(BH29,BH29,JoursFeries),MEDIAN(MOD(BH29,1),HFer,HOuv),HFer)-IF(NETWORKDAYS(O29,O29,JoursFeries),MEDIAN(MOD(O29,1),HFer,HOuv),HOuv))*24,4))))</f>
        <v/>
      </c>
      <c r="BJ29" s="35" t="str">
        <f aca="false">IF(OR(BI29="",AR29=""),"",IF(BI29&lt;=INDEX(DELAI_ESC,AR29),1,0))</f>
        <v/>
      </c>
      <c r="BK29" s="38" t="str">
        <f aca="false">IF(AO29&lt;&gt;1,"",IF(AND(T29="",U29=""),"",MIN(T29,U29)))</f>
        <v/>
      </c>
      <c r="BL29" s="37" t="str">
        <f aca="false">IF(OR(BK29="",R29=""),"",IFERROR(ROUND(IF(OR(BK29="",R29=""),"",IF(R29&lt;BK29,"",ROUND(((NETWORKDAYS(BK29,R29,JoursFeries)-1)*(HFer-HOuv)+IF(NETWORKDAYS(R29,R29,JoursFeries),MEDIAN(MOD(R29,1),HFer,HOuv),HFer)-IF(NETWORKDAYS(BK29,BK29,JoursFeries),MEDIAN(MOD(BK29,1),HFer,HOuv),HOuv))*24,4)))/HJour,4),""))</f>
        <v/>
      </c>
      <c r="BM29" s="35" t="n">
        <f aca="false">IF(OR(AO29&lt;&gt;1,R29=""),"",IF(BD29=1,1,0))</f>
        <v>1</v>
      </c>
      <c r="BN29" s="35" t="n">
        <f aca="false">IF(AO29&lt;&gt;1,"",IF(W29="Oui",1,0))</f>
        <v>0</v>
      </c>
      <c r="BO29" s="35" t="n">
        <f aca="false">IF(AO29&lt;&gt;1,"",IF(X29&lt;&gt;"",1,0))</f>
        <v>0</v>
      </c>
      <c r="BP29" s="35" t="n">
        <f aca="false">IF(AO29&lt;&gt;1,"",IF(Y29="Oui",1,0))</f>
        <v>1</v>
      </c>
      <c r="BQ29" s="35" t="str">
        <f aca="true">IF(OR(AO29&lt;&gt;1,Z29&lt;&gt;"Oui"),"",IF(AB29="",IF(AND(AA29&lt;&gt;"",NOW()&gt;AA29),0,""),IF(AA29="","",IF(AB29&lt;=AA29,1,0))))</f>
        <v/>
      </c>
      <c r="BR29" s="38" t="str">
        <f aca="false">IF(OR(AO29&lt;&gt;1,K29&lt;&gt;"Oui",O29=""),"",IF(AC29="",O29+DORA_H_DET/24,IF(AC29-O29&lt;=DORA_H_DET/24,MIN(AC29+DORA_H_CLA/24,O29+DORA_H_DET/24),AC29+DORA_H_CLA/24)))</f>
        <v/>
      </c>
      <c r="BS29" s="35" t="str">
        <f aca="true">IF(BR29="","",IF(AD29="",IF(NOW()&gt;BR29,0,""),IF(AD29&lt;=BR29,1,0)))</f>
        <v/>
      </c>
      <c r="BT29" s="35" t="str">
        <f aca="true">IF(OR(BR29="",AD29=""),"",IF(AE29="",IF(NOW()&gt;AD29+DORA_H_INT/24,0,""),IF(AE29&lt;=AD29+DORA_H_INT/24,1,0)))</f>
        <v/>
      </c>
      <c r="BU29" s="35" t="str">
        <f aca="true">IF(OR(BR29="",AE29=""),"",IF(AF29="",IF(NOW()&gt;EDATE(AE29,DORA_M_FIN)+1,0,""),IF(AF29&lt;=EDATE(AE29,DORA_M_FIN),1,0)))</f>
        <v/>
      </c>
      <c r="BV29" s="35" t="str">
        <f aca="false">IF(BR29="","",IF(COUNT(BS29:BU29)=0,"",MIN(BS29:BU29)))</f>
        <v/>
      </c>
      <c r="BW29" s="40" t="str">
        <f aca="false">IF(AQ29&lt;&gt;1,"",IF(AND(AG29="",AH29=""),"",N(AG29)-N(AH29)))</f>
        <v/>
      </c>
      <c r="BX29" s="35" t="str">
        <f aca="true">IF(OR(AQ29&lt;&gt;1,AI29&lt;&gt;"Oui",AJ29=""),"",IF(AK29="",IF(NOW()&gt;AJ29+1,0,""),IF(AK29&lt;=AJ29,1,0)))</f>
        <v/>
      </c>
    </row>
    <row r="30" customFormat="false" ht="15" hidden="false" customHeight="false" outlineLevel="0" collapsed="false">
      <c r="B30" s="29" t="s">
        <v>236</v>
      </c>
      <c r="C30" s="29" t="s">
        <v>178</v>
      </c>
      <c r="D30" s="29" t="s">
        <v>224</v>
      </c>
      <c r="E30" s="29" t="s">
        <v>203</v>
      </c>
      <c r="F30" s="29" t="s">
        <v>204</v>
      </c>
      <c r="G30" s="29" t="s">
        <v>211</v>
      </c>
      <c r="H30" s="29" t="s">
        <v>182</v>
      </c>
      <c r="I30" s="29" t="s">
        <v>237</v>
      </c>
      <c r="J30" s="29" t="s">
        <v>187</v>
      </c>
      <c r="K30" s="29" t="s">
        <v>168</v>
      </c>
      <c r="L30" s="29" t="s">
        <v>238</v>
      </c>
      <c r="M30" s="29" t="s">
        <v>176</v>
      </c>
      <c r="N30" s="30" t="n">
        <v>46014.375</v>
      </c>
      <c r="O30" s="30" t="n">
        <v>46036.375</v>
      </c>
      <c r="P30" s="30" t="n">
        <v>46036.4583333333</v>
      </c>
      <c r="Q30" s="30" t="n">
        <v>46036.4791666667</v>
      </c>
      <c r="R30" s="30"/>
      <c r="S30" s="30"/>
      <c r="T30" s="30"/>
      <c r="U30" s="30"/>
      <c r="V30" s="31"/>
      <c r="W30" s="29" t="s">
        <v>168</v>
      </c>
      <c r="X30" s="29"/>
      <c r="Y30" s="29" t="s">
        <v>168</v>
      </c>
      <c r="Z30" s="29" t="s">
        <v>168</v>
      </c>
      <c r="AA30" s="30"/>
      <c r="AB30" s="30"/>
      <c r="AC30" s="30"/>
      <c r="AD30" s="30"/>
      <c r="AE30" s="30"/>
      <c r="AF30" s="32"/>
      <c r="AG30" s="33"/>
      <c r="AH30" s="33"/>
      <c r="AI30" s="29" t="s">
        <v>168</v>
      </c>
      <c r="AJ30" s="32"/>
      <c r="AK30" s="32"/>
      <c r="AL30" s="29"/>
      <c r="AN30" s="34" t="str">
        <f aca="false">IF($B30="","",IF(OR(C30="",D30="",E30="",G30="",I30="",J30="",L30="",O30="",P30=""),"Champ obligatoire manquant",IF(OR(AND(N30&lt;&gt;"",N30&gt;O30),O30&gt;P30,AND(Q30&lt;&gt;"",Q30&lt;P30),AND(R30&lt;&gt;"",R30&lt;P30),AND(S30&lt;&gt;"",S30&lt;R30),AND(S30&lt;&gt;"",R30=""),AND(T30&lt;&gt;"",T30&lt;O30),AND(U30&lt;&gt;"",U30&lt;O30)),"Chronologie incohérente",IF(AND(OR(L30="Résolu",L30="Clos"),R30=""),"Date de résolution manquante",IF(AND(L30="Clos",S30=""),"Date de clôture manquante",IF(AND(K30="Oui",AC30=""),"Classification DORA manquante","OK"))))))</f>
        <v>OK</v>
      </c>
      <c r="AO30" s="35" t="n">
        <f aca="false">IF($B30="","",IF(AND(C30="Incident",L30&lt;&gt;"Annulé"),1,0))</f>
        <v>0</v>
      </c>
      <c r="AP30" s="35" t="n">
        <f aca="false">IF($B30="","",IF(AND(C30="Quasi-incident",L30&lt;&gt;"Annulé"),1,0))</f>
        <v>0</v>
      </c>
      <c r="AQ30" s="35" t="n">
        <f aca="false">IF($B30="","",AO30+AP30)</f>
        <v>0</v>
      </c>
      <c r="AR30" s="36" t="n">
        <f aca="false">IF(OR($B30="",J30=""),"",IFERROR(VALUE(LEFT(J30,1)),""))</f>
        <v>4</v>
      </c>
      <c r="AS30" s="35" t="str">
        <f aca="false">IF(OR(AO30&lt;&gt;1,G30=""),"",IFERROR(IF(INDEX(L_SrcInterne,MATCH(G30,L_Sources,0))="Oui",1,0),""))</f>
        <v/>
      </c>
      <c r="AT30" s="37" t="str">
        <f aca="false">IF(AO30&lt;&gt;1,"",IFERROR(ROUND(IF(OR(N30="",O30=""),"",IF(O30&lt;N30,"",ROUND(((NETWORKDAYS(N30,O30,JoursFeries)-1)*(HFer-HOuv)+IF(NETWORKDAYS(O30,O30,JoursFeries),MEDIAN(MOD(O30,1),HFer,HOuv),HFer)-IF(NETWORKDAYS(N30,N30,JoursFeries),MEDIAN(MOD(N30,1),HFer,HOuv),HOuv))*24,4)))/HJour,4),""))</f>
        <v/>
      </c>
      <c r="AU30" s="37" t="str">
        <f aca="false">IF(AO30&lt;&gt;1,"",IF(OR(O30="",P30=""),"",IF(P30&lt;O30,"",ROUND(((NETWORKDAYS(O30,P30,JoursFeries)-1)*(HFer-HOuv)+IF(NETWORKDAYS(P30,P30,JoursFeries),MEDIAN(MOD(P30,1),HFer,HOuv),HFer)-IF(NETWORKDAYS(O30,O30,JoursFeries),MEDIAN(MOD(O30,1),HFer,HOuv),HOuv))*24,4))))</f>
        <v/>
      </c>
      <c r="AV30" s="37" t="str">
        <f aca="false">IF(AO30&lt;&gt;1,"",IF(OR(P30="",Q30=""),"",IF(Q30&lt;P30,"",ROUND(((NETWORKDAYS(P30,Q30,JoursFeries)-1)*(HFer-HOuv)+IF(NETWORKDAYS(Q30,Q30,JoursFeries),MEDIAN(MOD(Q30,1),HFer,HOuv),HFer)-IF(NETWORKDAYS(P30,P30,JoursFeries),MEDIAN(MOD(P30,1),HFer,HOuv),HOuv))*24,4))))</f>
        <v/>
      </c>
      <c r="AW30" s="37" t="str">
        <f aca="false">IF(AO30&lt;&gt;1,"",IFERROR(ROUND(IF(OR(P30="",R30=""),"",IF(R30&lt;P30,"",ROUND(((NETWORKDAYS(P30,R30,JoursFeries)-1)*(HFer-HOuv)+IF(NETWORKDAYS(R30,R30,JoursFeries),MEDIAN(MOD(R30,1),HFer,HOuv),HFer)-IF(NETWORKDAYS(P30,P30,JoursFeries),MEDIAN(MOD(P30,1),HFer,HOuv),HOuv))*24,4)))/HJour,4),""))</f>
        <v/>
      </c>
      <c r="AX30" s="37" t="str">
        <f aca="false">IF(AO30&lt;&gt;1,"",IFERROR(ROUND(IF(OR(P30="",S30=""),"",IF(S30&lt;P30,"",ROUND(((NETWORKDAYS(P30,S30,JoursFeries)-1)*(HFer-HOuv)+IF(NETWORKDAYS(S30,S30,JoursFeries),MEDIAN(MOD(S30,1),HFer,HOuv),HFer)-IF(NETWORKDAYS(P30,P30,JoursFeries),MEDIAN(MOD(P30,1),HFer,HOuv),HOuv))*24,4)))/HJour,4),""))</f>
        <v/>
      </c>
      <c r="AY30" s="36" t="str">
        <f aca="false">IF(OR(AO30&lt;&gt;1,AR30=""),"",INDEX(SLA_PEC,AR30))</f>
        <v/>
      </c>
      <c r="AZ30" s="35" t="str">
        <f aca="false">IF(OR(AV30="",AY30=""),"",IF(AV30&lt;=AY30,1,0))</f>
        <v/>
      </c>
      <c r="BA30" s="36" t="str">
        <f aca="false">IF(OR(AO30&lt;&gt;1,AR30=""),"",INDEX(SLA_RES,AR30))</f>
        <v/>
      </c>
      <c r="BB30" s="35" t="str">
        <f aca="false">IF(OR(AW30="",BA30=""),"",IF(AW30&lt;=BA30,1,0))</f>
        <v/>
      </c>
      <c r="BC30" s="38" t="str">
        <f aca="false">IF(OR(BA30="",P30=""),"",WORKDAY(INT(P30),BA30,JoursFeries)+MOD(P30,1))</f>
        <v/>
      </c>
      <c r="BD30" s="39" t="str">
        <f aca="false">IF(AO30&lt;&gt;1,"",IF(OR(AB30&lt;&gt;"",AD30&lt;&gt;""),4,IF(U30&lt;&gt;"",3,IF(T30&lt;&gt;"",2,1))))</f>
        <v/>
      </c>
      <c r="BE30" s="39" t="str">
        <f aca="false">IF(OR(AO30&lt;&gt;1,AR30=""),"",INDEX(NIV_REQ,AR30))</f>
        <v/>
      </c>
      <c r="BF30" s="39" t="str">
        <f aca="false">IF(BE30="","",MAX(BE30,IF(OR(K30="Oui",Z30="Oui"),4,1)))</f>
        <v/>
      </c>
      <c r="BG30" s="35" t="str">
        <f aca="false">IF(OR(BF30="",BD30=""),"",IF(BD30&gt;=BF30,1,0))</f>
        <v/>
      </c>
      <c r="BH30" s="38" t="str">
        <f aca="false">IF(BE30="","",IF(BE30&lt;2,"",IF(BE30=2,IF(AND(T30="",U30=""),"",MIN(T30,U30)),IF(U30="","",U30))))</f>
        <v/>
      </c>
      <c r="BI30" s="37" t="str">
        <f aca="false">IF(BH30="","",IF(OR(O30="",BH30=""),"",IF(BH30&lt;O30,"",ROUND(((NETWORKDAYS(O30,BH30,JoursFeries)-1)*(HFer-HOuv)+IF(NETWORKDAYS(BH30,BH30,JoursFeries),MEDIAN(MOD(BH30,1),HFer,HOuv),HFer)-IF(NETWORKDAYS(O30,O30,JoursFeries),MEDIAN(MOD(O30,1),HFer,HOuv),HOuv))*24,4))))</f>
        <v/>
      </c>
      <c r="BJ30" s="35" t="str">
        <f aca="false">IF(OR(BI30="",AR30=""),"",IF(BI30&lt;=INDEX(DELAI_ESC,AR30),1,0))</f>
        <v/>
      </c>
      <c r="BK30" s="38" t="str">
        <f aca="false">IF(AO30&lt;&gt;1,"",IF(AND(T30="",U30=""),"",MIN(T30,U30)))</f>
        <v/>
      </c>
      <c r="BL30" s="37" t="str">
        <f aca="false">IF(OR(BK30="",R30=""),"",IFERROR(ROUND(IF(OR(BK30="",R30=""),"",IF(R30&lt;BK30,"",ROUND(((NETWORKDAYS(BK30,R30,JoursFeries)-1)*(HFer-HOuv)+IF(NETWORKDAYS(R30,R30,JoursFeries),MEDIAN(MOD(R30,1),HFer,HOuv),HFer)-IF(NETWORKDAYS(BK30,BK30,JoursFeries),MEDIAN(MOD(BK30,1),HFer,HOuv),HOuv))*24,4)))/HJour,4),""))</f>
        <v/>
      </c>
      <c r="BM30" s="35" t="str">
        <f aca="false">IF(OR(AO30&lt;&gt;1,R30=""),"",IF(BD30=1,1,0))</f>
        <v/>
      </c>
      <c r="BN30" s="35" t="str">
        <f aca="false">IF(AO30&lt;&gt;1,"",IF(W30="Oui",1,0))</f>
        <v/>
      </c>
      <c r="BO30" s="35" t="str">
        <f aca="false">IF(AO30&lt;&gt;1,"",IF(X30&lt;&gt;"",1,0))</f>
        <v/>
      </c>
      <c r="BP30" s="35" t="str">
        <f aca="false">IF(AO30&lt;&gt;1,"",IF(Y30="Oui",1,0))</f>
        <v/>
      </c>
      <c r="BQ30" s="35" t="str">
        <f aca="true">IF(OR(AO30&lt;&gt;1,Z30&lt;&gt;"Oui"),"",IF(AB30="",IF(AND(AA30&lt;&gt;"",NOW()&gt;AA30),0,""),IF(AA30="","",IF(AB30&lt;=AA30,1,0))))</f>
        <v/>
      </c>
      <c r="BR30" s="38" t="str">
        <f aca="false">IF(OR(AO30&lt;&gt;1,K30&lt;&gt;"Oui",O30=""),"",IF(AC30="",O30+DORA_H_DET/24,IF(AC30-O30&lt;=DORA_H_DET/24,MIN(AC30+DORA_H_CLA/24,O30+DORA_H_DET/24),AC30+DORA_H_CLA/24)))</f>
        <v/>
      </c>
      <c r="BS30" s="35" t="str">
        <f aca="true">IF(BR30="","",IF(AD30="",IF(NOW()&gt;BR30,0,""),IF(AD30&lt;=BR30,1,0)))</f>
        <v/>
      </c>
      <c r="BT30" s="35" t="str">
        <f aca="true">IF(OR(BR30="",AD30=""),"",IF(AE30="",IF(NOW()&gt;AD30+DORA_H_INT/24,0,""),IF(AE30&lt;=AD30+DORA_H_INT/24,1,0)))</f>
        <v/>
      </c>
      <c r="BU30" s="35" t="str">
        <f aca="true">IF(OR(BR30="",AE30=""),"",IF(AF30="",IF(NOW()&gt;EDATE(AE30,DORA_M_FIN)+1,0,""),IF(AF30&lt;=EDATE(AE30,DORA_M_FIN),1,0)))</f>
        <v/>
      </c>
      <c r="BV30" s="35" t="str">
        <f aca="false">IF(BR30="","",IF(COUNT(BS30:BU30)=0,"",MIN(BS30:BU30)))</f>
        <v/>
      </c>
      <c r="BW30" s="40" t="str">
        <f aca="false">IF(AQ30&lt;&gt;1,"",IF(AND(AG30="",AH30=""),"",N(AG30)-N(AH30)))</f>
        <v/>
      </c>
      <c r="BX30" s="35" t="str">
        <f aca="true">IF(OR(AQ30&lt;&gt;1,AI30&lt;&gt;"Oui",AJ30=""),"",IF(AK30="",IF(NOW()&gt;AJ30+1,0,""),IF(AK30&lt;=AJ30,1,0)))</f>
        <v/>
      </c>
    </row>
    <row r="31" customFormat="false" ht="15" hidden="false" customHeight="false" outlineLevel="0" collapsed="false">
      <c r="B31" s="29" t="s">
        <v>239</v>
      </c>
      <c r="C31" s="29" t="s">
        <v>178</v>
      </c>
      <c r="D31" s="29" t="s">
        <v>184</v>
      </c>
      <c r="E31" s="29" t="s">
        <v>171</v>
      </c>
      <c r="F31" s="29" t="s">
        <v>172</v>
      </c>
      <c r="G31" s="29" t="s">
        <v>240</v>
      </c>
      <c r="H31" s="29" t="s">
        <v>174</v>
      </c>
      <c r="I31" s="29" t="s">
        <v>241</v>
      </c>
      <c r="J31" s="29" t="s">
        <v>219</v>
      </c>
      <c r="K31" s="29" t="s">
        <v>168</v>
      </c>
      <c r="L31" s="29" t="s">
        <v>169</v>
      </c>
      <c r="M31" s="29" t="s">
        <v>174</v>
      </c>
      <c r="N31" s="30" t="n">
        <v>46039.6041666667</v>
      </c>
      <c r="O31" s="30" t="n">
        <v>46041.6041666667</v>
      </c>
      <c r="P31" s="30" t="n">
        <v>46041.6458333333</v>
      </c>
      <c r="Q31" s="30" t="n">
        <v>46041.6944444445</v>
      </c>
      <c r="R31" s="30" t="n">
        <v>46043.4791666667</v>
      </c>
      <c r="S31" s="30" t="n">
        <v>46065.6493055556</v>
      </c>
      <c r="T31" s="30"/>
      <c r="U31" s="30"/>
      <c r="V31" s="31" t="n">
        <v>0</v>
      </c>
      <c r="W31" s="29" t="s">
        <v>189</v>
      </c>
      <c r="X31" s="29" t="s">
        <v>217</v>
      </c>
      <c r="Y31" s="29" t="s">
        <v>189</v>
      </c>
      <c r="Z31" s="29" t="s">
        <v>168</v>
      </c>
      <c r="AA31" s="30"/>
      <c r="AB31" s="30"/>
      <c r="AC31" s="30"/>
      <c r="AD31" s="30"/>
      <c r="AE31" s="30"/>
      <c r="AF31" s="32"/>
      <c r="AG31" s="33"/>
      <c r="AH31" s="33"/>
      <c r="AI31" s="29" t="s">
        <v>189</v>
      </c>
      <c r="AJ31" s="32" t="n">
        <v>46076</v>
      </c>
      <c r="AK31" s="32" t="n">
        <v>46067</v>
      </c>
      <c r="AL31" s="29" t="s">
        <v>242</v>
      </c>
      <c r="AN31" s="34" t="str">
        <f aca="false">IF($B31="","",IF(OR(C31="",D31="",E31="",G31="",I31="",J31="",L31="",O31="",P31=""),"Champ obligatoire manquant",IF(OR(AND(N31&lt;&gt;"",N31&gt;O31),O31&gt;P31,AND(Q31&lt;&gt;"",Q31&lt;P31),AND(R31&lt;&gt;"",R31&lt;P31),AND(S31&lt;&gt;"",S31&lt;R31),AND(S31&lt;&gt;"",R31=""),AND(T31&lt;&gt;"",T31&lt;O31),AND(U31&lt;&gt;"",U31&lt;O31)),"Chronologie incohérente",IF(AND(OR(L31="Résolu",L31="Clos"),R31=""),"Date de résolution manquante",IF(AND(L31="Clos",S31=""),"Date de clôture manquante",IF(AND(K31="Oui",AC31=""),"Classification DORA manquante","OK"))))))</f>
        <v>OK</v>
      </c>
      <c r="AO31" s="35" t="n">
        <f aca="false">IF($B31="","",IF(AND(C31="Incident",L31&lt;&gt;"Annulé"),1,0))</f>
        <v>1</v>
      </c>
      <c r="AP31" s="35" t="n">
        <f aca="false">IF($B31="","",IF(AND(C31="Quasi-incident",L31&lt;&gt;"Annulé"),1,0))</f>
        <v>0</v>
      </c>
      <c r="AQ31" s="35" t="n">
        <f aca="false">IF($B31="","",AO31+AP31)</f>
        <v>1</v>
      </c>
      <c r="AR31" s="36" t="n">
        <f aca="false">IF(OR($B31="",J31=""),"",IFERROR(VALUE(LEFT(J31,1)),""))</f>
        <v>2</v>
      </c>
      <c r="AS31" s="35" t="n">
        <f aca="false">IF(OR(AO31&lt;&gt;1,G31=""),"",IFERROR(IF(INDEX(L_SrcInterne,MATCH(G31,L_Sources,0))="Oui",1,0),""))</f>
        <v>0</v>
      </c>
      <c r="AT31" s="37" t="n">
        <f aca="false">IF(AO31&lt;&gt;1,"",IFERROR(ROUND(IF(OR(N31="",O31=""),"",IF(O31&lt;N31,"",ROUND(((NETWORKDAYS(N31,O31,JoursFeries)-1)*(HFer-HOuv)+IF(NETWORKDAYS(O31,O31,JoursFeries),MEDIAN(MOD(O31,1),HFer,HOuv),HFer)-IF(NETWORKDAYS(N31,N31,JoursFeries),MEDIAN(MOD(N31,1),HFer,HOuv),HOuv))*24,4)))/HJour,4),""))</f>
        <v>0.6111</v>
      </c>
      <c r="AU31" s="37" t="n">
        <f aca="false">IF(AO31&lt;&gt;1,"",IF(OR(O31="",P31=""),"",IF(P31&lt;O31,"",ROUND(((NETWORKDAYS(O31,P31,JoursFeries)-1)*(HFer-HOuv)+IF(NETWORKDAYS(P31,P31,JoursFeries),MEDIAN(MOD(P31,1),HFer,HOuv),HFer)-IF(NETWORKDAYS(O31,O31,JoursFeries),MEDIAN(MOD(O31,1),HFer,HOuv),HOuv))*24,4))))</f>
        <v>1</v>
      </c>
      <c r="AV31" s="37" t="n">
        <f aca="false">IF(AO31&lt;&gt;1,"",IF(OR(P31="",Q31=""),"",IF(Q31&lt;P31,"",ROUND(((NETWORKDAYS(P31,Q31,JoursFeries)-1)*(HFer-HOuv)+IF(NETWORKDAYS(Q31,Q31,JoursFeries),MEDIAN(MOD(Q31,1),HFer,HOuv),HFer)-IF(NETWORKDAYS(P31,P31,JoursFeries),MEDIAN(MOD(P31,1),HFer,HOuv),HOuv))*24,4))))</f>
        <v>1.1667</v>
      </c>
      <c r="AW31" s="37" t="n">
        <f aca="false">IF(AO31&lt;&gt;1,"",IFERROR(ROUND(IF(OR(P31="",R31=""),"",IF(R31&lt;P31,"",ROUND(((NETWORKDAYS(P31,R31,JoursFeries)-1)*(HFer-HOuv)+IF(NETWORKDAYS(R31,R31,JoursFeries),MEDIAN(MOD(R31,1),HFer,HOuv),HFer)-IF(NETWORKDAYS(P31,P31,JoursFeries),MEDIAN(MOD(P31,1),HFer,HOuv),HOuv))*24,4)))/HJour,4),""))</f>
        <v>1.5556</v>
      </c>
      <c r="AX31" s="37" t="n">
        <f aca="false">IF(AO31&lt;&gt;1,"",IFERROR(ROUND(IF(OR(P31="",S31=""),"",IF(S31&lt;P31,"",ROUND(((NETWORKDAYS(P31,S31,JoursFeries)-1)*(HFer-HOuv)+IF(NETWORKDAYS(S31,S31,JoursFeries),MEDIAN(MOD(S31,1),HFer,HOuv),HFer)-IF(NETWORKDAYS(P31,P31,JoursFeries),MEDIAN(MOD(P31,1),HFer,HOuv),HOuv))*24,4)))/HJour,4),""))</f>
        <v>18.0093</v>
      </c>
      <c r="AY31" s="36" t="n">
        <f aca="false">IF(OR(AO31&lt;&gt;1,AR31=""),"",INDEX(SLA_PEC,AR31))</f>
        <v>2</v>
      </c>
      <c r="AZ31" s="35" t="n">
        <f aca="false">IF(OR(AV31="",AY31=""),"",IF(AV31&lt;=AY31,1,0))</f>
        <v>1</v>
      </c>
      <c r="BA31" s="36" t="n">
        <f aca="false">IF(OR(AO31&lt;&gt;1,AR31=""),"",INDEX(SLA_RES,AR31))</f>
        <v>3</v>
      </c>
      <c r="BB31" s="35" t="n">
        <f aca="false">IF(OR(AW31="",BA31=""),"",IF(AW31&lt;=BA31,1,0))</f>
        <v>1</v>
      </c>
      <c r="BC31" s="38" t="n">
        <f aca="false">IF(OR(BA31="",P31=""),"",WORKDAY(INT(P31),BA31,JoursFeries)+MOD(P31,1))</f>
        <v>46044.6458333333</v>
      </c>
      <c r="BD31" s="39" t="n">
        <f aca="false">IF(AO31&lt;&gt;1,"",IF(OR(AB31&lt;&gt;"",AD31&lt;&gt;""),4,IF(U31&lt;&gt;"",3,IF(T31&lt;&gt;"",2,1))))</f>
        <v>1</v>
      </c>
      <c r="BE31" s="39" t="n">
        <f aca="false">IF(OR(AO31&lt;&gt;1,AR31=""),"",INDEX(NIV_REQ,AR31))</f>
        <v>2</v>
      </c>
      <c r="BF31" s="39" t="n">
        <f aca="false">IF(BE31="","",MAX(BE31,IF(OR(K31="Oui",Z31="Oui"),4,1)))</f>
        <v>2</v>
      </c>
      <c r="BG31" s="35" t="n">
        <f aca="false">IF(OR(BF31="",BD31=""),"",IF(BD31&gt;=BF31,1,0))</f>
        <v>0</v>
      </c>
      <c r="BH31" s="38" t="str">
        <f aca="false">IF(BE31="","",IF(BE31&lt;2,"",IF(BE31=2,IF(AND(T31="",U31=""),"",MIN(T31,U31)),IF(U31="","",U31))))</f>
        <v/>
      </c>
      <c r="BI31" s="37" t="str">
        <f aca="false">IF(BH31="","",IF(OR(O31="",BH31=""),"",IF(BH31&lt;O31,"",ROUND(((NETWORKDAYS(O31,BH31,JoursFeries)-1)*(HFer-HOuv)+IF(NETWORKDAYS(BH31,BH31,JoursFeries),MEDIAN(MOD(BH31,1),HFer,HOuv),HFer)-IF(NETWORKDAYS(O31,O31,JoursFeries),MEDIAN(MOD(O31,1),HFer,HOuv),HOuv))*24,4))))</f>
        <v/>
      </c>
      <c r="BJ31" s="35" t="str">
        <f aca="false">IF(OR(BI31="",AR31=""),"",IF(BI31&lt;=INDEX(DELAI_ESC,AR31),1,0))</f>
        <v/>
      </c>
      <c r="BK31" s="38" t="str">
        <f aca="false">IF(AO31&lt;&gt;1,"",IF(AND(T31="",U31=""),"",MIN(T31,U31)))</f>
        <v/>
      </c>
      <c r="BL31" s="37" t="str">
        <f aca="false">IF(OR(BK31="",R31=""),"",IFERROR(ROUND(IF(OR(BK31="",R31=""),"",IF(R31&lt;BK31,"",ROUND(((NETWORKDAYS(BK31,R31,JoursFeries)-1)*(HFer-HOuv)+IF(NETWORKDAYS(R31,R31,JoursFeries),MEDIAN(MOD(R31,1),HFer,HOuv),HFer)-IF(NETWORKDAYS(BK31,BK31,JoursFeries),MEDIAN(MOD(BK31,1),HFer,HOuv),HOuv))*24,4)))/HJour,4),""))</f>
        <v/>
      </c>
      <c r="BM31" s="35" t="n">
        <f aca="false">IF(OR(AO31&lt;&gt;1,R31=""),"",IF(BD31=1,1,0))</f>
        <v>1</v>
      </c>
      <c r="BN31" s="35" t="n">
        <f aca="false">IF(AO31&lt;&gt;1,"",IF(W31="Oui",1,0))</f>
        <v>1</v>
      </c>
      <c r="BO31" s="35" t="n">
        <f aca="false">IF(AO31&lt;&gt;1,"",IF(X31&lt;&gt;"",1,0))</f>
        <v>1</v>
      </c>
      <c r="BP31" s="35" t="n">
        <f aca="false">IF(AO31&lt;&gt;1,"",IF(Y31="Oui",1,0))</f>
        <v>1</v>
      </c>
      <c r="BQ31" s="35" t="str">
        <f aca="true">IF(OR(AO31&lt;&gt;1,Z31&lt;&gt;"Oui"),"",IF(AB31="",IF(AND(AA31&lt;&gt;"",NOW()&gt;AA31),0,""),IF(AA31="","",IF(AB31&lt;=AA31,1,0))))</f>
        <v/>
      </c>
      <c r="BR31" s="38" t="str">
        <f aca="false">IF(OR(AO31&lt;&gt;1,K31&lt;&gt;"Oui",O31=""),"",IF(AC31="",O31+DORA_H_DET/24,IF(AC31-O31&lt;=DORA_H_DET/24,MIN(AC31+DORA_H_CLA/24,O31+DORA_H_DET/24),AC31+DORA_H_CLA/24)))</f>
        <v/>
      </c>
      <c r="BS31" s="35" t="str">
        <f aca="true">IF(BR31="","",IF(AD31="",IF(NOW()&gt;BR31,0,""),IF(AD31&lt;=BR31,1,0)))</f>
        <v/>
      </c>
      <c r="BT31" s="35" t="str">
        <f aca="true">IF(OR(BR31="",AD31=""),"",IF(AE31="",IF(NOW()&gt;AD31+DORA_H_INT/24,0,""),IF(AE31&lt;=AD31+DORA_H_INT/24,1,0)))</f>
        <v/>
      </c>
      <c r="BU31" s="35" t="str">
        <f aca="true">IF(OR(BR31="",AE31=""),"",IF(AF31="",IF(NOW()&gt;EDATE(AE31,DORA_M_FIN)+1,0,""),IF(AF31&lt;=EDATE(AE31,DORA_M_FIN),1,0)))</f>
        <v/>
      </c>
      <c r="BV31" s="35" t="str">
        <f aca="false">IF(BR31="","",IF(COUNT(BS31:BU31)=0,"",MIN(BS31:BU31)))</f>
        <v/>
      </c>
      <c r="BW31" s="40" t="str">
        <f aca="false">IF(AQ31&lt;&gt;1,"",IF(AND(AG31="",AH31=""),"",N(AG31)-N(AH31)))</f>
        <v/>
      </c>
      <c r="BX31" s="35" t="n">
        <f aca="true">IF(OR(AQ31&lt;&gt;1,AI31&lt;&gt;"Oui",AJ31=""),"",IF(AK31="",IF(NOW()&gt;AJ31+1,0,""),IF(AK31&lt;=AJ31,1,0)))</f>
        <v>1</v>
      </c>
    </row>
    <row r="32" customFormat="false" ht="15" hidden="false" customHeight="false" outlineLevel="0" collapsed="false">
      <c r="B32" s="29" t="s">
        <v>243</v>
      </c>
      <c r="C32" s="29" t="s">
        <v>160</v>
      </c>
      <c r="D32" s="29" t="s">
        <v>195</v>
      </c>
      <c r="E32" s="29" t="s">
        <v>203</v>
      </c>
      <c r="F32" s="29" t="s">
        <v>204</v>
      </c>
      <c r="G32" s="29" t="s">
        <v>180</v>
      </c>
      <c r="H32" s="29" t="s">
        <v>182</v>
      </c>
      <c r="I32" s="29" t="s">
        <v>228</v>
      </c>
      <c r="J32" s="29" t="s">
        <v>187</v>
      </c>
      <c r="K32" s="29" t="s">
        <v>168</v>
      </c>
      <c r="L32" s="29" t="s">
        <v>169</v>
      </c>
      <c r="M32" s="29" t="s">
        <v>174</v>
      </c>
      <c r="N32" s="30" t="n">
        <v>46038.4618055556</v>
      </c>
      <c r="O32" s="30" t="n">
        <v>46043.4618055556</v>
      </c>
      <c r="P32" s="30" t="n">
        <v>46043.4930555556</v>
      </c>
      <c r="Q32" s="30" t="n">
        <v>46043.5659722222</v>
      </c>
      <c r="R32" s="30" t="n">
        <v>46048.5763888889</v>
      </c>
      <c r="S32" s="30" t="n">
        <v>46051.4826388889</v>
      </c>
      <c r="T32" s="30"/>
      <c r="U32" s="30"/>
      <c r="V32" s="31" t="n">
        <v>0</v>
      </c>
      <c r="W32" s="29" t="s">
        <v>168</v>
      </c>
      <c r="X32" s="29"/>
      <c r="Y32" s="29" t="s">
        <v>168</v>
      </c>
      <c r="Z32" s="29" t="s">
        <v>168</v>
      </c>
      <c r="AA32" s="30"/>
      <c r="AB32" s="30"/>
      <c r="AC32" s="30"/>
      <c r="AD32" s="30"/>
      <c r="AE32" s="30"/>
      <c r="AF32" s="32"/>
      <c r="AG32" s="33"/>
      <c r="AH32" s="33"/>
      <c r="AI32" s="29" t="s">
        <v>168</v>
      </c>
      <c r="AJ32" s="32"/>
      <c r="AK32" s="32"/>
      <c r="AL32" s="29"/>
      <c r="AN32" s="34" t="str">
        <f aca="false">IF($B32="","",IF(OR(C32="",D32="",E32="",G32="",I32="",J32="",L32="",O32="",P32=""),"Champ obligatoire manquant",IF(OR(AND(N32&lt;&gt;"",N32&gt;O32),O32&gt;P32,AND(Q32&lt;&gt;"",Q32&lt;P32),AND(R32&lt;&gt;"",R32&lt;P32),AND(S32&lt;&gt;"",S32&lt;R32),AND(S32&lt;&gt;"",R32=""),AND(T32&lt;&gt;"",T32&lt;O32),AND(U32&lt;&gt;"",U32&lt;O32)),"Chronologie incohérente",IF(AND(OR(L32="Résolu",L32="Clos"),R32=""),"Date de résolution manquante",IF(AND(L32="Clos",S32=""),"Date de clôture manquante",IF(AND(K32="Oui",AC32=""),"Classification DORA manquante","OK"))))))</f>
        <v>OK</v>
      </c>
      <c r="AO32" s="35" t="n">
        <f aca="false">IF($B32="","",IF(AND(C32="Incident",L32&lt;&gt;"Annulé"),1,0))</f>
        <v>0</v>
      </c>
      <c r="AP32" s="35" t="n">
        <f aca="false">IF($B32="","",IF(AND(C32="Quasi-incident",L32&lt;&gt;"Annulé"),1,0))</f>
        <v>1</v>
      </c>
      <c r="AQ32" s="35" t="n">
        <f aca="false">IF($B32="","",AO32+AP32)</f>
        <v>1</v>
      </c>
      <c r="AR32" s="36" t="n">
        <f aca="false">IF(OR($B32="",J32=""),"",IFERROR(VALUE(LEFT(J32,1)),""))</f>
        <v>4</v>
      </c>
      <c r="AS32" s="35" t="str">
        <f aca="false">IF(OR(AO32&lt;&gt;1,G32=""),"",IFERROR(IF(INDEX(L_SrcInterne,MATCH(G32,L_Sources,0))="Oui",1,0),""))</f>
        <v/>
      </c>
      <c r="AT32" s="37" t="str">
        <f aca="false">IF(AO32&lt;&gt;1,"",IFERROR(ROUND(IF(OR(N32="",O32=""),"",IF(O32&lt;N32,"",ROUND(((NETWORKDAYS(N32,O32,JoursFeries)-1)*(HFer-HOuv)+IF(NETWORKDAYS(O32,O32,JoursFeries),MEDIAN(MOD(O32,1),HFer,HOuv),HFer)-IF(NETWORKDAYS(N32,N32,JoursFeries),MEDIAN(MOD(N32,1),HFer,HOuv),HOuv))*24,4)))/HJour,4),""))</f>
        <v/>
      </c>
      <c r="AU32" s="37" t="str">
        <f aca="false">IF(AO32&lt;&gt;1,"",IF(OR(O32="",P32=""),"",IF(P32&lt;O32,"",ROUND(((NETWORKDAYS(O32,P32,JoursFeries)-1)*(HFer-HOuv)+IF(NETWORKDAYS(P32,P32,JoursFeries),MEDIAN(MOD(P32,1),HFer,HOuv),HFer)-IF(NETWORKDAYS(O32,O32,JoursFeries),MEDIAN(MOD(O32,1),HFer,HOuv),HOuv))*24,4))))</f>
        <v/>
      </c>
      <c r="AV32" s="37" t="str">
        <f aca="false">IF(AO32&lt;&gt;1,"",IF(OR(P32="",Q32=""),"",IF(Q32&lt;P32,"",ROUND(((NETWORKDAYS(P32,Q32,JoursFeries)-1)*(HFer-HOuv)+IF(NETWORKDAYS(Q32,Q32,JoursFeries),MEDIAN(MOD(Q32,1),HFer,HOuv),HFer)-IF(NETWORKDAYS(P32,P32,JoursFeries),MEDIAN(MOD(P32,1),HFer,HOuv),HOuv))*24,4))))</f>
        <v/>
      </c>
      <c r="AW32" s="37" t="str">
        <f aca="false">IF(AO32&lt;&gt;1,"",IFERROR(ROUND(IF(OR(P32="",R32=""),"",IF(R32&lt;P32,"",ROUND(((NETWORKDAYS(P32,R32,JoursFeries)-1)*(HFer-HOuv)+IF(NETWORKDAYS(R32,R32,JoursFeries),MEDIAN(MOD(R32,1),HFer,HOuv),HFer)-IF(NETWORKDAYS(P32,P32,JoursFeries),MEDIAN(MOD(P32,1),HFer,HOuv),HOuv))*24,4)))/HJour,4),""))</f>
        <v/>
      </c>
      <c r="AX32" s="37" t="str">
        <f aca="false">IF(AO32&lt;&gt;1,"",IFERROR(ROUND(IF(OR(P32="",S32=""),"",IF(S32&lt;P32,"",ROUND(((NETWORKDAYS(P32,S32,JoursFeries)-1)*(HFer-HOuv)+IF(NETWORKDAYS(S32,S32,JoursFeries),MEDIAN(MOD(S32,1),HFer,HOuv),HFer)-IF(NETWORKDAYS(P32,P32,JoursFeries),MEDIAN(MOD(P32,1),HFer,HOuv),HOuv))*24,4)))/HJour,4),""))</f>
        <v/>
      </c>
      <c r="AY32" s="36" t="str">
        <f aca="false">IF(OR(AO32&lt;&gt;1,AR32=""),"",INDEX(SLA_PEC,AR32))</f>
        <v/>
      </c>
      <c r="AZ32" s="35" t="str">
        <f aca="false">IF(OR(AV32="",AY32=""),"",IF(AV32&lt;=AY32,1,0))</f>
        <v/>
      </c>
      <c r="BA32" s="36" t="str">
        <f aca="false">IF(OR(AO32&lt;&gt;1,AR32=""),"",INDEX(SLA_RES,AR32))</f>
        <v/>
      </c>
      <c r="BB32" s="35" t="str">
        <f aca="false">IF(OR(AW32="",BA32=""),"",IF(AW32&lt;=BA32,1,0))</f>
        <v/>
      </c>
      <c r="BC32" s="38" t="str">
        <f aca="false">IF(OR(BA32="",P32=""),"",WORKDAY(INT(P32),BA32,JoursFeries)+MOD(P32,1))</f>
        <v/>
      </c>
      <c r="BD32" s="39" t="str">
        <f aca="false">IF(AO32&lt;&gt;1,"",IF(OR(AB32&lt;&gt;"",AD32&lt;&gt;""),4,IF(U32&lt;&gt;"",3,IF(T32&lt;&gt;"",2,1))))</f>
        <v/>
      </c>
      <c r="BE32" s="39" t="str">
        <f aca="false">IF(OR(AO32&lt;&gt;1,AR32=""),"",INDEX(NIV_REQ,AR32))</f>
        <v/>
      </c>
      <c r="BF32" s="39" t="str">
        <f aca="false">IF(BE32="","",MAX(BE32,IF(OR(K32="Oui",Z32="Oui"),4,1)))</f>
        <v/>
      </c>
      <c r="BG32" s="35" t="str">
        <f aca="false">IF(OR(BF32="",BD32=""),"",IF(BD32&gt;=BF32,1,0))</f>
        <v/>
      </c>
      <c r="BH32" s="38" t="str">
        <f aca="false">IF(BE32="","",IF(BE32&lt;2,"",IF(BE32=2,IF(AND(T32="",U32=""),"",MIN(T32,U32)),IF(U32="","",U32))))</f>
        <v/>
      </c>
      <c r="BI32" s="37" t="str">
        <f aca="false">IF(BH32="","",IF(OR(O32="",BH32=""),"",IF(BH32&lt;O32,"",ROUND(((NETWORKDAYS(O32,BH32,JoursFeries)-1)*(HFer-HOuv)+IF(NETWORKDAYS(BH32,BH32,JoursFeries),MEDIAN(MOD(BH32,1),HFer,HOuv),HFer)-IF(NETWORKDAYS(O32,O32,JoursFeries),MEDIAN(MOD(O32,1),HFer,HOuv),HOuv))*24,4))))</f>
        <v/>
      </c>
      <c r="BJ32" s="35" t="str">
        <f aca="false">IF(OR(BI32="",AR32=""),"",IF(BI32&lt;=INDEX(DELAI_ESC,AR32),1,0))</f>
        <v/>
      </c>
      <c r="BK32" s="38" t="str">
        <f aca="false">IF(AO32&lt;&gt;1,"",IF(AND(T32="",U32=""),"",MIN(T32,U32)))</f>
        <v/>
      </c>
      <c r="BL32" s="37" t="str">
        <f aca="false">IF(OR(BK32="",R32=""),"",IFERROR(ROUND(IF(OR(BK32="",R32=""),"",IF(R32&lt;BK32,"",ROUND(((NETWORKDAYS(BK32,R32,JoursFeries)-1)*(HFer-HOuv)+IF(NETWORKDAYS(R32,R32,JoursFeries),MEDIAN(MOD(R32,1),HFer,HOuv),HFer)-IF(NETWORKDAYS(BK32,BK32,JoursFeries),MEDIAN(MOD(BK32,1),HFer,HOuv),HOuv))*24,4)))/HJour,4),""))</f>
        <v/>
      </c>
      <c r="BM32" s="35" t="str">
        <f aca="false">IF(OR(AO32&lt;&gt;1,R32=""),"",IF(BD32=1,1,0))</f>
        <v/>
      </c>
      <c r="BN32" s="35" t="str">
        <f aca="false">IF(AO32&lt;&gt;1,"",IF(W32="Oui",1,0))</f>
        <v/>
      </c>
      <c r="BO32" s="35" t="str">
        <f aca="false">IF(AO32&lt;&gt;1,"",IF(X32&lt;&gt;"",1,0))</f>
        <v/>
      </c>
      <c r="BP32" s="35" t="str">
        <f aca="false">IF(AO32&lt;&gt;1,"",IF(Y32="Oui",1,0))</f>
        <v/>
      </c>
      <c r="BQ32" s="35" t="str">
        <f aca="true">IF(OR(AO32&lt;&gt;1,Z32&lt;&gt;"Oui"),"",IF(AB32="",IF(AND(AA32&lt;&gt;"",NOW()&gt;AA32),0,""),IF(AA32="","",IF(AB32&lt;=AA32,1,0))))</f>
        <v/>
      </c>
      <c r="BR32" s="38" t="str">
        <f aca="false">IF(OR(AO32&lt;&gt;1,K32&lt;&gt;"Oui",O32=""),"",IF(AC32="",O32+DORA_H_DET/24,IF(AC32-O32&lt;=DORA_H_DET/24,MIN(AC32+DORA_H_CLA/24,O32+DORA_H_DET/24),AC32+DORA_H_CLA/24)))</f>
        <v/>
      </c>
      <c r="BS32" s="35" t="str">
        <f aca="true">IF(BR32="","",IF(AD32="",IF(NOW()&gt;BR32,0,""),IF(AD32&lt;=BR32,1,0)))</f>
        <v/>
      </c>
      <c r="BT32" s="35" t="str">
        <f aca="true">IF(OR(BR32="",AD32=""),"",IF(AE32="",IF(NOW()&gt;AD32+DORA_H_INT/24,0,""),IF(AE32&lt;=AD32+DORA_H_INT/24,1,0)))</f>
        <v/>
      </c>
      <c r="BU32" s="35" t="str">
        <f aca="true">IF(OR(BR32="",AE32=""),"",IF(AF32="",IF(NOW()&gt;EDATE(AE32,DORA_M_FIN)+1,0,""),IF(AF32&lt;=EDATE(AE32,DORA_M_FIN),1,0)))</f>
        <v/>
      </c>
      <c r="BV32" s="35" t="str">
        <f aca="false">IF(BR32="","",IF(COUNT(BS32:BU32)=0,"",MIN(BS32:BU32)))</f>
        <v/>
      </c>
      <c r="BW32" s="40" t="str">
        <f aca="false">IF(AQ32&lt;&gt;1,"",IF(AND(AG32="",AH32=""),"",N(AG32)-N(AH32)))</f>
        <v/>
      </c>
      <c r="BX32" s="35" t="str">
        <f aca="true">IF(OR(AQ32&lt;&gt;1,AI32&lt;&gt;"Oui",AJ32=""),"",IF(AK32="",IF(NOW()&gt;AJ32+1,0,""),IF(AK32&lt;=AJ32,1,0)))</f>
        <v/>
      </c>
    </row>
    <row r="33" customFormat="false" ht="15" hidden="false" customHeight="false" outlineLevel="0" collapsed="false">
      <c r="B33" s="29" t="s">
        <v>244</v>
      </c>
      <c r="C33" s="29" t="s">
        <v>178</v>
      </c>
      <c r="D33" s="29" t="s">
        <v>184</v>
      </c>
      <c r="E33" s="29" t="s">
        <v>171</v>
      </c>
      <c r="F33" s="29" t="s">
        <v>172</v>
      </c>
      <c r="G33" s="29" t="s">
        <v>180</v>
      </c>
      <c r="H33" s="29" t="s">
        <v>174</v>
      </c>
      <c r="I33" s="29" t="s">
        <v>175</v>
      </c>
      <c r="J33" s="29" t="s">
        <v>219</v>
      </c>
      <c r="K33" s="29" t="s">
        <v>168</v>
      </c>
      <c r="L33" s="29" t="s">
        <v>169</v>
      </c>
      <c r="M33" s="29" t="s">
        <v>165</v>
      </c>
      <c r="N33" s="30" t="n">
        <v>46051.6666666667</v>
      </c>
      <c r="O33" s="30" t="n">
        <v>46055.6666666667</v>
      </c>
      <c r="P33" s="30" t="n">
        <v>46055.6736111111</v>
      </c>
      <c r="Q33" s="30" t="n">
        <v>46056.3888888889</v>
      </c>
      <c r="R33" s="30" t="n">
        <v>46058.3784722222</v>
      </c>
      <c r="S33" s="30" t="n">
        <v>46072.5833333333</v>
      </c>
      <c r="T33" s="30" t="n">
        <v>46056.4097222222</v>
      </c>
      <c r="U33" s="30"/>
      <c r="V33" s="31" t="n">
        <v>0</v>
      </c>
      <c r="W33" s="29" t="s">
        <v>189</v>
      </c>
      <c r="X33" s="29"/>
      <c r="Y33" s="29" t="s">
        <v>168</v>
      </c>
      <c r="Z33" s="29" t="s">
        <v>168</v>
      </c>
      <c r="AA33" s="30"/>
      <c r="AB33" s="30"/>
      <c r="AC33" s="30"/>
      <c r="AD33" s="30"/>
      <c r="AE33" s="30"/>
      <c r="AF33" s="32"/>
      <c r="AG33" s="33"/>
      <c r="AH33" s="33"/>
      <c r="AI33" s="29" t="s">
        <v>189</v>
      </c>
      <c r="AJ33" s="32" t="n">
        <v>46109</v>
      </c>
      <c r="AK33" s="32" t="n">
        <v>46116</v>
      </c>
      <c r="AL33" s="29" t="s">
        <v>242</v>
      </c>
      <c r="AN33" s="34" t="str">
        <f aca="false">IF($B33="","",IF(OR(C33="",D33="",E33="",G33="",I33="",J33="",L33="",O33="",P33=""),"Champ obligatoire manquant",IF(OR(AND(N33&lt;&gt;"",N33&gt;O33),O33&gt;P33,AND(Q33&lt;&gt;"",Q33&lt;P33),AND(R33&lt;&gt;"",R33&lt;P33),AND(S33&lt;&gt;"",S33&lt;R33),AND(S33&lt;&gt;"",R33=""),AND(T33&lt;&gt;"",T33&lt;O33),AND(U33&lt;&gt;"",U33&lt;O33)),"Chronologie incohérente",IF(AND(OR(L33="Résolu",L33="Clos"),R33=""),"Date de résolution manquante",IF(AND(L33="Clos",S33=""),"Date de clôture manquante",IF(AND(K33="Oui",AC33=""),"Classification DORA manquante","OK"))))))</f>
        <v>OK</v>
      </c>
      <c r="AO33" s="35" t="n">
        <f aca="false">IF($B33="","",IF(AND(C33="Incident",L33&lt;&gt;"Annulé"),1,0))</f>
        <v>1</v>
      </c>
      <c r="AP33" s="35" t="n">
        <f aca="false">IF($B33="","",IF(AND(C33="Quasi-incident",L33&lt;&gt;"Annulé"),1,0))</f>
        <v>0</v>
      </c>
      <c r="AQ33" s="35" t="n">
        <f aca="false">IF($B33="","",AO33+AP33)</f>
        <v>1</v>
      </c>
      <c r="AR33" s="36" t="n">
        <f aca="false">IF(OR($B33="",J33=""),"",IFERROR(VALUE(LEFT(J33,1)),""))</f>
        <v>2</v>
      </c>
      <c r="AS33" s="35" t="n">
        <f aca="false">IF(OR(AO33&lt;&gt;1,G33=""),"",IFERROR(IF(INDEX(L_SrcInterne,MATCH(G33,L_Sources,0))="Oui",1,0),""))</f>
        <v>1</v>
      </c>
      <c r="AT33" s="37" t="n">
        <f aca="false">IF(AO33&lt;&gt;1,"",IFERROR(ROUND(IF(OR(N33="",O33=""),"",IF(O33&lt;N33,"",ROUND(((NETWORKDAYS(N33,O33,JoursFeries)-1)*(HFer-HOuv)+IF(NETWORKDAYS(O33,O33,JoursFeries),MEDIAN(MOD(O33,1),HFer,HOuv),HFer)-IF(NETWORKDAYS(N33,N33,JoursFeries),MEDIAN(MOD(N33,1),HFer,HOuv),HOuv))*24,4)))/HJour,4),""))</f>
        <v>2</v>
      </c>
      <c r="AU33" s="37" t="n">
        <f aca="false">IF(AO33&lt;&gt;1,"",IF(OR(O33="",P33=""),"",IF(P33&lt;O33,"",ROUND(((NETWORKDAYS(O33,P33,JoursFeries)-1)*(HFer-HOuv)+IF(NETWORKDAYS(P33,P33,JoursFeries),MEDIAN(MOD(P33,1),HFer,HOuv),HFer)-IF(NETWORKDAYS(O33,O33,JoursFeries),MEDIAN(MOD(O33,1),HFer,HOuv),HOuv))*24,4))))</f>
        <v>0.1667</v>
      </c>
      <c r="AV33" s="37" t="n">
        <f aca="false">IF(AO33&lt;&gt;1,"",IF(OR(P33="",Q33=""),"",IF(Q33&lt;P33,"",ROUND(((NETWORKDAYS(P33,Q33,JoursFeries)-1)*(HFer-HOuv)+IF(NETWORKDAYS(Q33,Q33,JoursFeries),MEDIAN(MOD(Q33,1),HFer,HOuv),HFer)-IF(NETWORKDAYS(P33,P33,JoursFeries),MEDIAN(MOD(P33,1),HFer,HOuv),HOuv))*24,4))))</f>
        <v>2.1667</v>
      </c>
      <c r="AW33" s="37" t="n">
        <f aca="false">IF(AO33&lt;&gt;1,"",IFERROR(ROUND(IF(OR(P33="",R33=""),"",IF(R33&lt;P33,"",ROUND(((NETWORKDAYS(P33,R33,JoursFeries)-1)*(HFer-HOuv)+IF(NETWORKDAYS(R33,R33,JoursFeries),MEDIAN(MOD(R33,1),HFer,HOuv),HFer)-IF(NETWORKDAYS(P33,P33,JoursFeries),MEDIAN(MOD(P33,1),HFer,HOuv),HOuv))*24,4)))/HJour,4),""))</f>
        <v>2.213</v>
      </c>
      <c r="AX33" s="37" t="n">
        <f aca="false">IF(AO33&lt;&gt;1,"",IFERROR(ROUND(IF(OR(P33="",S33=""),"",IF(S33&lt;P33,"",ROUND(((NETWORKDAYS(P33,S33,JoursFeries)-1)*(HFer-HOuv)+IF(NETWORKDAYS(S33,S33,JoursFeries),MEDIAN(MOD(S33,1),HFer,HOuv),HFer)-IF(NETWORKDAYS(P33,P33,JoursFeries),MEDIAN(MOD(P33,1),HFer,HOuv),HOuv))*24,4)))/HJour,4),""))</f>
        <v>12.7593</v>
      </c>
      <c r="AY33" s="36" t="n">
        <f aca="false">IF(OR(AO33&lt;&gt;1,AR33=""),"",INDEX(SLA_PEC,AR33))</f>
        <v>2</v>
      </c>
      <c r="AZ33" s="35" t="n">
        <f aca="false">IF(OR(AV33="",AY33=""),"",IF(AV33&lt;=AY33,1,0))</f>
        <v>0</v>
      </c>
      <c r="BA33" s="36" t="n">
        <f aca="false">IF(OR(AO33&lt;&gt;1,AR33=""),"",INDEX(SLA_RES,AR33))</f>
        <v>3</v>
      </c>
      <c r="BB33" s="35" t="n">
        <f aca="false">IF(OR(AW33="",BA33=""),"",IF(AW33&lt;=BA33,1,0))</f>
        <v>1</v>
      </c>
      <c r="BC33" s="38" t="n">
        <f aca="false">IF(OR(BA33="",P33=""),"",WORKDAY(INT(P33),BA33,JoursFeries)+MOD(P33,1))</f>
        <v>46058.6736111111</v>
      </c>
      <c r="BD33" s="39" t="n">
        <f aca="false">IF(AO33&lt;&gt;1,"",IF(OR(AB33&lt;&gt;"",AD33&lt;&gt;""),4,IF(U33&lt;&gt;"",3,IF(T33&lt;&gt;"",2,1))))</f>
        <v>2</v>
      </c>
      <c r="BE33" s="39" t="n">
        <f aca="false">IF(OR(AO33&lt;&gt;1,AR33=""),"",INDEX(NIV_REQ,AR33))</f>
        <v>2</v>
      </c>
      <c r="BF33" s="39" t="n">
        <f aca="false">IF(BE33="","",MAX(BE33,IF(OR(K33="Oui",Z33="Oui"),4,1)))</f>
        <v>2</v>
      </c>
      <c r="BG33" s="35" t="n">
        <f aca="false">IF(OR(BF33="",BD33=""),"",IF(BD33&gt;=BF33,1,0))</f>
        <v>1</v>
      </c>
      <c r="BH33" s="38" t="n">
        <f aca="false">IF(BE33="","",IF(BE33&lt;2,"",IF(BE33=2,IF(AND(T33="",U33=""),"",MIN(T33,U33)),IF(U33="","",U33))))</f>
        <v>46056.4097222222</v>
      </c>
      <c r="BI33" s="37" t="n">
        <f aca="false">IF(BH33="","",IF(OR(O33="",BH33=""),"",IF(BH33&lt;O33,"",ROUND(((NETWORKDAYS(O33,BH33,JoursFeries)-1)*(HFer-HOuv)+IF(NETWORKDAYS(BH33,BH33,JoursFeries),MEDIAN(MOD(BH33,1),HFer,HOuv),HFer)-IF(NETWORKDAYS(O33,O33,JoursFeries),MEDIAN(MOD(O33,1),HFer,HOuv),HOuv))*24,4))))</f>
        <v>2.8333</v>
      </c>
      <c r="BJ33" s="35" t="n">
        <f aca="false">IF(OR(BI33="",AR33=""),"",IF(BI33&lt;=INDEX(DELAI_ESC,AR33),1,0))</f>
        <v>1</v>
      </c>
      <c r="BK33" s="38" t="n">
        <f aca="false">IF(AO33&lt;&gt;1,"",IF(AND(T33="",U33=""),"",MIN(T33,U33)))</f>
        <v>46056.4097222222</v>
      </c>
      <c r="BL33" s="37" t="n">
        <f aca="false">IF(OR(BK33="",R33=""),"",IFERROR(ROUND(IF(OR(BK33="",R33=""),"",IF(R33&lt;BK33,"",ROUND(((NETWORKDAYS(BK33,R33,JoursFeries)-1)*(HFer-HOuv)+IF(NETWORKDAYS(R33,R33,JoursFeries),MEDIAN(MOD(R33,1),HFer,HOuv),HFer)-IF(NETWORKDAYS(BK33,BK33,JoursFeries),MEDIAN(MOD(BK33,1),HFer,HOuv),HOuv))*24,4)))/HJour,4),""))</f>
        <v>1.9167</v>
      </c>
      <c r="BM33" s="35" t="n">
        <f aca="false">IF(OR(AO33&lt;&gt;1,R33=""),"",IF(BD33=1,1,0))</f>
        <v>0</v>
      </c>
      <c r="BN33" s="35" t="n">
        <f aca="false">IF(AO33&lt;&gt;1,"",IF(W33="Oui",1,0))</f>
        <v>1</v>
      </c>
      <c r="BO33" s="35" t="n">
        <f aca="false">IF(AO33&lt;&gt;1,"",IF(X33&lt;&gt;"",1,0))</f>
        <v>0</v>
      </c>
      <c r="BP33" s="35" t="n">
        <f aca="false">IF(AO33&lt;&gt;1,"",IF(Y33="Oui",1,0))</f>
        <v>0</v>
      </c>
      <c r="BQ33" s="35" t="str">
        <f aca="true">IF(OR(AO33&lt;&gt;1,Z33&lt;&gt;"Oui"),"",IF(AB33="",IF(AND(AA33&lt;&gt;"",NOW()&gt;AA33),0,""),IF(AA33="","",IF(AB33&lt;=AA33,1,0))))</f>
        <v/>
      </c>
      <c r="BR33" s="38" t="str">
        <f aca="false">IF(OR(AO33&lt;&gt;1,K33&lt;&gt;"Oui",O33=""),"",IF(AC33="",O33+DORA_H_DET/24,IF(AC33-O33&lt;=DORA_H_DET/24,MIN(AC33+DORA_H_CLA/24,O33+DORA_H_DET/24),AC33+DORA_H_CLA/24)))</f>
        <v/>
      </c>
      <c r="BS33" s="35" t="str">
        <f aca="true">IF(BR33="","",IF(AD33="",IF(NOW()&gt;BR33,0,""),IF(AD33&lt;=BR33,1,0)))</f>
        <v/>
      </c>
      <c r="BT33" s="35" t="str">
        <f aca="true">IF(OR(BR33="",AD33=""),"",IF(AE33="",IF(NOW()&gt;AD33+DORA_H_INT/24,0,""),IF(AE33&lt;=AD33+DORA_H_INT/24,1,0)))</f>
        <v/>
      </c>
      <c r="BU33" s="35" t="str">
        <f aca="true">IF(OR(BR33="",AE33=""),"",IF(AF33="",IF(NOW()&gt;EDATE(AE33,DORA_M_FIN)+1,0,""),IF(AF33&lt;=EDATE(AE33,DORA_M_FIN),1,0)))</f>
        <v/>
      </c>
      <c r="BV33" s="35" t="str">
        <f aca="false">IF(BR33="","",IF(COUNT(BS33:BU33)=0,"",MIN(BS33:BU33)))</f>
        <v/>
      </c>
      <c r="BW33" s="40" t="str">
        <f aca="false">IF(AQ33&lt;&gt;1,"",IF(AND(AG33="",AH33=""),"",N(AG33)-N(AH33)))</f>
        <v/>
      </c>
      <c r="BX33" s="35" t="n">
        <f aca="true">IF(OR(AQ33&lt;&gt;1,AI33&lt;&gt;"Oui",AJ33=""),"",IF(AK33="",IF(NOW()&gt;AJ33+1,0,""),IF(AK33&lt;=AJ33,1,0)))</f>
        <v>0</v>
      </c>
    </row>
    <row r="34" customFormat="false" ht="15" hidden="false" customHeight="false" outlineLevel="0" collapsed="false">
      <c r="B34" s="29" t="s">
        <v>245</v>
      </c>
      <c r="C34" s="29" t="s">
        <v>178</v>
      </c>
      <c r="D34" s="29" t="s">
        <v>161</v>
      </c>
      <c r="E34" s="29" t="s">
        <v>162</v>
      </c>
      <c r="F34" s="29" t="s">
        <v>163</v>
      </c>
      <c r="G34" s="29" t="s">
        <v>164</v>
      </c>
      <c r="H34" s="29" t="s">
        <v>165</v>
      </c>
      <c r="I34" s="29" t="s">
        <v>186</v>
      </c>
      <c r="J34" s="29" t="s">
        <v>219</v>
      </c>
      <c r="K34" s="29" t="s">
        <v>168</v>
      </c>
      <c r="L34" s="29" t="s">
        <v>169</v>
      </c>
      <c r="M34" s="29" t="s">
        <v>174</v>
      </c>
      <c r="N34" s="30" t="n">
        <v>46059.5104166667</v>
      </c>
      <c r="O34" s="30" t="n">
        <v>46062.5104166667</v>
      </c>
      <c r="P34" s="30" t="n">
        <v>46062.5520833333</v>
      </c>
      <c r="Q34" s="30" t="n">
        <v>46062.6111111111</v>
      </c>
      <c r="R34" s="30" t="n">
        <v>46064.46875</v>
      </c>
      <c r="S34" s="30" t="n">
        <v>46097.7222222222</v>
      </c>
      <c r="T34" s="30" t="n">
        <v>46062.5451388889</v>
      </c>
      <c r="U34" s="30"/>
      <c r="V34" s="31" t="n">
        <v>0</v>
      </c>
      <c r="W34" s="29" t="s">
        <v>168</v>
      </c>
      <c r="X34" s="29"/>
      <c r="Y34" s="29" t="s">
        <v>189</v>
      </c>
      <c r="Z34" s="29" t="s">
        <v>168</v>
      </c>
      <c r="AA34" s="30"/>
      <c r="AB34" s="30"/>
      <c r="AC34" s="30"/>
      <c r="AD34" s="30"/>
      <c r="AE34" s="30"/>
      <c r="AF34" s="32"/>
      <c r="AG34" s="33"/>
      <c r="AH34" s="33"/>
      <c r="AI34" s="29" t="s">
        <v>189</v>
      </c>
      <c r="AJ34" s="32" t="n">
        <v>46082</v>
      </c>
      <c r="AK34" s="32" t="n">
        <v>46073</v>
      </c>
      <c r="AL34" s="29"/>
      <c r="AN34" s="34" t="str">
        <f aca="false">IF($B34="","",IF(OR(C34="",D34="",E34="",G34="",I34="",J34="",L34="",O34="",P34=""),"Champ obligatoire manquant",IF(OR(AND(N34&lt;&gt;"",N34&gt;O34),O34&gt;P34,AND(Q34&lt;&gt;"",Q34&lt;P34),AND(R34&lt;&gt;"",R34&lt;P34),AND(S34&lt;&gt;"",S34&lt;R34),AND(S34&lt;&gt;"",R34=""),AND(T34&lt;&gt;"",T34&lt;O34),AND(U34&lt;&gt;"",U34&lt;O34)),"Chronologie incohérente",IF(AND(OR(L34="Résolu",L34="Clos"),R34=""),"Date de résolution manquante",IF(AND(L34="Clos",S34=""),"Date de clôture manquante",IF(AND(K34="Oui",AC34=""),"Classification DORA manquante","OK"))))))</f>
        <v>OK</v>
      </c>
      <c r="AO34" s="35" t="n">
        <f aca="false">IF($B34="","",IF(AND(C34="Incident",L34&lt;&gt;"Annulé"),1,0))</f>
        <v>1</v>
      </c>
      <c r="AP34" s="35" t="n">
        <f aca="false">IF($B34="","",IF(AND(C34="Quasi-incident",L34&lt;&gt;"Annulé"),1,0))</f>
        <v>0</v>
      </c>
      <c r="AQ34" s="35" t="n">
        <f aca="false">IF($B34="","",AO34+AP34)</f>
        <v>1</v>
      </c>
      <c r="AR34" s="36" t="n">
        <f aca="false">IF(OR($B34="",J34=""),"",IFERROR(VALUE(LEFT(J34,1)),""))</f>
        <v>2</v>
      </c>
      <c r="AS34" s="35" t="n">
        <f aca="false">IF(OR(AO34&lt;&gt;1,G34=""),"",IFERROR(IF(INDEX(L_SrcInterne,MATCH(G34,L_Sources,0))="Oui",1,0),""))</f>
        <v>1</v>
      </c>
      <c r="AT34" s="37" t="n">
        <f aca="false">IF(AO34&lt;&gt;1,"",IFERROR(ROUND(IF(OR(N34="",O34=""),"",IF(O34&lt;N34,"",ROUND(((NETWORKDAYS(N34,O34,JoursFeries)-1)*(HFer-HOuv)+IF(NETWORKDAYS(O34,O34,JoursFeries),MEDIAN(MOD(O34,1),HFer,HOuv),HFer)-IF(NETWORKDAYS(N34,N34,JoursFeries),MEDIAN(MOD(N34,1),HFer,HOuv),HOuv))*24,4)))/HJour,4),""))</f>
        <v>1</v>
      </c>
      <c r="AU34" s="37" t="n">
        <f aca="false">IF(AO34&lt;&gt;1,"",IF(OR(O34="",P34=""),"",IF(P34&lt;O34,"",ROUND(((NETWORKDAYS(O34,P34,JoursFeries)-1)*(HFer-HOuv)+IF(NETWORKDAYS(P34,P34,JoursFeries),MEDIAN(MOD(P34,1),HFer,HOuv),HFer)-IF(NETWORKDAYS(O34,O34,JoursFeries),MEDIAN(MOD(O34,1),HFer,HOuv),HOuv))*24,4))))</f>
        <v>1</v>
      </c>
      <c r="AV34" s="37" t="n">
        <f aca="false">IF(AO34&lt;&gt;1,"",IF(OR(P34="",Q34=""),"",IF(Q34&lt;P34,"",ROUND(((NETWORKDAYS(P34,Q34,JoursFeries)-1)*(HFer-HOuv)+IF(NETWORKDAYS(Q34,Q34,JoursFeries),MEDIAN(MOD(Q34,1),HFer,HOuv),HFer)-IF(NETWORKDAYS(P34,P34,JoursFeries),MEDIAN(MOD(P34,1),HFer,HOuv),HOuv))*24,4))))</f>
        <v>1.4167</v>
      </c>
      <c r="AW34" s="37" t="n">
        <f aca="false">IF(AO34&lt;&gt;1,"",IFERROR(ROUND(IF(OR(P34="",R34=""),"",IF(R34&lt;P34,"",ROUND(((NETWORKDAYS(P34,R34,JoursFeries)-1)*(HFer-HOuv)+IF(NETWORKDAYS(R34,R34,JoursFeries),MEDIAN(MOD(R34,1),HFer,HOuv),HFer)-IF(NETWORKDAYS(P34,P34,JoursFeries),MEDIAN(MOD(P34,1),HFer,HOuv),HOuv))*24,4)))/HJour,4),""))</f>
        <v>1.7778</v>
      </c>
      <c r="AX34" s="37" t="n">
        <f aca="false">IF(AO34&lt;&gt;1,"",IFERROR(ROUND(IF(OR(P34="",S34=""),"",IF(S34&lt;P34,"",ROUND(((NETWORKDAYS(P34,S34,JoursFeries)-1)*(HFer-HOuv)+IF(NETWORKDAYS(S34,S34,JoursFeries),MEDIAN(MOD(S34,1),HFer,HOuv),HFer)-IF(NETWORKDAYS(P34,P34,JoursFeries),MEDIAN(MOD(P34,1),HFer,HOuv),HOuv))*24,4)))/HJour,4),""))</f>
        <v>25.4537</v>
      </c>
      <c r="AY34" s="36" t="n">
        <f aca="false">IF(OR(AO34&lt;&gt;1,AR34=""),"",INDEX(SLA_PEC,AR34))</f>
        <v>2</v>
      </c>
      <c r="AZ34" s="35" t="n">
        <f aca="false">IF(OR(AV34="",AY34=""),"",IF(AV34&lt;=AY34,1,0))</f>
        <v>1</v>
      </c>
      <c r="BA34" s="36" t="n">
        <f aca="false">IF(OR(AO34&lt;&gt;1,AR34=""),"",INDEX(SLA_RES,AR34))</f>
        <v>3</v>
      </c>
      <c r="BB34" s="35" t="n">
        <f aca="false">IF(OR(AW34="",BA34=""),"",IF(AW34&lt;=BA34,1,0))</f>
        <v>1</v>
      </c>
      <c r="BC34" s="38" t="n">
        <f aca="false">IF(OR(BA34="",P34=""),"",WORKDAY(INT(P34),BA34,JoursFeries)+MOD(P34,1))</f>
        <v>46065.5520833333</v>
      </c>
      <c r="BD34" s="39" t="n">
        <f aca="false">IF(AO34&lt;&gt;1,"",IF(OR(AB34&lt;&gt;"",AD34&lt;&gt;""),4,IF(U34&lt;&gt;"",3,IF(T34&lt;&gt;"",2,1))))</f>
        <v>2</v>
      </c>
      <c r="BE34" s="39" t="n">
        <f aca="false">IF(OR(AO34&lt;&gt;1,AR34=""),"",INDEX(NIV_REQ,AR34))</f>
        <v>2</v>
      </c>
      <c r="BF34" s="39" t="n">
        <f aca="false">IF(BE34="","",MAX(BE34,IF(OR(K34="Oui",Z34="Oui"),4,1)))</f>
        <v>2</v>
      </c>
      <c r="BG34" s="35" t="n">
        <f aca="false">IF(OR(BF34="",BD34=""),"",IF(BD34&gt;=BF34,1,0))</f>
        <v>1</v>
      </c>
      <c r="BH34" s="38" t="n">
        <f aca="false">IF(BE34="","",IF(BE34&lt;2,"",IF(BE34=2,IF(AND(T34="",U34=""),"",MIN(T34,U34)),IF(U34="","",U34))))</f>
        <v>46062.5451388889</v>
      </c>
      <c r="BI34" s="37" t="n">
        <f aca="false">IF(BH34="","",IF(OR(O34="",BH34=""),"",IF(BH34&lt;O34,"",ROUND(((NETWORKDAYS(O34,BH34,JoursFeries)-1)*(HFer-HOuv)+IF(NETWORKDAYS(BH34,BH34,JoursFeries),MEDIAN(MOD(BH34,1),HFer,HOuv),HFer)-IF(NETWORKDAYS(O34,O34,JoursFeries),MEDIAN(MOD(O34,1),HFer,HOuv),HOuv))*24,4))))</f>
        <v>0.8333</v>
      </c>
      <c r="BJ34" s="35" t="n">
        <f aca="false">IF(OR(BI34="",AR34=""),"",IF(BI34&lt;=INDEX(DELAI_ESC,AR34),1,0))</f>
        <v>1</v>
      </c>
      <c r="BK34" s="38" t="n">
        <f aca="false">IF(AO34&lt;&gt;1,"",IF(AND(T34="",U34=""),"",MIN(T34,U34)))</f>
        <v>46062.5451388889</v>
      </c>
      <c r="BL34" s="37" t="n">
        <f aca="false">IF(OR(BK34="",R34=""),"",IFERROR(ROUND(IF(OR(BK34="",R34=""),"",IF(R34&lt;BK34,"",ROUND(((NETWORKDAYS(BK34,R34,JoursFeries)-1)*(HFer-HOuv)+IF(NETWORKDAYS(R34,R34,JoursFeries),MEDIAN(MOD(R34,1),HFer,HOuv),HFer)-IF(NETWORKDAYS(BK34,BK34,JoursFeries),MEDIAN(MOD(BK34,1),HFer,HOuv),HOuv))*24,4)))/HJour,4),""))</f>
        <v>1.7963</v>
      </c>
      <c r="BM34" s="35" t="n">
        <f aca="false">IF(OR(AO34&lt;&gt;1,R34=""),"",IF(BD34=1,1,0))</f>
        <v>0</v>
      </c>
      <c r="BN34" s="35" t="n">
        <f aca="false">IF(AO34&lt;&gt;1,"",IF(W34="Oui",1,0))</f>
        <v>0</v>
      </c>
      <c r="BO34" s="35" t="n">
        <f aca="false">IF(AO34&lt;&gt;1,"",IF(X34&lt;&gt;"",1,0))</f>
        <v>0</v>
      </c>
      <c r="BP34" s="35" t="n">
        <f aca="false">IF(AO34&lt;&gt;1,"",IF(Y34="Oui",1,0))</f>
        <v>1</v>
      </c>
      <c r="BQ34" s="35" t="str">
        <f aca="true">IF(OR(AO34&lt;&gt;1,Z34&lt;&gt;"Oui"),"",IF(AB34="",IF(AND(AA34&lt;&gt;"",NOW()&gt;AA34),0,""),IF(AA34="","",IF(AB34&lt;=AA34,1,0))))</f>
        <v/>
      </c>
      <c r="BR34" s="38" t="str">
        <f aca="false">IF(OR(AO34&lt;&gt;1,K34&lt;&gt;"Oui",O34=""),"",IF(AC34="",O34+DORA_H_DET/24,IF(AC34-O34&lt;=DORA_H_DET/24,MIN(AC34+DORA_H_CLA/24,O34+DORA_H_DET/24),AC34+DORA_H_CLA/24)))</f>
        <v/>
      </c>
      <c r="BS34" s="35" t="str">
        <f aca="true">IF(BR34="","",IF(AD34="",IF(NOW()&gt;BR34,0,""),IF(AD34&lt;=BR34,1,0)))</f>
        <v/>
      </c>
      <c r="BT34" s="35" t="str">
        <f aca="true">IF(OR(BR34="",AD34=""),"",IF(AE34="",IF(NOW()&gt;AD34+DORA_H_INT/24,0,""),IF(AE34&lt;=AD34+DORA_H_INT/24,1,0)))</f>
        <v/>
      </c>
      <c r="BU34" s="35" t="str">
        <f aca="true">IF(OR(BR34="",AE34=""),"",IF(AF34="",IF(NOW()&gt;EDATE(AE34,DORA_M_FIN)+1,0,""),IF(AF34&lt;=EDATE(AE34,DORA_M_FIN),1,0)))</f>
        <v/>
      </c>
      <c r="BV34" s="35" t="str">
        <f aca="false">IF(BR34="","",IF(COUNT(BS34:BU34)=0,"",MIN(BS34:BU34)))</f>
        <v/>
      </c>
      <c r="BW34" s="40" t="str">
        <f aca="false">IF(AQ34&lt;&gt;1,"",IF(AND(AG34="",AH34=""),"",N(AG34)-N(AH34)))</f>
        <v/>
      </c>
      <c r="BX34" s="35" t="n">
        <f aca="true">IF(OR(AQ34&lt;&gt;1,AI34&lt;&gt;"Oui",AJ34=""),"",IF(AK34="",IF(NOW()&gt;AJ34+1,0,""),IF(AK34&lt;=AJ34,1,0)))</f>
        <v>1</v>
      </c>
    </row>
    <row r="35" customFormat="false" ht="15" hidden="false" customHeight="false" outlineLevel="0" collapsed="false">
      <c r="B35" s="29" t="s">
        <v>246</v>
      </c>
      <c r="C35" s="29" t="s">
        <v>178</v>
      </c>
      <c r="D35" s="29" t="s">
        <v>184</v>
      </c>
      <c r="E35" s="29" t="s">
        <v>179</v>
      </c>
      <c r="F35" s="29" t="s">
        <v>172</v>
      </c>
      <c r="G35" s="29" t="s">
        <v>185</v>
      </c>
      <c r="H35" s="29"/>
      <c r="I35" s="29" t="s">
        <v>247</v>
      </c>
      <c r="J35" s="29" t="s">
        <v>167</v>
      </c>
      <c r="K35" s="29" t="s">
        <v>168</v>
      </c>
      <c r="L35" s="29" t="s">
        <v>169</v>
      </c>
      <c r="M35" s="29" t="s">
        <v>188</v>
      </c>
      <c r="N35" s="30" t="n">
        <v>46060.7083333333</v>
      </c>
      <c r="O35" s="30" t="n">
        <v>46062.7083333333</v>
      </c>
      <c r="P35" s="30" t="n">
        <v>46062.7222222222</v>
      </c>
      <c r="Q35" s="30" t="n">
        <v>46063.6423611111</v>
      </c>
      <c r="R35" s="30" t="n">
        <v>46072.4201388889</v>
      </c>
      <c r="S35" s="30" t="n">
        <v>46105.6180555556</v>
      </c>
      <c r="T35" s="30"/>
      <c r="U35" s="30"/>
      <c r="V35" s="31" t="n">
        <v>0</v>
      </c>
      <c r="W35" s="29" t="s">
        <v>168</v>
      </c>
      <c r="X35" s="29"/>
      <c r="Y35" s="29" t="s">
        <v>168</v>
      </c>
      <c r="Z35" s="29" t="s">
        <v>168</v>
      </c>
      <c r="AA35" s="30"/>
      <c r="AB35" s="30"/>
      <c r="AC35" s="30"/>
      <c r="AD35" s="30"/>
      <c r="AE35" s="30"/>
      <c r="AF35" s="32"/>
      <c r="AG35" s="33" t="n">
        <v>36600</v>
      </c>
      <c r="AH35" s="33" t="n">
        <v>0</v>
      </c>
      <c r="AI35" s="29" t="s">
        <v>168</v>
      </c>
      <c r="AJ35" s="32"/>
      <c r="AK35" s="32"/>
      <c r="AL35" s="29"/>
      <c r="AN35" s="34" t="str">
        <f aca="false">IF($B35="","",IF(OR(C35="",D35="",E35="",G35="",I35="",J35="",L35="",O35="",P35=""),"Champ obligatoire manquant",IF(OR(AND(N35&lt;&gt;"",N35&gt;O35),O35&gt;P35,AND(Q35&lt;&gt;"",Q35&lt;P35),AND(R35&lt;&gt;"",R35&lt;P35),AND(S35&lt;&gt;"",S35&lt;R35),AND(S35&lt;&gt;"",R35=""),AND(T35&lt;&gt;"",T35&lt;O35),AND(U35&lt;&gt;"",U35&lt;O35)),"Chronologie incohérente",IF(AND(OR(L35="Résolu",L35="Clos"),R35=""),"Date de résolution manquante",IF(AND(L35="Clos",S35=""),"Date de clôture manquante",IF(AND(K35="Oui",AC35=""),"Classification DORA manquante","OK"))))))</f>
        <v>OK</v>
      </c>
      <c r="AO35" s="35" t="n">
        <f aca="false">IF($B35="","",IF(AND(C35="Incident",L35&lt;&gt;"Annulé"),1,0))</f>
        <v>1</v>
      </c>
      <c r="AP35" s="35" t="n">
        <f aca="false">IF($B35="","",IF(AND(C35="Quasi-incident",L35&lt;&gt;"Annulé"),1,0))</f>
        <v>0</v>
      </c>
      <c r="AQ35" s="35" t="n">
        <f aca="false">IF($B35="","",AO35+AP35)</f>
        <v>1</v>
      </c>
      <c r="AR35" s="36" t="n">
        <f aca="false">IF(OR($B35="",J35=""),"",IFERROR(VALUE(LEFT(J35,1)),""))</f>
        <v>3</v>
      </c>
      <c r="AS35" s="35" t="n">
        <f aca="false">IF(OR(AO35&lt;&gt;1,G35=""),"",IFERROR(IF(INDEX(L_SrcInterne,MATCH(G35,L_Sources,0))="Oui",1,0),""))</f>
        <v>1</v>
      </c>
      <c r="AT35" s="37" t="n">
        <f aca="false">IF(AO35&lt;&gt;1,"",IFERROR(ROUND(IF(OR(N35="",O35=""),"",IF(O35&lt;N35,"",ROUND(((NETWORKDAYS(N35,O35,JoursFeries)-1)*(HFer-HOuv)+IF(NETWORKDAYS(O35,O35,JoursFeries),MEDIAN(MOD(O35,1),HFer,HOuv),HFer)-IF(NETWORKDAYS(N35,N35,JoursFeries),MEDIAN(MOD(N35,1),HFer,HOuv),HOuv))*24,4)))/HJour,4),""))</f>
        <v>0.8889</v>
      </c>
      <c r="AU35" s="37" t="n">
        <f aca="false">IF(AO35&lt;&gt;1,"",IF(OR(O35="",P35=""),"",IF(P35&lt;O35,"",ROUND(((NETWORKDAYS(O35,P35,JoursFeries)-1)*(HFer-HOuv)+IF(NETWORKDAYS(P35,P35,JoursFeries),MEDIAN(MOD(P35,1),HFer,HOuv),HFer)-IF(NETWORKDAYS(O35,O35,JoursFeries),MEDIAN(MOD(O35,1),HFer,HOuv),HOuv))*24,4))))</f>
        <v>0.3333</v>
      </c>
      <c r="AV35" s="37" t="n">
        <f aca="false">IF(AO35&lt;&gt;1,"",IF(OR(P35="",Q35=""),"",IF(Q35&lt;P35,"",ROUND(((NETWORKDAYS(P35,Q35,JoursFeries)-1)*(HFer-HOuv)+IF(NETWORKDAYS(Q35,Q35,JoursFeries),MEDIAN(MOD(Q35,1),HFer,HOuv),HFer)-IF(NETWORKDAYS(P35,P35,JoursFeries),MEDIAN(MOD(P35,1),HFer,HOuv),HOuv))*24,4))))</f>
        <v>7.0833</v>
      </c>
      <c r="AW35" s="37" t="n">
        <f aca="false">IF(AO35&lt;&gt;1,"",IFERROR(ROUND(IF(OR(P35="",R35=""),"",IF(R35&lt;P35,"",ROUND(((NETWORKDAYS(P35,R35,JoursFeries)-1)*(HFer-HOuv)+IF(NETWORKDAYS(R35,R35,JoursFeries),MEDIAN(MOD(R35,1),HFer,HOuv),HFer)-IF(NETWORKDAYS(P35,P35,JoursFeries),MEDIAN(MOD(P35,1),HFer,HOuv),HOuv))*24,4)))/HJour,4),""))</f>
        <v>7.1944</v>
      </c>
      <c r="AX35" s="37" t="n">
        <f aca="false">IF(AO35&lt;&gt;1,"",IFERROR(ROUND(IF(OR(P35="",S35=""),"",IF(S35&lt;P35,"",ROUND(((NETWORKDAYS(P35,S35,JoursFeries)-1)*(HFer-HOuv)+IF(NETWORKDAYS(S35,S35,JoursFeries),MEDIAN(MOD(S35,1),HFer,HOuv),HFer)-IF(NETWORKDAYS(P35,P35,JoursFeries),MEDIAN(MOD(P35,1),HFer,HOuv),HOuv))*24,4)))/HJour,4),""))</f>
        <v>30.7222</v>
      </c>
      <c r="AY35" s="36" t="n">
        <f aca="false">IF(OR(AO35&lt;&gt;1,AR35=""),"",INDEX(SLA_PEC,AR35))</f>
        <v>9</v>
      </c>
      <c r="AZ35" s="35" t="n">
        <f aca="false">IF(OR(AV35="",AY35=""),"",IF(AV35&lt;=AY35,1,0))</f>
        <v>1</v>
      </c>
      <c r="BA35" s="36" t="n">
        <f aca="false">IF(OR(AO35&lt;&gt;1,AR35=""),"",INDEX(SLA_RES,AR35))</f>
        <v>10</v>
      </c>
      <c r="BB35" s="35" t="n">
        <f aca="false">IF(OR(AW35="",BA35=""),"",IF(AW35&lt;=BA35,1,0))</f>
        <v>1</v>
      </c>
      <c r="BC35" s="38" t="n">
        <f aca="false">IF(OR(BA35="",P35=""),"",WORKDAY(INT(P35),BA35,JoursFeries)+MOD(P35,1))</f>
        <v>46076.7222222222</v>
      </c>
      <c r="BD35" s="39" t="n">
        <f aca="false">IF(AO35&lt;&gt;1,"",IF(OR(AB35&lt;&gt;"",AD35&lt;&gt;""),4,IF(U35&lt;&gt;"",3,IF(T35&lt;&gt;"",2,1))))</f>
        <v>1</v>
      </c>
      <c r="BE35" s="39" t="n">
        <f aca="false">IF(OR(AO35&lt;&gt;1,AR35=""),"",INDEX(NIV_REQ,AR35))</f>
        <v>1</v>
      </c>
      <c r="BF35" s="39" t="n">
        <f aca="false">IF(BE35="","",MAX(BE35,IF(OR(K35="Oui",Z35="Oui"),4,1)))</f>
        <v>1</v>
      </c>
      <c r="BG35" s="35" t="n">
        <f aca="false">IF(OR(BF35="",BD35=""),"",IF(BD35&gt;=BF35,1,0))</f>
        <v>1</v>
      </c>
      <c r="BH35" s="38" t="str">
        <f aca="false">IF(BE35="","",IF(BE35&lt;2,"",IF(BE35=2,IF(AND(T35="",U35=""),"",MIN(T35,U35)),IF(U35="","",U35))))</f>
        <v/>
      </c>
      <c r="BI35" s="37" t="str">
        <f aca="false">IF(BH35="","",IF(OR(O35="",BH35=""),"",IF(BH35&lt;O35,"",ROUND(((NETWORKDAYS(O35,BH35,JoursFeries)-1)*(HFer-HOuv)+IF(NETWORKDAYS(BH35,BH35,JoursFeries),MEDIAN(MOD(BH35,1),HFer,HOuv),HFer)-IF(NETWORKDAYS(O35,O35,JoursFeries),MEDIAN(MOD(O35,1),HFer,HOuv),HOuv))*24,4))))</f>
        <v/>
      </c>
      <c r="BJ35" s="35" t="str">
        <f aca="false">IF(OR(BI35="",AR35=""),"",IF(BI35&lt;=INDEX(DELAI_ESC,AR35),1,0))</f>
        <v/>
      </c>
      <c r="BK35" s="38" t="str">
        <f aca="false">IF(AO35&lt;&gt;1,"",IF(AND(T35="",U35=""),"",MIN(T35,U35)))</f>
        <v/>
      </c>
      <c r="BL35" s="37" t="str">
        <f aca="false">IF(OR(BK35="",R35=""),"",IFERROR(ROUND(IF(OR(BK35="",R35=""),"",IF(R35&lt;BK35,"",ROUND(((NETWORKDAYS(BK35,R35,JoursFeries)-1)*(HFer-HOuv)+IF(NETWORKDAYS(R35,R35,JoursFeries),MEDIAN(MOD(R35,1),HFer,HOuv),HFer)-IF(NETWORKDAYS(BK35,BK35,JoursFeries),MEDIAN(MOD(BK35,1),HFer,HOuv),HOuv))*24,4)))/HJour,4),""))</f>
        <v/>
      </c>
      <c r="BM35" s="35" t="n">
        <f aca="false">IF(OR(AO35&lt;&gt;1,R35=""),"",IF(BD35=1,1,0))</f>
        <v>1</v>
      </c>
      <c r="BN35" s="35" t="n">
        <f aca="false">IF(AO35&lt;&gt;1,"",IF(W35="Oui",1,0))</f>
        <v>0</v>
      </c>
      <c r="BO35" s="35" t="n">
        <f aca="false">IF(AO35&lt;&gt;1,"",IF(X35&lt;&gt;"",1,0))</f>
        <v>0</v>
      </c>
      <c r="BP35" s="35" t="n">
        <f aca="false">IF(AO35&lt;&gt;1,"",IF(Y35="Oui",1,0))</f>
        <v>0</v>
      </c>
      <c r="BQ35" s="35" t="str">
        <f aca="true">IF(OR(AO35&lt;&gt;1,Z35&lt;&gt;"Oui"),"",IF(AB35="",IF(AND(AA35&lt;&gt;"",NOW()&gt;AA35),0,""),IF(AA35="","",IF(AB35&lt;=AA35,1,0))))</f>
        <v/>
      </c>
      <c r="BR35" s="38" t="str">
        <f aca="false">IF(OR(AO35&lt;&gt;1,K35&lt;&gt;"Oui",O35=""),"",IF(AC35="",O35+DORA_H_DET/24,IF(AC35-O35&lt;=DORA_H_DET/24,MIN(AC35+DORA_H_CLA/24,O35+DORA_H_DET/24),AC35+DORA_H_CLA/24)))</f>
        <v/>
      </c>
      <c r="BS35" s="35" t="str">
        <f aca="true">IF(BR35="","",IF(AD35="",IF(NOW()&gt;BR35,0,""),IF(AD35&lt;=BR35,1,0)))</f>
        <v/>
      </c>
      <c r="BT35" s="35" t="str">
        <f aca="true">IF(OR(BR35="",AD35=""),"",IF(AE35="",IF(NOW()&gt;AD35+DORA_H_INT/24,0,""),IF(AE35&lt;=AD35+DORA_H_INT/24,1,0)))</f>
        <v/>
      </c>
      <c r="BU35" s="35" t="str">
        <f aca="true">IF(OR(BR35="",AE35=""),"",IF(AF35="",IF(NOW()&gt;EDATE(AE35,DORA_M_FIN)+1,0,""),IF(AF35&lt;=EDATE(AE35,DORA_M_FIN),1,0)))</f>
        <v/>
      </c>
      <c r="BV35" s="35" t="str">
        <f aca="false">IF(BR35="","",IF(COUNT(BS35:BU35)=0,"",MIN(BS35:BU35)))</f>
        <v/>
      </c>
      <c r="BW35" s="40" t="n">
        <f aca="false">IF(AQ35&lt;&gt;1,"",IF(AND(AG35="",AH35=""),"",N(AG35)-N(AH35)))</f>
        <v>36600</v>
      </c>
      <c r="BX35" s="35" t="str">
        <f aca="true">IF(OR(AQ35&lt;&gt;1,AI35&lt;&gt;"Oui",AJ35=""),"",IF(AK35="",IF(NOW()&gt;AJ35+1,0,""),IF(AK35&lt;=AJ35,1,0)))</f>
        <v/>
      </c>
    </row>
    <row r="36" customFormat="false" ht="15" hidden="false" customHeight="false" outlineLevel="0" collapsed="false">
      <c r="B36" s="29" t="s">
        <v>248</v>
      </c>
      <c r="C36" s="29" t="s">
        <v>160</v>
      </c>
      <c r="D36" s="29" t="s">
        <v>191</v>
      </c>
      <c r="E36" s="29" t="s">
        <v>199</v>
      </c>
      <c r="F36" s="29" t="s">
        <v>172</v>
      </c>
      <c r="G36" s="29" t="s">
        <v>164</v>
      </c>
      <c r="H36" s="29"/>
      <c r="I36" s="29" t="s">
        <v>200</v>
      </c>
      <c r="J36" s="29" t="s">
        <v>167</v>
      </c>
      <c r="K36" s="29" t="s">
        <v>168</v>
      </c>
      <c r="L36" s="29" t="s">
        <v>169</v>
      </c>
      <c r="M36" s="29" t="s">
        <v>176</v>
      </c>
      <c r="N36" s="30" t="n">
        <v>46063.3402777778</v>
      </c>
      <c r="O36" s="30" t="n">
        <v>46063.4131944445</v>
      </c>
      <c r="P36" s="30" t="n">
        <v>46063.4270833333</v>
      </c>
      <c r="Q36" s="30" t="n">
        <v>46063.7152777778</v>
      </c>
      <c r="R36" s="30" t="n">
        <v>46069.5104166667</v>
      </c>
      <c r="S36" s="30" t="n">
        <v>46077.5347222222</v>
      </c>
      <c r="T36" s="30"/>
      <c r="U36" s="30"/>
      <c r="V36" s="31" t="n">
        <v>0</v>
      </c>
      <c r="W36" s="29" t="s">
        <v>168</v>
      </c>
      <c r="X36" s="29"/>
      <c r="Y36" s="29" t="s">
        <v>168</v>
      </c>
      <c r="Z36" s="29" t="s">
        <v>168</v>
      </c>
      <c r="AA36" s="30"/>
      <c r="AB36" s="30"/>
      <c r="AC36" s="30"/>
      <c r="AD36" s="30"/>
      <c r="AE36" s="30"/>
      <c r="AF36" s="32"/>
      <c r="AG36" s="33"/>
      <c r="AH36" s="33"/>
      <c r="AI36" s="29" t="s">
        <v>189</v>
      </c>
      <c r="AJ36" s="32" t="n">
        <v>46093</v>
      </c>
      <c r="AK36" s="32" t="n">
        <v>46090</v>
      </c>
      <c r="AL36" s="29"/>
      <c r="AN36" s="34" t="str">
        <f aca="false">IF($B36="","",IF(OR(C36="",D36="",E36="",G36="",I36="",J36="",L36="",O36="",P36=""),"Champ obligatoire manquant",IF(OR(AND(N36&lt;&gt;"",N36&gt;O36),O36&gt;P36,AND(Q36&lt;&gt;"",Q36&lt;P36),AND(R36&lt;&gt;"",R36&lt;P36),AND(S36&lt;&gt;"",S36&lt;R36),AND(S36&lt;&gt;"",R36=""),AND(T36&lt;&gt;"",T36&lt;O36),AND(U36&lt;&gt;"",U36&lt;O36)),"Chronologie incohérente",IF(AND(OR(L36="Résolu",L36="Clos"),R36=""),"Date de résolution manquante",IF(AND(L36="Clos",S36=""),"Date de clôture manquante",IF(AND(K36="Oui",AC36=""),"Classification DORA manquante","OK"))))))</f>
        <v>OK</v>
      </c>
      <c r="AO36" s="35" t="n">
        <f aca="false">IF($B36="","",IF(AND(C36="Incident",L36&lt;&gt;"Annulé"),1,0))</f>
        <v>0</v>
      </c>
      <c r="AP36" s="35" t="n">
        <f aca="false">IF($B36="","",IF(AND(C36="Quasi-incident",L36&lt;&gt;"Annulé"),1,0))</f>
        <v>1</v>
      </c>
      <c r="AQ36" s="35" t="n">
        <f aca="false">IF($B36="","",AO36+AP36)</f>
        <v>1</v>
      </c>
      <c r="AR36" s="36" t="n">
        <f aca="false">IF(OR($B36="",J36=""),"",IFERROR(VALUE(LEFT(J36,1)),""))</f>
        <v>3</v>
      </c>
      <c r="AS36" s="35" t="str">
        <f aca="false">IF(OR(AO36&lt;&gt;1,G36=""),"",IFERROR(IF(INDEX(L_SrcInterne,MATCH(G36,L_Sources,0))="Oui",1,0),""))</f>
        <v/>
      </c>
      <c r="AT36" s="37" t="str">
        <f aca="false">IF(AO36&lt;&gt;1,"",IFERROR(ROUND(IF(OR(N36="",O36=""),"",IF(O36&lt;N36,"",ROUND(((NETWORKDAYS(N36,O36,JoursFeries)-1)*(HFer-HOuv)+IF(NETWORKDAYS(O36,O36,JoursFeries),MEDIAN(MOD(O36,1),HFer,HOuv),HFer)-IF(NETWORKDAYS(N36,N36,JoursFeries),MEDIAN(MOD(N36,1),HFer,HOuv),HOuv))*24,4)))/HJour,4),""))</f>
        <v/>
      </c>
      <c r="AU36" s="37" t="str">
        <f aca="false">IF(AO36&lt;&gt;1,"",IF(OR(O36="",P36=""),"",IF(P36&lt;O36,"",ROUND(((NETWORKDAYS(O36,P36,JoursFeries)-1)*(HFer-HOuv)+IF(NETWORKDAYS(P36,P36,JoursFeries),MEDIAN(MOD(P36,1),HFer,HOuv),HFer)-IF(NETWORKDAYS(O36,O36,JoursFeries),MEDIAN(MOD(O36,1),HFer,HOuv),HOuv))*24,4))))</f>
        <v/>
      </c>
      <c r="AV36" s="37" t="str">
        <f aca="false">IF(AO36&lt;&gt;1,"",IF(OR(P36="",Q36=""),"",IF(Q36&lt;P36,"",ROUND(((NETWORKDAYS(P36,Q36,JoursFeries)-1)*(HFer-HOuv)+IF(NETWORKDAYS(Q36,Q36,JoursFeries),MEDIAN(MOD(Q36,1),HFer,HOuv),HFer)-IF(NETWORKDAYS(P36,P36,JoursFeries),MEDIAN(MOD(P36,1),HFer,HOuv),HOuv))*24,4))))</f>
        <v/>
      </c>
      <c r="AW36" s="37" t="str">
        <f aca="false">IF(AO36&lt;&gt;1,"",IFERROR(ROUND(IF(OR(P36="",R36=""),"",IF(R36&lt;P36,"",ROUND(((NETWORKDAYS(P36,R36,JoursFeries)-1)*(HFer-HOuv)+IF(NETWORKDAYS(R36,R36,JoursFeries),MEDIAN(MOD(R36,1),HFer,HOuv),HFer)-IF(NETWORKDAYS(P36,P36,JoursFeries),MEDIAN(MOD(P36,1),HFer,HOuv),HOuv))*24,4)))/HJour,4),""))</f>
        <v/>
      </c>
      <c r="AX36" s="37" t="str">
        <f aca="false">IF(AO36&lt;&gt;1,"",IFERROR(ROUND(IF(OR(P36="",S36=""),"",IF(S36&lt;P36,"",ROUND(((NETWORKDAYS(P36,S36,JoursFeries)-1)*(HFer-HOuv)+IF(NETWORKDAYS(S36,S36,JoursFeries),MEDIAN(MOD(S36,1),HFer,HOuv),HFer)-IF(NETWORKDAYS(P36,P36,JoursFeries),MEDIAN(MOD(P36,1),HFer,HOuv),HOuv))*24,4)))/HJour,4),""))</f>
        <v/>
      </c>
      <c r="AY36" s="36" t="str">
        <f aca="false">IF(OR(AO36&lt;&gt;1,AR36=""),"",INDEX(SLA_PEC,AR36))</f>
        <v/>
      </c>
      <c r="AZ36" s="35" t="str">
        <f aca="false">IF(OR(AV36="",AY36=""),"",IF(AV36&lt;=AY36,1,0))</f>
        <v/>
      </c>
      <c r="BA36" s="36" t="str">
        <f aca="false">IF(OR(AO36&lt;&gt;1,AR36=""),"",INDEX(SLA_RES,AR36))</f>
        <v/>
      </c>
      <c r="BB36" s="35" t="str">
        <f aca="false">IF(OR(AW36="",BA36=""),"",IF(AW36&lt;=BA36,1,0))</f>
        <v/>
      </c>
      <c r="BC36" s="38" t="str">
        <f aca="false">IF(OR(BA36="",P36=""),"",WORKDAY(INT(P36),BA36,JoursFeries)+MOD(P36,1))</f>
        <v/>
      </c>
      <c r="BD36" s="39" t="str">
        <f aca="false">IF(AO36&lt;&gt;1,"",IF(OR(AB36&lt;&gt;"",AD36&lt;&gt;""),4,IF(U36&lt;&gt;"",3,IF(T36&lt;&gt;"",2,1))))</f>
        <v/>
      </c>
      <c r="BE36" s="39" t="str">
        <f aca="false">IF(OR(AO36&lt;&gt;1,AR36=""),"",INDEX(NIV_REQ,AR36))</f>
        <v/>
      </c>
      <c r="BF36" s="39" t="str">
        <f aca="false">IF(BE36="","",MAX(BE36,IF(OR(K36="Oui",Z36="Oui"),4,1)))</f>
        <v/>
      </c>
      <c r="BG36" s="35" t="str">
        <f aca="false">IF(OR(BF36="",BD36=""),"",IF(BD36&gt;=BF36,1,0))</f>
        <v/>
      </c>
      <c r="BH36" s="38" t="str">
        <f aca="false">IF(BE36="","",IF(BE36&lt;2,"",IF(BE36=2,IF(AND(T36="",U36=""),"",MIN(T36,U36)),IF(U36="","",U36))))</f>
        <v/>
      </c>
      <c r="BI36" s="37" t="str">
        <f aca="false">IF(BH36="","",IF(OR(O36="",BH36=""),"",IF(BH36&lt;O36,"",ROUND(((NETWORKDAYS(O36,BH36,JoursFeries)-1)*(HFer-HOuv)+IF(NETWORKDAYS(BH36,BH36,JoursFeries),MEDIAN(MOD(BH36,1),HFer,HOuv),HFer)-IF(NETWORKDAYS(O36,O36,JoursFeries),MEDIAN(MOD(O36,1),HFer,HOuv),HOuv))*24,4))))</f>
        <v/>
      </c>
      <c r="BJ36" s="35" t="str">
        <f aca="false">IF(OR(BI36="",AR36=""),"",IF(BI36&lt;=INDEX(DELAI_ESC,AR36),1,0))</f>
        <v/>
      </c>
      <c r="BK36" s="38" t="str">
        <f aca="false">IF(AO36&lt;&gt;1,"",IF(AND(T36="",U36=""),"",MIN(T36,U36)))</f>
        <v/>
      </c>
      <c r="BL36" s="37" t="str">
        <f aca="false">IF(OR(BK36="",R36=""),"",IFERROR(ROUND(IF(OR(BK36="",R36=""),"",IF(R36&lt;BK36,"",ROUND(((NETWORKDAYS(BK36,R36,JoursFeries)-1)*(HFer-HOuv)+IF(NETWORKDAYS(R36,R36,JoursFeries),MEDIAN(MOD(R36,1),HFer,HOuv),HFer)-IF(NETWORKDAYS(BK36,BK36,JoursFeries),MEDIAN(MOD(BK36,1),HFer,HOuv),HOuv))*24,4)))/HJour,4),""))</f>
        <v/>
      </c>
      <c r="BM36" s="35" t="str">
        <f aca="false">IF(OR(AO36&lt;&gt;1,R36=""),"",IF(BD36=1,1,0))</f>
        <v/>
      </c>
      <c r="BN36" s="35" t="str">
        <f aca="false">IF(AO36&lt;&gt;1,"",IF(W36="Oui",1,0))</f>
        <v/>
      </c>
      <c r="BO36" s="35" t="str">
        <f aca="false">IF(AO36&lt;&gt;1,"",IF(X36&lt;&gt;"",1,0))</f>
        <v/>
      </c>
      <c r="BP36" s="35" t="str">
        <f aca="false">IF(AO36&lt;&gt;1,"",IF(Y36="Oui",1,0))</f>
        <v/>
      </c>
      <c r="BQ36" s="35" t="str">
        <f aca="true">IF(OR(AO36&lt;&gt;1,Z36&lt;&gt;"Oui"),"",IF(AB36="",IF(AND(AA36&lt;&gt;"",NOW()&gt;AA36),0,""),IF(AA36="","",IF(AB36&lt;=AA36,1,0))))</f>
        <v/>
      </c>
      <c r="BR36" s="38" t="str">
        <f aca="false">IF(OR(AO36&lt;&gt;1,K36&lt;&gt;"Oui",O36=""),"",IF(AC36="",O36+DORA_H_DET/24,IF(AC36-O36&lt;=DORA_H_DET/24,MIN(AC36+DORA_H_CLA/24,O36+DORA_H_DET/24),AC36+DORA_H_CLA/24)))</f>
        <v/>
      </c>
      <c r="BS36" s="35" t="str">
        <f aca="true">IF(BR36="","",IF(AD36="",IF(NOW()&gt;BR36,0,""),IF(AD36&lt;=BR36,1,0)))</f>
        <v/>
      </c>
      <c r="BT36" s="35" t="str">
        <f aca="true">IF(OR(BR36="",AD36=""),"",IF(AE36="",IF(NOW()&gt;AD36+DORA_H_INT/24,0,""),IF(AE36&lt;=AD36+DORA_H_INT/24,1,0)))</f>
        <v/>
      </c>
      <c r="BU36" s="35" t="str">
        <f aca="true">IF(OR(BR36="",AE36=""),"",IF(AF36="",IF(NOW()&gt;EDATE(AE36,DORA_M_FIN)+1,0,""),IF(AF36&lt;=EDATE(AE36,DORA_M_FIN),1,0)))</f>
        <v/>
      </c>
      <c r="BV36" s="35" t="str">
        <f aca="false">IF(BR36="","",IF(COUNT(BS36:BU36)=0,"",MIN(BS36:BU36)))</f>
        <v/>
      </c>
      <c r="BW36" s="40" t="str">
        <f aca="false">IF(AQ36&lt;&gt;1,"",IF(AND(AG36="",AH36=""),"",N(AG36)-N(AH36)))</f>
        <v/>
      </c>
      <c r="BX36" s="35" t="n">
        <f aca="true">IF(OR(AQ36&lt;&gt;1,AI36&lt;&gt;"Oui",AJ36=""),"",IF(AK36="",IF(NOW()&gt;AJ36+1,0,""),IF(AK36&lt;=AJ36,1,0)))</f>
        <v>1</v>
      </c>
    </row>
    <row r="37" customFormat="false" ht="15" hidden="false" customHeight="false" outlineLevel="0" collapsed="false">
      <c r="B37" s="29" t="s">
        <v>249</v>
      </c>
      <c r="C37" s="29" t="s">
        <v>178</v>
      </c>
      <c r="D37" s="29" t="s">
        <v>161</v>
      </c>
      <c r="E37" s="29" t="s">
        <v>162</v>
      </c>
      <c r="F37" s="29" t="s">
        <v>172</v>
      </c>
      <c r="G37" s="29" t="s">
        <v>164</v>
      </c>
      <c r="H37" s="29" t="s">
        <v>165</v>
      </c>
      <c r="I37" s="29" t="s">
        <v>186</v>
      </c>
      <c r="J37" s="29" t="s">
        <v>167</v>
      </c>
      <c r="K37" s="29" t="s">
        <v>168</v>
      </c>
      <c r="L37" s="29" t="s">
        <v>169</v>
      </c>
      <c r="M37" s="29" t="s">
        <v>174</v>
      </c>
      <c r="N37" s="30" t="n">
        <v>46061.40625</v>
      </c>
      <c r="O37" s="30" t="n">
        <v>46063.40625</v>
      </c>
      <c r="P37" s="30" t="n">
        <v>46063.4895833333</v>
      </c>
      <c r="Q37" s="30" t="n">
        <v>46063.5972222222</v>
      </c>
      <c r="R37" s="30" t="n">
        <v>46071.6875</v>
      </c>
      <c r="S37" s="30" t="n">
        <v>46078.5</v>
      </c>
      <c r="T37" s="30"/>
      <c r="U37" s="30"/>
      <c r="V37" s="31" t="n">
        <v>1</v>
      </c>
      <c r="W37" s="29" t="s">
        <v>168</v>
      </c>
      <c r="X37" s="29"/>
      <c r="Y37" s="29" t="s">
        <v>189</v>
      </c>
      <c r="Z37" s="29" t="s">
        <v>168</v>
      </c>
      <c r="AA37" s="30"/>
      <c r="AB37" s="30"/>
      <c r="AC37" s="30"/>
      <c r="AD37" s="30"/>
      <c r="AE37" s="30"/>
      <c r="AF37" s="32"/>
      <c r="AG37" s="33"/>
      <c r="AH37" s="33"/>
      <c r="AI37" s="29" t="s">
        <v>189</v>
      </c>
      <c r="AJ37" s="32" t="n">
        <v>46084</v>
      </c>
      <c r="AK37" s="32" t="n">
        <v>46078</v>
      </c>
      <c r="AL37" s="29"/>
      <c r="AN37" s="34" t="str">
        <f aca="false">IF($B37="","",IF(OR(C37="",D37="",E37="",G37="",I37="",J37="",L37="",O37="",P37=""),"Champ obligatoire manquant",IF(OR(AND(N37&lt;&gt;"",N37&gt;O37),O37&gt;P37,AND(Q37&lt;&gt;"",Q37&lt;P37),AND(R37&lt;&gt;"",R37&lt;P37),AND(S37&lt;&gt;"",S37&lt;R37),AND(S37&lt;&gt;"",R37=""),AND(T37&lt;&gt;"",T37&lt;O37),AND(U37&lt;&gt;"",U37&lt;O37)),"Chronologie incohérente",IF(AND(OR(L37="Résolu",L37="Clos"),R37=""),"Date de résolution manquante",IF(AND(L37="Clos",S37=""),"Date de clôture manquante",IF(AND(K37="Oui",AC37=""),"Classification DORA manquante","OK"))))))</f>
        <v>OK</v>
      </c>
      <c r="AO37" s="35" t="n">
        <f aca="false">IF($B37="","",IF(AND(C37="Incident",L37&lt;&gt;"Annulé"),1,0))</f>
        <v>1</v>
      </c>
      <c r="AP37" s="35" t="n">
        <f aca="false">IF($B37="","",IF(AND(C37="Quasi-incident",L37&lt;&gt;"Annulé"),1,0))</f>
        <v>0</v>
      </c>
      <c r="AQ37" s="35" t="n">
        <f aca="false">IF($B37="","",AO37+AP37)</f>
        <v>1</v>
      </c>
      <c r="AR37" s="36" t="n">
        <f aca="false">IF(OR($B37="",J37=""),"",IFERROR(VALUE(LEFT(J37,1)),""))</f>
        <v>3</v>
      </c>
      <c r="AS37" s="35" t="n">
        <f aca="false">IF(OR(AO37&lt;&gt;1,G37=""),"",IFERROR(IF(INDEX(L_SrcInterne,MATCH(G37,L_Sources,0))="Oui",1,0),""))</f>
        <v>1</v>
      </c>
      <c r="AT37" s="37" t="n">
        <f aca="false">IF(AO37&lt;&gt;1,"",IFERROR(ROUND(IF(OR(N37="",O37=""),"",IF(O37&lt;N37,"",ROUND(((NETWORKDAYS(N37,O37,JoursFeries)-1)*(HFer-HOuv)+IF(NETWORKDAYS(O37,O37,JoursFeries),MEDIAN(MOD(O37,1),HFer,HOuv),HFer)-IF(NETWORKDAYS(N37,N37,JoursFeries),MEDIAN(MOD(N37,1),HFer,HOuv),HOuv))*24,4)))/HJour,4),""))</f>
        <v>1.0833</v>
      </c>
      <c r="AU37" s="37" t="n">
        <f aca="false">IF(AO37&lt;&gt;1,"",IF(OR(O37="",P37=""),"",IF(P37&lt;O37,"",ROUND(((NETWORKDAYS(O37,P37,JoursFeries)-1)*(HFer-HOuv)+IF(NETWORKDAYS(P37,P37,JoursFeries),MEDIAN(MOD(P37,1),HFer,HOuv),HFer)-IF(NETWORKDAYS(O37,O37,JoursFeries),MEDIAN(MOD(O37,1),HFer,HOuv),HOuv))*24,4))))</f>
        <v>2</v>
      </c>
      <c r="AV37" s="37" t="n">
        <f aca="false">IF(AO37&lt;&gt;1,"",IF(OR(P37="",Q37=""),"",IF(Q37&lt;P37,"",ROUND(((NETWORKDAYS(P37,Q37,JoursFeries)-1)*(HFer-HOuv)+IF(NETWORKDAYS(Q37,Q37,JoursFeries),MEDIAN(MOD(Q37,1),HFer,HOuv),HFer)-IF(NETWORKDAYS(P37,P37,JoursFeries),MEDIAN(MOD(P37,1),HFer,HOuv),HOuv))*24,4))))</f>
        <v>2.5833</v>
      </c>
      <c r="AW37" s="37" t="n">
        <f aca="false">IF(AO37&lt;&gt;1,"",IFERROR(ROUND(IF(OR(P37="",R37=""),"",IF(R37&lt;P37,"",ROUND(((NETWORKDAYS(P37,R37,JoursFeries)-1)*(HFer-HOuv)+IF(NETWORKDAYS(R37,R37,JoursFeries),MEDIAN(MOD(R37,1),HFer,HOuv),HFer)-IF(NETWORKDAYS(P37,P37,JoursFeries),MEDIAN(MOD(P37,1),HFer,HOuv),HOuv))*24,4)))/HJour,4),""))</f>
        <v>6.5278</v>
      </c>
      <c r="AX37" s="37" t="n">
        <f aca="false">IF(AO37&lt;&gt;1,"",IFERROR(ROUND(IF(OR(P37="",S37=""),"",IF(S37&lt;P37,"",ROUND(((NETWORKDAYS(P37,S37,JoursFeries)-1)*(HFer-HOuv)+IF(NETWORKDAYS(S37,S37,JoursFeries),MEDIAN(MOD(S37,1),HFer,HOuv),HFer)-IF(NETWORKDAYS(P37,P37,JoursFeries),MEDIAN(MOD(P37,1),HFer,HOuv),HOuv))*24,4)))/HJour,4),""))</f>
        <v>11.0278</v>
      </c>
      <c r="AY37" s="36" t="n">
        <f aca="false">IF(OR(AO37&lt;&gt;1,AR37=""),"",INDEX(SLA_PEC,AR37))</f>
        <v>9</v>
      </c>
      <c r="AZ37" s="35" t="n">
        <f aca="false">IF(OR(AV37="",AY37=""),"",IF(AV37&lt;=AY37,1,0))</f>
        <v>1</v>
      </c>
      <c r="BA37" s="36" t="n">
        <f aca="false">IF(OR(AO37&lt;&gt;1,AR37=""),"",INDEX(SLA_RES,AR37))</f>
        <v>10</v>
      </c>
      <c r="BB37" s="35" t="n">
        <f aca="false">IF(OR(AW37="",BA37=""),"",IF(AW37&lt;=BA37,1,0))</f>
        <v>1</v>
      </c>
      <c r="BC37" s="38" t="n">
        <f aca="false">IF(OR(BA37="",P37=""),"",WORKDAY(INT(P37),BA37,JoursFeries)+MOD(P37,1))</f>
        <v>46077.4895833333</v>
      </c>
      <c r="BD37" s="39" t="n">
        <f aca="false">IF(AO37&lt;&gt;1,"",IF(OR(AB37&lt;&gt;"",AD37&lt;&gt;""),4,IF(U37&lt;&gt;"",3,IF(T37&lt;&gt;"",2,1))))</f>
        <v>1</v>
      </c>
      <c r="BE37" s="39" t="n">
        <f aca="false">IF(OR(AO37&lt;&gt;1,AR37=""),"",INDEX(NIV_REQ,AR37))</f>
        <v>1</v>
      </c>
      <c r="BF37" s="39" t="n">
        <f aca="false">IF(BE37="","",MAX(BE37,IF(OR(K37="Oui",Z37="Oui"),4,1)))</f>
        <v>1</v>
      </c>
      <c r="BG37" s="35" t="n">
        <f aca="false">IF(OR(BF37="",BD37=""),"",IF(BD37&gt;=BF37,1,0))</f>
        <v>1</v>
      </c>
      <c r="BH37" s="38" t="str">
        <f aca="false">IF(BE37="","",IF(BE37&lt;2,"",IF(BE37=2,IF(AND(T37="",U37=""),"",MIN(T37,U37)),IF(U37="","",U37))))</f>
        <v/>
      </c>
      <c r="BI37" s="37" t="str">
        <f aca="false">IF(BH37="","",IF(OR(O37="",BH37=""),"",IF(BH37&lt;O37,"",ROUND(((NETWORKDAYS(O37,BH37,JoursFeries)-1)*(HFer-HOuv)+IF(NETWORKDAYS(BH37,BH37,JoursFeries),MEDIAN(MOD(BH37,1),HFer,HOuv),HFer)-IF(NETWORKDAYS(O37,O37,JoursFeries),MEDIAN(MOD(O37,1),HFer,HOuv),HOuv))*24,4))))</f>
        <v/>
      </c>
      <c r="BJ37" s="35" t="str">
        <f aca="false">IF(OR(BI37="",AR37=""),"",IF(BI37&lt;=INDEX(DELAI_ESC,AR37),1,0))</f>
        <v/>
      </c>
      <c r="BK37" s="38" t="str">
        <f aca="false">IF(AO37&lt;&gt;1,"",IF(AND(T37="",U37=""),"",MIN(T37,U37)))</f>
        <v/>
      </c>
      <c r="BL37" s="37" t="str">
        <f aca="false">IF(OR(BK37="",R37=""),"",IFERROR(ROUND(IF(OR(BK37="",R37=""),"",IF(R37&lt;BK37,"",ROUND(((NETWORKDAYS(BK37,R37,JoursFeries)-1)*(HFer-HOuv)+IF(NETWORKDAYS(R37,R37,JoursFeries),MEDIAN(MOD(R37,1),HFer,HOuv),HFer)-IF(NETWORKDAYS(BK37,BK37,JoursFeries),MEDIAN(MOD(BK37,1),HFer,HOuv),HOuv))*24,4)))/HJour,4),""))</f>
        <v/>
      </c>
      <c r="BM37" s="35" t="n">
        <f aca="false">IF(OR(AO37&lt;&gt;1,R37=""),"",IF(BD37=1,1,0))</f>
        <v>1</v>
      </c>
      <c r="BN37" s="35" t="n">
        <f aca="false">IF(AO37&lt;&gt;1,"",IF(W37="Oui",1,0))</f>
        <v>0</v>
      </c>
      <c r="BO37" s="35" t="n">
        <f aca="false">IF(AO37&lt;&gt;1,"",IF(X37&lt;&gt;"",1,0))</f>
        <v>0</v>
      </c>
      <c r="BP37" s="35" t="n">
        <f aca="false">IF(AO37&lt;&gt;1,"",IF(Y37="Oui",1,0))</f>
        <v>1</v>
      </c>
      <c r="BQ37" s="35" t="str">
        <f aca="true">IF(OR(AO37&lt;&gt;1,Z37&lt;&gt;"Oui"),"",IF(AB37="",IF(AND(AA37&lt;&gt;"",NOW()&gt;AA37),0,""),IF(AA37="","",IF(AB37&lt;=AA37,1,0))))</f>
        <v/>
      </c>
      <c r="BR37" s="38" t="str">
        <f aca="false">IF(OR(AO37&lt;&gt;1,K37&lt;&gt;"Oui",O37=""),"",IF(AC37="",O37+DORA_H_DET/24,IF(AC37-O37&lt;=DORA_H_DET/24,MIN(AC37+DORA_H_CLA/24,O37+DORA_H_DET/24),AC37+DORA_H_CLA/24)))</f>
        <v/>
      </c>
      <c r="BS37" s="35" t="str">
        <f aca="true">IF(BR37="","",IF(AD37="",IF(NOW()&gt;BR37,0,""),IF(AD37&lt;=BR37,1,0)))</f>
        <v/>
      </c>
      <c r="BT37" s="35" t="str">
        <f aca="true">IF(OR(BR37="",AD37=""),"",IF(AE37="",IF(NOW()&gt;AD37+DORA_H_INT/24,0,""),IF(AE37&lt;=AD37+DORA_H_INT/24,1,0)))</f>
        <v/>
      </c>
      <c r="BU37" s="35" t="str">
        <f aca="true">IF(OR(BR37="",AE37=""),"",IF(AF37="",IF(NOW()&gt;EDATE(AE37,DORA_M_FIN)+1,0,""),IF(AF37&lt;=EDATE(AE37,DORA_M_FIN),1,0)))</f>
        <v/>
      </c>
      <c r="BV37" s="35" t="str">
        <f aca="false">IF(BR37="","",IF(COUNT(BS37:BU37)=0,"",MIN(BS37:BU37)))</f>
        <v/>
      </c>
      <c r="BW37" s="40" t="str">
        <f aca="false">IF(AQ37&lt;&gt;1,"",IF(AND(AG37="",AH37=""),"",N(AG37)-N(AH37)))</f>
        <v/>
      </c>
      <c r="BX37" s="35" t="n">
        <f aca="true">IF(OR(AQ37&lt;&gt;1,AI37&lt;&gt;"Oui",AJ37=""),"",IF(AK37="",IF(NOW()&gt;AJ37+1,0,""),IF(AK37&lt;=AJ37,1,0)))</f>
        <v>1</v>
      </c>
    </row>
    <row r="38" customFormat="false" ht="15" hidden="false" customHeight="false" outlineLevel="0" collapsed="false">
      <c r="B38" s="29" t="s">
        <v>250</v>
      </c>
      <c r="C38" s="29" t="s">
        <v>178</v>
      </c>
      <c r="D38" s="29" t="s">
        <v>161</v>
      </c>
      <c r="E38" s="29" t="s">
        <v>203</v>
      </c>
      <c r="F38" s="29" t="s">
        <v>251</v>
      </c>
      <c r="G38" s="29" t="s">
        <v>164</v>
      </c>
      <c r="H38" s="29" t="s">
        <v>182</v>
      </c>
      <c r="I38" s="29" t="s">
        <v>205</v>
      </c>
      <c r="J38" s="29" t="s">
        <v>252</v>
      </c>
      <c r="K38" s="29" t="s">
        <v>189</v>
      </c>
      <c r="L38" s="29" t="s">
        <v>169</v>
      </c>
      <c r="M38" s="29" t="s">
        <v>174</v>
      </c>
      <c r="N38" s="30" t="n">
        <v>46062.6666666667</v>
      </c>
      <c r="O38" s="30" t="n">
        <v>46063.5763888889</v>
      </c>
      <c r="P38" s="30" t="n">
        <v>46063.5972222222</v>
      </c>
      <c r="Q38" s="30" t="n">
        <v>46063.6041666667</v>
      </c>
      <c r="R38" s="30" t="n">
        <v>46064.4583333333</v>
      </c>
      <c r="S38" s="30" t="n">
        <v>46087.5</v>
      </c>
      <c r="T38" s="30" t="n">
        <v>46063.5902777778</v>
      </c>
      <c r="U38" s="30" t="n">
        <v>46063.625</v>
      </c>
      <c r="V38" s="31" t="n">
        <v>2</v>
      </c>
      <c r="W38" s="29" t="s">
        <v>168</v>
      </c>
      <c r="X38" s="29" t="s">
        <v>243</v>
      </c>
      <c r="Y38" s="29" t="s">
        <v>189</v>
      </c>
      <c r="Z38" s="29" t="s">
        <v>168</v>
      </c>
      <c r="AA38" s="30"/>
      <c r="AB38" s="30"/>
      <c r="AC38" s="30" t="n">
        <v>46063.75</v>
      </c>
      <c r="AD38" s="30" t="n">
        <v>46063.8958333333</v>
      </c>
      <c r="AE38" s="30" t="n">
        <v>46067.25</v>
      </c>
      <c r="AF38" s="32" t="n">
        <v>46091</v>
      </c>
      <c r="AG38" s="33" t="n">
        <v>25000</v>
      </c>
      <c r="AH38" s="33" t="n">
        <v>15000</v>
      </c>
      <c r="AI38" s="29" t="s">
        <v>189</v>
      </c>
      <c r="AJ38" s="32" t="n">
        <v>46112</v>
      </c>
      <c r="AK38" s="32" t="n">
        <v>46108</v>
      </c>
      <c r="AL38" s="29"/>
      <c r="AN38" s="34" t="str">
        <f aca="false">IF($B38="","",IF(OR(C38="",D38="",E38="",G38="",I38="",J38="",L38="",O38="",P38=""),"Champ obligatoire manquant",IF(OR(AND(N38&lt;&gt;"",N38&gt;O38),O38&gt;P38,AND(Q38&lt;&gt;"",Q38&lt;P38),AND(R38&lt;&gt;"",R38&lt;P38),AND(S38&lt;&gt;"",S38&lt;R38),AND(S38&lt;&gt;"",R38=""),AND(T38&lt;&gt;"",T38&lt;O38),AND(U38&lt;&gt;"",U38&lt;O38)),"Chronologie incohérente",IF(AND(OR(L38="Résolu",L38="Clos"),R38=""),"Date de résolution manquante",IF(AND(L38="Clos",S38=""),"Date de clôture manquante",IF(AND(K38="Oui",AC38=""),"Classification DORA manquante","OK"))))))</f>
        <v>OK</v>
      </c>
      <c r="AO38" s="35" t="n">
        <f aca="false">IF($B38="","",IF(AND(C38="Incident",L38&lt;&gt;"Annulé"),1,0))</f>
        <v>1</v>
      </c>
      <c r="AP38" s="35" t="n">
        <f aca="false">IF($B38="","",IF(AND(C38="Quasi-incident",L38&lt;&gt;"Annulé"),1,0))</f>
        <v>0</v>
      </c>
      <c r="AQ38" s="35" t="n">
        <f aca="false">IF($B38="","",AO38+AP38)</f>
        <v>1</v>
      </c>
      <c r="AR38" s="36" t="n">
        <f aca="false">IF(OR($B38="",J38=""),"",IFERROR(VALUE(LEFT(J38,1)),""))</f>
        <v>1</v>
      </c>
      <c r="AS38" s="35" t="n">
        <f aca="false">IF(OR(AO38&lt;&gt;1,G38=""),"",IFERROR(IF(INDEX(L_SrcInterne,MATCH(G38,L_Sources,0))="Oui",1,0),""))</f>
        <v>1</v>
      </c>
      <c r="AT38" s="37" t="n">
        <f aca="false">IF(AO38&lt;&gt;1,"",IFERROR(ROUND(IF(OR(N38="",O38=""),"",IF(O38&lt;N38,"",ROUND(((NETWORKDAYS(N38,O38,JoursFeries)-1)*(HFer-HOuv)+IF(NETWORKDAYS(O38,O38,JoursFeries),MEDIAN(MOD(O38,1),HFer,HOuv),HFer)-IF(NETWORKDAYS(N38,N38,JoursFeries),MEDIAN(MOD(N38,1),HFer,HOuv),HOuv))*24,4)))/HJour,4),""))</f>
        <v>0.7593</v>
      </c>
      <c r="AU38" s="37" t="n">
        <f aca="false">IF(AO38&lt;&gt;1,"",IF(OR(O38="",P38=""),"",IF(P38&lt;O38,"",ROUND(((NETWORKDAYS(O38,P38,JoursFeries)-1)*(HFer-HOuv)+IF(NETWORKDAYS(P38,P38,JoursFeries),MEDIAN(MOD(P38,1),HFer,HOuv),HFer)-IF(NETWORKDAYS(O38,O38,JoursFeries),MEDIAN(MOD(O38,1),HFer,HOuv),HOuv))*24,4))))</f>
        <v>0.5</v>
      </c>
      <c r="AV38" s="37" t="n">
        <f aca="false">IF(AO38&lt;&gt;1,"",IF(OR(P38="",Q38=""),"",IF(Q38&lt;P38,"",ROUND(((NETWORKDAYS(P38,Q38,JoursFeries)-1)*(HFer-HOuv)+IF(NETWORKDAYS(Q38,Q38,JoursFeries),MEDIAN(MOD(Q38,1),HFer,HOuv),HFer)-IF(NETWORKDAYS(P38,P38,JoursFeries),MEDIAN(MOD(P38,1),HFer,HOuv),HOuv))*24,4))))</f>
        <v>0.1667</v>
      </c>
      <c r="AW38" s="37" t="n">
        <f aca="false">IF(AO38&lt;&gt;1,"",IFERROR(ROUND(IF(OR(P38="",R38=""),"",IF(R38&lt;P38,"",ROUND(((NETWORKDAYS(P38,R38,JoursFeries)-1)*(HFer-HOuv)+IF(NETWORKDAYS(R38,R38,JoursFeries),MEDIAN(MOD(R38,1),HFer,HOuv),HFer)-IF(NETWORKDAYS(P38,P38,JoursFeries),MEDIAN(MOD(P38,1),HFer,HOuv),HOuv))*24,4)))/HJour,4),""))</f>
        <v>0.6296</v>
      </c>
      <c r="AX38" s="37" t="n">
        <f aca="false">IF(AO38&lt;&gt;1,"",IFERROR(ROUND(IF(OR(P38="",S38=""),"",IF(S38&lt;P38,"",ROUND(((NETWORKDAYS(P38,S38,JoursFeries)-1)*(HFer-HOuv)+IF(NETWORKDAYS(S38,S38,JoursFeries),MEDIAN(MOD(S38,1),HFer,HOuv),HFer)-IF(NETWORKDAYS(P38,P38,JoursFeries),MEDIAN(MOD(P38,1),HFer,HOuv),HOuv))*24,4)))/HJour,4),""))</f>
        <v>17.7407</v>
      </c>
      <c r="AY38" s="36" t="n">
        <f aca="false">IF(OR(AO38&lt;&gt;1,AR38=""),"",INDEX(SLA_PEC,AR38))</f>
        <v>1</v>
      </c>
      <c r="AZ38" s="35" t="n">
        <f aca="false">IF(OR(AV38="",AY38=""),"",IF(AV38&lt;=AY38,1,0))</f>
        <v>1</v>
      </c>
      <c r="BA38" s="36" t="n">
        <f aca="false">IF(OR(AO38&lt;&gt;1,AR38=""),"",INDEX(SLA_RES,AR38))</f>
        <v>1</v>
      </c>
      <c r="BB38" s="35" t="n">
        <f aca="false">IF(OR(AW38="",BA38=""),"",IF(AW38&lt;=BA38,1,0))</f>
        <v>1</v>
      </c>
      <c r="BC38" s="38" t="n">
        <f aca="false">IF(OR(BA38="",P38=""),"",WORKDAY(INT(P38),BA38,JoursFeries)+MOD(P38,1))</f>
        <v>46064.5972222222</v>
      </c>
      <c r="BD38" s="39" t="n">
        <f aca="false">IF(AO38&lt;&gt;1,"",IF(OR(AB38&lt;&gt;"",AD38&lt;&gt;""),4,IF(U38&lt;&gt;"",3,IF(T38&lt;&gt;"",2,1))))</f>
        <v>4</v>
      </c>
      <c r="BE38" s="39" t="n">
        <f aca="false">IF(OR(AO38&lt;&gt;1,AR38=""),"",INDEX(NIV_REQ,AR38))</f>
        <v>3</v>
      </c>
      <c r="BF38" s="39" t="n">
        <f aca="false">IF(BE38="","",MAX(BE38,IF(OR(K38="Oui",Z38="Oui"),4,1)))</f>
        <v>4</v>
      </c>
      <c r="BG38" s="35" t="n">
        <f aca="false">IF(OR(BF38="",BD38=""),"",IF(BD38&gt;=BF38,1,0))</f>
        <v>1</v>
      </c>
      <c r="BH38" s="38" t="n">
        <f aca="false">IF(BE38="","",IF(BE38&lt;2,"",IF(BE38=2,IF(AND(T38="",U38=""),"",MIN(T38,U38)),IF(U38="","",U38))))</f>
        <v>46063.625</v>
      </c>
      <c r="BI38" s="37" t="n">
        <f aca="false">IF(BH38="","",IF(OR(O38="",BH38=""),"",IF(BH38&lt;O38,"",ROUND(((NETWORKDAYS(O38,BH38,JoursFeries)-1)*(HFer-HOuv)+IF(NETWORKDAYS(BH38,BH38,JoursFeries),MEDIAN(MOD(BH38,1),HFer,HOuv),HFer)-IF(NETWORKDAYS(O38,O38,JoursFeries),MEDIAN(MOD(O38,1),HFer,HOuv),HOuv))*24,4))))</f>
        <v>1.1667</v>
      </c>
      <c r="BJ38" s="35" t="n">
        <f aca="false">IF(OR(BI38="",AR38=""),"",IF(BI38&lt;=INDEX(DELAI_ESC,AR38),1,0))</f>
        <v>1</v>
      </c>
      <c r="BK38" s="38" t="n">
        <f aca="false">IF(AO38&lt;&gt;1,"",IF(AND(T38="",U38=""),"",MIN(T38,U38)))</f>
        <v>46063.5902777778</v>
      </c>
      <c r="BL38" s="37" t="n">
        <f aca="false">IF(OR(BK38="",R38=""),"",IFERROR(ROUND(IF(OR(BK38="",R38=""),"",IF(R38&lt;BK38,"",ROUND(((NETWORKDAYS(BK38,R38,JoursFeries)-1)*(HFer-HOuv)+IF(NETWORKDAYS(R38,R38,JoursFeries),MEDIAN(MOD(R38,1),HFer,HOuv),HFer)-IF(NETWORKDAYS(BK38,BK38,JoursFeries),MEDIAN(MOD(BK38,1),HFer,HOuv),HOuv))*24,4)))/HJour,4),""))</f>
        <v>0.6481</v>
      </c>
      <c r="BM38" s="35" t="n">
        <f aca="false">IF(OR(AO38&lt;&gt;1,R38=""),"",IF(BD38=1,1,0))</f>
        <v>0</v>
      </c>
      <c r="BN38" s="35" t="n">
        <f aca="false">IF(AO38&lt;&gt;1,"",IF(W38="Oui",1,0))</f>
        <v>0</v>
      </c>
      <c r="BO38" s="35" t="n">
        <f aca="false">IF(AO38&lt;&gt;1,"",IF(X38&lt;&gt;"",1,0))</f>
        <v>1</v>
      </c>
      <c r="BP38" s="35" t="n">
        <f aca="false">IF(AO38&lt;&gt;1,"",IF(Y38="Oui",1,0))</f>
        <v>1</v>
      </c>
      <c r="BQ38" s="35" t="str">
        <f aca="true">IF(OR(AO38&lt;&gt;1,Z38&lt;&gt;"Oui"),"",IF(AB38="",IF(AND(AA38&lt;&gt;"",NOW()&gt;AA38),0,""),IF(AA38="","",IF(AB38&lt;=AA38,1,0))))</f>
        <v/>
      </c>
      <c r="BR38" s="38" t="n">
        <f aca="false">IF(OR(AO38&lt;&gt;1,K38&lt;&gt;"Oui",O38=""),"",IF(AC38="",O38+DORA_H_DET/24,IF(AC38-O38&lt;=DORA_H_DET/24,MIN(AC38+DORA_H_CLA/24,O38+DORA_H_DET/24),AC38+DORA_H_CLA/24)))</f>
        <v>46063.9166666667</v>
      </c>
      <c r="BS38" s="35" t="n">
        <f aca="true">IF(BR38="","",IF(AD38="",IF(NOW()&gt;BR38,0,""),IF(AD38&lt;=BR38,1,0)))</f>
        <v>1</v>
      </c>
      <c r="BT38" s="35" t="n">
        <f aca="true">IF(OR(BR38="",AD38=""),"",IF(AE38="",IF(NOW()&gt;AD38+DORA_H_INT/24,0,""),IF(AE38&lt;=AD38+DORA_H_INT/24,1,0)))</f>
        <v>0</v>
      </c>
      <c r="BU38" s="35" t="n">
        <f aca="true">IF(OR(BR38="",AE38=""),"",IF(AF38="",IF(NOW()&gt;EDATE(AE38,DORA_M_FIN)+1,0,""),IF(AF38&lt;=EDATE(AE38,DORA_M_FIN),1,0)))</f>
        <v>1</v>
      </c>
      <c r="BV38" s="35" t="n">
        <f aca="false">IF(BR38="","",IF(COUNT(BS38:BU38)=0,"",MIN(BS38:BU38)))</f>
        <v>0</v>
      </c>
      <c r="BW38" s="40" t="n">
        <f aca="false">IF(AQ38&lt;&gt;1,"",IF(AND(AG38="",AH38=""),"",N(AG38)-N(AH38)))</f>
        <v>10000</v>
      </c>
      <c r="BX38" s="35" t="n">
        <f aca="true">IF(OR(AQ38&lt;&gt;1,AI38&lt;&gt;"Oui",AJ38=""),"",IF(AK38="",IF(NOW()&gt;AJ38+1,0,""),IF(AK38&lt;=AJ38,1,0)))</f>
        <v>1</v>
      </c>
    </row>
    <row r="39" customFormat="false" ht="15" hidden="false" customHeight="false" outlineLevel="0" collapsed="false">
      <c r="B39" s="29" t="s">
        <v>253</v>
      </c>
      <c r="C39" s="29" t="s">
        <v>178</v>
      </c>
      <c r="D39" s="29" t="s">
        <v>198</v>
      </c>
      <c r="E39" s="29" t="s">
        <v>254</v>
      </c>
      <c r="F39" s="29" t="s">
        <v>204</v>
      </c>
      <c r="G39" s="29" t="s">
        <v>180</v>
      </c>
      <c r="H39" s="29"/>
      <c r="I39" s="29" t="s">
        <v>255</v>
      </c>
      <c r="J39" s="29" t="s">
        <v>187</v>
      </c>
      <c r="K39" s="29" t="s">
        <v>168</v>
      </c>
      <c r="L39" s="29" t="s">
        <v>169</v>
      </c>
      <c r="M39" s="29" t="s">
        <v>174</v>
      </c>
      <c r="N39" s="30" t="n">
        <v>46064.3888888889</v>
      </c>
      <c r="O39" s="30" t="n">
        <v>46064.6076388889</v>
      </c>
      <c r="P39" s="30" t="n">
        <v>46064.6388888889</v>
      </c>
      <c r="Q39" s="30" t="n">
        <v>46065.5173611111</v>
      </c>
      <c r="R39" s="30" t="n">
        <v>46093.5347222222</v>
      </c>
      <c r="S39" s="30" t="n">
        <v>46105.4618055556</v>
      </c>
      <c r="T39" s="30"/>
      <c r="U39" s="30"/>
      <c r="V39" s="31" t="n">
        <v>0</v>
      </c>
      <c r="W39" s="29" t="s">
        <v>168</v>
      </c>
      <c r="X39" s="29"/>
      <c r="Y39" s="29" t="s">
        <v>168</v>
      </c>
      <c r="Z39" s="29" t="s">
        <v>168</v>
      </c>
      <c r="AA39" s="30"/>
      <c r="AB39" s="30"/>
      <c r="AC39" s="30"/>
      <c r="AD39" s="30"/>
      <c r="AE39" s="30"/>
      <c r="AF39" s="32"/>
      <c r="AG39" s="33" t="n">
        <v>29600</v>
      </c>
      <c r="AH39" s="33" t="n">
        <v>0</v>
      </c>
      <c r="AI39" s="29" t="s">
        <v>168</v>
      </c>
      <c r="AJ39" s="32"/>
      <c r="AK39" s="32"/>
      <c r="AL39" s="29"/>
      <c r="AN39" s="34" t="str">
        <f aca="false">IF($B39="","",IF(OR(C39="",D39="",E39="",G39="",I39="",J39="",L39="",O39="",P39=""),"Champ obligatoire manquant",IF(OR(AND(N39&lt;&gt;"",N39&gt;O39),O39&gt;P39,AND(Q39&lt;&gt;"",Q39&lt;P39),AND(R39&lt;&gt;"",R39&lt;P39),AND(S39&lt;&gt;"",S39&lt;R39),AND(S39&lt;&gt;"",R39=""),AND(T39&lt;&gt;"",T39&lt;O39),AND(U39&lt;&gt;"",U39&lt;O39)),"Chronologie incohérente",IF(AND(OR(L39="Résolu",L39="Clos"),R39=""),"Date de résolution manquante",IF(AND(L39="Clos",S39=""),"Date de clôture manquante",IF(AND(K39="Oui",AC39=""),"Classification DORA manquante","OK"))))))</f>
        <v>OK</v>
      </c>
      <c r="AO39" s="35" t="n">
        <f aca="false">IF($B39="","",IF(AND(C39="Incident",L39&lt;&gt;"Annulé"),1,0))</f>
        <v>1</v>
      </c>
      <c r="AP39" s="35" t="n">
        <f aca="false">IF($B39="","",IF(AND(C39="Quasi-incident",L39&lt;&gt;"Annulé"),1,0))</f>
        <v>0</v>
      </c>
      <c r="AQ39" s="35" t="n">
        <f aca="false">IF($B39="","",AO39+AP39)</f>
        <v>1</v>
      </c>
      <c r="AR39" s="36" t="n">
        <f aca="false">IF(OR($B39="",J39=""),"",IFERROR(VALUE(LEFT(J39,1)),""))</f>
        <v>4</v>
      </c>
      <c r="AS39" s="35" t="n">
        <f aca="false">IF(OR(AO39&lt;&gt;1,G39=""),"",IFERROR(IF(INDEX(L_SrcInterne,MATCH(G39,L_Sources,0))="Oui",1,0),""))</f>
        <v>1</v>
      </c>
      <c r="AT39" s="37" t="n">
        <f aca="false">IF(AO39&lt;&gt;1,"",IFERROR(ROUND(IF(OR(N39="",O39=""),"",IF(O39&lt;N39,"",ROUND(((NETWORKDAYS(N39,O39,JoursFeries)-1)*(HFer-HOuv)+IF(NETWORKDAYS(O39,O39,JoursFeries),MEDIAN(MOD(O39,1),HFer,HOuv),HFer)-IF(NETWORKDAYS(N39,N39,JoursFeries),MEDIAN(MOD(N39,1),HFer,HOuv),HOuv))*24,4)))/HJour,4),""))</f>
        <v>0.5833</v>
      </c>
      <c r="AU39" s="37" t="n">
        <f aca="false">IF(AO39&lt;&gt;1,"",IF(OR(O39="",P39=""),"",IF(P39&lt;O39,"",ROUND(((NETWORKDAYS(O39,P39,JoursFeries)-1)*(HFer-HOuv)+IF(NETWORKDAYS(P39,P39,JoursFeries),MEDIAN(MOD(P39,1),HFer,HOuv),HFer)-IF(NETWORKDAYS(O39,O39,JoursFeries),MEDIAN(MOD(O39,1),HFer,HOuv),HOuv))*24,4))))</f>
        <v>0.75</v>
      </c>
      <c r="AV39" s="37" t="n">
        <f aca="false">IF(AO39&lt;&gt;1,"",IF(OR(P39="",Q39=""),"",IF(Q39&lt;P39,"",ROUND(((NETWORKDAYS(P39,Q39,JoursFeries)-1)*(HFer-HOuv)+IF(NETWORKDAYS(Q39,Q39,JoursFeries),MEDIAN(MOD(Q39,1),HFer,HOuv),HFer)-IF(NETWORKDAYS(P39,P39,JoursFeries),MEDIAN(MOD(P39,1),HFer,HOuv),HOuv))*24,4))))</f>
        <v>6.0833</v>
      </c>
      <c r="AW39" s="37" t="n">
        <f aca="false">IF(AO39&lt;&gt;1,"",IFERROR(ROUND(IF(OR(P39="",R39=""),"",IF(R39&lt;P39,"",ROUND(((NETWORKDAYS(P39,R39,JoursFeries)-1)*(HFer-HOuv)+IF(NETWORKDAYS(R39,R39,JoursFeries),MEDIAN(MOD(R39,1),HFer,HOuv),HFer)-IF(NETWORKDAYS(P39,P39,JoursFeries),MEDIAN(MOD(P39,1),HFer,HOuv),HOuv))*24,4)))/HJour,4),""))</f>
        <v>20.7222</v>
      </c>
      <c r="AX39" s="37" t="n">
        <f aca="false">IF(AO39&lt;&gt;1,"",IFERROR(ROUND(IF(OR(P39="",S39=""),"",IF(S39&lt;P39,"",ROUND(((NETWORKDAYS(P39,S39,JoursFeries)-1)*(HFer-HOuv)+IF(NETWORKDAYS(S39,S39,JoursFeries),MEDIAN(MOD(S39,1),HFer,HOuv),HFer)-IF(NETWORKDAYS(P39,P39,JoursFeries),MEDIAN(MOD(P39,1),HFer,HOuv),HOuv))*24,4)))/HJour,4),""))</f>
        <v>28.5278</v>
      </c>
      <c r="AY39" s="36" t="n">
        <f aca="false">IF(OR(AO39&lt;&gt;1,AR39=""),"",INDEX(SLA_PEC,AR39))</f>
        <v>18</v>
      </c>
      <c r="AZ39" s="35" t="n">
        <f aca="false">IF(OR(AV39="",AY39=""),"",IF(AV39&lt;=AY39,1,0))</f>
        <v>1</v>
      </c>
      <c r="BA39" s="36" t="n">
        <f aca="false">IF(OR(AO39&lt;&gt;1,AR39=""),"",INDEX(SLA_RES,AR39))</f>
        <v>20</v>
      </c>
      <c r="BB39" s="35" t="n">
        <f aca="false">IF(OR(AW39="",BA39=""),"",IF(AW39&lt;=BA39,1,0))</f>
        <v>0</v>
      </c>
      <c r="BC39" s="38" t="n">
        <f aca="false">IF(OR(BA39="",P39=""),"",WORKDAY(INT(P39),BA39,JoursFeries)+MOD(P39,1))</f>
        <v>46092.6388888889</v>
      </c>
      <c r="BD39" s="39" t="n">
        <f aca="false">IF(AO39&lt;&gt;1,"",IF(OR(AB39&lt;&gt;"",AD39&lt;&gt;""),4,IF(U39&lt;&gt;"",3,IF(T39&lt;&gt;"",2,1))))</f>
        <v>1</v>
      </c>
      <c r="BE39" s="39" t="n">
        <f aca="false">IF(OR(AO39&lt;&gt;1,AR39=""),"",INDEX(NIV_REQ,AR39))</f>
        <v>1</v>
      </c>
      <c r="BF39" s="39" t="n">
        <f aca="false">IF(BE39="","",MAX(BE39,IF(OR(K39="Oui",Z39="Oui"),4,1)))</f>
        <v>1</v>
      </c>
      <c r="BG39" s="35" t="n">
        <f aca="false">IF(OR(BF39="",BD39=""),"",IF(BD39&gt;=BF39,1,0))</f>
        <v>1</v>
      </c>
      <c r="BH39" s="38" t="str">
        <f aca="false">IF(BE39="","",IF(BE39&lt;2,"",IF(BE39=2,IF(AND(T39="",U39=""),"",MIN(T39,U39)),IF(U39="","",U39))))</f>
        <v/>
      </c>
      <c r="BI39" s="37" t="str">
        <f aca="false">IF(BH39="","",IF(OR(O39="",BH39=""),"",IF(BH39&lt;O39,"",ROUND(((NETWORKDAYS(O39,BH39,JoursFeries)-1)*(HFer-HOuv)+IF(NETWORKDAYS(BH39,BH39,JoursFeries),MEDIAN(MOD(BH39,1),HFer,HOuv),HFer)-IF(NETWORKDAYS(O39,O39,JoursFeries),MEDIAN(MOD(O39,1),HFer,HOuv),HOuv))*24,4))))</f>
        <v/>
      </c>
      <c r="BJ39" s="35" t="str">
        <f aca="false">IF(OR(BI39="",AR39=""),"",IF(BI39&lt;=INDEX(DELAI_ESC,AR39),1,0))</f>
        <v/>
      </c>
      <c r="BK39" s="38" t="str">
        <f aca="false">IF(AO39&lt;&gt;1,"",IF(AND(T39="",U39=""),"",MIN(T39,U39)))</f>
        <v/>
      </c>
      <c r="BL39" s="37" t="str">
        <f aca="false">IF(OR(BK39="",R39=""),"",IFERROR(ROUND(IF(OR(BK39="",R39=""),"",IF(R39&lt;BK39,"",ROUND(((NETWORKDAYS(BK39,R39,JoursFeries)-1)*(HFer-HOuv)+IF(NETWORKDAYS(R39,R39,JoursFeries),MEDIAN(MOD(R39,1),HFer,HOuv),HFer)-IF(NETWORKDAYS(BK39,BK39,JoursFeries),MEDIAN(MOD(BK39,1),HFer,HOuv),HOuv))*24,4)))/HJour,4),""))</f>
        <v/>
      </c>
      <c r="BM39" s="35" t="n">
        <f aca="false">IF(OR(AO39&lt;&gt;1,R39=""),"",IF(BD39=1,1,0))</f>
        <v>1</v>
      </c>
      <c r="BN39" s="35" t="n">
        <f aca="false">IF(AO39&lt;&gt;1,"",IF(W39="Oui",1,0))</f>
        <v>0</v>
      </c>
      <c r="BO39" s="35" t="n">
        <f aca="false">IF(AO39&lt;&gt;1,"",IF(X39&lt;&gt;"",1,0))</f>
        <v>0</v>
      </c>
      <c r="BP39" s="35" t="n">
        <f aca="false">IF(AO39&lt;&gt;1,"",IF(Y39="Oui",1,0))</f>
        <v>0</v>
      </c>
      <c r="BQ39" s="35" t="str">
        <f aca="true">IF(OR(AO39&lt;&gt;1,Z39&lt;&gt;"Oui"),"",IF(AB39="",IF(AND(AA39&lt;&gt;"",NOW()&gt;AA39),0,""),IF(AA39="","",IF(AB39&lt;=AA39,1,0))))</f>
        <v/>
      </c>
      <c r="BR39" s="38" t="str">
        <f aca="false">IF(OR(AO39&lt;&gt;1,K39&lt;&gt;"Oui",O39=""),"",IF(AC39="",O39+DORA_H_DET/24,IF(AC39-O39&lt;=DORA_H_DET/24,MIN(AC39+DORA_H_CLA/24,O39+DORA_H_DET/24),AC39+DORA_H_CLA/24)))</f>
        <v/>
      </c>
      <c r="BS39" s="35" t="str">
        <f aca="true">IF(BR39="","",IF(AD39="",IF(NOW()&gt;BR39,0,""),IF(AD39&lt;=BR39,1,0)))</f>
        <v/>
      </c>
      <c r="BT39" s="35" t="str">
        <f aca="true">IF(OR(BR39="",AD39=""),"",IF(AE39="",IF(NOW()&gt;AD39+DORA_H_INT/24,0,""),IF(AE39&lt;=AD39+DORA_H_INT/24,1,0)))</f>
        <v/>
      </c>
      <c r="BU39" s="35" t="str">
        <f aca="true">IF(OR(BR39="",AE39=""),"",IF(AF39="",IF(NOW()&gt;EDATE(AE39,DORA_M_FIN)+1,0,""),IF(AF39&lt;=EDATE(AE39,DORA_M_FIN),1,0)))</f>
        <v/>
      </c>
      <c r="BV39" s="35" t="str">
        <f aca="false">IF(BR39="","",IF(COUNT(BS39:BU39)=0,"",MIN(BS39:BU39)))</f>
        <v/>
      </c>
      <c r="BW39" s="40" t="n">
        <f aca="false">IF(AQ39&lt;&gt;1,"",IF(AND(AG39="",AH39=""),"",N(AG39)-N(AH39)))</f>
        <v>29600</v>
      </c>
      <c r="BX39" s="35" t="str">
        <f aca="true">IF(OR(AQ39&lt;&gt;1,AI39&lt;&gt;"Oui",AJ39=""),"",IF(AK39="",IF(NOW()&gt;AJ39+1,0,""),IF(AK39&lt;=AJ39,1,0)))</f>
        <v/>
      </c>
    </row>
    <row r="40" customFormat="false" ht="15" hidden="false" customHeight="false" outlineLevel="0" collapsed="false">
      <c r="B40" s="29" t="s">
        <v>256</v>
      </c>
      <c r="C40" s="29" t="s">
        <v>178</v>
      </c>
      <c r="D40" s="29" t="s">
        <v>195</v>
      </c>
      <c r="E40" s="29" t="s">
        <v>171</v>
      </c>
      <c r="F40" s="29" t="s">
        <v>172</v>
      </c>
      <c r="G40" s="29" t="s">
        <v>173</v>
      </c>
      <c r="H40" s="29" t="s">
        <v>174</v>
      </c>
      <c r="I40" s="29" t="s">
        <v>175</v>
      </c>
      <c r="J40" s="29" t="s">
        <v>167</v>
      </c>
      <c r="K40" s="29" t="s">
        <v>168</v>
      </c>
      <c r="L40" s="29" t="s">
        <v>169</v>
      </c>
      <c r="M40" s="29" t="s">
        <v>174</v>
      </c>
      <c r="N40" s="30" t="n">
        <v>46061.5347222222</v>
      </c>
      <c r="O40" s="30" t="n">
        <v>46065.5347222222</v>
      </c>
      <c r="P40" s="30" t="n">
        <v>46065.5659722222</v>
      </c>
      <c r="Q40" s="30" t="n">
        <v>46066.4930555556</v>
      </c>
      <c r="R40" s="30" t="n">
        <v>46073.6458333333</v>
      </c>
      <c r="S40" s="30" t="n">
        <v>46094.6909722222</v>
      </c>
      <c r="T40" s="30"/>
      <c r="U40" s="30"/>
      <c r="V40" s="31" t="n">
        <v>1</v>
      </c>
      <c r="W40" s="29" t="s">
        <v>168</v>
      </c>
      <c r="X40" s="29"/>
      <c r="Y40" s="29" t="s">
        <v>168</v>
      </c>
      <c r="Z40" s="29" t="s">
        <v>168</v>
      </c>
      <c r="AA40" s="30"/>
      <c r="AB40" s="30"/>
      <c r="AC40" s="30"/>
      <c r="AD40" s="30"/>
      <c r="AE40" s="30"/>
      <c r="AF40" s="32"/>
      <c r="AG40" s="33"/>
      <c r="AH40" s="33"/>
      <c r="AI40" s="29" t="s">
        <v>168</v>
      </c>
      <c r="AJ40" s="32"/>
      <c r="AK40" s="32"/>
      <c r="AL40" s="29"/>
      <c r="AN40" s="34" t="str">
        <f aca="false">IF($B40="","",IF(OR(C40="",D40="",E40="",G40="",I40="",J40="",L40="",O40="",P40=""),"Champ obligatoire manquant",IF(OR(AND(N40&lt;&gt;"",N40&gt;O40),O40&gt;P40,AND(Q40&lt;&gt;"",Q40&lt;P40),AND(R40&lt;&gt;"",R40&lt;P40),AND(S40&lt;&gt;"",S40&lt;R40),AND(S40&lt;&gt;"",R40=""),AND(T40&lt;&gt;"",T40&lt;O40),AND(U40&lt;&gt;"",U40&lt;O40)),"Chronologie incohérente",IF(AND(OR(L40="Résolu",L40="Clos"),R40=""),"Date de résolution manquante",IF(AND(L40="Clos",S40=""),"Date de clôture manquante",IF(AND(K40="Oui",AC40=""),"Classification DORA manquante","OK"))))))</f>
        <v>OK</v>
      </c>
      <c r="AO40" s="35" t="n">
        <f aca="false">IF($B40="","",IF(AND(C40="Incident",L40&lt;&gt;"Annulé"),1,0))</f>
        <v>1</v>
      </c>
      <c r="AP40" s="35" t="n">
        <f aca="false">IF($B40="","",IF(AND(C40="Quasi-incident",L40&lt;&gt;"Annulé"),1,0))</f>
        <v>0</v>
      </c>
      <c r="AQ40" s="35" t="n">
        <f aca="false">IF($B40="","",AO40+AP40)</f>
        <v>1</v>
      </c>
      <c r="AR40" s="36" t="n">
        <f aca="false">IF(OR($B40="",J40=""),"",IFERROR(VALUE(LEFT(J40,1)),""))</f>
        <v>3</v>
      </c>
      <c r="AS40" s="35" t="n">
        <f aca="false">IF(OR(AO40&lt;&gt;1,G40=""),"",IFERROR(IF(INDEX(L_SrcInterne,MATCH(G40,L_Sources,0))="Oui",1,0),""))</f>
        <v>0</v>
      </c>
      <c r="AT40" s="37" t="n">
        <f aca="false">IF(AO40&lt;&gt;1,"",IFERROR(ROUND(IF(OR(N40="",O40=""),"",IF(O40&lt;N40,"",ROUND(((NETWORKDAYS(N40,O40,JoursFeries)-1)*(HFer-HOuv)+IF(NETWORKDAYS(O40,O40,JoursFeries),MEDIAN(MOD(O40,1),HFer,HOuv),HFer)-IF(NETWORKDAYS(N40,N40,JoursFeries),MEDIAN(MOD(N40,1),HFer,HOuv),HOuv))*24,4)))/HJour,4),""))</f>
        <v>3.4259</v>
      </c>
      <c r="AU40" s="37" t="n">
        <f aca="false">IF(AO40&lt;&gt;1,"",IF(OR(O40="",P40=""),"",IF(P40&lt;O40,"",ROUND(((NETWORKDAYS(O40,P40,JoursFeries)-1)*(HFer-HOuv)+IF(NETWORKDAYS(P40,P40,JoursFeries),MEDIAN(MOD(P40,1),HFer,HOuv),HFer)-IF(NETWORKDAYS(O40,O40,JoursFeries),MEDIAN(MOD(O40,1),HFer,HOuv),HOuv))*24,4))))</f>
        <v>0.75</v>
      </c>
      <c r="AV40" s="37" t="n">
        <f aca="false">IF(AO40&lt;&gt;1,"",IF(OR(P40="",Q40=""),"",IF(Q40&lt;P40,"",ROUND(((NETWORKDAYS(P40,Q40,JoursFeries)-1)*(HFer-HOuv)+IF(NETWORKDAYS(Q40,Q40,JoursFeries),MEDIAN(MOD(Q40,1),HFer,HOuv),HFer)-IF(NETWORKDAYS(P40,P40,JoursFeries),MEDIAN(MOD(P40,1),HFer,HOuv),HOuv))*24,4))))</f>
        <v>7.25</v>
      </c>
      <c r="AW40" s="37" t="n">
        <f aca="false">IF(AO40&lt;&gt;1,"",IFERROR(ROUND(IF(OR(P40="",R40=""),"",IF(R40&lt;P40,"",ROUND(((NETWORKDAYS(P40,R40,JoursFeries)-1)*(HFer-HOuv)+IF(NETWORKDAYS(R40,R40,JoursFeries),MEDIAN(MOD(R40,1),HFer,HOuv),HFer)-IF(NETWORKDAYS(P40,P40,JoursFeries),MEDIAN(MOD(P40,1),HFer,HOuv),HOuv))*24,4)))/HJour,4),""))</f>
        <v>6.213</v>
      </c>
      <c r="AX40" s="37" t="n">
        <f aca="false">IF(AO40&lt;&gt;1,"",IFERROR(ROUND(IF(OR(P40="",S40=""),"",IF(S40&lt;P40,"",ROUND(((NETWORKDAYS(P40,S40,JoursFeries)-1)*(HFer-HOuv)+IF(NETWORKDAYS(S40,S40,JoursFeries),MEDIAN(MOD(S40,1),HFer,HOuv),HFer)-IF(NETWORKDAYS(P40,P40,JoursFeries),MEDIAN(MOD(P40,1),HFer,HOuv),HOuv))*24,4)))/HJour,4),""))</f>
        <v>21.3333</v>
      </c>
      <c r="AY40" s="36" t="n">
        <f aca="false">IF(OR(AO40&lt;&gt;1,AR40=""),"",INDEX(SLA_PEC,AR40))</f>
        <v>9</v>
      </c>
      <c r="AZ40" s="35" t="n">
        <f aca="false">IF(OR(AV40="",AY40=""),"",IF(AV40&lt;=AY40,1,0))</f>
        <v>1</v>
      </c>
      <c r="BA40" s="36" t="n">
        <f aca="false">IF(OR(AO40&lt;&gt;1,AR40=""),"",INDEX(SLA_RES,AR40))</f>
        <v>10</v>
      </c>
      <c r="BB40" s="35" t="n">
        <f aca="false">IF(OR(AW40="",BA40=""),"",IF(AW40&lt;=BA40,1,0))</f>
        <v>1</v>
      </c>
      <c r="BC40" s="38" t="n">
        <f aca="false">IF(OR(BA40="",P40=""),"",WORKDAY(INT(P40),BA40,JoursFeries)+MOD(P40,1))</f>
        <v>46079.5659722222</v>
      </c>
      <c r="BD40" s="39" t="n">
        <f aca="false">IF(AO40&lt;&gt;1,"",IF(OR(AB40&lt;&gt;"",AD40&lt;&gt;""),4,IF(U40&lt;&gt;"",3,IF(T40&lt;&gt;"",2,1))))</f>
        <v>1</v>
      </c>
      <c r="BE40" s="39" t="n">
        <f aca="false">IF(OR(AO40&lt;&gt;1,AR40=""),"",INDEX(NIV_REQ,AR40))</f>
        <v>1</v>
      </c>
      <c r="BF40" s="39" t="n">
        <f aca="false">IF(BE40="","",MAX(BE40,IF(OR(K40="Oui",Z40="Oui"),4,1)))</f>
        <v>1</v>
      </c>
      <c r="BG40" s="35" t="n">
        <f aca="false">IF(OR(BF40="",BD40=""),"",IF(BD40&gt;=BF40,1,0))</f>
        <v>1</v>
      </c>
      <c r="BH40" s="38" t="str">
        <f aca="false">IF(BE40="","",IF(BE40&lt;2,"",IF(BE40=2,IF(AND(T40="",U40=""),"",MIN(T40,U40)),IF(U40="","",U40))))</f>
        <v/>
      </c>
      <c r="BI40" s="37" t="str">
        <f aca="false">IF(BH40="","",IF(OR(O40="",BH40=""),"",IF(BH40&lt;O40,"",ROUND(((NETWORKDAYS(O40,BH40,JoursFeries)-1)*(HFer-HOuv)+IF(NETWORKDAYS(BH40,BH40,JoursFeries),MEDIAN(MOD(BH40,1),HFer,HOuv),HFer)-IF(NETWORKDAYS(O40,O40,JoursFeries),MEDIAN(MOD(O40,1),HFer,HOuv),HOuv))*24,4))))</f>
        <v/>
      </c>
      <c r="BJ40" s="35" t="str">
        <f aca="false">IF(OR(BI40="",AR40=""),"",IF(BI40&lt;=INDEX(DELAI_ESC,AR40),1,0))</f>
        <v/>
      </c>
      <c r="BK40" s="38" t="str">
        <f aca="false">IF(AO40&lt;&gt;1,"",IF(AND(T40="",U40=""),"",MIN(T40,U40)))</f>
        <v/>
      </c>
      <c r="BL40" s="37" t="str">
        <f aca="false">IF(OR(BK40="",R40=""),"",IFERROR(ROUND(IF(OR(BK40="",R40=""),"",IF(R40&lt;BK40,"",ROUND(((NETWORKDAYS(BK40,R40,JoursFeries)-1)*(HFer-HOuv)+IF(NETWORKDAYS(R40,R40,JoursFeries),MEDIAN(MOD(R40,1),HFer,HOuv),HFer)-IF(NETWORKDAYS(BK40,BK40,JoursFeries),MEDIAN(MOD(BK40,1),HFer,HOuv),HOuv))*24,4)))/HJour,4),""))</f>
        <v/>
      </c>
      <c r="BM40" s="35" t="n">
        <f aca="false">IF(OR(AO40&lt;&gt;1,R40=""),"",IF(BD40=1,1,0))</f>
        <v>1</v>
      </c>
      <c r="BN40" s="35" t="n">
        <f aca="false">IF(AO40&lt;&gt;1,"",IF(W40="Oui",1,0))</f>
        <v>0</v>
      </c>
      <c r="BO40" s="35" t="n">
        <f aca="false">IF(AO40&lt;&gt;1,"",IF(X40&lt;&gt;"",1,0))</f>
        <v>0</v>
      </c>
      <c r="BP40" s="35" t="n">
        <f aca="false">IF(AO40&lt;&gt;1,"",IF(Y40="Oui",1,0))</f>
        <v>0</v>
      </c>
      <c r="BQ40" s="35" t="str">
        <f aca="true">IF(OR(AO40&lt;&gt;1,Z40&lt;&gt;"Oui"),"",IF(AB40="",IF(AND(AA40&lt;&gt;"",NOW()&gt;AA40),0,""),IF(AA40="","",IF(AB40&lt;=AA40,1,0))))</f>
        <v/>
      </c>
      <c r="BR40" s="38" t="str">
        <f aca="false">IF(OR(AO40&lt;&gt;1,K40&lt;&gt;"Oui",O40=""),"",IF(AC40="",O40+DORA_H_DET/24,IF(AC40-O40&lt;=DORA_H_DET/24,MIN(AC40+DORA_H_CLA/24,O40+DORA_H_DET/24),AC40+DORA_H_CLA/24)))</f>
        <v/>
      </c>
      <c r="BS40" s="35" t="str">
        <f aca="true">IF(BR40="","",IF(AD40="",IF(NOW()&gt;BR40,0,""),IF(AD40&lt;=BR40,1,0)))</f>
        <v/>
      </c>
      <c r="BT40" s="35" t="str">
        <f aca="true">IF(OR(BR40="",AD40=""),"",IF(AE40="",IF(NOW()&gt;AD40+DORA_H_INT/24,0,""),IF(AE40&lt;=AD40+DORA_H_INT/24,1,0)))</f>
        <v/>
      </c>
      <c r="BU40" s="35" t="str">
        <f aca="true">IF(OR(BR40="",AE40=""),"",IF(AF40="",IF(NOW()&gt;EDATE(AE40,DORA_M_FIN)+1,0,""),IF(AF40&lt;=EDATE(AE40,DORA_M_FIN),1,0)))</f>
        <v/>
      </c>
      <c r="BV40" s="35" t="str">
        <f aca="false">IF(BR40="","",IF(COUNT(BS40:BU40)=0,"",MIN(BS40:BU40)))</f>
        <v/>
      </c>
      <c r="BW40" s="40" t="str">
        <f aca="false">IF(AQ40&lt;&gt;1,"",IF(AND(AG40="",AH40=""),"",N(AG40)-N(AH40)))</f>
        <v/>
      </c>
      <c r="BX40" s="35" t="str">
        <f aca="true">IF(OR(AQ40&lt;&gt;1,AI40&lt;&gt;"Oui",AJ40=""),"",IF(AK40="",IF(NOW()&gt;AJ40+1,0,""),IF(AK40&lt;=AJ40,1,0)))</f>
        <v/>
      </c>
    </row>
    <row r="41" customFormat="false" ht="15" hidden="false" customHeight="false" outlineLevel="0" collapsed="false">
      <c r="B41" s="29" t="s">
        <v>257</v>
      </c>
      <c r="C41" s="29" t="s">
        <v>160</v>
      </c>
      <c r="D41" s="29" t="s">
        <v>161</v>
      </c>
      <c r="E41" s="29" t="s">
        <v>234</v>
      </c>
      <c r="F41" s="29" t="s">
        <v>204</v>
      </c>
      <c r="G41" s="29" t="s">
        <v>211</v>
      </c>
      <c r="H41" s="29"/>
      <c r="I41" s="29" t="s">
        <v>235</v>
      </c>
      <c r="J41" s="29" t="s">
        <v>167</v>
      </c>
      <c r="K41" s="29" t="s">
        <v>168</v>
      </c>
      <c r="L41" s="29" t="s">
        <v>169</v>
      </c>
      <c r="M41" s="29" t="s">
        <v>201</v>
      </c>
      <c r="N41" s="30" t="n">
        <v>46064.375</v>
      </c>
      <c r="O41" s="30" t="n">
        <v>46066.375</v>
      </c>
      <c r="P41" s="30" t="n">
        <v>46066.4166666667</v>
      </c>
      <c r="Q41" s="30" t="n">
        <v>46066.4756944445</v>
      </c>
      <c r="R41" s="30" t="n">
        <v>46071.7048611111</v>
      </c>
      <c r="S41" s="30" t="n">
        <v>46077.7013888889</v>
      </c>
      <c r="T41" s="30"/>
      <c r="U41" s="30"/>
      <c r="V41" s="31" t="n">
        <v>0</v>
      </c>
      <c r="W41" s="29" t="s">
        <v>168</v>
      </c>
      <c r="X41" s="29"/>
      <c r="Y41" s="29" t="s">
        <v>168</v>
      </c>
      <c r="Z41" s="29" t="s">
        <v>168</v>
      </c>
      <c r="AA41" s="30"/>
      <c r="AB41" s="30"/>
      <c r="AC41" s="30"/>
      <c r="AD41" s="30"/>
      <c r="AE41" s="30"/>
      <c r="AF41" s="32"/>
      <c r="AG41" s="33"/>
      <c r="AH41" s="33"/>
      <c r="AI41" s="29" t="s">
        <v>168</v>
      </c>
      <c r="AJ41" s="32"/>
      <c r="AK41" s="32"/>
      <c r="AL41" s="29"/>
      <c r="AN41" s="34" t="str">
        <f aca="false">IF($B41="","",IF(OR(C41="",D41="",E41="",G41="",I41="",J41="",L41="",O41="",P41=""),"Champ obligatoire manquant",IF(OR(AND(N41&lt;&gt;"",N41&gt;O41),O41&gt;P41,AND(Q41&lt;&gt;"",Q41&lt;P41),AND(R41&lt;&gt;"",R41&lt;P41),AND(S41&lt;&gt;"",S41&lt;R41),AND(S41&lt;&gt;"",R41=""),AND(T41&lt;&gt;"",T41&lt;O41),AND(U41&lt;&gt;"",U41&lt;O41)),"Chronologie incohérente",IF(AND(OR(L41="Résolu",L41="Clos"),R41=""),"Date de résolution manquante",IF(AND(L41="Clos",S41=""),"Date de clôture manquante",IF(AND(K41="Oui",AC41=""),"Classification DORA manquante","OK"))))))</f>
        <v>OK</v>
      </c>
      <c r="AO41" s="35" t="n">
        <f aca="false">IF($B41="","",IF(AND(C41="Incident",L41&lt;&gt;"Annulé"),1,0))</f>
        <v>0</v>
      </c>
      <c r="AP41" s="35" t="n">
        <f aca="false">IF($B41="","",IF(AND(C41="Quasi-incident",L41&lt;&gt;"Annulé"),1,0))</f>
        <v>1</v>
      </c>
      <c r="AQ41" s="35" t="n">
        <f aca="false">IF($B41="","",AO41+AP41)</f>
        <v>1</v>
      </c>
      <c r="AR41" s="36" t="n">
        <f aca="false">IF(OR($B41="",J41=""),"",IFERROR(VALUE(LEFT(J41,1)),""))</f>
        <v>3</v>
      </c>
      <c r="AS41" s="35" t="str">
        <f aca="false">IF(OR(AO41&lt;&gt;1,G41=""),"",IFERROR(IF(INDEX(L_SrcInterne,MATCH(G41,L_Sources,0))="Oui",1,0),""))</f>
        <v/>
      </c>
      <c r="AT41" s="37" t="str">
        <f aca="false">IF(AO41&lt;&gt;1,"",IFERROR(ROUND(IF(OR(N41="",O41=""),"",IF(O41&lt;N41,"",ROUND(((NETWORKDAYS(N41,O41,JoursFeries)-1)*(HFer-HOuv)+IF(NETWORKDAYS(O41,O41,JoursFeries),MEDIAN(MOD(O41,1),HFer,HOuv),HFer)-IF(NETWORKDAYS(N41,N41,JoursFeries),MEDIAN(MOD(N41,1),HFer,HOuv),HOuv))*24,4)))/HJour,4),""))</f>
        <v/>
      </c>
      <c r="AU41" s="37" t="str">
        <f aca="false">IF(AO41&lt;&gt;1,"",IF(OR(O41="",P41=""),"",IF(P41&lt;O41,"",ROUND(((NETWORKDAYS(O41,P41,JoursFeries)-1)*(HFer-HOuv)+IF(NETWORKDAYS(P41,P41,JoursFeries),MEDIAN(MOD(P41,1),HFer,HOuv),HFer)-IF(NETWORKDAYS(O41,O41,JoursFeries),MEDIAN(MOD(O41,1),HFer,HOuv),HOuv))*24,4))))</f>
        <v/>
      </c>
      <c r="AV41" s="37" t="str">
        <f aca="false">IF(AO41&lt;&gt;1,"",IF(OR(P41="",Q41=""),"",IF(Q41&lt;P41,"",ROUND(((NETWORKDAYS(P41,Q41,JoursFeries)-1)*(HFer-HOuv)+IF(NETWORKDAYS(Q41,Q41,JoursFeries),MEDIAN(MOD(Q41,1),HFer,HOuv),HFer)-IF(NETWORKDAYS(P41,P41,JoursFeries),MEDIAN(MOD(P41,1),HFer,HOuv),HOuv))*24,4))))</f>
        <v/>
      </c>
      <c r="AW41" s="37" t="str">
        <f aca="false">IF(AO41&lt;&gt;1,"",IFERROR(ROUND(IF(OR(P41="",R41=""),"",IF(R41&lt;P41,"",ROUND(((NETWORKDAYS(P41,R41,JoursFeries)-1)*(HFer-HOuv)+IF(NETWORKDAYS(R41,R41,JoursFeries),MEDIAN(MOD(R41,1),HFer,HOuv),HFer)-IF(NETWORKDAYS(P41,P41,JoursFeries),MEDIAN(MOD(P41,1),HFer,HOuv),HOuv))*24,4)))/HJour,4),""))</f>
        <v/>
      </c>
      <c r="AX41" s="37" t="str">
        <f aca="false">IF(AO41&lt;&gt;1,"",IFERROR(ROUND(IF(OR(P41="",S41=""),"",IF(S41&lt;P41,"",ROUND(((NETWORKDAYS(P41,S41,JoursFeries)-1)*(HFer-HOuv)+IF(NETWORKDAYS(S41,S41,JoursFeries),MEDIAN(MOD(S41,1),HFer,HOuv),HFer)-IF(NETWORKDAYS(P41,P41,JoursFeries),MEDIAN(MOD(P41,1),HFer,HOuv),HOuv))*24,4)))/HJour,4),""))</f>
        <v/>
      </c>
      <c r="AY41" s="36" t="str">
        <f aca="false">IF(OR(AO41&lt;&gt;1,AR41=""),"",INDEX(SLA_PEC,AR41))</f>
        <v/>
      </c>
      <c r="AZ41" s="35" t="str">
        <f aca="false">IF(OR(AV41="",AY41=""),"",IF(AV41&lt;=AY41,1,0))</f>
        <v/>
      </c>
      <c r="BA41" s="36" t="str">
        <f aca="false">IF(OR(AO41&lt;&gt;1,AR41=""),"",INDEX(SLA_RES,AR41))</f>
        <v/>
      </c>
      <c r="BB41" s="35" t="str">
        <f aca="false">IF(OR(AW41="",BA41=""),"",IF(AW41&lt;=BA41,1,0))</f>
        <v/>
      </c>
      <c r="BC41" s="38" t="str">
        <f aca="false">IF(OR(BA41="",P41=""),"",WORKDAY(INT(P41),BA41,JoursFeries)+MOD(P41,1))</f>
        <v/>
      </c>
      <c r="BD41" s="39" t="str">
        <f aca="false">IF(AO41&lt;&gt;1,"",IF(OR(AB41&lt;&gt;"",AD41&lt;&gt;""),4,IF(U41&lt;&gt;"",3,IF(T41&lt;&gt;"",2,1))))</f>
        <v/>
      </c>
      <c r="BE41" s="39" t="str">
        <f aca="false">IF(OR(AO41&lt;&gt;1,AR41=""),"",INDEX(NIV_REQ,AR41))</f>
        <v/>
      </c>
      <c r="BF41" s="39" t="str">
        <f aca="false">IF(BE41="","",MAX(BE41,IF(OR(K41="Oui",Z41="Oui"),4,1)))</f>
        <v/>
      </c>
      <c r="BG41" s="35" t="str">
        <f aca="false">IF(OR(BF41="",BD41=""),"",IF(BD41&gt;=BF41,1,0))</f>
        <v/>
      </c>
      <c r="BH41" s="38" t="str">
        <f aca="false">IF(BE41="","",IF(BE41&lt;2,"",IF(BE41=2,IF(AND(T41="",U41=""),"",MIN(T41,U41)),IF(U41="","",U41))))</f>
        <v/>
      </c>
      <c r="BI41" s="37" t="str">
        <f aca="false">IF(BH41="","",IF(OR(O41="",BH41=""),"",IF(BH41&lt;O41,"",ROUND(((NETWORKDAYS(O41,BH41,JoursFeries)-1)*(HFer-HOuv)+IF(NETWORKDAYS(BH41,BH41,JoursFeries),MEDIAN(MOD(BH41,1),HFer,HOuv),HFer)-IF(NETWORKDAYS(O41,O41,JoursFeries),MEDIAN(MOD(O41,1),HFer,HOuv),HOuv))*24,4))))</f>
        <v/>
      </c>
      <c r="BJ41" s="35" t="str">
        <f aca="false">IF(OR(BI41="",AR41=""),"",IF(BI41&lt;=INDEX(DELAI_ESC,AR41),1,0))</f>
        <v/>
      </c>
      <c r="BK41" s="38" t="str">
        <f aca="false">IF(AO41&lt;&gt;1,"",IF(AND(T41="",U41=""),"",MIN(T41,U41)))</f>
        <v/>
      </c>
      <c r="BL41" s="37" t="str">
        <f aca="false">IF(OR(BK41="",R41=""),"",IFERROR(ROUND(IF(OR(BK41="",R41=""),"",IF(R41&lt;BK41,"",ROUND(((NETWORKDAYS(BK41,R41,JoursFeries)-1)*(HFer-HOuv)+IF(NETWORKDAYS(R41,R41,JoursFeries),MEDIAN(MOD(R41,1),HFer,HOuv),HFer)-IF(NETWORKDAYS(BK41,BK41,JoursFeries),MEDIAN(MOD(BK41,1),HFer,HOuv),HOuv))*24,4)))/HJour,4),""))</f>
        <v/>
      </c>
      <c r="BM41" s="35" t="str">
        <f aca="false">IF(OR(AO41&lt;&gt;1,R41=""),"",IF(BD41=1,1,0))</f>
        <v/>
      </c>
      <c r="BN41" s="35" t="str">
        <f aca="false">IF(AO41&lt;&gt;1,"",IF(W41="Oui",1,0))</f>
        <v/>
      </c>
      <c r="BO41" s="35" t="str">
        <f aca="false">IF(AO41&lt;&gt;1,"",IF(X41&lt;&gt;"",1,0))</f>
        <v/>
      </c>
      <c r="BP41" s="35" t="str">
        <f aca="false">IF(AO41&lt;&gt;1,"",IF(Y41="Oui",1,0))</f>
        <v/>
      </c>
      <c r="BQ41" s="35" t="str">
        <f aca="true">IF(OR(AO41&lt;&gt;1,Z41&lt;&gt;"Oui"),"",IF(AB41="",IF(AND(AA41&lt;&gt;"",NOW()&gt;AA41),0,""),IF(AA41="","",IF(AB41&lt;=AA41,1,0))))</f>
        <v/>
      </c>
      <c r="BR41" s="38" t="str">
        <f aca="false">IF(OR(AO41&lt;&gt;1,K41&lt;&gt;"Oui",O41=""),"",IF(AC41="",O41+DORA_H_DET/24,IF(AC41-O41&lt;=DORA_H_DET/24,MIN(AC41+DORA_H_CLA/24,O41+DORA_H_DET/24),AC41+DORA_H_CLA/24)))</f>
        <v/>
      </c>
      <c r="BS41" s="35" t="str">
        <f aca="true">IF(BR41="","",IF(AD41="",IF(NOW()&gt;BR41,0,""),IF(AD41&lt;=BR41,1,0)))</f>
        <v/>
      </c>
      <c r="BT41" s="35" t="str">
        <f aca="true">IF(OR(BR41="",AD41=""),"",IF(AE41="",IF(NOW()&gt;AD41+DORA_H_INT/24,0,""),IF(AE41&lt;=AD41+DORA_H_INT/24,1,0)))</f>
        <v/>
      </c>
      <c r="BU41" s="35" t="str">
        <f aca="true">IF(OR(BR41="",AE41=""),"",IF(AF41="",IF(NOW()&gt;EDATE(AE41,DORA_M_FIN)+1,0,""),IF(AF41&lt;=EDATE(AE41,DORA_M_FIN),1,0)))</f>
        <v/>
      </c>
      <c r="BV41" s="35" t="str">
        <f aca="false">IF(BR41="","",IF(COUNT(BS41:BU41)=0,"",MIN(BS41:BU41)))</f>
        <v/>
      </c>
      <c r="BW41" s="40" t="str">
        <f aca="false">IF(AQ41&lt;&gt;1,"",IF(AND(AG41="",AH41=""),"",N(AG41)-N(AH41)))</f>
        <v/>
      </c>
      <c r="BX41" s="35" t="str">
        <f aca="true">IF(OR(AQ41&lt;&gt;1,AI41&lt;&gt;"Oui",AJ41=""),"",IF(AK41="",IF(NOW()&gt;AJ41+1,0,""),IF(AK41&lt;=AJ41,1,0)))</f>
        <v/>
      </c>
    </row>
    <row r="42" customFormat="false" ht="15" hidden="false" customHeight="false" outlineLevel="0" collapsed="false">
      <c r="B42" s="29" t="s">
        <v>258</v>
      </c>
      <c r="C42" s="29" t="s">
        <v>178</v>
      </c>
      <c r="D42" s="29" t="s">
        <v>161</v>
      </c>
      <c r="E42" s="29" t="s">
        <v>171</v>
      </c>
      <c r="F42" s="29" t="s">
        <v>172</v>
      </c>
      <c r="G42" s="29" t="s">
        <v>180</v>
      </c>
      <c r="H42" s="29" t="s">
        <v>174</v>
      </c>
      <c r="I42" s="29" t="s">
        <v>175</v>
      </c>
      <c r="J42" s="29" t="s">
        <v>167</v>
      </c>
      <c r="K42" s="29" t="s">
        <v>168</v>
      </c>
      <c r="L42" s="29" t="s">
        <v>169</v>
      </c>
      <c r="M42" s="29" t="s">
        <v>174</v>
      </c>
      <c r="N42" s="30" t="n">
        <v>46076.5555555556</v>
      </c>
      <c r="O42" s="30" t="n">
        <v>46076.625</v>
      </c>
      <c r="P42" s="30" t="n">
        <v>46076.6388888889</v>
      </c>
      <c r="Q42" s="30" t="n">
        <v>46077.5659722222</v>
      </c>
      <c r="R42" s="30" t="n">
        <v>46084.7465277778</v>
      </c>
      <c r="S42" s="30" t="n">
        <v>46115.5555555556</v>
      </c>
      <c r="T42" s="30"/>
      <c r="U42" s="30"/>
      <c r="V42" s="31" t="n">
        <v>0</v>
      </c>
      <c r="W42" s="29" t="s">
        <v>168</v>
      </c>
      <c r="X42" s="29"/>
      <c r="Y42" s="29" t="s">
        <v>168</v>
      </c>
      <c r="Z42" s="29" t="s">
        <v>168</v>
      </c>
      <c r="AA42" s="30"/>
      <c r="AB42" s="30"/>
      <c r="AC42" s="30"/>
      <c r="AD42" s="30"/>
      <c r="AE42" s="30"/>
      <c r="AF42" s="32"/>
      <c r="AG42" s="33"/>
      <c r="AH42" s="33"/>
      <c r="AI42" s="29" t="s">
        <v>168</v>
      </c>
      <c r="AJ42" s="32"/>
      <c r="AK42" s="32"/>
      <c r="AL42" s="29"/>
      <c r="AN42" s="34" t="str">
        <f aca="false">IF($B42="","",IF(OR(C42="",D42="",E42="",G42="",I42="",J42="",L42="",O42="",P42=""),"Champ obligatoire manquant",IF(OR(AND(N42&lt;&gt;"",N42&gt;O42),O42&gt;P42,AND(Q42&lt;&gt;"",Q42&lt;P42),AND(R42&lt;&gt;"",R42&lt;P42),AND(S42&lt;&gt;"",S42&lt;R42),AND(S42&lt;&gt;"",R42=""),AND(T42&lt;&gt;"",T42&lt;O42),AND(U42&lt;&gt;"",U42&lt;O42)),"Chronologie incohérente",IF(AND(OR(L42="Résolu",L42="Clos"),R42=""),"Date de résolution manquante",IF(AND(L42="Clos",S42=""),"Date de clôture manquante",IF(AND(K42="Oui",AC42=""),"Classification DORA manquante","OK"))))))</f>
        <v>OK</v>
      </c>
      <c r="AO42" s="35" t="n">
        <f aca="false">IF($B42="","",IF(AND(C42="Incident",L42&lt;&gt;"Annulé"),1,0))</f>
        <v>1</v>
      </c>
      <c r="AP42" s="35" t="n">
        <f aca="false">IF($B42="","",IF(AND(C42="Quasi-incident",L42&lt;&gt;"Annulé"),1,0))</f>
        <v>0</v>
      </c>
      <c r="AQ42" s="35" t="n">
        <f aca="false">IF($B42="","",AO42+AP42)</f>
        <v>1</v>
      </c>
      <c r="AR42" s="36" t="n">
        <f aca="false">IF(OR($B42="",J42=""),"",IFERROR(VALUE(LEFT(J42,1)),""))</f>
        <v>3</v>
      </c>
      <c r="AS42" s="35" t="n">
        <f aca="false">IF(OR(AO42&lt;&gt;1,G42=""),"",IFERROR(IF(INDEX(L_SrcInterne,MATCH(G42,L_Sources,0))="Oui",1,0),""))</f>
        <v>1</v>
      </c>
      <c r="AT42" s="37" t="n">
        <f aca="false">IF(AO42&lt;&gt;1,"",IFERROR(ROUND(IF(OR(N42="",O42=""),"",IF(O42&lt;N42,"",ROUND(((NETWORKDAYS(N42,O42,JoursFeries)-1)*(HFer-HOuv)+IF(NETWORKDAYS(O42,O42,JoursFeries),MEDIAN(MOD(O42,1),HFer,HOuv),HFer)-IF(NETWORKDAYS(N42,N42,JoursFeries),MEDIAN(MOD(N42,1),HFer,HOuv),HOuv))*24,4)))/HJour,4),""))</f>
        <v>0.1852</v>
      </c>
      <c r="AU42" s="37" t="n">
        <f aca="false">IF(AO42&lt;&gt;1,"",IF(OR(O42="",P42=""),"",IF(P42&lt;O42,"",ROUND(((NETWORKDAYS(O42,P42,JoursFeries)-1)*(HFer-HOuv)+IF(NETWORKDAYS(P42,P42,JoursFeries),MEDIAN(MOD(P42,1),HFer,HOuv),HFer)-IF(NETWORKDAYS(O42,O42,JoursFeries),MEDIAN(MOD(O42,1),HFer,HOuv),HOuv))*24,4))))</f>
        <v>0.3333</v>
      </c>
      <c r="AV42" s="37" t="n">
        <f aca="false">IF(AO42&lt;&gt;1,"",IF(OR(P42="",Q42=""),"",IF(Q42&lt;P42,"",ROUND(((NETWORKDAYS(P42,Q42,JoursFeries)-1)*(HFer-HOuv)+IF(NETWORKDAYS(Q42,Q42,JoursFeries),MEDIAN(MOD(Q42,1),HFer,HOuv),HFer)-IF(NETWORKDAYS(P42,P42,JoursFeries),MEDIAN(MOD(P42,1),HFer,HOuv),HOuv))*24,4))))</f>
        <v>7.25</v>
      </c>
      <c r="AW42" s="37" t="n">
        <f aca="false">IF(AO42&lt;&gt;1,"",IFERROR(ROUND(IF(OR(P42="",R42=""),"",IF(R42&lt;P42,"",ROUND(((NETWORKDAYS(P42,R42,JoursFeries)-1)*(HFer-HOuv)+IF(NETWORKDAYS(R42,R42,JoursFeries),MEDIAN(MOD(R42,1),HFer,HOuv),HFer)-IF(NETWORKDAYS(P42,P42,JoursFeries),MEDIAN(MOD(P42,1),HFer,HOuv),HOuv))*24,4)))/HJour,4),""))</f>
        <v>6.287</v>
      </c>
      <c r="AX42" s="37" t="n">
        <f aca="false">IF(AO42&lt;&gt;1,"",IFERROR(ROUND(IF(OR(P42="",S42=""),"",IF(S42&lt;P42,"",ROUND(((NETWORKDAYS(P42,S42,JoursFeries)-1)*(HFer-HOuv)+IF(NETWORKDAYS(S42,S42,JoursFeries),MEDIAN(MOD(S42,1),HFer,HOuv),HFer)-IF(NETWORKDAYS(P42,P42,JoursFeries),MEDIAN(MOD(P42,1),HFer,HOuv),HOuv))*24,4)))/HJour,4),""))</f>
        <v>28.7778</v>
      </c>
      <c r="AY42" s="36" t="n">
        <f aca="false">IF(OR(AO42&lt;&gt;1,AR42=""),"",INDEX(SLA_PEC,AR42))</f>
        <v>9</v>
      </c>
      <c r="AZ42" s="35" t="n">
        <f aca="false">IF(OR(AV42="",AY42=""),"",IF(AV42&lt;=AY42,1,0))</f>
        <v>1</v>
      </c>
      <c r="BA42" s="36" t="n">
        <f aca="false">IF(OR(AO42&lt;&gt;1,AR42=""),"",INDEX(SLA_RES,AR42))</f>
        <v>10</v>
      </c>
      <c r="BB42" s="35" t="n">
        <f aca="false">IF(OR(AW42="",BA42=""),"",IF(AW42&lt;=BA42,1,0))</f>
        <v>1</v>
      </c>
      <c r="BC42" s="38" t="n">
        <f aca="false">IF(OR(BA42="",P42=""),"",WORKDAY(INT(P42),BA42,JoursFeries)+MOD(P42,1))</f>
        <v>46090.6388888889</v>
      </c>
      <c r="BD42" s="39" t="n">
        <f aca="false">IF(AO42&lt;&gt;1,"",IF(OR(AB42&lt;&gt;"",AD42&lt;&gt;""),4,IF(U42&lt;&gt;"",3,IF(T42&lt;&gt;"",2,1))))</f>
        <v>1</v>
      </c>
      <c r="BE42" s="39" t="n">
        <f aca="false">IF(OR(AO42&lt;&gt;1,AR42=""),"",INDEX(NIV_REQ,AR42))</f>
        <v>1</v>
      </c>
      <c r="BF42" s="39" t="n">
        <f aca="false">IF(BE42="","",MAX(BE42,IF(OR(K42="Oui",Z42="Oui"),4,1)))</f>
        <v>1</v>
      </c>
      <c r="BG42" s="35" t="n">
        <f aca="false">IF(OR(BF42="",BD42=""),"",IF(BD42&gt;=BF42,1,0))</f>
        <v>1</v>
      </c>
      <c r="BH42" s="38" t="str">
        <f aca="false">IF(BE42="","",IF(BE42&lt;2,"",IF(BE42=2,IF(AND(T42="",U42=""),"",MIN(T42,U42)),IF(U42="","",U42))))</f>
        <v/>
      </c>
      <c r="BI42" s="37" t="str">
        <f aca="false">IF(BH42="","",IF(OR(O42="",BH42=""),"",IF(BH42&lt;O42,"",ROUND(((NETWORKDAYS(O42,BH42,JoursFeries)-1)*(HFer-HOuv)+IF(NETWORKDAYS(BH42,BH42,JoursFeries),MEDIAN(MOD(BH42,1),HFer,HOuv),HFer)-IF(NETWORKDAYS(O42,O42,JoursFeries),MEDIAN(MOD(O42,1),HFer,HOuv),HOuv))*24,4))))</f>
        <v/>
      </c>
      <c r="BJ42" s="35" t="str">
        <f aca="false">IF(OR(BI42="",AR42=""),"",IF(BI42&lt;=INDEX(DELAI_ESC,AR42),1,0))</f>
        <v/>
      </c>
      <c r="BK42" s="38" t="str">
        <f aca="false">IF(AO42&lt;&gt;1,"",IF(AND(T42="",U42=""),"",MIN(T42,U42)))</f>
        <v/>
      </c>
      <c r="BL42" s="37" t="str">
        <f aca="false">IF(OR(BK42="",R42=""),"",IFERROR(ROUND(IF(OR(BK42="",R42=""),"",IF(R42&lt;BK42,"",ROUND(((NETWORKDAYS(BK42,R42,JoursFeries)-1)*(HFer-HOuv)+IF(NETWORKDAYS(R42,R42,JoursFeries),MEDIAN(MOD(R42,1),HFer,HOuv),HFer)-IF(NETWORKDAYS(BK42,BK42,JoursFeries),MEDIAN(MOD(BK42,1),HFer,HOuv),HOuv))*24,4)))/HJour,4),""))</f>
        <v/>
      </c>
      <c r="BM42" s="35" t="n">
        <f aca="false">IF(OR(AO42&lt;&gt;1,R42=""),"",IF(BD42=1,1,0))</f>
        <v>1</v>
      </c>
      <c r="BN42" s="35" t="n">
        <f aca="false">IF(AO42&lt;&gt;1,"",IF(W42="Oui",1,0))</f>
        <v>0</v>
      </c>
      <c r="BO42" s="35" t="n">
        <f aca="false">IF(AO42&lt;&gt;1,"",IF(X42&lt;&gt;"",1,0))</f>
        <v>0</v>
      </c>
      <c r="BP42" s="35" t="n">
        <f aca="false">IF(AO42&lt;&gt;1,"",IF(Y42="Oui",1,0))</f>
        <v>0</v>
      </c>
      <c r="BQ42" s="35" t="str">
        <f aca="true">IF(OR(AO42&lt;&gt;1,Z42&lt;&gt;"Oui"),"",IF(AB42="",IF(AND(AA42&lt;&gt;"",NOW()&gt;AA42),0,""),IF(AA42="","",IF(AB42&lt;=AA42,1,0))))</f>
        <v/>
      </c>
      <c r="BR42" s="38" t="str">
        <f aca="false">IF(OR(AO42&lt;&gt;1,K42&lt;&gt;"Oui",O42=""),"",IF(AC42="",O42+DORA_H_DET/24,IF(AC42-O42&lt;=DORA_H_DET/24,MIN(AC42+DORA_H_CLA/24,O42+DORA_H_DET/24),AC42+DORA_H_CLA/24)))</f>
        <v/>
      </c>
      <c r="BS42" s="35" t="str">
        <f aca="true">IF(BR42="","",IF(AD42="",IF(NOW()&gt;BR42,0,""),IF(AD42&lt;=BR42,1,0)))</f>
        <v/>
      </c>
      <c r="BT42" s="35" t="str">
        <f aca="true">IF(OR(BR42="",AD42=""),"",IF(AE42="",IF(NOW()&gt;AD42+DORA_H_INT/24,0,""),IF(AE42&lt;=AD42+DORA_H_INT/24,1,0)))</f>
        <v/>
      </c>
      <c r="BU42" s="35" t="str">
        <f aca="true">IF(OR(BR42="",AE42=""),"",IF(AF42="",IF(NOW()&gt;EDATE(AE42,DORA_M_FIN)+1,0,""),IF(AF42&lt;=EDATE(AE42,DORA_M_FIN),1,0)))</f>
        <v/>
      </c>
      <c r="BV42" s="35" t="str">
        <f aca="false">IF(BR42="","",IF(COUNT(BS42:BU42)=0,"",MIN(BS42:BU42)))</f>
        <v/>
      </c>
      <c r="BW42" s="40" t="str">
        <f aca="false">IF(AQ42&lt;&gt;1,"",IF(AND(AG42="",AH42=""),"",N(AG42)-N(AH42)))</f>
        <v/>
      </c>
      <c r="BX42" s="35" t="str">
        <f aca="true">IF(OR(AQ42&lt;&gt;1,AI42&lt;&gt;"Oui",AJ42=""),"",IF(AK42="",IF(NOW()&gt;AJ42+1,0,""),IF(AK42&lt;=AJ42,1,0)))</f>
        <v/>
      </c>
    </row>
    <row r="43" customFormat="false" ht="15" hidden="false" customHeight="false" outlineLevel="0" collapsed="false">
      <c r="B43" s="29" t="s">
        <v>259</v>
      </c>
      <c r="C43" s="29" t="s">
        <v>160</v>
      </c>
      <c r="D43" s="29" t="s">
        <v>161</v>
      </c>
      <c r="E43" s="29" t="s">
        <v>231</v>
      </c>
      <c r="F43" s="29" t="s">
        <v>172</v>
      </c>
      <c r="G43" s="29" t="s">
        <v>180</v>
      </c>
      <c r="H43" s="29" t="s">
        <v>165</v>
      </c>
      <c r="I43" s="29" t="s">
        <v>260</v>
      </c>
      <c r="J43" s="29" t="s">
        <v>167</v>
      </c>
      <c r="K43" s="29" t="s">
        <v>168</v>
      </c>
      <c r="L43" s="29" t="s">
        <v>169</v>
      </c>
      <c r="M43" s="29" t="s">
        <v>206</v>
      </c>
      <c r="N43" s="30" t="n">
        <v>46078.3506944445</v>
      </c>
      <c r="O43" s="30" t="n">
        <v>46078.375</v>
      </c>
      <c r="P43" s="30" t="n">
        <v>46078.3888888889</v>
      </c>
      <c r="Q43" s="30" t="n">
        <v>46078.7152777778</v>
      </c>
      <c r="R43" s="30" t="n">
        <v>46083.7291666667</v>
      </c>
      <c r="S43" s="30" t="n">
        <v>46090.3923611111</v>
      </c>
      <c r="T43" s="30"/>
      <c r="U43" s="30"/>
      <c r="V43" s="31" t="n">
        <v>0</v>
      </c>
      <c r="W43" s="29" t="s">
        <v>168</v>
      </c>
      <c r="X43" s="29"/>
      <c r="Y43" s="29" t="s">
        <v>168</v>
      </c>
      <c r="Z43" s="29" t="s">
        <v>168</v>
      </c>
      <c r="AA43" s="30"/>
      <c r="AB43" s="30"/>
      <c r="AC43" s="30"/>
      <c r="AD43" s="30"/>
      <c r="AE43" s="30"/>
      <c r="AF43" s="32"/>
      <c r="AG43" s="33"/>
      <c r="AH43" s="33"/>
      <c r="AI43" s="29" t="s">
        <v>168</v>
      </c>
      <c r="AJ43" s="32"/>
      <c r="AK43" s="32"/>
      <c r="AL43" s="29"/>
      <c r="AN43" s="34" t="str">
        <f aca="false">IF($B43="","",IF(OR(C43="",D43="",E43="",G43="",I43="",J43="",L43="",O43="",P43=""),"Champ obligatoire manquant",IF(OR(AND(N43&lt;&gt;"",N43&gt;O43),O43&gt;P43,AND(Q43&lt;&gt;"",Q43&lt;P43),AND(R43&lt;&gt;"",R43&lt;P43),AND(S43&lt;&gt;"",S43&lt;R43),AND(S43&lt;&gt;"",R43=""),AND(T43&lt;&gt;"",T43&lt;O43),AND(U43&lt;&gt;"",U43&lt;O43)),"Chronologie incohérente",IF(AND(OR(L43="Résolu",L43="Clos"),R43=""),"Date de résolution manquante",IF(AND(L43="Clos",S43=""),"Date de clôture manquante",IF(AND(K43="Oui",AC43=""),"Classification DORA manquante","OK"))))))</f>
        <v>OK</v>
      </c>
      <c r="AO43" s="35" t="n">
        <f aca="false">IF($B43="","",IF(AND(C43="Incident",L43&lt;&gt;"Annulé"),1,0))</f>
        <v>0</v>
      </c>
      <c r="AP43" s="35" t="n">
        <f aca="false">IF($B43="","",IF(AND(C43="Quasi-incident",L43&lt;&gt;"Annulé"),1,0))</f>
        <v>1</v>
      </c>
      <c r="AQ43" s="35" t="n">
        <f aca="false">IF($B43="","",AO43+AP43)</f>
        <v>1</v>
      </c>
      <c r="AR43" s="36" t="n">
        <f aca="false">IF(OR($B43="",J43=""),"",IFERROR(VALUE(LEFT(J43,1)),""))</f>
        <v>3</v>
      </c>
      <c r="AS43" s="35" t="str">
        <f aca="false">IF(OR(AO43&lt;&gt;1,G43=""),"",IFERROR(IF(INDEX(L_SrcInterne,MATCH(G43,L_Sources,0))="Oui",1,0),""))</f>
        <v/>
      </c>
      <c r="AT43" s="37" t="str">
        <f aca="false">IF(AO43&lt;&gt;1,"",IFERROR(ROUND(IF(OR(N43="",O43=""),"",IF(O43&lt;N43,"",ROUND(((NETWORKDAYS(N43,O43,JoursFeries)-1)*(HFer-HOuv)+IF(NETWORKDAYS(O43,O43,JoursFeries),MEDIAN(MOD(O43,1),HFer,HOuv),HFer)-IF(NETWORKDAYS(N43,N43,JoursFeries),MEDIAN(MOD(N43,1),HFer,HOuv),HOuv))*24,4)))/HJour,4),""))</f>
        <v/>
      </c>
      <c r="AU43" s="37" t="str">
        <f aca="false">IF(AO43&lt;&gt;1,"",IF(OR(O43="",P43=""),"",IF(P43&lt;O43,"",ROUND(((NETWORKDAYS(O43,P43,JoursFeries)-1)*(HFer-HOuv)+IF(NETWORKDAYS(P43,P43,JoursFeries),MEDIAN(MOD(P43,1),HFer,HOuv),HFer)-IF(NETWORKDAYS(O43,O43,JoursFeries),MEDIAN(MOD(O43,1),HFer,HOuv),HOuv))*24,4))))</f>
        <v/>
      </c>
      <c r="AV43" s="37" t="str">
        <f aca="false">IF(AO43&lt;&gt;1,"",IF(OR(P43="",Q43=""),"",IF(Q43&lt;P43,"",ROUND(((NETWORKDAYS(P43,Q43,JoursFeries)-1)*(HFer-HOuv)+IF(NETWORKDAYS(Q43,Q43,JoursFeries),MEDIAN(MOD(Q43,1),HFer,HOuv),HFer)-IF(NETWORKDAYS(P43,P43,JoursFeries),MEDIAN(MOD(P43,1),HFer,HOuv),HOuv))*24,4))))</f>
        <v/>
      </c>
      <c r="AW43" s="37" t="str">
        <f aca="false">IF(AO43&lt;&gt;1,"",IFERROR(ROUND(IF(OR(P43="",R43=""),"",IF(R43&lt;P43,"",ROUND(((NETWORKDAYS(P43,R43,JoursFeries)-1)*(HFer-HOuv)+IF(NETWORKDAYS(R43,R43,JoursFeries),MEDIAN(MOD(R43,1),HFer,HOuv),HFer)-IF(NETWORKDAYS(P43,P43,JoursFeries),MEDIAN(MOD(P43,1),HFer,HOuv),HOuv))*24,4)))/HJour,4),""))</f>
        <v/>
      </c>
      <c r="AX43" s="37" t="str">
        <f aca="false">IF(AO43&lt;&gt;1,"",IFERROR(ROUND(IF(OR(P43="",S43=""),"",IF(S43&lt;P43,"",ROUND(((NETWORKDAYS(P43,S43,JoursFeries)-1)*(HFer-HOuv)+IF(NETWORKDAYS(S43,S43,JoursFeries),MEDIAN(MOD(S43,1),HFer,HOuv),HFer)-IF(NETWORKDAYS(P43,P43,JoursFeries),MEDIAN(MOD(P43,1),HFer,HOuv),HOuv))*24,4)))/HJour,4),""))</f>
        <v/>
      </c>
      <c r="AY43" s="36" t="str">
        <f aca="false">IF(OR(AO43&lt;&gt;1,AR43=""),"",INDEX(SLA_PEC,AR43))</f>
        <v/>
      </c>
      <c r="AZ43" s="35" t="str">
        <f aca="false">IF(OR(AV43="",AY43=""),"",IF(AV43&lt;=AY43,1,0))</f>
        <v/>
      </c>
      <c r="BA43" s="36" t="str">
        <f aca="false">IF(OR(AO43&lt;&gt;1,AR43=""),"",INDEX(SLA_RES,AR43))</f>
        <v/>
      </c>
      <c r="BB43" s="35" t="str">
        <f aca="false">IF(OR(AW43="",BA43=""),"",IF(AW43&lt;=BA43,1,0))</f>
        <v/>
      </c>
      <c r="BC43" s="38" t="str">
        <f aca="false">IF(OR(BA43="",P43=""),"",WORKDAY(INT(P43),BA43,JoursFeries)+MOD(P43,1))</f>
        <v/>
      </c>
      <c r="BD43" s="39" t="str">
        <f aca="false">IF(AO43&lt;&gt;1,"",IF(OR(AB43&lt;&gt;"",AD43&lt;&gt;""),4,IF(U43&lt;&gt;"",3,IF(T43&lt;&gt;"",2,1))))</f>
        <v/>
      </c>
      <c r="BE43" s="39" t="str">
        <f aca="false">IF(OR(AO43&lt;&gt;1,AR43=""),"",INDEX(NIV_REQ,AR43))</f>
        <v/>
      </c>
      <c r="BF43" s="39" t="str">
        <f aca="false">IF(BE43="","",MAX(BE43,IF(OR(K43="Oui",Z43="Oui"),4,1)))</f>
        <v/>
      </c>
      <c r="BG43" s="35" t="str">
        <f aca="false">IF(OR(BF43="",BD43=""),"",IF(BD43&gt;=BF43,1,0))</f>
        <v/>
      </c>
      <c r="BH43" s="38" t="str">
        <f aca="false">IF(BE43="","",IF(BE43&lt;2,"",IF(BE43=2,IF(AND(T43="",U43=""),"",MIN(T43,U43)),IF(U43="","",U43))))</f>
        <v/>
      </c>
      <c r="BI43" s="37" t="str">
        <f aca="false">IF(BH43="","",IF(OR(O43="",BH43=""),"",IF(BH43&lt;O43,"",ROUND(((NETWORKDAYS(O43,BH43,JoursFeries)-1)*(HFer-HOuv)+IF(NETWORKDAYS(BH43,BH43,JoursFeries),MEDIAN(MOD(BH43,1),HFer,HOuv),HFer)-IF(NETWORKDAYS(O43,O43,JoursFeries),MEDIAN(MOD(O43,1),HFer,HOuv),HOuv))*24,4))))</f>
        <v/>
      </c>
      <c r="BJ43" s="35" t="str">
        <f aca="false">IF(OR(BI43="",AR43=""),"",IF(BI43&lt;=INDEX(DELAI_ESC,AR43),1,0))</f>
        <v/>
      </c>
      <c r="BK43" s="38" t="str">
        <f aca="false">IF(AO43&lt;&gt;1,"",IF(AND(T43="",U43=""),"",MIN(T43,U43)))</f>
        <v/>
      </c>
      <c r="BL43" s="37" t="str">
        <f aca="false">IF(OR(BK43="",R43=""),"",IFERROR(ROUND(IF(OR(BK43="",R43=""),"",IF(R43&lt;BK43,"",ROUND(((NETWORKDAYS(BK43,R43,JoursFeries)-1)*(HFer-HOuv)+IF(NETWORKDAYS(R43,R43,JoursFeries),MEDIAN(MOD(R43,1),HFer,HOuv),HFer)-IF(NETWORKDAYS(BK43,BK43,JoursFeries),MEDIAN(MOD(BK43,1),HFer,HOuv),HOuv))*24,4)))/HJour,4),""))</f>
        <v/>
      </c>
      <c r="BM43" s="35" t="str">
        <f aca="false">IF(OR(AO43&lt;&gt;1,R43=""),"",IF(BD43=1,1,0))</f>
        <v/>
      </c>
      <c r="BN43" s="35" t="str">
        <f aca="false">IF(AO43&lt;&gt;1,"",IF(W43="Oui",1,0))</f>
        <v/>
      </c>
      <c r="BO43" s="35" t="str">
        <f aca="false">IF(AO43&lt;&gt;1,"",IF(X43&lt;&gt;"",1,0))</f>
        <v/>
      </c>
      <c r="BP43" s="35" t="str">
        <f aca="false">IF(AO43&lt;&gt;1,"",IF(Y43="Oui",1,0))</f>
        <v/>
      </c>
      <c r="BQ43" s="35" t="str">
        <f aca="true">IF(OR(AO43&lt;&gt;1,Z43&lt;&gt;"Oui"),"",IF(AB43="",IF(AND(AA43&lt;&gt;"",NOW()&gt;AA43),0,""),IF(AA43="","",IF(AB43&lt;=AA43,1,0))))</f>
        <v/>
      </c>
      <c r="BR43" s="38" t="str">
        <f aca="false">IF(OR(AO43&lt;&gt;1,K43&lt;&gt;"Oui",O43=""),"",IF(AC43="",O43+DORA_H_DET/24,IF(AC43-O43&lt;=DORA_H_DET/24,MIN(AC43+DORA_H_CLA/24,O43+DORA_H_DET/24),AC43+DORA_H_CLA/24)))</f>
        <v/>
      </c>
      <c r="BS43" s="35" t="str">
        <f aca="true">IF(BR43="","",IF(AD43="",IF(NOW()&gt;BR43,0,""),IF(AD43&lt;=BR43,1,0)))</f>
        <v/>
      </c>
      <c r="BT43" s="35" t="str">
        <f aca="true">IF(OR(BR43="",AD43=""),"",IF(AE43="",IF(NOW()&gt;AD43+DORA_H_INT/24,0,""),IF(AE43&lt;=AD43+DORA_H_INT/24,1,0)))</f>
        <v/>
      </c>
      <c r="BU43" s="35" t="str">
        <f aca="true">IF(OR(BR43="",AE43=""),"",IF(AF43="",IF(NOW()&gt;EDATE(AE43,DORA_M_FIN)+1,0,""),IF(AF43&lt;=EDATE(AE43,DORA_M_FIN),1,0)))</f>
        <v/>
      </c>
      <c r="BV43" s="35" t="str">
        <f aca="false">IF(BR43="","",IF(COUNT(BS43:BU43)=0,"",MIN(BS43:BU43)))</f>
        <v/>
      </c>
      <c r="BW43" s="40" t="str">
        <f aca="false">IF(AQ43&lt;&gt;1,"",IF(AND(AG43="",AH43=""),"",N(AG43)-N(AH43)))</f>
        <v/>
      </c>
      <c r="BX43" s="35" t="str">
        <f aca="true">IF(OR(AQ43&lt;&gt;1,AI43&lt;&gt;"Oui",AJ43=""),"",IF(AK43="",IF(NOW()&gt;AJ43+1,0,""),IF(AK43&lt;=AJ43,1,0)))</f>
        <v/>
      </c>
    </row>
    <row r="44" customFormat="false" ht="15" hidden="false" customHeight="false" outlineLevel="0" collapsed="false">
      <c r="B44" s="29" t="s">
        <v>261</v>
      </c>
      <c r="C44" s="29" t="s">
        <v>178</v>
      </c>
      <c r="D44" s="29" t="s">
        <v>161</v>
      </c>
      <c r="E44" s="29" t="s">
        <v>254</v>
      </c>
      <c r="F44" s="29" t="s">
        <v>172</v>
      </c>
      <c r="G44" s="29" t="s">
        <v>180</v>
      </c>
      <c r="H44" s="29"/>
      <c r="I44" s="29" t="s">
        <v>262</v>
      </c>
      <c r="J44" s="29" t="s">
        <v>167</v>
      </c>
      <c r="K44" s="29" t="s">
        <v>168</v>
      </c>
      <c r="L44" s="29" t="s">
        <v>169</v>
      </c>
      <c r="M44" s="29" t="s">
        <v>165</v>
      </c>
      <c r="N44" s="30" t="n">
        <v>46082.6666666667</v>
      </c>
      <c r="O44" s="30" t="n">
        <v>46084.6666666667</v>
      </c>
      <c r="P44" s="30" t="n">
        <v>46084.6875</v>
      </c>
      <c r="Q44" s="30" t="n">
        <v>46085.4583333333</v>
      </c>
      <c r="R44" s="30" t="n">
        <v>46086.6909722222</v>
      </c>
      <c r="S44" s="30" t="n">
        <v>46104.4479166667</v>
      </c>
      <c r="T44" s="30"/>
      <c r="U44" s="30"/>
      <c r="V44" s="31" t="n">
        <v>0</v>
      </c>
      <c r="W44" s="29" t="s">
        <v>168</v>
      </c>
      <c r="X44" s="29"/>
      <c r="Y44" s="29" t="s">
        <v>168</v>
      </c>
      <c r="Z44" s="29" t="s">
        <v>168</v>
      </c>
      <c r="AA44" s="30"/>
      <c r="AB44" s="30"/>
      <c r="AC44" s="30"/>
      <c r="AD44" s="30"/>
      <c r="AE44" s="30"/>
      <c r="AF44" s="32"/>
      <c r="AG44" s="33" t="n">
        <v>27900</v>
      </c>
      <c r="AH44" s="33" t="n">
        <v>0</v>
      </c>
      <c r="AI44" s="29" t="s">
        <v>189</v>
      </c>
      <c r="AJ44" s="32" t="n">
        <v>46127</v>
      </c>
      <c r="AK44" s="32" t="n">
        <v>46124</v>
      </c>
      <c r="AL44" s="29"/>
      <c r="AN44" s="34" t="str">
        <f aca="false">IF($B44="","",IF(OR(C44="",D44="",E44="",G44="",I44="",J44="",L44="",O44="",P44=""),"Champ obligatoire manquant",IF(OR(AND(N44&lt;&gt;"",N44&gt;O44),O44&gt;P44,AND(Q44&lt;&gt;"",Q44&lt;P44),AND(R44&lt;&gt;"",R44&lt;P44),AND(S44&lt;&gt;"",S44&lt;R44),AND(S44&lt;&gt;"",R44=""),AND(T44&lt;&gt;"",T44&lt;O44),AND(U44&lt;&gt;"",U44&lt;O44)),"Chronologie incohérente",IF(AND(OR(L44="Résolu",L44="Clos"),R44=""),"Date de résolution manquante",IF(AND(L44="Clos",S44=""),"Date de clôture manquante",IF(AND(K44="Oui",AC44=""),"Classification DORA manquante","OK"))))))</f>
        <v>OK</v>
      </c>
      <c r="AO44" s="35" t="n">
        <f aca="false">IF($B44="","",IF(AND(C44="Incident",L44&lt;&gt;"Annulé"),1,0))</f>
        <v>1</v>
      </c>
      <c r="AP44" s="35" t="n">
        <f aca="false">IF($B44="","",IF(AND(C44="Quasi-incident",L44&lt;&gt;"Annulé"),1,0))</f>
        <v>0</v>
      </c>
      <c r="AQ44" s="35" t="n">
        <f aca="false">IF($B44="","",AO44+AP44)</f>
        <v>1</v>
      </c>
      <c r="AR44" s="36" t="n">
        <f aca="false">IF(OR($B44="",J44=""),"",IFERROR(VALUE(LEFT(J44,1)),""))</f>
        <v>3</v>
      </c>
      <c r="AS44" s="35" t="n">
        <f aca="false">IF(OR(AO44&lt;&gt;1,G44=""),"",IFERROR(IF(INDEX(L_SrcInterne,MATCH(G44,L_Sources,0))="Oui",1,0),""))</f>
        <v>1</v>
      </c>
      <c r="AT44" s="37" t="n">
        <f aca="false">IF(AO44&lt;&gt;1,"",IFERROR(ROUND(IF(OR(N44="",O44=""),"",IF(O44&lt;N44,"",ROUND(((NETWORKDAYS(N44,O44,JoursFeries)-1)*(HFer-HOuv)+IF(NETWORKDAYS(O44,O44,JoursFeries),MEDIAN(MOD(O44,1),HFer,HOuv),HFer)-IF(NETWORKDAYS(N44,N44,JoursFeries),MEDIAN(MOD(N44,1),HFer,HOuv),HOuv))*24,4)))/HJour,4),""))</f>
        <v>1.7778</v>
      </c>
      <c r="AU44" s="37" t="n">
        <f aca="false">IF(AO44&lt;&gt;1,"",IF(OR(O44="",P44=""),"",IF(P44&lt;O44,"",ROUND(((NETWORKDAYS(O44,P44,JoursFeries)-1)*(HFer-HOuv)+IF(NETWORKDAYS(P44,P44,JoursFeries),MEDIAN(MOD(P44,1),HFer,HOuv),HFer)-IF(NETWORKDAYS(O44,O44,JoursFeries),MEDIAN(MOD(O44,1),HFer,HOuv),HOuv))*24,4))))</f>
        <v>0.5</v>
      </c>
      <c r="AV44" s="37" t="n">
        <f aca="false">IF(AO44&lt;&gt;1,"",IF(OR(P44="",Q44=""),"",IF(Q44&lt;P44,"",ROUND(((NETWORKDAYS(P44,Q44,JoursFeries)-1)*(HFer-HOuv)+IF(NETWORKDAYS(Q44,Q44,JoursFeries),MEDIAN(MOD(Q44,1),HFer,HOuv),HFer)-IF(NETWORKDAYS(P44,P44,JoursFeries),MEDIAN(MOD(P44,1),HFer,HOuv),HOuv))*24,4))))</f>
        <v>3.5</v>
      </c>
      <c r="AW44" s="37" t="n">
        <f aca="false">IF(AO44&lt;&gt;1,"",IFERROR(ROUND(IF(OR(P44="",R44=""),"",IF(R44&lt;P44,"",ROUND(((NETWORKDAYS(P44,R44,JoursFeries)-1)*(HFer-HOuv)+IF(NETWORKDAYS(R44,R44,JoursFeries),MEDIAN(MOD(R44,1),HFer,HOuv),HFer)-IF(NETWORKDAYS(P44,P44,JoursFeries),MEDIAN(MOD(P44,1),HFer,HOuv),HOuv))*24,4)))/HJour,4),""))</f>
        <v>2.0093</v>
      </c>
      <c r="AX44" s="37" t="n">
        <f aca="false">IF(AO44&lt;&gt;1,"",IFERROR(ROUND(IF(OR(P44="",S44=""),"",IF(S44&lt;P44,"",ROUND(((NETWORKDAYS(P44,S44,JoursFeries)-1)*(HFer-HOuv)+IF(NETWORKDAYS(S44,S44,JoursFeries),MEDIAN(MOD(S44,1),HFer,HOuv),HFer)-IF(NETWORKDAYS(P44,P44,JoursFeries),MEDIAN(MOD(P44,1),HFer,HOuv),HOuv))*24,4)))/HJour,4),""))</f>
        <v>13.3611</v>
      </c>
      <c r="AY44" s="36" t="n">
        <f aca="false">IF(OR(AO44&lt;&gt;1,AR44=""),"",INDEX(SLA_PEC,AR44))</f>
        <v>9</v>
      </c>
      <c r="AZ44" s="35" t="n">
        <f aca="false">IF(OR(AV44="",AY44=""),"",IF(AV44&lt;=AY44,1,0))</f>
        <v>1</v>
      </c>
      <c r="BA44" s="36" t="n">
        <f aca="false">IF(OR(AO44&lt;&gt;1,AR44=""),"",INDEX(SLA_RES,AR44))</f>
        <v>10</v>
      </c>
      <c r="BB44" s="35" t="n">
        <f aca="false">IF(OR(AW44="",BA44=""),"",IF(AW44&lt;=BA44,1,0))</f>
        <v>1</v>
      </c>
      <c r="BC44" s="38" t="n">
        <f aca="false">IF(OR(BA44="",P44=""),"",WORKDAY(INT(P44),BA44,JoursFeries)+MOD(P44,1))</f>
        <v>46098.6875</v>
      </c>
      <c r="BD44" s="39" t="n">
        <f aca="false">IF(AO44&lt;&gt;1,"",IF(OR(AB44&lt;&gt;"",AD44&lt;&gt;""),4,IF(U44&lt;&gt;"",3,IF(T44&lt;&gt;"",2,1))))</f>
        <v>1</v>
      </c>
      <c r="BE44" s="39" t="n">
        <f aca="false">IF(OR(AO44&lt;&gt;1,AR44=""),"",INDEX(NIV_REQ,AR44))</f>
        <v>1</v>
      </c>
      <c r="BF44" s="39" t="n">
        <f aca="false">IF(BE44="","",MAX(BE44,IF(OR(K44="Oui",Z44="Oui"),4,1)))</f>
        <v>1</v>
      </c>
      <c r="BG44" s="35" t="n">
        <f aca="false">IF(OR(BF44="",BD44=""),"",IF(BD44&gt;=BF44,1,0))</f>
        <v>1</v>
      </c>
      <c r="BH44" s="38" t="str">
        <f aca="false">IF(BE44="","",IF(BE44&lt;2,"",IF(BE44=2,IF(AND(T44="",U44=""),"",MIN(T44,U44)),IF(U44="","",U44))))</f>
        <v/>
      </c>
      <c r="BI44" s="37" t="str">
        <f aca="false">IF(BH44="","",IF(OR(O44="",BH44=""),"",IF(BH44&lt;O44,"",ROUND(((NETWORKDAYS(O44,BH44,JoursFeries)-1)*(HFer-HOuv)+IF(NETWORKDAYS(BH44,BH44,JoursFeries),MEDIAN(MOD(BH44,1),HFer,HOuv),HFer)-IF(NETWORKDAYS(O44,O44,JoursFeries),MEDIAN(MOD(O44,1),HFer,HOuv),HOuv))*24,4))))</f>
        <v/>
      </c>
      <c r="BJ44" s="35" t="str">
        <f aca="false">IF(OR(BI44="",AR44=""),"",IF(BI44&lt;=INDEX(DELAI_ESC,AR44),1,0))</f>
        <v/>
      </c>
      <c r="BK44" s="38" t="str">
        <f aca="false">IF(AO44&lt;&gt;1,"",IF(AND(T44="",U44=""),"",MIN(T44,U44)))</f>
        <v/>
      </c>
      <c r="BL44" s="37" t="str">
        <f aca="false">IF(OR(BK44="",R44=""),"",IFERROR(ROUND(IF(OR(BK44="",R44=""),"",IF(R44&lt;BK44,"",ROUND(((NETWORKDAYS(BK44,R44,JoursFeries)-1)*(HFer-HOuv)+IF(NETWORKDAYS(R44,R44,JoursFeries),MEDIAN(MOD(R44,1),HFer,HOuv),HFer)-IF(NETWORKDAYS(BK44,BK44,JoursFeries),MEDIAN(MOD(BK44,1),HFer,HOuv),HOuv))*24,4)))/HJour,4),""))</f>
        <v/>
      </c>
      <c r="BM44" s="35" t="n">
        <f aca="false">IF(OR(AO44&lt;&gt;1,R44=""),"",IF(BD44=1,1,0))</f>
        <v>1</v>
      </c>
      <c r="BN44" s="35" t="n">
        <f aca="false">IF(AO44&lt;&gt;1,"",IF(W44="Oui",1,0))</f>
        <v>0</v>
      </c>
      <c r="BO44" s="35" t="n">
        <f aca="false">IF(AO44&lt;&gt;1,"",IF(X44&lt;&gt;"",1,0))</f>
        <v>0</v>
      </c>
      <c r="BP44" s="35" t="n">
        <f aca="false">IF(AO44&lt;&gt;1,"",IF(Y44="Oui",1,0))</f>
        <v>0</v>
      </c>
      <c r="BQ44" s="35" t="str">
        <f aca="true">IF(OR(AO44&lt;&gt;1,Z44&lt;&gt;"Oui"),"",IF(AB44="",IF(AND(AA44&lt;&gt;"",NOW()&gt;AA44),0,""),IF(AA44="","",IF(AB44&lt;=AA44,1,0))))</f>
        <v/>
      </c>
      <c r="BR44" s="38" t="str">
        <f aca="false">IF(OR(AO44&lt;&gt;1,K44&lt;&gt;"Oui",O44=""),"",IF(AC44="",O44+DORA_H_DET/24,IF(AC44-O44&lt;=DORA_H_DET/24,MIN(AC44+DORA_H_CLA/24,O44+DORA_H_DET/24),AC44+DORA_H_CLA/24)))</f>
        <v/>
      </c>
      <c r="BS44" s="35" t="str">
        <f aca="true">IF(BR44="","",IF(AD44="",IF(NOW()&gt;BR44,0,""),IF(AD44&lt;=BR44,1,0)))</f>
        <v/>
      </c>
      <c r="BT44" s="35" t="str">
        <f aca="true">IF(OR(BR44="",AD44=""),"",IF(AE44="",IF(NOW()&gt;AD44+DORA_H_INT/24,0,""),IF(AE44&lt;=AD44+DORA_H_INT/24,1,0)))</f>
        <v/>
      </c>
      <c r="BU44" s="35" t="str">
        <f aca="true">IF(OR(BR44="",AE44=""),"",IF(AF44="",IF(NOW()&gt;EDATE(AE44,DORA_M_FIN)+1,0,""),IF(AF44&lt;=EDATE(AE44,DORA_M_FIN),1,0)))</f>
        <v/>
      </c>
      <c r="BV44" s="35" t="str">
        <f aca="false">IF(BR44="","",IF(COUNT(BS44:BU44)=0,"",MIN(BS44:BU44)))</f>
        <v/>
      </c>
      <c r="BW44" s="40" t="n">
        <f aca="false">IF(AQ44&lt;&gt;1,"",IF(AND(AG44="",AH44=""),"",N(AG44)-N(AH44)))</f>
        <v>27900</v>
      </c>
      <c r="BX44" s="35" t="n">
        <f aca="true">IF(OR(AQ44&lt;&gt;1,AI44&lt;&gt;"Oui",AJ44=""),"",IF(AK44="",IF(NOW()&gt;AJ44+1,0,""),IF(AK44&lt;=AJ44,1,0)))</f>
        <v>1</v>
      </c>
    </row>
    <row r="45" customFormat="false" ht="15" hidden="false" customHeight="false" outlineLevel="0" collapsed="false">
      <c r="B45" s="29" t="s">
        <v>263</v>
      </c>
      <c r="C45" s="29" t="s">
        <v>178</v>
      </c>
      <c r="D45" s="29" t="s">
        <v>161</v>
      </c>
      <c r="E45" s="29" t="s">
        <v>234</v>
      </c>
      <c r="F45" s="29" t="s">
        <v>172</v>
      </c>
      <c r="G45" s="29" t="s">
        <v>164</v>
      </c>
      <c r="H45" s="29"/>
      <c r="I45" s="29" t="s">
        <v>235</v>
      </c>
      <c r="J45" s="29" t="s">
        <v>167</v>
      </c>
      <c r="K45" s="29" t="s">
        <v>168</v>
      </c>
      <c r="L45" s="29" t="s">
        <v>169</v>
      </c>
      <c r="M45" s="29" t="s">
        <v>165</v>
      </c>
      <c r="N45" s="30" t="n">
        <v>46082.4652777778</v>
      </c>
      <c r="O45" s="30" t="n">
        <v>46085.4652777778</v>
      </c>
      <c r="P45" s="30" t="n">
        <v>46085.5486111111</v>
      </c>
      <c r="Q45" s="30" t="n">
        <v>46085.5763888889</v>
      </c>
      <c r="R45" s="30" t="n">
        <v>46094.6770833333</v>
      </c>
      <c r="S45" s="30" t="n">
        <v>46126.6805555556</v>
      </c>
      <c r="T45" s="30"/>
      <c r="U45" s="30"/>
      <c r="V45" s="31" t="n">
        <v>2</v>
      </c>
      <c r="W45" s="29" t="s">
        <v>189</v>
      </c>
      <c r="X45" s="29"/>
      <c r="Y45" s="29" t="s">
        <v>189</v>
      </c>
      <c r="Z45" s="29" t="s">
        <v>168</v>
      </c>
      <c r="AA45" s="30"/>
      <c r="AB45" s="30"/>
      <c r="AC45" s="30"/>
      <c r="AD45" s="30"/>
      <c r="AE45" s="30"/>
      <c r="AF45" s="32"/>
      <c r="AG45" s="33"/>
      <c r="AH45" s="33"/>
      <c r="AI45" s="29" t="s">
        <v>168</v>
      </c>
      <c r="AJ45" s="32"/>
      <c r="AK45" s="32"/>
      <c r="AL45" s="29" t="s">
        <v>242</v>
      </c>
      <c r="AN45" s="34" t="str">
        <f aca="false">IF($B45="","",IF(OR(C45="",D45="",E45="",G45="",I45="",J45="",L45="",O45="",P45=""),"Champ obligatoire manquant",IF(OR(AND(N45&lt;&gt;"",N45&gt;O45),O45&gt;P45,AND(Q45&lt;&gt;"",Q45&lt;P45),AND(R45&lt;&gt;"",R45&lt;P45),AND(S45&lt;&gt;"",S45&lt;R45),AND(S45&lt;&gt;"",R45=""),AND(T45&lt;&gt;"",T45&lt;O45),AND(U45&lt;&gt;"",U45&lt;O45)),"Chronologie incohérente",IF(AND(OR(L45="Résolu",L45="Clos"),R45=""),"Date de résolution manquante",IF(AND(L45="Clos",S45=""),"Date de clôture manquante",IF(AND(K45="Oui",AC45=""),"Classification DORA manquante","OK"))))))</f>
        <v>OK</v>
      </c>
      <c r="AO45" s="35" t="n">
        <f aca="false">IF($B45="","",IF(AND(C45="Incident",L45&lt;&gt;"Annulé"),1,0))</f>
        <v>1</v>
      </c>
      <c r="AP45" s="35" t="n">
        <f aca="false">IF($B45="","",IF(AND(C45="Quasi-incident",L45&lt;&gt;"Annulé"),1,0))</f>
        <v>0</v>
      </c>
      <c r="AQ45" s="35" t="n">
        <f aca="false">IF($B45="","",AO45+AP45)</f>
        <v>1</v>
      </c>
      <c r="AR45" s="36" t="n">
        <f aca="false">IF(OR($B45="",J45=""),"",IFERROR(VALUE(LEFT(J45,1)),""))</f>
        <v>3</v>
      </c>
      <c r="AS45" s="35" t="n">
        <f aca="false">IF(OR(AO45&lt;&gt;1,G45=""),"",IFERROR(IF(INDEX(L_SrcInterne,MATCH(G45,L_Sources,0))="Oui",1,0),""))</f>
        <v>1</v>
      </c>
      <c r="AT45" s="37" t="n">
        <f aca="false">IF(AO45&lt;&gt;1,"",IFERROR(ROUND(IF(OR(N45="",O45=""),"",IF(O45&lt;N45,"",ROUND(((NETWORKDAYS(N45,O45,JoursFeries)-1)*(HFer-HOuv)+IF(NETWORKDAYS(O45,O45,JoursFeries),MEDIAN(MOD(O45,1),HFer,HOuv),HFer)-IF(NETWORKDAYS(N45,N45,JoursFeries),MEDIAN(MOD(N45,1),HFer,HOuv),HOuv))*24,4)))/HJour,4),""))</f>
        <v>2.2407</v>
      </c>
      <c r="AU45" s="37" t="n">
        <f aca="false">IF(AO45&lt;&gt;1,"",IF(OR(O45="",P45=""),"",IF(P45&lt;O45,"",ROUND(((NETWORKDAYS(O45,P45,JoursFeries)-1)*(HFer-HOuv)+IF(NETWORKDAYS(P45,P45,JoursFeries),MEDIAN(MOD(P45,1),HFer,HOuv),HFer)-IF(NETWORKDAYS(O45,O45,JoursFeries),MEDIAN(MOD(O45,1),HFer,HOuv),HOuv))*24,4))))</f>
        <v>2</v>
      </c>
      <c r="AV45" s="37" t="n">
        <f aca="false">IF(AO45&lt;&gt;1,"",IF(OR(P45="",Q45=""),"",IF(Q45&lt;P45,"",ROUND(((NETWORKDAYS(P45,Q45,JoursFeries)-1)*(HFer-HOuv)+IF(NETWORKDAYS(Q45,Q45,JoursFeries),MEDIAN(MOD(Q45,1),HFer,HOuv),HFer)-IF(NETWORKDAYS(P45,P45,JoursFeries),MEDIAN(MOD(P45,1),HFer,HOuv),HOuv))*24,4))))</f>
        <v>0.6667</v>
      </c>
      <c r="AW45" s="37" t="n">
        <f aca="false">IF(AO45&lt;&gt;1,"",IFERROR(ROUND(IF(OR(P45="",R45=""),"",IF(R45&lt;P45,"",ROUND(((NETWORKDAYS(P45,R45,JoursFeries)-1)*(HFer-HOuv)+IF(NETWORKDAYS(R45,R45,JoursFeries),MEDIAN(MOD(R45,1),HFer,HOuv),HFer)-IF(NETWORKDAYS(P45,P45,JoursFeries),MEDIAN(MOD(P45,1),HFer,HOuv),HOuv))*24,4)))/HJour,4),""))</f>
        <v>7.3426</v>
      </c>
      <c r="AX45" s="37" t="n">
        <f aca="false">IF(AO45&lt;&gt;1,"",IFERROR(ROUND(IF(OR(P45="",S45=""),"",IF(S45&lt;P45,"",ROUND(((NETWORKDAYS(P45,S45,JoursFeries)-1)*(HFer-HOuv)+IF(NETWORKDAYS(S45,S45,JoursFeries),MEDIAN(MOD(S45,1),HFer,HOuv),HFer)-IF(NETWORKDAYS(P45,P45,JoursFeries),MEDIAN(MOD(P45,1),HFer,HOuv),HOuv))*24,4)))/HJour,4),""))</f>
        <v>28.3519</v>
      </c>
      <c r="AY45" s="36" t="n">
        <f aca="false">IF(OR(AO45&lt;&gt;1,AR45=""),"",INDEX(SLA_PEC,AR45))</f>
        <v>9</v>
      </c>
      <c r="AZ45" s="35" t="n">
        <f aca="false">IF(OR(AV45="",AY45=""),"",IF(AV45&lt;=AY45,1,0))</f>
        <v>1</v>
      </c>
      <c r="BA45" s="36" t="n">
        <f aca="false">IF(OR(AO45&lt;&gt;1,AR45=""),"",INDEX(SLA_RES,AR45))</f>
        <v>10</v>
      </c>
      <c r="BB45" s="35" t="n">
        <f aca="false">IF(OR(AW45="",BA45=""),"",IF(AW45&lt;=BA45,1,0))</f>
        <v>1</v>
      </c>
      <c r="BC45" s="38" t="n">
        <f aca="false">IF(OR(BA45="",P45=""),"",WORKDAY(INT(P45),BA45,JoursFeries)+MOD(P45,1))</f>
        <v>46099.5486111111</v>
      </c>
      <c r="BD45" s="39" t="n">
        <f aca="false">IF(AO45&lt;&gt;1,"",IF(OR(AB45&lt;&gt;"",AD45&lt;&gt;""),4,IF(U45&lt;&gt;"",3,IF(T45&lt;&gt;"",2,1))))</f>
        <v>1</v>
      </c>
      <c r="BE45" s="39" t="n">
        <f aca="false">IF(OR(AO45&lt;&gt;1,AR45=""),"",INDEX(NIV_REQ,AR45))</f>
        <v>1</v>
      </c>
      <c r="BF45" s="39" t="n">
        <f aca="false">IF(BE45="","",MAX(BE45,IF(OR(K45="Oui",Z45="Oui"),4,1)))</f>
        <v>1</v>
      </c>
      <c r="BG45" s="35" t="n">
        <f aca="false">IF(OR(BF45="",BD45=""),"",IF(BD45&gt;=BF45,1,0))</f>
        <v>1</v>
      </c>
      <c r="BH45" s="38" t="str">
        <f aca="false">IF(BE45="","",IF(BE45&lt;2,"",IF(BE45=2,IF(AND(T45="",U45=""),"",MIN(T45,U45)),IF(U45="","",U45))))</f>
        <v/>
      </c>
      <c r="BI45" s="37" t="str">
        <f aca="false">IF(BH45="","",IF(OR(O45="",BH45=""),"",IF(BH45&lt;O45,"",ROUND(((NETWORKDAYS(O45,BH45,JoursFeries)-1)*(HFer-HOuv)+IF(NETWORKDAYS(BH45,BH45,JoursFeries),MEDIAN(MOD(BH45,1),HFer,HOuv),HFer)-IF(NETWORKDAYS(O45,O45,JoursFeries),MEDIAN(MOD(O45,1),HFer,HOuv),HOuv))*24,4))))</f>
        <v/>
      </c>
      <c r="BJ45" s="35" t="str">
        <f aca="false">IF(OR(BI45="",AR45=""),"",IF(BI45&lt;=INDEX(DELAI_ESC,AR45),1,0))</f>
        <v/>
      </c>
      <c r="BK45" s="38" t="str">
        <f aca="false">IF(AO45&lt;&gt;1,"",IF(AND(T45="",U45=""),"",MIN(T45,U45)))</f>
        <v/>
      </c>
      <c r="BL45" s="37" t="str">
        <f aca="false">IF(OR(BK45="",R45=""),"",IFERROR(ROUND(IF(OR(BK45="",R45=""),"",IF(R45&lt;BK45,"",ROUND(((NETWORKDAYS(BK45,R45,JoursFeries)-1)*(HFer-HOuv)+IF(NETWORKDAYS(R45,R45,JoursFeries),MEDIAN(MOD(R45,1),HFer,HOuv),HFer)-IF(NETWORKDAYS(BK45,BK45,JoursFeries),MEDIAN(MOD(BK45,1),HFer,HOuv),HOuv))*24,4)))/HJour,4),""))</f>
        <v/>
      </c>
      <c r="BM45" s="35" t="n">
        <f aca="false">IF(OR(AO45&lt;&gt;1,R45=""),"",IF(BD45=1,1,0))</f>
        <v>1</v>
      </c>
      <c r="BN45" s="35" t="n">
        <f aca="false">IF(AO45&lt;&gt;1,"",IF(W45="Oui",1,0))</f>
        <v>1</v>
      </c>
      <c r="BO45" s="35" t="n">
        <f aca="false">IF(AO45&lt;&gt;1,"",IF(X45&lt;&gt;"",1,0))</f>
        <v>0</v>
      </c>
      <c r="BP45" s="35" t="n">
        <f aca="false">IF(AO45&lt;&gt;1,"",IF(Y45="Oui",1,0))</f>
        <v>1</v>
      </c>
      <c r="BQ45" s="35" t="str">
        <f aca="true">IF(OR(AO45&lt;&gt;1,Z45&lt;&gt;"Oui"),"",IF(AB45="",IF(AND(AA45&lt;&gt;"",NOW()&gt;AA45),0,""),IF(AA45="","",IF(AB45&lt;=AA45,1,0))))</f>
        <v/>
      </c>
      <c r="BR45" s="38" t="str">
        <f aca="false">IF(OR(AO45&lt;&gt;1,K45&lt;&gt;"Oui",O45=""),"",IF(AC45="",O45+DORA_H_DET/24,IF(AC45-O45&lt;=DORA_H_DET/24,MIN(AC45+DORA_H_CLA/24,O45+DORA_H_DET/24),AC45+DORA_H_CLA/24)))</f>
        <v/>
      </c>
      <c r="BS45" s="35" t="str">
        <f aca="true">IF(BR45="","",IF(AD45="",IF(NOW()&gt;BR45,0,""),IF(AD45&lt;=BR45,1,0)))</f>
        <v/>
      </c>
      <c r="BT45" s="35" t="str">
        <f aca="true">IF(OR(BR45="",AD45=""),"",IF(AE45="",IF(NOW()&gt;AD45+DORA_H_INT/24,0,""),IF(AE45&lt;=AD45+DORA_H_INT/24,1,0)))</f>
        <v/>
      </c>
      <c r="BU45" s="35" t="str">
        <f aca="true">IF(OR(BR45="",AE45=""),"",IF(AF45="",IF(NOW()&gt;EDATE(AE45,DORA_M_FIN)+1,0,""),IF(AF45&lt;=EDATE(AE45,DORA_M_FIN),1,0)))</f>
        <v/>
      </c>
      <c r="BV45" s="35" t="str">
        <f aca="false">IF(BR45="","",IF(COUNT(BS45:BU45)=0,"",MIN(BS45:BU45)))</f>
        <v/>
      </c>
      <c r="BW45" s="40" t="str">
        <f aca="false">IF(AQ45&lt;&gt;1,"",IF(AND(AG45="",AH45=""),"",N(AG45)-N(AH45)))</f>
        <v/>
      </c>
      <c r="BX45" s="35" t="str">
        <f aca="true">IF(OR(AQ45&lt;&gt;1,AI45&lt;&gt;"Oui",AJ45=""),"",IF(AK45="",IF(NOW()&gt;AJ45+1,0,""),IF(AK45&lt;=AJ45,1,0)))</f>
        <v/>
      </c>
    </row>
    <row r="46" customFormat="false" ht="15" hidden="false" customHeight="false" outlineLevel="0" collapsed="false">
      <c r="B46" s="29" t="s">
        <v>264</v>
      </c>
      <c r="C46" s="29" t="s">
        <v>178</v>
      </c>
      <c r="D46" s="29" t="s">
        <v>198</v>
      </c>
      <c r="E46" s="29" t="s">
        <v>203</v>
      </c>
      <c r="F46" s="29" t="s">
        <v>204</v>
      </c>
      <c r="G46" s="29" t="s">
        <v>185</v>
      </c>
      <c r="H46" s="29" t="s">
        <v>182</v>
      </c>
      <c r="I46" s="29" t="s">
        <v>228</v>
      </c>
      <c r="J46" s="29" t="s">
        <v>167</v>
      </c>
      <c r="K46" s="29" t="s">
        <v>168</v>
      </c>
      <c r="L46" s="29" t="s">
        <v>169</v>
      </c>
      <c r="M46" s="29" t="s">
        <v>182</v>
      </c>
      <c r="N46" s="30" t="n">
        <v>46083.5833333333</v>
      </c>
      <c r="O46" s="30" t="n">
        <v>46085.5833333333</v>
      </c>
      <c r="P46" s="30" t="n">
        <v>46085.5972222222</v>
      </c>
      <c r="Q46" s="30" t="n">
        <v>46085.6493055556</v>
      </c>
      <c r="R46" s="30" t="n">
        <v>46091.5347222222</v>
      </c>
      <c r="S46" s="30" t="n">
        <v>46122.7465277778</v>
      </c>
      <c r="T46" s="30"/>
      <c r="U46" s="30"/>
      <c r="V46" s="31" t="n">
        <v>1</v>
      </c>
      <c r="W46" s="29" t="s">
        <v>168</v>
      </c>
      <c r="X46" s="29"/>
      <c r="Y46" s="29" t="s">
        <v>168</v>
      </c>
      <c r="Z46" s="29" t="s">
        <v>168</v>
      </c>
      <c r="AA46" s="30"/>
      <c r="AB46" s="30"/>
      <c r="AC46" s="30"/>
      <c r="AD46" s="30"/>
      <c r="AE46" s="30"/>
      <c r="AF46" s="32"/>
      <c r="AG46" s="33" t="n">
        <v>27000</v>
      </c>
      <c r="AH46" s="33" t="n">
        <v>0</v>
      </c>
      <c r="AI46" s="29" t="s">
        <v>189</v>
      </c>
      <c r="AJ46" s="32" t="n">
        <v>46131</v>
      </c>
      <c r="AK46" s="32" t="n">
        <v>46125</v>
      </c>
      <c r="AL46" s="29"/>
      <c r="AN46" s="34" t="str">
        <f aca="false">IF($B46="","",IF(OR(C46="",D46="",E46="",G46="",I46="",J46="",L46="",O46="",P46=""),"Champ obligatoire manquant",IF(OR(AND(N46&lt;&gt;"",N46&gt;O46),O46&gt;P46,AND(Q46&lt;&gt;"",Q46&lt;P46),AND(R46&lt;&gt;"",R46&lt;P46),AND(S46&lt;&gt;"",S46&lt;R46),AND(S46&lt;&gt;"",R46=""),AND(T46&lt;&gt;"",T46&lt;O46),AND(U46&lt;&gt;"",U46&lt;O46)),"Chronologie incohérente",IF(AND(OR(L46="Résolu",L46="Clos"),R46=""),"Date de résolution manquante",IF(AND(L46="Clos",S46=""),"Date de clôture manquante",IF(AND(K46="Oui",AC46=""),"Classification DORA manquante","OK"))))))</f>
        <v>OK</v>
      </c>
      <c r="AO46" s="35" t="n">
        <f aca="false">IF($B46="","",IF(AND(C46="Incident",L46&lt;&gt;"Annulé"),1,0))</f>
        <v>1</v>
      </c>
      <c r="AP46" s="35" t="n">
        <f aca="false">IF($B46="","",IF(AND(C46="Quasi-incident",L46&lt;&gt;"Annulé"),1,0))</f>
        <v>0</v>
      </c>
      <c r="AQ46" s="35" t="n">
        <f aca="false">IF($B46="","",AO46+AP46)</f>
        <v>1</v>
      </c>
      <c r="AR46" s="36" t="n">
        <f aca="false">IF(OR($B46="",J46=""),"",IFERROR(VALUE(LEFT(J46,1)),""))</f>
        <v>3</v>
      </c>
      <c r="AS46" s="35" t="n">
        <f aca="false">IF(OR(AO46&lt;&gt;1,G46=""),"",IFERROR(IF(INDEX(L_SrcInterne,MATCH(G46,L_Sources,0))="Oui",1,0),""))</f>
        <v>1</v>
      </c>
      <c r="AT46" s="37" t="n">
        <f aca="false">IF(AO46&lt;&gt;1,"",IFERROR(ROUND(IF(OR(N46="",O46=""),"",IF(O46&lt;N46,"",ROUND(((NETWORKDAYS(N46,O46,JoursFeries)-1)*(HFer-HOuv)+IF(NETWORKDAYS(O46,O46,JoursFeries),MEDIAN(MOD(O46,1),HFer,HOuv),HFer)-IF(NETWORKDAYS(N46,N46,JoursFeries),MEDIAN(MOD(N46,1),HFer,HOuv),HOuv))*24,4)))/HJour,4),""))</f>
        <v>2</v>
      </c>
      <c r="AU46" s="37" t="n">
        <f aca="false">IF(AO46&lt;&gt;1,"",IF(OR(O46="",P46=""),"",IF(P46&lt;O46,"",ROUND(((NETWORKDAYS(O46,P46,JoursFeries)-1)*(HFer-HOuv)+IF(NETWORKDAYS(P46,P46,JoursFeries),MEDIAN(MOD(P46,1),HFer,HOuv),HFer)-IF(NETWORKDAYS(O46,O46,JoursFeries),MEDIAN(MOD(O46,1),HFer,HOuv),HOuv))*24,4))))</f>
        <v>0.3333</v>
      </c>
      <c r="AV46" s="37" t="n">
        <f aca="false">IF(AO46&lt;&gt;1,"",IF(OR(P46="",Q46=""),"",IF(Q46&lt;P46,"",ROUND(((NETWORKDAYS(P46,Q46,JoursFeries)-1)*(HFer-HOuv)+IF(NETWORKDAYS(Q46,Q46,JoursFeries),MEDIAN(MOD(Q46,1),HFer,HOuv),HFer)-IF(NETWORKDAYS(P46,P46,JoursFeries),MEDIAN(MOD(P46,1),HFer,HOuv),HOuv))*24,4))))</f>
        <v>1.25</v>
      </c>
      <c r="AW46" s="37" t="n">
        <f aca="false">IF(AO46&lt;&gt;1,"",IFERROR(ROUND(IF(OR(P46="",R46=""),"",IF(R46&lt;P46,"",ROUND(((NETWORKDAYS(P46,R46,JoursFeries)-1)*(HFer-HOuv)+IF(NETWORKDAYS(R46,R46,JoursFeries),MEDIAN(MOD(R46,1),HFer,HOuv),HFer)-IF(NETWORKDAYS(P46,P46,JoursFeries),MEDIAN(MOD(P46,1),HFer,HOuv),HOuv))*24,4)))/HJour,4),""))</f>
        <v>3.8333</v>
      </c>
      <c r="AX46" s="37" t="n">
        <f aca="false">IF(AO46&lt;&gt;1,"",IFERROR(ROUND(IF(OR(P46="",S46=""),"",IF(S46&lt;P46,"",ROUND(((NETWORKDAYS(P46,S46,JoursFeries)-1)*(HFer-HOuv)+IF(NETWORKDAYS(S46,S46,JoursFeries),MEDIAN(MOD(S46,1),HFer,HOuv),HFer)-IF(NETWORKDAYS(P46,P46,JoursFeries),MEDIAN(MOD(P46,1),HFer,HOuv),HOuv))*24,4)))/HJour,4),""))</f>
        <v>26.3981</v>
      </c>
      <c r="AY46" s="36" t="n">
        <f aca="false">IF(OR(AO46&lt;&gt;1,AR46=""),"",INDEX(SLA_PEC,AR46))</f>
        <v>9</v>
      </c>
      <c r="AZ46" s="35" t="n">
        <f aca="false">IF(OR(AV46="",AY46=""),"",IF(AV46&lt;=AY46,1,0))</f>
        <v>1</v>
      </c>
      <c r="BA46" s="36" t="n">
        <f aca="false">IF(OR(AO46&lt;&gt;1,AR46=""),"",INDEX(SLA_RES,AR46))</f>
        <v>10</v>
      </c>
      <c r="BB46" s="35" t="n">
        <f aca="false">IF(OR(AW46="",BA46=""),"",IF(AW46&lt;=BA46,1,0))</f>
        <v>1</v>
      </c>
      <c r="BC46" s="38" t="n">
        <f aca="false">IF(OR(BA46="",P46=""),"",WORKDAY(INT(P46),BA46,JoursFeries)+MOD(P46,1))</f>
        <v>46099.5972222222</v>
      </c>
      <c r="BD46" s="39" t="n">
        <f aca="false">IF(AO46&lt;&gt;1,"",IF(OR(AB46&lt;&gt;"",AD46&lt;&gt;""),4,IF(U46&lt;&gt;"",3,IF(T46&lt;&gt;"",2,1))))</f>
        <v>1</v>
      </c>
      <c r="BE46" s="39" t="n">
        <f aca="false">IF(OR(AO46&lt;&gt;1,AR46=""),"",INDEX(NIV_REQ,AR46))</f>
        <v>1</v>
      </c>
      <c r="BF46" s="39" t="n">
        <f aca="false">IF(BE46="","",MAX(BE46,IF(OR(K46="Oui",Z46="Oui"),4,1)))</f>
        <v>1</v>
      </c>
      <c r="BG46" s="35" t="n">
        <f aca="false">IF(OR(BF46="",BD46=""),"",IF(BD46&gt;=BF46,1,0))</f>
        <v>1</v>
      </c>
      <c r="BH46" s="38" t="str">
        <f aca="false">IF(BE46="","",IF(BE46&lt;2,"",IF(BE46=2,IF(AND(T46="",U46=""),"",MIN(T46,U46)),IF(U46="","",U46))))</f>
        <v/>
      </c>
      <c r="BI46" s="37" t="str">
        <f aca="false">IF(BH46="","",IF(OR(O46="",BH46=""),"",IF(BH46&lt;O46,"",ROUND(((NETWORKDAYS(O46,BH46,JoursFeries)-1)*(HFer-HOuv)+IF(NETWORKDAYS(BH46,BH46,JoursFeries),MEDIAN(MOD(BH46,1),HFer,HOuv),HFer)-IF(NETWORKDAYS(O46,O46,JoursFeries),MEDIAN(MOD(O46,1),HFer,HOuv),HOuv))*24,4))))</f>
        <v/>
      </c>
      <c r="BJ46" s="35" t="str">
        <f aca="false">IF(OR(BI46="",AR46=""),"",IF(BI46&lt;=INDEX(DELAI_ESC,AR46),1,0))</f>
        <v/>
      </c>
      <c r="BK46" s="38" t="str">
        <f aca="false">IF(AO46&lt;&gt;1,"",IF(AND(T46="",U46=""),"",MIN(T46,U46)))</f>
        <v/>
      </c>
      <c r="BL46" s="37" t="str">
        <f aca="false">IF(OR(BK46="",R46=""),"",IFERROR(ROUND(IF(OR(BK46="",R46=""),"",IF(R46&lt;BK46,"",ROUND(((NETWORKDAYS(BK46,R46,JoursFeries)-1)*(HFer-HOuv)+IF(NETWORKDAYS(R46,R46,JoursFeries),MEDIAN(MOD(R46,1),HFer,HOuv),HFer)-IF(NETWORKDAYS(BK46,BK46,JoursFeries),MEDIAN(MOD(BK46,1),HFer,HOuv),HOuv))*24,4)))/HJour,4),""))</f>
        <v/>
      </c>
      <c r="BM46" s="35" t="n">
        <f aca="false">IF(OR(AO46&lt;&gt;1,R46=""),"",IF(BD46=1,1,0))</f>
        <v>1</v>
      </c>
      <c r="BN46" s="35" t="n">
        <f aca="false">IF(AO46&lt;&gt;1,"",IF(W46="Oui",1,0))</f>
        <v>0</v>
      </c>
      <c r="BO46" s="35" t="n">
        <f aca="false">IF(AO46&lt;&gt;1,"",IF(X46&lt;&gt;"",1,0))</f>
        <v>0</v>
      </c>
      <c r="BP46" s="35" t="n">
        <f aca="false">IF(AO46&lt;&gt;1,"",IF(Y46="Oui",1,0))</f>
        <v>0</v>
      </c>
      <c r="BQ46" s="35" t="str">
        <f aca="true">IF(OR(AO46&lt;&gt;1,Z46&lt;&gt;"Oui"),"",IF(AB46="",IF(AND(AA46&lt;&gt;"",NOW()&gt;AA46),0,""),IF(AA46="","",IF(AB46&lt;=AA46,1,0))))</f>
        <v/>
      </c>
      <c r="BR46" s="38" t="str">
        <f aca="false">IF(OR(AO46&lt;&gt;1,K46&lt;&gt;"Oui",O46=""),"",IF(AC46="",O46+DORA_H_DET/24,IF(AC46-O46&lt;=DORA_H_DET/24,MIN(AC46+DORA_H_CLA/24,O46+DORA_H_DET/24),AC46+DORA_H_CLA/24)))</f>
        <v/>
      </c>
      <c r="BS46" s="35" t="str">
        <f aca="true">IF(BR46="","",IF(AD46="",IF(NOW()&gt;BR46,0,""),IF(AD46&lt;=BR46,1,0)))</f>
        <v/>
      </c>
      <c r="BT46" s="35" t="str">
        <f aca="true">IF(OR(BR46="",AD46=""),"",IF(AE46="",IF(NOW()&gt;AD46+DORA_H_INT/24,0,""),IF(AE46&lt;=AD46+DORA_H_INT/24,1,0)))</f>
        <v/>
      </c>
      <c r="BU46" s="35" t="str">
        <f aca="true">IF(OR(BR46="",AE46=""),"",IF(AF46="",IF(NOW()&gt;EDATE(AE46,DORA_M_FIN)+1,0,""),IF(AF46&lt;=EDATE(AE46,DORA_M_FIN),1,0)))</f>
        <v/>
      </c>
      <c r="BV46" s="35" t="str">
        <f aca="false">IF(BR46="","",IF(COUNT(BS46:BU46)=0,"",MIN(BS46:BU46)))</f>
        <v/>
      </c>
      <c r="BW46" s="40" t="n">
        <f aca="false">IF(AQ46&lt;&gt;1,"",IF(AND(AG46="",AH46=""),"",N(AG46)-N(AH46)))</f>
        <v>27000</v>
      </c>
      <c r="BX46" s="35" t="n">
        <f aca="true">IF(OR(AQ46&lt;&gt;1,AI46&lt;&gt;"Oui",AJ46=""),"",IF(AK46="",IF(NOW()&gt;AJ46+1,0,""),IF(AK46&lt;=AJ46,1,0)))</f>
        <v>1</v>
      </c>
    </row>
    <row r="47" customFormat="false" ht="15" hidden="false" customHeight="false" outlineLevel="0" collapsed="false">
      <c r="B47" s="29" t="s">
        <v>265</v>
      </c>
      <c r="C47" s="29" t="s">
        <v>160</v>
      </c>
      <c r="D47" s="29" t="s">
        <v>184</v>
      </c>
      <c r="E47" s="29" t="s">
        <v>231</v>
      </c>
      <c r="F47" s="29" t="s">
        <v>163</v>
      </c>
      <c r="G47" s="29" t="s">
        <v>173</v>
      </c>
      <c r="H47" s="29" t="s">
        <v>165</v>
      </c>
      <c r="I47" s="29" t="s">
        <v>260</v>
      </c>
      <c r="J47" s="29" t="s">
        <v>167</v>
      </c>
      <c r="K47" s="29" t="s">
        <v>168</v>
      </c>
      <c r="L47" s="29" t="s">
        <v>169</v>
      </c>
      <c r="M47" s="29" t="s">
        <v>182</v>
      </c>
      <c r="N47" s="30" t="n">
        <v>46089.6909722222</v>
      </c>
      <c r="O47" s="30" t="n">
        <v>46092.6909722222</v>
      </c>
      <c r="P47" s="30" t="n">
        <v>46092.7118055556</v>
      </c>
      <c r="Q47" s="30" t="n">
        <v>46093.6111111111</v>
      </c>
      <c r="R47" s="30" t="n">
        <v>46100.3993055556</v>
      </c>
      <c r="S47" s="30" t="n">
        <v>46108.7048611111</v>
      </c>
      <c r="T47" s="30"/>
      <c r="U47" s="30"/>
      <c r="V47" s="31" t="n">
        <v>0</v>
      </c>
      <c r="W47" s="29" t="s">
        <v>168</v>
      </c>
      <c r="X47" s="29"/>
      <c r="Y47" s="29" t="s">
        <v>168</v>
      </c>
      <c r="Z47" s="29" t="s">
        <v>168</v>
      </c>
      <c r="AA47" s="30"/>
      <c r="AB47" s="30"/>
      <c r="AC47" s="30"/>
      <c r="AD47" s="30"/>
      <c r="AE47" s="30"/>
      <c r="AF47" s="32"/>
      <c r="AG47" s="33"/>
      <c r="AH47" s="33"/>
      <c r="AI47" s="29" t="s">
        <v>168</v>
      </c>
      <c r="AJ47" s="32"/>
      <c r="AK47" s="32"/>
      <c r="AL47" s="29"/>
      <c r="AN47" s="34" t="str">
        <f aca="false">IF($B47="","",IF(OR(C47="",D47="",E47="",G47="",I47="",J47="",L47="",O47="",P47=""),"Champ obligatoire manquant",IF(OR(AND(N47&lt;&gt;"",N47&gt;O47),O47&gt;P47,AND(Q47&lt;&gt;"",Q47&lt;P47),AND(R47&lt;&gt;"",R47&lt;P47),AND(S47&lt;&gt;"",S47&lt;R47),AND(S47&lt;&gt;"",R47=""),AND(T47&lt;&gt;"",T47&lt;O47),AND(U47&lt;&gt;"",U47&lt;O47)),"Chronologie incohérente",IF(AND(OR(L47="Résolu",L47="Clos"),R47=""),"Date de résolution manquante",IF(AND(L47="Clos",S47=""),"Date de clôture manquante",IF(AND(K47="Oui",AC47=""),"Classification DORA manquante","OK"))))))</f>
        <v>OK</v>
      </c>
      <c r="AO47" s="35" t="n">
        <f aca="false">IF($B47="","",IF(AND(C47="Incident",L47&lt;&gt;"Annulé"),1,0))</f>
        <v>0</v>
      </c>
      <c r="AP47" s="35" t="n">
        <f aca="false">IF($B47="","",IF(AND(C47="Quasi-incident",L47&lt;&gt;"Annulé"),1,0))</f>
        <v>1</v>
      </c>
      <c r="AQ47" s="35" t="n">
        <f aca="false">IF($B47="","",AO47+AP47)</f>
        <v>1</v>
      </c>
      <c r="AR47" s="36" t="n">
        <f aca="false">IF(OR($B47="",J47=""),"",IFERROR(VALUE(LEFT(J47,1)),""))</f>
        <v>3</v>
      </c>
      <c r="AS47" s="35" t="str">
        <f aca="false">IF(OR(AO47&lt;&gt;1,G47=""),"",IFERROR(IF(INDEX(L_SrcInterne,MATCH(G47,L_Sources,0))="Oui",1,0),""))</f>
        <v/>
      </c>
      <c r="AT47" s="37" t="str">
        <f aca="false">IF(AO47&lt;&gt;1,"",IFERROR(ROUND(IF(OR(N47="",O47=""),"",IF(O47&lt;N47,"",ROUND(((NETWORKDAYS(N47,O47,JoursFeries)-1)*(HFer-HOuv)+IF(NETWORKDAYS(O47,O47,JoursFeries),MEDIAN(MOD(O47,1),HFer,HOuv),HFer)-IF(NETWORKDAYS(N47,N47,JoursFeries),MEDIAN(MOD(N47,1),HFer,HOuv),HOuv))*24,4)))/HJour,4),""))</f>
        <v/>
      </c>
      <c r="AU47" s="37" t="str">
        <f aca="false">IF(AO47&lt;&gt;1,"",IF(OR(O47="",P47=""),"",IF(P47&lt;O47,"",ROUND(((NETWORKDAYS(O47,P47,JoursFeries)-1)*(HFer-HOuv)+IF(NETWORKDAYS(P47,P47,JoursFeries),MEDIAN(MOD(P47,1),HFer,HOuv),HFer)-IF(NETWORKDAYS(O47,O47,JoursFeries),MEDIAN(MOD(O47,1),HFer,HOuv),HOuv))*24,4))))</f>
        <v/>
      </c>
      <c r="AV47" s="37" t="str">
        <f aca="false">IF(AO47&lt;&gt;1,"",IF(OR(P47="",Q47=""),"",IF(Q47&lt;P47,"",ROUND(((NETWORKDAYS(P47,Q47,JoursFeries)-1)*(HFer-HOuv)+IF(NETWORKDAYS(Q47,Q47,JoursFeries),MEDIAN(MOD(Q47,1),HFer,HOuv),HFer)-IF(NETWORKDAYS(P47,P47,JoursFeries),MEDIAN(MOD(P47,1),HFer,HOuv),HOuv))*24,4))))</f>
        <v/>
      </c>
      <c r="AW47" s="37" t="str">
        <f aca="false">IF(AO47&lt;&gt;1,"",IFERROR(ROUND(IF(OR(P47="",R47=""),"",IF(R47&lt;P47,"",ROUND(((NETWORKDAYS(P47,R47,JoursFeries)-1)*(HFer-HOuv)+IF(NETWORKDAYS(R47,R47,JoursFeries),MEDIAN(MOD(R47,1),HFer,HOuv),HFer)-IF(NETWORKDAYS(P47,P47,JoursFeries),MEDIAN(MOD(P47,1),HFer,HOuv),HOuv))*24,4)))/HJour,4),""))</f>
        <v/>
      </c>
      <c r="AX47" s="37" t="str">
        <f aca="false">IF(AO47&lt;&gt;1,"",IFERROR(ROUND(IF(OR(P47="",S47=""),"",IF(S47&lt;P47,"",ROUND(((NETWORKDAYS(P47,S47,JoursFeries)-1)*(HFer-HOuv)+IF(NETWORKDAYS(S47,S47,JoursFeries),MEDIAN(MOD(S47,1),HFer,HOuv),HFer)-IF(NETWORKDAYS(P47,P47,JoursFeries),MEDIAN(MOD(P47,1),HFer,HOuv),HOuv))*24,4)))/HJour,4),""))</f>
        <v/>
      </c>
      <c r="AY47" s="36" t="str">
        <f aca="false">IF(OR(AO47&lt;&gt;1,AR47=""),"",INDEX(SLA_PEC,AR47))</f>
        <v/>
      </c>
      <c r="AZ47" s="35" t="str">
        <f aca="false">IF(OR(AV47="",AY47=""),"",IF(AV47&lt;=AY47,1,0))</f>
        <v/>
      </c>
      <c r="BA47" s="36" t="str">
        <f aca="false">IF(OR(AO47&lt;&gt;1,AR47=""),"",INDEX(SLA_RES,AR47))</f>
        <v/>
      </c>
      <c r="BB47" s="35" t="str">
        <f aca="false">IF(OR(AW47="",BA47=""),"",IF(AW47&lt;=BA47,1,0))</f>
        <v/>
      </c>
      <c r="BC47" s="38" t="str">
        <f aca="false">IF(OR(BA47="",P47=""),"",WORKDAY(INT(P47),BA47,JoursFeries)+MOD(P47,1))</f>
        <v/>
      </c>
      <c r="BD47" s="39" t="str">
        <f aca="false">IF(AO47&lt;&gt;1,"",IF(OR(AB47&lt;&gt;"",AD47&lt;&gt;""),4,IF(U47&lt;&gt;"",3,IF(T47&lt;&gt;"",2,1))))</f>
        <v/>
      </c>
      <c r="BE47" s="39" t="str">
        <f aca="false">IF(OR(AO47&lt;&gt;1,AR47=""),"",INDEX(NIV_REQ,AR47))</f>
        <v/>
      </c>
      <c r="BF47" s="39" t="str">
        <f aca="false">IF(BE47="","",MAX(BE47,IF(OR(K47="Oui",Z47="Oui"),4,1)))</f>
        <v/>
      </c>
      <c r="BG47" s="35" t="str">
        <f aca="false">IF(OR(BF47="",BD47=""),"",IF(BD47&gt;=BF47,1,0))</f>
        <v/>
      </c>
      <c r="BH47" s="38" t="str">
        <f aca="false">IF(BE47="","",IF(BE47&lt;2,"",IF(BE47=2,IF(AND(T47="",U47=""),"",MIN(T47,U47)),IF(U47="","",U47))))</f>
        <v/>
      </c>
      <c r="BI47" s="37" t="str">
        <f aca="false">IF(BH47="","",IF(OR(O47="",BH47=""),"",IF(BH47&lt;O47,"",ROUND(((NETWORKDAYS(O47,BH47,JoursFeries)-1)*(HFer-HOuv)+IF(NETWORKDAYS(BH47,BH47,JoursFeries),MEDIAN(MOD(BH47,1),HFer,HOuv),HFer)-IF(NETWORKDAYS(O47,O47,JoursFeries),MEDIAN(MOD(O47,1),HFer,HOuv),HOuv))*24,4))))</f>
        <v/>
      </c>
      <c r="BJ47" s="35" t="str">
        <f aca="false">IF(OR(BI47="",AR47=""),"",IF(BI47&lt;=INDEX(DELAI_ESC,AR47),1,0))</f>
        <v/>
      </c>
      <c r="BK47" s="38" t="str">
        <f aca="false">IF(AO47&lt;&gt;1,"",IF(AND(T47="",U47=""),"",MIN(T47,U47)))</f>
        <v/>
      </c>
      <c r="BL47" s="37" t="str">
        <f aca="false">IF(OR(BK47="",R47=""),"",IFERROR(ROUND(IF(OR(BK47="",R47=""),"",IF(R47&lt;BK47,"",ROUND(((NETWORKDAYS(BK47,R47,JoursFeries)-1)*(HFer-HOuv)+IF(NETWORKDAYS(R47,R47,JoursFeries),MEDIAN(MOD(R47,1),HFer,HOuv),HFer)-IF(NETWORKDAYS(BK47,BK47,JoursFeries),MEDIAN(MOD(BK47,1),HFer,HOuv),HOuv))*24,4)))/HJour,4),""))</f>
        <v/>
      </c>
      <c r="BM47" s="35" t="str">
        <f aca="false">IF(OR(AO47&lt;&gt;1,R47=""),"",IF(BD47=1,1,0))</f>
        <v/>
      </c>
      <c r="BN47" s="35" t="str">
        <f aca="false">IF(AO47&lt;&gt;1,"",IF(W47="Oui",1,0))</f>
        <v/>
      </c>
      <c r="BO47" s="35" t="str">
        <f aca="false">IF(AO47&lt;&gt;1,"",IF(X47&lt;&gt;"",1,0))</f>
        <v/>
      </c>
      <c r="BP47" s="35" t="str">
        <f aca="false">IF(AO47&lt;&gt;1,"",IF(Y47="Oui",1,0))</f>
        <v/>
      </c>
      <c r="BQ47" s="35" t="str">
        <f aca="true">IF(OR(AO47&lt;&gt;1,Z47&lt;&gt;"Oui"),"",IF(AB47="",IF(AND(AA47&lt;&gt;"",NOW()&gt;AA47),0,""),IF(AA47="","",IF(AB47&lt;=AA47,1,0))))</f>
        <v/>
      </c>
      <c r="BR47" s="38" t="str">
        <f aca="false">IF(OR(AO47&lt;&gt;1,K47&lt;&gt;"Oui",O47=""),"",IF(AC47="",O47+DORA_H_DET/24,IF(AC47-O47&lt;=DORA_H_DET/24,MIN(AC47+DORA_H_CLA/24,O47+DORA_H_DET/24),AC47+DORA_H_CLA/24)))</f>
        <v/>
      </c>
      <c r="BS47" s="35" t="str">
        <f aca="true">IF(BR47="","",IF(AD47="",IF(NOW()&gt;BR47,0,""),IF(AD47&lt;=BR47,1,0)))</f>
        <v/>
      </c>
      <c r="BT47" s="35" t="str">
        <f aca="true">IF(OR(BR47="",AD47=""),"",IF(AE47="",IF(NOW()&gt;AD47+DORA_H_INT/24,0,""),IF(AE47&lt;=AD47+DORA_H_INT/24,1,0)))</f>
        <v/>
      </c>
      <c r="BU47" s="35" t="str">
        <f aca="true">IF(OR(BR47="",AE47=""),"",IF(AF47="",IF(NOW()&gt;EDATE(AE47,DORA_M_FIN)+1,0,""),IF(AF47&lt;=EDATE(AE47,DORA_M_FIN),1,0)))</f>
        <v/>
      </c>
      <c r="BV47" s="35" t="str">
        <f aca="false">IF(BR47="","",IF(COUNT(BS47:BU47)=0,"",MIN(BS47:BU47)))</f>
        <v/>
      </c>
      <c r="BW47" s="40" t="str">
        <f aca="false">IF(AQ47&lt;&gt;1,"",IF(AND(AG47="",AH47=""),"",N(AG47)-N(AH47)))</f>
        <v/>
      </c>
      <c r="BX47" s="35" t="str">
        <f aca="true">IF(OR(AQ47&lt;&gt;1,AI47&lt;&gt;"Oui",AJ47=""),"",IF(AK47="",IF(NOW()&gt;AJ47+1,0,""),IF(AK47&lt;=AJ47,1,0)))</f>
        <v/>
      </c>
    </row>
    <row r="48" customFormat="false" ht="15" hidden="false" customHeight="false" outlineLevel="0" collapsed="false">
      <c r="B48" s="29" t="s">
        <v>266</v>
      </c>
      <c r="C48" s="29" t="s">
        <v>178</v>
      </c>
      <c r="D48" s="29" t="s">
        <v>191</v>
      </c>
      <c r="E48" s="29" t="s">
        <v>162</v>
      </c>
      <c r="F48" s="29" t="s">
        <v>172</v>
      </c>
      <c r="G48" s="29" t="s">
        <v>180</v>
      </c>
      <c r="H48" s="29" t="s">
        <v>165</v>
      </c>
      <c r="I48" s="29" t="s">
        <v>166</v>
      </c>
      <c r="J48" s="29" t="s">
        <v>167</v>
      </c>
      <c r="K48" s="29" t="s">
        <v>168</v>
      </c>
      <c r="L48" s="29" t="s">
        <v>169</v>
      </c>
      <c r="M48" s="29" t="s">
        <v>176</v>
      </c>
      <c r="N48" s="30" t="n">
        <v>46096.5972222222</v>
      </c>
      <c r="O48" s="30" t="n">
        <v>46097.5972222222</v>
      </c>
      <c r="P48" s="30" t="n">
        <v>46097.6805555556</v>
      </c>
      <c r="Q48" s="30" t="n">
        <v>46098.5</v>
      </c>
      <c r="R48" s="30" t="n">
        <v>46104.7222222222</v>
      </c>
      <c r="S48" s="30" t="n">
        <v>46133.4444444445</v>
      </c>
      <c r="T48" s="30"/>
      <c r="U48" s="30"/>
      <c r="V48" s="31" t="n">
        <v>2</v>
      </c>
      <c r="W48" s="29" t="s">
        <v>168</v>
      </c>
      <c r="X48" s="29"/>
      <c r="Y48" s="29" t="s">
        <v>168</v>
      </c>
      <c r="Z48" s="29" t="s">
        <v>168</v>
      </c>
      <c r="AA48" s="30"/>
      <c r="AB48" s="30"/>
      <c r="AC48" s="30"/>
      <c r="AD48" s="30"/>
      <c r="AE48" s="30"/>
      <c r="AF48" s="32"/>
      <c r="AG48" s="33"/>
      <c r="AH48" s="33"/>
      <c r="AI48" s="29" t="s">
        <v>168</v>
      </c>
      <c r="AJ48" s="32"/>
      <c r="AK48" s="32"/>
      <c r="AL48" s="29"/>
      <c r="AN48" s="34" t="str">
        <f aca="false">IF($B48="","",IF(OR(C48="",D48="",E48="",G48="",I48="",J48="",L48="",O48="",P48=""),"Champ obligatoire manquant",IF(OR(AND(N48&lt;&gt;"",N48&gt;O48),O48&gt;P48,AND(Q48&lt;&gt;"",Q48&lt;P48),AND(R48&lt;&gt;"",R48&lt;P48),AND(S48&lt;&gt;"",S48&lt;R48),AND(S48&lt;&gt;"",R48=""),AND(T48&lt;&gt;"",T48&lt;O48),AND(U48&lt;&gt;"",U48&lt;O48)),"Chronologie incohérente",IF(AND(OR(L48="Résolu",L48="Clos"),R48=""),"Date de résolution manquante",IF(AND(L48="Clos",S48=""),"Date de clôture manquante",IF(AND(K48="Oui",AC48=""),"Classification DORA manquante","OK"))))))</f>
        <v>OK</v>
      </c>
      <c r="AO48" s="35" t="n">
        <f aca="false">IF($B48="","",IF(AND(C48="Incident",L48&lt;&gt;"Annulé"),1,0))</f>
        <v>1</v>
      </c>
      <c r="AP48" s="35" t="n">
        <f aca="false">IF($B48="","",IF(AND(C48="Quasi-incident",L48&lt;&gt;"Annulé"),1,0))</f>
        <v>0</v>
      </c>
      <c r="AQ48" s="35" t="n">
        <f aca="false">IF($B48="","",AO48+AP48)</f>
        <v>1</v>
      </c>
      <c r="AR48" s="36" t="n">
        <f aca="false">IF(OR($B48="",J48=""),"",IFERROR(VALUE(LEFT(J48,1)),""))</f>
        <v>3</v>
      </c>
      <c r="AS48" s="35" t="n">
        <f aca="false">IF(OR(AO48&lt;&gt;1,G48=""),"",IFERROR(IF(INDEX(L_SrcInterne,MATCH(G48,L_Sources,0))="Oui",1,0),""))</f>
        <v>1</v>
      </c>
      <c r="AT48" s="37" t="n">
        <f aca="false">IF(AO48&lt;&gt;1,"",IFERROR(ROUND(IF(OR(N48="",O48=""),"",IF(O48&lt;N48,"",ROUND(((NETWORKDAYS(N48,O48,JoursFeries)-1)*(HFer-HOuv)+IF(NETWORKDAYS(O48,O48,JoursFeries),MEDIAN(MOD(O48,1),HFer,HOuv),HFer)-IF(NETWORKDAYS(N48,N48,JoursFeries),MEDIAN(MOD(N48,1),HFer,HOuv),HOuv))*24,4)))/HJour,4),""))</f>
        <v>0.5926</v>
      </c>
      <c r="AU48" s="37" t="n">
        <f aca="false">IF(AO48&lt;&gt;1,"",IF(OR(O48="",P48=""),"",IF(P48&lt;O48,"",ROUND(((NETWORKDAYS(O48,P48,JoursFeries)-1)*(HFer-HOuv)+IF(NETWORKDAYS(P48,P48,JoursFeries),MEDIAN(MOD(P48,1),HFer,HOuv),HFer)-IF(NETWORKDAYS(O48,O48,JoursFeries),MEDIAN(MOD(O48,1),HFer,HOuv),HOuv))*24,4))))</f>
        <v>2</v>
      </c>
      <c r="AV48" s="37" t="n">
        <f aca="false">IF(AO48&lt;&gt;1,"",IF(OR(P48="",Q48=""),"",IF(Q48&lt;P48,"",ROUND(((NETWORKDAYS(P48,Q48,JoursFeries)-1)*(HFer-HOuv)+IF(NETWORKDAYS(Q48,Q48,JoursFeries),MEDIAN(MOD(Q48,1),HFer,HOuv),HFer)-IF(NETWORKDAYS(P48,P48,JoursFeries),MEDIAN(MOD(P48,1),HFer,HOuv),HOuv))*24,4))))</f>
        <v>4.6667</v>
      </c>
      <c r="AW48" s="37" t="n">
        <f aca="false">IF(AO48&lt;&gt;1,"",IFERROR(ROUND(IF(OR(P48="",R48=""),"",IF(R48&lt;P48,"",ROUND(((NETWORKDAYS(P48,R48,JoursFeries)-1)*(HFer-HOuv)+IF(NETWORKDAYS(R48,R48,JoursFeries),MEDIAN(MOD(R48,1),HFer,HOuv),HFer)-IF(NETWORKDAYS(P48,P48,JoursFeries),MEDIAN(MOD(P48,1),HFer,HOuv),HOuv))*24,4)))/HJour,4),""))</f>
        <v>5.1111</v>
      </c>
      <c r="AX48" s="37" t="n">
        <f aca="false">IF(AO48&lt;&gt;1,"",IFERROR(ROUND(IF(OR(P48="",S48=""),"",IF(S48&lt;P48,"",ROUND(((NETWORKDAYS(P48,S48,JoursFeries)-1)*(HFer-HOuv)+IF(NETWORKDAYS(S48,S48,JoursFeries),MEDIAN(MOD(S48,1),HFer,HOuv),HFer)-IF(NETWORKDAYS(P48,P48,JoursFeries),MEDIAN(MOD(P48,1),HFer,HOuv),HOuv))*24,4)))/HJour,4),""))</f>
        <v>24.3704</v>
      </c>
      <c r="AY48" s="36" t="n">
        <f aca="false">IF(OR(AO48&lt;&gt;1,AR48=""),"",INDEX(SLA_PEC,AR48))</f>
        <v>9</v>
      </c>
      <c r="AZ48" s="35" t="n">
        <f aca="false">IF(OR(AV48="",AY48=""),"",IF(AV48&lt;=AY48,1,0))</f>
        <v>1</v>
      </c>
      <c r="BA48" s="36" t="n">
        <f aca="false">IF(OR(AO48&lt;&gt;1,AR48=""),"",INDEX(SLA_RES,AR48))</f>
        <v>10</v>
      </c>
      <c r="BB48" s="35" t="n">
        <f aca="false">IF(OR(AW48="",BA48=""),"",IF(AW48&lt;=BA48,1,0))</f>
        <v>1</v>
      </c>
      <c r="BC48" s="38" t="n">
        <f aca="false">IF(OR(BA48="",P48=""),"",WORKDAY(INT(P48),BA48,JoursFeries)+MOD(P48,1))</f>
        <v>46111.6805555556</v>
      </c>
      <c r="BD48" s="39" t="n">
        <f aca="false">IF(AO48&lt;&gt;1,"",IF(OR(AB48&lt;&gt;"",AD48&lt;&gt;""),4,IF(U48&lt;&gt;"",3,IF(T48&lt;&gt;"",2,1))))</f>
        <v>1</v>
      </c>
      <c r="BE48" s="39" t="n">
        <f aca="false">IF(OR(AO48&lt;&gt;1,AR48=""),"",INDEX(NIV_REQ,AR48))</f>
        <v>1</v>
      </c>
      <c r="BF48" s="39" t="n">
        <f aca="false">IF(BE48="","",MAX(BE48,IF(OR(K48="Oui",Z48="Oui"),4,1)))</f>
        <v>1</v>
      </c>
      <c r="BG48" s="35" t="n">
        <f aca="false">IF(OR(BF48="",BD48=""),"",IF(BD48&gt;=BF48,1,0))</f>
        <v>1</v>
      </c>
      <c r="BH48" s="38" t="str">
        <f aca="false">IF(BE48="","",IF(BE48&lt;2,"",IF(BE48=2,IF(AND(T48="",U48=""),"",MIN(T48,U48)),IF(U48="","",U48))))</f>
        <v/>
      </c>
      <c r="BI48" s="37" t="str">
        <f aca="false">IF(BH48="","",IF(OR(O48="",BH48=""),"",IF(BH48&lt;O48,"",ROUND(((NETWORKDAYS(O48,BH48,JoursFeries)-1)*(HFer-HOuv)+IF(NETWORKDAYS(BH48,BH48,JoursFeries),MEDIAN(MOD(BH48,1),HFer,HOuv),HFer)-IF(NETWORKDAYS(O48,O48,JoursFeries),MEDIAN(MOD(O48,1),HFer,HOuv),HOuv))*24,4))))</f>
        <v/>
      </c>
      <c r="BJ48" s="35" t="str">
        <f aca="false">IF(OR(BI48="",AR48=""),"",IF(BI48&lt;=INDEX(DELAI_ESC,AR48),1,0))</f>
        <v/>
      </c>
      <c r="BK48" s="38" t="str">
        <f aca="false">IF(AO48&lt;&gt;1,"",IF(AND(T48="",U48=""),"",MIN(T48,U48)))</f>
        <v/>
      </c>
      <c r="BL48" s="37" t="str">
        <f aca="false">IF(OR(BK48="",R48=""),"",IFERROR(ROUND(IF(OR(BK48="",R48=""),"",IF(R48&lt;BK48,"",ROUND(((NETWORKDAYS(BK48,R48,JoursFeries)-1)*(HFer-HOuv)+IF(NETWORKDAYS(R48,R48,JoursFeries),MEDIAN(MOD(R48,1),HFer,HOuv),HFer)-IF(NETWORKDAYS(BK48,BK48,JoursFeries),MEDIAN(MOD(BK48,1),HFer,HOuv),HOuv))*24,4)))/HJour,4),""))</f>
        <v/>
      </c>
      <c r="BM48" s="35" t="n">
        <f aca="false">IF(OR(AO48&lt;&gt;1,R48=""),"",IF(BD48=1,1,0))</f>
        <v>1</v>
      </c>
      <c r="BN48" s="35" t="n">
        <f aca="false">IF(AO48&lt;&gt;1,"",IF(W48="Oui",1,0))</f>
        <v>0</v>
      </c>
      <c r="BO48" s="35" t="n">
        <f aca="false">IF(AO48&lt;&gt;1,"",IF(X48&lt;&gt;"",1,0))</f>
        <v>0</v>
      </c>
      <c r="BP48" s="35" t="n">
        <f aca="false">IF(AO48&lt;&gt;1,"",IF(Y48="Oui",1,0))</f>
        <v>0</v>
      </c>
      <c r="BQ48" s="35" t="str">
        <f aca="true">IF(OR(AO48&lt;&gt;1,Z48&lt;&gt;"Oui"),"",IF(AB48="",IF(AND(AA48&lt;&gt;"",NOW()&gt;AA48),0,""),IF(AA48="","",IF(AB48&lt;=AA48,1,0))))</f>
        <v/>
      </c>
      <c r="BR48" s="38" t="str">
        <f aca="false">IF(OR(AO48&lt;&gt;1,K48&lt;&gt;"Oui",O48=""),"",IF(AC48="",O48+DORA_H_DET/24,IF(AC48-O48&lt;=DORA_H_DET/24,MIN(AC48+DORA_H_CLA/24,O48+DORA_H_DET/24),AC48+DORA_H_CLA/24)))</f>
        <v/>
      </c>
      <c r="BS48" s="35" t="str">
        <f aca="true">IF(BR48="","",IF(AD48="",IF(NOW()&gt;BR48,0,""),IF(AD48&lt;=BR48,1,0)))</f>
        <v/>
      </c>
      <c r="BT48" s="35" t="str">
        <f aca="true">IF(OR(BR48="",AD48=""),"",IF(AE48="",IF(NOW()&gt;AD48+DORA_H_INT/24,0,""),IF(AE48&lt;=AD48+DORA_H_INT/24,1,0)))</f>
        <v/>
      </c>
      <c r="BU48" s="35" t="str">
        <f aca="true">IF(OR(BR48="",AE48=""),"",IF(AF48="",IF(NOW()&gt;EDATE(AE48,DORA_M_FIN)+1,0,""),IF(AF48&lt;=EDATE(AE48,DORA_M_FIN),1,0)))</f>
        <v/>
      </c>
      <c r="BV48" s="35" t="str">
        <f aca="false">IF(BR48="","",IF(COUNT(BS48:BU48)=0,"",MIN(BS48:BU48)))</f>
        <v/>
      </c>
      <c r="BW48" s="40" t="str">
        <f aca="false">IF(AQ48&lt;&gt;1,"",IF(AND(AG48="",AH48=""),"",N(AG48)-N(AH48)))</f>
        <v/>
      </c>
      <c r="BX48" s="35" t="str">
        <f aca="true">IF(OR(AQ48&lt;&gt;1,AI48&lt;&gt;"Oui",AJ48=""),"",IF(AK48="",IF(NOW()&gt;AJ48+1,0,""),IF(AK48&lt;=AJ48,1,0)))</f>
        <v/>
      </c>
    </row>
    <row r="49" customFormat="false" ht="15" hidden="false" customHeight="false" outlineLevel="0" collapsed="false">
      <c r="B49" s="29" t="s">
        <v>267</v>
      </c>
      <c r="C49" s="29" t="s">
        <v>160</v>
      </c>
      <c r="D49" s="29" t="s">
        <v>224</v>
      </c>
      <c r="E49" s="29" t="s">
        <v>171</v>
      </c>
      <c r="F49" s="29" t="s">
        <v>172</v>
      </c>
      <c r="G49" s="29" t="s">
        <v>211</v>
      </c>
      <c r="H49" s="29" t="s">
        <v>174</v>
      </c>
      <c r="I49" s="29" t="s">
        <v>175</v>
      </c>
      <c r="J49" s="29" t="s">
        <v>187</v>
      </c>
      <c r="K49" s="29" t="s">
        <v>168</v>
      </c>
      <c r="L49" s="29" t="s">
        <v>169</v>
      </c>
      <c r="M49" s="29" t="s">
        <v>201</v>
      </c>
      <c r="N49" s="30" t="n">
        <v>46105.3263888889</v>
      </c>
      <c r="O49" s="30" t="n">
        <v>46105.5138888889</v>
      </c>
      <c r="P49" s="30" t="n">
        <v>46105.5972222222</v>
      </c>
      <c r="Q49" s="30" t="n">
        <v>46105.65625</v>
      </c>
      <c r="R49" s="30" t="n">
        <v>46107.6041666667</v>
      </c>
      <c r="S49" s="30" t="n">
        <v>46119.7222222222</v>
      </c>
      <c r="T49" s="30"/>
      <c r="U49" s="30"/>
      <c r="V49" s="31" t="n">
        <v>0</v>
      </c>
      <c r="W49" s="29" t="s">
        <v>168</v>
      </c>
      <c r="X49" s="29"/>
      <c r="Y49" s="29" t="s">
        <v>168</v>
      </c>
      <c r="Z49" s="29" t="s">
        <v>168</v>
      </c>
      <c r="AA49" s="30"/>
      <c r="AB49" s="30"/>
      <c r="AC49" s="30"/>
      <c r="AD49" s="30"/>
      <c r="AE49" s="30"/>
      <c r="AF49" s="32"/>
      <c r="AG49" s="33"/>
      <c r="AH49" s="33"/>
      <c r="AI49" s="29" t="s">
        <v>168</v>
      </c>
      <c r="AJ49" s="32"/>
      <c r="AK49" s="32"/>
      <c r="AL49" s="29"/>
      <c r="AN49" s="34" t="str">
        <f aca="false">IF($B49="","",IF(OR(C49="",D49="",E49="",G49="",I49="",J49="",L49="",O49="",P49=""),"Champ obligatoire manquant",IF(OR(AND(N49&lt;&gt;"",N49&gt;O49),O49&gt;P49,AND(Q49&lt;&gt;"",Q49&lt;P49),AND(R49&lt;&gt;"",R49&lt;P49),AND(S49&lt;&gt;"",S49&lt;R49),AND(S49&lt;&gt;"",R49=""),AND(T49&lt;&gt;"",T49&lt;O49),AND(U49&lt;&gt;"",U49&lt;O49)),"Chronologie incohérente",IF(AND(OR(L49="Résolu",L49="Clos"),R49=""),"Date de résolution manquante",IF(AND(L49="Clos",S49=""),"Date de clôture manquante",IF(AND(K49="Oui",AC49=""),"Classification DORA manquante","OK"))))))</f>
        <v>OK</v>
      </c>
      <c r="AO49" s="35" t="n">
        <f aca="false">IF($B49="","",IF(AND(C49="Incident",L49&lt;&gt;"Annulé"),1,0))</f>
        <v>0</v>
      </c>
      <c r="AP49" s="35" t="n">
        <f aca="false">IF($B49="","",IF(AND(C49="Quasi-incident",L49&lt;&gt;"Annulé"),1,0))</f>
        <v>1</v>
      </c>
      <c r="AQ49" s="35" t="n">
        <f aca="false">IF($B49="","",AO49+AP49)</f>
        <v>1</v>
      </c>
      <c r="AR49" s="36" t="n">
        <f aca="false">IF(OR($B49="",J49=""),"",IFERROR(VALUE(LEFT(J49,1)),""))</f>
        <v>4</v>
      </c>
      <c r="AS49" s="35" t="str">
        <f aca="false">IF(OR(AO49&lt;&gt;1,G49=""),"",IFERROR(IF(INDEX(L_SrcInterne,MATCH(G49,L_Sources,0))="Oui",1,0),""))</f>
        <v/>
      </c>
      <c r="AT49" s="37" t="str">
        <f aca="false">IF(AO49&lt;&gt;1,"",IFERROR(ROUND(IF(OR(N49="",O49=""),"",IF(O49&lt;N49,"",ROUND(((NETWORKDAYS(N49,O49,JoursFeries)-1)*(HFer-HOuv)+IF(NETWORKDAYS(O49,O49,JoursFeries),MEDIAN(MOD(O49,1),HFer,HOuv),HFer)-IF(NETWORKDAYS(N49,N49,JoursFeries),MEDIAN(MOD(N49,1),HFer,HOuv),HOuv))*24,4)))/HJour,4),""))</f>
        <v/>
      </c>
      <c r="AU49" s="37" t="str">
        <f aca="false">IF(AO49&lt;&gt;1,"",IF(OR(O49="",P49=""),"",IF(P49&lt;O49,"",ROUND(((NETWORKDAYS(O49,P49,JoursFeries)-1)*(HFer-HOuv)+IF(NETWORKDAYS(P49,P49,JoursFeries),MEDIAN(MOD(P49,1),HFer,HOuv),HFer)-IF(NETWORKDAYS(O49,O49,JoursFeries),MEDIAN(MOD(O49,1),HFer,HOuv),HOuv))*24,4))))</f>
        <v/>
      </c>
      <c r="AV49" s="37" t="str">
        <f aca="false">IF(AO49&lt;&gt;1,"",IF(OR(P49="",Q49=""),"",IF(Q49&lt;P49,"",ROUND(((NETWORKDAYS(P49,Q49,JoursFeries)-1)*(HFer-HOuv)+IF(NETWORKDAYS(Q49,Q49,JoursFeries),MEDIAN(MOD(Q49,1),HFer,HOuv),HFer)-IF(NETWORKDAYS(P49,P49,JoursFeries),MEDIAN(MOD(P49,1),HFer,HOuv),HOuv))*24,4))))</f>
        <v/>
      </c>
      <c r="AW49" s="37" t="str">
        <f aca="false">IF(AO49&lt;&gt;1,"",IFERROR(ROUND(IF(OR(P49="",R49=""),"",IF(R49&lt;P49,"",ROUND(((NETWORKDAYS(P49,R49,JoursFeries)-1)*(HFer-HOuv)+IF(NETWORKDAYS(R49,R49,JoursFeries),MEDIAN(MOD(R49,1),HFer,HOuv),HFer)-IF(NETWORKDAYS(P49,P49,JoursFeries),MEDIAN(MOD(P49,1),HFer,HOuv),HOuv))*24,4)))/HJour,4),""))</f>
        <v/>
      </c>
      <c r="AX49" s="37" t="str">
        <f aca="false">IF(AO49&lt;&gt;1,"",IFERROR(ROUND(IF(OR(P49="",S49=""),"",IF(S49&lt;P49,"",ROUND(((NETWORKDAYS(P49,S49,JoursFeries)-1)*(HFer-HOuv)+IF(NETWORKDAYS(S49,S49,JoursFeries),MEDIAN(MOD(S49,1),HFer,HOuv),HFer)-IF(NETWORKDAYS(P49,P49,JoursFeries),MEDIAN(MOD(P49,1),HFer,HOuv),HOuv))*24,4)))/HJour,4),""))</f>
        <v/>
      </c>
      <c r="AY49" s="36" t="str">
        <f aca="false">IF(OR(AO49&lt;&gt;1,AR49=""),"",INDEX(SLA_PEC,AR49))</f>
        <v/>
      </c>
      <c r="AZ49" s="35" t="str">
        <f aca="false">IF(OR(AV49="",AY49=""),"",IF(AV49&lt;=AY49,1,0))</f>
        <v/>
      </c>
      <c r="BA49" s="36" t="str">
        <f aca="false">IF(OR(AO49&lt;&gt;1,AR49=""),"",INDEX(SLA_RES,AR49))</f>
        <v/>
      </c>
      <c r="BB49" s="35" t="str">
        <f aca="false">IF(OR(AW49="",BA49=""),"",IF(AW49&lt;=BA49,1,0))</f>
        <v/>
      </c>
      <c r="BC49" s="38" t="str">
        <f aca="false">IF(OR(BA49="",P49=""),"",WORKDAY(INT(P49),BA49,JoursFeries)+MOD(P49,1))</f>
        <v/>
      </c>
      <c r="BD49" s="39" t="str">
        <f aca="false">IF(AO49&lt;&gt;1,"",IF(OR(AB49&lt;&gt;"",AD49&lt;&gt;""),4,IF(U49&lt;&gt;"",3,IF(T49&lt;&gt;"",2,1))))</f>
        <v/>
      </c>
      <c r="BE49" s="39" t="str">
        <f aca="false">IF(OR(AO49&lt;&gt;1,AR49=""),"",INDEX(NIV_REQ,AR49))</f>
        <v/>
      </c>
      <c r="BF49" s="39" t="str">
        <f aca="false">IF(BE49="","",MAX(BE49,IF(OR(K49="Oui",Z49="Oui"),4,1)))</f>
        <v/>
      </c>
      <c r="BG49" s="35" t="str">
        <f aca="false">IF(OR(BF49="",BD49=""),"",IF(BD49&gt;=BF49,1,0))</f>
        <v/>
      </c>
      <c r="BH49" s="38" t="str">
        <f aca="false">IF(BE49="","",IF(BE49&lt;2,"",IF(BE49=2,IF(AND(T49="",U49=""),"",MIN(T49,U49)),IF(U49="","",U49))))</f>
        <v/>
      </c>
      <c r="BI49" s="37" t="str">
        <f aca="false">IF(BH49="","",IF(OR(O49="",BH49=""),"",IF(BH49&lt;O49,"",ROUND(((NETWORKDAYS(O49,BH49,JoursFeries)-1)*(HFer-HOuv)+IF(NETWORKDAYS(BH49,BH49,JoursFeries),MEDIAN(MOD(BH49,1),HFer,HOuv),HFer)-IF(NETWORKDAYS(O49,O49,JoursFeries),MEDIAN(MOD(O49,1),HFer,HOuv),HOuv))*24,4))))</f>
        <v/>
      </c>
      <c r="BJ49" s="35" t="str">
        <f aca="false">IF(OR(BI49="",AR49=""),"",IF(BI49&lt;=INDEX(DELAI_ESC,AR49),1,0))</f>
        <v/>
      </c>
      <c r="BK49" s="38" t="str">
        <f aca="false">IF(AO49&lt;&gt;1,"",IF(AND(T49="",U49=""),"",MIN(T49,U49)))</f>
        <v/>
      </c>
      <c r="BL49" s="37" t="str">
        <f aca="false">IF(OR(BK49="",R49=""),"",IFERROR(ROUND(IF(OR(BK49="",R49=""),"",IF(R49&lt;BK49,"",ROUND(((NETWORKDAYS(BK49,R49,JoursFeries)-1)*(HFer-HOuv)+IF(NETWORKDAYS(R49,R49,JoursFeries),MEDIAN(MOD(R49,1),HFer,HOuv),HFer)-IF(NETWORKDAYS(BK49,BK49,JoursFeries),MEDIAN(MOD(BK49,1),HFer,HOuv),HOuv))*24,4)))/HJour,4),""))</f>
        <v/>
      </c>
      <c r="BM49" s="35" t="str">
        <f aca="false">IF(OR(AO49&lt;&gt;1,R49=""),"",IF(BD49=1,1,0))</f>
        <v/>
      </c>
      <c r="BN49" s="35" t="str">
        <f aca="false">IF(AO49&lt;&gt;1,"",IF(W49="Oui",1,0))</f>
        <v/>
      </c>
      <c r="BO49" s="35" t="str">
        <f aca="false">IF(AO49&lt;&gt;1,"",IF(X49&lt;&gt;"",1,0))</f>
        <v/>
      </c>
      <c r="BP49" s="35" t="str">
        <f aca="false">IF(AO49&lt;&gt;1,"",IF(Y49="Oui",1,0))</f>
        <v/>
      </c>
      <c r="BQ49" s="35" t="str">
        <f aca="true">IF(OR(AO49&lt;&gt;1,Z49&lt;&gt;"Oui"),"",IF(AB49="",IF(AND(AA49&lt;&gt;"",NOW()&gt;AA49),0,""),IF(AA49="","",IF(AB49&lt;=AA49,1,0))))</f>
        <v/>
      </c>
      <c r="BR49" s="38" t="str">
        <f aca="false">IF(OR(AO49&lt;&gt;1,K49&lt;&gt;"Oui",O49=""),"",IF(AC49="",O49+DORA_H_DET/24,IF(AC49-O49&lt;=DORA_H_DET/24,MIN(AC49+DORA_H_CLA/24,O49+DORA_H_DET/24),AC49+DORA_H_CLA/24)))</f>
        <v/>
      </c>
      <c r="BS49" s="35" t="str">
        <f aca="true">IF(BR49="","",IF(AD49="",IF(NOW()&gt;BR49,0,""),IF(AD49&lt;=BR49,1,0)))</f>
        <v/>
      </c>
      <c r="BT49" s="35" t="str">
        <f aca="true">IF(OR(BR49="",AD49=""),"",IF(AE49="",IF(NOW()&gt;AD49+DORA_H_INT/24,0,""),IF(AE49&lt;=AD49+DORA_H_INT/24,1,0)))</f>
        <v/>
      </c>
      <c r="BU49" s="35" t="str">
        <f aca="true">IF(OR(BR49="",AE49=""),"",IF(AF49="",IF(NOW()&gt;EDATE(AE49,DORA_M_FIN)+1,0,""),IF(AF49&lt;=EDATE(AE49,DORA_M_FIN),1,0)))</f>
        <v/>
      </c>
      <c r="BV49" s="35" t="str">
        <f aca="false">IF(BR49="","",IF(COUNT(BS49:BU49)=0,"",MIN(BS49:BU49)))</f>
        <v/>
      </c>
      <c r="BW49" s="40" t="str">
        <f aca="false">IF(AQ49&lt;&gt;1,"",IF(AND(AG49="",AH49=""),"",N(AG49)-N(AH49)))</f>
        <v/>
      </c>
      <c r="BX49" s="35" t="str">
        <f aca="true">IF(OR(AQ49&lt;&gt;1,AI49&lt;&gt;"Oui",AJ49=""),"",IF(AK49="",IF(NOW()&gt;AJ49+1,0,""),IF(AK49&lt;=AJ49,1,0)))</f>
        <v/>
      </c>
    </row>
    <row r="50" customFormat="false" ht="15" hidden="false" customHeight="false" outlineLevel="0" collapsed="false">
      <c r="B50" s="29" t="s">
        <v>268</v>
      </c>
      <c r="C50" s="29" t="s">
        <v>160</v>
      </c>
      <c r="D50" s="29" t="s">
        <v>184</v>
      </c>
      <c r="E50" s="29" t="s">
        <v>269</v>
      </c>
      <c r="F50" s="29" t="s">
        <v>172</v>
      </c>
      <c r="G50" s="29" t="s">
        <v>211</v>
      </c>
      <c r="H50" s="29"/>
      <c r="I50" s="29" t="s">
        <v>270</v>
      </c>
      <c r="J50" s="29" t="s">
        <v>187</v>
      </c>
      <c r="K50" s="29" t="s">
        <v>168</v>
      </c>
      <c r="L50" s="29" t="s">
        <v>169</v>
      </c>
      <c r="M50" s="29" t="s">
        <v>188</v>
      </c>
      <c r="N50" s="30" t="n">
        <v>46107.3194444445</v>
      </c>
      <c r="O50" s="30" t="n">
        <v>46107.4201388889</v>
      </c>
      <c r="P50" s="30" t="n">
        <v>46107.4826388889</v>
      </c>
      <c r="Q50" s="30" t="n">
        <v>46107.6736111111</v>
      </c>
      <c r="R50" s="30" t="n">
        <v>46112.6319444445</v>
      </c>
      <c r="S50" s="30" t="n">
        <v>46120.5520833333</v>
      </c>
      <c r="T50" s="30"/>
      <c r="U50" s="30"/>
      <c r="V50" s="31" t="n">
        <v>0</v>
      </c>
      <c r="W50" s="29" t="s">
        <v>168</v>
      </c>
      <c r="X50" s="29"/>
      <c r="Y50" s="29" t="s">
        <v>168</v>
      </c>
      <c r="Z50" s="29" t="s">
        <v>168</v>
      </c>
      <c r="AA50" s="30"/>
      <c r="AB50" s="30"/>
      <c r="AC50" s="30"/>
      <c r="AD50" s="30"/>
      <c r="AE50" s="30"/>
      <c r="AF50" s="32"/>
      <c r="AG50" s="33"/>
      <c r="AH50" s="33"/>
      <c r="AI50" s="29" t="s">
        <v>168</v>
      </c>
      <c r="AJ50" s="32"/>
      <c r="AK50" s="32"/>
      <c r="AL50" s="29"/>
      <c r="AN50" s="34" t="str">
        <f aca="false">IF($B50="","",IF(OR(C50="",D50="",E50="",G50="",I50="",J50="",L50="",O50="",P50=""),"Champ obligatoire manquant",IF(OR(AND(N50&lt;&gt;"",N50&gt;O50),O50&gt;P50,AND(Q50&lt;&gt;"",Q50&lt;P50),AND(R50&lt;&gt;"",R50&lt;P50),AND(S50&lt;&gt;"",S50&lt;R50),AND(S50&lt;&gt;"",R50=""),AND(T50&lt;&gt;"",T50&lt;O50),AND(U50&lt;&gt;"",U50&lt;O50)),"Chronologie incohérente",IF(AND(OR(L50="Résolu",L50="Clos"),R50=""),"Date de résolution manquante",IF(AND(L50="Clos",S50=""),"Date de clôture manquante",IF(AND(K50="Oui",AC50=""),"Classification DORA manquante","OK"))))))</f>
        <v>OK</v>
      </c>
      <c r="AO50" s="35" t="n">
        <f aca="false">IF($B50="","",IF(AND(C50="Incident",L50&lt;&gt;"Annulé"),1,0))</f>
        <v>0</v>
      </c>
      <c r="AP50" s="35" t="n">
        <f aca="false">IF($B50="","",IF(AND(C50="Quasi-incident",L50&lt;&gt;"Annulé"),1,0))</f>
        <v>1</v>
      </c>
      <c r="AQ50" s="35" t="n">
        <f aca="false">IF($B50="","",AO50+AP50)</f>
        <v>1</v>
      </c>
      <c r="AR50" s="36" t="n">
        <f aca="false">IF(OR($B50="",J50=""),"",IFERROR(VALUE(LEFT(J50,1)),""))</f>
        <v>4</v>
      </c>
      <c r="AS50" s="35" t="str">
        <f aca="false">IF(OR(AO50&lt;&gt;1,G50=""),"",IFERROR(IF(INDEX(L_SrcInterne,MATCH(G50,L_Sources,0))="Oui",1,0),""))</f>
        <v/>
      </c>
      <c r="AT50" s="37" t="str">
        <f aca="false">IF(AO50&lt;&gt;1,"",IFERROR(ROUND(IF(OR(N50="",O50=""),"",IF(O50&lt;N50,"",ROUND(((NETWORKDAYS(N50,O50,JoursFeries)-1)*(HFer-HOuv)+IF(NETWORKDAYS(O50,O50,JoursFeries),MEDIAN(MOD(O50,1),HFer,HOuv),HFer)-IF(NETWORKDAYS(N50,N50,JoursFeries),MEDIAN(MOD(N50,1),HFer,HOuv),HOuv))*24,4)))/HJour,4),""))</f>
        <v/>
      </c>
      <c r="AU50" s="37" t="str">
        <f aca="false">IF(AO50&lt;&gt;1,"",IF(OR(O50="",P50=""),"",IF(P50&lt;O50,"",ROUND(((NETWORKDAYS(O50,P50,JoursFeries)-1)*(HFer-HOuv)+IF(NETWORKDAYS(P50,P50,JoursFeries),MEDIAN(MOD(P50,1),HFer,HOuv),HFer)-IF(NETWORKDAYS(O50,O50,JoursFeries),MEDIAN(MOD(O50,1),HFer,HOuv),HOuv))*24,4))))</f>
        <v/>
      </c>
      <c r="AV50" s="37" t="str">
        <f aca="false">IF(AO50&lt;&gt;1,"",IF(OR(P50="",Q50=""),"",IF(Q50&lt;P50,"",ROUND(((NETWORKDAYS(P50,Q50,JoursFeries)-1)*(HFer-HOuv)+IF(NETWORKDAYS(Q50,Q50,JoursFeries),MEDIAN(MOD(Q50,1),HFer,HOuv),HFer)-IF(NETWORKDAYS(P50,P50,JoursFeries),MEDIAN(MOD(P50,1),HFer,HOuv),HOuv))*24,4))))</f>
        <v/>
      </c>
      <c r="AW50" s="37" t="str">
        <f aca="false">IF(AO50&lt;&gt;1,"",IFERROR(ROUND(IF(OR(P50="",R50=""),"",IF(R50&lt;P50,"",ROUND(((NETWORKDAYS(P50,R50,JoursFeries)-1)*(HFer-HOuv)+IF(NETWORKDAYS(R50,R50,JoursFeries),MEDIAN(MOD(R50,1),HFer,HOuv),HFer)-IF(NETWORKDAYS(P50,P50,JoursFeries),MEDIAN(MOD(P50,1),HFer,HOuv),HOuv))*24,4)))/HJour,4),""))</f>
        <v/>
      </c>
      <c r="AX50" s="37" t="str">
        <f aca="false">IF(AO50&lt;&gt;1,"",IFERROR(ROUND(IF(OR(P50="",S50=""),"",IF(S50&lt;P50,"",ROUND(((NETWORKDAYS(P50,S50,JoursFeries)-1)*(HFer-HOuv)+IF(NETWORKDAYS(S50,S50,JoursFeries),MEDIAN(MOD(S50,1),HFer,HOuv),HFer)-IF(NETWORKDAYS(P50,P50,JoursFeries),MEDIAN(MOD(P50,1),HFer,HOuv),HOuv))*24,4)))/HJour,4),""))</f>
        <v/>
      </c>
      <c r="AY50" s="36" t="str">
        <f aca="false">IF(OR(AO50&lt;&gt;1,AR50=""),"",INDEX(SLA_PEC,AR50))</f>
        <v/>
      </c>
      <c r="AZ50" s="35" t="str">
        <f aca="false">IF(OR(AV50="",AY50=""),"",IF(AV50&lt;=AY50,1,0))</f>
        <v/>
      </c>
      <c r="BA50" s="36" t="str">
        <f aca="false">IF(OR(AO50&lt;&gt;1,AR50=""),"",INDEX(SLA_RES,AR50))</f>
        <v/>
      </c>
      <c r="BB50" s="35" t="str">
        <f aca="false">IF(OR(AW50="",BA50=""),"",IF(AW50&lt;=BA50,1,0))</f>
        <v/>
      </c>
      <c r="BC50" s="38" t="str">
        <f aca="false">IF(OR(BA50="",P50=""),"",WORKDAY(INT(P50),BA50,JoursFeries)+MOD(P50,1))</f>
        <v/>
      </c>
      <c r="BD50" s="39" t="str">
        <f aca="false">IF(AO50&lt;&gt;1,"",IF(OR(AB50&lt;&gt;"",AD50&lt;&gt;""),4,IF(U50&lt;&gt;"",3,IF(T50&lt;&gt;"",2,1))))</f>
        <v/>
      </c>
      <c r="BE50" s="39" t="str">
        <f aca="false">IF(OR(AO50&lt;&gt;1,AR50=""),"",INDEX(NIV_REQ,AR50))</f>
        <v/>
      </c>
      <c r="BF50" s="39" t="str">
        <f aca="false">IF(BE50="","",MAX(BE50,IF(OR(K50="Oui",Z50="Oui"),4,1)))</f>
        <v/>
      </c>
      <c r="BG50" s="35" t="str">
        <f aca="false">IF(OR(BF50="",BD50=""),"",IF(BD50&gt;=BF50,1,0))</f>
        <v/>
      </c>
      <c r="BH50" s="38" t="str">
        <f aca="false">IF(BE50="","",IF(BE50&lt;2,"",IF(BE50=2,IF(AND(T50="",U50=""),"",MIN(T50,U50)),IF(U50="","",U50))))</f>
        <v/>
      </c>
      <c r="BI50" s="37" t="str">
        <f aca="false">IF(BH50="","",IF(OR(O50="",BH50=""),"",IF(BH50&lt;O50,"",ROUND(((NETWORKDAYS(O50,BH50,JoursFeries)-1)*(HFer-HOuv)+IF(NETWORKDAYS(BH50,BH50,JoursFeries),MEDIAN(MOD(BH50,1),HFer,HOuv),HFer)-IF(NETWORKDAYS(O50,O50,JoursFeries),MEDIAN(MOD(O50,1),HFer,HOuv),HOuv))*24,4))))</f>
        <v/>
      </c>
      <c r="BJ50" s="35" t="str">
        <f aca="false">IF(OR(BI50="",AR50=""),"",IF(BI50&lt;=INDEX(DELAI_ESC,AR50),1,0))</f>
        <v/>
      </c>
      <c r="BK50" s="38" t="str">
        <f aca="false">IF(AO50&lt;&gt;1,"",IF(AND(T50="",U50=""),"",MIN(T50,U50)))</f>
        <v/>
      </c>
      <c r="BL50" s="37" t="str">
        <f aca="false">IF(OR(BK50="",R50=""),"",IFERROR(ROUND(IF(OR(BK50="",R50=""),"",IF(R50&lt;BK50,"",ROUND(((NETWORKDAYS(BK50,R50,JoursFeries)-1)*(HFer-HOuv)+IF(NETWORKDAYS(R50,R50,JoursFeries),MEDIAN(MOD(R50,1),HFer,HOuv),HFer)-IF(NETWORKDAYS(BK50,BK50,JoursFeries),MEDIAN(MOD(BK50,1),HFer,HOuv),HOuv))*24,4)))/HJour,4),""))</f>
        <v/>
      </c>
      <c r="BM50" s="35" t="str">
        <f aca="false">IF(OR(AO50&lt;&gt;1,R50=""),"",IF(BD50=1,1,0))</f>
        <v/>
      </c>
      <c r="BN50" s="35" t="str">
        <f aca="false">IF(AO50&lt;&gt;1,"",IF(W50="Oui",1,0))</f>
        <v/>
      </c>
      <c r="BO50" s="35" t="str">
        <f aca="false">IF(AO50&lt;&gt;1,"",IF(X50&lt;&gt;"",1,0))</f>
        <v/>
      </c>
      <c r="BP50" s="35" t="str">
        <f aca="false">IF(AO50&lt;&gt;1,"",IF(Y50="Oui",1,0))</f>
        <v/>
      </c>
      <c r="BQ50" s="35" t="str">
        <f aca="true">IF(OR(AO50&lt;&gt;1,Z50&lt;&gt;"Oui"),"",IF(AB50="",IF(AND(AA50&lt;&gt;"",NOW()&gt;AA50),0,""),IF(AA50="","",IF(AB50&lt;=AA50,1,0))))</f>
        <v/>
      </c>
      <c r="BR50" s="38" t="str">
        <f aca="false">IF(OR(AO50&lt;&gt;1,K50&lt;&gt;"Oui",O50=""),"",IF(AC50="",O50+DORA_H_DET/24,IF(AC50-O50&lt;=DORA_H_DET/24,MIN(AC50+DORA_H_CLA/24,O50+DORA_H_DET/24),AC50+DORA_H_CLA/24)))</f>
        <v/>
      </c>
      <c r="BS50" s="35" t="str">
        <f aca="true">IF(BR50="","",IF(AD50="",IF(NOW()&gt;BR50,0,""),IF(AD50&lt;=BR50,1,0)))</f>
        <v/>
      </c>
      <c r="BT50" s="35" t="str">
        <f aca="true">IF(OR(BR50="",AD50=""),"",IF(AE50="",IF(NOW()&gt;AD50+DORA_H_INT/24,0,""),IF(AE50&lt;=AD50+DORA_H_INT/24,1,0)))</f>
        <v/>
      </c>
      <c r="BU50" s="35" t="str">
        <f aca="true">IF(OR(BR50="",AE50=""),"",IF(AF50="",IF(NOW()&gt;EDATE(AE50,DORA_M_FIN)+1,0,""),IF(AF50&lt;=EDATE(AE50,DORA_M_FIN),1,0)))</f>
        <v/>
      </c>
      <c r="BV50" s="35" t="str">
        <f aca="false">IF(BR50="","",IF(COUNT(BS50:BU50)=0,"",MIN(BS50:BU50)))</f>
        <v/>
      </c>
      <c r="BW50" s="40" t="str">
        <f aca="false">IF(AQ50&lt;&gt;1,"",IF(AND(AG50="",AH50=""),"",N(AG50)-N(AH50)))</f>
        <v/>
      </c>
      <c r="BX50" s="35" t="str">
        <f aca="true">IF(OR(AQ50&lt;&gt;1,AI50&lt;&gt;"Oui",AJ50=""),"",IF(AK50="",IF(NOW()&gt;AJ50+1,0,""),IF(AK50&lt;=AJ50,1,0)))</f>
        <v/>
      </c>
    </row>
    <row r="51" customFormat="false" ht="15" hidden="false" customHeight="false" outlineLevel="0" collapsed="false">
      <c r="B51" s="29" t="s">
        <v>271</v>
      </c>
      <c r="C51" s="29" t="s">
        <v>178</v>
      </c>
      <c r="D51" s="29" t="s">
        <v>184</v>
      </c>
      <c r="E51" s="29" t="s">
        <v>192</v>
      </c>
      <c r="F51" s="29" t="s">
        <v>172</v>
      </c>
      <c r="G51" s="29" t="s">
        <v>185</v>
      </c>
      <c r="H51" s="29"/>
      <c r="I51" s="29" t="s">
        <v>272</v>
      </c>
      <c r="J51" s="29" t="s">
        <v>167</v>
      </c>
      <c r="K51" s="29" t="s">
        <v>168</v>
      </c>
      <c r="L51" s="29" t="s">
        <v>169</v>
      </c>
      <c r="M51" s="29" t="s">
        <v>201</v>
      </c>
      <c r="N51" s="30" t="n">
        <v>46108.4722222222</v>
      </c>
      <c r="O51" s="30" t="n">
        <v>46108.5034722222</v>
      </c>
      <c r="P51" s="30" t="n">
        <v>46108.5243055556</v>
      </c>
      <c r="Q51" s="30" t="n">
        <v>46111.5416666667</v>
      </c>
      <c r="R51" s="30" t="n">
        <v>46125.5381944445</v>
      </c>
      <c r="S51" s="30" t="n">
        <v>46155.5625</v>
      </c>
      <c r="T51" s="30"/>
      <c r="U51" s="30"/>
      <c r="V51" s="31" t="n">
        <v>1</v>
      </c>
      <c r="W51" s="29" t="s">
        <v>168</v>
      </c>
      <c r="X51" s="29"/>
      <c r="Y51" s="29" t="s">
        <v>168</v>
      </c>
      <c r="Z51" s="29" t="s">
        <v>168</v>
      </c>
      <c r="AA51" s="30"/>
      <c r="AB51" s="30"/>
      <c r="AC51" s="30"/>
      <c r="AD51" s="30"/>
      <c r="AE51" s="30"/>
      <c r="AF51" s="32"/>
      <c r="AG51" s="33" t="n">
        <v>24100</v>
      </c>
      <c r="AH51" s="33" t="n">
        <v>0</v>
      </c>
      <c r="AI51" s="29" t="s">
        <v>189</v>
      </c>
      <c r="AJ51" s="32" t="n">
        <v>46130</v>
      </c>
      <c r="AK51" s="32" t="n">
        <v>46121</v>
      </c>
      <c r="AL51" s="29"/>
      <c r="AN51" s="34" t="str">
        <f aca="false">IF($B51="","",IF(OR(C51="",D51="",E51="",G51="",I51="",J51="",L51="",O51="",P51=""),"Champ obligatoire manquant",IF(OR(AND(N51&lt;&gt;"",N51&gt;O51),O51&gt;P51,AND(Q51&lt;&gt;"",Q51&lt;P51),AND(R51&lt;&gt;"",R51&lt;P51),AND(S51&lt;&gt;"",S51&lt;R51),AND(S51&lt;&gt;"",R51=""),AND(T51&lt;&gt;"",T51&lt;O51),AND(U51&lt;&gt;"",U51&lt;O51)),"Chronologie incohérente",IF(AND(OR(L51="Résolu",L51="Clos"),R51=""),"Date de résolution manquante",IF(AND(L51="Clos",S51=""),"Date de clôture manquante",IF(AND(K51="Oui",AC51=""),"Classification DORA manquante","OK"))))))</f>
        <v>OK</v>
      </c>
      <c r="AO51" s="35" t="n">
        <f aca="false">IF($B51="","",IF(AND(C51="Incident",L51&lt;&gt;"Annulé"),1,0))</f>
        <v>1</v>
      </c>
      <c r="AP51" s="35" t="n">
        <f aca="false">IF($B51="","",IF(AND(C51="Quasi-incident",L51&lt;&gt;"Annulé"),1,0))</f>
        <v>0</v>
      </c>
      <c r="AQ51" s="35" t="n">
        <f aca="false">IF($B51="","",AO51+AP51)</f>
        <v>1</v>
      </c>
      <c r="AR51" s="36" t="n">
        <f aca="false">IF(OR($B51="",J51=""),"",IFERROR(VALUE(LEFT(J51,1)),""))</f>
        <v>3</v>
      </c>
      <c r="AS51" s="35" t="n">
        <f aca="false">IF(OR(AO51&lt;&gt;1,G51=""),"",IFERROR(IF(INDEX(L_SrcInterne,MATCH(G51,L_Sources,0))="Oui",1,0),""))</f>
        <v>1</v>
      </c>
      <c r="AT51" s="37" t="n">
        <f aca="false">IF(AO51&lt;&gt;1,"",IFERROR(ROUND(IF(OR(N51="",O51=""),"",IF(O51&lt;N51,"",ROUND(((NETWORKDAYS(N51,O51,JoursFeries)-1)*(HFer-HOuv)+IF(NETWORKDAYS(O51,O51,JoursFeries),MEDIAN(MOD(O51,1),HFer,HOuv),HFer)-IF(NETWORKDAYS(N51,N51,JoursFeries),MEDIAN(MOD(N51,1),HFer,HOuv),HOuv))*24,4)))/HJour,4),""))</f>
        <v>0.0833</v>
      </c>
      <c r="AU51" s="37" t="n">
        <f aca="false">IF(AO51&lt;&gt;1,"",IF(OR(O51="",P51=""),"",IF(P51&lt;O51,"",ROUND(((NETWORKDAYS(O51,P51,JoursFeries)-1)*(HFer-HOuv)+IF(NETWORKDAYS(P51,P51,JoursFeries),MEDIAN(MOD(P51,1),HFer,HOuv),HFer)-IF(NETWORKDAYS(O51,O51,JoursFeries),MEDIAN(MOD(O51,1),HFer,HOuv),HOuv))*24,4))))</f>
        <v>0.5</v>
      </c>
      <c r="AV51" s="37" t="n">
        <f aca="false">IF(AO51&lt;&gt;1,"",IF(OR(P51="",Q51=""),"",IF(Q51&lt;P51,"",ROUND(((NETWORKDAYS(P51,Q51,JoursFeries)-1)*(HFer-HOuv)+IF(NETWORKDAYS(Q51,Q51,JoursFeries),MEDIAN(MOD(Q51,1),HFer,HOuv),HFer)-IF(NETWORKDAYS(P51,P51,JoursFeries),MEDIAN(MOD(P51,1),HFer,HOuv),HOuv))*24,4))))</f>
        <v>9.4167</v>
      </c>
      <c r="AW51" s="37" t="n">
        <f aca="false">IF(AO51&lt;&gt;1,"",IFERROR(ROUND(IF(OR(P51="",R51=""),"",IF(R51&lt;P51,"",ROUND(((NETWORKDAYS(P51,R51,JoursFeries)-1)*(HFer-HOuv)+IF(NETWORKDAYS(R51,R51,JoursFeries),MEDIAN(MOD(R51,1),HFer,HOuv),HFer)-IF(NETWORKDAYS(P51,P51,JoursFeries),MEDIAN(MOD(P51,1),HFer,HOuv),HOuv))*24,4)))/HJour,4),""))</f>
        <v>10.037</v>
      </c>
      <c r="AX51" s="37" t="n">
        <f aca="false">IF(AO51&lt;&gt;1,"",IFERROR(ROUND(IF(OR(P51="",S51=""),"",IF(S51&lt;P51,"",ROUND(((NETWORKDAYS(P51,S51,JoursFeries)-1)*(HFer-HOuv)+IF(NETWORKDAYS(S51,S51,JoursFeries),MEDIAN(MOD(S51,1),HFer,HOuv),HFer)-IF(NETWORKDAYS(P51,P51,JoursFeries),MEDIAN(MOD(P51,1),HFer,HOuv),HOuv))*24,4)))/HJour,4),""))</f>
        <v>30.1019</v>
      </c>
      <c r="AY51" s="36" t="n">
        <f aca="false">IF(OR(AO51&lt;&gt;1,AR51=""),"",INDEX(SLA_PEC,AR51))</f>
        <v>9</v>
      </c>
      <c r="AZ51" s="35" t="n">
        <f aca="false">IF(OR(AV51="",AY51=""),"",IF(AV51&lt;=AY51,1,0))</f>
        <v>0</v>
      </c>
      <c r="BA51" s="36" t="n">
        <f aca="false">IF(OR(AO51&lt;&gt;1,AR51=""),"",INDEX(SLA_RES,AR51))</f>
        <v>10</v>
      </c>
      <c r="BB51" s="35" t="n">
        <f aca="false">IF(OR(AW51="",BA51=""),"",IF(AW51&lt;=BA51,1,0))</f>
        <v>0</v>
      </c>
      <c r="BC51" s="38" t="n">
        <f aca="false">IF(OR(BA51="",P51=""),"",WORKDAY(INT(P51),BA51,JoursFeries)+MOD(P51,1))</f>
        <v>46125.5243055556</v>
      </c>
      <c r="BD51" s="39" t="n">
        <f aca="false">IF(AO51&lt;&gt;1,"",IF(OR(AB51&lt;&gt;"",AD51&lt;&gt;""),4,IF(U51&lt;&gt;"",3,IF(T51&lt;&gt;"",2,1))))</f>
        <v>1</v>
      </c>
      <c r="BE51" s="39" t="n">
        <f aca="false">IF(OR(AO51&lt;&gt;1,AR51=""),"",INDEX(NIV_REQ,AR51))</f>
        <v>1</v>
      </c>
      <c r="BF51" s="39" t="n">
        <f aca="false">IF(BE51="","",MAX(BE51,IF(OR(K51="Oui",Z51="Oui"),4,1)))</f>
        <v>1</v>
      </c>
      <c r="BG51" s="35" t="n">
        <f aca="false">IF(OR(BF51="",BD51=""),"",IF(BD51&gt;=BF51,1,0))</f>
        <v>1</v>
      </c>
      <c r="BH51" s="38" t="str">
        <f aca="false">IF(BE51="","",IF(BE51&lt;2,"",IF(BE51=2,IF(AND(T51="",U51=""),"",MIN(T51,U51)),IF(U51="","",U51))))</f>
        <v/>
      </c>
      <c r="BI51" s="37" t="str">
        <f aca="false">IF(BH51="","",IF(OR(O51="",BH51=""),"",IF(BH51&lt;O51,"",ROUND(((NETWORKDAYS(O51,BH51,JoursFeries)-1)*(HFer-HOuv)+IF(NETWORKDAYS(BH51,BH51,JoursFeries),MEDIAN(MOD(BH51,1),HFer,HOuv),HFer)-IF(NETWORKDAYS(O51,O51,JoursFeries),MEDIAN(MOD(O51,1),HFer,HOuv),HOuv))*24,4))))</f>
        <v/>
      </c>
      <c r="BJ51" s="35" t="str">
        <f aca="false">IF(OR(BI51="",AR51=""),"",IF(BI51&lt;=INDEX(DELAI_ESC,AR51),1,0))</f>
        <v/>
      </c>
      <c r="BK51" s="38" t="str">
        <f aca="false">IF(AO51&lt;&gt;1,"",IF(AND(T51="",U51=""),"",MIN(T51,U51)))</f>
        <v/>
      </c>
      <c r="BL51" s="37" t="str">
        <f aca="false">IF(OR(BK51="",R51=""),"",IFERROR(ROUND(IF(OR(BK51="",R51=""),"",IF(R51&lt;BK51,"",ROUND(((NETWORKDAYS(BK51,R51,JoursFeries)-1)*(HFer-HOuv)+IF(NETWORKDAYS(R51,R51,JoursFeries),MEDIAN(MOD(R51,1),HFer,HOuv),HFer)-IF(NETWORKDAYS(BK51,BK51,JoursFeries),MEDIAN(MOD(BK51,1),HFer,HOuv),HOuv))*24,4)))/HJour,4),""))</f>
        <v/>
      </c>
      <c r="BM51" s="35" t="n">
        <f aca="false">IF(OR(AO51&lt;&gt;1,R51=""),"",IF(BD51=1,1,0))</f>
        <v>1</v>
      </c>
      <c r="BN51" s="35" t="n">
        <f aca="false">IF(AO51&lt;&gt;1,"",IF(W51="Oui",1,0))</f>
        <v>0</v>
      </c>
      <c r="BO51" s="35" t="n">
        <f aca="false">IF(AO51&lt;&gt;1,"",IF(X51&lt;&gt;"",1,0))</f>
        <v>0</v>
      </c>
      <c r="BP51" s="35" t="n">
        <f aca="false">IF(AO51&lt;&gt;1,"",IF(Y51="Oui",1,0))</f>
        <v>0</v>
      </c>
      <c r="BQ51" s="35" t="str">
        <f aca="true">IF(OR(AO51&lt;&gt;1,Z51&lt;&gt;"Oui"),"",IF(AB51="",IF(AND(AA51&lt;&gt;"",NOW()&gt;AA51),0,""),IF(AA51="","",IF(AB51&lt;=AA51,1,0))))</f>
        <v/>
      </c>
      <c r="BR51" s="38" t="str">
        <f aca="false">IF(OR(AO51&lt;&gt;1,K51&lt;&gt;"Oui",O51=""),"",IF(AC51="",O51+DORA_H_DET/24,IF(AC51-O51&lt;=DORA_H_DET/24,MIN(AC51+DORA_H_CLA/24,O51+DORA_H_DET/24),AC51+DORA_H_CLA/24)))</f>
        <v/>
      </c>
      <c r="BS51" s="35" t="str">
        <f aca="true">IF(BR51="","",IF(AD51="",IF(NOW()&gt;BR51,0,""),IF(AD51&lt;=BR51,1,0)))</f>
        <v/>
      </c>
      <c r="BT51" s="35" t="str">
        <f aca="true">IF(OR(BR51="",AD51=""),"",IF(AE51="",IF(NOW()&gt;AD51+DORA_H_INT/24,0,""),IF(AE51&lt;=AD51+DORA_H_INT/24,1,0)))</f>
        <v/>
      </c>
      <c r="BU51" s="35" t="str">
        <f aca="true">IF(OR(BR51="",AE51=""),"",IF(AF51="",IF(NOW()&gt;EDATE(AE51,DORA_M_FIN)+1,0,""),IF(AF51&lt;=EDATE(AE51,DORA_M_FIN),1,0)))</f>
        <v/>
      </c>
      <c r="BV51" s="35" t="str">
        <f aca="false">IF(BR51="","",IF(COUNT(BS51:BU51)=0,"",MIN(BS51:BU51)))</f>
        <v/>
      </c>
      <c r="BW51" s="40" t="n">
        <f aca="false">IF(AQ51&lt;&gt;1,"",IF(AND(AG51="",AH51=""),"",N(AG51)-N(AH51)))</f>
        <v>24100</v>
      </c>
      <c r="BX51" s="35" t="n">
        <f aca="true">IF(OR(AQ51&lt;&gt;1,AI51&lt;&gt;"Oui",AJ51=""),"",IF(AK51="",IF(NOW()&gt;AJ51+1,0,""),IF(AK51&lt;=AJ51,1,0)))</f>
        <v>1</v>
      </c>
    </row>
    <row r="52" customFormat="false" ht="15" hidden="false" customHeight="false" outlineLevel="0" collapsed="false">
      <c r="B52" s="29" t="s">
        <v>273</v>
      </c>
      <c r="C52" s="29" t="s">
        <v>178</v>
      </c>
      <c r="D52" s="29" t="s">
        <v>191</v>
      </c>
      <c r="E52" s="29" t="s">
        <v>269</v>
      </c>
      <c r="F52" s="29" t="s">
        <v>172</v>
      </c>
      <c r="G52" s="29" t="s">
        <v>164</v>
      </c>
      <c r="H52" s="29"/>
      <c r="I52" s="29" t="s">
        <v>274</v>
      </c>
      <c r="J52" s="29" t="s">
        <v>167</v>
      </c>
      <c r="K52" s="29" t="s">
        <v>168</v>
      </c>
      <c r="L52" s="29" t="s">
        <v>169</v>
      </c>
      <c r="M52" s="29" t="s">
        <v>176</v>
      </c>
      <c r="N52" s="30" t="n">
        <v>46125.1597222222</v>
      </c>
      <c r="O52" s="30" t="n">
        <v>46125.3715277778</v>
      </c>
      <c r="P52" s="30" t="n">
        <v>46125.3784722222</v>
      </c>
      <c r="Q52" s="30" t="n">
        <v>46125.625</v>
      </c>
      <c r="R52" s="30" t="n">
        <v>46127.625</v>
      </c>
      <c r="S52" s="30" t="n">
        <v>46153.7395833333</v>
      </c>
      <c r="T52" s="30"/>
      <c r="U52" s="30"/>
      <c r="V52" s="31" t="n">
        <v>1</v>
      </c>
      <c r="W52" s="29" t="s">
        <v>168</v>
      </c>
      <c r="X52" s="29"/>
      <c r="Y52" s="29" t="s">
        <v>168</v>
      </c>
      <c r="Z52" s="29" t="s">
        <v>168</v>
      </c>
      <c r="AA52" s="30"/>
      <c r="AB52" s="30"/>
      <c r="AC52" s="30"/>
      <c r="AD52" s="30"/>
      <c r="AE52" s="30"/>
      <c r="AF52" s="32"/>
      <c r="AG52" s="33"/>
      <c r="AH52" s="33"/>
      <c r="AI52" s="29" t="s">
        <v>168</v>
      </c>
      <c r="AJ52" s="32"/>
      <c r="AK52" s="32"/>
      <c r="AL52" s="29"/>
      <c r="AN52" s="34" t="str">
        <f aca="false">IF($B52="","",IF(OR(C52="",D52="",E52="",G52="",I52="",J52="",L52="",O52="",P52=""),"Champ obligatoire manquant",IF(OR(AND(N52&lt;&gt;"",N52&gt;O52),O52&gt;P52,AND(Q52&lt;&gt;"",Q52&lt;P52),AND(R52&lt;&gt;"",R52&lt;P52),AND(S52&lt;&gt;"",S52&lt;R52),AND(S52&lt;&gt;"",R52=""),AND(T52&lt;&gt;"",T52&lt;O52),AND(U52&lt;&gt;"",U52&lt;O52)),"Chronologie incohérente",IF(AND(OR(L52="Résolu",L52="Clos"),R52=""),"Date de résolution manquante",IF(AND(L52="Clos",S52=""),"Date de clôture manquante",IF(AND(K52="Oui",AC52=""),"Classification DORA manquante","OK"))))))</f>
        <v>OK</v>
      </c>
      <c r="AO52" s="35" t="n">
        <f aca="false">IF($B52="","",IF(AND(C52="Incident",L52&lt;&gt;"Annulé"),1,0))</f>
        <v>1</v>
      </c>
      <c r="AP52" s="35" t="n">
        <f aca="false">IF($B52="","",IF(AND(C52="Quasi-incident",L52&lt;&gt;"Annulé"),1,0))</f>
        <v>0</v>
      </c>
      <c r="AQ52" s="35" t="n">
        <f aca="false">IF($B52="","",AO52+AP52)</f>
        <v>1</v>
      </c>
      <c r="AR52" s="36" t="n">
        <f aca="false">IF(OR($B52="",J52=""),"",IFERROR(VALUE(LEFT(J52,1)),""))</f>
        <v>3</v>
      </c>
      <c r="AS52" s="35" t="n">
        <f aca="false">IF(OR(AO52&lt;&gt;1,G52=""),"",IFERROR(IF(INDEX(L_SrcInterne,MATCH(G52,L_Sources,0))="Oui",1,0),""))</f>
        <v>1</v>
      </c>
      <c r="AT52" s="37" t="n">
        <f aca="false">IF(AO52&lt;&gt;1,"",IFERROR(ROUND(IF(OR(N52="",O52=""),"",IF(O52&lt;N52,"",ROUND(((NETWORKDAYS(N52,O52,JoursFeries)-1)*(HFer-HOuv)+IF(NETWORKDAYS(O52,O52,JoursFeries),MEDIAN(MOD(O52,1),HFer,HOuv),HFer)-IF(NETWORKDAYS(N52,N52,JoursFeries),MEDIAN(MOD(N52,1),HFer,HOuv),HOuv))*24,4)))/HJour,4),""))</f>
        <v>0</v>
      </c>
      <c r="AU52" s="37" t="n">
        <f aca="false">IF(AO52&lt;&gt;1,"",IF(OR(O52="",P52=""),"",IF(P52&lt;O52,"",ROUND(((NETWORKDAYS(O52,P52,JoursFeries)-1)*(HFer-HOuv)+IF(NETWORKDAYS(P52,P52,JoursFeries),MEDIAN(MOD(P52,1),HFer,HOuv),HFer)-IF(NETWORKDAYS(O52,O52,JoursFeries),MEDIAN(MOD(O52,1),HFer,HOuv),HOuv))*24,4))))</f>
        <v>0.0833</v>
      </c>
      <c r="AV52" s="37" t="n">
        <f aca="false">IF(AO52&lt;&gt;1,"",IF(OR(P52="",Q52=""),"",IF(Q52&lt;P52,"",ROUND(((NETWORKDAYS(P52,Q52,JoursFeries)-1)*(HFer-HOuv)+IF(NETWORKDAYS(Q52,Q52,JoursFeries),MEDIAN(MOD(Q52,1),HFer,HOuv),HFer)-IF(NETWORKDAYS(P52,P52,JoursFeries),MEDIAN(MOD(P52,1),HFer,HOuv),HOuv))*24,4))))</f>
        <v>5.9167</v>
      </c>
      <c r="AW52" s="37" t="n">
        <f aca="false">IF(AO52&lt;&gt;1,"",IFERROR(ROUND(IF(OR(P52="",R52=""),"",IF(R52&lt;P52,"",ROUND(((NETWORKDAYS(P52,R52,JoursFeries)-1)*(HFer-HOuv)+IF(NETWORKDAYS(R52,R52,JoursFeries),MEDIAN(MOD(R52,1),HFer,HOuv),HFer)-IF(NETWORKDAYS(P52,P52,JoursFeries),MEDIAN(MOD(P52,1),HFer,HOuv),HOuv))*24,4)))/HJour,4),""))</f>
        <v>2.6574</v>
      </c>
      <c r="AX52" s="37" t="n">
        <f aca="false">IF(AO52&lt;&gt;1,"",IFERROR(ROUND(IF(OR(P52="",S52=""),"",IF(S52&lt;P52,"",ROUND(((NETWORKDAYS(P52,S52,JoursFeries)-1)*(HFer-HOuv)+IF(NETWORKDAYS(S52,S52,JoursFeries),MEDIAN(MOD(S52,1),HFer,HOuv),HFer)-IF(NETWORKDAYS(P52,P52,JoursFeries),MEDIAN(MOD(P52,1),HFer,HOuv),HOuv))*24,4)))/HJour,4),""))</f>
        <v>18.963</v>
      </c>
      <c r="AY52" s="36" t="n">
        <f aca="false">IF(OR(AO52&lt;&gt;1,AR52=""),"",INDEX(SLA_PEC,AR52))</f>
        <v>9</v>
      </c>
      <c r="AZ52" s="35" t="n">
        <f aca="false">IF(OR(AV52="",AY52=""),"",IF(AV52&lt;=AY52,1,0))</f>
        <v>1</v>
      </c>
      <c r="BA52" s="36" t="n">
        <f aca="false">IF(OR(AO52&lt;&gt;1,AR52=""),"",INDEX(SLA_RES,AR52))</f>
        <v>10</v>
      </c>
      <c r="BB52" s="35" t="n">
        <f aca="false">IF(OR(AW52="",BA52=""),"",IF(AW52&lt;=BA52,1,0))</f>
        <v>1</v>
      </c>
      <c r="BC52" s="38" t="n">
        <f aca="false">IF(OR(BA52="",P52=""),"",WORKDAY(INT(P52),BA52,JoursFeries)+MOD(P52,1))</f>
        <v>46139.3784722222</v>
      </c>
      <c r="BD52" s="39" t="n">
        <f aca="false">IF(AO52&lt;&gt;1,"",IF(OR(AB52&lt;&gt;"",AD52&lt;&gt;""),4,IF(U52&lt;&gt;"",3,IF(T52&lt;&gt;"",2,1))))</f>
        <v>1</v>
      </c>
      <c r="BE52" s="39" t="n">
        <f aca="false">IF(OR(AO52&lt;&gt;1,AR52=""),"",INDEX(NIV_REQ,AR52))</f>
        <v>1</v>
      </c>
      <c r="BF52" s="39" t="n">
        <f aca="false">IF(BE52="","",MAX(BE52,IF(OR(K52="Oui",Z52="Oui"),4,1)))</f>
        <v>1</v>
      </c>
      <c r="BG52" s="35" t="n">
        <f aca="false">IF(OR(BF52="",BD52=""),"",IF(BD52&gt;=BF52,1,0))</f>
        <v>1</v>
      </c>
      <c r="BH52" s="38" t="str">
        <f aca="false">IF(BE52="","",IF(BE52&lt;2,"",IF(BE52=2,IF(AND(T52="",U52=""),"",MIN(T52,U52)),IF(U52="","",U52))))</f>
        <v/>
      </c>
      <c r="BI52" s="37" t="str">
        <f aca="false">IF(BH52="","",IF(OR(O52="",BH52=""),"",IF(BH52&lt;O52,"",ROUND(((NETWORKDAYS(O52,BH52,JoursFeries)-1)*(HFer-HOuv)+IF(NETWORKDAYS(BH52,BH52,JoursFeries),MEDIAN(MOD(BH52,1),HFer,HOuv),HFer)-IF(NETWORKDAYS(O52,O52,JoursFeries),MEDIAN(MOD(O52,1),HFer,HOuv),HOuv))*24,4))))</f>
        <v/>
      </c>
      <c r="BJ52" s="35" t="str">
        <f aca="false">IF(OR(BI52="",AR52=""),"",IF(BI52&lt;=INDEX(DELAI_ESC,AR52),1,0))</f>
        <v/>
      </c>
      <c r="BK52" s="38" t="str">
        <f aca="false">IF(AO52&lt;&gt;1,"",IF(AND(T52="",U52=""),"",MIN(T52,U52)))</f>
        <v/>
      </c>
      <c r="BL52" s="37" t="str">
        <f aca="false">IF(OR(BK52="",R52=""),"",IFERROR(ROUND(IF(OR(BK52="",R52=""),"",IF(R52&lt;BK52,"",ROUND(((NETWORKDAYS(BK52,R52,JoursFeries)-1)*(HFer-HOuv)+IF(NETWORKDAYS(R52,R52,JoursFeries),MEDIAN(MOD(R52,1),HFer,HOuv),HFer)-IF(NETWORKDAYS(BK52,BK52,JoursFeries),MEDIAN(MOD(BK52,1),HFer,HOuv),HOuv))*24,4)))/HJour,4),""))</f>
        <v/>
      </c>
      <c r="BM52" s="35" t="n">
        <f aca="false">IF(OR(AO52&lt;&gt;1,R52=""),"",IF(BD52=1,1,0))</f>
        <v>1</v>
      </c>
      <c r="BN52" s="35" t="n">
        <f aca="false">IF(AO52&lt;&gt;1,"",IF(W52="Oui",1,0))</f>
        <v>0</v>
      </c>
      <c r="BO52" s="35" t="n">
        <f aca="false">IF(AO52&lt;&gt;1,"",IF(X52&lt;&gt;"",1,0))</f>
        <v>0</v>
      </c>
      <c r="BP52" s="35" t="n">
        <f aca="false">IF(AO52&lt;&gt;1,"",IF(Y52="Oui",1,0))</f>
        <v>0</v>
      </c>
      <c r="BQ52" s="35" t="str">
        <f aca="true">IF(OR(AO52&lt;&gt;1,Z52&lt;&gt;"Oui"),"",IF(AB52="",IF(AND(AA52&lt;&gt;"",NOW()&gt;AA52),0,""),IF(AA52="","",IF(AB52&lt;=AA52,1,0))))</f>
        <v/>
      </c>
      <c r="BR52" s="38" t="str">
        <f aca="false">IF(OR(AO52&lt;&gt;1,K52&lt;&gt;"Oui",O52=""),"",IF(AC52="",O52+DORA_H_DET/24,IF(AC52-O52&lt;=DORA_H_DET/24,MIN(AC52+DORA_H_CLA/24,O52+DORA_H_DET/24),AC52+DORA_H_CLA/24)))</f>
        <v/>
      </c>
      <c r="BS52" s="35" t="str">
        <f aca="true">IF(BR52="","",IF(AD52="",IF(NOW()&gt;BR52,0,""),IF(AD52&lt;=BR52,1,0)))</f>
        <v/>
      </c>
      <c r="BT52" s="35" t="str">
        <f aca="true">IF(OR(BR52="",AD52=""),"",IF(AE52="",IF(NOW()&gt;AD52+DORA_H_INT/24,0,""),IF(AE52&lt;=AD52+DORA_H_INT/24,1,0)))</f>
        <v/>
      </c>
      <c r="BU52" s="35" t="str">
        <f aca="true">IF(OR(BR52="",AE52=""),"",IF(AF52="",IF(NOW()&gt;EDATE(AE52,DORA_M_FIN)+1,0,""),IF(AF52&lt;=EDATE(AE52,DORA_M_FIN),1,0)))</f>
        <v/>
      </c>
      <c r="BV52" s="35" t="str">
        <f aca="false">IF(BR52="","",IF(COUNT(BS52:BU52)=0,"",MIN(BS52:BU52)))</f>
        <v/>
      </c>
      <c r="BW52" s="40" t="str">
        <f aca="false">IF(AQ52&lt;&gt;1,"",IF(AND(AG52="",AH52=""),"",N(AG52)-N(AH52)))</f>
        <v/>
      </c>
      <c r="BX52" s="35" t="str">
        <f aca="true">IF(OR(AQ52&lt;&gt;1,AI52&lt;&gt;"Oui",AJ52=""),"",IF(AK52="",IF(NOW()&gt;AJ52+1,0,""),IF(AK52&lt;=AJ52,1,0)))</f>
        <v/>
      </c>
    </row>
    <row r="53" customFormat="false" ht="15" hidden="false" customHeight="false" outlineLevel="0" collapsed="false">
      <c r="B53" s="29" t="s">
        <v>275</v>
      </c>
      <c r="C53" s="29" t="s">
        <v>160</v>
      </c>
      <c r="D53" s="29" t="s">
        <v>191</v>
      </c>
      <c r="E53" s="29" t="s">
        <v>221</v>
      </c>
      <c r="F53" s="29" t="s">
        <v>172</v>
      </c>
      <c r="G53" s="29" t="s">
        <v>164</v>
      </c>
      <c r="H53" s="29"/>
      <c r="I53" s="29" t="s">
        <v>276</v>
      </c>
      <c r="J53" s="29" t="s">
        <v>187</v>
      </c>
      <c r="K53" s="29" t="s">
        <v>168</v>
      </c>
      <c r="L53" s="29" t="s">
        <v>169</v>
      </c>
      <c r="M53" s="29" t="s">
        <v>176</v>
      </c>
      <c r="N53" s="30" t="n">
        <v>46126.28125</v>
      </c>
      <c r="O53" s="30" t="n">
        <v>46126.4895833333</v>
      </c>
      <c r="P53" s="30" t="n">
        <v>46126.5729166667</v>
      </c>
      <c r="Q53" s="30" t="n">
        <v>46127.4791666667</v>
      </c>
      <c r="R53" s="30" t="n">
        <v>46128.5520833333</v>
      </c>
      <c r="S53" s="30" t="n">
        <v>46140.4618055556</v>
      </c>
      <c r="T53" s="30"/>
      <c r="U53" s="30"/>
      <c r="V53" s="31" t="n">
        <v>0</v>
      </c>
      <c r="W53" s="29" t="s">
        <v>168</v>
      </c>
      <c r="X53" s="29"/>
      <c r="Y53" s="29" t="s">
        <v>168</v>
      </c>
      <c r="Z53" s="29" t="s">
        <v>168</v>
      </c>
      <c r="AA53" s="30"/>
      <c r="AB53" s="30"/>
      <c r="AC53" s="30"/>
      <c r="AD53" s="30"/>
      <c r="AE53" s="30"/>
      <c r="AF53" s="32"/>
      <c r="AG53" s="33"/>
      <c r="AH53" s="33"/>
      <c r="AI53" s="29" t="s">
        <v>168</v>
      </c>
      <c r="AJ53" s="32"/>
      <c r="AK53" s="32"/>
      <c r="AL53" s="29"/>
      <c r="AN53" s="34" t="str">
        <f aca="false">IF($B53="","",IF(OR(C53="",D53="",E53="",G53="",I53="",J53="",L53="",O53="",P53=""),"Champ obligatoire manquant",IF(OR(AND(N53&lt;&gt;"",N53&gt;O53),O53&gt;P53,AND(Q53&lt;&gt;"",Q53&lt;P53),AND(R53&lt;&gt;"",R53&lt;P53),AND(S53&lt;&gt;"",S53&lt;R53),AND(S53&lt;&gt;"",R53=""),AND(T53&lt;&gt;"",T53&lt;O53),AND(U53&lt;&gt;"",U53&lt;O53)),"Chronologie incohérente",IF(AND(OR(L53="Résolu",L53="Clos"),R53=""),"Date de résolution manquante",IF(AND(L53="Clos",S53=""),"Date de clôture manquante",IF(AND(K53="Oui",AC53=""),"Classification DORA manquante","OK"))))))</f>
        <v>OK</v>
      </c>
      <c r="AO53" s="35" t="n">
        <f aca="false">IF($B53="","",IF(AND(C53="Incident",L53&lt;&gt;"Annulé"),1,0))</f>
        <v>0</v>
      </c>
      <c r="AP53" s="35" t="n">
        <f aca="false">IF($B53="","",IF(AND(C53="Quasi-incident",L53&lt;&gt;"Annulé"),1,0))</f>
        <v>1</v>
      </c>
      <c r="AQ53" s="35" t="n">
        <f aca="false">IF($B53="","",AO53+AP53)</f>
        <v>1</v>
      </c>
      <c r="AR53" s="36" t="n">
        <f aca="false">IF(OR($B53="",J53=""),"",IFERROR(VALUE(LEFT(J53,1)),""))</f>
        <v>4</v>
      </c>
      <c r="AS53" s="35" t="str">
        <f aca="false">IF(OR(AO53&lt;&gt;1,G53=""),"",IFERROR(IF(INDEX(L_SrcInterne,MATCH(G53,L_Sources,0))="Oui",1,0),""))</f>
        <v/>
      </c>
      <c r="AT53" s="37" t="str">
        <f aca="false">IF(AO53&lt;&gt;1,"",IFERROR(ROUND(IF(OR(N53="",O53=""),"",IF(O53&lt;N53,"",ROUND(((NETWORKDAYS(N53,O53,JoursFeries)-1)*(HFer-HOuv)+IF(NETWORKDAYS(O53,O53,JoursFeries),MEDIAN(MOD(O53,1),HFer,HOuv),HFer)-IF(NETWORKDAYS(N53,N53,JoursFeries),MEDIAN(MOD(N53,1),HFer,HOuv),HOuv))*24,4)))/HJour,4),""))</f>
        <v/>
      </c>
      <c r="AU53" s="37" t="str">
        <f aca="false">IF(AO53&lt;&gt;1,"",IF(OR(O53="",P53=""),"",IF(P53&lt;O53,"",ROUND(((NETWORKDAYS(O53,P53,JoursFeries)-1)*(HFer-HOuv)+IF(NETWORKDAYS(P53,P53,JoursFeries),MEDIAN(MOD(P53,1),HFer,HOuv),HFer)-IF(NETWORKDAYS(O53,O53,JoursFeries),MEDIAN(MOD(O53,1),HFer,HOuv),HOuv))*24,4))))</f>
        <v/>
      </c>
      <c r="AV53" s="37" t="str">
        <f aca="false">IF(AO53&lt;&gt;1,"",IF(OR(P53="",Q53=""),"",IF(Q53&lt;P53,"",ROUND(((NETWORKDAYS(P53,Q53,JoursFeries)-1)*(HFer-HOuv)+IF(NETWORKDAYS(Q53,Q53,JoursFeries),MEDIAN(MOD(Q53,1),HFer,HOuv),HFer)-IF(NETWORKDAYS(P53,P53,JoursFeries),MEDIAN(MOD(P53,1),HFer,HOuv),HOuv))*24,4))))</f>
        <v/>
      </c>
      <c r="AW53" s="37" t="str">
        <f aca="false">IF(AO53&lt;&gt;1,"",IFERROR(ROUND(IF(OR(P53="",R53=""),"",IF(R53&lt;P53,"",ROUND(((NETWORKDAYS(P53,R53,JoursFeries)-1)*(HFer-HOuv)+IF(NETWORKDAYS(R53,R53,JoursFeries),MEDIAN(MOD(R53,1),HFer,HOuv),HFer)-IF(NETWORKDAYS(P53,P53,JoursFeries),MEDIAN(MOD(P53,1),HFer,HOuv),HOuv))*24,4)))/HJour,4),""))</f>
        <v/>
      </c>
      <c r="AX53" s="37" t="str">
        <f aca="false">IF(AO53&lt;&gt;1,"",IFERROR(ROUND(IF(OR(P53="",S53=""),"",IF(S53&lt;P53,"",ROUND(((NETWORKDAYS(P53,S53,JoursFeries)-1)*(HFer-HOuv)+IF(NETWORKDAYS(S53,S53,JoursFeries),MEDIAN(MOD(S53,1),HFer,HOuv),HFer)-IF(NETWORKDAYS(P53,P53,JoursFeries),MEDIAN(MOD(P53,1),HFer,HOuv),HOuv))*24,4)))/HJour,4),""))</f>
        <v/>
      </c>
      <c r="AY53" s="36" t="str">
        <f aca="false">IF(OR(AO53&lt;&gt;1,AR53=""),"",INDEX(SLA_PEC,AR53))</f>
        <v/>
      </c>
      <c r="AZ53" s="35" t="str">
        <f aca="false">IF(OR(AV53="",AY53=""),"",IF(AV53&lt;=AY53,1,0))</f>
        <v/>
      </c>
      <c r="BA53" s="36" t="str">
        <f aca="false">IF(OR(AO53&lt;&gt;1,AR53=""),"",INDEX(SLA_RES,AR53))</f>
        <v/>
      </c>
      <c r="BB53" s="35" t="str">
        <f aca="false">IF(OR(AW53="",BA53=""),"",IF(AW53&lt;=BA53,1,0))</f>
        <v/>
      </c>
      <c r="BC53" s="38" t="str">
        <f aca="false">IF(OR(BA53="",P53=""),"",WORKDAY(INT(P53),BA53,JoursFeries)+MOD(P53,1))</f>
        <v/>
      </c>
      <c r="BD53" s="39" t="str">
        <f aca="false">IF(AO53&lt;&gt;1,"",IF(OR(AB53&lt;&gt;"",AD53&lt;&gt;""),4,IF(U53&lt;&gt;"",3,IF(T53&lt;&gt;"",2,1))))</f>
        <v/>
      </c>
      <c r="BE53" s="39" t="str">
        <f aca="false">IF(OR(AO53&lt;&gt;1,AR53=""),"",INDEX(NIV_REQ,AR53))</f>
        <v/>
      </c>
      <c r="BF53" s="39" t="str">
        <f aca="false">IF(BE53="","",MAX(BE53,IF(OR(K53="Oui",Z53="Oui"),4,1)))</f>
        <v/>
      </c>
      <c r="BG53" s="35" t="str">
        <f aca="false">IF(OR(BF53="",BD53=""),"",IF(BD53&gt;=BF53,1,0))</f>
        <v/>
      </c>
      <c r="BH53" s="38" t="str">
        <f aca="false">IF(BE53="","",IF(BE53&lt;2,"",IF(BE53=2,IF(AND(T53="",U53=""),"",MIN(T53,U53)),IF(U53="","",U53))))</f>
        <v/>
      </c>
      <c r="BI53" s="37" t="str">
        <f aca="false">IF(BH53="","",IF(OR(O53="",BH53=""),"",IF(BH53&lt;O53,"",ROUND(((NETWORKDAYS(O53,BH53,JoursFeries)-1)*(HFer-HOuv)+IF(NETWORKDAYS(BH53,BH53,JoursFeries),MEDIAN(MOD(BH53,1),HFer,HOuv),HFer)-IF(NETWORKDAYS(O53,O53,JoursFeries),MEDIAN(MOD(O53,1),HFer,HOuv),HOuv))*24,4))))</f>
        <v/>
      </c>
      <c r="BJ53" s="35" t="str">
        <f aca="false">IF(OR(BI53="",AR53=""),"",IF(BI53&lt;=INDEX(DELAI_ESC,AR53),1,0))</f>
        <v/>
      </c>
      <c r="BK53" s="38" t="str">
        <f aca="false">IF(AO53&lt;&gt;1,"",IF(AND(T53="",U53=""),"",MIN(T53,U53)))</f>
        <v/>
      </c>
      <c r="BL53" s="37" t="str">
        <f aca="false">IF(OR(BK53="",R53=""),"",IFERROR(ROUND(IF(OR(BK53="",R53=""),"",IF(R53&lt;BK53,"",ROUND(((NETWORKDAYS(BK53,R53,JoursFeries)-1)*(HFer-HOuv)+IF(NETWORKDAYS(R53,R53,JoursFeries),MEDIAN(MOD(R53,1),HFer,HOuv),HFer)-IF(NETWORKDAYS(BK53,BK53,JoursFeries),MEDIAN(MOD(BK53,1),HFer,HOuv),HOuv))*24,4)))/HJour,4),""))</f>
        <v/>
      </c>
      <c r="BM53" s="35" t="str">
        <f aca="false">IF(OR(AO53&lt;&gt;1,R53=""),"",IF(BD53=1,1,0))</f>
        <v/>
      </c>
      <c r="BN53" s="35" t="str">
        <f aca="false">IF(AO53&lt;&gt;1,"",IF(W53="Oui",1,0))</f>
        <v/>
      </c>
      <c r="BO53" s="35" t="str">
        <f aca="false">IF(AO53&lt;&gt;1,"",IF(X53&lt;&gt;"",1,0))</f>
        <v/>
      </c>
      <c r="BP53" s="35" t="str">
        <f aca="false">IF(AO53&lt;&gt;1,"",IF(Y53="Oui",1,0))</f>
        <v/>
      </c>
      <c r="BQ53" s="35" t="str">
        <f aca="true">IF(OR(AO53&lt;&gt;1,Z53&lt;&gt;"Oui"),"",IF(AB53="",IF(AND(AA53&lt;&gt;"",NOW()&gt;AA53),0,""),IF(AA53="","",IF(AB53&lt;=AA53,1,0))))</f>
        <v/>
      </c>
      <c r="BR53" s="38" t="str">
        <f aca="false">IF(OR(AO53&lt;&gt;1,K53&lt;&gt;"Oui",O53=""),"",IF(AC53="",O53+DORA_H_DET/24,IF(AC53-O53&lt;=DORA_H_DET/24,MIN(AC53+DORA_H_CLA/24,O53+DORA_H_DET/24),AC53+DORA_H_CLA/24)))</f>
        <v/>
      </c>
      <c r="BS53" s="35" t="str">
        <f aca="true">IF(BR53="","",IF(AD53="",IF(NOW()&gt;BR53,0,""),IF(AD53&lt;=BR53,1,0)))</f>
        <v/>
      </c>
      <c r="BT53" s="35" t="str">
        <f aca="true">IF(OR(BR53="",AD53=""),"",IF(AE53="",IF(NOW()&gt;AD53+DORA_H_INT/24,0,""),IF(AE53&lt;=AD53+DORA_H_INT/24,1,0)))</f>
        <v/>
      </c>
      <c r="BU53" s="35" t="str">
        <f aca="true">IF(OR(BR53="",AE53=""),"",IF(AF53="",IF(NOW()&gt;EDATE(AE53,DORA_M_FIN)+1,0,""),IF(AF53&lt;=EDATE(AE53,DORA_M_FIN),1,0)))</f>
        <v/>
      </c>
      <c r="BV53" s="35" t="str">
        <f aca="false">IF(BR53="","",IF(COUNT(BS53:BU53)=0,"",MIN(BS53:BU53)))</f>
        <v/>
      </c>
      <c r="BW53" s="40" t="str">
        <f aca="false">IF(AQ53&lt;&gt;1,"",IF(AND(AG53="",AH53=""),"",N(AG53)-N(AH53)))</f>
        <v/>
      </c>
      <c r="BX53" s="35" t="str">
        <f aca="true">IF(OR(AQ53&lt;&gt;1,AI53&lt;&gt;"Oui",AJ53=""),"",IF(AK53="",IF(NOW()&gt;AJ53+1,0,""),IF(AK53&lt;=AJ53,1,0)))</f>
        <v/>
      </c>
    </row>
    <row r="54" customFormat="false" ht="15" hidden="false" customHeight="false" outlineLevel="0" collapsed="false">
      <c r="B54" s="29" t="s">
        <v>277</v>
      </c>
      <c r="C54" s="29" t="s">
        <v>160</v>
      </c>
      <c r="D54" s="29" t="s">
        <v>195</v>
      </c>
      <c r="E54" s="29" t="s">
        <v>162</v>
      </c>
      <c r="F54" s="29" t="s">
        <v>172</v>
      </c>
      <c r="G54" s="29" t="s">
        <v>173</v>
      </c>
      <c r="H54" s="29" t="s">
        <v>165</v>
      </c>
      <c r="I54" s="29" t="s">
        <v>186</v>
      </c>
      <c r="J54" s="29" t="s">
        <v>187</v>
      </c>
      <c r="K54" s="29" t="s">
        <v>168</v>
      </c>
      <c r="L54" s="29" t="s">
        <v>169</v>
      </c>
      <c r="M54" s="29" t="s">
        <v>174</v>
      </c>
      <c r="N54" s="30" t="n">
        <v>46122.7256944445</v>
      </c>
      <c r="O54" s="30" t="n">
        <v>46127.7256944445</v>
      </c>
      <c r="P54" s="30" t="n">
        <v>46127.7326388889</v>
      </c>
      <c r="Q54" s="30" t="n">
        <v>46128.4895833333</v>
      </c>
      <c r="R54" s="30" t="n">
        <v>46134.4340277778</v>
      </c>
      <c r="S54" s="30" t="n">
        <v>46141.4965277778</v>
      </c>
      <c r="T54" s="30"/>
      <c r="U54" s="30"/>
      <c r="V54" s="31" t="n">
        <v>0</v>
      </c>
      <c r="W54" s="29" t="s">
        <v>168</v>
      </c>
      <c r="X54" s="29"/>
      <c r="Y54" s="29" t="s">
        <v>168</v>
      </c>
      <c r="Z54" s="29" t="s">
        <v>168</v>
      </c>
      <c r="AA54" s="30"/>
      <c r="AB54" s="30"/>
      <c r="AC54" s="30"/>
      <c r="AD54" s="30"/>
      <c r="AE54" s="30"/>
      <c r="AF54" s="32"/>
      <c r="AG54" s="33"/>
      <c r="AH54" s="33"/>
      <c r="AI54" s="29" t="s">
        <v>168</v>
      </c>
      <c r="AJ54" s="32"/>
      <c r="AK54" s="32"/>
      <c r="AL54" s="29"/>
      <c r="AN54" s="34" t="str">
        <f aca="false">IF($B54="","",IF(OR(C54="",D54="",E54="",G54="",I54="",J54="",L54="",O54="",P54=""),"Champ obligatoire manquant",IF(OR(AND(N54&lt;&gt;"",N54&gt;O54),O54&gt;P54,AND(Q54&lt;&gt;"",Q54&lt;P54),AND(R54&lt;&gt;"",R54&lt;P54),AND(S54&lt;&gt;"",S54&lt;R54),AND(S54&lt;&gt;"",R54=""),AND(T54&lt;&gt;"",T54&lt;O54),AND(U54&lt;&gt;"",U54&lt;O54)),"Chronologie incohérente",IF(AND(OR(L54="Résolu",L54="Clos"),R54=""),"Date de résolution manquante",IF(AND(L54="Clos",S54=""),"Date de clôture manquante",IF(AND(K54="Oui",AC54=""),"Classification DORA manquante","OK"))))))</f>
        <v>OK</v>
      </c>
      <c r="AO54" s="35" t="n">
        <f aca="false">IF($B54="","",IF(AND(C54="Incident",L54&lt;&gt;"Annulé"),1,0))</f>
        <v>0</v>
      </c>
      <c r="AP54" s="35" t="n">
        <f aca="false">IF($B54="","",IF(AND(C54="Quasi-incident",L54&lt;&gt;"Annulé"),1,0))</f>
        <v>1</v>
      </c>
      <c r="AQ54" s="35" t="n">
        <f aca="false">IF($B54="","",AO54+AP54)</f>
        <v>1</v>
      </c>
      <c r="AR54" s="36" t="n">
        <f aca="false">IF(OR($B54="",J54=""),"",IFERROR(VALUE(LEFT(J54,1)),""))</f>
        <v>4</v>
      </c>
      <c r="AS54" s="35" t="str">
        <f aca="false">IF(OR(AO54&lt;&gt;1,G54=""),"",IFERROR(IF(INDEX(L_SrcInterne,MATCH(G54,L_Sources,0))="Oui",1,0),""))</f>
        <v/>
      </c>
      <c r="AT54" s="37" t="str">
        <f aca="false">IF(AO54&lt;&gt;1,"",IFERROR(ROUND(IF(OR(N54="",O54=""),"",IF(O54&lt;N54,"",ROUND(((NETWORKDAYS(N54,O54,JoursFeries)-1)*(HFer-HOuv)+IF(NETWORKDAYS(O54,O54,JoursFeries),MEDIAN(MOD(O54,1),HFer,HOuv),HFer)-IF(NETWORKDAYS(N54,N54,JoursFeries),MEDIAN(MOD(N54,1),HFer,HOuv),HOuv))*24,4)))/HJour,4),""))</f>
        <v/>
      </c>
      <c r="AU54" s="37" t="str">
        <f aca="false">IF(AO54&lt;&gt;1,"",IF(OR(O54="",P54=""),"",IF(P54&lt;O54,"",ROUND(((NETWORKDAYS(O54,P54,JoursFeries)-1)*(HFer-HOuv)+IF(NETWORKDAYS(P54,P54,JoursFeries),MEDIAN(MOD(P54,1),HFer,HOuv),HFer)-IF(NETWORKDAYS(O54,O54,JoursFeries),MEDIAN(MOD(O54,1),HFer,HOuv),HOuv))*24,4))))</f>
        <v/>
      </c>
      <c r="AV54" s="37" t="str">
        <f aca="false">IF(AO54&lt;&gt;1,"",IF(OR(P54="",Q54=""),"",IF(Q54&lt;P54,"",ROUND(((NETWORKDAYS(P54,Q54,JoursFeries)-1)*(HFer-HOuv)+IF(NETWORKDAYS(Q54,Q54,JoursFeries),MEDIAN(MOD(Q54,1),HFer,HOuv),HFer)-IF(NETWORKDAYS(P54,P54,JoursFeries),MEDIAN(MOD(P54,1),HFer,HOuv),HOuv))*24,4))))</f>
        <v/>
      </c>
      <c r="AW54" s="37" t="str">
        <f aca="false">IF(AO54&lt;&gt;1,"",IFERROR(ROUND(IF(OR(P54="",R54=""),"",IF(R54&lt;P54,"",ROUND(((NETWORKDAYS(P54,R54,JoursFeries)-1)*(HFer-HOuv)+IF(NETWORKDAYS(R54,R54,JoursFeries),MEDIAN(MOD(R54,1),HFer,HOuv),HFer)-IF(NETWORKDAYS(P54,P54,JoursFeries),MEDIAN(MOD(P54,1),HFer,HOuv),HOuv))*24,4)))/HJour,4),""))</f>
        <v/>
      </c>
      <c r="AX54" s="37" t="str">
        <f aca="false">IF(AO54&lt;&gt;1,"",IFERROR(ROUND(IF(OR(P54="",S54=""),"",IF(S54&lt;P54,"",ROUND(((NETWORKDAYS(P54,S54,JoursFeries)-1)*(HFer-HOuv)+IF(NETWORKDAYS(S54,S54,JoursFeries),MEDIAN(MOD(S54,1),HFer,HOuv),HFer)-IF(NETWORKDAYS(P54,P54,JoursFeries),MEDIAN(MOD(P54,1),HFer,HOuv),HOuv))*24,4)))/HJour,4),""))</f>
        <v/>
      </c>
      <c r="AY54" s="36" t="str">
        <f aca="false">IF(OR(AO54&lt;&gt;1,AR54=""),"",INDEX(SLA_PEC,AR54))</f>
        <v/>
      </c>
      <c r="AZ54" s="35" t="str">
        <f aca="false">IF(OR(AV54="",AY54=""),"",IF(AV54&lt;=AY54,1,0))</f>
        <v/>
      </c>
      <c r="BA54" s="36" t="str">
        <f aca="false">IF(OR(AO54&lt;&gt;1,AR54=""),"",INDEX(SLA_RES,AR54))</f>
        <v/>
      </c>
      <c r="BB54" s="35" t="str">
        <f aca="false">IF(OR(AW54="",BA54=""),"",IF(AW54&lt;=BA54,1,0))</f>
        <v/>
      </c>
      <c r="BC54" s="38" t="str">
        <f aca="false">IF(OR(BA54="",P54=""),"",WORKDAY(INT(P54),BA54,JoursFeries)+MOD(P54,1))</f>
        <v/>
      </c>
      <c r="BD54" s="39" t="str">
        <f aca="false">IF(AO54&lt;&gt;1,"",IF(OR(AB54&lt;&gt;"",AD54&lt;&gt;""),4,IF(U54&lt;&gt;"",3,IF(T54&lt;&gt;"",2,1))))</f>
        <v/>
      </c>
      <c r="BE54" s="39" t="str">
        <f aca="false">IF(OR(AO54&lt;&gt;1,AR54=""),"",INDEX(NIV_REQ,AR54))</f>
        <v/>
      </c>
      <c r="BF54" s="39" t="str">
        <f aca="false">IF(BE54="","",MAX(BE54,IF(OR(K54="Oui",Z54="Oui"),4,1)))</f>
        <v/>
      </c>
      <c r="BG54" s="35" t="str">
        <f aca="false">IF(OR(BF54="",BD54=""),"",IF(BD54&gt;=BF54,1,0))</f>
        <v/>
      </c>
      <c r="BH54" s="38" t="str">
        <f aca="false">IF(BE54="","",IF(BE54&lt;2,"",IF(BE54=2,IF(AND(T54="",U54=""),"",MIN(T54,U54)),IF(U54="","",U54))))</f>
        <v/>
      </c>
      <c r="BI54" s="37" t="str">
        <f aca="false">IF(BH54="","",IF(OR(O54="",BH54=""),"",IF(BH54&lt;O54,"",ROUND(((NETWORKDAYS(O54,BH54,JoursFeries)-1)*(HFer-HOuv)+IF(NETWORKDAYS(BH54,BH54,JoursFeries),MEDIAN(MOD(BH54,1),HFer,HOuv),HFer)-IF(NETWORKDAYS(O54,O54,JoursFeries),MEDIAN(MOD(O54,1),HFer,HOuv),HOuv))*24,4))))</f>
        <v/>
      </c>
      <c r="BJ54" s="35" t="str">
        <f aca="false">IF(OR(BI54="",AR54=""),"",IF(BI54&lt;=INDEX(DELAI_ESC,AR54),1,0))</f>
        <v/>
      </c>
      <c r="BK54" s="38" t="str">
        <f aca="false">IF(AO54&lt;&gt;1,"",IF(AND(T54="",U54=""),"",MIN(T54,U54)))</f>
        <v/>
      </c>
      <c r="BL54" s="37" t="str">
        <f aca="false">IF(OR(BK54="",R54=""),"",IFERROR(ROUND(IF(OR(BK54="",R54=""),"",IF(R54&lt;BK54,"",ROUND(((NETWORKDAYS(BK54,R54,JoursFeries)-1)*(HFer-HOuv)+IF(NETWORKDAYS(R54,R54,JoursFeries),MEDIAN(MOD(R54,1),HFer,HOuv),HFer)-IF(NETWORKDAYS(BK54,BK54,JoursFeries),MEDIAN(MOD(BK54,1),HFer,HOuv),HOuv))*24,4)))/HJour,4),""))</f>
        <v/>
      </c>
      <c r="BM54" s="35" t="str">
        <f aca="false">IF(OR(AO54&lt;&gt;1,R54=""),"",IF(BD54=1,1,0))</f>
        <v/>
      </c>
      <c r="BN54" s="35" t="str">
        <f aca="false">IF(AO54&lt;&gt;1,"",IF(W54="Oui",1,0))</f>
        <v/>
      </c>
      <c r="BO54" s="35" t="str">
        <f aca="false">IF(AO54&lt;&gt;1,"",IF(X54&lt;&gt;"",1,0))</f>
        <v/>
      </c>
      <c r="BP54" s="35" t="str">
        <f aca="false">IF(AO54&lt;&gt;1,"",IF(Y54="Oui",1,0))</f>
        <v/>
      </c>
      <c r="BQ54" s="35" t="str">
        <f aca="true">IF(OR(AO54&lt;&gt;1,Z54&lt;&gt;"Oui"),"",IF(AB54="",IF(AND(AA54&lt;&gt;"",NOW()&gt;AA54),0,""),IF(AA54="","",IF(AB54&lt;=AA54,1,0))))</f>
        <v/>
      </c>
      <c r="BR54" s="38" t="str">
        <f aca="false">IF(OR(AO54&lt;&gt;1,K54&lt;&gt;"Oui",O54=""),"",IF(AC54="",O54+DORA_H_DET/24,IF(AC54-O54&lt;=DORA_H_DET/24,MIN(AC54+DORA_H_CLA/24,O54+DORA_H_DET/24),AC54+DORA_H_CLA/24)))</f>
        <v/>
      </c>
      <c r="BS54" s="35" t="str">
        <f aca="true">IF(BR54="","",IF(AD54="",IF(NOW()&gt;BR54,0,""),IF(AD54&lt;=BR54,1,0)))</f>
        <v/>
      </c>
      <c r="BT54" s="35" t="str">
        <f aca="true">IF(OR(BR54="",AD54=""),"",IF(AE54="",IF(NOW()&gt;AD54+DORA_H_INT/24,0,""),IF(AE54&lt;=AD54+DORA_H_INT/24,1,0)))</f>
        <v/>
      </c>
      <c r="BU54" s="35" t="str">
        <f aca="true">IF(OR(BR54="",AE54=""),"",IF(AF54="",IF(NOW()&gt;EDATE(AE54,DORA_M_FIN)+1,0,""),IF(AF54&lt;=EDATE(AE54,DORA_M_FIN),1,0)))</f>
        <v/>
      </c>
      <c r="BV54" s="35" t="str">
        <f aca="false">IF(BR54="","",IF(COUNT(BS54:BU54)=0,"",MIN(BS54:BU54)))</f>
        <v/>
      </c>
      <c r="BW54" s="40" t="str">
        <f aca="false">IF(AQ54&lt;&gt;1,"",IF(AND(AG54="",AH54=""),"",N(AG54)-N(AH54)))</f>
        <v/>
      </c>
      <c r="BX54" s="35" t="str">
        <f aca="true">IF(OR(AQ54&lt;&gt;1,AI54&lt;&gt;"Oui",AJ54=""),"",IF(AK54="",IF(NOW()&gt;AJ54+1,0,""),IF(AK54&lt;=AJ54,1,0)))</f>
        <v/>
      </c>
    </row>
    <row r="55" customFormat="false" ht="15" hidden="false" customHeight="false" outlineLevel="0" collapsed="false">
      <c r="B55" s="29" t="s">
        <v>278</v>
      </c>
      <c r="C55" s="29" t="s">
        <v>160</v>
      </c>
      <c r="D55" s="29" t="s">
        <v>161</v>
      </c>
      <c r="E55" s="29" t="s">
        <v>234</v>
      </c>
      <c r="F55" s="29" t="s">
        <v>172</v>
      </c>
      <c r="G55" s="29" t="s">
        <v>164</v>
      </c>
      <c r="H55" s="29"/>
      <c r="I55" s="29" t="s">
        <v>235</v>
      </c>
      <c r="J55" s="29" t="s">
        <v>187</v>
      </c>
      <c r="K55" s="29" t="s">
        <v>168</v>
      </c>
      <c r="L55" s="29" t="s">
        <v>169</v>
      </c>
      <c r="M55" s="29" t="s">
        <v>188</v>
      </c>
      <c r="N55" s="30" t="n">
        <v>46128.3472222222</v>
      </c>
      <c r="O55" s="30" t="n">
        <v>46128.5625</v>
      </c>
      <c r="P55" s="30" t="n">
        <v>46128.6458333333</v>
      </c>
      <c r="Q55" s="30" t="n">
        <v>46129.4201388889</v>
      </c>
      <c r="R55" s="30" t="n">
        <v>46129.6805555556</v>
      </c>
      <c r="S55" s="30" t="n">
        <v>46136.6597222222</v>
      </c>
      <c r="T55" s="30"/>
      <c r="U55" s="30"/>
      <c r="V55" s="31" t="n">
        <v>0</v>
      </c>
      <c r="W55" s="29" t="s">
        <v>168</v>
      </c>
      <c r="X55" s="29"/>
      <c r="Y55" s="29" t="s">
        <v>168</v>
      </c>
      <c r="Z55" s="29" t="s">
        <v>168</v>
      </c>
      <c r="AA55" s="30"/>
      <c r="AB55" s="30"/>
      <c r="AC55" s="30"/>
      <c r="AD55" s="30"/>
      <c r="AE55" s="30"/>
      <c r="AF55" s="32"/>
      <c r="AG55" s="33"/>
      <c r="AH55" s="33"/>
      <c r="AI55" s="29" t="s">
        <v>168</v>
      </c>
      <c r="AJ55" s="32"/>
      <c r="AK55" s="32"/>
      <c r="AL55" s="29"/>
      <c r="AN55" s="34" t="str">
        <f aca="false">IF($B55="","",IF(OR(C55="",D55="",E55="",G55="",I55="",J55="",L55="",O55="",P55=""),"Champ obligatoire manquant",IF(OR(AND(N55&lt;&gt;"",N55&gt;O55),O55&gt;P55,AND(Q55&lt;&gt;"",Q55&lt;P55),AND(R55&lt;&gt;"",R55&lt;P55),AND(S55&lt;&gt;"",S55&lt;R55),AND(S55&lt;&gt;"",R55=""),AND(T55&lt;&gt;"",T55&lt;O55),AND(U55&lt;&gt;"",U55&lt;O55)),"Chronologie incohérente",IF(AND(OR(L55="Résolu",L55="Clos"),R55=""),"Date de résolution manquante",IF(AND(L55="Clos",S55=""),"Date de clôture manquante",IF(AND(K55="Oui",AC55=""),"Classification DORA manquante","OK"))))))</f>
        <v>OK</v>
      </c>
      <c r="AO55" s="35" t="n">
        <f aca="false">IF($B55="","",IF(AND(C55="Incident",L55&lt;&gt;"Annulé"),1,0))</f>
        <v>0</v>
      </c>
      <c r="AP55" s="35" t="n">
        <f aca="false">IF($B55="","",IF(AND(C55="Quasi-incident",L55&lt;&gt;"Annulé"),1,0))</f>
        <v>1</v>
      </c>
      <c r="AQ55" s="35" t="n">
        <f aca="false">IF($B55="","",AO55+AP55)</f>
        <v>1</v>
      </c>
      <c r="AR55" s="36" t="n">
        <f aca="false">IF(OR($B55="",J55=""),"",IFERROR(VALUE(LEFT(J55,1)),""))</f>
        <v>4</v>
      </c>
      <c r="AS55" s="35" t="str">
        <f aca="false">IF(OR(AO55&lt;&gt;1,G55=""),"",IFERROR(IF(INDEX(L_SrcInterne,MATCH(G55,L_Sources,0))="Oui",1,0),""))</f>
        <v/>
      </c>
      <c r="AT55" s="37" t="str">
        <f aca="false">IF(AO55&lt;&gt;1,"",IFERROR(ROUND(IF(OR(N55="",O55=""),"",IF(O55&lt;N55,"",ROUND(((NETWORKDAYS(N55,O55,JoursFeries)-1)*(HFer-HOuv)+IF(NETWORKDAYS(O55,O55,JoursFeries),MEDIAN(MOD(O55,1),HFer,HOuv),HFer)-IF(NETWORKDAYS(N55,N55,JoursFeries),MEDIAN(MOD(N55,1),HFer,HOuv),HOuv))*24,4)))/HJour,4),""))</f>
        <v/>
      </c>
      <c r="AU55" s="37" t="str">
        <f aca="false">IF(AO55&lt;&gt;1,"",IF(OR(O55="",P55=""),"",IF(P55&lt;O55,"",ROUND(((NETWORKDAYS(O55,P55,JoursFeries)-1)*(HFer-HOuv)+IF(NETWORKDAYS(P55,P55,JoursFeries),MEDIAN(MOD(P55,1),HFer,HOuv),HFer)-IF(NETWORKDAYS(O55,O55,JoursFeries),MEDIAN(MOD(O55,1),HFer,HOuv),HOuv))*24,4))))</f>
        <v/>
      </c>
      <c r="AV55" s="37" t="str">
        <f aca="false">IF(AO55&lt;&gt;1,"",IF(OR(P55="",Q55=""),"",IF(Q55&lt;P55,"",ROUND(((NETWORKDAYS(P55,Q55,JoursFeries)-1)*(HFer-HOuv)+IF(NETWORKDAYS(Q55,Q55,JoursFeries),MEDIAN(MOD(Q55,1),HFer,HOuv),HFer)-IF(NETWORKDAYS(P55,P55,JoursFeries),MEDIAN(MOD(P55,1),HFer,HOuv),HOuv))*24,4))))</f>
        <v/>
      </c>
      <c r="AW55" s="37" t="str">
        <f aca="false">IF(AO55&lt;&gt;1,"",IFERROR(ROUND(IF(OR(P55="",R55=""),"",IF(R55&lt;P55,"",ROUND(((NETWORKDAYS(P55,R55,JoursFeries)-1)*(HFer-HOuv)+IF(NETWORKDAYS(R55,R55,JoursFeries),MEDIAN(MOD(R55,1),HFer,HOuv),HFer)-IF(NETWORKDAYS(P55,P55,JoursFeries),MEDIAN(MOD(P55,1),HFer,HOuv),HOuv))*24,4)))/HJour,4),""))</f>
        <v/>
      </c>
      <c r="AX55" s="37" t="str">
        <f aca="false">IF(AO55&lt;&gt;1,"",IFERROR(ROUND(IF(OR(P55="",S55=""),"",IF(S55&lt;P55,"",ROUND(((NETWORKDAYS(P55,S55,JoursFeries)-1)*(HFer-HOuv)+IF(NETWORKDAYS(S55,S55,JoursFeries),MEDIAN(MOD(S55,1),HFer,HOuv),HFer)-IF(NETWORKDAYS(P55,P55,JoursFeries),MEDIAN(MOD(P55,1),HFer,HOuv),HOuv))*24,4)))/HJour,4),""))</f>
        <v/>
      </c>
      <c r="AY55" s="36" t="str">
        <f aca="false">IF(OR(AO55&lt;&gt;1,AR55=""),"",INDEX(SLA_PEC,AR55))</f>
        <v/>
      </c>
      <c r="AZ55" s="35" t="str">
        <f aca="false">IF(OR(AV55="",AY55=""),"",IF(AV55&lt;=AY55,1,0))</f>
        <v/>
      </c>
      <c r="BA55" s="36" t="str">
        <f aca="false">IF(OR(AO55&lt;&gt;1,AR55=""),"",INDEX(SLA_RES,AR55))</f>
        <v/>
      </c>
      <c r="BB55" s="35" t="str">
        <f aca="false">IF(OR(AW55="",BA55=""),"",IF(AW55&lt;=BA55,1,0))</f>
        <v/>
      </c>
      <c r="BC55" s="38" t="str">
        <f aca="false">IF(OR(BA55="",P55=""),"",WORKDAY(INT(P55),BA55,JoursFeries)+MOD(P55,1))</f>
        <v/>
      </c>
      <c r="BD55" s="39" t="str">
        <f aca="false">IF(AO55&lt;&gt;1,"",IF(OR(AB55&lt;&gt;"",AD55&lt;&gt;""),4,IF(U55&lt;&gt;"",3,IF(T55&lt;&gt;"",2,1))))</f>
        <v/>
      </c>
      <c r="BE55" s="39" t="str">
        <f aca="false">IF(OR(AO55&lt;&gt;1,AR55=""),"",INDEX(NIV_REQ,AR55))</f>
        <v/>
      </c>
      <c r="BF55" s="39" t="str">
        <f aca="false">IF(BE55="","",MAX(BE55,IF(OR(K55="Oui",Z55="Oui"),4,1)))</f>
        <v/>
      </c>
      <c r="BG55" s="35" t="str">
        <f aca="false">IF(OR(BF55="",BD55=""),"",IF(BD55&gt;=BF55,1,0))</f>
        <v/>
      </c>
      <c r="BH55" s="38" t="str">
        <f aca="false">IF(BE55="","",IF(BE55&lt;2,"",IF(BE55=2,IF(AND(T55="",U55=""),"",MIN(T55,U55)),IF(U55="","",U55))))</f>
        <v/>
      </c>
      <c r="BI55" s="37" t="str">
        <f aca="false">IF(BH55="","",IF(OR(O55="",BH55=""),"",IF(BH55&lt;O55,"",ROUND(((NETWORKDAYS(O55,BH55,JoursFeries)-1)*(HFer-HOuv)+IF(NETWORKDAYS(BH55,BH55,JoursFeries),MEDIAN(MOD(BH55,1),HFer,HOuv),HFer)-IF(NETWORKDAYS(O55,O55,JoursFeries),MEDIAN(MOD(O55,1),HFer,HOuv),HOuv))*24,4))))</f>
        <v/>
      </c>
      <c r="BJ55" s="35" t="str">
        <f aca="false">IF(OR(BI55="",AR55=""),"",IF(BI55&lt;=INDEX(DELAI_ESC,AR55),1,0))</f>
        <v/>
      </c>
      <c r="BK55" s="38" t="str">
        <f aca="false">IF(AO55&lt;&gt;1,"",IF(AND(T55="",U55=""),"",MIN(T55,U55)))</f>
        <v/>
      </c>
      <c r="BL55" s="37" t="str">
        <f aca="false">IF(OR(BK55="",R55=""),"",IFERROR(ROUND(IF(OR(BK55="",R55=""),"",IF(R55&lt;BK55,"",ROUND(((NETWORKDAYS(BK55,R55,JoursFeries)-1)*(HFer-HOuv)+IF(NETWORKDAYS(R55,R55,JoursFeries),MEDIAN(MOD(R55,1),HFer,HOuv),HFer)-IF(NETWORKDAYS(BK55,BK55,JoursFeries),MEDIAN(MOD(BK55,1),HFer,HOuv),HOuv))*24,4)))/HJour,4),""))</f>
        <v/>
      </c>
      <c r="BM55" s="35" t="str">
        <f aca="false">IF(OR(AO55&lt;&gt;1,R55=""),"",IF(BD55=1,1,0))</f>
        <v/>
      </c>
      <c r="BN55" s="35" t="str">
        <f aca="false">IF(AO55&lt;&gt;1,"",IF(W55="Oui",1,0))</f>
        <v/>
      </c>
      <c r="BO55" s="35" t="str">
        <f aca="false">IF(AO55&lt;&gt;1,"",IF(X55&lt;&gt;"",1,0))</f>
        <v/>
      </c>
      <c r="BP55" s="35" t="str">
        <f aca="false">IF(AO55&lt;&gt;1,"",IF(Y55="Oui",1,0))</f>
        <v/>
      </c>
      <c r="BQ55" s="35" t="str">
        <f aca="true">IF(OR(AO55&lt;&gt;1,Z55&lt;&gt;"Oui"),"",IF(AB55="",IF(AND(AA55&lt;&gt;"",NOW()&gt;AA55),0,""),IF(AA55="","",IF(AB55&lt;=AA55,1,0))))</f>
        <v/>
      </c>
      <c r="BR55" s="38" t="str">
        <f aca="false">IF(OR(AO55&lt;&gt;1,K55&lt;&gt;"Oui",O55=""),"",IF(AC55="",O55+DORA_H_DET/24,IF(AC55-O55&lt;=DORA_H_DET/24,MIN(AC55+DORA_H_CLA/24,O55+DORA_H_DET/24),AC55+DORA_H_CLA/24)))</f>
        <v/>
      </c>
      <c r="BS55" s="35" t="str">
        <f aca="true">IF(BR55="","",IF(AD55="",IF(NOW()&gt;BR55,0,""),IF(AD55&lt;=BR55,1,0)))</f>
        <v/>
      </c>
      <c r="BT55" s="35" t="str">
        <f aca="true">IF(OR(BR55="",AD55=""),"",IF(AE55="",IF(NOW()&gt;AD55+DORA_H_INT/24,0,""),IF(AE55&lt;=AD55+DORA_H_INT/24,1,0)))</f>
        <v/>
      </c>
      <c r="BU55" s="35" t="str">
        <f aca="true">IF(OR(BR55="",AE55=""),"",IF(AF55="",IF(NOW()&gt;EDATE(AE55,DORA_M_FIN)+1,0,""),IF(AF55&lt;=EDATE(AE55,DORA_M_FIN),1,0)))</f>
        <v/>
      </c>
      <c r="BV55" s="35" t="str">
        <f aca="false">IF(BR55="","",IF(COUNT(BS55:BU55)=0,"",MIN(BS55:BU55)))</f>
        <v/>
      </c>
      <c r="BW55" s="40" t="str">
        <f aca="false">IF(AQ55&lt;&gt;1,"",IF(AND(AG55="",AH55=""),"",N(AG55)-N(AH55)))</f>
        <v/>
      </c>
      <c r="BX55" s="35" t="str">
        <f aca="true">IF(OR(AQ55&lt;&gt;1,AI55&lt;&gt;"Oui",AJ55=""),"",IF(AK55="",IF(NOW()&gt;AJ55+1,0,""),IF(AK55&lt;=AJ55,1,0)))</f>
        <v/>
      </c>
    </row>
    <row r="56" customFormat="false" ht="15" hidden="false" customHeight="false" outlineLevel="0" collapsed="false">
      <c r="B56" s="29" t="s">
        <v>279</v>
      </c>
      <c r="C56" s="29" t="s">
        <v>178</v>
      </c>
      <c r="D56" s="29" t="s">
        <v>195</v>
      </c>
      <c r="E56" s="29" t="s">
        <v>162</v>
      </c>
      <c r="F56" s="29" t="s">
        <v>172</v>
      </c>
      <c r="G56" s="29" t="s">
        <v>164</v>
      </c>
      <c r="H56" s="29" t="s">
        <v>165</v>
      </c>
      <c r="I56" s="29" t="s">
        <v>186</v>
      </c>
      <c r="J56" s="29" t="s">
        <v>167</v>
      </c>
      <c r="K56" s="29" t="s">
        <v>168</v>
      </c>
      <c r="L56" s="29" t="s">
        <v>169</v>
      </c>
      <c r="M56" s="29" t="s">
        <v>174</v>
      </c>
      <c r="N56" s="30" t="n">
        <v>46147.1354166667</v>
      </c>
      <c r="O56" s="30" t="n">
        <v>46147.3368055556</v>
      </c>
      <c r="P56" s="30" t="n">
        <v>46147.3993055556</v>
      </c>
      <c r="Q56" s="30" t="n">
        <v>46147.59375</v>
      </c>
      <c r="R56" s="30" t="n">
        <v>46155.5138888889</v>
      </c>
      <c r="S56" s="30" t="n">
        <v>46168.4895833333</v>
      </c>
      <c r="T56" s="30"/>
      <c r="U56" s="30"/>
      <c r="V56" s="31" t="n">
        <v>0</v>
      </c>
      <c r="W56" s="29" t="s">
        <v>168</v>
      </c>
      <c r="X56" s="29"/>
      <c r="Y56" s="29" t="s">
        <v>168</v>
      </c>
      <c r="Z56" s="29" t="s">
        <v>168</v>
      </c>
      <c r="AA56" s="30"/>
      <c r="AB56" s="30"/>
      <c r="AC56" s="30"/>
      <c r="AD56" s="30"/>
      <c r="AE56" s="30"/>
      <c r="AF56" s="32"/>
      <c r="AG56" s="33"/>
      <c r="AH56" s="33"/>
      <c r="AI56" s="29" t="s">
        <v>168</v>
      </c>
      <c r="AJ56" s="32"/>
      <c r="AK56" s="32"/>
      <c r="AL56" s="29"/>
      <c r="AN56" s="34" t="str">
        <f aca="false">IF($B56="","",IF(OR(C56="",D56="",E56="",G56="",I56="",J56="",L56="",O56="",P56=""),"Champ obligatoire manquant",IF(OR(AND(N56&lt;&gt;"",N56&gt;O56),O56&gt;P56,AND(Q56&lt;&gt;"",Q56&lt;P56),AND(R56&lt;&gt;"",R56&lt;P56),AND(S56&lt;&gt;"",S56&lt;R56),AND(S56&lt;&gt;"",R56=""),AND(T56&lt;&gt;"",T56&lt;O56),AND(U56&lt;&gt;"",U56&lt;O56)),"Chronologie incohérente",IF(AND(OR(L56="Résolu",L56="Clos"),R56=""),"Date de résolution manquante",IF(AND(L56="Clos",S56=""),"Date de clôture manquante",IF(AND(K56="Oui",AC56=""),"Classification DORA manquante","OK"))))))</f>
        <v>OK</v>
      </c>
      <c r="AO56" s="35" t="n">
        <f aca="false">IF($B56="","",IF(AND(C56="Incident",L56&lt;&gt;"Annulé"),1,0))</f>
        <v>1</v>
      </c>
      <c r="AP56" s="35" t="n">
        <f aca="false">IF($B56="","",IF(AND(C56="Quasi-incident",L56&lt;&gt;"Annulé"),1,0))</f>
        <v>0</v>
      </c>
      <c r="AQ56" s="35" t="n">
        <f aca="false">IF($B56="","",AO56+AP56)</f>
        <v>1</v>
      </c>
      <c r="AR56" s="36" t="n">
        <f aca="false">IF(OR($B56="",J56=""),"",IFERROR(VALUE(LEFT(J56,1)),""))</f>
        <v>3</v>
      </c>
      <c r="AS56" s="35" t="n">
        <f aca="false">IF(OR(AO56&lt;&gt;1,G56=""),"",IFERROR(IF(INDEX(L_SrcInterne,MATCH(G56,L_Sources,0))="Oui",1,0),""))</f>
        <v>1</v>
      </c>
      <c r="AT56" s="37" t="n">
        <f aca="false">IF(AO56&lt;&gt;1,"",IFERROR(ROUND(IF(OR(N56="",O56=""),"",IF(O56&lt;N56,"",ROUND(((NETWORKDAYS(N56,O56,JoursFeries)-1)*(HFer-HOuv)+IF(NETWORKDAYS(O56,O56,JoursFeries),MEDIAN(MOD(O56,1),HFer,HOuv),HFer)-IF(NETWORKDAYS(N56,N56,JoursFeries),MEDIAN(MOD(N56,1),HFer,HOuv),HOuv))*24,4)))/HJour,4),""))</f>
        <v>0</v>
      </c>
      <c r="AU56" s="37" t="n">
        <f aca="false">IF(AO56&lt;&gt;1,"",IF(OR(O56="",P56=""),"",IF(P56&lt;O56,"",ROUND(((NETWORKDAYS(O56,P56,JoursFeries)-1)*(HFer-HOuv)+IF(NETWORKDAYS(P56,P56,JoursFeries),MEDIAN(MOD(P56,1),HFer,HOuv),HFer)-IF(NETWORKDAYS(O56,O56,JoursFeries),MEDIAN(MOD(O56,1),HFer,HOuv),HOuv))*24,4))))</f>
        <v>0.5833</v>
      </c>
      <c r="AV56" s="37" t="n">
        <f aca="false">IF(AO56&lt;&gt;1,"",IF(OR(P56="",Q56=""),"",IF(Q56&lt;P56,"",ROUND(((NETWORKDAYS(P56,Q56,JoursFeries)-1)*(HFer-HOuv)+IF(NETWORKDAYS(Q56,Q56,JoursFeries),MEDIAN(MOD(Q56,1),HFer,HOuv),HFer)-IF(NETWORKDAYS(P56,P56,JoursFeries),MEDIAN(MOD(P56,1),HFer,HOuv),HOuv))*24,4))))</f>
        <v>4.6667</v>
      </c>
      <c r="AW56" s="37" t="n">
        <f aca="false">IF(AO56&lt;&gt;1,"",IFERROR(ROUND(IF(OR(P56="",R56=""),"",IF(R56&lt;P56,"",ROUND(((NETWORKDAYS(P56,R56,JoursFeries)-1)*(HFer-HOuv)+IF(NETWORKDAYS(R56,R56,JoursFeries),MEDIAN(MOD(R56,1),HFer,HOuv),HFer)-IF(NETWORKDAYS(P56,P56,JoursFeries),MEDIAN(MOD(P56,1),HFer,HOuv),HOuv))*24,4)))/HJour,4),""))</f>
        <v>5.3056</v>
      </c>
      <c r="AX56" s="37" t="n">
        <f aca="false">IF(AO56&lt;&gt;1,"",IFERROR(ROUND(IF(OR(P56="",S56=""),"",IF(S56&lt;P56,"",ROUND(((NETWORKDAYS(P56,S56,JoursFeries)-1)*(HFer-HOuv)+IF(NETWORKDAYS(S56,S56,JoursFeries),MEDIAN(MOD(S56,1),HFer,HOuv),HFer)-IF(NETWORKDAYS(P56,P56,JoursFeries),MEDIAN(MOD(P56,1),HFer,HOuv),HOuv))*24,4)))/HJour,4),""))</f>
        <v>12.2407</v>
      </c>
      <c r="AY56" s="36" t="n">
        <f aca="false">IF(OR(AO56&lt;&gt;1,AR56=""),"",INDEX(SLA_PEC,AR56))</f>
        <v>9</v>
      </c>
      <c r="AZ56" s="35" t="n">
        <f aca="false">IF(OR(AV56="",AY56=""),"",IF(AV56&lt;=AY56,1,0))</f>
        <v>1</v>
      </c>
      <c r="BA56" s="36" t="n">
        <f aca="false">IF(OR(AO56&lt;&gt;1,AR56=""),"",INDEX(SLA_RES,AR56))</f>
        <v>10</v>
      </c>
      <c r="BB56" s="35" t="n">
        <f aca="false">IF(OR(AW56="",BA56=""),"",IF(AW56&lt;=BA56,1,0))</f>
        <v>1</v>
      </c>
      <c r="BC56" s="38" t="n">
        <f aca="false">IF(OR(BA56="",P56=""),"",WORKDAY(INT(P56),BA56,JoursFeries)+MOD(P56,1))</f>
        <v>46163.3993055556</v>
      </c>
      <c r="BD56" s="39" t="n">
        <f aca="false">IF(AO56&lt;&gt;1,"",IF(OR(AB56&lt;&gt;"",AD56&lt;&gt;""),4,IF(U56&lt;&gt;"",3,IF(T56&lt;&gt;"",2,1))))</f>
        <v>1</v>
      </c>
      <c r="BE56" s="39" t="n">
        <f aca="false">IF(OR(AO56&lt;&gt;1,AR56=""),"",INDEX(NIV_REQ,AR56))</f>
        <v>1</v>
      </c>
      <c r="BF56" s="39" t="n">
        <f aca="false">IF(BE56="","",MAX(BE56,IF(OR(K56="Oui",Z56="Oui"),4,1)))</f>
        <v>1</v>
      </c>
      <c r="BG56" s="35" t="n">
        <f aca="false">IF(OR(BF56="",BD56=""),"",IF(BD56&gt;=BF56,1,0))</f>
        <v>1</v>
      </c>
      <c r="BH56" s="38" t="str">
        <f aca="false">IF(BE56="","",IF(BE56&lt;2,"",IF(BE56=2,IF(AND(T56="",U56=""),"",MIN(T56,U56)),IF(U56="","",U56))))</f>
        <v/>
      </c>
      <c r="BI56" s="37" t="str">
        <f aca="false">IF(BH56="","",IF(OR(O56="",BH56=""),"",IF(BH56&lt;O56,"",ROUND(((NETWORKDAYS(O56,BH56,JoursFeries)-1)*(HFer-HOuv)+IF(NETWORKDAYS(BH56,BH56,JoursFeries),MEDIAN(MOD(BH56,1),HFer,HOuv),HFer)-IF(NETWORKDAYS(O56,O56,JoursFeries),MEDIAN(MOD(O56,1),HFer,HOuv),HOuv))*24,4))))</f>
        <v/>
      </c>
      <c r="BJ56" s="35" t="str">
        <f aca="false">IF(OR(BI56="",AR56=""),"",IF(BI56&lt;=INDEX(DELAI_ESC,AR56),1,0))</f>
        <v/>
      </c>
      <c r="BK56" s="38" t="str">
        <f aca="false">IF(AO56&lt;&gt;1,"",IF(AND(T56="",U56=""),"",MIN(T56,U56)))</f>
        <v/>
      </c>
      <c r="BL56" s="37" t="str">
        <f aca="false">IF(OR(BK56="",R56=""),"",IFERROR(ROUND(IF(OR(BK56="",R56=""),"",IF(R56&lt;BK56,"",ROUND(((NETWORKDAYS(BK56,R56,JoursFeries)-1)*(HFer-HOuv)+IF(NETWORKDAYS(R56,R56,JoursFeries),MEDIAN(MOD(R56,1),HFer,HOuv),HFer)-IF(NETWORKDAYS(BK56,BK56,JoursFeries),MEDIAN(MOD(BK56,1),HFer,HOuv),HOuv))*24,4)))/HJour,4),""))</f>
        <v/>
      </c>
      <c r="BM56" s="35" t="n">
        <f aca="false">IF(OR(AO56&lt;&gt;1,R56=""),"",IF(BD56=1,1,0))</f>
        <v>1</v>
      </c>
      <c r="BN56" s="35" t="n">
        <f aca="false">IF(AO56&lt;&gt;1,"",IF(W56="Oui",1,0))</f>
        <v>0</v>
      </c>
      <c r="BO56" s="35" t="n">
        <f aca="false">IF(AO56&lt;&gt;1,"",IF(X56&lt;&gt;"",1,0))</f>
        <v>0</v>
      </c>
      <c r="BP56" s="35" t="n">
        <f aca="false">IF(AO56&lt;&gt;1,"",IF(Y56="Oui",1,0))</f>
        <v>0</v>
      </c>
      <c r="BQ56" s="35" t="str">
        <f aca="true">IF(OR(AO56&lt;&gt;1,Z56&lt;&gt;"Oui"),"",IF(AB56="",IF(AND(AA56&lt;&gt;"",NOW()&gt;AA56),0,""),IF(AA56="","",IF(AB56&lt;=AA56,1,0))))</f>
        <v/>
      </c>
      <c r="BR56" s="38" t="str">
        <f aca="false">IF(OR(AO56&lt;&gt;1,K56&lt;&gt;"Oui",O56=""),"",IF(AC56="",O56+DORA_H_DET/24,IF(AC56-O56&lt;=DORA_H_DET/24,MIN(AC56+DORA_H_CLA/24,O56+DORA_H_DET/24),AC56+DORA_H_CLA/24)))</f>
        <v/>
      </c>
      <c r="BS56" s="35" t="str">
        <f aca="true">IF(BR56="","",IF(AD56="",IF(NOW()&gt;BR56,0,""),IF(AD56&lt;=BR56,1,0)))</f>
        <v/>
      </c>
      <c r="BT56" s="35" t="str">
        <f aca="true">IF(OR(BR56="",AD56=""),"",IF(AE56="",IF(NOW()&gt;AD56+DORA_H_INT/24,0,""),IF(AE56&lt;=AD56+DORA_H_INT/24,1,0)))</f>
        <v/>
      </c>
      <c r="BU56" s="35" t="str">
        <f aca="true">IF(OR(BR56="",AE56=""),"",IF(AF56="",IF(NOW()&gt;EDATE(AE56,DORA_M_FIN)+1,0,""),IF(AF56&lt;=EDATE(AE56,DORA_M_FIN),1,0)))</f>
        <v/>
      </c>
      <c r="BV56" s="35" t="str">
        <f aca="false">IF(BR56="","",IF(COUNT(BS56:BU56)=0,"",MIN(BS56:BU56)))</f>
        <v/>
      </c>
      <c r="BW56" s="40" t="str">
        <f aca="false">IF(AQ56&lt;&gt;1,"",IF(AND(AG56="",AH56=""),"",N(AG56)-N(AH56)))</f>
        <v/>
      </c>
      <c r="BX56" s="35" t="str">
        <f aca="true">IF(OR(AQ56&lt;&gt;1,AI56&lt;&gt;"Oui",AJ56=""),"",IF(AK56="",IF(NOW()&gt;AJ56+1,0,""),IF(AK56&lt;=AJ56,1,0)))</f>
        <v/>
      </c>
    </row>
    <row r="57" customFormat="false" ht="15" hidden="false" customHeight="false" outlineLevel="0" collapsed="false">
      <c r="B57" s="29" t="s">
        <v>280</v>
      </c>
      <c r="C57" s="29" t="s">
        <v>160</v>
      </c>
      <c r="D57" s="29" t="s">
        <v>161</v>
      </c>
      <c r="E57" s="29" t="s">
        <v>162</v>
      </c>
      <c r="F57" s="29" t="s">
        <v>204</v>
      </c>
      <c r="G57" s="29" t="s">
        <v>164</v>
      </c>
      <c r="H57" s="29" t="s">
        <v>165</v>
      </c>
      <c r="I57" s="29" t="s">
        <v>166</v>
      </c>
      <c r="J57" s="29" t="s">
        <v>187</v>
      </c>
      <c r="K57" s="29" t="s">
        <v>168</v>
      </c>
      <c r="L57" s="29" t="s">
        <v>169</v>
      </c>
      <c r="M57" s="29" t="s">
        <v>188</v>
      </c>
      <c r="N57" s="30" t="n">
        <v>46122.5416666667</v>
      </c>
      <c r="O57" s="30" t="n">
        <v>46153.5416666667</v>
      </c>
      <c r="P57" s="30" t="n">
        <v>46153.5486111111</v>
      </c>
      <c r="Q57" s="30" t="n">
        <v>46153.6736111111</v>
      </c>
      <c r="R57" s="30" t="n">
        <v>46157.71875</v>
      </c>
      <c r="S57" s="30" t="n">
        <v>46161.4236111111</v>
      </c>
      <c r="T57" s="30"/>
      <c r="U57" s="30"/>
      <c r="V57" s="31" t="n">
        <v>0</v>
      </c>
      <c r="W57" s="29" t="s">
        <v>168</v>
      </c>
      <c r="X57" s="29"/>
      <c r="Y57" s="29" t="s">
        <v>168</v>
      </c>
      <c r="Z57" s="29" t="s">
        <v>168</v>
      </c>
      <c r="AA57" s="30"/>
      <c r="AB57" s="30"/>
      <c r="AC57" s="30"/>
      <c r="AD57" s="30"/>
      <c r="AE57" s="30"/>
      <c r="AF57" s="32"/>
      <c r="AG57" s="33"/>
      <c r="AH57" s="33"/>
      <c r="AI57" s="29" t="s">
        <v>168</v>
      </c>
      <c r="AJ57" s="32"/>
      <c r="AK57" s="32"/>
      <c r="AL57" s="29"/>
      <c r="AN57" s="34" t="str">
        <f aca="false">IF($B57="","",IF(OR(C57="",D57="",E57="",G57="",I57="",J57="",L57="",O57="",P57=""),"Champ obligatoire manquant",IF(OR(AND(N57&lt;&gt;"",N57&gt;O57),O57&gt;P57,AND(Q57&lt;&gt;"",Q57&lt;P57),AND(R57&lt;&gt;"",R57&lt;P57),AND(S57&lt;&gt;"",S57&lt;R57),AND(S57&lt;&gt;"",R57=""),AND(T57&lt;&gt;"",T57&lt;O57),AND(U57&lt;&gt;"",U57&lt;O57)),"Chronologie incohérente",IF(AND(OR(L57="Résolu",L57="Clos"),R57=""),"Date de résolution manquante",IF(AND(L57="Clos",S57=""),"Date de clôture manquante",IF(AND(K57="Oui",AC57=""),"Classification DORA manquante","OK"))))))</f>
        <v>OK</v>
      </c>
      <c r="AO57" s="35" t="n">
        <f aca="false">IF($B57="","",IF(AND(C57="Incident",L57&lt;&gt;"Annulé"),1,0))</f>
        <v>0</v>
      </c>
      <c r="AP57" s="35" t="n">
        <f aca="false">IF($B57="","",IF(AND(C57="Quasi-incident",L57&lt;&gt;"Annulé"),1,0))</f>
        <v>1</v>
      </c>
      <c r="AQ57" s="35" t="n">
        <f aca="false">IF($B57="","",AO57+AP57)</f>
        <v>1</v>
      </c>
      <c r="AR57" s="36" t="n">
        <f aca="false">IF(OR($B57="",J57=""),"",IFERROR(VALUE(LEFT(J57,1)),""))</f>
        <v>4</v>
      </c>
      <c r="AS57" s="35" t="str">
        <f aca="false">IF(OR(AO57&lt;&gt;1,G57=""),"",IFERROR(IF(INDEX(L_SrcInterne,MATCH(G57,L_Sources,0))="Oui",1,0),""))</f>
        <v/>
      </c>
      <c r="AT57" s="37" t="str">
        <f aca="false">IF(AO57&lt;&gt;1,"",IFERROR(ROUND(IF(OR(N57="",O57=""),"",IF(O57&lt;N57,"",ROUND(((NETWORKDAYS(N57,O57,JoursFeries)-1)*(HFer-HOuv)+IF(NETWORKDAYS(O57,O57,JoursFeries),MEDIAN(MOD(O57,1),HFer,HOuv),HFer)-IF(NETWORKDAYS(N57,N57,JoursFeries),MEDIAN(MOD(N57,1),HFer,HOuv),HOuv))*24,4)))/HJour,4),""))</f>
        <v/>
      </c>
      <c r="AU57" s="37" t="str">
        <f aca="false">IF(AO57&lt;&gt;1,"",IF(OR(O57="",P57=""),"",IF(P57&lt;O57,"",ROUND(((NETWORKDAYS(O57,P57,JoursFeries)-1)*(HFer-HOuv)+IF(NETWORKDAYS(P57,P57,JoursFeries),MEDIAN(MOD(P57,1),HFer,HOuv),HFer)-IF(NETWORKDAYS(O57,O57,JoursFeries),MEDIAN(MOD(O57,1),HFer,HOuv),HOuv))*24,4))))</f>
        <v/>
      </c>
      <c r="AV57" s="37" t="str">
        <f aca="false">IF(AO57&lt;&gt;1,"",IF(OR(P57="",Q57=""),"",IF(Q57&lt;P57,"",ROUND(((NETWORKDAYS(P57,Q57,JoursFeries)-1)*(HFer-HOuv)+IF(NETWORKDAYS(Q57,Q57,JoursFeries),MEDIAN(MOD(Q57,1),HFer,HOuv),HFer)-IF(NETWORKDAYS(P57,P57,JoursFeries),MEDIAN(MOD(P57,1),HFer,HOuv),HOuv))*24,4))))</f>
        <v/>
      </c>
      <c r="AW57" s="37" t="str">
        <f aca="false">IF(AO57&lt;&gt;1,"",IFERROR(ROUND(IF(OR(P57="",R57=""),"",IF(R57&lt;P57,"",ROUND(((NETWORKDAYS(P57,R57,JoursFeries)-1)*(HFer-HOuv)+IF(NETWORKDAYS(R57,R57,JoursFeries),MEDIAN(MOD(R57,1),HFer,HOuv),HFer)-IF(NETWORKDAYS(P57,P57,JoursFeries),MEDIAN(MOD(P57,1),HFer,HOuv),HOuv))*24,4)))/HJour,4),""))</f>
        <v/>
      </c>
      <c r="AX57" s="37" t="str">
        <f aca="false">IF(AO57&lt;&gt;1,"",IFERROR(ROUND(IF(OR(P57="",S57=""),"",IF(S57&lt;P57,"",ROUND(((NETWORKDAYS(P57,S57,JoursFeries)-1)*(HFer-HOuv)+IF(NETWORKDAYS(S57,S57,JoursFeries),MEDIAN(MOD(S57,1),HFer,HOuv),HFer)-IF(NETWORKDAYS(P57,P57,JoursFeries),MEDIAN(MOD(P57,1),HFer,HOuv),HOuv))*24,4)))/HJour,4),""))</f>
        <v/>
      </c>
      <c r="AY57" s="36" t="str">
        <f aca="false">IF(OR(AO57&lt;&gt;1,AR57=""),"",INDEX(SLA_PEC,AR57))</f>
        <v/>
      </c>
      <c r="AZ57" s="35" t="str">
        <f aca="false">IF(OR(AV57="",AY57=""),"",IF(AV57&lt;=AY57,1,0))</f>
        <v/>
      </c>
      <c r="BA57" s="36" t="str">
        <f aca="false">IF(OR(AO57&lt;&gt;1,AR57=""),"",INDEX(SLA_RES,AR57))</f>
        <v/>
      </c>
      <c r="BB57" s="35" t="str">
        <f aca="false">IF(OR(AW57="",BA57=""),"",IF(AW57&lt;=BA57,1,0))</f>
        <v/>
      </c>
      <c r="BC57" s="38" t="str">
        <f aca="false">IF(OR(BA57="",P57=""),"",WORKDAY(INT(P57),BA57,JoursFeries)+MOD(P57,1))</f>
        <v/>
      </c>
      <c r="BD57" s="39" t="str">
        <f aca="false">IF(AO57&lt;&gt;1,"",IF(OR(AB57&lt;&gt;"",AD57&lt;&gt;""),4,IF(U57&lt;&gt;"",3,IF(T57&lt;&gt;"",2,1))))</f>
        <v/>
      </c>
      <c r="BE57" s="39" t="str">
        <f aca="false">IF(OR(AO57&lt;&gt;1,AR57=""),"",INDEX(NIV_REQ,AR57))</f>
        <v/>
      </c>
      <c r="BF57" s="39" t="str">
        <f aca="false">IF(BE57="","",MAX(BE57,IF(OR(K57="Oui",Z57="Oui"),4,1)))</f>
        <v/>
      </c>
      <c r="BG57" s="35" t="str">
        <f aca="false">IF(OR(BF57="",BD57=""),"",IF(BD57&gt;=BF57,1,0))</f>
        <v/>
      </c>
      <c r="BH57" s="38" t="str">
        <f aca="false">IF(BE57="","",IF(BE57&lt;2,"",IF(BE57=2,IF(AND(T57="",U57=""),"",MIN(T57,U57)),IF(U57="","",U57))))</f>
        <v/>
      </c>
      <c r="BI57" s="37" t="str">
        <f aca="false">IF(BH57="","",IF(OR(O57="",BH57=""),"",IF(BH57&lt;O57,"",ROUND(((NETWORKDAYS(O57,BH57,JoursFeries)-1)*(HFer-HOuv)+IF(NETWORKDAYS(BH57,BH57,JoursFeries),MEDIAN(MOD(BH57,1),HFer,HOuv),HFer)-IF(NETWORKDAYS(O57,O57,JoursFeries),MEDIAN(MOD(O57,1),HFer,HOuv),HOuv))*24,4))))</f>
        <v/>
      </c>
      <c r="BJ57" s="35" t="str">
        <f aca="false">IF(OR(BI57="",AR57=""),"",IF(BI57&lt;=INDEX(DELAI_ESC,AR57),1,0))</f>
        <v/>
      </c>
      <c r="BK57" s="38" t="str">
        <f aca="false">IF(AO57&lt;&gt;1,"",IF(AND(T57="",U57=""),"",MIN(T57,U57)))</f>
        <v/>
      </c>
      <c r="BL57" s="37" t="str">
        <f aca="false">IF(OR(BK57="",R57=""),"",IFERROR(ROUND(IF(OR(BK57="",R57=""),"",IF(R57&lt;BK57,"",ROUND(((NETWORKDAYS(BK57,R57,JoursFeries)-1)*(HFer-HOuv)+IF(NETWORKDAYS(R57,R57,JoursFeries),MEDIAN(MOD(R57,1),HFer,HOuv),HFer)-IF(NETWORKDAYS(BK57,BK57,JoursFeries),MEDIAN(MOD(BK57,1),HFer,HOuv),HOuv))*24,4)))/HJour,4),""))</f>
        <v/>
      </c>
      <c r="BM57" s="35" t="str">
        <f aca="false">IF(OR(AO57&lt;&gt;1,R57=""),"",IF(BD57=1,1,0))</f>
        <v/>
      </c>
      <c r="BN57" s="35" t="str">
        <f aca="false">IF(AO57&lt;&gt;1,"",IF(W57="Oui",1,0))</f>
        <v/>
      </c>
      <c r="BO57" s="35" t="str">
        <f aca="false">IF(AO57&lt;&gt;1,"",IF(X57&lt;&gt;"",1,0))</f>
        <v/>
      </c>
      <c r="BP57" s="35" t="str">
        <f aca="false">IF(AO57&lt;&gt;1,"",IF(Y57="Oui",1,0))</f>
        <v/>
      </c>
      <c r="BQ57" s="35" t="str">
        <f aca="true">IF(OR(AO57&lt;&gt;1,Z57&lt;&gt;"Oui"),"",IF(AB57="",IF(AND(AA57&lt;&gt;"",NOW()&gt;AA57),0,""),IF(AA57="","",IF(AB57&lt;=AA57,1,0))))</f>
        <v/>
      </c>
      <c r="BR57" s="38" t="str">
        <f aca="false">IF(OR(AO57&lt;&gt;1,K57&lt;&gt;"Oui",O57=""),"",IF(AC57="",O57+DORA_H_DET/24,IF(AC57-O57&lt;=DORA_H_DET/24,MIN(AC57+DORA_H_CLA/24,O57+DORA_H_DET/24),AC57+DORA_H_CLA/24)))</f>
        <v/>
      </c>
      <c r="BS57" s="35" t="str">
        <f aca="true">IF(BR57="","",IF(AD57="",IF(NOW()&gt;BR57,0,""),IF(AD57&lt;=BR57,1,0)))</f>
        <v/>
      </c>
      <c r="BT57" s="35" t="str">
        <f aca="true">IF(OR(BR57="",AD57=""),"",IF(AE57="",IF(NOW()&gt;AD57+DORA_H_INT/24,0,""),IF(AE57&lt;=AD57+DORA_H_INT/24,1,0)))</f>
        <v/>
      </c>
      <c r="BU57" s="35" t="str">
        <f aca="true">IF(OR(BR57="",AE57=""),"",IF(AF57="",IF(NOW()&gt;EDATE(AE57,DORA_M_FIN)+1,0,""),IF(AF57&lt;=EDATE(AE57,DORA_M_FIN),1,0)))</f>
        <v/>
      </c>
      <c r="BV57" s="35" t="str">
        <f aca="false">IF(BR57="","",IF(COUNT(BS57:BU57)=0,"",MIN(BS57:BU57)))</f>
        <v/>
      </c>
      <c r="BW57" s="40" t="str">
        <f aca="false">IF(AQ57&lt;&gt;1,"",IF(AND(AG57="",AH57=""),"",N(AG57)-N(AH57)))</f>
        <v/>
      </c>
      <c r="BX57" s="35" t="str">
        <f aca="true">IF(OR(AQ57&lt;&gt;1,AI57&lt;&gt;"Oui",AJ57=""),"",IF(AK57="",IF(NOW()&gt;AJ57+1,0,""),IF(AK57&lt;=AJ57,1,0)))</f>
        <v/>
      </c>
    </row>
    <row r="58" customFormat="false" ht="15" hidden="false" customHeight="false" outlineLevel="0" collapsed="false">
      <c r="B58" s="29" t="s">
        <v>281</v>
      </c>
      <c r="C58" s="29" t="s">
        <v>178</v>
      </c>
      <c r="D58" s="29" t="s">
        <v>224</v>
      </c>
      <c r="E58" s="29" t="s">
        <v>231</v>
      </c>
      <c r="F58" s="29" t="s">
        <v>172</v>
      </c>
      <c r="G58" s="29" t="s">
        <v>180</v>
      </c>
      <c r="H58" s="29" t="s">
        <v>165</v>
      </c>
      <c r="I58" s="29" t="s">
        <v>232</v>
      </c>
      <c r="J58" s="29" t="s">
        <v>187</v>
      </c>
      <c r="K58" s="29" t="s">
        <v>168</v>
      </c>
      <c r="L58" s="29" t="s">
        <v>169</v>
      </c>
      <c r="M58" s="29" t="s">
        <v>206</v>
      </c>
      <c r="N58" s="30" t="n">
        <v>46159.3715277778</v>
      </c>
      <c r="O58" s="30" t="n">
        <v>46163.3715277778</v>
      </c>
      <c r="P58" s="30" t="n">
        <v>46163.3923611111</v>
      </c>
      <c r="Q58" s="30" t="n">
        <v>46164.7430555556</v>
      </c>
      <c r="R58" s="30" t="n">
        <v>46183.71875</v>
      </c>
      <c r="S58" s="30" t="n">
        <v>46213.6076388889</v>
      </c>
      <c r="T58" s="30"/>
      <c r="U58" s="30"/>
      <c r="V58" s="31" t="n">
        <v>1</v>
      </c>
      <c r="W58" s="29" t="s">
        <v>168</v>
      </c>
      <c r="X58" s="29"/>
      <c r="Y58" s="29" t="s">
        <v>168</v>
      </c>
      <c r="Z58" s="29" t="s">
        <v>168</v>
      </c>
      <c r="AA58" s="30"/>
      <c r="AB58" s="30"/>
      <c r="AC58" s="30"/>
      <c r="AD58" s="30"/>
      <c r="AE58" s="30"/>
      <c r="AF58" s="32"/>
      <c r="AG58" s="33"/>
      <c r="AH58" s="33"/>
      <c r="AI58" s="29" t="s">
        <v>168</v>
      </c>
      <c r="AJ58" s="32"/>
      <c r="AK58" s="32"/>
      <c r="AL58" s="29"/>
      <c r="AN58" s="34" t="str">
        <f aca="false">IF($B58="","",IF(OR(C58="",D58="",E58="",G58="",I58="",J58="",L58="",O58="",P58=""),"Champ obligatoire manquant",IF(OR(AND(N58&lt;&gt;"",N58&gt;O58),O58&gt;P58,AND(Q58&lt;&gt;"",Q58&lt;P58),AND(R58&lt;&gt;"",R58&lt;P58),AND(S58&lt;&gt;"",S58&lt;R58),AND(S58&lt;&gt;"",R58=""),AND(T58&lt;&gt;"",T58&lt;O58),AND(U58&lt;&gt;"",U58&lt;O58)),"Chronologie incohérente",IF(AND(OR(L58="Résolu",L58="Clos"),R58=""),"Date de résolution manquante",IF(AND(L58="Clos",S58=""),"Date de clôture manquante",IF(AND(K58="Oui",AC58=""),"Classification DORA manquante","OK"))))))</f>
        <v>OK</v>
      </c>
      <c r="AO58" s="35" t="n">
        <f aca="false">IF($B58="","",IF(AND(C58="Incident",L58&lt;&gt;"Annulé"),1,0))</f>
        <v>1</v>
      </c>
      <c r="AP58" s="35" t="n">
        <f aca="false">IF($B58="","",IF(AND(C58="Quasi-incident",L58&lt;&gt;"Annulé"),1,0))</f>
        <v>0</v>
      </c>
      <c r="AQ58" s="35" t="n">
        <f aca="false">IF($B58="","",AO58+AP58)</f>
        <v>1</v>
      </c>
      <c r="AR58" s="36" t="n">
        <f aca="false">IF(OR($B58="",J58=""),"",IFERROR(VALUE(LEFT(J58,1)),""))</f>
        <v>4</v>
      </c>
      <c r="AS58" s="35" t="n">
        <f aca="false">IF(OR(AO58&lt;&gt;1,G58=""),"",IFERROR(IF(INDEX(L_SrcInterne,MATCH(G58,L_Sources,0))="Oui",1,0),""))</f>
        <v>1</v>
      </c>
      <c r="AT58" s="37" t="n">
        <f aca="false">IF(AO58&lt;&gt;1,"",IFERROR(ROUND(IF(OR(N58="",O58=""),"",IF(O58&lt;N58,"",ROUND(((NETWORKDAYS(N58,O58,JoursFeries)-1)*(HFer-HOuv)+IF(NETWORKDAYS(O58,O58,JoursFeries),MEDIAN(MOD(O58,1),HFer,HOuv),HFer)-IF(NETWORKDAYS(N58,N58,JoursFeries),MEDIAN(MOD(N58,1),HFer,HOuv),HOuv))*24,4)))/HJour,4),""))</f>
        <v>3</v>
      </c>
      <c r="AU58" s="37" t="n">
        <f aca="false">IF(AO58&lt;&gt;1,"",IF(OR(O58="",P58=""),"",IF(P58&lt;O58,"",ROUND(((NETWORKDAYS(O58,P58,JoursFeries)-1)*(HFer-HOuv)+IF(NETWORKDAYS(P58,P58,JoursFeries),MEDIAN(MOD(P58,1),HFer,HOuv),HFer)-IF(NETWORKDAYS(O58,O58,JoursFeries),MEDIAN(MOD(O58,1),HFer,HOuv),HOuv))*24,4))))</f>
        <v>0.4167</v>
      </c>
      <c r="AV58" s="37" t="n">
        <f aca="false">IF(AO58&lt;&gt;1,"",IF(OR(P58="",Q58=""),"",IF(Q58&lt;P58,"",ROUND(((NETWORKDAYS(P58,Q58,JoursFeries)-1)*(HFer-HOuv)+IF(NETWORKDAYS(Q58,Q58,JoursFeries),MEDIAN(MOD(Q58,1),HFer,HOuv),HFer)-IF(NETWORKDAYS(P58,P58,JoursFeries),MEDIAN(MOD(P58,1),HFer,HOuv),HOuv))*24,4))))</f>
        <v>17.4167</v>
      </c>
      <c r="AW58" s="37" t="n">
        <f aca="false">IF(AO58&lt;&gt;1,"",IFERROR(ROUND(IF(OR(P58="",R58=""),"",IF(R58&lt;P58,"",ROUND(((NETWORKDAYS(P58,R58,JoursFeries)-1)*(HFer-HOuv)+IF(NETWORKDAYS(R58,R58,JoursFeries),MEDIAN(MOD(R58,1),HFer,HOuv),HFer)-IF(NETWORKDAYS(P58,P58,JoursFeries),MEDIAN(MOD(P58,1),HFer,HOuv),HOuv))*24,4)))/HJour,4),""))</f>
        <v>13.8704</v>
      </c>
      <c r="AX58" s="37" t="n">
        <f aca="false">IF(AO58&lt;&gt;1,"",IFERROR(ROUND(IF(OR(P58="",S58=""),"",IF(S58&lt;P58,"",ROUND(((NETWORKDAYS(P58,S58,JoursFeries)-1)*(HFer-HOuv)+IF(NETWORKDAYS(S58,S58,JoursFeries),MEDIAN(MOD(S58,1),HFer,HOuv),HFer)-IF(NETWORKDAYS(P58,P58,JoursFeries),MEDIAN(MOD(P58,1),HFer,HOuv),HOuv))*24,4)))/HJour,4),""))</f>
        <v>35.5741</v>
      </c>
      <c r="AY58" s="36" t="n">
        <f aca="false">IF(OR(AO58&lt;&gt;1,AR58=""),"",INDEX(SLA_PEC,AR58))</f>
        <v>18</v>
      </c>
      <c r="AZ58" s="35" t="n">
        <f aca="false">IF(OR(AV58="",AY58=""),"",IF(AV58&lt;=AY58,1,0))</f>
        <v>1</v>
      </c>
      <c r="BA58" s="36" t="n">
        <f aca="false">IF(OR(AO58&lt;&gt;1,AR58=""),"",INDEX(SLA_RES,AR58))</f>
        <v>20</v>
      </c>
      <c r="BB58" s="35" t="n">
        <f aca="false">IF(OR(AW58="",BA58=""),"",IF(AW58&lt;=BA58,1,0))</f>
        <v>1</v>
      </c>
      <c r="BC58" s="38" t="n">
        <f aca="false">IF(OR(BA58="",P58=""),"",WORKDAY(INT(P58),BA58,JoursFeries)+MOD(P58,1))</f>
        <v>46192.3923611111</v>
      </c>
      <c r="BD58" s="39" t="n">
        <f aca="false">IF(AO58&lt;&gt;1,"",IF(OR(AB58&lt;&gt;"",AD58&lt;&gt;""),4,IF(U58&lt;&gt;"",3,IF(T58&lt;&gt;"",2,1))))</f>
        <v>1</v>
      </c>
      <c r="BE58" s="39" t="n">
        <f aca="false">IF(OR(AO58&lt;&gt;1,AR58=""),"",INDEX(NIV_REQ,AR58))</f>
        <v>1</v>
      </c>
      <c r="BF58" s="39" t="n">
        <f aca="false">IF(BE58="","",MAX(BE58,IF(OR(K58="Oui",Z58="Oui"),4,1)))</f>
        <v>1</v>
      </c>
      <c r="BG58" s="35" t="n">
        <f aca="false">IF(OR(BF58="",BD58=""),"",IF(BD58&gt;=BF58,1,0))</f>
        <v>1</v>
      </c>
      <c r="BH58" s="38" t="str">
        <f aca="false">IF(BE58="","",IF(BE58&lt;2,"",IF(BE58=2,IF(AND(T58="",U58=""),"",MIN(T58,U58)),IF(U58="","",U58))))</f>
        <v/>
      </c>
      <c r="BI58" s="37" t="str">
        <f aca="false">IF(BH58="","",IF(OR(O58="",BH58=""),"",IF(BH58&lt;O58,"",ROUND(((NETWORKDAYS(O58,BH58,JoursFeries)-1)*(HFer-HOuv)+IF(NETWORKDAYS(BH58,BH58,JoursFeries),MEDIAN(MOD(BH58,1),HFer,HOuv),HFer)-IF(NETWORKDAYS(O58,O58,JoursFeries),MEDIAN(MOD(O58,1),HFer,HOuv),HOuv))*24,4))))</f>
        <v/>
      </c>
      <c r="BJ58" s="35" t="str">
        <f aca="false">IF(OR(BI58="",AR58=""),"",IF(BI58&lt;=INDEX(DELAI_ESC,AR58),1,0))</f>
        <v/>
      </c>
      <c r="BK58" s="38" t="str">
        <f aca="false">IF(AO58&lt;&gt;1,"",IF(AND(T58="",U58=""),"",MIN(T58,U58)))</f>
        <v/>
      </c>
      <c r="BL58" s="37" t="str">
        <f aca="false">IF(OR(BK58="",R58=""),"",IFERROR(ROUND(IF(OR(BK58="",R58=""),"",IF(R58&lt;BK58,"",ROUND(((NETWORKDAYS(BK58,R58,JoursFeries)-1)*(HFer-HOuv)+IF(NETWORKDAYS(R58,R58,JoursFeries),MEDIAN(MOD(R58,1),HFer,HOuv),HFer)-IF(NETWORKDAYS(BK58,BK58,JoursFeries),MEDIAN(MOD(BK58,1),HFer,HOuv),HOuv))*24,4)))/HJour,4),""))</f>
        <v/>
      </c>
      <c r="BM58" s="35" t="n">
        <f aca="false">IF(OR(AO58&lt;&gt;1,R58=""),"",IF(BD58=1,1,0))</f>
        <v>1</v>
      </c>
      <c r="BN58" s="35" t="n">
        <f aca="false">IF(AO58&lt;&gt;1,"",IF(W58="Oui",1,0))</f>
        <v>0</v>
      </c>
      <c r="BO58" s="35" t="n">
        <f aca="false">IF(AO58&lt;&gt;1,"",IF(X58&lt;&gt;"",1,0))</f>
        <v>0</v>
      </c>
      <c r="BP58" s="35" t="n">
        <f aca="false">IF(AO58&lt;&gt;1,"",IF(Y58="Oui",1,0))</f>
        <v>0</v>
      </c>
      <c r="BQ58" s="35" t="str">
        <f aca="true">IF(OR(AO58&lt;&gt;1,Z58&lt;&gt;"Oui"),"",IF(AB58="",IF(AND(AA58&lt;&gt;"",NOW()&gt;AA58),0,""),IF(AA58="","",IF(AB58&lt;=AA58,1,0))))</f>
        <v/>
      </c>
      <c r="BR58" s="38" t="str">
        <f aca="false">IF(OR(AO58&lt;&gt;1,K58&lt;&gt;"Oui",O58=""),"",IF(AC58="",O58+DORA_H_DET/24,IF(AC58-O58&lt;=DORA_H_DET/24,MIN(AC58+DORA_H_CLA/24,O58+DORA_H_DET/24),AC58+DORA_H_CLA/24)))</f>
        <v/>
      </c>
      <c r="BS58" s="35" t="str">
        <f aca="true">IF(BR58="","",IF(AD58="",IF(NOW()&gt;BR58,0,""),IF(AD58&lt;=BR58,1,0)))</f>
        <v/>
      </c>
      <c r="BT58" s="35" t="str">
        <f aca="true">IF(OR(BR58="",AD58=""),"",IF(AE58="",IF(NOW()&gt;AD58+DORA_H_INT/24,0,""),IF(AE58&lt;=AD58+DORA_H_INT/24,1,0)))</f>
        <v/>
      </c>
      <c r="BU58" s="35" t="str">
        <f aca="true">IF(OR(BR58="",AE58=""),"",IF(AF58="",IF(NOW()&gt;EDATE(AE58,DORA_M_FIN)+1,0,""),IF(AF58&lt;=EDATE(AE58,DORA_M_FIN),1,0)))</f>
        <v/>
      </c>
      <c r="BV58" s="35" t="str">
        <f aca="false">IF(BR58="","",IF(COUNT(BS58:BU58)=0,"",MIN(BS58:BU58)))</f>
        <v/>
      </c>
      <c r="BW58" s="40" t="str">
        <f aca="false">IF(AQ58&lt;&gt;1,"",IF(AND(AG58="",AH58=""),"",N(AG58)-N(AH58)))</f>
        <v/>
      </c>
      <c r="BX58" s="35" t="str">
        <f aca="true">IF(OR(AQ58&lt;&gt;1,AI58&lt;&gt;"Oui",AJ58=""),"",IF(AK58="",IF(NOW()&gt;AJ58+1,0,""),IF(AK58&lt;=AJ58,1,0)))</f>
        <v/>
      </c>
    </row>
    <row r="59" customFormat="false" ht="15" hidden="false" customHeight="false" outlineLevel="0" collapsed="false">
      <c r="B59" s="29" t="s">
        <v>282</v>
      </c>
      <c r="C59" s="29" t="s">
        <v>178</v>
      </c>
      <c r="D59" s="29" t="s">
        <v>224</v>
      </c>
      <c r="E59" s="29" t="s">
        <v>254</v>
      </c>
      <c r="F59" s="29" t="s">
        <v>172</v>
      </c>
      <c r="G59" s="29" t="s">
        <v>180</v>
      </c>
      <c r="H59" s="29"/>
      <c r="I59" s="29" t="s">
        <v>262</v>
      </c>
      <c r="J59" s="29" t="s">
        <v>187</v>
      </c>
      <c r="K59" s="29" t="s">
        <v>168</v>
      </c>
      <c r="L59" s="29" t="s">
        <v>169</v>
      </c>
      <c r="M59" s="29" t="s">
        <v>165</v>
      </c>
      <c r="N59" s="30" t="n">
        <v>46163.2326388889</v>
      </c>
      <c r="O59" s="30" t="n">
        <v>46163.4722222222</v>
      </c>
      <c r="P59" s="30" t="n">
        <v>46163.5034722222</v>
      </c>
      <c r="Q59" s="30" t="n">
        <v>46168.46875</v>
      </c>
      <c r="R59" s="30" t="n">
        <v>46192.4375</v>
      </c>
      <c r="S59" s="30" t="n">
        <v>46213.7013888889</v>
      </c>
      <c r="T59" s="30"/>
      <c r="U59" s="30"/>
      <c r="V59" s="31" t="n">
        <v>0</v>
      </c>
      <c r="W59" s="29" t="s">
        <v>168</v>
      </c>
      <c r="X59" s="29"/>
      <c r="Y59" s="29" t="s">
        <v>168</v>
      </c>
      <c r="Z59" s="29" t="s">
        <v>168</v>
      </c>
      <c r="AA59" s="30"/>
      <c r="AB59" s="30"/>
      <c r="AC59" s="30"/>
      <c r="AD59" s="30"/>
      <c r="AE59" s="30"/>
      <c r="AF59" s="32"/>
      <c r="AG59" s="33"/>
      <c r="AH59" s="33"/>
      <c r="AI59" s="29" t="s">
        <v>168</v>
      </c>
      <c r="AJ59" s="32"/>
      <c r="AK59" s="32"/>
      <c r="AL59" s="29"/>
      <c r="AN59" s="34" t="str">
        <f aca="false">IF($B59="","",IF(OR(C59="",D59="",E59="",G59="",I59="",J59="",L59="",O59="",P59=""),"Champ obligatoire manquant",IF(OR(AND(N59&lt;&gt;"",N59&gt;O59),O59&gt;P59,AND(Q59&lt;&gt;"",Q59&lt;P59),AND(R59&lt;&gt;"",R59&lt;P59),AND(S59&lt;&gt;"",S59&lt;R59),AND(S59&lt;&gt;"",R59=""),AND(T59&lt;&gt;"",T59&lt;O59),AND(U59&lt;&gt;"",U59&lt;O59)),"Chronologie incohérente",IF(AND(OR(L59="Résolu",L59="Clos"),R59=""),"Date de résolution manquante",IF(AND(L59="Clos",S59=""),"Date de clôture manquante",IF(AND(K59="Oui",AC59=""),"Classification DORA manquante","OK"))))))</f>
        <v>OK</v>
      </c>
      <c r="AO59" s="35" t="n">
        <f aca="false">IF($B59="","",IF(AND(C59="Incident",L59&lt;&gt;"Annulé"),1,0))</f>
        <v>1</v>
      </c>
      <c r="AP59" s="35" t="n">
        <f aca="false">IF($B59="","",IF(AND(C59="Quasi-incident",L59&lt;&gt;"Annulé"),1,0))</f>
        <v>0</v>
      </c>
      <c r="AQ59" s="35" t="n">
        <f aca="false">IF($B59="","",AO59+AP59)</f>
        <v>1</v>
      </c>
      <c r="AR59" s="36" t="n">
        <f aca="false">IF(OR($B59="",J59=""),"",IFERROR(VALUE(LEFT(J59,1)),""))</f>
        <v>4</v>
      </c>
      <c r="AS59" s="35" t="n">
        <f aca="false">IF(OR(AO59&lt;&gt;1,G59=""),"",IFERROR(IF(INDEX(L_SrcInterne,MATCH(G59,L_Sources,0))="Oui",1,0),""))</f>
        <v>1</v>
      </c>
      <c r="AT59" s="37" t="n">
        <f aca="false">IF(AO59&lt;&gt;1,"",IFERROR(ROUND(IF(OR(N59="",O59=""),"",IF(O59&lt;N59,"",ROUND(((NETWORKDAYS(N59,O59,JoursFeries)-1)*(HFer-HOuv)+IF(NETWORKDAYS(O59,O59,JoursFeries),MEDIAN(MOD(O59,1),HFer,HOuv),HFer)-IF(NETWORKDAYS(N59,N59,JoursFeries),MEDIAN(MOD(N59,1),HFer,HOuv),HOuv))*24,4)))/HJour,4),""))</f>
        <v>0.2593</v>
      </c>
      <c r="AU59" s="37" t="n">
        <f aca="false">IF(AO59&lt;&gt;1,"",IF(OR(O59="",P59=""),"",IF(P59&lt;O59,"",ROUND(((NETWORKDAYS(O59,P59,JoursFeries)-1)*(HFer-HOuv)+IF(NETWORKDAYS(P59,P59,JoursFeries),MEDIAN(MOD(P59,1),HFer,HOuv),HFer)-IF(NETWORKDAYS(O59,O59,JoursFeries),MEDIAN(MOD(O59,1),HFer,HOuv),HOuv))*24,4))))</f>
        <v>0.75</v>
      </c>
      <c r="AV59" s="37" t="n">
        <f aca="false">IF(AO59&lt;&gt;1,"",IF(OR(P59="",Q59=""),"",IF(Q59&lt;P59,"",ROUND(((NETWORKDAYS(P59,Q59,JoursFeries)-1)*(HFer-HOuv)+IF(NETWORKDAYS(Q59,Q59,JoursFeries),MEDIAN(MOD(Q59,1),HFer,HOuv),HFer)-IF(NETWORKDAYS(P59,P59,JoursFeries),MEDIAN(MOD(P59,1),HFer,HOuv),HOuv))*24,4))))</f>
        <v>17.1667</v>
      </c>
      <c r="AW59" s="37" t="n">
        <f aca="false">IF(AO59&lt;&gt;1,"",IFERROR(ROUND(IF(OR(P59="",R59=""),"",IF(R59&lt;P59,"",ROUND(((NETWORKDAYS(P59,R59,JoursFeries)-1)*(HFer-HOuv)+IF(NETWORKDAYS(R59,R59,JoursFeries),MEDIAN(MOD(R59,1),HFer,HOuv),HFer)-IF(NETWORKDAYS(P59,P59,JoursFeries),MEDIAN(MOD(P59,1),HFer,HOuv),HOuv))*24,4)))/HJour,4),""))</f>
        <v>19.8241</v>
      </c>
      <c r="AX59" s="37" t="n">
        <f aca="false">IF(AO59&lt;&gt;1,"",IFERROR(ROUND(IF(OR(P59="",S59=""),"",IF(S59&lt;P59,"",ROUND(((NETWORKDAYS(P59,S59,JoursFeries)-1)*(HFer-HOuv)+IF(NETWORKDAYS(S59,S59,JoursFeries),MEDIAN(MOD(S59,1),HFer,HOuv),HFer)-IF(NETWORKDAYS(P59,P59,JoursFeries),MEDIAN(MOD(P59,1),HFer,HOuv),HOuv))*24,4)))/HJour,4),""))</f>
        <v>35.5278</v>
      </c>
      <c r="AY59" s="36" t="n">
        <f aca="false">IF(OR(AO59&lt;&gt;1,AR59=""),"",INDEX(SLA_PEC,AR59))</f>
        <v>18</v>
      </c>
      <c r="AZ59" s="35" t="n">
        <f aca="false">IF(OR(AV59="",AY59=""),"",IF(AV59&lt;=AY59,1,0))</f>
        <v>1</v>
      </c>
      <c r="BA59" s="36" t="n">
        <f aca="false">IF(OR(AO59&lt;&gt;1,AR59=""),"",INDEX(SLA_RES,AR59))</f>
        <v>20</v>
      </c>
      <c r="BB59" s="35" t="n">
        <f aca="false">IF(OR(AW59="",BA59=""),"",IF(AW59&lt;=BA59,1,0))</f>
        <v>1</v>
      </c>
      <c r="BC59" s="38" t="n">
        <f aca="false">IF(OR(BA59="",P59=""),"",WORKDAY(INT(P59),BA59,JoursFeries)+MOD(P59,1))</f>
        <v>46192.5034722222</v>
      </c>
      <c r="BD59" s="39" t="n">
        <f aca="false">IF(AO59&lt;&gt;1,"",IF(OR(AB59&lt;&gt;"",AD59&lt;&gt;""),4,IF(U59&lt;&gt;"",3,IF(T59&lt;&gt;"",2,1))))</f>
        <v>1</v>
      </c>
      <c r="BE59" s="39" t="n">
        <f aca="false">IF(OR(AO59&lt;&gt;1,AR59=""),"",INDEX(NIV_REQ,AR59))</f>
        <v>1</v>
      </c>
      <c r="BF59" s="39" t="n">
        <f aca="false">IF(BE59="","",MAX(BE59,IF(OR(K59="Oui",Z59="Oui"),4,1)))</f>
        <v>1</v>
      </c>
      <c r="BG59" s="35" t="n">
        <f aca="false">IF(OR(BF59="",BD59=""),"",IF(BD59&gt;=BF59,1,0))</f>
        <v>1</v>
      </c>
      <c r="BH59" s="38" t="str">
        <f aca="false">IF(BE59="","",IF(BE59&lt;2,"",IF(BE59=2,IF(AND(T59="",U59=""),"",MIN(T59,U59)),IF(U59="","",U59))))</f>
        <v/>
      </c>
      <c r="BI59" s="37" t="str">
        <f aca="false">IF(BH59="","",IF(OR(O59="",BH59=""),"",IF(BH59&lt;O59,"",ROUND(((NETWORKDAYS(O59,BH59,JoursFeries)-1)*(HFer-HOuv)+IF(NETWORKDAYS(BH59,BH59,JoursFeries),MEDIAN(MOD(BH59,1),HFer,HOuv),HFer)-IF(NETWORKDAYS(O59,O59,JoursFeries),MEDIAN(MOD(O59,1),HFer,HOuv),HOuv))*24,4))))</f>
        <v/>
      </c>
      <c r="BJ59" s="35" t="str">
        <f aca="false">IF(OR(BI59="",AR59=""),"",IF(BI59&lt;=INDEX(DELAI_ESC,AR59),1,0))</f>
        <v/>
      </c>
      <c r="BK59" s="38" t="str">
        <f aca="false">IF(AO59&lt;&gt;1,"",IF(AND(T59="",U59=""),"",MIN(T59,U59)))</f>
        <v/>
      </c>
      <c r="BL59" s="37" t="str">
        <f aca="false">IF(OR(BK59="",R59=""),"",IFERROR(ROUND(IF(OR(BK59="",R59=""),"",IF(R59&lt;BK59,"",ROUND(((NETWORKDAYS(BK59,R59,JoursFeries)-1)*(HFer-HOuv)+IF(NETWORKDAYS(R59,R59,JoursFeries),MEDIAN(MOD(R59,1),HFer,HOuv),HFer)-IF(NETWORKDAYS(BK59,BK59,JoursFeries),MEDIAN(MOD(BK59,1),HFer,HOuv),HOuv))*24,4)))/HJour,4),""))</f>
        <v/>
      </c>
      <c r="BM59" s="35" t="n">
        <f aca="false">IF(OR(AO59&lt;&gt;1,R59=""),"",IF(BD59=1,1,0))</f>
        <v>1</v>
      </c>
      <c r="BN59" s="35" t="n">
        <f aca="false">IF(AO59&lt;&gt;1,"",IF(W59="Oui",1,0))</f>
        <v>0</v>
      </c>
      <c r="BO59" s="35" t="n">
        <f aca="false">IF(AO59&lt;&gt;1,"",IF(X59&lt;&gt;"",1,0))</f>
        <v>0</v>
      </c>
      <c r="BP59" s="35" t="n">
        <f aca="false">IF(AO59&lt;&gt;1,"",IF(Y59="Oui",1,0))</f>
        <v>0</v>
      </c>
      <c r="BQ59" s="35" t="str">
        <f aca="true">IF(OR(AO59&lt;&gt;1,Z59&lt;&gt;"Oui"),"",IF(AB59="",IF(AND(AA59&lt;&gt;"",NOW()&gt;AA59),0,""),IF(AA59="","",IF(AB59&lt;=AA59,1,0))))</f>
        <v/>
      </c>
      <c r="BR59" s="38" t="str">
        <f aca="false">IF(OR(AO59&lt;&gt;1,K59&lt;&gt;"Oui",O59=""),"",IF(AC59="",O59+DORA_H_DET/24,IF(AC59-O59&lt;=DORA_H_DET/24,MIN(AC59+DORA_H_CLA/24,O59+DORA_H_DET/24),AC59+DORA_H_CLA/24)))</f>
        <v/>
      </c>
      <c r="BS59" s="35" t="str">
        <f aca="true">IF(BR59="","",IF(AD59="",IF(NOW()&gt;BR59,0,""),IF(AD59&lt;=BR59,1,0)))</f>
        <v/>
      </c>
      <c r="BT59" s="35" t="str">
        <f aca="true">IF(OR(BR59="",AD59=""),"",IF(AE59="",IF(NOW()&gt;AD59+DORA_H_INT/24,0,""),IF(AE59&lt;=AD59+DORA_H_INT/24,1,0)))</f>
        <v/>
      </c>
      <c r="BU59" s="35" t="str">
        <f aca="true">IF(OR(BR59="",AE59=""),"",IF(AF59="",IF(NOW()&gt;EDATE(AE59,DORA_M_FIN)+1,0,""),IF(AF59&lt;=EDATE(AE59,DORA_M_FIN),1,0)))</f>
        <v/>
      </c>
      <c r="BV59" s="35" t="str">
        <f aca="false">IF(BR59="","",IF(COUNT(BS59:BU59)=0,"",MIN(BS59:BU59)))</f>
        <v/>
      </c>
      <c r="BW59" s="40" t="str">
        <f aca="false">IF(AQ59&lt;&gt;1,"",IF(AND(AG59="",AH59=""),"",N(AG59)-N(AH59)))</f>
        <v/>
      </c>
      <c r="BX59" s="35" t="str">
        <f aca="true">IF(OR(AQ59&lt;&gt;1,AI59&lt;&gt;"Oui",AJ59=""),"",IF(AK59="",IF(NOW()&gt;AJ59+1,0,""),IF(AK59&lt;=AJ59,1,0)))</f>
        <v/>
      </c>
    </row>
    <row r="60" customFormat="false" ht="15" hidden="false" customHeight="false" outlineLevel="0" collapsed="false">
      <c r="B60" s="29" t="s">
        <v>283</v>
      </c>
      <c r="C60" s="29" t="s">
        <v>160</v>
      </c>
      <c r="D60" s="29" t="s">
        <v>198</v>
      </c>
      <c r="E60" s="29" t="s">
        <v>269</v>
      </c>
      <c r="F60" s="29" t="s">
        <v>172</v>
      </c>
      <c r="G60" s="29" t="s">
        <v>173</v>
      </c>
      <c r="H60" s="29"/>
      <c r="I60" s="29" t="s">
        <v>274</v>
      </c>
      <c r="J60" s="29" t="s">
        <v>187</v>
      </c>
      <c r="K60" s="29" t="s">
        <v>168</v>
      </c>
      <c r="L60" s="29" t="s">
        <v>169</v>
      </c>
      <c r="M60" s="29" t="s">
        <v>165</v>
      </c>
      <c r="N60" s="30" t="n">
        <v>46168.2777777778</v>
      </c>
      <c r="O60" s="30" t="n">
        <v>46168.4097222222</v>
      </c>
      <c r="P60" s="30" t="n">
        <v>46168.4409722222</v>
      </c>
      <c r="Q60" s="30" t="n">
        <v>46168.6319444445</v>
      </c>
      <c r="R60" s="30" t="n">
        <v>46174.6805555556</v>
      </c>
      <c r="S60" s="30" t="n">
        <v>46183.7013888889</v>
      </c>
      <c r="T60" s="30"/>
      <c r="U60" s="30"/>
      <c r="V60" s="31" t="n">
        <v>0</v>
      </c>
      <c r="W60" s="29" t="s">
        <v>168</v>
      </c>
      <c r="X60" s="29"/>
      <c r="Y60" s="29" t="s">
        <v>168</v>
      </c>
      <c r="Z60" s="29" t="s">
        <v>168</v>
      </c>
      <c r="AA60" s="30"/>
      <c r="AB60" s="30"/>
      <c r="AC60" s="30"/>
      <c r="AD60" s="30"/>
      <c r="AE60" s="30"/>
      <c r="AF60" s="32"/>
      <c r="AG60" s="33"/>
      <c r="AH60" s="33"/>
      <c r="AI60" s="29" t="s">
        <v>168</v>
      </c>
      <c r="AJ60" s="32"/>
      <c r="AK60" s="32"/>
      <c r="AL60" s="29"/>
      <c r="AN60" s="34" t="str">
        <f aca="false">IF($B60="","",IF(OR(C60="",D60="",E60="",G60="",I60="",J60="",L60="",O60="",P60=""),"Champ obligatoire manquant",IF(OR(AND(N60&lt;&gt;"",N60&gt;O60),O60&gt;P60,AND(Q60&lt;&gt;"",Q60&lt;P60),AND(R60&lt;&gt;"",R60&lt;P60),AND(S60&lt;&gt;"",S60&lt;R60),AND(S60&lt;&gt;"",R60=""),AND(T60&lt;&gt;"",T60&lt;O60),AND(U60&lt;&gt;"",U60&lt;O60)),"Chronologie incohérente",IF(AND(OR(L60="Résolu",L60="Clos"),R60=""),"Date de résolution manquante",IF(AND(L60="Clos",S60=""),"Date de clôture manquante",IF(AND(K60="Oui",AC60=""),"Classification DORA manquante","OK"))))))</f>
        <v>OK</v>
      </c>
      <c r="AO60" s="35" t="n">
        <f aca="false">IF($B60="","",IF(AND(C60="Incident",L60&lt;&gt;"Annulé"),1,0))</f>
        <v>0</v>
      </c>
      <c r="AP60" s="35" t="n">
        <f aca="false">IF($B60="","",IF(AND(C60="Quasi-incident",L60&lt;&gt;"Annulé"),1,0))</f>
        <v>1</v>
      </c>
      <c r="AQ60" s="35" t="n">
        <f aca="false">IF($B60="","",AO60+AP60)</f>
        <v>1</v>
      </c>
      <c r="AR60" s="36" t="n">
        <f aca="false">IF(OR($B60="",J60=""),"",IFERROR(VALUE(LEFT(J60,1)),""))</f>
        <v>4</v>
      </c>
      <c r="AS60" s="35" t="str">
        <f aca="false">IF(OR(AO60&lt;&gt;1,G60=""),"",IFERROR(IF(INDEX(L_SrcInterne,MATCH(G60,L_Sources,0))="Oui",1,0),""))</f>
        <v/>
      </c>
      <c r="AT60" s="37" t="str">
        <f aca="false">IF(AO60&lt;&gt;1,"",IFERROR(ROUND(IF(OR(N60="",O60=""),"",IF(O60&lt;N60,"",ROUND(((NETWORKDAYS(N60,O60,JoursFeries)-1)*(HFer-HOuv)+IF(NETWORKDAYS(O60,O60,JoursFeries),MEDIAN(MOD(O60,1),HFer,HOuv),HFer)-IF(NETWORKDAYS(N60,N60,JoursFeries),MEDIAN(MOD(N60,1),HFer,HOuv),HOuv))*24,4)))/HJour,4),""))</f>
        <v/>
      </c>
      <c r="AU60" s="37" t="str">
        <f aca="false">IF(AO60&lt;&gt;1,"",IF(OR(O60="",P60=""),"",IF(P60&lt;O60,"",ROUND(((NETWORKDAYS(O60,P60,JoursFeries)-1)*(HFer-HOuv)+IF(NETWORKDAYS(P60,P60,JoursFeries),MEDIAN(MOD(P60,1),HFer,HOuv),HFer)-IF(NETWORKDAYS(O60,O60,JoursFeries),MEDIAN(MOD(O60,1),HFer,HOuv),HOuv))*24,4))))</f>
        <v/>
      </c>
      <c r="AV60" s="37" t="str">
        <f aca="false">IF(AO60&lt;&gt;1,"",IF(OR(P60="",Q60=""),"",IF(Q60&lt;P60,"",ROUND(((NETWORKDAYS(P60,Q60,JoursFeries)-1)*(HFer-HOuv)+IF(NETWORKDAYS(Q60,Q60,JoursFeries),MEDIAN(MOD(Q60,1),HFer,HOuv),HFer)-IF(NETWORKDAYS(P60,P60,JoursFeries),MEDIAN(MOD(P60,1),HFer,HOuv),HOuv))*24,4))))</f>
        <v/>
      </c>
      <c r="AW60" s="37" t="str">
        <f aca="false">IF(AO60&lt;&gt;1,"",IFERROR(ROUND(IF(OR(P60="",R60=""),"",IF(R60&lt;P60,"",ROUND(((NETWORKDAYS(P60,R60,JoursFeries)-1)*(HFer-HOuv)+IF(NETWORKDAYS(R60,R60,JoursFeries),MEDIAN(MOD(R60,1),HFer,HOuv),HFer)-IF(NETWORKDAYS(P60,P60,JoursFeries),MEDIAN(MOD(P60,1),HFer,HOuv),HOuv))*24,4)))/HJour,4),""))</f>
        <v/>
      </c>
      <c r="AX60" s="37" t="str">
        <f aca="false">IF(AO60&lt;&gt;1,"",IFERROR(ROUND(IF(OR(P60="",S60=""),"",IF(S60&lt;P60,"",ROUND(((NETWORKDAYS(P60,S60,JoursFeries)-1)*(HFer-HOuv)+IF(NETWORKDAYS(S60,S60,JoursFeries),MEDIAN(MOD(S60,1),HFer,HOuv),HFer)-IF(NETWORKDAYS(P60,P60,JoursFeries),MEDIAN(MOD(P60,1),HFer,HOuv),HOuv))*24,4)))/HJour,4),""))</f>
        <v/>
      </c>
      <c r="AY60" s="36" t="str">
        <f aca="false">IF(OR(AO60&lt;&gt;1,AR60=""),"",INDEX(SLA_PEC,AR60))</f>
        <v/>
      </c>
      <c r="AZ60" s="35" t="str">
        <f aca="false">IF(OR(AV60="",AY60=""),"",IF(AV60&lt;=AY60,1,0))</f>
        <v/>
      </c>
      <c r="BA60" s="36" t="str">
        <f aca="false">IF(OR(AO60&lt;&gt;1,AR60=""),"",INDEX(SLA_RES,AR60))</f>
        <v/>
      </c>
      <c r="BB60" s="35" t="str">
        <f aca="false">IF(OR(AW60="",BA60=""),"",IF(AW60&lt;=BA60,1,0))</f>
        <v/>
      </c>
      <c r="BC60" s="38" t="str">
        <f aca="false">IF(OR(BA60="",P60=""),"",WORKDAY(INT(P60),BA60,JoursFeries)+MOD(P60,1))</f>
        <v/>
      </c>
      <c r="BD60" s="39" t="str">
        <f aca="false">IF(AO60&lt;&gt;1,"",IF(OR(AB60&lt;&gt;"",AD60&lt;&gt;""),4,IF(U60&lt;&gt;"",3,IF(T60&lt;&gt;"",2,1))))</f>
        <v/>
      </c>
      <c r="BE60" s="39" t="str">
        <f aca="false">IF(OR(AO60&lt;&gt;1,AR60=""),"",INDEX(NIV_REQ,AR60))</f>
        <v/>
      </c>
      <c r="BF60" s="39" t="str">
        <f aca="false">IF(BE60="","",MAX(BE60,IF(OR(K60="Oui",Z60="Oui"),4,1)))</f>
        <v/>
      </c>
      <c r="BG60" s="35" t="str">
        <f aca="false">IF(OR(BF60="",BD60=""),"",IF(BD60&gt;=BF60,1,0))</f>
        <v/>
      </c>
      <c r="BH60" s="38" t="str">
        <f aca="false">IF(BE60="","",IF(BE60&lt;2,"",IF(BE60=2,IF(AND(T60="",U60=""),"",MIN(T60,U60)),IF(U60="","",U60))))</f>
        <v/>
      </c>
      <c r="BI60" s="37" t="str">
        <f aca="false">IF(BH60="","",IF(OR(O60="",BH60=""),"",IF(BH60&lt;O60,"",ROUND(((NETWORKDAYS(O60,BH60,JoursFeries)-1)*(HFer-HOuv)+IF(NETWORKDAYS(BH60,BH60,JoursFeries),MEDIAN(MOD(BH60,1),HFer,HOuv),HFer)-IF(NETWORKDAYS(O60,O60,JoursFeries),MEDIAN(MOD(O60,1),HFer,HOuv),HOuv))*24,4))))</f>
        <v/>
      </c>
      <c r="BJ60" s="35" t="str">
        <f aca="false">IF(OR(BI60="",AR60=""),"",IF(BI60&lt;=INDEX(DELAI_ESC,AR60),1,0))</f>
        <v/>
      </c>
      <c r="BK60" s="38" t="str">
        <f aca="false">IF(AO60&lt;&gt;1,"",IF(AND(T60="",U60=""),"",MIN(T60,U60)))</f>
        <v/>
      </c>
      <c r="BL60" s="37" t="str">
        <f aca="false">IF(OR(BK60="",R60=""),"",IFERROR(ROUND(IF(OR(BK60="",R60=""),"",IF(R60&lt;BK60,"",ROUND(((NETWORKDAYS(BK60,R60,JoursFeries)-1)*(HFer-HOuv)+IF(NETWORKDAYS(R60,R60,JoursFeries),MEDIAN(MOD(R60,1),HFer,HOuv),HFer)-IF(NETWORKDAYS(BK60,BK60,JoursFeries),MEDIAN(MOD(BK60,1),HFer,HOuv),HOuv))*24,4)))/HJour,4),""))</f>
        <v/>
      </c>
      <c r="BM60" s="35" t="str">
        <f aca="false">IF(OR(AO60&lt;&gt;1,R60=""),"",IF(BD60=1,1,0))</f>
        <v/>
      </c>
      <c r="BN60" s="35" t="str">
        <f aca="false">IF(AO60&lt;&gt;1,"",IF(W60="Oui",1,0))</f>
        <v/>
      </c>
      <c r="BO60" s="35" t="str">
        <f aca="false">IF(AO60&lt;&gt;1,"",IF(X60&lt;&gt;"",1,0))</f>
        <v/>
      </c>
      <c r="BP60" s="35" t="str">
        <f aca="false">IF(AO60&lt;&gt;1,"",IF(Y60="Oui",1,0))</f>
        <v/>
      </c>
      <c r="BQ60" s="35" t="str">
        <f aca="true">IF(OR(AO60&lt;&gt;1,Z60&lt;&gt;"Oui"),"",IF(AB60="",IF(AND(AA60&lt;&gt;"",NOW()&gt;AA60),0,""),IF(AA60="","",IF(AB60&lt;=AA60,1,0))))</f>
        <v/>
      </c>
      <c r="BR60" s="38" t="str">
        <f aca="false">IF(OR(AO60&lt;&gt;1,K60&lt;&gt;"Oui",O60=""),"",IF(AC60="",O60+DORA_H_DET/24,IF(AC60-O60&lt;=DORA_H_DET/24,MIN(AC60+DORA_H_CLA/24,O60+DORA_H_DET/24),AC60+DORA_H_CLA/24)))</f>
        <v/>
      </c>
      <c r="BS60" s="35" t="str">
        <f aca="true">IF(BR60="","",IF(AD60="",IF(NOW()&gt;BR60,0,""),IF(AD60&lt;=BR60,1,0)))</f>
        <v/>
      </c>
      <c r="BT60" s="35" t="str">
        <f aca="true">IF(OR(BR60="",AD60=""),"",IF(AE60="",IF(NOW()&gt;AD60+DORA_H_INT/24,0,""),IF(AE60&lt;=AD60+DORA_H_INT/24,1,0)))</f>
        <v/>
      </c>
      <c r="BU60" s="35" t="str">
        <f aca="true">IF(OR(BR60="",AE60=""),"",IF(AF60="",IF(NOW()&gt;EDATE(AE60,DORA_M_FIN)+1,0,""),IF(AF60&lt;=EDATE(AE60,DORA_M_FIN),1,0)))</f>
        <v/>
      </c>
      <c r="BV60" s="35" t="str">
        <f aca="false">IF(BR60="","",IF(COUNT(BS60:BU60)=0,"",MIN(BS60:BU60)))</f>
        <v/>
      </c>
      <c r="BW60" s="40" t="str">
        <f aca="false">IF(AQ60&lt;&gt;1,"",IF(AND(AG60="",AH60=""),"",N(AG60)-N(AH60)))</f>
        <v/>
      </c>
      <c r="BX60" s="35" t="str">
        <f aca="true">IF(OR(AQ60&lt;&gt;1,AI60&lt;&gt;"Oui",AJ60=""),"",IF(AK60="",IF(NOW()&gt;AJ60+1,0,""),IF(AK60&lt;=AJ60,1,0)))</f>
        <v/>
      </c>
    </row>
    <row r="61" customFormat="false" ht="15" hidden="false" customHeight="false" outlineLevel="0" collapsed="false">
      <c r="B61" s="29" t="s">
        <v>284</v>
      </c>
      <c r="C61" s="29" t="s">
        <v>160</v>
      </c>
      <c r="D61" s="29" t="s">
        <v>224</v>
      </c>
      <c r="E61" s="29" t="s">
        <v>203</v>
      </c>
      <c r="F61" s="29" t="s">
        <v>285</v>
      </c>
      <c r="G61" s="29" t="s">
        <v>180</v>
      </c>
      <c r="H61" s="29" t="s">
        <v>182</v>
      </c>
      <c r="I61" s="29" t="s">
        <v>205</v>
      </c>
      <c r="J61" s="29" t="s">
        <v>167</v>
      </c>
      <c r="K61" s="29" t="s">
        <v>168</v>
      </c>
      <c r="L61" s="29" t="s">
        <v>169</v>
      </c>
      <c r="M61" s="29" t="s">
        <v>165</v>
      </c>
      <c r="N61" s="30" t="n">
        <v>46133.4131944445</v>
      </c>
      <c r="O61" s="30" t="n">
        <v>46171.4131944445</v>
      </c>
      <c r="P61" s="30" t="n">
        <v>46171.4270833333</v>
      </c>
      <c r="Q61" s="30" t="n">
        <v>46171.5902777778</v>
      </c>
      <c r="R61" s="30" t="n">
        <v>46176.6527777778</v>
      </c>
      <c r="S61" s="30" t="n">
        <v>46184.3958333333</v>
      </c>
      <c r="T61" s="30"/>
      <c r="U61" s="30"/>
      <c r="V61" s="31" t="n">
        <v>0</v>
      </c>
      <c r="W61" s="29" t="s">
        <v>168</v>
      </c>
      <c r="X61" s="29"/>
      <c r="Y61" s="29" t="s">
        <v>168</v>
      </c>
      <c r="Z61" s="29" t="s">
        <v>168</v>
      </c>
      <c r="AA61" s="30"/>
      <c r="AB61" s="30"/>
      <c r="AC61" s="30"/>
      <c r="AD61" s="30"/>
      <c r="AE61" s="30"/>
      <c r="AF61" s="32"/>
      <c r="AG61" s="33"/>
      <c r="AH61" s="33"/>
      <c r="AI61" s="29" t="s">
        <v>168</v>
      </c>
      <c r="AJ61" s="32"/>
      <c r="AK61" s="32"/>
      <c r="AL61" s="29"/>
      <c r="AN61" s="34" t="str">
        <f aca="false">IF($B61="","",IF(OR(C61="",D61="",E61="",G61="",I61="",J61="",L61="",O61="",P61=""),"Champ obligatoire manquant",IF(OR(AND(N61&lt;&gt;"",N61&gt;O61),O61&gt;P61,AND(Q61&lt;&gt;"",Q61&lt;P61),AND(R61&lt;&gt;"",R61&lt;P61),AND(S61&lt;&gt;"",S61&lt;R61),AND(S61&lt;&gt;"",R61=""),AND(T61&lt;&gt;"",T61&lt;O61),AND(U61&lt;&gt;"",U61&lt;O61)),"Chronologie incohérente",IF(AND(OR(L61="Résolu",L61="Clos"),R61=""),"Date de résolution manquante",IF(AND(L61="Clos",S61=""),"Date de clôture manquante",IF(AND(K61="Oui",AC61=""),"Classification DORA manquante","OK"))))))</f>
        <v>OK</v>
      </c>
      <c r="AO61" s="35" t="n">
        <f aca="false">IF($B61="","",IF(AND(C61="Incident",L61&lt;&gt;"Annulé"),1,0))</f>
        <v>0</v>
      </c>
      <c r="AP61" s="35" t="n">
        <f aca="false">IF($B61="","",IF(AND(C61="Quasi-incident",L61&lt;&gt;"Annulé"),1,0))</f>
        <v>1</v>
      </c>
      <c r="AQ61" s="35" t="n">
        <f aca="false">IF($B61="","",AO61+AP61)</f>
        <v>1</v>
      </c>
      <c r="AR61" s="36" t="n">
        <f aca="false">IF(OR($B61="",J61=""),"",IFERROR(VALUE(LEFT(J61,1)),""))</f>
        <v>3</v>
      </c>
      <c r="AS61" s="35" t="str">
        <f aca="false">IF(OR(AO61&lt;&gt;1,G61=""),"",IFERROR(IF(INDEX(L_SrcInterne,MATCH(G61,L_Sources,0))="Oui",1,0),""))</f>
        <v/>
      </c>
      <c r="AT61" s="37" t="str">
        <f aca="false">IF(AO61&lt;&gt;1,"",IFERROR(ROUND(IF(OR(N61="",O61=""),"",IF(O61&lt;N61,"",ROUND(((NETWORKDAYS(N61,O61,JoursFeries)-1)*(HFer-HOuv)+IF(NETWORKDAYS(O61,O61,JoursFeries),MEDIAN(MOD(O61,1),HFer,HOuv),HFer)-IF(NETWORKDAYS(N61,N61,JoursFeries),MEDIAN(MOD(N61,1),HFer,HOuv),HOuv))*24,4)))/HJour,4),""))</f>
        <v/>
      </c>
      <c r="AU61" s="37" t="str">
        <f aca="false">IF(AO61&lt;&gt;1,"",IF(OR(O61="",P61=""),"",IF(P61&lt;O61,"",ROUND(((NETWORKDAYS(O61,P61,JoursFeries)-1)*(HFer-HOuv)+IF(NETWORKDAYS(P61,P61,JoursFeries),MEDIAN(MOD(P61,1),HFer,HOuv),HFer)-IF(NETWORKDAYS(O61,O61,JoursFeries),MEDIAN(MOD(O61,1),HFer,HOuv),HOuv))*24,4))))</f>
        <v/>
      </c>
      <c r="AV61" s="37" t="str">
        <f aca="false">IF(AO61&lt;&gt;1,"",IF(OR(P61="",Q61=""),"",IF(Q61&lt;P61,"",ROUND(((NETWORKDAYS(P61,Q61,JoursFeries)-1)*(HFer-HOuv)+IF(NETWORKDAYS(Q61,Q61,JoursFeries),MEDIAN(MOD(Q61,1),HFer,HOuv),HFer)-IF(NETWORKDAYS(P61,P61,JoursFeries),MEDIAN(MOD(P61,1),HFer,HOuv),HOuv))*24,4))))</f>
        <v/>
      </c>
      <c r="AW61" s="37" t="str">
        <f aca="false">IF(AO61&lt;&gt;1,"",IFERROR(ROUND(IF(OR(P61="",R61=""),"",IF(R61&lt;P61,"",ROUND(((NETWORKDAYS(P61,R61,JoursFeries)-1)*(HFer-HOuv)+IF(NETWORKDAYS(R61,R61,JoursFeries),MEDIAN(MOD(R61,1),HFer,HOuv),HFer)-IF(NETWORKDAYS(P61,P61,JoursFeries),MEDIAN(MOD(P61,1),HFer,HOuv),HOuv))*24,4)))/HJour,4),""))</f>
        <v/>
      </c>
      <c r="AX61" s="37" t="str">
        <f aca="false">IF(AO61&lt;&gt;1,"",IFERROR(ROUND(IF(OR(P61="",S61=""),"",IF(S61&lt;P61,"",ROUND(((NETWORKDAYS(P61,S61,JoursFeries)-1)*(HFer-HOuv)+IF(NETWORKDAYS(S61,S61,JoursFeries),MEDIAN(MOD(S61,1),HFer,HOuv),HFer)-IF(NETWORKDAYS(P61,P61,JoursFeries),MEDIAN(MOD(P61,1),HFer,HOuv),HOuv))*24,4)))/HJour,4),""))</f>
        <v/>
      </c>
      <c r="AY61" s="36" t="str">
        <f aca="false">IF(OR(AO61&lt;&gt;1,AR61=""),"",INDEX(SLA_PEC,AR61))</f>
        <v/>
      </c>
      <c r="AZ61" s="35" t="str">
        <f aca="false">IF(OR(AV61="",AY61=""),"",IF(AV61&lt;=AY61,1,0))</f>
        <v/>
      </c>
      <c r="BA61" s="36" t="str">
        <f aca="false">IF(OR(AO61&lt;&gt;1,AR61=""),"",INDEX(SLA_RES,AR61))</f>
        <v/>
      </c>
      <c r="BB61" s="35" t="str">
        <f aca="false">IF(OR(AW61="",BA61=""),"",IF(AW61&lt;=BA61,1,0))</f>
        <v/>
      </c>
      <c r="BC61" s="38" t="str">
        <f aca="false">IF(OR(BA61="",P61=""),"",WORKDAY(INT(P61),BA61,JoursFeries)+MOD(P61,1))</f>
        <v/>
      </c>
      <c r="BD61" s="39" t="str">
        <f aca="false">IF(AO61&lt;&gt;1,"",IF(OR(AB61&lt;&gt;"",AD61&lt;&gt;""),4,IF(U61&lt;&gt;"",3,IF(T61&lt;&gt;"",2,1))))</f>
        <v/>
      </c>
      <c r="BE61" s="39" t="str">
        <f aca="false">IF(OR(AO61&lt;&gt;1,AR61=""),"",INDEX(NIV_REQ,AR61))</f>
        <v/>
      </c>
      <c r="BF61" s="39" t="str">
        <f aca="false">IF(BE61="","",MAX(BE61,IF(OR(K61="Oui",Z61="Oui"),4,1)))</f>
        <v/>
      </c>
      <c r="BG61" s="35" t="str">
        <f aca="false">IF(OR(BF61="",BD61=""),"",IF(BD61&gt;=BF61,1,0))</f>
        <v/>
      </c>
      <c r="BH61" s="38" t="str">
        <f aca="false">IF(BE61="","",IF(BE61&lt;2,"",IF(BE61=2,IF(AND(T61="",U61=""),"",MIN(T61,U61)),IF(U61="","",U61))))</f>
        <v/>
      </c>
      <c r="BI61" s="37" t="str">
        <f aca="false">IF(BH61="","",IF(OR(O61="",BH61=""),"",IF(BH61&lt;O61,"",ROUND(((NETWORKDAYS(O61,BH61,JoursFeries)-1)*(HFer-HOuv)+IF(NETWORKDAYS(BH61,BH61,JoursFeries),MEDIAN(MOD(BH61,1),HFer,HOuv),HFer)-IF(NETWORKDAYS(O61,O61,JoursFeries),MEDIAN(MOD(O61,1),HFer,HOuv),HOuv))*24,4))))</f>
        <v/>
      </c>
      <c r="BJ61" s="35" t="str">
        <f aca="false">IF(OR(BI61="",AR61=""),"",IF(BI61&lt;=INDEX(DELAI_ESC,AR61),1,0))</f>
        <v/>
      </c>
      <c r="BK61" s="38" t="str">
        <f aca="false">IF(AO61&lt;&gt;1,"",IF(AND(T61="",U61=""),"",MIN(T61,U61)))</f>
        <v/>
      </c>
      <c r="BL61" s="37" t="str">
        <f aca="false">IF(OR(BK61="",R61=""),"",IFERROR(ROUND(IF(OR(BK61="",R61=""),"",IF(R61&lt;BK61,"",ROUND(((NETWORKDAYS(BK61,R61,JoursFeries)-1)*(HFer-HOuv)+IF(NETWORKDAYS(R61,R61,JoursFeries),MEDIAN(MOD(R61,1),HFer,HOuv),HFer)-IF(NETWORKDAYS(BK61,BK61,JoursFeries),MEDIAN(MOD(BK61,1),HFer,HOuv),HOuv))*24,4)))/HJour,4),""))</f>
        <v/>
      </c>
      <c r="BM61" s="35" t="str">
        <f aca="false">IF(OR(AO61&lt;&gt;1,R61=""),"",IF(BD61=1,1,0))</f>
        <v/>
      </c>
      <c r="BN61" s="35" t="str">
        <f aca="false">IF(AO61&lt;&gt;1,"",IF(W61="Oui",1,0))</f>
        <v/>
      </c>
      <c r="BO61" s="35" t="str">
        <f aca="false">IF(AO61&lt;&gt;1,"",IF(X61&lt;&gt;"",1,0))</f>
        <v/>
      </c>
      <c r="BP61" s="35" t="str">
        <f aca="false">IF(AO61&lt;&gt;1,"",IF(Y61="Oui",1,0))</f>
        <v/>
      </c>
      <c r="BQ61" s="35" t="str">
        <f aca="true">IF(OR(AO61&lt;&gt;1,Z61&lt;&gt;"Oui"),"",IF(AB61="",IF(AND(AA61&lt;&gt;"",NOW()&gt;AA61),0,""),IF(AA61="","",IF(AB61&lt;=AA61,1,0))))</f>
        <v/>
      </c>
      <c r="BR61" s="38" t="str">
        <f aca="false">IF(OR(AO61&lt;&gt;1,K61&lt;&gt;"Oui",O61=""),"",IF(AC61="",O61+DORA_H_DET/24,IF(AC61-O61&lt;=DORA_H_DET/24,MIN(AC61+DORA_H_CLA/24,O61+DORA_H_DET/24),AC61+DORA_H_CLA/24)))</f>
        <v/>
      </c>
      <c r="BS61" s="35" t="str">
        <f aca="true">IF(BR61="","",IF(AD61="",IF(NOW()&gt;BR61,0,""),IF(AD61&lt;=BR61,1,0)))</f>
        <v/>
      </c>
      <c r="BT61" s="35" t="str">
        <f aca="true">IF(OR(BR61="",AD61=""),"",IF(AE61="",IF(NOW()&gt;AD61+DORA_H_INT/24,0,""),IF(AE61&lt;=AD61+DORA_H_INT/24,1,0)))</f>
        <v/>
      </c>
      <c r="BU61" s="35" t="str">
        <f aca="true">IF(OR(BR61="",AE61=""),"",IF(AF61="",IF(NOW()&gt;EDATE(AE61,DORA_M_FIN)+1,0,""),IF(AF61&lt;=EDATE(AE61,DORA_M_FIN),1,0)))</f>
        <v/>
      </c>
      <c r="BV61" s="35" t="str">
        <f aca="false">IF(BR61="","",IF(COUNT(BS61:BU61)=0,"",MIN(BS61:BU61)))</f>
        <v/>
      </c>
      <c r="BW61" s="40" t="str">
        <f aca="false">IF(AQ61&lt;&gt;1,"",IF(AND(AG61="",AH61=""),"",N(AG61)-N(AH61)))</f>
        <v/>
      </c>
      <c r="BX61" s="35" t="str">
        <f aca="true">IF(OR(AQ61&lt;&gt;1,AI61&lt;&gt;"Oui",AJ61=""),"",IF(AK61="",IF(NOW()&gt;AJ61+1,0,""),IF(AK61&lt;=AJ61,1,0)))</f>
        <v/>
      </c>
    </row>
    <row r="62" customFormat="false" ht="15" hidden="false" customHeight="false" outlineLevel="0" collapsed="false">
      <c r="B62" s="29" t="s">
        <v>286</v>
      </c>
      <c r="C62" s="29" t="s">
        <v>178</v>
      </c>
      <c r="D62" s="29" t="s">
        <v>191</v>
      </c>
      <c r="E62" s="29" t="s">
        <v>171</v>
      </c>
      <c r="F62" s="29" t="s">
        <v>172</v>
      </c>
      <c r="G62" s="29" t="s">
        <v>180</v>
      </c>
      <c r="H62" s="29" t="s">
        <v>174</v>
      </c>
      <c r="I62" s="29" t="s">
        <v>175</v>
      </c>
      <c r="J62" s="29" t="s">
        <v>187</v>
      </c>
      <c r="K62" s="29" t="s">
        <v>168</v>
      </c>
      <c r="L62" s="29" t="s">
        <v>169</v>
      </c>
      <c r="M62" s="29" t="s">
        <v>188</v>
      </c>
      <c r="N62" s="30" t="n">
        <v>46159.3645833333</v>
      </c>
      <c r="O62" s="30" t="n">
        <v>46177.3645833333</v>
      </c>
      <c r="P62" s="30" t="n">
        <v>46177.3784722222</v>
      </c>
      <c r="Q62" s="30" t="n">
        <v>46178.7152777778</v>
      </c>
      <c r="R62" s="30" t="n">
        <v>46189.6770833333</v>
      </c>
      <c r="S62" s="30" t="n">
        <v>46192.5486111111</v>
      </c>
      <c r="T62" s="30"/>
      <c r="U62" s="30"/>
      <c r="V62" s="31" t="n">
        <v>0</v>
      </c>
      <c r="W62" s="29" t="s">
        <v>168</v>
      </c>
      <c r="X62" s="29"/>
      <c r="Y62" s="29" t="s">
        <v>168</v>
      </c>
      <c r="Z62" s="29" t="s">
        <v>168</v>
      </c>
      <c r="AA62" s="30"/>
      <c r="AB62" s="30"/>
      <c r="AC62" s="30"/>
      <c r="AD62" s="30"/>
      <c r="AE62" s="30"/>
      <c r="AF62" s="32"/>
      <c r="AG62" s="33"/>
      <c r="AH62" s="33"/>
      <c r="AI62" s="29" t="s">
        <v>168</v>
      </c>
      <c r="AJ62" s="32"/>
      <c r="AK62" s="32"/>
      <c r="AL62" s="29"/>
      <c r="AN62" s="34" t="str">
        <f aca="false">IF($B62="","",IF(OR(C62="",D62="",E62="",G62="",I62="",J62="",L62="",O62="",P62=""),"Champ obligatoire manquant",IF(OR(AND(N62&lt;&gt;"",N62&gt;O62),O62&gt;P62,AND(Q62&lt;&gt;"",Q62&lt;P62),AND(R62&lt;&gt;"",R62&lt;P62),AND(S62&lt;&gt;"",S62&lt;R62),AND(S62&lt;&gt;"",R62=""),AND(T62&lt;&gt;"",T62&lt;O62),AND(U62&lt;&gt;"",U62&lt;O62)),"Chronologie incohérente",IF(AND(OR(L62="Résolu",L62="Clos"),R62=""),"Date de résolution manquante",IF(AND(L62="Clos",S62=""),"Date de clôture manquante",IF(AND(K62="Oui",AC62=""),"Classification DORA manquante","OK"))))))</f>
        <v>OK</v>
      </c>
      <c r="AO62" s="35" t="n">
        <f aca="false">IF($B62="","",IF(AND(C62="Incident",L62&lt;&gt;"Annulé"),1,0))</f>
        <v>1</v>
      </c>
      <c r="AP62" s="35" t="n">
        <f aca="false">IF($B62="","",IF(AND(C62="Quasi-incident",L62&lt;&gt;"Annulé"),1,0))</f>
        <v>0</v>
      </c>
      <c r="AQ62" s="35" t="n">
        <f aca="false">IF($B62="","",AO62+AP62)</f>
        <v>1</v>
      </c>
      <c r="AR62" s="36" t="n">
        <f aca="false">IF(OR($B62="",J62=""),"",IFERROR(VALUE(LEFT(J62,1)),""))</f>
        <v>4</v>
      </c>
      <c r="AS62" s="35" t="n">
        <f aca="false">IF(OR(AO62&lt;&gt;1,G62=""),"",IFERROR(IF(INDEX(L_SrcInterne,MATCH(G62,L_Sources,0))="Oui",1,0),""))</f>
        <v>1</v>
      </c>
      <c r="AT62" s="37" t="n">
        <f aca="false">IF(AO62&lt;&gt;1,"",IFERROR(ROUND(IF(OR(N62="",O62=""),"",IF(O62&lt;N62,"",ROUND(((NETWORKDAYS(N62,O62,JoursFeries)-1)*(HFer-HOuv)+IF(NETWORKDAYS(O62,O62,JoursFeries),MEDIAN(MOD(O62,1),HFer,HOuv),HFer)-IF(NETWORKDAYS(N62,N62,JoursFeries),MEDIAN(MOD(N62,1),HFer,HOuv),HOuv))*24,4)))/HJour,4),""))</f>
        <v>12</v>
      </c>
      <c r="AU62" s="37" t="n">
        <f aca="false">IF(AO62&lt;&gt;1,"",IF(OR(O62="",P62=""),"",IF(P62&lt;O62,"",ROUND(((NETWORKDAYS(O62,P62,JoursFeries)-1)*(HFer-HOuv)+IF(NETWORKDAYS(P62,P62,JoursFeries),MEDIAN(MOD(P62,1),HFer,HOuv),HFer)-IF(NETWORKDAYS(O62,O62,JoursFeries),MEDIAN(MOD(O62,1),HFer,HOuv),HOuv))*24,4))))</f>
        <v>0.0833</v>
      </c>
      <c r="AV62" s="37" t="n">
        <f aca="false">IF(AO62&lt;&gt;1,"",IF(OR(P62="",Q62=""),"",IF(Q62&lt;P62,"",ROUND(((NETWORKDAYS(P62,Q62,JoursFeries)-1)*(HFer-HOuv)+IF(NETWORKDAYS(Q62,Q62,JoursFeries),MEDIAN(MOD(Q62,1),HFer,HOuv),HFer)-IF(NETWORKDAYS(P62,P62,JoursFeries),MEDIAN(MOD(P62,1),HFer,HOuv),HOuv))*24,4))))</f>
        <v>17.0833</v>
      </c>
      <c r="AW62" s="37" t="n">
        <f aca="false">IF(AO62&lt;&gt;1,"",IFERROR(ROUND(IF(OR(P62="",R62=""),"",IF(R62&lt;P62,"",ROUND(((NETWORKDAYS(P62,R62,JoursFeries)-1)*(HFer-HOuv)+IF(NETWORKDAYS(R62,R62,JoursFeries),MEDIAN(MOD(R62,1),HFer,HOuv),HFer)-IF(NETWORKDAYS(P62,P62,JoursFeries),MEDIAN(MOD(P62,1),HFer,HOuv),HOuv))*24,4)))/HJour,4),""))</f>
        <v>8.7963</v>
      </c>
      <c r="AX62" s="37" t="n">
        <f aca="false">IF(AO62&lt;&gt;1,"",IFERROR(ROUND(IF(OR(P62="",S62=""),"",IF(S62&lt;P62,"",ROUND(((NETWORKDAYS(P62,S62,JoursFeries)-1)*(HFer-HOuv)+IF(NETWORKDAYS(S62,S62,JoursFeries),MEDIAN(MOD(S62,1),HFer,HOuv),HFer)-IF(NETWORKDAYS(P62,P62,JoursFeries),MEDIAN(MOD(P62,1),HFer,HOuv),HOuv))*24,4)))/HJour,4),""))</f>
        <v>11.4537</v>
      </c>
      <c r="AY62" s="36" t="n">
        <f aca="false">IF(OR(AO62&lt;&gt;1,AR62=""),"",INDEX(SLA_PEC,AR62))</f>
        <v>18</v>
      </c>
      <c r="AZ62" s="35" t="n">
        <f aca="false">IF(OR(AV62="",AY62=""),"",IF(AV62&lt;=AY62,1,0))</f>
        <v>1</v>
      </c>
      <c r="BA62" s="36" t="n">
        <f aca="false">IF(OR(AO62&lt;&gt;1,AR62=""),"",INDEX(SLA_RES,AR62))</f>
        <v>20</v>
      </c>
      <c r="BB62" s="35" t="n">
        <f aca="false">IF(OR(AW62="",BA62=""),"",IF(AW62&lt;=BA62,1,0))</f>
        <v>1</v>
      </c>
      <c r="BC62" s="38" t="n">
        <f aca="false">IF(OR(BA62="",P62=""),"",WORKDAY(INT(P62),BA62,JoursFeries)+MOD(P62,1))</f>
        <v>46205.3784722222</v>
      </c>
      <c r="BD62" s="39" t="n">
        <f aca="false">IF(AO62&lt;&gt;1,"",IF(OR(AB62&lt;&gt;"",AD62&lt;&gt;""),4,IF(U62&lt;&gt;"",3,IF(T62&lt;&gt;"",2,1))))</f>
        <v>1</v>
      </c>
      <c r="BE62" s="39" t="n">
        <f aca="false">IF(OR(AO62&lt;&gt;1,AR62=""),"",INDEX(NIV_REQ,AR62))</f>
        <v>1</v>
      </c>
      <c r="BF62" s="39" t="n">
        <f aca="false">IF(BE62="","",MAX(BE62,IF(OR(K62="Oui",Z62="Oui"),4,1)))</f>
        <v>1</v>
      </c>
      <c r="BG62" s="35" t="n">
        <f aca="false">IF(OR(BF62="",BD62=""),"",IF(BD62&gt;=BF62,1,0))</f>
        <v>1</v>
      </c>
      <c r="BH62" s="38" t="str">
        <f aca="false">IF(BE62="","",IF(BE62&lt;2,"",IF(BE62=2,IF(AND(T62="",U62=""),"",MIN(T62,U62)),IF(U62="","",U62))))</f>
        <v/>
      </c>
      <c r="BI62" s="37" t="str">
        <f aca="false">IF(BH62="","",IF(OR(O62="",BH62=""),"",IF(BH62&lt;O62,"",ROUND(((NETWORKDAYS(O62,BH62,JoursFeries)-1)*(HFer-HOuv)+IF(NETWORKDAYS(BH62,BH62,JoursFeries),MEDIAN(MOD(BH62,1),HFer,HOuv),HFer)-IF(NETWORKDAYS(O62,O62,JoursFeries),MEDIAN(MOD(O62,1),HFer,HOuv),HOuv))*24,4))))</f>
        <v/>
      </c>
      <c r="BJ62" s="35" t="str">
        <f aca="false">IF(OR(BI62="",AR62=""),"",IF(BI62&lt;=INDEX(DELAI_ESC,AR62),1,0))</f>
        <v/>
      </c>
      <c r="BK62" s="38" t="str">
        <f aca="false">IF(AO62&lt;&gt;1,"",IF(AND(T62="",U62=""),"",MIN(T62,U62)))</f>
        <v/>
      </c>
      <c r="BL62" s="37" t="str">
        <f aca="false">IF(OR(BK62="",R62=""),"",IFERROR(ROUND(IF(OR(BK62="",R62=""),"",IF(R62&lt;BK62,"",ROUND(((NETWORKDAYS(BK62,R62,JoursFeries)-1)*(HFer-HOuv)+IF(NETWORKDAYS(R62,R62,JoursFeries),MEDIAN(MOD(R62,1),HFer,HOuv),HFer)-IF(NETWORKDAYS(BK62,BK62,JoursFeries),MEDIAN(MOD(BK62,1),HFer,HOuv),HOuv))*24,4)))/HJour,4),""))</f>
        <v/>
      </c>
      <c r="BM62" s="35" t="n">
        <f aca="false">IF(OR(AO62&lt;&gt;1,R62=""),"",IF(BD62=1,1,0))</f>
        <v>1</v>
      </c>
      <c r="BN62" s="35" t="n">
        <f aca="false">IF(AO62&lt;&gt;1,"",IF(W62="Oui",1,0))</f>
        <v>0</v>
      </c>
      <c r="BO62" s="35" t="n">
        <f aca="false">IF(AO62&lt;&gt;1,"",IF(X62&lt;&gt;"",1,0))</f>
        <v>0</v>
      </c>
      <c r="BP62" s="35" t="n">
        <f aca="false">IF(AO62&lt;&gt;1,"",IF(Y62="Oui",1,0))</f>
        <v>0</v>
      </c>
      <c r="BQ62" s="35" t="str">
        <f aca="true">IF(OR(AO62&lt;&gt;1,Z62&lt;&gt;"Oui"),"",IF(AB62="",IF(AND(AA62&lt;&gt;"",NOW()&gt;AA62),0,""),IF(AA62="","",IF(AB62&lt;=AA62,1,0))))</f>
        <v/>
      </c>
      <c r="BR62" s="38" t="str">
        <f aca="false">IF(OR(AO62&lt;&gt;1,K62&lt;&gt;"Oui",O62=""),"",IF(AC62="",O62+DORA_H_DET/24,IF(AC62-O62&lt;=DORA_H_DET/24,MIN(AC62+DORA_H_CLA/24,O62+DORA_H_DET/24),AC62+DORA_H_CLA/24)))</f>
        <v/>
      </c>
      <c r="BS62" s="35" t="str">
        <f aca="true">IF(BR62="","",IF(AD62="",IF(NOW()&gt;BR62,0,""),IF(AD62&lt;=BR62,1,0)))</f>
        <v/>
      </c>
      <c r="BT62" s="35" t="str">
        <f aca="true">IF(OR(BR62="",AD62=""),"",IF(AE62="",IF(NOW()&gt;AD62+DORA_H_INT/24,0,""),IF(AE62&lt;=AD62+DORA_H_INT/24,1,0)))</f>
        <v/>
      </c>
      <c r="BU62" s="35" t="str">
        <f aca="true">IF(OR(BR62="",AE62=""),"",IF(AF62="",IF(NOW()&gt;EDATE(AE62,DORA_M_FIN)+1,0,""),IF(AF62&lt;=EDATE(AE62,DORA_M_FIN),1,0)))</f>
        <v/>
      </c>
      <c r="BV62" s="35" t="str">
        <f aca="false">IF(BR62="","",IF(COUNT(BS62:BU62)=0,"",MIN(BS62:BU62)))</f>
        <v/>
      </c>
      <c r="BW62" s="40" t="str">
        <f aca="false">IF(AQ62&lt;&gt;1,"",IF(AND(AG62="",AH62=""),"",N(AG62)-N(AH62)))</f>
        <v/>
      </c>
      <c r="BX62" s="35" t="str">
        <f aca="true">IF(OR(AQ62&lt;&gt;1,AI62&lt;&gt;"Oui",AJ62=""),"",IF(AK62="",IF(NOW()&gt;AJ62+1,0,""),IF(AK62&lt;=AJ62,1,0)))</f>
        <v/>
      </c>
    </row>
    <row r="63" customFormat="false" ht="15" hidden="false" customHeight="false" outlineLevel="0" collapsed="false">
      <c r="B63" s="29" t="s">
        <v>287</v>
      </c>
      <c r="C63" s="29" t="s">
        <v>160</v>
      </c>
      <c r="D63" s="29" t="s">
        <v>184</v>
      </c>
      <c r="E63" s="29" t="s">
        <v>203</v>
      </c>
      <c r="F63" s="29" t="s">
        <v>204</v>
      </c>
      <c r="G63" s="29" t="s">
        <v>185</v>
      </c>
      <c r="H63" s="29" t="s">
        <v>182</v>
      </c>
      <c r="I63" s="29" t="s">
        <v>228</v>
      </c>
      <c r="J63" s="29" t="s">
        <v>167</v>
      </c>
      <c r="K63" s="29" t="s">
        <v>168</v>
      </c>
      <c r="L63" s="29" t="s">
        <v>169</v>
      </c>
      <c r="M63" s="29" t="s">
        <v>201</v>
      </c>
      <c r="N63" s="30" t="n">
        <v>46181.2048611111</v>
      </c>
      <c r="O63" s="30" t="n">
        <v>46181.4270833333</v>
      </c>
      <c r="P63" s="30" t="n">
        <v>46181.5104166667</v>
      </c>
      <c r="Q63" s="30" t="n">
        <v>46181.6701388889</v>
      </c>
      <c r="R63" s="30" t="n">
        <v>46185.7326388889</v>
      </c>
      <c r="S63" s="30" t="n">
        <v>46196.7291666667</v>
      </c>
      <c r="T63" s="30"/>
      <c r="U63" s="30"/>
      <c r="V63" s="31" t="n">
        <v>0</v>
      </c>
      <c r="W63" s="29" t="s">
        <v>168</v>
      </c>
      <c r="X63" s="29"/>
      <c r="Y63" s="29" t="s">
        <v>168</v>
      </c>
      <c r="Z63" s="29" t="s">
        <v>168</v>
      </c>
      <c r="AA63" s="30"/>
      <c r="AB63" s="30"/>
      <c r="AC63" s="30"/>
      <c r="AD63" s="30"/>
      <c r="AE63" s="30"/>
      <c r="AF63" s="32"/>
      <c r="AG63" s="33"/>
      <c r="AH63" s="33"/>
      <c r="AI63" s="29" t="s">
        <v>168</v>
      </c>
      <c r="AJ63" s="32"/>
      <c r="AK63" s="32"/>
      <c r="AL63" s="29"/>
      <c r="AN63" s="34" t="str">
        <f aca="false">IF($B63="","",IF(OR(C63="",D63="",E63="",G63="",I63="",J63="",L63="",O63="",P63=""),"Champ obligatoire manquant",IF(OR(AND(N63&lt;&gt;"",N63&gt;O63),O63&gt;P63,AND(Q63&lt;&gt;"",Q63&lt;P63),AND(R63&lt;&gt;"",R63&lt;P63),AND(S63&lt;&gt;"",S63&lt;R63),AND(S63&lt;&gt;"",R63=""),AND(T63&lt;&gt;"",T63&lt;O63),AND(U63&lt;&gt;"",U63&lt;O63)),"Chronologie incohérente",IF(AND(OR(L63="Résolu",L63="Clos"),R63=""),"Date de résolution manquante",IF(AND(L63="Clos",S63=""),"Date de clôture manquante",IF(AND(K63="Oui",AC63=""),"Classification DORA manquante","OK"))))))</f>
        <v>OK</v>
      </c>
      <c r="AO63" s="35" t="n">
        <f aca="false">IF($B63="","",IF(AND(C63="Incident",L63&lt;&gt;"Annulé"),1,0))</f>
        <v>0</v>
      </c>
      <c r="AP63" s="35" t="n">
        <f aca="false">IF($B63="","",IF(AND(C63="Quasi-incident",L63&lt;&gt;"Annulé"),1,0))</f>
        <v>1</v>
      </c>
      <c r="AQ63" s="35" t="n">
        <f aca="false">IF($B63="","",AO63+AP63)</f>
        <v>1</v>
      </c>
      <c r="AR63" s="36" t="n">
        <f aca="false">IF(OR($B63="",J63=""),"",IFERROR(VALUE(LEFT(J63,1)),""))</f>
        <v>3</v>
      </c>
      <c r="AS63" s="35" t="str">
        <f aca="false">IF(OR(AO63&lt;&gt;1,G63=""),"",IFERROR(IF(INDEX(L_SrcInterne,MATCH(G63,L_Sources,0))="Oui",1,0),""))</f>
        <v/>
      </c>
      <c r="AT63" s="37" t="str">
        <f aca="false">IF(AO63&lt;&gt;1,"",IFERROR(ROUND(IF(OR(N63="",O63=""),"",IF(O63&lt;N63,"",ROUND(((NETWORKDAYS(N63,O63,JoursFeries)-1)*(HFer-HOuv)+IF(NETWORKDAYS(O63,O63,JoursFeries),MEDIAN(MOD(O63,1),HFer,HOuv),HFer)-IF(NETWORKDAYS(N63,N63,JoursFeries),MEDIAN(MOD(N63,1),HFer,HOuv),HOuv))*24,4)))/HJour,4),""))</f>
        <v/>
      </c>
      <c r="AU63" s="37" t="str">
        <f aca="false">IF(AO63&lt;&gt;1,"",IF(OR(O63="",P63=""),"",IF(P63&lt;O63,"",ROUND(((NETWORKDAYS(O63,P63,JoursFeries)-1)*(HFer-HOuv)+IF(NETWORKDAYS(P63,P63,JoursFeries),MEDIAN(MOD(P63,1),HFer,HOuv),HFer)-IF(NETWORKDAYS(O63,O63,JoursFeries),MEDIAN(MOD(O63,1),HFer,HOuv),HOuv))*24,4))))</f>
        <v/>
      </c>
      <c r="AV63" s="37" t="str">
        <f aca="false">IF(AO63&lt;&gt;1,"",IF(OR(P63="",Q63=""),"",IF(Q63&lt;P63,"",ROUND(((NETWORKDAYS(P63,Q63,JoursFeries)-1)*(HFer-HOuv)+IF(NETWORKDAYS(Q63,Q63,JoursFeries),MEDIAN(MOD(Q63,1),HFer,HOuv),HFer)-IF(NETWORKDAYS(P63,P63,JoursFeries),MEDIAN(MOD(P63,1),HFer,HOuv),HOuv))*24,4))))</f>
        <v/>
      </c>
      <c r="AW63" s="37" t="str">
        <f aca="false">IF(AO63&lt;&gt;1,"",IFERROR(ROUND(IF(OR(P63="",R63=""),"",IF(R63&lt;P63,"",ROUND(((NETWORKDAYS(P63,R63,JoursFeries)-1)*(HFer-HOuv)+IF(NETWORKDAYS(R63,R63,JoursFeries),MEDIAN(MOD(R63,1),HFer,HOuv),HFer)-IF(NETWORKDAYS(P63,P63,JoursFeries),MEDIAN(MOD(P63,1),HFer,HOuv),HOuv))*24,4)))/HJour,4),""))</f>
        <v/>
      </c>
      <c r="AX63" s="37" t="str">
        <f aca="false">IF(AO63&lt;&gt;1,"",IFERROR(ROUND(IF(OR(P63="",S63=""),"",IF(S63&lt;P63,"",ROUND(((NETWORKDAYS(P63,S63,JoursFeries)-1)*(HFer-HOuv)+IF(NETWORKDAYS(S63,S63,JoursFeries),MEDIAN(MOD(S63,1),HFer,HOuv),HFer)-IF(NETWORKDAYS(P63,P63,JoursFeries),MEDIAN(MOD(P63,1),HFer,HOuv),HOuv))*24,4)))/HJour,4),""))</f>
        <v/>
      </c>
      <c r="AY63" s="36" t="str">
        <f aca="false">IF(OR(AO63&lt;&gt;1,AR63=""),"",INDEX(SLA_PEC,AR63))</f>
        <v/>
      </c>
      <c r="AZ63" s="35" t="str">
        <f aca="false">IF(OR(AV63="",AY63=""),"",IF(AV63&lt;=AY63,1,0))</f>
        <v/>
      </c>
      <c r="BA63" s="36" t="str">
        <f aca="false">IF(OR(AO63&lt;&gt;1,AR63=""),"",INDEX(SLA_RES,AR63))</f>
        <v/>
      </c>
      <c r="BB63" s="35" t="str">
        <f aca="false">IF(OR(AW63="",BA63=""),"",IF(AW63&lt;=BA63,1,0))</f>
        <v/>
      </c>
      <c r="BC63" s="38" t="str">
        <f aca="false">IF(OR(BA63="",P63=""),"",WORKDAY(INT(P63),BA63,JoursFeries)+MOD(P63,1))</f>
        <v/>
      </c>
      <c r="BD63" s="39" t="str">
        <f aca="false">IF(AO63&lt;&gt;1,"",IF(OR(AB63&lt;&gt;"",AD63&lt;&gt;""),4,IF(U63&lt;&gt;"",3,IF(T63&lt;&gt;"",2,1))))</f>
        <v/>
      </c>
      <c r="BE63" s="39" t="str">
        <f aca="false">IF(OR(AO63&lt;&gt;1,AR63=""),"",INDEX(NIV_REQ,AR63))</f>
        <v/>
      </c>
      <c r="BF63" s="39" t="str">
        <f aca="false">IF(BE63="","",MAX(BE63,IF(OR(K63="Oui",Z63="Oui"),4,1)))</f>
        <v/>
      </c>
      <c r="BG63" s="35" t="str">
        <f aca="false">IF(OR(BF63="",BD63=""),"",IF(BD63&gt;=BF63,1,0))</f>
        <v/>
      </c>
      <c r="BH63" s="38" t="str">
        <f aca="false">IF(BE63="","",IF(BE63&lt;2,"",IF(BE63=2,IF(AND(T63="",U63=""),"",MIN(T63,U63)),IF(U63="","",U63))))</f>
        <v/>
      </c>
      <c r="BI63" s="37" t="str">
        <f aca="false">IF(BH63="","",IF(OR(O63="",BH63=""),"",IF(BH63&lt;O63,"",ROUND(((NETWORKDAYS(O63,BH63,JoursFeries)-1)*(HFer-HOuv)+IF(NETWORKDAYS(BH63,BH63,JoursFeries),MEDIAN(MOD(BH63,1),HFer,HOuv),HFer)-IF(NETWORKDAYS(O63,O63,JoursFeries),MEDIAN(MOD(O63,1),HFer,HOuv),HOuv))*24,4))))</f>
        <v/>
      </c>
      <c r="BJ63" s="35" t="str">
        <f aca="false">IF(OR(BI63="",AR63=""),"",IF(BI63&lt;=INDEX(DELAI_ESC,AR63),1,0))</f>
        <v/>
      </c>
      <c r="BK63" s="38" t="str">
        <f aca="false">IF(AO63&lt;&gt;1,"",IF(AND(T63="",U63=""),"",MIN(T63,U63)))</f>
        <v/>
      </c>
      <c r="BL63" s="37" t="str">
        <f aca="false">IF(OR(BK63="",R63=""),"",IFERROR(ROUND(IF(OR(BK63="",R63=""),"",IF(R63&lt;BK63,"",ROUND(((NETWORKDAYS(BK63,R63,JoursFeries)-1)*(HFer-HOuv)+IF(NETWORKDAYS(R63,R63,JoursFeries),MEDIAN(MOD(R63,1),HFer,HOuv),HFer)-IF(NETWORKDAYS(BK63,BK63,JoursFeries),MEDIAN(MOD(BK63,1),HFer,HOuv),HOuv))*24,4)))/HJour,4),""))</f>
        <v/>
      </c>
      <c r="BM63" s="35" t="str">
        <f aca="false">IF(OR(AO63&lt;&gt;1,R63=""),"",IF(BD63=1,1,0))</f>
        <v/>
      </c>
      <c r="BN63" s="35" t="str">
        <f aca="false">IF(AO63&lt;&gt;1,"",IF(W63="Oui",1,0))</f>
        <v/>
      </c>
      <c r="BO63" s="35" t="str">
        <f aca="false">IF(AO63&lt;&gt;1,"",IF(X63&lt;&gt;"",1,0))</f>
        <v/>
      </c>
      <c r="BP63" s="35" t="str">
        <f aca="false">IF(AO63&lt;&gt;1,"",IF(Y63="Oui",1,0))</f>
        <v/>
      </c>
      <c r="BQ63" s="35" t="str">
        <f aca="true">IF(OR(AO63&lt;&gt;1,Z63&lt;&gt;"Oui"),"",IF(AB63="",IF(AND(AA63&lt;&gt;"",NOW()&gt;AA63),0,""),IF(AA63="","",IF(AB63&lt;=AA63,1,0))))</f>
        <v/>
      </c>
      <c r="BR63" s="38" t="str">
        <f aca="false">IF(OR(AO63&lt;&gt;1,K63&lt;&gt;"Oui",O63=""),"",IF(AC63="",O63+DORA_H_DET/24,IF(AC63-O63&lt;=DORA_H_DET/24,MIN(AC63+DORA_H_CLA/24,O63+DORA_H_DET/24),AC63+DORA_H_CLA/24)))</f>
        <v/>
      </c>
      <c r="BS63" s="35" t="str">
        <f aca="true">IF(BR63="","",IF(AD63="",IF(NOW()&gt;BR63,0,""),IF(AD63&lt;=BR63,1,0)))</f>
        <v/>
      </c>
      <c r="BT63" s="35" t="str">
        <f aca="true">IF(OR(BR63="",AD63=""),"",IF(AE63="",IF(NOW()&gt;AD63+DORA_H_INT/24,0,""),IF(AE63&lt;=AD63+DORA_H_INT/24,1,0)))</f>
        <v/>
      </c>
      <c r="BU63" s="35" t="str">
        <f aca="true">IF(OR(BR63="",AE63=""),"",IF(AF63="",IF(NOW()&gt;EDATE(AE63,DORA_M_FIN)+1,0,""),IF(AF63&lt;=EDATE(AE63,DORA_M_FIN),1,0)))</f>
        <v/>
      </c>
      <c r="BV63" s="35" t="str">
        <f aca="false">IF(BR63="","",IF(COUNT(BS63:BU63)=0,"",MIN(BS63:BU63)))</f>
        <v/>
      </c>
      <c r="BW63" s="40" t="str">
        <f aca="false">IF(AQ63&lt;&gt;1,"",IF(AND(AG63="",AH63=""),"",N(AG63)-N(AH63)))</f>
        <v/>
      </c>
      <c r="BX63" s="35" t="str">
        <f aca="true">IF(OR(AQ63&lt;&gt;1,AI63&lt;&gt;"Oui",AJ63=""),"",IF(AK63="",IF(NOW()&gt;AJ63+1,0,""),IF(AK63&lt;=AJ63,1,0)))</f>
        <v/>
      </c>
    </row>
    <row r="64" customFormat="false" ht="15" hidden="false" customHeight="false" outlineLevel="0" collapsed="false">
      <c r="B64" s="29" t="s">
        <v>288</v>
      </c>
      <c r="C64" s="29" t="s">
        <v>178</v>
      </c>
      <c r="D64" s="29" t="s">
        <v>184</v>
      </c>
      <c r="E64" s="29" t="s">
        <v>221</v>
      </c>
      <c r="F64" s="29" t="s">
        <v>172</v>
      </c>
      <c r="G64" s="29" t="s">
        <v>180</v>
      </c>
      <c r="H64" s="29"/>
      <c r="I64" s="29" t="s">
        <v>276</v>
      </c>
      <c r="J64" s="29" t="s">
        <v>219</v>
      </c>
      <c r="K64" s="29" t="s">
        <v>168</v>
      </c>
      <c r="L64" s="29" t="s">
        <v>169</v>
      </c>
      <c r="M64" s="29" t="s">
        <v>176</v>
      </c>
      <c r="N64" s="30" t="n">
        <v>46185.2465277778</v>
      </c>
      <c r="O64" s="30" t="n">
        <v>46185.3402777778</v>
      </c>
      <c r="P64" s="30" t="n">
        <v>46185.3819444445</v>
      </c>
      <c r="Q64" s="30" t="n">
        <v>46185.4375</v>
      </c>
      <c r="R64" s="30" t="n">
        <v>46188.6631944445</v>
      </c>
      <c r="S64" s="30" t="n">
        <v>46218.6319444445</v>
      </c>
      <c r="T64" s="30" t="n">
        <v>46185.4166666667</v>
      </c>
      <c r="U64" s="30"/>
      <c r="V64" s="31" t="n">
        <v>0</v>
      </c>
      <c r="W64" s="29" t="s">
        <v>168</v>
      </c>
      <c r="X64" s="29"/>
      <c r="Y64" s="29" t="s">
        <v>189</v>
      </c>
      <c r="Z64" s="29" t="s">
        <v>168</v>
      </c>
      <c r="AA64" s="30"/>
      <c r="AB64" s="30"/>
      <c r="AC64" s="30"/>
      <c r="AD64" s="30"/>
      <c r="AE64" s="30"/>
      <c r="AF64" s="32"/>
      <c r="AG64" s="33"/>
      <c r="AH64" s="33"/>
      <c r="AI64" s="29" t="s">
        <v>189</v>
      </c>
      <c r="AJ64" s="32" t="n">
        <v>46224</v>
      </c>
      <c r="AK64" s="32" t="n">
        <v>46220</v>
      </c>
      <c r="AL64" s="29"/>
      <c r="AN64" s="34" t="str">
        <f aca="false">IF($B64="","",IF(OR(C64="",D64="",E64="",G64="",I64="",J64="",L64="",O64="",P64=""),"Champ obligatoire manquant",IF(OR(AND(N64&lt;&gt;"",N64&gt;O64),O64&gt;P64,AND(Q64&lt;&gt;"",Q64&lt;P64),AND(R64&lt;&gt;"",R64&lt;P64),AND(S64&lt;&gt;"",S64&lt;R64),AND(S64&lt;&gt;"",R64=""),AND(T64&lt;&gt;"",T64&lt;O64),AND(U64&lt;&gt;"",U64&lt;O64)),"Chronologie incohérente",IF(AND(OR(L64="Résolu",L64="Clos"),R64=""),"Date de résolution manquante",IF(AND(L64="Clos",S64=""),"Date de clôture manquante",IF(AND(K64="Oui",AC64=""),"Classification DORA manquante","OK"))))))</f>
        <v>OK</v>
      </c>
      <c r="AO64" s="35" t="n">
        <f aca="false">IF($B64="","",IF(AND(C64="Incident",L64&lt;&gt;"Annulé"),1,0))</f>
        <v>1</v>
      </c>
      <c r="AP64" s="35" t="n">
        <f aca="false">IF($B64="","",IF(AND(C64="Quasi-incident",L64&lt;&gt;"Annulé"),1,0))</f>
        <v>0</v>
      </c>
      <c r="AQ64" s="35" t="n">
        <f aca="false">IF($B64="","",AO64+AP64)</f>
        <v>1</v>
      </c>
      <c r="AR64" s="36" t="n">
        <f aca="false">IF(OR($B64="",J64=""),"",IFERROR(VALUE(LEFT(J64,1)),""))</f>
        <v>2</v>
      </c>
      <c r="AS64" s="35" t="n">
        <f aca="false">IF(OR(AO64&lt;&gt;1,G64=""),"",IFERROR(IF(INDEX(L_SrcInterne,MATCH(G64,L_Sources,0))="Oui",1,0),""))</f>
        <v>1</v>
      </c>
      <c r="AT64" s="37" t="n">
        <f aca="false">IF(AO64&lt;&gt;1,"",IFERROR(ROUND(IF(OR(N64="",O64=""),"",IF(O64&lt;N64,"",ROUND(((NETWORKDAYS(N64,O64,JoursFeries)-1)*(HFer-HOuv)+IF(NETWORKDAYS(O64,O64,JoursFeries),MEDIAN(MOD(O64,1),HFer,HOuv),HFer)-IF(NETWORKDAYS(N64,N64,JoursFeries),MEDIAN(MOD(N64,1),HFer,HOuv),HOuv))*24,4)))/HJour,4),""))</f>
        <v>0</v>
      </c>
      <c r="AU64" s="37" t="n">
        <f aca="false">IF(AO64&lt;&gt;1,"",IF(OR(O64="",P64=""),"",IF(P64&lt;O64,"",ROUND(((NETWORKDAYS(O64,P64,JoursFeries)-1)*(HFer-HOuv)+IF(NETWORKDAYS(P64,P64,JoursFeries),MEDIAN(MOD(P64,1),HFer,HOuv),HFer)-IF(NETWORKDAYS(O64,O64,JoursFeries),MEDIAN(MOD(O64,1),HFer,HOuv),HOuv))*24,4))))</f>
        <v>0.1667</v>
      </c>
      <c r="AV64" s="37" t="n">
        <f aca="false">IF(AO64&lt;&gt;1,"",IF(OR(P64="",Q64=""),"",IF(Q64&lt;P64,"",ROUND(((NETWORKDAYS(P64,Q64,JoursFeries)-1)*(HFer-HOuv)+IF(NETWORKDAYS(Q64,Q64,JoursFeries),MEDIAN(MOD(Q64,1),HFer,HOuv),HFer)-IF(NETWORKDAYS(P64,P64,JoursFeries),MEDIAN(MOD(P64,1),HFer,HOuv),HOuv))*24,4))))</f>
        <v>1.3333</v>
      </c>
      <c r="AW64" s="37" t="n">
        <f aca="false">IF(AO64&lt;&gt;1,"",IFERROR(ROUND(IF(OR(P64="",R64=""),"",IF(R64&lt;P64,"",ROUND(((NETWORKDAYS(P64,R64,JoursFeries)-1)*(HFer-HOuv)+IF(NETWORKDAYS(R64,R64,JoursFeries),MEDIAN(MOD(R64,1),HFer,HOuv),HFer)-IF(NETWORKDAYS(P64,P64,JoursFeries),MEDIAN(MOD(P64,1),HFer,HOuv),HOuv))*24,4)))/HJour,4),""))</f>
        <v>1.75</v>
      </c>
      <c r="AX64" s="37" t="n">
        <f aca="false">IF(AO64&lt;&gt;1,"",IFERROR(ROUND(IF(OR(P64="",S64=""),"",IF(S64&lt;P64,"",ROUND(((NETWORKDAYS(P64,S64,JoursFeries)-1)*(HFer-HOuv)+IF(NETWORKDAYS(S64,S64,JoursFeries),MEDIAN(MOD(S64,1),HFer,HOuv),HFer)-IF(NETWORKDAYS(P64,P64,JoursFeries),MEDIAN(MOD(P64,1),HFer,HOuv),HOuv))*24,4)))/HJour,4),""))</f>
        <v>22.6667</v>
      </c>
      <c r="AY64" s="36" t="n">
        <f aca="false">IF(OR(AO64&lt;&gt;1,AR64=""),"",INDEX(SLA_PEC,AR64))</f>
        <v>2</v>
      </c>
      <c r="AZ64" s="35" t="n">
        <f aca="false">IF(OR(AV64="",AY64=""),"",IF(AV64&lt;=AY64,1,0))</f>
        <v>1</v>
      </c>
      <c r="BA64" s="36" t="n">
        <f aca="false">IF(OR(AO64&lt;&gt;1,AR64=""),"",INDEX(SLA_RES,AR64))</f>
        <v>3</v>
      </c>
      <c r="BB64" s="35" t="n">
        <f aca="false">IF(OR(AW64="",BA64=""),"",IF(AW64&lt;=BA64,1,0))</f>
        <v>1</v>
      </c>
      <c r="BC64" s="38" t="n">
        <f aca="false">IF(OR(BA64="",P64=""),"",WORKDAY(INT(P64),BA64,JoursFeries)+MOD(P64,1))</f>
        <v>46190.3819444445</v>
      </c>
      <c r="BD64" s="39" t="n">
        <f aca="false">IF(AO64&lt;&gt;1,"",IF(OR(AB64&lt;&gt;"",AD64&lt;&gt;""),4,IF(U64&lt;&gt;"",3,IF(T64&lt;&gt;"",2,1))))</f>
        <v>2</v>
      </c>
      <c r="BE64" s="39" t="n">
        <f aca="false">IF(OR(AO64&lt;&gt;1,AR64=""),"",INDEX(NIV_REQ,AR64))</f>
        <v>2</v>
      </c>
      <c r="BF64" s="39" t="n">
        <f aca="false">IF(BE64="","",MAX(BE64,IF(OR(K64="Oui",Z64="Oui"),4,1)))</f>
        <v>2</v>
      </c>
      <c r="BG64" s="35" t="n">
        <f aca="false">IF(OR(BF64="",BD64=""),"",IF(BD64&gt;=BF64,1,0))</f>
        <v>1</v>
      </c>
      <c r="BH64" s="38" t="n">
        <f aca="false">IF(BE64="","",IF(BE64&lt;2,"",IF(BE64=2,IF(AND(T64="",U64=""),"",MIN(T64,U64)),IF(U64="","",U64))))</f>
        <v>46185.4166666667</v>
      </c>
      <c r="BI64" s="37" t="n">
        <f aca="false">IF(BH64="","",IF(OR(O64="",BH64=""),"",IF(BH64&lt;O64,"",ROUND(((NETWORKDAYS(O64,BH64,JoursFeries)-1)*(HFer-HOuv)+IF(NETWORKDAYS(BH64,BH64,JoursFeries),MEDIAN(MOD(BH64,1),HFer,HOuv),HFer)-IF(NETWORKDAYS(O64,O64,JoursFeries),MEDIAN(MOD(O64,1),HFer,HOuv),HOuv))*24,4))))</f>
        <v>1</v>
      </c>
      <c r="BJ64" s="35" t="n">
        <f aca="false">IF(OR(BI64="",AR64=""),"",IF(BI64&lt;=INDEX(DELAI_ESC,AR64),1,0))</f>
        <v>1</v>
      </c>
      <c r="BK64" s="38" t="n">
        <f aca="false">IF(AO64&lt;&gt;1,"",IF(AND(T64="",U64=""),"",MIN(T64,U64)))</f>
        <v>46185.4166666667</v>
      </c>
      <c r="BL64" s="37" t="n">
        <f aca="false">IF(OR(BK64="",R64=""),"",IFERROR(ROUND(IF(OR(BK64="",R64=""),"",IF(R64&lt;BK64,"",ROUND(((NETWORKDAYS(BK64,R64,JoursFeries)-1)*(HFer-HOuv)+IF(NETWORKDAYS(R64,R64,JoursFeries),MEDIAN(MOD(R64,1),HFer,HOuv),HFer)-IF(NETWORKDAYS(BK64,BK64,JoursFeries),MEDIAN(MOD(BK64,1),HFer,HOuv),HOuv))*24,4)))/HJour,4),""))</f>
        <v>1.6574</v>
      </c>
      <c r="BM64" s="35" t="n">
        <f aca="false">IF(OR(AO64&lt;&gt;1,R64=""),"",IF(BD64=1,1,0))</f>
        <v>0</v>
      </c>
      <c r="BN64" s="35" t="n">
        <f aca="false">IF(AO64&lt;&gt;1,"",IF(W64="Oui",1,0))</f>
        <v>0</v>
      </c>
      <c r="BO64" s="35" t="n">
        <f aca="false">IF(AO64&lt;&gt;1,"",IF(X64&lt;&gt;"",1,0))</f>
        <v>0</v>
      </c>
      <c r="BP64" s="35" t="n">
        <f aca="false">IF(AO64&lt;&gt;1,"",IF(Y64="Oui",1,0))</f>
        <v>1</v>
      </c>
      <c r="BQ64" s="35" t="str">
        <f aca="true">IF(OR(AO64&lt;&gt;1,Z64&lt;&gt;"Oui"),"",IF(AB64="",IF(AND(AA64&lt;&gt;"",NOW()&gt;AA64),0,""),IF(AA64="","",IF(AB64&lt;=AA64,1,0))))</f>
        <v/>
      </c>
      <c r="BR64" s="38" t="str">
        <f aca="false">IF(OR(AO64&lt;&gt;1,K64&lt;&gt;"Oui",O64=""),"",IF(AC64="",O64+DORA_H_DET/24,IF(AC64-O64&lt;=DORA_H_DET/24,MIN(AC64+DORA_H_CLA/24,O64+DORA_H_DET/24),AC64+DORA_H_CLA/24)))</f>
        <v/>
      </c>
      <c r="BS64" s="35" t="str">
        <f aca="true">IF(BR64="","",IF(AD64="",IF(NOW()&gt;BR64,0,""),IF(AD64&lt;=BR64,1,0)))</f>
        <v/>
      </c>
      <c r="BT64" s="35" t="str">
        <f aca="true">IF(OR(BR64="",AD64=""),"",IF(AE64="",IF(NOW()&gt;AD64+DORA_H_INT/24,0,""),IF(AE64&lt;=AD64+DORA_H_INT/24,1,0)))</f>
        <v/>
      </c>
      <c r="BU64" s="35" t="str">
        <f aca="true">IF(OR(BR64="",AE64=""),"",IF(AF64="",IF(NOW()&gt;EDATE(AE64,DORA_M_FIN)+1,0,""),IF(AF64&lt;=EDATE(AE64,DORA_M_FIN),1,0)))</f>
        <v/>
      </c>
      <c r="BV64" s="35" t="str">
        <f aca="false">IF(BR64="","",IF(COUNT(BS64:BU64)=0,"",MIN(BS64:BU64)))</f>
        <v/>
      </c>
      <c r="BW64" s="40" t="str">
        <f aca="false">IF(AQ64&lt;&gt;1,"",IF(AND(AG64="",AH64=""),"",N(AG64)-N(AH64)))</f>
        <v/>
      </c>
      <c r="BX64" s="35" t="n">
        <f aca="true">IF(OR(AQ64&lt;&gt;1,AI64&lt;&gt;"Oui",AJ64=""),"",IF(AK64="",IF(NOW()&gt;AJ64+1,0,""),IF(AK64&lt;=AJ64,1,0)))</f>
        <v>1</v>
      </c>
    </row>
    <row r="65" customFormat="false" ht="15" hidden="false" customHeight="false" outlineLevel="0" collapsed="false">
      <c r="B65" s="29" t="s">
        <v>289</v>
      </c>
      <c r="C65" s="29" t="s">
        <v>178</v>
      </c>
      <c r="D65" s="29" t="s">
        <v>161</v>
      </c>
      <c r="E65" s="29" t="s">
        <v>290</v>
      </c>
      <c r="F65" s="29" t="s">
        <v>172</v>
      </c>
      <c r="G65" s="29" t="s">
        <v>196</v>
      </c>
      <c r="H65" s="29"/>
      <c r="I65" s="29" t="s">
        <v>291</v>
      </c>
      <c r="J65" s="29" t="s">
        <v>167</v>
      </c>
      <c r="K65" s="29" t="s">
        <v>168</v>
      </c>
      <c r="L65" s="29" t="s">
        <v>169</v>
      </c>
      <c r="M65" s="29" t="s">
        <v>188</v>
      </c>
      <c r="N65" s="30" t="n">
        <v>46196.6493055556</v>
      </c>
      <c r="O65" s="30" t="n">
        <v>46198.6493055556</v>
      </c>
      <c r="P65" s="30" t="n">
        <v>46198.7118055556</v>
      </c>
      <c r="Q65" s="30" t="n">
        <v>46199.6909722222</v>
      </c>
      <c r="R65" s="30" t="n">
        <v>46205.5104166667</v>
      </c>
      <c r="S65" s="30" t="n">
        <v>46232.5138888889</v>
      </c>
      <c r="T65" s="30"/>
      <c r="U65" s="30"/>
      <c r="V65" s="31" t="n">
        <v>0</v>
      </c>
      <c r="W65" s="29" t="s">
        <v>168</v>
      </c>
      <c r="X65" s="29"/>
      <c r="Y65" s="29" t="s">
        <v>168</v>
      </c>
      <c r="Z65" s="29" t="s">
        <v>168</v>
      </c>
      <c r="AA65" s="30"/>
      <c r="AB65" s="30"/>
      <c r="AC65" s="30"/>
      <c r="AD65" s="30"/>
      <c r="AE65" s="30"/>
      <c r="AF65" s="32"/>
      <c r="AG65" s="33"/>
      <c r="AH65" s="33"/>
      <c r="AI65" s="29" t="s">
        <v>168</v>
      </c>
      <c r="AJ65" s="32"/>
      <c r="AK65" s="32"/>
      <c r="AL65" s="29"/>
      <c r="AN65" s="34" t="str">
        <f aca="false">IF($B65="","",IF(OR(C65="",D65="",E65="",G65="",I65="",J65="",L65="",O65="",P65=""),"Champ obligatoire manquant",IF(OR(AND(N65&lt;&gt;"",N65&gt;O65),O65&gt;P65,AND(Q65&lt;&gt;"",Q65&lt;P65),AND(R65&lt;&gt;"",R65&lt;P65),AND(S65&lt;&gt;"",S65&lt;R65),AND(S65&lt;&gt;"",R65=""),AND(T65&lt;&gt;"",T65&lt;O65),AND(U65&lt;&gt;"",U65&lt;O65)),"Chronologie incohérente",IF(AND(OR(L65="Résolu",L65="Clos"),R65=""),"Date de résolution manquante",IF(AND(L65="Clos",S65=""),"Date de clôture manquante",IF(AND(K65="Oui",AC65=""),"Classification DORA manquante","OK"))))))</f>
        <v>OK</v>
      </c>
      <c r="AO65" s="35" t="n">
        <f aca="false">IF($B65="","",IF(AND(C65="Incident",L65&lt;&gt;"Annulé"),1,0))</f>
        <v>1</v>
      </c>
      <c r="AP65" s="35" t="n">
        <f aca="false">IF($B65="","",IF(AND(C65="Quasi-incident",L65&lt;&gt;"Annulé"),1,0))</f>
        <v>0</v>
      </c>
      <c r="AQ65" s="35" t="n">
        <f aca="false">IF($B65="","",AO65+AP65)</f>
        <v>1</v>
      </c>
      <c r="AR65" s="36" t="n">
        <f aca="false">IF(OR($B65="",J65=""),"",IFERROR(VALUE(LEFT(J65,1)),""))</f>
        <v>3</v>
      </c>
      <c r="AS65" s="35" t="n">
        <f aca="false">IF(OR(AO65&lt;&gt;1,G65=""),"",IFERROR(IF(INDEX(L_SrcInterne,MATCH(G65,L_Sources,0))="Oui",1,0),""))</f>
        <v>0</v>
      </c>
      <c r="AT65" s="37" t="n">
        <f aca="false">IF(AO65&lt;&gt;1,"",IFERROR(ROUND(IF(OR(N65="",O65=""),"",IF(O65&lt;N65,"",ROUND(((NETWORKDAYS(N65,O65,JoursFeries)-1)*(HFer-HOuv)+IF(NETWORKDAYS(O65,O65,JoursFeries),MEDIAN(MOD(O65,1),HFer,HOuv),HFer)-IF(NETWORKDAYS(N65,N65,JoursFeries),MEDIAN(MOD(N65,1),HFer,HOuv),HOuv))*24,4)))/HJour,4),""))</f>
        <v>2</v>
      </c>
      <c r="AU65" s="37" t="n">
        <f aca="false">IF(AO65&lt;&gt;1,"",IF(OR(O65="",P65=""),"",IF(P65&lt;O65,"",ROUND(((NETWORKDAYS(O65,P65,JoursFeries)-1)*(HFer-HOuv)+IF(NETWORKDAYS(P65,P65,JoursFeries),MEDIAN(MOD(P65,1),HFer,HOuv),HFer)-IF(NETWORKDAYS(O65,O65,JoursFeries),MEDIAN(MOD(O65,1),HFer,HOuv),HOuv))*24,4))))</f>
        <v>1.5</v>
      </c>
      <c r="AV65" s="37" t="n">
        <f aca="false">IF(AO65&lt;&gt;1,"",IF(OR(P65="",Q65=""),"",IF(Q65&lt;P65,"",ROUND(((NETWORKDAYS(P65,Q65,JoursFeries)-1)*(HFer-HOuv)+IF(NETWORKDAYS(Q65,Q65,JoursFeries),MEDIAN(MOD(Q65,1),HFer,HOuv),HFer)-IF(NETWORKDAYS(P65,P65,JoursFeries),MEDIAN(MOD(P65,1),HFer,HOuv),HOuv))*24,4))))</f>
        <v>8.5</v>
      </c>
      <c r="AW65" s="37" t="n">
        <f aca="false">IF(AO65&lt;&gt;1,"",IFERROR(ROUND(IF(OR(P65="",R65=""),"",IF(R65&lt;P65,"",ROUND(((NETWORKDAYS(P65,R65,JoursFeries)-1)*(HFer-HOuv)+IF(NETWORKDAYS(R65,R65,JoursFeries),MEDIAN(MOD(R65,1),HFer,HOuv),HFer)-IF(NETWORKDAYS(P65,P65,JoursFeries),MEDIAN(MOD(P65,1),HFer,HOuv),HOuv))*24,4)))/HJour,4),""))</f>
        <v>4.463</v>
      </c>
      <c r="AX65" s="37" t="n">
        <f aca="false">IF(AO65&lt;&gt;1,"",IFERROR(ROUND(IF(OR(P65="",S65=""),"",IF(S65&lt;P65,"",ROUND(((NETWORKDAYS(P65,S65,JoursFeries)-1)*(HFer-HOuv)+IF(NETWORKDAYS(S65,S65,JoursFeries),MEDIAN(MOD(S65,1),HFer,HOuv),HFer)-IF(NETWORKDAYS(P65,P65,JoursFeries),MEDIAN(MOD(P65,1),HFer,HOuv),HOuv))*24,4)))/HJour,4),""))</f>
        <v>22.4722</v>
      </c>
      <c r="AY65" s="36" t="n">
        <f aca="false">IF(OR(AO65&lt;&gt;1,AR65=""),"",INDEX(SLA_PEC,AR65))</f>
        <v>9</v>
      </c>
      <c r="AZ65" s="35" t="n">
        <f aca="false">IF(OR(AV65="",AY65=""),"",IF(AV65&lt;=AY65,1,0))</f>
        <v>1</v>
      </c>
      <c r="BA65" s="36" t="n">
        <f aca="false">IF(OR(AO65&lt;&gt;1,AR65=""),"",INDEX(SLA_RES,AR65))</f>
        <v>10</v>
      </c>
      <c r="BB65" s="35" t="n">
        <f aca="false">IF(OR(AW65="",BA65=""),"",IF(AW65&lt;=BA65,1,0))</f>
        <v>1</v>
      </c>
      <c r="BC65" s="38" t="n">
        <f aca="false">IF(OR(BA65="",P65=""),"",WORKDAY(INT(P65),BA65,JoursFeries)+MOD(P65,1))</f>
        <v>46212.7118055556</v>
      </c>
      <c r="BD65" s="39" t="n">
        <f aca="false">IF(AO65&lt;&gt;1,"",IF(OR(AB65&lt;&gt;"",AD65&lt;&gt;""),4,IF(U65&lt;&gt;"",3,IF(T65&lt;&gt;"",2,1))))</f>
        <v>1</v>
      </c>
      <c r="BE65" s="39" t="n">
        <f aca="false">IF(OR(AO65&lt;&gt;1,AR65=""),"",INDEX(NIV_REQ,AR65))</f>
        <v>1</v>
      </c>
      <c r="BF65" s="39" t="n">
        <f aca="false">IF(BE65="","",MAX(BE65,IF(OR(K65="Oui",Z65="Oui"),4,1)))</f>
        <v>1</v>
      </c>
      <c r="BG65" s="35" t="n">
        <f aca="false">IF(OR(BF65="",BD65=""),"",IF(BD65&gt;=BF65,1,0))</f>
        <v>1</v>
      </c>
      <c r="BH65" s="38" t="str">
        <f aca="false">IF(BE65="","",IF(BE65&lt;2,"",IF(BE65=2,IF(AND(T65="",U65=""),"",MIN(T65,U65)),IF(U65="","",U65))))</f>
        <v/>
      </c>
      <c r="BI65" s="37" t="str">
        <f aca="false">IF(BH65="","",IF(OR(O65="",BH65=""),"",IF(BH65&lt;O65,"",ROUND(((NETWORKDAYS(O65,BH65,JoursFeries)-1)*(HFer-HOuv)+IF(NETWORKDAYS(BH65,BH65,JoursFeries),MEDIAN(MOD(BH65,1),HFer,HOuv),HFer)-IF(NETWORKDAYS(O65,O65,JoursFeries),MEDIAN(MOD(O65,1),HFer,HOuv),HOuv))*24,4))))</f>
        <v/>
      </c>
      <c r="BJ65" s="35" t="str">
        <f aca="false">IF(OR(BI65="",AR65=""),"",IF(BI65&lt;=INDEX(DELAI_ESC,AR65),1,0))</f>
        <v/>
      </c>
      <c r="BK65" s="38" t="str">
        <f aca="false">IF(AO65&lt;&gt;1,"",IF(AND(T65="",U65=""),"",MIN(T65,U65)))</f>
        <v/>
      </c>
      <c r="BL65" s="37" t="str">
        <f aca="false">IF(OR(BK65="",R65=""),"",IFERROR(ROUND(IF(OR(BK65="",R65=""),"",IF(R65&lt;BK65,"",ROUND(((NETWORKDAYS(BK65,R65,JoursFeries)-1)*(HFer-HOuv)+IF(NETWORKDAYS(R65,R65,JoursFeries),MEDIAN(MOD(R65,1),HFer,HOuv),HFer)-IF(NETWORKDAYS(BK65,BK65,JoursFeries),MEDIAN(MOD(BK65,1),HFer,HOuv),HOuv))*24,4)))/HJour,4),""))</f>
        <v/>
      </c>
      <c r="BM65" s="35" t="n">
        <f aca="false">IF(OR(AO65&lt;&gt;1,R65=""),"",IF(BD65=1,1,0))</f>
        <v>1</v>
      </c>
      <c r="BN65" s="35" t="n">
        <f aca="false">IF(AO65&lt;&gt;1,"",IF(W65="Oui",1,0))</f>
        <v>0</v>
      </c>
      <c r="BO65" s="35" t="n">
        <f aca="false">IF(AO65&lt;&gt;1,"",IF(X65&lt;&gt;"",1,0))</f>
        <v>0</v>
      </c>
      <c r="BP65" s="35" t="n">
        <f aca="false">IF(AO65&lt;&gt;1,"",IF(Y65="Oui",1,0))</f>
        <v>0</v>
      </c>
      <c r="BQ65" s="35" t="str">
        <f aca="true">IF(OR(AO65&lt;&gt;1,Z65&lt;&gt;"Oui"),"",IF(AB65="",IF(AND(AA65&lt;&gt;"",NOW()&gt;AA65),0,""),IF(AA65="","",IF(AB65&lt;=AA65,1,0))))</f>
        <v/>
      </c>
      <c r="BR65" s="38" t="str">
        <f aca="false">IF(OR(AO65&lt;&gt;1,K65&lt;&gt;"Oui",O65=""),"",IF(AC65="",O65+DORA_H_DET/24,IF(AC65-O65&lt;=DORA_H_DET/24,MIN(AC65+DORA_H_CLA/24,O65+DORA_H_DET/24),AC65+DORA_H_CLA/24)))</f>
        <v/>
      </c>
      <c r="BS65" s="35" t="str">
        <f aca="true">IF(BR65="","",IF(AD65="",IF(NOW()&gt;BR65,0,""),IF(AD65&lt;=BR65,1,0)))</f>
        <v/>
      </c>
      <c r="BT65" s="35" t="str">
        <f aca="true">IF(OR(BR65="",AD65=""),"",IF(AE65="",IF(NOW()&gt;AD65+DORA_H_INT/24,0,""),IF(AE65&lt;=AD65+DORA_H_INT/24,1,0)))</f>
        <v/>
      </c>
      <c r="BU65" s="35" t="str">
        <f aca="true">IF(OR(BR65="",AE65=""),"",IF(AF65="",IF(NOW()&gt;EDATE(AE65,DORA_M_FIN)+1,0,""),IF(AF65&lt;=EDATE(AE65,DORA_M_FIN),1,0)))</f>
        <v/>
      </c>
      <c r="BV65" s="35" t="str">
        <f aca="false">IF(BR65="","",IF(COUNT(BS65:BU65)=0,"",MIN(BS65:BU65)))</f>
        <v/>
      </c>
      <c r="BW65" s="40" t="str">
        <f aca="false">IF(AQ65&lt;&gt;1,"",IF(AND(AG65="",AH65=""),"",N(AG65)-N(AH65)))</f>
        <v/>
      </c>
      <c r="BX65" s="35" t="str">
        <f aca="true">IF(OR(AQ65&lt;&gt;1,AI65&lt;&gt;"Oui",AJ65=""),"",IF(AK65="",IF(NOW()&gt;AJ65+1,0,""),IF(AK65&lt;=AJ65,1,0)))</f>
        <v/>
      </c>
    </row>
    <row r="66" customFormat="false" ht="15" hidden="false" customHeight="false" outlineLevel="0" collapsed="false">
      <c r="B66" s="29" t="s">
        <v>292</v>
      </c>
      <c r="C66" s="29" t="s">
        <v>178</v>
      </c>
      <c r="D66" s="29" t="s">
        <v>184</v>
      </c>
      <c r="E66" s="29" t="s">
        <v>254</v>
      </c>
      <c r="F66" s="29" t="s">
        <v>172</v>
      </c>
      <c r="G66" s="29" t="s">
        <v>180</v>
      </c>
      <c r="H66" s="29"/>
      <c r="I66" s="29" t="s">
        <v>262</v>
      </c>
      <c r="J66" s="29" t="s">
        <v>219</v>
      </c>
      <c r="K66" s="29" t="s">
        <v>168</v>
      </c>
      <c r="L66" s="29" t="s">
        <v>293</v>
      </c>
      <c r="M66" s="29" t="s">
        <v>188</v>
      </c>
      <c r="N66" s="30" t="n">
        <v>46201.4722222222</v>
      </c>
      <c r="O66" s="30" t="n">
        <v>46203.4722222222</v>
      </c>
      <c r="P66" s="30" t="n">
        <v>46203.4930555556</v>
      </c>
      <c r="Q66" s="30" t="n">
        <v>46203.5763888889</v>
      </c>
      <c r="R66" s="30" t="n">
        <v>46206.6111111111</v>
      </c>
      <c r="S66" s="30"/>
      <c r="T66" s="30"/>
      <c r="U66" s="30"/>
      <c r="V66" s="31" t="n">
        <v>0</v>
      </c>
      <c r="W66" s="29" t="s">
        <v>168</v>
      </c>
      <c r="X66" s="29"/>
      <c r="Y66" s="29" t="s">
        <v>189</v>
      </c>
      <c r="Z66" s="29" t="s">
        <v>168</v>
      </c>
      <c r="AA66" s="30"/>
      <c r="AB66" s="30"/>
      <c r="AC66" s="30"/>
      <c r="AD66" s="30"/>
      <c r="AE66" s="30"/>
      <c r="AF66" s="32"/>
      <c r="AG66" s="33"/>
      <c r="AH66" s="33"/>
      <c r="AI66" s="29" t="s">
        <v>189</v>
      </c>
      <c r="AJ66" s="32" t="n">
        <v>46258</v>
      </c>
      <c r="AK66" s="32" t="n">
        <v>46248</v>
      </c>
      <c r="AL66" s="29"/>
      <c r="AN66" s="34" t="str">
        <f aca="false">IF($B66="","",IF(OR(C66="",D66="",E66="",G66="",I66="",J66="",L66="",O66="",P66=""),"Champ obligatoire manquant",IF(OR(AND(N66&lt;&gt;"",N66&gt;O66),O66&gt;P66,AND(Q66&lt;&gt;"",Q66&lt;P66),AND(R66&lt;&gt;"",R66&lt;P66),AND(S66&lt;&gt;"",S66&lt;R66),AND(S66&lt;&gt;"",R66=""),AND(T66&lt;&gt;"",T66&lt;O66),AND(U66&lt;&gt;"",U66&lt;O66)),"Chronologie incohérente",IF(AND(OR(L66="Résolu",L66="Clos"),R66=""),"Date de résolution manquante",IF(AND(L66="Clos",S66=""),"Date de clôture manquante",IF(AND(K66="Oui",AC66=""),"Classification DORA manquante","OK"))))))</f>
        <v>OK</v>
      </c>
      <c r="AO66" s="35" t="n">
        <f aca="false">IF($B66="","",IF(AND(C66="Incident",L66&lt;&gt;"Annulé"),1,0))</f>
        <v>1</v>
      </c>
      <c r="AP66" s="35" t="n">
        <f aca="false">IF($B66="","",IF(AND(C66="Quasi-incident",L66&lt;&gt;"Annulé"),1,0))</f>
        <v>0</v>
      </c>
      <c r="AQ66" s="35" t="n">
        <f aca="false">IF($B66="","",AO66+AP66)</f>
        <v>1</v>
      </c>
      <c r="AR66" s="36" t="n">
        <f aca="false">IF(OR($B66="",J66=""),"",IFERROR(VALUE(LEFT(J66,1)),""))</f>
        <v>2</v>
      </c>
      <c r="AS66" s="35" t="n">
        <f aca="false">IF(OR(AO66&lt;&gt;1,G66=""),"",IFERROR(IF(INDEX(L_SrcInterne,MATCH(G66,L_Sources,0))="Oui",1,0),""))</f>
        <v>1</v>
      </c>
      <c r="AT66" s="37" t="n">
        <f aca="false">IF(AO66&lt;&gt;1,"",IFERROR(ROUND(IF(OR(N66="",O66=""),"",IF(O66&lt;N66,"",ROUND(((NETWORKDAYS(N66,O66,JoursFeries)-1)*(HFer-HOuv)+IF(NETWORKDAYS(O66,O66,JoursFeries),MEDIAN(MOD(O66,1),HFer,HOuv),HFer)-IF(NETWORKDAYS(N66,N66,JoursFeries),MEDIAN(MOD(N66,1),HFer,HOuv),HOuv))*24,4)))/HJour,4),""))</f>
        <v>1.2593</v>
      </c>
      <c r="AU66" s="37" t="n">
        <f aca="false">IF(AO66&lt;&gt;1,"",IF(OR(O66="",P66=""),"",IF(P66&lt;O66,"",ROUND(((NETWORKDAYS(O66,P66,JoursFeries)-1)*(HFer-HOuv)+IF(NETWORKDAYS(P66,P66,JoursFeries),MEDIAN(MOD(P66,1),HFer,HOuv),HFer)-IF(NETWORKDAYS(O66,O66,JoursFeries),MEDIAN(MOD(O66,1),HFer,HOuv),HOuv))*24,4))))</f>
        <v>0.5</v>
      </c>
      <c r="AV66" s="37" t="n">
        <f aca="false">IF(AO66&lt;&gt;1,"",IF(OR(P66="",Q66=""),"",IF(Q66&lt;P66,"",ROUND(((NETWORKDAYS(P66,Q66,JoursFeries)-1)*(HFer-HOuv)+IF(NETWORKDAYS(Q66,Q66,JoursFeries),MEDIAN(MOD(Q66,1),HFer,HOuv),HFer)-IF(NETWORKDAYS(P66,P66,JoursFeries),MEDIAN(MOD(P66,1),HFer,HOuv),HOuv))*24,4))))</f>
        <v>2</v>
      </c>
      <c r="AW66" s="37" t="n">
        <f aca="false">IF(AO66&lt;&gt;1,"",IFERROR(ROUND(IF(OR(P66="",R66=""),"",IF(R66&lt;P66,"",ROUND(((NETWORKDAYS(P66,R66,JoursFeries)-1)*(HFer-HOuv)+IF(NETWORKDAYS(R66,R66,JoursFeries),MEDIAN(MOD(R66,1),HFer,HOuv),HFer)-IF(NETWORKDAYS(P66,P66,JoursFeries),MEDIAN(MOD(P66,1),HFer,HOuv),HOuv))*24,4)))/HJour,4),""))</f>
        <v>3.3148</v>
      </c>
      <c r="AX66" s="37" t="str">
        <f aca="false">IF(AO66&lt;&gt;1,"",IFERROR(ROUND(IF(OR(P66="",S66=""),"",IF(S66&lt;P66,"",ROUND(((NETWORKDAYS(P66,S66,JoursFeries)-1)*(HFer-HOuv)+IF(NETWORKDAYS(S66,S66,JoursFeries),MEDIAN(MOD(S66,1),HFer,HOuv),HFer)-IF(NETWORKDAYS(P66,P66,JoursFeries),MEDIAN(MOD(P66,1),HFer,HOuv),HOuv))*24,4)))/HJour,4),""))</f>
        <v/>
      </c>
      <c r="AY66" s="36" t="n">
        <f aca="false">IF(OR(AO66&lt;&gt;1,AR66=""),"",INDEX(SLA_PEC,AR66))</f>
        <v>2</v>
      </c>
      <c r="AZ66" s="35" t="n">
        <f aca="false">IF(OR(AV66="",AY66=""),"",IF(AV66&lt;=AY66,1,0))</f>
        <v>1</v>
      </c>
      <c r="BA66" s="36" t="n">
        <f aca="false">IF(OR(AO66&lt;&gt;1,AR66=""),"",INDEX(SLA_RES,AR66))</f>
        <v>3</v>
      </c>
      <c r="BB66" s="35" t="n">
        <f aca="false">IF(OR(AW66="",BA66=""),"",IF(AW66&lt;=BA66,1,0))</f>
        <v>0</v>
      </c>
      <c r="BC66" s="38" t="n">
        <f aca="false">IF(OR(BA66="",P66=""),"",WORKDAY(INT(P66),BA66,JoursFeries)+MOD(P66,1))</f>
        <v>46206.4930555556</v>
      </c>
      <c r="BD66" s="39" t="n">
        <f aca="false">IF(AO66&lt;&gt;1,"",IF(OR(AB66&lt;&gt;"",AD66&lt;&gt;""),4,IF(U66&lt;&gt;"",3,IF(T66&lt;&gt;"",2,1))))</f>
        <v>1</v>
      </c>
      <c r="BE66" s="39" t="n">
        <f aca="false">IF(OR(AO66&lt;&gt;1,AR66=""),"",INDEX(NIV_REQ,AR66))</f>
        <v>2</v>
      </c>
      <c r="BF66" s="39" t="n">
        <f aca="false">IF(BE66="","",MAX(BE66,IF(OR(K66="Oui",Z66="Oui"),4,1)))</f>
        <v>2</v>
      </c>
      <c r="BG66" s="35" t="n">
        <f aca="false">IF(OR(BF66="",BD66=""),"",IF(BD66&gt;=BF66,1,0))</f>
        <v>0</v>
      </c>
      <c r="BH66" s="38" t="str">
        <f aca="false">IF(BE66="","",IF(BE66&lt;2,"",IF(BE66=2,IF(AND(T66="",U66=""),"",MIN(T66,U66)),IF(U66="","",U66))))</f>
        <v/>
      </c>
      <c r="BI66" s="37" t="str">
        <f aca="false">IF(BH66="","",IF(OR(O66="",BH66=""),"",IF(BH66&lt;O66,"",ROUND(((NETWORKDAYS(O66,BH66,JoursFeries)-1)*(HFer-HOuv)+IF(NETWORKDAYS(BH66,BH66,JoursFeries),MEDIAN(MOD(BH66,1),HFer,HOuv),HFer)-IF(NETWORKDAYS(O66,O66,JoursFeries),MEDIAN(MOD(O66,1),HFer,HOuv),HOuv))*24,4))))</f>
        <v/>
      </c>
      <c r="BJ66" s="35" t="str">
        <f aca="false">IF(OR(BI66="",AR66=""),"",IF(BI66&lt;=INDEX(DELAI_ESC,AR66),1,0))</f>
        <v/>
      </c>
      <c r="BK66" s="38" t="str">
        <f aca="false">IF(AO66&lt;&gt;1,"",IF(AND(T66="",U66=""),"",MIN(T66,U66)))</f>
        <v/>
      </c>
      <c r="BL66" s="37" t="str">
        <f aca="false">IF(OR(BK66="",R66=""),"",IFERROR(ROUND(IF(OR(BK66="",R66=""),"",IF(R66&lt;BK66,"",ROUND(((NETWORKDAYS(BK66,R66,JoursFeries)-1)*(HFer-HOuv)+IF(NETWORKDAYS(R66,R66,JoursFeries),MEDIAN(MOD(R66,1),HFer,HOuv),HFer)-IF(NETWORKDAYS(BK66,BK66,JoursFeries),MEDIAN(MOD(BK66,1),HFer,HOuv),HOuv))*24,4)))/HJour,4),""))</f>
        <v/>
      </c>
      <c r="BM66" s="35" t="n">
        <f aca="false">IF(OR(AO66&lt;&gt;1,R66=""),"",IF(BD66=1,1,0))</f>
        <v>1</v>
      </c>
      <c r="BN66" s="35" t="n">
        <f aca="false">IF(AO66&lt;&gt;1,"",IF(W66="Oui",1,0))</f>
        <v>0</v>
      </c>
      <c r="BO66" s="35" t="n">
        <f aca="false">IF(AO66&lt;&gt;1,"",IF(X66&lt;&gt;"",1,0))</f>
        <v>0</v>
      </c>
      <c r="BP66" s="35" t="n">
        <f aca="false">IF(AO66&lt;&gt;1,"",IF(Y66="Oui",1,0))</f>
        <v>1</v>
      </c>
      <c r="BQ66" s="35" t="str">
        <f aca="true">IF(OR(AO66&lt;&gt;1,Z66&lt;&gt;"Oui"),"",IF(AB66="",IF(AND(AA66&lt;&gt;"",NOW()&gt;AA66),0,""),IF(AA66="","",IF(AB66&lt;=AA66,1,0))))</f>
        <v/>
      </c>
      <c r="BR66" s="38" t="str">
        <f aca="false">IF(OR(AO66&lt;&gt;1,K66&lt;&gt;"Oui",O66=""),"",IF(AC66="",O66+DORA_H_DET/24,IF(AC66-O66&lt;=DORA_H_DET/24,MIN(AC66+DORA_H_CLA/24,O66+DORA_H_DET/24),AC66+DORA_H_CLA/24)))</f>
        <v/>
      </c>
      <c r="BS66" s="35" t="str">
        <f aca="true">IF(BR66="","",IF(AD66="",IF(NOW()&gt;BR66,0,""),IF(AD66&lt;=BR66,1,0)))</f>
        <v/>
      </c>
      <c r="BT66" s="35" t="str">
        <f aca="true">IF(OR(BR66="",AD66=""),"",IF(AE66="",IF(NOW()&gt;AD66+DORA_H_INT/24,0,""),IF(AE66&lt;=AD66+DORA_H_INT/24,1,0)))</f>
        <v/>
      </c>
      <c r="BU66" s="35" t="str">
        <f aca="true">IF(OR(BR66="",AE66=""),"",IF(AF66="",IF(NOW()&gt;EDATE(AE66,DORA_M_FIN)+1,0,""),IF(AF66&lt;=EDATE(AE66,DORA_M_FIN),1,0)))</f>
        <v/>
      </c>
      <c r="BV66" s="35" t="str">
        <f aca="false">IF(BR66="","",IF(COUNT(BS66:BU66)=0,"",MIN(BS66:BU66)))</f>
        <v/>
      </c>
      <c r="BW66" s="40" t="str">
        <f aca="false">IF(AQ66&lt;&gt;1,"",IF(AND(AG66="",AH66=""),"",N(AG66)-N(AH66)))</f>
        <v/>
      </c>
      <c r="BX66" s="35" t="n">
        <f aca="true">IF(OR(AQ66&lt;&gt;1,AI66&lt;&gt;"Oui",AJ66=""),"",IF(AK66="",IF(NOW()&gt;AJ66+1,0,""),IF(AK66&lt;=AJ66,1,0)))</f>
        <v>1</v>
      </c>
    </row>
    <row r="67" customFormat="false" ht="15" hidden="false" customHeight="false" outlineLevel="0" collapsed="false">
      <c r="B67" s="29" t="s">
        <v>294</v>
      </c>
      <c r="C67" s="29" t="s">
        <v>178</v>
      </c>
      <c r="D67" s="29" t="s">
        <v>161</v>
      </c>
      <c r="E67" s="29" t="s">
        <v>225</v>
      </c>
      <c r="F67" s="29" t="s">
        <v>172</v>
      </c>
      <c r="G67" s="29" t="s">
        <v>164</v>
      </c>
      <c r="H67" s="29"/>
      <c r="I67" s="29" t="s">
        <v>295</v>
      </c>
      <c r="J67" s="29" t="s">
        <v>167</v>
      </c>
      <c r="K67" s="29" t="s">
        <v>168</v>
      </c>
      <c r="L67" s="29" t="s">
        <v>293</v>
      </c>
      <c r="M67" s="29" t="s">
        <v>165</v>
      </c>
      <c r="N67" s="30" t="n">
        <v>46210.4513888889</v>
      </c>
      <c r="O67" s="30" t="n">
        <v>46211.4513888889</v>
      </c>
      <c r="P67" s="30" t="n">
        <v>46211.4930555556</v>
      </c>
      <c r="Q67" s="30" t="n">
        <v>46212.375</v>
      </c>
      <c r="R67" s="30" t="n">
        <v>46216.4722222222</v>
      </c>
      <c r="S67" s="30"/>
      <c r="T67" s="30"/>
      <c r="U67" s="30"/>
      <c r="V67" s="31" t="n">
        <v>1</v>
      </c>
      <c r="W67" s="29" t="s">
        <v>168</v>
      </c>
      <c r="X67" s="29"/>
      <c r="Y67" s="29" t="s">
        <v>168</v>
      </c>
      <c r="Z67" s="29" t="s">
        <v>168</v>
      </c>
      <c r="AA67" s="30"/>
      <c r="AB67" s="30"/>
      <c r="AC67" s="30"/>
      <c r="AD67" s="30"/>
      <c r="AE67" s="30"/>
      <c r="AF67" s="32"/>
      <c r="AG67" s="33"/>
      <c r="AH67" s="33"/>
      <c r="AI67" s="29" t="s">
        <v>168</v>
      </c>
      <c r="AJ67" s="32"/>
      <c r="AK67" s="32"/>
      <c r="AL67" s="29"/>
      <c r="AN67" s="34" t="str">
        <f aca="false">IF($B67="","",IF(OR(C67="",D67="",E67="",G67="",I67="",J67="",L67="",O67="",P67=""),"Champ obligatoire manquant",IF(OR(AND(N67&lt;&gt;"",N67&gt;O67),O67&gt;P67,AND(Q67&lt;&gt;"",Q67&lt;P67),AND(R67&lt;&gt;"",R67&lt;P67),AND(S67&lt;&gt;"",S67&lt;R67),AND(S67&lt;&gt;"",R67=""),AND(T67&lt;&gt;"",T67&lt;O67),AND(U67&lt;&gt;"",U67&lt;O67)),"Chronologie incohérente",IF(AND(OR(L67="Résolu",L67="Clos"),R67=""),"Date de résolution manquante",IF(AND(L67="Clos",S67=""),"Date de clôture manquante",IF(AND(K67="Oui",AC67=""),"Classification DORA manquante","OK"))))))</f>
        <v>OK</v>
      </c>
      <c r="AO67" s="35" t="n">
        <f aca="false">IF($B67="","",IF(AND(C67="Incident",L67&lt;&gt;"Annulé"),1,0))</f>
        <v>1</v>
      </c>
      <c r="AP67" s="35" t="n">
        <f aca="false">IF($B67="","",IF(AND(C67="Quasi-incident",L67&lt;&gt;"Annulé"),1,0))</f>
        <v>0</v>
      </c>
      <c r="AQ67" s="35" t="n">
        <f aca="false">IF($B67="","",AO67+AP67)</f>
        <v>1</v>
      </c>
      <c r="AR67" s="36" t="n">
        <f aca="false">IF(OR($B67="",J67=""),"",IFERROR(VALUE(LEFT(J67,1)),""))</f>
        <v>3</v>
      </c>
      <c r="AS67" s="35" t="n">
        <f aca="false">IF(OR(AO67&lt;&gt;1,G67=""),"",IFERROR(IF(INDEX(L_SrcInterne,MATCH(G67,L_Sources,0))="Oui",1,0),""))</f>
        <v>1</v>
      </c>
      <c r="AT67" s="37" t="n">
        <f aca="false">IF(AO67&lt;&gt;1,"",IFERROR(ROUND(IF(OR(N67="",O67=""),"",IF(O67&lt;N67,"",ROUND(((NETWORKDAYS(N67,O67,JoursFeries)-1)*(HFer-HOuv)+IF(NETWORKDAYS(O67,O67,JoursFeries),MEDIAN(MOD(O67,1),HFer,HOuv),HFer)-IF(NETWORKDAYS(N67,N67,JoursFeries),MEDIAN(MOD(N67,1),HFer,HOuv),HOuv))*24,4)))/HJour,4),""))</f>
        <v>1</v>
      </c>
      <c r="AU67" s="37" t="n">
        <f aca="false">IF(AO67&lt;&gt;1,"",IF(OR(O67="",P67=""),"",IF(P67&lt;O67,"",ROUND(((NETWORKDAYS(O67,P67,JoursFeries)-1)*(HFer-HOuv)+IF(NETWORKDAYS(P67,P67,JoursFeries),MEDIAN(MOD(P67,1),HFer,HOuv),HFer)-IF(NETWORKDAYS(O67,O67,JoursFeries),MEDIAN(MOD(O67,1),HFer,HOuv),HOuv))*24,4))))</f>
        <v>1</v>
      </c>
      <c r="AV67" s="37" t="n">
        <f aca="false">IF(AO67&lt;&gt;1,"",IF(OR(P67="",Q67=""),"",IF(Q67&lt;P67,"",ROUND(((NETWORKDAYS(P67,Q67,JoursFeries)-1)*(HFer-HOuv)+IF(NETWORKDAYS(Q67,Q67,JoursFeries),MEDIAN(MOD(Q67,1),HFer,HOuv),HFer)-IF(NETWORKDAYS(P67,P67,JoursFeries),MEDIAN(MOD(P67,1),HFer,HOuv),HOuv))*24,4))))</f>
        <v>6.1667</v>
      </c>
      <c r="AW67" s="37" t="n">
        <f aca="false">IF(AO67&lt;&gt;1,"",IFERROR(ROUND(IF(OR(P67="",R67=""),"",IF(R67&lt;P67,"",ROUND(((NETWORKDAYS(P67,R67,JoursFeries)-1)*(HFer-HOuv)+IF(NETWORKDAYS(R67,R67,JoursFeries),MEDIAN(MOD(R67,1),HFer,HOuv),HFer)-IF(NETWORKDAYS(P67,P67,JoursFeries),MEDIAN(MOD(P67,1),HFer,HOuv),HOuv))*24,4)))/HJour,4),""))</f>
        <v>2.9444</v>
      </c>
      <c r="AX67" s="37" t="str">
        <f aca="false">IF(AO67&lt;&gt;1,"",IFERROR(ROUND(IF(OR(P67="",S67=""),"",IF(S67&lt;P67,"",ROUND(((NETWORKDAYS(P67,S67,JoursFeries)-1)*(HFer-HOuv)+IF(NETWORKDAYS(S67,S67,JoursFeries),MEDIAN(MOD(S67,1),HFer,HOuv),HFer)-IF(NETWORKDAYS(P67,P67,JoursFeries),MEDIAN(MOD(P67,1),HFer,HOuv),HOuv))*24,4)))/HJour,4),""))</f>
        <v/>
      </c>
      <c r="AY67" s="36" t="n">
        <f aca="false">IF(OR(AO67&lt;&gt;1,AR67=""),"",INDEX(SLA_PEC,AR67))</f>
        <v>9</v>
      </c>
      <c r="AZ67" s="35" t="n">
        <f aca="false">IF(OR(AV67="",AY67=""),"",IF(AV67&lt;=AY67,1,0))</f>
        <v>1</v>
      </c>
      <c r="BA67" s="36" t="n">
        <f aca="false">IF(OR(AO67&lt;&gt;1,AR67=""),"",INDEX(SLA_RES,AR67))</f>
        <v>10</v>
      </c>
      <c r="BB67" s="35" t="n">
        <f aca="false">IF(OR(AW67="",BA67=""),"",IF(AW67&lt;=BA67,1,0))</f>
        <v>1</v>
      </c>
      <c r="BC67" s="38" t="n">
        <f aca="false">IF(OR(BA67="",P67=""),"",WORKDAY(INT(P67),BA67,JoursFeries)+MOD(P67,1))</f>
        <v>46226.4930555556</v>
      </c>
      <c r="BD67" s="39" t="n">
        <f aca="false">IF(AO67&lt;&gt;1,"",IF(OR(AB67&lt;&gt;"",AD67&lt;&gt;""),4,IF(U67&lt;&gt;"",3,IF(T67&lt;&gt;"",2,1))))</f>
        <v>1</v>
      </c>
      <c r="BE67" s="39" t="n">
        <f aca="false">IF(OR(AO67&lt;&gt;1,AR67=""),"",INDEX(NIV_REQ,AR67))</f>
        <v>1</v>
      </c>
      <c r="BF67" s="39" t="n">
        <f aca="false">IF(BE67="","",MAX(BE67,IF(OR(K67="Oui",Z67="Oui"),4,1)))</f>
        <v>1</v>
      </c>
      <c r="BG67" s="35" t="n">
        <f aca="false">IF(OR(BF67="",BD67=""),"",IF(BD67&gt;=BF67,1,0))</f>
        <v>1</v>
      </c>
      <c r="BH67" s="38" t="str">
        <f aca="false">IF(BE67="","",IF(BE67&lt;2,"",IF(BE67=2,IF(AND(T67="",U67=""),"",MIN(T67,U67)),IF(U67="","",U67))))</f>
        <v/>
      </c>
      <c r="BI67" s="37" t="str">
        <f aca="false">IF(BH67="","",IF(OR(O67="",BH67=""),"",IF(BH67&lt;O67,"",ROUND(((NETWORKDAYS(O67,BH67,JoursFeries)-1)*(HFer-HOuv)+IF(NETWORKDAYS(BH67,BH67,JoursFeries),MEDIAN(MOD(BH67,1),HFer,HOuv),HFer)-IF(NETWORKDAYS(O67,O67,JoursFeries),MEDIAN(MOD(O67,1),HFer,HOuv),HOuv))*24,4))))</f>
        <v/>
      </c>
      <c r="BJ67" s="35" t="str">
        <f aca="false">IF(OR(BI67="",AR67=""),"",IF(BI67&lt;=INDEX(DELAI_ESC,AR67),1,0))</f>
        <v/>
      </c>
      <c r="BK67" s="38" t="str">
        <f aca="false">IF(AO67&lt;&gt;1,"",IF(AND(T67="",U67=""),"",MIN(T67,U67)))</f>
        <v/>
      </c>
      <c r="BL67" s="37" t="str">
        <f aca="false">IF(OR(BK67="",R67=""),"",IFERROR(ROUND(IF(OR(BK67="",R67=""),"",IF(R67&lt;BK67,"",ROUND(((NETWORKDAYS(BK67,R67,JoursFeries)-1)*(HFer-HOuv)+IF(NETWORKDAYS(R67,R67,JoursFeries),MEDIAN(MOD(R67,1),HFer,HOuv),HFer)-IF(NETWORKDAYS(BK67,BK67,JoursFeries),MEDIAN(MOD(BK67,1),HFer,HOuv),HOuv))*24,4)))/HJour,4),""))</f>
        <v/>
      </c>
      <c r="BM67" s="35" t="n">
        <f aca="false">IF(OR(AO67&lt;&gt;1,R67=""),"",IF(BD67=1,1,0))</f>
        <v>1</v>
      </c>
      <c r="BN67" s="35" t="n">
        <f aca="false">IF(AO67&lt;&gt;1,"",IF(W67="Oui",1,0))</f>
        <v>0</v>
      </c>
      <c r="BO67" s="35" t="n">
        <f aca="false">IF(AO67&lt;&gt;1,"",IF(X67&lt;&gt;"",1,0))</f>
        <v>0</v>
      </c>
      <c r="BP67" s="35" t="n">
        <f aca="false">IF(AO67&lt;&gt;1,"",IF(Y67="Oui",1,0))</f>
        <v>0</v>
      </c>
      <c r="BQ67" s="35" t="str">
        <f aca="true">IF(OR(AO67&lt;&gt;1,Z67&lt;&gt;"Oui"),"",IF(AB67="",IF(AND(AA67&lt;&gt;"",NOW()&gt;AA67),0,""),IF(AA67="","",IF(AB67&lt;=AA67,1,0))))</f>
        <v/>
      </c>
      <c r="BR67" s="38" t="str">
        <f aca="false">IF(OR(AO67&lt;&gt;1,K67&lt;&gt;"Oui",O67=""),"",IF(AC67="",O67+DORA_H_DET/24,IF(AC67-O67&lt;=DORA_H_DET/24,MIN(AC67+DORA_H_CLA/24,O67+DORA_H_DET/24),AC67+DORA_H_CLA/24)))</f>
        <v/>
      </c>
      <c r="BS67" s="35" t="str">
        <f aca="true">IF(BR67="","",IF(AD67="",IF(NOW()&gt;BR67,0,""),IF(AD67&lt;=BR67,1,0)))</f>
        <v/>
      </c>
      <c r="BT67" s="35" t="str">
        <f aca="true">IF(OR(BR67="",AD67=""),"",IF(AE67="",IF(NOW()&gt;AD67+DORA_H_INT/24,0,""),IF(AE67&lt;=AD67+DORA_H_INT/24,1,0)))</f>
        <v/>
      </c>
      <c r="BU67" s="35" t="str">
        <f aca="true">IF(OR(BR67="",AE67=""),"",IF(AF67="",IF(NOW()&gt;EDATE(AE67,DORA_M_FIN)+1,0,""),IF(AF67&lt;=EDATE(AE67,DORA_M_FIN),1,0)))</f>
        <v/>
      </c>
      <c r="BV67" s="35" t="str">
        <f aca="false">IF(BR67="","",IF(COUNT(BS67:BU67)=0,"",MIN(BS67:BU67)))</f>
        <v/>
      </c>
      <c r="BW67" s="40" t="str">
        <f aca="false">IF(AQ67&lt;&gt;1,"",IF(AND(AG67="",AH67=""),"",N(AG67)-N(AH67)))</f>
        <v/>
      </c>
      <c r="BX67" s="35" t="str">
        <f aca="true">IF(OR(AQ67&lt;&gt;1,AI67&lt;&gt;"Oui",AJ67=""),"",IF(AK67="",IF(NOW()&gt;AJ67+1,0,""),IF(AK67&lt;=AJ67,1,0)))</f>
        <v/>
      </c>
    </row>
    <row r="68" customFormat="false" ht="15" hidden="false" customHeight="false" outlineLevel="0" collapsed="false">
      <c r="B68" s="29" t="s">
        <v>296</v>
      </c>
      <c r="C68" s="29" t="s">
        <v>178</v>
      </c>
      <c r="D68" s="29" t="s">
        <v>195</v>
      </c>
      <c r="E68" s="29" t="s">
        <v>203</v>
      </c>
      <c r="F68" s="29" t="s">
        <v>204</v>
      </c>
      <c r="G68" s="29" t="s">
        <v>185</v>
      </c>
      <c r="H68" s="29" t="s">
        <v>182</v>
      </c>
      <c r="I68" s="29" t="s">
        <v>205</v>
      </c>
      <c r="J68" s="29" t="s">
        <v>187</v>
      </c>
      <c r="K68" s="29" t="s">
        <v>168</v>
      </c>
      <c r="L68" s="29" t="s">
        <v>169</v>
      </c>
      <c r="M68" s="29" t="s">
        <v>182</v>
      </c>
      <c r="N68" s="30" t="n">
        <v>46209.375</v>
      </c>
      <c r="O68" s="30" t="n">
        <v>46213.375</v>
      </c>
      <c r="P68" s="30" t="n">
        <v>46213.4166666667</v>
      </c>
      <c r="Q68" s="30" t="n">
        <v>46218.4513888889</v>
      </c>
      <c r="R68" s="30" t="n">
        <v>46230.3923611111</v>
      </c>
      <c r="S68" s="30" t="n">
        <v>46259.65625</v>
      </c>
      <c r="T68" s="30"/>
      <c r="U68" s="30"/>
      <c r="V68" s="31" t="n">
        <v>0</v>
      </c>
      <c r="W68" s="29" t="s">
        <v>168</v>
      </c>
      <c r="X68" s="29"/>
      <c r="Y68" s="29" t="s">
        <v>168</v>
      </c>
      <c r="Z68" s="29" t="s">
        <v>168</v>
      </c>
      <c r="AA68" s="30"/>
      <c r="AB68" s="30"/>
      <c r="AC68" s="30"/>
      <c r="AD68" s="30"/>
      <c r="AE68" s="30"/>
      <c r="AF68" s="32"/>
      <c r="AG68" s="33"/>
      <c r="AH68" s="33"/>
      <c r="AI68" s="29" t="s">
        <v>168</v>
      </c>
      <c r="AJ68" s="32"/>
      <c r="AK68" s="32"/>
      <c r="AL68" s="29"/>
      <c r="AN68" s="34" t="str">
        <f aca="false">IF($B68="","",IF(OR(C68="",D68="",E68="",G68="",I68="",J68="",L68="",O68="",P68=""),"Champ obligatoire manquant",IF(OR(AND(N68&lt;&gt;"",N68&gt;O68),O68&gt;P68,AND(Q68&lt;&gt;"",Q68&lt;P68),AND(R68&lt;&gt;"",R68&lt;P68),AND(S68&lt;&gt;"",S68&lt;R68),AND(S68&lt;&gt;"",R68=""),AND(T68&lt;&gt;"",T68&lt;O68),AND(U68&lt;&gt;"",U68&lt;O68)),"Chronologie incohérente",IF(AND(OR(L68="Résolu",L68="Clos"),R68=""),"Date de résolution manquante",IF(AND(L68="Clos",S68=""),"Date de clôture manquante",IF(AND(K68="Oui",AC68=""),"Classification DORA manquante","OK"))))))</f>
        <v>OK</v>
      </c>
      <c r="AO68" s="35" t="n">
        <f aca="false">IF($B68="","",IF(AND(C68="Incident",L68&lt;&gt;"Annulé"),1,0))</f>
        <v>1</v>
      </c>
      <c r="AP68" s="35" t="n">
        <f aca="false">IF($B68="","",IF(AND(C68="Quasi-incident",L68&lt;&gt;"Annulé"),1,0))</f>
        <v>0</v>
      </c>
      <c r="AQ68" s="35" t="n">
        <f aca="false">IF($B68="","",AO68+AP68)</f>
        <v>1</v>
      </c>
      <c r="AR68" s="36" t="n">
        <f aca="false">IF(OR($B68="",J68=""),"",IFERROR(VALUE(LEFT(J68,1)),""))</f>
        <v>4</v>
      </c>
      <c r="AS68" s="35" t="n">
        <f aca="false">IF(OR(AO68&lt;&gt;1,G68=""),"",IFERROR(IF(INDEX(L_SrcInterne,MATCH(G68,L_Sources,0))="Oui",1,0),""))</f>
        <v>1</v>
      </c>
      <c r="AT68" s="37" t="n">
        <f aca="false">IF(AO68&lt;&gt;1,"",IFERROR(ROUND(IF(OR(N68="",O68=""),"",IF(O68&lt;N68,"",ROUND(((NETWORKDAYS(N68,O68,JoursFeries)-1)*(HFer-HOuv)+IF(NETWORKDAYS(O68,O68,JoursFeries),MEDIAN(MOD(O68,1),HFer,HOuv),HFer)-IF(NETWORKDAYS(N68,N68,JoursFeries),MEDIAN(MOD(N68,1),HFer,HOuv),HOuv))*24,4)))/HJour,4),""))</f>
        <v>4</v>
      </c>
      <c r="AU68" s="37" t="n">
        <f aca="false">IF(AO68&lt;&gt;1,"",IF(OR(O68="",P68=""),"",IF(P68&lt;O68,"",ROUND(((NETWORKDAYS(O68,P68,JoursFeries)-1)*(HFer-HOuv)+IF(NETWORKDAYS(P68,P68,JoursFeries),MEDIAN(MOD(P68,1),HFer,HOuv),HFer)-IF(NETWORKDAYS(O68,O68,JoursFeries),MEDIAN(MOD(O68,1),HFer,HOuv),HOuv))*24,4))))</f>
        <v>1</v>
      </c>
      <c r="AV68" s="37" t="n">
        <f aca="false">IF(AO68&lt;&gt;1,"",IF(OR(P68="",Q68=""),"",IF(Q68&lt;P68,"",ROUND(((NETWORKDAYS(P68,Q68,JoursFeries)-1)*(HFer-HOuv)+IF(NETWORKDAYS(Q68,Q68,JoursFeries),MEDIAN(MOD(Q68,1),HFer,HOuv),HFer)-IF(NETWORKDAYS(P68,P68,JoursFeries),MEDIAN(MOD(P68,1),HFer,HOuv),HOuv))*24,4))))</f>
        <v>18.8333</v>
      </c>
      <c r="AW68" s="37" t="n">
        <f aca="false">IF(AO68&lt;&gt;1,"",IFERROR(ROUND(IF(OR(P68="",R68=""),"",IF(R68&lt;P68,"",ROUND(((NETWORKDAYS(P68,R68,JoursFeries)-1)*(HFer-HOuv)+IF(NETWORKDAYS(R68,R68,JoursFeries),MEDIAN(MOD(R68,1),HFer,HOuv),HFer)-IF(NETWORKDAYS(P68,P68,JoursFeries),MEDIAN(MOD(P68,1),HFer,HOuv),HOuv))*24,4)))/HJour,4),""))</f>
        <v>9.9352</v>
      </c>
      <c r="AX68" s="37" t="n">
        <f aca="false">IF(AO68&lt;&gt;1,"",IFERROR(ROUND(IF(OR(P68="",S68=""),"",IF(S68&lt;P68,"",ROUND(((NETWORKDAYS(P68,S68,JoursFeries)-1)*(HFer-HOuv)+IF(NETWORKDAYS(S68,S68,JoursFeries),MEDIAN(MOD(S68,1),HFer,HOuv),HFer)-IF(NETWORKDAYS(P68,P68,JoursFeries),MEDIAN(MOD(P68,1),HFer,HOuv),HOuv))*24,4)))/HJour,4),""))</f>
        <v>31.6389</v>
      </c>
      <c r="AY68" s="36" t="n">
        <f aca="false">IF(OR(AO68&lt;&gt;1,AR68=""),"",INDEX(SLA_PEC,AR68))</f>
        <v>18</v>
      </c>
      <c r="AZ68" s="35" t="n">
        <f aca="false">IF(OR(AV68="",AY68=""),"",IF(AV68&lt;=AY68,1,0))</f>
        <v>0</v>
      </c>
      <c r="BA68" s="36" t="n">
        <f aca="false">IF(OR(AO68&lt;&gt;1,AR68=""),"",INDEX(SLA_RES,AR68))</f>
        <v>20</v>
      </c>
      <c r="BB68" s="35" t="n">
        <f aca="false">IF(OR(AW68="",BA68=""),"",IF(AW68&lt;=BA68,1,0))</f>
        <v>1</v>
      </c>
      <c r="BC68" s="38" t="n">
        <f aca="false">IF(OR(BA68="",P68=""),"",WORKDAY(INT(P68),BA68,JoursFeries)+MOD(P68,1))</f>
        <v>46244.4166666667</v>
      </c>
      <c r="BD68" s="39" t="n">
        <f aca="false">IF(AO68&lt;&gt;1,"",IF(OR(AB68&lt;&gt;"",AD68&lt;&gt;""),4,IF(U68&lt;&gt;"",3,IF(T68&lt;&gt;"",2,1))))</f>
        <v>1</v>
      </c>
      <c r="BE68" s="39" t="n">
        <f aca="false">IF(OR(AO68&lt;&gt;1,AR68=""),"",INDEX(NIV_REQ,AR68))</f>
        <v>1</v>
      </c>
      <c r="BF68" s="39" t="n">
        <f aca="false">IF(BE68="","",MAX(BE68,IF(OR(K68="Oui",Z68="Oui"),4,1)))</f>
        <v>1</v>
      </c>
      <c r="BG68" s="35" t="n">
        <f aca="false">IF(OR(BF68="",BD68=""),"",IF(BD68&gt;=BF68,1,0))</f>
        <v>1</v>
      </c>
      <c r="BH68" s="38" t="str">
        <f aca="false">IF(BE68="","",IF(BE68&lt;2,"",IF(BE68=2,IF(AND(T68="",U68=""),"",MIN(T68,U68)),IF(U68="","",U68))))</f>
        <v/>
      </c>
      <c r="BI68" s="37" t="str">
        <f aca="false">IF(BH68="","",IF(OR(O68="",BH68=""),"",IF(BH68&lt;O68,"",ROUND(((NETWORKDAYS(O68,BH68,JoursFeries)-1)*(HFer-HOuv)+IF(NETWORKDAYS(BH68,BH68,JoursFeries),MEDIAN(MOD(BH68,1),HFer,HOuv),HFer)-IF(NETWORKDAYS(O68,O68,JoursFeries),MEDIAN(MOD(O68,1),HFer,HOuv),HOuv))*24,4))))</f>
        <v/>
      </c>
      <c r="BJ68" s="35" t="str">
        <f aca="false">IF(OR(BI68="",AR68=""),"",IF(BI68&lt;=INDEX(DELAI_ESC,AR68),1,0))</f>
        <v/>
      </c>
      <c r="BK68" s="38" t="str">
        <f aca="false">IF(AO68&lt;&gt;1,"",IF(AND(T68="",U68=""),"",MIN(T68,U68)))</f>
        <v/>
      </c>
      <c r="BL68" s="37" t="str">
        <f aca="false">IF(OR(BK68="",R68=""),"",IFERROR(ROUND(IF(OR(BK68="",R68=""),"",IF(R68&lt;BK68,"",ROUND(((NETWORKDAYS(BK68,R68,JoursFeries)-1)*(HFer-HOuv)+IF(NETWORKDAYS(R68,R68,JoursFeries),MEDIAN(MOD(R68,1),HFer,HOuv),HFer)-IF(NETWORKDAYS(BK68,BK68,JoursFeries),MEDIAN(MOD(BK68,1),HFer,HOuv),HOuv))*24,4)))/HJour,4),""))</f>
        <v/>
      </c>
      <c r="BM68" s="35" t="n">
        <f aca="false">IF(OR(AO68&lt;&gt;1,R68=""),"",IF(BD68=1,1,0))</f>
        <v>1</v>
      </c>
      <c r="BN68" s="35" t="n">
        <f aca="false">IF(AO68&lt;&gt;1,"",IF(W68="Oui",1,0))</f>
        <v>0</v>
      </c>
      <c r="BO68" s="35" t="n">
        <f aca="false">IF(AO68&lt;&gt;1,"",IF(X68&lt;&gt;"",1,0))</f>
        <v>0</v>
      </c>
      <c r="BP68" s="35" t="n">
        <f aca="false">IF(AO68&lt;&gt;1,"",IF(Y68="Oui",1,0))</f>
        <v>0</v>
      </c>
      <c r="BQ68" s="35" t="str">
        <f aca="true">IF(OR(AO68&lt;&gt;1,Z68&lt;&gt;"Oui"),"",IF(AB68="",IF(AND(AA68&lt;&gt;"",NOW()&gt;AA68),0,""),IF(AA68="","",IF(AB68&lt;=AA68,1,0))))</f>
        <v/>
      </c>
      <c r="BR68" s="38" t="str">
        <f aca="false">IF(OR(AO68&lt;&gt;1,K68&lt;&gt;"Oui",O68=""),"",IF(AC68="",O68+DORA_H_DET/24,IF(AC68-O68&lt;=DORA_H_DET/24,MIN(AC68+DORA_H_CLA/24,O68+DORA_H_DET/24),AC68+DORA_H_CLA/24)))</f>
        <v/>
      </c>
      <c r="BS68" s="35" t="str">
        <f aca="true">IF(BR68="","",IF(AD68="",IF(NOW()&gt;BR68,0,""),IF(AD68&lt;=BR68,1,0)))</f>
        <v/>
      </c>
      <c r="BT68" s="35" t="str">
        <f aca="true">IF(OR(BR68="",AD68=""),"",IF(AE68="",IF(NOW()&gt;AD68+DORA_H_INT/24,0,""),IF(AE68&lt;=AD68+DORA_H_INT/24,1,0)))</f>
        <v/>
      </c>
      <c r="BU68" s="35" t="str">
        <f aca="true">IF(OR(BR68="",AE68=""),"",IF(AF68="",IF(NOW()&gt;EDATE(AE68,DORA_M_FIN)+1,0,""),IF(AF68&lt;=EDATE(AE68,DORA_M_FIN),1,0)))</f>
        <v/>
      </c>
      <c r="BV68" s="35" t="str">
        <f aca="false">IF(BR68="","",IF(COUNT(BS68:BU68)=0,"",MIN(BS68:BU68)))</f>
        <v/>
      </c>
      <c r="BW68" s="40" t="str">
        <f aca="false">IF(AQ68&lt;&gt;1,"",IF(AND(AG68="",AH68=""),"",N(AG68)-N(AH68)))</f>
        <v/>
      </c>
      <c r="BX68" s="35" t="str">
        <f aca="true">IF(OR(AQ68&lt;&gt;1,AI68&lt;&gt;"Oui",AJ68=""),"",IF(AK68="",IF(NOW()&gt;AJ68+1,0,""),IF(AK68&lt;=AJ68,1,0)))</f>
        <v/>
      </c>
    </row>
    <row r="69" customFormat="false" ht="15" hidden="false" customHeight="false" outlineLevel="0" collapsed="false">
      <c r="B69" s="29" t="s">
        <v>297</v>
      </c>
      <c r="C69" s="29" t="s">
        <v>178</v>
      </c>
      <c r="D69" s="29" t="s">
        <v>184</v>
      </c>
      <c r="E69" s="29" t="s">
        <v>234</v>
      </c>
      <c r="F69" s="29" t="s">
        <v>172</v>
      </c>
      <c r="G69" s="29" t="s">
        <v>180</v>
      </c>
      <c r="H69" s="29"/>
      <c r="I69" s="29" t="s">
        <v>235</v>
      </c>
      <c r="J69" s="29" t="s">
        <v>187</v>
      </c>
      <c r="K69" s="29" t="s">
        <v>168</v>
      </c>
      <c r="L69" s="29" t="s">
        <v>169</v>
      </c>
      <c r="M69" s="29" t="s">
        <v>201</v>
      </c>
      <c r="N69" s="30" t="n">
        <v>46213.4791666667</v>
      </c>
      <c r="O69" s="30" t="n">
        <v>46213.5659722222</v>
      </c>
      <c r="P69" s="30" t="n">
        <v>46213.6493055556</v>
      </c>
      <c r="Q69" s="30" t="n">
        <v>46218.6597222222</v>
      </c>
      <c r="R69" s="30" t="n">
        <v>46238.375</v>
      </c>
      <c r="S69" s="30" t="n">
        <v>46251.7222222222</v>
      </c>
      <c r="T69" s="30"/>
      <c r="U69" s="30"/>
      <c r="V69" s="31" t="n">
        <v>1</v>
      </c>
      <c r="W69" s="29" t="s">
        <v>168</v>
      </c>
      <c r="X69" s="29"/>
      <c r="Y69" s="29" t="s">
        <v>168</v>
      </c>
      <c r="Z69" s="29" t="s">
        <v>168</v>
      </c>
      <c r="AA69" s="30"/>
      <c r="AB69" s="30"/>
      <c r="AC69" s="30"/>
      <c r="AD69" s="30"/>
      <c r="AE69" s="30"/>
      <c r="AF69" s="32"/>
      <c r="AG69" s="33"/>
      <c r="AH69" s="33"/>
      <c r="AI69" s="29" t="s">
        <v>168</v>
      </c>
      <c r="AJ69" s="32"/>
      <c r="AK69" s="32"/>
      <c r="AL69" s="29"/>
      <c r="AN69" s="34" t="str">
        <f aca="false">IF($B69="","",IF(OR(C69="",D69="",E69="",G69="",I69="",J69="",L69="",O69="",P69=""),"Champ obligatoire manquant",IF(OR(AND(N69&lt;&gt;"",N69&gt;O69),O69&gt;P69,AND(Q69&lt;&gt;"",Q69&lt;P69),AND(R69&lt;&gt;"",R69&lt;P69),AND(S69&lt;&gt;"",S69&lt;R69),AND(S69&lt;&gt;"",R69=""),AND(T69&lt;&gt;"",T69&lt;O69),AND(U69&lt;&gt;"",U69&lt;O69)),"Chronologie incohérente",IF(AND(OR(L69="Résolu",L69="Clos"),R69=""),"Date de résolution manquante",IF(AND(L69="Clos",S69=""),"Date de clôture manquante",IF(AND(K69="Oui",AC69=""),"Classification DORA manquante","OK"))))))</f>
        <v>OK</v>
      </c>
      <c r="AO69" s="35" t="n">
        <f aca="false">IF($B69="","",IF(AND(C69="Incident",L69&lt;&gt;"Annulé"),1,0))</f>
        <v>1</v>
      </c>
      <c r="AP69" s="35" t="n">
        <f aca="false">IF($B69="","",IF(AND(C69="Quasi-incident",L69&lt;&gt;"Annulé"),1,0))</f>
        <v>0</v>
      </c>
      <c r="AQ69" s="35" t="n">
        <f aca="false">IF($B69="","",AO69+AP69)</f>
        <v>1</v>
      </c>
      <c r="AR69" s="36" t="n">
        <f aca="false">IF(OR($B69="",J69=""),"",IFERROR(VALUE(LEFT(J69,1)),""))</f>
        <v>4</v>
      </c>
      <c r="AS69" s="35" t="n">
        <f aca="false">IF(OR(AO69&lt;&gt;1,G69=""),"",IFERROR(IF(INDEX(L_SrcInterne,MATCH(G69,L_Sources,0))="Oui",1,0),""))</f>
        <v>1</v>
      </c>
      <c r="AT69" s="37" t="n">
        <f aca="false">IF(AO69&lt;&gt;1,"",IFERROR(ROUND(IF(OR(N69="",O69=""),"",IF(O69&lt;N69,"",ROUND(((NETWORKDAYS(N69,O69,JoursFeries)-1)*(HFer-HOuv)+IF(NETWORKDAYS(O69,O69,JoursFeries),MEDIAN(MOD(O69,1),HFer,HOuv),HFer)-IF(NETWORKDAYS(N69,N69,JoursFeries),MEDIAN(MOD(N69,1),HFer,HOuv),HOuv))*24,4)))/HJour,4),""))</f>
        <v>0.2315</v>
      </c>
      <c r="AU69" s="37" t="n">
        <f aca="false">IF(AO69&lt;&gt;1,"",IF(OR(O69="",P69=""),"",IF(P69&lt;O69,"",ROUND(((NETWORKDAYS(O69,P69,JoursFeries)-1)*(HFer-HOuv)+IF(NETWORKDAYS(P69,P69,JoursFeries),MEDIAN(MOD(P69,1),HFer,HOuv),HFer)-IF(NETWORKDAYS(O69,O69,JoursFeries),MEDIAN(MOD(O69,1),HFer,HOuv),HOuv))*24,4))))</f>
        <v>2</v>
      </c>
      <c r="AV69" s="37" t="n">
        <f aca="false">IF(AO69&lt;&gt;1,"",IF(OR(P69="",Q69=""),"",IF(Q69&lt;P69,"",ROUND(((NETWORKDAYS(P69,Q69,JoursFeries)-1)*(HFer-HOuv)+IF(NETWORKDAYS(Q69,Q69,JoursFeries),MEDIAN(MOD(Q69,1),HFer,HOuv),HFer)-IF(NETWORKDAYS(P69,P69,JoursFeries),MEDIAN(MOD(P69,1),HFer,HOuv),HOuv))*24,4))))</f>
        <v>18.25</v>
      </c>
      <c r="AW69" s="37" t="n">
        <f aca="false">IF(AO69&lt;&gt;1,"",IFERROR(ROUND(IF(OR(P69="",R69=""),"",IF(R69&lt;P69,"",ROUND(((NETWORKDAYS(P69,R69,JoursFeries)-1)*(HFer-HOuv)+IF(NETWORKDAYS(R69,R69,JoursFeries),MEDIAN(MOD(R69,1),HFer,HOuv),HFer)-IF(NETWORKDAYS(P69,P69,JoursFeries),MEDIAN(MOD(P69,1),HFer,HOuv),HOuv))*24,4)))/HJour,4),""))</f>
        <v>15.2685</v>
      </c>
      <c r="AX69" s="37" t="n">
        <f aca="false">IF(AO69&lt;&gt;1,"",IFERROR(ROUND(IF(OR(P69="",S69=""),"",IF(S69&lt;P69,"",ROUND(((NETWORKDAYS(P69,S69,JoursFeries)-1)*(HFer-HOuv)+IF(NETWORKDAYS(S69,S69,JoursFeries),MEDIAN(MOD(S69,1),HFer,HOuv),HFer)-IF(NETWORKDAYS(P69,P69,JoursFeries),MEDIAN(MOD(P69,1),HFer,HOuv),HOuv))*24,4)))/HJour,4),""))</f>
        <v>25.1944</v>
      </c>
      <c r="AY69" s="36" t="n">
        <f aca="false">IF(OR(AO69&lt;&gt;1,AR69=""),"",INDEX(SLA_PEC,AR69))</f>
        <v>18</v>
      </c>
      <c r="AZ69" s="35" t="n">
        <f aca="false">IF(OR(AV69="",AY69=""),"",IF(AV69&lt;=AY69,1,0))</f>
        <v>0</v>
      </c>
      <c r="BA69" s="36" t="n">
        <f aca="false">IF(OR(AO69&lt;&gt;1,AR69=""),"",INDEX(SLA_RES,AR69))</f>
        <v>20</v>
      </c>
      <c r="BB69" s="35" t="n">
        <f aca="false">IF(OR(AW69="",BA69=""),"",IF(AW69&lt;=BA69,1,0))</f>
        <v>1</v>
      </c>
      <c r="BC69" s="38" t="n">
        <f aca="false">IF(OR(BA69="",P69=""),"",WORKDAY(INT(P69),BA69,JoursFeries)+MOD(P69,1))</f>
        <v>46244.6493055556</v>
      </c>
      <c r="BD69" s="39" t="n">
        <f aca="false">IF(AO69&lt;&gt;1,"",IF(OR(AB69&lt;&gt;"",AD69&lt;&gt;""),4,IF(U69&lt;&gt;"",3,IF(T69&lt;&gt;"",2,1))))</f>
        <v>1</v>
      </c>
      <c r="BE69" s="39" t="n">
        <f aca="false">IF(OR(AO69&lt;&gt;1,AR69=""),"",INDEX(NIV_REQ,AR69))</f>
        <v>1</v>
      </c>
      <c r="BF69" s="39" t="n">
        <f aca="false">IF(BE69="","",MAX(BE69,IF(OR(K69="Oui",Z69="Oui"),4,1)))</f>
        <v>1</v>
      </c>
      <c r="BG69" s="35" t="n">
        <f aca="false">IF(OR(BF69="",BD69=""),"",IF(BD69&gt;=BF69,1,0))</f>
        <v>1</v>
      </c>
      <c r="BH69" s="38" t="str">
        <f aca="false">IF(BE69="","",IF(BE69&lt;2,"",IF(BE69=2,IF(AND(T69="",U69=""),"",MIN(T69,U69)),IF(U69="","",U69))))</f>
        <v/>
      </c>
      <c r="BI69" s="37" t="str">
        <f aca="false">IF(BH69="","",IF(OR(O69="",BH69=""),"",IF(BH69&lt;O69,"",ROUND(((NETWORKDAYS(O69,BH69,JoursFeries)-1)*(HFer-HOuv)+IF(NETWORKDAYS(BH69,BH69,JoursFeries),MEDIAN(MOD(BH69,1),HFer,HOuv),HFer)-IF(NETWORKDAYS(O69,O69,JoursFeries),MEDIAN(MOD(O69,1),HFer,HOuv),HOuv))*24,4))))</f>
        <v/>
      </c>
      <c r="BJ69" s="35" t="str">
        <f aca="false">IF(OR(BI69="",AR69=""),"",IF(BI69&lt;=INDEX(DELAI_ESC,AR69),1,0))</f>
        <v/>
      </c>
      <c r="BK69" s="38" t="str">
        <f aca="false">IF(AO69&lt;&gt;1,"",IF(AND(T69="",U69=""),"",MIN(T69,U69)))</f>
        <v/>
      </c>
      <c r="BL69" s="37" t="str">
        <f aca="false">IF(OR(BK69="",R69=""),"",IFERROR(ROUND(IF(OR(BK69="",R69=""),"",IF(R69&lt;BK69,"",ROUND(((NETWORKDAYS(BK69,R69,JoursFeries)-1)*(HFer-HOuv)+IF(NETWORKDAYS(R69,R69,JoursFeries),MEDIAN(MOD(R69,1),HFer,HOuv),HFer)-IF(NETWORKDAYS(BK69,BK69,JoursFeries),MEDIAN(MOD(BK69,1),HFer,HOuv),HOuv))*24,4)))/HJour,4),""))</f>
        <v/>
      </c>
      <c r="BM69" s="35" t="n">
        <f aca="false">IF(OR(AO69&lt;&gt;1,R69=""),"",IF(BD69=1,1,0))</f>
        <v>1</v>
      </c>
      <c r="BN69" s="35" t="n">
        <f aca="false">IF(AO69&lt;&gt;1,"",IF(W69="Oui",1,0))</f>
        <v>0</v>
      </c>
      <c r="BO69" s="35" t="n">
        <f aca="false">IF(AO69&lt;&gt;1,"",IF(X69&lt;&gt;"",1,0))</f>
        <v>0</v>
      </c>
      <c r="BP69" s="35" t="n">
        <f aca="false">IF(AO69&lt;&gt;1,"",IF(Y69="Oui",1,0))</f>
        <v>0</v>
      </c>
      <c r="BQ69" s="35" t="str">
        <f aca="true">IF(OR(AO69&lt;&gt;1,Z69&lt;&gt;"Oui"),"",IF(AB69="",IF(AND(AA69&lt;&gt;"",NOW()&gt;AA69),0,""),IF(AA69="","",IF(AB69&lt;=AA69,1,0))))</f>
        <v/>
      </c>
      <c r="BR69" s="38" t="str">
        <f aca="false">IF(OR(AO69&lt;&gt;1,K69&lt;&gt;"Oui",O69=""),"",IF(AC69="",O69+DORA_H_DET/24,IF(AC69-O69&lt;=DORA_H_DET/24,MIN(AC69+DORA_H_CLA/24,O69+DORA_H_DET/24),AC69+DORA_H_CLA/24)))</f>
        <v/>
      </c>
      <c r="BS69" s="35" t="str">
        <f aca="true">IF(BR69="","",IF(AD69="",IF(NOW()&gt;BR69,0,""),IF(AD69&lt;=BR69,1,0)))</f>
        <v/>
      </c>
      <c r="BT69" s="35" t="str">
        <f aca="true">IF(OR(BR69="",AD69=""),"",IF(AE69="",IF(NOW()&gt;AD69+DORA_H_INT/24,0,""),IF(AE69&lt;=AD69+DORA_H_INT/24,1,0)))</f>
        <v/>
      </c>
      <c r="BU69" s="35" t="str">
        <f aca="true">IF(OR(BR69="",AE69=""),"",IF(AF69="",IF(NOW()&gt;EDATE(AE69,DORA_M_FIN)+1,0,""),IF(AF69&lt;=EDATE(AE69,DORA_M_FIN),1,0)))</f>
        <v/>
      </c>
      <c r="BV69" s="35" t="str">
        <f aca="false">IF(BR69="","",IF(COUNT(BS69:BU69)=0,"",MIN(BS69:BU69)))</f>
        <v/>
      </c>
      <c r="BW69" s="40" t="str">
        <f aca="false">IF(AQ69&lt;&gt;1,"",IF(AND(AG69="",AH69=""),"",N(AG69)-N(AH69)))</f>
        <v/>
      </c>
      <c r="BX69" s="35" t="str">
        <f aca="true">IF(OR(AQ69&lt;&gt;1,AI69&lt;&gt;"Oui",AJ69=""),"",IF(AK69="",IF(NOW()&gt;AJ69+1,0,""),IF(AK69&lt;=AJ69,1,0)))</f>
        <v/>
      </c>
    </row>
    <row r="70" customFormat="false" ht="15" hidden="false" customHeight="false" outlineLevel="0" collapsed="false">
      <c r="B70" s="29" t="s">
        <v>298</v>
      </c>
      <c r="C70" s="29" t="s">
        <v>178</v>
      </c>
      <c r="D70" s="29" t="s">
        <v>184</v>
      </c>
      <c r="E70" s="29" t="s">
        <v>162</v>
      </c>
      <c r="F70" s="29" t="s">
        <v>172</v>
      </c>
      <c r="G70" s="29" t="s">
        <v>180</v>
      </c>
      <c r="H70" s="29" t="s">
        <v>165</v>
      </c>
      <c r="I70" s="29" t="s">
        <v>186</v>
      </c>
      <c r="J70" s="29" t="s">
        <v>219</v>
      </c>
      <c r="K70" s="29" t="s">
        <v>168</v>
      </c>
      <c r="L70" s="29" t="s">
        <v>169</v>
      </c>
      <c r="M70" s="29" t="s">
        <v>182</v>
      </c>
      <c r="N70" s="30" t="n">
        <v>46213.5277777778</v>
      </c>
      <c r="O70" s="30" t="n">
        <v>46213.625</v>
      </c>
      <c r="P70" s="30" t="n">
        <v>46213.6666666667</v>
      </c>
      <c r="Q70" s="30" t="n">
        <v>46213.7222222222</v>
      </c>
      <c r="R70" s="30" t="n">
        <v>46216.6944444445</v>
      </c>
      <c r="S70" s="30" t="n">
        <v>46238.5555555556</v>
      </c>
      <c r="T70" s="30" t="n">
        <v>46216.4618055556</v>
      </c>
      <c r="U70" s="30" t="n">
        <v>46216.5381944445</v>
      </c>
      <c r="V70" s="31" t="n">
        <v>1</v>
      </c>
      <c r="W70" s="29" t="s">
        <v>189</v>
      </c>
      <c r="X70" s="29"/>
      <c r="Y70" s="29" t="s">
        <v>168</v>
      </c>
      <c r="Z70" s="29" t="s">
        <v>189</v>
      </c>
      <c r="AA70" s="30" t="n">
        <v>46215.75</v>
      </c>
      <c r="AB70" s="30" t="n">
        <v>46213.91875</v>
      </c>
      <c r="AC70" s="30"/>
      <c r="AD70" s="30"/>
      <c r="AE70" s="30"/>
      <c r="AF70" s="32"/>
      <c r="AG70" s="33"/>
      <c r="AH70" s="33"/>
      <c r="AI70" s="29" t="s">
        <v>189</v>
      </c>
      <c r="AJ70" s="32" t="n">
        <v>46254</v>
      </c>
      <c r="AK70" s="32" t="n">
        <v>46247</v>
      </c>
      <c r="AL70" s="29" t="s">
        <v>242</v>
      </c>
      <c r="AN70" s="34" t="str">
        <f aca="false">IF($B70="","",IF(OR(C70="",D70="",E70="",G70="",I70="",J70="",L70="",O70="",P70=""),"Champ obligatoire manquant",IF(OR(AND(N70&lt;&gt;"",N70&gt;O70),O70&gt;P70,AND(Q70&lt;&gt;"",Q70&lt;P70),AND(R70&lt;&gt;"",R70&lt;P70),AND(S70&lt;&gt;"",S70&lt;R70),AND(S70&lt;&gt;"",R70=""),AND(T70&lt;&gt;"",T70&lt;O70),AND(U70&lt;&gt;"",U70&lt;O70)),"Chronologie incohérente",IF(AND(OR(L70="Résolu",L70="Clos"),R70=""),"Date de résolution manquante",IF(AND(L70="Clos",S70=""),"Date de clôture manquante",IF(AND(K70="Oui",AC70=""),"Classification DORA manquante","OK"))))))</f>
        <v>OK</v>
      </c>
      <c r="AO70" s="35" t="n">
        <f aca="false">IF($B70="","",IF(AND(C70="Incident",L70&lt;&gt;"Annulé"),1,0))</f>
        <v>1</v>
      </c>
      <c r="AP70" s="35" t="n">
        <f aca="false">IF($B70="","",IF(AND(C70="Quasi-incident",L70&lt;&gt;"Annulé"),1,0))</f>
        <v>0</v>
      </c>
      <c r="AQ70" s="35" t="n">
        <f aca="false">IF($B70="","",AO70+AP70)</f>
        <v>1</v>
      </c>
      <c r="AR70" s="36" t="n">
        <f aca="false">IF(OR($B70="",J70=""),"",IFERROR(VALUE(LEFT(J70,1)),""))</f>
        <v>2</v>
      </c>
      <c r="AS70" s="35" t="n">
        <f aca="false">IF(OR(AO70&lt;&gt;1,G70=""),"",IFERROR(IF(INDEX(L_SrcInterne,MATCH(G70,L_Sources,0))="Oui",1,0),""))</f>
        <v>1</v>
      </c>
      <c r="AT70" s="37" t="n">
        <f aca="false">IF(AO70&lt;&gt;1,"",IFERROR(ROUND(IF(OR(N70="",O70=""),"",IF(O70&lt;N70,"",ROUND(((NETWORKDAYS(N70,O70,JoursFeries)-1)*(HFer-HOuv)+IF(NETWORKDAYS(O70,O70,JoursFeries),MEDIAN(MOD(O70,1),HFer,HOuv),HFer)-IF(NETWORKDAYS(N70,N70,JoursFeries),MEDIAN(MOD(N70,1),HFer,HOuv),HOuv))*24,4)))/HJour,4),""))</f>
        <v>0.2593</v>
      </c>
      <c r="AU70" s="37" t="n">
        <f aca="false">IF(AO70&lt;&gt;1,"",IF(OR(O70="",P70=""),"",IF(P70&lt;O70,"",ROUND(((NETWORKDAYS(O70,P70,JoursFeries)-1)*(HFer-HOuv)+IF(NETWORKDAYS(P70,P70,JoursFeries),MEDIAN(MOD(P70,1),HFer,HOuv),HFer)-IF(NETWORKDAYS(O70,O70,JoursFeries),MEDIAN(MOD(O70,1),HFer,HOuv),HOuv))*24,4))))</f>
        <v>1</v>
      </c>
      <c r="AV70" s="37" t="n">
        <f aca="false">IF(AO70&lt;&gt;1,"",IF(OR(P70="",Q70=""),"",IF(Q70&lt;P70,"",ROUND(((NETWORKDAYS(P70,Q70,JoursFeries)-1)*(HFer-HOuv)+IF(NETWORKDAYS(Q70,Q70,JoursFeries),MEDIAN(MOD(Q70,1),HFer,HOuv),HFer)-IF(NETWORKDAYS(P70,P70,JoursFeries),MEDIAN(MOD(P70,1),HFer,HOuv),HOuv))*24,4))))</f>
        <v>1.3333</v>
      </c>
      <c r="AW70" s="37" t="n">
        <f aca="false">IF(AO70&lt;&gt;1,"",IFERROR(ROUND(IF(OR(P70="",R70=""),"",IF(R70&lt;P70,"",ROUND(((NETWORKDAYS(P70,R70,JoursFeries)-1)*(HFer-HOuv)+IF(NETWORKDAYS(R70,R70,JoursFeries),MEDIAN(MOD(R70,1),HFer,HOuv),HFer)-IF(NETWORKDAYS(P70,P70,JoursFeries),MEDIAN(MOD(P70,1),HFer,HOuv),HOuv))*24,4)))/HJour,4),""))</f>
        <v>1.0741</v>
      </c>
      <c r="AX70" s="37" t="n">
        <f aca="false">IF(AO70&lt;&gt;1,"",IFERROR(ROUND(IF(OR(P70="",S70=""),"",IF(S70&lt;P70,"",ROUND(((NETWORKDAYS(P70,S70,JoursFeries)-1)*(HFer-HOuv)+IF(NETWORKDAYS(S70,S70,JoursFeries),MEDIAN(MOD(S70,1),HFer,HOuv),HFer)-IF(NETWORKDAYS(P70,P70,JoursFeries),MEDIAN(MOD(P70,1),HFer,HOuv),HOuv))*24,4)))/HJour,4),""))</f>
        <v>15.7037</v>
      </c>
      <c r="AY70" s="36" t="n">
        <f aca="false">IF(OR(AO70&lt;&gt;1,AR70=""),"",INDEX(SLA_PEC,AR70))</f>
        <v>2</v>
      </c>
      <c r="AZ70" s="35" t="n">
        <f aca="false">IF(OR(AV70="",AY70=""),"",IF(AV70&lt;=AY70,1,0))</f>
        <v>1</v>
      </c>
      <c r="BA70" s="36" t="n">
        <f aca="false">IF(OR(AO70&lt;&gt;1,AR70=""),"",INDEX(SLA_RES,AR70))</f>
        <v>3</v>
      </c>
      <c r="BB70" s="35" t="n">
        <f aca="false">IF(OR(AW70="",BA70=""),"",IF(AW70&lt;=BA70,1,0))</f>
        <v>1</v>
      </c>
      <c r="BC70" s="38" t="n">
        <f aca="false">IF(OR(BA70="",P70=""),"",WORKDAY(INT(P70),BA70,JoursFeries)+MOD(P70,1))</f>
        <v>46219.6666666667</v>
      </c>
      <c r="BD70" s="39" t="n">
        <f aca="false">IF(AO70&lt;&gt;1,"",IF(OR(AB70&lt;&gt;"",AD70&lt;&gt;""),4,IF(U70&lt;&gt;"",3,IF(T70&lt;&gt;"",2,1))))</f>
        <v>4</v>
      </c>
      <c r="BE70" s="39" t="n">
        <f aca="false">IF(OR(AO70&lt;&gt;1,AR70=""),"",INDEX(NIV_REQ,AR70))</f>
        <v>2</v>
      </c>
      <c r="BF70" s="39" t="n">
        <f aca="false">IF(BE70="","",MAX(BE70,IF(OR(K70="Oui",Z70="Oui"),4,1)))</f>
        <v>4</v>
      </c>
      <c r="BG70" s="35" t="n">
        <f aca="false">IF(OR(BF70="",BD70=""),"",IF(BD70&gt;=BF70,1,0))</f>
        <v>1</v>
      </c>
      <c r="BH70" s="38" t="n">
        <f aca="false">IF(BE70="","",IF(BE70&lt;2,"",IF(BE70=2,IF(AND(T70="",U70=""),"",MIN(T70,U70)),IF(U70="","",U70))))</f>
        <v>46216.4618055556</v>
      </c>
      <c r="BI70" s="37" t="n">
        <f aca="false">IF(BH70="","",IF(OR(O70="",BH70=""),"",IF(BH70&lt;O70,"",ROUND(((NETWORKDAYS(O70,BH70,JoursFeries)-1)*(HFer-HOuv)+IF(NETWORKDAYS(BH70,BH70,JoursFeries),MEDIAN(MOD(BH70,1),HFer,HOuv),HFer)-IF(NETWORKDAYS(O70,O70,JoursFeries),MEDIAN(MOD(O70,1),HFer,HOuv),HOuv))*24,4))))</f>
        <v>5.0833</v>
      </c>
      <c r="BJ70" s="35" t="n">
        <f aca="false">IF(OR(BI70="",AR70=""),"",IF(BI70&lt;=INDEX(DELAI_ESC,AR70),1,0))</f>
        <v>0</v>
      </c>
      <c r="BK70" s="38" t="n">
        <f aca="false">IF(AO70&lt;&gt;1,"",IF(AND(T70="",U70=""),"",MIN(T70,U70)))</f>
        <v>46216.4618055556</v>
      </c>
      <c r="BL70" s="37" t="n">
        <f aca="false">IF(OR(BK70="",R70=""),"",IFERROR(ROUND(IF(OR(BK70="",R70=""),"",IF(R70&lt;BK70,"",ROUND(((NETWORKDAYS(BK70,R70,JoursFeries)-1)*(HFer-HOuv)+IF(NETWORKDAYS(R70,R70,JoursFeries),MEDIAN(MOD(R70,1),HFer,HOuv),HFer)-IF(NETWORKDAYS(BK70,BK70,JoursFeries),MEDIAN(MOD(BK70,1),HFer,HOuv),HOuv))*24,4)))/HJour,4),""))</f>
        <v>0.6204</v>
      </c>
      <c r="BM70" s="35" t="n">
        <f aca="false">IF(OR(AO70&lt;&gt;1,R70=""),"",IF(BD70=1,1,0))</f>
        <v>0</v>
      </c>
      <c r="BN70" s="35" t="n">
        <f aca="false">IF(AO70&lt;&gt;1,"",IF(W70="Oui",1,0))</f>
        <v>1</v>
      </c>
      <c r="BO70" s="35" t="n">
        <f aca="false">IF(AO70&lt;&gt;1,"",IF(X70&lt;&gt;"",1,0))</f>
        <v>0</v>
      </c>
      <c r="BP70" s="35" t="n">
        <f aca="false">IF(AO70&lt;&gt;1,"",IF(Y70="Oui",1,0))</f>
        <v>0</v>
      </c>
      <c r="BQ70" s="35" t="n">
        <f aca="true">IF(OR(AO70&lt;&gt;1,Z70&lt;&gt;"Oui"),"",IF(AB70="",IF(AND(AA70&lt;&gt;"",NOW()&gt;AA70),0,""),IF(AA70="","",IF(AB70&lt;=AA70,1,0))))</f>
        <v>1</v>
      </c>
      <c r="BR70" s="38" t="str">
        <f aca="false">IF(OR(AO70&lt;&gt;1,K70&lt;&gt;"Oui",O70=""),"",IF(AC70="",O70+DORA_H_DET/24,IF(AC70-O70&lt;=DORA_H_DET/24,MIN(AC70+DORA_H_CLA/24,O70+DORA_H_DET/24),AC70+DORA_H_CLA/24)))</f>
        <v/>
      </c>
      <c r="BS70" s="35" t="str">
        <f aca="true">IF(BR70="","",IF(AD70="",IF(NOW()&gt;BR70,0,""),IF(AD70&lt;=BR70,1,0)))</f>
        <v/>
      </c>
      <c r="BT70" s="35" t="str">
        <f aca="true">IF(OR(BR70="",AD70=""),"",IF(AE70="",IF(NOW()&gt;AD70+DORA_H_INT/24,0,""),IF(AE70&lt;=AD70+DORA_H_INT/24,1,0)))</f>
        <v/>
      </c>
      <c r="BU70" s="35" t="str">
        <f aca="true">IF(OR(BR70="",AE70=""),"",IF(AF70="",IF(NOW()&gt;EDATE(AE70,DORA_M_FIN)+1,0,""),IF(AF70&lt;=EDATE(AE70,DORA_M_FIN),1,0)))</f>
        <v/>
      </c>
      <c r="BV70" s="35" t="str">
        <f aca="false">IF(BR70="","",IF(COUNT(BS70:BU70)=0,"",MIN(BS70:BU70)))</f>
        <v/>
      </c>
      <c r="BW70" s="40" t="str">
        <f aca="false">IF(AQ70&lt;&gt;1,"",IF(AND(AG70="",AH70=""),"",N(AG70)-N(AH70)))</f>
        <v/>
      </c>
      <c r="BX70" s="35" t="n">
        <f aca="true">IF(OR(AQ70&lt;&gt;1,AI70&lt;&gt;"Oui",AJ70=""),"",IF(AK70="",IF(NOW()&gt;AJ70+1,0,""),IF(AK70&lt;=AJ70,1,0)))</f>
        <v>1</v>
      </c>
    </row>
    <row r="71" customFormat="false" ht="15" hidden="false" customHeight="false" outlineLevel="0" collapsed="false">
      <c r="B71" s="29" t="s">
        <v>299</v>
      </c>
      <c r="C71" s="29" t="s">
        <v>160</v>
      </c>
      <c r="D71" s="29" t="s">
        <v>198</v>
      </c>
      <c r="E71" s="29" t="s">
        <v>254</v>
      </c>
      <c r="F71" s="29" t="s">
        <v>172</v>
      </c>
      <c r="G71" s="29" t="s">
        <v>180</v>
      </c>
      <c r="H71" s="29"/>
      <c r="I71" s="29" t="s">
        <v>262</v>
      </c>
      <c r="J71" s="29" t="s">
        <v>167</v>
      </c>
      <c r="K71" s="29" t="s">
        <v>168</v>
      </c>
      <c r="L71" s="29" t="s">
        <v>169</v>
      </c>
      <c r="M71" s="29" t="s">
        <v>174</v>
      </c>
      <c r="N71" s="30" t="n">
        <v>46209.6527777778</v>
      </c>
      <c r="O71" s="30" t="n">
        <v>46213.6527777778</v>
      </c>
      <c r="P71" s="30" t="n">
        <v>46213.6944444445</v>
      </c>
      <c r="Q71" s="30" t="n">
        <v>46216.5763888889</v>
      </c>
      <c r="R71" s="30" t="n">
        <v>46223.6701388889</v>
      </c>
      <c r="S71" s="30" t="n">
        <v>46225.375</v>
      </c>
      <c r="T71" s="30"/>
      <c r="U71" s="30"/>
      <c r="V71" s="31" t="n">
        <v>0</v>
      </c>
      <c r="W71" s="29" t="s">
        <v>168</v>
      </c>
      <c r="X71" s="29"/>
      <c r="Y71" s="29" t="s">
        <v>168</v>
      </c>
      <c r="Z71" s="29" t="s">
        <v>168</v>
      </c>
      <c r="AA71" s="30"/>
      <c r="AB71" s="30"/>
      <c r="AC71" s="30"/>
      <c r="AD71" s="30"/>
      <c r="AE71" s="30"/>
      <c r="AF71" s="32"/>
      <c r="AG71" s="33"/>
      <c r="AH71" s="33"/>
      <c r="AI71" s="29" t="s">
        <v>168</v>
      </c>
      <c r="AJ71" s="32"/>
      <c r="AK71" s="32"/>
      <c r="AL71" s="29"/>
      <c r="AN71" s="34" t="str">
        <f aca="false">IF($B71="","",IF(OR(C71="",D71="",E71="",G71="",I71="",J71="",L71="",O71="",P71=""),"Champ obligatoire manquant",IF(OR(AND(N71&lt;&gt;"",N71&gt;O71),O71&gt;P71,AND(Q71&lt;&gt;"",Q71&lt;P71),AND(R71&lt;&gt;"",R71&lt;P71),AND(S71&lt;&gt;"",S71&lt;R71),AND(S71&lt;&gt;"",R71=""),AND(T71&lt;&gt;"",T71&lt;O71),AND(U71&lt;&gt;"",U71&lt;O71)),"Chronologie incohérente",IF(AND(OR(L71="Résolu",L71="Clos"),R71=""),"Date de résolution manquante",IF(AND(L71="Clos",S71=""),"Date de clôture manquante",IF(AND(K71="Oui",AC71=""),"Classification DORA manquante","OK"))))))</f>
        <v>OK</v>
      </c>
      <c r="AO71" s="35" t="n">
        <f aca="false">IF($B71="","",IF(AND(C71="Incident",L71&lt;&gt;"Annulé"),1,0))</f>
        <v>0</v>
      </c>
      <c r="AP71" s="35" t="n">
        <f aca="false">IF($B71="","",IF(AND(C71="Quasi-incident",L71&lt;&gt;"Annulé"),1,0))</f>
        <v>1</v>
      </c>
      <c r="AQ71" s="35" t="n">
        <f aca="false">IF($B71="","",AO71+AP71)</f>
        <v>1</v>
      </c>
      <c r="AR71" s="36" t="n">
        <f aca="false">IF(OR($B71="",J71=""),"",IFERROR(VALUE(LEFT(J71,1)),""))</f>
        <v>3</v>
      </c>
      <c r="AS71" s="35" t="str">
        <f aca="false">IF(OR(AO71&lt;&gt;1,G71=""),"",IFERROR(IF(INDEX(L_SrcInterne,MATCH(G71,L_Sources,0))="Oui",1,0),""))</f>
        <v/>
      </c>
      <c r="AT71" s="37" t="str">
        <f aca="false">IF(AO71&lt;&gt;1,"",IFERROR(ROUND(IF(OR(N71="",O71=""),"",IF(O71&lt;N71,"",ROUND(((NETWORKDAYS(N71,O71,JoursFeries)-1)*(HFer-HOuv)+IF(NETWORKDAYS(O71,O71,JoursFeries),MEDIAN(MOD(O71,1),HFer,HOuv),HFer)-IF(NETWORKDAYS(N71,N71,JoursFeries),MEDIAN(MOD(N71,1),HFer,HOuv),HOuv))*24,4)))/HJour,4),""))</f>
        <v/>
      </c>
      <c r="AU71" s="37" t="str">
        <f aca="false">IF(AO71&lt;&gt;1,"",IF(OR(O71="",P71=""),"",IF(P71&lt;O71,"",ROUND(((NETWORKDAYS(O71,P71,JoursFeries)-1)*(HFer-HOuv)+IF(NETWORKDAYS(P71,P71,JoursFeries),MEDIAN(MOD(P71,1),HFer,HOuv),HFer)-IF(NETWORKDAYS(O71,O71,JoursFeries),MEDIAN(MOD(O71,1),HFer,HOuv),HOuv))*24,4))))</f>
        <v/>
      </c>
      <c r="AV71" s="37" t="str">
        <f aca="false">IF(AO71&lt;&gt;1,"",IF(OR(P71="",Q71=""),"",IF(Q71&lt;P71,"",ROUND(((NETWORKDAYS(P71,Q71,JoursFeries)-1)*(HFer-HOuv)+IF(NETWORKDAYS(Q71,Q71,JoursFeries),MEDIAN(MOD(Q71,1),HFer,HOuv),HFer)-IF(NETWORKDAYS(P71,P71,JoursFeries),MEDIAN(MOD(P71,1),HFer,HOuv),HOuv))*24,4))))</f>
        <v/>
      </c>
      <c r="AW71" s="37" t="str">
        <f aca="false">IF(AO71&lt;&gt;1,"",IFERROR(ROUND(IF(OR(P71="",R71=""),"",IF(R71&lt;P71,"",ROUND(((NETWORKDAYS(P71,R71,JoursFeries)-1)*(HFer-HOuv)+IF(NETWORKDAYS(R71,R71,JoursFeries),MEDIAN(MOD(R71,1),HFer,HOuv),HFer)-IF(NETWORKDAYS(P71,P71,JoursFeries),MEDIAN(MOD(P71,1),HFer,HOuv),HOuv))*24,4)))/HJour,4),""))</f>
        <v/>
      </c>
      <c r="AX71" s="37" t="str">
        <f aca="false">IF(AO71&lt;&gt;1,"",IFERROR(ROUND(IF(OR(P71="",S71=""),"",IF(S71&lt;P71,"",ROUND(((NETWORKDAYS(P71,S71,JoursFeries)-1)*(HFer-HOuv)+IF(NETWORKDAYS(S71,S71,JoursFeries),MEDIAN(MOD(S71,1),HFer,HOuv),HFer)-IF(NETWORKDAYS(P71,P71,JoursFeries),MEDIAN(MOD(P71,1),HFer,HOuv),HOuv))*24,4)))/HJour,4),""))</f>
        <v/>
      </c>
      <c r="AY71" s="36" t="str">
        <f aca="false">IF(OR(AO71&lt;&gt;1,AR71=""),"",INDEX(SLA_PEC,AR71))</f>
        <v/>
      </c>
      <c r="AZ71" s="35" t="str">
        <f aca="false">IF(OR(AV71="",AY71=""),"",IF(AV71&lt;=AY71,1,0))</f>
        <v/>
      </c>
      <c r="BA71" s="36" t="str">
        <f aca="false">IF(OR(AO71&lt;&gt;1,AR71=""),"",INDEX(SLA_RES,AR71))</f>
        <v/>
      </c>
      <c r="BB71" s="35" t="str">
        <f aca="false">IF(OR(AW71="",BA71=""),"",IF(AW71&lt;=BA71,1,0))</f>
        <v/>
      </c>
      <c r="BC71" s="38" t="str">
        <f aca="false">IF(OR(BA71="",P71=""),"",WORKDAY(INT(P71),BA71,JoursFeries)+MOD(P71,1))</f>
        <v/>
      </c>
      <c r="BD71" s="39" t="str">
        <f aca="false">IF(AO71&lt;&gt;1,"",IF(OR(AB71&lt;&gt;"",AD71&lt;&gt;""),4,IF(U71&lt;&gt;"",3,IF(T71&lt;&gt;"",2,1))))</f>
        <v/>
      </c>
      <c r="BE71" s="39" t="str">
        <f aca="false">IF(OR(AO71&lt;&gt;1,AR71=""),"",INDEX(NIV_REQ,AR71))</f>
        <v/>
      </c>
      <c r="BF71" s="39" t="str">
        <f aca="false">IF(BE71="","",MAX(BE71,IF(OR(K71="Oui",Z71="Oui"),4,1)))</f>
        <v/>
      </c>
      <c r="BG71" s="35" t="str">
        <f aca="false">IF(OR(BF71="",BD71=""),"",IF(BD71&gt;=BF71,1,0))</f>
        <v/>
      </c>
      <c r="BH71" s="38" t="str">
        <f aca="false">IF(BE71="","",IF(BE71&lt;2,"",IF(BE71=2,IF(AND(T71="",U71=""),"",MIN(T71,U71)),IF(U71="","",U71))))</f>
        <v/>
      </c>
      <c r="BI71" s="37" t="str">
        <f aca="false">IF(BH71="","",IF(OR(O71="",BH71=""),"",IF(BH71&lt;O71,"",ROUND(((NETWORKDAYS(O71,BH71,JoursFeries)-1)*(HFer-HOuv)+IF(NETWORKDAYS(BH71,BH71,JoursFeries),MEDIAN(MOD(BH71,1),HFer,HOuv),HFer)-IF(NETWORKDAYS(O71,O71,JoursFeries),MEDIAN(MOD(O71,1),HFer,HOuv),HOuv))*24,4))))</f>
        <v/>
      </c>
      <c r="BJ71" s="35" t="str">
        <f aca="false">IF(OR(BI71="",AR71=""),"",IF(BI71&lt;=INDEX(DELAI_ESC,AR71),1,0))</f>
        <v/>
      </c>
      <c r="BK71" s="38" t="str">
        <f aca="false">IF(AO71&lt;&gt;1,"",IF(AND(T71="",U71=""),"",MIN(T71,U71)))</f>
        <v/>
      </c>
      <c r="BL71" s="37" t="str">
        <f aca="false">IF(OR(BK71="",R71=""),"",IFERROR(ROUND(IF(OR(BK71="",R71=""),"",IF(R71&lt;BK71,"",ROUND(((NETWORKDAYS(BK71,R71,JoursFeries)-1)*(HFer-HOuv)+IF(NETWORKDAYS(R71,R71,JoursFeries),MEDIAN(MOD(R71,1),HFer,HOuv),HFer)-IF(NETWORKDAYS(BK71,BK71,JoursFeries),MEDIAN(MOD(BK71,1),HFer,HOuv),HOuv))*24,4)))/HJour,4),""))</f>
        <v/>
      </c>
      <c r="BM71" s="35" t="str">
        <f aca="false">IF(OR(AO71&lt;&gt;1,R71=""),"",IF(BD71=1,1,0))</f>
        <v/>
      </c>
      <c r="BN71" s="35" t="str">
        <f aca="false">IF(AO71&lt;&gt;1,"",IF(W71="Oui",1,0))</f>
        <v/>
      </c>
      <c r="BO71" s="35" t="str">
        <f aca="false">IF(AO71&lt;&gt;1,"",IF(X71&lt;&gt;"",1,0))</f>
        <v/>
      </c>
      <c r="BP71" s="35" t="str">
        <f aca="false">IF(AO71&lt;&gt;1,"",IF(Y71="Oui",1,0))</f>
        <v/>
      </c>
      <c r="BQ71" s="35" t="str">
        <f aca="true">IF(OR(AO71&lt;&gt;1,Z71&lt;&gt;"Oui"),"",IF(AB71="",IF(AND(AA71&lt;&gt;"",NOW()&gt;AA71),0,""),IF(AA71="","",IF(AB71&lt;=AA71,1,0))))</f>
        <v/>
      </c>
      <c r="BR71" s="38" t="str">
        <f aca="false">IF(OR(AO71&lt;&gt;1,K71&lt;&gt;"Oui",O71=""),"",IF(AC71="",O71+DORA_H_DET/24,IF(AC71-O71&lt;=DORA_H_DET/24,MIN(AC71+DORA_H_CLA/24,O71+DORA_H_DET/24),AC71+DORA_H_CLA/24)))</f>
        <v/>
      </c>
      <c r="BS71" s="35" t="str">
        <f aca="true">IF(BR71="","",IF(AD71="",IF(NOW()&gt;BR71,0,""),IF(AD71&lt;=BR71,1,0)))</f>
        <v/>
      </c>
      <c r="BT71" s="35" t="str">
        <f aca="true">IF(OR(BR71="",AD71=""),"",IF(AE71="",IF(NOW()&gt;AD71+DORA_H_INT/24,0,""),IF(AE71&lt;=AD71+DORA_H_INT/24,1,0)))</f>
        <v/>
      </c>
      <c r="BU71" s="35" t="str">
        <f aca="true">IF(OR(BR71="",AE71=""),"",IF(AF71="",IF(NOW()&gt;EDATE(AE71,DORA_M_FIN)+1,0,""),IF(AF71&lt;=EDATE(AE71,DORA_M_FIN),1,0)))</f>
        <v/>
      </c>
      <c r="BV71" s="35" t="str">
        <f aca="false">IF(BR71="","",IF(COUNT(BS71:BU71)=0,"",MIN(BS71:BU71)))</f>
        <v/>
      </c>
      <c r="BW71" s="40" t="str">
        <f aca="false">IF(AQ71&lt;&gt;1,"",IF(AND(AG71="",AH71=""),"",N(AG71)-N(AH71)))</f>
        <v/>
      </c>
      <c r="BX71" s="35" t="str">
        <f aca="true">IF(OR(AQ71&lt;&gt;1,AI71&lt;&gt;"Oui",AJ71=""),"",IF(AK71="",IF(NOW()&gt;AJ71+1,0,""),IF(AK71&lt;=AJ71,1,0)))</f>
        <v/>
      </c>
    </row>
    <row r="72" customFormat="false" ht="15" hidden="false" customHeight="false" outlineLevel="0" collapsed="false">
      <c r="B72" s="29" t="s">
        <v>300</v>
      </c>
      <c r="C72" s="29" t="s">
        <v>178</v>
      </c>
      <c r="D72" s="29" t="s">
        <v>184</v>
      </c>
      <c r="E72" s="29" t="s">
        <v>269</v>
      </c>
      <c r="F72" s="29" t="s">
        <v>163</v>
      </c>
      <c r="G72" s="29" t="s">
        <v>180</v>
      </c>
      <c r="H72" s="29"/>
      <c r="I72" s="29" t="s">
        <v>274</v>
      </c>
      <c r="J72" s="29" t="s">
        <v>219</v>
      </c>
      <c r="K72" s="29" t="s">
        <v>168</v>
      </c>
      <c r="L72" s="29" t="s">
        <v>169</v>
      </c>
      <c r="M72" s="29" t="s">
        <v>182</v>
      </c>
      <c r="N72" s="30" t="n">
        <v>46218.4652777778</v>
      </c>
      <c r="O72" s="30" t="n">
        <v>46218.4930555556</v>
      </c>
      <c r="P72" s="30" t="n">
        <v>46218.5243055556</v>
      </c>
      <c r="Q72" s="30" t="n">
        <v>46218.5590277778</v>
      </c>
      <c r="R72" s="30" t="n">
        <v>46220.4375</v>
      </c>
      <c r="S72" s="30" t="n">
        <v>46226.5520833333</v>
      </c>
      <c r="T72" s="30" t="n">
        <v>46218.5173611111</v>
      </c>
      <c r="U72" s="30" t="n">
        <v>46219.5659722222</v>
      </c>
      <c r="V72" s="31" t="n">
        <v>0</v>
      </c>
      <c r="W72" s="29" t="s">
        <v>168</v>
      </c>
      <c r="X72" s="29"/>
      <c r="Y72" s="29" t="s">
        <v>189</v>
      </c>
      <c r="Z72" s="29" t="s">
        <v>168</v>
      </c>
      <c r="AA72" s="30"/>
      <c r="AB72" s="30"/>
      <c r="AC72" s="30"/>
      <c r="AD72" s="30"/>
      <c r="AE72" s="30"/>
      <c r="AF72" s="32"/>
      <c r="AG72" s="33" t="n">
        <v>58700</v>
      </c>
      <c r="AH72" s="33" t="n">
        <v>0</v>
      </c>
      <c r="AI72" s="29" t="s">
        <v>189</v>
      </c>
      <c r="AJ72" s="32" t="n">
        <v>46243</v>
      </c>
      <c r="AK72" s="32" t="n">
        <v>46241</v>
      </c>
      <c r="AL72" s="29"/>
      <c r="AN72" s="34" t="str">
        <f aca="false">IF($B72="","",IF(OR(C72="",D72="",E72="",G72="",I72="",J72="",L72="",O72="",P72=""),"Champ obligatoire manquant",IF(OR(AND(N72&lt;&gt;"",N72&gt;O72),O72&gt;P72,AND(Q72&lt;&gt;"",Q72&lt;P72),AND(R72&lt;&gt;"",R72&lt;P72),AND(S72&lt;&gt;"",S72&lt;R72),AND(S72&lt;&gt;"",R72=""),AND(T72&lt;&gt;"",T72&lt;O72),AND(U72&lt;&gt;"",U72&lt;O72)),"Chronologie incohérente",IF(AND(OR(L72="Résolu",L72="Clos"),R72=""),"Date de résolution manquante",IF(AND(L72="Clos",S72=""),"Date de clôture manquante",IF(AND(K72="Oui",AC72=""),"Classification DORA manquante","OK"))))))</f>
        <v>OK</v>
      </c>
      <c r="AO72" s="35" t="n">
        <f aca="false">IF($B72="","",IF(AND(C72="Incident",L72&lt;&gt;"Annulé"),1,0))</f>
        <v>1</v>
      </c>
      <c r="AP72" s="35" t="n">
        <f aca="false">IF($B72="","",IF(AND(C72="Quasi-incident",L72&lt;&gt;"Annulé"),1,0))</f>
        <v>0</v>
      </c>
      <c r="AQ72" s="35" t="n">
        <f aca="false">IF($B72="","",AO72+AP72)</f>
        <v>1</v>
      </c>
      <c r="AR72" s="36" t="n">
        <f aca="false">IF(OR($B72="",J72=""),"",IFERROR(VALUE(LEFT(J72,1)),""))</f>
        <v>2</v>
      </c>
      <c r="AS72" s="35" t="n">
        <f aca="false">IF(OR(AO72&lt;&gt;1,G72=""),"",IFERROR(IF(INDEX(L_SrcInterne,MATCH(G72,L_Sources,0))="Oui",1,0),""))</f>
        <v>1</v>
      </c>
      <c r="AT72" s="37" t="n">
        <f aca="false">IF(AO72&lt;&gt;1,"",IFERROR(ROUND(IF(OR(N72="",O72=""),"",IF(O72&lt;N72,"",ROUND(((NETWORKDAYS(N72,O72,JoursFeries)-1)*(HFer-HOuv)+IF(NETWORKDAYS(O72,O72,JoursFeries),MEDIAN(MOD(O72,1),HFer,HOuv),HFer)-IF(NETWORKDAYS(N72,N72,JoursFeries),MEDIAN(MOD(N72,1),HFer,HOuv),HOuv))*24,4)))/HJour,4),""))</f>
        <v>0.0741</v>
      </c>
      <c r="AU72" s="37" t="n">
        <f aca="false">IF(AO72&lt;&gt;1,"",IF(OR(O72="",P72=""),"",IF(P72&lt;O72,"",ROUND(((NETWORKDAYS(O72,P72,JoursFeries)-1)*(HFer-HOuv)+IF(NETWORKDAYS(P72,P72,JoursFeries),MEDIAN(MOD(P72,1),HFer,HOuv),HFer)-IF(NETWORKDAYS(O72,O72,JoursFeries),MEDIAN(MOD(O72,1),HFer,HOuv),HOuv))*24,4))))</f>
        <v>0.75</v>
      </c>
      <c r="AV72" s="37" t="n">
        <f aca="false">IF(AO72&lt;&gt;1,"",IF(OR(P72="",Q72=""),"",IF(Q72&lt;P72,"",ROUND(((NETWORKDAYS(P72,Q72,JoursFeries)-1)*(HFer-HOuv)+IF(NETWORKDAYS(Q72,Q72,JoursFeries),MEDIAN(MOD(Q72,1),HFer,HOuv),HFer)-IF(NETWORKDAYS(P72,P72,JoursFeries),MEDIAN(MOD(P72,1),HFer,HOuv),HOuv))*24,4))))</f>
        <v>0.8333</v>
      </c>
      <c r="AW72" s="37" t="n">
        <f aca="false">IF(AO72&lt;&gt;1,"",IFERROR(ROUND(IF(OR(P72="",R72=""),"",IF(R72&lt;P72,"",ROUND(((NETWORKDAYS(P72,R72,JoursFeries)-1)*(HFer-HOuv)+IF(NETWORKDAYS(R72,R72,JoursFeries),MEDIAN(MOD(R72,1),HFer,HOuv),HFer)-IF(NETWORKDAYS(P72,P72,JoursFeries),MEDIAN(MOD(P72,1),HFer,HOuv),HOuv))*24,4)))/HJour,4),""))</f>
        <v>1.7685</v>
      </c>
      <c r="AX72" s="37" t="n">
        <f aca="false">IF(AO72&lt;&gt;1,"",IFERROR(ROUND(IF(OR(P72="",S72=""),"",IF(S72&lt;P72,"",ROUND(((NETWORKDAYS(P72,S72,JoursFeries)-1)*(HFer-HOuv)+IF(NETWORKDAYS(S72,S72,JoursFeries),MEDIAN(MOD(S72,1),HFer,HOuv),HFer)-IF(NETWORKDAYS(P72,P72,JoursFeries),MEDIAN(MOD(P72,1),HFer,HOuv),HOuv))*24,4)))/HJour,4),""))</f>
        <v>6.0741</v>
      </c>
      <c r="AY72" s="36" t="n">
        <f aca="false">IF(OR(AO72&lt;&gt;1,AR72=""),"",INDEX(SLA_PEC,AR72))</f>
        <v>2</v>
      </c>
      <c r="AZ72" s="35" t="n">
        <f aca="false">IF(OR(AV72="",AY72=""),"",IF(AV72&lt;=AY72,1,0))</f>
        <v>1</v>
      </c>
      <c r="BA72" s="36" t="n">
        <f aca="false">IF(OR(AO72&lt;&gt;1,AR72=""),"",INDEX(SLA_RES,AR72))</f>
        <v>3</v>
      </c>
      <c r="BB72" s="35" t="n">
        <f aca="false">IF(OR(AW72="",BA72=""),"",IF(AW72&lt;=BA72,1,0))</f>
        <v>1</v>
      </c>
      <c r="BC72" s="38" t="n">
        <f aca="false">IF(OR(BA72="",P72=""),"",WORKDAY(INT(P72),BA72,JoursFeries)+MOD(P72,1))</f>
        <v>46223.5243055556</v>
      </c>
      <c r="BD72" s="39" t="n">
        <f aca="false">IF(AO72&lt;&gt;1,"",IF(OR(AB72&lt;&gt;"",AD72&lt;&gt;""),4,IF(U72&lt;&gt;"",3,IF(T72&lt;&gt;"",2,1))))</f>
        <v>3</v>
      </c>
      <c r="BE72" s="39" t="n">
        <f aca="false">IF(OR(AO72&lt;&gt;1,AR72=""),"",INDEX(NIV_REQ,AR72))</f>
        <v>2</v>
      </c>
      <c r="BF72" s="39" t="n">
        <f aca="false">IF(BE72="","",MAX(BE72,IF(OR(K72="Oui",Z72="Oui"),4,1)))</f>
        <v>2</v>
      </c>
      <c r="BG72" s="35" t="n">
        <f aca="false">IF(OR(BF72="",BD72=""),"",IF(BD72&gt;=BF72,1,0))</f>
        <v>1</v>
      </c>
      <c r="BH72" s="38" t="n">
        <f aca="false">IF(BE72="","",IF(BE72&lt;2,"",IF(BE72=2,IF(AND(T72="",U72=""),"",MIN(T72,U72)),IF(U72="","",U72))))</f>
        <v>46218.5173611111</v>
      </c>
      <c r="BI72" s="37" t="n">
        <f aca="false">IF(BH72="","",IF(OR(O72="",BH72=""),"",IF(BH72&lt;O72,"",ROUND(((NETWORKDAYS(O72,BH72,JoursFeries)-1)*(HFer-HOuv)+IF(NETWORKDAYS(BH72,BH72,JoursFeries),MEDIAN(MOD(BH72,1),HFer,HOuv),HFer)-IF(NETWORKDAYS(O72,O72,JoursFeries),MEDIAN(MOD(O72,1),HFer,HOuv),HOuv))*24,4))))</f>
        <v>0.5833</v>
      </c>
      <c r="BJ72" s="35" t="n">
        <f aca="false">IF(OR(BI72="",AR72=""),"",IF(BI72&lt;=INDEX(DELAI_ESC,AR72),1,0))</f>
        <v>1</v>
      </c>
      <c r="BK72" s="38" t="n">
        <f aca="false">IF(AO72&lt;&gt;1,"",IF(AND(T72="",U72=""),"",MIN(T72,U72)))</f>
        <v>46218.5173611111</v>
      </c>
      <c r="BL72" s="37" t="n">
        <f aca="false">IF(OR(BK72="",R72=""),"",IFERROR(ROUND(IF(OR(BK72="",R72=""),"",IF(R72&lt;BK72,"",ROUND(((NETWORKDAYS(BK72,R72,JoursFeries)-1)*(HFer-HOuv)+IF(NETWORKDAYS(R72,R72,JoursFeries),MEDIAN(MOD(R72,1),HFer,HOuv),HFer)-IF(NETWORKDAYS(BK72,BK72,JoursFeries),MEDIAN(MOD(BK72,1),HFer,HOuv),HOuv))*24,4)))/HJour,4),""))</f>
        <v>1.787</v>
      </c>
      <c r="BM72" s="35" t="n">
        <f aca="false">IF(OR(AO72&lt;&gt;1,R72=""),"",IF(BD72=1,1,0))</f>
        <v>0</v>
      </c>
      <c r="BN72" s="35" t="n">
        <f aca="false">IF(AO72&lt;&gt;1,"",IF(W72="Oui",1,0))</f>
        <v>0</v>
      </c>
      <c r="BO72" s="35" t="n">
        <f aca="false">IF(AO72&lt;&gt;1,"",IF(X72&lt;&gt;"",1,0))</f>
        <v>0</v>
      </c>
      <c r="BP72" s="35" t="n">
        <f aca="false">IF(AO72&lt;&gt;1,"",IF(Y72="Oui",1,0))</f>
        <v>1</v>
      </c>
      <c r="BQ72" s="35" t="str">
        <f aca="true">IF(OR(AO72&lt;&gt;1,Z72&lt;&gt;"Oui"),"",IF(AB72="",IF(AND(AA72&lt;&gt;"",NOW()&gt;AA72),0,""),IF(AA72="","",IF(AB72&lt;=AA72,1,0))))</f>
        <v/>
      </c>
      <c r="BR72" s="38" t="str">
        <f aca="false">IF(OR(AO72&lt;&gt;1,K72&lt;&gt;"Oui",O72=""),"",IF(AC72="",O72+DORA_H_DET/24,IF(AC72-O72&lt;=DORA_H_DET/24,MIN(AC72+DORA_H_CLA/24,O72+DORA_H_DET/24),AC72+DORA_H_CLA/24)))</f>
        <v/>
      </c>
      <c r="BS72" s="35" t="str">
        <f aca="true">IF(BR72="","",IF(AD72="",IF(NOW()&gt;BR72,0,""),IF(AD72&lt;=BR72,1,0)))</f>
        <v/>
      </c>
      <c r="BT72" s="35" t="str">
        <f aca="true">IF(OR(BR72="",AD72=""),"",IF(AE72="",IF(NOW()&gt;AD72+DORA_H_INT/24,0,""),IF(AE72&lt;=AD72+DORA_H_INT/24,1,0)))</f>
        <v/>
      </c>
      <c r="BU72" s="35" t="str">
        <f aca="true">IF(OR(BR72="",AE72=""),"",IF(AF72="",IF(NOW()&gt;EDATE(AE72,DORA_M_FIN)+1,0,""),IF(AF72&lt;=EDATE(AE72,DORA_M_FIN),1,0)))</f>
        <v/>
      </c>
      <c r="BV72" s="35" t="str">
        <f aca="false">IF(BR72="","",IF(COUNT(BS72:BU72)=0,"",MIN(BS72:BU72)))</f>
        <v/>
      </c>
      <c r="BW72" s="40" t="n">
        <f aca="false">IF(AQ72&lt;&gt;1,"",IF(AND(AG72="",AH72=""),"",N(AG72)-N(AH72)))</f>
        <v>58700</v>
      </c>
      <c r="BX72" s="35" t="n">
        <f aca="true">IF(OR(AQ72&lt;&gt;1,AI72&lt;&gt;"Oui",AJ72=""),"",IF(AK72="",IF(NOW()&gt;AJ72+1,0,""),IF(AK72&lt;=AJ72,1,0)))</f>
        <v>1</v>
      </c>
    </row>
    <row r="73" customFormat="false" ht="15" hidden="false" customHeight="false" outlineLevel="0" collapsed="false">
      <c r="B73" s="29" t="s">
        <v>301</v>
      </c>
      <c r="C73" s="29" t="s">
        <v>178</v>
      </c>
      <c r="D73" s="29" t="s">
        <v>198</v>
      </c>
      <c r="E73" s="29" t="s">
        <v>203</v>
      </c>
      <c r="F73" s="29" t="s">
        <v>204</v>
      </c>
      <c r="G73" s="29" t="s">
        <v>211</v>
      </c>
      <c r="H73" s="29" t="s">
        <v>182</v>
      </c>
      <c r="I73" s="29" t="s">
        <v>228</v>
      </c>
      <c r="J73" s="29" t="s">
        <v>219</v>
      </c>
      <c r="K73" s="29" t="s">
        <v>168</v>
      </c>
      <c r="L73" s="29" t="s">
        <v>169</v>
      </c>
      <c r="M73" s="29" t="s">
        <v>182</v>
      </c>
      <c r="N73" s="30" t="n">
        <v>46219.2743055556</v>
      </c>
      <c r="O73" s="30" t="n">
        <v>46219.4965277778</v>
      </c>
      <c r="P73" s="30" t="n">
        <v>46219.5381944445</v>
      </c>
      <c r="Q73" s="30" t="n">
        <v>46219.5798611111</v>
      </c>
      <c r="R73" s="30" t="n">
        <v>46224.6493055556</v>
      </c>
      <c r="S73" s="30" t="n">
        <v>46246.6354166667</v>
      </c>
      <c r="T73" s="30" t="n">
        <v>46219.6493055556</v>
      </c>
      <c r="U73" s="30" t="n">
        <v>46219.6319444445</v>
      </c>
      <c r="V73" s="31" t="n">
        <v>2</v>
      </c>
      <c r="W73" s="29" t="s">
        <v>168</v>
      </c>
      <c r="X73" s="29"/>
      <c r="Y73" s="29" t="s">
        <v>189</v>
      </c>
      <c r="Z73" s="29" t="s">
        <v>189</v>
      </c>
      <c r="AA73" s="30" t="n">
        <v>46221.75</v>
      </c>
      <c r="AB73" s="30" t="n">
        <v>46220.3131944445</v>
      </c>
      <c r="AC73" s="30"/>
      <c r="AD73" s="30"/>
      <c r="AE73" s="30"/>
      <c r="AF73" s="32"/>
      <c r="AG73" s="33"/>
      <c r="AH73" s="33"/>
      <c r="AI73" s="29" t="s">
        <v>189</v>
      </c>
      <c r="AJ73" s="32" t="n">
        <v>46239</v>
      </c>
      <c r="AK73" s="32" t="n">
        <v>46229</v>
      </c>
      <c r="AL73" s="29"/>
      <c r="AN73" s="34" t="str">
        <f aca="false">IF($B73="","",IF(OR(C73="",D73="",E73="",G73="",I73="",J73="",L73="",O73="",P73=""),"Champ obligatoire manquant",IF(OR(AND(N73&lt;&gt;"",N73&gt;O73),O73&gt;P73,AND(Q73&lt;&gt;"",Q73&lt;P73),AND(R73&lt;&gt;"",R73&lt;P73),AND(S73&lt;&gt;"",S73&lt;R73),AND(S73&lt;&gt;"",R73=""),AND(T73&lt;&gt;"",T73&lt;O73),AND(U73&lt;&gt;"",U73&lt;O73)),"Chronologie incohérente",IF(AND(OR(L73="Résolu",L73="Clos"),R73=""),"Date de résolution manquante",IF(AND(L73="Clos",S73=""),"Date de clôture manquante",IF(AND(K73="Oui",AC73=""),"Classification DORA manquante","OK"))))))</f>
        <v>OK</v>
      </c>
      <c r="AO73" s="35" t="n">
        <f aca="false">IF($B73="","",IF(AND(C73="Incident",L73&lt;&gt;"Annulé"),1,0))</f>
        <v>1</v>
      </c>
      <c r="AP73" s="35" t="n">
        <f aca="false">IF($B73="","",IF(AND(C73="Quasi-incident",L73&lt;&gt;"Annulé"),1,0))</f>
        <v>0</v>
      </c>
      <c r="AQ73" s="35" t="n">
        <f aca="false">IF($B73="","",AO73+AP73)</f>
        <v>1</v>
      </c>
      <c r="AR73" s="36" t="n">
        <f aca="false">IF(OR($B73="",J73=""),"",IFERROR(VALUE(LEFT(J73,1)),""))</f>
        <v>2</v>
      </c>
      <c r="AS73" s="35" t="n">
        <f aca="false">IF(OR(AO73&lt;&gt;1,G73=""),"",IFERROR(IF(INDEX(L_SrcInterne,MATCH(G73,L_Sources,0))="Oui",1,0),""))</f>
        <v>1</v>
      </c>
      <c r="AT73" s="37" t="n">
        <f aca="false">IF(AO73&lt;&gt;1,"",IFERROR(ROUND(IF(OR(N73="",O73=""),"",IF(O73&lt;N73,"",ROUND(((NETWORKDAYS(N73,O73,JoursFeries)-1)*(HFer-HOuv)+IF(NETWORKDAYS(O73,O73,JoursFeries),MEDIAN(MOD(O73,1),HFer,HOuv),HFer)-IF(NETWORKDAYS(N73,N73,JoursFeries),MEDIAN(MOD(N73,1),HFer,HOuv),HOuv))*24,4)))/HJour,4),""))</f>
        <v>0.3241</v>
      </c>
      <c r="AU73" s="37" t="n">
        <f aca="false">IF(AO73&lt;&gt;1,"",IF(OR(O73="",P73=""),"",IF(P73&lt;O73,"",ROUND(((NETWORKDAYS(O73,P73,JoursFeries)-1)*(HFer-HOuv)+IF(NETWORKDAYS(P73,P73,JoursFeries),MEDIAN(MOD(P73,1),HFer,HOuv),HFer)-IF(NETWORKDAYS(O73,O73,JoursFeries),MEDIAN(MOD(O73,1),HFer,HOuv),HOuv))*24,4))))</f>
        <v>1</v>
      </c>
      <c r="AV73" s="37" t="n">
        <f aca="false">IF(AO73&lt;&gt;1,"",IF(OR(P73="",Q73=""),"",IF(Q73&lt;P73,"",ROUND(((NETWORKDAYS(P73,Q73,JoursFeries)-1)*(HFer-HOuv)+IF(NETWORKDAYS(Q73,Q73,JoursFeries),MEDIAN(MOD(Q73,1),HFer,HOuv),HFer)-IF(NETWORKDAYS(P73,P73,JoursFeries),MEDIAN(MOD(P73,1),HFer,HOuv),HOuv))*24,4))))</f>
        <v>1</v>
      </c>
      <c r="AW73" s="37" t="n">
        <f aca="false">IF(AO73&lt;&gt;1,"",IFERROR(ROUND(IF(OR(P73="",R73=""),"",IF(R73&lt;P73,"",ROUND(((NETWORKDAYS(P73,R73,JoursFeries)-1)*(HFer-HOuv)+IF(NETWORKDAYS(R73,R73,JoursFeries),MEDIAN(MOD(R73,1),HFer,HOuv),HFer)-IF(NETWORKDAYS(P73,P73,JoursFeries),MEDIAN(MOD(P73,1),HFer,HOuv),HOuv))*24,4)))/HJour,4),""))</f>
        <v>3.2963</v>
      </c>
      <c r="AX73" s="37" t="n">
        <f aca="false">IF(AO73&lt;&gt;1,"",IFERROR(ROUND(IF(OR(P73="",S73=""),"",IF(S73&lt;P73,"",ROUND(((NETWORKDAYS(P73,S73,JoursFeries)-1)*(HFer-HOuv)+IF(NETWORKDAYS(S73,S73,JoursFeries),MEDIAN(MOD(S73,1),HFer,HOuv),HFer)-IF(NETWORKDAYS(P73,P73,JoursFeries),MEDIAN(MOD(P73,1),HFer,HOuv),HOuv))*24,4)))/HJour,4),""))</f>
        <v>19.2593</v>
      </c>
      <c r="AY73" s="36" t="n">
        <f aca="false">IF(OR(AO73&lt;&gt;1,AR73=""),"",INDEX(SLA_PEC,AR73))</f>
        <v>2</v>
      </c>
      <c r="AZ73" s="35" t="n">
        <f aca="false">IF(OR(AV73="",AY73=""),"",IF(AV73&lt;=AY73,1,0))</f>
        <v>1</v>
      </c>
      <c r="BA73" s="36" t="n">
        <f aca="false">IF(OR(AO73&lt;&gt;1,AR73=""),"",INDEX(SLA_RES,AR73))</f>
        <v>3</v>
      </c>
      <c r="BB73" s="35" t="n">
        <f aca="false">IF(OR(AW73="",BA73=""),"",IF(AW73&lt;=BA73,1,0))</f>
        <v>0</v>
      </c>
      <c r="BC73" s="38" t="n">
        <f aca="false">IF(OR(BA73="",P73=""),"",WORKDAY(INT(P73),BA73,JoursFeries)+MOD(P73,1))</f>
        <v>46224.5381944445</v>
      </c>
      <c r="BD73" s="39" t="n">
        <f aca="false">IF(AO73&lt;&gt;1,"",IF(OR(AB73&lt;&gt;"",AD73&lt;&gt;""),4,IF(U73&lt;&gt;"",3,IF(T73&lt;&gt;"",2,1))))</f>
        <v>4</v>
      </c>
      <c r="BE73" s="39" t="n">
        <f aca="false">IF(OR(AO73&lt;&gt;1,AR73=""),"",INDEX(NIV_REQ,AR73))</f>
        <v>2</v>
      </c>
      <c r="BF73" s="39" t="n">
        <f aca="false">IF(BE73="","",MAX(BE73,IF(OR(K73="Oui",Z73="Oui"),4,1)))</f>
        <v>4</v>
      </c>
      <c r="BG73" s="35" t="n">
        <f aca="false">IF(OR(BF73="",BD73=""),"",IF(BD73&gt;=BF73,1,0))</f>
        <v>1</v>
      </c>
      <c r="BH73" s="38" t="n">
        <f aca="false">IF(BE73="","",IF(BE73&lt;2,"",IF(BE73=2,IF(AND(T73="",U73=""),"",MIN(T73,U73)),IF(U73="","",U73))))</f>
        <v>46219.6319444445</v>
      </c>
      <c r="BI73" s="37" t="n">
        <f aca="false">IF(BH73="","",IF(OR(O73="",BH73=""),"",IF(BH73&lt;O73,"",ROUND(((NETWORKDAYS(O73,BH73,JoursFeries)-1)*(HFer-HOuv)+IF(NETWORKDAYS(BH73,BH73,JoursFeries),MEDIAN(MOD(BH73,1),HFer,HOuv),HFer)-IF(NETWORKDAYS(O73,O73,JoursFeries),MEDIAN(MOD(O73,1),HFer,HOuv),HOuv))*24,4))))</f>
        <v>3.25</v>
      </c>
      <c r="BJ73" s="35" t="n">
        <f aca="false">IF(OR(BI73="",AR73=""),"",IF(BI73&lt;=INDEX(DELAI_ESC,AR73),1,0))</f>
        <v>1</v>
      </c>
      <c r="BK73" s="38" t="n">
        <f aca="false">IF(AO73&lt;&gt;1,"",IF(AND(T73="",U73=""),"",MIN(T73,U73)))</f>
        <v>46219.6319444445</v>
      </c>
      <c r="BL73" s="37" t="n">
        <f aca="false">IF(OR(BK73="",R73=""),"",IFERROR(ROUND(IF(OR(BK73="",R73=""),"",IF(R73&lt;BK73,"",ROUND(((NETWORKDAYS(BK73,R73,JoursFeries)-1)*(HFer-HOuv)+IF(NETWORKDAYS(R73,R73,JoursFeries),MEDIAN(MOD(R73,1),HFer,HOuv),HFer)-IF(NETWORKDAYS(BK73,BK73,JoursFeries),MEDIAN(MOD(BK73,1),HFer,HOuv),HOuv))*24,4)))/HJour,4),""))</f>
        <v>3.0463</v>
      </c>
      <c r="BM73" s="35" t="n">
        <f aca="false">IF(OR(AO73&lt;&gt;1,R73=""),"",IF(BD73=1,1,0))</f>
        <v>0</v>
      </c>
      <c r="BN73" s="35" t="n">
        <f aca="false">IF(AO73&lt;&gt;1,"",IF(W73="Oui",1,0))</f>
        <v>0</v>
      </c>
      <c r="BO73" s="35" t="n">
        <f aca="false">IF(AO73&lt;&gt;1,"",IF(X73&lt;&gt;"",1,0))</f>
        <v>0</v>
      </c>
      <c r="BP73" s="35" t="n">
        <f aca="false">IF(AO73&lt;&gt;1,"",IF(Y73="Oui",1,0))</f>
        <v>1</v>
      </c>
      <c r="BQ73" s="35" t="n">
        <f aca="true">IF(OR(AO73&lt;&gt;1,Z73&lt;&gt;"Oui"),"",IF(AB73="",IF(AND(AA73&lt;&gt;"",NOW()&gt;AA73),0,""),IF(AA73="","",IF(AB73&lt;=AA73,1,0))))</f>
        <v>1</v>
      </c>
      <c r="BR73" s="38" t="str">
        <f aca="false">IF(OR(AO73&lt;&gt;1,K73&lt;&gt;"Oui",O73=""),"",IF(AC73="",O73+DORA_H_DET/24,IF(AC73-O73&lt;=DORA_H_DET/24,MIN(AC73+DORA_H_CLA/24,O73+DORA_H_DET/24),AC73+DORA_H_CLA/24)))</f>
        <v/>
      </c>
      <c r="BS73" s="35" t="str">
        <f aca="true">IF(BR73="","",IF(AD73="",IF(NOW()&gt;BR73,0,""),IF(AD73&lt;=BR73,1,0)))</f>
        <v/>
      </c>
      <c r="BT73" s="35" t="str">
        <f aca="true">IF(OR(BR73="",AD73=""),"",IF(AE73="",IF(NOW()&gt;AD73+DORA_H_INT/24,0,""),IF(AE73&lt;=AD73+DORA_H_INT/24,1,0)))</f>
        <v/>
      </c>
      <c r="BU73" s="35" t="str">
        <f aca="true">IF(OR(BR73="",AE73=""),"",IF(AF73="",IF(NOW()&gt;EDATE(AE73,DORA_M_FIN)+1,0,""),IF(AF73&lt;=EDATE(AE73,DORA_M_FIN),1,0)))</f>
        <v/>
      </c>
      <c r="BV73" s="35" t="str">
        <f aca="false">IF(BR73="","",IF(COUNT(BS73:BU73)=0,"",MIN(BS73:BU73)))</f>
        <v/>
      </c>
      <c r="BW73" s="40" t="str">
        <f aca="false">IF(AQ73&lt;&gt;1,"",IF(AND(AG73="",AH73=""),"",N(AG73)-N(AH73)))</f>
        <v/>
      </c>
      <c r="BX73" s="35" t="n">
        <f aca="true">IF(OR(AQ73&lt;&gt;1,AI73&lt;&gt;"Oui",AJ73=""),"",IF(AK73="",IF(NOW()&gt;AJ73+1,0,""),IF(AK73&lt;=AJ73,1,0)))</f>
        <v>1</v>
      </c>
    </row>
    <row r="74" customFormat="false" ht="15" hidden="false" customHeight="false" outlineLevel="0" collapsed="false">
      <c r="B74" s="29" t="s">
        <v>302</v>
      </c>
      <c r="C74" s="29" t="s">
        <v>178</v>
      </c>
      <c r="D74" s="29" t="s">
        <v>161</v>
      </c>
      <c r="E74" s="29" t="s">
        <v>269</v>
      </c>
      <c r="F74" s="29" t="s">
        <v>172</v>
      </c>
      <c r="G74" s="29" t="s">
        <v>211</v>
      </c>
      <c r="H74" s="29"/>
      <c r="I74" s="29" t="s">
        <v>274</v>
      </c>
      <c r="J74" s="29" t="s">
        <v>167</v>
      </c>
      <c r="K74" s="29" t="s">
        <v>168</v>
      </c>
      <c r="L74" s="29" t="s">
        <v>169</v>
      </c>
      <c r="M74" s="29" t="s">
        <v>206</v>
      </c>
      <c r="N74" s="30" t="n">
        <v>46220.1701388889</v>
      </c>
      <c r="O74" s="30" t="n">
        <v>46220.3784722222</v>
      </c>
      <c r="P74" s="30" t="n">
        <v>46220.4201388889</v>
      </c>
      <c r="Q74" s="30" t="n">
        <v>46220.7361111111</v>
      </c>
      <c r="R74" s="30" t="n">
        <v>46225.6076388889</v>
      </c>
      <c r="S74" s="30" t="n">
        <v>46255.5625</v>
      </c>
      <c r="T74" s="30"/>
      <c r="U74" s="30"/>
      <c r="V74" s="31" t="n">
        <v>0</v>
      </c>
      <c r="W74" s="29" t="s">
        <v>168</v>
      </c>
      <c r="X74" s="29" t="s">
        <v>300</v>
      </c>
      <c r="Y74" s="29" t="s">
        <v>168</v>
      </c>
      <c r="Z74" s="29" t="s">
        <v>168</v>
      </c>
      <c r="AA74" s="30"/>
      <c r="AB74" s="30"/>
      <c r="AC74" s="30"/>
      <c r="AD74" s="30"/>
      <c r="AE74" s="30"/>
      <c r="AF74" s="32"/>
      <c r="AG74" s="33"/>
      <c r="AH74" s="33"/>
      <c r="AI74" s="29" t="s">
        <v>168</v>
      </c>
      <c r="AJ74" s="32"/>
      <c r="AK74" s="32"/>
      <c r="AL74" s="29"/>
      <c r="AN74" s="34" t="str">
        <f aca="false">IF($B74="","",IF(OR(C74="",D74="",E74="",G74="",I74="",J74="",L74="",O74="",P74=""),"Champ obligatoire manquant",IF(OR(AND(N74&lt;&gt;"",N74&gt;O74),O74&gt;P74,AND(Q74&lt;&gt;"",Q74&lt;P74),AND(R74&lt;&gt;"",R74&lt;P74),AND(S74&lt;&gt;"",S74&lt;R74),AND(S74&lt;&gt;"",R74=""),AND(T74&lt;&gt;"",T74&lt;O74),AND(U74&lt;&gt;"",U74&lt;O74)),"Chronologie incohérente",IF(AND(OR(L74="Résolu",L74="Clos"),R74=""),"Date de résolution manquante",IF(AND(L74="Clos",S74=""),"Date de clôture manquante",IF(AND(K74="Oui",AC74=""),"Classification DORA manquante","OK"))))))</f>
        <v>OK</v>
      </c>
      <c r="AO74" s="35" t="n">
        <f aca="false">IF($B74="","",IF(AND(C74="Incident",L74&lt;&gt;"Annulé"),1,0))</f>
        <v>1</v>
      </c>
      <c r="AP74" s="35" t="n">
        <f aca="false">IF($B74="","",IF(AND(C74="Quasi-incident",L74&lt;&gt;"Annulé"),1,0))</f>
        <v>0</v>
      </c>
      <c r="AQ74" s="35" t="n">
        <f aca="false">IF($B74="","",AO74+AP74)</f>
        <v>1</v>
      </c>
      <c r="AR74" s="36" t="n">
        <f aca="false">IF(OR($B74="",J74=""),"",IFERROR(VALUE(LEFT(J74,1)),""))</f>
        <v>3</v>
      </c>
      <c r="AS74" s="35" t="n">
        <f aca="false">IF(OR(AO74&lt;&gt;1,G74=""),"",IFERROR(IF(INDEX(L_SrcInterne,MATCH(G74,L_Sources,0))="Oui",1,0),""))</f>
        <v>1</v>
      </c>
      <c r="AT74" s="37" t="n">
        <f aca="false">IF(AO74&lt;&gt;1,"",IFERROR(ROUND(IF(OR(N74="",O74=""),"",IF(O74&lt;N74,"",ROUND(((NETWORKDAYS(N74,O74,JoursFeries)-1)*(HFer-HOuv)+IF(NETWORKDAYS(O74,O74,JoursFeries),MEDIAN(MOD(O74,1),HFer,HOuv),HFer)-IF(NETWORKDAYS(N74,N74,JoursFeries),MEDIAN(MOD(N74,1),HFer,HOuv),HOuv))*24,4)))/HJour,4),""))</f>
        <v>0.0093</v>
      </c>
      <c r="AU74" s="37" t="n">
        <f aca="false">IF(AO74&lt;&gt;1,"",IF(OR(O74="",P74=""),"",IF(P74&lt;O74,"",ROUND(((NETWORKDAYS(O74,P74,JoursFeries)-1)*(HFer-HOuv)+IF(NETWORKDAYS(P74,P74,JoursFeries),MEDIAN(MOD(P74,1),HFer,HOuv),HFer)-IF(NETWORKDAYS(O74,O74,JoursFeries),MEDIAN(MOD(O74,1),HFer,HOuv),HOuv))*24,4))))</f>
        <v>1</v>
      </c>
      <c r="AV74" s="37" t="n">
        <f aca="false">IF(AO74&lt;&gt;1,"",IF(OR(P74="",Q74=""),"",IF(Q74&lt;P74,"",ROUND(((NETWORKDAYS(P74,Q74,JoursFeries)-1)*(HFer-HOuv)+IF(NETWORKDAYS(Q74,Q74,JoursFeries),MEDIAN(MOD(Q74,1),HFer,HOuv),HFer)-IF(NETWORKDAYS(P74,P74,JoursFeries),MEDIAN(MOD(P74,1),HFer,HOuv),HOuv))*24,4))))</f>
        <v>7.5833</v>
      </c>
      <c r="AW74" s="37" t="n">
        <f aca="false">IF(AO74&lt;&gt;1,"",IFERROR(ROUND(IF(OR(P74="",R74=""),"",IF(R74&lt;P74,"",ROUND(((NETWORKDAYS(P74,R74,JoursFeries)-1)*(HFer-HOuv)+IF(NETWORKDAYS(R74,R74,JoursFeries),MEDIAN(MOD(R74,1),HFer,HOuv),HFer)-IF(NETWORKDAYS(P74,P74,JoursFeries),MEDIAN(MOD(P74,1),HFer,HOuv),HOuv))*24,4)))/HJour,4),""))</f>
        <v>3.5</v>
      </c>
      <c r="AX74" s="37" t="n">
        <f aca="false">IF(AO74&lt;&gt;1,"",IFERROR(ROUND(IF(OR(P74="",S74=""),"",IF(S74&lt;P74,"",ROUND(((NETWORKDAYS(P74,S74,JoursFeries)-1)*(HFer-HOuv)+IF(NETWORKDAYS(S74,S74,JoursFeries),MEDIAN(MOD(S74,1),HFer,HOuv),HFer)-IF(NETWORKDAYS(P74,P74,JoursFeries),MEDIAN(MOD(P74,1),HFer,HOuv),HOuv))*24,4)))/HJour,4),""))</f>
        <v>25.3796</v>
      </c>
      <c r="AY74" s="36" t="n">
        <f aca="false">IF(OR(AO74&lt;&gt;1,AR74=""),"",INDEX(SLA_PEC,AR74))</f>
        <v>9</v>
      </c>
      <c r="AZ74" s="35" t="n">
        <f aca="false">IF(OR(AV74="",AY74=""),"",IF(AV74&lt;=AY74,1,0))</f>
        <v>1</v>
      </c>
      <c r="BA74" s="36" t="n">
        <f aca="false">IF(OR(AO74&lt;&gt;1,AR74=""),"",INDEX(SLA_RES,AR74))</f>
        <v>10</v>
      </c>
      <c r="BB74" s="35" t="n">
        <f aca="false">IF(OR(AW74="",BA74=""),"",IF(AW74&lt;=BA74,1,0))</f>
        <v>1</v>
      </c>
      <c r="BC74" s="38" t="n">
        <f aca="false">IF(OR(BA74="",P74=""),"",WORKDAY(INT(P74),BA74,JoursFeries)+MOD(P74,1))</f>
        <v>46234.4201388889</v>
      </c>
      <c r="BD74" s="39" t="n">
        <f aca="false">IF(AO74&lt;&gt;1,"",IF(OR(AB74&lt;&gt;"",AD74&lt;&gt;""),4,IF(U74&lt;&gt;"",3,IF(T74&lt;&gt;"",2,1))))</f>
        <v>1</v>
      </c>
      <c r="BE74" s="39" t="n">
        <f aca="false">IF(OR(AO74&lt;&gt;1,AR74=""),"",INDEX(NIV_REQ,AR74))</f>
        <v>1</v>
      </c>
      <c r="BF74" s="39" t="n">
        <f aca="false">IF(BE74="","",MAX(BE74,IF(OR(K74="Oui",Z74="Oui"),4,1)))</f>
        <v>1</v>
      </c>
      <c r="BG74" s="35" t="n">
        <f aca="false">IF(OR(BF74="",BD74=""),"",IF(BD74&gt;=BF74,1,0))</f>
        <v>1</v>
      </c>
      <c r="BH74" s="38" t="str">
        <f aca="false">IF(BE74="","",IF(BE74&lt;2,"",IF(BE74=2,IF(AND(T74="",U74=""),"",MIN(T74,U74)),IF(U74="","",U74))))</f>
        <v/>
      </c>
      <c r="BI74" s="37" t="str">
        <f aca="false">IF(BH74="","",IF(OR(O74="",BH74=""),"",IF(BH74&lt;O74,"",ROUND(((NETWORKDAYS(O74,BH74,JoursFeries)-1)*(HFer-HOuv)+IF(NETWORKDAYS(BH74,BH74,JoursFeries),MEDIAN(MOD(BH74,1),HFer,HOuv),HFer)-IF(NETWORKDAYS(O74,O74,JoursFeries),MEDIAN(MOD(O74,1),HFer,HOuv),HOuv))*24,4))))</f>
        <v/>
      </c>
      <c r="BJ74" s="35" t="str">
        <f aca="false">IF(OR(BI74="",AR74=""),"",IF(BI74&lt;=INDEX(DELAI_ESC,AR74),1,0))</f>
        <v/>
      </c>
      <c r="BK74" s="38" t="str">
        <f aca="false">IF(AO74&lt;&gt;1,"",IF(AND(T74="",U74=""),"",MIN(T74,U74)))</f>
        <v/>
      </c>
      <c r="BL74" s="37" t="str">
        <f aca="false">IF(OR(BK74="",R74=""),"",IFERROR(ROUND(IF(OR(BK74="",R74=""),"",IF(R74&lt;BK74,"",ROUND(((NETWORKDAYS(BK74,R74,JoursFeries)-1)*(HFer-HOuv)+IF(NETWORKDAYS(R74,R74,JoursFeries),MEDIAN(MOD(R74,1),HFer,HOuv),HFer)-IF(NETWORKDAYS(BK74,BK74,JoursFeries),MEDIAN(MOD(BK74,1),HFer,HOuv),HOuv))*24,4)))/HJour,4),""))</f>
        <v/>
      </c>
      <c r="BM74" s="35" t="n">
        <f aca="false">IF(OR(AO74&lt;&gt;1,R74=""),"",IF(BD74=1,1,0))</f>
        <v>1</v>
      </c>
      <c r="BN74" s="35" t="n">
        <f aca="false">IF(AO74&lt;&gt;1,"",IF(W74="Oui",1,0))</f>
        <v>0</v>
      </c>
      <c r="BO74" s="35" t="n">
        <f aca="false">IF(AO74&lt;&gt;1,"",IF(X74&lt;&gt;"",1,0))</f>
        <v>1</v>
      </c>
      <c r="BP74" s="35" t="n">
        <f aca="false">IF(AO74&lt;&gt;1,"",IF(Y74="Oui",1,0))</f>
        <v>0</v>
      </c>
      <c r="BQ74" s="35" t="str">
        <f aca="true">IF(OR(AO74&lt;&gt;1,Z74&lt;&gt;"Oui"),"",IF(AB74="",IF(AND(AA74&lt;&gt;"",NOW()&gt;AA74),0,""),IF(AA74="","",IF(AB74&lt;=AA74,1,0))))</f>
        <v/>
      </c>
      <c r="BR74" s="38" t="str">
        <f aca="false">IF(OR(AO74&lt;&gt;1,K74&lt;&gt;"Oui",O74=""),"",IF(AC74="",O74+DORA_H_DET/24,IF(AC74-O74&lt;=DORA_H_DET/24,MIN(AC74+DORA_H_CLA/24,O74+DORA_H_DET/24),AC74+DORA_H_CLA/24)))</f>
        <v/>
      </c>
      <c r="BS74" s="35" t="str">
        <f aca="true">IF(BR74="","",IF(AD74="",IF(NOW()&gt;BR74,0,""),IF(AD74&lt;=BR74,1,0)))</f>
        <v/>
      </c>
      <c r="BT74" s="35" t="str">
        <f aca="true">IF(OR(BR74="",AD74=""),"",IF(AE74="",IF(NOW()&gt;AD74+DORA_H_INT/24,0,""),IF(AE74&lt;=AD74+DORA_H_INT/24,1,0)))</f>
        <v/>
      </c>
      <c r="BU74" s="35" t="str">
        <f aca="true">IF(OR(BR74="",AE74=""),"",IF(AF74="",IF(NOW()&gt;EDATE(AE74,DORA_M_FIN)+1,0,""),IF(AF74&lt;=EDATE(AE74,DORA_M_FIN),1,0)))</f>
        <v/>
      </c>
      <c r="BV74" s="35" t="str">
        <f aca="false">IF(BR74="","",IF(COUNT(BS74:BU74)=0,"",MIN(BS74:BU74)))</f>
        <v/>
      </c>
      <c r="BW74" s="40" t="str">
        <f aca="false">IF(AQ74&lt;&gt;1,"",IF(AND(AG74="",AH74=""),"",N(AG74)-N(AH74)))</f>
        <v/>
      </c>
      <c r="BX74" s="35" t="str">
        <f aca="true">IF(OR(AQ74&lt;&gt;1,AI74&lt;&gt;"Oui",AJ74=""),"",IF(AK74="",IF(NOW()&gt;AJ74+1,0,""),IF(AK74&lt;=AJ74,1,0)))</f>
        <v/>
      </c>
    </row>
    <row r="75" customFormat="false" ht="15" hidden="false" customHeight="false" outlineLevel="0" collapsed="false">
      <c r="B75" s="29" t="s">
        <v>303</v>
      </c>
      <c r="C75" s="29" t="s">
        <v>178</v>
      </c>
      <c r="D75" s="29" t="s">
        <v>224</v>
      </c>
      <c r="E75" s="29" t="s">
        <v>221</v>
      </c>
      <c r="F75" s="29" t="s">
        <v>172</v>
      </c>
      <c r="G75" s="29" t="s">
        <v>180</v>
      </c>
      <c r="H75" s="29"/>
      <c r="I75" s="29" t="s">
        <v>222</v>
      </c>
      <c r="J75" s="29" t="s">
        <v>252</v>
      </c>
      <c r="K75" s="29" t="s">
        <v>168</v>
      </c>
      <c r="L75" s="29" t="s">
        <v>169</v>
      </c>
      <c r="M75" s="29" t="s">
        <v>206</v>
      </c>
      <c r="N75" s="30" t="n">
        <v>46223.4861111111</v>
      </c>
      <c r="O75" s="30" t="n">
        <v>46223.5659722222</v>
      </c>
      <c r="P75" s="30" t="n">
        <v>46223.6493055556</v>
      </c>
      <c r="Q75" s="30" t="n">
        <v>46223.6840277778</v>
      </c>
      <c r="R75" s="30" t="n">
        <v>46224.5243055556</v>
      </c>
      <c r="S75" s="30" t="n">
        <v>46240.3993055556</v>
      </c>
      <c r="T75" s="30" t="n">
        <v>46223.5798611111</v>
      </c>
      <c r="U75" s="30" t="n">
        <v>46223.6145833333</v>
      </c>
      <c r="V75" s="31" t="n">
        <v>1</v>
      </c>
      <c r="W75" s="29" t="s">
        <v>189</v>
      </c>
      <c r="X75" s="29"/>
      <c r="Y75" s="29" t="s">
        <v>189</v>
      </c>
      <c r="Z75" s="29" t="s">
        <v>189</v>
      </c>
      <c r="AA75" s="30" t="n">
        <v>46225.75</v>
      </c>
      <c r="AB75" s="30" t="n">
        <v>46224.1444444444</v>
      </c>
      <c r="AC75" s="30"/>
      <c r="AD75" s="30"/>
      <c r="AE75" s="30"/>
      <c r="AF75" s="32"/>
      <c r="AG75" s="33"/>
      <c r="AH75" s="33"/>
      <c r="AI75" s="29" t="s">
        <v>189</v>
      </c>
      <c r="AJ75" s="32" t="n">
        <v>46283</v>
      </c>
      <c r="AK75" s="32" t="n">
        <v>46284</v>
      </c>
      <c r="AL75" s="29" t="s">
        <v>242</v>
      </c>
      <c r="AN75" s="34" t="str">
        <f aca="false">IF($B75="","",IF(OR(C75="",D75="",E75="",G75="",I75="",J75="",L75="",O75="",P75=""),"Champ obligatoire manquant",IF(OR(AND(N75&lt;&gt;"",N75&gt;O75),O75&gt;P75,AND(Q75&lt;&gt;"",Q75&lt;P75),AND(R75&lt;&gt;"",R75&lt;P75),AND(S75&lt;&gt;"",S75&lt;R75),AND(S75&lt;&gt;"",R75=""),AND(T75&lt;&gt;"",T75&lt;O75),AND(U75&lt;&gt;"",U75&lt;O75)),"Chronologie incohérente",IF(AND(OR(L75="Résolu",L75="Clos"),R75=""),"Date de résolution manquante",IF(AND(L75="Clos",S75=""),"Date de clôture manquante",IF(AND(K75="Oui",AC75=""),"Classification DORA manquante","OK"))))))</f>
        <v>OK</v>
      </c>
      <c r="AO75" s="35" t="n">
        <f aca="false">IF($B75="","",IF(AND(C75="Incident",L75&lt;&gt;"Annulé"),1,0))</f>
        <v>1</v>
      </c>
      <c r="AP75" s="35" t="n">
        <f aca="false">IF($B75="","",IF(AND(C75="Quasi-incident",L75&lt;&gt;"Annulé"),1,0))</f>
        <v>0</v>
      </c>
      <c r="AQ75" s="35" t="n">
        <f aca="false">IF($B75="","",AO75+AP75)</f>
        <v>1</v>
      </c>
      <c r="AR75" s="36" t="n">
        <f aca="false">IF(OR($B75="",J75=""),"",IFERROR(VALUE(LEFT(J75,1)),""))</f>
        <v>1</v>
      </c>
      <c r="AS75" s="35" t="n">
        <f aca="false">IF(OR(AO75&lt;&gt;1,G75=""),"",IFERROR(IF(INDEX(L_SrcInterne,MATCH(G75,L_Sources,0))="Oui",1,0),""))</f>
        <v>1</v>
      </c>
      <c r="AT75" s="37" t="n">
        <f aca="false">IF(AO75&lt;&gt;1,"",IFERROR(ROUND(IF(OR(N75="",O75=""),"",IF(O75&lt;N75,"",ROUND(((NETWORKDAYS(N75,O75,JoursFeries)-1)*(HFer-HOuv)+IF(NETWORKDAYS(O75,O75,JoursFeries),MEDIAN(MOD(O75,1),HFer,HOuv),HFer)-IF(NETWORKDAYS(N75,N75,JoursFeries),MEDIAN(MOD(N75,1),HFer,HOuv),HOuv))*24,4)))/HJour,4),""))</f>
        <v>0.213</v>
      </c>
      <c r="AU75" s="37" t="n">
        <f aca="false">IF(AO75&lt;&gt;1,"",IF(OR(O75="",P75=""),"",IF(P75&lt;O75,"",ROUND(((NETWORKDAYS(O75,P75,JoursFeries)-1)*(HFer-HOuv)+IF(NETWORKDAYS(P75,P75,JoursFeries),MEDIAN(MOD(P75,1),HFer,HOuv),HFer)-IF(NETWORKDAYS(O75,O75,JoursFeries),MEDIAN(MOD(O75,1),HFer,HOuv),HOuv))*24,4))))</f>
        <v>2</v>
      </c>
      <c r="AV75" s="37" t="n">
        <f aca="false">IF(AO75&lt;&gt;1,"",IF(OR(P75="",Q75=""),"",IF(Q75&lt;P75,"",ROUND(((NETWORKDAYS(P75,Q75,JoursFeries)-1)*(HFer-HOuv)+IF(NETWORKDAYS(Q75,Q75,JoursFeries),MEDIAN(MOD(Q75,1),HFer,HOuv),HFer)-IF(NETWORKDAYS(P75,P75,JoursFeries),MEDIAN(MOD(P75,1),HFer,HOuv),HOuv))*24,4))))</f>
        <v>0.8333</v>
      </c>
      <c r="AW75" s="37" t="n">
        <f aca="false">IF(AO75&lt;&gt;1,"",IFERROR(ROUND(IF(OR(P75="",R75=""),"",IF(R75&lt;P75,"",ROUND(((NETWORKDAYS(P75,R75,JoursFeries)-1)*(HFer-HOuv)+IF(NETWORKDAYS(R75,R75,JoursFeries),MEDIAN(MOD(R75,1),HFer,HOuv),HFer)-IF(NETWORKDAYS(P75,P75,JoursFeries),MEDIAN(MOD(P75,1),HFer,HOuv),HOuv))*24,4)))/HJour,4),""))</f>
        <v>0.6667</v>
      </c>
      <c r="AX75" s="37" t="n">
        <f aca="false">IF(AO75&lt;&gt;1,"",IFERROR(ROUND(IF(OR(P75="",S75=""),"",IF(S75&lt;P75,"",ROUND(((NETWORKDAYS(P75,S75,JoursFeries)-1)*(HFer-HOuv)+IF(NETWORKDAYS(S75,S75,JoursFeries),MEDIAN(MOD(S75,1),HFer,HOuv),HFer)-IF(NETWORKDAYS(P75,P75,JoursFeries),MEDIAN(MOD(P75,1),HFer,HOuv),HOuv))*24,4)))/HJour,4),""))</f>
        <v>12.3333</v>
      </c>
      <c r="AY75" s="36" t="n">
        <f aca="false">IF(OR(AO75&lt;&gt;1,AR75=""),"",INDEX(SLA_PEC,AR75))</f>
        <v>1</v>
      </c>
      <c r="AZ75" s="35" t="n">
        <f aca="false">IF(OR(AV75="",AY75=""),"",IF(AV75&lt;=AY75,1,0))</f>
        <v>1</v>
      </c>
      <c r="BA75" s="36" t="n">
        <f aca="false">IF(OR(AO75&lt;&gt;1,AR75=""),"",INDEX(SLA_RES,AR75))</f>
        <v>1</v>
      </c>
      <c r="BB75" s="35" t="n">
        <f aca="false">IF(OR(AW75="",BA75=""),"",IF(AW75&lt;=BA75,1,0))</f>
        <v>1</v>
      </c>
      <c r="BC75" s="38" t="n">
        <f aca="false">IF(OR(BA75="",P75=""),"",WORKDAY(INT(P75),BA75,JoursFeries)+MOD(P75,1))</f>
        <v>46224.6493055556</v>
      </c>
      <c r="BD75" s="39" t="n">
        <f aca="false">IF(AO75&lt;&gt;1,"",IF(OR(AB75&lt;&gt;"",AD75&lt;&gt;""),4,IF(U75&lt;&gt;"",3,IF(T75&lt;&gt;"",2,1))))</f>
        <v>4</v>
      </c>
      <c r="BE75" s="39" t="n">
        <f aca="false">IF(OR(AO75&lt;&gt;1,AR75=""),"",INDEX(NIV_REQ,AR75))</f>
        <v>3</v>
      </c>
      <c r="BF75" s="39" t="n">
        <f aca="false">IF(BE75="","",MAX(BE75,IF(OR(K75="Oui",Z75="Oui"),4,1)))</f>
        <v>4</v>
      </c>
      <c r="BG75" s="35" t="n">
        <f aca="false">IF(OR(BF75="",BD75=""),"",IF(BD75&gt;=BF75,1,0))</f>
        <v>1</v>
      </c>
      <c r="BH75" s="38" t="n">
        <f aca="false">IF(BE75="","",IF(BE75&lt;2,"",IF(BE75=2,IF(AND(T75="",U75=""),"",MIN(T75,U75)),IF(U75="","",U75))))</f>
        <v>46223.6145833333</v>
      </c>
      <c r="BI75" s="37" t="n">
        <f aca="false">IF(BH75="","",IF(OR(O75="",BH75=""),"",IF(BH75&lt;O75,"",ROUND(((NETWORKDAYS(O75,BH75,JoursFeries)-1)*(HFer-HOuv)+IF(NETWORKDAYS(BH75,BH75,JoursFeries),MEDIAN(MOD(BH75,1),HFer,HOuv),HFer)-IF(NETWORKDAYS(O75,O75,JoursFeries),MEDIAN(MOD(O75,1),HFer,HOuv),HOuv))*24,4))))</f>
        <v>1.1667</v>
      </c>
      <c r="BJ75" s="35" t="n">
        <f aca="false">IF(OR(BI75="",AR75=""),"",IF(BI75&lt;=INDEX(DELAI_ESC,AR75),1,0))</f>
        <v>1</v>
      </c>
      <c r="BK75" s="38" t="n">
        <f aca="false">IF(AO75&lt;&gt;1,"",IF(AND(T75="",U75=""),"",MIN(T75,U75)))</f>
        <v>46223.5798611111</v>
      </c>
      <c r="BL75" s="37" t="n">
        <f aca="false">IF(OR(BK75="",R75=""),"",IFERROR(ROUND(IF(OR(BK75="",R75=""),"",IF(R75&lt;BK75,"",ROUND(((NETWORKDAYS(BK75,R75,JoursFeries)-1)*(HFer-HOuv)+IF(NETWORKDAYS(R75,R75,JoursFeries),MEDIAN(MOD(R75,1),HFer,HOuv),HFer)-IF(NETWORKDAYS(BK75,BK75,JoursFeries),MEDIAN(MOD(BK75,1),HFer,HOuv),HOuv))*24,4)))/HJour,4),""))</f>
        <v>0.8519</v>
      </c>
      <c r="BM75" s="35" t="n">
        <f aca="false">IF(OR(AO75&lt;&gt;1,R75=""),"",IF(BD75=1,1,0))</f>
        <v>0</v>
      </c>
      <c r="BN75" s="35" t="n">
        <f aca="false">IF(AO75&lt;&gt;1,"",IF(W75="Oui",1,0))</f>
        <v>1</v>
      </c>
      <c r="BO75" s="35" t="n">
        <f aca="false">IF(AO75&lt;&gt;1,"",IF(X75&lt;&gt;"",1,0))</f>
        <v>0</v>
      </c>
      <c r="BP75" s="35" t="n">
        <f aca="false">IF(AO75&lt;&gt;1,"",IF(Y75="Oui",1,0))</f>
        <v>1</v>
      </c>
      <c r="BQ75" s="35" t="n">
        <f aca="true">IF(OR(AO75&lt;&gt;1,Z75&lt;&gt;"Oui"),"",IF(AB75="",IF(AND(AA75&lt;&gt;"",NOW()&gt;AA75),0,""),IF(AA75="","",IF(AB75&lt;=AA75,1,0))))</f>
        <v>1</v>
      </c>
      <c r="BR75" s="38" t="str">
        <f aca="false">IF(OR(AO75&lt;&gt;1,K75&lt;&gt;"Oui",O75=""),"",IF(AC75="",O75+DORA_H_DET/24,IF(AC75-O75&lt;=DORA_H_DET/24,MIN(AC75+DORA_H_CLA/24,O75+DORA_H_DET/24),AC75+DORA_H_CLA/24)))</f>
        <v/>
      </c>
      <c r="BS75" s="35" t="str">
        <f aca="true">IF(BR75="","",IF(AD75="",IF(NOW()&gt;BR75,0,""),IF(AD75&lt;=BR75,1,0)))</f>
        <v/>
      </c>
      <c r="BT75" s="35" t="str">
        <f aca="true">IF(OR(BR75="",AD75=""),"",IF(AE75="",IF(NOW()&gt;AD75+DORA_H_INT/24,0,""),IF(AE75&lt;=AD75+DORA_H_INT/24,1,0)))</f>
        <v/>
      </c>
      <c r="BU75" s="35" t="str">
        <f aca="true">IF(OR(BR75="",AE75=""),"",IF(AF75="",IF(NOW()&gt;EDATE(AE75,DORA_M_FIN)+1,0,""),IF(AF75&lt;=EDATE(AE75,DORA_M_FIN),1,0)))</f>
        <v/>
      </c>
      <c r="BV75" s="35" t="str">
        <f aca="false">IF(BR75="","",IF(COUNT(BS75:BU75)=0,"",MIN(BS75:BU75)))</f>
        <v/>
      </c>
      <c r="BW75" s="40" t="str">
        <f aca="false">IF(AQ75&lt;&gt;1,"",IF(AND(AG75="",AH75=""),"",N(AG75)-N(AH75)))</f>
        <v/>
      </c>
      <c r="BX75" s="35" t="n">
        <f aca="true">IF(OR(AQ75&lt;&gt;1,AI75&lt;&gt;"Oui",AJ75=""),"",IF(AK75="",IF(NOW()&gt;AJ75+1,0,""),IF(AK75&lt;=AJ75,1,0)))</f>
        <v>0</v>
      </c>
    </row>
    <row r="76" customFormat="false" ht="15" hidden="false" customHeight="false" outlineLevel="0" collapsed="false">
      <c r="B76" s="29" t="s">
        <v>304</v>
      </c>
      <c r="C76" s="29" t="s">
        <v>178</v>
      </c>
      <c r="D76" s="29" t="s">
        <v>191</v>
      </c>
      <c r="E76" s="29" t="s">
        <v>179</v>
      </c>
      <c r="F76" s="29" t="s">
        <v>204</v>
      </c>
      <c r="G76" s="29" t="s">
        <v>180</v>
      </c>
      <c r="H76" s="29"/>
      <c r="I76" s="29" t="s">
        <v>237</v>
      </c>
      <c r="J76" s="29" t="s">
        <v>187</v>
      </c>
      <c r="K76" s="29" t="s">
        <v>168</v>
      </c>
      <c r="L76" s="29" t="s">
        <v>238</v>
      </c>
      <c r="M76" s="29" t="s">
        <v>165</v>
      </c>
      <c r="N76" s="30" t="n">
        <v>46224.4270833333</v>
      </c>
      <c r="O76" s="30" t="n">
        <v>46224.4513888889</v>
      </c>
      <c r="P76" s="30" t="n">
        <v>46224.4583333333</v>
      </c>
      <c r="Q76" s="30" t="n">
        <v>46224.4791666667</v>
      </c>
      <c r="R76" s="30"/>
      <c r="S76" s="30"/>
      <c r="T76" s="30"/>
      <c r="U76" s="30"/>
      <c r="V76" s="31"/>
      <c r="W76" s="29" t="s">
        <v>168</v>
      </c>
      <c r="X76" s="29"/>
      <c r="Y76" s="29" t="s">
        <v>168</v>
      </c>
      <c r="Z76" s="29" t="s">
        <v>168</v>
      </c>
      <c r="AA76" s="30"/>
      <c r="AB76" s="30"/>
      <c r="AC76" s="30"/>
      <c r="AD76" s="30"/>
      <c r="AE76" s="30"/>
      <c r="AF76" s="32"/>
      <c r="AG76" s="33"/>
      <c r="AH76" s="33"/>
      <c r="AI76" s="29" t="s">
        <v>168</v>
      </c>
      <c r="AJ76" s="32"/>
      <c r="AK76" s="32"/>
      <c r="AL76" s="29"/>
      <c r="AN76" s="34" t="str">
        <f aca="false">IF($B76="","",IF(OR(C76="",D76="",E76="",G76="",I76="",J76="",L76="",O76="",P76=""),"Champ obligatoire manquant",IF(OR(AND(N76&lt;&gt;"",N76&gt;O76),O76&gt;P76,AND(Q76&lt;&gt;"",Q76&lt;P76),AND(R76&lt;&gt;"",R76&lt;P76),AND(S76&lt;&gt;"",S76&lt;R76),AND(S76&lt;&gt;"",R76=""),AND(T76&lt;&gt;"",T76&lt;O76),AND(U76&lt;&gt;"",U76&lt;O76)),"Chronologie incohérente",IF(AND(OR(L76="Résolu",L76="Clos"),R76=""),"Date de résolution manquante",IF(AND(L76="Clos",S76=""),"Date de clôture manquante",IF(AND(K76="Oui",AC76=""),"Classification DORA manquante","OK"))))))</f>
        <v>OK</v>
      </c>
      <c r="AO76" s="35" t="n">
        <f aca="false">IF($B76="","",IF(AND(C76="Incident",L76&lt;&gt;"Annulé"),1,0))</f>
        <v>0</v>
      </c>
      <c r="AP76" s="35" t="n">
        <f aca="false">IF($B76="","",IF(AND(C76="Quasi-incident",L76&lt;&gt;"Annulé"),1,0))</f>
        <v>0</v>
      </c>
      <c r="AQ76" s="35" t="n">
        <f aca="false">IF($B76="","",AO76+AP76)</f>
        <v>0</v>
      </c>
      <c r="AR76" s="36" t="n">
        <f aca="false">IF(OR($B76="",J76=""),"",IFERROR(VALUE(LEFT(J76,1)),""))</f>
        <v>4</v>
      </c>
      <c r="AS76" s="35" t="str">
        <f aca="false">IF(OR(AO76&lt;&gt;1,G76=""),"",IFERROR(IF(INDEX(L_SrcInterne,MATCH(G76,L_Sources,0))="Oui",1,0),""))</f>
        <v/>
      </c>
      <c r="AT76" s="37" t="str">
        <f aca="false">IF(AO76&lt;&gt;1,"",IFERROR(ROUND(IF(OR(N76="",O76=""),"",IF(O76&lt;N76,"",ROUND(((NETWORKDAYS(N76,O76,JoursFeries)-1)*(HFer-HOuv)+IF(NETWORKDAYS(O76,O76,JoursFeries),MEDIAN(MOD(O76,1),HFer,HOuv),HFer)-IF(NETWORKDAYS(N76,N76,JoursFeries),MEDIAN(MOD(N76,1),HFer,HOuv),HOuv))*24,4)))/HJour,4),""))</f>
        <v/>
      </c>
      <c r="AU76" s="37" t="str">
        <f aca="false">IF(AO76&lt;&gt;1,"",IF(OR(O76="",P76=""),"",IF(P76&lt;O76,"",ROUND(((NETWORKDAYS(O76,P76,JoursFeries)-1)*(HFer-HOuv)+IF(NETWORKDAYS(P76,P76,JoursFeries),MEDIAN(MOD(P76,1),HFer,HOuv),HFer)-IF(NETWORKDAYS(O76,O76,JoursFeries),MEDIAN(MOD(O76,1),HFer,HOuv),HOuv))*24,4))))</f>
        <v/>
      </c>
      <c r="AV76" s="37" t="str">
        <f aca="false">IF(AO76&lt;&gt;1,"",IF(OR(P76="",Q76=""),"",IF(Q76&lt;P76,"",ROUND(((NETWORKDAYS(P76,Q76,JoursFeries)-1)*(HFer-HOuv)+IF(NETWORKDAYS(Q76,Q76,JoursFeries),MEDIAN(MOD(Q76,1),HFer,HOuv),HFer)-IF(NETWORKDAYS(P76,P76,JoursFeries),MEDIAN(MOD(P76,1),HFer,HOuv),HOuv))*24,4))))</f>
        <v/>
      </c>
      <c r="AW76" s="37" t="str">
        <f aca="false">IF(AO76&lt;&gt;1,"",IFERROR(ROUND(IF(OR(P76="",R76=""),"",IF(R76&lt;P76,"",ROUND(((NETWORKDAYS(P76,R76,JoursFeries)-1)*(HFer-HOuv)+IF(NETWORKDAYS(R76,R76,JoursFeries),MEDIAN(MOD(R76,1),HFer,HOuv),HFer)-IF(NETWORKDAYS(P76,P76,JoursFeries),MEDIAN(MOD(P76,1),HFer,HOuv),HOuv))*24,4)))/HJour,4),""))</f>
        <v/>
      </c>
      <c r="AX76" s="37" t="str">
        <f aca="false">IF(AO76&lt;&gt;1,"",IFERROR(ROUND(IF(OR(P76="",S76=""),"",IF(S76&lt;P76,"",ROUND(((NETWORKDAYS(P76,S76,JoursFeries)-1)*(HFer-HOuv)+IF(NETWORKDAYS(S76,S76,JoursFeries),MEDIAN(MOD(S76,1),HFer,HOuv),HFer)-IF(NETWORKDAYS(P76,P76,JoursFeries),MEDIAN(MOD(P76,1),HFer,HOuv),HOuv))*24,4)))/HJour,4),""))</f>
        <v/>
      </c>
      <c r="AY76" s="36" t="str">
        <f aca="false">IF(OR(AO76&lt;&gt;1,AR76=""),"",INDEX(SLA_PEC,AR76))</f>
        <v/>
      </c>
      <c r="AZ76" s="35" t="str">
        <f aca="false">IF(OR(AV76="",AY76=""),"",IF(AV76&lt;=AY76,1,0))</f>
        <v/>
      </c>
      <c r="BA76" s="36" t="str">
        <f aca="false">IF(OR(AO76&lt;&gt;1,AR76=""),"",INDEX(SLA_RES,AR76))</f>
        <v/>
      </c>
      <c r="BB76" s="35" t="str">
        <f aca="false">IF(OR(AW76="",BA76=""),"",IF(AW76&lt;=BA76,1,0))</f>
        <v/>
      </c>
      <c r="BC76" s="38" t="str">
        <f aca="false">IF(OR(BA76="",P76=""),"",WORKDAY(INT(P76),BA76,JoursFeries)+MOD(P76,1))</f>
        <v/>
      </c>
      <c r="BD76" s="39" t="str">
        <f aca="false">IF(AO76&lt;&gt;1,"",IF(OR(AB76&lt;&gt;"",AD76&lt;&gt;""),4,IF(U76&lt;&gt;"",3,IF(T76&lt;&gt;"",2,1))))</f>
        <v/>
      </c>
      <c r="BE76" s="39" t="str">
        <f aca="false">IF(OR(AO76&lt;&gt;1,AR76=""),"",INDEX(NIV_REQ,AR76))</f>
        <v/>
      </c>
      <c r="BF76" s="39" t="str">
        <f aca="false">IF(BE76="","",MAX(BE76,IF(OR(K76="Oui",Z76="Oui"),4,1)))</f>
        <v/>
      </c>
      <c r="BG76" s="35" t="str">
        <f aca="false">IF(OR(BF76="",BD76=""),"",IF(BD76&gt;=BF76,1,0))</f>
        <v/>
      </c>
      <c r="BH76" s="38" t="str">
        <f aca="false">IF(BE76="","",IF(BE76&lt;2,"",IF(BE76=2,IF(AND(T76="",U76=""),"",MIN(T76,U76)),IF(U76="","",U76))))</f>
        <v/>
      </c>
      <c r="BI76" s="37" t="str">
        <f aca="false">IF(BH76="","",IF(OR(O76="",BH76=""),"",IF(BH76&lt;O76,"",ROUND(((NETWORKDAYS(O76,BH76,JoursFeries)-1)*(HFer-HOuv)+IF(NETWORKDAYS(BH76,BH76,JoursFeries),MEDIAN(MOD(BH76,1),HFer,HOuv),HFer)-IF(NETWORKDAYS(O76,O76,JoursFeries),MEDIAN(MOD(O76,1),HFer,HOuv),HOuv))*24,4))))</f>
        <v/>
      </c>
      <c r="BJ76" s="35" t="str">
        <f aca="false">IF(OR(BI76="",AR76=""),"",IF(BI76&lt;=INDEX(DELAI_ESC,AR76),1,0))</f>
        <v/>
      </c>
      <c r="BK76" s="38" t="str">
        <f aca="false">IF(AO76&lt;&gt;1,"",IF(AND(T76="",U76=""),"",MIN(T76,U76)))</f>
        <v/>
      </c>
      <c r="BL76" s="37" t="str">
        <f aca="false">IF(OR(BK76="",R76=""),"",IFERROR(ROUND(IF(OR(BK76="",R76=""),"",IF(R76&lt;BK76,"",ROUND(((NETWORKDAYS(BK76,R76,JoursFeries)-1)*(HFer-HOuv)+IF(NETWORKDAYS(R76,R76,JoursFeries),MEDIAN(MOD(R76,1),HFer,HOuv),HFer)-IF(NETWORKDAYS(BK76,BK76,JoursFeries),MEDIAN(MOD(BK76,1),HFer,HOuv),HOuv))*24,4)))/HJour,4),""))</f>
        <v/>
      </c>
      <c r="BM76" s="35" t="str">
        <f aca="false">IF(OR(AO76&lt;&gt;1,R76=""),"",IF(BD76=1,1,0))</f>
        <v/>
      </c>
      <c r="BN76" s="35" t="str">
        <f aca="false">IF(AO76&lt;&gt;1,"",IF(W76="Oui",1,0))</f>
        <v/>
      </c>
      <c r="BO76" s="35" t="str">
        <f aca="false">IF(AO76&lt;&gt;1,"",IF(X76&lt;&gt;"",1,0))</f>
        <v/>
      </c>
      <c r="BP76" s="35" t="str">
        <f aca="false">IF(AO76&lt;&gt;1,"",IF(Y76="Oui",1,0))</f>
        <v/>
      </c>
      <c r="BQ76" s="35" t="str">
        <f aca="true">IF(OR(AO76&lt;&gt;1,Z76&lt;&gt;"Oui"),"",IF(AB76="",IF(AND(AA76&lt;&gt;"",NOW()&gt;AA76),0,""),IF(AA76="","",IF(AB76&lt;=AA76,1,0))))</f>
        <v/>
      </c>
      <c r="BR76" s="38" t="str">
        <f aca="false">IF(OR(AO76&lt;&gt;1,K76&lt;&gt;"Oui",O76=""),"",IF(AC76="",O76+DORA_H_DET/24,IF(AC76-O76&lt;=DORA_H_DET/24,MIN(AC76+DORA_H_CLA/24,O76+DORA_H_DET/24),AC76+DORA_H_CLA/24)))</f>
        <v/>
      </c>
      <c r="BS76" s="35" t="str">
        <f aca="true">IF(BR76="","",IF(AD76="",IF(NOW()&gt;BR76,0,""),IF(AD76&lt;=BR76,1,0)))</f>
        <v/>
      </c>
      <c r="BT76" s="35" t="str">
        <f aca="true">IF(OR(BR76="",AD76=""),"",IF(AE76="",IF(NOW()&gt;AD76+DORA_H_INT/24,0,""),IF(AE76&lt;=AD76+DORA_H_INT/24,1,0)))</f>
        <v/>
      </c>
      <c r="BU76" s="35" t="str">
        <f aca="true">IF(OR(BR76="",AE76=""),"",IF(AF76="",IF(NOW()&gt;EDATE(AE76,DORA_M_FIN)+1,0,""),IF(AF76&lt;=EDATE(AE76,DORA_M_FIN),1,0)))</f>
        <v/>
      </c>
      <c r="BV76" s="35" t="str">
        <f aca="false">IF(BR76="","",IF(COUNT(BS76:BU76)=0,"",MIN(BS76:BU76)))</f>
        <v/>
      </c>
      <c r="BW76" s="40" t="str">
        <f aca="false">IF(AQ76&lt;&gt;1,"",IF(AND(AG76="",AH76=""),"",N(AG76)-N(AH76)))</f>
        <v/>
      </c>
      <c r="BX76" s="35" t="str">
        <f aca="true">IF(OR(AQ76&lt;&gt;1,AI76&lt;&gt;"Oui",AJ76=""),"",IF(AK76="",IF(NOW()&gt;AJ76+1,0,""),IF(AK76&lt;=AJ76,1,0)))</f>
        <v/>
      </c>
    </row>
    <row r="77" customFormat="false" ht="15" hidden="false" customHeight="false" outlineLevel="0" collapsed="false">
      <c r="B77" s="29" t="s">
        <v>305</v>
      </c>
      <c r="C77" s="29" t="s">
        <v>160</v>
      </c>
      <c r="D77" s="29" t="s">
        <v>161</v>
      </c>
      <c r="E77" s="29" t="s">
        <v>221</v>
      </c>
      <c r="F77" s="29" t="s">
        <v>172</v>
      </c>
      <c r="G77" s="29" t="s">
        <v>180</v>
      </c>
      <c r="H77" s="29"/>
      <c r="I77" s="29" t="s">
        <v>276</v>
      </c>
      <c r="J77" s="29" t="s">
        <v>187</v>
      </c>
      <c r="K77" s="29" t="s">
        <v>168</v>
      </c>
      <c r="L77" s="29" t="s">
        <v>169</v>
      </c>
      <c r="M77" s="29" t="s">
        <v>182</v>
      </c>
      <c r="N77" s="30" t="n">
        <v>46223.6770833333</v>
      </c>
      <c r="O77" s="30" t="n">
        <v>46225.6770833333</v>
      </c>
      <c r="P77" s="30" t="n">
        <v>46225.6909722222</v>
      </c>
      <c r="Q77" s="30" t="n">
        <v>46226.4236111111</v>
      </c>
      <c r="R77" s="30" t="n">
        <v>46232.6909722222</v>
      </c>
      <c r="S77" s="30" t="n">
        <v>46239.4270833333</v>
      </c>
      <c r="T77" s="30"/>
      <c r="U77" s="30"/>
      <c r="V77" s="31" t="n">
        <v>0</v>
      </c>
      <c r="W77" s="29" t="s">
        <v>168</v>
      </c>
      <c r="X77" s="29"/>
      <c r="Y77" s="29" t="s">
        <v>168</v>
      </c>
      <c r="Z77" s="29" t="s">
        <v>168</v>
      </c>
      <c r="AA77" s="30"/>
      <c r="AB77" s="30"/>
      <c r="AC77" s="30"/>
      <c r="AD77" s="30"/>
      <c r="AE77" s="30"/>
      <c r="AF77" s="32"/>
      <c r="AG77" s="33"/>
      <c r="AH77" s="33"/>
      <c r="AI77" s="29" t="s">
        <v>168</v>
      </c>
      <c r="AJ77" s="32"/>
      <c r="AK77" s="32"/>
      <c r="AL77" s="29"/>
      <c r="AN77" s="34" t="str">
        <f aca="false">IF($B77="","",IF(OR(C77="",D77="",E77="",G77="",I77="",J77="",L77="",O77="",P77=""),"Champ obligatoire manquant",IF(OR(AND(N77&lt;&gt;"",N77&gt;O77),O77&gt;P77,AND(Q77&lt;&gt;"",Q77&lt;P77),AND(R77&lt;&gt;"",R77&lt;P77),AND(S77&lt;&gt;"",S77&lt;R77),AND(S77&lt;&gt;"",R77=""),AND(T77&lt;&gt;"",T77&lt;O77),AND(U77&lt;&gt;"",U77&lt;O77)),"Chronologie incohérente",IF(AND(OR(L77="Résolu",L77="Clos"),R77=""),"Date de résolution manquante",IF(AND(L77="Clos",S77=""),"Date de clôture manquante",IF(AND(K77="Oui",AC77=""),"Classification DORA manquante","OK"))))))</f>
        <v>OK</v>
      </c>
      <c r="AO77" s="35" t="n">
        <f aca="false">IF($B77="","",IF(AND(C77="Incident",L77&lt;&gt;"Annulé"),1,0))</f>
        <v>0</v>
      </c>
      <c r="AP77" s="35" t="n">
        <f aca="false">IF($B77="","",IF(AND(C77="Quasi-incident",L77&lt;&gt;"Annulé"),1,0))</f>
        <v>1</v>
      </c>
      <c r="AQ77" s="35" t="n">
        <f aca="false">IF($B77="","",AO77+AP77)</f>
        <v>1</v>
      </c>
      <c r="AR77" s="36" t="n">
        <f aca="false">IF(OR($B77="",J77=""),"",IFERROR(VALUE(LEFT(J77,1)),""))</f>
        <v>4</v>
      </c>
      <c r="AS77" s="35" t="str">
        <f aca="false">IF(OR(AO77&lt;&gt;1,G77=""),"",IFERROR(IF(INDEX(L_SrcInterne,MATCH(G77,L_Sources,0))="Oui",1,0),""))</f>
        <v/>
      </c>
      <c r="AT77" s="37" t="str">
        <f aca="false">IF(AO77&lt;&gt;1,"",IFERROR(ROUND(IF(OR(N77="",O77=""),"",IF(O77&lt;N77,"",ROUND(((NETWORKDAYS(N77,O77,JoursFeries)-1)*(HFer-HOuv)+IF(NETWORKDAYS(O77,O77,JoursFeries),MEDIAN(MOD(O77,1),HFer,HOuv),HFer)-IF(NETWORKDAYS(N77,N77,JoursFeries),MEDIAN(MOD(N77,1),HFer,HOuv),HOuv))*24,4)))/HJour,4),""))</f>
        <v/>
      </c>
      <c r="AU77" s="37" t="str">
        <f aca="false">IF(AO77&lt;&gt;1,"",IF(OR(O77="",P77=""),"",IF(P77&lt;O77,"",ROUND(((NETWORKDAYS(O77,P77,JoursFeries)-1)*(HFer-HOuv)+IF(NETWORKDAYS(P77,P77,JoursFeries),MEDIAN(MOD(P77,1),HFer,HOuv),HFer)-IF(NETWORKDAYS(O77,O77,JoursFeries),MEDIAN(MOD(O77,1),HFer,HOuv),HOuv))*24,4))))</f>
        <v/>
      </c>
      <c r="AV77" s="37" t="str">
        <f aca="false">IF(AO77&lt;&gt;1,"",IF(OR(P77="",Q77=""),"",IF(Q77&lt;P77,"",ROUND(((NETWORKDAYS(P77,Q77,JoursFeries)-1)*(HFer-HOuv)+IF(NETWORKDAYS(Q77,Q77,JoursFeries),MEDIAN(MOD(Q77,1),HFer,HOuv),HFer)-IF(NETWORKDAYS(P77,P77,JoursFeries),MEDIAN(MOD(P77,1),HFer,HOuv),HOuv))*24,4))))</f>
        <v/>
      </c>
      <c r="AW77" s="37" t="str">
        <f aca="false">IF(AO77&lt;&gt;1,"",IFERROR(ROUND(IF(OR(P77="",R77=""),"",IF(R77&lt;P77,"",ROUND(((NETWORKDAYS(P77,R77,JoursFeries)-1)*(HFer-HOuv)+IF(NETWORKDAYS(R77,R77,JoursFeries),MEDIAN(MOD(R77,1),HFer,HOuv),HFer)-IF(NETWORKDAYS(P77,P77,JoursFeries),MEDIAN(MOD(P77,1),HFer,HOuv),HOuv))*24,4)))/HJour,4),""))</f>
        <v/>
      </c>
      <c r="AX77" s="37" t="str">
        <f aca="false">IF(AO77&lt;&gt;1,"",IFERROR(ROUND(IF(OR(P77="",S77=""),"",IF(S77&lt;P77,"",ROUND(((NETWORKDAYS(P77,S77,JoursFeries)-1)*(HFer-HOuv)+IF(NETWORKDAYS(S77,S77,JoursFeries),MEDIAN(MOD(S77,1),HFer,HOuv),HFer)-IF(NETWORKDAYS(P77,P77,JoursFeries),MEDIAN(MOD(P77,1),HFer,HOuv),HOuv))*24,4)))/HJour,4),""))</f>
        <v/>
      </c>
      <c r="AY77" s="36" t="str">
        <f aca="false">IF(OR(AO77&lt;&gt;1,AR77=""),"",INDEX(SLA_PEC,AR77))</f>
        <v/>
      </c>
      <c r="AZ77" s="35" t="str">
        <f aca="false">IF(OR(AV77="",AY77=""),"",IF(AV77&lt;=AY77,1,0))</f>
        <v/>
      </c>
      <c r="BA77" s="36" t="str">
        <f aca="false">IF(OR(AO77&lt;&gt;1,AR77=""),"",INDEX(SLA_RES,AR77))</f>
        <v/>
      </c>
      <c r="BB77" s="35" t="str">
        <f aca="false">IF(OR(AW77="",BA77=""),"",IF(AW77&lt;=BA77,1,0))</f>
        <v/>
      </c>
      <c r="BC77" s="38" t="str">
        <f aca="false">IF(OR(BA77="",P77=""),"",WORKDAY(INT(P77),BA77,JoursFeries)+MOD(P77,1))</f>
        <v/>
      </c>
      <c r="BD77" s="39" t="str">
        <f aca="false">IF(AO77&lt;&gt;1,"",IF(OR(AB77&lt;&gt;"",AD77&lt;&gt;""),4,IF(U77&lt;&gt;"",3,IF(T77&lt;&gt;"",2,1))))</f>
        <v/>
      </c>
      <c r="BE77" s="39" t="str">
        <f aca="false">IF(OR(AO77&lt;&gt;1,AR77=""),"",INDEX(NIV_REQ,AR77))</f>
        <v/>
      </c>
      <c r="BF77" s="39" t="str">
        <f aca="false">IF(BE77="","",MAX(BE77,IF(OR(K77="Oui",Z77="Oui"),4,1)))</f>
        <v/>
      </c>
      <c r="BG77" s="35" t="str">
        <f aca="false">IF(OR(BF77="",BD77=""),"",IF(BD77&gt;=BF77,1,0))</f>
        <v/>
      </c>
      <c r="BH77" s="38" t="str">
        <f aca="false">IF(BE77="","",IF(BE77&lt;2,"",IF(BE77=2,IF(AND(T77="",U77=""),"",MIN(T77,U77)),IF(U77="","",U77))))</f>
        <v/>
      </c>
      <c r="BI77" s="37" t="str">
        <f aca="false">IF(BH77="","",IF(OR(O77="",BH77=""),"",IF(BH77&lt;O77,"",ROUND(((NETWORKDAYS(O77,BH77,JoursFeries)-1)*(HFer-HOuv)+IF(NETWORKDAYS(BH77,BH77,JoursFeries),MEDIAN(MOD(BH77,1),HFer,HOuv),HFer)-IF(NETWORKDAYS(O77,O77,JoursFeries),MEDIAN(MOD(O77,1),HFer,HOuv),HOuv))*24,4))))</f>
        <v/>
      </c>
      <c r="BJ77" s="35" t="str">
        <f aca="false">IF(OR(BI77="",AR77=""),"",IF(BI77&lt;=INDEX(DELAI_ESC,AR77),1,0))</f>
        <v/>
      </c>
      <c r="BK77" s="38" t="str">
        <f aca="false">IF(AO77&lt;&gt;1,"",IF(AND(T77="",U77=""),"",MIN(T77,U77)))</f>
        <v/>
      </c>
      <c r="BL77" s="37" t="str">
        <f aca="false">IF(OR(BK77="",R77=""),"",IFERROR(ROUND(IF(OR(BK77="",R77=""),"",IF(R77&lt;BK77,"",ROUND(((NETWORKDAYS(BK77,R77,JoursFeries)-1)*(HFer-HOuv)+IF(NETWORKDAYS(R77,R77,JoursFeries),MEDIAN(MOD(R77,1),HFer,HOuv),HFer)-IF(NETWORKDAYS(BK77,BK77,JoursFeries),MEDIAN(MOD(BK77,1),HFer,HOuv),HOuv))*24,4)))/HJour,4),""))</f>
        <v/>
      </c>
      <c r="BM77" s="35" t="str">
        <f aca="false">IF(OR(AO77&lt;&gt;1,R77=""),"",IF(BD77=1,1,0))</f>
        <v/>
      </c>
      <c r="BN77" s="35" t="str">
        <f aca="false">IF(AO77&lt;&gt;1,"",IF(W77="Oui",1,0))</f>
        <v/>
      </c>
      <c r="BO77" s="35" t="str">
        <f aca="false">IF(AO77&lt;&gt;1,"",IF(X77&lt;&gt;"",1,0))</f>
        <v/>
      </c>
      <c r="BP77" s="35" t="str">
        <f aca="false">IF(AO77&lt;&gt;1,"",IF(Y77="Oui",1,0))</f>
        <v/>
      </c>
      <c r="BQ77" s="35" t="str">
        <f aca="true">IF(OR(AO77&lt;&gt;1,Z77&lt;&gt;"Oui"),"",IF(AB77="",IF(AND(AA77&lt;&gt;"",NOW()&gt;AA77),0,""),IF(AA77="","",IF(AB77&lt;=AA77,1,0))))</f>
        <v/>
      </c>
      <c r="BR77" s="38" t="str">
        <f aca="false">IF(OR(AO77&lt;&gt;1,K77&lt;&gt;"Oui",O77=""),"",IF(AC77="",O77+DORA_H_DET/24,IF(AC77-O77&lt;=DORA_H_DET/24,MIN(AC77+DORA_H_CLA/24,O77+DORA_H_DET/24),AC77+DORA_H_CLA/24)))</f>
        <v/>
      </c>
      <c r="BS77" s="35" t="str">
        <f aca="true">IF(BR77="","",IF(AD77="",IF(NOW()&gt;BR77,0,""),IF(AD77&lt;=BR77,1,0)))</f>
        <v/>
      </c>
      <c r="BT77" s="35" t="str">
        <f aca="true">IF(OR(BR77="",AD77=""),"",IF(AE77="",IF(NOW()&gt;AD77+DORA_H_INT/24,0,""),IF(AE77&lt;=AD77+DORA_H_INT/24,1,0)))</f>
        <v/>
      </c>
      <c r="BU77" s="35" t="str">
        <f aca="true">IF(OR(BR77="",AE77=""),"",IF(AF77="",IF(NOW()&gt;EDATE(AE77,DORA_M_FIN)+1,0,""),IF(AF77&lt;=EDATE(AE77,DORA_M_FIN),1,0)))</f>
        <v/>
      </c>
      <c r="BV77" s="35" t="str">
        <f aca="false">IF(BR77="","",IF(COUNT(BS77:BU77)=0,"",MIN(BS77:BU77)))</f>
        <v/>
      </c>
      <c r="BW77" s="40" t="str">
        <f aca="false">IF(AQ77&lt;&gt;1,"",IF(AND(AG77="",AH77=""),"",N(AG77)-N(AH77)))</f>
        <v/>
      </c>
      <c r="BX77" s="35" t="str">
        <f aca="true">IF(OR(AQ77&lt;&gt;1,AI77&lt;&gt;"Oui",AJ77=""),"",IF(AK77="",IF(NOW()&gt;AJ77+1,0,""),IF(AK77&lt;=AJ77,1,0)))</f>
        <v/>
      </c>
    </row>
    <row r="78" customFormat="false" ht="15" hidden="false" customHeight="false" outlineLevel="0" collapsed="false">
      <c r="B78" s="29" t="s">
        <v>306</v>
      </c>
      <c r="C78" s="29" t="s">
        <v>178</v>
      </c>
      <c r="D78" s="29" t="s">
        <v>161</v>
      </c>
      <c r="E78" s="29" t="s">
        <v>203</v>
      </c>
      <c r="F78" s="29" t="s">
        <v>251</v>
      </c>
      <c r="G78" s="29" t="s">
        <v>211</v>
      </c>
      <c r="H78" s="29" t="s">
        <v>182</v>
      </c>
      <c r="I78" s="29" t="s">
        <v>228</v>
      </c>
      <c r="J78" s="29" t="s">
        <v>219</v>
      </c>
      <c r="K78" s="29" t="s">
        <v>168</v>
      </c>
      <c r="L78" s="29" t="s">
        <v>169</v>
      </c>
      <c r="M78" s="29" t="s">
        <v>165</v>
      </c>
      <c r="N78" s="30" t="n">
        <v>46238.3402777778</v>
      </c>
      <c r="O78" s="30" t="n">
        <v>46238.5694444445</v>
      </c>
      <c r="P78" s="30" t="n">
        <v>46238.5763888889</v>
      </c>
      <c r="Q78" s="30" t="n">
        <v>46238.6493055556</v>
      </c>
      <c r="R78" s="30" t="n">
        <v>46239.71875</v>
      </c>
      <c r="S78" s="30" t="n">
        <v>46247.7152777778</v>
      </c>
      <c r="T78" s="30" t="n">
        <v>46238.6979166667</v>
      </c>
      <c r="U78" s="30"/>
      <c r="V78" s="31" t="n">
        <v>1</v>
      </c>
      <c r="W78" s="29" t="s">
        <v>168</v>
      </c>
      <c r="X78" s="29"/>
      <c r="Y78" s="29" t="s">
        <v>189</v>
      </c>
      <c r="Z78" s="29" t="s">
        <v>168</v>
      </c>
      <c r="AA78" s="30"/>
      <c r="AB78" s="30"/>
      <c r="AC78" s="30"/>
      <c r="AD78" s="30"/>
      <c r="AE78" s="30"/>
      <c r="AF78" s="32"/>
      <c r="AG78" s="33"/>
      <c r="AH78" s="33"/>
      <c r="AI78" s="29" t="s">
        <v>189</v>
      </c>
      <c r="AJ78" s="32" t="n">
        <v>46288</v>
      </c>
      <c r="AK78" s="32" t="n">
        <v>46284</v>
      </c>
      <c r="AL78" s="29"/>
      <c r="AN78" s="34" t="str">
        <f aca="false">IF($B78="","",IF(OR(C78="",D78="",E78="",G78="",I78="",J78="",L78="",O78="",P78=""),"Champ obligatoire manquant",IF(OR(AND(N78&lt;&gt;"",N78&gt;O78),O78&gt;P78,AND(Q78&lt;&gt;"",Q78&lt;P78),AND(R78&lt;&gt;"",R78&lt;P78),AND(S78&lt;&gt;"",S78&lt;R78),AND(S78&lt;&gt;"",R78=""),AND(T78&lt;&gt;"",T78&lt;O78),AND(U78&lt;&gt;"",U78&lt;O78)),"Chronologie incohérente",IF(AND(OR(L78="Résolu",L78="Clos"),R78=""),"Date de résolution manquante",IF(AND(L78="Clos",S78=""),"Date de clôture manquante",IF(AND(K78="Oui",AC78=""),"Classification DORA manquante","OK"))))))</f>
        <v>OK</v>
      </c>
      <c r="AO78" s="35" t="n">
        <f aca="false">IF($B78="","",IF(AND(C78="Incident",L78&lt;&gt;"Annulé"),1,0))</f>
        <v>1</v>
      </c>
      <c r="AP78" s="35" t="n">
        <f aca="false">IF($B78="","",IF(AND(C78="Quasi-incident",L78&lt;&gt;"Annulé"),1,0))</f>
        <v>0</v>
      </c>
      <c r="AQ78" s="35" t="n">
        <f aca="false">IF($B78="","",AO78+AP78)</f>
        <v>1</v>
      </c>
      <c r="AR78" s="36" t="n">
        <f aca="false">IF(OR($B78="",J78=""),"",IFERROR(VALUE(LEFT(J78,1)),""))</f>
        <v>2</v>
      </c>
      <c r="AS78" s="35" t="n">
        <f aca="false">IF(OR(AO78&lt;&gt;1,G78=""),"",IFERROR(IF(INDEX(L_SrcInterne,MATCH(G78,L_Sources,0))="Oui",1,0),""))</f>
        <v>1</v>
      </c>
      <c r="AT78" s="37" t="n">
        <f aca="false">IF(AO78&lt;&gt;1,"",IFERROR(ROUND(IF(OR(N78="",O78=""),"",IF(O78&lt;N78,"",ROUND(((NETWORKDAYS(N78,O78,JoursFeries)-1)*(HFer-HOuv)+IF(NETWORKDAYS(O78,O78,JoursFeries),MEDIAN(MOD(O78,1),HFer,HOuv),HFer)-IF(NETWORKDAYS(N78,N78,JoursFeries),MEDIAN(MOD(N78,1),HFer,HOuv),HOuv))*24,4)))/HJour,4),""))</f>
        <v>0.5185</v>
      </c>
      <c r="AU78" s="37" t="n">
        <f aca="false">IF(AO78&lt;&gt;1,"",IF(OR(O78="",P78=""),"",IF(P78&lt;O78,"",ROUND(((NETWORKDAYS(O78,P78,JoursFeries)-1)*(HFer-HOuv)+IF(NETWORKDAYS(P78,P78,JoursFeries),MEDIAN(MOD(P78,1),HFer,HOuv),HFer)-IF(NETWORKDAYS(O78,O78,JoursFeries),MEDIAN(MOD(O78,1),HFer,HOuv),HOuv))*24,4))))</f>
        <v>0.1667</v>
      </c>
      <c r="AV78" s="37" t="n">
        <f aca="false">IF(AO78&lt;&gt;1,"",IF(OR(P78="",Q78=""),"",IF(Q78&lt;P78,"",ROUND(((NETWORKDAYS(P78,Q78,JoursFeries)-1)*(HFer-HOuv)+IF(NETWORKDAYS(Q78,Q78,JoursFeries),MEDIAN(MOD(Q78,1),HFer,HOuv),HFer)-IF(NETWORKDAYS(P78,P78,JoursFeries),MEDIAN(MOD(P78,1),HFer,HOuv),HOuv))*24,4))))</f>
        <v>1.75</v>
      </c>
      <c r="AW78" s="37" t="n">
        <f aca="false">IF(AO78&lt;&gt;1,"",IFERROR(ROUND(IF(OR(P78="",R78=""),"",IF(R78&lt;P78,"",ROUND(((NETWORKDAYS(P78,R78,JoursFeries)-1)*(HFer-HOuv)+IF(NETWORKDAYS(R78,R78,JoursFeries),MEDIAN(MOD(R78,1),HFer,HOuv),HFer)-IF(NETWORKDAYS(P78,P78,JoursFeries),MEDIAN(MOD(P78,1),HFer,HOuv),HOuv))*24,4)))/HJour,4),""))</f>
        <v>1.3796</v>
      </c>
      <c r="AX78" s="37" t="n">
        <f aca="false">IF(AO78&lt;&gt;1,"",IFERROR(ROUND(IF(OR(P78="",S78=""),"",IF(S78&lt;P78,"",ROUND(((NETWORKDAYS(P78,S78,JoursFeries)-1)*(HFer-HOuv)+IF(NETWORKDAYS(S78,S78,JoursFeries),MEDIAN(MOD(S78,1),HFer,HOuv),HFer)-IF(NETWORKDAYS(P78,P78,JoursFeries),MEDIAN(MOD(P78,1),HFer,HOuv),HOuv))*24,4)))/HJour,4),""))</f>
        <v>7.3704</v>
      </c>
      <c r="AY78" s="36" t="n">
        <f aca="false">IF(OR(AO78&lt;&gt;1,AR78=""),"",INDEX(SLA_PEC,AR78))</f>
        <v>2</v>
      </c>
      <c r="AZ78" s="35" t="n">
        <f aca="false">IF(OR(AV78="",AY78=""),"",IF(AV78&lt;=AY78,1,0))</f>
        <v>1</v>
      </c>
      <c r="BA78" s="36" t="n">
        <f aca="false">IF(OR(AO78&lt;&gt;1,AR78=""),"",INDEX(SLA_RES,AR78))</f>
        <v>3</v>
      </c>
      <c r="BB78" s="35" t="n">
        <f aca="false">IF(OR(AW78="",BA78=""),"",IF(AW78&lt;=BA78,1,0))</f>
        <v>1</v>
      </c>
      <c r="BC78" s="38" t="n">
        <f aca="false">IF(OR(BA78="",P78=""),"",WORKDAY(INT(P78),BA78,JoursFeries)+MOD(P78,1))</f>
        <v>46241.5763888889</v>
      </c>
      <c r="BD78" s="39" t="n">
        <f aca="false">IF(AO78&lt;&gt;1,"",IF(OR(AB78&lt;&gt;"",AD78&lt;&gt;""),4,IF(U78&lt;&gt;"",3,IF(T78&lt;&gt;"",2,1))))</f>
        <v>2</v>
      </c>
      <c r="BE78" s="39" t="n">
        <f aca="false">IF(OR(AO78&lt;&gt;1,AR78=""),"",INDEX(NIV_REQ,AR78))</f>
        <v>2</v>
      </c>
      <c r="BF78" s="39" t="n">
        <f aca="false">IF(BE78="","",MAX(BE78,IF(OR(K78="Oui",Z78="Oui"),4,1)))</f>
        <v>2</v>
      </c>
      <c r="BG78" s="35" t="n">
        <f aca="false">IF(OR(BF78="",BD78=""),"",IF(BD78&gt;=BF78,1,0))</f>
        <v>1</v>
      </c>
      <c r="BH78" s="38" t="n">
        <f aca="false">IF(BE78="","",IF(BE78&lt;2,"",IF(BE78=2,IF(AND(T78="",U78=""),"",MIN(T78,U78)),IF(U78="","",U78))))</f>
        <v>46238.6979166667</v>
      </c>
      <c r="BI78" s="37" t="n">
        <f aca="false">IF(BH78="","",IF(OR(O78="",BH78=""),"",IF(BH78&lt;O78,"",ROUND(((NETWORKDAYS(O78,BH78,JoursFeries)-1)*(HFer-HOuv)+IF(NETWORKDAYS(BH78,BH78,JoursFeries),MEDIAN(MOD(BH78,1),HFer,HOuv),HFer)-IF(NETWORKDAYS(O78,O78,JoursFeries),MEDIAN(MOD(O78,1),HFer,HOuv),HOuv))*24,4))))</f>
        <v>3.0833</v>
      </c>
      <c r="BJ78" s="35" t="n">
        <f aca="false">IF(OR(BI78="",AR78=""),"",IF(BI78&lt;=INDEX(DELAI_ESC,AR78),1,0))</f>
        <v>1</v>
      </c>
      <c r="BK78" s="38" t="n">
        <f aca="false">IF(AO78&lt;&gt;1,"",IF(AND(T78="",U78=""),"",MIN(T78,U78)))</f>
        <v>46238.6979166667</v>
      </c>
      <c r="BL78" s="37" t="n">
        <f aca="false">IF(OR(BK78="",R78=""),"",IFERROR(ROUND(IF(OR(BK78="",R78=""),"",IF(R78&lt;BK78,"",ROUND(((NETWORKDAYS(BK78,R78,JoursFeries)-1)*(HFer-HOuv)+IF(NETWORKDAYS(R78,R78,JoursFeries),MEDIAN(MOD(R78,1),HFer,HOuv),HFer)-IF(NETWORKDAYS(BK78,BK78,JoursFeries),MEDIAN(MOD(BK78,1),HFer,HOuv),HOuv))*24,4)))/HJour,4),""))</f>
        <v>1.0556</v>
      </c>
      <c r="BM78" s="35" t="n">
        <f aca="false">IF(OR(AO78&lt;&gt;1,R78=""),"",IF(BD78=1,1,0))</f>
        <v>0</v>
      </c>
      <c r="BN78" s="35" t="n">
        <f aca="false">IF(AO78&lt;&gt;1,"",IF(W78="Oui",1,0))</f>
        <v>0</v>
      </c>
      <c r="BO78" s="35" t="n">
        <f aca="false">IF(AO78&lt;&gt;1,"",IF(X78&lt;&gt;"",1,0))</f>
        <v>0</v>
      </c>
      <c r="BP78" s="35" t="n">
        <f aca="false">IF(AO78&lt;&gt;1,"",IF(Y78="Oui",1,0))</f>
        <v>1</v>
      </c>
      <c r="BQ78" s="35" t="str">
        <f aca="true">IF(OR(AO78&lt;&gt;1,Z78&lt;&gt;"Oui"),"",IF(AB78="",IF(AND(AA78&lt;&gt;"",NOW()&gt;AA78),0,""),IF(AA78="","",IF(AB78&lt;=AA78,1,0))))</f>
        <v/>
      </c>
      <c r="BR78" s="38" t="str">
        <f aca="false">IF(OR(AO78&lt;&gt;1,K78&lt;&gt;"Oui",O78=""),"",IF(AC78="",O78+DORA_H_DET/24,IF(AC78-O78&lt;=DORA_H_DET/24,MIN(AC78+DORA_H_CLA/24,O78+DORA_H_DET/24),AC78+DORA_H_CLA/24)))</f>
        <v/>
      </c>
      <c r="BS78" s="35" t="str">
        <f aca="true">IF(BR78="","",IF(AD78="",IF(NOW()&gt;BR78,0,""),IF(AD78&lt;=BR78,1,0)))</f>
        <v/>
      </c>
      <c r="BT78" s="35" t="str">
        <f aca="true">IF(OR(BR78="",AD78=""),"",IF(AE78="",IF(NOW()&gt;AD78+DORA_H_INT/24,0,""),IF(AE78&lt;=AD78+DORA_H_INT/24,1,0)))</f>
        <v/>
      </c>
      <c r="BU78" s="35" t="str">
        <f aca="true">IF(OR(BR78="",AE78=""),"",IF(AF78="",IF(NOW()&gt;EDATE(AE78,DORA_M_FIN)+1,0,""),IF(AF78&lt;=EDATE(AE78,DORA_M_FIN),1,0)))</f>
        <v/>
      </c>
      <c r="BV78" s="35" t="str">
        <f aca="false">IF(BR78="","",IF(COUNT(BS78:BU78)=0,"",MIN(BS78:BU78)))</f>
        <v/>
      </c>
      <c r="BW78" s="40" t="str">
        <f aca="false">IF(AQ78&lt;&gt;1,"",IF(AND(AG78="",AH78=""),"",N(AG78)-N(AH78)))</f>
        <v/>
      </c>
      <c r="BX78" s="35" t="n">
        <f aca="true">IF(OR(AQ78&lt;&gt;1,AI78&lt;&gt;"Oui",AJ78=""),"",IF(AK78="",IF(NOW()&gt;AJ78+1,0,""),IF(AK78&lt;=AJ78,1,0)))</f>
        <v>1</v>
      </c>
    </row>
    <row r="79" customFormat="false" ht="15" hidden="false" customHeight="false" outlineLevel="0" collapsed="false">
      <c r="B79" s="29" t="s">
        <v>307</v>
      </c>
      <c r="C79" s="29" t="s">
        <v>178</v>
      </c>
      <c r="D79" s="29" t="s">
        <v>184</v>
      </c>
      <c r="E79" s="29" t="s">
        <v>290</v>
      </c>
      <c r="F79" s="29" t="s">
        <v>172</v>
      </c>
      <c r="G79" s="29" t="s">
        <v>211</v>
      </c>
      <c r="H79" s="29"/>
      <c r="I79" s="29" t="s">
        <v>308</v>
      </c>
      <c r="J79" s="29" t="s">
        <v>167</v>
      </c>
      <c r="K79" s="29" t="s">
        <v>168</v>
      </c>
      <c r="L79" s="29" t="s">
        <v>169</v>
      </c>
      <c r="M79" s="29" t="s">
        <v>174</v>
      </c>
      <c r="N79" s="30" t="n">
        <v>46240.2534722222</v>
      </c>
      <c r="O79" s="30" t="n">
        <v>46240.3854166667</v>
      </c>
      <c r="P79" s="30" t="n">
        <v>46240.46875</v>
      </c>
      <c r="Q79" s="30" t="n">
        <v>46241.4479166667</v>
      </c>
      <c r="R79" s="30" t="n">
        <v>46248.6354166667</v>
      </c>
      <c r="S79" s="30" t="n">
        <v>46275.7465277778</v>
      </c>
      <c r="T79" s="30"/>
      <c r="U79" s="30"/>
      <c r="V79" s="31" t="n">
        <v>0</v>
      </c>
      <c r="W79" s="29" t="s">
        <v>168</v>
      </c>
      <c r="X79" s="29"/>
      <c r="Y79" s="29" t="s">
        <v>168</v>
      </c>
      <c r="Z79" s="29" t="s">
        <v>168</v>
      </c>
      <c r="AA79" s="30"/>
      <c r="AB79" s="30"/>
      <c r="AC79" s="30"/>
      <c r="AD79" s="30"/>
      <c r="AE79" s="30"/>
      <c r="AF79" s="32"/>
      <c r="AG79" s="33"/>
      <c r="AH79" s="33"/>
      <c r="AI79" s="29" t="s">
        <v>189</v>
      </c>
      <c r="AJ79" s="32" t="n">
        <v>46260</v>
      </c>
      <c r="AK79" s="32" t="n">
        <v>46259</v>
      </c>
      <c r="AL79" s="29"/>
      <c r="AN79" s="34" t="str">
        <f aca="false">IF($B79="","",IF(OR(C79="",D79="",E79="",G79="",I79="",J79="",L79="",O79="",P79=""),"Champ obligatoire manquant",IF(OR(AND(N79&lt;&gt;"",N79&gt;O79),O79&gt;P79,AND(Q79&lt;&gt;"",Q79&lt;P79),AND(R79&lt;&gt;"",R79&lt;P79),AND(S79&lt;&gt;"",S79&lt;R79),AND(S79&lt;&gt;"",R79=""),AND(T79&lt;&gt;"",T79&lt;O79),AND(U79&lt;&gt;"",U79&lt;O79)),"Chronologie incohérente",IF(AND(OR(L79="Résolu",L79="Clos"),R79=""),"Date de résolution manquante",IF(AND(L79="Clos",S79=""),"Date de clôture manquante",IF(AND(K79="Oui",AC79=""),"Classification DORA manquante","OK"))))))</f>
        <v>OK</v>
      </c>
      <c r="AO79" s="35" t="n">
        <f aca="false">IF($B79="","",IF(AND(C79="Incident",L79&lt;&gt;"Annulé"),1,0))</f>
        <v>1</v>
      </c>
      <c r="AP79" s="35" t="n">
        <f aca="false">IF($B79="","",IF(AND(C79="Quasi-incident",L79&lt;&gt;"Annulé"),1,0))</f>
        <v>0</v>
      </c>
      <c r="AQ79" s="35" t="n">
        <f aca="false">IF($B79="","",AO79+AP79)</f>
        <v>1</v>
      </c>
      <c r="AR79" s="36" t="n">
        <f aca="false">IF(OR($B79="",J79=""),"",IFERROR(VALUE(LEFT(J79,1)),""))</f>
        <v>3</v>
      </c>
      <c r="AS79" s="35" t="n">
        <f aca="false">IF(OR(AO79&lt;&gt;1,G79=""),"",IFERROR(IF(INDEX(L_SrcInterne,MATCH(G79,L_Sources,0))="Oui",1,0),""))</f>
        <v>1</v>
      </c>
      <c r="AT79" s="37" t="n">
        <f aca="false">IF(AO79&lt;&gt;1,"",IFERROR(ROUND(IF(OR(N79="",O79=""),"",IF(O79&lt;N79,"",ROUND(((NETWORKDAYS(N79,O79,JoursFeries)-1)*(HFer-HOuv)+IF(NETWORKDAYS(O79,O79,JoursFeries),MEDIAN(MOD(O79,1),HFer,HOuv),HFer)-IF(NETWORKDAYS(N79,N79,JoursFeries),MEDIAN(MOD(N79,1),HFer,HOuv),HOuv))*24,4)))/HJour,4),""))</f>
        <v>0.0278</v>
      </c>
      <c r="AU79" s="37" t="n">
        <f aca="false">IF(AO79&lt;&gt;1,"",IF(OR(O79="",P79=""),"",IF(P79&lt;O79,"",ROUND(((NETWORKDAYS(O79,P79,JoursFeries)-1)*(HFer-HOuv)+IF(NETWORKDAYS(P79,P79,JoursFeries),MEDIAN(MOD(P79,1),HFer,HOuv),HFer)-IF(NETWORKDAYS(O79,O79,JoursFeries),MEDIAN(MOD(O79,1),HFer,HOuv),HOuv))*24,4))))</f>
        <v>2</v>
      </c>
      <c r="AV79" s="37" t="n">
        <f aca="false">IF(AO79&lt;&gt;1,"",IF(OR(P79="",Q79=""),"",IF(Q79&lt;P79,"",ROUND(((NETWORKDAYS(P79,Q79,JoursFeries)-1)*(HFer-HOuv)+IF(NETWORKDAYS(Q79,Q79,JoursFeries),MEDIAN(MOD(Q79,1),HFer,HOuv),HFer)-IF(NETWORKDAYS(P79,P79,JoursFeries),MEDIAN(MOD(P79,1),HFer,HOuv),HOuv))*24,4))))</f>
        <v>8.5</v>
      </c>
      <c r="AW79" s="37" t="n">
        <f aca="false">IF(AO79&lt;&gt;1,"",IFERROR(ROUND(IF(OR(P79="",R79=""),"",IF(R79&lt;P79,"",ROUND(((NETWORKDAYS(P79,R79,JoursFeries)-1)*(HFer-HOuv)+IF(NETWORKDAYS(R79,R79,JoursFeries),MEDIAN(MOD(R79,1),HFer,HOuv),HFer)-IF(NETWORKDAYS(P79,P79,JoursFeries),MEDIAN(MOD(P79,1),HFer,HOuv),HOuv))*24,4)))/HJour,4),""))</f>
        <v>6.4444</v>
      </c>
      <c r="AX79" s="37" t="n">
        <f aca="false">IF(AO79&lt;&gt;1,"",IFERROR(ROUND(IF(OR(P79="",S79=""),"",IF(S79&lt;P79,"",ROUND(((NETWORKDAYS(P79,S79,JoursFeries)-1)*(HFer-HOuv)+IF(NETWORKDAYS(S79,S79,JoursFeries),MEDIAN(MOD(S79,1),HFer,HOuv),HFer)-IF(NETWORKDAYS(P79,P79,JoursFeries),MEDIAN(MOD(P79,1),HFer,HOuv),HOuv))*24,4)))/HJour,4),""))</f>
        <v>25.7407</v>
      </c>
      <c r="AY79" s="36" t="n">
        <f aca="false">IF(OR(AO79&lt;&gt;1,AR79=""),"",INDEX(SLA_PEC,AR79))</f>
        <v>9</v>
      </c>
      <c r="AZ79" s="35" t="n">
        <f aca="false">IF(OR(AV79="",AY79=""),"",IF(AV79&lt;=AY79,1,0))</f>
        <v>1</v>
      </c>
      <c r="BA79" s="36" t="n">
        <f aca="false">IF(OR(AO79&lt;&gt;1,AR79=""),"",INDEX(SLA_RES,AR79))</f>
        <v>10</v>
      </c>
      <c r="BB79" s="35" t="n">
        <f aca="false">IF(OR(AW79="",BA79=""),"",IF(AW79&lt;=BA79,1,0))</f>
        <v>1</v>
      </c>
      <c r="BC79" s="38" t="n">
        <f aca="false">IF(OR(BA79="",P79=""),"",WORKDAY(INT(P79),BA79,JoursFeries)+MOD(P79,1))</f>
        <v>46254.46875</v>
      </c>
      <c r="BD79" s="39" t="n">
        <f aca="false">IF(AO79&lt;&gt;1,"",IF(OR(AB79&lt;&gt;"",AD79&lt;&gt;""),4,IF(U79&lt;&gt;"",3,IF(T79&lt;&gt;"",2,1))))</f>
        <v>1</v>
      </c>
      <c r="BE79" s="39" t="n">
        <f aca="false">IF(OR(AO79&lt;&gt;1,AR79=""),"",INDEX(NIV_REQ,AR79))</f>
        <v>1</v>
      </c>
      <c r="BF79" s="39" t="n">
        <f aca="false">IF(BE79="","",MAX(BE79,IF(OR(K79="Oui",Z79="Oui"),4,1)))</f>
        <v>1</v>
      </c>
      <c r="BG79" s="35" t="n">
        <f aca="false">IF(OR(BF79="",BD79=""),"",IF(BD79&gt;=BF79,1,0))</f>
        <v>1</v>
      </c>
      <c r="BH79" s="38" t="str">
        <f aca="false">IF(BE79="","",IF(BE79&lt;2,"",IF(BE79=2,IF(AND(T79="",U79=""),"",MIN(T79,U79)),IF(U79="","",U79))))</f>
        <v/>
      </c>
      <c r="BI79" s="37" t="str">
        <f aca="false">IF(BH79="","",IF(OR(O79="",BH79=""),"",IF(BH79&lt;O79,"",ROUND(((NETWORKDAYS(O79,BH79,JoursFeries)-1)*(HFer-HOuv)+IF(NETWORKDAYS(BH79,BH79,JoursFeries),MEDIAN(MOD(BH79,1),HFer,HOuv),HFer)-IF(NETWORKDAYS(O79,O79,JoursFeries),MEDIAN(MOD(O79,1),HFer,HOuv),HOuv))*24,4))))</f>
        <v/>
      </c>
      <c r="BJ79" s="35" t="str">
        <f aca="false">IF(OR(BI79="",AR79=""),"",IF(BI79&lt;=INDEX(DELAI_ESC,AR79),1,0))</f>
        <v/>
      </c>
      <c r="BK79" s="38" t="str">
        <f aca="false">IF(AO79&lt;&gt;1,"",IF(AND(T79="",U79=""),"",MIN(T79,U79)))</f>
        <v/>
      </c>
      <c r="BL79" s="37" t="str">
        <f aca="false">IF(OR(BK79="",R79=""),"",IFERROR(ROUND(IF(OR(BK79="",R79=""),"",IF(R79&lt;BK79,"",ROUND(((NETWORKDAYS(BK79,R79,JoursFeries)-1)*(HFer-HOuv)+IF(NETWORKDAYS(R79,R79,JoursFeries),MEDIAN(MOD(R79,1),HFer,HOuv),HFer)-IF(NETWORKDAYS(BK79,BK79,JoursFeries),MEDIAN(MOD(BK79,1),HFer,HOuv),HOuv))*24,4)))/HJour,4),""))</f>
        <v/>
      </c>
      <c r="BM79" s="35" t="n">
        <f aca="false">IF(OR(AO79&lt;&gt;1,R79=""),"",IF(BD79=1,1,0))</f>
        <v>1</v>
      </c>
      <c r="BN79" s="35" t="n">
        <f aca="false">IF(AO79&lt;&gt;1,"",IF(W79="Oui",1,0))</f>
        <v>0</v>
      </c>
      <c r="BO79" s="35" t="n">
        <f aca="false">IF(AO79&lt;&gt;1,"",IF(X79&lt;&gt;"",1,0))</f>
        <v>0</v>
      </c>
      <c r="BP79" s="35" t="n">
        <f aca="false">IF(AO79&lt;&gt;1,"",IF(Y79="Oui",1,0))</f>
        <v>0</v>
      </c>
      <c r="BQ79" s="35" t="str">
        <f aca="true">IF(OR(AO79&lt;&gt;1,Z79&lt;&gt;"Oui"),"",IF(AB79="",IF(AND(AA79&lt;&gt;"",NOW()&gt;AA79),0,""),IF(AA79="","",IF(AB79&lt;=AA79,1,0))))</f>
        <v/>
      </c>
      <c r="BR79" s="38" t="str">
        <f aca="false">IF(OR(AO79&lt;&gt;1,K79&lt;&gt;"Oui",O79=""),"",IF(AC79="",O79+DORA_H_DET/24,IF(AC79-O79&lt;=DORA_H_DET/24,MIN(AC79+DORA_H_CLA/24,O79+DORA_H_DET/24),AC79+DORA_H_CLA/24)))</f>
        <v/>
      </c>
      <c r="BS79" s="35" t="str">
        <f aca="true">IF(BR79="","",IF(AD79="",IF(NOW()&gt;BR79,0,""),IF(AD79&lt;=BR79,1,0)))</f>
        <v/>
      </c>
      <c r="BT79" s="35" t="str">
        <f aca="true">IF(OR(BR79="",AD79=""),"",IF(AE79="",IF(NOW()&gt;AD79+DORA_H_INT/24,0,""),IF(AE79&lt;=AD79+DORA_H_INT/24,1,0)))</f>
        <v/>
      </c>
      <c r="BU79" s="35" t="str">
        <f aca="true">IF(OR(BR79="",AE79=""),"",IF(AF79="",IF(NOW()&gt;EDATE(AE79,DORA_M_FIN)+1,0,""),IF(AF79&lt;=EDATE(AE79,DORA_M_FIN),1,0)))</f>
        <v/>
      </c>
      <c r="BV79" s="35" t="str">
        <f aca="false">IF(BR79="","",IF(COUNT(BS79:BU79)=0,"",MIN(BS79:BU79)))</f>
        <v/>
      </c>
      <c r="BW79" s="40" t="str">
        <f aca="false">IF(AQ79&lt;&gt;1,"",IF(AND(AG79="",AH79=""),"",N(AG79)-N(AH79)))</f>
        <v/>
      </c>
      <c r="BX79" s="35" t="n">
        <f aca="true">IF(OR(AQ79&lt;&gt;1,AI79&lt;&gt;"Oui",AJ79=""),"",IF(AK79="",IF(NOW()&gt;AJ79+1,0,""),IF(AK79&lt;=AJ79,1,0)))</f>
        <v>1</v>
      </c>
    </row>
    <row r="80" customFormat="false" ht="15" hidden="false" customHeight="false" outlineLevel="0" collapsed="false">
      <c r="B80" s="29" t="s">
        <v>309</v>
      </c>
      <c r="C80" s="29" t="s">
        <v>178</v>
      </c>
      <c r="D80" s="29" t="s">
        <v>195</v>
      </c>
      <c r="E80" s="29" t="s">
        <v>199</v>
      </c>
      <c r="F80" s="29" t="s">
        <v>172</v>
      </c>
      <c r="G80" s="29" t="s">
        <v>180</v>
      </c>
      <c r="H80" s="29"/>
      <c r="I80" s="29" t="s">
        <v>209</v>
      </c>
      <c r="J80" s="29" t="s">
        <v>167</v>
      </c>
      <c r="K80" s="29" t="s">
        <v>168</v>
      </c>
      <c r="L80" s="29" t="s">
        <v>169</v>
      </c>
      <c r="M80" s="29" t="s">
        <v>174</v>
      </c>
      <c r="N80" s="30" t="n">
        <v>46244.5868055556</v>
      </c>
      <c r="O80" s="30" t="n">
        <v>46244.6215277778</v>
      </c>
      <c r="P80" s="30" t="n">
        <v>46244.6284722222</v>
      </c>
      <c r="Q80" s="30" t="n">
        <v>46244.7291666667</v>
      </c>
      <c r="R80" s="30" t="n">
        <v>46252.7048611111</v>
      </c>
      <c r="S80" s="30" t="n">
        <v>46255.4305555556</v>
      </c>
      <c r="T80" s="30"/>
      <c r="U80" s="30"/>
      <c r="V80" s="31" t="n">
        <v>0</v>
      </c>
      <c r="W80" s="29" t="s">
        <v>168</v>
      </c>
      <c r="X80" s="29"/>
      <c r="Y80" s="29" t="s">
        <v>189</v>
      </c>
      <c r="Z80" s="29" t="s">
        <v>168</v>
      </c>
      <c r="AA80" s="30"/>
      <c r="AB80" s="30"/>
      <c r="AC80" s="30"/>
      <c r="AD80" s="30"/>
      <c r="AE80" s="30"/>
      <c r="AF80" s="32"/>
      <c r="AG80" s="33" t="n">
        <v>23200</v>
      </c>
      <c r="AH80" s="33" t="n">
        <v>0</v>
      </c>
      <c r="AI80" s="29" t="s">
        <v>189</v>
      </c>
      <c r="AJ80" s="32" t="n">
        <v>46266</v>
      </c>
      <c r="AK80" s="32" t="n">
        <v>46257</v>
      </c>
      <c r="AL80" s="29"/>
      <c r="AN80" s="34" t="str">
        <f aca="false">IF($B80="","",IF(OR(C80="",D80="",E80="",G80="",I80="",J80="",L80="",O80="",P80=""),"Champ obligatoire manquant",IF(OR(AND(N80&lt;&gt;"",N80&gt;O80),O80&gt;P80,AND(Q80&lt;&gt;"",Q80&lt;P80),AND(R80&lt;&gt;"",R80&lt;P80),AND(S80&lt;&gt;"",S80&lt;R80),AND(S80&lt;&gt;"",R80=""),AND(T80&lt;&gt;"",T80&lt;O80),AND(U80&lt;&gt;"",U80&lt;O80)),"Chronologie incohérente",IF(AND(OR(L80="Résolu",L80="Clos"),R80=""),"Date de résolution manquante",IF(AND(L80="Clos",S80=""),"Date de clôture manquante",IF(AND(K80="Oui",AC80=""),"Classification DORA manquante","OK"))))))</f>
        <v>OK</v>
      </c>
      <c r="AO80" s="35" t="n">
        <f aca="false">IF($B80="","",IF(AND(C80="Incident",L80&lt;&gt;"Annulé"),1,0))</f>
        <v>1</v>
      </c>
      <c r="AP80" s="35" t="n">
        <f aca="false">IF($B80="","",IF(AND(C80="Quasi-incident",L80&lt;&gt;"Annulé"),1,0))</f>
        <v>0</v>
      </c>
      <c r="AQ80" s="35" t="n">
        <f aca="false">IF($B80="","",AO80+AP80)</f>
        <v>1</v>
      </c>
      <c r="AR80" s="36" t="n">
        <f aca="false">IF(OR($B80="",J80=""),"",IFERROR(VALUE(LEFT(J80,1)),""))</f>
        <v>3</v>
      </c>
      <c r="AS80" s="35" t="n">
        <f aca="false">IF(OR(AO80&lt;&gt;1,G80=""),"",IFERROR(IF(INDEX(L_SrcInterne,MATCH(G80,L_Sources,0))="Oui",1,0),""))</f>
        <v>1</v>
      </c>
      <c r="AT80" s="37" t="n">
        <f aca="false">IF(AO80&lt;&gt;1,"",IFERROR(ROUND(IF(OR(N80="",O80=""),"",IF(O80&lt;N80,"",ROUND(((NETWORKDAYS(N80,O80,JoursFeries)-1)*(HFer-HOuv)+IF(NETWORKDAYS(O80,O80,JoursFeries),MEDIAN(MOD(O80,1),HFer,HOuv),HFer)-IF(NETWORKDAYS(N80,N80,JoursFeries),MEDIAN(MOD(N80,1),HFer,HOuv),HOuv))*24,4)))/HJour,4),""))</f>
        <v>0.0926</v>
      </c>
      <c r="AU80" s="37" t="n">
        <f aca="false">IF(AO80&lt;&gt;1,"",IF(OR(O80="",P80=""),"",IF(P80&lt;O80,"",ROUND(((NETWORKDAYS(O80,P80,JoursFeries)-1)*(HFer-HOuv)+IF(NETWORKDAYS(P80,P80,JoursFeries),MEDIAN(MOD(P80,1),HFer,HOuv),HFer)-IF(NETWORKDAYS(O80,O80,JoursFeries),MEDIAN(MOD(O80,1),HFer,HOuv),HOuv))*24,4))))</f>
        <v>0.1667</v>
      </c>
      <c r="AV80" s="37" t="n">
        <f aca="false">IF(AO80&lt;&gt;1,"",IF(OR(P80="",Q80=""),"",IF(Q80&lt;P80,"",ROUND(((NETWORKDAYS(P80,Q80,JoursFeries)-1)*(HFer-HOuv)+IF(NETWORKDAYS(Q80,Q80,JoursFeries),MEDIAN(MOD(Q80,1),HFer,HOuv),HFer)-IF(NETWORKDAYS(P80,P80,JoursFeries),MEDIAN(MOD(P80,1),HFer,HOuv),HOuv))*24,4))))</f>
        <v>2.4167</v>
      </c>
      <c r="AW80" s="37" t="n">
        <f aca="false">IF(AO80&lt;&gt;1,"",IFERROR(ROUND(IF(OR(P80="",R80=""),"",IF(R80&lt;P80,"",ROUND(((NETWORKDAYS(P80,R80,JoursFeries)-1)*(HFer-HOuv)+IF(NETWORKDAYS(R80,R80,JoursFeries),MEDIAN(MOD(R80,1),HFer,HOuv),HFer)-IF(NETWORKDAYS(P80,P80,JoursFeries),MEDIAN(MOD(P80,1),HFer,HOuv),HOuv))*24,4)))/HJour,4),""))</f>
        <v>6.2037</v>
      </c>
      <c r="AX80" s="37" t="n">
        <f aca="false">IF(AO80&lt;&gt;1,"",IFERROR(ROUND(IF(OR(P80="",S80=""),"",IF(S80&lt;P80,"",ROUND(((NETWORKDAYS(P80,S80,JoursFeries)-1)*(HFer-HOuv)+IF(NETWORKDAYS(S80,S80,JoursFeries),MEDIAN(MOD(S80,1),HFer,HOuv),HFer)-IF(NETWORKDAYS(P80,P80,JoursFeries),MEDIAN(MOD(P80,1),HFer,HOuv),HOuv))*24,4)))/HJour,4),""))</f>
        <v>8.4722</v>
      </c>
      <c r="AY80" s="36" t="n">
        <f aca="false">IF(OR(AO80&lt;&gt;1,AR80=""),"",INDEX(SLA_PEC,AR80))</f>
        <v>9</v>
      </c>
      <c r="AZ80" s="35" t="n">
        <f aca="false">IF(OR(AV80="",AY80=""),"",IF(AV80&lt;=AY80,1,0))</f>
        <v>1</v>
      </c>
      <c r="BA80" s="36" t="n">
        <f aca="false">IF(OR(AO80&lt;&gt;1,AR80=""),"",INDEX(SLA_RES,AR80))</f>
        <v>10</v>
      </c>
      <c r="BB80" s="35" t="n">
        <f aca="false">IF(OR(AW80="",BA80=""),"",IF(AW80&lt;=BA80,1,0))</f>
        <v>1</v>
      </c>
      <c r="BC80" s="38" t="n">
        <f aca="false">IF(OR(BA80="",P80=""),"",WORKDAY(INT(P80),BA80,JoursFeries)+MOD(P80,1))</f>
        <v>46258.6284722222</v>
      </c>
      <c r="BD80" s="39" t="n">
        <f aca="false">IF(AO80&lt;&gt;1,"",IF(OR(AB80&lt;&gt;"",AD80&lt;&gt;""),4,IF(U80&lt;&gt;"",3,IF(T80&lt;&gt;"",2,1))))</f>
        <v>1</v>
      </c>
      <c r="BE80" s="39" t="n">
        <f aca="false">IF(OR(AO80&lt;&gt;1,AR80=""),"",INDEX(NIV_REQ,AR80))</f>
        <v>1</v>
      </c>
      <c r="BF80" s="39" t="n">
        <f aca="false">IF(BE80="","",MAX(BE80,IF(OR(K80="Oui",Z80="Oui"),4,1)))</f>
        <v>1</v>
      </c>
      <c r="BG80" s="35" t="n">
        <f aca="false">IF(OR(BF80="",BD80=""),"",IF(BD80&gt;=BF80,1,0))</f>
        <v>1</v>
      </c>
      <c r="BH80" s="38" t="str">
        <f aca="false">IF(BE80="","",IF(BE80&lt;2,"",IF(BE80=2,IF(AND(T80="",U80=""),"",MIN(T80,U80)),IF(U80="","",U80))))</f>
        <v/>
      </c>
      <c r="BI80" s="37" t="str">
        <f aca="false">IF(BH80="","",IF(OR(O80="",BH80=""),"",IF(BH80&lt;O80,"",ROUND(((NETWORKDAYS(O80,BH80,JoursFeries)-1)*(HFer-HOuv)+IF(NETWORKDAYS(BH80,BH80,JoursFeries),MEDIAN(MOD(BH80,1),HFer,HOuv),HFer)-IF(NETWORKDAYS(O80,O80,JoursFeries),MEDIAN(MOD(O80,1),HFer,HOuv),HOuv))*24,4))))</f>
        <v/>
      </c>
      <c r="BJ80" s="35" t="str">
        <f aca="false">IF(OR(BI80="",AR80=""),"",IF(BI80&lt;=INDEX(DELAI_ESC,AR80),1,0))</f>
        <v/>
      </c>
      <c r="BK80" s="38" t="str">
        <f aca="false">IF(AO80&lt;&gt;1,"",IF(AND(T80="",U80=""),"",MIN(T80,U80)))</f>
        <v/>
      </c>
      <c r="BL80" s="37" t="str">
        <f aca="false">IF(OR(BK80="",R80=""),"",IFERROR(ROUND(IF(OR(BK80="",R80=""),"",IF(R80&lt;BK80,"",ROUND(((NETWORKDAYS(BK80,R80,JoursFeries)-1)*(HFer-HOuv)+IF(NETWORKDAYS(R80,R80,JoursFeries),MEDIAN(MOD(R80,1),HFer,HOuv),HFer)-IF(NETWORKDAYS(BK80,BK80,JoursFeries),MEDIAN(MOD(BK80,1),HFer,HOuv),HOuv))*24,4)))/HJour,4),""))</f>
        <v/>
      </c>
      <c r="BM80" s="35" t="n">
        <f aca="false">IF(OR(AO80&lt;&gt;1,R80=""),"",IF(BD80=1,1,0))</f>
        <v>1</v>
      </c>
      <c r="BN80" s="35" t="n">
        <f aca="false">IF(AO80&lt;&gt;1,"",IF(W80="Oui",1,0))</f>
        <v>0</v>
      </c>
      <c r="BO80" s="35" t="n">
        <f aca="false">IF(AO80&lt;&gt;1,"",IF(X80&lt;&gt;"",1,0))</f>
        <v>0</v>
      </c>
      <c r="BP80" s="35" t="n">
        <f aca="false">IF(AO80&lt;&gt;1,"",IF(Y80="Oui",1,0))</f>
        <v>1</v>
      </c>
      <c r="BQ80" s="35" t="str">
        <f aca="true">IF(OR(AO80&lt;&gt;1,Z80&lt;&gt;"Oui"),"",IF(AB80="",IF(AND(AA80&lt;&gt;"",NOW()&gt;AA80),0,""),IF(AA80="","",IF(AB80&lt;=AA80,1,0))))</f>
        <v/>
      </c>
      <c r="BR80" s="38" t="str">
        <f aca="false">IF(OR(AO80&lt;&gt;1,K80&lt;&gt;"Oui",O80=""),"",IF(AC80="",O80+DORA_H_DET/24,IF(AC80-O80&lt;=DORA_H_DET/24,MIN(AC80+DORA_H_CLA/24,O80+DORA_H_DET/24),AC80+DORA_H_CLA/24)))</f>
        <v/>
      </c>
      <c r="BS80" s="35" t="str">
        <f aca="true">IF(BR80="","",IF(AD80="",IF(NOW()&gt;BR80,0,""),IF(AD80&lt;=BR80,1,0)))</f>
        <v/>
      </c>
      <c r="BT80" s="35" t="str">
        <f aca="true">IF(OR(BR80="",AD80=""),"",IF(AE80="",IF(NOW()&gt;AD80+DORA_H_INT/24,0,""),IF(AE80&lt;=AD80+DORA_H_INT/24,1,0)))</f>
        <v/>
      </c>
      <c r="BU80" s="35" t="str">
        <f aca="true">IF(OR(BR80="",AE80=""),"",IF(AF80="",IF(NOW()&gt;EDATE(AE80,DORA_M_FIN)+1,0,""),IF(AF80&lt;=EDATE(AE80,DORA_M_FIN),1,0)))</f>
        <v/>
      </c>
      <c r="BV80" s="35" t="str">
        <f aca="false">IF(BR80="","",IF(COUNT(BS80:BU80)=0,"",MIN(BS80:BU80)))</f>
        <v/>
      </c>
      <c r="BW80" s="40" t="n">
        <f aca="false">IF(AQ80&lt;&gt;1,"",IF(AND(AG80="",AH80=""),"",N(AG80)-N(AH80)))</f>
        <v>23200</v>
      </c>
      <c r="BX80" s="35" t="n">
        <f aca="true">IF(OR(AQ80&lt;&gt;1,AI80&lt;&gt;"Oui",AJ80=""),"",IF(AK80="",IF(NOW()&gt;AJ80+1,0,""),IF(AK80&lt;=AJ80,1,0)))</f>
        <v>1</v>
      </c>
    </row>
    <row r="81" customFormat="false" ht="15" hidden="false" customHeight="false" outlineLevel="0" collapsed="false">
      <c r="B81" s="29" t="s">
        <v>310</v>
      </c>
      <c r="C81" s="29" t="s">
        <v>178</v>
      </c>
      <c r="D81" s="29" t="s">
        <v>191</v>
      </c>
      <c r="E81" s="29" t="s">
        <v>171</v>
      </c>
      <c r="F81" s="29" t="s">
        <v>172</v>
      </c>
      <c r="G81" s="29" t="s">
        <v>164</v>
      </c>
      <c r="H81" s="29" t="s">
        <v>174</v>
      </c>
      <c r="I81" s="29" t="s">
        <v>175</v>
      </c>
      <c r="J81" s="29" t="s">
        <v>219</v>
      </c>
      <c r="K81" s="29" t="s">
        <v>168</v>
      </c>
      <c r="L81" s="29" t="s">
        <v>169</v>
      </c>
      <c r="M81" s="29" t="s">
        <v>182</v>
      </c>
      <c r="N81" s="30" t="n">
        <v>46261.3020833333</v>
      </c>
      <c r="O81" s="30" t="n">
        <v>46261.5486111111</v>
      </c>
      <c r="P81" s="30" t="n">
        <v>46261.5555555556</v>
      </c>
      <c r="Q81" s="30" t="n">
        <v>46261.6319444445</v>
      </c>
      <c r="R81" s="30" t="n">
        <v>46262.6423611111</v>
      </c>
      <c r="S81" s="30" t="n">
        <v>46282.6458333333</v>
      </c>
      <c r="T81" s="30" t="n">
        <v>46262.3854166667</v>
      </c>
      <c r="U81" s="30"/>
      <c r="V81" s="31" t="n">
        <v>1</v>
      </c>
      <c r="W81" s="29" t="s">
        <v>168</v>
      </c>
      <c r="X81" s="29"/>
      <c r="Y81" s="29" t="s">
        <v>189</v>
      </c>
      <c r="Z81" s="29" t="s">
        <v>168</v>
      </c>
      <c r="AA81" s="30"/>
      <c r="AB81" s="30"/>
      <c r="AC81" s="30"/>
      <c r="AD81" s="30"/>
      <c r="AE81" s="30"/>
      <c r="AF81" s="32"/>
      <c r="AG81" s="33" t="n">
        <v>12700</v>
      </c>
      <c r="AH81" s="33" t="n">
        <v>7200</v>
      </c>
      <c r="AI81" s="29" t="s">
        <v>189</v>
      </c>
      <c r="AJ81" s="32" t="n">
        <v>46294</v>
      </c>
      <c r="AK81" s="32" t="n">
        <v>46290</v>
      </c>
      <c r="AL81" s="29"/>
      <c r="AN81" s="34" t="str">
        <f aca="false">IF($B81="","",IF(OR(C81="",D81="",E81="",G81="",I81="",J81="",L81="",O81="",P81=""),"Champ obligatoire manquant",IF(OR(AND(N81&lt;&gt;"",N81&gt;O81),O81&gt;P81,AND(Q81&lt;&gt;"",Q81&lt;P81),AND(R81&lt;&gt;"",R81&lt;P81),AND(S81&lt;&gt;"",S81&lt;R81),AND(S81&lt;&gt;"",R81=""),AND(T81&lt;&gt;"",T81&lt;O81),AND(U81&lt;&gt;"",U81&lt;O81)),"Chronologie incohérente",IF(AND(OR(L81="Résolu",L81="Clos"),R81=""),"Date de résolution manquante",IF(AND(L81="Clos",S81=""),"Date de clôture manquante",IF(AND(K81="Oui",AC81=""),"Classification DORA manquante","OK"))))))</f>
        <v>OK</v>
      </c>
      <c r="AO81" s="35" t="n">
        <f aca="false">IF($B81="","",IF(AND(C81="Incident",L81&lt;&gt;"Annulé"),1,0))</f>
        <v>1</v>
      </c>
      <c r="AP81" s="35" t="n">
        <f aca="false">IF($B81="","",IF(AND(C81="Quasi-incident",L81&lt;&gt;"Annulé"),1,0))</f>
        <v>0</v>
      </c>
      <c r="AQ81" s="35" t="n">
        <f aca="false">IF($B81="","",AO81+AP81)</f>
        <v>1</v>
      </c>
      <c r="AR81" s="36" t="n">
        <f aca="false">IF(OR($B81="",J81=""),"",IFERROR(VALUE(LEFT(J81,1)),""))</f>
        <v>2</v>
      </c>
      <c r="AS81" s="35" t="n">
        <f aca="false">IF(OR(AO81&lt;&gt;1,G81=""),"",IFERROR(IF(INDEX(L_SrcInterne,MATCH(G81,L_Sources,0))="Oui",1,0),""))</f>
        <v>1</v>
      </c>
      <c r="AT81" s="37" t="n">
        <f aca="false">IF(AO81&lt;&gt;1,"",IFERROR(ROUND(IF(OR(N81="",O81=""),"",IF(O81&lt;N81,"",ROUND(((NETWORKDAYS(N81,O81,JoursFeries)-1)*(HFer-HOuv)+IF(NETWORKDAYS(O81,O81,JoursFeries),MEDIAN(MOD(O81,1),HFer,HOuv),HFer)-IF(NETWORKDAYS(N81,N81,JoursFeries),MEDIAN(MOD(N81,1),HFer,HOuv),HOuv))*24,4)))/HJour,4),""))</f>
        <v>0.463</v>
      </c>
      <c r="AU81" s="37" t="n">
        <f aca="false">IF(AO81&lt;&gt;1,"",IF(OR(O81="",P81=""),"",IF(P81&lt;O81,"",ROUND(((NETWORKDAYS(O81,P81,JoursFeries)-1)*(HFer-HOuv)+IF(NETWORKDAYS(P81,P81,JoursFeries),MEDIAN(MOD(P81,1),HFer,HOuv),HFer)-IF(NETWORKDAYS(O81,O81,JoursFeries),MEDIAN(MOD(O81,1),HFer,HOuv),HOuv))*24,4))))</f>
        <v>0.1667</v>
      </c>
      <c r="AV81" s="37" t="n">
        <f aca="false">IF(AO81&lt;&gt;1,"",IF(OR(P81="",Q81=""),"",IF(Q81&lt;P81,"",ROUND(((NETWORKDAYS(P81,Q81,JoursFeries)-1)*(HFer-HOuv)+IF(NETWORKDAYS(Q81,Q81,JoursFeries),MEDIAN(MOD(Q81,1),HFer,HOuv),HFer)-IF(NETWORKDAYS(P81,P81,JoursFeries),MEDIAN(MOD(P81,1),HFer,HOuv),HOuv))*24,4))))</f>
        <v>1.8333</v>
      </c>
      <c r="AW81" s="37" t="n">
        <f aca="false">IF(AO81&lt;&gt;1,"",IFERROR(ROUND(IF(OR(P81="",R81=""),"",IF(R81&lt;P81,"",ROUND(((NETWORKDAYS(P81,R81,JoursFeries)-1)*(HFer-HOuv)+IF(NETWORKDAYS(R81,R81,JoursFeries),MEDIAN(MOD(R81,1),HFer,HOuv),HFer)-IF(NETWORKDAYS(P81,P81,JoursFeries),MEDIAN(MOD(P81,1),HFer,HOuv),HOuv))*24,4)))/HJour,4),""))</f>
        <v>1.2315</v>
      </c>
      <c r="AX81" s="37" t="n">
        <f aca="false">IF(AO81&lt;&gt;1,"",IFERROR(ROUND(IF(OR(P81="",S81=""),"",IF(S81&lt;P81,"",ROUND(((NETWORKDAYS(P81,S81,JoursFeries)-1)*(HFer-HOuv)+IF(NETWORKDAYS(S81,S81,JoursFeries),MEDIAN(MOD(S81,1),HFer,HOuv),HFer)-IF(NETWORKDAYS(P81,P81,JoursFeries),MEDIAN(MOD(P81,1),HFer,HOuv),HOuv))*24,4)))/HJour,4),""))</f>
        <v>15.2407</v>
      </c>
      <c r="AY81" s="36" t="n">
        <f aca="false">IF(OR(AO81&lt;&gt;1,AR81=""),"",INDEX(SLA_PEC,AR81))</f>
        <v>2</v>
      </c>
      <c r="AZ81" s="35" t="n">
        <f aca="false">IF(OR(AV81="",AY81=""),"",IF(AV81&lt;=AY81,1,0))</f>
        <v>1</v>
      </c>
      <c r="BA81" s="36" t="n">
        <f aca="false">IF(OR(AO81&lt;&gt;1,AR81=""),"",INDEX(SLA_RES,AR81))</f>
        <v>3</v>
      </c>
      <c r="BB81" s="35" t="n">
        <f aca="false">IF(OR(AW81="",BA81=""),"",IF(AW81&lt;=BA81,1,0))</f>
        <v>1</v>
      </c>
      <c r="BC81" s="38" t="n">
        <f aca="false">IF(OR(BA81="",P81=""),"",WORKDAY(INT(P81),BA81,JoursFeries)+MOD(P81,1))</f>
        <v>46266.5555555556</v>
      </c>
      <c r="BD81" s="39" t="n">
        <f aca="false">IF(AO81&lt;&gt;1,"",IF(OR(AB81&lt;&gt;"",AD81&lt;&gt;""),4,IF(U81&lt;&gt;"",3,IF(T81&lt;&gt;"",2,1))))</f>
        <v>2</v>
      </c>
      <c r="BE81" s="39" t="n">
        <f aca="false">IF(OR(AO81&lt;&gt;1,AR81=""),"",INDEX(NIV_REQ,AR81))</f>
        <v>2</v>
      </c>
      <c r="BF81" s="39" t="n">
        <f aca="false">IF(BE81="","",MAX(BE81,IF(OR(K81="Oui",Z81="Oui"),4,1)))</f>
        <v>2</v>
      </c>
      <c r="BG81" s="35" t="n">
        <f aca="false">IF(OR(BF81="",BD81=""),"",IF(BD81&gt;=BF81,1,0))</f>
        <v>1</v>
      </c>
      <c r="BH81" s="38" t="n">
        <f aca="false">IF(BE81="","",IF(BE81&lt;2,"",IF(BE81=2,IF(AND(T81="",U81=""),"",MIN(T81,U81)),IF(U81="","",U81))))</f>
        <v>46262.3854166667</v>
      </c>
      <c r="BI81" s="37" t="n">
        <f aca="false">IF(BH81="","",IF(OR(O81="",BH81=""),"",IF(BH81&lt;O81,"",ROUND(((NETWORKDAYS(O81,BH81,JoursFeries)-1)*(HFer-HOuv)+IF(NETWORKDAYS(BH81,BH81,JoursFeries),MEDIAN(MOD(BH81,1),HFer,HOuv),HFer)-IF(NETWORKDAYS(O81,O81,JoursFeries),MEDIAN(MOD(O81,1),HFer,HOuv),HOuv))*24,4))))</f>
        <v>5.0833</v>
      </c>
      <c r="BJ81" s="35" t="n">
        <f aca="false">IF(OR(BI81="",AR81=""),"",IF(BI81&lt;=INDEX(DELAI_ESC,AR81),1,0))</f>
        <v>0</v>
      </c>
      <c r="BK81" s="38" t="n">
        <f aca="false">IF(AO81&lt;&gt;1,"",IF(AND(T81="",U81=""),"",MIN(T81,U81)))</f>
        <v>46262.3854166667</v>
      </c>
      <c r="BL81" s="37" t="n">
        <f aca="false">IF(OR(BK81="",R81=""),"",IFERROR(ROUND(IF(OR(BK81="",R81=""),"",IF(R81&lt;BK81,"",ROUND(((NETWORKDAYS(BK81,R81,JoursFeries)-1)*(HFer-HOuv)+IF(NETWORKDAYS(R81,R81,JoursFeries),MEDIAN(MOD(R81,1),HFer,HOuv),HFer)-IF(NETWORKDAYS(BK81,BK81,JoursFeries),MEDIAN(MOD(BK81,1),HFer,HOuv),HOuv))*24,4)))/HJour,4),""))</f>
        <v>0.6852</v>
      </c>
      <c r="BM81" s="35" t="n">
        <f aca="false">IF(OR(AO81&lt;&gt;1,R81=""),"",IF(BD81=1,1,0))</f>
        <v>0</v>
      </c>
      <c r="BN81" s="35" t="n">
        <f aca="false">IF(AO81&lt;&gt;1,"",IF(W81="Oui",1,0))</f>
        <v>0</v>
      </c>
      <c r="BO81" s="35" t="n">
        <f aca="false">IF(AO81&lt;&gt;1,"",IF(X81&lt;&gt;"",1,0))</f>
        <v>0</v>
      </c>
      <c r="BP81" s="35" t="n">
        <f aca="false">IF(AO81&lt;&gt;1,"",IF(Y81="Oui",1,0))</f>
        <v>1</v>
      </c>
      <c r="BQ81" s="35" t="str">
        <f aca="true">IF(OR(AO81&lt;&gt;1,Z81&lt;&gt;"Oui"),"",IF(AB81="",IF(AND(AA81&lt;&gt;"",NOW()&gt;AA81),0,""),IF(AA81="","",IF(AB81&lt;=AA81,1,0))))</f>
        <v/>
      </c>
      <c r="BR81" s="38" t="str">
        <f aca="false">IF(OR(AO81&lt;&gt;1,K81&lt;&gt;"Oui",O81=""),"",IF(AC81="",O81+DORA_H_DET/24,IF(AC81-O81&lt;=DORA_H_DET/24,MIN(AC81+DORA_H_CLA/24,O81+DORA_H_DET/24),AC81+DORA_H_CLA/24)))</f>
        <v/>
      </c>
      <c r="BS81" s="35" t="str">
        <f aca="true">IF(BR81="","",IF(AD81="",IF(NOW()&gt;BR81,0,""),IF(AD81&lt;=BR81,1,0)))</f>
        <v/>
      </c>
      <c r="BT81" s="35" t="str">
        <f aca="true">IF(OR(BR81="",AD81=""),"",IF(AE81="",IF(NOW()&gt;AD81+DORA_H_INT/24,0,""),IF(AE81&lt;=AD81+DORA_H_INT/24,1,0)))</f>
        <v/>
      </c>
      <c r="BU81" s="35" t="str">
        <f aca="true">IF(OR(BR81="",AE81=""),"",IF(AF81="",IF(NOW()&gt;EDATE(AE81,DORA_M_FIN)+1,0,""),IF(AF81&lt;=EDATE(AE81,DORA_M_FIN),1,0)))</f>
        <v/>
      </c>
      <c r="BV81" s="35" t="str">
        <f aca="false">IF(BR81="","",IF(COUNT(BS81:BU81)=0,"",MIN(BS81:BU81)))</f>
        <v/>
      </c>
      <c r="BW81" s="40" t="n">
        <f aca="false">IF(AQ81&lt;&gt;1,"",IF(AND(AG81="",AH81=""),"",N(AG81)-N(AH81)))</f>
        <v>5500</v>
      </c>
      <c r="BX81" s="35" t="n">
        <f aca="true">IF(OR(AQ81&lt;&gt;1,AI81&lt;&gt;"Oui",AJ81=""),"",IF(AK81="",IF(NOW()&gt;AJ81+1,0,""),IF(AK81&lt;=AJ81,1,0)))</f>
        <v>1</v>
      </c>
    </row>
    <row r="82" customFormat="false" ht="15" hidden="false" customHeight="false" outlineLevel="0" collapsed="false">
      <c r="B82" s="29" t="s">
        <v>311</v>
      </c>
      <c r="C82" s="29" t="s">
        <v>178</v>
      </c>
      <c r="D82" s="29" t="s">
        <v>191</v>
      </c>
      <c r="E82" s="29" t="s">
        <v>203</v>
      </c>
      <c r="F82" s="29" t="s">
        <v>204</v>
      </c>
      <c r="G82" s="29" t="s">
        <v>211</v>
      </c>
      <c r="H82" s="29" t="s">
        <v>182</v>
      </c>
      <c r="I82" s="29" t="s">
        <v>228</v>
      </c>
      <c r="J82" s="29" t="s">
        <v>252</v>
      </c>
      <c r="K82" s="29" t="s">
        <v>189</v>
      </c>
      <c r="L82" s="29" t="s">
        <v>169</v>
      </c>
      <c r="M82" s="29" t="s">
        <v>206</v>
      </c>
      <c r="N82" s="30" t="n">
        <v>46267.4097222222</v>
      </c>
      <c r="O82" s="30" t="n">
        <v>46267.4270833333</v>
      </c>
      <c r="P82" s="30" t="n">
        <v>46267.4444444445</v>
      </c>
      <c r="Q82" s="30" t="n">
        <v>46267.4548611111</v>
      </c>
      <c r="R82" s="30" t="n">
        <v>46268.3958333333</v>
      </c>
      <c r="S82" s="30" t="n">
        <v>46282.6666666667</v>
      </c>
      <c r="T82" s="30" t="n">
        <v>46267.4513888889</v>
      </c>
      <c r="U82" s="30" t="n">
        <v>46267.4791666667</v>
      </c>
      <c r="V82" s="31" t="n">
        <v>1</v>
      </c>
      <c r="W82" s="29" t="s">
        <v>168</v>
      </c>
      <c r="X82" s="29"/>
      <c r="Y82" s="29" t="s">
        <v>189</v>
      </c>
      <c r="Z82" s="29" t="s">
        <v>168</v>
      </c>
      <c r="AA82" s="30"/>
      <c r="AB82" s="30"/>
      <c r="AC82" s="30" t="n">
        <v>46267.5625</v>
      </c>
      <c r="AD82" s="30" t="n">
        <v>46267.65625</v>
      </c>
      <c r="AE82" s="30" t="n">
        <v>46270.4166666667</v>
      </c>
      <c r="AF82" s="32" t="n">
        <v>46295</v>
      </c>
      <c r="AG82" s="33" t="n">
        <v>8000</v>
      </c>
      <c r="AH82" s="33" t="n">
        <v>0</v>
      </c>
      <c r="AI82" s="29" t="s">
        <v>189</v>
      </c>
      <c r="AJ82" s="32" t="n">
        <v>46325</v>
      </c>
      <c r="AK82" s="32"/>
      <c r="AL82" s="29"/>
      <c r="AN82" s="34" t="str">
        <f aca="false">IF($B82="","",IF(OR(C82="",D82="",E82="",G82="",I82="",J82="",L82="",O82="",P82=""),"Champ obligatoire manquant",IF(OR(AND(N82&lt;&gt;"",N82&gt;O82),O82&gt;P82,AND(Q82&lt;&gt;"",Q82&lt;P82),AND(R82&lt;&gt;"",R82&lt;P82),AND(S82&lt;&gt;"",S82&lt;R82),AND(S82&lt;&gt;"",R82=""),AND(T82&lt;&gt;"",T82&lt;O82),AND(U82&lt;&gt;"",U82&lt;O82)),"Chronologie incohérente",IF(AND(OR(L82="Résolu",L82="Clos"),R82=""),"Date de résolution manquante",IF(AND(L82="Clos",S82=""),"Date de clôture manquante",IF(AND(K82="Oui",AC82=""),"Classification DORA manquante","OK"))))))</f>
        <v>OK</v>
      </c>
      <c r="AO82" s="35" t="n">
        <f aca="false">IF($B82="","",IF(AND(C82="Incident",L82&lt;&gt;"Annulé"),1,0))</f>
        <v>1</v>
      </c>
      <c r="AP82" s="35" t="n">
        <f aca="false">IF($B82="","",IF(AND(C82="Quasi-incident",L82&lt;&gt;"Annulé"),1,0))</f>
        <v>0</v>
      </c>
      <c r="AQ82" s="35" t="n">
        <f aca="false">IF($B82="","",AO82+AP82)</f>
        <v>1</v>
      </c>
      <c r="AR82" s="36" t="n">
        <f aca="false">IF(OR($B82="",J82=""),"",IFERROR(VALUE(LEFT(J82,1)),""))</f>
        <v>1</v>
      </c>
      <c r="AS82" s="35" t="n">
        <f aca="false">IF(OR(AO82&lt;&gt;1,G82=""),"",IFERROR(IF(INDEX(L_SrcInterne,MATCH(G82,L_Sources,0))="Oui",1,0),""))</f>
        <v>1</v>
      </c>
      <c r="AT82" s="37" t="n">
        <f aca="false">IF(AO82&lt;&gt;1,"",IFERROR(ROUND(IF(OR(N82="",O82=""),"",IF(O82&lt;N82,"",ROUND(((NETWORKDAYS(N82,O82,JoursFeries)-1)*(HFer-HOuv)+IF(NETWORKDAYS(O82,O82,JoursFeries),MEDIAN(MOD(O82,1),HFer,HOuv),HFer)-IF(NETWORKDAYS(N82,N82,JoursFeries),MEDIAN(MOD(N82,1),HFer,HOuv),HOuv))*24,4)))/HJour,4),""))</f>
        <v>0.0463</v>
      </c>
      <c r="AU82" s="37" t="n">
        <f aca="false">IF(AO82&lt;&gt;1,"",IF(OR(O82="",P82=""),"",IF(P82&lt;O82,"",ROUND(((NETWORKDAYS(O82,P82,JoursFeries)-1)*(HFer-HOuv)+IF(NETWORKDAYS(P82,P82,JoursFeries),MEDIAN(MOD(P82,1),HFer,HOuv),HFer)-IF(NETWORKDAYS(O82,O82,JoursFeries),MEDIAN(MOD(O82,1),HFer,HOuv),HOuv))*24,4))))</f>
        <v>0.4167</v>
      </c>
      <c r="AV82" s="37" t="n">
        <f aca="false">IF(AO82&lt;&gt;1,"",IF(OR(P82="",Q82=""),"",IF(Q82&lt;P82,"",ROUND(((NETWORKDAYS(P82,Q82,JoursFeries)-1)*(HFer-HOuv)+IF(NETWORKDAYS(Q82,Q82,JoursFeries),MEDIAN(MOD(Q82,1),HFer,HOuv),HFer)-IF(NETWORKDAYS(P82,P82,JoursFeries),MEDIAN(MOD(P82,1),HFer,HOuv),HOuv))*24,4))))</f>
        <v>0.25</v>
      </c>
      <c r="AW82" s="37" t="n">
        <f aca="false">IF(AO82&lt;&gt;1,"",IFERROR(ROUND(IF(OR(P82="",R82=""),"",IF(R82&lt;P82,"",ROUND(((NETWORKDAYS(P82,R82,JoursFeries)-1)*(HFer-HOuv)+IF(NETWORKDAYS(R82,R82,JoursFeries),MEDIAN(MOD(R82,1),HFer,HOuv),HFer)-IF(NETWORKDAYS(P82,P82,JoursFeries),MEDIAN(MOD(P82,1),HFer,HOuv),HOuv))*24,4)))/HJour,4),""))</f>
        <v>0.8704</v>
      </c>
      <c r="AX82" s="37" t="n">
        <f aca="false">IF(AO82&lt;&gt;1,"",IFERROR(ROUND(IF(OR(P82="",S82=""),"",IF(S82&lt;P82,"",ROUND(((NETWORKDAYS(P82,S82,JoursFeries)-1)*(HFer-HOuv)+IF(NETWORKDAYS(S82,S82,JoursFeries),MEDIAN(MOD(S82,1),HFer,HOuv),HFer)-IF(NETWORKDAYS(P82,P82,JoursFeries),MEDIAN(MOD(P82,1),HFer,HOuv),HOuv))*24,4)))/HJour,4),""))</f>
        <v>11.5926</v>
      </c>
      <c r="AY82" s="36" t="n">
        <f aca="false">IF(OR(AO82&lt;&gt;1,AR82=""),"",INDEX(SLA_PEC,AR82))</f>
        <v>1</v>
      </c>
      <c r="AZ82" s="35" t="n">
        <f aca="false">IF(OR(AV82="",AY82=""),"",IF(AV82&lt;=AY82,1,0))</f>
        <v>1</v>
      </c>
      <c r="BA82" s="36" t="n">
        <f aca="false">IF(OR(AO82&lt;&gt;1,AR82=""),"",INDEX(SLA_RES,AR82))</f>
        <v>1</v>
      </c>
      <c r="BB82" s="35" t="n">
        <f aca="false">IF(OR(AW82="",BA82=""),"",IF(AW82&lt;=BA82,1,0))</f>
        <v>1</v>
      </c>
      <c r="BC82" s="38" t="n">
        <f aca="false">IF(OR(BA82="",P82=""),"",WORKDAY(INT(P82),BA82,JoursFeries)+MOD(P82,1))</f>
        <v>46268.4444444445</v>
      </c>
      <c r="BD82" s="39" t="n">
        <f aca="false">IF(AO82&lt;&gt;1,"",IF(OR(AB82&lt;&gt;"",AD82&lt;&gt;""),4,IF(U82&lt;&gt;"",3,IF(T82&lt;&gt;"",2,1))))</f>
        <v>4</v>
      </c>
      <c r="BE82" s="39" t="n">
        <f aca="false">IF(OR(AO82&lt;&gt;1,AR82=""),"",INDEX(NIV_REQ,AR82))</f>
        <v>3</v>
      </c>
      <c r="BF82" s="39" t="n">
        <f aca="false">IF(BE82="","",MAX(BE82,IF(OR(K82="Oui",Z82="Oui"),4,1)))</f>
        <v>4</v>
      </c>
      <c r="BG82" s="35" t="n">
        <f aca="false">IF(OR(BF82="",BD82=""),"",IF(BD82&gt;=BF82,1,0))</f>
        <v>1</v>
      </c>
      <c r="BH82" s="38" t="n">
        <f aca="false">IF(BE82="","",IF(BE82&lt;2,"",IF(BE82=2,IF(AND(T82="",U82=""),"",MIN(T82,U82)),IF(U82="","",U82))))</f>
        <v>46267.4791666667</v>
      </c>
      <c r="BI82" s="37" t="n">
        <f aca="false">IF(BH82="","",IF(OR(O82="",BH82=""),"",IF(BH82&lt;O82,"",ROUND(((NETWORKDAYS(O82,BH82,JoursFeries)-1)*(HFer-HOuv)+IF(NETWORKDAYS(BH82,BH82,JoursFeries),MEDIAN(MOD(BH82,1),HFer,HOuv),HFer)-IF(NETWORKDAYS(O82,O82,JoursFeries),MEDIAN(MOD(O82,1),HFer,HOuv),HOuv))*24,4))))</f>
        <v>1.25</v>
      </c>
      <c r="BJ82" s="35" t="n">
        <f aca="false">IF(OR(BI82="",AR82=""),"",IF(BI82&lt;=INDEX(DELAI_ESC,AR82),1,0))</f>
        <v>1</v>
      </c>
      <c r="BK82" s="38" t="n">
        <f aca="false">IF(AO82&lt;&gt;1,"",IF(AND(T82="",U82=""),"",MIN(T82,U82)))</f>
        <v>46267.4513888889</v>
      </c>
      <c r="BL82" s="37" t="n">
        <f aca="false">IF(OR(BK82="",R82=""),"",IFERROR(ROUND(IF(OR(BK82="",R82=""),"",IF(R82&lt;BK82,"",ROUND(((NETWORKDAYS(BK82,R82,JoursFeries)-1)*(HFer-HOuv)+IF(NETWORKDAYS(R82,R82,JoursFeries),MEDIAN(MOD(R82,1),HFer,HOuv),HFer)-IF(NETWORKDAYS(BK82,BK82,JoursFeries),MEDIAN(MOD(BK82,1),HFer,HOuv),HOuv))*24,4)))/HJour,4),""))</f>
        <v>0.8519</v>
      </c>
      <c r="BM82" s="35" t="n">
        <f aca="false">IF(OR(AO82&lt;&gt;1,R82=""),"",IF(BD82=1,1,0))</f>
        <v>0</v>
      </c>
      <c r="BN82" s="35" t="n">
        <f aca="false">IF(AO82&lt;&gt;1,"",IF(W82="Oui",1,0))</f>
        <v>0</v>
      </c>
      <c r="BO82" s="35" t="n">
        <f aca="false">IF(AO82&lt;&gt;1,"",IF(X82&lt;&gt;"",1,0))</f>
        <v>0</v>
      </c>
      <c r="BP82" s="35" t="n">
        <f aca="false">IF(AO82&lt;&gt;1,"",IF(Y82="Oui",1,0))</f>
        <v>1</v>
      </c>
      <c r="BQ82" s="35" t="str">
        <f aca="true">IF(OR(AO82&lt;&gt;1,Z82&lt;&gt;"Oui"),"",IF(AB82="",IF(AND(AA82&lt;&gt;"",NOW()&gt;AA82),0,""),IF(AA82="","",IF(AB82&lt;=AA82,1,0))))</f>
        <v/>
      </c>
      <c r="BR82" s="38" t="n">
        <f aca="false">IF(OR(AO82&lt;&gt;1,K82&lt;&gt;"Oui",O82=""),"",IF(AC82="",O82+DORA_H_DET/24,IF(AC82-O82&lt;=DORA_H_DET/24,MIN(AC82+DORA_H_CLA/24,O82+DORA_H_DET/24),AC82+DORA_H_CLA/24)))</f>
        <v>46267.7291666667</v>
      </c>
      <c r="BS82" s="35" t="n">
        <f aca="true">IF(BR82="","",IF(AD82="",IF(NOW()&gt;BR82,0,""),IF(AD82&lt;=BR82,1,0)))</f>
        <v>1</v>
      </c>
      <c r="BT82" s="35" t="n">
        <f aca="true">IF(OR(BR82="",AD82=""),"",IF(AE82="",IF(NOW()&gt;AD82+DORA_H_INT/24,0,""),IF(AE82&lt;=AD82+DORA_H_INT/24,1,0)))</f>
        <v>1</v>
      </c>
      <c r="BU82" s="35" t="n">
        <f aca="true">IF(OR(BR82="",AE82=""),"",IF(AF82="",IF(NOW()&gt;EDATE(AE82,DORA_M_FIN)+1,0,""),IF(AF82&lt;=EDATE(AE82,DORA_M_FIN),1,0)))</f>
        <v>1</v>
      </c>
      <c r="BV82" s="35" t="n">
        <f aca="false">IF(BR82="","",IF(COUNT(BS82:BU82)=0,"",MIN(BS82:BU82)))</f>
        <v>1</v>
      </c>
      <c r="BW82" s="40" t="n">
        <f aca="false">IF(AQ82&lt;&gt;1,"",IF(AND(AG82="",AH82=""),"",N(AG82)-N(AH82)))</f>
        <v>8000</v>
      </c>
      <c r="BX82" s="35" t="str">
        <f aca="true">IF(OR(AQ82&lt;&gt;1,AI82&lt;&gt;"Oui",AJ82=""),"",IF(AK82="",IF(NOW()&gt;AJ82+1,0,""),IF(AK82&lt;=AJ82,1,0)))</f>
        <v/>
      </c>
    </row>
    <row r="83" customFormat="false" ht="15" hidden="false" customHeight="false" outlineLevel="0" collapsed="false">
      <c r="B83" s="29" t="s">
        <v>312</v>
      </c>
      <c r="C83" s="29" t="s">
        <v>178</v>
      </c>
      <c r="D83" s="29" t="s">
        <v>161</v>
      </c>
      <c r="E83" s="29" t="s">
        <v>179</v>
      </c>
      <c r="F83" s="29" t="s">
        <v>204</v>
      </c>
      <c r="G83" s="29" t="s">
        <v>185</v>
      </c>
      <c r="H83" s="29"/>
      <c r="I83" s="29" t="s">
        <v>181</v>
      </c>
      <c r="J83" s="29" t="s">
        <v>167</v>
      </c>
      <c r="K83" s="29" t="s">
        <v>168</v>
      </c>
      <c r="L83" s="29" t="s">
        <v>313</v>
      </c>
      <c r="M83" s="29" t="s">
        <v>188</v>
      </c>
      <c r="N83" s="30" t="n">
        <v>46268.5555555556</v>
      </c>
      <c r="O83" s="30" t="n">
        <v>46268.6493055556</v>
      </c>
      <c r="P83" s="30" t="n">
        <v>46268.6631944445</v>
      </c>
      <c r="Q83" s="30" t="n">
        <v>46269.5729166667</v>
      </c>
      <c r="R83" s="30"/>
      <c r="S83" s="30"/>
      <c r="T83" s="30"/>
      <c r="U83" s="30"/>
      <c r="V83" s="31" t="n">
        <v>0</v>
      </c>
      <c r="W83" s="29" t="s">
        <v>168</v>
      </c>
      <c r="X83" s="29"/>
      <c r="Y83" s="29" t="s">
        <v>168</v>
      </c>
      <c r="Z83" s="29" t="s">
        <v>168</v>
      </c>
      <c r="AA83" s="30"/>
      <c r="AB83" s="30"/>
      <c r="AC83" s="30"/>
      <c r="AD83" s="30"/>
      <c r="AE83" s="30"/>
      <c r="AF83" s="32"/>
      <c r="AG83" s="33" t="n">
        <v>55300</v>
      </c>
      <c r="AH83" s="33" t="n">
        <v>55300</v>
      </c>
      <c r="AI83" s="29" t="s">
        <v>168</v>
      </c>
      <c r="AJ83" s="32"/>
      <c r="AK83" s="32"/>
      <c r="AL83" s="29"/>
      <c r="AN83" s="34" t="str">
        <f aca="false">IF($B83="","",IF(OR(C83="",D83="",E83="",G83="",I83="",J83="",L83="",O83="",P83=""),"Champ obligatoire manquant",IF(OR(AND(N83&lt;&gt;"",N83&gt;O83),O83&gt;P83,AND(Q83&lt;&gt;"",Q83&lt;P83),AND(R83&lt;&gt;"",R83&lt;P83),AND(S83&lt;&gt;"",S83&lt;R83),AND(S83&lt;&gt;"",R83=""),AND(T83&lt;&gt;"",T83&lt;O83),AND(U83&lt;&gt;"",U83&lt;O83)),"Chronologie incohérente",IF(AND(OR(L83="Résolu",L83="Clos"),R83=""),"Date de résolution manquante",IF(AND(L83="Clos",S83=""),"Date de clôture manquante",IF(AND(K83="Oui",AC83=""),"Classification DORA manquante","OK"))))))</f>
        <v>OK</v>
      </c>
      <c r="AO83" s="35" t="n">
        <f aca="false">IF($B83="","",IF(AND(C83="Incident",L83&lt;&gt;"Annulé"),1,0))</f>
        <v>1</v>
      </c>
      <c r="AP83" s="35" t="n">
        <f aca="false">IF($B83="","",IF(AND(C83="Quasi-incident",L83&lt;&gt;"Annulé"),1,0))</f>
        <v>0</v>
      </c>
      <c r="AQ83" s="35" t="n">
        <f aca="false">IF($B83="","",AO83+AP83)</f>
        <v>1</v>
      </c>
      <c r="AR83" s="36" t="n">
        <f aca="false">IF(OR($B83="",J83=""),"",IFERROR(VALUE(LEFT(J83,1)),""))</f>
        <v>3</v>
      </c>
      <c r="AS83" s="35" t="n">
        <f aca="false">IF(OR(AO83&lt;&gt;1,G83=""),"",IFERROR(IF(INDEX(L_SrcInterne,MATCH(G83,L_Sources,0))="Oui",1,0),""))</f>
        <v>1</v>
      </c>
      <c r="AT83" s="37" t="n">
        <f aca="false">IF(AO83&lt;&gt;1,"",IFERROR(ROUND(IF(OR(N83="",O83=""),"",IF(O83&lt;N83,"",ROUND(((NETWORKDAYS(N83,O83,JoursFeries)-1)*(HFer-HOuv)+IF(NETWORKDAYS(O83,O83,JoursFeries),MEDIAN(MOD(O83,1),HFer,HOuv),HFer)-IF(NETWORKDAYS(N83,N83,JoursFeries),MEDIAN(MOD(N83,1),HFer,HOuv),HOuv))*24,4)))/HJour,4),""))</f>
        <v>0.25</v>
      </c>
      <c r="AU83" s="37" t="n">
        <f aca="false">IF(AO83&lt;&gt;1,"",IF(OR(O83="",P83=""),"",IF(P83&lt;O83,"",ROUND(((NETWORKDAYS(O83,P83,JoursFeries)-1)*(HFer-HOuv)+IF(NETWORKDAYS(P83,P83,JoursFeries),MEDIAN(MOD(P83,1),HFer,HOuv),HFer)-IF(NETWORKDAYS(O83,O83,JoursFeries),MEDIAN(MOD(O83,1),HFer,HOuv),HOuv))*24,4))))</f>
        <v>0.3333</v>
      </c>
      <c r="AV83" s="37" t="n">
        <f aca="false">IF(AO83&lt;&gt;1,"",IF(OR(P83="",Q83=""),"",IF(Q83&lt;P83,"",ROUND(((NETWORKDAYS(P83,Q83,JoursFeries)-1)*(HFer-HOuv)+IF(NETWORKDAYS(Q83,Q83,JoursFeries),MEDIAN(MOD(Q83,1),HFer,HOuv),HFer)-IF(NETWORKDAYS(P83,P83,JoursFeries),MEDIAN(MOD(P83,1),HFer,HOuv),HOuv))*24,4))))</f>
        <v>6.8333</v>
      </c>
      <c r="AW83" s="37" t="str">
        <f aca="false">IF(AO83&lt;&gt;1,"",IFERROR(ROUND(IF(OR(P83="",R83=""),"",IF(R83&lt;P83,"",ROUND(((NETWORKDAYS(P83,R83,JoursFeries)-1)*(HFer-HOuv)+IF(NETWORKDAYS(R83,R83,JoursFeries),MEDIAN(MOD(R83,1),HFer,HOuv),HFer)-IF(NETWORKDAYS(P83,P83,JoursFeries),MEDIAN(MOD(P83,1),HFer,HOuv),HOuv))*24,4)))/HJour,4),""))</f>
        <v/>
      </c>
      <c r="AX83" s="37" t="str">
        <f aca="false">IF(AO83&lt;&gt;1,"",IFERROR(ROUND(IF(OR(P83="",S83=""),"",IF(S83&lt;P83,"",ROUND(((NETWORKDAYS(P83,S83,JoursFeries)-1)*(HFer-HOuv)+IF(NETWORKDAYS(S83,S83,JoursFeries),MEDIAN(MOD(S83,1),HFer,HOuv),HFer)-IF(NETWORKDAYS(P83,P83,JoursFeries),MEDIAN(MOD(P83,1),HFer,HOuv),HOuv))*24,4)))/HJour,4),""))</f>
        <v/>
      </c>
      <c r="AY83" s="36" t="n">
        <f aca="false">IF(OR(AO83&lt;&gt;1,AR83=""),"",INDEX(SLA_PEC,AR83))</f>
        <v>9</v>
      </c>
      <c r="AZ83" s="35" t="n">
        <f aca="false">IF(OR(AV83="",AY83=""),"",IF(AV83&lt;=AY83,1,0))</f>
        <v>1</v>
      </c>
      <c r="BA83" s="36" t="n">
        <f aca="false">IF(OR(AO83&lt;&gt;1,AR83=""),"",INDEX(SLA_RES,AR83))</f>
        <v>10</v>
      </c>
      <c r="BB83" s="35" t="str">
        <f aca="false">IF(OR(AW83="",BA83=""),"",IF(AW83&lt;=BA83,1,0))</f>
        <v/>
      </c>
      <c r="BC83" s="38" t="n">
        <f aca="false">IF(OR(BA83="",P83=""),"",WORKDAY(INT(P83),BA83,JoursFeries)+MOD(P83,1))</f>
        <v>46282.6631944445</v>
      </c>
      <c r="BD83" s="39" t="n">
        <f aca="false">IF(AO83&lt;&gt;1,"",IF(OR(AB83&lt;&gt;"",AD83&lt;&gt;""),4,IF(U83&lt;&gt;"",3,IF(T83&lt;&gt;"",2,1))))</f>
        <v>1</v>
      </c>
      <c r="BE83" s="39" t="n">
        <f aca="false">IF(OR(AO83&lt;&gt;1,AR83=""),"",INDEX(NIV_REQ,AR83))</f>
        <v>1</v>
      </c>
      <c r="BF83" s="39" t="n">
        <f aca="false">IF(BE83="","",MAX(BE83,IF(OR(K83="Oui",Z83="Oui"),4,1)))</f>
        <v>1</v>
      </c>
      <c r="BG83" s="35" t="n">
        <f aca="false">IF(OR(BF83="",BD83=""),"",IF(BD83&gt;=BF83,1,0))</f>
        <v>1</v>
      </c>
      <c r="BH83" s="38" t="str">
        <f aca="false">IF(BE83="","",IF(BE83&lt;2,"",IF(BE83=2,IF(AND(T83="",U83=""),"",MIN(T83,U83)),IF(U83="","",U83))))</f>
        <v/>
      </c>
      <c r="BI83" s="37" t="str">
        <f aca="false">IF(BH83="","",IF(OR(O83="",BH83=""),"",IF(BH83&lt;O83,"",ROUND(((NETWORKDAYS(O83,BH83,JoursFeries)-1)*(HFer-HOuv)+IF(NETWORKDAYS(BH83,BH83,JoursFeries),MEDIAN(MOD(BH83,1),HFer,HOuv),HFer)-IF(NETWORKDAYS(O83,O83,JoursFeries),MEDIAN(MOD(O83,1),HFer,HOuv),HOuv))*24,4))))</f>
        <v/>
      </c>
      <c r="BJ83" s="35" t="str">
        <f aca="false">IF(OR(BI83="",AR83=""),"",IF(BI83&lt;=INDEX(DELAI_ESC,AR83),1,0))</f>
        <v/>
      </c>
      <c r="BK83" s="38" t="str">
        <f aca="false">IF(AO83&lt;&gt;1,"",IF(AND(T83="",U83=""),"",MIN(T83,U83)))</f>
        <v/>
      </c>
      <c r="BL83" s="37" t="str">
        <f aca="false">IF(OR(BK83="",R83=""),"",IFERROR(ROUND(IF(OR(BK83="",R83=""),"",IF(R83&lt;BK83,"",ROUND(((NETWORKDAYS(BK83,R83,JoursFeries)-1)*(HFer-HOuv)+IF(NETWORKDAYS(R83,R83,JoursFeries),MEDIAN(MOD(R83,1),HFer,HOuv),HFer)-IF(NETWORKDAYS(BK83,BK83,JoursFeries),MEDIAN(MOD(BK83,1),HFer,HOuv),HOuv))*24,4)))/HJour,4),""))</f>
        <v/>
      </c>
      <c r="BM83" s="35" t="str">
        <f aca="false">IF(OR(AO83&lt;&gt;1,R83=""),"",IF(BD83=1,1,0))</f>
        <v/>
      </c>
      <c r="BN83" s="35" t="n">
        <f aca="false">IF(AO83&lt;&gt;1,"",IF(W83="Oui",1,0))</f>
        <v>0</v>
      </c>
      <c r="BO83" s="35" t="n">
        <f aca="false">IF(AO83&lt;&gt;1,"",IF(X83&lt;&gt;"",1,0))</f>
        <v>0</v>
      </c>
      <c r="BP83" s="35" t="n">
        <f aca="false">IF(AO83&lt;&gt;1,"",IF(Y83="Oui",1,0))</f>
        <v>0</v>
      </c>
      <c r="BQ83" s="35" t="str">
        <f aca="true">IF(OR(AO83&lt;&gt;1,Z83&lt;&gt;"Oui"),"",IF(AB83="",IF(AND(AA83&lt;&gt;"",NOW()&gt;AA83),0,""),IF(AA83="","",IF(AB83&lt;=AA83,1,0))))</f>
        <v/>
      </c>
      <c r="BR83" s="38" t="str">
        <f aca="false">IF(OR(AO83&lt;&gt;1,K83&lt;&gt;"Oui",O83=""),"",IF(AC83="",O83+DORA_H_DET/24,IF(AC83-O83&lt;=DORA_H_DET/24,MIN(AC83+DORA_H_CLA/24,O83+DORA_H_DET/24),AC83+DORA_H_CLA/24)))</f>
        <v/>
      </c>
      <c r="BS83" s="35" t="str">
        <f aca="true">IF(BR83="","",IF(AD83="",IF(NOW()&gt;BR83,0,""),IF(AD83&lt;=BR83,1,0)))</f>
        <v/>
      </c>
      <c r="BT83" s="35" t="str">
        <f aca="true">IF(OR(BR83="",AD83=""),"",IF(AE83="",IF(NOW()&gt;AD83+DORA_H_INT/24,0,""),IF(AE83&lt;=AD83+DORA_H_INT/24,1,0)))</f>
        <v/>
      </c>
      <c r="BU83" s="35" t="str">
        <f aca="true">IF(OR(BR83="",AE83=""),"",IF(AF83="",IF(NOW()&gt;EDATE(AE83,DORA_M_FIN)+1,0,""),IF(AF83&lt;=EDATE(AE83,DORA_M_FIN),1,0)))</f>
        <v/>
      </c>
      <c r="BV83" s="35" t="str">
        <f aca="false">IF(BR83="","",IF(COUNT(BS83:BU83)=0,"",MIN(BS83:BU83)))</f>
        <v/>
      </c>
      <c r="BW83" s="40" t="n">
        <f aca="false">IF(AQ83&lt;&gt;1,"",IF(AND(AG83="",AH83=""),"",N(AG83)-N(AH83)))</f>
        <v>0</v>
      </c>
      <c r="BX83" s="35" t="str">
        <f aca="true">IF(OR(AQ83&lt;&gt;1,AI83&lt;&gt;"Oui",AJ83=""),"",IF(AK83="",IF(NOW()&gt;AJ83+1,0,""),IF(AK83&lt;=AJ83,1,0)))</f>
        <v/>
      </c>
    </row>
    <row r="84" customFormat="false" ht="15" hidden="false" customHeight="false" outlineLevel="0" collapsed="false">
      <c r="B84" s="29" t="s">
        <v>314</v>
      </c>
      <c r="C84" s="29" t="s">
        <v>178</v>
      </c>
      <c r="D84" s="29" t="s">
        <v>224</v>
      </c>
      <c r="E84" s="29" t="s">
        <v>192</v>
      </c>
      <c r="F84" s="29" t="s">
        <v>172</v>
      </c>
      <c r="G84" s="29" t="s">
        <v>180</v>
      </c>
      <c r="H84" s="29"/>
      <c r="I84" s="29" t="s">
        <v>193</v>
      </c>
      <c r="J84" s="29" t="s">
        <v>167</v>
      </c>
      <c r="K84" s="29" t="s">
        <v>168</v>
      </c>
      <c r="L84" s="29" t="s">
        <v>293</v>
      </c>
      <c r="M84" s="29" t="s">
        <v>206</v>
      </c>
      <c r="N84" s="30" t="n">
        <v>46241.4166666667</v>
      </c>
      <c r="O84" s="30" t="n">
        <v>46272.4166666667</v>
      </c>
      <c r="P84" s="30" t="n">
        <v>46272.4583333333</v>
      </c>
      <c r="Q84" s="30" t="n">
        <v>46272.7118055556</v>
      </c>
      <c r="R84" s="30" t="n">
        <v>46281.6701388889</v>
      </c>
      <c r="S84" s="30"/>
      <c r="T84" s="30"/>
      <c r="U84" s="30"/>
      <c r="V84" s="31" t="n">
        <v>0</v>
      </c>
      <c r="W84" s="29" t="s">
        <v>168</v>
      </c>
      <c r="X84" s="29"/>
      <c r="Y84" s="29" t="s">
        <v>189</v>
      </c>
      <c r="Z84" s="29" t="s">
        <v>168</v>
      </c>
      <c r="AA84" s="30"/>
      <c r="AB84" s="30"/>
      <c r="AC84" s="30"/>
      <c r="AD84" s="30"/>
      <c r="AE84" s="30"/>
      <c r="AF84" s="32"/>
      <c r="AG84" s="33"/>
      <c r="AH84" s="33"/>
      <c r="AI84" s="29" t="s">
        <v>168</v>
      </c>
      <c r="AJ84" s="32"/>
      <c r="AK84" s="32"/>
      <c r="AL84" s="29"/>
      <c r="AN84" s="34" t="str">
        <f aca="false">IF($B84="","",IF(OR(C84="",D84="",E84="",G84="",I84="",J84="",L84="",O84="",P84=""),"Champ obligatoire manquant",IF(OR(AND(N84&lt;&gt;"",N84&gt;O84),O84&gt;P84,AND(Q84&lt;&gt;"",Q84&lt;P84),AND(R84&lt;&gt;"",R84&lt;P84),AND(S84&lt;&gt;"",S84&lt;R84),AND(S84&lt;&gt;"",R84=""),AND(T84&lt;&gt;"",T84&lt;O84),AND(U84&lt;&gt;"",U84&lt;O84)),"Chronologie incohérente",IF(AND(OR(L84="Résolu",L84="Clos"),R84=""),"Date de résolution manquante",IF(AND(L84="Clos",S84=""),"Date de clôture manquante",IF(AND(K84="Oui",AC84=""),"Classification DORA manquante","OK"))))))</f>
        <v>OK</v>
      </c>
      <c r="AO84" s="35" t="n">
        <f aca="false">IF($B84="","",IF(AND(C84="Incident",L84&lt;&gt;"Annulé"),1,0))</f>
        <v>1</v>
      </c>
      <c r="AP84" s="35" t="n">
        <f aca="false">IF($B84="","",IF(AND(C84="Quasi-incident",L84&lt;&gt;"Annulé"),1,0))</f>
        <v>0</v>
      </c>
      <c r="AQ84" s="35" t="n">
        <f aca="false">IF($B84="","",AO84+AP84)</f>
        <v>1</v>
      </c>
      <c r="AR84" s="36" t="n">
        <f aca="false">IF(OR($B84="",J84=""),"",IFERROR(VALUE(LEFT(J84,1)),""))</f>
        <v>3</v>
      </c>
      <c r="AS84" s="35" t="n">
        <f aca="false">IF(OR(AO84&lt;&gt;1,G84=""),"",IFERROR(IF(INDEX(L_SrcInterne,MATCH(G84,L_Sources,0))="Oui",1,0),""))</f>
        <v>1</v>
      </c>
      <c r="AT84" s="37" t="n">
        <f aca="false">IF(AO84&lt;&gt;1,"",IFERROR(ROUND(IF(OR(N84="",O84=""),"",IF(O84&lt;N84,"",ROUND(((NETWORKDAYS(N84,O84,JoursFeries)-1)*(HFer-HOuv)+IF(NETWORKDAYS(O84,O84,JoursFeries),MEDIAN(MOD(O84,1),HFer,HOuv),HFer)-IF(NETWORKDAYS(N84,N84,JoursFeries),MEDIAN(MOD(N84,1),HFer,HOuv),HOuv))*24,4)))/HJour,4),""))</f>
        <v>21</v>
      </c>
      <c r="AU84" s="37" t="n">
        <f aca="false">IF(AO84&lt;&gt;1,"",IF(OR(O84="",P84=""),"",IF(P84&lt;O84,"",ROUND(((NETWORKDAYS(O84,P84,JoursFeries)-1)*(HFer-HOuv)+IF(NETWORKDAYS(P84,P84,JoursFeries),MEDIAN(MOD(P84,1),HFer,HOuv),HFer)-IF(NETWORKDAYS(O84,O84,JoursFeries),MEDIAN(MOD(O84,1),HFer,HOuv),HOuv))*24,4))))</f>
        <v>1</v>
      </c>
      <c r="AV84" s="37" t="n">
        <f aca="false">IF(AO84&lt;&gt;1,"",IF(OR(P84="",Q84=""),"",IF(Q84&lt;P84,"",ROUND(((NETWORKDAYS(P84,Q84,JoursFeries)-1)*(HFer-HOuv)+IF(NETWORKDAYS(Q84,Q84,JoursFeries),MEDIAN(MOD(Q84,1),HFer,HOuv),HFer)-IF(NETWORKDAYS(P84,P84,JoursFeries),MEDIAN(MOD(P84,1),HFer,HOuv),HOuv))*24,4))))</f>
        <v>6.0833</v>
      </c>
      <c r="AW84" s="37" t="n">
        <f aca="false">IF(AO84&lt;&gt;1,"",IFERROR(ROUND(IF(OR(P84="",R84=""),"",IF(R84&lt;P84,"",ROUND(((NETWORKDAYS(P84,R84,JoursFeries)-1)*(HFer-HOuv)+IF(NETWORKDAYS(R84,R84,JoursFeries),MEDIAN(MOD(R84,1),HFer,HOuv),HFer)-IF(NETWORKDAYS(P84,P84,JoursFeries),MEDIAN(MOD(P84,1),HFer,HOuv),HOuv))*24,4)))/HJour,4),""))</f>
        <v>7.5648</v>
      </c>
      <c r="AX84" s="37" t="str">
        <f aca="false">IF(AO84&lt;&gt;1,"",IFERROR(ROUND(IF(OR(P84="",S84=""),"",IF(S84&lt;P84,"",ROUND(((NETWORKDAYS(P84,S84,JoursFeries)-1)*(HFer-HOuv)+IF(NETWORKDAYS(S84,S84,JoursFeries),MEDIAN(MOD(S84,1),HFer,HOuv),HFer)-IF(NETWORKDAYS(P84,P84,JoursFeries),MEDIAN(MOD(P84,1),HFer,HOuv),HOuv))*24,4)))/HJour,4),""))</f>
        <v/>
      </c>
      <c r="AY84" s="36" t="n">
        <f aca="false">IF(OR(AO84&lt;&gt;1,AR84=""),"",INDEX(SLA_PEC,AR84))</f>
        <v>9</v>
      </c>
      <c r="AZ84" s="35" t="n">
        <f aca="false">IF(OR(AV84="",AY84=""),"",IF(AV84&lt;=AY84,1,0))</f>
        <v>1</v>
      </c>
      <c r="BA84" s="36" t="n">
        <f aca="false">IF(OR(AO84&lt;&gt;1,AR84=""),"",INDEX(SLA_RES,AR84))</f>
        <v>10</v>
      </c>
      <c r="BB84" s="35" t="n">
        <f aca="false">IF(OR(AW84="",BA84=""),"",IF(AW84&lt;=BA84,1,0))</f>
        <v>1</v>
      </c>
      <c r="BC84" s="38" t="n">
        <f aca="false">IF(OR(BA84="",P84=""),"",WORKDAY(INT(P84),BA84,JoursFeries)+MOD(P84,1))</f>
        <v>46286.4583333333</v>
      </c>
      <c r="BD84" s="39" t="n">
        <f aca="false">IF(AO84&lt;&gt;1,"",IF(OR(AB84&lt;&gt;"",AD84&lt;&gt;""),4,IF(U84&lt;&gt;"",3,IF(T84&lt;&gt;"",2,1))))</f>
        <v>1</v>
      </c>
      <c r="BE84" s="39" t="n">
        <f aca="false">IF(OR(AO84&lt;&gt;1,AR84=""),"",INDEX(NIV_REQ,AR84))</f>
        <v>1</v>
      </c>
      <c r="BF84" s="39" t="n">
        <f aca="false">IF(BE84="","",MAX(BE84,IF(OR(K84="Oui",Z84="Oui"),4,1)))</f>
        <v>1</v>
      </c>
      <c r="BG84" s="35" t="n">
        <f aca="false">IF(OR(BF84="",BD84=""),"",IF(BD84&gt;=BF84,1,0))</f>
        <v>1</v>
      </c>
      <c r="BH84" s="38" t="str">
        <f aca="false">IF(BE84="","",IF(BE84&lt;2,"",IF(BE84=2,IF(AND(T84="",U84=""),"",MIN(T84,U84)),IF(U84="","",U84))))</f>
        <v/>
      </c>
      <c r="BI84" s="37" t="str">
        <f aca="false">IF(BH84="","",IF(OR(O84="",BH84=""),"",IF(BH84&lt;O84,"",ROUND(((NETWORKDAYS(O84,BH84,JoursFeries)-1)*(HFer-HOuv)+IF(NETWORKDAYS(BH84,BH84,JoursFeries),MEDIAN(MOD(BH84,1),HFer,HOuv),HFer)-IF(NETWORKDAYS(O84,O84,JoursFeries),MEDIAN(MOD(O84,1),HFer,HOuv),HOuv))*24,4))))</f>
        <v/>
      </c>
      <c r="BJ84" s="35" t="str">
        <f aca="false">IF(OR(BI84="",AR84=""),"",IF(BI84&lt;=INDEX(DELAI_ESC,AR84),1,0))</f>
        <v/>
      </c>
      <c r="BK84" s="38" t="str">
        <f aca="false">IF(AO84&lt;&gt;1,"",IF(AND(T84="",U84=""),"",MIN(T84,U84)))</f>
        <v/>
      </c>
      <c r="BL84" s="37" t="str">
        <f aca="false">IF(OR(BK84="",R84=""),"",IFERROR(ROUND(IF(OR(BK84="",R84=""),"",IF(R84&lt;BK84,"",ROUND(((NETWORKDAYS(BK84,R84,JoursFeries)-1)*(HFer-HOuv)+IF(NETWORKDAYS(R84,R84,JoursFeries),MEDIAN(MOD(R84,1),HFer,HOuv),HFer)-IF(NETWORKDAYS(BK84,BK84,JoursFeries),MEDIAN(MOD(BK84,1),HFer,HOuv),HOuv))*24,4)))/HJour,4),""))</f>
        <v/>
      </c>
      <c r="BM84" s="35" t="n">
        <f aca="false">IF(OR(AO84&lt;&gt;1,R84=""),"",IF(BD84=1,1,0))</f>
        <v>1</v>
      </c>
      <c r="BN84" s="35" t="n">
        <f aca="false">IF(AO84&lt;&gt;1,"",IF(W84="Oui",1,0))</f>
        <v>0</v>
      </c>
      <c r="BO84" s="35" t="n">
        <f aca="false">IF(AO84&lt;&gt;1,"",IF(X84&lt;&gt;"",1,0))</f>
        <v>0</v>
      </c>
      <c r="BP84" s="35" t="n">
        <f aca="false">IF(AO84&lt;&gt;1,"",IF(Y84="Oui",1,0))</f>
        <v>1</v>
      </c>
      <c r="BQ84" s="35" t="str">
        <f aca="true">IF(OR(AO84&lt;&gt;1,Z84&lt;&gt;"Oui"),"",IF(AB84="",IF(AND(AA84&lt;&gt;"",NOW()&gt;AA84),0,""),IF(AA84="","",IF(AB84&lt;=AA84,1,0))))</f>
        <v/>
      </c>
      <c r="BR84" s="38" t="str">
        <f aca="false">IF(OR(AO84&lt;&gt;1,K84&lt;&gt;"Oui",O84=""),"",IF(AC84="",O84+DORA_H_DET/24,IF(AC84-O84&lt;=DORA_H_DET/24,MIN(AC84+DORA_H_CLA/24,O84+DORA_H_DET/24),AC84+DORA_H_CLA/24)))</f>
        <v/>
      </c>
      <c r="BS84" s="35" t="str">
        <f aca="true">IF(BR84="","",IF(AD84="",IF(NOW()&gt;BR84,0,""),IF(AD84&lt;=BR84,1,0)))</f>
        <v/>
      </c>
      <c r="BT84" s="35" t="str">
        <f aca="true">IF(OR(BR84="",AD84=""),"",IF(AE84="",IF(NOW()&gt;AD84+DORA_H_INT/24,0,""),IF(AE84&lt;=AD84+DORA_H_INT/24,1,0)))</f>
        <v/>
      </c>
      <c r="BU84" s="35" t="str">
        <f aca="true">IF(OR(BR84="",AE84=""),"",IF(AF84="",IF(NOW()&gt;EDATE(AE84,DORA_M_FIN)+1,0,""),IF(AF84&lt;=EDATE(AE84,DORA_M_FIN),1,0)))</f>
        <v/>
      </c>
      <c r="BV84" s="35" t="str">
        <f aca="false">IF(BR84="","",IF(COUNT(BS84:BU84)=0,"",MIN(BS84:BU84)))</f>
        <v/>
      </c>
      <c r="BW84" s="40" t="str">
        <f aca="false">IF(AQ84&lt;&gt;1,"",IF(AND(AG84="",AH84=""),"",N(AG84)-N(AH84)))</f>
        <v/>
      </c>
      <c r="BX84" s="35" t="str">
        <f aca="true">IF(OR(AQ84&lt;&gt;1,AI84&lt;&gt;"Oui",AJ84=""),"",IF(AK84="",IF(NOW()&gt;AJ84+1,0,""),IF(AK84&lt;=AJ84,1,0)))</f>
        <v/>
      </c>
    </row>
    <row r="85" customFormat="false" ht="15" hidden="false" customHeight="false" outlineLevel="0" collapsed="false">
      <c r="B85" s="29" t="s">
        <v>315</v>
      </c>
      <c r="C85" s="29" t="s">
        <v>178</v>
      </c>
      <c r="D85" s="29" t="s">
        <v>184</v>
      </c>
      <c r="E85" s="29" t="s">
        <v>199</v>
      </c>
      <c r="F85" s="29" t="s">
        <v>172</v>
      </c>
      <c r="G85" s="29" t="s">
        <v>196</v>
      </c>
      <c r="H85" s="29"/>
      <c r="I85" s="29" t="s">
        <v>200</v>
      </c>
      <c r="J85" s="29" t="s">
        <v>167</v>
      </c>
      <c r="K85" s="29" t="s">
        <v>168</v>
      </c>
      <c r="L85" s="29" t="s">
        <v>169</v>
      </c>
      <c r="M85" s="29" t="s">
        <v>182</v>
      </c>
      <c r="N85" s="30" t="n">
        <v>46269.5381944445</v>
      </c>
      <c r="O85" s="30" t="n">
        <v>46272.5381944445</v>
      </c>
      <c r="P85" s="30" t="n">
        <v>46272.5451388889</v>
      </c>
      <c r="Q85" s="30" t="n">
        <v>46272.5729166667</v>
      </c>
      <c r="R85" s="30" t="n">
        <v>46283.4583333333</v>
      </c>
      <c r="S85" s="30" t="n">
        <v>46293.4201388889</v>
      </c>
      <c r="T85" s="30"/>
      <c r="U85" s="30"/>
      <c r="V85" s="31" t="n">
        <v>2</v>
      </c>
      <c r="W85" s="29" t="s">
        <v>168</v>
      </c>
      <c r="X85" s="29"/>
      <c r="Y85" s="29" t="s">
        <v>168</v>
      </c>
      <c r="Z85" s="29" t="s">
        <v>168</v>
      </c>
      <c r="AA85" s="30"/>
      <c r="AB85" s="30"/>
      <c r="AC85" s="30"/>
      <c r="AD85" s="30"/>
      <c r="AE85" s="30"/>
      <c r="AF85" s="32"/>
      <c r="AG85" s="33"/>
      <c r="AH85" s="33"/>
      <c r="AI85" s="29" t="s">
        <v>168</v>
      </c>
      <c r="AJ85" s="32"/>
      <c r="AK85" s="32"/>
      <c r="AL85" s="29"/>
      <c r="AN85" s="34" t="str">
        <f aca="false">IF($B85="","",IF(OR(C85="",D85="",E85="",G85="",I85="",J85="",L85="",O85="",P85=""),"Champ obligatoire manquant",IF(OR(AND(N85&lt;&gt;"",N85&gt;O85),O85&gt;P85,AND(Q85&lt;&gt;"",Q85&lt;P85),AND(R85&lt;&gt;"",R85&lt;P85),AND(S85&lt;&gt;"",S85&lt;R85),AND(S85&lt;&gt;"",R85=""),AND(T85&lt;&gt;"",T85&lt;O85),AND(U85&lt;&gt;"",U85&lt;O85)),"Chronologie incohérente",IF(AND(OR(L85="Résolu",L85="Clos"),R85=""),"Date de résolution manquante",IF(AND(L85="Clos",S85=""),"Date de clôture manquante",IF(AND(K85="Oui",AC85=""),"Classification DORA manquante","OK"))))))</f>
        <v>OK</v>
      </c>
      <c r="AO85" s="35" t="n">
        <f aca="false">IF($B85="","",IF(AND(C85="Incident",L85&lt;&gt;"Annulé"),1,0))</f>
        <v>1</v>
      </c>
      <c r="AP85" s="35" t="n">
        <f aca="false">IF($B85="","",IF(AND(C85="Quasi-incident",L85&lt;&gt;"Annulé"),1,0))</f>
        <v>0</v>
      </c>
      <c r="AQ85" s="35" t="n">
        <f aca="false">IF($B85="","",AO85+AP85)</f>
        <v>1</v>
      </c>
      <c r="AR85" s="36" t="n">
        <f aca="false">IF(OR($B85="",J85=""),"",IFERROR(VALUE(LEFT(J85,1)),""))</f>
        <v>3</v>
      </c>
      <c r="AS85" s="35" t="n">
        <f aca="false">IF(OR(AO85&lt;&gt;1,G85=""),"",IFERROR(IF(INDEX(L_SrcInterne,MATCH(G85,L_Sources,0))="Oui",1,0),""))</f>
        <v>0</v>
      </c>
      <c r="AT85" s="37" t="n">
        <f aca="false">IF(AO85&lt;&gt;1,"",IFERROR(ROUND(IF(OR(N85="",O85=""),"",IF(O85&lt;N85,"",ROUND(((NETWORKDAYS(N85,O85,JoursFeries)-1)*(HFer-HOuv)+IF(NETWORKDAYS(O85,O85,JoursFeries),MEDIAN(MOD(O85,1),HFer,HOuv),HFer)-IF(NETWORKDAYS(N85,N85,JoursFeries),MEDIAN(MOD(N85,1),HFer,HOuv),HOuv))*24,4)))/HJour,4),""))</f>
        <v>1</v>
      </c>
      <c r="AU85" s="37" t="n">
        <f aca="false">IF(AO85&lt;&gt;1,"",IF(OR(O85="",P85=""),"",IF(P85&lt;O85,"",ROUND(((NETWORKDAYS(O85,P85,JoursFeries)-1)*(HFer-HOuv)+IF(NETWORKDAYS(P85,P85,JoursFeries),MEDIAN(MOD(P85,1),HFer,HOuv),HFer)-IF(NETWORKDAYS(O85,O85,JoursFeries),MEDIAN(MOD(O85,1),HFer,HOuv),HOuv))*24,4))))</f>
        <v>0.1667</v>
      </c>
      <c r="AV85" s="37" t="n">
        <f aca="false">IF(AO85&lt;&gt;1,"",IF(OR(P85="",Q85=""),"",IF(Q85&lt;P85,"",ROUND(((NETWORKDAYS(P85,Q85,JoursFeries)-1)*(HFer-HOuv)+IF(NETWORKDAYS(Q85,Q85,JoursFeries),MEDIAN(MOD(Q85,1),HFer,HOuv),HFer)-IF(NETWORKDAYS(P85,P85,JoursFeries),MEDIAN(MOD(P85,1),HFer,HOuv),HOuv))*24,4))))</f>
        <v>0.6667</v>
      </c>
      <c r="AW85" s="37" t="n">
        <f aca="false">IF(AO85&lt;&gt;1,"",IFERROR(ROUND(IF(OR(P85="",R85=""),"",IF(R85&lt;P85,"",ROUND(((NETWORKDAYS(P85,R85,JoursFeries)-1)*(HFer-HOuv)+IF(NETWORKDAYS(R85,R85,JoursFeries),MEDIAN(MOD(R85,1),HFer,HOuv),HFer)-IF(NETWORKDAYS(P85,P85,JoursFeries),MEDIAN(MOD(P85,1),HFer,HOuv),HOuv))*24,4)))/HJour,4),""))</f>
        <v>8.7685</v>
      </c>
      <c r="AX85" s="37" t="n">
        <f aca="false">IF(AO85&lt;&gt;1,"",IFERROR(ROUND(IF(OR(P85="",S85=""),"",IF(S85&lt;P85,"",ROUND(((NETWORKDAYS(P85,S85,JoursFeries)-1)*(HFer-HOuv)+IF(NETWORKDAYS(S85,S85,JoursFeries),MEDIAN(MOD(S85,1),HFer,HOuv),HFer)-IF(NETWORKDAYS(P85,P85,JoursFeries),MEDIAN(MOD(P85,1),HFer,HOuv),HOuv))*24,4)))/HJour,4),""))</f>
        <v>14.6667</v>
      </c>
      <c r="AY85" s="36" t="n">
        <f aca="false">IF(OR(AO85&lt;&gt;1,AR85=""),"",INDEX(SLA_PEC,AR85))</f>
        <v>9</v>
      </c>
      <c r="AZ85" s="35" t="n">
        <f aca="false">IF(OR(AV85="",AY85=""),"",IF(AV85&lt;=AY85,1,0))</f>
        <v>1</v>
      </c>
      <c r="BA85" s="36" t="n">
        <f aca="false">IF(OR(AO85&lt;&gt;1,AR85=""),"",INDEX(SLA_RES,AR85))</f>
        <v>10</v>
      </c>
      <c r="BB85" s="35" t="n">
        <f aca="false">IF(OR(AW85="",BA85=""),"",IF(AW85&lt;=BA85,1,0))</f>
        <v>1</v>
      </c>
      <c r="BC85" s="38" t="n">
        <f aca="false">IF(OR(BA85="",P85=""),"",WORKDAY(INT(P85),BA85,JoursFeries)+MOD(P85,1))</f>
        <v>46286.5451388889</v>
      </c>
      <c r="BD85" s="39" t="n">
        <f aca="false">IF(AO85&lt;&gt;1,"",IF(OR(AB85&lt;&gt;"",AD85&lt;&gt;""),4,IF(U85&lt;&gt;"",3,IF(T85&lt;&gt;"",2,1))))</f>
        <v>1</v>
      </c>
      <c r="BE85" s="39" t="n">
        <f aca="false">IF(OR(AO85&lt;&gt;1,AR85=""),"",INDEX(NIV_REQ,AR85))</f>
        <v>1</v>
      </c>
      <c r="BF85" s="39" t="n">
        <f aca="false">IF(BE85="","",MAX(BE85,IF(OR(K85="Oui",Z85="Oui"),4,1)))</f>
        <v>1</v>
      </c>
      <c r="BG85" s="35" t="n">
        <f aca="false">IF(OR(BF85="",BD85=""),"",IF(BD85&gt;=BF85,1,0))</f>
        <v>1</v>
      </c>
      <c r="BH85" s="38" t="str">
        <f aca="false">IF(BE85="","",IF(BE85&lt;2,"",IF(BE85=2,IF(AND(T85="",U85=""),"",MIN(T85,U85)),IF(U85="","",U85))))</f>
        <v/>
      </c>
      <c r="BI85" s="37" t="str">
        <f aca="false">IF(BH85="","",IF(OR(O85="",BH85=""),"",IF(BH85&lt;O85,"",ROUND(((NETWORKDAYS(O85,BH85,JoursFeries)-1)*(HFer-HOuv)+IF(NETWORKDAYS(BH85,BH85,JoursFeries),MEDIAN(MOD(BH85,1),HFer,HOuv),HFer)-IF(NETWORKDAYS(O85,O85,JoursFeries),MEDIAN(MOD(O85,1),HFer,HOuv),HOuv))*24,4))))</f>
        <v/>
      </c>
      <c r="BJ85" s="35" t="str">
        <f aca="false">IF(OR(BI85="",AR85=""),"",IF(BI85&lt;=INDEX(DELAI_ESC,AR85),1,0))</f>
        <v/>
      </c>
      <c r="BK85" s="38" t="str">
        <f aca="false">IF(AO85&lt;&gt;1,"",IF(AND(T85="",U85=""),"",MIN(T85,U85)))</f>
        <v/>
      </c>
      <c r="BL85" s="37" t="str">
        <f aca="false">IF(OR(BK85="",R85=""),"",IFERROR(ROUND(IF(OR(BK85="",R85=""),"",IF(R85&lt;BK85,"",ROUND(((NETWORKDAYS(BK85,R85,JoursFeries)-1)*(HFer-HOuv)+IF(NETWORKDAYS(R85,R85,JoursFeries),MEDIAN(MOD(R85,1),HFer,HOuv),HFer)-IF(NETWORKDAYS(BK85,BK85,JoursFeries),MEDIAN(MOD(BK85,1),HFer,HOuv),HOuv))*24,4)))/HJour,4),""))</f>
        <v/>
      </c>
      <c r="BM85" s="35" t="n">
        <f aca="false">IF(OR(AO85&lt;&gt;1,R85=""),"",IF(BD85=1,1,0))</f>
        <v>1</v>
      </c>
      <c r="BN85" s="35" t="n">
        <f aca="false">IF(AO85&lt;&gt;1,"",IF(W85="Oui",1,0))</f>
        <v>0</v>
      </c>
      <c r="BO85" s="35" t="n">
        <f aca="false">IF(AO85&lt;&gt;1,"",IF(X85&lt;&gt;"",1,0))</f>
        <v>0</v>
      </c>
      <c r="BP85" s="35" t="n">
        <f aca="false">IF(AO85&lt;&gt;1,"",IF(Y85="Oui",1,0))</f>
        <v>0</v>
      </c>
      <c r="BQ85" s="35" t="str">
        <f aca="true">IF(OR(AO85&lt;&gt;1,Z85&lt;&gt;"Oui"),"",IF(AB85="",IF(AND(AA85&lt;&gt;"",NOW()&gt;AA85),0,""),IF(AA85="","",IF(AB85&lt;=AA85,1,0))))</f>
        <v/>
      </c>
      <c r="BR85" s="38" t="str">
        <f aca="false">IF(OR(AO85&lt;&gt;1,K85&lt;&gt;"Oui",O85=""),"",IF(AC85="",O85+DORA_H_DET/24,IF(AC85-O85&lt;=DORA_H_DET/24,MIN(AC85+DORA_H_CLA/24,O85+DORA_H_DET/24),AC85+DORA_H_CLA/24)))</f>
        <v/>
      </c>
      <c r="BS85" s="35" t="str">
        <f aca="true">IF(BR85="","",IF(AD85="",IF(NOW()&gt;BR85,0,""),IF(AD85&lt;=BR85,1,0)))</f>
        <v/>
      </c>
      <c r="BT85" s="35" t="str">
        <f aca="true">IF(OR(BR85="",AD85=""),"",IF(AE85="",IF(NOW()&gt;AD85+DORA_H_INT/24,0,""),IF(AE85&lt;=AD85+DORA_H_INT/24,1,0)))</f>
        <v/>
      </c>
      <c r="BU85" s="35" t="str">
        <f aca="true">IF(OR(BR85="",AE85=""),"",IF(AF85="",IF(NOW()&gt;EDATE(AE85,DORA_M_FIN)+1,0,""),IF(AF85&lt;=EDATE(AE85,DORA_M_FIN),1,0)))</f>
        <v/>
      </c>
      <c r="BV85" s="35" t="str">
        <f aca="false">IF(BR85="","",IF(COUNT(BS85:BU85)=0,"",MIN(BS85:BU85)))</f>
        <v/>
      </c>
      <c r="BW85" s="40" t="str">
        <f aca="false">IF(AQ85&lt;&gt;1,"",IF(AND(AG85="",AH85=""),"",N(AG85)-N(AH85)))</f>
        <v/>
      </c>
      <c r="BX85" s="35" t="str">
        <f aca="true">IF(OR(AQ85&lt;&gt;1,AI85&lt;&gt;"Oui",AJ85=""),"",IF(AK85="",IF(NOW()&gt;AJ85+1,0,""),IF(AK85&lt;=AJ85,1,0)))</f>
        <v/>
      </c>
    </row>
    <row r="86" customFormat="false" ht="15" hidden="false" customHeight="false" outlineLevel="0" collapsed="false">
      <c r="B86" s="29" t="s">
        <v>316</v>
      </c>
      <c r="C86" s="29" t="s">
        <v>178</v>
      </c>
      <c r="D86" s="29" t="s">
        <v>224</v>
      </c>
      <c r="E86" s="29" t="s">
        <v>221</v>
      </c>
      <c r="F86" s="29" t="s">
        <v>163</v>
      </c>
      <c r="G86" s="29" t="s">
        <v>180</v>
      </c>
      <c r="H86" s="29"/>
      <c r="I86" s="29" t="s">
        <v>222</v>
      </c>
      <c r="J86" s="29" t="s">
        <v>187</v>
      </c>
      <c r="K86" s="29" t="s">
        <v>168</v>
      </c>
      <c r="L86" s="29" t="s">
        <v>293</v>
      </c>
      <c r="M86" s="29" t="s">
        <v>206</v>
      </c>
      <c r="N86" s="30" t="n">
        <v>46273.125</v>
      </c>
      <c r="O86" s="30" t="n">
        <v>46273.3715277778</v>
      </c>
      <c r="P86" s="30" t="n">
        <v>46273.3784722222</v>
      </c>
      <c r="Q86" s="30" t="n">
        <v>46274.4375</v>
      </c>
      <c r="R86" s="30" t="n">
        <v>46288.6388888889</v>
      </c>
      <c r="S86" s="30"/>
      <c r="T86" s="30"/>
      <c r="U86" s="30"/>
      <c r="V86" s="31" t="n">
        <v>0</v>
      </c>
      <c r="W86" s="29" t="s">
        <v>168</v>
      </c>
      <c r="X86" s="29"/>
      <c r="Y86" s="29" t="s">
        <v>168</v>
      </c>
      <c r="Z86" s="29" t="s">
        <v>168</v>
      </c>
      <c r="AA86" s="30"/>
      <c r="AB86" s="30"/>
      <c r="AC86" s="30"/>
      <c r="AD86" s="30"/>
      <c r="AE86" s="30"/>
      <c r="AF86" s="32"/>
      <c r="AG86" s="33"/>
      <c r="AH86" s="33"/>
      <c r="AI86" s="29" t="s">
        <v>168</v>
      </c>
      <c r="AJ86" s="32"/>
      <c r="AK86" s="32"/>
      <c r="AL86" s="29"/>
      <c r="AN86" s="34" t="str">
        <f aca="false">IF($B86="","",IF(OR(C86="",D86="",E86="",G86="",I86="",J86="",L86="",O86="",P86=""),"Champ obligatoire manquant",IF(OR(AND(N86&lt;&gt;"",N86&gt;O86),O86&gt;P86,AND(Q86&lt;&gt;"",Q86&lt;P86),AND(R86&lt;&gt;"",R86&lt;P86),AND(S86&lt;&gt;"",S86&lt;R86),AND(S86&lt;&gt;"",R86=""),AND(T86&lt;&gt;"",T86&lt;O86),AND(U86&lt;&gt;"",U86&lt;O86)),"Chronologie incohérente",IF(AND(OR(L86="Résolu",L86="Clos"),R86=""),"Date de résolution manquante",IF(AND(L86="Clos",S86=""),"Date de clôture manquante",IF(AND(K86="Oui",AC86=""),"Classification DORA manquante","OK"))))))</f>
        <v>OK</v>
      </c>
      <c r="AO86" s="35" t="n">
        <f aca="false">IF($B86="","",IF(AND(C86="Incident",L86&lt;&gt;"Annulé"),1,0))</f>
        <v>1</v>
      </c>
      <c r="AP86" s="35" t="n">
        <f aca="false">IF($B86="","",IF(AND(C86="Quasi-incident",L86&lt;&gt;"Annulé"),1,0))</f>
        <v>0</v>
      </c>
      <c r="AQ86" s="35" t="n">
        <f aca="false">IF($B86="","",AO86+AP86)</f>
        <v>1</v>
      </c>
      <c r="AR86" s="36" t="n">
        <f aca="false">IF(OR($B86="",J86=""),"",IFERROR(VALUE(LEFT(J86,1)),""))</f>
        <v>4</v>
      </c>
      <c r="AS86" s="35" t="n">
        <f aca="false">IF(OR(AO86&lt;&gt;1,G86=""),"",IFERROR(IF(INDEX(L_SrcInterne,MATCH(G86,L_Sources,0))="Oui",1,0),""))</f>
        <v>1</v>
      </c>
      <c r="AT86" s="37" t="n">
        <f aca="false">IF(AO86&lt;&gt;1,"",IFERROR(ROUND(IF(OR(N86="",O86=""),"",IF(O86&lt;N86,"",ROUND(((NETWORKDAYS(N86,O86,JoursFeries)-1)*(HFer-HOuv)+IF(NETWORKDAYS(O86,O86,JoursFeries),MEDIAN(MOD(O86,1),HFer,HOuv),HFer)-IF(NETWORKDAYS(N86,N86,JoursFeries),MEDIAN(MOD(N86,1),HFer,HOuv),HOuv))*24,4)))/HJour,4),""))</f>
        <v>0</v>
      </c>
      <c r="AU86" s="37" t="n">
        <f aca="false">IF(AO86&lt;&gt;1,"",IF(OR(O86="",P86=""),"",IF(P86&lt;O86,"",ROUND(((NETWORKDAYS(O86,P86,JoursFeries)-1)*(HFer-HOuv)+IF(NETWORKDAYS(P86,P86,JoursFeries),MEDIAN(MOD(P86,1),HFer,HOuv),HFer)-IF(NETWORKDAYS(O86,O86,JoursFeries),MEDIAN(MOD(O86,1),HFer,HOuv),HOuv))*24,4))))</f>
        <v>0.0833</v>
      </c>
      <c r="AV86" s="37" t="n">
        <f aca="false">IF(AO86&lt;&gt;1,"",IF(OR(P86="",Q86=""),"",IF(Q86&lt;P86,"",ROUND(((NETWORKDAYS(P86,Q86,JoursFeries)-1)*(HFer-HOuv)+IF(NETWORKDAYS(Q86,Q86,JoursFeries),MEDIAN(MOD(Q86,1),HFer,HOuv),HFer)-IF(NETWORKDAYS(P86,P86,JoursFeries),MEDIAN(MOD(P86,1),HFer,HOuv),HOuv))*24,4))))</f>
        <v>10.4167</v>
      </c>
      <c r="AW86" s="37" t="n">
        <f aca="false">IF(AO86&lt;&gt;1,"",IFERROR(ROUND(IF(OR(P86="",R86=""),"",IF(R86&lt;P86,"",ROUND(((NETWORKDAYS(P86,R86,JoursFeries)-1)*(HFer-HOuv)+IF(NETWORKDAYS(R86,R86,JoursFeries),MEDIAN(MOD(R86,1),HFer,HOuv),HFer)-IF(NETWORKDAYS(P86,P86,JoursFeries),MEDIAN(MOD(P86,1),HFer,HOuv),HOuv))*24,4)))/HJour,4),""))</f>
        <v>11.6944</v>
      </c>
      <c r="AX86" s="37" t="str">
        <f aca="false">IF(AO86&lt;&gt;1,"",IFERROR(ROUND(IF(OR(P86="",S86=""),"",IF(S86&lt;P86,"",ROUND(((NETWORKDAYS(P86,S86,JoursFeries)-1)*(HFer-HOuv)+IF(NETWORKDAYS(S86,S86,JoursFeries),MEDIAN(MOD(S86,1),HFer,HOuv),HFer)-IF(NETWORKDAYS(P86,P86,JoursFeries),MEDIAN(MOD(P86,1),HFer,HOuv),HOuv))*24,4)))/HJour,4),""))</f>
        <v/>
      </c>
      <c r="AY86" s="36" t="n">
        <f aca="false">IF(OR(AO86&lt;&gt;1,AR86=""),"",INDEX(SLA_PEC,AR86))</f>
        <v>18</v>
      </c>
      <c r="AZ86" s="35" t="n">
        <f aca="false">IF(OR(AV86="",AY86=""),"",IF(AV86&lt;=AY86,1,0))</f>
        <v>1</v>
      </c>
      <c r="BA86" s="36" t="n">
        <f aca="false">IF(OR(AO86&lt;&gt;1,AR86=""),"",INDEX(SLA_RES,AR86))</f>
        <v>20</v>
      </c>
      <c r="BB86" s="35" t="n">
        <f aca="false">IF(OR(AW86="",BA86=""),"",IF(AW86&lt;=BA86,1,0))</f>
        <v>1</v>
      </c>
      <c r="BC86" s="38" t="n">
        <f aca="false">IF(OR(BA86="",P86=""),"",WORKDAY(INT(P86),BA86,JoursFeries)+MOD(P86,1))</f>
        <v>46301.3784722222</v>
      </c>
      <c r="BD86" s="39" t="n">
        <f aca="false">IF(AO86&lt;&gt;1,"",IF(OR(AB86&lt;&gt;"",AD86&lt;&gt;""),4,IF(U86&lt;&gt;"",3,IF(T86&lt;&gt;"",2,1))))</f>
        <v>1</v>
      </c>
      <c r="BE86" s="39" t="n">
        <f aca="false">IF(OR(AO86&lt;&gt;1,AR86=""),"",INDEX(NIV_REQ,AR86))</f>
        <v>1</v>
      </c>
      <c r="BF86" s="39" t="n">
        <f aca="false">IF(BE86="","",MAX(BE86,IF(OR(K86="Oui",Z86="Oui"),4,1)))</f>
        <v>1</v>
      </c>
      <c r="BG86" s="35" t="n">
        <f aca="false">IF(OR(BF86="",BD86=""),"",IF(BD86&gt;=BF86,1,0))</f>
        <v>1</v>
      </c>
      <c r="BH86" s="38" t="str">
        <f aca="false">IF(BE86="","",IF(BE86&lt;2,"",IF(BE86=2,IF(AND(T86="",U86=""),"",MIN(T86,U86)),IF(U86="","",U86))))</f>
        <v/>
      </c>
      <c r="BI86" s="37" t="str">
        <f aca="false">IF(BH86="","",IF(OR(O86="",BH86=""),"",IF(BH86&lt;O86,"",ROUND(((NETWORKDAYS(O86,BH86,JoursFeries)-1)*(HFer-HOuv)+IF(NETWORKDAYS(BH86,BH86,JoursFeries),MEDIAN(MOD(BH86,1),HFer,HOuv),HFer)-IF(NETWORKDAYS(O86,O86,JoursFeries),MEDIAN(MOD(O86,1),HFer,HOuv),HOuv))*24,4))))</f>
        <v/>
      </c>
      <c r="BJ86" s="35" t="str">
        <f aca="false">IF(OR(BI86="",AR86=""),"",IF(BI86&lt;=INDEX(DELAI_ESC,AR86),1,0))</f>
        <v/>
      </c>
      <c r="BK86" s="38" t="str">
        <f aca="false">IF(AO86&lt;&gt;1,"",IF(AND(T86="",U86=""),"",MIN(T86,U86)))</f>
        <v/>
      </c>
      <c r="BL86" s="37" t="str">
        <f aca="false">IF(OR(BK86="",R86=""),"",IFERROR(ROUND(IF(OR(BK86="",R86=""),"",IF(R86&lt;BK86,"",ROUND(((NETWORKDAYS(BK86,R86,JoursFeries)-1)*(HFer-HOuv)+IF(NETWORKDAYS(R86,R86,JoursFeries),MEDIAN(MOD(R86,1),HFer,HOuv),HFer)-IF(NETWORKDAYS(BK86,BK86,JoursFeries),MEDIAN(MOD(BK86,1),HFer,HOuv),HOuv))*24,4)))/HJour,4),""))</f>
        <v/>
      </c>
      <c r="BM86" s="35" t="n">
        <f aca="false">IF(OR(AO86&lt;&gt;1,R86=""),"",IF(BD86=1,1,0))</f>
        <v>1</v>
      </c>
      <c r="BN86" s="35" t="n">
        <f aca="false">IF(AO86&lt;&gt;1,"",IF(W86="Oui",1,0))</f>
        <v>0</v>
      </c>
      <c r="BO86" s="35" t="n">
        <f aca="false">IF(AO86&lt;&gt;1,"",IF(X86&lt;&gt;"",1,0))</f>
        <v>0</v>
      </c>
      <c r="BP86" s="35" t="n">
        <f aca="false">IF(AO86&lt;&gt;1,"",IF(Y86="Oui",1,0))</f>
        <v>0</v>
      </c>
      <c r="BQ86" s="35" t="str">
        <f aca="true">IF(OR(AO86&lt;&gt;1,Z86&lt;&gt;"Oui"),"",IF(AB86="",IF(AND(AA86&lt;&gt;"",NOW()&gt;AA86),0,""),IF(AA86="","",IF(AB86&lt;=AA86,1,0))))</f>
        <v/>
      </c>
      <c r="BR86" s="38" t="str">
        <f aca="false">IF(OR(AO86&lt;&gt;1,K86&lt;&gt;"Oui",O86=""),"",IF(AC86="",O86+DORA_H_DET/24,IF(AC86-O86&lt;=DORA_H_DET/24,MIN(AC86+DORA_H_CLA/24,O86+DORA_H_DET/24),AC86+DORA_H_CLA/24)))</f>
        <v/>
      </c>
      <c r="BS86" s="35" t="str">
        <f aca="true">IF(BR86="","",IF(AD86="",IF(NOW()&gt;BR86,0,""),IF(AD86&lt;=BR86,1,0)))</f>
        <v/>
      </c>
      <c r="BT86" s="35" t="str">
        <f aca="true">IF(OR(BR86="",AD86=""),"",IF(AE86="",IF(NOW()&gt;AD86+DORA_H_INT/24,0,""),IF(AE86&lt;=AD86+DORA_H_INT/24,1,0)))</f>
        <v/>
      </c>
      <c r="BU86" s="35" t="str">
        <f aca="true">IF(OR(BR86="",AE86=""),"",IF(AF86="",IF(NOW()&gt;EDATE(AE86,DORA_M_FIN)+1,0,""),IF(AF86&lt;=EDATE(AE86,DORA_M_FIN),1,0)))</f>
        <v/>
      </c>
      <c r="BV86" s="35" t="str">
        <f aca="false">IF(BR86="","",IF(COUNT(BS86:BU86)=0,"",MIN(BS86:BU86)))</f>
        <v/>
      </c>
      <c r="BW86" s="40" t="str">
        <f aca="false">IF(AQ86&lt;&gt;1,"",IF(AND(AG86="",AH86=""),"",N(AG86)-N(AH86)))</f>
        <v/>
      </c>
      <c r="BX86" s="35" t="str">
        <f aca="true">IF(OR(AQ86&lt;&gt;1,AI86&lt;&gt;"Oui",AJ86=""),"",IF(AK86="",IF(NOW()&gt;AJ86+1,0,""),IF(AK86&lt;=AJ86,1,0)))</f>
        <v/>
      </c>
    </row>
    <row r="87" customFormat="false" ht="15" hidden="false" customHeight="false" outlineLevel="0" collapsed="false">
      <c r="B87" s="29" t="s">
        <v>317</v>
      </c>
      <c r="C87" s="29" t="s">
        <v>160</v>
      </c>
      <c r="D87" s="29" t="s">
        <v>184</v>
      </c>
      <c r="E87" s="29" t="s">
        <v>225</v>
      </c>
      <c r="F87" s="29" t="s">
        <v>172</v>
      </c>
      <c r="G87" s="29" t="s">
        <v>180</v>
      </c>
      <c r="H87" s="29"/>
      <c r="I87" s="29" t="s">
        <v>295</v>
      </c>
      <c r="J87" s="29" t="s">
        <v>167</v>
      </c>
      <c r="K87" s="29" t="s">
        <v>168</v>
      </c>
      <c r="L87" s="29" t="s">
        <v>169</v>
      </c>
      <c r="M87" s="29" t="s">
        <v>182</v>
      </c>
      <c r="N87" s="30" t="n">
        <v>46273.4409722222</v>
      </c>
      <c r="O87" s="30" t="n">
        <v>46273.5625</v>
      </c>
      <c r="P87" s="30" t="n">
        <v>46273.5833333333</v>
      </c>
      <c r="Q87" s="30" t="n">
        <v>46274.4895833333</v>
      </c>
      <c r="R87" s="30" t="n">
        <v>46276.59375</v>
      </c>
      <c r="S87" s="30" t="n">
        <v>46282.5173611111</v>
      </c>
      <c r="T87" s="30"/>
      <c r="U87" s="30"/>
      <c r="V87" s="31" t="n">
        <v>0</v>
      </c>
      <c r="W87" s="29" t="s">
        <v>168</v>
      </c>
      <c r="X87" s="29"/>
      <c r="Y87" s="29" t="s">
        <v>168</v>
      </c>
      <c r="Z87" s="29" t="s">
        <v>168</v>
      </c>
      <c r="AA87" s="30"/>
      <c r="AB87" s="30"/>
      <c r="AC87" s="30"/>
      <c r="AD87" s="30"/>
      <c r="AE87" s="30"/>
      <c r="AF87" s="32"/>
      <c r="AG87" s="33"/>
      <c r="AH87" s="33"/>
      <c r="AI87" s="29" t="s">
        <v>189</v>
      </c>
      <c r="AJ87" s="32" t="n">
        <v>46303</v>
      </c>
      <c r="AK87" s="32" t="n">
        <v>46300</v>
      </c>
      <c r="AL87" s="29"/>
      <c r="AN87" s="34" t="str">
        <f aca="false">IF($B87="","",IF(OR(C87="",D87="",E87="",G87="",I87="",J87="",L87="",O87="",P87=""),"Champ obligatoire manquant",IF(OR(AND(N87&lt;&gt;"",N87&gt;O87),O87&gt;P87,AND(Q87&lt;&gt;"",Q87&lt;P87),AND(R87&lt;&gt;"",R87&lt;P87),AND(S87&lt;&gt;"",S87&lt;R87),AND(S87&lt;&gt;"",R87=""),AND(T87&lt;&gt;"",T87&lt;O87),AND(U87&lt;&gt;"",U87&lt;O87)),"Chronologie incohérente",IF(AND(OR(L87="Résolu",L87="Clos"),R87=""),"Date de résolution manquante",IF(AND(L87="Clos",S87=""),"Date de clôture manquante",IF(AND(K87="Oui",AC87=""),"Classification DORA manquante","OK"))))))</f>
        <v>OK</v>
      </c>
      <c r="AO87" s="35" t="n">
        <f aca="false">IF($B87="","",IF(AND(C87="Incident",L87&lt;&gt;"Annulé"),1,0))</f>
        <v>0</v>
      </c>
      <c r="AP87" s="35" t="n">
        <f aca="false">IF($B87="","",IF(AND(C87="Quasi-incident",L87&lt;&gt;"Annulé"),1,0))</f>
        <v>1</v>
      </c>
      <c r="AQ87" s="35" t="n">
        <f aca="false">IF($B87="","",AO87+AP87)</f>
        <v>1</v>
      </c>
      <c r="AR87" s="36" t="n">
        <f aca="false">IF(OR($B87="",J87=""),"",IFERROR(VALUE(LEFT(J87,1)),""))</f>
        <v>3</v>
      </c>
      <c r="AS87" s="35" t="str">
        <f aca="false">IF(OR(AO87&lt;&gt;1,G87=""),"",IFERROR(IF(INDEX(L_SrcInterne,MATCH(G87,L_Sources,0))="Oui",1,0),""))</f>
        <v/>
      </c>
      <c r="AT87" s="37" t="str">
        <f aca="false">IF(AO87&lt;&gt;1,"",IFERROR(ROUND(IF(OR(N87="",O87=""),"",IF(O87&lt;N87,"",ROUND(((NETWORKDAYS(N87,O87,JoursFeries)-1)*(HFer-HOuv)+IF(NETWORKDAYS(O87,O87,JoursFeries),MEDIAN(MOD(O87,1),HFer,HOuv),HFer)-IF(NETWORKDAYS(N87,N87,JoursFeries),MEDIAN(MOD(N87,1),HFer,HOuv),HOuv))*24,4)))/HJour,4),""))</f>
        <v/>
      </c>
      <c r="AU87" s="37" t="str">
        <f aca="false">IF(AO87&lt;&gt;1,"",IF(OR(O87="",P87=""),"",IF(P87&lt;O87,"",ROUND(((NETWORKDAYS(O87,P87,JoursFeries)-1)*(HFer-HOuv)+IF(NETWORKDAYS(P87,P87,JoursFeries),MEDIAN(MOD(P87,1),HFer,HOuv),HFer)-IF(NETWORKDAYS(O87,O87,JoursFeries),MEDIAN(MOD(O87,1),HFer,HOuv),HOuv))*24,4))))</f>
        <v/>
      </c>
      <c r="AV87" s="37" t="str">
        <f aca="false">IF(AO87&lt;&gt;1,"",IF(OR(P87="",Q87=""),"",IF(Q87&lt;P87,"",ROUND(((NETWORKDAYS(P87,Q87,JoursFeries)-1)*(HFer-HOuv)+IF(NETWORKDAYS(Q87,Q87,JoursFeries),MEDIAN(MOD(Q87,1),HFer,HOuv),HFer)-IF(NETWORKDAYS(P87,P87,JoursFeries),MEDIAN(MOD(P87,1),HFer,HOuv),HOuv))*24,4))))</f>
        <v/>
      </c>
      <c r="AW87" s="37" t="str">
        <f aca="false">IF(AO87&lt;&gt;1,"",IFERROR(ROUND(IF(OR(P87="",R87=""),"",IF(R87&lt;P87,"",ROUND(((NETWORKDAYS(P87,R87,JoursFeries)-1)*(HFer-HOuv)+IF(NETWORKDAYS(R87,R87,JoursFeries),MEDIAN(MOD(R87,1),HFer,HOuv),HFer)-IF(NETWORKDAYS(P87,P87,JoursFeries),MEDIAN(MOD(P87,1),HFer,HOuv),HOuv))*24,4)))/HJour,4),""))</f>
        <v/>
      </c>
      <c r="AX87" s="37" t="str">
        <f aca="false">IF(AO87&lt;&gt;1,"",IFERROR(ROUND(IF(OR(P87="",S87=""),"",IF(S87&lt;P87,"",ROUND(((NETWORKDAYS(P87,S87,JoursFeries)-1)*(HFer-HOuv)+IF(NETWORKDAYS(S87,S87,JoursFeries),MEDIAN(MOD(S87,1),HFer,HOuv),HFer)-IF(NETWORKDAYS(P87,P87,JoursFeries),MEDIAN(MOD(P87,1),HFer,HOuv),HOuv))*24,4)))/HJour,4),""))</f>
        <v/>
      </c>
      <c r="AY87" s="36" t="str">
        <f aca="false">IF(OR(AO87&lt;&gt;1,AR87=""),"",INDEX(SLA_PEC,AR87))</f>
        <v/>
      </c>
      <c r="AZ87" s="35" t="str">
        <f aca="false">IF(OR(AV87="",AY87=""),"",IF(AV87&lt;=AY87,1,0))</f>
        <v/>
      </c>
      <c r="BA87" s="36" t="str">
        <f aca="false">IF(OR(AO87&lt;&gt;1,AR87=""),"",INDEX(SLA_RES,AR87))</f>
        <v/>
      </c>
      <c r="BB87" s="35" t="str">
        <f aca="false">IF(OR(AW87="",BA87=""),"",IF(AW87&lt;=BA87,1,0))</f>
        <v/>
      </c>
      <c r="BC87" s="38" t="str">
        <f aca="false">IF(OR(BA87="",P87=""),"",WORKDAY(INT(P87),BA87,JoursFeries)+MOD(P87,1))</f>
        <v/>
      </c>
      <c r="BD87" s="39" t="str">
        <f aca="false">IF(AO87&lt;&gt;1,"",IF(OR(AB87&lt;&gt;"",AD87&lt;&gt;""),4,IF(U87&lt;&gt;"",3,IF(T87&lt;&gt;"",2,1))))</f>
        <v/>
      </c>
      <c r="BE87" s="39" t="str">
        <f aca="false">IF(OR(AO87&lt;&gt;1,AR87=""),"",INDEX(NIV_REQ,AR87))</f>
        <v/>
      </c>
      <c r="BF87" s="39" t="str">
        <f aca="false">IF(BE87="","",MAX(BE87,IF(OR(K87="Oui",Z87="Oui"),4,1)))</f>
        <v/>
      </c>
      <c r="BG87" s="35" t="str">
        <f aca="false">IF(OR(BF87="",BD87=""),"",IF(BD87&gt;=BF87,1,0))</f>
        <v/>
      </c>
      <c r="BH87" s="38" t="str">
        <f aca="false">IF(BE87="","",IF(BE87&lt;2,"",IF(BE87=2,IF(AND(T87="",U87=""),"",MIN(T87,U87)),IF(U87="","",U87))))</f>
        <v/>
      </c>
      <c r="BI87" s="37" t="str">
        <f aca="false">IF(BH87="","",IF(OR(O87="",BH87=""),"",IF(BH87&lt;O87,"",ROUND(((NETWORKDAYS(O87,BH87,JoursFeries)-1)*(HFer-HOuv)+IF(NETWORKDAYS(BH87,BH87,JoursFeries),MEDIAN(MOD(BH87,1),HFer,HOuv),HFer)-IF(NETWORKDAYS(O87,O87,JoursFeries),MEDIAN(MOD(O87,1),HFer,HOuv),HOuv))*24,4))))</f>
        <v/>
      </c>
      <c r="BJ87" s="35" t="str">
        <f aca="false">IF(OR(BI87="",AR87=""),"",IF(BI87&lt;=INDEX(DELAI_ESC,AR87),1,0))</f>
        <v/>
      </c>
      <c r="BK87" s="38" t="str">
        <f aca="false">IF(AO87&lt;&gt;1,"",IF(AND(T87="",U87=""),"",MIN(T87,U87)))</f>
        <v/>
      </c>
      <c r="BL87" s="37" t="str">
        <f aca="false">IF(OR(BK87="",R87=""),"",IFERROR(ROUND(IF(OR(BK87="",R87=""),"",IF(R87&lt;BK87,"",ROUND(((NETWORKDAYS(BK87,R87,JoursFeries)-1)*(HFer-HOuv)+IF(NETWORKDAYS(R87,R87,JoursFeries),MEDIAN(MOD(R87,1),HFer,HOuv),HFer)-IF(NETWORKDAYS(BK87,BK87,JoursFeries),MEDIAN(MOD(BK87,1),HFer,HOuv),HOuv))*24,4)))/HJour,4),""))</f>
        <v/>
      </c>
      <c r="BM87" s="35" t="str">
        <f aca="false">IF(OR(AO87&lt;&gt;1,R87=""),"",IF(BD87=1,1,0))</f>
        <v/>
      </c>
      <c r="BN87" s="35" t="str">
        <f aca="false">IF(AO87&lt;&gt;1,"",IF(W87="Oui",1,0))</f>
        <v/>
      </c>
      <c r="BO87" s="35" t="str">
        <f aca="false">IF(AO87&lt;&gt;1,"",IF(X87&lt;&gt;"",1,0))</f>
        <v/>
      </c>
      <c r="BP87" s="35" t="str">
        <f aca="false">IF(AO87&lt;&gt;1,"",IF(Y87="Oui",1,0))</f>
        <v/>
      </c>
      <c r="BQ87" s="35" t="str">
        <f aca="true">IF(OR(AO87&lt;&gt;1,Z87&lt;&gt;"Oui"),"",IF(AB87="",IF(AND(AA87&lt;&gt;"",NOW()&gt;AA87),0,""),IF(AA87="","",IF(AB87&lt;=AA87,1,0))))</f>
        <v/>
      </c>
      <c r="BR87" s="38" t="str">
        <f aca="false">IF(OR(AO87&lt;&gt;1,K87&lt;&gt;"Oui",O87=""),"",IF(AC87="",O87+DORA_H_DET/24,IF(AC87-O87&lt;=DORA_H_DET/24,MIN(AC87+DORA_H_CLA/24,O87+DORA_H_DET/24),AC87+DORA_H_CLA/24)))</f>
        <v/>
      </c>
      <c r="BS87" s="35" t="str">
        <f aca="true">IF(BR87="","",IF(AD87="",IF(NOW()&gt;BR87,0,""),IF(AD87&lt;=BR87,1,0)))</f>
        <v/>
      </c>
      <c r="BT87" s="35" t="str">
        <f aca="true">IF(OR(BR87="",AD87=""),"",IF(AE87="",IF(NOW()&gt;AD87+DORA_H_INT/24,0,""),IF(AE87&lt;=AD87+DORA_H_INT/24,1,0)))</f>
        <v/>
      </c>
      <c r="BU87" s="35" t="str">
        <f aca="true">IF(OR(BR87="",AE87=""),"",IF(AF87="",IF(NOW()&gt;EDATE(AE87,DORA_M_FIN)+1,0,""),IF(AF87&lt;=EDATE(AE87,DORA_M_FIN),1,0)))</f>
        <v/>
      </c>
      <c r="BV87" s="35" t="str">
        <f aca="false">IF(BR87="","",IF(COUNT(BS87:BU87)=0,"",MIN(BS87:BU87)))</f>
        <v/>
      </c>
      <c r="BW87" s="40" t="str">
        <f aca="false">IF(AQ87&lt;&gt;1,"",IF(AND(AG87="",AH87=""),"",N(AG87)-N(AH87)))</f>
        <v/>
      </c>
      <c r="BX87" s="35" t="n">
        <f aca="true">IF(OR(AQ87&lt;&gt;1,AI87&lt;&gt;"Oui",AJ87=""),"",IF(AK87="",IF(NOW()&gt;AJ87+1,0,""),IF(AK87&lt;=AJ87,1,0)))</f>
        <v>1</v>
      </c>
    </row>
    <row r="88" customFormat="false" ht="15" hidden="false" customHeight="false" outlineLevel="0" collapsed="false">
      <c r="B88" s="29" t="s">
        <v>318</v>
      </c>
      <c r="C88" s="29" t="s">
        <v>178</v>
      </c>
      <c r="D88" s="29" t="s">
        <v>184</v>
      </c>
      <c r="E88" s="29" t="s">
        <v>221</v>
      </c>
      <c r="F88" s="29" t="s">
        <v>172</v>
      </c>
      <c r="G88" s="29" t="s">
        <v>180</v>
      </c>
      <c r="H88" s="29"/>
      <c r="I88" s="29" t="s">
        <v>276</v>
      </c>
      <c r="J88" s="29" t="s">
        <v>252</v>
      </c>
      <c r="K88" s="29" t="s">
        <v>168</v>
      </c>
      <c r="L88" s="29" t="s">
        <v>169</v>
      </c>
      <c r="M88" s="29" t="s">
        <v>182</v>
      </c>
      <c r="N88" s="30" t="n">
        <v>46275.5034722222</v>
      </c>
      <c r="O88" s="30" t="n">
        <v>46275.6597222222</v>
      </c>
      <c r="P88" s="30" t="n">
        <v>46275.6666666667</v>
      </c>
      <c r="Q88" s="30" t="n">
        <v>46275.6701388889</v>
      </c>
      <c r="R88" s="30" t="n">
        <v>46276.6458333333</v>
      </c>
      <c r="S88" s="30" t="n">
        <v>46289.4409722222</v>
      </c>
      <c r="T88" s="30" t="n">
        <v>46275.6875</v>
      </c>
      <c r="U88" s="30" t="n">
        <v>46275.6979166667</v>
      </c>
      <c r="V88" s="31" t="n">
        <v>0</v>
      </c>
      <c r="W88" s="29" t="s">
        <v>189</v>
      </c>
      <c r="X88" s="29"/>
      <c r="Y88" s="29" t="s">
        <v>189</v>
      </c>
      <c r="Z88" s="29" t="s">
        <v>189</v>
      </c>
      <c r="AA88" s="30" t="n">
        <v>46277.75</v>
      </c>
      <c r="AB88" s="30" t="n">
        <v>46278.2902777778</v>
      </c>
      <c r="AC88" s="30"/>
      <c r="AD88" s="30"/>
      <c r="AE88" s="30"/>
      <c r="AF88" s="32"/>
      <c r="AG88" s="33" t="n">
        <v>31700</v>
      </c>
      <c r="AH88" s="33" t="n">
        <v>31700</v>
      </c>
      <c r="AI88" s="29" t="s">
        <v>189</v>
      </c>
      <c r="AJ88" s="32" t="n">
        <v>46300</v>
      </c>
      <c r="AK88" s="32" t="n">
        <v>46299</v>
      </c>
      <c r="AL88" s="29" t="s">
        <v>242</v>
      </c>
      <c r="AN88" s="34" t="str">
        <f aca="false">IF($B88="","",IF(OR(C88="",D88="",E88="",G88="",I88="",J88="",L88="",O88="",P88=""),"Champ obligatoire manquant",IF(OR(AND(N88&lt;&gt;"",N88&gt;O88),O88&gt;P88,AND(Q88&lt;&gt;"",Q88&lt;P88),AND(R88&lt;&gt;"",R88&lt;P88),AND(S88&lt;&gt;"",S88&lt;R88),AND(S88&lt;&gt;"",R88=""),AND(T88&lt;&gt;"",T88&lt;O88),AND(U88&lt;&gt;"",U88&lt;O88)),"Chronologie incohérente",IF(AND(OR(L88="Résolu",L88="Clos"),R88=""),"Date de résolution manquante",IF(AND(L88="Clos",S88=""),"Date de clôture manquante",IF(AND(K88="Oui",AC88=""),"Classification DORA manquante","OK"))))))</f>
        <v>OK</v>
      </c>
      <c r="AO88" s="35" t="n">
        <f aca="false">IF($B88="","",IF(AND(C88="Incident",L88&lt;&gt;"Annulé"),1,0))</f>
        <v>1</v>
      </c>
      <c r="AP88" s="35" t="n">
        <f aca="false">IF($B88="","",IF(AND(C88="Quasi-incident",L88&lt;&gt;"Annulé"),1,0))</f>
        <v>0</v>
      </c>
      <c r="AQ88" s="35" t="n">
        <f aca="false">IF($B88="","",AO88+AP88)</f>
        <v>1</v>
      </c>
      <c r="AR88" s="36" t="n">
        <f aca="false">IF(OR($B88="",J88=""),"",IFERROR(VALUE(LEFT(J88,1)),""))</f>
        <v>1</v>
      </c>
      <c r="AS88" s="35" t="n">
        <f aca="false">IF(OR(AO88&lt;&gt;1,G88=""),"",IFERROR(IF(INDEX(L_SrcInterne,MATCH(G88,L_Sources,0))="Oui",1,0),""))</f>
        <v>1</v>
      </c>
      <c r="AT88" s="37" t="n">
        <f aca="false">IF(AO88&lt;&gt;1,"",IFERROR(ROUND(IF(OR(N88="",O88=""),"",IF(O88&lt;N88,"",ROUND(((NETWORKDAYS(N88,O88,JoursFeries)-1)*(HFer-HOuv)+IF(NETWORKDAYS(O88,O88,JoursFeries),MEDIAN(MOD(O88,1),HFer,HOuv),HFer)-IF(NETWORKDAYS(N88,N88,JoursFeries),MEDIAN(MOD(N88,1),HFer,HOuv),HOuv))*24,4)))/HJour,4),""))</f>
        <v>0.4167</v>
      </c>
      <c r="AU88" s="37" t="n">
        <f aca="false">IF(AO88&lt;&gt;1,"",IF(OR(O88="",P88=""),"",IF(P88&lt;O88,"",ROUND(((NETWORKDAYS(O88,P88,JoursFeries)-1)*(HFer-HOuv)+IF(NETWORKDAYS(P88,P88,JoursFeries),MEDIAN(MOD(P88,1),HFer,HOuv),HFer)-IF(NETWORKDAYS(O88,O88,JoursFeries),MEDIAN(MOD(O88,1),HFer,HOuv),HOuv))*24,4))))</f>
        <v>0.1667</v>
      </c>
      <c r="AV88" s="37" t="n">
        <f aca="false">IF(AO88&lt;&gt;1,"",IF(OR(P88="",Q88=""),"",IF(Q88&lt;P88,"",ROUND(((NETWORKDAYS(P88,Q88,JoursFeries)-1)*(HFer-HOuv)+IF(NETWORKDAYS(Q88,Q88,JoursFeries),MEDIAN(MOD(Q88,1),HFer,HOuv),HFer)-IF(NETWORKDAYS(P88,P88,JoursFeries),MEDIAN(MOD(P88,1),HFer,HOuv),HOuv))*24,4))))</f>
        <v>0.0833</v>
      </c>
      <c r="AW88" s="37" t="n">
        <f aca="false">IF(AO88&lt;&gt;1,"",IFERROR(ROUND(IF(OR(P88="",R88=""),"",IF(R88&lt;P88,"",ROUND(((NETWORKDAYS(P88,R88,JoursFeries)-1)*(HFer-HOuv)+IF(NETWORKDAYS(R88,R88,JoursFeries),MEDIAN(MOD(R88,1),HFer,HOuv),HFer)-IF(NETWORKDAYS(P88,P88,JoursFeries),MEDIAN(MOD(P88,1),HFer,HOuv),HOuv))*24,4)))/HJour,4),""))</f>
        <v>0.9444</v>
      </c>
      <c r="AX88" s="37" t="n">
        <f aca="false">IF(AO88&lt;&gt;1,"",IFERROR(ROUND(IF(OR(P88="",S88=""),"",IF(S88&lt;P88,"",ROUND(((NETWORKDAYS(P88,S88,JoursFeries)-1)*(HFer-HOuv)+IF(NETWORKDAYS(S88,S88,JoursFeries),MEDIAN(MOD(S88,1),HFer,HOuv),HFer)-IF(NETWORKDAYS(P88,P88,JoursFeries),MEDIAN(MOD(P88,1),HFer,HOuv),HOuv))*24,4)))/HJour,4),""))</f>
        <v>9.3981</v>
      </c>
      <c r="AY88" s="36" t="n">
        <f aca="false">IF(OR(AO88&lt;&gt;1,AR88=""),"",INDEX(SLA_PEC,AR88))</f>
        <v>1</v>
      </c>
      <c r="AZ88" s="35" t="n">
        <f aca="false">IF(OR(AV88="",AY88=""),"",IF(AV88&lt;=AY88,1,0))</f>
        <v>1</v>
      </c>
      <c r="BA88" s="36" t="n">
        <f aca="false">IF(OR(AO88&lt;&gt;1,AR88=""),"",INDEX(SLA_RES,AR88))</f>
        <v>1</v>
      </c>
      <c r="BB88" s="35" t="n">
        <f aca="false">IF(OR(AW88="",BA88=""),"",IF(AW88&lt;=BA88,1,0))</f>
        <v>1</v>
      </c>
      <c r="BC88" s="38" t="n">
        <f aca="false">IF(OR(BA88="",P88=""),"",WORKDAY(INT(P88),BA88,JoursFeries)+MOD(P88,1))</f>
        <v>46276.6666666667</v>
      </c>
      <c r="BD88" s="39" t="n">
        <f aca="false">IF(AO88&lt;&gt;1,"",IF(OR(AB88&lt;&gt;"",AD88&lt;&gt;""),4,IF(U88&lt;&gt;"",3,IF(T88&lt;&gt;"",2,1))))</f>
        <v>4</v>
      </c>
      <c r="BE88" s="39" t="n">
        <f aca="false">IF(OR(AO88&lt;&gt;1,AR88=""),"",INDEX(NIV_REQ,AR88))</f>
        <v>3</v>
      </c>
      <c r="BF88" s="39" t="n">
        <f aca="false">IF(BE88="","",MAX(BE88,IF(OR(K88="Oui",Z88="Oui"),4,1)))</f>
        <v>4</v>
      </c>
      <c r="BG88" s="35" t="n">
        <f aca="false">IF(OR(BF88="",BD88=""),"",IF(BD88&gt;=BF88,1,0))</f>
        <v>1</v>
      </c>
      <c r="BH88" s="38" t="n">
        <f aca="false">IF(BE88="","",IF(BE88&lt;2,"",IF(BE88=2,IF(AND(T88="",U88=""),"",MIN(T88,U88)),IF(U88="","",U88))))</f>
        <v>46275.6979166667</v>
      </c>
      <c r="BI88" s="37" t="n">
        <f aca="false">IF(BH88="","",IF(OR(O88="",BH88=""),"",IF(BH88&lt;O88,"",ROUND(((NETWORKDAYS(O88,BH88,JoursFeries)-1)*(HFer-HOuv)+IF(NETWORKDAYS(BH88,BH88,JoursFeries),MEDIAN(MOD(BH88,1),HFer,HOuv),HFer)-IF(NETWORKDAYS(O88,O88,JoursFeries),MEDIAN(MOD(O88,1),HFer,HOuv),HOuv))*24,4))))</f>
        <v>0.9167</v>
      </c>
      <c r="BJ88" s="35" t="n">
        <f aca="false">IF(OR(BI88="",AR88=""),"",IF(BI88&lt;=INDEX(DELAI_ESC,AR88),1,0))</f>
        <v>1</v>
      </c>
      <c r="BK88" s="38" t="n">
        <f aca="false">IF(AO88&lt;&gt;1,"",IF(AND(T88="",U88=""),"",MIN(T88,U88)))</f>
        <v>46275.6875</v>
      </c>
      <c r="BL88" s="37" t="n">
        <f aca="false">IF(OR(BK88="",R88=""),"",IFERROR(ROUND(IF(OR(BK88="",R88=""),"",IF(R88&lt;BK88,"",ROUND(((NETWORKDAYS(BK88,R88,JoursFeries)-1)*(HFer-HOuv)+IF(NETWORKDAYS(R88,R88,JoursFeries),MEDIAN(MOD(R88,1),HFer,HOuv),HFer)-IF(NETWORKDAYS(BK88,BK88,JoursFeries),MEDIAN(MOD(BK88,1),HFer,HOuv),HOuv))*24,4)))/HJour,4),""))</f>
        <v>0.8889</v>
      </c>
      <c r="BM88" s="35" t="n">
        <f aca="false">IF(OR(AO88&lt;&gt;1,R88=""),"",IF(BD88=1,1,0))</f>
        <v>0</v>
      </c>
      <c r="BN88" s="35" t="n">
        <f aca="false">IF(AO88&lt;&gt;1,"",IF(W88="Oui",1,0))</f>
        <v>1</v>
      </c>
      <c r="BO88" s="35" t="n">
        <f aca="false">IF(AO88&lt;&gt;1,"",IF(X88&lt;&gt;"",1,0))</f>
        <v>0</v>
      </c>
      <c r="BP88" s="35" t="n">
        <f aca="false">IF(AO88&lt;&gt;1,"",IF(Y88="Oui",1,0))</f>
        <v>1</v>
      </c>
      <c r="BQ88" s="35" t="n">
        <f aca="true">IF(OR(AO88&lt;&gt;1,Z88&lt;&gt;"Oui"),"",IF(AB88="",IF(AND(AA88&lt;&gt;"",NOW()&gt;AA88),0,""),IF(AA88="","",IF(AB88&lt;=AA88,1,0))))</f>
        <v>0</v>
      </c>
      <c r="BR88" s="38" t="str">
        <f aca="false">IF(OR(AO88&lt;&gt;1,K88&lt;&gt;"Oui",O88=""),"",IF(AC88="",O88+DORA_H_DET/24,IF(AC88-O88&lt;=DORA_H_DET/24,MIN(AC88+DORA_H_CLA/24,O88+DORA_H_DET/24),AC88+DORA_H_CLA/24)))</f>
        <v/>
      </c>
      <c r="BS88" s="35" t="str">
        <f aca="true">IF(BR88="","",IF(AD88="",IF(NOW()&gt;BR88,0,""),IF(AD88&lt;=BR88,1,0)))</f>
        <v/>
      </c>
      <c r="BT88" s="35" t="str">
        <f aca="true">IF(OR(BR88="",AD88=""),"",IF(AE88="",IF(NOW()&gt;AD88+DORA_H_INT/24,0,""),IF(AE88&lt;=AD88+DORA_H_INT/24,1,0)))</f>
        <v/>
      </c>
      <c r="BU88" s="35" t="str">
        <f aca="true">IF(OR(BR88="",AE88=""),"",IF(AF88="",IF(NOW()&gt;EDATE(AE88,DORA_M_FIN)+1,0,""),IF(AF88&lt;=EDATE(AE88,DORA_M_FIN),1,0)))</f>
        <v/>
      </c>
      <c r="BV88" s="35" t="str">
        <f aca="false">IF(BR88="","",IF(COUNT(BS88:BU88)=0,"",MIN(BS88:BU88)))</f>
        <v/>
      </c>
      <c r="BW88" s="40" t="n">
        <f aca="false">IF(AQ88&lt;&gt;1,"",IF(AND(AG88="",AH88=""),"",N(AG88)-N(AH88)))</f>
        <v>0</v>
      </c>
      <c r="BX88" s="35" t="n">
        <f aca="true">IF(OR(AQ88&lt;&gt;1,AI88&lt;&gt;"Oui",AJ88=""),"",IF(AK88="",IF(NOW()&gt;AJ88+1,0,""),IF(AK88&lt;=AJ88,1,0)))</f>
        <v>1</v>
      </c>
    </row>
    <row r="89" customFormat="false" ht="15" hidden="false" customHeight="false" outlineLevel="0" collapsed="false">
      <c r="B89" s="29" t="s">
        <v>319</v>
      </c>
      <c r="C89" s="29" t="s">
        <v>178</v>
      </c>
      <c r="D89" s="29" t="s">
        <v>161</v>
      </c>
      <c r="E89" s="29" t="s">
        <v>254</v>
      </c>
      <c r="F89" s="29" t="s">
        <v>172</v>
      </c>
      <c r="G89" s="29" t="s">
        <v>180</v>
      </c>
      <c r="H89" s="29"/>
      <c r="I89" s="29" t="s">
        <v>262</v>
      </c>
      <c r="J89" s="29" t="s">
        <v>167</v>
      </c>
      <c r="K89" s="29" t="s">
        <v>168</v>
      </c>
      <c r="L89" s="29" t="s">
        <v>313</v>
      </c>
      <c r="M89" s="29" t="s">
        <v>206</v>
      </c>
      <c r="N89" s="30" t="n">
        <v>46279.4791666667</v>
      </c>
      <c r="O89" s="30" t="n">
        <v>46279.5729166667</v>
      </c>
      <c r="P89" s="30" t="n">
        <v>46279.5798611111</v>
      </c>
      <c r="Q89" s="30" t="n">
        <v>46279.7291666667</v>
      </c>
      <c r="R89" s="30"/>
      <c r="S89" s="30"/>
      <c r="T89" s="30"/>
      <c r="U89" s="30"/>
      <c r="V89" s="31" t="n">
        <v>1</v>
      </c>
      <c r="W89" s="29" t="s">
        <v>168</v>
      </c>
      <c r="X89" s="29"/>
      <c r="Y89" s="29" t="s">
        <v>168</v>
      </c>
      <c r="Z89" s="29" t="s">
        <v>168</v>
      </c>
      <c r="AA89" s="30"/>
      <c r="AB89" s="30"/>
      <c r="AC89" s="30"/>
      <c r="AD89" s="30"/>
      <c r="AE89" s="30"/>
      <c r="AF89" s="32"/>
      <c r="AG89" s="33"/>
      <c r="AH89" s="33"/>
      <c r="AI89" s="29" t="s">
        <v>168</v>
      </c>
      <c r="AJ89" s="32"/>
      <c r="AK89" s="32"/>
      <c r="AL89" s="29"/>
      <c r="AN89" s="34" t="str">
        <f aca="false">IF($B89="","",IF(OR(C89="",D89="",E89="",G89="",I89="",J89="",L89="",O89="",P89=""),"Champ obligatoire manquant",IF(OR(AND(N89&lt;&gt;"",N89&gt;O89),O89&gt;P89,AND(Q89&lt;&gt;"",Q89&lt;P89),AND(R89&lt;&gt;"",R89&lt;P89),AND(S89&lt;&gt;"",S89&lt;R89),AND(S89&lt;&gt;"",R89=""),AND(T89&lt;&gt;"",T89&lt;O89),AND(U89&lt;&gt;"",U89&lt;O89)),"Chronologie incohérente",IF(AND(OR(L89="Résolu",L89="Clos"),R89=""),"Date de résolution manquante",IF(AND(L89="Clos",S89=""),"Date de clôture manquante",IF(AND(K89="Oui",AC89=""),"Classification DORA manquante","OK"))))))</f>
        <v>OK</v>
      </c>
      <c r="AO89" s="35" t="n">
        <f aca="false">IF($B89="","",IF(AND(C89="Incident",L89&lt;&gt;"Annulé"),1,0))</f>
        <v>1</v>
      </c>
      <c r="AP89" s="35" t="n">
        <f aca="false">IF($B89="","",IF(AND(C89="Quasi-incident",L89&lt;&gt;"Annulé"),1,0))</f>
        <v>0</v>
      </c>
      <c r="AQ89" s="35" t="n">
        <f aca="false">IF($B89="","",AO89+AP89)</f>
        <v>1</v>
      </c>
      <c r="AR89" s="36" t="n">
        <f aca="false">IF(OR($B89="",J89=""),"",IFERROR(VALUE(LEFT(J89,1)),""))</f>
        <v>3</v>
      </c>
      <c r="AS89" s="35" t="n">
        <f aca="false">IF(OR(AO89&lt;&gt;1,G89=""),"",IFERROR(IF(INDEX(L_SrcInterne,MATCH(G89,L_Sources,0))="Oui",1,0),""))</f>
        <v>1</v>
      </c>
      <c r="AT89" s="37" t="n">
        <f aca="false">IF(AO89&lt;&gt;1,"",IFERROR(ROUND(IF(OR(N89="",O89=""),"",IF(O89&lt;N89,"",ROUND(((NETWORKDAYS(N89,O89,JoursFeries)-1)*(HFer-HOuv)+IF(NETWORKDAYS(O89,O89,JoursFeries),MEDIAN(MOD(O89,1),HFer,HOuv),HFer)-IF(NETWORKDAYS(N89,N89,JoursFeries),MEDIAN(MOD(N89,1),HFer,HOuv),HOuv))*24,4)))/HJour,4),""))</f>
        <v>0.25</v>
      </c>
      <c r="AU89" s="37" t="n">
        <f aca="false">IF(AO89&lt;&gt;1,"",IF(OR(O89="",P89=""),"",IF(P89&lt;O89,"",ROUND(((NETWORKDAYS(O89,P89,JoursFeries)-1)*(HFer-HOuv)+IF(NETWORKDAYS(P89,P89,JoursFeries),MEDIAN(MOD(P89,1),HFer,HOuv),HFer)-IF(NETWORKDAYS(O89,O89,JoursFeries),MEDIAN(MOD(O89,1),HFer,HOuv),HOuv))*24,4))))</f>
        <v>0.1667</v>
      </c>
      <c r="AV89" s="37" t="n">
        <f aca="false">IF(AO89&lt;&gt;1,"",IF(OR(P89="",Q89=""),"",IF(Q89&lt;P89,"",ROUND(((NETWORKDAYS(P89,Q89,JoursFeries)-1)*(HFer-HOuv)+IF(NETWORKDAYS(Q89,Q89,JoursFeries),MEDIAN(MOD(Q89,1),HFer,HOuv),HFer)-IF(NETWORKDAYS(P89,P89,JoursFeries),MEDIAN(MOD(P89,1),HFer,HOuv),HOuv))*24,4))))</f>
        <v>3.5833</v>
      </c>
      <c r="AW89" s="37" t="str">
        <f aca="false">IF(AO89&lt;&gt;1,"",IFERROR(ROUND(IF(OR(P89="",R89=""),"",IF(R89&lt;P89,"",ROUND(((NETWORKDAYS(P89,R89,JoursFeries)-1)*(HFer-HOuv)+IF(NETWORKDAYS(R89,R89,JoursFeries),MEDIAN(MOD(R89,1),HFer,HOuv),HFer)-IF(NETWORKDAYS(P89,P89,JoursFeries),MEDIAN(MOD(P89,1),HFer,HOuv),HOuv))*24,4)))/HJour,4),""))</f>
        <v/>
      </c>
      <c r="AX89" s="37" t="str">
        <f aca="false">IF(AO89&lt;&gt;1,"",IFERROR(ROUND(IF(OR(P89="",S89=""),"",IF(S89&lt;P89,"",ROUND(((NETWORKDAYS(P89,S89,JoursFeries)-1)*(HFer-HOuv)+IF(NETWORKDAYS(S89,S89,JoursFeries),MEDIAN(MOD(S89,1),HFer,HOuv),HFer)-IF(NETWORKDAYS(P89,P89,JoursFeries),MEDIAN(MOD(P89,1),HFer,HOuv),HOuv))*24,4)))/HJour,4),""))</f>
        <v/>
      </c>
      <c r="AY89" s="36" t="n">
        <f aca="false">IF(OR(AO89&lt;&gt;1,AR89=""),"",INDEX(SLA_PEC,AR89))</f>
        <v>9</v>
      </c>
      <c r="AZ89" s="35" t="n">
        <f aca="false">IF(OR(AV89="",AY89=""),"",IF(AV89&lt;=AY89,1,0))</f>
        <v>1</v>
      </c>
      <c r="BA89" s="36" t="n">
        <f aca="false">IF(OR(AO89&lt;&gt;1,AR89=""),"",INDEX(SLA_RES,AR89))</f>
        <v>10</v>
      </c>
      <c r="BB89" s="35" t="str">
        <f aca="false">IF(OR(AW89="",BA89=""),"",IF(AW89&lt;=BA89,1,0))</f>
        <v/>
      </c>
      <c r="BC89" s="38" t="n">
        <f aca="false">IF(OR(BA89="",P89=""),"",WORKDAY(INT(P89),BA89,JoursFeries)+MOD(P89,1))</f>
        <v>46293.5798611111</v>
      </c>
      <c r="BD89" s="39" t="n">
        <f aca="false">IF(AO89&lt;&gt;1,"",IF(OR(AB89&lt;&gt;"",AD89&lt;&gt;""),4,IF(U89&lt;&gt;"",3,IF(T89&lt;&gt;"",2,1))))</f>
        <v>1</v>
      </c>
      <c r="BE89" s="39" t="n">
        <f aca="false">IF(OR(AO89&lt;&gt;1,AR89=""),"",INDEX(NIV_REQ,AR89))</f>
        <v>1</v>
      </c>
      <c r="BF89" s="39" t="n">
        <f aca="false">IF(BE89="","",MAX(BE89,IF(OR(K89="Oui",Z89="Oui"),4,1)))</f>
        <v>1</v>
      </c>
      <c r="BG89" s="35" t="n">
        <f aca="false">IF(OR(BF89="",BD89=""),"",IF(BD89&gt;=BF89,1,0))</f>
        <v>1</v>
      </c>
      <c r="BH89" s="38" t="str">
        <f aca="false">IF(BE89="","",IF(BE89&lt;2,"",IF(BE89=2,IF(AND(T89="",U89=""),"",MIN(T89,U89)),IF(U89="","",U89))))</f>
        <v/>
      </c>
      <c r="BI89" s="37" t="str">
        <f aca="false">IF(BH89="","",IF(OR(O89="",BH89=""),"",IF(BH89&lt;O89,"",ROUND(((NETWORKDAYS(O89,BH89,JoursFeries)-1)*(HFer-HOuv)+IF(NETWORKDAYS(BH89,BH89,JoursFeries),MEDIAN(MOD(BH89,1),HFer,HOuv),HFer)-IF(NETWORKDAYS(O89,O89,JoursFeries),MEDIAN(MOD(O89,1),HFer,HOuv),HOuv))*24,4))))</f>
        <v/>
      </c>
      <c r="BJ89" s="35" t="str">
        <f aca="false">IF(OR(BI89="",AR89=""),"",IF(BI89&lt;=INDEX(DELAI_ESC,AR89),1,0))</f>
        <v/>
      </c>
      <c r="BK89" s="38" t="str">
        <f aca="false">IF(AO89&lt;&gt;1,"",IF(AND(T89="",U89=""),"",MIN(T89,U89)))</f>
        <v/>
      </c>
      <c r="BL89" s="37" t="str">
        <f aca="false">IF(OR(BK89="",R89=""),"",IFERROR(ROUND(IF(OR(BK89="",R89=""),"",IF(R89&lt;BK89,"",ROUND(((NETWORKDAYS(BK89,R89,JoursFeries)-1)*(HFer-HOuv)+IF(NETWORKDAYS(R89,R89,JoursFeries),MEDIAN(MOD(R89,1),HFer,HOuv),HFer)-IF(NETWORKDAYS(BK89,BK89,JoursFeries),MEDIAN(MOD(BK89,1),HFer,HOuv),HOuv))*24,4)))/HJour,4),""))</f>
        <v/>
      </c>
      <c r="BM89" s="35" t="str">
        <f aca="false">IF(OR(AO89&lt;&gt;1,R89=""),"",IF(BD89=1,1,0))</f>
        <v/>
      </c>
      <c r="BN89" s="35" t="n">
        <f aca="false">IF(AO89&lt;&gt;1,"",IF(W89="Oui",1,0))</f>
        <v>0</v>
      </c>
      <c r="BO89" s="35" t="n">
        <f aca="false">IF(AO89&lt;&gt;1,"",IF(X89&lt;&gt;"",1,0))</f>
        <v>0</v>
      </c>
      <c r="BP89" s="35" t="n">
        <f aca="false">IF(AO89&lt;&gt;1,"",IF(Y89="Oui",1,0))</f>
        <v>0</v>
      </c>
      <c r="BQ89" s="35" t="str">
        <f aca="true">IF(OR(AO89&lt;&gt;1,Z89&lt;&gt;"Oui"),"",IF(AB89="",IF(AND(AA89&lt;&gt;"",NOW()&gt;AA89),0,""),IF(AA89="","",IF(AB89&lt;=AA89,1,0))))</f>
        <v/>
      </c>
      <c r="BR89" s="38" t="str">
        <f aca="false">IF(OR(AO89&lt;&gt;1,K89&lt;&gt;"Oui",O89=""),"",IF(AC89="",O89+DORA_H_DET/24,IF(AC89-O89&lt;=DORA_H_DET/24,MIN(AC89+DORA_H_CLA/24,O89+DORA_H_DET/24),AC89+DORA_H_CLA/24)))</f>
        <v/>
      </c>
      <c r="BS89" s="35" t="str">
        <f aca="true">IF(BR89="","",IF(AD89="",IF(NOW()&gt;BR89,0,""),IF(AD89&lt;=BR89,1,0)))</f>
        <v/>
      </c>
      <c r="BT89" s="35" t="str">
        <f aca="true">IF(OR(BR89="",AD89=""),"",IF(AE89="",IF(NOW()&gt;AD89+DORA_H_INT/24,0,""),IF(AE89&lt;=AD89+DORA_H_INT/24,1,0)))</f>
        <v/>
      </c>
      <c r="BU89" s="35" t="str">
        <f aca="true">IF(OR(BR89="",AE89=""),"",IF(AF89="",IF(NOW()&gt;EDATE(AE89,DORA_M_FIN)+1,0,""),IF(AF89&lt;=EDATE(AE89,DORA_M_FIN),1,0)))</f>
        <v/>
      </c>
      <c r="BV89" s="35" t="str">
        <f aca="false">IF(BR89="","",IF(COUNT(BS89:BU89)=0,"",MIN(BS89:BU89)))</f>
        <v/>
      </c>
      <c r="BW89" s="40" t="str">
        <f aca="false">IF(AQ89&lt;&gt;1,"",IF(AND(AG89="",AH89=""),"",N(AG89)-N(AH89)))</f>
        <v/>
      </c>
      <c r="BX89" s="35" t="str">
        <f aca="true">IF(OR(AQ89&lt;&gt;1,AI89&lt;&gt;"Oui",AJ89=""),"",IF(AK89="",IF(NOW()&gt;AJ89+1,0,""),IF(AK89&lt;=AJ89,1,0)))</f>
        <v/>
      </c>
    </row>
    <row r="90" customFormat="false" ht="15" hidden="false" customHeight="false" outlineLevel="0" collapsed="false">
      <c r="B90" s="29" t="s">
        <v>320</v>
      </c>
      <c r="C90" s="29" t="s">
        <v>178</v>
      </c>
      <c r="D90" s="29" t="s">
        <v>161</v>
      </c>
      <c r="E90" s="29" t="s">
        <v>221</v>
      </c>
      <c r="F90" s="29" t="s">
        <v>172</v>
      </c>
      <c r="G90" s="29" t="s">
        <v>185</v>
      </c>
      <c r="H90" s="29"/>
      <c r="I90" s="29" t="s">
        <v>222</v>
      </c>
      <c r="J90" s="29" t="s">
        <v>187</v>
      </c>
      <c r="K90" s="29" t="s">
        <v>168</v>
      </c>
      <c r="L90" s="29" t="s">
        <v>313</v>
      </c>
      <c r="M90" s="29" t="s">
        <v>176</v>
      </c>
      <c r="N90" s="30" t="n">
        <v>46281.3333333333</v>
      </c>
      <c r="O90" s="30" t="n">
        <v>46281.4479166667</v>
      </c>
      <c r="P90" s="30" t="n">
        <v>46281.46875</v>
      </c>
      <c r="Q90" s="30" t="n">
        <v>46282.7048611111</v>
      </c>
      <c r="R90" s="30"/>
      <c r="S90" s="30"/>
      <c r="T90" s="30"/>
      <c r="U90" s="30"/>
      <c r="V90" s="31" t="n">
        <v>0</v>
      </c>
      <c r="W90" s="29" t="s">
        <v>168</v>
      </c>
      <c r="X90" s="29"/>
      <c r="Y90" s="29" t="s">
        <v>168</v>
      </c>
      <c r="Z90" s="29" t="s">
        <v>168</v>
      </c>
      <c r="AA90" s="30"/>
      <c r="AB90" s="30"/>
      <c r="AC90" s="30"/>
      <c r="AD90" s="30"/>
      <c r="AE90" s="30"/>
      <c r="AF90" s="32"/>
      <c r="AG90" s="33"/>
      <c r="AH90" s="33"/>
      <c r="AI90" s="29" t="s">
        <v>168</v>
      </c>
      <c r="AJ90" s="32"/>
      <c r="AK90" s="32"/>
      <c r="AL90" s="29"/>
      <c r="AN90" s="34" t="str">
        <f aca="false">IF($B90="","",IF(OR(C90="",D90="",E90="",G90="",I90="",J90="",L90="",O90="",P90=""),"Champ obligatoire manquant",IF(OR(AND(N90&lt;&gt;"",N90&gt;O90),O90&gt;P90,AND(Q90&lt;&gt;"",Q90&lt;P90),AND(R90&lt;&gt;"",R90&lt;P90),AND(S90&lt;&gt;"",S90&lt;R90),AND(S90&lt;&gt;"",R90=""),AND(T90&lt;&gt;"",T90&lt;O90),AND(U90&lt;&gt;"",U90&lt;O90)),"Chronologie incohérente",IF(AND(OR(L90="Résolu",L90="Clos"),R90=""),"Date de résolution manquante",IF(AND(L90="Clos",S90=""),"Date de clôture manquante",IF(AND(K90="Oui",AC90=""),"Classification DORA manquante","OK"))))))</f>
        <v>OK</v>
      </c>
      <c r="AO90" s="35" t="n">
        <f aca="false">IF($B90="","",IF(AND(C90="Incident",L90&lt;&gt;"Annulé"),1,0))</f>
        <v>1</v>
      </c>
      <c r="AP90" s="35" t="n">
        <f aca="false">IF($B90="","",IF(AND(C90="Quasi-incident",L90&lt;&gt;"Annulé"),1,0))</f>
        <v>0</v>
      </c>
      <c r="AQ90" s="35" t="n">
        <f aca="false">IF($B90="","",AO90+AP90)</f>
        <v>1</v>
      </c>
      <c r="AR90" s="36" t="n">
        <f aca="false">IF(OR($B90="",J90=""),"",IFERROR(VALUE(LEFT(J90,1)),""))</f>
        <v>4</v>
      </c>
      <c r="AS90" s="35" t="n">
        <f aca="false">IF(OR(AO90&lt;&gt;1,G90=""),"",IFERROR(IF(INDEX(L_SrcInterne,MATCH(G90,L_Sources,0))="Oui",1,0),""))</f>
        <v>1</v>
      </c>
      <c r="AT90" s="37" t="n">
        <f aca="false">IF(AO90&lt;&gt;1,"",IFERROR(ROUND(IF(OR(N90="",O90=""),"",IF(O90&lt;N90,"",ROUND(((NETWORKDAYS(N90,O90,JoursFeries)-1)*(HFer-HOuv)+IF(NETWORKDAYS(O90,O90,JoursFeries),MEDIAN(MOD(O90,1),HFer,HOuv),HFer)-IF(NETWORKDAYS(N90,N90,JoursFeries),MEDIAN(MOD(N90,1),HFer,HOuv),HOuv))*24,4)))/HJour,4),""))</f>
        <v>0.1944</v>
      </c>
      <c r="AU90" s="37" t="n">
        <f aca="false">IF(AO90&lt;&gt;1,"",IF(OR(O90="",P90=""),"",IF(P90&lt;O90,"",ROUND(((NETWORKDAYS(O90,P90,JoursFeries)-1)*(HFer-HOuv)+IF(NETWORKDAYS(P90,P90,JoursFeries),MEDIAN(MOD(P90,1),HFer,HOuv),HFer)-IF(NETWORKDAYS(O90,O90,JoursFeries),MEDIAN(MOD(O90,1),HFer,HOuv),HOuv))*24,4))))</f>
        <v>0.5</v>
      </c>
      <c r="AV90" s="37" t="n">
        <f aca="false">IF(AO90&lt;&gt;1,"",IF(OR(P90="",Q90=""),"",IF(Q90&lt;P90,"",ROUND(((NETWORKDAYS(P90,Q90,JoursFeries)-1)*(HFer-HOuv)+IF(NETWORKDAYS(Q90,Q90,JoursFeries),MEDIAN(MOD(Q90,1),HFer,HOuv),HFer)-IF(NETWORKDAYS(P90,P90,JoursFeries),MEDIAN(MOD(P90,1),HFer,HOuv),HOuv))*24,4))))</f>
        <v>14.6667</v>
      </c>
      <c r="AW90" s="37" t="str">
        <f aca="false">IF(AO90&lt;&gt;1,"",IFERROR(ROUND(IF(OR(P90="",R90=""),"",IF(R90&lt;P90,"",ROUND(((NETWORKDAYS(P90,R90,JoursFeries)-1)*(HFer-HOuv)+IF(NETWORKDAYS(R90,R90,JoursFeries),MEDIAN(MOD(R90,1),HFer,HOuv),HFer)-IF(NETWORKDAYS(P90,P90,JoursFeries),MEDIAN(MOD(P90,1),HFer,HOuv),HOuv))*24,4)))/HJour,4),""))</f>
        <v/>
      </c>
      <c r="AX90" s="37" t="str">
        <f aca="false">IF(AO90&lt;&gt;1,"",IFERROR(ROUND(IF(OR(P90="",S90=""),"",IF(S90&lt;P90,"",ROUND(((NETWORKDAYS(P90,S90,JoursFeries)-1)*(HFer-HOuv)+IF(NETWORKDAYS(S90,S90,JoursFeries),MEDIAN(MOD(S90,1),HFer,HOuv),HFer)-IF(NETWORKDAYS(P90,P90,JoursFeries),MEDIAN(MOD(P90,1),HFer,HOuv),HOuv))*24,4)))/HJour,4),""))</f>
        <v/>
      </c>
      <c r="AY90" s="36" t="n">
        <f aca="false">IF(OR(AO90&lt;&gt;1,AR90=""),"",INDEX(SLA_PEC,AR90))</f>
        <v>18</v>
      </c>
      <c r="AZ90" s="35" t="n">
        <f aca="false">IF(OR(AV90="",AY90=""),"",IF(AV90&lt;=AY90,1,0))</f>
        <v>1</v>
      </c>
      <c r="BA90" s="36" t="n">
        <f aca="false">IF(OR(AO90&lt;&gt;1,AR90=""),"",INDEX(SLA_RES,AR90))</f>
        <v>20</v>
      </c>
      <c r="BB90" s="35" t="str">
        <f aca="false">IF(OR(AW90="",BA90=""),"",IF(AW90&lt;=BA90,1,0))</f>
        <v/>
      </c>
      <c r="BC90" s="38" t="n">
        <f aca="false">IF(OR(BA90="",P90=""),"",WORKDAY(INT(P90),BA90,JoursFeries)+MOD(P90,1))</f>
        <v>46309.46875</v>
      </c>
      <c r="BD90" s="39" t="n">
        <f aca="false">IF(AO90&lt;&gt;1,"",IF(OR(AB90&lt;&gt;"",AD90&lt;&gt;""),4,IF(U90&lt;&gt;"",3,IF(T90&lt;&gt;"",2,1))))</f>
        <v>1</v>
      </c>
      <c r="BE90" s="39" t="n">
        <f aca="false">IF(OR(AO90&lt;&gt;1,AR90=""),"",INDEX(NIV_REQ,AR90))</f>
        <v>1</v>
      </c>
      <c r="BF90" s="39" t="n">
        <f aca="false">IF(BE90="","",MAX(BE90,IF(OR(K90="Oui",Z90="Oui"),4,1)))</f>
        <v>1</v>
      </c>
      <c r="BG90" s="35" t="n">
        <f aca="false">IF(OR(BF90="",BD90=""),"",IF(BD90&gt;=BF90,1,0))</f>
        <v>1</v>
      </c>
      <c r="BH90" s="38" t="str">
        <f aca="false">IF(BE90="","",IF(BE90&lt;2,"",IF(BE90=2,IF(AND(T90="",U90=""),"",MIN(T90,U90)),IF(U90="","",U90))))</f>
        <v/>
      </c>
      <c r="BI90" s="37" t="str">
        <f aca="false">IF(BH90="","",IF(OR(O90="",BH90=""),"",IF(BH90&lt;O90,"",ROUND(((NETWORKDAYS(O90,BH90,JoursFeries)-1)*(HFer-HOuv)+IF(NETWORKDAYS(BH90,BH90,JoursFeries),MEDIAN(MOD(BH90,1),HFer,HOuv),HFer)-IF(NETWORKDAYS(O90,O90,JoursFeries),MEDIAN(MOD(O90,1),HFer,HOuv),HOuv))*24,4))))</f>
        <v/>
      </c>
      <c r="BJ90" s="35" t="str">
        <f aca="false">IF(OR(BI90="",AR90=""),"",IF(BI90&lt;=INDEX(DELAI_ESC,AR90),1,0))</f>
        <v/>
      </c>
      <c r="BK90" s="38" t="str">
        <f aca="false">IF(AO90&lt;&gt;1,"",IF(AND(T90="",U90=""),"",MIN(T90,U90)))</f>
        <v/>
      </c>
      <c r="BL90" s="37" t="str">
        <f aca="false">IF(OR(BK90="",R90=""),"",IFERROR(ROUND(IF(OR(BK90="",R90=""),"",IF(R90&lt;BK90,"",ROUND(((NETWORKDAYS(BK90,R90,JoursFeries)-1)*(HFer-HOuv)+IF(NETWORKDAYS(R90,R90,JoursFeries),MEDIAN(MOD(R90,1),HFer,HOuv),HFer)-IF(NETWORKDAYS(BK90,BK90,JoursFeries),MEDIAN(MOD(BK90,1),HFer,HOuv),HOuv))*24,4)))/HJour,4),""))</f>
        <v/>
      </c>
      <c r="BM90" s="35" t="str">
        <f aca="false">IF(OR(AO90&lt;&gt;1,R90=""),"",IF(BD90=1,1,0))</f>
        <v/>
      </c>
      <c r="BN90" s="35" t="n">
        <f aca="false">IF(AO90&lt;&gt;1,"",IF(W90="Oui",1,0))</f>
        <v>0</v>
      </c>
      <c r="BO90" s="35" t="n">
        <f aca="false">IF(AO90&lt;&gt;1,"",IF(X90&lt;&gt;"",1,0))</f>
        <v>0</v>
      </c>
      <c r="BP90" s="35" t="n">
        <f aca="false">IF(AO90&lt;&gt;1,"",IF(Y90="Oui",1,0))</f>
        <v>0</v>
      </c>
      <c r="BQ90" s="35" t="str">
        <f aca="true">IF(OR(AO90&lt;&gt;1,Z90&lt;&gt;"Oui"),"",IF(AB90="",IF(AND(AA90&lt;&gt;"",NOW()&gt;AA90),0,""),IF(AA90="","",IF(AB90&lt;=AA90,1,0))))</f>
        <v/>
      </c>
      <c r="BR90" s="38" t="str">
        <f aca="false">IF(OR(AO90&lt;&gt;1,K90&lt;&gt;"Oui",O90=""),"",IF(AC90="",O90+DORA_H_DET/24,IF(AC90-O90&lt;=DORA_H_DET/24,MIN(AC90+DORA_H_CLA/24,O90+DORA_H_DET/24),AC90+DORA_H_CLA/24)))</f>
        <v/>
      </c>
      <c r="BS90" s="35" t="str">
        <f aca="true">IF(BR90="","",IF(AD90="",IF(NOW()&gt;BR90,0,""),IF(AD90&lt;=BR90,1,0)))</f>
        <v/>
      </c>
      <c r="BT90" s="35" t="str">
        <f aca="true">IF(OR(BR90="",AD90=""),"",IF(AE90="",IF(NOW()&gt;AD90+DORA_H_INT/24,0,""),IF(AE90&lt;=AD90+DORA_H_INT/24,1,0)))</f>
        <v/>
      </c>
      <c r="BU90" s="35" t="str">
        <f aca="true">IF(OR(BR90="",AE90=""),"",IF(AF90="",IF(NOW()&gt;EDATE(AE90,DORA_M_FIN)+1,0,""),IF(AF90&lt;=EDATE(AE90,DORA_M_FIN),1,0)))</f>
        <v/>
      </c>
      <c r="BV90" s="35" t="str">
        <f aca="false">IF(BR90="","",IF(COUNT(BS90:BU90)=0,"",MIN(BS90:BU90)))</f>
        <v/>
      </c>
      <c r="BW90" s="40" t="str">
        <f aca="false">IF(AQ90&lt;&gt;1,"",IF(AND(AG90="",AH90=""),"",N(AG90)-N(AH90)))</f>
        <v/>
      </c>
      <c r="BX90" s="35" t="str">
        <f aca="true">IF(OR(AQ90&lt;&gt;1,AI90&lt;&gt;"Oui",AJ90=""),"",IF(AK90="",IF(NOW()&gt;AJ90+1,0,""),IF(AK90&lt;=AJ90,1,0)))</f>
        <v/>
      </c>
    </row>
    <row r="91" customFormat="false" ht="15" hidden="false" customHeight="false" outlineLevel="0" collapsed="false">
      <c r="B91" s="29" t="s">
        <v>321</v>
      </c>
      <c r="C91" s="29" t="s">
        <v>178</v>
      </c>
      <c r="D91" s="29" t="s">
        <v>161</v>
      </c>
      <c r="E91" s="29" t="s">
        <v>234</v>
      </c>
      <c r="F91" s="29" t="s">
        <v>172</v>
      </c>
      <c r="G91" s="29" t="s">
        <v>185</v>
      </c>
      <c r="H91" s="29"/>
      <c r="I91" s="29" t="s">
        <v>235</v>
      </c>
      <c r="J91" s="29" t="s">
        <v>167</v>
      </c>
      <c r="K91" s="29" t="s">
        <v>168</v>
      </c>
      <c r="L91" s="29" t="s">
        <v>313</v>
      </c>
      <c r="M91" s="29" t="s">
        <v>182</v>
      </c>
      <c r="N91" s="30" t="n">
        <v>46276.65625</v>
      </c>
      <c r="O91" s="30" t="n">
        <v>46281.65625</v>
      </c>
      <c r="P91" s="30" t="n">
        <v>46281.71875</v>
      </c>
      <c r="Q91" s="30" t="n">
        <v>46282.6875</v>
      </c>
      <c r="R91" s="30"/>
      <c r="S91" s="30"/>
      <c r="T91" s="30"/>
      <c r="U91" s="30"/>
      <c r="V91" s="31" t="n">
        <v>0</v>
      </c>
      <c r="W91" s="29" t="s">
        <v>168</v>
      </c>
      <c r="X91" s="29"/>
      <c r="Y91" s="29" t="s">
        <v>168</v>
      </c>
      <c r="Z91" s="29" t="s">
        <v>168</v>
      </c>
      <c r="AA91" s="30"/>
      <c r="AB91" s="30"/>
      <c r="AC91" s="30"/>
      <c r="AD91" s="30"/>
      <c r="AE91" s="30"/>
      <c r="AF91" s="32"/>
      <c r="AG91" s="33"/>
      <c r="AH91" s="33"/>
      <c r="AI91" s="29" t="s">
        <v>168</v>
      </c>
      <c r="AJ91" s="32"/>
      <c r="AK91" s="32"/>
      <c r="AL91" s="29"/>
      <c r="AN91" s="34" t="str">
        <f aca="false">IF($B91="","",IF(OR(C91="",D91="",E91="",G91="",I91="",J91="",L91="",O91="",P91=""),"Champ obligatoire manquant",IF(OR(AND(N91&lt;&gt;"",N91&gt;O91),O91&gt;P91,AND(Q91&lt;&gt;"",Q91&lt;P91),AND(R91&lt;&gt;"",R91&lt;P91),AND(S91&lt;&gt;"",S91&lt;R91),AND(S91&lt;&gt;"",R91=""),AND(T91&lt;&gt;"",T91&lt;O91),AND(U91&lt;&gt;"",U91&lt;O91)),"Chronologie incohérente",IF(AND(OR(L91="Résolu",L91="Clos"),R91=""),"Date de résolution manquante",IF(AND(L91="Clos",S91=""),"Date de clôture manquante",IF(AND(K91="Oui",AC91=""),"Classification DORA manquante","OK"))))))</f>
        <v>OK</v>
      </c>
      <c r="AO91" s="35" t="n">
        <f aca="false">IF($B91="","",IF(AND(C91="Incident",L91&lt;&gt;"Annulé"),1,0))</f>
        <v>1</v>
      </c>
      <c r="AP91" s="35" t="n">
        <f aca="false">IF($B91="","",IF(AND(C91="Quasi-incident",L91&lt;&gt;"Annulé"),1,0))</f>
        <v>0</v>
      </c>
      <c r="AQ91" s="35" t="n">
        <f aca="false">IF($B91="","",AO91+AP91)</f>
        <v>1</v>
      </c>
      <c r="AR91" s="36" t="n">
        <f aca="false">IF(OR($B91="",J91=""),"",IFERROR(VALUE(LEFT(J91,1)),""))</f>
        <v>3</v>
      </c>
      <c r="AS91" s="35" t="n">
        <f aca="false">IF(OR(AO91&lt;&gt;1,G91=""),"",IFERROR(IF(INDEX(L_SrcInterne,MATCH(G91,L_Sources,0))="Oui",1,0),""))</f>
        <v>1</v>
      </c>
      <c r="AT91" s="37" t="n">
        <f aca="false">IF(AO91&lt;&gt;1,"",IFERROR(ROUND(IF(OR(N91="",O91=""),"",IF(O91&lt;N91,"",ROUND(((NETWORKDAYS(N91,O91,JoursFeries)-1)*(HFer-HOuv)+IF(NETWORKDAYS(O91,O91,JoursFeries),MEDIAN(MOD(O91,1),HFer,HOuv),HFer)-IF(NETWORKDAYS(N91,N91,JoursFeries),MEDIAN(MOD(N91,1),HFer,HOuv),HOuv))*24,4)))/HJour,4),""))</f>
        <v>3</v>
      </c>
      <c r="AU91" s="37" t="n">
        <f aca="false">IF(AO91&lt;&gt;1,"",IF(OR(O91="",P91=""),"",IF(P91&lt;O91,"",ROUND(((NETWORKDAYS(O91,P91,JoursFeries)-1)*(HFer-HOuv)+IF(NETWORKDAYS(P91,P91,JoursFeries),MEDIAN(MOD(P91,1),HFer,HOuv),HFer)-IF(NETWORKDAYS(O91,O91,JoursFeries),MEDIAN(MOD(O91,1),HFer,HOuv),HOuv))*24,4))))</f>
        <v>1.5</v>
      </c>
      <c r="AV91" s="37" t="n">
        <f aca="false">IF(AO91&lt;&gt;1,"",IF(OR(P91="",Q91=""),"",IF(Q91&lt;P91,"",ROUND(((NETWORKDAYS(P91,Q91,JoursFeries)-1)*(HFer-HOuv)+IF(NETWORKDAYS(Q91,Q91,JoursFeries),MEDIAN(MOD(Q91,1),HFer,HOuv),HFer)-IF(NETWORKDAYS(P91,P91,JoursFeries),MEDIAN(MOD(P91,1),HFer,HOuv),HOuv))*24,4))))</f>
        <v>8.25</v>
      </c>
      <c r="AW91" s="37" t="str">
        <f aca="false">IF(AO91&lt;&gt;1,"",IFERROR(ROUND(IF(OR(P91="",R91=""),"",IF(R91&lt;P91,"",ROUND(((NETWORKDAYS(P91,R91,JoursFeries)-1)*(HFer-HOuv)+IF(NETWORKDAYS(R91,R91,JoursFeries),MEDIAN(MOD(R91,1),HFer,HOuv),HFer)-IF(NETWORKDAYS(P91,P91,JoursFeries),MEDIAN(MOD(P91,1),HFer,HOuv),HOuv))*24,4)))/HJour,4),""))</f>
        <v/>
      </c>
      <c r="AX91" s="37" t="str">
        <f aca="false">IF(AO91&lt;&gt;1,"",IFERROR(ROUND(IF(OR(P91="",S91=""),"",IF(S91&lt;P91,"",ROUND(((NETWORKDAYS(P91,S91,JoursFeries)-1)*(HFer-HOuv)+IF(NETWORKDAYS(S91,S91,JoursFeries),MEDIAN(MOD(S91,1),HFer,HOuv),HFer)-IF(NETWORKDAYS(P91,P91,JoursFeries),MEDIAN(MOD(P91,1),HFer,HOuv),HOuv))*24,4)))/HJour,4),""))</f>
        <v/>
      </c>
      <c r="AY91" s="36" t="n">
        <f aca="false">IF(OR(AO91&lt;&gt;1,AR91=""),"",INDEX(SLA_PEC,AR91))</f>
        <v>9</v>
      </c>
      <c r="AZ91" s="35" t="n">
        <f aca="false">IF(OR(AV91="",AY91=""),"",IF(AV91&lt;=AY91,1,0))</f>
        <v>1</v>
      </c>
      <c r="BA91" s="36" t="n">
        <f aca="false">IF(OR(AO91&lt;&gt;1,AR91=""),"",INDEX(SLA_RES,AR91))</f>
        <v>10</v>
      </c>
      <c r="BB91" s="35" t="str">
        <f aca="false">IF(OR(AW91="",BA91=""),"",IF(AW91&lt;=BA91,1,0))</f>
        <v/>
      </c>
      <c r="BC91" s="38" t="n">
        <f aca="false">IF(OR(BA91="",P91=""),"",WORKDAY(INT(P91),BA91,JoursFeries)+MOD(P91,1))</f>
        <v>46295.71875</v>
      </c>
      <c r="BD91" s="39" t="n">
        <f aca="false">IF(AO91&lt;&gt;1,"",IF(OR(AB91&lt;&gt;"",AD91&lt;&gt;""),4,IF(U91&lt;&gt;"",3,IF(T91&lt;&gt;"",2,1))))</f>
        <v>1</v>
      </c>
      <c r="BE91" s="39" t="n">
        <f aca="false">IF(OR(AO91&lt;&gt;1,AR91=""),"",INDEX(NIV_REQ,AR91))</f>
        <v>1</v>
      </c>
      <c r="BF91" s="39" t="n">
        <f aca="false">IF(BE91="","",MAX(BE91,IF(OR(K91="Oui",Z91="Oui"),4,1)))</f>
        <v>1</v>
      </c>
      <c r="BG91" s="35" t="n">
        <f aca="false">IF(OR(BF91="",BD91=""),"",IF(BD91&gt;=BF91,1,0))</f>
        <v>1</v>
      </c>
      <c r="BH91" s="38" t="str">
        <f aca="false">IF(BE91="","",IF(BE91&lt;2,"",IF(BE91=2,IF(AND(T91="",U91=""),"",MIN(T91,U91)),IF(U91="","",U91))))</f>
        <v/>
      </c>
      <c r="BI91" s="37" t="str">
        <f aca="false">IF(BH91="","",IF(OR(O91="",BH91=""),"",IF(BH91&lt;O91,"",ROUND(((NETWORKDAYS(O91,BH91,JoursFeries)-1)*(HFer-HOuv)+IF(NETWORKDAYS(BH91,BH91,JoursFeries),MEDIAN(MOD(BH91,1),HFer,HOuv),HFer)-IF(NETWORKDAYS(O91,O91,JoursFeries),MEDIAN(MOD(O91,1),HFer,HOuv),HOuv))*24,4))))</f>
        <v/>
      </c>
      <c r="BJ91" s="35" t="str">
        <f aca="false">IF(OR(BI91="",AR91=""),"",IF(BI91&lt;=INDEX(DELAI_ESC,AR91),1,0))</f>
        <v/>
      </c>
      <c r="BK91" s="38" t="str">
        <f aca="false">IF(AO91&lt;&gt;1,"",IF(AND(T91="",U91=""),"",MIN(T91,U91)))</f>
        <v/>
      </c>
      <c r="BL91" s="37" t="str">
        <f aca="false">IF(OR(BK91="",R91=""),"",IFERROR(ROUND(IF(OR(BK91="",R91=""),"",IF(R91&lt;BK91,"",ROUND(((NETWORKDAYS(BK91,R91,JoursFeries)-1)*(HFer-HOuv)+IF(NETWORKDAYS(R91,R91,JoursFeries),MEDIAN(MOD(R91,1),HFer,HOuv),HFer)-IF(NETWORKDAYS(BK91,BK91,JoursFeries),MEDIAN(MOD(BK91,1),HFer,HOuv),HOuv))*24,4)))/HJour,4),""))</f>
        <v/>
      </c>
      <c r="BM91" s="35" t="str">
        <f aca="false">IF(OR(AO91&lt;&gt;1,R91=""),"",IF(BD91=1,1,0))</f>
        <v/>
      </c>
      <c r="BN91" s="35" t="n">
        <f aca="false">IF(AO91&lt;&gt;1,"",IF(W91="Oui",1,0))</f>
        <v>0</v>
      </c>
      <c r="BO91" s="35" t="n">
        <f aca="false">IF(AO91&lt;&gt;1,"",IF(X91&lt;&gt;"",1,0))</f>
        <v>0</v>
      </c>
      <c r="BP91" s="35" t="n">
        <f aca="false">IF(AO91&lt;&gt;1,"",IF(Y91="Oui",1,0))</f>
        <v>0</v>
      </c>
      <c r="BQ91" s="35" t="str">
        <f aca="true">IF(OR(AO91&lt;&gt;1,Z91&lt;&gt;"Oui"),"",IF(AB91="",IF(AND(AA91&lt;&gt;"",NOW()&gt;AA91),0,""),IF(AA91="","",IF(AB91&lt;=AA91,1,0))))</f>
        <v/>
      </c>
      <c r="BR91" s="38" t="str">
        <f aca="false">IF(OR(AO91&lt;&gt;1,K91&lt;&gt;"Oui",O91=""),"",IF(AC91="",O91+DORA_H_DET/24,IF(AC91-O91&lt;=DORA_H_DET/24,MIN(AC91+DORA_H_CLA/24,O91+DORA_H_DET/24),AC91+DORA_H_CLA/24)))</f>
        <v/>
      </c>
      <c r="BS91" s="35" t="str">
        <f aca="true">IF(BR91="","",IF(AD91="",IF(NOW()&gt;BR91,0,""),IF(AD91&lt;=BR91,1,0)))</f>
        <v/>
      </c>
      <c r="BT91" s="35" t="str">
        <f aca="true">IF(OR(BR91="",AD91=""),"",IF(AE91="",IF(NOW()&gt;AD91+DORA_H_INT/24,0,""),IF(AE91&lt;=AD91+DORA_H_INT/24,1,0)))</f>
        <v/>
      </c>
      <c r="BU91" s="35" t="str">
        <f aca="true">IF(OR(BR91="",AE91=""),"",IF(AF91="",IF(NOW()&gt;EDATE(AE91,DORA_M_FIN)+1,0,""),IF(AF91&lt;=EDATE(AE91,DORA_M_FIN),1,0)))</f>
        <v/>
      </c>
      <c r="BV91" s="35" t="str">
        <f aca="false">IF(BR91="","",IF(COUNT(BS91:BU91)=0,"",MIN(BS91:BU91)))</f>
        <v/>
      </c>
      <c r="BW91" s="40" t="str">
        <f aca="false">IF(AQ91&lt;&gt;1,"",IF(AND(AG91="",AH91=""),"",N(AG91)-N(AH91)))</f>
        <v/>
      </c>
      <c r="BX91" s="35" t="str">
        <f aca="true">IF(OR(AQ91&lt;&gt;1,AI91&lt;&gt;"Oui",AJ91=""),"",IF(AK91="",IF(NOW()&gt;AJ91+1,0,""),IF(AK91&lt;=AJ91,1,0)))</f>
        <v/>
      </c>
    </row>
    <row r="92" customFormat="false" ht="15" hidden="false" customHeight="false" outlineLevel="0" collapsed="false">
      <c r="B92" s="29" t="s">
        <v>322</v>
      </c>
      <c r="C92" s="29" t="s">
        <v>160</v>
      </c>
      <c r="D92" s="29" t="s">
        <v>198</v>
      </c>
      <c r="E92" s="29" t="s">
        <v>171</v>
      </c>
      <c r="F92" s="29" t="s">
        <v>172</v>
      </c>
      <c r="G92" s="29" t="s">
        <v>180</v>
      </c>
      <c r="H92" s="29" t="s">
        <v>174</v>
      </c>
      <c r="I92" s="29" t="s">
        <v>175</v>
      </c>
      <c r="J92" s="29" t="s">
        <v>167</v>
      </c>
      <c r="K92" s="29" t="s">
        <v>168</v>
      </c>
      <c r="L92" s="29" t="s">
        <v>169</v>
      </c>
      <c r="M92" s="29" t="s">
        <v>188</v>
      </c>
      <c r="N92" s="30" t="n">
        <v>46287.1180555556</v>
      </c>
      <c r="O92" s="30" t="n">
        <v>46287.3368055556</v>
      </c>
      <c r="P92" s="30" t="n">
        <v>46287.4201388889</v>
      </c>
      <c r="Q92" s="30" t="n">
        <v>46287.4652777778</v>
      </c>
      <c r="R92" s="30" t="n">
        <v>46293.6284722222</v>
      </c>
      <c r="S92" s="30" t="n">
        <v>46295.4618055556</v>
      </c>
      <c r="T92" s="30"/>
      <c r="U92" s="30"/>
      <c r="V92" s="31" t="n">
        <v>0</v>
      </c>
      <c r="W92" s="29" t="s">
        <v>168</v>
      </c>
      <c r="X92" s="29"/>
      <c r="Y92" s="29" t="s">
        <v>168</v>
      </c>
      <c r="Z92" s="29" t="s">
        <v>168</v>
      </c>
      <c r="AA92" s="30"/>
      <c r="AB92" s="30"/>
      <c r="AC92" s="30"/>
      <c r="AD92" s="30"/>
      <c r="AE92" s="30"/>
      <c r="AF92" s="32"/>
      <c r="AG92" s="33"/>
      <c r="AH92" s="33"/>
      <c r="AI92" s="29" t="s">
        <v>168</v>
      </c>
      <c r="AJ92" s="32"/>
      <c r="AK92" s="32"/>
      <c r="AL92" s="29"/>
      <c r="AN92" s="34" t="str">
        <f aca="false">IF($B92="","",IF(OR(C92="",D92="",E92="",G92="",I92="",J92="",L92="",O92="",P92=""),"Champ obligatoire manquant",IF(OR(AND(N92&lt;&gt;"",N92&gt;O92),O92&gt;P92,AND(Q92&lt;&gt;"",Q92&lt;P92),AND(R92&lt;&gt;"",R92&lt;P92),AND(S92&lt;&gt;"",S92&lt;R92),AND(S92&lt;&gt;"",R92=""),AND(T92&lt;&gt;"",T92&lt;O92),AND(U92&lt;&gt;"",U92&lt;O92)),"Chronologie incohérente",IF(AND(OR(L92="Résolu",L92="Clos"),R92=""),"Date de résolution manquante",IF(AND(L92="Clos",S92=""),"Date de clôture manquante",IF(AND(K92="Oui",AC92=""),"Classification DORA manquante","OK"))))))</f>
        <v>OK</v>
      </c>
      <c r="AO92" s="35" t="n">
        <f aca="false">IF($B92="","",IF(AND(C92="Incident",L92&lt;&gt;"Annulé"),1,0))</f>
        <v>0</v>
      </c>
      <c r="AP92" s="35" t="n">
        <f aca="false">IF($B92="","",IF(AND(C92="Quasi-incident",L92&lt;&gt;"Annulé"),1,0))</f>
        <v>1</v>
      </c>
      <c r="AQ92" s="35" t="n">
        <f aca="false">IF($B92="","",AO92+AP92)</f>
        <v>1</v>
      </c>
      <c r="AR92" s="36" t="n">
        <f aca="false">IF(OR($B92="",J92=""),"",IFERROR(VALUE(LEFT(J92,1)),""))</f>
        <v>3</v>
      </c>
      <c r="AS92" s="35" t="str">
        <f aca="false">IF(OR(AO92&lt;&gt;1,G92=""),"",IFERROR(IF(INDEX(L_SrcInterne,MATCH(G92,L_Sources,0))="Oui",1,0),""))</f>
        <v/>
      </c>
      <c r="AT92" s="37" t="str">
        <f aca="false">IF(AO92&lt;&gt;1,"",IFERROR(ROUND(IF(OR(N92="",O92=""),"",IF(O92&lt;N92,"",ROUND(((NETWORKDAYS(N92,O92,JoursFeries)-1)*(HFer-HOuv)+IF(NETWORKDAYS(O92,O92,JoursFeries),MEDIAN(MOD(O92,1),HFer,HOuv),HFer)-IF(NETWORKDAYS(N92,N92,JoursFeries),MEDIAN(MOD(N92,1),HFer,HOuv),HOuv))*24,4)))/HJour,4),""))</f>
        <v/>
      </c>
      <c r="AU92" s="37" t="str">
        <f aca="false">IF(AO92&lt;&gt;1,"",IF(OR(O92="",P92=""),"",IF(P92&lt;O92,"",ROUND(((NETWORKDAYS(O92,P92,JoursFeries)-1)*(HFer-HOuv)+IF(NETWORKDAYS(P92,P92,JoursFeries),MEDIAN(MOD(P92,1),HFer,HOuv),HFer)-IF(NETWORKDAYS(O92,O92,JoursFeries),MEDIAN(MOD(O92,1),HFer,HOuv),HOuv))*24,4))))</f>
        <v/>
      </c>
      <c r="AV92" s="37" t="str">
        <f aca="false">IF(AO92&lt;&gt;1,"",IF(OR(P92="",Q92=""),"",IF(Q92&lt;P92,"",ROUND(((NETWORKDAYS(P92,Q92,JoursFeries)-1)*(HFer-HOuv)+IF(NETWORKDAYS(Q92,Q92,JoursFeries),MEDIAN(MOD(Q92,1),HFer,HOuv),HFer)-IF(NETWORKDAYS(P92,P92,JoursFeries),MEDIAN(MOD(P92,1),HFer,HOuv),HOuv))*24,4))))</f>
        <v/>
      </c>
      <c r="AW92" s="37" t="str">
        <f aca="false">IF(AO92&lt;&gt;1,"",IFERROR(ROUND(IF(OR(P92="",R92=""),"",IF(R92&lt;P92,"",ROUND(((NETWORKDAYS(P92,R92,JoursFeries)-1)*(HFer-HOuv)+IF(NETWORKDAYS(R92,R92,JoursFeries),MEDIAN(MOD(R92,1),HFer,HOuv),HFer)-IF(NETWORKDAYS(P92,P92,JoursFeries),MEDIAN(MOD(P92,1),HFer,HOuv),HOuv))*24,4)))/HJour,4),""))</f>
        <v/>
      </c>
      <c r="AX92" s="37" t="str">
        <f aca="false">IF(AO92&lt;&gt;1,"",IFERROR(ROUND(IF(OR(P92="",S92=""),"",IF(S92&lt;P92,"",ROUND(((NETWORKDAYS(P92,S92,JoursFeries)-1)*(HFer-HOuv)+IF(NETWORKDAYS(S92,S92,JoursFeries),MEDIAN(MOD(S92,1),HFer,HOuv),HFer)-IF(NETWORKDAYS(P92,P92,JoursFeries),MEDIAN(MOD(P92,1),HFer,HOuv),HOuv))*24,4)))/HJour,4),""))</f>
        <v/>
      </c>
      <c r="AY92" s="36" t="str">
        <f aca="false">IF(OR(AO92&lt;&gt;1,AR92=""),"",INDEX(SLA_PEC,AR92))</f>
        <v/>
      </c>
      <c r="AZ92" s="35" t="str">
        <f aca="false">IF(OR(AV92="",AY92=""),"",IF(AV92&lt;=AY92,1,0))</f>
        <v/>
      </c>
      <c r="BA92" s="36" t="str">
        <f aca="false">IF(OR(AO92&lt;&gt;1,AR92=""),"",INDEX(SLA_RES,AR92))</f>
        <v/>
      </c>
      <c r="BB92" s="35" t="str">
        <f aca="false">IF(OR(AW92="",BA92=""),"",IF(AW92&lt;=BA92,1,0))</f>
        <v/>
      </c>
      <c r="BC92" s="38" t="str">
        <f aca="false">IF(OR(BA92="",P92=""),"",WORKDAY(INT(P92),BA92,JoursFeries)+MOD(P92,1))</f>
        <v/>
      </c>
      <c r="BD92" s="39" t="str">
        <f aca="false">IF(AO92&lt;&gt;1,"",IF(OR(AB92&lt;&gt;"",AD92&lt;&gt;""),4,IF(U92&lt;&gt;"",3,IF(T92&lt;&gt;"",2,1))))</f>
        <v/>
      </c>
      <c r="BE92" s="39" t="str">
        <f aca="false">IF(OR(AO92&lt;&gt;1,AR92=""),"",INDEX(NIV_REQ,AR92))</f>
        <v/>
      </c>
      <c r="BF92" s="39" t="str">
        <f aca="false">IF(BE92="","",MAX(BE92,IF(OR(K92="Oui",Z92="Oui"),4,1)))</f>
        <v/>
      </c>
      <c r="BG92" s="35" t="str">
        <f aca="false">IF(OR(BF92="",BD92=""),"",IF(BD92&gt;=BF92,1,0))</f>
        <v/>
      </c>
      <c r="BH92" s="38" t="str">
        <f aca="false">IF(BE92="","",IF(BE92&lt;2,"",IF(BE92=2,IF(AND(T92="",U92=""),"",MIN(T92,U92)),IF(U92="","",U92))))</f>
        <v/>
      </c>
      <c r="BI92" s="37" t="str">
        <f aca="false">IF(BH92="","",IF(OR(O92="",BH92=""),"",IF(BH92&lt;O92,"",ROUND(((NETWORKDAYS(O92,BH92,JoursFeries)-1)*(HFer-HOuv)+IF(NETWORKDAYS(BH92,BH92,JoursFeries),MEDIAN(MOD(BH92,1),HFer,HOuv),HFer)-IF(NETWORKDAYS(O92,O92,JoursFeries),MEDIAN(MOD(O92,1),HFer,HOuv),HOuv))*24,4))))</f>
        <v/>
      </c>
      <c r="BJ92" s="35" t="str">
        <f aca="false">IF(OR(BI92="",AR92=""),"",IF(BI92&lt;=INDEX(DELAI_ESC,AR92),1,0))</f>
        <v/>
      </c>
      <c r="BK92" s="38" t="str">
        <f aca="false">IF(AO92&lt;&gt;1,"",IF(AND(T92="",U92=""),"",MIN(T92,U92)))</f>
        <v/>
      </c>
      <c r="BL92" s="37" t="str">
        <f aca="false">IF(OR(BK92="",R92=""),"",IFERROR(ROUND(IF(OR(BK92="",R92=""),"",IF(R92&lt;BK92,"",ROUND(((NETWORKDAYS(BK92,R92,JoursFeries)-1)*(HFer-HOuv)+IF(NETWORKDAYS(R92,R92,JoursFeries),MEDIAN(MOD(R92,1),HFer,HOuv),HFer)-IF(NETWORKDAYS(BK92,BK92,JoursFeries),MEDIAN(MOD(BK92,1),HFer,HOuv),HOuv))*24,4)))/HJour,4),""))</f>
        <v/>
      </c>
      <c r="BM92" s="35" t="str">
        <f aca="false">IF(OR(AO92&lt;&gt;1,R92=""),"",IF(BD92=1,1,0))</f>
        <v/>
      </c>
      <c r="BN92" s="35" t="str">
        <f aca="false">IF(AO92&lt;&gt;1,"",IF(W92="Oui",1,0))</f>
        <v/>
      </c>
      <c r="BO92" s="35" t="str">
        <f aca="false">IF(AO92&lt;&gt;1,"",IF(X92&lt;&gt;"",1,0))</f>
        <v/>
      </c>
      <c r="BP92" s="35" t="str">
        <f aca="false">IF(AO92&lt;&gt;1,"",IF(Y92="Oui",1,0))</f>
        <v/>
      </c>
      <c r="BQ92" s="35" t="str">
        <f aca="true">IF(OR(AO92&lt;&gt;1,Z92&lt;&gt;"Oui"),"",IF(AB92="",IF(AND(AA92&lt;&gt;"",NOW()&gt;AA92),0,""),IF(AA92="","",IF(AB92&lt;=AA92,1,0))))</f>
        <v/>
      </c>
      <c r="BR92" s="38" t="str">
        <f aca="false">IF(OR(AO92&lt;&gt;1,K92&lt;&gt;"Oui",O92=""),"",IF(AC92="",O92+DORA_H_DET/24,IF(AC92-O92&lt;=DORA_H_DET/24,MIN(AC92+DORA_H_CLA/24,O92+DORA_H_DET/24),AC92+DORA_H_CLA/24)))</f>
        <v/>
      </c>
      <c r="BS92" s="35" t="str">
        <f aca="true">IF(BR92="","",IF(AD92="",IF(NOW()&gt;BR92,0,""),IF(AD92&lt;=BR92,1,0)))</f>
        <v/>
      </c>
      <c r="BT92" s="35" t="str">
        <f aca="true">IF(OR(BR92="",AD92=""),"",IF(AE92="",IF(NOW()&gt;AD92+DORA_H_INT/24,0,""),IF(AE92&lt;=AD92+DORA_H_INT/24,1,0)))</f>
        <v/>
      </c>
      <c r="BU92" s="35" t="str">
        <f aca="true">IF(OR(BR92="",AE92=""),"",IF(AF92="",IF(NOW()&gt;EDATE(AE92,DORA_M_FIN)+1,0,""),IF(AF92&lt;=EDATE(AE92,DORA_M_FIN),1,0)))</f>
        <v/>
      </c>
      <c r="BV92" s="35" t="str">
        <f aca="false">IF(BR92="","",IF(COUNT(BS92:BU92)=0,"",MIN(BS92:BU92)))</f>
        <v/>
      </c>
      <c r="BW92" s="40" t="str">
        <f aca="false">IF(AQ92&lt;&gt;1,"",IF(AND(AG92="",AH92=""),"",N(AG92)-N(AH92)))</f>
        <v/>
      </c>
      <c r="BX92" s="35" t="str">
        <f aca="true">IF(OR(AQ92&lt;&gt;1,AI92&lt;&gt;"Oui",AJ92=""),"",IF(AK92="",IF(NOW()&gt;AJ92+1,0,""),IF(AK92&lt;=AJ92,1,0)))</f>
        <v/>
      </c>
    </row>
    <row r="93" customFormat="false" ht="15" hidden="false" customHeight="false" outlineLevel="0" collapsed="false">
      <c r="B93" s="29" t="s">
        <v>323</v>
      </c>
      <c r="C93" s="29" t="s">
        <v>160</v>
      </c>
      <c r="D93" s="29" t="s">
        <v>161</v>
      </c>
      <c r="E93" s="29" t="s">
        <v>162</v>
      </c>
      <c r="F93" s="29" t="s">
        <v>172</v>
      </c>
      <c r="G93" s="29" t="s">
        <v>211</v>
      </c>
      <c r="H93" s="29" t="s">
        <v>165</v>
      </c>
      <c r="I93" s="29" t="s">
        <v>186</v>
      </c>
      <c r="J93" s="29" t="s">
        <v>187</v>
      </c>
      <c r="K93" s="29" t="s">
        <v>168</v>
      </c>
      <c r="L93" s="29" t="s">
        <v>293</v>
      </c>
      <c r="M93" s="29" t="s">
        <v>201</v>
      </c>
      <c r="N93" s="30" t="n">
        <v>46286.3680555556</v>
      </c>
      <c r="O93" s="30" t="n">
        <v>46290.3680555556</v>
      </c>
      <c r="P93" s="30" t="n">
        <v>46290.375</v>
      </c>
      <c r="Q93" s="30" t="n">
        <v>46290.5590277778</v>
      </c>
      <c r="R93" s="30" t="n">
        <v>46297.5555555556</v>
      </c>
      <c r="S93" s="30"/>
      <c r="T93" s="30"/>
      <c r="U93" s="30"/>
      <c r="V93" s="31" t="n">
        <v>0</v>
      </c>
      <c r="W93" s="29" t="s">
        <v>168</v>
      </c>
      <c r="X93" s="29"/>
      <c r="Y93" s="29" t="s">
        <v>168</v>
      </c>
      <c r="Z93" s="29" t="s">
        <v>168</v>
      </c>
      <c r="AA93" s="30"/>
      <c r="AB93" s="30"/>
      <c r="AC93" s="30"/>
      <c r="AD93" s="30"/>
      <c r="AE93" s="30"/>
      <c r="AF93" s="32"/>
      <c r="AG93" s="33"/>
      <c r="AH93" s="33"/>
      <c r="AI93" s="29" t="s">
        <v>168</v>
      </c>
      <c r="AJ93" s="32"/>
      <c r="AK93" s="32"/>
      <c r="AL93" s="29"/>
      <c r="AN93" s="34" t="str">
        <f aca="false">IF($B93="","",IF(OR(C93="",D93="",E93="",G93="",I93="",J93="",L93="",O93="",P93=""),"Champ obligatoire manquant",IF(OR(AND(N93&lt;&gt;"",N93&gt;O93),O93&gt;P93,AND(Q93&lt;&gt;"",Q93&lt;P93),AND(R93&lt;&gt;"",R93&lt;P93),AND(S93&lt;&gt;"",S93&lt;R93),AND(S93&lt;&gt;"",R93=""),AND(T93&lt;&gt;"",T93&lt;O93),AND(U93&lt;&gt;"",U93&lt;O93)),"Chronologie incohérente",IF(AND(OR(L93="Résolu",L93="Clos"),R93=""),"Date de résolution manquante",IF(AND(L93="Clos",S93=""),"Date de clôture manquante",IF(AND(K93="Oui",AC93=""),"Classification DORA manquante","OK"))))))</f>
        <v>OK</v>
      </c>
      <c r="AO93" s="35" t="n">
        <f aca="false">IF($B93="","",IF(AND(C93="Incident",L93&lt;&gt;"Annulé"),1,0))</f>
        <v>0</v>
      </c>
      <c r="AP93" s="35" t="n">
        <f aca="false">IF($B93="","",IF(AND(C93="Quasi-incident",L93&lt;&gt;"Annulé"),1,0))</f>
        <v>1</v>
      </c>
      <c r="AQ93" s="35" t="n">
        <f aca="false">IF($B93="","",AO93+AP93)</f>
        <v>1</v>
      </c>
      <c r="AR93" s="36" t="n">
        <f aca="false">IF(OR($B93="",J93=""),"",IFERROR(VALUE(LEFT(J93,1)),""))</f>
        <v>4</v>
      </c>
      <c r="AS93" s="35" t="str">
        <f aca="false">IF(OR(AO93&lt;&gt;1,G93=""),"",IFERROR(IF(INDEX(L_SrcInterne,MATCH(G93,L_Sources,0))="Oui",1,0),""))</f>
        <v/>
      </c>
      <c r="AT93" s="37" t="str">
        <f aca="false">IF(AO93&lt;&gt;1,"",IFERROR(ROUND(IF(OR(N93="",O93=""),"",IF(O93&lt;N93,"",ROUND(((NETWORKDAYS(N93,O93,JoursFeries)-1)*(HFer-HOuv)+IF(NETWORKDAYS(O93,O93,JoursFeries),MEDIAN(MOD(O93,1),HFer,HOuv),HFer)-IF(NETWORKDAYS(N93,N93,JoursFeries),MEDIAN(MOD(N93,1),HFer,HOuv),HOuv))*24,4)))/HJour,4),""))</f>
        <v/>
      </c>
      <c r="AU93" s="37" t="str">
        <f aca="false">IF(AO93&lt;&gt;1,"",IF(OR(O93="",P93=""),"",IF(P93&lt;O93,"",ROUND(((NETWORKDAYS(O93,P93,JoursFeries)-1)*(HFer-HOuv)+IF(NETWORKDAYS(P93,P93,JoursFeries),MEDIAN(MOD(P93,1),HFer,HOuv),HFer)-IF(NETWORKDAYS(O93,O93,JoursFeries),MEDIAN(MOD(O93,1),HFer,HOuv),HOuv))*24,4))))</f>
        <v/>
      </c>
      <c r="AV93" s="37" t="str">
        <f aca="false">IF(AO93&lt;&gt;1,"",IF(OR(P93="",Q93=""),"",IF(Q93&lt;P93,"",ROUND(((NETWORKDAYS(P93,Q93,JoursFeries)-1)*(HFer-HOuv)+IF(NETWORKDAYS(Q93,Q93,JoursFeries),MEDIAN(MOD(Q93,1),HFer,HOuv),HFer)-IF(NETWORKDAYS(P93,P93,JoursFeries),MEDIAN(MOD(P93,1),HFer,HOuv),HOuv))*24,4))))</f>
        <v/>
      </c>
      <c r="AW93" s="37" t="str">
        <f aca="false">IF(AO93&lt;&gt;1,"",IFERROR(ROUND(IF(OR(P93="",R93=""),"",IF(R93&lt;P93,"",ROUND(((NETWORKDAYS(P93,R93,JoursFeries)-1)*(HFer-HOuv)+IF(NETWORKDAYS(R93,R93,JoursFeries),MEDIAN(MOD(R93,1),HFer,HOuv),HFer)-IF(NETWORKDAYS(P93,P93,JoursFeries),MEDIAN(MOD(P93,1),HFer,HOuv),HOuv))*24,4)))/HJour,4),""))</f>
        <v/>
      </c>
      <c r="AX93" s="37" t="str">
        <f aca="false">IF(AO93&lt;&gt;1,"",IFERROR(ROUND(IF(OR(P93="",S93=""),"",IF(S93&lt;P93,"",ROUND(((NETWORKDAYS(P93,S93,JoursFeries)-1)*(HFer-HOuv)+IF(NETWORKDAYS(S93,S93,JoursFeries),MEDIAN(MOD(S93,1),HFer,HOuv),HFer)-IF(NETWORKDAYS(P93,P93,JoursFeries),MEDIAN(MOD(P93,1),HFer,HOuv),HOuv))*24,4)))/HJour,4),""))</f>
        <v/>
      </c>
      <c r="AY93" s="36" t="str">
        <f aca="false">IF(OR(AO93&lt;&gt;1,AR93=""),"",INDEX(SLA_PEC,AR93))</f>
        <v/>
      </c>
      <c r="AZ93" s="35" t="str">
        <f aca="false">IF(OR(AV93="",AY93=""),"",IF(AV93&lt;=AY93,1,0))</f>
        <v/>
      </c>
      <c r="BA93" s="36" t="str">
        <f aca="false">IF(OR(AO93&lt;&gt;1,AR93=""),"",INDEX(SLA_RES,AR93))</f>
        <v/>
      </c>
      <c r="BB93" s="35" t="str">
        <f aca="false">IF(OR(AW93="",BA93=""),"",IF(AW93&lt;=BA93,1,0))</f>
        <v/>
      </c>
      <c r="BC93" s="38" t="str">
        <f aca="false">IF(OR(BA93="",P93=""),"",WORKDAY(INT(P93),BA93,JoursFeries)+MOD(P93,1))</f>
        <v/>
      </c>
      <c r="BD93" s="39" t="str">
        <f aca="false">IF(AO93&lt;&gt;1,"",IF(OR(AB93&lt;&gt;"",AD93&lt;&gt;""),4,IF(U93&lt;&gt;"",3,IF(T93&lt;&gt;"",2,1))))</f>
        <v/>
      </c>
      <c r="BE93" s="39" t="str">
        <f aca="false">IF(OR(AO93&lt;&gt;1,AR93=""),"",INDEX(NIV_REQ,AR93))</f>
        <v/>
      </c>
      <c r="BF93" s="39" t="str">
        <f aca="false">IF(BE93="","",MAX(BE93,IF(OR(K93="Oui",Z93="Oui"),4,1)))</f>
        <v/>
      </c>
      <c r="BG93" s="35" t="str">
        <f aca="false">IF(OR(BF93="",BD93=""),"",IF(BD93&gt;=BF93,1,0))</f>
        <v/>
      </c>
      <c r="BH93" s="38" t="str">
        <f aca="false">IF(BE93="","",IF(BE93&lt;2,"",IF(BE93=2,IF(AND(T93="",U93=""),"",MIN(T93,U93)),IF(U93="","",U93))))</f>
        <v/>
      </c>
      <c r="BI93" s="37" t="str">
        <f aca="false">IF(BH93="","",IF(OR(O93="",BH93=""),"",IF(BH93&lt;O93,"",ROUND(((NETWORKDAYS(O93,BH93,JoursFeries)-1)*(HFer-HOuv)+IF(NETWORKDAYS(BH93,BH93,JoursFeries),MEDIAN(MOD(BH93,1),HFer,HOuv),HFer)-IF(NETWORKDAYS(O93,O93,JoursFeries),MEDIAN(MOD(O93,1),HFer,HOuv),HOuv))*24,4))))</f>
        <v/>
      </c>
      <c r="BJ93" s="35" t="str">
        <f aca="false">IF(OR(BI93="",AR93=""),"",IF(BI93&lt;=INDEX(DELAI_ESC,AR93),1,0))</f>
        <v/>
      </c>
      <c r="BK93" s="38" t="str">
        <f aca="false">IF(AO93&lt;&gt;1,"",IF(AND(T93="",U93=""),"",MIN(T93,U93)))</f>
        <v/>
      </c>
      <c r="BL93" s="37" t="str">
        <f aca="false">IF(OR(BK93="",R93=""),"",IFERROR(ROUND(IF(OR(BK93="",R93=""),"",IF(R93&lt;BK93,"",ROUND(((NETWORKDAYS(BK93,R93,JoursFeries)-1)*(HFer-HOuv)+IF(NETWORKDAYS(R93,R93,JoursFeries),MEDIAN(MOD(R93,1),HFer,HOuv),HFer)-IF(NETWORKDAYS(BK93,BK93,JoursFeries),MEDIAN(MOD(BK93,1),HFer,HOuv),HOuv))*24,4)))/HJour,4),""))</f>
        <v/>
      </c>
      <c r="BM93" s="35" t="str">
        <f aca="false">IF(OR(AO93&lt;&gt;1,R93=""),"",IF(BD93=1,1,0))</f>
        <v/>
      </c>
      <c r="BN93" s="35" t="str">
        <f aca="false">IF(AO93&lt;&gt;1,"",IF(W93="Oui",1,0))</f>
        <v/>
      </c>
      <c r="BO93" s="35" t="str">
        <f aca="false">IF(AO93&lt;&gt;1,"",IF(X93&lt;&gt;"",1,0))</f>
        <v/>
      </c>
      <c r="BP93" s="35" t="str">
        <f aca="false">IF(AO93&lt;&gt;1,"",IF(Y93="Oui",1,0))</f>
        <v/>
      </c>
      <c r="BQ93" s="35" t="str">
        <f aca="true">IF(OR(AO93&lt;&gt;1,Z93&lt;&gt;"Oui"),"",IF(AB93="",IF(AND(AA93&lt;&gt;"",NOW()&gt;AA93),0,""),IF(AA93="","",IF(AB93&lt;=AA93,1,0))))</f>
        <v/>
      </c>
      <c r="BR93" s="38" t="str">
        <f aca="false">IF(OR(AO93&lt;&gt;1,K93&lt;&gt;"Oui",O93=""),"",IF(AC93="",O93+DORA_H_DET/24,IF(AC93-O93&lt;=DORA_H_DET/24,MIN(AC93+DORA_H_CLA/24,O93+DORA_H_DET/24),AC93+DORA_H_CLA/24)))</f>
        <v/>
      </c>
      <c r="BS93" s="35" t="str">
        <f aca="true">IF(BR93="","",IF(AD93="",IF(NOW()&gt;BR93,0,""),IF(AD93&lt;=BR93,1,0)))</f>
        <v/>
      </c>
      <c r="BT93" s="35" t="str">
        <f aca="true">IF(OR(BR93="",AD93=""),"",IF(AE93="",IF(NOW()&gt;AD93+DORA_H_INT/24,0,""),IF(AE93&lt;=AD93+DORA_H_INT/24,1,0)))</f>
        <v/>
      </c>
      <c r="BU93" s="35" t="str">
        <f aca="true">IF(OR(BR93="",AE93=""),"",IF(AF93="",IF(NOW()&gt;EDATE(AE93,DORA_M_FIN)+1,0,""),IF(AF93&lt;=EDATE(AE93,DORA_M_FIN),1,0)))</f>
        <v/>
      </c>
      <c r="BV93" s="35" t="str">
        <f aca="false">IF(BR93="","",IF(COUNT(BS93:BU93)=0,"",MIN(BS93:BU93)))</f>
        <v/>
      </c>
      <c r="BW93" s="40" t="str">
        <f aca="false">IF(AQ93&lt;&gt;1,"",IF(AND(AG93="",AH93=""),"",N(AG93)-N(AH93)))</f>
        <v/>
      </c>
      <c r="BX93" s="35" t="str">
        <f aca="true">IF(OR(AQ93&lt;&gt;1,AI93&lt;&gt;"Oui",AJ93=""),"",IF(AK93="",IF(NOW()&gt;AJ93+1,0,""),IF(AK93&lt;=AJ93,1,0)))</f>
        <v/>
      </c>
    </row>
    <row r="94" customFormat="false" ht="15" hidden="false" customHeight="false" outlineLevel="0" collapsed="false">
      <c r="B94" s="29" t="s">
        <v>324</v>
      </c>
      <c r="C94" s="29" t="s">
        <v>178</v>
      </c>
      <c r="D94" s="29" t="s">
        <v>184</v>
      </c>
      <c r="E94" s="29" t="s">
        <v>231</v>
      </c>
      <c r="F94" s="29" t="s">
        <v>172</v>
      </c>
      <c r="G94" s="29" t="s">
        <v>185</v>
      </c>
      <c r="H94" s="29" t="s">
        <v>165</v>
      </c>
      <c r="I94" s="29" t="s">
        <v>232</v>
      </c>
      <c r="J94" s="29" t="s">
        <v>187</v>
      </c>
      <c r="K94" s="29" t="s">
        <v>168</v>
      </c>
      <c r="L94" s="29" t="s">
        <v>313</v>
      </c>
      <c r="M94" s="29" t="s">
        <v>206</v>
      </c>
      <c r="N94" s="30" t="n">
        <v>46300.3125</v>
      </c>
      <c r="O94" s="30" t="n">
        <v>46300.4305555556</v>
      </c>
      <c r="P94" s="30" t="n">
        <v>46300.4513888889</v>
      </c>
      <c r="Q94" s="30" t="n">
        <v>46301.6006944445</v>
      </c>
      <c r="R94" s="30"/>
      <c r="S94" s="30"/>
      <c r="T94" s="30"/>
      <c r="U94" s="30"/>
      <c r="V94" s="31" t="n">
        <v>0</v>
      </c>
      <c r="W94" s="29" t="s">
        <v>168</v>
      </c>
      <c r="X94" s="29" t="s">
        <v>281</v>
      </c>
      <c r="Y94" s="29" t="s">
        <v>168</v>
      </c>
      <c r="Z94" s="29" t="s">
        <v>168</v>
      </c>
      <c r="AA94" s="30"/>
      <c r="AB94" s="30"/>
      <c r="AC94" s="30"/>
      <c r="AD94" s="30"/>
      <c r="AE94" s="30"/>
      <c r="AF94" s="32"/>
      <c r="AG94" s="33" t="n">
        <v>36000</v>
      </c>
      <c r="AH94" s="33" t="n">
        <v>0</v>
      </c>
      <c r="AI94" s="29" t="s">
        <v>168</v>
      </c>
      <c r="AJ94" s="32"/>
      <c r="AK94" s="32"/>
      <c r="AL94" s="29"/>
      <c r="AN94" s="34" t="str">
        <f aca="false">IF($B94="","",IF(OR(C94="",D94="",E94="",G94="",I94="",J94="",L94="",O94="",P94=""),"Champ obligatoire manquant",IF(OR(AND(N94&lt;&gt;"",N94&gt;O94),O94&gt;P94,AND(Q94&lt;&gt;"",Q94&lt;P94),AND(R94&lt;&gt;"",R94&lt;P94),AND(S94&lt;&gt;"",S94&lt;R94),AND(S94&lt;&gt;"",R94=""),AND(T94&lt;&gt;"",T94&lt;O94),AND(U94&lt;&gt;"",U94&lt;O94)),"Chronologie incohérente",IF(AND(OR(L94="Résolu",L94="Clos"),R94=""),"Date de résolution manquante",IF(AND(L94="Clos",S94=""),"Date de clôture manquante",IF(AND(K94="Oui",AC94=""),"Classification DORA manquante","OK"))))))</f>
        <v>OK</v>
      </c>
      <c r="AO94" s="35" t="n">
        <f aca="false">IF($B94="","",IF(AND(C94="Incident",L94&lt;&gt;"Annulé"),1,0))</f>
        <v>1</v>
      </c>
      <c r="AP94" s="35" t="n">
        <f aca="false">IF($B94="","",IF(AND(C94="Quasi-incident",L94&lt;&gt;"Annulé"),1,0))</f>
        <v>0</v>
      </c>
      <c r="AQ94" s="35" t="n">
        <f aca="false">IF($B94="","",AO94+AP94)</f>
        <v>1</v>
      </c>
      <c r="AR94" s="36" t="n">
        <f aca="false">IF(OR($B94="",J94=""),"",IFERROR(VALUE(LEFT(J94,1)),""))</f>
        <v>4</v>
      </c>
      <c r="AS94" s="35" t="n">
        <f aca="false">IF(OR(AO94&lt;&gt;1,G94=""),"",IFERROR(IF(INDEX(L_SrcInterne,MATCH(G94,L_Sources,0))="Oui",1,0),""))</f>
        <v>1</v>
      </c>
      <c r="AT94" s="37" t="n">
        <f aca="false">IF(AO94&lt;&gt;1,"",IFERROR(ROUND(IF(OR(N94="",O94=""),"",IF(O94&lt;N94,"",ROUND(((NETWORKDAYS(N94,O94,JoursFeries)-1)*(HFer-HOuv)+IF(NETWORKDAYS(O94,O94,JoursFeries),MEDIAN(MOD(O94,1),HFer,HOuv),HFer)-IF(NETWORKDAYS(N94,N94,JoursFeries),MEDIAN(MOD(N94,1),HFer,HOuv),HOuv))*24,4)))/HJour,4),""))</f>
        <v>0.1481</v>
      </c>
      <c r="AU94" s="37" t="n">
        <f aca="false">IF(AO94&lt;&gt;1,"",IF(OR(O94="",P94=""),"",IF(P94&lt;O94,"",ROUND(((NETWORKDAYS(O94,P94,JoursFeries)-1)*(HFer-HOuv)+IF(NETWORKDAYS(P94,P94,JoursFeries),MEDIAN(MOD(P94,1),HFer,HOuv),HFer)-IF(NETWORKDAYS(O94,O94,JoursFeries),MEDIAN(MOD(O94,1),HFer,HOuv),HOuv))*24,4))))</f>
        <v>0.5</v>
      </c>
      <c r="AV94" s="37" t="n">
        <f aca="false">IF(AO94&lt;&gt;1,"",IF(OR(P94="",Q94=""),"",IF(Q94&lt;P94,"",ROUND(((NETWORKDAYS(P94,Q94,JoursFeries)-1)*(HFer-HOuv)+IF(NETWORKDAYS(Q94,Q94,JoursFeries),MEDIAN(MOD(Q94,1),HFer,HOuv),HFer)-IF(NETWORKDAYS(P94,P94,JoursFeries),MEDIAN(MOD(P94,1),HFer,HOuv),HOuv))*24,4))))</f>
        <v>12.5833</v>
      </c>
      <c r="AW94" s="37" t="str">
        <f aca="false">IF(AO94&lt;&gt;1,"",IFERROR(ROUND(IF(OR(P94="",R94=""),"",IF(R94&lt;P94,"",ROUND(((NETWORKDAYS(P94,R94,JoursFeries)-1)*(HFer-HOuv)+IF(NETWORKDAYS(R94,R94,JoursFeries),MEDIAN(MOD(R94,1),HFer,HOuv),HFer)-IF(NETWORKDAYS(P94,P94,JoursFeries),MEDIAN(MOD(P94,1),HFer,HOuv),HOuv))*24,4)))/HJour,4),""))</f>
        <v/>
      </c>
      <c r="AX94" s="37" t="str">
        <f aca="false">IF(AO94&lt;&gt;1,"",IFERROR(ROUND(IF(OR(P94="",S94=""),"",IF(S94&lt;P94,"",ROUND(((NETWORKDAYS(P94,S94,JoursFeries)-1)*(HFer-HOuv)+IF(NETWORKDAYS(S94,S94,JoursFeries),MEDIAN(MOD(S94,1),HFer,HOuv),HFer)-IF(NETWORKDAYS(P94,P94,JoursFeries),MEDIAN(MOD(P94,1),HFer,HOuv),HOuv))*24,4)))/HJour,4),""))</f>
        <v/>
      </c>
      <c r="AY94" s="36" t="n">
        <f aca="false">IF(OR(AO94&lt;&gt;1,AR94=""),"",INDEX(SLA_PEC,AR94))</f>
        <v>18</v>
      </c>
      <c r="AZ94" s="35" t="n">
        <f aca="false">IF(OR(AV94="",AY94=""),"",IF(AV94&lt;=AY94,1,0))</f>
        <v>1</v>
      </c>
      <c r="BA94" s="36" t="n">
        <f aca="false">IF(OR(AO94&lt;&gt;1,AR94=""),"",INDEX(SLA_RES,AR94))</f>
        <v>20</v>
      </c>
      <c r="BB94" s="35" t="str">
        <f aca="false">IF(OR(AW94="",BA94=""),"",IF(AW94&lt;=BA94,1,0))</f>
        <v/>
      </c>
      <c r="BC94" s="38" t="n">
        <f aca="false">IF(OR(BA94="",P94=""),"",WORKDAY(INT(P94),BA94,JoursFeries)+MOD(P94,1))</f>
        <v>46328.4513888889</v>
      </c>
      <c r="BD94" s="39" t="n">
        <f aca="false">IF(AO94&lt;&gt;1,"",IF(OR(AB94&lt;&gt;"",AD94&lt;&gt;""),4,IF(U94&lt;&gt;"",3,IF(T94&lt;&gt;"",2,1))))</f>
        <v>1</v>
      </c>
      <c r="BE94" s="39" t="n">
        <f aca="false">IF(OR(AO94&lt;&gt;1,AR94=""),"",INDEX(NIV_REQ,AR94))</f>
        <v>1</v>
      </c>
      <c r="BF94" s="39" t="n">
        <f aca="false">IF(BE94="","",MAX(BE94,IF(OR(K94="Oui",Z94="Oui"),4,1)))</f>
        <v>1</v>
      </c>
      <c r="BG94" s="35" t="n">
        <f aca="false">IF(OR(BF94="",BD94=""),"",IF(BD94&gt;=BF94,1,0))</f>
        <v>1</v>
      </c>
      <c r="BH94" s="38" t="str">
        <f aca="false">IF(BE94="","",IF(BE94&lt;2,"",IF(BE94=2,IF(AND(T94="",U94=""),"",MIN(T94,U94)),IF(U94="","",U94))))</f>
        <v/>
      </c>
      <c r="BI94" s="37" t="str">
        <f aca="false">IF(BH94="","",IF(OR(O94="",BH94=""),"",IF(BH94&lt;O94,"",ROUND(((NETWORKDAYS(O94,BH94,JoursFeries)-1)*(HFer-HOuv)+IF(NETWORKDAYS(BH94,BH94,JoursFeries),MEDIAN(MOD(BH94,1),HFer,HOuv),HFer)-IF(NETWORKDAYS(O94,O94,JoursFeries),MEDIAN(MOD(O94,1),HFer,HOuv),HOuv))*24,4))))</f>
        <v/>
      </c>
      <c r="BJ94" s="35" t="str">
        <f aca="false">IF(OR(BI94="",AR94=""),"",IF(BI94&lt;=INDEX(DELAI_ESC,AR94),1,0))</f>
        <v/>
      </c>
      <c r="BK94" s="38" t="str">
        <f aca="false">IF(AO94&lt;&gt;1,"",IF(AND(T94="",U94=""),"",MIN(T94,U94)))</f>
        <v/>
      </c>
      <c r="BL94" s="37" t="str">
        <f aca="false">IF(OR(BK94="",R94=""),"",IFERROR(ROUND(IF(OR(BK94="",R94=""),"",IF(R94&lt;BK94,"",ROUND(((NETWORKDAYS(BK94,R94,JoursFeries)-1)*(HFer-HOuv)+IF(NETWORKDAYS(R94,R94,JoursFeries),MEDIAN(MOD(R94,1),HFer,HOuv),HFer)-IF(NETWORKDAYS(BK94,BK94,JoursFeries),MEDIAN(MOD(BK94,1),HFer,HOuv),HOuv))*24,4)))/HJour,4),""))</f>
        <v/>
      </c>
      <c r="BM94" s="35" t="str">
        <f aca="false">IF(OR(AO94&lt;&gt;1,R94=""),"",IF(BD94=1,1,0))</f>
        <v/>
      </c>
      <c r="BN94" s="35" t="n">
        <f aca="false">IF(AO94&lt;&gt;1,"",IF(W94="Oui",1,0))</f>
        <v>0</v>
      </c>
      <c r="BO94" s="35" t="n">
        <f aca="false">IF(AO94&lt;&gt;1,"",IF(X94&lt;&gt;"",1,0))</f>
        <v>1</v>
      </c>
      <c r="BP94" s="35" t="n">
        <f aca="false">IF(AO94&lt;&gt;1,"",IF(Y94="Oui",1,0))</f>
        <v>0</v>
      </c>
      <c r="BQ94" s="35" t="str">
        <f aca="true">IF(OR(AO94&lt;&gt;1,Z94&lt;&gt;"Oui"),"",IF(AB94="",IF(AND(AA94&lt;&gt;"",NOW()&gt;AA94),0,""),IF(AA94="","",IF(AB94&lt;=AA94,1,0))))</f>
        <v/>
      </c>
      <c r="BR94" s="38" t="str">
        <f aca="false">IF(OR(AO94&lt;&gt;1,K94&lt;&gt;"Oui",O94=""),"",IF(AC94="",O94+DORA_H_DET/24,IF(AC94-O94&lt;=DORA_H_DET/24,MIN(AC94+DORA_H_CLA/24,O94+DORA_H_DET/24),AC94+DORA_H_CLA/24)))</f>
        <v/>
      </c>
      <c r="BS94" s="35" t="str">
        <f aca="true">IF(BR94="","",IF(AD94="",IF(NOW()&gt;BR94,0,""),IF(AD94&lt;=BR94,1,0)))</f>
        <v/>
      </c>
      <c r="BT94" s="35" t="str">
        <f aca="true">IF(OR(BR94="",AD94=""),"",IF(AE94="",IF(NOW()&gt;AD94+DORA_H_INT/24,0,""),IF(AE94&lt;=AD94+DORA_H_INT/24,1,0)))</f>
        <v/>
      </c>
      <c r="BU94" s="35" t="str">
        <f aca="true">IF(OR(BR94="",AE94=""),"",IF(AF94="",IF(NOW()&gt;EDATE(AE94,DORA_M_FIN)+1,0,""),IF(AF94&lt;=EDATE(AE94,DORA_M_FIN),1,0)))</f>
        <v/>
      </c>
      <c r="BV94" s="35" t="str">
        <f aca="false">IF(BR94="","",IF(COUNT(BS94:BU94)=0,"",MIN(BS94:BU94)))</f>
        <v/>
      </c>
      <c r="BW94" s="40" t="n">
        <f aca="false">IF(AQ94&lt;&gt;1,"",IF(AND(AG94="",AH94=""),"",N(AG94)-N(AH94)))</f>
        <v>36000</v>
      </c>
      <c r="BX94" s="35" t="str">
        <f aca="true">IF(OR(AQ94&lt;&gt;1,AI94&lt;&gt;"Oui",AJ94=""),"",IF(AK94="",IF(NOW()&gt;AJ94+1,0,""),IF(AK94&lt;=AJ94,1,0)))</f>
        <v/>
      </c>
    </row>
    <row r="95" customFormat="false" ht="15" hidden="false" customHeight="false" outlineLevel="0" collapsed="false">
      <c r="B95" s="29" t="s">
        <v>325</v>
      </c>
      <c r="C95" s="29" t="s">
        <v>178</v>
      </c>
      <c r="D95" s="29" t="s">
        <v>195</v>
      </c>
      <c r="E95" s="29" t="s">
        <v>171</v>
      </c>
      <c r="F95" s="29" t="s">
        <v>172</v>
      </c>
      <c r="G95" s="29" t="s">
        <v>211</v>
      </c>
      <c r="H95" s="29" t="s">
        <v>174</v>
      </c>
      <c r="I95" s="29" t="s">
        <v>241</v>
      </c>
      <c r="J95" s="29" t="s">
        <v>167</v>
      </c>
      <c r="K95" s="29" t="s">
        <v>168</v>
      </c>
      <c r="L95" s="29" t="s">
        <v>313</v>
      </c>
      <c r="M95" s="29" t="s">
        <v>206</v>
      </c>
      <c r="N95" s="30" t="n">
        <v>46298.6111111111</v>
      </c>
      <c r="O95" s="30" t="n">
        <v>46300.6111111111</v>
      </c>
      <c r="P95" s="30" t="n">
        <v>46300.625</v>
      </c>
      <c r="Q95" s="30" t="n">
        <v>46300.5833333333</v>
      </c>
      <c r="R95" s="30"/>
      <c r="S95" s="30"/>
      <c r="T95" s="30"/>
      <c r="U95" s="30"/>
      <c r="V95" s="31"/>
      <c r="W95" s="29" t="s">
        <v>168</v>
      </c>
      <c r="X95" s="29"/>
      <c r="Y95" s="29" t="s">
        <v>168</v>
      </c>
      <c r="Z95" s="29" t="s">
        <v>168</v>
      </c>
      <c r="AA95" s="30"/>
      <c r="AB95" s="30"/>
      <c r="AC95" s="30"/>
      <c r="AD95" s="30"/>
      <c r="AE95" s="30"/>
      <c r="AF95" s="32"/>
      <c r="AG95" s="33"/>
      <c r="AH95" s="33"/>
      <c r="AI95" s="29" t="s">
        <v>168</v>
      </c>
      <c r="AJ95" s="32"/>
      <c r="AK95" s="32"/>
      <c r="AL95" s="29"/>
      <c r="AN95" s="34" t="str">
        <f aca="false">IF($B95="","",IF(OR(C95="",D95="",E95="",G95="",I95="",J95="",L95="",O95="",P95=""),"Champ obligatoire manquant",IF(OR(AND(N95&lt;&gt;"",N95&gt;O95),O95&gt;P95,AND(Q95&lt;&gt;"",Q95&lt;P95),AND(R95&lt;&gt;"",R95&lt;P95),AND(S95&lt;&gt;"",S95&lt;R95),AND(S95&lt;&gt;"",R95=""),AND(T95&lt;&gt;"",T95&lt;O95),AND(U95&lt;&gt;"",U95&lt;O95)),"Chronologie incohérente",IF(AND(OR(L95="Résolu",L95="Clos"),R95=""),"Date de résolution manquante",IF(AND(L95="Clos",S95=""),"Date de clôture manquante",IF(AND(K95="Oui",AC95=""),"Classification DORA manquante","OK"))))))</f>
        <v>Chronologie incohérente</v>
      </c>
      <c r="AO95" s="35" t="n">
        <f aca="false">IF($B95="","",IF(AND(C95="Incident",L95&lt;&gt;"Annulé"),1,0))</f>
        <v>1</v>
      </c>
      <c r="AP95" s="35" t="n">
        <f aca="false">IF($B95="","",IF(AND(C95="Quasi-incident",L95&lt;&gt;"Annulé"),1,0))</f>
        <v>0</v>
      </c>
      <c r="AQ95" s="35" t="n">
        <f aca="false">IF($B95="","",AO95+AP95)</f>
        <v>1</v>
      </c>
      <c r="AR95" s="36" t="n">
        <f aca="false">IF(OR($B95="",J95=""),"",IFERROR(VALUE(LEFT(J95,1)),""))</f>
        <v>3</v>
      </c>
      <c r="AS95" s="35" t="n">
        <f aca="false">IF(OR(AO95&lt;&gt;1,G95=""),"",IFERROR(IF(INDEX(L_SrcInterne,MATCH(G95,L_Sources,0))="Oui",1,0),""))</f>
        <v>1</v>
      </c>
      <c r="AT95" s="37" t="n">
        <f aca="false">IF(AO95&lt;&gt;1,"",IFERROR(ROUND(IF(OR(N95="",O95=""),"",IF(O95&lt;N95,"",ROUND(((NETWORKDAYS(N95,O95,JoursFeries)-1)*(HFer-HOuv)+IF(NETWORKDAYS(O95,O95,JoursFeries),MEDIAN(MOD(O95,1),HFer,HOuv),HFer)-IF(NETWORKDAYS(N95,N95,JoursFeries),MEDIAN(MOD(N95,1),HFer,HOuv),HOuv))*24,4)))/HJour,4),""))</f>
        <v>0.6296</v>
      </c>
      <c r="AU95" s="37" t="n">
        <f aca="false">IF(AO95&lt;&gt;1,"",IF(OR(O95="",P95=""),"",IF(P95&lt;O95,"",ROUND(((NETWORKDAYS(O95,P95,JoursFeries)-1)*(HFer-HOuv)+IF(NETWORKDAYS(P95,P95,JoursFeries),MEDIAN(MOD(P95,1),HFer,HOuv),HFer)-IF(NETWORKDAYS(O95,O95,JoursFeries),MEDIAN(MOD(O95,1),HFer,HOuv),HOuv))*24,4))))</f>
        <v>0.3333</v>
      </c>
      <c r="AV95" s="37" t="str">
        <f aca="false">IF(AO95&lt;&gt;1,"",IF(OR(P95="",Q95=""),"",IF(Q95&lt;P95,"",ROUND(((NETWORKDAYS(P95,Q95,JoursFeries)-1)*(HFer-HOuv)+IF(NETWORKDAYS(Q95,Q95,JoursFeries),MEDIAN(MOD(Q95,1),HFer,HOuv),HFer)-IF(NETWORKDAYS(P95,P95,JoursFeries),MEDIAN(MOD(P95,1),HFer,HOuv),HOuv))*24,4))))</f>
        <v/>
      </c>
      <c r="AW95" s="37" t="str">
        <f aca="false">IF(AO95&lt;&gt;1,"",IFERROR(ROUND(IF(OR(P95="",R95=""),"",IF(R95&lt;P95,"",ROUND(((NETWORKDAYS(P95,R95,JoursFeries)-1)*(HFer-HOuv)+IF(NETWORKDAYS(R95,R95,JoursFeries),MEDIAN(MOD(R95,1),HFer,HOuv),HFer)-IF(NETWORKDAYS(P95,P95,JoursFeries),MEDIAN(MOD(P95,1),HFer,HOuv),HOuv))*24,4)))/HJour,4),""))</f>
        <v/>
      </c>
      <c r="AX95" s="37" t="str">
        <f aca="false">IF(AO95&lt;&gt;1,"",IFERROR(ROUND(IF(OR(P95="",S95=""),"",IF(S95&lt;P95,"",ROUND(((NETWORKDAYS(P95,S95,JoursFeries)-1)*(HFer-HOuv)+IF(NETWORKDAYS(S95,S95,JoursFeries),MEDIAN(MOD(S95,1),HFer,HOuv),HFer)-IF(NETWORKDAYS(P95,P95,JoursFeries),MEDIAN(MOD(P95,1),HFer,HOuv),HOuv))*24,4)))/HJour,4),""))</f>
        <v/>
      </c>
      <c r="AY95" s="36" t="n">
        <f aca="false">IF(OR(AO95&lt;&gt;1,AR95=""),"",INDEX(SLA_PEC,AR95))</f>
        <v>9</v>
      </c>
      <c r="AZ95" s="35" t="str">
        <f aca="false">IF(OR(AV95="",AY95=""),"",IF(AV95&lt;=AY95,1,0))</f>
        <v/>
      </c>
      <c r="BA95" s="36" t="n">
        <f aca="false">IF(OR(AO95&lt;&gt;1,AR95=""),"",INDEX(SLA_RES,AR95))</f>
        <v>10</v>
      </c>
      <c r="BB95" s="35" t="str">
        <f aca="false">IF(OR(AW95="",BA95=""),"",IF(AW95&lt;=BA95,1,0))</f>
        <v/>
      </c>
      <c r="BC95" s="38" t="n">
        <f aca="false">IF(OR(BA95="",P95=""),"",WORKDAY(INT(P95),BA95,JoursFeries)+MOD(P95,1))</f>
        <v>46314.625</v>
      </c>
      <c r="BD95" s="39" t="n">
        <f aca="false">IF(AO95&lt;&gt;1,"",IF(OR(AB95&lt;&gt;"",AD95&lt;&gt;""),4,IF(U95&lt;&gt;"",3,IF(T95&lt;&gt;"",2,1))))</f>
        <v>1</v>
      </c>
      <c r="BE95" s="39" t="n">
        <f aca="false">IF(OR(AO95&lt;&gt;1,AR95=""),"",INDEX(NIV_REQ,AR95))</f>
        <v>1</v>
      </c>
      <c r="BF95" s="39" t="n">
        <f aca="false">IF(BE95="","",MAX(BE95,IF(OR(K95="Oui",Z95="Oui"),4,1)))</f>
        <v>1</v>
      </c>
      <c r="BG95" s="35" t="n">
        <f aca="false">IF(OR(BF95="",BD95=""),"",IF(BD95&gt;=BF95,1,0))</f>
        <v>1</v>
      </c>
      <c r="BH95" s="38" t="str">
        <f aca="false">IF(BE95="","",IF(BE95&lt;2,"",IF(BE95=2,IF(AND(T95="",U95=""),"",MIN(T95,U95)),IF(U95="","",U95))))</f>
        <v/>
      </c>
      <c r="BI95" s="37" t="str">
        <f aca="false">IF(BH95="","",IF(OR(O95="",BH95=""),"",IF(BH95&lt;O95,"",ROUND(((NETWORKDAYS(O95,BH95,JoursFeries)-1)*(HFer-HOuv)+IF(NETWORKDAYS(BH95,BH95,JoursFeries),MEDIAN(MOD(BH95,1),HFer,HOuv),HFer)-IF(NETWORKDAYS(O95,O95,JoursFeries),MEDIAN(MOD(O95,1),HFer,HOuv),HOuv))*24,4))))</f>
        <v/>
      </c>
      <c r="BJ95" s="35" t="str">
        <f aca="false">IF(OR(BI95="",AR95=""),"",IF(BI95&lt;=INDEX(DELAI_ESC,AR95),1,0))</f>
        <v/>
      </c>
      <c r="BK95" s="38" t="str">
        <f aca="false">IF(AO95&lt;&gt;1,"",IF(AND(T95="",U95=""),"",MIN(T95,U95)))</f>
        <v/>
      </c>
      <c r="BL95" s="37" t="str">
        <f aca="false">IF(OR(BK95="",R95=""),"",IFERROR(ROUND(IF(OR(BK95="",R95=""),"",IF(R95&lt;BK95,"",ROUND(((NETWORKDAYS(BK95,R95,JoursFeries)-1)*(HFer-HOuv)+IF(NETWORKDAYS(R95,R95,JoursFeries),MEDIAN(MOD(R95,1),HFer,HOuv),HFer)-IF(NETWORKDAYS(BK95,BK95,JoursFeries),MEDIAN(MOD(BK95,1),HFer,HOuv),HOuv))*24,4)))/HJour,4),""))</f>
        <v/>
      </c>
      <c r="BM95" s="35" t="str">
        <f aca="false">IF(OR(AO95&lt;&gt;1,R95=""),"",IF(BD95=1,1,0))</f>
        <v/>
      </c>
      <c r="BN95" s="35" t="n">
        <f aca="false">IF(AO95&lt;&gt;1,"",IF(W95="Oui",1,0))</f>
        <v>0</v>
      </c>
      <c r="BO95" s="35" t="n">
        <f aca="false">IF(AO95&lt;&gt;1,"",IF(X95&lt;&gt;"",1,0))</f>
        <v>0</v>
      </c>
      <c r="BP95" s="35" t="n">
        <f aca="false">IF(AO95&lt;&gt;1,"",IF(Y95="Oui",1,0))</f>
        <v>0</v>
      </c>
      <c r="BQ95" s="35" t="str">
        <f aca="true">IF(OR(AO95&lt;&gt;1,Z95&lt;&gt;"Oui"),"",IF(AB95="",IF(AND(AA95&lt;&gt;"",NOW()&gt;AA95),0,""),IF(AA95="","",IF(AB95&lt;=AA95,1,0))))</f>
        <v/>
      </c>
      <c r="BR95" s="38" t="str">
        <f aca="false">IF(OR(AO95&lt;&gt;1,K95&lt;&gt;"Oui",O95=""),"",IF(AC95="",O95+DORA_H_DET/24,IF(AC95-O95&lt;=DORA_H_DET/24,MIN(AC95+DORA_H_CLA/24,O95+DORA_H_DET/24),AC95+DORA_H_CLA/24)))</f>
        <v/>
      </c>
      <c r="BS95" s="35" t="str">
        <f aca="true">IF(BR95="","",IF(AD95="",IF(NOW()&gt;BR95,0,""),IF(AD95&lt;=BR95,1,0)))</f>
        <v/>
      </c>
      <c r="BT95" s="35" t="str">
        <f aca="true">IF(OR(BR95="",AD95=""),"",IF(AE95="",IF(NOW()&gt;AD95+DORA_H_INT/24,0,""),IF(AE95&lt;=AD95+DORA_H_INT/24,1,0)))</f>
        <v/>
      </c>
      <c r="BU95" s="35" t="str">
        <f aca="true">IF(OR(BR95="",AE95=""),"",IF(AF95="",IF(NOW()&gt;EDATE(AE95,DORA_M_FIN)+1,0,""),IF(AF95&lt;=EDATE(AE95,DORA_M_FIN),1,0)))</f>
        <v/>
      </c>
      <c r="BV95" s="35" t="str">
        <f aca="false">IF(BR95="","",IF(COUNT(BS95:BU95)=0,"",MIN(BS95:BU95)))</f>
        <v/>
      </c>
      <c r="BW95" s="40" t="str">
        <f aca="false">IF(AQ95&lt;&gt;1,"",IF(AND(AG95="",AH95=""),"",N(AG95)-N(AH95)))</f>
        <v/>
      </c>
      <c r="BX95" s="35" t="str">
        <f aca="true">IF(OR(AQ95&lt;&gt;1,AI95&lt;&gt;"Oui",AJ95=""),"",IF(AK95="",IF(NOW()&gt;AJ95+1,0,""),IF(AK95&lt;=AJ95,1,0)))</f>
        <v/>
      </c>
    </row>
    <row r="96" customFormat="false" ht="15" hidden="false" customHeight="false" outlineLevel="0" collapsed="false">
      <c r="B96" s="29"/>
      <c r="C96" s="29"/>
      <c r="D96" s="29"/>
      <c r="E96" s="29"/>
      <c r="F96" s="29"/>
      <c r="G96" s="29"/>
      <c r="H96" s="29"/>
      <c r="I96" s="29"/>
      <c r="J96" s="29"/>
      <c r="K96" s="29"/>
      <c r="L96" s="29"/>
      <c r="M96" s="29"/>
      <c r="N96" s="30"/>
      <c r="O96" s="30"/>
      <c r="P96" s="30"/>
      <c r="Q96" s="30"/>
      <c r="R96" s="30"/>
      <c r="S96" s="30"/>
      <c r="T96" s="30"/>
      <c r="U96" s="30"/>
      <c r="V96" s="31"/>
      <c r="W96" s="29"/>
      <c r="X96" s="29"/>
      <c r="Y96" s="29"/>
      <c r="Z96" s="29"/>
      <c r="AA96" s="30"/>
      <c r="AB96" s="30"/>
      <c r="AC96" s="30"/>
      <c r="AD96" s="30"/>
      <c r="AE96" s="30"/>
      <c r="AF96" s="32"/>
      <c r="AG96" s="33"/>
      <c r="AH96" s="33"/>
      <c r="AI96" s="29"/>
      <c r="AJ96" s="32"/>
      <c r="AK96" s="32"/>
      <c r="AL96" s="29"/>
      <c r="AN96" s="34" t="str">
        <f aca="false">IF($B96="","",IF(OR(C96="",D96="",E96="",G96="",I96="",J96="",L96="",O96="",P96=""),"Champ obligatoire manquant",IF(OR(AND(N96&lt;&gt;"",N96&gt;O96),O96&gt;P96,AND(Q96&lt;&gt;"",Q96&lt;P96),AND(R96&lt;&gt;"",R96&lt;P96),AND(S96&lt;&gt;"",S96&lt;R96),AND(S96&lt;&gt;"",R96=""),AND(T96&lt;&gt;"",T96&lt;O96),AND(U96&lt;&gt;"",U96&lt;O96)),"Chronologie incohérente",IF(AND(OR(L96="Résolu",L96="Clos"),R96=""),"Date de résolution manquante",IF(AND(L96="Clos",S96=""),"Date de clôture manquante",IF(AND(K96="Oui",AC96=""),"Classification DORA manquante","OK"))))))</f>
        <v/>
      </c>
      <c r="AO96" s="35" t="str">
        <f aca="false">IF($B96="","",IF(AND(C96="Incident",L96&lt;&gt;"Annulé"),1,0))</f>
        <v/>
      </c>
      <c r="AP96" s="35" t="str">
        <f aca="false">IF($B96="","",IF(AND(C96="Quasi-incident",L96&lt;&gt;"Annulé"),1,0))</f>
        <v/>
      </c>
      <c r="AQ96" s="35" t="str">
        <f aca="false">IF($B96="","",AO96+AP96)</f>
        <v/>
      </c>
      <c r="AR96" s="36" t="str">
        <f aca="false">IF(OR($B96="",J96=""),"",IFERROR(VALUE(LEFT(J96,1)),""))</f>
        <v/>
      </c>
      <c r="AS96" s="35" t="str">
        <f aca="false">IF(OR(AO96&lt;&gt;1,G96=""),"",IFERROR(IF(INDEX(L_SrcInterne,MATCH(G96,L_Sources,0))="Oui",1,0),""))</f>
        <v/>
      </c>
      <c r="AT96" s="37" t="str">
        <f aca="false">IF(AO96&lt;&gt;1,"",IFERROR(ROUND(IF(OR(N96="",O96=""),"",IF(O96&lt;N96,"",ROUND(((NETWORKDAYS(N96,O96,JoursFeries)-1)*(HFer-HOuv)+IF(NETWORKDAYS(O96,O96,JoursFeries),MEDIAN(MOD(O96,1),HFer,HOuv),HFer)-IF(NETWORKDAYS(N96,N96,JoursFeries),MEDIAN(MOD(N96,1),HFer,HOuv),HOuv))*24,4)))/HJour,4),""))</f>
        <v/>
      </c>
      <c r="AU96" s="37" t="str">
        <f aca="false">IF(AO96&lt;&gt;1,"",IF(OR(O96="",P96=""),"",IF(P96&lt;O96,"",ROUND(((NETWORKDAYS(O96,P96,JoursFeries)-1)*(HFer-HOuv)+IF(NETWORKDAYS(P96,P96,JoursFeries),MEDIAN(MOD(P96,1),HFer,HOuv),HFer)-IF(NETWORKDAYS(O96,O96,JoursFeries),MEDIAN(MOD(O96,1),HFer,HOuv),HOuv))*24,4))))</f>
        <v/>
      </c>
      <c r="AV96" s="37" t="str">
        <f aca="false">IF(AO96&lt;&gt;1,"",IF(OR(P96="",Q96=""),"",IF(Q96&lt;P96,"",ROUND(((NETWORKDAYS(P96,Q96,JoursFeries)-1)*(HFer-HOuv)+IF(NETWORKDAYS(Q96,Q96,JoursFeries),MEDIAN(MOD(Q96,1),HFer,HOuv),HFer)-IF(NETWORKDAYS(P96,P96,JoursFeries),MEDIAN(MOD(P96,1),HFer,HOuv),HOuv))*24,4))))</f>
        <v/>
      </c>
      <c r="AW96" s="37" t="str">
        <f aca="false">IF(AO96&lt;&gt;1,"",IFERROR(ROUND(IF(OR(P96="",R96=""),"",IF(R96&lt;P96,"",ROUND(((NETWORKDAYS(P96,R96,JoursFeries)-1)*(HFer-HOuv)+IF(NETWORKDAYS(R96,R96,JoursFeries),MEDIAN(MOD(R96,1),HFer,HOuv),HFer)-IF(NETWORKDAYS(P96,P96,JoursFeries),MEDIAN(MOD(P96,1),HFer,HOuv),HOuv))*24,4)))/HJour,4),""))</f>
        <v/>
      </c>
      <c r="AX96" s="37" t="str">
        <f aca="false">IF(AO96&lt;&gt;1,"",IFERROR(ROUND(IF(OR(P96="",S96=""),"",IF(S96&lt;P96,"",ROUND(((NETWORKDAYS(P96,S96,JoursFeries)-1)*(HFer-HOuv)+IF(NETWORKDAYS(S96,S96,JoursFeries),MEDIAN(MOD(S96,1),HFer,HOuv),HFer)-IF(NETWORKDAYS(P96,P96,JoursFeries),MEDIAN(MOD(P96,1),HFer,HOuv),HOuv))*24,4)))/HJour,4),""))</f>
        <v/>
      </c>
      <c r="AY96" s="36" t="str">
        <f aca="false">IF(OR(AO96&lt;&gt;1,AR96=""),"",INDEX(SLA_PEC,AR96))</f>
        <v/>
      </c>
      <c r="AZ96" s="35" t="str">
        <f aca="false">IF(OR(AV96="",AY96=""),"",IF(AV96&lt;=AY96,1,0))</f>
        <v/>
      </c>
      <c r="BA96" s="36" t="str">
        <f aca="false">IF(OR(AO96&lt;&gt;1,AR96=""),"",INDEX(SLA_RES,AR96))</f>
        <v/>
      </c>
      <c r="BB96" s="35" t="str">
        <f aca="false">IF(OR(AW96="",BA96=""),"",IF(AW96&lt;=BA96,1,0))</f>
        <v/>
      </c>
      <c r="BC96" s="38" t="str">
        <f aca="false">IF(OR(BA96="",P96=""),"",WORKDAY(INT(P96),BA96,JoursFeries)+MOD(P96,1))</f>
        <v/>
      </c>
      <c r="BD96" s="39" t="str">
        <f aca="false">IF(AO96&lt;&gt;1,"",IF(OR(AB96&lt;&gt;"",AD96&lt;&gt;""),4,IF(U96&lt;&gt;"",3,IF(T96&lt;&gt;"",2,1))))</f>
        <v/>
      </c>
      <c r="BE96" s="39" t="str">
        <f aca="false">IF(OR(AO96&lt;&gt;1,AR96=""),"",INDEX(NIV_REQ,AR96))</f>
        <v/>
      </c>
      <c r="BF96" s="39" t="str">
        <f aca="false">IF(BE96="","",MAX(BE96,IF(OR(K96="Oui",Z96="Oui"),4,1)))</f>
        <v/>
      </c>
      <c r="BG96" s="35" t="str">
        <f aca="false">IF(OR(BF96="",BD96=""),"",IF(BD96&gt;=BF96,1,0))</f>
        <v/>
      </c>
      <c r="BH96" s="38" t="str">
        <f aca="false">IF(BE96="","",IF(BE96&lt;2,"",IF(BE96=2,IF(AND(T96="",U96=""),"",MIN(T96,U96)),IF(U96="","",U96))))</f>
        <v/>
      </c>
      <c r="BI96" s="37" t="str">
        <f aca="false">IF(BH96="","",IF(OR(O96="",BH96=""),"",IF(BH96&lt;O96,"",ROUND(((NETWORKDAYS(O96,BH96,JoursFeries)-1)*(HFer-HOuv)+IF(NETWORKDAYS(BH96,BH96,JoursFeries),MEDIAN(MOD(BH96,1),HFer,HOuv),HFer)-IF(NETWORKDAYS(O96,O96,JoursFeries),MEDIAN(MOD(O96,1),HFer,HOuv),HOuv))*24,4))))</f>
        <v/>
      </c>
      <c r="BJ96" s="35" t="str">
        <f aca="false">IF(OR(BI96="",AR96=""),"",IF(BI96&lt;=INDEX(DELAI_ESC,AR96),1,0))</f>
        <v/>
      </c>
      <c r="BK96" s="38" t="str">
        <f aca="false">IF(AO96&lt;&gt;1,"",IF(AND(T96="",U96=""),"",MIN(T96,U96)))</f>
        <v/>
      </c>
      <c r="BL96" s="37" t="str">
        <f aca="false">IF(OR(BK96="",R96=""),"",IFERROR(ROUND(IF(OR(BK96="",R96=""),"",IF(R96&lt;BK96,"",ROUND(((NETWORKDAYS(BK96,R96,JoursFeries)-1)*(HFer-HOuv)+IF(NETWORKDAYS(R96,R96,JoursFeries),MEDIAN(MOD(R96,1),HFer,HOuv),HFer)-IF(NETWORKDAYS(BK96,BK96,JoursFeries),MEDIAN(MOD(BK96,1),HFer,HOuv),HOuv))*24,4)))/HJour,4),""))</f>
        <v/>
      </c>
      <c r="BM96" s="35" t="str">
        <f aca="false">IF(OR(AO96&lt;&gt;1,R96=""),"",IF(BD96=1,1,0))</f>
        <v/>
      </c>
      <c r="BN96" s="35" t="str">
        <f aca="false">IF(AO96&lt;&gt;1,"",IF(W96="Oui",1,0))</f>
        <v/>
      </c>
      <c r="BO96" s="35" t="str">
        <f aca="false">IF(AO96&lt;&gt;1,"",IF(X96&lt;&gt;"",1,0))</f>
        <v/>
      </c>
      <c r="BP96" s="35" t="str">
        <f aca="false">IF(AO96&lt;&gt;1,"",IF(Y96="Oui",1,0))</f>
        <v/>
      </c>
      <c r="BQ96" s="35" t="str">
        <f aca="true">IF(OR(AO96&lt;&gt;1,Z96&lt;&gt;"Oui"),"",IF(AB96="",IF(AND(AA96&lt;&gt;"",NOW()&gt;AA96),0,""),IF(AA96="","",IF(AB96&lt;=AA96,1,0))))</f>
        <v/>
      </c>
      <c r="BR96" s="38" t="str">
        <f aca="false">IF(OR(AO96&lt;&gt;1,K96&lt;&gt;"Oui",O96=""),"",IF(AC96="",O96+DORA_H_DET/24,IF(AC96-O96&lt;=DORA_H_DET/24,MIN(AC96+DORA_H_CLA/24,O96+DORA_H_DET/24),AC96+DORA_H_CLA/24)))</f>
        <v/>
      </c>
      <c r="BS96" s="35" t="str">
        <f aca="true">IF(BR96="","",IF(AD96="",IF(NOW()&gt;BR96,0,""),IF(AD96&lt;=BR96,1,0)))</f>
        <v/>
      </c>
      <c r="BT96" s="35" t="str">
        <f aca="true">IF(OR(BR96="",AD96=""),"",IF(AE96="",IF(NOW()&gt;AD96+DORA_H_INT/24,0,""),IF(AE96&lt;=AD96+DORA_H_INT/24,1,0)))</f>
        <v/>
      </c>
      <c r="BU96" s="35" t="str">
        <f aca="true">IF(OR(BR96="",AE96=""),"",IF(AF96="",IF(NOW()&gt;EDATE(AE96,DORA_M_FIN)+1,0,""),IF(AF96&lt;=EDATE(AE96,DORA_M_FIN),1,0)))</f>
        <v/>
      </c>
      <c r="BV96" s="35" t="str">
        <f aca="false">IF(BR96="","",IF(COUNT(BS96:BU96)=0,"",MIN(BS96:BU96)))</f>
        <v/>
      </c>
      <c r="BW96" s="40" t="str">
        <f aca="false">IF(AQ96&lt;&gt;1,"",IF(AND(AG96="",AH96=""),"",N(AG96)-N(AH96)))</f>
        <v/>
      </c>
      <c r="BX96" s="35" t="str">
        <f aca="true">IF(OR(AQ96&lt;&gt;1,AI96&lt;&gt;"Oui",AJ96=""),"",IF(AK96="",IF(NOW()&gt;AJ96+1,0,""),IF(AK96&lt;=AJ96,1,0)))</f>
        <v/>
      </c>
    </row>
    <row r="97" customFormat="false" ht="15" hidden="false" customHeight="false" outlineLevel="0" collapsed="false">
      <c r="B97" s="29"/>
      <c r="C97" s="29"/>
      <c r="D97" s="29"/>
      <c r="E97" s="29"/>
      <c r="F97" s="29"/>
      <c r="G97" s="29"/>
      <c r="H97" s="29"/>
      <c r="I97" s="29"/>
      <c r="J97" s="29"/>
      <c r="K97" s="29"/>
      <c r="L97" s="29"/>
      <c r="M97" s="29"/>
      <c r="N97" s="30"/>
      <c r="O97" s="30"/>
      <c r="P97" s="30"/>
      <c r="Q97" s="30"/>
      <c r="R97" s="30"/>
      <c r="S97" s="30"/>
      <c r="T97" s="30"/>
      <c r="U97" s="30"/>
      <c r="V97" s="31"/>
      <c r="W97" s="29"/>
      <c r="X97" s="29"/>
      <c r="Y97" s="29"/>
      <c r="Z97" s="29"/>
      <c r="AA97" s="30"/>
      <c r="AB97" s="30"/>
      <c r="AC97" s="30"/>
      <c r="AD97" s="30"/>
      <c r="AE97" s="30"/>
      <c r="AF97" s="32"/>
      <c r="AG97" s="33"/>
      <c r="AH97" s="33"/>
      <c r="AI97" s="29"/>
      <c r="AJ97" s="32"/>
      <c r="AK97" s="32"/>
      <c r="AL97" s="29"/>
      <c r="AN97" s="34" t="str">
        <f aca="false">IF($B97="","",IF(OR(C97="",D97="",E97="",G97="",I97="",J97="",L97="",O97="",P97=""),"Champ obligatoire manquant",IF(OR(AND(N97&lt;&gt;"",N97&gt;O97),O97&gt;P97,AND(Q97&lt;&gt;"",Q97&lt;P97),AND(R97&lt;&gt;"",R97&lt;P97),AND(S97&lt;&gt;"",S97&lt;R97),AND(S97&lt;&gt;"",R97=""),AND(T97&lt;&gt;"",T97&lt;O97),AND(U97&lt;&gt;"",U97&lt;O97)),"Chronologie incohérente",IF(AND(OR(L97="Résolu",L97="Clos"),R97=""),"Date de résolution manquante",IF(AND(L97="Clos",S97=""),"Date de clôture manquante",IF(AND(K97="Oui",AC97=""),"Classification DORA manquante","OK"))))))</f>
        <v/>
      </c>
      <c r="AO97" s="35" t="str">
        <f aca="false">IF($B97="","",IF(AND(C97="Incident",L97&lt;&gt;"Annulé"),1,0))</f>
        <v/>
      </c>
      <c r="AP97" s="35" t="str">
        <f aca="false">IF($B97="","",IF(AND(C97="Quasi-incident",L97&lt;&gt;"Annulé"),1,0))</f>
        <v/>
      </c>
      <c r="AQ97" s="35" t="str">
        <f aca="false">IF($B97="","",AO97+AP97)</f>
        <v/>
      </c>
      <c r="AR97" s="36" t="str">
        <f aca="false">IF(OR($B97="",J97=""),"",IFERROR(VALUE(LEFT(J97,1)),""))</f>
        <v/>
      </c>
      <c r="AS97" s="35" t="str">
        <f aca="false">IF(OR(AO97&lt;&gt;1,G97=""),"",IFERROR(IF(INDEX(L_SrcInterne,MATCH(G97,L_Sources,0))="Oui",1,0),""))</f>
        <v/>
      </c>
      <c r="AT97" s="37" t="str">
        <f aca="false">IF(AO97&lt;&gt;1,"",IFERROR(ROUND(IF(OR(N97="",O97=""),"",IF(O97&lt;N97,"",ROUND(((NETWORKDAYS(N97,O97,JoursFeries)-1)*(HFer-HOuv)+IF(NETWORKDAYS(O97,O97,JoursFeries),MEDIAN(MOD(O97,1),HFer,HOuv),HFer)-IF(NETWORKDAYS(N97,N97,JoursFeries),MEDIAN(MOD(N97,1),HFer,HOuv),HOuv))*24,4)))/HJour,4),""))</f>
        <v/>
      </c>
      <c r="AU97" s="37" t="str">
        <f aca="false">IF(AO97&lt;&gt;1,"",IF(OR(O97="",P97=""),"",IF(P97&lt;O97,"",ROUND(((NETWORKDAYS(O97,P97,JoursFeries)-1)*(HFer-HOuv)+IF(NETWORKDAYS(P97,P97,JoursFeries),MEDIAN(MOD(P97,1),HFer,HOuv),HFer)-IF(NETWORKDAYS(O97,O97,JoursFeries),MEDIAN(MOD(O97,1),HFer,HOuv),HOuv))*24,4))))</f>
        <v/>
      </c>
      <c r="AV97" s="37" t="str">
        <f aca="false">IF(AO97&lt;&gt;1,"",IF(OR(P97="",Q97=""),"",IF(Q97&lt;P97,"",ROUND(((NETWORKDAYS(P97,Q97,JoursFeries)-1)*(HFer-HOuv)+IF(NETWORKDAYS(Q97,Q97,JoursFeries),MEDIAN(MOD(Q97,1),HFer,HOuv),HFer)-IF(NETWORKDAYS(P97,P97,JoursFeries),MEDIAN(MOD(P97,1),HFer,HOuv),HOuv))*24,4))))</f>
        <v/>
      </c>
      <c r="AW97" s="37" t="str">
        <f aca="false">IF(AO97&lt;&gt;1,"",IFERROR(ROUND(IF(OR(P97="",R97=""),"",IF(R97&lt;P97,"",ROUND(((NETWORKDAYS(P97,R97,JoursFeries)-1)*(HFer-HOuv)+IF(NETWORKDAYS(R97,R97,JoursFeries),MEDIAN(MOD(R97,1),HFer,HOuv),HFer)-IF(NETWORKDAYS(P97,P97,JoursFeries),MEDIAN(MOD(P97,1),HFer,HOuv),HOuv))*24,4)))/HJour,4),""))</f>
        <v/>
      </c>
      <c r="AX97" s="37" t="str">
        <f aca="false">IF(AO97&lt;&gt;1,"",IFERROR(ROUND(IF(OR(P97="",S97=""),"",IF(S97&lt;P97,"",ROUND(((NETWORKDAYS(P97,S97,JoursFeries)-1)*(HFer-HOuv)+IF(NETWORKDAYS(S97,S97,JoursFeries),MEDIAN(MOD(S97,1),HFer,HOuv),HFer)-IF(NETWORKDAYS(P97,P97,JoursFeries),MEDIAN(MOD(P97,1),HFer,HOuv),HOuv))*24,4)))/HJour,4),""))</f>
        <v/>
      </c>
      <c r="AY97" s="36" t="str">
        <f aca="false">IF(OR(AO97&lt;&gt;1,AR97=""),"",INDEX(SLA_PEC,AR97))</f>
        <v/>
      </c>
      <c r="AZ97" s="35" t="str">
        <f aca="false">IF(OR(AV97="",AY97=""),"",IF(AV97&lt;=AY97,1,0))</f>
        <v/>
      </c>
      <c r="BA97" s="36" t="str">
        <f aca="false">IF(OR(AO97&lt;&gt;1,AR97=""),"",INDEX(SLA_RES,AR97))</f>
        <v/>
      </c>
      <c r="BB97" s="35" t="str">
        <f aca="false">IF(OR(AW97="",BA97=""),"",IF(AW97&lt;=BA97,1,0))</f>
        <v/>
      </c>
      <c r="BC97" s="38" t="str">
        <f aca="false">IF(OR(BA97="",P97=""),"",WORKDAY(INT(P97),BA97,JoursFeries)+MOD(P97,1))</f>
        <v/>
      </c>
      <c r="BD97" s="39" t="str">
        <f aca="false">IF(AO97&lt;&gt;1,"",IF(OR(AB97&lt;&gt;"",AD97&lt;&gt;""),4,IF(U97&lt;&gt;"",3,IF(T97&lt;&gt;"",2,1))))</f>
        <v/>
      </c>
      <c r="BE97" s="39" t="str">
        <f aca="false">IF(OR(AO97&lt;&gt;1,AR97=""),"",INDEX(NIV_REQ,AR97))</f>
        <v/>
      </c>
      <c r="BF97" s="39" t="str">
        <f aca="false">IF(BE97="","",MAX(BE97,IF(OR(K97="Oui",Z97="Oui"),4,1)))</f>
        <v/>
      </c>
      <c r="BG97" s="35" t="str">
        <f aca="false">IF(OR(BF97="",BD97=""),"",IF(BD97&gt;=BF97,1,0))</f>
        <v/>
      </c>
      <c r="BH97" s="38" t="str">
        <f aca="false">IF(BE97="","",IF(BE97&lt;2,"",IF(BE97=2,IF(AND(T97="",U97=""),"",MIN(T97,U97)),IF(U97="","",U97))))</f>
        <v/>
      </c>
      <c r="BI97" s="37" t="str">
        <f aca="false">IF(BH97="","",IF(OR(O97="",BH97=""),"",IF(BH97&lt;O97,"",ROUND(((NETWORKDAYS(O97,BH97,JoursFeries)-1)*(HFer-HOuv)+IF(NETWORKDAYS(BH97,BH97,JoursFeries),MEDIAN(MOD(BH97,1),HFer,HOuv),HFer)-IF(NETWORKDAYS(O97,O97,JoursFeries),MEDIAN(MOD(O97,1),HFer,HOuv),HOuv))*24,4))))</f>
        <v/>
      </c>
      <c r="BJ97" s="35" t="str">
        <f aca="false">IF(OR(BI97="",AR97=""),"",IF(BI97&lt;=INDEX(DELAI_ESC,AR97),1,0))</f>
        <v/>
      </c>
      <c r="BK97" s="38" t="str">
        <f aca="false">IF(AO97&lt;&gt;1,"",IF(AND(T97="",U97=""),"",MIN(T97,U97)))</f>
        <v/>
      </c>
      <c r="BL97" s="37" t="str">
        <f aca="false">IF(OR(BK97="",R97=""),"",IFERROR(ROUND(IF(OR(BK97="",R97=""),"",IF(R97&lt;BK97,"",ROUND(((NETWORKDAYS(BK97,R97,JoursFeries)-1)*(HFer-HOuv)+IF(NETWORKDAYS(R97,R97,JoursFeries),MEDIAN(MOD(R97,1),HFer,HOuv),HFer)-IF(NETWORKDAYS(BK97,BK97,JoursFeries),MEDIAN(MOD(BK97,1),HFer,HOuv),HOuv))*24,4)))/HJour,4),""))</f>
        <v/>
      </c>
      <c r="BM97" s="35" t="str">
        <f aca="false">IF(OR(AO97&lt;&gt;1,R97=""),"",IF(BD97=1,1,0))</f>
        <v/>
      </c>
      <c r="BN97" s="35" t="str">
        <f aca="false">IF(AO97&lt;&gt;1,"",IF(W97="Oui",1,0))</f>
        <v/>
      </c>
      <c r="BO97" s="35" t="str">
        <f aca="false">IF(AO97&lt;&gt;1,"",IF(X97&lt;&gt;"",1,0))</f>
        <v/>
      </c>
      <c r="BP97" s="35" t="str">
        <f aca="false">IF(AO97&lt;&gt;1,"",IF(Y97="Oui",1,0))</f>
        <v/>
      </c>
      <c r="BQ97" s="35" t="str">
        <f aca="true">IF(OR(AO97&lt;&gt;1,Z97&lt;&gt;"Oui"),"",IF(AB97="",IF(AND(AA97&lt;&gt;"",NOW()&gt;AA97),0,""),IF(AA97="","",IF(AB97&lt;=AA97,1,0))))</f>
        <v/>
      </c>
      <c r="BR97" s="38" t="str">
        <f aca="false">IF(OR(AO97&lt;&gt;1,K97&lt;&gt;"Oui",O97=""),"",IF(AC97="",O97+DORA_H_DET/24,IF(AC97-O97&lt;=DORA_H_DET/24,MIN(AC97+DORA_H_CLA/24,O97+DORA_H_DET/24),AC97+DORA_H_CLA/24)))</f>
        <v/>
      </c>
      <c r="BS97" s="35" t="str">
        <f aca="true">IF(BR97="","",IF(AD97="",IF(NOW()&gt;BR97,0,""),IF(AD97&lt;=BR97,1,0)))</f>
        <v/>
      </c>
      <c r="BT97" s="35" t="str">
        <f aca="true">IF(OR(BR97="",AD97=""),"",IF(AE97="",IF(NOW()&gt;AD97+DORA_H_INT/24,0,""),IF(AE97&lt;=AD97+DORA_H_INT/24,1,0)))</f>
        <v/>
      </c>
      <c r="BU97" s="35" t="str">
        <f aca="true">IF(OR(BR97="",AE97=""),"",IF(AF97="",IF(NOW()&gt;EDATE(AE97,DORA_M_FIN)+1,0,""),IF(AF97&lt;=EDATE(AE97,DORA_M_FIN),1,0)))</f>
        <v/>
      </c>
      <c r="BV97" s="35" t="str">
        <f aca="false">IF(BR97="","",IF(COUNT(BS97:BU97)=0,"",MIN(BS97:BU97)))</f>
        <v/>
      </c>
      <c r="BW97" s="40" t="str">
        <f aca="false">IF(AQ97&lt;&gt;1,"",IF(AND(AG97="",AH97=""),"",N(AG97)-N(AH97)))</f>
        <v/>
      </c>
      <c r="BX97" s="35" t="str">
        <f aca="true">IF(OR(AQ97&lt;&gt;1,AI97&lt;&gt;"Oui",AJ97=""),"",IF(AK97="",IF(NOW()&gt;AJ97+1,0,""),IF(AK97&lt;=AJ97,1,0)))</f>
        <v/>
      </c>
    </row>
    <row r="98" customFormat="false" ht="15" hidden="false" customHeight="false" outlineLevel="0" collapsed="false">
      <c r="B98" s="29"/>
      <c r="C98" s="29"/>
      <c r="D98" s="29"/>
      <c r="E98" s="29"/>
      <c r="F98" s="29"/>
      <c r="G98" s="29"/>
      <c r="H98" s="29"/>
      <c r="I98" s="29"/>
      <c r="J98" s="29"/>
      <c r="K98" s="29"/>
      <c r="L98" s="29"/>
      <c r="M98" s="29"/>
      <c r="N98" s="30"/>
      <c r="O98" s="30"/>
      <c r="P98" s="30"/>
      <c r="Q98" s="30"/>
      <c r="R98" s="30"/>
      <c r="S98" s="30"/>
      <c r="T98" s="30"/>
      <c r="U98" s="30"/>
      <c r="V98" s="31"/>
      <c r="W98" s="29"/>
      <c r="X98" s="29"/>
      <c r="Y98" s="29"/>
      <c r="Z98" s="29"/>
      <c r="AA98" s="30"/>
      <c r="AB98" s="30"/>
      <c r="AC98" s="30"/>
      <c r="AD98" s="30"/>
      <c r="AE98" s="30"/>
      <c r="AF98" s="32"/>
      <c r="AG98" s="33"/>
      <c r="AH98" s="33"/>
      <c r="AI98" s="29"/>
      <c r="AJ98" s="32"/>
      <c r="AK98" s="32"/>
      <c r="AL98" s="29"/>
      <c r="AN98" s="34" t="str">
        <f aca="false">IF($B98="","",IF(OR(C98="",D98="",E98="",G98="",I98="",J98="",L98="",O98="",P98=""),"Champ obligatoire manquant",IF(OR(AND(N98&lt;&gt;"",N98&gt;O98),O98&gt;P98,AND(Q98&lt;&gt;"",Q98&lt;P98),AND(R98&lt;&gt;"",R98&lt;P98),AND(S98&lt;&gt;"",S98&lt;R98),AND(S98&lt;&gt;"",R98=""),AND(T98&lt;&gt;"",T98&lt;O98),AND(U98&lt;&gt;"",U98&lt;O98)),"Chronologie incohérente",IF(AND(OR(L98="Résolu",L98="Clos"),R98=""),"Date de résolution manquante",IF(AND(L98="Clos",S98=""),"Date de clôture manquante",IF(AND(K98="Oui",AC98=""),"Classification DORA manquante","OK"))))))</f>
        <v/>
      </c>
      <c r="AO98" s="35" t="str">
        <f aca="false">IF($B98="","",IF(AND(C98="Incident",L98&lt;&gt;"Annulé"),1,0))</f>
        <v/>
      </c>
      <c r="AP98" s="35" t="str">
        <f aca="false">IF($B98="","",IF(AND(C98="Quasi-incident",L98&lt;&gt;"Annulé"),1,0))</f>
        <v/>
      </c>
      <c r="AQ98" s="35" t="str">
        <f aca="false">IF($B98="","",AO98+AP98)</f>
        <v/>
      </c>
      <c r="AR98" s="36" t="str">
        <f aca="false">IF(OR($B98="",J98=""),"",IFERROR(VALUE(LEFT(J98,1)),""))</f>
        <v/>
      </c>
      <c r="AS98" s="35" t="str">
        <f aca="false">IF(OR(AO98&lt;&gt;1,G98=""),"",IFERROR(IF(INDEX(L_SrcInterne,MATCH(G98,L_Sources,0))="Oui",1,0),""))</f>
        <v/>
      </c>
      <c r="AT98" s="37" t="str">
        <f aca="false">IF(AO98&lt;&gt;1,"",IFERROR(ROUND(IF(OR(N98="",O98=""),"",IF(O98&lt;N98,"",ROUND(((NETWORKDAYS(N98,O98,JoursFeries)-1)*(HFer-HOuv)+IF(NETWORKDAYS(O98,O98,JoursFeries),MEDIAN(MOD(O98,1),HFer,HOuv),HFer)-IF(NETWORKDAYS(N98,N98,JoursFeries),MEDIAN(MOD(N98,1),HFer,HOuv),HOuv))*24,4)))/HJour,4),""))</f>
        <v/>
      </c>
      <c r="AU98" s="37" t="str">
        <f aca="false">IF(AO98&lt;&gt;1,"",IF(OR(O98="",P98=""),"",IF(P98&lt;O98,"",ROUND(((NETWORKDAYS(O98,P98,JoursFeries)-1)*(HFer-HOuv)+IF(NETWORKDAYS(P98,P98,JoursFeries),MEDIAN(MOD(P98,1),HFer,HOuv),HFer)-IF(NETWORKDAYS(O98,O98,JoursFeries),MEDIAN(MOD(O98,1),HFer,HOuv),HOuv))*24,4))))</f>
        <v/>
      </c>
      <c r="AV98" s="37" t="str">
        <f aca="false">IF(AO98&lt;&gt;1,"",IF(OR(P98="",Q98=""),"",IF(Q98&lt;P98,"",ROUND(((NETWORKDAYS(P98,Q98,JoursFeries)-1)*(HFer-HOuv)+IF(NETWORKDAYS(Q98,Q98,JoursFeries),MEDIAN(MOD(Q98,1),HFer,HOuv),HFer)-IF(NETWORKDAYS(P98,P98,JoursFeries),MEDIAN(MOD(P98,1),HFer,HOuv),HOuv))*24,4))))</f>
        <v/>
      </c>
      <c r="AW98" s="37" t="str">
        <f aca="false">IF(AO98&lt;&gt;1,"",IFERROR(ROUND(IF(OR(P98="",R98=""),"",IF(R98&lt;P98,"",ROUND(((NETWORKDAYS(P98,R98,JoursFeries)-1)*(HFer-HOuv)+IF(NETWORKDAYS(R98,R98,JoursFeries),MEDIAN(MOD(R98,1),HFer,HOuv),HFer)-IF(NETWORKDAYS(P98,P98,JoursFeries),MEDIAN(MOD(P98,1),HFer,HOuv),HOuv))*24,4)))/HJour,4),""))</f>
        <v/>
      </c>
      <c r="AX98" s="37" t="str">
        <f aca="false">IF(AO98&lt;&gt;1,"",IFERROR(ROUND(IF(OR(P98="",S98=""),"",IF(S98&lt;P98,"",ROUND(((NETWORKDAYS(P98,S98,JoursFeries)-1)*(HFer-HOuv)+IF(NETWORKDAYS(S98,S98,JoursFeries),MEDIAN(MOD(S98,1),HFer,HOuv),HFer)-IF(NETWORKDAYS(P98,P98,JoursFeries),MEDIAN(MOD(P98,1),HFer,HOuv),HOuv))*24,4)))/HJour,4),""))</f>
        <v/>
      </c>
      <c r="AY98" s="36" t="str">
        <f aca="false">IF(OR(AO98&lt;&gt;1,AR98=""),"",INDEX(SLA_PEC,AR98))</f>
        <v/>
      </c>
      <c r="AZ98" s="35" t="str">
        <f aca="false">IF(OR(AV98="",AY98=""),"",IF(AV98&lt;=AY98,1,0))</f>
        <v/>
      </c>
      <c r="BA98" s="36" t="str">
        <f aca="false">IF(OR(AO98&lt;&gt;1,AR98=""),"",INDEX(SLA_RES,AR98))</f>
        <v/>
      </c>
      <c r="BB98" s="35" t="str">
        <f aca="false">IF(OR(AW98="",BA98=""),"",IF(AW98&lt;=BA98,1,0))</f>
        <v/>
      </c>
      <c r="BC98" s="38" t="str">
        <f aca="false">IF(OR(BA98="",P98=""),"",WORKDAY(INT(P98),BA98,JoursFeries)+MOD(P98,1))</f>
        <v/>
      </c>
      <c r="BD98" s="39" t="str">
        <f aca="false">IF(AO98&lt;&gt;1,"",IF(OR(AB98&lt;&gt;"",AD98&lt;&gt;""),4,IF(U98&lt;&gt;"",3,IF(T98&lt;&gt;"",2,1))))</f>
        <v/>
      </c>
      <c r="BE98" s="39" t="str">
        <f aca="false">IF(OR(AO98&lt;&gt;1,AR98=""),"",INDEX(NIV_REQ,AR98))</f>
        <v/>
      </c>
      <c r="BF98" s="39" t="str">
        <f aca="false">IF(BE98="","",MAX(BE98,IF(OR(K98="Oui",Z98="Oui"),4,1)))</f>
        <v/>
      </c>
      <c r="BG98" s="35" t="str">
        <f aca="false">IF(OR(BF98="",BD98=""),"",IF(BD98&gt;=BF98,1,0))</f>
        <v/>
      </c>
      <c r="BH98" s="38" t="str">
        <f aca="false">IF(BE98="","",IF(BE98&lt;2,"",IF(BE98=2,IF(AND(T98="",U98=""),"",MIN(T98,U98)),IF(U98="","",U98))))</f>
        <v/>
      </c>
      <c r="BI98" s="37" t="str">
        <f aca="false">IF(BH98="","",IF(OR(O98="",BH98=""),"",IF(BH98&lt;O98,"",ROUND(((NETWORKDAYS(O98,BH98,JoursFeries)-1)*(HFer-HOuv)+IF(NETWORKDAYS(BH98,BH98,JoursFeries),MEDIAN(MOD(BH98,1),HFer,HOuv),HFer)-IF(NETWORKDAYS(O98,O98,JoursFeries),MEDIAN(MOD(O98,1),HFer,HOuv),HOuv))*24,4))))</f>
        <v/>
      </c>
      <c r="BJ98" s="35" t="str">
        <f aca="false">IF(OR(BI98="",AR98=""),"",IF(BI98&lt;=INDEX(DELAI_ESC,AR98),1,0))</f>
        <v/>
      </c>
      <c r="BK98" s="38" t="str">
        <f aca="false">IF(AO98&lt;&gt;1,"",IF(AND(T98="",U98=""),"",MIN(T98,U98)))</f>
        <v/>
      </c>
      <c r="BL98" s="37" t="str">
        <f aca="false">IF(OR(BK98="",R98=""),"",IFERROR(ROUND(IF(OR(BK98="",R98=""),"",IF(R98&lt;BK98,"",ROUND(((NETWORKDAYS(BK98,R98,JoursFeries)-1)*(HFer-HOuv)+IF(NETWORKDAYS(R98,R98,JoursFeries),MEDIAN(MOD(R98,1),HFer,HOuv),HFer)-IF(NETWORKDAYS(BK98,BK98,JoursFeries),MEDIAN(MOD(BK98,1),HFer,HOuv),HOuv))*24,4)))/HJour,4),""))</f>
        <v/>
      </c>
      <c r="BM98" s="35" t="str">
        <f aca="false">IF(OR(AO98&lt;&gt;1,R98=""),"",IF(BD98=1,1,0))</f>
        <v/>
      </c>
      <c r="BN98" s="35" t="str">
        <f aca="false">IF(AO98&lt;&gt;1,"",IF(W98="Oui",1,0))</f>
        <v/>
      </c>
      <c r="BO98" s="35" t="str">
        <f aca="false">IF(AO98&lt;&gt;1,"",IF(X98&lt;&gt;"",1,0))</f>
        <v/>
      </c>
      <c r="BP98" s="35" t="str">
        <f aca="false">IF(AO98&lt;&gt;1,"",IF(Y98="Oui",1,0))</f>
        <v/>
      </c>
      <c r="BQ98" s="35" t="str">
        <f aca="true">IF(OR(AO98&lt;&gt;1,Z98&lt;&gt;"Oui"),"",IF(AB98="",IF(AND(AA98&lt;&gt;"",NOW()&gt;AA98),0,""),IF(AA98="","",IF(AB98&lt;=AA98,1,0))))</f>
        <v/>
      </c>
      <c r="BR98" s="38" t="str">
        <f aca="false">IF(OR(AO98&lt;&gt;1,K98&lt;&gt;"Oui",O98=""),"",IF(AC98="",O98+DORA_H_DET/24,IF(AC98-O98&lt;=DORA_H_DET/24,MIN(AC98+DORA_H_CLA/24,O98+DORA_H_DET/24),AC98+DORA_H_CLA/24)))</f>
        <v/>
      </c>
      <c r="BS98" s="35" t="str">
        <f aca="true">IF(BR98="","",IF(AD98="",IF(NOW()&gt;BR98,0,""),IF(AD98&lt;=BR98,1,0)))</f>
        <v/>
      </c>
      <c r="BT98" s="35" t="str">
        <f aca="true">IF(OR(BR98="",AD98=""),"",IF(AE98="",IF(NOW()&gt;AD98+DORA_H_INT/24,0,""),IF(AE98&lt;=AD98+DORA_H_INT/24,1,0)))</f>
        <v/>
      </c>
      <c r="BU98" s="35" t="str">
        <f aca="true">IF(OR(BR98="",AE98=""),"",IF(AF98="",IF(NOW()&gt;EDATE(AE98,DORA_M_FIN)+1,0,""),IF(AF98&lt;=EDATE(AE98,DORA_M_FIN),1,0)))</f>
        <v/>
      </c>
      <c r="BV98" s="35" t="str">
        <f aca="false">IF(BR98="","",IF(COUNT(BS98:BU98)=0,"",MIN(BS98:BU98)))</f>
        <v/>
      </c>
      <c r="BW98" s="40" t="str">
        <f aca="false">IF(AQ98&lt;&gt;1,"",IF(AND(AG98="",AH98=""),"",N(AG98)-N(AH98)))</f>
        <v/>
      </c>
      <c r="BX98" s="35" t="str">
        <f aca="true">IF(OR(AQ98&lt;&gt;1,AI98&lt;&gt;"Oui",AJ98=""),"",IF(AK98="",IF(NOW()&gt;AJ98+1,0,""),IF(AK98&lt;=AJ98,1,0)))</f>
        <v/>
      </c>
    </row>
    <row r="99" customFormat="false" ht="15" hidden="false" customHeight="false" outlineLevel="0" collapsed="false">
      <c r="B99" s="29"/>
      <c r="C99" s="29"/>
      <c r="D99" s="29"/>
      <c r="E99" s="29"/>
      <c r="F99" s="29"/>
      <c r="G99" s="29"/>
      <c r="H99" s="29"/>
      <c r="I99" s="29"/>
      <c r="J99" s="29"/>
      <c r="K99" s="29"/>
      <c r="L99" s="29"/>
      <c r="M99" s="29"/>
      <c r="N99" s="30"/>
      <c r="O99" s="30"/>
      <c r="P99" s="30"/>
      <c r="Q99" s="30"/>
      <c r="R99" s="30"/>
      <c r="S99" s="30"/>
      <c r="T99" s="30"/>
      <c r="U99" s="30"/>
      <c r="V99" s="31"/>
      <c r="W99" s="29"/>
      <c r="X99" s="29"/>
      <c r="Y99" s="29"/>
      <c r="Z99" s="29"/>
      <c r="AA99" s="30"/>
      <c r="AB99" s="30"/>
      <c r="AC99" s="30"/>
      <c r="AD99" s="30"/>
      <c r="AE99" s="30"/>
      <c r="AF99" s="32"/>
      <c r="AG99" s="33"/>
      <c r="AH99" s="33"/>
      <c r="AI99" s="29"/>
      <c r="AJ99" s="32"/>
      <c r="AK99" s="32"/>
      <c r="AL99" s="29"/>
      <c r="AN99" s="34" t="str">
        <f aca="false">IF($B99="","",IF(OR(C99="",D99="",E99="",G99="",I99="",J99="",L99="",O99="",P99=""),"Champ obligatoire manquant",IF(OR(AND(N99&lt;&gt;"",N99&gt;O99),O99&gt;P99,AND(Q99&lt;&gt;"",Q99&lt;P99),AND(R99&lt;&gt;"",R99&lt;P99),AND(S99&lt;&gt;"",S99&lt;R99),AND(S99&lt;&gt;"",R99=""),AND(T99&lt;&gt;"",T99&lt;O99),AND(U99&lt;&gt;"",U99&lt;O99)),"Chronologie incohérente",IF(AND(OR(L99="Résolu",L99="Clos"),R99=""),"Date de résolution manquante",IF(AND(L99="Clos",S99=""),"Date de clôture manquante",IF(AND(K99="Oui",AC99=""),"Classification DORA manquante","OK"))))))</f>
        <v/>
      </c>
      <c r="AO99" s="35" t="str">
        <f aca="false">IF($B99="","",IF(AND(C99="Incident",L99&lt;&gt;"Annulé"),1,0))</f>
        <v/>
      </c>
      <c r="AP99" s="35" t="str">
        <f aca="false">IF($B99="","",IF(AND(C99="Quasi-incident",L99&lt;&gt;"Annulé"),1,0))</f>
        <v/>
      </c>
      <c r="AQ99" s="35" t="str">
        <f aca="false">IF($B99="","",AO99+AP99)</f>
        <v/>
      </c>
      <c r="AR99" s="36" t="str">
        <f aca="false">IF(OR($B99="",J99=""),"",IFERROR(VALUE(LEFT(J99,1)),""))</f>
        <v/>
      </c>
      <c r="AS99" s="35" t="str">
        <f aca="false">IF(OR(AO99&lt;&gt;1,G99=""),"",IFERROR(IF(INDEX(L_SrcInterne,MATCH(G99,L_Sources,0))="Oui",1,0),""))</f>
        <v/>
      </c>
      <c r="AT99" s="37" t="str">
        <f aca="false">IF(AO99&lt;&gt;1,"",IFERROR(ROUND(IF(OR(N99="",O99=""),"",IF(O99&lt;N99,"",ROUND(((NETWORKDAYS(N99,O99,JoursFeries)-1)*(HFer-HOuv)+IF(NETWORKDAYS(O99,O99,JoursFeries),MEDIAN(MOD(O99,1),HFer,HOuv),HFer)-IF(NETWORKDAYS(N99,N99,JoursFeries),MEDIAN(MOD(N99,1),HFer,HOuv),HOuv))*24,4)))/HJour,4),""))</f>
        <v/>
      </c>
      <c r="AU99" s="37" t="str">
        <f aca="false">IF(AO99&lt;&gt;1,"",IF(OR(O99="",P99=""),"",IF(P99&lt;O99,"",ROUND(((NETWORKDAYS(O99,P99,JoursFeries)-1)*(HFer-HOuv)+IF(NETWORKDAYS(P99,P99,JoursFeries),MEDIAN(MOD(P99,1),HFer,HOuv),HFer)-IF(NETWORKDAYS(O99,O99,JoursFeries),MEDIAN(MOD(O99,1),HFer,HOuv),HOuv))*24,4))))</f>
        <v/>
      </c>
      <c r="AV99" s="37" t="str">
        <f aca="false">IF(AO99&lt;&gt;1,"",IF(OR(P99="",Q99=""),"",IF(Q99&lt;P99,"",ROUND(((NETWORKDAYS(P99,Q99,JoursFeries)-1)*(HFer-HOuv)+IF(NETWORKDAYS(Q99,Q99,JoursFeries),MEDIAN(MOD(Q99,1),HFer,HOuv),HFer)-IF(NETWORKDAYS(P99,P99,JoursFeries),MEDIAN(MOD(P99,1),HFer,HOuv),HOuv))*24,4))))</f>
        <v/>
      </c>
      <c r="AW99" s="37" t="str">
        <f aca="false">IF(AO99&lt;&gt;1,"",IFERROR(ROUND(IF(OR(P99="",R99=""),"",IF(R99&lt;P99,"",ROUND(((NETWORKDAYS(P99,R99,JoursFeries)-1)*(HFer-HOuv)+IF(NETWORKDAYS(R99,R99,JoursFeries),MEDIAN(MOD(R99,1),HFer,HOuv),HFer)-IF(NETWORKDAYS(P99,P99,JoursFeries),MEDIAN(MOD(P99,1),HFer,HOuv),HOuv))*24,4)))/HJour,4),""))</f>
        <v/>
      </c>
      <c r="AX99" s="37" t="str">
        <f aca="false">IF(AO99&lt;&gt;1,"",IFERROR(ROUND(IF(OR(P99="",S99=""),"",IF(S99&lt;P99,"",ROUND(((NETWORKDAYS(P99,S99,JoursFeries)-1)*(HFer-HOuv)+IF(NETWORKDAYS(S99,S99,JoursFeries),MEDIAN(MOD(S99,1),HFer,HOuv),HFer)-IF(NETWORKDAYS(P99,P99,JoursFeries),MEDIAN(MOD(P99,1),HFer,HOuv),HOuv))*24,4)))/HJour,4),""))</f>
        <v/>
      </c>
      <c r="AY99" s="36" t="str">
        <f aca="false">IF(OR(AO99&lt;&gt;1,AR99=""),"",INDEX(SLA_PEC,AR99))</f>
        <v/>
      </c>
      <c r="AZ99" s="35" t="str">
        <f aca="false">IF(OR(AV99="",AY99=""),"",IF(AV99&lt;=AY99,1,0))</f>
        <v/>
      </c>
      <c r="BA99" s="36" t="str">
        <f aca="false">IF(OR(AO99&lt;&gt;1,AR99=""),"",INDEX(SLA_RES,AR99))</f>
        <v/>
      </c>
      <c r="BB99" s="35" t="str">
        <f aca="false">IF(OR(AW99="",BA99=""),"",IF(AW99&lt;=BA99,1,0))</f>
        <v/>
      </c>
      <c r="BC99" s="38" t="str">
        <f aca="false">IF(OR(BA99="",P99=""),"",WORKDAY(INT(P99),BA99,JoursFeries)+MOD(P99,1))</f>
        <v/>
      </c>
      <c r="BD99" s="39" t="str">
        <f aca="false">IF(AO99&lt;&gt;1,"",IF(OR(AB99&lt;&gt;"",AD99&lt;&gt;""),4,IF(U99&lt;&gt;"",3,IF(T99&lt;&gt;"",2,1))))</f>
        <v/>
      </c>
      <c r="BE99" s="39" t="str">
        <f aca="false">IF(OR(AO99&lt;&gt;1,AR99=""),"",INDEX(NIV_REQ,AR99))</f>
        <v/>
      </c>
      <c r="BF99" s="39" t="str">
        <f aca="false">IF(BE99="","",MAX(BE99,IF(OR(K99="Oui",Z99="Oui"),4,1)))</f>
        <v/>
      </c>
      <c r="BG99" s="35" t="str">
        <f aca="false">IF(OR(BF99="",BD99=""),"",IF(BD99&gt;=BF99,1,0))</f>
        <v/>
      </c>
      <c r="BH99" s="38" t="str">
        <f aca="false">IF(BE99="","",IF(BE99&lt;2,"",IF(BE99=2,IF(AND(T99="",U99=""),"",MIN(T99,U99)),IF(U99="","",U99))))</f>
        <v/>
      </c>
      <c r="BI99" s="37" t="str">
        <f aca="false">IF(BH99="","",IF(OR(O99="",BH99=""),"",IF(BH99&lt;O99,"",ROUND(((NETWORKDAYS(O99,BH99,JoursFeries)-1)*(HFer-HOuv)+IF(NETWORKDAYS(BH99,BH99,JoursFeries),MEDIAN(MOD(BH99,1),HFer,HOuv),HFer)-IF(NETWORKDAYS(O99,O99,JoursFeries),MEDIAN(MOD(O99,1),HFer,HOuv),HOuv))*24,4))))</f>
        <v/>
      </c>
      <c r="BJ99" s="35" t="str">
        <f aca="false">IF(OR(BI99="",AR99=""),"",IF(BI99&lt;=INDEX(DELAI_ESC,AR99),1,0))</f>
        <v/>
      </c>
      <c r="BK99" s="38" t="str">
        <f aca="false">IF(AO99&lt;&gt;1,"",IF(AND(T99="",U99=""),"",MIN(T99,U99)))</f>
        <v/>
      </c>
      <c r="BL99" s="37" t="str">
        <f aca="false">IF(OR(BK99="",R99=""),"",IFERROR(ROUND(IF(OR(BK99="",R99=""),"",IF(R99&lt;BK99,"",ROUND(((NETWORKDAYS(BK99,R99,JoursFeries)-1)*(HFer-HOuv)+IF(NETWORKDAYS(R99,R99,JoursFeries),MEDIAN(MOD(R99,1),HFer,HOuv),HFer)-IF(NETWORKDAYS(BK99,BK99,JoursFeries),MEDIAN(MOD(BK99,1),HFer,HOuv),HOuv))*24,4)))/HJour,4),""))</f>
        <v/>
      </c>
      <c r="BM99" s="35" t="str">
        <f aca="false">IF(OR(AO99&lt;&gt;1,R99=""),"",IF(BD99=1,1,0))</f>
        <v/>
      </c>
      <c r="BN99" s="35" t="str">
        <f aca="false">IF(AO99&lt;&gt;1,"",IF(W99="Oui",1,0))</f>
        <v/>
      </c>
      <c r="BO99" s="35" t="str">
        <f aca="false">IF(AO99&lt;&gt;1,"",IF(X99&lt;&gt;"",1,0))</f>
        <v/>
      </c>
      <c r="BP99" s="35" t="str">
        <f aca="false">IF(AO99&lt;&gt;1,"",IF(Y99="Oui",1,0))</f>
        <v/>
      </c>
      <c r="BQ99" s="35" t="str">
        <f aca="true">IF(OR(AO99&lt;&gt;1,Z99&lt;&gt;"Oui"),"",IF(AB99="",IF(AND(AA99&lt;&gt;"",NOW()&gt;AA99),0,""),IF(AA99="","",IF(AB99&lt;=AA99,1,0))))</f>
        <v/>
      </c>
      <c r="BR99" s="38" t="str">
        <f aca="false">IF(OR(AO99&lt;&gt;1,K99&lt;&gt;"Oui",O99=""),"",IF(AC99="",O99+DORA_H_DET/24,IF(AC99-O99&lt;=DORA_H_DET/24,MIN(AC99+DORA_H_CLA/24,O99+DORA_H_DET/24),AC99+DORA_H_CLA/24)))</f>
        <v/>
      </c>
      <c r="BS99" s="35" t="str">
        <f aca="true">IF(BR99="","",IF(AD99="",IF(NOW()&gt;BR99,0,""),IF(AD99&lt;=BR99,1,0)))</f>
        <v/>
      </c>
      <c r="BT99" s="35" t="str">
        <f aca="true">IF(OR(BR99="",AD99=""),"",IF(AE99="",IF(NOW()&gt;AD99+DORA_H_INT/24,0,""),IF(AE99&lt;=AD99+DORA_H_INT/24,1,0)))</f>
        <v/>
      </c>
      <c r="BU99" s="35" t="str">
        <f aca="true">IF(OR(BR99="",AE99=""),"",IF(AF99="",IF(NOW()&gt;EDATE(AE99,DORA_M_FIN)+1,0,""),IF(AF99&lt;=EDATE(AE99,DORA_M_FIN),1,0)))</f>
        <v/>
      </c>
      <c r="BV99" s="35" t="str">
        <f aca="false">IF(BR99="","",IF(COUNT(BS99:BU99)=0,"",MIN(BS99:BU99)))</f>
        <v/>
      </c>
      <c r="BW99" s="40" t="str">
        <f aca="false">IF(AQ99&lt;&gt;1,"",IF(AND(AG99="",AH99=""),"",N(AG99)-N(AH99)))</f>
        <v/>
      </c>
      <c r="BX99" s="35" t="str">
        <f aca="true">IF(OR(AQ99&lt;&gt;1,AI99&lt;&gt;"Oui",AJ99=""),"",IF(AK99="",IF(NOW()&gt;AJ99+1,0,""),IF(AK99&lt;=AJ99,1,0)))</f>
        <v/>
      </c>
    </row>
    <row r="100" customFormat="false" ht="15" hidden="false" customHeight="false" outlineLevel="0" collapsed="false">
      <c r="B100" s="29"/>
      <c r="C100" s="29"/>
      <c r="D100" s="29"/>
      <c r="E100" s="29"/>
      <c r="F100" s="29"/>
      <c r="G100" s="29"/>
      <c r="H100" s="29"/>
      <c r="I100" s="29"/>
      <c r="J100" s="29"/>
      <c r="K100" s="29"/>
      <c r="L100" s="29"/>
      <c r="M100" s="29"/>
      <c r="N100" s="30"/>
      <c r="O100" s="30"/>
      <c r="P100" s="30"/>
      <c r="Q100" s="30"/>
      <c r="R100" s="30"/>
      <c r="S100" s="30"/>
      <c r="T100" s="30"/>
      <c r="U100" s="30"/>
      <c r="V100" s="31"/>
      <c r="W100" s="29"/>
      <c r="X100" s="29"/>
      <c r="Y100" s="29"/>
      <c r="Z100" s="29"/>
      <c r="AA100" s="30"/>
      <c r="AB100" s="30"/>
      <c r="AC100" s="30"/>
      <c r="AD100" s="30"/>
      <c r="AE100" s="30"/>
      <c r="AF100" s="32"/>
      <c r="AG100" s="33"/>
      <c r="AH100" s="33"/>
      <c r="AI100" s="29"/>
      <c r="AJ100" s="32"/>
      <c r="AK100" s="32"/>
      <c r="AL100" s="29"/>
      <c r="AN100" s="34" t="str">
        <f aca="false">IF($B100="","",IF(OR(C100="",D100="",E100="",G100="",I100="",J100="",L100="",O100="",P100=""),"Champ obligatoire manquant",IF(OR(AND(N100&lt;&gt;"",N100&gt;O100),O100&gt;P100,AND(Q100&lt;&gt;"",Q100&lt;P100),AND(R100&lt;&gt;"",R100&lt;P100),AND(S100&lt;&gt;"",S100&lt;R100),AND(S100&lt;&gt;"",R100=""),AND(T100&lt;&gt;"",T100&lt;O100),AND(U100&lt;&gt;"",U100&lt;O100)),"Chronologie incohérente",IF(AND(OR(L100="Résolu",L100="Clos"),R100=""),"Date de résolution manquante",IF(AND(L100="Clos",S100=""),"Date de clôture manquante",IF(AND(K100="Oui",AC100=""),"Classification DORA manquante","OK"))))))</f>
        <v/>
      </c>
      <c r="AO100" s="35" t="str">
        <f aca="false">IF($B100="","",IF(AND(C100="Incident",L100&lt;&gt;"Annulé"),1,0))</f>
        <v/>
      </c>
      <c r="AP100" s="35" t="str">
        <f aca="false">IF($B100="","",IF(AND(C100="Quasi-incident",L100&lt;&gt;"Annulé"),1,0))</f>
        <v/>
      </c>
      <c r="AQ100" s="35" t="str">
        <f aca="false">IF($B100="","",AO100+AP100)</f>
        <v/>
      </c>
      <c r="AR100" s="36" t="str">
        <f aca="false">IF(OR($B100="",J100=""),"",IFERROR(VALUE(LEFT(J100,1)),""))</f>
        <v/>
      </c>
      <c r="AS100" s="35" t="str">
        <f aca="false">IF(OR(AO100&lt;&gt;1,G100=""),"",IFERROR(IF(INDEX(L_SrcInterne,MATCH(G100,L_Sources,0))="Oui",1,0),""))</f>
        <v/>
      </c>
      <c r="AT100" s="37" t="str">
        <f aca="false">IF(AO100&lt;&gt;1,"",IFERROR(ROUND(IF(OR(N100="",O100=""),"",IF(O100&lt;N100,"",ROUND(((NETWORKDAYS(N100,O100,JoursFeries)-1)*(HFer-HOuv)+IF(NETWORKDAYS(O100,O100,JoursFeries),MEDIAN(MOD(O100,1),HFer,HOuv),HFer)-IF(NETWORKDAYS(N100,N100,JoursFeries),MEDIAN(MOD(N100,1),HFer,HOuv),HOuv))*24,4)))/HJour,4),""))</f>
        <v/>
      </c>
      <c r="AU100" s="37" t="str">
        <f aca="false">IF(AO100&lt;&gt;1,"",IF(OR(O100="",P100=""),"",IF(P100&lt;O100,"",ROUND(((NETWORKDAYS(O100,P100,JoursFeries)-1)*(HFer-HOuv)+IF(NETWORKDAYS(P100,P100,JoursFeries),MEDIAN(MOD(P100,1),HFer,HOuv),HFer)-IF(NETWORKDAYS(O100,O100,JoursFeries),MEDIAN(MOD(O100,1),HFer,HOuv),HOuv))*24,4))))</f>
        <v/>
      </c>
      <c r="AV100" s="37" t="str">
        <f aca="false">IF(AO100&lt;&gt;1,"",IF(OR(P100="",Q100=""),"",IF(Q100&lt;P100,"",ROUND(((NETWORKDAYS(P100,Q100,JoursFeries)-1)*(HFer-HOuv)+IF(NETWORKDAYS(Q100,Q100,JoursFeries),MEDIAN(MOD(Q100,1),HFer,HOuv),HFer)-IF(NETWORKDAYS(P100,P100,JoursFeries),MEDIAN(MOD(P100,1),HFer,HOuv),HOuv))*24,4))))</f>
        <v/>
      </c>
      <c r="AW100" s="37" t="str">
        <f aca="false">IF(AO100&lt;&gt;1,"",IFERROR(ROUND(IF(OR(P100="",R100=""),"",IF(R100&lt;P100,"",ROUND(((NETWORKDAYS(P100,R100,JoursFeries)-1)*(HFer-HOuv)+IF(NETWORKDAYS(R100,R100,JoursFeries),MEDIAN(MOD(R100,1),HFer,HOuv),HFer)-IF(NETWORKDAYS(P100,P100,JoursFeries),MEDIAN(MOD(P100,1),HFer,HOuv),HOuv))*24,4)))/HJour,4),""))</f>
        <v/>
      </c>
      <c r="AX100" s="37" t="str">
        <f aca="false">IF(AO100&lt;&gt;1,"",IFERROR(ROUND(IF(OR(P100="",S100=""),"",IF(S100&lt;P100,"",ROUND(((NETWORKDAYS(P100,S100,JoursFeries)-1)*(HFer-HOuv)+IF(NETWORKDAYS(S100,S100,JoursFeries),MEDIAN(MOD(S100,1),HFer,HOuv),HFer)-IF(NETWORKDAYS(P100,P100,JoursFeries),MEDIAN(MOD(P100,1),HFer,HOuv),HOuv))*24,4)))/HJour,4),""))</f>
        <v/>
      </c>
      <c r="AY100" s="36" t="str">
        <f aca="false">IF(OR(AO100&lt;&gt;1,AR100=""),"",INDEX(SLA_PEC,AR100))</f>
        <v/>
      </c>
      <c r="AZ100" s="35" t="str">
        <f aca="false">IF(OR(AV100="",AY100=""),"",IF(AV100&lt;=AY100,1,0))</f>
        <v/>
      </c>
      <c r="BA100" s="36" t="str">
        <f aca="false">IF(OR(AO100&lt;&gt;1,AR100=""),"",INDEX(SLA_RES,AR100))</f>
        <v/>
      </c>
      <c r="BB100" s="35" t="str">
        <f aca="false">IF(OR(AW100="",BA100=""),"",IF(AW100&lt;=BA100,1,0))</f>
        <v/>
      </c>
      <c r="BC100" s="38" t="str">
        <f aca="false">IF(OR(BA100="",P100=""),"",WORKDAY(INT(P100),BA100,JoursFeries)+MOD(P100,1))</f>
        <v/>
      </c>
      <c r="BD100" s="39" t="str">
        <f aca="false">IF(AO100&lt;&gt;1,"",IF(OR(AB100&lt;&gt;"",AD100&lt;&gt;""),4,IF(U100&lt;&gt;"",3,IF(T100&lt;&gt;"",2,1))))</f>
        <v/>
      </c>
      <c r="BE100" s="39" t="str">
        <f aca="false">IF(OR(AO100&lt;&gt;1,AR100=""),"",INDEX(NIV_REQ,AR100))</f>
        <v/>
      </c>
      <c r="BF100" s="39" t="str">
        <f aca="false">IF(BE100="","",MAX(BE100,IF(OR(K100="Oui",Z100="Oui"),4,1)))</f>
        <v/>
      </c>
      <c r="BG100" s="35" t="str">
        <f aca="false">IF(OR(BF100="",BD100=""),"",IF(BD100&gt;=BF100,1,0))</f>
        <v/>
      </c>
      <c r="BH100" s="38" t="str">
        <f aca="false">IF(BE100="","",IF(BE100&lt;2,"",IF(BE100=2,IF(AND(T100="",U100=""),"",MIN(T100,U100)),IF(U100="","",U100))))</f>
        <v/>
      </c>
      <c r="BI100" s="37" t="str">
        <f aca="false">IF(BH100="","",IF(OR(O100="",BH100=""),"",IF(BH100&lt;O100,"",ROUND(((NETWORKDAYS(O100,BH100,JoursFeries)-1)*(HFer-HOuv)+IF(NETWORKDAYS(BH100,BH100,JoursFeries),MEDIAN(MOD(BH100,1),HFer,HOuv),HFer)-IF(NETWORKDAYS(O100,O100,JoursFeries),MEDIAN(MOD(O100,1),HFer,HOuv),HOuv))*24,4))))</f>
        <v/>
      </c>
      <c r="BJ100" s="35" t="str">
        <f aca="false">IF(OR(BI100="",AR100=""),"",IF(BI100&lt;=INDEX(DELAI_ESC,AR100),1,0))</f>
        <v/>
      </c>
      <c r="BK100" s="38" t="str">
        <f aca="false">IF(AO100&lt;&gt;1,"",IF(AND(T100="",U100=""),"",MIN(T100,U100)))</f>
        <v/>
      </c>
      <c r="BL100" s="37" t="str">
        <f aca="false">IF(OR(BK100="",R100=""),"",IFERROR(ROUND(IF(OR(BK100="",R100=""),"",IF(R100&lt;BK100,"",ROUND(((NETWORKDAYS(BK100,R100,JoursFeries)-1)*(HFer-HOuv)+IF(NETWORKDAYS(R100,R100,JoursFeries),MEDIAN(MOD(R100,1),HFer,HOuv),HFer)-IF(NETWORKDAYS(BK100,BK100,JoursFeries),MEDIAN(MOD(BK100,1),HFer,HOuv),HOuv))*24,4)))/HJour,4),""))</f>
        <v/>
      </c>
      <c r="BM100" s="35" t="str">
        <f aca="false">IF(OR(AO100&lt;&gt;1,R100=""),"",IF(BD100=1,1,0))</f>
        <v/>
      </c>
      <c r="BN100" s="35" t="str">
        <f aca="false">IF(AO100&lt;&gt;1,"",IF(W100="Oui",1,0))</f>
        <v/>
      </c>
      <c r="BO100" s="35" t="str">
        <f aca="false">IF(AO100&lt;&gt;1,"",IF(X100&lt;&gt;"",1,0))</f>
        <v/>
      </c>
      <c r="BP100" s="35" t="str">
        <f aca="false">IF(AO100&lt;&gt;1,"",IF(Y100="Oui",1,0))</f>
        <v/>
      </c>
      <c r="BQ100" s="35" t="str">
        <f aca="true">IF(OR(AO100&lt;&gt;1,Z100&lt;&gt;"Oui"),"",IF(AB100="",IF(AND(AA100&lt;&gt;"",NOW()&gt;AA100),0,""),IF(AA100="","",IF(AB100&lt;=AA100,1,0))))</f>
        <v/>
      </c>
      <c r="BR100" s="38" t="str">
        <f aca="false">IF(OR(AO100&lt;&gt;1,K100&lt;&gt;"Oui",O100=""),"",IF(AC100="",O100+DORA_H_DET/24,IF(AC100-O100&lt;=DORA_H_DET/24,MIN(AC100+DORA_H_CLA/24,O100+DORA_H_DET/24),AC100+DORA_H_CLA/24)))</f>
        <v/>
      </c>
      <c r="BS100" s="35" t="str">
        <f aca="true">IF(BR100="","",IF(AD100="",IF(NOW()&gt;BR100,0,""),IF(AD100&lt;=BR100,1,0)))</f>
        <v/>
      </c>
      <c r="BT100" s="35" t="str">
        <f aca="true">IF(OR(BR100="",AD100=""),"",IF(AE100="",IF(NOW()&gt;AD100+DORA_H_INT/24,0,""),IF(AE100&lt;=AD100+DORA_H_INT/24,1,0)))</f>
        <v/>
      </c>
      <c r="BU100" s="35" t="str">
        <f aca="true">IF(OR(BR100="",AE100=""),"",IF(AF100="",IF(NOW()&gt;EDATE(AE100,DORA_M_FIN)+1,0,""),IF(AF100&lt;=EDATE(AE100,DORA_M_FIN),1,0)))</f>
        <v/>
      </c>
      <c r="BV100" s="35" t="str">
        <f aca="false">IF(BR100="","",IF(COUNT(BS100:BU100)=0,"",MIN(BS100:BU100)))</f>
        <v/>
      </c>
      <c r="BW100" s="40" t="str">
        <f aca="false">IF(AQ100&lt;&gt;1,"",IF(AND(AG100="",AH100=""),"",N(AG100)-N(AH100)))</f>
        <v/>
      </c>
      <c r="BX100" s="35" t="str">
        <f aca="true">IF(OR(AQ100&lt;&gt;1,AI100&lt;&gt;"Oui",AJ100=""),"",IF(AK100="",IF(NOW()&gt;AJ100+1,0,""),IF(AK100&lt;=AJ100,1,0)))</f>
        <v/>
      </c>
    </row>
    <row r="101" customFormat="false" ht="15" hidden="false" customHeight="false" outlineLevel="0" collapsed="false">
      <c r="B101" s="29"/>
      <c r="C101" s="29"/>
      <c r="D101" s="29"/>
      <c r="E101" s="29"/>
      <c r="F101" s="29"/>
      <c r="G101" s="29"/>
      <c r="H101" s="29"/>
      <c r="I101" s="29"/>
      <c r="J101" s="29"/>
      <c r="K101" s="29"/>
      <c r="L101" s="29"/>
      <c r="M101" s="29"/>
      <c r="N101" s="30"/>
      <c r="O101" s="30"/>
      <c r="P101" s="30"/>
      <c r="Q101" s="30"/>
      <c r="R101" s="30"/>
      <c r="S101" s="30"/>
      <c r="T101" s="30"/>
      <c r="U101" s="30"/>
      <c r="V101" s="31"/>
      <c r="W101" s="29"/>
      <c r="X101" s="29"/>
      <c r="Y101" s="29"/>
      <c r="Z101" s="29"/>
      <c r="AA101" s="30"/>
      <c r="AB101" s="30"/>
      <c r="AC101" s="30"/>
      <c r="AD101" s="30"/>
      <c r="AE101" s="30"/>
      <c r="AF101" s="32"/>
      <c r="AG101" s="33"/>
      <c r="AH101" s="33"/>
      <c r="AI101" s="29"/>
      <c r="AJ101" s="32"/>
      <c r="AK101" s="32"/>
      <c r="AL101" s="29"/>
      <c r="AN101" s="34" t="str">
        <f aca="false">IF($B101="","",IF(OR(C101="",D101="",E101="",G101="",I101="",J101="",L101="",O101="",P101=""),"Champ obligatoire manquant",IF(OR(AND(N101&lt;&gt;"",N101&gt;O101),O101&gt;P101,AND(Q101&lt;&gt;"",Q101&lt;P101),AND(R101&lt;&gt;"",R101&lt;P101),AND(S101&lt;&gt;"",S101&lt;R101),AND(S101&lt;&gt;"",R101=""),AND(T101&lt;&gt;"",T101&lt;O101),AND(U101&lt;&gt;"",U101&lt;O101)),"Chronologie incohérente",IF(AND(OR(L101="Résolu",L101="Clos"),R101=""),"Date de résolution manquante",IF(AND(L101="Clos",S101=""),"Date de clôture manquante",IF(AND(K101="Oui",AC101=""),"Classification DORA manquante","OK"))))))</f>
        <v/>
      </c>
      <c r="AO101" s="35" t="str">
        <f aca="false">IF($B101="","",IF(AND(C101="Incident",L101&lt;&gt;"Annulé"),1,0))</f>
        <v/>
      </c>
      <c r="AP101" s="35" t="str">
        <f aca="false">IF($B101="","",IF(AND(C101="Quasi-incident",L101&lt;&gt;"Annulé"),1,0))</f>
        <v/>
      </c>
      <c r="AQ101" s="35" t="str">
        <f aca="false">IF($B101="","",AO101+AP101)</f>
        <v/>
      </c>
      <c r="AR101" s="36" t="str">
        <f aca="false">IF(OR($B101="",J101=""),"",IFERROR(VALUE(LEFT(J101,1)),""))</f>
        <v/>
      </c>
      <c r="AS101" s="35" t="str">
        <f aca="false">IF(OR(AO101&lt;&gt;1,G101=""),"",IFERROR(IF(INDEX(L_SrcInterne,MATCH(G101,L_Sources,0))="Oui",1,0),""))</f>
        <v/>
      </c>
      <c r="AT101" s="37" t="str">
        <f aca="false">IF(AO101&lt;&gt;1,"",IFERROR(ROUND(IF(OR(N101="",O101=""),"",IF(O101&lt;N101,"",ROUND(((NETWORKDAYS(N101,O101,JoursFeries)-1)*(HFer-HOuv)+IF(NETWORKDAYS(O101,O101,JoursFeries),MEDIAN(MOD(O101,1),HFer,HOuv),HFer)-IF(NETWORKDAYS(N101,N101,JoursFeries),MEDIAN(MOD(N101,1),HFer,HOuv),HOuv))*24,4)))/HJour,4),""))</f>
        <v/>
      </c>
      <c r="AU101" s="37" t="str">
        <f aca="false">IF(AO101&lt;&gt;1,"",IF(OR(O101="",P101=""),"",IF(P101&lt;O101,"",ROUND(((NETWORKDAYS(O101,P101,JoursFeries)-1)*(HFer-HOuv)+IF(NETWORKDAYS(P101,P101,JoursFeries),MEDIAN(MOD(P101,1),HFer,HOuv),HFer)-IF(NETWORKDAYS(O101,O101,JoursFeries),MEDIAN(MOD(O101,1),HFer,HOuv),HOuv))*24,4))))</f>
        <v/>
      </c>
      <c r="AV101" s="37" t="str">
        <f aca="false">IF(AO101&lt;&gt;1,"",IF(OR(P101="",Q101=""),"",IF(Q101&lt;P101,"",ROUND(((NETWORKDAYS(P101,Q101,JoursFeries)-1)*(HFer-HOuv)+IF(NETWORKDAYS(Q101,Q101,JoursFeries),MEDIAN(MOD(Q101,1),HFer,HOuv),HFer)-IF(NETWORKDAYS(P101,P101,JoursFeries),MEDIAN(MOD(P101,1),HFer,HOuv),HOuv))*24,4))))</f>
        <v/>
      </c>
      <c r="AW101" s="37" t="str">
        <f aca="false">IF(AO101&lt;&gt;1,"",IFERROR(ROUND(IF(OR(P101="",R101=""),"",IF(R101&lt;P101,"",ROUND(((NETWORKDAYS(P101,R101,JoursFeries)-1)*(HFer-HOuv)+IF(NETWORKDAYS(R101,R101,JoursFeries),MEDIAN(MOD(R101,1),HFer,HOuv),HFer)-IF(NETWORKDAYS(P101,P101,JoursFeries),MEDIAN(MOD(P101,1),HFer,HOuv),HOuv))*24,4)))/HJour,4),""))</f>
        <v/>
      </c>
      <c r="AX101" s="37" t="str">
        <f aca="false">IF(AO101&lt;&gt;1,"",IFERROR(ROUND(IF(OR(P101="",S101=""),"",IF(S101&lt;P101,"",ROUND(((NETWORKDAYS(P101,S101,JoursFeries)-1)*(HFer-HOuv)+IF(NETWORKDAYS(S101,S101,JoursFeries),MEDIAN(MOD(S101,1),HFer,HOuv),HFer)-IF(NETWORKDAYS(P101,P101,JoursFeries),MEDIAN(MOD(P101,1),HFer,HOuv),HOuv))*24,4)))/HJour,4),""))</f>
        <v/>
      </c>
      <c r="AY101" s="36" t="str">
        <f aca="false">IF(OR(AO101&lt;&gt;1,AR101=""),"",INDEX(SLA_PEC,AR101))</f>
        <v/>
      </c>
      <c r="AZ101" s="35" t="str">
        <f aca="false">IF(OR(AV101="",AY101=""),"",IF(AV101&lt;=AY101,1,0))</f>
        <v/>
      </c>
      <c r="BA101" s="36" t="str">
        <f aca="false">IF(OR(AO101&lt;&gt;1,AR101=""),"",INDEX(SLA_RES,AR101))</f>
        <v/>
      </c>
      <c r="BB101" s="35" t="str">
        <f aca="false">IF(OR(AW101="",BA101=""),"",IF(AW101&lt;=BA101,1,0))</f>
        <v/>
      </c>
      <c r="BC101" s="38" t="str">
        <f aca="false">IF(OR(BA101="",P101=""),"",WORKDAY(INT(P101),BA101,JoursFeries)+MOD(P101,1))</f>
        <v/>
      </c>
      <c r="BD101" s="39" t="str">
        <f aca="false">IF(AO101&lt;&gt;1,"",IF(OR(AB101&lt;&gt;"",AD101&lt;&gt;""),4,IF(U101&lt;&gt;"",3,IF(T101&lt;&gt;"",2,1))))</f>
        <v/>
      </c>
      <c r="BE101" s="39" t="str">
        <f aca="false">IF(OR(AO101&lt;&gt;1,AR101=""),"",INDEX(NIV_REQ,AR101))</f>
        <v/>
      </c>
      <c r="BF101" s="39" t="str">
        <f aca="false">IF(BE101="","",MAX(BE101,IF(OR(K101="Oui",Z101="Oui"),4,1)))</f>
        <v/>
      </c>
      <c r="BG101" s="35" t="str">
        <f aca="false">IF(OR(BF101="",BD101=""),"",IF(BD101&gt;=BF101,1,0))</f>
        <v/>
      </c>
      <c r="BH101" s="38" t="str">
        <f aca="false">IF(BE101="","",IF(BE101&lt;2,"",IF(BE101=2,IF(AND(T101="",U101=""),"",MIN(T101,U101)),IF(U101="","",U101))))</f>
        <v/>
      </c>
      <c r="BI101" s="37" t="str">
        <f aca="false">IF(BH101="","",IF(OR(O101="",BH101=""),"",IF(BH101&lt;O101,"",ROUND(((NETWORKDAYS(O101,BH101,JoursFeries)-1)*(HFer-HOuv)+IF(NETWORKDAYS(BH101,BH101,JoursFeries),MEDIAN(MOD(BH101,1),HFer,HOuv),HFer)-IF(NETWORKDAYS(O101,O101,JoursFeries),MEDIAN(MOD(O101,1),HFer,HOuv),HOuv))*24,4))))</f>
        <v/>
      </c>
      <c r="BJ101" s="35" t="str">
        <f aca="false">IF(OR(BI101="",AR101=""),"",IF(BI101&lt;=INDEX(DELAI_ESC,AR101),1,0))</f>
        <v/>
      </c>
      <c r="BK101" s="38" t="str">
        <f aca="false">IF(AO101&lt;&gt;1,"",IF(AND(T101="",U101=""),"",MIN(T101,U101)))</f>
        <v/>
      </c>
      <c r="BL101" s="37" t="str">
        <f aca="false">IF(OR(BK101="",R101=""),"",IFERROR(ROUND(IF(OR(BK101="",R101=""),"",IF(R101&lt;BK101,"",ROUND(((NETWORKDAYS(BK101,R101,JoursFeries)-1)*(HFer-HOuv)+IF(NETWORKDAYS(R101,R101,JoursFeries),MEDIAN(MOD(R101,1),HFer,HOuv),HFer)-IF(NETWORKDAYS(BK101,BK101,JoursFeries),MEDIAN(MOD(BK101,1),HFer,HOuv),HOuv))*24,4)))/HJour,4),""))</f>
        <v/>
      </c>
      <c r="BM101" s="35" t="str">
        <f aca="false">IF(OR(AO101&lt;&gt;1,R101=""),"",IF(BD101=1,1,0))</f>
        <v/>
      </c>
      <c r="BN101" s="35" t="str">
        <f aca="false">IF(AO101&lt;&gt;1,"",IF(W101="Oui",1,0))</f>
        <v/>
      </c>
      <c r="BO101" s="35" t="str">
        <f aca="false">IF(AO101&lt;&gt;1,"",IF(X101&lt;&gt;"",1,0))</f>
        <v/>
      </c>
      <c r="BP101" s="35" t="str">
        <f aca="false">IF(AO101&lt;&gt;1,"",IF(Y101="Oui",1,0))</f>
        <v/>
      </c>
      <c r="BQ101" s="35" t="str">
        <f aca="true">IF(OR(AO101&lt;&gt;1,Z101&lt;&gt;"Oui"),"",IF(AB101="",IF(AND(AA101&lt;&gt;"",NOW()&gt;AA101),0,""),IF(AA101="","",IF(AB101&lt;=AA101,1,0))))</f>
        <v/>
      </c>
      <c r="BR101" s="38" t="str">
        <f aca="false">IF(OR(AO101&lt;&gt;1,K101&lt;&gt;"Oui",O101=""),"",IF(AC101="",O101+DORA_H_DET/24,IF(AC101-O101&lt;=DORA_H_DET/24,MIN(AC101+DORA_H_CLA/24,O101+DORA_H_DET/24),AC101+DORA_H_CLA/24)))</f>
        <v/>
      </c>
      <c r="BS101" s="35" t="str">
        <f aca="true">IF(BR101="","",IF(AD101="",IF(NOW()&gt;BR101,0,""),IF(AD101&lt;=BR101,1,0)))</f>
        <v/>
      </c>
      <c r="BT101" s="35" t="str">
        <f aca="true">IF(OR(BR101="",AD101=""),"",IF(AE101="",IF(NOW()&gt;AD101+DORA_H_INT/24,0,""),IF(AE101&lt;=AD101+DORA_H_INT/24,1,0)))</f>
        <v/>
      </c>
      <c r="BU101" s="35" t="str">
        <f aca="true">IF(OR(BR101="",AE101=""),"",IF(AF101="",IF(NOW()&gt;EDATE(AE101,DORA_M_FIN)+1,0,""),IF(AF101&lt;=EDATE(AE101,DORA_M_FIN),1,0)))</f>
        <v/>
      </c>
      <c r="BV101" s="35" t="str">
        <f aca="false">IF(BR101="","",IF(COUNT(BS101:BU101)=0,"",MIN(BS101:BU101)))</f>
        <v/>
      </c>
      <c r="BW101" s="40" t="str">
        <f aca="false">IF(AQ101&lt;&gt;1,"",IF(AND(AG101="",AH101=""),"",N(AG101)-N(AH101)))</f>
        <v/>
      </c>
      <c r="BX101" s="35" t="str">
        <f aca="true">IF(OR(AQ101&lt;&gt;1,AI101&lt;&gt;"Oui",AJ101=""),"",IF(AK101="",IF(NOW()&gt;AJ101+1,0,""),IF(AK101&lt;=AJ101,1,0)))</f>
        <v/>
      </c>
    </row>
    <row r="102" customFormat="false" ht="15" hidden="false" customHeight="false" outlineLevel="0" collapsed="false">
      <c r="B102" s="29"/>
      <c r="C102" s="29"/>
      <c r="D102" s="29"/>
      <c r="E102" s="29"/>
      <c r="F102" s="29"/>
      <c r="G102" s="29"/>
      <c r="H102" s="29"/>
      <c r="I102" s="29"/>
      <c r="J102" s="29"/>
      <c r="K102" s="29"/>
      <c r="L102" s="29"/>
      <c r="M102" s="29"/>
      <c r="N102" s="30"/>
      <c r="O102" s="30"/>
      <c r="P102" s="30"/>
      <c r="Q102" s="30"/>
      <c r="R102" s="30"/>
      <c r="S102" s="30"/>
      <c r="T102" s="30"/>
      <c r="U102" s="30"/>
      <c r="V102" s="31"/>
      <c r="W102" s="29"/>
      <c r="X102" s="29"/>
      <c r="Y102" s="29"/>
      <c r="Z102" s="29"/>
      <c r="AA102" s="30"/>
      <c r="AB102" s="30"/>
      <c r="AC102" s="30"/>
      <c r="AD102" s="30"/>
      <c r="AE102" s="30"/>
      <c r="AF102" s="32"/>
      <c r="AG102" s="33"/>
      <c r="AH102" s="33"/>
      <c r="AI102" s="29"/>
      <c r="AJ102" s="32"/>
      <c r="AK102" s="32"/>
      <c r="AL102" s="29"/>
      <c r="AN102" s="34" t="str">
        <f aca="false">IF($B102="","",IF(OR(C102="",D102="",E102="",G102="",I102="",J102="",L102="",O102="",P102=""),"Champ obligatoire manquant",IF(OR(AND(N102&lt;&gt;"",N102&gt;O102),O102&gt;P102,AND(Q102&lt;&gt;"",Q102&lt;P102),AND(R102&lt;&gt;"",R102&lt;P102),AND(S102&lt;&gt;"",S102&lt;R102),AND(S102&lt;&gt;"",R102=""),AND(T102&lt;&gt;"",T102&lt;O102),AND(U102&lt;&gt;"",U102&lt;O102)),"Chronologie incohérente",IF(AND(OR(L102="Résolu",L102="Clos"),R102=""),"Date de résolution manquante",IF(AND(L102="Clos",S102=""),"Date de clôture manquante",IF(AND(K102="Oui",AC102=""),"Classification DORA manquante","OK"))))))</f>
        <v/>
      </c>
      <c r="AO102" s="35" t="str">
        <f aca="false">IF($B102="","",IF(AND(C102="Incident",L102&lt;&gt;"Annulé"),1,0))</f>
        <v/>
      </c>
      <c r="AP102" s="35" t="str">
        <f aca="false">IF($B102="","",IF(AND(C102="Quasi-incident",L102&lt;&gt;"Annulé"),1,0))</f>
        <v/>
      </c>
      <c r="AQ102" s="35" t="str">
        <f aca="false">IF($B102="","",AO102+AP102)</f>
        <v/>
      </c>
      <c r="AR102" s="36" t="str">
        <f aca="false">IF(OR($B102="",J102=""),"",IFERROR(VALUE(LEFT(J102,1)),""))</f>
        <v/>
      </c>
      <c r="AS102" s="35" t="str">
        <f aca="false">IF(OR(AO102&lt;&gt;1,G102=""),"",IFERROR(IF(INDEX(L_SrcInterne,MATCH(G102,L_Sources,0))="Oui",1,0),""))</f>
        <v/>
      </c>
      <c r="AT102" s="37" t="str">
        <f aca="false">IF(AO102&lt;&gt;1,"",IFERROR(ROUND(IF(OR(N102="",O102=""),"",IF(O102&lt;N102,"",ROUND(((NETWORKDAYS(N102,O102,JoursFeries)-1)*(HFer-HOuv)+IF(NETWORKDAYS(O102,O102,JoursFeries),MEDIAN(MOD(O102,1),HFer,HOuv),HFer)-IF(NETWORKDAYS(N102,N102,JoursFeries),MEDIAN(MOD(N102,1),HFer,HOuv),HOuv))*24,4)))/HJour,4),""))</f>
        <v/>
      </c>
      <c r="AU102" s="37" t="str">
        <f aca="false">IF(AO102&lt;&gt;1,"",IF(OR(O102="",P102=""),"",IF(P102&lt;O102,"",ROUND(((NETWORKDAYS(O102,P102,JoursFeries)-1)*(HFer-HOuv)+IF(NETWORKDAYS(P102,P102,JoursFeries),MEDIAN(MOD(P102,1),HFer,HOuv),HFer)-IF(NETWORKDAYS(O102,O102,JoursFeries),MEDIAN(MOD(O102,1),HFer,HOuv),HOuv))*24,4))))</f>
        <v/>
      </c>
      <c r="AV102" s="37" t="str">
        <f aca="false">IF(AO102&lt;&gt;1,"",IF(OR(P102="",Q102=""),"",IF(Q102&lt;P102,"",ROUND(((NETWORKDAYS(P102,Q102,JoursFeries)-1)*(HFer-HOuv)+IF(NETWORKDAYS(Q102,Q102,JoursFeries),MEDIAN(MOD(Q102,1),HFer,HOuv),HFer)-IF(NETWORKDAYS(P102,P102,JoursFeries),MEDIAN(MOD(P102,1),HFer,HOuv),HOuv))*24,4))))</f>
        <v/>
      </c>
      <c r="AW102" s="37" t="str">
        <f aca="false">IF(AO102&lt;&gt;1,"",IFERROR(ROUND(IF(OR(P102="",R102=""),"",IF(R102&lt;P102,"",ROUND(((NETWORKDAYS(P102,R102,JoursFeries)-1)*(HFer-HOuv)+IF(NETWORKDAYS(R102,R102,JoursFeries),MEDIAN(MOD(R102,1),HFer,HOuv),HFer)-IF(NETWORKDAYS(P102,P102,JoursFeries),MEDIAN(MOD(P102,1),HFer,HOuv),HOuv))*24,4)))/HJour,4),""))</f>
        <v/>
      </c>
      <c r="AX102" s="37" t="str">
        <f aca="false">IF(AO102&lt;&gt;1,"",IFERROR(ROUND(IF(OR(P102="",S102=""),"",IF(S102&lt;P102,"",ROUND(((NETWORKDAYS(P102,S102,JoursFeries)-1)*(HFer-HOuv)+IF(NETWORKDAYS(S102,S102,JoursFeries),MEDIAN(MOD(S102,1),HFer,HOuv),HFer)-IF(NETWORKDAYS(P102,P102,JoursFeries),MEDIAN(MOD(P102,1),HFer,HOuv),HOuv))*24,4)))/HJour,4),""))</f>
        <v/>
      </c>
      <c r="AY102" s="36" t="str">
        <f aca="false">IF(OR(AO102&lt;&gt;1,AR102=""),"",INDEX(SLA_PEC,AR102))</f>
        <v/>
      </c>
      <c r="AZ102" s="35" t="str">
        <f aca="false">IF(OR(AV102="",AY102=""),"",IF(AV102&lt;=AY102,1,0))</f>
        <v/>
      </c>
      <c r="BA102" s="36" t="str">
        <f aca="false">IF(OR(AO102&lt;&gt;1,AR102=""),"",INDEX(SLA_RES,AR102))</f>
        <v/>
      </c>
      <c r="BB102" s="35" t="str">
        <f aca="false">IF(OR(AW102="",BA102=""),"",IF(AW102&lt;=BA102,1,0))</f>
        <v/>
      </c>
      <c r="BC102" s="38" t="str">
        <f aca="false">IF(OR(BA102="",P102=""),"",WORKDAY(INT(P102),BA102,JoursFeries)+MOD(P102,1))</f>
        <v/>
      </c>
      <c r="BD102" s="39" t="str">
        <f aca="false">IF(AO102&lt;&gt;1,"",IF(OR(AB102&lt;&gt;"",AD102&lt;&gt;""),4,IF(U102&lt;&gt;"",3,IF(T102&lt;&gt;"",2,1))))</f>
        <v/>
      </c>
      <c r="BE102" s="39" t="str">
        <f aca="false">IF(OR(AO102&lt;&gt;1,AR102=""),"",INDEX(NIV_REQ,AR102))</f>
        <v/>
      </c>
      <c r="BF102" s="39" t="str">
        <f aca="false">IF(BE102="","",MAX(BE102,IF(OR(K102="Oui",Z102="Oui"),4,1)))</f>
        <v/>
      </c>
      <c r="BG102" s="35" t="str">
        <f aca="false">IF(OR(BF102="",BD102=""),"",IF(BD102&gt;=BF102,1,0))</f>
        <v/>
      </c>
      <c r="BH102" s="38" t="str">
        <f aca="false">IF(BE102="","",IF(BE102&lt;2,"",IF(BE102=2,IF(AND(T102="",U102=""),"",MIN(T102,U102)),IF(U102="","",U102))))</f>
        <v/>
      </c>
      <c r="BI102" s="37" t="str">
        <f aca="false">IF(BH102="","",IF(OR(O102="",BH102=""),"",IF(BH102&lt;O102,"",ROUND(((NETWORKDAYS(O102,BH102,JoursFeries)-1)*(HFer-HOuv)+IF(NETWORKDAYS(BH102,BH102,JoursFeries),MEDIAN(MOD(BH102,1),HFer,HOuv),HFer)-IF(NETWORKDAYS(O102,O102,JoursFeries),MEDIAN(MOD(O102,1),HFer,HOuv),HOuv))*24,4))))</f>
        <v/>
      </c>
      <c r="BJ102" s="35" t="str">
        <f aca="false">IF(OR(BI102="",AR102=""),"",IF(BI102&lt;=INDEX(DELAI_ESC,AR102),1,0))</f>
        <v/>
      </c>
      <c r="BK102" s="38" t="str">
        <f aca="false">IF(AO102&lt;&gt;1,"",IF(AND(T102="",U102=""),"",MIN(T102,U102)))</f>
        <v/>
      </c>
      <c r="BL102" s="37" t="str">
        <f aca="false">IF(OR(BK102="",R102=""),"",IFERROR(ROUND(IF(OR(BK102="",R102=""),"",IF(R102&lt;BK102,"",ROUND(((NETWORKDAYS(BK102,R102,JoursFeries)-1)*(HFer-HOuv)+IF(NETWORKDAYS(R102,R102,JoursFeries),MEDIAN(MOD(R102,1),HFer,HOuv),HFer)-IF(NETWORKDAYS(BK102,BK102,JoursFeries),MEDIAN(MOD(BK102,1),HFer,HOuv),HOuv))*24,4)))/HJour,4),""))</f>
        <v/>
      </c>
      <c r="BM102" s="35" t="str">
        <f aca="false">IF(OR(AO102&lt;&gt;1,R102=""),"",IF(BD102=1,1,0))</f>
        <v/>
      </c>
      <c r="BN102" s="35" t="str">
        <f aca="false">IF(AO102&lt;&gt;1,"",IF(W102="Oui",1,0))</f>
        <v/>
      </c>
      <c r="BO102" s="35" t="str">
        <f aca="false">IF(AO102&lt;&gt;1,"",IF(X102&lt;&gt;"",1,0))</f>
        <v/>
      </c>
      <c r="BP102" s="35" t="str">
        <f aca="false">IF(AO102&lt;&gt;1,"",IF(Y102="Oui",1,0))</f>
        <v/>
      </c>
      <c r="BQ102" s="35" t="str">
        <f aca="true">IF(OR(AO102&lt;&gt;1,Z102&lt;&gt;"Oui"),"",IF(AB102="",IF(AND(AA102&lt;&gt;"",NOW()&gt;AA102),0,""),IF(AA102="","",IF(AB102&lt;=AA102,1,0))))</f>
        <v/>
      </c>
      <c r="BR102" s="38" t="str">
        <f aca="false">IF(OR(AO102&lt;&gt;1,K102&lt;&gt;"Oui",O102=""),"",IF(AC102="",O102+DORA_H_DET/24,IF(AC102-O102&lt;=DORA_H_DET/24,MIN(AC102+DORA_H_CLA/24,O102+DORA_H_DET/24),AC102+DORA_H_CLA/24)))</f>
        <v/>
      </c>
      <c r="BS102" s="35" t="str">
        <f aca="true">IF(BR102="","",IF(AD102="",IF(NOW()&gt;BR102,0,""),IF(AD102&lt;=BR102,1,0)))</f>
        <v/>
      </c>
      <c r="BT102" s="35" t="str">
        <f aca="true">IF(OR(BR102="",AD102=""),"",IF(AE102="",IF(NOW()&gt;AD102+DORA_H_INT/24,0,""),IF(AE102&lt;=AD102+DORA_H_INT/24,1,0)))</f>
        <v/>
      </c>
      <c r="BU102" s="35" t="str">
        <f aca="true">IF(OR(BR102="",AE102=""),"",IF(AF102="",IF(NOW()&gt;EDATE(AE102,DORA_M_FIN)+1,0,""),IF(AF102&lt;=EDATE(AE102,DORA_M_FIN),1,0)))</f>
        <v/>
      </c>
      <c r="BV102" s="35" t="str">
        <f aca="false">IF(BR102="","",IF(COUNT(BS102:BU102)=0,"",MIN(BS102:BU102)))</f>
        <v/>
      </c>
      <c r="BW102" s="40" t="str">
        <f aca="false">IF(AQ102&lt;&gt;1,"",IF(AND(AG102="",AH102=""),"",N(AG102)-N(AH102)))</f>
        <v/>
      </c>
      <c r="BX102" s="35" t="str">
        <f aca="true">IF(OR(AQ102&lt;&gt;1,AI102&lt;&gt;"Oui",AJ102=""),"",IF(AK102="",IF(NOW()&gt;AJ102+1,0,""),IF(AK102&lt;=AJ102,1,0)))</f>
        <v/>
      </c>
    </row>
    <row r="103" customFormat="false" ht="15" hidden="false" customHeight="false" outlineLevel="0" collapsed="false">
      <c r="B103" s="29"/>
      <c r="C103" s="29"/>
      <c r="D103" s="29"/>
      <c r="E103" s="29"/>
      <c r="F103" s="29"/>
      <c r="G103" s="29"/>
      <c r="H103" s="29"/>
      <c r="I103" s="29"/>
      <c r="J103" s="29"/>
      <c r="K103" s="29"/>
      <c r="L103" s="29"/>
      <c r="M103" s="29"/>
      <c r="N103" s="30"/>
      <c r="O103" s="30"/>
      <c r="P103" s="30"/>
      <c r="Q103" s="30"/>
      <c r="R103" s="30"/>
      <c r="S103" s="30"/>
      <c r="T103" s="30"/>
      <c r="U103" s="30"/>
      <c r="V103" s="31"/>
      <c r="W103" s="29"/>
      <c r="X103" s="29"/>
      <c r="Y103" s="29"/>
      <c r="Z103" s="29"/>
      <c r="AA103" s="30"/>
      <c r="AB103" s="30"/>
      <c r="AC103" s="30"/>
      <c r="AD103" s="30"/>
      <c r="AE103" s="30"/>
      <c r="AF103" s="32"/>
      <c r="AG103" s="33"/>
      <c r="AH103" s="33"/>
      <c r="AI103" s="29"/>
      <c r="AJ103" s="32"/>
      <c r="AK103" s="32"/>
      <c r="AL103" s="29"/>
      <c r="AN103" s="34" t="str">
        <f aca="false">IF($B103="","",IF(OR(C103="",D103="",E103="",G103="",I103="",J103="",L103="",O103="",P103=""),"Champ obligatoire manquant",IF(OR(AND(N103&lt;&gt;"",N103&gt;O103),O103&gt;P103,AND(Q103&lt;&gt;"",Q103&lt;P103),AND(R103&lt;&gt;"",R103&lt;P103),AND(S103&lt;&gt;"",S103&lt;R103),AND(S103&lt;&gt;"",R103=""),AND(T103&lt;&gt;"",T103&lt;O103),AND(U103&lt;&gt;"",U103&lt;O103)),"Chronologie incohérente",IF(AND(OR(L103="Résolu",L103="Clos"),R103=""),"Date de résolution manquante",IF(AND(L103="Clos",S103=""),"Date de clôture manquante",IF(AND(K103="Oui",AC103=""),"Classification DORA manquante","OK"))))))</f>
        <v/>
      </c>
      <c r="AO103" s="35" t="str">
        <f aca="false">IF($B103="","",IF(AND(C103="Incident",L103&lt;&gt;"Annulé"),1,0))</f>
        <v/>
      </c>
      <c r="AP103" s="35" t="str">
        <f aca="false">IF($B103="","",IF(AND(C103="Quasi-incident",L103&lt;&gt;"Annulé"),1,0))</f>
        <v/>
      </c>
      <c r="AQ103" s="35" t="str">
        <f aca="false">IF($B103="","",AO103+AP103)</f>
        <v/>
      </c>
      <c r="AR103" s="36" t="str">
        <f aca="false">IF(OR($B103="",J103=""),"",IFERROR(VALUE(LEFT(J103,1)),""))</f>
        <v/>
      </c>
      <c r="AS103" s="35" t="str">
        <f aca="false">IF(OR(AO103&lt;&gt;1,G103=""),"",IFERROR(IF(INDEX(L_SrcInterne,MATCH(G103,L_Sources,0))="Oui",1,0),""))</f>
        <v/>
      </c>
      <c r="AT103" s="37" t="str">
        <f aca="false">IF(AO103&lt;&gt;1,"",IFERROR(ROUND(IF(OR(N103="",O103=""),"",IF(O103&lt;N103,"",ROUND(((NETWORKDAYS(N103,O103,JoursFeries)-1)*(HFer-HOuv)+IF(NETWORKDAYS(O103,O103,JoursFeries),MEDIAN(MOD(O103,1),HFer,HOuv),HFer)-IF(NETWORKDAYS(N103,N103,JoursFeries),MEDIAN(MOD(N103,1),HFer,HOuv),HOuv))*24,4)))/HJour,4),""))</f>
        <v/>
      </c>
      <c r="AU103" s="37" t="str">
        <f aca="false">IF(AO103&lt;&gt;1,"",IF(OR(O103="",P103=""),"",IF(P103&lt;O103,"",ROUND(((NETWORKDAYS(O103,P103,JoursFeries)-1)*(HFer-HOuv)+IF(NETWORKDAYS(P103,P103,JoursFeries),MEDIAN(MOD(P103,1),HFer,HOuv),HFer)-IF(NETWORKDAYS(O103,O103,JoursFeries),MEDIAN(MOD(O103,1),HFer,HOuv),HOuv))*24,4))))</f>
        <v/>
      </c>
      <c r="AV103" s="37" t="str">
        <f aca="false">IF(AO103&lt;&gt;1,"",IF(OR(P103="",Q103=""),"",IF(Q103&lt;P103,"",ROUND(((NETWORKDAYS(P103,Q103,JoursFeries)-1)*(HFer-HOuv)+IF(NETWORKDAYS(Q103,Q103,JoursFeries),MEDIAN(MOD(Q103,1),HFer,HOuv),HFer)-IF(NETWORKDAYS(P103,P103,JoursFeries),MEDIAN(MOD(P103,1),HFer,HOuv),HOuv))*24,4))))</f>
        <v/>
      </c>
      <c r="AW103" s="37" t="str">
        <f aca="false">IF(AO103&lt;&gt;1,"",IFERROR(ROUND(IF(OR(P103="",R103=""),"",IF(R103&lt;P103,"",ROUND(((NETWORKDAYS(P103,R103,JoursFeries)-1)*(HFer-HOuv)+IF(NETWORKDAYS(R103,R103,JoursFeries),MEDIAN(MOD(R103,1),HFer,HOuv),HFer)-IF(NETWORKDAYS(P103,P103,JoursFeries),MEDIAN(MOD(P103,1),HFer,HOuv),HOuv))*24,4)))/HJour,4),""))</f>
        <v/>
      </c>
      <c r="AX103" s="37" t="str">
        <f aca="false">IF(AO103&lt;&gt;1,"",IFERROR(ROUND(IF(OR(P103="",S103=""),"",IF(S103&lt;P103,"",ROUND(((NETWORKDAYS(P103,S103,JoursFeries)-1)*(HFer-HOuv)+IF(NETWORKDAYS(S103,S103,JoursFeries),MEDIAN(MOD(S103,1),HFer,HOuv),HFer)-IF(NETWORKDAYS(P103,P103,JoursFeries),MEDIAN(MOD(P103,1),HFer,HOuv),HOuv))*24,4)))/HJour,4),""))</f>
        <v/>
      </c>
      <c r="AY103" s="36" t="str">
        <f aca="false">IF(OR(AO103&lt;&gt;1,AR103=""),"",INDEX(SLA_PEC,AR103))</f>
        <v/>
      </c>
      <c r="AZ103" s="35" t="str">
        <f aca="false">IF(OR(AV103="",AY103=""),"",IF(AV103&lt;=AY103,1,0))</f>
        <v/>
      </c>
      <c r="BA103" s="36" t="str">
        <f aca="false">IF(OR(AO103&lt;&gt;1,AR103=""),"",INDEX(SLA_RES,AR103))</f>
        <v/>
      </c>
      <c r="BB103" s="35" t="str">
        <f aca="false">IF(OR(AW103="",BA103=""),"",IF(AW103&lt;=BA103,1,0))</f>
        <v/>
      </c>
      <c r="BC103" s="38" t="str">
        <f aca="false">IF(OR(BA103="",P103=""),"",WORKDAY(INT(P103),BA103,JoursFeries)+MOD(P103,1))</f>
        <v/>
      </c>
      <c r="BD103" s="39" t="str">
        <f aca="false">IF(AO103&lt;&gt;1,"",IF(OR(AB103&lt;&gt;"",AD103&lt;&gt;""),4,IF(U103&lt;&gt;"",3,IF(T103&lt;&gt;"",2,1))))</f>
        <v/>
      </c>
      <c r="BE103" s="39" t="str">
        <f aca="false">IF(OR(AO103&lt;&gt;1,AR103=""),"",INDEX(NIV_REQ,AR103))</f>
        <v/>
      </c>
      <c r="BF103" s="39" t="str">
        <f aca="false">IF(BE103="","",MAX(BE103,IF(OR(K103="Oui",Z103="Oui"),4,1)))</f>
        <v/>
      </c>
      <c r="BG103" s="35" t="str">
        <f aca="false">IF(OR(BF103="",BD103=""),"",IF(BD103&gt;=BF103,1,0))</f>
        <v/>
      </c>
      <c r="BH103" s="38" t="str">
        <f aca="false">IF(BE103="","",IF(BE103&lt;2,"",IF(BE103=2,IF(AND(T103="",U103=""),"",MIN(T103,U103)),IF(U103="","",U103))))</f>
        <v/>
      </c>
      <c r="BI103" s="37" t="str">
        <f aca="false">IF(BH103="","",IF(OR(O103="",BH103=""),"",IF(BH103&lt;O103,"",ROUND(((NETWORKDAYS(O103,BH103,JoursFeries)-1)*(HFer-HOuv)+IF(NETWORKDAYS(BH103,BH103,JoursFeries),MEDIAN(MOD(BH103,1),HFer,HOuv),HFer)-IF(NETWORKDAYS(O103,O103,JoursFeries),MEDIAN(MOD(O103,1),HFer,HOuv),HOuv))*24,4))))</f>
        <v/>
      </c>
      <c r="BJ103" s="35" t="str">
        <f aca="false">IF(OR(BI103="",AR103=""),"",IF(BI103&lt;=INDEX(DELAI_ESC,AR103),1,0))</f>
        <v/>
      </c>
      <c r="BK103" s="38" t="str">
        <f aca="false">IF(AO103&lt;&gt;1,"",IF(AND(T103="",U103=""),"",MIN(T103,U103)))</f>
        <v/>
      </c>
      <c r="BL103" s="37" t="str">
        <f aca="false">IF(OR(BK103="",R103=""),"",IFERROR(ROUND(IF(OR(BK103="",R103=""),"",IF(R103&lt;BK103,"",ROUND(((NETWORKDAYS(BK103,R103,JoursFeries)-1)*(HFer-HOuv)+IF(NETWORKDAYS(R103,R103,JoursFeries),MEDIAN(MOD(R103,1),HFer,HOuv),HFer)-IF(NETWORKDAYS(BK103,BK103,JoursFeries),MEDIAN(MOD(BK103,1),HFer,HOuv),HOuv))*24,4)))/HJour,4),""))</f>
        <v/>
      </c>
      <c r="BM103" s="35" t="str">
        <f aca="false">IF(OR(AO103&lt;&gt;1,R103=""),"",IF(BD103=1,1,0))</f>
        <v/>
      </c>
      <c r="BN103" s="35" t="str">
        <f aca="false">IF(AO103&lt;&gt;1,"",IF(W103="Oui",1,0))</f>
        <v/>
      </c>
      <c r="BO103" s="35" t="str">
        <f aca="false">IF(AO103&lt;&gt;1,"",IF(X103&lt;&gt;"",1,0))</f>
        <v/>
      </c>
      <c r="BP103" s="35" t="str">
        <f aca="false">IF(AO103&lt;&gt;1,"",IF(Y103="Oui",1,0))</f>
        <v/>
      </c>
      <c r="BQ103" s="35" t="str">
        <f aca="true">IF(OR(AO103&lt;&gt;1,Z103&lt;&gt;"Oui"),"",IF(AB103="",IF(AND(AA103&lt;&gt;"",NOW()&gt;AA103),0,""),IF(AA103="","",IF(AB103&lt;=AA103,1,0))))</f>
        <v/>
      </c>
      <c r="BR103" s="38" t="str">
        <f aca="false">IF(OR(AO103&lt;&gt;1,K103&lt;&gt;"Oui",O103=""),"",IF(AC103="",O103+DORA_H_DET/24,IF(AC103-O103&lt;=DORA_H_DET/24,MIN(AC103+DORA_H_CLA/24,O103+DORA_H_DET/24),AC103+DORA_H_CLA/24)))</f>
        <v/>
      </c>
      <c r="BS103" s="35" t="str">
        <f aca="true">IF(BR103="","",IF(AD103="",IF(NOW()&gt;BR103,0,""),IF(AD103&lt;=BR103,1,0)))</f>
        <v/>
      </c>
      <c r="BT103" s="35" t="str">
        <f aca="true">IF(OR(BR103="",AD103=""),"",IF(AE103="",IF(NOW()&gt;AD103+DORA_H_INT/24,0,""),IF(AE103&lt;=AD103+DORA_H_INT/24,1,0)))</f>
        <v/>
      </c>
      <c r="BU103" s="35" t="str">
        <f aca="true">IF(OR(BR103="",AE103=""),"",IF(AF103="",IF(NOW()&gt;EDATE(AE103,DORA_M_FIN)+1,0,""),IF(AF103&lt;=EDATE(AE103,DORA_M_FIN),1,0)))</f>
        <v/>
      </c>
      <c r="BV103" s="35" t="str">
        <f aca="false">IF(BR103="","",IF(COUNT(BS103:BU103)=0,"",MIN(BS103:BU103)))</f>
        <v/>
      </c>
      <c r="BW103" s="40" t="str">
        <f aca="false">IF(AQ103&lt;&gt;1,"",IF(AND(AG103="",AH103=""),"",N(AG103)-N(AH103)))</f>
        <v/>
      </c>
      <c r="BX103" s="35" t="str">
        <f aca="true">IF(OR(AQ103&lt;&gt;1,AI103&lt;&gt;"Oui",AJ103=""),"",IF(AK103="",IF(NOW()&gt;AJ103+1,0,""),IF(AK103&lt;=AJ103,1,0)))</f>
        <v/>
      </c>
    </row>
    <row r="104" customFormat="false" ht="15" hidden="false" customHeight="false" outlineLevel="0" collapsed="false">
      <c r="B104" s="29"/>
      <c r="C104" s="29"/>
      <c r="D104" s="29"/>
      <c r="E104" s="29"/>
      <c r="F104" s="29"/>
      <c r="G104" s="29"/>
      <c r="H104" s="29"/>
      <c r="I104" s="29"/>
      <c r="J104" s="29"/>
      <c r="K104" s="29"/>
      <c r="L104" s="29"/>
      <c r="M104" s="29"/>
      <c r="N104" s="30"/>
      <c r="O104" s="30"/>
      <c r="P104" s="30"/>
      <c r="Q104" s="30"/>
      <c r="R104" s="30"/>
      <c r="S104" s="30"/>
      <c r="T104" s="30"/>
      <c r="U104" s="30"/>
      <c r="V104" s="31"/>
      <c r="W104" s="29"/>
      <c r="X104" s="29"/>
      <c r="Y104" s="29"/>
      <c r="Z104" s="29"/>
      <c r="AA104" s="30"/>
      <c r="AB104" s="30"/>
      <c r="AC104" s="30"/>
      <c r="AD104" s="30"/>
      <c r="AE104" s="30"/>
      <c r="AF104" s="32"/>
      <c r="AG104" s="33"/>
      <c r="AH104" s="33"/>
      <c r="AI104" s="29"/>
      <c r="AJ104" s="32"/>
      <c r="AK104" s="32"/>
      <c r="AL104" s="29"/>
      <c r="AN104" s="34" t="str">
        <f aca="false">IF($B104="","",IF(OR(C104="",D104="",E104="",G104="",I104="",J104="",L104="",O104="",P104=""),"Champ obligatoire manquant",IF(OR(AND(N104&lt;&gt;"",N104&gt;O104),O104&gt;P104,AND(Q104&lt;&gt;"",Q104&lt;P104),AND(R104&lt;&gt;"",R104&lt;P104),AND(S104&lt;&gt;"",S104&lt;R104),AND(S104&lt;&gt;"",R104=""),AND(T104&lt;&gt;"",T104&lt;O104),AND(U104&lt;&gt;"",U104&lt;O104)),"Chronologie incohérente",IF(AND(OR(L104="Résolu",L104="Clos"),R104=""),"Date de résolution manquante",IF(AND(L104="Clos",S104=""),"Date de clôture manquante",IF(AND(K104="Oui",AC104=""),"Classification DORA manquante","OK"))))))</f>
        <v/>
      </c>
      <c r="AO104" s="35" t="str">
        <f aca="false">IF($B104="","",IF(AND(C104="Incident",L104&lt;&gt;"Annulé"),1,0))</f>
        <v/>
      </c>
      <c r="AP104" s="35" t="str">
        <f aca="false">IF($B104="","",IF(AND(C104="Quasi-incident",L104&lt;&gt;"Annulé"),1,0))</f>
        <v/>
      </c>
      <c r="AQ104" s="35" t="str">
        <f aca="false">IF($B104="","",AO104+AP104)</f>
        <v/>
      </c>
      <c r="AR104" s="36" t="str">
        <f aca="false">IF(OR($B104="",J104=""),"",IFERROR(VALUE(LEFT(J104,1)),""))</f>
        <v/>
      </c>
      <c r="AS104" s="35" t="str">
        <f aca="false">IF(OR(AO104&lt;&gt;1,G104=""),"",IFERROR(IF(INDEX(L_SrcInterne,MATCH(G104,L_Sources,0))="Oui",1,0),""))</f>
        <v/>
      </c>
      <c r="AT104" s="37" t="str">
        <f aca="false">IF(AO104&lt;&gt;1,"",IFERROR(ROUND(IF(OR(N104="",O104=""),"",IF(O104&lt;N104,"",ROUND(((NETWORKDAYS(N104,O104,JoursFeries)-1)*(HFer-HOuv)+IF(NETWORKDAYS(O104,O104,JoursFeries),MEDIAN(MOD(O104,1),HFer,HOuv),HFer)-IF(NETWORKDAYS(N104,N104,JoursFeries),MEDIAN(MOD(N104,1),HFer,HOuv),HOuv))*24,4)))/HJour,4),""))</f>
        <v/>
      </c>
      <c r="AU104" s="37" t="str">
        <f aca="false">IF(AO104&lt;&gt;1,"",IF(OR(O104="",P104=""),"",IF(P104&lt;O104,"",ROUND(((NETWORKDAYS(O104,P104,JoursFeries)-1)*(HFer-HOuv)+IF(NETWORKDAYS(P104,P104,JoursFeries),MEDIAN(MOD(P104,1),HFer,HOuv),HFer)-IF(NETWORKDAYS(O104,O104,JoursFeries),MEDIAN(MOD(O104,1),HFer,HOuv),HOuv))*24,4))))</f>
        <v/>
      </c>
      <c r="AV104" s="37" t="str">
        <f aca="false">IF(AO104&lt;&gt;1,"",IF(OR(P104="",Q104=""),"",IF(Q104&lt;P104,"",ROUND(((NETWORKDAYS(P104,Q104,JoursFeries)-1)*(HFer-HOuv)+IF(NETWORKDAYS(Q104,Q104,JoursFeries),MEDIAN(MOD(Q104,1),HFer,HOuv),HFer)-IF(NETWORKDAYS(P104,P104,JoursFeries),MEDIAN(MOD(P104,1),HFer,HOuv),HOuv))*24,4))))</f>
        <v/>
      </c>
      <c r="AW104" s="37" t="str">
        <f aca="false">IF(AO104&lt;&gt;1,"",IFERROR(ROUND(IF(OR(P104="",R104=""),"",IF(R104&lt;P104,"",ROUND(((NETWORKDAYS(P104,R104,JoursFeries)-1)*(HFer-HOuv)+IF(NETWORKDAYS(R104,R104,JoursFeries),MEDIAN(MOD(R104,1),HFer,HOuv),HFer)-IF(NETWORKDAYS(P104,P104,JoursFeries),MEDIAN(MOD(P104,1),HFer,HOuv),HOuv))*24,4)))/HJour,4),""))</f>
        <v/>
      </c>
      <c r="AX104" s="37" t="str">
        <f aca="false">IF(AO104&lt;&gt;1,"",IFERROR(ROUND(IF(OR(P104="",S104=""),"",IF(S104&lt;P104,"",ROUND(((NETWORKDAYS(P104,S104,JoursFeries)-1)*(HFer-HOuv)+IF(NETWORKDAYS(S104,S104,JoursFeries),MEDIAN(MOD(S104,1),HFer,HOuv),HFer)-IF(NETWORKDAYS(P104,P104,JoursFeries),MEDIAN(MOD(P104,1),HFer,HOuv),HOuv))*24,4)))/HJour,4),""))</f>
        <v/>
      </c>
      <c r="AY104" s="36" t="str">
        <f aca="false">IF(OR(AO104&lt;&gt;1,AR104=""),"",INDEX(SLA_PEC,AR104))</f>
        <v/>
      </c>
      <c r="AZ104" s="35" t="str">
        <f aca="false">IF(OR(AV104="",AY104=""),"",IF(AV104&lt;=AY104,1,0))</f>
        <v/>
      </c>
      <c r="BA104" s="36" t="str">
        <f aca="false">IF(OR(AO104&lt;&gt;1,AR104=""),"",INDEX(SLA_RES,AR104))</f>
        <v/>
      </c>
      <c r="BB104" s="35" t="str">
        <f aca="false">IF(OR(AW104="",BA104=""),"",IF(AW104&lt;=BA104,1,0))</f>
        <v/>
      </c>
      <c r="BC104" s="38" t="str">
        <f aca="false">IF(OR(BA104="",P104=""),"",WORKDAY(INT(P104),BA104,JoursFeries)+MOD(P104,1))</f>
        <v/>
      </c>
      <c r="BD104" s="39" t="str">
        <f aca="false">IF(AO104&lt;&gt;1,"",IF(OR(AB104&lt;&gt;"",AD104&lt;&gt;""),4,IF(U104&lt;&gt;"",3,IF(T104&lt;&gt;"",2,1))))</f>
        <v/>
      </c>
      <c r="BE104" s="39" t="str">
        <f aca="false">IF(OR(AO104&lt;&gt;1,AR104=""),"",INDEX(NIV_REQ,AR104))</f>
        <v/>
      </c>
      <c r="BF104" s="39" t="str">
        <f aca="false">IF(BE104="","",MAX(BE104,IF(OR(K104="Oui",Z104="Oui"),4,1)))</f>
        <v/>
      </c>
      <c r="BG104" s="35" t="str">
        <f aca="false">IF(OR(BF104="",BD104=""),"",IF(BD104&gt;=BF104,1,0))</f>
        <v/>
      </c>
      <c r="BH104" s="38" t="str">
        <f aca="false">IF(BE104="","",IF(BE104&lt;2,"",IF(BE104=2,IF(AND(T104="",U104=""),"",MIN(T104,U104)),IF(U104="","",U104))))</f>
        <v/>
      </c>
      <c r="BI104" s="37" t="str">
        <f aca="false">IF(BH104="","",IF(OR(O104="",BH104=""),"",IF(BH104&lt;O104,"",ROUND(((NETWORKDAYS(O104,BH104,JoursFeries)-1)*(HFer-HOuv)+IF(NETWORKDAYS(BH104,BH104,JoursFeries),MEDIAN(MOD(BH104,1),HFer,HOuv),HFer)-IF(NETWORKDAYS(O104,O104,JoursFeries),MEDIAN(MOD(O104,1),HFer,HOuv),HOuv))*24,4))))</f>
        <v/>
      </c>
      <c r="BJ104" s="35" t="str">
        <f aca="false">IF(OR(BI104="",AR104=""),"",IF(BI104&lt;=INDEX(DELAI_ESC,AR104),1,0))</f>
        <v/>
      </c>
      <c r="BK104" s="38" t="str">
        <f aca="false">IF(AO104&lt;&gt;1,"",IF(AND(T104="",U104=""),"",MIN(T104,U104)))</f>
        <v/>
      </c>
      <c r="BL104" s="37" t="str">
        <f aca="false">IF(OR(BK104="",R104=""),"",IFERROR(ROUND(IF(OR(BK104="",R104=""),"",IF(R104&lt;BK104,"",ROUND(((NETWORKDAYS(BK104,R104,JoursFeries)-1)*(HFer-HOuv)+IF(NETWORKDAYS(R104,R104,JoursFeries),MEDIAN(MOD(R104,1),HFer,HOuv),HFer)-IF(NETWORKDAYS(BK104,BK104,JoursFeries),MEDIAN(MOD(BK104,1),HFer,HOuv),HOuv))*24,4)))/HJour,4),""))</f>
        <v/>
      </c>
      <c r="BM104" s="35" t="str">
        <f aca="false">IF(OR(AO104&lt;&gt;1,R104=""),"",IF(BD104=1,1,0))</f>
        <v/>
      </c>
      <c r="BN104" s="35" t="str">
        <f aca="false">IF(AO104&lt;&gt;1,"",IF(W104="Oui",1,0))</f>
        <v/>
      </c>
      <c r="BO104" s="35" t="str">
        <f aca="false">IF(AO104&lt;&gt;1,"",IF(X104&lt;&gt;"",1,0))</f>
        <v/>
      </c>
      <c r="BP104" s="35" t="str">
        <f aca="false">IF(AO104&lt;&gt;1,"",IF(Y104="Oui",1,0))</f>
        <v/>
      </c>
      <c r="BQ104" s="35" t="str">
        <f aca="true">IF(OR(AO104&lt;&gt;1,Z104&lt;&gt;"Oui"),"",IF(AB104="",IF(AND(AA104&lt;&gt;"",NOW()&gt;AA104),0,""),IF(AA104="","",IF(AB104&lt;=AA104,1,0))))</f>
        <v/>
      </c>
      <c r="BR104" s="38" t="str">
        <f aca="false">IF(OR(AO104&lt;&gt;1,K104&lt;&gt;"Oui",O104=""),"",IF(AC104="",O104+DORA_H_DET/24,IF(AC104-O104&lt;=DORA_H_DET/24,MIN(AC104+DORA_H_CLA/24,O104+DORA_H_DET/24),AC104+DORA_H_CLA/24)))</f>
        <v/>
      </c>
      <c r="BS104" s="35" t="str">
        <f aca="true">IF(BR104="","",IF(AD104="",IF(NOW()&gt;BR104,0,""),IF(AD104&lt;=BR104,1,0)))</f>
        <v/>
      </c>
      <c r="BT104" s="35" t="str">
        <f aca="true">IF(OR(BR104="",AD104=""),"",IF(AE104="",IF(NOW()&gt;AD104+DORA_H_INT/24,0,""),IF(AE104&lt;=AD104+DORA_H_INT/24,1,0)))</f>
        <v/>
      </c>
      <c r="BU104" s="35" t="str">
        <f aca="true">IF(OR(BR104="",AE104=""),"",IF(AF104="",IF(NOW()&gt;EDATE(AE104,DORA_M_FIN)+1,0,""),IF(AF104&lt;=EDATE(AE104,DORA_M_FIN),1,0)))</f>
        <v/>
      </c>
      <c r="BV104" s="35" t="str">
        <f aca="false">IF(BR104="","",IF(COUNT(BS104:BU104)=0,"",MIN(BS104:BU104)))</f>
        <v/>
      </c>
      <c r="BW104" s="40" t="str">
        <f aca="false">IF(AQ104&lt;&gt;1,"",IF(AND(AG104="",AH104=""),"",N(AG104)-N(AH104)))</f>
        <v/>
      </c>
      <c r="BX104" s="35" t="str">
        <f aca="true">IF(OR(AQ104&lt;&gt;1,AI104&lt;&gt;"Oui",AJ104=""),"",IF(AK104="",IF(NOW()&gt;AJ104+1,0,""),IF(AK104&lt;=AJ104,1,0)))</f>
        <v/>
      </c>
    </row>
    <row r="105" customFormat="false" ht="15" hidden="false" customHeight="false" outlineLevel="0" collapsed="false">
      <c r="B105" s="29"/>
      <c r="C105" s="29"/>
      <c r="D105" s="29"/>
      <c r="E105" s="29"/>
      <c r="F105" s="29"/>
      <c r="G105" s="29"/>
      <c r="H105" s="29"/>
      <c r="I105" s="29"/>
      <c r="J105" s="29"/>
      <c r="K105" s="29"/>
      <c r="L105" s="29"/>
      <c r="M105" s="29"/>
      <c r="N105" s="30"/>
      <c r="O105" s="30"/>
      <c r="P105" s="30"/>
      <c r="Q105" s="30"/>
      <c r="R105" s="30"/>
      <c r="S105" s="30"/>
      <c r="T105" s="30"/>
      <c r="U105" s="30"/>
      <c r="V105" s="31"/>
      <c r="W105" s="29"/>
      <c r="X105" s="29"/>
      <c r="Y105" s="29"/>
      <c r="Z105" s="29"/>
      <c r="AA105" s="30"/>
      <c r="AB105" s="30"/>
      <c r="AC105" s="30"/>
      <c r="AD105" s="30"/>
      <c r="AE105" s="30"/>
      <c r="AF105" s="32"/>
      <c r="AG105" s="33"/>
      <c r="AH105" s="33"/>
      <c r="AI105" s="29"/>
      <c r="AJ105" s="32"/>
      <c r="AK105" s="32"/>
      <c r="AL105" s="29"/>
      <c r="AN105" s="34" t="str">
        <f aca="false">IF($B105="","",IF(OR(C105="",D105="",E105="",G105="",I105="",J105="",L105="",O105="",P105=""),"Champ obligatoire manquant",IF(OR(AND(N105&lt;&gt;"",N105&gt;O105),O105&gt;P105,AND(Q105&lt;&gt;"",Q105&lt;P105),AND(R105&lt;&gt;"",R105&lt;P105),AND(S105&lt;&gt;"",S105&lt;R105),AND(S105&lt;&gt;"",R105=""),AND(T105&lt;&gt;"",T105&lt;O105),AND(U105&lt;&gt;"",U105&lt;O105)),"Chronologie incohérente",IF(AND(OR(L105="Résolu",L105="Clos"),R105=""),"Date de résolution manquante",IF(AND(L105="Clos",S105=""),"Date de clôture manquante",IF(AND(K105="Oui",AC105=""),"Classification DORA manquante","OK"))))))</f>
        <v/>
      </c>
      <c r="AO105" s="35" t="str">
        <f aca="false">IF($B105="","",IF(AND(C105="Incident",L105&lt;&gt;"Annulé"),1,0))</f>
        <v/>
      </c>
      <c r="AP105" s="35" t="str">
        <f aca="false">IF($B105="","",IF(AND(C105="Quasi-incident",L105&lt;&gt;"Annulé"),1,0))</f>
        <v/>
      </c>
      <c r="AQ105" s="35" t="str">
        <f aca="false">IF($B105="","",AO105+AP105)</f>
        <v/>
      </c>
      <c r="AR105" s="36" t="str">
        <f aca="false">IF(OR($B105="",J105=""),"",IFERROR(VALUE(LEFT(J105,1)),""))</f>
        <v/>
      </c>
      <c r="AS105" s="35" t="str">
        <f aca="false">IF(OR(AO105&lt;&gt;1,G105=""),"",IFERROR(IF(INDEX(L_SrcInterne,MATCH(G105,L_Sources,0))="Oui",1,0),""))</f>
        <v/>
      </c>
      <c r="AT105" s="37" t="str">
        <f aca="false">IF(AO105&lt;&gt;1,"",IFERROR(ROUND(IF(OR(N105="",O105=""),"",IF(O105&lt;N105,"",ROUND(((NETWORKDAYS(N105,O105,JoursFeries)-1)*(HFer-HOuv)+IF(NETWORKDAYS(O105,O105,JoursFeries),MEDIAN(MOD(O105,1),HFer,HOuv),HFer)-IF(NETWORKDAYS(N105,N105,JoursFeries),MEDIAN(MOD(N105,1),HFer,HOuv),HOuv))*24,4)))/HJour,4),""))</f>
        <v/>
      </c>
      <c r="AU105" s="37" t="str">
        <f aca="false">IF(AO105&lt;&gt;1,"",IF(OR(O105="",P105=""),"",IF(P105&lt;O105,"",ROUND(((NETWORKDAYS(O105,P105,JoursFeries)-1)*(HFer-HOuv)+IF(NETWORKDAYS(P105,P105,JoursFeries),MEDIAN(MOD(P105,1),HFer,HOuv),HFer)-IF(NETWORKDAYS(O105,O105,JoursFeries),MEDIAN(MOD(O105,1),HFer,HOuv),HOuv))*24,4))))</f>
        <v/>
      </c>
      <c r="AV105" s="37" t="str">
        <f aca="false">IF(AO105&lt;&gt;1,"",IF(OR(P105="",Q105=""),"",IF(Q105&lt;P105,"",ROUND(((NETWORKDAYS(P105,Q105,JoursFeries)-1)*(HFer-HOuv)+IF(NETWORKDAYS(Q105,Q105,JoursFeries),MEDIAN(MOD(Q105,1),HFer,HOuv),HFer)-IF(NETWORKDAYS(P105,P105,JoursFeries),MEDIAN(MOD(P105,1),HFer,HOuv),HOuv))*24,4))))</f>
        <v/>
      </c>
      <c r="AW105" s="37" t="str">
        <f aca="false">IF(AO105&lt;&gt;1,"",IFERROR(ROUND(IF(OR(P105="",R105=""),"",IF(R105&lt;P105,"",ROUND(((NETWORKDAYS(P105,R105,JoursFeries)-1)*(HFer-HOuv)+IF(NETWORKDAYS(R105,R105,JoursFeries),MEDIAN(MOD(R105,1),HFer,HOuv),HFer)-IF(NETWORKDAYS(P105,P105,JoursFeries),MEDIAN(MOD(P105,1),HFer,HOuv),HOuv))*24,4)))/HJour,4),""))</f>
        <v/>
      </c>
      <c r="AX105" s="37" t="str">
        <f aca="false">IF(AO105&lt;&gt;1,"",IFERROR(ROUND(IF(OR(P105="",S105=""),"",IF(S105&lt;P105,"",ROUND(((NETWORKDAYS(P105,S105,JoursFeries)-1)*(HFer-HOuv)+IF(NETWORKDAYS(S105,S105,JoursFeries),MEDIAN(MOD(S105,1),HFer,HOuv),HFer)-IF(NETWORKDAYS(P105,P105,JoursFeries),MEDIAN(MOD(P105,1),HFer,HOuv),HOuv))*24,4)))/HJour,4),""))</f>
        <v/>
      </c>
      <c r="AY105" s="36" t="str">
        <f aca="false">IF(OR(AO105&lt;&gt;1,AR105=""),"",INDEX(SLA_PEC,AR105))</f>
        <v/>
      </c>
      <c r="AZ105" s="35" t="str">
        <f aca="false">IF(OR(AV105="",AY105=""),"",IF(AV105&lt;=AY105,1,0))</f>
        <v/>
      </c>
      <c r="BA105" s="36" t="str">
        <f aca="false">IF(OR(AO105&lt;&gt;1,AR105=""),"",INDEX(SLA_RES,AR105))</f>
        <v/>
      </c>
      <c r="BB105" s="35" t="str">
        <f aca="false">IF(OR(AW105="",BA105=""),"",IF(AW105&lt;=BA105,1,0))</f>
        <v/>
      </c>
      <c r="BC105" s="38" t="str">
        <f aca="false">IF(OR(BA105="",P105=""),"",WORKDAY(INT(P105),BA105,JoursFeries)+MOD(P105,1))</f>
        <v/>
      </c>
      <c r="BD105" s="39" t="str">
        <f aca="false">IF(AO105&lt;&gt;1,"",IF(OR(AB105&lt;&gt;"",AD105&lt;&gt;""),4,IF(U105&lt;&gt;"",3,IF(T105&lt;&gt;"",2,1))))</f>
        <v/>
      </c>
      <c r="BE105" s="39" t="str">
        <f aca="false">IF(OR(AO105&lt;&gt;1,AR105=""),"",INDEX(NIV_REQ,AR105))</f>
        <v/>
      </c>
      <c r="BF105" s="39" t="str">
        <f aca="false">IF(BE105="","",MAX(BE105,IF(OR(K105="Oui",Z105="Oui"),4,1)))</f>
        <v/>
      </c>
      <c r="BG105" s="35" t="str">
        <f aca="false">IF(OR(BF105="",BD105=""),"",IF(BD105&gt;=BF105,1,0))</f>
        <v/>
      </c>
      <c r="BH105" s="38" t="str">
        <f aca="false">IF(BE105="","",IF(BE105&lt;2,"",IF(BE105=2,IF(AND(T105="",U105=""),"",MIN(T105,U105)),IF(U105="","",U105))))</f>
        <v/>
      </c>
      <c r="BI105" s="37" t="str">
        <f aca="false">IF(BH105="","",IF(OR(O105="",BH105=""),"",IF(BH105&lt;O105,"",ROUND(((NETWORKDAYS(O105,BH105,JoursFeries)-1)*(HFer-HOuv)+IF(NETWORKDAYS(BH105,BH105,JoursFeries),MEDIAN(MOD(BH105,1),HFer,HOuv),HFer)-IF(NETWORKDAYS(O105,O105,JoursFeries),MEDIAN(MOD(O105,1),HFer,HOuv),HOuv))*24,4))))</f>
        <v/>
      </c>
      <c r="BJ105" s="35" t="str">
        <f aca="false">IF(OR(BI105="",AR105=""),"",IF(BI105&lt;=INDEX(DELAI_ESC,AR105),1,0))</f>
        <v/>
      </c>
      <c r="BK105" s="38" t="str">
        <f aca="false">IF(AO105&lt;&gt;1,"",IF(AND(T105="",U105=""),"",MIN(T105,U105)))</f>
        <v/>
      </c>
      <c r="BL105" s="37" t="str">
        <f aca="false">IF(OR(BK105="",R105=""),"",IFERROR(ROUND(IF(OR(BK105="",R105=""),"",IF(R105&lt;BK105,"",ROUND(((NETWORKDAYS(BK105,R105,JoursFeries)-1)*(HFer-HOuv)+IF(NETWORKDAYS(R105,R105,JoursFeries),MEDIAN(MOD(R105,1),HFer,HOuv),HFer)-IF(NETWORKDAYS(BK105,BK105,JoursFeries),MEDIAN(MOD(BK105,1),HFer,HOuv),HOuv))*24,4)))/HJour,4),""))</f>
        <v/>
      </c>
      <c r="BM105" s="35" t="str">
        <f aca="false">IF(OR(AO105&lt;&gt;1,R105=""),"",IF(BD105=1,1,0))</f>
        <v/>
      </c>
      <c r="BN105" s="35" t="str">
        <f aca="false">IF(AO105&lt;&gt;1,"",IF(W105="Oui",1,0))</f>
        <v/>
      </c>
      <c r="BO105" s="35" t="str">
        <f aca="false">IF(AO105&lt;&gt;1,"",IF(X105&lt;&gt;"",1,0))</f>
        <v/>
      </c>
      <c r="BP105" s="35" t="str">
        <f aca="false">IF(AO105&lt;&gt;1,"",IF(Y105="Oui",1,0))</f>
        <v/>
      </c>
      <c r="BQ105" s="35" t="str">
        <f aca="true">IF(OR(AO105&lt;&gt;1,Z105&lt;&gt;"Oui"),"",IF(AB105="",IF(AND(AA105&lt;&gt;"",NOW()&gt;AA105),0,""),IF(AA105="","",IF(AB105&lt;=AA105,1,0))))</f>
        <v/>
      </c>
      <c r="BR105" s="38" t="str">
        <f aca="false">IF(OR(AO105&lt;&gt;1,K105&lt;&gt;"Oui",O105=""),"",IF(AC105="",O105+DORA_H_DET/24,IF(AC105-O105&lt;=DORA_H_DET/24,MIN(AC105+DORA_H_CLA/24,O105+DORA_H_DET/24),AC105+DORA_H_CLA/24)))</f>
        <v/>
      </c>
      <c r="BS105" s="35" t="str">
        <f aca="true">IF(BR105="","",IF(AD105="",IF(NOW()&gt;BR105,0,""),IF(AD105&lt;=BR105,1,0)))</f>
        <v/>
      </c>
      <c r="BT105" s="35" t="str">
        <f aca="true">IF(OR(BR105="",AD105=""),"",IF(AE105="",IF(NOW()&gt;AD105+DORA_H_INT/24,0,""),IF(AE105&lt;=AD105+DORA_H_INT/24,1,0)))</f>
        <v/>
      </c>
      <c r="BU105" s="35" t="str">
        <f aca="true">IF(OR(BR105="",AE105=""),"",IF(AF105="",IF(NOW()&gt;EDATE(AE105,DORA_M_FIN)+1,0,""),IF(AF105&lt;=EDATE(AE105,DORA_M_FIN),1,0)))</f>
        <v/>
      </c>
      <c r="BV105" s="35" t="str">
        <f aca="false">IF(BR105="","",IF(COUNT(BS105:BU105)=0,"",MIN(BS105:BU105)))</f>
        <v/>
      </c>
      <c r="BW105" s="40" t="str">
        <f aca="false">IF(AQ105&lt;&gt;1,"",IF(AND(AG105="",AH105=""),"",N(AG105)-N(AH105)))</f>
        <v/>
      </c>
      <c r="BX105" s="35" t="str">
        <f aca="true">IF(OR(AQ105&lt;&gt;1,AI105&lt;&gt;"Oui",AJ105=""),"",IF(AK105="",IF(NOW()&gt;AJ105+1,0,""),IF(AK105&lt;=AJ105,1,0)))</f>
        <v/>
      </c>
    </row>
    <row r="106" customFormat="false" ht="15" hidden="false" customHeight="false" outlineLevel="0" collapsed="false">
      <c r="B106" s="29"/>
      <c r="C106" s="29"/>
      <c r="D106" s="29"/>
      <c r="E106" s="29"/>
      <c r="F106" s="29"/>
      <c r="G106" s="29"/>
      <c r="H106" s="29"/>
      <c r="I106" s="29"/>
      <c r="J106" s="29"/>
      <c r="K106" s="29"/>
      <c r="L106" s="29"/>
      <c r="M106" s="29"/>
      <c r="N106" s="30"/>
      <c r="O106" s="30"/>
      <c r="P106" s="30"/>
      <c r="Q106" s="30"/>
      <c r="R106" s="30"/>
      <c r="S106" s="30"/>
      <c r="T106" s="30"/>
      <c r="U106" s="30"/>
      <c r="V106" s="31"/>
      <c r="W106" s="29"/>
      <c r="X106" s="29"/>
      <c r="Y106" s="29"/>
      <c r="Z106" s="29"/>
      <c r="AA106" s="30"/>
      <c r="AB106" s="30"/>
      <c r="AC106" s="30"/>
      <c r="AD106" s="30"/>
      <c r="AE106" s="30"/>
      <c r="AF106" s="32"/>
      <c r="AG106" s="33"/>
      <c r="AH106" s="33"/>
      <c r="AI106" s="29"/>
      <c r="AJ106" s="32"/>
      <c r="AK106" s="32"/>
      <c r="AL106" s="29"/>
      <c r="AN106" s="34" t="str">
        <f aca="false">IF($B106="","",IF(OR(C106="",D106="",E106="",G106="",I106="",J106="",L106="",O106="",P106=""),"Champ obligatoire manquant",IF(OR(AND(N106&lt;&gt;"",N106&gt;O106),O106&gt;P106,AND(Q106&lt;&gt;"",Q106&lt;P106),AND(R106&lt;&gt;"",R106&lt;P106),AND(S106&lt;&gt;"",S106&lt;R106),AND(S106&lt;&gt;"",R106=""),AND(T106&lt;&gt;"",T106&lt;O106),AND(U106&lt;&gt;"",U106&lt;O106)),"Chronologie incohérente",IF(AND(OR(L106="Résolu",L106="Clos"),R106=""),"Date de résolution manquante",IF(AND(L106="Clos",S106=""),"Date de clôture manquante",IF(AND(K106="Oui",AC106=""),"Classification DORA manquante","OK"))))))</f>
        <v/>
      </c>
      <c r="AO106" s="35" t="str">
        <f aca="false">IF($B106="","",IF(AND(C106="Incident",L106&lt;&gt;"Annulé"),1,0))</f>
        <v/>
      </c>
      <c r="AP106" s="35" t="str">
        <f aca="false">IF($B106="","",IF(AND(C106="Quasi-incident",L106&lt;&gt;"Annulé"),1,0))</f>
        <v/>
      </c>
      <c r="AQ106" s="35" t="str">
        <f aca="false">IF($B106="","",AO106+AP106)</f>
        <v/>
      </c>
      <c r="AR106" s="36" t="str">
        <f aca="false">IF(OR($B106="",J106=""),"",IFERROR(VALUE(LEFT(J106,1)),""))</f>
        <v/>
      </c>
      <c r="AS106" s="35" t="str">
        <f aca="false">IF(OR(AO106&lt;&gt;1,G106=""),"",IFERROR(IF(INDEX(L_SrcInterne,MATCH(G106,L_Sources,0))="Oui",1,0),""))</f>
        <v/>
      </c>
      <c r="AT106" s="37" t="str">
        <f aca="false">IF(AO106&lt;&gt;1,"",IFERROR(ROUND(IF(OR(N106="",O106=""),"",IF(O106&lt;N106,"",ROUND(((NETWORKDAYS(N106,O106,JoursFeries)-1)*(HFer-HOuv)+IF(NETWORKDAYS(O106,O106,JoursFeries),MEDIAN(MOD(O106,1),HFer,HOuv),HFer)-IF(NETWORKDAYS(N106,N106,JoursFeries),MEDIAN(MOD(N106,1),HFer,HOuv),HOuv))*24,4)))/HJour,4),""))</f>
        <v/>
      </c>
      <c r="AU106" s="37" t="str">
        <f aca="false">IF(AO106&lt;&gt;1,"",IF(OR(O106="",P106=""),"",IF(P106&lt;O106,"",ROUND(((NETWORKDAYS(O106,P106,JoursFeries)-1)*(HFer-HOuv)+IF(NETWORKDAYS(P106,P106,JoursFeries),MEDIAN(MOD(P106,1),HFer,HOuv),HFer)-IF(NETWORKDAYS(O106,O106,JoursFeries),MEDIAN(MOD(O106,1),HFer,HOuv),HOuv))*24,4))))</f>
        <v/>
      </c>
      <c r="AV106" s="37" t="str">
        <f aca="false">IF(AO106&lt;&gt;1,"",IF(OR(P106="",Q106=""),"",IF(Q106&lt;P106,"",ROUND(((NETWORKDAYS(P106,Q106,JoursFeries)-1)*(HFer-HOuv)+IF(NETWORKDAYS(Q106,Q106,JoursFeries),MEDIAN(MOD(Q106,1),HFer,HOuv),HFer)-IF(NETWORKDAYS(P106,P106,JoursFeries),MEDIAN(MOD(P106,1),HFer,HOuv),HOuv))*24,4))))</f>
        <v/>
      </c>
      <c r="AW106" s="37" t="str">
        <f aca="false">IF(AO106&lt;&gt;1,"",IFERROR(ROUND(IF(OR(P106="",R106=""),"",IF(R106&lt;P106,"",ROUND(((NETWORKDAYS(P106,R106,JoursFeries)-1)*(HFer-HOuv)+IF(NETWORKDAYS(R106,R106,JoursFeries),MEDIAN(MOD(R106,1),HFer,HOuv),HFer)-IF(NETWORKDAYS(P106,P106,JoursFeries),MEDIAN(MOD(P106,1),HFer,HOuv),HOuv))*24,4)))/HJour,4),""))</f>
        <v/>
      </c>
      <c r="AX106" s="37" t="str">
        <f aca="false">IF(AO106&lt;&gt;1,"",IFERROR(ROUND(IF(OR(P106="",S106=""),"",IF(S106&lt;P106,"",ROUND(((NETWORKDAYS(P106,S106,JoursFeries)-1)*(HFer-HOuv)+IF(NETWORKDAYS(S106,S106,JoursFeries),MEDIAN(MOD(S106,1),HFer,HOuv),HFer)-IF(NETWORKDAYS(P106,P106,JoursFeries),MEDIAN(MOD(P106,1),HFer,HOuv),HOuv))*24,4)))/HJour,4),""))</f>
        <v/>
      </c>
      <c r="AY106" s="36" t="str">
        <f aca="false">IF(OR(AO106&lt;&gt;1,AR106=""),"",INDEX(SLA_PEC,AR106))</f>
        <v/>
      </c>
      <c r="AZ106" s="35" t="str">
        <f aca="false">IF(OR(AV106="",AY106=""),"",IF(AV106&lt;=AY106,1,0))</f>
        <v/>
      </c>
      <c r="BA106" s="36" t="str">
        <f aca="false">IF(OR(AO106&lt;&gt;1,AR106=""),"",INDEX(SLA_RES,AR106))</f>
        <v/>
      </c>
      <c r="BB106" s="35" t="str">
        <f aca="false">IF(OR(AW106="",BA106=""),"",IF(AW106&lt;=BA106,1,0))</f>
        <v/>
      </c>
      <c r="BC106" s="38" t="str">
        <f aca="false">IF(OR(BA106="",P106=""),"",WORKDAY(INT(P106),BA106,JoursFeries)+MOD(P106,1))</f>
        <v/>
      </c>
      <c r="BD106" s="39" t="str">
        <f aca="false">IF(AO106&lt;&gt;1,"",IF(OR(AB106&lt;&gt;"",AD106&lt;&gt;""),4,IF(U106&lt;&gt;"",3,IF(T106&lt;&gt;"",2,1))))</f>
        <v/>
      </c>
      <c r="BE106" s="39" t="str">
        <f aca="false">IF(OR(AO106&lt;&gt;1,AR106=""),"",INDEX(NIV_REQ,AR106))</f>
        <v/>
      </c>
      <c r="BF106" s="39" t="str">
        <f aca="false">IF(BE106="","",MAX(BE106,IF(OR(K106="Oui",Z106="Oui"),4,1)))</f>
        <v/>
      </c>
      <c r="BG106" s="35" t="str">
        <f aca="false">IF(OR(BF106="",BD106=""),"",IF(BD106&gt;=BF106,1,0))</f>
        <v/>
      </c>
      <c r="BH106" s="38" t="str">
        <f aca="false">IF(BE106="","",IF(BE106&lt;2,"",IF(BE106=2,IF(AND(T106="",U106=""),"",MIN(T106,U106)),IF(U106="","",U106))))</f>
        <v/>
      </c>
      <c r="BI106" s="37" t="str">
        <f aca="false">IF(BH106="","",IF(OR(O106="",BH106=""),"",IF(BH106&lt;O106,"",ROUND(((NETWORKDAYS(O106,BH106,JoursFeries)-1)*(HFer-HOuv)+IF(NETWORKDAYS(BH106,BH106,JoursFeries),MEDIAN(MOD(BH106,1),HFer,HOuv),HFer)-IF(NETWORKDAYS(O106,O106,JoursFeries),MEDIAN(MOD(O106,1),HFer,HOuv),HOuv))*24,4))))</f>
        <v/>
      </c>
      <c r="BJ106" s="35" t="str">
        <f aca="false">IF(OR(BI106="",AR106=""),"",IF(BI106&lt;=INDEX(DELAI_ESC,AR106),1,0))</f>
        <v/>
      </c>
      <c r="BK106" s="38" t="str">
        <f aca="false">IF(AO106&lt;&gt;1,"",IF(AND(T106="",U106=""),"",MIN(T106,U106)))</f>
        <v/>
      </c>
      <c r="BL106" s="37" t="str">
        <f aca="false">IF(OR(BK106="",R106=""),"",IFERROR(ROUND(IF(OR(BK106="",R106=""),"",IF(R106&lt;BK106,"",ROUND(((NETWORKDAYS(BK106,R106,JoursFeries)-1)*(HFer-HOuv)+IF(NETWORKDAYS(R106,R106,JoursFeries),MEDIAN(MOD(R106,1),HFer,HOuv),HFer)-IF(NETWORKDAYS(BK106,BK106,JoursFeries),MEDIAN(MOD(BK106,1),HFer,HOuv),HOuv))*24,4)))/HJour,4),""))</f>
        <v/>
      </c>
      <c r="BM106" s="35" t="str">
        <f aca="false">IF(OR(AO106&lt;&gt;1,R106=""),"",IF(BD106=1,1,0))</f>
        <v/>
      </c>
      <c r="BN106" s="35" t="str">
        <f aca="false">IF(AO106&lt;&gt;1,"",IF(W106="Oui",1,0))</f>
        <v/>
      </c>
      <c r="BO106" s="35" t="str">
        <f aca="false">IF(AO106&lt;&gt;1,"",IF(X106&lt;&gt;"",1,0))</f>
        <v/>
      </c>
      <c r="BP106" s="35" t="str">
        <f aca="false">IF(AO106&lt;&gt;1,"",IF(Y106="Oui",1,0))</f>
        <v/>
      </c>
      <c r="BQ106" s="35" t="str">
        <f aca="true">IF(OR(AO106&lt;&gt;1,Z106&lt;&gt;"Oui"),"",IF(AB106="",IF(AND(AA106&lt;&gt;"",NOW()&gt;AA106),0,""),IF(AA106="","",IF(AB106&lt;=AA106,1,0))))</f>
        <v/>
      </c>
      <c r="BR106" s="38" t="str">
        <f aca="false">IF(OR(AO106&lt;&gt;1,K106&lt;&gt;"Oui",O106=""),"",IF(AC106="",O106+DORA_H_DET/24,IF(AC106-O106&lt;=DORA_H_DET/24,MIN(AC106+DORA_H_CLA/24,O106+DORA_H_DET/24),AC106+DORA_H_CLA/24)))</f>
        <v/>
      </c>
      <c r="BS106" s="35" t="str">
        <f aca="true">IF(BR106="","",IF(AD106="",IF(NOW()&gt;BR106,0,""),IF(AD106&lt;=BR106,1,0)))</f>
        <v/>
      </c>
      <c r="BT106" s="35" t="str">
        <f aca="true">IF(OR(BR106="",AD106=""),"",IF(AE106="",IF(NOW()&gt;AD106+DORA_H_INT/24,0,""),IF(AE106&lt;=AD106+DORA_H_INT/24,1,0)))</f>
        <v/>
      </c>
      <c r="BU106" s="35" t="str">
        <f aca="true">IF(OR(BR106="",AE106=""),"",IF(AF106="",IF(NOW()&gt;EDATE(AE106,DORA_M_FIN)+1,0,""),IF(AF106&lt;=EDATE(AE106,DORA_M_FIN),1,0)))</f>
        <v/>
      </c>
      <c r="BV106" s="35" t="str">
        <f aca="false">IF(BR106="","",IF(COUNT(BS106:BU106)=0,"",MIN(BS106:BU106)))</f>
        <v/>
      </c>
      <c r="BW106" s="40" t="str">
        <f aca="false">IF(AQ106&lt;&gt;1,"",IF(AND(AG106="",AH106=""),"",N(AG106)-N(AH106)))</f>
        <v/>
      </c>
      <c r="BX106" s="35" t="str">
        <f aca="true">IF(OR(AQ106&lt;&gt;1,AI106&lt;&gt;"Oui",AJ106=""),"",IF(AK106="",IF(NOW()&gt;AJ106+1,0,""),IF(AK106&lt;=AJ106,1,0)))</f>
        <v/>
      </c>
    </row>
    <row r="107" customFormat="false" ht="15" hidden="false" customHeight="false" outlineLevel="0" collapsed="false">
      <c r="B107" s="29"/>
      <c r="C107" s="29"/>
      <c r="D107" s="29"/>
      <c r="E107" s="29"/>
      <c r="F107" s="29"/>
      <c r="G107" s="29"/>
      <c r="H107" s="29"/>
      <c r="I107" s="29"/>
      <c r="J107" s="29"/>
      <c r="K107" s="29"/>
      <c r="L107" s="29"/>
      <c r="M107" s="29"/>
      <c r="N107" s="30"/>
      <c r="O107" s="30"/>
      <c r="P107" s="30"/>
      <c r="Q107" s="30"/>
      <c r="R107" s="30"/>
      <c r="S107" s="30"/>
      <c r="T107" s="30"/>
      <c r="U107" s="30"/>
      <c r="V107" s="31"/>
      <c r="W107" s="29"/>
      <c r="X107" s="29"/>
      <c r="Y107" s="29"/>
      <c r="Z107" s="29"/>
      <c r="AA107" s="30"/>
      <c r="AB107" s="30"/>
      <c r="AC107" s="30"/>
      <c r="AD107" s="30"/>
      <c r="AE107" s="30"/>
      <c r="AF107" s="32"/>
      <c r="AG107" s="33"/>
      <c r="AH107" s="33"/>
      <c r="AI107" s="29"/>
      <c r="AJ107" s="32"/>
      <c r="AK107" s="32"/>
      <c r="AL107" s="29"/>
      <c r="AN107" s="34" t="str">
        <f aca="false">IF($B107="","",IF(OR(C107="",D107="",E107="",G107="",I107="",J107="",L107="",O107="",P107=""),"Champ obligatoire manquant",IF(OR(AND(N107&lt;&gt;"",N107&gt;O107),O107&gt;P107,AND(Q107&lt;&gt;"",Q107&lt;P107),AND(R107&lt;&gt;"",R107&lt;P107),AND(S107&lt;&gt;"",S107&lt;R107),AND(S107&lt;&gt;"",R107=""),AND(T107&lt;&gt;"",T107&lt;O107),AND(U107&lt;&gt;"",U107&lt;O107)),"Chronologie incohérente",IF(AND(OR(L107="Résolu",L107="Clos"),R107=""),"Date de résolution manquante",IF(AND(L107="Clos",S107=""),"Date de clôture manquante",IF(AND(K107="Oui",AC107=""),"Classification DORA manquante","OK"))))))</f>
        <v/>
      </c>
      <c r="AO107" s="35" t="str">
        <f aca="false">IF($B107="","",IF(AND(C107="Incident",L107&lt;&gt;"Annulé"),1,0))</f>
        <v/>
      </c>
      <c r="AP107" s="35" t="str">
        <f aca="false">IF($B107="","",IF(AND(C107="Quasi-incident",L107&lt;&gt;"Annulé"),1,0))</f>
        <v/>
      </c>
      <c r="AQ107" s="35" t="str">
        <f aca="false">IF($B107="","",AO107+AP107)</f>
        <v/>
      </c>
      <c r="AR107" s="36" t="str">
        <f aca="false">IF(OR($B107="",J107=""),"",IFERROR(VALUE(LEFT(J107,1)),""))</f>
        <v/>
      </c>
      <c r="AS107" s="35" t="str">
        <f aca="false">IF(OR(AO107&lt;&gt;1,G107=""),"",IFERROR(IF(INDEX(L_SrcInterne,MATCH(G107,L_Sources,0))="Oui",1,0),""))</f>
        <v/>
      </c>
      <c r="AT107" s="37" t="str">
        <f aca="false">IF(AO107&lt;&gt;1,"",IFERROR(ROUND(IF(OR(N107="",O107=""),"",IF(O107&lt;N107,"",ROUND(((NETWORKDAYS(N107,O107,JoursFeries)-1)*(HFer-HOuv)+IF(NETWORKDAYS(O107,O107,JoursFeries),MEDIAN(MOD(O107,1),HFer,HOuv),HFer)-IF(NETWORKDAYS(N107,N107,JoursFeries),MEDIAN(MOD(N107,1),HFer,HOuv),HOuv))*24,4)))/HJour,4),""))</f>
        <v/>
      </c>
      <c r="AU107" s="37" t="str">
        <f aca="false">IF(AO107&lt;&gt;1,"",IF(OR(O107="",P107=""),"",IF(P107&lt;O107,"",ROUND(((NETWORKDAYS(O107,P107,JoursFeries)-1)*(HFer-HOuv)+IF(NETWORKDAYS(P107,P107,JoursFeries),MEDIAN(MOD(P107,1),HFer,HOuv),HFer)-IF(NETWORKDAYS(O107,O107,JoursFeries),MEDIAN(MOD(O107,1),HFer,HOuv),HOuv))*24,4))))</f>
        <v/>
      </c>
      <c r="AV107" s="37" t="str">
        <f aca="false">IF(AO107&lt;&gt;1,"",IF(OR(P107="",Q107=""),"",IF(Q107&lt;P107,"",ROUND(((NETWORKDAYS(P107,Q107,JoursFeries)-1)*(HFer-HOuv)+IF(NETWORKDAYS(Q107,Q107,JoursFeries),MEDIAN(MOD(Q107,1),HFer,HOuv),HFer)-IF(NETWORKDAYS(P107,P107,JoursFeries),MEDIAN(MOD(P107,1),HFer,HOuv),HOuv))*24,4))))</f>
        <v/>
      </c>
      <c r="AW107" s="37" t="str">
        <f aca="false">IF(AO107&lt;&gt;1,"",IFERROR(ROUND(IF(OR(P107="",R107=""),"",IF(R107&lt;P107,"",ROUND(((NETWORKDAYS(P107,R107,JoursFeries)-1)*(HFer-HOuv)+IF(NETWORKDAYS(R107,R107,JoursFeries),MEDIAN(MOD(R107,1),HFer,HOuv),HFer)-IF(NETWORKDAYS(P107,P107,JoursFeries),MEDIAN(MOD(P107,1),HFer,HOuv),HOuv))*24,4)))/HJour,4),""))</f>
        <v/>
      </c>
      <c r="AX107" s="37" t="str">
        <f aca="false">IF(AO107&lt;&gt;1,"",IFERROR(ROUND(IF(OR(P107="",S107=""),"",IF(S107&lt;P107,"",ROUND(((NETWORKDAYS(P107,S107,JoursFeries)-1)*(HFer-HOuv)+IF(NETWORKDAYS(S107,S107,JoursFeries),MEDIAN(MOD(S107,1),HFer,HOuv),HFer)-IF(NETWORKDAYS(P107,P107,JoursFeries),MEDIAN(MOD(P107,1),HFer,HOuv),HOuv))*24,4)))/HJour,4),""))</f>
        <v/>
      </c>
      <c r="AY107" s="36" t="str">
        <f aca="false">IF(OR(AO107&lt;&gt;1,AR107=""),"",INDEX(SLA_PEC,AR107))</f>
        <v/>
      </c>
      <c r="AZ107" s="35" t="str">
        <f aca="false">IF(OR(AV107="",AY107=""),"",IF(AV107&lt;=AY107,1,0))</f>
        <v/>
      </c>
      <c r="BA107" s="36" t="str">
        <f aca="false">IF(OR(AO107&lt;&gt;1,AR107=""),"",INDEX(SLA_RES,AR107))</f>
        <v/>
      </c>
      <c r="BB107" s="35" t="str">
        <f aca="false">IF(OR(AW107="",BA107=""),"",IF(AW107&lt;=BA107,1,0))</f>
        <v/>
      </c>
      <c r="BC107" s="38" t="str">
        <f aca="false">IF(OR(BA107="",P107=""),"",WORKDAY(INT(P107),BA107,JoursFeries)+MOD(P107,1))</f>
        <v/>
      </c>
      <c r="BD107" s="39" t="str">
        <f aca="false">IF(AO107&lt;&gt;1,"",IF(OR(AB107&lt;&gt;"",AD107&lt;&gt;""),4,IF(U107&lt;&gt;"",3,IF(T107&lt;&gt;"",2,1))))</f>
        <v/>
      </c>
      <c r="BE107" s="39" t="str">
        <f aca="false">IF(OR(AO107&lt;&gt;1,AR107=""),"",INDEX(NIV_REQ,AR107))</f>
        <v/>
      </c>
      <c r="BF107" s="39" t="str">
        <f aca="false">IF(BE107="","",MAX(BE107,IF(OR(K107="Oui",Z107="Oui"),4,1)))</f>
        <v/>
      </c>
      <c r="BG107" s="35" t="str">
        <f aca="false">IF(OR(BF107="",BD107=""),"",IF(BD107&gt;=BF107,1,0))</f>
        <v/>
      </c>
      <c r="BH107" s="38" t="str">
        <f aca="false">IF(BE107="","",IF(BE107&lt;2,"",IF(BE107=2,IF(AND(T107="",U107=""),"",MIN(T107,U107)),IF(U107="","",U107))))</f>
        <v/>
      </c>
      <c r="BI107" s="37" t="str">
        <f aca="false">IF(BH107="","",IF(OR(O107="",BH107=""),"",IF(BH107&lt;O107,"",ROUND(((NETWORKDAYS(O107,BH107,JoursFeries)-1)*(HFer-HOuv)+IF(NETWORKDAYS(BH107,BH107,JoursFeries),MEDIAN(MOD(BH107,1),HFer,HOuv),HFer)-IF(NETWORKDAYS(O107,O107,JoursFeries),MEDIAN(MOD(O107,1),HFer,HOuv),HOuv))*24,4))))</f>
        <v/>
      </c>
      <c r="BJ107" s="35" t="str">
        <f aca="false">IF(OR(BI107="",AR107=""),"",IF(BI107&lt;=INDEX(DELAI_ESC,AR107),1,0))</f>
        <v/>
      </c>
      <c r="BK107" s="38" t="str">
        <f aca="false">IF(AO107&lt;&gt;1,"",IF(AND(T107="",U107=""),"",MIN(T107,U107)))</f>
        <v/>
      </c>
      <c r="BL107" s="37" t="str">
        <f aca="false">IF(OR(BK107="",R107=""),"",IFERROR(ROUND(IF(OR(BK107="",R107=""),"",IF(R107&lt;BK107,"",ROUND(((NETWORKDAYS(BK107,R107,JoursFeries)-1)*(HFer-HOuv)+IF(NETWORKDAYS(R107,R107,JoursFeries),MEDIAN(MOD(R107,1),HFer,HOuv),HFer)-IF(NETWORKDAYS(BK107,BK107,JoursFeries),MEDIAN(MOD(BK107,1),HFer,HOuv),HOuv))*24,4)))/HJour,4),""))</f>
        <v/>
      </c>
      <c r="BM107" s="35" t="str">
        <f aca="false">IF(OR(AO107&lt;&gt;1,R107=""),"",IF(BD107=1,1,0))</f>
        <v/>
      </c>
      <c r="BN107" s="35" t="str">
        <f aca="false">IF(AO107&lt;&gt;1,"",IF(W107="Oui",1,0))</f>
        <v/>
      </c>
      <c r="BO107" s="35" t="str">
        <f aca="false">IF(AO107&lt;&gt;1,"",IF(X107&lt;&gt;"",1,0))</f>
        <v/>
      </c>
      <c r="BP107" s="35" t="str">
        <f aca="false">IF(AO107&lt;&gt;1,"",IF(Y107="Oui",1,0))</f>
        <v/>
      </c>
      <c r="BQ107" s="35" t="str">
        <f aca="true">IF(OR(AO107&lt;&gt;1,Z107&lt;&gt;"Oui"),"",IF(AB107="",IF(AND(AA107&lt;&gt;"",NOW()&gt;AA107),0,""),IF(AA107="","",IF(AB107&lt;=AA107,1,0))))</f>
        <v/>
      </c>
      <c r="BR107" s="38" t="str">
        <f aca="false">IF(OR(AO107&lt;&gt;1,K107&lt;&gt;"Oui",O107=""),"",IF(AC107="",O107+DORA_H_DET/24,IF(AC107-O107&lt;=DORA_H_DET/24,MIN(AC107+DORA_H_CLA/24,O107+DORA_H_DET/24),AC107+DORA_H_CLA/24)))</f>
        <v/>
      </c>
      <c r="BS107" s="35" t="str">
        <f aca="true">IF(BR107="","",IF(AD107="",IF(NOW()&gt;BR107,0,""),IF(AD107&lt;=BR107,1,0)))</f>
        <v/>
      </c>
      <c r="BT107" s="35" t="str">
        <f aca="true">IF(OR(BR107="",AD107=""),"",IF(AE107="",IF(NOW()&gt;AD107+DORA_H_INT/24,0,""),IF(AE107&lt;=AD107+DORA_H_INT/24,1,0)))</f>
        <v/>
      </c>
      <c r="BU107" s="35" t="str">
        <f aca="true">IF(OR(BR107="",AE107=""),"",IF(AF107="",IF(NOW()&gt;EDATE(AE107,DORA_M_FIN)+1,0,""),IF(AF107&lt;=EDATE(AE107,DORA_M_FIN),1,0)))</f>
        <v/>
      </c>
      <c r="BV107" s="35" t="str">
        <f aca="false">IF(BR107="","",IF(COUNT(BS107:BU107)=0,"",MIN(BS107:BU107)))</f>
        <v/>
      </c>
      <c r="BW107" s="40" t="str">
        <f aca="false">IF(AQ107&lt;&gt;1,"",IF(AND(AG107="",AH107=""),"",N(AG107)-N(AH107)))</f>
        <v/>
      </c>
      <c r="BX107" s="35" t="str">
        <f aca="true">IF(OR(AQ107&lt;&gt;1,AI107&lt;&gt;"Oui",AJ107=""),"",IF(AK107="",IF(NOW()&gt;AJ107+1,0,""),IF(AK107&lt;=AJ107,1,0)))</f>
        <v/>
      </c>
    </row>
    <row r="108" customFormat="false" ht="15" hidden="false" customHeight="false" outlineLevel="0" collapsed="false">
      <c r="B108" s="29"/>
      <c r="C108" s="29"/>
      <c r="D108" s="29"/>
      <c r="E108" s="29"/>
      <c r="F108" s="29"/>
      <c r="G108" s="29"/>
      <c r="H108" s="29"/>
      <c r="I108" s="29"/>
      <c r="J108" s="29"/>
      <c r="K108" s="29"/>
      <c r="L108" s="29"/>
      <c r="M108" s="29"/>
      <c r="N108" s="30"/>
      <c r="O108" s="30"/>
      <c r="P108" s="30"/>
      <c r="Q108" s="30"/>
      <c r="R108" s="30"/>
      <c r="S108" s="30"/>
      <c r="T108" s="30"/>
      <c r="U108" s="30"/>
      <c r="V108" s="31"/>
      <c r="W108" s="29"/>
      <c r="X108" s="29"/>
      <c r="Y108" s="29"/>
      <c r="Z108" s="29"/>
      <c r="AA108" s="30"/>
      <c r="AB108" s="30"/>
      <c r="AC108" s="30"/>
      <c r="AD108" s="30"/>
      <c r="AE108" s="30"/>
      <c r="AF108" s="32"/>
      <c r="AG108" s="33"/>
      <c r="AH108" s="33"/>
      <c r="AI108" s="29"/>
      <c r="AJ108" s="32"/>
      <c r="AK108" s="32"/>
      <c r="AL108" s="29"/>
      <c r="AN108" s="34" t="str">
        <f aca="false">IF($B108="","",IF(OR(C108="",D108="",E108="",G108="",I108="",J108="",L108="",O108="",P108=""),"Champ obligatoire manquant",IF(OR(AND(N108&lt;&gt;"",N108&gt;O108),O108&gt;P108,AND(Q108&lt;&gt;"",Q108&lt;P108),AND(R108&lt;&gt;"",R108&lt;P108),AND(S108&lt;&gt;"",S108&lt;R108),AND(S108&lt;&gt;"",R108=""),AND(T108&lt;&gt;"",T108&lt;O108),AND(U108&lt;&gt;"",U108&lt;O108)),"Chronologie incohérente",IF(AND(OR(L108="Résolu",L108="Clos"),R108=""),"Date de résolution manquante",IF(AND(L108="Clos",S108=""),"Date de clôture manquante",IF(AND(K108="Oui",AC108=""),"Classification DORA manquante","OK"))))))</f>
        <v/>
      </c>
      <c r="AO108" s="35" t="str">
        <f aca="false">IF($B108="","",IF(AND(C108="Incident",L108&lt;&gt;"Annulé"),1,0))</f>
        <v/>
      </c>
      <c r="AP108" s="35" t="str">
        <f aca="false">IF($B108="","",IF(AND(C108="Quasi-incident",L108&lt;&gt;"Annulé"),1,0))</f>
        <v/>
      </c>
      <c r="AQ108" s="35" t="str">
        <f aca="false">IF($B108="","",AO108+AP108)</f>
        <v/>
      </c>
      <c r="AR108" s="36" t="str">
        <f aca="false">IF(OR($B108="",J108=""),"",IFERROR(VALUE(LEFT(J108,1)),""))</f>
        <v/>
      </c>
      <c r="AS108" s="35" t="str">
        <f aca="false">IF(OR(AO108&lt;&gt;1,G108=""),"",IFERROR(IF(INDEX(L_SrcInterne,MATCH(G108,L_Sources,0))="Oui",1,0),""))</f>
        <v/>
      </c>
      <c r="AT108" s="37" t="str">
        <f aca="false">IF(AO108&lt;&gt;1,"",IFERROR(ROUND(IF(OR(N108="",O108=""),"",IF(O108&lt;N108,"",ROUND(((NETWORKDAYS(N108,O108,JoursFeries)-1)*(HFer-HOuv)+IF(NETWORKDAYS(O108,O108,JoursFeries),MEDIAN(MOD(O108,1),HFer,HOuv),HFer)-IF(NETWORKDAYS(N108,N108,JoursFeries),MEDIAN(MOD(N108,1),HFer,HOuv),HOuv))*24,4)))/HJour,4),""))</f>
        <v/>
      </c>
      <c r="AU108" s="37" t="str">
        <f aca="false">IF(AO108&lt;&gt;1,"",IF(OR(O108="",P108=""),"",IF(P108&lt;O108,"",ROUND(((NETWORKDAYS(O108,P108,JoursFeries)-1)*(HFer-HOuv)+IF(NETWORKDAYS(P108,P108,JoursFeries),MEDIAN(MOD(P108,1),HFer,HOuv),HFer)-IF(NETWORKDAYS(O108,O108,JoursFeries),MEDIAN(MOD(O108,1),HFer,HOuv),HOuv))*24,4))))</f>
        <v/>
      </c>
      <c r="AV108" s="37" t="str">
        <f aca="false">IF(AO108&lt;&gt;1,"",IF(OR(P108="",Q108=""),"",IF(Q108&lt;P108,"",ROUND(((NETWORKDAYS(P108,Q108,JoursFeries)-1)*(HFer-HOuv)+IF(NETWORKDAYS(Q108,Q108,JoursFeries),MEDIAN(MOD(Q108,1),HFer,HOuv),HFer)-IF(NETWORKDAYS(P108,P108,JoursFeries),MEDIAN(MOD(P108,1),HFer,HOuv),HOuv))*24,4))))</f>
        <v/>
      </c>
      <c r="AW108" s="37" t="str">
        <f aca="false">IF(AO108&lt;&gt;1,"",IFERROR(ROUND(IF(OR(P108="",R108=""),"",IF(R108&lt;P108,"",ROUND(((NETWORKDAYS(P108,R108,JoursFeries)-1)*(HFer-HOuv)+IF(NETWORKDAYS(R108,R108,JoursFeries),MEDIAN(MOD(R108,1),HFer,HOuv),HFer)-IF(NETWORKDAYS(P108,P108,JoursFeries),MEDIAN(MOD(P108,1),HFer,HOuv),HOuv))*24,4)))/HJour,4),""))</f>
        <v/>
      </c>
      <c r="AX108" s="37" t="str">
        <f aca="false">IF(AO108&lt;&gt;1,"",IFERROR(ROUND(IF(OR(P108="",S108=""),"",IF(S108&lt;P108,"",ROUND(((NETWORKDAYS(P108,S108,JoursFeries)-1)*(HFer-HOuv)+IF(NETWORKDAYS(S108,S108,JoursFeries),MEDIAN(MOD(S108,1),HFer,HOuv),HFer)-IF(NETWORKDAYS(P108,P108,JoursFeries),MEDIAN(MOD(P108,1),HFer,HOuv),HOuv))*24,4)))/HJour,4),""))</f>
        <v/>
      </c>
      <c r="AY108" s="36" t="str">
        <f aca="false">IF(OR(AO108&lt;&gt;1,AR108=""),"",INDEX(SLA_PEC,AR108))</f>
        <v/>
      </c>
      <c r="AZ108" s="35" t="str">
        <f aca="false">IF(OR(AV108="",AY108=""),"",IF(AV108&lt;=AY108,1,0))</f>
        <v/>
      </c>
      <c r="BA108" s="36" t="str">
        <f aca="false">IF(OR(AO108&lt;&gt;1,AR108=""),"",INDEX(SLA_RES,AR108))</f>
        <v/>
      </c>
      <c r="BB108" s="35" t="str">
        <f aca="false">IF(OR(AW108="",BA108=""),"",IF(AW108&lt;=BA108,1,0))</f>
        <v/>
      </c>
      <c r="BC108" s="38" t="str">
        <f aca="false">IF(OR(BA108="",P108=""),"",WORKDAY(INT(P108),BA108,JoursFeries)+MOD(P108,1))</f>
        <v/>
      </c>
      <c r="BD108" s="39" t="str">
        <f aca="false">IF(AO108&lt;&gt;1,"",IF(OR(AB108&lt;&gt;"",AD108&lt;&gt;""),4,IF(U108&lt;&gt;"",3,IF(T108&lt;&gt;"",2,1))))</f>
        <v/>
      </c>
      <c r="BE108" s="39" t="str">
        <f aca="false">IF(OR(AO108&lt;&gt;1,AR108=""),"",INDEX(NIV_REQ,AR108))</f>
        <v/>
      </c>
      <c r="BF108" s="39" t="str">
        <f aca="false">IF(BE108="","",MAX(BE108,IF(OR(K108="Oui",Z108="Oui"),4,1)))</f>
        <v/>
      </c>
      <c r="BG108" s="35" t="str">
        <f aca="false">IF(OR(BF108="",BD108=""),"",IF(BD108&gt;=BF108,1,0))</f>
        <v/>
      </c>
      <c r="BH108" s="38" t="str">
        <f aca="false">IF(BE108="","",IF(BE108&lt;2,"",IF(BE108=2,IF(AND(T108="",U108=""),"",MIN(T108,U108)),IF(U108="","",U108))))</f>
        <v/>
      </c>
      <c r="BI108" s="37" t="str">
        <f aca="false">IF(BH108="","",IF(OR(O108="",BH108=""),"",IF(BH108&lt;O108,"",ROUND(((NETWORKDAYS(O108,BH108,JoursFeries)-1)*(HFer-HOuv)+IF(NETWORKDAYS(BH108,BH108,JoursFeries),MEDIAN(MOD(BH108,1),HFer,HOuv),HFer)-IF(NETWORKDAYS(O108,O108,JoursFeries),MEDIAN(MOD(O108,1),HFer,HOuv),HOuv))*24,4))))</f>
        <v/>
      </c>
      <c r="BJ108" s="35" t="str">
        <f aca="false">IF(OR(BI108="",AR108=""),"",IF(BI108&lt;=INDEX(DELAI_ESC,AR108),1,0))</f>
        <v/>
      </c>
      <c r="BK108" s="38" t="str">
        <f aca="false">IF(AO108&lt;&gt;1,"",IF(AND(T108="",U108=""),"",MIN(T108,U108)))</f>
        <v/>
      </c>
      <c r="BL108" s="37" t="str">
        <f aca="false">IF(OR(BK108="",R108=""),"",IFERROR(ROUND(IF(OR(BK108="",R108=""),"",IF(R108&lt;BK108,"",ROUND(((NETWORKDAYS(BK108,R108,JoursFeries)-1)*(HFer-HOuv)+IF(NETWORKDAYS(R108,R108,JoursFeries),MEDIAN(MOD(R108,1),HFer,HOuv),HFer)-IF(NETWORKDAYS(BK108,BK108,JoursFeries),MEDIAN(MOD(BK108,1),HFer,HOuv),HOuv))*24,4)))/HJour,4),""))</f>
        <v/>
      </c>
      <c r="BM108" s="35" t="str">
        <f aca="false">IF(OR(AO108&lt;&gt;1,R108=""),"",IF(BD108=1,1,0))</f>
        <v/>
      </c>
      <c r="BN108" s="35" t="str">
        <f aca="false">IF(AO108&lt;&gt;1,"",IF(W108="Oui",1,0))</f>
        <v/>
      </c>
      <c r="BO108" s="35" t="str">
        <f aca="false">IF(AO108&lt;&gt;1,"",IF(X108&lt;&gt;"",1,0))</f>
        <v/>
      </c>
      <c r="BP108" s="35" t="str">
        <f aca="false">IF(AO108&lt;&gt;1,"",IF(Y108="Oui",1,0))</f>
        <v/>
      </c>
      <c r="BQ108" s="35" t="str">
        <f aca="true">IF(OR(AO108&lt;&gt;1,Z108&lt;&gt;"Oui"),"",IF(AB108="",IF(AND(AA108&lt;&gt;"",NOW()&gt;AA108),0,""),IF(AA108="","",IF(AB108&lt;=AA108,1,0))))</f>
        <v/>
      </c>
      <c r="BR108" s="38" t="str">
        <f aca="false">IF(OR(AO108&lt;&gt;1,K108&lt;&gt;"Oui",O108=""),"",IF(AC108="",O108+DORA_H_DET/24,IF(AC108-O108&lt;=DORA_H_DET/24,MIN(AC108+DORA_H_CLA/24,O108+DORA_H_DET/24),AC108+DORA_H_CLA/24)))</f>
        <v/>
      </c>
      <c r="BS108" s="35" t="str">
        <f aca="true">IF(BR108="","",IF(AD108="",IF(NOW()&gt;BR108,0,""),IF(AD108&lt;=BR108,1,0)))</f>
        <v/>
      </c>
      <c r="BT108" s="35" t="str">
        <f aca="true">IF(OR(BR108="",AD108=""),"",IF(AE108="",IF(NOW()&gt;AD108+DORA_H_INT/24,0,""),IF(AE108&lt;=AD108+DORA_H_INT/24,1,0)))</f>
        <v/>
      </c>
      <c r="BU108" s="35" t="str">
        <f aca="true">IF(OR(BR108="",AE108=""),"",IF(AF108="",IF(NOW()&gt;EDATE(AE108,DORA_M_FIN)+1,0,""),IF(AF108&lt;=EDATE(AE108,DORA_M_FIN),1,0)))</f>
        <v/>
      </c>
      <c r="BV108" s="35" t="str">
        <f aca="false">IF(BR108="","",IF(COUNT(BS108:BU108)=0,"",MIN(BS108:BU108)))</f>
        <v/>
      </c>
      <c r="BW108" s="40" t="str">
        <f aca="false">IF(AQ108&lt;&gt;1,"",IF(AND(AG108="",AH108=""),"",N(AG108)-N(AH108)))</f>
        <v/>
      </c>
      <c r="BX108" s="35" t="str">
        <f aca="true">IF(OR(AQ108&lt;&gt;1,AI108&lt;&gt;"Oui",AJ108=""),"",IF(AK108="",IF(NOW()&gt;AJ108+1,0,""),IF(AK108&lt;=AJ108,1,0)))</f>
        <v/>
      </c>
    </row>
    <row r="109" customFormat="false" ht="15" hidden="false" customHeight="false" outlineLevel="0" collapsed="false">
      <c r="B109" s="29"/>
      <c r="C109" s="29"/>
      <c r="D109" s="29"/>
      <c r="E109" s="29"/>
      <c r="F109" s="29"/>
      <c r="G109" s="29"/>
      <c r="H109" s="29"/>
      <c r="I109" s="29"/>
      <c r="J109" s="29"/>
      <c r="K109" s="29"/>
      <c r="L109" s="29"/>
      <c r="M109" s="29"/>
      <c r="N109" s="30"/>
      <c r="O109" s="30"/>
      <c r="P109" s="30"/>
      <c r="Q109" s="30"/>
      <c r="R109" s="30"/>
      <c r="S109" s="30"/>
      <c r="T109" s="30"/>
      <c r="U109" s="30"/>
      <c r="V109" s="31"/>
      <c r="W109" s="29"/>
      <c r="X109" s="29"/>
      <c r="Y109" s="29"/>
      <c r="Z109" s="29"/>
      <c r="AA109" s="30"/>
      <c r="AB109" s="30"/>
      <c r="AC109" s="30"/>
      <c r="AD109" s="30"/>
      <c r="AE109" s="30"/>
      <c r="AF109" s="32"/>
      <c r="AG109" s="33"/>
      <c r="AH109" s="33"/>
      <c r="AI109" s="29"/>
      <c r="AJ109" s="32"/>
      <c r="AK109" s="32"/>
      <c r="AL109" s="29"/>
      <c r="AN109" s="34" t="str">
        <f aca="false">IF($B109="","",IF(OR(C109="",D109="",E109="",G109="",I109="",J109="",L109="",O109="",P109=""),"Champ obligatoire manquant",IF(OR(AND(N109&lt;&gt;"",N109&gt;O109),O109&gt;P109,AND(Q109&lt;&gt;"",Q109&lt;P109),AND(R109&lt;&gt;"",R109&lt;P109),AND(S109&lt;&gt;"",S109&lt;R109),AND(S109&lt;&gt;"",R109=""),AND(T109&lt;&gt;"",T109&lt;O109),AND(U109&lt;&gt;"",U109&lt;O109)),"Chronologie incohérente",IF(AND(OR(L109="Résolu",L109="Clos"),R109=""),"Date de résolution manquante",IF(AND(L109="Clos",S109=""),"Date de clôture manquante",IF(AND(K109="Oui",AC109=""),"Classification DORA manquante","OK"))))))</f>
        <v/>
      </c>
      <c r="AO109" s="35" t="str">
        <f aca="false">IF($B109="","",IF(AND(C109="Incident",L109&lt;&gt;"Annulé"),1,0))</f>
        <v/>
      </c>
      <c r="AP109" s="35" t="str">
        <f aca="false">IF($B109="","",IF(AND(C109="Quasi-incident",L109&lt;&gt;"Annulé"),1,0))</f>
        <v/>
      </c>
      <c r="AQ109" s="35" t="str">
        <f aca="false">IF($B109="","",AO109+AP109)</f>
        <v/>
      </c>
      <c r="AR109" s="36" t="str">
        <f aca="false">IF(OR($B109="",J109=""),"",IFERROR(VALUE(LEFT(J109,1)),""))</f>
        <v/>
      </c>
      <c r="AS109" s="35" t="str">
        <f aca="false">IF(OR(AO109&lt;&gt;1,G109=""),"",IFERROR(IF(INDEX(L_SrcInterne,MATCH(G109,L_Sources,0))="Oui",1,0),""))</f>
        <v/>
      </c>
      <c r="AT109" s="37" t="str">
        <f aca="false">IF(AO109&lt;&gt;1,"",IFERROR(ROUND(IF(OR(N109="",O109=""),"",IF(O109&lt;N109,"",ROUND(((NETWORKDAYS(N109,O109,JoursFeries)-1)*(HFer-HOuv)+IF(NETWORKDAYS(O109,O109,JoursFeries),MEDIAN(MOD(O109,1),HFer,HOuv),HFer)-IF(NETWORKDAYS(N109,N109,JoursFeries),MEDIAN(MOD(N109,1),HFer,HOuv),HOuv))*24,4)))/HJour,4),""))</f>
        <v/>
      </c>
      <c r="AU109" s="37" t="str">
        <f aca="false">IF(AO109&lt;&gt;1,"",IF(OR(O109="",P109=""),"",IF(P109&lt;O109,"",ROUND(((NETWORKDAYS(O109,P109,JoursFeries)-1)*(HFer-HOuv)+IF(NETWORKDAYS(P109,P109,JoursFeries),MEDIAN(MOD(P109,1),HFer,HOuv),HFer)-IF(NETWORKDAYS(O109,O109,JoursFeries),MEDIAN(MOD(O109,1),HFer,HOuv),HOuv))*24,4))))</f>
        <v/>
      </c>
      <c r="AV109" s="37" t="str">
        <f aca="false">IF(AO109&lt;&gt;1,"",IF(OR(P109="",Q109=""),"",IF(Q109&lt;P109,"",ROUND(((NETWORKDAYS(P109,Q109,JoursFeries)-1)*(HFer-HOuv)+IF(NETWORKDAYS(Q109,Q109,JoursFeries),MEDIAN(MOD(Q109,1),HFer,HOuv),HFer)-IF(NETWORKDAYS(P109,P109,JoursFeries),MEDIAN(MOD(P109,1),HFer,HOuv),HOuv))*24,4))))</f>
        <v/>
      </c>
      <c r="AW109" s="37" t="str">
        <f aca="false">IF(AO109&lt;&gt;1,"",IFERROR(ROUND(IF(OR(P109="",R109=""),"",IF(R109&lt;P109,"",ROUND(((NETWORKDAYS(P109,R109,JoursFeries)-1)*(HFer-HOuv)+IF(NETWORKDAYS(R109,R109,JoursFeries),MEDIAN(MOD(R109,1),HFer,HOuv),HFer)-IF(NETWORKDAYS(P109,P109,JoursFeries),MEDIAN(MOD(P109,1),HFer,HOuv),HOuv))*24,4)))/HJour,4),""))</f>
        <v/>
      </c>
      <c r="AX109" s="37" t="str">
        <f aca="false">IF(AO109&lt;&gt;1,"",IFERROR(ROUND(IF(OR(P109="",S109=""),"",IF(S109&lt;P109,"",ROUND(((NETWORKDAYS(P109,S109,JoursFeries)-1)*(HFer-HOuv)+IF(NETWORKDAYS(S109,S109,JoursFeries),MEDIAN(MOD(S109,1),HFer,HOuv),HFer)-IF(NETWORKDAYS(P109,P109,JoursFeries),MEDIAN(MOD(P109,1),HFer,HOuv),HOuv))*24,4)))/HJour,4),""))</f>
        <v/>
      </c>
      <c r="AY109" s="36" t="str">
        <f aca="false">IF(OR(AO109&lt;&gt;1,AR109=""),"",INDEX(SLA_PEC,AR109))</f>
        <v/>
      </c>
      <c r="AZ109" s="35" t="str">
        <f aca="false">IF(OR(AV109="",AY109=""),"",IF(AV109&lt;=AY109,1,0))</f>
        <v/>
      </c>
      <c r="BA109" s="36" t="str">
        <f aca="false">IF(OR(AO109&lt;&gt;1,AR109=""),"",INDEX(SLA_RES,AR109))</f>
        <v/>
      </c>
      <c r="BB109" s="35" t="str">
        <f aca="false">IF(OR(AW109="",BA109=""),"",IF(AW109&lt;=BA109,1,0))</f>
        <v/>
      </c>
      <c r="BC109" s="38" t="str">
        <f aca="false">IF(OR(BA109="",P109=""),"",WORKDAY(INT(P109),BA109,JoursFeries)+MOD(P109,1))</f>
        <v/>
      </c>
      <c r="BD109" s="39" t="str">
        <f aca="false">IF(AO109&lt;&gt;1,"",IF(OR(AB109&lt;&gt;"",AD109&lt;&gt;""),4,IF(U109&lt;&gt;"",3,IF(T109&lt;&gt;"",2,1))))</f>
        <v/>
      </c>
      <c r="BE109" s="39" t="str">
        <f aca="false">IF(OR(AO109&lt;&gt;1,AR109=""),"",INDEX(NIV_REQ,AR109))</f>
        <v/>
      </c>
      <c r="BF109" s="39" t="str">
        <f aca="false">IF(BE109="","",MAX(BE109,IF(OR(K109="Oui",Z109="Oui"),4,1)))</f>
        <v/>
      </c>
      <c r="BG109" s="35" t="str">
        <f aca="false">IF(OR(BF109="",BD109=""),"",IF(BD109&gt;=BF109,1,0))</f>
        <v/>
      </c>
      <c r="BH109" s="38" t="str">
        <f aca="false">IF(BE109="","",IF(BE109&lt;2,"",IF(BE109=2,IF(AND(T109="",U109=""),"",MIN(T109,U109)),IF(U109="","",U109))))</f>
        <v/>
      </c>
      <c r="BI109" s="37" t="str">
        <f aca="false">IF(BH109="","",IF(OR(O109="",BH109=""),"",IF(BH109&lt;O109,"",ROUND(((NETWORKDAYS(O109,BH109,JoursFeries)-1)*(HFer-HOuv)+IF(NETWORKDAYS(BH109,BH109,JoursFeries),MEDIAN(MOD(BH109,1),HFer,HOuv),HFer)-IF(NETWORKDAYS(O109,O109,JoursFeries),MEDIAN(MOD(O109,1),HFer,HOuv),HOuv))*24,4))))</f>
        <v/>
      </c>
      <c r="BJ109" s="35" t="str">
        <f aca="false">IF(OR(BI109="",AR109=""),"",IF(BI109&lt;=INDEX(DELAI_ESC,AR109),1,0))</f>
        <v/>
      </c>
      <c r="BK109" s="38" t="str">
        <f aca="false">IF(AO109&lt;&gt;1,"",IF(AND(T109="",U109=""),"",MIN(T109,U109)))</f>
        <v/>
      </c>
      <c r="BL109" s="37" t="str">
        <f aca="false">IF(OR(BK109="",R109=""),"",IFERROR(ROUND(IF(OR(BK109="",R109=""),"",IF(R109&lt;BK109,"",ROUND(((NETWORKDAYS(BK109,R109,JoursFeries)-1)*(HFer-HOuv)+IF(NETWORKDAYS(R109,R109,JoursFeries),MEDIAN(MOD(R109,1),HFer,HOuv),HFer)-IF(NETWORKDAYS(BK109,BK109,JoursFeries),MEDIAN(MOD(BK109,1),HFer,HOuv),HOuv))*24,4)))/HJour,4),""))</f>
        <v/>
      </c>
      <c r="BM109" s="35" t="str">
        <f aca="false">IF(OR(AO109&lt;&gt;1,R109=""),"",IF(BD109=1,1,0))</f>
        <v/>
      </c>
      <c r="BN109" s="35" t="str">
        <f aca="false">IF(AO109&lt;&gt;1,"",IF(W109="Oui",1,0))</f>
        <v/>
      </c>
      <c r="BO109" s="35" t="str">
        <f aca="false">IF(AO109&lt;&gt;1,"",IF(X109&lt;&gt;"",1,0))</f>
        <v/>
      </c>
      <c r="BP109" s="35" t="str">
        <f aca="false">IF(AO109&lt;&gt;1,"",IF(Y109="Oui",1,0))</f>
        <v/>
      </c>
      <c r="BQ109" s="35" t="str">
        <f aca="true">IF(OR(AO109&lt;&gt;1,Z109&lt;&gt;"Oui"),"",IF(AB109="",IF(AND(AA109&lt;&gt;"",NOW()&gt;AA109),0,""),IF(AA109="","",IF(AB109&lt;=AA109,1,0))))</f>
        <v/>
      </c>
      <c r="BR109" s="38" t="str">
        <f aca="false">IF(OR(AO109&lt;&gt;1,K109&lt;&gt;"Oui",O109=""),"",IF(AC109="",O109+DORA_H_DET/24,IF(AC109-O109&lt;=DORA_H_DET/24,MIN(AC109+DORA_H_CLA/24,O109+DORA_H_DET/24),AC109+DORA_H_CLA/24)))</f>
        <v/>
      </c>
      <c r="BS109" s="35" t="str">
        <f aca="true">IF(BR109="","",IF(AD109="",IF(NOW()&gt;BR109,0,""),IF(AD109&lt;=BR109,1,0)))</f>
        <v/>
      </c>
      <c r="BT109" s="35" t="str">
        <f aca="true">IF(OR(BR109="",AD109=""),"",IF(AE109="",IF(NOW()&gt;AD109+DORA_H_INT/24,0,""),IF(AE109&lt;=AD109+DORA_H_INT/24,1,0)))</f>
        <v/>
      </c>
      <c r="BU109" s="35" t="str">
        <f aca="true">IF(OR(BR109="",AE109=""),"",IF(AF109="",IF(NOW()&gt;EDATE(AE109,DORA_M_FIN)+1,0,""),IF(AF109&lt;=EDATE(AE109,DORA_M_FIN),1,0)))</f>
        <v/>
      </c>
      <c r="BV109" s="35" t="str">
        <f aca="false">IF(BR109="","",IF(COUNT(BS109:BU109)=0,"",MIN(BS109:BU109)))</f>
        <v/>
      </c>
      <c r="BW109" s="40" t="str">
        <f aca="false">IF(AQ109&lt;&gt;1,"",IF(AND(AG109="",AH109=""),"",N(AG109)-N(AH109)))</f>
        <v/>
      </c>
      <c r="BX109" s="35" t="str">
        <f aca="true">IF(OR(AQ109&lt;&gt;1,AI109&lt;&gt;"Oui",AJ109=""),"",IF(AK109="",IF(NOW()&gt;AJ109+1,0,""),IF(AK109&lt;=AJ109,1,0)))</f>
        <v/>
      </c>
    </row>
    <row r="110" customFormat="false" ht="15" hidden="false" customHeight="false" outlineLevel="0" collapsed="false">
      <c r="B110" s="29"/>
      <c r="C110" s="29"/>
      <c r="D110" s="29"/>
      <c r="E110" s="29"/>
      <c r="F110" s="29"/>
      <c r="G110" s="29"/>
      <c r="H110" s="29"/>
      <c r="I110" s="29"/>
      <c r="J110" s="29"/>
      <c r="K110" s="29"/>
      <c r="L110" s="29"/>
      <c r="M110" s="29"/>
      <c r="N110" s="30"/>
      <c r="O110" s="30"/>
      <c r="P110" s="30"/>
      <c r="Q110" s="30"/>
      <c r="R110" s="30"/>
      <c r="S110" s="30"/>
      <c r="T110" s="30"/>
      <c r="U110" s="30"/>
      <c r="V110" s="31"/>
      <c r="W110" s="29"/>
      <c r="X110" s="29"/>
      <c r="Y110" s="29"/>
      <c r="Z110" s="29"/>
      <c r="AA110" s="30"/>
      <c r="AB110" s="30"/>
      <c r="AC110" s="30"/>
      <c r="AD110" s="30"/>
      <c r="AE110" s="30"/>
      <c r="AF110" s="32"/>
      <c r="AG110" s="33"/>
      <c r="AH110" s="33"/>
      <c r="AI110" s="29"/>
      <c r="AJ110" s="32"/>
      <c r="AK110" s="32"/>
      <c r="AL110" s="29"/>
      <c r="AN110" s="34" t="str">
        <f aca="false">IF($B110="","",IF(OR(C110="",D110="",E110="",G110="",I110="",J110="",L110="",O110="",P110=""),"Champ obligatoire manquant",IF(OR(AND(N110&lt;&gt;"",N110&gt;O110),O110&gt;P110,AND(Q110&lt;&gt;"",Q110&lt;P110),AND(R110&lt;&gt;"",R110&lt;P110),AND(S110&lt;&gt;"",S110&lt;R110),AND(S110&lt;&gt;"",R110=""),AND(T110&lt;&gt;"",T110&lt;O110),AND(U110&lt;&gt;"",U110&lt;O110)),"Chronologie incohérente",IF(AND(OR(L110="Résolu",L110="Clos"),R110=""),"Date de résolution manquante",IF(AND(L110="Clos",S110=""),"Date de clôture manquante",IF(AND(K110="Oui",AC110=""),"Classification DORA manquante","OK"))))))</f>
        <v/>
      </c>
      <c r="AO110" s="35" t="str">
        <f aca="false">IF($B110="","",IF(AND(C110="Incident",L110&lt;&gt;"Annulé"),1,0))</f>
        <v/>
      </c>
      <c r="AP110" s="35" t="str">
        <f aca="false">IF($B110="","",IF(AND(C110="Quasi-incident",L110&lt;&gt;"Annulé"),1,0))</f>
        <v/>
      </c>
      <c r="AQ110" s="35" t="str">
        <f aca="false">IF($B110="","",AO110+AP110)</f>
        <v/>
      </c>
      <c r="AR110" s="36" t="str">
        <f aca="false">IF(OR($B110="",J110=""),"",IFERROR(VALUE(LEFT(J110,1)),""))</f>
        <v/>
      </c>
      <c r="AS110" s="35" t="str">
        <f aca="false">IF(OR(AO110&lt;&gt;1,G110=""),"",IFERROR(IF(INDEX(L_SrcInterne,MATCH(G110,L_Sources,0))="Oui",1,0),""))</f>
        <v/>
      </c>
      <c r="AT110" s="37" t="str">
        <f aca="false">IF(AO110&lt;&gt;1,"",IFERROR(ROUND(IF(OR(N110="",O110=""),"",IF(O110&lt;N110,"",ROUND(((NETWORKDAYS(N110,O110,JoursFeries)-1)*(HFer-HOuv)+IF(NETWORKDAYS(O110,O110,JoursFeries),MEDIAN(MOD(O110,1),HFer,HOuv),HFer)-IF(NETWORKDAYS(N110,N110,JoursFeries),MEDIAN(MOD(N110,1),HFer,HOuv),HOuv))*24,4)))/HJour,4),""))</f>
        <v/>
      </c>
      <c r="AU110" s="37" t="str">
        <f aca="false">IF(AO110&lt;&gt;1,"",IF(OR(O110="",P110=""),"",IF(P110&lt;O110,"",ROUND(((NETWORKDAYS(O110,P110,JoursFeries)-1)*(HFer-HOuv)+IF(NETWORKDAYS(P110,P110,JoursFeries),MEDIAN(MOD(P110,1),HFer,HOuv),HFer)-IF(NETWORKDAYS(O110,O110,JoursFeries),MEDIAN(MOD(O110,1),HFer,HOuv),HOuv))*24,4))))</f>
        <v/>
      </c>
      <c r="AV110" s="37" t="str">
        <f aca="false">IF(AO110&lt;&gt;1,"",IF(OR(P110="",Q110=""),"",IF(Q110&lt;P110,"",ROUND(((NETWORKDAYS(P110,Q110,JoursFeries)-1)*(HFer-HOuv)+IF(NETWORKDAYS(Q110,Q110,JoursFeries),MEDIAN(MOD(Q110,1),HFer,HOuv),HFer)-IF(NETWORKDAYS(P110,P110,JoursFeries),MEDIAN(MOD(P110,1),HFer,HOuv),HOuv))*24,4))))</f>
        <v/>
      </c>
      <c r="AW110" s="37" t="str">
        <f aca="false">IF(AO110&lt;&gt;1,"",IFERROR(ROUND(IF(OR(P110="",R110=""),"",IF(R110&lt;P110,"",ROUND(((NETWORKDAYS(P110,R110,JoursFeries)-1)*(HFer-HOuv)+IF(NETWORKDAYS(R110,R110,JoursFeries),MEDIAN(MOD(R110,1),HFer,HOuv),HFer)-IF(NETWORKDAYS(P110,P110,JoursFeries),MEDIAN(MOD(P110,1),HFer,HOuv),HOuv))*24,4)))/HJour,4),""))</f>
        <v/>
      </c>
      <c r="AX110" s="37" t="str">
        <f aca="false">IF(AO110&lt;&gt;1,"",IFERROR(ROUND(IF(OR(P110="",S110=""),"",IF(S110&lt;P110,"",ROUND(((NETWORKDAYS(P110,S110,JoursFeries)-1)*(HFer-HOuv)+IF(NETWORKDAYS(S110,S110,JoursFeries),MEDIAN(MOD(S110,1),HFer,HOuv),HFer)-IF(NETWORKDAYS(P110,P110,JoursFeries),MEDIAN(MOD(P110,1),HFer,HOuv),HOuv))*24,4)))/HJour,4),""))</f>
        <v/>
      </c>
      <c r="AY110" s="36" t="str">
        <f aca="false">IF(OR(AO110&lt;&gt;1,AR110=""),"",INDEX(SLA_PEC,AR110))</f>
        <v/>
      </c>
      <c r="AZ110" s="35" t="str">
        <f aca="false">IF(OR(AV110="",AY110=""),"",IF(AV110&lt;=AY110,1,0))</f>
        <v/>
      </c>
      <c r="BA110" s="36" t="str">
        <f aca="false">IF(OR(AO110&lt;&gt;1,AR110=""),"",INDEX(SLA_RES,AR110))</f>
        <v/>
      </c>
      <c r="BB110" s="35" t="str">
        <f aca="false">IF(OR(AW110="",BA110=""),"",IF(AW110&lt;=BA110,1,0))</f>
        <v/>
      </c>
      <c r="BC110" s="38" t="str">
        <f aca="false">IF(OR(BA110="",P110=""),"",WORKDAY(INT(P110),BA110,JoursFeries)+MOD(P110,1))</f>
        <v/>
      </c>
      <c r="BD110" s="39" t="str">
        <f aca="false">IF(AO110&lt;&gt;1,"",IF(OR(AB110&lt;&gt;"",AD110&lt;&gt;""),4,IF(U110&lt;&gt;"",3,IF(T110&lt;&gt;"",2,1))))</f>
        <v/>
      </c>
      <c r="BE110" s="39" t="str">
        <f aca="false">IF(OR(AO110&lt;&gt;1,AR110=""),"",INDEX(NIV_REQ,AR110))</f>
        <v/>
      </c>
      <c r="BF110" s="39" t="str">
        <f aca="false">IF(BE110="","",MAX(BE110,IF(OR(K110="Oui",Z110="Oui"),4,1)))</f>
        <v/>
      </c>
      <c r="BG110" s="35" t="str">
        <f aca="false">IF(OR(BF110="",BD110=""),"",IF(BD110&gt;=BF110,1,0))</f>
        <v/>
      </c>
      <c r="BH110" s="38" t="str">
        <f aca="false">IF(BE110="","",IF(BE110&lt;2,"",IF(BE110=2,IF(AND(T110="",U110=""),"",MIN(T110,U110)),IF(U110="","",U110))))</f>
        <v/>
      </c>
      <c r="BI110" s="37" t="str">
        <f aca="false">IF(BH110="","",IF(OR(O110="",BH110=""),"",IF(BH110&lt;O110,"",ROUND(((NETWORKDAYS(O110,BH110,JoursFeries)-1)*(HFer-HOuv)+IF(NETWORKDAYS(BH110,BH110,JoursFeries),MEDIAN(MOD(BH110,1),HFer,HOuv),HFer)-IF(NETWORKDAYS(O110,O110,JoursFeries),MEDIAN(MOD(O110,1),HFer,HOuv),HOuv))*24,4))))</f>
        <v/>
      </c>
      <c r="BJ110" s="35" t="str">
        <f aca="false">IF(OR(BI110="",AR110=""),"",IF(BI110&lt;=INDEX(DELAI_ESC,AR110),1,0))</f>
        <v/>
      </c>
      <c r="BK110" s="38" t="str">
        <f aca="false">IF(AO110&lt;&gt;1,"",IF(AND(T110="",U110=""),"",MIN(T110,U110)))</f>
        <v/>
      </c>
      <c r="BL110" s="37" t="str">
        <f aca="false">IF(OR(BK110="",R110=""),"",IFERROR(ROUND(IF(OR(BK110="",R110=""),"",IF(R110&lt;BK110,"",ROUND(((NETWORKDAYS(BK110,R110,JoursFeries)-1)*(HFer-HOuv)+IF(NETWORKDAYS(R110,R110,JoursFeries),MEDIAN(MOD(R110,1),HFer,HOuv),HFer)-IF(NETWORKDAYS(BK110,BK110,JoursFeries),MEDIAN(MOD(BK110,1),HFer,HOuv),HOuv))*24,4)))/HJour,4),""))</f>
        <v/>
      </c>
      <c r="BM110" s="35" t="str">
        <f aca="false">IF(OR(AO110&lt;&gt;1,R110=""),"",IF(BD110=1,1,0))</f>
        <v/>
      </c>
      <c r="BN110" s="35" t="str">
        <f aca="false">IF(AO110&lt;&gt;1,"",IF(W110="Oui",1,0))</f>
        <v/>
      </c>
      <c r="BO110" s="35" t="str">
        <f aca="false">IF(AO110&lt;&gt;1,"",IF(X110&lt;&gt;"",1,0))</f>
        <v/>
      </c>
      <c r="BP110" s="35" t="str">
        <f aca="false">IF(AO110&lt;&gt;1,"",IF(Y110="Oui",1,0))</f>
        <v/>
      </c>
      <c r="BQ110" s="35" t="str">
        <f aca="true">IF(OR(AO110&lt;&gt;1,Z110&lt;&gt;"Oui"),"",IF(AB110="",IF(AND(AA110&lt;&gt;"",NOW()&gt;AA110),0,""),IF(AA110="","",IF(AB110&lt;=AA110,1,0))))</f>
        <v/>
      </c>
      <c r="BR110" s="38" t="str">
        <f aca="false">IF(OR(AO110&lt;&gt;1,K110&lt;&gt;"Oui",O110=""),"",IF(AC110="",O110+DORA_H_DET/24,IF(AC110-O110&lt;=DORA_H_DET/24,MIN(AC110+DORA_H_CLA/24,O110+DORA_H_DET/24),AC110+DORA_H_CLA/24)))</f>
        <v/>
      </c>
      <c r="BS110" s="35" t="str">
        <f aca="true">IF(BR110="","",IF(AD110="",IF(NOW()&gt;BR110,0,""),IF(AD110&lt;=BR110,1,0)))</f>
        <v/>
      </c>
      <c r="BT110" s="35" t="str">
        <f aca="true">IF(OR(BR110="",AD110=""),"",IF(AE110="",IF(NOW()&gt;AD110+DORA_H_INT/24,0,""),IF(AE110&lt;=AD110+DORA_H_INT/24,1,0)))</f>
        <v/>
      </c>
      <c r="BU110" s="35" t="str">
        <f aca="true">IF(OR(BR110="",AE110=""),"",IF(AF110="",IF(NOW()&gt;EDATE(AE110,DORA_M_FIN)+1,0,""),IF(AF110&lt;=EDATE(AE110,DORA_M_FIN),1,0)))</f>
        <v/>
      </c>
      <c r="BV110" s="35" t="str">
        <f aca="false">IF(BR110="","",IF(COUNT(BS110:BU110)=0,"",MIN(BS110:BU110)))</f>
        <v/>
      </c>
      <c r="BW110" s="40" t="str">
        <f aca="false">IF(AQ110&lt;&gt;1,"",IF(AND(AG110="",AH110=""),"",N(AG110)-N(AH110)))</f>
        <v/>
      </c>
      <c r="BX110" s="35" t="str">
        <f aca="true">IF(OR(AQ110&lt;&gt;1,AI110&lt;&gt;"Oui",AJ110=""),"",IF(AK110="",IF(NOW()&gt;AJ110+1,0,""),IF(AK110&lt;=AJ110,1,0)))</f>
        <v/>
      </c>
    </row>
    <row r="111" customFormat="false" ht="15" hidden="false" customHeight="false" outlineLevel="0" collapsed="false">
      <c r="B111" s="29"/>
      <c r="C111" s="29"/>
      <c r="D111" s="29"/>
      <c r="E111" s="29"/>
      <c r="F111" s="29"/>
      <c r="G111" s="29"/>
      <c r="H111" s="29"/>
      <c r="I111" s="29"/>
      <c r="J111" s="29"/>
      <c r="K111" s="29"/>
      <c r="L111" s="29"/>
      <c r="M111" s="29"/>
      <c r="N111" s="30"/>
      <c r="O111" s="30"/>
      <c r="P111" s="30"/>
      <c r="Q111" s="30"/>
      <c r="R111" s="30"/>
      <c r="S111" s="30"/>
      <c r="T111" s="30"/>
      <c r="U111" s="30"/>
      <c r="V111" s="31"/>
      <c r="W111" s="29"/>
      <c r="X111" s="29"/>
      <c r="Y111" s="29"/>
      <c r="Z111" s="29"/>
      <c r="AA111" s="30"/>
      <c r="AB111" s="30"/>
      <c r="AC111" s="30"/>
      <c r="AD111" s="30"/>
      <c r="AE111" s="30"/>
      <c r="AF111" s="32"/>
      <c r="AG111" s="33"/>
      <c r="AH111" s="33"/>
      <c r="AI111" s="29"/>
      <c r="AJ111" s="32"/>
      <c r="AK111" s="32"/>
      <c r="AL111" s="29"/>
      <c r="AN111" s="34" t="str">
        <f aca="false">IF($B111="","",IF(OR(C111="",D111="",E111="",G111="",I111="",J111="",L111="",O111="",P111=""),"Champ obligatoire manquant",IF(OR(AND(N111&lt;&gt;"",N111&gt;O111),O111&gt;P111,AND(Q111&lt;&gt;"",Q111&lt;P111),AND(R111&lt;&gt;"",R111&lt;P111),AND(S111&lt;&gt;"",S111&lt;R111),AND(S111&lt;&gt;"",R111=""),AND(T111&lt;&gt;"",T111&lt;O111),AND(U111&lt;&gt;"",U111&lt;O111)),"Chronologie incohérente",IF(AND(OR(L111="Résolu",L111="Clos"),R111=""),"Date de résolution manquante",IF(AND(L111="Clos",S111=""),"Date de clôture manquante",IF(AND(K111="Oui",AC111=""),"Classification DORA manquante","OK"))))))</f>
        <v/>
      </c>
      <c r="AO111" s="35" t="str">
        <f aca="false">IF($B111="","",IF(AND(C111="Incident",L111&lt;&gt;"Annulé"),1,0))</f>
        <v/>
      </c>
      <c r="AP111" s="35" t="str">
        <f aca="false">IF($B111="","",IF(AND(C111="Quasi-incident",L111&lt;&gt;"Annulé"),1,0))</f>
        <v/>
      </c>
      <c r="AQ111" s="35" t="str">
        <f aca="false">IF($B111="","",AO111+AP111)</f>
        <v/>
      </c>
      <c r="AR111" s="36" t="str">
        <f aca="false">IF(OR($B111="",J111=""),"",IFERROR(VALUE(LEFT(J111,1)),""))</f>
        <v/>
      </c>
      <c r="AS111" s="35" t="str">
        <f aca="false">IF(OR(AO111&lt;&gt;1,G111=""),"",IFERROR(IF(INDEX(L_SrcInterne,MATCH(G111,L_Sources,0))="Oui",1,0),""))</f>
        <v/>
      </c>
      <c r="AT111" s="37" t="str">
        <f aca="false">IF(AO111&lt;&gt;1,"",IFERROR(ROUND(IF(OR(N111="",O111=""),"",IF(O111&lt;N111,"",ROUND(((NETWORKDAYS(N111,O111,JoursFeries)-1)*(HFer-HOuv)+IF(NETWORKDAYS(O111,O111,JoursFeries),MEDIAN(MOD(O111,1),HFer,HOuv),HFer)-IF(NETWORKDAYS(N111,N111,JoursFeries),MEDIAN(MOD(N111,1),HFer,HOuv),HOuv))*24,4)))/HJour,4),""))</f>
        <v/>
      </c>
      <c r="AU111" s="37" t="str">
        <f aca="false">IF(AO111&lt;&gt;1,"",IF(OR(O111="",P111=""),"",IF(P111&lt;O111,"",ROUND(((NETWORKDAYS(O111,P111,JoursFeries)-1)*(HFer-HOuv)+IF(NETWORKDAYS(P111,P111,JoursFeries),MEDIAN(MOD(P111,1),HFer,HOuv),HFer)-IF(NETWORKDAYS(O111,O111,JoursFeries),MEDIAN(MOD(O111,1),HFer,HOuv),HOuv))*24,4))))</f>
        <v/>
      </c>
      <c r="AV111" s="37" t="str">
        <f aca="false">IF(AO111&lt;&gt;1,"",IF(OR(P111="",Q111=""),"",IF(Q111&lt;P111,"",ROUND(((NETWORKDAYS(P111,Q111,JoursFeries)-1)*(HFer-HOuv)+IF(NETWORKDAYS(Q111,Q111,JoursFeries),MEDIAN(MOD(Q111,1),HFer,HOuv),HFer)-IF(NETWORKDAYS(P111,P111,JoursFeries),MEDIAN(MOD(P111,1),HFer,HOuv),HOuv))*24,4))))</f>
        <v/>
      </c>
      <c r="AW111" s="37" t="str">
        <f aca="false">IF(AO111&lt;&gt;1,"",IFERROR(ROUND(IF(OR(P111="",R111=""),"",IF(R111&lt;P111,"",ROUND(((NETWORKDAYS(P111,R111,JoursFeries)-1)*(HFer-HOuv)+IF(NETWORKDAYS(R111,R111,JoursFeries),MEDIAN(MOD(R111,1),HFer,HOuv),HFer)-IF(NETWORKDAYS(P111,P111,JoursFeries),MEDIAN(MOD(P111,1),HFer,HOuv),HOuv))*24,4)))/HJour,4),""))</f>
        <v/>
      </c>
      <c r="AX111" s="37" t="str">
        <f aca="false">IF(AO111&lt;&gt;1,"",IFERROR(ROUND(IF(OR(P111="",S111=""),"",IF(S111&lt;P111,"",ROUND(((NETWORKDAYS(P111,S111,JoursFeries)-1)*(HFer-HOuv)+IF(NETWORKDAYS(S111,S111,JoursFeries),MEDIAN(MOD(S111,1),HFer,HOuv),HFer)-IF(NETWORKDAYS(P111,P111,JoursFeries),MEDIAN(MOD(P111,1),HFer,HOuv),HOuv))*24,4)))/HJour,4),""))</f>
        <v/>
      </c>
      <c r="AY111" s="36" t="str">
        <f aca="false">IF(OR(AO111&lt;&gt;1,AR111=""),"",INDEX(SLA_PEC,AR111))</f>
        <v/>
      </c>
      <c r="AZ111" s="35" t="str">
        <f aca="false">IF(OR(AV111="",AY111=""),"",IF(AV111&lt;=AY111,1,0))</f>
        <v/>
      </c>
      <c r="BA111" s="36" t="str">
        <f aca="false">IF(OR(AO111&lt;&gt;1,AR111=""),"",INDEX(SLA_RES,AR111))</f>
        <v/>
      </c>
      <c r="BB111" s="35" t="str">
        <f aca="false">IF(OR(AW111="",BA111=""),"",IF(AW111&lt;=BA111,1,0))</f>
        <v/>
      </c>
      <c r="BC111" s="38" t="str">
        <f aca="false">IF(OR(BA111="",P111=""),"",WORKDAY(INT(P111),BA111,JoursFeries)+MOD(P111,1))</f>
        <v/>
      </c>
      <c r="BD111" s="39" t="str">
        <f aca="false">IF(AO111&lt;&gt;1,"",IF(OR(AB111&lt;&gt;"",AD111&lt;&gt;""),4,IF(U111&lt;&gt;"",3,IF(T111&lt;&gt;"",2,1))))</f>
        <v/>
      </c>
      <c r="BE111" s="39" t="str">
        <f aca="false">IF(OR(AO111&lt;&gt;1,AR111=""),"",INDEX(NIV_REQ,AR111))</f>
        <v/>
      </c>
      <c r="BF111" s="39" t="str">
        <f aca="false">IF(BE111="","",MAX(BE111,IF(OR(K111="Oui",Z111="Oui"),4,1)))</f>
        <v/>
      </c>
      <c r="BG111" s="35" t="str">
        <f aca="false">IF(OR(BF111="",BD111=""),"",IF(BD111&gt;=BF111,1,0))</f>
        <v/>
      </c>
      <c r="BH111" s="38" t="str">
        <f aca="false">IF(BE111="","",IF(BE111&lt;2,"",IF(BE111=2,IF(AND(T111="",U111=""),"",MIN(T111,U111)),IF(U111="","",U111))))</f>
        <v/>
      </c>
      <c r="BI111" s="37" t="str">
        <f aca="false">IF(BH111="","",IF(OR(O111="",BH111=""),"",IF(BH111&lt;O111,"",ROUND(((NETWORKDAYS(O111,BH111,JoursFeries)-1)*(HFer-HOuv)+IF(NETWORKDAYS(BH111,BH111,JoursFeries),MEDIAN(MOD(BH111,1),HFer,HOuv),HFer)-IF(NETWORKDAYS(O111,O111,JoursFeries),MEDIAN(MOD(O111,1),HFer,HOuv),HOuv))*24,4))))</f>
        <v/>
      </c>
      <c r="BJ111" s="35" t="str">
        <f aca="false">IF(OR(BI111="",AR111=""),"",IF(BI111&lt;=INDEX(DELAI_ESC,AR111),1,0))</f>
        <v/>
      </c>
      <c r="BK111" s="38" t="str">
        <f aca="false">IF(AO111&lt;&gt;1,"",IF(AND(T111="",U111=""),"",MIN(T111,U111)))</f>
        <v/>
      </c>
      <c r="BL111" s="37" t="str">
        <f aca="false">IF(OR(BK111="",R111=""),"",IFERROR(ROUND(IF(OR(BK111="",R111=""),"",IF(R111&lt;BK111,"",ROUND(((NETWORKDAYS(BK111,R111,JoursFeries)-1)*(HFer-HOuv)+IF(NETWORKDAYS(R111,R111,JoursFeries),MEDIAN(MOD(R111,1),HFer,HOuv),HFer)-IF(NETWORKDAYS(BK111,BK111,JoursFeries),MEDIAN(MOD(BK111,1),HFer,HOuv),HOuv))*24,4)))/HJour,4),""))</f>
        <v/>
      </c>
      <c r="BM111" s="35" t="str">
        <f aca="false">IF(OR(AO111&lt;&gt;1,R111=""),"",IF(BD111=1,1,0))</f>
        <v/>
      </c>
      <c r="BN111" s="35" t="str">
        <f aca="false">IF(AO111&lt;&gt;1,"",IF(W111="Oui",1,0))</f>
        <v/>
      </c>
      <c r="BO111" s="35" t="str">
        <f aca="false">IF(AO111&lt;&gt;1,"",IF(X111&lt;&gt;"",1,0))</f>
        <v/>
      </c>
      <c r="BP111" s="35" t="str">
        <f aca="false">IF(AO111&lt;&gt;1,"",IF(Y111="Oui",1,0))</f>
        <v/>
      </c>
      <c r="BQ111" s="35" t="str">
        <f aca="true">IF(OR(AO111&lt;&gt;1,Z111&lt;&gt;"Oui"),"",IF(AB111="",IF(AND(AA111&lt;&gt;"",NOW()&gt;AA111),0,""),IF(AA111="","",IF(AB111&lt;=AA111,1,0))))</f>
        <v/>
      </c>
      <c r="BR111" s="38" t="str">
        <f aca="false">IF(OR(AO111&lt;&gt;1,K111&lt;&gt;"Oui",O111=""),"",IF(AC111="",O111+DORA_H_DET/24,IF(AC111-O111&lt;=DORA_H_DET/24,MIN(AC111+DORA_H_CLA/24,O111+DORA_H_DET/24),AC111+DORA_H_CLA/24)))</f>
        <v/>
      </c>
      <c r="BS111" s="35" t="str">
        <f aca="true">IF(BR111="","",IF(AD111="",IF(NOW()&gt;BR111,0,""),IF(AD111&lt;=BR111,1,0)))</f>
        <v/>
      </c>
      <c r="BT111" s="35" t="str">
        <f aca="true">IF(OR(BR111="",AD111=""),"",IF(AE111="",IF(NOW()&gt;AD111+DORA_H_INT/24,0,""),IF(AE111&lt;=AD111+DORA_H_INT/24,1,0)))</f>
        <v/>
      </c>
      <c r="BU111" s="35" t="str">
        <f aca="true">IF(OR(BR111="",AE111=""),"",IF(AF111="",IF(NOW()&gt;EDATE(AE111,DORA_M_FIN)+1,0,""),IF(AF111&lt;=EDATE(AE111,DORA_M_FIN),1,0)))</f>
        <v/>
      </c>
      <c r="BV111" s="35" t="str">
        <f aca="false">IF(BR111="","",IF(COUNT(BS111:BU111)=0,"",MIN(BS111:BU111)))</f>
        <v/>
      </c>
      <c r="BW111" s="40" t="str">
        <f aca="false">IF(AQ111&lt;&gt;1,"",IF(AND(AG111="",AH111=""),"",N(AG111)-N(AH111)))</f>
        <v/>
      </c>
      <c r="BX111" s="35" t="str">
        <f aca="true">IF(OR(AQ111&lt;&gt;1,AI111&lt;&gt;"Oui",AJ111=""),"",IF(AK111="",IF(NOW()&gt;AJ111+1,0,""),IF(AK111&lt;=AJ111,1,0)))</f>
        <v/>
      </c>
    </row>
    <row r="112" customFormat="false" ht="15" hidden="false" customHeight="false" outlineLevel="0" collapsed="false">
      <c r="B112" s="29"/>
      <c r="C112" s="29"/>
      <c r="D112" s="29"/>
      <c r="E112" s="29"/>
      <c r="F112" s="29"/>
      <c r="G112" s="29"/>
      <c r="H112" s="29"/>
      <c r="I112" s="29"/>
      <c r="J112" s="29"/>
      <c r="K112" s="29"/>
      <c r="L112" s="29"/>
      <c r="M112" s="29"/>
      <c r="N112" s="30"/>
      <c r="O112" s="30"/>
      <c r="P112" s="30"/>
      <c r="Q112" s="30"/>
      <c r="R112" s="30"/>
      <c r="S112" s="30"/>
      <c r="T112" s="30"/>
      <c r="U112" s="30"/>
      <c r="V112" s="31"/>
      <c r="W112" s="29"/>
      <c r="X112" s="29"/>
      <c r="Y112" s="29"/>
      <c r="Z112" s="29"/>
      <c r="AA112" s="30"/>
      <c r="AB112" s="30"/>
      <c r="AC112" s="30"/>
      <c r="AD112" s="30"/>
      <c r="AE112" s="30"/>
      <c r="AF112" s="32"/>
      <c r="AG112" s="33"/>
      <c r="AH112" s="33"/>
      <c r="AI112" s="29"/>
      <c r="AJ112" s="32"/>
      <c r="AK112" s="32"/>
      <c r="AL112" s="29"/>
      <c r="AN112" s="34" t="str">
        <f aca="false">IF($B112="","",IF(OR(C112="",D112="",E112="",G112="",I112="",J112="",L112="",O112="",P112=""),"Champ obligatoire manquant",IF(OR(AND(N112&lt;&gt;"",N112&gt;O112),O112&gt;P112,AND(Q112&lt;&gt;"",Q112&lt;P112),AND(R112&lt;&gt;"",R112&lt;P112),AND(S112&lt;&gt;"",S112&lt;R112),AND(S112&lt;&gt;"",R112=""),AND(T112&lt;&gt;"",T112&lt;O112),AND(U112&lt;&gt;"",U112&lt;O112)),"Chronologie incohérente",IF(AND(OR(L112="Résolu",L112="Clos"),R112=""),"Date de résolution manquante",IF(AND(L112="Clos",S112=""),"Date de clôture manquante",IF(AND(K112="Oui",AC112=""),"Classification DORA manquante","OK"))))))</f>
        <v/>
      </c>
      <c r="AO112" s="35" t="str">
        <f aca="false">IF($B112="","",IF(AND(C112="Incident",L112&lt;&gt;"Annulé"),1,0))</f>
        <v/>
      </c>
      <c r="AP112" s="35" t="str">
        <f aca="false">IF($B112="","",IF(AND(C112="Quasi-incident",L112&lt;&gt;"Annulé"),1,0))</f>
        <v/>
      </c>
      <c r="AQ112" s="35" t="str">
        <f aca="false">IF($B112="","",AO112+AP112)</f>
        <v/>
      </c>
      <c r="AR112" s="36" t="str">
        <f aca="false">IF(OR($B112="",J112=""),"",IFERROR(VALUE(LEFT(J112,1)),""))</f>
        <v/>
      </c>
      <c r="AS112" s="35" t="str">
        <f aca="false">IF(OR(AO112&lt;&gt;1,G112=""),"",IFERROR(IF(INDEX(L_SrcInterne,MATCH(G112,L_Sources,0))="Oui",1,0),""))</f>
        <v/>
      </c>
      <c r="AT112" s="37" t="str">
        <f aca="false">IF(AO112&lt;&gt;1,"",IFERROR(ROUND(IF(OR(N112="",O112=""),"",IF(O112&lt;N112,"",ROUND(((NETWORKDAYS(N112,O112,JoursFeries)-1)*(HFer-HOuv)+IF(NETWORKDAYS(O112,O112,JoursFeries),MEDIAN(MOD(O112,1),HFer,HOuv),HFer)-IF(NETWORKDAYS(N112,N112,JoursFeries),MEDIAN(MOD(N112,1),HFer,HOuv),HOuv))*24,4)))/HJour,4),""))</f>
        <v/>
      </c>
      <c r="AU112" s="37" t="str">
        <f aca="false">IF(AO112&lt;&gt;1,"",IF(OR(O112="",P112=""),"",IF(P112&lt;O112,"",ROUND(((NETWORKDAYS(O112,P112,JoursFeries)-1)*(HFer-HOuv)+IF(NETWORKDAYS(P112,P112,JoursFeries),MEDIAN(MOD(P112,1),HFer,HOuv),HFer)-IF(NETWORKDAYS(O112,O112,JoursFeries),MEDIAN(MOD(O112,1),HFer,HOuv),HOuv))*24,4))))</f>
        <v/>
      </c>
      <c r="AV112" s="37" t="str">
        <f aca="false">IF(AO112&lt;&gt;1,"",IF(OR(P112="",Q112=""),"",IF(Q112&lt;P112,"",ROUND(((NETWORKDAYS(P112,Q112,JoursFeries)-1)*(HFer-HOuv)+IF(NETWORKDAYS(Q112,Q112,JoursFeries),MEDIAN(MOD(Q112,1),HFer,HOuv),HFer)-IF(NETWORKDAYS(P112,P112,JoursFeries),MEDIAN(MOD(P112,1),HFer,HOuv),HOuv))*24,4))))</f>
        <v/>
      </c>
      <c r="AW112" s="37" t="str">
        <f aca="false">IF(AO112&lt;&gt;1,"",IFERROR(ROUND(IF(OR(P112="",R112=""),"",IF(R112&lt;P112,"",ROUND(((NETWORKDAYS(P112,R112,JoursFeries)-1)*(HFer-HOuv)+IF(NETWORKDAYS(R112,R112,JoursFeries),MEDIAN(MOD(R112,1),HFer,HOuv),HFer)-IF(NETWORKDAYS(P112,P112,JoursFeries),MEDIAN(MOD(P112,1),HFer,HOuv),HOuv))*24,4)))/HJour,4),""))</f>
        <v/>
      </c>
      <c r="AX112" s="37" t="str">
        <f aca="false">IF(AO112&lt;&gt;1,"",IFERROR(ROUND(IF(OR(P112="",S112=""),"",IF(S112&lt;P112,"",ROUND(((NETWORKDAYS(P112,S112,JoursFeries)-1)*(HFer-HOuv)+IF(NETWORKDAYS(S112,S112,JoursFeries),MEDIAN(MOD(S112,1),HFer,HOuv),HFer)-IF(NETWORKDAYS(P112,P112,JoursFeries),MEDIAN(MOD(P112,1),HFer,HOuv),HOuv))*24,4)))/HJour,4),""))</f>
        <v/>
      </c>
      <c r="AY112" s="36" t="str">
        <f aca="false">IF(OR(AO112&lt;&gt;1,AR112=""),"",INDEX(SLA_PEC,AR112))</f>
        <v/>
      </c>
      <c r="AZ112" s="35" t="str">
        <f aca="false">IF(OR(AV112="",AY112=""),"",IF(AV112&lt;=AY112,1,0))</f>
        <v/>
      </c>
      <c r="BA112" s="36" t="str">
        <f aca="false">IF(OR(AO112&lt;&gt;1,AR112=""),"",INDEX(SLA_RES,AR112))</f>
        <v/>
      </c>
      <c r="BB112" s="35" t="str">
        <f aca="false">IF(OR(AW112="",BA112=""),"",IF(AW112&lt;=BA112,1,0))</f>
        <v/>
      </c>
      <c r="BC112" s="38" t="str">
        <f aca="false">IF(OR(BA112="",P112=""),"",WORKDAY(INT(P112),BA112,JoursFeries)+MOD(P112,1))</f>
        <v/>
      </c>
      <c r="BD112" s="39" t="str">
        <f aca="false">IF(AO112&lt;&gt;1,"",IF(OR(AB112&lt;&gt;"",AD112&lt;&gt;""),4,IF(U112&lt;&gt;"",3,IF(T112&lt;&gt;"",2,1))))</f>
        <v/>
      </c>
      <c r="BE112" s="39" t="str">
        <f aca="false">IF(OR(AO112&lt;&gt;1,AR112=""),"",INDEX(NIV_REQ,AR112))</f>
        <v/>
      </c>
      <c r="BF112" s="39" t="str">
        <f aca="false">IF(BE112="","",MAX(BE112,IF(OR(K112="Oui",Z112="Oui"),4,1)))</f>
        <v/>
      </c>
      <c r="BG112" s="35" t="str">
        <f aca="false">IF(OR(BF112="",BD112=""),"",IF(BD112&gt;=BF112,1,0))</f>
        <v/>
      </c>
      <c r="BH112" s="38" t="str">
        <f aca="false">IF(BE112="","",IF(BE112&lt;2,"",IF(BE112=2,IF(AND(T112="",U112=""),"",MIN(T112,U112)),IF(U112="","",U112))))</f>
        <v/>
      </c>
      <c r="BI112" s="37" t="str">
        <f aca="false">IF(BH112="","",IF(OR(O112="",BH112=""),"",IF(BH112&lt;O112,"",ROUND(((NETWORKDAYS(O112,BH112,JoursFeries)-1)*(HFer-HOuv)+IF(NETWORKDAYS(BH112,BH112,JoursFeries),MEDIAN(MOD(BH112,1),HFer,HOuv),HFer)-IF(NETWORKDAYS(O112,O112,JoursFeries),MEDIAN(MOD(O112,1),HFer,HOuv),HOuv))*24,4))))</f>
        <v/>
      </c>
      <c r="BJ112" s="35" t="str">
        <f aca="false">IF(OR(BI112="",AR112=""),"",IF(BI112&lt;=INDEX(DELAI_ESC,AR112),1,0))</f>
        <v/>
      </c>
      <c r="BK112" s="38" t="str">
        <f aca="false">IF(AO112&lt;&gt;1,"",IF(AND(T112="",U112=""),"",MIN(T112,U112)))</f>
        <v/>
      </c>
      <c r="BL112" s="37" t="str">
        <f aca="false">IF(OR(BK112="",R112=""),"",IFERROR(ROUND(IF(OR(BK112="",R112=""),"",IF(R112&lt;BK112,"",ROUND(((NETWORKDAYS(BK112,R112,JoursFeries)-1)*(HFer-HOuv)+IF(NETWORKDAYS(R112,R112,JoursFeries),MEDIAN(MOD(R112,1),HFer,HOuv),HFer)-IF(NETWORKDAYS(BK112,BK112,JoursFeries),MEDIAN(MOD(BK112,1),HFer,HOuv),HOuv))*24,4)))/HJour,4),""))</f>
        <v/>
      </c>
      <c r="BM112" s="35" t="str">
        <f aca="false">IF(OR(AO112&lt;&gt;1,R112=""),"",IF(BD112=1,1,0))</f>
        <v/>
      </c>
      <c r="BN112" s="35" t="str">
        <f aca="false">IF(AO112&lt;&gt;1,"",IF(W112="Oui",1,0))</f>
        <v/>
      </c>
      <c r="BO112" s="35" t="str">
        <f aca="false">IF(AO112&lt;&gt;1,"",IF(X112&lt;&gt;"",1,0))</f>
        <v/>
      </c>
      <c r="BP112" s="35" t="str">
        <f aca="false">IF(AO112&lt;&gt;1,"",IF(Y112="Oui",1,0))</f>
        <v/>
      </c>
      <c r="BQ112" s="35" t="str">
        <f aca="true">IF(OR(AO112&lt;&gt;1,Z112&lt;&gt;"Oui"),"",IF(AB112="",IF(AND(AA112&lt;&gt;"",NOW()&gt;AA112),0,""),IF(AA112="","",IF(AB112&lt;=AA112,1,0))))</f>
        <v/>
      </c>
      <c r="BR112" s="38" t="str">
        <f aca="false">IF(OR(AO112&lt;&gt;1,K112&lt;&gt;"Oui",O112=""),"",IF(AC112="",O112+DORA_H_DET/24,IF(AC112-O112&lt;=DORA_H_DET/24,MIN(AC112+DORA_H_CLA/24,O112+DORA_H_DET/24),AC112+DORA_H_CLA/24)))</f>
        <v/>
      </c>
      <c r="BS112" s="35" t="str">
        <f aca="true">IF(BR112="","",IF(AD112="",IF(NOW()&gt;BR112,0,""),IF(AD112&lt;=BR112,1,0)))</f>
        <v/>
      </c>
      <c r="BT112" s="35" t="str">
        <f aca="true">IF(OR(BR112="",AD112=""),"",IF(AE112="",IF(NOW()&gt;AD112+DORA_H_INT/24,0,""),IF(AE112&lt;=AD112+DORA_H_INT/24,1,0)))</f>
        <v/>
      </c>
      <c r="BU112" s="35" t="str">
        <f aca="true">IF(OR(BR112="",AE112=""),"",IF(AF112="",IF(NOW()&gt;EDATE(AE112,DORA_M_FIN)+1,0,""),IF(AF112&lt;=EDATE(AE112,DORA_M_FIN),1,0)))</f>
        <v/>
      </c>
      <c r="BV112" s="35" t="str">
        <f aca="false">IF(BR112="","",IF(COUNT(BS112:BU112)=0,"",MIN(BS112:BU112)))</f>
        <v/>
      </c>
      <c r="BW112" s="40" t="str">
        <f aca="false">IF(AQ112&lt;&gt;1,"",IF(AND(AG112="",AH112=""),"",N(AG112)-N(AH112)))</f>
        <v/>
      </c>
      <c r="BX112" s="35" t="str">
        <f aca="true">IF(OR(AQ112&lt;&gt;1,AI112&lt;&gt;"Oui",AJ112=""),"",IF(AK112="",IF(NOW()&gt;AJ112+1,0,""),IF(AK112&lt;=AJ112,1,0)))</f>
        <v/>
      </c>
    </row>
    <row r="113" customFormat="false" ht="15" hidden="false" customHeight="false" outlineLevel="0" collapsed="false">
      <c r="B113" s="29"/>
      <c r="C113" s="29"/>
      <c r="D113" s="29"/>
      <c r="E113" s="29"/>
      <c r="F113" s="29"/>
      <c r="G113" s="29"/>
      <c r="H113" s="29"/>
      <c r="I113" s="29"/>
      <c r="J113" s="29"/>
      <c r="K113" s="29"/>
      <c r="L113" s="29"/>
      <c r="M113" s="29"/>
      <c r="N113" s="30"/>
      <c r="O113" s="30"/>
      <c r="P113" s="30"/>
      <c r="Q113" s="30"/>
      <c r="R113" s="30"/>
      <c r="S113" s="30"/>
      <c r="T113" s="30"/>
      <c r="U113" s="30"/>
      <c r="V113" s="31"/>
      <c r="W113" s="29"/>
      <c r="X113" s="29"/>
      <c r="Y113" s="29"/>
      <c r="Z113" s="29"/>
      <c r="AA113" s="30"/>
      <c r="AB113" s="30"/>
      <c r="AC113" s="30"/>
      <c r="AD113" s="30"/>
      <c r="AE113" s="30"/>
      <c r="AF113" s="32"/>
      <c r="AG113" s="33"/>
      <c r="AH113" s="33"/>
      <c r="AI113" s="29"/>
      <c r="AJ113" s="32"/>
      <c r="AK113" s="32"/>
      <c r="AL113" s="29"/>
      <c r="AN113" s="34" t="str">
        <f aca="false">IF($B113="","",IF(OR(C113="",D113="",E113="",G113="",I113="",J113="",L113="",O113="",P113=""),"Champ obligatoire manquant",IF(OR(AND(N113&lt;&gt;"",N113&gt;O113),O113&gt;P113,AND(Q113&lt;&gt;"",Q113&lt;P113),AND(R113&lt;&gt;"",R113&lt;P113),AND(S113&lt;&gt;"",S113&lt;R113),AND(S113&lt;&gt;"",R113=""),AND(T113&lt;&gt;"",T113&lt;O113),AND(U113&lt;&gt;"",U113&lt;O113)),"Chronologie incohérente",IF(AND(OR(L113="Résolu",L113="Clos"),R113=""),"Date de résolution manquante",IF(AND(L113="Clos",S113=""),"Date de clôture manquante",IF(AND(K113="Oui",AC113=""),"Classification DORA manquante","OK"))))))</f>
        <v/>
      </c>
      <c r="AO113" s="35" t="str">
        <f aca="false">IF($B113="","",IF(AND(C113="Incident",L113&lt;&gt;"Annulé"),1,0))</f>
        <v/>
      </c>
      <c r="AP113" s="35" t="str">
        <f aca="false">IF($B113="","",IF(AND(C113="Quasi-incident",L113&lt;&gt;"Annulé"),1,0))</f>
        <v/>
      </c>
      <c r="AQ113" s="35" t="str">
        <f aca="false">IF($B113="","",AO113+AP113)</f>
        <v/>
      </c>
      <c r="AR113" s="36" t="str">
        <f aca="false">IF(OR($B113="",J113=""),"",IFERROR(VALUE(LEFT(J113,1)),""))</f>
        <v/>
      </c>
      <c r="AS113" s="35" t="str">
        <f aca="false">IF(OR(AO113&lt;&gt;1,G113=""),"",IFERROR(IF(INDEX(L_SrcInterne,MATCH(G113,L_Sources,0))="Oui",1,0),""))</f>
        <v/>
      </c>
      <c r="AT113" s="37" t="str">
        <f aca="false">IF(AO113&lt;&gt;1,"",IFERROR(ROUND(IF(OR(N113="",O113=""),"",IF(O113&lt;N113,"",ROUND(((NETWORKDAYS(N113,O113,JoursFeries)-1)*(HFer-HOuv)+IF(NETWORKDAYS(O113,O113,JoursFeries),MEDIAN(MOD(O113,1),HFer,HOuv),HFer)-IF(NETWORKDAYS(N113,N113,JoursFeries),MEDIAN(MOD(N113,1),HFer,HOuv),HOuv))*24,4)))/HJour,4),""))</f>
        <v/>
      </c>
      <c r="AU113" s="37" t="str">
        <f aca="false">IF(AO113&lt;&gt;1,"",IF(OR(O113="",P113=""),"",IF(P113&lt;O113,"",ROUND(((NETWORKDAYS(O113,P113,JoursFeries)-1)*(HFer-HOuv)+IF(NETWORKDAYS(P113,P113,JoursFeries),MEDIAN(MOD(P113,1),HFer,HOuv),HFer)-IF(NETWORKDAYS(O113,O113,JoursFeries),MEDIAN(MOD(O113,1),HFer,HOuv),HOuv))*24,4))))</f>
        <v/>
      </c>
      <c r="AV113" s="37" t="str">
        <f aca="false">IF(AO113&lt;&gt;1,"",IF(OR(P113="",Q113=""),"",IF(Q113&lt;P113,"",ROUND(((NETWORKDAYS(P113,Q113,JoursFeries)-1)*(HFer-HOuv)+IF(NETWORKDAYS(Q113,Q113,JoursFeries),MEDIAN(MOD(Q113,1),HFer,HOuv),HFer)-IF(NETWORKDAYS(P113,P113,JoursFeries),MEDIAN(MOD(P113,1),HFer,HOuv),HOuv))*24,4))))</f>
        <v/>
      </c>
      <c r="AW113" s="37" t="str">
        <f aca="false">IF(AO113&lt;&gt;1,"",IFERROR(ROUND(IF(OR(P113="",R113=""),"",IF(R113&lt;P113,"",ROUND(((NETWORKDAYS(P113,R113,JoursFeries)-1)*(HFer-HOuv)+IF(NETWORKDAYS(R113,R113,JoursFeries),MEDIAN(MOD(R113,1),HFer,HOuv),HFer)-IF(NETWORKDAYS(P113,P113,JoursFeries),MEDIAN(MOD(P113,1),HFer,HOuv),HOuv))*24,4)))/HJour,4),""))</f>
        <v/>
      </c>
      <c r="AX113" s="37" t="str">
        <f aca="false">IF(AO113&lt;&gt;1,"",IFERROR(ROUND(IF(OR(P113="",S113=""),"",IF(S113&lt;P113,"",ROUND(((NETWORKDAYS(P113,S113,JoursFeries)-1)*(HFer-HOuv)+IF(NETWORKDAYS(S113,S113,JoursFeries),MEDIAN(MOD(S113,1),HFer,HOuv),HFer)-IF(NETWORKDAYS(P113,P113,JoursFeries),MEDIAN(MOD(P113,1),HFer,HOuv),HOuv))*24,4)))/HJour,4),""))</f>
        <v/>
      </c>
      <c r="AY113" s="36" t="str">
        <f aca="false">IF(OR(AO113&lt;&gt;1,AR113=""),"",INDEX(SLA_PEC,AR113))</f>
        <v/>
      </c>
      <c r="AZ113" s="35" t="str">
        <f aca="false">IF(OR(AV113="",AY113=""),"",IF(AV113&lt;=AY113,1,0))</f>
        <v/>
      </c>
      <c r="BA113" s="36" t="str">
        <f aca="false">IF(OR(AO113&lt;&gt;1,AR113=""),"",INDEX(SLA_RES,AR113))</f>
        <v/>
      </c>
      <c r="BB113" s="35" t="str">
        <f aca="false">IF(OR(AW113="",BA113=""),"",IF(AW113&lt;=BA113,1,0))</f>
        <v/>
      </c>
      <c r="BC113" s="38" t="str">
        <f aca="false">IF(OR(BA113="",P113=""),"",WORKDAY(INT(P113),BA113,JoursFeries)+MOD(P113,1))</f>
        <v/>
      </c>
      <c r="BD113" s="39" t="str">
        <f aca="false">IF(AO113&lt;&gt;1,"",IF(OR(AB113&lt;&gt;"",AD113&lt;&gt;""),4,IF(U113&lt;&gt;"",3,IF(T113&lt;&gt;"",2,1))))</f>
        <v/>
      </c>
      <c r="BE113" s="39" t="str">
        <f aca="false">IF(OR(AO113&lt;&gt;1,AR113=""),"",INDEX(NIV_REQ,AR113))</f>
        <v/>
      </c>
      <c r="BF113" s="39" t="str">
        <f aca="false">IF(BE113="","",MAX(BE113,IF(OR(K113="Oui",Z113="Oui"),4,1)))</f>
        <v/>
      </c>
      <c r="BG113" s="35" t="str">
        <f aca="false">IF(OR(BF113="",BD113=""),"",IF(BD113&gt;=BF113,1,0))</f>
        <v/>
      </c>
      <c r="BH113" s="38" t="str">
        <f aca="false">IF(BE113="","",IF(BE113&lt;2,"",IF(BE113=2,IF(AND(T113="",U113=""),"",MIN(T113,U113)),IF(U113="","",U113))))</f>
        <v/>
      </c>
      <c r="BI113" s="37" t="str">
        <f aca="false">IF(BH113="","",IF(OR(O113="",BH113=""),"",IF(BH113&lt;O113,"",ROUND(((NETWORKDAYS(O113,BH113,JoursFeries)-1)*(HFer-HOuv)+IF(NETWORKDAYS(BH113,BH113,JoursFeries),MEDIAN(MOD(BH113,1),HFer,HOuv),HFer)-IF(NETWORKDAYS(O113,O113,JoursFeries),MEDIAN(MOD(O113,1),HFer,HOuv),HOuv))*24,4))))</f>
        <v/>
      </c>
      <c r="BJ113" s="35" t="str">
        <f aca="false">IF(OR(BI113="",AR113=""),"",IF(BI113&lt;=INDEX(DELAI_ESC,AR113),1,0))</f>
        <v/>
      </c>
      <c r="BK113" s="38" t="str">
        <f aca="false">IF(AO113&lt;&gt;1,"",IF(AND(T113="",U113=""),"",MIN(T113,U113)))</f>
        <v/>
      </c>
      <c r="BL113" s="37" t="str">
        <f aca="false">IF(OR(BK113="",R113=""),"",IFERROR(ROUND(IF(OR(BK113="",R113=""),"",IF(R113&lt;BK113,"",ROUND(((NETWORKDAYS(BK113,R113,JoursFeries)-1)*(HFer-HOuv)+IF(NETWORKDAYS(R113,R113,JoursFeries),MEDIAN(MOD(R113,1),HFer,HOuv),HFer)-IF(NETWORKDAYS(BK113,BK113,JoursFeries),MEDIAN(MOD(BK113,1),HFer,HOuv),HOuv))*24,4)))/HJour,4),""))</f>
        <v/>
      </c>
      <c r="BM113" s="35" t="str">
        <f aca="false">IF(OR(AO113&lt;&gt;1,R113=""),"",IF(BD113=1,1,0))</f>
        <v/>
      </c>
      <c r="BN113" s="35" t="str">
        <f aca="false">IF(AO113&lt;&gt;1,"",IF(W113="Oui",1,0))</f>
        <v/>
      </c>
      <c r="BO113" s="35" t="str">
        <f aca="false">IF(AO113&lt;&gt;1,"",IF(X113&lt;&gt;"",1,0))</f>
        <v/>
      </c>
      <c r="BP113" s="35" t="str">
        <f aca="false">IF(AO113&lt;&gt;1,"",IF(Y113="Oui",1,0))</f>
        <v/>
      </c>
      <c r="BQ113" s="35" t="str">
        <f aca="true">IF(OR(AO113&lt;&gt;1,Z113&lt;&gt;"Oui"),"",IF(AB113="",IF(AND(AA113&lt;&gt;"",NOW()&gt;AA113),0,""),IF(AA113="","",IF(AB113&lt;=AA113,1,0))))</f>
        <v/>
      </c>
      <c r="BR113" s="38" t="str">
        <f aca="false">IF(OR(AO113&lt;&gt;1,K113&lt;&gt;"Oui",O113=""),"",IF(AC113="",O113+DORA_H_DET/24,IF(AC113-O113&lt;=DORA_H_DET/24,MIN(AC113+DORA_H_CLA/24,O113+DORA_H_DET/24),AC113+DORA_H_CLA/24)))</f>
        <v/>
      </c>
      <c r="BS113" s="35" t="str">
        <f aca="true">IF(BR113="","",IF(AD113="",IF(NOW()&gt;BR113,0,""),IF(AD113&lt;=BR113,1,0)))</f>
        <v/>
      </c>
      <c r="BT113" s="35" t="str">
        <f aca="true">IF(OR(BR113="",AD113=""),"",IF(AE113="",IF(NOW()&gt;AD113+DORA_H_INT/24,0,""),IF(AE113&lt;=AD113+DORA_H_INT/24,1,0)))</f>
        <v/>
      </c>
      <c r="BU113" s="35" t="str">
        <f aca="true">IF(OR(BR113="",AE113=""),"",IF(AF113="",IF(NOW()&gt;EDATE(AE113,DORA_M_FIN)+1,0,""),IF(AF113&lt;=EDATE(AE113,DORA_M_FIN),1,0)))</f>
        <v/>
      </c>
      <c r="BV113" s="35" t="str">
        <f aca="false">IF(BR113="","",IF(COUNT(BS113:BU113)=0,"",MIN(BS113:BU113)))</f>
        <v/>
      </c>
      <c r="BW113" s="40" t="str">
        <f aca="false">IF(AQ113&lt;&gt;1,"",IF(AND(AG113="",AH113=""),"",N(AG113)-N(AH113)))</f>
        <v/>
      </c>
      <c r="BX113" s="35" t="str">
        <f aca="true">IF(OR(AQ113&lt;&gt;1,AI113&lt;&gt;"Oui",AJ113=""),"",IF(AK113="",IF(NOW()&gt;AJ113+1,0,""),IF(AK113&lt;=AJ113,1,0)))</f>
        <v/>
      </c>
    </row>
    <row r="114" customFormat="false" ht="15" hidden="false" customHeight="false" outlineLevel="0" collapsed="false">
      <c r="B114" s="29"/>
      <c r="C114" s="29"/>
      <c r="D114" s="29"/>
      <c r="E114" s="29"/>
      <c r="F114" s="29"/>
      <c r="G114" s="29"/>
      <c r="H114" s="29"/>
      <c r="I114" s="29"/>
      <c r="J114" s="29"/>
      <c r="K114" s="29"/>
      <c r="L114" s="29"/>
      <c r="M114" s="29"/>
      <c r="N114" s="30"/>
      <c r="O114" s="30"/>
      <c r="P114" s="30"/>
      <c r="Q114" s="30"/>
      <c r="R114" s="30"/>
      <c r="S114" s="30"/>
      <c r="T114" s="30"/>
      <c r="U114" s="30"/>
      <c r="V114" s="31"/>
      <c r="W114" s="29"/>
      <c r="X114" s="29"/>
      <c r="Y114" s="29"/>
      <c r="Z114" s="29"/>
      <c r="AA114" s="30"/>
      <c r="AB114" s="30"/>
      <c r="AC114" s="30"/>
      <c r="AD114" s="30"/>
      <c r="AE114" s="30"/>
      <c r="AF114" s="32"/>
      <c r="AG114" s="33"/>
      <c r="AH114" s="33"/>
      <c r="AI114" s="29"/>
      <c r="AJ114" s="32"/>
      <c r="AK114" s="32"/>
      <c r="AL114" s="29"/>
      <c r="AN114" s="34" t="str">
        <f aca="false">IF($B114="","",IF(OR(C114="",D114="",E114="",G114="",I114="",J114="",L114="",O114="",P114=""),"Champ obligatoire manquant",IF(OR(AND(N114&lt;&gt;"",N114&gt;O114),O114&gt;P114,AND(Q114&lt;&gt;"",Q114&lt;P114),AND(R114&lt;&gt;"",R114&lt;P114),AND(S114&lt;&gt;"",S114&lt;R114),AND(S114&lt;&gt;"",R114=""),AND(T114&lt;&gt;"",T114&lt;O114),AND(U114&lt;&gt;"",U114&lt;O114)),"Chronologie incohérente",IF(AND(OR(L114="Résolu",L114="Clos"),R114=""),"Date de résolution manquante",IF(AND(L114="Clos",S114=""),"Date de clôture manquante",IF(AND(K114="Oui",AC114=""),"Classification DORA manquante","OK"))))))</f>
        <v/>
      </c>
      <c r="AO114" s="35" t="str">
        <f aca="false">IF($B114="","",IF(AND(C114="Incident",L114&lt;&gt;"Annulé"),1,0))</f>
        <v/>
      </c>
      <c r="AP114" s="35" t="str">
        <f aca="false">IF($B114="","",IF(AND(C114="Quasi-incident",L114&lt;&gt;"Annulé"),1,0))</f>
        <v/>
      </c>
      <c r="AQ114" s="35" t="str">
        <f aca="false">IF($B114="","",AO114+AP114)</f>
        <v/>
      </c>
      <c r="AR114" s="36" t="str">
        <f aca="false">IF(OR($B114="",J114=""),"",IFERROR(VALUE(LEFT(J114,1)),""))</f>
        <v/>
      </c>
      <c r="AS114" s="35" t="str">
        <f aca="false">IF(OR(AO114&lt;&gt;1,G114=""),"",IFERROR(IF(INDEX(L_SrcInterne,MATCH(G114,L_Sources,0))="Oui",1,0),""))</f>
        <v/>
      </c>
      <c r="AT114" s="37" t="str">
        <f aca="false">IF(AO114&lt;&gt;1,"",IFERROR(ROUND(IF(OR(N114="",O114=""),"",IF(O114&lt;N114,"",ROUND(((NETWORKDAYS(N114,O114,JoursFeries)-1)*(HFer-HOuv)+IF(NETWORKDAYS(O114,O114,JoursFeries),MEDIAN(MOD(O114,1),HFer,HOuv),HFer)-IF(NETWORKDAYS(N114,N114,JoursFeries),MEDIAN(MOD(N114,1),HFer,HOuv),HOuv))*24,4)))/HJour,4),""))</f>
        <v/>
      </c>
      <c r="AU114" s="37" t="str">
        <f aca="false">IF(AO114&lt;&gt;1,"",IF(OR(O114="",P114=""),"",IF(P114&lt;O114,"",ROUND(((NETWORKDAYS(O114,P114,JoursFeries)-1)*(HFer-HOuv)+IF(NETWORKDAYS(P114,P114,JoursFeries),MEDIAN(MOD(P114,1),HFer,HOuv),HFer)-IF(NETWORKDAYS(O114,O114,JoursFeries),MEDIAN(MOD(O114,1),HFer,HOuv),HOuv))*24,4))))</f>
        <v/>
      </c>
      <c r="AV114" s="37" t="str">
        <f aca="false">IF(AO114&lt;&gt;1,"",IF(OR(P114="",Q114=""),"",IF(Q114&lt;P114,"",ROUND(((NETWORKDAYS(P114,Q114,JoursFeries)-1)*(HFer-HOuv)+IF(NETWORKDAYS(Q114,Q114,JoursFeries),MEDIAN(MOD(Q114,1),HFer,HOuv),HFer)-IF(NETWORKDAYS(P114,P114,JoursFeries),MEDIAN(MOD(P114,1),HFer,HOuv),HOuv))*24,4))))</f>
        <v/>
      </c>
      <c r="AW114" s="37" t="str">
        <f aca="false">IF(AO114&lt;&gt;1,"",IFERROR(ROUND(IF(OR(P114="",R114=""),"",IF(R114&lt;P114,"",ROUND(((NETWORKDAYS(P114,R114,JoursFeries)-1)*(HFer-HOuv)+IF(NETWORKDAYS(R114,R114,JoursFeries),MEDIAN(MOD(R114,1),HFer,HOuv),HFer)-IF(NETWORKDAYS(P114,P114,JoursFeries),MEDIAN(MOD(P114,1),HFer,HOuv),HOuv))*24,4)))/HJour,4),""))</f>
        <v/>
      </c>
      <c r="AX114" s="37" t="str">
        <f aca="false">IF(AO114&lt;&gt;1,"",IFERROR(ROUND(IF(OR(P114="",S114=""),"",IF(S114&lt;P114,"",ROUND(((NETWORKDAYS(P114,S114,JoursFeries)-1)*(HFer-HOuv)+IF(NETWORKDAYS(S114,S114,JoursFeries),MEDIAN(MOD(S114,1),HFer,HOuv),HFer)-IF(NETWORKDAYS(P114,P114,JoursFeries),MEDIAN(MOD(P114,1),HFer,HOuv),HOuv))*24,4)))/HJour,4),""))</f>
        <v/>
      </c>
      <c r="AY114" s="36" t="str">
        <f aca="false">IF(OR(AO114&lt;&gt;1,AR114=""),"",INDEX(SLA_PEC,AR114))</f>
        <v/>
      </c>
      <c r="AZ114" s="35" t="str">
        <f aca="false">IF(OR(AV114="",AY114=""),"",IF(AV114&lt;=AY114,1,0))</f>
        <v/>
      </c>
      <c r="BA114" s="36" t="str">
        <f aca="false">IF(OR(AO114&lt;&gt;1,AR114=""),"",INDEX(SLA_RES,AR114))</f>
        <v/>
      </c>
      <c r="BB114" s="35" t="str">
        <f aca="false">IF(OR(AW114="",BA114=""),"",IF(AW114&lt;=BA114,1,0))</f>
        <v/>
      </c>
      <c r="BC114" s="38" t="str">
        <f aca="false">IF(OR(BA114="",P114=""),"",WORKDAY(INT(P114),BA114,JoursFeries)+MOD(P114,1))</f>
        <v/>
      </c>
      <c r="BD114" s="39" t="str">
        <f aca="false">IF(AO114&lt;&gt;1,"",IF(OR(AB114&lt;&gt;"",AD114&lt;&gt;""),4,IF(U114&lt;&gt;"",3,IF(T114&lt;&gt;"",2,1))))</f>
        <v/>
      </c>
      <c r="BE114" s="39" t="str">
        <f aca="false">IF(OR(AO114&lt;&gt;1,AR114=""),"",INDEX(NIV_REQ,AR114))</f>
        <v/>
      </c>
      <c r="BF114" s="39" t="str">
        <f aca="false">IF(BE114="","",MAX(BE114,IF(OR(K114="Oui",Z114="Oui"),4,1)))</f>
        <v/>
      </c>
      <c r="BG114" s="35" t="str">
        <f aca="false">IF(OR(BF114="",BD114=""),"",IF(BD114&gt;=BF114,1,0))</f>
        <v/>
      </c>
      <c r="BH114" s="38" t="str">
        <f aca="false">IF(BE114="","",IF(BE114&lt;2,"",IF(BE114=2,IF(AND(T114="",U114=""),"",MIN(T114,U114)),IF(U114="","",U114))))</f>
        <v/>
      </c>
      <c r="BI114" s="37" t="str">
        <f aca="false">IF(BH114="","",IF(OR(O114="",BH114=""),"",IF(BH114&lt;O114,"",ROUND(((NETWORKDAYS(O114,BH114,JoursFeries)-1)*(HFer-HOuv)+IF(NETWORKDAYS(BH114,BH114,JoursFeries),MEDIAN(MOD(BH114,1),HFer,HOuv),HFer)-IF(NETWORKDAYS(O114,O114,JoursFeries),MEDIAN(MOD(O114,1),HFer,HOuv),HOuv))*24,4))))</f>
        <v/>
      </c>
      <c r="BJ114" s="35" t="str">
        <f aca="false">IF(OR(BI114="",AR114=""),"",IF(BI114&lt;=INDEX(DELAI_ESC,AR114),1,0))</f>
        <v/>
      </c>
      <c r="BK114" s="38" t="str">
        <f aca="false">IF(AO114&lt;&gt;1,"",IF(AND(T114="",U114=""),"",MIN(T114,U114)))</f>
        <v/>
      </c>
      <c r="BL114" s="37" t="str">
        <f aca="false">IF(OR(BK114="",R114=""),"",IFERROR(ROUND(IF(OR(BK114="",R114=""),"",IF(R114&lt;BK114,"",ROUND(((NETWORKDAYS(BK114,R114,JoursFeries)-1)*(HFer-HOuv)+IF(NETWORKDAYS(R114,R114,JoursFeries),MEDIAN(MOD(R114,1),HFer,HOuv),HFer)-IF(NETWORKDAYS(BK114,BK114,JoursFeries),MEDIAN(MOD(BK114,1),HFer,HOuv),HOuv))*24,4)))/HJour,4),""))</f>
        <v/>
      </c>
      <c r="BM114" s="35" t="str">
        <f aca="false">IF(OR(AO114&lt;&gt;1,R114=""),"",IF(BD114=1,1,0))</f>
        <v/>
      </c>
      <c r="BN114" s="35" t="str">
        <f aca="false">IF(AO114&lt;&gt;1,"",IF(W114="Oui",1,0))</f>
        <v/>
      </c>
      <c r="BO114" s="35" t="str">
        <f aca="false">IF(AO114&lt;&gt;1,"",IF(X114&lt;&gt;"",1,0))</f>
        <v/>
      </c>
      <c r="BP114" s="35" t="str">
        <f aca="false">IF(AO114&lt;&gt;1,"",IF(Y114="Oui",1,0))</f>
        <v/>
      </c>
      <c r="BQ114" s="35" t="str">
        <f aca="true">IF(OR(AO114&lt;&gt;1,Z114&lt;&gt;"Oui"),"",IF(AB114="",IF(AND(AA114&lt;&gt;"",NOW()&gt;AA114),0,""),IF(AA114="","",IF(AB114&lt;=AA114,1,0))))</f>
        <v/>
      </c>
      <c r="BR114" s="38" t="str">
        <f aca="false">IF(OR(AO114&lt;&gt;1,K114&lt;&gt;"Oui",O114=""),"",IF(AC114="",O114+DORA_H_DET/24,IF(AC114-O114&lt;=DORA_H_DET/24,MIN(AC114+DORA_H_CLA/24,O114+DORA_H_DET/24),AC114+DORA_H_CLA/24)))</f>
        <v/>
      </c>
      <c r="BS114" s="35" t="str">
        <f aca="true">IF(BR114="","",IF(AD114="",IF(NOW()&gt;BR114,0,""),IF(AD114&lt;=BR114,1,0)))</f>
        <v/>
      </c>
      <c r="BT114" s="35" t="str">
        <f aca="true">IF(OR(BR114="",AD114=""),"",IF(AE114="",IF(NOW()&gt;AD114+DORA_H_INT/24,0,""),IF(AE114&lt;=AD114+DORA_H_INT/24,1,0)))</f>
        <v/>
      </c>
      <c r="BU114" s="35" t="str">
        <f aca="true">IF(OR(BR114="",AE114=""),"",IF(AF114="",IF(NOW()&gt;EDATE(AE114,DORA_M_FIN)+1,0,""),IF(AF114&lt;=EDATE(AE114,DORA_M_FIN),1,0)))</f>
        <v/>
      </c>
      <c r="BV114" s="35" t="str">
        <f aca="false">IF(BR114="","",IF(COUNT(BS114:BU114)=0,"",MIN(BS114:BU114)))</f>
        <v/>
      </c>
      <c r="BW114" s="40" t="str">
        <f aca="false">IF(AQ114&lt;&gt;1,"",IF(AND(AG114="",AH114=""),"",N(AG114)-N(AH114)))</f>
        <v/>
      </c>
      <c r="BX114" s="35" t="str">
        <f aca="true">IF(OR(AQ114&lt;&gt;1,AI114&lt;&gt;"Oui",AJ114=""),"",IF(AK114="",IF(NOW()&gt;AJ114+1,0,""),IF(AK114&lt;=AJ114,1,0)))</f>
        <v/>
      </c>
    </row>
    <row r="115" customFormat="false" ht="15" hidden="false" customHeight="false" outlineLevel="0" collapsed="false">
      <c r="B115" s="29"/>
      <c r="C115" s="29"/>
      <c r="D115" s="29"/>
      <c r="E115" s="29"/>
      <c r="F115" s="29"/>
      <c r="G115" s="29"/>
      <c r="H115" s="29"/>
      <c r="I115" s="29"/>
      <c r="J115" s="29"/>
      <c r="K115" s="29"/>
      <c r="L115" s="29"/>
      <c r="M115" s="29"/>
      <c r="N115" s="30"/>
      <c r="O115" s="30"/>
      <c r="P115" s="30"/>
      <c r="Q115" s="30"/>
      <c r="R115" s="30"/>
      <c r="S115" s="30"/>
      <c r="T115" s="30"/>
      <c r="U115" s="30"/>
      <c r="V115" s="31"/>
      <c r="W115" s="29"/>
      <c r="X115" s="29"/>
      <c r="Y115" s="29"/>
      <c r="Z115" s="29"/>
      <c r="AA115" s="30"/>
      <c r="AB115" s="30"/>
      <c r="AC115" s="30"/>
      <c r="AD115" s="30"/>
      <c r="AE115" s="30"/>
      <c r="AF115" s="32"/>
      <c r="AG115" s="33"/>
      <c r="AH115" s="33"/>
      <c r="AI115" s="29"/>
      <c r="AJ115" s="32"/>
      <c r="AK115" s="32"/>
      <c r="AL115" s="29"/>
      <c r="AN115" s="34" t="str">
        <f aca="false">IF($B115="","",IF(OR(C115="",D115="",E115="",G115="",I115="",J115="",L115="",O115="",P115=""),"Champ obligatoire manquant",IF(OR(AND(N115&lt;&gt;"",N115&gt;O115),O115&gt;P115,AND(Q115&lt;&gt;"",Q115&lt;P115),AND(R115&lt;&gt;"",R115&lt;P115),AND(S115&lt;&gt;"",S115&lt;R115),AND(S115&lt;&gt;"",R115=""),AND(T115&lt;&gt;"",T115&lt;O115),AND(U115&lt;&gt;"",U115&lt;O115)),"Chronologie incohérente",IF(AND(OR(L115="Résolu",L115="Clos"),R115=""),"Date de résolution manquante",IF(AND(L115="Clos",S115=""),"Date de clôture manquante",IF(AND(K115="Oui",AC115=""),"Classification DORA manquante","OK"))))))</f>
        <v/>
      </c>
      <c r="AO115" s="35" t="str">
        <f aca="false">IF($B115="","",IF(AND(C115="Incident",L115&lt;&gt;"Annulé"),1,0))</f>
        <v/>
      </c>
      <c r="AP115" s="35" t="str">
        <f aca="false">IF($B115="","",IF(AND(C115="Quasi-incident",L115&lt;&gt;"Annulé"),1,0))</f>
        <v/>
      </c>
      <c r="AQ115" s="35" t="str">
        <f aca="false">IF($B115="","",AO115+AP115)</f>
        <v/>
      </c>
      <c r="AR115" s="36" t="str">
        <f aca="false">IF(OR($B115="",J115=""),"",IFERROR(VALUE(LEFT(J115,1)),""))</f>
        <v/>
      </c>
      <c r="AS115" s="35" t="str">
        <f aca="false">IF(OR(AO115&lt;&gt;1,G115=""),"",IFERROR(IF(INDEX(L_SrcInterne,MATCH(G115,L_Sources,0))="Oui",1,0),""))</f>
        <v/>
      </c>
      <c r="AT115" s="37" t="str">
        <f aca="false">IF(AO115&lt;&gt;1,"",IFERROR(ROUND(IF(OR(N115="",O115=""),"",IF(O115&lt;N115,"",ROUND(((NETWORKDAYS(N115,O115,JoursFeries)-1)*(HFer-HOuv)+IF(NETWORKDAYS(O115,O115,JoursFeries),MEDIAN(MOD(O115,1),HFer,HOuv),HFer)-IF(NETWORKDAYS(N115,N115,JoursFeries),MEDIAN(MOD(N115,1),HFer,HOuv),HOuv))*24,4)))/HJour,4),""))</f>
        <v/>
      </c>
      <c r="AU115" s="37" t="str">
        <f aca="false">IF(AO115&lt;&gt;1,"",IF(OR(O115="",P115=""),"",IF(P115&lt;O115,"",ROUND(((NETWORKDAYS(O115,P115,JoursFeries)-1)*(HFer-HOuv)+IF(NETWORKDAYS(P115,P115,JoursFeries),MEDIAN(MOD(P115,1),HFer,HOuv),HFer)-IF(NETWORKDAYS(O115,O115,JoursFeries),MEDIAN(MOD(O115,1),HFer,HOuv),HOuv))*24,4))))</f>
        <v/>
      </c>
      <c r="AV115" s="37" t="str">
        <f aca="false">IF(AO115&lt;&gt;1,"",IF(OR(P115="",Q115=""),"",IF(Q115&lt;P115,"",ROUND(((NETWORKDAYS(P115,Q115,JoursFeries)-1)*(HFer-HOuv)+IF(NETWORKDAYS(Q115,Q115,JoursFeries),MEDIAN(MOD(Q115,1),HFer,HOuv),HFer)-IF(NETWORKDAYS(P115,P115,JoursFeries),MEDIAN(MOD(P115,1),HFer,HOuv),HOuv))*24,4))))</f>
        <v/>
      </c>
      <c r="AW115" s="37" t="str">
        <f aca="false">IF(AO115&lt;&gt;1,"",IFERROR(ROUND(IF(OR(P115="",R115=""),"",IF(R115&lt;P115,"",ROUND(((NETWORKDAYS(P115,R115,JoursFeries)-1)*(HFer-HOuv)+IF(NETWORKDAYS(R115,R115,JoursFeries),MEDIAN(MOD(R115,1),HFer,HOuv),HFer)-IF(NETWORKDAYS(P115,P115,JoursFeries),MEDIAN(MOD(P115,1),HFer,HOuv),HOuv))*24,4)))/HJour,4),""))</f>
        <v/>
      </c>
      <c r="AX115" s="37" t="str">
        <f aca="false">IF(AO115&lt;&gt;1,"",IFERROR(ROUND(IF(OR(P115="",S115=""),"",IF(S115&lt;P115,"",ROUND(((NETWORKDAYS(P115,S115,JoursFeries)-1)*(HFer-HOuv)+IF(NETWORKDAYS(S115,S115,JoursFeries),MEDIAN(MOD(S115,1),HFer,HOuv),HFer)-IF(NETWORKDAYS(P115,P115,JoursFeries),MEDIAN(MOD(P115,1),HFer,HOuv),HOuv))*24,4)))/HJour,4),""))</f>
        <v/>
      </c>
      <c r="AY115" s="36" t="str">
        <f aca="false">IF(OR(AO115&lt;&gt;1,AR115=""),"",INDEX(SLA_PEC,AR115))</f>
        <v/>
      </c>
      <c r="AZ115" s="35" t="str">
        <f aca="false">IF(OR(AV115="",AY115=""),"",IF(AV115&lt;=AY115,1,0))</f>
        <v/>
      </c>
      <c r="BA115" s="36" t="str">
        <f aca="false">IF(OR(AO115&lt;&gt;1,AR115=""),"",INDEX(SLA_RES,AR115))</f>
        <v/>
      </c>
      <c r="BB115" s="35" t="str">
        <f aca="false">IF(OR(AW115="",BA115=""),"",IF(AW115&lt;=BA115,1,0))</f>
        <v/>
      </c>
      <c r="BC115" s="38" t="str">
        <f aca="false">IF(OR(BA115="",P115=""),"",WORKDAY(INT(P115),BA115,JoursFeries)+MOD(P115,1))</f>
        <v/>
      </c>
      <c r="BD115" s="39" t="str">
        <f aca="false">IF(AO115&lt;&gt;1,"",IF(OR(AB115&lt;&gt;"",AD115&lt;&gt;""),4,IF(U115&lt;&gt;"",3,IF(T115&lt;&gt;"",2,1))))</f>
        <v/>
      </c>
      <c r="BE115" s="39" t="str">
        <f aca="false">IF(OR(AO115&lt;&gt;1,AR115=""),"",INDEX(NIV_REQ,AR115))</f>
        <v/>
      </c>
      <c r="BF115" s="39" t="str">
        <f aca="false">IF(BE115="","",MAX(BE115,IF(OR(K115="Oui",Z115="Oui"),4,1)))</f>
        <v/>
      </c>
      <c r="BG115" s="35" t="str">
        <f aca="false">IF(OR(BF115="",BD115=""),"",IF(BD115&gt;=BF115,1,0))</f>
        <v/>
      </c>
      <c r="BH115" s="38" t="str">
        <f aca="false">IF(BE115="","",IF(BE115&lt;2,"",IF(BE115=2,IF(AND(T115="",U115=""),"",MIN(T115,U115)),IF(U115="","",U115))))</f>
        <v/>
      </c>
      <c r="BI115" s="37" t="str">
        <f aca="false">IF(BH115="","",IF(OR(O115="",BH115=""),"",IF(BH115&lt;O115,"",ROUND(((NETWORKDAYS(O115,BH115,JoursFeries)-1)*(HFer-HOuv)+IF(NETWORKDAYS(BH115,BH115,JoursFeries),MEDIAN(MOD(BH115,1),HFer,HOuv),HFer)-IF(NETWORKDAYS(O115,O115,JoursFeries),MEDIAN(MOD(O115,1),HFer,HOuv),HOuv))*24,4))))</f>
        <v/>
      </c>
      <c r="BJ115" s="35" t="str">
        <f aca="false">IF(OR(BI115="",AR115=""),"",IF(BI115&lt;=INDEX(DELAI_ESC,AR115),1,0))</f>
        <v/>
      </c>
      <c r="BK115" s="38" t="str">
        <f aca="false">IF(AO115&lt;&gt;1,"",IF(AND(T115="",U115=""),"",MIN(T115,U115)))</f>
        <v/>
      </c>
      <c r="BL115" s="37" t="str">
        <f aca="false">IF(OR(BK115="",R115=""),"",IFERROR(ROUND(IF(OR(BK115="",R115=""),"",IF(R115&lt;BK115,"",ROUND(((NETWORKDAYS(BK115,R115,JoursFeries)-1)*(HFer-HOuv)+IF(NETWORKDAYS(R115,R115,JoursFeries),MEDIAN(MOD(R115,1),HFer,HOuv),HFer)-IF(NETWORKDAYS(BK115,BK115,JoursFeries),MEDIAN(MOD(BK115,1),HFer,HOuv),HOuv))*24,4)))/HJour,4),""))</f>
        <v/>
      </c>
      <c r="BM115" s="35" t="str">
        <f aca="false">IF(OR(AO115&lt;&gt;1,R115=""),"",IF(BD115=1,1,0))</f>
        <v/>
      </c>
      <c r="BN115" s="35" t="str">
        <f aca="false">IF(AO115&lt;&gt;1,"",IF(W115="Oui",1,0))</f>
        <v/>
      </c>
      <c r="BO115" s="35" t="str">
        <f aca="false">IF(AO115&lt;&gt;1,"",IF(X115&lt;&gt;"",1,0))</f>
        <v/>
      </c>
      <c r="BP115" s="35" t="str">
        <f aca="false">IF(AO115&lt;&gt;1,"",IF(Y115="Oui",1,0))</f>
        <v/>
      </c>
      <c r="BQ115" s="35" t="str">
        <f aca="true">IF(OR(AO115&lt;&gt;1,Z115&lt;&gt;"Oui"),"",IF(AB115="",IF(AND(AA115&lt;&gt;"",NOW()&gt;AA115),0,""),IF(AA115="","",IF(AB115&lt;=AA115,1,0))))</f>
        <v/>
      </c>
      <c r="BR115" s="38" t="str">
        <f aca="false">IF(OR(AO115&lt;&gt;1,K115&lt;&gt;"Oui",O115=""),"",IF(AC115="",O115+DORA_H_DET/24,IF(AC115-O115&lt;=DORA_H_DET/24,MIN(AC115+DORA_H_CLA/24,O115+DORA_H_DET/24),AC115+DORA_H_CLA/24)))</f>
        <v/>
      </c>
      <c r="BS115" s="35" t="str">
        <f aca="true">IF(BR115="","",IF(AD115="",IF(NOW()&gt;BR115,0,""),IF(AD115&lt;=BR115,1,0)))</f>
        <v/>
      </c>
      <c r="BT115" s="35" t="str">
        <f aca="true">IF(OR(BR115="",AD115=""),"",IF(AE115="",IF(NOW()&gt;AD115+DORA_H_INT/24,0,""),IF(AE115&lt;=AD115+DORA_H_INT/24,1,0)))</f>
        <v/>
      </c>
      <c r="BU115" s="35" t="str">
        <f aca="true">IF(OR(BR115="",AE115=""),"",IF(AF115="",IF(NOW()&gt;EDATE(AE115,DORA_M_FIN)+1,0,""),IF(AF115&lt;=EDATE(AE115,DORA_M_FIN),1,0)))</f>
        <v/>
      </c>
      <c r="BV115" s="35" t="str">
        <f aca="false">IF(BR115="","",IF(COUNT(BS115:BU115)=0,"",MIN(BS115:BU115)))</f>
        <v/>
      </c>
      <c r="BW115" s="40" t="str">
        <f aca="false">IF(AQ115&lt;&gt;1,"",IF(AND(AG115="",AH115=""),"",N(AG115)-N(AH115)))</f>
        <v/>
      </c>
      <c r="BX115" s="35" t="str">
        <f aca="true">IF(OR(AQ115&lt;&gt;1,AI115&lt;&gt;"Oui",AJ115=""),"",IF(AK115="",IF(NOW()&gt;AJ115+1,0,""),IF(AK115&lt;=AJ115,1,0)))</f>
        <v/>
      </c>
    </row>
    <row r="116" customFormat="false" ht="15" hidden="false" customHeight="false" outlineLevel="0" collapsed="false">
      <c r="B116" s="29"/>
      <c r="C116" s="29"/>
      <c r="D116" s="29"/>
      <c r="E116" s="29"/>
      <c r="F116" s="29"/>
      <c r="G116" s="29"/>
      <c r="H116" s="29"/>
      <c r="I116" s="29"/>
      <c r="J116" s="29"/>
      <c r="K116" s="29"/>
      <c r="L116" s="29"/>
      <c r="M116" s="29"/>
      <c r="N116" s="30"/>
      <c r="O116" s="30"/>
      <c r="P116" s="30"/>
      <c r="Q116" s="30"/>
      <c r="R116" s="30"/>
      <c r="S116" s="30"/>
      <c r="T116" s="30"/>
      <c r="U116" s="30"/>
      <c r="V116" s="31"/>
      <c r="W116" s="29"/>
      <c r="X116" s="29"/>
      <c r="Y116" s="29"/>
      <c r="Z116" s="29"/>
      <c r="AA116" s="30"/>
      <c r="AB116" s="30"/>
      <c r="AC116" s="30"/>
      <c r="AD116" s="30"/>
      <c r="AE116" s="30"/>
      <c r="AF116" s="32"/>
      <c r="AG116" s="33"/>
      <c r="AH116" s="33"/>
      <c r="AI116" s="29"/>
      <c r="AJ116" s="32"/>
      <c r="AK116" s="32"/>
      <c r="AL116" s="29"/>
      <c r="AN116" s="34" t="str">
        <f aca="false">IF($B116="","",IF(OR(C116="",D116="",E116="",G116="",I116="",J116="",L116="",O116="",P116=""),"Champ obligatoire manquant",IF(OR(AND(N116&lt;&gt;"",N116&gt;O116),O116&gt;P116,AND(Q116&lt;&gt;"",Q116&lt;P116),AND(R116&lt;&gt;"",R116&lt;P116),AND(S116&lt;&gt;"",S116&lt;R116),AND(S116&lt;&gt;"",R116=""),AND(T116&lt;&gt;"",T116&lt;O116),AND(U116&lt;&gt;"",U116&lt;O116)),"Chronologie incohérente",IF(AND(OR(L116="Résolu",L116="Clos"),R116=""),"Date de résolution manquante",IF(AND(L116="Clos",S116=""),"Date de clôture manquante",IF(AND(K116="Oui",AC116=""),"Classification DORA manquante","OK"))))))</f>
        <v/>
      </c>
      <c r="AO116" s="35" t="str">
        <f aca="false">IF($B116="","",IF(AND(C116="Incident",L116&lt;&gt;"Annulé"),1,0))</f>
        <v/>
      </c>
      <c r="AP116" s="35" t="str">
        <f aca="false">IF($B116="","",IF(AND(C116="Quasi-incident",L116&lt;&gt;"Annulé"),1,0))</f>
        <v/>
      </c>
      <c r="AQ116" s="35" t="str">
        <f aca="false">IF($B116="","",AO116+AP116)</f>
        <v/>
      </c>
      <c r="AR116" s="36" t="str">
        <f aca="false">IF(OR($B116="",J116=""),"",IFERROR(VALUE(LEFT(J116,1)),""))</f>
        <v/>
      </c>
      <c r="AS116" s="35" t="str">
        <f aca="false">IF(OR(AO116&lt;&gt;1,G116=""),"",IFERROR(IF(INDEX(L_SrcInterne,MATCH(G116,L_Sources,0))="Oui",1,0),""))</f>
        <v/>
      </c>
      <c r="AT116" s="37" t="str">
        <f aca="false">IF(AO116&lt;&gt;1,"",IFERROR(ROUND(IF(OR(N116="",O116=""),"",IF(O116&lt;N116,"",ROUND(((NETWORKDAYS(N116,O116,JoursFeries)-1)*(HFer-HOuv)+IF(NETWORKDAYS(O116,O116,JoursFeries),MEDIAN(MOD(O116,1),HFer,HOuv),HFer)-IF(NETWORKDAYS(N116,N116,JoursFeries),MEDIAN(MOD(N116,1),HFer,HOuv),HOuv))*24,4)))/HJour,4),""))</f>
        <v/>
      </c>
      <c r="AU116" s="37" t="str">
        <f aca="false">IF(AO116&lt;&gt;1,"",IF(OR(O116="",P116=""),"",IF(P116&lt;O116,"",ROUND(((NETWORKDAYS(O116,P116,JoursFeries)-1)*(HFer-HOuv)+IF(NETWORKDAYS(P116,P116,JoursFeries),MEDIAN(MOD(P116,1),HFer,HOuv),HFer)-IF(NETWORKDAYS(O116,O116,JoursFeries),MEDIAN(MOD(O116,1),HFer,HOuv),HOuv))*24,4))))</f>
        <v/>
      </c>
      <c r="AV116" s="37" t="str">
        <f aca="false">IF(AO116&lt;&gt;1,"",IF(OR(P116="",Q116=""),"",IF(Q116&lt;P116,"",ROUND(((NETWORKDAYS(P116,Q116,JoursFeries)-1)*(HFer-HOuv)+IF(NETWORKDAYS(Q116,Q116,JoursFeries),MEDIAN(MOD(Q116,1),HFer,HOuv),HFer)-IF(NETWORKDAYS(P116,P116,JoursFeries),MEDIAN(MOD(P116,1),HFer,HOuv),HOuv))*24,4))))</f>
        <v/>
      </c>
      <c r="AW116" s="37" t="str">
        <f aca="false">IF(AO116&lt;&gt;1,"",IFERROR(ROUND(IF(OR(P116="",R116=""),"",IF(R116&lt;P116,"",ROUND(((NETWORKDAYS(P116,R116,JoursFeries)-1)*(HFer-HOuv)+IF(NETWORKDAYS(R116,R116,JoursFeries),MEDIAN(MOD(R116,1),HFer,HOuv),HFer)-IF(NETWORKDAYS(P116,P116,JoursFeries),MEDIAN(MOD(P116,1),HFer,HOuv),HOuv))*24,4)))/HJour,4),""))</f>
        <v/>
      </c>
      <c r="AX116" s="37" t="str">
        <f aca="false">IF(AO116&lt;&gt;1,"",IFERROR(ROUND(IF(OR(P116="",S116=""),"",IF(S116&lt;P116,"",ROUND(((NETWORKDAYS(P116,S116,JoursFeries)-1)*(HFer-HOuv)+IF(NETWORKDAYS(S116,S116,JoursFeries),MEDIAN(MOD(S116,1),HFer,HOuv),HFer)-IF(NETWORKDAYS(P116,P116,JoursFeries),MEDIAN(MOD(P116,1),HFer,HOuv),HOuv))*24,4)))/HJour,4),""))</f>
        <v/>
      </c>
      <c r="AY116" s="36" t="str">
        <f aca="false">IF(OR(AO116&lt;&gt;1,AR116=""),"",INDEX(SLA_PEC,AR116))</f>
        <v/>
      </c>
      <c r="AZ116" s="35" t="str">
        <f aca="false">IF(OR(AV116="",AY116=""),"",IF(AV116&lt;=AY116,1,0))</f>
        <v/>
      </c>
      <c r="BA116" s="36" t="str">
        <f aca="false">IF(OR(AO116&lt;&gt;1,AR116=""),"",INDEX(SLA_RES,AR116))</f>
        <v/>
      </c>
      <c r="BB116" s="35" t="str">
        <f aca="false">IF(OR(AW116="",BA116=""),"",IF(AW116&lt;=BA116,1,0))</f>
        <v/>
      </c>
      <c r="BC116" s="38" t="str">
        <f aca="false">IF(OR(BA116="",P116=""),"",WORKDAY(INT(P116),BA116,JoursFeries)+MOD(P116,1))</f>
        <v/>
      </c>
      <c r="BD116" s="39" t="str">
        <f aca="false">IF(AO116&lt;&gt;1,"",IF(OR(AB116&lt;&gt;"",AD116&lt;&gt;""),4,IF(U116&lt;&gt;"",3,IF(T116&lt;&gt;"",2,1))))</f>
        <v/>
      </c>
      <c r="BE116" s="39" t="str">
        <f aca="false">IF(OR(AO116&lt;&gt;1,AR116=""),"",INDEX(NIV_REQ,AR116))</f>
        <v/>
      </c>
      <c r="BF116" s="39" t="str">
        <f aca="false">IF(BE116="","",MAX(BE116,IF(OR(K116="Oui",Z116="Oui"),4,1)))</f>
        <v/>
      </c>
      <c r="BG116" s="35" t="str">
        <f aca="false">IF(OR(BF116="",BD116=""),"",IF(BD116&gt;=BF116,1,0))</f>
        <v/>
      </c>
      <c r="BH116" s="38" t="str">
        <f aca="false">IF(BE116="","",IF(BE116&lt;2,"",IF(BE116=2,IF(AND(T116="",U116=""),"",MIN(T116,U116)),IF(U116="","",U116))))</f>
        <v/>
      </c>
      <c r="BI116" s="37" t="str">
        <f aca="false">IF(BH116="","",IF(OR(O116="",BH116=""),"",IF(BH116&lt;O116,"",ROUND(((NETWORKDAYS(O116,BH116,JoursFeries)-1)*(HFer-HOuv)+IF(NETWORKDAYS(BH116,BH116,JoursFeries),MEDIAN(MOD(BH116,1),HFer,HOuv),HFer)-IF(NETWORKDAYS(O116,O116,JoursFeries),MEDIAN(MOD(O116,1),HFer,HOuv),HOuv))*24,4))))</f>
        <v/>
      </c>
      <c r="BJ116" s="35" t="str">
        <f aca="false">IF(OR(BI116="",AR116=""),"",IF(BI116&lt;=INDEX(DELAI_ESC,AR116),1,0))</f>
        <v/>
      </c>
      <c r="BK116" s="38" t="str">
        <f aca="false">IF(AO116&lt;&gt;1,"",IF(AND(T116="",U116=""),"",MIN(T116,U116)))</f>
        <v/>
      </c>
      <c r="BL116" s="37" t="str">
        <f aca="false">IF(OR(BK116="",R116=""),"",IFERROR(ROUND(IF(OR(BK116="",R116=""),"",IF(R116&lt;BK116,"",ROUND(((NETWORKDAYS(BK116,R116,JoursFeries)-1)*(HFer-HOuv)+IF(NETWORKDAYS(R116,R116,JoursFeries),MEDIAN(MOD(R116,1),HFer,HOuv),HFer)-IF(NETWORKDAYS(BK116,BK116,JoursFeries),MEDIAN(MOD(BK116,1),HFer,HOuv),HOuv))*24,4)))/HJour,4),""))</f>
        <v/>
      </c>
      <c r="BM116" s="35" t="str">
        <f aca="false">IF(OR(AO116&lt;&gt;1,R116=""),"",IF(BD116=1,1,0))</f>
        <v/>
      </c>
      <c r="BN116" s="35" t="str">
        <f aca="false">IF(AO116&lt;&gt;1,"",IF(W116="Oui",1,0))</f>
        <v/>
      </c>
      <c r="BO116" s="35" t="str">
        <f aca="false">IF(AO116&lt;&gt;1,"",IF(X116&lt;&gt;"",1,0))</f>
        <v/>
      </c>
      <c r="BP116" s="35" t="str">
        <f aca="false">IF(AO116&lt;&gt;1,"",IF(Y116="Oui",1,0))</f>
        <v/>
      </c>
      <c r="BQ116" s="35" t="str">
        <f aca="true">IF(OR(AO116&lt;&gt;1,Z116&lt;&gt;"Oui"),"",IF(AB116="",IF(AND(AA116&lt;&gt;"",NOW()&gt;AA116),0,""),IF(AA116="","",IF(AB116&lt;=AA116,1,0))))</f>
        <v/>
      </c>
      <c r="BR116" s="38" t="str">
        <f aca="false">IF(OR(AO116&lt;&gt;1,K116&lt;&gt;"Oui",O116=""),"",IF(AC116="",O116+DORA_H_DET/24,IF(AC116-O116&lt;=DORA_H_DET/24,MIN(AC116+DORA_H_CLA/24,O116+DORA_H_DET/24),AC116+DORA_H_CLA/24)))</f>
        <v/>
      </c>
      <c r="BS116" s="35" t="str">
        <f aca="true">IF(BR116="","",IF(AD116="",IF(NOW()&gt;BR116,0,""),IF(AD116&lt;=BR116,1,0)))</f>
        <v/>
      </c>
      <c r="BT116" s="35" t="str">
        <f aca="true">IF(OR(BR116="",AD116=""),"",IF(AE116="",IF(NOW()&gt;AD116+DORA_H_INT/24,0,""),IF(AE116&lt;=AD116+DORA_H_INT/24,1,0)))</f>
        <v/>
      </c>
      <c r="BU116" s="35" t="str">
        <f aca="true">IF(OR(BR116="",AE116=""),"",IF(AF116="",IF(NOW()&gt;EDATE(AE116,DORA_M_FIN)+1,0,""),IF(AF116&lt;=EDATE(AE116,DORA_M_FIN),1,0)))</f>
        <v/>
      </c>
      <c r="BV116" s="35" t="str">
        <f aca="false">IF(BR116="","",IF(COUNT(BS116:BU116)=0,"",MIN(BS116:BU116)))</f>
        <v/>
      </c>
      <c r="BW116" s="40" t="str">
        <f aca="false">IF(AQ116&lt;&gt;1,"",IF(AND(AG116="",AH116=""),"",N(AG116)-N(AH116)))</f>
        <v/>
      </c>
      <c r="BX116" s="35" t="str">
        <f aca="true">IF(OR(AQ116&lt;&gt;1,AI116&lt;&gt;"Oui",AJ116=""),"",IF(AK116="",IF(NOW()&gt;AJ116+1,0,""),IF(AK116&lt;=AJ116,1,0)))</f>
        <v/>
      </c>
    </row>
    <row r="117" customFormat="false" ht="15" hidden="false" customHeight="false" outlineLevel="0" collapsed="false">
      <c r="B117" s="29"/>
      <c r="C117" s="29"/>
      <c r="D117" s="29"/>
      <c r="E117" s="29"/>
      <c r="F117" s="29"/>
      <c r="G117" s="29"/>
      <c r="H117" s="29"/>
      <c r="I117" s="29"/>
      <c r="J117" s="29"/>
      <c r="K117" s="29"/>
      <c r="L117" s="29"/>
      <c r="M117" s="29"/>
      <c r="N117" s="30"/>
      <c r="O117" s="30"/>
      <c r="P117" s="30"/>
      <c r="Q117" s="30"/>
      <c r="R117" s="30"/>
      <c r="S117" s="30"/>
      <c r="T117" s="30"/>
      <c r="U117" s="30"/>
      <c r="V117" s="31"/>
      <c r="W117" s="29"/>
      <c r="X117" s="29"/>
      <c r="Y117" s="29"/>
      <c r="Z117" s="29"/>
      <c r="AA117" s="30"/>
      <c r="AB117" s="30"/>
      <c r="AC117" s="30"/>
      <c r="AD117" s="30"/>
      <c r="AE117" s="30"/>
      <c r="AF117" s="32"/>
      <c r="AG117" s="33"/>
      <c r="AH117" s="33"/>
      <c r="AI117" s="29"/>
      <c r="AJ117" s="32"/>
      <c r="AK117" s="32"/>
      <c r="AL117" s="29"/>
      <c r="AN117" s="34" t="str">
        <f aca="false">IF($B117="","",IF(OR(C117="",D117="",E117="",G117="",I117="",J117="",L117="",O117="",P117=""),"Champ obligatoire manquant",IF(OR(AND(N117&lt;&gt;"",N117&gt;O117),O117&gt;P117,AND(Q117&lt;&gt;"",Q117&lt;P117),AND(R117&lt;&gt;"",R117&lt;P117),AND(S117&lt;&gt;"",S117&lt;R117),AND(S117&lt;&gt;"",R117=""),AND(T117&lt;&gt;"",T117&lt;O117),AND(U117&lt;&gt;"",U117&lt;O117)),"Chronologie incohérente",IF(AND(OR(L117="Résolu",L117="Clos"),R117=""),"Date de résolution manquante",IF(AND(L117="Clos",S117=""),"Date de clôture manquante",IF(AND(K117="Oui",AC117=""),"Classification DORA manquante","OK"))))))</f>
        <v/>
      </c>
      <c r="AO117" s="35" t="str">
        <f aca="false">IF($B117="","",IF(AND(C117="Incident",L117&lt;&gt;"Annulé"),1,0))</f>
        <v/>
      </c>
      <c r="AP117" s="35" t="str">
        <f aca="false">IF($B117="","",IF(AND(C117="Quasi-incident",L117&lt;&gt;"Annulé"),1,0))</f>
        <v/>
      </c>
      <c r="AQ117" s="35" t="str">
        <f aca="false">IF($B117="","",AO117+AP117)</f>
        <v/>
      </c>
      <c r="AR117" s="36" t="str">
        <f aca="false">IF(OR($B117="",J117=""),"",IFERROR(VALUE(LEFT(J117,1)),""))</f>
        <v/>
      </c>
      <c r="AS117" s="35" t="str">
        <f aca="false">IF(OR(AO117&lt;&gt;1,G117=""),"",IFERROR(IF(INDEX(L_SrcInterne,MATCH(G117,L_Sources,0))="Oui",1,0),""))</f>
        <v/>
      </c>
      <c r="AT117" s="37" t="str">
        <f aca="false">IF(AO117&lt;&gt;1,"",IFERROR(ROUND(IF(OR(N117="",O117=""),"",IF(O117&lt;N117,"",ROUND(((NETWORKDAYS(N117,O117,JoursFeries)-1)*(HFer-HOuv)+IF(NETWORKDAYS(O117,O117,JoursFeries),MEDIAN(MOD(O117,1),HFer,HOuv),HFer)-IF(NETWORKDAYS(N117,N117,JoursFeries),MEDIAN(MOD(N117,1),HFer,HOuv),HOuv))*24,4)))/HJour,4),""))</f>
        <v/>
      </c>
      <c r="AU117" s="37" t="str">
        <f aca="false">IF(AO117&lt;&gt;1,"",IF(OR(O117="",P117=""),"",IF(P117&lt;O117,"",ROUND(((NETWORKDAYS(O117,P117,JoursFeries)-1)*(HFer-HOuv)+IF(NETWORKDAYS(P117,P117,JoursFeries),MEDIAN(MOD(P117,1),HFer,HOuv),HFer)-IF(NETWORKDAYS(O117,O117,JoursFeries),MEDIAN(MOD(O117,1),HFer,HOuv),HOuv))*24,4))))</f>
        <v/>
      </c>
      <c r="AV117" s="37" t="str">
        <f aca="false">IF(AO117&lt;&gt;1,"",IF(OR(P117="",Q117=""),"",IF(Q117&lt;P117,"",ROUND(((NETWORKDAYS(P117,Q117,JoursFeries)-1)*(HFer-HOuv)+IF(NETWORKDAYS(Q117,Q117,JoursFeries),MEDIAN(MOD(Q117,1),HFer,HOuv),HFer)-IF(NETWORKDAYS(P117,P117,JoursFeries),MEDIAN(MOD(P117,1),HFer,HOuv),HOuv))*24,4))))</f>
        <v/>
      </c>
      <c r="AW117" s="37" t="str">
        <f aca="false">IF(AO117&lt;&gt;1,"",IFERROR(ROUND(IF(OR(P117="",R117=""),"",IF(R117&lt;P117,"",ROUND(((NETWORKDAYS(P117,R117,JoursFeries)-1)*(HFer-HOuv)+IF(NETWORKDAYS(R117,R117,JoursFeries),MEDIAN(MOD(R117,1),HFer,HOuv),HFer)-IF(NETWORKDAYS(P117,P117,JoursFeries),MEDIAN(MOD(P117,1),HFer,HOuv),HOuv))*24,4)))/HJour,4),""))</f>
        <v/>
      </c>
      <c r="AX117" s="37" t="str">
        <f aca="false">IF(AO117&lt;&gt;1,"",IFERROR(ROUND(IF(OR(P117="",S117=""),"",IF(S117&lt;P117,"",ROUND(((NETWORKDAYS(P117,S117,JoursFeries)-1)*(HFer-HOuv)+IF(NETWORKDAYS(S117,S117,JoursFeries),MEDIAN(MOD(S117,1),HFer,HOuv),HFer)-IF(NETWORKDAYS(P117,P117,JoursFeries),MEDIAN(MOD(P117,1),HFer,HOuv),HOuv))*24,4)))/HJour,4),""))</f>
        <v/>
      </c>
      <c r="AY117" s="36" t="str">
        <f aca="false">IF(OR(AO117&lt;&gt;1,AR117=""),"",INDEX(SLA_PEC,AR117))</f>
        <v/>
      </c>
      <c r="AZ117" s="35" t="str">
        <f aca="false">IF(OR(AV117="",AY117=""),"",IF(AV117&lt;=AY117,1,0))</f>
        <v/>
      </c>
      <c r="BA117" s="36" t="str">
        <f aca="false">IF(OR(AO117&lt;&gt;1,AR117=""),"",INDEX(SLA_RES,AR117))</f>
        <v/>
      </c>
      <c r="BB117" s="35" t="str">
        <f aca="false">IF(OR(AW117="",BA117=""),"",IF(AW117&lt;=BA117,1,0))</f>
        <v/>
      </c>
      <c r="BC117" s="38" t="str">
        <f aca="false">IF(OR(BA117="",P117=""),"",WORKDAY(INT(P117),BA117,JoursFeries)+MOD(P117,1))</f>
        <v/>
      </c>
      <c r="BD117" s="39" t="str">
        <f aca="false">IF(AO117&lt;&gt;1,"",IF(OR(AB117&lt;&gt;"",AD117&lt;&gt;""),4,IF(U117&lt;&gt;"",3,IF(T117&lt;&gt;"",2,1))))</f>
        <v/>
      </c>
      <c r="BE117" s="39" t="str">
        <f aca="false">IF(OR(AO117&lt;&gt;1,AR117=""),"",INDEX(NIV_REQ,AR117))</f>
        <v/>
      </c>
      <c r="BF117" s="39" t="str">
        <f aca="false">IF(BE117="","",MAX(BE117,IF(OR(K117="Oui",Z117="Oui"),4,1)))</f>
        <v/>
      </c>
      <c r="BG117" s="35" t="str">
        <f aca="false">IF(OR(BF117="",BD117=""),"",IF(BD117&gt;=BF117,1,0))</f>
        <v/>
      </c>
      <c r="BH117" s="38" t="str">
        <f aca="false">IF(BE117="","",IF(BE117&lt;2,"",IF(BE117=2,IF(AND(T117="",U117=""),"",MIN(T117,U117)),IF(U117="","",U117))))</f>
        <v/>
      </c>
      <c r="BI117" s="37" t="str">
        <f aca="false">IF(BH117="","",IF(OR(O117="",BH117=""),"",IF(BH117&lt;O117,"",ROUND(((NETWORKDAYS(O117,BH117,JoursFeries)-1)*(HFer-HOuv)+IF(NETWORKDAYS(BH117,BH117,JoursFeries),MEDIAN(MOD(BH117,1),HFer,HOuv),HFer)-IF(NETWORKDAYS(O117,O117,JoursFeries),MEDIAN(MOD(O117,1),HFer,HOuv),HOuv))*24,4))))</f>
        <v/>
      </c>
      <c r="BJ117" s="35" t="str">
        <f aca="false">IF(OR(BI117="",AR117=""),"",IF(BI117&lt;=INDEX(DELAI_ESC,AR117),1,0))</f>
        <v/>
      </c>
      <c r="BK117" s="38" t="str">
        <f aca="false">IF(AO117&lt;&gt;1,"",IF(AND(T117="",U117=""),"",MIN(T117,U117)))</f>
        <v/>
      </c>
      <c r="BL117" s="37" t="str">
        <f aca="false">IF(OR(BK117="",R117=""),"",IFERROR(ROUND(IF(OR(BK117="",R117=""),"",IF(R117&lt;BK117,"",ROUND(((NETWORKDAYS(BK117,R117,JoursFeries)-1)*(HFer-HOuv)+IF(NETWORKDAYS(R117,R117,JoursFeries),MEDIAN(MOD(R117,1),HFer,HOuv),HFer)-IF(NETWORKDAYS(BK117,BK117,JoursFeries),MEDIAN(MOD(BK117,1),HFer,HOuv),HOuv))*24,4)))/HJour,4),""))</f>
        <v/>
      </c>
      <c r="BM117" s="35" t="str">
        <f aca="false">IF(OR(AO117&lt;&gt;1,R117=""),"",IF(BD117=1,1,0))</f>
        <v/>
      </c>
      <c r="BN117" s="35" t="str">
        <f aca="false">IF(AO117&lt;&gt;1,"",IF(W117="Oui",1,0))</f>
        <v/>
      </c>
      <c r="BO117" s="35" t="str">
        <f aca="false">IF(AO117&lt;&gt;1,"",IF(X117&lt;&gt;"",1,0))</f>
        <v/>
      </c>
      <c r="BP117" s="35" t="str">
        <f aca="false">IF(AO117&lt;&gt;1,"",IF(Y117="Oui",1,0))</f>
        <v/>
      </c>
      <c r="BQ117" s="35" t="str">
        <f aca="true">IF(OR(AO117&lt;&gt;1,Z117&lt;&gt;"Oui"),"",IF(AB117="",IF(AND(AA117&lt;&gt;"",NOW()&gt;AA117),0,""),IF(AA117="","",IF(AB117&lt;=AA117,1,0))))</f>
        <v/>
      </c>
      <c r="BR117" s="38" t="str">
        <f aca="false">IF(OR(AO117&lt;&gt;1,K117&lt;&gt;"Oui",O117=""),"",IF(AC117="",O117+DORA_H_DET/24,IF(AC117-O117&lt;=DORA_H_DET/24,MIN(AC117+DORA_H_CLA/24,O117+DORA_H_DET/24),AC117+DORA_H_CLA/24)))</f>
        <v/>
      </c>
      <c r="BS117" s="35" t="str">
        <f aca="true">IF(BR117="","",IF(AD117="",IF(NOW()&gt;BR117,0,""),IF(AD117&lt;=BR117,1,0)))</f>
        <v/>
      </c>
      <c r="BT117" s="35" t="str">
        <f aca="true">IF(OR(BR117="",AD117=""),"",IF(AE117="",IF(NOW()&gt;AD117+DORA_H_INT/24,0,""),IF(AE117&lt;=AD117+DORA_H_INT/24,1,0)))</f>
        <v/>
      </c>
      <c r="BU117" s="35" t="str">
        <f aca="true">IF(OR(BR117="",AE117=""),"",IF(AF117="",IF(NOW()&gt;EDATE(AE117,DORA_M_FIN)+1,0,""),IF(AF117&lt;=EDATE(AE117,DORA_M_FIN),1,0)))</f>
        <v/>
      </c>
      <c r="BV117" s="35" t="str">
        <f aca="false">IF(BR117="","",IF(COUNT(BS117:BU117)=0,"",MIN(BS117:BU117)))</f>
        <v/>
      </c>
      <c r="BW117" s="40" t="str">
        <f aca="false">IF(AQ117&lt;&gt;1,"",IF(AND(AG117="",AH117=""),"",N(AG117)-N(AH117)))</f>
        <v/>
      </c>
      <c r="BX117" s="35" t="str">
        <f aca="true">IF(OR(AQ117&lt;&gt;1,AI117&lt;&gt;"Oui",AJ117=""),"",IF(AK117="",IF(NOW()&gt;AJ117+1,0,""),IF(AK117&lt;=AJ117,1,0)))</f>
        <v/>
      </c>
    </row>
    <row r="118" customFormat="false" ht="15" hidden="false" customHeight="false" outlineLevel="0" collapsed="false">
      <c r="B118" s="29"/>
      <c r="C118" s="29"/>
      <c r="D118" s="29"/>
      <c r="E118" s="29"/>
      <c r="F118" s="29"/>
      <c r="G118" s="29"/>
      <c r="H118" s="29"/>
      <c r="I118" s="29"/>
      <c r="J118" s="29"/>
      <c r="K118" s="29"/>
      <c r="L118" s="29"/>
      <c r="M118" s="29"/>
      <c r="N118" s="30"/>
      <c r="O118" s="30"/>
      <c r="P118" s="30"/>
      <c r="Q118" s="30"/>
      <c r="R118" s="30"/>
      <c r="S118" s="30"/>
      <c r="T118" s="30"/>
      <c r="U118" s="30"/>
      <c r="V118" s="31"/>
      <c r="W118" s="29"/>
      <c r="X118" s="29"/>
      <c r="Y118" s="29"/>
      <c r="Z118" s="29"/>
      <c r="AA118" s="30"/>
      <c r="AB118" s="30"/>
      <c r="AC118" s="30"/>
      <c r="AD118" s="30"/>
      <c r="AE118" s="30"/>
      <c r="AF118" s="32"/>
      <c r="AG118" s="33"/>
      <c r="AH118" s="33"/>
      <c r="AI118" s="29"/>
      <c r="AJ118" s="32"/>
      <c r="AK118" s="32"/>
      <c r="AL118" s="29"/>
      <c r="AN118" s="34" t="str">
        <f aca="false">IF($B118="","",IF(OR(C118="",D118="",E118="",G118="",I118="",J118="",L118="",O118="",P118=""),"Champ obligatoire manquant",IF(OR(AND(N118&lt;&gt;"",N118&gt;O118),O118&gt;P118,AND(Q118&lt;&gt;"",Q118&lt;P118),AND(R118&lt;&gt;"",R118&lt;P118),AND(S118&lt;&gt;"",S118&lt;R118),AND(S118&lt;&gt;"",R118=""),AND(T118&lt;&gt;"",T118&lt;O118),AND(U118&lt;&gt;"",U118&lt;O118)),"Chronologie incohérente",IF(AND(OR(L118="Résolu",L118="Clos"),R118=""),"Date de résolution manquante",IF(AND(L118="Clos",S118=""),"Date de clôture manquante",IF(AND(K118="Oui",AC118=""),"Classification DORA manquante","OK"))))))</f>
        <v/>
      </c>
      <c r="AO118" s="35" t="str">
        <f aca="false">IF($B118="","",IF(AND(C118="Incident",L118&lt;&gt;"Annulé"),1,0))</f>
        <v/>
      </c>
      <c r="AP118" s="35" t="str">
        <f aca="false">IF($B118="","",IF(AND(C118="Quasi-incident",L118&lt;&gt;"Annulé"),1,0))</f>
        <v/>
      </c>
      <c r="AQ118" s="35" t="str">
        <f aca="false">IF($B118="","",AO118+AP118)</f>
        <v/>
      </c>
      <c r="AR118" s="36" t="str">
        <f aca="false">IF(OR($B118="",J118=""),"",IFERROR(VALUE(LEFT(J118,1)),""))</f>
        <v/>
      </c>
      <c r="AS118" s="35" t="str">
        <f aca="false">IF(OR(AO118&lt;&gt;1,G118=""),"",IFERROR(IF(INDEX(L_SrcInterne,MATCH(G118,L_Sources,0))="Oui",1,0),""))</f>
        <v/>
      </c>
      <c r="AT118" s="37" t="str">
        <f aca="false">IF(AO118&lt;&gt;1,"",IFERROR(ROUND(IF(OR(N118="",O118=""),"",IF(O118&lt;N118,"",ROUND(((NETWORKDAYS(N118,O118,JoursFeries)-1)*(HFer-HOuv)+IF(NETWORKDAYS(O118,O118,JoursFeries),MEDIAN(MOD(O118,1),HFer,HOuv),HFer)-IF(NETWORKDAYS(N118,N118,JoursFeries),MEDIAN(MOD(N118,1),HFer,HOuv),HOuv))*24,4)))/HJour,4),""))</f>
        <v/>
      </c>
      <c r="AU118" s="37" t="str">
        <f aca="false">IF(AO118&lt;&gt;1,"",IF(OR(O118="",P118=""),"",IF(P118&lt;O118,"",ROUND(((NETWORKDAYS(O118,P118,JoursFeries)-1)*(HFer-HOuv)+IF(NETWORKDAYS(P118,P118,JoursFeries),MEDIAN(MOD(P118,1),HFer,HOuv),HFer)-IF(NETWORKDAYS(O118,O118,JoursFeries),MEDIAN(MOD(O118,1),HFer,HOuv),HOuv))*24,4))))</f>
        <v/>
      </c>
      <c r="AV118" s="37" t="str">
        <f aca="false">IF(AO118&lt;&gt;1,"",IF(OR(P118="",Q118=""),"",IF(Q118&lt;P118,"",ROUND(((NETWORKDAYS(P118,Q118,JoursFeries)-1)*(HFer-HOuv)+IF(NETWORKDAYS(Q118,Q118,JoursFeries),MEDIAN(MOD(Q118,1),HFer,HOuv),HFer)-IF(NETWORKDAYS(P118,P118,JoursFeries),MEDIAN(MOD(P118,1),HFer,HOuv),HOuv))*24,4))))</f>
        <v/>
      </c>
      <c r="AW118" s="37" t="str">
        <f aca="false">IF(AO118&lt;&gt;1,"",IFERROR(ROUND(IF(OR(P118="",R118=""),"",IF(R118&lt;P118,"",ROUND(((NETWORKDAYS(P118,R118,JoursFeries)-1)*(HFer-HOuv)+IF(NETWORKDAYS(R118,R118,JoursFeries),MEDIAN(MOD(R118,1),HFer,HOuv),HFer)-IF(NETWORKDAYS(P118,P118,JoursFeries),MEDIAN(MOD(P118,1),HFer,HOuv),HOuv))*24,4)))/HJour,4),""))</f>
        <v/>
      </c>
      <c r="AX118" s="37" t="str">
        <f aca="false">IF(AO118&lt;&gt;1,"",IFERROR(ROUND(IF(OR(P118="",S118=""),"",IF(S118&lt;P118,"",ROUND(((NETWORKDAYS(P118,S118,JoursFeries)-1)*(HFer-HOuv)+IF(NETWORKDAYS(S118,S118,JoursFeries),MEDIAN(MOD(S118,1),HFer,HOuv),HFer)-IF(NETWORKDAYS(P118,P118,JoursFeries),MEDIAN(MOD(P118,1),HFer,HOuv),HOuv))*24,4)))/HJour,4),""))</f>
        <v/>
      </c>
      <c r="AY118" s="36" t="str">
        <f aca="false">IF(OR(AO118&lt;&gt;1,AR118=""),"",INDEX(SLA_PEC,AR118))</f>
        <v/>
      </c>
      <c r="AZ118" s="35" t="str">
        <f aca="false">IF(OR(AV118="",AY118=""),"",IF(AV118&lt;=AY118,1,0))</f>
        <v/>
      </c>
      <c r="BA118" s="36" t="str">
        <f aca="false">IF(OR(AO118&lt;&gt;1,AR118=""),"",INDEX(SLA_RES,AR118))</f>
        <v/>
      </c>
      <c r="BB118" s="35" t="str">
        <f aca="false">IF(OR(AW118="",BA118=""),"",IF(AW118&lt;=BA118,1,0))</f>
        <v/>
      </c>
      <c r="BC118" s="38" t="str">
        <f aca="false">IF(OR(BA118="",P118=""),"",WORKDAY(INT(P118),BA118,JoursFeries)+MOD(P118,1))</f>
        <v/>
      </c>
      <c r="BD118" s="39" t="str">
        <f aca="false">IF(AO118&lt;&gt;1,"",IF(OR(AB118&lt;&gt;"",AD118&lt;&gt;""),4,IF(U118&lt;&gt;"",3,IF(T118&lt;&gt;"",2,1))))</f>
        <v/>
      </c>
      <c r="BE118" s="39" t="str">
        <f aca="false">IF(OR(AO118&lt;&gt;1,AR118=""),"",INDEX(NIV_REQ,AR118))</f>
        <v/>
      </c>
      <c r="BF118" s="39" t="str">
        <f aca="false">IF(BE118="","",MAX(BE118,IF(OR(K118="Oui",Z118="Oui"),4,1)))</f>
        <v/>
      </c>
      <c r="BG118" s="35" t="str">
        <f aca="false">IF(OR(BF118="",BD118=""),"",IF(BD118&gt;=BF118,1,0))</f>
        <v/>
      </c>
      <c r="BH118" s="38" t="str">
        <f aca="false">IF(BE118="","",IF(BE118&lt;2,"",IF(BE118=2,IF(AND(T118="",U118=""),"",MIN(T118,U118)),IF(U118="","",U118))))</f>
        <v/>
      </c>
      <c r="BI118" s="37" t="str">
        <f aca="false">IF(BH118="","",IF(OR(O118="",BH118=""),"",IF(BH118&lt;O118,"",ROUND(((NETWORKDAYS(O118,BH118,JoursFeries)-1)*(HFer-HOuv)+IF(NETWORKDAYS(BH118,BH118,JoursFeries),MEDIAN(MOD(BH118,1),HFer,HOuv),HFer)-IF(NETWORKDAYS(O118,O118,JoursFeries),MEDIAN(MOD(O118,1),HFer,HOuv),HOuv))*24,4))))</f>
        <v/>
      </c>
      <c r="BJ118" s="35" t="str">
        <f aca="false">IF(OR(BI118="",AR118=""),"",IF(BI118&lt;=INDEX(DELAI_ESC,AR118),1,0))</f>
        <v/>
      </c>
      <c r="BK118" s="38" t="str">
        <f aca="false">IF(AO118&lt;&gt;1,"",IF(AND(T118="",U118=""),"",MIN(T118,U118)))</f>
        <v/>
      </c>
      <c r="BL118" s="37" t="str">
        <f aca="false">IF(OR(BK118="",R118=""),"",IFERROR(ROUND(IF(OR(BK118="",R118=""),"",IF(R118&lt;BK118,"",ROUND(((NETWORKDAYS(BK118,R118,JoursFeries)-1)*(HFer-HOuv)+IF(NETWORKDAYS(R118,R118,JoursFeries),MEDIAN(MOD(R118,1),HFer,HOuv),HFer)-IF(NETWORKDAYS(BK118,BK118,JoursFeries),MEDIAN(MOD(BK118,1),HFer,HOuv),HOuv))*24,4)))/HJour,4),""))</f>
        <v/>
      </c>
      <c r="BM118" s="35" t="str">
        <f aca="false">IF(OR(AO118&lt;&gt;1,R118=""),"",IF(BD118=1,1,0))</f>
        <v/>
      </c>
      <c r="BN118" s="35" t="str">
        <f aca="false">IF(AO118&lt;&gt;1,"",IF(W118="Oui",1,0))</f>
        <v/>
      </c>
      <c r="BO118" s="35" t="str">
        <f aca="false">IF(AO118&lt;&gt;1,"",IF(X118&lt;&gt;"",1,0))</f>
        <v/>
      </c>
      <c r="BP118" s="35" t="str">
        <f aca="false">IF(AO118&lt;&gt;1,"",IF(Y118="Oui",1,0))</f>
        <v/>
      </c>
      <c r="BQ118" s="35" t="str">
        <f aca="true">IF(OR(AO118&lt;&gt;1,Z118&lt;&gt;"Oui"),"",IF(AB118="",IF(AND(AA118&lt;&gt;"",NOW()&gt;AA118),0,""),IF(AA118="","",IF(AB118&lt;=AA118,1,0))))</f>
        <v/>
      </c>
      <c r="BR118" s="38" t="str">
        <f aca="false">IF(OR(AO118&lt;&gt;1,K118&lt;&gt;"Oui",O118=""),"",IF(AC118="",O118+DORA_H_DET/24,IF(AC118-O118&lt;=DORA_H_DET/24,MIN(AC118+DORA_H_CLA/24,O118+DORA_H_DET/24),AC118+DORA_H_CLA/24)))</f>
        <v/>
      </c>
      <c r="BS118" s="35" t="str">
        <f aca="true">IF(BR118="","",IF(AD118="",IF(NOW()&gt;BR118,0,""),IF(AD118&lt;=BR118,1,0)))</f>
        <v/>
      </c>
      <c r="BT118" s="35" t="str">
        <f aca="true">IF(OR(BR118="",AD118=""),"",IF(AE118="",IF(NOW()&gt;AD118+DORA_H_INT/24,0,""),IF(AE118&lt;=AD118+DORA_H_INT/24,1,0)))</f>
        <v/>
      </c>
      <c r="BU118" s="35" t="str">
        <f aca="true">IF(OR(BR118="",AE118=""),"",IF(AF118="",IF(NOW()&gt;EDATE(AE118,DORA_M_FIN)+1,0,""),IF(AF118&lt;=EDATE(AE118,DORA_M_FIN),1,0)))</f>
        <v/>
      </c>
      <c r="BV118" s="35" t="str">
        <f aca="false">IF(BR118="","",IF(COUNT(BS118:BU118)=0,"",MIN(BS118:BU118)))</f>
        <v/>
      </c>
      <c r="BW118" s="40" t="str">
        <f aca="false">IF(AQ118&lt;&gt;1,"",IF(AND(AG118="",AH118=""),"",N(AG118)-N(AH118)))</f>
        <v/>
      </c>
      <c r="BX118" s="35" t="str">
        <f aca="true">IF(OR(AQ118&lt;&gt;1,AI118&lt;&gt;"Oui",AJ118=""),"",IF(AK118="",IF(NOW()&gt;AJ118+1,0,""),IF(AK118&lt;=AJ118,1,0)))</f>
        <v/>
      </c>
    </row>
    <row r="119" customFormat="false" ht="15" hidden="false" customHeight="false" outlineLevel="0" collapsed="false">
      <c r="B119" s="29"/>
      <c r="C119" s="29"/>
      <c r="D119" s="29"/>
      <c r="E119" s="29"/>
      <c r="F119" s="29"/>
      <c r="G119" s="29"/>
      <c r="H119" s="29"/>
      <c r="I119" s="29"/>
      <c r="J119" s="29"/>
      <c r="K119" s="29"/>
      <c r="L119" s="29"/>
      <c r="M119" s="29"/>
      <c r="N119" s="30"/>
      <c r="O119" s="30"/>
      <c r="P119" s="30"/>
      <c r="Q119" s="30"/>
      <c r="R119" s="30"/>
      <c r="S119" s="30"/>
      <c r="T119" s="30"/>
      <c r="U119" s="30"/>
      <c r="V119" s="31"/>
      <c r="W119" s="29"/>
      <c r="X119" s="29"/>
      <c r="Y119" s="29"/>
      <c r="Z119" s="29"/>
      <c r="AA119" s="30"/>
      <c r="AB119" s="30"/>
      <c r="AC119" s="30"/>
      <c r="AD119" s="30"/>
      <c r="AE119" s="30"/>
      <c r="AF119" s="32"/>
      <c r="AG119" s="33"/>
      <c r="AH119" s="33"/>
      <c r="AI119" s="29"/>
      <c r="AJ119" s="32"/>
      <c r="AK119" s="32"/>
      <c r="AL119" s="29"/>
      <c r="AN119" s="34" t="str">
        <f aca="false">IF($B119="","",IF(OR(C119="",D119="",E119="",G119="",I119="",J119="",L119="",O119="",P119=""),"Champ obligatoire manquant",IF(OR(AND(N119&lt;&gt;"",N119&gt;O119),O119&gt;P119,AND(Q119&lt;&gt;"",Q119&lt;P119),AND(R119&lt;&gt;"",R119&lt;P119),AND(S119&lt;&gt;"",S119&lt;R119),AND(S119&lt;&gt;"",R119=""),AND(T119&lt;&gt;"",T119&lt;O119),AND(U119&lt;&gt;"",U119&lt;O119)),"Chronologie incohérente",IF(AND(OR(L119="Résolu",L119="Clos"),R119=""),"Date de résolution manquante",IF(AND(L119="Clos",S119=""),"Date de clôture manquante",IF(AND(K119="Oui",AC119=""),"Classification DORA manquante","OK"))))))</f>
        <v/>
      </c>
      <c r="AO119" s="35" t="str">
        <f aca="false">IF($B119="","",IF(AND(C119="Incident",L119&lt;&gt;"Annulé"),1,0))</f>
        <v/>
      </c>
      <c r="AP119" s="35" t="str">
        <f aca="false">IF($B119="","",IF(AND(C119="Quasi-incident",L119&lt;&gt;"Annulé"),1,0))</f>
        <v/>
      </c>
      <c r="AQ119" s="35" t="str">
        <f aca="false">IF($B119="","",AO119+AP119)</f>
        <v/>
      </c>
      <c r="AR119" s="36" t="str">
        <f aca="false">IF(OR($B119="",J119=""),"",IFERROR(VALUE(LEFT(J119,1)),""))</f>
        <v/>
      </c>
      <c r="AS119" s="35" t="str">
        <f aca="false">IF(OR(AO119&lt;&gt;1,G119=""),"",IFERROR(IF(INDEX(L_SrcInterne,MATCH(G119,L_Sources,0))="Oui",1,0),""))</f>
        <v/>
      </c>
      <c r="AT119" s="37" t="str">
        <f aca="false">IF(AO119&lt;&gt;1,"",IFERROR(ROUND(IF(OR(N119="",O119=""),"",IF(O119&lt;N119,"",ROUND(((NETWORKDAYS(N119,O119,JoursFeries)-1)*(HFer-HOuv)+IF(NETWORKDAYS(O119,O119,JoursFeries),MEDIAN(MOD(O119,1),HFer,HOuv),HFer)-IF(NETWORKDAYS(N119,N119,JoursFeries),MEDIAN(MOD(N119,1),HFer,HOuv),HOuv))*24,4)))/HJour,4),""))</f>
        <v/>
      </c>
      <c r="AU119" s="37" t="str">
        <f aca="false">IF(AO119&lt;&gt;1,"",IF(OR(O119="",P119=""),"",IF(P119&lt;O119,"",ROUND(((NETWORKDAYS(O119,P119,JoursFeries)-1)*(HFer-HOuv)+IF(NETWORKDAYS(P119,P119,JoursFeries),MEDIAN(MOD(P119,1),HFer,HOuv),HFer)-IF(NETWORKDAYS(O119,O119,JoursFeries),MEDIAN(MOD(O119,1),HFer,HOuv),HOuv))*24,4))))</f>
        <v/>
      </c>
      <c r="AV119" s="37" t="str">
        <f aca="false">IF(AO119&lt;&gt;1,"",IF(OR(P119="",Q119=""),"",IF(Q119&lt;P119,"",ROUND(((NETWORKDAYS(P119,Q119,JoursFeries)-1)*(HFer-HOuv)+IF(NETWORKDAYS(Q119,Q119,JoursFeries),MEDIAN(MOD(Q119,1),HFer,HOuv),HFer)-IF(NETWORKDAYS(P119,P119,JoursFeries),MEDIAN(MOD(P119,1),HFer,HOuv),HOuv))*24,4))))</f>
        <v/>
      </c>
      <c r="AW119" s="37" t="str">
        <f aca="false">IF(AO119&lt;&gt;1,"",IFERROR(ROUND(IF(OR(P119="",R119=""),"",IF(R119&lt;P119,"",ROUND(((NETWORKDAYS(P119,R119,JoursFeries)-1)*(HFer-HOuv)+IF(NETWORKDAYS(R119,R119,JoursFeries),MEDIAN(MOD(R119,1),HFer,HOuv),HFer)-IF(NETWORKDAYS(P119,P119,JoursFeries),MEDIAN(MOD(P119,1),HFer,HOuv),HOuv))*24,4)))/HJour,4),""))</f>
        <v/>
      </c>
      <c r="AX119" s="37" t="str">
        <f aca="false">IF(AO119&lt;&gt;1,"",IFERROR(ROUND(IF(OR(P119="",S119=""),"",IF(S119&lt;P119,"",ROUND(((NETWORKDAYS(P119,S119,JoursFeries)-1)*(HFer-HOuv)+IF(NETWORKDAYS(S119,S119,JoursFeries),MEDIAN(MOD(S119,1),HFer,HOuv),HFer)-IF(NETWORKDAYS(P119,P119,JoursFeries),MEDIAN(MOD(P119,1),HFer,HOuv),HOuv))*24,4)))/HJour,4),""))</f>
        <v/>
      </c>
      <c r="AY119" s="36" t="str">
        <f aca="false">IF(OR(AO119&lt;&gt;1,AR119=""),"",INDEX(SLA_PEC,AR119))</f>
        <v/>
      </c>
      <c r="AZ119" s="35" t="str">
        <f aca="false">IF(OR(AV119="",AY119=""),"",IF(AV119&lt;=AY119,1,0))</f>
        <v/>
      </c>
      <c r="BA119" s="36" t="str">
        <f aca="false">IF(OR(AO119&lt;&gt;1,AR119=""),"",INDEX(SLA_RES,AR119))</f>
        <v/>
      </c>
      <c r="BB119" s="35" t="str">
        <f aca="false">IF(OR(AW119="",BA119=""),"",IF(AW119&lt;=BA119,1,0))</f>
        <v/>
      </c>
      <c r="BC119" s="38" t="str">
        <f aca="false">IF(OR(BA119="",P119=""),"",WORKDAY(INT(P119),BA119,JoursFeries)+MOD(P119,1))</f>
        <v/>
      </c>
      <c r="BD119" s="39" t="str">
        <f aca="false">IF(AO119&lt;&gt;1,"",IF(OR(AB119&lt;&gt;"",AD119&lt;&gt;""),4,IF(U119&lt;&gt;"",3,IF(T119&lt;&gt;"",2,1))))</f>
        <v/>
      </c>
      <c r="BE119" s="39" t="str">
        <f aca="false">IF(OR(AO119&lt;&gt;1,AR119=""),"",INDEX(NIV_REQ,AR119))</f>
        <v/>
      </c>
      <c r="BF119" s="39" t="str">
        <f aca="false">IF(BE119="","",MAX(BE119,IF(OR(K119="Oui",Z119="Oui"),4,1)))</f>
        <v/>
      </c>
      <c r="BG119" s="35" t="str">
        <f aca="false">IF(OR(BF119="",BD119=""),"",IF(BD119&gt;=BF119,1,0))</f>
        <v/>
      </c>
      <c r="BH119" s="38" t="str">
        <f aca="false">IF(BE119="","",IF(BE119&lt;2,"",IF(BE119=2,IF(AND(T119="",U119=""),"",MIN(T119,U119)),IF(U119="","",U119))))</f>
        <v/>
      </c>
      <c r="BI119" s="37" t="str">
        <f aca="false">IF(BH119="","",IF(OR(O119="",BH119=""),"",IF(BH119&lt;O119,"",ROUND(((NETWORKDAYS(O119,BH119,JoursFeries)-1)*(HFer-HOuv)+IF(NETWORKDAYS(BH119,BH119,JoursFeries),MEDIAN(MOD(BH119,1),HFer,HOuv),HFer)-IF(NETWORKDAYS(O119,O119,JoursFeries),MEDIAN(MOD(O119,1),HFer,HOuv),HOuv))*24,4))))</f>
        <v/>
      </c>
      <c r="BJ119" s="35" t="str">
        <f aca="false">IF(OR(BI119="",AR119=""),"",IF(BI119&lt;=INDEX(DELAI_ESC,AR119),1,0))</f>
        <v/>
      </c>
      <c r="BK119" s="38" t="str">
        <f aca="false">IF(AO119&lt;&gt;1,"",IF(AND(T119="",U119=""),"",MIN(T119,U119)))</f>
        <v/>
      </c>
      <c r="BL119" s="37" t="str">
        <f aca="false">IF(OR(BK119="",R119=""),"",IFERROR(ROUND(IF(OR(BK119="",R119=""),"",IF(R119&lt;BK119,"",ROUND(((NETWORKDAYS(BK119,R119,JoursFeries)-1)*(HFer-HOuv)+IF(NETWORKDAYS(R119,R119,JoursFeries),MEDIAN(MOD(R119,1),HFer,HOuv),HFer)-IF(NETWORKDAYS(BK119,BK119,JoursFeries),MEDIAN(MOD(BK119,1),HFer,HOuv),HOuv))*24,4)))/HJour,4),""))</f>
        <v/>
      </c>
      <c r="BM119" s="35" t="str">
        <f aca="false">IF(OR(AO119&lt;&gt;1,R119=""),"",IF(BD119=1,1,0))</f>
        <v/>
      </c>
      <c r="BN119" s="35" t="str">
        <f aca="false">IF(AO119&lt;&gt;1,"",IF(W119="Oui",1,0))</f>
        <v/>
      </c>
      <c r="BO119" s="35" t="str">
        <f aca="false">IF(AO119&lt;&gt;1,"",IF(X119&lt;&gt;"",1,0))</f>
        <v/>
      </c>
      <c r="BP119" s="35" t="str">
        <f aca="false">IF(AO119&lt;&gt;1,"",IF(Y119="Oui",1,0))</f>
        <v/>
      </c>
      <c r="BQ119" s="35" t="str">
        <f aca="true">IF(OR(AO119&lt;&gt;1,Z119&lt;&gt;"Oui"),"",IF(AB119="",IF(AND(AA119&lt;&gt;"",NOW()&gt;AA119),0,""),IF(AA119="","",IF(AB119&lt;=AA119,1,0))))</f>
        <v/>
      </c>
      <c r="BR119" s="38" t="str">
        <f aca="false">IF(OR(AO119&lt;&gt;1,K119&lt;&gt;"Oui",O119=""),"",IF(AC119="",O119+DORA_H_DET/24,IF(AC119-O119&lt;=DORA_H_DET/24,MIN(AC119+DORA_H_CLA/24,O119+DORA_H_DET/24),AC119+DORA_H_CLA/24)))</f>
        <v/>
      </c>
      <c r="BS119" s="35" t="str">
        <f aca="true">IF(BR119="","",IF(AD119="",IF(NOW()&gt;BR119,0,""),IF(AD119&lt;=BR119,1,0)))</f>
        <v/>
      </c>
      <c r="BT119" s="35" t="str">
        <f aca="true">IF(OR(BR119="",AD119=""),"",IF(AE119="",IF(NOW()&gt;AD119+DORA_H_INT/24,0,""),IF(AE119&lt;=AD119+DORA_H_INT/24,1,0)))</f>
        <v/>
      </c>
      <c r="BU119" s="35" t="str">
        <f aca="true">IF(OR(BR119="",AE119=""),"",IF(AF119="",IF(NOW()&gt;EDATE(AE119,DORA_M_FIN)+1,0,""),IF(AF119&lt;=EDATE(AE119,DORA_M_FIN),1,0)))</f>
        <v/>
      </c>
      <c r="BV119" s="35" t="str">
        <f aca="false">IF(BR119="","",IF(COUNT(BS119:BU119)=0,"",MIN(BS119:BU119)))</f>
        <v/>
      </c>
      <c r="BW119" s="40" t="str">
        <f aca="false">IF(AQ119&lt;&gt;1,"",IF(AND(AG119="",AH119=""),"",N(AG119)-N(AH119)))</f>
        <v/>
      </c>
      <c r="BX119" s="35" t="str">
        <f aca="true">IF(OR(AQ119&lt;&gt;1,AI119&lt;&gt;"Oui",AJ119=""),"",IF(AK119="",IF(NOW()&gt;AJ119+1,0,""),IF(AK119&lt;=AJ119,1,0)))</f>
        <v/>
      </c>
    </row>
    <row r="120" customFormat="false" ht="15" hidden="false" customHeight="false" outlineLevel="0" collapsed="false">
      <c r="B120" s="29"/>
      <c r="C120" s="29"/>
      <c r="D120" s="29"/>
      <c r="E120" s="29"/>
      <c r="F120" s="29"/>
      <c r="G120" s="29"/>
      <c r="H120" s="29"/>
      <c r="I120" s="29"/>
      <c r="J120" s="29"/>
      <c r="K120" s="29"/>
      <c r="L120" s="29"/>
      <c r="M120" s="29"/>
      <c r="N120" s="30"/>
      <c r="O120" s="30"/>
      <c r="P120" s="30"/>
      <c r="Q120" s="30"/>
      <c r="R120" s="30"/>
      <c r="S120" s="30"/>
      <c r="T120" s="30"/>
      <c r="U120" s="30"/>
      <c r="V120" s="31"/>
      <c r="W120" s="29"/>
      <c r="X120" s="29"/>
      <c r="Y120" s="29"/>
      <c r="Z120" s="29"/>
      <c r="AA120" s="30"/>
      <c r="AB120" s="30"/>
      <c r="AC120" s="30"/>
      <c r="AD120" s="30"/>
      <c r="AE120" s="30"/>
      <c r="AF120" s="32"/>
      <c r="AG120" s="33"/>
      <c r="AH120" s="33"/>
      <c r="AI120" s="29"/>
      <c r="AJ120" s="32"/>
      <c r="AK120" s="32"/>
      <c r="AL120" s="29"/>
      <c r="AN120" s="34" t="str">
        <f aca="false">IF($B120="","",IF(OR(C120="",D120="",E120="",G120="",I120="",J120="",L120="",O120="",P120=""),"Champ obligatoire manquant",IF(OR(AND(N120&lt;&gt;"",N120&gt;O120),O120&gt;P120,AND(Q120&lt;&gt;"",Q120&lt;P120),AND(R120&lt;&gt;"",R120&lt;P120),AND(S120&lt;&gt;"",S120&lt;R120),AND(S120&lt;&gt;"",R120=""),AND(T120&lt;&gt;"",T120&lt;O120),AND(U120&lt;&gt;"",U120&lt;O120)),"Chronologie incohérente",IF(AND(OR(L120="Résolu",L120="Clos"),R120=""),"Date de résolution manquante",IF(AND(L120="Clos",S120=""),"Date de clôture manquante",IF(AND(K120="Oui",AC120=""),"Classification DORA manquante","OK"))))))</f>
        <v/>
      </c>
      <c r="AO120" s="35" t="str">
        <f aca="false">IF($B120="","",IF(AND(C120="Incident",L120&lt;&gt;"Annulé"),1,0))</f>
        <v/>
      </c>
      <c r="AP120" s="35" t="str">
        <f aca="false">IF($B120="","",IF(AND(C120="Quasi-incident",L120&lt;&gt;"Annulé"),1,0))</f>
        <v/>
      </c>
      <c r="AQ120" s="35" t="str">
        <f aca="false">IF($B120="","",AO120+AP120)</f>
        <v/>
      </c>
      <c r="AR120" s="36" t="str">
        <f aca="false">IF(OR($B120="",J120=""),"",IFERROR(VALUE(LEFT(J120,1)),""))</f>
        <v/>
      </c>
      <c r="AS120" s="35" t="str">
        <f aca="false">IF(OR(AO120&lt;&gt;1,G120=""),"",IFERROR(IF(INDEX(L_SrcInterne,MATCH(G120,L_Sources,0))="Oui",1,0),""))</f>
        <v/>
      </c>
      <c r="AT120" s="37" t="str">
        <f aca="false">IF(AO120&lt;&gt;1,"",IFERROR(ROUND(IF(OR(N120="",O120=""),"",IF(O120&lt;N120,"",ROUND(((NETWORKDAYS(N120,O120,JoursFeries)-1)*(HFer-HOuv)+IF(NETWORKDAYS(O120,O120,JoursFeries),MEDIAN(MOD(O120,1),HFer,HOuv),HFer)-IF(NETWORKDAYS(N120,N120,JoursFeries),MEDIAN(MOD(N120,1),HFer,HOuv),HOuv))*24,4)))/HJour,4),""))</f>
        <v/>
      </c>
      <c r="AU120" s="37" t="str">
        <f aca="false">IF(AO120&lt;&gt;1,"",IF(OR(O120="",P120=""),"",IF(P120&lt;O120,"",ROUND(((NETWORKDAYS(O120,P120,JoursFeries)-1)*(HFer-HOuv)+IF(NETWORKDAYS(P120,P120,JoursFeries),MEDIAN(MOD(P120,1),HFer,HOuv),HFer)-IF(NETWORKDAYS(O120,O120,JoursFeries),MEDIAN(MOD(O120,1),HFer,HOuv),HOuv))*24,4))))</f>
        <v/>
      </c>
      <c r="AV120" s="37" t="str">
        <f aca="false">IF(AO120&lt;&gt;1,"",IF(OR(P120="",Q120=""),"",IF(Q120&lt;P120,"",ROUND(((NETWORKDAYS(P120,Q120,JoursFeries)-1)*(HFer-HOuv)+IF(NETWORKDAYS(Q120,Q120,JoursFeries),MEDIAN(MOD(Q120,1),HFer,HOuv),HFer)-IF(NETWORKDAYS(P120,P120,JoursFeries),MEDIAN(MOD(P120,1),HFer,HOuv),HOuv))*24,4))))</f>
        <v/>
      </c>
      <c r="AW120" s="37" t="str">
        <f aca="false">IF(AO120&lt;&gt;1,"",IFERROR(ROUND(IF(OR(P120="",R120=""),"",IF(R120&lt;P120,"",ROUND(((NETWORKDAYS(P120,R120,JoursFeries)-1)*(HFer-HOuv)+IF(NETWORKDAYS(R120,R120,JoursFeries),MEDIAN(MOD(R120,1),HFer,HOuv),HFer)-IF(NETWORKDAYS(P120,P120,JoursFeries),MEDIAN(MOD(P120,1),HFer,HOuv),HOuv))*24,4)))/HJour,4),""))</f>
        <v/>
      </c>
      <c r="AX120" s="37" t="str">
        <f aca="false">IF(AO120&lt;&gt;1,"",IFERROR(ROUND(IF(OR(P120="",S120=""),"",IF(S120&lt;P120,"",ROUND(((NETWORKDAYS(P120,S120,JoursFeries)-1)*(HFer-HOuv)+IF(NETWORKDAYS(S120,S120,JoursFeries),MEDIAN(MOD(S120,1),HFer,HOuv),HFer)-IF(NETWORKDAYS(P120,P120,JoursFeries),MEDIAN(MOD(P120,1),HFer,HOuv),HOuv))*24,4)))/HJour,4),""))</f>
        <v/>
      </c>
      <c r="AY120" s="36" t="str">
        <f aca="false">IF(OR(AO120&lt;&gt;1,AR120=""),"",INDEX(SLA_PEC,AR120))</f>
        <v/>
      </c>
      <c r="AZ120" s="35" t="str">
        <f aca="false">IF(OR(AV120="",AY120=""),"",IF(AV120&lt;=AY120,1,0))</f>
        <v/>
      </c>
      <c r="BA120" s="36" t="str">
        <f aca="false">IF(OR(AO120&lt;&gt;1,AR120=""),"",INDEX(SLA_RES,AR120))</f>
        <v/>
      </c>
      <c r="BB120" s="35" t="str">
        <f aca="false">IF(OR(AW120="",BA120=""),"",IF(AW120&lt;=BA120,1,0))</f>
        <v/>
      </c>
      <c r="BC120" s="38" t="str">
        <f aca="false">IF(OR(BA120="",P120=""),"",WORKDAY(INT(P120),BA120,JoursFeries)+MOD(P120,1))</f>
        <v/>
      </c>
      <c r="BD120" s="39" t="str">
        <f aca="false">IF(AO120&lt;&gt;1,"",IF(OR(AB120&lt;&gt;"",AD120&lt;&gt;""),4,IF(U120&lt;&gt;"",3,IF(T120&lt;&gt;"",2,1))))</f>
        <v/>
      </c>
      <c r="BE120" s="39" t="str">
        <f aca="false">IF(OR(AO120&lt;&gt;1,AR120=""),"",INDEX(NIV_REQ,AR120))</f>
        <v/>
      </c>
      <c r="BF120" s="39" t="str">
        <f aca="false">IF(BE120="","",MAX(BE120,IF(OR(K120="Oui",Z120="Oui"),4,1)))</f>
        <v/>
      </c>
      <c r="BG120" s="35" t="str">
        <f aca="false">IF(OR(BF120="",BD120=""),"",IF(BD120&gt;=BF120,1,0))</f>
        <v/>
      </c>
      <c r="BH120" s="38" t="str">
        <f aca="false">IF(BE120="","",IF(BE120&lt;2,"",IF(BE120=2,IF(AND(T120="",U120=""),"",MIN(T120,U120)),IF(U120="","",U120))))</f>
        <v/>
      </c>
      <c r="BI120" s="37" t="str">
        <f aca="false">IF(BH120="","",IF(OR(O120="",BH120=""),"",IF(BH120&lt;O120,"",ROUND(((NETWORKDAYS(O120,BH120,JoursFeries)-1)*(HFer-HOuv)+IF(NETWORKDAYS(BH120,BH120,JoursFeries),MEDIAN(MOD(BH120,1),HFer,HOuv),HFer)-IF(NETWORKDAYS(O120,O120,JoursFeries),MEDIAN(MOD(O120,1),HFer,HOuv),HOuv))*24,4))))</f>
        <v/>
      </c>
      <c r="BJ120" s="35" t="str">
        <f aca="false">IF(OR(BI120="",AR120=""),"",IF(BI120&lt;=INDEX(DELAI_ESC,AR120),1,0))</f>
        <v/>
      </c>
      <c r="BK120" s="38" t="str">
        <f aca="false">IF(AO120&lt;&gt;1,"",IF(AND(T120="",U120=""),"",MIN(T120,U120)))</f>
        <v/>
      </c>
      <c r="BL120" s="37" t="str">
        <f aca="false">IF(OR(BK120="",R120=""),"",IFERROR(ROUND(IF(OR(BK120="",R120=""),"",IF(R120&lt;BK120,"",ROUND(((NETWORKDAYS(BK120,R120,JoursFeries)-1)*(HFer-HOuv)+IF(NETWORKDAYS(R120,R120,JoursFeries),MEDIAN(MOD(R120,1),HFer,HOuv),HFer)-IF(NETWORKDAYS(BK120,BK120,JoursFeries),MEDIAN(MOD(BK120,1),HFer,HOuv),HOuv))*24,4)))/HJour,4),""))</f>
        <v/>
      </c>
      <c r="BM120" s="35" t="str">
        <f aca="false">IF(OR(AO120&lt;&gt;1,R120=""),"",IF(BD120=1,1,0))</f>
        <v/>
      </c>
      <c r="BN120" s="35" t="str">
        <f aca="false">IF(AO120&lt;&gt;1,"",IF(W120="Oui",1,0))</f>
        <v/>
      </c>
      <c r="BO120" s="35" t="str">
        <f aca="false">IF(AO120&lt;&gt;1,"",IF(X120&lt;&gt;"",1,0))</f>
        <v/>
      </c>
      <c r="BP120" s="35" t="str">
        <f aca="false">IF(AO120&lt;&gt;1,"",IF(Y120="Oui",1,0))</f>
        <v/>
      </c>
      <c r="BQ120" s="35" t="str">
        <f aca="true">IF(OR(AO120&lt;&gt;1,Z120&lt;&gt;"Oui"),"",IF(AB120="",IF(AND(AA120&lt;&gt;"",NOW()&gt;AA120),0,""),IF(AA120="","",IF(AB120&lt;=AA120,1,0))))</f>
        <v/>
      </c>
      <c r="BR120" s="38" t="str">
        <f aca="false">IF(OR(AO120&lt;&gt;1,K120&lt;&gt;"Oui",O120=""),"",IF(AC120="",O120+DORA_H_DET/24,IF(AC120-O120&lt;=DORA_H_DET/24,MIN(AC120+DORA_H_CLA/24,O120+DORA_H_DET/24),AC120+DORA_H_CLA/24)))</f>
        <v/>
      </c>
      <c r="BS120" s="35" t="str">
        <f aca="true">IF(BR120="","",IF(AD120="",IF(NOW()&gt;BR120,0,""),IF(AD120&lt;=BR120,1,0)))</f>
        <v/>
      </c>
      <c r="BT120" s="35" t="str">
        <f aca="true">IF(OR(BR120="",AD120=""),"",IF(AE120="",IF(NOW()&gt;AD120+DORA_H_INT/24,0,""),IF(AE120&lt;=AD120+DORA_H_INT/24,1,0)))</f>
        <v/>
      </c>
      <c r="BU120" s="35" t="str">
        <f aca="true">IF(OR(BR120="",AE120=""),"",IF(AF120="",IF(NOW()&gt;EDATE(AE120,DORA_M_FIN)+1,0,""),IF(AF120&lt;=EDATE(AE120,DORA_M_FIN),1,0)))</f>
        <v/>
      </c>
      <c r="BV120" s="35" t="str">
        <f aca="false">IF(BR120="","",IF(COUNT(BS120:BU120)=0,"",MIN(BS120:BU120)))</f>
        <v/>
      </c>
      <c r="BW120" s="40" t="str">
        <f aca="false">IF(AQ120&lt;&gt;1,"",IF(AND(AG120="",AH120=""),"",N(AG120)-N(AH120)))</f>
        <v/>
      </c>
      <c r="BX120" s="35" t="str">
        <f aca="true">IF(OR(AQ120&lt;&gt;1,AI120&lt;&gt;"Oui",AJ120=""),"",IF(AK120="",IF(NOW()&gt;AJ120+1,0,""),IF(AK120&lt;=AJ120,1,0)))</f>
        <v/>
      </c>
    </row>
    <row r="121" customFormat="false" ht="15" hidden="false" customHeight="false" outlineLevel="0" collapsed="false">
      <c r="B121" s="29"/>
      <c r="C121" s="29"/>
      <c r="D121" s="29"/>
      <c r="E121" s="29"/>
      <c r="F121" s="29"/>
      <c r="G121" s="29"/>
      <c r="H121" s="29"/>
      <c r="I121" s="29"/>
      <c r="J121" s="29"/>
      <c r="K121" s="29"/>
      <c r="L121" s="29"/>
      <c r="M121" s="29"/>
      <c r="N121" s="30"/>
      <c r="O121" s="30"/>
      <c r="P121" s="30"/>
      <c r="Q121" s="30"/>
      <c r="R121" s="30"/>
      <c r="S121" s="30"/>
      <c r="T121" s="30"/>
      <c r="U121" s="30"/>
      <c r="V121" s="31"/>
      <c r="W121" s="29"/>
      <c r="X121" s="29"/>
      <c r="Y121" s="29"/>
      <c r="Z121" s="29"/>
      <c r="AA121" s="30"/>
      <c r="AB121" s="30"/>
      <c r="AC121" s="30"/>
      <c r="AD121" s="30"/>
      <c r="AE121" s="30"/>
      <c r="AF121" s="32"/>
      <c r="AG121" s="33"/>
      <c r="AH121" s="33"/>
      <c r="AI121" s="29"/>
      <c r="AJ121" s="32"/>
      <c r="AK121" s="32"/>
      <c r="AL121" s="29"/>
      <c r="AN121" s="34" t="str">
        <f aca="false">IF($B121="","",IF(OR(C121="",D121="",E121="",G121="",I121="",J121="",L121="",O121="",P121=""),"Champ obligatoire manquant",IF(OR(AND(N121&lt;&gt;"",N121&gt;O121),O121&gt;P121,AND(Q121&lt;&gt;"",Q121&lt;P121),AND(R121&lt;&gt;"",R121&lt;P121),AND(S121&lt;&gt;"",S121&lt;R121),AND(S121&lt;&gt;"",R121=""),AND(T121&lt;&gt;"",T121&lt;O121),AND(U121&lt;&gt;"",U121&lt;O121)),"Chronologie incohérente",IF(AND(OR(L121="Résolu",L121="Clos"),R121=""),"Date de résolution manquante",IF(AND(L121="Clos",S121=""),"Date de clôture manquante",IF(AND(K121="Oui",AC121=""),"Classification DORA manquante","OK"))))))</f>
        <v/>
      </c>
      <c r="AO121" s="35" t="str">
        <f aca="false">IF($B121="","",IF(AND(C121="Incident",L121&lt;&gt;"Annulé"),1,0))</f>
        <v/>
      </c>
      <c r="AP121" s="35" t="str">
        <f aca="false">IF($B121="","",IF(AND(C121="Quasi-incident",L121&lt;&gt;"Annulé"),1,0))</f>
        <v/>
      </c>
      <c r="AQ121" s="35" t="str">
        <f aca="false">IF($B121="","",AO121+AP121)</f>
        <v/>
      </c>
      <c r="AR121" s="36" t="str">
        <f aca="false">IF(OR($B121="",J121=""),"",IFERROR(VALUE(LEFT(J121,1)),""))</f>
        <v/>
      </c>
      <c r="AS121" s="35" t="str">
        <f aca="false">IF(OR(AO121&lt;&gt;1,G121=""),"",IFERROR(IF(INDEX(L_SrcInterne,MATCH(G121,L_Sources,0))="Oui",1,0),""))</f>
        <v/>
      </c>
      <c r="AT121" s="37" t="str">
        <f aca="false">IF(AO121&lt;&gt;1,"",IFERROR(ROUND(IF(OR(N121="",O121=""),"",IF(O121&lt;N121,"",ROUND(((NETWORKDAYS(N121,O121,JoursFeries)-1)*(HFer-HOuv)+IF(NETWORKDAYS(O121,O121,JoursFeries),MEDIAN(MOD(O121,1),HFer,HOuv),HFer)-IF(NETWORKDAYS(N121,N121,JoursFeries),MEDIAN(MOD(N121,1),HFer,HOuv),HOuv))*24,4)))/HJour,4),""))</f>
        <v/>
      </c>
      <c r="AU121" s="37" t="str">
        <f aca="false">IF(AO121&lt;&gt;1,"",IF(OR(O121="",P121=""),"",IF(P121&lt;O121,"",ROUND(((NETWORKDAYS(O121,P121,JoursFeries)-1)*(HFer-HOuv)+IF(NETWORKDAYS(P121,P121,JoursFeries),MEDIAN(MOD(P121,1),HFer,HOuv),HFer)-IF(NETWORKDAYS(O121,O121,JoursFeries),MEDIAN(MOD(O121,1),HFer,HOuv),HOuv))*24,4))))</f>
        <v/>
      </c>
      <c r="AV121" s="37" t="str">
        <f aca="false">IF(AO121&lt;&gt;1,"",IF(OR(P121="",Q121=""),"",IF(Q121&lt;P121,"",ROUND(((NETWORKDAYS(P121,Q121,JoursFeries)-1)*(HFer-HOuv)+IF(NETWORKDAYS(Q121,Q121,JoursFeries),MEDIAN(MOD(Q121,1),HFer,HOuv),HFer)-IF(NETWORKDAYS(P121,P121,JoursFeries),MEDIAN(MOD(P121,1),HFer,HOuv),HOuv))*24,4))))</f>
        <v/>
      </c>
      <c r="AW121" s="37" t="str">
        <f aca="false">IF(AO121&lt;&gt;1,"",IFERROR(ROUND(IF(OR(P121="",R121=""),"",IF(R121&lt;P121,"",ROUND(((NETWORKDAYS(P121,R121,JoursFeries)-1)*(HFer-HOuv)+IF(NETWORKDAYS(R121,R121,JoursFeries),MEDIAN(MOD(R121,1),HFer,HOuv),HFer)-IF(NETWORKDAYS(P121,P121,JoursFeries),MEDIAN(MOD(P121,1),HFer,HOuv),HOuv))*24,4)))/HJour,4),""))</f>
        <v/>
      </c>
      <c r="AX121" s="37" t="str">
        <f aca="false">IF(AO121&lt;&gt;1,"",IFERROR(ROUND(IF(OR(P121="",S121=""),"",IF(S121&lt;P121,"",ROUND(((NETWORKDAYS(P121,S121,JoursFeries)-1)*(HFer-HOuv)+IF(NETWORKDAYS(S121,S121,JoursFeries),MEDIAN(MOD(S121,1),HFer,HOuv),HFer)-IF(NETWORKDAYS(P121,P121,JoursFeries),MEDIAN(MOD(P121,1),HFer,HOuv),HOuv))*24,4)))/HJour,4),""))</f>
        <v/>
      </c>
      <c r="AY121" s="36" t="str">
        <f aca="false">IF(OR(AO121&lt;&gt;1,AR121=""),"",INDEX(SLA_PEC,AR121))</f>
        <v/>
      </c>
      <c r="AZ121" s="35" t="str">
        <f aca="false">IF(OR(AV121="",AY121=""),"",IF(AV121&lt;=AY121,1,0))</f>
        <v/>
      </c>
      <c r="BA121" s="36" t="str">
        <f aca="false">IF(OR(AO121&lt;&gt;1,AR121=""),"",INDEX(SLA_RES,AR121))</f>
        <v/>
      </c>
      <c r="BB121" s="35" t="str">
        <f aca="false">IF(OR(AW121="",BA121=""),"",IF(AW121&lt;=BA121,1,0))</f>
        <v/>
      </c>
      <c r="BC121" s="38" t="str">
        <f aca="false">IF(OR(BA121="",P121=""),"",WORKDAY(INT(P121),BA121,JoursFeries)+MOD(P121,1))</f>
        <v/>
      </c>
      <c r="BD121" s="39" t="str">
        <f aca="false">IF(AO121&lt;&gt;1,"",IF(OR(AB121&lt;&gt;"",AD121&lt;&gt;""),4,IF(U121&lt;&gt;"",3,IF(T121&lt;&gt;"",2,1))))</f>
        <v/>
      </c>
      <c r="BE121" s="39" t="str">
        <f aca="false">IF(OR(AO121&lt;&gt;1,AR121=""),"",INDEX(NIV_REQ,AR121))</f>
        <v/>
      </c>
      <c r="BF121" s="39" t="str">
        <f aca="false">IF(BE121="","",MAX(BE121,IF(OR(K121="Oui",Z121="Oui"),4,1)))</f>
        <v/>
      </c>
      <c r="BG121" s="35" t="str">
        <f aca="false">IF(OR(BF121="",BD121=""),"",IF(BD121&gt;=BF121,1,0))</f>
        <v/>
      </c>
      <c r="BH121" s="38" t="str">
        <f aca="false">IF(BE121="","",IF(BE121&lt;2,"",IF(BE121=2,IF(AND(T121="",U121=""),"",MIN(T121,U121)),IF(U121="","",U121))))</f>
        <v/>
      </c>
      <c r="BI121" s="37" t="str">
        <f aca="false">IF(BH121="","",IF(OR(O121="",BH121=""),"",IF(BH121&lt;O121,"",ROUND(((NETWORKDAYS(O121,BH121,JoursFeries)-1)*(HFer-HOuv)+IF(NETWORKDAYS(BH121,BH121,JoursFeries),MEDIAN(MOD(BH121,1),HFer,HOuv),HFer)-IF(NETWORKDAYS(O121,O121,JoursFeries),MEDIAN(MOD(O121,1),HFer,HOuv),HOuv))*24,4))))</f>
        <v/>
      </c>
      <c r="BJ121" s="35" t="str">
        <f aca="false">IF(OR(BI121="",AR121=""),"",IF(BI121&lt;=INDEX(DELAI_ESC,AR121),1,0))</f>
        <v/>
      </c>
      <c r="BK121" s="38" t="str">
        <f aca="false">IF(AO121&lt;&gt;1,"",IF(AND(T121="",U121=""),"",MIN(T121,U121)))</f>
        <v/>
      </c>
      <c r="BL121" s="37" t="str">
        <f aca="false">IF(OR(BK121="",R121=""),"",IFERROR(ROUND(IF(OR(BK121="",R121=""),"",IF(R121&lt;BK121,"",ROUND(((NETWORKDAYS(BK121,R121,JoursFeries)-1)*(HFer-HOuv)+IF(NETWORKDAYS(R121,R121,JoursFeries),MEDIAN(MOD(R121,1),HFer,HOuv),HFer)-IF(NETWORKDAYS(BK121,BK121,JoursFeries),MEDIAN(MOD(BK121,1),HFer,HOuv),HOuv))*24,4)))/HJour,4),""))</f>
        <v/>
      </c>
      <c r="BM121" s="35" t="str">
        <f aca="false">IF(OR(AO121&lt;&gt;1,R121=""),"",IF(BD121=1,1,0))</f>
        <v/>
      </c>
      <c r="BN121" s="35" t="str">
        <f aca="false">IF(AO121&lt;&gt;1,"",IF(W121="Oui",1,0))</f>
        <v/>
      </c>
      <c r="BO121" s="35" t="str">
        <f aca="false">IF(AO121&lt;&gt;1,"",IF(X121&lt;&gt;"",1,0))</f>
        <v/>
      </c>
      <c r="BP121" s="35" t="str">
        <f aca="false">IF(AO121&lt;&gt;1,"",IF(Y121="Oui",1,0))</f>
        <v/>
      </c>
      <c r="BQ121" s="35" t="str">
        <f aca="true">IF(OR(AO121&lt;&gt;1,Z121&lt;&gt;"Oui"),"",IF(AB121="",IF(AND(AA121&lt;&gt;"",NOW()&gt;AA121),0,""),IF(AA121="","",IF(AB121&lt;=AA121,1,0))))</f>
        <v/>
      </c>
      <c r="BR121" s="38" t="str">
        <f aca="false">IF(OR(AO121&lt;&gt;1,K121&lt;&gt;"Oui",O121=""),"",IF(AC121="",O121+DORA_H_DET/24,IF(AC121-O121&lt;=DORA_H_DET/24,MIN(AC121+DORA_H_CLA/24,O121+DORA_H_DET/24),AC121+DORA_H_CLA/24)))</f>
        <v/>
      </c>
      <c r="BS121" s="35" t="str">
        <f aca="true">IF(BR121="","",IF(AD121="",IF(NOW()&gt;BR121,0,""),IF(AD121&lt;=BR121,1,0)))</f>
        <v/>
      </c>
      <c r="BT121" s="35" t="str">
        <f aca="true">IF(OR(BR121="",AD121=""),"",IF(AE121="",IF(NOW()&gt;AD121+DORA_H_INT/24,0,""),IF(AE121&lt;=AD121+DORA_H_INT/24,1,0)))</f>
        <v/>
      </c>
      <c r="BU121" s="35" t="str">
        <f aca="true">IF(OR(BR121="",AE121=""),"",IF(AF121="",IF(NOW()&gt;EDATE(AE121,DORA_M_FIN)+1,0,""),IF(AF121&lt;=EDATE(AE121,DORA_M_FIN),1,0)))</f>
        <v/>
      </c>
      <c r="BV121" s="35" t="str">
        <f aca="false">IF(BR121="","",IF(COUNT(BS121:BU121)=0,"",MIN(BS121:BU121)))</f>
        <v/>
      </c>
      <c r="BW121" s="40" t="str">
        <f aca="false">IF(AQ121&lt;&gt;1,"",IF(AND(AG121="",AH121=""),"",N(AG121)-N(AH121)))</f>
        <v/>
      </c>
      <c r="BX121" s="35" t="str">
        <f aca="true">IF(OR(AQ121&lt;&gt;1,AI121&lt;&gt;"Oui",AJ121=""),"",IF(AK121="",IF(NOW()&gt;AJ121+1,0,""),IF(AK121&lt;=AJ121,1,0)))</f>
        <v/>
      </c>
    </row>
    <row r="122" customFormat="false" ht="15" hidden="false" customHeight="false" outlineLevel="0" collapsed="false">
      <c r="B122" s="29"/>
      <c r="C122" s="29"/>
      <c r="D122" s="29"/>
      <c r="E122" s="29"/>
      <c r="F122" s="29"/>
      <c r="G122" s="29"/>
      <c r="H122" s="29"/>
      <c r="I122" s="29"/>
      <c r="J122" s="29"/>
      <c r="K122" s="29"/>
      <c r="L122" s="29"/>
      <c r="M122" s="29"/>
      <c r="N122" s="30"/>
      <c r="O122" s="30"/>
      <c r="P122" s="30"/>
      <c r="Q122" s="30"/>
      <c r="R122" s="30"/>
      <c r="S122" s="30"/>
      <c r="T122" s="30"/>
      <c r="U122" s="30"/>
      <c r="V122" s="31"/>
      <c r="W122" s="29"/>
      <c r="X122" s="29"/>
      <c r="Y122" s="29"/>
      <c r="Z122" s="29"/>
      <c r="AA122" s="30"/>
      <c r="AB122" s="30"/>
      <c r="AC122" s="30"/>
      <c r="AD122" s="30"/>
      <c r="AE122" s="30"/>
      <c r="AF122" s="32"/>
      <c r="AG122" s="33"/>
      <c r="AH122" s="33"/>
      <c r="AI122" s="29"/>
      <c r="AJ122" s="32"/>
      <c r="AK122" s="32"/>
      <c r="AL122" s="29"/>
      <c r="AN122" s="34" t="str">
        <f aca="false">IF($B122="","",IF(OR(C122="",D122="",E122="",G122="",I122="",J122="",L122="",O122="",P122=""),"Champ obligatoire manquant",IF(OR(AND(N122&lt;&gt;"",N122&gt;O122),O122&gt;P122,AND(Q122&lt;&gt;"",Q122&lt;P122),AND(R122&lt;&gt;"",R122&lt;P122),AND(S122&lt;&gt;"",S122&lt;R122),AND(S122&lt;&gt;"",R122=""),AND(T122&lt;&gt;"",T122&lt;O122),AND(U122&lt;&gt;"",U122&lt;O122)),"Chronologie incohérente",IF(AND(OR(L122="Résolu",L122="Clos"),R122=""),"Date de résolution manquante",IF(AND(L122="Clos",S122=""),"Date de clôture manquante",IF(AND(K122="Oui",AC122=""),"Classification DORA manquante","OK"))))))</f>
        <v/>
      </c>
      <c r="AO122" s="35" t="str">
        <f aca="false">IF($B122="","",IF(AND(C122="Incident",L122&lt;&gt;"Annulé"),1,0))</f>
        <v/>
      </c>
      <c r="AP122" s="35" t="str">
        <f aca="false">IF($B122="","",IF(AND(C122="Quasi-incident",L122&lt;&gt;"Annulé"),1,0))</f>
        <v/>
      </c>
      <c r="AQ122" s="35" t="str">
        <f aca="false">IF($B122="","",AO122+AP122)</f>
        <v/>
      </c>
      <c r="AR122" s="36" t="str">
        <f aca="false">IF(OR($B122="",J122=""),"",IFERROR(VALUE(LEFT(J122,1)),""))</f>
        <v/>
      </c>
      <c r="AS122" s="35" t="str">
        <f aca="false">IF(OR(AO122&lt;&gt;1,G122=""),"",IFERROR(IF(INDEX(L_SrcInterne,MATCH(G122,L_Sources,0))="Oui",1,0),""))</f>
        <v/>
      </c>
      <c r="AT122" s="37" t="str">
        <f aca="false">IF(AO122&lt;&gt;1,"",IFERROR(ROUND(IF(OR(N122="",O122=""),"",IF(O122&lt;N122,"",ROUND(((NETWORKDAYS(N122,O122,JoursFeries)-1)*(HFer-HOuv)+IF(NETWORKDAYS(O122,O122,JoursFeries),MEDIAN(MOD(O122,1),HFer,HOuv),HFer)-IF(NETWORKDAYS(N122,N122,JoursFeries),MEDIAN(MOD(N122,1),HFer,HOuv),HOuv))*24,4)))/HJour,4),""))</f>
        <v/>
      </c>
      <c r="AU122" s="37" t="str">
        <f aca="false">IF(AO122&lt;&gt;1,"",IF(OR(O122="",P122=""),"",IF(P122&lt;O122,"",ROUND(((NETWORKDAYS(O122,P122,JoursFeries)-1)*(HFer-HOuv)+IF(NETWORKDAYS(P122,P122,JoursFeries),MEDIAN(MOD(P122,1),HFer,HOuv),HFer)-IF(NETWORKDAYS(O122,O122,JoursFeries),MEDIAN(MOD(O122,1),HFer,HOuv),HOuv))*24,4))))</f>
        <v/>
      </c>
      <c r="AV122" s="37" t="str">
        <f aca="false">IF(AO122&lt;&gt;1,"",IF(OR(P122="",Q122=""),"",IF(Q122&lt;P122,"",ROUND(((NETWORKDAYS(P122,Q122,JoursFeries)-1)*(HFer-HOuv)+IF(NETWORKDAYS(Q122,Q122,JoursFeries),MEDIAN(MOD(Q122,1),HFer,HOuv),HFer)-IF(NETWORKDAYS(P122,P122,JoursFeries),MEDIAN(MOD(P122,1),HFer,HOuv),HOuv))*24,4))))</f>
        <v/>
      </c>
      <c r="AW122" s="37" t="str">
        <f aca="false">IF(AO122&lt;&gt;1,"",IFERROR(ROUND(IF(OR(P122="",R122=""),"",IF(R122&lt;P122,"",ROUND(((NETWORKDAYS(P122,R122,JoursFeries)-1)*(HFer-HOuv)+IF(NETWORKDAYS(R122,R122,JoursFeries),MEDIAN(MOD(R122,1),HFer,HOuv),HFer)-IF(NETWORKDAYS(P122,P122,JoursFeries),MEDIAN(MOD(P122,1),HFer,HOuv),HOuv))*24,4)))/HJour,4),""))</f>
        <v/>
      </c>
      <c r="AX122" s="37" t="str">
        <f aca="false">IF(AO122&lt;&gt;1,"",IFERROR(ROUND(IF(OR(P122="",S122=""),"",IF(S122&lt;P122,"",ROUND(((NETWORKDAYS(P122,S122,JoursFeries)-1)*(HFer-HOuv)+IF(NETWORKDAYS(S122,S122,JoursFeries),MEDIAN(MOD(S122,1),HFer,HOuv),HFer)-IF(NETWORKDAYS(P122,P122,JoursFeries),MEDIAN(MOD(P122,1),HFer,HOuv),HOuv))*24,4)))/HJour,4),""))</f>
        <v/>
      </c>
      <c r="AY122" s="36" t="str">
        <f aca="false">IF(OR(AO122&lt;&gt;1,AR122=""),"",INDEX(SLA_PEC,AR122))</f>
        <v/>
      </c>
      <c r="AZ122" s="35" t="str">
        <f aca="false">IF(OR(AV122="",AY122=""),"",IF(AV122&lt;=AY122,1,0))</f>
        <v/>
      </c>
      <c r="BA122" s="36" t="str">
        <f aca="false">IF(OR(AO122&lt;&gt;1,AR122=""),"",INDEX(SLA_RES,AR122))</f>
        <v/>
      </c>
      <c r="BB122" s="35" t="str">
        <f aca="false">IF(OR(AW122="",BA122=""),"",IF(AW122&lt;=BA122,1,0))</f>
        <v/>
      </c>
      <c r="BC122" s="38" t="str">
        <f aca="false">IF(OR(BA122="",P122=""),"",WORKDAY(INT(P122),BA122,JoursFeries)+MOD(P122,1))</f>
        <v/>
      </c>
      <c r="BD122" s="39" t="str">
        <f aca="false">IF(AO122&lt;&gt;1,"",IF(OR(AB122&lt;&gt;"",AD122&lt;&gt;""),4,IF(U122&lt;&gt;"",3,IF(T122&lt;&gt;"",2,1))))</f>
        <v/>
      </c>
      <c r="BE122" s="39" t="str">
        <f aca="false">IF(OR(AO122&lt;&gt;1,AR122=""),"",INDEX(NIV_REQ,AR122))</f>
        <v/>
      </c>
      <c r="BF122" s="39" t="str">
        <f aca="false">IF(BE122="","",MAX(BE122,IF(OR(K122="Oui",Z122="Oui"),4,1)))</f>
        <v/>
      </c>
      <c r="BG122" s="35" t="str">
        <f aca="false">IF(OR(BF122="",BD122=""),"",IF(BD122&gt;=BF122,1,0))</f>
        <v/>
      </c>
      <c r="BH122" s="38" t="str">
        <f aca="false">IF(BE122="","",IF(BE122&lt;2,"",IF(BE122=2,IF(AND(T122="",U122=""),"",MIN(T122,U122)),IF(U122="","",U122))))</f>
        <v/>
      </c>
      <c r="BI122" s="37" t="str">
        <f aca="false">IF(BH122="","",IF(OR(O122="",BH122=""),"",IF(BH122&lt;O122,"",ROUND(((NETWORKDAYS(O122,BH122,JoursFeries)-1)*(HFer-HOuv)+IF(NETWORKDAYS(BH122,BH122,JoursFeries),MEDIAN(MOD(BH122,1),HFer,HOuv),HFer)-IF(NETWORKDAYS(O122,O122,JoursFeries),MEDIAN(MOD(O122,1),HFer,HOuv),HOuv))*24,4))))</f>
        <v/>
      </c>
      <c r="BJ122" s="35" t="str">
        <f aca="false">IF(OR(BI122="",AR122=""),"",IF(BI122&lt;=INDEX(DELAI_ESC,AR122),1,0))</f>
        <v/>
      </c>
      <c r="BK122" s="38" t="str">
        <f aca="false">IF(AO122&lt;&gt;1,"",IF(AND(T122="",U122=""),"",MIN(T122,U122)))</f>
        <v/>
      </c>
      <c r="BL122" s="37" t="str">
        <f aca="false">IF(OR(BK122="",R122=""),"",IFERROR(ROUND(IF(OR(BK122="",R122=""),"",IF(R122&lt;BK122,"",ROUND(((NETWORKDAYS(BK122,R122,JoursFeries)-1)*(HFer-HOuv)+IF(NETWORKDAYS(R122,R122,JoursFeries),MEDIAN(MOD(R122,1),HFer,HOuv),HFer)-IF(NETWORKDAYS(BK122,BK122,JoursFeries),MEDIAN(MOD(BK122,1),HFer,HOuv),HOuv))*24,4)))/HJour,4),""))</f>
        <v/>
      </c>
      <c r="BM122" s="35" t="str">
        <f aca="false">IF(OR(AO122&lt;&gt;1,R122=""),"",IF(BD122=1,1,0))</f>
        <v/>
      </c>
      <c r="BN122" s="35" t="str">
        <f aca="false">IF(AO122&lt;&gt;1,"",IF(W122="Oui",1,0))</f>
        <v/>
      </c>
      <c r="BO122" s="35" t="str">
        <f aca="false">IF(AO122&lt;&gt;1,"",IF(X122&lt;&gt;"",1,0))</f>
        <v/>
      </c>
      <c r="BP122" s="35" t="str">
        <f aca="false">IF(AO122&lt;&gt;1,"",IF(Y122="Oui",1,0))</f>
        <v/>
      </c>
      <c r="BQ122" s="35" t="str">
        <f aca="true">IF(OR(AO122&lt;&gt;1,Z122&lt;&gt;"Oui"),"",IF(AB122="",IF(AND(AA122&lt;&gt;"",NOW()&gt;AA122),0,""),IF(AA122="","",IF(AB122&lt;=AA122,1,0))))</f>
        <v/>
      </c>
      <c r="BR122" s="38" t="str">
        <f aca="false">IF(OR(AO122&lt;&gt;1,K122&lt;&gt;"Oui",O122=""),"",IF(AC122="",O122+DORA_H_DET/24,IF(AC122-O122&lt;=DORA_H_DET/24,MIN(AC122+DORA_H_CLA/24,O122+DORA_H_DET/24),AC122+DORA_H_CLA/24)))</f>
        <v/>
      </c>
      <c r="BS122" s="35" t="str">
        <f aca="true">IF(BR122="","",IF(AD122="",IF(NOW()&gt;BR122,0,""),IF(AD122&lt;=BR122,1,0)))</f>
        <v/>
      </c>
      <c r="BT122" s="35" t="str">
        <f aca="true">IF(OR(BR122="",AD122=""),"",IF(AE122="",IF(NOW()&gt;AD122+DORA_H_INT/24,0,""),IF(AE122&lt;=AD122+DORA_H_INT/24,1,0)))</f>
        <v/>
      </c>
      <c r="BU122" s="35" t="str">
        <f aca="true">IF(OR(BR122="",AE122=""),"",IF(AF122="",IF(NOW()&gt;EDATE(AE122,DORA_M_FIN)+1,0,""),IF(AF122&lt;=EDATE(AE122,DORA_M_FIN),1,0)))</f>
        <v/>
      </c>
      <c r="BV122" s="35" t="str">
        <f aca="false">IF(BR122="","",IF(COUNT(BS122:BU122)=0,"",MIN(BS122:BU122)))</f>
        <v/>
      </c>
      <c r="BW122" s="40" t="str">
        <f aca="false">IF(AQ122&lt;&gt;1,"",IF(AND(AG122="",AH122=""),"",N(AG122)-N(AH122)))</f>
        <v/>
      </c>
      <c r="BX122" s="35" t="str">
        <f aca="true">IF(OR(AQ122&lt;&gt;1,AI122&lt;&gt;"Oui",AJ122=""),"",IF(AK122="",IF(NOW()&gt;AJ122+1,0,""),IF(AK122&lt;=AJ122,1,0)))</f>
        <v/>
      </c>
    </row>
    <row r="123" customFormat="false" ht="15" hidden="false" customHeight="false" outlineLevel="0" collapsed="false">
      <c r="B123" s="29"/>
      <c r="C123" s="29"/>
      <c r="D123" s="29"/>
      <c r="E123" s="29"/>
      <c r="F123" s="29"/>
      <c r="G123" s="29"/>
      <c r="H123" s="29"/>
      <c r="I123" s="29"/>
      <c r="J123" s="29"/>
      <c r="K123" s="29"/>
      <c r="L123" s="29"/>
      <c r="M123" s="29"/>
      <c r="N123" s="30"/>
      <c r="O123" s="30"/>
      <c r="P123" s="30"/>
      <c r="Q123" s="30"/>
      <c r="R123" s="30"/>
      <c r="S123" s="30"/>
      <c r="T123" s="30"/>
      <c r="U123" s="30"/>
      <c r="V123" s="31"/>
      <c r="W123" s="29"/>
      <c r="X123" s="29"/>
      <c r="Y123" s="29"/>
      <c r="Z123" s="29"/>
      <c r="AA123" s="30"/>
      <c r="AB123" s="30"/>
      <c r="AC123" s="30"/>
      <c r="AD123" s="30"/>
      <c r="AE123" s="30"/>
      <c r="AF123" s="32"/>
      <c r="AG123" s="33"/>
      <c r="AH123" s="33"/>
      <c r="AI123" s="29"/>
      <c r="AJ123" s="32"/>
      <c r="AK123" s="32"/>
      <c r="AL123" s="29"/>
      <c r="AN123" s="34" t="str">
        <f aca="false">IF($B123="","",IF(OR(C123="",D123="",E123="",G123="",I123="",J123="",L123="",O123="",P123=""),"Champ obligatoire manquant",IF(OR(AND(N123&lt;&gt;"",N123&gt;O123),O123&gt;P123,AND(Q123&lt;&gt;"",Q123&lt;P123),AND(R123&lt;&gt;"",R123&lt;P123),AND(S123&lt;&gt;"",S123&lt;R123),AND(S123&lt;&gt;"",R123=""),AND(T123&lt;&gt;"",T123&lt;O123),AND(U123&lt;&gt;"",U123&lt;O123)),"Chronologie incohérente",IF(AND(OR(L123="Résolu",L123="Clos"),R123=""),"Date de résolution manquante",IF(AND(L123="Clos",S123=""),"Date de clôture manquante",IF(AND(K123="Oui",AC123=""),"Classification DORA manquante","OK"))))))</f>
        <v/>
      </c>
      <c r="AO123" s="35" t="str">
        <f aca="false">IF($B123="","",IF(AND(C123="Incident",L123&lt;&gt;"Annulé"),1,0))</f>
        <v/>
      </c>
      <c r="AP123" s="35" t="str">
        <f aca="false">IF($B123="","",IF(AND(C123="Quasi-incident",L123&lt;&gt;"Annulé"),1,0))</f>
        <v/>
      </c>
      <c r="AQ123" s="35" t="str">
        <f aca="false">IF($B123="","",AO123+AP123)</f>
        <v/>
      </c>
      <c r="AR123" s="36" t="str">
        <f aca="false">IF(OR($B123="",J123=""),"",IFERROR(VALUE(LEFT(J123,1)),""))</f>
        <v/>
      </c>
      <c r="AS123" s="35" t="str">
        <f aca="false">IF(OR(AO123&lt;&gt;1,G123=""),"",IFERROR(IF(INDEX(L_SrcInterne,MATCH(G123,L_Sources,0))="Oui",1,0),""))</f>
        <v/>
      </c>
      <c r="AT123" s="37" t="str">
        <f aca="false">IF(AO123&lt;&gt;1,"",IFERROR(ROUND(IF(OR(N123="",O123=""),"",IF(O123&lt;N123,"",ROUND(((NETWORKDAYS(N123,O123,JoursFeries)-1)*(HFer-HOuv)+IF(NETWORKDAYS(O123,O123,JoursFeries),MEDIAN(MOD(O123,1),HFer,HOuv),HFer)-IF(NETWORKDAYS(N123,N123,JoursFeries),MEDIAN(MOD(N123,1),HFer,HOuv),HOuv))*24,4)))/HJour,4),""))</f>
        <v/>
      </c>
      <c r="AU123" s="37" t="str">
        <f aca="false">IF(AO123&lt;&gt;1,"",IF(OR(O123="",P123=""),"",IF(P123&lt;O123,"",ROUND(((NETWORKDAYS(O123,P123,JoursFeries)-1)*(HFer-HOuv)+IF(NETWORKDAYS(P123,P123,JoursFeries),MEDIAN(MOD(P123,1),HFer,HOuv),HFer)-IF(NETWORKDAYS(O123,O123,JoursFeries),MEDIAN(MOD(O123,1),HFer,HOuv),HOuv))*24,4))))</f>
        <v/>
      </c>
      <c r="AV123" s="37" t="str">
        <f aca="false">IF(AO123&lt;&gt;1,"",IF(OR(P123="",Q123=""),"",IF(Q123&lt;P123,"",ROUND(((NETWORKDAYS(P123,Q123,JoursFeries)-1)*(HFer-HOuv)+IF(NETWORKDAYS(Q123,Q123,JoursFeries),MEDIAN(MOD(Q123,1),HFer,HOuv),HFer)-IF(NETWORKDAYS(P123,P123,JoursFeries),MEDIAN(MOD(P123,1),HFer,HOuv),HOuv))*24,4))))</f>
        <v/>
      </c>
      <c r="AW123" s="37" t="str">
        <f aca="false">IF(AO123&lt;&gt;1,"",IFERROR(ROUND(IF(OR(P123="",R123=""),"",IF(R123&lt;P123,"",ROUND(((NETWORKDAYS(P123,R123,JoursFeries)-1)*(HFer-HOuv)+IF(NETWORKDAYS(R123,R123,JoursFeries),MEDIAN(MOD(R123,1),HFer,HOuv),HFer)-IF(NETWORKDAYS(P123,P123,JoursFeries),MEDIAN(MOD(P123,1),HFer,HOuv),HOuv))*24,4)))/HJour,4),""))</f>
        <v/>
      </c>
      <c r="AX123" s="37" t="str">
        <f aca="false">IF(AO123&lt;&gt;1,"",IFERROR(ROUND(IF(OR(P123="",S123=""),"",IF(S123&lt;P123,"",ROUND(((NETWORKDAYS(P123,S123,JoursFeries)-1)*(HFer-HOuv)+IF(NETWORKDAYS(S123,S123,JoursFeries),MEDIAN(MOD(S123,1),HFer,HOuv),HFer)-IF(NETWORKDAYS(P123,P123,JoursFeries),MEDIAN(MOD(P123,1),HFer,HOuv),HOuv))*24,4)))/HJour,4),""))</f>
        <v/>
      </c>
      <c r="AY123" s="36" t="str">
        <f aca="false">IF(OR(AO123&lt;&gt;1,AR123=""),"",INDEX(SLA_PEC,AR123))</f>
        <v/>
      </c>
      <c r="AZ123" s="35" t="str">
        <f aca="false">IF(OR(AV123="",AY123=""),"",IF(AV123&lt;=AY123,1,0))</f>
        <v/>
      </c>
      <c r="BA123" s="36" t="str">
        <f aca="false">IF(OR(AO123&lt;&gt;1,AR123=""),"",INDEX(SLA_RES,AR123))</f>
        <v/>
      </c>
      <c r="BB123" s="35" t="str">
        <f aca="false">IF(OR(AW123="",BA123=""),"",IF(AW123&lt;=BA123,1,0))</f>
        <v/>
      </c>
      <c r="BC123" s="38" t="str">
        <f aca="false">IF(OR(BA123="",P123=""),"",WORKDAY(INT(P123),BA123,JoursFeries)+MOD(P123,1))</f>
        <v/>
      </c>
      <c r="BD123" s="39" t="str">
        <f aca="false">IF(AO123&lt;&gt;1,"",IF(OR(AB123&lt;&gt;"",AD123&lt;&gt;""),4,IF(U123&lt;&gt;"",3,IF(T123&lt;&gt;"",2,1))))</f>
        <v/>
      </c>
      <c r="BE123" s="39" t="str">
        <f aca="false">IF(OR(AO123&lt;&gt;1,AR123=""),"",INDEX(NIV_REQ,AR123))</f>
        <v/>
      </c>
      <c r="BF123" s="39" t="str">
        <f aca="false">IF(BE123="","",MAX(BE123,IF(OR(K123="Oui",Z123="Oui"),4,1)))</f>
        <v/>
      </c>
      <c r="BG123" s="35" t="str">
        <f aca="false">IF(OR(BF123="",BD123=""),"",IF(BD123&gt;=BF123,1,0))</f>
        <v/>
      </c>
      <c r="BH123" s="38" t="str">
        <f aca="false">IF(BE123="","",IF(BE123&lt;2,"",IF(BE123=2,IF(AND(T123="",U123=""),"",MIN(T123,U123)),IF(U123="","",U123))))</f>
        <v/>
      </c>
      <c r="BI123" s="37" t="str">
        <f aca="false">IF(BH123="","",IF(OR(O123="",BH123=""),"",IF(BH123&lt;O123,"",ROUND(((NETWORKDAYS(O123,BH123,JoursFeries)-1)*(HFer-HOuv)+IF(NETWORKDAYS(BH123,BH123,JoursFeries),MEDIAN(MOD(BH123,1),HFer,HOuv),HFer)-IF(NETWORKDAYS(O123,O123,JoursFeries),MEDIAN(MOD(O123,1),HFer,HOuv),HOuv))*24,4))))</f>
        <v/>
      </c>
      <c r="BJ123" s="35" t="str">
        <f aca="false">IF(OR(BI123="",AR123=""),"",IF(BI123&lt;=INDEX(DELAI_ESC,AR123),1,0))</f>
        <v/>
      </c>
      <c r="BK123" s="38" t="str">
        <f aca="false">IF(AO123&lt;&gt;1,"",IF(AND(T123="",U123=""),"",MIN(T123,U123)))</f>
        <v/>
      </c>
      <c r="BL123" s="37" t="str">
        <f aca="false">IF(OR(BK123="",R123=""),"",IFERROR(ROUND(IF(OR(BK123="",R123=""),"",IF(R123&lt;BK123,"",ROUND(((NETWORKDAYS(BK123,R123,JoursFeries)-1)*(HFer-HOuv)+IF(NETWORKDAYS(R123,R123,JoursFeries),MEDIAN(MOD(R123,1),HFer,HOuv),HFer)-IF(NETWORKDAYS(BK123,BK123,JoursFeries),MEDIAN(MOD(BK123,1),HFer,HOuv),HOuv))*24,4)))/HJour,4),""))</f>
        <v/>
      </c>
      <c r="BM123" s="35" t="str">
        <f aca="false">IF(OR(AO123&lt;&gt;1,R123=""),"",IF(BD123=1,1,0))</f>
        <v/>
      </c>
      <c r="BN123" s="35" t="str">
        <f aca="false">IF(AO123&lt;&gt;1,"",IF(W123="Oui",1,0))</f>
        <v/>
      </c>
      <c r="BO123" s="35" t="str">
        <f aca="false">IF(AO123&lt;&gt;1,"",IF(X123&lt;&gt;"",1,0))</f>
        <v/>
      </c>
      <c r="BP123" s="35" t="str">
        <f aca="false">IF(AO123&lt;&gt;1,"",IF(Y123="Oui",1,0))</f>
        <v/>
      </c>
      <c r="BQ123" s="35" t="str">
        <f aca="true">IF(OR(AO123&lt;&gt;1,Z123&lt;&gt;"Oui"),"",IF(AB123="",IF(AND(AA123&lt;&gt;"",NOW()&gt;AA123),0,""),IF(AA123="","",IF(AB123&lt;=AA123,1,0))))</f>
        <v/>
      </c>
      <c r="BR123" s="38" t="str">
        <f aca="false">IF(OR(AO123&lt;&gt;1,K123&lt;&gt;"Oui",O123=""),"",IF(AC123="",O123+DORA_H_DET/24,IF(AC123-O123&lt;=DORA_H_DET/24,MIN(AC123+DORA_H_CLA/24,O123+DORA_H_DET/24),AC123+DORA_H_CLA/24)))</f>
        <v/>
      </c>
      <c r="BS123" s="35" t="str">
        <f aca="true">IF(BR123="","",IF(AD123="",IF(NOW()&gt;BR123,0,""),IF(AD123&lt;=BR123,1,0)))</f>
        <v/>
      </c>
      <c r="BT123" s="35" t="str">
        <f aca="true">IF(OR(BR123="",AD123=""),"",IF(AE123="",IF(NOW()&gt;AD123+DORA_H_INT/24,0,""),IF(AE123&lt;=AD123+DORA_H_INT/24,1,0)))</f>
        <v/>
      </c>
      <c r="BU123" s="35" t="str">
        <f aca="true">IF(OR(BR123="",AE123=""),"",IF(AF123="",IF(NOW()&gt;EDATE(AE123,DORA_M_FIN)+1,0,""),IF(AF123&lt;=EDATE(AE123,DORA_M_FIN),1,0)))</f>
        <v/>
      </c>
      <c r="BV123" s="35" t="str">
        <f aca="false">IF(BR123="","",IF(COUNT(BS123:BU123)=0,"",MIN(BS123:BU123)))</f>
        <v/>
      </c>
      <c r="BW123" s="40" t="str">
        <f aca="false">IF(AQ123&lt;&gt;1,"",IF(AND(AG123="",AH123=""),"",N(AG123)-N(AH123)))</f>
        <v/>
      </c>
      <c r="BX123" s="35" t="str">
        <f aca="true">IF(OR(AQ123&lt;&gt;1,AI123&lt;&gt;"Oui",AJ123=""),"",IF(AK123="",IF(NOW()&gt;AJ123+1,0,""),IF(AK123&lt;=AJ123,1,0)))</f>
        <v/>
      </c>
    </row>
    <row r="124" customFormat="false" ht="15" hidden="false" customHeight="false" outlineLevel="0" collapsed="false">
      <c r="B124" s="29"/>
      <c r="C124" s="29"/>
      <c r="D124" s="29"/>
      <c r="E124" s="29"/>
      <c r="F124" s="29"/>
      <c r="G124" s="29"/>
      <c r="H124" s="29"/>
      <c r="I124" s="29"/>
      <c r="J124" s="29"/>
      <c r="K124" s="29"/>
      <c r="L124" s="29"/>
      <c r="M124" s="29"/>
      <c r="N124" s="30"/>
      <c r="O124" s="30"/>
      <c r="P124" s="30"/>
      <c r="Q124" s="30"/>
      <c r="R124" s="30"/>
      <c r="S124" s="30"/>
      <c r="T124" s="30"/>
      <c r="U124" s="30"/>
      <c r="V124" s="31"/>
      <c r="W124" s="29"/>
      <c r="X124" s="29"/>
      <c r="Y124" s="29"/>
      <c r="Z124" s="29"/>
      <c r="AA124" s="30"/>
      <c r="AB124" s="30"/>
      <c r="AC124" s="30"/>
      <c r="AD124" s="30"/>
      <c r="AE124" s="30"/>
      <c r="AF124" s="32"/>
      <c r="AG124" s="33"/>
      <c r="AH124" s="33"/>
      <c r="AI124" s="29"/>
      <c r="AJ124" s="32"/>
      <c r="AK124" s="32"/>
      <c r="AL124" s="29"/>
      <c r="AN124" s="34" t="str">
        <f aca="false">IF($B124="","",IF(OR(C124="",D124="",E124="",G124="",I124="",J124="",L124="",O124="",P124=""),"Champ obligatoire manquant",IF(OR(AND(N124&lt;&gt;"",N124&gt;O124),O124&gt;P124,AND(Q124&lt;&gt;"",Q124&lt;P124),AND(R124&lt;&gt;"",R124&lt;P124),AND(S124&lt;&gt;"",S124&lt;R124),AND(S124&lt;&gt;"",R124=""),AND(T124&lt;&gt;"",T124&lt;O124),AND(U124&lt;&gt;"",U124&lt;O124)),"Chronologie incohérente",IF(AND(OR(L124="Résolu",L124="Clos"),R124=""),"Date de résolution manquante",IF(AND(L124="Clos",S124=""),"Date de clôture manquante",IF(AND(K124="Oui",AC124=""),"Classification DORA manquante","OK"))))))</f>
        <v/>
      </c>
      <c r="AO124" s="35" t="str">
        <f aca="false">IF($B124="","",IF(AND(C124="Incident",L124&lt;&gt;"Annulé"),1,0))</f>
        <v/>
      </c>
      <c r="AP124" s="35" t="str">
        <f aca="false">IF($B124="","",IF(AND(C124="Quasi-incident",L124&lt;&gt;"Annulé"),1,0))</f>
        <v/>
      </c>
      <c r="AQ124" s="35" t="str">
        <f aca="false">IF($B124="","",AO124+AP124)</f>
        <v/>
      </c>
      <c r="AR124" s="36" t="str">
        <f aca="false">IF(OR($B124="",J124=""),"",IFERROR(VALUE(LEFT(J124,1)),""))</f>
        <v/>
      </c>
      <c r="AS124" s="35" t="str">
        <f aca="false">IF(OR(AO124&lt;&gt;1,G124=""),"",IFERROR(IF(INDEX(L_SrcInterne,MATCH(G124,L_Sources,0))="Oui",1,0),""))</f>
        <v/>
      </c>
      <c r="AT124" s="37" t="str">
        <f aca="false">IF(AO124&lt;&gt;1,"",IFERROR(ROUND(IF(OR(N124="",O124=""),"",IF(O124&lt;N124,"",ROUND(((NETWORKDAYS(N124,O124,JoursFeries)-1)*(HFer-HOuv)+IF(NETWORKDAYS(O124,O124,JoursFeries),MEDIAN(MOD(O124,1),HFer,HOuv),HFer)-IF(NETWORKDAYS(N124,N124,JoursFeries),MEDIAN(MOD(N124,1),HFer,HOuv),HOuv))*24,4)))/HJour,4),""))</f>
        <v/>
      </c>
      <c r="AU124" s="37" t="str">
        <f aca="false">IF(AO124&lt;&gt;1,"",IF(OR(O124="",P124=""),"",IF(P124&lt;O124,"",ROUND(((NETWORKDAYS(O124,P124,JoursFeries)-1)*(HFer-HOuv)+IF(NETWORKDAYS(P124,P124,JoursFeries),MEDIAN(MOD(P124,1),HFer,HOuv),HFer)-IF(NETWORKDAYS(O124,O124,JoursFeries),MEDIAN(MOD(O124,1),HFer,HOuv),HOuv))*24,4))))</f>
        <v/>
      </c>
      <c r="AV124" s="37" t="str">
        <f aca="false">IF(AO124&lt;&gt;1,"",IF(OR(P124="",Q124=""),"",IF(Q124&lt;P124,"",ROUND(((NETWORKDAYS(P124,Q124,JoursFeries)-1)*(HFer-HOuv)+IF(NETWORKDAYS(Q124,Q124,JoursFeries),MEDIAN(MOD(Q124,1),HFer,HOuv),HFer)-IF(NETWORKDAYS(P124,P124,JoursFeries),MEDIAN(MOD(P124,1),HFer,HOuv),HOuv))*24,4))))</f>
        <v/>
      </c>
      <c r="AW124" s="37" t="str">
        <f aca="false">IF(AO124&lt;&gt;1,"",IFERROR(ROUND(IF(OR(P124="",R124=""),"",IF(R124&lt;P124,"",ROUND(((NETWORKDAYS(P124,R124,JoursFeries)-1)*(HFer-HOuv)+IF(NETWORKDAYS(R124,R124,JoursFeries),MEDIAN(MOD(R124,1),HFer,HOuv),HFer)-IF(NETWORKDAYS(P124,P124,JoursFeries),MEDIAN(MOD(P124,1),HFer,HOuv),HOuv))*24,4)))/HJour,4),""))</f>
        <v/>
      </c>
      <c r="AX124" s="37" t="str">
        <f aca="false">IF(AO124&lt;&gt;1,"",IFERROR(ROUND(IF(OR(P124="",S124=""),"",IF(S124&lt;P124,"",ROUND(((NETWORKDAYS(P124,S124,JoursFeries)-1)*(HFer-HOuv)+IF(NETWORKDAYS(S124,S124,JoursFeries),MEDIAN(MOD(S124,1),HFer,HOuv),HFer)-IF(NETWORKDAYS(P124,P124,JoursFeries),MEDIAN(MOD(P124,1),HFer,HOuv),HOuv))*24,4)))/HJour,4),""))</f>
        <v/>
      </c>
      <c r="AY124" s="36" t="str">
        <f aca="false">IF(OR(AO124&lt;&gt;1,AR124=""),"",INDEX(SLA_PEC,AR124))</f>
        <v/>
      </c>
      <c r="AZ124" s="35" t="str">
        <f aca="false">IF(OR(AV124="",AY124=""),"",IF(AV124&lt;=AY124,1,0))</f>
        <v/>
      </c>
      <c r="BA124" s="36" t="str">
        <f aca="false">IF(OR(AO124&lt;&gt;1,AR124=""),"",INDEX(SLA_RES,AR124))</f>
        <v/>
      </c>
      <c r="BB124" s="35" t="str">
        <f aca="false">IF(OR(AW124="",BA124=""),"",IF(AW124&lt;=BA124,1,0))</f>
        <v/>
      </c>
      <c r="BC124" s="38" t="str">
        <f aca="false">IF(OR(BA124="",P124=""),"",WORKDAY(INT(P124),BA124,JoursFeries)+MOD(P124,1))</f>
        <v/>
      </c>
      <c r="BD124" s="39" t="str">
        <f aca="false">IF(AO124&lt;&gt;1,"",IF(OR(AB124&lt;&gt;"",AD124&lt;&gt;""),4,IF(U124&lt;&gt;"",3,IF(T124&lt;&gt;"",2,1))))</f>
        <v/>
      </c>
      <c r="BE124" s="39" t="str">
        <f aca="false">IF(OR(AO124&lt;&gt;1,AR124=""),"",INDEX(NIV_REQ,AR124))</f>
        <v/>
      </c>
      <c r="BF124" s="39" t="str">
        <f aca="false">IF(BE124="","",MAX(BE124,IF(OR(K124="Oui",Z124="Oui"),4,1)))</f>
        <v/>
      </c>
      <c r="BG124" s="35" t="str">
        <f aca="false">IF(OR(BF124="",BD124=""),"",IF(BD124&gt;=BF124,1,0))</f>
        <v/>
      </c>
      <c r="BH124" s="38" t="str">
        <f aca="false">IF(BE124="","",IF(BE124&lt;2,"",IF(BE124=2,IF(AND(T124="",U124=""),"",MIN(T124,U124)),IF(U124="","",U124))))</f>
        <v/>
      </c>
      <c r="BI124" s="37" t="str">
        <f aca="false">IF(BH124="","",IF(OR(O124="",BH124=""),"",IF(BH124&lt;O124,"",ROUND(((NETWORKDAYS(O124,BH124,JoursFeries)-1)*(HFer-HOuv)+IF(NETWORKDAYS(BH124,BH124,JoursFeries),MEDIAN(MOD(BH124,1),HFer,HOuv),HFer)-IF(NETWORKDAYS(O124,O124,JoursFeries),MEDIAN(MOD(O124,1),HFer,HOuv),HOuv))*24,4))))</f>
        <v/>
      </c>
      <c r="BJ124" s="35" t="str">
        <f aca="false">IF(OR(BI124="",AR124=""),"",IF(BI124&lt;=INDEX(DELAI_ESC,AR124),1,0))</f>
        <v/>
      </c>
      <c r="BK124" s="38" t="str">
        <f aca="false">IF(AO124&lt;&gt;1,"",IF(AND(T124="",U124=""),"",MIN(T124,U124)))</f>
        <v/>
      </c>
      <c r="BL124" s="37" t="str">
        <f aca="false">IF(OR(BK124="",R124=""),"",IFERROR(ROUND(IF(OR(BK124="",R124=""),"",IF(R124&lt;BK124,"",ROUND(((NETWORKDAYS(BK124,R124,JoursFeries)-1)*(HFer-HOuv)+IF(NETWORKDAYS(R124,R124,JoursFeries),MEDIAN(MOD(R124,1),HFer,HOuv),HFer)-IF(NETWORKDAYS(BK124,BK124,JoursFeries),MEDIAN(MOD(BK124,1),HFer,HOuv),HOuv))*24,4)))/HJour,4),""))</f>
        <v/>
      </c>
      <c r="BM124" s="35" t="str">
        <f aca="false">IF(OR(AO124&lt;&gt;1,R124=""),"",IF(BD124=1,1,0))</f>
        <v/>
      </c>
      <c r="BN124" s="35" t="str">
        <f aca="false">IF(AO124&lt;&gt;1,"",IF(W124="Oui",1,0))</f>
        <v/>
      </c>
      <c r="BO124" s="35" t="str">
        <f aca="false">IF(AO124&lt;&gt;1,"",IF(X124&lt;&gt;"",1,0))</f>
        <v/>
      </c>
      <c r="BP124" s="35" t="str">
        <f aca="false">IF(AO124&lt;&gt;1,"",IF(Y124="Oui",1,0))</f>
        <v/>
      </c>
      <c r="BQ124" s="35" t="str">
        <f aca="true">IF(OR(AO124&lt;&gt;1,Z124&lt;&gt;"Oui"),"",IF(AB124="",IF(AND(AA124&lt;&gt;"",NOW()&gt;AA124),0,""),IF(AA124="","",IF(AB124&lt;=AA124,1,0))))</f>
        <v/>
      </c>
      <c r="BR124" s="38" t="str">
        <f aca="false">IF(OR(AO124&lt;&gt;1,K124&lt;&gt;"Oui",O124=""),"",IF(AC124="",O124+DORA_H_DET/24,IF(AC124-O124&lt;=DORA_H_DET/24,MIN(AC124+DORA_H_CLA/24,O124+DORA_H_DET/24),AC124+DORA_H_CLA/24)))</f>
        <v/>
      </c>
      <c r="BS124" s="35" t="str">
        <f aca="true">IF(BR124="","",IF(AD124="",IF(NOW()&gt;BR124,0,""),IF(AD124&lt;=BR124,1,0)))</f>
        <v/>
      </c>
      <c r="BT124" s="35" t="str">
        <f aca="true">IF(OR(BR124="",AD124=""),"",IF(AE124="",IF(NOW()&gt;AD124+DORA_H_INT/24,0,""),IF(AE124&lt;=AD124+DORA_H_INT/24,1,0)))</f>
        <v/>
      </c>
      <c r="BU124" s="35" t="str">
        <f aca="true">IF(OR(BR124="",AE124=""),"",IF(AF124="",IF(NOW()&gt;EDATE(AE124,DORA_M_FIN)+1,0,""),IF(AF124&lt;=EDATE(AE124,DORA_M_FIN),1,0)))</f>
        <v/>
      </c>
      <c r="BV124" s="35" t="str">
        <f aca="false">IF(BR124="","",IF(COUNT(BS124:BU124)=0,"",MIN(BS124:BU124)))</f>
        <v/>
      </c>
      <c r="BW124" s="40" t="str">
        <f aca="false">IF(AQ124&lt;&gt;1,"",IF(AND(AG124="",AH124=""),"",N(AG124)-N(AH124)))</f>
        <v/>
      </c>
      <c r="BX124" s="35" t="str">
        <f aca="true">IF(OR(AQ124&lt;&gt;1,AI124&lt;&gt;"Oui",AJ124=""),"",IF(AK124="",IF(NOW()&gt;AJ124+1,0,""),IF(AK124&lt;=AJ124,1,0)))</f>
        <v/>
      </c>
    </row>
    <row r="125" customFormat="false" ht="15" hidden="false" customHeight="false" outlineLevel="0" collapsed="false">
      <c r="B125" s="29"/>
      <c r="C125" s="29"/>
      <c r="D125" s="29"/>
      <c r="E125" s="29"/>
      <c r="F125" s="29"/>
      <c r="G125" s="29"/>
      <c r="H125" s="29"/>
      <c r="I125" s="29"/>
      <c r="J125" s="29"/>
      <c r="K125" s="29"/>
      <c r="L125" s="29"/>
      <c r="M125" s="29"/>
      <c r="N125" s="30"/>
      <c r="O125" s="30"/>
      <c r="P125" s="30"/>
      <c r="Q125" s="30"/>
      <c r="R125" s="30"/>
      <c r="S125" s="30"/>
      <c r="T125" s="30"/>
      <c r="U125" s="30"/>
      <c r="V125" s="31"/>
      <c r="W125" s="29"/>
      <c r="X125" s="29"/>
      <c r="Y125" s="29"/>
      <c r="Z125" s="29"/>
      <c r="AA125" s="30"/>
      <c r="AB125" s="30"/>
      <c r="AC125" s="30"/>
      <c r="AD125" s="30"/>
      <c r="AE125" s="30"/>
      <c r="AF125" s="32"/>
      <c r="AG125" s="33"/>
      <c r="AH125" s="33"/>
      <c r="AI125" s="29"/>
      <c r="AJ125" s="32"/>
      <c r="AK125" s="32"/>
      <c r="AL125" s="29"/>
      <c r="AN125" s="34" t="str">
        <f aca="false">IF($B125="","",IF(OR(C125="",D125="",E125="",G125="",I125="",J125="",L125="",O125="",P125=""),"Champ obligatoire manquant",IF(OR(AND(N125&lt;&gt;"",N125&gt;O125),O125&gt;P125,AND(Q125&lt;&gt;"",Q125&lt;P125),AND(R125&lt;&gt;"",R125&lt;P125),AND(S125&lt;&gt;"",S125&lt;R125),AND(S125&lt;&gt;"",R125=""),AND(T125&lt;&gt;"",T125&lt;O125),AND(U125&lt;&gt;"",U125&lt;O125)),"Chronologie incohérente",IF(AND(OR(L125="Résolu",L125="Clos"),R125=""),"Date de résolution manquante",IF(AND(L125="Clos",S125=""),"Date de clôture manquante",IF(AND(K125="Oui",AC125=""),"Classification DORA manquante","OK"))))))</f>
        <v/>
      </c>
      <c r="AO125" s="35" t="str">
        <f aca="false">IF($B125="","",IF(AND(C125="Incident",L125&lt;&gt;"Annulé"),1,0))</f>
        <v/>
      </c>
      <c r="AP125" s="35" t="str">
        <f aca="false">IF($B125="","",IF(AND(C125="Quasi-incident",L125&lt;&gt;"Annulé"),1,0))</f>
        <v/>
      </c>
      <c r="AQ125" s="35" t="str">
        <f aca="false">IF($B125="","",AO125+AP125)</f>
        <v/>
      </c>
      <c r="AR125" s="36" t="str">
        <f aca="false">IF(OR($B125="",J125=""),"",IFERROR(VALUE(LEFT(J125,1)),""))</f>
        <v/>
      </c>
      <c r="AS125" s="35" t="str">
        <f aca="false">IF(OR(AO125&lt;&gt;1,G125=""),"",IFERROR(IF(INDEX(L_SrcInterne,MATCH(G125,L_Sources,0))="Oui",1,0),""))</f>
        <v/>
      </c>
      <c r="AT125" s="37" t="str">
        <f aca="false">IF(AO125&lt;&gt;1,"",IFERROR(ROUND(IF(OR(N125="",O125=""),"",IF(O125&lt;N125,"",ROUND(((NETWORKDAYS(N125,O125,JoursFeries)-1)*(HFer-HOuv)+IF(NETWORKDAYS(O125,O125,JoursFeries),MEDIAN(MOD(O125,1),HFer,HOuv),HFer)-IF(NETWORKDAYS(N125,N125,JoursFeries),MEDIAN(MOD(N125,1),HFer,HOuv),HOuv))*24,4)))/HJour,4),""))</f>
        <v/>
      </c>
      <c r="AU125" s="37" t="str">
        <f aca="false">IF(AO125&lt;&gt;1,"",IF(OR(O125="",P125=""),"",IF(P125&lt;O125,"",ROUND(((NETWORKDAYS(O125,P125,JoursFeries)-1)*(HFer-HOuv)+IF(NETWORKDAYS(P125,P125,JoursFeries),MEDIAN(MOD(P125,1),HFer,HOuv),HFer)-IF(NETWORKDAYS(O125,O125,JoursFeries),MEDIAN(MOD(O125,1),HFer,HOuv),HOuv))*24,4))))</f>
        <v/>
      </c>
      <c r="AV125" s="37" t="str">
        <f aca="false">IF(AO125&lt;&gt;1,"",IF(OR(P125="",Q125=""),"",IF(Q125&lt;P125,"",ROUND(((NETWORKDAYS(P125,Q125,JoursFeries)-1)*(HFer-HOuv)+IF(NETWORKDAYS(Q125,Q125,JoursFeries),MEDIAN(MOD(Q125,1),HFer,HOuv),HFer)-IF(NETWORKDAYS(P125,P125,JoursFeries),MEDIAN(MOD(P125,1),HFer,HOuv),HOuv))*24,4))))</f>
        <v/>
      </c>
      <c r="AW125" s="37" t="str">
        <f aca="false">IF(AO125&lt;&gt;1,"",IFERROR(ROUND(IF(OR(P125="",R125=""),"",IF(R125&lt;P125,"",ROUND(((NETWORKDAYS(P125,R125,JoursFeries)-1)*(HFer-HOuv)+IF(NETWORKDAYS(R125,R125,JoursFeries),MEDIAN(MOD(R125,1),HFer,HOuv),HFer)-IF(NETWORKDAYS(P125,P125,JoursFeries),MEDIAN(MOD(P125,1),HFer,HOuv),HOuv))*24,4)))/HJour,4),""))</f>
        <v/>
      </c>
      <c r="AX125" s="37" t="str">
        <f aca="false">IF(AO125&lt;&gt;1,"",IFERROR(ROUND(IF(OR(P125="",S125=""),"",IF(S125&lt;P125,"",ROUND(((NETWORKDAYS(P125,S125,JoursFeries)-1)*(HFer-HOuv)+IF(NETWORKDAYS(S125,S125,JoursFeries),MEDIAN(MOD(S125,1),HFer,HOuv),HFer)-IF(NETWORKDAYS(P125,P125,JoursFeries),MEDIAN(MOD(P125,1),HFer,HOuv),HOuv))*24,4)))/HJour,4),""))</f>
        <v/>
      </c>
      <c r="AY125" s="36" t="str">
        <f aca="false">IF(OR(AO125&lt;&gt;1,AR125=""),"",INDEX(SLA_PEC,AR125))</f>
        <v/>
      </c>
      <c r="AZ125" s="35" t="str">
        <f aca="false">IF(OR(AV125="",AY125=""),"",IF(AV125&lt;=AY125,1,0))</f>
        <v/>
      </c>
      <c r="BA125" s="36" t="str">
        <f aca="false">IF(OR(AO125&lt;&gt;1,AR125=""),"",INDEX(SLA_RES,AR125))</f>
        <v/>
      </c>
      <c r="BB125" s="35" t="str">
        <f aca="false">IF(OR(AW125="",BA125=""),"",IF(AW125&lt;=BA125,1,0))</f>
        <v/>
      </c>
      <c r="BC125" s="38" t="str">
        <f aca="false">IF(OR(BA125="",P125=""),"",WORKDAY(INT(P125),BA125,JoursFeries)+MOD(P125,1))</f>
        <v/>
      </c>
      <c r="BD125" s="39" t="str">
        <f aca="false">IF(AO125&lt;&gt;1,"",IF(OR(AB125&lt;&gt;"",AD125&lt;&gt;""),4,IF(U125&lt;&gt;"",3,IF(T125&lt;&gt;"",2,1))))</f>
        <v/>
      </c>
      <c r="BE125" s="39" t="str">
        <f aca="false">IF(OR(AO125&lt;&gt;1,AR125=""),"",INDEX(NIV_REQ,AR125))</f>
        <v/>
      </c>
      <c r="BF125" s="39" t="str">
        <f aca="false">IF(BE125="","",MAX(BE125,IF(OR(K125="Oui",Z125="Oui"),4,1)))</f>
        <v/>
      </c>
      <c r="BG125" s="35" t="str">
        <f aca="false">IF(OR(BF125="",BD125=""),"",IF(BD125&gt;=BF125,1,0))</f>
        <v/>
      </c>
      <c r="BH125" s="38" t="str">
        <f aca="false">IF(BE125="","",IF(BE125&lt;2,"",IF(BE125=2,IF(AND(T125="",U125=""),"",MIN(T125,U125)),IF(U125="","",U125))))</f>
        <v/>
      </c>
      <c r="BI125" s="37" t="str">
        <f aca="false">IF(BH125="","",IF(OR(O125="",BH125=""),"",IF(BH125&lt;O125,"",ROUND(((NETWORKDAYS(O125,BH125,JoursFeries)-1)*(HFer-HOuv)+IF(NETWORKDAYS(BH125,BH125,JoursFeries),MEDIAN(MOD(BH125,1),HFer,HOuv),HFer)-IF(NETWORKDAYS(O125,O125,JoursFeries),MEDIAN(MOD(O125,1),HFer,HOuv),HOuv))*24,4))))</f>
        <v/>
      </c>
      <c r="BJ125" s="35" t="str">
        <f aca="false">IF(OR(BI125="",AR125=""),"",IF(BI125&lt;=INDEX(DELAI_ESC,AR125),1,0))</f>
        <v/>
      </c>
      <c r="BK125" s="38" t="str">
        <f aca="false">IF(AO125&lt;&gt;1,"",IF(AND(T125="",U125=""),"",MIN(T125,U125)))</f>
        <v/>
      </c>
      <c r="BL125" s="37" t="str">
        <f aca="false">IF(OR(BK125="",R125=""),"",IFERROR(ROUND(IF(OR(BK125="",R125=""),"",IF(R125&lt;BK125,"",ROUND(((NETWORKDAYS(BK125,R125,JoursFeries)-1)*(HFer-HOuv)+IF(NETWORKDAYS(R125,R125,JoursFeries),MEDIAN(MOD(R125,1),HFer,HOuv),HFer)-IF(NETWORKDAYS(BK125,BK125,JoursFeries),MEDIAN(MOD(BK125,1),HFer,HOuv),HOuv))*24,4)))/HJour,4),""))</f>
        <v/>
      </c>
      <c r="BM125" s="35" t="str">
        <f aca="false">IF(OR(AO125&lt;&gt;1,R125=""),"",IF(BD125=1,1,0))</f>
        <v/>
      </c>
      <c r="BN125" s="35" t="str">
        <f aca="false">IF(AO125&lt;&gt;1,"",IF(W125="Oui",1,0))</f>
        <v/>
      </c>
      <c r="BO125" s="35" t="str">
        <f aca="false">IF(AO125&lt;&gt;1,"",IF(X125&lt;&gt;"",1,0))</f>
        <v/>
      </c>
      <c r="BP125" s="35" t="str">
        <f aca="false">IF(AO125&lt;&gt;1,"",IF(Y125="Oui",1,0))</f>
        <v/>
      </c>
      <c r="BQ125" s="35" t="str">
        <f aca="true">IF(OR(AO125&lt;&gt;1,Z125&lt;&gt;"Oui"),"",IF(AB125="",IF(AND(AA125&lt;&gt;"",NOW()&gt;AA125),0,""),IF(AA125="","",IF(AB125&lt;=AA125,1,0))))</f>
        <v/>
      </c>
      <c r="BR125" s="38" t="str">
        <f aca="false">IF(OR(AO125&lt;&gt;1,K125&lt;&gt;"Oui",O125=""),"",IF(AC125="",O125+DORA_H_DET/24,IF(AC125-O125&lt;=DORA_H_DET/24,MIN(AC125+DORA_H_CLA/24,O125+DORA_H_DET/24),AC125+DORA_H_CLA/24)))</f>
        <v/>
      </c>
      <c r="BS125" s="35" t="str">
        <f aca="true">IF(BR125="","",IF(AD125="",IF(NOW()&gt;BR125,0,""),IF(AD125&lt;=BR125,1,0)))</f>
        <v/>
      </c>
      <c r="BT125" s="35" t="str">
        <f aca="true">IF(OR(BR125="",AD125=""),"",IF(AE125="",IF(NOW()&gt;AD125+DORA_H_INT/24,0,""),IF(AE125&lt;=AD125+DORA_H_INT/24,1,0)))</f>
        <v/>
      </c>
      <c r="BU125" s="35" t="str">
        <f aca="true">IF(OR(BR125="",AE125=""),"",IF(AF125="",IF(NOW()&gt;EDATE(AE125,DORA_M_FIN)+1,0,""),IF(AF125&lt;=EDATE(AE125,DORA_M_FIN),1,0)))</f>
        <v/>
      </c>
      <c r="BV125" s="35" t="str">
        <f aca="false">IF(BR125="","",IF(COUNT(BS125:BU125)=0,"",MIN(BS125:BU125)))</f>
        <v/>
      </c>
      <c r="BW125" s="40" t="str">
        <f aca="false">IF(AQ125&lt;&gt;1,"",IF(AND(AG125="",AH125=""),"",N(AG125)-N(AH125)))</f>
        <v/>
      </c>
      <c r="BX125" s="35" t="str">
        <f aca="true">IF(OR(AQ125&lt;&gt;1,AI125&lt;&gt;"Oui",AJ125=""),"",IF(AK125="",IF(NOW()&gt;AJ125+1,0,""),IF(AK125&lt;=AJ125,1,0)))</f>
        <v/>
      </c>
    </row>
    <row r="126" customFormat="false" ht="15" hidden="false" customHeight="false" outlineLevel="0" collapsed="false">
      <c r="B126" s="29"/>
      <c r="C126" s="29"/>
      <c r="D126" s="29"/>
      <c r="E126" s="29"/>
      <c r="F126" s="29"/>
      <c r="G126" s="29"/>
      <c r="H126" s="29"/>
      <c r="I126" s="29"/>
      <c r="J126" s="29"/>
      <c r="K126" s="29"/>
      <c r="L126" s="29"/>
      <c r="M126" s="29"/>
      <c r="N126" s="30"/>
      <c r="O126" s="30"/>
      <c r="P126" s="30"/>
      <c r="Q126" s="30"/>
      <c r="R126" s="30"/>
      <c r="S126" s="30"/>
      <c r="T126" s="30"/>
      <c r="U126" s="30"/>
      <c r="V126" s="31"/>
      <c r="W126" s="29"/>
      <c r="X126" s="29"/>
      <c r="Y126" s="29"/>
      <c r="Z126" s="29"/>
      <c r="AA126" s="30"/>
      <c r="AB126" s="30"/>
      <c r="AC126" s="30"/>
      <c r="AD126" s="30"/>
      <c r="AE126" s="30"/>
      <c r="AF126" s="32"/>
      <c r="AG126" s="33"/>
      <c r="AH126" s="33"/>
      <c r="AI126" s="29"/>
      <c r="AJ126" s="32"/>
      <c r="AK126" s="32"/>
      <c r="AL126" s="29"/>
      <c r="AN126" s="34" t="str">
        <f aca="false">IF($B126="","",IF(OR(C126="",D126="",E126="",G126="",I126="",J126="",L126="",O126="",P126=""),"Champ obligatoire manquant",IF(OR(AND(N126&lt;&gt;"",N126&gt;O126),O126&gt;P126,AND(Q126&lt;&gt;"",Q126&lt;P126),AND(R126&lt;&gt;"",R126&lt;P126),AND(S126&lt;&gt;"",S126&lt;R126),AND(S126&lt;&gt;"",R126=""),AND(T126&lt;&gt;"",T126&lt;O126),AND(U126&lt;&gt;"",U126&lt;O126)),"Chronologie incohérente",IF(AND(OR(L126="Résolu",L126="Clos"),R126=""),"Date de résolution manquante",IF(AND(L126="Clos",S126=""),"Date de clôture manquante",IF(AND(K126="Oui",AC126=""),"Classification DORA manquante","OK"))))))</f>
        <v/>
      </c>
      <c r="AO126" s="35" t="str">
        <f aca="false">IF($B126="","",IF(AND(C126="Incident",L126&lt;&gt;"Annulé"),1,0))</f>
        <v/>
      </c>
      <c r="AP126" s="35" t="str">
        <f aca="false">IF($B126="","",IF(AND(C126="Quasi-incident",L126&lt;&gt;"Annulé"),1,0))</f>
        <v/>
      </c>
      <c r="AQ126" s="35" t="str">
        <f aca="false">IF($B126="","",AO126+AP126)</f>
        <v/>
      </c>
      <c r="AR126" s="36" t="str">
        <f aca="false">IF(OR($B126="",J126=""),"",IFERROR(VALUE(LEFT(J126,1)),""))</f>
        <v/>
      </c>
      <c r="AS126" s="35" t="str">
        <f aca="false">IF(OR(AO126&lt;&gt;1,G126=""),"",IFERROR(IF(INDEX(L_SrcInterne,MATCH(G126,L_Sources,0))="Oui",1,0),""))</f>
        <v/>
      </c>
      <c r="AT126" s="37" t="str">
        <f aca="false">IF(AO126&lt;&gt;1,"",IFERROR(ROUND(IF(OR(N126="",O126=""),"",IF(O126&lt;N126,"",ROUND(((NETWORKDAYS(N126,O126,JoursFeries)-1)*(HFer-HOuv)+IF(NETWORKDAYS(O126,O126,JoursFeries),MEDIAN(MOD(O126,1),HFer,HOuv),HFer)-IF(NETWORKDAYS(N126,N126,JoursFeries),MEDIAN(MOD(N126,1),HFer,HOuv),HOuv))*24,4)))/HJour,4),""))</f>
        <v/>
      </c>
      <c r="AU126" s="37" t="str">
        <f aca="false">IF(AO126&lt;&gt;1,"",IF(OR(O126="",P126=""),"",IF(P126&lt;O126,"",ROUND(((NETWORKDAYS(O126,P126,JoursFeries)-1)*(HFer-HOuv)+IF(NETWORKDAYS(P126,P126,JoursFeries),MEDIAN(MOD(P126,1),HFer,HOuv),HFer)-IF(NETWORKDAYS(O126,O126,JoursFeries),MEDIAN(MOD(O126,1),HFer,HOuv),HOuv))*24,4))))</f>
        <v/>
      </c>
      <c r="AV126" s="37" t="str">
        <f aca="false">IF(AO126&lt;&gt;1,"",IF(OR(P126="",Q126=""),"",IF(Q126&lt;P126,"",ROUND(((NETWORKDAYS(P126,Q126,JoursFeries)-1)*(HFer-HOuv)+IF(NETWORKDAYS(Q126,Q126,JoursFeries),MEDIAN(MOD(Q126,1),HFer,HOuv),HFer)-IF(NETWORKDAYS(P126,P126,JoursFeries),MEDIAN(MOD(P126,1),HFer,HOuv),HOuv))*24,4))))</f>
        <v/>
      </c>
      <c r="AW126" s="37" t="str">
        <f aca="false">IF(AO126&lt;&gt;1,"",IFERROR(ROUND(IF(OR(P126="",R126=""),"",IF(R126&lt;P126,"",ROUND(((NETWORKDAYS(P126,R126,JoursFeries)-1)*(HFer-HOuv)+IF(NETWORKDAYS(R126,R126,JoursFeries),MEDIAN(MOD(R126,1),HFer,HOuv),HFer)-IF(NETWORKDAYS(P126,P126,JoursFeries),MEDIAN(MOD(P126,1),HFer,HOuv),HOuv))*24,4)))/HJour,4),""))</f>
        <v/>
      </c>
      <c r="AX126" s="37" t="str">
        <f aca="false">IF(AO126&lt;&gt;1,"",IFERROR(ROUND(IF(OR(P126="",S126=""),"",IF(S126&lt;P126,"",ROUND(((NETWORKDAYS(P126,S126,JoursFeries)-1)*(HFer-HOuv)+IF(NETWORKDAYS(S126,S126,JoursFeries),MEDIAN(MOD(S126,1),HFer,HOuv),HFer)-IF(NETWORKDAYS(P126,P126,JoursFeries),MEDIAN(MOD(P126,1),HFer,HOuv),HOuv))*24,4)))/HJour,4),""))</f>
        <v/>
      </c>
      <c r="AY126" s="36" t="str">
        <f aca="false">IF(OR(AO126&lt;&gt;1,AR126=""),"",INDEX(SLA_PEC,AR126))</f>
        <v/>
      </c>
      <c r="AZ126" s="35" t="str">
        <f aca="false">IF(OR(AV126="",AY126=""),"",IF(AV126&lt;=AY126,1,0))</f>
        <v/>
      </c>
      <c r="BA126" s="36" t="str">
        <f aca="false">IF(OR(AO126&lt;&gt;1,AR126=""),"",INDEX(SLA_RES,AR126))</f>
        <v/>
      </c>
      <c r="BB126" s="35" t="str">
        <f aca="false">IF(OR(AW126="",BA126=""),"",IF(AW126&lt;=BA126,1,0))</f>
        <v/>
      </c>
      <c r="BC126" s="38" t="str">
        <f aca="false">IF(OR(BA126="",P126=""),"",WORKDAY(INT(P126),BA126,JoursFeries)+MOD(P126,1))</f>
        <v/>
      </c>
      <c r="BD126" s="39" t="str">
        <f aca="false">IF(AO126&lt;&gt;1,"",IF(OR(AB126&lt;&gt;"",AD126&lt;&gt;""),4,IF(U126&lt;&gt;"",3,IF(T126&lt;&gt;"",2,1))))</f>
        <v/>
      </c>
      <c r="BE126" s="39" t="str">
        <f aca="false">IF(OR(AO126&lt;&gt;1,AR126=""),"",INDEX(NIV_REQ,AR126))</f>
        <v/>
      </c>
      <c r="BF126" s="39" t="str">
        <f aca="false">IF(BE126="","",MAX(BE126,IF(OR(K126="Oui",Z126="Oui"),4,1)))</f>
        <v/>
      </c>
      <c r="BG126" s="35" t="str">
        <f aca="false">IF(OR(BF126="",BD126=""),"",IF(BD126&gt;=BF126,1,0))</f>
        <v/>
      </c>
      <c r="BH126" s="38" t="str">
        <f aca="false">IF(BE126="","",IF(BE126&lt;2,"",IF(BE126=2,IF(AND(T126="",U126=""),"",MIN(T126,U126)),IF(U126="","",U126))))</f>
        <v/>
      </c>
      <c r="BI126" s="37" t="str">
        <f aca="false">IF(BH126="","",IF(OR(O126="",BH126=""),"",IF(BH126&lt;O126,"",ROUND(((NETWORKDAYS(O126,BH126,JoursFeries)-1)*(HFer-HOuv)+IF(NETWORKDAYS(BH126,BH126,JoursFeries),MEDIAN(MOD(BH126,1),HFer,HOuv),HFer)-IF(NETWORKDAYS(O126,O126,JoursFeries),MEDIAN(MOD(O126,1),HFer,HOuv),HOuv))*24,4))))</f>
        <v/>
      </c>
      <c r="BJ126" s="35" t="str">
        <f aca="false">IF(OR(BI126="",AR126=""),"",IF(BI126&lt;=INDEX(DELAI_ESC,AR126),1,0))</f>
        <v/>
      </c>
      <c r="BK126" s="38" t="str">
        <f aca="false">IF(AO126&lt;&gt;1,"",IF(AND(T126="",U126=""),"",MIN(T126,U126)))</f>
        <v/>
      </c>
      <c r="BL126" s="37" t="str">
        <f aca="false">IF(OR(BK126="",R126=""),"",IFERROR(ROUND(IF(OR(BK126="",R126=""),"",IF(R126&lt;BK126,"",ROUND(((NETWORKDAYS(BK126,R126,JoursFeries)-1)*(HFer-HOuv)+IF(NETWORKDAYS(R126,R126,JoursFeries),MEDIAN(MOD(R126,1),HFer,HOuv),HFer)-IF(NETWORKDAYS(BK126,BK126,JoursFeries),MEDIAN(MOD(BK126,1),HFer,HOuv),HOuv))*24,4)))/HJour,4),""))</f>
        <v/>
      </c>
      <c r="BM126" s="35" t="str">
        <f aca="false">IF(OR(AO126&lt;&gt;1,R126=""),"",IF(BD126=1,1,0))</f>
        <v/>
      </c>
      <c r="BN126" s="35" t="str">
        <f aca="false">IF(AO126&lt;&gt;1,"",IF(W126="Oui",1,0))</f>
        <v/>
      </c>
      <c r="BO126" s="35" t="str">
        <f aca="false">IF(AO126&lt;&gt;1,"",IF(X126&lt;&gt;"",1,0))</f>
        <v/>
      </c>
      <c r="BP126" s="35" t="str">
        <f aca="false">IF(AO126&lt;&gt;1,"",IF(Y126="Oui",1,0))</f>
        <v/>
      </c>
      <c r="BQ126" s="35" t="str">
        <f aca="true">IF(OR(AO126&lt;&gt;1,Z126&lt;&gt;"Oui"),"",IF(AB126="",IF(AND(AA126&lt;&gt;"",NOW()&gt;AA126),0,""),IF(AA126="","",IF(AB126&lt;=AA126,1,0))))</f>
        <v/>
      </c>
      <c r="BR126" s="38" t="str">
        <f aca="false">IF(OR(AO126&lt;&gt;1,K126&lt;&gt;"Oui",O126=""),"",IF(AC126="",O126+DORA_H_DET/24,IF(AC126-O126&lt;=DORA_H_DET/24,MIN(AC126+DORA_H_CLA/24,O126+DORA_H_DET/24),AC126+DORA_H_CLA/24)))</f>
        <v/>
      </c>
      <c r="BS126" s="35" t="str">
        <f aca="true">IF(BR126="","",IF(AD126="",IF(NOW()&gt;BR126,0,""),IF(AD126&lt;=BR126,1,0)))</f>
        <v/>
      </c>
      <c r="BT126" s="35" t="str">
        <f aca="true">IF(OR(BR126="",AD126=""),"",IF(AE126="",IF(NOW()&gt;AD126+DORA_H_INT/24,0,""),IF(AE126&lt;=AD126+DORA_H_INT/24,1,0)))</f>
        <v/>
      </c>
      <c r="BU126" s="35" t="str">
        <f aca="true">IF(OR(BR126="",AE126=""),"",IF(AF126="",IF(NOW()&gt;EDATE(AE126,DORA_M_FIN)+1,0,""),IF(AF126&lt;=EDATE(AE126,DORA_M_FIN),1,0)))</f>
        <v/>
      </c>
      <c r="BV126" s="35" t="str">
        <f aca="false">IF(BR126="","",IF(COUNT(BS126:BU126)=0,"",MIN(BS126:BU126)))</f>
        <v/>
      </c>
      <c r="BW126" s="40" t="str">
        <f aca="false">IF(AQ126&lt;&gt;1,"",IF(AND(AG126="",AH126=""),"",N(AG126)-N(AH126)))</f>
        <v/>
      </c>
      <c r="BX126" s="35" t="str">
        <f aca="true">IF(OR(AQ126&lt;&gt;1,AI126&lt;&gt;"Oui",AJ126=""),"",IF(AK126="",IF(NOW()&gt;AJ126+1,0,""),IF(AK126&lt;=AJ126,1,0)))</f>
        <v/>
      </c>
    </row>
    <row r="127" customFormat="false" ht="15" hidden="false" customHeight="false" outlineLevel="0" collapsed="false">
      <c r="B127" s="29"/>
      <c r="C127" s="29"/>
      <c r="D127" s="29"/>
      <c r="E127" s="29"/>
      <c r="F127" s="29"/>
      <c r="G127" s="29"/>
      <c r="H127" s="29"/>
      <c r="I127" s="29"/>
      <c r="J127" s="29"/>
      <c r="K127" s="29"/>
      <c r="L127" s="29"/>
      <c r="M127" s="29"/>
      <c r="N127" s="30"/>
      <c r="O127" s="30"/>
      <c r="P127" s="30"/>
      <c r="Q127" s="30"/>
      <c r="R127" s="30"/>
      <c r="S127" s="30"/>
      <c r="T127" s="30"/>
      <c r="U127" s="30"/>
      <c r="V127" s="31"/>
      <c r="W127" s="29"/>
      <c r="X127" s="29"/>
      <c r="Y127" s="29"/>
      <c r="Z127" s="29"/>
      <c r="AA127" s="30"/>
      <c r="AB127" s="30"/>
      <c r="AC127" s="30"/>
      <c r="AD127" s="30"/>
      <c r="AE127" s="30"/>
      <c r="AF127" s="32"/>
      <c r="AG127" s="33"/>
      <c r="AH127" s="33"/>
      <c r="AI127" s="29"/>
      <c r="AJ127" s="32"/>
      <c r="AK127" s="32"/>
      <c r="AL127" s="29"/>
      <c r="AN127" s="34" t="str">
        <f aca="false">IF($B127="","",IF(OR(C127="",D127="",E127="",G127="",I127="",J127="",L127="",O127="",P127=""),"Champ obligatoire manquant",IF(OR(AND(N127&lt;&gt;"",N127&gt;O127),O127&gt;P127,AND(Q127&lt;&gt;"",Q127&lt;P127),AND(R127&lt;&gt;"",R127&lt;P127),AND(S127&lt;&gt;"",S127&lt;R127),AND(S127&lt;&gt;"",R127=""),AND(T127&lt;&gt;"",T127&lt;O127),AND(U127&lt;&gt;"",U127&lt;O127)),"Chronologie incohérente",IF(AND(OR(L127="Résolu",L127="Clos"),R127=""),"Date de résolution manquante",IF(AND(L127="Clos",S127=""),"Date de clôture manquante",IF(AND(K127="Oui",AC127=""),"Classification DORA manquante","OK"))))))</f>
        <v/>
      </c>
      <c r="AO127" s="35" t="str">
        <f aca="false">IF($B127="","",IF(AND(C127="Incident",L127&lt;&gt;"Annulé"),1,0))</f>
        <v/>
      </c>
      <c r="AP127" s="35" t="str">
        <f aca="false">IF($B127="","",IF(AND(C127="Quasi-incident",L127&lt;&gt;"Annulé"),1,0))</f>
        <v/>
      </c>
      <c r="AQ127" s="35" t="str">
        <f aca="false">IF($B127="","",AO127+AP127)</f>
        <v/>
      </c>
      <c r="AR127" s="36" t="str">
        <f aca="false">IF(OR($B127="",J127=""),"",IFERROR(VALUE(LEFT(J127,1)),""))</f>
        <v/>
      </c>
      <c r="AS127" s="35" t="str">
        <f aca="false">IF(OR(AO127&lt;&gt;1,G127=""),"",IFERROR(IF(INDEX(L_SrcInterne,MATCH(G127,L_Sources,0))="Oui",1,0),""))</f>
        <v/>
      </c>
      <c r="AT127" s="37" t="str">
        <f aca="false">IF(AO127&lt;&gt;1,"",IFERROR(ROUND(IF(OR(N127="",O127=""),"",IF(O127&lt;N127,"",ROUND(((NETWORKDAYS(N127,O127,JoursFeries)-1)*(HFer-HOuv)+IF(NETWORKDAYS(O127,O127,JoursFeries),MEDIAN(MOD(O127,1),HFer,HOuv),HFer)-IF(NETWORKDAYS(N127,N127,JoursFeries),MEDIAN(MOD(N127,1),HFer,HOuv),HOuv))*24,4)))/HJour,4),""))</f>
        <v/>
      </c>
      <c r="AU127" s="37" t="str">
        <f aca="false">IF(AO127&lt;&gt;1,"",IF(OR(O127="",P127=""),"",IF(P127&lt;O127,"",ROUND(((NETWORKDAYS(O127,P127,JoursFeries)-1)*(HFer-HOuv)+IF(NETWORKDAYS(P127,P127,JoursFeries),MEDIAN(MOD(P127,1),HFer,HOuv),HFer)-IF(NETWORKDAYS(O127,O127,JoursFeries),MEDIAN(MOD(O127,1),HFer,HOuv),HOuv))*24,4))))</f>
        <v/>
      </c>
      <c r="AV127" s="37" t="str">
        <f aca="false">IF(AO127&lt;&gt;1,"",IF(OR(P127="",Q127=""),"",IF(Q127&lt;P127,"",ROUND(((NETWORKDAYS(P127,Q127,JoursFeries)-1)*(HFer-HOuv)+IF(NETWORKDAYS(Q127,Q127,JoursFeries),MEDIAN(MOD(Q127,1),HFer,HOuv),HFer)-IF(NETWORKDAYS(P127,P127,JoursFeries),MEDIAN(MOD(P127,1),HFer,HOuv),HOuv))*24,4))))</f>
        <v/>
      </c>
      <c r="AW127" s="37" t="str">
        <f aca="false">IF(AO127&lt;&gt;1,"",IFERROR(ROUND(IF(OR(P127="",R127=""),"",IF(R127&lt;P127,"",ROUND(((NETWORKDAYS(P127,R127,JoursFeries)-1)*(HFer-HOuv)+IF(NETWORKDAYS(R127,R127,JoursFeries),MEDIAN(MOD(R127,1),HFer,HOuv),HFer)-IF(NETWORKDAYS(P127,P127,JoursFeries),MEDIAN(MOD(P127,1),HFer,HOuv),HOuv))*24,4)))/HJour,4),""))</f>
        <v/>
      </c>
      <c r="AX127" s="37" t="str">
        <f aca="false">IF(AO127&lt;&gt;1,"",IFERROR(ROUND(IF(OR(P127="",S127=""),"",IF(S127&lt;P127,"",ROUND(((NETWORKDAYS(P127,S127,JoursFeries)-1)*(HFer-HOuv)+IF(NETWORKDAYS(S127,S127,JoursFeries),MEDIAN(MOD(S127,1),HFer,HOuv),HFer)-IF(NETWORKDAYS(P127,P127,JoursFeries),MEDIAN(MOD(P127,1),HFer,HOuv),HOuv))*24,4)))/HJour,4),""))</f>
        <v/>
      </c>
      <c r="AY127" s="36" t="str">
        <f aca="false">IF(OR(AO127&lt;&gt;1,AR127=""),"",INDEX(SLA_PEC,AR127))</f>
        <v/>
      </c>
      <c r="AZ127" s="35" t="str">
        <f aca="false">IF(OR(AV127="",AY127=""),"",IF(AV127&lt;=AY127,1,0))</f>
        <v/>
      </c>
      <c r="BA127" s="36" t="str">
        <f aca="false">IF(OR(AO127&lt;&gt;1,AR127=""),"",INDEX(SLA_RES,AR127))</f>
        <v/>
      </c>
      <c r="BB127" s="35" t="str">
        <f aca="false">IF(OR(AW127="",BA127=""),"",IF(AW127&lt;=BA127,1,0))</f>
        <v/>
      </c>
      <c r="BC127" s="38" t="str">
        <f aca="false">IF(OR(BA127="",P127=""),"",WORKDAY(INT(P127),BA127,JoursFeries)+MOD(P127,1))</f>
        <v/>
      </c>
      <c r="BD127" s="39" t="str">
        <f aca="false">IF(AO127&lt;&gt;1,"",IF(OR(AB127&lt;&gt;"",AD127&lt;&gt;""),4,IF(U127&lt;&gt;"",3,IF(T127&lt;&gt;"",2,1))))</f>
        <v/>
      </c>
      <c r="BE127" s="39" t="str">
        <f aca="false">IF(OR(AO127&lt;&gt;1,AR127=""),"",INDEX(NIV_REQ,AR127))</f>
        <v/>
      </c>
      <c r="BF127" s="39" t="str">
        <f aca="false">IF(BE127="","",MAX(BE127,IF(OR(K127="Oui",Z127="Oui"),4,1)))</f>
        <v/>
      </c>
      <c r="BG127" s="35" t="str">
        <f aca="false">IF(OR(BF127="",BD127=""),"",IF(BD127&gt;=BF127,1,0))</f>
        <v/>
      </c>
      <c r="BH127" s="38" t="str">
        <f aca="false">IF(BE127="","",IF(BE127&lt;2,"",IF(BE127=2,IF(AND(T127="",U127=""),"",MIN(T127,U127)),IF(U127="","",U127))))</f>
        <v/>
      </c>
      <c r="BI127" s="37" t="str">
        <f aca="false">IF(BH127="","",IF(OR(O127="",BH127=""),"",IF(BH127&lt;O127,"",ROUND(((NETWORKDAYS(O127,BH127,JoursFeries)-1)*(HFer-HOuv)+IF(NETWORKDAYS(BH127,BH127,JoursFeries),MEDIAN(MOD(BH127,1),HFer,HOuv),HFer)-IF(NETWORKDAYS(O127,O127,JoursFeries),MEDIAN(MOD(O127,1),HFer,HOuv),HOuv))*24,4))))</f>
        <v/>
      </c>
      <c r="BJ127" s="35" t="str">
        <f aca="false">IF(OR(BI127="",AR127=""),"",IF(BI127&lt;=INDEX(DELAI_ESC,AR127),1,0))</f>
        <v/>
      </c>
      <c r="BK127" s="38" t="str">
        <f aca="false">IF(AO127&lt;&gt;1,"",IF(AND(T127="",U127=""),"",MIN(T127,U127)))</f>
        <v/>
      </c>
      <c r="BL127" s="37" t="str">
        <f aca="false">IF(OR(BK127="",R127=""),"",IFERROR(ROUND(IF(OR(BK127="",R127=""),"",IF(R127&lt;BK127,"",ROUND(((NETWORKDAYS(BK127,R127,JoursFeries)-1)*(HFer-HOuv)+IF(NETWORKDAYS(R127,R127,JoursFeries),MEDIAN(MOD(R127,1),HFer,HOuv),HFer)-IF(NETWORKDAYS(BK127,BK127,JoursFeries),MEDIAN(MOD(BK127,1),HFer,HOuv),HOuv))*24,4)))/HJour,4),""))</f>
        <v/>
      </c>
      <c r="BM127" s="35" t="str">
        <f aca="false">IF(OR(AO127&lt;&gt;1,R127=""),"",IF(BD127=1,1,0))</f>
        <v/>
      </c>
      <c r="BN127" s="35" t="str">
        <f aca="false">IF(AO127&lt;&gt;1,"",IF(W127="Oui",1,0))</f>
        <v/>
      </c>
      <c r="BO127" s="35" t="str">
        <f aca="false">IF(AO127&lt;&gt;1,"",IF(X127&lt;&gt;"",1,0))</f>
        <v/>
      </c>
      <c r="BP127" s="35" t="str">
        <f aca="false">IF(AO127&lt;&gt;1,"",IF(Y127="Oui",1,0))</f>
        <v/>
      </c>
      <c r="BQ127" s="35" t="str">
        <f aca="true">IF(OR(AO127&lt;&gt;1,Z127&lt;&gt;"Oui"),"",IF(AB127="",IF(AND(AA127&lt;&gt;"",NOW()&gt;AA127),0,""),IF(AA127="","",IF(AB127&lt;=AA127,1,0))))</f>
        <v/>
      </c>
      <c r="BR127" s="38" t="str">
        <f aca="false">IF(OR(AO127&lt;&gt;1,K127&lt;&gt;"Oui",O127=""),"",IF(AC127="",O127+DORA_H_DET/24,IF(AC127-O127&lt;=DORA_H_DET/24,MIN(AC127+DORA_H_CLA/24,O127+DORA_H_DET/24),AC127+DORA_H_CLA/24)))</f>
        <v/>
      </c>
      <c r="BS127" s="35" t="str">
        <f aca="true">IF(BR127="","",IF(AD127="",IF(NOW()&gt;BR127,0,""),IF(AD127&lt;=BR127,1,0)))</f>
        <v/>
      </c>
      <c r="BT127" s="35" t="str">
        <f aca="true">IF(OR(BR127="",AD127=""),"",IF(AE127="",IF(NOW()&gt;AD127+DORA_H_INT/24,0,""),IF(AE127&lt;=AD127+DORA_H_INT/24,1,0)))</f>
        <v/>
      </c>
      <c r="BU127" s="35" t="str">
        <f aca="true">IF(OR(BR127="",AE127=""),"",IF(AF127="",IF(NOW()&gt;EDATE(AE127,DORA_M_FIN)+1,0,""),IF(AF127&lt;=EDATE(AE127,DORA_M_FIN),1,0)))</f>
        <v/>
      </c>
      <c r="BV127" s="35" t="str">
        <f aca="false">IF(BR127="","",IF(COUNT(BS127:BU127)=0,"",MIN(BS127:BU127)))</f>
        <v/>
      </c>
      <c r="BW127" s="40" t="str">
        <f aca="false">IF(AQ127&lt;&gt;1,"",IF(AND(AG127="",AH127=""),"",N(AG127)-N(AH127)))</f>
        <v/>
      </c>
      <c r="BX127" s="35" t="str">
        <f aca="true">IF(OR(AQ127&lt;&gt;1,AI127&lt;&gt;"Oui",AJ127=""),"",IF(AK127="",IF(NOW()&gt;AJ127+1,0,""),IF(AK127&lt;=AJ127,1,0)))</f>
        <v/>
      </c>
    </row>
    <row r="128" customFormat="false" ht="15" hidden="false" customHeight="false" outlineLevel="0" collapsed="false">
      <c r="B128" s="29"/>
      <c r="C128" s="29"/>
      <c r="D128" s="29"/>
      <c r="E128" s="29"/>
      <c r="F128" s="29"/>
      <c r="G128" s="29"/>
      <c r="H128" s="29"/>
      <c r="I128" s="29"/>
      <c r="J128" s="29"/>
      <c r="K128" s="29"/>
      <c r="L128" s="29"/>
      <c r="M128" s="29"/>
      <c r="N128" s="30"/>
      <c r="O128" s="30"/>
      <c r="P128" s="30"/>
      <c r="Q128" s="30"/>
      <c r="R128" s="30"/>
      <c r="S128" s="30"/>
      <c r="T128" s="30"/>
      <c r="U128" s="30"/>
      <c r="V128" s="31"/>
      <c r="W128" s="29"/>
      <c r="X128" s="29"/>
      <c r="Y128" s="29"/>
      <c r="Z128" s="29"/>
      <c r="AA128" s="30"/>
      <c r="AB128" s="30"/>
      <c r="AC128" s="30"/>
      <c r="AD128" s="30"/>
      <c r="AE128" s="30"/>
      <c r="AF128" s="32"/>
      <c r="AG128" s="33"/>
      <c r="AH128" s="33"/>
      <c r="AI128" s="29"/>
      <c r="AJ128" s="32"/>
      <c r="AK128" s="32"/>
      <c r="AL128" s="29"/>
      <c r="AN128" s="34" t="str">
        <f aca="false">IF($B128="","",IF(OR(C128="",D128="",E128="",G128="",I128="",J128="",L128="",O128="",P128=""),"Champ obligatoire manquant",IF(OR(AND(N128&lt;&gt;"",N128&gt;O128),O128&gt;P128,AND(Q128&lt;&gt;"",Q128&lt;P128),AND(R128&lt;&gt;"",R128&lt;P128),AND(S128&lt;&gt;"",S128&lt;R128),AND(S128&lt;&gt;"",R128=""),AND(T128&lt;&gt;"",T128&lt;O128),AND(U128&lt;&gt;"",U128&lt;O128)),"Chronologie incohérente",IF(AND(OR(L128="Résolu",L128="Clos"),R128=""),"Date de résolution manquante",IF(AND(L128="Clos",S128=""),"Date de clôture manquante",IF(AND(K128="Oui",AC128=""),"Classification DORA manquante","OK"))))))</f>
        <v/>
      </c>
      <c r="AO128" s="35" t="str">
        <f aca="false">IF($B128="","",IF(AND(C128="Incident",L128&lt;&gt;"Annulé"),1,0))</f>
        <v/>
      </c>
      <c r="AP128" s="35" t="str">
        <f aca="false">IF($B128="","",IF(AND(C128="Quasi-incident",L128&lt;&gt;"Annulé"),1,0))</f>
        <v/>
      </c>
      <c r="AQ128" s="35" t="str">
        <f aca="false">IF($B128="","",AO128+AP128)</f>
        <v/>
      </c>
      <c r="AR128" s="36" t="str">
        <f aca="false">IF(OR($B128="",J128=""),"",IFERROR(VALUE(LEFT(J128,1)),""))</f>
        <v/>
      </c>
      <c r="AS128" s="35" t="str">
        <f aca="false">IF(OR(AO128&lt;&gt;1,G128=""),"",IFERROR(IF(INDEX(L_SrcInterne,MATCH(G128,L_Sources,0))="Oui",1,0),""))</f>
        <v/>
      </c>
      <c r="AT128" s="37" t="str">
        <f aca="false">IF(AO128&lt;&gt;1,"",IFERROR(ROUND(IF(OR(N128="",O128=""),"",IF(O128&lt;N128,"",ROUND(((NETWORKDAYS(N128,O128,JoursFeries)-1)*(HFer-HOuv)+IF(NETWORKDAYS(O128,O128,JoursFeries),MEDIAN(MOD(O128,1),HFer,HOuv),HFer)-IF(NETWORKDAYS(N128,N128,JoursFeries),MEDIAN(MOD(N128,1),HFer,HOuv),HOuv))*24,4)))/HJour,4),""))</f>
        <v/>
      </c>
      <c r="AU128" s="37" t="str">
        <f aca="false">IF(AO128&lt;&gt;1,"",IF(OR(O128="",P128=""),"",IF(P128&lt;O128,"",ROUND(((NETWORKDAYS(O128,P128,JoursFeries)-1)*(HFer-HOuv)+IF(NETWORKDAYS(P128,P128,JoursFeries),MEDIAN(MOD(P128,1),HFer,HOuv),HFer)-IF(NETWORKDAYS(O128,O128,JoursFeries),MEDIAN(MOD(O128,1),HFer,HOuv),HOuv))*24,4))))</f>
        <v/>
      </c>
      <c r="AV128" s="37" t="str">
        <f aca="false">IF(AO128&lt;&gt;1,"",IF(OR(P128="",Q128=""),"",IF(Q128&lt;P128,"",ROUND(((NETWORKDAYS(P128,Q128,JoursFeries)-1)*(HFer-HOuv)+IF(NETWORKDAYS(Q128,Q128,JoursFeries),MEDIAN(MOD(Q128,1),HFer,HOuv),HFer)-IF(NETWORKDAYS(P128,P128,JoursFeries),MEDIAN(MOD(P128,1),HFer,HOuv),HOuv))*24,4))))</f>
        <v/>
      </c>
      <c r="AW128" s="37" t="str">
        <f aca="false">IF(AO128&lt;&gt;1,"",IFERROR(ROUND(IF(OR(P128="",R128=""),"",IF(R128&lt;P128,"",ROUND(((NETWORKDAYS(P128,R128,JoursFeries)-1)*(HFer-HOuv)+IF(NETWORKDAYS(R128,R128,JoursFeries),MEDIAN(MOD(R128,1),HFer,HOuv),HFer)-IF(NETWORKDAYS(P128,P128,JoursFeries),MEDIAN(MOD(P128,1),HFer,HOuv),HOuv))*24,4)))/HJour,4),""))</f>
        <v/>
      </c>
      <c r="AX128" s="37" t="str">
        <f aca="false">IF(AO128&lt;&gt;1,"",IFERROR(ROUND(IF(OR(P128="",S128=""),"",IF(S128&lt;P128,"",ROUND(((NETWORKDAYS(P128,S128,JoursFeries)-1)*(HFer-HOuv)+IF(NETWORKDAYS(S128,S128,JoursFeries),MEDIAN(MOD(S128,1),HFer,HOuv),HFer)-IF(NETWORKDAYS(P128,P128,JoursFeries),MEDIAN(MOD(P128,1),HFer,HOuv),HOuv))*24,4)))/HJour,4),""))</f>
        <v/>
      </c>
      <c r="AY128" s="36" t="str">
        <f aca="false">IF(OR(AO128&lt;&gt;1,AR128=""),"",INDEX(SLA_PEC,AR128))</f>
        <v/>
      </c>
      <c r="AZ128" s="35" t="str">
        <f aca="false">IF(OR(AV128="",AY128=""),"",IF(AV128&lt;=AY128,1,0))</f>
        <v/>
      </c>
      <c r="BA128" s="36" t="str">
        <f aca="false">IF(OR(AO128&lt;&gt;1,AR128=""),"",INDEX(SLA_RES,AR128))</f>
        <v/>
      </c>
      <c r="BB128" s="35" t="str">
        <f aca="false">IF(OR(AW128="",BA128=""),"",IF(AW128&lt;=BA128,1,0))</f>
        <v/>
      </c>
      <c r="BC128" s="38" t="str">
        <f aca="false">IF(OR(BA128="",P128=""),"",WORKDAY(INT(P128),BA128,JoursFeries)+MOD(P128,1))</f>
        <v/>
      </c>
      <c r="BD128" s="39" t="str">
        <f aca="false">IF(AO128&lt;&gt;1,"",IF(OR(AB128&lt;&gt;"",AD128&lt;&gt;""),4,IF(U128&lt;&gt;"",3,IF(T128&lt;&gt;"",2,1))))</f>
        <v/>
      </c>
      <c r="BE128" s="39" t="str">
        <f aca="false">IF(OR(AO128&lt;&gt;1,AR128=""),"",INDEX(NIV_REQ,AR128))</f>
        <v/>
      </c>
      <c r="BF128" s="39" t="str">
        <f aca="false">IF(BE128="","",MAX(BE128,IF(OR(K128="Oui",Z128="Oui"),4,1)))</f>
        <v/>
      </c>
      <c r="BG128" s="35" t="str">
        <f aca="false">IF(OR(BF128="",BD128=""),"",IF(BD128&gt;=BF128,1,0))</f>
        <v/>
      </c>
      <c r="BH128" s="38" t="str">
        <f aca="false">IF(BE128="","",IF(BE128&lt;2,"",IF(BE128=2,IF(AND(T128="",U128=""),"",MIN(T128,U128)),IF(U128="","",U128))))</f>
        <v/>
      </c>
      <c r="BI128" s="37" t="str">
        <f aca="false">IF(BH128="","",IF(OR(O128="",BH128=""),"",IF(BH128&lt;O128,"",ROUND(((NETWORKDAYS(O128,BH128,JoursFeries)-1)*(HFer-HOuv)+IF(NETWORKDAYS(BH128,BH128,JoursFeries),MEDIAN(MOD(BH128,1),HFer,HOuv),HFer)-IF(NETWORKDAYS(O128,O128,JoursFeries),MEDIAN(MOD(O128,1),HFer,HOuv),HOuv))*24,4))))</f>
        <v/>
      </c>
      <c r="BJ128" s="35" t="str">
        <f aca="false">IF(OR(BI128="",AR128=""),"",IF(BI128&lt;=INDEX(DELAI_ESC,AR128),1,0))</f>
        <v/>
      </c>
      <c r="BK128" s="38" t="str">
        <f aca="false">IF(AO128&lt;&gt;1,"",IF(AND(T128="",U128=""),"",MIN(T128,U128)))</f>
        <v/>
      </c>
      <c r="BL128" s="37" t="str">
        <f aca="false">IF(OR(BK128="",R128=""),"",IFERROR(ROUND(IF(OR(BK128="",R128=""),"",IF(R128&lt;BK128,"",ROUND(((NETWORKDAYS(BK128,R128,JoursFeries)-1)*(HFer-HOuv)+IF(NETWORKDAYS(R128,R128,JoursFeries),MEDIAN(MOD(R128,1),HFer,HOuv),HFer)-IF(NETWORKDAYS(BK128,BK128,JoursFeries),MEDIAN(MOD(BK128,1),HFer,HOuv),HOuv))*24,4)))/HJour,4),""))</f>
        <v/>
      </c>
      <c r="BM128" s="35" t="str">
        <f aca="false">IF(OR(AO128&lt;&gt;1,R128=""),"",IF(BD128=1,1,0))</f>
        <v/>
      </c>
      <c r="BN128" s="35" t="str">
        <f aca="false">IF(AO128&lt;&gt;1,"",IF(W128="Oui",1,0))</f>
        <v/>
      </c>
      <c r="BO128" s="35" t="str">
        <f aca="false">IF(AO128&lt;&gt;1,"",IF(X128&lt;&gt;"",1,0))</f>
        <v/>
      </c>
      <c r="BP128" s="35" t="str">
        <f aca="false">IF(AO128&lt;&gt;1,"",IF(Y128="Oui",1,0))</f>
        <v/>
      </c>
      <c r="BQ128" s="35" t="str">
        <f aca="true">IF(OR(AO128&lt;&gt;1,Z128&lt;&gt;"Oui"),"",IF(AB128="",IF(AND(AA128&lt;&gt;"",NOW()&gt;AA128),0,""),IF(AA128="","",IF(AB128&lt;=AA128,1,0))))</f>
        <v/>
      </c>
      <c r="BR128" s="38" t="str">
        <f aca="false">IF(OR(AO128&lt;&gt;1,K128&lt;&gt;"Oui",O128=""),"",IF(AC128="",O128+DORA_H_DET/24,IF(AC128-O128&lt;=DORA_H_DET/24,MIN(AC128+DORA_H_CLA/24,O128+DORA_H_DET/24),AC128+DORA_H_CLA/24)))</f>
        <v/>
      </c>
      <c r="BS128" s="35" t="str">
        <f aca="true">IF(BR128="","",IF(AD128="",IF(NOW()&gt;BR128,0,""),IF(AD128&lt;=BR128,1,0)))</f>
        <v/>
      </c>
      <c r="BT128" s="35" t="str">
        <f aca="true">IF(OR(BR128="",AD128=""),"",IF(AE128="",IF(NOW()&gt;AD128+DORA_H_INT/24,0,""),IF(AE128&lt;=AD128+DORA_H_INT/24,1,0)))</f>
        <v/>
      </c>
      <c r="BU128" s="35" t="str">
        <f aca="true">IF(OR(BR128="",AE128=""),"",IF(AF128="",IF(NOW()&gt;EDATE(AE128,DORA_M_FIN)+1,0,""),IF(AF128&lt;=EDATE(AE128,DORA_M_FIN),1,0)))</f>
        <v/>
      </c>
      <c r="BV128" s="35" t="str">
        <f aca="false">IF(BR128="","",IF(COUNT(BS128:BU128)=0,"",MIN(BS128:BU128)))</f>
        <v/>
      </c>
      <c r="BW128" s="40" t="str">
        <f aca="false">IF(AQ128&lt;&gt;1,"",IF(AND(AG128="",AH128=""),"",N(AG128)-N(AH128)))</f>
        <v/>
      </c>
      <c r="BX128" s="35" t="str">
        <f aca="true">IF(OR(AQ128&lt;&gt;1,AI128&lt;&gt;"Oui",AJ128=""),"",IF(AK128="",IF(NOW()&gt;AJ128+1,0,""),IF(AK128&lt;=AJ128,1,0)))</f>
        <v/>
      </c>
    </row>
    <row r="129" customFormat="false" ht="15" hidden="false" customHeight="false" outlineLevel="0" collapsed="false">
      <c r="B129" s="29"/>
      <c r="C129" s="29"/>
      <c r="D129" s="29"/>
      <c r="E129" s="29"/>
      <c r="F129" s="29"/>
      <c r="G129" s="29"/>
      <c r="H129" s="29"/>
      <c r="I129" s="29"/>
      <c r="J129" s="29"/>
      <c r="K129" s="29"/>
      <c r="L129" s="29"/>
      <c r="M129" s="29"/>
      <c r="N129" s="30"/>
      <c r="O129" s="30"/>
      <c r="P129" s="30"/>
      <c r="Q129" s="30"/>
      <c r="R129" s="30"/>
      <c r="S129" s="30"/>
      <c r="T129" s="30"/>
      <c r="U129" s="30"/>
      <c r="V129" s="31"/>
      <c r="W129" s="29"/>
      <c r="X129" s="29"/>
      <c r="Y129" s="29"/>
      <c r="Z129" s="29"/>
      <c r="AA129" s="30"/>
      <c r="AB129" s="30"/>
      <c r="AC129" s="30"/>
      <c r="AD129" s="30"/>
      <c r="AE129" s="30"/>
      <c r="AF129" s="32"/>
      <c r="AG129" s="33"/>
      <c r="AH129" s="33"/>
      <c r="AI129" s="29"/>
      <c r="AJ129" s="32"/>
      <c r="AK129" s="32"/>
      <c r="AL129" s="29"/>
      <c r="AN129" s="34" t="str">
        <f aca="false">IF($B129="","",IF(OR(C129="",D129="",E129="",G129="",I129="",J129="",L129="",O129="",P129=""),"Champ obligatoire manquant",IF(OR(AND(N129&lt;&gt;"",N129&gt;O129),O129&gt;P129,AND(Q129&lt;&gt;"",Q129&lt;P129),AND(R129&lt;&gt;"",R129&lt;P129),AND(S129&lt;&gt;"",S129&lt;R129),AND(S129&lt;&gt;"",R129=""),AND(T129&lt;&gt;"",T129&lt;O129),AND(U129&lt;&gt;"",U129&lt;O129)),"Chronologie incohérente",IF(AND(OR(L129="Résolu",L129="Clos"),R129=""),"Date de résolution manquante",IF(AND(L129="Clos",S129=""),"Date de clôture manquante",IF(AND(K129="Oui",AC129=""),"Classification DORA manquante","OK"))))))</f>
        <v/>
      </c>
      <c r="AO129" s="35" t="str">
        <f aca="false">IF($B129="","",IF(AND(C129="Incident",L129&lt;&gt;"Annulé"),1,0))</f>
        <v/>
      </c>
      <c r="AP129" s="35" t="str">
        <f aca="false">IF($B129="","",IF(AND(C129="Quasi-incident",L129&lt;&gt;"Annulé"),1,0))</f>
        <v/>
      </c>
      <c r="AQ129" s="35" t="str">
        <f aca="false">IF($B129="","",AO129+AP129)</f>
        <v/>
      </c>
      <c r="AR129" s="36" t="str">
        <f aca="false">IF(OR($B129="",J129=""),"",IFERROR(VALUE(LEFT(J129,1)),""))</f>
        <v/>
      </c>
      <c r="AS129" s="35" t="str">
        <f aca="false">IF(OR(AO129&lt;&gt;1,G129=""),"",IFERROR(IF(INDEX(L_SrcInterne,MATCH(G129,L_Sources,0))="Oui",1,0),""))</f>
        <v/>
      </c>
      <c r="AT129" s="37" t="str">
        <f aca="false">IF(AO129&lt;&gt;1,"",IFERROR(ROUND(IF(OR(N129="",O129=""),"",IF(O129&lt;N129,"",ROUND(((NETWORKDAYS(N129,O129,JoursFeries)-1)*(HFer-HOuv)+IF(NETWORKDAYS(O129,O129,JoursFeries),MEDIAN(MOD(O129,1),HFer,HOuv),HFer)-IF(NETWORKDAYS(N129,N129,JoursFeries),MEDIAN(MOD(N129,1),HFer,HOuv),HOuv))*24,4)))/HJour,4),""))</f>
        <v/>
      </c>
      <c r="AU129" s="37" t="str">
        <f aca="false">IF(AO129&lt;&gt;1,"",IF(OR(O129="",P129=""),"",IF(P129&lt;O129,"",ROUND(((NETWORKDAYS(O129,P129,JoursFeries)-1)*(HFer-HOuv)+IF(NETWORKDAYS(P129,P129,JoursFeries),MEDIAN(MOD(P129,1),HFer,HOuv),HFer)-IF(NETWORKDAYS(O129,O129,JoursFeries),MEDIAN(MOD(O129,1),HFer,HOuv),HOuv))*24,4))))</f>
        <v/>
      </c>
      <c r="AV129" s="37" t="str">
        <f aca="false">IF(AO129&lt;&gt;1,"",IF(OR(P129="",Q129=""),"",IF(Q129&lt;P129,"",ROUND(((NETWORKDAYS(P129,Q129,JoursFeries)-1)*(HFer-HOuv)+IF(NETWORKDAYS(Q129,Q129,JoursFeries),MEDIAN(MOD(Q129,1),HFer,HOuv),HFer)-IF(NETWORKDAYS(P129,P129,JoursFeries),MEDIAN(MOD(P129,1),HFer,HOuv),HOuv))*24,4))))</f>
        <v/>
      </c>
      <c r="AW129" s="37" t="str">
        <f aca="false">IF(AO129&lt;&gt;1,"",IFERROR(ROUND(IF(OR(P129="",R129=""),"",IF(R129&lt;P129,"",ROUND(((NETWORKDAYS(P129,R129,JoursFeries)-1)*(HFer-HOuv)+IF(NETWORKDAYS(R129,R129,JoursFeries),MEDIAN(MOD(R129,1),HFer,HOuv),HFer)-IF(NETWORKDAYS(P129,P129,JoursFeries),MEDIAN(MOD(P129,1),HFer,HOuv),HOuv))*24,4)))/HJour,4),""))</f>
        <v/>
      </c>
      <c r="AX129" s="37" t="str">
        <f aca="false">IF(AO129&lt;&gt;1,"",IFERROR(ROUND(IF(OR(P129="",S129=""),"",IF(S129&lt;P129,"",ROUND(((NETWORKDAYS(P129,S129,JoursFeries)-1)*(HFer-HOuv)+IF(NETWORKDAYS(S129,S129,JoursFeries),MEDIAN(MOD(S129,1),HFer,HOuv),HFer)-IF(NETWORKDAYS(P129,P129,JoursFeries),MEDIAN(MOD(P129,1),HFer,HOuv),HOuv))*24,4)))/HJour,4),""))</f>
        <v/>
      </c>
      <c r="AY129" s="36" t="str">
        <f aca="false">IF(OR(AO129&lt;&gt;1,AR129=""),"",INDEX(SLA_PEC,AR129))</f>
        <v/>
      </c>
      <c r="AZ129" s="35" t="str">
        <f aca="false">IF(OR(AV129="",AY129=""),"",IF(AV129&lt;=AY129,1,0))</f>
        <v/>
      </c>
      <c r="BA129" s="36" t="str">
        <f aca="false">IF(OR(AO129&lt;&gt;1,AR129=""),"",INDEX(SLA_RES,AR129))</f>
        <v/>
      </c>
      <c r="BB129" s="35" t="str">
        <f aca="false">IF(OR(AW129="",BA129=""),"",IF(AW129&lt;=BA129,1,0))</f>
        <v/>
      </c>
      <c r="BC129" s="38" t="str">
        <f aca="false">IF(OR(BA129="",P129=""),"",WORKDAY(INT(P129),BA129,JoursFeries)+MOD(P129,1))</f>
        <v/>
      </c>
      <c r="BD129" s="39" t="str">
        <f aca="false">IF(AO129&lt;&gt;1,"",IF(OR(AB129&lt;&gt;"",AD129&lt;&gt;""),4,IF(U129&lt;&gt;"",3,IF(T129&lt;&gt;"",2,1))))</f>
        <v/>
      </c>
      <c r="BE129" s="39" t="str">
        <f aca="false">IF(OR(AO129&lt;&gt;1,AR129=""),"",INDEX(NIV_REQ,AR129))</f>
        <v/>
      </c>
      <c r="BF129" s="39" t="str">
        <f aca="false">IF(BE129="","",MAX(BE129,IF(OR(K129="Oui",Z129="Oui"),4,1)))</f>
        <v/>
      </c>
      <c r="BG129" s="35" t="str">
        <f aca="false">IF(OR(BF129="",BD129=""),"",IF(BD129&gt;=BF129,1,0))</f>
        <v/>
      </c>
      <c r="BH129" s="38" t="str">
        <f aca="false">IF(BE129="","",IF(BE129&lt;2,"",IF(BE129=2,IF(AND(T129="",U129=""),"",MIN(T129,U129)),IF(U129="","",U129))))</f>
        <v/>
      </c>
      <c r="BI129" s="37" t="str">
        <f aca="false">IF(BH129="","",IF(OR(O129="",BH129=""),"",IF(BH129&lt;O129,"",ROUND(((NETWORKDAYS(O129,BH129,JoursFeries)-1)*(HFer-HOuv)+IF(NETWORKDAYS(BH129,BH129,JoursFeries),MEDIAN(MOD(BH129,1),HFer,HOuv),HFer)-IF(NETWORKDAYS(O129,O129,JoursFeries),MEDIAN(MOD(O129,1),HFer,HOuv),HOuv))*24,4))))</f>
        <v/>
      </c>
      <c r="BJ129" s="35" t="str">
        <f aca="false">IF(OR(BI129="",AR129=""),"",IF(BI129&lt;=INDEX(DELAI_ESC,AR129),1,0))</f>
        <v/>
      </c>
      <c r="BK129" s="38" t="str">
        <f aca="false">IF(AO129&lt;&gt;1,"",IF(AND(T129="",U129=""),"",MIN(T129,U129)))</f>
        <v/>
      </c>
      <c r="BL129" s="37" t="str">
        <f aca="false">IF(OR(BK129="",R129=""),"",IFERROR(ROUND(IF(OR(BK129="",R129=""),"",IF(R129&lt;BK129,"",ROUND(((NETWORKDAYS(BK129,R129,JoursFeries)-1)*(HFer-HOuv)+IF(NETWORKDAYS(R129,R129,JoursFeries),MEDIAN(MOD(R129,1),HFer,HOuv),HFer)-IF(NETWORKDAYS(BK129,BK129,JoursFeries),MEDIAN(MOD(BK129,1),HFer,HOuv),HOuv))*24,4)))/HJour,4),""))</f>
        <v/>
      </c>
      <c r="BM129" s="35" t="str">
        <f aca="false">IF(OR(AO129&lt;&gt;1,R129=""),"",IF(BD129=1,1,0))</f>
        <v/>
      </c>
      <c r="BN129" s="35" t="str">
        <f aca="false">IF(AO129&lt;&gt;1,"",IF(W129="Oui",1,0))</f>
        <v/>
      </c>
      <c r="BO129" s="35" t="str">
        <f aca="false">IF(AO129&lt;&gt;1,"",IF(X129&lt;&gt;"",1,0))</f>
        <v/>
      </c>
      <c r="BP129" s="35" t="str">
        <f aca="false">IF(AO129&lt;&gt;1,"",IF(Y129="Oui",1,0))</f>
        <v/>
      </c>
      <c r="BQ129" s="35" t="str">
        <f aca="true">IF(OR(AO129&lt;&gt;1,Z129&lt;&gt;"Oui"),"",IF(AB129="",IF(AND(AA129&lt;&gt;"",NOW()&gt;AA129),0,""),IF(AA129="","",IF(AB129&lt;=AA129,1,0))))</f>
        <v/>
      </c>
      <c r="BR129" s="38" t="str">
        <f aca="false">IF(OR(AO129&lt;&gt;1,K129&lt;&gt;"Oui",O129=""),"",IF(AC129="",O129+DORA_H_DET/24,IF(AC129-O129&lt;=DORA_H_DET/24,MIN(AC129+DORA_H_CLA/24,O129+DORA_H_DET/24),AC129+DORA_H_CLA/24)))</f>
        <v/>
      </c>
      <c r="BS129" s="35" t="str">
        <f aca="true">IF(BR129="","",IF(AD129="",IF(NOW()&gt;BR129,0,""),IF(AD129&lt;=BR129,1,0)))</f>
        <v/>
      </c>
      <c r="BT129" s="35" t="str">
        <f aca="true">IF(OR(BR129="",AD129=""),"",IF(AE129="",IF(NOW()&gt;AD129+DORA_H_INT/24,0,""),IF(AE129&lt;=AD129+DORA_H_INT/24,1,0)))</f>
        <v/>
      </c>
      <c r="BU129" s="35" t="str">
        <f aca="true">IF(OR(BR129="",AE129=""),"",IF(AF129="",IF(NOW()&gt;EDATE(AE129,DORA_M_FIN)+1,0,""),IF(AF129&lt;=EDATE(AE129,DORA_M_FIN),1,0)))</f>
        <v/>
      </c>
      <c r="BV129" s="35" t="str">
        <f aca="false">IF(BR129="","",IF(COUNT(BS129:BU129)=0,"",MIN(BS129:BU129)))</f>
        <v/>
      </c>
      <c r="BW129" s="40" t="str">
        <f aca="false">IF(AQ129&lt;&gt;1,"",IF(AND(AG129="",AH129=""),"",N(AG129)-N(AH129)))</f>
        <v/>
      </c>
      <c r="BX129" s="35" t="str">
        <f aca="true">IF(OR(AQ129&lt;&gt;1,AI129&lt;&gt;"Oui",AJ129=""),"",IF(AK129="",IF(NOW()&gt;AJ129+1,0,""),IF(AK129&lt;=AJ129,1,0)))</f>
        <v/>
      </c>
    </row>
    <row r="130" customFormat="false" ht="15" hidden="false" customHeight="false" outlineLevel="0" collapsed="false">
      <c r="B130" s="29"/>
      <c r="C130" s="29"/>
      <c r="D130" s="29"/>
      <c r="E130" s="29"/>
      <c r="F130" s="29"/>
      <c r="G130" s="29"/>
      <c r="H130" s="29"/>
      <c r="I130" s="29"/>
      <c r="J130" s="29"/>
      <c r="K130" s="29"/>
      <c r="L130" s="29"/>
      <c r="M130" s="29"/>
      <c r="N130" s="30"/>
      <c r="O130" s="30"/>
      <c r="P130" s="30"/>
      <c r="Q130" s="30"/>
      <c r="R130" s="30"/>
      <c r="S130" s="30"/>
      <c r="T130" s="30"/>
      <c r="U130" s="30"/>
      <c r="V130" s="31"/>
      <c r="W130" s="29"/>
      <c r="X130" s="29"/>
      <c r="Y130" s="29"/>
      <c r="Z130" s="29"/>
      <c r="AA130" s="30"/>
      <c r="AB130" s="30"/>
      <c r="AC130" s="30"/>
      <c r="AD130" s="30"/>
      <c r="AE130" s="30"/>
      <c r="AF130" s="32"/>
      <c r="AG130" s="33"/>
      <c r="AH130" s="33"/>
      <c r="AI130" s="29"/>
      <c r="AJ130" s="32"/>
      <c r="AK130" s="32"/>
      <c r="AL130" s="29"/>
      <c r="AN130" s="34" t="str">
        <f aca="false">IF($B130="","",IF(OR(C130="",D130="",E130="",G130="",I130="",J130="",L130="",O130="",P130=""),"Champ obligatoire manquant",IF(OR(AND(N130&lt;&gt;"",N130&gt;O130),O130&gt;P130,AND(Q130&lt;&gt;"",Q130&lt;P130),AND(R130&lt;&gt;"",R130&lt;P130),AND(S130&lt;&gt;"",S130&lt;R130),AND(S130&lt;&gt;"",R130=""),AND(T130&lt;&gt;"",T130&lt;O130),AND(U130&lt;&gt;"",U130&lt;O130)),"Chronologie incohérente",IF(AND(OR(L130="Résolu",L130="Clos"),R130=""),"Date de résolution manquante",IF(AND(L130="Clos",S130=""),"Date de clôture manquante",IF(AND(K130="Oui",AC130=""),"Classification DORA manquante","OK"))))))</f>
        <v/>
      </c>
      <c r="AO130" s="35" t="str">
        <f aca="false">IF($B130="","",IF(AND(C130="Incident",L130&lt;&gt;"Annulé"),1,0))</f>
        <v/>
      </c>
      <c r="AP130" s="35" t="str">
        <f aca="false">IF($B130="","",IF(AND(C130="Quasi-incident",L130&lt;&gt;"Annulé"),1,0))</f>
        <v/>
      </c>
      <c r="AQ130" s="35" t="str">
        <f aca="false">IF($B130="","",AO130+AP130)</f>
        <v/>
      </c>
      <c r="AR130" s="36" t="str">
        <f aca="false">IF(OR($B130="",J130=""),"",IFERROR(VALUE(LEFT(J130,1)),""))</f>
        <v/>
      </c>
      <c r="AS130" s="35" t="str">
        <f aca="false">IF(OR(AO130&lt;&gt;1,G130=""),"",IFERROR(IF(INDEX(L_SrcInterne,MATCH(G130,L_Sources,0))="Oui",1,0),""))</f>
        <v/>
      </c>
      <c r="AT130" s="37" t="str">
        <f aca="false">IF(AO130&lt;&gt;1,"",IFERROR(ROUND(IF(OR(N130="",O130=""),"",IF(O130&lt;N130,"",ROUND(((NETWORKDAYS(N130,O130,JoursFeries)-1)*(HFer-HOuv)+IF(NETWORKDAYS(O130,O130,JoursFeries),MEDIAN(MOD(O130,1),HFer,HOuv),HFer)-IF(NETWORKDAYS(N130,N130,JoursFeries),MEDIAN(MOD(N130,1),HFer,HOuv),HOuv))*24,4)))/HJour,4),""))</f>
        <v/>
      </c>
      <c r="AU130" s="37" t="str">
        <f aca="false">IF(AO130&lt;&gt;1,"",IF(OR(O130="",P130=""),"",IF(P130&lt;O130,"",ROUND(((NETWORKDAYS(O130,P130,JoursFeries)-1)*(HFer-HOuv)+IF(NETWORKDAYS(P130,P130,JoursFeries),MEDIAN(MOD(P130,1),HFer,HOuv),HFer)-IF(NETWORKDAYS(O130,O130,JoursFeries),MEDIAN(MOD(O130,1),HFer,HOuv),HOuv))*24,4))))</f>
        <v/>
      </c>
      <c r="AV130" s="37" t="str">
        <f aca="false">IF(AO130&lt;&gt;1,"",IF(OR(P130="",Q130=""),"",IF(Q130&lt;P130,"",ROUND(((NETWORKDAYS(P130,Q130,JoursFeries)-1)*(HFer-HOuv)+IF(NETWORKDAYS(Q130,Q130,JoursFeries),MEDIAN(MOD(Q130,1),HFer,HOuv),HFer)-IF(NETWORKDAYS(P130,P130,JoursFeries),MEDIAN(MOD(P130,1),HFer,HOuv),HOuv))*24,4))))</f>
        <v/>
      </c>
      <c r="AW130" s="37" t="str">
        <f aca="false">IF(AO130&lt;&gt;1,"",IFERROR(ROUND(IF(OR(P130="",R130=""),"",IF(R130&lt;P130,"",ROUND(((NETWORKDAYS(P130,R130,JoursFeries)-1)*(HFer-HOuv)+IF(NETWORKDAYS(R130,R130,JoursFeries),MEDIAN(MOD(R130,1),HFer,HOuv),HFer)-IF(NETWORKDAYS(P130,P130,JoursFeries),MEDIAN(MOD(P130,1),HFer,HOuv),HOuv))*24,4)))/HJour,4),""))</f>
        <v/>
      </c>
      <c r="AX130" s="37" t="str">
        <f aca="false">IF(AO130&lt;&gt;1,"",IFERROR(ROUND(IF(OR(P130="",S130=""),"",IF(S130&lt;P130,"",ROUND(((NETWORKDAYS(P130,S130,JoursFeries)-1)*(HFer-HOuv)+IF(NETWORKDAYS(S130,S130,JoursFeries),MEDIAN(MOD(S130,1),HFer,HOuv),HFer)-IF(NETWORKDAYS(P130,P130,JoursFeries),MEDIAN(MOD(P130,1),HFer,HOuv),HOuv))*24,4)))/HJour,4),""))</f>
        <v/>
      </c>
      <c r="AY130" s="36" t="str">
        <f aca="false">IF(OR(AO130&lt;&gt;1,AR130=""),"",INDEX(SLA_PEC,AR130))</f>
        <v/>
      </c>
      <c r="AZ130" s="35" t="str">
        <f aca="false">IF(OR(AV130="",AY130=""),"",IF(AV130&lt;=AY130,1,0))</f>
        <v/>
      </c>
      <c r="BA130" s="36" t="str">
        <f aca="false">IF(OR(AO130&lt;&gt;1,AR130=""),"",INDEX(SLA_RES,AR130))</f>
        <v/>
      </c>
      <c r="BB130" s="35" t="str">
        <f aca="false">IF(OR(AW130="",BA130=""),"",IF(AW130&lt;=BA130,1,0))</f>
        <v/>
      </c>
      <c r="BC130" s="38" t="str">
        <f aca="false">IF(OR(BA130="",P130=""),"",WORKDAY(INT(P130),BA130,JoursFeries)+MOD(P130,1))</f>
        <v/>
      </c>
      <c r="BD130" s="39" t="str">
        <f aca="false">IF(AO130&lt;&gt;1,"",IF(OR(AB130&lt;&gt;"",AD130&lt;&gt;""),4,IF(U130&lt;&gt;"",3,IF(T130&lt;&gt;"",2,1))))</f>
        <v/>
      </c>
      <c r="BE130" s="39" t="str">
        <f aca="false">IF(OR(AO130&lt;&gt;1,AR130=""),"",INDEX(NIV_REQ,AR130))</f>
        <v/>
      </c>
      <c r="BF130" s="39" t="str">
        <f aca="false">IF(BE130="","",MAX(BE130,IF(OR(K130="Oui",Z130="Oui"),4,1)))</f>
        <v/>
      </c>
      <c r="BG130" s="35" t="str">
        <f aca="false">IF(OR(BF130="",BD130=""),"",IF(BD130&gt;=BF130,1,0))</f>
        <v/>
      </c>
      <c r="BH130" s="38" t="str">
        <f aca="false">IF(BE130="","",IF(BE130&lt;2,"",IF(BE130=2,IF(AND(T130="",U130=""),"",MIN(T130,U130)),IF(U130="","",U130))))</f>
        <v/>
      </c>
      <c r="BI130" s="37" t="str">
        <f aca="false">IF(BH130="","",IF(OR(O130="",BH130=""),"",IF(BH130&lt;O130,"",ROUND(((NETWORKDAYS(O130,BH130,JoursFeries)-1)*(HFer-HOuv)+IF(NETWORKDAYS(BH130,BH130,JoursFeries),MEDIAN(MOD(BH130,1),HFer,HOuv),HFer)-IF(NETWORKDAYS(O130,O130,JoursFeries),MEDIAN(MOD(O130,1),HFer,HOuv),HOuv))*24,4))))</f>
        <v/>
      </c>
      <c r="BJ130" s="35" t="str">
        <f aca="false">IF(OR(BI130="",AR130=""),"",IF(BI130&lt;=INDEX(DELAI_ESC,AR130),1,0))</f>
        <v/>
      </c>
      <c r="BK130" s="38" t="str">
        <f aca="false">IF(AO130&lt;&gt;1,"",IF(AND(T130="",U130=""),"",MIN(T130,U130)))</f>
        <v/>
      </c>
      <c r="BL130" s="37" t="str">
        <f aca="false">IF(OR(BK130="",R130=""),"",IFERROR(ROUND(IF(OR(BK130="",R130=""),"",IF(R130&lt;BK130,"",ROUND(((NETWORKDAYS(BK130,R130,JoursFeries)-1)*(HFer-HOuv)+IF(NETWORKDAYS(R130,R130,JoursFeries),MEDIAN(MOD(R130,1),HFer,HOuv),HFer)-IF(NETWORKDAYS(BK130,BK130,JoursFeries),MEDIAN(MOD(BK130,1),HFer,HOuv),HOuv))*24,4)))/HJour,4),""))</f>
        <v/>
      </c>
      <c r="BM130" s="35" t="str">
        <f aca="false">IF(OR(AO130&lt;&gt;1,R130=""),"",IF(BD130=1,1,0))</f>
        <v/>
      </c>
      <c r="BN130" s="35" t="str">
        <f aca="false">IF(AO130&lt;&gt;1,"",IF(W130="Oui",1,0))</f>
        <v/>
      </c>
      <c r="BO130" s="35" t="str">
        <f aca="false">IF(AO130&lt;&gt;1,"",IF(X130&lt;&gt;"",1,0))</f>
        <v/>
      </c>
      <c r="BP130" s="35" t="str">
        <f aca="false">IF(AO130&lt;&gt;1,"",IF(Y130="Oui",1,0))</f>
        <v/>
      </c>
      <c r="BQ130" s="35" t="str">
        <f aca="true">IF(OR(AO130&lt;&gt;1,Z130&lt;&gt;"Oui"),"",IF(AB130="",IF(AND(AA130&lt;&gt;"",NOW()&gt;AA130),0,""),IF(AA130="","",IF(AB130&lt;=AA130,1,0))))</f>
        <v/>
      </c>
      <c r="BR130" s="38" t="str">
        <f aca="false">IF(OR(AO130&lt;&gt;1,K130&lt;&gt;"Oui",O130=""),"",IF(AC130="",O130+DORA_H_DET/24,IF(AC130-O130&lt;=DORA_H_DET/24,MIN(AC130+DORA_H_CLA/24,O130+DORA_H_DET/24),AC130+DORA_H_CLA/24)))</f>
        <v/>
      </c>
      <c r="BS130" s="35" t="str">
        <f aca="true">IF(BR130="","",IF(AD130="",IF(NOW()&gt;BR130,0,""),IF(AD130&lt;=BR130,1,0)))</f>
        <v/>
      </c>
      <c r="BT130" s="35" t="str">
        <f aca="true">IF(OR(BR130="",AD130=""),"",IF(AE130="",IF(NOW()&gt;AD130+DORA_H_INT/24,0,""),IF(AE130&lt;=AD130+DORA_H_INT/24,1,0)))</f>
        <v/>
      </c>
      <c r="BU130" s="35" t="str">
        <f aca="true">IF(OR(BR130="",AE130=""),"",IF(AF130="",IF(NOW()&gt;EDATE(AE130,DORA_M_FIN)+1,0,""),IF(AF130&lt;=EDATE(AE130,DORA_M_FIN),1,0)))</f>
        <v/>
      </c>
      <c r="BV130" s="35" t="str">
        <f aca="false">IF(BR130="","",IF(COUNT(BS130:BU130)=0,"",MIN(BS130:BU130)))</f>
        <v/>
      </c>
      <c r="BW130" s="40" t="str">
        <f aca="false">IF(AQ130&lt;&gt;1,"",IF(AND(AG130="",AH130=""),"",N(AG130)-N(AH130)))</f>
        <v/>
      </c>
      <c r="BX130" s="35" t="str">
        <f aca="true">IF(OR(AQ130&lt;&gt;1,AI130&lt;&gt;"Oui",AJ130=""),"",IF(AK130="",IF(NOW()&gt;AJ130+1,0,""),IF(AK130&lt;=AJ130,1,0)))</f>
        <v/>
      </c>
    </row>
    <row r="131" customFormat="false" ht="15" hidden="false" customHeight="false" outlineLevel="0" collapsed="false">
      <c r="B131" s="29"/>
      <c r="C131" s="29"/>
      <c r="D131" s="29"/>
      <c r="E131" s="29"/>
      <c r="F131" s="29"/>
      <c r="G131" s="29"/>
      <c r="H131" s="29"/>
      <c r="I131" s="29"/>
      <c r="J131" s="29"/>
      <c r="K131" s="29"/>
      <c r="L131" s="29"/>
      <c r="M131" s="29"/>
      <c r="N131" s="30"/>
      <c r="O131" s="30"/>
      <c r="P131" s="30"/>
      <c r="Q131" s="30"/>
      <c r="R131" s="30"/>
      <c r="S131" s="30"/>
      <c r="T131" s="30"/>
      <c r="U131" s="30"/>
      <c r="V131" s="31"/>
      <c r="W131" s="29"/>
      <c r="X131" s="29"/>
      <c r="Y131" s="29"/>
      <c r="Z131" s="29"/>
      <c r="AA131" s="30"/>
      <c r="AB131" s="30"/>
      <c r="AC131" s="30"/>
      <c r="AD131" s="30"/>
      <c r="AE131" s="30"/>
      <c r="AF131" s="32"/>
      <c r="AG131" s="33"/>
      <c r="AH131" s="33"/>
      <c r="AI131" s="29"/>
      <c r="AJ131" s="32"/>
      <c r="AK131" s="32"/>
      <c r="AL131" s="29"/>
      <c r="AN131" s="34" t="str">
        <f aca="false">IF($B131="","",IF(OR(C131="",D131="",E131="",G131="",I131="",J131="",L131="",O131="",P131=""),"Champ obligatoire manquant",IF(OR(AND(N131&lt;&gt;"",N131&gt;O131),O131&gt;P131,AND(Q131&lt;&gt;"",Q131&lt;P131),AND(R131&lt;&gt;"",R131&lt;P131),AND(S131&lt;&gt;"",S131&lt;R131),AND(S131&lt;&gt;"",R131=""),AND(T131&lt;&gt;"",T131&lt;O131),AND(U131&lt;&gt;"",U131&lt;O131)),"Chronologie incohérente",IF(AND(OR(L131="Résolu",L131="Clos"),R131=""),"Date de résolution manquante",IF(AND(L131="Clos",S131=""),"Date de clôture manquante",IF(AND(K131="Oui",AC131=""),"Classification DORA manquante","OK"))))))</f>
        <v/>
      </c>
      <c r="AO131" s="35" t="str">
        <f aca="false">IF($B131="","",IF(AND(C131="Incident",L131&lt;&gt;"Annulé"),1,0))</f>
        <v/>
      </c>
      <c r="AP131" s="35" t="str">
        <f aca="false">IF($B131="","",IF(AND(C131="Quasi-incident",L131&lt;&gt;"Annulé"),1,0))</f>
        <v/>
      </c>
      <c r="AQ131" s="35" t="str">
        <f aca="false">IF($B131="","",AO131+AP131)</f>
        <v/>
      </c>
      <c r="AR131" s="36" t="str">
        <f aca="false">IF(OR($B131="",J131=""),"",IFERROR(VALUE(LEFT(J131,1)),""))</f>
        <v/>
      </c>
      <c r="AS131" s="35" t="str">
        <f aca="false">IF(OR(AO131&lt;&gt;1,G131=""),"",IFERROR(IF(INDEX(L_SrcInterne,MATCH(G131,L_Sources,0))="Oui",1,0),""))</f>
        <v/>
      </c>
      <c r="AT131" s="37" t="str">
        <f aca="false">IF(AO131&lt;&gt;1,"",IFERROR(ROUND(IF(OR(N131="",O131=""),"",IF(O131&lt;N131,"",ROUND(((NETWORKDAYS(N131,O131,JoursFeries)-1)*(HFer-HOuv)+IF(NETWORKDAYS(O131,O131,JoursFeries),MEDIAN(MOD(O131,1),HFer,HOuv),HFer)-IF(NETWORKDAYS(N131,N131,JoursFeries),MEDIAN(MOD(N131,1),HFer,HOuv),HOuv))*24,4)))/HJour,4),""))</f>
        <v/>
      </c>
      <c r="AU131" s="37" t="str">
        <f aca="false">IF(AO131&lt;&gt;1,"",IF(OR(O131="",P131=""),"",IF(P131&lt;O131,"",ROUND(((NETWORKDAYS(O131,P131,JoursFeries)-1)*(HFer-HOuv)+IF(NETWORKDAYS(P131,P131,JoursFeries),MEDIAN(MOD(P131,1),HFer,HOuv),HFer)-IF(NETWORKDAYS(O131,O131,JoursFeries),MEDIAN(MOD(O131,1),HFer,HOuv),HOuv))*24,4))))</f>
        <v/>
      </c>
      <c r="AV131" s="37" t="str">
        <f aca="false">IF(AO131&lt;&gt;1,"",IF(OR(P131="",Q131=""),"",IF(Q131&lt;P131,"",ROUND(((NETWORKDAYS(P131,Q131,JoursFeries)-1)*(HFer-HOuv)+IF(NETWORKDAYS(Q131,Q131,JoursFeries),MEDIAN(MOD(Q131,1),HFer,HOuv),HFer)-IF(NETWORKDAYS(P131,P131,JoursFeries),MEDIAN(MOD(P131,1),HFer,HOuv),HOuv))*24,4))))</f>
        <v/>
      </c>
      <c r="AW131" s="37" t="str">
        <f aca="false">IF(AO131&lt;&gt;1,"",IFERROR(ROUND(IF(OR(P131="",R131=""),"",IF(R131&lt;P131,"",ROUND(((NETWORKDAYS(P131,R131,JoursFeries)-1)*(HFer-HOuv)+IF(NETWORKDAYS(R131,R131,JoursFeries),MEDIAN(MOD(R131,1),HFer,HOuv),HFer)-IF(NETWORKDAYS(P131,P131,JoursFeries),MEDIAN(MOD(P131,1),HFer,HOuv),HOuv))*24,4)))/HJour,4),""))</f>
        <v/>
      </c>
      <c r="AX131" s="37" t="str">
        <f aca="false">IF(AO131&lt;&gt;1,"",IFERROR(ROUND(IF(OR(P131="",S131=""),"",IF(S131&lt;P131,"",ROUND(((NETWORKDAYS(P131,S131,JoursFeries)-1)*(HFer-HOuv)+IF(NETWORKDAYS(S131,S131,JoursFeries),MEDIAN(MOD(S131,1),HFer,HOuv),HFer)-IF(NETWORKDAYS(P131,P131,JoursFeries),MEDIAN(MOD(P131,1),HFer,HOuv),HOuv))*24,4)))/HJour,4),""))</f>
        <v/>
      </c>
      <c r="AY131" s="36" t="str">
        <f aca="false">IF(OR(AO131&lt;&gt;1,AR131=""),"",INDEX(SLA_PEC,AR131))</f>
        <v/>
      </c>
      <c r="AZ131" s="35" t="str">
        <f aca="false">IF(OR(AV131="",AY131=""),"",IF(AV131&lt;=AY131,1,0))</f>
        <v/>
      </c>
      <c r="BA131" s="36" t="str">
        <f aca="false">IF(OR(AO131&lt;&gt;1,AR131=""),"",INDEX(SLA_RES,AR131))</f>
        <v/>
      </c>
      <c r="BB131" s="35" t="str">
        <f aca="false">IF(OR(AW131="",BA131=""),"",IF(AW131&lt;=BA131,1,0))</f>
        <v/>
      </c>
      <c r="BC131" s="38" t="str">
        <f aca="false">IF(OR(BA131="",P131=""),"",WORKDAY(INT(P131),BA131,JoursFeries)+MOD(P131,1))</f>
        <v/>
      </c>
      <c r="BD131" s="39" t="str">
        <f aca="false">IF(AO131&lt;&gt;1,"",IF(OR(AB131&lt;&gt;"",AD131&lt;&gt;""),4,IF(U131&lt;&gt;"",3,IF(T131&lt;&gt;"",2,1))))</f>
        <v/>
      </c>
      <c r="BE131" s="39" t="str">
        <f aca="false">IF(OR(AO131&lt;&gt;1,AR131=""),"",INDEX(NIV_REQ,AR131))</f>
        <v/>
      </c>
      <c r="BF131" s="39" t="str">
        <f aca="false">IF(BE131="","",MAX(BE131,IF(OR(K131="Oui",Z131="Oui"),4,1)))</f>
        <v/>
      </c>
      <c r="BG131" s="35" t="str">
        <f aca="false">IF(OR(BF131="",BD131=""),"",IF(BD131&gt;=BF131,1,0))</f>
        <v/>
      </c>
      <c r="BH131" s="38" t="str">
        <f aca="false">IF(BE131="","",IF(BE131&lt;2,"",IF(BE131=2,IF(AND(T131="",U131=""),"",MIN(T131,U131)),IF(U131="","",U131))))</f>
        <v/>
      </c>
      <c r="BI131" s="37" t="str">
        <f aca="false">IF(BH131="","",IF(OR(O131="",BH131=""),"",IF(BH131&lt;O131,"",ROUND(((NETWORKDAYS(O131,BH131,JoursFeries)-1)*(HFer-HOuv)+IF(NETWORKDAYS(BH131,BH131,JoursFeries),MEDIAN(MOD(BH131,1),HFer,HOuv),HFer)-IF(NETWORKDAYS(O131,O131,JoursFeries),MEDIAN(MOD(O131,1),HFer,HOuv),HOuv))*24,4))))</f>
        <v/>
      </c>
      <c r="BJ131" s="35" t="str">
        <f aca="false">IF(OR(BI131="",AR131=""),"",IF(BI131&lt;=INDEX(DELAI_ESC,AR131),1,0))</f>
        <v/>
      </c>
      <c r="BK131" s="38" t="str">
        <f aca="false">IF(AO131&lt;&gt;1,"",IF(AND(T131="",U131=""),"",MIN(T131,U131)))</f>
        <v/>
      </c>
      <c r="BL131" s="37" t="str">
        <f aca="false">IF(OR(BK131="",R131=""),"",IFERROR(ROUND(IF(OR(BK131="",R131=""),"",IF(R131&lt;BK131,"",ROUND(((NETWORKDAYS(BK131,R131,JoursFeries)-1)*(HFer-HOuv)+IF(NETWORKDAYS(R131,R131,JoursFeries),MEDIAN(MOD(R131,1),HFer,HOuv),HFer)-IF(NETWORKDAYS(BK131,BK131,JoursFeries),MEDIAN(MOD(BK131,1),HFer,HOuv),HOuv))*24,4)))/HJour,4),""))</f>
        <v/>
      </c>
      <c r="BM131" s="35" t="str">
        <f aca="false">IF(OR(AO131&lt;&gt;1,R131=""),"",IF(BD131=1,1,0))</f>
        <v/>
      </c>
      <c r="BN131" s="35" t="str">
        <f aca="false">IF(AO131&lt;&gt;1,"",IF(W131="Oui",1,0))</f>
        <v/>
      </c>
      <c r="BO131" s="35" t="str">
        <f aca="false">IF(AO131&lt;&gt;1,"",IF(X131&lt;&gt;"",1,0))</f>
        <v/>
      </c>
      <c r="BP131" s="35" t="str">
        <f aca="false">IF(AO131&lt;&gt;1,"",IF(Y131="Oui",1,0))</f>
        <v/>
      </c>
      <c r="BQ131" s="35" t="str">
        <f aca="true">IF(OR(AO131&lt;&gt;1,Z131&lt;&gt;"Oui"),"",IF(AB131="",IF(AND(AA131&lt;&gt;"",NOW()&gt;AA131),0,""),IF(AA131="","",IF(AB131&lt;=AA131,1,0))))</f>
        <v/>
      </c>
      <c r="BR131" s="38" t="str">
        <f aca="false">IF(OR(AO131&lt;&gt;1,K131&lt;&gt;"Oui",O131=""),"",IF(AC131="",O131+DORA_H_DET/24,IF(AC131-O131&lt;=DORA_H_DET/24,MIN(AC131+DORA_H_CLA/24,O131+DORA_H_DET/24),AC131+DORA_H_CLA/24)))</f>
        <v/>
      </c>
      <c r="BS131" s="35" t="str">
        <f aca="true">IF(BR131="","",IF(AD131="",IF(NOW()&gt;BR131,0,""),IF(AD131&lt;=BR131,1,0)))</f>
        <v/>
      </c>
      <c r="BT131" s="35" t="str">
        <f aca="true">IF(OR(BR131="",AD131=""),"",IF(AE131="",IF(NOW()&gt;AD131+DORA_H_INT/24,0,""),IF(AE131&lt;=AD131+DORA_H_INT/24,1,0)))</f>
        <v/>
      </c>
      <c r="BU131" s="35" t="str">
        <f aca="true">IF(OR(BR131="",AE131=""),"",IF(AF131="",IF(NOW()&gt;EDATE(AE131,DORA_M_FIN)+1,0,""),IF(AF131&lt;=EDATE(AE131,DORA_M_FIN),1,0)))</f>
        <v/>
      </c>
      <c r="BV131" s="35" t="str">
        <f aca="false">IF(BR131="","",IF(COUNT(BS131:BU131)=0,"",MIN(BS131:BU131)))</f>
        <v/>
      </c>
      <c r="BW131" s="40" t="str">
        <f aca="false">IF(AQ131&lt;&gt;1,"",IF(AND(AG131="",AH131=""),"",N(AG131)-N(AH131)))</f>
        <v/>
      </c>
      <c r="BX131" s="35" t="str">
        <f aca="true">IF(OR(AQ131&lt;&gt;1,AI131&lt;&gt;"Oui",AJ131=""),"",IF(AK131="",IF(NOW()&gt;AJ131+1,0,""),IF(AK131&lt;=AJ131,1,0)))</f>
        <v/>
      </c>
    </row>
    <row r="132" customFormat="false" ht="15" hidden="false" customHeight="false" outlineLevel="0" collapsed="false">
      <c r="B132" s="29"/>
      <c r="C132" s="29"/>
      <c r="D132" s="29"/>
      <c r="E132" s="29"/>
      <c r="F132" s="29"/>
      <c r="G132" s="29"/>
      <c r="H132" s="29"/>
      <c r="I132" s="29"/>
      <c r="J132" s="29"/>
      <c r="K132" s="29"/>
      <c r="L132" s="29"/>
      <c r="M132" s="29"/>
      <c r="N132" s="30"/>
      <c r="O132" s="30"/>
      <c r="P132" s="30"/>
      <c r="Q132" s="30"/>
      <c r="R132" s="30"/>
      <c r="S132" s="30"/>
      <c r="T132" s="30"/>
      <c r="U132" s="30"/>
      <c r="V132" s="31"/>
      <c r="W132" s="29"/>
      <c r="X132" s="29"/>
      <c r="Y132" s="29"/>
      <c r="Z132" s="29"/>
      <c r="AA132" s="30"/>
      <c r="AB132" s="30"/>
      <c r="AC132" s="30"/>
      <c r="AD132" s="30"/>
      <c r="AE132" s="30"/>
      <c r="AF132" s="32"/>
      <c r="AG132" s="33"/>
      <c r="AH132" s="33"/>
      <c r="AI132" s="29"/>
      <c r="AJ132" s="32"/>
      <c r="AK132" s="32"/>
      <c r="AL132" s="29"/>
      <c r="AN132" s="34" t="str">
        <f aca="false">IF($B132="","",IF(OR(C132="",D132="",E132="",G132="",I132="",J132="",L132="",O132="",P132=""),"Champ obligatoire manquant",IF(OR(AND(N132&lt;&gt;"",N132&gt;O132),O132&gt;P132,AND(Q132&lt;&gt;"",Q132&lt;P132),AND(R132&lt;&gt;"",R132&lt;P132),AND(S132&lt;&gt;"",S132&lt;R132),AND(S132&lt;&gt;"",R132=""),AND(T132&lt;&gt;"",T132&lt;O132),AND(U132&lt;&gt;"",U132&lt;O132)),"Chronologie incohérente",IF(AND(OR(L132="Résolu",L132="Clos"),R132=""),"Date de résolution manquante",IF(AND(L132="Clos",S132=""),"Date de clôture manquante",IF(AND(K132="Oui",AC132=""),"Classification DORA manquante","OK"))))))</f>
        <v/>
      </c>
      <c r="AO132" s="35" t="str">
        <f aca="false">IF($B132="","",IF(AND(C132="Incident",L132&lt;&gt;"Annulé"),1,0))</f>
        <v/>
      </c>
      <c r="AP132" s="35" t="str">
        <f aca="false">IF($B132="","",IF(AND(C132="Quasi-incident",L132&lt;&gt;"Annulé"),1,0))</f>
        <v/>
      </c>
      <c r="AQ132" s="35" t="str">
        <f aca="false">IF($B132="","",AO132+AP132)</f>
        <v/>
      </c>
      <c r="AR132" s="36" t="str">
        <f aca="false">IF(OR($B132="",J132=""),"",IFERROR(VALUE(LEFT(J132,1)),""))</f>
        <v/>
      </c>
      <c r="AS132" s="35" t="str">
        <f aca="false">IF(OR(AO132&lt;&gt;1,G132=""),"",IFERROR(IF(INDEX(L_SrcInterne,MATCH(G132,L_Sources,0))="Oui",1,0),""))</f>
        <v/>
      </c>
      <c r="AT132" s="37" t="str">
        <f aca="false">IF(AO132&lt;&gt;1,"",IFERROR(ROUND(IF(OR(N132="",O132=""),"",IF(O132&lt;N132,"",ROUND(((NETWORKDAYS(N132,O132,JoursFeries)-1)*(HFer-HOuv)+IF(NETWORKDAYS(O132,O132,JoursFeries),MEDIAN(MOD(O132,1),HFer,HOuv),HFer)-IF(NETWORKDAYS(N132,N132,JoursFeries),MEDIAN(MOD(N132,1),HFer,HOuv),HOuv))*24,4)))/HJour,4),""))</f>
        <v/>
      </c>
      <c r="AU132" s="37" t="str">
        <f aca="false">IF(AO132&lt;&gt;1,"",IF(OR(O132="",P132=""),"",IF(P132&lt;O132,"",ROUND(((NETWORKDAYS(O132,P132,JoursFeries)-1)*(HFer-HOuv)+IF(NETWORKDAYS(P132,P132,JoursFeries),MEDIAN(MOD(P132,1),HFer,HOuv),HFer)-IF(NETWORKDAYS(O132,O132,JoursFeries),MEDIAN(MOD(O132,1),HFer,HOuv),HOuv))*24,4))))</f>
        <v/>
      </c>
      <c r="AV132" s="37" t="str">
        <f aca="false">IF(AO132&lt;&gt;1,"",IF(OR(P132="",Q132=""),"",IF(Q132&lt;P132,"",ROUND(((NETWORKDAYS(P132,Q132,JoursFeries)-1)*(HFer-HOuv)+IF(NETWORKDAYS(Q132,Q132,JoursFeries),MEDIAN(MOD(Q132,1),HFer,HOuv),HFer)-IF(NETWORKDAYS(P132,P132,JoursFeries),MEDIAN(MOD(P132,1),HFer,HOuv),HOuv))*24,4))))</f>
        <v/>
      </c>
      <c r="AW132" s="37" t="str">
        <f aca="false">IF(AO132&lt;&gt;1,"",IFERROR(ROUND(IF(OR(P132="",R132=""),"",IF(R132&lt;P132,"",ROUND(((NETWORKDAYS(P132,R132,JoursFeries)-1)*(HFer-HOuv)+IF(NETWORKDAYS(R132,R132,JoursFeries),MEDIAN(MOD(R132,1),HFer,HOuv),HFer)-IF(NETWORKDAYS(P132,P132,JoursFeries),MEDIAN(MOD(P132,1),HFer,HOuv),HOuv))*24,4)))/HJour,4),""))</f>
        <v/>
      </c>
      <c r="AX132" s="37" t="str">
        <f aca="false">IF(AO132&lt;&gt;1,"",IFERROR(ROUND(IF(OR(P132="",S132=""),"",IF(S132&lt;P132,"",ROUND(((NETWORKDAYS(P132,S132,JoursFeries)-1)*(HFer-HOuv)+IF(NETWORKDAYS(S132,S132,JoursFeries),MEDIAN(MOD(S132,1),HFer,HOuv),HFer)-IF(NETWORKDAYS(P132,P132,JoursFeries),MEDIAN(MOD(P132,1),HFer,HOuv),HOuv))*24,4)))/HJour,4),""))</f>
        <v/>
      </c>
      <c r="AY132" s="36" t="str">
        <f aca="false">IF(OR(AO132&lt;&gt;1,AR132=""),"",INDEX(SLA_PEC,AR132))</f>
        <v/>
      </c>
      <c r="AZ132" s="35" t="str">
        <f aca="false">IF(OR(AV132="",AY132=""),"",IF(AV132&lt;=AY132,1,0))</f>
        <v/>
      </c>
      <c r="BA132" s="36" t="str">
        <f aca="false">IF(OR(AO132&lt;&gt;1,AR132=""),"",INDEX(SLA_RES,AR132))</f>
        <v/>
      </c>
      <c r="BB132" s="35" t="str">
        <f aca="false">IF(OR(AW132="",BA132=""),"",IF(AW132&lt;=BA132,1,0))</f>
        <v/>
      </c>
      <c r="BC132" s="38" t="str">
        <f aca="false">IF(OR(BA132="",P132=""),"",WORKDAY(INT(P132),BA132,JoursFeries)+MOD(P132,1))</f>
        <v/>
      </c>
      <c r="BD132" s="39" t="str">
        <f aca="false">IF(AO132&lt;&gt;1,"",IF(OR(AB132&lt;&gt;"",AD132&lt;&gt;""),4,IF(U132&lt;&gt;"",3,IF(T132&lt;&gt;"",2,1))))</f>
        <v/>
      </c>
      <c r="BE132" s="39" t="str">
        <f aca="false">IF(OR(AO132&lt;&gt;1,AR132=""),"",INDEX(NIV_REQ,AR132))</f>
        <v/>
      </c>
      <c r="BF132" s="39" t="str">
        <f aca="false">IF(BE132="","",MAX(BE132,IF(OR(K132="Oui",Z132="Oui"),4,1)))</f>
        <v/>
      </c>
      <c r="BG132" s="35" t="str">
        <f aca="false">IF(OR(BF132="",BD132=""),"",IF(BD132&gt;=BF132,1,0))</f>
        <v/>
      </c>
      <c r="BH132" s="38" t="str">
        <f aca="false">IF(BE132="","",IF(BE132&lt;2,"",IF(BE132=2,IF(AND(T132="",U132=""),"",MIN(T132,U132)),IF(U132="","",U132))))</f>
        <v/>
      </c>
      <c r="BI132" s="37" t="str">
        <f aca="false">IF(BH132="","",IF(OR(O132="",BH132=""),"",IF(BH132&lt;O132,"",ROUND(((NETWORKDAYS(O132,BH132,JoursFeries)-1)*(HFer-HOuv)+IF(NETWORKDAYS(BH132,BH132,JoursFeries),MEDIAN(MOD(BH132,1),HFer,HOuv),HFer)-IF(NETWORKDAYS(O132,O132,JoursFeries),MEDIAN(MOD(O132,1),HFer,HOuv),HOuv))*24,4))))</f>
        <v/>
      </c>
      <c r="BJ132" s="35" t="str">
        <f aca="false">IF(OR(BI132="",AR132=""),"",IF(BI132&lt;=INDEX(DELAI_ESC,AR132),1,0))</f>
        <v/>
      </c>
      <c r="BK132" s="38" t="str">
        <f aca="false">IF(AO132&lt;&gt;1,"",IF(AND(T132="",U132=""),"",MIN(T132,U132)))</f>
        <v/>
      </c>
      <c r="BL132" s="37" t="str">
        <f aca="false">IF(OR(BK132="",R132=""),"",IFERROR(ROUND(IF(OR(BK132="",R132=""),"",IF(R132&lt;BK132,"",ROUND(((NETWORKDAYS(BK132,R132,JoursFeries)-1)*(HFer-HOuv)+IF(NETWORKDAYS(R132,R132,JoursFeries),MEDIAN(MOD(R132,1),HFer,HOuv),HFer)-IF(NETWORKDAYS(BK132,BK132,JoursFeries),MEDIAN(MOD(BK132,1),HFer,HOuv),HOuv))*24,4)))/HJour,4),""))</f>
        <v/>
      </c>
      <c r="BM132" s="35" t="str">
        <f aca="false">IF(OR(AO132&lt;&gt;1,R132=""),"",IF(BD132=1,1,0))</f>
        <v/>
      </c>
      <c r="BN132" s="35" t="str">
        <f aca="false">IF(AO132&lt;&gt;1,"",IF(W132="Oui",1,0))</f>
        <v/>
      </c>
      <c r="BO132" s="35" t="str">
        <f aca="false">IF(AO132&lt;&gt;1,"",IF(X132&lt;&gt;"",1,0))</f>
        <v/>
      </c>
      <c r="BP132" s="35" t="str">
        <f aca="false">IF(AO132&lt;&gt;1,"",IF(Y132="Oui",1,0))</f>
        <v/>
      </c>
      <c r="BQ132" s="35" t="str">
        <f aca="true">IF(OR(AO132&lt;&gt;1,Z132&lt;&gt;"Oui"),"",IF(AB132="",IF(AND(AA132&lt;&gt;"",NOW()&gt;AA132),0,""),IF(AA132="","",IF(AB132&lt;=AA132,1,0))))</f>
        <v/>
      </c>
      <c r="BR132" s="38" t="str">
        <f aca="false">IF(OR(AO132&lt;&gt;1,K132&lt;&gt;"Oui",O132=""),"",IF(AC132="",O132+DORA_H_DET/24,IF(AC132-O132&lt;=DORA_H_DET/24,MIN(AC132+DORA_H_CLA/24,O132+DORA_H_DET/24),AC132+DORA_H_CLA/24)))</f>
        <v/>
      </c>
      <c r="BS132" s="35" t="str">
        <f aca="true">IF(BR132="","",IF(AD132="",IF(NOW()&gt;BR132,0,""),IF(AD132&lt;=BR132,1,0)))</f>
        <v/>
      </c>
      <c r="BT132" s="35" t="str">
        <f aca="true">IF(OR(BR132="",AD132=""),"",IF(AE132="",IF(NOW()&gt;AD132+DORA_H_INT/24,0,""),IF(AE132&lt;=AD132+DORA_H_INT/24,1,0)))</f>
        <v/>
      </c>
      <c r="BU132" s="35" t="str">
        <f aca="true">IF(OR(BR132="",AE132=""),"",IF(AF132="",IF(NOW()&gt;EDATE(AE132,DORA_M_FIN)+1,0,""),IF(AF132&lt;=EDATE(AE132,DORA_M_FIN),1,0)))</f>
        <v/>
      </c>
      <c r="BV132" s="35" t="str">
        <f aca="false">IF(BR132="","",IF(COUNT(BS132:BU132)=0,"",MIN(BS132:BU132)))</f>
        <v/>
      </c>
      <c r="BW132" s="40" t="str">
        <f aca="false">IF(AQ132&lt;&gt;1,"",IF(AND(AG132="",AH132=""),"",N(AG132)-N(AH132)))</f>
        <v/>
      </c>
      <c r="BX132" s="35" t="str">
        <f aca="true">IF(OR(AQ132&lt;&gt;1,AI132&lt;&gt;"Oui",AJ132=""),"",IF(AK132="",IF(NOW()&gt;AJ132+1,0,""),IF(AK132&lt;=AJ132,1,0)))</f>
        <v/>
      </c>
    </row>
    <row r="133" customFormat="false" ht="15" hidden="false" customHeight="false" outlineLevel="0" collapsed="false">
      <c r="B133" s="29"/>
      <c r="C133" s="29"/>
      <c r="D133" s="29"/>
      <c r="E133" s="29"/>
      <c r="F133" s="29"/>
      <c r="G133" s="29"/>
      <c r="H133" s="29"/>
      <c r="I133" s="29"/>
      <c r="J133" s="29"/>
      <c r="K133" s="29"/>
      <c r="L133" s="29"/>
      <c r="M133" s="29"/>
      <c r="N133" s="30"/>
      <c r="O133" s="30"/>
      <c r="P133" s="30"/>
      <c r="Q133" s="30"/>
      <c r="R133" s="30"/>
      <c r="S133" s="30"/>
      <c r="T133" s="30"/>
      <c r="U133" s="30"/>
      <c r="V133" s="31"/>
      <c r="W133" s="29"/>
      <c r="X133" s="29"/>
      <c r="Y133" s="29"/>
      <c r="Z133" s="29"/>
      <c r="AA133" s="30"/>
      <c r="AB133" s="30"/>
      <c r="AC133" s="30"/>
      <c r="AD133" s="30"/>
      <c r="AE133" s="30"/>
      <c r="AF133" s="32"/>
      <c r="AG133" s="33"/>
      <c r="AH133" s="33"/>
      <c r="AI133" s="29"/>
      <c r="AJ133" s="32"/>
      <c r="AK133" s="32"/>
      <c r="AL133" s="29"/>
      <c r="AN133" s="34" t="str">
        <f aca="false">IF($B133="","",IF(OR(C133="",D133="",E133="",G133="",I133="",J133="",L133="",O133="",P133=""),"Champ obligatoire manquant",IF(OR(AND(N133&lt;&gt;"",N133&gt;O133),O133&gt;P133,AND(Q133&lt;&gt;"",Q133&lt;P133),AND(R133&lt;&gt;"",R133&lt;P133),AND(S133&lt;&gt;"",S133&lt;R133),AND(S133&lt;&gt;"",R133=""),AND(T133&lt;&gt;"",T133&lt;O133),AND(U133&lt;&gt;"",U133&lt;O133)),"Chronologie incohérente",IF(AND(OR(L133="Résolu",L133="Clos"),R133=""),"Date de résolution manquante",IF(AND(L133="Clos",S133=""),"Date de clôture manquante",IF(AND(K133="Oui",AC133=""),"Classification DORA manquante","OK"))))))</f>
        <v/>
      </c>
      <c r="AO133" s="35" t="str">
        <f aca="false">IF($B133="","",IF(AND(C133="Incident",L133&lt;&gt;"Annulé"),1,0))</f>
        <v/>
      </c>
      <c r="AP133" s="35" t="str">
        <f aca="false">IF($B133="","",IF(AND(C133="Quasi-incident",L133&lt;&gt;"Annulé"),1,0))</f>
        <v/>
      </c>
      <c r="AQ133" s="35" t="str">
        <f aca="false">IF($B133="","",AO133+AP133)</f>
        <v/>
      </c>
      <c r="AR133" s="36" t="str">
        <f aca="false">IF(OR($B133="",J133=""),"",IFERROR(VALUE(LEFT(J133,1)),""))</f>
        <v/>
      </c>
      <c r="AS133" s="35" t="str">
        <f aca="false">IF(OR(AO133&lt;&gt;1,G133=""),"",IFERROR(IF(INDEX(L_SrcInterne,MATCH(G133,L_Sources,0))="Oui",1,0),""))</f>
        <v/>
      </c>
      <c r="AT133" s="37" t="str">
        <f aca="false">IF(AO133&lt;&gt;1,"",IFERROR(ROUND(IF(OR(N133="",O133=""),"",IF(O133&lt;N133,"",ROUND(((NETWORKDAYS(N133,O133,JoursFeries)-1)*(HFer-HOuv)+IF(NETWORKDAYS(O133,O133,JoursFeries),MEDIAN(MOD(O133,1),HFer,HOuv),HFer)-IF(NETWORKDAYS(N133,N133,JoursFeries),MEDIAN(MOD(N133,1),HFer,HOuv),HOuv))*24,4)))/HJour,4),""))</f>
        <v/>
      </c>
      <c r="AU133" s="37" t="str">
        <f aca="false">IF(AO133&lt;&gt;1,"",IF(OR(O133="",P133=""),"",IF(P133&lt;O133,"",ROUND(((NETWORKDAYS(O133,P133,JoursFeries)-1)*(HFer-HOuv)+IF(NETWORKDAYS(P133,P133,JoursFeries),MEDIAN(MOD(P133,1),HFer,HOuv),HFer)-IF(NETWORKDAYS(O133,O133,JoursFeries),MEDIAN(MOD(O133,1),HFer,HOuv),HOuv))*24,4))))</f>
        <v/>
      </c>
      <c r="AV133" s="37" t="str">
        <f aca="false">IF(AO133&lt;&gt;1,"",IF(OR(P133="",Q133=""),"",IF(Q133&lt;P133,"",ROUND(((NETWORKDAYS(P133,Q133,JoursFeries)-1)*(HFer-HOuv)+IF(NETWORKDAYS(Q133,Q133,JoursFeries),MEDIAN(MOD(Q133,1),HFer,HOuv),HFer)-IF(NETWORKDAYS(P133,P133,JoursFeries),MEDIAN(MOD(P133,1),HFer,HOuv),HOuv))*24,4))))</f>
        <v/>
      </c>
      <c r="AW133" s="37" t="str">
        <f aca="false">IF(AO133&lt;&gt;1,"",IFERROR(ROUND(IF(OR(P133="",R133=""),"",IF(R133&lt;P133,"",ROUND(((NETWORKDAYS(P133,R133,JoursFeries)-1)*(HFer-HOuv)+IF(NETWORKDAYS(R133,R133,JoursFeries),MEDIAN(MOD(R133,1),HFer,HOuv),HFer)-IF(NETWORKDAYS(P133,P133,JoursFeries),MEDIAN(MOD(P133,1),HFer,HOuv),HOuv))*24,4)))/HJour,4),""))</f>
        <v/>
      </c>
      <c r="AX133" s="37" t="str">
        <f aca="false">IF(AO133&lt;&gt;1,"",IFERROR(ROUND(IF(OR(P133="",S133=""),"",IF(S133&lt;P133,"",ROUND(((NETWORKDAYS(P133,S133,JoursFeries)-1)*(HFer-HOuv)+IF(NETWORKDAYS(S133,S133,JoursFeries),MEDIAN(MOD(S133,1),HFer,HOuv),HFer)-IF(NETWORKDAYS(P133,P133,JoursFeries),MEDIAN(MOD(P133,1),HFer,HOuv),HOuv))*24,4)))/HJour,4),""))</f>
        <v/>
      </c>
      <c r="AY133" s="36" t="str">
        <f aca="false">IF(OR(AO133&lt;&gt;1,AR133=""),"",INDEX(SLA_PEC,AR133))</f>
        <v/>
      </c>
      <c r="AZ133" s="35" t="str">
        <f aca="false">IF(OR(AV133="",AY133=""),"",IF(AV133&lt;=AY133,1,0))</f>
        <v/>
      </c>
      <c r="BA133" s="36" t="str">
        <f aca="false">IF(OR(AO133&lt;&gt;1,AR133=""),"",INDEX(SLA_RES,AR133))</f>
        <v/>
      </c>
      <c r="BB133" s="35" t="str">
        <f aca="false">IF(OR(AW133="",BA133=""),"",IF(AW133&lt;=BA133,1,0))</f>
        <v/>
      </c>
      <c r="BC133" s="38" t="str">
        <f aca="false">IF(OR(BA133="",P133=""),"",WORKDAY(INT(P133),BA133,JoursFeries)+MOD(P133,1))</f>
        <v/>
      </c>
      <c r="BD133" s="39" t="str">
        <f aca="false">IF(AO133&lt;&gt;1,"",IF(OR(AB133&lt;&gt;"",AD133&lt;&gt;""),4,IF(U133&lt;&gt;"",3,IF(T133&lt;&gt;"",2,1))))</f>
        <v/>
      </c>
      <c r="BE133" s="39" t="str">
        <f aca="false">IF(OR(AO133&lt;&gt;1,AR133=""),"",INDEX(NIV_REQ,AR133))</f>
        <v/>
      </c>
      <c r="BF133" s="39" t="str">
        <f aca="false">IF(BE133="","",MAX(BE133,IF(OR(K133="Oui",Z133="Oui"),4,1)))</f>
        <v/>
      </c>
      <c r="BG133" s="35" t="str">
        <f aca="false">IF(OR(BF133="",BD133=""),"",IF(BD133&gt;=BF133,1,0))</f>
        <v/>
      </c>
      <c r="BH133" s="38" t="str">
        <f aca="false">IF(BE133="","",IF(BE133&lt;2,"",IF(BE133=2,IF(AND(T133="",U133=""),"",MIN(T133,U133)),IF(U133="","",U133))))</f>
        <v/>
      </c>
      <c r="BI133" s="37" t="str">
        <f aca="false">IF(BH133="","",IF(OR(O133="",BH133=""),"",IF(BH133&lt;O133,"",ROUND(((NETWORKDAYS(O133,BH133,JoursFeries)-1)*(HFer-HOuv)+IF(NETWORKDAYS(BH133,BH133,JoursFeries),MEDIAN(MOD(BH133,1),HFer,HOuv),HFer)-IF(NETWORKDAYS(O133,O133,JoursFeries),MEDIAN(MOD(O133,1),HFer,HOuv),HOuv))*24,4))))</f>
        <v/>
      </c>
      <c r="BJ133" s="35" t="str">
        <f aca="false">IF(OR(BI133="",AR133=""),"",IF(BI133&lt;=INDEX(DELAI_ESC,AR133),1,0))</f>
        <v/>
      </c>
      <c r="BK133" s="38" t="str">
        <f aca="false">IF(AO133&lt;&gt;1,"",IF(AND(T133="",U133=""),"",MIN(T133,U133)))</f>
        <v/>
      </c>
      <c r="BL133" s="37" t="str">
        <f aca="false">IF(OR(BK133="",R133=""),"",IFERROR(ROUND(IF(OR(BK133="",R133=""),"",IF(R133&lt;BK133,"",ROUND(((NETWORKDAYS(BK133,R133,JoursFeries)-1)*(HFer-HOuv)+IF(NETWORKDAYS(R133,R133,JoursFeries),MEDIAN(MOD(R133,1),HFer,HOuv),HFer)-IF(NETWORKDAYS(BK133,BK133,JoursFeries),MEDIAN(MOD(BK133,1),HFer,HOuv),HOuv))*24,4)))/HJour,4),""))</f>
        <v/>
      </c>
      <c r="BM133" s="35" t="str">
        <f aca="false">IF(OR(AO133&lt;&gt;1,R133=""),"",IF(BD133=1,1,0))</f>
        <v/>
      </c>
      <c r="BN133" s="35" t="str">
        <f aca="false">IF(AO133&lt;&gt;1,"",IF(W133="Oui",1,0))</f>
        <v/>
      </c>
      <c r="BO133" s="35" t="str">
        <f aca="false">IF(AO133&lt;&gt;1,"",IF(X133&lt;&gt;"",1,0))</f>
        <v/>
      </c>
      <c r="BP133" s="35" t="str">
        <f aca="false">IF(AO133&lt;&gt;1,"",IF(Y133="Oui",1,0))</f>
        <v/>
      </c>
      <c r="BQ133" s="35" t="str">
        <f aca="true">IF(OR(AO133&lt;&gt;1,Z133&lt;&gt;"Oui"),"",IF(AB133="",IF(AND(AA133&lt;&gt;"",NOW()&gt;AA133),0,""),IF(AA133="","",IF(AB133&lt;=AA133,1,0))))</f>
        <v/>
      </c>
      <c r="BR133" s="38" t="str">
        <f aca="false">IF(OR(AO133&lt;&gt;1,K133&lt;&gt;"Oui",O133=""),"",IF(AC133="",O133+DORA_H_DET/24,IF(AC133-O133&lt;=DORA_H_DET/24,MIN(AC133+DORA_H_CLA/24,O133+DORA_H_DET/24),AC133+DORA_H_CLA/24)))</f>
        <v/>
      </c>
      <c r="BS133" s="35" t="str">
        <f aca="true">IF(BR133="","",IF(AD133="",IF(NOW()&gt;BR133,0,""),IF(AD133&lt;=BR133,1,0)))</f>
        <v/>
      </c>
      <c r="BT133" s="35" t="str">
        <f aca="true">IF(OR(BR133="",AD133=""),"",IF(AE133="",IF(NOW()&gt;AD133+DORA_H_INT/24,0,""),IF(AE133&lt;=AD133+DORA_H_INT/24,1,0)))</f>
        <v/>
      </c>
      <c r="BU133" s="35" t="str">
        <f aca="true">IF(OR(BR133="",AE133=""),"",IF(AF133="",IF(NOW()&gt;EDATE(AE133,DORA_M_FIN)+1,0,""),IF(AF133&lt;=EDATE(AE133,DORA_M_FIN),1,0)))</f>
        <v/>
      </c>
      <c r="BV133" s="35" t="str">
        <f aca="false">IF(BR133="","",IF(COUNT(BS133:BU133)=0,"",MIN(BS133:BU133)))</f>
        <v/>
      </c>
      <c r="BW133" s="40" t="str">
        <f aca="false">IF(AQ133&lt;&gt;1,"",IF(AND(AG133="",AH133=""),"",N(AG133)-N(AH133)))</f>
        <v/>
      </c>
      <c r="BX133" s="35" t="str">
        <f aca="true">IF(OR(AQ133&lt;&gt;1,AI133&lt;&gt;"Oui",AJ133=""),"",IF(AK133="",IF(NOW()&gt;AJ133+1,0,""),IF(AK133&lt;=AJ133,1,0)))</f>
        <v/>
      </c>
    </row>
    <row r="134" customFormat="false" ht="15" hidden="false" customHeight="false" outlineLevel="0" collapsed="false">
      <c r="B134" s="29"/>
      <c r="C134" s="29"/>
      <c r="D134" s="29"/>
      <c r="E134" s="29"/>
      <c r="F134" s="29"/>
      <c r="G134" s="29"/>
      <c r="H134" s="29"/>
      <c r="I134" s="29"/>
      <c r="J134" s="29"/>
      <c r="K134" s="29"/>
      <c r="L134" s="29"/>
      <c r="M134" s="29"/>
      <c r="N134" s="30"/>
      <c r="O134" s="30"/>
      <c r="P134" s="30"/>
      <c r="Q134" s="30"/>
      <c r="R134" s="30"/>
      <c r="S134" s="30"/>
      <c r="T134" s="30"/>
      <c r="U134" s="30"/>
      <c r="V134" s="31"/>
      <c r="W134" s="29"/>
      <c r="X134" s="29"/>
      <c r="Y134" s="29"/>
      <c r="Z134" s="29"/>
      <c r="AA134" s="30"/>
      <c r="AB134" s="30"/>
      <c r="AC134" s="30"/>
      <c r="AD134" s="30"/>
      <c r="AE134" s="30"/>
      <c r="AF134" s="32"/>
      <c r="AG134" s="33"/>
      <c r="AH134" s="33"/>
      <c r="AI134" s="29"/>
      <c r="AJ134" s="32"/>
      <c r="AK134" s="32"/>
      <c r="AL134" s="29"/>
      <c r="AN134" s="34" t="str">
        <f aca="false">IF($B134="","",IF(OR(C134="",D134="",E134="",G134="",I134="",J134="",L134="",O134="",P134=""),"Champ obligatoire manquant",IF(OR(AND(N134&lt;&gt;"",N134&gt;O134),O134&gt;P134,AND(Q134&lt;&gt;"",Q134&lt;P134),AND(R134&lt;&gt;"",R134&lt;P134),AND(S134&lt;&gt;"",S134&lt;R134),AND(S134&lt;&gt;"",R134=""),AND(T134&lt;&gt;"",T134&lt;O134),AND(U134&lt;&gt;"",U134&lt;O134)),"Chronologie incohérente",IF(AND(OR(L134="Résolu",L134="Clos"),R134=""),"Date de résolution manquante",IF(AND(L134="Clos",S134=""),"Date de clôture manquante",IF(AND(K134="Oui",AC134=""),"Classification DORA manquante","OK"))))))</f>
        <v/>
      </c>
      <c r="AO134" s="35" t="str">
        <f aca="false">IF($B134="","",IF(AND(C134="Incident",L134&lt;&gt;"Annulé"),1,0))</f>
        <v/>
      </c>
      <c r="AP134" s="35" t="str">
        <f aca="false">IF($B134="","",IF(AND(C134="Quasi-incident",L134&lt;&gt;"Annulé"),1,0))</f>
        <v/>
      </c>
      <c r="AQ134" s="35" t="str">
        <f aca="false">IF($B134="","",AO134+AP134)</f>
        <v/>
      </c>
      <c r="AR134" s="36" t="str">
        <f aca="false">IF(OR($B134="",J134=""),"",IFERROR(VALUE(LEFT(J134,1)),""))</f>
        <v/>
      </c>
      <c r="AS134" s="35" t="str">
        <f aca="false">IF(OR(AO134&lt;&gt;1,G134=""),"",IFERROR(IF(INDEX(L_SrcInterne,MATCH(G134,L_Sources,0))="Oui",1,0),""))</f>
        <v/>
      </c>
      <c r="AT134" s="37" t="str">
        <f aca="false">IF(AO134&lt;&gt;1,"",IFERROR(ROUND(IF(OR(N134="",O134=""),"",IF(O134&lt;N134,"",ROUND(((NETWORKDAYS(N134,O134,JoursFeries)-1)*(HFer-HOuv)+IF(NETWORKDAYS(O134,O134,JoursFeries),MEDIAN(MOD(O134,1),HFer,HOuv),HFer)-IF(NETWORKDAYS(N134,N134,JoursFeries),MEDIAN(MOD(N134,1),HFer,HOuv),HOuv))*24,4)))/HJour,4),""))</f>
        <v/>
      </c>
      <c r="AU134" s="37" t="str">
        <f aca="false">IF(AO134&lt;&gt;1,"",IF(OR(O134="",P134=""),"",IF(P134&lt;O134,"",ROUND(((NETWORKDAYS(O134,P134,JoursFeries)-1)*(HFer-HOuv)+IF(NETWORKDAYS(P134,P134,JoursFeries),MEDIAN(MOD(P134,1),HFer,HOuv),HFer)-IF(NETWORKDAYS(O134,O134,JoursFeries),MEDIAN(MOD(O134,1),HFer,HOuv),HOuv))*24,4))))</f>
        <v/>
      </c>
      <c r="AV134" s="37" t="str">
        <f aca="false">IF(AO134&lt;&gt;1,"",IF(OR(P134="",Q134=""),"",IF(Q134&lt;P134,"",ROUND(((NETWORKDAYS(P134,Q134,JoursFeries)-1)*(HFer-HOuv)+IF(NETWORKDAYS(Q134,Q134,JoursFeries),MEDIAN(MOD(Q134,1),HFer,HOuv),HFer)-IF(NETWORKDAYS(P134,P134,JoursFeries),MEDIAN(MOD(P134,1),HFer,HOuv),HOuv))*24,4))))</f>
        <v/>
      </c>
      <c r="AW134" s="37" t="str">
        <f aca="false">IF(AO134&lt;&gt;1,"",IFERROR(ROUND(IF(OR(P134="",R134=""),"",IF(R134&lt;P134,"",ROUND(((NETWORKDAYS(P134,R134,JoursFeries)-1)*(HFer-HOuv)+IF(NETWORKDAYS(R134,R134,JoursFeries),MEDIAN(MOD(R134,1),HFer,HOuv),HFer)-IF(NETWORKDAYS(P134,P134,JoursFeries),MEDIAN(MOD(P134,1),HFer,HOuv),HOuv))*24,4)))/HJour,4),""))</f>
        <v/>
      </c>
      <c r="AX134" s="37" t="str">
        <f aca="false">IF(AO134&lt;&gt;1,"",IFERROR(ROUND(IF(OR(P134="",S134=""),"",IF(S134&lt;P134,"",ROUND(((NETWORKDAYS(P134,S134,JoursFeries)-1)*(HFer-HOuv)+IF(NETWORKDAYS(S134,S134,JoursFeries),MEDIAN(MOD(S134,1),HFer,HOuv),HFer)-IF(NETWORKDAYS(P134,P134,JoursFeries),MEDIAN(MOD(P134,1),HFer,HOuv),HOuv))*24,4)))/HJour,4),""))</f>
        <v/>
      </c>
      <c r="AY134" s="36" t="str">
        <f aca="false">IF(OR(AO134&lt;&gt;1,AR134=""),"",INDEX(SLA_PEC,AR134))</f>
        <v/>
      </c>
      <c r="AZ134" s="35" t="str">
        <f aca="false">IF(OR(AV134="",AY134=""),"",IF(AV134&lt;=AY134,1,0))</f>
        <v/>
      </c>
      <c r="BA134" s="36" t="str">
        <f aca="false">IF(OR(AO134&lt;&gt;1,AR134=""),"",INDEX(SLA_RES,AR134))</f>
        <v/>
      </c>
      <c r="BB134" s="35" t="str">
        <f aca="false">IF(OR(AW134="",BA134=""),"",IF(AW134&lt;=BA134,1,0))</f>
        <v/>
      </c>
      <c r="BC134" s="38" t="str">
        <f aca="false">IF(OR(BA134="",P134=""),"",WORKDAY(INT(P134),BA134,JoursFeries)+MOD(P134,1))</f>
        <v/>
      </c>
      <c r="BD134" s="39" t="str">
        <f aca="false">IF(AO134&lt;&gt;1,"",IF(OR(AB134&lt;&gt;"",AD134&lt;&gt;""),4,IF(U134&lt;&gt;"",3,IF(T134&lt;&gt;"",2,1))))</f>
        <v/>
      </c>
      <c r="BE134" s="39" t="str">
        <f aca="false">IF(OR(AO134&lt;&gt;1,AR134=""),"",INDEX(NIV_REQ,AR134))</f>
        <v/>
      </c>
      <c r="BF134" s="39" t="str">
        <f aca="false">IF(BE134="","",MAX(BE134,IF(OR(K134="Oui",Z134="Oui"),4,1)))</f>
        <v/>
      </c>
      <c r="BG134" s="35" t="str">
        <f aca="false">IF(OR(BF134="",BD134=""),"",IF(BD134&gt;=BF134,1,0))</f>
        <v/>
      </c>
      <c r="BH134" s="38" t="str">
        <f aca="false">IF(BE134="","",IF(BE134&lt;2,"",IF(BE134=2,IF(AND(T134="",U134=""),"",MIN(T134,U134)),IF(U134="","",U134))))</f>
        <v/>
      </c>
      <c r="BI134" s="37" t="str">
        <f aca="false">IF(BH134="","",IF(OR(O134="",BH134=""),"",IF(BH134&lt;O134,"",ROUND(((NETWORKDAYS(O134,BH134,JoursFeries)-1)*(HFer-HOuv)+IF(NETWORKDAYS(BH134,BH134,JoursFeries),MEDIAN(MOD(BH134,1),HFer,HOuv),HFer)-IF(NETWORKDAYS(O134,O134,JoursFeries),MEDIAN(MOD(O134,1),HFer,HOuv),HOuv))*24,4))))</f>
        <v/>
      </c>
      <c r="BJ134" s="35" t="str">
        <f aca="false">IF(OR(BI134="",AR134=""),"",IF(BI134&lt;=INDEX(DELAI_ESC,AR134),1,0))</f>
        <v/>
      </c>
      <c r="BK134" s="38" t="str">
        <f aca="false">IF(AO134&lt;&gt;1,"",IF(AND(T134="",U134=""),"",MIN(T134,U134)))</f>
        <v/>
      </c>
      <c r="BL134" s="37" t="str">
        <f aca="false">IF(OR(BK134="",R134=""),"",IFERROR(ROUND(IF(OR(BK134="",R134=""),"",IF(R134&lt;BK134,"",ROUND(((NETWORKDAYS(BK134,R134,JoursFeries)-1)*(HFer-HOuv)+IF(NETWORKDAYS(R134,R134,JoursFeries),MEDIAN(MOD(R134,1),HFer,HOuv),HFer)-IF(NETWORKDAYS(BK134,BK134,JoursFeries),MEDIAN(MOD(BK134,1),HFer,HOuv),HOuv))*24,4)))/HJour,4),""))</f>
        <v/>
      </c>
      <c r="BM134" s="35" t="str">
        <f aca="false">IF(OR(AO134&lt;&gt;1,R134=""),"",IF(BD134=1,1,0))</f>
        <v/>
      </c>
      <c r="BN134" s="35" t="str">
        <f aca="false">IF(AO134&lt;&gt;1,"",IF(W134="Oui",1,0))</f>
        <v/>
      </c>
      <c r="BO134" s="35" t="str">
        <f aca="false">IF(AO134&lt;&gt;1,"",IF(X134&lt;&gt;"",1,0))</f>
        <v/>
      </c>
      <c r="BP134" s="35" t="str">
        <f aca="false">IF(AO134&lt;&gt;1,"",IF(Y134="Oui",1,0))</f>
        <v/>
      </c>
      <c r="BQ134" s="35" t="str">
        <f aca="true">IF(OR(AO134&lt;&gt;1,Z134&lt;&gt;"Oui"),"",IF(AB134="",IF(AND(AA134&lt;&gt;"",NOW()&gt;AA134),0,""),IF(AA134="","",IF(AB134&lt;=AA134,1,0))))</f>
        <v/>
      </c>
      <c r="BR134" s="38" t="str">
        <f aca="false">IF(OR(AO134&lt;&gt;1,K134&lt;&gt;"Oui",O134=""),"",IF(AC134="",O134+DORA_H_DET/24,IF(AC134-O134&lt;=DORA_H_DET/24,MIN(AC134+DORA_H_CLA/24,O134+DORA_H_DET/24),AC134+DORA_H_CLA/24)))</f>
        <v/>
      </c>
      <c r="BS134" s="35" t="str">
        <f aca="true">IF(BR134="","",IF(AD134="",IF(NOW()&gt;BR134,0,""),IF(AD134&lt;=BR134,1,0)))</f>
        <v/>
      </c>
      <c r="BT134" s="35" t="str">
        <f aca="true">IF(OR(BR134="",AD134=""),"",IF(AE134="",IF(NOW()&gt;AD134+DORA_H_INT/24,0,""),IF(AE134&lt;=AD134+DORA_H_INT/24,1,0)))</f>
        <v/>
      </c>
      <c r="BU134" s="35" t="str">
        <f aca="true">IF(OR(BR134="",AE134=""),"",IF(AF134="",IF(NOW()&gt;EDATE(AE134,DORA_M_FIN)+1,0,""),IF(AF134&lt;=EDATE(AE134,DORA_M_FIN),1,0)))</f>
        <v/>
      </c>
      <c r="BV134" s="35" t="str">
        <f aca="false">IF(BR134="","",IF(COUNT(BS134:BU134)=0,"",MIN(BS134:BU134)))</f>
        <v/>
      </c>
      <c r="BW134" s="40" t="str">
        <f aca="false">IF(AQ134&lt;&gt;1,"",IF(AND(AG134="",AH134=""),"",N(AG134)-N(AH134)))</f>
        <v/>
      </c>
      <c r="BX134" s="35" t="str">
        <f aca="true">IF(OR(AQ134&lt;&gt;1,AI134&lt;&gt;"Oui",AJ134=""),"",IF(AK134="",IF(NOW()&gt;AJ134+1,0,""),IF(AK134&lt;=AJ134,1,0)))</f>
        <v/>
      </c>
    </row>
    <row r="135" customFormat="false" ht="15" hidden="false" customHeight="false" outlineLevel="0" collapsed="false">
      <c r="B135" s="29"/>
      <c r="C135" s="29"/>
      <c r="D135" s="29"/>
      <c r="E135" s="29"/>
      <c r="F135" s="29"/>
      <c r="G135" s="29"/>
      <c r="H135" s="29"/>
      <c r="I135" s="29"/>
      <c r="J135" s="29"/>
      <c r="K135" s="29"/>
      <c r="L135" s="29"/>
      <c r="M135" s="29"/>
      <c r="N135" s="30"/>
      <c r="O135" s="30"/>
      <c r="P135" s="30"/>
      <c r="Q135" s="30"/>
      <c r="R135" s="30"/>
      <c r="S135" s="30"/>
      <c r="T135" s="30"/>
      <c r="U135" s="30"/>
      <c r="V135" s="31"/>
      <c r="W135" s="29"/>
      <c r="X135" s="29"/>
      <c r="Y135" s="29"/>
      <c r="Z135" s="29"/>
      <c r="AA135" s="30"/>
      <c r="AB135" s="30"/>
      <c r="AC135" s="30"/>
      <c r="AD135" s="30"/>
      <c r="AE135" s="30"/>
      <c r="AF135" s="32"/>
      <c r="AG135" s="33"/>
      <c r="AH135" s="33"/>
      <c r="AI135" s="29"/>
      <c r="AJ135" s="32"/>
      <c r="AK135" s="32"/>
      <c r="AL135" s="29"/>
      <c r="AN135" s="34" t="str">
        <f aca="false">IF($B135="","",IF(OR(C135="",D135="",E135="",G135="",I135="",J135="",L135="",O135="",P135=""),"Champ obligatoire manquant",IF(OR(AND(N135&lt;&gt;"",N135&gt;O135),O135&gt;P135,AND(Q135&lt;&gt;"",Q135&lt;P135),AND(R135&lt;&gt;"",R135&lt;P135),AND(S135&lt;&gt;"",S135&lt;R135),AND(S135&lt;&gt;"",R135=""),AND(T135&lt;&gt;"",T135&lt;O135),AND(U135&lt;&gt;"",U135&lt;O135)),"Chronologie incohérente",IF(AND(OR(L135="Résolu",L135="Clos"),R135=""),"Date de résolution manquante",IF(AND(L135="Clos",S135=""),"Date de clôture manquante",IF(AND(K135="Oui",AC135=""),"Classification DORA manquante","OK"))))))</f>
        <v/>
      </c>
      <c r="AO135" s="35" t="str">
        <f aca="false">IF($B135="","",IF(AND(C135="Incident",L135&lt;&gt;"Annulé"),1,0))</f>
        <v/>
      </c>
      <c r="AP135" s="35" t="str">
        <f aca="false">IF($B135="","",IF(AND(C135="Quasi-incident",L135&lt;&gt;"Annulé"),1,0))</f>
        <v/>
      </c>
      <c r="AQ135" s="35" t="str">
        <f aca="false">IF($B135="","",AO135+AP135)</f>
        <v/>
      </c>
      <c r="AR135" s="36" t="str">
        <f aca="false">IF(OR($B135="",J135=""),"",IFERROR(VALUE(LEFT(J135,1)),""))</f>
        <v/>
      </c>
      <c r="AS135" s="35" t="str">
        <f aca="false">IF(OR(AO135&lt;&gt;1,G135=""),"",IFERROR(IF(INDEX(L_SrcInterne,MATCH(G135,L_Sources,0))="Oui",1,0),""))</f>
        <v/>
      </c>
      <c r="AT135" s="37" t="str">
        <f aca="false">IF(AO135&lt;&gt;1,"",IFERROR(ROUND(IF(OR(N135="",O135=""),"",IF(O135&lt;N135,"",ROUND(((NETWORKDAYS(N135,O135,JoursFeries)-1)*(HFer-HOuv)+IF(NETWORKDAYS(O135,O135,JoursFeries),MEDIAN(MOD(O135,1),HFer,HOuv),HFer)-IF(NETWORKDAYS(N135,N135,JoursFeries),MEDIAN(MOD(N135,1),HFer,HOuv),HOuv))*24,4)))/HJour,4),""))</f>
        <v/>
      </c>
      <c r="AU135" s="37" t="str">
        <f aca="false">IF(AO135&lt;&gt;1,"",IF(OR(O135="",P135=""),"",IF(P135&lt;O135,"",ROUND(((NETWORKDAYS(O135,P135,JoursFeries)-1)*(HFer-HOuv)+IF(NETWORKDAYS(P135,P135,JoursFeries),MEDIAN(MOD(P135,1),HFer,HOuv),HFer)-IF(NETWORKDAYS(O135,O135,JoursFeries),MEDIAN(MOD(O135,1),HFer,HOuv),HOuv))*24,4))))</f>
        <v/>
      </c>
      <c r="AV135" s="37" t="str">
        <f aca="false">IF(AO135&lt;&gt;1,"",IF(OR(P135="",Q135=""),"",IF(Q135&lt;P135,"",ROUND(((NETWORKDAYS(P135,Q135,JoursFeries)-1)*(HFer-HOuv)+IF(NETWORKDAYS(Q135,Q135,JoursFeries),MEDIAN(MOD(Q135,1),HFer,HOuv),HFer)-IF(NETWORKDAYS(P135,P135,JoursFeries),MEDIAN(MOD(P135,1),HFer,HOuv),HOuv))*24,4))))</f>
        <v/>
      </c>
      <c r="AW135" s="37" t="str">
        <f aca="false">IF(AO135&lt;&gt;1,"",IFERROR(ROUND(IF(OR(P135="",R135=""),"",IF(R135&lt;P135,"",ROUND(((NETWORKDAYS(P135,R135,JoursFeries)-1)*(HFer-HOuv)+IF(NETWORKDAYS(R135,R135,JoursFeries),MEDIAN(MOD(R135,1),HFer,HOuv),HFer)-IF(NETWORKDAYS(P135,P135,JoursFeries),MEDIAN(MOD(P135,1),HFer,HOuv),HOuv))*24,4)))/HJour,4),""))</f>
        <v/>
      </c>
      <c r="AX135" s="37" t="str">
        <f aca="false">IF(AO135&lt;&gt;1,"",IFERROR(ROUND(IF(OR(P135="",S135=""),"",IF(S135&lt;P135,"",ROUND(((NETWORKDAYS(P135,S135,JoursFeries)-1)*(HFer-HOuv)+IF(NETWORKDAYS(S135,S135,JoursFeries),MEDIAN(MOD(S135,1),HFer,HOuv),HFer)-IF(NETWORKDAYS(P135,P135,JoursFeries),MEDIAN(MOD(P135,1),HFer,HOuv),HOuv))*24,4)))/HJour,4),""))</f>
        <v/>
      </c>
      <c r="AY135" s="36" t="str">
        <f aca="false">IF(OR(AO135&lt;&gt;1,AR135=""),"",INDEX(SLA_PEC,AR135))</f>
        <v/>
      </c>
      <c r="AZ135" s="35" t="str">
        <f aca="false">IF(OR(AV135="",AY135=""),"",IF(AV135&lt;=AY135,1,0))</f>
        <v/>
      </c>
      <c r="BA135" s="36" t="str">
        <f aca="false">IF(OR(AO135&lt;&gt;1,AR135=""),"",INDEX(SLA_RES,AR135))</f>
        <v/>
      </c>
      <c r="BB135" s="35" t="str">
        <f aca="false">IF(OR(AW135="",BA135=""),"",IF(AW135&lt;=BA135,1,0))</f>
        <v/>
      </c>
      <c r="BC135" s="38" t="str">
        <f aca="false">IF(OR(BA135="",P135=""),"",WORKDAY(INT(P135),BA135,JoursFeries)+MOD(P135,1))</f>
        <v/>
      </c>
      <c r="BD135" s="39" t="str">
        <f aca="false">IF(AO135&lt;&gt;1,"",IF(OR(AB135&lt;&gt;"",AD135&lt;&gt;""),4,IF(U135&lt;&gt;"",3,IF(T135&lt;&gt;"",2,1))))</f>
        <v/>
      </c>
      <c r="BE135" s="39" t="str">
        <f aca="false">IF(OR(AO135&lt;&gt;1,AR135=""),"",INDEX(NIV_REQ,AR135))</f>
        <v/>
      </c>
      <c r="BF135" s="39" t="str">
        <f aca="false">IF(BE135="","",MAX(BE135,IF(OR(K135="Oui",Z135="Oui"),4,1)))</f>
        <v/>
      </c>
      <c r="BG135" s="35" t="str">
        <f aca="false">IF(OR(BF135="",BD135=""),"",IF(BD135&gt;=BF135,1,0))</f>
        <v/>
      </c>
      <c r="BH135" s="38" t="str">
        <f aca="false">IF(BE135="","",IF(BE135&lt;2,"",IF(BE135=2,IF(AND(T135="",U135=""),"",MIN(T135,U135)),IF(U135="","",U135))))</f>
        <v/>
      </c>
      <c r="BI135" s="37" t="str">
        <f aca="false">IF(BH135="","",IF(OR(O135="",BH135=""),"",IF(BH135&lt;O135,"",ROUND(((NETWORKDAYS(O135,BH135,JoursFeries)-1)*(HFer-HOuv)+IF(NETWORKDAYS(BH135,BH135,JoursFeries),MEDIAN(MOD(BH135,1),HFer,HOuv),HFer)-IF(NETWORKDAYS(O135,O135,JoursFeries),MEDIAN(MOD(O135,1),HFer,HOuv),HOuv))*24,4))))</f>
        <v/>
      </c>
      <c r="BJ135" s="35" t="str">
        <f aca="false">IF(OR(BI135="",AR135=""),"",IF(BI135&lt;=INDEX(DELAI_ESC,AR135),1,0))</f>
        <v/>
      </c>
      <c r="BK135" s="38" t="str">
        <f aca="false">IF(AO135&lt;&gt;1,"",IF(AND(T135="",U135=""),"",MIN(T135,U135)))</f>
        <v/>
      </c>
      <c r="BL135" s="37" t="str">
        <f aca="false">IF(OR(BK135="",R135=""),"",IFERROR(ROUND(IF(OR(BK135="",R135=""),"",IF(R135&lt;BK135,"",ROUND(((NETWORKDAYS(BK135,R135,JoursFeries)-1)*(HFer-HOuv)+IF(NETWORKDAYS(R135,R135,JoursFeries),MEDIAN(MOD(R135,1),HFer,HOuv),HFer)-IF(NETWORKDAYS(BK135,BK135,JoursFeries),MEDIAN(MOD(BK135,1),HFer,HOuv),HOuv))*24,4)))/HJour,4),""))</f>
        <v/>
      </c>
      <c r="BM135" s="35" t="str">
        <f aca="false">IF(OR(AO135&lt;&gt;1,R135=""),"",IF(BD135=1,1,0))</f>
        <v/>
      </c>
      <c r="BN135" s="35" t="str">
        <f aca="false">IF(AO135&lt;&gt;1,"",IF(W135="Oui",1,0))</f>
        <v/>
      </c>
      <c r="BO135" s="35" t="str">
        <f aca="false">IF(AO135&lt;&gt;1,"",IF(X135&lt;&gt;"",1,0))</f>
        <v/>
      </c>
      <c r="BP135" s="35" t="str">
        <f aca="false">IF(AO135&lt;&gt;1,"",IF(Y135="Oui",1,0))</f>
        <v/>
      </c>
      <c r="BQ135" s="35" t="str">
        <f aca="true">IF(OR(AO135&lt;&gt;1,Z135&lt;&gt;"Oui"),"",IF(AB135="",IF(AND(AA135&lt;&gt;"",NOW()&gt;AA135),0,""),IF(AA135="","",IF(AB135&lt;=AA135,1,0))))</f>
        <v/>
      </c>
      <c r="BR135" s="38" t="str">
        <f aca="false">IF(OR(AO135&lt;&gt;1,K135&lt;&gt;"Oui",O135=""),"",IF(AC135="",O135+DORA_H_DET/24,IF(AC135-O135&lt;=DORA_H_DET/24,MIN(AC135+DORA_H_CLA/24,O135+DORA_H_DET/24),AC135+DORA_H_CLA/24)))</f>
        <v/>
      </c>
      <c r="BS135" s="35" t="str">
        <f aca="true">IF(BR135="","",IF(AD135="",IF(NOW()&gt;BR135,0,""),IF(AD135&lt;=BR135,1,0)))</f>
        <v/>
      </c>
      <c r="BT135" s="35" t="str">
        <f aca="true">IF(OR(BR135="",AD135=""),"",IF(AE135="",IF(NOW()&gt;AD135+DORA_H_INT/24,0,""),IF(AE135&lt;=AD135+DORA_H_INT/24,1,0)))</f>
        <v/>
      </c>
      <c r="BU135" s="35" t="str">
        <f aca="true">IF(OR(BR135="",AE135=""),"",IF(AF135="",IF(NOW()&gt;EDATE(AE135,DORA_M_FIN)+1,0,""),IF(AF135&lt;=EDATE(AE135,DORA_M_FIN),1,0)))</f>
        <v/>
      </c>
      <c r="BV135" s="35" t="str">
        <f aca="false">IF(BR135="","",IF(COUNT(BS135:BU135)=0,"",MIN(BS135:BU135)))</f>
        <v/>
      </c>
      <c r="BW135" s="40" t="str">
        <f aca="false">IF(AQ135&lt;&gt;1,"",IF(AND(AG135="",AH135=""),"",N(AG135)-N(AH135)))</f>
        <v/>
      </c>
      <c r="BX135" s="35" t="str">
        <f aca="true">IF(OR(AQ135&lt;&gt;1,AI135&lt;&gt;"Oui",AJ135=""),"",IF(AK135="",IF(NOW()&gt;AJ135+1,0,""),IF(AK135&lt;=AJ135,1,0)))</f>
        <v/>
      </c>
    </row>
    <row r="136" customFormat="false" ht="15" hidden="false" customHeight="false" outlineLevel="0" collapsed="false">
      <c r="B136" s="29"/>
      <c r="C136" s="29"/>
      <c r="D136" s="29"/>
      <c r="E136" s="29"/>
      <c r="F136" s="29"/>
      <c r="G136" s="29"/>
      <c r="H136" s="29"/>
      <c r="I136" s="29"/>
      <c r="J136" s="29"/>
      <c r="K136" s="29"/>
      <c r="L136" s="29"/>
      <c r="M136" s="29"/>
      <c r="N136" s="30"/>
      <c r="O136" s="30"/>
      <c r="P136" s="30"/>
      <c r="Q136" s="30"/>
      <c r="R136" s="30"/>
      <c r="S136" s="30"/>
      <c r="T136" s="30"/>
      <c r="U136" s="30"/>
      <c r="V136" s="31"/>
      <c r="W136" s="29"/>
      <c r="X136" s="29"/>
      <c r="Y136" s="29"/>
      <c r="Z136" s="29"/>
      <c r="AA136" s="30"/>
      <c r="AB136" s="30"/>
      <c r="AC136" s="30"/>
      <c r="AD136" s="30"/>
      <c r="AE136" s="30"/>
      <c r="AF136" s="32"/>
      <c r="AG136" s="33"/>
      <c r="AH136" s="33"/>
      <c r="AI136" s="29"/>
      <c r="AJ136" s="32"/>
      <c r="AK136" s="32"/>
      <c r="AL136" s="29"/>
      <c r="AN136" s="34" t="str">
        <f aca="false">IF($B136="","",IF(OR(C136="",D136="",E136="",G136="",I136="",J136="",L136="",O136="",P136=""),"Champ obligatoire manquant",IF(OR(AND(N136&lt;&gt;"",N136&gt;O136),O136&gt;P136,AND(Q136&lt;&gt;"",Q136&lt;P136),AND(R136&lt;&gt;"",R136&lt;P136),AND(S136&lt;&gt;"",S136&lt;R136),AND(S136&lt;&gt;"",R136=""),AND(T136&lt;&gt;"",T136&lt;O136),AND(U136&lt;&gt;"",U136&lt;O136)),"Chronologie incohérente",IF(AND(OR(L136="Résolu",L136="Clos"),R136=""),"Date de résolution manquante",IF(AND(L136="Clos",S136=""),"Date de clôture manquante",IF(AND(K136="Oui",AC136=""),"Classification DORA manquante","OK"))))))</f>
        <v/>
      </c>
      <c r="AO136" s="35" t="str">
        <f aca="false">IF($B136="","",IF(AND(C136="Incident",L136&lt;&gt;"Annulé"),1,0))</f>
        <v/>
      </c>
      <c r="AP136" s="35" t="str">
        <f aca="false">IF($B136="","",IF(AND(C136="Quasi-incident",L136&lt;&gt;"Annulé"),1,0))</f>
        <v/>
      </c>
      <c r="AQ136" s="35" t="str">
        <f aca="false">IF($B136="","",AO136+AP136)</f>
        <v/>
      </c>
      <c r="AR136" s="36" t="str">
        <f aca="false">IF(OR($B136="",J136=""),"",IFERROR(VALUE(LEFT(J136,1)),""))</f>
        <v/>
      </c>
      <c r="AS136" s="35" t="str">
        <f aca="false">IF(OR(AO136&lt;&gt;1,G136=""),"",IFERROR(IF(INDEX(L_SrcInterne,MATCH(G136,L_Sources,0))="Oui",1,0),""))</f>
        <v/>
      </c>
      <c r="AT136" s="37" t="str">
        <f aca="false">IF(AO136&lt;&gt;1,"",IFERROR(ROUND(IF(OR(N136="",O136=""),"",IF(O136&lt;N136,"",ROUND(((NETWORKDAYS(N136,O136,JoursFeries)-1)*(HFer-HOuv)+IF(NETWORKDAYS(O136,O136,JoursFeries),MEDIAN(MOD(O136,1),HFer,HOuv),HFer)-IF(NETWORKDAYS(N136,N136,JoursFeries),MEDIAN(MOD(N136,1),HFer,HOuv),HOuv))*24,4)))/HJour,4),""))</f>
        <v/>
      </c>
      <c r="AU136" s="37" t="str">
        <f aca="false">IF(AO136&lt;&gt;1,"",IF(OR(O136="",P136=""),"",IF(P136&lt;O136,"",ROUND(((NETWORKDAYS(O136,P136,JoursFeries)-1)*(HFer-HOuv)+IF(NETWORKDAYS(P136,P136,JoursFeries),MEDIAN(MOD(P136,1),HFer,HOuv),HFer)-IF(NETWORKDAYS(O136,O136,JoursFeries),MEDIAN(MOD(O136,1),HFer,HOuv),HOuv))*24,4))))</f>
        <v/>
      </c>
      <c r="AV136" s="37" t="str">
        <f aca="false">IF(AO136&lt;&gt;1,"",IF(OR(P136="",Q136=""),"",IF(Q136&lt;P136,"",ROUND(((NETWORKDAYS(P136,Q136,JoursFeries)-1)*(HFer-HOuv)+IF(NETWORKDAYS(Q136,Q136,JoursFeries),MEDIAN(MOD(Q136,1),HFer,HOuv),HFer)-IF(NETWORKDAYS(P136,P136,JoursFeries),MEDIAN(MOD(P136,1),HFer,HOuv),HOuv))*24,4))))</f>
        <v/>
      </c>
      <c r="AW136" s="37" t="str">
        <f aca="false">IF(AO136&lt;&gt;1,"",IFERROR(ROUND(IF(OR(P136="",R136=""),"",IF(R136&lt;P136,"",ROUND(((NETWORKDAYS(P136,R136,JoursFeries)-1)*(HFer-HOuv)+IF(NETWORKDAYS(R136,R136,JoursFeries),MEDIAN(MOD(R136,1),HFer,HOuv),HFer)-IF(NETWORKDAYS(P136,P136,JoursFeries),MEDIAN(MOD(P136,1),HFer,HOuv),HOuv))*24,4)))/HJour,4),""))</f>
        <v/>
      </c>
      <c r="AX136" s="37" t="str">
        <f aca="false">IF(AO136&lt;&gt;1,"",IFERROR(ROUND(IF(OR(P136="",S136=""),"",IF(S136&lt;P136,"",ROUND(((NETWORKDAYS(P136,S136,JoursFeries)-1)*(HFer-HOuv)+IF(NETWORKDAYS(S136,S136,JoursFeries),MEDIAN(MOD(S136,1),HFer,HOuv),HFer)-IF(NETWORKDAYS(P136,P136,JoursFeries),MEDIAN(MOD(P136,1),HFer,HOuv),HOuv))*24,4)))/HJour,4),""))</f>
        <v/>
      </c>
      <c r="AY136" s="36" t="str">
        <f aca="false">IF(OR(AO136&lt;&gt;1,AR136=""),"",INDEX(SLA_PEC,AR136))</f>
        <v/>
      </c>
      <c r="AZ136" s="35" t="str">
        <f aca="false">IF(OR(AV136="",AY136=""),"",IF(AV136&lt;=AY136,1,0))</f>
        <v/>
      </c>
      <c r="BA136" s="36" t="str">
        <f aca="false">IF(OR(AO136&lt;&gt;1,AR136=""),"",INDEX(SLA_RES,AR136))</f>
        <v/>
      </c>
      <c r="BB136" s="35" t="str">
        <f aca="false">IF(OR(AW136="",BA136=""),"",IF(AW136&lt;=BA136,1,0))</f>
        <v/>
      </c>
      <c r="BC136" s="38" t="str">
        <f aca="false">IF(OR(BA136="",P136=""),"",WORKDAY(INT(P136),BA136,JoursFeries)+MOD(P136,1))</f>
        <v/>
      </c>
      <c r="BD136" s="39" t="str">
        <f aca="false">IF(AO136&lt;&gt;1,"",IF(OR(AB136&lt;&gt;"",AD136&lt;&gt;""),4,IF(U136&lt;&gt;"",3,IF(T136&lt;&gt;"",2,1))))</f>
        <v/>
      </c>
      <c r="BE136" s="39" t="str">
        <f aca="false">IF(OR(AO136&lt;&gt;1,AR136=""),"",INDEX(NIV_REQ,AR136))</f>
        <v/>
      </c>
      <c r="BF136" s="39" t="str">
        <f aca="false">IF(BE136="","",MAX(BE136,IF(OR(K136="Oui",Z136="Oui"),4,1)))</f>
        <v/>
      </c>
      <c r="BG136" s="35" t="str">
        <f aca="false">IF(OR(BF136="",BD136=""),"",IF(BD136&gt;=BF136,1,0))</f>
        <v/>
      </c>
      <c r="BH136" s="38" t="str">
        <f aca="false">IF(BE136="","",IF(BE136&lt;2,"",IF(BE136=2,IF(AND(T136="",U136=""),"",MIN(T136,U136)),IF(U136="","",U136))))</f>
        <v/>
      </c>
      <c r="BI136" s="37" t="str">
        <f aca="false">IF(BH136="","",IF(OR(O136="",BH136=""),"",IF(BH136&lt;O136,"",ROUND(((NETWORKDAYS(O136,BH136,JoursFeries)-1)*(HFer-HOuv)+IF(NETWORKDAYS(BH136,BH136,JoursFeries),MEDIAN(MOD(BH136,1),HFer,HOuv),HFer)-IF(NETWORKDAYS(O136,O136,JoursFeries),MEDIAN(MOD(O136,1),HFer,HOuv),HOuv))*24,4))))</f>
        <v/>
      </c>
      <c r="BJ136" s="35" t="str">
        <f aca="false">IF(OR(BI136="",AR136=""),"",IF(BI136&lt;=INDEX(DELAI_ESC,AR136),1,0))</f>
        <v/>
      </c>
      <c r="BK136" s="38" t="str">
        <f aca="false">IF(AO136&lt;&gt;1,"",IF(AND(T136="",U136=""),"",MIN(T136,U136)))</f>
        <v/>
      </c>
      <c r="BL136" s="37" t="str">
        <f aca="false">IF(OR(BK136="",R136=""),"",IFERROR(ROUND(IF(OR(BK136="",R136=""),"",IF(R136&lt;BK136,"",ROUND(((NETWORKDAYS(BK136,R136,JoursFeries)-1)*(HFer-HOuv)+IF(NETWORKDAYS(R136,R136,JoursFeries),MEDIAN(MOD(R136,1),HFer,HOuv),HFer)-IF(NETWORKDAYS(BK136,BK136,JoursFeries),MEDIAN(MOD(BK136,1),HFer,HOuv),HOuv))*24,4)))/HJour,4),""))</f>
        <v/>
      </c>
      <c r="BM136" s="35" t="str">
        <f aca="false">IF(OR(AO136&lt;&gt;1,R136=""),"",IF(BD136=1,1,0))</f>
        <v/>
      </c>
      <c r="BN136" s="35" t="str">
        <f aca="false">IF(AO136&lt;&gt;1,"",IF(W136="Oui",1,0))</f>
        <v/>
      </c>
      <c r="BO136" s="35" t="str">
        <f aca="false">IF(AO136&lt;&gt;1,"",IF(X136&lt;&gt;"",1,0))</f>
        <v/>
      </c>
      <c r="BP136" s="35" t="str">
        <f aca="false">IF(AO136&lt;&gt;1,"",IF(Y136="Oui",1,0))</f>
        <v/>
      </c>
      <c r="BQ136" s="35" t="str">
        <f aca="true">IF(OR(AO136&lt;&gt;1,Z136&lt;&gt;"Oui"),"",IF(AB136="",IF(AND(AA136&lt;&gt;"",NOW()&gt;AA136),0,""),IF(AA136="","",IF(AB136&lt;=AA136,1,0))))</f>
        <v/>
      </c>
      <c r="BR136" s="38" t="str">
        <f aca="false">IF(OR(AO136&lt;&gt;1,K136&lt;&gt;"Oui",O136=""),"",IF(AC136="",O136+DORA_H_DET/24,IF(AC136-O136&lt;=DORA_H_DET/24,MIN(AC136+DORA_H_CLA/24,O136+DORA_H_DET/24),AC136+DORA_H_CLA/24)))</f>
        <v/>
      </c>
      <c r="BS136" s="35" t="str">
        <f aca="true">IF(BR136="","",IF(AD136="",IF(NOW()&gt;BR136,0,""),IF(AD136&lt;=BR136,1,0)))</f>
        <v/>
      </c>
      <c r="BT136" s="35" t="str">
        <f aca="true">IF(OR(BR136="",AD136=""),"",IF(AE136="",IF(NOW()&gt;AD136+DORA_H_INT/24,0,""),IF(AE136&lt;=AD136+DORA_H_INT/24,1,0)))</f>
        <v/>
      </c>
      <c r="BU136" s="35" t="str">
        <f aca="true">IF(OR(BR136="",AE136=""),"",IF(AF136="",IF(NOW()&gt;EDATE(AE136,DORA_M_FIN)+1,0,""),IF(AF136&lt;=EDATE(AE136,DORA_M_FIN),1,0)))</f>
        <v/>
      </c>
      <c r="BV136" s="35" t="str">
        <f aca="false">IF(BR136="","",IF(COUNT(BS136:BU136)=0,"",MIN(BS136:BU136)))</f>
        <v/>
      </c>
      <c r="BW136" s="40" t="str">
        <f aca="false">IF(AQ136&lt;&gt;1,"",IF(AND(AG136="",AH136=""),"",N(AG136)-N(AH136)))</f>
        <v/>
      </c>
      <c r="BX136" s="35" t="str">
        <f aca="true">IF(OR(AQ136&lt;&gt;1,AI136&lt;&gt;"Oui",AJ136=""),"",IF(AK136="",IF(NOW()&gt;AJ136+1,0,""),IF(AK136&lt;=AJ136,1,0)))</f>
        <v/>
      </c>
    </row>
    <row r="137" customFormat="false" ht="15" hidden="false" customHeight="false" outlineLevel="0" collapsed="false">
      <c r="B137" s="29"/>
      <c r="C137" s="29"/>
      <c r="D137" s="29"/>
      <c r="E137" s="29"/>
      <c r="F137" s="29"/>
      <c r="G137" s="29"/>
      <c r="H137" s="29"/>
      <c r="I137" s="29"/>
      <c r="J137" s="29"/>
      <c r="K137" s="29"/>
      <c r="L137" s="29"/>
      <c r="M137" s="29"/>
      <c r="N137" s="30"/>
      <c r="O137" s="30"/>
      <c r="P137" s="30"/>
      <c r="Q137" s="30"/>
      <c r="R137" s="30"/>
      <c r="S137" s="30"/>
      <c r="T137" s="30"/>
      <c r="U137" s="30"/>
      <c r="V137" s="31"/>
      <c r="W137" s="29"/>
      <c r="X137" s="29"/>
      <c r="Y137" s="29"/>
      <c r="Z137" s="29"/>
      <c r="AA137" s="30"/>
      <c r="AB137" s="30"/>
      <c r="AC137" s="30"/>
      <c r="AD137" s="30"/>
      <c r="AE137" s="30"/>
      <c r="AF137" s="32"/>
      <c r="AG137" s="33"/>
      <c r="AH137" s="33"/>
      <c r="AI137" s="29"/>
      <c r="AJ137" s="32"/>
      <c r="AK137" s="32"/>
      <c r="AL137" s="29"/>
      <c r="AN137" s="34" t="str">
        <f aca="false">IF($B137="","",IF(OR(C137="",D137="",E137="",G137="",I137="",J137="",L137="",O137="",P137=""),"Champ obligatoire manquant",IF(OR(AND(N137&lt;&gt;"",N137&gt;O137),O137&gt;P137,AND(Q137&lt;&gt;"",Q137&lt;P137),AND(R137&lt;&gt;"",R137&lt;P137),AND(S137&lt;&gt;"",S137&lt;R137),AND(S137&lt;&gt;"",R137=""),AND(T137&lt;&gt;"",T137&lt;O137),AND(U137&lt;&gt;"",U137&lt;O137)),"Chronologie incohérente",IF(AND(OR(L137="Résolu",L137="Clos"),R137=""),"Date de résolution manquante",IF(AND(L137="Clos",S137=""),"Date de clôture manquante",IF(AND(K137="Oui",AC137=""),"Classification DORA manquante","OK"))))))</f>
        <v/>
      </c>
      <c r="AO137" s="35" t="str">
        <f aca="false">IF($B137="","",IF(AND(C137="Incident",L137&lt;&gt;"Annulé"),1,0))</f>
        <v/>
      </c>
      <c r="AP137" s="35" t="str">
        <f aca="false">IF($B137="","",IF(AND(C137="Quasi-incident",L137&lt;&gt;"Annulé"),1,0))</f>
        <v/>
      </c>
      <c r="AQ137" s="35" t="str">
        <f aca="false">IF($B137="","",AO137+AP137)</f>
        <v/>
      </c>
      <c r="AR137" s="36" t="str">
        <f aca="false">IF(OR($B137="",J137=""),"",IFERROR(VALUE(LEFT(J137,1)),""))</f>
        <v/>
      </c>
      <c r="AS137" s="35" t="str">
        <f aca="false">IF(OR(AO137&lt;&gt;1,G137=""),"",IFERROR(IF(INDEX(L_SrcInterne,MATCH(G137,L_Sources,0))="Oui",1,0),""))</f>
        <v/>
      </c>
      <c r="AT137" s="37" t="str">
        <f aca="false">IF(AO137&lt;&gt;1,"",IFERROR(ROUND(IF(OR(N137="",O137=""),"",IF(O137&lt;N137,"",ROUND(((NETWORKDAYS(N137,O137,JoursFeries)-1)*(HFer-HOuv)+IF(NETWORKDAYS(O137,O137,JoursFeries),MEDIAN(MOD(O137,1),HFer,HOuv),HFer)-IF(NETWORKDAYS(N137,N137,JoursFeries),MEDIAN(MOD(N137,1),HFer,HOuv),HOuv))*24,4)))/HJour,4),""))</f>
        <v/>
      </c>
      <c r="AU137" s="37" t="str">
        <f aca="false">IF(AO137&lt;&gt;1,"",IF(OR(O137="",P137=""),"",IF(P137&lt;O137,"",ROUND(((NETWORKDAYS(O137,P137,JoursFeries)-1)*(HFer-HOuv)+IF(NETWORKDAYS(P137,P137,JoursFeries),MEDIAN(MOD(P137,1),HFer,HOuv),HFer)-IF(NETWORKDAYS(O137,O137,JoursFeries),MEDIAN(MOD(O137,1),HFer,HOuv),HOuv))*24,4))))</f>
        <v/>
      </c>
      <c r="AV137" s="37" t="str">
        <f aca="false">IF(AO137&lt;&gt;1,"",IF(OR(P137="",Q137=""),"",IF(Q137&lt;P137,"",ROUND(((NETWORKDAYS(P137,Q137,JoursFeries)-1)*(HFer-HOuv)+IF(NETWORKDAYS(Q137,Q137,JoursFeries),MEDIAN(MOD(Q137,1),HFer,HOuv),HFer)-IF(NETWORKDAYS(P137,P137,JoursFeries),MEDIAN(MOD(P137,1),HFer,HOuv),HOuv))*24,4))))</f>
        <v/>
      </c>
      <c r="AW137" s="37" t="str">
        <f aca="false">IF(AO137&lt;&gt;1,"",IFERROR(ROUND(IF(OR(P137="",R137=""),"",IF(R137&lt;P137,"",ROUND(((NETWORKDAYS(P137,R137,JoursFeries)-1)*(HFer-HOuv)+IF(NETWORKDAYS(R137,R137,JoursFeries),MEDIAN(MOD(R137,1),HFer,HOuv),HFer)-IF(NETWORKDAYS(P137,P137,JoursFeries),MEDIAN(MOD(P137,1),HFer,HOuv),HOuv))*24,4)))/HJour,4),""))</f>
        <v/>
      </c>
      <c r="AX137" s="37" t="str">
        <f aca="false">IF(AO137&lt;&gt;1,"",IFERROR(ROUND(IF(OR(P137="",S137=""),"",IF(S137&lt;P137,"",ROUND(((NETWORKDAYS(P137,S137,JoursFeries)-1)*(HFer-HOuv)+IF(NETWORKDAYS(S137,S137,JoursFeries),MEDIAN(MOD(S137,1),HFer,HOuv),HFer)-IF(NETWORKDAYS(P137,P137,JoursFeries),MEDIAN(MOD(P137,1),HFer,HOuv),HOuv))*24,4)))/HJour,4),""))</f>
        <v/>
      </c>
      <c r="AY137" s="36" t="str">
        <f aca="false">IF(OR(AO137&lt;&gt;1,AR137=""),"",INDEX(SLA_PEC,AR137))</f>
        <v/>
      </c>
      <c r="AZ137" s="35" t="str">
        <f aca="false">IF(OR(AV137="",AY137=""),"",IF(AV137&lt;=AY137,1,0))</f>
        <v/>
      </c>
      <c r="BA137" s="36" t="str">
        <f aca="false">IF(OR(AO137&lt;&gt;1,AR137=""),"",INDEX(SLA_RES,AR137))</f>
        <v/>
      </c>
      <c r="BB137" s="35" t="str">
        <f aca="false">IF(OR(AW137="",BA137=""),"",IF(AW137&lt;=BA137,1,0))</f>
        <v/>
      </c>
      <c r="BC137" s="38" t="str">
        <f aca="false">IF(OR(BA137="",P137=""),"",WORKDAY(INT(P137),BA137,JoursFeries)+MOD(P137,1))</f>
        <v/>
      </c>
      <c r="BD137" s="39" t="str">
        <f aca="false">IF(AO137&lt;&gt;1,"",IF(OR(AB137&lt;&gt;"",AD137&lt;&gt;""),4,IF(U137&lt;&gt;"",3,IF(T137&lt;&gt;"",2,1))))</f>
        <v/>
      </c>
      <c r="BE137" s="39" t="str">
        <f aca="false">IF(OR(AO137&lt;&gt;1,AR137=""),"",INDEX(NIV_REQ,AR137))</f>
        <v/>
      </c>
      <c r="BF137" s="39" t="str">
        <f aca="false">IF(BE137="","",MAX(BE137,IF(OR(K137="Oui",Z137="Oui"),4,1)))</f>
        <v/>
      </c>
      <c r="BG137" s="35" t="str">
        <f aca="false">IF(OR(BF137="",BD137=""),"",IF(BD137&gt;=BF137,1,0))</f>
        <v/>
      </c>
      <c r="BH137" s="38" t="str">
        <f aca="false">IF(BE137="","",IF(BE137&lt;2,"",IF(BE137=2,IF(AND(T137="",U137=""),"",MIN(T137,U137)),IF(U137="","",U137))))</f>
        <v/>
      </c>
      <c r="BI137" s="37" t="str">
        <f aca="false">IF(BH137="","",IF(OR(O137="",BH137=""),"",IF(BH137&lt;O137,"",ROUND(((NETWORKDAYS(O137,BH137,JoursFeries)-1)*(HFer-HOuv)+IF(NETWORKDAYS(BH137,BH137,JoursFeries),MEDIAN(MOD(BH137,1),HFer,HOuv),HFer)-IF(NETWORKDAYS(O137,O137,JoursFeries),MEDIAN(MOD(O137,1),HFer,HOuv),HOuv))*24,4))))</f>
        <v/>
      </c>
      <c r="BJ137" s="35" t="str">
        <f aca="false">IF(OR(BI137="",AR137=""),"",IF(BI137&lt;=INDEX(DELAI_ESC,AR137),1,0))</f>
        <v/>
      </c>
      <c r="BK137" s="38" t="str">
        <f aca="false">IF(AO137&lt;&gt;1,"",IF(AND(T137="",U137=""),"",MIN(T137,U137)))</f>
        <v/>
      </c>
      <c r="BL137" s="37" t="str">
        <f aca="false">IF(OR(BK137="",R137=""),"",IFERROR(ROUND(IF(OR(BK137="",R137=""),"",IF(R137&lt;BK137,"",ROUND(((NETWORKDAYS(BK137,R137,JoursFeries)-1)*(HFer-HOuv)+IF(NETWORKDAYS(R137,R137,JoursFeries),MEDIAN(MOD(R137,1),HFer,HOuv),HFer)-IF(NETWORKDAYS(BK137,BK137,JoursFeries),MEDIAN(MOD(BK137,1),HFer,HOuv),HOuv))*24,4)))/HJour,4),""))</f>
        <v/>
      </c>
      <c r="BM137" s="35" t="str">
        <f aca="false">IF(OR(AO137&lt;&gt;1,R137=""),"",IF(BD137=1,1,0))</f>
        <v/>
      </c>
      <c r="BN137" s="35" t="str">
        <f aca="false">IF(AO137&lt;&gt;1,"",IF(W137="Oui",1,0))</f>
        <v/>
      </c>
      <c r="BO137" s="35" t="str">
        <f aca="false">IF(AO137&lt;&gt;1,"",IF(X137&lt;&gt;"",1,0))</f>
        <v/>
      </c>
      <c r="BP137" s="35" t="str">
        <f aca="false">IF(AO137&lt;&gt;1,"",IF(Y137="Oui",1,0))</f>
        <v/>
      </c>
      <c r="BQ137" s="35" t="str">
        <f aca="true">IF(OR(AO137&lt;&gt;1,Z137&lt;&gt;"Oui"),"",IF(AB137="",IF(AND(AA137&lt;&gt;"",NOW()&gt;AA137),0,""),IF(AA137="","",IF(AB137&lt;=AA137,1,0))))</f>
        <v/>
      </c>
      <c r="BR137" s="38" t="str">
        <f aca="false">IF(OR(AO137&lt;&gt;1,K137&lt;&gt;"Oui",O137=""),"",IF(AC137="",O137+DORA_H_DET/24,IF(AC137-O137&lt;=DORA_H_DET/24,MIN(AC137+DORA_H_CLA/24,O137+DORA_H_DET/24),AC137+DORA_H_CLA/24)))</f>
        <v/>
      </c>
      <c r="BS137" s="35" t="str">
        <f aca="true">IF(BR137="","",IF(AD137="",IF(NOW()&gt;BR137,0,""),IF(AD137&lt;=BR137,1,0)))</f>
        <v/>
      </c>
      <c r="BT137" s="35" t="str">
        <f aca="true">IF(OR(BR137="",AD137=""),"",IF(AE137="",IF(NOW()&gt;AD137+DORA_H_INT/24,0,""),IF(AE137&lt;=AD137+DORA_H_INT/24,1,0)))</f>
        <v/>
      </c>
      <c r="BU137" s="35" t="str">
        <f aca="true">IF(OR(BR137="",AE137=""),"",IF(AF137="",IF(NOW()&gt;EDATE(AE137,DORA_M_FIN)+1,0,""),IF(AF137&lt;=EDATE(AE137,DORA_M_FIN),1,0)))</f>
        <v/>
      </c>
      <c r="BV137" s="35" t="str">
        <f aca="false">IF(BR137="","",IF(COUNT(BS137:BU137)=0,"",MIN(BS137:BU137)))</f>
        <v/>
      </c>
      <c r="BW137" s="40" t="str">
        <f aca="false">IF(AQ137&lt;&gt;1,"",IF(AND(AG137="",AH137=""),"",N(AG137)-N(AH137)))</f>
        <v/>
      </c>
      <c r="BX137" s="35" t="str">
        <f aca="true">IF(OR(AQ137&lt;&gt;1,AI137&lt;&gt;"Oui",AJ137=""),"",IF(AK137="",IF(NOW()&gt;AJ137+1,0,""),IF(AK137&lt;=AJ137,1,0)))</f>
        <v/>
      </c>
    </row>
    <row r="138" customFormat="false" ht="15" hidden="false" customHeight="false" outlineLevel="0" collapsed="false">
      <c r="B138" s="29"/>
      <c r="C138" s="29"/>
      <c r="D138" s="29"/>
      <c r="E138" s="29"/>
      <c r="F138" s="29"/>
      <c r="G138" s="29"/>
      <c r="H138" s="29"/>
      <c r="I138" s="29"/>
      <c r="J138" s="29"/>
      <c r="K138" s="29"/>
      <c r="L138" s="29"/>
      <c r="M138" s="29"/>
      <c r="N138" s="30"/>
      <c r="O138" s="30"/>
      <c r="P138" s="30"/>
      <c r="Q138" s="30"/>
      <c r="R138" s="30"/>
      <c r="S138" s="30"/>
      <c r="T138" s="30"/>
      <c r="U138" s="30"/>
      <c r="V138" s="31"/>
      <c r="W138" s="29"/>
      <c r="X138" s="29"/>
      <c r="Y138" s="29"/>
      <c r="Z138" s="29"/>
      <c r="AA138" s="30"/>
      <c r="AB138" s="30"/>
      <c r="AC138" s="30"/>
      <c r="AD138" s="30"/>
      <c r="AE138" s="30"/>
      <c r="AF138" s="32"/>
      <c r="AG138" s="33"/>
      <c r="AH138" s="33"/>
      <c r="AI138" s="29"/>
      <c r="AJ138" s="32"/>
      <c r="AK138" s="32"/>
      <c r="AL138" s="29"/>
      <c r="AN138" s="34" t="str">
        <f aca="false">IF($B138="","",IF(OR(C138="",D138="",E138="",G138="",I138="",J138="",L138="",O138="",P138=""),"Champ obligatoire manquant",IF(OR(AND(N138&lt;&gt;"",N138&gt;O138),O138&gt;P138,AND(Q138&lt;&gt;"",Q138&lt;P138),AND(R138&lt;&gt;"",R138&lt;P138),AND(S138&lt;&gt;"",S138&lt;R138),AND(S138&lt;&gt;"",R138=""),AND(T138&lt;&gt;"",T138&lt;O138),AND(U138&lt;&gt;"",U138&lt;O138)),"Chronologie incohérente",IF(AND(OR(L138="Résolu",L138="Clos"),R138=""),"Date de résolution manquante",IF(AND(L138="Clos",S138=""),"Date de clôture manquante",IF(AND(K138="Oui",AC138=""),"Classification DORA manquante","OK"))))))</f>
        <v/>
      </c>
      <c r="AO138" s="35" t="str">
        <f aca="false">IF($B138="","",IF(AND(C138="Incident",L138&lt;&gt;"Annulé"),1,0))</f>
        <v/>
      </c>
      <c r="AP138" s="35" t="str">
        <f aca="false">IF($B138="","",IF(AND(C138="Quasi-incident",L138&lt;&gt;"Annulé"),1,0))</f>
        <v/>
      </c>
      <c r="AQ138" s="35" t="str">
        <f aca="false">IF($B138="","",AO138+AP138)</f>
        <v/>
      </c>
      <c r="AR138" s="36" t="str">
        <f aca="false">IF(OR($B138="",J138=""),"",IFERROR(VALUE(LEFT(J138,1)),""))</f>
        <v/>
      </c>
      <c r="AS138" s="35" t="str">
        <f aca="false">IF(OR(AO138&lt;&gt;1,G138=""),"",IFERROR(IF(INDEX(L_SrcInterne,MATCH(G138,L_Sources,0))="Oui",1,0),""))</f>
        <v/>
      </c>
      <c r="AT138" s="37" t="str">
        <f aca="false">IF(AO138&lt;&gt;1,"",IFERROR(ROUND(IF(OR(N138="",O138=""),"",IF(O138&lt;N138,"",ROUND(((NETWORKDAYS(N138,O138,JoursFeries)-1)*(HFer-HOuv)+IF(NETWORKDAYS(O138,O138,JoursFeries),MEDIAN(MOD(O138,1),HFer,HOuv),HFer)-IF(NETWORKDAYS(N138,N138,JoursFeries),MEDIAN(MOD(N138,1),HFer,HOuv),HOuv))*24,4)))/HJour,4),""))</f>
        <v/>
      </c>
      <c r="AU138" s="37" t="str">
        <f aca="false">IF(AO138&lt;&gt;1,"",IF(OR(O138="",P138=""),"",IF(P138&lt;O138,"",ROUND(((NETWORKDAYS(O138,P138,JoursFeries)-1)*(HFer-HOuv)+IF(NETWORKDAYS(P138,P138,JoursFeries),MEDIAN(MOD(P138,1),HFer,HOuv),HFer)-IF(NETWORKDAYS(O138,O138,JoursFeries),MEDIAN(MOD(O138,1),HFer,HOuv),HOuv))*24,4))))</f>
        <v/>
      </c>
      <c r="AV138" s="37" t="str">
        <f aca="false">IF(AO138&lt;&gt;1,"",IF(OR(P138="",Q138=""),"",IF(Q138&lt;P138,"",ROUND(((NETWORKDAYS(P138,Q138,JoursFeries)-1)*(HFer-HOuv)+IF(NETWORKDAYS(Q138,Q138,JoursFeries),MEDIAN(MOD(Q138,1),HFer,HOuv),HFer)-IF(NETWORKDAYS(P138,P138,JoursFeries),MEDIAN(MOD(P138,1),HFer,HOuv),HOuv))*24,4))))</f>
        <v/>
      </c>
      <c r="AW138" s="37" t="str">
        <f aca="false">IF(AO138&lt;&gt;1,"",IFERROR(ROUND(IF(OR(P138="",R138=""),"",IF(R138&lt;P138,"",ROUND(((NETWORKDAYS(P138,R138,JoursFeries)-1)*(HFer-HOuv)+IF(NETWORKDAYS(R138,R138,JoursFeries),MEDIAN(MOD(R138,1),HFer,HOuv),HFer)-IF(NETWORKDAYS(P138,P138,JoursFeries),MEDIAN(MOD(P138,1),HFer,HOuv),HOuv))*24,4)))/HJour,4),""))</f>
        <v/>
      </c>
      <c r="AX138" s="37" t="str">
        <f aca="false">IF(AO138&lt;&gt;1,"",IFERROR(ROUND(IF(OR(P138="",S138=""),"",IF(S138&lt;P138,"",ROUND(((NETWORKDAYS(P138,S138,JoursFeries)-1)*(HFer-HOuv)+IF(NETWORKDAYS(S138,S138,JoursFeries),MEDIAN(MOD(S138,1),HFer,HOuv),HFer)-IF(NETWORKDAYS(P138,P138,JoursFeries),MEDIAN(MOD(P138,1),HFer,HOuv),HOuv))*24,4)))/HJour,4),""))</f>
        <v/>
      </c>
      <c r="AY138" s="36" t="str">
        <f aca="false">IF(OR(AO138&lt;&gt;1,AR138=""),"",INDEX(SLA_PEC,AR138))</f>
        <v/>
      </c>
      <c r="AZ138" s="35" t="str">
        <f aca="false">IF(OR(AV138="",AY138=""),"",IF(AV138&lt;=AY138,1,0))</f>
        <v/>
      </c>
      <c r="BA138" s="36" t="str">
        <f aca="false">IF(OR(AO138&lt;&gt;1,AR138=""),"",INDEX(SLA_RES,AR138))</f>
        <v/>
      </c>
      <c r="BB138" s="35" t="str">
        <f aca="false">IF(OR(AW138="",BA138=""),"",IF(AW138&lt;=BA138,1,0))</f>
        <v/>
      </c>
      <c r="BC138" s="38" t="str">
        <f aca="false">IF(OR(BA138="",P138=""),"",WORKDAY(INT(P138),BA138,JoursFeries)+MOD(P138,1))</f>
        <v/>
      </c>
      <c r="BD138" s="39" t="str">
        <f aca="false">IF(AO138&lt;&gt;1,"",IF(OR(AB138&lt;&gt;"",AD138&lt;&gt;""),4,IF(U138&lt;&gt;"",3,IF(T138&lt;&gt;"",2,1))))</f>
        <v/>
      </c>
      <c r="BE138" s="39" t="str">
        <f aca="false">IF(OR(AO138&lt;&gt;1,AR138=""),"",INDEX(NIV_REQ,AR138))</f>
        <v/>
      </c>
      <c r="BF138" s="39" t="str">
        <f aca="false">IF(BE138="","",MAX(BE138,IF(OR(K138="Oui",Z138="Oui"),4,1)))</f>
        <v/>
      </c>
      <c r="BG138" s="35" t="str">
        <f aca="false">IF(OR(BF138="",BD138=""),"",IF(BD138&gt;=BF138,1,0))</f>
        <v/>
      </c>
      <c r="BH138" s="38" t="str">
        <f aca="false">IF(BE138="","",IF(BE138&lt;2,"",IF(BE138=2,IF(AND(T138="",U138=""),"",MIN(T138,U138)),IF(U138="","",U138))))</f>
        <v/>
      </c>
      <c r="BI138" s="37" t="str">
        <f aca="false">IF(BH138="","",IF(OR(O138="",BH138=""),"",IF(BH138&lt;O138,"",ROUND(((NETWORKDAYS(O138,BH138,JoursFeries)-1)*(HFer-HOuv)+IF(NETWORKDAYS(BH138,BH138,JoursFeries),MEDIAN(MOD(BH138,1),HFer,HOuv),HFer)-IF(NETWORKDAYS(O138,O138,JoursFeries),MEDIAN(MOD(O138,1),HFer,HOuv),HOuv))*24,4))))</f>
        <v/>
      </c>
      <c r="BJ138" s="35" t="str">
        <f aca="false">IF(OR(BI138="",AR138=""),"",IF(BI138&lt;=INDEX(DELAI_ESC,AR138),1,0))</f>
        <v/>
      </c>
      <c r="BK138" s="38" t="str">
        <f aca="false">IF(AO138&lt;&gt;1,"",IF(AND(T138="",U138=""),"",MIN(T138,U138)))</f>
        <v/>
      </c>
      <c r="BL138" s="37" t="str">
        <f aca="false">IF(OR(BK138="",R138=""),"",IFERROR(ROUND(IF(OR(BK138="",R138=""),"",IF(R138&lt;BK138,"",ROUND(((NETWORKDAYS(BK138,R138,JoursFeries)-1)*(HFer-HOuv)+IF(NETWORKDAYS(R138,R138,JoursFeries),MEDIAN(MOD(R138,1),HFer,HOuv),HFer)-IF(NETWORKDAYS(BK138,BK138,JoursFeries),MEDIAN(MOD(BK138,1),HFer,HOuv),HOuv))*24,4)))/HJour,4),""))</f>
        <v/>
      </c>
      <c r="BM138" s="35" t="str">
        <f aca="false">IF(OR(AO138&lt;&gt;1,R138=""),"",IF(BD138=1,1,0))</f>
        <v/>
      </c>
      <c r="BN138" s="35" t="str">
        <f aca="false">IF(AO138&lt;&gt;1,"",IF(W138="Oui",1,0))</f>
        <v/>
      </c>
      <c r="BO138" s="35" t="str">
        <f aca="false">IF(AO138&lt;&gt;1,"",IF(X138&lt;&gt;"",1,0))</f>
        <v/>
      </c>
      <c r="BP138" s="35" t="str">
        <f aca="false">IF(AO138&lt;&gt;1,"",IF(Y138="Oui",1,0))</f>
        <v/>
      </c>
      <c r="BQ138" s="35" t="str">
        <f aca="true">IF(OR(AO138&lt;&gt;1,Z138&lt;&gt;"Oui"),"",IF(AB138="",IF(AND(AA138&lt;&gt;"",NOW()&gt;AA138),0,""),IF(AA138="","",IF(AB138&lt;=AA138,1,0))))</f>
        <v/>
      </c>
      <c r="BR138" s="38" t="str">
        <f aca="false">IF(OR(AO138&lt;&gt;1,K138&lt;&gt;"Oui",O138=""),"",IF(AC138="",O138+DORA_H_DET/24,IF(AC138-O138&lt;=DORA_H_DET/24,MIN(AC138+DORA_H_CLA/24,O138+DORA_H_DET/24),AC138+DORA_H_CLA/24)))</f>
        <v/>
      </c>
      <c r="BS138" s="35" t="str">
        <f aca="true">IF(BR138="","",IF(AD138="",IF(NOW()&gt;BR138,0,""),IF(AD138&lt;=BR138,1,0)))</f>
        <v/>
      </c>
      <c r="BT138" s="35" t="str">
        <f aca="true">IF(OR(BR138="",AD138=""),"",IF(AE138="",IF(NOW()&gt;AD138+DORA_H_INT/24,0,""),IF(AE138&lt;=AD138+DORA_H_INT/24,1,0)))</f>
        <v/>
      </c>
      <c r="BU138" s="35" t="str">
        <f aca="true">IF(OR(BR138="",AE138=""),"",IF(AF138="",IF(NOW()&gt;EDATE(AE138,DORA_M_FIN)+1,0,""),IF(AF138&lt;=EDATE(AE138,DORA_M_FIN),1,0)))</f>
        <v/>
      </c>
      <c r="BV138" s="35" t="str">
        <f aca="false">IF(BR138="","",IF(COUNT(BS138:BU138)=0,"",MIN(BS138:BU138)))</f>
        <v/>
      </c>
      <c r="BW138" s="40" t="str">
        <f aca="false">IF(AQ138&lt;&gt;1,"",IF(AND(AG138="",AH138=""),"",N(AG138)-N(AH138)))</f>
        <v/>
      </c>
      <c r="BX138" s="35" t="str">
        <f aca="true">IF(OR(AQ138&lt;&gt;1,AI138&lt;&gt;"Oui",AJ138=""),"",IF(AK138="",IF(NOW()&gt;AJ138+1,0,""),IF(AK138&lt;=AJ138,1,0)))</f>
        <v/>
      </c>
    </row>
    <row r="139" customFormat="false" ht="15" hidden="false" customHeight="false" outlineLevel="0" collapsed="false">
      <c r="B139" s="29"/>
      <c r="C139" s="29"/>
      <c r="D139" s="29"/>
      <c r="E139" s="29"/>
      <c r="F139" s="29"/>
      <c r="G139" s="29"/>
      <c r="H139" s="29"/>
      <c r="I139" s="29"/>
      <c r="J139" s="29"/>
      <c r="K139" s="29"/>
      <c r="L139" s="29"/>
      <c r="M139" s="29"/>
      <c r="N139" s="30"/>
      <c r="O139" s="30"/>
      <c r="P139" s="30"/>
      <c r="Q139" s="30"/>
      <c r="R139" s="30"/>
      <c r="S139" s="30"/>
      <c r="T139" s="30"/>
      <c r="U139" s="30"/>
      <c r="V139" s="31"/>
      <c r="W139" s="29"/>
      <c r="X139" s="29"/>
      <c r="Y139" s="29"/>
      <c r="Z139" s="29"/>
      <c r="AA139" s="30"/>
      <c r="AB139" s="30"/>
      <c r="AC139" s="30"/>
      <c r="AD139" s="30"/>
      <c r="AE139" s="30"/>
      <c r="AF139" s="32"/>
      <c r="AG139" s="33"/>
      <c r="AH139" s="33"/>
      <c r="AI139" s="29"/>
      <c r="AJ139" s="32"/>
      <c r="AK139" s="32"/>
      <c r="AL139" s="29"/>
      <c r="AN139" s="34" t="str">
        <f aca="false">IF($B139="","",IF(OR(C139="",D139="",E139="",G139="",I139="",J139="",L139="",O139="",P139=""),"Champ obligatoire manquant",IF(OR(AND(N139&lt;&gt;"",N139&gt;O139),O139&gt;P139,AND(Q139&lt;&gt;"",Q139&lt;P139),AND(R139&lt;&gt;"",R139&lt;P139),AND(S139&lt;&gt;"",S139&lt;R139),AND(S139&lt;&gt;"",R139=""),AND(T139&lt;&gt;"",T139&lt;O139),AND(U139&lt;&gt;"",U139&lt;O139)),"Chronologie incohérente",IF(AND(OR(L139="Résolu",L139="Clos"),R139=""),"Date de résolution manquante",IF(AND(L139="Clos",S139=""),"Date de clôture manquante",IF(AND(K139="Oui",AC139=""),"Classification DORA manquante","OK"))))))</f>
        <v/>
      </c>
      <c r="AO139" s="35" t="str">
        <f aca="false">IF($B139="","",IF(AND(C139="Incident",L139&lt;&gt;"Annulé"),1,0))</f>
        <v/>
      </c>
      <c r="AP139" s="35" t="str">
        <f aca="false">IF($B139="","",IF(AND(C139="Quasi-incident",L139&lt;&gt;"Annulé"),1,0))</f>
        <v/>
      </c>
      <c r="AQ139" s="35" t="str">
        <f aca="false">IF($B139="","",AO139+AP139)</f>
        <v/>
      </c>
      <c r="AR139" s="36" t="str">
        <f aca="false">IF(OR($B139="",J139=""),"",IFERROR(VALUE(LEFT(J139,1)),""))</f>
        <v/>
      </c>
      <c r="AS139" s="35" t="str">
        <f aca="false">IF(OR(AO139&lt;&gt;1,G139=""),"",IFERROR(IF(INDEX(L_SrcInterne,MATCH(G139,L_Sources,0))="Oui",1,0),""))</f>
        <v/>
      </c>
      <c r="AT139" s="37" t="str">
        <f aca="false">IF(AO139&lt;&gt;1,"",IFERROR(ROUND(IF(OR(N139="",O139=""),"",IF(O139&lt;N139,"",ROUND(((NETWORKDAYS(N139,O139,JoursFeries)-1)*(HFer-HOuv)+IF(NETWORKDAYS(O139,O139,JoursFeries),MEDIAN(MOD(O139,1),HFer,HOuv),HFer)-IF(NETWORKDAYS(N139,N139,JoursFeries),MEDIAN(MOD(N139,1),HFer,HOuv),HOuv))*24,4)))/HJour,4),""))</f>
        <v/>
      </c>
      <c r="AU139" s="37" t="str">
        <f aca="false">IF(AO139&lt;&gt;1,"",IF(OR(O139="",P139=""),"",IF(P139&lt;O139,"",ROUND(((NETWORKDAYS(O139,P139,JoursFeries)-1)*(HFer-HOuv)+IF(NETWORKDAYS(P139,P139,JoursFeries),MEDIAN(MOD(P139,1),HFer,HOuv),HFer)-IF(NETWORKDAYS(O139,O139,JoursFeries),MEDIAN(MOD(O139,1),HFer,HOuv),HOuv))*24,4))))</f>
        <v/>
      </c>
      <c r="AV139" s="37" t="str">
        <f aca="false">IF(AO139&lt;&gt;1,"",IF(OR(P139="",Q139=""),"",IF(Q139&lt;P139,"",ROUND(((NETWORKDAYS(P139,Q139,JoursFeries)-1)*(HFer-HOuv)+IF(NETWORKDAYS(Q139,Q139,JoursFeries),MEDIAN(MOD(Q139,1),HFer,HOuv),HFer)-IF(NETWORKDAYS(P139,P139,JoursFeries),MEDIAN(MOD(P139,1),HFer,HOuv),HOuv))*24,4))))</f>
        <v/>
      </c>
      <c r="AW139" s="37" t="str">
        <f aca="false">IF(AO139&lt;&gt;1,"",IFERROR(ROUND(IF(OR(P139="",R139=""),"",IF(R139&lt;P139,"",ROUND(((NETWORKDAYS(P139,R139,JoursFeries)-1)*(HFer-HOuv)+IF(NETWORKDAYS(R139,R139,JoursFeries),MEDIAN(MOD(R139,1),HFer,HOuv),HFer)-IF(NETWORKDAYS(P139,P139,JoursFeries),MEDIAN(MOD(P139,1),HFer,HOuv),HOuv))*24,4)))/HJour,4),""))</f>
        <v/>
      </c>
      <c r="AX139" s="37" t="str">
        <f aca="false">IF(AO139&lt;&gt;1,"",IFERROR(ROUND(IF(OR(P139="",S139=""),"",IF(S139&lt;P139,"",ROUND(((NETWORKDAYS(P139,S139,JoursFeries)-1)*(HFer-HOuv)+IF(NETWORKDAYS(S139,S139,JoursFeries),MEDIAN(MOD(S139,1),HFer,HOuv),HFer)-IF(NETWORKDAYS(P139,P139,JoursFeries),MEDIAN(MOD(P139,1),HFer,HOuv),HOuv))*24,4)))/HJour,4),""))</f>
        <v/>
      </c>
      <c r="AY139" s="36" t="str">
        <f aca="false">IF(OR(AO139&lt;&gt;1,AR139=""),"",INDEX(SLA_PEC,AR139))</f>
        <v/>
      </c>
      <c r="AZ139" s="35" t="str">
        <f aca="false">IF(OR(AV139="",AY139=""),"",IF(AV139&lt;=AY139,1,0))</f>
        <v/>
      </c>
      <c r="BA139" s="36" t="str">
        <f aca="false">IF(OR(AO139&lt;&gt;1,AR139=""),"",INDEX(SLA_RES,AR139))</f>
        <v/>
      </c>
      <c r="BB139" s="35" t="str">
        <f aca="false">IF(OR(AW139="",BA139=""),"",IF(AW139&lt;=BA139,1,0))</f>
        <v/>
      </c>
      <c r="BC139" s="38" t="str">
        <f aca="false">IF(OR(BA139="",P139=""),"",WORKDAY(INT(P139),BA139,JoursFeries)+MOD(P139,1))</f>
        <v/>
      </c>
      <c r="BD139" s="39" t="str">
        <f aca="false">IF(AO139&lt;&gt;1,"",IF(OR(AB139&lt;&gt;"",AD139&lt;&gt;""),4,IF(U139&lt;&gt;"",3,IF(T139&lt;&gt;"",2,1))))</f>
        <v/>
      </c>
      <c r="BE139" s="39" t="str">
        <f aca="false">IF(OR(AO139&lt;&gt;1,AR139=""),"",INDEX(NIV_REQ,AR139))</f>
        <v/>
      </c>
      <c r="BF139" s="39" t="str">
        <f aca="false">IF(BE139="","",MAX(BE139,IF(OR(K139="Oui",Z139="Oui"),4,1)))</f>
        <v/>
      </c>
      <c r="BG139" s="35" t="str">
        <f aca="false">IF(OR(BF139="",BD139=""),"",IF(BD139&gt;=BF139,1,0))</f>
        <v/>
      </c>
      <c r="BH139" s="38" t="str">
        <f aca="false">IF(BE139="","",IF(BE139&lt;2,"",IF(BE139=2,IF(AND(T139="",U139=""),"",MIN(T139,U139)),IF(U139="","",U139))))</f>
        <v/>
      </c>
      <c r="BI139" s="37" t="str">
        <f aca="false">IF(BH139="","",IF(OR(O139="",BH139=""),"",IF(BH139&lt;O139,"",ROUND(((NETWORKDAYS(O139,BH139,JoursFeries)-1)*(HFer-HOuv)+IF(NETWORKDAYS(BH139,BH139,JoursFeries),MEDIAN(MOD(BH139,1),HFer,HOuv),HFer)-IF(NETWORKDAYS(O139,O139,JoursFeries),MEDIAN(MOD(O139,1),HFer,HOuv),HOuv))*24,4))))</f>
        <v/>
      </c>
      <c r="BJ139" s="35" t="str">
        <f aca="false">IF(OR(BI139="",AR139=""),"",IF(BI139&lt;=INDEX(DELAI_ESC,AR139),1,0))</f>
        <v/>
      </c>
      <c r="BK139" s="38" t="str">
        <f aca="false">IF(AO139&lt;&gt;1,"",IF(AND(T139="",U139=""),"",MIN(T139,U139)))</f>
        <v/>
      </c>
      <c r="BL139" s="37" t="str">
        <f aca="false">IF(OR(BK139="",R139=""),"",IFERROR(ROUND(IF(OR(BK139="",R139=""),"",IF(R139&lt;BK139,"",ROUND(((NETWORKDAYS(BK139,R139,JoursFeries)-1)*(HFer-HOuv)+IF(NETWORKDAYS(R139,R139,JoursFeries),MEDIAN(MOD(R139,1),HFer,HOuv),HFer)-IF(NETWORKDAYS(BK139,BK139,JoursFeries),MEDIAN(MOD(BK139,1),HFer,HOuv),HOuv))*24,4)))/HJour,4),""))</f>
        <v/>
      </c>
      <c r="BM139" s="35" t="str">
        <f aca="false">IF(OR(AO139&lt;&gt;1,R139=""),"",IF(BD139=1,1,0))</f>
        <v/>
      </c>
      <c r="BN139" s="35" t="str">
        <f aca="false">IF(AO139&lt;&gt;1,"",IF(W139="Oui",1,0))</f>
        <v/>
      </c>
      <c r="BO139" s="35" t="str">
        <f aca="false">IF(AO139&lt;&gt;1,"",IF(X139&lt;&gt;"",1,0))</f>
        <v/>
      </c>
      <c r="BP139" s="35" t="str">
        <f aca="false">IF(AO139&lt;&gt;1,"",IF(Y139="Oui",1,0))</f>
        <v/>
      </c>
      <c r="BQ139" s="35" t="str">
        <f aca="true">IF(OR(AO139&lt;&gt;1,Z139&lt;&gt;"Oui"),"",IF(AB139="",IF(AND(AA139&lt;&gt;"",NOW()&gt;AA139),0,""),IF(AA139="","",IF(AB139&lt;=AA139,1,0))))</f>
        <v/>
      </c>
      <c r="BR139" s="38" t="str">
        <f aca="false">IF(OR(AO139&lt;&gt;1,K139&lt;&gt;"Oui",O139=""),"",IF(AC139="",O139+DORA_H_DET/24,IF(AC139-O139&lt;=DORA_H_DET/24,MIN(AC139+DORA_H_CLA/24,O139+DORA_H_DET/24),AC139+DORA_H_CLA/24)))</f>
        <v/>
      </c>
      <c r="BS139" s="35" t="str">
        <f aca="true">IF(BR139="","",IF(AD139="",IF(NOW()&gt;BR139,0,""),IF(AD139&lt;=BR139,1,0)))</f>
        <v/>
      </c>
      <c r="BT139" s="35" t="str">
        <f aca="true">IF(OR(BR139="",AD139=""),"",IF(AE139="",IF(NOW()&gt;AD139+DORA_H_INT/24,0,""),IF(AE139&lt;=AD139+DORA_H_INT/24,1,0)))</f>
        <v/>
      </c>
      <c r="BU139" s="35" t="str">
        <f aca="true">IF(OR(BR139="",AE139=""),"",IF(AF139="",IF(NOW()&gt;EDATE(AE139,DORA_M_FIN)+1,0,""),IF(AF139&lt;=EDATE(AE139,DORA_M_FIN),1,0)))</f>
        <v/>
      </c>
      <c r="BV139" s="35" t="str">
        <f aca="false">IF(BR139="","",IF(COUNT(BS139:BU139)=0,"",MIN(BS139:BU139)))</f>
        <v/>
      </c>
      <c r="BW139" s="40" t="str">
        <f aca="false">IF(AQ139&lt;&gt;1,"",IF(AND(AG139="",AH139=""),"",N(AG139)-N(AH139)))</f>
        <v/>
      </c>
      <c r="BX139" s="35" t="str">
        <f aca="true">IF(OR(AQ139&lt;&gt;1,AI139&lt;&gt;"Oui",AJ139=""),"",IF(AK139="",IF(NOW()&gt;AJ139+1,0,""),IF(AK139&lt;=AJ139,1,0)))</f>
        <v/>
      </c>
    </row>
    <row r="140" customFormat="false" ht="15" hidden="false" customHeight="false" outlineLevel="0" collapsed="false">
      <c r="B140" s="29"/>
      <c r="C140" s="29"/>
      <c r="D140" s="29"/>
      <c r="E140" s="29"/>
      <c r="F140" s="29"/>
      <c r="G140" s="29"/>
      <c r="H140" s="29"/>
      <c r="I140" s="29"/>
      <c r="J140" s="29"/>
      <c r="K140" s="29"/>
      <c r="L140" s="29"/>
      <c r="M140" s="29"/>
      <c r="N140" s="30"/>
      <c r="O140" s="30"/>
      <c r="P140" s="30"/>
      <c r="Q140" s="30"/>
      <c r="R140" s="30"/>
      <c r="S140" s="30"/>
      <c r="T140" s="30"/>
      <c r="U140" s="30"/>
      <c r="V140" s="31"/>
      <c r="W140" s="29"/>
      <c r="X140" s="29"/>
      <c r="Y140" s="29"/>
      <c r="Z140" s="29"/>
      <c r="AA140" s="30"/>
      <c r="AB140" s="30"/>
      <c r="AC140" s="30"/>
      <c r="AD140" s="30"/>
      <c r="AE140" s="30"/>
      <c r="AF140" s="32"/>
      <c r="AG140" s="33"/>
      <c r="AH140" s="33"/>
      <c r="AI140" s="29"/>
      <c r="AJ140" s="32"/>
      <c r="AK140" s="32"/>
      <c r="AL140" s="29"/>
      <c r="AN140" s="34" t="str">
        <f aca="false">IF($B140="","",IF(OR(C140="",D140="",E140="",G140="",I140="",J140="",L140="",O140="",P140=""),"Champ obligatoire manquant",IF(OR(AND(N140&lt;&gt;"",N140&gt;O140),O140&gt;P140,AND(Q140&lt;&gt;"",Q140&lt;P140),AND(R140&lt;&gt;"",R140&lt;P140),AND(S140&lt;&gt;"",S140&lt;R140),AND(S140&lt;&gt;"",R140=""),AND(T140&lt;&gt;"",T140&lt;O140),AND(U140&lt;&gt;"",U140&lt;O140)),"Chronologie incohérente",IF(AND(OR(L140="Résolu",L140="Clos"),R140=""),"Date de résolution manquante",IF(AND(L140="Clos",S140=""),"Date de clôture manquante",IF(AND(K140="Oui",AC140=""),"Classification DORA manquante","OK"))))))</f>
        <v/>
      </c>
      <c r="AO140" s="35" t="str">
        <f aca="false">IF($B140="","",IF(AND(C140="Incident",L140&lt;&gt;"Annulé"),1,0))</f>
        <v/>
      </c>
      <c r="AP140" s="35" t="str">
        <f aca="false">IF($B140="","",IF(AND(C140="Quasi-incident",L140&lt;&gt;"Annulé"),1,0))</f>
        <v/>
      </c>
      <c r="AQ140" s="35" t="str">
        <f aca="false">IF($B140="","",AO140+AP140)</f>
        <v/>
      </c>
      <c r="AR140" s="36" t="str">
        <f aca="false">IF(OR($B140="",J140=""),"",IFERROR(VALUE(LEFT(J140,1)),""))</f>
        <v/>
      </c>
      <c r="AS140" s="35" t="str">
        <f aca="false">IF(OR(AO140&lt;&gt;1,G140=""),"",IFERROR(IF(INDEX(L_SrcInterne,MATCH(G140,L_Sources,0))="Oui",1,0),""))</f>
        <v/>
      </c>
      <c r="AT140" s="37" t="str">
        <f aca="false">IF(AO140&lt;&gt;1,"",IFERROR(ROUND(IF(OR(N140="",O140=""),"",IF(O140&lt;N140,"",ROUND(((NETWORKDAYS(N140,O140,JoursFeries)-1)*(HFer-HOuv)+IF(NETWORKDAYS(O140,O140,JoursFeries),MEDIAN(MOD(O140,1),HFer,HOuv),HFer)-IF(NETWORKDAYS(N140,N140,JoursFeries),MEDIAN(MOD(N140,1),HFer,HOuv),HOuv))*24,4)))/HJour,4),""))</f>
        <v/>
      </c>
      <c r="AU140" s="37" t="str">
        <f aca="false">IF(AO140&lt;&gt;1,"",IF(OR(O140="",P140=""),"",IF(P140&lt;O140,"",ROUND(((NETWORKDAYS(O140,P140,JoursFeries)-1)*(HFer-HOuv)+IF(NETWORKDAYS(P140,P140,JoursFeries),MEDIAN(MOD(P140,1),HFer,HOuv),HFer)-IF(NETWORKDAYS(O140,O140,JoursFeries),MEDIAN(MOD(O140,1),HFer,HOuv),HOuv))*24,4))))</f>
        <v/>
      </c>
      <c r="AV140" s="37" t="str">
        <f aca="false">IF(AO140&lt;&gt;1,"",IF(OR(P140="",Q140=""),"",IF(Q140&lt;P140,"",ROUND(((NETWORKDAYS(P140,Q140,JoursFeries)-1)*(HFer-HOuv)+IF(NETWORKDAYS(Q140,Q140,JoursFeries),MEDIAN(MOD(Q140,1),HFer,HOuv),HFer)-IF(NETWORKDAYS(P140,P140,JoursFeries),MEDIAN(MOD(P140,1),HFer,HOuv),HOuv))*24,4))))</f>
        <v/>
      </c>
      <c r="AW140" s="37" t="str">
        <f aca="false">IF(AO140&lt;&gt;1,"",IFERROR(ROUND(IF(OR(P140="",R140=""),"",IF(R140&lt;P140,"",ROUND(((NETWORKDAYS(P140,R140,JoursFeries)-1)*(HFer-HOuv)+IF(NETWORKDAYS(R140,R140,JoursFeries),MEDIAN(MOD(R140,1),HFer,HOuv),HFer)-IF(NETWORKDAYS(P140,P140,JoursFeries),MEDIAN(MOD(P140,1),HFer,HOuv),HOuv))*24,4)))/HJour,4),""))</f>
        <v/>
      </c>
      <c r="AX140" s="37" t="str">
        <f aca="false">IF(AO140&lt;&gt;1,"",IFERROR(ROUND(IF(OR(P140="",S140=""),"",IF(S140&lt;P140,"",ROUND(((NETWORKDAYS(P140,S140,JoursFeries)-1)*(HFer-HOuv)+IF(NETWORKDAYS(S140,S140,JoursFeries),MEDIAN(MOD(S140,1),HFer,HOuv),HFer)-IF(NETWORKDAYS(P140,P140,JoursFeries),MEDIAN(MOD(P140,1),HFer,HOuv),HOuv))*24,4)))/HJour,4),""))</f>
        <v/>
      </c>
      <c r="AY140" s="36" t="str">
        <f aca="false">IF(OR(AO140&lt;&gt;1,AR140=""),"",INDEX(SLA_PEC,AR140))</f>
        <v/>
      </c>
      <c r="AZ140" s="35" t="str">
        <f aca="false">IF(OR(AV140="",AY140=""),"",IF(AV140&lt;=AY140,1,0))</f>
        <v/>
      </c>
      <c r="BA140" s="36" t="str">
        <f aca="false">IF(OR(AO140&lt;&gt;1,AR140=""),"",INDEX(SLA_RES,AR140))</f>
        <v/>
      </c>
      <c r="BB140" s="35" t="str">
        <f aca="false">IF(OR(AW140="",BA140=""),"",IF(AW140&lt;=BA140,1,0))</f>
        <v/>
      </c>
      <c r="BC140" s="38" t="str">
        <f aca="false">IF(OR(BA140="",P140=""),"",WORKDAY(INT(P140),BA140,JoursFeries)+MOD(P140,1))</f>
        <v/>
      </c>
      <c r="BD140" s="39" t="str">
        <f aca="false">IF(AO140&lt;&gt;1,"",IF(OR(AB140&lt;&gt;"",AD140&lt;&gt;""),4,IF(U140&lt;&gt;"",3,IF(T140&lt;&gt;"",2,1))))</f>
        <v/>
      </c>
      <c r="BE140" s="39" t="str">
        <f aca="false">IF(OR(AO140&lt;&gt;1,AR140=""),"",INDEX(NIV_REQ,AR140))</f>
        <v/>
      </c>
      <c r="BF140" s="39" t="str">
        <f aca="false">IF(BE140="","",MAX(BE140,IF(OR(K140="Oui",Z140="Oui"),4,1)))</f>
        <v/>
      </c>
      <c r="BG140" s="35" t="str">
        <f aca="false">IF(OR(BF140="",BD140=""),"",IF(BD140&gt;=BF140,1,0))</f>
        <v/>
      </c>
      <c r="BH140" s="38" t="str">
        <f aca="false">IF(BE140="","",IF(BE140&lt;2,"",IF(BE140=2,IF(AND(T140="",U140=""),"",MIN(T140,U140)),IF(U140="","",U140))))</f>
        <v/>
      </c>
      <c r="BI140" s="37" t="str">
        <f aca="false">IF(BH140="","",IF(OR(O140="",BH140=""),"",IF(BH140&lt;O140,"",ROUND(((NETWORKDAYS(O140,BH140,JoursFeries)-1)*(HFer-HOuv)+IF(NETWORKDAYS(BH140,BH140,JoursFeries),MEDIAN(MOD(BH140,1),HFer,HOuv),HFer)-IF(NETWORKDAYS(O140,O140,JoursFeries),MEDIAN(MOD(O140,1),HFer,HOuv),HOuv))*24,4))))</f>
        <v/>
      </c>
      <c r="BJ140" s="35" t="str">
        <f aca="false">IF(OR(BI140="",AR140=""),"",IF(BI140&lt;=INDEX(DELAI_ESC,AR140),1,0))</f>
        <v/>
      </c>
      <c r="BK140" s="38" t="str">
        <f aca="false">IF(AO140&lt;&gt;1,"",IF(AND(T140="",U140=""),"",MIN(T140,U140)))</f>
        <v/>
      </c>
      <c r="BL140" s="37" t="str">
        <f aca="false">IF(OR(BK140="",R140=""),"",IFERROR(ROUND(IF(OR(BK140="",R140=""),"",IF(R140&lt;BK140,"",ROUND(((NETWORKDAYS(BK140,R140,JoursFeries)-1)*(HFer-HOuv)+IF(NETWORKDAYS(R140,R140,JoursFeries),MEDIAN(MOD(R140,1),HFer,HOuv),HFer)-IF(NETWORKDAYS(BK140,BK140,JoursFeries),MEDIAN(MOD(BK140,1),HFer,HOuv),HOuv))*24,4)))/HJour,4),""))</f>
        <v/>
      </c>
      <c r="BM140" s="35" t="str">
        <f aca="false">IF(OR(AO140&lt;&gt;1,R140=""),"",IF(BD140=1,1,0))</f>
        <v/>
      </c>
      <c r="BN140" s="35" t="str">
        <f aca="false">IF(AO140&lt;&gt;1,"",IF(W140="Oui",1,0))</f>
        <v/>
      </c>
      <c r="BO140" s="35" t="str">
        <f aca="false">IF(AO140&lt;&gt;1,"",IF(X140&lt;&gt;"",1,0))</f>
        <v/>
      </c>
      <c r="BP140" s="35" t="str">
        <f aca="false">IF(AO140&lt;&gt;1,"",IF(Y140="Oui",1,0))</f>
        <v/>
      </c>
      <c r="BQ140" s="35" t="str">
        <f aca="true">IF(OR(AO140&lt;&gt;1,Z140&lt;&gt;"Oui"),"",IF(AB140="",IF(AND(AA140&lt;&gt;"",NOW()&gt;AA140),0,""),IF(AA140="","",IF(AB140&lt;=AA140,1,0))))</f>
        <v/>
      </c>
      <c r="BR140" s="38" t="str">
        <f aca="false">IF(OR(AO140&lt;&gt;1,K140&lt;&gt;"Oui",O140=""),"",IF(AC140="",O140+DORA_H_DET/24,IF(AC140-O140&lt;=DORA_H_DET/24,MIN(AC140+DORA_H_CLA/24,O140+DORA_H_DET/24),AC140+DORA_H_CLA/24)))</f>
        <v/>
      </c>
      <c r="BS140" s="35" t="str">
        <f aca="true">IF(BR140="","",IF(AD140="",IF(NOW()&gt;BR140,0,""),IF(AD140&lt;=BR140,1,0)))</f>
        <v/>
      </c>
      <c r="BT140" s="35" t="str">
        <f aca="true">IF(OR(BR140="",AD140=""),"",IF(AE140="",IF(NOW()&gt;AD140+DORA_H_INT/24,0,""),IF(AE140&lt;=AD140+DORA_H_INT/24,1,0)))</f>
        <v/>
      </c>
      <c r="BU140" s="35" t="str">
        <f aca="true">IF(OR(BR140="",AE140=""),"",IF(AF140="",IF(NOW()&gt;EDATE(AE140,DORA_M_FIN)+1,0,""),IF(AF140&lt;=EDATE(AE140,DORA_M_FIN),1,0)))</f>
        <v/>
      </c>
      <c r="BV140" s="35" t="str">
        <f aca="false">IF(BR140="","",IF(COUNT(BS140:BU140)=0,"",MIN(BS140:BU140)))</f>
        <v/>
      </c>
      <c r="BW140" s="40" t="str">
        <f aca="false">IF(AQ140&lt;&gt;1,"",IF(AND(AG140="",AH140=""),"",N(AG140)-N(AH140)))</f>
        <v/>
      </c>
      <c r="BX140" s="35" t="str">
        <f aca="true">IF(OR(AQ140&lt;&gt;1,AI140&lt;&gt;"Oui",AJ140=""),"",IF(AK140="",IF(NOW()&gt;AJ140+1,0,""),IF(AK140&lt;=AJ140,1,0)))</f>
        <v/>
      </c>
    </row>
    <row r="141" customFormat="false" ht="15" hidden="false" customHeight="false" outlineLevel="0" collapsed="false">
      <c r="B141" s="29"/>
      <c r="C141" s="29"/>
      <c r="D141" s="29"/>
      <c r="E141" s="29"/>
      <c r="F141" s="29"/>
      <c r="G141" s="29"/>
      <c r="H141" s="29"/>
      <c r="I141" s="29"/>
      <c r="J141" s="29"/>
      <c r="K141" s="29"/>
      <c r="L141" s="29"/>
      <c r="M141" s="29"/>
      <c r="N141" s="30"/>
      <c r="O141" s="30"/>
      <c r="P141" s="30"/>
      <c r="Q141" s="30"/>
      <c r="R141" s="30"/>
      <c r="S141" s="30"/>
      <c r="T141" s="30"/>
      <c r="U141" s="30"/>
      <c r="V141" s="31"/>
      <c r="W141" s="29"/>
      <c r="X141" s="29"/>
      <c r="Y141" s="29"/>
      <c r="Z141" s="29"/>
      <c r="AA141" s="30"/>
      <c r="AB141" s="30"/>
      <c r="AC141" s="30"/>
      <c r="AD141" s="30"/>
      <c r="AE141" s="30"/>
      <c r="AF141" s="32"/>
      <c r="AG141" s="33"/>
      <c r="AH141" s="33"/>
      <c r="AI141" s="29"/>
      <c r="AJ141" s="32"/>
      <c r="AK141" s="32"/>
      <c r="AL141" s="29"/>
      <c r="AN141" s="34" t="str">
        <f aca="false">IF($B141="","",IF(OR(C141="",D141="",E141="",G141="",I141="",J141="",L141="",O141="",P141=""),"Champ obligatoire manquant",IF(OR(AND(N141&lt;&gt;"",N141&gt;O141),O141&gt;P141,AND(Q141&lt;&gt;"",Q141&lt;P141),AND(R141&lt;&gt;"",R141&lt;P141),AND(S141&lt;&gt;"",S141&lt;R141),AND(S141&lt;&gt;"",R141=""),AND(T141&lt;&gt;"",T141&lt;O141),AND(U141&lt;&gt;"",U141&lt;O141)),"Chronologie incohérente",IF(AND(OR(L141="Résolu",L141="Clos"),R141=""),"Date de résolution manquante",IF(AND(L141="Clos",S141=""),"Date de clôture manquante",IF(AND(K141="Oui",AC141=""),"Classification DORA manquante","OK"))))))</f>
        <v/>
      </c>
      <c r="AO141" s="35" t="str">
        <f aca="false">IF($B141="","",IF(AND(C141="Incident",L141&lt;&gt;"Annulé"),1,0))</f>
        <v/>
      </c>
      <c r="AP141" s="35" t="str">
        <f aca="false">IF($B141="","",IF(AND(C141="Quasi-incident",L141&lt;&gt;"Annulé"),1,0))</f>
        <v/>
      </c>
      <c r="AQ141" s="35" t="str">
        <f aca="false">IF($B141="","",AO141+AP141)</f>
        <v/>
      </c>
      <c r="AR141" s="36" t="str">
        <f aca="false">IF(OR($B141="",J141=""),"",IFERROR(VALUE(LEFT(J141,1)),""))</f>
        <v/>
      </c>
      <c r="AS141" s="35" t="str">
        <f aca="false">IF(OR(AO141&lt;&gt;1,G141=""),"",IFERROR(IF(INDEX(L_SrcInterne,MATCH(G141,L_Sources,0))="Oui",1,0),""))</f>
        <v/>
      </c>
      <c r="AT141" s="37" t="str">
        <f aca="false">IF(AO141&lt;&gt;1,"",IFERROR(ROUND(IF(OR(N141="",O141=""),"",IF(O141&lt;N141,"",ROUND(((NETWORKDAYS(N141,O141,JoursFeries)-1)*(HFer-HOuv)+IF(NETWORKDAYS(O141,O141,JoursFeries),MEDIAN(MOD(O141,1),HFer,HOuv),HFer)-IF(NETWORKDAYS(N141,N141,JoursFeries),MEDIAN(MOD(N141,1),HFer,HOuv),HOuv))*24,4)))/HJour,4),""))</f>
        <v/>
      </c>
      <c r="AU141" s="37" t="str">
        <f aca="false">IF(AO141&lt;&gt;1,"",IF(OR(O141="",P141=""),"",IF(P141&lt;O141,"",ROUND(((NETWORKDAYS(O141,P141,JoursFeries)-1)*(HFer-HOuv)+IF(NETWORKDAYS(P141,P141,JoursFeries),MEDIAN(MOD(P141,1),HFer,HOuv),HFer)-IF(NETWORKDAYS(O141,O141,JoursFeries),MEDIAN(MOD(O141,1),HFer,HOuv),HOuv))*24,4))))</f>
        <v/>
      </c>
      <c r="AV141" s="37" t="str">
        <f aca="false">IF(AO141&lt;&gt;1,"",IF(OR(P141="",Q141=""),"",IF(Q141&lt;P141,"",ROUND(((NETWORKDAYS(P141,Q141,JoursFeries)-1)*(HFer-HOuv)+IF(NETWORKDAYS(Q141,Q141,JoursFeries),MEDIAN(MOD(Q141,1),HFer,HOuv),HFer)-IF(NETWORKDAYS(P141,P141,JoursFeries),MEDIAN(MOD(P141,1),HFer,HOuv),HOuv))*24,4))))</f>
        <v/>
      </c>
      <c r="AW141" s="37" t="str">
        <f aca="false">IF(AO141&lt;&gt;1,"",IFERROR(ROUND(IF(OR(P141="",R141=""),"",IF(R141&lt;P141,"",ROUND(((NETWORKDAYS(P141,R141,JoursFeries)-1)*(HFer-HOuv)+IF(NETWORKDAYS(R141,R141,JoursFeries),MEDIAN(MOD(R141,1),HFer,HOuv),HFer)-IF(NETWORKDAYS(P141,P141,JoursFeries),MEDIAN(MOD(P141,1),HFer,HOuv),HOuv))*24,4)))/HJour,4),""))</f>
        <v/>
      </c>
      <c r="AX141" s="37" t="str">
        <f aca="false">IF(AO141&lt;&gt;1,"",IFERROR(ROUND(IF(OR(P141="",S141=""),"",IF(S141&lt;P141,"",ROUND(((NETWORKDAYS(P141,S141,JoursFeries)-1)*(HFer-HOuv)+IF(NETWORKDAYS(S141,S141,JoursFeries),MEDIAN(MOD(S141,1),HFer,HOuv),HFer)-IF(NETWORKDAYS(P141,P141,JoursFeries),MEDIAN(MOD(P141,1),HFer,HOuv),HOuv))*24,4)))/HJour,4),""))</f>
        <v/>
      </c>
      <c r="AY141" s="36" t="str">
        <f aca="false">IF(OR(AO141&lt;&gt;1,AR141=""),"",INDEX(SLA_PEC,AR141))</f>
        <v/>
      </c>
      <c r="AZ141" s="35" t="str">
        <f aca="false">IF(OR(AV141="",AY141=""),"",IF(AV141&lt;=AY141,1,0))</f>
        <v/>
      </c>
      <c r="BA141" s="36" t="str">
        <f aca="false">IF(OR(AO141&lt;&gt;1,AR141=""),"",INDEX(SLA_RES,AR141))</f>
        <v/>
      </c>
      <c r="BB141" s="35" t="str">
        <f aca="false">IF(OR(AW141="",BA141=""),"",IF(AW141&lt;=BA141,1,0))</f>
        <v/>
      </c>
      <c r="BC141" s="38" t="str">
        <f aca="false">IF(OR(BA141="",P141=""),"",WORKDAY(INT(P141),BA141,JoursFeries)+MOD(P141,1))</f>
        <v/>
      </c>
      <c r="BD141" s="39" t="str">
        <f aca="false">IF(AO141&lt;&gt;1,"",IF(OR(AB141&lt;&gt;"",AD141&lt;&gt;""),4,IF(U141&lt;&gt;"",3,IF(T141&lt;&gt;"",2,1))))</f>
        <v/>
      </c>
      <c r="BE141" s="39" t="str">
        <f aca="false">IF(OR(AO141&lt;&gt;1,AR141=""),"",INDEX(NIV_REQ,AR141))</f>
        <v/>
      </c>
      <c r="BF141" s="39" t="str">
        <f aca="false">IF(BE141="","",MAX(BE141,IF(OR(K141="Oui",Z141="Oui"),4,1)))</f>
        <v/>
      </c>
      <c r="BG141" s="35" t="str">
        <f aca="false">IF(OR(BF141="",BD141=""),"",IF(BD141&gt;=BF141,1,0))</f>
        <v/>
      </c>
      <c r="BH141" s="38" t="str">
        <f aca="false">IF(BE141="","",IF(BE141&lt;2,"",IF(BE141=2,IF(AND(T141="",U141=""),"",MIN(T141,U141)),IF(U141="","",U141))))</f>
        <v/>
      </c>
      <c r="BI141" s="37" t="str">
        <f aca="false">IF(BH141="","",IF(OR(O141="",BH141=""),"",IF(BH141&lt;O141,"",ROUND(((NETWORKDAYS(O141,BH141,JoursFeries)-1)*(HFer-HOuv)+IF(NETWORKDAYS(BH141,BH141,JoursFeries),MEDIAN(MOD(BH141,1),HFer,HOuv),HFer)-IF(NETWORKDAYS(O141,O141,JoursFeries),MEDIAN(MOD(O141,1),HFer,HOuv),HOuv))*24,4))))</f>
        <v/>
      </c>
      <c r="BJ141" s="35" t="str">
        <f aca="false">IF(OR(BI141="",AR141=""),"",IF(BI141&lt;=INDEX(DELAI_ESC,AR141),1,0))</f>
        <v/>
      </c>
      <c r="BK141" s="38" t="str">
        <f aca="false">IF(AO141&lt;&gt;1,"",IF(AND(T141="",U141=""),"",MIN(T141,U141)))</f>
        <v/>
      </c>
      <c r="BL141" s="37" t="str">
        <f aca="false">IF(OR(BK141="",R141=""),"",IFERROR(ROUND(IF(OR(BK141="",R141=""),"",IF(R141&lt;BK141,"",ROUND(((NETWORKDAYS(BK141,R141,JoursFeries)-1)*(HFer-HOuv)+IF(NETWORKDAYS(R141,R141,JoursFeries),MEDIAN(MOD(R141,1),HFer,HOuv),HFer)-IF(NETWORKDAYS(BK141,BK141,JoursFeries),MEDIAN(MOD(BK141,1),HFer,HOuv),HOuv))*24,4)))/HJour,4),""))</f>
        <v/>
      </c>
      <c r="BM141" s="35" t="str">
        <f aca="false">IF(OR(AO141&lt;&gt;1,R141=""),"",IF(BD141=1,1,0))</f>
        <v/>
      </c>
      <c r="BN141" s="35" t="str">
        <f aca="false">IF(AO141&lt;&gt;1,"",IF(W141="Oui",1,0))</f>
        <v/>
      </c>
      <c r="BO141" s="35" t="str">
        <f aca="false">IF(AO141&lt;&gt;1,"",IF(X141&lt;&gt;"",1,0))</f>
        <v/>
      </c>
      <c r="BP141" s="35" t="str">
        <f aca="false">IF(AO141&lt;&gt;1,"",IF(Y141="Oui",1,0))</f>
        <v/>
      </c>
      <c r="BQ141" s="35" t="str">
        <f aca="true">IF(OR(AO141&lt;&gt;1,Z141&lt;&gt;"Oui"),"",IF(AB141="",IF(AND(AA141&lt;&gt;"",NOW()&gt;AA141),0,""),IF(AA141="","",IF(AB141&lt;=AA141,1,0))))</f>
        <v/>
      </c>
      <c r="BR141" s="38" t="str">
        <f aca="false">IF(OR(AO141&lt;&gt;1,K141&lt;&gt;"Oui",O141=""),"",IF(AC141="",O141+DORA_H_DET/24,IF(AC141-O141&lt;=DORA_H_DET/24,MIN(AC141+DORA_H_CLA/24,O141+DORA_H_DET/24),AC141+DORA_H_CLA/24)))</f>
        <v/>
      </c>
      <c r="BS141" s="35" t="str">
        <f aca="true">IF(BR141="","",IF(AD141="",IF(NOW()&gt;BR141,0,""),IF(AD141&lt;=BR141,1,0)))</f>
        <v/>
      </c>
      <c r="BT141" s="35" t="str">
        <f aca="true">IF(OR(BR141="",AD141=""),"",IF(AE141="",IF(NOW()&gt;AD141+DORA_H_INT/24,0,""),IF(AE141&lt;=AD141+DORA_H_INT/24,1,0)))</f>
        <v/>
      </c>
      <c r="BU141" s="35" t="str">
        <f aca="true">IF(OR(BR141="",AE141=""),"",IF(AF141="",IF(NOW()&gt;EDATE(AE141,DORA_M_FIN)+1,0,""),IF(AF141&lt;=EDATE(AE141,DORA_M_FIN),1,0)))</f>
        <v/>
      </c>
      <c r="BV141" s="35" t="str">
        <f aca="false">IF(BR141="","",IF(COUNT(BS141:BU141)=0,"",MIN(BS141:BU141)))</f>
        <v/>
      </c>
      <c r="BW141" s="40" t="str">
        <f aca="false">IF(AQ141&lt;&gt;1,"",IF(AND(AG141="",AH141=""),"",N(AG141)-N(AH141)))</f>
        <v/>
      </c>
      <c r="BX141" s="35" t="str">
        <f aca="true">IF(OR(AQ141&lt;&gt;1,AI141&lt;&gt;"Oui",AJ141=""),"",IF(AK141="",IF(NOW()&gt;AJ141+1,0,""),IF(AK141&lt;=AJ141,1,0)))</f>
        <v/>
      </c>
    </row>
    <row r="142" customFormat="false" ht="15" hidden="false" customHeight="false" outlineLevel="0" collapsed="false">
      <c r="B142" s="29"/>
      <c r="C142" s="29"/>
      <c r="D142" s="29"/>
      <c r="E142" s="29"/>
      <c r="F142" s="29"/>
      <c r="G142" s="29"/>
      <c r="H142" s="29"/>
      <c r="I142" s="29"/>
      <c r="J142" s="29"/>
      <c r="K142" s="29"/>
      <c r="L142" s="29"/>
      <c r="M142" s="29"/>
      <c r="N142" s="30"/>
      <c r="O142" s="30"/>
      <c r="P142" s="30"/>
      <c r="Q142" s="30"/>
      <c r="R142" s="30"/>
      <c r="S142" s="30"/>
      <c r="T142" s="30"/>
      <c r="U142" s="30"/>
      <c r="V142" s="31"/>
      <c r="W142" s="29"/>
      <c r="X142" s="29"/>
      <c r="Y142" s="29"/>
      <c r="Z142" s="29"/>
      <c r="AA142" s="30"/>
      <c r="AB142" s="30"/>
      <c r="AC142" s="30"/>
      <c r="AD142" s="30"/>
      <c r="AE142" s="30"/>
      <c r="AF142" s="32"/>
      <c r="AG142" s="33"/>
      <c r="AH142" s="33"/>
      <c r="AI142" s="29"/>
      <c r="AJ142" s="32"/>
      <c r="AK142" s="32"/>
      <c r="AL142" s="29"/>
      <c r="AN142" s="34" t="str">
        <f aca="false">IF($B142="","",IF(OR(C142="",D142="",E142="",G142="",I142="",J142="",L142="",O142="",P142=""),"Champ obligatoire manquant",IF(OR(AND(N142&lt;&gt;"",N142&gt;O142),O142&gt;P142,AND(Q142&lt;&gt;"",Q142&lt;P142),AND(R142&lt;&gt;"",R142&lt;P142),AND(S142&lt;&gt;"",S142&lt;R142),AND(S142&lt;&gt;"",R142=""),AND(T142&lt;&gt;"",T142&lt;O142),AND(U142&lt;&gt;"",U142&lt;O142)),"Chronologie incohérente",IF(AND(OR(L142="Résolu",L142="Clos"),R142=""),"Date de résolution manquante",IF(AND(L142="Clos",S142=""),"Date de clôture manquante",IF(AND(K142="Oui",AC142=""),"Classification DORA manquante","OK"))))))</f>
        <v/>
      </c>
      <c r="AO142" s="35" t="str">
        <f aca="false">IF($B142="","",IF(AND(C142="Incident",L142&lt;&gt;"Annulé"),1,0))</f>
        <v/>
      </c>
      <c r="AP142" s="35" t="str">
        <f aca="false">IF($B142="","",IF(AND(C142="Quasi-incident",L142&lt;&gt;"Annulé"),1,0))</f>
        <v/>
      </c>
      <c r="AQ142" s="35" t="str">
        <f aca="false">IF($B142="","",AO142+AP142)</f>
        <v/>
      </c>
      <c r="AR142" s="36" t="str">
        <f aca="false">IF(OR($B142="",J142=""),"",IFERROR(VALUE(LEFT(J142,1)),""))</f>
        <v/>
      </c>
      <c r="AS142" s="35" t="str">
        <f aca="false">IF(OR(AO142&lt;&gt;1,G142=""),"",IFERROR(IF(INDEX(L_SrcInterne,MATCH(G142,L_Sources,0))="Oui",1,0),""))</f>
        <v/>
      </c>
      <c r="AT142" s="37" t="str">
        <f aca="false">IF(AO142&lt;&gt;1,"",IFERROR(ROUND(IF(OR(N142="",O142=""),"",IF(O142&lt;N142,"",ROUND(((NETWORKDAYS(N142,O142,JoursFeries)-1)*(HFer-HOuv)+IF(NETWORKDAYS(O142,O142,JoursFeries),MEDIAN(MOD(O142,1),HFer,HOuv),HFer)-IF(NETWORKDAYS(N142,N142,JoursFeries),MEDIAN(MOD(N142,1),HFer,HOuv),HOuv))*24,4)))/HJour,4),""))</f>
        <v/>
      </c>
      <c r="AU142" s="37" t="str">
        <f aca="false">IF(AO142&lt;&gt;1,"",IF(OR(O142="",P142=""),"",IF(P142&lt;O142,"",ROUND(((NETWORKDAYS(O142,P142,JoursFeries)-1)*(HFer-HOuv)+IF(NETWORKDAYS(P142,P142,JoursFeries),MEDIAN(MOD(P142,1),HFer,HOuv),HFer)-IF(NETWORKDAYS(O142,O142,JoursFeries),MEDIAN(MOD(O142,1),HFer,HOuv),HOuv))*24,4))))</f>
        <v/>
      </c>
      <c r="AV142" s="37" t="str">
        <f aca="false">IF(AO142&lt;&gt;1,"",IF(OR(P142="",Q142=""),"",IF(Q142&lt;P142,"",ROUND(((NETWORKDAYS(P142,Q142,JoursFeries)-1)*(HFer-HOuv)+IF(NETWORKDAYS(Q142,Q142,JoursFeries),MEDIAN(MOD(Q142,1),HFer,HOuv),HFer)-IF(NETWORKDAYS(P142,P142,JoursFeries),MEDIAN(MOD(P142,1),HFer,HOuv),HOuv))*24,4))))</f>
        <v/>
      </c>
      <c r="AW142" s="37" t="str">
        <f aca="false">IF(AO142&lt;&gt;1,"",IFERROR(ROUND(IF(OR(P142="",R142=""),"",IF(R142&lt;P142,"",ROUND(((NETWORKDAYS(P142,R142,JoursFeries)-1)*(HFer-HOuv)+IF(NETWORKDAYS(R142,R142,JoursFeries),MEDIAN(MOD(R142,1),HFer,HOuv),HFer)-IF(NETWORKDAYS(P142,P142,JoursFeries),MEDIAN(MOD(P142,1),HFer,HOuv),HOuv))*24,4)))/HJour,4),""))</f>
        <v/>
      </c>
      <c r="AX142" s="37" t="str">
        <f aca="false">IF(AO142&lt;&gt;1,"",IFERROR(ROUND(IF(OR(P142="",S142=""),"",IF(S142&lt;P142,"",ROUND(((NETWORKDAYS(P142,S142,JoursFeries)-1)*(HFer-HOuv)+IF(NETWORKDAYS(S142,S142,JoursFeries),MEDIAN(MOD(S142,1),HFer,HOuv),HFer)-IF(NETWORKDAYS(P142,P142,JoursFeries),MEDIAN(MOD(P142,1),HFer,HOuv),HOuv))*24,4)))/HJour,4),""))</f>
        <v/>
      </c>
      <c r="AY142" s="36" t="str">
        <f aca="false">IF(OR(AO142&lt;&gt;1,AR142=""),"",INDEX(SLA_PEC,AR142))</f>
        <v/>
      </c>
      <c r="AZ142" s="35" t="str">
        <f aca="false">IF(OR(AV142="",AY142=""),"",IF(AV142&lt;=AY142,1,0))</f>
        <v/>
      </c>
      <c r="BA142" s="36" t="str">
        <f aca="false">IF(OR(AO142&lt;&gt;1,AR142=""),"",INDEX(SLA_RES,AR142))</f>
        <v/>
      </c>
      <c r="BB142" s="35" t="str">
        <f aca="false">IF(OR(AW142="",BA142=""),"",IF(AW142&lt;=BA142,1,0))</f>
        <v/>
      </c>
      <c r="BC142" s="38" t="str">
        <f aca="false">IF(OR(BA142="",P142=""),"",WORKDAY(INT(P142),BA142,JoursFeries)+MOD(P142,1))</f>
        <v/>
      </c>
      <c r="BD142" s="39" t="str">
        <f aca="false">IF(AO142&lt;&gt;1,"",IF(OR(AB142&lt;&gt;"",AD142&lt;&gt;""),4,IF(U142&lt;&gt;"",3,IF(T142&lt;&gt;"",2,1))))</f>
        <v/>
      </c>
      <c r="BE142" s="39" t="str">
        <f aca="false">IF(OR(AO142&lt;&gt;1,AR142=""),"",INDEX(NIV_REQ,AR142))</f>
        <v/>
      </c>
      <c r="BF142" s="39" t="str">
        <f aca="false">IF(BE142="","",MAX(BE142,IF(OR(K142="Oui",Z142="Oui"),4,1)))</f>
        <v/>
      </c>
      <c r="BG142" s="35" t="str">
        <f aca="false">IF(OR(BF142="",BD142=""),"",IF(BD142&gt;=BF142,1,0))</f>
        <v/>
      </c>
      <c r="BH142" s="38" t="str">
        <f aca="false">IF(BE142="","",IF(BE142&lt;2,"",IF(BE142=2,IF(AND(T142="",U142=""),"",MIN(T142,U142)),IF(U142="","",U142))))</f>
        <v/>
      </c>
      <c r="BI142" s="37" t="str">
        <f aca="false">IF(BH142="","",IF(OR(O142="",BH142=""),"",IF(BH142&lt;O142,"",ROUND(((NETWORKDAYS(O142,BH142,JoursFeries)-1)*(HFer-HOuv)+IF(NETWORKDAYS(BH142,BH142,JoursFeries),MEDIAN(MOD(BH142,1),HFer,HOuv),HFer)-IF(NETWORKDAYS(O142,O142,JoursFeries),MEDIAN(MOD(O142,1),HFer,HOuv),HOuv))*24,4))))</f>
        <v/>
      </c>
      <c r="BJ142" s="35" t="str">
        <f aca="false">IF(OR(BI142="",AR142=""),"",IF(BI142&lt;=INDEX(DELAI_ESC,AR142),1,0))</f>
        <v/>
      </c>
      <c r="BK142" s="38" t="str">
        <f aca="false">IF(AO142&lt;&gt;1,"",IF(AND(T142="",U142=""),"",MIN(T142,U142)))</f>
        <v/>
      </c>
      <c r="BL142" s="37" t="str">
        <f aca="false">IF(OR(BK142="",R142=""),"",IFERROR(ROUND(IF(OR(BK142="",R142=""),"",IF(R142&lt;BK142,"",ROUND(((NETWORKDAYS(BK142,R142,JoursFeries)-1)*(HFer-HOuv)+IF(NETWORKDAYS(R142,R142,JoursFeries),MEDIAN(MOD(R142,1),HFer,HOuv),HFer)-IF(NETWORKDAYS(BK142,BK142,JoursFeries),MEDIAN(MOD(BK142,1),HFer,HOuv),HOuv))*24,4)))/HJour,4),""))</f>
        <v/>
      </c>
      <c r="BM142" s="35" t="str">
        <f aca="false">IF(OR(AO142&lt;&gt;1,R142=""),"",IF(BD142=1,1,0))</f>
        <v/>
      </c>
      <c r="BN142" s="35" t="str">
        <f aca="false">IF(AO142&lt;&gt;1,"",IF(W142="Oui",1,0))</f>
        <v/>
      </c>
      <c r="BO142" s="35" t="str">
        <f aca="false">IF(AO142&lt;&gt;1,"",IF(X142&lt;&gt;"",1,0))</f>
        <v/>
      </c>
      <c r="BP142" s="35" t="str">
        <f aca="false">IF(AO142&lt;&gt;1,"",IF(Y142="Oui",1,0))</f>
        <v/>
      </c>
      <c r="BQ142" s="35" t="str">
        <f aca="true">IF(OR(AO142&lt;&gt;1,Z142&lt;&gt;"Oui"),"",IF(AB142="",IF(AND(AA142&lt;&gt;"",NOW()&gt;AA142),0,""),IF(AA142="","",IF(AB142&lt;=AA142,1,0))))</f>
        <v/>
      </c>
      <c r="BR142" s="38" t="str">
        <f aca="false">IF(OR(AO142&lt;&gt;1,K142&lt;&gt;"Oui",O142=""),"",IF(AC142="",O142+DORA_H_DET/24,IF(AC142-O142&lt;=DORA_H_DET/24,MIN(AC142+DORA_H_CLA/24,O142+DORA_H_DET/24),AC142+DORA_H_CLA/24)))</f>
        <v/>
      </c>
      <c r="BS142" s="35" t="str">
        <f aca="true">IF(BR142="","",IF(AD142="",IF(NOW()&gt;BR142,0,""),IF(AD142&lt;=BR142,1,0)))</f>
        <v/>
      </c>
      <c r="BT142" s="35" t="str">
        <f aca="true">IF(OR(BR142="",AD142=""),"",IF(AE142="",IF(NOW()&gt;AD142+DORA_H_INT/24,0,""),IF(AE142&lt;=AD142+DORA_H_INT/24,1,0)))</f>
        <v/>
      </c>
      <c r="BU142" s="35" t="str">
        <f aca="true">IF(OR(BR142="",AE142=""),"",IF(AF142="",IF(NOW()&gt;EDATE(AE142,DORA_M_FIN)+1,0,""),IF(AF142&lt;=EDATE(AE142,DORA_M_FIN),1,0)))</f>
        <v/>
      </c>
      <c r="BV142" s="35" t="str">
        <f aca="false">IF(BR142="","",IF(COUNT(BS142:BU142)=0,"",MIN(BS142:BU142)))</f>
        <v/>
      </c>
      <c r="BW142" s="40" t="str">
        <f aca="false">IF(AQ142&lt;&gt;1,"",IF(AND(AG142="",AH142=""),"",N(AG142)-N(AH142)))</f>
        <v/>
      </c>
      <c r="BX142" s="35" t="str">
        <f aca="true">IF(OR(AQ142&lt;&gt;1,AI142&lt;&gt;"Oui",AJ142=""),"",IF(AK142="",IF(NOW()&gt;AJ142+1,0,""),IF(AK142&lt;=AJ142,1,0)))</f>
        <v/>
      </c>
    </row>
    <row r="143" customFormat="false" ht="15" hidden="false" customHeight="false" outlineLevel="0" collapsed="false">
      <c r="B143" s="29"/>
      <c r="C143" s="29"/>
      <c r="D143" s="29"/>
      <c r="E143" s="29"/>
      <c r="F143" s="29"/>
      <c r="G143" s="29"/>
      <c r="H143" s="29"/>
      <c r="I143" s="29"/>
      <c r="J143" s="29"/>
      <c r="K143" s="29"/>
      <c r="L143" s="29"/>
      <c r="M143" s="29"/>
      <c r="N143" s="30"/>
      <c r="O143" s="30"/>
      <c r="P143" s="30"/>
      <c r="Q143" s="30"/>
      <c r="R143" s="30"/>
      <c r="S143" s="30"/>
      <c r="T143" s="30"/>
      <c r="U143" s="30"/>
      <c r="V143" s="31"/>
      <c r="W143" s="29"/>
      <c r="X143" s="29"/>
      <c r="Y143" s="29"/>
      <c r="Z143" s="29"/>
      <c r="AA143" s="30"/>
      <c r="AB143" s="30"/>
      <c r="AC143" s="30"/>
      <c r="AD143" s="30"/>
      <c r="AE143" s="30"/>
      <c r="AF143" s="32"/>
      <c r="AG143" s="33"/>
      <c r="AH143" s="33"/>
      <c r="AI143" s="29"/>
      <c r="AJ143" s="32"/>
      <c r="AK143" s="32"/>
      <c r="AL143" s="29"/>
      <c r="AN143" s="34" t="str">
        <f aca="false">IF($B143="","",IF(OR(C143="",D143="",E143="",G143="",I143="",J143="",L143="",O143="",P143=""),"Champ obligatoire manquant",IF(OR(AND(N143&lt;&gt;"",N143&gt;O143),O143&gt;P143,AND(Q143&lt;&gt;"",Q143&lt;P143),AND(R143&lt;&gt;"",R143&lt;P143),AND(S143&lt;&gt;"",S143&lt;R143),AND(S143&lt;&gt;"",R143=""),AND(T143&lt;&gt;"",T143&lt;O143),AND(U143&lt;&gt;"",U143&lt;O143)),"Chronologie incohérente",IF(AND(OR(L143="Résolu",L143="Clos"),R143=""),"Date de résolution manquante",IF(AND(L143="Clos",S143=""),"Date de clôture manquante",IF(AND(K143="Oui",AC143=""),"Classification DORA manquante","OK"))))))</f>
        <v/>
      </c>
      <c r="AO143" s="35" t="str">
        <f aca="false">IF($B143="","",IF(AND(C143="Incident",L143&lt;&gt;"Annulé"),1,0))</f>
        <v/>
      </c>
      <c r="AP143" s="35" t="str">
        <f aca="false">IF($B143="","",IF(AND(C143="Quasi-incident",L143&lt;&gt;"Annulé"),1,0))</f>
        <v/>
      </c>
      <c r="AQ143" s="35" t="str">
        <f aca="false">IF($B143="","",AO143+AP143)</f>
        <v/>
      </c>
      <c r="AR143" s="36" t="str">
        <f aca="false">IF(OR($B143="",J143=""),"",IFERROR(VALUE(LEFT(J143,1)),""))</f>
        <v/>
      </c>
      <c r="AS143" s="35" t="str">
        <f aca="false">IF(OR(AO143&lt;&gt;1,G143=""),"",IFERROR(IF(INDEX(L_SrcInterne,MATCH(G143,L_Sources,0))="Oui",1,0),""))</f>
        <v/>
      </c>
      <c r="AT143" s="37" t="str">
        <f aca="false">IF(AO143&lt;&gt;1,"",IFERROR(ROUND(IF(OR(N143="",O143=""),"",IF(O143&lt;N143,"",ROUND(((NETWORKDAYS(N143,O143,JoursFeries)-1)*(HFer-HOuv)+IF(NETWORKDAYS(O143,O143,JoursFeries),MEDIAN(MOD(O143,1),HFer,HOuv),HFer)-IF(NETWORKDAYS(N143,N143,JoursFeries),MEDIAN(MOD(N143,1),HFer,HOuv),HOuv))*24,4)))/HJour,4),""))</f>
        <v/>
      </c>
      <c r="AU143" s="37" t="str">
        <f aca="false">IF(AO143&lt;&gt;1,"",IF(OR(O143="",P143=""),"",IF(P143&lt;O143,"",ROUND(((NETWORKDAYS(O143,P143,JoursFeries)-1)*(HFer-HOuv)+IF(NETWORKDAYS(P143,P143,JoursFeries),MEDIAN(MOD(P143,1),HFer,HOuv),HFer)-IF(NETWORKDAYS(O143,O143,JoursFeries),MEDIAN(MOD(O143,1),HFer,HOuv),HOuv))*24,4))))</f>
        <v/>
      </c>
      <c r="AV143" s="37" t="str">
        <f aca="false">IF(AO143&lt;&gt;1,"",IF(OR(P143="",Q143=""),"",IF(Q143&lt;P143,"",ROUND(((NETWORKDAYS(P143,Q143,JoursFeries)-1)*(HFer-HOuv)+IF(NETWORKDAYS(Q143,Q143,JoursFeries),MEDIAN(MOD(Q143,1),HFer,HOuv),HFer)-IF(NETWORKDAYS(P143,P143,JoursFeries),MEDIAN(MOD(P143,1),HFer,HOuv),HOuv))*24,4))))</f>
        <v/>
      </c>
      <c r="AW143" s="37" t="str">
        <f aca="false">IF(AO143&lt;&gt;1,"",IFERROR(ROUND(IF(OR(P143="",R143=""),"",IF(R143&lt;P143,"",ROUND(((NETWORKDAYS(P143,R143,JoursFeries)-1)*(HFer-HOuv)+IF(NETWORKDAYS(R143,R143,JoursFeries),MEDIAN(MOD(R143,1),HFer,HOuv),HFer)-IF(NETWORKDAYS(P143,P143,JoursFeries),MEDIAN(MOD(P143,1),HFer,HOuv),HOuv))*24,4)))/HJour,4),""))</f>
        <v/>
      </c>
      <c r="AX143" s="37" t="str">
        <f aca="false">IF(AO143&lt;&gt;1,"",IFERROR(ROUND(IF(OR(P143="",S143=""),"",IF(S143&lt;P143,"",ROUND(((NETWORKDAYS(P143,S143,JoursFeries)-1)*(HFer-HOuv)+IF(NETWORKDAYS(S143,S143,JoursFeries),MEDIAN(MOD(S143,1),HFer,HOuv),HFer)-IF(NETWORKDAYS(P143,P143,JoursFeries),MEDIAN(MOD(P143,1),HFer,HOuv),HOuv))*24,4)))/HJour,4),""))</f>
        <v/>
      </c>
      <c r="AY143" s="36" t="str">
        <f aca="false">IF(OR(AO143&lt;&gt;1,AR143=""),"",INDEX(SLA_PEC,AR143))</f>
        <v/>
      </c>
      <c r="AZ143" s="35" t="str">
        <f aca="false">IF(OR(AV143="",AY143=""),"",IF(AV143&lt;=AY143,1,0))</f>
        <v/>
      </c>
      <c r="BA143" s="36" t="str">
        <f aca="false">IF(OR(AO143&lt;&gt;1,AR143=""),"",INDEX(SLA_RES,AR143))</f>
        <v/>
      </c>
      <c r="BB143" s="35" t="str">
        <f aca="false">IF(OR(AW143="",BA143=""),"",IF(AW143&lt;=BA143,1,0))</f>
        <v/>
      </c>
      <c r="BC143" s="38" t="str">
        <f aca="false">IF(OR(BA143="",P143=""),"",WORKDAY(INT(P143),BA143,JoursFeries)+MOD(P143,1))</f>
        <v/>
      </c>
      <c r="BD143" s="39" t="str">
        <f aca="false">IF(AO143&lt;&gt;1,"",IF(OR(AB143&lt;&gt;"",AD143&lt;&gt;""),4,IF(U143&lt;&gt;"",3,IF(T143&lt;&gt;"",2,1))))</f>
        <v/>
      </c>
      <c r="BE143" s="39" t="str">
        <f aca="false">IF(OR(AO143&lt;&gt;1,AR143=""),"",INDEX(NIV_REQ,AR143))</f>
        <v/>
      </c>
      <c r="BF143" s="39" t="str">
        <f aca="false">IF(BE143="","",MAX(BE143,IF(OR(K143="Oui",Z143="Oui"),4,1)))</f>
        <v/>
      </c>
      <c r="BG143" s="35" t="str">
        <f aca="false">IF(OR(BF143="",BD143=""),"",IF(BD143&gt;=BF143,1,0))</f>
        <v/>
      </c>
      <c r="BH143" s="38" t="str">
        <f aca="false">IF(BE143="","",IF(BE143&lt;2,"",IF(BE143=2,IF(AND(T143="",U143=""),"",MIN(T143,U143)),IF(U143="","",U143))))</f>
        <v/>
      </c>
      <c r="BI143" s="37" t="str">
        <f aca="false">IF(BH143="","",IF(OR(O143="",BH143=""),"",IF(BH143&lt;O143,"",ROUND(((NETWORKDAYS(O143,BH143,JoursFeries)-1)*(HFer-HOuv)+IF(NETWORKDAYS(BH143,BH143,JoursFeries),MEDIAN(MOD(BH143,1),HFer,HOuv),HFer)-IF(NETWORKDAYS(O143,O143,JoursFeries),MEDIAN(MOD(O143,1),HFer,HOuv),HOuv))*24,4))))</f>
        <v/>
      </c>
      <c r="BJ143" s="35" t="str">
        <f aca="false">IF(OR(BI143="",AR143=""),"",IF(BI143&lt;=INDEX(DELAI_ESC,AR143),1,0))</f>
        <v/>
      </c>
      <c r="BK143" s="38" t="str">
        <f aca="false">IF(AO143&lt;&gt;1,"",IF(AND(T143="",U143=""),"",MIN(T143,U143)))</f>
        <v/>
      </c>
      <c r="BL143" s="37" t="str">
        <f aca="false">IF(OR(BK143="",R143=""),"",IFERROR(ROUND(IF(OR(BK143="",R143=""),"",IF(R143&lt;BK143,"",ROUND(((NETWORKDAYS(BK143,R143,JoursFeries)-1)*(HFer-HOuv)+IF(NETWORKDAYS(R143,R143,JoursFeries),MEDIAN(MOD(R143,1),HFer,HOuv),HFer)-IF(NETWORKDAYS(BK143,BK143,JoursFeries),MEDIAN(MOD(BK143,1),HFer,HOuv),HOuv))*24,4)))/HJour,4),""))</f>
        <v/>
      </c>
      <c r="BM143" s="35" t="str">
        <f aca="false">IF(OR(AO143&lt;&gt;1,R143=""),"",IF(BD143=1,1,0))</f>
        <v/>
      </c>
      <c r="BN143" s="35" t="str">
        <f aca="false">IF(AO143&lt;&gt;1,"",IF(W143="Oui",1,0))</f>
        <v/>
      </c>
      <c r="BO143" s="35" t="str">
        <f aca="false">IF(AO143&lt;&gt;1,"",IF(X143&lt;&gt;"",1,0))</f>
        <v/>
      </c>
      <c r="BP143" s="35" t="str">
        <f aca="false">IF(AO143&lt;&gt;1,"",IF(Y143="Oui",1,0))</f>
        <v/>
      </c>
      <c r="BQ143" s="35" t="str">
        <f aca="true">IF(OR(AO143&lt;&gt;1,Z143&lt;&gt;"Oui"),"",IF(AB143="",IF(AND(AA143&lt;&gt;"",NOW()&gt;AA143),0,""),IF(AA143="","",IF(AB143&lt;=AA143,1,0))))</f>
        <v/>
      </c>
      <c r="BR143" s="38" t="str">
        <f aca="false">IF(OR(AO143&lt;&gt;1,K143&lt;&gt;"Oui",O143=""),"",IF(AC143="",O143+DORA_H_DET/24,IF(AC143-O143&lt;=DORA_H_DET/24,MIN(AC143+DORA_H_CLA/24,O143+DORA_H_DET/24),AC143+DORA_H_CLA/24)))</f>
        <v/>
      </c>
      <c r="BS143" s="35" t="str">
        <f aca="true">IF(BR143="","",IF(AD143="",IF(NOW()&gt;BR143,0,""),IF(AD143&lt;=BR143,1,0)))</f>
        <v/>
      </c>
      <c r="BT143" s="35" t="str">
        <f aca="true">IF(OR(BR143="",AD143=""),"",IF(AE143="",IF(NOW()&gt;AD143+DORA_H_INT/24,0,""),IF(AE143&lt;=AD143+DORA_H_INT/24,1,0)))</f>
        <v/>
      </c>
      <c r="BU143" s="35" t="str">
        <f aca="true">IF(OR(BR143="",AE143=""),"",IF(AF143="",IF(NOW()&gt;EDATE(AE143,DORA_M_FIN)+1,0,""),IF(AF143&lt;=EDATE(AE143,DORA_M_FIN),1,0)))</f>
        <v/>
      </c>
      <c r="BV143" s="35" t="str">
        <f aca="false">IF(BR143="","",IF(COUNT(BS143:BU143)=0,"",MIN(BS143:BU143)))</f>
        <v/>
      </c>
      <c r="BW143" s="40" t="str">
        <f aca="false">IF(AQ143&lt;&gt;1,"",IF(AND(AG143="",AH143=""),"",N(AG143)-N(AH143)))</f>
        <v/>
      </c>
      <c r="BX143" s="35" t="str">
        <f aca="true">IF(OR(AQ143&lt;&gt;1,AI143&lt;&gt;"Oui",AJ143=""),"",IF(AK143="",IF(NOW()&gt;AJ143+1,0,""),IF(AK143&lt;=AJ143,1,0)))</f>
        <v/>
      </c>
    </row>
    <row r="144" customFormat="false" ht="15" hidden="false" customHeight="false" outlineLevel="0" collapsed="false">
      <c r="B144" s="29"/>
      <c r="C144" s="29"/>
      <c r="D144" s="29"/>
      <c r="E144" s="29"/>
      <c r="F144" s="29"/>
      <c r="G144" s="29"/>
      <c r="H144" s="29"/>
      <c r="I144" s="29"/>
      <c r="J144" s="29"/>
      <c r="K144" s="29"/>
      <c r="L144" s="29"/>
      <c r="M144" s="29"/>
      <c r="N144" s="30"/>
      <c r="O144" s="30"/>
      <c r="P144" s="30"/>
      <c r="Q144" s="30"/>
      <c r="R144" s="30"/>
      <c r="S144" s="30"/>
      <c r="T144" s="30"/>
      <c r="U144" s="30"/>
      <c r="V144" s="31"/>
      <c r="W144" s="29"/>
      <c r="X144" s="29"/>
      <c r="Y144" s="29"/>
      <c r="Z144" s="29"/>
      <c r="AA144" s="30"/>
      <c r="AB144" s="30"/>
      <c r="AC144" s="30"/>
      <c r="AD144" s="30"/>
      <c r="AE144" s="30"/>
      <c r="AF144" s="32"/>
      <c r="AG144" s="33"/>
      <c r="AH144" s="33"/>
      <c r="AI144" s="29"/>
      <c r="AJ144" s="32"/>
      <c r="AK144" s="32"/>
      <c r="AL144" s="29"/>
      <c r="AN144" s="34" t="str">
        <f aca="false">IF($B144="","",IF(OR(C144="",D144="",E144="",G144="",I144="",J144="",L144="",O144="",P144=""),"Champ obligatoire manquant",IF(OR(AND(N144&lt;&gt;"",N144&gt;O144),O144&gt;P144,AND(Q144&lt;&gt;"",Q144&lt;P144),AND(R144&lt;&gt;"",R144&lt;P144),AND(S144&lt;&gt;"",S144&lt;R144),AND(S144&lt;&gt;"",R144=""),AND(T144&lt;&gt;"",T144&lt;O144),AND(U144&lt;&gt;"",U144&lt;O144)),"Chronologie incohérente",IF(AND(OR(L144="Résolu",L144="Clos"),R144=""),"Date de résolution manquante",IF(AND(L144="Clos",S144=""),"Date de clôture manquante",IF(AND(K144="Oui",AC144=""),"Classification DORA manquante","OK"))))))</f>
        <v/>
      </c>
      <c r="AO144" s="35" t="str">
        <f aca="false">IF($B144="","",IF(AND(C144="Incident",L144&lt;&gt;"Annulé"),1,0))</f>
        <v/>
      </c>
      <c r="AP144" s="35" t="str">
        <f aca="false">IF($B144="","",IF(AND(C144="Quasi-incident",L144&lt;&gt;"Annulé"),1,0))</f>
        <v/>
      </c>
      <c r="AQ144" s="35" t="str">
        <f aca="false">IF($B144="","",AO144+AP144)</f>
        <v/>
      </c>
      <c r="AR144" s="36" t="str">
        <f aca="false">IF(OR($B144="",J144=""),"",IFERROR(VALUE(LEFT(J144,1)),""))</f>
        <v/>
      </c>
      <c r="AS144" s="35" t="str">
        <f aca="false">IF(OR(AO144&lt;&gt;1,G144=""),"",IFERROR(IF(INDEX(L_SrcInterne,MATCH(G144,L_Sources,0))="Oui",1,0),""))</f>
        <v/>
      </c>
      <c r="AT144" s="37" t="str">
        <f aca="false">IF(AO144&lt;&gt;1,"",IFERROR(ROUND(IF(OR(N144="",O144=""),"",IF(O144&lt;N144,"",ROUND(((NETWORKDAYS(N144,O144,JoursFeries)-1)*(HFer-HOuv)+IF(NETWORKDAYS(O144,O144,JoursFeries),MEDIAN(MOD(O144,1),HFer,HOuv),HFer)-IF(NETWORKDAYS(N144,N144,JoursFeries),MEDIAN(MOD(N144,1),HFer,HOuv),HOuv))*24,4)))/HJour,4),""))</f>
        <v/>
      </c>
      <c r="AU144" s="37" t="str">
        <f aca="false">IF(AO144&lt;&gt;1,"",IF(OR(O144="",P144=""),"",IF(P144&lt;O144,"",ROUND(((NETWORKDAYS(O144,P144,JoursFeries)-1)*(HFer-HOuv)+IF(NETWORKDAYS(P144,P144,JoursFeries),MEDIAN(MOD(P144,1),HFer,HOuv),HFer)-IF(NETWORKDAYS(O144,O144,JoursFeries),MEDIAN(MOD(O144,1),HFer,HOuv),HOuv))*24,4))))</f>
        <v/>
      </c>
      <c r="AV144" s="37" t="str">
        <f aca="false">IF(AO144&lt;&gt;1,"",IF(OR(P144="",Q144=""),"",IF(Q144&lt;P144,"",ROUND(((NETWORKDAYS(P144,Q144,JoursFeries)-1)*(HFer-HOuv)+IF(NETWORKDAYS(Q144,Q144,JoursFeries),MEDIAN(MOD(Q144,1),HFer,HOuv),HFer)-IF(NETWORKDAYS(P144,P144,JoursFeries),MEDIAN(MOD(P144,1),HFer,HOuv),HOuv))*24,4))))</f>
        <v/>
      </c>
      <c r="AW144" s="37" t="str">
        <f aca="false">IF(AO144&lt;&gt;1,"",IFERROR(ROUND(IF(OR(P144="",R144=""),"",IF(R144&lt;P144,"",ROUND(((NETWORKDAYS(P144,R144,JoursFeries)-1)*(HFer-HOuv)+IF(NETWORKDAYS(R144,R144,JoursFeries),MEDIAN(MOD(R144,1),HFer,HOuv),HFer)-IF(NETWORKDAYS(P144,P144,JoursFeries),MEDIAN(MOD(P144,1),HFer,HOuv),HOuv))*24,4)))/HJour,4),""))</f>
        <v/>
      </c>
      <c r="AX144" s="37" t="str">
        <f aca="false">IF(AO144&lt;&gt;1,"",IFERROR(ROUND(IF(OR(P144="",S144=""),"",IF(S144&lt;P144,"",ROUND(((NETWORKDAYS(P144,S144,JoursFeries)-1)*(HFer-HOuv)+IF(NETWORKDAYS(S144,S144,JoursFeries),MEDIAN(MOD(S144,1),HFer,HOuv),HFer)-IF(NETWORKDAYS(P144,P144,JoursFeries),MEDIAN(MOD(P144,1),HFer,HOuv),HOuv))*24,4)))/HJour,4),""))</f>
        <v/>
      </c>
      <c r="AY144" s="36" t="str">
        <f aca="false">IF(OR(AO144&lt;&gt;1,AR144=""),"",INDEX(SLA_PEC,AR144))</f>
        <v/>
      </c>
      <c r="AZ144" s="35" t="str">
        <f aca="false">IF(OR(AV144="",AY144=""),"",IF(AV144&lt;=AY144,1,0))</f>
        <v/>
      </c>
      <c r="BA144" s="36" t="str">
        <f aca="false">IF(OR(AO144&lt;&gt;1,AR144=""),"",INDEX(SLA_RES,AR144))</f>
        <v/>
      </c>
      <c r="BB144" s="35" t="str">
        <f aca="false">IF(OR(AW144="",BA144=""),"",IF(AW144&lt;=BA144,1,0))</f>
        <v/>
      </c>
      <c r="BC144" s="38" t="str">
        <f aca="false">IF(OR(BA144="",P144=""),"",WORKDAY(INT(P144),BA144,JoursFeries)+MOD(P144,1))</f>
        <v/>
      </c>
      <c r="BD144" s="39" t="str">
        <f aca="false">IF(AO144&lt;&gt;1,"",IF(OR(AB144&lt;&gt;"",AD144&lt;&gt;""),4,IF(U144&lt;&gt;"",3,IF(T144&lt;&gt;"",2,1))))</f>
        <v/>
      </c>
      <c r="BE144" s="39" t="str">
        <f aca="false">IF(OR(AO144&lt;&gt;1,AR144=""),"",INDEX(NIV_REQ,AR144))</f>
        <v/>
      </c>
      <c r="BF144" s="39" t="str">
        <f aca="false">IF(BE144="","",MAX(BE144,IF(OR(K144="Oui",Z144="Oui"),4,1)))</f>
        <v/>
      </c>
      <c r="BG144" s="35" t="str">
        <f aca="false">IF(OR(BF144="",BD144=""),"",IF(BD144&gt;=BF144,1,0))</f>
        <v/>
      </c>
      <c r="BH144" s="38" t="str">
        <f aca="false">IF(BE144="","",IF(BE144&lt;2,"",IF(BE144=2,IF(AND(T144="",U144=""),"",MIN(T144,U144)),IF(U144="","",U144))))</f>
        <v/>
      </c>
      <c r="BI144" s="37" t="str">
        <f aca="false">IF(BH144="","",IF(OR(O144="",BH144=""),"",IF(BH144&lt;O144,"",ROUND(((NETWORKDAYS(O144,BH144,JoursFeries)-1)*(HFer-HOuv)+IF(NETWORKDAYS(BH144,BH144,JoursFeries),MEDIAN(MOD(BH144,1),HFer,HOuv),HFer)-IF(NETWORKDAYS(O144,O144,JoursFeries),MEDIAN(MOD(O144,1),HFer,HOuv),HOuv))*24,4))))</f>
        <v/>
      </c>
      <c r="BJ144" s="35" t="str">
        <f aca="false">IF(OR(BI144="",AR144=""),"",IF(BI144&lt;=INDEX(DELAI_ESC,AR144),1,0))</f>
        <v/>
      </c>
      <c r="BK144" s="38" t="str">
        <f aca="false">IF(AO144&lt;&gt;1,"",IF(AND(T144="",U144=""),"",MIN(T144,U144)))</f>
        <v/>
      </c>
      <c r="BL144" s="37" t="str">
        <f aca="false">IF(OR(BK144="",R144=""),"",IFERROR(ROUND(IF(OR(BK144="",R144=""),"",IF(R144&lt;BK144,"",ROUND(((NETWORKDAYS(BK144,R144,JoursFeries)-1)*(HFer-HOuv)+IF(NETWORKDAYS(R144,R144,JoursFeries),MEDIAN(MOD(R144,1),HFer,HOuv),HFer)-IF(NETWORKDAYS(BK144,BK144,JoursFeries),MEDIAN(MOD(BK144,1),HFer,HOuv),HOuv))*24,4)))/HJour,4),""))</f>
        <v/>
      </c>
      <c r="BM144" s="35" t="str">
        <f aca="false">IF(OR(AO144&lt;&gt;1,R144=""),"",IF(BD144=1,1,0))</f>
        <v/>
      </c>
      <c r="BN144" s="35" t="str">
        <f aca="false">IF(AO144&lt;&gt;1,"",IF(W144="Oui",1,0))</f>
        <v/>
      </c>
      <c r="BO144" s="35" t="str">
        <f aca="false">IF(AO144&lt;&gt;1,"",IF(X144&lt;&gt;"",1,0))</f>
        <v/>
      </c>
      <c r="BP144" s="35" t="str">
        <f aca="false">IF(AO144&lt;&gt;1,"",IF(Y144="Oui",1,0))</f>
        <v/>
      </c>
      <c r="BQ144" s="35" t="str">
        <f aca="true">IF(OR(AO144&lt;&gt;1,Z144&lt;&gt;"Oui"),"",IF(AB144="",IF(AND(AA144&lt;&gt;"",NOW()&gt;AA144),0,""),IF(AA144="","",IF(AB144&lt;=AA144,1,0))))</f>
        <v/>
      </c>
      <c r="BR144" s="38" t="str">
        <f aca="false">IF(OR(AO144&lt;&gt;1,K144&lt;&gt;"Oui",O144=""),"",IF(AC144="",O144+DORA_H_DET/24,IF(AC144-O144&lt;=DORA_H_DET/24,MIN(AC144+DORA_H_CLA/24,O144+DORA_H_DET/24),AC144+DORA_H_CLA/24)))</f>
        <v/>
      </c>
      <c r="BS144" s="35" t="str">
        <f aca="true">IF(BR144="","",IF(AD144="",IF(NOW()&gt;BR144,0,""),IF(AD144&lt;=BR144,1,0)))</f>
        <v/>
      </c>
      <c r="BT144" s="35" t="str">
        <f aca="true">IF(OR(BR144="",AD144=""),"",IF(AE144="",IF(NOW()&gt;AD144+DORA_H_INT/24,0,""),IF(AE144&lt;=AD144+DORA_H_INT/24,1,0)))</f>
        <v/>
      </c>
      <c r="BU144" s="35" t="str">
        <f aca="true">IF(OR(BR144="",AE144=""),"",IF(AF144="",IF(NOW()&gt;EDATE(AE144,DORA_M_FIN)+1,0,""),IF(AF144&lt;=EDATE(AE144,DORA_M_FIN),1,0)))</f>
        <v/>
      </c>
      <c r="BV144" s="35" t="str">
        <f aca="false">IF(BR144="","",IF(COUNT(BS144:BU144)=0,"",MIN(BS144:BU144)))</f>
        <v/>
      </c>
      <c r="BW144" s="40" t="str">
        <f aca="false">IF(AQ144&lt;&gt;1,"",IF(AND(AG144="",AH144=""),"",N(AG144)-N(AH144)))</f>
        <v/>
      </c>
      <c r="BX144" s="35" t="str">
        <f aca="true">IF(OR(AQ144&lt;&gt;1,AI144&lt;&gt;"Oui",AJ144=""),"",IF(AK144="",IF(NOW()&gt;AJ144+1,0,""),IF(AK144&lt;=AJ144,1,0)))</f>
        <v/>
      </c>
    </row>
    <row r="145" customFormat="false" ht="15" hidden="false" customHeight="false" outlineLevel="0" collapsed="false">
      <c r="B145" s="29"/>
      <c r="C145" s="29"/>
      <c r="D145" s="29"/>
      <c r="E145" s="29"/>
      <c r="F145" s="29"/>
      <c r="G145" s="29"/>
      <c r="H145" s="29"/>
      <c r="I145" s="29"/>
      <c r="J145" s="29"/>
      <c r="K145" s="29"/>
      <c r="L145" s="29"/>
      <c r="M145" s="29"/>
      <c r="N145" s="30"/>
      <c r="O145" s="30"/>
      <c r="P145" s="30"/>
      <c r="Q145" s="30"/>
      <c r="R145" s="30"/>
      <c r="S145" s="30"/>
      <c r="T145" s="30"/>
      <c r="U145" s="30"/>
      <c r="V145" s="31"/>
      <c r="W145" s="29"/>
      <c r="X145" s="29"/>
      <c r="Y145" s="29"/>
      <c r="Z145" s="29"/>
      <c r="AA145" s="30"/>
      <c r="AB145" s="30"/>
      <c r="AC145" s="30"/>
      <c r="AD145" s="30"/>
      <c r="AE145" s="30"/>
      <c r="AF145" s="32"/>
      <c r="AG145" s="33"/>
      <c r="AH145" s="33"/>
      <c r="AI145" s="29"/>
      <c r="AJ145" s="32"/>
      <c r="AK145" s="32"/>
      <c r="AL145" s="29"/>
      <c r="AN145" s="34" t="str">
        <f aca="false">IF($B145="","",IF(OR(C145="",D145="",E145="",G145="",I145="",J145="",L145="",O145="",P145=""),"Champ obligatoire manquant",IF(OR(AND(N145&lt;&gt;"",N145&gt;O145),O145&gt;P145,AND(Q145&lt;&gt;"",Q145&lt;P145),AND(R145&lt;&gt;"",R145&lt;P145),AND(S145&lt;&gt;"",S145&lt;R145),AND(S145&lt;&gt;"",R145=""),AND(T145&lt;&gt;"",T145&lt;O145),AND(U145&lt;&gt;"",U145&lt;O145)),"Chronologie incohérente",IF(AND(OR(L145="Résolu",L145="Clos"),R145=""),"Date de résolution manquante",IF(AND(L145="Clos",S145=""),"Date de clôture manquante",IF(AND(K145="Oui",AC145=""),"Classification DORA manquante","OK"))))))</f>
        <v/>
      </c>
      <c r="AO145" s="35" t="str">
        <f aca="false">IF($B145="","",IF(AND(C145="Incident",L145&lt;&gt;"Annulé"),1,0))</f>
        <v/>
      </c>
      <c r="AP145" s="35" t="str">
        <f aca="false">IF($B145="","",IF(AND(C145="Quasi-incident",L145&lt;&gt;"Annulé"),1,0))</f>
        <v/>
      </c>
      <c r="AQ145" s="35" t="str">
        <f aca="false">IF($B145="","",AO145+AP145)</f>
        <v/>
      </c>
      <c r="AR145" s="36" t="str">
        <f aca="false">IF(OR($B145="",J145=""),"",IFERROR(VALUE(LEFT(J145,1)),""))</f>
        <v/>
      </c>
      <c r="AS145" s="35" t="str">
        <f aca="false">IF(OR(AO145&lt;&gt;1,G145=""),"",IFERROR(IF(INDEX(L_SrcInterne,MATCH(G145,L_Sources,0))="Oui",1,0),""))</f>
        <v/>
      </c>
      <c r="AT145" s="37" t="str">
        <f aca="false">IF(AO145&lt;&gt;1,"",IFERROR(ROUND(IF(OR(N145="",O145=""),"",IF(O145&lt;N145,"",ROUND(((NETWORKDAYS(N145,O145,JoursFeries)-1)*(HFer-HOuv)+IF(NETWORKDAYS(O145,O145,JoursFeries),MEDIAN(MOD(O145,1),HFer,HOuv),HFer)-IF(NETWORKDAYS(N145,N145,JoursFeries),MEDIAN(MOD(N145,1),HFer,HOuv),HOuv))*24,4)))/HJour,4),""))</f>
        <v/>
      </c>
      <c r="AU145" s="37" t="str">
        <f aca="false">IF(AO145&lt;&gt;1,"",IF(OR(O145="",P145=""),"",IF(P145&lt;O145,"",ROUND(((NETWORKDAYS(O145,P145,JoursFeries)-1)*(HFer-HOuv)+IF(NETWORKDAYS(P145,P145,JoursFeries),MEDIAN(MOD(P145,1),HFer,HOuv),HFer)-IF(NETWORKDAYS(O145,O145,JoursFeries),MEDIAN(MOD(O145,1),HFer,HOuv),HOuv))*24,4))))</f>
        <v/>
      </c>
      <c r="AV145" s="37" t="str">
        <f aca="false">IF(AO145&lt;&gt;1,"",IF(OR(P145="",Q145=""),"",IF(Q145&lt;P145,"",ROUND(((NETWORKDAYS(P145,Q145,JoursFeries)-1)*(HFer-HOuv)+IF(NETWORKDAYS(Q145,Q145,JoursFeries),MEDIAN(MOD(Q145,1),HFer,HOuv),HFer)-IF(NETWORKDAYS(P145,P145,JoursFeries),MEDIAN(MOD(P145,1),HFer,HOuv),HOuv))*24,4))))</f>
        <v/>
      </c>
      <c r="AW145" s="37" t="str">
        <f aca="false">IF(AO145&lt;&gt;1,"",IFERROR(ROUND(IF(OR(P145="",R145=""),"",IF(R145&lt;P145,"",ROUND(((NETWORKDAYS(P145,R145,JoursFeries)-1)*(HFer-HOuv)+IF(NETWORKDAYS(R145,R145,JoursFeries),MEDIAN(MOD(R145,1),HFer,HOuv),HFer)-IF(NETWORKDAYS(P145,P145,JoursFeries),MEDIAN(MOD(P145,1),HFer,HOuv),HOuv))*24,4)))/HJour,4),""))</f>
        <v/>
      </c>
      <c r="AX145" s="37" t="str">
        <f aca="false">IF(AO145&lt;&gt;1,"",IFERROR(ROUND(IF(OR(P145="",S145=""),"",IF(S145&lt;P145,"",ROUND(((NETWORKDAYS(P145,S145,JoursFeries)-1)*(HFer-HOuv)+IF(NETWORKDAYS(S145,S145,JoursFeries),MEDIAN(MOD(S145,1),HFer,HOuv),HFer)-IF(NETWORKDAYS(P145,P145,JoursFeries),MEDIAN(MOD(P145,1),HFer,HOuv),HOuv))*24,4)))/HJour,4),""))</f>
        <v/>
      </c>
      <c r="AY145" s="36" t="str">
        <f aca="false">IF(OR(AO145&lt;&gt;1,AR145=""),"",INDEX(SLA_PEC,AR145))</f>
        <v/>
      </c>
      <c r="AZ145" s="35" t="str">
        <f aca="false">IF(OR(AV145="",AY145=""),"",IF(AV145&lt;=AY145,1,0))</f>
        <v/>
      </c>
      <c r="BA145" s="36" t="str">
        <f aca="false">IF(OR(AO145&lt;&gt;1,AR145=""),"",INDEX(SLA_RES,AR145))</f>
        <v/>
      </c>
      <c r="BB145" s="35" t="str">
        <f aca="false">IF(OR(AW145="",BA145=""),"",IF(AW145&lt;=BA145,1,0))</f>
        <v/>
      </c>
      <c r="BC145" s="38" t="str">
        <f aca="false">IF(OR(BA145="",P145=""),"",WORKDAY(INT(P145),BA145,JoursFeries)+MOD(P145,1))</f>
        <v/>
      </c>
      <c r="BD145" s="39" t="str">
        <f aca="false">IF(AO145&lt;&gt;1,"",IF(OR(AB145&lt;&gt;"",AD145&lt;&gt;""),4,IF(U145&lt;&gt;"",3,IF(T145&lt;&gt;"",2,1))))</f>
        <v/>
      </c>
      <c r="BE145" s="39" t="str">
        <f aca="false">IF(OR(AO145&lt;&gt;1,AR145=""),"",INDEX(NIV_REQ,AR145))</f>
        <v/>
      </c>
      <c r="BF145" s="39" t="str">
        <f aca="false">IF(BE145="","",MAX(BE145,IF(OR(K145="Oui",Z145="Oui"),4,1)))</f>
        <v/>
      </c>
      <c r="BG145" s="35" t="str">
        <f aca="false">IF(OR(BF145="",BD145=""),"",IF(BD145&gt;=BF145,1,0))</f>
        <v/>
      </c>
      <c r="BH145" s="38" t="str">
        <f aca="false">IF(BE145="","",IF(BE145&lt;2,"",IF(BE145=2,IF(AND(T145="",U145=""),"",MIN(T145,U145)),IF(U145="","",U145))))</f>
        <v/>
      </c>
      <c r="BI145" s="37" t="str">
        <f aca="false">IF(BH145="","",IF(OR(O145="",BH145=""),"",IF(BH145&lt;O145,"",ROUND(((NETWORKDAYS(O145,BH145,JoursFeries)-1)*(HFer-HOuv)+IF(NETWORKDAYS(BH145,BH145,JoursFeries),MEDIAN(MOD(BH145,1),HFer,HOuv),HFer)-IF(NETWORKDAYS(O145,O145,JoursFeries),MEDIAN(MOD(O145,1),HFer,HOuv),HOuv))*24,4))))</f>
        <v/>
      </c>
      <c r="BJ145" s="35" t="str">
        <f aca="false">IF(OR(BI145="",AR145=""),"",IF(BI145&lt;=INDEX(DELAI_ESC,AR145),1,0))</f>
        <v/>
      </c>
      <c r="BK145" s="38" t="str">
        <f aca="false">IF(AO145&lt;&gt;1,"",IF(AND(T145="",U145=""),"",MIN(T145,U145)))</f>
        <v/>
      </c>
      <c r="BL145" s="37" t="str">
        <f aca="false">IF(OR(BK145="",R145=""),"",IFERROR(ROUND(IF(OR(BK145="",R145=""),"",IF(R145&lt;BK145,"",ROUND(((NETWORKDAYS(BK145,R145,JoursFeries)-1)*(HFer-HOuv)+IF(NETWORKDAYS(R145,R145,JoursFeries),MEDIAN(MOD(R145,1),HFer,HOuv),HFer)-IF(NETWORKDAYS(BK145,BK145,JoursFeries),MEDIAN(MOD(BK145,1),HFer,HOuv),HOuv))*24,4)))/HJour,4),""))</f>
        <v/>
      </c>
      <c r="BM145" s="35" t="str">
        <f aca="false">IF(OR(AO145&lt;&gt;1,R145=""),"",IF(BD145=1,1,0))</f>
        <v/>
      </c>
      <c r="BN145" s="35" t="str">
        <f aca="false">IF(AO145&lt;&gt;1,"",IF(W145="Oui",1,0))</f>
        <v/>
      </c>
      <c r="BO145" s="35" t="str">
        <f aca="false">IF(AO145&lt;&gt;1,"",IF(X145&lt;&gt;"",1,0))</f>
        <v/>
      </c>
      <c r="BP145" s="35" t="str">
        <f aca="false">IF(AO145&lt;&gt;1,"",IF(Y145="Oui",1,0))</f>
        <v/>
      </c>
      <c r="BQ145" s="35" t="str">
        <f aca="true">IF(OR(AO145&lt;&gt;1,Z145&lt;&gt;"Oui"),"",IF(AB145="",IF(AND(AA145&lt;&gt;"",NOW()&gt;AA145),0,""),IF(AA145="","",IF(AB145&lt;=AA145,1,0))))</f>
        <v/>
      </c>
      <c r="BR145" s="38" t="str">
        <f aca="false">IF(OR(AO145&lt;&gt;1,K145&lt;&gt;"Oui",O145=""),"",IF(AC145="",O145+DORA_H_DET/24,IF(AC145-O145&lt;=DORA_H_DET/24,MIN(AC145+DORA_H_CLA/24,O145+DORA_H_DET/24),AC145+DORA_H_CLA/24)))</f>
        <v/>
      </c>
      <c r="BS145" s="35" t="str">
        <f aca="true">IF(BR145="","",IF(AD145="",IF(NOW()&gt;BR145,0,""),IF(AD145&lt;=BR145,1,0)))</f>
        <v/>
      </c>
      <c r="BT145" s="35" t="str">
        <f aca="true">IF(OR(BR145="",AD145=""),"",IF(AE145="",IF(NOW()&gt;AD145+DORA_H_INT/24,0,""),IF(AE145&lt;=AD145+DORA_H_INT/24,1,0)))</f>
        <v/>
      </c>
      <c r="BU145" s="35" t="str">
        <f aca="true">IF(OR(BR145="",AE145=""),"",IF(AF145="",IF(NOW()&gt;EDATE(AE145,DORA_M_FIN)+1,0,""),IF(AF145&lt;=EDATE(AE145,DORA_M_FIN),1,0)))</f>
        <v/>
      </c>
      <c r="BV145" s="35" t="str">
        <f aca="false">IF(BR145="","",IF(COUNT(BS145:BU145)=0,"",MIN(BS145:BU145)))</f>
        <v/>
      </c>
      <c r="BW145" s="40" t="str">
        <f aca="false">IF(AQ145&lt;&gt;1,"",IF(AND(AG145="",AH145=""),"",N(AG145)-N(AH145)))</f>
        <v/>
      </c>
      <c r="BX145" s="35" t="str">
        <f aca="true">IF(OR(AQ145&lt;&gt;1,AI145&lt;&gt;"Oui",AJ145=""),"",IF(AK145="",IF(NOW()&gt;AJ145+1,0,""),IF(AK145&lt;=AJ145,1,0)))</f>
        <v/>
      </c>
    </row>
    <row r="146" customFormat="false" ht="15" hidden="false" customHeight="false" outlineLevel="0" collapsed="false">
      <c r="B146" s="29"/>
      <c r="C146" s="29"/>
      <c r="D146" s="29"/>
      <c r="E146" s="29"/>
      <c r="F146" s="29"/>
      <c r="G146" s="29"/>
      <c r="H146" s="29"/>
      <c r="I146" s="29"/>
      <c r="J146" s="29"/>
      <c r="K146" s="29"/>
      <c r="L146" s="29"/>
      <c r="M146" s="29"/>
      <c r="N146" s="30"/>
      <c r="O146" s="30"/>
      <c r="P146" s="30"/>
      <c r="Q146" s="30"/>
      <c r="R146" s="30"/>
      <c r="S146" s="30"/>
      <c r="T146" s="30"/>
      <c r="U146" s="30"/>
      <c r="V146" s="31"/>
      <c r="W146" s="29"/>
      <c r="X146" s="29"/>
      <c r="Y146" s="29"/>
      <c r="Z146" s="29"/>
      <c r="AA146" s="30"/>
      <c r="AB146" s="30"/>
      <c r="AC146" s="30"/>
      <c r="AD146" s="30"/>
      <c r="AE146" s="30"/>
      <c r="AF146" s="32"/>
      <c r="AG146" s="33"/>
      <c r="AH146" s="33"/>
      <c r="AI146" s="29"/>
      <c r="AJ146" s="32"/>
      <c r="AK146" s="32"/>
      <c r="AL146" s="29"/>
      <c r="AN146" s="34" t="str">
        <f aca="false">IF($B146="","",IF(OR(C146="",D146="",E146="",G146="",I146="",J146="",L146="",O146="",P146=""),"Champ obligatoire manquant",IF(OR(AND(N146&lt;&gt;"",N146&gt;O146),O146&gt;P146,AND(Q146&lt;&gt;"",Q146&lt;P146),AND(R146&lt;&gt;"",R146&lt;P146),AND(S146&lt;&gt;"",S146&lt;R146),AND(S146&lt;&gt;"",R146=""),AND(T146&lt;&gt;"",T146&lt;O146),AND(U146&lt;&gt;"",U146&lt;O146)),"Chronologie incohérente",IF(AND(OR(L146="Résolu",L146="Clos"),R146=""),"Date de résolution manquante",IF(AND(L146="Clos",S146=""),"Date de clôture manquante",IF(AND(K146="Oui",AC146=""),"Classification DORA manquante","OK"))))))</f>
        <v/>
      </c>
      <c r="AO146" s="35" t="str">
        <f aca="false">IF($B146="","",IF(AND(C146="Incident",L146&lt;&gt;"Annulé"),1,0))</f>
        <v/>
      </c>
      <c r="AP146" s="35" t="str">
        <f aca="false">IF($B146="","",IF(AND(C146="Quasi-incident",L146&lt;&gt;"Annulé"),1,0))</f>
        <v/>
      </c>
      <c r="AQ146" s="35" t="str">
        <f aca="false">IF($B146="","",AO146+AP146)</f>
        <v/>
      </c>
      <c r="AR146" s="36" t="str">
        <f aca="false">IF(OR($B146="",J146=""),"",IFERROR(VALUE(LEFT(J146,1)),""))</f>
        <v/>
      </c>
      <c r="AS146" s="35" t="str">
        <f aca="false">IF(OR(AO146&lt;&gt;1,G146=""),"",IFERROR(IF(INDEX(L_SrcInterne,MATCH(G146,L_Sources,0))="Oui",1,0),""))</f>
        <v/>
      </c>
      <c r="AT146" s="37" t="str">
        <f aca="false">IF(AO146&lt;&gt;1,"",IFERROR(ROUND(IF(OR(N146="",O146=""),"",IF(O146&lt;N146,"",ROUND(((NETWORKDAYS(N146,O146,JoursFeries)-1)*(HFer-HOuv)+IF(NETWORKDAYS(O146,O146,JoursFeries),MEDIAN(MOD(O146,1),HFer,HOuv),HFer)-IF(NETWORKDAYS(N146,N146,JoursFeries),MEDIAN(MOD(N146,1),HFer,HOuv),HOuv))*24,4)))/HJour,4),""))</f>
        <v/>
      </c>
      <c r="AU146" s="37" t="str">
        <f aca="false">IF(AO146&lt;&gt;1,"",IF(OR(O146="",P146=""),"",IF(P146&lt;O146,"",ROUND(((NETWORKDAYS(O146,P146,JoursFeries)-1)*(HFer-HOuv)+IF(NETWORKDAYS(P146,P146,JoursFeries),MEDIAN(MOD(P146,1),HFer,HOuv),HFer)-IF(NETWORKDAYS(O146,O146,JoursFeries),MEDIAN(MOD(O146,1),HFer,HOuv),HOuv))*24,4))))</f>
        <v/>
      </c>
      <c r="AV146" s="37" t="str">
        <f aca="false">IF(AO146&lt;&gt;1,"",IF(OR(P146="",Q146=""),"",IF(Q146&lt;P146,"",ROUND(((NETWORKDAYS(P146,Q146,JoursFeries)-1)*(HFer-HOuv)+IF(NETWORKDAYS(Q146,Q146,JoursFeries),MEDIAN(MOD(Q146,1),HFer,HOuv),HFer)-IF(NETWORKDAYS(P146,P146,JoursFeries),MEDIAN(MOD(P146,1),HFer,HOuv),HOuv))*24,4))))</f>
        <v/>
      </c>
      <c r="AW146" s="37" t="str">
        <f aca="false">IF(AO146&lt;&gt;1,"",IFERROR(ROUND(IF(OR(P146="",R146=""),"",IF(R146&lt;P146,"",ROUND(((NETWORKDAYS(P146,R146,JoursFeries)-1)*(HFer-HOuv)+IF(NETWORKDAYS(R146,R146,JoursFeries),MEDIAN(MOD(R146,1),HFer,HOuv),HFer)-IF(NETWORKDAYS(P146,P146,JoursFeries),MEDIAN(MOD(P146,1),HFer,HOuv),HOuv))*24,4)))/HJour,4),""))</f>
        <v/>
      </c>
      <c r="AX146" s="37" t="str">
        <f aca="false">IF(AO146&lt;&gt;1,"",IFERROR(ROUND(IF(OR(P146="",S146=""),"",IF(S146&lt;P146,"",ROUND(((NETWORKDAYS(P146,S146,JoursFeries)-1)*(HFer-HOuv)+IF(NETWORKDAYS(S146,S146,JoursFeries),MEDIAN(MOD(S146,1),HFer,HOuv),HFer)-IF(NETWORKDAYS(P146,P146,JoursFeries),MEDIAN(MOD(P146,1),HFer,HOuv),HOuv))*24,4)))/HJour,4),""))</f>
        <v/>
      </c>
      <c r="AY146" s="36" t="str">
        <f aca="false">IF(OR(AO146&lt;&gt;1,AR146=""),"",INDEX(SLA_PEC,AR146))</f>
        <v/>
      </c>
      <c r="AZ146" s="35" t="str">
        <f aca="false">IF(OR(AV146="",AY146=""),"",IF(AV146&lt;=AY146,1,0))</f>
        <v/>
      </c>
      <c r="BA146" s="36" t="str">
        <f aca="false">IF(OR(AO146&lt;&gt;1,AR146=""),"",INDEX(SLA_RES,AR146))</f>
        <v/>
      </c>
      <c r="BB146" s="35" t="str">
        <f aca="false">IF(OR(AW146="",BA146=""),"",IF(AW146&lt;=BA146,1,0))</f>
        <v/>
      </c>
      <c r="BC146" s="38" t="str">
        <f aca="false">IF(OR(BA146="",P146=""),"",WORKDAY(INT(P146),BA146,JoursFeries)+MOD(P146,1))</f>
        <v/>
      </c>
      <c r="BD146" s="39" t="str">
        <f aca="false">IF(AO146&lt;&gt;1,"",IF(OR(AB146&lt;&gt;"",AD146&lt;&gt;""),4,IF(U146&lt;&gt;"",3,IF(T146&lt;&gt;"",2,1))))</f>
        <v/>
      </c>
      <c r="BE146" s="39" t="str">
        <f aca="false">IF(OR(AO146&lt;&gt;1,AR146=""),"",INDEX(NIV_REQ,AR146))</f>
        <v/>
      </c>
      <c r="BF146" s="39" t="str">
        <f aca="false">IF(BE146="","",MAX(BE146,IF(OR(K146="Oui",Z146="Oui"),4,1)))</f>
        <v/>
      </c>
      <c r="BG146" s="35" t="str">
        <f aca="false">IF(OR(BF146="",BD146=""),"",IF(BD146&gt;=BF146,1,0))</f>
        <v/>
      </c>
      <c r="BH146" s="38" t="str">
        <f aca="false">IF(BE146="","",IF(BE146&lt;2,"",IF(BE146=2,IF(AND(T146="",U146=""),"",MIN(T146,U146)),IF(U146="","",U146))))</f>
        <v/>
      </c>
      <c r="BI146" s="37" t="str">
        <f aca="false">IF(BH146="","",IF(OR(O146="",BH146=""),"",IF(BH146&lt;O146,"",ROUND(((NETWORKDAYS(O146,BH146,JoursFeries)-1)*(HFer-HOuv)+IF(NETWORKDAYS(BH146,BH146,JoursFeries),MEDIAN(MOD(BH146,1),HFer,HOuv),HFer)-IF(NETWORKDAYS(O146,O146,JoursFeries),MEDIAN(MOD(O146,1),HFer,HOuv),HOuv))*24,4))))</f>
        <v/>
      </c>
      <c r="BJ146" s="35" t="str">
        <f aca="false">IF(OR(BI146="",AR146=""),"",IF(BI146&lt;=INDEX(DELAI_ESC,AR146),1,0))</f>
        <v/>
      </c>
      <c r="BK146" s="38" t="str">
        <f aca="false">IF(AO146&lt;&gt;1,"",IF(AND(T146="",U146=""),"",MIN(T146,U146)))</f>
        <v/>
      </c>
      <c r="BL146" s="37" t="str">
        <f aca="false">IF(OR(BK146="",R146=""),"",IFERROR(ROUND(IF(OR(BK146="",R146=""),"",IF(R146&lt;BK146,"",ROUND(((NETWORKDAYS(BK146,R146,JoursFeries)-1)*(HFer-HOuv)+IF(NETWORKDAYS(R146,R146,JoursFeries),MEDIAN(MOD(R146,1),HFer,HOuv),HFer)-IF(NETWORKDAYS(BK146,BK146,JoursFeries),MEDIAN(MOD(BK146,1),HFer,HOuv),HOuv))*24,4)))/HJour,4),""))</f>
        <v/>
      </c>
      <c r="BM146" s="35" t="str">
        <f aca="false">IF(OR(AO146&lt;&gt;1,R146=""),"",IF(BD146=1,1,0))</f>
        <v/>
      </c>
      <c r="BN146" s="35" t="str">
        <f aca="false">IF(AO146&lt;&gt;1,"",IF(W146="Oui",1,0))</f>
        <v/>
      </c>
      <c r="BO146" s="35" t="str">
        <f aca="false">IF(AO146&lt;&gt;1,"",IF(X146&lt;&gt;"",1,0))</f>
        <v/>
      </c>
      <c r="BP146" s="35" t="str">
        <f aca="false">IF(AO146&lt;&gt;1,"",IF(Y146="Oui",1,0))</f>
        <v/>
      </c>
      <c r="BQ146" s="35" t="str">
        <f aca="true">IF(OR(AO146&lt;&gt;1,Z146&lt;&gt;"Oui"),"",IF(AB146="",IF(AND(AA146&lt;&gt;"",NOW()&gt;AA146),0,""),IF(AA146="","",IF(AB146&lt;=AA146,1,0))))</f>
        <v/>
      </c>
      <c r="BR146" s="38" t="str">
        <f aca="false">IF(OR(AO146&lt;&gt;1,K146&lt;&gt;"Oui",O146=""),"",IF(AC146="",O146+DORA_H_DET/24,IF(AC146-O146&lt;=DORA_H_DET/24,MIN(AC146+DORA_H_CLA/24,O146+DORA_H_DET/24),AC146+DORA_H_CLA/24)))</f>
        <v/>
      </c>
      <c r="BS146" s="35" t="str">
        <f aca="true">IF(BR146="","",IF(AD146="",IF(NOW()&gt;BR146,0,""),IF(AD146&lt;=BR146,1,0)))</f>
        <v/>
      </c>
      <c r="BT146" s="35" t="str">
        <f aca="true">IF(OR(BR146="",AD146=""),"",IF(AE146="",IF(NOW()&gt;AD146+DORA_H_INT/24,0,""),IF(AE146&lt;=AD146+DORA_H_INT/24,1,0)))</f>
        <v/>
      </c>
      <c r="BU146" s="35" t="str">
        <f aca="true">IF(OR(BR146="",AE146=""),"",IF(AF146="",IF(NOW()&gt;EDATE(AE146,DORA_M_FIN)+1,0,""),IF(AF146&lt;=EDATE(AE146,DORA_M_FIN),1,0)))</f>
        <v/>
      </c>
      <c r="BV146" s="35" t="str">
        <f aca="false">IF(BR146="","",IF(COUNT(BS146:BU146)=0,"",MIN(BS146:BU146)))</f>
        <v/>
      </c>
      <c r="BW146" s="40" t="str">
        <f aca="false">IF(AQ146&lt;&gt;1,"",IF(AND(AG146="",AH146=""),"",N(AG146)-N(AH146)))</f>
        <v/>
      </c>
      <c r="BX146" s="35" t="str">
        <f aca="true">IF(OR(AQ146&lt;&gt;1,AI146&lt;&gt;"Oui",AJ146=""),"",IF(AK146="",IF(NOW()&gt;AJ146+1,0,""),IF(AK146&lt;=AJ146,1,0)))</f>
        <v/>
      </c>
    </row>
    <row r="147" customFormat="false" ht="15" hidden="false" customHeight="false" outlineLevel="0" collapsed="false">
      <c r="B147" s="29"/>
      <c r="C147" s="29"/>
      <c r="D147" s="29"/>
      <c r="E147" s="29"/>
      <c r="F147" s="29"/>
      <c r="G147" s="29"/>
      <c r="H147" s="29"/>
      <c r="I147" s="29"/>
      <c r="J147" s="29"/>
      <c r="K147" s="29"/>
      <c r="L147" s="29"/>
      <c r="M147" s="29"/>
      <c r="N147" s="30"/>
      <c r="O147" s="30"/>
      <c r="P147" s="30"/>
      <c r="Q147" s="30"/>
      <c r="R147" s="30"/>
      <c r="S147" s="30"/>
      <c r="T147" s="30"/>
      <c r="U147" s="30"/>
      <c r="V147" s="31"/>
      <c r="W147" s="29"/>
      <c r="X147" s="29"/>
      <c r="Y147" s="29"/>
      <c r="Z147" s="29"/>
      <c r="AA147" s="30"/>
      <c r="AB147" s="30"/>
      <c r="AC147" s="30"/>
      <c r="AD147" s="30"/>
      <c r="AE147" s="30"/>
      <c r="AF147" s="32"/>
      <c r="AG147" s="33"/>
      <c r="AH147" s="33"/>
      <c r="AI147" s="29"/>
      <c r="AJ147" s="32"/>
      <c r="AK147" s="32"/>
      <c r="AL147" s="29"/>
      <c r="AN147" s="34" t="str">
        <f aca="false">IF($B147="","",IF(OR(C147="",D147="",E147="",G147="",I147="",J147="",L147="",O147="",P147=""),"Champ obligatoire manquant",IF(OR(AND(N147&lt;&gt;"",N147&gt;O147),O147&gt;P147,AND(Q147&lt;&gt;"",Q147&lt;P147),AND(R147&lt;&gt;"",R147&lt;P147),AND(S147&lt;&gt;"",S147&lt;R147),AND(S147&lt;&gt;"",R147=""),AND(T147&lt;&gt;"",T147&lt;O147),AND(U147&lt;&gt;"",U147&lt;O147)),"Chronologie incohérente",IF(AND(OR(L147="Résolu",L147="Clos"),R147=""),"Date de résolution manquante",IF(AND(L147="Clos",S147=""),"Date de clôture manquante",IF(AND(K147="Oui",AC147=""),"Classification DORA manquante","OK"))))))</f>
        <v/>
      </c>
      <c r="AO147" s="35" t="str">
        <f aca="false">IF($B147="","",IF(AND(C147="Incident",L147&lt;&gt;"Annulé"),1,0))</f>
        <v/>
      </c>
      <c r="AP147" s="35" t="str">
        <f aca="false">IF($B147="","",IF(AND(C147="Quasi-incident",L147&lt;&gt;"Annulé"),1,0))</f>
        <v/>
      </c>
      <c r="AQ147" s="35" t="str">
        <f aca="false">IF($B147="","",AO147+AP147)</f>
        <v/>
      </c>
      <c r="AR147" s="36" t="str">
        <f aca="false">IF(OR($B147="",J147=""),"",IFERROR(VALUE(LEFT(J147,1)),""))</f>
        <v/>
      </c>
      <c r="AS147" s="35" t="str">
        <f aca="false">IF(OR(AO147&lt;&gt;1,G147=""),"",IFERROR(IF(INDEX(L_SrcInterne,MATCH(G147,L_Sources,0))="Oui",1,0),""))</f>
        <v/>
      </c>
      <c r="AT147" s="37" t="str">
        <f aca="false">IF(AO147&lt;&gt;1,"",IFERROR(ROUND(IF(OR(N147="",O147=""),"",IF(O147&lt;N147,"",ROUND(((NETWORKDAYS(N147,O147,JoursFeries)-1)*(HFer-HOuv)+IF(NETWORKDAYS(O147,O147,JoursFeries),MEDIAN(MOD(O147,1),HFer,HOuv),HFer)-IF(NETWORKDAYS(N147,N147,JoursFeries),MEDIAN(MOD(N147,1),HFer,HOuv),HOuv))*24,4)))/HJour,4),""))</f>
        <v/>
      </c>
      <c r="AU147" s="37" t="str">
        <f aca="false">IF(AO147&lt;&gt;1,"",IF(OR(O147="",P147=""),"",IF(P147&lt;O147,"",ROUND(((NETWORKDAYS(O147,P147,JoursFeries)-1)*(HFer-HOuv)+IF(NETWORKDAYS(P147,P147,JoursFeries),MEDIAN(MOD(P147,1),HFer,HOuv),HFer)-IF(NETWORKDAYS(O147,O147,JoursFeries),MEDIAN(MOD(O147,1),HFer,HOuv),HOuv))*24,4))))</f>
        <v/>
      </c>
      <c r="AV147" s="37" t="str">
        <f aca="false">IF(AO147&lt;&gt;1,"",IF(OR(P147="",Q147=""),"",IF(Q147&lt;P147,"",ROUND(((NETWORKDAYS(P147,Q147,JoursFeries)-1)*(HFer-HOuv)+IF(NETWORKDAYS(Q147,Q147,JoursFeries),MEDIAN(MOD(Q147,1),HFer,HOuv),HFer)-IF(NETWORKDAYS(P147,P147,JoursFeries),MEDIAN(MOD(P147,1),HFer,HOuv),HOuv))*24,4))))</f>
        <v/>
      </c>
      <c r="AW147" s="37" t="str">
        <f aca="false">IF(AO147&lt;&gt;1,"",IFERROR(ROUND(IF(OR(P147="",R147=""),"",IF(R147&lt;P147,"",ROUND(((NETWORKDAYS(P147,R147,JoursFeries)-1)*(HFer-HOuv)+IF(NETWORKDAYS(R147,R147,JoursFeries),MEDIAN(MOD(R147,1),HFer,HOuv),HFer)-IF(NETWORKDAYS(P147,P147,JoursFeries),MEDIAN(MOD(P147,1),HFer,HOuv),HOuv))*24,4)))/HJour,4),""))</f>
        <v/>
      </c>
      <c r="AX147" s="37" t="str">
        <f aca="false">IF(AO147&lt;&gt;1,"",IFERROR(ROUND(IF(OR(P147="",S147=""),"",IF(S147&lt;P147,"",ROUND(((NETWORKDAYS(P147,S147,JoursFeries)-1)*(HFer-HOuv)+IF(NETWORKDAYS(S147,S147,JoursFeries),MEDIAN(MOD(S147,1),HFer,HOuv),HFer)-IF(NETWORKDAYS(P147,P147,JoursFeries),MEDIAN(MOD(P147,1),HFer,HOuv),HOuv))*24,4)))/HJour,4),""))</f>
        <v/>
      </c>
      <c r="AY147" s="36" t="str">
        <f aca="false">IF(OR(AO147&lt;&gt;1,AR147=""),"",INDEX(SLA_PEC,AR147))</f>
        <v/>
      </c>
      <c r="AZ147" s="35" t="str">
        <f aca="false">IF(OR(AV147="",AY147=""),"",IF(AV147&lt;=AY147,1,0))</f>
        <v/>
      </c>
      <c r="BA147" s="36" t="str">
        <f aca="false">IF(OR(AO147&lt;&gt;1,AR147=""),"",INDEX(SLA_RES,AR147))</f>
        <v/>
      </c>
      <c r="BB147" s="35" t="str">
        <f aca="false">IF(OR(AW147="",BA147=""),"",IF(AW147&lt;=BA147,1,0))</f>
        <v/>
      </c>
      <c r="BC147" s="38" t="str">
        <f aca="false">IF(OR(BA147="",P147=""),"",WORKDAY(INT(P147),BA147,JoursFeries)+MOD(P147,1))</f>
        <v/>
      </c>
      <c r="BD147" s="39" t="str">
        <f aca="false">IF(AO147&lt;&gt;1,"",IF(OR(AB147&lt;&gt;"",AD147&lt;&gt;""),4,IF(U147&lt;&gt;"",3,IF(T147&lt;&gt;"",2,1))))</f>
        <v/>
      </c>
      <c r="BE147" s="39" t="str">
        <f aca="false">IF(OR(AO147&lt;&gt;1,AR147=""),"",INDEX(NIV_REQ,AR147))</f>
        <v/>
      </c>
      <c r="BF147" s="39" t="str">
        <f aca="false">IF(BE147="","",MAX(BE147,IF(OR(K147="Oui",Z147="Oui"),4,1)))</f>
        <v/>
      </c>
      <c r="BG147" s="35" t="str">
        <f aca="false">IF(OR(BF147="",BD147=""),"",IF(BD147&gt;=BF147,1,0))</f>
        <v/>
      </c>
      <c r="BH147" s="38" t="str">
        <f aca="false">IF(BE147="","",IF(BE147&lt;2,"",IF(BE147=2,IF(AND(T147="",U147=""),"",MIN(T147,U147)),IF(U147="","",U147))))</f>
        <v/>
      </c>
      <c r="BI147" s="37" t="str">
        <f aca="false">IF(BH147="","",IF(OR(O147="",BH147=""),"",IF(BH147&lt;O147,"",ROUND(((NETWORKDAYS(O147,BH147,JoursFeries)-1)*(HFer-HOuv)+IF(NETWORKDAYS(BH147,BH147,JoursFeries),MEDIAN(MOD(BH147,1),HFer,HOuv),HFer)-IF(NETWORKDAYS(O147,O147,JoursFeries),MEDIAN(MOD(O147,1),HFer,HOuv),HOuv))*24,4))))</f>
        <v/>
      </c>
      <c r="BJ147" s="35" t="str">
        <f aca="false">IF(OR(BI147="",AR147=""),"",IF(BI147&lt;=INDEX(DELAI_ESC,AR147),1,0))</f>
        <v/>
      </c>
      <c r="BK147" s="38" t="str">
        <f aca="false">IF(AO147&lt;&gt;1,"",IF(AND(T147="",U147=""),"",MIN(T147,U147)))</f>
        <v/>
      </c>
      <c r="BL147" s="37" t="str">
        <f aca="false">IF(OR(BK147="",R147=""),"",IFERROR(ROUND(IF(OR(BK147="",R147=""),"",IF(R147&lt;BK147,"",ROUND(((NETWORKDAYS(BK147,R147,JoursFeries)-1)*(HFer-HOuv)+IF(NETWORKDAYS(R147,R147,JoursFeries),MEDIAN(MOD(R147,1),HFer,HOuv),HFer)-IF(NETWORKDAYS(BK147,BK147,JoursFeries),MEDIAN(MOD(BK147,1),HFer,HOuv),HOuv))*24,4)))/HJour,4),""))</f>
        <v/>
      </c>
      <c r="BM147" s="35" t="str">
        <f aca="false">IF(OR(AO147&lt;&gt;1,R147=""),"",IF(BD147=1,1,0))</f>
        <v/>
      </c>
      <c r="BN147" s="35" t="str">
        <f aca="false">IF(AO147&lt;&gt;1,"",IF(W147="Oui",1,0))</f>
        <v/>
      </c>
      <c r="BO147" s="35" t="str">
        <f aca="false">IF(AO147&lt;&gt;1,"",IF(X147&lt;&gt;"",1,0))</f>
        <v/>
      </c>
      <c r="BP147" s="35" t="str">
        <f aca="false">IF(AO147&lt;&gt;1,"",IF(Y147="Oui",1,0))</f>
        <v/>
      </c>
      <c r="BQ147" s="35" t="str">
        <f aca="true">IF(OR(AO147&lt;&gt;1,Z147&lt;&gt;"Oui"),"",IF(AB147="",IF(AND(AA147&lt;&gt;"",NOW()&gt;AA147),0,""),IF(AA147="","",IF(AB147&lt;=AA147,1,0))))</f>
        <v/>
      </c>
      <c r="BR147" s="38" t="str">
        <f aca="false">IF(OR(AO147&lt;&gt;1,K147&lt;&gt;"Oui",O147=""),"",IF(AC147="",O147+DORA_H_DET/24,IF(AC147-O147&lt;=DORA_H_DET/24,MIN(AC147+DORA_H_CLA/24,O147+DORA_H_DET/24),AC147+DORA_H_CLA/24)))</f>
        <v/>
      </c>
      <c r="BS147" s="35" t="str">
        <f aca="true">IF(BR147="","",IF(AD147="",IF(NOW()&gt;BR147,0,""),IF(AD147&lt;=BR147,1,0)))</f>
        <v/>
      </c>
      <c r="BT147" s="35" t="str">
        <f aca="true">IF(OR(BR147="",AD147=""),"",IF(AE147="",IF(NOW()&gt;AD147+DORA_H_INT/24,0,""),IF(AE147&lt;=AD147+DORA_H_INT/24,1,0)))</f>
        <v/>
      </c>
      <c r="BU147" s="35" t="str">
        <f aca="true">IF(OR(BR147="",AE147=""),"",IF(AF147="",IF(NOW()&gt;EDATE(AE147,DORA_M_FIN)+1,0,""),IF(AF147&lt;=EDATE(AE147,DORA_M_FIN),1,0)))</f>
        <v/>
      </c>
      <c r="BV147" s="35" t="str">
        <f aca="false">IF(BR147="","",IF(COUNT(BS147:BU147)=0,"",MIN(BS147:BU147)))</f>
        <v/>
      </c>
      <c r="BW147" s="40" t="str">
        <f aca="false">IF(AQ147&lt;&gt;1,"",IF(AND(AG147="",AH147=""),"",N(AG147)-N(AH147)))</f>
        <v/>
      </c>
      <c r="BX147" s="35" t="str">
        <f aca="true">IF(OR(AQ147&lt;&gt;1,AI147&lt;&gt;"Oui",AJ147=""),"",IF(AK147="",IF(NOW()&gt;AJ147+1,0,""),IF(AK147&lt;=AJ147,1,0)))</f>
        <v/>
      </c>
    </row>
    <row r="148" customFormat="false" ht="15" hidden="false" customHeight="false" outlineLevel="0" collapsed="false">
      <c r="B148" s="29"/>
      <c r="C148" s="29"/>
      <c r="D148" s="29"/>
      <c r="E148" s="29"/>
      <c r="F148" s="29"/>
      <c r="G148" s="29"/>
      <c r="H148" s="29"/>
      <c r="I148" s="29"/>
      <c r="J148" s="29"/>
      <c r="K148" s="29"/>
      <c r="L148" s="29"/>
      <c r="M148" s="29"/>
      <c r="N148" s="30"/>
      <c r="O148" s="30"/>
      <c r="P148" s="30"/>
      <c r="Q148" s="30"/>
      <c r="R148" s="30"/>
      <c r="S148" s="30"/>
      <c r="T148" s="30"/>
      <c r="U148" s="30"/>
      <c r="V148" s="31"/>
      <c r="W148" s="29"/>
      <c r="X148" s="29"/>
      <c r="Y148" s="29"/>
      <c r="Z148" s="29"/>
      <c r="AA148" s="30"/>
      <c r="AB148" s="30"/>
      <c r="AC148" s="30"/>
      <c r="AD148" s="30"/>
      <c r="AE148" s="30"/>
      <c r="AF148" s="32"/>
      <c r="AG148" s="33"/>
      <c r="AH148" s="33"/>
      <c r="AI148" s="29"/>
      <c r="AJ148" s="32"/>
      <c r="AK148" s="32"/>
      <c r="AL148" s="29"/>
      <c r="AN148" s="34" t="str">
        <f aca="false">IF($B148="","",IF(OR(C148="",D148="",E148="",G148="",I148="",J148="",L148="",O148="",P148=""),"Champ obligatoire manquant",IF(OR(AND(N148&lt;&gt;"",N148&gt;O148),O148&gt;P148,AND(Q148&lt;&gt;"",Q148&lt;P148),AND(R148&lt;&gt;"",R148&lt;P148),AND(S148&lt;&gt;"",S148&lt;R148),AND(S148&lt;&gt;"",R148=""),AND(T148&lt;&gt;"",T148&lt;O148),AND(U148&lt;&gt;"",U148&lt;O148)),"Chronologie incohérente",IF(AND(OR(L148="Résolu",L148="Clos"),R148=""),"Date de résolution manquante",IF(AND(L148="Clos",S148=""),"Date de clôture manquante",IF(AND(K148="Oui",AC148=""),"Classification DORA manquante","OK"))))))</f>
        <v/>
      </c>
      <c r="AO148" s="35" t="str">
        <f aca="false">IF($B148="","",IF(AND(C148="Incident",L148&lt;&gt;"Annulé"),1,0))</f>
        <v/>
      </c>
      <c r="AP148" s="35" t="str">
        <f aca="false">IF($B148="","",IF(AND(C148="Quasi-incident",L148&lt;&gt;"Annulé"),1,0))</f>
        <v/>
      </c>
      <c r="AQ148" s="35" t="str">
        <f aca="false">IF($B148="","",AO148+AP148)</f>
        <v/>
      </c>
      <c r="AR148" s="36" t="str">
        <f aca="false">IF(OR($B148="",J148=""),"",IFERROR(VALUE(LEFT(J148,1)),""))</f>
        <v/>
      </c>
      <c r="AS148" s="35" t="str">
        <f aca="false">IF(OR(AO148&lt;&gt;1,G148=""),"",IFERROR(IF(INDEX(L_SrcInterne,MATCH(G148,L_Sources,0))="Oui",1,0),""))</f>
        <v/>
      </c>
      <c r="AT148" s="37" t="str">
        <f aca="false">IF(AO148&lt;&gt;1,"",IFERROR(ROUND(IF(OR(N148="",O148=""),"",IF(O148&lt;N148,"",ROUND(((NETWORKDAYS(N148,O148,JoursFeries)-1)*(HFer-HOuv)+IF(NETWORKDAYS(O148,O148,JoursFeries),MEDIAN(MOD(O148,1),HFer,HOuv),HFer)-IF(NETWORKDAYS(N148,N148,JoursFeries),MEDIAN(MOD(N148,1),HFer,HOuv),HOuv))*24,4)))/HJour,4),""))</f>
        <v/>
      </c>
      <c r="AU148" s="37" t="str">
        <f aca="false">IF(AO148&lt;&gt;1,"",IF(OR(O148="",P148=""),"",IF(P148&lt;O148,"",ROUND(((NETWORKDAYS(O148,P148,JoursFeries)-1)*(HFer-HOuv)+IF(NETWORKDAYS(P148,P148,JoursFeries),MEDIAN(MOD(P148,1),HFer,HOuv),HFer)-IF(NETWORKDAYS(O148,O148,JoursFeries),MEDIAN(MOD(O148,1),HFer,HOuv),HOuv))*24,4))))</f>
        <v/>
      </c>
      <c r="AV148" s="37" t="str">
        <f aca="false">IF(AO148&lt;&gt;1,"",IF(OR(P148="",Q148=""),"",IF(Q148&lt;P148,"",ROUND(((NETWORKDAYS(P148,Q148,JoursFeries)-1)*(HFer-HOuv)+IF(NETWORKDAYS(Q148,Q148,JoursFeries),MEDIAN(MOD(Q148,1),HFer,HOuv),HFer)-IF(NETWORKDAYS(P148,P148,JoursFeries),MEDIAN(MOD(P148,1),HFer,HOuv),HOuv))*24,4))))</f>
        <v/>
      </c>
      <c r="AW148" s="37" t="str">
        <f aca="false">IF(AO148&lt;&gt;1,"",IFERROR(ROUND(IF(OR(P148="",R148=""),"",IF(R148&lt;P148,"",ROUND(((NETWORKDAYS(P148,R148,JoursFeries)-1)*(HFer-HOuv)+IF(NETWORKDAYS(R148,R148,JoursFeries),MEDIAN(MOD(R148,1),HFer,HOuv),HFer)-IF(NETWORKDAYS(P148,P148,JoursFeries),MEDIAN(MOD(P148,1),HFer,HOuv),HOuv))*24,4)))/HJour,4),""))</f>
        <v/>
      </c>
      <c r="AX148" s="37" t="str">
        <f aca="false">IF(AO148&lt;&gt;1,"",IFERROR(ROUND(IF(OR(P148="",S148=""),"",IF(S148&lt;P148,"",ROUND(((NETWORKDAYS(P148,S148,JoursFeries)-1)*(HFer-HOuv)+IF(NETWORKDAYS(S148,S148,JoursFeries),MEDIAN(MOD(S148,1),HFer,HOuv),HFer)-IF(NETWORKDAYS(P148,P148,JoursFeries),MEDIAN(MOD(P148,1),HFer,HOuv),HOuv))*24,4)))/HJour,4),""))</f>
        <v/>
      </c>
      <c r="AY148" s="36" t="str">
        <f aca="false">IF(OR(AO148&lt;&gt;1,AR148=""),"",INDEX(SLA_PEC,AR148))</f>
        <v/>
      </c>
      <c r="AZ148" s="35" t="str">
        <f aca="false">IF(OR(AV148="",AY148=""),"",IF(AV148&lt;=AY148,1,0))</f>
        <v/>
      </c>
      <c r="BA148" s="36" t="str">
        <f aca="false">IF(OR(AO148&lt;&gt;1,AR148=""),"",INDEX(SLA_RES,AR148))</f>
        <v/>
      </c>
      <c r="BB148" s="35" t="str">
        <f aca="false">IF(OR(AW148="",BA148=""),"",IF(AW148&lt;=BA148,1,0))</f>
        <v/>
      </c>
      <c r="BC148" s="38" t="str">
        <f aca="false">IF(OR(BA148="",P148=""),"",WORKDAY(INT(P148),BA148,JoursFeries)+MOD(P148,1))</f>
        <v/>
      </c>
      <c r="BD148" s="39" t="str">
        <f aca="false">IF(AO148&lt;&gt;1,"",IF(OR(AB148&lt;&gt;"",AD148&lt;&gt;""),4,IF(U148&lt;&gt;"",3,IF(T148&lt;&gt;"",2,1))))</f>
        <v/>
      </c>
      <c r="BE148" s="39" t="str">
        <f aca="false">IF(OR(AO148&lt;&gt;1,AR148=""),"",INDEX(NIV_REQ,AR148))</f>
        <v/>
      </c>
      <c r="BF148" s="39" t="str">
        <f aca="false">IF(BE148="","",MAX(BE148,IF(OR(K148="Oui",Z148="Oui"),4,1)))</f>
        <v/>
      </c>
      <c r="BG148" s="35" t="str">
        <f aca="false">IF(OR(BF148="",BD148=""),"",IF(BD148&gt;=BF148,1,0))</f>
        <v/>
      </c>
      <c r="BH148" s="38" t="str">
        <f aca="false">IF(BE148="","",IF(BE148&lt;2,"",IF(BE148=2,IF(AND(T148="",U148=""),"",MIN(T148,U148)),IF(U148="","",U148))))</f>
        <v/>
      </c>
      <c r="BI148" s="37" t="str">
        <f aca="false">IF(BH148="","",IF(OR(O148="",BH148=""),"",IF(BH148&lt;O148,"",ROUND(((NETWORKDAYS(O148,BH148,JoursFeries)-1)*(HFer-HOuv)+IF(NETWORKDAYS(BH148,BH148,JoursFeries),MEDIAN(MOD(BH148,1),HFer,HOuv),HFer)-IF(NETWORKDAYS(O148,O148,JoursFeries),MEDIAN(MOD(O148,1),HFer,HOuv),HOuv))*24,4))))</f>
        <v/>
      </c>
      <c r="BJ148" s="35" t="str">
        <f aca="false">IF(OR(BI148="",AR148=""),"",IF(BI148&lt;=INDEX(DELAI_ESC,AR148),1,0))</f>
        <v/>
      </c>
      <c r="BK148" s="38" t="str">
        <f aca="false">IF(AO148&lt;&gt;1,"",IF(AND(T148="",U148=""),"",MIN(T148,U148)))</f>
        <v/>
      </c>
      <c r="BL148" s="37" t="str">
        <f aca="false">IF(OR(BK148="",R148=""),"",IFERROR(ROUND(IF(OR(BK148="",R148=""),"",IF(R148&lt;BK148,"",ROUND(((NETWORKDAYS(BK148,R148,JoursFeries)-1)*(HFer-HOuv)+IF(NETWORKDAYS(R148,R148,JoursFeries),MEDIAN(MOD(R148,1),HFer,HOuv),HFer)-IF(NETWORKDAYS(BK148,BK148,JoursFeries),MEDIAN(MOD(BK148,1),HFer,HOuv),HOuv))*24,4)))/HJour,4),""))</f>
        <v/>
      </c>
      <c r="BM148" s="35" t="str">
        <f aca="false">IF(OR(AO148&lt;&gt;1,R148=""),"",IF(BD148=1,1,0))</f>
        <v/>
      </c>
      <c r="BN148" s="35" t="str">
        <f aca="false">IF(AO148&lt;&gt;1,"",IF(W148="Oui",1,0))</f>
        <v/>
      </c>
      <c r="BO148" s="35" t="str">
        <f aca="false">IF(AO148&lt;&gt;1,"",IF(X148&lt;&gt;"",1,0))</f>
        <v/>
      </c>
      <c r="BP148" s="35" t="str">
        <f aca="false">IF(AO148&lt;&gt;1,"",IF(Y148="Oui",1,0))</f>
        <v/>
      </c>
      <c r="BQ148" s="35" t="str">
        <f aca="true">IF(OR(AO148&lt;&gt;1,Z148&lt;&gt;"Oui"),"",IF(AB148="",IF(AND(AA148&lt;&gt;"",NOW()&gt;AA148),0,""),IF(AA148="","",IF(AB148&lt;=AA148,1,0))))</f>
        <v/>
      </c>
      <c r="BR148" s="38" t="str">
        <f aca="false">IF(OR(AO148&lt;&gt;1,K148&lt;&gt;"Oui",O148=""),"",IF(AC148="",O148+DORA_H_DET/24,IF(AC148-O148&lt;=DORA_H_DET/24,MIN(AC148+DORA_H_CLA/24,O148+DORA_H_DET/24),AC148+DORA_H_CLA/24)))</f>
        <v/>
      </c>
      <c r="BS148" s="35" t="str">
        <f aca="true">IF(BR148="","",IF(AD148="",IF(NOW()&gt;BR148,0,""),IF(AD148&lt;=BR148,1,0)))</f>
        <v/>
      </c>
      <c r="BT148" s="35" t="str">
        <f aca="true">IF(OR(BR148="",AD148=""),"",IF(AE148="",IF(NOW()&gt;AD148+DORA_H_INT/24,0,""),IF(AE148&lt;=AD148+DORA_H_INT/24,1,0)))</f>
        <v/>
      </c>
      <c r="BU148" s="35" t="str">
        <f aca="true">IF(OR(BR148="",AE148=""),"",IF(AF148="",IF(NOW()&gt;EDATE(AE148,DORA_M_FIN)+1,0,""),IF(AF148&lt;=EDATE(AE148,DORA_M_FIN),1,0)))</f>
        <v/>
      </c>
      <c r="BV148" s="35" t="str">
        <f aca="false">IF(BR148="","",IF(COUNT(BS148:BU148)=0,"",MIN(BS148:BU148)))</f>
        <v/>
      </c>
      <c r="BW148" s="40" t="str">
        <f aca="false">IF(AQ148&lt;&gt;1,"",IF(AND(AG148="",AH148=""),"",N(AG148)-N(AH148)))</f>
        <v/>
      </c>
      <c r="BX148" s="35" t="str">
        <f aca="true">IF(OR(AQ148&lt;&gt;1,AI148&lt;&gt;"Oui",AJ148=""),"",IF(AK148="",IF(NOW()&gt;AJ148+1,0,""),IF(AK148&lt;=AJ148,1,0)))</f>
        <v/>
      </c>
    </row>
    <row r="149" customFormat="false" ht="15" hidden="false" customHeight="false" outlineLevel="0" collapsed="false">
      <c r="B149" s="29"/>
      <c r="C149" s="29"/>
      <c r="D149" s="29"/>
      <c r="E149" s="29"/>
      <c r="F149" s="29"/>
      <c r="G149" s="29"/>
      <c r="H149" s="29"/>
      <c r="I149" s="29"/>
      <c r="J149" s="29"/>
      <c r="K149" s="29"/>
      <c r="L149" s="29"/>
      <c r="M149" s="29"/>
      <c r="N149" s="30"/>
      <c r="O149" s="30"/>
      <c r="P149" s="30"/>
      <c r="Q149" s="30"/>
      <c r="R149" s="30"/>
      <c r="S149" s="30"/>
      <c r="T149" s="30"/>
      <c r="U149" s="30"/>
      <c r="V149" s="31"/>
      <c r="W149" s="29"/>
      <c r="X149" s="29"/>
      <c r="Y149" s="29"/>
      <c r="Z149" s="29"/>
      <c r="AA149" s="30"/>
      <c r="AB149" s="30"/>
      <c r="AC149" s="30"/>
      <c r="AD149" s="30"/>
      <c r="AE149" s="30"/>
      <c r="AF149" s="32"/>
      <c r="AG149" s="33"/>
      <c r="AH149" s="33"/>
      <c r="AI149" s="29"/>
      <c r="AJ149" s="32"/>
      <c r="AK149" s="32"/>
      <c r="AL149" s="29"/>
      <c r="AN149" s="34" t="str">
        <f aca="false">IF($B149="","",IF(OR(C149="",D149="",E149="",G149="",I149="",J149="",L149="",O149="",P149=""),"Champ obligatoire manquant",IF(OR(AND(N149&lt;&gt;"",N149&gt;O149),O149&gt;P149,AND(Q149&lt;&gt;"",Q149&lt;P149),AND(R149&lt;&gt;"",R149&lt;P149),AND(S149&lt;&gt;"",S149&lt;R149),AND(S149&lt;&gt;"",R149=""),AND(T149&lt;&gt;"",T149&lt;O149),AND(U149&lt;&gt;"",U149&lt;O149)),"Chronologie incohérente",IF(AND(OR(L149="Résolu",L149="Clos"),R149=""),"Date de résolution manquante",IF(AND(L149="Clos",S149=""),"Date de clôture manquante",IF(AND(K149="Oui",AC149=""),"Classification DORA manquante","OK"))))))</f>
        <v/>
      </c>
      <c r="AO149" s="35" t="str">
        <f aca="false">IF($B149="","",IF(AND(C149="Incident",L149&lt;&gt;"Annulé"),1,0))</f>
        <v/>
      </c>
      <c r="AP149" s="35" t="str">
        <f aca="false">IF($B149="","",IF(AND(C149="Quasi-incident",L149&lt;&gt;"Annulé"),1,0))</f>
        <v/>
      </c>
      <c r="AQ149" s="35" t="str">
        <f aca="false">IF($B149="","",AO149+AP149)</f>
        <v/>
      </c>
      <c r="AR149" s="36" t="str">
        <f aca="false">IF(OR($B149="",J149=""),"",IFERROR(VALUE(LEFT(J149,1)),""))</f>
        <v/>
      </c>
      <c r="AS149" s="35" t="str">
        <f aca="false">IF(OR(AO149&lt;&gt;1,G149=""),"",IFERROR(IF(INDEX(L_SrcInterne,MATCH(G149,L_Sources,0))="Oui",1,0),""))</f>
        <v/>
      </c>
      <c r="AT149" s="37" t="str">
        <f aca="false">IF(AO149&lt;&gt;1,"",IFERROR(ROUND(IF(OR(N149="",O149=""),"",IF(O149&lt;N149,"",ROUND(((NETWORKDAYS(N149,O149,JoursFeries)-1)*(HFer-HOuv)+IF(NETWORKDAYS(O149,O149,JoursFeries),MEDIAN(MOD(O149,1),HFer,HOuv),HFer)-IF(NETWORKDAYS(N149,N149,JoursFeries),MEDIAN(MOD(N149,1),HFer,HOuv),HOuv))*24,4)))/HJour,4),""))</f>
        <v/>
      </c>
      <c r="AU149" s="37" t="str">
        <f aca="false">IF(AO149&lt;&gt;1,"",IF(OR(O149="",P149=""),"",IF(P149&lt;O149,"",ROUND(((NETWORKDAYS(O149,P149,JoursFeries)-1)*(HFer-HOuv)+IF(NETWORKDAYS(P149,P149,JoursFeries),MEDIAN(MOD(P149,1),HFer,HOuv),HFer)-IF(NETWORKDAYS(O149,O149,JoursFeries),MEDIAN(MOD(O149,1),HFer,HOuv),HOuv))*24,4))))</f>
        <v/>
      </c>
      <c r="AV149" s="37" t="str">
        <f aca="false">IF(AO149&lt;&gt;1,"",IF(OR(P149="",Q149=""),"",IF(Q149&lt;P149,"",ROUND(((NETWORKDAYS(P149,Q149,JoursFeries)-1)*(HFer-HOuv)+IF(NETWORKDAYS(Q149,Q149,JoursFeries),MEDIAN(MOD(Q149,1),HFer,HOuv),HFer)-IF(NETWORKDAYS(P149,P149,JoursFeries),MEDIAN(MOD(P149,1),HFer,HOuv),HOuv))*24,4))))</f>
        <v/>
      </c>
      <c r="AW149" s="37" t="str">
        <f aca="false">IF(AO149&lt;&gt;1,"",IFERROR(ROUND(IF(OR(P149="",R149=""),"",IF(R149&lt;P149,"",ROUND(((NETWORKDAYS(P149,R149,JoursFeries)-1)*(HFer-HOuv)+IF(NETWORKDAYS(R149,R149,JoursFeries),MEDIAN(MOD(R149,1),HFer,HOuv),HFer)-IF(NETWORKDAYS(P149,P149,JoursFeries),MEDIAN(MOD(P149,1),HFer,HOuv),HOuv))*24,4)))/HJour,4),""))</f>
        <v/>
      </c>
      <c r="AX149" s="37" t="str">
        <f aca="false">IF(AO149&lt;&gt;1,"",IFERROR(ROUND(IF(OR(P149="",S149=""),"",IF(S149&lt;P149,"",ROUND(((NETWORKDAYS(P149,S149,JoursFeries)-1)*(HFer-HOuv)+IF(NETWORKDAYS(S149,S149,JoursFeries),MEDIAN(MOD(S149,1),HFer,HOuv),HFer)-IF(NETWORKDAYS(P149,P149,JoursFeries),MEDIAN(MOD(P149,1),HFer,HOuv),HOuv))*24,4)))/HJour,4),""))</f>
        <v/>
      </c>
      <c r="AY149" s="36" t="str">
        <f aca="false">IF(OR(AO149&lt;&gt;1,AR149=""),"",INDEX(SLA_PEC,AR149))</f>
        <v/>
      </c>
      <c r="AZ149" s="35" t="str">
        <f aca="false">IF(OR(AV149="",AY149=""),"",IF(AV149&lt;=AY149,1,0))</f>
        <v/>
      </c>
      <c r="BA149" s="36" t="str">
        <f aca="false">IF(OR(AO149&lt;&gt;1,AR149=""),"",INDEX(SLA_RES,AR149))</f>
        <v/>
      </c>
      <c r="BB149" s="35" t="str">
        <f aca="false">IF(OR(AW149="",BA149=""),"",IF(AW149&lt;=BA149,1,0))</f>
        <v/>
      </c>
      <c r="BC149" s="38" t="str">
        <f aca="false">IF(OR(BA149="",P149=""),"",WORKDAY(INT(P149),BA149,JoursFeries)+MOD(P149,1))</f>
        <v/>
      </c>
      <c r="BD149" s="39" t="str">
        <f aca="false">IF(AO149&lt;&gt;1,"",IF(OR(AB149&lt;&gt;"",AD149&lt;&gt;""),4,IF(U149&lt;&gt;"",3,IF(T149&lt;&gt;"",2,1))))</f>
        <v/>
      </c>
      <c r="BE149" s="39" t="str">
        <f aca="false">IF(OR(AO149&lt;&gt;1,AR149=""),"",INDEX(NIV_REQ,AR149))</f>
        <v/>
      </c>
      <c r="BF149" s="39" t="str">
        <f aca="false">IF(BE149="","",MAX(BE149,IF(OR(K149="Oui",Z149="Oui"),4,1)))</f>
        <v/>
      </c>
      <c r="BG149" s="35" t="str">
        <f aca="false">IF(OR(BF149="",BD149=""),"",IF(BD149&gt;=BF149,1,0))</f>
        <v/>
      </c>
      <c r="BH149" s="38" t="str">
        <f aca="false">IF(BE149="","",IF(BE149&lt;2,"",IF(BE149=2,IF(AND(T149="",U149=""),"",MIN(T149,U149)),IF(U149="","",U149))))</f>
        <v/>
      </c>
      <c r="BI149" s="37" t="str">
        <f aca="false">IF(BH149="","",IF(OR(O149="",BH149=""),"",IF(BH149&lt;O149,"",ROUND(((NETWORKDAYS(O149,BH149,JoursFeries)-1)*(HFer-HOuv)+IF(NETWORKDAYS(BH149,BH149,JoursFeries),MEDIAN(MOD(BH149,1),HFer,HOuv),HFer)-IF(NETWORKDAYS(O149,O149,JoursFeries),MEDIAN(MOD(O149,1),HFer,HOuv),HOuv))*24,4))))</f>
        <v/>
      </c>
      <c r="BJ149" s="35" t="str">
        <f aca="false">IF(OR(BI149="",AR149=""),"",IF(BI149&lt;=INDEX(DELAI_ESC,AR149),1,0))</f>
        <v/>
      </c>
      <c r="BK149" s="38" t="str">
        <f aca="false">IF(AO149&lt;&gt;1,"",IF(AND(T149="",U149=""),"",MIN(T149,U149)))</f>
        <v/>
      </c>
      <c r="BL149" s="37" t="str">
        <f aca="false">IF(OR(BK149="",R149=""),"",IFERROR(ROUND(IF(OR(BK149="",R149=""),"",IF(R149&lt;BK149,"",ROUND(((NETWORKDAYS(BK149,R149,JoursFeries)-1)*(HFer-HOuv)+IF(NETWORKDAYS(R149,R149,JoursFeries),MEDIAN(MOD(R149,1),HFer,HOuv),HFer)-IF(NETWORKDAYS(BK149,BK149,JoursFeries),MEDIAN(MOD(BK149,1),HFer,HOuv),HOuv))*24,4)))/HJour,4),""))</f>
        <v/>
      </c>
      <c r="BM149" s="35" t="str">
        <f aca="false">IF(OR(AO149&lt;&gt;1,R149=""),"",IF(BD149=1,1,0))</f>
        <v/>
      </c>
      <c r="BN149" s="35" t="str">
        <f aca="false">IF(AO149&lt;&gt;1,"",IF(W149="Oui",1,0))</f>
        <v/>
      </c>
      <c r="BO149" s="35" t="str">
        <f aca="false">IF(AO149&lt;&gt;1,"",IF(X149&lt;&gt;"",1,0))</f>
        <v/>
      </c>
      <c r="BP149" s="35" t="str">
        <f aca="false">IF(AO149&lt;&gt;1,"",IF(Y149="Oui",1,0))</f>
        <v/>
      </c>
      <c r="BQ149" s="35" t="str">
        <f aca="true">IF(OR(AO149&lt;&gt;1,Z149&lt;&gt;"Oui"),"",IF(AB149="",IF(AND(AA149&lt;&gt;"",NOW()&gt;AA149),0,""),IF(AA149="","",IF(AB149&lt;=AA149,1,0))))</f>
        <v/>
      </c>
      <c r="BR149" s="38" t="str">
        <f aca="false">IF(OR(AO149&lt;&gt;1,K149&lt;&gt;"Oui",O149=""),"",IF(AC149="",O149+DORA_H_DET/24,IF(AC149-O149&lt;=DORA_H_DET/24,MIN(AC149+DORA_H_CLA/24,O149+DORA_H_DET/24),AC149+DORA_H_CLA/24)))</f>
        <v/>
      </c>
      <c r="BS149" s="35" t="str">
        <f aca="true">IF(BR149="","",IF(AD149="",IF(NOW()&gt;BR149,0,""),IF(AD149&lt;=BR149,1,0)))</f>
        <v/>
      </c>
      <c r="BT149" s="35" t="str">
        <f aca="true">IF(OR(BR149="",AD149=""),"",IF(AE149="",IF(NOW()&gt;AD149+DORA_H_INT/24,0,""),IF(AE149&lt;=AD149+DORA_H_INT/24,1,0)))</f>
        <v/>
      </c>
      <c r="BU149" s="35" t="str">
        <f aca="true">IF(OR(BR149="",AE149=""),"",IF(AF149="",IF(NOW()&gt;EDATE(AE149,DORA_M_FIN)+1,0,""),IF(AF149&lt;=EDATE(AE149,DORA_M_FIN),1,0)))</f>
        <v/>
      </c>
      <c r="BV149" s="35" t="str">
        <f aca="false">IF(BR149="","",IF(COUNT(BS149:BU149)=0,"",MIN(BS149:BU149)))</f>
        <v/>
      </c>
      <c r="BW149" s="40" t="str">
        <f aca="false">IF(AQ149&lt;&gt;1,"",IF(AND(AG149="",AH149=""),"",N(AG149)-N(AH149)))</f>
        <v/>
      </c>
      <c r="BX149" s="35" t="str">
        <f aca="true">IF(OR(AQ149&lt;&gt;1,AI149&lt;&gt;"Oui",AJ149=""),"",IF(AK149="",IF(NOW()&gt;AJ149+1,0,""),IF(AK149&lt;=AJ149,1,0)))</f>
        <v/>
      </c>
    </row>
    <row r="150" customFormat="false" ht="15" hidden="false" customHeight="false" outlineLevel="0" collapsed="false">
      <c r="B150" s="29"/>
      <c r="C150" s="29"/>
      <c r="D150" s="29"/>
      <c r="E150" s="29"/>
      <c r="F150" s="29"/>
      <c r="G150" s="29"/>
      <c r="H150" s="29"/>
      <c r="I150" s="29"/>
      <c r="J150" s="29"/>
      <c r="K150" s="29"/>
      <c r="L150" s="29"/>
      <c r="M150" s="29"/>
      <c r="N150" s="30"/>
      <c r="O150" s="30"/>
      <c r="P150" s="30"/>
      <c r="Q150" s="30"/>
      <c r="R150" s="30"/>
      <c r="S150" s="30"/>
      <c r="T150" s="30"/>
      <c r="U150" s="30"/>
      <c r="V150" s="31"/>
      <c r="W150" s="29"/>
      <c r="X150" s="29"/>
      <c r="Y150" s="29"/>
      <c r="Z150" s="29"/>
      <c r="AA150" s="30"/>
      <c r="AB150" s="30"/>
      <c r="AC150" s="30"/>
      <c r="AD150" s="30"/>
      <c r="AE150" s="30"/>
      <c r="AF150" s="32"/>
      <c r="AG150" s="33"/>
      <c r="AH150" s="33"/>
      <c r="AI150" s="29"/>
      <c r="AJ150" s="32"/>
      <c r="AK150" s="32"/>
      <c r="AL150" s="29"/>
      <c r="AN150" s="34" t="str">
        <f aca="false">IF($B150="","",IF(OR(C150="",D150="",E150="",G150="",I150="",J150="",L150="",O150="",P150=""),"Champ obligatoire manquant",IF(OR(AND(N150&lt;&gt;"",N150&gt;O150),O150&gt;P150,AND(Q150&lt;&gt;"",Q150&lt;P150),AND(R150&lt;&gt;"",R150&lt;P150),AND(S150&lt;&gt;"",S150&lt;R150),AND(S150&lt;&gt;"",R150=""),AND(T150&lt;&gt;"",T150&lt;O150),AND(U150&lt;&gt;"",U150&lt;O150)),"Chronologie incohérente",IF(AND(OR(L150="Résolu",L150="Clos"),R150=""),"Date de résolution manquante",IF(AND(L150="Clos",S150=""),"Date de clôture manquante",IF(AND(K150="Oui",AC150=""),"Classification DORA manquante","OK"))))))</f>
        <v/>
      </c>
      <c r="AO150" s="35" t="str">
        <f aca="false">IF($B150="","",IF(AND(C150="Incident",L150&lt;&gt;"Annulé"),1,0))</f>
        <v/>
      </c>
      <c r="AP150" s="35" t="str">
        <f aca="false">IF($B150="","",IF(AND(C150="Quasi-incident",L150&lt;&gt;"Annulé"),1,0))</f>
        <v/>
      </c>
      <c r="AQ150" s="35" t="str">
        <f aca="false">IF($B150="","",AO150+AP150)</f>
        <v/>
      </c>
      <c r="AR150" s="36" t="str">
        <f aca="false">IF(OR($B150="",J150=""),"",IFERROR(VALUE(LEFT(J150,1)),""))</f>
        <v/>
      </c>
      <c r="AS150" s="35" t="str">
        <f aca="false">IF(OR(AO150&lt;&gt;1,G150=""),"",IFERROR(IF(INDEX(L_SrcInterne,MATCH(G150,L_Sources,0))="Oui",1,0),""))</f>
        <v/>
      </c>
      <c r="AT150" s="37" t="str">
        <f aca="false">IF(AO150&lt;&gt;1,"",IFERROR(ROUND(IF(OR(N150="",O150=""),"",IF(O150&lt;N150,"",ROUND(((NETWORKDAYS(N150,O150,JoursFeries)-1)*(HFer-HOuv)+IF(NETWORKDAYS(O150,O150,JoursFeries),MEDIAN(MOD(O150,1),HFer,HOuv),HFer)-IF(NETWORKDAYS(N150,N150,JoursFeries),MEDIAN(MOD(N150,1),HFer,HOuv),HOuv))*24,4)))/HJour,4),""))</f>
        <v/>
      </c>
      <c r="AU150" s="37" t="str">
        <f aca="false">IF(AO150&lt;&gt;1,"",IF(OR(O150="",P150=""),"",IF(P150&lt;O150,"",ROUND(((NETWORKDAYS(O150,P150,JoursFeries)-1)*(HFer-HOuv)+IF(NETWORKDAYS(P150,P150,JoursFeries),MEDIAN(MOD(P150,1),HFer,HOuv),HFer)-IF(NETWORKDAYS(O150,O150,JoursFeries),MEDIAN(MOD(O150,1),HFer,HOuv),HOuv))*24,4))))</f>
        <v/>
      </c>
      <c r="AV150" s="37" t="str">
        <f aca="false">IF(AO150&lt;&gt;1,"",IF(OR(P150="",Q150=""),"",IF(Q150&lt;P150,"",ROUND(((NETWORKDAYS(P150,Q150,JoursFeries)-1)*(HFer-HOuv)+IF(NETWORKDAYS(Q150,Q150,JoursFeries),MEDIAN(MOD(Q150,1),HFer,HOuv),HFer)-IF(NETWORKDAYS(P150,P150,JoursFeries),MEDIAN(MOD(P150,1),HFer,HOuv),HOuv))*24,4))))</f>
        <v/>
      </c>
      <c r="AW150" s="37" t="str">
        <f aca="false">IF(AO150&lt;&gt;1,"",IFERROR(ROUND(IF(OR(P150="",R150=""),"",IF(R150&lt;P150,"",ROUND(((NETWORKDAYS(P150,R150,JoursFeries)-1)*(HFer-HOuv)+IF(NETWORKDAYS(R150,R150,JoursFeries),MEDIAN(MOD(R150,1),HFer,HOuv),HFer)-IF(NETWORKDAYS(P150,P150,JoursFeries),MEDIAN(MOD(P150,1),HFer,HOuv),HOuv))*24,4)))/HJour,4),""))</f>
        <v/>
      </c>
      <c r="AX150" s="37" t="str">
        <f aca="false">IF(AO150&lt;&gt;1,"",IFERROR(ROUND(IF(OR(P150="",S150=""),"",IF(S150&lt;P150,"",ROUND(((NETWORKDAYS(P150,S150,JoursFeries)-1)*(HFer-HOuv)+IF(NETWORKDAYS(S150,S150,JoursFeries),MEDIAN(MOD(S150,1),HFer,HOuv),HFer)-IF(NETWORKDAYS(P150,P150,JoursFeries),MEDIAN(MOD(P150,1),HFer,HOuv),HOuv))*24,4)))/HJour,4),""))</f>
        <v/>
      </c>
      <c r="AY150" s="36" t="str">
        <f aca="false">IF(OR(AO150&lt;&gt;1,AR150=""),"",INDEX(SLA_PEC,AR150))</f>
        <v/>
      </c>
      <c r="AZ150" s="35" t="str">
        <f aca="false">IF(OR(AV150="",AY150=""),"",IF(AV150&lt;=AY150,1,0))</f>
        <v/>
      </c>
      <c r="BA150" s="36" t="str">
        <f aca="false">IF(OR(AO150&lt;&gt;1,AR150=""),"",INDEX(SLA_RES,AR150))</f>
        <v/>
      </c>
      <c r="BB150" s="35" t="str">
        <f aca="false">IF(OR(AW150="",BA150=""),"",IF(AW150&lt;=BA150,1,0))</f>
        <v/>
      </c>
      <c r="BC150" s="38" t="str">
        <f aca="false">IF(OR(BA150="",P150=""),"",WORKDAY(INT(P150),BA150,JoursFeries)+MOD(P150,1))</f>
        <v/>
      </c>
      <c r="BD150" s="39" t="str">
        <f aca="false">IF(AO150&lt;&gt;1,"",IF(OR(AB150&lt;&gt;"",AD150&lt;&gt;""),4,IF(U150&lt;&gt;"",3,IF(T150&lt;&gt;"",2,1))))</f>
        <v/>
      </c>
      <c r="BE150" s="39" t="str">
        <f aca="false">IF(OR(AO150&lt;&gt;1,AR150=""),"",INDEX(NIV_REQ,AR150))</f>
        <v/>
      </c>
      <c r="BF150" s="39" t="str">
        <f aca="false">IF(BE150="","",MAX(BE150,IF(OR(K150="Oui",Z150="Oui"),4,1)))</f>
        <v/>
      </c>
      <c r="BG150" s="35" t="str">
        <f aca="false">IF(OR(BF150="",BD150=""),"",IF(BD150&gt;=BF150,1,0))</f>
        <v/>
      </c>
      <c r="BH150" s="38" t="str">
        <f aca="false">IF(BE150="","",IF(BE150&lt;2,"",IF(BE150=2,IF(AND(T150="",U150=""),"",MIN(T150,U150)),IF(U150="","",U150))))</f>
        <v/>
      </c>
      <c r="BI150" s="37" t="str">
        <f aca="false">IF(BH150="","",IF(OR(O150="",BH150=""),"",IF(BH150&lt;O150,"",ROUND(((NETWORKDAYS(O150,BH150,JoursFeries)-1)*(HFer-HOuv)+IF(NETWORKDAYS(BH150,BH150,JoursFeries),MEDIAN(MOD(BH150,1),HFer,HOuv),HFer)-IF(NETWORKDAYS(O150,O150,JoursFeries),MEDIAN(MOD(O150,1),HFer,HOuv),HOuv))*24,4))))</f>
        <v/>
      </c>
      <c r="BJ150" s="35" t="str">
        <f aca="false">IF(OR(BI150="",AR150=""),"",IF(BI150&lt;=INDEX(DELAI_ESC,AR150),1,0))</f>
        <v/>
      </c>
      <c r="BK150" s="38" t="str">
        <f aca="false">IF(AO150&lt;&gt;1,"",IF(AND(T150="",U150=""),"",MIN(T150,U150)))</f>
        <v/>
      </c>
      <c r="BL150" s="37" t="str">
        <f aca="false">IF(OR(BK150="",R150=""),"",IFERROR(ROUND(IF(OR(BK150="",R150=""),"",IF(R150&lt;BK150,"",ROUND(((NETWORKDAYS(BK150,R150,JoursFeries)-1)*(HFer-HOuv)+IF(NETWORKDAYS(R150,R150,JoursFeries),MEDIAN(MOD(R150,1),HFer,HOuv),HFer)-IF(NETWORKDAYS(BK150,BK150,JoursFeries),MEDIAN(MOD(BK150,1),HFer,HOuv),HOuv))*24,4)))/HJour,4),""))</f>
        <v/>
      </c>
      <c r="BM150" s="35" t="str">
        <f aca="false">IF(OR(AO150&lt;&gt;1,R150=""),"",IF(BD150=1,1,0))</f>
        <v/>
      </c>
      <c r="BN150" s="35" t="str">
        <f aca="false">IF(AO150&lt;&gt;1,"",IF(W150="Oui",1,0))</f>
        <v/>
      </c>
      <c r="BO150" s="35" t="str">
        <f aca="false">IF(AO150&lt;&gt;1,"",IF(X150&lt;&gt;"",1,0))</f>
        <v/>
      </c>
      <c r="BP150" s="35" t="str">
        <f aca="false">IF(AO150&lt;&gt;1,"",IF(Y150="Oui",1,0))</f>
        <v/>
      </c>
      <c r="BQ150" s="35" t="str">
        <f aca="true">IF(OR(AO150&lt;&gt;1,Z150&lt;&gt;"Oui"),"",IF(AB150="",IF(AND(AA150&lt;&gt;"",NOW()&gt;AA150),0,""),IF(AA150="","",IF(AB150&lt;=AA150,1,0))))</f>
        <v/>
      </c>
      <c r="BR150" s="38" t="str">
        <f aca="false">IF(OR(AO150&lt;&gt;1,K150&lt;&gt;"Oui",O150=""),"",IF(AC150="",O150+DORA_H_DET/24,IF(AC150-O150&lt;=DORA_H_DET/24,MIN(AC150+DORA_H_CLA/24,O150+DORA_H_DET/24),AC150+DORA_H_CLA/24)))</f>
        <v/>
      </c>
      <c r="BS150" s="35" t="str">
        <f aca="true">IF(BR150="","",IF(AD150="",IF(NOW()&gt;BR150,0,""),IF(AD150&lt;=BR150,1,0)))</f>
        <v/>
      </c>
      <c r="BT150" s="35" t="str">
        <f aca="true">IF(OR(BR150="",AD150=""),"",IF(AE150="",IF(NOW()&gt;AD150+DORA_H_INT/24,0,""),IF(AE150&lt;=AD150+DORA_H_INT/24,1,0)))</f>
        <v/>
      </c>
      <c r="BU150" s="35" t="str">
        <f aca="true">IF(OR(BR150="",AE150=""),"",IF(AF150="",IF(NOW()&gt;EDATE(AE150,DORA_M_FIN)+1,0,""),IF(AF150&lt;=EDATE(AE150,DORA_M_FIN),1,0)))</f>
        <v/>
      </c>
      <c r="BV150" s="35" t="str">
        <f aca="false">IF(BR150="","",IF(COUNT(BS150:BU150)=0,"",MIN(BS150:BU150)))</f>
        <v/>
      </c>
      <c r="BW150" s="40" t="str">
        <f aca="false">IF(AQ150&lt;&gt;1,"",IF(AND(AG150="",AH150=""),"",N(AG150)-N(AH150)))</f>
        <v/>
      </c>
      <c r="BX150" s="35" t="str">
        <f aca="true">IF(OR(AQ150&lt;&gt;1,AI150&lt;&gt;"Oui",AJ150=""),"",IF(AK150="",IF(NOW()&gt;AJ150+1,0,""),IF(AK150&lt;=AJ150,1,0)))</f>
        <v/>
      </c>
    </row>
    <row r="151" customFormat="false" ht="15" hidden="false" customHeight="false" outlineLevel="0" collapsed="false">
      <c r="B151" s="29"/>
      <c r="C151" s="29"/>
      <c r="D151" s="29"/>
      <c r="E151" s="29"/>
      <c r="F151" s="29"/>
      <c r="G151" s="29"/>
      <c r="H151" s="29"/>
      <c r="I151" s="29"/>
      <c r="J151" s="29"/>
      <c r="K151" s="29"/>
      <c r="L151" s="29"/>
      <c r="M151" s="29"/>
      <c r="N151" s="30"/>
      <c r="O151" s="30"/>
      <c r="P151" s="30"/>
      <c r="Q151" s="30"/>
      <c r="R151" s="30"/>
      <c r="S151" s="30"/>
      <c r="T151" s="30"/>
      <c r="U151" s="30"/>
      <c r="V151" s="31"/>
      <c r="W151" s="29"/>
      <c r="X151" s="29"/>
      <c r="Y151" s="29"/>
      <c r="Z151" s="29"/>
      <c r="AA151" s="30"/>
      <c r="AB151" s="30"/>
      <c r="AC151" s="30"/>
      <c r="AD151" s="30"/>
      <c r="AE151" s="30"/>
      <c r="AF151" s="32"/>
      <c r="AG151" s="33"/>
      <c r="AH151" s="33"/>
      <c r="AI151" s="29"/>
      <c r="AJ151" s="32"/>
      <c r="AK151" s="32"/>
      <c r="AL151" s="29"/>
      <c r="AN151" s="34" t="str">
        <f aca="false">IF($B151="","",IF(OR(C151="",D151="",E151="",G151="",I151="",J151="",L151="",O151="",P151=""),"Champ obligatoire manquant",IF(OR(AND(N151&lt;&gt;"",N151&gt;O151),O151&gt;P151,AND(Q151&lt;&gt;"",Q151&lt;P151),AND(R151&lt;&gt;"",R151&lt;P151),AND(S151&lt;&gt;"",S151&lt;R151),AND(S151&lt;&gt;"",R151=""),AND(T151&lt;&gt;"",T151&lt;O151),AND(U151&lt;&gt;"",U151&lt;O151)),"Chronologie incohérente",IF(AND(OR(L151="Résolu",L151="Clos"),R151=""),"Date de résolution manquante",IF(AND(L151="Clos",S151=""),"Date de clôture manquante",IF(AND(K151="Oui",AC151=""),"Classification DORA manquante","OK"))))))</f>
        <v/>
      </c>
      <c r="AO151" s="35" t="str">
        <f aca="false">IF($B151="","",IF(AND(C151="Incident",L151&lt;&gt;"Annulé"),1,0))</f>
        <v/>
      </c>
      <c r="AP151" s="35" t="str">
        <f aca="false">IF($B151="","",IF(AND(C151="Quasi-incident",L151&lt;&gt;"Annulé"),1,0))</f>
        <v/>
      </c>
      <c r="AQ151" s="35" t="str">
        <f aca="false">IF($B151="","",AO151+AP151)</f>
        <v/>
      </c>
      <c r="AR151" s="36" t="str">
        <f aca="false">IF(OR($B151="",J151=""),"",IFERROR(VALUE(LEFT(J151,1)),""))</f>
        <v/>
      </c>
      <c r="AS151" s="35" t="str">
        <f aca="false">IF(OR(AO151&lt;&gt;1,G151=""),"",IFERROR(IF(INDEX(L_SrcInterne,MATCH(G151,L_Sources,0))="Oui",1,0),""))</f>
        <v/>
      </c>
      <c r="AT151" s="37" t="str">
        <f aca="false">IF(AO151&lt;&gt;1,"",IFERROR(ROUND(IF(OR(N151="",O151=""),"",IF(O151&lt;N151,"",ROUND(((NETWORKDAYS(N151,O151,JoursFeries)-1)*(HFer-HOuv)+IF(NETWORKDAYS(O151,O151,JoursFeries),MEDIAN(MOD(O151,1),HFer,HOuv),HFer)-IF(NETWORKDAYS(N151,N151,JoursFeries),MEDIAN(MOD(N151,1),HFer,HOuv),HOuv))*24,4)))/HJour,4),""))</f>
        <v/>
      </c>
      <c r="AU151" s="37" t="str">
        <f aca="false">IF(AO151&lt;&gt;1,"",IF(OR(O151="",P151=""),"",IF(P151&lt;O151,"",ROUND(((NETWORKDAYS(O151,P151,JoursFeries)-1)*(HFer-HOuv)+IF(NETWORKDAYS(P151,P151,JoursFeries),MEDIAN(MOD(P151,1),HFer,HOuv),HFer)-IF(NETWORKDAYS(O151,O151,JoursFeries),MEDIAN(MOD(O151,1),HFer,HOuv),HOuv))*24,4))))</f>
        <v/>
      </c>
      <c r="AV151" s="37" t="str">
        <f aca="false">IF(AO151&lt;&gt;1,"",IF(OR(P151="",Q151=""),"",IF(Q151&lt;P151,"",ROUND(((NETWORKDAYS(P151,Q151,JoursFeries)-1)*(HFer-HOuv)+IF(NETWORKDAYS(Q151,Q151,JoursFeries),MEDIAN(MOD(Q151,1),HFer,HOuv),HFer)-IF(NETWORKDAYS(P151,P151,JoursFeries),MEDIAN(MOD(P151,1),HFer,HOuv),HOuv))*24,4))))</f>
        <v/>
      </c>
      <c r="AW151" s="37" t="str">
        <f aca="false">IF(AO151&lt;&gt;1,"",IFERROR(ROUND(IF(OR(P151="",R151=""),"",IF(R151&lt;P151,"",ROUND(((NETWORKDAYS(P151,R151,JoursFeries)-1)*(HFer-HOuv)+IF(NETWORKDAYS(R151,R151,JoursFeries),MEDIAN(MOD(R151,1),HFer,HOuv),HFer)-IF(NETWORKDAYS(P151,P151,JoursFeries),MEDIAN(MOD(P151,1),HFer,HOuv),HOuv))*24,4)))/HJour,4),""))</f>
        <v/>
      </c>
      <c r="AX151" s="37" t="str">
        <f aca="false">IF(AO151&lt;&gt;1,"",IFERROR(ROUND(IF(OR(P151="",S151=""),"",IF(S151&lt;P151,"",ROUND(((NETWORKDAYS(P151,S151,JoursFeries)-1)*(HFer-HOuv)+IF(NETWORKDAYS(S151,S151,JoursFeries),MEDIAN(MOD(S151,1),HFer,HOuv),HFer)-IF(NETWORKDAYS(P151,P151,JoursFeries),MEDIAN(MOD(P151,1),HFer,HOuv),HOuv))*24,4)))/HJour,4),""))</f>
        <v/>
      </c>
      <c r="AY151" s="36" t="str">
        <f aca="false">IF(OR(AO151&lt;&gt;1,AR151=""),"",INDEX(SLA_PEC,AR151))</f>
        <v/>
      </c>
      <c r="AZ151" s="35" t="str">
        <f aca="false">IF(OR(AV151="",AY151=""),"",IF(AV151&lt;=AY151,1,0))</f>
        <v/>
      </c>
      <c r="BA151" s="36" t="str">
        <f aca="false">IF(OR(AO151&lt;&gt;1,AR151=""),"",INDEX(SLA_RES,AR151))</f>
        <v/>
      </c>
      <c r="BB151" s="35" t="str">
        <f aca="false">IF(OR(AW151="",BA151=""),"",IF(AW151&lt;=BA151,1,0))</f>
        <v/>
      </c>
      <c r="BC151" s="38" t="str">
        <f aca="false">IF(OR(BA151="",P151=""),"",WORKDAY(INT(P151),BA151,JoursFeries)+MOD(P151,1))</f>
        <v/>
      </c>
      <c r="BD151" s="39" t="str">
        <f aca="false">IF(AO151&lt;&gt;1,"",IF(OR(AB151&lt;&gt;"",AD151&lt;&gt;""),4,IF(U151&lt;&gt;"",3,IF(T151&lt;&gt;"",2,1))))</f>
        <v/>
      </c>
      <c r="BE151" s="39" t="str">
        <f aca="false">IF(OR(AO151&lt;&gt;1,AR151=""),"",INDEX(NIV_REQ,AR151))</f>
        <v/>
      </c>
      <c r="BF151" s="39" t="str">
        <f aca="false">IF(BE151="","",MAX(BE151,IF(OR(K151="Oui",Z151="Oui"),4,1)))</f>
        <v/>
      </c>
      <c r="BG151" s="35" t="str">
        <f aca="false">IF(OR(BF151="",BD151=""),"",IF(BD151&gt;=BF151,1,0))</f>
        <v/>
      </c>
      <c r="BH151" s="38" t="str">
        <f aca="false">IF(BE151="","",IF(BE151&lt;2,"",IF(BE151=2,IF(AND(T151="",U151=""),"",MIN(T151,U151)),IF(U151="","",U151))))</f>
        <v/>
      </c>
      <c r="BI151" s="37" t="str">
        <f aca="false">IF(BH151="","",IF(OR(O151="",BH151=""),"",IF(BH151&lt;O151,"",ROUND(((NETWORKDAYS(O151,BH151,JoursFeries)-1)*(HFer-HOuv)+IF(NETWORKDAYS(BH151,BH151,JoursFeries),MEDIAN(MOD(BH151,1),HFer,HOuv),HFer)-IF(NETWORKDAYS(O151,O151,JoursFeries),MEDIAN(MOD(O151,1),HFer,HOuv),HOuv))*24,4))))</f>
        <v/>
      </c>
      <c r="BJ151" s="35" t="str">
        <f aca="false">IF(OR(BI151="",AR151=""),"",IF(BI151&lt;=INDEX(DELAI_ESC,AR151),1,0))</f>
        <v/>
      </c>
      <c r="BK151" s="38" t="str">
        <f aca="false">IF(AO151&lt;&gt;1,"",IF(AND(T151="",U151=""),"",MIN(T151,U151)))</f>
        <v/>
      </c>
      <c r="BL151" s="37" t="str">
        <f aca="false">IF(OR(BK151="",R151=""),"",IFERROR(ROUND(IF(OR(BK151="",R151=""),"",IF(R151&lt;BK151,"",ROUND(((NETWORKDAYS(BK151,R151,JoursFeries)-1)*(HFer-HOuv)+IF(NETWORKDAYS(R151,R151,JoursFeries),MEDIAN(MOD(R151,1),HFer,HOuv),HFer)-IF(NETWORKDAYS(BK151,BK151,JoursFeries),MEDIAN(MOD(BK151,1),HFer,HOuv),HOuv))*24,4)))/HJour,4),""))</f>
        <v/>
      </c>
      <c r="BM151" s="35" t="str">
        <f aca="false">IF(OR(AO151&lt;&gt;1,R151=""),"",IF(BD151=1,1,0))</f>
        <v/>
      </c>
      <c r="BN151" s="35" t="str">
        <f aca="false">IF(AO151&lt;&gt;1,"",IF(W151="Oui",1,0))</f>
        <v/>
      </c>
      <c r="BO151" s="35" t="str">
        <f aca="false">IF(AO151&lt;&gt;1,"",IF(X151&lt;&gt;"",1,0))</f>
        <v/>
      </c>
      <c r="BP151" s="35" t="str">
        <f aca="false">IF(AO151&lt;&gt;1,"",IF(Y151="Oui",1,0))</f>
        <v/>
      </c>
      <c r="BQ151" s="35" t="str">
        <f aca="true">IF(OR(AO151&lt;&gt;1,Z151&lt;&gt;"Oui"),"",IF(AB151="",IF(AND(AA151&lt;&gt;"",NOW()&gt;AA151),0,""),IF(AA151="","",IF(AB151&lt;=AA151,1,0))))</f>
        <v/>
      </c>
      <c r="BR151" s="38" t="str">
        <f aca="false">IF(OR(AO151&lt;&gt;1,K151&lt;&gt;"Oui",O151=""),"",IF(AC151="",O151+DORA_H_DET/24,IF(AC151-O151&lt;=DORA_H_DET/24,MIN(AC151+DORA_H_CLA/24,O151+DORA_H_DET/24),AC151+DORA_H_CLA/24)))</f>
        <v/>
      </c>
      <c r="BS151" s="35" t="str">
        <f aca="true">IF(BR151="","",IF(AD151="",IF(NOW()&gt;BR151,0,""),IF(AD151&lt;=BR151,1,0)))</f>
        <v/>
      </c>
      <c r="BT151" s="35" t="str">
        <f aca="true">IF(OR(BR151="",AD151=""),"",IF(AE151="",IF(NOW()&gt;AD151+DORA_H_INT/24,0,""),IF(AE151&lt;=AD151+DORA_H_INT/24,1,0)))</f>
        <v/>
      </c>
      <c r="BU151" s="35" t="str">
        <f aca="true">IF(OR(BR151="",AE151=""),"",IF(AF151="",IF(NOW()&gt;EDATE(AE151,DORA_M_FIN)+1,0,""),IF(AF151&lt;=EDATE(AE151,DORA_M_FIN),1,0)))</f>
        <v/>
      </c>
      <c r="BV151" s="35" t="str">
        <f aca="false">IF(BR151="","",IF(COUNT(BS151:BU151)=0,"",MIN(BS151:BU151)))</f>
        <v/>
      </c>
      <c r="BW151" s="40" t="str">
        <f aca="false">IF(AQ151&lt;&gt;1,"",IF(AND(AG151="",AH151=""),"",N(AG151)-N(AH151)))</f>
        <v/>
      </c>
      <c r="BX151" s="35" t="str">
        <f aca="true">IF(OR(AQ151&lt;&gt;1,AI151&lt;&gt;"Oui",AJ151=""),"",IF(AK151="",IF(NOW()&gt;AJ151+1,0,""),IF(AK151&lt;=AJ151,1,0)))</f>
        <v/>
      </c>
    </row>
    <row r="152" customFormat="false" ht="15" hidden="false" customHeight="false" outlineLevel="0" collapsed="false">
      <c r="B152" s="29"/>
      <c r="C152" s="29"/>
      <c r="D152" s="29"/>
      <c r="E152" s="29"/>
      <c r="F152" s="29"/>
      <c r="G152" s="29"/>
      <c r="H152" s="29"/>
      <c r="I152" s="29"/>
      <c r="J152" s="29"/>
      <c r="K152" s="29"/>
      <c r="L152" s="29"/>
      <c r="M152" s="29"/>
      <c r="N152" s="30"/>
      <c r="O152" s="30"/>
      <c r="P152" s="30"/>
      <c r="Q152" s="30"/>
      <c r="R152" s="30"/>
      <c r="S152" s="30"/>
      <c r="T152" s="30"/>
      <c r="U152" s="30"/>
      <c r="V152" s="31"/>
      <c r="W152" s="29"/>
      <c r="X152" s="29"/>
      <c r="Y152" s="29"/>
      <c r="Z152" s="29"/>
      <c r="AA152" s="30"/>
      <c r="AB152" s="30"/>
      <c r="AC152" s="30"/>
      <c r="AD152" s="30"/>
      <c r="AE152" s="30"/>
      <c r="AF152" s="32"/>
      <c r="AG152" s="33"/>
      <c r="AH152" s="33"/>
      <c r="AI152" s="29"/>
      <c r="AJ152" s="32"/>
      <c r="AK152" s="32"/>
      <c r="AL152" s="29"/>
      <c r="AN152" s="34" t="str">
        <f aca="false">IF($B152="","",IF(OR(C152="",D152="",E152="",G152="",I152="",J152="",L152="",O152="",P152=""),"Champ obligatoire manquant",IF(OR(AND(N152&lt;&gt;"",N152&gt;O152),O152&gt;P152,AND(Q152&lt;&gt;"",Q152&lt;P152),AND(R152&lt;&gt;"",R152&lt;P152),AND(S152&lt;&gt;"",S152&lt;R152),AND(S152&lt;&gt;"",R152=""),AND(T152&lt;&gt;"",T152&lt;O152),AND(U152&lt;&gt;"",U152&lt;O152)),"Chronologie incohérente",IF(AND(OR(L152="Résolu",L152="Clos"),R152=""),"Date de résolution manquante",IF(AND(L152="Clos",S152=""),"Date de clôture manquante",IF(AND(K152="Oui",AC152=""),"Classification DORA manquante","OK"))))))</f>
        <v/>
      </c>
      <c r="AO152" s="35" t="str">
        <f aca="false">IF($B152="","",IF(AND(C152="Incident",L152&lt;&gt;"Annulé"),1,0))</f>
        <v/>
      </c>
      <c r="AP152" s="35" t="str">
        <f aca="false">IF($B152="","",IF(AND(C152="Quasi-incident",L152&lt;&gt;"Annulé"),1,0))</f>
        <v/>
      </c>
      <c r="AQ152" s="35" t="str">
        <f aca="false">IF($B152="","",AO152+AP152)</f>
        <v/>
      </c>
      <c r="AR152" s="36" t="str">
        <f aca="false">IF(OR($B152="",J152=""),"",IFERROR(VALUE(LEFT(J152,1)),""))</f>
        <v/>
      </c>
      <c r="AS152" s="35" t="str">
        <f aca="false">IF(OR(AO152&lt;&gt;1,G152=""),"",IFERROR(IF(INDEX(L_SrcInterne,MATCH(G152,L_Sources,0))="Oui",1,0),""))</f>
        <v/>
      </c>
      <c r="AT152" s="37" t="str">
        <f aca="false">IF(AO152&lt;&gt;1,"",IFERROR(ROUND(IF(OR(N152="",O152=""),"",IF(O152&lt;N152,"",ROUND(((NETWORKDAYS(N152,O152,JoursFeries)-1)*(HFer-HOuv)+IF(NETWORKDAYS(O152,O152,JoursFeries),MEDIAN(MOD(O152,1),HFer,HOuv),HFer)-IF(NETWORKDAYS(N152,N152,JoursFeries),MEDIAN(MOD(N152,1),HFer,HOuv),HOuv))*24,4)))/HJour,4),""))</f>
        <v/>
      </c>
      <c r="AU152" s="37" t="str">
        <f aca="false">IF(AO152&lt;&gt;1,"",IF(OR(O152="",P152=""),"",IF(P152&lt;O152,"",ROUND(((NETWORKDAYS(O152,P152,JoursFeries)-1)*(HFer-HOuv)+IF(NETWORKDAYS(P152,P152,JoursFeries),MEDIAN(MOD(P152,1),HFer,HOuv),HFer)-IF(NETWORKDAYS(O152,O152,JoursFeries),MEDIAN(MOD(O152,1),HFer,HOuv),HOuv))*24,4))))</f>
        <v/>
      </c>
      <c r="AV152" s="37" t="str">
        <f aca="false">IF(AO152&lt;&gt;1,"",IF(OR(P152="",Q152=""),"",IF(Q152&lt;P152,"",ROUND(((NETWORKDAYS(P152,Q152,JoursFeries)-1)*(HFer-HOuv)+IF(NETWORKDAYS(Q152,Q152,JoursFeries),MEDIAN(MOD(Q152,1),HFer,HOuv),HFer)-IF(NETWORKDAYS(P152,P152,JoursFeries),MEDIAN(MOD(P152,1),HFer,HOuv),HOuv))*24,4))))</f>
        <v/>
      </c>
      <c r="AW152" s="37" t="str">
        <f aca="false">IF(AO152&lt;&gt;1,"",IFERROR(ROUND(IF(OR(P152="",R152=""),"",IF(R152&lt;P152,"",ROUND(((NETWORKDAYS(P152,R152,JoursFeries)-1)*(HFer-HOuv)+IF(NETWORKDAYS(R152,R152,JoursFeries),MEDIAN(MOD(R152,1),HFer,HOuv),HFer)-IF(NETWORKDAYS(P152,P152,JoursFeries),MEDIAN(MOD(P152,1),HFer,HOuv),HOuv))*24,4)))/HJour,4),""))</f>
        <v/>
      </c>
      <c r="AX152" s="37" t="str">
        <f aca="false">IF(AO152&lt;&gt;1,"",IFERROR(ROUND(IF(OR(P152="",S152=""),"",IF(S152&lt;P152,"",ROUND(((NETWORKDAYS(P152,S152,JoursFeries)-1)*(HFer-HOuv)+IF(NETWORKDAYS(S152,S152,JoursFeries),MEDIAN(MOD(S152,1),HFer,HOuv),HFer)-IF(NETWORKDAYS(P152,P152,JoursFeries),MEDIAN(MOD(P152,1),HFer,HOuv),HOuv))*24,4)))/HJour,4),""))</f>
        <v/>
      </c>
      <c r="AY152" s="36" t="str">
        <f aca="false">IF(OR(AO152&lt;&gt;1,AR152=""),"",INDEX(SLA_PEC,AR152))</f>
        <v/>
      </c>
      <c r="AZ152" s="35" t="str">
        <f aca="false">IF(OR(AV152="",AY152=""),"",IF(AV152&lt;=AY152,1,0))</f>
        <v/>
      </c>
      <c r="BA152" s="36" t="str">
        <f aca="false">IF(OR(AO152&lt;&gt;1,AR152=""),"",INDEX(SLA_RES,AR152))</f>
        <v/>
      </c>
      <c r="BB152" s="35" t="str">
        <f aca="false">IF(OR(AW152="",BA152=""),"",IF(AW152&lt;=BA152,1,0))</f>
        <v/>
      </c>
      <c r="BC152" s="38" t="str">
        <f aca="false">IF(OR(BA152="",P152=""),"",WORKDAY(INT(P152),BA152,JoursFeries)+MOD(P152,1))</f>
        <v/>
      </c>
      <c r="BD152" s="39" t="str">
        <f aca="false">IF(AO152&lt;&gt;1,"",IF(OR(AB152&lt;&gt;"",AD152&lt;&gt;""),4,IF(U152&lt;&gt;"",3,IF(T152&lt;&gt;"",2,1))))</f>
        <v/>
      </c>
      <c r="BE152" s="39" t="str">
        <f aca="false">IF(OR(AO152&lt;&gt;1,AR152=""),"",INDEX(NIV_REQ,AR152))</f>
        <v/>
      </c>
      <c r="BF152" s="39" t="str">
        <f aca="false">IF(BE152="","",MAX(BE152,IF(OR(K152="Oui",Z152="Oui"),4,1)))</f>
        <v/>
      </c>
      <c r="BG152" s="35" t="str">
        <f aca="false">IF(OR(BF152="",BD152=""),"",IF(BD152&gt;=BF152,1,0))</f>
        <v/>
      </c>
      <c r="BH152" s="38" t="str">
        <f aca="false">IF(BE152="","",IF(BE152&lt;2,"",IF(BE152=2,IF(AND(T152="",U152=""),"",MIN(T152,U152)),IF(U152="","",U152))))</f>
        <v/>
      </c>
      <c r="BI152" s="37" t="str">
        <f aca="false">IF(BH152="","",IF(OR(O152="",BH152=""),"",IF(BH152&lt;O152,"",ROUND(((NETWORKDAYS(O152,BH152,JoursFeries)-1)*(HFer-HOuv)+IF(NETWORKDAYS(BH152,BH152,JoursFeries),MEDIAN(MOD(BH152,1),HFer,HOuv),HFer)-IF(NETWORKDAYS(O152,O152,JoursFeries),MEDIAN(MOD(O152,1),HFer,HOuv),HOuv))*24,4))))</f>
        <v/>
      </c>
      <c r="BJ152" s="35" t="str">
        <f aca="false">IF(OR(BI152="",AR152=""),"",IF(BI152&lt;=INDEX(DELAI_ESC,AR152),1,0))</f>
        <v/>
      </c>
      <c r="BK152" s="38" t="str">
        <f aca="false">IF(AO152&lt;&gt;1,"",IF(AND(T152="",U152=""),"",MIN(T152,U152)))</f>
        <v/>
      </c>
      <c r="BL152" s="37" t="str">
        <f aca="false">IF(OR(BK152="",R152=""),"",IFERROR(ROUND(IF(OR(BK152="",R152=""),"",IF(R152&lt;BK152,"",ROUND(((NETWORKDAYS(BK152,R152,JoursFeries)-1)*(HFer-HOuv)+IF(NETWORKDAYS(R152,R152,JoursFeries),MEDIAN(MOD(R152,1),HFer,HOuv),HFer)-IF(NETWORKDAYS(BK152,BK152,JoursFeries),MEDIAN(MOD(BK152,1),HFer,HOuv),HOuv))*24,4)))/HJour,4),""))</f>
        <v/>
      </c>
      <c r="BM152" s="35" t="str">
        <f aca="false">IF(OR(AO152&lt;&gt;1,R152=""),"",IF(BD152=1,1,0))</f>
        <v/>
      </c>
      <c r="BN152" s="35" t="str">
        <f aca="false">IF(AO152&lt;&gt;1,"",IF(W152="Oui",1,0))</f>
        <v/>
      </c>
      <c r="BO152" s="35" t="str">
        <f aca="false">IF(AO152&lt;&gt;1,"",IF(X152&lt;&gt;"",1,0))</f>
        <v/>
      </c>
      <c r="BP152" s="35" t="str">
        <f aca="false">IF(AO152&lt;&gt;1,"",IF(Y152="Oui",1,0))</f>
        <v/>
      </c>
      <c r="BQ152" s="35" t="str">
        <f aca="true">IF(OR(AO152&lt;&gt;1,Z152&lt;&gt;"Oui"),"",IF(AB152="",IF(AND(AA152&lt;&gt;"",NOW()&gt;AA152),0,""),IF(AA152="","",IF(AB152&lt;=AA152,1,0))))</f>
        <v/>
      </c>
      <c r="BR152" s="38" t="str">
        <f aca="false">IF(OR(AO152&lt;&gt;1,K152&lt;&gt;"Oui",O152=""),"",IF(AC152="",O152+DORA_H_DET/24,IF(AC152-O152&lt;=DORA_H_DET/24,MIN(AC152+DORA_H_CLA/24,O152+DORA_H_DET/24),AC152+DORA_H_CLA/24)))</f>
        <v/>
      </c>
      <c r="BS152" s="35" t="str">
        <f aca="true">IF(BR152="","",IF(AD152="",IF(NOW()&gt;BR152,0,""),IF(AD152&lt;=BR152,1,0)))</f>
        <v/>
      </c>
      <c r="BT152" s="35" t="str">
        <f aca="true">IF(OR(BR152="",AD152=""),"",IF(AE152="",IF(NOW()&gt;AD152+DORA_H_INT/24,0,""),IF(AE152&lt;=AD152+DORA_H_INT/24,1,0)))</f>
        <v/>
      </c>
      <c r="BU152" s="35" t="str">
        <f aca="true">IF(OR(BR152="",AE152=""),"",IF(AF152="",IF(NOW()&gt;EDATE(AE152,DORA_M_FIN)+1,0,""),IF(AF152&lt;=EDATE(AE152,DORA_M_FIN),1,0)))</f>
        <v/>
      </c>
      <c r="BV152" s="35" t="str">
        <f aca="false">IF(BR152="","",IF(COUNT(BS152:BU152)=0,"",MIN(BS152:BU152)))</f>
        <v/>
      </c>
      <c r="BW152" s="40" t="str">
        <f aca="false">IF(AQ152&lt;&gt;1,"",IF(AND(AG152="",AH152=""),"",N(AG152)-N(AH152)))</f>
        <v/>
      </c>
      <c r="BX152" s="35" t="str">
        <f aca="true">IF(OR(AQ152&lt;&gt;1,AI152&lt;&gt;"Oui",AJ152=""),"",IF(AK152="",IF(NOW()&gt;AJ152+1,0,""),IF(AK152&lt;=AJ152,1,0)))</f>
        <v/>
      </c>
    </row>
    <row r="153" customFormat="false" ht="15" hidden="false" customHeight="false" outlineLevel="0" collapsed="false">
      <c r="B153" s="29"/>
      <c r="C153" s="29"/>
      <c r="D153" s="29"/>
      <c r="E153" s="29"/>
      <c r="F153" s="29"/>
      <c r="G153" s="29"/>
      <c r="H153" s="29"/>
      <c r="I153" s="29"/>
      <c r="J153" s="29"/>
      <c r="K153" s="29"/>
      <c r="L153" s="29"/>
      <c r="M153" s="29"/>
      <c r="N153" s="30"/>
      <c r="O153" s="30"/>
      <c r="P153" s="30"/>
      <c r="Q153" s="30"/>
      <c r="R153" s="30"/>
      <c r="S153" s="30"/>
      <c r="T153" s="30"/>
      <c r="U153" s="30"/>
      <c r="V153" s="31"/>
      <c r="W153" s="29"/>
      <c r="X153" s="29"/>
      <c r="Y153" s="29"/>
      <c r="Z153" s="29"/>
      <c r="AA153" s="30"/>
      <c r="AB153" s="30"/>
      <c r="AC153" s="30"/>
      <c r="AD153" s="30"/>
      <c r="AE153" s="30"/>
      <c r="AF153" s="32"/>
      <c r="AG153" s="33"/>
      <c r="AH153" s="33"/>
      <c r="AI153" s="29"/>
      <c r="AJ153" s="32"/>
      <c r="AK153" s="32"/>
      <c r="AL153" s="29"/>
      <c r="AN153" s="34" t="str">
        <f aca="false">IF($B153="","",IF(OR(C153="",D153="",E153="",G153="",I153="",J153="",L153="",O153="",P153=""),"Champ obligatoire manquant",IF(OR(AND(N153&lt;&gt;"",N153&gt;O153),O153&gt;P153,AND(Q153&lt;&gt;"",Q153&lt;P153),AND(R153&lt;&gt;"",R153&lt;P153),AND(S153&lt;&gt;"",S153&lt;R153),AND(S153&lt;&gt;"",R153=""),AND(T153&lt;&gt;"",T153&lt;O153),AND(U153&lt;&gt;"",U153&lt;O153)),"Chronologie incohérente",IF(AND(OR(L153="Résolu",L153="Clos"),R153=""),"Date de résolution manquante",IF(AND(L153="Clos",S153=""),"Date de clôture manquante",IF(AND(K153="Oui",AC153=""),"Classification DORA manquante","OK"))))))</f>
        <v/>
      </c>
      <c r="AO153" s="35" t="str">
        <f aca="false">IF($B153="","",IF(AND(C153="Incident",L153&lt;&gt;"Annulé"),1,0))</f>
        <v/>
      </c>
      <c r="AP153" s="35" t="str">
        <f aca="false">IF($B153="","",IF(AND(C153="Quasi-incident",L153&lt;&gt;"Annulé"),1,0))</f>
        <v/>
      </c>
      <c r="AQ153" s="35" t="str">
        <f aca="false">IF($B153="","",AO153+AP153)</f>
        <v/>
      </c>
      <c r="AR153" s="36" t="str">
        <f aca="false">IF(OR($B153="",J153=""),"",IFERROR(VALUE(LEFT(J153,1)),""))</f>
        <v/>
      </c>
      <c r="AS153" s="35" t="str">
        <f aca="false">IF(OR(AO153&lt;&gt;1,G153=""),"",IFERROR(IF(INDEX(L_SrcInterne,MATCH(G153,L_Sources,0))="Oui",1,0),""))</f>
        <v/>
      </c>
      <c r="AT153" s="37" t="str">
        <f aca="false">IF(AO153&lt;&gt;1,"",IFERROR(ROUND(IF(OR(N153="",O153=""),"",IF(O153&lt;N153,"",ROUND(((NETWORKDAYS(N153,O153,JoursFeries)-1)*(HFer-HOuv)+IF(NETWORKDAYS(O153,O153,JoursFeries),MEDIAN(MOD(O153,1),HFer,HOuv),HFer)-IF(NETWORKDAYS(N153,N153,JoursFeries),MEDIAN(MOD(N153,1),HFer,HOuv),HOuv))*24,4)))/HJour,4),""))</f>
        <v/>
      </c>
      <c r="AU153" s="37" t="str">
        <f aca="false">IF(AO153&lt;&gt;1,"",IF(OR(O153="",P153=""),"",IF(P153&lt;O153,"",ROUND(((NETWORKDAYS(O153,P153,JoursFeries)-1)*(HFer-HOuv)+IF(NETWORKDAYS(P153,P153,JoursFeries),MEDIAN(MOD(P153,1),HFer,HOuv),HFer)-IF(NETWORKDAYS(O153,O153,JoursFeries),MEDIAN(MOD(O153,1),HFer,HOuv),HOuv))*24,4))))</f>
        <v/>
      </c>
      <c r="AV153" s="37" t="str">
        <f aca="false">IF(AO153&lt;&gt;1,"",IF(OR(P153="",Q153=""),"",IF(Q153&lt;P153,"",ROUND(((NETWORKDAYS(P153,Q153,JoursFeries)-1)*(HFer-HOuv)+IF(NETWORKDAYS(Q153,Q153,JoursFeries),MEDIAN(MOD(Q153,1),HFer,HOuv),HFer)-IF(NETWORKDAYS(P153,P153,JoursFeries),MEDIAN(MOD(P153,1),HFer,HOuv),HOuv))*24,4))))</f>
        <v/>
      </c>
      <c r="AW153" s="37" t="str">
        <f aca="false">IF(AO153&lt;&gt;1,"",IFERROR(ROUND(IF(OR(P153="",R153=""),"",IF(R153&lt;P153,"",ROUND(((NETWORKDAYS(P153,R153,JoursFeries)-1)*(HFer-HOuv)+IF(NETWORKDAYS(R153,R153,JoursFeries),MEDIAN(MOD(R153,1),HFer,HOuv),HFer)-IF(NETWORKDAYS(P153,P153,JoursFeries),MEDIAN(MOD(P153,1),HFer,HOuv),HOuv))*24,4)))/HJour,4),""))</f>
        <v/>
      </c>
      <c r="AX153" s="37" t="str">
        <f aca="false">IF(AO153&lt;&gt;1,"",IFERROR(ROUND(IF(OR(P153="",S153=""),"",IF(S153&lt;P153,"",ROUND(((NETWORKDAYS(P153,S153,JoursFeries)-1)*(HFer-HOuv)+IF(NETWORKDAYS(S153,S153,JoursFeries),MEDIAN(MOD(S153,1),HFer,HOuv),HFer)-IF(NETWORKDAYS(P153,P153,JoursFeries),MEDIAN(MOD(P153,1),HFer,HOuv),HOuv))*24,4)))/HJour,4),""))</f>
        <v/>
      </c>
      <c r="AY153" s="36" t="str">
        <f aca="false">IF(OR(AO153&lt;&gt;1,AR153=""),"",INDEX(SLA_PEC,AR153))</f>
        <v/>
      </c>
      <c r="AZ153" s="35" t="str">
        <f aca="false">IF(OR(AV153="",AY153=""),"",IF(AV153&lt;=AY153,1,0))</f>
        <v/>
      </c>
      <c r="BA153" s="36" t="str">
        <f aca="false">IF(OR(AO153&lt;&gt;1,AR153=""),"",INDEX(SLA_RES,AR153))</f>
        <v/>
      </c>
      <c r="BB153" s="35" t="str">
        <f aca="false">IF(OR(AW153="",BA153=""),"",IF(AW153&lt;=BA153,1,0))</f>
        <v/>
      </c>
      <c r="BC153" s="38" t="str">
        <f aca="false">IF(OR(BA153="",P153=""),"",WORKDAY(INT(P153),BA153,JoursFeries)+MOD(P153,1))</f>
        <v/>
      </c>
      <c r="BD153" s="39" t="str">
        <f aca="false">IF(AO153&lt;&gt;1,"",IF(OR(AB153&lt;&gt;"",AD153&lt;&gt;""),4,IF(U153&lt;&gt;"",3,IF(T153&lt;&gt;"",2,1))))</f>
        <v/>
      </c>
      <c r="BE153" s="39" t="str">
        <f aca="false">IF(OR(AO153&lt;&gt;1,AR153=""),"",INDEX(NIV_REQ,AR153))</f>
        <v/>
      </c>
      <c r="BF153" s="39" t="str">
        <f aca="false">IF(BE153="","",MAX(BE153,IF(OR(K153="Oui",Z153="Oui"),4,1)))</f>
        <v/>
      </c>
      <c r="BG153" s="35" t="str">
        <f aca="false">IF(OR(BF153="",BD153=""),"",IF(BD153&gt;=BF153,1,0))</f>
        <v/>
      </c>
      <c r="BH153" s="38" t="str">
        <f aca="false">IF(BE153="","",IF(BE153&lt;2,"",IF(BE153=2,IF(AND(T153="",U153=""),"",MIN(T153,U153)),IF(U153="","",U153))))</f>
        <v/>
      </c>
      <c r="BI153" s="37" t="str">
        <f aca="false">IF(BH153="","",IF(OR(O153="",BH153=""),"",IF(BH153&lt;O153,"",ROUND(((NETWORKDAYS(O153,BH153,JoursFeries)-1)*(HFer-HOuv)+IF(NETWORKDAYS(BH153,BH153,JoursFeries),MEDIAN(MOD(BH153,1),HFer,HOuv),HFer)-IF(NETWORKDAYS(O153,O153,JoursFeries),MEDIAN(MOD(O153,1),HFer,HOuv),HOuv))*24,4))))</f>
        <v/>
      </c>
      <c r="BJ153" s="35" t="str">
        <f aca="false">IF(OR(BI153="",AR153=""),"",IF(BI153&lt;=INDEX(DELAI_ESC,AR153),1,0))</f>
        <v/>
      </c>
      <c r="BK153" s="38" t="str">
        <f aca="false">IF(AO153&lt;&gt;1,"",IF(AND(T153="",U153=""),"",MIN(T153,U153)))</f>
        <v/>
      </c>
      <c r="BL153" s="37" t="str">
        <f aca="false">IF(OR(BK153="",R153=""),"",IFERROR(ROUND(IF(OR(BK153="",R153=""),"",IF(R153&lt;BK153,"",ROUND(((NETWORKDAYS(BK153,R153,JoursFeries)-1)*(HFer-HOuv)+IF(NETWORKDAYS(R153,R153,JoursFeries),MEDIAN(MOD(R153,1),HFer,HOuv),HFer)-IF(NETWORKDAYS(BK153,BK153,JoursFeries),MEDIAN(MOD(BK153,1),HFer,HOuv),HOuv))*24,4)))/HJour,4),""))</f>
        <v/>
      </c>
      <c r="BM153" s="35" t="str">
        <f aca="false">IF(OR(AO153&lt;&gt;1,R153=""),"",IF(BD153=1,1,0))</f>
        <v/>
      </c>
      <c r="BN153" s="35" t="str">
        <f aca="false">IF(AO153&lt;&gt;1,"",IF(W153="Oui",1,0))</f>
        <v/>
      </c>
      <c r="BO153" s="35" t="str">
        <f aca="false">IF(AO153&lt;&gt;1,"",IF(X153&lt;&gt;"",1,0))</f>
        <v/>
      </c>
      <c r="BP153" s="35" t="str">
        <f aca="false">IF(AO153&lt;&gt;1,"",IF(Y153="Oui",1,0))</f>
        <v/>
      </c>
      <c r="BQ153" s="35" t="str">
        <f aca="true">IF(OR(AO153&lt;&gt;1,Z153&lt;&gt;"Oui"),"",IF(AB153="",IF(AND(AA153&lt;&gt;"",NOW()&gt;AA153),0,""),IF(AA153="","",IF(AB153&lt;=AA153,1,0))))</f>
        <v/>
      </c>
      <c r="BR153" s="38" t="str">
        <f aca="false">IF(OR(AO153&lt;&gt;1,K153&lt;&gt;"Oui",O153=""),"",IF(AC153="",O153+DORA_H_DET/24,IF(AC153-O153&lt;=DORA_H_DET/24,MIN(AC153+DORA_H_CLA/24,O153+DORA_H_DET/24),AC153+DORA_H_CLA/24)))</f>
        <v/>
      </c>
      <c r="BS153" s="35" t="str">
        <f aca="true">IF(BR153="","",IF(AD153="",IF(NOW()&gt;BR153,0,""),IF(AD153&lt;=BR153,1,0)))</f>
        <v/>
      </c>
      <c r="BT153" s="35" t="str">
        <f aca="true">IF(OR(BR153="",AD153=""),"",IF(AE153="",IF(NOW()&gt;AD153+DORA_H_INT/24,0,""),IF(AE153&lt;=AD153+DORA_H_INT/24,1,0)))</f>
        <v/>
      </c>
      <c r="BU153" s="35" t="str">
        <f aca="true">IF(OR(BR153="",AE153=""),"",IF(AF153="",IF(NOW()&gt;EDATE(AE153,DORA_M_FIN)+1,0,""),IF(AF153&lt;=EDATE(AE153,DORA_M_FIN),1,0)))</f>
        <v/>
      </c>
      <c r="BV153" s="35" t="str">
        <f aca="false">IF(BR153="","",IF(COUNT(BS153:BU153)=0,"",MIN(BS153:BU153)))</f>
        <v/>
      </c>
      <c r="BW153" s="40" t="str">
        <f aca="false">IF(AQ153&lt;&gt;1,"",IF(AND(AG153="",AH153=""),"",N(AG153)-N(AH153)))</f>
        <v/>
      </c>
      <c r="BX153" s="35" t="str">
        <f aca="true">IF(OR(AQ153&lt;&gt;1,AI153&lt;&gt;"Oui",AJ153=""),"",IF(AK153="",IF(NOW()&gt;AJ153+1,0,""),IF(AK153&lt;=AJ153,1,0)))</f>
        <v/>
      </c>
    </row>
    <row r="154" customFormat="false" ht="15" hidden="false" customHeight="false" outlineLevel="0" collapsed="false">
      <c r="B154" s="29"/>
      <c r="C154" s="29"/>
      <c r="D154" s="29"/>
      <c r="E154" s="29"/>
      <c r="F154" s="29"/>
      <c r="G154" s="29"/>
      <c r="H154" s="29"/>
      <c r="I154" s="29"/>
      <c r="J154" s="29"/>
      <c r="K154" s="29"/>
      <c r="L154" s="29"/>
      <c r="M154" s="29"/>
      <c r="N154" s="30"/>
      <c r="O154" s="30"/>
      <c r="P154" s="30"/>
      <c r="Q154" s="30"/>
      <c r="R154" s="30"/>
      <c r="S154" s="30"/>
      <c r="T154" s="30"/>
      <c r="U154" s="30"/>
      <c r="V154" s="31"/>
      <c r="W154" s="29"/>
      <c r="X154" s="29"/>
      <c r="Y154" s="29"/>
      <c r="Z154" s="29"/>
      <c r="AA154" s="30"/>
      <c r="AB154" s="30"/>
      <c r="AC154" s="30"/>
      <c r="AD154" s="30"/>
      <c r="AE154" s="30"/>
      <c r="AF154" s="32"/>
      <c r="AG154" s="33"/>
      <c r="AH154" s="33"/>
      <c r="AI154" s="29"/>
      <c r="AJ154" s="32"/>
      <c r="AK154" s="32"/>
      <c r="AL154" s="29"/>
      <c r="AN154" s="34" t="str">
        <f aca="false">IF($B154="","",IF(OR(C154="",D154="",E154="",G154="",I154="",J154="",L154="",O154="",P154=""),"Champ obligatoire manquant",IF(OR(AND(N154&lt;&gt;"",N154&gt;O154),O154&gt;P154,AND(Q154&lt;&gt;"",Q154&lt;P154),AND(R154&lt;&gt;"",R154&lt;P154),AND(S154&lt;&gt;"",S154&lt;R154),AND(S154&lt;&gt;"",R154=""),AND(T154&lt;&gt;"",T154&lt;O154),AND(U154&lt;&gt;"",U154&lt;O154)),"Chronologie incohérente",IF(AND(OR(L154="Résolu",L154="Clos"),R154=""),"Date de résolution manquante",IF(AND(L154="Clos",S154=""),"Date de clôture manquante",IF(AND(K154="Oui",AC154=""),"Classification DORA manquante","OK"))))))</f>
        <v/>
      </c>
      <c r="AO154" s="35" t="str">
        <f aca="false">IF($B154="","",IF(AND(C154="Incident",L154&lt;&gt;"Annulé"),1,0))</f>
        <v/>
      </c>
      <c r="AP154" s="35" t="str">
        <f aca="false">IF($B154="","",IF(AND(C154="Quasi-incident",L154&lt;&gt;"Annulé"),1,0))</f>
        <v/>
      </c>
      <c r="AQ154" s="35" t="str">
        <f aca="false">IF($B154="","",AO154+AP154)</f>
        <v/>
      </c>
      <c r="AR154" s="36" t="str">
        <f aca="false">IF(OR($B154="",J154=""),"",IFERROR(VALUE(LEFT(J154,1)),""))</f>
        <v/>
      </c>
      <c r="AS154" s="35" t="str">
        <f aca="false">IF(OR(AO154&lt;&gt;1,G154=""),"",IFERROR(IF(INDEX(L_SrcInterne,MATCH(G154,L_Sources,0))="Oui",1,0),""))</f>
        <v/>
      </c>
      <c r="AT154" s="37" t="str">
        <f aca="false">IF(AO154&lt;&gt;1,"",IFERROR(ROUND(IF(OR(N154="",O154=""),"",IF(O154&lt;N154,"",ROUND(((NETWORKDAYS(N154,O154,JoursFeries)-1)*(HFer-HOuv)+IF(NETWORKDAYS(O154,O154,JoursFeries),MEDIAN(MOD(O154,1),HFer,HOuv),HFer)-IF(NETWORKDAYS(N154,N154,JoursFeries),MEDIAN(MOD(N154,1),HFer,HOuv),HOuv))*24,4)))/HJour,4),""))</f>
        <v/>
      </c>
      <c r="AU154" s="37" t="str">
        <f aca="false">IF(AO154&lt;&gt;1,"",IF(OR(O154="",P154=""),"",IF(P154&lt;O154,"",ROUND(((NETWORKDAYS(O154,P154,JoursFeries)-1)*(HFer-HOuv)+IF(NETWORKDAYS(P154,P154,JoursFeries),MEDIAN(MOD(P154,1),HFer,HOuv),HFer)-IF(NETWORKDAYS(O154,O154,JoursFeries),MEDIAN(MOD(O154,1),HFer,HOuv),HOuv))*24,4))))</f>
        <v/>
      </c>
      <c r="AV154" s="37" t="str">
        <f aca="false">IF(AO154&lt;&gt;1,"",IF(OR(P154="",Q154=""),"",IF(Q154&lt;P154,"",ROUND(((NETWORKDAYS(P154,Q154,JoursFeries)-1)*(HFer-HOuv)+IF(NETWORKDAYS(Q154,Q154,JoursFeries),MEDIAN(MOD(Q154,1),HFer,HOuv),HFer)-IF(NETWORKDAYS(P154,P154,JoursFeries),MEDIAN(MOD(P154,1),HFer,HOuv),HOuv))*24,4))))</f>
        <v/>
      </c>
      <c r="AW154" s="37" t="str">
        <f aca="false">IF(AO154&lt;&gt;1,"",IFERROR(ROUND(IF(OR(P154="",R154=""),"",IF(R154&lt;P154,"",ROUND(((NETWORKDAYS(P154,R154,JoursFeries)-1)*(HFer-HOuv)+IF(NETWORKDAYS(R154,R154,JoursFeries),MEDIAN(MOD(R154,1),HFer,HOuv),HFer)-IF(NETWORKDAYS(P154,P154,JoursFeries),MEDIAN(MOD(P154,1),HFer,HOuv),HOuv))*24,4)))/HJour,4),""))</f>
        <v/>
      </c>
      <c r="AX154" s="37" t="str">
        <f aca="false">IF(AO154&lt;&gt;1,"",IFERROR(ROUND(IF(OR(P154="",S154=""),"",IF(S154&lt;P154,"",ROUND(((NETWORKDAYS(P154,S154,JoursFeries)-1)*(HFer-HOuv)+IF(NETWORKDAYS(S154,S154,JoursFeries),MEDIAN(MOD(S154,1),HFer,HOuv),HFer)-IF(NETWORKDAYS(P154,P154,JoursFeries),MEDIAN(MOD(P154,1),HFer,HOuv),HOuv))*24,4)))/HJour,4),""))</f>
        <v/>
      </c>
      <c r="AY154" s="36" t="str">
        <f aca="false">IF(OR(AO154&lt;&gt;1,AR154=""),"",INDEX(SLA_PEC,AR154))</f>
        <v/>
      </c>
      <c r="AZ154" s="35" t="str">
        <f aca="false">IF(OR(AV154="",AY154=""),"",IF(AV154&lt;=AY154,1,0))</f>
        <v/>
      </c>
      <c r="BA154" s="36" t="str">
        <f aca="false">IF(OR(AO154&lt;&gt;1,AR154=""),"",INDEX(SLA_RES,AR154))</f>
        <v/>
      </c>
      <c r="BB154" s="35" t="str">
        <f aca="false">IF(OR(AW154="",BA154=""),"",IF(AW154&lt;=BA154,1,0))</f>
        <v/>
      </c>
      <c r="BC154" s="38" t="str">
        <f aca="false">IF(OR(BA154="",P154=""),"",WORKDAY(INT(P154),BA154,JoursFeries)+MOD(P154,1))</f>
        <v/>
      </c>
      <c r="BD154" s="39" t="str">
        <f aca="false">IF(AO154&lt;&gt;1,"",IF(OR(AB154&lt;&gt;"",AD154&lt;&gt;""),4,IF(U154&lt;&gt;"",3,IF(T154&lt;&gt;"",2,1))))</f>
        <v/>
      </c>
      <c r="BE154" s="39" t="str">
        <f aca="false">IF(OR(AO154&lt;&gt;1,AR154=""),"",INDEX(NIV_REQ,AR154))</f>
        <v/>
      </c>
      <c r="BF154" s="39" t="str">
        <f aca="false">IF(BE154="","",MAX(BE154,IF(OR(K154="Oui",Z154="Oui"),4,1)))</f>
        <v/>
      </c>
      <c r="BG154" s="35" t="str">
        <f aca="false">IF(OR(BF154="",BD154=""),"",IF(BD154&gt;=BF154,1,0))</f>
        <v/>
      </c>
      <c r="BH154" s="38" t="str">
        <f aca="false">IF(BE154="","",IF(BE154&lt;2,"",IF(BE154=2,IF(AND(T154="",U154=""),"",MIN(T154,U154)),IF(U154="","",U154))))</f>
        <v/>
      </c>
      <c r="BI154" s="37" t="str">
        <f aca="false">IF(BH154="","",IF(OR(O154="",BH154=""),"",IF(BH154&lt;O154,"",ROUND(((NETWORKDAYS(O154,BH154,JoursFeries)-1)*(HFer-HOuv)+IF(NETWORKDAYS(BH154,BH154,JoursFeries),MEDIAN(MOD(BH154,1),HFer,HOuv),HFer)-IF(NETWORKDAYS(O154,O154,JoursFeries),MEDIAN(MOD(O154,1),HFer,HOuv),HOuv))*24,4))))</f>
        <v/>
      </c>
      <c r="BJ154" s="35" t="str">
        <f aca="false">IF(OR(BI154="",AR154=""),"",IF(BI154&lt;=INDEX(DELAI_ESC,AR154),1,0))</f>
        <v/>
      </c>
      <c r="BK154" s="38" t="str">
        <f aca="false">IF(AO154&lt;&gt;1,"",IF(AND(T154="",U154=""),"",MIN(T154,U154)))</f>
        <v/>
      </c>
      <c r="BL154" s="37" t="str">
        <f aca="false">IF(OR(BK154="",R154=""),"",IFERROR(ROUND(IF(OR(BK154="",R154=""),"",IF(R154&lt;BK154,"",ROUND(((NETWORKDAYS(BK154,R154,JoursFeries)-1)*(HFer-HOuv)+IF(NETWORKDAYS(R154,R154,JoursFeries),MEDIAN(MOD(R154,1),HFer,HOuv),HFer)-IF(NETWORKDAYS(BK154,BK154,JoursFeries),MEDIAN(MOD(BK154,1),HFer,HOuv),HOuv))*24,4)))/HJour,4),""))</f>
        <v/>
      </c>
      <c r="BM154" s="35" t="str">
        <f aca="false">IF(OR(AO154&lt;&gt;1,R154=""),"",IF(BD154=1,1,0))</f>
        <v/>
      </c>
      <c r="BN154" s="35" t="str">
        <f aca="false">IF(AO154&lt;&gt;1,"",IF(W154="Oui",1,0))</f>
        <v/>
      </c>
      <c r="BO154" s="35" t="str">
        <f aca="false">IF(AO154&lt;&gt;1,"",IF(X154&lt;&gt;"",1,0))</f>
        <v/>
      </c>
      <c r="BP154" s="35" t="str">
        <f aca="false">IF(AO154&lt;&gt;1,"",IF(Y154="Oui",1,0))</f>
        <v/>
      </c>
      <c r="BQ154" s="35" t="str">
        <f aca="true">IF(OR(AO154&lt;&gt;1,Z154&lt;&gt;"Oui"),"",IF(AB154="",IF(AND(AA154&lt;&gt;"",NOW()&gt;AA154),0,""),IF(AA154="","",IF(AB154&lt;=AA154,1,0))))</f>
        <v/>
      </c>
      <c r="BR154" s="38" t="str">
        <f aca="false">IF(OR(AO154&lt;&gt;1,K154&lt;&gt;"Oui",O154=""),"",IF(AC154="",O154+DORA_H_DET/24,IF(AC154-O154&lt;=DORA_H_DET/24,MIN(AC154+DORA_H_CLA/24,O154+DORA_H_DET/24),AC154+DORA_H_CLA/24)))</f>
        <v/>
      </c>
      <c r="BS154" s="35" t="str">
        <f aca="true">IF(BR154="","",IF(AD154="",IF(NOW()&gt;BR154,0,""),IF(AD154&lt;=BR154,1,0)))</f>
        <v/>
      </c>
      <c r="BT154" s="35" t="str">
        <f aca="true">IF(OR(BR154="",AD154=""),"",IF(AE154="",IF(NOW()&gt;AD154+DORA_H_INT/24,0,""),IF(AE154&lt;=AD154+DORA_H_INT/24,1,0)))</f>
        <v/>
      </c>
      <c r="BU154" s="35" t="str">
        <f aca="true">IF(OR(BR154="",AE154=""),"",IF(AF154="",IF(NOW()&gt;EDATE(AE154,DORA_M_FIN)+1,0,""),IF(AF154&lt;=EDATE(AE154,DORA_M_FIN),1,0)))</f>
        <v/>
      </c>
      <c r="BV154" s="35" t="str">
        <f aca="false">IF(BR154="","",IF(COUNT(BS154:BU154)=0,"",MIN(BS154:BU154)))</f>
        <v/>
      </c>
      <c r="BW154" s="40" t="str">
        <f aca="false">IF(AQ154&lt;&gt;1,"",IF(AND(AG154="",AH154=""),"",N(AG154)-N(AH154)))</f>
        <v/>
      </c>
      <c r="BX154" s="35" t="str">
        <f aca="true">IF(OR(AQ154&lt;&gt;1,AI154&lt;&gt;"Oui",AJ154=""),"",IF(AK154="",IF(NOW()&gt;AJ154+1,0,""),IF(AK154&lt;=AJ154,1,0)))</f>
        <v/>
      </c>
    </row>
    <row r="155" customFormat="false" ht="15" hidden="false" customHeight="false" outlineLevel="0" collapsed="false">
      <c r="B155" s="29"/>
      <c r="C155" s="29"/>
      <c r="D155" s="29"/>
      <c r="E155" s="29"/>
      <c r="F155" s="29"/>
      <c r="G155" s="29"/>
      <c r="H155" s="29"/>
      <c r="I155" s="29"/>
      <c r="J155" s="29"/>
      <c r="K155" s="29"/>
      <c r="L155" s="29"/>
      <c r="M155" s="29"/>
      <c r="N155" s="30"/>
      <c r="O155" s="30"/>
      <c r="P155" s="30"/>
      <c r="Q155" s="30"/>
      <c r="R155" s="30"/>
      <c r="S155" s="30"/>
      <c r="T155" s="30"/>
      <c r="U155" s="30"/>
      <c r="V155" s="31"/>
      <c r="W155" s="29"/>
      <c r="X155" s="29"/>
      <c r="Y155" s="29"/>
      <c r="Z155" s="29"/>
      <c r="AA155" s="30"/>
      <c r="AB155" s="30"/>
      <c r="AC155" s="30"/>
      <c r="AD155" s="30"/>
      <c r="AE155" s="30"/>
      <c r="AF155" s="32"/>
      <c r="AG155" s="33"/>
      <c r="AH155" s="33"/>
      <c r="AI155" s="29"/>
      <c r="AJ155" s="32"/>
      <c r="AK155" s="32"/>
      <c r="AL155" s="29"/>
      <c r="AN155" s="34" t="str">
        <f aca="false">IF($B155="","",IF(OR(C155="",D155="",E155="",G155="",I155="",J155="",L155="",O155="",P155=""),"Champ obligatoire manquant",IF(OR(AND(N155&lt;&gt;"",N155&gt;O155),O155&gt;P155,AND(Q155&lt;&gt;"",Q155&lt;P155),AND(R155&lt;&gt;"",R155&lt;P155),AND(S155&lt;&gt;"",S155&lt;R155),AND(S155&lt;&gt;"",R155=""),AND(T155&lt;&gt;"",T155&lt;O155),AND(U155&lt;&gt;"",U155&lt;O155)),"Chronologie incohérente",IF(AND(OR(L155="Résolu",L155="Clos"),R155=""),"Date de résolution manquante",IF(AND(L155="Clos",S155=""),"Date de clôture manquante",IF(AND(K155="Oui",AC155=""),"Classification DORA manquante","OK"))))))</f>
        <v/>
      </c>
      <c r="AO155" s="35" t="str">
        <f aca="false">IF($B155="","",IF(AND(C155="Incident",L155&lt;&gt;"Annulé"),1,0))</f>
        <v/>
      </c>
      <c r="AP155" s="35" t="str">
        <f aca="false">IF($B155="","",IF(AND(C155="Quasi-incident",L155&lt;&gt;"Annulé"),1,0))</f>
        <v/>
      </c>
      <c r="AQ155" s="35" t="str">
        <f aca="false">IF($B155="","",AO155+AP155)</f>
        <v/>
      </c>
      <c r="AR155" s="36" t="str">
        <f aca="false">IF(OR($B155="",J155=""),"",IFERROR(VALUE(LEFT(J155,1)),""))</f>
        <v/>
      </c>
      <c r="AS155" s="35" t="str">
        <f aca="false">IF(OR(AO155&lt;&gt;1,G155=""),"",IFERROR(IF(INDEX(L_SrcInterne,MATCH(G155,L_Sources,0))="Oui",1,0),""))</f>
        <v/>
      </c>
      <c r="AT155" s="37" t="str">
        <f aca="false">IF(AO155&lt;&gt;1,"",IFERROR(ROUND(IF(OR(N155="",O155=""),"",IF(O155&lt;N155,"",ROUND(((NETWORKDAYS(N155,O155,JoursFeries)-1)*(HFer-HOuv)+IF(NETWORKDAYS(O155,O155,JoursFeries),MEDIAN(MOD(O155,1),HFer,HOuv),HFer)-IF(NETWORKDAYS(N155,N155,JoursFeries),MEDIAN(MOD(N155,1),HFer,HOuv),HOuv))*24,4)))/HJour,4),""))</f>
        <v/>
      </c>
      <c r="AU155" s="37" t="str">
        <f aca="false">IF(AO155&lt;&gt;1,"",IF(OR(O155="",P155=""),"",IF(P155&lt;O155,"",ROUND(((NETWORKDAYS(O155,P155,JoursFeries)-1)*(HFer-HOuv)+IF(NETWORKDAYS(P155,P155,JoursFeries),MEDIAN(MOD(P155,1),HFer,HOuv),HFer)-IF(NETWORKDAYS(O155,O155,JoursFeries),MEDIAN(MOD(O155,1),HFer,HOuv),HOuv))*24,4))))</f>
        <v/>
      </c>
      <c r="AV155" s="37" t="str">
        <f aca="false">IF(AO155&lt;&gt;1,"",IF(OR(P155="",Q155=""),"",IF(Q155&lt;P155,"",ROUND(((NETWORKDAYS(P155,Q155,JoursFeries)-1)*(HFer-HOuv)+IF(NETWORKDAYS(Q155,Q155,JoursFeries),MEDIAN(MOD(Q155,1),HFer,HOuv),HFer)-IF(NETWORKDAYS(P155,P155,JoursFeries),MEDIAN(MOD(P155,1),HFer,HOuv),HOuv))*24,4))))</f>
        <v/>
      </c>
      <c r="AW155" s="37" t="str">
        <f aca="false">IF(AO155&lt;&gt;1,"",IFERROR(ROUND(IF(OR(P155="",R155=""),"",IF(R155&lt;P155,"",ROUND(((NETWORKDAYS(P155,R155,JoursFeries)-1)*(HFer-HOuv)+IF(NETWORKDAYS(R155,R155,JoursFeries),MEDIAN(MOD(R155,1),HFer,HOuv),HFer)-IF(NETWORKDAYS(P155,P155,JoursFeries),MEDIAN(MOD(P155,1),HFer,HOuv),HOuv))*24,4)))/HJour,4),""))</f>
        <v/>
      </c>
      <c r="AX155" s="37" t="str">
        <f aca="false">IF(AO155&lt;&gt;1,"",IFERROR(ROUND(IF(OR(P155="",S155=""),"",IF(S155&lt;P155,"",ROUND(((NETWORKDAYS(P155,S155,JoursFeries)-1)*(HFer-HOuv)+IF(NETWORKDAYS(S155,S155,JoursFeries),MEDIAN(MOD(S155,1),HFer,HOuv),HFer)-IF(NETWORKDAYS(P155,P155,JoursFeries),MEDIAN(MOD(P155,1),HFer,HOuv),HOuv))*24,4)))/HJour,4),""))</f>
        <v/>
      </c>
      <c r="AY155" s="36" t="str">
        <f aca="false">IF(OR(AO155&lt;&gt;1,AR155=""),"",INDEX(SLA_PEC,AR155))</f>
        <v/>
      </c>
      <c r="AZ155" s="35" t="str">
        <f aca="false">IF(OR(AV155="",AY155=""),"",IF(AV155&lt;=AY155,1,0))</f>
        <v/>
      </c>
      <c r="BA155" s="36" t="str">
        <f aca="false">IF(OR(AO155&lt;&gt;1,AR155=""),"",INDEX(SLA_RES,AR155))</f>
        <v/>
      </c>
      <c r="BB155" s="35" t="str">
        <f aca="false">IF(OR(AW155="",BA155=""),"",IF(AW155&lt;=BA155,1,0))</f>
        <v/>
      </c>
      <c r="BC155" s="38" t="str">
        <f aca="false">IF(OR(BA155="",P155=""),"",WORKDAY(INT(P155),BA155,JoursFeries)+MOD(P155,1))</f>
        <v/>
      </c>
      <c r="BD155" s="39" t="str">
        <f aca="false">IF(AO155&lt;&gt;1,"",IF(OR(AB155&lt;&gt;"",AD155&lt;&gt;""),4,IF(U155&lt;&gt;"",3,IF(T155&lt;&gt;"",2,1))))</f>
        <v/>
      </c>
      <c r="BE155" s="39" t="str">
        <f aca="false">IF(OR(AO155&lt;&gt;1,AR155=""),"",INDEX(NIV_REQ,AR155))</f>
        <v/>
      </c>
      <c r="BF155" s="39" t="str">
        <f aca="false">IF(BE155="","",MAX(BE155,IF(OR(K155="Oui",Z155="Oui"),4,1)))</f>
        <v/>
      </c>
      <c r="BG155" s="35" t="str">
        <f aca="false">IF(OR(BF155="",BD155=""),"",IF(BD155&gt;=BF155,1,0))</f>
        <v/>
      </c>
      <c r="BH155" s="38" t="str">
        <f aca="false">IF(BE155="","",IF(BE155&lt;2,"",IF(BE155=2,IF(AND(T155="",U155=""),"",MIN(T155,U155)),IF(U155="","",U155))))</f>
        <v/>
      </c>
      <c r="BI155" s="37" t="str">
        <f aca="false">IF(BH155="","",IF(OR(O155="",BH155=""),"",IF(BH155&lt;O155,"",ROUND(((NETWORKDAYS(O155,BH155,JoursFeries)-1)*(HFer-HOuv)+IF(NETWORKDAYS(BH155,BH155,JoursFeries),MEDIAN(MOD(BH155,1),HFer,HOuv),HFer)-IF(NETWORKDAYS(O155,O155,JoursFeries),MEDIAN(MOD(O155,1),HFer,HOuv),HOuv))*24,4))))</f>
        <v/>
      </c>
      <c r="BJ155" s="35" t="str">
        <f aca="false">IF(OR(BI155="",AR155=""),"",IF(BI155&lt;=INDEX(DELAI_ESC,AR155),1,0))</f>
        <v/>
      </c>
      <c r="BK155" s="38" t="str">
        <f aca="false">IF(AO155&lt;&gt;1,"",IF(AND(T155="",U155=""),"",MIN(T155,U155)))</f>
        <v/>
      </c>
      <c r="BL155" s="37" t="str">
        <f aca="false">IF(OR(BK155="",R155=""),"",IFERROR(ROUND(IF(OR(BK155="",R155=""),"",IF(R155&lt;BK155,"",ROUND(((NETWORKDAYS(BK155,R155,JoursFeries)-1)*(HFer-HOuv)+IF(NETWORKDAYS(R155,R155,JoursFeries),MEDIAN(MOD(R155,1),HFer,HOuv),HFer)-IF(NETWORKDAYS(BK155,BK155,JoursFeries),MEDIAN(MOD(BK155,1),HFer,HOuv),HOuv))*24,4)))/HJour,4),""))</f>
        <v/>
      </c>
      <c r="BM155" s="35" t="str">
        <f aca="false">IF(OR(AO155&lt;&gt;1,R155=""),"",IF(BD155=1,1,0))</f>
        <v/>
      </c>
      <c r="BN155" s="35" t="str">
        <f aca="false">IF(AO155&lt;&gt;1,"",IF(W155="Oui",1,0))</f>
        <v/>
      </c>
      <c r="BO155" s="35" t="str">
        <f aca="false">IF(AO155&lt;&gt;1,"",IF(X155&lt;&gt;"",1,0))</f>
        <v/>
      </c>
      <c r="BP155" s="35" t="str">
        <f aca="false">IF(AO155&lt;&gt;1,"",IF(Y155="Oui",1,0))</f>
        <v/>
      </c>
      <c r="BQ155" s="35" t="str">
        <f aca="true">IF(OR(AO155&lt;&gt;1,Z155&lt;&gt;"Oui"),"",IF(AB155="",IF(AND(AA155&lt;&gt;"",NOW()&gt;AA155),0,""),IF(AA155="","",IF(AB155&lt;=AA155,1,0))))</f>
        <v/>
      </c>
      <c r="BR155" s="38" t="str">
        <f aca="false">IF(OR(AO155&lt;&gt;1,K155&lt;&gt;"Oui",O155=""),"",IF(AC155="",O155+DORA_H_DET/24,IF(AC155-O155&lt;=DORA_H_DET/24,MIN(AC155+DORA_H_CLA/24,O155+DORA_H_DET/24),AC155+DORA_H_CLA/24)))</f>
        <v/>
      </c>
      <c r="BS155" s="35" t="str">
        <f aca="true">IF(BR155="","",IF(AD155="",IF(NOW()&gt;BR155,0,""),IF(AD155&lt;=BR155,1,0)))</f>
        <v/>
      </c>
      <c r="BT155" s="35" t="str">
        <f aca="true">IF(OR(BR155="",AD155=""),"",IF(AE155="",IF(NOW()&gt;AD155+DORA_H_INT/24,0,""),IF(AE155&lt;=AD155+DORA_H_INT/24,1,0)))</f>
        <v/>
      </c>
      <c r="BU155" s="35" t="str">
        <f aca="true">IF(OR(BR155="",AE155=""),"",IF(AF155="",IF(NOW()&gt;EDATE(AE155,DORA_M_FIN)+1,0,""),IF(AF155&lt;=EDATE(AE155,DORA_M_FIN),1,0)))</f>
        <v/>
      </c>
      <c r="BV155" s="35" t="str">
        <f aca="false">IF(BR155="","",IF(COUNT(BS155:BU155)=0,"",MIN(BS155:BU155)))</f>
        <v/>
      </c>
      <c r="BW155" s="40" t="str">
        <f aca="false">IF(AQ155&lt;&gt;1,"",IF(AND(AG155="",AH155=""),"",N(AG155)-N(AH155)))</f>
        <v/>
      </c>
      <c r="BX155" s="35" t="str">
        <f aca="true">IF(OR(AQ155&lt;&gt;1,AI155&lt;&gt;"Oui",AJ155=""),"",IF(AK155="",IF(NOW()&gt;AJ155+1,0,""),IF(AK155&lt;=AJ155,1,0)))</f>
        <v/>
      </c>
    </row>
    <row r="156" customFormat="false" ht="15" hidden="false" customHeight="false" outlineLevel="0" collapsed="false">
      <c r="B156" s="29"/>
      <c r="C156" s="29"/>
      <c r="D156" s="29"/>
      <c r="E156" s="29"/>
      <c r="F156" s="29"/>
      <c r="G156" s="29"/>
      <c r="H156" s="29"/>
      <c r="I156" s="29"/>
      <c r="J156" s="29"/>
      <c r="K156" s="29"/>
      <c r="L156" s="29"/>
      <c r="M156" s="29"/>
      <c r="N156" s="30"/>
      <c r="O156" s="30"/>
      <c r="P156" s="30"/>
      <c r="Q156" s="30"/>
      <c r="R156" s="30"/>
      <c r="S156" s="30"/>
      <c r="T156" s="30"/>
      <c r="U156" s="30"/>
      <c r="V156" s="31"/>
      <c r="W156" s="29"/>
      <c r="X156" s="29"/>
      <c r="Y156" s="29"/>
      <c r="Z156" s="29"/>
      <c r="AA156" s="30"/>
      <c r="AB156" s="30"/>
      <c r="AC156" s="30"/>
      <c r="AD156" s="30"/>
      <c r="AE156" s="30"/>
      <c r="AF156" s="32"/>
      <c r="AG156" s="33"/>
      <c r="AH156" s="33"/>
      <c r="AI156" s="29"/>
      <c r="AJ156" s="32"/>
      <c r="AK156" s="32"/>
      <c r="AL156" s="29"/>
      <c r="AN156" s="34" t="str">
        <f aca="false">IF($B156="","",IF(OR(C156="",D156="",E156="",G156="",I156="",J156="",L156="",O156="",P156=""),"Champ obligatoire manquant",IF(OR(AND(N156&lt;&gt;"",N156&gt;O156),O156&gt;P156,AND(Q156&lt;&gt;"",Q156&lt;P156),AND(R156&lt;&gt;"",R156&lt;P156),AND(S156&lt;&gt;"",S156&lt;R156),AND(S156&lt;&gt;"",R156=""),AND(T156&lt;&gt;"",T156&lt;O156),AND(U156&lt;&gt;"",U156&lt;O156)),"Chronologie incohérente",IF(AND(OR(L156="Résolu",L156="Clos"),R156=""),"Date de résolution manquante",IF(AND(L156="Clos",S156=""),"Date de clôture manquante",IF(AND(K156="Oui",AC156=""),"Classification DORA manquante","OK"))))))</f>
        <v/>
      </c>
      <c r="AO156" s="35" t="str">
        <f aca="false">IF($B156="","",IF(AND(C156="Incident",L156&lt;&gt;"Annulé"),1,0))</f>
        <v/>
      </c>
      <c r="AP156" s="35" t="str">
        <f aca="false">IF($B156="","",IF(AND(C156="Quasi-incident",L156&lt;&gt;"Annulé"),1,0))</f>
        <v/>
      </c>
      <c r="AQ156" s="35" t="str">
        <f aca="false">IF($B156="","",AO156+AP156)</f>
        <v/>
      </c>
      <c r="AR156" s="36" t="str">
        <f aca="false">IF(OR($B156="",J156=""),"",IFERROR(VALUE(LEFT(J156,1)),""))</f>
        <v/>
      </c>
      <c r="AS156" s="35" t="str">
        <f aca="false">IF(OR(AO156&lt;&gt;1,G156=""),"",IFERROR(IF(INDEX(L_SrcInterne,MATCH(G156,L_Sources,0))="Oui",1,0),""))</f>
        <v/>
      </c>
      <c r="AT156" s="37" t="str">
        <f aca="false">IF(AO156&lt;&gt;1,"",IFERROR(ROUND(IF(OR(N156="",O156=""),"",IF(O156&lt;N156,"",ROUND(((NETWORKDAYS(N156,O156,JoursFeries)-1)*(HFer-HOuv)+IF(NETWORKDAYS(O156,O156,JoursFeries),MEDIAN(MOD(O156,1),HFer,HOuv),HFer)-IF(NETWORKDAYS(N156,N156,JoursFeries),MEDIAN(MOD(N156,1),HFer,HOuv),HOuv))*24,4)))/HJour,4),""))</f>
        <v/>
      </c>
      <c r="AU156" s="37" t="str">
        <f aca="false">IF(AO156&lt;&gt;1,"",IF(OR(O156="",P156=""),"",IF(P156&lt;O156,"",ROUND(((NETWORKDAYS(O156,P156,JoursFeries)-1)*(HFer-HOuv)+IF(NETWORKDAYS(P156,P156,JoursFeries),MEDIAN(MOD(P156,1),HFer,HOuv),HFer)-IF(NETWORKDAYS(O156,O156,JoursFeries),MEDIAN(MOD(O156,1),HFer,HOuv),HOuv))*24,4))))</f>
        <v/>
      </c>
      <c r="AV156" s="37" t="str">
        <f aca="false">IF(AO156&lt;&gt;1,"",IF(OR(P156="",Q156=""),"",IF(Q156&lt;P156,"",ROUND(((NETWORKDAYS(P156,Q156,JoursFeries)-1)*(HFer-HOuv)+IF(NETWORKDAYS(Q156,Q156,JoursFeries),MEDIAN(MOD(Q156,1),HFer,HOuv),HFer)-IF(NETWORKDAYS(P156,P156,JoursFeries),MEDIAN(MOD(P156,1),HFer,HOuv),HOuv))*24,4))))</f>
        <v/>
      </c>
      <c r="AW156" s="37" t="str">
        <f aca="false">IF(AO156&lt;&gt;1,"",IFERROR(ROUND(IF(OR(P156="",R156=""),"",IF(R156&lt;P156,"",ROUND(((NETWORKDAYS(P156,R156,JoursFeries)-1)*(HFer-HOuv)+IF(NETWORKDAYS(R156,R156,JoursFeries),MEDIAN(MOD(R156,1),HFer,HOuv),HFer)-IF(NETWORKDAYS(P156,P156,JoursFeries),MEDIAN(MOD(P156,1),HFer,HOuv),HOuv))*24,4)))/HJour,4),""))</f>
        <v/>
      </c>
      <c r="AX156" s="37" t="str">
        <f aca="false">IF(AO156&lt;&gt;1,"",IFERROR(ROUND(IF(OR(P156="",S156=""),"",IF(S156&lt;P156,"",ROUND(((NETWORKDAYS(P156,S156,JoursFeries)-1)*(HFer-HOuv)+IF(NETWORKDAYS(S156,S156,JoursFeries),MEDIAN(MOD(S156,1),HFer,HOuv),HFer)-IF(NETWORKDAYS(P156,P156,JoursFeries),MEDIAN(MOD(P156,1),HFer,HOuv),HOuv))*24,4)))/HJour,4),""))</f>
        <v/>
      </c>
      <c r="AY156" s="36" t="str">
        <f aca="false">IF(OR(AO156&lt;&gt;1,AR156=""),"",INDEX(SLA_PEC,AR156))</f>
        <v/>
      </c>
      <c r="AZ156" s="35" t="str">
        <f aca="false">IF(OR(AV156="",AY156=""),"",IF(AV156&lt;=AY156,1,0))</f>
        <v/>
      </c>
      <c r="BA156" s="36" t="str">
        <f aca="false">IF(OR(AO156&lt;&gt;1,AR156=""),"",INDEX(SLA_RES,AR156))</f>
        <v/>
      </c>
      <c r="BB156" s="35" t="str">
        <f aca="false">IF(OR(AW156="",BA156=""),"",IF(AW156&lt;=BA156,1,0))</f>
        <v/>
      </c>
      <c r="BC156" s="38" t="str">
        <f aca="false">IF(OR(BA156="",P156=""),"",WORKDAY(INT(P156),BA156,JoursFeries)+MOD(P156,1))</f>
        <v/>
      </c>
      <c r="BD156" s="39" t="str">
        <f aca="false">IF(AO156&lt;&gt;1,"",IF(OR(AB156&lt;&gt;"",AD156&lt;&gt;""),4,IF(U156&lt;&gt;"",3,IF(T156&lt;&gt;"",2,1))))</f>
        <v/>
      </c>
      <c r="BE156" s="39" t="str">
        <f aca="false">IF(OR(AO156&lt;&gt;1,AR156=""),"",INDEX(NIV_REQ,AR156))</f>
        <v/>
      </c>
      <c r="BF156" s="39" t="str">
        <f aca="false">IF(BE156="","",MAX(BE156,IF(OR(K156="Oui",Z156="Oui"),4,1)))</f>
        <v/>
      </c>
      <c r="BG156" s="35" t="str">
        <f aca="false">IF(OR(BF156="",BD156=""),"",IF(BD156&gt;=BF156,1,0))</f>
        <v/>
      </c>
      <c r="BH156" s="38" t="str">
        <f aca="false">IF(BE156="","",IF(BE156&lt;2,"",IF(BE156=2,IF(AND(T156="",U156=""),"",MIN(T156,U156)),IF(U156="","",U156))))</f>
        <v/>
      </c>
      <c r="BI156" s="37" t="str">
        <f aca="false">IF(BH156="","",IF(OR(O156="",BH156=""),"",IF(BH156&lt;O156,"",ROUND(((NETWORKDAYS(O156,BH156,JoursFeries)-1)*(HFer-HOuv)+IF(NETWORKDAYS(BH156,BH156,JoursFeries),MEDIAN(MOD(BH156,1),HFer,HOuv),HFer)-IF(NETWORKDAYS(O156,O156,JoursFeries),MEDIAN(MOD(O156,1),HFer,HOuv),HOuv))*24,4))))</f>
        <v/>
      </c>
      <c r="BJ156" s="35" t="str">
        <f aca="false">IF(OR(BI156="",AR156=""),"",IF(BI156&lt;=INDEX(DELAI_ESC,AR156),1,0))</f>
        <v/>
      </c>
      <c r="BK156" s="38" t="str">
        <f aca="false">IF(AO156&lt;&gt;1,"",IF(AND(T156="",U156=""),"",MIN(T156,U156)))</f>
        <v/>
      </c>
      <c r="BL156" s="37" t="str">
        <f aca="false">IF(OR(BK156="",R156=""),"",IFERROR(ROUND(IF(OR(BK156="",R156=""),"",IF(R156&lt;BK156,"",ROUND(((NETWORKDAYS(BK156,R156,JoursFeries)-1)*(HFer-HOuv)+IF(NETWORKDAYS(R156,R156,JoursFeries),MEDIAN(MOD(R156,1),HFer,HOuv),HFer)-IF(NETWORKDAYS(BK156,BK156,JoursFeries),MEDIAN(MOD(BK156,1),HFer,HOuv),HOuv))*24,4)))/HJour,4),""))</f>
        <v/>
      </c>
      <c r="BM156" s="35" t="str">
        <f aca="false">IF(OR(AO156&lt;&gt;1,R156=""),"",IF(BD156=1,1,0))</f>
        <v/>
      </c>
      <c r="BN156" s="35" t="str">
        <f aca="false">IF(AO156&lt;&gt;1,"",IF(W156="Oui",1,0))</f>
        <v/>
      </c>
      <c r="BO156" s="35" t="str">
        <f aca="false">IF(AO156&lt;&gt;1,"",IF(X156&lt;&gt;"",1,0))</f>
        <v/>
      </c>
      <c r="BP156" s="35" t="str">
        <f aca="false">IF(AO156&lt;&gt;1,"",IF(Y156="Oui",1,0))</f>
        <v/>
      </c>
      <c r="BQ156" s="35" t="str">
        <f aca="true">IF(OR(AO156&lt;&gt;1,Z156&lt;&gt;"Oui"),"",IF(AB156="",IF(AND(AA156&lt;&gt;"",NOW()&gt;AA156),0,""),IF(AA156="","",IF(AB156&lt;=AA156,1,0))))</f>
        <v/>
      </c>
      <c r="BR156" s="38" t="str">
        <f aca="false">IF(OR(AO156&lt;&gt;1,K156&lt;&gt;"Oui",O156=""),"",IF(AC156="",O156+DORA_H_DET/24,IF(AC156-O156&lt;=DORA_H_DET/24,MIN(AC156+DORA_H_CLA/24,O156+DORA_H_DET/24),AC156+DORA_H_CLA/24)))</f>
        <v/>
      </c>
      <c r="BS156" s="35" t="str">
        <f aca="true">IF(BR156="","",IF(AD156="",IF(NOW()&gt;BR156,0,""),IF(AD156&lt;=BR156,1,0)))</f>
        <v/>
      </c>
      <c r="BT156" s="35" t="str">
        <f aca="true">IF(OR(BR156="",AD156=""),"",IF(AE156="",IF(NOW()&gt;AD156+DORA_H_INT/24,0,""),IF(AE156&lt;=AD156+DORA_H_INT/24,1,0)))</f>
        <v/>
      </c>
      <c r="BU156" s="35" t="str">
        <f aca="true">IF(OR(BR156="",AE156=""),"",IF(AF156="",IF(NOW()&gt;EDATE(AE156,DORA_M_FIN)+1,0,""),IF(AF156&lt;=EDATE(AE156,DORA_M_FIN),1,0)))</f>
        <v/>
      </c>
      <c r="BV156" s="35" t="str">
        <f aca="false">IF(BR156="","",IF(COUNT(BS156:BU156)=0,"",MIN(BS156:BU156)))</f>
        <v/>
      </c>
      <c r="BW156" s="40" t="str">
        <f aca="false">IF(AQ156&lt;&gt;1,"",IF(AND(AG156="",AH156=""),"",N(AG156)-N(AH156)))</f>
        <v/>
      </c>
      <c r="BX156" s="35" t="str">
        <f aca="true">IF(OR(AQ156&lt;&gt;1,AI156&lt;&gt;"Oui",AJ156=""),"",IF(AK156="",IF(NOW()&gt;AJ156+1,0,""),IF(AK156&lt;=AJ156,1,0)))</f>
        <v/>
      </c>
    </row>
    <row r="157" customFormat="false" ht="15" hidden="false" customHeight="false" outlineLevel="0" collapsed="false">
      <c r="B157" s="29"/>
      <c r="C157" s="29"/>
      <c r="D157" s="29"/>
      <c r="E157" s="29"/>
      <c r="F157" s="29"/>
      <c r="G157" s="29"/>
      <c r="H157" s="29"/>
      <c r="I157" s="29"/>
      <c r="J157" s="29"/>
      <c r="K157" s="29"/>
      <c r="L157" s="29"/>
      <c r="M157" s="29"/>
      <c r="N157" s="30"/>
      <c r="O157" s="30"/>
      <c r="P157" s="30"/>
      <c r="Q157" s="30"/>
      <c r="R157" s="30"/>
      <c r="S157" s="30"/>
      <c r="T157" s="30"/>
      <c r="U157" s="30"/>
      <c r="V157" s="31"/>
      <c r="W157" s="29"/>
      <c r="X157" s="29"/>
      <c r="Y157" s="29"/>
      <c r="Z157" s="29"/>
      <c r="AA157" s="30"/>
      <c r="AB157" s="30"/>
      <c r="AC157" s="30"/>
      <c r="AD157" s="30"/>
      <c r="AE157" s="30"/>
      <c r="AF157" s="32"/>
      <c r="AG157" s="33"/>
      <c r="AH157" s="33"/>
      <c r="AI157" s="29"/>
      <c r="AJ157" s="32"/>
      <c r="AK157" s="32"/>
      <c r="AL157" s="29"/>
      <c r="AN157" s="34" t="str">
        <f aca="false">IF($B157="","",IF(OR(C157="",D157="",E157="",G157="",I157="",J157="",L157="",O157="",P157=""),"Champ obligatoire manquant",IF(OR(AND(N157&lt;&gt;"",N157&gt;O157),O157&gt;P157,AND(Q157&lt;&gt;"",Q157&lt;P157),AND(R157&lt;&gt;"",R157&lt;P157),AND(S157&lt;&gt;"",S157&lt;R157),AND(S157&lt;&gt;"",R157=""),AND(T157&lt;&gt;"",T157&lt;O157),AND(U157&lt;&gt;"",U157&lt;O157)),"Chronologie incohérente",IF(AND(OR(L157="Résolu",L157="Clos"),R157=""),"Date de résolution manquante",IF(AND(L157="Clos",S157=""),"Date de clôture manquante",IF(AND(K157="Oui",AC157=""),"Classification DORA manquante","OK"))))))</f>
        <v/>
      </c>
      <c r="AO157" s="35" t="str">
        <f aca="false">IF($B157="","",IF(AND(C157="Incident",L157&lt;&gt;"Annulé"),1,0))</f>
        <v/>
      </c>
      <c r="AP157" s="35" t="str">
        <f aca="false">IF($B157="","",IF(AND(C157="Quasi-incident",L157&lt;&gt;"Annulé"),1,0))</f>
        <v/>
      </c>
      <c r="AQ157" s="35" t="str">
        <f aca="false">IF($B157="","",AO157+AP157)</f>
        <v/>
      </c>
      <c r="AR157" s="36" t="str">
        <f aca="false">IF(OR($B157="",J157=""),"",IFERROR(VALUE(LEFT(J157,1)),""))</f>
        <v/>
      </c>
      <c r="AS157" s="35" t="str">
        <f aca="false">IF(OR(AO157&lt;&gt;1,G157=""),"",IFERROR(IF(INDEX(L_SrcInterne,MATCH(G157,L_Sources,0))="Oui",1,0),""))</f>
        <v/>
      </c>
      <c r="AT157" s="37" t="str">
        <f aca="false">IF(AO157&lt;&gt;1,"",IFERROR(ROUND(IF(OR(N157="",O157=""),"",IF(O157&lt;N157,"",ROUND(((NETWORKDAYS(N157,O157,JoursFeries)-1)*(HFer-HOuv)+IF(NETWORKDAYS(O157,O157,JoursFeries),MEDIAN(MOD(O157,1),HFer,HOuv),HFer)-IF(NETWORKDAYS(N157,N157,JoursFeries),MEDIAN(MOD(N157,1),HFer,HOuv),HOuv))*24,4)))/HJour,4),""))</f>
        <v/>
      </c>
      <c r="AU157" s="37" t="str">
        <f aca="false">IF(AO157&lt;&gt;1,"",IF(OR(O157="",P157=""),"",IF(P157&lt;O157,"",ROUND(((NETWORKDAYS(O157,P157,JoursFeries)-1)*(HFer-HOuv)+IF(NETWORKDAYS(P157,P157,JoursFeries),MEDIAN(MOD(P157,1),HFer,HOuv),HFer)-IF(NETWORKDAYS(O157,O157,JoursFeries),MEDIAN(MOD(O157,1),HFer,HOuv),HOuv))*24,4))))</f>
        <v/>
      </c>
      <c r="AV157" s="37" t="str">
        <f aca="false">IF(AO157&lt;&gt;1,"",IF(OR(P157="",Q157=""),"",IF(Q157&lt;P157,"",ROUND(((NETWORKDAYS(P157,Q157,JoursFeries)-1)*(HFer-HOuv)+IF(NETWORKDAYS(Q157,Q157,JoursFeries),MEDIAN(MOD(Q157,1),HFer,HOuv),HFer)-IF(NETWORKDAYS(P157,P157,JoursFeries),MEDIAN(MOD(P157,1),HFer,HOuv),HOuv))*24,4))))</f>
        <v/>
      </c>
      <c r="AW157" s="37" t="str">
        <f aca="false">IF(AO157&lt;&gt;1,"",IFERROR(ROUND(IF(OR(P157="",R157=""),"",IF(R157&lt;P157,"",ROUND(((NETWORKDAYS(P157,R157,JoursFeries)-1)*(HFer-HOuv)+IF(NETWORKDAYS(R157,R157,JoursFeries),MEDIAN(MOD(R157,1),HFer,HOuv),HFer)-IF(NETWORKDAYS(P157,P157,JoursFeries),MEDIAN(MOD(P157,1),HFer,HOuv),HOuv))*24,4)))/HJour,4),""))</f>
        <v/>
      </c>
      <c r="AX157" s="37" t="str">
        <f aca="false">IF(AO157&lt;&gt;1,"",IFERROR(ROUND(IF(OR(P157="",S157=""),"",IF(S157&lt;P157,"",ROUND(((NETWORKDAYS(P157,S157,JoursFeries)-1)*(HFer-HOuv)+IF(NETWORKDAYS(S157,S157,JoursFeries),MEDIAN(MOD(S157,1),HFer,HOuv),HFer)-IF(NETWORKDAYS(P157,P157,JoursFeries),MEDIAN(MOD(P157,1),HFer,HOuv),HOuv))*24,4)))/HJour,4),""))</f>
        <v/>
      </c>
      <c r="AY157" s="36" t="str">
        <f aca="false">IF(OR(AO157&lt;&gt;1,AR157=""),"",INDEX(SLA_PEC,AR157))</f>
        <v/>
      </c>
      <c r="AZ157" s="35" t="str">
        <f aca="false">IF(OR(AV157="",AY157=""),"",IF(AV157&lt;=AY157,1,0))</f>
        <v/>
      </c>
      <c r="BA157" s="36" t="str">
        <f aca="false">IF(OR(AO157&lt;&gt;1,AR157=""),"",INDEX(SLA_RES,AR157))</f>
        <v/>
      </c>
      <c r="BB157" s="35" t="str">
        <f aca="false">IF(OR(AW157="",BA157=""),"",IF(AW157&lt;=BA157,1,0))</f>
        <v/>
      </c>
      <c r="BC157" s="38" t="str">
        <f aca="false">IF(OR(BA157="",P157=""),"",WORKDAY(INT(P157),BA157,JoursFeries)+MOD(P157,1))</f>
        <v/>
      </c>
      <c r="BD157" s="39" t="str">
        <f aca="false">IF(AO157&lt;&gt;1,"",IF(OR(AB157&lt;&gt;"",AD157&lt;&gt;""),4,IF(U157&lt;&gt;"",3,IF(T157&lt;&gt;"",2,1))))</f>
        <v/>
      </c>
      <c r="BE157" s="39" t="str">
        <f aca="false">IF(OR(AO157&lt;&gt;1,AR157=""),"",INDEX(NIV_REQ,AR157))</f>
        <v/>
      </c>
      <c r="BF157" s="39" t="str">
        <f aca="false">IF(BE157="","",MAX(BE157,IF(OR(K157="Oui",Z157="Oui"),4,1)))</f>
        <v/>
      </c>
      <c r="BG157" s="35" t="str">
        <f aca="false">IF(OR(BF157="",BD157=""),"",IF(BD157&gt;=BF157,1,0))</f>
        <v/>
      </c>
      <c r="BH157" s="38" t="str">
        <f aca="false">IF(BE157="","",IF(BE157&lt;2,"",IF(BE157=2,IF(AND(T157="",U157=""),"",MIN(T157,U157)),IF(U157="","",U157))))</f>
        <v/>
      </c>
      <c r="BI157" s="37" t="str">
        <f aca="false">IF(BH157="","",IF(OR(O157="",BH157=""),"",IF(BH157&lt;O157,"",ROUND(((NETWORKDAYS(O157,BH157,JoursFeries)-1)*(HFer-HOuv)+IF(NETWORKDAYS(BH157,BH157,JoursFeries),MEDIAN(MOD(BH157,1),HFer,HOuv),HFer)-IF(NETWORKDAYS(O157,O157,JoursFeries),MEDIAN(MOD(O157,1),HFer,HOuv),HOuv))*24,4))))</f>
        <v/>
      </c>
      <c r="BJ157" s="35" t="str">
        <f aca="false">IF(OR(BI157="",AR157=""),"",IF(BI157&lt;=INDEX(DELAI_ESC,AR157),1,0))</f>
        <v/>
      </c>
      <c r="BK157" s="38" t="str">
        <f aca="false">IF(AO157&lt;&gt;1,"",IF(AND(T157="",U157=""),"",MIN(T157,U157)))</f>
        <v/>
      </c>
      <c r="BL157" s="37" t="str">
        <f aca="false">IF(OR(BK157="",R157=""),"",IFERROR(ROUND(IF(OR(BK157="",R157=""),"",IF(R157&lt;BK157,"",ROUND(((NETWORKDAYS(BK157,R157,JoursFeries)-1)*(HFer-HOuv)+IF(NETWORKDAYS(R157,R157,JoursFeries),MEDIAN(MOD(R157,1),HFer,HOuv),HFer)-IF(NETWORKDAYS(BK157,BK157,JoursFeries),MEDIAN(MOD(BK157,1),HFer,HOuv),HOuv))*24,4)))/HJour,4),""))</f>
        <v/>
      </c>
      <c r="BM157" s="35" t="str">
        <f aca="false">IF(OR(AO157&lt;&gt;1,R157=""),"",IF(BD157=1,1,0))</f>
        <v/>
      </c>
      <c r="BN157" s="35" t="str">
        <f aca="false">IF(AO157&lt;&gt;1,"",IF(W157="Oui",1,0))</f>
        <v/>
      </c>
      <c r="BO157" s="35" t="str">
        <f aca="false">IF(AO157&lt;&gt;1,"",IF(X157&lt;&gt;"",1,0))</f>
        <v/>
      </c>
      <c r="BP157" s="35" t="str">
        <f aca="false">IF(AO157&lt;&gt;1,"",IF(Y157="Oui",1,0))</f>
        <v/>
      </c>
      <c r="BQ157" s="35" t="str">
        <f aca="true">IF(OR(AO157&lt;&gt;1,Z157&lt;&gt;"Oui"),"",IF(AB157="",IF(AND(AA157&lt;&gt;"",NOW()&gt;AA157),0,""),IF(AA157="","",IF(AB157&lt;=AA157,1,0))))</f>
        <v/>
      </c>
      <c r="BR157" s="38" t="str">
        <f aca="false">IF(OR(AO157&lt;&gt;1,K157&lt;&gt;"Oui",O157=""),"",IF(AC157="",O157+DORA_H_DET/24,IF(AC157-O157&lt;=DORA_H_DET/24,MIN(AC157+DORA_H_CLA/24,O157+DORA_H_DET/24),AC157+DORA_H_CLA/24)))</f>
        <v/>
      </c>
      <c r="BS157" s="35" t="str">
        <f aca="true">IF(BR157="","",IF(AD157="",IF(NOW()&gt;BR157,0,""),IF(AD157&lt;=BR157,1,0)))</f>
        <v/>
      </c>
      <c r="BT157" s="35" t="str">
        <f aca="true">IF(OR(BR157="",AD157=""),"",IF(AE157="",IF(NOW()&gt;AD157+DORA_H_INT/24,0,""),IF(AE157&lt;=AD157+DORA_H_INT/24,1,0)))</f>
        <v/>
      </c>
      <c r="BU157" s="35" t="str">
        <f aca="true">IF(OR(BR157="",AE157=""),"",IF(AF157="",IF(NOW()&gt;EDATE(AE157,DORA_M_FIN)+1,0,""),IF(AF157&lt;=EDATE(AE157,DORA_M_FIN),1,0)))</f>
        <v/>
      </c>
      <c r="BV157" s="35" t="str">
        <f aca="false">IF(BR157="","",IF(COUNT(BS157:BU157)=0,"",MIN(BS157:BU157)))</f>
        <v/>
      </c>
      <c r="BW157" s="40" t="str">
        <f aca="false">IF(AQ157&lt;&gt;1,"",IF(AND(AG157="",AH157=""),"",N(AG157)-N(AH157)))</f>
        <v/>
      </c>
      <c r="BX157" s="35" t="str">
        <f aca="true">IF(OR(AQ157&lt;&gt;1,AI157&lt;&gt;"Oui",AJ157=""),"",IF(AK157="",IF(NOW()&gt;AJ157+1,0,""),IF(AK157&lt;=AJ157,1,0)))</f>
        <v/>
      </c>
    </row>
    <row r="158" customFormat="false" ht="15" hidden="false" customHeight="false" outlineLevel="0" collapsed="false">
      <c r="B158" s="29"/>
      <c r="C158" s="29"/>
      <c r="D158" s="29"/>
      <c r="E158" s="29"/>
      <c r="F158" s="29"/>
      <c r="G158" s="29"/>
      <c r="H158" s="29"/>
      <c r="I158" s="29"/>
      <c r="J158" s="29"/>
      <c r="K158" s="29"/>
      <c r="L158" s="29"/>
      <c r="M158" s="29"/>
      <c r="N158" s="30"/>
      <c r="O158" s="30"/>
      <c r="P158" s="30"/>
      <c r="Q158" s="30"/>
      <c r="R158" s="30"/>
      <c r="S158" s="30"/>
      <c r="T158" s="30"/>
      <c r="U158" s="30"/>
      <c r="V158" s="31"/>
      <c r="W158" s="29"/>
      <c r="X158" s="29"/>
      <c r="Y158" s="29"/>
      <c r="Z158" s="29"/>
      <c r="AA158" s="30"/>
      <c r="AB158" s="30"/>
      <c r="AC158" s="30"/>
      <c r="AD158" s="30"/>
      <c r="AE158" s="30"/>
      <c r="AF158" s="32"/>
      <c r="AG158" s="33"/>
      <c r="AH158" s="33"/>
      <c r="AI158" s="29"/>
      <c r="AJ158" s="32"/>
      <c r="AK158" s="32"/>
      <c r="AL158" s="29"/>
      <c r="AN158" s="34" t="str">
        <f aca="false">IF($B158="","",IF(OR(C158="",D158="",E158="",G158="",I158="",J158="",L158="",O158="",P158=""),"Champ obligatoire manquant",IF(OR(AND(N158&lt;&gt;"",N158&gt;O158),O158&gt;P158,AND(Q158&lt;&gt;"",Q158&lt;P158),AND(R158&lt;&gt;"",R158&lt;P158),AND(S158&lt;&gt;"",S158&lt;R158),AND(S158&lt;&gt;"",R158=""),AND(T158&lt;&gt;"",T158&lt;O158),AND(U158&lt;&gt;"",U158&lt;O158)),"Chronologie incohérente",IF(AND(OR(L158="Résolu",L158="Clos"),R158=""),"Date de résolution manquante",IF(AND(L158="Clos",S158=""),"Date de clôture manquante",IF(AND(K158="Oui",AC158=""),"Classification DORA manquante","OK"))))))</f>
        <v/>
      </c>
      <c r="AO158" s="35" t="str">
        <f aca="false">IF($B158="","",IF(AND(C158="Incident",L158&lt;&gt;"Annulé"),1,0))</f>
        <v/>
      </c>
      <c r="AP158" s="35" t="str">
        <f aca="false">IF($B158="","",IF(AND(C158="Quasi-incident",L158&lt;&gt;"Annulé"),1,0))</f>
        <v/>
      </c>
      <c r="AQ158" s="35" t="str">
        <f aca="false">IF($B158="","",AO158+AP158)</f>
        <v/>
      </c>
      <c r="AR158" s="36" t="str">
        <f aca="false">IF(OR($B158="",J158=""),"",IFERROR(VALUE(LEFT(J158,1)),""))</f>
        <v/>
      </c>
      <c r="AS158" s="35" t="str">
        <f aca="false">IF(OR(AO158&lt;&gt;1,G158=""),"",IFERROR(IF(INDEX(L_SrcInterne,MATCH(G158,L_Sources,0))="Oui",1,0),""))</f>
        <v/>
      </c>
      <c r="AT158" s="37" t="str">
        <f aca="false">IF(AO158&lt;&gt;1,"",IFERROR(ROUND(IF(OR(N158="",O158=""),"",IF(O158&lt;N158,"",ROUND(((NETWORKDAYS(N158,O158,JoursFeries)-1)*(HFer-HOuv)+IF(NETWORKDAYS(O158,O158,JoursFeries),MEDIAN(MOD(O158,1),HFer,HOuv),HFer)-IF(NETWORKDAYS(N158,N158,JoursFeries),MEDIAN(MOD(N158,1),HFer,HOuv),HOuv))*24,4)))/HJour,4),""))</f>
        <v/>
      </c>
      <c r="AU158" s="37" t="str">
        <f aca="false">IF(AO158&lt;&gt;1,"",IF(OR(O158="",P158=""),"",IF(P158&lt;O158,"",ROUND(((NETWORKDAYS(O158,P158,JoursFeries)-1)*(HFer-HOuv)+IF(NETWORKDAYS(P158,P158,JoursFeries),MEDIAN(MOD(P158,1),HFer,HOuv),HFer)-IF(NETWORKDAYS(O158,O158,JoursFeries),MEDIAN(MOD(O158,1),HFer,HOuv),HOuv))*24,4))))</f>
        <v/>
      </c>
      <c r="AV158" s="37" t="str">
        <f aca="false">IF(AO158&lt;&gt;1,"",IF(OR(P158="",Q158=""),"",IF(Q158&lt;P158,"",ROUND(((NETWORKDAYS(P158,Q158,JoursFeries)-1)*(HFer-HOuv)+IF(NETWORKDAYS(Q158,Q158,JoursFeries),MEDIAN(MOD(Q158,1),HFer,HOuv),HFer)-IF(NETWORKDAYS(P158,P158,JoursFeries),MEDIAN(MOD(P158,1),HFer,HOuv),HOuv))*24,4))))</f>
        <v/>
      </c>
      <c r="AW158" s="37" t="str">
        <f aca="false">IF(AO158&lt;&gt;1,"",IFERROR(ROUND(IF(OR(P158="",R158=""),"",IF(R158&lt;P158,"",ROUND(((NETWORKDAYS(P158,R158,JoursFeries)-1)*(HFer-HOuv)+IF(NETWORKDAYS(R158,R158,JoursFeries),MEDIAN(MOD(R158,1),HFer,HOuv),HFer)-IF(NETWORKDAYS(P158,P158,JoursFeries),MEDIAN(MOD(P158,1),HFer,HOuv),HOuv))*24,4)))/HJour,4),""))</f>
        <v/>
      </c>
      <c r="AX158" s="37" t="str">
        <f aca="false">IF(AO158&lt;&gt;1,"",IFERROR(ROUND(IF(OR(P158="",S158=""),"",IF(S158&lt;P158,"",ROUND(((NETWORKDAYS(P158,S158,JoursFeries)-1)*(HFer-HOuv)+IF(NETWORKDAYS(S158,S158,JoursFeries),MEDIAN(MOD(S158,1),HFer,HOuv),HFer)-IF(NETWORKDAYS(P158,P158,JoursFeries),MEDIAN(MOD(P158,1),HFer,HOuv),HOuv))*24,4)))/HJour,4),""))</f>
        <v/>
      </c>
      <c r="AY158" s="36" t="str">
        <f aca="false">IF(OR(AO158&lt;&gt;1,AR158=""),"",INDEX(SLA_PEC,AR158))</f>
        <v/>
      </c>
      <c r="AZ158" s="35" t="str">
        <f aca="false">IF(OR(AV158="",AY158=""),"",IF(AV158&lt;=AY158,1,0))</f>
        <v/>
      </c>
      <c r="BA158" s="36" t="str">
        <f aca="false">IF(OR(AO158&lt;&gt;1,AR158=""),"",INDEX(SLA_RES,AR158))</f>
        <v/>
      </c>
      <c r="BB158" s="35" t="str">
        <f aca="false">IF(OR(AW158="",BA158=""),"",IF(AW158&lt;=BA158,1,0))</f>
        <v/>
      </c>
      <c r="BC158" s="38" t="str">
        <f aca="false">IF(OR(BA158="",P158=""),"",WORKDAY(INT(P158),BA158,JoursFeries)+MOD(P158,1))</f>
        <v/>
      </c>
      <c r="BD158" s="39" t="str">
        <f aca="false">IF(AO158&lt;&gt;1,"",IF(OR(AB158&lt;&gt;"",AD158&lt;&gt;""),4,IF(U158&lt;&gt;"",3,IF(T158&lt;&gt;"",2,1))))</f>
        <v/>
      </c>
      <c r="BE158" s="39" t="str">
        <f aca="false">IF(OR(AO158&lt;&gt;1,AR158=""),"",INDEX(NIV_REQ,AR158))</f>
        <v/>
      </c>
      <c r="BF158" s="39" t="str">
        <f aca="false">IF(BE158="","",MAX(BE158,IF(OR(K158="Oui",Z158="Oui"),4,1)))</f>
        <v/>
      </c>
      <c r="BG158" s="35" t="str">
        <f aca="false">IF(OR(BF158="",BD158=""),"",IF(BD158&gt;=BF158,1,0))</f>
        <v/>
      </c>
      <c r="BH158" s="38" t="str">
        <f aca="false">IF(BE158="","",IF(BE158&lt;2,"",IF(BE158=2,IF(AND(T158="",U158=""),"",MIN(T158,U158)),IF(U158="","",U158))))</f>
        <v/>
      </c>
      <c r="BI158" s="37" t="str">
        <f aca="false">IF(BH158="","",IF(OR(O158="",BH158=""),"",IF(BH158&lt;O158,"",ROUND(((NETWORKDAYS(O158,BH158,JoursFeries)-1)*(HFer-HOuv)+IF(NETWORKDAYS(BH158,BH158,JoursFeries),MEDIAN(MOD(BH158,1),HFer,HOuv),HFer)-IF(NETWORKDAYS(O158,O158,JoursFeries),MEDIAN(MOD(O158,1),HFer,HOuv),HOuv))*24,4))))</f>
        <v/>
      </c>
      <c r="BJ158" s="35" t="str">
        <f aca="false">IF(OR(BI158="",AR158=""),"",IF(BI158&lt;=INDEX(DELAI_ESC,AR158),1,0))</f>
        <v/>
      </c>
      <c r="BK158" s="38" t="str">
        <f aca="false">IF(AO158&lt;&gt;1,"",IF(AND(T158="",U158=""),"",MIN(T158,U158)))</f>
        <v/>
      </c>
      <c r="BL158" s="37" t="str">
        <f aca="false">IF(OR(BK158="",R158=""),"",IFERROR(ROUND(IF(OR(BK158="",R158=""),"",IF(R158&lt;BK158,"",ROUND(((NETWORKDAYS(BK158,R158,JoursFeries)-1)*(HFer-HOuv)+IF(NETWORKDAYS(R158,R158,JoursFeries),MEDIAN(MOD(R158,1),HFer,HOuv),HFer)-IF(NETWORKDAYS(BK158,BK158,JoursFeries),MEDIAN(MOD(BK158,1),HFer,HOuv),HOuv))*24,4)))/HJour,4),""))</f>
        <v/>
      </c>
      <c r="BM158" s="35" t="str">
        <f aca="false">IF(OR(AO158&lt;&gt;1,R158=""),"",IF(BD158=1,1,0))</f>
        <v/>
      </c>
      <c r="BN158" s="35" t="str">
        <f aca="false">IF(AO158&lt;&gt;1,"",IF(W158="Oui",1,0))</f>
        <v/>
      </c>
      <c r="BO158" s="35" t="str">
        <f aca="false">IF(AO158&lt;&gt;1,"",IF(X158&lt;&gt;"",1,0))</f>
        <v/>
      </c>
      <c r="BP158" s="35" t="str">
        <f aca="false">IF(AO158&lt;&gt;1,"",IF(Y158="Oui",1,0))</f>
        <v/>
      </c>
      <c r="BQ158" s="35" t="str">
        <f aca="true">IF(OR(AO158&lt;&gt;1,Z158&lt;&gt;"Oui"),"",IF(AB158="",IF(AND(AA158&lt;&gt;"",NOW()&gt;AA158),0,""),IF(AA158="","",IF(AB158&lt;=AA158,1,0))))</f>
        <v/>
      </c>
      <c r="BR158" s="38" t="str">
        <f aca="false">IF(OR(AO158&lt;&gt;1,K158&lt;&gt;"Oui",O158=""),"",IF(AC158="",O158+DORA_H_DET/24,IF(AC158-O158&lt;=DORA_H_DET/24,MIN(AC158+DORA_H_CLA/24,O158+DORA_H_DET/24),AC158+DORA_H_CLA/24)))</f>
        <v/>
      </c>
      <c r="BS158" s="35" t="str">
        <f aca="true">IF(BR158="","",IF(AD158="",IF(NOW()&gt;BR158,0,""),IF(AD158&lt;=BR158,1,0)))</f>
        <v/>
      </c>
      <c r="BT158" s="35" t="str">
        <f aca="true">IF(OR(BR158="",AD158=""),"",IF(AE158="",IF(NOW()&gt;AD158+DORA_H_INT/24,0,""),IF(AE158&lt;=AD158+DORA_H_INT/24,1,0)))</f>
        <v/>
      </c>
      <c r="BU158" s="35" t="str">
        <f aca="true">IF(OR(BR158="",AE158=""),"",IF(AF158="",IF(NOW()&gt;EDATE(AE158,DORA_M_FIN)+1,0,""),IF(AF158&lt;=EDATE(AE158,DORA_M_FIN),1,0)))</f>
        <v/>
      </c>
      <c r="BV158" s="35" t="str">
        <f aca="false">IF(BR158="","",IF(COUNT(BS158:BU158)=0,"",MIN(BS158:BU158)))</f>
        <v/>
      </c>
      <c r="BW158" s="40" t="str">
        <f aca="false">IF(AQ158&lt;&gt;1,"",IF(AND(AG158="",AH158=""),"",N(AG158)-N(AH158)))</f>
        <v/>
      </c>
      <c r="BX158" s="35" t="str">
        <f aca="true">IF(OR(AQ158&lt;&gt;1,AI158&lt;&gt;"Oui",AJ158=""),"",IF(AK158="",IF(NOW()&gt;AJ158+1,0,""),IF(AK158&lt;=AJ158,1,0)))</f>
        <v/>
      </c>
    </row>
    <row r="159" customFormat="false" ht="15" hidden="false" customHeight="false" outlineLevel="0" collapsed="false">
      <c r="B159" s="29"/>
      <c r="C159" s="29"/>
      <c r="D159" s="29"/>
      <c r="E159" s="29"/>
      <c r="F159" s="29"/>
      <c r="G159" s="29"/>
      <c r="H159" s="29"/>
      <c r="I159" s="29"/>
      <c r="J159" s="29"/>
      <c r="K159" s="29"/>
      <c r="L159" s="29"/>
      <c r="M159" s="29"/>
      <c r="N159" s="30"/>
      <c r="O159" s="30"/>
      <c r="P159" s="30"/>
      <c r="Q159" s="30"/>
      <c r="R159" s="30"/>
      <c r="S159" s="30"/>
      <c r="T159" s="30"/>
      <c r="U159" s="30"/>
      <c r="V159" s="31"/>
      <c r="W159" s="29"/>
      <c r="X159" s="29"/>
      <c r="Y159" s="29"/>
      <c r="Z159" s="29"/>
      <c r="AA159" s="30"/>
      <c r="AB159" s="30"/>
      <c r="AC159" s="30"/>
      <c r="AD159" s="30"/>
      <c r="AE159" s="30"/>
      <c r="AF159" s="32"/>
      <c r="AG159" s="33"/>
      <c r="AH159" s="33"/>
      <c r="AI159" s="29"/>
      <c r="AJ159" s="32"/>
      <c r="AK159" s="32"/>
      <c r="AL159" s="29"/>
      <c r="AN159" s="34" t="str">
        <f aca="false">IF($B159="","",IF(OR(C159="",D159="",E159="",G159="",I159="",J159="",L159="",O159="",P159=""),"Champ obligatoire manquant",IF(OR(AND(N159&lt;&gt;"",N159&gt;O159),O159&gt;P159,AND(Q159&lt;&gt;"",Q159&lt;P159),AND(R159&lt;&gt;"",R159&lt;P159),AND(S159&lt;&gt;"",S159&lt;R159),AND(S159&lt;&gt;"",R159=""),AND(T159&lt;&gt;"",T159&lt;O159),AND(U159&lt;&gt;"",U159&lt;O159)),"Chronologie incohérente",IF(AND(OR(L159="Résolu",L159="Clos"),R159=""),"Date de résolution manquante",IF(AND(L159="Clos",S159=""),"Date de clôture manquante",IF(AND(K159="Oui",AC159=""),"Classification DORA manquante","OK"))))))</f>
        <v/>
      </c>
      <c r="AO159" s="35" t="str">
        <f aca="false">IF($B159="","",IF(AND(C159="Incident",L159&lt;&gt;"Annulé"),1,0))</f>
        <v/>
      </c>
      <c r="AP159" s="35" t="str">
        <f aca="false">IF($B159="","",IF(AND(C159="Quasi-incident",L159&lt;&gt;"Annulé"),1,0))</f>
        <v/>
      </c>
      <c r="AQ159" s="35" t="str">
        <f aca="false">IF($B159="","",AO159+AP159)</f>
        <v/>
      </c>
      <c r="AR159" s="36" t="str">
        <f aca="false">IF(OR($B159="",J159=""),"",IFERROR(VALUE(LEFT(J159,1)),""))</f>
        <v/>
      </c>
      <c r="AS159" s="35" t="str">
        <f aca="false">IF(OR(AO159&lt;&gt;1,G159=""),"",IFERROR(IF(INDEX(L_SrcInterne,MATCH(G159,L_Sources,0))="Oui",1,0),""))</f>
        <v/>
      </c>
      <c r="AT159" s="37" t="str">
        <f aca="false">IF(AO159&lt;&gt;1,"",IFERROR(ROUND(IF(OR(N159="",O159=""),"",IF(O159&lt;N159,"",ROUND(((NETWORKDAYS(N159,O159,JoursFeries)-1)*(HFer-HOuv)+IF(NETWORKDAYS(O159,O159,JoursFeries),MEDIAN(MOD(O159,1),HFer,HOuv),HFer)-IF(NETWORKDAYS(N159,N159,JoursFeries),MEDIAN(MOD(N159,1),HFer,HOuv),HOuv))*24,4)))/HJour,4),""))</f>
        <v/>
      </c>
      <c r="AU159" s="37" t="str">
        <f aca="false">IF(AO159&lt;&gt;1,"",IF(OR(O159="",P159=""),"",IF(P159&lt;O159,"",ROUND(((NETWORKDAYS(O159,P159,JoursFeries)-1)*(HFer-HOuv)+IF(NETWORKDAYS(P159,P159,JoursFeries),MEDIAN(MOD(P159,1),HFer,HOuv),HFer)-IF(NETWORKDAYS(O159,O159,JoursFeries),MEDIAN(MOD(O159,1),HFer,HOuv),HOuv))*24,4))))</f>
        <v/>
      </c>
      <c r="AV159" s="37" t="str">
        <f aca="false">IF(AO159&lt;&gt;1,"",IF(OR(P159="",Q159=""),"",IF(Q159&lt;P159,"",ROUND(((NETWORKDAYS(P159,Q159,JoursFeries)-1)*(HFer-HOuv)+IF(NETWORKDAYS(Q159,Q159,JoursFeries),MEDIAN(MOD(Q159,1),HFer,HOuv),HFer)-IF(NETWORKDAYS(P159,P159,JoursFeries),MEDIAN(MOD(P159,1),HFer,HOuv),HOuv))*24,4))))</f>
        <v/>
      </c>
      <c r="AW159" s="37" t="str">
        <f aca="false">IF(AO159&lt;&gt;1,"",IFERROR(ROUND(IF(OR(P159="",R159=""),"",IF(R159&lt;P159,"",ROUND(((NETWORKDAYS(P159,R159,JoursFeries)-1)*(HFer-HOuv)+IF(NETWORKDAYS(R159,R159,JoursFeries),MEDIAN(MOD(R159,1),HFer,HOuv),HFer)-IF(NETWORKDAYS(P159,P159,JoursFeries),MEDIAN(MOD(P159,1),HFer,HOuv),HOuv))*24,4)))/HJour,4),""))</f>
        <v/>
      </c>
      <c r="AX159" s="37" t="str">
        <f aca="false">IF(AO159&lt;&gt;1,"",IFERROR(ROUND(IF(OR(P159="",S159=""),"",IF(S159&lt;P159,"",ROUND(((NETWORKDAYS(P159,S159,JoursFeries)-1)*(HFer-HOuv)+IF(NETWORKDAYS(S159,S159,JoursFeries),MEDIAN(MOD(S159,1),HFer,HOuv),HFer)-IF(NETWORKDAYS(P159,P159,JoursFeries),MEDIAN(MOD(P159,1),HFer,HOuv),HOuv))*24,4)))/HJour,4),""))</f>
        <v/>
      </c>
      <c r="AY159" s="36" t="str">
        <f aca="false">IF(OR(AO159&lt;&gt;1,AR159=""),"",INDEX(SLA_PEC,AR159))</f>
        <v/>
      </c>
      <c r="AZ159" s="35" t="str">
        <f aca="false">IF(OR(AV159="",AY159=""),"",IF(AV159&lt;=AY159,1,0))</f>
        <v/>
      </c>
      <c r="BA159" s="36" t="str">
        <f aca="false">IF(OR(AO159&lt;&gt;1,AR159=""),"",INDEX(SLA_RES,AR159))</f>
        <v/>
      </c>
      <c r="BB159" s="35" t="str">
        <f aca="false">IF(OR(AW159="",BA159=""),"",IF(AW159&lt;=BA159,1,0))</f>
        <v/>
      </c>
      <c r="BC159" s="38" t="str">
        <f aca="false">IF(OR(BA159="",P159=""),"",WORKDAY(INT(P159),BA159,JoursFeries)+MOD(P159,1))</f>
        <v/>
      </c>
      <c r="BD159" s="39" t="str">
        <f aca="false">IF(AO159&lt;&gt;1,"",IF(OR(AB159&lt;&gt;"",AD159&lt;&gt;""),4,IF(U159&lt;&gt;"",3,IF(T159&lt;&gt;"",2,1))))</f>
        <v/>
      </c>
      <c r="BE159" s="39" t="str">
        <f aca="false">IF(OR(AO159&lt;&gt;1,AR159=""),"",INDEX(NIV_REQ,AR159))</f>
        <v/>
      </c>
      <c r="BF159" s="39" t="str">
        <f aca="false">IF(BE159="","",MAX(BE159,IF(OR(K159="Oui",Z159="Oui"),4,1)))</f>
        <v/>
      </c>
      <c r="BG159" s="35" t="str">
        <f aca="false">IF(OR(BF159="",BD159=""),"",IF(BD159&gt;=BF159,1,0))</f>
        <v/>
      </c>
      <c r="BH159" s="38" t="str">
        <f aca="false">IF(BE159="","",IF(BE159&lt;2,"",IF(BE159=2,IF(AND(T159="",U159=""),"",MIN(T159,U159)),IF(U159="","",U159))))</f>
        <v/>
      </c>
      <c r="BI159" s="37" t="str">
        <f aca="false">IF(BH159="","",IF(OR(O159="",BH159=""),"",IF(BH159&lt;O159,"",ROUND(((NETWORKDAYS(O159,BH159,JoursFeries)-1)*(HFer-HOuv)+IF(NETWORKDAYS(BH159,BH159,JoursFeries),MEDIAN(MOD(BH159,1),HFer,HOuv),HFer)-IF(NETWORKDAYS(O159,O159,JoursFeries),MEDIAN(MOD(O159,1),HFer,HOuv),HOuv))*24,4))))</f>
        <v/>
      </c>
      <c r="BJ159" s="35" t="str">
        <f aca="false">IF(OR(BI159="",AR159=""),"",IF(BI159&lt;=INDEX(DELAI_ESC,AR159),1,0))</f>
        <v/>
      </c>
      <c r="BK159" s="38" t="str">
        <f aca="false">IF(AO159&lt;&gt;1,"",IF(AND(T159="",U159=""),"",MIN(T159,U159)))</f>
        <v/>
      </c>
      <c r="BL159" s="37" t="str">
        <f aca="false">IF(OR(BK159="",R159=""),"",IFERROR(ROUND(IF(OR(BK159="",R159=""),"",IF(R159&lt;BK159,"",ROUND(((NETWORKDAYS(BK159,R159,JoursFeries)-1)*(HFer-HOuv)+IF(NETWORKDAYS(R159,R159,JoursFeries),MEDIAN(MOD(R159,1),HFer,HOuv),HFer)-IF(NETWORKDAYS(BK159,BK159,JoursFeries),MEDIAN(MOD(BK159,1),HFer,HOuv),HOuv))*24,4)))/HJour,4),""))</f>
        <v/>
      </c>
      <c r="BM159" s="35" t="str">
        <f aca="false">IF(OR(AO159&lt;&gt;1,R159=""),"",IF(BD159=1,1,0))</f>
        <v/>
      </c>
      <c r="BN159" s="35" t="str">
        <f aca="false">IF(AO159&lt;&gt;1,"",IF(W159="Oui",1,0))</f>
        <v/>
      </c>
      <c r="BO159" s="35" t="str">
        <f aca="false">IF(AO159&lt;&gt;1,"",IF(X159&lt;&gt;"",1,0))</f>
        <v/>
      </c>
      <c r="BP159" s="35" t="str">
        <f aca="false">IF(AO159&lt;&gt;1,"",IF(Y159="Oui",1,0))</f>
        <v/>
      </c>
      <c r="BQ159" s="35" t="str">
        <f aca="true">IF(OR(AO159&lt;&gt;1,Z159&lt;&gt;"Oui"),"",IF(AB159="",IF(AND(AA159&lt;&gt;"",NOW()&gt;AA159),0,""),IF(AA159="","",IF(AB159&lt;=AA159,1,0))))</f>
        <v/>
      </c>
      <c r="BR159" s="38" t="str">
        <f aca="false">IF(OR(AO159&lt;&gt;1,K159&lt;&gt;"Oui",O159=""),"",IF(AC159="",O159+DORA_H_DET/24,IF(AC159-O159&lt;=DORA_H_DET/24,MIN(AC159+DORA_H_CLA/24,O159+DORA_H_DET/24),AC159+DORA_H_CLA/24)))</f>
        <v/>
      </c>
      <c r="BS159" s="35" t="str">
        <f aca="true">IF(BR159="","",IF(AD159="",IF(NOW()&gt;BR159,0,""),IF(AD159&lt;=BR159,1,0)))</f>
        <v/>
      </c>
      <c r="BT159" s="35" t="str">
        <f aca="true">IF(OR(BR159="",AD159=""),"",IF(AE159="",IF(NOW()&gt;AD159+DORA_H_INT/24,0,""),IF(AE159&lt;=AD159+DORA_H_INT/24,1,0)))</f>
        <v/>
      </c>
      <c r="BU159" s="35" t="str">
        <f aca="true">IF(OR(BR159="",AE159=""),"",IF(AF159="",IF(NOW()&gt;EDATE(AE159,DORA_M_FIN)+1,0,""),IF(AF159&lt;=EDATE(AE159,DORA_M_FIN),1,0)))</f>
        <v/>
      </c>
      <c r="BV159" s="35" t="str">
        <f aca="false">IF(BR159="","",IF(COUNT(BS159:BU159)=0,"",MIN(BS159:BU159)))</f>
        <v/>
      </c>
      <c r="BW159" s="40" t="str">
        <f aca="false">IF(AQ159&lt;&gt;1,"",IF(AND(AG159="",AH159=""),"",N(AG159)-N(AH159)))</f>
        <v/>
      </c>
      <c r="BX159" s="35" t="str">
        <f aca="true">IF(OR(AQ159&lt;&gt;1,AI159&lt;&gt;"Oui",AJ159=""),"",IF(AK159="",IF(NOW()&gt;AJ159+1,0,""),IF(AK159&lt;=AJ159,1,0)))</f>
        <v/>
      </c>
    </row>
    <row r="160" customFormat="false" ht="15" hidden="false" customHeight="false" outlineLevel="0" collapsed="false">
      <c r="B160" s="29"/>
      <c r="C160" s="29"/>
      <c r="D160" s="29"/>
      <c r="E160" s="29"/>
      <c r="F160" s="29"/>
      <c r="G160" s="29"/>
      <c r="H160" s="29"/>
      <c r="I160" s="29"/>
      <c r="J160" s="29"/>
      <c r="K160" s="29"/>
      <c r="L160" s="29"/>
      <c r="M160" s="29"/>
      <c r="N160" s="30"/>
      <c r="O160" s="30"/>
      <c r="P160" s="30"/>
      <c r="Q160" s="30"/>
      <c r="R160" s="30"/>
      <c r="S160" s="30"/>
      <c r="T160" s="30"/>
      <c r="U160" s="30"/>
      <c r="V160" s="31"/>
      <c r="W160" s="29"/>
      <c r="X160" s="29"/>
      <c r="Y160" s="29"/>
      <c r="Z160" s="29"/>
      <c r="AA160" s="30"/>
      <c r="AB160" s="30"/>
      <c r="AC160" s="30"/>
      <c r="AD160" s="30"/>
      <c r="AE160" s="30"/>
      <c r="AF160" s="32"/>
      <c r="AG160" s="33"/>
      <c r="AH160" s="33"/>
      <c r="AI160" s="29"/>
      <c r="AJ160" s="32"/>
      <c r="AK160" s="32"/>
      <c r="AL160" s="29"/>
      <c r="AN160" s="34" t="str">
        <f aca="false">IF($B160="","",IF(OR(C160="",D160="",E160="",G160="",I160="",J160="",L160="",O160="",P160=""),"Champ obligatoire manquant",IF(OR(AND(N160&lt;&gt;"",N160&gt;O160),O160&gt;P160,AND(Q160&lt;&gt;"",Q160&lt;P160),AND(R160&lt;&gt;"",R160&lt;P160),AND(S160&lt;&gt;"",S160&lt;R160),AND(S160&lt;&gt;"",R160=""),AND(T160&lt;&gt;"",T160&lt;O160),AND(U160&lt;&gt;"",U160&lt;O160)),"Chronologie incohérente",IF(AND(OR(L160="Résolu",L160="Clos"),R160=""),"Date de résolution manquante",IF(AND(L160="Clos",S160=""),"Date de clôture manquante",IF(AND(K160="Oui",AC160=""),"Classification DORA manquante","OK"))))))</f>
        <v/>
      </c>
      <c r="AO160" s="35" t="str">
        <f aca="false">IF($B160="","",IF(AND(C160="Incident",L160&lt;&gt;"Annulé"),1,0))</f>
        <v/>
      </c>
      <c r="AP160" s="35" t="str">
        <f aca="false">IF($B160="","",IF(AND(C160="Quasi-incident",L160&lt;&gt;"Annulé"),1,0))</f>
        <v/>
      </c>
      <c r="AQ160" s="35" t="str">
        <f aca="false">IF($B160="","",AO160+AP160)</f>
        <v/>
      </c>
      <c r="AR160" s="36" t="str">
        <f aca="false">IF(OR($B160="",J160=""),"",IFERROR(VALUE(LEFT(J160,1)),""))</f>
        <v/>
      </c>
      <c r="AS160" s="35" t="str">
        <f aca="false">IF(OR(AO160&lt;&gt;1,G160=""),"",IFERROR(IF(INDEX(L_SrcInterne,MATCH(G160,L_Sources,0))="Oui",1,0),""))</f>
        <v/>
      </c>
      <c r="AT160" s="37" t="str">
        <f aca="false">IF(AO160&lt;&gt;1,"",IFERROR(ROUND(IF(OR(N160="",O160=""),"",IF(O160&lt;N160,"",ROUND(((NETWORKDAYS(N160,O160,JoursFeries)-1)*(HFer-HOuv)+IF(NETWORKDAYS(O160,O160,JoursFeries),MEDIAN(MOD(O160,1),HFer,HOuv),HFer)-IF(NETWORKDAYS(N160,N160,JoursFeries),MEDIAN(MOD(N160,1),HFer,HOuv),HOuv))*24,4)))/HJour,4),""))</f>
        <v/>
      </c>
      <c r="AU160" s="37" t="str">
        <f aca="false">IF(AO160&lt;&gt;1,"",IF(OR(O160="",P160=""),"",IF(P160&lt;O160,"",ROUND(((NETWORKDAYS(O160,P160,JoursFeries)-1)*(HFer-HOuv)+IF(NETWORKDAYS(P160,P160,JoursFeries),MEDIAN(MOD(P160,1),HFer,HOuv),HFer)-IF(NETWORKDAYS(O160,O160,JoursFeries),MEDIAN(MOD(O160,1),HFer,HOuv),HOuv))*24,4))))</f>
        <v/>
      </c>
      <c r="AV160" s="37" t="str">
        <f aca="false">IF(AO160&lt;&gt;1,"",IF(OR(P160="",Q160=""),"",IF(Q160&lt;P160,"",ROUND(((NETWORKDAYS(P160,Q160,JoursFeries)-1)*(HFer-HOuv)+IF(NETWORKDAYS(Q160,Q160,JoursFeries),MEDIAN(MOD(Q160,1),HFer,HOuv),HFer)-IF(NETWORKDAYS(P160,P160,JoursFeries),MEDIAN(MOD(P160,1),HFer,HOuv),HOuv))*24,4))))</f>
        <v/>
      </c>
      <c r="AW160" s="37" t="str">
        <f aca="false">IF(AO160&lt;&gt;1,"",IFERROR(ROUND(IF(OR(P160="",R160=""),"",IF(R160&lt;P160,"",ROUND(((NETWORKDAYS(P160,R160,JoursFeries)-1)*(HFer-HOuv)+IF(NETWORKDAYS(R160,R160,JoursFeries),MEDIAN(MOD(R160,1),HFer,HOuv),HFer)-IF(NETWORKDAYS(P160,P160,JoursFeries),MEDIAN(MOD(P160,1),HFer,HOuv),HOuv))*24,4)))/HJour,4),""))</f>
        <v/>
      </c>
      <c r="AX160" s="37" t="str">
        <f aca="false">IF(AO160&lt;&gt;1,"",IFERROR(ROUND(IF(OR(P160="",S160=""),"",IF(S160&lt;P160,"",ROUND(((NETWORKDAYS(P160,S160,JoursFeries)-1)*(HFer-HOuv)+IF(NETWORKDAYS(S160,S160,JoursFeries),MEDIAN(MOD(S160,1),HFer,HOuv),HFer)-IF(NETWORKDAYS(P160,P160,JoursFeries),MEDIAN(MOD(P160,1),HFer,HOuv),HOuv))*24,4)))/HJour,4),""))</f>
        <v/>
      </c>
      <c r="AY160" s="36" t="str">
        <f aca="false">IF(OR(AO160&lt;&gt;1,AR160=""),"",INDEX(SLA_PEC,AR160))</f>
        <v/>
      </c>
      <c r="AZ160" s="35" t="str">
        <f aca="false">IF(OR(AV160="",AY160=""),"",IF(AV160&lt;=AY160,1,0))</f>
        <v/>
      </c>
      <c r="BA160" s="36" t="str">
        <f aca="false">IF(OR(AO160&lt;&gt;1,AR160=""),"",INDEX(SLA_RES,AR160))</f>
        <v/>
      </c>
      <c r="BB160" s="35" t="str">
        <f aca="false">IF(OR(AW160="",BA160=""),"",IF(AW160&lt;=BA160,1,0))</f>
        <v/>
      </c>
      <c r="BC160" s="38" t="str">
        <f aca="false">IF(OR(BA160="",P160=""),"",WORKDAY(INT(P160),BA160,JoursFeries)+MOD(P160,1))</f>
        <v/>
      </c>
      <c r="BD160" s="39" t="str">
        <f aca="false">IF(AO160&lt;&gt;1,"",IF(OR(AB160&lt;&gt;"",AD160&lt;&gt;""),4,IF(U160&lt;&gt;"",3,IF(T160&lt;&gt;"",2,1))))</f>
        <v/>
      </c>
      <c r="BE160" s="39" t="str">
        <f aca="false">IF(OR(AO160&lt;&gt;1,AR160=""),"",INDEX(NIV_REQ,AR160))</f>
        <v/>
      </c>
      <c r="BF160" s="39" t="str">
        <f aca="false">IF(BE160="","",MAX(BE160,IF(OR(K160="Oui",Z160="Oui"),4,1)))</f>
        <v/>
      </c>
      <c r="BG160" s="35" t="str">
        <f aca="false">IF(OR(BF160="",BD160=""),"",IF(BD160&gt;=BF160,1,0))</f>
        <v/>
      </c>
      <c r="BH160" s="38" t="str">
        <f aca="false">IF(BE160="","",IF(BE160&lt;2,"",IF(BE160=2,IF(AND(T160="",U160=""),"",MIN(T160,U160)),IF(U160="","",U160))))</f>
        <v/>
      </c>
      <c r="BI160" s="37" t="str">
        <f aca="false">IF(BH160="","",IF(OR(O160="",BH160=""),"",IF(BH160&lt;O160,"",ROUND(((NETWORKDAYS(O160,BH160,JoursFeries)-1)*(HFer-HOuv)+IF(NETWORKDAYS(BH160,BH160,JoursFeries),MEDIAN(MOD(BH160,1),HFer,HOuv),HFer)-IF(NETWORKDAYS(O160,O160,JoursFeries),MEDIAN(MOD(O160,1),HFer,HOuv),HOuv))*24,4))))</f>
        <v/>
      </c>
      <c r="BJ160" s="35" t="str">
        <f aca="false">IF(OR(BI160="",AR160=""),"",IF(BI160&lt;=INDEX(DELAI_ESC,AR160),1,0))</f>
        <v/>
      </c>
      <c r="BK160" s="38" t="str">
        <f aca="false">IF(AO160&lt;&gt;1,"",IF(AND(T160="",U160=""),"",MIN(T160,U160)))</f>
        <v/>
      </c>
      <c r="BL160" s="37" t="str">
        <f aca="false">IF(OR(BK160="",R160=""),"",IFERROR(ROUND(IF(OR(BK160="",R160=""),"",IF(R160&lt;BK160,"",ROUND(((NETWORKDAYS(BK160,R160,JoursFeries)-1)*(HFer-HOuv)+IF(NETWORKDAYS(R160,R160,JoursFeries),MEDIAN(MOD(R160,1),HFer,HOuv),HFer)-IF(NETWORKDAYS(BK160,BK160,JoursFeries),MEDIAN(MOD(BK160,1),HFer,HOuv),HOuv))*24,4)))/HJour,4),""))</f>
        <v/>
      </c>
      <c r="BM160" s="35" t="str">
        <f aca="false">IF(OR(AO160&lt;&gt;1,R160=""),"",IF(BD160=1,1,0))</f>
        <v/>
      </c>
      <c r="BN160" s="35" t="str">
        <f aca="false">IF(AO160&lt;&gt;1,"",IF(W160="Oui",1,0))</f>
        <v/>
      </c>
      <c r="BO160" s="35" t="str">
        <f aca="false">IF(AO160&lt;&gt;1,"",IF(X160&lt;&gt;"",1,0))</f>
        <v/>
      </c>
      <c r="BP160" s="35" t="str">
        <f aca="false">IF(AO160&lt;&gt;1,"",IF(Y160="Oui",1,0))</f>
        <v/>
      </c>
      <c r="BQ160" s="35" t="str">
        <f aca="true">IF(OR(AO160&lt;&gt;1,Z160&lt;&gt;"Oui"),"",IF(AB160="",IF(AND(AA160&lt;&gt;"",NOW()&gt;AA160),0,""),IF(AA160="","",IF(AB160&lt;=AA160,1,0))))</f>
        <v/>
      </c>
      <c r="BR160" s="38" t="str">
        <f aca="false">IF(OR(AO160&lt;&gt;1,K160&lt;&gt;"Oui",O160=""),"",IF(AC160="",O160+DORA_H_DET/24,IF(AC160-O160&lt;=DORA_H_DET/24,MIN(AC160+DORA_H_CLA/24,O160+DORA_H_DET/24),AC160+DORA_H_CLA/24)))</f>
        <v/>
      </c>
      <c r="BS160" s="35" t="str">
        <f aca="true">IF(BR160="","",IF(AD160="",IF(NOW()&gt;BR160,0,""),IF(AD160&lt;=BR160,1,0)))</f>
        <v/>
      </c>
      <c r="BT160" s="35" t="str">
        <f aca="true">IF(OR(BR160="",AD160=""),"",IF(AE160="",IF(NOW()&gt;AD160+DORA_H_INT/24,0,""),IF(AE160&lt;=AD160+DORA_H_INT/24,1,0)))</f>
        <v/>
      </c>
      <c r="BU160" s="35" t="str">
        <f aca="true">IF(OR(BR160="",AE160=""),"",IF(AF160="",IF(NOW()&gt;EDATE(AE160,DORA_M_FIN)+1,0,""),IF(AF160&lt;=EDATE(AE160,DORA_M_FIN),1,0)))</f>
        <v/>
      </c>
      <c r="BV160" s="35" t="str">
        <f aca="false">IF(BR160="","",IF(COUNT(BS160:BU160)=0,"",MIN(BS160:BU160)))</f>
        <v/>
      </c>
      <c r="BW160" s="40" t="str">
        <f aca="false">IF(AQ160&lt;&gt;1,"",IF(AND(AG160="",AH160=""),"",N(AG160)-N(AH160)))</f>
        <v/>
      </c>
      <c r="BX160" s="35" t="str">
        <f aca="true">IF(OR(AQ160&lt;&gt;1,AI160&lt;&gt;"Oui",AJ160=""),"",IF(AK160="",IF(NOW()&gt;AJ160+1,0,""),IF(AK160&lt;=AJ160,1,0)))</f>
        <v/>
      </c>
    </row>
    <row r="161" customFormat="false" ht="15" hidden="false" customHeight="false" outlineLevel="0" collapsed="false">
      <c r="B161" s="29"/>
      <c r="C161" s="29"/>
      <c r="D161" s="29"/>
      <c r="E161" s="29"/>
      <c r="F161" s="29"/>
      <c r="G161" s="29"/>
      <c r="H161" s="29"/>
      <c r="I161" s="29"/>
      <c r="J161" s="29"/>
      <c r="K161" s="29"/>
      <c r="L161" s="29"/>
      <c r="M161" s="29"/>
      <c r="N161" s="30"/>
      <c r="O161" s="30"/>
      <c r="P161" s="30"/>
      <c r="Q161" s="30"/>
      <c r="R161" s="30"/>
      <c r="S161" s="30"/>
      <c r="T161" s="30"/>
      <c r="U161" s="30"/>
      <c r="V161" s="31"/>
      <c r="W161" s="29"/>
      <c r="X161" s="29"/>
      <c r="Y161" s="29"/>
      <c r="Z161" s="29"/>
      <c r="AA161" s="30"/>
      <c r="AB161" s="30"/>
      <c r="AC161" s="30"/>
      <c r="AD161" s="30"/>
      <c r="AE161" s="30"/>
      <c r="AF161" s="32"/>
      <c r="AG161" s="33"/>
      <c r="AH161" s="33"/>
      <c r="AI161" s="29"/>
      <c r="AJ161" s="32"/>
      <c r="AK161" s="32"/>
      <c r="AL161" s="29"/>
      <c r="AN161" s="34" t="str">
        <f aca="false">IF($B161="","",IF(OR(C161="",D161="",E161="",G161="",I161="",J161="",L161="",O161="",P161=""),"Champ obligatoire manquant",IF(OR(AND(N161&lt;&gt;"",N161&gt;O161),O161&gt;P161,AND(Q161&lt;&gt;"",Q161&lt;P161),AND(R161&lt;&gt;"",R161&lt;P161),AND(S161&lt;&gt;"",S161&lt;R161),AND(S161&lt;&gt;"",R161=""),AND(T161&lt;&gt;"",T161&lt;O161),AND(U161&lt;&gt;"",U161&lt;O161)),"Chronologie incohérente",IF(AND(OR(L161="Résolu",L161="Clos"),R161=""),"Date de résolution manquante",IF(AND(L161="Clos",S161=""),"Date de clôture manquante",IF(AND(K161="Oui",AC161=""),"Classification DORA manquante","OK"))))))</f>
        <v/>
      </c>
      <c r="AO161" s="35" t="str">
        <f aca="false">IF($B161="","",IF(AND(C161="Incident",L161&lt;&gt;"Annulé"),1,0))</f>
        <v/>
      </c>
      <c r="AP161" s="35" t="str">
        <f aca="false">IF($B161="","",IF(AND(C161="Quasi-incident",L161&lt;&gt;"Annulé"),1,0))</f>
        <v/>
      </c>
      <c r="AQ161" s="35" t="str">
        <f aca="false">IF($B161="","",AO161+AP161)</f>
        <v/>
      </c>
      <c r="AR161" s="36" t="str">
        <f aca="false">IF(OR($B161="",J161=""),"",IFERROR(VALUE(LEFT(J161,1)),""))</f>
        <v/>
      </c>
      <c r="AS161" s="35" t="str">
        <f aca="false">IF(OR(AO161&lt;&gt;1,G161=""),"",IFERROR(IF(INDEX(L_SrcInterne,MATCH(G161,L_Sources,0))="Oui",1,0),""))</f>
        <v/>
      </c>
      <c r="AT161" s="37" t="str">
        <f aca="false">IF(AO161&lt;&gt;1,"",IFERROR(ROUND(IF(OR(N161="",O161=""),"",IF(O161&lt;N161,"",ROUND(((NETWORKDAYS(N161,O161,JoursFeries)-1)*(HFer-HOuv)+IF(NETWORKDAYS(O161,O161,JoursFeries),MEDIAN(MOD(O161,1),HFer,HOuv),HFer)-IF(NETWORKDAYS(N161,N161,JoursFeries),MEDIAN(MOD(N161,1),HFer,HOuv),HOuv))*24,4)))/HJour,4),""))</f>
        <v/>
      </c>
      <c r="AU161" s="37" t="str">
        <f aca="false">IF(AO161&lt;&gt;1,"",IF(OR(O161="",P161=""),"",IF(P161&lt;O161,"",ROUND(((NETWORKDAYS(O161,P161,JoursFeries)-1)*(HFer-HOuv)+IF(NETWORKDAYS(P161,P161,JoursFeries),MEDIAN(MOD(P161,1),HFer,HOuv),HFer)-IF(NETWORKDAYS(O161,O161,JoursFeries),MEDIAN(MOD(O161,1),HFer,HOuv),HOuv))*24,4))))</f>
        <v/>
      </c>
      <c r="AV161" s="37" t="str">
        <f aca="false">IF(AO161&lt;&gt;1,"",IF(OR(P161="",Q161=""),"",IF(Q161&lt;P161,"",ROUND(((NETWORKDAYS(P161,Q161,JoursFeries)-1)*(HFer-HOuv)+IF(NETWORKDAYS(Q161,Q161,JoursFeries),MEDIAN(MOD(Q161,1),HFer,HOuv),HFer)-IF(NETWORKDAYS(P161,P161,JoursFeries),MEDIAN(MOD(P161,1),HFer,HOuv),HOuv))*24,4))))</f>
        <v/>
      </c>
      <c r="AW161" s="37" t="str">
        <f aca="false">IF(AO161&lt;&gt;1,"",IFERROR(ROUND(IF(OR(P161="",R161=""),"",IF(R161&lt;P161,"",ROUND(((NETWORKDAYS(P161,R161,JoursFeries)-1)*(HFer-HOuv)+IF(NETWORKDAYS(R161,R161,JoursFeries),MEDIAN(MOD(R161,1),HFer,HOuv),HFer)-IF(NETWORKDAYS(P161,P161,JoursFeries),MEDIAN(MOD(P161,1),HFer,HOuv),HOuv))*24,4)))/HJour,4),""))</f>
        <v/>
      </c>
      <c r="AX161" s="37" t="str">
        <f aca="false">IF(AO161&lt;&gt;1,"",IFERROR(ROUND(IF(OR(P161="",S161=""),"",IF(S161&lt;P161,"",ROUND(((NETWORKDAYS(P161,S161,JoursFeries)-1)*(HFer-HOuv)+IF(NETWORKDAYS(S161,S161,JoursFeries),MEDIAN(MOD(S161,1),HFer,HOuv),HFer)-IF(NETWORKDAYS(P161,P161,JoursFeries),MEDIAN(MOD(P161,1),HFer,HOuv),HOuv))*24,4)))/HJour,4),""))</f>
        <v/>
      </c>
      <c r="AY161" s="36" t="str">
        <f aca="false">IF(OR(AO161&lt;&gt;1,AR161=""),"",INDEX(SLA_PEC,AR161))</f>
        <v/>
      </c>
      <c r="AZ161" s="35" t="str">
        <f aca="false">IF(OR(AV161="",AY161=""),"",IF(AV161&lt;=AY161,1,0))</f>
        <v/>
      </c>
      <c r="BA161" s="36" t="str">
        <f aca="false">IF(OR(AO161&lt;&gt;1,AR161=""),"",INDEX(SLA_RES,AR161))</f>
        <v/>
      </c>
      <c r="BB161" s="35" t="str">
        <f aca="false">IF(OR(AW161="",BA161=""),"",IF(AW161&lt;=BA161,1,0))</f>
        <v/>
      </c>
      <c r="BC161" s="38" t="str">
        <f aca="false">IF(OR(BA161="",P161=""),"",WORKDAY(INT(P161),BA161,JoursFeries)+MOD(P161,1))</f>
        <v/>
      </c>
      <c r="BD161" s="39" t="str">
        <f aca="false">IF(AO161&lt;&gt;1,"",IF(OR(AB161&lt;&gt;"",AD161&lt;&gt;""),4,IF(U161&lt;&gt;"",3,IF(T161&lt;&gt;"",2,1))))</f>
        <v/>
      </c>
      <c r="BE161" s="39" t="str">
        <f aca="false">IF(OR(AO161&lt;&gt;1,AR161=""),"",INDEX(NIV_REQ,AR161))</f>
        <v/>
      </c>
      <c r="BF161" s="39" t="str">
        <f aca="false">IF(BE161="","",MAX(BE161,IF(OR(K161="Oui",Z161="Oui"),4,1)))</f>
        <v/>
      </c>
      <c r="BG161" s="35" t="str">
        <f aca="false">IF(OR(BF161="",BD161=""),"",IF(BD161&gt;=BF161,1,0))</f>
        <v/>
      </c>
      <c r="BH161" s="38" t="str">
        <f aca="false">IF(BE161="","",IF(BE161&lt;2,"",IF(BE161=2,IF(AND(T161="",U161=""),"",MIN(T161,U161)),IF(U161="","",U161))))</f>
        <v/>
      </c>
      <c r="BI161" s="37" t="str">
        <f aca="false">IF(BH161="","",IF(OR(O161="",BH161=""),"",IF(BH161&lt;O161,"",ROUND(((NETWORKDAYS(O161,BH161,JoursFeries)-1)*(HFer-HOuv)+IF(NETWORKDAYS(BH161,BH161,JoursFeries),MEDIAN(MOD(BH161,1),HFer,HOuv),HFer)-IF(NETWORKDAYS(O161,O161,JoursFeries),MEDIAN(MOD(O161,1),HFer,HOuv),HOuv))*24,4))))</f>
        <v/>
      </c>
      <c r="BJ161" s="35" t="str">
        <f aca="false">IF(OR(BI161="",AR161=""),"",IF(BI161&lt;=INDEX(DELAI_ESC,AR161),1,0))</f>
        <v/>
      </c>
      <c r="BK161" s="38" t="str">
        <f aca="false">IF(AO161&lt;&gt;1,"",IF(AND(T161="",U161=""),"",MIN(T161,U161)))</f>
        <v/>
      </c>
      <c r="BL161" s="37" t="str">
        <f aca="false">IF(OR(BK161="",R161=""),"",IFERROR(ROUND(IF(OR(BK161="",R161=""),"",IF(R161&lt;BK161,"",ROUND(((NETWORKDAYS(BK161,R161,JoursFeries)-1)*(HFer-HOuv)+IF(NETWORKDAYS(R161,R161,JoursFeries),MEDIAN(MOD(R161,1),HFer,HOuv),HFer)-IF(NETWORKDAYS(BK161,BK161,JoursFeries),MEDIAN(MOD(BK161,1),HFer,HOuv),HOuv))*24,4)))/HJour,4),""))</f>
        <v/>
      </c>
      <c r="BM161" s="35" t="str">
        <f aca="false">IF(OR(AO161&lt;&gt;1,R161=""),"",IF(BD161=1,1,0))</f>
        <v/>
      </c>
      <c r="BN161" s="35" t="str">
        <f aca="false">IF(AO161&lt;&gt;1,"",IF(W161="Oui",1,0))</f>
        <v/>
      </c>
      <c r="BO161" s="35" t="str">
        <f aca="false">IF(AO161&lt;&gt;1,"",IF(X161&lt;&gt;"",1,0))</f>
        <v/>
      </c>
      <c r="BP161" s="35" t="str">
        <f aca="false">IF(AO161&lt;&gt;1,"",IF(Y161="Oui",1,0))</f>
        <v/>
      </c>
      <c r="BQ161" s="35" t="str">
        <f aca="true">IF(OR(AO161&lt;&gt;1,Z161&lt;&gt;"Oui"),"",IF(AB161="",IF(AND(AA161&lt;&gt;"",NOW()&gt;AA161),0,""),IF(AA161="","",IF(AB161&lt;=AA161,1,0))))</f>
        <v/>
      </c>
      <c r="BR161" s="38" t="str">
        <f aca="false">IF(OR(AO161&lt;&gt;1,K161&lt;&gt;"Oui",O161=""),"",IF(AC161="",O161+DORA_H_DET/24,IF(AC161-O161&lt;=DORA_H_DET/24,MIN(AC161+DORA_H_CLA/24,O161+DORA_H_DET/24),AC161+DORA_H_CLA/24)))</f>
        <v/>
      </c>
      <c r="BS161" s="35" t="str">
        <f aca="true">IF(BR161="","",IF(AD161="",IF(NOW()&gt;BR161,0,""),IF(AD161&lt;=BR161,1,0)))</f>
        <v/>
      </c>
      <c r="BT161" s="35" t="str">
        <f aca="true">IF(OR(BR161="",AD161=""),"",IF(AE161="",IF(NOW()&gt;AD161+DORA_H_INT/24,0,""),IF(AE161&lt;=AD161+DORA_H_INT/24,1,0)))</f>
        <v/>
      </c>
      <c r="BU161" s="35" t="str">
        <f aca="true">IF(OR(BR161="",AE161=""),"",IF(AF161="",IF(NOW()&gt;EDATE(AE161,DORA_M_FIN)+1,0,""),IF(AF161&lt;=EDATE(AE161,DORA_M_FIN),1,0)))</f>
        <v/>
      </c>
      <c r="BV161" s="35" t="str">
        <f aca="false">IF(BR161="","",IF(COUNT(BS161:BU161)=0,"",MIN(BS161:BU161)))</f>
        <v/>
      </c>
      <c r="BW161" s="40" t="str">
        <f aca="false">IF(AQ161&lt;&gt;1,"",IF(AND(AG161="",AH161=""),"",N(AG161)-N(AH161)))</f>
        <v/>
      </c>
      <c r="BX161" s="35" t="str">
        <f aca="true">IF(OR(AQ161&lt;&gt;1,AI161&lt;&gt;"Oui",AJ161=""),"",IF(AK161="",IF(NOW()&gt;AJ161+1,0,""),IF(AK161&lt;=AJ161,1,0)))</f>
        <v/>
      </c>
    </row>
    <row r="162" customFormat="false" ht="15" hidden="false" customHeight="false" outlineLevel="0" collapsed="false">
      <c r="B162" s="29"/>
      <c r="C162" s="29"/>
      <c r="D162" s="29"/>
      <c r="E162" s="29"/>
      <c r="F162" s="29"/>
      <c r="G162" s="29"/>
      <c r="H162" s="29"/>
      <c r="I162" s="29"/>
      <c r="J162" s="29"/>
      <c r="K162" s="29"/>
      <c r="L162" s="29"/>
      <c r="M162" s="29"/>
      <c r="N162" s="30"/>
      <c r="O162" s="30"/>
      <c r="P162" s="30"/>
      <c r="Q162" s="30"/>
      <c r="R162" s="30"/>
      <c r="S162" s="30"/>
      <c r="T162" s="30"/>
      <c r="U162" s="30"/>
      <c r="V162" s="31"/>
      <c r="W162" s="29"/>
      <c r="X162" s="29"/>
      <c r="Y162" s="29"/>
      <c r="Z162" s="29"/>
      <c r="AA162" s="30"/>
      <c r="AB162" s="30"/>
      <c r="AC162" s="30"/>
      <c r="AD162" s="30"/>
      <c r="AE162" s="30"/>
      <c r="AF162" s="32"/>
      <c r="AG162" s="33"/>
      <c r="AH162" s="33"/>
      <c r="AI162" s="29"/>
      <c r="AJ162" s="32"/>
      <c r="AK162" s="32"/>
      <c r="AL162" s="29"/>
      <c r="AN162" s="34" t="str">
        <f aca="false">IF($B162="","",IF(OR(C162="",D162="",E162="",G162="",I162="",J162="",L162="",O162="",P162=""),"Champ obligatoire manquant",IF(OR(AND(N162&lt;&gt;"",N162&gt;O162),O162&gt;P162,AND(Q162&lt;&gt;"",Q162&lt;P162),AND(R162&lt;&gt;"",R162&lt;P162),AND(S162&lt;&gt;"",S162&lt;R162),AND(S162&lt;&gt;"",R162=""),AND(T162&lt;&gt;"",T162&lt;O162),AND(U162&lt;&gt;"",U162&lt;O162)),"Chronologie incohérente",IF(AND(OR(L162="Résolu",L162="Clos"),R162=""),"Date de résolution manquante",IF(AND(L162="Clos",S162=""),"Date de clôture manquante",IF(AND(K162="Oui",AC162=""),"Classification DORA manquante","OK"))))))</f>
        <v/>
      </c>
      <c r="AO162" s="35" t="str">
        <f aca="false">IF($B162="","",IF(AND(C162="Incident",L162&lt;&gt;"Annulé"),1,0))</f>
        <v/>
      </c>
      <c r="AP162" s="35" t="str">
        <f aca="false">IF($B162="","",IF(AND(C162="Quasi-incident",L162&lt;&gt;"Annulé"),1,0))</f>
        <v/>
      </c>
      <c r="AQ162" s="35" t="str">
        <f aca="false">IF($B162="","",AO162+AP162)</f>
        <v/>
      </c>
      <c r="AR162" s="36" t="str">
        <f aca="false">IF(OR($B162="",J162=""),"",IFERROR(VALUE(LEFT(J162,1)),""))</f>
        <v/>
      </c>
      <c r="AS162" s="35" t="str">
        <f aca="false">IF(OR(AO162&lt;&gt;1,G162=""),"",IFERROR(IF(INDEX(L_SrcInterne,MATCH(G162,L_Sources,0))="Oui",1,0),""))</f>
        <v/>
      </c>
      <c r="AT162" s="37" t="str">
        <f aca="false">IF(AO162&lt;&gt;1,"",IFERROR(ROUND(IF(OR(N162="",O162=""),"",IF(O162&lt;N162,"",ROUND(((NETWORKDAYS(N162,O162,JoursFeries)-1)*(HFer-HOuv)+IF(NETWORKDAYS(O162,O162,JoursFeries),MEDIAN(MOD(O162,1),HFer,HOuv),HFer)-IF(NETWORKDAYS(N162,N162,JoursFeries),MEDIAN(MOD(N162,1),HFer,HOuv),HOuv))*24,4)))/HJour,4),""))</f>
        <v/>
      </c>
      <c r="AU162" s="37" t="str">
        <f aca="false">IF(AO162&lt;&gt;1,"",IF(OR(O162="",P162=""),"",IF(P162&lt;O162,"",ROUND(((NETWORKDAYS(O162,P162,JoursFeries)-1)*(HFer-HOuv)+IF(NETWORKDAYS(P162,P162,JoursFeries),MEDIAN(MOD(P162,1),HFer,HOuv),HFer)-IF(NETWORKDAYS(O162,O162,JoursFeries),MEDIAN(MOD(O162,1),HFer,HOuv),HOuv))*24,4))))</f>
        <v/>
      </c>
      <c r="AV162" s="37" t="str">
        <f aca="false">IF(AO162&lt;&gt;1,"",IF(OR(P162="",Q162=""),"",IF(Q162&lt;P162,"",ROUND(((NETWORKDAYS(P162,Q162,JoursFeries)-1)*(HFer-HOuv)+IF(NETWORKDAYS(Q162,Q162,JoursFeries),MEDIAN(MOD(Q162,1),HFer,HOuv),HFer)-IF(NETWORKDAYS(P162,P162,JoursFeries),MEDIAN(MOD(P162,1),HFer,HOuv),HOuv))*24,4))))</f>
        <v/>
      </c>
      <c r="AW162" s="37" t="str">
        <f aca="false">IF(AO162&lt;&gt;1,"",IFERROR(ROUND(IF(OR(P162="",R162=""),"",IF(R162&lt;P162,"",ROUND(((NETWORKDAYS(P162,R162,JoursFeries)-1)*(HFer-HOuv)+IF(NETWORKDAYS(R162,R162,JoursFeries),MEDIAN(MOD(R162,1),HFer,HOuv),HFer)-IF(NETWORKDAYS(P162,P162,JoursFeries),MEDIAN(MOD(P162,1),HFer,HOuv),HOuv))*24,4)))/HJour,4),""))</f>
        <v/>
      </c>
      <c r="AX162" s="37" t="str">
        <f aca="false">IF(AO162&lt;&gt;1,"",IFERROR(ROUND(IF(OR(P162="",S162=""),"",IF(S162&lt;P162,"",ROUND(((NETWORKDAYS(P162,S162,JoursFeries)-1)*(HFer-HOuv)+IF(NETWORKDAYS(S162,S162,JoursFeries),MEDIAN(MOD(S162,1),HFer,HOuv),HFer)-IF(NETWORKDAYS(P162,P162,JoursFeries),MEDIAN(MOD(P162,1),HFer,HOuv),HOuv))*24,4)))/HJour,4),""))</f>
        <v/>
      </c>
      <c r="AY162" s="36" t="str">
        <f aca="false">IF(OR(AO162&lt;&gt;1,AR162=""),"",INDEX(SLA_PEC,AR162))</f>
        <v/>
      </c>
      <c r="AZ162" s="35" t="str">
        <f aca="false">IF(OR(AV162="",AY162=""),"",IF(AV162&lt;=AY162,1,0))</f>
        <v/>
      </c>
      <c r="BA162" s="36" t="str">
        <f aca="false">IF(OR(AO162&lt;&gt;1,AR162=""),"",INDEX(SLA_RES,AR162))</f>
        <v/>
      </c>
      <c r="BB162" s="35" t="str">
        <f aca="false">IF(OR(AW162="",BA162=""),"",IF(AW162&lt;=BA162,1,0))</f>
        <v/>
      </c>
      <c r="BC162" s="38" t="str">
        <f aca="false">IF(OR(BA162="",P162=""),"",WORKDAY(INT(P162),BA162,JoursFeries)+MOD(P162,1))</f>
        <v/>
      </c>
      <c r="BD162" s="39" t="str">
        <f aca="false">IF(AO162&lt;&gt;1,"",IF(OR(AB162&lt;&gt;"",AD162&lt;&gt;""),4,IF(U162&lt;&gt;"",3,IF(T162&lt;&gt;"",2,1))))</f>
        <v/>
      </c>
      <c r="BE162" s="39" t="str">
        <f aca="false">IF(OR(AO162&lt;&gt;1,AR162=""),"",INDEX(NIV_REQ,AR162))</f>
        <v/>
      </c>
      <c r="BF162" s="39" t="str">
        <f aca="false">IF(BE162="","",MAX(BE162,IF(OR(K162="Oui",Z162="Oui"),4,1)))</f>
        <v/>
      </c>
      <c r="BG162" s="35" t="str">
        <f aca="false">IF(OR(BF162="",BD162=""),"",IF(BD162&gt;=BF162,1,0))</f>
        <v/>
      </c>
      <c r="BH162" s="38" t="str">
        <f aca="false">IF(BE162="","",IF(BE162&lt;2,"",IF(BE162=2,IF(AND(T162="",U162=""),"",MIN(T162,U162)),IF(U162="","",U162))))</f>
        <v/>
      </c>
      <c r="BI162" s="37" t="str">
        <f aca="false">IF(BH162="","",IF(OR(O162="",BH162=""),"",IF(BH162&lt;O162,"",ROUND(((NETWORKDAYS(O162,BH162,JoursFeries)-1)*(HFer-HOuv)+IF(NETWORKDAYS(BH162,BH162,JoursFeries),MEDIAN(MOD(BH162,1),HFer,HOuv),HFer)-IF(NETWORKDAYS(O162,O162,JoursFeries),MEDIAN(MOD(O162,1),HFer,HOuv),HOuv))*24,4))))</f>
        <v/>
      </c>
      <c r="BJ162" s="35" t="str">
        <f aca="false">IF(OR(BI162="",AR162=""),"",IF(BI162&lt;=INDEX(DELAI_ESC,AR162),1,0))</f>
        <v/>
      </c>
      <c r="BK162" s="38" t="str">
        <f aca="false">IF(AO162&lt;&gt;1,"",IF(AND(T162="",U162=""),"",MIN(T162,U162)))</f>
        <v/>
      </c>
      <c r="BL162" s="37" t="str">
        <f aca="false">IF(OR(BK162="",R162=""),"",IFERROR(ROUND(IF(OR(BK162="",R162=""),"",IF(R162&lt;BK162,"",ROUND(((NETWORKDAYS(BK162,R162,JoursFeries)-1)*(HFer-HOuv)+IF(NETWORKDAYS(R162,R162,JoursFeries),MEDIAN(MOD(R162,1),HFer,HOuv),HFer)-IF(NETWORKDAYS(BK162,BK162,JoursFeries),MEDIAN(MOD(BK162,1),HFer,HOuv),HOuv))*24,4)))/HJour,4),""))</f>
        <v/>
      </c>
      <c r="BM162" s="35" t="str">
        <f aca="false">IF(OR(AO162&lt;&gt;1,R162=""),"",IF(BD162=1,1,0))</f>
        <v/>
      </c>
      <c r="BN162" s="35" t="str">
        <f aca="false">IF(AO162&lt;&gt;1,"",IF(W162="Oui",1,0))</f>
        <v/>
      </c>
      <c r="BO162" s="35" t="str">
        <f aca="false">IF(AO162&lt;&gt;1,"",IF(X162&lt;&gt;"",1,0))</f>
        <v/>
      </c>
      <c r="BP162" s="35" t="str">
        <f aca="false">IF(AO162&lt;&gt;1,"",IF(Y162="Oui",1,0))</f>
        <v/>
      </c>
      <c r="BQ162" s="35" t="str">
        <f aca="true">IF(OR(AO162&lt;&gt;1,Z162&lt;&gt;"Oui"),"",IF(AB162="",IF(AND(AA162&lt;&gt;"",NOW()&gt;AA162),0,""),IF(AA162="","",IF(AB162&lt;=AA162,1,0))))</f>
        <v/>
      </c>
      <c r="BR162" s="38" t="str">
        <f aca="false">IF(OR(AO162&lt;&gt;1,K162&lt;&gt;"Oui",O162=""),"",IF(AC162="",O162+DORA_H_DET/24,IF(AC162-O162&lt;=DORA_H_DET/24,MIN(AC162+DORA_H_CLA/24,O162+DORA_H_DET/24),AC162+DORA_H_CLA/24)))</f>
        <v/>
      </c>
      <c r="BS162" s="35" t="str">
        <f aca="true">IF(BR162="","",IF(AD162="",IF(NOW()&gt;BR162,0,""),IF(AD162&lt;=BR162,1,0)))</f>
        <v/>
      </c>
      <c r="BT162" s="35" t="str">
        <f aca="true">IF(OR(BR162="",AD162=""),"",IF(AE162="",IF(NOW()&gt;AD162+DORA_H_INT/24,0,""),IF(AE162&lt;=AD162+DORA_H_INT/24,1,0)))</f>
        <v/>
      </c>
      <c r="BU162" s="35" t="str">
        <f aca="true">IF(OR(BR162="",AE162=""),"",IF(AF162="",IF(NOW()&gt;EDATE(AE162,DORA_M_FIN)+1,0,""),IF(AF162&lt;=EDATE(AE162,DORA_M_FIN),1,0)))</f>
        <v/>
      </c>
      <c r="BV162" s="35" t="str">
        <f aca="false">IF(BR162="","",IF(COUNT(BS162:BU162)=0,"",MIN(BS162:BU162)))</f>
        <v/>
      </c>
      <c r="BW162" s="40" t="str">
        <f aca="false">IF(AQ162&lt;&gt;1,"",IF(AND(AG162="",AH162=""),"",N(AG162)-N(AH162)))</f>
        <v/>
      </c>
      <c r="BX162" s="35" t="str">
        <f aca="true">IF(OR(AQ162&lt;&gt;1,AI162&lt;&gt;"Oui",AJ162=""),"",IF(AK162="",IF(NOW()&gt;AJ162+1,0,""),IF(AK162&lt;=AJ162,1,0)))</f>
        <v/>
      </c>
    </row>
    <row r="163" customFormat="false" ht="15" hidden="false" customHeight="false" outlineLevel="0" collapsed="false">
      <c r="B163" s="29"/>
      <c r="C163" s="29"/>
      <c r="D163" s="29"/>
      <c r="E163" s="29"/>
      <c r="F163" s="29"/>
      <c r="G163" s="29"/>
      <c r="H163" s="29"/>
      <c r="I163" s="29"/>
      <c r="J163" s="29"/>
      <c r="K163" s="29"/>
      <c r="L163" s="29"/>
      <c r="M163" s="29"/>
      <c r="N163" s="30"/>
      <c r="O163" s="30"/>
      <c r="P163" s="30"/>
      <c r="Q163" s="30"/>
      <c r="R163" s="30"/>
      <c r="S163" s="30"/>
      <c r="T163" s="30"/>
      <c r="U163" s="30"/>
      <c r="V163" s="31"/>
      <c r="W163" s="29"/>
      <c r="X163" s="29"/>
      <c r="Y163" s="29"/>
      <c r="Z163" s="29"/>
      <c r="AA163" s="30"/>
      <c r="AB163" s="30"/>
      <c r="AC163" s="30"/>
      <c r="AD163" s="30"/>
      <c r="AE163" s="30"/>
      <c r="AF163" s="32"/>
      <c r="AG163" s="33"/>
      <c r="AH163" s="33"/>
      <c r="AI163" s="29"/>
      <c r="AJ163" s="32"/>
      <c r="AK163" s="32"/>
      <c r="AL163" s="29"/>
      <c r="AN163" s="34" t="str">
        <f aca="false">IF($B163="","",IF(OR(C163="",D163="",E163="",G163="",I163="",J163="",L163="",O163="",P163=""),"Champ obligatoire manquant",IF(OR(AND(N163&lt;&gt;"",N163&gt;O163),O163&gt;P163,AND(Q163&lt;&gt;"",Q163&lt;P163),AND(R163&lt;&gt;"",R163&lt;P163),AND(S163&lt;&gt;"",S163&lt;R163),AND(S163&lt;&gt;"",R163=""),AND(T163&lt;&gt;"",T163&lt;O163),AND(U163&lt;&gt;"",U163&lt;O163)),"Chronologie incohérente",IF(AND(OR(L163="Résolu",L163="Clos"),R163=""),"Date de résolution manquante",IF(AND(L163="Clos",S163=""),"Date de clôture manquante",IF(AND(K163="Oui",AC163=""),"Classification DORA manquante","OK"))))))</f>
        <v/>
      </c>
      <c r="AO163" s="35" t="str">
        <f aca="false">IF($B163="","",IF(AND(C163="Incident",L163&lt;&gt;"Annulé"),1,0))</f>
        <v/>
      </c>
      <c r="AP163" s="35" t="str">
        <f aca="false">IF($B163="","",IF(AND(C163="Quasi-incident",L163&lt;&gt;"Annulé"),1,0))</f>
        <v/>
      </c>
      <c r="AQ163" s="35" t="str">
        <f aca="false">IF($B163="","",AO163+AP163)</f>
        <v/>
      </c>
      <c r="AR163" s="36" t="str">
        <f aca="false">IF(OR($B163="",J163=""),"",IFERROR(VALUE(LEFT(J163,1)),""))</f>
        <v/>
      </c>
      <c r="AS163" s="35" t="str">
        <f aca="false">IF(OR(AO163&lt;&gt;1,G163=""),"",IFERROR(IF(INDEX(L_SrcInterne,MATCH(G163,L_Sources,0))="Oui",1,0),""))</f>
        <v/>
      </c>
      <c r="AT163" s="37" t="str">
        <f aca="false">IF(AO163&lt;&gt;1,"",IFERROR(ROUND(IF(OR(N163="",O163=""),"",IF(O163&lt;N163,"",ROUND(((NETWORKDAYS(N163,O163,JoursFeries)-1)*(HFer-HOuv)+IF(NETWORKDAYS(O163,O163,JoursFeries),MEDIAN(MOD(O163,1),HFer,HOuv),HFer)-IF(NETWORKDAYS(N163,N163,JoursFeries),MEDIAN(MOD(N163,1),HFer,HOuv),HOuv))*24,4)))/HJour,4),""))</f>
        <v/>
      </c>
      <c r="AU163" s="37" t="str">
        <f aca="false">IF(AO163&lt;&gt;1,"",IF(OR(O163="",P163=""),"",IF(P163&lt;O163,"",ROUND(((NETWORKDAYS(O163,P163,JoursFeries)-1)*(HFer-HOuv)+IF(NETWORKDAYS(P163,P163,JoursFeries),MEDIAN(MOD(P163,1),HFer,HOuv),HFer)-IF(NETWORKDAYS(O163,O163,JoursFeries),MEDIAN(MOD(O163,1),HFer,HOuv),HOuv))*24,4))))</f>
        <v/>
      </c>
      <c r="AV163" s="37" t="str">
        <f aca="false">IF(AO163&lt;&gt;1,"",IF(OR(P163="",Q163=""),"",IF(Q163&lt;P163,"",ROUND(((NETWORKDAYS(P163,Q163,JoursFeries)-1)*(HFer-HOuv)+IF(NETWORKDAYS(Q163,Q163,JoursFeries),MEDIAN(MOD(Q163,1),HFer,HOuv),HFer)-IF(NETWORKDAYS(P163,P163,JoursFeries),MEDIAN(MOD(P163,1),HFer,HOuv),HOuv))*24,4))))</f>
        <v/>
      </c>
      <c r="AW163" s="37" t="str">
        <f aca="false">IF(AO163&lt;&gt;1,"",IFERROR(ROUND(IF(OR(P163="",R163=""),"",IF(R163&lt;P163,"",ROUND(((NETWORKDAYS(P163,R163,JoursFeries)-1)*(HFer-HOuv)+IF(NETWORKDAYS(R163,R163,JoursFeries),MEDIAN(MOD(R163,1),HFer,HOuv),HFer)-IF(NETWORKDAYS(P163,P163,JoursFeries),MEDIAN(MOD(P163,1),HFer,HOuv),HOuv))*24,4)))/HJour,4),""))</f>
        <v/>
      </c>
      <c r="AX163" s="37" t="str">
        <f aca="false">IF(AO163&lt;&gt;1,"",IFERROR(ROUND(IF(OR(P163="",S163=""),"",IF(S163&lt;P163,"",ROUND(((NETWORKDAYS(P163,S163,JoursFeries)-1)*(HFer-HOuv)+IF(NETWORKDAYS(S163,S163,JoursFeries),MEDIAN(MOD(S163,1),HFer,HOuv),HFer)-IF(NETWORKDAYS(P163,P163,JoursFeries),MEDIAN(MOD(P163,1),HFer,HOuv),HOuv))*24,4)))/HJour,4),""))</f>
        <v/>
      </c>
      <c r="AY163" s="36" t="str">
        <f aca="false">IF(OR(AO163&lt;&gt;1,AR163=""),"",INDEX(SLA_PEC,AR163))</f>
        <v/>
      </c>
      <c r="AZ163" s="35" t="str">
        <f aca="false">IF(OR(AV163="",AY163=""),"",IF(AV163&lt;=AY163,1,0))</f>
        <v/>
      </c>
      <c r="BA163" s="36" t="str">
        <f aca="false">IF(OR(AO163&lt;&gt;1,AR163=""),"",INDEX(SLA_RES,AR163))</f>
        <v/>
      </c>
      <c r="BB163" s="35" t="str">
        <f aca="false">IF(OR(AW163="",BA163=""),"",IF(AW163&lt;=BA163,1,0))</f>
        <v/>
      </c>
      <c r="BC163" s="38" t="str">
        <f aca="false">IF(OR(BA163="",P163=""),"",WORKDAY(INT(P163),BA163,JoursFeries)+MOD(P163,1))</f>
        <v/>
      </c>
      <c r="BD163" s="39" t="str">
        <f aca="false">IF(AO163&lt;&gt;1,"",IF(OR(AB163&lt;&gt;"",AD163&lt;&gt;""),4,IF(U163&lt;&gt;"",3,IF(T163&lt;&gt;"",2,1))))</f>
        <v/>
      </c>
      <c r="BE163" s="39" t="str">
        <f aca="false">IF(OR(AO163&lt;&gt;1,AR163=""),"",INDEX(NIV_REQ,AR163))</f>
        <v/>
      </c>
      <c r="BF163" s="39" t="str">
        <f aca="false">IF(BE163="","",MAX(BE163,IF(OR(K163="Oui",Z163="Oui"),4,1)))</f>
        <v/>
      </c>
      <c r="BG163" s="35" t="str">
        <f aca="false">IF(OR(BF163="",BD163=""),"",IF(BD163&gt;=BF163,1,0))</f>
        <v/>
      </c>
      <c r="BH163" s="38" t="str">
        <f aca="false">IF(BE163="","",IF(BE163&lt;2,"",IF(BE163=2,IF(AND(T163="",U163=""),"",MIN(T163,U163)),IF(U163="","",U163))))</f>
        <v/>
      </c>
      <c r="BI163" s="37" t="str">
        <f aca="false">IF(BH163="","",IF(OR(O163="",BH163=""),"",IF(BH163&lt;O163,"",ROUND(((NETWORKDAYS(O163,BH163,JoursFeries)-1)*(HFer-HOuv)+IF(NETWORKDAYS(BH163,BH163,JoursFeries),MEDIAN(MOD(BH163,1),HFer,HOuv),HFer)-IF(NETWORKDAYS(O163,O163,JoursFeries),MEDIAN(MOD(O163,1),HFer,HOuv),HOuv))*24,4))))</f>
        <v/>
      </c>
      <c r="BJ163" s="35" t="str">
        <f aca="false">IF(OR(BI163="",AR163=""),"",IF(BI163&lt;=INDEX(DELAI_ESC,AR163),1,0))</f>
        <v/>
      </c>
      <c r="BK163" s="38" t="str">
        <f aca="false">IF(AO163&lt;&gt;1,"",IF(AND(T163="",U163=""),"",MIN(T163,U163)))</f>
        <v/>
      </c>
      <c r="BL163" s="37" t="str">
        <f aca="false">IF(OR(BK163="",R163=""),"",IFERROR(ROUND(IF(OR(BK163="",R163=""),"",IF(R163&lt;BK163,"",ROUND(((NETWORKDAYS(BK163,R163,JoursFeries)-1)*(HFer-HOuv)+IF(NETWORKDAYS(R163,R163,JoursFeries),MEDIAN(MOD(R163,1),HFer,HOuv),HFer)-IF(NETWORKDAYS(BK163,BK163,JoursFeries),MEDIAN(MOD(BK163,1),HFer,HOuv),HOuv))*24,4)))/HJour,4),""))</f>
        <v/>
      </c>
      <c r="BM163" s="35" t="str">
        <f aca="false">IF(OR(AO163&lt;&gt;1,R163=""),"",IF(BD163=1,1,0))</f>
        <v/>
      </c>
      <c r="BN163" s="35" t="str">
        <f aca="false">IF(AO163&lt;&gt;1,"",IF(W163="Oui",1,0))</f>
        <v/>
      </c>
      <c r="BO163" s="35" t="str">
        <f aca="false">IF(AO163&lt;&gt;1,"",IF(X163&lt;&gt;"",1,0))</f>
        <v/>
      </c>
      <c r="BP163" s="35" t="str">
        <f aca="false">IF(AO163&lt;&gt;1,"",IF(Y163="Oui",1,0))</f>
        <v/>
      </c>
      <c r="BQ163" s="35" t="str">
        <f aca="true">IF(OR(AO163&lt;&gt;1,Z163&lt;&gt;"Oui"),"",IF(AB163="",IF(AND(AA163&lt;&gt;"",NOW()&gt;AA163),0,""),IF(AA163="","",IF(AB163&lt;=AA163,1,0))))</f>
        <v/>
      </c>
      <c r="BR163" s="38" t="str">
        <f aca="false">IF(OR(AO163&lt;&gt;1,K163&lt;&gt;"Oui",O163=""),"",IF(AC163="",O163+DORA_H_DET/24,IF(AC163-O163&lt;=DORA_H_DET/24,MIN(AC163+DORA_H_CLA/24,O163+DORA_H_DET/24),AC163+DORA_H_CLA/24)))</f>
        <v/>
      </c>
      <c r="BS163" s="35" t="str">
        <f aca="true">IF(BR163="","",IF(AD163="",IF(NOW()&gt;BR163,0,""),IF(AD163&lt;=BR163,1,0)))</f>
        <v/>
      </c>
      <c r="BT163" s="35" t="str">
        <f aca="true">IF(OR(BR163="",AD163=""),"",IF(AE163="",IF(NOW()&gt;AD163+DORA_H_INT/24,0,""),IF(AE163&lt;=AD163+DORA_H_INT/24,1,0)))</f>
        <v/>
      </c>
      <c r="BU163" s="35" t="str">
        <f aca="true">IF(OR(BR163="",AE163=""),"",IF(AF163="",IF(NOW()&gt;EDATE(AE163,DORA_M_FIN)+1,0,""),IF(AF163&lt;=EDATE(AE163,DORA_M_FIN),1,0)))</f>
        <v/>
      </c>
      <c r="BV163" s="35" t="str">
        <f aca="false">IF(BR163="","",IF(COUNT(BS163:BU163)=0,"",MIN(BS163:BU163)))</f>
        <v/>
      </c>
      <c r="BW163" s="40" t="str">
        <f aca="false">IF(AQ163&lt;&gt;1,"",IF(AND(AG163="",AH163=""),"",N(AG163)-N(AH163)))</f>
        <v/>
      </c>
      <c r="BX163" s="35" t="str">
        <f aca="true">IF(OR(AQ163&lt;&gt;1,AI163&lt;&gt;"Oui",AJ163=""),"",IF(AK163="",IF(NOW()&gt;AJ163+1,0,""),IF(AK163&lt;=AJ163,1,0)))</f>
        <v/>
      </c>
    </row>
    <row r="164" customFormat="false" ht="15" hidden="false" customHeight="false" outlineLevel="0" collapsed="false">
      <c r="B164" s="29"/>
      <c r="C164" s="29"/>
      <c r="D164" s="29"/>
      <c r="E164" s="29"/>
      <c r="F164" s="29"/>
      <c r="G164" s="29"/>
      <c r="H164" s="29"/>
      <c r="I164" s="29"/>
      <c r="J164" s="29"/>
      <c r="K164" s="29"/>
      <c r="L164" s="29"/>
      <c r="M164" s="29"/>
      <c r="N164" s="30"/>
      <c r="O164" s="30"/>
      <c r="P164" s="30"/>
      <c r="Q164" s="30"/>
      <c r="R164" s="30"/>
      <c r="S164" s="30"/>
      <c r="T164" s="30"/>
      <c r="U164" s="30"/>
      <c r="V164" s="31"/>
      <c r="W164" s="29"/>
      <c r="X164" s="29"/>
      <c r="Y164" s="29"/>
      <c r="Z164" s="29"/>
      <c r="AA164" s="30"/>
      <c r="AB164" s="30"/>
      <c r="AC164" s="30"/>
      <c r="AD164" s="30"/>
      <c r="AE164" s="30"/>
      <c r="AF164" s="32"/>
      <c r="AG164" s="33"/>
      <c r="AH164" s="33"/>
      <c r="AI164" s="29"/>
      <c r="AJ164" s="32"/>
      <c r="AK164" s="32"/>
      <c r="AL164" s="29"/>
      <c r="AN164" s="34" t="str">
        <f aca="false">IF($B164="","",IF(OR(C164="",D164="",E164="",G164="",I164="",J164="",L164="",O164="",P164=""),"Champ obligatoire manquant",IF(OR(AND(N164&lt;&gt;"",N164&gt;O164),O164&gt;P164,AND(Q164&lt;&gt;"",Q164&lt;P164),AND(R164&lt;&gt;"",R164&lt;P164),AND(S164&lt;&gt;"",S164&lt;R164),AND(S164&lt;&gt;"",R164=""),AND(T164&lt;&gt;"",T164&lt;O164),AND(U164&lt;&gt;"",U164&lt;O164)),"Chronologie incohérente",IF(AND(OR(L164="Résolu",L164="Clos"),R164=""),"Date de résolution manquante",IF(AND(L164="Clos",S164=""),"Date de clôture manquante",IF(AND(K164="Oui",AC164=""),"Classification DORA manquante","OK"))))))</f>
        <v/>
      </c>
      <c r="AO164" s="35" t="str">
        <f aca="false">IF($B164="","",IF(AND(C164="Incident",L164&lt;&gt;"Annulé"),1,0))</f>
        <v/>
      </c>
      <c r="AP164" s="35" t="str">
        <f aca="false">IF($B164="","",IF(AND(C164="Quasi-incident",L164&lt;&gt;"Annulé"),1,0))</f>
        <v/>
      </c>
      <c r="AQ164" s="35" t="str">
        <f aca="false">IF($B164="","",AO164+AP164)</f>
        <v/>
      </c>
      <c r="AR164" s="36" t="str">
        <f aca="false">IF(OR($B164="",J164=""),"",IFERROR(VALUE(LEFT(J164,1)),""))</f>
        <v/>
      </c>
      <c r="AS164" s="35" t="str">
        <f aca="false">IF(OR(AO164&lt;&gt;1,G164=""),"",IFERROR(IF(INDEX(L_SrcInterne,MATCH(G164,L_Sources,0))="Oui",1,0),""))</f>
        <v/>
      </c>
      <c r="AT164" s="37" t="str">
        <f aca="false">IF(AO164&lt;&gt;1,"",IFERROR(ROUND(IF(OR(N164="",O164=""),"",IF(O164&lt;N164,"",ROUND(((NETWORKDAYS(N164,O164,JoursFeries)-1)*(HFer-HOuv)+IF(NETWORKDAYS(O164,O164,JoursFeries),MEDIAN(MOD(O164,1),HFer,HOuv),HFer)-IF(NETWORKDAYS(N164,N164,JoursFeries),MEDIAN(MOD(N164,1),HFer,HOuv),HOuv))*24,4)))/HJour,4),""))</f>
        <v/>
      </c>
      <c r="AU164" s="37" t="str">
        <f aca="false">IF(AO164&lt;&gt;1,"",IF(OR(O164="",P164=""),"",IF(P164&lt;O164,"",ROUND(((NETWORKDAYS(O164,P164,JoursFeries)-1)*(HFer-HOuv)+IF(NETWORKDAYS(P164,P164,JoursFeries),MEDIAN(MOD(P164,1),HFer,HOuv),HFer)-IF(NETWORKDAYS(O164,O164,JoursFeries),MEDIAN(MOD(O164,1),HFer,HOuv),HOuv))*24,4))))</f>
        <v/>
      </c>
      <c r="AV164" s="37" t="str">
        <f aca="false">IF(AO164&lt;&gt;1,"",IF(OR(P164="",Q164=""),"",IF(Q164&lt;P164,"",ROUND(((NETWORKDAYS(P164,Q164,JoursFeries)-1)*(HFer-HOuv)+IF(NETWORKDAYS(Q164,Q164,JoursFeries),MEDIAN(MOD(Q164,1),HFer,HOuv),HFer)-IF(NETWORKDAYS(P164,P164,JoursFeries),MEDIAN(MOD(P164,1),HFer,HOuv),HOuv))*24,4))))</f>
        <v/>
      </c>
      <c r="AW164" s="37" t="str">
        <f aca="false">IF(AO164&lt;&gt;1,"",IFERROR(ROUND(IF(OR(P164="",R164=""),"",IF(R164&lt;P164,"",ROUND(((NETWORKDAYS(P164,R164,JoursFeries)-1)*(HFer-HOuv)+IF(NETWORKDAYS(R164,R164,JoursFeries),MEDIAN(MOD(R164,1),HFer,HOuv),HFer)-IF(NETWORKDAYS(P164,P164,JoursFeries),MEDIAN(MOD(P164,1),HFer,HOuv),HOuv))*24,4)))/HJour,4),""))</f>
        <v/>
      </c>
      <c r="AX164" s="37" t="str">
        <f aca="false">IF(AO164&lt;&gt;1,"",IFERROR(ROUND(IF(OR(P164="",S164=""),"",IF(S164&lt;P164,"",ROUND(((NETWORKDAYS(P164,S164,JoursFeries)-1)*(HFer-HOuv)+IF(NETWORKDAYS(S164,S164,JoursFeries),MEDIAN(MOD(S164,1),HFer,HOuv),HFer)-IF(NETWORKDAYS(P164,P164,JoursFeries),MEDIAN(MOD(P164,1),HFer,HOuv),HOuv))*24,4)))/HJour,4),""))</f>
        <v/>
      </c>
      <c r="AY164" s="36" t="str">
        <f aca="false">IF(OR(AO164&lt;&gt;1,AR164=""),"",INDEX(SLA_PEC,AR164))</f>
        <v/>
      </c>
      <c r="AZ164" s="35" t="str">
        <f aca="false">IF(OR(AV164="",AY164=""),"",IF(AV164&lt;=AY164,1,0))</f>
        <v/>
      </c>
      <c r="BA164" s="36" t="str">
        <f aca="false">IF(OR(AO164&lt;&gt;1,AR164=""),"",INDEX(SLA_RES,AR164))</f>
        <v/>
      </c>
      <c r="BB164" s="35" t="str">
        <f aca="false">IF(OR(AW164="",BA164=""),"",IF(AW164&lt;=BA164,1,0))</f>
        <v/>
      </c>
      <c r="BC164" s="38" t="str">
        <f aca="false">IF(OR(BA164="",P164=""),"",WORKDAY(INT(P164),BA164,JoursFeries)+MOD(P164,1))</f>
        <v/>
      </c>
      <c r="BD164" s="39" t="str">
        <f aca="false">IF(AO164&lt;&gt;1,"",IF(OR(AB164&lt;&gt;"",AD164&lt;&gt;""),4,IF(U164&lt;&gt;"",3,IF(T164&lt;&gt;"",2,1))))</f>
        <v/>
      </c>
      <c r="BE164" s="39" t="str">
        <f aca="false">IF(OR(AO164&lt;&gt;1,AR164=""),"",INDEX(NIV_REQ,AR164))</f>
        <v/>
      </c>
      <c r="BF164" s="39" t="str">
        <f aca="false">IF(BE164="","",MAX(BE164,IF(OR(K164="Oui",Z164="Oui"),4,1)))</f>
        <v/>
      </c>
      <c r="BG164" s="35" t="str">
        <f aca="false">IF(OR(BF164="",BD164=""),"",IF(BD164&gt;=BF164,1,0))</f>
        <v/>
      </c>
      <c r="BH164" s="38" t="str">
        <f aca="false">IF(BE164="","",IF(BE164&lt;2,"",IF(BE164=2,IF(AND(T164="",U164=""),"",MIN(T164,U164)),IF(U164="","",U164))))</f>
        <v/>
      </c>
      <c r="BI164" s="37" t="str">
        <f aca="false">IF(BH164="","",IF(OR(O164="",BH164=""),"",IF(BH164&lt;O164,"",ROUND(((NETWORKDAYS(O164,BH164,JoursFeries)-1)*(HFer-HOuv)+IF(NETWORKDAYS(BH164,BH164,JoursFeries),MEDIAN(MOD(BH164,1),HFer,HOuv),HFer)-IF(NETWORKDAYS(O164,O164,JoursFeries),MEDIAN(MOD(O164,1),HFer,HOuv),HOuv))*24,4))))</f>
        <v/>
      </c>
      <c r="BJ164" s="35" t="str">
        <f aca="false">IF(OR(BI164="",AR164=""),"",IF(BI164&lt;=INDEX(DELAI_ESC,AR164),1,0))</f>
        <v/>
      </c>
      <c r="BK164" s="38" t="str">
        <f aca="false">IF(AO164&lt;&gt;1,"",IF(AND(T164="",U164=""),"",MIN(T164,U164)))</f>
        <v/>
      </c>
      <c r="BL164" s="37" t="str">
        <f aca="false">IF(OR(BK164="",R164=""),"",IFERROR(ROUND(IF(OR(BK164="",R164=""),"",IF(R164&lt;BK164,"",ROUND(((NETWORKDAYS(BK164,R164,JoursFeries)-1)*(HFer-HOuv)+IF(NETWORKDAYS(R164,R164,JoursFeries),MEDIAN(MOD(R164,1),HFer,HOuv),HFer)-IF(NETWORKDAYS(BK164,BK164,JoursFeries),MEDIAN(MOD(BK164,1),HFer,HOuv),HOuv))*24,4)))/HJour,4),""))</f>
        <v/>
      </c>
      <c r="BM164" s="35" t="str">
        <f aca="false">IF(OR(AO164&lt;&gt;1,R164=""),"",IF(BD164=1,1,0))</f>
        <v/>
      </c>
      <c r="BN164" s="35" t="str">
        <f aca="false">IF(AO164&lt;&gt;1,"",IF(W164="Oui",1,0))</f>
        <v/>
      </c>
      <c r="BO164" s="35" t="str">
        <f aca="false">IF(AO164&lt;&gt;1,"",IF(X164&lt;&gt;"",1,0))</f>
        <v/>
      </c>
      <c r="BP164" s="35" t="str">
        <f aca="false">IF(AO164&lt;&gt;1,"",IF(Y164="Oui",1,0))</f>
        <v/>
      </c>
      <c r="BQ164" s="35" t="str">
        <f aca="true">IF(OR(AO164&lt;&gt;1,Z164&lt;&gt;"Oui"),"",IF(AB164="",IF(AND(AA164&lt;&gt;"",NOW()&gt;AA164),0,""),IF(AA164="","",IF(AB164&lt;=AA164,1,0))))</f>
        <v/>
      </c>
      <c r="BR164" s="38" t="str">
        <f aca="false">IF(OR(AO164&lt;&gt;1,K164&lt;&gt;"Oui",O164=""),"",IF(AC164="",O164+DORA_H_DET/24,IF(AC164-O164&lt;=DORA_H_DET/24,MIN(AC164+DORA_H_CLA/24,O164+DORA_H_DET/24),AC164+DORA_H_CLA/24)))</f>
        <v/>
      </c>
      <c r="BS164" s="35" t="str">
        <f aca="true">IF(BR164="","",IF(AD164="",IF(NOW()&gt;BR164,0,""),IF(AD164&lt;=BR164,1,0)))</f>
        <v/>
      </c>
      <c r="BT164" s="35" t="str">
        <f aca="true">IF(OR(BR164="",AD164=""),"",IF(AE164="",IF(NOW()&gt;AD164+DORA_H_INT/24,0,""),IF(AE164&lt;=AD164+DORA_H_INT/24,1,0)))</f>
        <v/>
      </c>
      <c r="BU164" s="35" t="str">
        <f aca="true">IF(OR(BR164="",AE164=""),"",IF(AF164="",IF(NOW()&gt;EDATE(AE164,DORA_M_FIN)+1,0,""),IF(AF164&lt;=EDATE(AE164,DORA_M_FIN),1,0)))</f>
        <v/>
      </c>
      <c r="BV164" s="35" t="str">
        <f aca="false">IF(BR164="","",IF(COUNT(BS164:BU164)=0,"",MIN(BS164:BU164)))</f>
        <v/>
      </c>
      <c r="BW164" s="40" t="str">
        <f aca="false">IF(AQ164&lt;&gt;1,"",IF(AND(AG164="",AH164=""),"",N(AG164)-N(AH164)))</f>
        <v/>
      </c>
      <c r="BX164" s="35" t="str">
        <f aca="true">IF(OR(AQ164&lt;&gt;1,AI164&lt;&gt;"Oui",AJ164=""),"",IF(AK164="",IF(NOW()&gt;AJ164+1,0,""),IF(AK164&lt;=AJ164,1,0)))</f>
        <v/>
      </c>
    </row>
    <row r="165" customFormat="false" ht="15" hidden="false" customHeight="false" outlineLevel="0" collapsed="false">
      <c r="B165" s="29"/>
      <c r="C165" s="29"/>
      <c r="D165" s="29"/>
      <c r="E165" s="29"/>
      <c r="F165" s="29"/>
      <c r="G165" s="29"/>
      <c r="H165" s="29"/>
      <c r="I165" s="29"/>
      <c r="J165" s="29"/>
      <c r="K165" s="29"/>
      <c r="L165" s="29"/>
      <c r="M165" s="29"/>
      <c r="N165" s="30"/>
      <c r="O165" s="30"/>
      <c r="P165" s="30"/>
      <c r="Q165" s="30"/>
      <c r="R165" s="30"/>
      <c r="S165" s="30"/>
      <c r="T165" s="30"/>
      <c r="U165" s="30"/>
      <c r="V165" s="31"/>
      <c r="W165" s="29"/>
      <c r="X165" s="29"/>
      <c r="Y165" s="29"/>
      <c r="Z165" s="29"/>
      <c r="AA165" s="30"/>
      <c r="AB165" s="30"/>
      <c r="AC165" s="30"/>
      <c r="AD165" s="30"/>
      <c r="AE165" s="30"/>
      <c r="AF165" s="32"/>
      <c r="AG165" s="33"/>
      <c r="AH165" s="33"/>
      <c r="AI165" s="29"/>
      <c r="AJ165" s="32"/>
      <c r="AK165" s="32"/>
      <c r="AL165" s="29"/>
      <c r="AN165" s="34" t="str">
        <f aca="false">IF($B165="","",IF(OR(C165="",D165="",E165="",G165="",I165="",J165="",L165="",O165="",P165=""),"Champ obligatoire manquant",IF(OR(AND(N165&lt;&gt;"",N165&gt;O165),O165&gt;P165,AND(Q165&lt;&gt;"",Q165&lt;P165),AND(R165&lt;&gt;"",R165&lt;P165),AND(S165&lt;&gt;"",S165&lt;R165),AND(S165&lt;&gt;"",R165=""),AND(T165&lt;&gt;"",T165&lt;O165),AND(U165&lt;&gt;"",U165&lt;O165)),"Chronologie incohérente",IF(AND(OR(L165="Résolu",L165="Clos"),R165=""),"Date de résolution manquante",IF(AND(L165="Clos",S165=""),"Date de clôture manquante",IF(AND(K165="Oui",AC165=""),"Classification DORA manquante","OK"))))))</f>
        <v/>
      </c>
      <c r="AO165" s="35" t="str">
        <f aca="false">IF($B165="","",IF(AND(C165="Incident",L165&lt;&gt;"Annulé"),1,0))</f>
        <v/>
      </c>
      <c r="AP165" s="35" t="str">
        <f aca="false">IF($B165="","",IF(AND(C165="Quasi-incident",L165&lt;&gt;"Annulé"),1,0))</f>
        <v/>
      </c>
      <c r="AQ165" s="35" t="str">
        <f aca="false">IF($B165="","",AO165+AP165)</f>
        <v/>
      </c>
      <c r="AR165" s="36" t="str">
        <f aca="false">IF(OR($B165="",J165=""),"",IFERROR(VALUE(LEFT(J165,1)),""))</f>
        <v/>
      </c>
      <c r="AS165" s="35" t="str">
        <f aca="false">IF(OR(AO165&lt;&gt;1,G165=""),"",IFERROR(IF(INDEX(L_SrcInterne,MATCH(G165,L_Sources,0))="Oui",1,0),""))</f>
        <v/>
      </c>
      <c r="AT165" s="37" t="str">
        <f aca="false">IF(AO165&lt;&gt;1,"",IFERROR(ROUND(IF(OR(N165="",O165=""),"",IF(O165&lt;N165,"",ROUND(((NETWORKDAYS(N165,O165,JoursFeries)-1)*(HFer-HOuv)+IF(NETWORKDAYS(O165,O165,JoursFeries),MEDIAN(MOD(O165,1),HFer,HOuv),HFer)-IF(NETWORKDAYS(N165,N165,JoursFeries),MEDIAN(MOD(N165,1),HFer,HOuv),HOuv))*24,4)))/HJour,4),""))</f>
        <v/>
      </c>
      <c r="AU165" s="37" t="str">
        <f aca="false">IF(AO165&lt;&gt;1,"",IF(OR(O165="",P165=""),"",IF(P165&lt;O165,"",ROUND(((NETWORKDAYS(O165,P165,JoursFeries)-1)*(HFer-HOuv)+IF(NETWORKDAYS(P165,P165,JoursFeries),MEDIAN(MOD(P165,1),HFer,HOuv),HFer)-IF(NETWORKDAYS(O165,O165,JoursFeries),MEDIAN(MOD(O165,1),HFer,HOuv),HOuv))*24,4))))</f>
        <v/>
      </c>
      <c r="AV165" s="37" t="str">
        <f aca="false">IF(AO165&lt;&gt;1,"",IF(OR(P165="",Q165=""),"",IF(Q165&lt;P165,"",ROUND(((NETWORKDAYS(P165,Q165,JoursFeries)-1)*(HFer-HOuv)+IF(NETWORKDAYS(Q165,Q165,JoursFeries),MEDIAN(MOD(Q165,1),HFer,HOuv),HFer)-IF(NETWORKDAYS(P165,P165,JoursFeries),MEDIAN(MOD(P165,1),HFer,HOuv),HOuv))*24,4))))</f>
        <v/>
      </c>
      <c r="AW165" s="37" t="str">
        <f aca="false">IF(AO165&lt;&gt;1,"",IFERROR(ROUND(IF(OR(P165="",R165=""),"",IF(R165&lt;P165,"",ROUND(((NETWORKDAYS(P165,R165,JoursFeries)-1)*(HFer-HOuv)+IF(NETWORKDAYS(R165,R165,JoursFeries),MEDIAN(MOD(R165,1),HFer,HOuv),HFer)-IF(NETWORKDAYS(P165,P165,JoursFeries),MEDIAN(MOD(P165,1),HFer,HOuv),HOuv))*24,4)))/HJour,4),""))</f>
        <v/>
      </c>
      <c r="AX165" s="37" t="str">
        <f aca="false">IF(AO165&lt;&gt;1,"",IFERROR(ROUND(IF(OR(P165="",S165=""),"",IF(S165&lt;P165,"",ROUND(((NETWORKDAYS(P165,S165,JoursFeries)-1)*(HFer-HOuv)+IF(NETWORKDAYS(S165,S165,JoursFeries),MEDIAN(MOD(S165,1),HFer,HOuv),HFer)-IF(NETWORKDAYS(P165,P165,JoursFeries),MEDIAN(MOD(P165,1),HFer,HOuv),HOuv))*24,4)))/HJour,4),""))</f>
        <v/>
      </c>
      <c r="AY165" s="36" t="str">
        <f aca="false">IF(OR(AO165&lt;&gt;1,AR165=""),"",INDEX(SLA_PEC,AR165))</f>
        <v/>
      </c>
      <c r="AZ165" s="35" t="str">
        <f aca="false">IF(OR(AV165="",AY165=""),"",IF(AV165&lt;=AY165,1,0))</f>
        <v/>
      </c>
      <c r="BA165" s="36" t="str">
        <f aca="false">IF(OR(AO165&lt;&gt;1,AR165=""),"",INDEX(SLA_RES,AR165))</f>
        <v/>
      </c>
      <c r="BB165" s="35" t="str">
        <f aca="false">IF(OR(AW165="",BA165=""),"",IF(AW165&lt;=BA165,1,0))</f>
        <v/>
      </c>
      <c r="BC165" s="38" t="str">
        <f aca="false">IF(OR(BA165="",P165=""),"",WORKDAY(INT(P165),BA165,JoursFeries)+MOD(P165,1))</f>
        <v/>
      </c>
      <c r="BD165" s="39" t="str">
        <f aca="false">IF(AO165&lt;&gt;1,"",IF(OR(AB165&lt;&gt;"",AD165&lt;&gt;""),4,IF(U165&lt;&gt;"",3,IF(T165&lt;&gt;"",2,1))))</f>
        <v/>
      </c>
      <c r="BE165" s="39" t="str">
        <f aca="false">IF(OR(AO165&lt;&gt;1,AR165=""),"",INDEX(NIV_REQ,AR165))</f>
        <v/>
      </c>
      <c r="BF165" s="39" t="str">
        <f aca="false">IF(BE165="","",MAX(BE165,IF(OR(K165="Oui",Z165="Oui"),4,1)))</f>
        <v/>
      </c>
      <c r="BG165" s="35" t="str">
        <f aca="false">IF(OR(BF165="",BD165=""),"",IF(BD165&gt;=BF165,1,0))</f>
        <v/>
      </c>
      <c r="BH165" s="38" t="str">
        <f aca="false">IF(BE165="","",IF(BE165&lt;2,"",IF(BE165=2,IF(AND(T165="",U165=""),"",MIN(T165,U165)),IF(U165="","",U165))))</f>
        <v/>
      </c>
      <c r="BI165" s="37" t="str">
        <f aca="false">IF(BH165="","",IF(OR(O165="",BH165=""),"",IF(BH165&lt;O165,"",ROUND(((NETWORKDAYS(O165,BH165,JoursFeries)-1)*(HFer-HOuv)+IF(NETWORKDAYS(BH165,BH165,JoursFeries),MEDIAN(MOD(BH165,1),HFer,HOuv),HFer)-IF(NETWORKDAYS(O165,O165,JoursFeries),MEDIAN(MOD(O165,1),HFer,HOuv),HOuv))*24,4))))</f>
        <v/>
      </c>
      <c r="BJ165" s="35" t="str">
        <f aca="false">IF(OR(BI165="",AR165=""),"",IF(BI165&lt;=INDEX(DELAI_ESC,AR165),1,0))</f>
        <v/>
      </c>
      <c r="BK165" s="38" t="str">
        <f aca="false">IF(AO165&lt;&gt;1,"",IF(AND(T165="",U165=""),"",MIN(T165,U165)))</f>
        <v/>
      </c>
      <c r="BL165" s="37" t="str">
        <f aca="false">IF(OR(BK165="",R165=""),"",IFERROR(ROUND(IF(OR(BK165="",R165=""),"",IF(R165&lt;BK165,"",ROUND(((NETWORKDAYS(BK165,R165,JoursFeries)-1)*(HFer-HOuv)+IF(NETWORKDAYS(R165,R165,JoursFeries),MEDIAN(MOD(R165,1),HFer,HOuv),HFer)-IF(NETWORKDAYS(BK165,BK165,JoursFeries),MEDIAN(MOD(BK165,1),HFer,HOuv),HOuv))*24,4)))/HJour,4),""))</f>
        <v/>
      </c>
      <c r="BM165" s="35" t="str">
        <f aca="false">IF(OR(AO165&lt;&gt;1,R165=""),"",IF(BD165=1,1,0))</f>
        <v/>
      </c>
      <c r="BN165" s="35" t="str">
        <f aca="false">IF(AO165&lt;&gt;1,"",IF(W165="Oui",1,0))</f>
        <v/>
      </c>
      <c r="BO165" s="35" t="str">
        <f aca="false">IF(AO165&lt;&gt;1,"",IF(X165&lt;&gt;"",1,0))</f>
        <v/>
      </c>
      <c r="BP165" s="35" t="str">
        <f aca="false">IF(AO165&lt;&gt;1,"",IF(Y165="Oui",1,0))</f>
        <v/>
      </c>
      <c r="BQ165" s="35" t="str">
        <f aca="true">IF(OR(AO165&lt;&gt;1,Z165&lt;&gt;"Oui"),"",IF(AB165="",IF(AND(AA165&lt;&gt;"",NOW()&gt;AA165),0,""),IF(AA165="","",IF(AB165&lt;=AA165,1,0))))</f>
        <v/>
      </c>
      <c r="BR165" s="38" t="str">
        <f aca="false">IF(OR(AO165&lt;&gt;1,K165&lt;&gt;"Oui",O165=""),"",IF(AC165="",O165+DORA_H_DET/24,IF(AC165-O165&lt;=DORA_H_DET/24,MIN(AC165+DORA_H_CLA/24,O165+DORA_H_DET/24),AC165+DORA_H_CLA/24)))</f>
        <v/>
      </c>
      <c r="BS165" s="35" t="str">
        <f aca="true">IF(BR165="","",IF(AD165="",IF(NOW()&gt;BR165,0,""),IF(AD165&lt;=BR165,1,0)))</f>
        <v/>
      </c>
      <c r="BT165" s="35" t="str">
        <f aca="true">IF(OR(BR165="",AD165=""),"",IF(AE165="",IF(NOW()&gt;AD165+DORA_H_INT/24,0,""),IF(AE165&lt;=AD165+DORA_H_INT/24,1,0)))</f>
        <v/>
      </c>
      <c r="BU165" s="35" t="str">
        <f aca="true">IF(OR(BR165="",AE165=""),"",IF(AF165="",IF(NOW()&gt;EDATE(AE165,DORA_M_FIN)+1,0,""),IF(AF165&lt;=EDATE(AE165,DORA_M_FIN),1,0)))</f>
        <v/>
      </c>
      <c r="BV165" s="35" t="str">
        <f aca="false">IF(BR165="","",IF(COUNT(BS165:BU165)=0,"",MIN(BS165:BU165)))</f>
        <v/>
      </c>
      <c r="BW165" s="40" t="str">
        <f aca="false">IF(AQ165&lt;&gt;1,"",IF(AND(AG165="",AH165=""),"",N(AG165)-N(AH165)))</f>
        <v/>
      </c>
      <c r="BX165" s="35" t="str">
        <f aca="true">IF(OR(AQ165&lt;&gt;1,AI165&lt;&gt;"Oui",AJ165=""),"",IF(AK165="",IF(NOW()&gt;AJ165+1,0,""),IF(AK165&lt;=AJ165,1,0)))</f>
        <v/>
      </c>
    </row>
    <row r="166" customFormat="false" ht="15" hidden="false" customHeight="false" outlineLevel="0" collapsed="false">
      <c r="B166" s="29"/>
      <c r="C166" s="29"/>
      <c r="D166" s="29"/>
      <c r="E166" s="29"/>
      <c r="F166" s="29"/>
      <c r="G166" s="29"/>
      <c r="H166" s="29"/>
      <c r="I166" s="29"/>
      <c r="J166" s="29"/>
      <c r="K166" s="29"/>
      <c r="L166" s="29"/>
      <c r="M166" s="29"/>
      <c r="N166" s="30"/>
      <c r="O166" s="30"/>
      <c r="P166" s="30"/>
      <c r="Q166" s="30"/>
      <c r="R166" s="30"/>
      <c r="S166" s="30"/>
      <c r="T166" s="30"/>
      <c r="U166" s="30"/>
      <c r="V166" s="31"/>
      <c r="W166" s="29"/>
      <c r="X166" s="29"/>
      <c r="Y166" s="29"/>
      <c r="Z166" s="29"/>
      <c r="AA166" s="30"/>
      <c r="AB166" s="30"/>
      <c r="AC166" s="30"/>
      <c r="AD166" s="30"/>
      <c r="AE166" s="30"/>
      <c r="AF166" s="32"/>
      <c r="AG166" s="33"/>
      <c r="AH166" s="33"/>
      <c r="AI166" s="29"/>
      <c r="AJ166" s="32"/>
      <c r="AK166" s="32"/>
      <c r="AL166" s="29"/>
      <c r="AN166" s="34" t="str">
        <f aca="false">IF($B166="","",IF(OR(C166="",D166="",E166="",G166="",I166="",J166="",L166="",O166="",P166=""),"Champ obligatoire manquant",IF(OR(AND(N166&lt;&gt;"",N166&gt;O166),O166&gt;P166,AND(Q166&lt;&gt;"",Q166&lt;P166),AND(R166&lt;&gt;"",R166&lt;P166),AND(S166&lt;&gt;"",S166&lt;R166),AND(S166&lt;&gt;"",R166=""),AND(T166&lt;&gt;"",T166&lt;O166),AND(U166&lt;&gt;"",U166&lt;O166)),"Chronologie incohérente",IF(AND(OR(L166="Résolu",L166="Clos"),R166=""),"Date de résolution manquante",IF(AND(L166="Clos",S166=""),"Date de clôture manquante",IF(AND(K166="Oui",AC166=""),"Classification DORA manquante","OK"))))))</f>
        <v/>
      </c>
      <c r="AO166" s="35" t="str">
        <f aca="false">IF($B166="","",IF(AND(C166="Incident",L166&lt;&gt;"Annulé"),1,0))</f>
        <v/>
      </c>
      <c r="AP166" s="35" t="str">
        <f aca="false">IF($B166="","",IF(AND(C166="Quasi-incident",L166&lt;&gt;"Annulé"),1,0))</f>
        <v/>
      </c>
      <c r="AQ166" s="35" t="str">
        <f aca="false">IF($B166="","",AO166+AP166)</f>
        <v/>
      </c>
      <c r="AR166" s="36" t="str">
        <f aca="false">IF(OR($B166="",J166=""),"",IFERROR(VALUE(LEFT(J166,1)),""))</f>
        <v/>
      </c>
      <c r="AS166" s="35" t="str">
        <f aca="false">IF(OR(AO166&lt;&gt;1,G166=""),"",IFERROR(IF(INDEX(L_SrcInterne,MATCH(G166,L_Sources,0))="Oui",1,0),""))</f>
        <v/>
      </c>
      <c r="AT166" s="37" t="str">
        <f aca="false">IF(AO166&lt;&gt;1,"",IFERROR(ROUND(IF(OR(N166="",O166=""),"",IF(O166&lt;N166,"",ROUND(((NETWORKDAYS(N166,O166,JoursFeries)-1)*(HFer-HOuv)+IF(NETWORKDAYS(O166,O166,JoursFeries),MEDIAN(MOD(O166,1),HFer,HOuv),HFer)-IF(NETWORKDAYS(N166,N166,JoursFeries),MEDIAN(MOD(N166,1),HFer,HOuv),HOuv))*24,4)))/HJour,4),""))</f>
        <v/>
      </c>
      <c r="AU166" s="37" t="str">
        <f aca="false">IF(AO166&lt;&gt;1,"",IF(OR(O166="",P166=""),"",IF(P166&lt;O166,"",ROUND(((NETWORKDAYS(O166,P166,JoursFeries)-1)*(HFer-HOuv)+IF(NETWORKDAYS(P166,P166,JoursFeries),MEDIAN(MOD(P166,1),HFer,HOuv),HFer)-IF(NETWORKDAYS(O166,O166,JoursFeries),MEDIAN(MOD(O166,1),HFer,HOuv),HOuv))*24,4))))</f>
        <v/>
      </c>
      <c r="AV166" s="37" t="str">
        <f aca="false">IF(AO166&lt;&gt;1,"",IF(OR(P166="",Q166=""),"",IF(Q166&lt;P166,"",ROUND(((NETWORKDAYS(P166,Q166,JoursFeries)-1)*(HFer-HOuv)+IF(NETWORKDAYS(Q166,Q166,JoursFeries),MEDIAN(MOD(Q166,1),HFer,HOuv),HFer)-IF(NETWORKDAYS(P166,P166,JoursFeries),MEDIAN(MOD(P166,1),HFer,HOuv),HOuv))*24,4))))</f>
        <v/>
      </c>
      <c r="AW166" s="37" t="str">
        <f aca="false">IF(AO166&lt;&gt;1,"",IFERROR(ROUND(IF(OR(P166="",R166=""),"",IF(R166&lt;P166,"",ROUND(((NETWORKDAYS(P166,R166,JoursFeries)-1)*(HFer-HOuv)+IF(NETWORKDAYS(R166,R166,JoursFeries),MEDIAN(MOD(R166,1),HFer,HOuv),HFer)-IF(NETWORKDAYS(P166,P166,JoursFeries),MEDIAN(MOD(P166,1),HFer,HOuv),HOuv))*24,4)))/HJour,4),""))</f>
        <v/>
      </c>
      <c r="AX166" s="37" t="str">
        <f aca="false">IF(AO166&lt;&gt;1,"",IFERROR(ROUND(IF(OR(P166="",S166=""),"",IF(S166&lt;P166,"",ROUND(((NETWORKDAYS(P166,S166,JoursFeries)-1)*(HFer-HOuv)+IF(NETWORKDAYS(S166,S166,JoursFeries),MEDIAN(MOD(S166,1),HFer,HOuv),HFer)-IF(NETWORKDAYS(P166,P166,JoursFeries),MEDIAN(MOD(P166,1),HFer,HOuv),HOuv))*24,4)))/HJour,4),""))</f>
        <v/>
      </c>
      <c r="AY166" s="36" t="str">
        <f aca="false">IF(OR(AO166&lt;&gt;1,AR166=""),"",INDEX(SLA_PEC,AR166))</f>
        <v/>
      </c>
      <c r="AZ166" s="35" t="str">
        <f aca="false">IF(OR(AV166="",AY166=""),"",IF(AV166&lt;=AY166,1,0))</f>
        <v/>
      </c>
      <c r="BA166" s="36" t="str">
        <f aca="false">IF(OR(AO166&lt;&gt;1,AR166=""),"",INDEX(SLA_RES,AR166))</f>
        <v/>
      </c>
      <c r="BB166" s="35" t="str">
        <f aca="false">IF(OR(AW166="",BA166=""),"",IF(AW166&lt;=BA166,1,0))</f>
        <v/>
      </c>
      <c r="BC166" s="38" t="str">
        <f aca="false">IF(OR(BA166="",P166=""),"",WORKDAY(INT(P166),BA166,JoursFeries)+MOD(P166,1))</f>
        <v/>
      </c>
      <c r="BD166" s="39" t="str">
        <f aca="false">IF(AO166&lt;&gt;1,"",IF(OR(AB166&lt;&gt;"",AD166&lt;&gt;""),4,IF(U166&lt;&gt;"",3,IF(T166&lt;&gt;"",2,1))))</f>
        <v/>
      </c>
      <c r="BE166" s="39" t="str">
        <f aca="false">IF(OR(AO166&lt;&gt;1,AR166=""),"",INDEX(NIV_REQ,AR166))</f>
        <v/>
      </c>
      <c r="BF166" s="39" t="str">
        <f aca="false">IF(BE166="","",MAX(BE166,IF(OR(K166="Oui",Z166="Oui"),4,1)))</f>
        <v/>
      </c>
      <c r="BG166" s="35" t="str">
        <f aca="false">IF(OR(BF166="",BD166=""),"",IF(BD166&gt;=BF166,1,0))</f>
        <v/>
      </c>
      <c r="BH166" s="38" t="str">
        <f aca="false">IF(BE166="","",IF(BE166&lt;2,"",IF(BE166=2,IF(AND(T166="",U166=""),"",MIN(T166,U166)),IF(U166="","",U166))))</f>
        <v/>
      </c>
      <c r="BI166" s="37" t="str">
        <f aca="false">IF(BH166="","",IF(OR(O166="",BH166=""),"",IF(BH166&lt;O166,"",ROUND(((NETWORKDAYS(O166,BH166,JoursFeries)-1)*(HFer-HOuv)+IF(NETWORKDAYS(BH166,BH166,JoursFeries),MEDIAN(MOD(BH166,1),HFer,HOuv),HFer)-IF(NETWORKDAYS(O166,O166,JoursFeries),MEDIAN(MOD(O166,1),HFer,HOuv),HOuv))*24,4))))</f>
        <v/>
      </c>
      <c r="BJ166" s="35" t="str">
        <f aca="false">IF(OR(BI166="",AR166=""),"",IF(BI166&lt;=INDEX(DELAI_ESC,AR166),1,0))</f>
        <v/>
      </c>
      <c r="BK166" s="38" t="str">
        <f aca="false">IF(AO166&lt;&gt;1,"",IF(AND(T166="",U166=""),"",MIN(T166,U166)))</f>
        <v/>
      </c>
      <c r="BL166" s="37" t="str">
        <f aca="false">IF(OR(BK166="",R166=""),"",IFERROR(ROUND(IF(OR(BK166="",R166=""),"",IF(R166&lt;BK166,"",ROUND(((NETWORKDAYS(BK166,R166,JoursFeries)-1)*(HFer-HOuv)+IF(NETWORKDAYS(R166,R166,JoursFeries),MEDIAN(MOD(R166,1),HFer,HOuv),HFer)-IF(NETWORKDAYS(BK166,BK166,JoursFeries),MEDIAN(MOD(BK166,1),HFer,HOuv),HOuv))*24,4)))/HJour,4),""))</f>
        <v/>
      </c>
      <c r="BM166" s="35" t="str">
        <f aca="false">IF(OR(AO166&lt;&gt;1,R166=""),"",IF(BD166=1,1,0))</f>
        <v/>
      </c>
      <c r="BN166" s="35" t="str">
        <f aca="false">IF(AO166&lt;&gt;1,"",IF(W166="Oui",1,0))</f>
        <v/>
      </c>
      <c r="BO166" s="35" t="str">
        <f aca="false">IF(AO166&lt;&gt;1,"",IF(X166&lt;&gt;"",1,0))</f>
        <v/>
      </c>
      <c r="BP166" s="35" t="str">
        <f aca="false">IF(AO166&lt;&gt;1,"",IF(Y166="Oui",1,0))</f>
        <v/>
      </c>
      <c r="BQ166" s="35" t="str">
        <f aca="true">IF(OR(AO166&lt;&gt;1,Z166&lt;&gt;"Oui"),"",IF(AB166="",IF(AND(AA166&lt;&gt;"",NOW()&gt;AA166),0,""),IF(AA166="","",IF(AB166&lt;=AA166,1,0))))</f>
        <v/>
      </c>
      <c r="BR166" s="38" t="str">
        <f aca="false">IF(OR(AO166&lt;&gt;1,K166&lt;&gt;"Oui",O166=""),"",IF(AC166="",O166+DORA_H_DET/24,IF(AC166-O166&lt;=DORA_H_DET/24,MIN(AC166+DORA_H_CLA/24,O166+DORA_H_DET/24),AC166+DORA_H_CLA/24)))</f>
        <v/>
      </c>
      <c r="BS166" s="35" t="str">
        <f aca="true">IF(BR166="","",IF(AD166="",IF(NOW()&gt;BR166,0,""),IF(AD166&lt;=BR166,1,0)))</f>
        <v/>
      </c>
      <c r="BT166" s="35" t="str">
        <f aca="true">IF(OR(BR166="",AD166=""),"",IF(AE166="",IF(NOW()&gt;AD166+DORA_H_INT/24,0,""),IF(AE166&lt;=AD166+DORA_H_INT/24,1,0)))</f>
        <v/>
      </c>
      <c r="BU166" s="35" t="str">
        <f aca="true">IF(OR(BR166="",AE166=""),"",IF(AF166="",IF(NOW()&gt;EDATE(AE166,DORA_M_FIN)+1,0,""),IF(AF166&lt;=EDATE(AE166,DORA_M_FIN),1,0)))</f>
        <v/>
      </c>
      <c r="BV166" s="35" t="str">
        <f aca="false">IF(BR166="","",IF(COUNT(BS166:BU166)=0,"",MIN(BS166:BU166)))</f>
        <v/>
      </c>
      <c r="BW166" s="40" t="str">
        <f aca="false">IF(AQ166&lt;&gt;1,"",IF(AND(AG166="",AH166=""),"",N(AG166)-N(AH166)))</f>
        <v/>
      </c>
      <c r="BX166" s="35" t="str">
        <f aca="true">IF(OR(AQ166&lt;&gt;1,AI166&lt;&gt;"Oui",AJ166=""),"",IF(AK166="",IF(NOW()&gt;AJ166+1,0,""),IF(AK166&lt;=AJ166,1,0)))</f>
        <v/>
      </c>
    </row>
    <row r="167" customFormat="false" ht="15" hidden="false" customHeight="false" outlineLevel="0" collapsed="false">
      <c r="B167" s="29"/>
      <c r="C167" s="29"/>
      <c r="D167" s="29"/>
      <c r="E167" s="29"/>
      <c r="F167" s="29"/>
      <c r="G167" s="29"/>
      <c r="H167" s="29"/>
      <c r="I167" s="29"/>
      <c r="J167" s="29"/>
      <c r="K167" s="29"/>
      <c r="L167" s="29"/>
      <c r="M167" s="29"/>
      <c r="N167" s="30"/>
      <c r="O167" s="30"/>
      <c r="P167" s="30"/>
      <c r="Q167" s="30"/>
      <c r="R167" s="30"/>
      <c r="S167" s="30"/>
      <c r="T167" s="30"/>
      <c r="U167" s="30"/>
      <c r="V167" s="31"/>
      <c r="W167" s="29"/>
      <c r="X167" s="29"/>
      <c r="Y167" s="29"/>
      <c r="Z167" s="29"/>
      <c r="AA167" s="30"/>
      <c r="AB167" s="30"/>
      <c r="AC167" s="30"/>
      <c r="AD167" s="30"/>
      <c r="AE167" s="30"/>
      <c r="AF167" s="32"/>
      <c r="AG167" s="33"/>
      <c r="AH167" s="33"/>
      <c r="AI167" s="29"/>
      <c r="AJ167" s="32"/>
      <c r="AK167" s="32"/>
      <c r="AL167" s="29"/>
      <c r="AN167" s="34" t="str">
        <f aca="false">IF($B167="","",IF(OR(C167="",D167="",E167="",G167="",I167="",J167="",L167="",O167="",P167=""),"Champ obligatoire manquant",IF(OR(AND(N167&lt;&gt;"",N167&gt;O167),O167&gt;P167,AND(Q167&lt;&gt;"",Q167&lt;P167),AND(R167&lt;&gt;"",R167&lt;P167),AND(S167&lt;&gt;"",S167&lt;R167),AND(S167&lt;&gt;"",R167=""),AND(T167&lt;&gt;"",T167&lt;O167),AND(U167&lt;&gt;"",U167&lt;O167)),"Chronologie incohérente",IF(AND(OR(L167="Résolu",L167="Clos"),R167=""),"Date de résolution manquante",IF(AND(L167="Clos",S167=""),"Date de clôture manquante",IF(AND(K167="Oui",AC167=""),"Classification DORA manquante","OK"))))))</f>
        <v/>
      </c>
      <c r="AO167" s="35" t="str">
        <f aca="false">IF($B167="","",IF(AND(C167="Incident",L167&lt;&gt;"Annulé"),1,0))</f>
        <v/>
      </c>
      <c r="AP167" s="35" t="str">
        <f aca="false">IF($B167="","",IF(AND(C167="Quasi-incident",L167&lt;&gt;"Annulé"),1,0))</f>
        <v/>
      </c>
      <c r="AQ167" s="35" t="str">
        <f aca="false">IF($B167="","",AO167+AP167)</f>
        <v/>
      </c>
      <c r="AR167" s="36" t="str">
        <f aca="false">IF(OR($B167="",J167=""),"",IFERROR(VALUE(LEFT(J167,1)),""))</f>
        <v/>
      </c>
      <c r="AS167" s="35" t="str">
        <f aca="false">IF(OR(AO167&lt;&gt;1,G167=""),"",IFERROR(IF(INDEX(L_SrcInterne,MATCH(G167,L_Sources,0))="Oui",1,0),""))</f>
        <v/>
      </c>
      <c r="AT167" s="37" t="str">
        <f aca="false">IF(AO167&lt;&gt;1,"",IFERROR(ROUND(IF(OR(N167="",O167=""),"",IF(O167&lt;N167,"",ROUND(((NETWORKDAYS(N167,O167,JoursFeries)-1)*(HFer-HOuv)+IF(NETWORKDAYS(O167,O167,JoursFeries),MEDIAN(MOD(O167,1),HFer,HOuv),HFer)-IF(NETWORKDAYS(N167,N167,JoursFeries),MEDIAN(MOD(N167,1),HFer,HOuv),HOuv))*24,4)))/HJour,4),""))</f>
        <v/>
      </c>
      <c r="AU167" s="37" t="str">
        <f aca="false">IF(AO167&lt;&gt;1,"",IF(OR(O167="",P167=""),"",IF(P167&lt;O167,"",ROUND(((NETWORKDAYS(O167,P167,JoursFeries)-1)*(HFer-HOuv)+IF(NETWORKDAYS(P167,P167,JoursFeries),MEDIAN(MOD(P167,1),HFer,HOuv),HFer)-IF(NETWORKDAYS(O167,O167,JoursFeries),MEDIAN(MOD(O167,1),HFer,HOuv),HOuv))*24,4))))</f>
        <v/>
      </c>
      <c r="AV167" s="37" t="str">
        <f aca="false">IF(AO167&lt;&gt;1,"",IF(OR(P167="",Q167=""),"",IF(Q167&lt;P167,"",ROUND(((NETWORKDAYS(P167,Q167,JoursFeries)-1)*(HFer-HOuv)+IF(NETWORKDAYS(Q167,Q167,JoursFeries),MEDIAN(MOD(Q167,1),HFer,HOuv),HFer)-IF(NETWORKDAYS(P167,P167,JoursFeries),MEDIAN(MOD(P167,1),HFer,HOuv),HOuv))*24,4))))</f>
        <v/>
      </c>
      <c r="AW167" s="37" t="str">
        <f aca="false">IF(AO167&lt;&gt;1,"",IFERROR(ROUND(IF(OR(P167="",R167=""),"",IF(R167&lt;P167,"",ROUND(((NETWORKDAYS(P167,R167,JoursFeries)-1)*(HFer-HOuv)+IF(NETWORKDAYS(R167,R167,JoursFeries),MEDIAN(MOD(R167,1),HFer,HOuv),HFer)-IF(NETWORKDAYS(P167,P167,JoursFeries),MEDIAN(MOD(P167,1),HFer,HOuv),HOuv))*24,4)))/HJour,4),""))</f>
        <v/>
      </c>
      <c r="AX167" s="37" t="str">
        <f aca="false">IF(AO167&lt;&gt;1,"",IFERROR(ROUND(IF(OR(P167="",S167=""),"",IF(S167&lt;P167,"",ROUND(((NETWORKDAYS(P167,S167,JoursFeries)-1)*(HFer-HOuv)+IF(NETWORKDAYS(S167,S167,JoursFeries),MEDIAN(MOD(S167,1),HFer,HOuv),HFer)-IF(NETWORKDAYS(P167,P167,JoursFeries),MEDIAN(MOD(P167,1),HFer,HOuv),HOuv))*24,4)))/HJour,4),""))</f>
        <v/>
      </c>
      <c r="AY167" s="36" t="str">
        <f aca="false">IF(OR(AO167&lt;&gt;1,AR167=""),"",INDEX(SLA_PEC,AR167))</f>
        <v/>
      </c>
      <c r="AZ167" s="35" t="str">
        <f aca="false">IF(OR(AV167="",AY167=""),"",IF(AV167&lt;=AY167,1,0))</f>
        <v/>
      </c>
      <c r="BA167" s="36" t="str">
        <f aca="false">IF(OR(AO167&lt;&gt;1,AR167=""),"",INDEX(SLA_RES,AR167))</f>
        <v/>
      </c>
      <c r="BB167" s="35" t="str">
        <f aca="false">IF(OR(AW167="",BA167=""),"",IF(AW167&lt;=BA167,1,0))</f>
        <v/>
      </c>
      <c r="BC167" s="38" t="str">
        <f aca="false">IF(OR(BA167="",P167=""),"",WORKDAY(INT(P167),BA167,JoursFeries)+MOD(P167,1))</f>
        <v/>
      </c>
      <c r="BD167" s="39" t="str">
        <f aca="false">IF(AO167&lt;&gt;1,"",IF(OR(AB167&lt;&gt;"",AD167&lt;&gt;""),4,IF(U167&lt;&gt;"",3,IF(T167&lt;&gt;"",2,1))))</f>
        <v/>
      </c>
      <c r="BE167" s="39" t="str">
        <f aca="false">IF(OR(AO167&lt;&gt;1,AR167=""),"",INDEX(NIV_REQ,AR167))</f>
        <v/>
      </c>
      <c r="BF167" s="39" t="str">
        <f aca="false">IF(BE167="","",MAX(BE167,IF(OR(K167="Oui",Z167="Oui"),4,1)))</f>
        <v/>
      </c>
      <c r="BG167" s="35" t="str">
        <f aca="false">IF(OR(BF167="",BD167=""),"",IF(BD167&gt;=BF167,1,0))</f>
        <v/>
      </c>
      <c r="BH167" s="38" t="str">
        <f aca="false">IF(BE167="","",IF(BE167&lt;2,"",IF(BE167=2,IF(AND(T167="",U167=""),"",MIN(T167,U167)),IF(U167="","",U167))))</f>
        <v/>
      </c>
      <c r="BI167" s="37" t="str">
        <f aca="false">IF(BH167="","",IF(OR(O167="",BH167=""),"",IF(BH167&lt;O167,"",ROUND(((NETWORKDAYS(O167,BH167,JoursFeries)-1)*(HFer-HOuv)+IF(NETWORKDAYS(BH167,BH167,JoursFeries),MEDIAN(MOD(BH167,1),HFer,HOuv),HFer)-IF(NETWORKDAYS(O167,O167,JoursFeries),MEDIAN(MOD(O167,1),HFer,HOuv),HOuv))*24,4))))</f>
        <v/>
      </c>
      <c r="BJ167" s="35" t="str">
        <f aca="false">IF(OR(BI167="",AR167=""),"",IF(BI167&lt;=INDEX(DELAI_ESC,AR167),1,0))</f>
        <v/>
      </c>
      <c r="BK167" s="38" t="str">
        <f aca="false">IF(AO167&lt;&gt;1,"",IF(AND(T167="",U167=""),"",MIN(T167,U167)))</f>
        <v/>
      </c>
      <c r="BL167" s="37" t="str">
        <f aca="false">IF(OR(BK167="",R167=""),"",IFERROR(ROUND(IF(OR(BK167="",R167=""),"",IF(R167&lt;BK167,"",ROUND(((NETWORKDAYS(BK167,R167,JoursFeries)-1)*(HFer-HOuv)+IF(NETWORKDAYS(R167,R167,JoursFeries),MEDIAN(MOD(R167,1),HFer,HOuv),HFer)-IF(NETWORKDAYS(BK167,BK167,JoursFeries),MEDIAN(MOD(BK167,1),HFer,HOuv),HOuv))*24,4)))/HJour,4),""))</f>
        <v/>
      </c>
      <c r="BM167" s="35" t="str">
        <f aca="false">IF(OR(AO167&lt;&gt;1,R167=""),"",IF(BD167=1,1,0))</f>
        <v/>
      </c>
      <c r="BN167" s="35" t="str">
        <f aca="false">IF(AO167&lt;&gt;1,"",IF(W167="Oui",1,0))</f>
        <v/>
      </c>
      <c r="BO167" s="35" t="str">
        <f aca="false">IF(AO167&lt;&gt;1,"",IF(X167&lt;&gt;"",1,0))</f>
        <v/>
      </c>
      <c r="BP167" s="35" t="str">
        <f aca="false">IF(AO167&lt;&gt;1,"",IF(Y167="Oui",1,0))</f>
        <v/>
      </c>
      <c r="BQ167" s="35" t="str">
        <f aca="true">IF(OR(AO167&lt;&gt;1,Z167&lt;&gt;"Oui"),"",IF(AB167="",IF(AND(AA167&lt;&gt;"",NOW()&gt;AA167),0,""),IF(AA167="","",IF(AB167&lt;=AA167,1,0))))</f>
        <v/>
      </c>
      <c r="BR167" s="38" t="str">
        <f aca="false">IF(OR(AO167&lt;&gt;1,K167&lt;&gt;"Oui",O167=""),"",IF(AC167="",O167+DORA_H_DET/24,IF(AC167-O167&lt;=DORA_H_DET/24,MIN(AC167+DORA_H_CLA/24,O167+DORA_H_DET/24),AC167+DORA_H_CLA/24)))</f>
        <v/>
      </c>
      <c r="BS167" s="35" t="str">
        <f aca="true">IF(BR167="","",IF(AD167="",IF(NOW()&gt;BR167,0,""),IF(AD167&lt;=BR167,1,0)))</f>
        <v/>
      </c>
      <c r="BT167" s="35" t="str">
        <f aca="true">IF(OR(BR167="",AD167=""),"",IF(AE167="",IF(NOW()&gt;AD167+DORA_H_INT/24,0,""),IF(AE167&lt;=AD167+DORA_H_INT/24,1,0)))</f>
        <v/>
      </c>
      <c r="BU167" s="35" t="str">
        <f aca="true">IF(OR(BR167="",AE167=""),"",IF(AF167="",IF(NOW()&gt;EDATE(AE167,DORA_M_FIN)+1,0,""),IF(AF167&lt;=EDATE(AE167,DORA_M_FIN),1,0)))</f>
        <v/>
      </c>
      <c r="BV167" s="35" t="str">
        <f aca="false">IF(BR167="","",IF(COUNT(BS167:BU167)=0,"",MIN(BS167:BU167)))</f>
        <v/>
      </c>
      <c r="BW167" s="40" t="str">
        <f aca="false">IF(AQ167&lt;&gt;1,"",IF(AND(AG167="",AH167=""),"",N(AG167)-N(AH167)))</f>
        <v/>
      </c>
      <c r="BX167" s="35" t="str">
        <f aca="true">IF(OR(AQ167&lt;&gt;1,AI167&lt;&gt;"Oui",AJ167=""),"",IF(AK167="",IF(NOW()&gt;AJ167+1,0,""),IF(AK167&lt;=AJ167,1,0)))</f>
        <v/>
      </c>
    </row>
    <row r="168" customFormat="false" ht="15" hidden="false" customHeight="false" outlineLevel="0" collapsed="false">
      <c r="B168" s="29"/>
      <c r="C168" s="29"/>
      <c r="D168" s="29"/>
      <c r="E168" s="29"/>
      <c r="F168" s="29"/>
      <c r="G168" s="29"/>
      <c r="H168" s="29"/>
      <c r="I168" s="29"/>
      <c r="J168" s="29"/>
      <c r="K168" s="29"/>
      <c r="L168" s="29"/>
      <c r="M168" s="29"/>
      <c r="N168" s="30"/>
      <c r="O168" s="30"/>
      <c r="P168" s="30"/>
      <c r="Q168" s="30"/>
      <c r="R168" s="30"/>
      <c r="S168" s="30"/>
      <c r="T168" s="30"/>
      <c r="U168" s="30"/>
      <c r="V168" s="31"/>
      <c r="W168" s="29"/>
      <c r="X168" s="29"/>
      <c r="Y168" s="29"/>
      <c r="Z168" s="29"/>
      <c r="AA168" s="30"/>
      <c r="AB168" s="30"/>
      <c r="AC168" s="30"/>
      <c r="AD168" s="30"/>
      <c r="AE168" s="30"/>
      <c r="AF168" s="32"/>
      <c r="AG168" s="33"/>
      <c r="AH168" s="33"/>
      <c r="AI168" s="29"/>
      <c r="AJ168" s="32"/>
      <c r="AK168" s="32"/>
      <c r="AL168" s="29"/>
      <c r="AN168" s="34" t="str">
        <f aca="false">IF($B168="","",IF(OR(C168="",D168="",E168="",G168="",I168="",J168="",L168="",O168="",P168=""),"Champ obligatoire manquant",IF(OR(AND(N168&lt;&gt;"",N168&gt;O168),O168&gt;P168,AND(Q168&lt;&gt;"",Q168&lt;P168),AND(R168&lt;&gt;"",R168&lt;P168),AND(S168&lt;&gt;"",S168&lt;R168),AND(S168&lt;&gt;"",R168=""),AND(T168&lt;&gt;"",T168&lt;O168),AND(U168&lt;&gt;"",U168&lt;O168)),"Chronologie incohérente",IF(AND(OR(L168="Résolu",L168="Clos"),R168=""),"Date de résolution manquante",IF(AND(L168="Clos",S168=""),"Date de clôture manquante",IF(AND(K168="Oui",AC168=""),"Classification DORA manquante","OK"))))))</f>
        <v/>
      </c>
      <c r="AO168" s="35" t="str">
        <f aca="false">IF($B168="","",IF(AND(C168="Incident",L168&lt;&gt;"Annulé"),1,0))</f>
        <v/>
      </c>
      <c r="AP168" s="35" t="str">
        <f aca="false">IF($B168="","",IF(AND(C168="Quasi-incident",L168&lt;&gt;"Annulé"),1,0))</f>
        <v/>
      </c>
      <c r="AQ168" s="35" t="str">
        <f aca="false">IF($B168="","",AO168+AP168)</f>
        <v/>
      </c>
      <c r="AR168" s="36" t="str">
        <f aca="false">IF(OR($B168="",J168=""),"",IFERROR(VALUE(LEFT(J168,1)),""))</f>
        <v/>
      </c>
      <c r="AS168" s="35" t="str">
        <f aca="false">IF(OR(AO168&lt;&gt;1,G168=""),"",IFERROR(IF(INDEX(L_SrcInterne,MATCH(G168,L_Sources,0))="Oui",1,0),""))</f>
        <v/>
      </c>
      <c r="AT168" s="37" t="str">
        <f aca="false">IF(AO168&lt;&gt;1,"",IFERROR(ROUND(IF(OR(N168="",O168=""),"",IF(O168&lt;N168,"",ROUND(((NETWORKDAYS(N168,O168,JoursFeries)-1)*(HFer-HOuv)+IF(NETWORKDAYS(O168,O168,JoursFeries),MEDIAN(MOD(O168,1),HFer,HOuv),HFer)-IF(NETWORKDAYS(N168,N168,JoursFeries),MEDIAN(MOD(N168,1),HFer,HOuv),HOuv))*24,4)))/HJour,4),""))</f>
        <v/>
      </c>
      <c r="AU168" s="37" t="str">
        <f aca="false">IF(AO168&lt;&gt;1,"",IF(OR(O168="",P168=""),"",IF(P168&lt;O168,"",ROUND(((NETWORKDAYS(O168,P168,JoursFeries)-1)*(HFer-HOuv)+IF(NETWORKDAYS(P168,P168,JoursFeries),MEDIAN(MOD(P168,1),HFer,HOuv),HFer)-IF(NETWORKDAYS(O168,O168,JoursFeries),MEDIAN(MOD(O168,1),HFer,HOuv),HOuv))*24,4))))</f>
        <v/>
      </c>
      <c r="AV168" s="37" t="str">
        <f aca="false">IF(AO168&lt;&gt;1,"",IF(OR(P168="",Q168=""),"",IF(Q168&lt;P168,"",ROUND(((NETWORKDAYS(P168,Q168,JoursFeries)-1)*(HFer-HOuv)+IF(NETWORKDAYS(Q168,Q168,JoursFeries),MEDIAN(MOD(Q168,1),HFer,HOuv),HFer)-IF(NETWORKDAYS(P168,P168,JoursFeries),MEDIAN(MOD(P168,1),HFer,HOuv),HOuv))*24,4))))</f>
        <v/>
      </c>
      <c r="AW168" s="37" t="str">
        <f aca="false">IF(AO168&lt;&gt;1,"",IFERROR(ROUND(IF(OR(P168="",R168=""),"",IF(R168&lt;P168,"",ROUND(((NETWORKDAYS(P168,R168,JoursFeries)-1)*(HFer-HOuv)+IF(NETWORKDAYS(R168,R168,JoursFeries),MEDIAN(MOD(R168,1),HFer,HOuv),HFer)-IF(NETWORKDAYS(P168,P168,JoursFeries),MEDIAN(MOD(P168,1),HFer,HOuv),HOuv))*24,4)))/HJour,4),""))</f>
        <v/>
      </c>
      <c r="AX168" s="37" t="str">
        <f aca="false">IF(AO168&lt;&gt;1,"",IFERROR(ROUND(IF(OR(P168="",S168=""),"",IF(S168&lt;P168,"",ROUND(((NETWORKDAYS(P168,S168,JoursFeries)-1)*(HFer-HOuv)+IF(NETWORKDAYS(S168,S168,JoursFeries),MEDIAN(MOD(S168,1),HFer,HOuv),HFer)-IF(NETWORKDAYS(P168,P168,JoursFeries),MEDIAN(MOD(P168,1),HFer,HOuv),HOuv))*24,4)))/HJour,4),""))</f>
        <v/>
      </c>
      <c r="AY168" s="36" t="str">
        <f aca="false">IF(OR(AO168&lt;&gt;1,AR168=""),"",INDEX(SLA_PEC,AR168))</f>
        <v/>
      </c>
      <c r="AZ168" s="35" t="str">
        <f aca="false">IF(OR(AV168="",AY168=""),"",IF(AV168&lt;=AY168,1,0))</f>
        <v/>
      </c>
      <c r="BA168" s="36" t="str">
        <f aca="false">IF(OR(AO168&lt;&gt;1,AR168=""),"",INDEX(SLA_RES,AR168))</f>
        <v/>
      </c>
      <c r="BB168" s="35" t="str">
        <f aca="false">IF(OR(AW168="",BA168=""),"",IF(AW168&lt;=BA168,1,0))</f>
        <v/>
      </c>
      <c r="BC168" s="38" t="str">
        <f aca="false">IF(OR(BA168="",P168=""),"",WORKDAY(INT(P168),BA168,JoursFeries)+MOD(P168,1))</f>
        <v/>
      </c>
      <c r="BD168" s="39" t="str">
        <f aca="false">IF(AO168&lt;&gt;1,"",IF(OR(AB168&lt;&gt;"",AD168&lt;&gt;""),4,IF(U168&lt;&gt;"",3,IF(T168&lt;&gt;"",2,1))))</f>
        <v/>
      </c>
      <c r="BE168" s="39" t="str">
        <f aca="false">IF(OR(AO168&lt;&gt;1,AR168=""),"",INDEX(NIV_REQ,AR168))</f>
        <v/>
      </c>
      <c r="BF168" s="39" t="str">
        <f aca="false">IF(BE168="","",MAX(BE168,IF(OR(K168="Oui",Z168="Oui"),4,1)))</f>
        <v/>
      </c>
      <c r="BG168" s="35" t="str">
        <f aca="false">IF(OR(BF168="",BD168=""),"",IF(BD168&gt;=BF168,1,0))</f>
        <v/>
      </c>
      <c r="BH168" s="38" t="str">
        <f aca="false">IF(BE168="","",IF(BE168&lt;2,"",IF(BE168=2,IF(AND(T168="",U168=""),"",MIN(T168,U168)),IF(U168="","",U168))))</f>
        <v/>
      </c>
      <c r="BI168" s="37" t="str">
        <f aca="false">IF(BH168="","",IF(OR(O168="",BH168=""),"",IF(BH168&lt;O168,"",ROUND(((NETWORKDAYS(O168,BH168,JoursFeries)-1)*(HFer-HOuv)+IF(NETWORKDAYS(BH168,BH168,JoursFeries),MEDIAN(MOD(BH168,1),HFer,HOuv),HFer)-IF(NETWORKDAYS(O168,O168,JoursFeries),MEDIAN(MOD(O168,1),HFer,HOuv),HOuv))*24,4))))</f>
        <v/>
      </c>
      <c r="BJ168" s="35" t="str">
        <f aca="false">IF(OR(BI168="",AR168=""),"",IF(BI168&lt;=INDEX(DELAI_ESC,AR168),1,0))</f>
        <v/>
      </c>
      <c r="BK168" s="38" t="str">
        <f aca="false">IF(AO168&lt;&gt;1,"",IF(AND(T168="",U168=""),"",MIN(T168,U168)))</f>
        <v/>
      </c>
      <c r="BL168" s="37" t="str">
        <f aca="false">IF(OR(BK168="",R168=""),"",IFERROR(ROUND(IF(OR(BK168="",R168=""),"",IF(R168&lt;BK168,"",ROUND(((NETWORKDAYS(BK168,R168,JoursFeries)-1)*(HFer-HOuv)+IF(NETWORKDAYS(R168,R168,JoursFeries),MEDIAN(MOD(R168,1),HFer,HOuv),HFer)-IF(NETWORKDAYS(BK168,BK168,JoursFeries),MEDIAN(MOD(BK168,1),HFer,HOuv),HOuv))*24,4)))/HJour,4),""))</f>
        <v/>
      </c>
      <c r="BM168" s="35" t="str">
        <f aca="false">IF(OR(AO168&lt;&gt;1,R168=""),"",IF(BD168=1,1,0))</f>
        <v/>
      </c>
      <c r="BN168" s="35" t="str">
        <f aca="false">IF(AO168&lt;&gt;1,"",IF(W168="Oui",1,0))</f>
        <v/>
      </c>
      <c r="BO168" s="35" t="str">
        <f aca="false">IF(AO168&lt;&gt;1,"",IF(X168&lt;&gt;"",1,0))</f>
        <v/>
      </c>
      <c r="BP168" s="35" t="str">
        <f aca="false">IF(AO168&lt;&gt;1,"",IF(Y168="Oui",1,0))</f>
        <v/>
      </c>
      <c r="BQ168" s="35" t="str">
        <f aca="true">IF(OR(AO168&lt;&gt;1,Z168&lt;&gt;"Oui"),"",IF(AB168="",IF(AND(AA168&lt;&gt;"",NOW()&gt;AA168),0,""),IF(AA168="","",IF(AB168&lt;=AA168,1,0))))</f>
        <v/>
      </c>
      <c r="BR168" s="38" t="str">
        <f aca="false">IF(OR(AO168&lt;&gt;1,K168&lt;&gt;"Oui",O168=""),"",IF(AC168="",O168+DORA_H_DET/24,IF(AC168-O168&lt;=DORA_H_DET/24,MIN(AC168+DORA_H_CLA/24,O168+DORA_H_DET/24),AC168+DORA_H_CLA/24)))</f>
        <v/>
      </c>
      <c r="BS168" s="35" t="str">
        <f aca="true">IF(BR168="","",IF(AD168="",IF(NOW()&gt;BR168,0,""),IF(AD168&lt;=BR168,1,0)))</f>
        <v/>
      </c>
      <c r="BT168" s="35" t="str">
        <f aca="true">IF(OR(BR168="",AD168=""),"",IF(AE168="",IF(NOW()&gt;AD168+DORA_H_INT/24,0,""),IF(AE168&lt;=AD168+DORA_H_INT/24,1,0)))</f>
        <v/>
      </c>
      <c r="BU168" s="35" t="str">
        <f aca="true">IF(OR(BR168="",AE168=""),"",IF(AF168="",IF(NOW()&gt;EDATE(AE168,DORA_M_FIN)+1,0,""),IF(AF168&lt;=EDATE(AE168,DORA_M_FIN),1,0)))</f>
        <v/>
      </c>
      <c r="BV168" s="35" t="str">
        <f aca="false">IF(BR168="","",IF(COUNT(BS168:BU168)=0,"",MIN(BS168:BU168)))</f>
        <v/>
      </c>
      <c r="BW168" s="40" t="str">
        <f aca="false">IF(AQ168&lt;&gt;1,"",IF(AND(AG168="",AH168=""),"",N(AG168)-N(AH168)))</f>
        <v/>
      </c>
      <c r="BX168" s="35" t="str">
        <f aca="true">IF(OR(AQ168&lt;&gt;1,AI168&lt;&gt;"Oui",AJ168=""),"",IF(AK168="",IF(NOW()&gt;AJ168+1,0,""),IF(AK168&lt;=AJ168,1,0)))</f>
        <v/>
      </c>
    </row>
    <row r="169" customFormat="false" ht="15" hidden="false" customHeight="false" outlineLevel="0" collapsed="false">
      <c r="B169" s="29"/>
      <c r="C169" s="29"/>
      <c r="D169" s="29"/>
      <c r="E169" s="29"/>
      <c r="F169" s="29"/>
      <c r="G169" s="29"/>
      <c r="H169" s="29"/>
      <c r="I169" s="29"/>
      <c r="J169" s="29"/>
      <c r="K169" s="29"/>
      <c r="L169" s="29"/>
      <c r="M169" s="29"/>
      <c r="N169" s="30"/>
      <c r="O169" s="30"/>
      <c r="P169" s="30"/>
      <c r="Q169" s="30"/>
      <c r="R169" s="30"/>
      <c r="S169" s="30"/>
      <c r="T169" s="30"/>
      <c r="U169" s="30"/>
      <c r="V169" s="31"/>
      <c r="W169" s="29"/>
      <c r="X169" s="29"/>
      <c r="Y169" s="29"/>
      <c r="Z169" s="29"/>
      <c r="AA169" s="30"/>
      <c r="AB169" s="30"/>
      <c r="AC169" s="30"/>
      <c r="AD169" s="30"/>
      <c r="AE169" s="30"/>
      <c r="AF169" s="32"/>
      <c r="AG169" s="33"/>
      <c r="AH169" s="33"/>
      <c r="AI169" s="29"/>
      <c r="AJ169" s="32"/>
      <c r="AK169" s="32"/>
      <c r="AL169" s="29"/>
      <c r="AN169" s="34" t="str">
        <f aca="false">IF($B169="","",IF(OR(C169="",D169="",E169="",G169="",I169="",J169="",L169="",O169="",P169=""),"Champ obligatoire manquant",IF(OR(AND(N169&lt;&gt;"",N169&gt;O169),O169&gt;P169,AND(Q169&lt;&gt;"",Q169&lt;P169),AND(R169&lt;&gt;"",R169&lt;P169),AND(S169&lt;&gt;"",S169&lt;R169),AND(S169&lt;&gt;"",R169=""),AND(T169&lt;&gt;"",T169&lt;O169),AND(U169&lt;&gt;"",U169&lt;O169)),"Chronologie incohérente",IF(AND(OR(L169="Résolu",L169="Clos"),R169=""),"Date de résolution manquante",IF(AND(L169="Clos",S169=""),"Date de clôture manquante",IF(AND(K169="Oui",AC169=""),"Classification DORA manquante","OK"))))))</f>
        <v/>
      </c>
      <c r="AO169" s="35" t="str">
        <f aca="false">IF($B169="","",IF(AND(C169="Incident",L169&lt;&gt;"Annulé"),1,0))</f>
        <v/>
      </c>
      <c r="AP169" s="35" t="str">
        <f aca="false">IF($B169="","",IF(AND(C169="Quasi-incident",L169&lt;&gt;"Annulé"),1,0))</f>
        <v/>
      </c>
      <c r="AQ169" s="35" t="str">
        <f aca="false">IF($B169="","",AO169+AP169)</f>
        <v/>
      </c>
      <c r="AR169" s="36" t="str">
        <f aca="false">IF(OR($B169="",J169=""),"",IFERROR(VALUE(LEFT(J169,1)),""))</f>
        <v/>
      </c>
      <c r="AS169" s="35" t="str">
        <f aca="false">IF(OR(AO169&lt;&gt;1,G169=""),"",IFERROR(IF(INDEX(L_SrcInterne,MATCH(G169,L_Sources,0))="Oui",1,0),""))</f>
        <v/>
      </c>
      <c r="AT169" s="37" t="str">
        <f aca="false">IF(AO169&lt;&gt;1,"",IFERROR(ROUND(IF(OR(N169="",O169=""),"",IF(O169&lt;N169,"",ROUND(((NETWORKDAYS(N169,O169,JoursFeries)-1)*(HFer-HOuv)+IF(NETWORKDAYS(O169,O169,JoursFeries),MEDIAN(MOD(O169,1),HFer,HOuv),HFer)-IF(NETWORKDAYS(N169,N169,JoursFeries),MEDIAN(MOD(N169,1),HFer,HOuv),HOuv))*24,4)))/HJour,4),""))</f>
        <v/>
      </c>
      <c r="AU169" s="37" t="str">
        <f aca="false">IF(AO169&lt;&gt;1,"",IF(OR(O169="",P169=""),"",IF(P169&lt;O169,"",ROUND(((NETWORKDAYS(O169,P169,JoursFeries)-1)*(HFer-HOuv)+IF(NETWORKDAYS(P169,P169,JoursFeries),MEDIAN(MOD(P169,1),HFer,HOuv),HFer)-IF(NETWORKDAYS(O169,O169,JoursFeries),MEDIAN(MOD(O169,1),HFer,HOuv),HOuv))*24,4))))</f>
        <v/>
      </c>
      <c r="AV169" s="37" t="str">
        <f aca="false">IF(AO169&lt;&gt;1,"",IF(OR(P169="",Q169=""),"",IF(Q169&lt;P169,"",ROUND(((NETWORKDAYS(P169,Q169,JoursFeries)-1)*(HFer-HOuv)+IF(NETWORKDAYS(Q169,Q169,JoursFeries),MEDIAN(MOD(Q169,1),HFer,HOuv),HFer)-IF(NETWORKDAYS(P169,P169,JoursFeries),MEDIAN(MOD(P169,1),HFer,HOuv),HOuv))*24,4))))</f>
        <v/>
      </c>
      <c r="AW169" s="37" t="str">
        <f aca="false">IF(AO169&lt;&gt;1,"",IFERROR(ROUND(IF(OR(P169="",R169=""),"",IF(R169&lt;P169,"",ROUND(((NETWORKDAYS(P169,R169,JoursFeries)-1)*(HFer-HOuv)+IF(NETWORKDAYS(R169,R169,JoursFeries),MEDIAN(MOD(R169,1),HFer,HOuv),HFer)-IF(NETWORKDAYS(P169,P169,JoursFeries),MEDIAN(MOD(P169,1),HFer,HOuv),HOuv))*24,4)))/HJour,4),""))</f>
        <v/>
      </c>
      <c r="AX169" s="37" t="str">
        <f aca="false">IF(AO169&lt;&gt;1,"",IFERROR(ROUND(IF(OR(P169="",S169=""),"",IF(S169&lt;P169,"",ROUND(((NETWORKDAYS(P169,S169,JoursFeries)-1)*(HFer-HOuv)+IF(NETWORKDAYS(S169,S169,JoursFeries),MEDIAN(MOD(S169,1),HFer,HOuv),HFer)-IF(NETWORKDAYS(P169,P169,JoursFeries),MEDIAN(MOD(P169,1),HFer,HOuv),HOuv))*24,4)))/HJour,4),""))</f>
        <v/>
      </c>
      <c r="AY169" s="36" t="str">
        <f aca="false">IF(OR(AO169&lt;&gt;1,AR169=""),"",INDEX(SLA_PEC,AR169))</f>
        <v/>
      </c>
      <c r="AZ169" s="35" t="str">
        <f aca="false">IF(OR(AV169="",AY169=""),"",IF(AV169&lt;=AY169,1,0))</f>
        <v/>
      </c>
      <c r="BA169" s="36" t="str">
        <f aca="false">IF(OR(AO169&lt;&gt;1,AR169=""),"",INDEX(SLA_RES,AR169))</f>
        <v/>
      </c>
      <c r="BB169" s="35" t="str">
        <f aca="false">IF(OR(AW169="",BA169=""),"",IF(AW169&lt;=BA169,1,0))</f>
        <v/>
      </c>
      <c r="BC169" s="38" t="str">
        <f aca="false">IF(OR(BA169="",P169=""),"",WORKDAY(INT(P169),BA169,JoursFeries)+MOD(P169,1))</f>
        <v/>
      </c>
      <c r="BD169" s="39" t="str">
        <f aca="false">IF(AO169&lt;&gt;1,"",IF(OR(AB169&lt;&gt;"",AD169&lt;&gt;""),4,IF(U169&lt;&gt;"",3,IF(T169&lt;&gt;"",2,1))))</f>
        <v/>
      </c>
      <c r="BE169" s="39" t="str">
        <f aca="false">IF(OR(AO169&lt;&gt;1,AR169=""),"",INDEX(NIV_REQ,AR169))</f>
        <v/>
      </c>
      <c r="BF169" s="39" t="str">
        <f aca="false">IF(BE169="","",MAX(BE169,IF(OR(K169="Oui",Z169="Oui"),4,1)))</f>
        <v/>
      </c>
      <c r="BG169" s="35" t="str">
        <f aca="false">IF(OR(BF169="",BD169=""),"",IF(BD169&gt;=BF169,1,0))</f>
        <v/>
      </c>
      <c r="BH169" s="38" t="str">
        <f aca="false">IF(BE169="","",IF(BE169&lt;2,"",IF(BE169=2,IF(AND(T169="",U169=""),"",MIN(T169,U169)),IF(U169="","",U169))))</f>
        <v/>
      </c>
      <c r="BI169" s="37" t="str">
        <f aca="false">IF(BH169="","",IF(OR(O169="",BH169=""),"",IF(BH169&lt;O169,"",ROUND(((NETWORKDAYS(O169,BH169,JoursFeries)-1)*(HFer-HOuv)+IF(NETWORKDAYS(BH169,BH169,JoursFeries),MEDIAN(MOD(BH169,1),HFer,HOuv),HFer)-IF(NETWORKDAYS(O169,O169,JoursFeries),MEDIAN(MOD(O169,1),HFer,HOuv),HOuv))*24,4))))</f>
        <v/>
      </c>
      <c r="BJ169" s="35" t="str">
        <f aca="false">IF(OR(BI169="",AR169=""),"",IF(BI169&lt;=INDEX(DELAI_ESC,AR169),1,0))</f>
        <v/>
      </c>
      <c r="BK169" s="38" t="str">
        <f aca="false">IF(AO169&lt;&gt;1,"",IF(AND(T169="",U169=""),"",MIN(T169,U169)))</f>
        <v/>
      </c>
      <c r="BL169" s="37" t="str">
        <f aca="false">IF(OR(BK169="",R169=""),"",IFERROR(ROUND(IF(OR(BK169="",R169=""),"",IF(R169&lt;BK169,"",ROUND(((NETWORKDAYS(BK169,R169,JoursFeries)-1)*(HFer-HOuv)+IF(NETWORKDAYS(R169,R169,JoursFeries),MEDIAN(MOD(R169,1),HFer,HOuv),HFer)-IF(NETWORKDAYS(BK169,BK169,JoursFeries),MEDIAN(MOD(BK169,1),HFer,HOuv),HOuv))*24,4)))/HJour,4),""))</f>
        <v/>
      </c>
      <c r="BM169" s="35" t="str">
        <f aca="false">IF(OR(AO169&lt;&gt;1,R169=""),"",IF(BD169=1,1,0))</f>
        <v/>
      </c>
      <c r="BN169" s="35" t="str">
        <f aca="false">IF(AO169&lt;&gt;1,"",IF(W169="Oui",1,0))</f>
        <v/>
      </c>
      <c r="BO169" s="35" t="str">
        <f aca="false">IF(AO169&lt;&gt;1,"",IF(X169&lt;&gt;"",1,0))</f>
        <v/>
      </c>
      <c r="BP169" s="35" t="str">
        <f aca="false">IF(AO169&lt;&gt;1,"",IF(Y169="Oui",1,0))</f>
        <v/>
      </c>
      <c r="BQ169" s="35" t="str">
        <f aca="true">IF(OR(AO169&lt;&gt;1,Z169&lt;&gt;"Oui"),"",IF(AB169="",IF(AND(AA169&lt;&gt;"",NOW()&gt;AA169),0,""),IF(AA169="","",IF(AB169&lt;=AA169,1,0))))</f>
        <v/>
      </c>
      <c r="BR169" s="38" t="str">
        <f aca="false">IF(OR(AO169&lt;&gt;1,K169&lt;&gt;"Oui",O169=""),"",IF(AC169="",O169+DORA_H_DET/24,IF(AC169-O169&lt;=DORA_H_DET/24,MIN(AC169+DORA_H_CLA/24,O169+DORA_H_DET/24),AC169+DORA_H_CLA/24)))</f>
        <v/>
      </c>
      <c r="BS169" s="35" t="str">
        <f aca="true">IF(BR169="","",IF(AD169="",IF(NOW()&gt;BR169,0,""),IF(AD169&lt;=BR169,1,0)))</f>
        <v/>
      </c>
      <c r="BT169" s="35" t="str">
        <f aca="true">IF(OR(BR169="",AD169=""),"",IF(AE169="",IF(NOW()&gt;AD169+DORA_H_INT/24,0,""),IF(AE169&lt;=AD169+DORA_H_INT/24,1,0)))</f>
        <v/>
      </c>
      <c r="BU169" s="35" t="str">
        <f aca="true">IF(OR(BR169="",AE169=""),"",IF(AF169="",IF(NOW()&gt;EDATE(AE169,DORA_M_FIN)+1,0,""),IF(AF169&lt;=EDATE(AE169,DORA_M_FIN),1,0)))</f>
        <v/>
      </c>
      <c r="BV169" s="35" t="str">
        <f aca="false">IF(BR169="","",IF(COUNT(BS169:BU169)=0,"",MIN(BS169:BU169)))</f>
        <v/>
      </c>
      <c r="BW169" s="40" t="str">
        <f aca="false">IF(AQ169&lt;&gt;1,"",IF(AND(AG169="",AH169=""),"",N(AG169)-N(AH169)))</f>
        <v/>
      </c>
      <c r="BX169" s="35" t="str">
        <f aca="true">IF(OR(AQ169&lt;&gt;1,AI169&lt;&gt;"Oui",AJ169=""),"",IF(AK169="",IF(NOW()&gt;AJ169+1,0,""),IF(AK169&lt;=AJ169,1,0)))</f>
        <v/>
      </c>
    </row>
    <row r="170" customFormat="false" ht="15" hidden="false" customHeight="false" outlineLevel="0" collapsed="false">
      <c r="B170" s="29"/>
      <c r="C170" s="29"/>
      <c r="D170" s="29"/>
      <c r="E170" s="29"/>
      <c r="F170" s="29"/>
      <c r="G170" s="29"/>
      <c r="H170" s="29"/>
      <c r="I170" s="29"/>
      <c r="J170" s="29"/>
      <c r="K170" s="29"/>
      <c r="L170" s="29"/>
      <c r="M170" s="29"/>
      <c r="N170" s="30"/>
      <c r="O170" s="30"/>
      <c r="P170" s="30"/>
      <c r="Q170" s="30"/>
      <c r="R170" s="30"/>
      <c r="S170" s="30"/>
      <c r="T170" s="30"/>
      <c r="U170" s="30"/>
      <c r="V170" s="31"/>
      <c r="W170" s="29"/>
      <c r="X170" s="29"/>
      <c r="Y170" s="29"/>
      <c r="Z170" s="29"/>
      <c r="AA170" s="30"/>
      <c r="AB170" s="30"/>
      <c r="AC170" s="30"/>
      <c r="AD170" s="30"/>
      <c r="AE170" s="30"/>
      <c r="AF170" s="32"/>
      <c r="AG170" s="33"/>
      <c r="AH170" s="33"/>
      <c r="AI170" s="29"/>
      <c r="AJ170" s="32"/>
      <c r="AK170" s="32"/>
      <c r="AL170" s="29"/>
      <c r="AN170" s="34" t="str">
        <f aca="false">IF($B170="","",IF(OR(C170="",D170="",E170="",G170="",I170="",J170="",L170="",O170="",P170=""),"Champ obligatoire manquant",IF(OR(AND(N170&lt;&gt;"",N170&gt;O170),O170&gt;P170,AND(Q170&lt;&gt;"",Q170&lt;P170),AND(R170&lt;&gt;"",R170&lt;P170),AND(S170&lt;&gt;"",S170&lt;R170),AND(S170&lt;&gt;"",R170=""),AND(T170&lt;&gt;"",T170&lt;O170),AND(U170&lt;&gt;"",U170&lt;O170)),"Chronologie incohérente",IF(AND(OR(L170="Résolu",L170="Clos"),R170=""),"Date de résolution manquante",IF(AND(L170="Clos",S170=""),"Date de clôture manquante",IF(AND(K170="Oui",AC170=""),"Classification DORA manquante","OK"))))))</f>
        <v/>
      </c>
      <c r="AO170" s="35" t="str">
        <f aca="false">IF($B170="","",IF(AND(C170="Incident",L170&lt;&gt;"Annulé"),1,0))</f>
        <v/>
      </c>
      <c r="AP170" s="35" t="str">
        <f aca="false">IF($B170="","",IF(AND(C170="Quasi-incident",L170&lt;&gt;"Annulé"),1,0))</f>
        <v/>
      </c>
      <c r="AQ170" s="35" t="str">
        <f aca="false">IF($B170="","",AO170+AP170)</f>
        <v/>
      </c>
      <c r="AR170" s="36" t="str">
        <f aca="false">IF(OR($B170="",J170=""),"",IFERROR(VALUE(LEFT(J170,1)),""))</f>
        <v/>
      </c>
      <c r="AS170" s="35" t="str">
        <f aca="false">IF(OR(AO170&lt;&gt;1,G170=""),"",IFERROR(IF(INDEX(L_SrcInterne,MATCH(G170,L_Sources,0))="Oui",1,0),""))</f>
        <v/>
      </c>
      <c r="AT170" s="37" t="str">
        <f aca="false">IF(AO170&lt;&gt;1,"",IFERROR(ROUND(IF(OR(N170="",O170=""),"",IF(O170&lt;N170,"",ROUND(((NETWORKDAYS(N170,O170,JoursFeries)-1)*(HFer-HOuv)+IF(NETWORKDAYS(O170,O170,JoursFeries),MEDIAN(MOD(O170,1),HFer,HOuv),HFer)-IF(NETWORKDAYS(N170,N170,JoursFeries),MEDIAN(MOD(N170,1),HFer,HOuv),HOuv))*24,4)))/HJour,4),""))</f>
        <v/>
      </c>
      <c r="AU170" s="37" t="str">
        <f aca="false">IF(AO170&lt;&gt;1,"",IF(OR(O170="",P170=""),"",IF(P170&lt;O170,"",ROUND(((NETWORKDAYS(O170,P170,JoursFeries)-1)*(HFer-HOuv)+IF(NETWORKDAYS(P170,P170,JoursFeries),MEDIAN(MOD(P170,1),HFer,HOuv),HFer)-IF(NETWORKDAYS(O170,O170,JoursFeries),MEDIAN(MOD(O170,1),HFer,HOuv),HOuv))*24,4))))</f>
        <v/>
      </c>
      <c r="AV170" s="37" t="str">
        <f aca="false">IF(AO170&lt;&gt;1,"",IF(OR(P170="",Q170=""),"",IF(Q170&lt;P170,"",ROUND(((NETWORKDAYS(P170,Q170,JoursFeries)-1)*(HFer-HOuv)+IF(NETWORKDAYS(Q170,Q170,JoursFeries),MEDIAN(MOD(Q170,1),HFer,HOuv),HFer)-IF(NETWORKDAYS(P170,P170,JoursFeries),MEDIAN(MOD(P170,1),HFer,HOuv),HOuv))*24,4))))</f>
        <v/>
      </c>
      <c r="AW170" s="37" t="str">
        <f aca="false">IF(AO170&lt;&gt;1,"",IFERROR(ROUND(IF(OR(P170="",R170=""),"",IF(R170&lt;P170,"",ROUND(((NETWORKDAYS(P170,R170,JoursFeries)-1)*(HFer-HOuv)+IF(NETWORKDAYS(R170,R170,JoursFeries),MEDIAN(MOD(R170,1),HFer,HOuv),HFer)-IF(NETWORKDAYS(P170,P170,JoursFeries),MEDIAN(MOD(P170,1),HFer,HOuv),HOuv))*24,4)))/HJour,4),""))</f>
        <v/>
      </c>
      <c r="AX170" s="37" t="str">
        <f aca="false">IF(AO170&lt;&gt;1,"",IFERROR(ROUND(IF(OR(P170="",S170=""),"",IF(S170&lt;P170,"",ROUND(((NETWORKDAYS(P170,S170,JoursFeries)-1)*(HFer-HOuv)+IF(NETWORKDAYS(S170,S170,JoursFeries),MEDIAN(MOD(S170,1),HFer,HOuv),HFer)-IF(NETWORKDAYS(P170,P170,JoursFeries),MEDIAN(MOD(P170,1),HFer,HOuv),HOuv))*24,4)))/HJour,4),""))</f>
        <v/>
      </c>
      <c r="AY170" s="36" t="str">
        <f aca="false">IF(OR(AO170&lt;&gt;1,AR170=""),"",INDEX(SLA_PEC,AR170))</f>
        <v/>
      </c>
      <c r="AZ170" s="35" t="str">
        <f aca="false">IF(OR(AV170="",AY170=""),"",IF(AV170&lt;=AY170,1,0))</f>
        <v/>
      </c>
      <c r="BA170" s="36" t="str">
        <f aca="false">IF(OR(AO170&lt;&gt;1,AR170=""),"",INDEX(SLA_RES,AR170))</f>
        <v/>
      </c>
      <c r="BB170" s="35" t="str">
        <f aca="false">IF(OR(AW170="",BA170=""),"",IF(AW170&lt;=BA170,1,0))</f>
        <v/>
      </c>
      <c r="BC170" s="38" t="str">
        <f aca="false">IF(OR(BA170="",P170=""),"",WORKDAY(INT(P170),BA170,JoursFeries)+MOD(P170,1))</f>
        <v/>
      </c>
      <c r="BD170" s="39" t="str">
        <f aca="false">IF(AO170&lt;&gt;1,"",IF(OR(AB170&lt;&gt;"",AD170&lt;&gt;""),4,IF(U170&lt;&gt;"",3,IF(T170&lt;&gt;"",2,1))))</f>
        <v/>
      </c>
      <c r="BE170" s="39" t="str">
        <f aca="false">IF(OR(AO170&lt;&gt;1,AR170=""),"",INDEX(NIV_REQ,AR170))</f>
        <v/>
      </c>
      <c r="BF170" s="39" t="str">
        <f aca="false">IF(BE170="","",MAX(BE170,IF(OR(K170="Oui",Z170="Oui"),4,1)))</f>
        <v/>
      </c>
      <c r="BG170" s="35" t="str">
        <f aca="false">IF(OR(BF170="",BD170=""),"",IF(BD170&gt;=BF170,1,0))</f>
        <v/>
      </c>
      <c r="BH170" s="38" t="str">
        <f aca="false">IF(BE170="","",IF(BE170&lt;2,"",IF(BE170=2,IF(AND(T170="",U170=""),"",MIN(T170,U170)),IF(U170="","",U170))))</f>
        <v/>
      </c>
      <c r="BI170" s="37" t="str">
        <f aca="false">IF(BH170="","",IF(OR(O170="",BH170=""),"",IF(BH170&lt;O170,"",ROUND(((NETWORKDAYS(O170,BH170,JoursFeries)-1)*(HFer-HOuv)+IF(NETWORKDAYS(BH170,BH170,JoursFeries),MEDIAN(MOD(BH170,1),HFer,HOuv),HFer)-IF(NETWORKDAYS(O170,O170,JoursFeries),MEDIAN(MOD(O170,1),HFer,HOuv),HOuv))*24,4))))</f>
        <v/>
      </c>
      <c r="BJ170" s="35" t="str">
        <f aca="false">IF(OR(BI170="",AR170=""),"",IF(BI170&lt;=INDEX(DELAI_ESC,AR170),1,0))</f>
        <v/>
      </c>
      <c r="BK170" s="38" t="str">
        <f aca="false">IF(AO170&lt;&gt;1,"",IF(AND(T170="",U170=""),"",MIN(T170,U170)))</f>
        <v/>
      </c>
      <c r="BL170" s="37" t="str">
        <f aca="false">IF(OR(BK170="",R170=""),"",IFERROR(ROUND(IF(OR(BK170="",R170=""),"",IF(R170&lt;BK170,"",ROUND(((NETWORKDAYS(BK170,R170,JoursFeries)-1)*(HFer-HOuv)+IF(NETWORKDAYS(R170,R170,JoursFeries),MEDIAN(MOD(R170,1),HFer,HOuv),HFer)-IF(NETWORKDAYS(BK170,BK170,JoursFeries),MEDIAN(MOD(BK170,1),HFer,HOuv),HOuv))*24,4)))/HJour,4),""))</f>
        <v/>
      </c>
      <c r="BM170" s="35" t="str">
        <f aca="false">IF(OR(AO170&lt;&gt;1,R170=""),"",IF(BD170=1,1,0))</f>
        <v/>
      </c>
      <c r="BN170" s="35" t="str">
        <f aca="false">IF(AO170&lt;&gt;1,"",IF(W170="Oui",1,0))</f>
        <v/>
      </c>
      <c r="BO170" s="35" t="str">
        <f aca="false">IF(AO170&lt;&gt;1,"",IF(X170&lt;&gt;"",1,0))</f>
        <v/>
      </c>
      <c r="BP170" s="35" t="str">
        <f aca="false">IF(AO170&lt;&gt;1,"",IF(Y170="Oui",1,0))</f>
        <v/>
      </c>
      <c r="BQ170" s="35" t="str">
        <f aca="true">IF(OR(AO170&lt;&gt;1,Z170&lt;&gt;"Oui"),"",IF(AB170="",IF(AND(AA170&lt;&gt;"",NOW()&gt;AA170),0,""),IF(AA170="","",IF(AB170&lt;=AA170,1,0))))</f>
        <v/>
      </c>
      <c r="BR170" s="38" t="str">
        <f aca="false">IF(OR(AO170&lt;&gt;1,K170&lt;&gt;"Oui",O170=""),"",IF(AC170="",O170+DORA_H_DET/24,IF(AC170-O170&lt;=DORA_H_DET/24,MIN(AC170+DORA_H_CLA/24,O170+DORA_H_DET/24),AC170+DORA_H_CLA/24)))</f>
        <v/>
      </c>
      <c r="BS170" s="35" t="str">
        <f aca="true">IF(BR170="","",IF(AD170="",IF(NOW()&gt;BR170,0,""),IF(AD170&lt;=BR170,1,0)))</f>
        <v/>
      </c>
      <c r="BT170" s="35" t="str">
        <f aca="true">IF(OR(BR170="",AD170=""),"",IF(AE170="",IF(NOW()&gt;AD170+DORA_H_INT/24,0,""),IF(AE170&lt;=AD170+DORA_H_INT/24,1,0)))</f>
        <v/>
      </c>
      <c r="BU170" s="35" t="str">
        <f aca="true">IF(OR(BR170="",AE170=""),"",IF(AF170="",IF(NOW()&gt;EDATE(AE170,DORA_M_FIN)+1,0,""),IF(AF170&lt;=EDATE(AE170,DORA_M_FIN),1,0)))</f>
        <v/>
      </c>
      <c r="BV170" s="35" t="str">
        <f aca="false">IF(BR170="","",IF(COUNT(BS170:BU170)=0,"",MIN(BS170:BU170)))</f>
        <v/>
      </c>
      <c r="BW170" s="40" t="str">
        <f aca="false">IF(AQ170&lt;&gt;1,"",IF(AND(AG170="",AH170=""),"",N(AG170)-N(AH170)))</f>
        <v/>
      </c>
      <c r="BX170" s="35" t="str">
        <f aca="true">IF(OR(AQ170&lt;&gt;1,AI170&lt;&gt;"Oui",AJ170=""),"",IF(AK170="",IF(NOW()&gt;AJ170+1,0,""),IF(AK170&lt;=AJ170,1,0)))</f>
        <v/>
      </c>
    </row>
    <row r="171" customFormat="false" ht="15" hidden="false" customHeight="false" outlineLevel="0" collapsed="false">
      <c r="B171" s="29"/>
      <c r="C171" s="29"/>
      <c r="D171" s="29"/>
      <c r="E171" s="29"/>
      <c r="F171" s="29"/>
      <c r="G171" s="29"/>
      <c r="H171" s="29"/>
      <c r="I171" s="29"/>
      <c r="J171" s="29"/>
      <c r="K171" s="29"/>
      <c r="L171" s="29"/>
      <c r="M171" s="29"/>
      <c r="N171" s="30"/>
      <c r="O171" s="30"/>
      <c r="P171" s="30"/>
      <c r="Q171" s="30"/>
      <c r="R171" s="30"/>
      <c r="S171" s="30"/>
      <c r="T171" s="30"/>
      <c r="U171" s="30"/>
      <c r="V171" s="31"/>
      <c r="W171" s="29"/>
      <c r="X171" s="29"/>
      <c r="Y171" s="29"/>
      <c r="Z171" s="29"/>
      <c r="AA171" s="30"/>
      <c r="AB171" s="30"/>
      <c r="AC171" s="30"/>
      <c r="AD171" s="30"/>
      <c r="AE171" s="30"/>
      <c r="AF171" s="32"/>
      <c r="AG171" s="33"/>
      <c r="AH171" s="33"/>
      <c r="AI171" s="29"/>
      <c r="AJ171" s="32"/>
      <c r="AK171" s="32"/>
      <c r="AL171" s="29"/>
      <c r="AN171" s="34" t="str">
        <f aca="false">IF($B171="","",IF(OR(C171="",D171="",E171="",G171="",I171="",J171="",L171="",O171="",P171=""),"Champ obligatoire manquant",IF(OR(AND(N171&lt;&gt;"",N171&gt;O171),O171&gt;P171,AND(Q171&lt;&gt;"",Q171&lt;P171),AND(R171&lt;&gt;"",R171&lt;P171),AND(S171&lt;&gt;"",S171&lt;R171),AND(S171&lt;&gt;"",R171=""),AND(T171&lt;&gt;"",T171&lt;O171),AND(U171&lt;&gt;"",U171&lt;O171)),"Chronologie incohérente",IF(AND(OR(L171="Résolu",L171="Clos"),R171=""),"Date de résolution manquante",IF(AND(L171="Clos",S171=""),"Date de clôture manquante",IF(AND(K171="Oui",AC171=""),"Classification DORA manquante","OK"))))))</f>
        <v/>
      </c>
      <c r="AO171" s="35" t="str">
        <f aca="false">IF($B171="","",IF(AND(C171="Incident",L171&lt;&gt;"Annulé"),1,0))</f>
        <v/>
      </c>
      <c r="AP171" s="35" t="str">
        <f aca="false">IF($B171="","",IF(AND(C171="Quasi-incident",L171&lt;&gt;"Annulé"),1,0))</f>
        <v/>
      </c>
      <c r="AQ171" s="35" t="str">
        <f aca="false">IF($B171="","",AO171+AP171)</f>
        <v/>
      </c>
      <c r="AR171" s="36" t="str">
        <f aca="false">IF(OR($B171="",J171=""),"",IFERROR(VALUE(LEFT(J171,1)),""))</f>
        <v/>
      </c>
      <c r="AS171" s="35" t="str">
        <f aca="false">IF(OR(AO171&lt;&gt;1,G171=""),"",IFERROR(IF(INDEX(L_SrcInterne,MATCH(G171,L_Sources,0))="Oui",1,0),""))</f>
        <v/>
      </c>
      <c r="AT171" s="37" t="str">
        <f aca="false">IF(AO171&lt;&gt;1,"",IFERROR(ROUND(IF(OR(N171="",O171=""),"",IF(O171&lt;N171,"",ROUND(((NETWORKDAYS(N171,O171,JoursFeries)-1)*(HFer-HOuv)+IF(NETWORKDAYS(O171,O171,JoursFeries),MEDIAN(MOD(O171,1),HFer,HOuv),HFer)-IF(NETWORKDAYS(N171,N171,JoursFeries),MEDIAN(MOD(N171,1),HFer,HOuv),HOuv))*24,4)))/HJour,4),""))</f>
        <v/>
      </c>
      <c r="AU171" s="37" t="str">
        <f aca="false">IF(AO171&lt;&gt;1,"",IF(OR(O171="",P171=""),"",IF(P171&lt;O171,"",ROUND(((NETWORKDAYS(O171,P171,JoursFeries)-1)*(HFer-HOuv)+IF(NETWORKDAYS(P171,P171,JoursFeries),MEDIAN(MOD(P171,1),HFer,HOuv),HFer)-IF(NETWORKDAYS(O171,O171,JoursFeries),MEDIAN(MOD(O171,1),HFer,HOuv),HOuv))*24,4))))</f>
        <v/>
      </c>
      <c r="AV171" s="37" t="str">
        <f aca="false">IF(AO171&lt;&gt;1,"",IF(OR(P171="",Q171=""),"",IF(Q171&lt;P171,"",ROUND(((NETWORKDAYS(P171,Q171,JoursFeries)-1)*(HFer-HOuv)+IF(NETWORKDAYS(Q171,Q171,JoursFeries),MEDIAN(MOD(Q171,1),HFer,HOuv),HFer)-IF(NETWORKDAYS(P171,P171,JoursFeries),MEDIAN(MOD(P171,1),HFer,HOuv),HOuv))*24,4))))</f>
        <v/>
      </c>
      <c r="AW171" s="37" t="str">
        <f aca="false">IF(AO171&lt;&gt;1,"",IFERROR(ROUND(IF(OR(P171="",R171=""),"",IF(R171&lt;P171,"",ROUND(((NETWORKDAYS(P171,R171,JoursFeries)-1)*(HFer-HOuv)+IF(NETWORKDAYS(R171,R171,JoursFeries),MEDIAN(MOD(R171,1),HFer,HOuv),HFer)-IF(NETWORKDAYS(P171,P171,JoursFeries),MEDIAN(MOD(P171,1),HFer,HOuv),HOuv))*24,4)))/HJour,4),""))</f>
        <v/>
      </c>
      <c r="AX171" s="37" t="str">
        <f aca="false">IF(AO171&lt;&gt;1,"",IFERROR(ROUND(IF(OR(P171="",S171=""),"",IF(S171&lt;P171,"",ROUND(((NETWORKDAYS(P171,S171,JoursFeries)-1)*(HFer-HOuv)+IF(NETWORKDAYS(S171,S171,JoursFeries),MEDIAN(MOD(S171,1),HFer,HOuv),HFer)-IF(NETWORKDAYS(P171,P171,JoursFeries),MEDIAN(MOD(P171,1),HFer,HOuv),HOuv))*24,4)))/HJour,4),""))</f>
        <v/>
      </c>
      <c r="AY171" s="36" t="str">
        <f aca="false">IF(OR(AO171&lt;&gt;1,AR171=""),"",INDEX(SLA_PEC,AR171))</f>
        <v/>
      </c>
      <c r="AZ171" s="35" t="str">
        <f aca="false">IF(OR(AV171="",AY171=""),"",IF(AV171&lt;=AY171,1,0))</f>
        <v/>
      </c>
      <c r="BA171" s="36" t="str">
        <f aca="false">IF(OR(AO171&lt;&gt;1,AR171=""),"",INDEX(SLA_RES,AR171))</f>
        <v/>
      </c>
      <c r="BB171" s="35" t="str">
        <f aca="false">IF(OR(AW171="",BA171=""),"",IF(AW171&lt;=BA171,1,0))</f>
        <v/>
      </c>
      <c r="BC171" s="38" t="str">
        <f aca="false">IF(OR(BA171="",P171=""),"",WORKDAY(INT(P171),BA171,JoursFeries)+MOD(P171,1))</f>
        <v/>
      </c>
      <c r="BD171" s="39" t="str">
        <f aca="false">IF(AO171&lt;&gt;1,"",IF(OR(AB171&lt;&gt;"",AD171&lt;&gt;""),4,IF(U171&lt;&gt;"",3,IF(T171&lt;&gt;"",2,1))))</f>
        <v/>
      </c>
      <c r="BE171" s="39" t="str">
        <f aca="false">IF(OR(AO171&lt;&gt;1,AR171=""),"",INDEX(NIV_REQ,AR171))</f>
        <v/>
      </c>
      <c r="BF171" s="39" t="str">
        <f aca="false">IF(BE171="","",MAX(BE171,IF(OR(K171="Oui",Z171="Oui"),4,1)))</f>
        <v/>
      </c>
      <c r="BG171" s="35" t="str">
        <f aca="false">IF(OR(BF171="",BD171=""),"",IF(BD171&gt;=BF171,1,0))</f>
        <v/>
      </c>
      <c r="BH171" s="38" t="str">
        <f aca="false">IF(BE171="","",IF(BE171&lt;2,"",IF(BE171=2,IF(AND(T171="",U171=""),"",MIN(T171,U171)),IF(U171="","",U171))))</f>
        <v/>
      </c>
      <c r="BI171" s="37" t="str">
        <f aca="false">IF(BH171="","",IF(OR(O171="",BH171=""),"",IF(BH171&lt;O171,"",ROUND(((NETWORKDAYS(O171,BH171,JoursFeries)-1)*(HFer-HOuv)+IF(NETWORKDAYS(BH171,BH171,JoursFeries),MEDIAN(MOD(BH171,1),HFer,HOuv),HFer)-IF(NETWORKDAYS(O171,O171,JoursFeries),MEDIAN(MOD(O171,1),HFer,HOuv),HOuv))*24,4))))</f>
        <v/>
      </c>
      <c r="BJ171" s="35" t="str">
        <f aca="false">IF(OR(BI171="",AR171=""),"",IF(BI171&lt;=INDEX(DELAI_ESC,AR171),1,0))</f>
        <v/>
      </c>
      <c r="BK171" s="38" t="str">
        <f aca="false">IF(AO171&lt;&gt;1,"",IF(AND(T171="",U171=""),"",MIN(T171,U171)))</f>
        <v/>
      </c>
      <c r="BL171" s="37" t="str">
        <f aca="false">IF(OR(BK171="",R171=""),"",IFERROR(ROUND(IF(OR(BK171="",R171=""),"",IF(R171&lt;BK171,"",ROUND(((NETWORKDAYS(BK171,R171,JoursFeries)-1)*(HFer-HOuv)+IF(NETWORKDAYS(R171,R171,JoursFeries),MEDIAN(MOD(R171,1),HFer,HOuv),HFer)-IF(NETWORKDAYS(BK171,BK171,JoursFeries),MEDIAN(MOD(BK171,1),HFer,HOuv),HOuv))*24,4)))/HJour,4),""))</f>
        <v/>
      </c>
      <c r="BM171" s="35" t="str">
        <f aca="false">IF(OR(AO171&lt;&gt;1,R171=""),"",IF(BD171=1,1,0))</f>
        <v/>
      </c>
      <c r="BN171" s="35" t="str">
        <f aca="false">IF(AO171&lt;&gt;1,"",IF(W171="Oui",1,0))</f>
        <v/>
      </c>
      <c r="BO171" s="35" t="str">
        <f aca="false">IF(AO171&lt;&gt;1,"",IF(X171&lt;&gt;"",1,0))</f>
        <v/>
      </c>
      <c r="BP171" s="35" t="str">
        <f aca="false">IF(AO171&lt;&gt;1,"",IF(Y171="Oui",1,0))</f>
        <v/>
      </c>
      <c r="BQ171" s="35" t="str">
        <f aca="true">IF(OR(AO171&lt;&gt;1,Z171&lt;&gt;"Oui"),"",IF(AB171="",IF(AND(AA171&lt;&gt;"",NOW()&gt;AA171),0,""),IF(AA171="","",IF(AB171&lt;=AA171,1,0))))</f>
        <v/>
      </c>
      <c r="BR171" s="38" t="str">
        <f aca="false">IF(OR(AO171&lt;&gt;1,K171&lt;&gt;"Oui",O171=""),"",IF(AC171="",O171+DORA_H_DET/24,IF(AC171-O171&lt;=DORA_H_DET/24,MIN(AC171+DORA_H_CLA/24,O171+DORA_H_DET/24),AC171+DORA_H_CLA/24)))</f>
        <v/>
      </c>
      <c r="BS171" s="35" t="str">
        <f aca="true">IF(BR171="","",IF(AD171="",IF(NOW()&gt;BR171,0,""),IF(AD171&lt;=BR171,1,0)))</f>
        <v/>
      </c>
      <c r="BT171" s="35" t="str">
        <f aca="true">IF(OR(BR171="",AD171=""),"",IF(AE171="",IF(NOW()&gt;AD171+DORA_H_INT/24,0,""),IF(AE171&lt;=AD171+DORA_H_INT/24,1,0)))</f>
        <v/>
      </c>
      <c r="BU171" s="35" t="str">
        <f aca="true">IF(OR(BR171="",AE171=""),"",IF(AF171="",IF(NOW()&gt;EDATE(AE171,DORA_M_FIN)+1,0,""),IF(AF171&lt;=EDATE(AE171,DORA_M_FIN),1,0)))</f>
        <v/>
      </c>
      <c r="BV171" s="35" t="str">
        <f aca="false">IF(BR171="","",IF(COUNT(BS171:BU171)=0,"",MIN(BS171:BU171)))</f>
        <v/>
      </c>
      <c r="BW171" s="40" t="str">
        <f aca="false">IF(AQ171&lt;&gt;1,"",IF(AND(AG171="",AH171=""),"",N(AG171)-N(AH171)))</f>
        <v/>
      </c>
      <c r="BX171" s="35" t="str">
        <f aca="true">IF(OR(AQ171&lt;&gt;1,AI171&lt;&gt;"Oui",AJ171=""),"",IF(AK171="",IF(NOW()&gt;AJ171+1,0,""),IF(AK171&lt;=AJ171,1,0)))</f>
        <v/>
      </c>
    </row>
    <row r="172" customFormat="false" ht="15" hidden="false" customHeight="false" outlineLevel="0" collapsed="false">
      <c r="B172" s="29"/>
      <c r="C172" s="29"/>
      <c r="D172" s="29"/>
      <c r="E172" s="29"/>
      <c r="F172" s="29"/>
      <c r="G172" s="29"/>
      <c r="H172" s="29"/>
      <c r="I172" s="29"/>
      <c r="J172" s="29"/>
      <c r="K172" s="29"/>
      <c r="L172" s="29"/>
      <c r="M172" s="29"/>
      <c r="N172" s="30"/>
      <c r="O172" s="30"/>
      <c r="P172" s="30"/>
      <c r="Q172" s="30"/>
      <c r="R172" s="30"/>
      <c r="S172" s="30"/>
      <c r="T172" s="30"/>
      <c r="U172" s="30"/>
      <c r="V172" s="31"/>
      <c r="W172" s="29"/>
      <c r="X172" s="29"/>
      <c r="Y172" s="29"/>
      <c r="Z172" s="29"/>
      <c r="AA172" s="30"/>
      <c r="AB172" s="30"/>
      <c r="AC172" s="30"/>
      <c r="AD172" s="30"/>
      <c r="AE172" s="30"/>
      <c r="AF172" s="32"/>
      <c r="AG172" s="33"/>
      <c r="AH172" s="33"/>
      <c r="AI172" s="29"/>
      <c r="AJ172" s="32"/>
      <c r="AK172" s="32"/>
      <c r="AL172" s="29"/>
      <c r="AN172" s="34" t="str">
        <f aca="false">IF($B172="","",IF(OR(C172="",D172="",E172="",G172="",I172="",J172="",L172="",O172="",P172=""),"Champ obligatoire manquant",IF(OR(AND(N172&lt;&gt;"",N172&gt;O172),O172&gt;P172,AND(Q172&lt;&gt;"",Q172&lt;P172),AND(R172&lt;&gt;"",R172&lt;P172),AND(S172&lt;&gt;"",S172&lt;R172),AND(S172&lt;&gt;"",R172=""),AND(T172&lt;&gt;"",T172&lt;O172),AND(U172&lt;&gt;"",U172&lt;O172)),"Chronologie incohérente",IF(AND(OR(L172="Résolu",L172="Clos"),R172=""),"Date de résolution manquante",IF(AND(L172="Clos",S172=""),"Date de clôture manquante",IF(AND(K172="Oui",AC172=""),"Classification DORA manquante","OK"))))))</f>
        <v/>
      </c>
      <c r="AO172" s="35" t="str">
        <f aca="false">IF($B172="","",IF(AND(C172="Incident",L172&lt;&gt;"Annulé"),1,0))</f>
        <v/>
      </c>
      <c r="AP172" s="35" t="str">
        <f aca="false">IF($B172="","",IF(AND(C172="Quasi-incident",L172&lt;&gt;"Annulé"),1,0))</f>
        <v/>
      </c>
      <c r="AQ172" s="35" t="str">
        <f aca="false">IF($B172="","",AO172+AP172)</f>
        <v/>
      </c>
      <c r="AR172" s="36" t="str">
        <f aca="false">IF(OR($B172="",J172=""),"",IFERROR(VALUE(LEFT(J172,1)),""))</f>
        <v/>
      </c>
      <c r="AS172" s="35" t="str">
        <f aca="false">IF(OR(AO172&lt;&gt;1,G172=""),"",IFERROR(IF(INDEX(L_SrcInterne,MATCH(G172,L_Sources,0))="Oui",1,0),""))</f>
        <v/>
      </c>
      <c r="AT172" s="37" t="str">
        <f aca="false">IF(AO172&lt;&gt;1,"",IFERROR(ROUND(IF(OR(N172="",O172=""),"",IF(O172&lt;N172,"",ROUND(((NETWORKDAYS(N172,O172,JoursFeries)-1)*(HFer-HOuv)+IF(NETWORKDAYS(O172,O172,JoursFeries),MEDIAN(MOD(O172,1),HFer,HOuv),HFer)-IF(NETWORKDAYS(N172,N172,JoursFeries),MEDIAN(MOD(N172,1),HFer,HOuv),HOuv))*24,4)))/HJour,4),""))</f>
        <v/>
      </c>
      <c r="AU172" s="37" t="str">
        <f aca="false">IF(AO172&lt;&gt;1,"",IF(OR(O172="",P172=""),"",IF(P172&lt;O172,"",ROUND(((NETWORKDAYS(O172,P172,JoursFeries)-1)*(HFer-HOuv)+IF(NETWORKDAYS(P172,P172,JoursFeries),MEDIAN(MOD(P172,1),HFer,HOuv),HFer)-IF(NETWORKDAYS(O172,O172,JoursFeries),MEDIAN(MOD(O172,1),HFer,HOuv),HOuv))*24,4))))</f>
        <v/>
      </c>
      <c r="AV172" s="37" t="str">
        <f aca="false">IF(AO172&lt;&gt;1,"",IF(OR(P172="",Q172=""),"",IF(Q172&lt;P172,"",ROUND(((NETWORKDAYS(P172,Q172,JoursFeries)-1)*(HFer-HOuv)+IF(NETWORKDAYS(Q172,Q172,JoursFeries),MEDIAN(MOD(Q172,1),HFer,HOuv),HFer)-IF(NETWORKDAYS(P172,P172,JoursFeries),MEDIAN(MOD(P172,1),HFer,HOuv),HOuv))*24,4))))</f>
        <v/>
      </c>
      <c r="AW172" s="37" t="str">
        <f aca="false">IF(AO172&lt;&gt;1,"",IFERROR(ROUND(IF(OR(P172="",R172=""),"",IF(R172&lt;P172,"",ROUND(((NETWORKDAYS(P172,R172,JoursFeries)-1)*(HFer-HOuv)+IF(NETWORKDAYS(R172,R172,JoursFeries),MEDIAN(MOD(R172,1),HFer,HOuv),HFer)-IF(NETWORKDAYS(P172,P172,JoursFeries),MEDIAN(MOD(P172,1),HFer,HOuv),HOuv))*24,4)))/HJour,4),""))</f>
        <v/>
      </c>
      <c r="AX172" s="37" t="str">
        <f aca="false">IF(AO172&lt;&gt;1,"",IFERROR(ROUND(IF(OR(P172="",S172=""),"",IF(S172&lt;P172,"",ROUND(((NETWORKDAYS(P172,S172,JoursFeries)-1)*(HFer-HOuv)+IF(NETWORKDAYS(S172,S172,JoursFeries),MEDIAN(MOD(S172,1),HFer,HOuv),HFer)-IF(NETWORKDAYS(P172,P172,JoursFeries),MEDIAN(MOD(P172,1),HFer,HOuv),HOuv))*24,4)))/HJour,4),""))</f>
        <v/>
      </c>
      <c r="AY172" s="36" t="str">
        <f aca="false">IF(OR(AO172&lt;&gt;1,AR172=""),"",INDEX(SLA_PEC,AR172))</f>
        <v/>
      </c>
      <c r="AZ172" s="35" t="str">
        <f aca="false">IF(OR(AV172="",AY172=""),"",IF(AV172&lt;=AY172,1,0))</f>
        <v/>
      </c>
      <c r="BA172" s="36" t="str">
        <f aca="false">IF(OR(AO172&lt;&gt;1,AR172=""),"",INDEX(SLA_RES,AR172))</f>
        <v/>
      </c>
      <c r="BB172" s="35" t="str">
        <f aca="false">IF(OR(AW172="",BA172=""),"",IF(AW172&lt;=BA172,1,0))</f>
        <v/>
      </c>
      <c r="BC172" s="38" t="str">
        <f aca="false">IF(OR(BA172="",P172=""),"",WORKDAY(INT(P172),BA172,JoursFeries)+MOD(P172,1))</f>
        <v/>
      </c>
      <c r="BD172" s="39" t="str">
        <f aca="false">IF(AO172&lt;&gt;1,"",IF(OR(AB172&lt;&gt;"",AD172&lt;&gt;""),4,IF(U172&lt;&gt;"",3,IF(T172&lt;&gt;"",2,1))))</f>
        <v/>
      </c>
      <c r="BE172" s="39" t="str">
        <f aca="false">IF(OR(AO172&lt;&gt;1,AR172=""),"",INDEX(NIV_REQ,AR172))</f>
        <v/>
      </c>
      <c r="BF172" s="39" t="str">
        <f aca="false">IF(BE172="","",MAX(BE172,IF(OR(K172="Oui",Z172="Oui"),4,1)))</f>
        <v/>
      </c>
      <c r="BG172" s="35" t="str">
        <f aca="false">IF(OR(BF172="",BD172=""),"",IF(BD172&gt;=BF172,1,0))</f>
        <v/>
      </c>
      <c r="BH172" s="38" t="str">
        <f aca="false">IF(BE172="","",IF(BE172&lt;2,"",IF(BE172=2,IF(AND(T172="",U172=""),"",MIN(T172,U172)),IF(U172="","",U172))))</f>
        <v/>
      </c>
      <c r="BI172" s="37" t="str">
        <f aca="false">IF(BH172="","",IF(OR(O172="",BH172=""),"",IF(BH172&lt;O172,"",ROUND(((NETWORKDAYS(O172,BH172,JoursFeries)-1)*(HFer-HOuv)+IF(NETWORKDAYS(BH172,BH172,JoursFeries),MEDIAN(MOD(BH172,1),HFer,HOuv),HFer)-IF(NETWORKDAYS(O172,O172,JoursFeries),MEDIAN(MOD(O172,1),HFer,HOuv),HOuv))*24,4))))</f>
        <v/>
      </c>
      <c r="BJ172" s="35" t="str">
        <f aca="false">IF(OR(BI172="",AR172=""),"",IF(BI172&lt;=INDEX(DELAI_ESC,AR172),1,0))</f>
        <v/>
      </c>
      <c r="BK172" s="38" t="str">
        <f aca="false">IF(AO172&lt;&gt;1,"",IF(AND(T172="",U172=""),"",MIN(T172,U172)))</f>
        <v/>
      </c>
      <c r="BL172" s="37" t="str">
        <f aca="false">IF(OR(BK172="",R172=""),"",IFERROR(ROUND(IF(OR(BK172="",R172=""),"",IF(R172&lt;BK172,"",ROUND(((NETWORKDAYS(BK172,R172,JoursFeries)-1)*(HFer-HOuv)+IF(NETWORKDAYS(R172,R172,JoursFeries),MEDIAN(MOD(R172,1),HFer,HOuv),HFer)-IF(NETWORKDAYS(BK172,BK172,JoursFeries),MEDIAN(MOD(BK172,1),HFer,HOuv),HOuv))*24,4)))/HJour,4),""))</f>
        <v/>
      </c>
      <c r="BM172" s="35" t="str">
        <f aca="false">IF(OR(AO172&lt;&gt;1,R172=""),"",IF(BD172=1,1,0))</f>
        <v/>
      </c>
      <c r="BN172" s="35" t="str">
        <f aca="false">IF(AO172&lt;&gt;1,"",IF(W172="Oui",1,0))</f>
        <v/>
      </c>
      <c r="BO172" s="35" t="str">
        <f aca="false">IF(AO172&lt;&gt;1,"",IF(X172&lt;&gt;"",1,0))</f>
        <v/>
      </c>
      <c r="BP172" s="35" t="str">
        <f aca="false">IF(AO172&lt;&gt;1,"",IF(Y172="Oui",1,0))</f>
        <v/>
      </c>
      <c r="BQ172" s="35" t="str">
        <f aca="true">IF(OR(AO172&lt;&gt;1,Z172&lt;&gt;"Oui"),"",IF(AB172="",IF(AND(AA172&lt;&gt;"",NOW()&gt;AA172),0,""),IF(AA172="","",IF(AB172&lt;=AA172,1,0))))</f>
        <v/>
      </c>
      <c r="BR172" s="38" t="str">
        <f aca="false">IF(OR(AO172&lt;&gt;1,K172&lt;&gt;"Oui",O172=""),"",IF(AC172="",O172+DORA_H_DET/24,IF(AC172-O172&lt;=DORA_H_DET/24,MIN(AC172+DORA_H_CLA/24,O172+DORA_H_DET/24),AC172+DORA_H_CLA/24)))</f>
        <v/>
      </c>
      <c r="BS172" s="35" t="str">
        <f aca="true">IF(BR172="","",IF(AD172="",IF(NOW()&gt;BR172,0,""),IF(AD172&lt;=BR172,1,0)))</f>
        <v/>
      </c>
      <c r="BT172" s="35" t="str">
        <f aca="true">IF(OR(BR172="",AD172=""),"",IF(AE172="",IF(NOW()&gt;AD172+DORA_H_INT/24,0,""),IF(AE172&lt;=AD172+DORA_H_INT/24,1,0)))</f>
        <v/>
      </c>
      <c r="BU172" s="35" t="str">
        <f aca="true">IF(OR(BR172="",AE172=""),"",IF(AF172="",IF(NOW()&gt;EDATE(AE172,DORA_M_FIN)+1,0,""),IF(AF172&lt;=EDATE(AE172,DORA_M_FIN),1,0)))</f>
        <v/>
      </c>
      <c r="BV172" s="35" t="str">
        <f aca="false">IF(BR172="","",IF(COUNT(BS172:BU172)=0,"",MIN(BS172:BU172)))</f>
        <v/>
      </c>
      <c r="BW172" s="40" t="str">
        <f aca="false">IF(AQ172&lt;&gt;1,"",IF(AND(AG172="",AH172=""),"",N(AG172)-N(AH172)))</f>
        <v/>
      </c>
      <c r="BX172" s="35" t="str">
        <f aca="true">IF(OR(AQ172&lt;&gt;1,AI172&lt;&gt;"Oui",AJ172=""),"",IF(AK172="",IF(NOW()&gt;AJ172+1,0,""),IF(AK172&lt;=AJ172,1,0)))</f>
        <v/>
      </c>
    </row>
    <row r="173" customFormat="false" ht="15" hidden="false" customHeight="false" outlineLevel="0" collapsed="false">
      <c r="B173" s="29"/>
      <c r="C173" s="29"/>
      <c r="D173" s="29"/>
      <c r="E173" s="29"/>
      <c r="F173" s="29"/>
      <c r="G173" s="29"/>
      <c r="H173" s="29"/>
      <c r="I173" s="29"/>
      <c r="J173" s="29"/>
      <c r="K173" s="29"/>
      <c r="L173" s="29"/>
      <c r="M173" s="29"/>
      <c r="N173" s="30"/>
      <c r="O173" s="30"/>
      <c r="P173" s="30"/>
      <c r="Q173" s="30"/>
      <c r="R173" s="30"/>
      <c r="S173" s="30"/>
      <c r="T173" s="30"/>
      <c r="U173" s="30"/>
      <c r="V173" s="31"/>
      <c r="W173" s="29"/>
      <c r="X173" s="29"/>
      <c r="Y173" s="29"/>
      <c r="Z173" s="29"/>
      <c r="AA173" s="30"/>
      <c r="AB173" s="30"/>
      <c r="AC173" s="30"/>
      <c r="AD173" s="30"/>
      <c r="AE173" s="30"/>
      <c r="AF173" s="32"/>
      <c r="AG173" s="33"/>
      <c r="AH173" s="33"/>
      <c r="AI173" s="29"/>
      <c r="AJ173" s="32"/>
      <c r="AK173" s="32"/>
      <c r="AL173" s="29"/>
      <c r="AN173" s="34" t="str">
        <f aca="false">IF($B173="","",IF(OR(C173="",D173="",E173="",G173="",I173="",J173="",L173="",O173="",P173=""),"Champ obligatoire manquant",IF(OR(AND(N173&lt;&gt;"",N173&gt;O173),O173&gt;P173,AND(Q173&lt;&gt;"",Q173&lt;P173),AND(R173&lt;&gt;"",R173&lt;P173),AND(S173&lt;&gt;"",S173&lt;R173),AND(S173&lt;&gt;"",R173=""),AND(T173&lt;&gt;"",T173&lt;O173),AND(U173&lt;&gt;"",U173&lt;O173)),"Chronologie incohérente",IF(AND(OR(L173="Résolu",L173="Clos"),R173=""),"Date de résolution manquante",IF(AND(L173="Clos",S173=""),"Date de clôture manquante",IF(AND(K173="Oui",AC173=""),"Classification DORA manquante","OK"))))))</f>
        <v/>
      </c>
      <c r="AO173" s="35" t="str">
        <f aca="false">IF($B173="","",IF(AND(C173="Incident",L173&lt;&gt;"Annulé"),1,0))</f>
        <v/>
      </c>
      <c r="AP173" s="35" t="str">
        <f aca="false">IF($B173="","",IF(AND(C173="Quasi-incident",L173&lt;&gt;"Annulé"),1,0))</f>
        <v/>
      </c>
      <c r="AQ173" s="35" t="str">
        <f aca="false">IF($B173="","",AO173+AP173)</f>
        <v/>
      </c>
      <c r="AR173" s="36" t="str">
        <f aca="false">IF(OR($B173="",J173=""),"",IFERROR(VALUE(LEFT(J173,1)),""))</f>
        <v/>
      </c>
      <c r="AS173" s="35" t="str">
        <f aca="false">IF(OR(AO173&lt;&gt;1,G173=""),"",IFERROR(IF(INDEX(L_SrcInterne,MATCH(G173,L_Sources,0))="Oui",1,0),""))</f>
        <v/>
      </c>
      <c r="AT173" s="37" t="str">
        <f aca="false">IF(AO173&lt;&gt;1,"",IFERROR(ROUND(IF(OR(N173="",O173=""),"",IF(O173&lt;N173,"",ROUND(((NETWORKDAYS(N173,O173,JoursFeries)-1)*(HFer-HOuv)+IF(NETWORKDAYS(O173,O173,JoursFeries),MEDIAN(MOD(O173,1),HFer,HOuv),HFer)-IF(NETWORKDAYS(N173,N173,JoursFeries),MEDIAN(MOD(N173,1),HFer,HOuv),HOuv))*24,4)))/HJour,4),""))</f>
        <v/>
      </c>
      <c r="AU173" s="37" t="str">
        <f aca="false">IF(AO173&lt;&gt;1,"",IF(OR(O173="",P173=""),"",IF(P173&lt;O173,"",ROUND(((NETWORKDAYS(O173,P173,JoursFeries)-1)*(HFer-HOuv)+IF(NETWORKDAYS(P173,P173,JoursFeries),MEDIAN(MOD(P173,1),HFer,HOuv),HFer)-IF(NETWORKDAYS(O173,O173,JoursFeries),MEDIAN(MOD(O173,1),HFer,HOuv),HOuv))*24,4))))</f>
        <v/>
      </c>
      <c r="AV173" s="37" t="str">
        <f aca="false">IF(AO173&lt;&gt;1,"",IF(OR(P173="",Q173=""),"",IF(Q173&lt;P173,"",ROUND(((NETWORKDAYS(P173,Q173,JoursFeries)-1)*(HFer-HOuv)+IF(NETWORKDAYS(Q173,Q173,JoursFeries),MEDIAN(MOD(Q173,1),HFer,HOuv),HFer)-IF(NETWORKDAYS(P173,P173,JoursFeries),MEDIAN(MOD(P173,1),HFer,HOuv),HOuv))*24,4))))</f>
        <v/>
      </c>
      <c r="AW173" s="37" t="str">
        <f aca="false">IF(AO173&lt;&gt;1,"",IFERROR(ROUND(IF(OR(P173="",R173=""),"",IF(R173&lt;P173,"",ROUND(((NETWORKDAYS(P173,R173,JoursFeries)-1)*(HFer-HOuv)+IF(NETWORKDAYS(R173,R173,JoursFeries),MEDIAN(MOD(R173,1),HFer,HOuv),HFer)-IF(NETWORKDAYS(P173,P173,JoursFeries),MEDIAN(MOD(P173,1),HFer,HOuv),HOuv))*24,4)))/HJour,4),""))</f>
        <v/>
      </c>
      <c r="AX173" s="37" t="str">
        <f aca="false">IF(AO173&lt;&gt;1,"",IFERROR(ROUND(IF(OR(P173="",S173=""),"",IF(S173&lt;P173,"",ROUND(((NETWORKDAYS(P173,S173,JoursFeries)-1)*(HFer-HOuv)+IF(NETWORKDAYS(S173,S173,JoursFeries),MEDIAN(MOD(S173,1),HFer,HOuv),HFer)-IF(NETWORKDAYS(P173,P173,JoursFeries),MEDIAN(MOD(P173,1),HFer,HOuv),HOuv))*24,4)))/HJour,4),""))</f>
        <v/>
      </c>
      <c r="AY173" s="36" t="str">
        <f aca="false">IF(OR(AO173&lt;&gt;1,AR173=""),"",INDEX(SLA_PEC,AR173))</f>
        <v/>
      </c>
      <c r="AZ173" s="35" t="str">
        <f aca="false">IF(OR(AV173="",AY173=""),"",IF(AV173&lt;=AY173,1,0))</f>
        <v/>
      </c>
      <c r="BA173" s="36" t="str">
        <f aca="false">IF(OR(AO173&lt;&gt;1,AR173=""),"",INDEX(SLA_RES,AR173))</f>
        <v/>
      </c>
      <c r="BB173" s="35" t="str">
        <f aca="false">IF(OR(AW173="",BA173=""),"",IF(AW173&lt;=BA173,1,0))</f>
        <v/>
      </c>
      <c r="BC173" s="38" t="str">
        <f aca="false">IF(OR(BA173="",P173=""),"",WORKDAY(INT(P173),BA173,JoursFeries)+MOD(P173,1))</f>
        <v/>
      </c>
      <c r="BD173" s="39" t="str">
        <f aca="false">IF(AO173&lt;&gt;1,"",IF(OR(AB173&lt;&gt;"",AD173&lt;&gt;""),4,IF(U173&lt;&gt;"",3,IF(T173&lt;&gt;"",2,1))))</f>
        <v/>
      </c>
      <c r="BE173" s="39" t="str">
        <f aca="false">IF(OR(AO173&lt;&gt;1,AR173=""),"",INDEX(NIV_REQ,AR173))</f>
        <v/>
      </c>
      <c r="BF173" s="39" t="str">
        <f aca="false">IF(BE173="","",MAX(BE173,IF(OR(K173="Oui",Z173="Oui"),4,1)))</f>
        <v/>
      </c>
      <c r="BG173" s="35" t="str">
        <f aca="false">IF(OR(BF173="",BD173=""),"",IF(BD173&gt;=BF173,1,0))</f>
        <v/>
      </c>
      <c r="BH173" s="38" t="str">
        <f aca="false">IF(BE173="","",IF(BE173&lt;2,"",IF(BE173=2,IF(AND(T173="",U173=""),"",MIN(T173,U173)),IF(U173="","",U173))))</f>
        <v/>
      </c>
      <c r="BI173" s="37" t="str">
        <f aca="false">IF(BH173="","",IF(OR(O173="",BH173=""),"",IF(BH173&lt;O173,"",ROUND(((NETWORKDAYS(O173,BH173,JoursFeries)-1)*(HFer-HOuv)+IF(NETWORKDAYS(BH173,BH173,JoursFeries),MEDIAN(MOD(BH173,1),HFer,HOuv),HFer)-IF(NETWORKDAYS(O173,O173,JoursFeries),MEDIAN(MOD(O173,1),HFer,HOuv),HOuv))*24,4))))</f>
        <v/>
      </c>
      <c r="BJ173" s="35" t="str">
        <f aca="false">IF(OR(BI173="",AR173=""),"",IF(BI173&lt;=INDEX(DELAI_ESC,AR173),1,0))</f>
        <v/>
      </c>
      <c r="BK173" s="38" t="str">
        <f aca="false">IF(AO173&lt;&gt;1,"",IF(AND(T173="",U173=""),"",MIN(T173,U173)))</f>
        <v/>
      </c>
      <c r="BL173" s="37" t="str">
        <f aca="false">IF(OR(BK173="",R173=""),"",IFERROR(ROUND(IF(OR(BK173="",R173=""),"",IF(R173&lt;BK173,"",ROUND(((NETWORKDAYS(BK173,R173,JoursFeries)-1)*(HFer-HOuv)+IF(NETWORKDAYS(R173,R173,JoursFeries),MEDIAN(MOD(R173,1),HFer,HOuv),HFer)-IF(NETWORKDAYS(BK173,BK173,JoursFeries),MEDIAN(MOD(BK173,1),HFer,HOuv),HOuv))*24,4)))/HJour,4),""))</f>
        <v/>
      </c>
      <c r="BM173" s="35" t="str">
        <f aca="false">IF(OR(AO173&lt;&gt;1,R173=""),"",IF(BD173=1,1,0))</f>
        <v/>
      </c>
      <c r="BN173" s="35" t="str">
        <f aca="false">IF(AO173&lt;&gt;1,"",IF(W173="Oui",1,0))</f>
        <v/>
      </c>
      <c r="BO173" s="35" t="str">
        <f aca="false">IF(AO173&lt;&gt;1,"",IF(X173&lt;&gt;"",1,0))</f>
        <v/>
      </c>
      <c r="BP173" s="35" t="str">
        <f aca="false">IF(AO173&lt;&gt;1,"",IF(Y173="Oui",1,0))</f>
        <v/>
      </c>
      <c r="BQ173" s="35" t="str">
        <f aca="true">IF(OR(AO173&lt;&gt;1,Z173&lt;&gt;"Oui"),"",IF(AB173="",IF(AND(AA173&lt;&gt;"",NOW()&gt;AA173),0,""),IF(AA173="","",IF(AB173&lt;=AA173,1,0))))</f>
        <v/>
      </c>
      <c r="BR173" s="38" t="str">
        <f aca="false">IF(OR(AO173&lt;&gt;1,K173&lt;&gt;"Oui",O173=""),"",IF(AC173="",O173+DORA_H_DET/24,IF(AC173-O173&lt;=DORA_H_DET/24,MIN(AC173+DORA_H_CLA/24,O173+DORA_H_DET/24),AC173+DORA_H_CLA/24)))</f>
        <v/>
      </c>
      <c r="BS173" s="35" t="str">
        <f aca="true">IF(BR173="","",IF(AD173="",IF(NOW()&gt;BR173,0,""),IF(AD173&lt;=BR173,1,0)))</f>
        <v/>
      </c>
      <c r="BT173" s="35" t="str">
        <f aca="true">IF(OR(BR173="",AD173=""),"",IF(AE173="",IF(NOW()&gt;AD173+DORA_H_INT/24,0,""),IF(AE173&lt;=AD173+DORA_H_INT/24,1,0)))</f>
        <v/>
      </c>
      <c r="BU173" s="35" t="str">
        <f aca="true">IF(OR(BR173="",AE173=""),"",IF(AF173="",IF(NOW()&gt;EDATE(AE173,DORA_M_FIN)+1,0,""),IF(AF173&lt;=EDATE(AE173,DORA_M_FIN),1,0)))</f>
        <v/>
      </c>
      <c r="BV173" s="35" t="str">
        <f aca="false">IF(BR173="","",IF(COUNT(BS173:BU173)=0,"",MIN(BS173:BU173)))</f>
        <v/>
      </c>
      <c r="BW173" s="40" t="str">
        <f aca="false">IF(AQ173&lt;&gt;1,"",IF(AND(AG173="",AH173=""),"",N(AG173)-N(AH173)))</f>
        <v/>
      </c>
      <c r="BX173" s="35" t="str">
        <f aca="true">IF(OR(AQ173&lt;&gt;1,AI173&lt;&gt;"Oui",AJ173=""),"",IF(AK173="",IF(NOW()&gt;AJ173+1,0,""),IF(AK173&lt;=AJ173,1,0)))</f>
        <v/>
      </c>
    </row>
    <row r="174" customFormat="false" ht="15" hidden="false" customHeight="false" outlineLevel="0" collapsed="false">
      <c r="B174" s="29"/>
      <c r="C174" s="29"/>
      <c r="D174" s="29"/>
      <c r="E174" s="29"/>
      <c r="F174" s="29"/>
      <c r="G174" s="29"/>
      <c r="H174" s="29"/>
      <c r="I174" s="29"/>
      <c r="J174" s="29"/>
      <c r="K174" s="29"/>
      <c r="L174" s="29"/>
      <c r="M174" s="29"/>
      <c r="N174" s="30"/>
      <c r="O174" s="30"/>
      <c r="P174" s="30"/>
      <c r="Q174" s="30"/>
      <c r="R174" s="30"/>
      <c r="S174" s="30"/>
      <c r="T174" s="30"/>
      <c r="U174" s="30"/>
      <c r="V174" s="31"/>
      <c r="W174" s="29"/>
      <c r="X174" s="29"/>
      <c r="Y174" s="29"/>
      <c r="Z174" s="29"/>
      <c r="AA174" s="30"/>
      <c r="AB174" s="30"/>
      <c r="AC174" s="30"/>
      <c r="AD174" s="30"/>
      <c r="AE174" s="30"/>
      <c r="AF174" s="32"/>
      <c r="AG174" s="33"/>
      <c r="AH174" s="33"/>
      <c r="AI174" s="29"/>
      <c r="AJ174" s="32"/>
      <c r="AK174" s="32"/>
      <c r="AL174" s="29"/>
      <c r="AN174" s="34" t="str">
        <f aca="false">IF($B174="","",IF(OR(C174="",D174="",E174="",G174="",I174="",J174="",L174="",O174="",P174=""),"Champ obligatoire manquant",IF(OR(AND(N174&lt;&gt;"",N174&gt;O174),O174&gt;P174,AND(Q174&lt;&gt;"",Q174&lt;P174),AND(R174&lt;&gt;"",R174&lt;P174),AND(S174&lt;&gt;"",S174&lt;R174),AND(S174&lt;&gt;"",R174=""),AND(T174&lt;&gt;"",T174&lt;O174),AND(U174&lt;&gt;"",U174&lt;O174)),"Chronologie incohérente",IF(AND(OR(L174="Résolu",L174="Clos"),R174=""),"Date de résolution manquante",IF(AND(L174="Clos",S174=""),"Date de clôture manquante",IF(AND(K174="Oui",AC174=""),"Classification DORA manquante","OK"))))))</f>
        <v/>
      </c>
      <c r="AO174" s="35" t="str">
        <f aca="false">IF($B174="","",IF(AND(C174="Incident",L174&lt;&gt;"Annulé"),1,0))</f>
        <v/>
      </c>
      <c r="AP174" s="35" t="str">
        <f aca="false">IF($B174="","",IF(AND(C174="Quasi-incident",L174&lt;&gt;"Annulé"),1,0))</f>
        <v/>
      </c>
      <c r="AQ174" s="35" t="str">
        <f aca="false">IF($B174="","",AO174+AP174)</f>
        <v/>
      </c>
      <c r="AR174" s="36" t="str">
        <f aca="false">IF(OR($B174="",J174=""),"",IFERROR(VALUE(LEFT(J174,1)),""))</f>
        <v/>
      </c>
      <c r="AS174" s="35" t="str">
        <f aca="false">IF(OR(AO174&lt;&gt;1,G174=""),"",IFERROR(IF(INDEX(L_SrcInterne,MATCH(G174,L_Sources,0))="Oui",1,0),""))</f>
        <v/>
      </c>
      <c r="AT174" s="37" t="str">
        <f aca="false">IF(AO174&lt;&gt;1,"",IFERROR(ROUND(IF(OR(N174="",O174=""),"",IF(O174&lt;N174,"",ROUND(((NETWORKDAYS(N174,O174,JoursFeries)-1)*(HFer-HOuv)+IF(NETWORKDAYS(O174,O174,JoursFeries),MEDIAN(MOD(O174,1),HFer,HOuv),HFer)-IF(NETWORKDAYS(N174,N174,JoursFeries),MEDIAN(MOD(N174,1),HFer,HOuv),HOuv))*24,4)))/HJour,4),""))</f>
        <v/>
      </c>
      <c r="AU174" s="37" t="str">
        <f aca="false">IF(AO174&lt;&gt;1,"",IF(OR(O174="",P174=""),"",IF(P174&lt;O174,"",ROUND(((NETWORKDAYS(O174,P174,JoursFeries)-1)*(HFer-HOuv)+IF(NETWORKDAYS(P174,P174,JoursFeries),MEDIAN(MOD(P174,1),HFer,HOuv),HFer)-IF(NETWORKDAYS(O174,O174,JoursFeries),MEDIAN(MOD(O174,1),HFer,HOuv),HOuv))*24,4))))</f>
        <v/>
      </c>
      <c r="AV174" s="37" t="str">
        <f aca="false">IF(AO174&lt;&gt;1,"",IF(OR(P174="",Q174=""),"",IF(Q174&lt;P174,"",ROUND(((NETWORKDAYS(P174,Q174,JoursFeries)-1)*(HFer-HOuv)+IF(NETWORKDAYS(Q174,Q174,JoursFeries),MEDIAN(MOD(Q174,1),HFer,HOuv),HFer)-IF(NETWORKDAYS(P174,P174,JoursFeries),MEDIAN(MOD(P174,1),HFer,HOuv),HOuv))*24,4))))</f>
        <v/>
      </c>
      <c r="AW174" s="37" t="str">
        <f aca="false">IF(AO174&lt;&gt;1,"",IFERROR(ROUND(IF(OR(P174="",R174=""),"",IF(R174&lt;P174,"",ROUND(((NETWORKDAYS(P174,R174,JoursFeries)-1)*(HFer-HOuv)+IF(NETWORKDAYS(R174,R174,JoursFeries),MEDIAN(MOD(R174,1),HFer,HOuv),HFer)-IF(NETWORKDAYS(P174,P174,JoursFeries),MEDIAN(MOD(P174,1),HFer,HOuv),HOuv))*24,4)))/HJour,4),""))</f>
        <v/>
      </c>
      <c r="AX174" s="37" t="str">
        <f aca="false">IF(AO174&lt;&gt;1,"",IFERROR(ROUND(IF(OR(P174="",S174=""),"",IF(S174&lt;P174,"",ROUND(((NETWORKDAYS(P174,S174,JoursFeries)-1)*(HFer-HOuv)+IF(NETWORKDAYS(S174,S174,JoursFeries),MEDIAN(MOD(S174,1),HFer,HOuv),HFer)-IF(NETWORKDAYS(P174,P174,JoursFeries),MEDIAN(MOD(P174,1),HFer,HOuv),HOuv))*24,4)))/HJour,4),""))</f>
        <v/>
      </c>
      <c r="AY174" s="36" t="str">
        <f aca="false">IF(OR(AO174&lt;&gt;1,AR174=""),"",INDEX(SLA_PEC,AR174))</f>
        <v/>
      </c>
      <c r="AZ174" s="35" t="str">
        <f aca="false">IF(OR(AV174="",AY174=""),"",IF(AV174&lt;=AY174,1,0))</f>
        <v/>
      </c>
      <c r="BA174" s="36" t="str">
        <f aca="false">IF(OR(AO174&lt;&gt;1,AR174=""),"",INDEX(SLA_RES,AR174))</f>
        <v/>
      </c>
      <c r="BB174" s="35" t="str">
        <f aca="false">IF(OR(AW174="",BA174=""),"",IF(AW174&lt;=BA174,1,0))</f>
        <v/>
      </c>
      <c r="BC174" s="38" t="str">
        <f aca="false">IF(OR(BA174="",P174=""),"",WORKDAY(INT(P174),BA174,JoursFeries)+MOD(P174,1))</f>
        <v/>
      </c>
      <c r="BD174" s="39" t="str">
        <f aca="false">IF(AO174&lt;&gt;1,"",IF(OR(AB174&lt;&gt;"",AD174&lt;&gt;""),4,IF(U174&lt;&gt;"",3,IF(T174&lt;&gt;"",2,1))))</f>
        <v/>
      </c>
      <c r="BE174" s="39" t="str">
        <f aca="false">IF(OR(AO174&lt;&gt;1,AR174=""),"",INDEX(NIV_REQ,AR174))</f>
        <v/>
      </c>
      <c r="BF174" s="39" t="str">
        <f aca="false">IF(BE174="","",MAX(BE174,IF(OR(K174="Oui",Z174="Oui"),4,1)))</f>
        <v/>
      </c>
      <c r="BG174" s="35" t="str">
        <f aca="false">IF(OR(BF174="",BD174=""),"",IF(BD174&gt;=BF174,1,0))</f>
        <v/>
      </c>
      <c r="BH174" s="38" t="str">
        <f aca="false">IF(BE174="","",IF(BE174&lt;2,"",IF(BE174=2,IF(AND(T174="",U174=""),"",MIN(T174,U174)),IF(U174="","",U174))))</f>
        <v/>
      </c>
      <c r="BI174" s="37" t="str">
        <f aca="false">IF(BH174="","",IF(OR(O174="",BH174=""),"",IF(BH174&lt;O174,"",ROUND(((NETWORKDAYS(O174,BH174,JoursFeries)-1)*(HFer-HOuv)+IF(NETWORKDAYS(BH174,BH174,JoursFeries),MEDIAN(MOD(BH174,1),HFer,HOuv),HFer)-IF(NETWORKDAYS(O174,O174,JoursFeries),MEDIAN(MOD(O174,1),HFer,HOuv),HOuv))*24,4))))</f>
        <v/>
      </c>
      <c r="BJ174" s="35" t="str">
        <f aca="false">IF(OR(BI174="",AR174=""),"",IF(BI174&lt;=INDEX(DELAI_ESC,AR174),1,0))</f>
        <v/>
      </c>
      <c r="BK174" s="38" t="str">
        <f aca="false">IF(AO174&lt;&gt;1,"",IF(AND(T174="",U174=""),"",MIN(T174,U174)))</f>
        <v/>
      </c>
      <c r="BL174" s="37" t="str">
        <f aca="false">IF(OR(BK174="",R174=""),"",IFERROR(ROUND(IF(OR(BK174="",R174=""),"",IF(R174&lt;BK174,"",ROUND(((NETWORKDAYS(BK174,R174,JoursFeries)-1)*(HFer-HOuv)+IF(NETWORKDAYS(R174,R174,JoursFeries),MEDIAN(MOD(R174,1),HFer,HOuv),HFer)-IF(NETWORKDAYS(BK174,BK174,JoursFeries),MEDIAN(MOD(BK174,1),HFer,HOuv),HOuv))*24,4)))/HJour,4),""))</f>
        <v/>
      </c>
      <c r="BM174" s="35" t="str">
        <f aca="false">IF(OR(AO174&lt;&gt;1,R174=""),"",IF(BD174=1,1,0))</f>
        <v/>
      </c>
      <c r="BN174" s="35" t="str">
        <f aca="false">IF(AO174&lt;&gt;1,"",IF(W174="Oui",1,0))</f>
        <v/>
      </c>
      <c r="BO174" s="35" t="str">
        <f aca="false">IF(AO174&lt;&gt;1,"",IF(X174&lt;&gt;"",1,0))</f>
        <v/>
      </c>
      <c r="BP174" s="35" t="str">
        <f aca="false">IF(AO174&lt;&gt;1,"",IF(Y174="Oui",1,0))</f>
        <v/>
      </c>
      <c r="BQ174" s="35" t="str">
        <f aca="true">IF(OR(AO174&lt;&gt;1,Z174&lt;&gt;"Oui"),"",IF(AB174="",IF(AND(AA174&lt;&gt;"",NOW()&gt;AA174),0,""),IF(AA174="","",IF(AB174&lt;=AA174,1,0))))</f>
        <v/>
      </c>
      <c r="BR174" s="38" t="str">
        <f aca="false">IF(OR(AO174&lt;&gt;1,K174&lt;&gt;"Oui",O174=""),"",IF(AC174="",O174+DORA_H_DET/24,IF(AC174-O174&lt;=DORA_H_DET/24,MIN(AC174+DORA_H_CLA/24,O174+DORA_H_DET/24),AC174+DORA_H_CLA/24)))</f>
        <v/>
      </c>
      <c r="BS174" s="35" t="str">
        <f aca="true">IF(BR174="","",IF(AD174="",IF(NOW()&gt;BR174,0,""),IF(AD174&lt;=BR174,1,0)))</f>
        <v/>
      </c>
      <c r="BT174" s="35" t="str">
        <f aca="true">IF(OR(BR174="",AD174=""),"",IF(AE174="",IF(NOW()&gt;AD174+DORA_H_INT/24,0,""),IF(AE174&lt;=AD174+DORA_H_INT/24,1,0)))</f>
        <v/>
      </c>
      <c r="BU174" s="35" t="str">
        <f aca="true">IF(OR(BR174="",AE174=""),"",IF(AF174="",IF(NOW()&gt;EDATE(AE174,DORA_M_FIN)+1,0,""),IF(AF174&lt;=EDATE(AE174,DORA_M_FIN),1,0)))</f>
        <v/>
      </c>
      <c r="BV174" s="35" t="str">
        <f aca="false">IF(BR174="","",IF(COUNT(BS174:BU174)=0,"",MIN(BS174:BU174)))</f>
        <v/>
      </c>
      <c r="BW174" s="40" t="str">
        <f aca="false">IF(AQ174&lt;&gt;1,"",IF(AND(AG174="",AH174=""),"",N(AG174)-N(AH174)))</f>
        <v/>
      </c>
      <c r="BX174" s="35" t="str">
        <f aca="true">IF(OR(AQ174&lt;&gt;1,AI174&lt;&gt;"Oui",AJ174=""),"",IF(AK174="",IF(NOW()&gt;AJ174+1,0,""),IF(AK174&lt;=AJ174,1,0)))</f>
        <v/>
      </c>
    </row>
    <row r="175" customFormat="false" ht="15" hidden="false" customHeight="false" outlineLevel="0" collapsed="false">
      <c r="B175" s="29"/>
      <c r="C175" s="29"/>
      <c r="D175" s="29"/>
      <c r="E175" s="29"/>
      <c r="F175" s="29"/>
      <c r="G175" s="29"/>
      <c r="H175" s="29"/>
      <c r="I175" s="29"/>
      <c r="J175" s="29"/>
      <c r="K175" s="29"/>
      <c r="L175" s="29"/>
      <c r="M175" s="29"/>
      <c r="N175" s="30"/>
      <c r="O175" s="30"/>
      <c r="P175" s="30"/>
      <c r="Q175" s="30"/>
      <c r="R175" s="30"/>
      <c r="S175" s="30"/>
      <c r="T175" s="30"/>
      <c r="U175" s="30"/>
      <c r="V175" s="31"/>
      <c r="W175" s="29"/>
      <c r="X175" s="29"/>
      <c r="Y175" s="29"/>
      <c r="Z175" s="29"/>
      <c r="AA175" s="30"/>
      <c r="AB175" s="30"/>
      <c r="AC175" s="30"/>
      <c r="AD175" s="30"/>
      <c r="AE175" s="30"/>
      <c r="AF175" s="32"/>
      <c r="AG175" s="33"/>
      <c r="AH175" s="33"/>
      <c r="AI175" s="29"/>
      <c r="AJ175" s="32"/>
      <c r="AK175" s="32"/>
      <c r="AL175" s="29"/>
      <c r="AN175" s="34" t="str">
        <f aca="false">IF($B175="","",IF(OR(C175="",D175="",E175="",G175="",I175="",J175="",L175="",O175="",P175=""),"Champ obligatoire manquant",IF(OR(AND(N175&lt;&gt;"",N175&gt;O175),O175&gt;P175,AND(Q175&lt;&gt;"",Q175&lt;P175),AND(R175&lt;&gt;"",R175&lt;P175),AND(S175&lt;&gt;"",S175&lt;R175),AND(S175&lt;&gt;"",R175=""),AND(T175&lt;&gt;"",T175&lt;O175),AND(U175&lt;&gt;"",U175&lt;O175)),"Chronologie incohérente",IF(AND(OR(L175="Résolu",L175="Clos"),R175=""),"Date de résolution manquante",IF(AND(L175="Clos",S175=""),"Date de clôture manquante",IF(AND(K175="Oui",AC175=""),"Classification DORA manquante","OK"))))))</f>
        <v/>
      </c>
      <c r="AO175" s="35" t="str">
        <f aca="false">IF($B175="","",IF(AND(C175="Incident",L175&lt;&gt;"Annulé"),1,0))</f>
        <v/>
      </c>
      <c r="AP175" s="35" t="str">
        <f aca="false">IF($B175="","",IF(AND(C175="Quasi-incident",L175&lt;&gt;"Annulé"),1,0))</f>
        <v/>
      </c>
      <c r="AQ175" s="35" t="str">
        <f aca="false">IF($B175="","",AO175+AP175)</f>
        <v/>
      </c>
      <c r="AR175" s="36" t="str">
        <f aca="false">IF(OR($B175="",J175=""),"",IFERROR(VALUE(LEFT(J175,1)),""))</f>
        <v/>
      </c>
      <c r="AS175" s="35" t="str">
        <f aca="false">IF(OR(AO175&lt;&gt;1,G175=""),"",IFERROR(IF(INDEX(L_SrcInterne,MATCH(G175,L_Sources,0))="Oui",1,0),""))</f>
        <v/>
      </c>
      <c r="AT175" s="37" t="str">
        <f aca="false">IF(AO175&lt;&gt;1,"",IFERROR(ROUND(IF(OR(N175="",O175=""),"",IF(O175&lt;N175,"",ROUND(((NETWORKDAYS(N175,O175,JoursFeries)-1)*(HFer-HOuv)+IF(NETWORKDAYS(O175,O175,JoursFeries),MEDIAN(MOD(O175,1),HFer,HOuv),HFer)-IF(NETWORKDAYS(N175,N175,JoursFeries),MEDIAN(MOD(N175,1),HFer,HOuv),HOuv))*24,4)))/HJour,4),""))</f>
        <v/>
      </c>
      <c r="AU175" s="37" t="str">
        <f aca="false">IF(AO175&lt;&gt;1,"",IF(OR(O175="",P175=""),"",IF(P175&lt;O175,"",ROUND(((NETWORKDAYS(O175,P175,JoursFeries)-1)*(HFer-HOuv)+IF(NETWORKDAYS(P175,P175,JoursFeries),MEDIAN(MOD(P175,1),HFer,HOuv),HFer)-IF(NETWORKDAYS(O175,O175,JoursFeries),MEDIAN(MOD(O175,1),HFer,HOuv),HOuv))*24,4))))</f>
        <v/>
      </c>
      <c r="AV175" s="37" t="str">
        <f aca="false">IF(AO175&lt;&gt;1,"",IF(OR(P175="",Q175=""),"",IF(Q175&lt;P175,"",ROUND(((NETWORKDAYS(P175,Q175,JoursFeries)-1)*(HFer-HOuv)+IF(NETWORKDAYS(Q175,Q175,JoursFeries),MEDIAN(MOD(Q175,1),HFer,HOuv),HFer)-IF(NETWORKDAYS(P175,P175,JoursFeries),MEDIAN(MOD(P175,1),HFer,HOuv),HOuv))*24,4))))</f>
        <v/>
      </c>
      <c r="AW175" s="37" t="str">
        <f aca="false">IF(AO175&lt;&gt;1,"",IFERROR(ROUND(IF(OR(P175="",R175=""),"",IF(R175&lt;P175,"",ROUND(((NETWORKDAYS(P175,R175,JoursFeries)-1)*(HFer-HOuv)+IF(NETWORKDAYS(R175,R175,JoursFeries),MEDIAN(MOD(R175,1),HFer,HOuv),HFer)-IF(NETWORKDAYS(P175,P175,JoursFeries),MEDIAN(MOD(P175,1),HFer,HOuv),HOuv))*24,4)))/HJour,4),""))</f>
        <v/>
      </c>
      <c r="AX175" s="37" t="str">
        <f aca="false">IF(AO175&lt;&gt;1,"",IFERROR(ROUND(IF(OR(P175="",S175=""),"",IF(S175&lt;P175,"",ROUND(((NETWORKDAYS(P175,S175,JoursFeries)-1)*(HFer-HOuv)+IF(NETWORKDAYS(S175,S175,JoursFeries),MEDIAN(MOD(S175,1),HFer,HOuv),HFer)-IF(NETWORKDAYS(P175,P175,JoursFeries),MEDIAN(MOD(P175,1),HFer,HOuv),HOuv))*24,4)))/HJour,4),""))</f>
        <v/>
      </c>
      <c r="AY175" s="36" t="str">
        <f aca="false">IF(OR(AO175&lt;&gt;1,AR175=""),"",INDEX(SLA_PEC,AR175))</f>
        <v/>
      </c>
      <c r="AZ175" s="35" t="str">
        <f aca="false">IF(OR(AV175="",AY175=""),"",IF(AV175&lt;=AY175,1,0))</f>
        <v/>
      </c>
      <c r="BA175" s="36" t="str">
        <f aca="false">IF(OR(AO175&lt;&gt;1,AR175=""),"",INDEX(SLA_RES,AR175))</f>
        <v/>
      </c>
      <c r="BB175" s="35" t="str">
        <f aca="false">IF(OR(AW175="",BA175=""),"",IF(AW175&lt;=BA175,1,0))</f>
        <v/>
      </c>
      <c r="BC175" s="38" t="str">
        <f aca="false">IF(OR(BA175="",P175=""),"",WORKDAY(INT(P175),BA175,JoursFeries)+MOD(P175,1))</f>
        <v/>
      </c>
      <c r="BD175" s="39" t="str">
        <f aca="false">IF(AO175&lt;&gt;1,"",IF(OR(AB175&lt;&gt;"",AD175&lt;&gt;""),4,IF(U175&lt;&gt;"",3,IF(T175&lt;&gt;"",2,1))))</f>
        <v/>
      </c>
      <c r="BE175" s="39" t="str">
        <f aca="false">IF(OR(AO175&lt;&gt;1,AR175=""),"",INDEX(NIV_REQ,AR175))</f>
        <v/>
      </c>
      <c r="BF175" s="39" t="str">
        <f aca="false">IF(BE175="","",MAX(BE175,IF(OR(K175="Oui",Z175="Oui"),4,1)))</f>
        <v/>
      </c>
      <c r="BG175" s="35" t="str">
        <f aca="false">IF(OR(BF175="",BD175=""),"",IF(BD175&gt;=BF175,1,0))</f>
        <v/>
      </c>
      <c r="BH175" s="38" t="str">
        <f aca="false">IF(BE175="","",IF(BE175&lt;2,"",IF(BE175=2,IF(AND(T175="",U175=""),"",MIN(T175,U175)),IF(U175="","",U175))))</f>
        <v/>
      </c>
      <c r="BI175" s="37" t="str">
        <f aca="false">IF(BH175="","",IF(OR(O175="",BH175=""),"",IF(BH175&lt;O175,"",ROUND(((NETWORKDAYS(O175,BH175,JoursFeries)-1)*(HFer-HOuv)+IF(NETWORKDAYS(BH175,BH175,JoursFeries),MEDIAN(MOD(BH175,1),HFer,HOuv),HFer)-IF(NETWORKDAYS(O175,O175,JoursFeries),MEDIAN(MOD(O175,1),HFer,HOuv),HOuv))*24,4))))</f>
        <v/>
      </c>
      <c r="BJ175" s="35" t="str">
        <f aca="false">IF(OR(BI175="",AR175=""),"",IF(BI175&lt;=INDEX(DELAI_ESC,AR175),1,0))</f>
        <v/>
      </c>
      <c r="BK175" s="38" t="str">
        <f aca="false">IF(AO175&lt;&gt;1,"",IF(AND(T175="",U175=""),"",MIN(T175,U175)))</f>
        <v/>
      </c>
      <c r="BL175" s="37" t="str">
        <f aca="false">IF(OR(BK175="",R175=""),"",IFERROR(ROUND(IF(OR(BK175="",R175=""),"",IF(R175&lt;BK175,"",ROUND(((NETWORKDAYS(BK175,R175,JoursFeries)-1)*(HFer-HOuv)+IF(NETWORKDAYS(R175,R175,JoursFeries),MEDIAN(MOD(R175,1),HFer,HOuv),HFer)-IF(NETWORKDAYS(BK175,BK175,JoursFeries),MEDIAN(MOD(BK175,1),HFer,HOuv),HOuv))*24,4)))/HJour,4),""))</f>
        <v/>
      </c>
      <c r="BM175" s="35" t="str">
        <f aca="false">IF(OR(AO175&lt;&gt;1,R175=""),"",IF(BD175=1,1,0))</f>
        <v/>
      </c>
      <c r="BN175" s="35" t="str">
        <f aca="false">IF(AO175&lt;&gt;1,"",IF(W175="Oui",1,0))</f>
        <v/>
      </c>
      <c r="BO175" s="35" t="str">
        <f aca="false">IF(AO175&lt;&gt;1,"",IF(X175&lt;&gt;"",1,0))</f>
        <v/>
      </c>
      <c r="BP175" s="35" t="str">
        <f aca="false">IF(AO175&lt;&gt;1,"",IF(Y175="Oui",1,0))</f>
        <v/>
      </c>
      <c r="BQ175" s="35" t="str">
        <f aca="true">IF(OR(AO175&lt;&gt;1,Z175&lt;&gt;"Oui"),"",IF(AB175="",IF(AND(AA175&lt;&gt;"",NOW()&gt;AA175),0,""),IF(AA175="","",IF(AB175&lt;=AA175,1,0))))</f>
        <v/>
      </c>
      <c r="BR175" s="38" t="str">
        <f aca="false">IF(OR(AO175&lt;&gt;1,K175&lt;&gt;"Oui",O175=""),"",IF(AC175="",O175+DORA_H_DET/24,IF(AC175-O175&lt;=DORA_H_DET/24,MIN(AC175+DORA_H_CLA/24,O175+DORA_H_DET/24),AC175+DORA_H_CLA/24)))</f>
        <v/>
      </c>
      <c r="BS175" s="35" t="str">
        <f aca="true">IF(BR175="","",IF(AD175="",IF(NOW()&gt;BR175,0,""),IF(AD175&lt;=BR175,1,0)))</f>
        <v/>
      </c>
      <c r="BT175" s="35" t="str">
        <f aca="true">IF(OR(BR175="",AD175=""),"",IF(AE175="",IF(NOW()&gt;AD175+DORA_H_INT/24,0,""),IF(AE175&lt;=AD175+DORA_H_INT/24,1,0)))</f>
        <v/>
      </c>
      <c r="BU175" s="35" t="str">
        <f aca="true">IF(OR(BR175="",AE175=""),"",IF(AF175="",IF(NOW()&gt;EDATE(AE175,DORA_M_FIN)+1,0,""),IF(AF175&lt;=EDATE(AE175,DORA_M_FIN),1,0)))</f>
        <v/>
      </c>
      <c r="BV175" s="35" t="str">
        <f aca="false">IF(BR175="","",IF(COUNT(BS175:BU175)=0,"",MIN(BS175:BU175)))</f>
        <v/>
      </c>
      <c r="BW175" s="40" t="str">
        <f aca="false">IF(AQ175&lt;&gt;1,"",IF(AND(AG175="",AH175=""),"",N(AG175)-N(AH175)))</f>
        <v/>
      </c>
      <c r="BX175" s="35" t="str">
        <f aca="true">IF(OR(AQ175&lt;&gt;1,AI175&lt;&gt;"Oui",AJ175=""),"",IF(AK175="",IF(NOW()&gt;AJ175+1,0,""),IF(AK175&lt;=AJ175,1,0)))</f>
        <v/>
      </c>
    </row>
    <row r="176" customFormat="false" ht="15" hidden="false" customHeight="false" outlineLevel="0" collapsed="false">
      <c r="B176" s="29"/>
      <c r="C176" s="29"/>
      <c r="D176" s="29"/>
      <c r="E176" s="29"/>
      <c r="F176" s="29"/>
      <c r="G176" s="29"/>
      <c r="H176" s="29"/>
      <c r="I176" s="29"/>
      <c r="J176" s="29"/>
      <c r="K176" s="29"/>
      <c r="L176" s="29"/>
      <c r="M176" s="29"/>
      <c r="N176" s="30"/>
      <c r="O176" s="30"/>
      <c r="P176" s="30"/>
      <c r="Q176" s="30"/>
      <c r="R176" s="30"/>
      <c r="S176" s="30"/>
      <c r="T176" s="30"/>
      <c r="U176" s="30"/>
      <c r="V176" s="31"/>
      <c r="W176" s="29"/>
      <c r="X176" s="29"/>
      <c r="Y176" s="29"/>
      <c r="Z176" s="29"/>
      <c r="AA176" s="30"/>
      <c r="AB176" s="30"/>
      <c r="AC176" s="30"/>
      <c r="AD176" s="30"/>
      <c r="AE176" s="30"/>
      <c r="AF176" s="32"/>
      <c r="AG176" s="33"/>
      <c r="AH176" s="33"/>
      <c r="AI176" s="29"/>
      <c r="AJ176" s="32"/>
      <c r="AK176" s="32"/>
      <c r="AL176" s="29"/>
      <c r="AN176" s="34" t="str">
        <f aca="false">IF($B176="","",IF(OR(C176="",D176="",E176="",G176="",I176="",J176="",L176="",O176="",P176=""),"Champ obligatoire manquant",IF(OR(AND(N176&lt;&gt;"",N176&gt;O176),O176&gt;P176,AND(Q176&lt;&gt;"",Q176&lt;P176),AND(R176&lt;&gt;"",R176&lt;P176),AND(S176&lt;&gt;"",S176&lt;R176),AND(S176&lt;&gt;"",R176=""),AND(T176&lt;&gt;"",T176&lt;O176),AND(U176&lt;&gt;"",U176&lt;O176)),"Chronologie incohérente",IF(AND(OR(L176="Résolu",L176="Clos"),R176=""),"Date de résolution manquante",IF(AND(L176="Clos",S176=""),"Date de clôture manquante",IF(AND(K176="Oui",AC176=""),"Classification DORA manquante","OK"))))))</f>
        <v/>
      </c>
      <c r="AO176" s="35" t="str">
        <f aca="false">IF($B176="","",IF(AND(C176="Incident",L176&lt;&gt;"Annulé"),1,0))</f>
        <v/>
      </c>
      <c r="AP176" s="35" t="str">
        <f aca="false">IF($B176="","",IF(AND(C176="Quasi-incident",L176&lt;&gt;"Annulé"),1,0))</f>
        <v/>
      </c>
      <c r="AQ176" s="35" t="str">
        <f aca="false">IF($B176="","",AO176+AP176)</f>
        <v/>
      </c>
      <c r="AR176" s="36" t="str">
        <f aca="false">IF(OR($B176="",J176=""),"",IFERROR(VALUE(LEFT(J176,1)),""))</f>
        <v/>
      </c>
      <c r="AS176" s="35" t="str">
        <f aca="false">IF(OR(AO176&lt;&gt;1,G176=""),"",IFERROR(IF(INDEX(L_SrcInterne,MATCH(G176,L_Sources,0))="Oui",1,0),""))</f>
        <v/>
      </c>
      <c r="AT176" s="37" t="str">
        <f aca="false">IF(AO176&lt;&gt;1,"",IFERROR(ROUND(IF(OR(N176="",O176=""),"",IF(O176&lt;N176,"",ROUND(((NETWORKDAYS(N176,O176,JoursFeries)-1)*(HFer-HOuv)+IF(NETWORKDAYS(O176,O176,JoursFeries),MEDIAN(MOD(O176,1),HFer,HOuv),HFer)-IF(NETWORKDAYS(N176,N176,JoursFeries),MEDIAN(MOD(N176,1),HFer,HOuv),HOuv))*24,4)))/HJour,4),""))</f>
        <v/>
      </c>
      <c r="AU176" s="37" t="str">
        <f aca="false">IF(AO176&lt;&gt;1,"",IF(OR(O176="",P176=""),"",IF(P176&lt;O176,"",ROUND(((NETWORKDAYS(O176,P176,JoursFeries)-1)*(HFer-HOuv)+IF(NETWORKDAYS(P176,P176,JoursFeries),MEDIAN(MOD(P176,1),HFer,HOuv),HFer)-IF(NETWORKDAYS(O176,O176,JoursFeries),MEDIAN(MOD(O176,1),HFer,HOuv),HOuv))*24,4))))</f>
        <v/>
      </c>
      <c r="AV176" s="37" t="str">
        <f aca="false">IF(AO176&lt;&gt;1,"",IF(OR(P176="",Q176=""),"",IF(Q176&lt;P176,"",ROUND(((NETWORKDAYS(P176,Q176,JoursFeries)-1)*(HFer-HOuv)+IF(NETWORKDAYS(Q176,Q176,JoursFeries),MEDIAN(MOD(Q176,1),HFer,HOuv),HFer)-IF(NETWORKDAYS(P176,P176,JoursFeries),MEDIAN(MOD(P176,1),HFer,HOuv),HOuv))*24,4))))</f>
        <v/>
      </c>
      <c r="AW176" s="37" t="str">
        <f aca="false">IF(AO176&lt;&gt;1,"",IFERROR(ROUND(IF(OR(P176="",R176=""),"",IF(R176&lt;P176,"",ROUND(((NETWORKDAYS(P176,R176,JoursFeries)-1)*(HFer-HOuv)+IF(NETWORKDAYS(R176,R176,JoursFeries),MEDIAN(MOD(R176,1),HFer,HOuv),HFer)-IF(NETWORKDAYS(P176,P176,JoursFeries),MEDIAN(MOD(P176,1),HFer,HOuv),HOuv))*24,4)))/HJour,4),""))</f>
        <v/>
      </c>
      <c r="AX176" s="37" t="str">
        <f aca="false">IF(AO176&lt;&gt;1,"",IFERROR(ROUND(IF(OR(P176="",S176=""),"",IF(S176&lt;P176,"",ROUND(((NETWORKDAYS(P176,S176,JoursFeries)-1)*(HFer-HOuv)+IF(NETWORKDAYS(S176,S176,JoursFeries),MEDIAN(MOD(S176,1),HFer,HOuv),HFer)-IF(NETWORKDAYS(P176,P176,JoursFeries),MEDIAN(MOD(P176,1),HFer,HOuv),HOuv))*24,4)))/HJour,4),""))</f>
        <v/>
      </c>
      <c r="AY176" s="36" t="str">
        <f aca="false">IF(OR(AO176&lt;&gt;1,AR176=""),"",INDEX(SLA_PEC,AR176))</f>
        <v/>
      </c>
      <c r="AZ176" s="35" t="str">
        <f aca="false">IF(OR(AV176="",AY176=""),"",IF(AV176&lt;=AY176,1,0))</f>
        <v/>
      </c>
      <c r="BA176" s="36" t="str">
        <f aca="false">IF(OR(AO176&lt;&gt;1,AR176=""),"",INDEX(SLA_RES,AR176))</f>
        <v/>
      </c>
      <c r="BB176" s="35" t="str">
        <f aca="false">IF(OR(AW176="",BA176=""),"",IF(AW176&lt;=BA176,1,0))</f>
        <v/>
      </c>
      <c r="BC176" s="38" t="str">
        <f aca="false">IF(OR(BA176="",P176=""),"",WORKDAY(INT(P176),BA176,JoursFeries)+MOD(P176,1))</f>
        <v/>
      </c>
      <c r="BD176" s="39" t="str">
        <f aca="false">IF(AO176&lt;&gt;1,"",IF(OR(AB176&lt;&gt;"",AD176&lt;&gt;""),4,IF(U176&lt;&gt;"",3,IF(T176&lt;&gt;"",2,1))))</f>
        <v/>
      </c>
      <c r="BE176" s="39" t="str">
        <f aca="false">IF(OR(AO176&lt;&gt;1,AR176=""),"",INDEX(NIV_REQ,AR176))</f>
        <v/>
      </c>
      <c r="BF176" s="39" t="str">
        <f aca="false">IF(BE176="","",MAX(BE176,IF(OR(K176="Oui",Z176="Oui"),4,1)))</f>
        <v/>
      </c>
      <c r="BG176" s="35" t="str">
        <f aca="false">IF(OR(BF176="",BD176=""),"",IF(BD176&gt;=BF176,1,0))</f>
        <v/>
      </c>
      <c r="BH176" s="38" t="str">
        <f aca="false">IF(BE176="","",IF(BE176&lt;2,"",IF(BE176=2,IF(AND(T176="",U176=""),"",MIN(T176,U176)),IF(U176="","",U176))))</f>
        <v/>
      </c>
      <c r="BI176" s="37" t="str">
        <f aca="false">IF(BH176="","",IF(OR(O176="",BH176=""),"",IF(BH176&lt;O176,"",ROUND(((NETWORKDAYS(O176,BH176,JoursFeries)-1)*(HFer-HOuv)+IF(NETWORKDAYS(BH176,BH176,JoursFeries),MEDIAN(MOD(BH176,1),HFer,HOuv),HFer)-IF(NETWORKDAYS(O176,O176,JoursFeries),MEDIAN(MOD(O176,1),HFer,HOuv),HOuv))*24,4))))</f>
        <v/>
      </c>
      <c r="BJ176" s="35" t="str">
        <f aca="false">IF(OR(BI176="",AR176=""),"",IF(BI176&lt;=INDEX(DELAI_ESC,AR176),1,0))</f>
        <v/>
      </c>
      <c r="BK176" s="38" t="str">
        <f aca="false">IF(AO176&lt;&gt;1,"",IF(AND(T176="",U176=""),"",MIN(T176,U176)))</f>
        <v/>
      </c>
      <c r="BL176" s="37" t="str">
        <f aca="false">IF(OR(BK176="",R176=""),"",IFERROR(ROUND(IF(OR(BK176="",R176=""),"",IF(R176&lt;BK176,"",ROUND(((NETWORKDAYS(BK176,R176,JoursFeries)-1)*(HFer-HOuv)+IF(NETWORKDAYS(R176,R176,JoursFeries),MEDIAN(MOD(R176,1),HFer,HOuv),HFer)-IF(NETWORKDAYS(BK176,BK176,JoursFeries),MEDIAN(MOD(BK176,1),HFer,HOuv),HOuv))*24,4)))/HJour,4),""))</f>
        <v/>
      </c>
      <c r="BM176" s="35" t="str">
        <f aca="false">IF(OR(AO176&lt;&gt;1,R176=""),"",IF(BD176=1,1,0))</f>
        <v/>
      </c>
      <c r="BN176" s="35" t="str">
        <f aca="false">IF(AO176&lt;&gt;1,"",IF(W176="Oui",1,0))</f>
        <v/>
      </c>
      <c r="BO176" s="35" t="str">
        <f aca="false">IF(AO176&lt;&gt;1,"",IF(X176&lt;&gt;"",1,0))</f>
        <v/>
      </c>
      <c r="BP176" s="35" t="str">
        <f aca="false">IF(AO176&lt;&gt;1,"",IF(Y176="Oui",1,0))</f>
        <v/>
      </c>
      <c r="BQ176" s="35" t="str">
        <f aca="true">IF(OR(AO176&lt;&gt;1,Z176&lt;&gt;"Oui"),"",IF(AB176="",IF(AND(AA176&lt;&gt;"",NOW()&gt;AA176),0,""),IF(AA176="","",IF(AB176&lt;=AA176,1,0))))</f>
        <v/>
      </c>
      <c r="BR176" s="38" t="str">
        <f aca="false">IF(OR(AO176&lt;&gt;1,K176&lt;&gt;"Oui",O176=""),"",IF(AC176="",O176+DORA_H_DET/24,IF(AC176-O176&lt;=DORA_H_DET/24,MIN(AC176+DORA_H_CLA/24,O176+DORA_H_DET/24),AC176+DORA_H_CLA/24)))</f>
        <v/>
      </c>
      <c r="BS176" s="35" t="str">
        <f aca="true">IF(BR176="","",IF(AD176="",IF(NOW()&gt;BR176,0,""),IF(AD176&lt;=BR176,1,0)))</f>
        <v/>
      </c>
      <c r="BT176" s="35" t="str">
        <f aca="true">IF(OR(BR176="",AD176=""),"",IF(AE176="",IF(NOW()&gt;AD176+DORA_H_INT/24,0,""),IF(AE176&lt;=AD176+DORA_H_INT/24,1,0)))</f>
        <v/>
      </c>
      <c r="BU176" s="35" t="str">
        <f aca="true">IF(OR(BR176="",AE176=""),"",IF(AF176="",IF(NOW()&gt;EDATE(AE176,DORA_M_FIN)+1,0,""),IF(AF176&lt;=EDATE(AE176,DORA_M_FIN),1,0)))</f>
        <v/>
      </c>
      <c r="BV176" s="35" t="str">
        <f aca="false">IF(BR176="","",IF(COUNT(BS176:BU176)=0,"",MIN(BS176:BU176)))</f>
        <v/>
      </c>
      <c r="BW176" s="40" t="str">
        <f aca="false">IF(AQ176&lt;&gt;1,"",IF(AND(AG176="",AH176=""),"",N(AG176)-N(AH176)))</f>
        <v/>
      </c>
      <c r="BX176" s="35" t="str">
        <f aca="true">IF(OR(AQ176&lt;&gt;1,AI176&lt;&gt;"Oui",AJ176=""),"",IF(AK176="",IF(NOW()&gt;AJ176+1,0,""),IF(AK176&lt;=AJ176,1,0)))</f>
        <v/>
      </c>
    </row>
    <row r="177" customFormat="false" ht="15" hidden="false" customHeight="false" outlineLevel="0" collapsed="false">
      <c r="B177" s="29"/>
      <c r="C177" s="29"/>
      <c r="D177" s="29"/>
      <c r="E177" s="29"/>
      <c r="F177" s="29"/>
      <c r="G177" s="29"/>
      <c r="H177" s="29"/>
      <c r="I177" s="29"/>
      <c r="J177" s="29"/>
      <c r="K177" s="29"/>
      <c r="L177" s="29"/>
      <c r="M177" s="29"/>
      <c r="N177" s="30"/>
      <c r="O177" s="30"/>
      <c r="P177" s="30"/>
      <c r="Q177" s="30"/>
      <c r="R177" s="30"/>
      <c r="S177" s="30"/>
      <c r="T177" s="30"/>
      <c r="U177" s="30"/>
      <c r="V177" s="31"/>
      <c r="W177" s="29"/>
      <c r="X177" s="29"/>
      <c r="Y177" s="29"/>
      <c r="Z177" s="29"/>
      <c r="AA177" s="30"/>
      <c r="AB177" s="30"/>
      <c r="AC177" s="30"/>
      <c r="AD177" s="30"/>
      <c r="AE177" s="30"/>
      <c r="AF177" s="32"/>
      <c r="AG177" s="33"/>
      <c r="AH177" s="33"/>
      <c r="AI177" s="29"/>
      <c r="AJ177" s="32"/>
      <c r="AK177" s="32"/>
      <c r="AL177" s="29"/>
      <c r="AN177" s="34" t="str">
        <f aca="false">IF($B177="","",IF(OR(C177="",D177="",E177="",G177="",I177="",J177="",L177="",O177="",P177=""),"Champ obligatoire manquant",IF(OR(AND(N177&lt;&gt;"",N177&gt;O177),O177&gt;P177,AND(Q177&lt;&gt;"",Q177&lt;P177),AND(R177&lt;&gt;"",R177&lt;P177),AND(S177&lt;&gt;"",S177&lt;R177),AND(S177&lt;&gt;"",R177=""),AND(T177&lt;&gt;"",T177&lt;O177),AND(U177&lt;&gt;"",U177&lt;O177)),"Chronologie incohérente",IF(AND(OR(L177="Résolu",L177="Clos"),R177=""),"Date de résolution manquante",IF(AND(L177="Clos",S177=""),"Date de clôture manquante",IF(AND(K177="Oui",AC177=""),"Classification DORA manquante","OK"))))))</f>
        <v/>
      </c>
      <c r="AO177" s="35" t="str">
        <f aca="false">IF($B177="","",IF(AND(C177="Incident",L177&lt;&gt;"Annulé"),1,0))</f>
        <v/>
      </c>
      <c r="AP177" s="35" t="str">
        <f aca="false">IF($B177="","",IF(AND(C177="Quasi-incident",L177&lt;&gt;"Annulé"),1,0))</f>
        <v/>
      </c>
      <c r="AQ177" s="35" t="str">
        <f aca="false">IF($B177="","",AO177+AP177)</f>
        <v/>
      </c>
      <c r="AR177" s="36" t="str">
        <f aca="false">IF(OR($B177="",J177=""),"",IFERROR(VALUE(LEFT(J177,1)),""))</f>
        <v/>
      </c>
      <c r="AS177" s="35" t="str">
        <f aca="false">IF(OR(AO177&lt;&gt;1,G177=""),"",IFERROR(IF(INDEX(L_SrcInterne,MATCH(G177,L_Sources,0))="Oui",1,0),""))</f>
        <v/>
      </c>
      <c r="AT177" s="37" t="str">
        <f aca="false">IF(AO177&lt;&gt;1,"",IFERROR(ROUND(IF(OR(N177="",O177=""),"",IF(O177&lt;N177,"",ROUND(((NETWORKDAYS(N177,O177,JoursFeries)-1)*(HFer-HOuv)+IF(NETWORKDAYS(O177,O177,JoursFeries),MEDIAN(MOD(O177,1),HFer,HOuv),HFer)-IF(NETWORKDAYS(N177,N177,JoursFeries),MEDIAN(MOD(N177,1),HFer,HOuv),HOuv))*24,4)))/HJour,4),""))</f>
        <v/>
      </c>
      <c r="AU177" s="37" t="str">
        <f aca="false">IF(AO177&lt;&gt;1,"",IF(OR(O177="",P177=""),"",IF(P177&lt;O177,"",ROUND(((NETWORKDAYS(O177,P177,JoursFeries)-1)*(HFer-HOuv)+IF(NETWORKDAYS(P177,P177,JoursFeries),MEDIAN(MOD(P177,1),HFer,HOuv),HFer)-IF(NETWORKDAYS(O177,O177,JoursFeries),MEDIAN(MOD(O177,1),HFer,HOuv),HOuv))*24,4))))</f>
        <v/>
      </c>
      <c r="AV177" s="37" t="str">
        <f aca="false">IF(AO177&lt;&gt;1,"",IF(OR(P177="",Q177=""),"",IF(Q177&lt;P177,"",ROUND(((NETWORKDAYS(P177,Q177,JoursFeries)-1)*(HFer-HOuv)+IF(NETWORKDAYS(Q177,Q177,JoursFeries),MEDIAN(MOD(Q177,1),HFer,HOuv),HFer)-IF(NETWORKDAYS(P177,P177,JoursFeries),MEDIAN(MOD(P177,1),HFer,HOuv),HOuv))*24,4))))</f>
        <v/>
      </c>
      <c r="AW177" s="37" t="str">
        <f aca="false">IF(AO177&lt;&gt;1,"",IFERROR(ROUND(IF(OR(P177="",R177=""),"",IF(R177&lt;P177,"",ROUND(((NETWORKDAYS(P177,R177,JoursFeries)-1)*(HFer-HOuv)+IF(NETWORKDAYS(R177,R177,JoursFeries),MEDIAN(MOD(R177,1),HFer,HOuv),HFer)-IF(NETWORKDAYS(P177,P177,JoursFeries),MEDIAN(MOD(P177,1),HFer,HOuv),HOuv))*24,4)))/HJour,4),""))</f>
        <v/>
      </c>
      <c r="AX177" s="37" t="str">
        <f aca="false">IF(AO177&lt;&gt;1,"",IFERROR(ROUND(IF(OR(P177="",S177=""),"",IF(S177&lt;P177,"",ROUND(((NETWORKDAYS(P177,S177,JoursFeries)-1)*(HFer-HOuv)+IF(NETWORKDAYS(S177,S177,JoursFeries),MEDIAN(MOD(S177,1),HFer,HOuv),HFer)-IF(NETWORKDAYS(P177,P177,JoursFeries),MEDIAN(MOD(P177,1),HFer,HOuv),HOuv))*24,4)))/HJour,4),""))</f>
        <v/>
      </c>
      <c r="AY177" s="36" t="str">
        <f aca="false">IF(OR(AO177&lt;&gt;1,AR177=""),"",INDEX(SLA_PEC,AR177))</f>
        <v/>
      </c>
      <c r="AZ177" s="35" t="str">
        <f aca="false">IF(OR(AV177="",AY177=""),"",IF(AV177&lt;=AY177,1,0))</f>
        <v/>
      </c>
      <c r="BA177" s="36" t="str">
        <f aca="false">IF(OR(AO177&lt;&gt;1,AR177=""),"",INDEX(SLA_RES,AR177))</f>
        <v/>
      </c>
      <c r="BB177" s="35" t="str">
        <f aca="false">IF(OR(AW177="",BA177=""),"",IF(AW177&lt;=BA177,1,0))</f>
        <v/>
      </c>
      <c r="BC177" s="38" t="str">
        <f aca="false">IF(OR(BA177="",P177=""),"",WORKDAY(INT(P177),BA177,JoursFeries)+MOD(P177,1))</f>
        <v/>
      </c>
      <c r="BD177" s="39" t="str">
        <f aca="false">IF(AO177&lt;&gt;1,"",IF(OR(AB177&lt;&gt;"",AD177&lt;&gt;""),4,IF(U177&lt;&gt;"",3,IF(T177&lt;&gt;"",2,1))))</f>
        <v/>
      </c>
      <c r="BE177" s="39" t="str">
        <f aca="false">IF(OR(AO177&lt;&gt;1,AR177=""),"",INDEX(NIV_REQ,AR177))</f>
        <v/>
      </c>
      <c r="BF177" s="39" t="str">
        <f aca="false">IF(BE177="","",MAX(BE177,IF(OR(K177="Oui",Z177="Oui"),4,1)))</f>
        <v/>
      </c>
      <c r="BG177" s="35" t="str">
        <f aca="false">IF(OR(BF177="",BD177=""),"",IF(BD177&gt;=BF177,1,0))</f>
        <v/>
      </c>
      <c r="BH177" s="38" t="str">
        <f aca="false">IF(BE177="","",IF(BE177&lt;2,"",IF(BE177=2,IF(AND(T177="",U177=""),"",MIN(T177,U177)),IF(U177="","",U177))))</f>
        <v/>
      </c>
      <c r="BI177" s="37" t="str">
        <f aca="false">IF(BH177="","",IF(OR(O177="",BH177=""),"",IF(BH177&lt;O177,"",ROUND(((NETWORKDAYS(O177,BH177,JoursFeries)-1)*(HFer-HOuv)+IF(NETWORKDAYS(BH177,BH177,JoursFeries),MEDIAN(MOD(BH177,1),HFer,HOuv),HFer)-IF(NETWORKDAYS(O177,O177,JoursFeries),MEDIAN(MOD(O177,1),HFer,HOuv),HOuv))*24,4))))</f>
        <v/>
      </c>
      <c r="BJ177" s="35" t="str">
        <f aca="false">IF(OR(BI177="",AR177=""),"",IF(BI177&lt;=INDEX(DELAI_ESC,AR177),1,0))</f>
        <v/>
      </c>
      <c r="BK177" s="38" t="str">
        <f aca="false">IF(AO177&lt;&gt;1,"",IF(AND(T177="",U177=""),"",MIN(T177,U177)))</f>
        <v/>
      </c>
      <c r="BL177" s="37" t="str">
        <f aca="false">IF(OR(BK177="",R177=""),"",IFERROR(ROUND(IF(OR(BK177="",R177=""),"",IF(R177&lt;BK177,"",ROUND(((NETWORKDAYS(BK177,R177,JoursFeries)-1)*(HFer-HOuv)+IF(NETWORKDAYS(R177,R177,JoursFeries),MEDIAN(MOD(R177,1),HFer,HOuv),HFer)-IF(NETWORKDAYS(BK177,BK177,JoursFeries),MEDIAN(MOD(BK177,1),HFer,HOuv),HOuv))*24,4)))/HJour,4),""))</f>
        <v/>
      </c>
      <c r="BM177" s="35" t="str">
        <f aca="false">IF(OR(AO177&lt;&gt;1,R177=""),"",IF(BD177=1,1,0))</f>
        <v/>
      </c>
      <c r="BN177" s="35" t="str">
        <f aca="false">IF(AO177&lt;&gt;1,"",IF(W177="Oui",1,0))</f>
        <v/>
      </c>
      <c r="BO177" s="35" t="str">
        <f aca="false">IF(AO177&lt;&gt;1,"",IF(X177&lt;&gt;"",1,0))</f>
        <v/>
      </c>
      <c r="BP177" s="35" t="str">
        <f aca="false">IF(AO177&lt;&gt;1,"",IF(Y177="Oui",1,0))</f>
        <v/>
      </c>
      <c r="BQ177" s="35" t="str">
        <f aca="true">IF(OR(AO177&lt;&gt;1,Z177&lt;&gt;"Oui"),"",IF(AB177="",IF(AND(AA177&lt;&gt;"",NOW()&gt;AA177),0,""),IF(AA177="","",IF(AB177&lt;=AA177,1,0))))</f>
        <v/>
      </c>
      <c r="BR177" s="38" t="str">
        <f aca="false">IF(OR(AO177&lt;&gt;1,K177&lt;&gt;"Oui",O177=""),"",IF(AC177="",O177+DORA_H_DET/24,IF(AC177-O177&lt;=DORA_H_DET/24,MIN(AC177+DORA_H_CLA/24,O177+DORA_H_DET/24),AC177+DORA_H_CLA/24)))</f>
        <v/>
      </c>
      <c r="BS177" s="35" t="str">
        <f aca="true">IF(BR177="","",IF(AD177="",IF(NOW()&gt;BR177,0,""),IF(AD177&lt;=BR177,1,0)))</f>
        <v/>
      </c>
      <c r="BT177" s="35" t="str">
        <f aca="true">IF(OR(BR177="",AD177=""),"",IF(AE177="",IF(NOW()&gt;AD177+DORA_H_INT/24,0,""),IF(AE177&lt;=AD177+DORA_H_INT/24,1,0)))</f>
        <v/>
      </c>
      <c r="BU177" s="35" t="str">
        <f aca="true">IF(OR(BR177="",AE177=""),"",IF(AF177="",IF(NOW()&gt;EDATE(AE177,DORA_M_FIN)+1,0,""),IF(AF177&lt;=EDATE(AE177,DORA_M_FIN),1,0)))</f>
        <v/>
      </c>
      <c r="BV177" s="35" t="str">
        <f aca="false">IF(BR177="","",IF(COUNT(BS177:BU177)=0,"",MIN(BS177:BU177)))</f>
        <v/>
      </c>
      <c r="BW177" s="40" t="str">
        <f aca="false">IF(AQ177&lt;&gt;1,"",IF(AND(AG177="",AH177=""),"",N(AG177)-N(AH177)))</f>
        <v/>
      </c>
      <c r="BX177" s="35" t="str">
        <f aca="true">IF(OR(AQ177&lt;&gt;1,AI177&lt;&gt;"Oui",AJ177=""),"",IF(AK177="",IF(NOW()&gt;AJ177+1,0,""),IF(AK177&lt;=AJ177,1,0)))</f>
        <v/>
      </c>
    </row>
    <row r="178" customFormat="false" ht="15" hidden="false" customHeight="false" outlineLevel="0" collapsed="false">
      <c r="B178" s="29"/>
      <c r="C178" s="29"/>
      <c r="D178" s="29"/>
      <c r="E178" s="29"/>
      <c r="F178" s="29"/>
      <c r="G178" s="29"/>
      <c r="H178" s="29"/>
      <c r="I178" s="29"/>
      <c r="J178" s="29"/>
      <c r="K178" s="29"/>
      <c r="L178" s="29"/>
      <c r="M178" s="29"/>
      <c r="N178" s="30"/>
      <c r="O178" s="30"/>
      <c r="P178" s="30"/>
      <c r="Q178" s="30"/>
      <c r="R178" s="30"/>
      <c r="S178" s="30"/>
      <c r="T178" s="30"/>
      <c r="U178" s="30"/>
      <c r="V178" s="31"/>
      <c r="W178" s="29"/>
      <c r="X178" s="29"/>
      <c r="Y178" s="29"/>
      <c r="Z178" s="29"/>
      <c r="AA178" s="30"/>
      <c r="AB178" s="30"/>
      <c r="AC178" s="30"/>
      <c r="AD178" s="30"/>
      <c r="AE178" s="30"/>
      <c r="AF178" s="32"/>
      <c r="AG178" s="33"/>
      <c r="AH178" s="33"/>
      <c r="AI178" s="29"/>
      <c r="AJ178" s="32"/>
      <c r="AK178" s="32"/>
      <c r="AL178" s="29"/>
      <c r="AN178" s="34" t="str">
        <f aca="false">IF($B178="","",IF(OR(C178="",D178="",E178="",G178="",I178="",J178="",L178="",O178="",P178=""),"Champ obligatoire manquant",IF(OR(AND(N178&lt;&gt;"",N178&gt;O178),O178&gt;P178,AND(Q178&lt;&gt;"",Q178&lt;P178),AND(R178&lt;&gt;"",R178&lt;P178),AND(S178&lt;&gt;"",S178&lt;R178),AND(S178&lt;&gt;"",R178=""),AND(T178&lt;&gt;"",T178&lt;O178),AND(U178&lt;&gt;"",U178&lt;O178)),"Chronologie incohérente",IF(AND(OR(L178="Résolu",L178="Clos"),R178=""),"Date de résolution manquante",IF(AND(L178="Clos",S178=""),"Date de clôture manquante",IF(AND(K178="Oui",AC178=""),"Classification DORA manquante","OK"))))))</f>
        <v/>
      </c>
      <c r="AO178" s="35" t="str">
        <f aca="false">IF($B178="","",IF(AND(C178="Incident",L178&lt;&gt;"Annulé"),1,0))</f>
        <v/>
      </c>
      <c r="AP178" s="35" t="str">
        <f aca="false">IF($B178="","",IF(AND(C178="Quasi-incident",L178&lt;&gt;"Annulé"),1,0))</f>
        <v/>
      </c>
      <c r="AQ178" s="35" t="str">
        <f aca="false">IF($B178="","",AO178+AP178)</f>
        <v/>
      </c>
      <c r="AR178" s="36" t="str">
        <f aca="false">IF(OR($B178="",J178=""),"",IFERROR(VALUE(LEFT(J178,1)),""))</f>
        <v/>
      </c>
      <c r="AS178" s="35" t="str">
        <f aca="false">IF(OR(AO178&lt;&gt;1,G178=""),"",IFERROR(IF(INDEX(L_SrcInterne,MATCH(G178,L_Sources,0))="Oui",1,0),""))</f>
        <v/>
      </c>
      <c r="AT178" s="37" t="str">
        <f aca="false">IF(AO178&lt;&gt;1,"",IFERROR(ROUND(IF(OR(N178="",O178=""),"",IF(O178&lt;N178,"",ROUND(((NETWORKDAYS(N178,O178,JoursFeries)-1)*(HFer-HOuv)+IF(NETWORKDAYS(O178,O178,JoursFeries),MEDIAN(MOD(O178,1),HFer,HOuv),HFer)-IF(NETWORKDAYS(N178,N178,JoursFeries),MEDIAN(MOD(N178,1),HFer,HOuv),HOuv))*24,4)))/HJour,4),""))</f>
        <v/>
      </c>
      <c r="AU178" s="37" t="str">
        <f aca="false">IF(AO178&lt;&gt;1,"",IF(OR(O178="",P178=""),"",IF(P178&lt;O178,"",ROUND(((NETWORKDAYS(O178,P178,JoursFeries)-1)*(HFer-HOuv)+IF(NETWORKDAYS(P178,P178,JoursFeries),MEDIAN(MOD(P178,1),HFer,HOuv),HFer)-IF(NETWORKDAYS(O178,O178,JoursFeries),MEDIAN(MOD(O178,1),HFer,HOuv),HOuv))*24,4))))</f>
        <v/>
      </c>
      <c r="AV178" s="37" t="str">
        <f aca="false">IF(AO178&lt;&gt;1,"",IF(OR(P178="",Q178=""),"",IF(Q178&lt;P178,"",ROUND(((NETWORKDAYS(P178,Q178,JoursFeries)-1)*(HFer-HOuv)+IF(NETWORKDAYS(Q178,Q178,JoursFeries),MEDIAN(MOD(Q178,1),HFer,HOuv),HFer)-IF(NETWORKDAYS(P178,P178,JoursFeries),MEDIAN(MOD(P178,1),HFer,HOuv),HOuv))*24,4))))</f>
        <v/>
      </c>
      <c r="AW178" s="37" t="str">
        <f aca="false">IF(AO178&lt;&gt;1,"",IFERROR(ROUND(IF(OR(P178="",R178=""),"",IF(R178&lt;P178,"",ROUND(((NETWORKDAYS(P178,R178,JoursFeries)-1)*(HFer-HOuv)+IF(NETWORKDAYS(R178,R178,JoursFeries),MEDIAN(MOD(R178,1),HFer,HOuv),HFer)-IF(NETWORKDAYS(P178,P178,JoursFeries),MEDIAN(MOD(P178,1),HFer,HOuv),HOuv))*24,4)))/HJour,4),""))</f>
        <v/>
      </c>
      <c r="AX178" s="37" t="str">
        <f aca="false">IF(AO178&lt;&gt;1,"",IFERROR(ROUND(IF(OR(P178="",S178=""),"",IF(S178&lt;P178,"",ROUND(((NETWORKDAYS(P178,S178,JoursFeries)-1)*(HFer-HOuv)+IF(NETWORKDAYS(S178,S178,JoursFeries),MEDIAN(MOD(S178,1),HFer,HOuv),HFer)-IF(NETWORKDAYS(P178,P178,JoursFeries),MEDIAN(MOD(P178,1),HFer,HOuv),HOuv))*24,4)))/HJour,4),""))</f>
        <v/>
      </c>
      <c r="AY178" s="36" t="str">
        <f aca="false">IF(OR(AO178&lt;&gt;1,AR178=""),"",INDEX(SLA_PEC,AR178))</f>
        <v/>
      </c>
      <c r="AZ178" s="35" t="str">
        <f aca="false">IF(OR(AV178="",AY178=""),"",IF(AV178&lt;=AY178,1,0))</f>
        <v/>
      </c>
      <c r="BA178" s="36" t="str">
        <f aca="false">IF(OR(AO178&lt;&gt;1,AR178=""),"",INDEX(SLA_RES,AR178))</f>
        <v/>
      </c>
      <c r="BB178" s="35" t="str">
        <f aca="false">IF(OR(AW178="",BA178=""),"",IF(AW178&lt;=BA178,1,0))</f>
        <v/>
      </c>
      <c r="BC178" s="38" t="str">
        <f aca="false">IF(OR(BA178="",P178=""),"",WORKDAY(INT(P178),BA178,JoursFeries)+MOD(P178,1))</f>
        <v/>
      </c>
      <c r="BD178" s="39" t="str">
        <f aca="false">IF(AO178&lt;&gt;1,"",IF(OR(AB178&lt;&gt;"",AD178&lt;&gt;""),4,IF(U178&lt;&gt;"",3,IF(T178&lt;&gt;"",2,1))))</f>
        <v/>
      </c>
      <c r="BE178" s="39" t="str">
        <f aca="false">IF(OR(AO178&lt;&gt;1,AR178=""),"",INDEX(NIV_REQ,AR178))</f>
        <v/>
      </c>
      <c r="BF178" s="39" t="str">
        <f aca="false">IF(BE178="","",MAX(BE178,IF(OR(K178="Oui",Z178="Oui"),4,1)))</f>
        <v/>
      </c>
      <c r="BG178" s="35" t="str">
        <f aca="false">IF(OR(BF178="",BD178=""),"",IF(BD178&gt;=BF178,1,0))</f>
        <v/>
      </c>
      <c r="BH178" s="38" t="str">
        <f aca="false">IF(BE178="","",IF(BE178&lt;2,"",IF(BE178=2,IF(AND(T178="",U178=""),"",MIN(T178,U178)),IF(U178="","",U178))))</f>
        <v/>
      </c>
      <c r="BI178" s="37" t="str">
        <f aca="false">IF(BH178="","",IF(OR(O178="",BH178=""),"",IF(BH178&lt;O178,"",ROUND(((NETWORKDAYS(O178,BH178,JoursFeries)-1)*(HFer-HOuv)+IF(NETWORKDAYS(BH178,BH178,JoursFeries),MEDIAN(MOD(BH178,1),HFer,HOuv),HFer)-IF(NETWORKDAYS(O178,O178,JoursFeries),MEDIAN(MOD(O178,1),HFer,HOuv),HOuv))*24,4))))</f>
        <v/>
      </c>
      <c r="BJ178" s="35" t="str">
        <f aca="false">IF(OR(BI178="",AR178=""),"",IF(BI178&lt;=INDEX(DELAI_ESC,AR178),1,0))</f>
        <v/>
      </c>
      <c r="BK178" s="38" t="str">
        <f aca="false">IF(AO178&lt;&gt;1,"",IF(AND(T178="",U178=""),"",MIN(T178,U178)))</f>
        <v/>
      </c>
      <c r="BL178" s="37" t="str">
        <f aca="false">IF(OR(BK178="",R178=""),"",IFERROR(ROUND(IF(OR(BK178="",R178=""),"",IF(R178&lt;BK178,"",ROUND(((NETWORKDAYS(BK178,R178,JoursFeries)-1)*(HFer-HOuv)+IF(NETWORKDAYS(R178,R178,JoursFeries),MEDIAN(MOD(R178,1),HFer,HOuv),HFer)-IF(NETWORKDAYS(BK178,BK178,JoursFeries),MEDIAN(MOD(BK178,1),HFer,HOuv),HOuv))*24,4)))/HJour,4),""))</f>
        <v/>
      </c>
      <c r="BM178" s="35" t="str">
        <f aca="false">IF(OR(AO178&lt;&gt;1,R178=""),"",IF(BD178=1,1,0))</f>
        <v/>
      </c>
      <c r="BN178" s="35" t="str">
        <f aca="false">IF(AO178&lt;&gt;1,"",IF(W178="Oui",1,0))</f>
        <v/>
      </c>
      <c r="BO178" s="35" t="str">
        <f aca="false">IF(AO178&lt;&gt;1,"",IF(X178&lt;&gt;"",1,0))</f>
        <v/>
      </c>
      <c r="BP178" s="35" t="str">
        <f aca="false">IF(AO178&lt;&gt;1,"",IF(Y178="Oui",1,0))</f>
        <v/>
      </c>
      <c r="BQ178" s="35" t="str">
        <f aca="true">IF(OR(AO178&lt;&gt;1,Z178&lt;&gt;"Oui"),"",IF(AB178="",IF(AND(AA178&lt;&gt;"",NOW()&gt;AA178),0,""),IF(AA178="","",IF(AB178&lt;=AA178,1,0))))</f>
        <v/>
      </c>
      <c r="BR178" s="38" t="str">
        <f aca="false">IF(OR(AO178&lt;&gt;1,K178&lt;&gt;"Oui",O178=""),"",IF(AC178="",O178+DORA_H_DET/24,IF(AC178-O178&lt;=DORA_H_DET/24,MIN(AC178+DORA_H_CLA/24,O178+DORA_H_DET/24),AC178+DORA_H_CLA/24)))</f>
        <v/>
      </c>
      <c r="BS178" s="35" t="str">
        <f aca="true">IF(BR178="","",IF(AD178="",IF(NOW()&gt;BR178,0,""),IF(AD178&lt;=BR178,1,0)))</f>
        <v/>
      </c>
      <c r="BT178" s="35" t="str">
        <f aca="true">IF(OR(BR178="",AD178=""),"",IF(AE178="",IF(NOW()&gt;AD178+DORA_H_INT/24,0,""),IF(AE178&lt;=AD178+DORA_H_INT/24,1,0)))</f>
        <v/>
      </c>
      <c r="BU178" s="35" t="str">
        <f aca="true">IF(OR(BR178="",AE178=""),"",IF(AF178="",IF(NOW()&gt;EDATE(AE178,DORA_M_FIN)+1,0,""),IF(AF178&lt;=EDATE(AE178,DORA_M_FIN),1,0)))</f>
        <v/>
      </c>
      <c r="BV178" s="35" t="str">
        <f aca="false">IF(BR178="","",IF(COUNT(BS178:BU178)=0,"",MIN(BS178:BU178)))</f>
        <v/>
      </c>
      <c r="BW178" s="40" t="str">
        <f aca="false">IF(AQ178&lt;&gt;1,"",IF(AND(AG178="",AH178=""),"",N(AG178)-N(AH178)))</f>
        <v/>
      </c>
      <c r="BX178" s="35" t="str">
        <f aca="true">IF(OR(AQ178&lt;&gt;1,AI178&lt;&gt;"Oui",AJ178=""),"",IF(AK178="",IF(NOW()&gt;AJ178+1,0,""),IF(AK178&lt;=AJ178,1,0)))</f>
        <v/>
      </c>
    </row>
    <row r="179" customFormat="false" ht="15" hidden="false" customHeight="false" outlineLevel="0" collapsed="false">
      <c r="B179" s="29"/>
      <c r="C179" s="29"/>
      <c r="D179" s="29"/>
      <c r="E179" s="29"/>
      <c r="F179" s="29"/>
      <c r="G179" s="29"/>
      <c r="H179" s="29"/>
      <c r="I179" s="29"/>
      <c r="J179" s="29"/>
      <c r="K179" s="29"/>
      <c r="L179" s="29"/>
      <c r="M179" s="29"/>
      <c r="N179" s="30"/>
      <c r="O179" s="30"/>
      <c r="P179" s="30"/>
      <c r="Q179" s="30"/>
      <c r="R179" s="30"/>
      <c r="S179" s="30"/>
      <c r="T179" s="30"/>
      <c r="U179" s="30"/>
      <c r="V179" s="31"/>
      <c r="W179" s="29"/>
      <c r="X179" s="29"/>
      <c r="Y179" s="29"/>
      <c r="Z179" s="29"/>
      <c r="AA179" s="30"/>
      <c r="AB179" s="30"/>
      <c r="AC179" s="30"/>
      <c r="AD179" s="30"/>
      <c r="AE179" s="30"/>
      <c r="AF179" s="32"/>
      <c r="AG179" s="33"/>
      <c r="AH179" s="33"/>
      <c r="AI179" s="29"/>
      <c r="AJ179" s="32"/>
      <c r="AK179" s="32"/>
      <c r="AL179" s="29"/>
      <c r="AN179" s="34" t="str">
        <f aca="false">IF($B179="","",IF(OR(C179="",D179="",E179="",G179="",I179="",J179="",L179="",O179="",P179=""),"Champ obligatoire manquant",IF(OR(AND(N179&lt;&gt;"",N179&gt;O179),O179&gt;P179,AND(Q179&lt;&gt;"",Q179&lt;P179),AND(R179&lt;&gt;"",R179&lt;P179),AND(S179&lt;&gt;"",S179&lt;R179),AND(S179&lt;&gt;"",R179=""),AND(T179&lt;&gt;"",T179&lt;O179),AND(U179&lt;&gt;"",U179&lt;O179)),"Chronologie incohérente",IF(AND(OR(L179="Résolu",L179="Clos"),R179=""),"Date de résolution manquante",IF(AND(L179="Clos",S179=""),"Date de clôture manquante",IF(AND(K179="Oui",AC179=""),"Classification DORA manquante","OK"))))))</f>
        <v/>
      </c>
      <c r="AO179" s="35" t="str">
        <f aca="false">IF($B179="","",IF(AND(C179="Incident",L179&lt;&gt;"Annulé"),1,0))</f>
        <v/>
      </c>
      <c r="AP179" s="35" t="str">
        <f aca="false">IF($B179="","",IF(AND(C179="Quasi-incident",L179&lt;&gt;"Annulé"),1,0))</f>
        <v/>
      </c>
      <c r="AQ179" s="35" t="str">
        <f aca="false">IF($B179="","",AO179+AP179)</f>
        <v/>
      </c>
      <c r="AR179" s="36" t="str">
        <f aca="false">IF(OR($B179="",J179=""),"",IFERROR(VALUE(LEFT(J179,1)),""))</f>
        <v/>
      </c>
      <c r="AS179" s="35" t="str">
        <f aca="false">IF(OR(AO179&lt;&gt;1,G179=""),"",IFERROR(IF(INDEX(L_SrcInterne,MATCH(G179,L_Sources,0))="Oui",1,0),""))</f>
        <v/>
      </c>
      <c r="AT179" s="37" t="str">
        <f aca="false">IF(AO179&lt;&gt;1,"",IFERROR(ROUND(IF(OR(N179="",O179=""),"",IF(O179&lt;N179,"",ROUND(((NETWORKDAYS(N179,O179,JoursFeries)-1)*(HFer-HOuv)+IF(NETWORKDAYS(O179,O179,JoursFeries),MEDIAN(MOD(O179,1),HFer,HOuv),HFer)-IF(NETWORKDAYS(N179,N179,JoursFeries),MEDIAN(MOD(N179,1),HFer,HOuv),HOuv))*24,4)))/HJour,4),""))</f>
        <v/>
      </c>
      <c r="AU179" s="37" t="str">
        <f aca="false">IF(AO179&lt;&gt;1,"",IF(OR(O179="",P179=""),"",IF(P179&lt;O179,"",ROUND(((NETWORKDAYS(O179,P179,JoursFeries)-1)*(HFer-HOuv)+IF(NETWORKDAYS(P179,P179,JoursFeries),MEDIAN(MOD(P179,1),HFer,HOuv),HFer)-IF(NETWORKDAYS(O179,O179,JoursFeries),MEDIAN(MOD(O179,1),HFer,HOuv),HOuv))*24,4))))</f>
        <v/>
      </c>
      <c r="AV179" s="37" t="str">
        <f aca="false">IF(AO179&lt;&gt;1,"",IF(OR(P179="",Q179=""),"",IF(Q179&lt;P179,"",ROUND(((NETWORKDAYS(P179,Q179,JoursFeries)-1)*(HFer-HOuv)+IF(NETWORKDAYS(Q179,Q179,JoursFeries),MEDIAN(MOD(Q179,1),HFer,HOuv),HFer)-IF(NETWORKDAYS(P179,P179,JoursFeries),MEDIAN(MOD(P179,1),HFer,HOuv),HOuv))*24,4))))</f>
        <v/>
      </c>
      <c r="AW179" s="37" t="str">
        <f aca="false">IF(AO179&lt;&gt;1,"",IFERROR(ROUND(IF(OR(P179="",R179=""),"",IF(R179&lt;P179,"",ROUND(((NETWORKDAYS(P179,R179,JoursFeries)-1)*(HFer-HOuv)+IF(NETWORKDAYS(R179,R179,JoursFeries),MEDIAN(MOD(R179,1),HFer,HOuv),HFer)-IF(NETWORKDAYS(P179,P179,JoursFeries),MEDIAN(MOD(P179,1),HFer,HOuv),HOuv))*24,4)))/HJour,4),""))</f>
        <v/>
      </c>
      <c r="AX179" s="37" t="str">
        <f aca="false">IF(AO179&lt;&gt;1,"",IFERROR(ROUND(IF(OR(P179="",S179=""),"",IF(S179&lt;P179,"",ROUND(((NETWORKDAYS(P179,S179,JoursFeries)-1)*(HFer-HOuv)+IF(NETWORKDAYS(S179,S179,JoursFeries),MEDIAN(MOD(S179,1),HFer,HOuv),HFer)-IF(NETWORKDAYS(P179,P179,JoursFeries),MEDIAN(MOD(P179,1),HFer,HOuv),HOuv))*24,4)))/HJour,4),""))</f>
        <v/>
      </c>
      <c r="AY179" s="36" t="str">
        <f aca="false">IF(OR(AO179&lt;&gt;1,AR179=""),"",INDEX(SLA_PEC,AR179))</f>
        <v/>
      </c>
      <c r="AZ179" s="35" t="str">
        <f aca="false">IF(OR(AV179="",AY179=""),"",IF(AV179&lt;=AY179,1,0))</f>
        <v/>
      </c>
      <c r="BA179" s="36" t="str">
        <f aca="false">IF(OR(AO179&lt;&gt;1,AR179=""),"",INDEX(SLA_RES,AR179))</f>
        <v/>
      </c>
      <c r="BB179" s="35" t="str">
        <f aca="false">IF(OR(AW179="",BA179=""),"",IF(AW179&lt;=BA179,1,0))</f>
        <v/>
      </c>
      <c r="BC179" s="38" t="str">
        <f aca="false">IF(OR(BA179="",P179=""),"",WORKDAY(INT(P179),BA179,JoursFeries)+MOD(P179,1))</f>
        <v/>
      </c>
      <c r="BD179" s="39" t="str">
        <f aca="false">IF(AO179&lt;&gt;1,"",IF(OR(AB179&lt;&gt;"",AD179&lt;&gt;""),4,IF(U179&lt;&gt;"",3,IF(T179&lt;&gt;"",2,1))))</f>
        <v/>
      </c>
      <c r="BE179" s="39" t="str">
        <f aca="false">IF(OR(AO179&lt;&gt;1,AR179=""),"",INDEX(NIV_REQ,AR179))</f>
        <v/>
      </c>
      <c r="BF179" s="39" t="str">
        <f aca="false">IF(BE179="","",MAX(BE179,IF(OR(K179="Oui",Z179="Oui"),4,1)))</f>
        <v/>
      </c>
      <c r="BG179" s="35" t="str">
        <f aca="false">IF(OR(BF179="",BD179=""),"",IF(BD179&gt;=BF179,1,0))</f>
        <v/>
      </c>
      <c r="BH179" s="38" t="str">
        <f aca="false">IF(BE179="","",IF(BE179&lt;2,"",IF(BE179=2,IF(AND(T179="",U179=""),"",MIN(T179,U179)),IF(U179="","",U179))))</f>
        <v/>
      </c>
      <c r="BI179" s="37" t="str">
        <f aca="false">IF(BH179="","",IF(OR(O179="",BH179=""),"",IF(BH179&lt;O179,"",ROUND(((NETWORKDAYS(O179,BH179,JoursFeries)-1)*(HFer-HOuv)+IF(NETWORKDAYS(BH179,BH179,JoursFeries),MEDIAN(MOD(BH179,1),HFer,HOuv),HFer)-IF(NETWORKDAYS(O179,O179,JoursFeries),MEDIAN(MOD(O179,1),HFer,HOuv),HOuv))*24,4))))</f>
        <v/>
      </c>
      <c r="BJ179" s="35" t="str">
        <f aca="false">IF(OR(BI179="",AR179=""),"",IF(BI179&lt;=INDEX(DELAI_ESC,AR179),1,0))</f>
        <v/>
      </c>
      <c r="BK179" s="38" t="str">
        <f aca="false">IF(AO179&lt;&gt;1,"",IF(AND(T179="",U179=""),"",MIN(T179,U179)))</f>
        <v/>
      </c>
      <c r="BL179" s="37" t="str">
        <f aca="false">IF(OR(BK179="",R179=""),"",IFERROR(ROUND(IF(OR(BK179="",R179=""),"",IF(R179&lt;BK179,"",ROUND(((NETWORKDAYS(BK179,R179,JoursFeries)-1)*(HFer-HOuv)+IF(NETWORKDAYS(R179,R179,JoursFeries),MEDIAN(MOD(R179,1),HFer,HOuv),HFer)-IF(NETWORKDAYS(BK179,BK179,JoursFeries),MEDIAN(MOD(BK179,1),HFer,HOuv),HOuv))*24,4)))/HJour,4),""))</f>
        <v/>
      </c>
      <c r="BM179" s="35" t="str">
        <f aca="false">IF(OR(AO179&lt;&gt;1,R179=""),"",IF(BD179=1,1,0))</f>
        <v/>
      </c>
      <c r="BN179" s="35" t="str">
        <f aca="false">IF(AO179&lt;&gt;1,"",IF(W179="Oui",1,0))</f>
        <v/>
      </c>
      <c r="BO179" s="35" t="str">
        <f aca="false">IF(AO179&lt;&gt;1,"",IF(X179&lt;&gt;"",1,0))</f>
        <v/>
      </c>
      <c r="BP179" s="35" t="str">
        <f aca="false">IF(AO179&lt;&gt;1,"",IF(Y179="Oui",1,0))</f>
        <v/>
      </c>
      <c r="BQ179" s="35" t="str">
        <f aca="true">IF(OR(AO179&lt;&gt;1,Z179&lt;&gt;"Oui"),"",IF(AB179="",IF(AND(AA179&lt;&gt;"",NOW()&gt;AA179),0,""),IF(AA179="","",IF(AB179&lt;=AA179,1,0))))</f>
        <v/>
      </c>
      <c r="BR179" s="38" t="str">
        <f aca="false">IF(OR(AO179&lt;&gt;1,K179&lt;&gt;"Oui",O179=""),"",IF(AC179="",O179+DORA_H_DET/24,IF(AC179-O179&lt;=DORA_H_DET/24,MIN(AC179+DORA_H_CLA/24,O179+DORA_H_DET/24),AC179+DORA_H_CLA/24)))</f>
        <v/>
      </c>
      <c r="BS179" s="35" t="str">
        <f aca="true">IF(BR179="","",IF(AD179="",IF(NOW()&gt;BR179,0,""),IF(AD179&lt;=BR179,1,0)))</f>
        <v/>
      </c>
      <c r="BT179" s="35" t="str">
        <f aca="true">IF(OR(BR179="",AD179=""),"",IF(AE179="",IF(NOW()&gt;AD179+DORA_H_INT/24,0,""),IF(AE179&lt;=AD179+DORA_H_INT/24,1,0)))</f>
        <v/>
      </c>
      <c r="BU179" s="35" t="str">
        <f aca="true">IF(OR(BR179="",AE179=""),"",IF(AF179="",IF(NOW()&gt;EDATE(AE179,DORA_M_FIN)+1,0,""),IF(AF179&lt;=EDATE(AE179,DORA_M_FIN),1,0)))</f>
        <v/>
      </c>
      <c r="BV179" s="35" t="str">
        <f aca="false">IF(BR179="","",IF(COUNT(BS179:BU179)=0,"",MIN(BS179:BU179)))</f>
        <v/>
      </c>
      <c r="BW179" s="40" t="str">
        <f aca="false">IF(AQ179&lt;&gt;1,"",IF(AND(AG179="",AH179=""),"",N(AG179)-N(AH179)))</f>
        <v/>
      </c>
      <c r="BX179" s="35" t="str">
        <f aca="true">IF(OR(AQ179&lt;&gt;1,AI179&lt;&gt;"Oui",AJ179=""),"",IF(AK179="",IF(NOW()&gt;AJ179+1,0,""),IF(AK179&lt;=AJ179,1,0)))</f>
        <v/>
      </c>
    </row>
    <row r="180" customFormat="false" ht="15" hidden="false" customHeight="false" outlineLevel="0" collapsed="false">
      <c r="B180" s="29"/>
      <c r="C180" s="29"/>
      <c r="D180" s="29"/>
      <c r="E180" s="29"/>
      <c r="F180" s="29"/>
      <c r="G180" s="29"/>
      <c r="H180" s="29"/>
      <c r="I180" s="29"/>
      <c r="J180" s="29"/>
      <c r="K180" s="29"/>
      <c r="L180" s="29"/>
      <c r="M180" s="29"/>
      <c r="N180" s="30"/>
      <c r="O180" s="30"/>
      <c r="P180" s="30"/>
      <c r="Q180" s="30"/>
      <c r="R180" s="30"/>
      <c r="S180" s="30"/>
      <c r="T180" s="30"/>
      <c r="U180" s="30"/>
      <c r="V180" s="31"/>
      <c r="W180" s="29"/>
      <c r="X180" s="29"/>
      <c r="Y180" s="29"/>
      <c r="Z180" s="29"/>
      <c r="AA180" s="30"/>
      <c r="AB180" s="30"/>
      <c r="AC180" s="30"/>
      <c r="AD180" s="30"/>
      <c r="AE180" s="30"/>
      <c r="AF180" s="32"/>
      <c r="AG180" s="33"/>
      <c r="AH180" s="33"/>
      <c r="AI180" s="29"/>
      <c r="AJ180" s="32"/>
      <c r="AK180" s="32"/>
      <c r="AL180" s="29"/>
      <c r="AN180" s="34" t="str">
        <f aca="false">IF($B180="","",IF(OR(C180="",D180="",E180="",G180="",I180="",J180="",L180="",O180="",P180=""),"Champ obligatoire manquant",IF(OR(AND(N180&lt;&gt;"",N180&gt;O180),O180&gt;P180,AND(Q180&lt;&gt;"",Q180&lt;P180),AND(R180&lt;&gt;"",R180&lt;P180),AND(S180&lt;&gt;"",S180&lt;R180),AND(S180&lt;&gt;"",R180=""),AND(T180&lt;&gt;"",T180&lt;O180),AND(U180&lt;&gt;"",U180&lt;O180)),"Chronologie incohérente",IF(AND(OR(L180="Résolu",L180="Clos"),R180=""),"Date de résolution manquante",IF(AND(L180="Clos",S180=""),"Date de clôture manquante",IF(AND(K180="Oui",AC180=""),"Classification DORA manquante","OK"))))))</f>
        <v/>
      </c>
      <c r="AO180" s="35" t="str">
        <f aca="false">IF($B180="","",IF(AND(C180="Incident",L180&lt;&gt;"Annulé"),1,0))</f>
        <v/>
      </c>
      <c r="AP180" s="35" t="str">
        <f aca="false">IF($B180="","",IF(AND(C180="Quasi-incident",L180&lt;&gt;"Annulé"),1,0))</f>
        <v/>
      </c>
      <c r="AQ180" s="35" t="str">
        <f aca="false">IF($B180="","",AO180+AP180)</f>
        <v/>
      </c>
      <c r="AR180" s="36" t="str">
        <f aca="false">IF(OR($B180="",J180=""),"",IFERROR(VALUE(LEFT(J180,1)),""))</f>
        <v/>
      </c>
      <c r="AS180" s="35" t="str">
        <f aca="false">IF(OR(AO180&lt;&gt;1,G180=""),"",IFERROR(IF(INDEX(L_SrcInterne,MATCH(G180,L_Sources,0))="Oui",1,0),""))</f>
        <v/>
      </c>
      <c r="AT180" s="37" t="str">
        <f aca="false">IF(AO180&lt;&gt;1,"",IFERROR(ROUND(IF(OR(N180="",O180=""),"",IF(O180&lt;N180,"",ROUND(((NETWORKDAYS(N180,O180,JoursFeries)-1)*(HFer-HOuv)+IF(NETWORKDAYS(O180,O180,JoursFeries),MEDIAN(MOD(O180,1),HFer,HOuv),HFer)-IF(NETWORKDAYS(N180,N180,JoursFeries),MEDIAN(MOD(N180,1),HFer,HOuv),HOuv))*24,4)))/HJour,4),""))</f>
        <v/>
      </c>
      <c r="AU180" s="37" t="str">
        <f aca="false">IF(AO180&lt;&gt;1,"",IF(OR(O180="",P180=""),"",IF(P180&lt;O180,"",ROUND(((NETWORKDAYS(O180,P180,JoursFeries)-1)*(HFer-HOuv)+IF(NETWORKDAYS(P180,P180,JoursFeries),MEDIAN(MOD(P180,1),HFer,HOuv),HFer)-IF(NETWORKDAYS(O180,O180,JoursFeries),MEDIAN(MOD(O180,1),HFer,HOuv),HOuv))*24,4))))</f>
        <v/>
      </c>
      <c r="AV180" s="37" t="str">
        <f aca="false">IF(AO180&lt;&gt;1,"",IF(OR(P180="",Q180=""),"",IF(Q180&lt;P180,"",ROUND(((NETWORKDAYS(P180,Q180,JoursFeries)-1)*(HFer-HOuv)+IF(NETWORKDAYS(Q180,Q180,JoursFeries),MEDIAN(MOD(Q180,1),HFer,HOuv),HFer)-IF(NETWORKDAYS(P180,P180,JoursFeries),MEDIAN(MOD(P180,1),HFer,HOuv),HOuv))*24,4))))</f>
        <v/>
      </c>
      <c r="AW180" s="37" t="str">
        <f aca="false">IF(AO180&lt;&gt;1,"",IFERROR(ROUND(IF(OR(P180="",R180=""),"",IF(R180&lt;P180,"",ROUND(((NETWORKDAYS(P180,R180,JoursFeries)-1)*(HFer-HOuv)+IF(NETWORKDAYS(R180,R180,JoursFeries),MEDIAN(MOD(R180,1),HFer,HOuv),HFer)-IF(NETWORKDAYS(P180,P180,JoursFeries),MEDIAN(MOD(P180,1),HFer,HOuv),HOuv))*24,4)))/HJour,4),""))</f>
        <v/>
      </c>
      <c r="AX180" s="37" t="str">
        <f aca="false">IF(AO180&lt;&gt;1,"",IFERROR(ROUND(IF(OR(P180="",S180=""),"",IF(S180&lt;P180,"",ROUND(((NETWORKDAYS(P180,S180,JoursFeries)-1)*(HFer-HOuv)+IF(NETWORKDAYS(S180,S180,JoursFeries),MEDIAN(MOD(S180,1),HFer,HOuv),HFer)-IF(NETWORKDAYS(P180,P180,JoursFeries),MEDIAN(MOD(P180,1),HFer,HOuv),HOuv))*24,4)))/HJour,4),""))</f>
        <v/>
      </c>
      <c r="AY180" s="36" t="str">
        <f aca="false">IF(OR(AO180&lt;&gt;1,AR180=""),"",INDEX(SLA_PEC,AR180))</f>
        <v/>
      </c>
      <c r="AZ180" s="35" t="str">
        <f aca="false">IF(OR(AV180="",AY180=""),"",IF(AV180&lt;=AY180,1,0))</f>
        <v/>
      </c>
      <c r="BA180" s="36" t="str">
        <f aca="false">IF(OR(AO180&lt;&gt;1,AR180=""),"",INDEX(SLA_RES,AR180))</f>
        <v/>
      </c>
      <c r="BB180" s="35" t="str">
        <f aca="false">IF(OR(AW180="",BA180=""),"",IF(AW180&lt;=BA180,1,0))</f>
        <v/>
      </c>
      <c r="BC180" s="38" t="str">
        <f aca="false">IF(OR(BA180="",P180=""),"",WORKDAY(INT(P180),BA180,JoursFeries)+MOD(P180,1))</f>
        <v/>
      </c>
      <c r="BD180" s="39" t="str">
        <f aca="false">IF(AO180&lt;&gt;1,"",IF(OR(AB180&lt;&gt;"",AD180&lt;&gt;""),4,IF(U180&lt;&gt;"",3,IF(T180&lt;&gt;"",2,1))))</f>
        <v/>
      </c>
      <c r="BE180" s="39" t="str">
        <f aca="false">IF(OR(AO180&lt;&gt;1,AR180=""),"",INDEX(NIV_REQ,AR180))</f>
        <v/>
      </c>
      <c r="BF180" s="39" t="str">
        <f aca="false">IF(BE180="","",MAX(BE180,IF(OR(K180="Oui",Z180="Oui"),4,1)))</f>
        <v/>
      </c>
      <c r="BG180" s="35" t="str">
        <f aca="false">IF(OR(BF180="",BD180=""),"",IF(BD180&gt;=BF180,1,0))</f>
        <v/>
      </c>
      <c r="BH180" s="38" t="str">
        <f aca="false">IF(BE180="","",IF(BE180&lt;2,"",IF(BE180=2,IF(AND(T180="",U180=""),"",MIN(T180,U180)),IF(U180="","",U180))))</f>
        <v/>
      </c>
      <c r="BI180" s="37" t="str">
        <f aca="false">IF(BH180="","",IF(OR(O180="",BH180=""),"",IF(BH180&lt;O180,"",ROUND(((NETWORKDAYS(O180,BH180,JoursFeries)-1)*(HFer-HOuv)+IF(NETWORKDAYS(BH180,BH180,JoursFeries),MEDIAN(MOD(BH180,1),HFer,HOuv),HFer)-IF(NETWORKDAYS(O180,O180,JoursFeries),MEDIAN(MOD(O180,1),HFer,HOuv),HOuv))*24,4))))</f>
        <v/>
      </c>
      <c r="BJ180" s="35" t="str">
        <f aca="false">IF(OR(BI180="",AR180=""),"",IF(BI180&lt;=INDEX(DELAI_ESC,AR180),1,0))</f>
        <v/>
      </c>
      <c r="BK180" s="38" t="str">
        <f aca="false">IF(AO180&lt;&gt;1,"",IF(AND(T180="",U180=""),"",MIN(T180,U180)))</f>
        <v/>
      </c>
      <c r="BL180" s="37" t="str">
        <f aca="false">IF(OR(BK180="",R180=""),"",IFERROR(ROUND(IF(OR(BK180="",R180=""),"",IF(R180&lt;BK180,"",ROUND(((NETWORKDAYS(BK180,R180,JoursFeries)-1)*(HFer-HOuv)+IF(NETWORKDAYS(R180,R180,JoursFeries),MEDIAN(MOD(R180,1),HFer,HOuv),HFer)-IF(NETWORKDAYS(BK180,BK180,JoursFeries),MEDIAN(MOD(BK180,1),HFer,HOuv),HOuv))*24,4)))/HJour,4),""))</f>
        <v/>
      </c>
      <c r="BM180" s="35" t="str">
        <f aca="false">IF(OR(AO180&lt;&gt;1,R180=""),"",IF(BD180=1,1,0))</f>
        <v/>
      </c>
      <c r="BN180" s="35" t="str">
        <f aca="false">IF(AO180&lt;&gt;1,"",IF(W180="Oui",1,0))</f>
        <v/>
      </c>
      <c r="BO180" s="35" t="str">
        <f aca="false">IF(AO180&lt;&gt;1,"",IF(X180&lt;&gt;"",1,0))</f>
        <v/>
      </c>
      <c r="BP180" s="35" t="str">
        <f aca="false">IF(AO180&lt;&gt;1,"",IF(Y180="Oui",1,0))</f>
        <v/>
      </c>
      <c r="BQ180" s="35" t="str">
        <f aca="true">IF(OR(AO180&lt;&gt;1,Z180&lt;&gt;"Oui"),"",IF(AB180="",IF(AND(AA180&lt;&gt;"",NOW()&gt;AA180),0,""),IF(AA180="","",IF(AB180&lt;=AA180,1,0))))</f>
        <v/>
      </c>
      <c r="BR180" s="38" t="str">
        <f aca="false">IF(OR(AO180&lt;&gt;1,K180&lt;&gt;"Oui",O180=""),"",IF(AC180="",O180+DORA_H_DET/24,IF(AC180-O180&lt;=DORA_H_DET/24,MIN(AC180+DORA_H_CLA/24,O180+DORA_H_DET/24),AC180+DORA_H_CLA/24)))</f>
        <v/>
      </c>
      <c r="BS180" s="35" t="str">
        <f aca="true">IF(BR180="","",IF(AD180="",IF(NOW()&gt;BR180,0,""),IF(AD180&lt;=BR180,1,0)))</f>
        <v/>
      </c>
      <c r="BT180" s="35" t="str">
        <f aca="true">IF(OR(BR180="",AD180=""),"",IF(AE180="",IF(NOW()&gt;AD180+DORA_H_INT/24,0,""),IF(AE180&lt;=AD180+DORA_H_INT/24,1,0)))</f>
        <v/>
      </c>
      <c r="BU180" s="35" t="str">
        <f aca="true">IF(OR(BR180="",AE180=""),"",IF(AF180="",IF(NOW()&gt;EDATE(AE180,DORA_M_FIN)+1,0,""),IF(AF180&lt;=EDATE(AE180,DORA_M_FIN),1,0)))</f>
        <v/>
      </c>
      <c r="BV180" s="35" t="str">
        <f aca="false">IF(BR180="","",IF(COUNT(BS180:BU180)=0,"",MIN(BS180:BU180)))</f>
        <v/>
      </c>
      <c r="BW180" s="40" t="str">
        <f aca="false">IF(AQ180&lt;&gt;1,"",IF(AND(AG180="",AH180=""),"",N(AG180)-N(AH180)))</f>
        <v/>
      </c>
      <c r="BX180" s="35" t="str">
        <f aca="true">IF(OR(AQ180&lt;&gt;1,AI180&lt;&gt;"Oui",AJ180=""),"",IF(AK180="",IF(NOW()&gt;AJ180+1,0,""),IF(AK180&lt;=AJ180,1,0)))</f>
        <v/>
      </c>
    </row>
    <row r="181" customFormat="false" ht="15" hidden="false" customHeight="false" outlineLevel="0" collapsed="false">
      <c r="B181" s="29"/>
      <c r="C181" s="29"/>
      <c r="D181" s="29"/>
      <c r="E181" s="29"/>
      <c r="F181" s="29"/>
      <c r="G181" s="29"/>
      <c r="H181" s="29"/>
      <c r="I181" s="29"/>
      <c r="J181" s="29"/>
      <c r="K181" s="29"/>
      <c r="L181" s="29"/>
      <c r="M181" s="29"/>
      <c r="N181" s="30"/>
      <c r="O181" s="30"/>
      <c r="P181" s="30"/>
      <c r="Q181" s="30"/>
      <c r="R181" s="30"/>
      <c r="S181" s="30"/>
      <c r="T181" s="30"/>
      <c r="U181" s="30"/>
      <c r="V181" s="31"/>
      <c r="W181" s="29"/>
      <c r="X181" s="29"/>
      <c r="Y181" s="29"/>
      <c r="Z181" s="29"/>
      <c r="AA181" s="30"/>
      <c r="AB181" s="30"/>
      <c r="AC181" s="30"/>
      <c r="AD181" s="30"/>
      <c r="AE181" s="30"/>
      <c r="AF181" s="32"/>
      <c r="AG181" s="33"/>
      <c r="AH181" s="33"/>
      <c r="AI181" s="29"/>
      <c r="AJ181" s="32"/>
      <c r="AK181" s="32"/>
      <c r="AL181" s="29"/>
      <c r="AN181" s="34" t="str">
        <f aca="false">IF($B181="","",IF(OR(C181="",D181="",E181="",G181="",I181="",J181="",L181="",O181="",P181=""),"Champ obligatoire manquant",IF(OR(AND(N181&lt;&gt;"",N181&gt;O181),O181&gt;P181,AND(Q181&lt;&gt;"",Q181&lt;P181),AND(R181&lt;&gt;"",R181&lt;P181),AND(S181&lt;&gt;"",S181&lt;R181),AND(S181&lt;&gt;"",R181=""),AND(T181&lt;&gt;"",T181&lt;O181),AND(U181&lt;&gt;"",U181&lt;O181)),"Chronologie incohérente",IF(AND(OR(L181="Résolu",L181="Clos"),R181=""),"Date de résolution manquante",IF(AND(L181="Clos",S181=""),"Date de clôture manquante",IF(AND(K181="Oui",AC181=""),"Classification DORA manquante","OK"))))))</f>
        <v/>
      </c>
      <c r="AO181" s="35" t="str">
        <f aca="false">IF($B181="","",IF(AND(C181="Incident",L181&lt;&gt;"Annulé"),1,0))</f>
        <v/>
      </c>
      <c r="AP181" s="35" t="str">
        <f aca="false">IF($B181="","",IF(AND(C181="Quasi-incident",L181&lt;&gt;"Annulé"),1,0))</f>
        <v/>
      </c>
      <c r="AQ181" s="35" t="str">
        <f aca="false">IF($B181="","",AO181+AP181)</f>
        <v/>
      </c>
      <c r="AR181" s="36" t="str">
        <f aca="false">IF(OR($B181="",J181=""),"",IFERROR(VALUE(LEFT(J181,1)),""))</f>
        <v/>
      </c>
      <c r="AS181" s="35" t="str">
        <f aca="false">IF(OR(AO181&lt;&gt;1,G181=""),"",IFERROR(IF(INDEX(L_SrcInterne,MATCH(G181,L_Sources,0))="Oui",1,0),""))</f>
        <v/>
      </c>
      <c r="AT181" s="37" t="str">
        <f aca="false">IF(AO181&lt;&gt;1,"",IFERROR(ROUND(IF(OR(N181="",O181=""),"",IF(O181&lt;N181,"",ROUND(((NETWORKDAYS(N181,O181,JoursFeries)-1)*(HFer-HOuv)+IF(NETWORKDAYS(O181,O181,JoursFeries),MEDIAN(MOD(O181,1),HFer,HOuv),HFer)-IF(NETWORKDAYS(N181,N181,JoursFeries),MEDIAN(MOD(N181,1),HFer,HOuv),HOuv))*24,4)))/HJour,4),""))</f>
        <v/>
      </c>
      <c r="AU181" s="37" t="str">
        <f aca="false">IF(AO181&lt;&gt;1,"",IF(OR(O181="",P181=""),"",IF(P181&lt;O181,"",ROUND(((NETWORKDAYS(O181,P181,JoursFeries)-1)*(HFer-HOuv)+IF(NETWORKDAYS(P181,P181,JoursFeries),MEDIAN(MOD(P181,1),HFer,HOuv),HFer)-IF(NETWORKDAYS(O181,O181,JoursFeries),MEDIAN(MOD(O181,1),HFer,HOuv),HOuv))*24,4))))</f>
        <v/>
      </c>
      <c r="AV181" s="37" t="str">
        <f aca="false">IF(AO181&lt;&gt;1,"",IF(OR(P181="",Q181=""),"",IF(Q181&lt;P181,"",ROUND(((NETWORKDAYS(P181,Q181,JoursFeries)-1)*(HFer-HOuv)+IF(NETWORKDAYS(Q181,Q181,JoursFeries),MEDIAN(MOD(Q181,1),HFer,HOuv),HFer)-IF(NETWORKDAYS(P181,P181,JoursFeries),MEDIAN(MOD(P181,1),HFer,HOuv),HOuv))*24,4))))</f>
        <v/>
      </c>
      <c r="AW181" s="37" t="str">
        <f aca="false">IF(AO181&lt;&gt;1,"",IFERROR(ROUND(IF(OR(P181="",R181=""),"",IF(R181&lt;P181,"",ROUND(((NETWORKDAYS(P181,R181,JoursFeries)-1)*(HFer-HOuv)+IF(NETWORKDAYS(R181,R181,JoursFeries),MEDIAN(MOD(R181,1),HFer,HOuv),HFer)-IF(NETWORKDAYS(P181,P181,JoursFeries),MEDIAN(MOD(P181,1),HFer,HOuv),HOuv))*24,4)))/HJour,4),""))</f>
        <v/>
      </c>
      <c r="AX181" s="37" t="str">
        <f aca="false">IF(AO181&lt;&gt;1,"",IFERROR(ROUND(IF(OR(P181="",S181=""),"",IF(S181&lt;P181,"",ROUND(((NETWORKDAYS(P181,S181,JoursFeries)-1)*(HFer-HOuv)+IF(NETWORKDAYS(S181,S181,JoursFeries),MEDIAN(MOD(S181,1),HFer,HOuv),HFer)-IF(NETWORKDAYS(P181,P181,JoursFeries),MEDIAN(MOD(P181,1),HFer,HOuv),HOuv))*24,4)))/HJour,4),""))</f>
        <v/>
      </c>
      <c r="AY181" s="36" t="str">
        <f aca="false">IF(OR(AO181&lt;&gt;1,AR181=""),"",INDEX(SLA_PEC,AR181))</f>
        <v/>
      </c>
      <c r="AZ181" s="35" t="str">
        <f aca="false">IF(OR(AV181="",AY181=""),"",IF(AV181&lt;=AY181,1,0))</f>
        <v/>
      </c>
      <c r="BA181" s="36" t="str">
        <f aca="false">IF(OR(AO181&lt;&gt;1,AR181=""),"",INDEX(SLA_RES,AR181))</f>
        <v/>
      </c>
      <c r="BB181" s="35" t="str">
        <f aca="false">IF(OR(AW181="",BA181=""),"",IF(AW181&lt;=BA181,1,0))</f>
        <v/>
      </c>
      <c r="BC181" s="38" t="str">
        <f aca="false">IF(OR(BA181="",P181=""),"",WORKDAY(INT(P181),BA181,JoursFeries)+MOD(P181,1))</f>
        <v/>
      </c>
      <c r="BD181" s="39" t="str">
        <f aca="false">IF(AO181&lt;&gt;1,"",IF(OR(AB181&lt;&gt;"",AD181&lt;&gt;""),4,IF(U181&lt;&gt;"",3,IF(T181&lt;&gt;"",2,1))))</f>
        <v/>
      </c>
      <c r="BE181" s="39" t="str">
        <f aca="false">IF(OR(AO181&lt;&gt;1,AR181=""),"",INDEX(NIV_REQ,AR181))</f>
        <v/>
      </c>
      <c r="BF181" s="39" t="str">
        <f aca="false">IF(BE181="","",MAX(BE181,IF(OR(K181="Oui",Z181="Oui"),4,1)))</f>
        <v/>
      </c>
      <c r="BG181" s="35" t="str">
        <f aca="false">IF(OR(BF181="",BD181=""),"",IF(BD181&gt;=BF181,1,0))</f>
        <v/>
      </c>
      <c r="BH181" s="38" t="str">
        <f aca="false">IF(BE181="","",IF(BE181&lt;2,"",IF(BE181=2,IF(AND(T181="",U181=""),"",MIN(T181,U181)),IF(U181="","",U181))))</f>
        <v/>
      </c>
      <c r="BI181" s="37" t="str">
        <f aca="false">IF(BH181="","",IF(OR(O181="",BH181=""),"",IF(BH181&lt;O181,"",ROUND(((NETWORKDAYS(O181,BH181,JoursFeries)-1)*(HFer-HOuv)+IF(NETWORKDAYS(BH181,BH181,JoursFeries),MEDIAN(MOD(BH181,1),HFer,HOuv),HFer)-IF(NETWORKDAYS(O181,O181,JoursFeries),MEDIAN(MOD(O181,1),HFer,HOuv),HOuv))*24,4))))</f>
        <v/>
      </c>
      <c r="BJ181" s="35" t="str">
        <f aca="false">IF(OR(BI181="",AR181=""),"",IF(BI181&lt;=INDEX(DELAI_ESC,AR181),1,0))</f>
        <v/>
      </c>
      <c r="BK181" s="38" t="str">
        <f aca="false">IF(AO181&lt;&gt;1,"",IF(AND(T181="",U181=""),"",MIN(T181,U181)))</f>
        <v/>
      </c>
      <c r="BL181" s="37" t="str">
        <f aca="false">IF(OR(BK181="",R181=""),"",IFERROR(ROUND(IF(OR(BK181="",R181=""),"",IF(R181&lt;BK181,"",ROUND(((NETWORKDAYS(BK181,R181,JoursFeries)-1)*(HFer-HOuv)+IF(NETWORKDAYS(R181,R181,JoursFeries),MEDIAN(MOD(R181,1),HFer,HOuv),HFer)-IF(NETWORKDAYS(BK181,BK181,JoursFeries),MEDIAN(MOD(BK181,1),HFer,HOuv),HOuv))*24,4)))/HJour,4),""))</f>
        <v/>
      </c>
      <c r="BM181" s="35" t="str">
        <f aca="false">IF(OR(AO181&lt;&gt;1,R181=""),"",IF(BD181=1,1,0))</f>
        <v/>
      </c>
      <c r="BN181" s="35" t="str">
        <f aca="false">IF(AO181&lt;&gt;1,"",IF(W181="Oui",1,0))</f>
        <v/>
      </c>
      <c r="BO181" s="35" t="str">
        <f aca="false">IF(AO181&lt;&gt;1,"",IF(X181&lt;&gt;"",1,0))</f>
        <v/>
      </c>
      <c r="BP181" s="35" t="str">
        <f aca="false">IF(AO181&lt;&gt;1,"",IF(Y181="Oui",1,0))</f>
        <v/>
      </c>
      <c r="BQ181" s="35" t="str">
        <f aca="true">IF(OR(AO181&lt;&gt;1,Z181&lt;&gt;"Oui"),"",IF(AB181="",IF(AND(AA181&lt;&gt;"",NOW()&gt;AA181),0,""),IF(AA181="","",IF(AB181&lt;=AA181,1,0))))</f>
        <v/>
      </c>
      <c r="BR181" s="38" t="str">
        <f aca="false">IF(OR(AO181&lt;&gt;1,K181&lt;&gt;"Oui",O181=""),"",IF(AC181="",O181+DORA_H_DET/24,IF(AC181-O181&lt;=DORA_H_DET/24,MIN(AC181+DORA_H_CLA/24,O181+DORA_H_DET/24),AC181+DORA_H_CLA/24)))</f>
        <v/>
      </c>
      <c r="BS181" s="35" t="str">
        <f aca="true">IF(BR181="","",IF(AD181="",IF(NOW()&gt;BR181,0,""),IF(AD181&lt;=BR181,1,0)))</f>
        <v/>
      </c>
      <c r="BT181" s="35" t="str">
        <f aca="true">IF(OR(BR181="",AD181=""),"",IF(AE181="",IF(NOW()&gt;AD181+DORA_H_INT/24,0,""),IF(AE181&lt;=AD181+DORA_H_INT/24,1,0)))</f>
        <v/>
      </c>
      <c r="BU181" s="35" t="str">
        <f aca="true">IF(OR(BR181="",AE181=""),"",IF(AF181="",IF(NOW()&gt;EDATE(AE181,DORA_M_FIN)+1,0,""),IF(AF181&lt;=EDATE(AE181,DORA_M_FIN),1,0)))</f>
        <v/>
      </c>
      <c r="BV181" s="35" t="str">
        <f aca="false">IF(BR181="","",IF(COUNT(BS181:BU181)=0,"",MIN(BS181:BU181)))</f>
        <v/>
      </c>
      <c r="BW181" s="40" t="str">
        <f aca="false">IF(AQ181&lt;&gt;1,"",IF(AND(AG181="",AH181=""),"",N(AG181)-N(AH181)))</f>
        <v/>
      </c>
      <c r="BX181" s="35" t="str">
        <f aca="true">IF(OR(AQ181&lt;&gt;1,AI181&lt;&gt;"Oui",AJ181=""),"",IF(AK181="",IF(NOW()&gt;AJ181+1,0,""),IF(AK181&lt;=AJ181,1,0)))</f>
        <v/>
      </c>
    </row>
    <row r="182" customFormat="false" ht="15" hidden="false" customHeight="false" outlineLevel="0" collapsed="false">
      <c r="B182" s="29"/>
      <c r="C182" s="29"/>
      <c r="D182" s="29"/>
      <c r="E182" s="29"/>
      <c r="F182" s="29"/>
      <c r="G182" s="29"/>
      <c r="H182" s="29"/>
      <c r="I182" s="29"/>
      <c r="J182" s="29"/>
      <c r="K182" s="29"/>
      <c r="L182" s="29"/>
      <c r="M182" s="29"/>
      <c r="N182" s="30"/>
      <c r="O182" s="30"/>
      <c r="P182" s="30"/>
      <c r="Q182" s="30"/>
      <c r="R182" s="30"/>
      <c r="S182" s="30"/>
      <c r="T182" s="30"/>
      <c r="U182" s="30"/>
      <c r="V182" s="31"/>
      <c r="W182" s="29"/>
      <c r="X182" s="29"/>
      <c r="Y182" s="29"/>
      <c r="Z182" s="29"/>
      <c r="AA182" s="30"/>
      <c r="AB182" s="30"/>
      <c r="AC182" s="30"/>
      <c r="AD182" s="30"/>
      <c r="AE182" s="30"/>
      <c r="AF182" s="32"/>
      <c r="AG182" s="33"/>
      <c r="AH182" s="33"/>
      <c r="AI182" s="29"/>
      <c r="AJ182" s="32"/>
      <c r="AK182" s="32"/>
      <c r="AL182" s="29"/>
      <c r="AN182" s="34" t="str">
        <f aca="false">IF($B182="","",IF(OR(C182="",D182="",E182="",G182="",I182="",J182="",L182="",O182="",P182=""),"Champ obligatoire manquant",IF(OR(AND(N182&lt;&gt;"",N182&gt;O182),O182&gt;P182,AND(Q182&lt;&gt;"",Q182&lt;P182),AND(R182&lt;&gt;"",R182&lt;P182),AND(S182&lt;&gt;"",S182&lt;R182),AND(S182&lt;&gt;"",R182=""),AND(T182&lt;&gt;"",T182&lt;O182),AND(U182&lt;&gt;"",U182&lt;O182)),"Chronologie incohérente",IF(AND(OR(L182="Résolu",L182="Clos"),R182=""),"Date de résolution manquante",IF(AND(L182="Clos",S182=""),"Date de clôture manquante",IF(AND(K182="Oui",AC182=""),"Classification DORA manquante","OK"))))))</f>
        <v/>
      </c>
      <c r="AO182" s="35" t="str">
        <f aca="false">IF($B182="","",IF(AND(C182="Incident",L182&lt;&gt;"Annulé"),1,0))</f>
        <v/>
      </c>
      <c r="AP182" s="35" t="str">
        <f aca="false">IF($B182="","",IF(AND(C182="Quasi-incident",L182&lt;&gt;"Annulé"),1,0))</f>
        <v/>
      </c>
      <c r="AQ182" s="35" t="str">
        <f aca="false">IF($B182="","",AO182+AP182)</f>
        <v/>
      </c>
      <c r="AR182" s="36" t="str">
        <f aca="false">IF(OR($B182="",J182=""),"",IFERROR(VALUE(LEFT(J182,1)),""))</f>
        <v/>
      </c>
      <c r="AS182" s="35" t="str">
        <f aca="false">IF(OR(AO182&lt;&gt;1,G182=""),"",IFERROR(IF(INDEX(L_SrcInterne,MATCH(G182,L_Sources,0))="Oui",1,0),""))</f>
        <v/>
      </c>
      <c r="AT182" s="37" t="str">
        <f aca="false">IF(AO182&lt;&gt;1,"",IFERROR(ROUND(IF(OR(N182="",O182=""),"",IF(O182&lt;N182,"",ROUND(((NETWORKDAYS(N182,O182,JoursFeries)-1)*(HFer-HOuv)+IF(NETWORKDAYS(O182,O182,JoursFeries),MEDIAN(MOD(O182,1),HFer,HOuv),HFer)-IF(NETWORKDAYS(N182,N182,JoursFeries),MEDIAN(MOD(N182,1),HFer,HOuv),HOuv))*24,4)))/HJour,4),""))</f>
        <v/>
      </c>
      <c r="AU182" s="37" t="str">
        <f aca="false">IF(AO182&lt;&gt;1,"",IF(OR(O182="",P182=""),"",IF(P182&lt;O182,"",ROUND(((NETWORKDAYS(O182,P182,JoursFeries)-1)*(HFer-HOuv)+IF(NETWORKDAYS(P182,P182,JoursFeries),MEDIAN(MOD(P182,1),HFer,HOuv),HFer)-IF(NETWORKDAYS(O182,O182,JoursFeries),MEDIAN(MOD(O182,1),HFer,HOuv),HOuv))*24,4))))</f>
        <v/>
      </c>
      <c r="AV182" s="37" t="str">
        <f aca="false">IF(AO182&lt;&gt;1,"",IF(OR(P182="",Q182=""),"",IF(Q182&lt;P182,"",ROUND(((NETWORKDAYS(P182,Q182,JoursFeries)-1)*(HFer-HOuv)+IF(NETWORKDAYS(Q182,Q182,JoursFeries),MEDIAN(MOD(Q182,1),HFer,HOuv),HFer)-IF(NETWORKDAYS(P182,P182,JoursFeries),MEDIAN(MOD(P182,1),HFer,HOuv),HOuv))*24,4))))</f>
        <v/>
      </c>
      <c r="AW182" s="37" t="str">
        <f aca="false">IF(AO182&lt;&gt;1,"",IFERROR(ROUND(IF(OR(P182="",R182=""),"",IF(R182&lt;P182,"",ROUND(((NETWORKDAYS(P182,R182,JoursFeries)-1)*(HFer-HOuv)+IF(NETWORKDAYS(R182,R182,JoursFeries),MEDIAN(MOD(R182,1),HFer,HOuv),HFer)-IF(NETWORKDAYS(P182,P182,JoursFeries),MEDIAN(MOD(P182,1),HFer,HOuv),HOuv))*24,4)))/HJour,4),""))</f>
        <v/>
      </c>
      <c r="AX182" s="37" t="str">
        <f aca="false">IF(AO182&lt;&gt;1,"",IFERROR(ROUND(IF(OR(P182="",S182=""),"",IF(S182&lt;P182,"",ROUND(((NETWORKDAYS(P182,S182,JoursFeries)-1)*(HFer-HOuv)+IF(NETWORKDAYS(S182,S182,JoursFeries),MEDIAN(MOD(S182,1),HFer,HOuv),HFer)-IF(NETWORKDAYS(P182,P182,JoursFeries),MEDIAN(MOD(P182,1),HFer,HOuv),HOuv))*24,4)))/HJour,4),""))</f>
        <v/>
      </c>
      <c r="AY182" s="36" t="str">
        <f aca="false">IF(OR(AO182&lt;&gt;1,AR182=""),"",INDEX(SLA_PEC,AR182))</f>
        <v/>
      </c>
      <c r="AZ182" s="35" t="str">
        <f aca="false">IF(OR(AV182="",AY182=""),"",IF(AV182&lt;=AY182,1,0))</f>
        <v/>
      </c>
      <c r="BA182" s="36" t="str">
        <f aca="false">IF(OR(AO182&lt;&gt;1,AR182=""),"",INDEX(SLA_RES,AR182))</f>
        <v/>
      </c>
      <c r="BB182" s="35" t="str">
        <f aca="false">IF(OR(AW182="",BA182=""),"",IF(AW182&lt;=BA182,1,0))</f>
        <v/>
      </c>
      <c r="BC182" s="38" t="str">
        <f aca="false">IF(OR(BA182="",P182=""),"",WORKDAY(INT(P182),BA182,JoursFeries)+MOD(P182,1))</f>
        <v/>
      </c>
      <c r="BD182" s="39" t="str">
        <f aca="false">IF(AO182&lt;&gt;1,"",IF(OR(AB182&lt;&gt;"",AD182&lt;&gt;""),4,IF(U182&lt;&gt;"",3,IF(T182&lt;&gt;"",2,1))))</f>
        <v/>
      </c>
      <c r="BE182" s="39" t="str">
        <f aca="false">IF(OR(AO182&lt;&gt;1,AR182=""),"",INDEX(NIV_REQ,AR182))</f>
        <v/>
      </c>
      <c r="BF182" s="39" t="str">
        <f aca="false">IF(BE182="","",MAX(BE182,IF(OR(K182="Oui",Z182="Oui"),4,1)))</f>
        <v/>
      </c>
      <c r="BG182" s="35" t="str">
        <f aca="false">IF(OR(BF182="",BD182=""),"",IF(BD182&gt;=BF182,1,0))</f>
        <v/>
      </c>
      <c r="BH182" s="38" t="str">
        <f aca="false">IF(BE182="","",IF(BE182&lt;2,"",IF(BE182=2,IF(AND(T182="",U182=""),"",MIN(T182,U182)),IF(U182="","",U182))))</f>
        <v/>
      </c>
      <c r="BI182" s="37" t="str">
        <f aca="false">IF(BH182="","",IF(OR(O182="",BH182=""),"",IF(BH182&lt;O182,"",ROUND(((NETWORKDAYS(O182,BH182,JoursFeries)-1)*(HFer-HOuv)+IF(NETWORKDAYS(BH182,BH182,JoursFeries),MEDIAN(MOD(BH182,1),HFer,HOuv),HFer)-IF(NETWORKDAYS(O182,O182,JoursFeries),MEDIAN(MOD(O182,1),HFer,HOuv),HOuv))*24,4))))</f>
        <v/>
      </c>
      <c r="BJ182" s="35" t="str">
        <f aca="false">IF(OR(BI182="",AR182=""),"",IF(BI182&lt;=INDEX(DELAI_ESC,AR182),1,0))</f>
        <v/>
      </c>
      <c r="BK182" s="38" t="str">
        <f aca="false">IF(AO182&lt;&gt;1,"",IF(AND(T182="",U182=""),"",MIN(T182,U182)))</f>
        <v/>
      </c>
      <c r="BL182" s="37" t="str">
        <f aca="false">IF(OR(BK182="",R182=""),"",IFERROR(ROUND(IF(OR(BK182="",R182=""),"",IF(R182&lt;BK182,"",ROUND(((NETWORKDAYS(BK182,R182,JoursFeries)-1)*(HFer-HOuv)+IF(NETWORKDAYS(R182,R182,JoursFeries),MEDIAN(MOD(R182,1),HFer,HOuv),HFer)-IF(NETWORKDAYS(BK182,BK182,JoursFeries),MEDIAN(MOD(BK182,1),HFer,HOuv),HOuv))*24,4)))/HJour,4),""))</f>
        <v/>
      </c>
      <c r="BM182" s="35" t="str">
        <f aca="false">IF(OR(AO182&lt;&gt;1,R182=""),"",IF(BD182=1,1,0))</f>
        <v/>
      </c>
      <c r="BN182" s="35" t="str">
        <f aca="false">IF(AO182&lt;&gt;1,"",IF(W182="Oui",1,0))</f>
        <v/>
      </c>
      <c r="BO182" s="35" t="str">
        <f aca="false">IF(AO182&lt;&gt;1,"",IF(X182&lt;&gt;"",1,0))</f>
        <v/>
      </c>
      <c r="BP182" s="35" t="str">
        <f aca="false">IF(AO182&lt;&gt;1,"",IF(Y182="Oui",1,0))</f>
        <v/>
      </c>
      <c r="BQ182" s="35" t="str">
        <f aca="true">IF(OR(AO182&lt;&gt;1,Z182&lt;&gt;"Oui"),"",IF(AB182="",IF(AND(AA182&lt;&gt;"",NOW()&gt;AA182),0,""),IF(AA182="","",IF(AB182&lt;=AA182,1,0))))</f>
        <v/>
      </c>
      <c r="BR182" s="38" t="str">
        <f aca="false">IF(OR(AO182&lt;&gt;1,K182&lt;&gt;"Oui",O182=""),"",IF(AC182="",O182+DORA_H_DET/24,IF(AC182-O182&lt;=DORA_H_DET/24,MIN(AC182+DORA_H_CLA/24,O182+DORA_H_DET/24),AC182+DORA_H_CLA/24)))</f>
        <v/>
      </c>
      <c r="BS182" s="35" t="str">
        <f aca="true">IF(BR182="","",IF(AD182="",IF(NOW()&gt;BR182,0,""),IF(AD182&lt;=BR182,1,0)))</f>
        <v/>
      </c>
      <c r="BT182" s="35" t="str">
        <f aca="true">IF(OR(BR182="",AD182=""),"",IF(AE182="",IF(NOW()&gt;AD182+DORA_H_INT/24,0,""),IF(AE182&lt;=AD182+DORA_H_INT/24,1,0)))</f>
        <v/>
      </c>
      <c r="BU182" s="35" t="str">
        <f aca="true">IF(OR(BR182="",AE182=""),"",IF(AF182="",IF(NOW()&gt;EDATE(AE182,DORA_M_FIN)+1,0,""),IF(AF182&lt;=EDATE(AE182,DORA_M_FIN),1,0)))</f>
        <v/>
      </c>
      <c r="BV182" s="35" t="str">
        <f aca="false">IF(BR182="","",IF(COUNT(BS182:BU182)=0,"",MIN(BS182:BU182)))</f>
        <v/>
      </c>
      <c r="BW182" s="40" t="str">
        <f aca="false">IF(AQ182&lt;&gt;1,"",IF(AND(AG182="",AH182=""),"",N(AG182)-N(AH182)))</f>
        <v/>
      </c>
      <c r="BX182" s="35" t="str">
        <f aca="true">IF(OR(AQ182&lt;&gt;1,AI182&lt;&gt;"Oui",AJ182=""),"",IF(AK182="",IF(NOW()&gt;AJ182+1,0,""),IF(AK182&lt;=AJ182,1,0)))</f>
        <v/>
      </c>
    </row>
    <row r="183" customFormat="false" ht="15" hidden="false" customHeight="false" outlineLevel="0" collapsed="false">
      <c r="B183" s="29"/>
      <c r="C183" s="29"/>
      <c r="D183" s="29"/>
      <c r="E183" s="29"/>
      <c r="F183" s="29"/>
      <c r="G183" s="29"/>
      <c r="H183" s="29"/>
      <c r="I183" s="29"/>
      <c r="J183" s="29"/>
      <c r="K183" s="29"/>
      <c r="L183" s="29"/>
      <c r="M183" s="29"/>
      <c r="N183" s="30"/>
      <c r="O183" s="30"/>
      <c r="P183" s="30"/>
      <c r="Q183" s="30"/>
      <c r="R183" s="30"/>
      <c r="S183" s="30"/>
      <c r="T183" s="30"/>
      <c r="U183" s="30"/>
      <c r="V183" s="31"/>
      <c r="W183" s="29"/>
      <c r="X183" s="29"/>
      <c r="Y183" s="29"/>
      <c r="Z183" s="29"/>
      <c r="AA183" s="30"/>
      <c r="AB183" s="30"/>
      <c r="AC183" s="30"/>
      <c r="AD183" s="30"/>
      <c r="AE183" s="30"/>
      <c r="AF183" s="32"/>
      <c r="AG183" s="33"/>
      <c r="AH183" s="33"/>
      <c r="AI183" s="29"/>
      <c r="AJ183" s="32"/>
      <c r="AK183" s="32"/>
      <c r="AL183" s="29"/>
      <c r="AN183" s="34" t="str">
        <f aca="false">IF($B183="","",IF(OR(C183="",D183="",E183="",G183="",I183="",J183="",L183="",O183="",P183=""),"Champ obligatoire manquant",IF(OR(AND(N183&lt;&gt;"",N183&gt;O183),O183&gt;P183,AND(Q183&lt;&gt;"",Q183&lt;P183),AND(R183&lt;&gt;"",R183&lt;P183),AND(S183&lt;&gt;"",S183&lt;R183),AND(S183&lt;&gt;"",R183=""),AND(T183&lt;&gt;"",T183&lt;O183),AND(U183&lt;&gt;"",U183&lt;O183)),"Chronologie incohérente",IF(AND(OR(L183="Résolu",L183="Clos"),R183=""),"Date de résolution manquante",IF(AND(L183="Clos",S183=""),"Date de clôture manquante",IF(AND(K183="Oui",AC183=""),"Classification DORA manquante","OK"))))))</f>
        <v/>
      </c>
      <c r="AO183" s="35" t="str">
        <f aca="false">IF($B183="","",IF(AND(C183="Incident",L183&lt;&gt;"Annulé"),1,0))</f>
        <v/>
      </c>
      <c r="AP183" s="35" t="str">
        <f aca="false">IF($B183="","",IF(AND(C183="Quasi-incident",L183&lt;&gt;"Annulé"),1,0))</f>
        <v/>
      </c>
      <c r="AQ183" s="35" t="str">
        <f aca="false">IF($B183="","",AO183+AP183)</f>
        <v/>
      </c>
      <c r="AR183" s="36" t="str">
        <f aca="false">IF(OR($B183="",J183=""),"",IFERROR(VALUE(LEFT(J183,1)),""))</f>
        <v/>
      </c>
      <c r="AS183" s="35" t="str">
        <f aca="false">IF(OR(AO183&lt;&gt;1,G183=""),"",IFERROR(IF(INDEX(L_SrcInterne,MATCH(G183,L_Sources,0))="Oui",1,0),""))</f>
        <v/>
      </c>
      <c r="AT183" s="37" t="str">
        <f aca="false">IF(AO183&lt;&gt;1,"",IFERROR(ROUND(IF(OR(N183="",O183=""),"",IF(O183&lt;N183,"",ROUND(((NETWORKDAYS(N183,O183,JoursFeries)-1)*(HFer-HOuv)+IF(NETWORKDAYS(O183,O183,JoursFeries),MEDIAN(MOD(O183,1),HFer,HOuv),HFer)-IF(NETWORKDAYS(N183,N183,JoursFeries),MEDIAN(MOD(N183,1),HFer,HOuv),HOuv))*24,4)))/HJour,4),""))</f>
        <v/>
      </c>
      <c r="AU183" s="37" t="str">
        <f aca="false">IF(AO183&lt;&gt;1,"",IF(OR(O183="",P183=""),"",IF(P183&lt;O183,"",ROUND(((NETWORKDAYS(O183,P183,JoursFeries)-1)*(HFer-HOuv)+IF(NETWORKDAYS(P183,P183,JoursFeries),MEDIAN(MOD(P183,1),HFer,HOuv),HFer)-IF(NETWORKDAYS(O183,O183,JoursFeries),MEDIAN(MOD(O183,1),HFer,HOuv),HOuv))*24,4))))</f>
        <v/>
      </c>
      <c r="AV183" s="37" t="str">
        <f aca="false">IF(AO183&lt;&gt;1,"",IF(OR(P183="",Q183=""),"",IF(Q183&lt;P183,"",ROUND(((NETWORKDAYS(P183,Q183,JoursFeries)-1)*(HFer-HOuv)+IF(NETWORKDAYS(Q183,Q183,JoursFeries),MEDIAN(MOD(Q183,1),HFer,HOuv),HFer)-IF(NETWORKDAYS(P183,P183,JoursFeries),MEDIAN(MOD(P183,1),HFer,HOuv),HOuv))*24,4))))</f>
        <v/>
      </c>
      <c r="AW183" s="37" t="str">
        <f aca="false">IF(AO183&lt;&gt;1,"",IFERROR(ROUND(IF(OR(P183="",R183=""),"",IF(R183&lt;P183,"",ROUND(((NETWORKDAYS(P183,R183,JoursFeries)-1)*(HFer-HOuv)+IF(NETWORKDAYS(R183,R183,JoursFeries),MEDIAN(MOD(R183,1),HFer,HOuv),HFer)-IF(NETWORKDAYS(P183,P183,JoursFeries),MEDIAN(MOD(P183,1),HFer,HOuv),HOuv))*24,4)))/HJour,4),""))</f>
        <v/>
      </c>
      <c r="AX183" s="37" t="str">
        <f aca="false">IF(AO183&lt;&gt;1,"",IFERROR(ROUND(IF(OR(P183="",S183=""),"",IF(S183&lt;P183,"",ROUND(((NETWORKDAYS(P183,S183,JoursFeries)-1)*(HFer-HOuv)+IF(NETWORKDAYS(S183,S183,JoursFeries),MEDIAN(MOD(S183,1),HFer,HOuv),HFer)-IF(NETWORKDAYS(P183,P183,JoursFeries),MEDIAN(MOD(P183,1),HFer,HOuv),HOuv))*24,4)))/HJour,4),""))</f>
        <v/>
      </c>
      <c r="AY183" s="36" t="str">
        <f aca="false">IF(OR(AO183&lt;&gt;1,AR183=""),"",INDEX(SLA_PEC,AR183))</f>
        <v/>
      </c>
      <c r="AZ183" s="35" t="str">
        <f aca="false">IF(OR(AV183="",AY183=""),"",IF(AV183&lt;=AY183,1,0))</f>
        <v/>
      </c>
      <c r="BA183" s="36" t="str">
        <f aca="false">IF(OR(AO183&lt;&gt;1,AR183=""),"",INDEX(SLA_RES,AR183))</f>
        <v/>
      </c>
      <c r="BB183" s="35" t="str">
        <f aca="false">IF(OR(AW183="",BA183=""),"",IF(AW183&lt;=BA183,1,0))</f>
        <v/>
      </c>
      <c r="BC183" s="38" t="str">
        <f aca="false">IF(OR(BA183="",P183=""),"",WORKDAY(INT(P183),BA183,JoursFeries)+MOD(P183,1))</f>
        <v/>
      </c>
      <c r="BD183" s="39" t="str">
        <f aca="false">IF(AO183&lt;&gt;1,"",IF(OR(AB183&lt;&gt;"",AD183&lt;&gt;""),4,IF(U183&lt;&gt;"",3,IF(T183&lt;&gt;"",2,1))))</f>
        <v/>
      </c>
      <c r="BE183" s="39" t="str">
        <f aca="false">IF(OR(AO183&lt;&gt;1,AR183=""),"",INDEX(NIV_REQ,AR183))</f>
        <v/>
      </c>
      <c r="BF183" s="39" t="str">
        <f aca="false">IF(BE183="","",MAX(BE183,IF(OR(K183="Oui",Z183="Oui"),4,1)))</f>
        <v/>
      </c>
      <c r="BG183" s="35" t="str">
        <f aca="false">IF(OR(BF183="",BD183=""),"",IF(BD183&gt;=BF183,1,0))</f>
        <v/>
      </c>
      <c r="BH183" s="38" t="str">
        <f aca="false">IF(BE183="","",IF(BE183&lt;2,"",IF(BE183=2,IF(AND(T183="",U183=""),"",MIN(T183,U183)),IF(U183="","",U183))))</f>
        <v/>
      </c>
      <c r="BI183" s="37" t="str">
        <f aca="false">IF(BH183="","",IF(OR(O183="",BH183=""),"",IF(BH183&lt;O183,"",ROUND(((NETWORKDAYS(O183,BH183,JoursFeries)-1)*(HFer-HOuv)+IF(NETWORKDAYS(BH183,BH183,JoursFeries),MEDIAN(MOD(BH183,1),HFer,HOuv),HFer)-IF(NETWORKDAYS(O183,O183,JoursFeries),MEDIAN(MOD(O183,1),HFer,HOuv),HOuv))*24,4))))</f>
        <v/>
      </c>
      <c r="BJ183" s="35" t="str">
        <f aca="false">IF(OR(BI183="",AR183=""),"",IF(BI183&lt;=INDEX(DELAI_ESC,AR183),1,0))</f>
        <v/>
      </c>
      <c r="BK183" s="38" t="str">
        <f aca="false">IF(AO183&lt;&gt;1,"",IF(AND(T183="",U183=""),"",MIN(T183,U183)))</f>
        <v/>
      </c>
      <c r="BL183" s="37" t="str">
        <f aca="false">IF(OR(BK183="",R183=""),"",IFERROR(ROUND(IF(OR(BK183="",R183=""),"",IF(R183&lt;BK183,"",ROUND(((NETWORKDAYS(BK183,R183,JoursFeries)-1)*(HFer-HOuv)+IF(NETWORKDAYS(R183,R183,JoursFeries),MEDIAN(MOD(R183,1),HFer,HOuv),HFer)-IF(NETWORKDAYS(BK183,BK183,JoursFeries),MEDIAN(MOD(BK183,1),HFer,HOuv),HOuv))*24,4)))/HJour,4),""))</f>
        <v/>
      </c>
      <c r="BM183" s="35" t="str">
        <f aca="false">IF(OR(AO183&lt;&gt;1,R183=""),"",IF(BD183=1,1,0))</f>
        <v/>
      </c>
      <c r="BN183" s="35" t="str">
        <f aca="false">IF(AO183&lt;&gt;1,"",IF(W183="Oui",1,0))</f>
        <v/>
      </c>
      <c r="BO183" s="35" t="str">
        <f aca="false">IF(AO183&lt;&gt;1,"",IF(X183&lt;&gt;"",1,0))</f>
        <v/>
      </c>
      <c r="BP183" s="35" t="str">
        <f aca="false">IF(AO183&lt;&gt;1,"",IF(Y183="Oui",1,0))</f>
        <v/>
      </c>
      <c r="BQ183" s="35" t="str">
        <f aca="true">IF(OR(AO183&lt;&gt;1,Z183&lt;&gt;"Oui"),"",IF(AB183="",IF(AND(AA183&lt;&gt;"",NOW()&gt;AA183),0,""),IF(AA183="","",IF(AB183&lt;=AA183,1,0))))</f>
        <v/>
      </c>
      <c r="BR183" s="38" t="str">
        <f aca="false">IF(OR(AO183&lt;&gt;1,K183&lt;&gt;"Oui",O183=""),"",IF(AC183="",O183+DORA_H_DET/24,IF(AC183-O183&lt;=DORA_H_DET/24,MIN(AC183+DORA_H_CLA/24,O183+DORA_H_DET/24),AC183+DORA_H_CLA/24)))</f>
        <v/>
      </c>
      <c r="BS183" s="35" t="str">
        <f aca="true">IF(BR183="","",IF(AD183="",IF(NOW()&gt;BR183,0,""),IF(AD183&lt;=BR183,1,0)))</f>
        <v/>
      </c>
      <c r="BT183" s="35" t="str">
        <f aca="true">IF(OR(BR183="",AD183=""),"",IF(AE183="",IF(NOW()&gt;AD183+DORA_H_INT/24,0,""),IF(AE183&lt;=AD183+DORA_H_INT/24,1,0)))</f>
        <v/>
      </c>
      <c r="BU183" s="35" t="str">
        <f aca="true">IF(OR(BR183="",AE183=""),"",IF(AF183="",IF(NOW()&gt;EDATE(AE183,DORA_M_FIN)+1,0,""),IF(AF183&lt;=EDATE(AE183,DORA_M_FIN),1,0)))</f>
        <v/>
      </c>
      <c r="BV183" s="35" t="str">
        <f aca="false">IF(BR183="","",IF(COUNT(BS183:BU183)=0,"",MIN(BS183:BU183)))</f>
        <v/>
      </c>
      <c r="BW183" s="40" t="str">
        <f aca="false">IF(AQ183&lt;&gt;1,"",IF(AND(AG183="",AH183=""),"",N(AG183)-N(AH183)))</f>
        <v/>
      </c>
      <c r="BX183" s="35" t="str">
        <f aca="true">IF(OR(AQ183&lt;&gt;1,AI183&lt;&gt;"Oui",AJ183=""),"",IF(AK183="",IF(NOW()&gt;AJ183+1,0,""),IF(AK183&lt;=AJ183,1,0)))</f>
        <v/>
      </c>
    </row>
    <row r="184" customFormat="false" ht="15" hidden="false" customHeight="false" outlineLevel="0" collapsed="false">
      <c r="B184" s="29"/>
      <c r="C184" s="29"/>
      <c r="D184" s="29"/>
      <c r="E184" s="29"/>
      <c r="F184" s="29"/>
      <c r="G184" s="29"/>
      <c r="H184" s="29"/>
      <c r="I184" s="29"/>
      <c r="J184" s="29"/>
      <c r="K184" s="29"/>
      <c r="L184" s="29"/>
      <c r="M184" s="29"/>
      <c r="N184" s="30"/>
      <c r="O184" s="30"/>
      <c r="P184" s="30"/>
      <c r="Q184" s="30"/>
      <c r="R184" s="30"/>
      <c r="S184" s="30"/>
      <c r="T184" s="30"/>
      <c r="U184" s="30"/>
      <c r="V184" s="31"/>
      <c r="W184" s="29"/>
      <c r="X184" s="29"/>
      <c r="Y184" s="29"/>
      <c r="Z184" s="29"/>
      <c r="AA184" s="30"/>
      <c r="AB184" s="30"/>
      <c r="AC184" s="30"/>
      <c r="AD184" s="30"/>
      <c r="AE184" s="30"/>
      <c r="AF184" s="32"/>
      <c r="AG184" s="33"/>
      <c r="AH184" s="33"/>
      <c r="AI184" s="29"/>
      <c r="AJ184" s="32"/>
      <c r="AK184" s="32"/>
      <c r="AL184" s="29"/>
      <c r="AN184" s="34" t="str">
        <f aca="false">IF($B184="","",IF(OR(C184="",D184="",E184="",G184="",I184="",J184="",L184="",O184="",P184=""),"Champ obligatoire manquant",IF(OR(AND(N184&lt;&gt;"",N184&gt;O184),O184&gt;P184,AND(Q184&lt;&gt;"",Q184&lt;P184),AND(R184&lt;&gt;"",R184&lt;P184),AND(S184&lt;&gt;"",S184&lt;R184),AND(S184&lt;&gt;"",R184=""),AND(T184&lt;&gt;"",T184&lt;O184),AND(U184&lt;&gt;"",U184&lt;O184)),"Chronologie incohérente",IF(AND(OR(L184="Résolu",L184="Clos"),R184=""),"Date de résolution manquante",IF(AND(L184="Clos",S184=""),"Date de clôture manquante",IF(AND(K184="Oui",AC184=""),"Classification DORA manquante","OK"))))))</f>
        <v/>
      </c>
      <c r="AO184" s="35" t="str">
        <f aca="false">IF($B184="","",IF(AND(C184="Incident",L184&lt;&gt;"Annulé"),1,0))</f>
        <v/>
      </c>
      <c r="AP184" s="35" t="str">
        <f aca="false">IF($B184="","",IF(AND(C184="Quasi-incident",L184&lt;&gt;"Annulé"),1,0))</f>
        <v/>
      </c>
      <c r="AQ184" s="35" t="str">
        <f aca="false">IF($B184="","",AO184+AP184)</f>
        <v/>
      </c>
      <c r="AR184" s="36" t="str">
        <f aca="false">IF(OR($B184="",J184=""),"",IFERROR(VALUE(LEFT(J184,1)),""))</f>
        <v/>
      </c>
      <c r="AS184" s="35" t="str">
        <f aca="false">IF(OR(AO184&lt;&gt;1,G184=""),"",IFERROR(IF(INDEX(L_SrcInterne,MATCH(G184,L_Sources,0))="Oui",1,0),""))</f>
        <v/>
      </c>
      <c r="AT184" s="37" t="str">
        <f aca="false">IF(AO184&lt;&gt;1,"",IFERROR(ROUND(IF(OR(N184="",O184=""),"",IF(O184&lt;N184,"",ROUND(((NETWORKDAYS(N184,O184,JoursFeries)-1)*(HFer-HOuv)+IF(NETWORKDAYS(O184,O184,JoursFeries),MEDIAN(MOD(O184,1),HFer,HOuv),HFer)-IF(NETWORKDAYS(N184,N184,JoursFeries),MEDIAN(MOD(N184,1),HFer,HOuv),HOuv))*24,4)))/HJour,4),""))</f>
        <v/>
      </c>
      <c r="AU184" s="37" t="str">
        <f aca="false">IF(AO184&lt;&gt;1,"",IF(OR(O184="",P184=""),"",IF(P184&lt;O184,"",ROUND(((NETWORKDAYS(O184,P184,JoursFeries)-1)*(HFer-HOuv)+IF(NETWORKDAYS(P184,P184,JoursFeries),MEDIAN(MOD(P184,1),HFer,HOuv),HFer)-IF(NETWORKDAYS(O184,O184,JoursFeries),MEDIAN(MOD(O184,1),HFer,HOuv),HOuv))*24,4))))</f>
        <v/>
      </c>
      <c r="AV184" s="37" t="str">
        <f aca="false">IF(AO184&lt;&gt;1,"",IF(OR(P184="",Q184=""),"",IF(Q184&lt;P184,"",ROUND(((NETWORKDAYS(P184,Q184,JoursFeries)-1)*(HFer-HOuv)+IF(NETWORKDAYS(Q184,Q184,JoursFeries),MEDIAN(MOD(Q184,1),HFer,HOuv),HFer)-IF(NETWORKDAYS(P184,P184,JoursFeries),MEDIAN(MOD(P184,1),HFer,HOuv),HOuv))*24,4))))</f>
        <v/>
      </c>
      <c r="AW184" s="37" t="str">
        <f aca="false">IF(AO184&lt;&gt;1,"",IFERROR(ROUND(IF(OR(P184="",R184=""),"",IF(R184&lt;P184,"",ROUND(((NETWORKDAYS(P184,R184,JoursFeries)-1)*(HFer-HOuv)+IF(NETWORKDAYS(R184,R184,JoursFeries),MEDIAN(MOD(R184,1),HFer,HOuv),HFer)-IF(NETWORKDAYS(P184,P184,JoursFeries),MEDIAN(MOD(P184,1),HFer,HOuv),HOuv))*24,4)))/HJour,4),""))</f>
        <v/>
      </c>
      <c r="AX184" s="37" t="str">
        <f aca="false">IF(AO184&lt;&gt;1,"",IFERROR(ROUND(IF(OR(P184="",S184=""),"",IF(S184&lt;P184,"",ROUND(((NETWORKDAYS(P184,S184,JoursFeries)-1)*(HFer-HOuv)+IF(NETWORKDAYS(S184,S184,JoursFeries),MEDIAN(MOD(S184,1),HFer,HOuv),HFer)-IF(NETWORKDAYS(P184,P184,JoursFeries),MEDIAN(MOD(P184,1),HFer,HOuv),HOuv))*24,4)))/HJour,4),""))</f>
        <v/>
      </c>
      <c r="AY184" s="36" t="str">
        <f aca="false">IF(OR(AO184&lt;&gt;1,AR184=""),"",INDEX(SLA_PEC,AR184))</f>
        <v/>
      </c>
      <c r="AZ184" s="35" t="str">
        <f aca="false">IF(OR(AV184="",AY184=""),"",IF(AV184&lt;=AY184,1,0))</f>
        <v/>
      </c>
      <c r="BA184" s="36" t="str">
        <f aca="false">IF(OR(AO184&lt;&gt;1,AR184=""),"",INDEX(SLA_RES,AR184))</f>
        <v/>
      </c>
      <c r="BB184" s="35" t="str">
        <f aca="false">IF(OR(AW184="",BA184=""),"",IF(AW184&lt;=BA184,1,0))</f>
        <v/>
      </c>
      <c r="BC184" s="38" t="str">
        <f aca="false">IF(OR(BA184="",P184=""),"",WORKDAY(INT(P184),BA184,JoursFeries)+MOD(P184,1))</f>
        <v/>
      </c>
      <c r="BD184" s="39" t="str">
        <f aca="false">IF(AO184&lt;&gt;1,"",IF(OR(AB184&lt;&gt;"",AD184&lt;&gt;""),4,IF(U184&lt;&gt;"",3,IF(T184&lt;&gt;"",2,1))))</f>
        <v/>
      </c>
      <c r="BE184" s="39" t="str">
        <f aca="false">IF(OR(AO184&lt;&gt;1,AR184=""),"",INDEX(NIV_REQ,AR184))</f>
        <v/>
      </c>
      <c r="BF184" s="39" t="str">
        <f aca="false">IF(BE184="","",MAX(BE184,IF(OR(K184="Oui",Z184="Oui"),4,1)))</f>
        <v/>
      </c>
      <c r="BG184" s="35" t="str">
        <f aca="false">IF(OR(BF184="",BD184=""),"",IF(BD184&gt;=BF184,1,0))</f>
        <v/>
      </c>
      <c r="BH184" s="38" t="str">
        <f aca="false">IF(BE184="","",IF(BE184&lt;2,"",IF(BE184=2,IF(AND(T184="",U184=""),"",MIN(T184,U184)),IF(U184="","",U184))))</f>
        <v/>
      </c>
      <c r="BI184" s="37" t="str">
        <f aca="false">IF(BH184="","",IF(OR(O184="",BH184=""),"",IF(BH184&lt;O184,"",ROUND(((NETWORKDAYS(O184,BH184,JoursFeries)-1)*(HFer-HOuv)+IF(NETWORKDAYS(BH184,BH184,JoursFeries),MEDIAN(MOD(BH184,1),HFer,HOuv),HFer)-IF(NETWORKDAYS(O184,O184,JoursFeries),MEDIAN(MOD(O184,1),HFer,HOuv),HOuv))*24,4))))</f>
        <v/>
      </c>
      <c r="BJ184" s="35" t="str">
        <f aca="false">IF(OR(BI184="",AR184=""),"",IF(BI184&lt;=INDEX(DELAI_ESC,AR184),1,0))</f>
        <v/>
      </c>
      <c r="BK184" s="38" t="str">
        <f aca="false">IF(AO184&lt;&gt;1,"",IF(AND(T184="",U184=""),"",MIN(T184,U184)))</f>
        <v/>
      </c>
      <c r="BL184" s="37" t="str">
        <f aca="false">IF(OR(BK184="",R184=""),"",IFERROR(ROUND(IF(OR(BK184="",R184=""),"",IF(R184&lt;BK184,"",ROUND(((NETWORKDAYS(BK184,R184,JoursFeries)-1)*(HFer-HOuv)+IF(NETWORKDAYS(R184,R184,JoursFeries),MEDIAN(MOD(R184,1),HFer,HOuv),HFer)-IF(NETWORKDAYS(BK184,BK184,JoursFeries),MEDIAN(MOD(BK184,1),HFer,HOuv),HOuv))*24,4)))/HJour,4),""))</f>
        <v/>
      </c>
      <c r="BM184" s="35" t="str">
        <f aca="false">IF(OR(AO184&lt;&gt;1,R184=""),"",IF(BD184=1,1,0))</f>
        <v/>
      </c>
      <c r="BN184" s="35" t="str">
        <f aca="false">IF(AO184&lt;&gt;1,"",IF(W184="Oui",1,0))</f>
        <v/>
      </c>
      <c r="BO184" s="35" t="str">
        <f aca="false">IF(AO184&lt;&gt;1,"",IF(X184&lt;&gt;"",1,0))</f>
        <v/>
      </c>
      <c r="BP184" s="35" t="str">
        <f aca="false">IF(AO184&lt;&gt;1,"",IF(Y184="Oui",1,0))</f>
        <v/>
      </c>
      <c r="BQ184" s="35" t="str">
        <f aca="true">IF(OR(AO184&lt;&gt;1,Z184&lt;&gt;"Oui"),"",IF(AB184="",IF(AND(AA184&lt;&gt;"",NOW()&gt;AA184),0,""),IF(AA184="","",IF(AB184&lt;=AA184,1,0))))</f>
        <v/>
      </c>
      <c r="BR184" s="38" t="str">
        <f aca="false">IF(OR(AO184&lt;&gt;1,K184&lt;&gt;"Oui",O184=""),"",IF(AC184="",O184+DORA_H_DET/24,IF(AC184-O184&lt;=DORA_H_DET/24,MIN(AC184+DORA_H_CLA/24,O184+DORA_H_DET/24),AC184+DORA_H_CLA/24)))</f>
        <v/>
      </c>
      <c r="BS184" s="35" t="str">
        <f aca="true">IF(BR184="","",IF(AD184="",IF(NOW()&gt;BR184,0,""),IF(AD184&lt;=BR184,1,0)))</f>
        <v/>
      </c>
      <c r="BT184" s="35" t="str">
        <f aca="true">IF(OR(BR184="",AD184=""),"",IF(AE184="",IF(NOW()&gt;AD184+DORA_H_INT/24,0,""),IF(AE184&lt;=AD184+DORA_H_INT/24,1,0)))</f>
        <v/>
      </c>
      <c r="BU184" s="35" t="str">
        <f aca="true">IF(OR(BR184="",AE184=""),"",IF(AF184="",IF(NOW()&gt;EDATE(AE184,DORA_M_FIN)+1,0,""),IF(AF184&lt;=EDATE(AE184,DORA_M_FIN),1,0)))</f>
        <v/>
      </c>
      <c r="BV184" s="35" t="str">
        <f aca="false">IF(BR184="","",IF(COUNT(BS184:BU184)=0,"",MIN(BS184:BU184)))</f>
        <v/>
      </c>
      <c r="BW184" s="40" t="str">
        <f aca="false">IF(AQ184&lt;&gt;1,"",IF(AND(AG184="",AH184=""),"",N(AG184)-N(AH184)))</f>
        <v/>
      </c>
      <c r="BX184" s="35" t="str">
        <f aca="true">IF(OR(AQ184&lt;&gt;1,AI184&lt;&gt;"Oui",AJ184=""),"",IF(AK184="",IF(NOW()&gt;AJ184+1,0,""),IF(AK184&lt;=AJ184,1,0)))</f>
        <v/>
      </c>
    </row>
    <row r="185" customFormat="false" ht="15" hidden="false" customHeight="false" outlineLevel="0" collapsed="false">
      <c r="B185" s="29"/>
      <c r="C185" s="29"/>
      <c r="D185" s="29"/>
      <c r="E185" s="29"/>
      <c r="F185" s="29"/>
      <c r="G185" s="29"/>
      <c r="H185" s="29"/>
      <c r="I185" s="29"/>
      <c r="J185" s="29"/>
      <c r="K185" s="29"/>
      <c r="L185" s="29"/>
      <c r="M185" s="29"/>
      <c r="N185" s="30"/>
      <c r="O185" s="30"/>
      <c r="P185" s="30"/>
      <c r="Q185" s="30"/>
      <c r="R185" s="30"/>
      <c r="S185" s="30"/>
      <c r="T185" s="30"/>
      <c r="U185" s="30"/>
      <c r="V185" s="31"/>
      <c r="W185" s="29"/>
      <c r="X185" s="29"/>
      <c r="Y185" s="29"/>
      <c r="Z185" s="29"/>
      <c r="AA185" s="30"/>
      <c r="AB185" s="30"/>
      <c r="AC185" s="30"/>
      <c r="AD185" s="30"/>
      <c r="AE185" s="30"/>
      <c r="AF185" s="32"/>
      <c r="AG185" s="33"/>
      <c r="AH185" s="33"/>
      <c r="AI185" s="29"/>
      <c r="AJ185" s="32"/>
      <c r="AK185" s="32"/>
      <c r="AL185" s="29"/>
      <c r="AN185" s="34" t="str">
        <f aca="false">IF($B185="","",IF(OR(C185="",D185="",E185="",G185="",I185="",J185="",L185="",O185="",P185=""),"Champ obligatoire manquant",IF(OR(AND(N185&lt;&gt;"",N185&gt;O185),O185&gt;P185,AND(Q185&lt;&gt;"",Q185&lt;P185),AND(R185&lt;&gt;"",R185&lt;P185),AND(S185&lt;&gt;"",S185&lt;R185),AND(S185&lt;&gt;"",R185=""),AND(T185&lt;&gt;"",T185&lt;O185),AND(U185&lt;&gt;"",U185&lt;O185)),"Chronologie incohérente",IF(AND(OR(L185="Résolu",L185="Clos"),R185=""),"Date de résolution manquante",IF(AND(L185="Clos",S185=""),"Date de clôture manquante",IF(AND(K185="Oui",AC185=""),"Classification DORA manquante","OK"))))))</f>
        <v/>
      </c>
      <c r="AO185" s="35" t="str">
        <f aca="false">IF($B185="","",IF(AND(C185="Incident",L185&lt;&gt;"Annulé"),1,0))</f>
        <v/>
      </c>
      <c r="AP185" s="35" t="str">
        <f aca="false">IF($B185="","",IF(AND(C185="Quasi-incident",L185&lt;&gt;"Annulé"),1,0))</f>
        <v/>
      </c>
      <c r="AQ185" s="35" t="str">
        <f aca="false">IF($B185="","",AO185+AP185)</f>
        <v/>
      </c>
      <c r="AR185" s="36" t="str">
        <f aca="false">IF(OR($B185="",J185=""),"",IFERROR(VALUE(LEFT(J185,1)),""))</f>
        <v/>
      </c>
      <c r="AS185" s="35" t="str">
        <f aca="false">IF(OR(AO185&lt;&gt;1,G185=""),"",IFERROR(IF(INDEX(L_SrcInterne,MATCH(G185,L_Sources,0))="Oui",1,0),""))</f>
        <v/>
      </c>
      <c r="AT185" s="37" t="str">
        <f aca="false">IF(AO185&lt;&gt;1,"",IFERROR(ROUND(IF(OR(N185="",O185=""),"",IF(O185&lt;N185,"",ROUND(((NETWORKDAYS(N185,O185,JoursFeries)-1)*(HFer-HOuv)+IF(NETWORKDAYS(O185,O185,JoursFeries),MEDIAN(MOD(O185,1),HFer,HOuv),HFer)-IF(NETWORKDAYS(N185,N185,JoursFeries),MEDIAN(MOD(N185,1),HFer,HOuv),HOuv))*24,4)))/HJour,4),""))</f>
        <v/>
      </c>
      <c r="AU185" s="37" t="str">
        <f aca="false">IF(AO185&lt;&gt;1,"",IF(OR(O185="",P185=""),"",IF(P185&lt;O185,"",ROUND(((NETWORKDAYS(O185,P185,JoursFeries)-1)*(HFer-HOuv)+IF(NETWORKDAYS(P185,P185,JoursFeries),MEDIAN(MOD(P185,1),HFer,HOuv),HFer)-IF(NETWORKDAYS(O185,O185,JoursFeries),MEDIAN(MOD(O185,1),HFer,HOuv),HOuv))*24,4))))</f>
        <v/>
      </c>
      <c r="AV185" s="37" t="str">
        <f aca="false">IF(AO185&lt;&gt;1,"",IF(OR(P185="",Q185=""),"",IF(Q185&lt;P185,"",ROUND(((NETWORKDAYS(P185,Q185,JoursFeries)-1)*(HFer-HOuv)+IF(NETWORKDAYS(Q185,Q185,JoursFeries),MEDIAN(MOD(Q185,1),HFer,HOuv),HFer)-IF(NETWORKDAYS(P185,P185,JoursFeries),MEDIAN(MOD(P185,1),HFer,HOuv),HOuv))*24,4))))</f>
        <v/>
      </c>
      <c r="AW185" s="37" t="str">
        <f aca="false">IF(AO185&lt;&gt;1,"",IFERROR(ROUND(IF(OR(P185="",R185=""),"",IF(R185&lt;P185,"",ROUND(((NETWORKDAYS(P185,R185,JoursFeries)-1)*(HFer-HOuv)+IF(NETWORKDAYS(R185,R185,JoursFeries),MEDIAN(MOD(R185,1),HFer,HOuv),HFer)-IF(NETWORKDAYS(P185,P185,JoursFeries),MEDIAN(MOD(P185,1),HFer,HOuv),HOuv))*24,4)))/HJour,4),""))</f>
        <v/>
      </c>
      <c r="AX185" s="37" t="str">
        <f aca="false">IF(AO185&lt;&gt;1,"",IFERROR(ROUND(IF(OR(P185="",S185=""),"",IF(S185&lt;P185,"",ROUND(((NETWORKDAYS(P185,S185,JoursFeries)-1)*(HFer-HOuv)+IF(NETWORKDAYS(S185,S185,JoursFeries),MEDIAN(MOD(S185,1),HFer,HOuv),HFer)-IF(NETWORKDAYS(P185,P185,JoursFeries),MEDIAN(MOD(P185,1),HFer,HOuv),HOuv))*24,4)))/HJour,4),""))</f>
        <v/>
      </c>
      <c r="AY185" s="36" t="str">
        <f aca="false">IF(OR(AO185&lt;&gt;1,AR185=""),"",INDEX(SLA_PEC,AR185))</f>
        <v/>
      </c>
      <c r="AZ185" s="35" t="str">
        <f aca="false">IF(OR(AV185="",AY185=""),"",IF(AV185&lt;=AY185,1,0))</f>
        <v/>
      </c>
      <c r="BA185" s="36" t="str">
        <f aca="false">IF(OR(AO185&lt;&gt;1,AR185=""),"",INDEX(SLA_RES,AR185))</f>
        <v/>
      </c>
      <c r="BB185" s="35" t="str">
        <f aca="false">IF(OR(AW185="",BA185=""),"",IF(AW185&lt;=BA185,1,0))</f>
        <v/>
      </c>
      <c r="BC185" s="38" t="str">
        <f aca="false">IF(OR(BA185="",P185=""),"",WORKDAY(INT(P185),BA185,JoursFeries)+MOD(P185,1))</f>
        <v/>
      </c>
      <c r="BD185" s="39" t="str">
        <f aca="false">IF(AO185&lt;&gt;1,"",IF(OR(AB185&lt;&gt;"",AD185&lt;&gt;""),4,IF(U185&lt;&gt;"",3,IF(T185&lt;&gt;"",2,1))))</f>
        <v/>
      </c>
      <c r="BE185" s="39" t="str">
        <f aca="false">IF(OR(AO185&lt;&gt;1,AR185=""),"",INDEX(NIV_REQ,AR185))</f>
        <v/>
      </c>
      <c r="BF185" s="39" t="str">
        <f aca="false">IF(BE185="","",MAX(BE185,IF(OR(K185="Oui",Z185="Oui"),4,1)))</f>
        <v/>
      </c>
      <c r="BG185" s="35" t="str">
        <f aca="false">IF(OR(BF185="",BD185=""),"",IF(BD185&gt;=BF185,1,0))</f>
        <v/>
      </c>
      <c r="BH185" s="38" t="str">
        <f aca="false">IF(BE185="","",IF(BE185&lt;2,"",IF(BE185=2,IF(AND(T185="",U185=""),"",MIN(T185,U185)),IF(U185="","",U185))))</f>
        <v/>
      </c>
      <c r="BI185" s="37" t="str">
        <f aca="false">IF(BH185="","",IF(OR(O185="",BH185=""),"",IF(BH185&lt;O185,"",ROUND(((NETWORKDAYS(O185,BH185,JoursFeries)-1)*(HFer-HOuv)+IF(NETWORKDAYS(BH185,BH185,JoursFeries),MEDIAN(MOD(BH185,1),HFer,HOuv),HFer)-IF(NETWORKDAYS(O185,O185,JoursFeries),MEDIAN(MOD(O185,1),HFer,HOuv),HOuv))*24,4))))</f>
        <v/>
      </c>
      <c r="BJ185" s="35" t="str">
        <f aca="false">IF(OR(BI185="",AR185=""),"",IF(BI185&lt;=INDEX(DELAI_ESC,AR185),1,0))</f>
        <v/>
      </c>
      <c r="BK185" s="38" t="str">
        <f aca="false">IF(AO185&lt;&gt;1,"",IF(AND(T185="",U185=""),"",MIN(T185,U185)))</f>
        <v/>
      </c>
      <c r="BL185" s="37" t="str">
        <f aca="false">IF(OR(BK185="",R185=""),"",IFERROR(ROUND(IF(OR(BK185="",R185=""),"",IF(R185&lt;BK185,"",ROUND(((NETWORKDAYS(BK185,R185,JoursFeries)-1)*(HFer-HOuv)+IF(NETWORKDAYS(R185,R185,JoursFeries),MEDIAN(MOD(R185,1),HFer,HOuv),HFer)-IF(NETWORKDAYS(BK185,BK185,JoursFeries),MEDIAN(MOD(BK185,1),HFer,HOuv),HOuv))*24,4)))/HJour,4),""))</f>
        <v/>
      </c>
      <c r="BM185" s="35" t="str">
        <f aca="false">IF(OR(AO185&lt;&gt;1,R185=""),"",IF(BD185=1,1,0))</f>
        <v/>
      </c>
      <c r="BN185" s="35" t="str">
        <f aca="false">IF(AO185&lt;&gt;1,"",IF(W185="Oui",1,0))</f>
        <v/>
      </c>
      <c r="BO185" s="35" t="str">
        <f aca="false">IF(AO185&lt;&gt;1,"",IF(X185&lt;&gt;"",1,0))</f>
        <v/>
      </c>
      <c r="BP185" s="35" t="str">
        <f aca="false">IF(AO185&lt;&gt;1,"",IF(Y185="Oui",1,0))</f>
        <v/>
      </c>
      <c r="BQ185" s="35" t="str">
        <f aca="true">IF(OR(AO185&lt;&gt;1,Z185&lt;&gt;"Oui"),"",IF(AB185="",IF(AND(AA185&lt;&gt;"",NOW()&gt;AA185),0,""),IF(AA185="","",IF(AB185&lt;=AA185,1,0))))</f>
        <v/>
      </c>
      <c r="BR185" s="38" t="str">
        <f aca="false">IF(OR(AO185&lt;&gt;1,K185&lt;&gt;"Oui",O185=""),"",IF(AC185="",O185+DORA_H_DET/24,IF(AC185-O185&lt;=DORA_H_DET/24,MIN(AC185+DORA_H_CLA/24,O185+DORA_H_DET/24),AC185+DORA_H_CLA/24)))</f>
        <v/>
      </c>
      <c r="BS185" s="35" t="str">
        <f aca="true">IF(BR185="","",IF(AD185="",IF(NOW()&gt;BR185,0,""),IF(AD185&lt;=BR185,1,0)))</f>
        <v/>
      </c>
      <c r="BT185" s="35" t="str">
        <f aca="true">IF(OR(BR185="",AD185=""),"",IF(AE185="",IF(NOW()&gt;AD185+DORA_H_INT/24,0,""),IF(AE185&lt;=AD185+DORA_H_INT/24,1,0)))</f>
        <v/>
      </c>
      <c r="BU185" s="35" t="str">
        <f aca="true">IF(OR(BR185="",AE185=""),"",IF(AF185="",IF(NOW()&gt;EDATE(AE185,DORA_M_FIN)+1,0,""),IF(AF185&lt;=EDATE(AE185,DORA_M_FIN),1,0)))</f>
        <v/>
      </c>
      <c r="BV185" s="35" t="str">
        <f aca="false">IF(BR185="","",IF(COUNT(BS185:BU185)=0,"",MIN(BS185:BU185)))</f>
        <v/>
      </c>
      <c r="BW185" s="40" t="str">
        <f aca="false">IF(AQ185&lt;&gt;1,"",IF(AND(AG185="",AH185=""),"",N(AG185)-N(AH185)))</f>
        <v/>
      </c>
      <c r="BX185" s="35" t="str">
        <f aca="true">IF(OR(AQ185&lt;&gt;1,AI185&lt;&gt;"Oui",AJ185=""),"",IF(AK185="",IF(NOW()&gt;AJ185+1,0,""),IF(AK185&lt;=AJ185,1,0)))</f>
        <v/>
      </c>
    </row>
    <row r="186" customFormat="false" ht="15" hidden="false" customHeight="false" outlineLevel="0" collapsed="false">
      <c r="B186" s="29"/>
      <c r="C186" s="29"/>
      <c r="D186" s="29"/>
      <c r="E186" s="29"/>
      <c r="F186" s="29"/>
      <c r="G186" s="29"/>
      <c r="H186" s="29"/>
      <c r="I186" s="29"/>
      <c r="J186" s="29"/>
      <c r="K186" s="29"/>
      <c r="L186" s="29"/>
      <c r="M186" s="29"/>
      <c r="N186" s="30"/>
      <c r="O186" s="30"/>
      <c r="P186" s="30"/>
      <c r="Q186" s="30"/>
      <c r="R186" s="30"/>
      <c r="S186" s="30"/>
      <c r="T186" s="30"/>
      <c r="U186" s="30"/>
      <c r="V186" s="31"/>
      <c r="W186" s="29"/>
      <c r="X186" s="29"/>
      <c r="Y186" s="29"/>
      <c r="Z186" s="29"/>
      <c r="AA186" s="30"/>
      <c r="AB186" s="30"/>
      <c r="AC186" s="30"/>
      <c r="AD186" s="30"/>
      <c r="AE186" s="30"/>
      <c r="AF186" s="32"/>
      <c r="AG186" s="33"/>
      <c r="AH186" s="33"/>
      <c r="AI186" s="29"/>
      <c r="AJ186" s="32"/>
      <c r="AK186" s="32"/>
      <c r="AL186" s="29"/>
      <c r="AN186" s="34" t="str">
        <f aca="false">IF($B186="","",IF(OR(C186="",D186="",E186="",G186="",I186="",J186="",L186="",O186="",P186=""),"Champ obligatoire manquant",IF(OR(AND(N186&lt;&gt;"",N186&gt;O186),O186&gt;P186,AND(Q186&lt;&gt;"",Q186&lt;P186),AND(R186&lt;&gt;"",R186&lt;P186),AND(S186&lt;&gt;"",S186&lt;R186),AND(S186&lt;&gt;"",R186=""),AND(T186&lt;&gt;"",T186&lt;O186),AND(U186&lt;&gt;"",U186&lt;O186)),"Chronologie incohérente",IF(AND(OR(L186="Résolu",L186="Clos"),R186=""),"Date de résolution manquante",IF(AND(L186="Clos",S186=""),"Date de clôture manquante",IF(AND(K186="Oui",AC186=""),"Classification DORA manquante","OK"))))))</f>
        <v/>
      </c>
      <c r="AO186" s="35" t="str">
        <f aca="false">IF($B186="","",IF(AND(C186="Incident",L186&lt;&gt;"Annulé"),1,0))</f>
        <v/>
      </c>
      <c r="AP186" s="35" t="str">
        <f aca="false">IF($B186="","",IF(AND(C186="Quasi-incident",L186&lt;&gt;"Annulé"),1,0))</f>
        <v/>
      </c>
      <c r="AQ186" s="35" t="str">
        <f aca="false">IF($B186="","",AO186+AP186)</f>
        <v/>
      </c>
      <c r="AR186" s="36" t="str">
        <f aca="false">IF(OR($B186="",J186=""),"",IFERROR(VALUE(LEFT(J186,1)),""))</f>
        <v/>
      </c>
      <c r="AS186" s="35" t="str">
        <f aca="false">IF(OR(AO186&lt;&gt;1,G186=""),"",IFERROR(IF(INDEX(L_SrcInterne,MATCH(G186,L_Sources,0))="Oui",1,0),""))</f>
        <v/>
      </c>
      <c r="AT186" s="37" t="str">
        <f aca="false">IF(AO186&lt;&gt;1,"",IFERROR(ROUND(IF(OR(N186="",O186=""),"",IF(O186&lt;N186,"",ROUND(((NETWORKDAYS(N186,O186,JoursFeries)-1)*(HFer-HOuv)+IF(NETWORKDAYS(O186,O186,JoursFeries),MEDIAN(MOD(O186,1),HFer,HOuv),HFer)-IF(NETWORKDAYS(N186,N186,JoursFeries),MEDIAN(MOD(N186,1),HFer,HOuv),HOuv))*24,4)))/HJour,4),""))</f>
        <v/>
      </c>
      <c r="AU186" s="37" t="str">
        <f aca="false">IF(AO186&lt;&gt;1,"",IF(OR(O186="",P186=""),"",IF(P186&lt;O186,"",ROUND(((NETWORKDAYS(O186,P186,JoursFeries)-1)*(HFer-HOuv)+IF(NETWORKDAYS(P186,P186,JoursFeries),MEDIAN(MOD(P186,1),HFer,HOuv),HFer)-IF(NETWORKDAYS(O186,O186,JoursFeries),MEDIAN(MOD(O186,1),HFer,HOuv),HOuv))*24,4))))</f>
        <v/>
      </c>
      <c r="AV186" s="37" t="str">
        <f aca="false">IF(AO186&lt;&gt;1,"",IF(OR(P186="",Q186=""),"",IF(Q186&lt;P186,"",ROUND(((NETWORKDAYS(P186,Q186,JoursFeries)-1)*(HFer-HOuv)+IF(NETWORKDAYS(Q186,Q186,JoursFeries),MEDIAN(MOD(Q186,1),HFer,HOuv),HFer)-IF(NETWORKDAYS(P186,P186,JoursFeries),MEDIAN(MOD(P186,1),HFer,HOuv),HOuv))*24,4))))</f>
        <v/>
      </c>
      <c r="AW186" s="37" t="str">
        <f aca="false">IF(AO186&lt;&gt;1,"",IFERROR(ROUND(IF(OR(P186="",R186=""),"",IF(R186&lt;P186,"",ROUND(((NETWORKDAYS(P186,R186,JoursFeries)-1)*(HFer-HOuv)+IF(NETWORKDAYS(R186,R186,JoursFeries),MEDIAN(MOD(R186,1),HFer,HOuv),HFer)-IF(NETWORKDAYS(P186,P186,JoursFeries),MEDIAN(MOD(P186,1),HFer,HOuv),HOuv))*24,4)))/HJour,4),""))</f>
        <v/>
      </c>
      <c r="AX186" s="37" t="str">
        <f aca="false">IF(AO186&lt;&gt;1,"",IFERROR(ROUND(IF(OR(P186="",S186=""),"",IF(S186&lt;P186,"",ROUND(((NETWORKDAYS(P186,S186,JoursFeries)-1)*(HFer-HOuv)+IF(NETWORKDAYS(S186,S186,JoursFeries),MEDIAN(MOD(S186,1),HFer,HOuv),HFer)-IF(NETWORKDAYS(P186,P186,JoursFeries),MEDIAN(MOD(P186,1),HFer,HOuv),HOuv))*24,4)))/HJour,4),""))</f>
        <v/>
      </c>
      <c r="AY186" s="36" t="str">
        <f aca="false">IF(OR(AO186&lt;&gt;1,AR186=""),"",INDEX(SLA_PEC,AR186))</f>
        <v/>
      </c>
      <c r="AZ186" s="35" t="str">
        <f aca="false">IF(OR(AV186="",AY186=""),"",IF(AV186&lt;=AY186,1,0))</f>
        <v/>
      </c>
      <c r="BA186" s="36" t="str">
        <f aca="false">IF(OR(AO186&lt;&gt;1,AR186=""),"",INDEX(SLA_RES,AR186))</f>
        <v/>
      </c>
      <c r="BB186" s="35" t="str">
        <f aca="false">IF(OR(AW186="",BA186=""),"",IF(AW186&lt;=BA186,1,0))</f>
        <v/>
      </c>
      <c r="BC186" s="38" t="str">
        <f aca="false">IF(OR(BA186="",P186=""),"",WORKDAY(INT(P186),BA186,JoursFeries)+MOD(P186,1))</f>
        <v/>
      </c>
      <c r="BD186" s="39" t="str">
        <f aca="false">IF(AO186&lt;&gt;1,"",IF(OR(AB186&lt;&gt;"",AD186&lt;&gt;""),4,IF(U186&lt;&gt;"",3,IF(T186&lt;&gt;"",2,1))))</f>
        <v/>
      </c>
      <c r="BE186" s="39" t="str">
        <f aca="false">IF(OR(AO186&lt;&gt;1,AR186=""),"",INDEX(NIV_REQ,AR186))</f>
        <v/>
      </c>
      <c r="BF186" s="39" t="str">
        <f aca="false">IF(BE186="","",MAX(BE186,IF(OR(K186="Oui",Z186="Oui"),4,1)))</f>
        <v/>
      </c>
      <c r="BG186" s="35" t="str">
        <f aca="false">IF(OR(BF186="",BD186=""),"",IF(BD186&gt;=BF186,1,0))</f>
        <v/>
      </c>
      <c r="BH186" s="38" t="str">
        <f aca="false">IF(BE186="","",IF(BE186&lt;2,"",IF(BE186=2,IF(AND(T186="",U186=""),"",MIN(T186,U186)),IF(U186="","",U186))))</f>
        <v/>
      </c>
      <c r="BI186" s="37" t="str">
        <f aca="false">IF(BH186="","",IF(OR(O186="",BH186=""),"",IF(BH186&lt;O186,"",ROUND(((NETWORKDAYS(O186,BH186,JoursFeries)-1)*(HFer-HOuv)+IF(NETWORKDAYS(BH186,BH186,JoursFeries),MEDIAN(MOD(BH186,1),HFer,HOuv),HFer)-IF(NETWORKDAYS(O186,O186,JoursFeries),MEDIAN(MOD(O186,1),HFer,HOuv),HOuv))*24,4))))</f>
        <v/>
      </c>
      <c r="BJ186" s="35" t="str">
        <f aca="false">IF(OR(BI186="",AR186=""),"",IF(BI186&lt;=INDEX(DELAI_ESC,AR186),1,0))</f>
        <v/>
      </c>
      <c r="BK186" s="38" t="str">
        <f aca="false">IF(AO186&lt;&gt;1,"",IF(AND(T186="",U186=""),"",MIN(T186,U186)))</f>
        <v/>
      </c>
      <c r="BL186" s="37" t="str">
        <f aca="false">IF(OR(BK186="",R186=""),"",IFERROR(ROUND(IF(OR(BK186="",R186=""),"",IF(R186&lt;BK186,"",ROUND(((NETWORKDAYS(BK186,R186,JoursFeries)-1)*(HFer-HOuv)+IF(NETWORKDAYS(R186,R186,JoursFeries),MEDIAN(MOD(R186,1),HFer,HOuv),HFer)-IF(NETWORKDAYS(BK186,BK186,JoursFeries),MEDIAN(MOD(BK186,1),HFer,HOuv),HOuv))*24,4)))/HJour,4),""))</f>
        <v/>
      </c>
      <c r="BM186" s="35" t="str">
        <f aca="false">IF(OR(AO186&lt;&gt;1,R186=""),"",IF(BD186=1,1,0))</f>
        <v/>
      </c>
      <c r="BN186" s="35" t="str">
        <f aca="false">IF(AO186&lt;&gt;1,"",IF(W186="Oui",1,0))</f>
        <v/>
      </c>
      <c r="BO186" s="35" t="str">
        <f aca="false">IF(AO186&lt;&gt;1,"",IF(X186&lt;&gt;"",1,0))</f>
        <v/>
      </c>
      <c r="BP186" s="35" t="str">
        <f aca="false">IF(AO186&lt;&gt;1,"",IF(Y186="Oui",1,0))</f>
        <v/>
      </c>
      <c r="BQ186" s="35" t="str">
        <f aca="true">IF(OR(AO186&lt;&gt;1,Z186&lt;&gt;"Oui"),"",IF(AB186="",IF(AND(AA186&lt;&gt;"",NOW()&gt;AA186),0,""),IF(AA186="","",IF(AB186&lt;=AA186,1,0))))</f>
        <v/>
      </c>
      <c r="BR186" s="38" t="str">
        <f aca="false">IF(OR(AO186&lt;&gt;1,K186&lt;&gt;"Oui",O186=""),"",IF(AC186="",O186+DORA_H_DET/24,IF(AC186-O186&lt;=DORA_H_DET/24,MIN(AC186+DORA_H_CLA/24,O186+DORA_H_DET/24),AC186+DORA_H_CLA/24)))</f>
        <v/>
      </c>
      <c r="BS186" s="35" t="str">
        <f aca="true">IF(BR186="","",IF(AD186="",IF(NOW()&gt;BR186,0,""),IF(AD186&lt;=BR186,1,0)))</f>
        <v/>
      </c>
      <c r="BT186" s="35" t="str">
        <f aca="true">IF(OR(BR186="",AD186=""),"",IF(AE186="",IF(NOW()&gt;AD186+DORA_H_INT/24,0,""),IF(AE186&lt;=AD186+DORA_H_INT/24,1,0)))</f>
        <v/>
      </c>
      <c r="BU186" s="35" t="str">
        <f aca="true">IF(OR(BR186="",AE186=""),"",IF(AF186="",IF(NOW()&gt;EDATE(AE186,DORA_M_FIN)+1,0,""),IF(AF186&lt;=EDATE(AE186,DORA_M_FIN),1,0)))</f>
        <v/>
      </c>
      <c r="BV186" s="35" t="str">
        <f aca="false">IF(BR186="","",IF(COUNT(BS186:BU186)=0,"",MIN(BS186:BU186)))</f>
        <v/>
      </c>
      <c r="BW186" s="40" t="str">
        <f aca="false">IF(AQ186&lt;&gt;1,"",IF(AND(AG186="",AH186=""),"",N(AG186)-N(AH186)))</f>
        <v/>
      </c>
      <c r="BX186" s="35" t="str">
        <f aca="true">IF(OR(AQ186&lt;&gt;1,AI186&lt;&gt;"Oui",AJ186=""),"",IF(AK186="",IF(NOW()&gt;AJ186+1,0,""),IF(AK186&lt;=AJ186,1,0)))</f>
        <v/>
      </c>
    </row>
    <row r="187" customFormat="false" ht="15" hidden="false" customHeight="false" outlineLevel="0" collapsed="false">
      <c r="B187" s="29"/>
      <c r="C187" s="29"/>
      <c r="D187" s="29"/>
      <c r="E187" s="29"/>
      <c r="F187" s="29"/>
      <c r="G187" s="29"/>
      <c r="H187" s="29"/>
      <c r="I187" s="29"/>
      <c r="J187" s="29"/>
      <c r="K187" s="29"/>
      <c r="L187" s="29"/>
      <c r="M187" s="29"/>
      <c r="N187" s="30"/>
      <c r="O187" s="30"/>
      <c r="P187" s="30"/>
      <c r="Q187" s="30"/>
      <c r="R187" s="30"/>
      <c r="S187" s="30"/>
      <c r="T187" s="30"/>
      <c r="U187" s="30"/>
      <c r="V187" s="31"/>
      <c r="W187" s="29"/>
      <c r="X187" s="29"/>
      <c r="Y187" s="29"/>
      <c r="Z187" s="29"/>
      <c r="AA187" s="30"/>
      <c r="AB187" s="30"/>
      <c r="AC187" s="30"/>
      <c r="AD187" s="30"/>
      <c r="AE187" s="30"/>
      <c r="AF187" s="32"/>
      <c r="AG187" s="33"/>
      <c r="AH187" s="33"/>
      <c r="AI187" s="29"/>
      <c r="AJ187" s="32"/>
      <c r="AK187" s="32"/>
      <c r="AL187" s="29"/>
      <c r="AN187" s="34" t="str">
        <f aca="false">IF($B187="","",IF(OR(C187="",D187="",E187="",G187="",I187="",J187="",L187="",O187="",P187=""),"Champ obligatoire manquant",IF(OR(AND(N187&lt;&gt;"",N187&gt;O187),O187&gt;P187,AND(Q187&lt;&gt;"",Q187&lt;P187),AND(R187&lt;&gt;"",R187&lt;P187),AND(S187&lt;&gt;"",S187&lt;R187),AND(S187&lt;&gt;"",R187=""),AND(T187&lt;&gt;"",T187&lt;O187),AND(U187&lt;&gt;"",U187&lt;O187)),"Chronologie incohérente",IF(AND(OR(L187="Résolu",L187="Clos"),R187=""),"Date de résolution manquante",IF(AND(L187="Clos",S187=""),"Date de clôture manquante",IF(AND(K187="Oui",AC187=""),"Classification DORA manquante","OK"))))))</f>
        <v/>
      </c>
      <c r="AO187" s="35" t="str">
        <f aca="false">IF($B187="","",IF(AND(C187="Incident",L187&lt;&gt;"Annulé"),1,0))</f>
        <v/>
      </c>
      <c r="AP187" s="35" t="str">
        <f aca="false">IF($B187="","",IF(AND(C187="Quasi-incident",L187&lt;&gt;"Annulé"),1,0))</f>
        <v/>
      </c>
      <c r="AQ187" s="35" t="str">
        <f aca="false">IF($B187="","",AO187+AP187)</f>
        <v/>
      </c>
      <c r="AR187" s="36" t="str">
        <f aca="false">IF(OR($B187="",J187=""),"",IFERROR(VALUE(LEFT(J187,1)),""))</f>
        <v/>
      </c>
      <c r="AS187" s="35" t="str">
        <f aca="false">IF(OR(AO187&lt;&gt;1,G187=""),"",IFERROR(IF(INDEX(L_SrcInterne,MATCH(G187,L_Sources,0))="Oui",1,0),""))</f>
        <v/>
      </c>
      <c r="AT187" s="37" t="str">
        <f aca="false">IF(AO187&lt;&gt;1,"",IFERROR(ROUND(IF(OR(N187="",O187=""),"",IF(O187&lt;N187,"",ROUND(((NETWORKDAYS(N187,O187,JoursFeries)-1)*(HFer-HOuv)+IF(NETWORKDAYS(O187,O187,JoursFeries),MEDIAN(MOD(O187,1),HFer,HOuv),HFer)-IF(NETWORKDAYS(N187,N187,JoursFeries),MEDIAN(MOD(N187,1),HFer,HOuv),HOuv))*24,4)))/HJour,4),""))</f>
        <v/>
      </c>
      <c r="AU187" s="37" t="str">
        <f aca="false">IF(AO187&lt;&gt;1,"",IF(OR(O187="",P187=""),"",IF(P187&lt;O187,"",ROUND(((NETWORKDAYS(O187,P187,JoursFeries)-1)*(HFer-HOuv)+IF(NETWORKDAYS(P187,P187,JoursFeries),MEDIAN(MOD(P187,1),HFer,HOuv),HFer)-IF(NETWORKDAYS(O187,O187,JoursFeries),MEDIAN(MOD(O187,1),HFer,HOuv),HOuv))*24,4))))</f>
        <v/>
      </c>
      <c r="AV187" s="37" t="str">
        <f aca="false">IF(AO187&lt;&gt;1,"",IF(OR(P187="",Q187=""),"",IF(Q187&lt;P187,"",ROUND(((NETWORKDAYS(P187,Q187,JoursFeries)-1)*(HFer-HOuv)+IF(NETWORKDAYS(Q187,Q187,JoursFeries),MEDIAN(MOD(Q187,1),HFer,HOuv),HFer)-IF(NETWORKDAYS(P187,P187,JoursFeries),MEDIAN(MOD(P187,1),HFer,HOuv),HOuv))*24,4))))</f>
        <v/>
      </c>
      <c r="AW187" s="37" t="str">
        <f aca="false">IF(AO187&lt;&gt;1,"",IFERROR(ROUND(IF(OR(P187="",R187=""),"",IF(R187&lt;P187,"",ROUND(((NETWORKDAYS(P187,R187,JoursFeries)-1)*(HFer-HOuv)+IF(NETWORKDAYS(R187,R187,JoursFeries),MEDIAN(MOD(R187,1),HFer,HOuv),HFer)-IF(NETWORKDAYS(P187,P187,JoursFeries),MEDIAN(MOD(P187,1),HFer,HOuv),HOuv))*24,4)))/HJour,4),""))</f>
        <v/>
      </c>
      <c r="AX187" s="37" t="str">
        <f aca="false">IF(AO187&lt;&gt;1,"",IFERROR(ROUND(IF(OR(P187="",S187=""),"",IF(S187&lt;P187,"",ROUND(((NETWORKDAYS(P187,S187,JoursFeries)-1)*(HFer-HOuv)+IF(NETWORKDAYS(S187,S187,JoursFeries),MEDIAN(MOD(S187,1),HFer,HOuv),HFer)-IF(NETWORKDAYS(P187,P187,JoursFeries),MEDIAN(MOD(P187,1),HFer,HOuv),HOuv))*24,4)))/HJour,4),""))</f>
        <v/>
      </c>
      <c r="AY187" s="36" t="str">
        <f aca="false">IF(OR(AO187&lt;&gt;1,AR187=""),"",INDEX(SLA_PEC,AR187))</f>
        <v/>
      </c>
      <c r="AZ187" s="35" t="str">
        <f aca="false">IF(OR(AV187="",AY187=""),"",IF(AV187&lt;=AY187,1,0))</f>
        <v/>
      </c>
      <c r="BA187" s="36" t="str">
        <f aca="false">IF(OR(AO187&lt;&gt;1,AR187=""),"",INDEX(SLA_RES,AR187))</f>
        <v/>
      </c>
      <c r="BB187" s="35" t="str">
        <f aca="false">IF(OR(AW187="",BA187=""),"",IF(AW187&lt;=BA187,1,0))</f>
        <v/>
      </c>
      <c r="BC187" s="38" t="str">
        <f aca="false">IF(OR(BA187="",P187=""),"",WORKDAY(INT(P187),BA187,JoursFeries)+MOD(P187,1))</f>
        <v/>
      </c>
      <c r="BD187" s="39" t="str">
        <f aca="false">IF(AO187&lt;&gt;1,"",IF(OR(AB187&lt;&gt;"",AD187&lt;&gt;""),4,IF(U187&lt;&gt;"",3,IF(T187&lt;&gt;"",2,1))))</f>
        <v/>
      </c>
      <c r="BE187" s="39" t="str">
        <f aca="false">IF(OR(AO187&lt;&gt;1,AR187=""),"",INDEX(NIV_REQ,AR187))</f>
        <v/>
      </c>
      <c r="BF187" s="39" t="str">
        <f aca="false">IF(BE187="","",MAX(BE187,IF(OR(K187="Oui",Z187="Oui"),4,1)))</f>
        <v/>
      </c>
      <c r="BG187" s="35" t="str">
        <f aca="false">IF(OR(BF187="",BD187=""),"",IF(BD187&gt;=BF187,1,0))</f>
        <v/>
      </c>
      <c r="BH187" s="38" t="str">
        <f aca="false">IF(BE187="","",IF(BE187&lt;2,"",IF(BE187=2,IF(AND(T187="",U187=""),"",MIN(T187,U187)),IF(U187="","",U187))))</f>
        <v/>
      </c>
      <c r="BI187" s="37" t="str">
        <f aca="false">IF(BH187="","",IF(OR(O187="",BH187=""),"",IF(BH187&lt;O187,"",ROUND(((NETWORKDAYS(O187,BH187,JoursFeries)-1)*(HFer-HOuv)+IF(NETWORKDAYS(BH187,BH187,JoursFeries),MEDIAN(MOD(BH187,1),HFer,HOuv),HFer)-IF(NETWORKDAYS(O187,O187,JoursFeries),MEDIAN(MOD(O187,1),HFer,HOuv),HOuv))*24,4))))</f>
        <v/>
      </c>
      <c r="BJ187" s="35" t="str">
        <f aca="false">IF(OR(BI187="",AR187=""),"",IF(BI187&lt;=INDEX(DELAI_ESC,AR187),1,0))</f>
        <v/>
      </c>
      <c r="BK187" s="38" t="str">
        <f aca="false">IF(AO187&lt;&gt;1,"",IF(AND(T187="",U187=""),"",MIN(T187,U187)))</f>
        <v/>
      </c>
      <c r="BL187" s="37" t="str">
        <f aca="false">IF(OR(BK187="",R187=""),"",IFERROR(ROUND(IF(OR(BK187="",R187=""),"",IF(R187&lt;BK187,"",ROUND(((NETWORKDAYS(BK187,R187,JoursFeries)-1)*(HFer-HOuv)+IF(NETWORKDAYS(R187,R187,JoursFeries),MEDIAN(MOD(R187,1),HFer,HOuv),HFer)-IF(NETWORKDAYS(BK187,BK187,JoursFeries),MEDIAN(MOD(BK187,1),HFer,HOuv),HOuv))*24,4)))/HJour,4),""))</f>
        <v/>
      </c>
      <c r="BM187" s="35" t="str">
        <f aca="false">IF(OR(AO187&lt;&gt;1,R187=""),"",IF(BD187=1,1,0))</f>
        <v/>
      </c>
      <c r="BN187" s="35" t="str">
        <f aca="false">IF(AO187&lt;&gt;1,"",IF(W187="Oui",1,0))</f>
        <v/>
      </c>
      <c r="BO187" s="35" t="str">
        <f aca="false">IF(AO187&lt;&gt;1,"",IF(X187&lt;&gt;"",1,0))</f>
        <v/>
      </c>
      <c r="BP187" s="35" t="str">
        <f aca="false">IF(AO187&lt;&gt;1,"",IF(Y187="Oui",1,0))</f>
        <v/>
      </c>
      <c r="BQ187" s="35" t="str">
        <f aca="true">IF(OR(AO187&lt;&gt;1,Z187&lt;&gt;"Oui"),"",IF(AB187="",IF(AND(AA187&lt;&gt;"",NOW()&gt;AA187),0,""),IF(AA187="","",IF(AB187&lt;=AA187,1,0))))</f>
        <v/>
      </c>
      <c r="BR187" s="38" t="str">
        <f aca="false">IF(OR(AO187&lt;&gt;1,K187&lt;&gt;"Oui",O187=""),"",IF(AC187="",O187+DORA_H_DET/24,IF(AC187-O187&lt;=DORA_H_DET/24,MIN(AC187+DORA_H_CLA/24,O187+DORA_H_DET/24),AC187+DORA_H_CLA/24)))</f>
        <v/>
      </c>
      <c r="BS187" s="35" t="str">
        <f aca="true">IF(BR187="","",IF(AD187="",IF(NOW()&gt;BR187,0,""),IF(AD187&lt;=BR187,1,0)))</f>
        <v/>
      </c>
      <c r="BT187" s="35" t="str">
        <f aca="true">IF(OR(BR187="",AD187=""),"",IF(AE187="",IF(NOW()&gt;AD187+DORA_H_INT/24,0,""),IF(AE187&lt;=AD187+DORA_H_INT/24,1,0)))</f>
        <v/>
      </c>
      <c r="BU187" s="35" t="str">
        <f aca="true">IF(OR(BR187="",AE187=""),"",IF(AF187="",IF(NOW()&gt;EDATE(AE187,DORA_M_FIN)+1,0,""),IF(AF187&lt;=EDATE(AE187,DORA_M_FIN),1,0)))</f>
        <v/>
      </c>
      <c r="BV187" s="35" t="str">
        <f aca="false">IF(BR187="","",IF(COUNT(BS187:BU187)=0,"",MIN(BS187:BU187)))</f>
        <v/>
      </c>
      <c r="BW187" s="40" t="str">
        <f aca="false">IF(AQ187&lt;&gt;1,"",IF(AND(AG187="",AH187=""),"",N(AG187)-N(AH187)))</f>
        <v/>
      </c>
      <c r="BX187" s="35" t="str">
        <f aca="true">IF(OR(AQ187&lt;&gt;1,AI187&lt;&gt;"Oui",AJ187=""),"",IF(AK187="",IF(NOW()&gt;AJ187+1,0,""),IF(AK187&lt;=AJ187,1,0)))</f>
        <v/>
      </c>
    </row>
    <row r="188" customFormat="false" ht="15" hidden="false" customHeight="false" outlineLevel="0" collapsed="false">
      <c r="B188" s="29"/>
      <c r="C188" s="29"/>
      <c r="D188" s="29"/>
      <c r="E188" s="29"/>
      <c r="F188" s="29"/>
      <c r="G188" s="29"/>
      <c r="H188" s="29"/>
      <c r="I188" s="29"/>
      <c r="J188" s="29"/>
      <c r="K188" s="29"/>
      <c r="L188" s="29"/>
      <c r="M188" s="29"/>
      <c r="N188" s="30"/>
      <c r="O188" s="30"/>
      <c r="P188" s="30"/>
      <c r="Q188" s="30"/>
      <c r="R188" s="30"/>
      <c r="S188" s="30"/>
      <c r="T188" s="30"/>
      <c r="U188" s="30"/>
      <c r="V188" s="31"/>
      <c r="W188" s="29"/>
      <c r="X188" s="29"/>
      <c r="Y188" s="29"/>
      <c r="Z188" s="29"/>
      <c r="AA188" s="30"/>
      <c r="AB188" s="30"/>
      <c r="AC188" s="30"/>
      <c r="AD188" s="30"/>
      <c r="AE188" s="30"/>
      <c r="AF188" s="32"/>
      <c r="AG188" s="33"/>
      <c r="AH188" s="33"/>
      <c r="AI188" s="29"/>
      <c r="AJ188" s="32"/>
      <c r="AK188" s="32"/>
      <c r="AL188" s="29"/>
      <c r="AN188" s="34" t="str">
        <f aca="false">IF($B188="","",IF(OR(C188="",D188="",E188="",G188="",I188="",J188="",L188="",O188="",P188=""),"Champ obligatoire manquant",IF(OR(AND(N188&lt;&gt;"",N188&gt;O188),O188&gt;P188,AND(Q188&lt;&gt;"",Q188&lt;P188),AND(R188&lt;&gt;"",R188&lt;P188),AND(S188&lt;&gt;"",S188&lt;R188),AND(S188&lt;&gt;"",R188=""),AND(T188&lt;&gt;"",T188&lt;O188),AND(U188&lt;&gt;"",U188&lt;O188)),"Chronologie incohérente",IF(AND(OR(L188="Résolu",L188="Clos"),R188=""),"Date de résolution manquante",IF(AND(L188="Clos",S188=""),"Date de clôture manquante",IF(AND(K188="Oui",AC188=""),"Classification DORA manquante","OK"))))))</f>
        <v/>
      </c>
      <c r="AO188" s="35" t="str">
        <f aca="false">IF($B188="","",IF(AND(C188="Incident",L188&lt;&gt;"Annulé"),1,0))</f>
        <v/>
      </c>
      <c r="AP188" s="35" t="str">
        <f aca="false">IF($B188="","",IF(AND(C188="Quasi-incident",L188&lt;&gt;"Annulé"),1,0))</f>
        <v/>
      </c>
      <c r="AQ188" s="35" t="str">
        <f aca="false">IF($B188="","",AO188+AP188)</f>
        <v/>
      </c>
      <c r="AR188" s="36" t="str">
        <f aca="false">IF(OR($B188="",J188=""),"",IFERROR(VALUE(LEFT(J188,1)),""))</f>
        <v/>
      </c>
      <c r="AS188" s="35" t="str">
        <f aca="false">IF(OR(AO188&lt;&gt;1,G188=""),"",IFERROR(IF(INDEX(L_SrcInterne,MATCH(G188,L_Sources,0))="Oui",1,0),""))</f>
        <v/>
      </c>
      <c r="AT188" s="37" t="str">
        <f aca="false">IF(AO188&lt;&gt;1,"",IFERROR(ROUND(IF(OR(N188="",O188=""),"",IF(O188&lt;N188,"",ROUND(((NETWORKDAYS(N188,O188,JoursFeries)-1)*(HFer-HOuv)+IF(NETWORKDAYS(O188,O188,JoursFeries),MEDIAN(MOD(O188,1),HFer,HOuv),HFer)-IF(NETWORKDAYS(N188,N188,JoursFeries),MEDIAN(MOD(N188,1),HFer,HOuv),HOuv))*24,4)))/HJour,4),""))</f>
        <v/>
      </c>
      <c r="AU188" s="37" t="str">
        <f aca="false">IF(AO188&lt;&gt;1,"",IF(OR(O188="",P188=""),"",IF(P188&lt;O188,"",ROUND(((NETWORKDAYS(O188,P188,JoursFeries)-1)*(HFer-HOuv)+IF(NETWORKDAYS(P188,P188,JoursFeries),MEDIAN(MOD(P188,1),HFer,HOuv),HFer)-IF(NETWORKDAYS(O188,O188,JoursFeries),MEDIAN(MOD(O188,1),HFer,HOuv),HOuv))*24,4))))</f>
        <v/>
      </c>
      <c r="AV188" s="37" t="str">
        <f aca="false">IF(AO188&lt;&gt;1,"",IF(OR(P188="",Q188=""),"",IF(Q188&lt;P188,"",ROUND(((NETWORKDAYS(P188,Q188,JoursFeries)-1)*(HFer-HOuv)+IF(NETWORKDAYS(Q188,Q188,JoursFeries),MEDIAN(MOD(Q188,1),HFer,HOuv),HFer)-IF(NETWORKDAYS(P188,P188,JoursFeries),MEDIAN(MOD(P188,1),HFer,HOuv),HOuv))*24,4))))</f>
        <v/>
      </c>
      <c r="AW188" s="37" t="str">
        <f aca="false">IF(AO188&lt;&gt;1,"",IFERROR(ROUND(IF(OR(P188="",R188=""),"",IF(R188&lt;P188,"",ROUND(((NETWORKDAYS(P188,R188,JoursFeries)-1)*(HFer-HOuv)+IF(NETWORKDAYS(R188,R188,JoursFeries),MEDIAN(MOD(R188,1),HFer,HOuv),HFer)-IF(NETWORKDAYS(P188,P188,JoursFeries),MEDIAN(MOD(P188,1),HFer,HOuv),HOuv))*24,4)))/HJour,4),""))</f>
        <v/>
      </c>
      <c r="AX188" s="37" t="str">
        <f aca="false">IF(AO188&lt;&gt;1,"",IFERROR(ROUND(IF(OR(P188="",S188=""),"",IF(S188&lt;P188,"",ROUND(((NETWORKDAYS(P188,S188,JoursFeries)-1)*(HFer-HOuv)+IF(NETWORKDAYS(S188,S188,JoursFeries),MEDIAN(MOD(S188,1),HFer,HOuv),HFer)-IF(NETWORKDAYS(P188,P188,JoursFeries),MEDIAN(MOD(P188,1),HFer,HOuv),HOuv))*24,4)))/HJour,4),""))</f>
        <v/>
      </c>
      <c r="AY188" s="36" t="str">
        <f aca="false">IF(OR(AO188&lt;&gt;1,AR188=""),"",INDEX(SLA_PEC,AR188))</f>
        <v/>
      </c>
      <c r="AZ188" s="35" t="str">
        <f aca="false">IF(OR(AV188="",AY188=""),"",IF(AV188&lt;=AY188,1,0))</f>
        <v/>
      </c>
      <c r="BA188" s="36" t="str">
        <f aca="false">IF(OR(AO188&lt;&gt;1,AR188=""),"",INDEX(SLA_RES,AR188))</f>
        <v/>
      </c>
      <c r="BB188" s="35" t="str">
        <f aca="false">IF(OR(AW188="",BA188=""),"",IF(AW188&lt;=BA188,1,0))</f>
        <v/>
      </c>
      <c r="BC188" s="38" t="str">
        <f aca="false">IF(OR(BA188="",P188=""),"",WORKDAY(INT(P188),BA188,JoursFeries)+MOD(P188,1))</f>
        <v/>
      </c>
      <c r="BD188" s="39" t="str">
        <f aca="false">IF(AO188&lt;&gt;1,"",IF(OR(AB188&lt;&gt;"",AD188&lt;&gt;""),4,IF(U188&lt;&gt;"",3,IF(T188&lt;&gt;"",2,1))))</f>
        <v/>
      </c>
      <c r="BE188" s="39" t="str">
        <f aca="false">IF(OR(AO188&lt;&gt;1,AR188=""),"",INDEX(NIV_REQ,AR188))</f>
        <v/>
      </c>
      <c r="BF188" s="39" t="str">
        <f aca="false">IF(BE188="","",MAX(BE188,IF(OR(K188="Oui",Z188="Oui"),4,1)))</f>
        <v/>
      </c>
      <c r="BG188" s="35" t="str">
        <f aca="false">IF(OR(BF188="",BD188=""),"",IF(BD188&gt;=BF188,1,0))</f>
        <v/>
      </c>
      <c r="BH188" s="38" t="str">
        <f aca="false">IF(BE188="","",IF(BE188&lt;2,"",IF(BE188=2,IF(AND(T188="",U188=""),"",MIN(T188,U188)),IF(U188="","",U188))))</f>
        <v/>
      </c>
      <c r="BI188" s="37" t="str">
        <f aca="false">IF(BH188="","",IF(OR(O188="",BH188=""),"",IF(BH188&lt;O188,"",ROUND(((NETWORKDAYS(O188,BH188,JoursFeries)-1)*(HFer-HOuv)+IF(NETWORKDAYS(BH188,BH188,JoursFeries),MEDIAN(MOD(BH188,1),HFer,HOuv),HFer)-IF(NETWORKDAYS(O188,O188,JoursFeries),MEDIAN(MOD(O188,1),HFer,HOuv),HOuv))*24,4))))</f>
        <v/>
      </c>
      <c r="BJ188" s="35" t="str">
        <f aca="false">IF(OR(BI188="",AR188=""),"",IF(BI188&lt;=INDEX(DELAI_ESC,AR188),1,0))</f>
        <v/>
      </c>
      <c r="BK188" s="38" t="str">
        <f aca="false">IF(AO188&lt;&gt;1,"",IF(AND(T188="",U188=""),"",MIN(T188,U188)))</f>
        <v/>
      </c>
      <c r="BL188" s="37" t="str">
        <f aca="false">IF(OR(BK188="",R188=""),"",IFERROR(ROUND(IF(OR(BK188="",R188=""),"",IF(R188&lt;BK188,"",ROUND(((NETWORKDAYS(BK188,R188,JoursFeries)-1)*(HFer-HOuv)+IF(NETWORKDAYS(R188,R188,JoursFeries),MEDIAN(MOD(R188,1),HFer,HOuv),HFer)-IF(NETWORKDAYS(BK188,BK188,JoursFeries),MEDIAN(MOD(BK188,1),HFer,HOuv),HOuv))*24,4)))/HJour,4),""))</f>
        <v/>
      </c>
      <c r="BM188" s="35" t="str">
        <f aca="false">IF(OR(AO188&lt;&gt;1,R188=""),"",IF(BD188=1,1,0))</f>
        <v/>
      </c>
      <c r="BN188" s="35" t="str">
        <f aca="false">IF(AO188&lt;&gt;1,"",IF(W188="Oui",1,0))</f>
        <v/>
      </c>
      <c r="BO188" s="35" t="str">
        <f aca="false">IF(AO188&lt;&gt;1,"",IF(X188&lt;&gt;"",1,0))</f>
        <v/>
      </c>
      <c r="BP188" s="35" t="str">
        <f aca="false">IF(AO188&lt;&gt;1,"",IF(Y188="Oui",1,0))</f>
        <v/>
      </c>
      <c r="BQ188" s="35" t="str">
        <f aca="true">IF(OR(AO188&lt;&gt;1,Z188&lt;&gt;"Oui"),"",IF(AB188="",IF(AND(AA188&lt;&gt;"",NOW()&gt;AA188),0,""),IF(AA188="","",IF(AB188&lt;=AA188,1,0))))</f>
        <v/>
      </c>
      <c r="BR188" s="38" t="str">
        <f aca="false">IF(OR(AO188&lt;&gt;1,K188&lt;&gt;"Oui",O188=""),"",IF(AC188="",O188+DORA_H_DET/24,IF(AC188-O188&lt;=DORA_H_DET/24,MIN(AC188+DORA_H_CLA/24,O188+DORA_H_DET/24),AC188+DORA_H_CLA/24)))</f>
        <v/>
      </c>
      <c r="BS188" s="35" t="str">
        <f aca="true">IF(BR188="","",IF(AD188="",IF(NOW()&gt;BR188,0,""),IF(AD188&lt;=BR188,1,0)))</f>
        <v/>
      </c>
      <c r="BT188" s="35" t="str">
        <f aca="true">IF(OR(BR188="",AD188=""),"",IF(AE188="",IF(NOW()&gt;AD188+DORA_H_INT/24,0,""),IF(AE188&lt;=AD188+DORA_H_INT/24,1,0)))</f>
        <v/>
      </c>
      <c r="BU188" s="35" t="str">
        <f aca="true">IF(OR(BR188="",AE188=""),"",IF(AF188="",IF(NOW()&gt;EDATE(AE188,DORA_M_FIN)+1,0,""),IF(AF188&lt;=EDATE(AE188,DORA_M_FIN),1,0)))</f>
        <v/>
      </c>
      <c r="BV188" s="35" t="str">
        <f aca="false">IF(BR188="","",IF(COUNT(BS188:BU188)=0,"",MIN(BS188:BU188)))</f>
        <v/>
      </c>
      <c r="BW188" s="40" t="str">
        <f aca="false">IF(AQ188&lt;&gt;1,"",IF(AND(AG188="",AH188=""),"",N(AG188)-N(AH188)))</f>
        <v/>
      </c>
      <c r="BX188" s="35" t="str">
        <f aca="true">IF(OR(AQ188&lt;&gt;1,AI188&lt;&gt;"Oui",AJ188=""),"",IF(AK188="",IF(NOW()&gt;AJ188+1,0,""),IF(AK188&lt;=AJ188,1,0)))</f>
        <v/>
      </c>
    </row>
    <row r="189" customFormat="false" ht="15" hidden="false" customHeight="false" outlineLevel="0" collapsed="false">
      <c r="B189" s="29"/>
      <c r="C189" s="29"/>
      <c r="D189" s="29"/>
      <c r="E189" s="29"/>
      <c r="F189" s="29"/>
      <c r="G189" s="29"/>
      <c r="H189" s="29"/>
      <c r="I189" s="29"/>
      <c r="J189" s="29"/>
      <c r="K189" s="29"/>
      <c r="L189" s="29"/>
      <c r="M189" s="29"/>
      <c r="N189" s="30"/>
      <c r="O189" s="30"/>
      <c r="P189" s="30"/>
      <c r="Q189" s="30"/>
      <c r="R189" s="30"/>
      <c r="S189" s="30"/>
      <c r="T189" s="30"/>
      <c r="U189" s="30"/>
      <c r="V189" s="31"/>
      <c r="W189" s="29"/>
      <c r="X189" s="29"/>
      <c r="Y189" s="29"/>
      <c r="Z189" s="29"/>
      <c r="AA189" s="30"/>
      <c r="AB189" s="30"/>
      <c r="AC189" s="30"/>
      <c r="AD189" s="30"/>
      <c r="AE189" s="30"/>
      <c r="AF189" s="32"/>
      <c r="AG189" s="33"/>
      <c r="AH189" s="33"/>
      <c r="AI189" s="29"/>
      <c r="AJ189" s="32"/>
      <c r="AK189" s="32"/>
      <c r="AL189" s="29"/>
      <c r="AN189" s="34" t="str">
        <f aca="false">IF($B189="","",IF(OR(C189="",D189="",E189="",G189="",I189="",J189="",L189="",O189="",P189=""),"Champ obligatoire manquant",IF(OR(AND(N189&lt;&gt;"",N189&gt;O189),O189&gt;P189,AND(Q189&lt;&gt;"",Q189&lt;P189),AND(R189&lt;&gt;"",R189&lt;P189),AND(S189&lt;&gt;"",S189&lt;R189),AND(S189&lt;&gt;"",R189=""),AND(T189&lt;&gt;"",T189&lt;O189),AND(U189&lt;&gt;"",U189&lt;O189)),"Chronologie incohérente",IF(AND(OR(L189="Résolu",L189="Clos"),R189=""),"Date de résolution manquante",IF(AND(L189="Clos",S189=""),"Date de clôture manquante",IF(AND(K189="Oui",AC189=""),"Classification DORA manquante","OK"))))))</f>
        <v/>
      </c>
      <c r="AO189" s="35" t="str">
        <f aca="false">IF($B189="","",IF(AND(C189="Incident",L189&lt;&gt;"Annulé"),1,0))</f>
        <v/>
      </c>
      <c r="AP189" s="35" t="str">
        <f aca="false">IF($B189="","",IF(AND(C189="Quasi-incident",L189&lt;&gt;"Annulé"),1,0))</f>
        <v/>
      </c>
      <c r="AQ189" s="35" t="str">
        <f aca="false">IF($B189="","",AO189+AP189)</f>
        <v/>
      </c>
      <c r="AR189" s="36" t="str">
        <f aca="false">IF(OR($B189="",J189=""),"",IFERROR(VALUE(LEFT(J189,1)),""))</f>
        <v/>
      </c>
      <c r="AS189" s="35" t="str">
        <f aca="false">IF(OR(AO189&lt;&gt;1,G189=""),"",IFERROR(IF(INDEX(L_SrcInterne,MATCH(G189,L_Sources,0))="Oui",1,0),""))</f>
        <v/>
      </c>
      <c r="AT189" s="37" t="str">
        <f aca="false">IF(AO189&lt;&gt;1,"",IFERROR(ROUND(IF(OR(N189="",O189=""),"",IF(O189&lt;N189,"",ROUND(((NETWORKDAYS(N189,O189,JoursFeries)-1)*(HFer-HOuv)+IF(NETWORKDAYS(O189,O189,JoursFeries),MEDIAN(MOD(O189,1),HFer,HOuv),HFer)-IF(NETWORKDAYS(N189,N189,JoursFeries),MEDIAN(MOD(N189,1),HFer,HOuv),HOuv))*24,4)))/HJour,4),""))</f>
        <v/>
      </c>
      <c r="AU189" s="37" t="str">
        <f aca="false">IF(AO189&lt;&gt;1,"",IF(OR(O189="",P189=""),"",IF(P189&lt;O189,"",ROUND(((NETWORKDAYS(O189,P189,JoursFeries)-1)*(HFer-HOuv)+IF(NETWORKDAYS(P189,P189,JoursFeries),MEDIAN(MOD(P189,1),HFer,HOuv),HFer)-IF(NETWORKDAYS(O189,O189,JoursFeries),MEDIAN(MOD(O189,1),HFer,HOuv),HOuv))*24,4))))</f>
        <v/>
      </c>
      <c r="AV189" s="37" t="str">
        <f aca="false">IF(AO189&lt;&gt;1,"",IF(OR(P189="",Q189=""),"",IF(Q189&lt;P189,"",ROUND(((NETWORKDAYS(P189,Q189,JoursFeries)-1)*(HFer-HOuv)+IF(NETWORKDAYS(Q189,Q189,JoursFeries),MEDIAN(MOD(Q189,1),HFer,HOuv),HFer)-IF(NETWORKDAYS(P189,P189,JoursFeries),MEDIAN(MOD(P189,1),HFer,HOuv),HOuv))*24,4))))</f>
        <v/>
      </c>
      <c r="AW189" s="37" t="str">
        <f aca="false">IF(AO189&lt;&gt;1,"",IFERROR(ROUND(IF(OR(P189="",R189=""),"",IF(R189&lt;P189,"",ROUND(((NETWORKDAYS(P189,R189,JoursFeries)-1)*(HFer-HOuv)+IF(NETWORKDAYS(R189,R189,JoursFeries),MEDIAN(MOD(R189,1),HFer,HOuv),HFer)-IF(NETWORKDAYS(P189,P189,JoursFeries),MEDIAN(MOD(P189,1),HFer,HOuv),HOuv))*24,4)))/HJour,4),""))</f>
        <v/>
      </c>
      <c r="AX189" s="37" t="str">
        <f aca="false">IF(AO189&lt;&gt;1,"",IFERROR(ROUND(IF(OR(P189="",S189=""),"",IF(S189&lt;P189,"",ROUND(((NETWORKDAYS(P189,S189,JoursFeries)-1)*(HFer-HOuv)+IF(NETWORKDAYS(S189,S189,JoursFeries),MEDIAN(MOD(S189,1),HFer,HOuv),HFer)-IF(NETWORKDAYS(P189,P189,JoursFeries),MEDIAN(MOD(P189,1),HFer,HOuv),HOuv))*24,4)))/HJour,4),""))</f>
        <v/>
      </c>
      <c r="AY189" s="36" t="str">
        <f aca="false">IF(OR(AO189&lt;&gt;1,AR189=""),"",INDEX(SLA_PEC,AR189))</f>
        <v/>
      </c>
      <c r="AZ189" s="35" t="str">
        <f aca="false">IF(OR(AV189="",AY189=""),"",IF(AV189&lt;=AY189,1,0))</f>
        <v/>
      </c>
      <c r="BA189" s="36" t="str">
        <f aca="false">IF(OR(AO189&lt;&gt;1,AR189=""),"",INDEX(SLA_RES,AR189))</f>
        <v/>
      </c>
      <c r="BB189" s="35" t="str">
        <f aca="false">IF(OR(AW189="",BA189=""),"",IF(AW189&lt;=BA189,1,0))</f>
        <v/>
      </c>
      <c r="BC189" s="38" t="str">
        <f aca="false">IF(OR(BA189="",P189=""),"",WORKDAY(INT(P189),BA189,JoursFeries)+MOD(P189,1))</f>
        <v/>
      </c>
      <c r="BD189" s="39" t="str">
        <f aca="false">IF(AO189&lt;&gt;1,"",IF(OR(AB189&lt;&gt;"",AD189&lt;&gt;""),4,IF(U189&lt;&gt;"",3,IF(T189&lt;&gt;"",2,1))))</f>
        <v/>
      </c>
      <c r="BE189" s="39" t="str">
        <f aca="false">IF(OR(AO189&lt;&gt;1,AR189=""),"",INDEX(NIV_REQ,AR189))</f>
        <v/>
      </c>
      <c r="BF189" s="39" t="str">
        <f aca="false">IF(BE189="","",MAX(BE189,IF(OR(K189="Oui",Z189="Oui"),4,1)))</f>
        <v/>
      </c>
      <c r="BG189" s="35" t="str">
        <f aca="false">IF(OR(BF189="",BD189=""),"",IF(BD189&gt;=BF189,1,0))</f>
        <v/>
      </c>
      <c r="BH189" s="38" t="str">
        <f aca="false">IF(BE189="","",IF(BE189&lt;2,"",IF(BE189=2,IF(AND(T189="",U189=""),"",MIN(T189,U189)),IF(U189="","",U189))))</f>
        <v/>
      </c>
      <c r="BI189" s="37" t="str">
        <f aca="false">IF(BH189="","",IF(OR(O189="",BH189=""),"",IF(BH189&lt;O189,"",ROUND(((NETWORKDAYS(O189,BH189,JoursFeries)-1)*(HFer-HOuv)+IF(NETWORKDAYS(BH189,BH189,JoursFeries),MEDIAN(MOD(BH189,1),HFer,HOuv),HFer)-IF(NETWORKDAYS(O189,O189,JoursFeries),MEDIAN(MOD(O189,1),HFer,HOuv),HOuv))*24,4))))</f>
        <v/>
      </c>
      <c r="BJ189" s="35" t="str">
        <f aca="false">IF(OR(BI189="",AR189=""),"",IF(BI189&lt;=INDEX(DELAI_ESC,AR189),1,0))</f>
        <v/>
      </c>
      <c r="BK189" s="38" t="str">
        <f aca="false">IF(AO189&lt;&gt;1,"",IF(AND(T189="",U189=""),"",MIN(T189,U189)))</f>
        <v/>
      </c>
      <c r="BL189" s="37" t="str">
        <f aca="false">IF(OR(BK189="",R189=""),"",IFERROR(ROUND(IF(OR(BK189="",R189=""),"",IF(R189&lt;BK189,"",ROUND(((NETWORKDAYS(BK189,R189,JoursFeries)-1)*(HFer-HOuv)+IF(NETWORKDAYS(R189,R189,JoursFeries),MEDIAN(MOD(R189,1),HFer,HOuv),HFer)-IF(NETWORKDAYS(BK189,BK189,JoursFeries),MEDIAN(MOD(BK189,1),HFer,HOuv),HOuv))*24,4)))/HJour,4),""))</f>
        <v/>
      </c>
      <c r="BM189" s="35" t="str">
        <f aca="false">IF(OR(AO189&lt;&gt;1,R189=""),"",IF(BD189=1,1,0))</f>
        <v/>
      </c>
      <c r="BN189" s="35" t="str">
        <f aca="false">IF(AO189&lt;&gt;1,"",IF(W189="Oui",1,0))</f>
        <v/>
      </c>
      <c r="BO189" s="35" t="str">
        <f aca="false">IF(AO189&lt;&gt;1,"",IF(X189&lt;&gt;"",1,0))</f>
        <v/>
      </c>
      <c r="BP189" s="35" t="str">
        <f aca="false">IF(AO189&lt;&gt;1,"",IF(Y189="Oui",1,0))</f>
        <v/>
      </c>
      <c r="BQ189" s="35" t="str">
        <f aca="true">IF(OR(AO189&lt;&gt;1,Z189&lt;&gt;"Oui"),"",IF(AB189="",IF(AND(AA189&lt;&gt;"",NOW()&gt;AA189),0,""),IF(AA189="","",IF(AB189&lt;=AA189,1,0))))</f>
        <v/>
      </c>
      <c r="BR189" s="38" t="str">
        <f aca="false">IF(OR(AO189&lt;&gt;1,K189&lt;&gt;"Oui",O189=""),"",IF(AC189="",O189+DORA_H_DET/24,IF(AC189-O189&lt;=DORA_H_DET/24,MIN(AC189+DORA_H_CLA/24,O189+DORA_H_DET/24),AC189+DORA_H_CLA/24)))</f>
        <v/>
      </c>
      <c r="BS189" s="35" t="str">
        <f aca="true">IF(BR189="","",IF(AD189="",IF(NOW()&gt;BR189,0,""),IF(AD189&lt;=BR189,1,0)))</f>
        <v/>
      </c>
      <c r="BT189" s="35" t="str">
        <f aca="true">IF(OR(BR189="",AD189=""),"",IF(AE189="",IF(NOW()&gt;AD189+DORA_H_INT/24,0,""),IF(AE189&lt;=AD189+DORA_H_INT/24,1,0)))</f>
        <v/>
      </c>
      <c r="BU189" s="35" t="str">
        <f aca="true">IF(OR(BR189="",AE189=""),"",IF(AF189="",IF(NOW()&gt;EDATE(AE189,DORA_M_FIN)+1,0,""),IF(AF189&lt;=EDATE(AE189,DORA_M_FIN),1,0)))</f>
        <v/>
      </c>
      <c r="BV189" s="35" t="str">
        <f aca="false">IF(BR189="","",IF(COUNT(BS189:BU189)=0,"",MIN(BS189:BU189)))</f>
        <v/>
      </c>
      <c r="BW189" s="40" t="str">
        <f aca="false">IF(AQ189&lt;&gt;1,"",IF(AND(AG189="",AH189=""),"",N(AG189)-N(AH189)))</f>
        <v/>
      </c>
      <c r="BX189" s="35" t="str">
        <f aca="true">IF(OR(AQ189&lt;&gt;1,AI189&lt;&gt;"Oui",AJ189=""),"",IF(AK189="",IF(NOW()&gt;AJ189+1,0,""),IF(AK189&lt;=AJ189,1,0)))</f>
        <v/>
      </c>
    </row>
    <row r="190" customFormat="false" ht="15" hidden="false" customHeight="false" outlineLevel="0" collapsed="false">
      <c r="B190" s="29"/>
      <c r="C190" s="29"/>
      <c r="D190" s="29"/>
      <c r="E190" s="29"/>
      <c r="F190" s="29"/>
      <c r="G190" s="29"/>
      <c r="H190" s="29"/>
      <c r="I190" s="29"/>
      <c r="J190" s="29"/>
      <c r="K190" s="29"/>
      <c r="L190" s="29"/>
      <c r="M190" s="29"/>
      <c r="N190" s="30"/>
      <c r="O190" s="30"/>
      <c r="P190" s="30"/>
      <c r="Q190" s="30"/>
      <c r="R190" s="30"/>
      <c r="S190" s="30"/>
      <c r="T190" s="30"/>
      <c r="U190" s="30"/>
      <c r="V190" s="31"/>
      <c r="W190" s="29"/>
      <c r="X190" s="29"/>
      <c r="Y190" s="29"/>
      <c r="Z190" s="29"/>
      <c r="AA190" s="30"/>
      <c r="AB190" s="30"/>
      <c r="AC190" s="30"/>
      <c r="AD190" s="30"/>
      <c r="AE190" s="30"/>
      <c r="AF190" s="32"/>
      <c r="AG190" s="33"/>
      <c r="AH190" s="33"/>
      <c r="AI190" s="29"/>
      <c r="AJ190" s="32"/>
      <c r="AK190" s="32"/>
      <c r="AL190" s="29"/>
      <c r="AN190" s="34" t="str">
        <f aca="false">IF($B190="","",IF(OR(C190="",D190="",E190="",G190="",I190="",J190="",L190="",O190="",P190=""),"Champ obligatoire manquant",IF(OR(AND(N190&lt;&gt;"",N190&gt;O190),O190&gt;P190,AND(Q190&lt;&gt;"",Q190&lt;P190),AND(R190&lt;&gt;"",R190&lt;P190),AND(S190&lt;&gt;"",S190&lt;R190),AND(S190&lt;&gt;"",R190=""),AND(T190&lt;&gt;"",T190&lt;O190),AND(U190&lt;&gt;"",U190&lt;O190)),"Chronologie incohérente",IF(AND(OR(L190="Résolu",L190="Clos"),R190=""),"Date de résolution manquante",IF(AND(L190="Clos",S190=""),"Date de clôture manquante",IF(AND(K190="Oui",AC190=""),"Classification DORA manquante","OK"))))))</f>
        <v/>
      </c>
      <c r="AO190" s="35" t="str">
        <f aca="false">IF($B190="","",IF(AND(C190="Incident",L190&lt;&gt;"Annulé"),1,0))</f>
        <v/>
      </c>
      <c r="AP190" s="35" t="str">
        <f aca="false">IF($B190="","",IF(AND(C190="Quasi-incident",L190&lt;&gt;"Annulé"),1,0))</f>
        <v/>
      </c>
      <c r="AQ190" s="35" t="str">
        <f aca="false">IF($B190="","",AO190+AP190)</f>
        <v/>
      </c>
      <c r="AR190" s="36" t="str">
        <f aca="false">IF(OR($B190="",J190=""),"",IFERROR(VALUE(LEFT(J190,1)),""))</f>
        <v/>
      </c>
      <c r="AS190" s="35" t="str">
        <f aca="false">IF(OR(AO190&lt;&gt;1,G190=""),"",IFERROR(IF(INDEX(L_SrcInterne,MATCH(G190,L_Sources,0))="Oui",1,0),""))</f>
        <v/>
      </c>
      <c r="AT190" s="37" t="str">
        <f aca="false">IF(AO190&lt;&gt;1,"",IFERROR(ROUND(IF(OR(N190="",O190=""),"",IF(O190&lt;N190,"",ROUND(((NETWORKDAYS(N190,O190,JoursFeries)-1)*(HFer-HOuv)+IF(NETWORKDAYS(O190,O190,JoursFeries),MEDIAN(MOD(O190,1),HFer,HOuv),HFer)-IF(NETWORKDAYS(N190,N190,JoursFeries),MEDIAN(MOD(N190,1),HFer,HOuv),HOuv))*24,4)))/HJour,4),""))</f>
        <v/>
      </c>
      <c r="AU190" s="37" t="str">
        <f aca="false">IF(AO190&lt;&gt;1,"",IF(OR(O190="",P190=""),"",IF(P190&lt;O190,"",ROUND(((NETWORKDAYS(O190,P190,JoursFeries)-1)*(HFer-HOuv)+IF(NETWORKDAYS(P190,P190,JoursFeries),MEDIAN(MOD(P190,1),HFer,HOuv),HFer)-IF(NETWORKDAYS(O190,O190,JoursFeries),MEDIAN(MOD(O190,1),HFer,HOuv),HOuv))*24,4))))</f>
        <v/>
      </c>
      <c r="AV190" s="37" t="str">
        <f aca="false">IF(AO190&lt;&gt;1,"",IF(OR(P190="",Q190=""),"",IF(Q190&lt;P190,"",ROUND(((NETWORKDAYS(P190,Q190,JoursFeries)-1)*(HFer-HOuv)+IF(NETWORKDAYS(Q190,Q190,JoursFeries),MEDIAN(MOD(Q190,1),HFer,HOuv),HFer)-IF(NETWORKDAYS(P190,P190,JoursFeries),MEDIAN(MOD(P190,1),HFer,HOuv),HOuv))*24,4))))</f>
        <v/>
      </c>
      <c r="AW190" s="37" t="str">
        <f aca="false">IF(AO190&lt;&gt;1,"",IFERROR(ROUND(IF(OR(P190="",R190=""),"",IF(R190&lt;P190,"",ROUND(((NETWORKDAYS(P190,R190,JoursFeries)-1)*(HFer-HOuv)+IF(NETWORKDAYS(R190,R190,JoursFeries),MEDIAN(MOD(R190,1),HFer,HOuv),HFer)-IF(NETWORKDAYS(P190,P190,JoursFeries),MEDIAN(MOD(P190,1),HFer,HOuv),HOuv))*24,4)))/HJour,4),""))</f>
        <v/>
      </c>
      <c r="AX190" s="37" t="str">
        <f aca="false">IF(AO190&lt;&gt;1,"",IFERROR(ROUND(IF(OR(P190="",S190=""),"",IF(S190&lt;P190,"",ROUND(((NETWORKDAYS(P190,S190,JoursFeries)-1)*(HFer-HOuv)+IF(NETWORKDAYS(S190,S190,JoursFeries),MEDIAN(MOD(S190,1),HFer,HOuv),HFer)-IF(NETWORKDAYS(P190,P190,JoursFeries),MEDIAN(MOD(P190,1),HFer,HOuv),HOuv))*24,4)))/HJour,4),""))</f>
        <v/>
      </c>
      <c r="AY190" s="36" t="str">
        <f aca="false">IF(OR(AO190&lt;&gt;1,AR190=""),"",INDEX(SLA_PEC,AR190))</f>
        <v/>
      </c>
      <c r="AZ190" s="35" t="str">
        <f aca="false">IF(OR(AV190="",AY190=""),"",IF(AV190&lt;=AY190,1,0))</f>
        <v/>
      </c>
      <c r="BA190" s="36" t="str">
        <f aca="false">IF(OR(AO190&lt;&gt;1,AR190=""),"",INDEX(SLA_RES,AR190))</f>
        <v/>
      </c>
      <c r="BB190" s="35" t="str">
        <f aca="false">IF(OR(AW190="",BA190=""),"",IF(AW190&lt;=BA190,1,0))</f>
        <v/>
      </c>
      <c r="BC190" s="38" t="str">
        <f aca="false">IF(OR(BA190="",P190=""),"",WORKDAY(INT(P190),BA190,JoursFeries)+MOD(P190,1))</f>
        <v/>
      </c>
      <c r="BD190" s="39" t="str">
        <f aca="false">IF(AO190&lt;&gt;1,"",IF(OR(AB190&lt;&gt;"",AD190&lt;&gt;""),4,IF(U190&lt;&gt;"",3,IF(T190&lt;&gt;"",2,1))))</f>
        <v/>
      </c>
      <c r="BE190" s="39" t="str">
        <f aca="false">IF(OR(AO190&lt;&gt;1,AR190=""),"",INDEX(NIV_REQ,AR190))</f>
        <v/>
      </c>
      <c r="BF190" s="39" t="str">
        <f aca="false">IF(BE190="","",MAX(BE190,IF(OR(K190="Oui",Z190="Oui"),4,1)))</f>
        <v/>
      </c>
      <c r="BG190" s="35" t="str">
        <f aca="false">IF(OR(BF190="",BD190=""),"",IF(BD190&gt;=BF190,1,0))</f>
        <v/>
      </c>
      <c r="BH190" s="38" t="str">
        <f aca="false">IF(BE190="","",IF(BE190&lt;2,"",IF(BE190=2,IF(AND(T190="",U190=""),"",MIN(T190,U190)),IF(U190="","",U190))))</f>
        <v/>
      </c>
      <c r="BI190" s="37" t="str">
        <f aca="false">IF(BH190="","",IF(OR(O190="",BH190=""),"",IF(BH190&lt;O190,"",ROUND(((NETWORKDAYS(O190,BH190,JoursFeries)-1)*(HFer-HOuv)+IF(NETWORKDAYS(BH190,BH190,JoursFeries),MEDIAN(MOD(BH190,1),HFer,HOuv),HFer)-IF(NETWORKDAYS(O190,O190,JoursFeries),MEDIAN(MOD(O190,1),HFer,HOuv),HOuv))*24,4))))</f>
        <v/>
      </c>
      <c r="BJ190" s="35" t="str">
        <f aca="false">IF(OR(BI190="",AR190=""),"",IF(BI190&lt;=INDEX(DELAI_ESC,AR190),1,0))</f>
        <v/>
      </c>
      <c r="BK190" s="38" t="str">
        <f aca="false">IF(AO190&lt;&gt;1,"",IF(AND(T190="",U190=""),"",MIN(T190,U190)))</f>
        <v/>
      </c>
      <c r="BL190" s="37" t="str">
        <f aca="false">IF(OR(BK190="",R190=""),"",IFERROR(ROUND(IF(OR(BK190="",R190=""),"",IF(R190&lt;BK190,"",ROUND(((NETWORKDAYS(BK190,R190,JoursFeries)-1)*(HFer-HOuv)+IF(NETWORKDAYS(R190,R190,JoursFeries),MEDIAN(MOD(R190,1),HFer,HOuv),HFer)-IF(NETWORKDAYS(BK190,BK190,JoursFeries),MEDIAN(MOD(BK190,1),HFer,HOuv),HOuv))*24,4)))/HJour,4),""))</f>
        <v/>
      </c>
      <c r="BM190" s="35" t="str">
        <f aca="false">IF(OR(AO190&lt;&gt;1,R190=""),"",IF(BD190=1,1,0))</f>
        <v/>
      </c>
      <c r="BN190" s="35" t="str">
        <f aca="false">IF(AO190&lt;&gt;1,"",IF(W190="Oui",1,0))</f>
        <v/>
      </c>
      <c r="BO190" s="35" t="str">
        <f aca="false">IF(AO190&lt;&gt;1,"",IF(X190&lt;&gt;"",1,0))</f>
        <v/>
      </c>
      <c r="BP190" s="35" t="str">
        <f aca="false">IF(AO190&lt;&gt;1,"",IF(Y190="Oui",1,0))</f>
        <v/>
      </c>
      <c r="BQ190" s="35" t="str">
        <f aca="true">IF(OR(AO190&lt;&gt;1,Z190&lt;&gt;"Oui"),"",IF(AB190="",IF(AND(AA190&lt;&gt;"",NOW()&gt;AA190),0,""),IF(AA190="","",IF(AB190&lt;=AA190,1,0))))</f>
        <v/>
      </c>
      <c r="BR190" s="38" t="str">
        <f aca="false">IF(OR(AO190&lt;&gt;1,K190&lt;&gt;"Oui",O190=""),"",IF(AC190="",O190+DORA_H_DET/24,IF(AC190-O190&lt;=DORA_H_DET/24,MIN(AC190+DORA_H_CLA/24,O190+DORA_H_DET/24),AC190+DORA_H_CLA/24)))</f>
        <v/>
      </c>
      <c r="BS190" s="35" t="str">
        <f aca="true">IF(BR190="","",IF(AD190="",IF(NOW()&gt;BR190,0,""),IF(AD190&lt;=BR190,1,0)))</f>
        <v/>
      </c>
      <c r="BT190" s="35" t="str">
        <f aca="true">IF(OR(BR190="",AD190=""),"",IF(AE190="",IF(NOW()&gt;AD190+DORA_H_INT/24,0,""),IF(AE190&lt;=AD190+DORA_H_INT/24,1,0)))</f>
        <v/>
      </c>
      <c r="BU190" s="35" t="str">
        <f aca="true">IF(OR(BR190="",AE190=""),"",IF(AF190="",IF(NOW()&gt;EDATE(AE190,DORA_M_FIN)+1,0,""),IF(AF190&lt;=EDATE(AE190,DORA_M_FIN),1,0)))</f>
        <v/>
      </c>
      <c r="BV190" s="35" t="str">
        <f aca="false">IF(BR190="","",IF(COUNT(BS190:BU190)=0,"",MIN(BS190:BU190)))</f>
        <v/>
      </c>
      <c r="BW190" s="40" t="str">
        <f aca="false">IF(AQ190&lt;&gt;1,"",IF(AND(AG190="",AH190=""),"",N(AG190)-N(AH190)))</f>
        <v/>
      </c>
      <c r="BX190" s="35" t="str">
        <f aca="true">IF(OR(AQ190&lt;&gt;1,AI190&lt;&gt;"Oui",AJ190=""),"",IF(AK190="",IF(NOW()&gt;AJ190+1,0,""),IF(AK190&lt;=AJ190,1,0)))</f>
        <v/>
      </c>
    </row>
    <row r="191" customFormat="false" ht="15" hidden="false" customHeight="false" outlineLevel="0" collapsed="false">
      <c r="B191" s="29"/>
      <c r="C191" s="29"/>
      <c r="D191" s="29"/>
      <c r="E191" s="29"/>
      <c r="F191" s="29"/>
      <c r="G191" s="29"/>
      <c r="H191" s="29"/>
      <c r="I191" s="29"/>
      <c r="J191" s="29"/>
      <c r="K191" s="29"/>
      <c r="L191" s="29"/>
      <c r="M191" s="29"/>
      <c r="N191" s="30"/>
      <c r="O191" s="30"/>
      <c r="P191" s="30"/>
      <c r="Q191" s="30"/>
      <c r="R191" s="30"/>
      <c r="S191" s="30"/>
      <c r="T191" s="30"/>
      <c r="U191" s="30"/>
      <c r="V191" s="31"/>
      <c r="W191" s="29"/>
      <c r="X191" s="29"/>
      <c r="Y191" s="29"/>
      <c r="Z191" s="29"/>
      <c r="AA191" s="30"/>
      <c r="AB191" s="30"/>
      <c r="AC191" s="30"/>
      <c r="AD191" s="30"/>
      <c r="AE191" s="30"/>
      <c r="AF191" s="32"/>
      <c r="AG191" s="33"/>
      <c r="AH191" s="33"/>
      <c r="AI191" s="29"/>
      <c r="AJ191" s="32"/>
      <c r="AK191" s="32"/>
      <c r="AL191" s="29"/>
      <c r="AN191" s="34" t="str">
        <f aca="false">IF($B191="","",IF(OR(C191="",D191="",E191="",G191="",I191="",J191="",L191="",O191="",P191=""),"Champ obligatoire manquant",IF(OR(AND(N191&lt;&gt;"",N191&gt;O191),O191&gt;P191,AND(Q191&lt;&gt;"",Q191&lt;P191),AND(R191&lt;&gt;"",R191&lt;P191),AND(S191&lt;&gt;"",S191&lt;R191),AND(S191&lt;&gt;"",R191=""),AND(T191&lt;&gt;"",T191&lt;O191),AND(U191&lt;&gt;"",U191&lt;O191)),"Chronologie incohérente",IF(AND(OR(L191="Résolu",L191="Clos"),R191=""),"Date de résolution manquante",IF(AND(L191="Clos",S191=""),"Date de clôture manquante",IF(AND(K191="Oui",AC191=""),"Classification DORA manquante","OK"))))))</f>
        <v/>
      </c>
      <c r="AO191" s="35" t="str">
        <f aca="false">IF($B191="","",IF(AND(C191="Incident",L191&lt;&gt;"Annulé"),1,0))</f>
        <v/>
      </c>
      <c r="AP191" s="35" t="str">
        <f aca="false">IF($B191="","",IF(AND(C191="Quasi-incident",L191&lt;&gt;"Annulé"),1,0))</f>
        <v/>
      </c>
      <c r="AQ191" s="35" t="str">
        <f aca="false">IF($B191="","",AO191+AP191)</f>
        <v/>
      </c>
      <c r="AR191" s="36" t="str">
        <f aca="false">IF(OR($B191="",J191=""),"",IFERROR(VALUE(LEFT(J191,1)),""))</f>
        <v/>
      </c>
      <c r="AS191" s="35" t="str">
        <f aca="false">IF(OR(AO191&lt;&gt;1,G191=""),"",IFERROR(IF(INDEX(L_SrcInterne,MATCH(G191,L_Sources,0))="Oui",1,0),""))</f>
        <v/>
      </c>
      <c r="AT191" s="37" t="str">
        <f aca="false">IF(AO191&lt;&gt;1,"",IFERROR(ROUND(IF(OR(N191="",O191=""),"",IF(O191&lt;N191,"",ROUND(((NETWORKDAYS(N191,O191,JoursFeries)-1)*(HFer-HOuv)+IF(NETWORKDAYS(O191,O191,JoursFeries),MEDIAN(MOD(O191,1),HFer,HOuv),HFer)-IF(NETWORKDAYS(N191,N191,JoursFeries),MEDIAN(MOD(N191,1),HFer,HOuv),HOuv))*24,4)))/HJour,4),""))</f>
        <v/>
      </c>
      <c r="AU191" s="37" t="str">
        <f aca="false">IF(AO191&lt;&gt;1,"",IF(OR(O191="",P191=""),"",IF(P191&lt;O191,"",ROUND(((NETWORKDAYS(O191,P191,JoursFeries)-1)*(HFer-HOuv)+IF(NETWORKDAYS(P191,P191,JoursFeries),MEDIAN(MOD(P191,1),HFer,HOuv),HFer)-IF(NETWORKDAYS(O191,O191,JoursFeries),MEDIAN(MOD(O191,1),HFer,HOuv),HOuv))*24,4))))</f>
        <v/>
      </c>
      <c r="AV191" s="37" t="str">
        <f aca="false">IF(AO191&lt;&gt;1,"",IF(OR(P191="",Q191=""),"",IF(Q191&lt;P191,"",ROUND(((NETWORKDAYS(P191,Q191,JoursFeries)-1)*(HFer-HOuv)+IF(NETWORKDAYS(Q191,Q191,JoursFeries),MEDIAN(MOD(Q191,1),HFer,HOuv),HFer)-IF(NETWORKDAYS(P191,P191,JoursFeries),MEDIAN(MOD(P191,1),HFer,HOuv),HOuv))*24,4))))</f>
        <v/>
      </c>
      <c r="AW191" s="37" t="str">
        <f aca="false">IF(AO191&lt;&gt;1,"",IFERROR(ROUND(IF(OR(P191="",R191=""),"",IF(R191&lt;P191,"",ROUND(((NETWORKDAYS(P191,R191,JoursFeries)-1)*(HFer-HOuv)+IF(NETWORKDAYS(R191,R191,JoursFeries),MEDIAN(MOD(R191,1),HFer,HOuv),HFer)-IF(NETWORKDAYS(P191,P191,JoursFeries),MEDIAN(MOD(P191,1),HFer,HOuv),HOuv))*24,4)))/HJour,4),""))</f>
        <v/>
      </c>
      <c r="AX191" s="37" t="str">
        <f aca="false">IF(AO191&lt;&gt;1,"",IFERROR(ROUND(IF(OR(P191="",S191=""),"",IF(S191&lt;P191,"",ROUND(((NETWORKDAYS(P191,S191,JoursFeries)-1)*(HFer-HOuv)+IF(NETWORKDAYS(S191,S191,JoursFeries),MEDIAN(MOD(S191,1),HFer,HOuv),HFer)-IF(NETWORKDAYS(P191,P191,JoursFeries),MEDIAN(MOD(P191,1),HFer,HOuv),HOuv))*24,4)))/HJour,4),""))</f>
        <v/>
      </c>
      <c r="AY191" s="36" t="str">
        <f aca="false">IF(OR(AO191&lt;&gt;1,AR191=""),"",INDEX(SLA_PEC,AR191))</f>
        <v/>
      </c>
      <c r="AZ191" s="35" t="str">
        <f aca="false">IF(OR(AV191="",AY191=""),"",IF(AV191&lt;=AY191,1,0))</f>
        <v/>
      </c>
      <c r="BA191" s="36" t="str">
        <f aca="false">IF(OR(AO191&lt;&gt;1,AR191=""),"",INDEX(SLA_RES,AR191))</f>
        <v/>
      </c>
      <c r="BB191" s="35" t="str">
        <f aca="false">IF(OR(AW191="",BA191=""),"",IF(AW191&lt;=BA191,1,0))</f>
        <v/>
      </c>
      <c r="BC191" s="38" t="str">
        <f aca="false">IF(OR(BA191="",P191=""),"",WORKDAY(INT(P191),BA191,JoursFeries)+MOD(P191,1))</f>
        <v/>
      </c>
      <c r="BD191" s="39" t="str">
        <f aca="false">IF(AO191&lt;&gt;1,"",IF(OR(AB191&lt;&gt;"",AD191&lt;&gt;""),4,IF(U191&lt;&gt;"",3,IF(T191&lt;&gt;"",2,1))))</f>
        <v/>
      </c>
      <c r="BE191" s="39" t="str">
        <f aca="false">IF(OR(AO191&lt;&gt;1,AR191=""),"",INDEX(NIV_REQ,AR191))</f>
        <v/>
      </c>
      <c r="BF191" s="39" t="str">
        <f aca="false">IF(BE191="","",MAX(BE191,IF(OR(K191="Oui",Z191="Oui"),4,1)))</f>
        <v/>
      </c>
      <c r="BG191" s="35" t="str">
        <f aca="false">IF(OR(BF191="",BD191=""),"",IF(BD191&gt;=BF191,1,0))</f>
        <v/>
      </c>
      <c r="BH191" s="38" t="str">
        <f aca="false">IF(BE191="","",IF(BE191&lt;2,"",IF(BE191=2,IF(AND(T191="",U191=""),"",MIN(T191,U191)),IF(U191="","",U191))))</f>
        <v/>
      </c>
      <c r="BI191" s="37" t="str">
        <f aca="false">IF(BH191="","",IF(OR(O191="",BH191=""),"",IF(BH191&lt;O191,"",ROUND(((NETWORKDAYS(O191,BH191,JoursFeries)-1)*(HFer-HOuv)+IF(NETWORKDAYS(BH191,BH191,JoursFeries),MEDIAN(MOD(BH191,1),HFer,HOuv),HFer)-IF(NETWORKDAYS(O191,O191,JoursFeries),MEDIAN(MOD(O191,1),HFer,HOuv),HOuv))*24,4))))</f>
        <v/>
      </c>
      <c r="BJ191" s="35" t="str">
        <f aca="false">IF(OR(BI191="",AR191=""),"",IF(BI191&lt;=INDEX(DELAI_ESC,AR191),1,0))</f>
        <v/>
      </c>
      <c r="BK191" s="38" t="str">
        <f aca="false">IF(AO191&lt;&gt;1,"",IF(AND(T191="",U191=""),"",MIN(T191,U191)))</f>
        <v/>
      </c>
      <c r="BL191" s="37" t="str">
        <f aca="false">IF(OR(BK191="",R191=""),"",IFERROR(ROUND(IF(OR(BK191="",R191=""),"",IF(R191&lt;BK191,"",ROUND(((NETWORKDAYS(BK191,R191,JoursFeries)-1)*(HFer-HOuv)+IF(NETWORKDAYS(R191,R191,JoursFeries),MEDIAN(MOD(R191,1),HFer,HOuv),HFer)-IF(NETWORKDAYS(BK191,BK191,JoursFeries),MEDIAN(MOD(BK191,1),HFer,HOuv),HOuv))*24,4)))/HJour,4),""))</f>
        <v/>
      </c>
      <c r="BM191" s="35" t="str">
        <f aca="false">IF(OR(AO191&lt;&gt;1,R191=""),"",IF(BD191=1,1,0))</f>
        <v/>
      </c>
      <c r="BN191" s="35" t="str">
        <f aca="false">IF(AO191&lt;&gt;1,"",IF(W191="Oui",1,0))</f>
        <v/>
      </c>
      <c r="BO191" s="35" t="str">
        <f aca="false">IF(AO191&lt;&gt;1,"",IF(X191&lt;&gt;"",1,0))</f>
        <v/>
      </c>
      <c r="BP191" s="35" t="str">
        <f aca="false">IF(AO191&lt;&gt;1,"",IF(Y191="Oui",1,0))</f>
        <v/>
      </c>
      <c r="BQ191" s="35" t="str">
        <f aca="true">IF(OR(AO191&lt;&gt;1,Z191&lt;&gt;"Oui"),"",IF(AB191="",IF(AND(AA191&lt;&gt;"",NOW()&gt;AA191),0,""),IF(AA191="","",IF(AB191&lt;=AA191,1,0))))</f>
        <v/>
      </c>
      <c r="BR191" s="38" t="str">
        <f aca="false">IF(OR(AO191&lt;&gt;1,K191&lt;&gt;"Oui",O191=""),"",IF(AC191="",O191+DORA_H_DET/24,IF(AC191-O191&lt;=DORA_H_DET/24,MIN(AC191+DORA_H_CLA/24,O191+DORA_H_DET/24),AC191+DORA_H_CLA/24)))</f>
        <v/>
      </c>
      <c r="BS191" s="35" t="str">
        <f aca="true">IF(BR191="","",IF(AD191="",IF(NOW()&gt;BR191,0,""),IF(AD191&lt;=BR191,1,0)))</f>
        <v/>
      </c>
      <c r="BT191" s="35" t="str">
        <f aca="true">IF(OR(BR191="",AD191=""),"",IF(AE191="",IF(NOW()&gt;AD191+DORA_H_INT/24,0,""),IF(AE191&lt;=AD191+DORA_H_INT/24,1,0)))</f>
        <v/>
      </c>
      <c r="BU191" s="35" t="str">
        <f aca="true">IF(OR(BR191="",AE191=""),"",IF(AF191="",IF(NOW()&gt;EDATE(AE191,DORA_M_FIN)+1,0,""),IF(AF191&lt;=EDATE(AE191,DORA_M_FIN),1,0)))</f>
        <v/>
      </c>
      <c r="BV191" s="35" t="str">
        <f aca="false">IF(BR191="","",IF(COUNT(BS191:BU191)=0,"",MIN(BS191:BU191)))</f>
        <v/>
      </c>
      <c r="BW191" s="40" t="str">
        <f aca="false">IF(AQ191&lt;&gt;1,"",IF(AND(AG191="",AH191=""),"",N(AG191)-N(AH191)))</f>
        <v/>
      </c>
      <c r="BX191" s="35" t="str">
        <f aca="true">IF(OR(AQ191&lt;&gt;1,AI191&lt;&gt;"Oui",AJ191=""),"",IF(AK191="",IF(NOW()&gt;AJ191+1,0,""),IF(AK191&lt;=AJ191,1,0)))</f>
        <v/>
      </c>
    </row>
    <row r="192" customFormat="false" ht="15" hidden="false" customHeight="false" outlineLevel="0" collapsed="false">
      <c r="B192" s="29"/>
      <c r="C192" s="29"/>
      <c r="D192" s="29"/>
      <c r="E192" s="29"/>
      <c r="F192" s="29"/>
      <c r="G192" s="29"/>
      <c r="H192" s="29"/>
      <c r="I192" s="29"/>
      <c r="J192" s="29"/>
      <c r="K192" s="29"/>
      <c r="L192" s="29"/>
      <c r="M192" s="29"/>
      <c r="N192" s="30"/>
      <c r="O192" s="30"/>
      <c r="P192" s="30"/>
      <c r="Q192" s="30"/>
      <c r="R192" s="30"/>
      <c r="S192" s="30"/>
      <c r="T192" s="30"/>
      <c r="U192" s="30"/>
      <c r="V192" s="31"/>
      <c r="W192" s="29"/>
      <c r="X192" s="29"/>
      <c r="Y192" s="29"/>
      <c r="Z192" s="29"/>
      <c r="AA192" s="30"/>
      <c r="AB192" s="30"/>
      <c r="AC192" s="30"/>
      <c r="AD192" s="30"/>
      <c r="AE192" s="30"/>
      <c r="AF192" s="32"/>
      <c r="AG192" s="33"/>
      <c r="AH192" s="33"/>
      <c r="AI192" s="29"/>
      <c r="AJ192" s="32"/>
      <c r="AK192" s="32"/>
      <c r="AL192" s="29"/>
      <c r="AN192" s="34" t="str">
        <f aca="false">IF($B192="","",IF(OR(C192="",D192="",E192="",G192="",I192="",J192="",L192="",O192="",P192=""),"Champ obligatoire manquant",IF(OR(AND(N192&lt;&gt;"",N192&gt;O192),O192&gt;P192,AND(Q192&lt;&gt;"",Q192&lt;P192),AND(R192&lt;&gt;"",R192&lt;P192),AND(S192&lt;&gt;"",S192&lt;R192),AND(S192&lt;&gt;"",R192=""),AND(T192&lt;&gt;"",T192&lt;O192),AND(U192&lt;&gt;"",U192&lt;O192)),"Chronologie incohérente",IF(AND(OR(L192="Résolu",L192="Clos"),R192=""),"Date de résolution manquante",IF(AND(L192="Clos",S192=""),"Date de clôture manquante",IF(AND(K192="Oui",AC192=""),"Classification DORA manquante","OK"))))))</f>
        <v/>
      </c>
      <c r="AO192" s="35" t="str">
        <f aca="false">IF($B192="","",IF(AND(C192="Incident",L192&lt;&gt;"Annulé"),1,0))</f>
        <v/>
      </c>
      <c r="AP192" s="35" t="str">
        <f aca="false">IF($B192="","",IF(AND(C192="Quasi-incident",L192&lt;&gt;"Annulé"),1,0))</f>
        <v/>
      </c>
      <c r="AQ192" s="35" t="str">
        <f aca="false">IF($B192="","",AO192+AP192)</f>
        <v/>
      </c>
      <c r="AR192" s="36" t="str">
        <f aca="false">IF(OR($B192="",J192=""),"",IFERROR(VALUE(LEFT(J192,1)),""))</f>
        <v/>
      </c>
      <c r="AS192" s="35" t="str">
        <f aca="false">IF(OR(AO192&lt;&gt;1,G192=""),"",IFERROR(IF(INDEX(L_SrcInterne,MATCH(G192,L_Sources,0))="Oui",1,0),""))</f>
        <v/>
      </c>
      <c r="AT192" s="37" t="str">
        <f aca="false">IF(AO192&lt;&gt;1,"",IFERROR(ROUND(IF(OR(N192="",O192=""),"",IF(O192&lt;N192,"",ROUND(((NETWORKDAYS(N192,O192,JoursFeries)-1)*(HFer-HOuv)+IF(NETWORKDAYS(O192,O192,JoursFeries),MEDIAN(MOD(O192,1),HFer,HOuv),HFer)-IF(NETWORKDAYS(N192,N192,JoursFeries),MEDIAN(MOD(N192,1),HFer,HOuv),HOuv))*24,4)))/HJour,4),""))</f>
        <v/>
      </c>
      <c r="AU192" s="37" t="str">
        <f aca="false">IF(AO192&lt;&gt;1,"",IF(OR(O192="",P192=""),"",IF(P192&lt;O192,"",ROUND(((NETWORKDAYS(O192,P192,JoursFeries)-1)*(HFer-HOuv)+IF(NETWORKDAYS(P192,P192,JoursFeries),MEDIAN(MOD(P192,1),HFer,HOuv),HFer)-IF(NETWORKDAYS(O192,O192,JoursFeries),MEDIAN(MOD(O192,1),HFer,HOuv),HOuv))*24,4))))</f>
        <v/>
      </c>
      <c r="AV192" s="37" t="str">
        <f aca="false">IF(AO192&lt;&gt;1,"",IF(OR(P192="",Q192=""),"",IF(Q192&lt;P192,"",ROUND(((NETWORKDAYS(P192,Q192,JoursFeries)-1)*(HFer-HOuv)+IF(NETWORKDAYS(Q192,Q192,JoursFeries),MEDIAN(MOD(Q192,1),HFer,HOuv),HFer)-IF(NETWORKDAYS(P192,P192,JoursFeries),MEDIAN(MOD(P192,1),HFer,HOuv),HOuv))*24,4))))</f>
        <v/>
      </c>
      <c r="AW192" s="37" t="str">
        <f aca="false">IF(AO192&lt;&gt;1,"",IFERROR(ROUND(IF(OR(P192="",R192=""),"",IF(R192&lt;P192,"",ROUND(((NETWORKDAYS(P192,R192,JoursFeries)-1)*(HFer-HOuv)+IF(NETWORKDAYS(R192,R192,JoursFeries),MEDIAN(MOD(R192,1),HFer,HOuv),HFer)-IF(NETWORKDAYS(P192,P192,JoursFeries),MEDIAN(MOD(P192,1),HFer,HOuv),HOuv))*24,4)))/HJour,4),""))</f>
        <v/>
      </c>
      <c r="AX192" s="37" t="str">
        <f aca="false">IF(AO192&lt;&gt;1,"",IFERROR(ROUND(IF(OR(P192="",S192=""),"",IF(S192&lt;P192,"",ROUND(((NETWORKDAYS(P192,S192,JoursFeries)-1)*(HFer-HOuv)+IF(NETWORKDAYS(S192,S192,JoursFeries),MEDIAN(MOD(S192,1),HFer,HOuv),HFer)-IF(NETWORKDAYS(P192,P192,JoursFeries),MEDIAN(MOD(P192,1),HFer,HOuv),HOuv))*24,4)))/HJour,4),""))</f>
        <v/>
      </c>
      <c r="AY192" s="36" t="str">
        <f aca="false">IF(OR(AO192&lt;&gt;1,AR192=""),"",INDEX(SLA_PEC,AR192))</f>
        <v/>
      </c>
      <c r="AZ192" s="35" t="str">
        <f aca="false">IF(OR(AV192="",AY192=""),"",IF(AV192&lt;=AY192,1,0))</f>
        <v/>
      </c>
      <c r="BA192" s="36" t="str">
        <f aca="false">IF(OR(AO192&lt;&gt;1,AR192=""),"",INDEX(SLA_RES,AR192))</f>
        <v/>
      </c>
      <c r="BB192" s="35" t="str">
        <f aca="false">IF(OR(AW192="",BA192=""),"",IF(AW192&lt;=BA192,1,0))</f>
        <v/>
      </c>
      <c r="BC192" s="38" t="str">
        <f aca="false">IF(OR(BA192="",P192=""),"",WORKDAY(INT(P192),BA192,JoursFeries)+MOD(P192,1))</f>
        <v/>
      </c>
      <c r="BD192" s="39" t="str">
        <f aca="false">IF(AO192&lt;&gt;1,"",IF(OR(AB192&lt;&gt;"",AD192&lt;&gt;""),4,IF(U192&lt;&gt;"",3,IF(T192&lt;&gt;"",2,1))))</f>
        <v/>
      </c>
      <c r="BE192" s="39" t="str">
        <f aca="false">IF(OR(AO192&lt;&gt;1,AR192=""),"",INDEX(NIV_REQ,AR192))</f>
        <v/>
      </c>
      <c r="BF192" s="39" t="str">
        <f aca="false">IF(BE192="","",MAX(BE192,IF(OR(K192="Oui",Z192="Oui"),4,1)))</f>
        <v/>
      </c>
      <c r="BG192" s="35" t="str">
        <f aca="false">IF(OR(BF192="",BD192=""),"",IF(BD192&gt;=BF192,1,0))</f>
        <v/>
      </c>
      <c r="BH192" s="38" t="str">
        <f aca="false">IF(BE192="","",IF(BE192&lt;2,"",IF(BE192=2,IF(AND(T192="",U192=""),"",MIN(T192,U192)),IF(U192="","",U192))))</f>
        <v/>
      </c>
      <c r="BI192" s="37" t="str">
        <f aca="false">IF(BH192="","",IF(OR(O192="",BH192=""),"",IF(BH192&lt;O192,"",ROUND(((NETWORKDAYS(O192,BH192,JoursFeries)-1)*(HFer-HOuv)+IF(NETWORKDAYS(BH192,BH192,JoursFeries),MEDIAN(MOD(BH192,1),HFer,HOuv),HFer)-IF(NETWORKDAYS(O192,O192,JoursFeries),MEDIAN(MOD(O192,1),HFer,HOuv),HOuv))*24,4))))</f>
        <v/>
      </c>
      <c r="BJ192" s="35" t="str">
        <f aca="false">IF(OR(BI192="",AR192=""),"",IF(BI192&lt;=INDEX(DELAI_ESC,AR192),1,0))</f>
        <v/>
      </c>
      <c r="BK192" s="38" t="str">
        <f aca="false">IF(AO192&lt;&gt;1,"",IF(AND(T192="",U192=""),"",MIN(T192,U192)))</f>
        <v/>
      </c>
      <c r="BL192" s="37" t="str">
        <f aca="false">IF(OR(BK192="",R192=""),"",IFERROR(ROUND(IF(OR(BK192="",R192=""),"",IF(R192&lt;BK192,"",ROUND(((NETWORKDAYS(BK192,R192,JoursFeries)-1)*(HFer-HOuv)+IF(NETWORKDAYS(R192,R192,JoursFeries),MEDIAN(MOD(R192,1),HFer,HOuv),HFer)-IF(NETWORKDAYS(BK192,BK192,JoursFeries),MEDIAN(MOD(BK192,1),HFer,HOuv),HOuv))*24,4)))/HJour,4),""))</f>
        <v/>
      </c>
      <c r="BM192" s="35" t="str">
        <f aca="false">IF(OR(AO192&lt;&gt;1,R192=""),"",IF(BD192=1,1,0))</f>
        <v/>
      </c>
      <c r="BN192" s="35" t="str">
        <f aca="false">IF(AO192&lt;&gt;1,"",IF(W192="Oui",1,0))</f>
        <v/>
      </c>
      <c r="BO192" s="35" t="str">
        <f aca="false">IF(AO192&lt;&gt;1,"",IF(X192&lt;&gt;"",1,0))</f>
        <v/>
      </c>
      <c r="BP192" s="35" t="str">
        <f aca="false">IF(AO192&lt;&gt;1,"",IF(Y192="Oui",1,0))</f>
        <v/>
      </c>
      <c r="BQ192" s="35" t="str">
        <f aca="true">IF(OR(AO192&lt;&gt;1,Z192&lt;&gt;"Oui"),"",IF(AB192="",IF(AND(AA192&lt;&gt;"",NOW()&gt;AA192),0,""),IF(AA192="","",IF(AB192&lt;=AA192,1,0))))</f>
        <v/>
      </c>
      <c r="BR192" s="38" t="str">
        <f aca="false">IF(OR(AO192&lt;&gt;1,K192&lt;&gt;"Oui",O192=""),"",IF(AC192="",O192+DORA_H_DET/24,IF(AC192-O192&lt;=DORA_H_DET/24,MIN(AC192+DORA_H_CLA/24,O192+DORA_H_DET/24),AC192+DORA_H_CLA/24)))</f>
        <v/>
      </c>
      <c r="BS192" s="35" t="str">
        <f aca="true">IF(BR192="","",IF(AD192="",IF(NOW()&gt;BR192,0,""),IF(AD192&lt;=BR192,1,0)))</f>
        <v/>
      </c>
      <c r="BT192" s="35" t="str">
        <f aca="true">IF(OR(BR192="",AD192=""),"",IF(AE192="",IF(NOW()&gt;AD192+DORA_H_INT/24,0,""),IF(AE192&lt;=AD192+DORA_H_INT/24,1,0)))</f>
        <v/>
      </c>
      <c r="BU192" s="35" t="str">
        <f aca="true">IF(OR(BR192="",AE192=""),"",IF(AF192="",IF(NOW()&gt;EDATE(AE192,DORA_M_FIN)+1,0,""),IF(AF192&lt;=EDATE(AE192,DORA_M_FIN),1,0)))</f>
        <v/>
      </c>
      <c r="BV192" s="35" t="str">
        <f aca="false">IF(BR192="","",IF(COUNT(BS192:BU192)=0,"",MIN(BS192:BU192)))</f>
        <v/>
      </c>
      <c r="BW192" s="40" t="str">
        <f aca="false">IF(AQ192&lt;&gt;1,"",IF(AND(AG192="",AH192=""),"",N(AG192)-N(AH192)))</f>
        <v/>
      </c>
      <c r="BX192" s="35" t="str">
        <f aca="true">IF(OR(AQ192&lt;&gt;1,AI192&lt;&gt;"Oui",AJ192=""),"",IF(AK192="",IF(NOW()&gt;AJ192+1,0,""),IF(AK192&lt;=AJ192,1,0)))</f>
        <v/>
      </c>
    </row>
    <row r="193" customFormat="false" ht="15" hidden="false" customHeight="false" outlineLevel="0" collapsed="false">
      <c r="B193" s="29"/>
      <c r="C193" s="29"/>
      <c r="D193" s="29"/>
      <c r="E193" s="29"/>
      <c r="F193" s="29"/>
      <c r="G193" s="29"/>
      <c r="H193" s="29"/>
      <c r="I193" s="29"/>
      <c r="J193" s="29"/>
      <c r="K193" s="29"/>
      <c r="L193" s="29"/>
      <c r="M193" s="29"/>
      <c r="N193" s="30"/>
      <c r="O193" s="30"/>
      <c r="P193" s="30"/>
      <c r="Q193" s="30"/>
      <c r="R193" s="30"/>
      <c r="S193" s="30"/>
      <c r="T193" s="30"/>
      <c r="U193" s="30"/>
      <c r="V193" s="31"/>
      <c r="W193" s="29"/>
      <c r="X193" s="29"/>
      <c r="Y193" s="29"/>
      <c r="Z193" s="29"/>
      <c r="AA193" s="30"/>
      <c r="AB193" s="30"/>
      <c r="AC193" s="30"/>
      <c r="AD193" s="30"/>
      <c r="AE193" s="30"/>
      <c r="AF193" s="32"/>
      <c r="AG193" s="33"/>
      <c r="AH193" s="33"/>
      <c r="AI193" s="29"/>
      <c r="AJ193" s="32"/>
      <c r="AK193" s="32"/>
      <c r="AL193" s="29"/>
      <c r="AN193" s="34" t="str">
        <f aca="false">IF($B193="","",IF(OR(C193="",D193="",E193="",G193="",I193="",J193="",L193="",O193="",P193=""),"Champ obligatoire manquant",IF(OR(AND(N193&lt;&gt;"",N193&gt;O193),O193&gt;P193,AND(Q193&lt;&gt;"",Q193&lt;P193),AND(R193&lt;&gt;"",R193&lt;P193),AND(S193&lt;&gt;"",S193&lt;R193),AND(S193&lt;&gt;"",R193=""),AND(T193&lt;&gt;"",T193&lt;O193),AND(U193&lt;&gt;"",U193&lt;O193)),"Chronologie incohérente",IF(AND(OR(L193="Résolu",L193="Clos"),R193=""),"Date de résolution manquante",IF(AND(L193="Clos",S193=""),"Date de clôture manquante",IF(AND(K193="Oui",AC193=""),"Classification DORA manquante","OK"))))))</f>
        <v/>
      </c>
      <c r="AO193" s="35" t="str">
        <f aca="false">IF($B193="","",IF(AND(C193="Incident",L193&lt;&gt;"Annulé"),1,0))</f>
        <v/>
      </c>
      <c r="AP193" s="35" t="str">
        <f aca="false">IF($B193="","",IF(AND(C193="Quasi-incident",L193&lt;&gt;"Annulé"),1,0))</f>
        <v/>
      </c>
      <c r="AQ193" s="35" t="str">
        <f aca="false">IF($B193="","",AO193+AP193)</f>
        <v/>
      </c>
      <c r="AR193" s="36" t="str">
        <f aca="false">IF(OR($B193="",J193=""),"",IFERROR(VALUE(LEFT(J193,1)),""))</f>
        <v/>
      </c>
      <c r="AS193" s="35" t="str">
        <f aca="false">IF(OR(AO193&lt;&gt;1,G193=""),"",IFERROR(IF(INDEX(L_SrcInterne,MATCH(G193,L_Sources,0))="Oui",1,0),""))</f>
        <v/>
      </c>
      <c r="AT193" s="37" t="str">
        <f aca="false">IF(AO193&lt;&gt;1,"",IFERROR(ROUND(IF(OR(N193="",O193=""),"",IF(O193&lt;N193,"",ROUND(((NETWORKDAYS(N193,O193,JoursFeries)-1)*(HFer-HOuv)+IF(NETWORKDAYS(O193,O193,JoursFeries),MEDIAN(MOD(O193,1),HFer,HOuv),HFer)-IF(NETWORKDAYS(N193,N193,JoursFeries),MEDIAN(MOD(N193,1),HFer,HOuv),HOuv))*24,4)))/HJour,4),""))</f>
        <v/>
      </c>
      <c r="AU193" s="37" t="str">
        <f aca="false">IF(AO193&lt;&gt;1,"",IF(OR(O193="",P193=""),"",IF(P193&lt;O193,"",ROUND(((NETWORKDAYS(O193,P193,JoursFeries)-1)*(HFer-HOuv)+IF(NETWORKDAYS(P193,P193,JoursFeries),MEDIAN(MOD(P193,1),HFer,HOuv),HFer)-IF(NETWORKDAYS(O193,O193,JoursFeries),MEDIAN(MOD(O193,1),HFer,HOuv),HOuv))*24,4))))</f>
        <v/>
      </c>
      <c r="AV193" s="37" t="str">
        <f aca="false">IF(AO193&lt;&gt;1,"",IF(OR(P193="",Q193=""),"",IF(Q193&lt;P193,"",ROUND(((NETWORKDAYS(P193,Q193,JoursFeries)-1)*(HFer-HOuv)+IF(NETWORKDAYS(Q193,Q193,JoursFeries),MEDIAN(MOD(Q193,1),HFer,HOuv),HFer)-IF(NETWORKDAYS(P193,P193,JoursFeries),MEDIAN(MOD(P193,1),HFer,HOuv),HOuv))*24,4))))</f>
        <v/>
      </c>
      <c r="AW193" s="37" t="str">
        <f aca="false">IF(AO193&lt;&gt;1,"",IFERROR(ROUND(IF(OR(P193="",R193=""),"",IF(R193&lt;P193,"",ROUND(((NETWORKDAYS(P193,R193,JoursFeries)-1)*(HFer-HOuv)+IF(NETWORKDAYS(R193,R193,JoursFeries),MEDIAN(MOD(R193,1),HFer,HOuv),HFer)-IF(NETWORKDAYS(P193,P193,JoursFeries),MEDIAN(MOD(P193,1),HFer,HOuv),HOuv))*24,4)))/HJour,4),""))</f>
        <v/>
      </c>
      <c r="AX193" s="37" t="str">
        <f aca="false">IF(AO193&lt;&gt;1,"",IFERROR(ROUND(IF(OR(P193="",S193=""),"",IF(S193&lt;P193,"",ROUND(((NETWORKDAYS(P193,S193,JoursFeries)-1)*(HFer-HOuv)+IF(NETWORKDAYS(S193,S193,JoursFeries),MEDIAN(MOD(S193,1),HFer,HOuv),HFer)-IF(NETWORKDAYS(P193,P193,JoursFeries),MEDIAN(MOD(P193,1),HFer,HOuv),HOuv))*24,4)))/HJour,4),""))</f>
        <v/>
      </c>
      <c r="AY193" s="36" t="str">
        <f aca="false">IF(OR(AO193&lt;&gt;1,AR193=""),"",INDEX(SLA_PEC,AR193))</f>
        <v/>
      </c>
      <c r="AZ193" s="35" t="str">
        <f aca="false">IF(OR(AV193="",AY193=""),"",IF(AV193&lt;=AY193,1,0))</f>
        <v/>
      </c>
      <c r="BA193" s="36" t="str">
        <f aca="false">IF(OR(AO193&lt;&gt;1,AR193=""),"",INDEX(SLA_RES,AR193))</f>
        <v/>
      </c>
      <c r="BB193" s="35" t="str">
        <f aca="false">IF(OR(AW193="",BA193=""),"",IF(AW193&lt;=BA193,1,0))</f>
        <v/>
      </c>
      <c r="BC193" s="38" t="str">
        <f aca="false">IF(OR(BA193="",P193=""),"",WORKDAY(INT(P193),BA193,JoursFeries)+MOD(P193,1))</f>
        <v/>
      </c>
      <c r="BD193" s="39" t="str">
        <f aca="false">IF(AO193&lt;&gt;1,"",IF(OR(AB193&lt;&gt;"",AD193&lt;&gt;""),4,IF(U193&lt;&gt;"",3,IF(T193&lt;&gt;"",2,1))))</f>
        <v/>
      </c>
      <c r="BE193" s="39" t="str">
        <f aca="false">IF(OR(AO193&lt;&gt;1,AR193=""),"",INDEX(NIV_REQ,AR193))</f>
        <v/>
      </c>
      <c r="BF193" s="39" t="str">
        <f aca="false">IF(BE193="","",MAX(BE193,IF(OR(K193="Oui",Z193="Oui"),4,1)))</f>
        <v/>
      </c>
      <c r="BG193" s="35" t="str">
        <f aca="false">IF(OR(BF193="",BD193=""),"",IF(BD193&gt;=BF193,1,0))</f>
        <v/>
      </c>
      <c r="BH193" s="38" t="str">
        <f aca="false">IF(BE193="","",IF(BE193&lt;2,"",IF(BE193=2,IF(AND(T193="",U193=""),"",MIN(T193,U193)),IF(U193="","",U193))))</f>
        <v/>
      </c>
      <c r="BI193" s="37" t="str">
        <f aca="false">IF(BH193="","",IF(OR(O193="",BH193=""),"",IF(BH193&lt;O193,"",ROUND(((NETWORKDAYS(O193,BH193,JoursFeries)-1)*(HFer-HOuv)+IF(NETWORKDAYS(BH193,BH193,JoursFeries),MEDIAN(MOD(BH193,1),HFer,HOuv),HFer)-IF(NETWORKDAYS(O193,O193,JoursFeries),MEDIAN(MOD(O193,1),HFer,HOuv),HOuv))*24,4))))</f>
        <v/>
      </c>
      <c r="BJ193" s="35" t="str">
        <f aca="false">IF(OR(BI193="",AR193=""),"",IF(BI193&lt;=INDEX(DELAI_ESC,AR193),1,0))</f>
        <v/>
      </c>
      <c r="BK193" s="38" t="str">
        <f aca="false">IF(AO193&lt;&gt;1,"",IF(AND(T193="",U193=""),"",MIN(T193,U193)))</f>
        <v/>
      </c>
      <c r="BL193" s="37" t="str">
        <f aca="false">IF(OR(BK193="",R193=""),"",IFERROR(ROUND(IF(OR(BK193="",R193=""),"",IF(R193&lt;BK193,"",ROUND(((NETWORKDAYS(BK193,R193,JoursFeries)-1)*(HFer-HOuv)+IF(NETWORKDAYS(R193,R193,JoursFeries),MEDIAN(MOD(R193,1),HFer,HOuv),HFer)-IF(NETWORKDAYS(BK193,BK193,JoursFeries),MEDIAN(MOD(BK193,1),HFer,HOuv),HOuv))*24,4)))/HJour,4),""))</f>
        <v/>
      </c>
      <c r="BM193" s="35" t="str">
        <f aca="false">IF(OR(AO193&lt;&gt;1,R193=""),"",IF(BD193=1,1,0))</f>
        <v/>
      </c>
      <c r="BN193" s="35" t="str">
        <f aca="false">IF(AO193&lt;&gt;1,"",IF(W193="Oui",1,0))</f>
        <v/>
      </c>
      <c r="BO193" s="35" t="str">
        <f aca="false">IF(AO193&lt;&gt;1,"",IF(X193&lt;&gt;"",1,0))</f>
        <v/>
      </c>
      <c r="BP193" s="35" t="str">
        <f aca="false">IF(AO193&lt;&gt;1,"",IF(Y193="Oui",1,0))</f>
        <v/>
      </c>
      <c r="BQ193" s="35" t="str">
        <f aca="true">IF(OR(AO193&lt;&gt;1,Z193&lt;&gt;"Oui"),"",IF(AB193="",IF(AND(AA193&lt;&gt;"",NOW()&gt;AA193),0,""),IF(AA193="","",IF(AB193&lt;=AA193,1,0))))</f>
        <v/>
      </c>
      <c r="BR193" s="38" t="str">
        <f aca="false">IF(OR(AO193&lt;&gt;1,K193&lt;&gt;"Oui",O193=""),"",IF(AC193="",O193+DORA_H_DET/24,IF(AC193-O193&lt;=DORA_H_DET/24,MIN(AC193+DORA_H_CLA/24,O193+DORA_H_DET/24),AC193+DORA_H_CLA/24)))</f>
        <v/>
      </c>
      <c r="BS193" s="35" t="str">
        <f aca="true">IF(BR193="","",IF(AD193="",IF(NOW()&gt;BR193,0,""),IF(AD193&lt;=BR193,1,0)))</f>
        <v/>
      </c>
      <c r="BT193" s="35" t="str">
        <f aca="true">IF(OR(BR193="",AD193=""),"",IF(AE193="",IF(NOW()&gt;AD193+DORA_H_INT/24,0,""),IF(AE193&lt;=AD193+DORA_H_INT/24,1,0)))</f>
        <v/>
      </c>
      <c r="BU193" s="35" t="str">
        <f aca="true">IF(OR(BR193="",AE193=""),"",IF(AF193="",IF(NOW()&gt;EDATE(AE193,DORA_M_FIN)+1,0,""),IF(AF193&lt;=EDATE(AE193,DORA_M_FIN),1,0)))</f>
        <v/>
      </c>
      <c r="BV193" s="35" t="str">
        <f aca="false">IF(BR193="","",IF(COUNT(BS193:BU193)=0,"",MIN(BS193:BU193)))</f>
        <v/>
      </c>
      <c r="BW193" s="40" t="str">
        <f aca="false">IF(AQ193&lt;&gt;1,"",IF(AND(AG193="",AH193=""),"",N(AG193)-N(AH193)))</f>
        <v/>
      </c>
      <c r="BX193" s="35" t="str">
        <f aca="true">IF(OR(AQ193&lt;&gt;1,AI193&lt;&gt;"Oui",AJ193=""),"",IF(AK193="",IF(NOW()&gt;AJ193+1,0,""),IF(AK193&lt;=AJ193,1,0)))</f>
        <v/>
      </c>
    </row>
    <row r="194" customFormat="false" ht="15" hidden="false" customHeight="false" outlineLevel="0" collapsed="false">
      <c r="B194" s="29"/>
      <c r="C194" s="29"/>
      <c r="D194" s="29"/>
      <c r="E194" s="29"/>
      <c r="F194" s="29"/>
      <c r="G194" s="29"/>
      <c r="H194" s="29"/>
      <c r="I194" s="29"/>
      <c r="J194" s="29"/>
      <c r="K194" s="29"/>
      <c r="L194" s="29"/>
      <c r="M194" s="29"/>
      <c r="N194" s="30"/>
      <c r="O194" s="30"/>
      <c r="P194" s="30"/>
      <c r="Q194" s="30"/>
      <c r="R194" s="30"/>
      <c r="S194" s="30"/>
      <c r="T194" s="30"/>
      <c r="U194" s="30"/>
      <c r="V194" s="31"/>
      <c r="W194" s="29"/>
      <c r="X194" s="29"/>
      <c r="Y194" s="29"/>
      <c r="Z194" s="29"/>
      <c r="AA194" s="30"/>
      <c r="AB194" s="30"/>
      <c r="AC194" s="30"/>
      <c r="AD194" s="30"/>
      <c r="AE194" s="30"/>
      <c r="AF194" s="32"/>
      <c r="AG194" s="33"/>
      <c r="AH194" s="33"/>
      <c r="AI194" s="29"/>
      <c r="AJ194" s="32"/>
      <c r="AK194" s="32"/>
      <c r="AL194" s="29"/>
      <c r="AN194" s="34" t="str">
        <f aca="false">IF($B194="","",IF(OR(C194="",D194="",E194="",G194="",I194="",J194="",L194="",O194="",P194=""),"Champ obligatoire manquant",IF(OR(AND(N194&lt;&gt;"",N194&gt;O194),O194&gt;P194,AND(Q194&lt;&gt;"",Q194&lt;P194),AND(R194&lt;&gt;"",R194&lt;P194),AND(S194&lt;&gt;"",S194&lt;R194),AND(S194&lt;&gt;"",R194=""),AND(T194&lt;&gt;"",T194&lt;O194),AND(U194&lt;&gt;"",U194&lt;O194)),"Chronologie incohérente",IF(AND(OR(L194="Résolu",L194="Clos"),R194=""),"Date de résolution manquante",IF(AND(L194="Clos",S194=""),"Date de clôture manquante",IF(AND(K194="Oui",AC194=""),"Classification DORA manquante","OK"))))))</f>
        <v/>
      </c>
      <c r="AO194" s="35" t="str">
        <f aca="false">IF($B194="","",IF(AND(C194="Incident",L194&lt;&gt;"Annulé"),1,0))</f>
        <v/>
      </c>
      <c r="AP194" s="35" t="str">
        <f aca="false">IF($B194="","",IF(AND(C194="Quasi-incident",L194&lt;&gt;"Annulé"),1,0))</f>
        <v/>
      </c>
      <c r="AQ194" s="35" t="str">
        <f aca="false">IF($B194="","",AO194+AP194)</f>
        <v/>
      </c>
      <c r="AR194" s="36" t="str">
        <f aca="false">IF(OR($B194="",J194=""),"",IFERROR(VALUE(LEFT(J194,1)),""))</f>
        <v/>
      </c>
      <c r="AS194" s="35" t="str">
        <f aca="false">IF(OR(AO194&lt;&gt;1,G194=""),"",IFERROR(IF(INDEX(L_SrcInterne,MATCH(G194,L_Sources,0))="Oui",1,0),""))</f>
        <v/>
      </c>
      <c r="AT194" s="37" t="str">
        <f aca="false">IF(AO194&lt;&gt;1,"",IFERROR(ROUND(IF(OR(N194="",O194=""),"",IF(O194&lt;N194,"",ROUND(((NETWORKDAYS(N194,O194,JoursFeries)-1)*(HFer-HOuv)+IF(NETWORKDAYS(O194,O194,JoursFeries),MEDIAN(MOD(O194,1),HFer,HOuv),HFer)-IF(NETWORKDAYS(N194,N194,JoursFeries),MEDIAN(MOD(N194,1),HFer,HOuv),HOuv))*24,4)))/HJour,4),""))</f>
        <v/>
      </c>
      <c r="AU194" s="37" t="str">
        <f aca="false">IF(AO194&lt;&gt;1,"",IF(OR(O194="",P194=""),"",IF(P194&lt;O194,"",ROUND(((NETWORKDAYS(O194,P194,JoursFeries)-1)*(HFer-HOuv)+IF(NETWORKDAYS(P194,P194,JoursFeries),MEDIAN(MOD(P194,1),HFer,HOuv),HFer)-IF(NETWORKDAYS(O194,O194,JoursFeries),MEDIAN(MOD(O194,1),HFer,HOuv),HOuv))*24,4))))</f>
        <v/>
      </c>
      <c r="AV194" s="37" t="str">
        <f aca="false">IF(AO194&lt;&gt;1,"",IF(OR(P194="",Q194=""),"",IF(Q194&lt;P194,"",ROUND(((NETWORKDAYS(P194,Q194,JoursFeries)-1)*(HFer-HOuv)+IF(NETWORKDAYS(Q194,Q194,JoursFeries),MEDIAN(MOD(Q194,1),HFer,HOuv),HFer)-IF(NETWORKDAYS(P194,P194,JoursFeries),MEDIAN(MOD(P194,1),HFer,HOuv),HOuv))*24,4))))</f>
        <v/>
      </c>
      <c r="AW194" s="37" t="str">
        <f aca="false">IF(AO194&lt;&gt;1,"",IFERROR(ROUND(IF(OR(P194="",R194=""),"",IF(R194&lt;P194,"",ROUND(((NETWORKDAYS(P194,R194,JoursFeries)-1)*(HFer-HOuv)+IF(NETWORKDAYS(R194,R194,JoursFeries),MEDIAN(MOD(R194,1),HFer,HOuv),HFer)-IF(NETWORKDAYS(P194,P194,JoursFeries),MEDIAN(MOD(P194,1),HFer,HOuv),HOuv))*24,4)))/HJour,4),""))</f>
        <v/>
      </c>
      <c r="AX194" s="37" t="str">
        <f aca="false">IF(AO194&lt;&gt;1,"",IFERROR(ROUND(IF(OR(P194="",S194=""),"",IF(S194&lt;P194,"",ROUND(((NETWORKDAYS(P194,S194,JoursFeries)-1)*(HFer-HOuv)+IF(NETWORKDAYS(S194,S194,JoursFeries),MEDIAN(MOD(S194,1),HFer,HOuv),HFer)-IF(NETWORKDAYS(P194,P194,JoursFeries),MEDIAN(MOD(P194,1),HFer,HOuv),HOuv))*24,4)))/HJour,4),""))</f>
        <v/>
      </c>
      <c r="AY194" s="36" t="str">
        <f aca="false">IF(OR(AO194&lt;&gt;1,AR194=""),"",INDEX(SLA_PEC,AR194))</f>
        <v/>
      </c>
      <c r="AZ194" s="35" t="str">
        <f aca="false">IF(OR(AV194="",AY194=""),"",IF(AV194&lt;=AY194,1,0))</f>
        <v/>
      </c>
      <c r="BA194" s="36" t="str">
        <f aca="false">IF(OR(AO194&lt;&gt;1,AR194=""),"",INDEX(SLA_RES,AR194))</f>
        <v/>
      </c>
      <c r="BB194" s="35" t="str">
        <f aca="false">IF(OR(AW194="",BA194=""),"",IF(AW194&lt;=BA194,1,0))</f>
        <v/>
      </c>
      <c r="BC194" s="38" t="str">
        <f aca="false">IF(OR(BA194="",P194=""),"",WORKDAY(INT(P194),BA194,JoursFeries)+MOD(P194,1))</f>
        <v/>
      </c>
      <c r="BD194" s="39" t="str">
        <f aca="false">IF(AO194&lt;&gt;1,"",IF(OR(AB194&lt;&gt;"",AD194&lt;&gt;""),4,IF(U194&lt;&gt;"",3,IF(T194&lt;&gt;"",2,1))))</f>
        <v/>
      </c>
      <c r="BE194" s="39" t="str">
        <f aca="false">IF(OR(AO194&lt;&gt;1,AR194=""),"",INDEX(NIV_REQ,AR194))</f>
        <v/>
      </c>
      <c r="BF194" s="39" t="str">
        <f aca="false">IF(BE194="","",MAX(BE194,IF(OR(K194="Oui",Z194="Oui"),4,1)))</f>
        <v/>
      </c>
      <c r="BG194" s="35" t="str">
        <f aca="false">IF(OR(BF194="",BD194=""),"",IF(BD194&gt;=BF194,1,0))</f>
        <v/>
      </c>
      <c r="BH194" s="38" t="str">
        <f aca="false">IF(BE194="","",IF(BE194&lt;2,"",IF(BE194=2,IF(AND(T194="",U194=""),"",MIN(T194,U194)),IF(U194="","",U194))))</f>
        <v/>
      </c>
      <c r="BI194" s="37" t="str">
        <f aca="false">IF(BH194="","",IF(OR(O194="",BH194=""),"",IF(BH194&lt;O194,"",ROUND(((NETWORKDAYS(O194,BH194,JoursFeries)-1)*(HFer-HOuv)+IF(NETWORKDAYS(BH194,BH194,JoursFeries),MEDIAN(MOD(BH194,1),HFer,HOuv),HFer)-IF(NETWORKDAYS(O194,O194,JoursFeries),MEDIAN(MOD(O194,1),HFer,HOuv),HOuv))*24,4))))</f>
        <v/>
      </c>
      <c r="BJ194" s="35" t="str">
        <f aca="false">IF(OR(BI194="",AR194=""),"",IF(BI194&lt;=INDEX(DELAI_ESC,AR194),1,0))</f>
        <v/>
      </c>
      <c r="BK194" s="38" t="str">
        <f aca="false">IF(AO194&lt;&gt;1,"",IF(AND(T194="",U194=""),"",MIN(T194,U194)))</f>
        <v/>
      </c>
      <c r="BL194" s="37" t="str">
        <f aca="false">IF(OR(BK194="",R194=""),"",IFERROR(ROUND(IF(OR(BK194="",R194=""),"",IF(R194&lt;BK194,"",ROUND(((NETWORKDAYS(BK194,R194,JoursFeries)-1)*(HFer-HOuv)+IF(NETWORKDAYS(R194,R194,JoursFeries),MEDIAN(MOD(R194,1),HFer,HOuv),HFer)-IF(NETWORKDAYS(BK194,BK194,JoursFeries),MEDIAN(MOD(BK194,1),HFer,HOuv),HOuv))*24,4)))/HJour,4),""))</f>
        <v/>
      </c>
      <c r="BM194" s="35" t="str">
        <f aca="false">IF(OR(AO194&lt;&gt;1,R194=""),"",IF(BD194=1,1,0))</f>
        <v/>
      </c>
      <c r="BN194" s="35" t="str">
        <f aca="false">IF(AO194&lt;&gt;1,"",IF(W194="Oui",1,0))</f>
        <v/>
      </c>
      <c r="BO194" s="35" t="str">
        <f aca="false">IF(AO194&lt;&gt;1,"",IF(X194&lt;&gt;"",1,0))</f>
        <v/>
      </c>
      <c r="BP194" s="35" t="str">
        <f aca="false">IF(AO194&lt;&gt;1,"",IF(Y194="Oui",1,0))</f>
        <v/>
      </c>
      <c r="BQ194" s="35" t="str">
        <f aca="true">IF(OR(AO194&lt;&gt;1,Z194&lt;&gt;"Oui"),"",IF(AB194="",IF(AND(AA194&lt;&gt;"",NOW()&gt;AA194),0,""),IF(AA194="","",IF(AB194&lt;=AA194,1,0))))</f>
        <v/>
      </c>
      <c r="BR194" s="38" t="str">
        <f aca="false">IF(OR(AO194&lt;&gt;1,K194&lt;&gt;"Oui",O194=""),"",IF(AC194="",O194+DORA_H_DET/24,IF(AC194-O194&lt;=DORA_H_DET/24,MIN(AC194+DORA_H_CLA/24,O194+DORA_H_DET/24),AC194+DORA_H_CLA/24)))</f>
        <v/>
      </c>
      <c r="BS194" s="35" t="str">
        <f aca="true">IF(BR194="","",IF(AD194="",IF(NOW()&gt;BR194,0,""),IF(AD194&lt;=BR194,1,0)))</f>
        <v/>
      </c>
      <c r="BT194" s="35" t="str">
        <f aca="true">IF(OR(BR194="",AD194=""),"",IF(AE194="",IF(NOW()&gt;AD194+DORA_H_INT/24,0,""),IF(AE194&lt;=AD194+DORA_H_INT/24,1,0)))</f>
        <v/>
      </c>
      <c r="BU194" s="35" t="str">
        <f aca="true">IF(OR(BR194="",AE194=""),"",IF(AF194="",IF(NOW()&gt;EDATE(AE194,DORA_M_FIN)+1,0,""),IF(AF194&lt;=EDATE(AE194,DORA_M_FIN),1,0)))</f>
        <v/>
      </c>
      <c r="BV194" s="35" t="str">
        <f aca="false">IF(BR194="","",IF(COUNT(BS194:BU194)=0,"",MIN(BS194:BU194)))</f>
        <v/>
      </c>
      <c r="BW194" s="40" t="str">
        <f aca="false">IF(AQ194&lt;&gt;1,"",IF(AND(AG194="",AH194=""),"",N(AG194)-N(AH194)))</f>
        <v/>
      </c>
      <c r="BX194" s="35" t="str">
        <f aca="true">IF(OR(AQ194&lt;&gt;1,AI194&lt;&gt;"Oui",AJ194=""),"",IF(AK194="",IF(NOW()&gt;AJ194+1,0,""),IF(AK194&lt;=AJ194,1,0)))</f>
        <v/>
      </c>
    </row>
    <row r="195" customFormat="false" ht="15" hidden="false" customHeight="false" outlineLevel="0" collapsed="false">
      <c r="B195" s="29"/>
      <c r="C195" s="29"/>
      <c r="D195" s="29"/>
      <c r="E195" s="29"/>
      <c r="F195" s="29"/>
      <c r="G195" s="29"/>
      <c r="H195" s="29"/>
      <c r="I195" s="29"/>
      <c r="J195" s="29"/>
      <c r="K195" s="29"/>
      <c r="L195" s="29"/>
      <c r="M195" s="29"/>
      <c r="N195" s="30"/>
      <c r="O195" s="30"/>
      <c r="P195" s="30"/>
      <c r="Q195" s="30"/>
      <c r="R195" s="30"/>
      <c r="S195" s="30"/>
      <c r="T195" s="30"/>
      <c r="U195" s="30"/>
      <c r="V195" s="31"/>
      <c r="W195" s="29"/>
      <c r="X195" s="29"/>
      <c r="Y195" s="29"/>
      <c r="Z195" s="29"/>
      <c r="AA195" s="30"/>
      <c r="AB195" s="30"/>
      <c r="AC195" s="30"/>
      <c r="AD195" s="30"/>
      <c r="AE195" s="30"/>
      <c r="AF195" s="32"/>
      <c r="AG195" s="33"/>
      <c r="AH195" s="33"/>
      <c r="AI195" s="29"/>
      <c r="AJ195" s="32"/>
      <c r="AK195" s="32"/>
      <c r="AL195" s="29"/>
      <c r="AN195" s="34" t="str">
        <f aca="false">IF($B195="","",IF(OR(C195="",D195="",E195="",G195="",I195="",J195="",L195="",O195="",P195=""),"Champ obligatoire manquant",IF(OR(AND(N195&lt;&gt;"",N195&gt;O195),O195&gt;P195,AND(Q195&lt;&gt;"",Q195&lt;P195),AND(R195&lt;&gt;"",R195&lt;P195),AND(S195&lt;&gt;"",S195&lt;R195),AND(S195&lt;&gt;"",R195=""),AND(T195&lt;&gt;"",T195&lt;O195),AND(U195&lt;&gt;"",U195&lt;O195)),"Chronologie incohérente",IF(AND(OR(L195="Résolu",L195="Clos"),R195=""),"Date de résolution manquante",IF(AND(L195="Clos",S195=""),"Date de clôture manquante",IF(AND(K195="Oui",AC195=""),"Classification DORA manquante","OK"))))))</f>
        <v/>
      </c>
      <c r="AO195" s="35" t="str">
        <f aca="false">IF($B195="","",IF(AND(C195="Incident",L195&lt;&gt;"Annulé"),1,0))</f>
        <v/>
      </c>
      <c r="AP195" s="35" t="str">
        <f aca="false">IF($B195="","",IF(AND(C195="Quasi-incident",L195&lt;&gt;"Annulé"),1,0))</f>
        <v/>
      </c>
      <c r="AQ195" s="35" t="str">
        <f aca="false">IF($B195="","",AO195+AP195)</f>
        <v/>
      </c>
      <c r="AR195" s="36" t="str">
        <f aca="false">IF(OR($B195="",J195=""),"",IFERROR(VALUE(LEFT(J195,1)),""))</f>
        <v/>
      </c>
      <c r="AS195" s="35" t="str">
        <f aca="false">IF(OR(AO195&lt;&gt;1,G195=""),"",IFERROR(IF(INDEX(L_SrcInterne,MATCH(G195,L_Sources,0))="Oui",1,0),""))</f>
        <v/>
      </c>
      <c r="AT195" s="37" t="str">
        <f aca="false">IF(AO195&lt;&gt;1,"",IFERROR(ROUND(IF(OR(N195="",O195=""),"",IF(O195&lt;N195,"",ROUND(((NETWORKDAYS(N195,O195,JoursFeries)-1)*(HFer-HOuv)+IF(NETWORKDAYS(O195,O195,JoursFeries),MEDIAN(MOD(O195,1),HFer,HOuv),HFer)-IF(NETWORKDAYS(N195,N195,JoursFeries),MEDIAN(MOD(N195,1),HFer,HOuv),HOuv))*24,4)))/HJour,4),""))</f>
        <v/>
      </c>
      <c r="AU195" s="37" t="str">
        <f aca="false">IF(AO195&lt;&gt;1,"",IF(OR(O195="",P195=""),"",IF(P195&lt;O195,"",ROUND(((NETWORKDAYS(O195,P195,JoursFeries)-1)*(HFer-HOuv)+IF(NETWORKDAYS(P195,P195,JoursFeries),MEDIAN(MOD(P195,1),HFer,HOuv),HFer)-IF(NETWORKDAYS(O195,O195,JoursFeries),MEDIAN(MOD(O195,1),HFer,HOuv),HOuv))*24,4))))</f>
        <v/>
      </c>
      <c r="AV195" s="37" t="str">
        <f aca="false">IF(AO195&lt;&gt;1,"",IF(OR(P195="",Q195=""),"",IF(Q195&lt;P195,"",ROUND(((NETWORKDAYS(P195,Q195,JoursFeries)-1)*(HFer-HOuv)+IF(NETWORKDAYS(Q195,Q195,JoursFeries),MEDIAN(MOD(Q195,1),HFer,HOuv),HFer)-IF(NETWORKDAYS(P195,P195,JoursFeries),MEDIAN(MOD(P195,1),HFer,HOuv),HOuv))*24,4))))</f>
        <v/>
      </c>
      <c r="AW195" s="37" t="str">
        <f aca="false">IF(AO195&lt;&gt;1,"",IFERROR(ROUND(IF(OR(P195="",R195=""),"",IF(R195&lt;P195,"",ROUND(((NETWORKDAYS(P195,R195,JoursFeries)-1)*(HFer-HOuv)+IF(NETWORKDAYS(R195,R195,JoursFeries),MEDIAN(MOD(R195,1),HFer,HOuv),HFer)-IF(NETWORKDAYS(P195,P195,JoursFeries),MEDIAN(MOD(P195,1),HFer,HOuv),HOuv))*24,4)))/HJour,4),""))</f>
        <v/>
      </c>
      <c r="AX195" s="37" t="str">
        <f aca="false">IF(AO195&lt;&gt;1,"",IFERROR(ROUND(IF(OR(P195="",S195=""),"",IF(S195&lt;P195,"",ROUND(((NETWORKDAYS(P195,S195,JoursFeries)-1)*(HFer-HOuv)+IF(NETWORKDAYS(S195,S195,JoursFeries),MEDIAN(MOD(S195,1),HFer,HOuv),HFer)-IF(NETWORKDAYS(P195,P195,JoursFeries),MEDIAN(MOD(P195,1),HFer,HOuv),HOuv))*24,4)))/HJour,4),""))</f>
        <v/>
      </c>
      <c r="AY195" s="36" t="str">
        <f aca="false">IF(OR(AO195&lt;&gt;1,AR195=""),"",INDEX(SLA_PEC,AR195))</f>
        <v/>
      </c>
      <c r="AZ195" s="35" t="str">
        <f aca="false">IF(OR(AV195="",AY195=""),"",IF(AV195&lt;=AY195,1,0))</f>
        <v/>
      </c>
      <c r="BA195" s="36" t="str">
        <f aca="false">IF(OR(AO195&lt;&gt;1,AR195=""),"",INDEX(SLA_RES,AR195))</f>
        <v/>
      </c>
      <c r="BB195" s="35" t="str">
        <f aca="false">IF(OR(AW195="",BA195=""),"",IF(AW195&lt;=BA195,1,0))</f>
        <v/>
      </c>
      <c r="BC195" s="38" t="str">
        <f aca="false">IF(OR(BA195="",P195=""),"",WORKDAY(INT(P195),BA195,JoursFeries)+MOD(P195,1))</f>
        <v/>
      </c>
      <c r="BD195" s="39" t="str">
        <f aca="false">IF(AO195&lt;&gt;1,"",IF(OR(AB195&lt;&gt;"",AD195&lt;&gt;""),4,IF(U195&lt;&gt;"",3,IF(T195&lt;&gt;"",2,1))))</f>
        <v/>
      </c>
      <c r="BE195" s="39" t="str">
        <f aca="false">IF(OR(AO195&lt;&gt;1,AR195=""),"",INDEX(NIV_REQ,AR195))</f>
        <v/>
      </c>
      <c r="BF195" s="39" t="str">
        <f aca="false">IF(BE195="","",MAX(BE195,IF(OR(K195="Oui",Z195="Oui"),4,1)))</f>
        <v/>
      </c>
      <c r="BG195" s="35" t="str">
        <f aca="false">IF(OR(BF195="",BD195=""),"",IF(BD195&gt;=BF195,1,0))</f>
        <v/>
      </c>
      <c r="BH195" s="38" t="str">
        <f aca="false">IF(BE195="","",IF(BE195&lt;2,"",IF(BE195=2,IF(AND(T195="",U195=""),"",MIN(T195,U195)),IF(U195="","",U195))))</f>
        <v/>
      </c>
      <c r="BI195" s="37" t="str">
        <f aca="false">IF(BH195="","",IF(OR(O195="",BH195=""),"",IF(BH195&lt;O195,"",ROUND(((NETWORKDAYS(O195,BH195,JoursFeries)-1)*(HFer-HOuv)+IF(NETWORKDAYS(BH195,BH195,JoursFeries),MEDIAN(MOD(BH195,1),HFer,HOuv),HFer)-IF(NETWORKDAYS(O195,O195,JoursFeries),MEDIAN(MOD(O195,1),HFer,HOuv),HOuv))*24,4))))</f>
        <v/>
      </c>
      <c r="BJ195" s="35" t="str">
        <f aca="false">IF(OR(BI195="",AR195=""),"",IF(BI195&lt;=INDEX(DELAI_ESC,AR195),1,0))</f>
        <v/>
      </c>
      <c r="BK195" s="38" t="str">
        <f aca="false">IF(AO195&lt;&gt;1,"",IF(AND(T195="",U195=""),"",MIN(T195,U195)))</f>
        <v/>
      </c>
      <c r="BL195" s="37" t="str">
        <f aca="false">IF(OR(BK195="",R195=""),"",IFERROR(ROUND(IF(OR(BK195="",R195=""),"",IF(R195&lt;BK195,"",ROUND(((NETWORKDAYS(BK195,R195,JoursFeries)-1)*(HFer-HOuv)+IF(NETWORKDAYS(R195,R195,JoursFeries),MEDIAN(MOD(R195,1),HFer,HOuv),HFer)-IF(NETWORKDAYS(BK195,BK195,JoursFeries),MEDIAN(MOD(BK195,1),HFer,HOuv),HOuv))*24,4)))/HJour,4),""))</f>
        <v/>
      </c>
      <c r="BM195" s="35" t="str">
        <f aca="false">IF(OR(AO195&lt;&gt;1,R195=""),"",IF(BD195=1,1,0))</f>
        <v/>
      </c>
      <c r="BN195" s="35" t="str">
        <f aca="false">IF(AO195&lt;&gt;1,"",IF(W195="Oui",1,0))</f>
        <v/>
      </c>
      <c r="BO195" s="35" t="str">
        <f aca="false">IF(AO195&lt;&gt;1,"",IF(X195&lt;&gt;"",1,0))</f>
        <v/>
      </c>
      <c r="BP195" s="35" t="str">
        <f aca="false">IF(AO195&lt;&gt;1,"",IF(Y195="Oui",1,0))</f>
        <v/>
      </c>
      <c r="BQ195" s="35" t="str">
        <f aca="true">IF(OR(AO195&lt;&gt;1,Z195&lt;&gt;"Oui"),"",IF(AB195="",IF(AND(AA195&lt;&gt;"",NOW()&gt;AA195),0,""),IF(AA195="","",IF(AB195&lt;=AA195,1,0))))</f>
        <v/>
      </c>
      <c r="BR195" s="38" t="str">
        <f aca="false">IF(OR(AO195&lt;&gt;1,K195&lt;&gt;"Oui",O195=""),"",IF(AC195="",O195+DORA_H_DET/24,IF(AC195-O195&lt;=DORA_H_DET/24,MIN(AC195+DORA_H_CLA/24,O195+DORA_H_DET/24),AC195+DORA_H_CLA/24)))</f>
        <v/>
      </c>
      <c r="BS195" s="35" t="str">
        <f aca="true">IF(BR195="","",IF(AD195="",IF(NOW()&gt;BR195,0,""),IF(AD195&lt;=BR195,1,0)))</f>
        <v/>
      </c>
      <c r="BT195" s="35" t="str">
        <f aca="true">IF(OR(BR195="",AD195=""),"",IF(AE195="",IF(NOW()&gt;AD195+DORA_H_INT/24,0,""),IF(AE195&lt;=AD195+DORA_H_INT/24,1,0)))</f>
        <v/>
      </c>
      <c r="BU195" s="35" t="str">
        <f aca="true">IF(OR(BR195="",AE195=""),"",IF(AF195="",IF(NOW()&gt;EDATE(AE195,DORA_M_FIN)+1,0,""),IF(AF195&lt;=EDATE(AE195,DORA_M_FIN),1,0)))</f>
        <v/>
      </c>
      <c r="BV195" s="35" t="str">
        <f aca="false">IF(BR195="","",IF(COUNT(BS195:BU195)=0,"",MIN(BS195:BU195)))</f>
        <v/>
      </c>
      <c r="BW195" s="40" t="str">
        <f aca="false">IF(AQ195&lt;&gt;1,"",IF(AND(AG195="",AH195=""),"",N(AG195)-N(AH195)))</f>
        <v/>
      </c>
      <c r="BX195" s="35" t="str">
        <f aca="true">IF(OR(AQ195&lt;&gt;1,AI195&lt;&gt;"Oui",AJ195=""),"",IF(AK195="",IF(NOW()&gt;AJ195+1,0,""),IF(AK195&lt;=AJ195,1,0)))</f>
        <v/>
      </c>
    </row>
    <row r="196" customFormat="false" ht="15" hidden="false" customHeight="false" outlineLevel="0" collapsed="false">
      <c r="B196" s="29"/>
      <c r="C196" s="29"/>
      <c r="D196" s="29"/>
      <c r="E196" s="29"/>
      <c r="F196" s="29"/>
      <c r="G196" s="29"/>
      <c r="H196" s="29"/>
      <c r="I196" s="29"/>
      <c r="J196" s="29"/>
      <c r="K196" s="29"/>
      <c r="L196" s="29"/>
      <c r="M196" s="29"/>
      <c r="N196" s="30"/>
      <c r="O196" s="30"/>
      <c r="P196" s="30"/>
      <c r="Q196" s="30"/>
      <c r="R196" s="30"/>
      <c r="S196" s="30"/>
      <c r="T196" s="30"/>
      <c r="U196" s="30"/>
      <c r="V196" s="31"/>
      <c r="W196" s="29"/>
      <c r="X196" s="29"/>
      <c r="Y196" s="29"/>
      <c r="Z196" s="29"/>
      <c r="AA196" s="30"/>
      <c r="AB196" s="30"/>
      <c r="AC196" s="30"/>
      <c r="AD196" s="30"/>
      <c r="AE196" s="30"/>
      <c r="AF196" s="32"/>
      <c r="AG196" s="33"/>
      <c r="AH196" s="33"/>
      <c r="AI196" s="29"/>
      <c r="AJ196" s="32"/>
      <c r="AK196" s="32"/>
      <c r="AL196" s="29"/>
      <c r="AN196" s="34" t="str">
        <f aca="false">IF($B196="","",IF(OR(C196="",D196="",E196="",G196="",I196="",J196="",L196="",O196="",P196=""),"Champ obligatoire manquant",IF(OR(AND(N196&lt;&gt;"",N196&gt;O196),O196&gt;P196,AND(Q196&lt;&gt;"",Q196&lt;P196),AND(R196&lt;&gt;"",R196&lt;P196),AND(S196&lt;&gt;"",S196&lt;R196),AND(S196&lt;&gt;"",R196=""),AND(T196&lt;&gt;"",T196&lt;O196),AND(U196&lt;&gt;"",U196&lt;O196)),"Chronologie incohérente",IF(AND(OR(L196="Résolu",L196="Clos"),R196=""),"Date de résolution manquante",IF(AND(L196="Clos",S196=""),"Date de clôture manquante",IF(AND(K196="Oui",AC196=""),"Classification DORA manquante","OK"))))))</f>
        <v/>
      </c>
      <c r="AO196" s="35" t="str">
        <f aca="false">IF($B196="","",IF(AND(C196="Incident",L196&lt;&gt;"Annulé"),1,0))</f>
        <v/>
      </c>
      <c r="AP196" s="35" t="str">
        <f aca="false">IF($B196="","",IF(AND(C196="Quasi-incident",L196&lt;&gt;"Annulé"),1,0))</f>
        <v/>
      </c>
      <c r="AQ196" s="35" t="str">
        <f aca="false">IF($B196="","",AO196+AP196)</f>
        <v/>
      </c>
      <c r="AR196" s="36" t="str">
        <f aca="false">IF(OR($B196="",J196=""),"",IFERROR(VALUE(LEFT(J196,1)),""))</f>
        <v/>
      </c>
      <c r="AS196" s="35" t="str">
        <f aca="false">IF(OR(AO196&lt;&gt;1,G196=""),"",IFERROR(IF(INDEX(L_SrcInterne,MATCH(G196,L_Sources,0))="Oui",1,0),""))</f>
        <v/>
      </c>
      <c r="AT196" s="37" t="str">
        <f aca="false">IF(AO196&lt;&gt;1,"",IFERROR(ROUND(IF(OR(N196="",O196=""),"",IF(O196&lt;N196,"",ROUND(((NETWORKDAYS(N196,O196,JoursFeries)-1)*(HFer-HOuv)+IF(NETWORKDAYS(O196,O196,JoursFeries),MEDIAN(MOD(O196,1),HFer,HOuv),HFer)-IF(NETWORKDAYS(N196,N196,JoursFeries),MEDIAN(MOD(N196,1),HFer,HOuv),HOuv))*24,4)))/HJour,4),""))</f>
        <v/>
      </c>
      <c r="AU196" s="37" t="str">
        <f aca="false">IF(AO196&lt;&gt;1,"",IF(OR(O196="",P196=""),"",IF(P196&lt;O196,"",ROUND(((NETWORKDAYS(O196,P196,JoursFeries)-1)*(HFer-HOuv)+IF(NETWORKDAYS(P196,P196,JoursFeries),MEDIAN(MOD(P196,1),HFer,HOuv),HFer)-IF(NETWORKDAYS(O196,O196,JoursFeries),MEDIAN(MOD(O196,1),HFer,HOuv),HOuv))*24,4))))</f>
        <v/>
      </c>
      <c r="AV196" s="37" t="str">
        <f aca="false">IF(AO196&lt;&gt;1,"",IF(OR(P196="",Q196=""),"",IF(Q196&lt;P196,"",ROUND(((NETWORKDAYS(P196,Q196,JoursFeries)-1)*(HFer-HOuv)+IF(NETWORKDAYS(Q196,Q196,JoursFeries),MEDIAN(MOD(Q196,1),HFer,HOuv),HFer)-IF(NETWORKDAYS(P196,P196,JoursFeries),MEDIAN(MOD(P196,1),HFer,HOuv),HOuv))*24,4))))</f>
        <v/>
      </c>
      <c r="AW196" s="37" t="str">
        <f aca="false">IF(AO196&lt;&gt;1,"",IFERROR(ROUND(IF(OR(P196="",R196=""),"",IF(R196&lt;P196,"",ROUND(((NETWORKDAYS(P196,R196,JoursFeries)-1)*(HFer-HOuv)+IF(NETWORKDAYS(R196,R196,JoursFeries),MEDIAN(MOD(R196,1),HFer,HOuv),HFer)-IF(NETWORKDAYS(P196,P196,JoursFeries),MEDIAN(MOD(P196,1),HFer,HOuv),HOuv))*24,4)))/HJour,4),""))</f>
        <v/>
      </c>
      <c r="AX196" s="37" t="str">
        <f aca="false">IF(AO196&lt;&gt;1,"",IFERROR(ROUND(IF(OR(P196="",S196=""),"",IF(S196&lt;P196,"",ROUND(((NETWORKDAYS(P196,S196,JoursFeries)-1)*(HFer-HOuv)+IF(NETWORKDAYS(S196,S196,JoursFeries),MEDIAN(MOD(S196,1),HFer,HOuv),HFer)-IF(NETWORKDAYS(P196,P196,JoursFeries),MEDIAN(MOD(P196,1),HFer,HOuv),HOuv))*24,4)))/HJour,4),""))</f>
        <v/>
      </c>
      <c r="AY196" s="36" t="str">
        <f aca="false">IF(OR(AO196&lt;&gt;1,AR196=""),"",INDEX(SLA_PEC,AR196))</f>
        <v/>
      </c>
      <c r="AZ196" s="35" t="str">
        <f aca="false">IF(OR(AV196="",AY196=""),"",IF(AV196&lt;=AY196,1,0))</f>
        <v/>
      </c>
      <c r="BA196" s="36" t="str">
        <f aca="false">IF(OR(AO196&lt;&gt;1,AR196=""),"",INDEX(SLA_RES,AR196))</f>
        <v/>
      </c>
      <c r="BB196" s="35" t="str">
        <f aca="false">IF(OR(AW196="",BA196=""),"",IF(AW196&lt;=BA196,1,0))</f>
        <v/>
      </c>
      <c r="BC196" s="38" t="str">
        <f aca="false">IF(OR(BA196="",P196=""),"",WORKDAY(INT(P196),BA196,JoursFeries)+MOD(P196,1))</f>
        <v/>
      </c>
      <c r="BD196" s="39" t="str">
        <f aca="false">IF(AO196&lt;&gt;1,"",IF(OR(AB196&lt;&gt;"",AD196&lt;&gt;""),4,IF(U196&lt;&gt;"",3,IF(T196&lt;&gt;"",2,1))))</f>
        <v/>
      </c>
      <c r="BE196" s="39" t="str">
        <f aca="false">IF(OR(AO196&lt;&gt;1,AR196=""),"",INDEX(NIV_REQ,AR196))</f>
        <v/>
      </c>
      <c r="BF196" s="39" t="str">
        <f aca="false">IF(BE196="","",MAX(BE196,IF(OR(K196="Oui",Z196="Oui"),4,1)))</f>
        <v/>
      </c>
      <c r="BG196" s="35" t="str">
        <f aca="false">IF(OR(BF196="",BD196=""),"",IF(BD196&gt;=BF196,1,0))</f>
        <v/>
      </c>
      <c r="BH196" s="38" t="str">
        <f aca="false">IF(BE196="","",IF(BE196&lt;2,"",IF(BE196=2,IF(AND(T196="",U196=""),"",MIN(T196,U196)),IF(U196="","",U196))))</f>
        <v/>
      </c>
      <c r="BI196" s="37" t="str">
        <f aca="false">IF(BH196="","",IF(OR(O196="",BH196=""),"",IF(BH196&lt;O196,"",ROUND(((NETWORKDAYS(O196,BH196,JoursFeries)-1)*(HFer-HOuv)+IF(NETWORKDAYS(BH196,BH196,JoursFeries),MEDIAN(MOD(BH196,1),HFer,HOuv),HFer)-IF(NETWORKDAYS(O196,O196,JoursFeries),MEDIAN(MOD(O196,1),HFer,HOuv),HOuv))*24,4))))</f>
        <v/>
      </c>
      <c r="BJ196" s="35" t="str">
        <f aca="false">IF(OR(BI196="",AR196=""),"",IF(BI196&lt;=INDEX(DELAI_ESC,AR196),1,0))</f>
        <v/>
      </c>
      <c r="BK196" s="38" t="str">
        <f aca="false">IF(AO196&lt;&gt;1,"",IF(AND(T196="",U196=""),"",MIN(T196,U196)))</f>
        <v/>
      </c>
      <c r="BL196" s="37" t="str">
        <f aca="false">IF(OR(BK196="",R196=""),"",IFERROR(ROUND(IF(OR(BK196="",R196=""),"",IF(R196&lt;BK196,"",ROUND(((NETWORKDAYS(BK196,R196,JoursFeries)-1)*(HFer-HOuv)+IF(NETWORKDAYS(R196,R196,JoursFeries),MEDIAN(MOD(R196,1),HFer,HOuv),HFer)-IF(NETWORKDAYS(BK196,BK196,JoursFeries),MEDIAN(MOD(BK196,1),HFer,HOuv),HOuv))*24,4)))/HJour,4),""))</f>
        <v/>
      </c>
      <c r="BM196" s="35" t="str">
        <f aca="false">IF(OR(AO196&lt;&gt;1,R196=""),"",IF(BD196=1,1,0))</f>
        <v/>
      </c>
      <c r="BN196" s="35" t="str">
        <f aca="false">IF(AO196&lt;&gt;1,"",IF(W196="Oui",1,0))</f>
        <v/>
      </c>
      <c r="BO196" s="35" t="str">
        <f aca="false">IF(AO196&lt;&gt;1,"",IF(X196&lt;&gt;"",1,0))</f>
        <v/>
      </c>
      <c r="BP196" s="35" t="str">
        <f aca="false">IF(AO196&lt;&gt;1,"",IF(Y196="Oui",1,0))</f>
        <v/>
      </c>
      <c r="BQ196" s="35" t="str">
        <f aca="true">IF(OR(AO196&lt;&gt;1,Z196&lt;&gt;"Oui"),"",IF(AB196="",IF(AND(AA196&lt;&gt;"",NOW()&gt;AA196),0,""),IF(AA196="","",IF(AB196&lt;=AA196,1,0))))</f>
        <v/>
      </c>
      <c r="BR196" s="38" t="str">
        <f aca="false">IF(OR(AO196&lt;&gt;1,K196&lt;&gt;"Oui",O196=""),"",IF(AC196="",O196+DORA_H_DET/24,IF(AC196-O196&lt;=DORA_H_DET/24,MIN(AC196+DORA_H_CLA/24,O196+DORA_H_DET/24),AC196+DORA_H_CLA/24)))</f>
        <v/>
      </c>
      <c r="BS196" s="35" t="str">
        <f aca="true">IF(BR196="","",IF(AD196="",IF(NOW()&gt;BR196,0,""),IF(AD196&lt;=BR196,1,0)))</f>
        <v/>
      </c>
      <c r="BT196" s="35" t="str">
        <f aca="true">IF(OR(BR196="",AD196=""),"",IF(AE196="",IF(NOW()&gt;AD196+DORA_H_INT/24,0,""),IF(AE196&lt;=AD196+DORA_H_INT/24,1,0)))</f>
        <v/>
      </c>
      <c r="BU196" s="35" t="str">
        <f aca="true">IF(OR(BR196="",AE196=""),"",IF(AF196="",IF(NOW()&gt;EDATE(AE196,DORA_M_FIN)+1,0,""),IF(AF196&lt;=EDATE(AE196,DORA_M_FIN),1,0)))</f>
        <v/>
      </c>
      <c r="BV196" s="35" t="str">
        <f aca="false">IF(BR196="","",IF(COUNT(BS196:BU196)=0,"",MIN(BS196:BU196)))</f>
        <v/>
      </c>
      <c r="BW196" s="40" t="str">
        <f aca="false">IF(AQ196&lt;&gt;1,"",IF(AND(AG196="",AH196=""),"",N(AG196)-N(AH196)))</f>
        <v/>
      </c>
      <c r="BX196" s="35" t="str">
        <f aca="true">IF(OR(AQ196&lt;&gt;1,AI196&lt;&gt;"Oui",AJ196=""),"",IF(AK196="",IF(NOW()&gt;AJ196+1,0,""),IF(AK196&lt;=AJ196,1,0)))</f>
        <v/>
      </c>
    </row>
    <row r="197" customFormat="false" ht="15" hidden="false" customHeight="false" outlineLevel="0" collapsed="false">
      <c r="B197" s="29"/>
      <c r="C197" s="29"/>
      <c r="D197" s="29"/>
      <c r="E197" s="29"/>
      <c r="F197" s="29"/>
      <c r="G197" s="29"/>
      <c r="H197" s="29"/>
      <c r="I197" s="29"/>
      <c r="J197" s="29"/>
      <c r="K197" s="29"/>
      <c r="L197" s="29"/>
      <c r="M197" s="29"/>
      <c r="N197" s="30"/>
      <c r="O197" s="30"/>
      <c r="P197" s="30"/>
      <c r="Q197" s="30"/>
      <c r="R197" s="30"/>
      <c r="S197" s="30"/>
      <c r="T197" s="30"/>
      <c r="U197" s="30"/>
      <c r="V197" s="31"/>
      <c r="W197" s="29"/>
      <c r="X197" s="29"/>
      <c r="Y197" s="29"/>
      <c r="Z197" s="29"/>
      <c r="AA197" s="30"/>
      <c r="AB197" s="30"/>
      <c r="AC197" s="30"/>
      <c r="AD197" s="30"/>
      <c r="AE197" s="30"/>
      <c r="AF197" s="32"/>
      <c r="AG197" s="33"/>
      <c r="AH197" s="33"/>
      <c r="AI197" s="29"/>
      <c r="AJ197" s="32"/>
      <c r="AK197" s="32"/>
      <c r="AL197" s="29"/>
      <c r="AN197" s="34" t="str">
        <f aca="false">IF($B197="","",IF(OR(C197="",D197="",E197="",G197="",I197="",J197="",L197="",O197="",P197=""),"Champ obligatoire manquant",IF(OR(AND(N197&lt;&gt;"",N197&gt;O197),O197&gt;P197,AND(Q197&lt;&gt;"",Q197&lt;P197),AND(R197&lt;&gt;"",R197&lt;P197),AND(S197&lt;&gt;"",S197&lt;R197),AND(S197&lt;&gt;"",R197=""),AND(T197&lt;&gt;"",T197&lt;O197),AND(U197&lt;&gt;"",U197&lt;O197)),"Chronologie incohérente",IF(AND(OR(L197="Résolu",L197="Clos"),R197=""),"Date de résolution manquante",IF(AND(L197="Clos",S197=""),"Date de clôture manquante",IF(AND(K197="Oui",AC197=""),"Classification DORA manquante","OK"))))))</f>
        <v/>
      </c>
      <c r="AO197" s="35" t="str">
        <f aca="false">IF($B197="","",IF(AND(C197="Incident",L197&lt;&gt;"Annulé"),1,0))</f>
        <v/>
      </c>
      <c r="AP197" s="35" t="str">
        <f aca="false">IF($B197="","",IF(AND(C197="Quasi-incident",L197&lt;&gt;"Annulé"),1,0))</f>
        <v/>
      </c>
      <c r="AQ197" s="35" t="str">
        <f aca="false">IF($B197="","",AO197+AP197)</f>
        <v/>
      </c>
      <c r="AR197" s="36" t="str">
        <f aca="false">IF(OR($B197="",J197=""),"",IFERROR(VALUE(LEFT(J197,1)),""))</f>
        <v/>
      </c>
      <c r="AS197" s="35" t="str">
        <f aca="false">IF(OR(AO197&lt;&gt;1,G197=""),"",IFERROR(IF(INDEX(L_SrcInterne,MATCH(G197,L_Sources,0))="Oui",1,0),""))</f>
        <v/>
      </c>
      <c r="AT197" s="37" t="str">
        <f aca="false">IF(AO197&lt;&gt;1,"",IFERROR(ROUND(IF(OR(N197="",O197=""),"",IF(O197&lt;N197,"",ROUND(((NETWORKDAYS(N197,O197,JoursFeries)-1)*(HFer-HOuv)+IF(NETWORKDAYS(O197,O197,JoursFeries),MEDIAN(MOD(O197,1),HFer,HOuv),HFer)-IF(NETWORKDAYS(N197,N197,JoursFeries),MEDIAN(MOD(N197,1),HFer,HOuv),HOuv))*24,4)))/HJour,4),""))</f>
        <v/>
      </c>
      <c r="AU197" s="37" t="str">
        <f aca="false">IF(AO197&lt;&gt;1,"",IF(OR(O197="",P197=""),"",IF(P197&lt;O197,"",ROUND(((NETWORKDAYS(O197,P197,JoursFeries)-1)*(HFer-HOuv)+IF(NETWORKDAYS(P197,P197,JoursFeries),MEDIAN(MOD(P197,1),HFer,HOuv),HFer)-IF(NETWORKDAYS(O197,O197,JoursFeries),MEDIAN(MOD(O197,1),HFer,HOuv),HOuv))*24,4))))</f>
        <v/>
      </c>
      <c r="AV197" s="37" t="str">
        <f aca="false">IF(AO197&lt;&gt;1,"",IF(OR(P197="",Q197=""),"",IF(Q197&lt;P197,"",ROUND(((NETWORKDAYS(P197,Q197,JoursFeries)-1)*(HFer-HOuv)+IF(NETWORKDAYS(Q197,Q197,JoursFeries),MEDIAN(MOD(Q197,1),HFer,HOuv),HFer)-IF(NETWORKDAYS(P197,P197,JoursFeries),MEDIAN(MOD(P197,1),HFer,HOuv),HOuv))*24,4))))</f>
        <v/>
      </c>
      <c r="AW197" s="37" t="str">
        <f aca="false">IF(AO197&lt;&gt;1,"",IFERROR(ROUND(IF(OR(P197="",R197=""),"",IF(R197&lt;P197,"",ROUND(((NETWORKDAYS(P197,R197,JoursFeries)-1)*(HFer-HOuv)+IF(NETWORKDAYS(R197,R197,JoursFeries),MEDIAN(MOD(R197,1),HFer,HOuv),HFer)-IF(NETWORKDAYS(P197,P197,JoursFeries),MEDIAN(MOD(P197,1),HFer,HOuv),HOuv))*24,4)))/HJour,4),""))</f>
        <v/>
      </c>
      <c r="AX197" s="37" t="str">
        <f aca="false">IF(AO197&lt;&gt;1,"",IFERROR(ROUND(IF(OR(P197="",S197=""),"",IF(S197&lt;P197,"",ROUND(((NETWORKDAYS(P197,S197,JoursFeries)-1)*(HFer-HOuv)+IF(NETWORKDAYS(S197,S197,JoursFeries),MEDIAN(MOD(S197,1),HFer,HOuv),HFer)-IF(NETWORKDAYS(P197,P197,JoursFeries),MEDIAN(MOD(P197,1),HFer,HOuv),HOuv))*24,4)))/HJour,4),""))</f>
        <v/>
      </c>
      <c r="AY197" s="36" t="str">
        <f aca="false">IF(OR(AO197&lt;&gt;1,AR197=""),"",INDEX(SLA_PEC,AR197))</f>
        <v/>
      </c>
      <c r="AZ197" s="35" t="str">
        <f aca="false">IF(OR(AV197="",AY197=""),"",IF(AV197&lt;=AY197,1,0))</f>
        <v/>
      </c>
      <c r="BA197" s="36" t="str">
        <f aca="false">IF(OR(AO197&lt;&gt;1,AR197=""),"",INDEX(SLA_RES,AR197))</f>
        <v/>
      </c>
      <c r="BB197" s="35" t="str">
        <f aca="false">IF(OR(AW197="",BA197=""),"",IF(AW197&lt;=BA197,1,0))</f>
        <v/>
      </c>
      <c r="BC197" s="38" t="str">
        <f aca="false">IF(OR(BA197="",P197=""),"",WORKDAY(INT(P197),BA197,JoursFeries)+MOD(P197,1))</f>
        <v/>
      </c>
      <c r="BD197" s="39" t="str">
        <f aca="false">IF(AO197&lt;&gt;1,"",IF(OR(AB197&lt;&gt;"",AD197&lt;&gt;""),4,IF(U197&lt;&gt;"",3,IF(T197&lt;&gt;"",2,1))))</f>
        <v/>
      </c>
      <c r="BE197" s="39" t="str">
        <f aca="false">IF(OR(AO197&lt;&gt;1,AR197=""),"",INDEX(NIV_REQ,AR197))</f>
        <v/>
      </c>
      <c r="BF197" s="39" t="str">
        <f aca="false">IF(BE197="","",MAX(BE197,IF(OR(K197="Oui",Z197="Oui"),4,1)))</f>
        <v/>
      </c>
      <c r="BG197" s="35" t="str">
        <f aca="false">IF(OR(BF197="",BD197=""),"",IF(BD197&gt;=BF197,1,0))</f>
        <v/>
      </c>
      <c r="BH197" s="38" t="str">
        <f aca="false">IF(BE197="","",IF(BE197&lt;2,"",IF(BE197=2,IF(AND(T197="",U197=""),"",MIN(T197,U197)),IF(U197="","",U197))))</f>
        <v/>
      </c>
      <c r="BI197" s="37" t="str">
        <f aca="false">IF(BH197="","",IF(OR(O197="",BH197=""),"",IF(BH197&lt;O197,"",ROUND(((NETWORKDAYS(O197,BH197,JoursFeries)-1)*(HFer-HOuv)+IF(NETWORKDAYS(BH197,BH197,JoursFeries),MEDIAN(MOD(BH197,1),HFer,HOuv),HFer)-IF(NETWORKDAYS(O197,O197,JoursFeries),MEDIAN(MOD(O197,1),HFer,HOuv),HOuv))*24,4))))</f>
        <v/>
      </c>
      <c r="BJ197" s="35" t="str">
        <f aca="false">IF(OR(BI197="",AR197=""),"",IF(BI197&lt;=INDEX(DELAI_ESC,AR197),1,0))</f>
        <v/>
      </c>
      <c r="BK197" s="38" t="str">
        <f aca="false">IF(AO197&lt;&gt;1,"",IF(AND(T197="",U197=""),"",MIN(T197,U197)))</f>
        <v/>
      </c>
      <c r="BL197" s="37" t="str">
        <f aca="false">IF(OR(BK197="",R197=""),"",IFERROR(ROUND(IF(OR(BK197="",R197=""),"",IF(R197&lt;BK197,"",ROUND(((NETWORKDAYS(BK197,R197,JoursFeries)-1)*(HFer-HOuv)+IF(NETWORKDAYS(R197,R197,JoursFeries),MEDIAN(MOD(R197,1),HFer,HOuv),HFer)-IF(NETWORKDAYS(BK197,BK197,JoursFeries),MEDIAN(MOD(BK197,1),HFer,HOuv),HOuv))*24,4)))/HJour,4),""))</f>
        <v/>
      </c>
      <c r="BM197" s="35" t="str">
        <f aca="false">IF(OR(AO197&lt;&gt;1,R197=""),"",IF(BD197=1,1,0))</f>
        <v/>
      </c>
      <c r="BN197" s="35" t="str">
        <f aca="false">IF(AO197&lt;&gt;1,"",IF(W197="Oui",1,0))</f>
        <v/>
      </c>
      <c r="BO197" s="35" t="str">
        <f aca="false">IF(AO197&lt;&gt;1,"",IF(X197&lt;&gt;"",1,0))</f>
        <v/>
      </c>
      <c r="BP197" s="35" t="str">
        <f aca="false">IF(AO197&lt;&gt;1,"",IF(Y197="Oui",1,0))</f>
        <v/>
      </c>
      <c r="BQ197" s="35" t="str">
        <f aca="true">IF(OR(AO197&lt;&gt;1,Z197&lt;&gt;"Oui"),"",IF(AB197="",IF(AND(AA197&lt;&gt;"",NOW()&gt;AA197),0,""),IF(AA197="","",IF(AB197&lt;=AA197,1,0))))</f>
        <v/>
      </c>
      <c r="BR197" s="38" t="str">
        <f aca="false">IF(OR(AO197&lt;&gt;1,K197&lt;&gt;"Oui",O197=""),"",IF(AC197="",O197+DORA_H_DET/24,IF(AC197-O197&lt;=DORA_H_DET/24,MIN(AC197+DORA_H_CLA/24,O197+DORA_H_DET/24),AC197+DORA_H_CLA/24)))</f>
        <v/>
      </c>
      <c r="BS197" s="35" t="str">
        <f aca="true">IF(BR197="","",IF(AD197="",IF(NOW()&gt;BR197,0,""),IF(AD197&lt;=BR197,1,0)))</f>
        <v/>
      </c>
      <c r="BT197" s="35" t="str">
        <f aca="true">IF(OR(BR197="",AD197=""),"",IF(AE197="",IF(NOW()&gt;AD197+DORA_H_INT/24,0,""),IF(AE197&lt;=AD197+DORA_H_INT/24,1,0)))</f>
        <v/>
      </c>
      <c r="BU197" s="35" t="str">
        <f aca="true">IF(OR(BR197="",AE197=""),"",IF(AF197="",IF(NOW()&gt;EDATE(AE197,DORA_M_FIN)+1,0,""),IF(AF197&lt;=EDATE(AE197,DORA_M_FIN),1,0)))</f>
        <v/>
      </c>
      <c r="BV197" s="35" t="str">
        <f aca="false">IF(BR197="","",IF(COUNT(BS197:BU197)=0,"",MIN(BS197:BU197)))</f>
        <v/>
      </c>
      <c r="BW197" s="40" t="str">
        <f aca="false">IF(AQ197&lt;&gt;1,"",IF(AND(AG197="",AH197=""),"",N(AG197)-N(AH197)))</f>
        <v/>
      </c>
      <c r="BX197" s="35" t="str">
        <f aca="true">IF(OR(AQ197&lt;&gt;1,AI197&lt;&gt;"Oui",AJ197=""),"",IF(AK197="",IF(NOW()&gt;AJ197+1,0,""),IF(AK197&lt;=AJ197,1,0)))</f>
        <v/>
      </c>
    </row>
    <row r="198" customFormat="false" ht="15" hidden="false" customHeight="false" outlineLevel="0" collapsed="false">
      <c r="B198" s="29"/>
      <c r="C198" s="29"/>
      <c r="D198" s="29"/>
      <c r="E198" s="29"/>
      <c r="F198" s="29"/>
      <c r="G198" s="29"/>
      <c r="H198" s="29"/>
      <c r="I198" s="29"/>
      <c r="J198" s="29"/>
      <c r="K198" s="29"/>
      <c r="L198" s="29"/>
      <c r="M198" s="29"/>
      <c r="N198" s="30"/>
      <c r="O198" s="30"/>
      <c r="P198" s="30"/>
      <c r="Q198" s="30"/>
      <c r="R198" s="30"/>
      <c r="S198" s="30"/>
      <c r="T198" s="30"/>
      <c r="U198" s="30"/>
      <c r="V198" s="31"/>
      <c r="W198" s="29"/>
      <c r="X198" s="29"/>
      <c r="Y198" s="29"/>
      <c r="Z198" s="29"/>
      <c r="AA198" s="30"/>
      <c r="AB198" s="30"/>
      <c r="AC198" s="30"/>
      <c r="AD198" s="30"/>
      <c r="AE198" s="30"/>
      <c r="AF198" s="32"/>
      <c r="AG198" s="33"/>
      <c r="AH198" s="33"/>
      <c r="AI198" s="29"/>
      <c r="AJ198" s="32"/>
      <c r="AK198" s="32"/>
      <c r="AL198" s="29"/>
      <c r="AN198" s="34" t="str">
        <f aca="false">IF($B198="","",IF(OR(C198="",D198="",E198="",G198="",I198="",J198="",L198="",O198="",P198=""),"Champ obligatoire manquant",IF(OR(AND(N198&lt;&gt;"",N198&gt;O198),O198&gt;P198,AND(Q198&lt;&gt;"",Q198&lt;P198),AND(R198&lt;&gt;"",R198&lt;P198),AND(S198&lt;&gt;"",S198&lt;R198),AND(S198&lt;&gt;"",R198=""),AND(T198&lt;&gt;"",T198&lt;O198),AND(U198&lt;&gt;"",U198&lt;O198)),"Chronologie incohérente",IF(AND(OR(L198="Résolu",L198="Clos"),R198=""),"Date de résolution manquante",IF(AND(L198="Clos",S198=""),"Date de clôture manquante",IF(AND(K198="Oui",AC198=""),"Classification DORA manquante","OK"))))))</f>
        <v/>
      </c>
      <c r="AO198" s="35" t="str">
        <f aca="false">IF($B198="","",IF(AND(C198="Incident",L198&lt;&gt;"Annulé"),1,0))</f>
        <v/>
      </c>
      <c r="AP198" s="35" t="str">
        <f aca="false">IF($B198="","",IF(AND(C198="Quasi-incident",L198&lt;&gt;"Annulé"),1,0))</f>
        <v/>
      </c>
      <c r="AQ198" s="35" t="str">
        <f aca="false">IF($B198="","",AO198+AP198)</f>
        <v/>
      </c>
      <c r="AR198" s="36" t="str">
        <f aca="false">IF(OR($B198="",J198=""),"",IFERROR(VALUE(LEFT(J198,1)),""))</f>
        <v/>
      </c>
      <c r="AS198" s="35" t="str">
        <f aca="false">IF(OR(AO198&lt;&gt;1,G198=""),"",IFERROR(IF(INDEX(L_SrcInterne,MATCH(G198,L_Sources,0))="Oui",1,0),""))</f>
        <v/>
      </c>
      <c r="AT198" s="37" t="str">
        <f aca="false">IF(AO198&lt;&gt;1,"",IFERROR(ROUND(IF(OR(N198="",O198=""),"",IF(O198&lt;N198,"",ROUND(((NETWORKDAYS(N198,O198,JoursFeries)-1)*(HFer-HOuv)+IF(NETWORKDAYS(O198,O198,JoursFeries),MEDIAN(MOD(O198,1),HFer,HOuv),HFer)-IF(NETWORKDAYS(N198,N198,JoursFeries),MEDIAN(MOD(N198,1),HFer,HOuv),HOuv))*24,4)))/HJour,4),""))</f>
        <v/>
      </c>
      <c r="AU198" s="37" t="str">
        <f aca="false">IF(AO198&lt;&gt;1,"",IF(OR(O198="",P198=""),"",IF(P198&lt;O198,"",ROUND(((NETWORKDAYS(O198,P198,JoursFeries)-1)*(HFer-HOuv)+IF(NETWORKDAYS(P198,P198,JoursFeries),MEDIAN(MOD(P198,1),HFer,HOuv),HFer)-IF(NETWORKDAYS(O198,O198,JoursFeries),MEDIAN(MOD(O198,1),HFer,HOuv),HOuv))*24,4))))</f>
        <v/>
      </c>
      <c r="AV198" s="37" t="str">
        <f aca="false">IF(AO198&lt;&gt;1,"",IF(OR(P198="",Q198=""),"",IF(Q198&lt;P198,"",ROUND(((NETWORKDAYS(P198,Q198,JoursFeries)-1)*(HFer-HOuv)+IF(NETWORKDAYS(Q198,Q198,JoursFeries),MEDIAN(MOD(Q198,1),HFer,HOuv),HFer)-IF(NETWORKDAYS(P198,P198,JoursFeries),MEDIAN(MOD(P198,1),HFer,HOuv),HOuv))*24,4))))</f>
        <v/>
      </c>
      <c r="AW198" s="37" t="str">
        <f aca="false">IF(AO198&lt;&gt;1,"",IFERROR(ROUND(IF(OR(P198="",R198=""),"",IF(R198&lt;P198,"",ROUND(((NETWORKDAYS(P198,R198,JoursFeries)-1)*(HFer-HOuv)+IF(NETWORKDAYS(R198,R198,JoursFeries),MEDIAN(MOD(R198,1),HFer,HOuv),HFer)-IF(NETWORKDAYS(P198,P198,JoursFeries),MEDIAN(MOD(P198,1),HFer,HOuv),HOuv))*24,4)))/HJour,4),""))</f>
        <v/>
      </c>
      <c r="AX198" s="37" t="str">
        <f aca="false">IF(AO198&lt;&gt;1,"",IFERROR(ROUND(IF(OR(P198="",S198=""),"",IF(S198&lt;P198,"",ROUND(((NETWORKDAYS(P198,S198,JoursFeries)-1)*(HFer-HOuv)+IF(NETWORKDAYS(S198,S198,JoursFeries),MEDIAN(MOD(S198,1),HFer,HOuv),HFer)-IF(NETWORKDAYS(P198,P198,JoursFeries),MEDIAN(MOD(P198,1),HFer,HOuv),HOuv))*24,4)))/HJour,4),""))</f>
        <v/>
      </c>
      <c r="AY198" s="36" t="str">
        <f aca="false">IF(OR(AO198&lt;&gt;1,AR198=""),"",INDEX(SLA_PEC,AR198))</f>
        <v/>
      </c>
      <c r="AZ198" s="35" t="str">
        <f aca="false">IF(OR(AV198="",AY198=""),"",IF(AV198&lt;=AY198,1,0))</f>
        <v/>
      </c>
      <c r="BA198" s="36" t="str">
        <f aca="false">IF(OR(AO198&lt;&gt;1,AR198=""),"",INDEX(SLA_RES,AR198))</f>
        <v/>
      </c>
      <c r="BB198" s="35" t="str">
        <f aca="false">IF(OR(AW198="",BA198=""),"",IF(AW198&lt;=BA198,1,0))</f>
        <v/>
      </c>
      <c r="BC198" s="38" t="str">
        <f aca="false">IF(OR(BA198="",P198=""),"",WORKDAY(INT(P198),BA198,JoursFeries)+MOD(P198,1))</f>
        <v/>
      </c>
      <c r="BD198" s="39" t="str">
        <f aca="false">IF(AO198&lt;&gt;1,"",IF(OR(AB198&lt;&gt;"",AD198&lt;&gt;""),4,IF(U198&lt;&gt;"",3,IF(T198&lt;&gt;"",2,1))))</f>
        <v/>
      </c>
      <c r="BE198" s="39" t="str">
        <f aca="false">IF(OR(AO198&lt;&gt;1,AR198=""),"",INDEX(NIV_REQ,AR198))</f>
        <v/>
      </c>
      <c r="BF198" s="39" t="str">
        <f aca="false">IF(BE198="","",MAX(BE198,IF(OR(K198="Oui",Z198="Oui"),4,1)))</f>
        <v/>
      </c>
      <c r="BG198" s="35" t="str">
        <f aca="false">IF(OR(BF198="",BD198=""),"",IF(BD198&gt;=BF198,1,0))</f>
        <v/>
      </c>
      <c r="BH198" s="38" t="str">
        <f aca="false">IF(BE198="","",IF(BE198&lt;2,"",IF(BE198=2,IF(AND(T198="",U198=""),"",MIN(T198,U198)),IF(U198="","",U198))))</f>
        <v/>
      </c>
      <c r="BI198" s="37" t="str">
        <f aca="false">IF(BH198="","",IF(OR(O198="",BH198=""),"",IF(BH198&lt;O198,"",ROUND(((NETWORKDAYS(O198,BH198,JoursFeries)-1)*(HFer-HOuv)+IF(NETWORKDAYS(BH198,BH198,JoursFeries),MEDIAN(MOD(BH198,1),HFer,HOuv),HFer)-IF(NETWORKDAYS(O198,O198,JoursFeries),MEDIAN(MOD(O198,1),HFer,HOuv),HOuv))*24,4))))</f>
        <v/>
      </c>
      <c r="BJ198" s="35" t="str">
        <f aca="false">IF(OR(BI198="",AR198=""),"",IF(BI198&lt;=INDEX(DELAI_ESC,AR198),1,0))</f>
        <v/>
      </c>
      <c r="BK198" s="38" t="str">
        <f aca="false">IF(AO198&lt;&gt;1,"",IF(AND(T198="",U198=""),"",MIN(T198,U198)))</f>
        <v/>
      </c>
      <c r="BL198" s="37" t="str">
        <f aca="false">IF(OR(BK198="",R198=""),"",IFERROR(ROUND(IF(OR(BK198="",R198=""),"",IF(R198&lt;BK198,"",ROUND(((NETWORKDAYS(BK198,R198,JoursFeries)-1)*(HFer-HOuv)+IF(NETWORKDAYS(R198,R198,JoursFeries),MEDIAN(MOD(R198,1),HFer,HOuv),HFer)-IF(NETWORKDAYS(BK198,BK198,JoursFeries),MEDIAN(MOD(BK198,1),HFer,HOuv),HOuv))*24,4)))/HJour,4),""))</f>
        <v/>
      </c>
      <c r="BM198" s="35" t="str">
        <f aca="false">IF(OR(AO198&lt;&gt;1,R198=""),"",IF(BD198=1,1,0))</f>
        <v/>
      </c>
      <c r="BN198" s="35" t="str">
        <f aca="false">IF(AO198&lt;&gt;1,"",IF(W198="Oui",1,0))</f>
        <v/>
      </c>
      <c r="BO198" s="35" t="str">
        <f aca="false">IF(AO198&lt;&gt;1,"",IF(X198&lt;&gt;"",1,0))</f>
        <v/>
      </c>
      <c r="BP198" s="35" t="str">
        <f aca="false">IF(AO198&lt;&gt;1,"",IF(Y198="Oui",1,0))</f>
        <v/>
      </c>
      <c r="BQ198" s="35" t="str">
        <f aca="true">IF(OR(AO198&lt;&gt;1,Z198&lt;&gt;"Oui"),"",IF(AB198="",IF(AND(AA198&lt;&gt;"",NOW()&gt;AA198),0,""),IF(AA198="","",IF(AB198&lt;=AA198,1,0))))</f>
        <v/>
      </c>
      <c r="BR198" s="38" t="str">
        <f aca="false">IF(OR(AO198&lt;&gt;1,K198&lt;&gt;"Oui",O198=""),"",IF(AC198="",O198+DORA_H_DET/24,IF(AC198-O198&lt;=DORA_H_DET/24,MIN(AC198+DORA_H_CLA/24,O198+DORA_H_DET/24),AC198+DORA_H_CLA/24)))</f>
        <v/>
      </c>
      <c r="BS198" s="35" t="str">
        <f aca="true">IF(BR198="","",IF(AD198="",IF(NOW()&gt;BR198,0,""),IF(AD198&lt;=BR198,1,0)))</f>
        <v/>
      </c>
      <c r="BT198" s="35" t="str">
        <f aca="true">IF(OR(BR198="",AD198=""),"",IF(AE198="",IF(NOW()&gt;AD198+DORA_H_INT/24,0,""),IF(AE198&lt;=AD198+DORA_H_INT/24,1,0)))</f>
        <v/>
      </c>
      <c r="BU198" s="35" t="str">
        <f aca="true">IF(OR(BR198="",AE198=""),"",IF(AF198="",IF(NOW()&gt;EDATE(AE198,DORA_M_FIN)+1,0,""),IF(AF198&lt;=EDATE(AE198,DORA_M_FIN),1,0)))</f>
        <v/>
      </c>
      <c r="BV198" s="35" t="str">
        <f aca="false">IF(BR198="","",IF(COUNT(BS198:BU198)=0,"",MIN(BS198:BU198)))</f>
        <v/>
      </c>
      <c r="BW198" s="40" t="str">
        <f aca="false">IF(AQ198&lt;&gt;1,"",IF(AND(AG198="",AH198=""),"",N(AG198)-N(AH198)))</f>
        <v/>
      </c>
      <c r="BX198" s="35" t="str">
        <f aca="true">IF(OR(AQ198&lt;&gt;1,AI198&lt;&gt;"Oui",AJ198=""),"",IF(AK198="",IF(NOW()&gt;AJ198+1,0,""),IF(AK198&lt;=AJ198,1,0)))</f>
        <v/>
      </c>
    </row>
    <row r="199" customFormat="false" ht="15" hidden="false" customHeight="false" outlineLevel="0" collapsed="false">
      <c r="B199" s="29"/>
      <c r="C199" s="29"/>
      <c r="D199" s="29"/>
      <c r="E199" s="29"/>
      <c r="F199" s="29"/>
      <c r="G199" s="29"/>
      <c r="H199" s="29"/>
      <c r="I199" s="29"/>
      <c r="J199" s="29"/>
      <c r="K199" s="29"/>
      <c r="L199" s="29"/>
      <c r="M199" s="29"/>
      <c r="N199" s="30"/>
      <c r="O199" s="30"/>
      <c r="P199" s="30"/>
      <c r="Q199" s="30"/>
      <c r="R199" s="30"/>
      <c r="S199" s="30"/>
      <c r="T199" s="30"/>
      <c r="U199" s="30"/>
      <c r="V199" s="31"/>
      <c r="W199" s="29"/>
      <c r="X199" s="29"/>
      <c r="Y199" s="29"/>
      <c r="Z199" s="29"/>
      <c r="AA199" s="30"/>
      <c r="AB199" s="30"/>
      <c r="AC199" s="30"/>
      <c r="AD199" s="30"/>
      <c r="AE199" s="30"/>
      <c r="AF199" s="32"/>
      <c r="AG199" s="33"/>
      <c r="AH199" s="33"/>
      <c r="AI199" s="29"/>
      <c r="AJ199" s="32"/>
      <c r="AK199" s="32"/>
      <c r="AL199" s="29"/>
      <c r="AN199" s="34" t="str">
        <f aca="false">IF($B199="","",IF(OR(C199="",D199="",E199="",G199="",I199="",J199="",L199="",O199="",P199=""),"Champ obligatoire manquant",IF(OR(AND(N199&lt;&gt;"",N199&gt;O199),O199&gt;P199,AND(Q199&lt;&gt;"",Q199&lt;P199),AND(R199&lt;&gt;"",R199&lt;P199),AND(S199&lt;&gt;"",S199&lt;R199),AND(S199&lt;&gt;"",R199=""),AND(T199&lt;&gt;"",T199&lt;O199),AND(U199&lt;&gt;"",U199&lt;O199)),"Chronologie incohérente",IF(AND(OR(L199="Résolu",L199="Clos"),R199=""),"Date de résolution manquante",IF(AND(L199="Clos",S199=""),"Date de clôture manquante",IF(AND(K199="Oui",AC199=""),"Classification DORA manquante","OK"))))))</f>
        <v/>
      </c>
      <c r="AO199" s="35" t="str">
        <f aca="false">IF($B199="","",IF(AND(C199="Incident",L199&lt;&gt;"Annulé"),1,0))</f>
        <v/>
      </c>
      <c r="AP199" s="35" t="str">
        <f aca="false">IF($B199="","",IF(AND(C199="Quasi-incident",L199&lt;&gt;"Annulé"),1,0))</f>
        <v/>
      </c>
      <c r="AQ199" s="35" t="str">
        <f aca="false">IF($B199="","",AO199+AP199)</f>
        <v/>
      </c>
      <c r="AR199" s="36" t="str">
        <f aca="false">IF(OR($B199="",J199=""),"",IFERROR(VALUE(LEFT(J199,1)),""))</f>
        <v/>
      </c>
      <c r="AS199" s="35" t="str">
        <f aca="false">IF(OR(AO199&lt;&gt;1,G199=""),"",IFERROR(IF(INDEX(L_SrcInterne,MATCH(G199,L_Sources,0))="Oui",1,0),""))</f>
        <v/>
      </c>
      <c r="AT199" s="37" t="str">
        <f aca="false">IF(AO199&lt;&gt;1,"",IFERROR(ROUND(IF(OR(N199="",O199=""),"",IF(O199&lt;N199,"",ROUND(((NETWORKDAYS(N199,O199,JoursFeries)-1)*(HFer-HOuv)+IF(NETWORKDAYS(O199,O199,JoursFeries),MEDIAN(MOD(O199,1),HFer,HOuv),HFer)-IF(NETWORKDAYS(N199,N199,JoursFeries),MEDIAN(MOD(N199,1),HFer,HOuv),HOuv))*24,4)))/HJour,4),""))</f>
        <v/>
      </c>
      <c r="AU199" s="37" t="str">
        <f aca="false">IF(AO199&lt;&gt;1,"",IF(OR(O199="",P199=""),"",IF(P199&lt;O199,"",ROUND(((NETWORKDAYS(O199,P199,JoursFeries)-1)*(HFer-HOuv)+IF(NETWORKDAYS(P199,P199,JoursFeries),MEDIAN(MOD(P199,1),HFer,HOuv),HFer)-IF(NETWORKDAYS(O199,O199,JoursFeries),MEDIAN(MOD(O199,1),HFer,HOuv),HOuv))*24,4))))</f>
        <v/>
      </c>
      <c r="AV199" s="37" t="str">
        <f aca="false">IF(AO199&lt;&gt;1,"",IF(OR(P199="",Q199=""),"",IF(Q199&lt;P199,"",ROUND(((NETWORKDAYS(P199,Q199,JoursFeries)-1)*(HFer-HOuv)+IF(NETWORKDAYS(Q199,Q199,JoursFeries),MEDIAN(MOD(Q199,1),HFer,HOuv),HFer)-IF(NETWORKDAYS(P199,P199,JoursFeries),MEDIAN(MOD(P199,1),HFer,HOuv),HOuv))*24,4))))</f>
        <v/>
      </c>
      <c r="AW199" s="37" t="str">
        <f aca="false">IF(AO199&lt;&gt;1,"",IFERROR(ROUND(IF(OR(P199="",R199=""),"",IF(R199&lt;P199,"",ROUND(((NETWORKDAYS(P199,R199,JoursFeries)-1)*(HFer-HOuv)+IF(NETWORKDAYS(R199,R199,JoursFeries),MEDIAN(MOD(R199,1),HFer,HOuv),HFer)-IF(NETWORKDAYS(P199,P199,JoursFeries),MEDIAN(MOD(P199,1),HFer,HOuv),HOuv))*24,4)))/HJour,4),""))</f>
        <v/>
      </c>
      <c r="AX199" s="37" t="str">
        <f aca="false">IF(AO199&lt;&gt;1,"",IFERROR(ROUND(IF(OR(P199="",S199=""),"",IF(S199&lt;P199,"",ROUND(((NETWORKDAYS(P199,S199,JoursFeries)-1)*(HFer-HOuv)+IF(NETWORKDAYS(S199,S199,JoursFeries),MEDIAN(MOD(S199,1),HFer,HOuv),HFer)-IF(NETWORKDAYS(P199,P199,JoursFeries),MEDIAN(MOD(P199,1),HFer,HOuv),HOuv))*24,4)))/HJour,4),""))</f>
        <v/>
      </c>
      <c r="AY199" s="36" t="str">
        <f aca="false">IF(OR(AO199&lt;&gt;1,AR199=""),"",INDEX(SLA_PEC,AR199))</f>
        <v/>
      </c>
      <c r="AZ199" s="35" t="str">
        <f aca="false">IF(OR(AV199="",AY199=""),"",IF(AV199&lt;=AY199,1,0))</f>
        <v/>
      </c>
      <c r="BA199" s="36" t="str">
        <f aca="false">IF(OR(AO199&lt;&gt;1,AR199=""),"",INDEX(SLA_RES,AR199))</f>
        <v/>
      </c>
      <c r="BB199" s="35" t="str">
        <f aca="false">IF(OR(AW199="",BA199=""),"",IF(AW199&lt;=BA199,1,0))</f>
        <v/>
      </c>
      <c r="BC199" s="38" t="str">
        <f aca="false">IF(OR(BA199="",P199=""),"",WORKDAY(INT(P199),BA199,JoursFeries)+MOD(P199,1))</f>
        <v/>
      </c>
      <c r="BD199" s="39" t="str">
        <f aca="false">IF(AO199&lt;&gt;1,"",IF(OR(AB199&lt;&gt;"",AD199&lt;&gt;""),4,IF(U199&lt;&gt;"",3,IF(T199&lt;&gt;"",2,1))))</f>
        <v/>
      </c>
      <c r="BE199" s="39" t="str">
        <f aca="false">IF(OR(AO199&lt;&gt;1,AR199=""),"",INDEX(NIV_REQ,AR199))</f>
        <v/>
      </c>
      <c r="BF199" s="39" t="str">
        <f aca="false">IF(BE199="","",MAX(BE199,IF(OR(K199="Oui",Z199="Oui"),4,1)))</f>
        <v/>
      </c>
      <c r="BG199" s="35" t="str">
        <f aca="false">IF(OR(BF199="",BD199=""),"",IF(BD199&gt;=BF199,1,0))</f>
        <v/>
      </c>
      <c r="BH199" s="38" t="str">
        <f aca="false">IF(BE199="","",IF(BE199&lt;2,"",IF(BE199=2,IF(AND(T199="",U199=""),"",MIN(T199,U199)),IF(U199="","",U199))))</f>
        <v/>
      </c>
      <c r="BI199" s="37" t="str">
        <f aca="false">IF(BH199="","",IF(OR(O199="",BH199=""),"",IF(BH199&lt;O199,"",ROUND(((NETWORKDAYS(O199,BH199,JoursFeries)-1)*(HFer-HOuv)+IF(NETWORKDAYS(BH199,BH199,JoursFeries),MEDIAN(MOD(BH199,1),HFer,HOuv),HFer)-IF(NETWORKDAYS(O199,O199,JoursFeries),MEDIAN(MOD(O199,1),HFer,HOuv),HOuv))*24,4))))</f>
        <v/>
      </c>
      <c r="BJ199" s="35" t="str">
        <f aca="false">IF(OR(BI199="",AR199=""),"",IF(BI199&lt;=INDEX(DELAI_ESC,AR199),1,0))</f>
        <v/>
      </c>
      <c r="BK199" s="38" t="str">
        <f aca="false">IF(AO199&lt;&gt;1,"",IF(AND(T199="",U199=""),"",MIN(T199,U199)))</f>
        <v/>
      </c>
      <c r="BL199" s="37" t="str">
        <f aca="false">IF(OR(BK199="",R199=""),"",IFERROR(ROUND(IF(OR(BK199="",R199=""),"",IF(R199&lt;BK199,"",ROUND(((NETWORKDAYS(BK199,R199,JoursFeries)-1)*(HFer-HOuv)+IF(NETWORKDAYS(R199,R199,JoursFeries),MEDIAN(MOD(R199,1),HFer,HOuv),HFer)-IF(NETWORKDAYS(BK199,BK199,JoursFeries),MEDIAN(MOD(BK199,1),HFer,HOuv),HOuv))*24,4)))/HJour,4),""))</f>
        <v/>
      </c>
      <c r="BM199" s="35" t="str">
        <f aca="false">IF(OR(AO199&lt;&gt;1,R199=""),"",IF(BD199=1,1,0))</f>
        <v/>
      </c>
      <c r="BN199" s="35" t="str">
        <f aca="false">IF(AO199&lt;&gt;1,"",IF(W199="Oui",1,0))</f>
        <v/>
      </c>
      <c r="BO199" s="35" t="str">
        <f aca="false">IF(AO199&lt;&gt;1,"",IF(X199&lt;&gt;"",1,0))</f>
        <v/>
      </c>
      <c r="BP199" s="35" t="str">
        <f aca="false">IF(AO199&lt;&gt;1,"",IF(Y199="Oui",1,0))</f>
        <v/>
      </c>
      <c r="BQ199" s="35" t="str">
        <f aca="true">IF(OR(AO199&lt;&gt;1,Z199&lt;&gt;"Oui"),"",IF(AB199="",IF(AND(AA199&lt;&gt;"",NOW()&gt;AA199),0,""),IF(AA199="","",IF(AB199&lt;=AA199,1,0))))</f>
        <v/>
      </c>
      <c r="BR199" s="38" t="str">
        <f aca="false">IF(OR(AO199&lt;&gt;1,K199&lt;&gt;"Oui",O199=""),"",IF(AC199="",O199+DORA_H_DET/24,IF(AC199-O199&lt;=DORA_H_DET/24,MIN(AC199+DORA_H_CLA/24,O199+DORA_H_DET/24),AC199+DORA_H_CLA/24)))</f>
        <v/>
      </c>
      <c r="BS199" s="35" t="str">
        <f aca="true">IF(BR199="","",IF(AD199="",IF(NOW()&gt;BR199,0,""),IF(AD199&lt;=BR199,1,0)))</f>
        <v/>
      </c>
      <c r="BT199" s="35" t="str">
        <f aca="true">IF(OR(BR199="",AD199=""),"",IF(AE199="",IF(NOW()&gt;AD199+DORA_H_INT/24,0,""),IF(AE199&lt;=AD199+DORA_H_INT/24,1,0)))</f>
        <v/>
      </c>
      <c r="BU199" s="35" t="str">
        <f aca="true">IF(OR(BR199="",AE199=""),"",IF(AF199="",IF(NOW()&gt;EDATE(AE199,DORA_M_FIN)+1,0,""),IF(AF199&lt;=EDATE(AE199,DORA_M_FIN),1,0)))</f>
        <v/>
      </c>
      <c r="BV199" s="35" t="str">
        <f aca="false">IF(BR199="","",IF(COUNT(BS199:BU199)=0,"",MIN(BS199:BU199)))</f>
        <v/>
      </c>
      <c r="BW199" s="40" t="str">
        <f aca="false">IF(AQ199&lt;&gt;1,"",IF(AND(AG199="",AH199=""),"",N(AG199)-N(AH199)))</f>
        <v/>
      </c>
      <c r="BX199" s="35" t="str">
        <f aca="true">IF(OR(AQ199&lt;&gt;1,AI199&lt;&gt;"Oui",AJ199=""),"",IF(AK199="",IF(NOW()&gt;AJ199+1,0,""),IF(AK199&lt;=AJ199,1,0)))</f>
        <v/>
      </c>
    </row>
    <row r="200" customFormat="false" ht="15" hidden="false" customHeight="false" outlineLevel="0" collapsed="false">
      <c r="B200" s="29"/>
      <c r="C200" s="29"/>
      <c r="D200" s="29"/>
      <c r="E200" s="29"/>
      <c r="F200" s="29"/>
      <c r="G200" s="29"/>
      <c r="H200" s="29"/>
      <c r="I200" s="29"/>
      <c r="J200" s="29"/>
      <c r="K200" s="29"/>
      <c r="L200" s="29"/>
      <c r="M200" s="29"/>
      <c r="N200" s="30"/>
      <c r="O200" s="30"/>
      <c r="P200" s="30"/>
      <c r="Q200" s="30"/>
      <c r="R200" s="30"/>
      <c r="S200" s="30"/>
      <c r="T200" s="30"/>
      <c r="U200" s="30"/>
      <c r="V200" s="31"/>
      <c r="W200" s="29"/>
      <c r="X200" s="29"/>
      <c r="Y200" s="29"/>
      <c r="Z200" s="29"/>
      <c r="AA200" s="30"/>
      <c r="AB200" s="30"/>
      <c r="AC200" s="30"/>
      <c r="AD200" s="30"/>
      <c r="AE200" s="30"/>
      <c r="AF200" s="32"/>
      <c r="AG200" s="33"/>
      <c r="AH200" s="33"/>
      <c r="AI200" s="29"/>
      <c r="AJ200" s="32"/>
      <c r="AK200" s="32"/>
      <c r="AL200" s="29"/>
      <c r="AN200" s="34" t="str">
        <f aca="false">IF($B200="","",IF(OR(C200="",D200="",E200="",G200="",I200="",J200="",L200="",O200="",P200=""),"Champ obligatoire manquant",IF(OR(AND(N200&lt;&gt;"",N200&gt;O200),O200&gt;P200,AND(Q200&lt;&gt;"",Q200&lt;P200),AND(R200&lt;&gt;"",R200&lt;P200),AND(S200&lt;&gt;"",S200&lt;R200),AND(S200&lt;&gt;"",R200=""),AND(T200&lt;&gt;"",T200&lt;O200),AND(U200&lt;&gt;"",U200&lt;O200)),"Chronologie incohérente",IF(AND(OR(L200="Résolu",L200="Clos"),R200=""),"Date de résolution manquante",IF(AND(L200="Clos",S200=""),"Date de clôture manquante",IF(AND(K200="Oui",AC200=""),"Classification DORA manquante","OK"))))))</f>
        <v/>
      </c>
      <c r="AO200" s="35" t="str">
        <f aca="false">IF($B200="","",IF(AND(C200="Incident",L200&lt;&gt;"Annulé"),1,0))</f>
        <v/>
      </c>
      <c r="AP200" s="35" t="str">
        <f aca="false">IF($B200="","",IF(AND(C200="Quasi-incident",L200&lt;&gt;"Annulé"),1,0))</f>
        <v/>
      </c>
      <c r="AQ200" s="35" t="str">
        <f aca="false">IF($B200="","",AO200+AP200)</f>
        <v/>
      </c>
      <c r="AR200" s="36" t="str">
        <f aca="false">IF(OR($B200="",J200=""),"",IFERROR(VALUE(LEFT(J200,1)),""))</f>
        <v/>
      </c>
      <c r="AS200" s="35" t="str">
        <f aca="false">IF(OR(AO200&lt;&gt;1,G200=""),"",IFERROR(IF(INDEX(L_SrcInterne,MATCH(G200,L_Sources,0))="Oui",1,0),""))</f>
        <v/>
      </c>
      <c r="AT200" s="37" t="str">
        <f aca="false">IF(AO200&lt;&gt;1,"",IFERROR(ROUND(IF(OR(N200="",O200=""),"",IF(O200&lt;N200,"",ROUND(((NETWORKDAYS(N200,O200,JoursFeries)-1)*(HFer-HOuv)+IF(NETWORKDAYS(O200,O200,JoursFeries),MEDIAN(MOD(O200,1),HFer,HOuv),HFer)-IF(NETWORKDAYS(N200,N200,JoursFeries),MEDIAN(MOD(N200,1),HFer,HOuv),HOuv))*24,4)))/HJour,4),""))</f>
        <v/>
      </c>
      <c r="AU200" s="37" t="str">
        <f aca="false">IF(AO200&lt;&gt;1,"",IF(OR(O200="",P200=""),"",IF(P200&lt;O200,"",ROUND(((NETWORKDAYS(O200,P200,JoursFeries)-1)*(HFer-HOuv)+IF(NETWORKDAYS(P200,P200,JoursFeries),MEDIAN(MOD(P200,1),HFer,HOuv),HFer)-IF(NETWORKDAYS(O200,O200,JoursFeries),MEDIAN(MOD(O200,1),HFer,HOuv),HOuv))*24,4))))</f>
        <v/>
      </c>
      <c r="AV200" s="37" t="str">
        <f aca="false">IF(AO200&lt;&gt;1,"",IF(OR(P200="",Q200=""),"",IF(Q200&lt;P200,"",ROUND(((NETWORKDAYS(P200,Q200,JoursFeries)-1)*(HFer-HOuv)+IF(NETWORKDAYS(Q200,Q200,JoursFeries),MEDIAN(MOD(Q200,1),HFer,HOuv),HFer)-IF(NETWORKDAYS(P200,P200,JoursFeries),MEDIAN(MOD(P200,1),HFer,HOuv),HOuv))*24,4))))</f>
        <v/>
      </c>
      <c r="AW200" s="37" t="str">
        <f aca="false">IF(AO200&lt;&gt;1,"",IFERROR(ROUND(IF(OR(P200="",R200=""),"",IF(R200&lt;P200,"",ROUND(((NETWORKDAYS(P200,R200,JoursFeries)-1)*(HFer-HOuv)+IF(NETWORKDAYS(R200,R200,JoursFeries),MEDIAN(MOD(R200,1),HFer,HOuv),HFer)-IF(NETWORKDAYS(P200,P200,JoursFeries),MEDIAN(MOD(P200,1),HFer,HOuv),HOuv))*24,4)))/HJour,4),""))</f>
        <v/>
      </c>
      <c r="AX200" s="37" t="str">
        <f aca="false">IF(AO200&lt;&gt;1,"",IFERROR(ROUND(IF(OR(P200="",S200=""),"",IF(S200&lt;P200,"",ROUND(((NETWORKDAYS(P200,S200,JoursFeries)-1)*(HFer-HOuv)+IF(NETWORKDAYS(S200,S200,JoursFeries),MEDIAN(MOD(S200,1),HFer,HOuv),HFer)-IF(NETWORKDAYS(P200,P200,JoursFeries),MEDIAN(MOD(P200,1),HFer,HOuv),HOuv))*24,4)))/HJour,4),""))</f>
        <v/>
      </c>
      <c r="AY200" s="36" t="str">
        <f aca="false">IF(OR(AO200&lt;&gt;1,AR200=""),"",INDEX(SLA_PEC,AR200))</f>
        <v/>
      </c>
      <c r="AZ200" s="35" t="str">
        <f aca="false">IF(OR(AV200="",AY200=""),"",IF(AV200&lt;=AY200,1,0))</f>
        <v/>
      </c>
      <c r="BA200" s="36" t="str">
        <f aca="false">IF(OR(AO200&lt;&gt;1,AR200=""),"",INDEX(SLA_RES,AR200))</f>
        <v/>
      </c>
      <c r="BB200" s="35" t="str">
        <f aca="false">IF(OR(AW200="",BA200=""),"",IF(AW200&lt;=BA200,1,0))</f>
        <v/>
      </c>
      <c r="BC200" s="38" t="str">
        <f aca="false">IF(OR(BA200="",P200=""),"",WORKDAY(INT(P200),BA200,JoursFeries)+MOD(P200,1))</f>
        <v/>
      </c>
      <c r="BD200" s="39" t="str">
        <f aca="false">IF(AO200&lt;&gt;1,"",IF(OR(AB200&lt;&gt;"",AD200&lt;&gt;""),4,IF(U200&lt;&gt;"",3,IF(T200&lt;&gt;"",2,1))))</f>
        <v/>
      </c>
      <c r="BE200" s="39" t="str">
        <f aca="false">IF(OR(AO200&lt;&gt;1,AR200=""),"",INDEX(NIV_REQ,AR200))</f>
        <v/>
      </c>
      <c r="BF200" s="39" t="str">
        <f aca="false">IF(BE200="","",MAX(BE200,IF(OR(K200="Oui",Z200="Oui"),4,1)))</f>
        <v/>
      </c>
      <c r="BG200" s="35" t="str">
        <f aca="false">IF(OR(BF200="",BD200=""),"",IF(BD200&gt;=BF200,1,0))</f>
        <v/>
      </c>
      <c r="BH200" s="38" t="str">
        <f aca="false">IF(BE200="","",IF(BE200&lt;2,"",IF(BE200=2,IF(AND(T200="",U200=""),"",MIN(T200,U200)),IF(U200="","",U200))))</f>
        <v/>
      </c>
      <c r="BI200" s="37" t="str">
        <f aca="false">IF(BH200="","",IF(OR(O200="",BH200=""),"",IF(BH200&lt;O200,"",ROUND(((NETWORKDAYS(O200,BH200,JoursFeries)-1)*(HFer-HOuv)+IF(NETWORKDAYS(BH200,BH200,JoursFeries),MEDIAN(MOD(BH200,1),HFer,HOuv),HFer)-IF(NETWORKDAYS(O200,O200,JoursFeries),MEDIAN(MOD(O200,1),HFer,HOuv),HOuv))*24,4))))</f>
        <v/>
      </c>
      <c r="BJ200" s="35" t="str">
        <f aca="false">IF(OR(BI200="",AR200=""),"",IF(BI200&lt;=INDEX(DELAI_ESC,AR200),1,0))</f>
        <v/>
      </c>
      <c r="BK200" s="38" t="str">
        <f aca="false">IF(AO200&lt;&gt;1,"",IF(AND(T200="",U200=""),"",MIN(T200,U200)))</f>
        <v/>
      </c>
      <c r="BL200" s="37" t="str">
        <f aca="false">IF(OR(BK200="",R200=""),"",IFERROR(ROUND(IF(OR(BK200="",R200=""),"",IF(R200&lt;BK200,"",ROUND(((NETWORKDAYS(BK200,R200,JoursFeries)-1)*(HFer-HOuv)+IF(NETWORKDAYS(R200,R200,JoursFeries),MEDIAN(MOD(R200,1),HFer,HOuv),HFer)-IF(NETWORKDAYS(BK200,BK200,JoursFeries),MEDIAN(MOD(BK200,1),HFer,HOuv),HOuv))*24,4)))/HJour,4),""))</f>
        <v/>
      </c>
      <c r="BM200" s="35" t="str">
        <f aca="false">IF(OR(AO200&lt;&gt;1,R200=""),"",IF(BD200=1,1,0))</f>
        <v/>
      </c>
      <c r="BN200" s="35" t="str">
        <f aca="false">IF(AO200&lt;&gt;1,"",IF(W200="Oui",1,0))</f>
        <v/>
      </c>
      <c r="BO200" s="35" t="str">
        <f aca="false">IF(AO200&lt;&gt;1,"",IF(X200&lt;&gt;"",1,0))</f>
        <v/>
      </c>
      <c r="BP200" s="35" t="str">
        <f aca="false">IF(AO200&lt;&gt;1,"",IF(Y200="Oui",1,0))</f>
        <v/>
      </c>
      <c r="BQ200" s="35" t="str">
        <f aca="true">IF(OR(AO200&lt;&gt;1,Z200&lt;&gt;"Oui"),"",IF(AB200="",IF(AND(AA200&lt;&gt;"",NOW()&gt;AA200),0,""),IF(AA200="","",IF(AB200&lt;=AA200,1,0))))</f>
        <v/>
      </c>
      <c r="BR200" s="38" t="str">
        <f aca="false">IF(OR(AO200&lt;&gt;1,K200&lt;&gt;"Oui",O200=""),"",IF(AC200="",O200+DORA_H_DET/24,IF(AC200-O200&lt;=DORA_H_DET/24,MIN(AC200+DORA_H_CLA/24,O200+DORA_H_DET/24),AC200+DORA_H_CLA/24)))</f>
        <v/>
      </c>
      <c r="BS200" s="35" t="str">
        <f aca="true">IF(BR200="","",IF(AD200="",IF(NOW()&gt;BR200,0,""),IF(AD200&lt;=BR200,1,0)))</f>
        <v/>
      </c>
      <c r="BT200" s="35" t="str">
        <f aca="true">IF(OR(BR200="",AD200=""),"",IF(AE200="",IF(NOW()&gt;AD200+DORA_H_INT/24,0,""),IF(AE200&lt;=AD200+DORA_H_INT/24,1,0)))</f>
        <v/>
      </c>
      <c r="BU200" s="35" t="str">
        <f aca="true">IF(OR(BR200="",AE200=""),"",IF(AF200="",IF(NOW()&gt;EDATE(AE200,DORA_M_FIN)+1,0,""),IF(AF200&lt;=EDATE(AE200,DORA_M_FIN),1,0)))</f>
        <v/>
      </c>
      <c r="BV200" s="35" t="str">
        <f aca="false">IF(BR200="","",IF(COUNT(BS200:BU200)=0,"",MIN(BS200:BU200)))</f>
        <v/>
      </c>
      <c r="BW200" s="40" t="str">
        <f aca="false">IF(AQ200&lt;&gt;1,"",IF(AND(AG200="",AH200=""),"",N(AG200)-N(AH200)))</f>
        <v/>
      </c>
      <c r="BX200" s="35" t="str">
        <f aca="true">IF(OR(AQ200&lt;&gt;1,AI200&lt;&gt;"Oui",AJ200=""),"",IF(AK200="",IF(NOW()&gt;AJ200+1,0,""),IF(AK200&lt;=AJ200,1,0)))</f>
        <v/>
      </c>
    </row>
    <row r="201" customFormat="false" ht="15" hidden="false" customHeight="false" outlineLevel="0" collapsed="false">
      <c r="B201" s="29"/>
      <c r="C201" s="29"/>
      <c r="D201" s="29"/>
      <c r="E201" s="29"/>
      <c r="F201" s="29"/>
      <c r="G201" s="29"/>
      <c r="H201" s="29"/>
      <c r="I201" s="29"/>
      <c r="J201" s="29"/>
      <c r="K201" s="29"/>
      <c r="L201" s="29"/>
      <c r="M201" s="29"/>
      <c r="N201" s="30"/>
      <c r="O201" s="30"/>
      <c r="P201" s="30"/>
      <c r="Q201" s="30"/>
      <c r="R201" s="30"/>
      <c r="S201" s="30"/>
      <c r="T201" s="30"/>
      <c r="U201" s="30"/>
      <c r="V201" s="31"/>
      <c r="W201" s="29"/>
      <c r="X201" s="29"/>
      <c r="Y201" s="29"/>
      <c r="Z201" s="29"/>
      <c r="AA201" s="30"/>
      <c r="AB201" s="30"/>
      <c r="AC201" s="30"/>
      <c r="AD201" s="30"/>
      <c r="AE201" s="30"/>
      <c r="AF201" s="32"/>
      <c r="AG201" s="33"/>
      <c r="AH201" s="33"/>
      <c r="AI201" s="29"/>
      <c r="AJ201" s="32"/>
      <c r="AK201" s="32"/>
      <c r="AL201" s="29"/>
      <c r="AN201" s="34" t="str">
        <f aca="false">IF($B201="","",IF(OR(C201="",D201="",E201="",G201="",I201="",J201="",L201="",O201="",P201=""),"Champ obligatoire manquant",IF(OR(AND(N201&lt;&gt;"",N201&gt;O201),O201&gt;P201,AND(Q201&lt;&gt;"",Q201&lt;P201),AND(R201&lt;&gt;"",R201&lt;P201),AND(S201&lt;&gt;"",S201&lt;R201),AND(S201&lt;&gt;"",R201=""),AND(T201&lt;&gt;"",T201&lt;O201),AND(U201&lt;&gt;"",U201&lt;O201)),"Chronologie incohérente",IF(AND(OR(L201="Résolu",L201="Clos"),R201=""),"Date de résolution manquante",IF(AND(L201="Clos",S201=""),"Date de clôture manquante",IF(AND(K201="Oui",AC201=""),"Classification DORA manquante","OK"))))))</f>
        <v/>
      </c>
      <c r="AO201" s="35" t="str">
        <f aca="false">IF($B201="","",IF(AND(C201="Incident",L201&lt;&gt;"Annulé"),1,0))</f>
        <v/>
      </c>
      <c r="AP201" s="35" t="str">
        <f aca="false">IF($B201="","",IF(AND(C201="Quasi-incident",L201&lt;&gt;"Annulé"),1,0))</f>
        <v/>
      </c>
      <c r="AQ201" s="35" t="str">
        <f aca="false">IF($B201="","",AO201+AP201)</f>
        <v/>
      </c>
      <c r="AR201" s="36" t="str">
        <f aca="false">IF(OR($B201="",J201=""),"",IFERROR(VALUE(LEFT(J201,1)),""))</f>
        <v/>
      </c>
      <c r="AS201" s="35" t="str">
        <f aca="false">IF(OR(AO201&lt;&gt;1,G201=""),"",IFERROR(IF(INDEX(L_SrcInterne,MATCH(G201,L_Sources,0))="Oui",1,0),""))</f>
        <v/>
      </c>
      <c r="AT201" s="37" t="str">
        <f aca="false">IF(AO201&lt;&gt;1,"",IFERROR(ROUND(IF(OR(N201="",O201=""),"",IF(O201&lt;N201,"",ROUND(((NETWORKDAYS(N201,O201,JoursFeries)-1)*(HFer-HOuv)+IF(NETWORKDAYS(O201,O201,JoursFeries),MEDIAN(MOD(O201,1),HFer,HOuv),HFer)-IF(NETWORKDAYS(N201,N201,JoursFeries),MEDIAN(MOD(N201,1),HFer,HOuv),HOuv))*24,4)))/HJour,4),""))</f>
        <v/>
      </c>
      <c r="AU201" s="37" t="str">
        <f aca="false">IF(AO201&lt;&gt;1,"",IF(OR(O201="",P201=""),"",IF(P201&lt;O201,"",ROUND(((NETWORKDAYS(O201,P201,JoursFeries)-1)*(HFer-HOuv)+IF(NETWORKDAYS(P201,P201,JoursFeries),MEDIAN(MOD(P201,1),HFer,HOuv),HFer)-IF(NETWORKDAYS(O201,O201,JoursFeries),MEDIAN(MOD(O201,1),HFer,HOuv),HOuv))*24,4))))</f>
        <v/>
      </c>
      <c r="AV201" s="37" t="str">
        <f aca="false">IF(AO201&lt;&gt;1,"",IF(OR(P201="",Q201=""),"",IF(Q201&lt;P201,"",ROUND(((NETWORKDAYS(P201,Q201,JoursFeries)-1)*(HFer-HOuv)+IF(NETWORKDAYS(Q201,Q201,JoursFeries),MEDIAN(MOD(Q201,1),HFer,HOuv),HFer)-IF(NETWORKDAYS(P201,P201,JoursFeries),MEDIAN(MOD(P201,1),HFer,HOuv),HOuv))*24,4))))</f>
        <v/>
      </c>
      <c r="AW201" s="37" t="str">
        <f aca="false">IF(AO201&lt;&gt;1,"",IFERROR(ROUND(IF(OR(P201="",R201=""),"",IF(R201&lt;P201,"",ROUND(((NETWORKDAYS(P201,R201,JoursFeries)-1)*(HFer-HOuv)+IF(NETWORKDAYS(R201,R201,JoursFeries),MEDIAN(MOD(R201,1),HFer,HOuv),HFer)-IF(NETWORKDAYS(P201,P201,JoursFeries),MEDIAN(MOD(P201,1),HFer,HOuv),HOuv))*24,4)))/HJour,4),""))</f>
        <v/>
      </c>
      <c r="AX201" s="37" t="str">
        <f aca="false">IF(AO201&lt;&gt;1,"",IFERROR(ROUND(IF(OR(P201="",S201=""),"",IF(S201&lt;P201,"",ROUND(((NETWORKDAYS(P201,S201,JoursFeries)-1)*(HFer-HOuv)+IF(NETWORKDAYS(S201,S201,JoursFeries),MEDIAN(MOD(S201,1),HFer,HOuv),HFer)-IF(NETWORKDAYS(P201,P201,JoursFeries),MEDIAN(MOD(P201,1),HFer,HOuv),HOuv))*24,4)))/HJour,4),""))</f>
        <v/>
      </c>
      <c r="AY201" s="36" t="str">
        <f aca="false">IF(OR(AO201&lt;&gt;1,AR201=""),"",INDEX(SLA_PEC,AR201))</f>
        <v/>
      </c>
      <c r="AZ201" s="35" t="str">
        <f aca="false">IF(OR(AV201="",AY201=""),"",IF(AV201&lt;=AY201,1,0))</f>
        <v/>
      </c>
      <c r="BA201" s="36" t="str">
        <f aca="false">IF(OR(AO201&lt;&gt;1,AR201=""),"",INDEX(SLA_RES,AR201))</f>
        <v/>
      </c>
      <c r="BB201" s="35" t="str">
        <f aca="false">IF(OR(AW201="",BA201=""),"",IF(AW201&lt;=BA201,1,0))</f>
        <v/>
      </c>
      <c r="BC201" s="38" t="str">
        <f aca="false">IF(OR(BA201="",P201=""),"",WORKDAY(INT(P201),BA201,JoursFeries)+MOD(P201,1))</f>
        <v/>
      </c>
      <c r="BD201" s="39" t="str">
        <f aca="false">IF(AO201&lt;&gt;1,"",IF(OR(AB201&lt;&gt;"",AD201&lt;&gt;""),4,IF(U201&lt;&gt;"",3,IF(T201&lt;&gt;"",2,1))))</f>
        <v/>
      </c>
      <c r="BE201" s="39" t="str">
        <f aca="false">IF(OR(AO201&lt;&gt;1,AR201=""),"",INDEX(NIV_REQ,AR201))</f>
        <v/>
      </c>
      <c r="BF201" s="39" t="str">
        <f aca="false">IF(BE201="","",MAX(BE201,IF(OR(K201="Oui",Z201="Oui"),4,1)))</f>
        <v/>
      </c>
      <c r="BG201" s="35" t="str">
        <f aca="false">IF(OR(BF201="",BD201=""),"",IF(BD201&gt;=BF201,1,0))</f>
        <v/>
      </c>
      <c r="BH201" s="38" t="str">
        <f aca="false">IF(BE201="","",IF(BE201&lt;2,"",IF(BE201=2,IF(AND(T201="",U201=""),"",MIN(T201,U201)),IF(U201="","",U201))))</f>
        <v/>
      </c>
      <c r="BI201" s="37" t="str">
        <f aca="false">IF(BH201="","",IF(OR(O201="",BH201=""),"",IF(BH201&lt;O201,"",ROUND(((NETWORKDAYS(O201,BH201,JoursFeries)-1)*(HFer-HOuv)+IF(NETWORKDAYS(BH201,BH201,JoursFeries),MEDIAN(MOD(BH201,1),HFer,HOuv),HFer)-IF(NETWORKDAYS(O201,O201,JoursFeries),MEDIAN(MOD(O201,1),HFer,HOuv),HOuv))*24,4))))</f>
        <v/>
      </c>
      <c r="BJ201" s="35" t="str">
        <f aca="false">IF(OR(BI201="",AR201=""),"",IF(BI201&lt;=INDEX(DELAI_ESC,AR201),1,0))</f>
        <v/>
      </c>
      <c r="BK201" s="38" t="str">
        <f aca="false">IF(AO201&lt;&gt;1,"",IF(AND(T201="",U201=""),"",MIN(T201,U201)))</f>
        <v/>
      </c>
      <c r="BL201" s="37" t="str">
        <f aca="false">IF(OR(BK201="",R201=""),"",IFERROR(ROUND(IF(OR(BK201="",R201=""),"",IF(R201&lt;BK201,"",ROUND(((NETWORKDAYS(BK201,R201,JoursFeries)-1)*(HFer-HOuv)+IF(NETWORKDAYS(R201,R201,JoursFeries),MEDIAN(MOD(R201,1),HFer,HOuv),HFer)-IF(NETWORKDAYS(BK201,BK201,JoursFeries),MEDIAN(MOD(BK201,1),HFer,HOuv),HOuv))*24,4)))/HJour,4),""))</f>
        <v/>
      </c>
      <c r="BM201" s="35" t="str">
        <f aca="false">IF(OR(AO201&lt;&gt;1,R201=""),"",IF(BD201=1,1,0))</f>
        <v/>
      </c>
      <c r="BN201" s="35" t="str">
        <f aca="false">IF(AO201&lt;&gt;1,"",IF(W201="Oui",1,0))</f>
        <v/>
      </c>
      <c r="BO201" s="35" t="str">
        <f aca="false">IF(AO201&lt;&gt;1,"",IF(X201&lt;&gt;"",1,0))</f>
        <v/>
      </c>
      <c r="BP201" s="35" t="str">
        <f aca="false">IF(AO201&lt;&gt;1,"",IF(Y201="Oui",1,0))</f>
        <v/>
      </c>
      <c r="BQ201" s="35" t="str">
        <f aca="true">IF(OR(AO201&lt;&gt;1,Z201&lt;&gt;"Oui"),"",IF(AB201="",IF(AND(AA201&lt;&gt;"",NOW()&gt;AA201),0,""),IF(AA201="","",IF(AB201&lt;=AA201,1,0))))</f>
        <v/>
      </c>
      <c r="BR201" s="38" t="str">
        <f aca="false">IF(OR(AO201&lt;&gt;1,K201&lt;&gt;"Oui",O201=""),"",IF(AC201="",O201+DORA_H_DET/24,IF(AC201-O201&lt;=DORA_H_DET/24,MIN(AC201+DORA_H_CLA/24,O201+DORA_H_DET/24),AC201+DORA_H_CLA/24)))</f>
        <v/>
      </c>
      <c r="BS201" s="35" t="str">
        <f aca="true">IF(BR201="","",IF(AD201="",IF(NOW()&gt;BR201,0,""),IF(AD201&lt;=BR201,1,0)))</f>
        <v/>
      </c>
      <c r="BT201" s="35" t="str">
        <f aca="true">IF(OR(BR201="",AD201=""),"",IF(AE201="",IF(NOW()&gt;AD201+DORA_H_INT/24,0,""),IF(AE201&lt;=AD201+DORA_H_INT/24,1,0)))</f>
        <v/>
      </c>
      <c r="BU201" s="35" t="str">
        <f aca="true">IF(OR(BR201="",AE201=""),"",IF(AF201="",IF(NOW()&gt;EDATE(AE201,DORA_M_FIN)+1,0,""),IF(AF201&lt;=EDATE(AE201,DORA_M_FIN),1,0)))</f>
        <v/>
      </c>
      <c r="BV201" s="35" t="str">
        <f aca="false">IF(BR201="","",IF(COUNT(BS201:BU201)=0,"",MIN(BS201:BU201)))</f>
        <v/>
      </c>
      <c r="BW201" s="40" t="str">
        <f aca="false">IF(AQ201&lt;&gt;1,"",IF(AND(AG201="",AH201=""),"",N(AG201)-N(AH201)))</f>
        <v/>
      </c>
      <c r="BX201" s="35" t="str">
        <f aca="true">IF(OR(AQ201&lt;&gt;1,AI201&lt;&gt;"Oui",AJ201=""),"",IF(AK201="",IF(NOW()&gt;AJ201+1,0,""),IF(AK201&lt;=AJ201,1,0)))</f>
        <v/>
      </c>
    </row>
    <row r="202" customFormat="false" ht="15" hidden="false" customHeight="false" outlineLevel="0" collapsed="false">
      <c r="B202" s="29"/>
      <c r="C202" s="29"/>
      <c r="D202" s="29"/>
      <c r="E202" s="29"/>
      <c r="F202" s="29"/>
      <c r="G202" s="29"/>
      <c r="H202" s="29"/>
      <c r="I202" s="29"/>
      <c r="J202" s="29"/>
      <c r="K202" s="29"/>
      <c r="L202" s="29"/>
      <c r="M202" s="29"/>
      <c r="N202" s="30"/>
      <c r="O202" s="30"/>
      <c r="P202" s="30"/>
      <c r="Q202" s="30"/>
      <c r="R202" s="30"/>
      <c r="S202" s="30"/>
      <c r="T202" s="30"/>
      <c r="U202" s="30"/>
      <c r="V202" s="31"/>
      <c r="W202" s="29"/>
      <c r="X202" s="29"/>
      <c r="Y202" s="29"/>
      <c r="Z202" s="29"/>
      <c r="AA202" s="30"/>
      <c r="AB202" s="30"/>
      <c r="AC202" s="30"/>
      <c r="AD202" s="30"/>
      <c r="AE202" s="30"/>
      <c r="AF202" s="32"/>
      <c r="AG202" s="33"/>
      <c r="AH202" s="33"/>
      <c r="AI202" s="29"/>
      <c r="AJ202" s="32"/>
      <c r="AK202" s="32"/>
      <c r="AL202" s="29"/>
      <c r="AN202" s="34" t="str">
        <f aca="false">IF($B202="","",IF(OR(C202="",D202="",E202="",G202="",I202="",J202="",L202="",O202="",P202=""),"Champ obligatoire manquant",IF(OR(AND(N202&lt;&gt;"",N202&gt;O202),O202&gt;P202,AND(Q202&lt;&gt;"",Q202&lt;P202),AND(R202&lt;&gt;"",R202&lt;P202),AND(S202&lt;&gt;"",S202&lt;R202),AND(S202&lt;&gt;"",R202=""),AND(T202&lt;&gt;"",T202&lt;O202),AND(U202&lt;&gt;"",U202&lt;O202)),"Chronologie incohérente",IF(AND(OR(L202="Résolu",L202="Clos"),R202=""),"Date de résolution manquante",IF(AND(L202="Clos",S202=""),"Date de clôture manquante",IF(AND(K202="Oui",AC202=""),"Classification DORA manquante","OK"))))))</f>
        <v/>
      </c>
      <c r="AO202" s="35" t="str">
        <f aca="false">IF($B202="","",IF(AND(C202="Incident",L202&lt;&gt;"Annulé"),1,0))</f>
        <v/>
      </c>
      <c r="AP202" s="35" t="str">
        <f aca="false">IF($B202="","",IF(AND(C202="Quasi-incident",L202&lt;&gt;"Annulé"),1,0))</f>
        <v/>
      </c>
      <c r="AQ202" s="35" t="str">
        <f aca="false">IF($B202="","",AO202+AP202)</f>
        <v/>
      </c>
      <c r="AR202" s="36" t="str">
        <f aca="false">IF(OR($B202="",J202=""),"",IFERROR(VALUE(LEFT(J202,1)),""))</f>
        <v/>
      </c>
      <c r="AS202" s="35" t="str">
        <f aca="false">IF(OR(AO202&lt;&gt;1,G202=""),"",IFERROR(IF(INDEX(L_SrcInterne,MATCH(G202,L_Sources,0))="Oui",1,0),""))</f>
        <v/>
      </c>
      <c r="AT202" s="37" t="str">
        <f aca="false">IF(AO202&lt;&gt;1,"",IFERROR(ROUND(IF(OR(N202="",O202=""),"",IF(O202&lt;N202,"",ROUND(((NETWORKDAYS(N202,O202,JoursFeries)-1)*(HFer-HOuv)+IF(NETWORKDAYS(O202,O202,JoursFeries),MEDIAN(MOD(O202,1),HFer,HOuv),HFer)-IF(NETWORKDAYS(N202,N202,JoursFeries),MEDIAN(MOD(N202,1),HFer,HOuv),HOuv))*24,4)))/HJour,4),""))</f>
        <v/>
      </c>
      <c r="AU202" s="37" t="str">
        <f aca="false">IF(AO202&lt;&gt;1,"",IF(OR(O202="",P202=""),"",IF(P202&lt;O202,"",ROUND(((NETWORKDAYS(O202,P202,JoursFeries)-1)*(HFer-HOuv)+IF(NETWORKDAYS(P202,P202,JoursFeries),MEDIAN(MOD(P202,1),HFer,HOuv),HFer)-IF(NETWORKDAYS(O202,O202,JoursFeries),MEDIAN(MOD(O202,1),HFer,HOuv),HOuv))*24,4))))</f>
        <v/>
      </c>
      <c r="AV202" s="37" t="str">
        <f aca="false">IF(AO202&lt;&gt;1,"",IF(OR(P202="",Q202=""),"",IF(Q202&lt;P202,"",ROUND(((NETWORKDAYS(P202,Q202,JoursFeries)-1)*(HFer-HOuv)+IF(NETWORKDAYS(Q202,Q202,JoursFeries),MEDIAN(MOD(Q202,1),HFer,HOuv),HFer)-IF(NETWORKDAYS(P202,P202,JoursFeries),MEDIAN(MOD(P202,1),HFer,HOuv),HOuv))*24,4))))</f>
        <v/>
      </c>
      <c r="AW202" s="37" t="str">
        <f aca="false">IF(AO202&lt;&gt;1,"",IFERROR(ROUND(IF(OR(P202="",R202=""),"",IF(R202&lt;P202,"",ROUND(((NETWORKDAYS(P202,R202,JoursFeries)-1)*(HFer-HOuv)+IF(NETWORKDAYS(R202,R202,JoursFeries),MEDIAN(MOD(R202,1),HFer,HOuv),HFer)-IF(NETWORKDAYS(P202,P202,JoursFeries),MEDIAN(MOD(P202,1),HFer,HOuv),HOuv))*24,4)))/HJour,4),""))</f>
        <v/>
      </c>
      <c r="AX202" s="37" t="str">
        <f aca="false">IF(AO202&lt;&gt;1,"",IFERROR(ROUND(IF(OR(P202="",S202=""),"",IF(S202&lt;P202,"",ROUND(((NETWORKDAYS(P202,S202,JoursFeries)-1)*(HFer-HOuv)+IF(NETWORKDAYS(S202,S202,JoursFeries),MEDIAN(MOD(S202,1),HFer,HOuv),HFer)-IF(NETWORKDAYS(P202,P202,JoursFeries),MEDIAN(MOD(P202,1),HFer,HOuv),HOuv))*24,4)))/HJour,4),""))</f>
        <v/>
      </c>
      <c r="AY202" s="36" t="str">
        <f aca="false">IF(OR(AO202&lt;&gt;1,AR202=""),"",INDEX(SLA_PEC,AR202))</f>
        <v/>
      </c>
      <c r="AZ202" s="35" t="str">
        <f aca="false">IF(OR(AV202="",AY202=""),"",IF(AV202&lt;=AY202,1,0))</f>
        <v/>
      </c>
      <c r="BA202" s="36" t="str">
        <f aca="false">IF(OR(AO202&lt;&gt;1,AR202=""),"",INDEX(SLA_RES,AR202))</f>
        <v/>
      </c>
      <c r="BB202" s="35" t="str">
        <f aca="false">IF(OR(AW202="",BA202=""),"",IF(AW202&lt;=BA202,1,0))</f>
        <v/>
      </c>
      <c r="BC202" s="38" t="str">
        <f aca="false">IF(OR(BA202="",P202=""),"",WORKDAY(INT(P202),BA202,JoursFeries)+MOD(P202,1))</f>
        <v/>
      </c>
      <c r="BD202" s="39" t="str">
        <f aca="false">IF(AO202&lt;&gt;1,"",IF(OR(AB202&lt;&gt;"",AD202&lt;&gt;""),4,IF(U202&lt;&gt;"",3,IF(T202&lt;&gt;"",2,1))))</f>
        <v/>
      </c>
      <c r="BE202" s="39" t="str">
        <f aca="false">IF(OR(AO202&lt;&gt;1,AR202=""),"",INDEX(NIV_REQ,AR202))</f>
        <v/>
      </c>
      <c r="BF202" s="39" t="str">
        <f aca="false">IF(BE202="","",MAX(BE202,IF(OR(K202="Oui",Z202="Oui"),4,1)))</f>
        <v/>
      </c>
      <c r="BG202" s="35" t="str">
        <f aca="false">IF(OR(BF202="",BD202=""),"",IF(BD202&gt;=BF202,1,0))</f>
        <v/>
      </c>
      <c r="BH202" s="38" t="str">
        <f aca="false">IF(BE202="","",IF(BE202&lt;2,"",IF(BE202=2,IF(AND(T202="",U202=""),"",MIN(T202,U202)),IF(U202="","",U202))))</f>
        <v/>
      </c>
      <c r="BI202" s="37" t="str">
        <f aca="false">IF(BH202="","",IF(OR(O202="",BH202=""),"",IF(BH202&lt;O202,"",ROUND(((NETWORKDAYS(O202,BH202,JoursFeries)-1)*(HFer-HOuv)+IF(NETWORKDAYS(BH202,BH202,JoursFeries),MEDIAN(MOD(BH202,1),HFer,HOuv),HFer)-IF(NETWORKDAYS(O202,O202,JoursFeries),MEDIAN(MOD(O202,1),HFer,HOuv),HOuv))*24,4))))</f>
        <v/>
      </c>
      <c r="BJ202" s="35" t="str">
        <f aca="false">IF(OR(BI202="",AR202=""),"",IF(BI202&lt;=INDEX(DELAI_ESC,AR202),1,0))</f>
        <v/>
      </c>
      <c r="BK202" s="38" t="str">
        <f aca="false">IF(AO202&lt;&gt;1,"",IF(AND(T202="",U202=""),"",MIN(T202,U202)))</f>
        <v/>
      </c>
      <c r="BL202" s="37" t="str">
        <f aca="false">IF(OR(BK202="",R202=""),"",IFERROR(ROUND(IF(OR(BK202="",R202=""),"",IF(R202&lt;BK202,"",ROUND(((NETWORKDAYS(BK202,R202,JoursFeries)-1)*(HFer-HOuv)+IF(NETWORKDAYS(R202,R202,JoursFeries),MEDIAN(MOD(R202,1),HFer,HOuv),HFer)-IF(NETWORKDAYS(BK202,BK202,JoursFeries),MEDIAN(MOD(BK202,1),HFer,HOuv),HOuv))*24,4)))/HJour,4),""))</f>
        <v/>
      </c>
      <c r="BM202" s="35" t="str">
        <f aca="false">IF(OR(AO202&lt;&gt;1,R202=""),"",IF(BD202=1,1,0))</f>
        <v/>
      </c>
      <c r="BN202" s="35" t="str">
        <f aca="false">IF(AO202&lt;&gt;1,"",IF(W202="Oui",1,0))</f>
        <v/>
      </c>
      <c r="BO202" s="35" t="str">
        <f aca="false">IF(AO202&lt;&gt;1,"",IF(X202&lt;&gt;"",1,0))</f>
        <v/>
      </c>
      <c r="BP202" s="35" t="str">
        <f aca="false">IF(AO202&lt;&gt;1,"",IF(Y202="Oui",1,0))</f>
        <v/>
      </c>
      <c r="BQ202" s="35" t="str">
        <f aca="true">IF(OR(AO202&lt;&gt;1,Z202&lt;&gt;"Oui"),"",IF(AB202="",IF(AND(AA202&lt;&gt;"",NOW()&gt;AA202),0,""),IF(AA202="","",IF(AB202&lt;=AA202,1,0))))</f>
        <v/>
      </c>
      <c r="BR202" s="38" t="str">
        <f aca="false">IF(OR(AO202&lt;&gt;1,K202&lt;&gt;"Oui",O202=""),"",IF(AC202="",O202+DORA_H_DET/24,IF(AC202-O202&lt;=DORA_H_DET/24,MIN(AC202+DORA_H_CLA/24,O202+DORA_H_DET/24),AC202+DORA_H_CLA/24)))</f>
        <v/>
      </c>
      <c r="BS202" s="35" t="str">
        <f aca="true">IF(BR202="","",IF(AD202="",IF(NOW()&gt;BR202,0,""),IF(AD202&lt;=BR202,1,0)))</f>
        <v/>
      </c>
      <c r="BT202" s="35" t="str">
        <f aca="true">IF(OR(BR202="",AD202=""),"",IF(AE202="",IF(NOW()&gt;AD202+DORA_H_INT/24,0,""),IF(AE202&lt;=AD202+DORA_H_INT/24,1,0)))</f>
        <v/>
      </c>
      <c r="BU202" s="35" t="str">
        <f aca="true">IF(OR(BR202="",AE202=""),"",IF(AF202="",IF(NOW()&gt;EDATE(AE202,DORA_M_FIN)+1,0,""),IF(AF202&lt;=EDATE(AE202,DORA_M_FIN),1,0)))</f>
        <v/>
      </c>
      <c r="BV202" s="35" t="str">
        <f aca="false">IF(BR202="","",IF(COUNT(BS202:BU202)=0,"",MIN(BS202:BU202)))</f>
        <v/>
      </c>
      <c r="BW202" s="40" t="str">
        <f aca="false">IF(AQ202&lt;&gt;1,"",IF(AND(AG202="",AH202=""),"",N(AG202)-N(AH202)))</f>
        <v/>
      </c>
      <c r="BX202" s="35" t="str">
        <f aca="true">IF(OR(AQ202&lt;&gt;1,AI202&lt;&gt;"Oui",AJ202=""),"",IF(AK202="",IF(NOW()&gt;AJ202+1,0,""),IF(AK202&lt;=AJ202,1,0)))</f>
        <v/>
      </c>
    </row>
    <row r="203" customFormat="false" ht="15" hidden="false" customHeight="false" outlineLevel="0" collapsed="false">
      <c r="B203" s="29"/>
      <c r="C203" s="29"/>
      <c r="D203" s="29"/>
      <c r="E203" s="29"/>
      <c r="F203" s="29"/>
      <c r="G203" s="29"/>
      <c r="H203" s="29"/>
      <c r="I203" s="29"/>
      <c r="J203" s="29"/>
      <c r="K203" s="29"/>
      <c r="L203" s="29"/>
      <c r="M203" s="29"/>
      <c r="N203" s="30"/>
      <c r="O203" s="30"/>
      <c r="P203" s="30"/>
      <c r="Q203" s="30"/>
      <c r="R203" s="30"/>
      <c r="S203" s="30"/>
      <c r="T203" s="30"/>
      <c r="U203" s="30"/>
      <c r="V203" s="31"/>
      <c r="W203" s="29"/>
      <c r="X203" s="29"/>
      <c r="Y203" s="29"/>
      <c r="Z203" s="29"/>
      <c r="AA203" s="30"/>
      <c r="AB203" s="30"/>
      <c r="AC203" s="30"/>
      <c r="AD203" s="30"/>
      <c r="AE203" s="30"/>
      <c r="AF203" s="32"/>
      <c r="AG203" s="33"/>
      <c r="AH203" s="33"/>
      <c r="AI203" s="29"/>
      <c r="AJ203" s="32"/>
      <c r="AK203" s="32"/>
      <c r="AL203" s="29"/>
      <c r="AN203" s="34" t="str">
        <f aca="false">IF($B203="","",IF(OR(C203="",D203="",E203="",G203="",I203="",J203="",L203="",O203="",P203=""),"Champ obligatoire manquant",IF(OR(AND(N203&lt;&gt;"",N203&gt;O203),O203&gt;P203,AND(Q203&lt;&gt;"",Q203&lt;P203),AND(R203&lt;&gt;"",R203&lt;P203),AND(S203&lt;&gt;"",S203&lt;R203),AND(S203&lt;&gt;"",R203=""),AND(T203&lt;&gt;"",T203&lt;O203),AND(U203&lt;&gt;"",U203&lt;O203)),"Chronologie incohérente",IF(AND(OR(L203="Résolu",L203="Clos"),R203=""),"Date de résolution manquante",IF(AND(L203="Clos",S203=""),"Date de clôture manquante",IF(AND(K203="Oui",AC203=""),"Classification DORA manquante","OK"))))))</f>
        <v/>
      </c>
      <c r="AO203" s="35" t="str">
        <f aca="false">IF($B203="","",IF(AND(C203="Incident",L203&lt;&gt;"Annulé"),1,0))</f>
        <v/>
      </c>
      <c r="AP203" s="35" t="str">
        <f aca="false">IF($B203="","",IF(AND(C203="Quasi-incident",L203&lt;&gt;"Annulé"),1,0))</f>
        <v/>
      </c>
      <c r="AQ203" s="35" t="str">
        <f aca="false">IF($B203="","",AO203+AP203)</f>
        <v/>
      </c>
      <c r="AR203" s="36" t="str">
        <f aca="false">IF(OR($B203="",J203=""),"",IFERROR(VALUE(LEFT(J203,1)),""))</f>
        <v/>
      </c>
      <c r="AS203" s="35" t="str">
        <f aca="false">IF(OR(AO203&lt;&gt;1,G203=""),"",IFERROR(IF(INDEX(L_SrcInterne,MATCH(G203,L_Sources,0))="Oui",1,0),""))</f>
        <v/>
      </c>
      <c r="AT203" s="37" t="str">
        <f aca="false">IF(AO203&lt;&gt;1,"",IFERROR(ROUND(IF(OR(N203="",O203=""),"",IF(O203&lt;N203,"",ROUND(((NETWORKDAYS(N203,O203,JoursFeries)-1)*(HFer-HOuv)+IF(NETWORKDAYS(O203,O203,JoursFeries),MEDIAN(MOD(O203,1),HFer,HOuv),HFer)-IF(NETWORKDAYS(N203,N203,JoursFeries),MEDIAN(MOD(N203,1),HFer,HOuv),HOuv))*24,4)))/HJour,4),""))</f>
        <v/>
      </c>
      <c r="AU203" s="37" t="str">
        <f aca="false">IF(AO203&lt;&gt;1,"",IF(OR(O203="",P203=""),"",IF(P203&lt;O203,"",ROUND(((NETWORKDAYS(O203,P203,JoursFeries)-1)*(HFer-HOuv)+IF(NETWORKDAYS(P203,P203,JoursFeries),MEDIAN(MOD(P203,1),HFer,HOuv),HFer)-IF(NETWORKDAYS(O203,O203,JoursFeries),MEDIAN(MOD(O203,1),HFer,HOuv),HOuv))*24,4))))</f>
        <v/>
      </c>
      <c r="AV203" s="37" t="str">
        <f aca="false">IF(AO203&lt;&gt;1,"",IF(OR(P203="",Q203=""),"",IF(Q203&lt;P203,"",ROUND(((NETWORKDAYS(P203,Q203,JoursFeries)-1)*(HFer-HOuv)+IF(NETWORKDAYS(Q203,Q203,JoursFeries),MEDIAN(MOD(Q203,1),HFer,HOuv),HFer)-IF(NETWORKDAYS(P203,P203,JoursFeries),MEDIAN(MOD(P203,1),HFer,HOuv),HOuv))*24,4))))</f>
        <v/>
      </c>
      <c r="AW203" s="37" t="str">
        <f aca="false">IF(AO203&lt;&gt;1,"",IFERROR(ROUND(IF(OR(P203="",R203=""),"",IF(R203&lt;P203,"",ROUND(((NETWORKDAYS(P203,R203,JoursFeries)-1)*(HFer-HOuv)+IF(NETWORKDAYS(R203,R203,JoursFeries),MEDIAN(MOD(R203,1),HFer,HOuv),HFer)-IF(NETWORKDAYS(P203,P203,JoursFeries),MEDIAN(MOD(P203,1),HFer,HOuv),HOuv))*24,4)))/HJour,4),""))</f>
        <v/>
      </c>
      <c r="AX203" s="37" t="str">
        <f aca="false">IF(AO203&lt;&gt;1,"",IFERROR(ROUND(IF(OR(P203="",S203=""),"",IF(S203&lt;P203,"",ROUND(((NETWORKDAYS(P203,S203,JoursFeries)-1)*(HFer-HOuv)+IF(NETWORKDAYS(S203,S203,JoursFeries),MEDIAN(MOD(S203,1),HFer,HOuv),HFer)-IF(NETWORKDAYS(P203,P203,JoursFeries),MEDIAN(MOD(P203,1),HFer,HOuv),HOuv))*24,4)))/HJour,4),""))</f>
        <v/>
      </c>
      <c r="AY203" s="36" t="str">
        <f aca="false">IF(OR(AO203&lt;&gt;1,AR203=""),"",INDEX(SLA_PEC,AR203))</f>
        <v/>
      </c>
      <c r="AZ203" s="35" t="str">
        <f aca="false">IF(OR(AV203="",AY203=""),"",IF(AV203&lt;=AY203,1,0))</f>
        <v/>
      </c>
      <c r="BA203" s="36" t="str">
        <f aca="false">IF(OR(AO203&lt;&gt;1,AR203=""),"",INDEX(SLA_RES,AR203))</f>
        <v/>
      </c>
      <c r="BB203" s="35" t="str">
        <f aca="false">IF(OR(AW203="",BA203=""),"",IF(AW203&lt;=BA203,1,0))</f>
        <v/>
      </c>
      <c r="BC203" s="38" t="str">
        <f aca="false">IF(OR(BA203="",P203=""),"",WORKDAY(INT(P203),BA203,JoursFeries)+MOD(P203,1))</f>
        <v/>
      </c>
      <c r="BD203" s="39" t="str">
        <f aca="false">IF(AO203&lt;&gt;1,"",IF(OR(AB203&lt;&gt;"",AD203&lt;&gt;""),4,IF(U203&lt;&gt;"",3,IF(T203&lt;&gt;"",2,1))))</f>
        <v/>
      </c>
      <c r="BE203" s="39" t="str">
        <f aca="false">IF(OR(AO203&lt;&gt;1,AR203=""),"",INDEX(NIV_REQ,AR203))</f>
        <v/>
      </c>
      <c r="BF203" s="39" t="str">
        <f aca="false">IF(BE203="","",MAX(BE203,IF(OR(K203="Oui",Z203="Oui"),4,1)))</f>
        <v/>
      </c>
      <c r="BG203" s="35" t="str">
        <f aca="false">IF(OR(BF203="",BD203=""),"",IF(BD203&gt;=BF203,1,0))</f>
        <v/>
      </c>
      <c r="BH203" s="38" t="str">
        <f aca="false">IF(BE203="","",IF(BE203&lt;2,"",IF(BE203=2,IF(AND(T203="",U203=""),"",MIN(T203,U203)),IF(U203="","",U203))))</f>
        <v/>
      </c>
      <c r="BI203" s="37" t="str">
        <f aca="false">IF(BH203="","",IF(OR(O203="",BH203=""),"",IF(BH203&lt;O203,"",ROUND(((NETWORKDAYS(O203,BH203,JoursFeries)-1)*(HFer-HOuv)+IF(NETWORKDAYS(BH203,BH203,JoursFeries),MEDIAN(MOD(BH203,1),HFer,HOuv),HFer)-IF(NETWORKDAYS(O203,O203,JoursFeries),MEDIAN(MOD(O203,1),HFer,HOuv),HOuv))*24,4))))</f>
        <v/>
      </c>
      <c r="BJ203" s="35" t="str">
        <f aca="false">IF(OR(BI203="",AR203=""),"",IF(BI203&lt;=INDEX(DELAI_ESC,AR203),1,0))</f>
        <v/>
      </c>
      <c r="BK203" s="38" t="str">
        <f aca="false">IF(AO203&lt;&gt;1,"",IF(AND(T203="",U203=""),"",MIN(T203,U203)))</f>
        <v/>
      </c>
      <c r="BL203" s="37" t="str">
        <f aca="false">IF(OR(BK203="",R203=""),"",IFERROR(ROUND(IF(OR(BK203="",R203=""),"",IF(R203&lt;BK203,"",ROUND(((NETWORKDAYS(BK203,R203,JoursFeries)-1)*(HFer-HOuv)+IF(NETWORKDAYS(R203,R203,JoursFeries),MEDIAN(MOD(R203,1),HFer,HOuv),HFer)-IF(NETWORKDAYS(BK203,BK203,JoursFeries),MEDIAN(MOD(BK203,1),HFer,HOuv),HOuv))*24,4)))/HJour,4),""))</f>
        <v/>
      </c>
      <c r="BM203" s="35" t="str">
        <f aca="false">IF(OR(AO203&lt;&gt;1,R203=""),"",IF(BD203=1,1,0))</f>
        <v/>
      </c>
      <c r="BN203" s="35" t="str">
        <f aca="false">IF(AO203&lt;&gt;1,"",IF(W203="Oui",1,0))</f>
        <v/>
      </c>
      <c r="BO203" s="35" t="str">
        <f aca="false">IF(AO203&lt;&gt;1,"",IF(X203&lt;&gt;"",1,0))</f>
        <v/>
      </c>
      <c r="BP203" s="35" t="str">
        <f aca="false">IF(AO203&lt;&gt;1,"",IF(Y203="Oui",1,0))</f>
        <v/>
      </c>
      <c r="BQ203" s="35" t="str">
        <f aca="true">IF(OR(AO203&lt;&gt;1,Z203&lt;&gt;"Oui"),"",IF(AB203="",IF(AND(AA203&lt;&gt;"",NOW()&gt;AA203),0,""),IF(AA203="","",IF(AB203&lt;=AA203,1,0))))</f>
        <v/>
      </c>
      <c r="BR203" s="38" t="str">
        <f aca="false">IF(OR(AO203&lt;&gt;1,K203&lt;&gt;"Oui",O203=""),"",IF(AC203="",O203+DORA_H_DET/24,IF(AC203-O203&lt;=DORA_H_DET/24,MIN(AC203+DORA_H_CLA/24,O203+DORA_H_DET/24),AC203+DORA_H_CLA/24)))</f>
        <v/>
      </c>
      <c r="BS203" s="35" t="str">
        <f aca="true">IF(BR203="","",IF(AD203="",IF(NOW()&gt;BR203,0,""),IF(AD203&lt;=BR203,1,0)))</f>
        <v/>
      </c>
      <c r="BT203" s="35" t="str">
        <f aca="true">IF(OR(BR203="",AD203=""),"",IF(AE203="",IF(NOW()&gt;AD203+DORA_H_INT/24,0,""),IF(AE203&lt;=AD203+DORA_H_INT/24,1,0)))</f>
        <v/>
      </c>
      <c r="BU203" s="35" t="str">
        <f aca="true">IF(OR(BR203="",AE203=""),"",IF(AF203="",IF(NOW()&gt;EDATE(AE203,DORA_M_FIN)+1,0,""),IF(AF203&lt;=EDATE(AE203,DORA_M_FIN),1,0)))</f>
        <v/>
      </c>
      <c r="BV203" s="35" t="str">
        <f aca="false">IF(BR203="","",IF(COUNT(BS203:BU203)=0,"",MIN(BS203:BU203)))</f>
        <v/>
      </c>
      <c r="BW203" s="40" t="str">
        <f aca="false">IF(AQ203&lt;&gt;1,"",IF(AND(AG203="",AH203=""),"",N(AG203)-N(AH203)))</f>
        <v/>
      </c>
      <c r="BX203" s="35" t="str">
        <f aca="true">IF(OR(AQ203&lt;&gt;1,AI203&lt;&gt;"Oui",AJ203=""),"",IF(AK203="",IF(NOW()&gt;AJ203+1,0,""),IF(AK203&lt;=AJ203,1,0)))</f>
        <v/>
      </c>
    </row>
    <row r="204" customFormat="false" ht="15" hidden="false" customHeight="false" outlineLevel="0" collapsed="false">
      <c r="B204" s="29"/>
      <c r="C204" s="29"/>
      <c r="D204" s="29"/>
      <c r="E204" s="29"/>
      <c r="F204" s="29"/>
      <c r="G204" s="29"/>
      <c r="H204" s="29"/>
      <c r="I204" s="29"/>
      <c r="J204" s="29"/>
      <c r="K204" s="29"/>
      <c r="L204" s="29"/>
      <c r="M204" s="29"/>
      <c r="N204" s="30"/>
      <c r="O204" s="30"/>
      <c r="P204" s="30"/>
      <c r="Q204" s="30"/>
      <c r="R204" s="30"/>
      <c r="S204" s="30"/>
      <c r="T204" s="30"/>
      <c r="U204" s="30"/>
      <c r="V204" s="31"/>
      <c r="W204" s="29"/>
      <c r="X204" s="29"/>
      <c r="Y204" s="29"/>
      <c r="Z204" s="29"/>
      <c r="AA204" s="30"/>
      <c r="AB204" s="30"/>
      <c r="AC204" s="30"/>
      <c r="AD204" s="30"/>
      <c r="AE204" s="30"/>
      <c r="AF204" s="32"/>
      <c r="AG204" s="33"/>
      <c r="AH204" s="33"/>
      <c r="AI204" s="29"/>
      <c r="AJ204" s="32"/>
      <c r="AK204" s="32"/>
      <c r="AL204" s="29"/>
      <c r="AN204" s="34" t="str">
        <f aca="false">IF($B204="","",IF(OR(C204="",D204="",E204="",G204="",I204="",J204="",L204="",O204="",P204=""),"Champ obligatoire manquant",IF(OR(AND(N204&lt;&gt;"",N204&gt;O204),O204&gt;P204,AND(Q204&lt;&gt;"",Q204&lt;P204),AND(R204&lt;&gt;"",R204&lt;P204),AND(S204&lt;&gt;"",S204&lt;R204),AND(S204&lt;&gt;"",R204=""),AND(T204&lt;&gt;"",T204&lt;O204),AND(U204&lt;&gt;"",U204&lt;O204)),"Chronologie incohérente",IF(AND(OR(L204="Résolu",L204="Clos"),R204=""),"Date de résolution manquante",IF(AND(L204="Clos",S204=""),"Date de clôture manquante",IF(AND(K204="Oui",AC204=""),"Classification DORA manquante","OK"))))))</f>
        <v/>
      </c>
      <c r="AO204" s="35" t="str">
        <f aca="false">IF($B204="","",IF(AND(C204="Incident",L204&lt;&gt;"Annulé"),1,0))</f>
        <v/>
      </c>
      <c r="AP204" s="35" t="str">
        <f aca="false">IF($B204="","",IF(AND(C204="Quasi-incident",L204&lt;&gt;"Annulé"),1,0))</f>
        <v/>
      </c>
      <c r="AQ204" s="35" t="str">
        <f aca="false">IF($B204="","",AO204+AP204)</f>
        <v/>
      </c>
      <c r="AR204" s="36" t="str">
        <f aca="false">IF(OR($B204="",J204=""),"",IFERROR(VALUE(LEFT(J204,1)),""))</f>
        <v/>
      </c>
      <c r="AS204" s="35" t="str">
        <f aca="false">IF(OR(AO204&lt;&gt;1,G204=""),"",IFERROR(IF(INDEX(L_SrcInterne,MATCH(G204,L_Sources,0))="Oui",1,0),""))</f>
        <v/>
      </c>
      <c r="AT204" s="37" t="str">
        <f aca="false">IF(AO204&lt;&gt;1,"",IFERROR(ROUND(IF(OR(N204="",O204=""),"",IF(O204&lt;N204,"",ROUND(((NETWORKDAYS(N204,O204,JoursFeries)-1)*(HFer-HOuv)+IF(NETWORKDAYS(O204,O204,JoursFeries),MEDIAN(MOD(O204,1),HFer,HOuv),HFer)-IF(NETWORKDAYS(N204,N204,JoursFeries),MEDIAN(MOD(N204,1),HFer,HOuv),HOuv))*24,4)))/HJour,4),""))</f>
        <v/>
      </c>
      <c r="AU204" s="37" t="str">
        <f aca="false">IF(AO204&lt;&gt;1,"",IF(OR(O204="",P204=""),"",IF(P204&lt;O204,"",ROUND(((NETWORKDAYS(O204,P204,JoursFeries)-1)*(HFer-HOuv)+IF(NETWORKDAYS(P204,P204,JoursFeries),MEDIAN(MOD(P204,1),HFer,HOuv),HFer)-IF(NETWORKDAYS(O204,O204,JoursFeries),MEDIAN(MOD(O204,1),HFer,HOuv),HOuv))*24,4))))</f>
        <v/>
      </c>
      <c r="AV204" s="37" t="str">
        <f aca="false">IF(AO204&lt;&gt;1,"",IF(OR(P204="",Q204=""),"",IF(Q204&lt;P204,"",ROUND(((NETWORKDAYS(P204,Q204,JoursFeries)-1)*(HFer-HOuv)+IF(NETWORKDAYS(Q204,Q204,JoursFeries),MEDIAN(MOD(Q204,1),HFer,HOuv),HFer)-IF(NETWORKDAYS(P204,P204,JoursFeries),MEDIAN(MOD(P204,1),HFer,HOuv),HOuv))*24,4))))</f>
        <v/>
      </c>
      <c r="AW204" s="37" t="str">
        <f aca="false">IF(AO204&lt;&gt;1,"",IFERROR(ROUND(IF(OR(P204="",R204=""),"",IF(R204&lt;P204,"",ROUND(((NETWORKDAYS(P204,R204,JoursFeries)-1)*(HFer-HOuv)+IF(NETWORKDAYS(R204,R204,JoursFeries),MEDIAN(MOD(R204,1),HFer,HOuv),HFer)-IF(NETWORKDAYS(P204,P204,JoursFeries),MEDIAN(MOD(P204,1),HFer,HOuv),HOuv))*24,4)))/HJour,4),""))</f>
        <v/>
      </c>
      <c r="AX204" s="37" t="str">
        <f aca="false">IF(AO204&lt;&gt;1,"",IFERROR(ROUND(IF(OR(P204="",S204=""),"",IF(S204&lt;P204,"",ROUND(((NETWORKDAYS(P204,S204,JoursFeries)-1)*(HFer-HOuv)+IF(NETWORKDAYS(S204,S204,JoursFeries),MEDIAN(MOD(S204,1),HFer,HOuv),HFer)-IF(NETWORKDAYS(P204,P204,JoursFeries),MEDIAN(MOD(P204,1),HFer,HOuv),HOuv))*24,4)))/HJour,4),""))</f>
        <v/>
      </c>
      <c r="AY204" s="36" t="str">
        <f aca="false">IF(OR(AO204&lt;&gt;1,AR204=""),"",INDEX(SLA_PEC,AR204))</f>
        <v/>
      </c>
      <c r="AZ204" s="35" t="str">
        <f aca="false">IF(OR(AV204="",AY204=""),"",IF(AV204&lt;=AY204,1,0))</f>
        <v/>
      </c>
      <c r="BA204" s="36" t="str">
        <f aca="false">IF(OR(AO204&lt;&gt;1,AR204=""),"",INDEX(SLA_RES,AR204))</f>
        <v/>
      </c>
      <c r="BB204" s="35" t="str">
        <f aca="false">IF(OR(AW204="",BA204=""),"",IF(AW204&lt;=BA204,1,0))</f>
        <v/>
      </c>
      <c r="BC204" s="38" t="str">
        <f aca="false">IF(OR(BA204="",P204=""),"",WORKDAY(INT(P204),BA204,JoursFeries)+MOD(P204,1))</f>
        <v/>
      </c>
      <c r="BD204" s="39" t="str">
        <f aca="false">IF(AO204&lt;&gt;1,"",IF(OR(AB204&lt;&gt;"",AD204&lt;&gt;""),4,IF(U204&lt;&gt;"",3,IF(T204&lt;&gt;"",2,1))))</f>
        <v/>
      </c>
      <c r="BE204" s="39" t="str">
        <f aca="false">IF(OR(AO204&lt;&gt;1,AR204=""),"",INDEX(NIV_REQ,AR204))</f>
        <v/>
      </c>
      <c r="BF204" s="39" t="str">
        <f aca="false">IF(BE204="","",MAX(BE204,IF(OR(K204="Oui",Z204="Oui"),4,1)))</f>
        <v/>
      </c>
      <c r="BG204" s="35" t="str">
        <f aca="false">IF(OR(BF204="",BD204=""),"",IF(BD204&gt;=BF204,1,0))</f>
        <v/>
      </c>
      <c r="BH204" s="38" t="str">
        <f aca="false">IF(BE204="","",IF(BE204&lt;2,"",IF(BE204=2,IF(AND(T204="",U204=""),"",MIN(T204,U204)),IF(U204="","",U204))))</f>
        <v/>
      </c>
      <c r="BI204" s="37" t="str">
        <f aca="false">IF(BH204="","",IF(OR(O204="",BH204=""),"",IF(BH204&lt;O204,"",ROUND(((NETWORKDAYS(O204,BH204,JoursFeries)-1)*(HFer-HOuv)+IF(NETWORKDAYS(BH204,BH204,JoursFeries),MEDIAN(MOD(BH204,1),HFer,HOuv),HFer)-IF(NETWORKDAYS(O204,O204,JoursFeries),MEDIAN(MOD(O204,1),HFer,HOuv),HOuv))*24,4))))</f>
        <v/>
      </c>
      <c r="BJ204" s="35" t="str">
        <f aca="false">IF(OR(BI204="",AR204=""),"",IF(BI204&lt;=INDEX(DELAI_ESC,AR204),1,0))</f>
        <v/>
      </c>
      <c r="BK204" s="38" t="str">
        <f aca="false">IF(AO204&lt;&gt;1,"",IF(AND(T204="",U204=""),"",MIN(T204,U204)))</f>
        <v/>
      </c>
      <c r="BL204" s="37" t="str">
        <f aca="false">IF(OR(BK204="",R204=""),"",IFERROR(ROUND(IF(OR(BK204="",R204=""),"",IF(R204&lt;BK204,"",ROUND(((NETWORKDAYS(BK204,R204,JoursFeries)-1)*(HFer-HOuv)+IF(NETWORKDAYS(R204,R204,JoursFeries),MEDIAN(MOD(R204,1),HFer,HOuv),HFer)-IF(NETWORKDAYS(BK204,BK204,JoursFeries),MEDIAN(MOD(BK204,1),HFer,HOuv),HOuv))*24,4)))/HJour,4),""))</f>
        <v/>
      </c>
      <c r="BM204" s="35" t="str">
        <f aca="false">IF(OR(AO204&lt;&gt;1,R204=""),"",IF(BD204=1,1,0))</f>
        <v/>
      </c>
      <c r="BN204" s="35" t="str">
        <f aca="false">IF(AO204&lt;&gt;1,"",IF(W204="Oui",1,0))</f>
        <v/>
      </c>
      <c r="BO204" s="35" t="str">
        <f aca="false">IF(AO204&lt;&gt;1,"",IF(X204&lt;&gt;"",1,0))</f>
        <v/>
      </c>
      <c r="BP204" s="35" t="str">
        <f aca="false">IF(AO204&lt;&gt;1,"",IF(Y204="Oui",1,0))</f>
        <v/>
      </c>
      <c r="BQ204" s="35" t="str">
        <f aca="true">IF(OR(AO204&lt;&gt;1,Z204&lt;&gt;"Oui"),"",IF(AB204="",IF(AND(AA204&lt;&gt;"",NOW()&gt;AA204),0,""),IF(AA204="","",IF(AB204&lt;=AA204,1,0))))</f>
        <v/>
      </c>
      <c r="BR204" s="38" t="str">
        <f aca="false">IF(OR(AO204&lt;&gt;1,K204&lt;&gt;"Oui",O204=""),"",IF(AC204="",O204+DORA_H_DET/24,IF(AC204-O204&lt;=DORA_H_DET/24,MIN(AC204+DORA_H_CLA/24,O204+DORA_H_DET/24),AC204+DORA_H_CLA/24)))</f>
        <v/>
      </c>
      <c r="BS204" s="35" t="str">
        <f aca="true">IF(BR204="","",IF(AD204="",IF(NOW()&gt;BR204,0,""),IF(AD204&lt;=BR204,1,0)))</f>
        <v/>
      </c>
      <c r="BT204" s="35" t="str">
        <f aca="true">IF(OR(BR204="",AD204=""),"",IF(AE204="",IF(NOW()&gt;AD204+DORA_H_INT/24,0,""),IF(AE204&lt;=AD204+DORA_H_INT/24,1,0)))</f>
        <v/>
      </c>
      <c r="BU204" s="35" t="str">
        <f aca="true">IF(OR(BR204="",AE204=""),"",IF(AF204="",IF(NOW()&gt;EDATE(AE204,DORA_M_FIN)+1,0,""),IF(AF204&lt;=EDATE(AE204,DORA_M_FIN),1,0)))</f>
        <v/>
      </c>
      <c r="BV204" s="35" t="str">
        <f aca="false">IF(BR204="","",IF(COUNT(BS204:BU204)=0,"",MIN(BS204:BU204)))</f>
        <v/>
      </c>
      <c r="BW204" s="40" t="str">
        <f aca="false">IF(AQ204&lt;&gt;1,"",IF(AND(AG204="",AH204=""),"",N(AG204)-N(AH204)))</f>
        <v/>
      </c>
      <c r="BX204" s="35" t="str">
        <f aca="true">IF(OR(AQ204&lt;&gt;1,AI204&lt;&gt;"Oui",AJ204=""),"",IF(AK204="",IF(NOW()&gt;AJ204+1,0,""),IF(AK204&lt;=AJ204,1,0)))</f>
        <v/>
      </c>
    </row>
    <row r="205" customFormat="false" ht="15" hidden="false" customHeight="false" outlineLevel="0" collapsed="false">
      <c r="B205" s="29"/>
      <c r="C205" s="29"/>
      <c r="D205" s="29"/>
      <c r="E205" s="29"/>
      <c r="F205" s="29"/>
      <c r="G205" s="29"/>
      <c r="H205" s="29"/>
      <c r="I205" s="29"/>
      <c r="J205" s="29"/>
      <c r="K205" s="29"/>
      <c r="L205" s="29"/>
      <c r="M205" s="29"/>
      <c r="N205" s="30"/>
      <c r="O205" s="30"/>
      <c r="P205" s="30"/>
      <c r="Q205" s="30"/>
      <c r="R205" s="30"/>
      <c r="S205" s="30"/>
      <c r="T205" s="30"/>
      <c r="U205" s="30"/>
      <c r="V205" s="31"/>
      <c r="W205" s="29"/>
      <c r="X205" s="29"/>
      <c r="Y205" s="29"/>
      <c r="Z205" s="29"/>
      <c r="AA205" s="30"/>
      <c r="AB205" s="30"/>
      <c r="AC205" s="30"/>
      <c r="AD205" s="30"/>
      <c r="AE205" s="30"/>
      <c r="AF205" s="32"/>
      <c r="AG205" s="33"/>
      <c r="AH205" s="33"/>
      <c r="AI205" s="29"/>
      <c r="AJ205" s="32"/>
      <c r="AK205" s="32"/>
      <c r="AL205" s="29"/>
      <c r="AN205" s="34" t="str">
        <f aca="false">IF($B205="","",IF(OR(C205="",D205="",E205="",G205="",I205="",J205="",L205="",O205="",P205=""),"Champ obligatoire manquant",IF(OR(AND(N205&lt;&gt;"",N205&gt;O205),O205&gt;P205,AND(Q205&lt;&gt;"",Q205&lt;P205),AND(R205&lt;&gt;"",R205&lt;P205),AND(S205&lt;&gt;"",S205&lt;R205),AND(S205&lt;&gt;"",R205=""),AND(T205&lt;&gt;"",T205&lt;O205),AND(U205&lt;&gt;"",U205&lt;O205)),"Chronologie incohérente",IF(AND(OR(L205="Résolu",L205="Clos"),R205=""),"Date de résolution manquante",IF(AND(L205="Clos",S205=""),"Date de clôture manquante",IF(AND(K205="Oui",AC205=""),"Classification DORA manquante","OK"))))))</f>
        <v/>
      </c>
      <c r="AO205" s="35" t="str">
        <f aca="false">IF($B205="","",IF(AND(C205="Incident",L205&lt;&gt;"Annulé"),1,0))</f>
        <v/>
      </c>
      <c r="AP205" s="35" t="str">
        <f aca="false">IF($B205="","",IF(AND(C205="Quasi-incident",L205&lt;&gt;"Annulé"),1,0))</f>
        <v/>
      </c>
      <c r="AQ205" s="35" t="str">
        <f aca="false">IF($B205="","",AO205+AP205)</f>
        <v/>
      </c>
      <c r="AR205" s="36" t="str">
        <f aca="false">IF(OR($B205="",J205=""),"",IFERROR(VALUE(LEFT(J205,1)),""))</f>
        <v/>
      </c>
      <c r="AS205" s="35" t="str">
        <f aca="false">IF(OR(AO205&lt;&gt;1,G205=""),"",IFERROR(IF(INDEX(L_SrcInterne,MATCH(G205,L_Sources,0))="Oui",1,0),""))</f>
        <v/>
      </c>
      <c r="AT205" s="37" t="str">
        <f aca="false">IF(AO205&lt;&gt;1,"",IFERROR(ROUND(IF(OR(N205="",O205=""),"",IF(O205&lt;N205,"",ROUND(((NETWORKDAYS(N205,O205,JoursFeries)-1)*(HFer-HOuv)+IF(NETWORKDAYS(O205,O205,JoursFeries),MEDIAN(MOD(O205,1),HFer,HOuv),HFer)-IF(NETWORKDAYS(N205,N205,JoursFeries),MEDIAN(MOD(N205,1),HFer,HOuv),HOuv))*24,4)))/HJour,4),""))</f>
        <v/>
      </c>
      <c r="AU205" s="37" t="str">
        <f aca="false">IF(AO205&lt;&gt;1,"",IF(OR(O205="",P205=""),"",IF(P205&lt;O205,"",ROUND(((NETWORKDAYS(O205,P205,JoursFeries)-1)*(HFer-HOuv)+IF(NETWORKDAYS(P205,P205,JoursFeries),MEDIAN(MOD(P205,1),HFer,HOuv),HFer)-IF(NETWORKDAYS(O205,O205,JoursFeries),MEDIAN(MOD(O205,1),HFer,HOuv),HOuv))*24,4))))</f>
        <v/>
      </c>
      <c r="AV205" s="37" t="str">
        <f aca="false">IF(AO205&lt;&gt;1,"",IF(OR(P205="",Q205=""),"",IF(Q205&lt;P205,"",ROUND(((NETWORKDAYS(P205,Q205,JoursFeries)-1)*(HFer-HOuv)+IF(NETWORKDAYS(Q205,Q205,JoursFeries),MEDIAN(MOD(Q205,1),HFer,HOuv),HFer)-IF(NETWORKDAYS(P205,P205,JoursFeries),MEDIAN(MOD(P205,1),HFer,HOuv),HOuv))*24,4))))</f>
        <v/>
      </c>
      <c r="AW205" s="37" t="str">
        <f aca="false">IF(AO205&lt;&gt;1,"",IFERROR(ROUND(IF(OR(P205="",R205=""),"",IF(R205&lt;P205,"",ROUND(((NETWORKDAYS(P205,R205,JoursFeries)-1)*(HFer-HOuv)+IF(NETWORKDAYS(R205,R205,JoursFeries),MEDIAN(MOD(R205,1),HFer,HOuv),HFer)-IF(NETWORKDAYS(P205,P205,JoursFeries),MEDIAN(MOD(P205,1),HFer,HOuv),HOuv))*24,4)))/HJour,4),""))</f>
        <v/>
      </c>
      <c r="AX205" s="37" t="str">
        <f aca="false">IF(AO205&lt;&gt;1,"",IFERROR(ROUND(IF(OR(P205="",S205=""),"",IF(S205&lt;P205,"",ROUND(((NETWORKDAYS(P205,S205,JoursFeries)-1)*(HFer-HOuv)+IF(NETWORKDAYS(S205,S205,JoursFeries),MEDIAN(MOD(S205,1),HFer,HOuv),HFer)-IF(NETWORKDAYS(P205,P205,JoursFeries),MEDIAN(MOD(P205,1),HFer,HOuv),HOuv))*24,4)))/HJour,4),""))</f>
        <v/>
      </c>
      <c r="AY205" s="36" t="str">
        <f aca="false">IF(OR(AO205&lt;&gt;1,AR205=""),"",INDEX(SLA_PEC,AR205))</f>
        <v/>
      </c>
      <c r="AZ205" s="35" t="str">
        <f aca="false">IF(OR(AV205="",AY205=""),"",IF(AV205&lt;=AY205,1,0))</f>
        <v/>
      </c>
      <c r="BA205" s="36" t="str">
        <f aca="false">IF(OR(AO205&lt;&gt;1,AR205=""),"",INDEX(SLA_RES,AR205))</f>
        <v/>
      </c>
      <c r="BB205" s="35" t="str">
        <f aca="false">IF(OR(AW205="",BA205=""),"",IF(AW205&lt;=BA205,1,0))</f>
        <v/>
      </c>
      <c r="BC205" s="38" t="str">
        <f aca="false">IF(OR(BA205="",P205=""),"",WORKDAY(INT(P205),BA205,JoursFeries)+MOD(P205,1))</f>
        <v/>
      </c>
      <c r="BD205" s="39" t="str">
        <f aca="false">IF(AO205&lt;&gt;1,"",IF(OR(AB205&lt;&gt;"",AD205&lt;&gt;""),4,IF(U205&lt;&gt;"",3,IF(T205&lt;&gt;"",2,1))))</f>
        <v/>
      </c>
      <c r="BE205" s="39" t="str">
        <f aca="false">IF(OR(AO205&lt;&gt;1,AR205=""),"",INDEX(NIV_REQ,AR205))</f>
        <v/>
      </c>
      <c r="BF205" s="39" t="str">
        <f aca="false">IF(BE205="","",MAX(BE205,IF(OR(K205="Oui",Z205="Oui"),4,1)))</f>
        <v/>
      </c>
      <c r="BG205" s="35" t="str">
        <f aca="false">IF(OR(BF205="",BD205=""),"",IF(BD205&gt;=BF205,1,0))</f>
        <v/>
      </c>
      <c r="BH205" s="38" t="str">
        <f aca="false">IF(BE205="","",IF(BE205&lt;2,"",IF(BE205=2,IF(AND(T205="",U205=""),"",MIN(T205,U205)),IF(U205="","",U205))))</f>
        <v/>
      </c>
      <c r="BI205" s="37" t="str">
        <f aca="false">IF(BH205="","",IF(OR(O205="",BH205=""),"",IF(BH205&lt;O205,"",ROUND(((NETWORKDAYS(O205,BH205,JoursFeries)-1)*(HFer-HOuv)+IF(NETWORKDAYS(BH205,BH205,JoursFeries),MEDIAN(MOD(BH205,1),HFer,HOuv),HFer)-IF(NETWORKDAYS(O205,O205,JoursFeries),MEDIAN(MOD(O205,1),HFer,HOuv),HOuv))*24,4))))</f>
        <v/>
      </c>
      <c r="BJ205" s="35" t="str">
        <f aca="false">IF(OR(BI205="",AR205=""),"",IF(BI205&lt;=INDEX(DELAI_ESC,AR205),1,0))</f>
        <v/>
      </c>
      <c r="BK205" s="38" t="str">
        <f aca="false">IF(AO205&lt;&gt;1,"",IF(AND(T205="",U205=""),"",MIN(T205,U205)))</f>
        <v/>
      </c>
      <c r="BL205" s="37" t="str">
        <f aca="false">IF(OR(BK205="",R205=""),"",IFERROR(ROUND(IF(OR(BK205="",R205=""),"",IF(R205&lt;BK205,"",ROUND(((NETWORKDAYS(BK205,R205,JoursFeries)-1)*(HFer-HOuv)+IF(NETWORKDAYS(R205,R205,JoursFeries),MEDIAN(MOD(R205,1),HFer,HOuv),HFer)-IF(NETWORKDAYS(BK205,BK205,JoursFeries),MEDIAN(MOD(BK205,1),HFer,HOuv),HOuv))*24,4)))/HJour,4),""))</f>
        <v/>
      </c>
      <c r="BM205" s="35" t="str">
        <f aca="false">IF(OR(AO205&lt;&gt;1,R205=""),"",IF(BD205=1,1,0))</f>
        <v/>
      </c>
      <c r="BN205" s="35" t="str">
        <f aca="false">IF(AO205&lt;&gt;1,"",IF(W205="Oui",1,0))</f>
        <v/>
      </c>
      <c r="BO205" s="35" t="str">
        <f aca="false">IF(AO205&lt;&gt;1,"",IF(X205&lt;&gt;"",1,0))</f>
        <v/>
      </c>
      <c r="BP205" s="35" t="str">
        <f aca="false">IF(AO205&lt;&gt;1,"",IF(Y205="Oui",1,0))</f>
        <v/>
      </c>
      <c r="BQ205" s="35" t="str">
        <f aca="true">IF(OR(AO205&lt;&gt;1,Z205&lt;&gt;"Oui"),"",IF(AB205="",IF(AND(AA205&lt;&gt;"",NOW()&gt;AA205),0,""),IF(AA205="","",IF(AB205&lt;=AA205,1,0))))</f>
        <v/>
      </c>
      <c r="BR205" s="38" t="str">
        <f aca="false">IF(OR(AO205&lt;&gt;1,K205&lt;&gt;"Oui",O205=""),"",IF(AC205="",O205+DORA_H_DET/24,IF(AC205-O205&lt;=DORA_H_DET/24,MIN(AC205+DORA_H_CLA/24,O205+DORA_H_DET/24),AC205+DORA_H_CLA/24)))</f>
        <v/>
      </c>
      <c r="BS205" s="35" t="str">
        <f aca="true">IF(BR205="","",IF(AD205="",IF(NOW()&gt;BR205,0,""),IF(AD205&lt;=BR205,1,0)))</f>
        <v/>
      </c>
      <c r="BT205" s="35" t="str">
        <f aca="true">IF(OR(BR205="",AD205=""),"",IF(AE205="",IF(NOW()&gt;AD205+DORA_H_INT/24,0,""),IF(AE205&lt;=AD205+DORA_H_INT/24,1,0)))</f>
        <v/>
      </c>
      <c r="BU205" s="35" t="str">
        <f aca="true">IF(OR(BR205="",AE205=""),"",IF(AF205="",IF(NOW()&gt;EDATE(AE205,DORA_M_FIN)+1,0,""),IF(AF205&lt;=EDATE(AE205,DORA_M_FIN),1,0)))</f>
        <v/>
      </c>
      <c r="BV205" s="35" t="str">
        <f aca="false">IF(BR205="","",IF(COUNT(BS205:BU205)=0,"",MIN(BS205:BU205)))</f>
        <v/>
      </c>
      <c r="BW205" s="40" t="str">
        <f aca="false">IF(AQ205&lt;&gt;1,"",IF(AND(AG205="",AH205=""),"",N(AG205)-N(AH205)))</f>
        <v/>
      </c>
      <c r="BX205" s="35" t="str">
        <f aca="true">IF(OR(AQ205&lt;&gt;1,AI205&lt;&gt;"Oui",AJ205=""),"",IF(AK205="",IF(NOW()&gt;AJ205+1,0,""),IF(AK205&lt;=AJ205,1,0)))</f>
        <v/>
      </c>
    </row>
    <row r="206" customFormat="false" ht="15" hidden="false" customHeight="false" outlineLevel="0" collapsed="false">
      <c r="B206" s="29"/>
      <c r="C206" s="29"/>
      <c r="D206" s="29"/>
      <c r="E206" s="29"/>
      <c r="F206" s="29"/>
      <c r="G206" s="29"/>
      <c r="H206" s="29"/>
      <c r="I206" s="29"/>
      <c r="J206" s="29"/>
      <c r="K206" s="29"/>
      <c r="L206" s="29"/>
      <c r="M206" s="29"/>
      <c r="N206" s="30"/>
      <c r="O206" s="30"/>
      <c r="P206" s="30"/>
      <c r="Q206" s="30"/>
      <c r="R206" s="30"/>
      <c r="S206" s="30"/>
      <c r="T206" s="30"/>
      <c r="U206" s="30"/>
      <c r="V206" s="31"/>
      <c r="W206" s="29"/>
      <c r="X206" s="29"/>
      <c r="Y206" s="29"/>
      <c r="Z206" s="29"/>
      <c r="AA206" s="30"/>
      <c r="AB206" s="30"/>
      <c r="AC206" s="30"/>
      <c r="AD206" s="30"/>
      <c r="AE206" s="30"/>
      <c r="AF206" s="32"/>
      <c r="AG206" s="33"/>
      <c r="AH206" s="33"/>
      <c r="AI206" s="29"/>
      <c r="AJ206" s="32"/>
      <c r="AK206" s="32"/>
      <c r="AL206" s="29"/>
      <c r="AN206" s="34" t="str">
        <f aca="false">IF($B206="","",IF(OR(C206="",D206="",E206="",G206="",I206="",J206="",L206="",O206="",P206=""),"Champ obligatoire manquant",IF(OR(AND(N206&lt;&gt;"",N206&gt;O206),O206&gt;P206,AND(Q206&lt;&gt;"",Q206&lt;P206),AND(R206&lt;&gt;"",R206&lt;P206),AND(S206&lt;&gt;"",S206&lt;R206),AND(S206&lt;&gt;"",R206=""),AND(T206&lt;&gt;"",T206&lt;O206),AND(U206&lt;&gt;"",U206&lt;O206)),"Chronologie incohérente",IF(AND(OR(L206="Résolu",L206="Clos"),R206=""),"Date de résolution manquante",IF(AND(L206="Clos",S206=""),"Date de clôture manquante",IF(AND(K206="Oui",AC206=""),"Classification DORA manquante","OK"))))))</f>
        <v/>
      </c>
      <c r="AO206" s="35" t="str">
        <f aca="false">IF($B206="","",IF(AND(C206="Incident",L206&lt;&gt;"Annulé"),1,0))</f>
        <v/>
      </c>
      <c r="AP206" s="35" t="str">
        <f aca="false">IF($B206="","",IF(AND(C206="Quasi-incident",L206&lt;&gt;"Annulé"),1,0))</f>
        <v/>
      </c>
      <c r="AQ206" s="35" t="str">
        <f aca="false">IF($B206="","",AO206+AP206)</f>
        <v/>
      </c>
      <c r="AR206" s="36" t="str">
        <f aca="false">IF(OR($B206="",J206=""),"",IFERROR(VALUE(LEFT(J206,1)),""))</f>
        <v/>
      </c>
      <c r="AS206" s="35" t="str">
        <f aca="false">IF(OR(AO206&lt;&gt;1,G206=""),"",IFERROR(IF(INDEX(L_SrcInterne,MATCH(G206,L_Sources,0))="Oui",1,0),""))</f>
        <v/>
      </c>
      <c r="AT206" s="37" t="str">
        <f aca="false">IF(AO206&lt;&gt;1,"",IFERROR(ROUND(IF(OR(N206="",O206=""),"",IF(O206&lt;N206,"",ROUND(((NETWORKDAYS(N206,O206,JoursFeries)-1)*(HFer-HOuv)+IF(NETWORKDAYS(O206,O206,JoursFeries),MEDIAN(MOD(O206,1),HFer,HOuv),HFer)-IF(NETWORKDAYS(N206,N206,JoursFeries),MEDIAN(MOD(N206,1),HFer,HOuv),HOuv))*24,4)))/HJour,4),""))</f>
        <v/>
      </c>
      <c r="AU206" s="37" t="str">
        <f aca="false">IF(AO206&lt;&gt;1,"",IF(OR(O206="",P206=""),"",IF(P206&lt;O206,"",ROUND(((NETWORKDAYS(O206,P206,JoursFeries)-1)*(HFer-HOuv)+IF(NETWORKDAYS(P206,P206,JoursFeries),MEDIAN(MOD(P206,1),HFer,HOuv),HFer)-IF(NETWORKDAYS(O206,O206,JoursFeries),MEDIAN(MOD(O206,1),HFer,HOuv),HOuv))*24,4))))</f>
        <v/>
      </c>
      <c r="AV206" s="37" t="str">
        <f aca="false">IF(AO206&lt;&gt;1,"",IF(OR(P206="",Q206=""),"",IF(Q206&lt;P206,"",ROUND(((NETWORKDAYS(P206,Q206,JoursFeries)-1)*(HFer-HOuv)+IF(NETWORKDAYS(Q206,Q206,JoursFeries),MEDIAN(MOD(Q206,1),HFer,HOuv),HFer)-IF(NETWORKDAYS(P206,P206,JoursFeries),MEDIAN(MOD(P206,1),HFer,HOuv),HOuv))*24,4))))</f>
        <v/>
      </c>
      <c r="AW206" s="37" t="str">
        <f aca="false">IF(AO206&lt;&gt;1,"",IFERROR(ROUND(IF(OR(P206="",R206=""),"",IF(R206&lt;P206,"",ROUND(((NETWORKDAYS(P206,R206,JoursFeries)-1)*(HFer-HOuv)+IF(NETWORKDAYS(R206,R206,JoursFeries),MEDIAN(MOD(R206,1),HFer,HOuv),HFer)-IF(NETWORKDAYS(P206,P206,JoursFeries),MEDIAN(MOD(P206,1),HFer,HOuv),HOuv))*24,4)))/HJour,4),""))</f>
        <v/>
      </c>
      <c r="AX206" s="37" t="str">
        <f aca="false">IF(AO206&lt;&gt;1,"",IFERROR(ROUND(IF(OR(P206="",S206=""),"",IF(S206&lt;P206,"",ROUND(((NETWORKDAYS(P206,S206,JoursFeries)-1)*(HFer-HOuv)+IF(NETWORKDAYS(S206,S206,JoursFeries),MEDIAN(MOD(S206,1),HFer,HOuv),HFer)-IF(NETWORKDAYS(P206,P206,JoursFeries),MEDIAN(MOD(P206,1),HFer,HOuv),HOuv))*24,4)))/HJour,4),""))</f>
        <v/>
      </c>
      <c r="AY206" s="36" t="str">
        <f aca="false">IF(OR(AO206&lt;&gt;1,AR206=""),"",INDEX(SLA_PEC,AR206))</f>
        <v/>
      </c>
      <c r="AZ206" s="35" t="str">
        <f aca="false">IF(OR(AV206="",AY206=""),"",IF(AV206&lt;=AY206,1,0))</f>
        <v/>
      </c>
      <c r="BA206" s="36" t="str">
        <f aca="false">IF(OR(AO206&lt;&gt;1,AR206=""),"",INDEX(SLA_RES,AR206))</f>
        <v/>
      </c>
      <c r="BB206" s="35" t="str">
        <f aca="false">IF(OR(AW206="",BA206=""),"",IF(AW206&lt;=BA206,1,0))</f>
        <v/>
      </c>
      <c r="BC206" s="38" t="str">
        <f aca="false">IF(OR(BA206="",P206=""),"",WORKDAY(INT(P206),BA206,JoursFeries)+MOD(P206,1))</f>
        <v/>
      </c>
      <c r="BD206" s="39" t="str">
        <f aca="false">IF(AO206&lt;&gt;1,"",IF(OR(AB206&lt;&gt;"",AD206&lt;&gt;""),4,IF(U206&lt;&gt;"",3,IF(T206&lt;&gt;"",2,1))))</f>
        <v/>
      </c>
      <c r="BE206" s="39" t="str">
        <f aca="false">IF(OR(AO206&lt;&gt;1,AR206=""),"",INDEX(NIV_REQ,AR206))</f>
        <v/>
      </c>
      <c r="BF206" s="39" t="str">
        <f aca="false">IF(BE206="","",MAX(BE206,IF(OR(K206="Oui",Z206="Oui"),4,1)))</f>
        <v/>
      </c>
      <c r="BG206" s="35" t="str">
        <f aca="false">IF(OR(BF206="",BD206=""),"",IF(BD206&gt;=BF206,1,0))</f>
        <v/>
      </c>
      <c r="BH206" s="38" t="str">
        <f aca="false">IF(BE206="","",IF(BE206&lt;2,"",IF(BE206=2,IF(AND(T206="",U206=""),"",MIN(T206,U206)),IF(U206="","",U206))))</f>
        <v/>
      </c>
      <c r="BI206" s="37" t="str">
        <f aca="false">IF(BH206="","",IF(OR(O206="",BH206=""),"",IF(BH206&lt;O206,"",ROUND(((NETWORKDAYS(O206,BH206,JoursFeries)-1)*(HFer-HOuv)+IF(NETWORKDAYS(BH206,BH206,JoursFeries),MEDIAN(MOD(BH206,1),HFer,HOuv),HFer)-IF(NETWORKDAYS(O206,O206,JoursFeries),MEDIAN(MOD(O206,1),HFer,HOuv),HOuv))*24,4))))</f>
        <v/>
      </c>
      <c r="BJ206" s="35" t="str">
        <f aca="false">IF(OR(BI206="",AR206=""),"",IF(BI206&lt;=INDEX(DELAI_ESC,AR206),1,0))</f>
        <v/>
      </c>
      <c r="BK206" s="38" t="str">
        <f aca="false">IF(AO206&lt;&gt;1,"",IF(AND(T206="",U206=""),"",MIN(T206,U206)))</f>
        <v/>
      </c>
      <c r="BL206" s="37" t="str">
        <f aca="false">IF(OR(BK206="",R206=""),"",IFERROR(ROUND(IF(OR(BK206="",R206=""),"",IF(R206&lt;BK206,"",ROUND(((NETWORKDAYS(BK206,R206,JoursFeries)-1)*(HFer-HOuv)+IF(NETWORKDAYS(R206,R206,JoursFeries),MEDIAN(MOD(R206,1),HFer,HOuv),HFer)-IF(NETWORKDAYS(BK206,BK206,JoursFeries),MEDIAN(MOD(BK206,1),HFer,HOuv),HOuv))*24,4)))/HJour,4),""))</f>
        <v/>
      </c>
      <c r="BM206" s="35" t="str">
        <f aca="false">IF(OR(AO206&lt;&gt;1,R206=""),"",IF(BD206=1,1,0))</f>
        <v/>
      </c>
      <c r="BN206" s="35" t="str">
        <f aca="false">IF(AO206&lt;&gt;1,"",IF(W206="Oui",1,0))</f>
        <v/>
      </c>
      <c r="BO206" s="35" t="str">
        <f aca="false">IF(AO206&lt;&gt;1,"",IF(X206&lt;&gt;"",1,0))</f>
        <v/>
      </c>
      <c r="BP206" s="35" t="str">
        <f aca="false">IF(AO206&lt;&gt;1,"",IF(Y206="Oui",1,0))</f>
        <v/>
      </c>
      <c r="BQ206" s="35" t="str">
        <f aca="true">IF(OR(AO206&lt;&gt;1,Z206&lt;&gt;"Oui"),"",IF(AB206="",IF(AND(AA206&lt;&gt;"",NOW()&gt;AA206),0,""),IF(AA206="","",IF(AB206&lt;=AA206,1,0))))</f>
        <v/>
      </c>
      <c r="BR206" s="38" t="str">
        <f aca="false">IF(OR(AO206&lt;&gt;1,K206&lt;&gt;"Oui",O206=""),"",IF(AC206="",O206+DORA_H_DET/24,IF(AC206-O206&lt;=DORA_H_DET/24,MIN(AC206+DORA_H_CLA/24,O206+DORA_H_DET/24),AC206+DORA_H_CLA/24)))</f>
        <v/>
      </c>
      <c r="BS206" s="35" t="str">
        <f aca="true">IF(BR206="","",IF(AD206="",IF(NOW()&gt;BR206,0,""),IF(AD206&lt;=BR206,1,0)))</f>
        <v/>
      </c>
      <c r="BT206" s="35" t="str">
        <f aca="true">IF(OR(BR206="",AD206=""),"",IF(AE206="",IF(NOW()&gt;AD206+DORA_H_INT/24,0,""),IF(AE206&lt;=AD206+DORA_H_INT/24,1,0)))</f>
        <v/>
      </c>
      <c r="BU206" s="35" t="str">
        <f aca="true">IF(OR(BR206="",AE206=""),"",IF(AF206="",IF(NOW()&gt;EDATE(AE206,DORA_M_FIN)+1,0,""),IF(AF206&lt;=EDATE(AE206,DORA_M_FIN),1,0)))</f>
        <v/>
      </c>
      <c r="BV206" s="35" t="str">
        <f aca="false">IF(BR206="","",IF(COUNT(BS206:BU206)=0,"",MIN(BS206:BU206)))</f>
        <v/>
      </c>
      <c r="BW206" s="40" t="str">
        <f aca="false">IF(AQ206&lt;&gt;1,"",IF(AND(AG206="",AH206=""),"",N(AG206)-N(AH206)))</f>
        <v/>
      </c>
      <c r="BX206" s="35" t="str">
        <f aca="true">IF(OR(AQ206&lt;&gt;1,AI206&lt;&gt;"Oui",AJ206=""),"",IF(AK206="",IF(NOW()&gt;AJ206+1,0,""),IF(AK206&lt;=AJ206,1,0)))</f>
        <v/>
      </c>
    </row>
    <row r="207" customFormat="false" ht="15" hidden="false" customHeight="false" outlineLevel="0" collapsed="false">
      <c r="B207" s="29"/>
      <c r="C207" s="29"/>
      <c r="D207" s="29"/>
      <c r="E207" s="29"/>
      <c r="F207" s="29"/>
      <c r="G207" s="29"/>
      <c r="H207" s="29"/>
      <c r="I207" s="29"/>
      <c r="J207" s="29"/>
      <c r="K207" s="29"/>
      <c r="L207" s="29"/>
      <c r="M207" s="29"/>
      <c r="N207" s="30"/>
      <c r="O207" s="30"/>
      <c r="P207" s="30"/>
      <c r="Q207" s="30"/>
      <c r="R207" s="30"/>
      <c r="S207" s="30"/>
      <c r="T207" s="30"/>
      <c r="U207" s="30"/>
      <c r="V207" s="31"/>
      <c r="W207" s="29"/>
      <c r="X207" s="29"/>
      <c r="Y207" s="29"/>
      <c r="Z207" s="29"/>
      <c r="AA207" s="30"/>
      <c r="AB207" s="30"/>
      <c r="AC207" s="30"/>
      <c r="AD207" s="30"/>
      <c r="AE207" s="30"/>
      <c r="AF207" s="32"/>
      <c r="AG207" s="33"/>
      <c r="AH207" s="33"/>
      <c r="AI207" s="29"/>
      <c r="AJ207" s="32"/>
      <c r="AK207" s="32"/>
      <c r="AL207" s="29"/>
      <c r="AN207" s="34" t="str">
        <f aca="false">IF($B207="","",IF(OR(C207="",D207="",E207="",G207="",I207="",J207="",L207="",O207="",P207=""),"Champ obligatoire manquant",IF(OR(AND(N207&lt;&gt;"",N207&gt;O207),O207&gt;P207,AND(Q207&lt;&gt;"",Q207&lt;P207),AND(R207&lt;&gt;"",R207&lt;P207),AND(S207&lt;&gt;"",S207&lt;R207),AND(S207&lt;&gt;"",R207=""),AND(T207&lt;&gt;"",T207&lt;O207),AND(U207&lt;&gt;"",U207&lt;O207)),"Chronologie incohérente",IF(AND(OR(L207="Résolu",L207="Clos"),R207=""),"Date de résolution manquante",IF(AND(L207="Clos",S207=""),"Date de clôture manquante",IF(AND(K207="Oui",AC207=""),"Classification DORA manquante","OK"))))))</f>
        <v/>
      </c>
      <c r="AO207" s="35" t="str">
        <f aca="false">IF($B207="","",IF(AND(C207="Incident",L207&lt;&gt;"Annulé"),1,0))</f>
        <v/>
      </c>
      <c r="AP207" s="35" t="str">
        <f aca="false">IF($B207="","",IF(AND(C207="Quasi-incident",L207&lt;&gt;"Annulé"),1,0))</f>
        <v/>
      </c>
      <c r="AQ207" s="35" t="str">
        <f aca="false">IF($B207="","",AO207+AP207)</f>
        <v/>
      </c>
      <c r="AR207" s="36" t="str">
        <f aca="false">IF(OR($B207="",J207=""),"",IFERROR(VALUE(LEFT(J207,1)),""))</f>
        <v/>
      </c>
      <c r="AS207" s="35" t="str">
        <f aca="false">IF(OR(AO207&lt;&gt;1,G207=""),"",IFERROR(IF(INDEX(L_SrcInterne,MATCH(G207,L_Sources,0))="Oui",1,0),""))</f>
        <v/>
      </c>
      <c r="AT207" s="37" t="str">
        <f aca="false">IF(AO207&lt;&gt;1,"",IFERROR(ROUND(IF(OR(N207="",O207=""),"",IF(O207&lt;N207,"",ROUND(((NETWORKDAYS(N207,O207,JoursFeries)-1)*(HFer-HOuv)+IF(NETWORKDAYS(O207,O207,JoursFeries),MEDIAN(MOD(O207,1),HFer,HOuv),HFer)-IF(NETWORKDAYS(N207,N207,JoursFeries),MEDIAN(MOD(N207,1),HFer,HOuv),HOuv))*24,4)))/HJour,4),""))</f>
        <v/>
      </c>
      <c r="AU207" s="37" t="str">
        <f aca="false">IF(AO207&lt;&gt;1,"",IF(OR(O207="",P207=""),"",IF(P207&lt;O207,"",ROUND(((NETWORKDAYS(O207,P207,JoursFeries)-1)*(HFer-HOuv)+IF(NETWORKDAYS(P207,P207,JoursFeries),MEDIAN(MOD(P207,1),HFer,HOuv),HFer)-IF(NETWORKDAYS(O207,O207,JoursFeries),MEDIAN(MOD(O207,1),HFer,HOuv),HOuv))*24,4))))</f>
        <v/>
      </c>
      <c r="AV207" s="37" t="str">
        <f aca="false">IF(AO207&lt;&gt;1,"",IF(OR(P207="",Q207=""),"",IF(Q207&lt;P207,"",ROUND(((NETWORKDAYS(P207,Q207,JoursFeries)-1)*(HFer-HOuv)+IF(NETWORKDAYS(Q207,Q207,JoursFeries),MEDIAN(MOD(Q207,1),HFer,HOuv),HFer)-IF(NETWORKDAYS(P207,P207,JoursFeries),MEDIAN(MOD(P207,1),HFer,HOuv),HOuv))*24,4))))</f>
        <v/>
      </c>
      <c r="AW207" s="37" t="str">
        <f aca="false">IF(AO207&lt;&gt;1,"",IFERROR(ROUND(IF(OR(P207="",R207=""),"",IF(R207&lt;P207,"",ROUND(((NETWORKDAYS(P207,R207,JoursFeries)-1)*(HFer-HOuv)+IF(NETWORKDAYS(R207,R207,JoursFeries),MEDIAN(MOD(R207,1),HFer,HOuv),HFer)-IF(NETWORKDAYS(P207,P207,JoursFeries),MEDIAN(MOD(P207,1),HFer,HOuv),HOuv))*24,4)))/HJour,4),""))</f>
        <v/>
      </c>
      <c r="AX207" s="37" t="str">
        <f aca="false">IF(AO207&lt;&gt;1,"",IFERROR(ROUND(IF(OR(P207="",S207=""),"",IF(S207&lt;P207,"",ROUND(((NETWORKDAYS(P207,S207,JoursFeries)-1)*(HFer-HOuv)+IF(NETWORKDAYS(S207,S207,JoursFeries),MEDIAN(MOD(S207,1),HFer,HOuv),HFer)-IF(NETWORKDAYS(P207,P207,JoursFeries),MEDIAN(MOD(P207,1),HFer,HOuv),HOuv))*24,4)))/HJour,4),""))</f>
        <v/>
      </c>
      <c r="AY207" s="36" t="str">
        <f aca="false">IF(OR(AO207&lt;&gt;1,AR207=""),"",INDEX(SLA_PEC,AR207))</f>
        <v/>
      </c>
      <c r="AZ207" s="35" t="str">
        <f aca="false">IF(OR(AV207="",AY207=""),"",IF(AV207&lt;=AY207,1,0))</f>
        <v/>
      </c>
      <c r="BA207" s="36" t="str">
        <f aca="false">IF(OR(AO207&lt;&gt;1,AR207=""),"",INDEX(SLA_RES,AR207))</f>
        <v/>
      </c>
      <c r="BB207" s="35" t="str">
        <f aca="false">IF(OR(AW207="",BA207=""),"",IF(AW207&lt;=BA207,1,0))</f>
        <v/>
      </c>
      <c r="BC207" s="38" t="str">
        <f aca="false">IF(OR(BA207="",P207=""),"",WORKDAY(INT(P207),BA207,JoursFeries)+MOD(P207,1))</f>
        <v/>
      </c>
      <c r="BD207" s="39" t="str">
        <f aca="false">IF(AO207&lt;&gt;1,"",IF(OR(AB207&lt;&gt;"",AD207&lt;&gt;""),4,IF(U207&lt;&gt;"",3,IF(T207&lt;&gt;"",2,1))))</f>
        <v/>
      </c>
      <c r="BE207" s="39" t="str">
        <f aca="false">IF(OR(AO207&lt;&gt;1,AR207=""),"",INDEX(NIV_REQ,AR207))</f>
        <v/>
      </c>
      <c r="BF207" s="39" t="str">
        <f aca="false">IF(BE207="","",MAX(BE207,IF(OR(K207="Oui",Z207="Oui"),4,1)))</f>
        <v/>
      </c>
      <c r="BG207" s="35" t="str">
        <f aca="false">IF(OR(BF207="",BD207=""),"",IF(BD207&gt;=BF207,1,0))</f>
        <v/>
      </c>
      <c r="BH207" s="38" t="str">
        <f aca="false">IF(BE207="","",IF(BE207&lt;2,"",IF(BE207=2,IF(AND(T207="",U207=""),"",MIN(T207,U207)),IF(U207="","",U207))))</f>
        <v/>
      </c>
      <c r="BI207" s="37" t="str">
        <f aca="false">IF(BH207="","",IF(OR(O207="",BH207=""),"",IF(BH207&lt;O207,"",ROUND(((NETWORKDAYS(O207,BH207,JoursFeries)-1)*(HFer-HOuv)+IF(NETWORKDAYS(BH207,BH207,JoursFeries),MEDIAN(MOD(BH207,1),HFer,HOuv),HFer)-IF(NETWORKDAYS(O207,O207,JoursFeries),MEDIAN(MOD(O207,1),HFer,HOuv),HOuv))*24,4))))</f>
        <v/>
      </c>
      <c r="BJ207" s="35" t="str">
        <f aca="false">IF(OR(BI207="",AR207=""),"",IF(BI207&lt;=INDEX(DELAI_ESC,AR207),1,0))</f>
        <v/>
      </c>
      <c r="BK207" s="38" t="str">
        <f aca="false">IF(AO207&lt;&gt;1,"",IF(AND(T207="",U207=""),"",MIN(T207,U207)))</f>
        <v/>
      </c>
      <c r="BL207" s="37" t="str">
        <f aca="false">IF(OR(BK207="",R207=""),"",IFERROR(ROUND(IF(OR(BK207="",R207=""),"",IF(R207&lt;BK207,"",ROUND(((NETWORKDAYS(BK207,R207,JoursFeries)-1)*(HFer-HOuv)+IF(NETWORKDAYS(R207,R207,JoursFeries),MEDIAN(MOD(R207,1),HFer,HOuv),HFer)-IF(NETWORKDAYS(BK207,BK207,JoursFeries),MEDIAN(MOD(BK207,1),HFer,HOuv),HOuv))*24,4)))/HJour,4),""))</f>
        <v/>
      </c>
      <c r="BM207" s="35" t="str">
        <f aca="false">IF(OR(AO207&lt;&gt;1,R207=""),"",IF(BD207=1,1,0))</f>
        <v/>
      </c>
      <c r="BN207" s="35" t="str">
        <f aca="false">IF(AO207&lt;&gt;1,"",IF(W207="Oui",1,0))</f>
        <v/>
      </c>
      <c r="BO207" s="35" t="str">
        <f aca="false">IF(AO207&lt;&gt;1,"",IF(X207&lt;&gt;"",1,0))</f>
        <v/>
      </c>
      <c r="BP207" s="35" t="str">
        <f aca="false">IF(AO207&lt;&gt;1,"",IF(Y207="Oui",1,0))</f>
        <v/>
      </c>
      <c r="BQ207" s="35" t="str">
        <f aca="true">IF(OR(AO207&lt;&gt;1,Z207&lt;&gt;"Oui"),"",IF(AB207="",IF(AND(AA207&lt;&gt;"",NOW()&gt;AA207),0,""),IF(AA207="","",IF(AB207&lt;=AA207,1,0))))</f>
        <v/>
      </c>
      <c r="BR207" s="38" t="str">
        <f aca="false">IF(OR(AO207&lt;&gt;1,K207&lt;&gt;"Oui",O207=""),"",IF(AC207="",O207+DORA_H_DET/24,IF(AC207-O207&lt;=DORA_H_DET/24,MIN(AC207+DORA_H_CLA/24,O207+DORA_H_DET/24),AC207+DORA_H_CLA/24)))</f>
        <v/>
      </c>
      <c r="BS207" s="35" t="str">
        <f aca="true">IF(BR207="","",IF(AD207="",IF(NOW()&gt;BR207,0,""),IF(AD207&lt;=BR207,1,0)))</f>
        <v/>
      </c>
      <c r="BT207" s="35" t="str">
        <f aca="true">IF(OR(BR207="",AD207=""),"",IF(AE207="",IF(NOW()&gt;AD207+DORA_H_INT/24,0,""),IF(AE207&lt;=AD207+DORA_H_INT/24,1,0)))</f>
        <v/>
      </c>
      <c r="BU207" s="35" t="str">
        <f aca="true">IF(OR(BR207="",AE207=""),"",IF(AF207="",IF(NOW()&gt;EDATE(AE207,DORA_M_FIN)+1,0,""),IF(AF207&lt;=EDATE(AE207,DORA_M_FIN),1,0)))</f>
        <v/>
      </c>
      <c r="BV207" s="35" t="str">
        <f aca="false">IF(BR207="","",IF(COUNT(BS207:BU207)=0,"",MIN(BS207:BU207)))</f>
        <v/>
      </c>
      <c r="BW207" s="40" t="str">
        <f aca="false">IF(AQ207&lt;&gt;1,"",IF(AND(AG207="",AH207=""),"",N(AG207)-N(AH207)))</f>
        <v/>
      </c>
      <c r="BX207" s="35" t="str">
        <f aca="true">IF(OR(AQ207&lt;&gt;1,AI207&lt;&gt;"Oui",AJ207=""),"",IF(AK207="",IF(NOW()&gt;AJ207+1,0,""),IF(AK207&lt;=AJ207,1,0)))</f>
        <v/>
      </c>
    </row>
    <row r="208" customFormat="false" ht="15" hidden="false" customHeight="false" outlineLevel="0" collapsed="false">
      <c r="B208" s="29"/>
      <c r="C208" s="29"/>
      <c r="D208" s="29"/>
      <c r="E208" s="29"/>
      <c r="F208" s="29"/>
      <c r="G208" s="29"/>
      <c r="H208" s="29"/>
      <c r="I208" s="29"/>
      <c r="J208" s="29"/>
      <c r="K208" s="29"/>
      <c r="L208" s="29"/>
      <c r="M208" s="29"/>
      <c r="N208" s="30"/>
      <c r="O208" s="30"/>
      <c r="P208" s="30"/>
      <c r="Q208" s="30"/>
      <c r="R208" s="30"/>
      <c r="S208" s="30"/>
      <c r="T208" s="30"/>
      <c r="U208" s="30"/>
      <c r="V208" s="31"/>
      <c r="W208" s="29"/>
      <c r="X208" s="29"/>
      <c r="Y208" s="29"/>
      <c r="Z208" s="29"/>
      <c r="AA208" s="30"/>
      <c r="AB208" s="30"/>
      <c r="AC208" s="30"/>
      <c r="AD208" s="30"/>
      <c r="AE208" s="30"/>
      <c r="AF208" s="32"/>
      <c r="AG208" s="33"/>
      <c r="AH208" s="33"/>
      <c r="AI208" s="29"/>
      <c r="AJ208" s="32"/>
      <c r="AK208" s="32"/>
      <c r="AL208" s="29"/>
      <c r="AN208" s="34" t="str">
        <f aca="false">IF($B208="","",IF(OR(C208="",D208="",E208="",G208="",I208="",J208="",L208="",O208="",P208=""),"Champ obligatoire manquant",IF(OR(AND(N208&lt;&gt;"",N208&gt;O208),O208&gt;P208,AND(Q208&lt;&gt;"",Q208&lt;P208),AND(R208&lt;&gt;"",R208&lt;P208),AND(S208&lt;&gt;"",S208&lt;R208),AND(S208&lt;&gt;"",R208=""),AND(T208&lt;&gt;"",T208&lt;O208),AND(U208&lt;&gt;"",U208&lt;O208)),"Chronologie incohérente",IF(AND(OR(L208="Résolu",L208="Clos"),R208=""),"Date de résolution manquante",IF(AND(L208="Clos",S208=""),"Date de clôture manquante",IF(AND(K208="Oui",AC208=""),"Classification DORA manquante","OK"))))))</f>
        <v/>
      </c>
      <c r="AO208" s="35" t="str">
        <f aca="false">IF($B208="","",IF(AND(C208="Incident",L208&lt;&gt;"Annulé"),1,0))</f>
        <v/>
      </c>
      <c r="AP208" s="35" t="str">
        <f aca="false">IF($B208="","",IF(AND(C208="Quasi-incident",L208&lt;&gt;"Annulé"),1,0))</f>
        <v/>
      </c>
      <c r="AQ208" s="35" t="str">
        <f aca="false">IF($B208="","",AO208+AP208)</f>
        <v/>
      </c>
      <c r="AR208" s="36" t="str">
        <f aca="false">IF(OR($B208="",J208=""),"",IFERROR(VALUE(LEFT(J208,1)),""))</f>
        <v/>
      </c>
      <c r="AS208" s="35" t="str">
        <f aca="false">IF(OR(AO208&lt;&gt;1,G208=""),"",IFERROR(IF(INDEX(L_SrcInterne,MATCH(G208,L_Sources,0))="Oui",1,0),""))</f>
        <v/>
      </c>
      <c r="AT208" s="37" t="str">
        <f aca="false">IF(AO208&lt;&gt;1,"",IFERROR(ROUND(IF(OR(N208="",O208=""),"",IF(O208&lt;N208,"",ROUND(((NETWORKDAYS(N208,O208,JoursFeries)-1)*(HFer-HOuv)+IF(NETWORKDAYS(O208,O208,JoursFeries),MEDIAN(MOD(O208,1),HFer,HOuv),HFer)-IF(NETWORKDAYS(N208,N208,JoursFeries),MEDIAN(MOD(N208,1),HFer,HOuv),HOuv))*24,4)))/HJour,4),""))</f>
        <v/>
      </c>
      <c r="AU208" s="37" t="str">
        <f aca="false">IF(AO208&lt;&gt;1,"",IF(OR(O208="",P208=""),"",IF(P208&lt;O208,"",ROUND(((NETWORKDAYS(O208,P208,JoursFeries)-1)*(HFer-HOuv)+IF(NETWORKDAYS(P208,P208,JoursFeries),MEDIAN(MOD(P208,1),HFer,HOuv),HFer)-IF(NETWORKDAYS(O208,O208,JoursFeries),MEDIAN(MOD(O208,1),HFer,HOuv),HOuv))*24,4))))</f>
        <v/>
      </c>
      <c r="AV208" s="37" t="str">
        <f aca="false">IF(AO208&lt;&gt;1,"",IF(OR(P208="",Q208=""),"",IF(Q208&lt;P208,"",ROUND(((NETWORKDAYS(P208,Q208,JoursFeries)-1)*(HFer-HOuv)+IF(NETWORKDAYS(Q208,Q208,JoursFeries),MEDIAN(MOD(Q208,1),HFer,HOuv),HFer)-IF(NETWORKDAYS(P208,P208,JoursFeries),MEDIAN(MOD(P208,1),HFer,HOuv),HOuv))*24,4))))</f>
        <v/>
      </c>
      <c r="AW208" s="37" t="str">
        <f aca="false">IF(AO208&lt;&gt;1,"",IFERROR(ROUND(IF(OR(P208="",R208=""),"",IF(R208&lt;P208,"",ROUND(((NETWORKDAYS(P208,R208,JoursFeries)-1)*(HFer-HOuv)+IF(NETWORKDAYS(R208,R208,JoursFeries),MEDIAN(MOD(R208,1),HFer,HOuv),HFer)-IF(NETWORKDAYS(P208,P208,JoursFeries),MEDIAN(MOD(P208,1),HFer,HOuv),HOuv))*24,4)))/HJour,4),""))</f>
        <v/>
      </c>
      <c r="AX208" s="37" t="str">
        <f aca="false">IF(AO208&lt;&gt;1,"",IFERROR(ROUND(IF(OR(P208="",S208=""),"",IF(S208&lt;P208,"",ROUND(((NETWORKDAYS(P208,S208,JoursFeries)-1)*(HFer-HOuv)+IF(NETWORKDAYS(S208,S208,JoursFeries),MEDIAN(MOD(S208,1),HFer,HOuv),HFer)-IF(NETWORKDAYS(P208,P208,JoursFeries),MEDIAN(MOD(P208,1),HFer,HOuv),HOuv))*24,4)))/HJour,4),""))</f>
        <v/>
      </c>
      <c r="AY208" s="36" t="str">
        <f aca="false">IF(OR(AO208&lt;&gt;1,AR208=""),"",INDEX(SLA_PEC,AR208))</f>
        <v/>
      </c>
      <c r="AZ208" s="35" t="str">
        <f aca="false">IF(OR(AV208="",AY208=""),"",IF(AV208&lt;=AY208,1,0))</f>
        <v/>
      </c>
      <c r="BA208" s="36" t="str">
        <f aca="false">IF(OR(AO208&lt;&gt;1,AR208=""),"",INDEX(SLA_RES,AR208))</f>
        <v/>
      </c>
      <c r="BB208" s="35" t="str">
        <f aca="false">IF(OR(AW208="",BA208=""),"",IF(AW208&lt;=BA208,1,0))</f>
        <v/>
      </c>
      <c r="BC208" s="38" t="str">
        <f aca="false">IF(OR(BA208="",P208=""),"",WORKDAY(INT(P208),BA208,JoursFeries)+MOD(P208,1))</f>
        <v/>
      </c>
      <c r="BD208" s="39" t="str">
        <f aca="false">IF(AO208&lt;&gt;1,"",IF(OR(AB208&lt;&gt;"",AD208&lt;&gt;""),4,IF(U208&lt;&gt;"",3,IF(T208&lt;&gt;"",2,1))))</f>
        <v/>
      </c>
      <c r="BE208" s="39" t="str">
        <f aca="false">IF(OR(AO208&lt;&gt;1,AR208=""),"",INDEX(NIV_REQ,AR208))</f>
        <v/>
      </c>
      <c r="BF208" s="39" t="str">
        <f aca="false">IF(BE208="","",MAX(BE208,IF(OR(K208="Oui",Z208="Oui"),4,1)))</f>
        <v/>
      </c>
      <c r="BG208" s="35" t="str">
        <f aca="false">IF(OR(BF208="",BD208=""),"",IF(BD208&gt;=BF208,1,0))</f>
        <v/>
      </c>
      <c r="BH208" s="38" t="str">
        <f aca="false">IF(BE208="","",IF(BE208&lt;2,"",IF(BE208=2,IF(AND(T208="",U208=""),"",MIN(T208,U208)),IF(U208="","",U208))))</f>
        <v/>
      </c>
      <c r="BI208" s="37" t="str">
        <f aca="false">IF(BH208="","",IF(OR(O208="",BH208=""),"",IF(BH208&lt;O208,"",ROUND(((NETWORKDAYS(O208,BH208,JoursFeries)-1)*(HFer-HOuv)+IF(NETWORKDAYS(BH208,BH208,JoursFeries),MEDIAN(MOD(BH208,1),HFer,HOuv),HFer)-IF(NETWORKDAYS(O208,O208,JoursFeries),MEDIAN(MOD(O208,1),HFer,HOuv),HOuv))*24,4))))</f>
        <v/>
      </c>
      <c r="BJ208" s="35" t="str">
        <f aca="false">IF(OR(BI208="",AR208=""),"",IF(BI208&lt;=INDEX(DELAI_ESC,AR208),1,0))</f>
        <v/>
      </c>
      <c r="BK208" s="38" t="str">
        <f aca="false">IF(AO208&lt;&gt;1,"",IF(AND(T208="",U208=""),"",MIN(T208,U208)))</f>
        <v/>
      </c>
      <c r="BL208" s="37" t="str">
        <f aca="false">IF(OR(BK208="",R208=""),"",IFERROR(ROUND(IF(OR(BK208="",R208=""),"",IF(R208&lt;BK208,"",ROUND(((NETWORKDAYS(BK208,R208,JoursFeries)-1)*(HFer-HOuv)+IF(NETWORKDAYS(R208,R208,JoursFeries),MEDIAN(MOD(R208,1),HFer,HOuv),HFer)-IF(NETWORKDAYS(BK208,BK208,JoursFeries),MEDIAN(MOD(BK208,1),HFer,HOuv),HOuv))*24,4)))/HJour,4),""))</f>
        <v/>
      </c>
      <c r="BM208" s="35" t="str">
        <f aca="false">IF(OR(AO208&lt;&gt;1,R208=""),"",IF(BD208=1,1,0))</f>
        <v/>
      </c>
      <c r="BN208" s="35" t="str">
        <f aca="false">IF(AO208&lt;&gt;1,"",IF(W208="Oui",1,0))</f>
        <v/>
      </c>
      <c r="BO208" s="35" t="str">
        <f aca="false">IF(AO208&lt;&gt;1,"",IF(X208&lt;&gt;"",1,0))</f>
        <v/>
      </c>
      <c r="BP208" s="35" t="str">
        <f aca="false">IF(AO208&lt;&gt;1,"",IF(Y208="Oui",1,0))</f>
        <v/>
      </c>
      <c r="BQ208" s="35" t="str">
        <f aca="true">IF(OR(AO208&lt;&gt;1,Z208&lt;&gt;"Oui"),"",IF(AB208="",IF(AND(AA208&lt;&gt;"",NOW()&gt;AA208),0,""),IF(AA208="","",IF(AB208&lt;=AA208,1,0))))</f>
        <v/>
      </c>
      <c r="BR208" s="38" t="str">
        <f aca="false">IF(OR(AO208&lt;&gt;1,K208&lt;&gt;"Oui",O208=""),"",IF(AC208="",O208+DORA_H_DET/24,IF(AC208-O208&lt;=DORA_H_DET/24,MIN(AC208+DORA_H_CLA/24,O208+DORA_H_DET/24),AC208+DORA_H_CLA/24)))</f>
        <v/>
      </c>
      <c r="BS208" s="35" t="str">
        <f aca="true">IF(BR208="","",IF(AD208="",IF(NOW()&gt;BR208,0,""),IF(AD208&lt;=BR208,1,0)))</f>
        <v/>
      </c>
      <c r="BT208" s="35" t="str">
        <f aca="true">IF(OR(BR208="",AD208=""),"",IF(AE208="",IF(NOW()&gt;AD208+DORA_H_INT/24,0,""),IF(AE208&lt;=AD208+DORA_H_INT/24,1,0)))</f>
        <v/>
      </c>
      <c r="BU208" s="35" t="str">
        <f aca="true">IF(OR(BR208="",AE208=""),"",IF(AF208="",IF(NOW()&gt;EDATE(AE208,DORA_M_FIN)+1,0,""),IF(AF208&lt;=EDATE(AE208,DORA_M_FIN),1,0)))</f>
        <v/>
      </c>
      <c r="BV208" s="35" t="str">
        <f aca="false">IF(BR208="","",IF(COUNT(BS208:BU208)=0,"",MIN(BS208:BU208)))</f>
        <v/>
      </c>
      <c r="BW208" s="40" t="str">
        <f aca="false">IF(AQ208&lt;&gt;1,"",IF(AND(AG208="",AH208=""),"",N(AG208)-N(AH208)))</f>
        <v/>
      </c>
      <c r="BX208" s="35" t="str">
        <f aca="true">IF(OR(AQ208&lt;&gt;1,AI208&lt;&gt;"Oui",AJ208=""),"",IF(AK208="",IF(NOW()&gt;AJ208+1,0,""),IF(AK208&lt;=AJ208,1,0)))</f>
        <v/>
      </c>
    </row>
    <row r="209" customFormat="false" ht="15" hidden="false" customHeight="false" outlineLevel="0" collapsed="false">
      <c r="B209" s="29"/>
      <c r="C209" s="29"/>
      <c r="D209" s="29"/>
      <c r="E209" s="29"/>
      <c r="F209" s="29"/>
      <c r="G209" s="29"/>
      <c r="H209" s="29"/>
      <c r="I209" s="29"/>
      <c r="J209" s="29"/>
      <c r="K209" s="29"/>
      <c r="L209" s="29"/>
      <c r="M209" s="29"/>
      <c r="N209" s="30"/>
      <c r="O209" s="30"/>
      <c r="P209" s="30"/>
      <c r="Q209" s="30"/>
      <c r="R209" s="30"/>
      <c r="S209" s="30"/>
      <c r="T209" s="30"/>
      <c r="U209" s="30"/>
      <c r="V209" s="31"/>
      <c r="W209" s="29"/>
      <c r="X209" s="29"/>
      <c r="Y209" s="29"/>
      <c r="Z209" s="29"/>
      <c r="AA209" s="30"/>
      <c r="AB209" s="30"/>
      <c r="AC209" s="30"/>
      <c r="AD209" s="30"/>
      <c r="AE209" s="30"/>
      <c r="AF209" s="32"/>
      <c r="AG209" s="33"/>
      <c r="AH209" s="33"/>
      <c r="AI209" s="29"/>
      <c r="AJ209" s="32"/>
      <c r="AK209" s="32"/>
      <c r="AL209" s="29"/>
      <c r="AN209" s="34" t="str">
        <f aca="false">IF($B209="","",IF(OR(C209="",D209="",E209="",G209="",I209="",J209="",L209="",O209="",P209=""),"Champ obligatoire manquant",IF(OR(AND(N209&lt;&gt;"",N209&gt;O209),O209&gt;P209,AND(Q209&lt;&gt;"",Q209&lt;P209),AND(R209&lt;&gt;"",R209&lt;P209),AND(S209&lt;&gt;"",S209&lt;R209),AND(S209&lt;&gt;"",R209=""),AND(T209&lt;&gt;"",T209&lt;O209),AND(U209&lt;&gt;"",U209&lt;O209)),"Chronologie incohérente",IF(AND(OR(L209="Résolu",L209="Clos"),R209=""),"Date de résolution manquante",IF(AND(L209="Clos",S209=""),"Date de clôture manquante",IF(AND(K209="Oui",AC209=""),"Classification DORA manquante","OK"))))))</f>
        <v/>
      </c>
      <c r="AO209" s="35" t="str">
        <f aca="false">IF($B209="","",IF(AND(C209="Incident",L209&lt;&gt;"Annulé"),1,0))</f>
        <v/>
      </c>
      <c r="AP209" s="35" t="str">
        <f aca="false">IF($B209="","",IF(AND(C209="Quasi-incident",L209&lt;&gt;"Annulé"),1,0))</f>
        <v/>
      </c>
      <c r="AQ209" s="35" t="str">
        <f aca="false">IF($B209="","",AO209+AP209)</f>
        <v/>
      </c>
      <c r="AR209" s="36" t="str">
        <f aca="false">IF(OR($B209="",J209=""),"",IFERROR(VALUE(LEFT(J209,1)),""))</f>
        <v/>
      </c>
      <c r="AS209" s="35" t="str">
        <f aca="false">IF(OR(AO209&lt;&gt;1,G209=""),"",IFERROR(IF(INDEX(L_SrcInterne,MATCH(G209,L_Sources,0))="Oui",1,0),""))</f>
        <v/>
      </c>
      <c r="AT209" s="37" t="str">
        <f aca="false">IF(AO209&lt;&gt;1,"",IFERROR(ROUND(IF(OR(N209="",O209=""),"",IF(O209&lt;N209,"",ROUND(((NETWORKDAYS(N209,O209,JoursFeries)-1)*(HFer-HOuv)+IF(NETWORKDAYS(O209,O209,JoursFeries),MEDIAN(MOD(O209,1),HFer,HOuv),HFer)-IF(NETWORKDAYS(N209,N209,JoursFeries),MEDIAN(MOD(N209,1),HFer,HOuv),HOuv))*24,4)))/HJour,4),""))</f>
        <v/>
      </c>
      <c r="AU209" s="37" t="str">
        <f aca="false">IF(AO209&lt;&gt;1,"",IF(OR(O209="",P209=""),"",IF(P209&lt;O209,"",ROUND(((NETWORKDAYS(O209,P209,JoursFeries)-1)*(HFer-HOuv)+IF(NETWORKDAYS(P209,P209,JoursFeries),MEDIAN(MOD(P209,1),HFer,HOuv),HFer)-IF(NETWORKDAYS(O209,O209,JoursFeries),MEDIAN(MOD(O209,1),HFer,HOuv),HOuv))*24,4))))</f>
        <v/>
      </c>
      <c r="AV209" s="37" t="str">
        <f aca="false">IF(AO209&lt;&gt;1,"",IF(OR(P209="",Q209=""),"",IF(Q209&lt;P209,"",ROUND(((NETWORKDAYS(P209,Q209,JoursFeries)-1)*(HFer-HOuv)+IF(NETWORKDAYS(Q209,Q209,JoursFeries),MEDIAN(MOD(Q209,1),HFer,HOuv),HFer)-IF(NETWORKDAYS(P209,P209,JoursFeries),MEDIAN(MOD(P209,1),HFer,HOuv),HOuv))*24,4))))</f>
        <v/>
      </c>
      <c r="AW209" s="37" t="str">
        <f aca="false">IF(AO209&lt;&gt;1,"",IFERROR(ROUND(IF(OR(P209="",R209=""),"",IF(R209&lt;P209,"",ROUND(((NETWORKDAYS(P209,R209,JoursFeries)-1)*(HFer-HOuv)+IF(NETWORKDAYS(R209,R209,JoursFeries),MEDIAN(MOD(R209,1),HFer,HOuv),HFer)-IF(NETWORKDAYS(P209,P209,JoursFeries),MEDIAN(MOD(P209,1),HFer,HOuv),HOuv))*24,4)))/HJour,4),""))</f>
        <v/>
      </c>
      <c r="AX209" s="37" t="str">
        <f aca="false">IF(AO209&lt;&gt;1,"",IFERROR(ROUND(IF(OR(P209="",S209=""),"",IF(S209&lt;P209,"",ROUND(((NETWORKDAYS(P209,S209,JoursFeries)-1)*(HFer-HOuv)+IF(NETWORKDAYS(S209,S209,JoursFeries),MEDIAN(MOD(S209,1),HFer,HOuv),HFer)-IF(NETWORKDAYS(P209,P209,JoursFeries),MEDIAN(MOD(P209,1),HFer,HOuv),HOuv))*24,4)))/HJour,4),""))</f>
        <v/>
      </c>
      <c r="AY209" s="36" t="str">
        <f aca="false">IF(OR(AO209&lt;&gt;1,AR209=""),"",INDEX(SLA_PEC,AR209))</f>
        <v/>
      </c>
      <c r="AZ209" s="35" t="str">
        <f aca="false">IF(OR(AV209="",AY209=""),"",IF(AV209&lt;=AY209,1,0))</f>
        <v/>
      </c>
      <c r="BA209" s="36" t="str">
        <f aca="false">IF(OR(AO209&lt;&gt;1,AR209=""),"",INDEX(SLA_RES,AR209))</f>
        <v/>
      </c>
      <c r="BB209" s="35" t="str">
        <f aca="false">IF(OR(AW209="",BA209=""),"",IF(AW209&lt;=BA209,1,0))</f>
        <v/>
      </c>
      <c r="BC209" s="38" t="str">
        <f aca="false">IF(OR(BA209="",P209=""),"",WORKDAY(INT(P209),BA209,JoursFeries)+MOD(P209,1))</f>
        <v/>
      </c>
      <c r="BD209" s="39" t="str">
        <f aca="false">IF(AO209&lt;&gt;1,"",IF(OR(AB209&lt;&gt;"",AD209&lt;&gt;""),4,IF(U209&lt;&gt;"",3,IF(T209&lt;&gt;"",2,1))))</f>
        <v/>
      </c>
      <c r="BE209" s="39" t="str">
        <f aca="false">IF(OR(AO209&lt;&gt;1,AR209=""),"",INDEX(NIV_REQ,AR209))</f>
        <v/>
      </c>
      <c r="BF209" s="39" t="str">
        <f aca="false">IF(BE209="","",MAX(BE209,IF(OR(K209="Oui",Z209="Oui"),4,1)))</f>
        <v/>
      </c>
      <c r="BG209" s="35" t="str">
        <f aca="false">IF(OR(BF209="",BD209=""),"",IF(BD209&gt;=BF209,1,0))</f>
        <v/>
      </c>
      <c r="BH209" s="38" t="str">
        <f aca="false">IF(BE209="","",IF(BE209&lt;2,"",IF(BE209=2,IF(AND(T209="",U209=""),"",MIN(T209,U209)),IF(U209="","",U209))))</f>
        <v/>
      </c>
      <c r="BI209" s="37" t="str">
        <f aca="false">IF(BH209="","",IF(OR(O209="",BH209=""),"",IF(BH209&lt;O209,"",ROUND(((NETWORKDAYS(O209,BH209,JoursFeries)-1)*(HFer-HOuv)+IF(NETWORKDAYS(BH209,BH209,JoursFeries),MEDIAN(MOD(BH209,1),HFer,HOuv),HFer)-IF(NETWORKDAYS(O209,O209,JoursFeries),MEDIAN(MOD(O209,1),HFer,HOuv),HOuv))*24,4))))</f>
        <v/>
      </c>
      <c r="BJ209" s="35" t="str">
        <f aca="false">IF(OR(BI209="",AR209=""),"",IF(BI209&lt;=INDEX(DELAI_ESC,AR209),1,0))</f>
        <v/>
      </c>
      <c r="BK209" s="38" t="str">
        <f aca="false">IF(AO209&lt;&gt;1,"",IF(AND(T209="",U209=""),"",MIN(T209,U209)))</f>
        <v/>
      </c>
      <c r="BL209" s="37" t="str">
        <f aca="false">IF(OR(BK209="",R209=""),"",IFERROR(ROUND(IF(OR(BK209="",R209=""),"",IF(R209&lt;BK209,"",ROUND(((NETWORKDAYS(BK209,R209,JoursFeries)-1)*(HFer-HOuv)+IF(NETWORKDAYS(R209,R209,JoursFeries),MEDIAN(MOD(R209,1),HFer,HOuv),HFer)-IF(NETWORKDAYS(BK209,BK209,JoursFeries),MEDIAN(MOD(BK209,1),HFer,HOuv),HOuv))*24,4)))/HJour,4),""))</f>
        <v/>
      </c>
      <c r="BM209" s="35" t="str">
        <f aca="false">IF(OR(AO209&lt;&gt;1,R209=""),"",IF(BD209=1,1,0))</f>
        <v/>
      </c>
      <c r="BN209" s="35" t="str">
        <f aca="false">IF(AO209&lt;&gt;1,"",IF(W209="Oui",1,0))</f>
        <v/>
      </c>
      <c r="BO209" s="35" t="str">
        <f aca="false">IF(AO209&lt;&gt;1,"",IF(X209&lt;&gt;"",1,0))</f>
        <v/>
      </c>
      <c r="BP209" s="35" t="str">
        <f aca="false">IF(AO209&lt;&gt;1,"",IF(Y209="Oui",1,0))</f>
        <v/>
      </c>
      <c r="BQ209" s="35" t="str">
        <f aca="true">IF(OR(AO209&lt;&gt;1,Z209&lt;&gt;"Oui"),"",IF(AB209="",IF(AND(AA209&lt;&gt;"",NOW()&gt;AA209),0,""),IF(AA209="","",IF(AB209&lt;=AA209,1,0))))</f>
        <v/>
      </c>
      <c r="BR209" s="38" t="str">
        <f aca="false">IF(OR(AO209&lt;&gt;1,K209&lt;&gt;"Oui",O209=""),"",IF(AC209="",O209+DORA_H_DET/24,IF(AC209-O209&lt;=DORA_H_DET/24,MIN(AC209+DORA_H_CLA/24,O209+DORA_H_DET/24),AC209+DORA_H_CLA/24)))</f>
        <v/>
      </c>
      <c r="BS209" s="35" t="str">
        <f aca="true">IF(BR209="","",IF(AD209="",IF(NOW()&gt;BR209,0,""),IF(AD209&lt;=BR209,1,0)))</f>
        <v/>
      </c>
      <c r="BT209" s="35" t="str">
        <f aca="true">IF(OR(BR209="",AD209=""),"",IF(AE209="",IF(NOW()&gt;AD209+DORA_H_INT/24,0,""),IF(AE209&lt;=AD209+DORA_H_INT/24,1,0)))</f>
        <v/>
      </c>
      <c r="BU209" s="35" t="str">
        <f aca="true">IF(OR(BR209="",AE209=""),"",IF(AF209="",IF(NOW()&gt;EDATE(AE209,DORA_M_FIN)+1,0,""),IF(AF209&lt;=EDATE(AE209,DORA_M_FIN),1,0)))</f>
        <v/>
      </c>
      <c r="BV209" s="35" t="str">
        <f aca="false">IF(BR209="","",IF(COUNT(BS209:BU209)=0,"",MIN(BS209:BU209)))</f>
        <v/>
      </c>
      <c r="BW209" s="40" t="str">
        <f aca="false">IF(AQ209&lt;&gt;1,"",IF(AND(AG209="",AH209=""),"",N(AG209)-N(AH209)))</f>
        <v/>
      </c>
      <c r="BX209" s="35" t="str">
        <f aca="true">IF(OR(AQ209&lt;&gt;1,AI209&lt;&gt;"Oui",AJ209=""),"",IF(AK209="",IF(NOW()&gt;AJ209+1,0,""),IF(AK209&lt;=AJ209,1,0)))</f>
        <v/>
      </c>
    </row>
    <row r="210" customFormat="false" ht="15" hidden="false" customHeight="false" outlineLevel="0" collapsed="false">
      <c r="B210" s="29"/>
      <c r="C210" s="29"/>
      <c r="D210" s="29"/>
      <c r="E210" s="29"/>
      <c r="F210" s="29"/>
      <c r="G210" s="29"/>
      <c r="H210" s="29"/>
      <c r="I210" s="29"/>
      <c r="J210" s="29"/>
      <c r="K210" s="29"/>
      <c r="L210" s="29"/>
      <c r="M210" s="29"/>
      <c r="N210" s="30"/>
      <c r="O210" s="30"/>
      <c r="P210" s="30"/>
      <c r="Q210" s="30"/>
      <c r="R210" s="30"/>
      <c r="S210" s="30"/>
      <c r="T210" s="30"/>
      <c r="U210" s="30"/>
      <c r="V210" s="31"/>
      <c r="W210" s="29"/>
      <c r="X210" s="29"/>
      <c r="Y210" s="29"/>
      <c r="Z210" s="29"/>
      <c r="AA210" s="30"/>
      <c r="AB210" s="30"/>
      <c r="AC210" s="30"/>
      <c r="AD210" s="30"/>
      <c r="AE210" s="30"/>
      <c r="AF210" s="32"/>
      <c r="AG210" s="33"/>
      <c r="AH210" s="33"/>
      <c r="AI210" s="29"/>
      <c r="AJ210" s="32"/>
      <c r="AK210" s="32"/>
      <c r="AL210" s="29"/>
      <c r="AN210" s="34" t="str">
        <f aca="false">IF($B210="","",IF(OR(C210="",D210="",E210="",G210="",I210="",J210="",L210="",O210="",P210=""),"Champ obligatoire manquant",IF(OR(AND(N210&lt;&gt;"",N210&gt;O210),O210&gt;P210,AND(Q210&lt;&gt;"",Q210&lt;P210),AND(R210&lt;&gt;"",R210&lt;P210),AND(S210&lt;&gt;"",S210&lt;R210),AND(S210&lt;&gt;"",R210=""),AND(T210&lt;&gt;"",T210&lt;O210),AND(U210&lt;&gt;"",U210&lt;O210)),"Chronologie incohérente",IF(AND(OR(L210="Résolu",L210="Clos"),R210=""),"Date de résolution manquante",IF(AND(L210="Clos",S210=""),"Date de clôture manquante",IF(AND(K210="Oui",AC210=""),"Classification DORA manquante","OK"))))))</f>
        <v/>
      </c>
      <c r="AO210" s="35" t="str">
        <f aca="false">IF($B210="","",IF(AND(C210="Incident",L210&lt;&gt;"Annulé"),1,0))</f>
        <v/>
      </c>
      <c r="AP210" s="35" t="str">
        <f aca="false">IF($B210="","",IF(AND(C210="Quasi-incident",L210&lt;&gt;"Annulé"),1,0))</f>
        <v/>
      </c>
      <c r="AQ210" s="35" t="str">
        <f aca="false">IF($B210="","",AO210+AP210)</f>
        <v/>
      </c>
      <c r="AR210" s="36" t="str">
        <f aca="false">IF(OR($B210="",J210=""),"",IFERROR(VALUE(LEFT(J210,1)),""))</f>
        <v/>
      </c>
      <c r="AS210" s="35" t="str">
        <f aca="false">IF(OR(AO210&lt;&gt;1,G210=""),"",IFERROR(IF(INDEX(L_SrcInterne,MATCH(G210,L_Sources,0))="Oui",1,0),""))</f>
        <v/>
      </c>
      <c r="AT210" s="37" t="str">
        <f aca="false">IF(AO210&lt;&gt;1,"",IFERROR(ROUND(IF(OR(N210="",O210=""),"",IF(O210&lt;N210,"",ROUND(((NETWORKDAYS(N210,O210,JoursFeries)-1)*(HFer-HOuv)+IF(NETWORKDAYS(O210,O210,JoursFeries),MEDIAN(MOD(O210,1),HFer,HOuv),HFer)-IF(NETWORKDAYS(N210,N210,JoursFeries),MEDIAN(MOD(N210,1),HFer,HOuv),HOuv))*24,4)))/HJour,4),""))</f>
        <v/>
      </c>
      <c r="AU210" s="37" t="str">
        <f aca="false">IF(AO210&lt;&gt;1,"",IF(OR(O210="",P210=""),"",IF(P210&lt;O210,"",ROUND(((NETWORKDAYS(O210,P210,JoursFeries)-1)*(HFer-HOuv)+IF(NETWORKDAYS(P210,P210,JoursFeries),MEDIAN(MOD(P210,1),HFer,HOuv),HFer)-IF(NETWORKDAYS(O210,O210,JoursFeries),MEDIAN(MOD(O210,1),HFer,HOuv),HOuv))*24,4))))</f>
        <v/>
      </c>
      <c r="AV210" s="37" t="str">
        <f aca="false">IF(AO210&lt;&gt;1,"",IF(OR(P210="",Q210=""),"",IF(Q210&lt;P210,"",ROUND(((NETWORKDAYS(P210,Q210,JoursFeries)-1)*(HFer-HOuv)+IF(NETWORKDAYS(Q210,Q210,JoursFeries),MEDIAN(MOD(Q210,1),HFer,HOuv),HFer)-IF(NETWORKDAYS(P210,P210,JoursFeries),MEDIAN(MOD(P210,1),HFer,HOuv),HOuv))*24,4))))</f>
        <v/>
      </c>
      <c r="AW210" s="37" t="str">
        <f aca="false">IF(AO210&lt;&gt;1,"",IFERROR(ROUND(IF(OR(P210="",R210=""),"",IF(R210&lt;P210,"",ROUND(((NETWORKDAYS(P210,R210,JoursFeries)-1)*(HFer-HOuv)+IF(NETWORKDAYS(R210,R210,JoursFeries),MEDIAN(MOD(R210,1),HFer,HOuv),HFer)-IF(NETWORKDAYS(P210,P210,JoursFeries),MEDIAN(MOD(P210,1),HFer,HOuv),HOuv))*24,4)))/HJour,4),""))</f>
        <v/>
      </c>
      <c r="AX210" s="37" t="str">
        <f aca="false">IF(AO210&lt;&gt;1,"",IFERROR(ROUND(IF(OR(P210="",S210=""),"",IF(S210&lt;P210,"",ROUND(((NETWORKDAYS(P210,S210,JoursFeries)-1)*(HFer-HOuv)+IF(NETWORKDAYS(S210,S210,JoursFeries),MEDIAN(MOD(S210,1),HFer,HOuv),HFer)-IF(NETWORKDAYS(P210,P210,JoursFeries),MEDIAN(MOD(P210,1),HFer,HOuv),HOuv))*24,4)))/HJour,4),""))</f>
        <v/>
      </c>
      <c r="AY210" s="36" t="str">
        <f aca="false">IF(OR(AO210&lt;&gt;1,AR210=""),"",INDEX(SLA_PEC,AR210))</f>
        <v/>
      </c>
      <c r="AZ210" s="35" t="str">
        <f aca="false">IF(OR(AV210="",AY210=""),"",IF(AV210&lt;=AY210,1,0))</f>
        <v/>
      </c>
      <c r="BA210" s="36" t="str">
        <f aca="false">IF(OR(AO210&lt;&gt;1,AR210=""),"",INDEX(SLA_RES,AR210))</f>
        <v/>
      </c>
      <c r="BB210" s="35" t="str">
        <f aca="false">IF(OR(AW210="",BA210=""),"",IF(AW210&lt;=BA210,1,0))</f>
        <v/>
      </c>
      <c r="BC210" s="38" t="str">
        <f aca="false">IF(OR(BA210="",P210=""),"",WORKDAY(INT(P210),BA210,JoursFeries)+MOD(P210,1))</f>
        <v/>
      </c>
      <c r="BD210" s="39" t="str">
        <f aca="false">IF(AO210&lt;&gt;1,"",IF(OR(AB210&lt;&gt;"",AD210&lt;&gt;""),4,IF(U210&lt;&gt;"",3,IF(T210&lt;&gt;"",2,1))))</f>
        <v/>
      </c>
      <c r="BE210" s="39" t="str">
        <f aca="false">IF(OR(AO210&lt;&gt;1,AR210=""),"",INDEX(NIV_REQ,AR210))</f>
        <v/>
      </c>
      <c r="BF210" s="39" t="str">
        <f aca="false">IF(BE210="","",MAX(BE210,IF(OR(K210="Oui",Z210="Oui"),4,1)))</f>
        <v/>
      </c>
      <c r="BG210" s="35" t="str">
        <f aca="false">IF(OR(BF210="",BD210=""),"",IF(BD210&gt;=BF210,1,0))</f>
        <v/>
      </c>
      <c r="BH210" s="38" t="str">
        <f aca="false">IF(BE210="","",IF(BE210&lt;2,"",IF(BE210=2,IF(AND(T210="",U210=""),"",MIN(T210,U210)),IF(U210="","",U210))))</f>
        <v/>
      </c>
      <c r="BI210" s="37" t="str">
        <f aca="false">IF(BH210="","",IF(OR(O210="",BH210=""),"",IF(BH210&lt;O210,"",ROUND(((NETWORKDAYS(O210,BH210,JoursFeries)-1)*(HFer-HOuv)+IF(NETWORKDAYS(BH210,BH210,JoursFeries),MEDIAN(MOD(BH210,1),HFer,HOuv),HFer)-IF(NETWORKDAYS(O210,O210,JoursFeries),MEDIAN(MOD(O210,1),HFer,HOuv),HOuv))*24,4))))</f>
        <v/>
      </c>
      <c r="BJ210" s="35" t="str">
        <f aca="false">IF(OR(BI210="",AR210=""),"",IF(BI210&lt;=INDEX(DELAI_ESC,AR210),1,0))</f>
        <v/>
      </c>
      <c r="BK210" s="38" t="str">
        <f aca="false">IF(AO210&lt;&gt;1,"",IF(AND(T210="",U210=""),"",MIN(T210,U210)))</f>
        <v/>
      </c>
      <c r="BL210" s="37" t="str">
        <f aca="false">IF(OR(BK210="",R210=""),"",IFERROR(ROUND(IF(OR(BK210="",R210=""),"",IF(R210&lt;BK210,"",ROUND(((NETWORKDAYS(BK210,R210,JoursFeries)-1)*(HFer-HOuv)+IF(NETWORKDAYS(R210,R210,JoursFeries),MEDIAN(MOD(R210,1),HFer,HOuv),HFer)-IF(NETWORKDAYS(BK210,BK210,JoursFeries),MEDIAN(MOD(BK210,1),HFer,HOuv),HOuv))*24,4)))/HJour,4),""))</f>
        <v/>
      </c>
      <c r="BM210" s="35" t="str">
        <f aca="false">IF(OR(AO210&lt;&gt;1,R210=""),"",IF(BD210=1,1,0))</f>
        <v/>
      </c>
      <c r="BN210" s="35" t="str">
        <f aca="false">IF(AO210&lt;&gt;1,"",IF(W210="Oui",1,0))</f>
        <v/>
      </c>
      <c r="BO210" s="35" t="str">
        <f aca="false">IF(AO210&lt;&gt;1,"",IF(X210&lt;&gt;"",1,0))</f>
        <v/>
      </c>
      <c r="BP210" s="35" t="str">
        <f aca="false">IF(AO210&lt;&gt;1,"",IF(Y210="Oui",1,0))</f>
        <v/>
      </c>
      <c r="BQ210" s="35" t="str">
        <f aca="true">IF(OR(AO210&lt;&gt;1,Z210&lt;&gt;"Oui"),"",IF(AB210="",IF(AND(AA210&lt;&gt;"",NOW()&gt;AA210),0,""),IF(AA210="","",IF(AB210&lt;=AA210,1,0))))</f>
        <v/>
      </c>
      <c r="BR210" s="38" t="str">
        <f aca="false">IF(OR(AO210&lt;&gt;1,K210&lt;&gt;"Oui",O210=""),"",IF(AC210="",O210+DORA_H_DET/24,IF(AC210-O210&lt;=DORA_H_DET/24,MIN(AC210+DORA_H_CLA/24,O210+DORA_H_DET/24),AC210+DORA_H_CLA/24)))</f>
        <v/>
      </c>
      <c r="BS210" s="35" t="str">
        <f aca="true">IF(BR210="","",IF(AD210="",IF(NOW()&gt;BR210,0,""),IF(AD210&lt;=BR210,1,0)))</f>
        <v/>
      </c>
      <c r="BT210" s="35" t="str">
        <f aca="true">IF(OR(BR210="",AD210=""),"",IF(AE210="",IF(NOW()&gt;AD210+DORA_H_INT/24,0,""),IF(AE210&lt;=AD210+DORA_H_INT/24,1,0)))</f>
        <v/>
      </c>
      <c r="BU210" s="35" t="str">
        <f aca="true">IF(OR(BR210="",AE210=""),"",IF(AF210="",IF(NOW()&gt;EDATE(AE210,DORA_M_FIN)+1,0,""),IF(AF210&lt;=EDATE(AE210,DORA_M_FIN),1,0)))</f>
        <v/>
      </c>
      <c r="BV210" s="35" t="str">
        <f aca="false">IF(BR210="","",IF(COUNT(BS210:BU210)=0,"",MIN(BS210:BU210)))</f>
        <v/>
      </c>
      <c r="BW210" s="40" t="str">
        <f aca="false">IF(AQ210&lt;&gt;1,"",IF(AND(AG210="",AH210=""),"",N(AG210)-N(AH210)))</f>
        <v/>
      </c>
      <c r="BX210" s="35" t="str">
        <f aca="true">IF(OR(AQ210&lt;&gt;1,AI210&lt;&gt;"Oui",AJ210=""),"",IF(AK210="",IF(NOW()&gt;AJ210+1,0,""),IF(AK210&lt;=AJ210,1,0)))</f>
        <v/>
      </c>
    </row>
    <row r="211" customFormat="false" ht="15" hidden="false" customHeight="false" outlineLevel="0" collapsed="false">
      <c r="B211" s="29"/>
      <c r="C211" s="29"/>
      <c r="D211" s="29"/>
      <c r="E211" s="29"/>
      <c r="F211" s="29"/>
      <c r="G211" s="29"/>
      <c r="H211" s="29"/>
      <c r="I211" s="29"/>
      <c r="J211" s="29"/>
      <c r="K211" s="29"/>
      <c r="L211" s="29"/>
      <c r="M211" s="29"/>
      <c r="N211" s="30"/>
      <c r="O211" s="30"/>
      <c r="P211" s="30"/>
      <c r="Q211" s="30"/>
      <c r="R211" s="30"/>
      <c r="S211" s="30"/>
      <c r="T211" s="30"/>
      <c r="U211" s="30"/>
      <c r="V211" s="31"/>
      <c r="W211" s="29"/>
      <c r="X211" s="29"/>
      <c r="Y211" s="29"/>
      <c r="Z211" s="29"/>
      <c r="AA211" s="30"/>
      <c r="AB211" s="30"/>
      <c r="AC211" s="30"/>
      <c r="AD211" s="30"/>
      <c r="AE211" s="30"/>
      <c r="AF211" s="32"/>
      <c r="AG211" s="33"/>
      <c r="AH211" s="33"/>
      <c r="AI211" s="29"/>
      <c r="AJ211" s="32"/>
      <c r="AK211" s="32"/>
      <c r="AL211" s="29"/>
      <c r="AN211" s="34" t="str">
        <f aca="false">IF($B211="","",IF(OR(C211="",D211="",E211="",G211="",I211="",J211="",L211="",O211="",P211=""),"Champ obligatoire manquant",IF(OR(AND(N211&lt;&gt;"",N211&gt;O211),O211&gt;P211,AND(Q211&lt;&gt;"",Q211&lt;P211),AND(R211&lt;&gt;"",R211&lt;P211),AND(S211&lt;&gt;"",S211&lt;R211),AND(S211&lt;&gt;"",R211=""),AND(T211&lt;&gt;"",T211&lt;O211),AND(U211&lt;&gt;"",U211&lt;O211)),"Chronologie incohérente",IF(AND(OR(L211="Résolu",L211="Clos"),R211=""),"Date de résolution manquante",IF(AND(L211="Clos",S211=""),"Date de clôture manquante",IF(AND(K211="Oui",AC211=""),"Classification DORA manquante","OK"))))))</f>
        <v/>
      </c>
      <c r="AO211" s="35" t="str">
        <f aca="false">IF($B211="","",IF(AND(C211="Incident",L211&lt;&gt;"Annulé"),1,0))</f>
        <v/>
      </c>
      <c r="AP211" s="35" t="str">
        <f aca="false">IF($B211="","",IF(AND(C211="Quasi-incident",L211&lt;&gt;"Annulé"),1,0))</f>
        <v/>
      </c>
      <c r="AQ211" s="35" t="str">
        <f aca="false">IF($B211="","",AO211+AP211)</f>
        <v/>
      </c>
      <c r="AR211" s="36" t="str">
        <f aca="false">IF(OR($B211="",J211=""),"",IFERROR(VALUE(LEFT(J211,1)),""))</f>
        <v/>
      </c>
      <c r="AS211" s="35" t="str">
        <f aca="false">IF(OR(AO211&lt;&gt;1,G211=""),"",IFERROR(IF(INDEX(L_SrcInterne,MATCH(G211,L_Sources,0))="Oui",1,0),""))</f>
        <v/>
      </c>
      <c r="AT211" s="37" t="str">
        <f aca="false">IF(AO211&lt;&gt;1,"",IFERROR(ROUND(IF(OR(N211="",O211=""),"",IF(O211&lt;N211,"",ROUND(((NETWORKDAYS(N211,O211,JoursFeries)-1)*(HFer-HOuv)+IF(NETWORKDAYS(O211,O211,JoursFeries),MEDIAN(MOD(O211,1),HFer,HOuv),HFer)-IF(NETWORKDAYS(N211,N211,JoursFeries),MEDIAN(MOD(N211,1),HFer,HOuv),HOuv))*24,4)))/HJour,4),""))</f>
        <v/>
      </c>
      <c r="AU211" s="37" t="str">
        <f aca="false">IF(AO211&lt;&gt;1,"",IF(OR(O211="",P211=""),"",IF(P211&lt;O211,"",ROUND(((NETWORKDAYS(O211,P211,JoursFeries)-1)*(HFer-HOuv)+IF(NETWORKDAYS(P211,P211,JoursFeries),MEDIAN(MOD(P211,1),HFer,HOuv),HFer)-IF(NETWORKDAYS(O211,O211,JoursFeries),MEDIAN(MOD(O211,1),HFer,HOuv),HOuv))*24,4))))</f>
        <v/>
      </c>
      <c r="AV211" s="37" t="str">
        <f aca="false">IF(AO211&lt;&gt;1,"",IF(OR(P211="",Q211=""),"",IF(Q211&lt;P211,"",ROUND(((NETWORKDAYS(P211,Q211,JoursFeries)-1)*(HFer-HOuv)+IF(NETWORKDAYS(Q211,Q211,JoursFeries),MEDIAN(MOD(Q211,1),HFer,HOuv),HFer)-IF(NETWORKDAYS(P211,P211,JoursFeries),MEDIAN(MOD(P211,1),HFer,HOuv),HOuv))*24,4))))</f>
        <v/>
      </c>
      <c r="AW211" s="37" t="str">
        <f aca="false">IF(AO211&lt;&gt;1,"",IFERROR(ROUND(IF(OR(P211="",R211=""),"",IF(R211&lt;P211,"",ROUND(((NETWORKDAYS(P211,R211,JoursFeries)-1)*(HFer-HOuv)+IF(NETWORKDAYS(R211,R211,JoursFeries),MEDIAN(MOD(R211,1),HFer,HOuv),HFer)-IF(NETWORKDAYS(P211,P211,JoursFeries),MEDIAN(MOD(P211,1),HFer,HOuv),HOuv))*24,4)))/HJour,4),""))</f>
        <v/>
      </c>
      <c r="AX211" s="37" t="str">
        <f aca="false">IF(AO211&lt;&gt;1,"",IFERROR(ROUND(IF(OR(P211="",S211=""),"",IF(S211&lt;P211,"",ROUND(((NETWORKDAYS(P211,S211,JoursFeries)-1)*(HFer-HOuv)+IF(NETWORKDAYS(S211,S211,JoursFeries),MEDIAN(MOD(S211,1),HFer,HOuv),HFer)-IF(NETWORKDAYS(P211,P211,JoursFeries),MEDIAN(MOD(P211,1),HFer,HOuv),HOuv))*24,4)))/HJour,4),""))</f>
        <v/>
      </c>
      <c r="AY211" s="36" t="str">
        <f aca="false">IF(OR(AO211&lt;&gt;1,AR211=""),"",INDEX(SLA_PEC,AR211))</f>
        <v/>
      </c>
      <c r="AZ211" s="35" t="str">
        <f aca="false">IF(OR(AV211="",AY211=""),"",IF(AV211&lt;=AY211,1,0))</f>
        <v/>
      </c>
      <c r="BA211" s="36" t="str">
        <f aca="false">IF(OR(AO211&lt;&gt;1,AR211=""),"",INDEX(SLA_RES,AR211))</f>
        <v/>
      </c>
      <c r="BB211" s="35" t="str">
        <f aca="false">IF(OR(AW211="",BA211=""),"",IF(AW211&lt;=BA211,1,0))</f>
        <v/>
      </c>
      <c r="BC211" s="38" t="str">
        <f aca="false">IF(OR(BA211="",P211=""),"",WORKDAY(INT(P211),BA211,JoursFeries)+MOD(P211,1))</f>
        <v/>
      </c>
      <c r="BD211" s="39" t="str">
        <f aca="false">IF(AO211&lt;&gt;1,"",IF(OR(AB211&lt;&gt;"",AD211&lt;&gt;""),4,IF(U211&lt;&gt;"",3,IF(T211&lt;&gt;"",2,1))))</f>
        <v/>
      </c>
      <c r="BE211" s="39" t="str">
        <f aca="false">IF(OR(AO211&lt;&gt;1,AR211=""),"",INDEX(NIV_REQ,AR211))</f>
        <v/>
      </c>
      <c r="BF211" s="39" t="str">
        <f aca="false">IF(BE211="","",MAX(BE211,IF(OR(K211="Oui",Z211="Oui"),4,1)))</f>
        <v/>
      </c>
      <c r="BG211" s="35" t="str">
        <f aca="false">IF(OR(BF211="",BD211=""),"",IF(BD211&gt;=BF211,1,0))</f>
        <v/>
      </c>
      <c r="BH211" s="38" t="str">
        <f aca="false">IF(BE211="","",IF(BE211&lt;2,"",IF(BE211=2,IF(AND(T211="",U211=""),"",MIN(T211,U211)),IF(U211="","",U211))))</f>
        <v/>
      </c>
      <c r="BI211" s="37" t="str">
        <f aca="false">IF(BH211="","",IF(OR(O211="",BH211=""),"",IF(BH211&lt;O211,"",ROUND(((NETWORKDAYS(O211,BH211,JoursFeries)-1)*(HFer-HOuv)+IF(NETWORKDAYS(BH211,BH211,JoursFeries),MEDIAN(MOD(BH211,1),HFer,HOuv),HFer)-IF(NETWORKDAYS(O211,O211,JoursFeries),MEDIAN(MOD(O211,1),HFer,HOuv),HOuv))*24,4))))</f>
        <v/>
      </c>
      <c r="BJ211" s="35" t="str">
        <f aca="false">IF(OR(BI211="",AR211=""),"",IF(BI211&lt;=INDEX(DELAI_ESC,AR211),1,0))</f>
        <v/>
      </c>
      <c r="BK211" s="38" t="str">
        <f aca="false">IF(AO211&lt;&gt;1,"",IF(AND(T211="",U211=""),"",MIN(T211,U211)))</f>
        <v/>
      </c>
      <c r="BL211" s="37" t="str">
        <f aca="false">IF(OR(BK211="",R211=""),"",IFERROR(ROUND(IF(OR(BK211="",R211=""),"",IF(R211&lt;BK211,"",ROUND(((NETWORKDAYS(BK211,R211,JoursFeries)-1)*(HFer-HOuv)+IF(NETWORKDAYS(R211,R211,JoursFeries),MEDIAN(MOD(R211,1),HFer,HOuv),HFer)-IF(NETWORKDAYS(BK211,BK211,JoursFeries),MEDIAN(MOD(BK211,1),HFer,HOuv),HOuv))*24,4)))/HJour,4),""))</f>
        <v/>
      </c>
      <c r="BM211" s="35" t="str">
        <f aca="false">IF(OR(AO211&lt;&gt;1,R211=""),"",IF(BD211=1,1,0))</f>
        <v/>
      </c>
      <c r="BN211" s="35" t="str">
        <f aca="false">IF(AO211&lt;&gt;1,"",IF(W211="Oui",1,0))</f>
        <v/>
      </c>
      <c r="BO211" s="35" t="str">
        <f aca="false">IF(AO211&lt;&gt;1,"",IF(X211&lt;&gt;"",1,0))</f>
        <v/>
      </c>
      <c r="BP211" s="35" t="str">
        <f aca="false">IF(AO211&lt;&gt;1,"",IF(Y211="Oui",1,0))</f>
        <v/>
      </c>
      <c r="BQ211" s="35" t="str">
        <f aca="true">IF(OR(AO211&lt;&gt;1,Z211&lt;&gt;"Oui"),"",IF(AB211="",IF(AND(AA211&lt;&gt;"",NOW()&gt;AA211),0,""),IF(AA211="","",IF(AB211&lt;=AA211,1,0))))</f>
        <v/>
      </c>
      <c r="BR211" s="38" t="str">
        <f aca="false">IF(OR(AO211&lt;&gt;1,K211&lt;&gt;"Oui",O211=""),"",IF(AC211="",O211+DORA_H_DET/24,IF(AC211-O211&lt;=DORA_H_DET/24,MIN(AC211+DORA_H_CLA/24,O211+DORA_H_DET/24),AC211+DORA_H_CLA/24)))</f>
        <v/>
      </c>
      <c r="BS211" s="35" t="str">
        <f aca="true">IF(BR211="","",IF(AD211="",IF(NOW()&gt;BR211,0,""),IF(AD211&lt;=BR211,1,0)))</f>
        <v/>
      </c>
      <c r="BT211" s="35" t="str">
        <f aca="true">IF(OR(BR211="",AD211=""),"",IF(AE211="",IF(NOW()&gt;AD211+DORA_H_INT/24,0,""),IF(AE211&lt;=AD211+DORA_H_INT/24,1,0)))</f>
        <v/>
      </c>
      <c r="BU211" s="35" t="str">
        <f aca="true">IF(OR(BR211="",AE211=""),"",IF(AF211="",IF(NOW()&gt;EDATE(AE211,DORA_M_FIN)+1,0,""),IF(AF211&lt;=EDATE(AE211,DORA_M_FIN),1,0)))</f>
        <v/>
      </c>
      <c r="BV211" s="35" t="str">
        <f aca="false">IF(BR211="","",IF(COUNT(BS211:BU211)=0,"",MIN(BS211:BU211)))</f>
        <v/>
      </c>
      <c r="BW211" s="40" t="str">
        <f aca="false">IF(AQ211&lt;&gt;1,"",IF(AND(AG211="",AH211=""),"",N(AG211)-N(AH211)))</f>
        <v/>
      </c>
      <c r="BX211" s="35" t="str">
        <f aca="true">IF(OR(AQ211&lt;&gt;1,AI211&lt;&gt;"Oui",AJ211=""),"",IF(AK211="",IF(NOW()&gt;AJ211+1,0,""),IF(AK211&lt;=AJ211,1,0)))</f>
        <v/>
      </c>
    </row>
    <row r="212" customFormat="false" ht="15" hidden="false" customHeight="false" outlineLevel="0" collapsed="false">
      <c r="B212" s="29"/>
      <c r="C212" s="29"/>
      <c r="D212" s="29"/>
      <c r="E212" s="29"/>
      <c r="F212" s="29"/>
      <c r="G212" s="29"/>
      <c r="H212" s="29"/>
      <c r="I212" s="29"/>
      <c r="J212" s="29"/>
      <c r="K212" s="29"/>
      <c r="L212" s="29"/>
      <c r="M212" s="29"/>
      <c r="N212" s="30"/>
      <c r="O212" s="30"/>
      <c r="P212" s="30"/>
      <c r="Q212" s="30"/>
      <c r="R212" s="30"/>
      <c r="S212" s="30"/>
      <c r="T212" s="30"/>
      <c r="U212" s="30"/>
      <c r="V212" s="31"/>
      <c r="W212" s="29"/>
      <c r="X212" s="29"/>
      <c r="Y212" s="29"/>
      <c r="Z212" s="29"/>
      <c r="AA212" s="30"/>
      <c r="AB212" s="30"/>
      <c r="AC212" s="30"/>
      <c r="AD212" s="30"/>
      <c r="AE212" s="30"/>
      <c r="AF212" s="32"/>
      <c r="AG212" s="33"/>
      <c r="AH212" s="33"/>
      <c r="AI212" s="29"/>
      <c r="AJ212" s="32"/>
      <c r="AK212" s="32"/>
      <c r="AL212" s="29"/>
      <c r="AN212" s="34" t="str">
        <f aca="false">IF($B212="","",IF(OR(C212="",D212="",E212="",G212="",I212="",J212="",L212="",O212="",P212=""),"Champ obligatoire manquant",IF(OR(AND(N212&lt;&gt;"",N212&gt;O212),O212&gt;P212,AND(Q212&lt;&gt;"",Q212&lt;P212),AND(R212&lt;&gt;"",R212&lt;P212),AND(S212&lt;&gt;"",S212&lt;R212),AND(S212&lt;&gt;"",R212=""),AND(T212&lt;&gt;"",T212&lt;O212),AND(U212&lt;&gt;"",U212&lt;O212)),"Chronologie incohérente",IF(AND(OR(L212="Résolu",L212="Clos"),R212=""),"Date de résolution manquante",IF(AND(L212="Clos",S212=""),"Date de clôture manquante",IF(AND(K212="Oui",AC212=""),"Classification DORA manquante","OK"))))))</f>
        <v/>
      </c>
      <c r="AO212" s="35" t="str">
        <f aca="false">IF($B212="","",IF(AND(C212="Incident",L212&lt;&gt;"Annulé"),1,0))</f>
        <v/>
      </c>
      <c r="AP212" s="35" t="str">
        <f aca="false">IF($B212="","",IF(AND(C212="Quasi-incident",L212&lt;&gt;"Annulé"),1,0))</f>
        <v/>
      </c>
      <c r="AQ212" s="35" t="str">
        <f aca="false">IF($B212="","",AO212+AP212)</f>
        <v/>
      </c>
      <c r="AR212" s="36" t="str">
        <f aca="false">IF(OR($B212="",J212=""),"",IFERROR(VALUE(LEFT(J212,1)),""))</f>
        <v/>
      </c>
      <c r="AS212" s="35" t="str">
        <f aca="false">IF(OR(AO212&lt;&gt;1,G212=""),"",IFERROR(IF(INDEX(L_SrcInterne,MATCH(G212,L_Sources,0))="Oui",1,0),""))</f>
        <v/>
      </c>
      <c r="AT212" s="37" t="str">
        <f aca="false">IF(AO212&lt;&gt;1,"",IFERROR(ROUND(IF(OR(N212="",O212=""),"",IF(O212&lt;N212,"",ROUND(((NETWORKDAYS(N212,O212,JoursFeries)-1)*(HFer-HOuv)+IF(NETWORKDAYS(O212,O212,JoursFeries),MEDIAN(MOD(O212,1),HFer,HOuv),HFer)-IF(NETWORKDAYS(N212,N212,JoursFeries),MEDIAN(MOD(N212,1),HFer,HOuv),HOuv))*24,4)))/HJour,4),""))</f>
        <v/>
      </c>
      <c r="AU212" s="37" t="str">
        <f aca="false">IF(AO212&lt;&gt;1,"",IF(OR(O212="",P212=""),"",IF(P212&lt;O212,"",ROUND(((NETWORKDAYS(O212,P212,JoursFeries)-1)*(HFer-HOuv)+IF(NETWORKDAYS(P212,P212,JoursFeries),MEDIAN(MOD(P212,1),HFer,HOuv),HFer)-IF(NETWORKDAYS(O212,O212,JoursFeries),MEDIAN(MOD(O212,1),HFer,HOuv),HOuv))*24,4))))</f>
        <v/>
      </c>
      <c r="AV212" s="37" t="str">
        <f aca="false">IF(AO212&lt;&gt;1,"",IF(OR(P212="",Q212=""),"",IF(Q212&lt;P212,"",ROUND(((NETWORKDAYS(P212,Q212,JoursFeries)-1)*(HFer-HOuv)+IF(NETWORKDAYS(Q212,Q212,JoursFeries),MEDIAN(MOD(Q212,1),HFer,HOuv),HFer)-IF(NETWORKDAYS(P212,P212,JoursFeries),MEDIAN(MOD(P212,1),HFer,HOuv),HOuv))*24,4))))</f>
        <v/>
      </c>
      <c r="AW212" s="37" t="str">
        <f aca="false">IF(AO212&lt;&gt;1,"",IFERROR(ROUND(IF(OR(P212="",R212=""),"",IF(R212&lt;P212,"",ROUND(((NETWORKDAYS(P212,R212,JoursFeries)-1)*(HFer-HOuv)+IF(NETWORKDAYS(R212,R212,JoursFeries),MEDIAN(MOD(R212,1),HFer,HOuv),HFer)-IF(NETWORKDAYS(P212,P212,JoursFeries),MEDIAN(MOD(P212,1),HFer,HOuv),HOuv))*24,4)))/HJour,4),""))</f>
        <v/>
      </c>
      <c r="AX212" s="37" t="str">
        <f aca="false">IF(AO212&lt;&gt;1,"",IFERROR(ROUND(IF(OR(P212="",S212=""),"",IF(S212&lt;P212,"",ROUND(((NETWORKDAYS(P212,S212,JoursFeries)-1)*(HFer-HOuv)+IF(NETWORKDAYS(S212,S212,JoursFeries),MEDIAN(MOD(S212,1),HFer,HOuv),HFer)-IF(NETWORKDAYS(P212,P212,JoursFeries),MEDIAN(MOD(P212,1),HFer,HOuv),HOuv))*24,4)))/HJour,4),""))</f>
        <v/>
      </c>
      <c r="AY212" s="36" t="str">
        <f aca="false">IF(OR(AO212&lt;&gt;1,AR212=""),"",INDEX(SLA_PEC,AR212))</f>
        <v/>
      </c>
      <c r="AZ212" s="35" t="str">
        <f aca="false">IF(OR(AV212="",AY212=""),"",IF(AV212&lt;=AY212,1,0))</f>
        <v/>
      </c>
      <c r="BA212" s="36" t="str">
        <f aca="false">IF(OR(AO212&lt;&gt;1,AR212=""),"",INDEX(SLA_RES,AR212))</f>
        <v/>
      </c>
      <c r="BB212" s="35" t="str">
        <f aca="false">IF(OR(AW212="",BA212=""),"",IF(AW212&lt;=BA212,1,0))</f>
        <v/>
      </c>
      <c r="BC212" s="38" t="str">
        <f aca="false">IF(OR(BA212="",P212=""),"",WORKDAY(INT(P212),BA212,JoursFeries)+MOD(P212,1))</f>
        <v/>
      </c>
      <c r="BD212" s="39" t="str">
        <f aca="false">IF(AO212&lt;&gt;1,"",IF(OR(AB212&lt;&gt;"",AD212&lt;&gt;""),4,IF(U212&lt;&gt;"",3,IF(T212&lt;&gt;"",2,1))))</f>
        <v/>
      </c>
      <c r="BE212" s="39" t="str">
        <f aca="false">IF(OR(AO212&lt;&gt;1,AR212=""),"",INDEX(NIV_REQ,AR212))</f>
        <v/>
      </c>
      <c r="BF212" s="39" t="str">
        <f aca="false">IF(BE212="","",MAX(BE212,IF(OR(K212="Oui",Z212="Oui"),4,1)))</f>
        <v/>
      </c>
      <c r="BG212" s="35" t="str">
        <f aca="false">IF(OR(BF212="",BD212=""),"",IF(BD212&gt;=BF212,1,0))</f>
        <v/>
      </c>
      <c r="BH212" s="38" t="str">
        <f aca="false">IF(BE212="","",IF(BE212&lt;2,"",IF(BE212=2,IF(AND(T212="",U212=""),"",MIN(T212,U212)),IF(U212="","",U212))))</f>
        <v/>
      </c>
      <c r="BI212" s="37" t="str">
        <f aca="false">IF(BH212="","",IF(OR(O212="",BH212=""),"",IF(BH212&lt;O212,"",ROUND(((NETWORKDAYS(O212,BH212,JoursFeries)-1)*(HFer-HOuv)+IF(NETWORKDAYS(BH212,BH212,JoursFeries),MEDIAN(MOD(BH212,1),HFer,HOuv),HFer)-IF(NETWORKDAYS(O212,O212,JoursFeries),MEDIAN(MOD(O212,1),HFer,HOuv),HOuv))*24,4))))</f>
        <v/>
      </c>
      <c r="BJ212" s="35" t="str">
        <f aca="false">IF(OR(BI212="",AR212=""),"",IF(BI212&lt;=INDEX(DELAI_ESC,AR212),1,0))</f>
        <v/>
      </c>
      <c r="BK212" s="38" t="str">
        <f aca="false">IF(AO212&lt;&gt;1,"",IF(AND(T212="",U212=""),"",MIN(T212,U212)))</f>
        <v/>
      </c>
      <c r="BL212" s="37" t="str">
        <f aca="false">IF(OR(BK212="",R212=""),"",IFERROR(ROUND(IF(OR(BK212="",R212=""),"",IF(R212&lt;BK212,"",ROUND(((NETWORKDAYS(BK212,R212,JoursFeries)-1)*(HFer-HOuv)+IF(NETWORKDAYS(R212,R212,JoursFeries),MEDIAN(MOD(R212,1),HFer,HOuv),HFer)-IF(NETWORKDAYS(BK212,BK212,JoursFeries),MEDIAN(MOD(BK212,1),HFer,HOuv),HOuv))*24,4)))/HJour,4),""))</f>
        <v/>
      </c>
      <c r="BM212" s="35" t="str">
        <f aca="false">IF(OR(AO212&lt;&gt;1,R212=""),"",IF(BD212=1,1,0))</f>
        <v/>
      </c>
      <c r="BN212" s="35" t="str">
        <f aca="false">IF(AO212&lt;&gt;1,"",IF(W212="Oui",1,0))</f>
        <v/>
      </c>
      <c r="BO212" s="35" t="str">
        <f aca="false">IF(AO212&lt;&gt;1,"",IF(X212&lt;&gt;"",1,0))</f>
        <v/>
      </c>
      <c r="BP212" s="35" t="str">
        <f aca="false">IF(AO212&lt;&gt;1,"",IF(Y212="Oui",1,0))</f>
        <v/>
      </c>
      <c r="BQ212" s="35" t="str">
        <f aca="true">IF(OR(AO212&lt;&gt;1,Z212&lt;&gt;"Oui"),"",IF(AB212="",IF(AND(AA212&lt;&gt;"",NOW()&gt;AA212),0,""),IF(AA212="","",IF(AB212&lt;=AA212,1,0))))</f>
        <v/>
      </c>
      <c r="BR212" s="38" t="str">
        <f aca="false">IF(OR(AO212&lt;&gt;1,K212&lt;&gt;"Oui",O212=""),"",IF(AC212="",O212+DORA_H_DET/24,IF(AC212-O212&lt;=DORA_H_DET/24,MIN(AC212+DORA_H_CLA/24,O212+DORA_H_DET/24),AC212+DORA_H_CLA/24)))</f>
        <v/>
      </c>
      <c r="BS212" s="35" t="str">
        <f aca="true">IF(BR212="","",IF(AD212="",IF(NOW()&gt;BR212,0,""),IF(AD212&lt;=BR212,1,0)))</f>
        <v/>
      </c>
      <c r="BT212" s="35" t="str">
        <f aca="true">IF(OR(BR212="",AD212=""),"",IF(AE212="",IF(NOW()&gt;AD212+DORA_H_INT/24,0,""),IF(AE212&lt;=AD212+DORA_H_INT/24,1,0)))</f>
        <v/>
      </c>
      <c r="BU212" s="35" t="str">
        <f aca="true">IF(OR(BR212="",AE212=""),"",IF(AF212="",IF(NOW()&gt;EDATE(AE212,DORA_M_FIN)+1,0,""),IF(AF212&lt;=EDATE(AE212,DORA_M_FIN),1,0)))</f>
        <v/>
      </c>
      <c r="BV212" s="35" t="str">
        <f aca="false">IF(BR212="","",IF(COUNT(BS212:BU212)=0,"",MIN(BS212:BU212)))</f>
        <v/>
      </c>
      <c r="BW212" s="40" t="str">
        <f aca="false">IF(AQ212&lt;&gt;1,"",IF(AND(AG212="",AH212=""),"",N(AG212)-N(AH212)))</f>
        <v/>
      </c>
      <c r="BX212" s="35" t="str">
        <f aca="true">IF(OR(AQ212&lt;&gt;1,AI212&lt;&gt;"Oui",AJ212=""),"",IF(AK212="",IF(NOW()&gt;AJ212+1,0,""),IF(AK212&lt;=AJ212,1,0)))</f>
        <v/>
      </c>
    </row>
    <row r="213" customFormat="false" ht="15" hidden="false" customHeight="false" outlineLevel="0" collapsed="false">
      <c r="B213" s="29"/>
      <c r="C213" s="29"/>
      <c r="D213" s="29"/>
      <c r="E213" s="29"/>
      <c r="F213" s="29"/>
      <c r="G213" s="29"/>
      <c r="H213" s="29"/>
      <c r="I213" s="29"/>
      <c r="J213" s="29"/>
      <c r="K213" s="29"/>
      <c r="L213" s="29"/>
      <c r="M213" s="29"/>
      <c r="N213" s="30"/>
      <c r="O213" s="30"/>
      <c r="P213" s="30"/>
      <c r="Q213" s="30"/>
      <c r="R213" s="30"/>
      <c r="S213" s="30"/>
      <c r="T213" s="30"/>
      <c r="U213" s="30"/>
      <c r="V213" s="31"/>
      <c r="W213" s="29"/>
      <c r="X213" s="29"/>
      <c r="Y213" s="29"/>
      <c r="Z213" s="29"/>
      <c r="AA213" s="30"/>
      <c r="AB213" s="30"/>
      <c r="AC213" s="30"/>
      <c r="AD213" s="30"/>
      <c r="AE213" s="30"/>
      <c r="AF213" s="32"/>
      <c r="AG213" s="33"/>
      <c r="AH213" s="33"/>
      <c r="AI213" s="29"/>
      <c r="AJ213" s="32"/>
      <c r="AK213" s="32"/>
      <c r="AL213" s="29"/>
      <c r="AN213" s="34" t="str">
        <f aca="false">IF($B213="","",IF(OR(C213="",D213="",E213="",G213="",I213="",J213="",L213="",O213="",P213=""),"Champ obligatoire manquant",IF(OR(AND(N213&lt;&gt;"",N213&gt;O213),O213&gt;P213,AND(Q213&lt;&gt;"",Q213&lt;P213),AND(R213&lt;&gt;"",R213&lt;P213),AND(S213&lt;&gt;"",S213&lt;R213),AND(S213&lt;&gt;"",R213=""),AND(T213&lt;&gt;"",T213&lt;O213),AND(U213&lt;&gt;"",U213&lt;O213)),"Chronologie incohérente",IF(AND(OR(L213="Résolu",L213="Clos"),R213=""),"Date de résolution manquante",IF(AND(L213="Clos",S213=""),"Date de clôture manquante",IF(AND(K213="Oui",AC213=""),"Classification DORA manquante","OK"))))))</f>
        <v/>
      </c>
      <c r="AO213" s="35" t="str">
        <f aca="false">IF($B213="","",IF(AND(C213="Incident",L213&lt;&gt;"Annulé"),1,0))</f>
        <v/>
      </c>
      <c r="AP213" s="35" t="str">
        <f aca="false">IF($B213="","",IF(AND(C213="Quasi-incident",L213&lt;&gt;"Annulé"),1,0))</f>
        <v/>
      </c>
      <c r="AQ213" s="35" t="str">
        <f aca="false">IF($B213="","",AO213+AP213)</f>
        <v/>
      </c>
      <c r="AR213" s="36" t="str">
        <f aca="false">IF(OR($B213="",J213=""),"",IFERROR(VALUE(LEFT(J213,1)),""))</f>
        <v/>
      </c>
      <c r="AS213" s="35" t="str">
        <f aca="false">IF(OR(AO213&lt;&gt;1,G213=""),"",IFERROR(IF(INDEX(L_SrcInterne,MATCH(G213,L_Sources,0))="Oui",1,0),""))</f>
        <v/>
      </c>
      <c r="AT213" s="37" t="str">
        <f aca="false">IF(AO213&lt;&gt;1,"",IFERROR(ROUND(IF(OR(N213="",O213=""),"",IF(O213&lt;N213,"",ROUND(((NETWORKDAYS(N213,O213,JoursFeries)-1)*(HFer-HOuv)+IF(NETWORKDAYS(O213,O213,JoursFeries),MEDIAN(MOD(O213,1),HFer,HOuv),HFer)-IF(NETWORKDAYS(N213,N213,JoursFeries),MEDIAN(MOD(N213,1),HFer,HOuv),HOuv))*24,4)))/HJour,4),""))</f>
        <v/>
      </c>
      <c r="AU213" s="37" t="str">
        <f aca="false">IF(AO213&lt;&gt;1,"",IF(OR(O213="",P213=""),"",IF(P213&lt;O213,"",ROUND(((NETWORKDAYS(O213,P213,JoursFeries)-1)*(HFer-HOuv)+IF(NETWORKDAYS(P213,P213,JoursFeries),MEDIAN(MOD(P213,1),HFer,HOuv),HFer)-IF(NETWORKDAYS(O213,O213,JoursFeries),MEDIAN(MOD(O213,1),HFer,HOuv),HOuv))*24,4))))</f>
        <v/>
      </c>
      <c r="AV213" s="37" t="str">
        <f aca="false">IF(AO213&lt;&gt;1,"",IF(OR(P213="",Q213=""),"",IF(Q213&lt;P213,"",ROUND(((NETWORKDAYS(P213,Q213,JoursFeries)-1)*(HFer-HOuv)+IF(NETWORKDAYS(Q213,Q213,JoursFeries),MEDIAN(MOD(Q213,1),HFer,HOuv),HFer)-IF(NETWORKDAYS(P213,P213,JoursFeries),MEDIAN(MOD(P213,1),HFer,HOuv),HOuv))*24,4))))</f>
        <v/>
      </c>
      <c r="AW213" s="37" t="str">
        <f aca="false">IF(AO213&lt;&gt;1,"",IFERROR(ROUND(IF(OR(P213="",R213=""),"",IF(R213&lt;P213,"",ROUND(((NETWORKDAYS(P213,R213,JoursFeries)-1)*(HFer-HOuv)+IF(NETWORKDAYS(R213,R213,JoursFeries),MEDIAN(MOD(R213,1),HFer,HOuv),HFer)-IF(NETWORKDAYS(P213,P213,JoursFeries),MEDIAN(MOD(P213,1),HFer,HOuv),HOuv))*24,4)))/HJour,4),""))</f>
        <v/>
      </c>
      <c r="AX213" s="37" t="str">
        <f aca="false">IF(AO213&lt;&gt;1,"",IFERROR(ROUND(IF(OR(P213="",S213=""),"",IF(S213&lt;P213,"",ROUND(((NETWORKDAYS(P213,S213,JoursFeries)-1)*(HFer-HOuv)+IF(NETWORKDAYS(S213,S213,JoursFeries),MEDIAN(MOD(S213,1),HFer,HOuv),HFer)-IF(NETWORKDAYS(P213,P213,JoursFeries),MEDIAN(MOD(P213,1),HFer,HOuv),HOuv))*24,4)))/HJour,4),""))</f>
        <v/>
      </c>
      <c r="AY213" s="36" t="str">
        <f aca="false">IF(OR(AO213&lt;&gt;1,AR213=""),"",INDEX(SLA_PEC,AR213))</f>
        <v/>
      </c>
      <c r="AZ213" s="35" t="str">
        <f aca="false">IF(OR(AV213="",AY213=""),"",IF(AV213&lt;=AY213,1,0))</f>
        <v/>
      </c>
      <c r="BA213" s="36" t="str">
        <f aca="false">IF(OR(AO213&lt;&gt;1,AR213=""),"",INDEX(SLA_RES,AR213))</f>
        <v/>
      </c>
      <c r="BB213" s="35" t="str">
        <f aca="false">IF(OR(AW213="",BA213=""),"",IF(AW213&lt;=BA213,1,0))</f>
        <v/>
      </c>
      <c r="BC213" s="38" t="str">
        <f aca="false">IF(OR(BA213="",P213=""),"",WORKDAY(INT(P213),BA213,JoursFeries)+MOD(P213,1))</f>
        <v/>
      </c>
      <c r="BD213" s="39" t="str">
        <f aca="false">IF(AO213&lt;&gt;1,"",IF(OR(AB213&lt;&gt;"",AD213&lt;&gt;""),4,IF(U213&lt;&gt;"",3,IF(T213&lt;&gt;"",2,1))))</f>
        <v/>
      </c>
      <c r="BE213" s="39" t="str">
        <f aca="false">IF(OR(AO213&lt;&gt;1,AR213=""),"",INDEX(NIV_REQ,AR213))</f>
        <v/>
      </c>
      <c r="BF213" s="39" t="str">
        <f aca="false">IF(BE213="","",MAX(BE213,IF(OR(K213="Oui",Z213="Oui"),4,1)))</f>
        <v/>
      </c>
      <c r="BG213" s="35" t="str">
        <f aca="false">IF(OR(BF213="",BD213=""),"",IF(BD213&gt;=BF213,1,0))</f>
        <v/>
      </c>
      <c r="BH213" s="38" t="str">
        <f aca="false">IF(BE213="","",IF(BE213&lt;2,"",IF(BE213=2,IF(AND(T213="",U213=""),"",MIN(T213,U213)),IF(U213="","",U213))))</f>
        <v/>
      </c>
      <c r="BI213" s="37" t="str">
        <f aca="false">IF(BH213="","",IF(OR(O213="",BH213=""),"",IF(BH213&lt;O213,"",ROUND(((NETWORKDAYS(O213,BH213,JoursFeries)-1)*(HFer-HOuv)+IF(NETWORKDAYS(BH213,BH213,JoursFeries),MEDIAN(MOD(BH213,1),HFer,HOuv),HFer)-IF(NETWORKDAYS(O213,O213,JoursFeries),MEDIAN(MOD(O213,1),HFer,HOuv),HOuv))*24,4))))</f>
        <v/>
      </c>
      <c r="BJ213" s="35" t="str">
        <f aca="false">IF(OR(BI213="",AR213=""),"",IF(BI213&lt;=INDEX(DELAI_ESC,AR213),1,0))</f>
        <v/>
      </c>
      <c r="BK213" s="38" t="str">
        <f aca="false">IF(AO213&lt;&gt;1,"",IF(AND(T213="",U213=""),"",MIN(T213,U213)))</f>
        <v/>
      </c>
      <c r="BL213" s="37" t="str">
        <f aca="false">IF(OR(BK213="",R213=""),"",IFERROR(ROUND(IF(OR(BK213="",R213=""),"",IF(R213&lt;BK213,"",ROUND(((NETWORKDAYS(BK213,R213,JoursFeries)-1)*(HFer-HOuv)+IF(NETWORKDAYS(R213,R213,JoursFeries),MEDIAN(MOD(R213,1),HFer,HOuv),HFer)-IF(NETWORKDAYS(BK213,BK213,JoursFeries),MEDIAN(MOD(BK213,1),HFer,HOuv),HOuv))*24,4)))/HJour,4),""))</f>
        <v/>
      </c>
      <c r="BM213" s="35" t="str">
        <f aca="false">IF(OR(AO213&lt;&gt;1,R213=""),"",IF(BD213=1,1,0))</f>
        <v/>
      </c>
      <c r="BN213" s="35" t="str">
        <f aca="false">IF(AO213&lt;&gt;1,"",IF(W213="Oui",1,0))</f>
        <v/>
      </c>
      <c r="BO213" s="35" t="str">
        <f aca="false">IF(AO213&lt;&gt;1,"",IF(X213&lt;&gt;"",1,0))</f>
        <v/>
      </c>
      <c r="BP213" s="35" t="str">
        <f aca="false">IF(AO213&lt;&gt;1,"",IF(Y213="Oui",1,0))</f>
        <v/>
      </c>
      <c r="BQ213" s="35" t="str">
        <f aca="true">IF(OR(AO213&lt;&gt;1,Z213&lt;&gt;"Oui"),"",IF(AB213="",IF(AND(AA213&lt;&gt;"",NOW()&gt;AA213),0,""),IF(AA213="","",IF(AB213&lt;=AA213,1,0))))</f>
        <v/>
      </c>
      <c r="BR213" s="38" t="str">
        <f aca="false">IF(OR(AO213&lt;&gt;1,K213&lt;&gt;"Oui",O213=""),"",IF(AC213="",O213+DORA_H_DET/24,IF(AC213-O213&lt;=DORA_H_DET/24,MIN(AC213+DORA_H_CLA/24,O213+DORA_H_DET/24),AC213+DORA_H_CLA/24)))</f>
        <v/>
      </c>
      <c r="BS213" s="35" t="str">
        <f aca="true">IF(BR213="","",IF(AD213="",IF(NOW()&gt;BR213,0,""),IF(AD213&lt;=BR213,1,0)))</f>
        <v/>
      </c>
      <c r="BT213" s="35" t="str">
        <f aca="true">IF(OR(BR213="",AD213=""),"",IF(AE213="",IF(NOW()&gt;AD213+DORA_H_INT/24,0,""),IF(AE213&lt;=AD213+DORA_H_INT/24,1,0)))</f>
        <v/>
      </c>
      <c r="BU213" s="35" t="str">
        <f aca="true">IF(OR(BR213="",AE213=""),"",IF(AF213="",IF(NOW()&gt;EDATE(AE213,DORA_M_FIN)+1,0,""),IF(AF213&lt;=EDATE(AE213,DORA_M_FIN),1,0)))</f>
        <v/>
      </c>
      <c r="BV213" s="35" t="str">
        <f aca="false">IF(BR213="","",IF(COUNT(BS213:BU213)=0,"",MIN(BS213:BU213)))</f>
        <v/>
      </c>
      <c r="BW213" s="40" t="str">
        <f aca="false">IF(AQ213&lt;&gt;1,"",IF(AND(AG213="",AH213=""),"",N(AG213)-N(AH213)))</f>
        <v/>
      </c>
      <c r="BX213" s="35" t="str">
        <f aca="true">IF(OR(AQ213&lt;&gt;1,AI213&lt;&gt;"Oui",AJ213=""),"",IF(AK213="",IF(NOW()&gt;AJ213+1,0,""),IF(AK213&lt;=AJ213,1,0)))</f>
        <v/>
      </c>
    </row>
    <row r="214" customFormat="false" ht="15" hidden="false" customHeight="false" outlineLevel="0" collapsed="false">
      <c r="B214" s="29"/>
      <c r="C214" s="29"/>
      <c r="D214" s="29"/>
      <c r="E214" s="29"/>
      <c r="F214" s="29"/>
      <c r="G214" s="29"/>
      <c r="H214" s="29"/>
      <c r="I214" s="29"/>
      <c r="J214" s="29"/>
      <c r="K214" s="29"/>
      <c r="L214" s="29"/>
      <c r="M214" s="29"/>
      <c r="N214" s="30"/>
      <c r="O214" s="30"/>
      <c r="P214" s="30"/>
      <c r="Q214" s="30"/>
      <c r="R214" s="30"/>
      <c r="S214" s="30"/>
      <c r="T214" s="30"/>
      <c r="U214" s="30"/>
      <c r="V214" s="31"/>
      <c r="W214" s="29"/>
      <c r="X214" s="29"/>
      <c r="Y214" s="29"/>
      <c r="Z214" s="29"/>
      <c r="AA214" s="30"/>
      <c r="AB214" s="30"/>
      <c r="AC214" s="30"/>
      <c r="AD214" s="30"/>
      <c r="AE214" s="30"/>
      <c r="AF214" s="32"/>
      <c r="AG214" s="33"/>
      <c r="AH214" s="33"/>
      <c r="AI214" s="29"/>
      <c r="AJ214" s="32"/>
      <c r="AK214" s="32"/>
      <c r="AL214" s="29"/>
      <c r="AN214" s="34" t="str">
        <f aca="false">IF($B214="","",IF(OR(C214="",D214="",E214="",G214="",I214="",J214="",L214="",O214="",P214=""),"Champ obligatoire manquant",IF(OR(AND(N214&lt;&gt;"",N214&gt;O214),O214&gt;P214,AND(Q214&lt;&gt;"",Q214&lt;P214),AND(R214&lt;&gt;"",R214&lt;P214),AND(S214&lt;&gt;"",S214&lt;R214),AND(S214&lt;&gt;"",R214=""),AND(T214&lt;&gt;"",T214&lt;O214),AND(U214&lt;&gt;"",U214&lt;O214)),"Chronologie incohérente",IF(AND(OR(L214="Résolu",L214="Clos"),R214=""),"Date de résolution manquante",IF(AND(L214="Clos",S214=""),"Date de clôture manquante",IF(AND(K214="Oui",AC214=""),"Classification DORA manquante","OK"))))))</f>
        <v/>
      </c>
      <c r="AO214" s="35" t="str">
        <f aca="false">IF($B214="","",IF(AND(C214="Incident",L214&lt;&gt;"Annulé"),1,0))</f>
        <v/>
      </c>
      <c r="AP214" s="35" t="str">
        <f aca="false">IF($B214="","",IF(AND(C214="Quasi-incident",L214&lt;&gt;"Annulé"),1,0))</f>
        <v/>
      </c>
      <c r="AQ214" s="35" t="str">
        <f aca="false">IF($B214="","",AO214+AP214)</f>
        <v/>
      </c>
      <c r="AR214" s="36" t="str">
        <f aca="false">IF(OR($B214="",J214=""),"",IFERROR(VALUE(LEFT(J214,1)),""))</f>
        <v/>
      </c>
      <c r="AS214" s="35" t="str">
        <f aca="false">IF(OR(AO214&lt;&gt;1,G214=""),"",IFERROR(IF(INDEX(L_SrcInterne,MATCH(G214,L_Sources,0))="Oui",1,0),""))</f>
        <v/>
      </c>
      <c r="AT214" s="37" t="str">
        <f aca="false">IF(AO214&lt;&gt;1,"",IFERROR(ROUND(IF(OR(N214="",O214=""),"",IF(O214&lt;N214,"",ROUND(((NETWORKDAYS(N214,O214,JoursFeries)-1)*(HFer-HOuv)+IF(NETWORKDAYS(O214,O214,JoursFeries),MEDIAN(MOD(O214,1),HFer,HOuv),HFer)-IF(NETWORKDAYS(N214,N214,JoursFeries),MEDIAN(MOD(N214,1),HFer,HOuv),HOuv))*24,4)))/HJour,4),""))</f>
        <v/>
      </c>
      <c r="AU214" s="37" t="str">
        <f aca="false">IF(AO214&lt;&gt;1,"",IF(OR(O214="",P214=""),"",IF(P214&lt;O214,"",ROUND(((NETWORKDAYS(O214,P214,JoursFeries)-1)*(HFer-HOuv)+IF(NETWORKDAYS(P214,P214,JoursFeries),MEDIAN(MOD(P214,1),HFer,HOuv),HFer)-IF(NETWORKDAYS(O214,O214,JoursFeries),MEDIAN(MOD(O214,1),HFer,HOuv),HOuv))*24,4))))</f>
        <v/>
      </c>
      <c r="AV214" s="37" t="str">
        <f aca="false">IF(AO214&lt;&gt;1,"",IF(OR(P214="",Q214=""),"",IF(Q214&lt;P214,"",ROUND(((NETWORKDAYS(P214,Q214,JoursFeries)-1)*(HFer-HOuv)+IF(NETWORKDAYS(Q214,Q214,JoursFeries),MEDIAN(MOD(Q214,1),HFer,HOuv),HFer)-IF(NETWORKDAYS(P214,P214,JoursFeries),MEDIAN(MOD(P214,1),HFer,HOuv),HOuv))*24,4))))</f>
        <v/>
      </c>
      <c r="AW214" s="37" t="str">
        <f aca="false">IF(AO214&lt;&gt;1,"",IFERROR(ROUND(IF(OR(P214="",R214=""),"",IF(R214&lt;P214,"",ROUND(((NETWORKDAYS(P214,R214,JoursFeries)-1)*(HFer-HOuv)+IF(NETWORKDAYS(R214,R214,JoursFeries),MEDIAN(MOD(R214,1),HFer,HOuv),HFer)-IF(NETWORKDAYS(P214,P214,JoursFeries),MEDIAN(MOD(P214,1),HFer,HOuv),HOuv))*24,4)))/HJour,4),""))</f>
        <v/>
      </c>
      <c r="AX214" s="37" t="str">
        <f aca="false">IF(AO214&lt;&gt;1,"",IFERROR(ROUND(IF(OR(P214="",S214=""),"",IF(S214&lt;P214,"",ROUND(((NETWORKDAYS(P214,S214,JoursFeries)-1)*(HFer-HOuv)+IF(NETWORKDAYS(S214,S214,JoursFeries),MEDIAN(MOD(S214,1),HFer,HOuv),HFer)-IF(NETWORKDAYS(P214,P214,JoursFeries),MEDIAN(MOD(P214,1),HFer,HOuv),HOuv))*24,4)))/HJour,4),""))</f>
        <v/>
      </c>
      <c r="AY214" s="36" t="str">
        <f aca="false">IF(OR(AO214&lt;&gt;1,AR214=""),"",INDEX(SLA_PEC,AR214))</f>
        <v/>
      </c>
      <c r="AZ214" s="35" t="str">
        <f aca="false">IF(OR(AV214="",AY214=""),"",IF(AV214&lt;=AY214,1,0))</f>
        <v/>
      </c>
      <c r="BA214" s="36" t="str">
        <f aca="false">IF(OR(AO214&lt;&gt;1,AR214=""),"",INDEX(SLA_RES,AR214))</f>
        <v/>
      </c>
      <c r="BB214" s="35" t="str">
        <f aca="false">IF(OR(AW214="",BA214=""),"",IF(AW214&lt;=BA214,1,0))</f>
        <v/>
      </c>
      <c r="BC214" s="38" t="str">
        <f aca="false">IF(OR(BA214="",P214=""),"",WORKDAY(INT(P214),BA214,JoursFeries)+MOD(P214,1))</f>
        <v/>
      </c>
      <c r="BD214" s="39" t="str">
        <f aca="false">IF(AO214&lt;&gt;1,"",IF(OR(AB214&lt;&gt;"",AD214&lt;&gt;""),4,IF(U214&lt;&gt;"",3,IF(T214&lt;&gt;"",2,1))))</f>
        <v/>
      </c>
      <c r="BE214" s="39" t="str">
        <f aca="false">IF(OR(AO214&lt;&gt;1,AR214=""),"",INDEX(NIV_REQ,AR214))</f>
        <v/>
      </c>
      <c r="BF214" s="39" t="str">
        <f aca="false">IF(BE214="","",MAX(BE214,IF(OR(K214="Oui",Z214="Oui"),4,1)))</f>
        <v/>
      </c>
      <c r="BG214" s="35" t="str">
        <f aca="false">IF(OR(BF214="",BD214=""),"",IF(BD214&gt;=BF214,1,0))</f>
        <v/>
      </c>
      <c r="BH214" s="38" t="str">
        <f aca="false">IF(BE214="","",IF(BE214&lt;2,"",IF(BE214=2,IF(AND(T214="",U214=""),"",MIN(T214,U214)),IF(U214="","",U214))))</f>
        <v/>
      </c>
      <c r="BI214" s="37" t="str">
        <f aca="false">IF(BH214="","",IF(OR(O214="",BH214=""),"",IF(BH214&lt;O214,"",ROUND(((NETWORKDAYS(O214,BH214,JoursFeries)-1)*(HFer-HOuv)+IF(NETWORKDAYS(BH214,BH214,JoursFeries),MEDIAN(MOD(BH214,1),HFer,HOuv),HFer)-IF(NETWORKDAYS(O214,O214,JoursFeries),MEDIAN(MOD(O214,1),HFer,HOuv),HOuv))*24,4))))</f>
        <v/>
      </c>
      <c r="BJ214" s="35" t="str">
        <f aca="false">IF(OR(BI214="",AR214=""),"",IF(BI214&lt;=INDEX(DELAI_ESC,AR214),1,0))</f>
        <v/>
      </c>
      <c r="BK214" s="38" t="str">
        <f aca="false">IF(AO214&lt;&gt;1,"",IF(AND(T214="",U214=""),"",MIN(T214,U214)))</f>
        <v/>
      </c>
      <c r="BL214" s="37" t="str">
        <f aca="false">IF(OR(BK214="",R214=""),"",IFERROR(ROUND(IF(OR(BK214="",R214=""),"",IF(R214&lt;BK214,"",ROUND(((NETWORKDAYS(BK214,R214,JoursFeries)-1)*(HFer-HOuv)+IF(NETWORKDAYS(R214,R214,JoursFeries),MEDIAN(MOD(R214,1),HFer,HOuv),HFer)-IF(NETWORKDAYS(BK214,BK214,JoursFeries),MEDIAN(MOD(BK214,1),HFer,HOuv),HOuv))*24,4)))/HJour,4),""))</f>
        <v/>
      </c>
      <c r="BM214" s="35" t="str">
        <f aca="false">IF(OR(AO214&lt;&gt;1,R214=""),"",IF(BD214=1,1,0))</f>
        <v/>
      </c>
      <c r="BN214" s="35" t="str">
        <f aca="false">IF(AO214&lt;&gt;1,"",IF(W214="Oui",1,0))</f>
        <v/>
      </c>
      <c r="BO214" s="35" t="str">
        <f aca="false">IF(AO214&lt;&gt;1,"",IF(X214&lt;&gt;"",1,0))</f>
        <v/>
      </c>
      <c r="BP214" s="35" t="str">
        <f aca="false">IF(AO214&lt;&gt;1,"",IF(Y214="Oui",1,0))</f>
        <v/>
      </c>
      <c r="BQ214" s="35" t="str">
        <f aca="true">IF(OR(AO214&lt;&gt;1,Z214&lt;&gt;"Oui"),"",IF(AB214="",IF(AND(AA214&lt;&gt;"",NOW()&gt;AA214),0,""),IF(AA214="","",IF(AB214&lt;=AA214,1,0))))</f>
        <v/>
      </c>
      <c r="BR214" s="38" t="str">
        <f aca="false">IF(OR(AO214&lt;&gt;1,K214&lt;&gt;"Oui",O214=""),"",IF(AC214="",O214+DORA_H_DET/24,IF(AC214-O214&lt;=DORA_H_DET/24,MIN(AC214+DORA_H_CLA/24,O214+DORA_H_DET/24),AC214+DORA_H_CLA/24)))</f>
        <v/>
      </c>
      <c r="BS214" s="35" t="str">
        <f aca="true">IF(BR214="","",IF(AD214="",IF(NOW()&gt;BR214,0,""),IF(AD214&lt;=BR214,1,0)))</f>
        <v/>
      </c>
      <c r="BT214" s="35" t="str">
        <f aca="true">IF(OR(BR214="",AD214=""),"",IF(AE214="",IF(NOW()&gt;AD214+DORA_H_INT/24,0,""),IF(AE214&lt;=AD214+DORA_H_INT/24,1,0)))</f>
        <v/>
      </c>
      <c r="BU214" s="35" t="str">
        <f aca="true">IF(OR(BR214="",AE214=""),"",IF(AF214="",IF(NOW()&gt;EDATE(AE214,DORA_M_FIN)+1,0,""),IF(AF214&lt;=EDATE(AE214,DORA_M_FIN),1,0)))</f>
        <v/>
      </c>
      <c r="BV214" s="35" t="str">
        <f aca="false">IF(BR214="","",IF(COUNT(BS214:BU214)=0,"",MIN(BS214:BU214)))</f>
        <v/>
      </c>
      <c r="BW214" s="40" t="str">
        <f aca="false">IF(AQ214&lt;&gt;1,"",IF(AND(AG214="",AH214=""),"",N(AG214)-N(AH214)))</f>
        <v/>
      </c>
      <c r="BX214" s="35" t="str">
        <f aca="true">IF(OR(AQ214&lt;&gt;1,AI214&lt;&gt;"Oui",AJ214=""),"",IF(AK214="",IF(NOW()&gt;AJ214+1,0,""),IF(AK214&lt;=AJ214,1,0)))</f>
        <v/>
      </c>
    </row>
    <row r="215" customFormat="false" ht="15" hidden="false" customHeight="false" outlineLevel="0" collapsed="false">
      <c r="B215" s="29"/>
      <c r="C215" s="29"/>
      <c r="D215" s="29"/>
      <c r="E215" s="29"/>
      <c r="F215" s="29"/>
      <c r="G215" s="29"/>
      <c r="H215" s="29"/>
      <c r="I215" s="29"/>
      <c r="J215" s="29"/>
      <c r="K215" s="29"/>
      <c r="L215" s="29"/>
      <c r="M215" s="29"/>
      <c r="N215" s="30"/>
      <c r="O215" s="30"/>
      <c r="P215" s="30"/>
      <c r="Q215" s="30"/>
      <c r="R215" s="30"/>
      <c r="S215" s="30"/>
      <c r="T215" s="30"/>
      <c r="U215" s="30"/>
      <c r="V215" s="31"/>
      <c r="W215" s="29"/>
      <c r="X215" s="29"/>
      <c r="Y215" s="29"/>
      <c r="Z215" s="29"/>
      <c r="AA215" s="30"/>
      <c r="AB215" s="30"/>
      <c r="AC215" s="30"/>
      <c r="AD215" s="30"/>
      <c r="AE215" s="30"/>
      <c r="AF215" s="32"/>
      <c r="AG215" s="33"/>
      <c r="AH215" s="33"/>
      <c r="AI215" s="29"/>
      <c r="AJ215" s="32"/>
      <c r="AK215" s="32"/>
      <c r="AL215" s="29"/>
      <c r="AN215" s="34" t="str">
        <f aca="false">IF($B215="","",IF(OR(C215="",D215="",E215="",G215="",I215="",J215="",L215="",O215="",P215=""),"Champ obligatoire manquant",IF(OR(AND(N215&lt;&gt;"",N215&gt;O215),O215&gt;P215,AND(Q215&lt;&gt;"",Q215&lt;P215),AND(R215&lt;&gt;"",R215&lt;P215),AND(S215&lt;&gt;"",S215&lt;R215),AND(S215&lt;&gt;"",R215=""),AND(T215&lt;&gt;"",T215&lt;O215),AND(U215&lt;&gt;"",U215&lt;O215)),"Chronologie incohérente",IF(AND(OR(L215="Résolu",L215="Clos"),R215=""),"Date de résolution manquante",IF(AND(L215="Clos",S215=""),"Date de clôture manquante",IF(AND(K215="Oui",AC215=""),"Classification DORA manquante","OK"))))))</f>
        <v/>
      </c>
      <c r="AO215" s="35" t="str">
        <f aca="false">IF($B215="","",IF(AND(C215="Incident",L215&lt;&gt;"Annulé"),1,0))</f>
        <v/>
      </c>
      <c r="AP215" s="35" t="str">
        <f aca="false">IF($B215="","",IF(AND(C215="Quasi-incident",L215&lt;&gt;"Annulé"),1,0))</f>
        <v/>
      </c>
      <c r="AQ215" s="35" t="str">
        <f aca="false">IF($B215="","",AO215+AP215)</f>
        <v/>
      </c>
      <c r="AR215" s="36" t="str">
        <f aca="false">IF(OR($B215="",J215=""),"",IFERROR(VALUE(LEFT(J215,1)),""))</f>
        <v/>
      </c>
      <c r="AS215" s="35" t="str">
        <f aca="false">IF(OR(AO215&lt;&gt;1,G215=""),"",IFERROR(IF(INDEX(L_SrcInterne,MATCH(G215,L_Sources,0))="Oui",1,0),""))</f>
        <v/>
      </c>
      <c r="AT215" s="37" t="str">
        <f aca="false">IF(AO215&lt;&gt;1,"",IFERROR(ROUND(IF(OR(N215="",O215=""),"",IF(O215&lt;N215,"",ROUND(((NETWORKDAYS(N215,O215,JoursFeries)-1)*(HFer-HOuv)+IF(NETWORKDAYS(O215,O215,JoursFeries),MEDIAN(MOD(O215,1),HFer,HOuv),HFer)-IF(NETWORKDAYS(N215,N215,JoursFeries),MEDIAN(MOD(N215,1),HFer,HOuv),HOuv))*24,4)))/HJour,4),""))</f>
        <v/>
      </c>
      <c r="AU215" s="37" t="str">
        <f aca="false">IF(AO215&lt;&gt;1,"",IF(OR(O215="",P215=""),"",IF(P215&lt;O215,"",ROUND(((NETWORKDAYS(O215,P215,JoursFeries)-1)*(HFer-HOuv)+IF(NETWORKDAYS(P215,P215,JoursFeries),MEDIAN(MOD(P215,1),HFer,HOuv),HFer)-IF(NETWORKDAYS(O215,O215,JoursFeries),MEDIAN(MOD(O215,1),HFer,HOuv),HOuv))*24,4))))</f>
        <v/>
      </c>
      <c r="AV215" s="37" t="str">
        <f aca="false">IF(AO215&lt;&gt;1,"",IF(OR(P215="",Q215=""),"",IF(Q215&lt;P215,"",ROUND(((NETWORKDAYS(P215,Q215,JoursFeries)-1)*(HFer-HOuv)+IF(NETWORKDAYS(Q215,Q215,JoursFeries),MEDIAN(MOD(Q215,1),HFer,HOuv),HFer)-IF(NETWORKDAYS(P215,P215,JoursFeries),MEDIAN(MOD(P215,1),HFer,HOuv),HOuv))*24,4))))</f>
        <v/>
      </c>
      <c r="AW215" s="37" t="str">
        <f aca="false">IF(AO215&lt;&gt;1,"",IFERROR(ROUND(IF(OR(P215="",R215=""),"",IF(R215&lt;P215,"",ROUND(((NETWORKDAYS(P215,R215,JoursFeries)-1)*(HFer-HOuv)+IF(NETWORKDAYS(R215,R215,JoursFeries),MEDIAN(MOD(R215,1),HFer,HOuv),HFer)-IF(NETWORKDAYS(P215,P215,JoursFeries),MEDIAN(MOD(P215,1),HFer,HOuv),HOuv))*24,4)))/HJour,4),""))</f>
        <v/>
      </c>
      <c r="AX215" s="37" t="str">
        <f aca="false">IF(AO215&lt;&gt;1,"",IFERROR(ROUND(IF(OR(P215="",S215=""),"",IF(S215&lt;P215,"",ROUND(((NETWORKDAYS(P215,S215,JoursFeries)-1)*(HFer-HOuv)+IF(NETWORKDAYS(S215,S215,JoursFeries),MEDIAN(MOD(S215,1),HFer,HOuv),HFer)-IF(NETWORKDAYS(P215,P215,JoursFeries),MEDIAN(MOD(P215,1),HFer,HOuv),HOuv))*24,4)))/HJour,4),""))</f>
        <v/>
      </c>
      <c r="AY215" s="36" t="str">
        <f aca="false">IF(OR(AO215&lt;&gt;1,AR215=""),"",INDEX(SLA_PEC,AR215))</f>
        <v/>
      </c>
      <c r="AZ215" s="35" t="str">
        <f aca="false">IF(OR(AV215="",AY215=""),"",IF(AV215&lt;=AY215,1,0))</f>
        <v/>
      </c>
      <c r="BA215" s="36" t="str">
        <f aca="false">IF(OR(AO215&lt;&gt;1,AR215=""),"",INDEX(SLA_RES,AR215))</f>
        <v/>
      </c>
      <c r="BB215" s="35" t="str">
        <f aca="false">IF(OR(AW215="",BA215=""),"",IF(AW215&lt;=BA215,1,0))</f>
        <v/>
      </c>
      <c r="BC215" s="38" t="str">
        <f aca="false">IF(OR(BA215="",P215=""),"",WORKDAY(INT(P215),BA215,JoursFeries)+MOD(P215,1))</f>
        <v/>
      </c>
      <c r="BD215" s="39" t="str">
        <f aca="false">IF(AO215&lt;&gt;1,"",IF(OR(AB215&lt;&gt;"",AD215&lt;&gt;""),4,IF(U215&lt;&gt;"",3,IF(T215&lt;&gt;"",2,1))))</f>
        <v/>
      </c>
      <c r="BE215" s="39" t="str">
        <f aca="false">IF(OR(AO215&lt;&gt;1,AR215=""),"",INDEX(NIV_REQ,AR215))</f>
        <v/>
      </c>
      <c r="BF215" s="39" t="str">
        <f aca="false">IF(BE215="","",MAX(BE215,IF(OR(K215="Oui",Z215="Oui"),4,1)))</f>
        <v/>
      </c>
      <c r="BG215" s="35" t="str">
        <f aca="false">IF(OR(BF215="",BD215=""),"",IF(BD215&gt;=BF215,1,0))</f>
        <v/>
      </c>
      <c r="BH215" s="38" t="str">
        <f aca="false">IF(BE215="","",IF(BE215&lt;2,"",IF(BE215=2,IF(AND(T215="",U215=""),"",MIN(T215,U215)),IF(U215="","",U215))))</f>
        <v/>
      </c>
      <c r="BI215" s="37" t="str">
        <f aca="false">IF(BH215="","",IF(OR(O215="",BH215=""),"",IF(BH215&lt;O215,"",ROUND(((NETWORKDAYS(O215,BH215,JoursFeries)-1)*(HFer-HOuv)+IF(NETWORKDAYS(BH215,BH215,JoursFeries),MEDIAN(MOD(BH215,1),HFer,HOuv),HFer)-IF(NETWORKDAYS(O215,O215,JoursFeries),MEDIAN(MOD(O215,1),HFer,HOuv),HOuv))*24,4))))</f>
        <v/>
      </c>
      <c r="BJ215" s="35" t="str">
        <f aca="false">IF(OR(BI215="",AR215=""),"",IF(BI215&lt;=INDEX(DELAI_ESC,AR215),1,0))</f>
        <v/>
      </c>
      <c r="BK215" s="38" t="str">
        <f aca="false">IF(AO215&lt;&gt;1,"",IF(AND(T215="",U215=""),"",MIN(T215,U215)))</f>
        <v/>
      </c>
      <c r="BL215" s="37" t="str">
        <f aca="false">IF(OR(BK215="",R215=""),"",IFERROR(ROUND(IF(OR(BK215="",R215=""),"",IF(R215&lt;BK215,"",ROUND(((NETWORKDAYS(BK215,R215,JoursFeries)-1)*(HFer-HOuv)+IF(NETWORKDAYS(R215,R215,JoursFeries),MEDIAN(MOD(R215,1),HFer,HOuv),HFer)-IF(NETWORKDAYS(BK215,BK215,JoursFeries),MEDIAN(MOD(BK215,1),HFer,HOuv),HOuv))*24,4)))/HJour,4),""))</f>
        <v/>
      </c>
      <c r="BM215" s="35" t="str">
        <f aca="false">IF(OR(AO215&lt;&gt;1,R215=""),"",IF(BD215=1,1,0))</f>
        <v/>
      </c>
      <c r="BN215" s="35" t="str">
        <f aca="false">IF(AO215&lt;&gt;1,"",IF(W215="Oui",1,0))</f>
        <v/>
      </c>
      <c r="BO215" s="35" t="str">
        <f aca="false">IF(AO215&lt;&gt;1,"",IF(X215&lt;&gt;"",1,0))</f>
        <v/>
      </c>
      <c r="BP215" s="35" t="str">
        <f aca="false">IF(AO215&lt;&gt;1,"",IF(Y215="Oui",1,0))</f>
        <v/>
      </c>
      <c r="BQ215" s="35" t="str">
        <f aca="true">IF(OR(AO215&lt;&gt;1,Z215&lt;&gt;"Oui"),"",IF(AB215="",IF(AND(AA215&lt;&gt;"",NOW()&gt;AA215),0,""),IF(AA215="","",IF(AB215&lt;=AA215,1,0))))</f>
        <v/>
      </c>
      <c r="BR215" s="38" t="str">
        <f aca="false">IF(OR(AO215&lt;&gt;1,K215&lt;&gt;"Oui",O215=""),"",IF(AC215="",O215+DORA_H_DET/24,IF(AC215-O215&lt;=DORA_H_DET/24,MIN(AC215+DORA_H_CLA/24,O215+DORA_H_DET/24),AC215+DORA_H_CLA/24)))</f>
        <v/>
      </c>
      <c r="BS215" s="35" t="str">
        <f aca="true">IF(BR215="","",IF(AD215="",IF(NOW()&gt;BR215,0,""),IF(AD215&lt;=BR215,1,0)))</f>
        <v/>
      </c>
      <c r="BT215" s="35" t="str">
        <f aca="true">IF(OR(BR215="",AD215=""),"",IF(AE215="",IF(NOW()&gt;AD215+DORA_H_INT/24,0,""),IF(AE215&lt;=AD215+DORA_H_INT/24,1,0)))</f>
        <v/>
      </c>
      <c r="BU215" s="35" t="str">
        <f aca="true">IF(OR(BR215="",AE215=""),"",IF(AF215="",IF(NOW()&gt;EDATE(AE215,DORA_M_FIN)+1,0,""),IF(AF215&lt;=EDATE(AE215,DORA_M_FIN),1,0)))</f>
        <v/>
      </c>
      <c r="BV215" s="35" t="str">
        <f aca="false">IF(BR215="","",IF(COUNT(BS215:BU215)=0,"",MIN(BS215:BU215)))</f>
        <v/>
      </c>
      <c r="BW215" s="40" t="str">
        <f aca="false">IF(AQ215&lt;&gt;1,"",IF(AND(AG215="",AH215=""),"",N(AG215)-N(AH215)))</f>
        <v/>
      </c>
      <c r="BX215" s="35" t="str">
        <f aca="true">IF(OR(AQ215&lt;&gt;1,AI215&lt;&gt;"Oui",AJ215=""),"",IF(AK215="",IF(NOW()&gt;AJ215+1,0,""),IF(AK215&lt;=AJ215,1,0)))</f>
        <v/>
      </c>
    </row>
    <row r="216" customFormat="false" ht="15" hidden="false" customHeight="false" outlineLevel="0" collapsed="false">
      <c r="B216" s="29"/>
      <c r="C216" s="29"/>
      <c r="D216" s="29"/>
      <c r="E216" s="29"/>
      <c r="F216" s="29"/>
      <c r="G216" s="29"/>
      <c r="H216" s="29"/>
      <c r="I216" s="29"/>
      <c r="J216" s="29"/>
      <c r="K216" s="29"/>
      <c r="L216" s="29"/>
      <c r="M216" s="29"/>
      <c r="N216" s="30"/>
      <c r="O216" s="30"/>
      <c r="P216" s="30"/>
      <c r="Q216" s="30"/>
      <c r="R216" s="30"/>
      <c r="S216" s="30"/>
      <c r="T216" s="30"/>
      <c r="U216" s="30"/>
      <c r="V216" s="31"/>
      <c r="W216" s="29"/>
      <c r="X216" s="29"/>
      <c r="Y216" s="29"/>
      <c r="Z216" s="29"/>
      <c r="AA216" s="30"/>
      <c r="AB216" s="30"/>
      <c r="AC216" s="30"/>
      <c r="AD216" s="30"/>
      <c r="AE216" s="30"/>
      <c r="AF216" s="32"/>
      <c r="AG216" s="33"/>
      <c r="AH216" s="33"/>
      <c r="AI216" s="29"/>
      <c r="AJ216" s="32"/>
      <c r="AK216" s="32"/>
      <c r="AL216" s="29"/>
      <c r="AN216" s="34" t="str">
        <f aca="false">IF($B216="","",IF(OR(C216="",D216="",E216="",G216="",I216="",J216="",L216="",O216="",P216=""),"Champ obligatoire manquant",IF(OR(AND(N216&lt;&gt;"",N216&gt;O216),O216&gt;P216,AND(Q216&lt;&gt;"",Q216&lt;P216),AND(R216&lt;&gt;"",R216&lt;P216),AND(S216&lt;&gt;"",S216&lt;R216),AND(S216&lt;&gt;"",R216=""),AND(T216&lt;&gt;"",T216&lt;O216),AND(U216&lt;&gt;"",U216&lt;O216)),"Chronologie incohérente",IF(AND(OR(L216="Résolu",L216="Clos"),R216=""),"Date de résolution manquante",IF(AND(L216="Clos",S216=""),"Date de clôture manquante",IF(AND(K216="Oui",AC216=""),"Classification DORA manquante","OK"))))))</f>
        <v/>
      </c>
      <c r="AO216" s="35" t="str">
        <f aca="false">IF($B216="","",IF(AND(C216="Incident",L216&lt;&gt;"Annulé"),1,0))</f>
        <v/>
      </c>
      <c r="AP216" s="35" t="str">
        <f aca="false">IF($B216="","",IF(AND(C216="Quasi-incident",L216&lt;&gt;"Annulé"),1,0))</f>
        <v/>
      </c>
      <c r="AQ216" s="35" t="str">
        <f aca="false">IF($B216="","",AO216+AP216)</f>
        <v/>
      </c>
      <c r="AR216" s="36" t="str">
        <f aca="false">IF(OR($B216="",J216=""),"",IFERROR(VALUE(LEFT(J216,1)),""))</f>
        <v/>
      </c>
      <c r="AS216" s="35" t="str">
        <f aca="false">IF(OR(AO216&lt;&gt;1,G216=""),"",IFERROR(IF(INDEX(L_SrcInterne,MATCH(G216,L_Sources,0))="Oui",1,0),""))</f>
        <v/>
      </c>
      <c r="AT216" s="37" t="str">
        <f aca="false">IF(AO216&lt;&gt;1,"",IFERROR(ROUND(IF(OR(N216="",O216=""),"",IF(O216&lt;N216,"",ROUND(((NETWORKDAYS(N216,O216,JoursFeries)-1)*(HFer-HOuv)+IF(NETWORKDAYS(O216,O216,JoursFeries),MEDIAN(MOD(O216,1),HFer,HOuv),HFer)-IF(NETWORKDAYS(N216,N216,JoursFeries),MEDIAN(MOD(N216,1),HFer,HOuv),HOuv))*24,4)))/HJour,4),""))</f>
        <v/>
      </c>
      <c r="AU216" s="37" t="str">
        <f aca="false">IF(AO216&lt;&gt;1,"",IF(OR(O216="",P216=""),"",IF(P216&lt;O216,"",ROUND(((NETWORKDAYS(O216,P216,JoursFeries)-1)*(HFer-HOuv)+IF(NETWORKDAYS(P216,P216,JoursFeries),MEDIAN(MOD(P216,1),HFer,HOuv),HFer)-IF(NETWORKDAYS(O216,O216,JoursFeries),MEDIAN(MOD(O216,1),HFer,HOuv),HOuv))*24,4))))</f>
        <v/>
      </c>
      <c r="AV216" s="37" t="str">
        <f aca="false">IF(AO216&lt;&gt;1,"",IF(OR(P216="",Q216=""),"",IF(Q216&lt;P216,"",ROUND(((NETWORKDAYS(P216,Q216,JoursFeries)-1)*(HFer-HOuv)+IF(NETWORKDAYS(Q216,Q216,JoursFeries),MEDIAN(MOD(Q216,1),HFer,HOuv),HFer)-IF(NETWORKDAYS(P216,P216,JoursFeries),MEDIAN(MOD(P216,1),HFer,HOuv),HOuv))*24,4))))</f>
        <v/>
      </c>
      <c r="AW216" s="37" t="str">
        <f aca="false">IF(AO216&lt;&gt;1,"",IFERROR(ROUND(IF(OR(P216="",R216=""),"",IF(R216&lt;P216,"",ROUND(((NETWORKDAYS(P216,R216,JoursFeries)-1)*(HFer-HOuv)+IF(NETWORKDAYS(R216,R216,JoursFeries),MEDIAN(MOD(R216,1),HFer,HOuv),HFer)-IF(NETWORKDAYS(P216,P216,JoursFeries),MEDIAN(MOD(P216,1),HFer,HOuv),HOuv))*24,4)))/HJour,4),""))</f>
        <v/>
      </c>
      <c r="AX216" s="37" t="str">
        <f aca="false">IF(AO216&lt;&gt;1,"",IFERROR(ROUND(IF(OR(P216="",S216=""),"",IF(S216&lt;P216,"",ROUND(((NETWORKDAYS(P216,S216,JoursFeries)-1)*(HFer-HOuv)+IF(NETWORKDAYS(S216,S216,JoursFeries),MEDIAN(MOD(S216,1),HFer,HOuv),HFer)-IF(NETWORKDAYS(P216,P216,JoursFeries),MEDIAN(MOD(P216,1),HFer,HOuv),HOuv))*24,4)))/HJour,4),""))</f>
        <v/>
      </c>
      <c r="AY216" s="36" t="str">
        <f aca="false">IF(OR(AO216&lt;&gt;1,AR216=""),"",INDEX(SLA_PEC,AR216))</f>
        <v/>
      </c>
      <c r="AZ216" s="35" t="str">
        <f aca="false">IF(OR(AV216="",AY216=""),"",IF(AV216&lt;=AY216,1,0))</f>
        <v/>
      </c>
      <c r="BA216" s="36" t="str">
        <f aca="false">IF(OR(AO216&lt;&gt;1,AR216=""),"",INDEX(SLA_RES,AR216))</f>
        <v/>
      </c>
      <c r="BB216" s="35" t="str">
        <f aca="false">IF(OR(AW216="",BA216=""),"",IF(AW216&lt;=BA216,1,0))</f>
        <v/>
      </c>
      <c r="BC216" s="38" t="str">
        <f aca="false">IF(OR(BA216="",P216=""),"",WORKDAY(INT(P216),BA216,JoursFeries)+MOD(P216,1))</f>
        <v/>
      </c>
      <c r="BD216" s="39" t="str">
        <f aca="false">IF(AO216&lt;&gt;1,"",IF(OR(AB216&lt;&gt;"",AD216&lt;&gt;""),4,IF(U216&lt;&gt;"",3,IF(T216&lt;&gt;"",2,1))))</f>
        <v/>
      </c>
      <c r="BE216" s="39" t="str">
        <f aca="false">IF(OR(AO216&lt;&gt;1,AR216=""),"",INDEX(NIV_REQ,AR216))</f>
        <v/>
      </c>
      <c r="BF216" s="39" t="str">
        <f aca="false">IF(BE216="","",MAX(BE216,IF(OR(K216="Oui",Z216="Oui"),4,1)))</f>
        <v/>
      </c>
      <c r="BG216" s="35" t="str">
        <f aca="false">IF(OR(BF216="",BD216=""),"",IF(BD216&gt;=BF216,1,0))</f>
        <v/>
      </c>
      <c r="BH216" s="38" t="str">
        <f aca="false">IF(BE216="","",IF(BE216&lt;2,"",IF(BE216=2,IF(AND(T216="",U216=""),"",MIN(T216,U216)),IF(U216="","",U216))))</f>
        <v/>
      </c>
      <c r="BI216" s="37" t="str">
        <f aca="false">IF(BH216="","",IF(OR(O216="",BH216=""),"",IF(BH216&lt;O216,"",ROUND(((NETWORKDAYS(O216,BH216,JoursFeries)-1)*(HFer-HOuv)+IF(NETWORKDAYS(BH216,BH216,JoursFeries),MEDIAN(MOD(BH216,1),HFer,HOuv),HFer)-IF(NETWORKDAYS(O216,O216,JoursFeries),MEDIAN(MOD(O216,1),HFer,HOuv),HOuv))*24,4))))</f>
        <v/>
      </c>
      <c r="BJ216" s="35" t="str">
        <f aca="false">IF(OR(BI216="",AR216=""),"",IF(BI216&lt;=INDEX(DELAI_ESC,AR216),1,0))</f>
        <v/>
      </c>
      <c r="BK216" s="38" t="str">
        <f aca="false">IF(AO216&lt;&gt;1,"",IF(AND(T216="",U216=""),"",MIN(T216,U216)))</f>
        <v/>
      </c>
      <c r="BL216" s="37" t="str">
        <f aca="false">IF(OR(BK216="",R216=""),"",IFERROR(ROUND(IF(OR(BK216="",R216=""),"",IF(R216&lt;BK216,"",ROUND(((NETWORKDAYS(BK216,R216,JoursFeries)-1)*(HFer-HOuv)+IF(NETWORKDAYS(R216,R216,JoursFeries),MEDIAN(MOD(R216,1),HFer,HOuv),HFer)-IF(NETWORKDAYS(BK216,BK216,JoursFeries),MEDIAN(MOD(BK216,1),HFer,HOuv),HOuv))*24,4)))/HJour,4),""))</f>
        <v/>
      </c>
      <c r="BM216" s="35" t="str">
        <f aca="false">IF(OR(AO216&lt;&gt;1,R216=""),"",IF(BD216=1,1,0))</f>
        <v/>
      </c>
      <c r="BN216" s="35" t="str">
        <f aca="false">IF(AO216&lt;&gt;1,"",IF(W216="Oui",1,0))</f>
        <v/>
      </c>
      <c r="BO216" s="35" t="str">
        <f aca="false">IF(AO216&lt;&gt;1,"",IF(X216&lt;&gt;"",1,0))</f>
        <v/>
      </c>
      <c r="BP216" s="35" t="str">
        <f aca="false">IF(AO216&lt;&gt;1,"",IF(Y216="Oui",1,0))</f>
        <v/>
      </c>
      <c r="BQ216" s="35" t="str">
        <f aca="true">IF(OR(AO216&lt;&gt;1,Z216&lt;&gt;"Oui"),"",IF(AB216="",IF(AND(AA216&lt;&gt;"",NOW()&gt;AA216),0,""),IF(AA216="","",IF(AB216&lt;=AA216,1,0))))</f>
        <v/>
      </c>
      <c r="BR216" s="38" t="str">
        <f aca="false">IF(OR(AO216&lt;&gt;1,K216&lt;&gt;"Oui",O216=""),"",IF(AC216="",O216+DORA_H_DET/24,IF(AC216-O216&lt;=DORA_H_DET/24,MIN(AC216+DORA_H_CLA/24,O216+DORA_H_DET/24),AC216+DORA_H_CLA/24)))</f>
        <v/>
      </c>
      <c r="BS216" s="35" t="str">
        <f aca="true">IF(BR216="","",IF(AD216="",IF(NOW()&gt;BR216,0,""),IF(AD216&lt;=BR216,1,0)))</f>
        <v/>
      </c>
      <c r="BT216" s="35" t="str">
        <f aca="true">IF(OR(BR216="",AD216=""),"",IF(AE216="",IF(NOW()&gt;AD216+DORA_H_INT/24,0,""),IF(AE216&lt;=AD216+DORA_H_INT/24,1,0)))</f>
        <v/>
      </c>
      <c r="BU216" s="35" t="str">
        <f aca="true">IF(OR(BR216="",AE216=""),"",IF(AF216="",IF(NOW()&gt;EDATE(AE216,DORA_M_FIN)+1,0,""),IF(AF216&lt;=EDATE(AE216,DORA_M_FIN),1,0)))</f>
        <v/>
      </c>
      <c r="BV216" s="35" t="str">
        <f aca="false">IF(BR216="","",IF(COUNT(BS216:BU216)=0,"",MIN(BS216:BU216)))</f>
        <v/>
      </c>
      <c r="BW216" s="40" t="str">
        <f aca="false">IF(AQ216&lt;&gt;1,"",IF(AND(AG216="",AH216=""),"",N(AG216)-N(AH216)))</f>
        <v/>
      </c>
      <c r="BX216" s="35" t="str">
        <f aca="true">IF(OR(AQ216&lt;&gt;1,AI216&lt;&gt;"Oui",AJ216=""),"",IF(AK216="",IF(NOW()&gt;AJ216+1,0,""),IF(AK216&lt;=AJ216,1,0)))</f>
        <v/>
      </c>
    </row>
    <row r="217" customFormat="false" ht="15" hidden="false" customHeight="false" outlineLevel="0" collapsed="false">
      <c r="B217" s="29"/>
      <c r="C217" s="29"/>
      <c r="D217" s="29"/>
      <c r="E217" s="29"/>
      <c r="F217" s="29"/>
      <c r="G217" s="29"/>
      <c r="H217" s="29"/>
      <c r="I217" s="29"/>
      <c r="J217" s="29"/>
      <c r="K217" s="29"/>
      <c r="L217" s="29"/>
      <c r="M217" s="29"/>
      <c r="N217" s="30"/>
      <c r="O217" s="30"/>
      <c r="P217" s="30"/>
      <c r="Q217" s="30"/>
      <c r="R217" s="30"/>
      <c r="S217" s="30"/>
      <c r="T217" s="30"/>
      <c r="U217" s="30"/>
      <c r="V217" s="31"/>
      <c r="W217" s="29"/>
      <c r="X217" s="29"/>
      <c r="Y217" s="29"/>
      <c r="Z217" s="29"/>
      <c r="AA217" s="30"/>
      <c r="AB217" s="30"/>
      <c r="AC217" s="30"/>
      <c r="AD217" s="30"/>
      <c r="AE217" s="30"/>
      <c r="AF217" s="32"/>
      <c r="AG217" s="33"/>
      <c r="AH217" s="33"/>
      <c r="AI217" s="29"/>
      <c r="AJ217" s="32"/>
      <c r="AK217" s="32"/>
      <c r="AL217" s="29"/>
      <c r="AN217" s="34" t="str">
        <f aca="false">IF($B217="","",IF(OR(C217="",D217="",E217="",G217="",I217="",J217="",L217="",O217="",P217=""),"Champ obligatoire manquant",IF(OR(AND(N217&lt;&gt;"",N217&gt;O217),O217&gt;P217,AND(Q217&lt;&gt;"",Q217&lt;P217),AND(R217&lt;&gt;"",R217&lt;P217),AND(S217&lt;&gt;"",S217&lt;R217),AND(S217&lt;&gt;"",R217=""),AND(T217&lt;&gt;"",T217&lt;O217),AND(U217&lt;&gt;"",U217&lt;O217)),"Chronologie incohérente",IF(AND(OR(L217="Résolu",L217="Clos"),R217=""),"Date de résolution manquante",IF(AND(L217="Clos",S217=""),"Date de clôture manquante",IF(AND(K217="Oui",AC217=""),"Classification DORA manquante","OK"))))))</f>
        <v/>
      </c>
      <c r="AO217" s="35" t="str">
        <f aca="false">IF($B217="","",IF(AND(C217="Incident",L217&lt;&gt;"Annulé"),1,0))</f>
        <v/>
      </c>
      <c r="AP217" s="35" t="str">
        <f aca="false">IF($B217="","",IF(AND(C217="Quasi-incident",L217&lt;&gt;"Annulé"),1,0))</f>
        <v/>
      </c>
      <c r="AQ217" s="35" t="str">
        <f aca="false">IF($B217="","",AO217+AP217)</f>
        <v/>
      </c>
      <c r="AR217" s="36" t="str">
        <f aca="false">IF(OR($B217="",J217=""),"",IFERROR(VALUE(LEFT(J217,1)),""))</f>
        <v/>
      </c>
      <c r="AS217" s="35" t="str">
        <f aca="false">IF(OR(AO217&lt;&gt;1,G217=""),"",IFERROR(IF(INDEX(L_SrcInterne,MATCH(G217,L_Sources,0))="Oui",1,0),""))</f>
        <v/>
      </c>
      <c r="AT217" s="37" t="str">
        <f aca="false">IF(AO217&lt;&gt;1,"",IFERROR(ROUND(IF(OR(N217="",O217=""),"",IF(O217&lt;N217,"",ROUND(((NETWORKDAYS(N217,O217,JoursFeries)-1)*(HFer-HOuv)+IF(NETWORKDAYS(O217,O217,JoursFeries),MEDIAN(MOD(O217,1),HFer,HOuv),HFer)-IF(NETWORKDAYS(N217,N217,JoursFeries),MEDIAN(MOD(N217,1),HFer,HOuv),HOuv))*24,4)))/HJour,4),""))</f>
        <v/>
      </c>
      <c r="AU217" s="37" t="str">
        <f aca="false">IF(AO217&lt;&gt;1,"",IF(OR(O217="",P217=""),"",IF(P217&lt;O217,"",ROUND(((NETWORKDAYS(O217,P217,JoursFeries)-1)*(HFer-HOuv)+IF(NETWORKDAYS(P217,P217,JoursFeries),MEDIAN(MOD(P217,1),HFer,HOuv),HFer)-IF(NETWORKDAYS(O217,O217,JoursFeries),MEDIAN(MOD(O217,1),HFer,HOuv),HOuv))*24,4))))</f>
        <v/>
      </c>
      <c r="AV217" s="37" t="str">
        <f aca="false">IF(AO217&lt;&gt;1,"",IF(OR(P217="",Q217=""),"",IF(Q217&lt;P217,"",ROUND(((NETWORKDAYS(P217,Q217,JoursFeries)-1)*(HFer-HOuv)+IF(NETWORKDAYS(Q217,Q217,JoursFeries),MEDIAN(MOD(Q217,1),HFer,HOuv),HFer)-IF(NETWORKDAYS(P217,P217,JoursFeries),MEDIAN(MOD(P217,1),HFer,HOuv),HOuv))*24,4))))</f>
        <v/>
      </c>
      <c r="AW217" s="37" t="str">
        <f aca="false">IF(AO217&lt;&gt;1,"",IFERROR(ROUND(IF(OR(P217="",R217=""),"",IF(R217&lt;P217,"",ROUND(((NETWORKDAYS(P217,R217,JoursFeries)-1)*(HFer-HOuv)+IF(NETWORKDAYS(R217,R217,JoursFeries),MEDIAN(MOD(R217,1),HFer,HOuv),HFer)-IF(NETWORKDAYS(P217,P217,JoursFeries),MEDIAN(MOD(P217,1),HFer,HOuv),HOuv))*24,4)))/HJour,4),""))</f>
        <v/>
      </c>
      <c r="AX217" s="37" t="str">
        <f aca="false">IF(AO217&lt;&gt;1,"",IFERROR(ROUND(IF(OR(P217="",S217=""),"",IF(S217&lt;P217,"",ROUND(((NETWORKDAYS(P217,S217,JoursFeries)-1)*(HFer-HOuv)+IF(NETWORKDAYS(S217,S217,JoursFeries),MEDIAN(MOD(S217,1),HFer,HOuv),HFer)-IF(NETWORKDAYS(P217,P217,JoursFeries),MEDIAN(MOD(P217,1),HFer,HOuv),HOuv))*24,4)))/HJour,4),""))</f>
        <v/>
      </c>
      <c r="AY217" s="36" t="str">
        <f aca="false">IF(OR(AO217&lt;&gt;1,AR217=""),"",INDEX(SLA_PEC,AR217))</f>
        <v/>
      </c>
      <c r="AZ217" s="35" t="str">
        <f aca="false">IF(OR(AV217="",AY217=""),"",IF(AV217&lt;=AY217,1,0))</f>
        <v/>
      </c>
      <c r="BA217" s="36" t="str">
        <f aca="false">IF(OR(AO217&lt;&gt;1,AR217=""),"",INDEX(SLA_RES,AR217))</f>
        <v/>
      </c>
      <c r="BB217" s="35" t="str">
        <f aca="false">IF(OR(AW217="",BA217=""),"",IF(AW217&lt;=BA217,1,0))</f>
        <v/>
      </c>
      <c r="BC217" s="38" t="str">
        <f aca="false">IF(OR(BA217="",P217=""),"",WORKDAY(INT(P217),BA217,JoursFeries)+MOD(P217,1))</f>
        <v/>
      </c>
      <c r="BD217" s="39" t="str">
        <f aca="false">IF(AO217&lt;&gt;1,"",IF(OR(AB217&lt;&gt;"",AD217&lt;&gt;""),4,IF(U217&lt;&gt;"",3,IF(T217&lt;&gt;"",2,1))))</f>
        <v/>
      </c>
      <c r="BE217" s="39" t="str">
        <f aca="false">IF(OR(AO217&lt;&gt;1,AR217=""),"",INDEX(NIV_REQ,AR217))</f>
        <v/>
      </c>
      <c r="BF217" s="39" t="str">
        <f aca="false">IF(BE217="","",MAX(BE217,IF(OR(K217="Oui",Z217="Oui"),4,1)))</f>
        <v/>
      </c>
      <c r="BG217" s="35" t="str">
        <f aca="false">IF(OR(BF217="",BD217=""),"",IF(BD217&gt;=BF217,1,0))</f>
        <v/>
      </c>
      <c r="BH217" s="38" t="str">
        <f aca="false">IF(BE217="","",IF(BE217&lt;2,"",IF(BE217=2,IF(AND(T217="",U217=""),"",MIN(T217,U217)),IF(U217="","",U217))))</f>
        <v/>
      </c>
      <c r="BI217" s="37" t="str">
        <f aca="false">IF(BH217="","",IF(OR(O217="",BH217=""),"",IF(BH217&lt;O217,"",ROUND(((NETWORKDAYS(O217,BH217,JoursFeries)-1)*(HFer-HOuv)+IF(NETWORKDAYS(BH217,BH217,JoursFeries),MEDIAN(MOD(BH217,1),HFer,HOuv),HFer)-IF(NETWORKDAYS(O217,O217,JoursFeries),MEDIAN(MOD(O217,1),HFer,HOuv),HOuv))*24,4))))</f>
        <v/>
      </c>
      <c r="BJ217" s="35" t="str">
        <f aca="false">IF(OR(BI217="",AR217=""),"",IF(BI217&lt;=INDEX(DELAI_ESC,AR217),1,0))</f>
        <v/>
      </c>
      <c r="BK217" s="38" t="str">
        <f aca="false">IF(AO217&lt;&gt;1,"",IF(AND(T217="",U217=""),"",MIN(T217,U217)))</f>
        <v/>
      </c>
      <c r="BL217" s="37" t="str">
        <f aca="false">IF(OR(BK217="",R217=""),"",IFERROR(ROUND(IF(OR(BK217="",R217=""),"",IF(R217&lt;BK217,"",ROUND(((NETWORKDAYS(BK217,R217,JoursFeries)-1)*(HFer-HOuv)+IF(NETWORKDAYS(R217,R217,JoursFeries),MEDIAN(MOD(R217,1),HFer,HOuv),HFer)-IF(NETWORKDAYS(BK217,BK217,JoursFeries),MEDIAN(MOD(BK217,1),HFer,HOuv),HOuv))*24,4)))/HJour,4),""))</f>
        <v/>
      </c>
      <c r="BM217" s="35" t="str">
        <f aca="false">IF(OR(AO217&lt;&gt;1,R217=""),"",IF(BD217=1,1,0))</f>
        <v/>
      </c>
      <c r="BN217" s="35" t="str">
        <f aca="false">IF(AO217&lt;&gt;1,"",IF(W217="Oui",1,0))</f>
        <v/>
      </c>
      <c r="BO217" s="35" t="str">
        <f aca="false">IF(AO217&lt;&gt;1,"",IF(X217&lt;&gt;"",1,0))</f>
        <v/>
      </c>
      <c r="BP217" s="35" t="str">
        <f aca="false">IF(AO217&lt;&gt;1,"",IF(Y217="Oui",1,0))</f>
        <v/>
      </c>
      <c r="BQ217" s="35" t="str">
        <f aca="true">IF(OR(AO217&lt;&gt;1,Z217&lt;&gt;"Oui"),"",IF(AB217="",IF(AND(AA217&lt;&gt;"",NOW()&gt;AA217),0,""),IF(AA217="","",IF(AB217&lt;=AA217,1,0))))</f>
        <v/>
      </c>
      <c r="BR217" s="38" t="str">
        <f aca="false">IF(OR(AO217&lt;&gt;1,K217&lt;&gt;"Oui",O217=""),"",IF(AC217="",O217+DORA_H_DET/24,IF(AC217-O217&lt;=DORA_H_DET/24,MIN(AC217+DORA_H_CLA/24,O217+DORA_H_DET/24),AC217+DORA_H_CLA/24)))</f>
        <v/>
      </c>
      <c r="BS217" s="35" t="str">
        <f aca="true">IF(BR217="","",IF(AD217="",IF(NOW()&gt;BR217,0,""),IF(AD217&lt;=BR217,1,0)))</f>
        <v/>
      </c>
      <c r="BT217" s="35" t="str">
        <f aca="true">IF(OR(BR217="",AD217=""),"",IF(AE217="",IF(NOW()&gt;AD217+DORA_H_INT/24,0,""),IF(AE217&lt;=AD217+DORA_H_INT/24,1,0)))</f>
        <v/>
      </c>
      <c r="BU217" s="35" t="str">
        <f aca="true">IF(OR(BR217="",AE217=""),"",IF(AF217="",IF(NOW()&gt;EDATE(AE217,DORA_M_FIN)+1,0,""),IF(AF217&lt;=EDATE(AE217,DORA_M_FIN),1,0)))</f>
        <v/>
      </c>
      <c r="BV217" s="35" t="str">
        <f aca="false">IF(BR217="","",IF(COUNT(BS217:BU217)=0,"",MIN(BS217:BU217)))</f>
        <v/>
      </c>
      <c r="BW217" s="40" t="str">
        <f aca="false">IF(AQ217&lt;&gt;1,"",IF(AND(AG217="",AH217=""),"",N(AG217)-N(AH217)))</f>
        <v/>
      </c>
      <c r="BX217" s="35" t="str">
        <f aca="true">IF(OR(AQ217&lt;&gt;1,AI217&lt;&gt;"Oui",AJ217=""),"",IF(AK217="",IF(NOW()&gt;AJ217+1,0,""),IF(AK217&lt;=AJ217,1,0)))</f>
        <v/>
      </c>
    </row>
    <row r="218" customFormat="false" ht="15" hidden="false" customHeight="false" outlineLevel="0" collapsed="false">
      <c r="B218" s="29"/>
      <c r="C218" s="29"/>
      <c r="D218" s="29"/>
      <c r="E218" s="29"/>
      <c r="F218" s="29"/>
      <c r="G218" s="29"/>
      <c r="H218" s="29"/>
      <c r="I218" s="29"/>
      <c r="J218" s="29"/>
      <c r="K218" s="29"/>
      <c r="L218" s="29"/>
      <c r="M218" s="29"/>
      <c r="N218" s="30"/>
      <c r="O218" s="30"/>
      <c r="P218" s="30"/>
      <c r="Q218" s="30"/>
      <c r="R218" s="30"/>
      <c r="S218" s="30"/>
      <c r="T218" s="30"/>
      <c r="U218" s="30"/>
      <c r="V218" s="31"/>
      <c r="W218" s="29"/>
      <c r="X218" s="29"/>
      <c r="Y218" s="29"/>
      <c r="Z218" s="29"/>
      <c r="AA218" s="30"/>
      <c r="AB218" s="30"/>
      <c r="AC218" s="30"/>
      <c r="AD218" s="30"/>
      <c r="AE218" s="30"/>
      <c r="AF218" s="32"/>
      <c r="AG218" s="33"/>
      <c r="AH218" s="33"/>
      <c r="AI218" s="29"/>
      <c r="AJ218" s="32"/>
      <c r="AK218" s="32"/>
      <c r="AL218" s="29"/>
      <c r="AN218" s="34" t="str">
        <f aca="false">IF($B218="","",IF(OR(C218="",D218="",E218="",G218="",I218="",J218="",L218="",O218="",P218=""),"Champ obligatoire manquant",IF(OR(AND(N218&lt;&gt;"",N218&gt;O218),O218&gt;P218,AND(Q218&lt;&gt;"",Q218&lt;P218),AND(R218&lt;&gt;"",R218&lt;P218),AND(S218&lt;&gt;"",S218&lt;R218),AND(S218&lt;&gt;"",R218=""),AND(T218&lt;&gt;"",T218&lt;O218),AND(U218&lt;&gt;"",U218&lt;O218)),"Chronologie incohérente",IF(AND(OR(L218="Résolu",L218="Clos"),R218=""),"Date de résolution manquante",IF(AND(L218="Clos",S218=""),"Date de clôture manquante",IF(AND(K218="Oui",AC218=""),"Classification DORA manquante","OK"))))))</f>
        <v/>
      </c>
      <c r="AO218" s="35" t="str">
        <f aca="false">IF($B218="","",IF(AND(C218="Incident",L218&lt;&gt;"Annulé"),1,0))</f>
        <v/>
      </c>
      <c r="AP218" s="35" t="str">
        <f aca="false">IF($B218="","",IF(AND(C218="Quasi-incident",L218&lt;&gt;"Annulé"),1,0))</f>
        <v/>
      </c>
      <c r="AQ218" s="35" t="str">
        <f aca="false">IF($B218="","",AO218+AP218)</f>
        <v/>
      </c>
      <c r="AR218" s="36" t="str">
        <f aca="false">IF(OR($B218="",J218=""),"",IFERROR(VALUE(LEFT(J218,1)),""))</f>
        <v/>
      </c>
      <c r="AS218" s="35" t="str">
        <f aca="false">IF(OR(AO218&lt;&gt;1,G218=""),"",IFERROR(IF(INDEX(L_SrcInterne,MATCH(G218,L_Sources,0))="Oui",1,0),""))</f>
        <v/>
      </c>
      <c r="AT218" s="37" t="str">
        <f aca="false">IF(AO218&lt;&gt;1,"",IFERROR(ROUND(IF(OR(N218="",O218=""),"",IF(O218&lt;N218,"",ROUND(((NETWORKDAYS(N218,O218,JoursFeries)-1)*(HFer-HOuv)+IF(NETWORKDAYS(O218,O218,JoursFeries),MEDIAN(MOD(O218,1),HFer,HOuv),HFer)-IF(NETWORKDAYS(N218,N218,JoursFeries),MEDIAN(MOD(N218,1),HFer,HOuv),HOuv))*24,4)))/HJour,4),""))</f>
        <v/>
      </c>
      <c r="AU218" s="37" t="str">
        <f aca="false">IF(AO218&lt;&gt;1,"",IF(OR(O218="",P218=""),"",IF(P218&lt;O218,"",ROUND(((NETWORKDAYS(O218,P218,JoursFeries)-1)*(HFer-HOuv)+IF(NETWORKDAYS(P218,P218,JoursFeries),MEDIAN(MOD(P218,1),HFer,HOuv),HFer)-IF(NETWORKDAYS(O218,O218,JoursFeries),MEDIAN(MOD(O218,1),HFer,HOuv),HOuv))*24,4))))</f>
        <v/>
      </c>
      <c r="AV218" s="37" t="str">
        <f aca="false">IF(AO218&lt;&gt;1,"",IF(OR(P218="",Q218=""),"",IF(Q218&lt;P218,"",ROUND(((NETWORKDAYS(P218,Q218,JoursFeries)-1)*(HFer-HOuv)+IF(NETWORKDAYS(Q218,Q218,JoursFeries),MEDIAN(MOD(Q218,1),HFer,HOuv),HFer)-IF(NETWORKDAYS(P218,P218,JoursFeries),MEDIAN(MOD(P218,1),HFer,HOuv),HOuv))*24,4))))</f>
        <v/>
      </c>
      <c r="AW218" s="37" t="str">
        <f aca="false">IF(AO218&lt;&gt;1,"",IFERROR(ROUND(IF(OR(P218="",R218=""),"",IF(R218&lt;P218,"",ROUND(((NETWORKDAYS(P218,R218,JoursFeries)-1)*(HFer-HOuv)+IF(NETWORKDAYS(R218,R218,JoursFeries),MEDIAN(MOD(R218,1),HFer,HOuv),HFer)-IF(NETWORKDAYS(P218,P218,JoursFeries),MEDIAN(MOD(P218,1),HFer,HOuv),HOuv))*24,4)))/HJour,4),""))</f>
        <v/>
      </c>
      <c r="AX218" s="37" t="str">
        <f aca="false">IF(AO218&lt;&gt;1,"",IFERROR(ROUND(IF(OR(P218="",S218=""),"",IF(S218&lt;P218,"",ROUND(((NETWORKDAYS(P218,S218,JoursFeries)-1)*(HFer-HOuv)+IF(NETWORKDAYS(S218,S218,JoursFeries),MEDIAN(MOD(S218,1),HFer,HOuv),HFer)-IF(NETWORKDAYS(P218,P218,JoursFeries),MEDIAN(MOD(P218,1),HFer,HOuv),HOuv))*24,4)))/HJour,4),""))</f>
        <v/>
      </c>
      <c r="AY218" s="36" t="str">
        <f aca="false">IF(OR(AO218&lt;&gt;1,AR218=""),"",INDEX(SLA_PEC,AR218))</f>
        <v/>
      </c>
      <c r="AZ218" s="35" t="str">
        <f aca="false">IF(OR(AV218="",AY218=""),"",IF(AV218&lt;=AY218,1,0))</f>
        <v/>
      </c>
      <c r="BA218" s="36" t="str">
        <f aca="false">IF(OR(AO218&lt;&gt;1,AR218=""),"",INDEX(SLA_RES,AR218))</f>
        <v/>
      </c>
      <c r="BB218" s="35" t="str">
        <f aca="false">IF(OR(AW218="",BA218=""),"",IF(AW218&lt;=BA218,1,0))</f>
        <v/>
      </c>
      <c r="BC218" s="38" t="str">
        <f aca="false">IF(OR(BA218="",P218=""),"",WORKDAY(INT(P218),BA218,JoursFeries)+MOD(P218,1))</f>
        <v/>
      </c>
      <c r="BD218" s="39" t="str">
        <f aca="false">IF(AO218&lt;&gt;1,"",IF(OR(AB218&lt;&gt;"",AD218&lt;&gt;""),4,IF(U218&lt;&gt;"",3,IF(T218&lt;&gt;"",2,1))))</f>
        <v/>
      </c>
      <c r="BE218" s="39" t="str">
        <f aca="false">IF(OR(AO218&lt;&gt;1,AR218=""),"",INDEX(NIV_REQ,AR218))</f>
        <v/>
      </c>
      <c r="BF218" s="39" t="str">
        <f aca="false">IF(BE218="","",MAX(BE218,IF(OR(K218="Oui",Z218="Oui"),4,1)))</f>
        <v/>
      </c>
      <c r="BG218" s="35" t="str">
        <f aca="false">IF(OR(BF218="",BD218=""),"",IF(BD218&gt;=BF218,1,0))</f>
        <v/>
      </c>
      <c r="BH218" s="38" t="str">
        <f aca="false">IF(BE218="","",IF(BE218&lt;2,"",IF(BE218=2,IF(AND(T218="",U218=""),"",MIN(T218,U218)),IF(U218="","",U218))))</f>
        <v/>
      </c>
      <c r="BI218" s="37" t="str">
        <f aca="false">IF(BH218="","",IF(OR(O218="",BH218=""),"",IF(BH218&lt;O218,"",ROUND(((NETWORKDAYS(O218,BH218,JoursFeries)-1)*(HFer-HOuv)+IF(NETWORKDAYS(BH218,BH218,JoursFeries),MEDIAN(MOD(BH218,1),HFer,HOuv),HFer)-IF(NETWORKDAYS(O218,O218,JoursFeries),MEDIAN(MOD(O218,1),HFer,HOuv),HOuv))*24,4))))</f>
        <v/>
      </c>
      <c r="BJ218" s="35" t="str">
        <f aca="false">IF(OR(BI218="",AR218=""),"",IF(BI218&lt;=INDEX(DELAI_ESC,AR218),1,0))</f>
        <v/>
      </c>
      <c r="BK218" s="38" t="str">
        <f aca="false">IF(AO218&lt;&gt;1,"",IF(AND(T218="",U218=""),"",MIN(T218,U218)))</f>
        <v/>
      </c>
      <c r="BL218" s="37" t="str">
        <f aca="false">IF(OR(BK218="",R218=""),"",IFERROR(ROUND(IF(OR(BK218="",R218=""),"",IF(R218&lt;BK218,"",ROUND(((NETWORKDAYS(BK218,R218,JoursFeries)-1)*(HFer-HOuv)+IF(NETWORKDAYS(R218,R218,JoursFeries),MEDIAN(MOD(R218,1),HFer,HOuv),HFer)-IF(NETWORKDAYS(BK218,BK218,JoursFeries),MEDIAN(MOD(BK218,1),HFer,HOuv),HOuv))*24,4)))/HJour,4),""))</f>
        <v/>
      </c>
      <c r="BM218" s="35" t="str">
        <f aca="false">IF(OR(AO218&lt;&gt;1,R218=""),"",IF(BD218=1,1,0))</f>
        <v/>
      </c>
      <c r="BN218" s="35" t="str">
        <f aca="false">IF(AO218&lt;&gt;1,"",IF(W218="Oui",1,0))</f>
        <v/>
      </c>
      <c r="BO218" s="35" t="str">
        <f aca="false">IF(AO218&lt;&gt;1,"",IF(X218&lt;&gt;"",1,0))</f>
        <v/>
      </c>
      <c r="BP218" s="35" t="str">
        <f aca="false">IF(AO218&lt;&gt;1,"",IF(Y218="Oui",1,0))</f>
        <v/>
      </c>
      <c r="BQ218" s="35" t="str">
        <f aca="true">IF(OR(AO218&lt;&gt;1,Z218&lt;&gt;"Oui"),"",IF(AB218="",IF(AND(AA218&lt;&gt;"",NOW()&gt;AA218),0,""),IF(AA218="","",IF(AB218&lt;=AA218,1,0))))</f>
        <v/>
      </c>
      <c r="BR218" s="38" t="str">
        <f aca="false">IF(OR(AO218&lt;&gt;1,K218&lt;&gt;"Oui",O218=""),"",IF(AC218="",O218+DORA_H_DET/24,IF(AC218-O218&lt;=DORA_H_DET/24,MIN(AC218+DORA_H_CLA/24,O218+DORA_H_DET/24),AC218+DORA_H_CLA/24)))</f>
        <v/>
      </c>
      <c r="BS218" s="35" t="str">
        <f aca="true">IF(BR218="","",IF(AD218="",IF(NOW()&gt;BR218,0,""),IF(AD218&lt;=BR218,1,0)))</f>
        <v/>
      </c>
      <c r="BT218" s="35" t="str">
        <f aca="true">IF(OR(BR218="",AD218=""),"",IF(AE218="",IF(NOW()&gt;AD218+DORA_H_INT/24,0,""),IF(AE218&lt;=AD218+DORA_H_INT/24,1,0)))</f>
        <v/>
      </c>
      <c r="BU218" s="35" t="str">
        <f aca="true">IF(OR(BR218="",AE218=""),"",IF(AF218="",IF(NOW()&gt;EDATE(AE218,DORA_M_FIN)+1,0,""),IF(AF218&lt;=EDATE(AE218,DORA_M_FIN),1,0)))</f>
        <v/>
      </c>
      <c r="BV218" s="35" t="str">
        <f aca="false">IF(BR218="","",IF(COUNT(BS218:BU218)=0,"",MIN(BS218:BU218)))</f>
        <v/>
      </c>
      <c r="BW218" s="40" t="str">
        <f aca="false">IF(AQ218&lt;&gt;1,"",IF(AND(AG218="",AH218=""),"",N(AG218)-N(AH218)))</f>
        <v/>
      </c>
      <c r="BX218" s="35" t="str">
        <f aca="true">IF(OR(AQ218&lt;&gt;1,AI218&lt;&gt;"Oui",AJ218=""),"",IF(AK218="",IF(NOW()&gt;AJ218+1,0,""),IF(AK218&lt;=AJ218,1,0)))</f>
        <v/>
      </c>
    </row>
    <row r="219" customFormat="false" ht="15" hidden="false" customHeight="false" outlineLevel="0" collapsed="false">
      <c r="B219" s="29"/>
      <c r="C219" s="29"/>
      <c r="D219" s="29"/>
      <c r="E219" s="29"/>
      <c r="F219" s="29"/>
      <c r="G219" s="29"/>
      <c r="H219" s="29"/>
      <c r="I219" s="29"/>
      <c r="J219" s="29"/>
      <c r="K219" s="29"/>
      <c r="L219" s="29"/>
      <c r="M219" s="29"/>
      <c r="N219" s="30"/>
      <c r="O219" s="30"/>
      <c r="P219" s="30"/>
      <c r="Q219" s="30"/>
      <c r="R219" s="30"/>
      <c r="S219" s="30"/>
      <c r="T219" s="30"/>
      <c r="U219" s="30"/>
      <c r="V219" s="31"/>
      <c r="W219" s="29"/>
      <c r="X219" s="29"/>
      <c r="Y219" s="29"/>
      <c r="Z219" s="29"/>
      <c r="AA219" s="30"/>
      <c r="AB219" s="30"/>
      <c r="AC219" s="30"/>
      <c r="AD219" s="30"/>
      <c r="AE219" s="30"/>
      <c r="AF219" s="32"/>
      <c r="AG219" s="33"/>
      <c r="AH219" s="33"/>
      <c r="AI219" s="29"/>
      <c r="AJ219" s="32"/>
      <c r="AK219" s="32"/>
      <c r="AL219" s="29"/>
      <c r="AN219" s="34" t="str">
        <f aca="false">IF($B219="","",IF(OR(C219="",D219="",E219="",G219="",I219="",J219="",L219="",O219="",P219=""),"Champ obligatoire manquant",IF(OR(AND(N219&lt;&gt;"",N219&gt;O219),O219&gt;P219,AND(Q219&lt;&gt;"",Q219&lt;P219),AND(R219&lt;&gt;"",R219&lt;P219),AND(S219&lt;&gt;"",S219&lt;R219),AND(S219&lt;&gt;"",R219=""),AND(T219&lt;&gt;"",T219&lt;O219),AND(U219&lt;&gt;"",U219&lt;O219)),"Chronologie incohérente",IF(AND(OR(L219="Résolu",L219="Clos"),R219=""),"Date de résolution manquante",IF(AND(L219="Clos",S219=""),"Date de clôture manquante",IF(AND(K219="Oui",AC219=""),"Classification DORA manquante","OK"))))))</f>
        <v/>
      </c>
      <c r="AO219" s="35" t="str">
        <f aca="false">IF($B219="","",IF(AND(C219="Incident",L219&lt;&gt;"Annulé"),1,0))</f>
        <v/>
      </c>
      <c r="AP219" s="35" t="str">
        <f aca="false">IF($B219="","",IF(AND(C219="Quasi-incident",L219&lt;&gt;"Annulé"),1,0))</f>
        <v/>
      </c>
      <c r="AQ219" s="35" t="str">
        <f aca="false">IF($B219="","",AO219+AP219)</f>
        <v/>
      </c>
      <c r="AR219" s="36" t="str">
        <f aca="false">IF(OR($B219="",J219=""),"",IFERROR(VALUE(LEFT(J219,1)),""))</f>
        <v/>
      </c>
      <c r="AS219" s="35" t="str">
        <f aca="false">IF(OR(AO219&lt;&gt;1,G219=""),"",IFERROR(IF(INDEX(L_SrcInterne,MATCH(G219,L_Sources,0))="Oui",1,0),""))</f>
        <v/>
      </c>
      <c r="AT219" s="37" t="str">
        <f aca="false">IF(AO219&lt;&gt;1,"",IFERROR(ROUND(IF(OR(N219="",O219=""),"",IF(O219&lt;N219,"",ROUND(((NETWORKDAYS(N219,O219,JoursFeries)-1)*(HFer-HOuv)+IF(NETWORKDAYS(O219,O219,JoursFeries),MEDIAN(MOD(O219,1),HFer,HOuv),HFer)-IF(NETWORKDAYS(N219,N219,JoursFeries),MEDIAN(MOD(N219,1),HFer,HOuv),HOuv))*24,4)))/HJour,4),""))</f>
        <v/>
      </c>
      <c r="AU219" s="37" t="str">
        <f aca="false">IF(AO219&lt;&gt;1,"",IF(OR(O219="",P219=""),"",IF(P219&lt;O219,"",ROUND(((NETWORKDAYS(O219,P219,JoursFeries)-1)*(HFer-HOuv)+IF(NETWORKDAYS(P219,P219,JoursFeries),MEDIAN(MOD(P219,1),HFer,HOuv),HFer)-IF(NETWORKDAYS(O219,O219,JoursFeries),MEDIAN(MOD(O219,1),HFer,HOuv),HOuv))*24,4))))</f>
        <v/>
      </c>
      <c r="AV219" s="37" t="str">
        <f aca="false">IF(AO219&lt;&gt;1,"",IF(OR(P219="",Q219=""),"",IF(Q219&lt;P219,"",ROUND(((NETWORKDAYS(P219,Q219,JoursFeries)-1)*(HFer-HOuv)+IF(NETWORKDAYS(Q219,Q219,JoursFeries),MEDIAN(MOD(Q219,1),HFer,HOuv),HFer)-IF(NETWORKDAYS(P219,P219,JoursFeries),MEDIAN(MOD(P219,1),HFer,HOuv),HOuv))*24,4))))</f>
        <v/>
      </c>
      <c r="AW219" s="37" t="str">
        <f aca="false">IF(AO219&lt;&gt;1,"",IFERROR(ROUND(IF(OR(P219="",R219=""),"",IF(R219&lt;P219,"",ROUND(((NETWORKDAYS(P219,R219,JoursFeries)-1)*(HFer-HOuv)+IF(NETWORKDAYS(R219,R219,JoursFeries),MEDIAN(MOD(R219,1),HFer,HOuv),HFer)-IF(NETWORKDAYS(P219,P219,JoursFeries),MEDIAN(MOD(P219,1),HFer,HOuv),HOuv))*24,4)))/HJour,4),""))</f>
        <v/>
      </c>
      <c r="AX219" s="37" t="str">
        <f aca="false">IF(AO219&lt;&gt;1,"",IFERROR(ROUND(IF(OR(P219="",S219=""),"",IF(S219&lt;P219,"",ROUND(((NETWORKDAYS(P219,S219,JoursFeries)-1)*(HFer-HOuv)+IF(NETWORKDAYS(S219,S219,JoursFeries),MEDIAN(MOD(S219,1),HFer,HOuv),HFer)-IF(NETWORKDAYS(P219,P219,JoursFeries),MEDIAN(MOD(P219,1),HFer,HOuv),HOuv))*24,4)))/HJour,4),""))</f>
        <v/>
      </c>
      <c r="AY219" s="36" t="str">
        <f aca="false">IF(OR(AO219&lt;&gt;1,AR219=""),"",INDEX(SLA_PEC,AR219))</f>
        <v/>
      </c>
      <c r="AZ219" s="35" t="str">
        <f aca="false">IF(OR(AV219="",AY219=""),"",IF(AV219&lt;=AY219,1,0))</f>
        <v/>
      </c>
      <c r="BA219" s="36" t="str">
        <f aca="false">IF(OR(AO219&lt;&gt;1,AR219=""),"",INDEX(SLA_RES,AR219))</f>
        <v/>
      </c>
      <c r="BB219" s="35" t="str">
        <f aca="false">IF(OR(AW219="",BA219=""),"",IF(AW219&lt;=BA219,1,0))</f>
        <v/>
      </c>
      <c r="BC219" s="38" t="str">
        <f aca="false">IF(OR(BA219="",P219=""),"",WORKDAY(INT(P219),BA219,JoursFeries)+MOD(P219,1))</f>
        <v/>
      </c>
      <c r="BD219" s="39" t="str">
        <f aca="false">IF(AO219&lt;&gt;1,"",IF(OR(AB219&lt;&gt;"",AD219&lt;&gt;""),4,IF(U219&lt;&gt;"",3,IF(T219&lt;&gt;"",2,1))))</f>
        <v/>
      </c>
      <c r="BE219" s="39" t="str">
        <f aca="false">IF(OR(AO219&lt;&gt;1,AR219=""),"",INDEX(NIV_REQ,AR219))</f>
        <v/>
      </c>
      <c r="BF219" s="39" t="str">
        <f aca="false">IF(BE219="","",MAX(BE219,IF(OR(K219="Oui",Z219="Oui"),4,1)))</f>
        <v/>
      </c>
      <c r="BG219" s="35" t="str">
        <f aca="false">IF(OR(BF219="",BD219=""),"",IF(BD219&gt;=BF219,1,0))</f>
        <v/>
      </c>
      <c r="BH219" s="38" t="str">
        <f aca="false">IF(BE219="","",IF(BE219&lt;2,"",IF(BE219=2,IF(AND(T219="",U219=""),"",MIN(T219,U219)),IF(U219="","",U219))))</f>
        <v/>
      </c>
      <c r="BI219" s="37" t="str">
        <f aca="false">IF(BH219="","",IF(OR(O219="",BH219=""),"",IF(BH219&lt;O219,"",ROUND(((NETWORKDAYS(O219,BH219,JoursFeries)-1)*(HFer-HOuv)+IF(NETWORKDAYS(BH219,BH219,JoursFeries),MEDIAN(MOD(BH219,1),HFer,HOuv),HFer)-IF(NETWORKDAYS(O219,O219,JoursFeries),MEDIAN(MOD(O219,1),HFer,HOuv),HOuv))*24,4))))</f>
        <v/>
      </c>
      <c r="BJ219" s="35" t="str">
        <f aca="false">IF(OR(BI219="",AR219=""),"",IF(BI219&lt;=INDEX(DELAI_ESC,AR219),1,0))</f>
        <v/>
      </c>
      <c r="BK219" s="38" t="str">
        <f aca="false">IF(AO219&lt;&gt;1,"",IF(AND(T219="",U219=""),"",MIN(T219,U219)))</f>
        <v/>
      </c>
      <c r="BL219" s="37" t="str">
        <f aca="false">IF(OR(BK219="",R219=""),"",IFERROR(ROUND(IF(OR(BK219="",R219=""),"",IF(R219&lt;BK219,"",ROUND(((NETWORKDAYS(BK219,R219,JoursFeries)-1)*(HFer-HOuv)+IF(NETWORKDAYS(R219,R219,JoursFeries),MEDIAN(MOD(R219,1),HFer,HOuv),HFer)-IF(NETWORKDAYS(BK219,BK219,JoursFeries),MEDIAN(MOD(BK219,1),HFer,HOuv),HOuv))*24,4)))/HJour,4),""))</f>
        <v/>
      </c>
      <c r="BM219" s="35" t="str">
        <f aca="false">IF(OR(AO219&lt;&gt;1,R219=""),"",IF(BD219=1,1,0))</f>
        <v/>
      </c>
      <c r="BN219" s="35" t="str">
        <f aca="false">IF(AO219&lt;&gt;1,"",IF(W219="Oui",1,0))</f>
        <v/>
      </c>
      <c r="BO219" s="35" t="str">
        <f aca="false">IF(AO219&lt;&gt;1,"",IF(X219&lt;&gt;"",1,0))</f>
        <v/>
      </c>
      <c r="BP219" s="35" t="str">
        <f aca="false">IF(AO219&lt;&gt;1,"",IF(Y219="Oui",1,0))</f>
        <v/>
      </c>
      <c r="BQ219" s="35" t="str">
        <f aca="true">IF(OR(AO219&lt;&gt;1,Z219&lt;&gt;"Oui"),"",IF(AB219="",IF(AND(AA219&lt;&gt;"",NOW()&gt;AA219),0,""),IF(AA219="","",IF(AB219&lt;=AA219,1,0))))</f>
        <v/>
      </c>
      <c r="BR219" s="38" t="str">
        <f aca="false">IF(OR(AO219&lt;&gt;1,K219&lt;&gt;"Oui",O219=""),"",IF(AC219="",O219+DORA_H_DET/24,IF(AC219-O219&lt;=DORA_H_DET/24,MIN(AC219+DORA_H_CLA/24,O219+DORA_H_DET/24),AC219+DORA_H_CLA/24)))</f>
        <v/>
      </c>
      <c r="BS219" s="35" t="str">
        <f aca="true">IF(BR219="","",IF(AD219="",IF(NOW()&gt;BR219,0,""),IF(AD219&lt;=BR219,1,0)))</f>
        <v/>
      </c>
      <c r="BT219" s="35" t="str">
        <f aca="true">IF(OR(BR219="",AD219=""),"",IF(AE219="",IF(NOW()&gt;AD219+DORA_H_INT/24,0,""),IF(AE219&lt;=AD219+DORA_H_INT/24,1,0)))</f>
        <v/>
      </c>
      <c r="BU219" s="35" t="str">
        <f aca="true">IF(OR(BR219="",AE219=""),"",IF(AF219="",IF(NOW()&gt;EDATE(AE219,DORA_M_FIN)+1,0,""),IF(AF219&lt;=EDATE(AE219,DORA_M_FIN),1,0)))</f>
        <v/>
      </c>
      <c r="BV219" s="35" t="str">
        <f aca="false">IF(BR219="","",IF(COUNT(BS219:BU219)=0,"",MIN(BS219:BU219)))</f>
        <v/>
      </c>
      <c r="BW219" s="40" t="str">
        <f aca="false">IF(AQ219&lt;&gt;1,"",IF(AND(AG219="",AH219=""),"",N(AG219)-N(AH219)))</f>
        <v/>
      </c>
      <c r="BX219" s="35" t="str">
        <f aca="true">IF(OR(AQ219&lt;&gt;1,AI219&lt;&gt;"Oui",AJ219=""),"",IF(AK219="",IF(NOW()&gt;AJ219+1,0,""),IF(AK219&lt;=AJ219,1,0)))</f>
        <v/>
      </c>
    </row>
    <row r="220" customFormat="false" ht="15" hidden="false" customHeight="false" outlineLevel="0" collapsed="false">
      <c r="B220" s="29"/>
      <c r="C220" s="29"/>
      <c r="D220" s="29"/>
      <c r="E220" s="29"/>
      <c r="F220" s="29"/>
      <c r="G220" s="29"/>
      <c r="H220" s="29"/>
      <c r="I220" s="29"/>
      <c r="J220" s="29"/>
      <c r="K220" s="29"/>
      <c r="L220" s="29"/>
      <c r="M220" s="29"/>
      <c r="N220" s="30"/>
      <c r="O220" s="30"/>
      <c r="P220" s="30"/>
      <c r="Q220" s="30"/>
      <c r="R220" s="30"/>
      <c r="S220" s="30"/>
      <c r="T220" s="30"/>
      <c r="U220" s="30"/>
      <c r="V220" s="31"/>
      <c r="W220" s="29"/>
      <c r="X220" s="29"/>
      <c r="Y220" s="29"/>
      <c r="Z220" s="29"/>
      <c r="AA220" s="30"/>
      <c r="AB220" s="30"/>
      <c r="AC220" s="30"/>
      <c r="AD220" s="30"/>
      <c r="AE220" s="30"/>
      <c r="AF220" s="32"/>
      <c r="AG220" s="33"/>
      <c r="AH220" s="33"/>
      <c r="AI220" s="29"/>
      <c r="AJ220" s="32"/>
      <c r="AK220" s="32"/>
      <c r="AL220" s="29"/>
      <c r="AN220" s="34" t="str">
        <f aca="false">IF($B220="","",IF(OR(C220="",D220="",E220="",G220="",I220="",J220="",L220="",O220="",P220=""),"Champ obligatoire manquant",IF(OR(AND(N220&lt;&gt;"",N220&gt;O220),O220&gt;P220,AND(Q220&lt;&gt;"",Q220&lt;P220),AND(R220&lt;&gt;"",R220&lt;P220),AND(S220&lt;&gt;"",S220&lt;R220),AND(S220&lt;&gt;"",R220=""),AND(T220&lt;&gt;"",T220&lt;O220),AND(U220&lt;&gt;"",U220&lt;O220)),"Chronologie incohérente",IF(AND(OR(L220="Résolu",L220="Clos"),R220=""),"Date de résolution manquante",IF(AND(L220="Clos",S220=""),"Date de clôture manquante",IF(AND(K220="Oui",AC220=""),"Classification DORA manquante","OK"))))))</f>
        <v/>
      </c>
      <c r="AO220" s="35" t="str">
        <f aca="false">IF($B220="","",IF(AND(C220="Incident",L220&lt;&gt;"Annulé"),1,0))</f>
        <v/>
      </c>
      <c r="AP220" s="35" t="str">
        <f aca="false">IF($B220="","",IF(AND(C220="Quasi-incident",L220&lt;&gt;"Annulé"),1,0))</f>
        <v/>
      </c>
      <c r="AQ220" s="35" t="str">
        <f aca="false">IF($B220="","",AO220+AP220)</f>
        <v/>
      </c>
      <c r="AR220" s="36" t="str">
        <f aca="false">IF(OR($B220="",J220=""),"",IFERROR(VALUE(LEFT(J220,1)),""))</f>
        <v/>
      </c>
      <c r="AS220" s="35" t="str">
        <f aca="false">IF(OR(AO220&lt;&gt;1,G220=""),"",IFERROR(IF(INDEX(L_SrcInterne,MATCH(G220,L_Sources,0))="Oui",1,0),""))</f>
        <v/>
      </c>
      <c r="AT220" s="37" t="str">
        <f aca="false">IF(AO220&lt;&gt;1,"",IFERROR(ROUND(IF(OR(N220="",O220=""),"",IF(O220&lt;N220,"",ROUND(((NETWORKDAYS(N220,O220,JoursFeries)-1)*(HFer-HOuv)+IF(NETWORKDAYS(O220,O220,JoursFeries),MEDIAN(MOD(O220,1),HFer,HOuv),HFer)-IF(NETWORKDAYS(N220,N220,JoursFeries),MEDIAN(MOD(N220,1),HFer,HOuv),HOuv))*24,4)))/HJour,4),""))</f>
        <v/>
      </c>
      <c r="AU220" s="37" t="str">
        <f aca="false">IF(AO220&lt;&gt;1,"",IF(OR(O220="",P220=""),"",IF(P220&lt;O220,"",ROUND(((NETWORKDAYS(O220,P220,JoursFeries)-1)*(HFer-HOuv)+IF(NETWORKDAYS(P220,P220,JoursFeries),MEDIAN(MOD(P220,1),HFer,HOuv),HFer)-IF(NETWORKDAYS(O220,O220,JoursFeries),MEDIAN(MOD(O220,1),HFer,HOuv),HOuv))*24,4))))</f>
        <v/>
      </c>
      <c r="AV220" s="37" t="str">
        <f aca="false">IF(AO220&lt;&gt;1,"",IF(OR(P220="",Q220=""),"",IF(Q220&lt;P220,"",ROUND(((NETWORKDAYS(P220,Q220,JoursFeries)-1)*(HFer-HOuv)+IF(NETWORKDAYS(Q220,Q220,JoursFeries),MEDIAN(MOD(Q220,1),HFer,HOuv),HFer)-IF(NETWORKDAYS(P220,P220,JoursFeries),MEDIAN(MOD(P220,1),HFer,HOuv),HOuv))*24,4))))</f>
        <v/>
      </c>
      <c r="AW220" s="37" t="str">
        <f aca="false">IF(AO220&lt;&gt;1,"",IFERROR(ROUND(IF(OR(P220="",R220=""),"",IF(R220&lt;P220,"",ROUND(((NETWORKDAYS(P220,R220,JoursFeries)-1)*(HFer-HOuv)+IF(NETWORKDAYS(R220,R220,JoursFeries),MEDIAN(MOD(R220,1),HFer,HOuv),HFer)-IF(NETWORKDAYS(P220,P220,JoursFeries),MEDIAN(MOD(P220,1),HFer,HOuv),HOuv))*24,4)))/HJour,4),""))</f>
        <v/>
      </c>
      <c r="AX220" s="37" t="str">
        <f aca="false">IF(AO220&lt;&gt;1,"",IFERROR(ROUND(IF(OR(P220="",S220=""),"",IF(S220&lt;P220,"",ROUND(((NETWORKDAYS(P220,S220,JoursFeries)-1)*(HFer-HOuv)+IF(NETWORKDAYS(S220,S220,JoursFeries),MEDIAN(MOD(S220,1),HFer,HOuv),HFer)-IF(NETWORKDAYS(P220,P220,JoursFeries),MEDIAN(MOD(P220,1),HFer,HOuv),HOuv))*24,4)))/HJour,4),""))</f>
        <v/>
      </c>
      <c r="AY220" s="36" t="str">
        <f aca="false">IF(OR(AO220&lt;&gt;1,AR220=""),"",INDEX(SLA_PEC,AR220))</f>
        <v/>
      </c>
      <c r="AZ220" s="35" t="str">
        <f aca="false">IF(OR(AV220="",AY220=""),"",IF(AV220&lt;=AY220,1,0))</f>
        <v/>
      </c>
      <c r="BA220" s="36" t="str">
        <f aca="false">IF(OR(AO220&lt;&gt;1,AR220=""),"",INDEX(SLA_RES,AR220))</f>
        <v/>
      </c>
      <c r="BB220" s="35" t="str">
        <f aca="false">IF(OR(AW220="",BA220=""),"",IF(AW220&lt;=BA220,1,0))</f>
        <v/>
      </c>
      <c r="BC220" s="38" t="str">
        <f aca="false">IF(OR(BA220="",P220=""),"",WORKDAY(INT(P220),BA220,JoursFeries)+MOD(P220,1))</f>
        <v/>
      </c>
      <c r="BD220" s="39" t="str">
        <f aca="false">IF(AO220&lt;&gt;1,"",IF(OR(AB220&lt;&gt;"",AD220&lt;&gt;""),4,IF(U220&lt;&gt;"",3,IF(T220&lt;&gt;"",2,1))))</f>
        <v/>
      </c>
      <c r="BE220" s="39" t="str">
        <f aca="false">IF(OR(AO220&lt;&gt;1,AR220=""),"",INDEX(NIV_REQ,AR220))</f>
        <v/>
      </c>
      <c r="BF220" s="39" t="str">
        <f aca="false">IF(BE220="","",MAX(BE220,IF(OR(K220="Oui",Z220="Oui"),4,1)))</f>
        <v/>
      </c>
      <c r="BG220" s="35" t="str">
        <f aca="false">IF(OR(BF220="",BD220=""),"",IF(BD220&gt;=BF220,1,0))</f>
        <v/>
      </c>
      <c r="BH220" s="38" t="str">
        <f aca="false">IF(BE220="","",IF(BE220&lt;2,"",IF(BE220=2,IF(AND(T220="",U220=""),"",MIN(T220,U220)),IF(U220="","",U220))))</f>
        <v/>
      </c>
      <c r="BI220" s="37" t="str">
        <f aca="false">IF(BH220="","",IF(OR(O220="",BH220=""),"",IF(BH220&lt;O220,"",ROUND(((NETWORKDAYS(O220,BH220,JoursFeries)-1)*(HFer-HOuv)+IF(NETWORKDAYS(BH220,BH220,JoursFeries),MEDIAN(MOD(BH220,1),HFer,HOuv),HFer)-IF(NETWORKDAYS(O220,O220,JoursFeries),MEDIAN(MOD(O220,1),HFer,HOuv),HOuv))*24,4))))</f>
        <v/>
      </c>
      <c r="BJ220" s="35" t="str">
        <f aca="false">IF(OR(BI220="",AR220=""),"",IF(BI220&lt;=INDEX(DELAI_ESC,AR220),1,0))</f>
        <v/>
      </c>
      <c r="BK220" s="38" t="str">
        <f aca="false">IF(AO220&lt;&gt;1,"",IF(AND(T220="",U220=""),"",MIN(T220,U220)))</f>
        <v/>
      </c>
      <c r="BL220" s="37" t="str">
        <f aca="false">IF(OR(BK220="",R220=""),"",IFERROR(ROUND(IF(OR(BK220="",R220=""),"",IF(R220&lt;BK220,"",ROUND(((NETWORKDAYS(BK220,R220,JoursFeries)-1)*(HFer-HOuv)+IF(NETWORKDAYS(R220,R220,JoursFeries),MEDIAN(MOD(R220,1),HFer,HOuv),HFer)-IF(NETWORKDAYS(BK220,BK220,JoursFeries),MEDIAN(MOD(BK220,1),HFer,HOuv),HOuv))*24,4)))/HJour,4),""))</f>
        <v/>
      </c>
      <c r="BM220" s="35" t="str">
        <f aca="false">IF(OR(AO220&lt;&gt;1,R220=""),"",IF(BD220=1,1,0))</f>
        <v/>
      </c>
      <c r="BN220" s="35" t="str">
        <f aca="false">IF(AO220&lt;&gt;1,"",IF(W220="Oui",1,0))</f>
        <v/>
      </c>
      <c r="BO220" s="35" t="str">
        <f aca="false">IF(AO220&lt;&gt;1,"",IF(X220&lt;&gt;"",1,0))</f>
        <v/>
      </c>
      <c r="BP220" s="35" t="str">
        <f aca="false">IF(AO220&lt;&gt;1,"",IF(Y220="Oui",1,0))</f>
        <v/>
      </c>
      <c r="BQ220" s="35" t="str">
        <f aca="true">IF(OR(AO220&lt;&gt;1,Z220&lt;&gt;"Oui"),"",IF(AB220="",IF(AND(AA220&lt;&gt;"",NOW()&gt;AA220),0,""),IF(AA220="","",IF(AB220&lt;=AA220,1,0))))</f>
        <v/>
      </c>
      <c r="BR220" s="38" t="str">
        <f aca="false">IF(OR(AO220&lt;&gt;1,K220&lt;&gt;"Oui",O220=""),"",IF(AC220="",O220+DORA_H_DET/24,IF(AC220-O220&lt;=DORA_H_DET/24,MIN(AC220+DORA_H_CLA/24,O220+DORA_H_DET/24),AC220+DORA_H_CLA/24)))</f>
        <v/>
      </c>
      <c r="BS220" s="35" t="str">
        <f aca="true">IF(BR220="","",IF(AD220="",IF(NOW()&gt;BR220,0,""),IF(AD220&lt;=BR220,1,0)))</f>
        <v/>
      </c>
      <c r="BT220" s="35" t="str">
        <f aca="true">IF(OR(BR220="",AD220=""),"",IF(AE220="",IF(NOW()&gt;AD220+DORA_H_INT/24,0,""),IF(AE220&lt;=AD220+DORA_H_INT/24,1,0)))</f>
        <v/>
      </c>
      <c r="BU220" s="35" t="str">
        <f aca="true">IF(OR(BR220="",AE220=""),"",IF(AF220="",IF(NOW()&gt;EDATE(AE220,DORA_M_FIN)+1,0,""),IF(AF220&lt;=EDATE(AE220,DORA_M_FIN),1,0)))</f>
        <v/>
      </c>
      <c r="BV220" s="35" t="str">
        <f aca="false">IF(BR220="","",IF(COUNT(BS220:BU220)=0,"",MIN(BS220:BU220)))</f>
        <v/>
      </c>
      <c r="BW220" s="40" t="str">
        <f aca="false">IF(AQ220&lt;&gt;1,"",IF(AND(AG220="",AH220=""),"",N(AG220)-N(AH220)))</f>
        <v/>
      </c>
      <c r="BX220" s="35" t="str">
        <f aca="true">IF(OR(AQ220&lt;&gt;1,AI220&lt;&gt;"Oui",AJ220=""),"",IF(AK220="",IF(NOW()&gt;AJ220+1,0,""),IF(AK220&lt;=AJ220,1,0)))</f>
        <v/>
      </c>
    </row>
    <row r="221" customFormat="false" ht="15" hidden="false" customHeight="false" outlineLevel="0" collapsed="false">
      <c r="B221" s="29"/>
      <c r="C221" s="29"/>
      <c r="D221" s="29"/>
      <c r="E221" s="29"/>
      <c r="F221" s="29"/>
      <c r="G221" s="29"/>
      <c r="H221" s="29"/>
      <c r="I221" s="29"/>
      <c r="J221" s="29"/>
      <c r="K221" s="29"/>
      <c r="L221" s="29"/>
      <c r="M221" s="29"/>
      <c r="N221" s="30"/>
      <c r="O221" s="30"/>
      <c r="P221" s="30"/>
      <c r="Q221" s="30"/>
      <c r="R221" s="30"/>
      <c r="S221" s="30"/>
      <c r="T221" s="30"/>
      <c r="U221" s="30"/>
      <c r="V221" s="31"/>
      <c r="W221" s="29"/>
      <c r="X221" s="29"/>
      <c r="Y221" s="29"/>
      <c r="Z221" s="29"/>
      <c r="AA221" s="30"/>
      <c r="AB221" s="30"/>
      <c r="AC221" s="30"/>
      <c r="AD221" s="30"/>
      <c r="AE221" s="30"/>
      <c r="AF221" s="32"/>
      <c r="AG221" s="33"/>
      <c r="AH221" s="33"/>
      <c r="AI221" s="29"/>
      <c r="AJ221" s="32"/>
      <c r="AK221" s="32"/>
      <c r="AL221" s="29"/>
      <c r="AN221" s="34" t="str">
        <f aca="false">IF($B221="","",IF(OR(C221="",D221="",E221="",G221="",I221="",J221="",L221="",O221="",P221=""),"Champ obligatoire manquant",IF(OR(AND(N221&lt;&gt;"",N221&gt;O221),O221&gt;P221,AND(Q221&lt;&gt;"",Q221&lt;P221),AND(R221&lt;&gt;"",R221&lt;P221),AND(S221&lt;&gt;"",S221&lt;R221),AND(S221&lt;&gt;"",R221=""),AND(T221&lt;&gt;"",T221&lt;O221),AND(U221&lt;&gt;"",U221&lt;O221)),"Chronologie incohérente",IF(AND(OR(L221="Résolu",L221="Clos"),R221=""),"Date de résolution manquante",IF(AND(L221="Clos",S221=""),"Date de clôture manquante",IF(AND(K221="Oui",AC221=""),"Classification DORA manquante","OK"))))))</f>
        <v/>
      </c>
      <c r="AO221" s="35" t="str">
        <f aca="false">IF($B221="","",IF(AND(C221="Incident",L221&lt;&gt;"Annulé"),1,0))</f>
        <v/>
      </c>
      <c r="AP221" s="35" t="str">
        <f aca="false">IF($B221="","",IF(AND(C221="Quasi-incident",L221&lt;&gt;"Annulé"),1,0))</f>
        <v/>
      </c>
      <c r="AQ221" s="35" t="str">
        <f aca="false">IF($B221="","",AO221+AP221)</f>
        <v/>
      </c>
      <c r="AR221" s="36" t="str">
        <f aca="false">IF(OR($B221="",J221=""),"",IFERROR(VALUE(LEFT(J221,1)),""))</f>
        <v/>
      </c>
      <c r="AS221" s="35" t="str">
        <f aca="false">IF(OR(AO221&lt;&gt;1,G221=""),"",IFERROR(IF(INDEX(L_SrcInterne,MATCH(G221,L_Sources,0))="Oui",1,0),""))</f>
        <v/>
      </c>
      <c r="AT221" s="37" t="str">
        <f aca="false">IF(AO221&lt;&gt;1,"",IFERROR(ROUND(IF(OR(N221="",O221=""),"",IF(O221&lt;N221,"",ROUND(((NETWORKDAYS(N221,O221,JoursFeries)-1)*(HFer-HOuv)+IF(NETWORKDAYS(O221,O221,JoursFeries),MEDIAN(MOD(O221,1),HFer,HOuv),HFer)-IF(NETWORKDAYS(N221,N221,JoursFeries),MEDIAN(MOD(N221,1),HFer,HOuv),HOuv))*24,4)))/HJour,4),""))</f>
        <v/>
      </c>
      <c r="AU221" s="37" t="str">
        <f aca="false">IF(AO221&lt;&gt;1,"",IF(OR(O221="",P221=""),"",IF(P221&lt;O221,"",ROUND(((NETWORKDAYS(O221,P221,JoursFeries)-1)*(HFer-HOuv)+IF(NETWORKDAYS(P221,P221,JoursFeries),MEDIAN(MOD(P221,1),HFer,HOuv),HFer)-IF(NETWORKDAYS(O221,O221,JoursFeries),MEDIAN(MOD(O221,1),HFer,HOuv),HOuv))*24,4))))</f>
        <v/>
      </c>
      <c r="AV221" s="37" t="str">
        <f aca="false">IF(AO221&lt;&gt;1,"",IF(OR(P221="",Q221=""),"",IF(Q221&lt;P221,"",ROUND(((NETWORKDAYS(P221,Q221,JoursFeries)-1)*(HFer-HOuv)+IF(NETWORKDAYS(Q221,Q221,JoursFeries),MEDIAN(MOD(Q221,1),HFer,HOuv),HFer)-IF(NETWORKDAYS(P221,P221,JoursFeries),MEDIAN(MOD(P221,1),HFer,HOuv),HOuv))*24,4))))</f>
        <v/>
      </c>
      <c r="AW221" s="37" t="str">
        <f aca="false">IF(AO221&lt;&gt;1,"",IFERROR(ROUND(IF(OR(P221="",R221=""),"",IF(R221&lt;P221,"",ROUND(((NETWORKDAYS(P221,R221,JoursFeries)-1)*(HFer-HOuv)+IF(NETWORKDAYS(R221,R221,JoursFeries),MEDIAN(MOD(R221,1),HFer,HOuv),HFer)-IF(NETWORKDAYS(P221,P221,JoursFeries),MEDIAN(MOD(P221,1),HFer,HOuv),HOuv))*24,4)))/HJour,4),""))</f>
        <v/>
      </c>
      <c r="AX221" s="37" t="str">
        <f aca="false">IF(AO221&lt;&gt;1,"",IFERROR(ROUND(IF(OR(P221="",S221=""),"",IF(S221&lt;P221,"",ROUND(((NETWORKDAYS(P221,S221,JoursFeries)-1)*(HFer-HOuv)+IF(NETWORKDAYS(S221,S221,JoursFeries),MEDIAN(MOD(S221,1),HFer,HOuv),HFer)-IF(NETWORKDAYS(P221,P221,JoursFeries),MEDIAN(MOD(P221,1),HFer,HOuv),HOuv))*24,4)))/HJour,4),""))</f>
        <v/>
      </c>
      <c r="AY221" s="36" t="str">
        <f aca="false">IF(OR(AO221&lt;&gt;1,AR221=""),"",INDEX(SLA_PEC,AR221))</f>
        <v/>
      </c>
      <c r="AZ221" s="35" t="str">
        <f aca="false">IF(OR(AV221="",AY221=""),"",IF(AV221&lt;=AY221,1,0))</f>
        <v/>
      </c>
      <c r="BA221" s="36" t="str">
        <f aca="false">IF(OR(AO221&lt;&gt;1,AR221=""),"",INDEX(SLA_RES,AR221))</f>
        <v/>
      </c>
      <c r="BB221" s="35" t="str">
        <f aca="false">IF(OR(AW221="",BA221=""),"",IF(AW221&lt;=BA221,1,0))</f>
        <v/>
      </c>
      <c r="BC221" s="38" t="str">
        <f aca="false">IF(OR(BA221="",P221=""),"",WORKDAY(INT(P221),BA221,JoursFeries)+MOD(P221,1))</f>
        <v/>
      </c>
      <c r="BD221" s="39" t="str">
        <f aca="false">IF(AO221&lt;&gt;1,"",IF(OR(AB221&lt;&gt;"",AD221&lt;&gt;""),4,IF(U221&lt;&gt;"",3,IF(T221&lt;&gt;"",2,1))))</f>
        <v/>
      </c>
      <c r="BE221" s="39" t="str">
        <f aca="false">IF(OR(AO221&lt;&gt;1,AR221=""),"",INDEX(NIV_REQ,AR221))</f>
        <v/>
      </c>
      <c r="BF221" s="39" t="str">
        <f aca="false">IF(BE221="","",MAX(BE221,IF(OR(K221="Oui",Z221="Oui"),4,1)))</f>
        <v/>
      </c>
      <c r="BG221" s="35" t="str">
        <f aca="false">IF(OR(BF221="",BD221=""),"",IF(BD221&gt;=BF221,1,0))</f>
        <v/>
      </c>
      <c r="BH221" s="38" t="str">
        <f aca="false">IF(BE221="","",IF(BE221&lt;2,"",IF(BE221=2,IF(AND(T221="",U221=""),"",MIN(T221,U221)),IF(U221="","",U221))))</f>
        <v/>
      </c>
      <c r="BI221" s="37" t="str">
        <f aca="false">IF(BH221="","",IF(OR(O221="",BH221=""),"",IF(BH221&lt;O221,"",ROUND(((NETWORKDAYS(O221,BH221,JoursFeries)-1)*(HFer-HOuv)+IF(NETWORKDAYS(BH221,BH221,JoursFeries),MEDIAN(MOD(BH221,1),HFer,HOuv),HFer)-IF(NETWORKDAYS(O221,O221,JoursFeries),MEDIAN(MOD(O221,1),HFer,HOuv),HOuv))*24,4))))</f>
        <v/>
      </c>
      <c r="BJ221" s="35" t="str">
        <f aca="false">IF(OR(BI221="",AR221=""),"",IF(BI221&lt;=INDEX(DELAI_ESC,AR221),1,0))</f>
        <v/>
      </c>
      <c r="BK221" s="38" t="str">
        <f aca="false">IF(AO221&lt;&gt;1,"",IF(AND(T221="",U221=""),"",MIN(T221,U221)))</f>
        <v/>
      </c>
      <c r="BL221" s="37" t="str">
        <f aca="false">IF(OR(BK221="",R221=""),"",IFERROR(ROUND(IF(OR(BK221="",R221=""),"",IF(R221&lt;BK221,"",ROUND(((NETWORKDAYS(BK221,R221,JoursFeries)-1)*(HFer-HOuv)+IF(NETWORKDAYS(R221,R221,JoursFeries),MEDIAN(MOD(R221,1),HFer,HOuv),HFer)-IF(NETWORKDAYS(BK221,BK221,JoursFeries),MEDIAN(MOD(BK221,1),HFer,HOuv),HOuv))*24,4)))/HJour,4),""))</f>
        <v/>
      </c>
      <c r="BM221" s="35" t="str">
        <f aca="false">IF(OR(AO221&lt;&gt;1,R221=""),"",IF(BD221=1,1,0))</f>
        <v/>
      </c>
      <c r="BN221" s="35" t="str">
        <f aca="false">IF(AO221&lt;&gt;1,"",IF(W221="Oui",1,0))</f>
        <v/>
      </c>
      <c r="BO221" s="35" t="str">
        <f aca="false">IF(AO221&lt;&gt;1,"",IF(X221&lt;&gt;"",1,0))</f>
        <v/>
      </c>
      <c r="BP221" s="35" t="str">
        <f aca="false">IF(AO221&lt;&gt;1,"",IF(Y221="Oui",1,0))</f>
        <v/>
      </c>
      <c r="BQ221" s="35" t="str">
        <f aca="true">IF(OR(AO221&lt;&gt;1,Z221&lt;&gt;"Oui"),"",IF(AB221="",IF(AND(AA221&lt;&gt;"",NOW()&gt;AA221),0,""),IF(AA221="","",IF(AB221&lt;=AA221,1,0))))</f>
        <v/>
      </c>
      <c r="BR221" s="38" t="str">
        <f aca="false">IF(OR(AO221&lt;&gt;1,K221&lt;&gt;"Oui",O221=""),"",IF(AC221="",O221+DORA_H_DET/24,IF(AC221-O221&lt;=DORA_H_DET/24,MIN(AC221+DORA_H_CLA/24,O221+DORA_H_DET/24),AC221+DORA_H_CLA/24)))</f>
        <v/>
      </c>
      <c r="BS221" s="35" t="str">
        <f aca="true">IF(BR221="","",IF(AD221="",IF(NOW()&gt;BR221,0,""),IF(AD221&lt;=BR221,1,0)))</f>
        <v/>
      </c>
      <c r="BT221" s="35" t="str">
        <f aca="true">IF(OR(BR221="",AD221=""),"",IF(AE221="",IF(NOW()&gt;AD221+DORA_H_INT/24,0,""),IF(AE221&lt;=AD221+DORA_H_INT/24,1,0)))</f>
        <v/>
      </c>
      <c r="BU221" s="35" t="str">
        <f aca="true">IF(OR(BR221="",AE221=""),"",IF(AF221="",IF(NOW()&gt;EDATE(AE221,DORA_M_FIN)+1,0,""),IF(AF221&lt;=EDATE(AE221,DORA_M_FIN),1,0)))</f>
        <v/>
      </c>
      <c r="BV221" s="35" t="str">
        <f aca="false">IF(BR221="","",IF(COUNT(BS221:BU221)=0,"",MIN(BS221:BU221)))</f>
        <v/>
      </c>
      <c r="BW221" s="40" t="str">
        <f aca="false">IF(AQ221&lt;&gt;1,"",IF(AND(AG221="",AH221=""),"",N(AG221)-N(AH221)))</f>
        <v/>
      </c>
      <c r="BX221" s="35" t="str">
        <f aca="true">IF(OR(AQ221&lt;&gt;1,AI221&lt;&gt;"Oui",AJ221=""),"",IF(AK221="",IF(NOW()&gt;AJ221+1,0,""),IF(AK221&lt;=AJ221,1,0)))</f>
        <v/>
      </c>
    </row>
    <row r="222" customFormat="false" ht="15" hidden="false" customHeight="false" outlineLevel="0" collapsed="false">
      <c r="B222" s="29"/>
      <c r="C222" s="29"/>
      <c r="D222" s="29"/>
      <c r="E222" s="29"/>
      <c r="F222" s="29"/>
      <c r="G222" s="29"/>
      <c r="H222" s="29"/>
      <c r="I222" s="29"/>
      <c r="J222" s="29"/>
      <c r="K222" s="29"/>
      <c r="L222" s="29"/>
      <c r="M222" s="29"/>
      <c r="N222" s="30"/>
      <c r="O222" s="30"/>
      <c r="P222" s="30"/>
      <c r="Q222" s="30"/>
      <c r="R222" s="30"/>
      <c r="S222" s="30"/>
      <c r="T222" s="30"/>
      <c r="U222" s="30"/>
      <c r="V222" s="31"/>
      <c r="W222" s="29"/>
      <c r="X222" s="29"/>
      <c r="Y222" s="29"/>
      <c r="Z222" s="29"/>
      <c r="AA222" s="30"/>
      <c r="AB222" s="30"/>
      <c r="AC222" s="30"/>
      <c r="AD222" s="30"/>
      <c r="AE222" s="30"/>
      <c r="AF222" s="32"/>
      <c r="AG222" s="33"/>
      <c r="AH222" s="33"/>
      <c r="AI222" s="29"/>
      <c r="AJ222" s="32"/>
      <c r="AK222" s="32"/>
      <c r="AL222" s="29"/>
      <c r="AN222" s="34" t="str">
        <f aca="false">IF($B222="","",IF(OR(C222="",D222="",E222="",G222="",I222="",J222="",L222="",O222="",P222=""),"Champ obligatoire manquant",IF(OR(AND(N222&lt;&gt;"",N222&gt;O222),O222&gt;P222,AND(Q222&lt;&gt;"",Q222&lt;P222),AND(R222&lt;&gt;"",R222&lt;P222),AND(S222&lt;&gt;"",S222&lt;R222),AND(S222&lt;&gt;"",R222=""),AND(T222&lt;&gt;"",T222&lt;O222),AND(U222&lt;&gt;"",U222&lt;O222)),"Chronologie incohérente",IF(AND(OR(L222="Résolu",L222="Clos"),R222=""),"Date de résolution manquante",IF(AND(L222="Clos",S222=""),"Date de clôture manquante",IF(AND(K222="Oui",AC222=""),"Classification DORA manquante","OK"))))))</f>
        <v/>
      </c>
      <c r="AO222" s="35" t="str">
        <f aca="false">IF($B222="","",IF(AND(C222="Incident",L222&lt;&gt;"Annulé"),1,0))</f>
        <v/>
      </c>
      <c r="AP222" s="35" t="str">
        <f aca="false">IF($B222="","",IF(AND(C222="Quasi-incident",L222&lt;&gt;"Annulé"),1,0))</f>
        <v/>
      </c>
      <c r="AQ222" s="35" t="str">
        <f aca="false">IF($B222="","",AO222+AP222)</f>
        <v/>
      </c>
      <c r="AR222" s="36" t="str">
        <f aca="false">IF(OR($B222="",J222=""),"",IFERROR(VALUE(LEFT(J222,1)),""))</f>
        <v/>
      </c>
      <c r="AS222" s="35" t="str">
        <f aca="false">IF(OR(AO222&lt;&gt;1,G222=""),"",IFERROR(IF(INDEX(L_SrcInterne,MATCH(G222,L_Sources,0))="Oui",1,0),""))</f>
        <v/>
      </c>
      <c r="AT222" s="37" t="str">
        <f aca="false">IF(AO222&lt;&gt;1,"",IFERROR(ROUND(IF(OR(N222="",O222=""),"",IF(O222&lt;N222,"",ROUND(((NETWORKDAYS(N222,O222,JoursFeries)-1)*(HFer-HOuv)+IF(NETWORKDAYS(O222,O222,JoursFeries),MEDIAN(MOD(O222,1),HFer,HOuv),HFer)-IF(NETWORKDAYS(N222,N222,JoursFeries),MEDIAN(MOD(N222,1),HFer,HOuv),HOuv))*24,4)))/HJour,4),""))</f>
        <v/>
      </c>
      <c r="AU222" s="37" t="str">
        <f aca="false">IF(AO222&lt;&gt;1,"",IF(OR(O222="",P222=""),"",IF(P222&lt;O222,"",ROUND(((NETWORKDAYS(O222,P222,JoursFeries)-1)*(HFer-HOuv)+IF(NETWORKDAYS(P222,P222,JoursFeries),MEDIAN(MOD(P222,1),HFer,HOuv),HFer)-IF(NETWORKDAYS(O222,O222,JoursFeries),MEDIAN(MOD(O222,1),HFer,HOuv),HOuv))*24,4))))</f>
        <v/>
      </c>
      <c r="AV222" s="37" t="str">
        <f aca="false">IF(AO222&lt;&gt;1,"",IF(OR(P222="",Q222=""),"",IF(Q222&lt;P222,"",ROUND(((NETWORKDAYS(P222,Q222,JoursFeries)-1)*(HFer-HOuv)+IF(NETWORKDAYS(Q222,Q222,JoursFeries),MEDIAN(MOD(Q222,1),HFer,HOuv),HFer)-IF(NETWORKDAYS(P222,P222,JoursFeries),MEDIAN(MOD(P222,1),HFer,HOuv),HOuv))*24,4))))</f>
        <v/>
      </c>
      <c r="AW222" s="37" t="str">
        <f aca="false">IF(AO222&lt;&gt;1,"",IFERROR(ROUND(IF(OR(P222="",R222=""),"",IF(R222&lt;P222,"",ROUND(((NETWORKDAYS(P222,R222,JoursFeries)-1)*(HFer-HOuv)+IF(NETWORKDAYS(R222,R222,JoursFeries),MEDIAN(MOD(R222,1),HFer,HOuv),HFer)-IF(NETWORKDAYS(P222,P222,JoursFeries),MEDIAN(MOD(P222,1),HFer,HOuv),HOuv))*24,4)))/HJour,4),""))</f>
        <v/>
      </c>
      <c r="AX222" s="37" t="str">
        <f aca="false">IF(AO222&lt;&gt;1,"",IFERROR(ROUND(IF(OR(P222="",S222=""),"",IF(S222&lt;P222,"",ROUND(((NETWORKDAYS(P222,S222,JoursFeries)-1)*(HFer-HOuv)+IF(NETWORKDAYS(S222,S222,JoursFeries),MEDIAN(MOD(S222,1),HFer,HOuv),HFer)-IF(NETWORKDAYS(P222,P222,JoursFeries),MEDIAN(MOD(P222,1),HFer,HOuv),HOuv))*24,4)))/HJour,4),""))</f>
        <v/>
      </c>
      <c r="AY222" s="36" t="str">
        <f aca="false">IF(OR(AO222&lt;&gt;1,AR222=""),"",INDEX(SLA_PEC,AR222))</f>
        <v/>
      </c>
      <c r="AZ222" s="35" t="str">
        <f aca="false">IF(OR(AV222="",AY222=""),"",IF(AV222&lt;=AY222,1,0))</f>
        <v/>
      </c>
      <c r="BA222" s="36" t="str">
        <f aca="false">IF(OR(AO222&lt;&gt;1,AR222=""),"",INDEX(SLA_RES,AR222))</f>
        <v/>
      </c>
      <c r="BB222" s="35" t="str">
        <f aca="false">IF(OR(AW222="",BA222=""),"",IF(AW222&lt;=BA222,1,0))</f>
        <v/>
      </c>
      <c r="BC222" s="38" t="str">
        <f aca="false">IF(OR(BA222="",P222=""),"",WORKDAY(INT(P222),BA222,JoursFeries)+MOD(P222,1))</f>
        <v/>
      </c>
      <c r="BD222" s="39" t="str">
        <f aca="false">IF(AO222&lt;&gt;1,"",IF(OR(AB222&lt;&gt;"",AD222&lt;&gt;""),4,IF(U222&lt;&gt;"",3,IF(T222&lt;&gt;"",2,1))))</f>
        <v/>
      </c>
      <c r="BE222" s="39" t="str">
        <f aca="false">IF(OR(AO222&lt;&gt;1,AR222=""),"",INDEX(NIV_REQ,AR222))</f>
        <v/>
      </c>
      <c r="BF222" s="39" t="str">
        <f aca="false">IF(BE222="","",MAX(BE222,IF(OR(K222="Oui",Z222="Oui"),4,1)))</f>
        <v/>
      </c>
      <c r="BG222" s="35" t="str">
        <f aca="false">IF(OR(BF222="",BD222=""),"",IF(BD222&gt;=BF222,1,0))</f>
        <v/>
      </c>
      <c r="BH222" s="38" t="str">
        <f aca="false">IF(BE222="","",IF(BE222&lt;2,"",IF(BE222=2,IF(AND(T222="",U222=""),"",MIN(T222,U222)),IF(U222="","",U222))))</f>
        <v/>
      </c>
      <c r="BI222" s="37" t="str">
        <f aca="false">IF(BH222="","",IF(OR(O222="",BH222=""),"",IF(BH222&lt;O222,"",ROUND(((NETWORKDAYS(O222,BH222,JoursFeries)-1)*(HFer-HOuv)+IF(NETWORKDAYS(BH222,BH222,JoursFeries),MEDIAN(MOD(BH222,1),HFer,HOuv),HFer)-IF(NETWORKDAYS(O222,O222,JoursFeries),MEDIAN(MOD(O222,1),HFer,HOuv),HOuv))*24,4))))</f>
        <v/>
      </c>
      <c r="BJ222" s="35" t="str">
        <f aca="false">IF(OR(BI222="",AR222=""),"",IF(BI222&lt;=INDEX(DELAI_ESC,AR222),1,0))</f>
        <v/>
      </c>
      <c r="BK222" s="38" t="str">
        <f aca="false">IF(AO222&lt;&gt;1,"",IF(AND(T222="",U222=""),"",MIN(T222,U222)))</f>
        <v/>
      </c>
      <c r="BL222" s="37" t="str">
        <f aca="false">IF(OR(BK222="",R222=""),"",IFERROR(ROUND(IF(OR(BK222="",R222=""),"",IF(R222&lt;BK222,"",ROUND(((NETWORKDAYS(BK222,R222,JoursFeries)-1)*(HFer-HOuv)+IF(NETWORKDAYS(R222,R222,JoursFeries),MEDIAN(MOD(R222,1),HFer,HOuv),HFer)-IF(NETWORKDAYS(BK222,BK222,JoursFeries),MEDIAN(MOD(BK222,1),HFer,HOuv),HOuv))*24,4)))/HJour,4),""))</f>
        <v/>
      </c>
      <c r="BM222" s="35" t="str">
        <f aca="false">IF(OR(AO222&lt;&gt;1,R222=""),"",IF(BD222=1,1,0))</f>
        <v/>
      </c>
      <c r="BN222" s="35" t="str">
        <f aca="false">IF(AO222&lt;&gt;1,"",IF(W222="Oui",1,0))</f>
        <v/>
      </c>
      <c r="BO222" s="35" t="str">
        <f aca="false">IF(AO222&lt;&gt;1,"",IF(X222&lt;&gt;"",1,0))</f>
        <v/>
      </c>
      <c r="BP222" s="35" t="str">
        <f aca="false">IF(AO222&lt;&gt;1,"",IF(Y222="Oui",1,0))</f>
        <v/>
      </c>
      <c r="BQ222" s="35" t="str">
        <f aca="true">IF(OR(AO222&lt;&gt;1,Z222&lt;&gt;"Oui"),"",IF(AB222="",IF(AND(AA222&lt;&gt;"",NOW()&gt;AA222),0,""),IF(AA222="","",IF(AB222&lt;=AA222,1,0))))</f>
        <v/>
      </c>
      <c r="BR222" s="38" t="str">
        <f aca="false">IF(OR(AO222&lt;&gt;1,K222&lt;&gt;"Oui",O222=""),"",IF(AC222="",O222+DORA_H_DET/24,IF(AC222-O222&lt;=DORA_H_DET/24,MIN(AC222+DORA_H_CLA/24,O222+DORA_H_DET/24),AC222+DORA_H_CLA/24)))</f>
        <v/>
      </c>
      <c r="BS222" s="35" t="str">
        <f aca="true">IF(BR222="","",IF(AD222="",IF(NOW()&gt;BR222,0,""),IF(AD222&lt;=BR222,1,0)))</f>
        <v/>
      </c>
      <c r="BT222" s="35" t="str">
        <f aca="true">IF(OR(BR222="",AD222=""),"",IF(AE222="",IF(NOW()&gt;AD222+DORA_H_INT/24,0,""),IF(AE222&lt;=AD222+DORA_H_INT/24,1,0)))</f>
        <v/>
      </c>
      <c r="BU222" s="35" t="str">
        <f aca="true">IF(OR(BR222="",AE222=""),"",IF(AF222="",IF(NOW()&gt;EDATE(AE222,DORA_M_FIN)+1,0,""),IF(AF222&lt;=EDATE(AE222,DORA_M_FIN),1,0)))</f>
        <v/>
      </c>
      <c r="BV222" s="35" t="str">
        <f aca="false">IF(BR222="","",IF(COUNT(BS222:BU222)=0,"",MIN(BS222:BU222)))</f>
        <v/>
      </c>
      <c r="BW222" s="40" t="str">
        <f aca="false">IF(AQ222&lt;&gt;1,"",IF(AND(AG222="",AH222=""),"",N(AG222)-N(AH222)))</f>
        <v/>
      </c>
      <c r="BX222" s="35" t="str">
        <f aca="true">IF(OR(AQ222&lt;&gt;1,AI222&lt;&gt;"Oui",AJ222=""),"",IF(AK222="",IF(NOW()&gt;AJ222+1,0,""),IF(AK222&lt;=AJ222,1,0)))</f>
        <v/>
      </c>
    </row>
    <row r="223" customFormat="false" ht="15" hidden="false" customHeight="false" outlineLevel="0" collapsed="false">
      <c r="B223" s="29"/>
      <c r="C223" s="29"/>
      <c r="D223" s="29"/>
      <c r="E223" s="29"/>
      <c r="F223" s="29"/>
      <c r="G223" s="29"/>
      <c r="H223" s="29"/>
      <c r="I223" s="29"/>
      <c r="J223" s="29"/>
      <c r="K223" s="29"/>
      <c r="L223" s="29"/>
      <c r="M223" s="29"/>
      <c r="N223" s="30"/>
      <c r="O223" s="30"/>
      <c r="P223" s="30"/>
      <c r="Q223" s="30"/>
      <c r="R223" s="30"/>
      <c r="S223" s="30"/>
      <c r="T223" s="30"/>
      <c r="U223" s="30"/>
      <c r="V223" s="31"/>
      <c r="W223" s="29"/>
      <c r="X223" s="29"/>
      <c r="Y223" s="29"/>
      <c r="Z223" s="29"/>
      <c r="AA223" s="30"/>
      <c r="AB223" s="30"/>
      <c r="AC223" s="30"/>
      <c r="AD223" s="30"/>
      <c r="AE223" s="30"/>
      <c r="AF223" s="32"/>
      <c r="AG223" s="33"/>
      <c r="AH223" s="33"/>
      <c r="AI223" s="29"/>
      <c r="AJ223" s="32"/>
      <c r="AK223" s="32"/>
      <c r="AL223" s="29"/>
      <c r="AN223" s="34" t="str">
        <f aca="false">IF($B223="","",IF(OR(C223="",D223="",E223="",G223="",I223="",J223="",L223="",O223="",P223=""),"Champ obligatoire manquant",IF(OR(AND(N223&lt;&gt;"",N223&gt;O223),O223&gt;P223,AND(Q223&lt;&gt;"",Q223&lt;P223),AND(R223&lt;&gt;"",R223&lt;P223),AND(S223&lt;&gt;"",S223&lt;R223),AND(S223&lt;&gt;"",R223=""),AND(T223&lt;&gt;"",T223&lt;O223),AND(U223&lt;&gt;"",U223&lt;O223)),"Chronologie incohérente",IF(AND(OR(L223="Résolu",L223="Clos"),R223=""),"Date de résolution manquante",IF(AND(L223="Clos",S223=""),"Date de clôture manquante",IF(AND(K223="Oui",AC223=""),"Classification DORA manquante","OK"))))))</f>
        <v/>
      </c>
      <c r="AO223" s="35" t="str">
        <f aca="false">IF($B223="","",IF(AND(C223="Incident",L223&lt;&gt;"Annulé"),1,0))</f>
        <v/>
      </c>
      <c r="AP223" s="35" t="str">
        <f aca="false">IF($B223="","",IF(AND(C223="Quasi-incident",L223&lt;&gt;"Annulé"),1,0))</f>
        <v/>
      </c>
      <c r="AQ223" s="35" t="str">
        <f aca="false">IF($B223="","",AO223+AP223)</f>
        <v/>
      </c>
      <c r="AR223" s="36" t="str">
        <f aca="false">IF(OR($B223="",J223=""),"",IFERROR(VALUE(LEFT(J223,1)),""))</f>
        <v/>
      </c>
      <c r="AS223" s="35" t="str">
        <f aca="false">IF(OR(AO223&lt;&gt;1,G223=""),"",IFERROR(IF(INDEX(L_SrcInterne,MATCH(G223,L_Sources,0))="Oui",1,0),""))</f>
        <v/>
      </c>
      <c r="AT223" s="37" t="str">
        <f aca="false">IF(AO223&lt;&gt;1,"",IFERROR(ROUND(IF(OR(N223="",O223=""),"",IF(O223&lt;N223,"",ROUND(((NETWORKDAYS(N223,O223,JoursFeries)-1)*(HFer-HOuv)+IF(NETWORKDAYS(O223,O223,JoursFeries),MEDIAN(MOD(O223,1),HFer,HOuv),HFer)-IF(NETWORKDAYS(N223,N223,JoursFeries),MEDIAN(MOD(N223,1),HFer,HOuv),HOuv))*24,4)))/HJour,4),""))</f>
        <v/>
      </c>
      <c r="AU223" s="37" t="str">
        <f aca="false">IF(AO223&lt;&gt;1,"",IF(OR(O223="",P223=""),"",IF(P223&lt;O223,"",ROUND(((NETWORKDAYS(O223,P223,JoursFeries)-1)*(HFer-HOuv)+IF(NETWORKDAYS(P223,P223,JoursFeries),MEDIAN(MOD(P223,1),HFer,HOuv),HFer)-IF(NETWORKDAYS(O223,O223,JoursFeries),MEDIAN(MOD(O223,1),HFer,HOuv),HOuv))*24,4))))</f>
        <v/>
      </c>
      <c r="AV223" s="37" t="str">
        <f aca="false">IF(AO223&lt;&gt;1,"",IF(OR(P223="",Q223=""),"",IF(Q223&lt;P223,"",ROUND(((NETWORKDAYS(P223,Q223,JoursFeries)-1)*(HFer-HOuv)+IF(NETWORKDAYS(Q223,Q223,JoursFeries),MEDIAN(MOD(Q223,1),HFer,HOuv),HFer)-IF(NETWORKDAYS(P223,P223,JoursFeries),MEDIAN(MOD(P223,1),HFer,HOuv),HOuv))*24,4))))</f>
        <v/>
      </c>
      <c r="AW223" s="37" t="str">
        <f aca="false">IF(AO223&lt;&gt;1,"",IFERROR(ROUND(IF(OR(P223="",R223=""),"",IF(R223&lt;P223,"",ROUND(((NETWORKDAYS(P223,R223,JoursFeries)-1)*(HFer-HOuv)+IF(NETWORKDAYS(R223,R223,JoursFeries),MEDIAN(MOD(R223,1),HFer,HOuv),HFer)-IF(NETWORKDAYS(P223,P223,JoursFeries),MEDIAN(MOD(P223,1),HFer,HOuv),HOuv))*24,4)))/HJour,4),""))</f>
        <v/>
      </c>
      <c r="AX223" s="37" t="str">
        <f aca="false">IF(AO223&lt;&gt;1,"",IFERROR(ROUND(IF(OR(P223="",S223=""),"",IF(S223&lt;P223,"",ROUND(((NETWORKDAYS(P223,S223,JoursFeries)-1)*(HFer-HOuv)+IF(NETWORKDAYS(S223,S223,JoursFeries),MEDIAN(MOD(S223,1),HFer,HOuv),HFer)-IF(NETWORKDAYS(P223,P223,JoursFeries),MEDIAN(MOD(P223,1),HFer,HOuv),HOuv))*24,4)))/HJour,4),""))</f>
        <v/>
      </c>
      <c r="AY223" s="36" t="str">
        <f aca="false">IF(OR(AO223&lt;&gt;1,AR223=""),"",INDEX(SLA_PEC,AR223))</f>
        <v/>
      </c>
      <c r="AZ223" s="35" t="str">
        <f aca="false">IF(OR(AV223="",AY223=""),"",IF(AV223&lt;=AY223,1,0))</f>
        <v/>
      </c>
      <c r="BA223" s="36" t="str">
        <f aca="false">IF(OR(AO223&lt;&gt;1,AR223=""),"",INDEX(SLA_RES,AR223))</f>
        <v/>
      </c>
      <c r="BB223" s="35" t="str">
        <f aca="false">IF(OR(AW223="",BA223=""),"",IF(AW223&lt;=BA223,1,0))</f>
        <v/>
      </c>
      <c r="BC223" s="38" t="str">
        <f aca="false">IF(OR(BA223="",P223=""),"",WORKDAY(INT(P223),BA223,JoursFeries)+MOD(P223,1))</f>
        <v/>
      </c>
      <c r="BD223" s="39" t="str">
        <f aca="false">IF(AO223&lt;&gt;1,"",IF(OR(AB223&lt;&gt;"",AD223&lt;&gt;""),4,IF(U223&lt;&gt;"",3,IF(T223&lt;&gt;"",2,1))))</f>
        <v/>
      </c>
      <c r="BE223" s="39" t="str">
        <f aca="false">IF(OR(AO223&lt;&gt;1,AR223=""),"",INDEX(NIV_REQ,AR223))</f>
        <v/>
      </c>
      <c r="BF223" s="39" t="str">
        <f aca="false">IF(BE223="","",MAX(BE223,IF(OR(K223="Oui",Z223="Oui"),4,1)))</f>
        <v/>
      </c>
      <c r="BG223" s="35" t="str">
        <f aca="false">IF(OR(BF223="",BD223=""),"",IF(BD223&gt;=BF223,1,0))</f>
        <v/>
      </c>
      <c r="BH223" s="38" t="str">
        <f aca="false">IF(BE223="","",IF(BE223&lt;2,"",IF(BE223=2,IF(AND(T223="",U223=""),"",MIN(T223,U223)),IF(U223="","",U223))))</f>
        <v/>
      </c>
      <c r="BI223" s="37" t="str">
        <f aca="false">IF(BH223="","",IF(OR(O223="",BH223=""),"",IF(BH223&lt;O223,"",ROUND(((NETWORKDAYS(O223,BH223,JoursFeries)-1)*(HFer-HOuv)+IF(NETWORKDAYS(BH223,BH223,JoursFeries),MEDIAN(MOD(BH223,1),HFer,HOuv),HFer)-IF(NETWORKDAYS(O223,O223,JoursFeries),MEDIAN(MOD(O223,1),HFer,HOuv),HOuv))*24,4))))</f>
        <v/>
      </c>
      <c r="BJ223" s="35" t="str">
        <f aca="false">IF(OR(BI223="",AR223=""),"",IF(BI223&lt;=INDEX(DELAI_ESC,AR223),1,0))</f>
        <v/>
      </c>
      <c r="BK223" s="38" t="str">
        <f aca="false">IF(AO223&lt;&gt;1,"",IF(AND(T223="",U223=""),"",MIN(T223,U223)))</f>
        <v/>
      </c>
      <c r="BL223" s="37" t="str">
        <f aca="false">IF(OR(BK223="",R223=""),"",IFERROR(ROUND(IF(OR(BK223="",R223=""),"",IF(R223&lt;BK223,"",ROUND(((NETWORKDAYS(BK223,R223,JoursFeries)-1)*(HFer-HOuv)+IF(NETWORKDAYS(R223,R223,JoursFeries),MEDIAN(MOD(R223,1),HFer,HOuv),HFer)-IF(NETWORKDAYS(BK223,BK223,JoursFeries),MEDIAN(MOD(BK223,1),HFer,HOuv),HOuv))*24,4)))/HJour,4),""))</f>
        <v/>
      </c>
      <c r="BM223" s="35" t="str">
        <f aca="false">IF(OR(AO223&lt;&gt;1,R223=""),"",IF(BD223=1,1,0))</f>
        <v/>
      </c>
      <c r="BN223" s="35" t="str">
        <f aca="false">IF(AO223&lt;&gt;1,"",IF(W223="Oui",1,0))</f>
        <v/>
      </c>
      <c r="BO223" s="35" t="str">
        <f aca="false">IF(AO223&lt;&gt;1,"",IF(X223&lt;&gt;"",1,0))</f>
        <v/>
      </c>
      <c r="BP223" s="35" t="str">
        <f aca="false">IF(AO223&lt;&gt;1,"",IF(Y223="Oui",1,0))</f>
        <v/>
      </c>
      <c r="BQ223" s="35" t="str">
        <f aca="true">IF(OR(AO223&lt;&gt;1,Z223&lt;&gt;"Oui"),"",IF(AB223="",IF(AND(AA223&lt;&gt;"",NOW()&gt;AA223),0,""),IF(AA223="","",IF(AB223&lt;=AA223,1,0))))</f>
        <v/>
      </c>
      <c r="BR223" s="38" t="str">
        <f aca="false">IF(OR(AO223&lt;&gt;1,K223&lt;&gt;"Oui",O223=""),"",IF(AC223="",O223+DORA_H_DET/24,IF(AC223-O223&lt;=DORA_H_DET/24,MIN(AC223+DORA_H_CLA/24,O223+DORA_H_DET/24),AC223+DORA_H_CLA/24)))</f>
        <v/>
      </c>
      <c r="BS223" s="35" t="str">
        <f aca="true">IF(BR223="","",IF(AD223="",IF(NOW()&gt;BR223,0,""),IF(AD223&lt;=BR223,1,0)))</f>
        <v/>
      </c>
      <c r="BT223" s="35" t="str">
        <f aca="true">IF(OR(BR223="",AD223=""),"",IF(AE223="",IF(NOW()&gt;AD223+DORA_H_INT/24,0,""),IF(AE223&lt;=AD223+DORA_H_INT/24,1,0)))</f>
        <v/>
      </c>
      <c r="BU223" s="35" t="str">
        <f aca="true">IF(OR(BR223="",AE223=""),"",IF(AF223="",IF(NOW()&gt;EDATE(AE223,DORA_M_FIN)+1,0,""),IF(AF223&lt;=EDATE(AE223,DORA_M_FIN),1,0)))</f>
        <v/>
      </c>
      <c r="BV223" s="35" t="str">
        <f aca="false">IF(BR223="","",IF(COUNT(BS223:BU223)=0,"",MIN(BS223:BU223)))</f>
        <v/>
      </c>
      <c r="BW223" s="40" t="str">
        <f aca="false">IF(AQ223&lt;&gt;1,"",IF(AND(AG223="",AH223=""),"",N(AG223)-N(AH223)))</f>
        <v/>
      </c>
      <c r="BX223" s="35" t="str">
        <f aca="true">IF(OR(AQ223&lt;&gt;1,AI223&lt;&gt;"Oui",AJ223=""),"",IF(AK223="",IF(NOW()&gt;AJ223+1,0,""),IF(AK223&lt;=AJ223,1,0)))</f>
        <v/>
      </c>
    </row>
    <row r="224" customFormat="false" ht="15" hidden="false" customHeight="false" outlineLevel="0" collapsed="false">
      <c r="B224" s="29"/>
      <c r="C224" s="29"/>
      <c r="D224" s="29"/>
      <c r="E224" s="29"/>
      <c r="F224" s="29"/>
      <c r="G224" s="29"/>
      <c r="H224" s="29"/>
      <c r="I224" s="29"/>
      <c r="J224" s="29"/>
      <c r="K224" s="29"/>
      <c r="L224" s="29"/>
      <c r="M224" s="29"/>
      <c r="N224" s="30"/>
      <c r="O224" s="30"/>
      <c r="P224" s="30"/>
      <c r="Q224" s="30"/>
      <c r="R224" s="30"/>
      <c r="S224" s="30"/>
      <c r="T224" s="30"/>
      <c r="U224" s="30"/>
      <c r="V224" s="31"/>
      <c r="W224" s="29"/>
      <c r="X224" s="29"/>
      <c r="Y224" s="29"/>
      <c r="Z224" s="29"/>
      <c r="AA224" s="30"/>
      <c r="AB224" s="30"/>
      <c r="AC224" s="30"/>
      <c r="AD224" s="30"/>
      <c r="AE224" s="30"/>
      <c r="AF224" s="32"/>
      <c r="AG224" s="33"/>
      <c r="AH224" s="33"/>
      <c r="AI224" s="29"/>
      <c r="AJ224" s="32"/>
      <c r="AK224" s="32"/>
      <c r="AL224" s="29"/>
      <c r="AN224" s="34" t="str">
        <f aca="false">IF($B224="","",IF(OR(C224="",D224="",E224="",G224="",I224="",J224="",L224="",O224="",P224=""),"Champ obligatoire manquant",IF(OR(AND(N224&lt;&gt;"",N224&gt;O224),O224&gt;P224,AND(Q224&lt;&gt;"",Q224&lt;P224),AND(R224&lt;&gt;"",R224&lt;P224),AND(S224&lt;&gt;"",S224&lt;R224),AND(S224&lt;&gt;"",R224=""),AND(T224&lt;&gt;"",T224&lt;O224),AND(U224&lt;&gt;"",U224&lt;O224)),"Chronologie incohérente",IF(AND(OR(L224="Résolu",L224="Clos"),R224=""),"Date de résolution manquante",IF(AND(L224="Clos",S224=""),"Date de clôture manquante",IF(AND(K224="Oui",AC224=""),"Classification DORA manquante","OK"))))))</f>
        <v/>
      </c>
      <c r="AO224" s="35" t="str">
        <f aca="false">IF($B224="","",IF(AND(C224="Incident",L224&lt;&gt;"Annulé"),1,0))</f>
        <v/>
      </c>
      <c r="AP224" s="35" t="str">
        <f aca="false">IF($B224="","",IF(AND(C224="Quasi-incident",L224&lt;&gt;"Annulé"),1,0))</f>
        <v/>
      </c>
      <c r="AQ224" s="35" t="str">
        <f aca="false">IF($B224="","",AO224+AP224)</f>
        <v/>
      </c>
      <c r="AR224" s="36" t="str">
        <f aca="false">IF(OR($B224="",J224=""),"",IFERROR(VALUE(LEFT(J224,1)),""))</f>
        <v/>
      </c>
      <c r="AS224" s="35" t="str">
        <f aca="false">IF(OR(AO224&lt;&gt;1,G224=""),"",IFERROR(IF(INDEX(L_SrcInterne,MATCH(G224,L_Sources,0))="Oui",1,0),""))</f>
        <v/>
      </c>
      <c r="AT224" s="37" t="str">
        <f aca="false">IF(AO224&lt;&gt;1,"",IFERROR(ROUND(IF(OR(N224="",O224=""),"",IF(O224&lt;N224,"",ROUND(((NETWORKDAYS(N224,O224,JoursFeries)-1)*(HFer-HOuv)+IF(NETWORKDAYS(O224,O224,JoursFeries),MEDIAN(MOD(O224,1),HFer,HOuv),HFer)-IF(NETWORKDAYS(N224,N224,JoursFeries),MEDIAN(MOD(N224,1),HFer,HOuv),HOuv))*24,4)))/HJour,4),""))</f>
        <v/>
      </c>
      <c r="AU224" s="37" t="str">
        <f aca="false">IF(AO224&lt;&gt;1,"",IF(OR(O224="",P224=""),"",IF(P224&lt;O224,"",ROUND(((NETWORKDAYS(O224,P224,JoursFeries)-1)*(HFer-HOuv)+IF(NETWORKDAYS(P224,P224,JoursFeries),MEDIAN(MOD(P224,1),HFer,HOuv),HFer)-IF(NETWORKDAYS(O224,O224,JoursFeries),MEDIAN(MOD(O224,1),HFer,HOuv),HOuv))*24,4))))</f>
        <v/>
      </c>
      <c r="AV224" s="37" t="str">
        <f aca="false">IF(AO224&lt;&gt;1,"",IF(OR(P224="",Q224=""),"",IF(Q224&lt;P224,"",ROUND(((NETWORKDAYS(P224,Q224,JoursFeries)-1)*(HFer-HOuv)+IF(NETWORKDAYS(Q224,Q224,JoursFeries),MEDIAN(MOD(Q224,1),HFer,HOuv),HFer)-IF(NETWORKDAYS(P224,P224,JoursFeries),MEDIAN(MOD(P224,1),HFer,HOuv),HOuv))*24,4))))</f>
        <v/>
      </c>
      <c r="AW224" s="37" t="str">
        <f aca="false">IF(AO224&lt;&gt;1,"",IFERROR(ROUND(IF(OR(P224="",R224=""),"",IF(R224&lt;P224,"",ROUND(((NETWORKDAYS(P224,R224,JoursFeries)-1)*(HFer-HOuv)+IF(NETWORKDAYS(R224,R224,JoursFeries),MEDIAN(MOD(R224,1),HFer,HOuv),HFer)-IF(NETWORKDAYS(P224,P224,JoursFeries),MEDIAN(MOD(P224,1),HFer,HOuv),HOuv))*24,4)))/HJour,4),""))</f>
        <v/>
      </c>
      <c r="AX224" s="37" t="str">
        <f aca="false">IF(AO224&lt;&gt;1,"",IFERROR(ROUND(IF(OR(P224="",S224=""),"",IF(S224&lt;P224,"",ROUND(((NETWORKDAYS(P224,S224,JoursFeries)-1)*(HFer-HOuv)+IF(NETWORKDAYS(S224,S224,JoursFeries),MEDIAN(MOD(S224,1),HFer,HOuv),HFer)-IF(NETWORKDAYS(P224,P224,JoursFeries),MEDIAN(MOD(P224,1),HFer,HOuv),HOuv))*24,4)))/HJour,4),""))</f>
        <v/>
      </c>
      <c r="AY224" s="36" t="str">
        <f aca="false">IF(OR(AO224&lt;&gt;1,AR224=""),"",INDEX(SLA_PEC,AR224))</f>
        <v/>
      </c>
      <c r="AZ224" s="35" t="str">
        <f aca="false">IF(OR(AV224="",AY224=""),"",IF(AV224&lt;=AY224,1,0))</f>
        <v/>
      </c>
      <c r="BA224" s="36" t="str">
        <f aca="false">IF(OR(AO224&lt;&gt;1,AR224=""),"",INDEX(SLA_RES,AR224))</f>
        <v/>
      </c>
      <c r="BB224" s="35" t="str">
        <f aca="false">IF(OR(AW224="",BA224=""),"",IF(AW224&lt;=BA224,1,0))</f>
        <v/>
      </c>
      <c r="BC224" s="38" t="str">
        <f aca="false">IF(OR(BA224="",P224=""),"",WORKDAY(INT(P224),BA224,JoursFeries)+MOD(P224,1))</f>
        <v/>
      </c>
      <c r="BD224" s="39" t="str">
        <f aca="false">IF(AO224&lt;&gt;1,"",IF(OR(AB224&lt;&gt;"",AD224&lt;&gt;""),4,IF(U224&lt;&gt;"",3,IF(T224&lt;&gt;"",2,1))))</f>
        <v/>
      </c>
      <c r="BE224" s="39" t="str">
        <f aca="false">IF(OR(AO224&lt;&gt;1,AR224=""),"",INDEX(NIV_REQ,AR224))</f>
        <v/>
      </c>
      <c r="BF224" s="39" t="str">
        <f aca="false">IF(BE224="","",MAX(BE224,IF(OR(K224="Oui",Z224="Oui"),4,1)))</f>
        <v/>
      </c>
      <c r="BG224" s="35" t="str">
        <f aca="false">IF(OR(BF224="",BD224=""),"",IF(BD224&gt;=BF224,1,0))</f>
        <v/>
      </c>
      <c r="BH224" s="38" t="str">
        <f aca="false">IF(BE224="","",IF(BE224&lt;2,"",IF(BE224=2,IF(AND(T224="",U224=""),"",MIN(T224,U224)),IF(U224="","",U224))))</f>
        <v/>
      </c>
      <c r="BI224" s="37" t="str">
        <f aca="false">IF(BH224="","",IF(OR(O224="",BH224=""),"",IF(BH224&lt;O224,"",ROUND(((NETWORKDAYS(O224,BH224,JoursFeries)-1)*(HFer-HOuv)+IF(NETWORKDAYS(BH224,BH224,JoursFeries),MEDIAN(MOD(BH224,1),HFer,HOuv),HFer)-IF(NETWORKDAYS(O224,O224,JoursFeries),MEDIAN(MOD(O224,1),HFer,HOuv),HOuv))*24,4))))</f>
        <v/>
      </c>
      <c r="BJ224" s="35" t="str">
        <f aca="false">IF(OR(BI224="",AR224=""),"",IF(BI224&lt;=INDEX(DELAI_ESC,AR224),1,0))</f>
        <v/>
      </c>
      <c r="BK224" s="38" t="str">
        <f aca="false">IF(AO224&lt;&gt;1,"",IF(AND(T224="",U224=""),"",MIN(T224,U224)))</f>
        <v/>
      </c>
      <c r="BL224" s="37" t="str">
        <f aca="false">IF(OR(BK224="",R224=""),"",IFERROR(ROUND(IF(OR(BK224="",R224=""),"",IF(R224&lt;BK224,"",ROUND(((NETWORKDAYS(BK224,R224,JoursFeries)-1)*(HFer-HOuv)+IF(NETWORKDAYS(R224,R224,JoursFeries),MEDIAN(MOD(R224,1),HFer,HOuv),HFer)-IF(NETWORKDAYS(BK224,BK224,JoursFeries),MEDIAN(MOD(BK224,1),HFer,HOuv),HOuv))*24,4)))/HJour,4),""))</f>
        <v/>
      </c>
      <c r="BM224" s="35" t="str">
        <f aca="false">IF(OR(AO224&lt;&gt;1,R224=""),"",IF(BD224=1,1,0))</f>
        <v/>
      </c>
      <c r="BN224" s="35" t="str">
        <f aca="false">IF(AO224&lt;&gt;1,"",IF(W224="Oui",1,0))</f>
        <v/>
      </c>
      <c r="BO224" s="35" t="str">
        <f aca="false">IF(AO224&lt;&gt;1,"",IF(X224&lt;&gt;"",1,0))</f>
        <v/>
      </c>
      <c r="BP224" s="35" t="str">
        <f aca="false">IF(AO224&lt;&gt;1,"",IF(Y224="Oui",1,0))</f>
        <v/>
      </c>
      <c r="BQ224" s="35" t="str">
        <f aca="true">IF(OR(AO224&lt;&gt;1,Z224&lt;&gt;"Oui"),"",IF(AB224="",IF(AND(AA224&lt;&gt;"",NOW()&gt;AA224),0,""),IF(AA224="","",IF(AB224&lt;=AA224,1,0))))</f>
        <v/>
      </c>
      <c r="BR224" s="38" t="str">
        <f aca="false">IF(OR(AO224&lt;&gt;1,K224&lt;&gt;"Oui",O224=""),"",IF(AC224="",O224+DORA_H_DET/24,IF(AC224-O224&lt;=DORA_H_DET/24,MIN(AC224+DORA_H_CLA/24,O224+DORA_H_DET/24),AC224+DORA_H_CLA/24)))</f>
        <v/>
      </c>
      <c r="BS224" s="35" t="str">
        <f aca="true">IF(BR224="","",IF(AD224="",IF(NOW()&gt;BR224,0,""),IF(AD224&lt;=BR224,1,0)))</f>
        <v/>
      </c>
      <c r="BT224" s="35" t="str">
        <f aca="true">IF(OR(BR224="",AD224=""),"",IF(AE224="",IF(NOW()&gt;AD224+DORA_H_INT/24,0,""),IF(AE224&lt;=AD224+DORA_H_INT/24,1,0)))</f>
        <v/>
      </c>
      <c r="BU224" s="35" t="str">
        <f aca="true">IF(OR(BR224="",AE224=""),"",IF(AF224="",IF(NOW()&gt;EDATE(AE224,DORA_M_FIN)+1,0,""),IF(AF224&lt;=EDATE(AE224,DORA_M_FIN),1,0)))</f>
        <v/>
      </c>
      <c r="BV224" s="35" t="str">
        <f aca="false">IF(BR224="","",IF(COUNT(BS224:BU224)=0,"",MIN(BS224:BU224)))</f>
        <v/>
      </c>
      <c r="BW224" s="40" t="str">
        <f aca="false">IF(AQ224&lt;&gt;1,"",IF(AND(AG224="",AH224=""),"",N(AG224)-N(AH224)))</f>
        <v/>
      </c>
      <c r="BX224" s="35" t="str">
        <f aca="true">IF(OR(AQ224&lt;&gt;1,AI224&lt;&gt;"Oui",AJ224=""),"",IF(AK224="",IF(NOW()&gt;AJ224+1,0,""),IF(AK224&lt;=AJ224,1,0)))</f>
        <v/>
      </c>
    </row>
    <row r="225" customFormat="false" ht="15" hidden="false" customHeight="false" outlineLevel="0" collapsed="false">
      <c r="B225" s="29"/>
      <c r="C225" s="29"/>
      <c r="D225" s="29"/>
      <c r="E225" s="29"/>
      <c r="F225" s="29"/>
      <c r="G225" s="29"/>
      <c r="H225" s="29"/>
      <c r="I225" s="29"/>
      <c r="J225" s="29"/>
      <c r="K225" s="29"/>
      <c r="L225" s="29"/>
      <c r="M225" s="29"/>
      <c r="N225" s="30"/>
      <c r="O225" s="30"/>
      <c r="P225" s="30"/>
      <c r="Q225" s="30"/>
      <c r="R225" s="30"/>
      <c r="S225" s="30"/>
      <c r="T225" s="30"/>
      <c r="U225" s="30"/>
      <c r="V225" s="31"/>
      <c r="W225" s="29"/>
      <c r="X225" s="29"/>
      <c r="Y225" s="29"/>
      <c r="Z225" s="29"/>
      <c r="AA225" s="30"/>
      <c r="AB225" s="30"/>
      <c r="AC225" s="30"/>
      <c r="AD225" s="30"/>
      <c r="AE225" s="30"/>
      <c r="AF225" s="32"/>
      <c r="AG225" s="33"/>
      <c r="AH225" s="33"/>
      <c r="AI225" s="29"/>
      <c r="AJ225" s="32"/>
      <c r="AK225" s="32"/>
      <c r="AL225" s="29"/>
      <c r="AN225" s="34" t="str">
        <f aca="false">IF($B225="","",IF(OR(C225="",D225="",E225="",G225="",I225="",J225="",L225="",O225="",P225=""),"Champ obligatoire manquant",IF(OR(AND(N225&lt;&gt;"",N225&gt;O225),O225&gt;P225,AND(Q225&lt;&gt;"",Q225&lt;P225),AND(R225&lt;&gt;"",R225&lt;P225),AND(S225&lt;&gt;"",S225&lt;R225),AND(S225&lt;&gt;"",R225=""),AND(T225&lt;&gt;"",T225&lt;O225),AND(U225&lt;&gt;"",U225&lt;O225)),"Chronologie incohérente",IF(AND(OR(L225="Résolu",L225="Clos"),R225=""),"Date de résolution manquante",IF(AND(L225="Clos",S225=""),"Date de clôture manquante",IF(AND(K225="Oui",AC225=""),"Classification DORA manquante","OK"))))))</f>
        <v/>
      </c>
      <c r="AO225" s="35" t="str">
        <f aca="false">IF($B225="","",IF(AND(C225="Incident",L225&lt;&gt;"Annulé"),1,0))</f>
        <v/>
      </c>
      <c r="AP225" s="35" t="str">
        <f aca="false">IF($B225="","",IF(AND(C225="Quasi-incident",L225&lt;&gt;"Annulé"),1,0))</f>
        <v/>
      </c>
      <c r="AQ225" s="35" t="str">
        <f aca="false">IF($B225="","",AO225+AP225)</f>
        <v/>
      </c>
      <c r="AR225" s="36" t="str">
        <f aca="false">IF(OR($B225="",J225=""),"",IFERROR(VALUE(LEFT(J225,1)),""))</f>
        <v/>
      </c>
      <c r="AS225" s="35" t="str">
        <f aca="false">IF(OR(AO225&lt;&gt;1,G225=""),"",IFERROR(IF(INDEX(L_SrcInterne,MATCH(G225,L_Sources,0))="Oui",1,0),""))</f>
        <v/>
      </c>
      <c r="AT225" s="37" t="str">
        <f aca="false">IF(AO225&lt;&gt;1,"",IFERROR(ROUND(IF(OR(N225="",O225=""),"",IF(O225&lt;N225,"",ROUND(((NETWORKDAYS(N225,O225,JoursFeries)-1)*(HFer-HOuv)+IF(NETWORKDAYS(O225,O225,JoursFeries),MEDIAN(MOD(O225,1),HFer,HOuv),HFer)-IF(NETWORKDAYS(N225,N225,JoursFeries),MEDIAN(MOD(N225,1),HFer,HOuv),HOuv))*24,4)))/HJour,4),""))</f>
        <v/>
      </c>
      <c r="AU225" s="37" t="str">
        <f aca="false">IF(AO225&lt;&gt;1,"",IF(OR(O225="",P225=""),"",IF(P225&lt;O225,"",ROUND(((NETWORKDAYS(O225,P225,JoursFeries)-1)*(HFer-HOuv)+IF(NETWORKDAYS(P225,P225,JoursFeries),MEDIAN(MOD(P225,1),HFer,HOuv),HFer)-IF(NETWORKDAYS(O225,O225,JoursFeries),MEDIAN(MOD(O225,1),HFer,HOuv),HOuv))*24,4))))</f>
        <v/>
      </c>
      <c r="AV225" s="37" t="str">
        <f aca="false">IF(AO225&lt;&gt;1,"",IF(OR(P225="",Q225=""),"",IF(Q225&lt;P225,"",ROUND(((NETWORKDAYS(P225,Q225,JoursFeries)-1)*(HFer-HOuv)+IF(NETWORKDAYS(Q225,Q225,JoursFeries),MEDIAN(MOD(Q225,1),HFer,HOuv),HFer)-IF(NETWORKDAYS(P225,P225,JoursFeries),MEDIAN(MOD(P225,1),HFer,HOuv),HOuv))*24,4))))</f>
        <v/>
      </c>
      <c r="AW225" s="37" t="str">
        <f aca="false">IF(AO225&lt;&gt;1,"",IFERROR(ROUND(IF(OR(P225="",R225=""),"",IF(R225&lt;P225,"",ROUND(((NETWORKDAYS(P225,R225,JoursFeries)-1)*(HFer-HOuv)+IF(NETWORKDAYS(R225,R225,JoursFeries),MEDIAN(MOD(R225,1),HFer,HOuv),HFer)-IF(NETWORKDAYS(P225,P225,JoursFeries),MEDIAN(MOD(P225,1),HFer,HOuv),HOuv))*24,4)))/HJour,4),""))</f>
        <v/>
      </c>
      <c r="AX225" s="37" t="str">
        <f aca="false">IF(AO225&lt;&gt;1,"",IFERROR(ROUND(IF(OR(P225="",S225=""),"",IF(S225&lt;P225,"",ROUND(((NETWORKDAYS(P225,S225,JoursFeries)-1)*(HFer-HOuv)+IF(NETWORKDAYS(S225,S225,JoursFeries),MEDIAN(MOD(S225,1),HFer,HOuv),HFer)-IF(NETWORKDAYS(P225,P225,JoursFeries),MEDIAN(MOD(P225,1),HFer,HOuv),HOuv))*24,4)))/HJour,4),""))</f>
        <v/>
      </c>
      <c r="AY225" s="36" t="str">
        <f aca="false">IF(OR(AO225&lt;&gt;1,AR225=""),"",INDEX(SLA_PEC,AR225))</f>
        <v/>
      </c>
      <c r="AZ225" s="35" t="str">
        <f aca="false">IF(OR(AV225="",AY225=""),"",IF(AV225&lt;=AY225,1,0))</f>
        <v/>
      </c>
      <c r="BA225" s="36" t="str">
        <f aca="false">IF(OR(AO225&lt;&gt;1,AR225=""),"",INDEX(SLA_RES,AR225))</f>
        <v/>
      </c>
      <c r="BB225" s="35" t="str">
        <f aca="false">IF(OR(AW225="",BA225=""),"",IF(AW225&lt;=BA225,1,0))</f>
        <v/>
      </c>
      <c r="BC225" s="38" t="str">
        <f aca="false">IF(OR(BA225="",P225=""),"",WORKDAY(INT(P225),BA225,JoursFeries)+MOD(P225,1))</f>
        <v/>
      </c>
      <c r="BD225" s="39" t="str">
        <f aca="false">IF(AO225&lt;&gt;1,"",IF(OR(AB225&lt;&gt;"",AD225&lt;&gt;""),4,IF(U225&lt;&gt;"",3,IF(T225&lt;&gt;"",2,1))))</f>
        <v/>
      </c>
      <c r="BE225" s="39" t="str">
        <f aca="false">IF(OR(AO225&lt;&gt;1,AR225=""),"",INDEX(NIV_REQ,AR225))</f>
        <v/>
      </c>
      <c r="BF225" s="39" t="str">
        <f aca="false">IF(BE225="","",MAX(BE225,IF(OR(K225="Oui",Z225="Oui"),4,1)))</f>
        <v/>
      </c>
      <c r="BG225" s="35" t="str">
        <f aca="false">IF(OR(BF225="",BD225=""),"",IF(BD225&gt;=BF225,1,0))</f>
        <v/>
      </c>
      <c r="BH225" s="38" t="str">
        <f aca="false">IF(BE225="","",IF(BE225&lt;2,"",IF(BE225=2,IF(AND(T225="",U225=""),"",MIN(T225,U225)),IF(U225="","",U225))))</f>
        <v/>
      </c>
      <c r="BI225" s="37" t="str">
        <f aca="false">IF(BH225="","",IF(OR(O225="",BH225=""),"",IF(BH225&lt;O225,"",ROUND(((NETWORKDAYS(O225,BH225,JoursFeries)-1)*(HFer-HOuv)+IF(NETWORKDAYS(BH225,BH225,JoursFeries),MEDIAN(MOD(BH225,1),HFer,HOuv),HFer)-IF(NETWORKDAYS(O225,O225,JoursFeries),MEDIAN(MOD(O225,1),HFer,HOuv),HOuv))*24,4))))</f>
        <v/>
      </c>
      <c r="BJ225" s="35" t="str">
        <f aca="false">IF(OR(BI225="",AR225=""),"",IF(BI225&lt;=INDEX(DELAI_ESC,AR225),1,0))</f>
        <v/>
      </c>
      <c r="BK225" s="38" t="str">
        <f aca="false">IF(AO225&lt;&gt;1,"",IF(AND(T225="",U225=""),"",MIN(T225,U225)))</f>
        <v/>
      </c>
      <c r="BL225" s="37" t="str">
        <f aca="false">IF(OR(BK225="",R225=""),"",IFERROR(ROUND(IF(OR(BK225="",R225=""),"",IF(R225&lt;BK225,"",ROUND(((NETWORKDAYS(BK225,R225,JoursFeries)-1)*(HFer-HOuv)+IF(NETWORKDAYS(R225,R225,JoursFeries),MEDIAN(MOD(R225,1),HFer,HOuv),HFer)-IF(NETWORKDAYS(BK225,BK225,JoursFeries),MEDIAN(MOD(BK225,1),HFer,HOuv),HOuv))*24,4)))/HJour,4),""))</f>
        <v/>
      </c>
      <c r="BM225" s="35" t="str">
        <f aca="false">IF(OR(AO225&lt;&gt;1,R225=""),"",IF(BD225=1,1,0))</f>
        <v/>
      </c>
      <c r="BN225" s="35" t="str">
        <f aca="false">IF(AO225&lt;&gt;1,"",IF(W225="Oui",1,0))</f>
        <v/>
      </c>
      <c r="BO225" s="35" t="str">
        <f aca="false">IF(AO225&lt;&gt;1,"",IF(X225&lt;&gt;"",1,0))</f>
        <v/>
      </c>
      <c r="BP225" s="35" t="str">
        <f aca="false">IF(AO225&lt;&gt;1,"",IF(Y225="Oui",1,0))</f>
        <v/>
      </c>
      <c r="BQ225" s="35" t="str">
        <f aca="true">IF(OR(AO225&lt;&gt;1,Z225&lt;&gt;"Oui"),"",IF(AB225="",IF(AND(AA225&lt;&gt;"",NOW()&gt;AA225),0,""),IF(AA225="","",IF(AB225&lt;=AA225,1,0))))</f>
        <v/>
      </c>
      <c r="BR225" s="38" t="str">
        <f aca="false">IF(OR(AO225&lt;&gt;1,K225&lt;&gt;"Oui",O225=""),"",IF(AC225="",O225+DORA_H_DET/24,IF(AC225-O225&lt;=DORA_H_DET/24,MIN(AC225+DORA_H_CLA/24,O225+DORA_H_DET/24),AC225+DORA_H_CLA/24)))</f>
        <v/>
      </c>
      <c r="BS225" s="35" t="str">
        <f aca="true">IF(BR225="","",IF(AD225="",IF(NOW()&gt;BR225,0,""),IF(AD225&lt;=BR225,1,0)))</f>
        <v/>
      </c>
      <c r="BT225" s="35" t="str">
        <f aca="true">IF(OR(BR225="",AD225=""),"",IF(AE225="",IF(NOW()&gt;AD225+DORA_H_INT/24,0,""),IF(AE225&lt;=AD225+DORA_H_INT/24,1,0)))</f>
        <v/>
      </c>
      <c r="BU225" s="35" t="str">
        <f aca="true">IF(OR(BR225="",AE225=""),"",IF(AF225="",IF(NOW()&gt;EDATE(AE225,DORA_M_FIN)+1,0,""),IF(AF225&lt;=EDATE(AE225,DORA_M_FIN),1,0)))</f>
        <v/>
      </c>
      <c r="BV225" s="35" t="str">
        <f aca="false">IF(BR225="","",IF(COUNT(BS225:BU225)=0,"",MIN(BS225:BU225)))</f>
        <v/>
      </c>
      <c r="BW225" s="40" t="str">
        <f aca="false">IF(AQ225&lt;&gt;1,"",IF(AND(AG225="",AH225=""),"",N(AG225)-N(AH225)))</f>
        <v/>
      </c>
      <c r="BX225" s="35" t="str">
        <f aca="true">IF(OR(AQ225&lt;&gt;1,AI225&lt;&gt;"Oui",AJ225=""),"",IF(AK225="",IF(NOW()&gt;AJ225+1,0,""),IF(AK225&lt;=AJ225,1,0)))</f>
        <v/>
      </c>
    </row>
    <row r="226" customFormat="false" ht="15" hidden="false" customHeight="false" outlineLevel="0" collapsed="false">
      <c r="B226" s="29"/>
      <c r="C226" s="29"/>
      <c r="D226" s="29"/>
      <c r="E226" s="29"/>
      <c r="F226" s="29"/>
      <c r="G226" s="29"/>
      <c r="H226" s="29"/>
      <c r="I226" s="29"/>
      <c r="J226" s="29"/>
      <c r="K226" s="29"/>
      <c r="L226" s="29"/>
      <c r="M226" s="29"/>
      <c r="N226" s="30"/>
      <c r="O226" s="30"/>
      <c r="P226" s="30"/>
      <c r="Q226" s="30"/>
      <c r="R226" s="30"/>
      <c r="S226" s="30"/>
      <c r="T226" s="30"/>
      <c r="U226" s="30"/>
      <c r="V226" s="31"/>
      <c r="W226" s="29"/>
      <c r="X226" s="29"/>
      <c r="Y226" s="29"/>
      <c r="Z226" s="29"/>
      <c r="AA226" s="30"/>
      <c r="AB226" s="30"/>
      <c r="AC226" s="30"/>
      <c r="AD226" s="30"/>
      <c r="AE226" s="30"/>
      <c r="AF226" s="32"/>
      <c r="AG226" s="33"/>
      <c r="AH226" s="33"/>
      <c r="AI226" s="29"/>
      <c r="AJ226" s="32"/>
      <c r="AK226" s="32"/>
      <c r="AL226" s="29"/>
      <c r="AN226" s="34" t="str">
        <f aca="false">IF($B226="","",IF(OR(C226="",D226="",E226="",G226="",I226="",J226="",L226="",O226="",P226=""),"Champ obligatoire manquant",IF(OR(AND(N226&lt;&gt;"",N226&gt;O226),O226&gt;P226,AND(Q226&lt;&gt;"",Q226&lt;P226),AND(R226&lt;&gt;"",R226&lt;P226),AND(S226&lt;&gt;"",S226&lt;R226),AND(S226&lt;&gt;"",R226=""),AND(T226&lt;&gt;"",T226&lt;O226),AND(U226&lt;&gt;"",U226&lt;O226)),"Chronologie incohérente",IF(AND(OR(L226="Résolu",L226="Clos"),R226=""),"Date de résolution manquante",IF(AND(L226="Clos",S226=""),"Date de clôture manquante",IF(AND(K226="Oui",AC226=""),"Classification DORA manquante","OK"))))))</f>
        <v/>
      </c>
      <c r="AO226" s="35" t="str">
        <f aca="false">IF($B226="","",IF(AND(C226="Incident",L226&lt;&gt;"Annulé"),1,0))</f>
        <v/>
      </c>
      <c r="AP226" s="35" t="str">
        <f aca="false">IF($B226="","",IF(AND(C226="Quasi-incident",L226&lt;&gt;"Annulé"),1,0))</f>
        <v/>
      </c>
      <c r="AQ226" s="35" t="str">
        <f aca="false">IF($B226="","",AO226+AP226)</f>
        <v/>
      </c>
      <c r="AR226" s="36" t="str">
        <f aca="false">IF(OR($B226="",J226=""),"",IFERROR(VALUE(LEFT(J226,1)),""))</f>
        <v/>
      </c>
      <c r="AS226" s="35" t="str">
        <f aca="false">IF(OR(AO226&lt;&gt;1,G226=""),"",IFERROR(IF(INDEX(L_SrcInterne,MATCH(G226,L_Sources,0))="Oui",1,0),""))</f>
        <v/>
      </c>
      <c r="AT226" s="37" t="str">
        <f aca="false">IF(AO226&lt;&gt;1,"",IFERROR(ROUND(IF(OR(N226="",O226=""),"",IF(O226&lt;N226,"",ROUND(((NETWORKDAYS(N226,O226,JoursFeries)-1)*(HFer-HOuv)+IF(NETWORKDAYS(O226,O226,JoursFeries),MEDIAN(MOD(O226,1),HFer,HOuv),HFer)-IF(NETWORKDAYS(N226,N226,JoursFeries),MEDIAN(MOD(N226,1),HFer,HOuv),HOuv))*24,4)))/HJour,4),""))</f>
        <v/>
      </c>
      <c r="AU226" s="37" t="str">
        <f aca="false">IF(AO226&lt;&gt;1,"",IF(OR(O226="",P226=""),"",IF(P226&lt;O226,"",ROUND(((NETWORKDAYS(O226,P226,JoursFeries)-1)*(HFer-HOuv)+IF(NETWORKDAYS(P226,P226,JoursFeries),MEDIAN(MOD(P226,1),HFer,HOuv),HFer)-IF(NETWORKDAYS(O226,O226,JoursFeries),MEDIAN(MOD(O226,1),HFer,HOuv),HOuv))*24,4))))</f>
        <v/>
      </c>
      <c r="AV226" s="37" t="str">
        <f aca="false">IF(AO226&lt;&gt;1,"",IF(OR(P226="",Q226=""),"",IF(Q226&lt;P226,"",ROUND(((NETWORKDAYS(P226,Q226,JoursFeries)-1)*(HFer-HOuv)+IF(NETWORKDAYS(Q226,Q226,JoursFeries),MEDIAN(MOD(Q226,1),HFer,HOuv),HFer)-IF(NETWORKDAYS(P226,P226,JoursFeries),MEDIAN(MOD(P226,1),HFer,HOuv),HOuv))*24,4))))</f>
        <v/>
      </c>
      <c r="AW226" s="37" t="str">
        <f aca="false">IF(AO226&lt;&gt;1,"",IFERROR(ROUND(IF(OR(P226="",R226=""),"",IF(R226&lt;P226,"",ROUND(((NETWORKDAYS(P226,R226,JoursFeries)-1)*(HFer-HOuv)+IF(NETWORKDAYS(R226,R226,JoursFeries),MEDIAN(MOD(R226,1),HFer,HOuv),HFer)-IF(NETWORKDAYS(P226,P226,JoursFeries),MEDIAN(MOD(P226,1),HFer,HOuv),HOuv))*24,4)))/HJour,4),""))</f>
        <v/>
      </c>
      <c r="AX226" s="37" t="str">
        <f aca="false">IF(AO226&lt;&gt;1,"",IFERROR(ROUND(IF(OR(P226="",S226=""),"",IF(S226&lt;P226,"",ROUND(((NETWORKDAYS(P226,S226,JoursFeries)-1)*(HFer-HOuv)+IF(NETWORKDAYS(S226,S226,JoursFeries),MEDIAN(MOD(S226,1),HFer,HOuv),HFer)-IF(NETWORKDAYS(P226,P226,JoursFeries),MEDIAN(MOD(P226,1),HFer,HOuv),HOuv))*24,4)))/HJour,4),""))</f>
        <v/>
      </c>
      <c r="AY226" s="36" t="str">
        <f aca="false">IF(OR(AO226&lt;&gt;1,AR226=""),"",INDEX(SLA_PEC,AR226))</f>
        <v/>
      </c>
      <c r="AZ226" s="35" t="str">
        <f aca="false">IF(OR(AV226="",AY226=""),"",IF(AV226&lt;=AY226,1,0))</f>
        <v/>
      </c>
      <c r="BA226" s="36" t="str">
        <f aca="false">IF(OR(AO226&lt;&gt;1,AR226=""),"",INDEX(SLA_RES,AR226))</f>
        <v/>
      </c>
      <c r="BB226" s="35" t="str">
        <f aca="false">IF(OR(AW226="",BA226=""),"",IF(AW226&lt;=BA226,1,0))</f>
        <v/>
      </c>
      <c r="BC226" s="38" t="str">
        <f aca="false">IF(OR(BA226="",P226=""),"",WORKDAY(INT(P226),BA226,JoursFeries)+MOD(P226,1))</f>
        <v/>
      </c>
      <c r="BD226" s="39" t="str">
        <f aca="false">IF(AO226&lt;&gt;1,"",IF(OR(AB226&lt;&gt;"",AD226&lt;&gt;""),4,IF(U226&lt;&gt;"",3,IF(T226&lt;&gt;"",2,1))))</f>
        <v/>
      </c>
      <c r="BE226" s="39" t="str">
        <f aca="false">IF(OR(AO226&lt;&gt;1,AR226=""),"",INDEX(NIV_REQ,AR226))</f>
        <v/>
      </c>
      <c r="BF226" s="39" t="str">
        <f aca="false">IF(BE226="","",MAX(BE226,IF(OR(K226="Oui",Z226="Oui"),4,1)))</f>
        <v/>
      </c>
      <c r="BG226" s="35" t="str">
        <f aca="false">IF(OR(BF226="",BD226=""),"",IF(BD226&gt;=BF226,1,0))</f>
        <v/>
      </c>
      <c r="BH226" s="38" t="str">
        <f aca="false">IF(BE226="","",IF(BE226&lt;2,"",IF(BE226=2,IF(AND(T226="",U226=""),"",MIN(T226,U226)),IF(U226="","",U226))))</f>
        <v/>
      </c>
      <c r="BI226" s="37" t="str">
        <f aca="false">IF(BH226="","",IF(OR(O226="",BH226=""),"",IF(BH226&lt;O226,"",ROUND(((NETWORKDAYS(O226,BH226,JoursFeries)-1)*(HFer-HOuv)+IF(NETWORKDAYS(BH226,BH226,JoursFeries),MEDIAN(MOD(BH226,1),HFer,HOuv),HFer)-IF(NETWORKDAYS(O226,O226,JoursFeries),MEDIAN(MOD(O226,1),HFer,HOuv),HOuv))*24,4))))</f>
        <v/>
      </c>
      <c r="BJ226" s="35" t="str">
        <f aca="false">IF(OR(BI226="",AR226=""),"",IF(BI226&lt;=INDEX(DELAI_ESC,AR226),1,0))</f>
        <v/>
      </c>
      <c r="BK226" s="38" t="str">
        <f aca="false">IF(AO226&lt;&gt;1,"",IF(AND(T226="",U226=""),"",MIN(T226,U226)))</f>
        <v/>
      </c>
      <c r="BL226" s="37" t="str">
        <f aca="false">IF(OR(BK226="",R226=""),"",IFERROR(ROUND(IF(OR(BK226="",R226=""),"",IF(R226&lt;BK226,"",ROUND(((NETWORKDAYS(BK226,R226,JoursFeries)-1)*(HFer-HOuv)+IF(NETWORKDAYS(R226,R226,JoursFeries),MEDIAN(MOD(R226,1),HFer,HOuv),HFer)-IF(NETWORKDAYS(BK226,BK226,JoursFeries),MEDIAN(MOD(BK226,1),HFer,HOuv),HOuv))*24,4)))/HJour,4),""))</f>
        <v/>
      </c>
      <c r="BM226" s="35" t="str">
        <f aca="false">IF(OR(AO226&lt;&gt;1,R226=""),"",IF(BD226=1,1,0))</f>
        <v/>
      </c>
      <c r="BN226" s="35" t="str">
        <f aca="false">IF(AO226&lt;&gt;1,"",IF(W226="Oui",1,0))</f>
        <v/>
      </c>
      <c r="BO226" s="35" t="str">
        <f aca="false">IF(AO226&lt;&gt;1,"",IF(X226&lt;&gt;"",1,0))</f>
        <v/>
      </c>
      <c r="BP226" s="35" t="str">
        <f aca="false">IF(AO226&lt;&gt;1,"",IF(Y226="Oui",1,0))</f>
        <v/>
      </c>
      <c r="BQ226" s="35" t="str">
        <f aca="true">IF(OR(AO226&lt;&gt;1,Z226&lt;&gt;"Oui"),"",IF(AB226="",IF(AND(AA226&lt;&gt;"",NOW()&gt;AA226),0,""),IF(AA226="","",IF(AB226&lt;=AA226,1,0))))</f>
        <v/>
      </c>
      <c r="BR226" s="38" t="str">
        <f aca="false">IF(OR(AO226&lt;&gt;1,K226&lt;&gt;"Oui",O226=""),"",IF(AC226="",O226+DORA_H_DET/24,IF(AC226-O226&lt;=DORA_H_DET/24,MIN(AC226+DORA_H_CLA/24,O226+DORA_H_DET/24),AC226+DORA_H_CLA/24)))</f>
        <v/>
      </c>
      <c r="BS226" s="35" t="str">
        <f aca="true">IF(BR226="","",IF(AD226="",IF(NOW()&gt;BR226,0,""),IF(AD226&lt;=BR226,1,0)))</f>
        <v/>
      </c>
      <c r="BT226" s="35" t="str">
        <f aca="true">IF(OR(BR226="",AD226=""),"",IF(AE226="",IF(NOW()&gt;AD226+DORA_H_INT/24,0,""),IF(AE226&lt;=AD226+DORA_H_INT/24,1,0)))</f>
        <v/>
      </c>
      <c r="BU226" s="35" t="str">
        <f aca="true">IF(OR(BR226="",AE226=""),"",IF(AF226="",IF(NOW()&gt;EDATE(AE226,DORA_M_FIN)+1,0,""),IF(AF226&lt;=EDATE(AE226,DORA_M_FIN),1,0)))</f>
        <v/>
      </c>
      <c r="BV226" s="35" t="str">
        <f aca="false">IF(BR226="","",IF(COUNT(BS226:BU226)=0,"",MIN(BS226:BU226)))</f>
        <v/>
      </c>
      <c r="BW226" s="40" t="str">
        <f aca="false">IF(AQ226&lt;&gt;1,"",IF(AND(AG226="",AH226=""),"",N(AG226)-N(AH226)))</f>
        <v/>
      </c>
      <c r="BX226" s="35" t="str">
        <f aca="true">IF(OR(AQ226&lt;&gt;1,AI226&lt;&gt;"Oui",AJ226=""),"",IF(AK226="",IF(NOW()&gt;AJ226+1,0,""),IF(AK226&lt;=AJ226,1,0)))</f>
        <v/>
      </c>
    </row>
    <row r="227" customFormat="false" ht="15" hidden="false" customHeight="false" outlineLevel="0" collapsed="false">
      <c r="B227" s="29"/>
      <c r="C227" s="29"/>
      <c r="D227" s="29"/>
      <c r="E227" s="29"/>
      <c r="F227" s="29"/>
      <c r="G227" s="29"/>
      <c r="H227" s="29"/>
      <c r="I227" s="29"/>
      <c r="J227" s="29"/>
      <c r="K227" s="29"/>
      <c r="L227" s="29"/>
      <c r="M227" s="29"/>
      <c r="N227" s="30"/>
      <c r="O227" s="30"/>
      <c r="P227" s="30"/>
      <c r="Q227" s="30"/>
      <c r="R227" s="30"/>
      <c r="S227" s="30"/>
      <c r="T227" s="30"/>
      <c r="U227" s="30"/>
      <c r="V227" s="31"/>
      <c r="W227" s="29"/>
      <c r="X227" s="29"/>
      <c r="Y227" s="29"/>
      <c r="Z227" s="29"/>
      <c r="AA227" s="30"/>
      <c r="AB227" s="30"/>
      <c r="AC227" s="30"/>
      <c r="AD227" s="30"/>
      <c r="AE227" s="30"/>
      <c r="AF227" s="32"/>
      <c r="AG227" s="33"/>
      <c r="AH227" s="33"/>
      <c r="AI227" s="29"/>
      <c r="AJ227" s="32"/>
      <c r="AK227" s="32"/>
      <c r="AL227" s="29"/>
      <c r="AN227" s="34" t="str">
        <f aca="false">IF($B227="","",IF(OR(C227="",D227="",E227="",G227="",I227="",J227="",L227="",O227="",P227=""),"Champ obligatoire manquant",IF(OR(AND(N227&lt;&gt;"",N227&gt;O227),O227&gt;P227,AND(Q227&lt;&gt;"",Q227&lt;P227),AND(R227&lt;&gt;"",R227&lt;P227),AND(S227&lt;&gt;"",S227&lt;R227),AND(S227&lt;&gt;"",R227=""),AND(T227&lt;&gt;"",T227&lt;O227),AND(U227&lt;&gt;"",U227&lt;O227)),"Chronologie incohérente",IF(AND(OR(L227="Résolu",L227="Clos"),R227=""),"Date de résolution manquante",IF(AND(L227="Clos",S227=""),"Date de clôture manquante",IF(AND(K227="Oui",AC227=""),"Classification DORA manquante","OK"))))))</f>
        <v/>
      </c>
      <c r="AO227" s="35" t="str">
        <f aca="false">IF($B227="","",IF(AND(C227="Incident",L227&lt;&gt;"Annulé"),1,0))</f>
        <v/>
      </c>
      <c r="AP227" s="35" t="str">
        <f aca="false">IF($B227="","",IF(AND(C227="Quasi-incident",L227&lt;&gt;"Annulé"),1,0))</f>
        <v/>
      </c>
      <c r="AQ227" s="35" t="str">
        <f aca="false">IF($B227="","",AO227+AP227)</f>
        <v/>
      </c>
      <c r="AR227" s="36" t="str">
        <f aca="false">IF(OR($B227="",J227=""),"",IFERROR(VALUE(LEFT(J227,1)),""))</f>
        <v/>
      </c>
      <c r="AS227" s="35" t="str">
        <f aca="false">IF(OR(AO227&lt;&gt;1,G227=""),"",IFERROR(IF(INDEX(L_SrcInterne,MATCH(G227,L_Sources,0))="Oui",1,0),""))</f>
        <v/>
      </c>
      <c r="AT227" s="37" t="str">
        <f aca="false">IF(AO227&lt;&gt;1,"",IFERROR(ROUND(IF(OR(N227="",O227=""),"",IF(O227&lt;N227,"",ROUND(((NETWORKDAYS(N227,O227,JoursFeries)-1)*(HFer-HOuv)+IF(NETWORKDAYS(O227,O227,JoursFeries),MEDIAN(MOD(O227,1),HFer,HOuv),HFer)-IF(NETWORKDAYS(N227,N227,JoursFeries),MEDIAN(MOD(N227,1),HFer,HOuv),HOuv))*24,4)))/HJour,4),""))</f>
        <v/>
      </c>
      <c r="AU227" s="37" t="str">
        <f aca="false">IF(AO227&lt;&gt;1,"",IF(OR(O227="",P227=""),"",IF(P227&lt;O227,"",ROUND(((NETWORKDAYS(O227,P227,JoursFeries)-1)*(HFer-HOuv)+IF(NETWORKDAYS(P227,P227,JoursFeries),MEDIAN(MOD(P227,1),HFer,HOuv),HFer)-IF(NETWORKDAYS(O227,O227,JoursFeries),MEDIAN(MOD(O227,1),HFer,HOuv),HOuv))*24,4))))</f>
        <v/>
      </c>
      <c r="AV227" s="37" t="str">
        <f aca="false">IF(AO227&lt;&gt;1,"",IF(OR(P227="",Q227=""),"",IF(Q227&lt;P227,"",ROUND(((NETWORKDAYS(P227,Q227,JoursFeries)-1)*(HFer-HOuv)+IF(NETWORKDAYS(Q227,Q227,JoursFeries),MEDIAN(MOD(Q227,1),HFer,HOuv),HFer)-IF(NETWORKDAYS(P227,P227,JoursFeries),MEDIAN(MOD(P227,1),HFer,HOuv),HOuv))*24,4))))</f>
        <v/>
      </c>
      <c r="AW227" s="37" t="str">
        <f aca="false">IF(AO227&lt;&gt;1,"",IFERROR(ROUND(IF(OR(P227="",R227=""),"",IF(R227&lt;P227,"",ROUND(((NETWORKDAYS(P227,R227,JoursFeries)-1)*(HFer-HOuv)+IF(NETWORKDAYS(R227,R227,JoursFeries),MEDIAN(MOD(R227,1),HFer,HOuv),HFer)-IF(NETWORKDAYS(P227,P227,JoursFeries),MEDIAN(MOD(P227,1),HFer,HOuv),HOuv))*24,4)))/HJour,4),""))</f>
        <v/>
      </c>
      <c r="AX227" s="37" t="str">
        <f aca="false">IF(AO227&lt;&gt;1,"",IFERROR(ROUND(IF(OR(P227="",S227=""),"",IF(S227&lt;P227,"",ROUND(((NETWORKDAYS(P227,S227,JoursFeries)-1)*(HFer-HOuv)+IF(NETWORKDAYS(S227,S227,JoursFeries),MEDIAN(MOD(S227,1),HFer,HOuv),HFer)-IF(NETWORKDAYS(P227,P227,JoursFeries),MEDIAN(MOD(P227,1),HFer,HOuv),HOuv))*24,4)))/HJour,4),""))</f>
        <v/>
      </c>
      <c r="AY227" s="36" t="str">
        <f aca="false">IF(OR(AO227&lt;&gt;1,AR227=""),"",INDEX(SLA_PEC,AR227))</f>
        <v/>
      </c>
      <c r="AZ227" s="35" t="str">
        <f aca="false">IF(OR(AV227="",AY227=""),"",IF(AV227&lt;=AY227,1,0))</f>
        <v/>
      </c>
      <c r="BA227" s="36" t="str">
        <f aca="false">IF(OR(AO227&lt;&gt;1,AR227=""),"",INDEX(SLA_RES,AR227))</f>
        <v/>
      </c>
      <c r="BB227" s="35" t="str">
        <f aca="false">IF(OR(AW227="",BA227=""),"",IF(AW227&lt;=BA227,1,0))</f>
        <v/>
      </c>
      <c r="BC227" s="38" t="str">
        <f aca="false">IF(OR(BA227="",P227=""),"",WORKDAY(INT(P227),BA227,JoursFeries)+MOD(P227,1))</f>
        <v/>
      </c>
      <c r="BD227" s="39" t="str">
        <f aca="false">IF(AO227&lt;&gt;1,"",IF(OR(AB227&lt;&gt;"",AD227&lt;&gt;""),4,IF(U227&lt;&gt;"",3,IF(T227&lt;&gt;"",2,1))))</f>
        <v/>
      </c>
      <c r="BE227" s="39" t="str">
        <f aca="false">IF(OR(AO227&lt;&gt;1,AR227=""),"",INDEX(NIV_REQ,AR227))</f>
        <v/>
      </c>
      <c r="BF227" s="39" t="str">
        <f aca="false">IF(BE227="","",MAX(BE227,IF(OR(K227="Oui",Z227="Oui"),4,1)))</f>
        <v/>
      </c>
      <c r="BG227" s="35" t="str">
        <f aca="false">IF(OR(BF227="",BD227=""),"",IF(BD227&gt;=BF227,1,0))</f>
        <v/>
      </c>
      <c r="BH227" s="38" t="str">
        <f aca="false">IF(BE227="","",IF(BE227&lt;2,"",IF(BE227=2,IF(AND(T227="",U227=""),"",MIN(T227,U227)),IF(U227="","",U227))))</f>
        <v/>
      </c>
      <c r="BI227" s="37" t="str">
        <f aca="false">IF(BH227="","",IF(OR(O227="",BH227=""),"",IF(BH227&lt;O227,"",ROUND(((NETWORKDAYS(O227,BH227,JoursFeries)-1)*(HFer-HOuv)+IF(NETWORKDAYS(BH227,BH227,JoursFeries),MEDIAN(MOD(BH227,1),HFer,HOuv),HFer)-IF(NETWORKDAYS(O227,O227,JoursFeries),MEDIAN(MOD(O227,1),HFer,HOuv),HOuv))*24,4))))</f>
        <v/>
      </c>
      <c r="BJ227" s="35" t="str">
        <f aca="false">IF(OR(BI227="",AR227=""),"",IF(BI227&lt;=INDEX(DELAI_ESC,AR227),1,0))</f>
        <v/>
      </c>
      <c r="BK227" s="38" t="str">
        <f aca="false">IF(AO227&lt;&gt;1,"",IF(AND(T227="",U227=""),"",MIN(T227,U227)))</f>
        <v/>
      </c>
      <c r="BL227" s="37" t="str">
        <f aca="false">IF(OR(BK227="",R227=""),"",IFERROR(ROUND(IF(OR(BK227="",R227=""),"",IF(R227&lt;BK227,"",ROUND(((NETWORKDAYS(BK227,R227,JoursFeries)-1)*(HFer-HOuv)+IF(NETWORKDAYS(R227,R227,JoursFeries),MEDIAN(MOD(R227,1),HFer,HOuv),HFer)-IF(NETWORKDAYS(BK227,BK227,JoursFeries),MEDIAN(MOD(BK227,1),HFer,HOuv),HOuv))*24,4)))/HJour,4),""))</f>
        <v/>
      </c>
      <c r="BM227" s="35" t="str">
        <f aca="false">IF(OR(AO227&lt;&gt;1,R227=""),"",IF(BD227=1,1,0))</f>
        <v/>
      </c>
      <c r="BN227" s="35" t="str">
        <f aca="false">IF(AO227&lt;&gt;1,"",IF(W227="Oui",1,0))</f>
        <v/>
      </c>
      <c r="BO227" s="35" t="str">
        <f aca="false">IF(AO227&lt;&gt;1,"",IF(X227&lt;&gt;"",1,0))</f>
        <v/>
      </c>
      <c r="BP227" s="35" t="str">
        <f aca="false">IF(AO227&lt;&gt;1,"",IF(Y227="Oui",1,0))</f>
        <v/>
      </c>
      <c r="BQ227" s="35" t="str">
        <f aca="true">IF(OR(AO227&lt;&gt;1,Z227&lt;&gt;"Oui"),"",IF(AB227="",IF(AND(AA227&lt;&gt;"",NOW()&gt;AA227),0,""),IF(AA227="","",IF(AB227&lt;=AA227,1,0))))</f>
        <v/>
      </c>
      <c r="BR227" s="38" t="str">
        <f aca="false">IF(OR(AO227&lt;&gt;1,K227&lt;&gt;"Oui",O227=""),"",IF(AC227="",O227+DORA_H_DET/24,IF(AC227-O227&lt;=DORA_H_DET/24,MIN(AC227+DORA_H_CLA/24,O227+DORA_H_DET/24),AC227+DORA_H_CLA/24)))</f>
        <v/>
      </c>
      <c r="BS227" s="35" t="str">
        <f aca="true">IF(BR227="","",IF(AD227="",IF(NOW()&gt;BR227,0,""),IF(AD227&lt;=BR227,1,0)))</f>
        <v/>
      </c>
      <c r="BT227" s="35" t="str">
        <f aca="true">IF(OR(BR227="",AD227=""),"",IF(AE227="",IF(NOW()&gt;AD227+DORA_H_INT/24,0,""),IF(AE227&lt;=AD227+DORA_H_INT/24,1,0)))</f>
        <v/>
      </c>
      <c r="BU227" s="35" t="str">
        <f aca="true">IF(OR(BR227="",AE227=""),"",IF(AF227="",IF(NOW()&gt;EDATE(AE227,DORA_M_FIN)+1,0,""),IF(AF227&lt;=EDATE(AE227,DORA_M_FIN),1,0)))</f>
        <v/>
      </c>
      <c r="BV227" s="35" t="str">
        <f aca="false">IF(BR227="","",IF(COUNT(BS227:BU227)=0,"",MIN(BS227:BU227)))</f>
        <v/>
      </c>
      <c r="BW227" s="40" t="str">
        <f aca="false">IF(AQ227&lt;&gt;1,"",IF(AND(AG227="",AH227=""),"",N(AG227)-N(AH227)))</f>
        <v/>
      </c>
      <c r="BX227" s="35" t="str">
        <f aca="true">IF(OR(AQ227&lt;&gt;1,AI227&lt;&gt;"Oui",AJ227=""),"",IF(AK227="",IF(NOW()&gt;AJ227+1,0,""),IF(AK227&lt;=AJ227,1,0)))</f>
        <v/>
      </c>
    </row>
    <row r="228" customFormat="false" ht="15" hidden="false" customHeight="false" outlineLevel="0" collapsed="false">
      <c r="B228" s="29"/>
      <c r="C228" s="29"/>
      <c r="D228" s="29"/>
      <c r="E228" s="29"/>
      <c r="F228" s="29"/>
      <c r="G228" s="29"/>
      <c r="H228" s="29"/>
      <c r="I228" s="29"/>
      <c r="J228" s="29"/>
      <c r="K228" s="29"/>
      <c r="L228" s="29"/>
      <c r="M228" s="29"/>
      <c r="N228" s="30"/>
      <c r="O228" s="30"/>
      <c r="P228" s="30"/>
      <c r="Q228" s="30"/>
      <c r="R228" s="30"/>
      <c r="S228" s="30"/>
      <c r="T228" s="30"/>
      <c r="U228" s="30"/>
      <c r="V228" s="31"/>
      <c r="W228" s="29"/>
      <c r="X228" s="29"/>
      <c r="Y228" s="29"/>
      <c r="Z228" s="29"/>
      <c r="AA228" s="30"/>
      <c r="AB228" s="30"/>
      <c r="AC228" s="30"/>
      <c r="AD228" s="30"/>
      <c r="AE228" s="30"/>
      <c r="AF228" s="32"/>
      <c r="AG228" s="33"/>
      <c r="AH228" s="33"/>
      <c r="AI228" s="29"/>
      <c r="AJ228" s="32"/>
      <c r="AK228" s="32"/>
      <c r="AL228" s="29"/>
      <c r="AN228" s="34" t="str">
        <f aca="false">IF($B228="","",IF(OR(C228="",D228="",E228="",G228="",I228="",J228="",L228="",O228="",P228=""),"Champ obligatoire manquant",IF(OR(AND(N228&lt;&gt;"",N228&gt;O228),O228&gt;P228,AND(Q228&lt;&gt;"",Q228&lt;P228),AND(R228&lt;&gt;"",R228&lt;P228),AND(S228&lt;&gt;"",S228&lt;R228),AND(S228&lt;&gt;"",R228=""),AND(T228&lt;&gt;"",T228&lt;O228),AND(U228&lt;&gt;"",U228&lt;O228)),"Chronologie incohérente",IF(AND(OR(L228="Résolu",L228="Clos"),R228=""),"Date de résolution manquante",IF(AND(L228="Clos",S228=""),"Date de clôture manquante",IF(AND(K228="Oui",AC228=""),"Classification DORA manquante","OK"))))))</f>
        <v/>
      </c>
      <c r="AO228" s="35" t="str">
        <f aca="false">IF($B228="","",IF(AND(C228="Incident",L228&lt;&gt;"Annulé"),1,0))</f>
        <v/>
      </c>
      <c r="AP228" s="35" t="str">
        <f aca="false">IF($B228="","",IF(AND(C228="Quasi-incident",L228&lt;&gt;"Annulé"),1,0))</f>
        <v/>
      </c>
      <c r="AQ228" s="35" t="str">
        <f aca="false">IF($B228="","",AO228+AP228)</f>
        <v/>
      </c>
      <c r="AR228" s="36" t="str">
        <f aca="false">IF(OR($B228="",J228=""),"",IFERROR(VALUE(LEFT(J228,1)),""))</f>
        <v/>
      </c>
      <c r="AS228" s="35" t="str">
        <f aca="false">IF(OR(AO228&lt;&gt;1,G228=""),"",IFERROR(IF(INDEX(L_SrcInterne,MATCH(G228,L_Sources,0))="Oui",1,0),""))</f>
        <v/>
      </c>
      <c r="AT228" s="37" t="str">
        <f aca="false">IF(AO228&lt;&gt;1,"",IFERROR(ROUND(IF(OR(N228="",O228=""),"",IF(O228&lt;N228,"",ROUND(((NETWORKDAYS(N228,O228,JoursFeries)-1)*(HFer-HOuv)+IF(NETWORKDAYS(O228,O228,JoursFeries),MEDIAN(MOD(O228,1),HFer,HOuv),HFer)-IF(NETWORKDAYS(N228,N228,JoursFeries),MEDIAN(MOD(N228,1),HFer,HOuv),HOuv))*24,4)))/HJour,4),""))</f>
        <v/>
      </c>
      <c r="AU228" s="37" t="str">
        <f aca="false">IF(AO228&lt;&gt;1,"",IF(OR(O228="",P228=""),"",IF(P228&lt;O228,"",ROUND(((NETWORKDAYS(O228,P228,JoursFeries)-1)*(HFer-HOuv)+IF(NETWORKDAYS(P228,P228,JoursFeries),MEDIAN(MOD(P228,1),HFer,HOuv),HFer)-IF(NETWORKDAYS(O228,O228,JoursFeries),MEDIAN(MOD(O228,1),HFer,HOuv),HOuv))*24,4))))</f>
        <v/>
      </c>
      <c r="AV228" s="37" t="str">
        <f aca="false">IF(AO228&lt;&gt;1,"",IF(OR(P228="",Q228=""),"",IF(Q228&lt;P228,"",ROUND(((NETWORKDAYS(P228,Q228,JoursFeries)-1)*(HFer-HOuv)+IF(NETWORKDAYS(Q228,Q228,JoursFeries),MEDIAN(MOD(Q228,1),HFer,HOuv),HFer)-IF(NETWORKDAYS(P228,P228,JoursFeries),MEDIAN(MOD(P228,1),HFer,HOuv),HOuv))*24,4))))</f>
        <v/>
      </c>
      <c r="AW228" s="37" t="str">
        <f aca="false">IF(AO228&lt;&gt;1,"",IFERROR(ROUND(IF(OR(P228="",R228=""),"",IF(R228&lt;P228,"",ROUND(((NETWORKDAYS(P228,R228,JoursFeries)-1)*(HFer-HOuv)+IF(NETWORKDAYS(R228,R228,JoursFeries),MEDIAN(MOD(R228,1),HFer,HOuv),HFer)-IF(NETWORKDAYS(P228,P228,JoursFeries),MEDIAN(MOD(P228,1),HFer,HOuv),HOuv))*24,4)))/HJour,4),""))</f>
        <v/>
      </c>
      <c r="AX228" s="37" t="str">
        <f aca="false">IF(AO228&lt;&gt;1,"",IFERROR(ROUND(IF(OR(P228="",S228=""),"",IF(S228&lt;P228,"",ROUND(((NETWORKDAYS(P228,S228,JoursFeries)-1)*(HFer-HOuv)+IF(NETWORKDAYS(S228,S228,JoursFeries),MEDIAN(MOD(S228,1),HFer,HOuv),HFer)-IF(NETWORKDAYS(P228,P228,JoursFeries),MEDIAN(MOD(P228,1),HFer,HOuv),HOuv))*24,4)))/HJour,4),""))</f>
        <v/>
      </c>
      <c r="AY228" s="36" t="str">
        <f aca="false">IF(OR(AO228&lt;&gt;1,AR228=""),"",INDEX(SLA_PEC,AR228))</f>
        <v/>
      </c>
      <c r="AZ228" s="35" t="str">
        <f aca="false">IF(OR(AV228="",AY228=""),"",IF(AV228&lt;=AY228,1,0))</f>
        <v/>
      </c>
      <c r="BA228" s="36" t="str">
        <f aca="false">IF(OR(AO228&lt;&gt;1,AR228=""),"",INDEX(SLA_RES,AR228))</f>
        <v/>
      </c>
      <c r="BB228" s="35" t="str">
        <f aca="false">IF(OR(AW228="",BA228=""),"",IF(AW228&lt;=BA228,1,0))</f>
        <v/>
      </c>
      <c r="BC228" s="38" t="str">
        <f aca="false">IF(OR(BA228="",P228=""),"",WORKDAY(INT(P228),BA228,JoursFeries)+MOD(P228,1))</f>
        <v/>
      </c>
      <c r="BD228" s="39" t="str">
        <f aca="false">IF(AO228&lt;&gt;1,"",IF(OR(AB228&lt;&gt;"",AD228&lt;&gt;""),4,IF(U228&lt;&gt;"",3,IF(T228&lt;&gt;"",2,1))))</f>
        <v/>
      </c>
      <c r="BE228" s="39" t="str">
        <f aca="false">IF(OR(AO228&lt;&gt;1,AR228=""),"",INDEX(NIV_REQ,AR228))</f>
        <v/>
      </c>
      <c r="BF228" s="39" t="str">
        <f aca="false">IF(BE228="","",MAX(BE228,IF(OR(K228="Oui",Z228="Oui"),4,1)))</f>
        <v/>
      </c>
      <c r="BG228" s="35" t="str">
        <f aca="false">IF(OR(BF228="",BD228=""),"",IF(BD228&gt;=BF228,1,0))</f>
        <v/>
      </c>
      <c r="BH228" s="38" t="str">
        <f aca="false">IF(BE228="","",IF(BE228&lt;2,"",IF(BE228=2,IF(AND(T228="",U228=""),"",MIN(T228,U228)),IF(U228="","",U228))))</f>
        <v/>
      </c>
      <c r="BI228" s="37" t="str">
        <f aca="false">IF(BH228="","",IF(OR(O228="",BH228=""),"",IF(BH228&lt;O228,"",ROUND(((NETWORKDAYS(O228,BH228,JoursFeries)-1)*(HFer-HOuv)+IF(NETWORKDAYS(BH228,BH228,JoursFeries),MEDIAN(MOD(BH228,1),HFer,HOuv),HFer)-IF(NETWORKDAYS(O228,O228,JoursFeries),MEDIAN(MOD(O228,1),HFer,HOuv),HOuv))*24,4))))</f>
        <v/>
      </c>
      <c r="BJ228" s="35" t="str">
        <f aca="false">IF(OR(BI228="",AR228=""),"",IF(BI228&lt;=INDEX(DELAI_ESC,AR228),1,0))</f>
        <v/>
      </c>
      <c r="BK228" s="38" t="str">
        <f aca="false">IF(AO228&lt;&gt;1,"",IF(AND(T228="",U228=""),"",MIN(T228,U228)))</f>
        <v/>
      </c>
      <c r="BL228" s="37" t="str">
        <f aca="false">IF(OR(BK228="",R228=""),"",IFERROR(ROUND(IF(OR(BK228="",R228=""),"",IF(R228&lt;BK228,"",ROUND(((NETWORKDAYS(BK228,R228,JoursFeries)-1)*(HFer-HOuv)+IF(NETWORKDAYS(R228,R228,JoursFeries),MEDIAN(MOD(R228,1),HFer,HOuv),HFer)-IF(NETWORKDAYS(BK228,BK228,JoursFeries),MEDIAN(MOD(BK228,1),HFer,HOuv),HOuv))*24,4)))/HJour,4),""))</f>
        <v/>
      </c>
      <c r="BM228" s="35" t="str">
        <f aca="false">IF(OR(AO228&lt;&gt;1,R228=""),"",IF(BD228=1,1,0))</f>
        <v/>
      </c>
      <c r="BN228" s="35" t="str">
        <f aca="false">IF(AO228&lt;&gt;1,"",IF(W228="Oui",1,0))</f>
        <v/>
      </c>
      <c r="BO228" s="35" t="str">
        <f aca="false">IF(AO228&lt;&gt;1,"",IF(X228&lt;&gt;"",1,0))</f>
        <v/>
      </c>
      <c r="BP228" s="35" t="str">
        <f aca="false">IF(AO228&lt;&gt;1,"",IF(Y228="Oui",1,0))</f>
        <v/>
      </c>
      <c r="BQ228" s="35" t="str">
        <f aca="true">IF(OR(AO228&lt;&gt;1,Z228&lt;&gt;"Oui"),"",IF(AB228="",IF(AND(AA228&lt;&gt;"",NOW()&gt;AA228),0,""),IF(AA228="","",IF(AB228&lt;=AA228,1,0))))</f>
        <v/>
      </c>
      <c r="BR228" s="38" t="str">
        <f aca="false">IF(OR(AO228&lt;&gt;1,K228&lt;&gt;"Oui",O228=""),"",IF(AC228="",O228+DORA_H_DET/24,IF(AC228-O228&lt;=DORA_H_DET/24,MIN(AC228+DORA_H_CLA/24,O228+DORA_H_DET/24),AC228+DORA_H_CLA/24)))</f>
        <v/>
      </c>
      <c r="BS228" s="35" t="str">
        <f aca="true">IF(BR228="","",IF(AD228="",IF(NOW()&gt;BR228,0,""),IF(AD228&lt;=BR228,1,0)))</f>
        <v/>
      </c>
      <c r="BT228" s="35" t="str">
        <f aca="true">IF(OR(BR228="",AD228=""),"",IF(AE228="",IF(NOW()&gt;AD228+DORA_H_INT/24,0,""),IF(AE228&lt;=AD228+DORA_H_INT/24,1,0)))</f>
        <v/>
      </c>
      <c r="BU228" s="35" t="str">
        <f aca="true">IF(OR(BR228="",AE228=""),"",IF(AF228="",IF(NOW()&gt;EDATE(AE228,DORA_M_FIN)+1,0,""),IF(AF228&lt;=EDATE(AE228,DORA_M_FIN),1,0)))</f>
        <v/>
      </c>
      <c r="BV228" s="35" t="str">
        <f aca="false">IF(BR228="","",IF(COUNT(BS228:BU228)=0,"",MIN(BS228:BU228)))</f>
        <v/>
      </c>
      <c r="BW228" s="40" t="str">
        <f aca="false">IF(AQ228&lt;&gt;1,"",IF(AND(AG228="",AH228=""),"",N(AG228)-N(AH228)))</f>
        <v/>
      </c>
      <c r="BX228" s="35" t="str">
        <f aca="true">IF(OR(AQ228&lt;&gt;1,AI228&lt;&gt;"Oui",AJ228=""),"",IF(AK228="",IF(NOW()&gt;AJ228+1,0,""),IF(AK228&lt;=AJ228,1,0)))</f>
        <v/>
      </c>
    </row>
    <row r="229" customFormat="false" ht="15" hidden="false" customHeight="false" outlineLevel="0" collapsed="false">
      <c r="B229" s="29"/>
      <c r="C229" s="29"/>
      <c r="D229" s="29"/>
      <c r="E229" s="29"/>
      <c r="F229" s="29"/>
      <c r="G229" s="29"/>
      <c r="H229" s="29"/>
      <c r="I229" s="29"/>
      <c r="J229" s="29"/>
      <c r="K229" s="29"/>
      <c r="L229" s="29"/>
      <c r="M229" s="29"/>
      <c r="N229" s="30"/>
      <c r="O229" s="30"/>
      <c r="P229" s="30"/>
      <c r="Q229" s="30"/>
      <c r="R229" s="30"/>
      <c r="S229" s="30"/>
      <c r="T229" s="30"/>
      <c r="U229" s="30"/>
      <c r="V229" s="31"/>
      <c r="W229" s="29"/>
      <c r="X229" s="29"/>
      <c r="Y229" s="29"/>
      <c r="Z229" s="29"/>
      <c r="AA229" s="30"/>
      <c r="AB229" s="30"/>
      <c r="AC229" s="30"/>
      <c r="AD229" s="30"/>
      <c r="AE229" s="30"/>
      <c r="AF229" s="32"/>
      <c r="AG229" s="33"/>
      <c r="AH229" s="33"/>
      <c r="AI229" s="29"/>
      <c r="AJ229" s="32"/>
      <c r="AK229" s="32"/>
      <c r="AL229" s="29"/>
      <c r="AN229" s="34" t="str">
        <f aca="false">IF($B229="","",IF(OR(C229="",D229="",E229="",G229="",I229="",J229="",L229="",O229="",P229=""),"Champ obligatoire manquant",IF(OR(AND(N229&lt;&gt;"",N229&gt;O229),O229&gt;P229,AND(Q229&lt;&gt;"",Q229&lt;P229),AND(R229&lt;&gt;"",R229&lt;P229),AND(S229&lt;&gt;"",S229&lt;R229),AND(S229&lt;&gt;"",R229=""),AND(T229&lt;&gt;"",T229&lt;O229),AND(U229&lt;&gt;"",U229&lt;O229)),"Chronologie incohérente",IF(AND(OR(L229="Résolu",L229="Clos"),R229=""),"Date de résolution manquante",IF(AND(L229="Clos",S229=""),"Date de clôture manquante",IF(AND(K229="Oui",AC229=""),"Classification DORA manquante","OK"))))))</f>
        <v/>
      </c>
      <c r="AO229" s="35" t="str">
        <f aca="false">IF($B229="","",IF(AND(C229="Incident",L229&lt;&gt;"Annulé"),1,0))</f>
        <v/>
      </c>
      <c r="AP229" s="35" t="str">
        <f aca="false">IF($B229="","",IF(AND(C229="Quasi-incident",L229&lt;&gt;"Annulé"),1,0))</f>
        <v/>
      </c>
      <c r="AQ229" s="35" t="str">
        <f aca="false">IF($B229="","",AO229+AP229)</f>
        <v/>
      </c>
      <c r="AR229" s="36" t="str">
        <f aca="false">IF(OR($B229="",J229=""),"",IFERROR(VALUE(LEFT(J229,1)),""))</f>
        <v/>
      </c>
      <c r="AS229" s="35" t="str">
        <f aca="false">IF(OR(AO229&lt;&gt;1,G229=""),"",IFERROR(IF(INDEX(L_SrcInterne,MATCH(G229,L_Sources,0))="Oui",1,0),""))</f>
        <v/>
      </c>
      <c r="AT229" s="37" t="str">
        <f aca="false">IF(AO229&lt;&gt;1,"",IFERROR(ROUND(IF(OR(N229="",O229=""),"",IF(O229&lt;N229,"",ROUND(((NETWORKDAYS(N229,O229,JoursFeries)-1)*(HFer-HOuv)+IF(NETWORKDAYS(O229,O229,JoursFeries),MEDIAN(MOD(O229,1),HFer,HOuv),HFer)-IF(NETWORKDAYS(N229,N229,JoursFeries),MEDIAN(MOD(N229,1),HFer,HOuv),HOuv))*24,4)))/HJour,4),""))</f>
        <v/>
      </c>
      <c r="AU229" s="37" t="str">
        <f aca="false">IF(AO229&lt;&gt;1,"",IF(OR(O229="",P229=""),"",IF(P229&lt;O229,"",ROUND(((NETWORKDAYS(O229,P229,JoursFeries)-1)*(HFer-HOuv)+IF(NETWORKDAYS(P229,P229,JoursFeries),MEDIAN(MOD(P229,1),HFer,HOuv),HFer)-IF(NETWORKDAYS(O229,O229,JoursFeries),MEDIAN(MOD(O229,1),HFer,HOuv),HOuv))*24,4))))</f>
        <v/>
      </c>
      <c r="AV229" s="37" t="str">
        <f aca="false">IF(AO229&lt;&gt;1,"",IF(OR(P229="",Q229=""),"",IF(Q229&lt;P229,"",ROUND(((NETWORKDAYS(P229,Q229,JoursFeries)-1)*(HFer-HOuv)+IF(NETWORKDAYS(Q229,Q229,JoursFeries),MEDIAN(MOD(Q229,1),HFer,HOuv),HFer)-IF(NETWORKDAYS(P229,P229,JoursFeries),MEDIAN(MOD(P229,1),HFer,HOuv),HOuv))*24,4))))</f>
        <v/>
      </c>
      <c r="AW229" s="37" t="str">
        <f aca="false">IF(AO229&lt;&gt;1,"",IFERROR(ROUND(IF(OR(P229="",R229=""),"",IF(R229&lt;P229,"",ROUND(((NETWORKDAYS(P229,R229,JoursFeries)-1)*(HFer-HOuv)+IF(NETWORKDAYS(R229,R229,JoursFeries),MEDIAN(MOD(R229,1),HFer,HOuv),HFer)-IF(NETWORKDAYS(P229,P229,JoursFeries),MEDIAN(MOD(P229,1),HFer,HOuv),HOuv))*24,4)))/HJour,4),""))</f>
        <v/>
      </c>
      <c r="AX229" s="37" t="str">
        <f aca="false">IF(AO229&lt;&gt;1,"",IFERROR(ROUND(IF(OR(P229="",S229=""),"",IF(S229&lt;P229,"",ROUND(((NETWORKDAYS(P229,S229,JoursFeries)-1)*(HFer-HOuv)+IF(NETWORKDAYS(S229,S229,JoursFeries),MEDIAN(MOD(S229,1),HFer,HOuv),HFer)-IF(NETWORKDAYS(P229,P229,JoursFeries),MEDIAN(MOD(P229,1),HFer,HOuv),HOuv))*24,4)))/HJour,4),""))</f>
        <v/>
      </c>
      <c r="AY229" s="36" t="str">
        <f aca="false">IF(OR(AO229&lt;&gt;1,AR229=""),"",INDEX(SLA_PEC,AR229))</f>
        <v/>
      </c>
      <c r="AZ229" s="35" t="str">
        <f aca="false">IF(OR(AV229="",AY229=""),"",IF(AV229&lt;=AY229,1,0))</f>
        <v/>
      </c>
      <c r="BA229" s="36" t="str">
        <f aca="false">IF(OR(AO229&lt;&gt;1,AR229=""),"",INDEX(SLA_RES,AR229))</f>
        <v/>
      </c>
      <c r="BB229" s="35" t="str">
        <f aca="false">IF(OR(AW229="",BA229=""),"",IF(AW229&lt;=BA229,1,0))</f>
        <v/>
      </c>
      <c r="BC229" s="38" t="str">
        <f aca="false">IF(OR(BA229="",P229=""),"",WORKDAY(INT(P229),BA229,JoursFeries)+MOD(P229,1))</f>
        <v/>
      </c>
      <c r="BD229" s="39" t="str">
        <f aca="false">IF(AO229&lt;&gt;1,"",IF(OR(AB229&lt;&gt;"",AD229&lt;&gt;""),4,IF(U229&lt;&gt;"",3,IF(T229&lt;&gt;"",2,1))))</f>
        <v/>
      </c>
      <c r="BE229" s="39" t="str">
        <f aca="false">IF(OR(AO229&lt;&gt;1,AR229=""),"",INDEX(NIV_REQ,AR229))</f>
        <v/>
      </c>
      <c r="BF229" s="39" t="str">
        <f aca="false">IF(BE229="","",MAX(BE229,IF(OR(K229="Oui",Z229="Oui"),4,1)))</f>
        <v/>
      </c>
      <c r="BG229" s="35" t="str">
        <f aca="false">IF(OR(BF229="",BD229=""),"",IF(BD229&gt;=BF229,1,0))</f>
        <v/>
      </c>
      <c r="BH229" s="38" t="str">
        <f aca="false">IF(BE229="","",IF(BE229&lt;2,"",IF(BE229=2,IF(AND(T229="",U229=""),"",MIN(T229,U229)),IF(U229="","",U229))))</f>
        <v/>
      </c>
      <c r="BI229" s="37" t="str">
        <f aca="false">IF(BH229="","",IF(OR(O229="",BH229=""),"",IF(BH229&lt;O229,"",ROUND(((NETWORKDAYS(O229,BH229,JoursFeries)-1)*(HFer-HOuv)+IF(NETWORKDAYS(BH229,BH229,JoursFeries),MEDIAN(MOD(BH229,1),HFer,HOuv),HFer)-IF(NETWORKDAYS(O229,O229,JoursFeries),MEDIAN(MOD(O229,1),HFer,HOuv),HOuv))*24,4))))</f>
        <v/>
      </c>
      <c r="BJ229" s="35" t="str">
        <f aca="false">IF(OR(BI229="",AR229=""),"",IF(BI229&lt;=INDEX(DELAI_ESC,AR229),1,0))</f>
        <v/>
      </c>
      <c r="BK229" s="38" t="str">
        <f aca="false">IF(AO229&lt;&gt;1,"",IF(AND(T229="",U229=""),"",MIN(T229,U229)))</f>
        <v/>
      </c>
      <c r="BL229" s="37" t="str">
        <f aca="false">IF(OR(BK229="",R229=""),"",IFERROR(ROUND(IF(OR(BK229="",R229=""),"",IF(R229&lt;BK229,"",ROUND(((NETWORKDAYS(BK229,R229,JoursFeries)-1)*(HFer-HOuv)+IF(NETWORKDAYS(R229,R229,JoursFeries),MEDIAN(MOD(R229,1),HFer,HOuv),HFer)-IF(NETWORKDAYS(BK229,BK229,JoursFeries),MEDIAN(MOD(BK229,1),HFer,HOuv),HOuv))*24,4)))/HJour,4),""))</f>
        <v/>
      </c>
      <c r="BM229" s="35" t="str">
        <f aca="false">IF(OR(AO229&lt;&gt;1,R229=""),"",IF(BD229=1,1,0))</f>
        <v/>
      </c>
      <c r="BN229" s="35" t="str">
        <f aca="false">IF(AO229&lt;&gt;1,"",IF(W229="Oui",1,0))</f>
        <v/>
      </c>
      <c r="BO229" s="35" t="str">
        <f aca="false">IF(AO229&lt;&gt;1,"",IF(X229&lt;&gt;"",1,0))</f>
        <v/>
      </c>
      <c r="BP229" s="35" t="str">
        <f aca="false">IF(AO229&lt;&gt;1,"",IF(Y229="Oui",1,0))</f>
        <v/>
      </c>
      <c r="BQ229" s="35" t="str">
        <f aca="true">IF(OR(AO229&lt;&gt;1,Z229&lt;&gt;"Oui"),"",IF(AB229="",IF(AND(AA229&lt;&gt;"",NOW()&gt;AA229),0,""),IF(AA229="","",IF(AB229&lt;=AA229,1,0))))</f>
        <v/>
      </c>
      <c r="BR229" s="38" t="str">
        <f aca="false">IF(OR(AO229&lt;&gt;1,K229&lt;&gt;"Oui",O229=""),"",IF(AC229="",O229+DORA_H_DET/24,IF(AC229-O229&lt;=DORA_H_DET/24,MIN(AC229+DORA_H_CLA/24,O229+DORA_H_DET/24),AC229+DORA_H_CLA/24)))</f>
        <v/>
      </c>
      <c r="BS229" s="35" t="str">
        <f aca="true">IF(BR229="","",IF(AD229="",IF(NOW()&gt;BR229,0,""),IF(AD229&lt;=BR229,1,0)))</f>
        <v/>
      </c>
      <c r="BT229" s="35" t="str">
        <f aca="true">IF(OR(BR229="",AD229=""),"",IF(AE229="",IF(NOW()&gt;AD229+DORA_H_INT/24,0,""),IF(AE229&lt;=AD229+DORA_H_INT/24,1,0)))</f>
        <v/>
      </c>
      <c r="BU229" s="35" t="str">
        <f aca="true">IF(OR(BR229="",AE229=""),"",IF(AF229="",IF(NOW()&gt;EDATE(AE229,DORA_M_FIN)+1,0,""),IF(AF229&lt;=EDATE(AE229,DORA_M_FIN),1,0)))</f>
        <v/>
      </c>
      <c r="BV229" s="35" t="str">
        <f aca="false">IF(BR229="","",IF(COUNT(BS229:BU229)=0,"",MIN(BS229:BU229)))</f>
        <v/>
      </c>
      <c r="BW229" s="40" t="str">
        <f aca="false">IF(AQ229&lt;&gt;1,"",IF(AND(AG229="",AH229=""),"",N(AG229)-N(AH229)))</f>
        <v/>
      </c>
      <c r="BX229" s="35" t="str">
        <f aca="true">IF(OR(AQ229&lt;&gt;1,AI229&lt;&gt;"Oui",AJ229=""),"",IF(AK229="",IF(NOW()&gt;AJ229+1,0,""),IF(AK229&lt;=AJ229,1,0)))</f>
        <v/>
      </c>
    </row>
    <row r="230" customFormat="false" ht="15" hidden="false" customHeight="false" outlineLevel="0" collapsed="false">
      <c r="B230" s="29"/>
      <c r="C230" s="29"/>
      <c r="D230" s="29"/>
      <c r="E230" s="29"/>
      <c r="F230" s="29"/>
      <c r="G230" s="29"/>
      <c r="H230" s="29"/>
      <c r="I230" s="29"/>
      <c r="J230" s="29"/>
      <c r="K230" s="29"/>
      <c r="L230" s="29"/>
      <c r="M230" s="29"/>
      <c r="N230" s="30"/>
      <c r="O230" s="30"/>
      <c r="P230" s="30"/>
      <c r="Q230" s="30"/>
      <c r="R230" s="30"/>
      <c r="S230" s="30"/>
      <c r="T230" s="30"/>
      <c r="U230" s="30"/>
      <c r="V230" s="31"/>
      <c r="W230" s="29"/>
      <c r="X230" s="29"/>
      <c r="Y230" s="29"/>
      <c r="Z230" s="29"/>
      <c r="AA230" s="30"/>
      <c r="AB230" s="30"/>
      <c r="AC230" s="30"/>
      <c r="AD230" s="30"/>
      <c r="AE230" s="30"/>
      <c r="AF230" s="32"/>
      <c r="AG230" s="33"/>
      <c r="AH230" s="33"/>
      <c r="AI230" s="29"/>
      <c r="AJ230" s="32"/>
      <c r="AK230" s="32"/>
      <c r="AL230" s="29"/>
      <c r="AN230" s="34" t="str">
        <f aca="false">IF($B230="","",IF(OR(C230="",D230="",E230="",G230="",I230="",J230="",L230="",O230="",P230=""),"Champ obligatoire manquant",IF(OR(AND(N230&lt;&gt;"",N230&gt;O230),O230&gt;P230,AND(Q230&lt;&gt;"",Q230&lt;P230),AND(R230&lt;&gt;"",R230&lt;P230),AND(S230&lt;&gt;"",S230&lt;R230),AND(S230&lt;&gt;"",R230=""),AND(T230&lt;&gt;"",T230&lt;O230),AND(U230&lt;&gt;"",U230&lt;O230)),"Chronologie incohérente",IF(AND(OR(L230="Résolu",L230="Clos"),R230=""),"Date de résolution manquante",IF(AND(L230="Clos",S230=""),"Date de clôture manquante",IF(AND(K230="Oui",AC230=""),"Classification DORA manquante","OK"))))))</f>
        <v/>
      </c>
      <c r="AO230" s="35" t="str">
        <f aca="false">IF($B230="","",IF(AND(C230="Incident",L230&lt;&gt;"Annulé"),1,0))</f>
        <v/>
      </c>
      <c r="AP230" s="35" t="str">
        <f aca="false">IF($B230="","",IF(AND(C230="Quasi-incident",L230&lt;&gt;"Annulé"),1,0))</f>
        <v/>
      </c>
      <c r="AQ230" s="35" t="str">
        <f aca="false">IF($B230="","",AO230+AP230)</f>
        <v/>
      </c>
      <c r="AR230" s="36" t="str">
        <f aca="false">IF(OR($B230="",J230=""),"",IFERROR(VALUE(LEFT(J230,1)),""))</f>
        <v/>
      </c>
      <c r="AS230" s="35" t="str">
        <f aca="false">IF(OR(AO230&lt;&gt;1,G230=""),"",IFERROR(IF(INDEX(L_SrcInterne,MATCH(G230,L_Sources,0))="Oui",1,0),""))</f>
        <v/>
      </c>
      <c r="AT230" s="37" t="str">
        <f aca="false">IF(AO230&lt;&gt;1,"",IFERROR(ROUND(IF(OR(N230="",O230=""),"",IF(O230&lt;N230,"",ROUND(((NETWORKDAYS(N230,O230,JoursFeries)-1)*(HFer-HOuv)+IF(NETWORKDAYS(O230,O230,JoursFeries),MEDIAN(MOD(O230,1),HFer,HOuv),HFer)-IF(NETWORKDAYS(N230,N230,JoursFeries),MEDIAN(MOD(N230,1),HFer,HOuv),HOuv))*24,4)))/HJour,4),""))</f>
        <v/>
      </c>
      <c r="AU230" s="37" t="str">
        <f aca="false">IF(AO230&lt;&gt;1,"",IF(OR(O230="",P230=""),"",IF(P230&lt;O230,"",ROUND(((NETWORKDAYS(O230,P230,JoursFeries)-1)*(HFer-HOuv)+IF(NETWORKDAYS(P230,P230,JoursFeries),MEDIAN(MOD(P230,1),HFer,HOuv),HFer)-IF(NETWORKDAYS(O230,O230,JoursFeries),MEDIAN(MOD(O230,1),HFer,HOuv),HOuv))*24,4))))</f>
        <v/>
      </c>
      <c r="AV230" s="37" t="str">
        <f aca="false">IF(AO230&lt;&gt;1,"",IF(OR(P230="",Q230=""),"",IF(Q230&lt;P230,"",ROUND(((NETWORKDAYS(P230,Q230,JoursFeries)-1)*(HFer-HOuv)+IF(NETWORKDAYS(Q230,Q230,JoursFeries),MEDIAN(MOD(Q230,1),HFer,HOuv),HFer)-IF(NETWORKDAYS(P230,P230,JoursFeries),MEDIAN(MOD(P230,1),HFer,HOuv),HOuv))*24,4))))</f>
        <v/>
      </c>
      <c r="AW230" s="37" t="str">
        <f aca="false">IF(AO230&lt;&gt;1,"",IFERROR(ROUND(IF(OR(P230="",R230=""),"",IF(R230&lt;P230,"",ROUND(((NETWORKDAYS(P230,R230,JoursFeries)-1)*(HFer-HOuv)+IF(NETWORKDAYS(R230,R230,JoursFeries),MEDIAN(MOD(R230,1),HFer,HOuv),HFer)-IF(NETWORKDAYS(P230,P230,JoursFeries),MEDIAN(MOD(P230,1),HFer,HOuv),HOuv))*24,4)))/HJour,4),""))</f>
        <v/>
      </c>
      <c r="AX230" s="37" t="str">
        <f aca="false">IF(AO230&lt;&gt;1,"",IFERROR(ROUND(IF(OR(P230="",S230=""),"",IF(S230&lt;P230,"",ROUND(((NETWORKDAYS(P230,S230,JoursFeries)-1)*(HFer-HOuv)+IF(NETWORKDAYS(S230,S230,JoursFeries),MEDIAN(MOD(S230,1),HFer,HOuv),HFer)-IF(NETWORKDAYS(P230,P230,JoursFeries),MEDIAN(MOD(P230,1),HFer,HOuv),HOuv))*24,4)))/HJour,4),""))</f>
        <v/>
      </c>
      <c r="AY230" s="36" t="str">
        <f aca="false">IF(OR(AO230&lt;&gt;1,AR230=""),"",INDEX(SLA_PEC,AR230))</f>
        <v/>
      </c>
      <c r="AZ230" s="35" t="str">
        <f aca="false">IF(OR(AV230="",AY230=""),"",IF(AV230&lt;=AY230,1,0))</f>
        <v/>
      </c>
      <c r="BA230" s="36" t="str">
        <f aca="false">IF(OR(AO230&lt;&gt;1,AR230=""),"",INDEX(SLA_RES,AR230))</f>
        <v/>
      </c>
      <c r="BB230" s="35" t="str">
        <f aca="false">IF(OR(AW230="",BA230=""),"",IF(AW230&lt;=BA230,1,0))</f>
        <v/>
      </c>
      <c r="BC230" s="38" t="str">
        <f aca="false">IF(OR(BA230="",P230=""),"",WORKDAY(INT(P230),BA230,JoursFeries)+MOD(P230,1))</f>
        <v/>
      </c>
      <c r="BD230" s="39" t="str">
        <f aca="false">IF(AO230&lt;&gt;1,"",IF(OR(AB230&lt;&gt;"",AD230&lt;&gt;""),4,IF(U230&lt;&gt;"",3,IF(T230&lt;&gt;"",2,1))))</f>
        <v/>
      </c>
      <c r="BE230" s="39" t="str">
        <f aca="false">IF(OR(AO230&lt;&gt;1,AR230=""),"",INDEX(NIV_REQ,AR230))</f>
        <v/>
      </c>
      <c r="BF230" s="39" t="str">
        <f aca="false">IF(BE230="","",MAX(BE230,IF(OR(K230="Oui",Z230="Oui"),4,1)))</f>
        <v/>
      </c>
      <c r="BG230" s="35" t="str">
        <f aca="false">IF(OR(BF230="",BD230=""),"",IF(BD230&gt;=BF230,1,0))</f>
        <v/>
      </c>
      <c r="BH230" s="38" t="str">
        <f aca="false">IF(BE230="","",IF(BE230&lt;2,"",IF(BE230=2,IF(AND(T230="",U230=""),"",MIN(T230,U230)),IF(U230="","",U230))))</f>
        <v/>
      </c>
      <c r="BI230" s="37" t="str">
        <f aca="false">IF(BH230="","",IF(OR(O230="",BH230=""),"",IF(BH230&lt;O230,"",ROUND(((NETWORKDAYS(O230,BH230,JoursFeries)-1)*(HFer-HOuv)+IF(NETWORKDAYS(BH230,BH230,JoursFeries),MEDIAN(MOD(BH230,1),HFer,HOuv),HFer)-IF(NETWORKDAYS(O230,O230,JoursFeries),MEDIAN(MOD(O230,1),HFer,HOuv),HOuv))*24,4))))</f>
        <v/>
      </c>
      <c r="BJ230" s="35" t="str">
        <f aca="false">IF(OR(BI230="",AR230=""),"",IF(BI230&lt;=INDEX(DELAI_ESC,AR230),1,0))</f>
        <v/>
      </c>
      <c r="BK230" s="38" t="str">
        <f aca="false">IF(AO230&lt;&gt;1,"",IF(AND(T230="",U230=""),"",MIN(T230,U230)))</f>
        <v/>
      </c>
      <c r="BL230" s="37" t="str">
        <f aca="false">IF(OR(BK230="",R230=""),"",IFERROR(ROUND(IF(OR(BK230="",R230=""),"",IF(R230&lt;BK230,"",ROUND(((NETWORKDAYS(BK230,R230,JoursFeries)-1)*(HFer-HOuv)+IF(NETWORKDAYS(R230,R230,JoursFeries),MEDIAN(MOD(R230,1),HFer,HOuv),HFer)-IF(NETWORKDAYS(BK230,BK230,JoursFeries),MEDIAN(MOD(BK230,1),HFer,HOuv),HOuv))*24,4)))/HJour,4),""))</f>
        <v/>
      </c>
      <c r="BM230" s="35" t="str">
        <f aca="false">IF(OR(AO230&lt;&gt;1,R230=""),"",IF(BD230=1,1,0))</f>
        <v/>
      </c>
      <c r="BN230" s="35" t="str">
        <f aca="false">IF(AO230&lt;&gt;1,"",IF(W230="Oui",1,0))</f>
        <v/>
      </c>
      <c r="BO230" s="35" t="str">
        <f aca="false">IF(AO230&lt;&gt;1,"",IF(X230&lt;&gt;"",1,0))</f>
        <v/>
      </c>
      <c r="BP230" s="35" t="str">
        <f aca="false">IF(AO230&lt;&gt;1,"",IF(Y230="Oui",1,0))</f>
        <v/>
      </c>
      <c r="BQ230" s="35" t="str">
        <f aca="true">IF(OR(AO230&lt;&gt;1,Z230&lt;&gt;"Oui"),"",IF(AB230="",IF(AND(AA230&lt;&gt;"",NOW()&gt;AA230),0,""),IF(AA230="","",IF(AB230&lt;=AA230,1,0))))</f>
        <v/>
      </c>
      <c r="BR230" s="38" t="str">
        <f aca="false">IF(OR(AO230&lt;&gt;1,K230&lt;&gt;"Oui",O230=""),"",IF(AC230="",O230+DORA_H_DET/24,IF(AC230-O230&lt;=DORA_H_DET/24,MIN(AC230+DORA_H_CLA/24,O230+DORA_H_DET/24),AC230+DORA_H_CLA/24)))</f>
        <v/>
      </c>
      <c r="BS230" s="35" t="str">
        <f aca="true">IF(BR230="","",IF(AD230="",IF(NOW()&gt;BR230,0,""),IF(AD230&lt;=BR230,1,0)))</f>
        <v/>
      </c>
      <c r="BT230" s="35" t="str">
        <f aca="true">IF(OR(BR230="",AD230=""),"",IF(AE230="",IF(NOW()&gt;AD230+DORA_H_INT/24,0,""),IF(AE230&lt;=AD230+DORA_H_INT/24,1,0)))</f>
        <v/>
      </c>
      <c r="BU230" s="35" t="str">
        <f aca="true">IF(OR(BR230="",AE230=""),"",IF(AF230="",IF(NOW()&gt;EDATE(AE230,DORA_M_FIN)+1,0,""),IF(AF230&lt;=EDATE(AE230,DORA_M_FIN),1,0)))</f>
        <v/>
      </c>
      <c r="BV230" s="35" t="str">
        <f aca="false">IF(BR230="","",IF(COUNT(BS230:BU230)=0,"",MIN(BS230:BU230)))</f>
        <v/>
      </c>
      <c r="BW230" s="40" t="str">
        <f aca="false">IF(AQ230&lt;&gt;1,"",IF(AND(AG230="",AH230=""),"",N(AG230)-N(AH230)))</f>
        <v/>
      </c>
      <c r="BX230" s="35" t="str">
        <f aca="true">IF(OR(AQ230&lt;&gt;1,AI230&lt;&gt;"Oui",AJ230=""),"",IF(AK230="",IF(NOW()&gt;AJ230+1,0,""),IF(AK230&lt;=AJ230,1,0)))</f>
        <v/>
      </c>
    </row>
    <row r="231" customFormat="false" ht="15" hidden="false" customHeight="false" outlineLevel="0" collapsed="false">
      <c r="B231" s="29"/>
      <c r="C231" s="29"/>
      <c r="D231" s="29"/>
      <c r="E231" s="29"/>
      <c r="F231" s="29"/>
      <c r="G231" s="29"/>
      <c r="H231" s="29"/>
      <c r="I231" s="29"/>
      <c r="J231" s="29"/>
      <c r="K231" s="29"/>
      <c r="L231" s="29"/>
      <c r="M231" s="29"/>
      <c r="N231" s="30"/>
      <c r="O231" s="30"/>
      <c r="P231" s="30"/>
      <c r="Q231" s="30"/>
      <c r="R231" s="30"/>
      <c r="S231" s="30"/>
      <c r="T231" s="30"/>
      <c r="U231" s="30"/>
      <c r="V231" s="31"/>
      <c r="W231" s="29"/>
      <c r="X231" s="29"/>
      <c r="Y231" s="29"/>
      <c r="Z231" s="29"/>
      <c r="AA231" s="30"/>
      <c r="AB231" s="30"/>
      <c r="AC231" s="30"/>
      <c r="AD231" s="30"/>
      <c r="AE231" s="30"/>
      <c r="AF231" s="32"/>
      <c r="AG231" s="33"/>
      <c r="AH231" s="33"/>
      <c r="AI231" s="29"/>
      <c r="AJ231" s="32"/>
      <c r="AK231" s="32"/>
      <c r="AL231" s="29"/>
      <c r="AN231" s="34" t="str">
        <f aca="false">IF($B231="","",IF(OR(C231="",D231="",E231="",G231="",I231="",J231="",L231="",O231="",P231=""),"Champ obligatoire manquant",IF(OR(AND(N231&lt;&gt;"",N231&gt;O231),O231&gt;P231,AND(Q231&lt;&gt;"",Q231&lt;P231),AND(R231&lt;&gt;"",R231&lt;P231),AND(S231&lt;&gt;"",S231&lt;R231),AND(S231&lt;&gt;"",R231=""),AND(T231&lt;&gt;"",T231&lt;O231),AND(U231&lt;&gt;"",U231&lt;O231)),"Chronologie incohérente",IF(AND(OR(L231="Résolu",L231="Clos"),R231=""),"Date de résolution manquante",IF(AND(L231="Clos",S231=""),"Date de clôture manquante",IF(AND(K231="Oui",AC231=""),"Classification DORA manquante","OK"))))))</f>
        <v/>
      </c>
      <c r="AO231" s="35" t="str">
        <f aca="false">IF($B231="","",IF(AND(C231="Incident",L231&lt;&gt;"Annulé"),1,0))</f>
        <v/>
      </c>
      <c r="AP231" s="35" t="str">
        <f aca="false">IF($B231="","",IF(AND(C231="Quasi-incident",L231&lt;&gt;"Annulé"),1,0))</f>
        <v/>
      </c>
      <c r="AQ231" s="35" t="str">
        <f aca="false">IF($B231="","",AO231+AP231)</f>
        <v/>
      </c>
      <c r="AR231" s="36" t="str">
        <f aca="false">IF(OR($B231="",J231=""),"",IFERROR(VALUE(LEFT(J231,1)),""))</f>
        <v/>
      </c>
      <c r="AS231" s="35" t="str">
        <f aca="false">IF(OR(AO231&lt;&gt;1,G231=""),"",IFERROR(IF(INDEX(L_SrcInterne,MATCH(G231,L_Sources,0))="Oui",1,0),""))</f>
        <v/>
      </c>
      <c r="AT231" s="37" t="str">
        <f aca="false">IF(AO231&lt;&gt;1,"",IFERROR(ROUND(IF(OR(N231="",O231=""),"",IF(O231&lt;N231,"",ROUND(((NETWORKDAYS(N231,O231,JoursFeries)-1)*(HFer-HOuv)+IF(NETWORKDAYS(O231,O231,JoursFeries),MEDIAN(MOD(O231,1),HFer,HOuv),HFer)-IF(NETWORKDAYS(N231,N231,JoursFeries),MEDIAN(MOD(N231,1),HFer,HOuv),HOuv))*24,4)))/HJour,4),""))</f>
        <v/>
      </c>
      <c r="AU231" s="37" t="str">
        <f aca="false">IF(AO231&lt;&gt;1,"",IF(OR(O231="",P231=""),"",IF(P231&lt;O231,"",ROUND(((NETWORKDAYS(O231,P231,JoursFeries)-1)*(HFer-HOuv)+IF(NETWORKDAYS(P231,P231,JoursFeries),MEDIAN(MOD(P231,1),HFer,HOuv),HFer)-IF(NETWORKDAYS(O231,O231,JoursFeries),MEDIAN(MOD(O231,1),HFer,HOuv),HOuv))*24,4))))</f>
        <v/>
      </c>
      <c r="AV231" s="37" t="str">
        <f aca="false">IF(AO231&lt;&gt;1,"",IF(OR(P231="",Q231=""),"",IF(Q231&lt;P231,"",ROUND(((NETWORKDAYS(P231,Q231,JoursFeries)-1)*(HFer-HOuv)+IF(NETWORKDAYS(Q231,Q231,JoursFeries),MEDIAN(MOD(Q231,1),HFer,HOuv),HFer)-IF(NETWORKDAYS(P231,P231,JoursFeries),MEDIAN(MOD(P231,1),HFer,HOuv),HOuv))*24,4))))</f>
        <v/>
      </c>
      <c r="AW231" s="37" t="str">
        <f aca="false">IF(AO231&lt;&gt;1,"",IFERROR(ROUND(IF(OR(P231="",R231=""),"",IF(R231&lt;P231,"",ROUND(((NETWORKDAYS(P231,R231,JoursFeries)-1)*(HFer-HOuv)+IF(NETWORKDAYS(R231,R231,JoursFeries),MEDIAN(MOD(R231,1),HFer,HOuv),HFer)-IF(NETWORKDAYS(P231,P231,JoursFeries),MEDIAN(MOD(P231,1),HFer,HOuv),HOuv))*24,4)))/HJour,4),""))</f>
        <v/>
      </c>
      <c r="AX231" s="37" t="str">
        <f aca="false">IF(AO231&lt;&gt;1,"",IFERROR(ROUND(IF(OR(P231="",S231=""),"",IF(S231&lt;P231,"",ROUND(((NETWORKDAYS(P231,S231,JoursFeries)-1)*(HFer-HOuv)+IF(NETWORKDAYS(S231,S231,JoursFeries),MEDIAN(MOD(S231,1),HFer,HOuv),HFer)-IF(NETWORKDAYS(P231,P231,JoursFeries),MEDIAN(MOD(P231,1),HFer,HOuv),HOuv))*24,4)))/HJour,4),""))</f>
        <v/>
      </c>
      <c r="AY231" s="36" t="str">
        <f aca="false">IF(OR(AO231&lt;&gt;1,AR231=""),"",INDEX(SLA_PEC,AR231))</f>
        <v/>
      </c>
      <c r="AZ231" s="35" t="str">
        <f aca="false">IF(OR(AV231="",AY231=""),"",IF(AV231&lt;=AY231,1,0))</f>
        <v/>
      </c>
      <c r="BA231" s="36" t="str">
        <f aca="false">IF(OR(AO231&lt;&gt;1,AR231=""),"",INDEX(SLA_RES,AR231))</f>
        <v/>
      </c>
      <c r="BB231" s="35" t="str">
        <f aca="false">IF(OR(AW231="",BA231=""),"",IF(AW231&lt;=BA231,1,0))</f>
        <v/>
      </c>
      <c r="BC231" s="38" t="str">
        <f aca="false">IF(OR(BA231="",P231=""),"",WORKDAY(INT(P231),BA231,JoursFeries)+MOD(P231,1))</f>
        <v/>
      </c>
      <c r="BD231" s="39" t="str">
        <f aca="false">IF(AO231&lt;&gt;1,"",IF(OR(AB231&lt;&gt;"",AD231&lt;&gt;""),4,IF(U231&lt;&gt;"",3,IF(T231&lt;&gt;"",2,1))))</f>
        <v/>
      </c>
      <c r="BE231" s="39" t="str">
        <f aca="false">IF(OR(AO231&lt;&gt;1,AR231=""),"",INDEX(NIV_REQ,AR231))</f>
        <v/>
      </c>
      <c r="BF231" s="39" t="str">
        <f aca="false">IF(BE231="","",MAX(BE231,IF(OR(K231="Oui",Z231="Oui"),4,1)))</f>
        <v/>
      </c>
      <c r="BG231" s="35" t="str">
        <f aca="false">IF(OR(BF231="",BD231=""),"",IF(BD231&gt;=BF231,1,0))</f>
        <v/>
      </c>
      <c r="BH231" s="38" t="str">
        <f aca="false">IF(BE231="","",IF(BE231&lt;2,"",IF(BE231=2,IF(AND(T231="",U231=""),"",MIN(T231,U231)),IF(U231="","",U231))))</f>
        <v/>
      </c>
      <c r="BI231" s="37" t="str">
        <f aca="false">IF(BH231="","",IF(OR(O231="",BH231=""),"",IF(BH231&lt;O231,"",ROUND(((NETWORKDAYS(O231,BH231,JoursFeries)-1)*(HFer-HOuv)+IF(NETWORKDAYS(BH231,BH231,JoursFeries),MEDIAN(MOD(BH231,1),HFer,HOuv),HFer)-IF(NETWORKDAYS(O231,O231,JoursFeries),MEDIAN(MOD(O231,1),HFer,HOuv),HOuv))*24,4))))</f>
        <v/>
      </c>
      <c r="BJ231" s="35" t="str">
        <f aca="false">IF(OR(BI231="",AR231=""),"",IF(BI231&lt;=INDEX(DELAI_ESC,AR231),1,0))</f>
        <v/>
      </c>
      <c r="BK231" s="38" t="str">
        <f aca="false">IF(AO231&lt;&gt;1,"",IF(AND(T231="",U231=""),"",MIN(T231,U231)))</f>
        <v/>
      </c>
      <c r="BL231" s="37" t="str">
        <f aca="false">IF(OR(BK231="",R231=""),"",IFERROR(ROUND(IF(OR(BK231="",R231=""),"",IF(R231&lt;BK231,"",ROUND(((NETWORKDAYS(BK231,R231,JoursFeries)-1)*(HFer-HOuv)+IF(NETWORKDAYS(R231,R231,JoursFeries),MEDIAN(MOD(R231,1),HFer,HOuv),HFer)-IF(NETWORKDAYS(BK231,BK231,JoursFeries),MEDIAN(MOD(BK231,1),HFer,HOuv),HOuv))*24,4)))/HJour,4),""))</f>
        <v/>
      </c>
      <c r="BM231" s="35" t="str">
        <f aca="false">IF(OR(AO231&lt;&gt;1,R231=""),"",IF(BD231=1,1,0))</f>
        <v/>
      </c>
      <c r="BN231" s="35" t="str">
        <f aca="false">IF(AO231&lt;&gt;1,"",IF(W231="Oui",1,0))</f>
        <v/>
      </c>
      <c r="BO231" s="35" t="str">
        <f aca="false">IF(AO231&lt;&gt;1,"",IF(X231&lt;&gt;"",1,0))</f>
        <v/>
      </c>
      <c r="BP231" s="35" t="str">
        <f aca="false">IF(AO231&lt;&gt;1,"",IF(Y231="Oui",1,0))</f>
        <v/>
      </c>
      <c r="BQ231" s="35" t="str">
        <f aca="true">IF(OR(AO231&lt;&gt;1,Z231&lt;&gt;"Oui"),"",IF(AB231="",IF(AND(AA231&lt;&gt;"",NOW()&gt;AA231),0,""),IF(AA231="","",IF(AB231&lt;=AA231,1,0))))</f>
        <v/>
      </c>
      <c r="BR231" s="38" t="str">
        <f aca="false">IF(OR(AO231&lt;&gt;1,K231&lt;&gt;"Oui",O231=""),"",IF(AC231="",O231+DORA_H_DET/24,IF(AC231-O231&lt;=DORA_H_DET/24,MIN(AC231+DORA_H_CLA/24,O231+DORA_H_DET/24),AC231+DORA_H_CLA/24)))</f>
        <v/>
      </c>
      <c r="BS231" s="35" t="str">
        <f aca="true">IF(BR231="","",IF(AD231="",IF(NOW()&gt;BR231,0,""),IF(AD231&lt;=BR231,1,0)))</f>
        <v/>
      </c>
      <c r="BT231" s="35" t="str">
        <f aca="true">IF(OR(BR231="",AD231=""),"",IF(AE231="",IF(NOW()&gt;AD231+DORA_H_INT/24,0,""),IF(AE231&lt;=AD231+DORA_H_INT/24,1,0)))</f>
        <v/>
      </c>
      <c r="BU231" s="35" t="str">
        <f aca="true">IF(OR(BR231="",AE231=""),"",IF(AF231="",IF(NOW()&gt;EDATE(AE231,DORA_M_FIN)+1,0,""),IF(AF231&lt;=EDATE(AE231,DORA_M_FIN),1,0)))</f>
        <v/>
      </c>
      <c r="BV231" s="35" t="str">
        <f aca="false">IF(BR231="","",IF(COUNT(BS231:BU231)=0,"",MIN(BS231:BU231)))</f>
        <v/>
      </c>
      <c r="BW231" s="40" t="str">
        <f aca="false">IF(AQ231&lt;&gt;1,"",IF(AND(AG231="",AH231=""),"",N(AG231)-N(AH231)))</f>
        <v/>
      </c>
      <c r="BX231" s="35" t="str">
        <f aca="true">IF(OR(AQ231&lt;&gt;1,AI231&lt;&gt;"Oui",AJ231=""),"",IF(AK231="",IF(NOW()&gt;AJ231+1,0,""),IF(AK231&lt;=AJ231,1,0)))</f>
        <v/>
      </c>
    </row>
    <row r="232" customFormat="false" ht="15" hidden="false" customHeight="false" outlineLevel="0" collapsed="false">
      <c r="B232" s="29"/>
      <c r="C232" s="29"/>
      <c r="D232" s="29"/>
      <c r="E232" s="29"/>
      <c r="F232" s="29"/>
      <c r="G232" s="29"/>
      <c r="H232" s="29"/>
      <c r="I232" s="29"/>
      <c r="J232" s="29"/>
      <c r="K232" s="29"/>
      <c r="L232" s="29"/>
      <c r="M232" s="29"/>
      <c r="N232" s="30"/>
      <c r="O232" s="30"/>
      <c r="P232" s="30"/>
      <c r="Q232" s="30"/>
      <c r="R232" s="30"/>
      <c r="S232" s="30"/>
      <c r="T232" s="30"/>
      <c r="U232" s="30"/>
      <c r="V232" s="31"/>
      <c r="W232" s="29"/>
      <c r="X232" s="29"/>
      <c r="Y232" s="29"/>
      <c r="Z232" s="29"/>
      <c r="AA232" s="30"/>
      <c r="AB232" s="30"/>
      <c r="AC232" s="30"/>
      <c r="AD232" s="30"/>
      <c r="AE232" s="30"/>
      <c r="AF232" s="32"/>
      <c r="AG232" s="33"/>
      <c r="AH232" s="33"/>
      <c r="AI232" s="29"/>
      <c r="AJ232" s="32"/>
      <c r="AK232" s="32"/>
      <c r="AL232" s="29"/>
      <c r="AN232" s="34" t="str">
        <f aca="false">IF($B232="","",IF(OR(C232="",D232="",E232="",G232="",I232="",J232="",L232="",O232="",P232=""),"Champ obligatoire manquant",IF(OR(AND(N232&lt;&gt;"",N232&gt;O232),O232&gt;P232,AND(Q232&lt;&gt;"",Q232&lt;P232),AND(R232&lt;&gt;"",R232&lt;P232),AND(S232&lt;&gt;"",S232&lt;R232),AND(S232&lt;&gt;"",R232=""),AND(T232&lt;&gt;"",T232&lt;O232),AND(U232&lt;&gt;"",U232&lt;O232)),"Chronologie incohérente",IF(AND(OR(L232="Résolu",L232="Clos"),R232=""),"Date de résolution manquante",IF(AND(L232="Clos",S232=""),"Date de clôture manquante",IF(AND(K232="Oui",AC232=""),"Classification DORA manquante","OK"))))))</f>
        <v/>
      </c>
      <c r="AO232" s="35" t="str">
        <f aca="false">IF($B232="","",IF(AND(C232="Incident",L232&lt;&gt;"Annulé"),1,0))</f>
        <v/>
      </c>
      <c r="AP232" s="35" t="str">
        <f aca="false">IF($B232="","",IF(AND(C232="Quasi-incident",L232&lt;&gt;"Annulé"),1,0))</f>
        <v/>
      </c>
      <c r="AQ232" s="35" t="str">
        <f aca="false">IF($B232="","",AO232+AP232)</f>
        <v/>
      </c>
      <c r="AR232" s="36" t="str">
        <f aca="false">IF(OR($B232="",J232=""),"",IFERROR(VALUE(LEFT(J232,1)),""))</f>
        <v/>
      </c>
      <c r="AS232" s="35" t="str">
        <f aca="false">IF(OR(AO232&lt;&gt;1,G232=""),"",IFERROR(IF(INDEX(L_SrcInterne,MATCH(G232,L_Sources,0))="Oui",1,0),""))</f>
        <v/>
      </c>
      <c r="AT232" s="37" t="str">
        <f aca="false">IF(AO232&lt;&gt;1,"",IFERROR(ROUND(IF(OR(N232="",O232=""),"",IF(O232&lt;N232,"",ROUND(((NETWORKDAYS(N232,O232,JoursFeries)-1)*(HFer-HOuv)+IF(NETWORKDAYS(O232,O232,JoursFeries),MEDIAN(MOD(O232,1),HFer,HOuv),HFer)-IF(NETWORKDAYS(N232,N232,JoursFeries),MEDIAN(MOD(N232,1),HFer,HOuv),HOuv))*24,4)))/HJour,4),""))</f>
        <v/>
      </c>
      <c r="AU232" s="37" t="str">
        <f aca="false">IF(AO232&lt;&gt;1,"",IF(OR(O232="",P232=""),"",IF(P232&lt;O232,"",ROUND(((NETWORKDAYS(O232,P232,JoursFeries)-1)*(HFer-HOuv)+IF(NETWORKDAYS(P232,P232,JoursFeries),MEDIAN(MOD(P232,1),HFer,HOuv),HFer)-IF(NETWORKDAYS(O232,O232,JoursFeries),MEDIAN(MOD(O232,1),HFer,HOuv),HOuv))*24,4))))</f>
        <v/>
      </c>
      <c r="AV232" s="37" t="str">
        <f aca="false">IF(AO232&lt;&gt;1,"",IF(OR(P232="",Q232=""),"",IF(Q232&lt;P232,"",ROUND(((NETWORKDAYS(P232,Q232,JoursFeries)-1)*(HFer-HOuv)+IF(NETWORKDAYS(Q232,Q232,JoursFeries),MEDIAN(MOD(Q232,1),HFer,HOuv),HFer)-IF(NETWORKDAYS(P232,P232,JoursFeries),MEDIAN(MOD(P232,1),HFer,HOuv),HOuv))*24,4))))</f>
        <v/>
      </c>
      <c r="AW232" s="37" t="str">
        <f aca="false">IF(AO232&lt;&gt;1,"",IFERROR(ROUND(IF(OR(P232="",R232=""),"",IF(R232&lt;P232,"",ROUND(((NETWORKDAYS(P232,R232,JoursFeries)-1)*(HFer-HOuv)+IF(NETWORKDAYS(R232,R232,JoursFeries),MEDIAN(MOD(R232,1),HFer,HOuv),HFer)-IF(NETWORKDAYS(P232,P232,JoursFeries),MEDIAN(MOD(P232,1),HFer,HOuv),HOuv))*24,4)))/HJour,4),""))</f>
        <v/>
      </c>
      <c r="AX232" s="37" t="str">
        <f aca="false">IF(AO232&lt;&gt;1,"",IFERROR(ROUND(IF(OR(P232="",S232=""),"",IF(S232&lt;P232,"",ROUND(((NETWORKDAYS(P232,S232,JoursFeries)-1)*(HFer-HOuv)+IF(NETWORKDAYS(S232,S232,JoursFeries),MEDIAN(MOD(S232,1),HFer,HOuv),HFer)-IF(NETWORKDAYS(P232,P232,JoursFeries),MEDIAN(MOD(P232,1),HFer,HOuv),HOuv))*24,4)))/HJour,4),""))</f>
        <v/>
      </c>
      <c r="AY232" s="36" t="str">
        <f aca="false">IF(OR(AO232&lt;&gt;1,AR232=""),"",INDEX(SLA_PEC,AR232))</f>
        <v/>
      </c>
      <c r="AZ232" s="35" t="str">
        <f aca="false">IF(OR(AV232="",AY232=""),"",IF(AV232&lt;=AY232,1,0))</f>
        <v/>
      </c>
      <c r="BA232" s="36" t="str">
        <f aca="false">IF(OR(AO232&lt;&gt;1,AR232=""),"",INDEX(SLA_RES,AR232))</f>
        <v/>
      </c>
      <c r="BB232" s="35" t="str">
        <f aca="false">IF(OR(AW232="",BA232=""),"",IF(AW232&lt;=BA232,1,0))</f>
        <v/>
      </c>
      <c r="BC232" s="38" t="str">
        <f aca="false">IF(OR(BA232="",P232=""),"",WORKDAY(INT(P232),BA232,JoursFeries)+MOD(P232,1))</f>
        <v/>
      </c>
      <c r="BD232" s="39" t="str">
        <f aca="false">IF(AO232&lt;&gt;1,"",IF(OR(AB232&lt;&gt;"",AD232&lt;&gt;""),4,IF(U232&lt;&gt;"",3,IF(T232&lt;&gt;"",2,1))))</f>
        <v/>
      </c>
      <c r="BE232" s="39" t="str">
        <f aca="false">IF(OR(AO232&lt;&gt;1,AR232=""),"",INDEX(NIV_REQ,AR232))</f>
        <v/>
      </c>
      <c r="BF232" s="39" t="str">
        <f aca="false">IF(BE232="","",MAX(BE232,IF(OR(K232="Oui",Z232="Oui"),4,1)))</f>
        <v/>
      </c>
      <c r="BG232" s="35" t="str">
        <f aca="false">IF(OR(BF232="",BD232=""),"",IF(BD232&gt;=BF232,1,0))</f>
        <v/>
      </c>
      <c r="BH232" s="38" t="str">
        <f aca="false">IF(BE232="","",IF(BE232&lt;2,"",IF(BE232=2,IF(AND(T232="",U232=""),"",MIN(T232,U232)),IF(U232="","",U232))))</f>
        <v/>
      </c>
      <c r="BI232" s="37" t="str">
        <f aca="false">IF(BH232="","",IF(OR(O232="",BH232=""),"",IF(BH232&lt;O232,"",ROUND(((NETWORKDAYS(O232,BH232,JoursFeries)-1)*(HFer-HOuv)+IF(NETWORKDAYS(BH232,BH232,JoursFeries),MEDIAN(MOD(BH232,1),HFer,HOuv),HFer)-IF(NETWORKDAYS(O232,O232,JoursFeries),MEDIAN(MOD(O232,1),HFer,HOuv),HOuv))*24,4))))</f>
        <v/>
      </c>
      <c r="BJ232" s="35" t="str">
        <f aca="false">IF(OR(BI232="",AR232=""),"",IF(BI232&lt;=INDEX(DELAI_ESC,AR232),1,0))</f>
        <v/>
      </c>
      <c r="BK232" s="38" t="str">
        <f aca="false">IF(AO232&lt;&gt;1,"",IF(AND(T232="",U232=""),"",MIN(T232,U232)))</f>
        <v/>
      </c>
      <c r="BL232" s="37" t="str">
        <f aca="false">IF(OR(BK232="",R232=""),"",IFERROR(ROUND(IF(OR(BK232="",R232=""),"",IF(R232&lt;BK232,"",ROUND(((NETWORKDAYS(BK232,R232,JoursFeries)-1)*(HFer-HOuv)+IF(NETWORKDAYS(R232,R232,JoursFeries),MEDIAN(MOD(R232,1),HFer,HOuv),HFer)-IF(NETWORKDAYS(BK232,BK232,JoursFeries),MEDIAN(MOD(BK232,1),HFer,HOuv),HOuv))*24,4)))/HJour,4),""))</f>
        <v/>
      </c>
      <c r="BM232" s="35" t="str">
        <f aca="false">IF(OR(AO232&lt;&gt;1,R232=""),"",IF(BD232=1,1,0))</f>
        <v/>
      </c>
      <c r="BN232" s="35" t="str">
        <f aca="false">IF(AO232&lt;&gt;1,"",IF(W232="Oui",1,0))</f>
        <v/>
      </c>
      <c r="BO232" s="35" t="str">
        <f aca="false">IF(AO232&lt;&gt;1,"",IF(X232&lt;&gt;"",1,0))</f>
        <v/>
      </c>
      <c r="BP232" s="35" t="str">
        <f aca="false">IF(AO232&lt;&gt;1,"",IF(Y232="Oui",1,0))</f>
        <v/>
      </c>
      <c r="BQ232" s="35" t="str">
        <f aca="true">IF(OR(AO232&lt;&gt;1,Z232&lt;&gt;"Oui"),"",IF(AB232="",IF(AND(AA232&lt;&gt;"",NOW()&gt;AA232),0,""),IF(AA232="","",IF(AB232&lt;=AA232,1,0))))</f>
        <v/>
      </c>
      <c r="BR232" s="38" t="str">
        <f aca="false">IF(OR(AO232&lt;&gt;1,K232&lt;&gt;"Oui",O232=""),"",IF(AC232="",O232+DORA_H_DET/24,IF(AC232-O232&lt;=DORA_H_DET/24,MIN(AC232+DORA_H_CLA/24,O232+DORA_H_DET/24),AC232+DORA_H_CLA/24)))</f>
        <v/>
      </c>
      <c r="BS232" s="35" t="str">
        <f aca="true">IF(BR232="","",IF(AD232="",IF(NOW()&gt;BR232,0,""),IF(AD232&lt;=BR232,1,0)))</f>
        <v/>
      </c>
      <c r="BT232" s="35" t="str">
        <f aca="true">IF(OR(BR232="",AD232=""),"",IF(AE232="",IF(NOW()&gt;AD232+DORA_H_INT/24,0,""),IF(AE232&lt;=AD232+DORA_H_INT/24,1,0)))</f>
        <v/>
      </c>
      <c r="BU232" s="35" t="str">
        <f aca="true">IF(OR(BR232="",AE232=""),"",IF(AF232="",IF(NOW()&gt;EDATE(AE232,DORA_M_FIN)+1,0,""),IF(AF232&lt;=EDATE(AE232,DORA_M_FIN),1,0)))</f>
        <v/>
      </c>
      <c r="BV232" s="35" t="str">
        <f aca="false">IF(BR232="","",IF(COUNT(BS232:BU232)=0,"",MIN(BS232:BU232)))</f>
        <v/>
      </c>
      <c r="BW232" s="40" t="str">
        <f aca="false">IF(AQ232&lt;&gt;1,"",IF(AND(AG232="",AH232=""),"",N(AG232)-N(AH232)))</f>
        <v/>
      </c>
      <c r="BX232" s="35" t="str">
        <f aca="true">IF(OR(AQ232&lt;&gt;1,AI232&lt;&gt;"Oui",AJ232=""),"",IF(AK232="",IF(NOW()&gt;AJ232+1,0,""),IF(AK232&lt;=AJ232,1,0)))</f>
        <v/>
      </c>
    </row>
    <row r="233" customFormat="false" ht="15" hidden="false" customHeight="false" outlineLevel="0" collapsed="false">
      <c r="B233" s="29"/>
      <c r="C233" s="29"/>
      <c r="D233" s="29"/>
      <c r="E233" s="29"/>
      <c r="F233" s="29"/>
      <c r="G233" s="29"/>
      <c r="H233" s="29"/>
      <c r="I233" s="29"/>
      <c r="J233" s="29"/>
      <c r="K233" s="29"/>
      <c r="L233" s="29"/>
      <c r="M233" s="29"/>
      <c r="N233" s="30"/>
      <c r="O233" s="30"/>
      <c r="P233" s="30"/>
      <c r="Q233" s="30"/>
      <c r="R233" s="30"/>
      <c r="S233" s="30"/>
      <c r="T233" s="30"/>
      <c r="U233" s="30"/>
      <c r="V233" s="31"/>
      <c r="W233" s="29"/>
      <c r="X233" s="29"/>
      <c r="Y233" s="29"/>
      <c r="Z233" s="29"/>
      <c r="AA233" s="30"/>
      <c r="AB233" s="30"/>
      <c r="AC233" s="30"/>
      <c r="AD233" s="30"/>
      <c r="AE233" s="30"/>
      <c r="AF233" s="32"/>
      <c r="AG233" s="33"/>
      <c r="AH233" s="33"/>
      <c r="AI233" s="29"/>
      <c r="AJ233" s="32"/>
      <c r="AK233" s="32"/>
      <c r="AL233" s="29"/>
      <c r="AN233" s="34" t="str">
        <f aca="false">IF($B233="","",IF(OR(C233="",D233="",E233="",G233="",I233="",J233="",L233="",O233="",P233=""),"Champ obligatoire manquant",IF(OR(AND(N233&lt;&gt;"",N233&gt;O233),O233&gt;P233,AND(Q233&lt;&gt;"",Q233&lt;P233),AND(R233&lt;&gt;"",R233&lt;P233),AND(S233&lt;&gt;"",S233&lt;R233),AND(S233&lt;&gt;"",R233=""),AND(T233&lt;&gt;"",T233&lt;O233),AND(U233&lt;&gt;"",U233&lt;O233)),"Chronologie incohérente",IF(AND(OR(L233="Résolu",L233="Clos"),R233=""),"Date de résolution manquante",IF(AND(L233="Clos",S233=""),"Date de clôture manquante",IF(AND(K233="Oui",AC233=""),"Classification DORA manquante","OK"))))))</f>
        <v/>
      </c>
      <c r="AO233" s="35" t="str">
        <f aca="false">IF($B233="","",IF(AND(C233="Incident",L233&lt;&gt;"Annulé"),1,0))</f>
        <v/>
      </c>
      <c r="AP233" s="35" t="str">
        <f aca="false">IF($B233="","",IF(AND(C233="Quasi-incident",L233&lt;&gt;"Annulé"),1,0))</f>
        <v/>
      </c>
      <c r="AQ233" s="35" t="str">
        <f aca="false">IF($B233="","",AO233+AP233)</f>
        <v/>
      </c>
      <c r="AR233" s="36" t="str">
        <f aca="false">IF(OR($B233="",J233=""),"",IFERROR(VALUE(LEFT(J233,1)),""))</f>
        <v/>
      </c>
      <c r="AS233" s="35" t="str">
        <f aca="false">IF(OR(AO233&lt;&gt;1,G233=""),"",IFERROR(IF(INDEX(L_SrcInterne,MATCH(G233,L_Sources,0))="Oui",1,0),""))</f>
        <v/>
      </c>
      <c r="AT233" s="37" t="str">
        <f aca="false">IF(AO233&lt;&gt;1,"",IFERROR(ROUND(IF(OR(N233="",O233=""),"",IF(O233&lt;N233,"",ROUND(((NETWORKDAYS(N233,O233,JoursFeries)-1)*(HFer-HOuv)+IF(NETWORKDAYS(O233,O233,JoursFeries),MEDIAN(MOD(O233,1),HFer,HOuv),HFer)-IF(NETWORKDAYS(N233,N233,JoursFeries),MEDIAN(MOD(N233,1),HFer,HOuv),HOuv))*24,4)))/HJour,4),""))</f>
        <v/>
      </c>
      <c r="AU233" s="37" t="str">
        <f aca="false">IF(AO233&lt;&gt;1,"",IF(OR(O233="",P233=""),"",IF(P233&lt;O233,"",ROUND(((NETWORKDAYS(O233,P233,JoursFeries)-1)*(HFer-HOuv)+IF(NETWORKDAYS(P233,P233,JoursFeries),MEDIAN(MOD(P233,1),HFer,HOuv),HFer)-IF(NETWORKDAYS(O233,O233,JoursFeries),MEDIAN(MOD(O233,1),HFer,HOuv),HOuv))*24,4))))</f>
        <v/>
      </c>
      <c r="AV233" s="37" t="str">
        <f aca="false">IF(AO233&lt;&gt;1,"",IF(OR(P233="",Q233=""),"",IF(Q233&lt;P233,"",ROUND(((NETWORKDAYS(P233,Q233,JoursFeries)-1)*(HFer-HOuv)+IF(NETWORKDAYS(Q233,Q233,JoursFeries),MEDIAN(MOD(Q233,1),HFer,HOuv),HFer)-IF(NETWORKDAYS(P233,P233,JoursFeries),MEDIAN(MOD(P233,1),HFer,HOuv),HOuv))*24,4))))</f>
        <v/>
      </c>
      <c r="AW233" s="37" t="str">
        <f aca="false">IF(AO233&lt;&gt;1,"",IFERROR(ROUND(IF(OR(P233="",R233=""),"",IF(R233&lt;P233,"",ROUND(((NETWORKDAYS(P233,R233,JoursFeries)-1)*(HFer-HOuv)+IF(NETWORKDAYS(R233,R233,JoursFeries),MEDIAN(MOD(R233,1),HFer,HOuv),HFer)-IF(NETWORKDAYS(P233,P233,JoursFeries),MEDIAN(MOD(P233,1),HFer,HOuv),HOuv))*24,4)))/HJour,4),""))</f>
        <v/>
      </c>
      <c r="AX233" s="37" t="str">
        <f aca="false">IF(AO233&lt;&gt;1,"",IFERROR(ROUND(IF(OR(P233="",S233=""),"",IF(S233&lt;P233,"",ROUND(((NETWORKDAYS(P233,S233,JoursFeries)-1)*(HFer-HOuv)+IF(NETWORKDAYS(S233,S233,JoursFeries),MEDIAN(MOD(S233,1),HFer,HOuv),HFer)-IF(NETWORKDAYS(P233,P233,JoursFeries),MEDIAN(MOD(P233,1),HFer,HOuv),HOuv))*24,4)))/HJour,4),""))</f>
        <v/>
      </c>
      <c r="AY233" s="36" t="str">
        <f aca="false">IF(OR(AO233&lt;&gt;1,AR233=""),"",INDEX(SLA_PEC,AR233))</f>
        <v/>
      </c>
      <c r="AZ233" s="35" t="str">
        <f aca="false">IF(OR(AV233="",AY233=""),"",IF(AV233&lt;=AY233,1,0))</f>
        <v/>
      </c>
      <c r="BA233" s="36" t="str">
        <f aca="false">IF(OR(AO233&lt;&gt;1,AR233=""),"",INDEX(SLA_RES,AR233))</f>
        <v/>
      </c>
      <c r="BB233" s="35" t="str">
        <f aca="false">IF(OR(AW233="",BA233=""),"",IF(AW233&lt;=BA233,1,0))</f>
        <v/>
      </c>
      <c r="BC233" s="38" t="str">
        <f aca="false">IF(OR(BA233="",P233=""),"",WORKDAY(INT(P233),BA233,JoursFeries)+MOD(P233,1))</f>
        <v/>
      </c>
      <c r="BD233" s="39" t="str">
        <f aca="false">IF(AO233&lt;&gt;1,"",IF(OR(AB233&lt;&gt;"",AD233&lt;&gt;""),4,IF(U233&lt;&gt;"",3,IF(T233&lt;&gt;"",2,1))))</f>
        <v/>
      </c>
      <c r="BE233" s="39" t="str">
        <f aca="false">IF(OR(AO233&lt;&gt;1,AR233=""),"",INDEX(NIV_REQ,AR233))</f>
        <v/>
      </c>
      <c r="BF233" s="39" t="str">
        <f aca="false">IF(BE233="","",MAX(BE233,IF(OR(K233="Oui",Z233="Oui"),4,1)))</f>
        <v/>
      </c>
      <c r="BG233" s="35" t="str">
        <f aca="false">IF(OR(BF233="",BD233=""),"",IF(BD233&gt;=BF233,1,0))</f>
        <v/>
      </c>
      <c r="BH233" s="38" t="str">
        <f aca="false">IF(BE233="","",IF(BE233&lt;2,"",IF(BE233=2,IF(AND(T233="",U233=""),"",MIN(T233,U233)),IF(U233="","",U233))))</f>
        <v/>
      </c>
      <c r="BI233" s="37" t="str">
        <f aca="false">IF(BH233="","",IF(OR(O233="",BH233=""),"",IF(BH233&lt;O233,"",ROUND(((NETWORKDAYS(O233,BH233,JoursFeries)-1)*(HFer-HOuv)+IF(NETWORKDAYS(BH233,BH233,JoursFeries),MEDIAN(MOD(BH233,1),HFer,HOuv),HFer)-IF(NETWORKDAYS(O233,O233,JoursFeries),MEDIAN(MOD(O233,1),HFer,HOuv),HOuv))*24,4))))</f>
        <v/>
      </c>
      <c r="BJ233" s="35" t="str">
        <f aca="false">IF(OR(BI233="",AR233=""),"",IF(BI233&lt;=INDEX(DELAI_ESC,AR233),1,0))</f>
        <v/>
      </c>
      <c r="BK233" s="38" t="str">
        <f aca="false">IF(AO233&lt;&gt;1,"",IF(AND(T233="",U233=""),"",MIN(T233,U233)))</f>
        <v/>
      </c>
      <c r="BL233" s="37" t="str">
        <f aca="false">IF(OR(BK233="",R233=""),"",IFERROR(ROUND(IF(OR(BK233="",R233=""),"",IF(R233&lt;BK233,"",ROUND(((NETWORKDAYS(BK233,R233,JoursFeries)-1)*(HFer-HOuv)+IF(NETWORKDAYS(R233,R233,JoursFeries),MEDIAN(MOD(R233,1),HFer,HOuv),HFer)-IF(NETWORKDAYS(BK233,BK233,JoursFeries),MEDIAN(MOD(BK233,1),HFer,HOuv),HOuv))*24,4)))/HJour,4),""))</f>
        <v/>
      </c>
      <c r="BM233" s="35" t="str">
        <f aca="false">IF(OR(AO233&lt;&gt;1,R233=""),"",IF(BD233=1,1,0))</f>
        <v/>
      </c>
      <c r="BN233" s="35" t="str">
        <f aca="false">IF(AO233&lt;&gt;1,"",IF(W233="Oui",1,0))</f>
        <v/>
      </c>
      <c r="BO233" s="35" t="str">
        <f aca="false">IF(AO233&lt;&gt;1,"",IF(X233&lt;&gt;"",1,0))</f>
        <v/>
      </c>
      <c r="BP233" s="35" t="str">
        <f aca="false">IF(AO233&lt;&gt;1,"",IF(Y233="Oui",1,0))</f>
        <v/>
      </c>
      <c r="BQ233" s="35" t="str">
        <f aca="true">IF(OR(AO233&lt;&gt;1,Z233&lt;&gt;"Oui"),"",IF(AB233="",IF(AND(AA233&lt;&gt;"",NOW()&gt;AA233),0,""),IF(AA233="","",IF(AB233&lt;=AA233,1,0))))</f>
        <v/>
      </c>
      <c r="BR233" s="38" t="str">
        <f aca="false">IF(OR(AO233&lt;&gt;1,K233&lt;&gt;"Oui",O233=""),"",IF(AC233="",O233+DORA_H_DET/24,IF(AC233-O233&lt;=DORA_H_DET/24,MIN(AC233+DORA_H_CLA/24,O233+DORA_H_DET/24),AC233+DORA_H_CLA/24)))</f>
        <v/>
      </c>
      <c r="BS233" s="35" t="str">
        <f aca="true">IF(BR233="","",IF(AD233="",IF(NOW()&gt;BR233,0,""),IF(AD233&lt;=BR233,1,0)))</f>
        <v/>
      </c>
      <c r="BT233" s="35" t="str">
        <f aca="true">IF(OR(BR233="",AD233=""),"",IF(AE233="",IF(NOW()&gt;AD233+DORA_H_INT/24,0,""),IF(AE233&lt;=AD233+DORA_H_INT/24,1,0)))</f>
        <v/>
      </c>
      <c r="BU233" s="35" t="str">
        <f aca="true">IF(OR(BR233="",AE233=""),"",IF(AF233="",IF(NOW()&gt;EDATE(AE233,DORA_M_FIN)+1,0,""),IF(AF233&lt;=EDATE(AE233,DORA_M_FIN),1,0)))</f>
        <v/>
      </c>
      <c r="BV233" s="35" t="str">
        <f aca="false">IF(BR233="","",IF(COUNT(BS233:BU233)=0,"",MIN(BS233:BU233)))</f>
        <v/>
      </c>
      <c r="BW233" s="40" t="str">
        <f aca="false">IF(AQ233&lt;&gt;1,"",IF(AND(AG233="",AH233=""),"",N(AG233)-N(AH233)))</f>
        <v/>
      </c>
      <c r="BX233" s="35" t="str">
        <f aca="true">IF(OR(AQ233&lt;&gt;1,AI233&lt;&gt;"Oui",AJ233=""),"",IF(AK233="",IF(NOW()&gt;AJ233+1,0,""),IF(AK233&lt;=AJ233,1,0)))</f>
        <v/>
      </c>
    </row>
    <row r="234" customFormat="false" ht="15" hidden="false" customHeight="false" outlineLevel="0" collapsed="false">
      <c r="B234" s="29"/>
      <c r="C234" s="29"/>
      <c r="D234" s="29"/>
      <c r="E234" s="29"/>
      <c r="F234" s="29"/>
      <c r="G234" s="29"/>
      <c r="H234" s="29"/>
      <c r="I234" s="29"/>
      <c r="J234" s="29"/>
      <c r="K234" s="29"/>
      <c r="L234" s="29"/>
      <c r="M234" s="29"/>
      <c r="N234" s="30"/>
      <c r="O234" s="30"/>
      <c r="P234" s="30"/>
      <c r="Q234" s="30"/>
      <c r="R234" s="30"/>
      <c r="S234" s="30"/>
      <c r="T234" s="30"/>
      <c r="U234" s="30"/>
      <c r="V234" s="31"/>
      <c r="W234" s="29"/>
      <c r="X234" s="29"/>
      <c r="Y234" s="29"/>
      <c r="Z234" s="29"/>
      <c r="AA234" s="30"/>
      <c r="AB234" s="30"/>
      <c r="AC234" s="30"/>
      <c r="AD234" s="30"/>
      <c r="AE234" s="30"/>
      <c r="AF234" s="32"/>
      <c r="AG234" s="33"/>
      <c r="AH234" s="33"/>
      <c r="AI234" s="29"/>
      <c r="AJ234" s="32"/>
      <c r="AK234" s="32"/>
      <c r="AL234" s="29"/>
      <c r="AN234" s="34" t="str">
        <f aca="false">IF($B234="","",IF(OR(C234="",D234="",E234="",G234="",I234="",J234="",L234="",O234="",P234=""),"Champ obligatoire manquant",IF(OR(AND(N234&lt;&gt;"",N234&gt;O234),O234&gt;P234,AND(Q234&lt;&gt;"",Q234&lt;P234),AND(R234&lt;&gt;"",R234&lt;P234),AND(S234&lt;&gt;"",S234&lt;R234),AND(S234&lt;&gt;"",R234=""),AND(T234&lt;&gt;"",T234&lt;O234),AND(U234&lt;&gt;"",U234&lt;O234)),"Chronologie incohérente",IF(AND(OR(L234="Résolu",L234="Clos"),R234=""),"Date de résolution manquante",IF(AND(L234="Clos",S234=""),"Date de clôture manquante",IF(AND(K234="Oui",AC234=""),"Classification DORA manquante","OK"))))))</f>
        <v/>
      </c>
      <c r="AO234" s="35" t="str">
        <f aca="false">IF($B234="","",IF(AND(C234="Incident",L234&lt;&gt;"Annulé"),1,0))</f>
        <v/>
      </c>
      <c r="AP234" s="35" t="str">
        <f aca="false">IF($B234="","",IF(AND(C234="Quasi-incident",L234&lt;&gt;"Annulé"),1,0))</f>
        <v/>
      </c>
      <c r="AQ234" s="35" t="str">
        <f aca="false">IF($B234="","",AO234+AP234)</f>
        <v/>
      </c>
      <c r="AR234" s="36" t="str">
        <f aca="false">IF(OR($B234="",J234=""),"",IFERROR(VALUE(LEFT(J234,1)),""))</f>
        <v/>
      </c>
      <c r="AS234" s="35" t="str">
        <f aca="false">IF(OR(AO234&lt;&gt;1,G234=""),"",IFERROR(IF(INDEX(L_SrcInterne,MATCH(G234,L_Sources,0))="Oui",1,0),""))</f>
        <v/>
      </c>
      <c r="AT234" s="37" t="str">
        <f aca="false">IF(AO234&lt;&gt;1,"",IFERROR(ROUND(IF(OR(N234="",O234=""),"",IF(O234&lt;N234,"",ROUND(((NETWORKDAYS(N234,O234,JoursFeries)-1)*(HFer-HOuv)+IF(NETWORKDAYS(O234,O234,JoursFeries),MEDIAN(MOD(O234,1),HFer,HOuv),HFer)-IF(NETWORKDAYS(N234,N234,JoursFeries),MEDIAN(MOD(N234,1),HFer,HOuv),HOuv))*24,4)))/HJour,4),""))</f>
        <v/>
      </c>
      <c r="AU234" s="37" t="str">
        <f aca="false">IF(AO234&lt;&gt;1,"",IF(OR(O234="",P234=""),"",IF(P234&lt;O234,"",ROUND(((NETWORKDAYS(O234,P234,JoursFeries)-1)*(HFer-HOuv)+IF(NETWORKDAYS(P234,P234,JoursFeries),MEDIAN(MOD(P234,1),HFer,HOuv),HFer)-IF(NETWORKDAYS(O234,O234,JoursFeries),MEDIAN(MOD(O234,1),HFer,HOuv),HOuv))*24,4))))</f>
        <v/>
      </c>
      <c r="AV234" s="37" t="str">
        <f aca="false">IF(AO234&lt;&gt;1,"",IF(OR(P234="",Q234=""),"",IF(Q234&lt;P234,"",ROUND(((NETWORKDAYS(P234,Q234,JoursFeries)-1)*(HFer-HOuv)+IF(NETWORKDAYS(Q234,Q234,JoursFeries),MEDIAN(MOD(Q234,1),HFer,HOuv),HFer)-IF(NETWORKDAYS(P234,P234,JoursFeries),MEDIAN(MOD(P234,1),HFer,HOuv),HOuv))*24,4))))</f>
        <v/>
      </c>
      <c r="AW234" s="37" t="str">
        <f aca="false">IF(AO234&lt;&gt;1,"",IFERROR(ROUND(IF(OR(P234="",R234=""),"",IF(R234&lt;P234,"",ROUND(((NETWORKDAYS(P234,R234,JoursFeries)-1)*(HFer-HOuv)+IF(NETWORKDAYS(R234,R234,JoursFeries),MEDIAN(MOD(R234,1),HFer,HOuv),HFer)-IF(NETWORKDAYS(P234,P234,JoursFeries),MEDIAN(MOD(P234,1),HFer,HOuv),HOuv))*24,4)))/HJour,4),""))</f>
        <v/>
      </c>
      <c r="AX234" s="37" t="str">
        <f aca="false">IF(AO234&lt;&gt;1,"",IFERROR(ROUND(IF(OR(P234="",S234=""),"",IF(S234&lt;P234,"",ROUND(((NETWORKDAYS(P234,S234,JoursFeries)-1)*(HFer-HOuv)+IF(NETWORKDAYS(S234,S234,JoursFeries),MEDIAN(MOD(S234,1),HFer,HOuv),HFer)-IF(NETWORKDAYS(P234,P234,JoursFeries),MEDIAN(MOD(P234,1),HFer,HOuv),HOuv))*24,4)))/HJour,4),""))</f>
        <v/>
      </c>
      <c r="AY234" s="36" t="str">
        <f aca="false">IF(OR(AO234&lt;&gt;1,AR234=""),"",INDEX(SLA_PEC,AR234))</f>
        <v/>
      </c>
      <c r="AZ234" s="35" t="str">
        <f aca="false">IF(OR(AV234="",AY234=""),"",IF(AV234&lt;=AY234,1,0))</f>
        <v/>
      </c>
      <c r="BA234" s="36" t="str">
        <f aca="false">IF(OR(AO234&lt;&gt;1,AR234=""),"",INDEX(SLA_RES,AR234))</f>
        <v/>
      </c>
      <c r="BB234" s="35" t="str">
        <f aca="false">IF(OR(AW234="",BA234=""),"",IF(AW234&lt;=BA234,1,0))</f>
        <v/>
      </c>
      <c r="BC234" s="38" t="str">
        <f aca="false">IF(OR(BA234="",P234=""),"",WORKDAY(INT(P234),BA234,JoursFeries)+MOD(P234,1))</f>
        <v/>
      </c>
      <c r="BD234" s="39" t="str">
        <f aca="false">IF(AO234&lt;&gt;1,"",IF(OR(AB234&lt;&gt;"",AD234&lt;&gt;""),4,IF(U234&lt;&gt;"",3,IF(T234&lt;&gt;"",2,1))))</f>
        <v/>
      </c>
      <c r="BE234" s="39" t="str">
        <f aca="false">IF(OR(AO234&lt;&gt;1,AR234=""),"",INDEX(NIV_REQ,AR234))</f>
        <v/>
      </c>
      <c r="BF234" s="39" t="str">
        <f aca="false">IF(BE234="","",MAX(BE234,IF(OR(K234="Oui",Z234="Oui"),4,1)))</f>
        <v/>
      </c>
      <c r="BG234" s="35" t="str">
        <f aca="false">IF(OR(BF234="",BD234=""),"",IF(BD234&gt;=BF234,1,0))</f>
        <v/>
      </c>
      <c r="BH234" s="38" t="str">
        <f aca="false">IF(BE234="","",IF(BE234&lt;2,"",IF(BE234=2,IF(AND(T234="",U234=""),"",MIN(T234,U234)),IF(U234="","",U234))))</f>
        <v/>
      </c>
      <c r="BI234" s="37" t="str">
        <f aca="false">IF(BH234="","",IF(OR(O234="",BH234=""),"",IF(BH234&lt;O234,"",ROUND(((NETWORKDAYS(O234,BH234,JoursFeries)-1)*(HFer-HOuv)+IF(NETWORKDAYS(BH234,BH234,JoursFeries),MEDIAN(MOD(BH234,1),HFer,HOuv),HFer)-IF(NETWORKDAYS(O234,O234,JoursFeries),MEDIAN(MOD(O234,1),HFer,HOuv),HOuv))*24,4))))</f>
        <v/>
      </c>
      <c r="BJ234" s="35" t="str">
        <f aca="false">IF(OR(BI234="",AR234=""),"",IF(BI234&lt;=INDEX(DELAI_ESC,AR234),1,0))</f>
        <v/>
      </c>
      <c r="BK234" s="38" t="str">
        <f aca="false">IF(AO234&lt;&gt;1,"",IF(AND(T234="",U234=""),"",MIN(T234,U234)))</f>
        <v/>
      </c>
      <c r="BL234" s="37" t="str">
        <f aca="false">IF(OR(BK234="",R234=""),"",IFERROR(ROUND(IF(OR(BK234="",R234=""),"",IF(R234&lt;BK234,"",ROUND(((NETWORKDAYS(BK234,R234,JoursFeries)-1)*(HFer-HOuv)+IF(NETWORKDAYS(R234,R234,JoursFeries),MEDIAN(MOD(R234,1),HFer,HOuv),HFer)-IF(NETWORKDAYS(BK234,BK234,JoursFeries),MEDIAN(MOD(BK234,1),HFer,HOuv),HOuv))*24,4)))/HJour,4),""))</f>
        <v/>
      </c>
      <c r="BM234" s="35" t="str">
        <f aca="false">IF(OR(AO234&lt;&gt;1,R234=""),"",IF(BD234=1,1,0))</f>
        <v/>
      </c>
      <c r="BN234" s="35" t="str">
        <f aca="false">IF(AO234&lt;&gt;1,"",IF(W234="Oui",1,0))</f>
        <v/>
      </c>
      <c r="BO234" s="35" t="str">
        <f aca="false">IF(AO234&lt;&gt;1,"",IF(X234&lt;&gt;"",1,0))</f>
        <v/>
      </c>
      <c r="BP234" s="35" t="str">
        <f aca="false">IF(AO234&lt;&gt;1,"",IF(Y234="Oui",1,0))</f>
        <v/>
      </c>
      <c r="BQ234" s="35" t="str">
        <f aca="true">IF(OR(AO234&lt;&gt;1,Z234&lt;&gt;"Oui"),"",IF(AB234="",IF(AND(AA234&lt;&gt;"",NOW()&gt;AA234),0,""),IF(AA234="","",IF(AB234&lt;=AA234,1,0))))</f>
        <v/>
      </c>
      <c r="BR234" s="38" t="str">
        <f aca="false">IF(OR(AO234&lt;&gt;1,K234&lt;&gt;"Oui",O234=""),"",IF(AC234="",O234+DORA_H_DET/24,IF(AC234-O234&lt;=DORA_H_DET/24,MIN(AC234+DORA_H_CLA/24,O234+DORA_H_DET/24),AC234+DORA_H_CLA/24)))</f>
        <v/>
      </c>
      <c r="BS234" s="35" t="str">
        <f aca="true">IF(BR234="","",IF(AD234="",IF(NOW()&gt;BR234,0,""),IF(AD234&lt;=BR234,1,0)))</f>
        <v/>
      </c>
      <c r="BT234" s="35" t="str">
        <f aca="true">IF(OR(BR234="",AD234=""),"",IF(AE234="",IF(NOW()&gt;AD234+DORA_H_INT/24,0,""),IF(AE234&lt;=AD234+DORA_H_INT/24,1,0)))</f>
        <v/>
      </c>
      <c r="BU234" s="35" t="str">
        <f aca="true">IF(OR(BR234="",AE234=""),"",IF(AF234="",IF(NOW()&gt;EDATE(AE234,DORA_M_FIN)+1,0,""),IF(AF234&lt;=EDATE(AE234,DORA_M_FIN),1,0)))</f>
        <v/>
      </c>
      <c r="BV234" s="35" t="str">
        <f aca="false">IF(BR234="","",IF(COUNT(BS234:BU234)=0,"",MIN(BS234:BU234)))</f>
        <v/>
      </c>
      <c r="BW234" s="40" t="str">
        <f aca="false">IF(AQ234&lt;&gt;1,"",IF(AND(AG234="",AH234=""),"",N(AG234)-N(AH234)))</f>
        <v/>
      </c>
      <c r="BX234" s="35" t="str">
        <f aca="true">IF(OR(AQ234&lt;&gt;1,AI234&lt;&gt;"Oui",AJ234=""),"",IF(AK234="",IF(NOW()&gt;AJ234+1,0,""),IF(AK234&lt;=AJ234,1,0)))</f>
        <v/>
      </c>
    </row>
    <row r="235" customFormat="false" ht="15" hidden="false" customHeight="false" outlineLevel="0" collapsed="false">
      <c r="B235" s="29"/>
      <c r="C235" s="29"/>
      <c r="D235" s="29"/>
      <c r="E235" s="29"/>
      <c r="F235" s="29"/>
      <c r="G235" s="29"/>
      <c r="H235" s="29"/>
      <c r="I235" s="29"/>
      <c r="J235" s="29"/>
      <c r="K235" s="29"/>
      <c r="L235" s="29"/>
      <c r="M235" s="29"/>
      <c r="N235" s="30"/>
      <c r="O235" s="30"/>
      <c r="P235" s="30"/>
      <c r="Q235" s="30"/>
      <c r="R235" s="30"/>
      <c r="S235" s="30"/>
      <c r="T235" s="30"/>
      <c r="U235" s="30"/>
      <c r="V235" s="31"/>
      <c r="W235" s="29"/>
      <c r="X235" s="29"/>
      <c r="Y235" s="29"/>
      <c r="Z235" s="29"/>
      <c r="AA235" s="30"/>
      <c r="AB235" s="30"/>
      <c r="AC235" s="30"/>
      <c r="AD235" s="30"/>
      <c r="AE235" s="30"/>
      <c r="AF235" s="32"/>
      <c r="AG235" s="33"/>
      <c r="AH235" s="33"/>
      <c r="AI235" s="29"/>
      <c r="AJ235" s="32"/>
      <c r="AK235" s="32"/>
      <c r="AL235" s="29"/>
      <c r="AN235" s="34" t="str">
        <f aca="false">IF($B235="","",IF(OR(C235="",D235="",E235="",G235="",I235="",J235="",L235="",O235="",P235=""),"Champ obligatoire manquant",IF(OR(AND(N235&lt;&gt;"",N235&gt;O235),O235&gt;P235,AND(Q235&lt;&gt;"",Q235&lt;P235),AND(R235&lt;&gt;"",R235&lt;P235),AND(S235&lt;&gt;"",S235&lt;R235),AND(S235&lt;&gt;"",R235=""),AND(T235&lt;&gt;"",T235&lt;O235),AND(U235&lt;&gt;"",U235&lt;O235)),"Chronologie incohérente",IF(AND(OR(L235="Résolu",L235="Clos"),R235=""),"Date de résolution manquante",IF(AND(L235="Clos",S235=""),"Date de clôture manquante",IF(AND(K235="Oui",AC235=""),"Classification DORA manquante","OK"))))))</f>
        <v/>
      </c>
      <c r="AO235" s="35" t="str">
        <f aca="false">IF($B235="","",IF(AND(C235="Incident",L235&lt;&gt;"Annulé"),1,0))</f>
        <v/>
      </c>
      <c r="AP235" s="35" t="str">
        <f aca="false">IF($B235="","",IF(AND(C235="Quasi-incident",L235&lt;&gt;"Annulé"),1,0))</f>
        <v/>
      </c>
      <c r="AQ235" s="35" t="str">
        <f aca="false">IF($B235="","",AO235+AP235)</f>
        <v/>
      </c>
      <c r="AR235" s="36" t="str">
        <f aca="false">IF(OR($B235="",J235=""),"",IFERROR(VALUE(LEFT(J235,1)),""))</f>
        <v/>
      </c>
      <c r="AS235" s="35" t="str">
        <f aca="false">IF(OR(AO235&lt;&gt;1,G235=""),"",IFERROR(IF(INDEX(L_SrcInterne,MATCH(G235,L_Sources,0))="Oui",1,0),""))</f>
        <v/>
      </c>
      <c r="AT235" s="37" t="str">
        <f aca="false">IF(AO235&lt;&gt;1,"",IFERROR(ROUND(IF(OR(N235="",O235=""),"",IF(O235&lt;N235,"",ROUND(((NETWORKDAYS(N235,O235,JoursFeries)-1)*(HFer-HOuv)+IF(NETWORKDAYS(O235,O235,JoursFeries),MEDIAN(MOD(O235,1),HFer,HOuv),HFer)-IF(NETWORKDAYS(N235,N235,JoursFeries),MEDIAN(MOD(N235,1),HFer,HOuv),HOuv))*24,4)))/HJour,4),""))</f>
        <v/>
      </c>
      <c r="AU235" s="37" t="str">
        <f aca="false">IF(AO235&lt;&gt;1,"",IF(OR(O235="",P235=""),"",IF(P235&lt;O235,"",ROUND(((NETWORKDAYS(O235,P235,JoursFeries)-1)*(HFer-HOuv)+IF(NETWORKDAYS(P235,P235,JoursFeries),MEDIAN(MOD(P235,1),HFer,HOuv),HFer)-IF(NETWORKDAYS(O235,O235,JoursFeries),MEDIAN(MOD(O235,1),HFer,HOuv),HOuv))*24,4))))</f>
        <v/>
      </c>
      <c r="AV235" s="37" t="str">
        <f aca="false">IF(AO235&lt;&gt;1,"",IF(OR(P235="",Q235=""),"",IF(Q235&lt;P235,"",ROUND(((NETWORKDAYS(P235,Q235,JoursFeries)-1)*(HFer-HOuv)+IF(NETWORKDAYS(Q235,Q235,JoursFeries),MEDIAN(MOD(Q235,1),HFer,HOuv),HFer)-IF(NETWORKDAYS(P235,P235,JoursFeries),MEDIAN(MOD(P235,1),HFer,HOuv),HOuv))*24,4))))</f>
        <v/>
      </c>
      <c r="AW235" s="37" t="str">
        <f aca="false">IF(AO235&lt;&gt;1,"",IFERROR(ROUND(IF(OR(P235="",R235=""),"",IF(R235&lt;P235,"",ROUND(((NETWORKDAYS(P235,R235,JoursFeries)-1)*(HFer-HOuv)+IF(NETWORKDAYS(R235,R235,JoursFeries),MEDIAN(MOD(R235,1),HFer,HOuv),HFer)-IF(NETWORKDAYS(P235,P235,JoursFeries),MEDIAN(MOD(P235,1),HFer,HOuv),HOuv))*24,4)))/HJour,4),""))</f>
        <v/>
      </c>
      <c r="AX235" s="37" t="str">
        <f aca="false">IF(AO235&lt;&gt;1,"",IFERROR(ROUND(IF(OR(P235="",S235=""),"",IF(S235&lt;P235,"",ROUND(((NETWORKDAYS(P235,S235,JoursFeries)-1)*(HFer-HOuv)+IF(NETWORKDAYS(S235,S235,JoursFeries),MEDIAN(MOD(S235,1),HFer,HOuv),HFer)-IF(NETWORKDAYS(P235,P235,JoursFeries),MEDIAN(MOD(P235,1),HFer,HOuv),HOuv))*24,4)))/HJour,4),""))</f>
        <v/>
      </c>
      <c r="AY235" s="36" t="str">
        <f aca="false">IF(OR(AO235&lt;&gt;1,AR235=""),"",INDEX(SLA_PEC,AR235))</f>
        <v/>
      </c>
      <c r="AZ235" s="35" t="str">
        <f aca="false">IF(OR(AV235="",AY235=""),"",IF(AV235&lt;=AY235,1,0))</f>
        <v/>
      </c>
      <c r="BA235" s="36" t="str">
        <f aca="false">IF(OR(AO235&lt;&gt;1,AR235=""),"",INDEX(SLA_RES,AR235))</f>
        <v/>
      </c>
      <c r="BB235" s="35" t="str">
        <f aca="false">IF(OR(AW235="",BA235=""),"",IF(AW235&lt;=BA235,1,0))</f>
        <v/>
      </c>
      <c r="BC235" s="38" t="str">
        <f aca="false">IF(OR(BA235="",P235=""),"",WORKDAY(INT(P235),BA235,JoursFeries)+MOD(P235,1))</f>
        <v/>
      </c>
      <c r="BD235" s="39" t="str">
        <f aca="false">IF(AO235&lt;&gt;1,"",IF(OR(AB235&lt;&gt;"",AD235&lt;&gt;""),4,IF(U235&lt;&gt;"",3,IF(T235&lt;&gt;"",2,1))))</f>
        <v/>
      </c>
      <c r="BE235" s="39" t="str">
        <f aca="false">IF(OR(AO235&lt;&gt;1,AR235=""),"",INDEX(NIV_REQ,AR235))</f>
        <v/>
      </c>
      <c r="BF235" s="39" t="str">
        <f aca="false">IF(BE235="","",MAX(BE235,IF(OR(K235="Oui",Z235="Oui"),4,1)))</f>
        <v/>
      </c>
      <c r="BG235" s="35" t="str">
        <f aca="false">IF(OR(BF235="",BD235=""),"",IF(BD235&gt;=BF235,1,0))</f>
        <v/>
      </c>
      <c r="BH235" s="38" t="str">
        <f aca="false">IF(BE235="","",IF(BE235&lt;2,"",IF(BE235=2,IF(AND(T235="",U235=""),"",MIN(T235,U235)),IF(U235="","",U235))))</f>
        <v/>
      </c>
      <c r="BI235" s="37" t="str">
        <f aca="false">IF(BH235="","",IF(OR(O235="",BH235=""),"",IF(BH235&lt;O235,"",ROUND(((NETWORKDAYS(O235,BH235,JoursFeries)-1)*(HFer-HOuv)+IF(NETWORKDAYS(BH235,BH235,JoursFeries),MEDIAN(MOD(BH235,1),HFer,HOuv),HFer)-IF(NETWORKDAYS(O235,O235,JoursFeries),MEDIAN(MOD(O235,1),HFer,HOuv),HOuv))*24,4))))</f>
        <v/>
      </c>
      <c r="BJ235" s="35" t="str">
        <f aca="false">IF(OR(BI235="",AR235=""),"",IF(BI235&lt;=INDEX(DELAI_ESC,AR235),1,0))</f>
        <v/>
      </c>
      <c r="BK235" s="38" t="str">
        <f aca="false">IF(AO235&lt;&gt;1,"",IF(AND(T235="",U235=""),"",MIN(T235,U235)))</f>
        <v/>
      </c>
      <c r="BL235" s="37" t="str">
        <f aca="false">IF(OR(BK235="",R235=""),"",IFERROR(ROUND(IF(OR(BK235="",R235=""),"",IF(R235&lt;BK235,"",ROUND(((NETWORKDAYS(BK235,R235,JoursFeries)-1)*(HFer-HOuv)+IF(NETWORKDAYS(R235,R235,JoursFeries),MEDIAN(MOD(R235,1),HFer,HOuv),HFer)-IF(NETWORKDAYS(BK235,BK235,JoursFeries),MEDIAN(MOD(BK235,1),HFer,HOuv),HOuv))*24,4)))/HJour,4),""))</f>
        <v/>
      </c>
      <c r="BM235" s="35" t="str">
        <f aca="false">IF(OR(AO235&lt;&gt;1,R235=""),"",IF(BD235=1,1,0))</f>
        <v/>
      </c>
      <c r="BN235" s="35" t="str">
        <f aca="false">IF(AO235&lt;&gt;1,"",IF(W235="Oui",1,0))</f>
        <v/>
      </c>
      <c r="BO235" s="35" t="str">
        <f aca="false">IF(AO235&lt;&gt;1,"",IF(X235&lt;&gt;"",1,0))</f>
        <v/>
      </c>
      <c r="BP235" s="35" t="str">
        <f aca="false">IF(AO235&lt;&gt;1,"",IF(Y235="Oui",1,0))</f>
        <v/>
      </c>
      <c r="BQ235" s="35" t="str">
        <f aca="true">IF(OR(AO235&lt;&gt;1,Z235&lt;&gt;"Oui"),"",IF(AB235="",IF(AND(AA235&lt;&gt;"",NOW()&gt;AA235),0,""),IF(AA235="","",IF(AB235&lt;=AA235,1,0))))</f>
        <v/>
      </c>
      <c r="BR235" s="38" t="str">
        <f aca="false">IF(OR(AO235&lt;&gt;1,K235&lt;&gt;"Oui",O235=""),"",IF(AC235="",O235+DORA_H_DET/24,IF(AC235-O235&lt;=DORA_H_DET/24,MIN(AC235+DORA_H_CLA/24,O235+DORA_H_DET/24),AC235+DORA_H_CLA/24)))</f>
        <v/>
      </c>
      <c r="BS235" s="35" t="str">
        <f aca="true">IF(BR235="","",IF(AD235="",IF(NOW()&gt;BR235,0,""),IF(AD235&lt;=BR235,1,0)))</f>
        <v/>
      </c>
      <c r="BT235" s="35" t="str">
        <f aca="true">IF(OR(BR235="",AD235=""),"",IF(AE235="",IF(NOW()&gt;AD235+DORA_H_INT/24,0,""),IF(AE235&lt;=AD235+DORA_H_INT/24,1,0)))</f>
        <v/>
      </c>
      <c r="BU235" s="35" t="str">
        <f aca="true">IF(OR(BR235="",AE235=""),"",IF(AF235="",IF(NOW()&gt;EDATE(AE235,DORA_M_FIN)+1,0,""),IF(AF235&lt;=EDATE(AE235,DORA_M_FIN),1,0)))</f>
        <v/>
      </c>
      <c r="BV235" s="35" t="str">
        <f aca="false">IF(BR235="","",IF(COUNT(BS235:BU235)=0,"",MIN(BS235:BU235)))</f>
        <v/>
      </c>
      <c r="BW235" s="40" t="str">
        <f aca="false">IF(AQ235&lt;&gt;1,"",IF(AND(AG235="",AH235=""),"",N(AG235)-N(AH235)))</f>
        <v/>
      </c>
      <c r="BX235" s="35" t="str">
        <f aca="true">IF(OR(AQ235&lt;&gt;1,AI235&lt;&gt;"Oui",AJ235=""),"",IF(AK235="",IF(NOW()&gt;AJ235+1,0,""),IF(AK235&lt;=AJ235,1,0)))</f>
        <v/>
      </c>
    </row>
    <row r="236" customFormat="false" ht="15" hidden="false" customHeight="false" outlineLevel="0" collapsed="false">
      <c r="B236" s="29"/>
      <c r="C236" s="29"/>
      <c r="D236" s="29"/>
      <c r="E236" s="29"/>
      <c r="F236" s="29"/>
      <c r="G236" s="29"/>
      <c r="H236" s="29"/>
      <c r="I236" s="29"/>
      <c r="J236" s="29"/>
      <c r="K236" s="29"/>
      <c r="L236" s="29"/>
      <c r="M236" s="29"/>
      <c r="N236" s="30"/>
      <c r="O236" s="30"/>
      <c r="P236" s="30"/>
      <c r="Q236" s="30"/>
      <c r="R236" s="30"/>
      <c r="S236" s="30"/>
      <c r="T236" s="30"/>
      <c r="U236" s="30"/>
      <c r="V236" s="31"/>
      <c r="W236" s="29"/>
      <c r="X236" s="29"/>
      <c r="Y236" s="29"/>
      <c r="Z236" s="29"/>
      <c r="AA236" s="30"/>
      <c r="AB236" s="30"/>
      <c r="AC236" s="30"/>
      <c r="AD236" s="30"/>
      <c r="AE236" s="30"/>
      <c r="AF236" s="32"/>
      <c r="AG236" s="33"/>
      <c r="AH236" s="33"/>
      <c r="AI236" s="29"/>
      <c r="AJ236" s="32"/>
      <c r="AK236" s="32"/>
      <c r="AL236" s="29"/>
      <c r="AN236" s="34" t="str">
        <f aca="false">IF($B236="","",IF(OR(C236="",D236="",E236="",G236="",I236="",J236="",L236="",O236="",P236=""),"Champ obligatoire manquant",IF(OR(AND(N236&lt;&gt;"",N236&gt;O236),O236&gt;P236,AND(Q236&lt;&gt;"",Q236&lt;P236),AND(R236&lt;&gt;"",R236&lt;P236),AND(S236&lt;&gt;"",S236&lt;R236),AND(S236&lt;&gt;"",R236=""),AND(T236&lt;&gt;"",T236&lt;O236),AND(U236&lt;&gt;"",U236&lt;O236)),"Chronologie incohérente",IF(AND(OR(L236="Résolu",L236="Clos"),R236=""),"Date de résolution manquante",IF(AND(L236="Clos",S236=""),"Date de clôture manquante",IF(AND(K236="Oui",AC236=""),"Classification DORA manquante","OK"))))))</f>
        <v/>
      </c>
      <c r="AO236" s="35" t="str">
        <f aca="false">IF($B236="","",IF(AND(C236="Incident",L236&lt;&gt;"Annulé"),1,0))</f>
        <v/>
      </c>
      <c r="AP236" s="35" t="str">
        <f aca="false">IF($B236="","",IF(AND(C236="Quasi-incident",L236&lt;&gt;"Annulé"),1,0))</f>
        <v/>
      </c>
      <c r="AQ236" s="35" t="str">
        <f aca="false">IF($B236="","",AO236+AP236)</f>
        <v/>
      </c>
      <c r="AR236" s="36" t="str">
        <f aca="false">IF(OR($B236="",J236=""),"",IFERROR(VALUE(LEFT(J236,1)),""))</f>
        <v/>
      </c>
      <c r="AS236" s="35" t="str">
        <f aca="false">IF(OR(AO236&lt;&gt;1,G236=""),"",IFERROR(IF(INDEX(L_SrcInterne,MATCH(G236,L_Sources,0))="Oui",1,0),""))</f>
        <v/>
      </c>
      <c r="AT236" s="37" t="str">
        <f aca="false">IF(AO236&lt;&gt;1,"",IFERROR(ROUND(IF(OR(N236="",O236=""),"",IF(O236&lt;N236,"",ROUND(((NETWORKDAYS(N236,O236,JoursFeries)-1)*(HFer-HOuv)+IF(NETWORKDAYS(O236,O236,JoursFeries),MEDIAN(MOD(O236,1),HFer,HOuv),HFer)-IF(NETWORKDAYS(N236,N236,JoursFeries),MEDIAN(MOD(N236,1),HFer,HOuv),HOuv))*24,4)))/HJour,4),""))</f>
        <v/>
      </c>
      <c r="AU236" s="37" t="str">
        <f aca="false">IF(AO236&lt;&gt;1,"",IF(OR(O236="",P236=""),"",IF(P236&lt;O236,"",ROUND(((NETWORKDAYS(O236,P236,JoursFeries)-1)*(HFer-HOuv)+IF(NETWORKDAYS(P236,P236,JoursFeries),MEDIAN(MOD(P236,1),HFer,HOuv),HFer)-IF(NETWORKDAYS(O236,O236,JoursFeries),MEDIAN(MOD(O236,1),HFer,HOuv),HOuv))*24,4))))</f>
        <v/>
      </c>
      <c r="AV236" s="37" t="str">
        <f aca="false">IF(AO236&lt;&gt;1,"",IF(OR(P236="",Q236=""),"",IF(Q236&lt;P236,"",ROUND(((NETWORKDAYS(P236,Q236,JoursFeries)-1)*(HFer-HOuv)+IF(NETWORKDAYS(Q236,Q236,JoursFeries),MEDIAN(MOD(Q236,1),HFer,HOuv),HFer)-IF(NETWORKDAYS(P236,P236,JoursFeries),MEDIAN(MOD(P236,1),HFer,HOuv),HOuv))*24,4))))</f>
        <v/>
      </c>
      <c r="AW236" s="37" t="str">
        <f aca="false">IF(AO236&lt;&gt;1,"",IFERROR(ROUND(IF(OR(P236="",R236=""),"",IF(R236&lt;P236,"",ROUND(((NETWORKDAYS(P236,R236,JoursFeries)-1)*(HFer-HOuv)+IF(NETWORKDAYS(R236,R236,JoursFeries),MEDIAN(MOD(R236,1),HFer,HOuv),HFer)-IF(NETWORKDAYS(P236,P236,JoursFeries),MEDIAN(MOD(P236,1),HFer,HOuv),HOuv))*24,4)))/HJour,4),""))</f>
        <v/>
      </c>
      <c r="AX236" s="37" t="str">
        <f aca="false">IF(AO236&lt;&gt;1,"",IFERROR(ROUND(IF(OR(P236="",S236=""),"",IF(S236&lt;P236,"",ROUND(((NETWORKDAYS(P236,S236,JoursFeries)-1)*(HFer-HOuv)+IF(NETWORKDAYS(S236,S236,JoursFeries),MEDIAN(MOD(S236,1),HFer,HOuv),HFer)-IF(NETWORKDAYS(P236,P236,JoursFeries),MEDIAN(MOD(P236,1),HFer,HOuv),HOuv))*24,4)))/HJour,4),""))</f>
        <v/>
      </c>
      <c r="AY236" s="36" t="str">
        <f aca="false">IF(OR(AO236&lt;&gt;1,AR236=""),"",INDEX(SLA_PEC,AR236))</f>
        <v/>
      </c>
      <c r="AZ236" s="35" t="str">
        <f aca="false">IF(OR(AV236="",AY236=""),"",IF(AV236&lt;=AY236,1,0))</f>
        <v/>
      </c>
      <c r="BA236" s="36" t="str">
        <f aca="false">IF(OR(AO236&lt;&gt;1,AR236=""),"",INDEX(SLA_RES,AR236))</f>
        <v/>
      </c>
      <c r="BB236" s="35" t="str">
        <f aca="false">IF(OR(AW236="",BA236=""),"",IF(AW236&lt;=BA236,1,0))</f>
        <v/>
      </c>
      <c r="BC236" s="38" t="str">
        <f aca="false">IF(OR(BA236="",P236=""),"",WORKDAY(INT(P236),BA236,JoursFeries)+MOD(P236,1))</f>
        <v/>
      </c>
      <c r="BD236" s="39" t="str">
        <f aca="false">IF(AO236&lt;&gt;1,"",IF(OR(AB236&lt;&gt;"",AD236&lt;&gt;""),4,IF(U236&lt;&gt;"",3,IF(T236&lt;&gt;"",2,1))))</f>
        <v/>
      </c>
      <c r="BE236" s="39" t="str">
        <f aca="false">IF(OR(AO236&lt;&gt;1,AR236=""),"",INDEX(NIV_REQ,AR236))</f>
        <v/>
      </c>
      <c r="BF236" s="39" t="str">
        <f aca="false">IF(BE236="","",MAX(BE236,IF(OR(K236="Oui",Z236="Oui"),4,1)))</f>
        <v/>
      </c>
      <c r="BG236" s="35" t="str">
        <f aca="false">IF(OR(BF236="",BD236=""),"",IF(BD236&gt;=BF236,1,0))</f>
        <v/>
      </c>
      <c r="BH236" s="38" t="str">
        <f aca="false">IF(BE236="","",IF(BE236&lt;2,"",IF(BE236=2,IF(AND(T236="",U236=""),"",MIN(T236,U236)),IF(U236="","",U236))))</f>
        <v/>
      </c>
      <c r="BI236" s="37" t="str">
        <f aca="false">IF(BH236="","",IF(OR(O236="",BH236=""),"",IF(BH236&lt;O236,"",ROUND(((NETWORKDAYS(O236,BH236,JoursFeries)-1)*(HFer-HOuv)+IF(NETWORKDAYS(BH236,BH236,JoursFeries),MEDIAN(MOD(BH236,1),HFer,HOuv),HFer)-IF(NETWORKDAYS(O236,O236,JoursFeries),MEDIAN(MOD(O236,1),HFer,HOuv),HOuv))*24,4))))</f>
        <v/>
      </c>
      <c r="BJ236" s="35" t="str">
        <f aca="false">IF(OR(BI236="",AR236=""),"",IF(BI236&lt;=INDEX(DELAI_ESC,AR236),1,0))</f>
        <v/>
      </c>
      <c r="BK236" s="38" t="str">
        <f aca="false">IF(AO236&lt;&gt;1,"",IF(AND(T236="",U236=""),"",MIN(T236,U236)))</f>
        <v/>
      </c>
      <c r="BL236" s="37" t="str">
        <f aca="false">IF(OR(BK236="",R236=""),"",IFERROR(ROUND(IF(OR(BK236="",R236=""),"",IF(R236&lt;BK236,"",ROUND(((NETWORKDAYS(BK236,R236,JoursFeries)-1)*(HFer-HOuv)+IF(NETWORKDAYS(R236,R236,JoursFeries),MEDIAN(MOD(R236,1),HFer,HOuv),HFer)-IF(NETWORKDAYS(BK236,BK236,JoursFeries),MEDIAN(MOD(BK236,1),HFer,HOuv),HOuv))*24,4)))/HJour,4),""))</f>
        <v/>
      </c>
      <c r="BM236" s="35" t="str">
        <f aca="false">IF(OR(AO236&lt;&gt;1,R236=""),"",IF(BD236=1,1,0))</f>
        <v/>
      </c>
      <c r="BN236" s="35" t="str">
        <f aca="false">IF(AO236&lt;&gt;1,"",IF(W236="Oui",1,0))</f>
        <v/>
      </c>
      <c r="BO236" s="35" t="str">
        <f aca="false">IF(AO236&lt;&gt;1,"",IF(X236&lt;&gt;"",1,0))</f>
        <v/>
      </c>
      <c r="BP236" s="35" t="str">
        <f aca="false">IF(AO236&lt;&gt;1,"",IF(Y236="Oui",1,0))</f>
        <v/>
      </c>
      <c r="BQ236" s="35" t="str">
        <f aca="true">IF(OR(AO236&lt;&gt;1,Z236&lt;&gt;"Oui"),"",IF(AB236="",IF(AND(AA236&lt;&gt;"",NOW()&gt;AA236),0,""),IF(AA236="","",IF(AB236&lt;=AA236,1,0))))</f>
        <v/>
      </c>
      <c r="BR236" s="38" t="str">
        <f aca="false">IF(OR(AO236&lt;&gt;1,K236&lt;&gt;"Oui",O236=""),"",IF(AC236="",O236+DORA_H_DET/24,IF(AC236-O236&lt;=DORA_H_DET/24,MIN(AC236+DORA_H_CLA/24,O236+DORA_H_DET/24),AC236+DORA_H_CLA/24)))</f>
        <v/>
      </c>
      <c r="BS236" s="35" t="str">
        <f aca="true">IF(BR236="","",IF(AD236="",IF(NOW()&gt;BR236,0,""),IF(AD236&lt;=BR236,1,0)))</f>
        <v/>
      </c>
      <c r="BT236" s="35" t="str">
        <f aca="true">IF(OR(BR236="",AD236=""),"",IF(AE236="",IF(NOW()&gt;AD236+DORA_H_INT/24,0,""),IF(AE236&lt;=AD236+DORA_H_INT/24,1,0)))</f>
        <v/>
      </c>
      <c r="BU236" s="35" t="str">
        <f aca="true">IF(OR(BR236="",AE236=""),"",IF(AF236="",IF(NOW()&gt;EDATE(AE236,DORA_M_FIN)+1,0,""),IF(AF236&lt;=EDATE(AE236,DORA_M_FIN),1,0)))</f>
        <v/>
      </c>
      <c r="BV236" s="35" t="str">
        <f aca="false">IF(BR236="","",IF(COUNT(BS236:BU236)=0,"",MIN(BS236:BU236)))</f>
        <v/>
      </c>
      <c r="BW236" s="40" t="str">
        <f aca="false">IF(AQ236&lt;&gt;1,"",IF(AND(AG236="",AH236=""),"",N(AG236)-N(AH236)))</f>
        <v/>
      </c>
      <c r="BX236" s="35" t="str">
        <f aca="true">IF(OR(AQ236&lt;&gt;1,AI236&lt;&gt;"Oui",AJ236=""),"",IF(AK236="",IF(NOW()&gt;AJ236+1,0,""),IF(AK236&lt;=AJ236,1,0)))</f>
        <v/>
      </c>
    </row>
    <row r="237" customFormat="false" ht="15" hidden="false" customHeight="false" outlineLevel="0" collapsed="false">
      <c r="B237" s="29"/>
      <c r="C237" s="29"/>
      <c r="D237" s="29"/>
      <c r="E237" s="29"/>
      <c r="F237" s="29"/>
      <c r="G237" s="29"/>
      <c r="H237" s="29"/>
      <c r="I237" s="29"/>
      <c r="J237" s="29"/>
      <c r="K237" s="29"/>
      <c r="L237" s="29"/>
      <c r="M237" s="29"/>
      <c r="N237" s="30"/>
      <c r="O237" s="30"/>
      <c r="P237" s="30"/>
      <c r="Q237" s="30"/>
      <c r="R237" s="30"/>
      <c r="S237" s="30"/>
      <c r="T237" s="30"/>
      <c r="U237" s="30"/>
      <c r="V237" s="31"/>
      <c r="W237" s="29"/>
      <c r="X237" s="29"/>
      <c r="Y237" s="29"/>
      <c r="Z237" s="29"/>
      <c r="AA237" s="30"/>
      <c r="AB237" s="30"/>
      <c r="AC237" s="30"/>
      <c r="AD237" s="30"/>
      <c r="AE237" s="30"/>
      <c r="AF237" s="32"/>
      <c r="AG237" s="33"/>
      <c r="AH237" s="33"/>
      <c r="AI237" s="29"/>
      <c r="AJ237" s="32"/>
      <c r="AK237" s="32"/>
      <c r="AL237" s="29"/>
      <c r="AN237" s="34" t="str">
        <f aca="false">IF($B237="","",IF(OR(C237="",D237="",E237="",G237="",I237="",J237="",L237="",O237="",P237=""),"Champ obligatoire manquant",IF(OR(AND(N237&lt;&gt;"",N237&gt;O237),O237&gt;P237,AND(Q237&lt;&gt;"",Q237&lt;P237),AND(R237&lt;&gt;"",R237&lt;P237),AND(S237&lt;&gt;"",S237&lt;R237),AND(S237&lt;&gt;"",R237=""),AND(T237&lt;&gt;"",T237&lt;O237),AND(U237&lt;&gt;"",U237&lt;O237)),"Chronologie incohérente",IF(AND(OR(L237="Résolu",L237="Clos"),R237=""),"Date de résolution manquante",IF(AND(L237="Clos",S237=""),"Date de clôture manquante",IF(AND(K237="Oui",AC237=""),"Classification DORA manquante","OK"))))))</f>
        <v/>
      </c>
      <c r="AO237" s="35" t="str">
        <f aca="false">IF($B237="","",IF(AND(C237="Incident",L237&lt;&gt;"Annulé"),1,0))</f>
        <v/>
      </c>
      <c r="AP237" s="35" t="str">
        <f aca="false">IF($B237="","",IF(AND(C237="Quasi-incident",L237&lt;&gt;"Annulé"),1,0))</f>
        <v/>
      </c>
      <c r="AQ237" s="35" t="str">
        <f aca="false">IF($B237="","",AO237+AP237)</f>
        <v/>
      </c>
      <c r="AR237" s="36" t="str">
        <f aca="false">IF(OR($B237="",J237=""),"",IFERROR(VALUE(LEFT(J237,1)),""))</f>
        <v/>
      </c>
      <c r="AS237" s="35" t="str">
        <f aca="false">IF(OR(AO237&lt;&gt;1,G237=""),"",IFERROR(IF(INDEX(L_SrcInterne,MATCH(G237,L_Sources,0))="Oui",1,0),""))</f>
        <v/>
      </c>
      <c r="AT237" s="37" t="str">
        <f aca="false">IF(AO237&lt;&gt;1,"",IFERROR(ROUND(IF(OR(N237="",O237=""),"",IF(O237&lt;N237,"",ROUND(((NETWORKDAYS(N237,O237,JoursFeries)-1)*(HFer-HOuv)+IF(NETWORKDAYS(O237,O237,JoursFeries),MEDIAN(MOD(O237,1),HFer,HOuv),HFer)-IF(NETWORKDAYS(N237,N237,JoursFeries),MEDIAN(MOD(N237,1),HFer,HOuv),HOuv))*24,4)))/HJour,4),""))</f>
        <v/>
      </c>
      <c r="AU237" s="37" t="str">
        <f aca="false">IF(AO237&lt;&gt;1,"",IF(OR(O237="",P237=""),"",IF(P237&lt;O237,"",ROUND(((NETWORKDAYS(O237,P237,JoursFeries)-1)*(HFer-HOuv)+IF(NETWORKDAYS(P237,P237,JoursFeries),MEDIAN(MOD(P237,1),HFer,HOuv),HFer)-IF(NETWORKDAYS(O237,O237,JoursFeries),MEDIAN(MOD(O237,1),HFer,HOuv),HOuv))*24,4))))</f>
        <v/>
      </c>
      <c r="AV237" s="37" t="str">
        <f aca="false">IF(AO237&lt;&gt;1,"",IF(OR(P237="",Q237=""),"",IF(Q237&lt;P237,"",ROUND(((NETWORKDAYS(P237,Q237,JoursFeries)-1)*(HFer-HOuv)+IF(NETWORKDAYS(Q237,Q237,JoursFeries),MEDIAN(MOD(Q237,1),HFer,HOuv),HFer)-IF(NETWORKDAYS(P237,P237,JoursFeries),MEDIAN(MOD(P237,1),HFer,HOuv),HOuv))*24,4))))</f>
        <v/>
      </c>
      <c r="AW237" s="37" t="str">
        <f aca="false">IF(AO237&lt;&gt;1,"",IFERROR(ROUND(IF(OR(P237="",R237=""),"",IF(R237&lt;P237,"",ROUND(((NETWORKDAYS(P237,R237,JoursFeries)-1)*(HFer-HOuv)+IF(NETWORKDAYS(R237,R237,JoursFeries),MEDIAN(MOD(R237,1),HFer,HOuv),HFer)-IF(NETWORKDAYS(P237,P237,JoursFeries),MEDIAN(MOD(P237,1),HFer,HOuv),HOuv))*24,4)))/HJour,4),""))</f>
        <v/>
      </c>
      <c r="AX237" s="37" t="str">
        <f aca="false">IF(AO237&lt;&gt;1,"",IFERROR(ROUND(IF(OR(P237="",S237=""),"",IF(S237&lt;P237,"",ROUND(((NETWORKDAYS(P237,S237,JoursFeries)-1)*(HFer-HOuv)+IF(NETWORKDAYS(S237,S237,JoursFeries),MEDIAN(MOD(S237,1),HFer,HOuv),HFer)-IF(NETWORKDAYS(P237,P237,JoursFeries),MEDIAN(MOD(P237,1),HFer,HOuv),HOuv))*24,4)))/HJour,4),""))</f>
        <v/>
      </c>
      <c r="AY237" s="36" t="str">
        <f aca="false">IF(OR(AO237&lt;&gt;1,AR237=""),"",INDEX(SLA_PEC,AR237))</f>
        <v/>
      </c>
      <c r="AZ237" s="35" t="str">
        <f aca="false">IF(OR(AV237="",AY237=""),"",IF(AV237&lt;=AY237,1,0))</f>
        <v/>
      </c>
      <c r="BA237" s="36" t="str">
        <f aca="false">IF(OR(AO237&lt;&gt;1,AR237=""),"",INDEX(SLA_RES,AR237))</f>
        <v/>
      </c>
      <c r="BB237" s="35" t="str">
        <f aca="false">IF(OR(AW237="",BA237=""),"",IF(AW237&lt;=BA237,1,0))</f>
        <v/>
      </c>
      <c r="BC237" s="38" t="str">
        <f aca="false">IF(OR(BA237="",P237=""),"",WORKDAY(INT(P237),BA237,JoursFeries)+MOD(P237,1))</f>
        <v/>
      </c>
      <c r="BD237" s="39" t="str">
        <f aca="false">IF(AO237&lt;&gt;1,"",IF(OR(AB237&lt;&gt;"",AD237&lt;&gt;""),4,IF(U237&lt;&gt;"",3,IF(T237&lt;&gt;"",2,1))))</f>
        <v/>
      </c>
      <c r="BE237" s="39" t="str">
        <f aca="false">IF(OR(AO237&lt;&gt;1,AR237=""),"",INDEX(NIV_REQ,AR237))</f>
        <v/>
      </c>
      <c r="BF237" s="39" t="str">
        <f aca="false">IF(BE237="","",MAX(BE237,IF(OR(K237="Oui",Z237="Oui"),4,1)))</f>
        <v/>
      </c>
      <c r="BG237" s="35" t="str">
        <f aca="false">IF(OR(BF237="",BD237=""),"",IF(BD237&gt;=BF237,1,0))</f>
        <v/>
      </c>
      <c r="BH237" s="38" t="str">
        <f aca="false">IF(BE237="","",IF(BE237&lt;2,"",IF(BE237=2,IF(AND(T237="",U237=""),"",MIN(T237,U237)),IF(U237="","",U237))))</f>
        <v/>
      </c>
      <c r="BI237" s="37" t="str">
        <f aca="false">IF(BH237="","",IF(OR(O237="",BH237=""),"",IF(BH237&lt;O237,"",ROUND(((NETWORKDAYS(O237,BH237,JoursFeries)-1)*(HFer-HOuv)+IF(NETWORKDAYS(BH237,BH237,JoursFeries),MEDIAN(MOD(BH237,1),HFer,HOuv),HFer)-IF(NETWORKDAYS(O237,O237,JoursFeries),MEDIAN(MOD(O237,1),HFer,HOuv),HOuv))*24,4))))</f>
        <v/>
      </c>
      <c r="BJ237" s="35" t="str">
        <f aca="false">IF(OR(BI237="",AR237=""),"",IF(BI237&lt;=INDEX(DELAI_ESC,AR237),1,0))</f>
        <v/>
      </c>
      <c r="BK237" s="38" t="str">
        <f aca="false">IF(AO237&lt;&gt;1,"",IF(AND(T237="",U237=""),"",MIN(T237,U237)))</f>
        <v/>
      </c>
      <c r="BL237" s="37" t="str">
        <f aca="false">IF(OR(BK237="",R237=""),"",IFERROR(ROUND(IF(OR(BK237="",R237=""),"",IF(R237&lt;BK237,"",ROUND(((NETWORKDAYS(BK237,R237,JoursFeries)-1)*(HFer-HOuv)+IF(NETWORKDAYS(R237,R237,JoursFeries),MEDIAN(MOD(R237,1),HFer,HOuv),HFer)-IF(NETWORKDAYS(BK237,BK237,JoursFeries),MEDIAN(MOD(BK237,1),HFer,HOuv),HOuv))*24,4)))/HJour,4),""))</f>
        <v/>
      </c>
      <c r="BM237" s="35" t="str">
        <f aca="false">IF(OR(AO237&lt;&gt;1,R237=""),"",IF(BD237=1,1,0))</f>
        <v/>
      </c>
      <c r="BN237" s="35" t="str">
        <f aca="false">IF(AO237&lt;&gt;1,"",IF(W237="Oui",1,0))</f>
        <v/>
      </c>
      <c r="BO237" s="35" t="str">
        <f aca="false">IF(AO237&lt;&gt;1,"",IF(X237&lt;&gt;"",1,0))</f>
        <v/>
      </c>
      <c r="BP237" s="35" t="str">
        <f aca="false">IF(AO237&lt;&gt;1,"",IF(Y237="Oui",1,0))</f>
        <v/>
      </c>
      <c r="BQ237" s="35" t="str">
        <f aca="true">IF(OR(AO237&lt;&gt;1,Z237&lt;&gt;"Oui"),"",IF(AB237="",IF(AND(AA237&lt;&gt;"",NOW()&gt;AA237),0,""),IF(AA237="","",IF(AB237&lt;=AA237,1,0))))</f>
        <v/>
      </c>
      <c r="BR237" s="38" t="str">
        <f aca="false">IF(OR(AO237&lt;&gt;1,K237&lt;&gt;"Oui",O237=""),"",IF(AC237="",O237+DORA_H_DET/24,IF(AC237-O237&lt;=DORA_H_DET/24,MIN(AC237+DORA_H_CLA/24,O237+DORA_H_DET/24),AC237+DORA_H_CLA/24)))</f>
        <v/>
      </c>
      <c r="BS237" s="35" t="str">
        <f aca="true">IF(BR237="","",IF(AD237="",IF(NOW()&gt;BR237,0,""),IF(AD237&lt;=BR237,1,0)))</f>
        <v/>
      </c>
      <c r="BT237" s="35" t="str">
        <f aca="true">IF(OR(BR237="",AD237=""),"",IF(AE237="",IF(NOW()&gt;AD237+DORA_H_INT/24,0,""),IF(AE237&lt;=AD237+DORA_H_INT/24,1,0)))</f>
        <v/>
      </c>
      <c r="BU237" s="35" t="str">
        <f aca="true">IF(OR(BR237="",AE237=""),"",IF(AF237="",IF(NOW()&gt;EDATE(AE237,DORA_M_FIN)+1,0,""),IF(AF237&lt;=EDATE(AE237,DORA_M_FIN),1,0)))</f>
        <v/>
      </c>
      <c r="BV237" s="35" t="str">
        <f aca="false">IF(BR237="","",IF(COUNT(BS237:BU237)=0,"",MIN(BS237:BU237)))</f>
        <v/>
      </c>
      <c r="BW237" s="40" t="str">
        <f aca="false">IF(AQ237&lt;&gt;1,"",IF(AND(AG237="",AH237=""),"",N(AG237)-N(AH237)))</f>
        <v/>
      </c>
      <c r="BX237" s="35" t="str">
        <f aca="true">IF(OR(AQ237&lt;&gt;1,AI237&lt;&gt;"Oui",AJ237=""),"",IF(AK237="",IF(NOW()&gt;AJ237+1,0,""),IF(AK237&lt;=AJ237,1,0)))</f>
        <v/>
      </c>
    </row>
    <row r="238" customFormat="false" ht="15" hidden="false" customHeight="false" outlineLevel="0" collapsed="false">
      <c r="B238" s="29"/>
      <c r="C238" s="29"/>
      <c r="D238" s="29"/>
      <c r="E238" s="29"/>
      <c r="F238" s="29"/>
      <c r="G238" s="29"/>
      <c r="H238" s="29"/>
      <c r="I238" s="29"/>
      <c r="J238" s="29"/>
      <c r="K238" s="29"/>
      <c r="L238" s="29"/>
      <c r="M238" s="29"/>
      <c r="N238" s="30"/>
      <c r="O238" s="30"/>
      <c r="P238" s="30"/>
      <c r="Q238" s="30"/>
      <c r="R238" s="30"/>
      <c r="S238" s="30"/>
      <c r="T238" s="30"/>
      <c r="U238" s="30"/>
      <c r="V238" s="31"/>
      <c r="W238" s="29"/>
      <c r="X238" s="29"/>
      <c r="Y238" s="29"/>
      <c r="Z238" s="29"/>
      <c r="AA238" s="30"/>
      <c r="AB238" s="30"/>
      <c r="AC238" s="30"/>
      <c r="AD238" s="30"/>
      <c r="AE238" s="30"/>
      <c r="AF238" s="32"/>
      <c r="AG238" s="33"/>
      <c r="AH238" s="33"/>
      <c r="AI238" s="29"/>
      <c r="AJ238" s="32"/>
      <c r="AK238" s="32"/>
      <c r="AL238" s="29"/>
      <c r="AN238" s="34" t="str">
        <f aca="false">IF($B238="","",IF(OR(C238="",D238="",E238="",G238="",I238="",J238="",L238="",O238="",P238=""),"Champ obligatoire manquant",IF(OR(AND(N238&lt;&gt;"",N238&gt;O238),O238&gt;P238,AND(Q238&lt;&gt;"",Q238&lt;P238),AND(R238&lt;&gt;"",R238&lt;P238),AND(S238&lt;&gt;"",S238&lt;R238),AND(S238&lt;&gt;"",R238=""),AND(T238&lt;&gt;"",T238&lt;O238),AND(U238&lt;&gt;"",U238&lt;O238)),"Chronologie incohérente",IF(AND(OR(L238="Résolu",L238="Clos"),R238=""),"Date de résolution manquante",IF(AND(L238="Clos",S238=""),"Date de clôture manquante",IF(AND(K238="Oui",AC238=""),"Classification DORA manquante","OK"))))))</f>
        <v/>
      </c>
      <c r="AO238" s="35" t="str">
        <f aca="false">IF($B238="","",IF(AND(C238="Incident",L238&lt;&gt;"Annulé"),1,0))</f>
        <v/>
      </c>
      <c r="AP238" s="35" t="str">
        <f aca="false">IF($B238="","",IF(AND(C238="Quasi-incident",L238&lt;&gt;"Annulé"),1,0))</f>
        <v/>
      </c>
      <c r="AQ238" s="35" t="str">
        <f aca="false">IF($B238="","",AO238+AP238)</f>
        <v/>
      </c>
      <c r="AR238" s="36" t="str">
        <f aca="false">IF(OR($B238="",J238=""),"",IFERROR(VALUE(LEFT(J238,1)),""))</f>
        <v/>
      </c>
      <c r="AS238" s="35" t="str">
        <f aca="false">IF(OR(AO238&lt;&gt;1,G238=""),"",IFERROR(IF(INDEX(L_SrcInterne,MATCH(G238,L_Sources,0))="Oui",1,0),""))</f>
        <v/>
      </c>
      <c r="AT238" s="37" t="str">
        <f aca="false">IF(AO238&lt;&gt;1,"",IFERROR(ROUND(IF(OR(N238="",O238=""),"",IF(O238&lt;N238,"",ROUND(((NETWORKDAYS(N238,O238,JoursFeries)-1)*(HFer-HOuv)+IF(NETWORKDAYS(O238,O238,JoursFeries),MEDIAN(MOD(O238,1),HFer,HOuv),HFer)-IF(NETWORKDAYS(N238,N238,JoursFeries),MEDIAN(MOD(N238,1),HFer,HOuv),HOuv))*24,4)))/HJour,4),""))</f>
        <v/>
      </c>
      <c r="AU238" s="37" t="str">
        <f aca="false">IF(AO238&lt;&gt;1,"",IF(OR(O238="",P238=""),"",IF(P238&lt;O238,"",ROUND(((NETWORKDAYS(O238,P238,JoursFeries)-1)*(HFer-HOuv)+IF(NETWORKDAYS(P238,P238,JoursFeries),MEDIAN(MOD(P238,1),HFer,HOuv),HFer)-IF(NETWORKDAYS(O238,O238,JoursFeries),MEDIAN(MOD(O238,1),HFer,HOuv),HOuv))*24,4))))</f>
        <v/>
      </c>
      <c r="AV238" s="37" t="str">
        <f aca="false">IF(AO238&lt;&gt;1,"",IF(OR(P238="",Q238=""),"",IF(Q238&lt;P238,"",ROUND(((NETWORKDAYS(P238,Q238,JoursFeries)-1)*(HFer-HOuv)+IF(NETWORKDAYS(Q238,Q238,JoursFeries),MEDIAN(MOD(Q238,1),HFer,HOuv),HFer)-IF(NETWORKDAYS(P238,P238,JoursFeries),MEDIAN(MOD(P238,1),HFer,HOuv),HOuv))*24,4))))</f>
        <v/>
      </c>
      <c r="AW238" s="37" t="str">
        <f aca="false">IF(AO238&lt;&gt;1,"",IFERROR(ROUND(IF(OR(P238="",R238=""),"",IF(R238&lt;P238,"",ROUND(((NETWORKDAYS(P238,R238,JoursFeries)-1)*(HFer-HOuv)+IF(NETWORKDAYS(R238,R238,JoursFeries),MEDIAN(MOD(R238,1),HFer,HOuv),HFer)-IF(NETWORKDAYS(P238,P238,JoursFeries),MEDIAN(MOD(P238,1),HFer,HOuv),HOuv))*24,4)))/HJour,4),""))</f>
        <v/>
      </c>
      <c r="AX238" s="37" t="str">
        <f aca="false">IF(AO238&lt;&gt;1,"",IFERROR(ROUND(IF(OR(P238="",S238=""),"",IF(S238&lt;P238,"",ROUND(((NETWORKDAYS(P238,S238,JoursFeries)-1)*(HFer-HOuv)+IF(NETWORKDAYS(S238,S238,JoursFeries),MEDIAN(MOD(S238,1),HFer,HOuv),HFer)-IF(NETWORKDAYS(P238,P238,JoursFeries),MEDIAN(MOD(P238,1),HFer,HOuv),HOuv))*24,4)))/HJour,4),""))</f>
        <v/>
      </c>
      <c r="AY238" s="36" t="str">
        <f aca="false">IF(OR(AO238&lt;&gt;1,AR238=""),"",INDEX(SLA_PEC,AR238))</f>
        <v/>
      </c>
      <c r="AZ238" s="35" t="str">
        <f aca="false">IF(OR(AV238="",AY238=""),"",IF(AV238&lt;=AY238,1,0))</f>
        <v/>
      </c>
      <c r="BA238" s="36" t="str">
        <f aca="false">IF(OR(AO238&lt;&gt;1,AR238=""),"",INDEX(SLA_RES,AR238))</f>
        <v/>
      </c>
      <c r="BB238" s="35" t="str">
        <f aca="false">IF(OR(AW238="",BA238=""),"",IF(AW238&lt;=BA238,1,0))</f>
        <v/>
      </c>
      <c r="BC238" s="38" t="str">
        <f aca="false">IF(OR(BA238="",P238=""),"",WORKDAY(INT(P238),BA238,JoursFeries)+MOD(P238,1))</f>
        <v/>
      </c>
      <c r="BD238" s="39" t="str">
        <f aca="false">IF(AO238&lt;&gt;1,"",IF(OR(AB238&lt;&gt;"",AD238&lt;&gt;""),4,IF(U238&lt;&gt;"",3,IF(T238&lt;&gt;"",2,1))))</f>
        <v/>
      </c>
      <c r="BE238" s="39" t="str">
        <f aca="false">IF(OR(AO238&lt;&gt;1,AR238=""),"",INDEX(NIV_REQ,AR238))</f>
        <v/>
      </c>
      <c r="BF238" s="39" t="str">
        <f aca="false">IF(BE238="","",MAX(BE238,IF(OR(K238="Oui",Z238="Oui"),4,1)))</f>
        <v/>
      </c>
      <c r="BG238" s="35" t="str">
        <f aca="false">IF(OR(BF238="",BD238=""),"",IF(BD238&gt;=BF238,1,0))</f>
        <v/>
      </c>
      <c r="BH238" s="38" t="str">
        <f aca="false">IF(BE238="","",IF(BE238&lt;2,"",IF(BE238=2,IF(AND(T238="",U238=""),"",MIN(T238,U238)),IF(U238="","",U238))))</f>
        <v/>
      </c>
      <c r="BI238" s="37" t="str">
        <f aca="false">IF(BH238="","",IF(OR(O238="",BH238=""),"",IF(BH238&lt;O238,"",ROUND(((NETWORKDAYS(O238,BH238,JoursFeries)-1)*(HFer-HOuv)+IF(NETWORKDAYS(BH238,BH238,JoursFeries),MEDIAN(MOD(BH238,1),HFer,HOuv),HFer)-IF(NETWORKDAYS(O238,O238,JoursFeries),MEDIAN(MOD(O238,1),HFer,HOuv),HOuv))*24,4))))</f>
        <v/>
      </c>
      <c r="BJ238" s="35" t="str">
        <f aca="false">IF(OR(BI238="",AR238=""),"",IF(BI238&lt;=INDEX(DELAI_ESC,AR238),1,0))</f>
        <v/>
      </c>
      <c r="BK238" s="38" t="str">
        <f aca="false">IF(AO238&lt;&gt;1,"",IF(AND(T238="",U238=""),"",MIN(T238,U238)))</f>
        <v/>
      </c>
      <c r="BL238" s="37" t="str">
        <f aca="false">IF(OR(BK238="",R238=""),"",IFERROR(ROUND(IF(OR(BK238="",R238=""),"",IF(R238&lt;BK238,"",ROUND(((NETWORKDAYS(BK238,R238,JoursFeries)-1)*(HFer-HOuv)+IF(NETWORKDAYS(R238,R238,JoursFeries),MEDIAN(MOD(R238,1),HFer,HOuv),HFer)-IF(NETWORKDAYS(BK238,BK238,JoursFeries),MEDIAN(MOD(BK238,1),HFer,HOuv),HOuv))*24,4)))/HJour,4),""))</f>
        <v/>
      </c>
      <c r="BM238" s="35" t="str">
        <f aca="false">IF(OR(AO238&lt;&gt;1,R238=""),"",IF(BD238=1,1,0))</f>
        <v/>
      </c>
      <c r="BN238" s="35" t="str">
        <f aca="false">IF(AO238&lt;&gt;1,"",IF(W238="Oui",1,0))</f>
        <v/>
      </c>
      <c r="BO238" s="35" t="str">
        <f aca="false">IF(AO238&lt;&gt;1,"",IF(X238&lt;&gt;"",1,0))</f>
        <v/>
      </c>
      <c r="BP238" s="35" t="str">
        <f aca="false">IF(AO238&lt;&gt;1,"",IF(Y238="Oui",1,0))</f>
        <v/>
      </c>
      <c r="BQ238" s="35" t="str">
        <f aca="true">IF(OR(AO238&lt;&gt;1,Z238&lt;&gt;"Oui"),"",IF(AB238="",IF(AND(AA238&lt;&gt;"",NOW()&gt;AA238),0,""),IF(AA238="","",IF(AB238&lt;=AA238,1,0))))</f>
        <v/>
      </c>
      <c r="BR238" s="38" t="str">
        <f aca="false">IF(OR(AO238&lt;&gt;1,K238&lt;&gt;"Oui",O238=""),"",IF(AC238="",O238+DORA_H_DET/24,IF(AC238-O238&lt;=DORA_H_DET/24,MIN(AC238+DORA_H_CLA/24,O238+DORA_H_DET/24),AC238+DORA_H_CLA/24)))</f>
        <v/>
      </c>
      <c r="BS238" s="35" t="str">
        <f aca="true">IF(BR238="","",IF(AD238="",IF(NOW()&gt;BR238,0,""),IF(AD238&lt;=BR238,1,0)))</f>
        <v/>
      </c>
      <c r="BT238" s="35" t="str">
        <f aca="true">IF(OR(BR238="",AD238=""),"",IF(AE238="",IF(NOW()&gt;AD238+DORA_H_INT/24,0,""),IF(AE238&lt;=AD238+DORA_H_INT/24,1,0)))</f>
        <v/>
      </c>
      <c r="BU238" s="35" t="str">
        <f aca="true">IF(OR(BR238="",AE238=""),"",IF(AF238="",IF(NOW()&gt;EDATE(AE238,DORA_M_FIN)+1,0,""),IF(AF238&lt;=EDATE(AE238,DORA_M_FIN),1,0)))</f>
        <v/>
      </c>
      <c r="BV238" s="35" t="str">
        <f aca="false">IF(BR238="","",IF(COUNT(BS238:BU238)=0,"",MIN(BS238:BU238)))</f>
        <v/>
      </c>
      <c r="BW238" s="40" t="str">
        <f aca="false">IF(AQ238&lt;&gt;1,"",IF(AND(AG238="",AH238=""),"",N(AG238)-N(AH238)))</f>
        <v/>
      </c>
      <c r="BX238" s="35" t="str">
        <f aca="true">IF(OR(AQ238&lt;&gt;1,AI238&lt;&gt;"Oui",AJ238=""),"",IF(AK238="",IF(NOW()&gt;AJ238+1,0,""),IF(AK238&lt;=AJ238,1,0)))</f>
        <v/>
      </c>
    </row>
    <row r="239" customFormat="false" ht="15" hidden="false" customHeight="false" outlineLevel="0" collapsed="false">
      <c r="B239" s="29"/>
      <c r="C239" s="29"/>
      <c r="D239" s="29"/>
      <c r="E239" s="29"/>
      <c r="F239" s="29"/>
      <c r="G239" s="29"/>
      <c r="H239" s="29"/>
      <c r="I239" s="29"/>
      <c r="J239" s="29"/>
      <c r="K239" s="29"/>
      <c r="L239" s="29"/>
      <c r="M239" s="29"/>
      <c r="N239" s="30"/>
      <c r="O239" s="30"/>
      <c r="P239" s="30"/>
      <c r="Q239" s="30"/>
      <c r="R239" s="30"/>
      <c r="S239" s="30"/>
      <c r="T239" s="30"/>
      <c r="U239" s="30"/>
      <c r="V239" s="31"/>
      <c r="W239" s="29"/>
      <c r="X239" s="29"/>
      <c r="Y239" s="29"/>
      <c r="Z239" s="29"/>
      <c r="AA239" s="30"/>
      <c r="AB239" s="30"/>
      <c r="AC239" s="30"/>
      <c r="AD239" s="30"/>
      <c r="AE239" s="30"/>
      <c r="AF239" s="32"/>
      <c r="AG239" s="33"/>
      <c r="AH239" s="33"/>
      <c r="AI239" s="29"/>
      <c r="AJ239" s="32"/>
      <c r="AK239" s="32"/>
      <c r="AL239" s="29"/>
      <c r="AN239" s="34" t="str">
        <f aca="false">IF($B239="","",IF(OR(C239="",D239="",E239="",G239="",I239="",J239="",L239="",O239="",P239=""),"Champ obligatoire manquant",IF(OR(AND(N239&lt;&gt;"",N239&gt;O239),O239&gt;P239,AND(Q239&lt;&gt;"",Q239&lt;P239),AND(R239&lt;&gt;"",R239&lt;P239),AND(S239&lt;&gt;"",S239&lt;R239),AND(S239&lt;&gt;"",R239=""),AND(T239&lt;&gt;"",T239&lt;O239),AND(U239&lt;&gt;"",U239&lt;O239)),"Chronologie incohérente",IF(AND(OR(L239="Résolu",L239="Clos"),R239=""),"Date de résolution manquante",IF(AND(L239="Clos",S239=""),"Date de clôture manquante",IF(AND(K239="Oui",AC239=""),"Classification DORA manquante","OK"))))))</f>
        <v/>
      </c>
      <c r="AO239" s="35" t="str">
        <f aca="false">IF($B239="","",IF(AND(C239="Incident",L239&lt;&gt;"Annulé"),1,0))</f>
        <v/>
      </c>
      <c r="AP239" s="35" t="str">
        <f aca="false">IF($B239="","",IF(AND(C239="Quasi-incident",L239&lt;&gt;"Annulé"),1,0))</f>
        <v/>
      </c>
      <c r="AQ239" s="35" t="str">
        <f aca="false">IF($B239="","",AO239+AP239)</f>
        <v/>
      </c>
      <c r="AR239" s="36" t="str">
        <f aca="false">IF(OR($B239="",J239=""),"",IFERROR(VALUE(LEFT(J239,1)),""))</f>
        <v/>
      </c>
      <c r="AS239" s="35" t="str">
        <f aca="false">IF(OR(AO239&lt;&gt;1,G239=""),"",IFERROR(IF(INDEX(L_SrcInterne,MATCH(G239,L_Sources,0))="Oui",1,0),""))</f>
        <v/>
      </c>
      <c r="AT239" s="37" t="str">
        <f aca="false">IF(AO239&lt;&gt;1,"",IFERROR(ROUND(IF(OR(N239="",O239=""),"",IF(O239&lt;N239,"",ROUND(((NETWORKDAYS(N239,O239,JoursFeries)-1)*(HFer-HOuv)+IF(NETWORKDAYS(O239,O239,JoursFeries),MEDIAN(MOD(O239,1),HFer,HOuv),HFer)-IF(NETWORKDAYS(N239,N239,JoursFeries),MEDIAN(MOD(N239,1),HFer,HOuv),HOuv))*24,4)))/HJour,4),""))</f>
        <v/>
      </c>
      <c r="AU239" s="37" t="str">
        <f aca="false">IF(AO239&lt;&gt;1,"",IF(OR(O239="",P239=""),"",IF(P239&lt;O239,"",ROUND(((NETWORKDAYS(O239,P239,JoursFeries)-1)*(HFer-HOuv)+IF(NETWORKDAYS(P239,P239,JoursFeries),MEDIAN(MOD(P239,1),HFer,HOuv),HFer)-IF(NETWORKDAYS(O239,O239,JoursFeries),MEDIAN(MOD(O239,1),HFer,HOuv),HOuv))*24,4))))</f>
        <v/>
      </c>
      <c r="AV239" s="37" t="str">
        <f aca="false">IF(AO239&lt;&gt;1,"",IF(OR(P239="",Q239=""),"",IF(Q239&lt;P239,"",ROUND(((NETWORKDAYS(P239,Q239,JoursFeries)-1)*(HFer-HOuv)+IF(NETWORKDAYS(Q239,Q239,JoursFeries),MEDIAN(MOD(Q239,1),HFer,HOuv),HFer)-IF(NETWORKDAYS(P239,P239,JoursFeries),MEDIAN(MOD(P239,1),HFer,HOuv),HOuv))*24,4))))</f>
        <v/>
      </c>
      <c r="AW239" s="37" t="str">
        <f aca="false">IF(AO239&lt;&gt;1,"",IFERROR(ROUND(IF(OR(P239="",R239=""),"",IF(R239&lt;P239,"",ROUND(((NETWORKDAYS(P239,R239,JoursFeries)-1)*(HFer-HOuv)+IF(NETWORKDAYS(R239,R239,JoursFeries),MEDIAN(MOD(R239,1),HFer,HOuv),HFer)-IF(NETWORKDAYS(P239,P239,JoursFeries),MEDIAN(MOD(P239,1),HFer,HOuv),HOuv))*24,4)))/HJour,4),""))</f>
        <v/>
      </c>
      <c r="AX239" s="37" t="str">
        <f aca="false">IF(AO239&lt;&gt;1,"",IFERROR(ROUND(IF(OR(P239="",S239=""),"",IF(S239&lt;P239,"",ROUND(((NETWORKDAYS(P239,S239,JoursFeries)-1)*(HFer-HOuv)+IF(NETWORKDAYS(S239,S239,JoursFeries),MEDIAN(MOD(S239,1),HFer,HOuv),HFer)-IF(NETWORKDAYS(P239,P239,JoursFeries),MEDIAN(MOD(P239,1),HFer,HOuv),HOuv))*24,4)))/HJour,4),""))</f>
        <v/>
      </c>
      <c r="AY239" s="36" t="str">
        <f aca="false">IF(OR(AO239&lt;&gt;1,AR239=""),"",INDEX(SLA_PEC,AR239))</f>
        <v/>
      </c>
      <c r="AZ239" s="35" t="str">
        <f aca="false">IF(OR(AV239="",AY239=""),"",IF(AV239&lt;=AY239,1,0))</f>
        <v/>
      </c>
      <c r="BA239" s="36" t="str">
        <f aca="false">IF(OR(AO239&lt;&gt;1,AR239=""),"",INDEX(SLA_RES,AR239))</f>
        <v/>
      </c>
      <c r="BB239" s="35" t="str">
        <f aca="false">IF(OR(AW239="",BA239=""),"",IF(AW239&lt;=BA239,1,0))</f>
        <v/>
      </c>
      <c r="BC239" s="38" t="str">
        <f aca="false">IF(OR(BA239="",P239=""),"",WORKDAY(INT(P239),BA239,JoursFeries)+MOD(P239,1))</f>
        <v/>
      </c>
      <c r="BD239" s="39" t="str">
        <f aca="false">IF(AO239&lt;&gt;1,"",IF(OR(AB239&lt;&gt;"",AD239&lt;&gt;""),4,IF(U239&lt;&gt;"",3,IF(T239&lt;&gt;"",2,1))))</f>
        <v/>
      </c>
      <c r="BE239" s="39" t="str">
        <f aca="false">IF(OR(AO239&lt;&gt;1,AR239=""),"",INDEX(NIV_REQ,AR239))</f>
        <v/>
      </c>
      <c r="BF239" s="39" t="str">
        <f aca="false">IF(BE239="","",MAX(BE239,IF(OR(K239="Oui",Z239="Oui"),4,1)))</f>
        <v/>
      </c>
      <c r="BG239" s="35" t="str">
        <f aca="false">IF(OR(BF239="",BD239=""),"",IF(BD239&gt;=BF239,1,0))</f>
        <v/>
      </c>
      <c r="BH239" s="38" t="str">
        <f aca="false">IF(BE239="","",IF(BE239&lt;2,"",IF(BE239=2,IF(AND(T239="",U239=""),"",MIN(T239,U239)),IF(U239="","",U239))))</f>
        <v/>
      </c>
      <c r="BI239" s="37" t="str">
        <f aca="false">IF(BH239="","",IF(OR(O239="",BH239=""),"",IF(BH239&lt;O239,"",ROUND(((NETWORKDAYS(O239,BH239,JoursFeries)-1)*(HFer-HOuv)+IF(NETWORKDAYS(BH239,BH239,JoursFeries),MEDIAN(MOD(BH239,1),HFer,HOuv),HFer)-IF(NETWORKDAYS(O239,O239,JoursFeries),MEDIAN(MOD(O239,1),HFer,HOuv),HOuv))*24,4))))</f>
        <v/>
      </c>
      <c r="BJ239" s="35" t="str">
        <f aca="false">IF(OR(BI239="",AR239=""),"",IF(BI239&lt;=INDEX(DELAI_ESC,AR239),1,0))</f>
        <v/>
      </c>
      <c r="BK239" s="38" t="str">
        <f aca="false">IF(AO239&lt;&gt;1,"",IF(AND(T239="",U239=""),"",MIN(T239,U239)))</f>
        <v/>
      </c>
      <c r="BL239" s="37" t="str">
        <f aca="false">IF(OR(BK239="",R239=""),"",IFERROR(ROUND(IF(OR(BK239="",R239=""),"",IF(R239&lt;BK239,"",ROUND(((NETWORKDAYS(BK239,R239,JoursFeries)-1)*(HFer-HOuv)+IF(NETWORKDAYS(R239,R239,JoursFeries),MEDIAN(MOD(R239,1),HFer,HOuv),HFer)-IF(NETWORKDAYS(BK239,BK239,JoursFeries),MEDIAN(MOD(BK239,1),HFer,HOuv),HOuv))*24,4)))/HJour,4),""))</f>
        <v/>
      </c>
      <c r="BM239" s="35" t="str">
        <f aca="false">IF(OR(AO239&lt;&gt;1,R239=""),"",IF(BD239=1,1,0))</f>
        <v/>
      </c>
      <c r="BN239" s="35" t="str">
        <f aca="false">IF(AO239&lt;&gt;1,"",IF(W239="Oui",1,0))</f>
        <v/>
      </c>
      <c r="BO239" s="35" t="str">
        <f aca="false">IF(AO239&lt;&gt;1,"",IF(X239&lt;&gt;"",1,0))</f>
        <v/>
      </c>
      <c r="BP239" s="35" t="str">
        <f aca="false">IF(AO239&lt;&gt;1,"",IF(Y239="Oui",1,0))</f>
        <v/>
      </c>
      <c r="BQ239" s="35" t="str">
        <f aca="true">IF(OR(AO239&lt;&gt;1,Z239&lt;&gt;"Oui"),"",IF(AB239="",IF(AND(AA239&lt;&gt;"",NOW()&gt;AA239),0,""),IF(AA239="","",IF(AB239&lt;=AA239,1,0))))</f>
        <v/>
      </c>
      <c r="BR239" s="38" t="str">
        <f aca="false">IF(OR(AO239&lt;&gt;1,K239&lt;&gt;"Oui",O239=""),"",IF(AC239="",O239+DORA_H_DET/24,IF(AC239-O239&lt;=DORA_H_DET/24,MIN(AC239+DORA_H_CLA/24,O239+DORA_H_DET/24),AC239+DORA_H_CLA/24)))</f>
        <v/>
      </c>
      <c r="BS239" s="35" t="str">
        <f aca="true">IF(BR239="","",IF(AD239="",IF(NOW()&gt;BR239,0,""),IF(AD239&lt;=BR239,1,0)))</f>
        <v/>
      </c>
      <c r="BT239" s="35" t="str">
        <f aca="true">IF(OR(BR239="",AD239=""),"",IF(AE239="",IF(NOW()&gt;AD239+DORA_H_INT/24,0,""),IF(AE239&lt;=AD239+DORA_H_INT/24,1,0)))</f>
        <v/>
      </c>
      <c r="BU239" s="35" t="str">
        <f aca="true">IF(OR(BR239="",AE239=""),"",IF(AF239="",IF(NOW()&gt;EDATE(AE239,DORA_M_FIN)+1,0,""),IF(AF239&lt;=EDATE(AE239,DORA_M_FIN),1,0)))</f>
        <v/>
      </c>
      <c r="BV239" s="35" t="str">
        <f aca="false">IF(BR239="","",IF(COUNT(BS239:BU239)=0,"",MIN(BS239:BU239)))</f>
        <v/>
      </c>
      <c r="BW239" s="40" t="str">
        <f aca="false">IF(AQ239&lt;&gt;1,"",IF(AND(AG239="",AH239=""),"",N(AG239)-N(AH239)))</f>
        <v/>
      </c>
      <c r="BX239" s="35" t="str">
        <f aca="true">IF(OR(AQ239&lt;&gt;1,AI239&lt;&gt;"Oui",AJ239=""),"",IF(AK239="",IF(NOW()&gt;AJ239+1,0,""),IF(AK239&lt;=AJ239,1,0)))</f>
        <v/>
      </c>
    </row>
    <row r="240" customFormat="false" ht="15" hidden="false" customHeight="false" outlineLevel="0" collapsed="false">
      <c r="B240" s="29"/>
      <c r="C240" s="29"/>
      <c r="D240" s="29"/>
      <c r="E240" s="29"/>
      <c r="F240" s="29"/>
      <c r="G240" s="29"/>
      <c r="H240" s="29"/>
      <c r="I240" s="29"/>
      <c r="J240" s="29"/>
      <c r="K240" s="29"/>
      <c r="L240" s="29"/>
      <c r="M240" s="29"/>
      <c r="N240" s="30"/>
      <c r="O240" s="30"/>
      <c r="P240" s="30"/>
      <c r="Q240" s="30"/>
      <c r="R240" s="30"/>
      <c r="S240" s="30"/>
      <c r="T240" s="30"/>
      <c r="U240" s="30"/>
      <c r="V240" s="31"/>
      <c r="W240" s="29"/>
      <c r="X240" s="29"/>
      <c r="Y240" s="29"/>
      <c r="Z240" s="29"/>
      <c r="AA240" s="30"/>
      <c r="AB240" s="30"/>
      <c r="AC240" s="30"/>
      <c r="AD240" s="30"/>
      <c r="AE240" s="30"/>
      <c r="AF240" s="32"/>
      <c r="AG240" s="33"/>
      <c r="AH240" s="33"/>
      <c r="AI240" s="29"/>
      <c r="AJ240" s="32"/>
      <c r="AK240" s="32"/>
      <c r="AL240" s="29"/>
      <c r="AN240" s="34" t="str">
        <f aca="false">IF($B240="","",IF(OR(C240="",D240="",E240="",G240="",I240="",J240="",L240="",O240="",P240=""),"Champ obligatoire manquant",IF(OR(AND(N240&lt;&gt;"",N240&gt;O240),O240&gt;P240,AND(Q240&lt;&gt;"",Q240&lt;P240),AND(R240&lt;&gt;"",R240&lt;P240),AND(S240&lt;&gt;"",S240&lt;R240),AND(S240&lt;&gt;"",R240=""),AND(T240&lt;&gt;"",T240&lt;O240),AND(U240&lt;&gt;"",U240&lt;O240)),"Chronologie incohérente",IF(AND(OR(L240="Résolu",L240="Clos"),R240=""),"Date de résolution manquante",IF(AND(L240="Clos",S240=""),"Date de clôture manquante",IF(AND(K240="Oui",AC240=""),"Classification DORA manquante","OK"))))))</f>
        <v/>
      </c>
      <c r="AO240" s="35" t="str">
        <f aca="false">IF($B240="","",IF(AND(C240="Incident",L240&lt;&gt;"Annulé"),1,0))</f>
        <v/>
      </c>
      <c r="AP240" s="35" t="str">
        <f aca="false">IF($B240="","",IF(AND(C240="Quasi-incident",L240&lt;&gt;"Annulé"),1,0))</f>
        <v/>
      </c>
      <c r="AQ240" s="35" t="str">
        <f aca="false">IF($B240="","",AO240+AP240)</f>
        <v/>
      </c>
      <c r="AR240" s="36" t="str">
        <f aca="false">IF(OR($B240="",J240=""),"",IFERROR(VALUE(LEFT(J240,1)),""))</f>
        <v/>
      </c>
      <c r="AS240" s="35" t="str">
        <f aca="false">IF(OR(AO240&lt;&gt;1,G240=""),"",IFERROR(IF(INDEX(L_SrcInterne,MATCH(G240,L_Sources,0))="Oui",1,0),""))</f>
        <v/>
      </c>
      <c r="AT240" s="37" t="str">
        <f aca="false">IF(AO240&lt;&gt;1,"",IFERROR(ROUND(IF(OR(N240="",O240=""),"",IF(O240&lt;N240,"",ROUND(((NETWORKDAYS(N240,O240,JoursFeries)-1)*(HFer-HOuv)+IF(NETWORKDAYS(O240,O240,JoursFeries),MEDIAN(MOD(O240,1),HFer,HOuv),HFer)-IF(NETWORKDAYS(N240,N240,JoursFeries),MEDIAN(MOD(N240,1),HFer,HOuv),HOuv))*24,4)))/HJour,4),""))</f>
        <v/>
      </c>
      <c r="AU240" s="37" t="str">
        <f aca="false">IF(AO240&lt;&gt;1,"",IF(OR(O240="",P240=""),"",IF(P240&lt;O240,"",ROUND(((NETWORKDAYS(O240,P240,JoursFeries)-1)*(HFer-HOuv)+IF(NETWORKDAYS(P240,P240,JoursFeries),MEDIAN(MOD(P240,1),HFer,HOuv),HFer)-IF(NETWORKDAYS(O240,O240,JoursFeries),MEDIAN(MOD(O240,1),HFer,HOuv),HOuv))*24,4))))</f>
        <v/>
      </c>
      <c r="AV240" s="37" t="str">
        <f aca="false">IF(AO240&lt;&gt;1,"",IF(OR(P240="",Q240=""),"",IF(Q240&lt;P240,"",ROUND(((NETWORKDAYS(P240,Q240,JoursFeries)-1)*(HFer-HOuv)+IF(NETWORKDAYS(Q240,Q240,JoursFeries),MEDIAN(MOD(Q240,1),HFer,HOuv),HFer)-IF(NETWORKDAYS(P240,P240,JoursFeries),MEDIAN(MOD(P240,1),HFer,HOuv),HOuv))*24,4))))</f>
        <v/>
      </c>
      <c r="AW240" s="37" t="str">
        <f aca="false">IF(AO240&lt;&gt;1,"",IFERROR(ROUND(IF(OR(P240="",R240=""),"",IF(R240&lt;P240,"",ROUND(((NETWORKDAYS(P240,R240,JoursFeries)-1)*(HFer-HOuv)+IF(NETWORKDAYS(R240,R240,JoursFeries),MEDIAN(MOD(R240,1),HFer,HOuv),HFer)-IF(NETWORKDAYS(P240,P240,JoursFeries),MEDIAN(MOD(P240,1),HFer,HOuv),HOuv))*24,4)))/HJour,4),""))</f>
        <v/>
      </c>
      <c r="AX240" s="37" t="str">
        <f aca="false">IF(AO240&lt;&gt;1,"",IFERROR(ROUND(IF(OR(P240="",S240=""),"",IF(S240&lt;P240,"",ROUND(((NETWORKDAYS(P240,S240,JoursFeries)-1)*(HFer-HOuv)+IF(NETWORKDAYS(S240,S240,JoursFeries),MEDIAN(MOD(S240,1),HFer,HOuv),HFer)-IF(NETWORKDAYS(P240,P240,JoursFeries),MEDIAN(MOD(P240,1),HFer,HOuv),HOuv))*24,4)))/HJour,4),""))</f>
        <v/>
      </c>
      <c r="AY240" s="36" t="str">
        <f aca="false">IF(OR(AO240&lt;&gt;1,AR240=""),"",INDEX(SLA_PEC,AR240))</f>
        <v/>
      </c>
      <c r="AZ240" s="35" t="str">
        <f aca="false">IF(OR(AV240="",AY240=""),"",IF(AV240&lt;=AY240,1,0))</f>
        <v/>
      </c>
      <c r="BA240" s="36" t="str">
        <f aca="false">IF(OR(AO240&lt;&gt;1,AR240=""),"",INDEX(SLA_RES,AR240))</f>
        <v/>
      </c>
      <c r="BB240" s="35" t="str">
        <f aca="false">IF(OR(AW240="",BA240=""),"",IF(AW240&lt;=BA240,1,0))</f>
        <v/>
      </c>
      <c r="BC240" s="38" t="str">
        <f aca="false">IF(OR(BA240="",P240=""),"",WORKDAY(INT(P240),BA240,JoursFeries)+MOD(P240,1))</f>
        <v/>
      </c>
      <c r="BD240" s="39" t="str">
        <f aca="false">IF(AO240&lt;&gt;1,"",IF(OR(AB240&lt;&gt;"",AD240&lt;&gt;""),4,IF(U240&lt;&gt;"",3,IF(T240&lt;&gt;"",2,1))))</f>
        <v/>
      </c>
      <c r="BE240" s="39" t="str">
        <f aca="false">IF(OR(AO240&lt;&gt;1,AR240=""),"",INDEX(NIV_REQ,AR240))</f>
        <v/>
      </c>
      <c r="BF240" s="39" t="str">
        <f aca="false">IF(BE240="","",MAX(BE240,IF(OR(K240="Oui",Z240="Oui"),4,1)))</f>
        <v/>
      </c>
      <c r="BG240" s="35" t="str">
        <f aca="false">IF(OR(BF240="",BD240=""),"",IF(BD240&gt;=BF240,1,0))</f>
        <v/>
      </c>
      <c r="BH240" s="38" t="str">
        <f aca="false">IF(BE240="","",IF(BE240&lt;2,"",IF(BE240=2,IF(AND(T240="",U240=""),"",MIN(T240,U240)),IF(U240="","",U240))))</f>
        <v/>
      </c>
      <c r="BI240" s="37" t="str">
        <f aca="false">IF(BH240="","",IF(OR(O240="",BH240=""),"",IF(BH240&lt;O240,"",ROUND(((NETWORKDAYS(O240,BH240,JoursFeries)-1)*(HFer-HOuv)+IF(NETWORKDAYS(BH240,BH240,JoursFeries),MEDIAN(MOD(BH240,1),HFer,HOuv),HFer)-IF(NETWORKDAYS(O240,O240,JoursFeries),MEDIAN(MOD(O240,1),HFer,HOuv),HOuv))*24,4))))</f>
        <v/>
      </c>
      <c r="BJ240" s="35" t="str">
        <f aca="false">IF(OR(BI240="",AR240=""),"",IF(BI240&lt;=INDEX(DELAI_ESC,AR240),1,0))</f>
        <v/>
      </c>
      <c r="BK240" s="38" t="str">
        <f aca="false">IF(AO240&lt;&gt;1,"",IF(AND(T240="",U240=""),"",MIN(T240,U240)))</f>
        <v/>
      </c>
      <c r="BL240" s="37" t="str">
        <f aca="false">IF(OR(BK240="",R240=""),"",IFERROR(ROUND(IF(OR(BK240="",R240=""),"",IF(R240&lt;BK240,"",ROUND(((NETWORKDAYS(BK240,R240,JoursFeries)-1)*(HFer-HOuv)+IF(NETWORKDAYS(R240,R240,JoursFeries),MEDIAN(MOD(R240,1),HFer,HOuv),HFer)-IF(NETWORKDAYS(BK240,BK240,JoursFeries),MEDIAN(MOD(BK240,1),HFer,HOuv),HOuv))*24,4)))/HJour,4),""))</f>
        <v/>
      </c>
      <c r="BM240" s="35" t="str">
        <f aca="false">IF(OR(AO240&lt;&gt;1,R240=""),"",IF(BD240=1,1,0))</f>
        <v/>
      </c>
      <c r="BN240" s="35" t="str">
        <f aca="false">IF(AO240&lt;&gt;1,"",IF(W240="Oui",1,0))</f>
        <v/>
      </c>
      <c r="BO240" s="35" t="str">
        <f aca="false">IF(AO240&lt;&gt;1,"",IF(X240&lt;&gt;"",1,0))</f>
        <v/>
      </c>
      <c r="BP240" s="35" t="str">
        <f aca="false">IF(AO240&lt;&gt;1,"",IF(Y240="Oui",1,0))</f>
        <v/>
      </c>
      <c r="BQ240" s="35" t="str">
        <f aca="true">IF(OR(AO240&lt;&gt;1,Z240&lt;&gt;"Oui"),"",IF(AB240="",IF(AND(AA240&lt;&gt;"",NOW()&gt;AA240),0,""),IF(AA240="","",IF(AB240&lt;=AA240,1,0))))</f>
        <v/>
      </c>
      <c r="BR240" s="38" t="str">
        <f aca="false">IF(OR(AO240&lt;&gt;1,K240&lt;&gt;"Oui",O240=""),"",IF(AC240="",O240+DORA_H_DET/24,IF(AC240-O240&lt;=DORA_H_DET/24,MIN(AC240+DORA_H_CLA/24,O240+DORA_H_DET/24),AC240+DORA_H_CLA/24)))</f>
        <v/>
      </c>
      <c r="BS240" s="35" t="str">
        <f aca="true">IF(BR240="","",IF(AD240="",IF(NOW()&gt;BR240,0,""),IF(AD240&lt;=BR240,1,0)))</f>
        <v/>
      </c>
      <c r="BT240" s="35" t="str">
        <f aca="true">IF(OR(BR240="",AD240=""),"",IF(AE240="",IF(NOW()&gt;AD240+DORA_H_INT/24,0,""),IF(AE240&lt;=AD240+DORA_H_INT/24,1,0)))</f>
        <v/>
      </c>
      <c r="BU240" s="35" t="str">
        <f aca="true">IF(OR(BR240="",AE240=""),"",IF(AF240="",IF(NOW()&gt;EDATE(AE240,DORA_M_FIN)+1,0,""),IF(AF240&lt;=EDATE(AE240,DORA_M_FIN),1,0)))</f>
        <v/>
      </c>
      <c r="BV240" s="35" t="str">
        <f aca="false">IF(BR240="","",IF(COUNT(BS240:BU240)=0,"",MIN(BS240:BU240)))</f>
        <v/>
      </c>
      <c r="BW240" s="40" t="str">
        <f aca="false">IF(AQ240&lt;&gt;1,"",IF(AND(AG240="",AH240=""),"",N(AG240)-N(AH240)))</f>
        <v/>
      </c>
      <c r="BX240" s="35" t="str">
        <f aca="true">IF(OR(AQ240&lt;&gt;1,AI240&lt;&gt;"Oui",AJ240=""),"",IF(AK240="",IF(NOW()&gt;AJ240+1,0,""),IF(AK240&lt;=AJ240,1,0)))</f>
        <v/>
      </c>
    </row>
    <row r="241" customFormat="false" ht="15" hidden="false" customHeight="false" outlineLevel="0" collapsed="false">
      <c r="B241" s="29"/>
      <c r="C241" s="29"/>
      <c r="D241" s="29"/>
      <c r="E241" s="29"/>
      <c r="F241" s="29"/>
      <c r="G241" s="29"/>
      <c r="H241" s="29"/>
      <c r="I241" s="29"/>
      <c r="J241" s="29"/>
      <c r="K241" s="29"/>
      <c r="L241" s="29"/>
      <c r="M241" s="29"/>
      <c r="N241" s="30"/>
      <c r="O241" s="30"/>
      <c r="P241" s="30"/>
      <c r="Q241" s="30"/>
      <c r="R241" s="30"/>
      <c r="S241" s="30"/>
      <c r="T241" s="30"/>
      <c r="U241" s="30"/>
      <c r="V241" s="31"/>
      <c r="W241" s="29"/>
      <c r="X241" s="29"/>
      <c r="Y241" s="29"/>
      <c r="Z241" s="29"/>
      <c r="AA241" s="30"/>
      <c r="AB241" s="30"/>
      <c r="AC241" s="30"/>
      <c r="AD241" s="30"/>
      <c r="AE241" s="30"/>
      <c r="AF241" s="32"/>
      <c r="AG241" s="33"/>
      <c r="AH241" s="33"/>
      <c r="AI241" s="29"/>
      <c r="AJ241" s="32"/>
      <c r="AK241" s="32"/>
      <c r="AL241" s="29"/>
      <c r="AN241" s="34" t="str">
        <f aca="false">IF($B241="","",IF(OR(C241="",D241="",E241="",G241="",I241="",J241="",L241="",O241="",P241=""),"Champ obligatoire manquant",IF(OR(AND(N241&lt;&gt;"",N241&gt;O241),O241&gt;P241,AND(Q241&lt;&gt;"",Q241&lt;P241),AND(R241&lt;&gt;"",R241&lt;P241),AND(S241&lt;&gt;"",S241&lt;R241),AND(S241&lt;&gt;"",R241=""),AND(T241&lt;&gt;"",T241&lt;O241),AND(U241&lt;&gt;"",U241&lt;O241)),"Chronologie incohérente",IF(AND(OR(L241="Résolu",L241="Clos"),R241=""),"Date de résolution manquante",IF(AND(L241="Clos",S241=""),"Date de clôture manquante",IF(AND(K241="Oui",AC241=""),"Classification DORA manquante","OK"))))))</f>
        <v/>
      </c>
      <c r="AO241" s="35" t="str">
        <f aca="false">IF($B241="","",IF(AND(C241="Incident",L241&lt;&gt;"Annulé"),1,0))</f>
        <v/>
      </c>
      <c r="AP241" s="35" t="str">
        <f aca="false">IF($B241="","",IF(AND(C241="Quasi-incident",L241&lt;&gt;"Annulé"),1,0))</f>
        <v/>
      </c>
      <c r="AQ241" s="35" t="str">
        <f aca="false">IF($B241="","",AO241+AP241)</f>
        <v/>
      </c>
      <c r="AR241" s="36" t="str">
        <f aca="false">IF(OR($B241="",J241=""),"",IFERROR(VALUE(LEFT(J241,1)),""))</f>
        <v/>
      </c>
      <c r="AS241" s="35" t="str">
        <f aca="false">IF(OR(AO241&lt;&gt;1,G241=""),"",IFERROR(IF(INDEX(L_SrcInterne,MATCH(G241,L_Sources,0))="Oui",1,0),""))</f>
        <v/>
      </c>
      <c r="AT241" s="37" t="str">
        <f aca="false">IF(AO241&lt;&gt;1,"",IFERROR(ROUND(IF(OR(N241="",O241=""),"",IF(O241&lt;N241,"",ROUND(((NETWORKDAYS(N241,O241,JoursFeries)-1)*(HFer-HOuv)+IF(NETWORKDAYS(O241,O241,JoursFeries),MEDIAN(MOD(O241,1),HFer,HOuv),HFer)-IF(NETWORKDAYS(N241,N241,JoursFeries),MEDIAN(MOD(N241,1),HFer,HOuv),HOuv))*24,4)))/HJour,4),""))</f>
        <v/>
      </c>
      <c r="AU241" s="37" t="str">
        <f aca="false">IF(AO241&lt;&gt;1,"",IF(OR(O241="",P241=""),"",IF(P241&lt;O241,"",ROUND(((NETWORKDAYS(O241,P241,JoursFeries)-1)*(HFer-HOuv)+IF(NETWORKDAYS(P241,P241,JoursFeries),MEDIAN(MOD(P241,1),HFer,HOuv),HFer)-IF(NETWORKDAYS(O241,O241,JoursFeries),MEDIAN(MOD(O241,1),HFer,HOuv),HOuv))*24,4))))</f>
        <v/>
      </c>
      <c r="AV241" s="37" t="str">
        <f aca="false">IF(AO241&lt;&gt;1,"",IF(OR(P241="",Q241=""),"",IF(Q241&lt;P241,"",ROUND(((NETWORKDAYS(P241,Q241,JoursFeries)-1)*(HFer-HOuv)+IF(NETWORKDAYS(Q241,Q241,JoursFeries),MEDIAN(MOD(Q241,1),HFer,HOuv),HFer)-IF(NETWORKDAYS(P241,P241,JoursFeries),MEDIAN(MOD(P241,1),HFer,HOuv),HOuv))*24,4))))</f>
        <v/>
      </c>
      <c r="AW241" s="37" t="str">
        <f aca="false">IF(AO241&lt;&gt;1,"",IFERROR(ROUND(IF(OR(P241="",R241=""),"",IF(R241&lt;P241,"",ROUND(((NETWORKDAYS(P241,R241,JoursFeries)-1)*(HFer-HOuv)+IF(NETWORKDAYS(R241,R241,JoursFeries),MEDIAN(MOD(R241,1),HFer,HOuv),HFer)-IF(NETWORKDAYS(P241,P241,JoursFeries),MEDIAN(MOD(P241,1),HFer,HOuv),HOuv))*24,4)))/HJour,4),""))</f>
        <v/>
      </c>
      <c r="AX241" s="37" t="str">
        <f aca="false">IF(AO241&lt;&gt;1,"",IFERROR(ROUND(IF(OR(P241="",S241=""),"",IF(S241&lt;P241,"",ROUND(((NETWORKDAYS(P241,S241,JoursFeries)-1)*(HFer-HOuv)+IF(NETWORKDAYS(S241,S241,JoursFeries),MEDIAN(MOD(S241,1),HFer,HOuv),HFer)-IF(NETWORKDAYS(P241,P241,JoursFeries),MEDIAN(MOD(P241,1),HFer,HOuv),HOuv))*24,4)))/HJour,4),""))</f>
        <v/>
      </c>
      <c r="AY241" s="36" t="str">
        <f aca="false">IF(OR(AO241&lt;&gt;1,AR241=""),"",INDEX(SLA_PEC,AR241))</f>
        <v/>
      </c>
      <c r="AZ241" s="35" t="str">
        <f aca="false">IF(OR(AV241="",AY241=""),"",IF(AV241&lt;=AY241,1,0))</f>
        <v/>
      </c>
      <c r="BA241" s="36" t="str">
        <f aca="false">IF(OR(AO241&lt;&gt;1,AR241=""),"",INDEX(SLA_RES,AR241))</f>
        <v/>
      </c>
      <c r="BB241" s="35" t="str">
        <f aca="false">IF(OR(AW241="",BA241=""),"",IF(AW241&lt;=BA241,1,0))</f>
        <v/>
      </c>
      <c r="BC241" s="38" t="str">
        <f aca="false">IF(OR(BA241="",P241=""),"",WORKDAY(INT(P241),BA241,JoursFeries)+MOD(P241,1))</f>
        <v/>
      </c>
      <c r="BD241" s="39" t="str">
        <f aca="false">IF(AO241&lt;&gt;1,"",IF(OR(AB241&lt;&gt;"",AD241&lt;&gt;""),4,IF(U241&lt;&gt;"",3,IF(T241&lt;&gt;"",2,1))))</f>
        <v/>
      </c>
      <c r="BE241" s="39" t="str">
        <f aca="false">IF(OR(AO241&lt;&gt;1,AR241=""),"",INDEX(NIV_REQ,AR241))</f>
        <v/>
      </c>
      <c r="BF241" s="39" t="str">
        <f aca="false">IF(BE241="","",MAX(BE241,IF(OR(K241="Oui",Z241="Oui"),4,1)))</f>
        <v/>
      </c>
      <c r="BG241" s="35" t="str">
        <f aca="false">IF(OR(BF241="",BD241=""),"",IF(BD241&gt;=BF241,1,0))</f>
        <v/>
      </c>
      <c r="BH241" s="38" t="str">
        <f aca="false">IF(BE241="","",IF(BE241&lt;2,"",IF(BE241=2,IF(AND(T241="",U241=""),"",MIN(T241,U241)),IF(U241="","",U241))))</f>
        <v/>
      </c>
      <c r="BI241" s="37" t="str">
        <f aca="false">IF(BH241="","",IF(OR(O241="",BH241=""),"",IF(BH241&lt;O241,"",ROUND(((NETWORKDAYS(O241,BH241,JoursFeries)-1)*(HFer-HOuv)+IF(NETWORKDAYS(BH241,BH241,JoursFeries),MEDIAN(MOD(BH241,1),HFer,HOuv),HFer)-IF(NETWORKDAYS(O241,O241,JoursFeries),MEDIAN(MOD(O241,1),HFer,HOuv),HOuv))*24,4))))</f>
        <v/>
      </c>
      <c r="BJ241" s="35" t="str">
        <f aca="false">IF(OR(BI241="",AR241=""),"",IF(BI241&lt;=INDEX(DELAI_ESC,AR241),1,0))</f>
        <v/>
      </c>
      <c r="BK241" s="38" t="str">
        <f aca="false">IF(AO241&lt;&gt;1,"",IF(AND(T241="",U241=""),"",MIN(T241,U241)))</f>
        <v/>
      </c>
      <c r="BL241" s="37" t="str">
        <f aca="false">IF(OR(BK241="",R241=""),"",IFERROR(ROUND(IF(OR(BK241="",R241=""),"",IF(R241&lt;BK241,"",ROUND(((NETWORKDAYS(BK241,R241,JoursFeries)-1)*(HFer-HOuv)+IF(NETWORKDAYS(R241,R241,JoursFeries),MEDIAN(MOD(R241,1),HFer,HOuv),HFer)-IF(NETWORKDAYS(BK241,BK241,JoursFeries),MEDIAN(MOD(BK241,1),HFer,HOuv),HOuv))*24,4)))/HJour,4),""))</f>
        <v/>
      </c>
      <c r="BM241" s="35" t="str">
        <f aca="false">IF(OR(AO241&lt;&gt;1,R241=""),"",IF(BD241=1,1,0))</f>
        <v/>
      </c>
      <c r="BN241" s="35" t="str">
        <f aca="false">IF(AO241&lt;&gt;1,"",IF(W241="Oui",1,0))</f>
        <v/>
      </c>
      <c r="BO241" s="35" t="str">
        <f aca="false">IF(AO241&lt;&gt;1,"",IF(X241&lt;&gt;"",1,0))</f>
        <v/>
      </c>
      <c r="BP241" s="35" t="str">
        <f aca="false">IF(AO241&lt;&gt;1,"",IF(Y241="Oui",1,0))</f>
        <v/>
      </c>
      <c r="BQ241" s="35" t="str">
        <f aca="true">IF(OR(AO241&lt;&gt;1,Z241&lt;&gt;"Oui"),"",IF(AB241="",IF(AND(AA241&lt;&gt;"",NOW()&gt;AA241),0,""),IF(AA241="","",IF(AB241&lt;=AA241,1,0))))</f>
        <v/>
      </c>
      <c r="BR241" s="38" t="str">
        <f aca="false">IF(OR(AO241&lt;&gt;1,K241&lt;&gt;"Oui",O241=""),"",IF(AC241="",O241+DORA_H_DET/24,IF(AC241-O241&lt;=DORA_H_DET/24,MIN(AC241+DORA_H_CLA/24,O241+DORA_H_DET/24),AC241+DORA_H_CLA/24)))</f>
        <v/>
      </c>
      <c r="BS241" s="35" t="str">
        <f aca="true">IF(BR241="","",IF(AD241="",IF(NOW()&gt;BR241,0,""),IF(AD241&lt;=BR241,1,0)))</f>
        <v/>
      </c>
      <c r="BT241" s="35" t="str">
        <f aca="true">IF(OR(BR241="",AD241=""),"",IF(AE241="",IF(NOW()&gt;AD241+DORA_H_INT/24,0,""),IF(AE241&lt;=AD241+DORA_H_INT/24,1,0)))</f>
        <v/>
      </c>
      <c r="BU241" s="35" t="str">
        <f aca="true">IF(OR(BR241="",AE241=""),"",IF(AF241="",IF(NOW()&gt;EDATE(AE241,DORA_M_FIN)+1,0,""),IF(AF241&lt;=EDATE(AE241,DORA_M_FIN),1,0)))</f>
        <v/>
      </c>
      <c r="BV241" s="35" t="str">
        <f aca="false">IF(BR241="","",IF(COUNT(BS241:BU241)=0,"",MIN(BS241:BU241)))</f>
        <v/>
      </c>
      <c r="BW241" s="40" t="str">
        <f aca="false">IF(AQ241&lt;&gt;1,"",IF(AND(AG241="",AH241=""),"",N(AG241)-N(AH241)))</f>
        <v/>
      </c>
      <c r="BX241" s="35" t="str">
        <f aca="true">IF(OR(AQ241&lt;&gt;1,AI241&lt;&gt;"Oui",AJ241=""),"",IF(AK241="",IF(NOW()&gt;AJ241+1,0,""),IF(AK241&lt;=AJ241,1,0)))</f>
        <v/>
      </c>
    </row>
    <row r="242" customFormat="false" ht="15" hidden="false" customHeight="false" outlineLevel="0" collapsed="false">
      <c r="B242" s="29"/>
      <c r="C242" s="29"/>
      <c r="D242" s="29"/>
      <c r="E242" s="29"/>
      <c r="F242" s="29"/>
      <c r="G242" s="29"/>
      <c r="H242" s="29"/>
      <c r="I242" s="29"/>
      <c r="J242" s="29"/>
      <c r="K242" s="29"/>
      <c r="L242" s="29"/>
      <c r="M242" s="29"/>
      <c r="N242" s="30"/>
      <c r="O242" s="30"/>
      <c r="P242" s="30"/>
      <c r="Q242" s="30"/>
      <c r="R242" s="30"/>
      <c r="S242" s="30"/>
      <c r="T242" s="30"/>
      <c r="U242" s="30"/>
      <c r="V242" s="31"/>
      <c r="W242" s="29"/>
      <c r="X242" s="29"/>
      <c r="Y242" s="29"/>
      <c r="Z242" s="29"/>
      <c r="AA242" s="30"/>
      <c r="AB242" s="30"/>
      <c r="AC242" s="30"/>
      <c r="AD242" s="30"/>
      <c r="AE242" s="30"/>
      <c r="AF242" s="32"/>
      <c r="AG242" s="33"/>
      <c r="AH242" s="33"/>
      <c r="AI242" s="29"/>
      <c r="AJ242" s="32"/>
      <c r="AK242" s="32"/>
      <c r="AL242" s="29"/>
      <c r="AN242" s="34" t="str">
        <f aca="false">IF($B242="","",IF(OR(C242="",D242="",E242="",G242="",I242="",J242="",L242="",O242="",P242=""),"Champ obligatoire manquant",IF(OR(AND(N242&lt;&gt;"",N242&gt;O242),O242&gt;P242,AND(Q242&lt;&gt;"",Q242&lt;P242),AND(R242&lt;&gt;"",R242&lt;P242),AND(S242&lt;&gt;"",S242&lt;R242),AND(S242&lt;&gt;"",R242=""),AND(T242&lt;&gt;"",T242&lt;O242),AND(U242&lt;&gt;"",U242&lt;O242)),"Chronologie incohérente",IF(AND(OR(L242="Résolu",L242="Clos"),R242=""),"Date de résolution manquante",IF(AND(L242="Clos",S242=""),"Date de clôture manquante",IF(AND(K242="Oui",AC242=""),"Classification DORA manquante","OK"))))))</f>
        <v/>
      </c>
      <c r="AO242" s="35" t="str">
        <f aca="false">IF($B242="","",IF(AND(C242="Incident",L242&lt;&gt;"Annulé"),1,0))</f>
        <v/>
      </c>
      <c r="AP242" s="35" t="str">
        <f aca="false">IF($B242="","",IF(AND(C242="Quasi-incident",L242&lt;&gt;"Annulé"),1,0))</f>
        <v/>
      </c>
      <c r="AQ242" s="35" t="str">
        <f aca="false">IF($B242="","",AO242+AP242)</f>
        <v/>
      </c>
      <c r="AR242" s="36" t="str">
        <f aca="false">IF(OR($B242="",J242=""),"",IFERROR(VALUE(LEFT(J242,1)),""))</f>
        <v/>
      </c>
      <c r="AS242" s="35" t="str">
        <f aca="false">IF(OR(AO242&lt;&gt;1,G242=""),"",IFERROR(IF(INDEX(L_SrcInterne,MATCH(G242,L_Sources,0))="Oui",1,0),""))</f>
        <v/>
      </c>
      <c r="AT242" s="37" t="str">
        <f aca="false">IF(AO242&lt;&gt;1,"",IFERROR(ROUND(IF(OR(N242="",O242=""),"",IF(O242&lt;N242,"",ROUND(((NETWORKDAYS(N242,O242,JoursFeries)-1)*(HFer-HOuv)+IF(NETWORKDAYS(O242,O242,JoursFeries),MEDIAN(MOD(O242,1),HFer,HOuv),HFer)-IF(NETWORKDAYS(N242,N242,JoursFeries),MEDIAN(MOD(N242,1),HFer,HOuv),HOuv))*24,4)))/HJour,4),""))</f>
        <v/>
      </c>
      <c r="AU242" s="37" t="str">
        <f aca="false">IF(AO242&lt;&gt;1,"",IF(OR(O242="",P242=""),"",IF(P242&lt;O242,"",ROUND(((NETWORKDAYS(O242,P242,JoursFeries)-1)*(HFer-HOuv)+IF(NETWORKDAYS(P242,P242,JoursFeries),MEDIAN(MOD(P242,1),HFer,HOuv),HFer)-IF(NETWORKDAYS(O242,O242,JoursFeries),MEDIAN(MOD(O242,1),HFer,HOuv),HOuv))*24,4))))</f>
        <v/>
      </c>
      <c r="AV242" s="37" t="str">
        <f aca="false">IF(AO242&lt;&gt;1,"",IF(OR(P242="",Q242=""),"",IF(Q242&lt;P242,"",ROUND(((NETWORKDAYS(P242,Q242,JoursFeries)-1)*(HFer-HOuv)+IF(NETWORKDAYS(Q242,Q242,JoursFeries),MEDIAN(MOD(Q242,1),HFer,HOuv),HFer)-IF(NETWORKDAYS(P242,P242,JoursFeries),MEDIAN(MOD(P242,1),HFer,HOuv),HOuv))*24,4))))</f>
        <v/>
      </c>
      <c r="AW242" s="37" t="str">
        <f aca="false">IF(AO242&lt;&gt;1,"",IFERROR(ROUND(IF(OR(P242="",R242=""),"",IF(R242&lt;P242,"",ROUND(((NETWORKDAYS(P242,R242,JoursFeries)-1)*(HFer-HOuv)+IF(NETWORKDAYS(R242,R242,JoursFeries),MEDIAN(MOD(R242,1),HFer,HOuv),HFer)-IF(NETWORKDAYS(P242,P242,JoursFeries),MEDIAN(MOD(P242,1),HFer,HOuv),HOuv))*24,4)))/HJour,4),""))</f>
        <v/>
      </c>
      <c r="AX242" s="37" t="str">
        <f aca="false">IF(AO242&lt;&gt;1,"",IFERROR(ROUND(IF(OR(P242="",S242=""),"",IF(S242&lt;P242,"",ROUND(((NETWORKDAYS(P242,S242,JoursFeries)-1)*(HFer-HOuv)+IF(NETWORKDAYS(S242,S242,JoursFeries),MEDIAN(MOD(S242,1),HFer,HOuv),HFer)-IF(NETWORKDAYS(P242,P242,JoursFeries),MEDIAN(MOD(P242,1),HFer,HOuv),HOuv))*24,4)))/HJour,4),""))</f>
        <v/>
      </c>
      <c r="AY242" s="36" t="str">
        <f aca="false">IF(OR(AO242&lt;&gt;1,AR242=""),"",INDEX(SLA_PEC,AR242))</f>
        <v/>
      </c>
      <c r="AZ242" s="35" t="str">
        <f aca="false">IF(OR(AV242="",AY242=""),"",IF(AV242&lt;=AY242,1,0))</f>
        <v/>
      </c>
      <c r="BA242" s="36" t="str">
        <f aca="false">IF(OR(AO242&lt;&gt;1,AR242=""),"",INDEX(SLA_RES,AR242))</f>
        <v/>
      </c>
      <c r="BB242" s="35" t="str">
        <f aca="false">IF(OR(AW242="",BA242=""),"",IF(AW242&lt;=BA242,1,0))</f>
        <v/>
      </c>
      <c r="BC242" s="38" t="str">
        <f aca="false">IF(OR(BA242="",P242=""),"",WORKDAY(INT(P242),BA242,JoursFeries)+MOD(P242,1))</f>
        <v/>
      </c>
      <c r="BD242" s="39" t="str">
        <f aca="false">IF(AO242&lt;&gt;1,"",IF(OR(AB242&lt;&gt;"",AD242&lt;&gt;""),4,IF(U242&lt;&gt;"",3,IF(T242&lt;&gt;"",2,1))))</f>
        <v/>
      </c>
      <c r="BE242" s="39" t="str">
        <f aca="false">IF(OR(AO242&lt;&gt;1,AR242=""),"",INDEX(NIV_REQ,AR242))</f>
        <v/>
      </c>
      <c r="BF242" s="39" t="str">
        <f aca="false">IF(BE242="","",MAX(BE242,IF(OR(K242="Oui",Z242="Oui"),4,1)))</f>
        <v/>
      </c>
      <c r="BG242" s="35" t="str">
        <f aca="false">IF(OR(BF242="",BD242=""),"",IF(BD242&gt;=BF242,1,0))</f>
        <v/>
      </c>
      <c r="BH242" s="38" t="str">
        <f aca="false">IF(BE242="","",IF(BE242&lt;2,"",IF(BE242=2,IF(AND(T242="",U242=""),"",MIN(T242,U242)),IF(U242="","",U242))))</f>
        <v/>
      </c>
      <c r="BI242" s="37" t="str">
        <f aca="false">IF(BH242="","",IF(OR(O242="",BH242=""),"",IF(BH242&lt;O242,"",ROUND(((NETWORKDAYS(O242,BH242,JoursFeries)-1)*(HFer-HOuv)+IF(NETWORKDAYS(BH242,BH242,JoursFeries),MEDIAN(MOD(BH242,1),HFer,HOuv),HFer)-IF(NETWORKDAYS(O242,O242,JoursFeries),MEDIAN(MOD(O242,1),HFer,HOuv),HOuv))*24,4))))</f>
        <v/>
      </c>
      <c r="BJ242" s="35" t="str">
        <f aca="false">IF(OR(BI242="",AR242=""),"",IF(BI242&lt;=INDEX(DELAI_ESC,AR242),1,0))</f>
        <v/>
      </c>
      <c r="BK242" s="38" t="str">
        <f aca="false">IF(AO242&lt;&gt;1,"",IF(AND(T242="",U242=""),"",MIN(T242,U242)))</f>
        <v/>
      </c>
      <c r="BL242" s="37" t="str">
        <f aca="false">IF(OR(BK242="",R242=""),"",IFERROR(ROUND(IF(OR(BK242="",R242=""),"",IF(R242&lt;BK242,"",ROUND(((NETWORKDAYS(BK242,R242,JoursFeries)-1)*(HFer-HOuv)+IF(NETWORKDAYS(R242,R242,JoursFeries),MEDIAN(MOD(R242,1),HFer,HOuv),HFer)-IF(NETWORKDAYS(BK242,BK242,JoursFeries),MEDIAN(MOD(BK242,1),HFer,HOuv),HOuv))*24,4)))/HJour,4),""))</f>
        <v/>
      </c>
      <c r="BM242" s="35" t="str">
        <f aca="false">IF(OR(AO242&lt;&gt;1,R242=""),"",IF(BD242=1,1,0))</f>
        <v/>
      </c>
      <c r="BN242" s="35" t="str">
        <f aca="false">IF(AO242&lt;&gt;1,"",IF(W242="Oui",1,0))</f>
        <v/>
      </c>
      <c r="BO242" s="35" t="str">
        <f aca="false">IF(AO242&lt;&gt;1,"",IF(X242&lt;&gt;"",1,0))</f>
        <v/>
      </c>
      <c r="BP242" s="35" t="str">
        <f aca="false">IF(AO242&lt;&gt;1,"",IF(Y242="Oui",1,0))</f>
        <v/>
      </c>
      <c r="BQ242" s="35" t="str">
        <f aca="true">IF(OR(AO242&lt;&gt;1,Z242&lt;&gt;"Oui"),"",IF(AB242="",IF(AND(AA242&lt;&gt;"",NOW()&gt;AA242),0,""),IF(AA242="","",IF(AB242&lt;=AA242,1,0))))</f>
        <v/>
      </c>
      <c r="BR242" s="38" t="str">
        <f aca="false">IF(OR(AO242&lt;&gt;1,K242&lt;&gt;"Oui",O242=""),"",IF(AC242="",O242+DORA_H_DET/24,IF(AC242-O242&lt;=DORA_H_DET/24,MIN(AC242+DORA_H_CLA/24,O242+DORA_H_DET/24),AC242+DORA_H_CLA/24)))</f>
        <v/>
      </c>
      <c r="BS242" s="35" t="str">
        <f aca="true">IF(BR242="","",IF(AD242="",IF(NOW()&gt;BR242,0,""),IF(AD242&lt;=BR242,1,0)))</f>
        <v/>
      </c>
      <c r="BT242" s="35" t="str">
        <f aca="true">IF(OR(BR242="",AD242=""),"",IF(AE242="",IF(NOW()&gt;AD242+DORA_H_INT/24,0,""),IF(AE242&lt;=AD242+DORA_H_INT/24,1,0)))</f>
        <v/>
      </c>
      <c r="BU242" s="35" t="str">
        <f aca="true">IF(OR(BR242="",AE242=""),"",IF(AF242="",IF(NOW()&gt;EDATE(AE242,DORA_M_FIN)+1,0,""),IF(AF242&lt;=EDATE(AE242,DORA_M_FIN),1,0)))</f>
        <v/>
      </c>
      <c r="BV242" s="35" t="str">
        <f aca="false">IF(BR242="","",IF(COUNT(BS242:BU242)=0,"",MIN(BS242:BU242)))</f>
        <v/>
      </c>
      <c r="BW242" s="40" t="str">
        <f aca="false">IF(AQ242&lt;&gt;1,"",IF(AND(AG242="",AH242=""),"",N(AG242)-N(AH242)))</f>
        <v/>
      </c>
      <c r="BX242" s="35" t="str">
        <f aca="true">IF(OR(AQ242&lt;&gt;1,AI242&lt;&gt;"Oui",AJ242=""),"",IF(AK242="",IF(NOW()&gt;AJ242+1,0,""),IF(AK242&lt;=AJ242,1,0)))</f>
        <v/>
      </c>
    </row>
    <row r="243" customFormat="false" ht="15" hidden="false" customHeight="false" outlineLevel="0" collapsed="false">
      <c r="B243" s="29"/>
      <c r="C243" s="29"/>
      <c r="D243" s="29"/>
      <c r="E243" s="29"/>
      <c r="F243" s="29"/>
      <c r="G243" s="29"/>
      <c r="H243" s="29"/>
      <c r="I243" s="29"/>
      <c r="J243" s="29"/>
      <c r="K243" s="29"/>
      <c r="L243" s="29"/>
      <c r="M243" s="29"/>
      <c r="N243" s="30"/>
      <c r="O243" s="30"/>
      <c r="P243" s="30"/>
      <c r="Q243" s="30"/>
      <c r="R243" s="30"/>
      <c r="S243" s="30"/>
      <c r="T243" s="30"/>
      <c r="U243" s="30"/>
      <c r="V243" s="31"/>
      <c r="W243" s="29"/>
      <c r="X243" s="29"/>
      <c r="Y243" s="29"/>
      <c r="Z243" s="29"/>
      <c r="AA243" s="30"/>
      <c r="AB243" s="30"/>
      <c r="AC243" s="30"/>
      <c r="AD243" s="30"/>
      <c r="AE243" s="30"/>
      <c r="AF243" s="32"/>
      <c r="AG243" s="33"/>
      <c r="AH243" s="33"/>
      <c r="AI243" s="29"/>
      <c r="AJ243" s="32"/>
      <c r="AK243" s="32"/>
      <c r="AL243" s="29"/>
      <c r="AN243" s="34" t="str">
        <f aca="false">IF($B243="","",IF(OR(C243="",D243="",E243="",G243="",I243="",J243="",L243="",O243="",P243=""),"Champ obligatoire manquant",IF(OR(AND(N243&lt;&gt;"",N243&gt;O243),O243&gt;P243,AND(Q243&lt;&gt;"",Q243&lt;P243),AND(R243&lt;&gt;"",R243&lt;P243),AND(S243&lt;&gt;"",S243&lt;R243),AND(S243&lt;&gt;"",R243=""),AND(T243&lt;&gt;"",T243&lt;O243),AND(U243&lt;&gt;"",U243&lt;O243)),"Chronologie incohérente",IF(AND(OR(L243="Résolu",L243="Clos"),R243=""),"Date de résolution manquante",IF(AND(L243="Clos",S243=""),"Date de clôture manquante",IF(AND(K243="Oui",AC243=""),"Classification DORA manquante","OK"))))))</f>
        <v/>
      </c>
      <c r="AO243" s="35" t="str">
        <f aca="false">IF($B243="","",IF(AND(C243="Incident",L243&lt;&gt;"Annulé"),1,0))</f>
        <v/>
      </c>
      <c r="AP243" s="35" t="str">
        <f aca="false">IF($B243="","",IF(AND(C243="Quasi-incident",L243&lt;&gt;"Annulé"),1,0))</f>
        <v/>
      </c>
      <c r="AQ243" s="35" t="str">
        <f aca="false">IF($B243="","",AO243+AP243)</f>
        <v/>
      </c>
      <c r="AR243" s="36" t="str">
        <f aca="false">IF(OR($B243="",J243=""),"",IFERROR(VALUE(LEFT(J243,1)),""))</f>
        <v/>
      </c>
      <c r="AS243" s="35" t="str">
        <f aca="false">IF(OR(AO243&lt;&gt;1,G243=""),"",IFERROR(IF(INDEX(L_SrcInterne,MATCH(G243,L_Sources,0))="Oui",1,0),""))</f>
        <v/>
      </c>
      <c r="AT243" s="37" t="str">
        <f aca="false">IF(AO243&lt;&gt;1,"",IFERROR(ROUND(IF(OR(N243="",O243=""),"",IF(O243&lt;N243,"",ROUND(((NETWORKDAYS(N243,O243,JoursFeries)-1)*(HFer-HOuv)+IF(NETWORKDAYS(O243,O243,JoursFeries),MEDIAN(MOD(O243,1),HFer,HOuv),HFer)-IF(NETWORKDAYS(N243,N243,JoursFeries),MEDIAN(MOD(N243,1),HFer,HOuv),HOuv))*24,4)))/HJour,4),""))</f>
        <v/>
      </c>
      <c r="AU243" s="37" t="str">
        <f aca="false">IF(AO243&lt;&gt;1,"",IF(OR(O243="",P243=""),"",IF(P243&lt;O243,"",ROUND(((NETWORKDAYS(O243,P243,JoursFeries)-1)*(HFer-HOuv)+IF(NETWORKDAYS(P243,P243,JoursFeries),MEDIAN(MOD(P243,1),HFer,HOuv),HFer)-IF(NETWORKDAYS(O243,O243,JoursFeries),MEDIAN(MOD(O243,1),HFer,HOuv),HOuv))*24,4))))</f>
        <v/>
      </c>
      <c r="AV243" s="37" t="str">
        <f aca="false">IF(AO243&lt;&gt;1,"",IF(OR(P243="",Q243=""),"",IF(Q243&lt;P243,"",ROUND(((NETWORKDAYS(P243,Q243,JoursFeries)-1)*(HFer-HOuv)+IF(NETWORKDAYS(Q243,Q243,JoursFeries),MEDIAN(MOD(Q243,1),HFer,HOuv),HFer)-IF(NETWORKDAYS(P243,P243,JoursFeries),MEDIAN(MOD(P243,1),HFer,HOuv),HOuv))*24,4))))</f>
        <v/>
      </c>
      <c r="AW243" s="37" t="str">
        <f aca="false">IF(AO243&lt;&gt;1,"",IFERROR(ROUND(IF(OR(P243="",R243=""),"",IF(R243&lt;P243,"",ROUND(((NETWORKDAYS(P243,R243,JoursFeries)-1)*(HFer-HOuv)+IF(NETWORKDAYS(R243,R243,JoursFeries),MEDIAN(MOD(R243,1),HFer,HOuv),HFer)-IF(NETWORKDAYS(P243,P243,JoursFeries),MEDIAN(MOD(P243,1),HFer,HOuv),HOuv))*24,4)))/HJour,4),""))</f>
        <v/>
      </c>
      <c r="AX243" s="37" t="str">
        <f aca="false">IF(AO243&lt;&gt;1,"",IFERROR(ROUND(IF(OR(P243="",S243=""),"",IF(S243&lt;P243,"",ROUND(((NETWORKDAYS(P243,S243,JoursFeries)-1)*(HFer-HOuv)+IF(NETWORKDAYS(S243,S243,JoursFeries),MEDIAN(MOD(S243,1),HFer,HOuv),HFer)-IF(NETWORKDAYS(P243,P243,JoursFeries),MEDIAN(MOD(P243,1),HFer,HOuv),HOuv))*24,4)))/HJour,4),""))</f>
        <v/>
      </c>
      <c r="AY243" s="36" t="str">
        <f aca="false">IF(OR(AO243&lt;&gt;1,AR243=""),"",INDEX(SLA_PEC,AR243))</f>
        <v/>
      </c>
      <c r="AZ243" s="35" t="str">
        <f aca="false">IF(OR(AV243="",AY243=""),"",IF(AV243&lt;=AY243,1,0))</f>
        <v/>
      </c>
      <c r="BA243" s="36" t="str">
        <f aca="false">IF(OR(AO243&lt;&gt;1,AR243=""),"",INDEX(SLA_RES,AR243))</f>
        <v/>
      </c>
      <c r="BB243" s="35" t="str">
        <f aca="false">IF(OR(AW243="",BA243=""),"",IF(AW243&lt;=BA243,1,0))</f>
        <v/>
      </c>
      <c r="BC243" s="38" t="str">
        <f aca="false">IF(OR(BA243="",P243=""),"",WORKDAY(INT(P243),BA243,JoursFeries)+MOD(P243,1))</f>
        <v/>
      </c>
      <c r="BD243" s="39" t="str">
        <f aca="false">IF(AO243&lt;&gt;1,"",IF(OR(AB243&lt;&gt;"",AD243&lt;&gt;""),4,IF(U243&lt;&gt;"",3,IF(T243&lt;&gt;"",2,1))))</f>
        <v/>
      </c>
      <c r="BE243" s="39" t="str">
        <f aca="false">IF(OR(AO243&lt;&gt;1,AR243=""),"",INDEX(NIV_REQ,AR243))</f>
        <v/>
      </c>
      <c r="BF243" s="39" t="str">
        <f aca="false">IF(BE243="","",MAX(BE243,IF(OR(K243="Oui",Z243="Oui"),4,1)))</f>
        <v/>
      </c>
      <c r="BG243" s="35" t="str">
        <f aca="false">IF(OR(BF243="",BD243=""),"",IF(BD243&gt;=BF243,1,0))</f>
        <v/>
      </c>
      <c r="BH243" s="38" t="str">
        <f aca="false">IF(BE243="","",IF(BE243&lt;2,"",IF(BE243=2,IF(AND(T243="",U243=""),"",MIN(T243,U243)),IF(U243="","",U243))))</f>
        <v/>
      </c>
      <c r="BI243" s="37" t="str">
        <f aca="false">IF(BH243="","",IF(OR(O243="",BH243=""),"",IF(BH243&lt;O243,"",ROUND(((NETWORKDAYS(O243,BH243,JoursFeries)-1)*(HFer-HOuv)+IF(NETWORKDAYS(BH243,BH243,JoursFeries),MEDIAN(MOD(BH243,1),HFer,HOuv),HFer)-IF(NETWORKDAYS(O243,O243,JoursFeries),MEDIAN(MOD(O243,1),HFer,HOuv),HOuv))*24,4))))</f>
        <v/>
      </c>
      <c r="BJ243" s="35" t="str">
        <f aca="false">IF(OR(BI243="",AR243=""),"",IF(BI243&lt;=INDEX(DELAI_ESC,AR243),1,0))</f>
        <v/>
      </c>
      <c r="BK243" s="38" t="str">
        <f aca="false">IF(AO243&lt;&gt;1,"",IF(AND(T243="",U243=""),"",MIN(T243,U243)))</f>
        <v/>
      </c>
      <c r="BL243" s="37" t="str">
        <f aca="false">IF(OR(BK243="",R243=""),"",IFERROR(ROUND(IF(OR(BK243="",R243=""),"",IF(R243&lt;BK243,"",ROUND(((NETWORKDAYS(BK243,R243,JoursFeries)-1)*(HFer-HOuv)+IF(NETWORKDAYS(R243,R243,JoursFeries),MEDIAN(MOD(R243,1),HFer,HOuv),HFer)-IF(NETWORKDAYS(BK243,BK243,JoursFeries),MEDIAN(MOD(BK243,1),HFer,HOuv),HOuv))*24,4)))/HJour,4),""))</f>
        <v/>
      </c>
      <c r="BM243" s="35" t="str">
        <f aca="false">IF(OR(AO243&lt;&gt;1,R243=""),"",IF(BD243=1,1,0))</f>
        <v/>
      </c>
      <c r="BN243" s="35" t="str">
        <f aca="false">IF(AO243&lt;&gt;1,"",IF(W243="Oui",1,0))</f>
        <v/>
      </c>
      <c r="BO243" s="35" t="str">
        <f aca="false">IF(AO243&lt;&gt;1,"",IF(X243&lt;&gt;"",1,0))</f>
        <v/>
      </c>
      <c r="BP243" s="35" t="str">
        <f aca="false">IF(AO243&lt;&gt;1,"",IF(Y243="Oui",1,0))</f>
        <v/>
      </c>
      <c r="BQ243" s="35" t="str">
        <f aca="true">IF(OR(AO243&lt;&gt;1,Z243&lt;&gt;"Oui"),"",IF(AB243="",IF(AND(AA243&lt;&gt;"",NOW()&gt;AA243),0,""),IF(AA243="","",IF(AB243&lt;=AA243,1,0))))</f>
        <v/>
      </c>
      <c r="BR243" s="38" t="str">
        <f aca="false">IF(OR(AO243&lt;&gt;1,K243&lt;&gt;"Oui",O243=""),"",IF(AC243="",O243+DORA_H_DET/24,IF(AC243-O243&lt;=DORA_H_DET/24,MIN(AC243+DORA_H_CLA/24,O243+DORA_H_DET/24),AC243+DORA_H_CLA/24)))</f>
        <v/>
      </c>
      <c r="BS243" s="35" t="str">
        <f aca="true">IF(BR243="","",IF(AD243="",IF(NOW()&gt;BR243,0,""),IF(AD243&lt;=BR243,1,0)))</f>
        <v/>
      </c>
      <c r="BT243" s="35" t="str">
        <f aca="true">IF(OR(BR243="",AD243=""),"",IF(AE243="",IF(NOW()&gt;AD243+DORA_H_INT/24,0,""),IF(AE243&lt;=AD243+DORA_H_INT/24,1,0)))</f>
        <v/>
      </c>
      <c r="BU243" s="35" t="str">
        <f aca="true">IF(OR(BR243="",AE243=""),"",IF(AF243="",IF(NOW()&gt;EDATE(AE243,DORA_M_FIN)+1,0,""),IF(AF243&lt;=EDATE(AE243,DORA_M_FIN),1,0)))</f>
        <v/>
      </c>
      <c r="BV243" s="35" t="str">
        <f aca="false">IF(BR243="","",IF(COUNT(BS243:BU243)=0,"",MIN(BS243:BU243)))</f>
        <v/>
      </c>
      <c r="BW243" s="40" t="str">
        <f aca="false">IF(AQ243&lt;&gt;1,"",IF(AND(AG243="",AH243=""),"",N(AG243)-N(AH243)))</f>
        <v/>
      </c>
      <c r="BX243" s="35" t="str">
        <f aca="true">IF(OR(AQ243&lt;&gt;1,AI243&lt;&gt;"Oui",AJ243=""),"",IF(AK243="",IF(NOW()&gt;AJ243+1,0,""),IF(AK243&lt;=AJ243,1,0)))</f>
        <v/>
      </c>
    </row>
    <row r="244" customFormat="false" ht="15" hidden="false" customHeight="false" outlineLevel="0" collapsed="false">
      <c r="B244" s="29"/>
      <c r="C244" s="29"/>
      <c r="D244" s="29"/>
      <c r="E244" s="29"/>
      <c r="F244" s="29"/>
      <c r="G244" s="29"/>
      <c r="H244" s="29"/>
      <c r="I244" s="29"/>
      <c r="J244" s="29"/>
      <c r="K244" s="29"/>
      <c r="L244" s="29"/>
      <c r="M244" s="29"/>
      <c r="N244" s="30"/>
      <c r="O244" s="30"/>
      <c r="P244" s="30"/>
      <c r="Q244" s="30"/>
      <c r="R244" s="30"/>
      <c r="S244" s="30"/>
      <c r="T244" s="30"/>
      <c r="U244" s="30"/>
      <c r="V244" s="31"/>
      <c r="W244" s="29"/>
      <c r="X244" s="29"/>
      <c r="Y244" s="29"/>
      <c r="Z244" s="29"/>
      <c r="AA244" s="30"/>
      <c r="AB244" s="30"/>
      <c r="AC244" s="30"/>
      <c r="AD244" s="30"/>
      <c r="AE244" s="30"/>
      <c r="AF244" s="32"/>
      <c r="AG244" s="33"/>
      <c r="AH244" s="33"/>
      <c r="AI244" s="29"/>
      <c r="AJ244" s="32"/>
      <c r="AK244" s="32"/>
      <c r="AL244" s="29"/>
      <c r="AN244" s="34" t="str">
        <f aca="false">IF($B244="","",IF(OR(C244="",D244="",E244="",G244="",I244="",J244="",L244="",O244="",P244=""),"Champ obligatoire manquant",IF(OR(AND(N244&lt;&gt;"",N244&gt;O244),O244&gt;P244,AND(Q244&lt;&gt;"",Q244&lt;P244),AND(R244&lt;&gt;"",R244&lt;P244),AND(S244&lt;&gt;"",S244&lt;R244),AND(S244&lt;&gt;"",R244=""),AND(T244&lt;&gt;"",T244&lt;O244),AND(U244&lt;&gt;"",U244&lt;O244)),"Chronologie incohérente",IF(AND(OR(L244="Résolu",L244="Clos"),R244=""),"Date de résolution manquante",IF(AND(L244="Clos",S244=""),"Date de clôture manquante",IF(AND(K244="Oui",AC244=""),"Classification DORA manquante","OK"))))))</f>
        <v/>
      </c>
      <c r="AO244" s="35" t="str">
        <f aca="false">IF($B244="","",IF(AND(C244="Incident",L244&lt;&gt;"Annulé"),1,0))</f>
        <v/>
      </c>
      <c r="AP244" s="35" t="str">
        <f aca="false">IF($B244="","",IF(AND(C244="Quasi-incident",L244&lt;&gt;"Annulé"),1,0))</f>
        <v/>
      </c>
      <c r="AQ244" s="35" t="str">
        <f aca="false">IF($B244="","",AO244+AP244)</f>
        <v/>
      </c>
      <c r="AR244" s="36" t="str">
        <f aca="false">IF(OR($B244="",J244=""),"",IFERROR(VALUE(LEFT(J244,1)),""))</f>
        <v/>
      </c>
      <c r="AS244" s="35" t="str">
        <f aca="false">IF(OR(AO244&lt;&gt;1,G244=""),"",IFERROR(IF(INDEX(L_SrcInterne,MATCH(G244,L_Sources,0))="Oui",1,0),""))</f>
        <v/>
      </c>
      <c r="AT244" s="37" t="str">
        <f aca="false">IF(AO244&lt;&gt;1,"",IFERROR(ROUND(IF(OR(N244="",O244=""),"",IF(O244&lt;N244,"",ROUND(((NETWORKDAYS(N244,O244,JoursFeries)-1)*(HFer-HOuv)+IF(NETWORKDAYS(O244,O244,JoursFeries),MEDIAN(MOD(O244,1),HFer,HOuv),HFer)-IF(NETWORKDAYS(N244,N244,JoursFeries),MEDIAN(MOD(N244,1),HFer,HOuv),HOuv))*24,4)))/HJour,4),""))</f>
        <v/>
      </c>
      <c r="AU244" s="37" t="str">
        <f aca="false">IF(AO244&lt;&gt;1,"",IF(OR(O244="",P244=""),"",IF(P244&lt;O244,"",ROUND(((NETWORKDAYS(O244,P244,JoursFeries)-1)*(HFer-HOuv)+IF(NETWORKDAYS(P244,P244,JoursFeries),MEDIAN(MOD(P244,1),HFer,HOuv),HFer)-IF(NETWORKDAYS(O244,O244,JoursFeries),MEDIAN(MOD(O244,1),HFer,HOuv),HOuv))*24,4))))</f>
        <v/>
      </c>
      <c r="AV244" s="37" t="str">
        <f aca="false">IF(AO244&lt;&gt;1,"",IF(OR(P244="",Q244=""),"",IF(Q244&lt;P244,"",ROUND(((NETWORKDAYS(P244,Q244,JoursFeries)-1)*(HFer-HOuv)+IF(NETWORKDAYS(Q244,Q244,JoursFeries),MEDIAN(MOD(Q244,1),HFer,HOuv),HFer)-IF(NETWORKDAYS(P244,P244,JoursFeries),MEDIAN(MOD(P244,1),HFer,HOuv),HOuv))*24,4))))</f>
        <v/>
      </c>
      <c r="AW244" s="37" t="str">
        <f aca="false">IF(AO244&lt;&gt;1,"",IFERROR(ROUND(IF(OR(P244="",R244=""),"",IF(R244&lt;P244,"",ROUND(((NETWORKDAYS(P244,R244,JoursFeries)-1)*(HFer-HOuv)+IF(NETWORKDAYS(R244,R244,JoursFeries),MEDIAN(MOD(R244,1),HFer,HOuv),HFer)-IF(NETWORKDAYS(P244,P244,JoursFeries),MEDIAN(MOD(P244,1),HFer,HOuv),HOuv))*24,4)))/HJour,4),""))</f>
        <v/>
      </c>
      <c r="AX244" s="37" t="str">
        <f aca="false">IF(AO244&lt;&gt;1,"",IFERROR(ROUND(IF(OR(P244="",S244=""),"",IF(S244&lt;P244,"",ROUND(((NETWORKDAYS(P244,S244,JoursFeries)-1)*(HFer-HOuv)+IF(NETWORKDAYS(S244,S244,JoursFeries),MEDIAN(MOD(S244,1),HFer,HOuv),HFer)-IF(NETWORKDAYS(P244,P244,JoursFeries),MEDIAN(MOD(P244,1),HFer,HOuv),HOuv))*24,4)))/HJour,4),""))</f>
        <v/>
      </c>
      <c r="AY244" s="36" t="str">
        <f aca="false">IF(OR(AO244&lt;&gt;1,AR244=""),"",INDEX(SLA_PEC,AR244))</f>
        <v/>
      </c>
      <c r="AZ244" s="35" t="str">
        <f aca="false">IF(OR(AV244="",AY244=""),"",IF(AV244&lt;=AY244,1,0))</f>
        <v/>
      </c>
      <c r="BA244" s="36" t="str">
        <f aca="false">IF(OR(AO244&lt;&gt;1,AR244=""),"",INDEX(SLA_RES,AR244))</f>
        <v/>
      </c>
      <c r="BB244" s="35" t="str">
        <f aca="false">IF(OR(AW244="",BA244=""),"",IF(AW244&lt;=BA244,1,0))</f>
        <v/>
      </c>
      <c r="BC244" s="38" t="str">
        <f aca="false">IF(OR(BA244="",P244=""),"",WORKDAY(INT(P244),BA244,JoursFeries)+MOD(P244,1))</f>
        <v/>
      </c>
      <c r="BD244" s="39" t="str">
        <f aca="false">IF(AO244&lt;&gt;1,"",IF(OR(AB244&lt;&gt;"",AD244&lt;&gt;""),4,IF(U244&lt;&gt;"",3,IF(T244&lt;&gt;"",2,1))))</f>
        <v/>
      </c>
      <c r="BE244" s="39" t="str">
        <f aca="false">IF(OR(AO244&lt;&gt;1,AR244=""),"",INDEX(NIV_REQ,AR244))</f>
        <v/>
      </c>
      <c r="BF244" s="39" t="str">
        <f aca="false">IF(BE244="","",MAX(BE244,IF(OR(K244="Oui",Z244="Oui"),4,1)))</f>
        <v/>
      </c>
      <c r="BG244" s="35" t="str">
        <f aca="false">IF(OR(BF244="",BD244=""),"",IF(BD244&gt;=BF244,1,0))</f>
        <v/>
      </c>
      <c r="BH244" s="38" t="str">
        <f aca="false">IF(BE244="","",IF(BE244&lt;2,"",IF(BE244=2,IF(AND(T244="",U244=""),"",MIN(T244,U244)),IF(U244="","",U244))))</f>
        <v/>
      </c>
      <c r="BI244" s="37" t="str">
        <f aca="false">IF(BH244="","",IF(OR(O244="",BH244=""),"",IF(BH244&lt;O244,"",ROUND(((NETWORKDAYS(O244,BH244,JoursFeries)-1)*(HFer-HOuv)+IF(NETWORKDAYS(BH244,BH244,JoursFeries),MEDIAN(MOD(BH244,1),HFer,HOuv),HFer)-IF(NETWORKDAYS(O244,O244,JoursFeries),MEDIAN(MOD(O244,1),HFer,HOuv),HOuv))*24,4))))</f>
        <v/>
      </c>
      <c r="BJ244" s="35" t="str">
        <f aca="false">IF(OR(BI244="",AR244=""),"",IF(BI244&lt;=INDEX(DELAI_ESC,AR244),1,0))</f>
        <v/>
      </c>
      <c r="BK244" s="38" t="str">
        <f aca="false">IF(AO244&lt;&gt;1,"",IF(AND(T244="",U244=""),"",MIN(T244,U244)))</f>
        <v/>
      </c>
      <c r="BL244" s="37" t="str">
        <f aca="false">IF(OR(BK244="",R244=""),"",IFERROR(ROUND(IF(OR(BK244="",R244=""),"",IF(R244&lt;BK244,"",ROUND(((NETWORKDAYS(BK244,R244,JoursFeries)-1)*(HFer-HOuv)+IF(NETWORKDAYS(R244,R244,JoursFeries),MEDIAN(MOD(R244,1),HFer,HOuv),HFer)-IF(NETWORKDAYS(BK244,BK244,JoursFeries),MEDIAN(MOD(BK244,1),HFer,HOuv),HOuv))*24,4)))/HJour,4),""))</f>
        <v/>
      </c>
      <c r="BM244" s="35" t="str">
        <f aca="false">IF(OR(AO244&lt;&gt;1,R244=""),"",IF(BD244=1,1,0))</f>
        <v/>
      </c>
      <c r="BN244" s="35" t="str">
        <f aca="false">IF(AO244&lt;&gt;1,"",IF(W244="Oui",1,0))</f>
        <v/>
      </c>
      <c r="BO244" s="35" t="str">
        <f aca="false">IF(AO244&lt;&gt;1,"",IF(X244&lt;&gt;"",1,0))</f>
        <v/>
      </c>
      <c r="BP244" s="35" t="str">
        <f aca="false">IF(AO244&lt;&gt;1,"",IF(Y244="Oui",1,0))</f>
        <v/>
      </c>
      <c r="BQ244" s="35" t="str">
        <f aca="true">IF(OR(AO244&lt;&gt;1,Z244&lt;&gt;"Oui"),"",IF(AB244="",IF(AND(AA244&lt;&gt;"",NOW()&gt;AA244),0,""),IF(AA244="","",IF(AB244&lt;=AA244,1,0))))</f>
        <v/>
      </c>
      <c r="BR244" s="38" t="str">
        <f aca="false">IF(OR(AO244&lt;&gt;1,K244&lt;&gt;"Oui",O244=""),"",IF(AC244="",O244+DORA_H_DET/24,IF(AC244-O244&lt;=DORA_H_DET/24,MIN(AC244+DORA_H_CLA/24,O244+DORA_H_DET/24),AC244+DORA_H_CLA/24)))</f>
        <v/>
      </c>
      <c r="BS244" s="35" t="str">
        <f aca="true">IF(BR244="","",IF(AD244="",IF(NOW()&gt;BR244,0,""),IF(AD244&lt;=BR244,1,0)))</f>
        <v/>
      </c>
      <c r="BT244" s="35" t="str">
        <f aca="true">IF(OR(BR244="",AD244=""),"",IF(AE244="",IF(NOW()&gt;AD244+DORA_H_INT/24,0,""),IF(AE244&lt;=AD244+DORA_H_INT/24,1,0)))</f>
        <v/>
      </c>
      <c r="BU244" s="35" t="str">
        <f aca="true">IF(OR(BR244="",AE244=""),"",IF(AF244="",IF(NOW()&gt;EDATE(AE244,DORA_M_FIN)+1,0,""),IF(AF244&lt;=EDATE(AE244,DORA_M_FIN),1,0)))</f>
        <v/>
      </c>
      <c r="BV244" s="35" t="str">
        <f aca="false">IF(BR244="","",IF(COUNT(BS244:BU244)=0,"",MIN(BS244:BU244)))</f>
        <v/>
      </c>
      <c r="BW244" s="40" t="str">
        <f aca="false">IF(AQ244&lt;&gt;1,"",IF(AND(AG244="",AH244=""),"",N(AG244)-N(AH244)))</f>
        <v/>
      </c>
      <c r="BX244" s="35" t="str">
        <f aca="true">IF(OR(AQ244&lt;&gt;1,AI244&lt;&gt;"Oui",AJ244=""),"",IF(AK244="",IF(NOW()&gt;AJ244+1,0,""),IF(AK244&lt;=AJ244,1,0)))</f>
        <v/>
      </c>
    </row>
    <row r="245" customFormat="false" ht="15" hidden="false" customHeight="false" outlineLevel="0" collapsed="false">
      <c r="B245" s="29"/>
      <c r="C245" s="29"/>
      <c r="D245" s="29"/>
      <c r="E245" s="29"/>
      <c r="F245" s="29"/>
      <c r="G245" s="29"/>
      <c r="H245" s="29"/>
      <c r="I245" s="29"/>
      <c r="J245" s="29"/>
      <c r="K245" s="29"/>
      <c r="L245" s="29"/>
      <c r="M245" s="29"/>
      <c r="N245" s="30"/>
      <c r="O245" s="30"/>
      <c r="P245" s="30"/>
      <c r="Q245" s="30"/>
      <c r="R245" s="30"/>
      <c r="S245" s="30"/>
      <c r="T245" s="30"/>
      <c r="U245" s="30"/>
      <c r="V245" s="31"/>
      <c r="W245" s="29"/>
      <c r="X245" s="29"/>
      <c r="Y245" s="29"/>
      <c r="Z245" s="29"/>
      <c r="AA245" s="30"/>
      <c r="AB245" s="30"/>
      <c r="AC245" s="30"/>
      <c r="AD245" s="30"/>
      <c r="AE245" s="30"/>
      <c r="AF245" s="32"/>
      <c r="AG245" s="33"/>
      <c r="AH245" s="33"/>
      <c r="AI245" s="29"/>
      <c r="AJ245" s="32"/>
      <c r="AK245" s="32"/>
      <c r="AL245" s="29"/>
      <c r="AN245" s="34" t="str">
        <f aca="false">IF($B245="","",IF(OR(C245="",D245="",E245="",G245="",I245="",J245="",L245="",O245="",P245=""),"Champ obligatoire manquant",IF(OR(AND(N245&lt;&gt;"",N245&gt;O245),O245&gt;P245,AND(Q245&lt;&gt;"",Q245&lt;P245),AND(R245&lt;&gt;"",R245&lt;P245),AND(S245&lt;&gt;"",S245&lt;R245),AND(S245&lt;&gt;"",R245=""),AND(T245&lt;&gt;"",T245&lt;O245),AND(U245&lt;&gt;"",U245&lt;O245)),"Chronologie incohérente",IF(AND(OR(L245="Résolu",L245="Clos"),R245=""),"Date de résolution manquante",IF(AND(L245="Clos",S245=""),"Date de clôture manquante",IF(AND(K245="Oui",AC245=""),"Classification DORA manquante","OK"))))))</f>
        <v/>
      </c>
      <c r="AO245" s="35" t="str">
        <f aca="false">IF($B245="","",IF(AND(C245="Incident",L245&lt;&gt;"Annulé"),1,0))</f>
        <v/>
      </c>
      <c r="AP245" s="35" t="str">
        <f aca="false">IF($B245="","",IF(AND(C245="Quasi-incident",L245&lt;&gt;"Annulé"),1,0))</f>
        <v/>
      </c>
      <c r="AQ245" s="35" t="str">
        <f aca="false">IF($B245="","",AO245+AP245)</f>
        <v/>
      </c>
      <c r="AR245" s="36" t="str">
        <f aca="false">IF(OR($B245="",J245=""),"",IFERROR(VALUE(LEFT(J245,1)),""))</f>
        <v/>
      </c>
      <c r="AS245" s="35" t="str">
        <f aca="false">IF(OR(AO245&lt;&gt;1,G245=""),"",IFERROR(IF(INDEX(L_SrcInterne,MATCH(G245,L_Sources,0))="Oui",1,0),""))</f>
        <v/>
      </c>
      <c r="AT245" s="37" t="str">
        <f aca="false">IF(AO245&lt;&gt;1,"",IFERROR(ROUND(IF(OR(N245="",O245=""),"",IF(O245&lt;N245,"",ROUND(((NETWORKDAYS(N245,O245,JoursFeries)-1)*(HFer-HOuv)+IF(NETWORKDAYS(O245,O245,JoursFeries),MEDIAN(MOD(O245,1),HFer,HOuv),HFer)-IF(NETWORKDAYS(N245,N245,JoursFeries),MEDIAN(MOD(N245,1),HFer,HOuv),HOuv))*24,4)))/HJour,4),""))</f>
        <v/>
      </c>
      <c r="AU245" s="37" t="str">
        <f aca="false">IF(AO245&lt;&gt;1,"",IF(OR(O245="",P245=""),"",IF(P245&lt;O245,"",ROUND(((NETWORKDAYS(O245,P245,JoursFeries)-1)*(HFer-HOuv)+IF(NETWORKDAYS(P245,P245,JoursFeries),MEDIAN(MOD(P245,1),HFer,HOuv),HFer)-IF(NETWORKDAYS(O245,O245,JoursFeries),MEDIAN(MOD(O245,1),HFer,HOuv),HOuv))*24,4))))</f>
        <v/>
      </c>
      <c r="AV245" s="37" t="str">
        <f aca="false">IF(AO245&lt;&gt;1,"",IF(OR(P245="",Q245=""),"",IF(Q245&lt;P245,"",ROUND(((NETWORKDAYS(P245,Q245,JoursFeries)-1)*(HFer-HOuv)+IF(NETWORKDAYS(Q245,Q245,JoursFeries),MEDIAN(MOD(Q245,1),HFer,HOuv),HFer)-IF(NETWORKDAYS(P245,P245,JoursFeries),MEDIAN(MOD(P245,1),HFer,HOuv),HOuv))*24,4))))</f>
        <v/>
      </c>
      <c r="AW245" s="37" t="str">
        <f aca="false">IF(AO245&lt;&gt;1,"",IFERROR(ROUND(IF(OR(P245="",R245=""),"",IF(R245&lt;P245,"",ROUND(((NETWORKDAYS(P245,R245,JoursFeries)-1)*(HFer-HOuv)+IF(NETWORKDAYS(R245,R245,JoursFeries),MEDIAN(MOD(R245,1),HFer,HOuv),HFer)-IF(NETWORKDAYS(P245,P245,JoursFeries),MEDIAN(MOD(P245,1),HFer,HOuv),HOuv))*24,4)))/HJour,4),""))</f>
        <v/>
      </c>
      <c r="AX245" s="37" t="str">
        <f aca="false">IF(AO245&lt;&gt;1,"",IFERROR(ROUND(IF(OR(P245="",S245=""),"",IF(S245&lt;P245,"",ROUND(((NETWORKDAYS(P245,S245,JoursFeries)-1)*(HFer-HOuv)+IF(NETWORKDAYS(S245,S245,JoursFeries),MEDIAN(MOD(S245,1),HFer,HOuv),HFer)-IF(NETWORKDAYS(P245,P245,JoursFeries),MEDIAN(MOD(P245,1),HFer,HOuv),HOuv))*24,4)))/HJour,4),""))</f>
        <v/>
      </c>
      <c r="AY245" s="36" t="str">
        <f aca="false">IF(OR(AO245&lt;&gt;1,AR245=""),"",INDEX(SLA_PEC,AR245))</f>
        <v/>
      </c>
      <c r="AZ245" s="35" t="str">
        <f aca="false">IF(OR(AV245="",AY245=""),"",IF(AV245&lt;=AY245,1,0))</f>
        <v/>
      </c>
      <c r="BA245" s="36" t="str">
        <f aca="false">IF(OR(AO245&lt;&gt;1,AR245=""),"",INDEX(SLA_RES,AR245))</f>
        <v/>
      </c>
      <c r="BB245" s="35" t="str">
        <f aca="false">IF(OR(AW245="",BA245=""),"",IF(AW245&lt;=BA245,1,0))</f>
        <v/>
      </c>
      <c r="BC245" s="38" t="str">
        <f aca="false">IF(OR(BA245="",P245=""),"",WORKDAY(INT(P245),BA245,JoursFeries)+MOD(P245,1))</f>
        <v/>
      </c>
      <c r="BD245" s="39" t="str">
        <f aca="false">IF(AO245&lt;&gt;1,"",IF(OR(AB245&lt;&gt;"",AD245&lt;&gt;""),4,IF(U245&lt;&gt;"",3,IF(T245&lt;&gt;"",2,1))))</f>
        <v/>
      </c>
      <c r="BE245" s="39" t="str">
        <f aca="false">IF(OR(AO245&lt;&gt;1,AR245=""),"",INDEX(NIV_REQ,AR245))</f>
        <v/>
      </c>
      <c r="BF245" s="39" t="str">
        <f aca="false">IF(BE245="","",MAX(BE245,IF(OR(K245="Oui",Z245="Oui"),4,1)))</f>
        <v/>
      </c>
      <c r="BG245" s="35" t="str">
        <f aca="false">IF(OR(BF245="",BD245=""),"",IF(BD245&gt;=BF245,1,0))</f>
        <v/>
      </c>
      <c r="BH245" s="38" t="str">
        <f aca="false">IF(BE245="","",IF(BE245&lt;2,"",IF(BE245=2,IF(AND(T245="",U245=""),"",MIN(T245,U245)),IF(U245="","",U245))))</f>
        <v/>
      </c>
      <c r="BI245" s="37" t="str">
        <f aca="false">IF(BH245="","",IF(OR(O245="",BH245=""),"",IF(BH245&lt;O245,"",ROUND(((NETWORKDAYS(O245,BH245,JoursFeries)-1)*(HFer-HOuv)+IF(NETWORKDAYS(BH245,BH245,JoursFeries),MEDIAN(MOD(BH245,1),HFer,HOuv),HFer)-IF(NETWORKDAYS(O245,O245,JoursFeries),MEDIAN(MOD(O245,1),HFer,HOuv),HOuv))*24,4))))</f>
        <v/>
      </c>
      <c r="BJ245" s="35" t="str">
        <f aca="false">IF(OR(BI245="",AR245=""),"",IF(BI245&lt;=INDEX(DELAI_ESC,AR245),1,0))</f>
        <v/>
      </c>
      <c r="BK245" s="38" t="str">
        <f aca="false">IF(AO245&lt;&gt;1,"",IF(AND(T245="",U245=""),"",MIN(T245,U245)))</f>
        <v/>
      </c>
      <c r="BL245" s="37" t="str">
        <f aca="false">IF(OR(BK245="",R245=""),"",IFERROR(ROUND(IF(OR(BK245="",R245=""),"",IF(R245&lt;BK245,"",ROUND(((NETWORKDAYS(BK245,R245,JoursFeries)-1)*(HFer-HOuv)+IF(NETWORKDAYS(R245,R245,JoursFeries),MEDIAN(MOD(R245,1),HFer,HOuv),HFer)-IF(NETWORKDAYS(BK245,BK245,JoursFeries),MEDIAN(MOD(BK245,1),HFer,HOuv),HOuv))*24,4)))/HJour,4),""))</f>
        <v/>
      </c>
      <c r="BM245" s="35" t="str">
        <f aca="false">IF(OR(AO245&lt;&gt;1,R245=""),"",IF(BD245=1,1,0))</f>
        <v/>
      </c>
      <c r="BN245" s="35" t="str">
        <f aca="false">IF(AO245&lt;&gt;1,"",IF(W245="Oui",1,0))</f>
        <v/>
      </c>
      <c r="BO245" s="35" t="str">
        <f aca="false">IF(AO245&lt;&gt;1,"",IF(X245&lt;&gt;"",1,0))</f>
        <v/>
      </c>
      <c r="BP245" s="35" t="str">
        <f aca="false">IF(AO245&lt;&gt;1,"",IF(Y245="Oui",1,0))</f>
        <v/>
      </c>
      <c r="BQ245" s="35" t="str">
        <f aca="true">IF(OR(AO245&lt;&gt;1,Z245&lt;&gt;"Oui"),"",IF(AB245="",IF(AND(AA245&lt;&gt;"",NOW()&gt;AA245),0,""),IF(AA245="","",IF(AB245&lt;=AA245,1,0))))</f>
        <v/>
      </c>
      <c r="BR245" s="38" t="str">
        <f aca="false">IF(OR(AO245&lt;&gt;1,K245&lt;&gt;"Oui",O245=""),"",IF(AC245="",O245+DORA_H_DET/24,IF(AC245-O245&lt;=DORA_H_DET/24,MIN(AC245+DORA_H_CLA/24,O245+DORA_H_DET/24),AC245+DORA_H_CLA/24)))</f>
        <v/>
      </c>
      <c r="BS245" s="35" t="str">
        <f aca="true">IF(BR245="","",IF(AD245="",IF(NOW()&gt;BR245,0,""),IF(AD245&lt;=BR245,1,0)))</f>
        <v/>
      </c>
      <c r="BT245" s="35" t="str">
        <f aca="true">IF(OR(BR245="",AD245=""),"",IF(AE245="",IF(NOW()&gt;AD245+DORA_H_INT/24,0,""),IF(AE245&lt;=AD245+DORA_H_INT/24,1,0)))</f>
        <v/>
      </c>
      <c r="BU245" s="35" t="str">
        <f aca="true">IF(OR(BR245="",AE245=""),"",IF(AF245="",IF(NOW()&gt;EDATE(AE245,DORA_M_FIN)+1,0,""),IF(AF245&lt;=EDATE(AE245,DORA_M_FIN),1,0)))</f>
        <v/>
      </c>
      <c r="BV245" s="35" t="str">
        <f aca="false">IF(BR245="","",IF(COUNT(BS245:BU245)=0,"",MIN(BS245:BU245)))</f>
        <v/>
      </c>
      <c r="BW245" s="40" t="str">
        <f aca="false">IF(AQ245&lt;&gt;1,"",IF(AND(AG245="",AH245=""),"",N(AG245)-N(AH245)))</f>
        <v/>
      </c>
      <c r="BX245" s="35" t="str">
        <f aca="true">IF(OR(AQ245&lt;&gt;1,AI245&lt;&gt;"Oui",AJ245=""),"",IF(AK245="",IF(NOW()&gt;AJ245+1,0,""),IF(AK245&lt;=AJ245,1,0)))</f>
        <v/>
      </c>
    </row>
    <row r="246" customFormat="false" ht="15" hidden="false" customHeight="false" outlineLevel="0" collapsed="false">
      <c r="B246" s="29"/>
      <c r="C246" s="29"/>
      <c r="D246" s="29"/>
      <c r="E246" s="29"/>
      <c r="F246" s="29"/>
      <c r="G246" s="29"/>
      <c r="H246" s="29"/>
      <c r="I246" s="29"/>
      <c r="J246" s="29"/>
      <c r="K246" s="29"/>
      <c r="L246" s="29"/>
      <c r="M246" s="29"/>
      <c r="N246" s="30"/>
      <c r="O246" s="30"/>
      <c r="P246" s="30"/>
      <c r="Q246" s="30"/>
      <c r="R246" s="30"/>
      <c r="S246" s="30"/>
      <c r="T246" s="30"/>
      <c r="U246" s="30"/>
      <c r="V246" s="31"/>
      <c r="W246" s="29"/>
      <c r="X246" s="29"/>
      <c r="Y246" s="29"/>
      <c r="Z246" s="29"/>
      <c r="AA246" s="30"/>
      <c r="AB246" s="30"/>
      <c r="AC246" s="30"/>
      <c r="AD246" s="30"/>
      <c r="AE246" s="30"/>
      <c r="AF246" s="32"/>
      <c r="AG246" s="33"/>
      <c r="AH246" s="33"/>
      <c r="AI246" s="29"/>
      <c r="AJ246" s="32"/>
      <c r="AK246" s="32"/>
      <c r="AL246" s="29"/>
      <c r="AN246" s="34" t="str">
        <f aca="false">IF($B246="","",IF(OR(C246="",D246="",E246="",G246="",I246="",J246="",L246="",O246="",P246=""),"Champ obligatoire manquant",IF(OR(AND(N246&lt;&gt;"",N246&gt;O246),O246&gt;P246,AND(Q246&lt;&gt;"",Q246&lt;P246),AND(R246&lt;&gt;"",R246&lt;P246),AND(S246&lt;&gt;"",S246&lt;R246),AND(S246&lt;&gt;"",R246=""),AND(T246&lt;&gt;"",T246&lt;O246),AND(U246&lt;&gt;"",U246&lt;O246)),"Chronologie incohérente",IF(AND(OR(L246="Résolu",L246="Clos"),R246=""),"Date de résolution manquante",IF(AND(L246="Clos",S246=""),"Date de clôture manquante",IF(AND(K246="Oui",AC246=""),"Classification DORA manquante","OK"))))))</f>
        <v/>
      </c>
      <c r="AO246" s="35" t="str">
        <f aca="false">IF($B246="","",IF(AND(C246="Incident",L246&lt;&gt;"Annulé"),1,0))</f>
        <v/>
      </c>
      <c r="AP246" s="35" t="str">
        <f aca="false">IF($B246="","",IF(AND(C246="Quasi-incident",L246&lt;&gt;"Annulé"),1,0))</f>
        <v/>
      </c>
      <c r="AQ246" s="35" t="str">
        <f aca="false">IF($B246="","",AO246+AP246)</f>
        <v/>
      </c>
      <c r="AR246" s="36" t="str">
        <f aca="false">IF(OR($B246="",J246=""),"",IFERROR(VALUE(LEFT(J246,1)),""))</f>
        <v/>
      </c>
      <c r="AS246" s="35" t="str">
        <f aca="false">IF(OR(AO246&lt;&gt;1,G246=""),"",IFERROR(IF(INDEX(L_SrcInterne,MATCH(G246,L_Sources,0))="Oui",1,0),""))</f>
        <v/>
      </c>
      <c r="AT246" s="37" t="str">
        <f aca="false">IF(AO246&lt;&gt;1,"",IFERROR(ROUND(IF(OR(N246="",O246=""),"",IF(O246&lt;N246,"",ROUND(((NETWORKDAYS(N246,O246,JoursFeries)-1)*(HFer-HOuv)+IF(NETWORKDAYS(O246,O246,JoursFeries),MEDIAN(MOD(O246,1),HFer,HOuv),HFer)-IF(NETWORKDAYS(N246,N246,JoursFeries),MEDIAN(MOD(N246,1),HFer,HOuv),HOuv))*24,4)))/HJour,4),""))</f>
        <v/>
      </c>
      <c r="AU246" s="37" t="str">
        <f aca="false">IF(AO246&lt;&gt;1,"",IF(OR(O246="",P246=""),"",IF(P246&lt;O246,"",ROUND(((NETWORKDAYS(O246,P246,JoursFeries)-1)*(HFer-HOuv)+IF(NETWORKDAYS(P246,P246,JoursFeries),MEDIAN(MOD(P246,1),HFer,HOuv),HFer)-IF(NETWORKDAYS(O246,O246,JoursFeries),MEDIAN(MOD(O246,1),HFer,HOuv),HOuv))*24,4))))</f>
        <v/>
      </c>
      <c r="AV246" s="37" t="str">
        <f aca="false">IF(AO246&lt;&gt;1,"",IF(OR(P246="",Q246=""),"",IF(Q246&lt;P246,"",ROUND(((NETWORKDAYS(P246,Q246,JoursFeries)-1)*(HFer-HOuv)+IF(NETWORKDAYS(Q246,Q246,JoursFeries),MEDIAN(MOD(Q246,1),HFer,HOuv),HFer)-IF(NETWORKDAYS(P246,P246,JoursFeries),MEDIAN(MOD(P246,1),HFer,HOuv),HOuv))*24,4))))</f>
        <v/>
      </c>
      <c r="AW246" s="37" t="str">
        <f aca="false">IF(AO246&lt;&gt;1,"",IFERROR(ROUND(IF(OR(P246="",R246=""),"",IF(R246&lt;P246,"",ROUND(((NETWORKDAYS(P246,R246,JoursFeries)-1)*(HFer-HOuv)+IF(NETWORKDAYS(R246,R246,JoursFeries),MEDIAN(MOD(R246,1),HFer,HOuv),HFer)-IF(NETWORKDAYS(P246,P246,JoursFeries),MEDIAN(MOD(P246,1),HFer,HOuv),HOuv))*24,4)))/HJour,4),""))</f>
        <v/>
      </c>
      <c r="AX246" s="37" t="str">
        <f aca="false">IF(AO246&lt;&gt;1,"",IFERROR(ROUND(IF(OR(P246="",S246=""),"",IF(S246&lt;P246,"",ROUND(((NETWORKDAYS(P246,S246,JoursFeries)-1)*(HFer-HOuv)+IF(NETWORKDAYS(S246,S246,JoursFeries),MEDIAN(MOD(S246,1),HFer,HOuv),HFer)-IF(NETWORKDAYS(P246,P246,JoursFeries),MEDIAN(MOD(P246,1),HFer,HOuv),HOuv))*24,4)))/HJour,4),""))</f>
        <v/>
      </c>
      <c r="AY246" s="36" t="str">
        <f aca="false">IF(OR(AO246&lt;&gt;1,AR246=""),"",INDEX(SLA_PEC,AR246))</f>
        <v/>
      </c>
      <c r="AZ246" s="35" t="str">
        <f aca="false">IF(OR(AV246="",AY246=""),"",IF(AV246&lt;=AY246,1,0))</f>
        <v/>
      </c>
      <c r="BA246" s="36" t="str">
        <f aca="false">IF(OR(AO246&lt;&gt;1,AR246=""),"",INDEX(SLA_RES,AR246))</f>
        <v/>
      </c>
      <c r="BB246" s="35" t="str">
        <f aca="false">IF(OR(AW246="",BA246=""),"",IF(AW246&lt;=BA246,1,0))</f>
        <v/>
      </c>
      <c r="BC246" s="38" t="str">
        <f aca="false">IF(OR(BA246="",P246=""),"",WORKDAY(INT(P246),BA246,JoursFeries)+MOD(P246,1))</f>
        <v/>
      </c>
      <c r="BD246" s="39" t="str">
        <f aca="false">IF(AO246&lt;&gt;1,"",IF(OR(AB246&lt;&gt;"",AD246&lt;&gt;""),4,IF(U246&lt;&gt;"",3,IF(T246&lt;&gt;"",2,1))))</f>
        <v/>
      </c>
      <c r="BE246" s="39" t="str">
        <f aca="false">IF(OR(AO246&lt;&gt;1,AR246=""),"",INDEX(NIV_REQ,AR246))</f>
        <v/>
      </c>
      <c r="BF246" s="39" t="str">
        <f aca="false">IF(BE246="","",MAX(BE246,IF(OR(K246="Oui",Z246="Oui"),4,1)))</f>
        <v/>
      </c>
      <c r="BG246" s="35" t="str">
        <f aca="false">IF(OR(BF246="",BD246=""),"",IF(BD246&gt;=BF246,1,0))</f>
        <v/>
      </c>
      <c r="BH246" s="38" t="str">
        <f aca="false">IF(BE246="","",IF(BE246&lt;2,"",IF(BE246=2,IF(AND(T246="",U246=""),"",MIN(T246,U246)),IF(U246="","",U246))))</f>
        <v/>
      </c>
      <c r="BI246" s="37" t="str">
        <f aca="false">IF(BH246="","",IF(OR(O246="",BH246=""),"",IF(BH246&lt;O246,"",ROUND(((NETWORKDAYS(O246,BH246,JoursFeries)-1)*(HFer-HOuv)+IF(NETWORKDAYS(BH246,BH246,JoursFeries),MEDIAN(MOD(BH246,1),HFer,HOuv),HFer)-IF(NETWORKDAYS(O246,O246,JoursFeries),MEDIAN(MOD(O246,1),HFer,HOuv),HOuv))*24,4))))</f>
        <v/>
      </c>
      <c r="BJ246" s="35" t="str">
        <f aca="false">IF(OR(BI246="",AR246=""),"",IF(BI246&lt;=INDEX(DELAI_ESC,AR246),1,0))</f>
        <v/>
      </c>
      <c r="BK246" s="38" t="str">
        <f aca="false">IF(AO246&lt;&gt;1,"",IF(AND(T246="",U246=""),"",MIN(T246,U246)))</f>
        <v/>
      </c>
      <c r="BL246" s="37" t="str">
        <f aca="false">IF(OR(BK246="",R246=""),"",IFERROR(ROUND(IF(OR(BK246="",R246=""),"",IF(R246&lt;BK246,"",ROUND(((NETWORKDAYS(BK246,R246,JoursFeries)-1)*(HFer-HOuv)+IF(NETWORKDAYS(R246,R246,JoursFeries),MEDIAN(MOD(R246,1),HFer,HOuv),HFer)-IF(NETWORKDAYS(BK246,BK246,JoursFeries),MEDIAN(MOD(BK246,1),HFer,HOuv),HOuv))*24,4)))/HJour,4),""))</f>
        <v/>
      </c>
      <c r="BM246" s="35" t="str">
        <f aca="false">IF(OR(AO246&lt;&gt;1,R246=""),"",IF(BD246=1,1,0))</f>
        <v/>
      </c>
      <c r="BN246" s="35" t="str">
        <f aca="false">IF(AO246&lt;&gt;1,"",IF(W246="Oui",1,0))</f>
        <v/>
      </c>
      <c r="BO246" s="35" t="str">
        <f aca="false">IF(AO246&lt;&gt;1,"",IF(X246&lt;&gt;"",1,0))</f>
        <v/>
      </c>
      <c r="BP246" s="35" t="str">
        <f aca="false">IF(AO246&lt;&gt;1,"",IF(Y246="Oui",1,0))</f>
        <v/>
      </c>
      <c r="BQ246" s="35" t="str">
        <f aca="true">IF(OR(AO246&lt;&gt;1,Z246&lt;&gt;"Oui"),"",IF(AB246="",IF(AND(AA246&lt;&gt;"",NOW()&gt;AA246),0,""),IF(AA246="","",IF(AB246&lt;=AA246,1,0))))</f>
        <v/>
      </c>
      <c r="BR246" s="38" t="str">
        <f aca="false">IF(OR(AO246&lt;&gt;1,K246&lt;&gt;"Oui",O246=""),"",IF(AC246="",O246+DORA_H_DET/24,IF(AC246-O246&lt;=DORA_H_DET/24,MIN(AC246+DORA_H_CLA/24,O246+DORA_H_DET/24),AC246+DORA_H_CLA/24)))</f>
        <v/>
      </c>
      <c r="BS246" s="35" t="str">
        <f aca="true">IF(BR246="","",IF(AD246="",IF(NOW()&gt;BR246,0,""),IF(AD246&lt;=BR246,1,0)))</f>
        <v/>
      </c>
      <c r="BT246" s="35" t="str">
        <f aca="true">IF(OR(BR246="",AD246=""),"",IF(AE246="",IF(NOW()&gt;AD246+DORA_H_INT/24,0,""),IF(AE246&lt;=AD246+DORA_H_INT/24,1,0)))</f>
        <v/>
      </c>
      <c r="BU246" s="35" t="str">
        <f aca="true">IF(OR(BR246="",AE246=""),"",IF(AF246="",IF(NOW()&gt;EDATE(AE246,DORA_M_FIN)+1,0,""),IF(AF246&lt;=EDATE(AE246,DORA_M_FIN),1,0)))</f>
        <v/>
      </c>
      <c r="BV246" s="35" t="str">
        <f aca="false">IF(BR246="","",IF(COUNT(BS246:BU246)=0,"",MIN(BS246:BU246)))</f>
        <v/>
      </c>
      <c r="BW246" s="40" t="str">
        <f aca="false">IF(AQ246&lt;&gt;1,"",IF(AND(AG246="",AH246=""),"",N(AG246)-N(AH246)))</f>
        <v/>
      </c>
      <c r="BX246" s="35" t="str">
        <f aca="true">IF(OR(AQ246&lt;&gt;1,AI246&lt;&gt;"Oui",AJ246=""),"",IF(AK246="",IF(NOW()&gt;AJ246+1,0,""),IF(AK246&lt;=AJ246,1,0)))</f>
        <v/>
      </c>
    </row>
    <row r="247" customFormat="false" ht="15" hidden="false" customHeight="false" outlineLevel="0" collapsed="false">
      <c r="B247" s="29"/>
      <c r="C247" s="29"/>
      <c r="D247" s="29"/>
      <c r="E247" s="29"/>
      <c r="F247" s="29"/>
      <c r="G247" s="29"/>
      <c r="H247" s="29"/>
      <c r="I247" s="29"/>
      <c r="J247" s="29"/>
      <c r="K247" s="29"/>
      <c r="L247" s="29"/>
      <c r="M247" s="29"/>
      <c r="N247" s="30"/>
      <c r="O247" s="30"/>
      <c r="P247" s="30"/>
      <c r="Q247" s="30"/>
      <c r="R247" s="30"/>
      <c r="S247" s="30"/>
      <c r="T247" s="30"/>
      <c r="U247" s="30"/>
      <c r="V247" s="31"/>
      <c r="W247" s="29"/>
      <c r="X247" s="29"/>
      <c r="Y247" s="29"/>
      <c r="Z247" s="29"/>
      <c r="AA247" s="30"/>
      <c r="AB247" s="30"/>
      <c r="AC247" s="30"/>
      <c r="AD247" s="30"/>
      <c r="AE247" s="30"/>
      <c r="AF247" s="32"/>
      <c r="AG247" s="33"/>
      <c r="AH247" s="33"/>
      <c r="AI247" s="29"/>
      <c r="AJ247" s="32"/>
      <c r="AK247" s="32"/>
      <c r="AL247" s="29"/>
      <c r="AN247" s="34" t="str">
        <f aca="false">IF($B247="","",IF(OR(C247="",D247="",E247="",G247="",I247="",J247="",L247="",O247="",P247=""),"Champ obligatoire manquant",IF(OR(AND(N247&lt;&gt;"",N247&gt;O247),O247&gt;P247,AND(Q247&lt;&gt;"",Q247&lt;P247),AND(R247&lt;&gt;"",R247&lt;P247),AND(S247&lt;&gt;"",S247&lt;R247),AND(S247&lt;&gt;"",R247=""),AND(T247&lt;&gt;"",T247&lt;O247),AND(U247&lt;&gt;"",U247&lt;O247)),"Chronologie incohérente",IF(AND(OR(L247="Résolu",L247="Clos"),R247=""),"Date de résolution manquante",IF(AND(L247="Clos",S247=""),"Date de clôture manquante",IF(AND(K247="Oui",AC247=""),"Classification DORA manquante","OK"))))))</f>
        <v/>
      </c>
      <c r="AO247" s="35" t="str">
        <f aca="false">IF($B247="","",IF(AND(C247="Incident",L247&lt;&gt;"Annulé"),1,0))</f>
        <v/>
      </c>
      <c r="AP247" s="35" t="str">
        <f aca="false">IF($B247="","",IF(AND(C247="Quasi-incident",L247&lt;&gt;"Annulé"),1,0))</f>
        <v/>
      </c>
      <c r="AQ247" s="35" t="str">
        <f aca="false">IF($B247="","",AO247+AP247)</f>
        <v/>
      </c>
      <c r="AR247" s="36" t="str">
        <f aca="false">IF(OR($B247="",J247=""),"",IFERROR(VALUE(LEFT(J247,1)),""))</f>
        <v/>
      </c>
      <c r="AS247" s="35" t="str">
        <f aca="false">IF(OR(AO247&lt;&gt;1,G247=""),"",IFERROR(IF(INDEX(L_SrcInterne,MATCH(G247,L_Sources,0))="Oui",1,0),""))</f>
        <v/>
      </c>
      <c r="AT247" s="37" t="str">
        <f aca="false">IF(AO247&lt;&gt;1,"",IFERROR(ROUND(IF(OR(N247="",O247=""),"",IF(O247&lt;N247,"",ROUND(((NETWORKDAYS(N247,O247,JoursFeries)-1)*(HFer-HOuv)+IF(NETWORKDAYS(O247,O247,JoursFeries),MEDIAN(MOD(O247,1),HFer,HOuv),HFer)-IF(NETWORKDAYS(N247,N247,JoursFeries),MEDIAN(MOD(N247,1),HFer,HOuv),HOuv))*24,4)))/HJour,4),""))</f>
        <v/>
      </c>
      <c r="AU247" s="37" t="str">
        <f aca="false">IF(AO247&lt;&gt;1,"",IF(OR(O247="",P247=""),"",IF(P247&lt;O247,"",ROUND(((NETWORKDAYS(O247,P247,JoursFeries)-1)*(HFer-HOuv)+IF(NETWORKDAYS(P247,P247,JoursFeries),MEDIAN(MOD(P247,1),HFer,HOuv),HFer)-IF(NETWORKDAYS(O247,O247,JoursFeries),MEDIAN(MOD(O247,1),HFer,HOuv),HOuv))*24,4))))</f>
        <v/>
      </c>
      <c r="AV247" s="37" t="str">
        <f aca="false">IF(AO247&lt;&gt;1,"",IF(OR(P247="",Q247=""),"",IF(Q247&lt;P247,"",ROUND(((NETWORKDAYS(P247,Q247,JoursFeries)-1)*(HFer-HOuv)+IF(NETWORKDAYS(Q247,Q247,JoursFeries),MEDIAN(MOD(Q247,1),HFer,HOuv),HFer)-IF(NETWORKDAYS(P247,P247,JoursFeries),MEDIAN(MOD(P247,1),HFer,HOuv),HOuv))*24,4))))</f>
        <v/>
      </c>
      <c r="AW247" s="37" t="str">
        <f aca="false">IF(AO247&lt;&gt;1,"",IFERROR(ROUND(IF(OR(P247="",R247=""),"",IF(R247&lt;P247,"",ROUND(((NETWORKDAYS(P247,R247,JoursFeries)-1)*(HFer-HOuv)+IF(NETWORKDAYS(R247,R247,JoursFeries),MEDIAN(MOD(R247,1),HFer,HOuv),HFer)-IF(NETWORKDAYS(P247,P247,JoursFeries),MEDIAN(MOD(P247,1),HFer,HOuv),HOuv))*24,4)))/HJour,4),""))</f>
        <v/>
      </c>
      <c r="AX247" s="37" t="str">
        <f aca="false">IF(AO247&lt;&gt;1,"",IFERROR(ROUND(IF(OR(P247="",S247=""),"",IF(S247&lt;P247,"",ROUND(((NETWORKDAYS(P247,S247,JoursFeries)-1)*(HFer-HOuv)+IF(NETWORKDAYS(S247,S247,JoursFeries),MEDIAN(MOD(S247,1),HFer,HOuv),HFer)-IF(NETWORKDAYS(P247,P247,JoursFeries),MEDIAN(MOD(P247,1),HFer,HOuv),HOuv))*24,4)))/HJour,4),""))</f>
        <v/>
      </c>
      <c r="AY247" s="36" t="str">
        <f aca="false">IF(OR(AO247&lt;&gt;1,AR247=""),"",INDEX(SLA_PEC,AR247))</f>
        <v/>
      </c>
      <c r="AZ247" s="35" t="str">
        <f aca="false">IF(OR(AV247="",AY247=""),"",IF(AV247&lt;=AY247,1,0))</f>
        <v/>
      </c>
      <c r="BA247" s="36" t="str">
        <f aca="false">IF(OR(AO247&lt;&gt;1,AR247=""),"",INDEX(SLA_RES,AR247))</f>
        <v/>
      </c>
      <c r="BB247" s="35" t="str">
        <f aca="false">IF(OR(AW247="",BA247=""),"",IF(AW247&lt;=BA247,1,0))</f>
        <v/>
      </c>
      <c r="BC247" s="38" t="str">
        <f aca="false">IF(OR(BA247="",P247=""),"",WORKDAY(INT(P247),BA247,JoursFeries)+MOD(P247,1))</f>
        <v/>
      </c>
      <c r="BD247" s="39" t="str">
        <f aca="false">IF(AO247&lt;&gt;1,"",IF(OR(AB247&lt;&gt;"",AD247&lt;&gt;""),4,IF(U247&lt;&gt;"",3,IF(T247&lt;&gt;"",2,1))))</f>
        <v/>
      </c>
      <c r="BE247" s="39" t="str">
        <f aca="false">IF(OR(AO247&lt;&gt;1,AR247=""),"",INDEX(NIV_REQ,AR247))</f>
        <v/>
      </c>
      <c r="BF247" s="39" t="str">
        <f aca="false">IF(BE247="","",MAX(BE247,IF(OR(K247="Oui",Z247="Oui"),4,1)))</f>
        <v/>
      </c>
      <c r="BG247" s="35" t="str">
        <f aca="false">IF(OR(BF247="",BD247=""),"",IF(BD247&gt;=BF247,1,0))</f>
        <v/>
      </c>
      <c r="BH247" s="38" t="str">
        <f aca="false">IF(BE247="","",IF(BE247&lt;2,"",IF(BE247=2,IF(AND(T247="",U247=""),"",MIN(T247,U247)),IF(U247="","",U247))))</f>
        <v/>
      </c>
      <c r="BI247" s="37" t="str">
        <f aca="false">IF(BH247="","",IF(OR(O247="",BH247=""),"",IF(BH247&lt;O247,"",ROUND(((NETWORKDAYS(O247,BH247,JoursFeries)-1)*(HFer-HOuv)+IF(NETWORKDAYS(BH247,BH247,JoursFeries),MEDIAN(MOD(BH247,1),HFer,HOuv),HFer)-IF(NETWORKDAYS(O247,O247,JoursFeries),MEDIAN(MOD(O247,1),HFer,HOuv),HOuv))*24,4))))</f>
        <v/>
      </c>
      <c r="BJ247" s="35" t="str">
        <f aca="false">IF(OR(BI247="",AR247=""),"",IF(BI247&lt;=INDEX(DELAI_ESC,AR247),1,0))</f>
        <v/>
      </c>
      <c r="BK247" s="38" t="str">
        <f aca="false">IF(AO247&lt;&gt;1,"",IF(AND(T247="",U247=""),"",MIN(T247,U247)))</f>
        <v/>
      </c>
      <c r="BL247" s="37" t="str">
        <f aca="false">IF(OR(BK247="",R247=""),"",IFERROR(ROUND(IF(OR(BK247="",R247=""),"",IF(R247&lt;BK247,"",ROUND(((NETWORKDAYS(BK247,R247,JoursFeries)-1)*(HFer-HOuv)+IF(NETWORKDAYS(R247,R247,JoursFeries),MEDIAN(MOD(R247,1),HFer,HOuv),HFer)-IF(NETWORKDAYS(BK247,BK247,JoursFeries),MEDIAN(MOD(BK247,1),HFer,HOuv),HOuv))*24,4)))/HJour,4),""))</f>
        <v/>
      </c>
      <c r="BM247" s="35" t="str">
        <f aca="false">IF(OR(AO247&lt;&gt;1,R247=""),"",IF(BD247=1,1,0))</f>
        <v/>
      </c>
      <c r="BN247" s="35" t="str">
        <f aca="false">IF(AO247&lt;&gt;1,"",IF(W247="Oui",1,0))</f>
        <v/>
      </c>
      <c r="BO247" s="35" t="str">
        <f aca="false">IF(AO247&lt;&gt;1,"",IF(X247&lt;&gt;"",1,0))</f>
        <v/>
      </c>
      <c r="BP247" s="35" t="str">
        <f aca="false">IF(AO247&lt;&gt;1,"",IF(Y247="Oui",1,0))</f>
        <v/>
      </c>
      <c r="BQ247" s="35" t="str">
        <f aca="true">IF(OR(AO247&lt;&gt;1,Z247&lt;&gt;"Oui"),"",IF(AB247="",IF(AND(AA247&lt;&gt;"",NOW()&gt;AA247),0,""),IF(AA247="","",IF(AB247&lt;=AA247,1,0))))</f>
        <v/>
      </c>
      <c r="BR247" s="38" t="str">
        <f aca="false">IF(OR(AO247&lt;&gt;1,K247&lt;&gt;"Oui",O247=""),"",IF(AC247="",O247+DORA_H_DET/24,IF(AC247-O247&lt;=DORA_H_DET/24,MIN(AC247+DORA_H_CLA/24,O247+DORA_H_DET/24),AC247+DORA_H_CLA/24)))</f>
        <v/>
      </c>
      <c r="BS247" s="35" t="str">
        <f aca="true">IF(BR247="","",IF(AD247="",IF(NOW()&gt;BR247,0,""),IF(AD247&lt;=BR247,1,0)))</f>
        <v/>
      </c>
      <c r="BT247" s="35" t="str">
        <f aca="true">IF(OR(BR247="",AD247=""),"",IF(AE247="",IF(NOW()&gt;AD247+DORA_H_INT/24,0,""),IF(AE247&lt;=AD247+DORA_H_INT/24,1,0)))</f>
        <v/>
      </c>
      <c r="BU247" s="35" t="str">
        <f aca="true">IF(OR(BR247="",AE247=""),"",IF(AF247="",IF(NOW()&gt;EDATE(AE247,DORA_M_FIN)+1,0,""),IF(AF247&lt;=EDATE(AE247,DORA_M_FIN),1,0)))</f>
        <v/>
      </c>
      <c r="BV247" s="35" t="str">
        <f aca="false">IF(BR247="","",IF(COUNT(BS247:BU247)=0,"",MIN(BS247:BU247)))</f>
        <v/>
      </c>
      <c r="BW247" s="40" t="str">
        <f aca="false">IF(AQ247&lt;&gt;1,"",IF(AND(AG247="",AH247=""),"",N(AG247)-N(AH247)))</f>
        <v/>
      </c>
      <c r="BX247" s="35" t="str">
        <f aca="true">IF(OR(AQ247&lt;&gt;1,AI247&lt;&gt;"Oui",AJ247=""),"",IF(AK247="",IF(NOW()&gt;AJ247+1,0,""),IF(AK247&lt;=AJ247,1,0)))</f>
        <v/>
      </c>
    </row>
    <row r="248" customFormat="false" ht="15" hidden="false" customHeight="false" outlineLevel="0" collapsed="false">
      <c r="B248" s="29"/>
      <c r="C248" s="29"/>
      <c r="D248" s="29"/>
      <c r="E248" s="29"/>
      <c r="F248" s="29"/>
      <c r="G248" s="29"/>
      <c r="H248" s="29"/>
      <c r="I248" s="29"/>
      <c r="J248" s="29"/>
      <c r="K248" s="29"/>
      <c r="L248" s="29"/>
      <c r="M248" s="29"/>
      <c r="N248" s="30"/>
      <c r="O248" s="30"/>
      <c r="P248" s="30"/>
      <c r="Q248" s="30"/>
      <c r="R248" s="30"/>
      <c r="S248" s="30"/>
      <c r="T248" s="30"/>
      <c r="U248" s="30"/>
      <c r="V248" s="31"/>
      <c r="W248" s="29"/>
      <c r="X248" s="29"/>
      <c r="Y248" s="29"/>
      <c r="Z248" s="29"/>
      <c r="AA248" s="30"/>
      <c r="AB248" s="30"/>
      <c r="AC248" s="30"/>
      <c r="AD248" s="30"/>
      <c r="AE248" s="30"/>
      <c r="AF248" s="32"/>
      <c r="AG248" s="33"/>
      <c r="AH248" s="33"/>
      <c r="AI248" s="29"/>
      <c r="AJ248" s="32"/>
      <c r="AK248" s="32"/>
      <c r="AL248" s="29"/>
      <c r="AN248" s="34" t="str">
        <f aca="false">IF($B248="","",IF(OR(C248="",D248="",E248="",G248="",I248="",J248="",L248="",O248="",P248=""),"Champ obligatoire manquant",IF(OR(AND(N248&lt;&gt;"",N248&gt;O248),O248&gt;P248,AND(Q248&lt;&gt;"",Q248&lt;P248),AND(R248&lt;&gt;"",R248&lt;P248),AND(S248&lt;&gt;"",S248&lt;R248),AND(S248&lt;&gt;"",R248=""),AND(T248&lt;&gt;"",T248&lt;O248),AND(U248&lt;&gt;"",U248&lt;O248)),"Chronologie incohérente",IF(AND(OR(L248="Résolu",L248="Clos"),R248=""),"Date de résolution manquante",IF(AND(L248="Clos",S248=""),"Date de clôture manquante",IF(AND(K248="Oui",AC248=""),"Classification DORA manquante","OK"))))))</f>
        <v/>
      </c>
      <c r="AO248" s="35" t="str">
        <f aca="false">IF($B248="","",IF(AND(C248="Incident",L248&lt;&gt;"Annulé"),1,0))</f>
        <v/>
      </c>
      <c r="AP248" s="35" t="str">
        <f aca="false">IF($B248="","",IF(AND(C248="Quasi-incident",L248&lt;&gt;"Annulé"),1,0))</f>
        <v/>
      </c>
      <c r="AQ248" s="35" t="str">
        <f aca="false">IF($B248="","",AO248+AP248)</f>
        <v/>
      </c>
      <c r="AR248" s="36" t="str">
        <f aca="false">IF(OR($B248="",J248=""),"",IFERROR(VALUE(LEFT(J248,1)),""))</f>
        <v/>
      </c>
      <c r="AS248" s="35" t="str">
        <f aca="false">IF(OR(AO248&lt;&gt;1,G248=""),"",IFERROR(IF(INDEX(L_SrcInterne,MATCH(G248,L_Sources,0))="Oui",1,0),""))</f>
        <v/>
      </c>
      <c r="AT248" s="37" t="str">
        <f aca="false">IF(AO248&lt;&gt;1,"",IFERROR(ROUND(IF(OR(N248="",O248=""),"",IF(O248&lt;N248,"",ROUND(((NETWORKDAYS(N248,O248,JoursFeries)-1)*(HFer-HOuv)+IF(NETWORKDAYS(O248,O248,JoursFeries),MEDIAN(MOD(O248,1),HFer,HOuv),HFer)-IF(NETWORKDAYS(N248,N248,JoursFeries),MEDIAN(MOD(N248,1),HFer,HOuv),HOuv))*24,4)))/HJour,4),""))</f>
        <v/>
      </c>
      <c r="AU248" s="37" t="str">
        <f aca="false">IF(AO248&lt;&gt;1,"",IF(OR(O248="",P248=""),"",IF(P248&lt;O248,"",ROUND(((NETWORKDAYS(O248,P248,JoursFeries)-1)*(HFer-HOuv)+IF(NETWORKDAYS(P248,P248,JoursFeries),MEDIAN(MOD(P248,1),HFer,HOuv),HFer)-IF(NETWORKDAYS(O248,O248,JoursFeries),MEDIAN(MOD(O248,1),HFer,HOuv),HOuv))*24,4))))</f>
        <v/>
      </c>
      <c r="AV248" s="37" t="str">
        <f aca="false">IF(AO248&lt;&gt;1,"",IF(OR(P248="",Q248=""),"",IF(Q248&lt;P248,"",ROUND(((NETWORKDAYS(P248,Q248,JoursFeries)-1)*(HFer-HOuv)+IF(NETWORKDAYS(Q248,Q248,JoursFeries),MEDIAN(MOD(Q248,1),HFer,HOuv),HFer)-IF(NETWORKDAYS(P248,P248,JoursFeries),MEDIAN(MOD(P248,1),HFer,HOuv),HOuv))*24,4))))</f>
        <v/>
      </c>
      <c r="AW248" s="37" t="str">
        <f aca="false">IF(AO248&lt;&gt;1,"",IFERROR(ROUND(IF(OR(P248="",R248=""),"",IF(R248&lt;P248,"",ROUND(((NETWORKDAYS(P248,R248,JoursFeries)-1)*(HFer-HOuv)+IF(NETWORKDAYS(R248,R248,JoursFeries),MEDIAN(MOD(R248,1),HFer,HOuv),HFer)-IF(NETWORKDAYS(P248,P248,JoursFeries),MEDIAN(MOD(P248,1),HFer,HOuv),HOuv))*24,4)))/HJour,4),""))</f>
        <v/>
      </c>
      <c r="AX248" s="37" t="str">
        <f aca="false">IF(AO248&lt;&gt;1,"",IFERROR(ROUND(IF(OR(P248="",S248=""),"",IF(S248&lt;P248,"",ROUND(((NETWORKDAYS(P248,S248,JoursFeries)-1)*(HFer-HOuv)+IF(NETWORKDAYS(S248,S248,JoursFeries),MEDIAN(MOD(S248,1),HFer,HOuv),HFer)-IF(NETWORKDAYS(P248,P248,JoursFeries),MEDIAN(MOD(P248,1),HFer,HOuv),HOuv))*24,4)))/HJour,4),""))</f>
        <v/>
      </c>
      <c r="AY248" s="36" t="str">
        <f aca="false">IF(OR(AO248&lt;&gt;1,AR248=""),"",INDEX(SLA_PEC,AR248))</f>
        <v/>
      </c>
      <c r="AZ248" s="35" t="str">
        <f aca="false">IF(OR(AV248="",AY248=""),"",IF(AV248&lt;=AY248,1,0))</f>
        <v/>
      </c>
      <c r="BA248" s="36" t="str">
        <f aca="false">IF(OR(AO248&lt;&gt;1,AR248=""),"",INDEX(SLA_RES,AR248))</f>
        <v/>
      </c>
      <c r="BB248" s="35" t="str">
        <f aca="false">IF(OR(AW248="",BA248=""),"",IF(AW248&lt;=BA248,1,0))</f>
        <v/>
      </c>
      <c r="BC248" s="38" t="str">
        <f aca="false">IF(OR(BA248="",P248=""),"",WORKDAY(INT(P248),BA248,JoursFeries)+MOD(P248,1))</f>
        <v/>
      </c>
      <c r="BD248" s="39" t="str">
        <f aca="false">IF(AO248&lt;&gt;1,"",IF(OR(AB248&lt;&gt;"",AD248&lt;&gt;""),4,IF(U248&lt;&gt;"",3,IF(T248&lt;&gt;"",2,1))))</f>
        <v/>
      </c>
      <c r="BE248" s="39" t="str">
        <f aca="false">IF(OR(AO248&lt;&gt;1,AR248=""),"",INDEX(NIV_REQ,AR248))</f>
        <v/>
      </c>
      <c r="BF248" s="39" t="str">
        <f aca="false">IF(BE248="","",MAX(BE248,IF(OR(K248="Oui",Z248="Oui"),4,1)))</f>
        <v/>
      </c>
      <c r="BG248" s="35" t="str">
        <f aca="false">IF(OR(BF248="",BD248=""),"",IF(BD248&gt;=BF248,1,0))</f>
        <v/>
      </c>
      <c r="BH248" s="38" t="str">
        <f aca="false">IF(BE248="","",IF(BE248&lt;2,"",IF(BE248=2,IF(AND(T248="",U248=""),"",MIN(T248,U248)),IF(U248="","",U248))))</f>
        <v/>
      </c>
      <c r="BI248" s="37" t="str">
        <f aca="false">IF(BH248="","",IF(OR(O248="",BH248=""),"",IF(BH248&lt;O248,"",ROUND(((NETWORKDAYS(O248,BH248,JoursFeries)-1)*(HFer-HOuv)+IF(NETWORKDAYS(BH248,BH248,JoursFeries),MEDIAN(MOD(BH248,1),HFer,HOuv),HFer)-IF(NETWORKDAYS(O248,O248,JoursFeries),MEDIAN(MOD(O248,1),HFer,HOuv),HOuv))*24,4))))</f>
        <v/>
      </c>
      <c r="BJ248" s="35" t="str">
        <f aca="false">IF(OR(BI248="",AR248=""),"",IF(BI248&lt;=INDEX(DELAI_ESC,AR248),1,0))</f>
        <v/>
      </c>
      <c r="BK248" s="38" t="str">
        <f aca="false">IF(AO248&lt;&gt;1,"",IF(AND(T248="",U248=""),"",MIN(T248,U248)))</f>
        <v/>
      </c>
      <c r="BL248" s="37" t="str">
        <f aca="false">IF(OR(BK248="",R248=""),"",IFERROR(ROUND(IF(OR(BK248="",R248=""),"",IF(R248&lt;BK248,"",ROUND(((NETWORKDAYS(BK248,R248,JoursFeries)-1)*(HFer-HOuv)+IF(NETWORKDAYS(R248,R248,JoursFeries),MEDIAN(MOD(R248,1),HFer,HOuv),HFer)-IF(NETWORKDAYS(BK248,BK248,JoursFeries),MEDIAN(MOD(BK248,1),HFer,HOuv),HOuv))*24,4)))/HJour,4),""))</f>
        <v/>
      </c>
      <c r="BM248" s="35" t="str">
        <f aca="false">IF(OR(AO248&lt;&gt;1,R248=""),"",IF(BD248=1,1,0))</f>
        <v/>
      </c>
      <c r="BN248" s="35" t="str">
        <f aca="false">IF(AO248&lt;&gt;1,"",IF(W248="Oui",1,0))</f>
        <v/>
      </c>
      <c r="BO248" s="35" t="str">
        <f aca="false">IF(AO248&lt;&gt;1,"",IF(X248&lt;&gt;"",1,0))</f>
        <v/>
      </c>
      <c r="BP248" s="35" t="str">
        <f aca="false">IF(AO248&lt;&gt;1,"",IF(Y248="Oui",1,0))</f>
        <v/>
      </c>
      <c r="BQ248" s="35" t="str">
        <f aca="true">IF(OR(AO248&lt;&gt;1,Z248&lt;&gt;"Oui"),"",IF(AB248="",IF(AND(AA248&lt;&gt;"",NOW()&gt;AA248),0,""),IF(AA248="","",IF(AB248&lt;=AA248,1,0))))</f>
        <v/>
      </c>
      <c r="BR248" s="38" t="str">
        <f aca="false">IF(OR(AO248&lt;&gt;1,K248&lt;&gt;"Oui",O248=""),"",IF(AC248="",O248+DORA_H_DET/24,IF(AC248-O248&lt;=DORA_H_DET/24,MIN(AC248+DORA_H_CLA/24,O248+DORA_H_DET/24),AC248+DORA_H_CLA/24)))</f>
        <v/>
      </c>
      <c r="BS248" s="35" t="str">
        <f aca="true">IF(BR248="","",IF(AD248="",IF(NOW()&gt;BR248,0,""),IF(AD248&lt;=BR248,1,0)))</f>
        <v/>
      </c>
      <c r="BT248" s="35" t="str">
        <f aca="true">IF(OR(BR248="",AD248=""),"",IF(AE248="",IF(NOW()&gt;AD248+DORA_H_INT/24,0,""),IF(AE248&lt;=AD248+DORA_H_INT/24,1,0)))</f>
        <v/>
      </c>
      <c r="BU248" s="35" t="str">
        <f aca="true">IF(OR(BR248="",AE248=""),"",IF(AF248="",IF(NOW()&gt;EDATE(AE248,DORA_M_FIN)+1,0,""),IF(AF248&lt;=EDATE(AE248,DORA_M_FIN),1,0)))</f>
        <v/>
      </c>
      <c r="BV248" s="35" t="str">
        <f aca="false">IF(BR248="","",IF(COUNT(BS248:BU248)=0,"",MIN(BS248:BU248)))</f>
        <v/>
      </c>
      <c r="BW248" s="40" t="str">
        <f aca="false">IF(AQ248&lt;&gt;1,"",IF(AND(AG248="",AH248=""),"",N(AG248)-N(AH248)))</f>
        <v/>
      </c>
      <c r="BX248" s="35" t="str">
        <f aca="true">IF(OR(AQ248&lt;&gt;1,AI248&lt;&gt;"Oui",AJ248=""),"",IF(AK248="",IF(NOW()&gt;AJ248+1,0,""),IF(AK248&lt;=AJ248,1,0)))</f>
        <v/>
      </c>
    </row>
    <row r="249" customFormat="false" ht="15" hidden="false" customHeight="false" outlineLevel="0" collapsed="false">
      <c r="B249" s="29"/>
      <c r="C249" s="29"/>
      <c r="D249" s="29"/>
      <c r="E249" s="29"/>
      <c r="F249" s="29"/>
      <c r="G249" s="29"/>
      <c r="H249" s="29"/>
      <c r="I249" s="29"/>
      <c r="J249" s="29"/>
      <c r="K249" s="29"/>
      <c r="L249" s="29"/>
      <c r="M249" s="29"/>
      <c r="N249" s="30"/>
      <c r="O249" s="30"/>
      <c r="P249" s="30"/>
      <c r="Q249" s="30"/>
      <c r="R249" s="30"/>
      <c r="S249" s="30"/>
      <c r="T249" s="30"/>
      <c r="U249" s="30"/>
      <c r="V249" s="31"/>
      <c r="W249" s="29"/>
      <c r="X249" s="29"/>
      <c r="Y249" s="29"/>
      <c r="Z249" s="29"/>
      <c r="AA249" s="30"/>
      <c r="AB249" s="30"/>
      <c r="AC249" s="30"/>
      <c r="AD249" s="30"/>
      <c r="AE249" s="30"/>
      <c r="AF249" s="32"/>
      <c r="AG249" s="33"/>
      <c r="AH249" s="33"/>
      <c r="AI249" s="29"/>
      <c r="AJ249" s="32"/>
      <c r="AK249" s="32"/>
      <c r="AL249" s="29"/>
      <c r="AN249" s="34" t="str">
        <f aca="false">IF($B249="","",IF(OR(C249="",D249="",E249="",G249="",I249="",J249="",L249="",O249="",P249=""),"Champ obligatoire manquant",IF(OR(AND(N249&lt;&gt;"",N249&gt;O249),O249&gt;P249,AND(Q249&lt;&gt;"",Q249&lt;P249),AND(R249&lt;&gt;"",R249&lt;P249),AND(S249&lt;&gt;"",S249&lt;R249),AND(S249&lt;&gt;"",R249=""),AND(T249&lt;&gt;"",T249&lt;O249),AND(U249&lt;&gt;"",U249&lt;O249)),"Chronologie incohérente",IF(AND(OR(L249="Résolu",L249="Clos"),R249=""),"Date de résolution manquante",IF(AND(L249="Clos",S249=""),"Date de clôture manquante",IF(AND(K249="Oui",AC249=""),"Classification DORA manquante","OK"))))))</f>
        <v/>
      </c>
      <c r="AO249" s="35" t="str">
        <f aca="false">IF($B249="","",IF(AND(C249="Incident",L249&lt;&gt;"Annulé"),1,0))</f>
        <v/>
      </c>
      <c r="AP249" s="35" t="str">
        <f aca="false">IF($B249="","",IF(AND(C249="Quasi-incident",L249&lt;&gt;"Annulé"),1,0))</f>
        <v/>
      </c>
      <c r="AQ249" s="35" t="str">
        <f aca="false">IF($B249="","",AO249+AP249)</f>
        <v/>
      </c>
      <c r="AR249" s="36" t="str">
        <f aca="false">IF(OR($B249="",J249=""),"",IFERROR(VALUE(LEFT(J249,1)),""))</f>
        <v/>
      </c>
      <c r="AS249" s="35" t="str">
        <f aca="false">IF(OR(AO249&lt;&gt;1,G249=""),"",IFERROR(IF(INDEX(L_SrcInterne,MATCH(G249,L_Sources,0))="Oui",1,0),""))</f>
        <v/>
      </c>
      <c r="AT249" s="37" t="str">
        <f aca="false">IF(AO249&lt;&gt;1,"",IFERROR(ROUND(IF(OR(N249="",O249=""),"",IF(O249&lt;N249,"",ROUND(((NETWORKDAYS(N249,O249,JoursFeries)-1)*(HFer-HOuv)+IF(NETWORKDAYS(O249,O249,JoursFeries),MEDIAN(MOD(O249,1),HFer,HOuv),HFer)-IF(NETWORKDAYS(N249,N249,JoursFeries),MEDIAN(MOD(N249,1),HFer,HOuv),HOuv))*24,4)))/HJour,4),""))</f>
        <v/>
      </c>
      <c r="AU249" s="37" t="str">
        <f aca="false">IF(AO249&lt;&gt;1,"",IF(OR(O249="",P249=""),"",IF(P249&lt;O249,"",ROUND(((NETWORKDAYS(O249,P249,JoursFeries)-1)*(HFer-HOuv)+IF(NETWORKDAYS(P249,P249,JoursFeries),MEDIAN(MOD(P249,1),HFer,HOuv),HFer)-IF(NETWORKDAYS(O249,O249,JoursFeries),MEDIAN(MOD(O249,1),HFer,HOuv),HOuv))*24,4))))</f>
        <v/>
      </c>
      <c r="AV249" s="37" t="str">
        <f aca="false">IF(AO249&lt;&gt;1,"",IF(OR(P249="",Q249=""),"",IF(Q249&lt;P249,"",ROUND(((NETWORKDAYS(P249,Q249,JoursFeries)-1)*(HFer-HOuv)+IF(NETWORKDAYS(Q249,Q249,JoursFeries),MEDIAN(MOD(Q249,1),HFer,HOuv),HFer)-IF(NETWORKDAYS(P249,P249,JoursFeries),MEDIAN(MOD(P249,1),HFer,HOuv),HOuv))*24,4))))</f>
        <v/>
      </c>
      <c r="AW249" s="37" t="str">
        <f aca="false">IF(AO249&lt;&gt;1,"",IFERROR(ROUND(IF(OR(P249="",R249=""),"",IF(R249&lt;P249,"",ROUND(((NETWORKDAYS(P249,R249,JoursFeries)-1)*(HFer-HOuv)+IF(NETWORKDAYS(R249,R249,JoursFeries),MEDIAN(MOD(R249,1),HFer,HOuv),HFer)-IF(NETWORKDAYS(P249,P249,JoursFeries),MEDIAN(MOD(P249,1),HFer,HOuv),HOuv))*24,4)))/HJour,4),""))</f>
        <v/>
      </c>
      <c r="AX249" s="37" t="str">
        <f aca="false">IF(AO249&lt;&gt;1,"",IFERROR(ROUND(IF(OR(P249="",S249=""),"",IF(S249&lt;P249,"",ROUND(((NETWORKDAYS(P249,S249,JoursFeries)-1)*(HFer-HOuv)+IF(NETWORKDAYS(S249,S249,JoursFeries),MEDIAN(MOD(S249,1),HFer,HOuv),HFer)-IF(NETWORKDAYS(P249,P249,JoursFeries),MEDIAN(MOD(P249,1),HFer,HOuv),HOuv))*24,4)))/HJour,4),""))</f>
        <v/>
      </c>
      <c r="AY249" s="36" t="str">
        <f aca="false">IF(OR(AO249&lt;&gt;1,AR249=""),"",INDEX(SLA_PEC,AR249))</f>
        <v/>
      </c>
      <c r="AZ249" s="35" t="str">
        <f aca="false">IF(OR(AV249="",AY249=""),"",IF(AV249&lt;=AY249,1,0))</f>
        <v/>
      </c>
      <c r="BA249" s="36" t="str">
        <f aca="false">IF(OR(AO249&lt;&gt;1,AR249=""),"",INDEX(SLA_RES,AR249))</f>
        <v/>
      </c>
      <c r="BB249" s="35" t="str">
        <f aca="false">IF(OR(AW249="",BA249=""),"",IF(AW249&lt;=BA249,1,0))</f>
        <v/>
      </c>
      <c r="BC249" s="38" t="str">
        <f aca="false">IF(OR(BA249="",P249=""),"",WORKDAY(INT(P249),BA249,JoursFeries)+MOD(P249,1))</f>
        <v/>
      </c>
      <c r="BD249" s="39" t="str">
        <f aca="false">IF(AO249&lt;&gt;1,"",IF(OR(AB249&lt;&gt;"",AD249&lt;&gt;""),4,IF(U249&lt;&gt;"",3,IF(T249&lt;&gt;"",2,1))))</f>
        <v/>
      </c>
      <c r="BE249" s="39" t="str">
        <f aca="false">IF(OR(AO249&lt;&gt;1,AR249=""),"",INDEX(NIV_REQ,AR249))</f>
        <v/>
      </c>
      <c r="BF249" s="39" t="str">
        <f aca="false">IF(BE249="","",MAX(BE249,IF(OR(K249="Oui",Z249="Oui"),4,1)))</f>
        <v/>
      </c>
      <c r="BG249" s="35" t="str">
        <f aca="false">IF(OR(BF249="",BD249=""),"",IF(BD249&gt;=BF249,1,0))</f>
        <v/>
      </c>
      <c r="BH249" s="38" t="str">
        <f aca="false">IF(BE249="","",IF(BE249&lt;2,"",IF(BE249=2,IF(AND(T249="",U249=""),"",MIN(T249,U249)),IF(U249="","",U249))))</f>
        <v/>
      </c>
      <c r="BI249" s="37" t="str">
        <f aca="false">IF(BH249="","",IF(OR(O249="",BH249=""),"",IF(BH249&lt;O249,"",ROUND(((NETWORKDAYS(O249,BH249,JoursFeries)-1)*(HFer-HOuv)+IF(NETWORKDAYS(BH249,BH249,JoursFeries),MEDIAN(MOD(BH249,1),HFer,HOuv),HFer)-IF(NETWORKDAYS(O249,O249,JoursFeries),MEDIAN(MOD(O249,1),HFer,HOuv),HOuv))*24,4))))</f>
        <v/>
      </c>
      <c r="BJ249" s="35" t="str">
        <f aca="false">IF(OR(BI249="",AR249=""),"",IF(BI249&lt;=INDEX(DELAI_ESC,AR249),1,0))</f>
        <v/>
      </c>
      <c r="BK249" s="38" t="str">
        <f aca="false">IF(AO249&lt;&gt;1,"",IF(AND(T249="",U249=""),"",MIN(T249,U249)))</f>
        <v/>
      </c>
      <c r="BL249" s="37" t="str">
        <f aca="false">IF(OR(BK249="",R249=""),"",IFERROR(ROUND(IF(OR(BK249="",R249=""),"",IF(R249&lt;BK249,"",ROUND(((NETWORKDAYS(BK249,R249,JoursFeries)-1)*(HFer-HOuv)+IF(NETWORKDAYS(R249,R249,JoursFeries),MEDIAN(MOD(R249,1),HFer,HOuv),HFer)-IF(NETWORKDAYS(BK249,BK249,JoursFeries),MEDIAN(MOD(BK249,1),HFer,HOuv),HOuv))*24,4)))/HJour,4),""))</f>
        <v/>
      </c>
      <c r="BM249" s="35" t="str">
        <f aca="false">IF(OR(AO249&lt;&gt;1,R249=""),"",IF(BD249=1,1,0))</f>
        <v/>
      </c>
      <c r="BN249" s="35" t="str">
        <f aca="false">IF(AO249&lt;&gt;1,"",IF(W249="Oui",1,0))</f>
        <v/>
      </c>
      <c r="BO249" s="35" t="str">
        <f aca="false">IF(AO249&lt;&gt;1,"",IF(X249&lt;&gt;"",1,0))</f>
        <v/>
      </c>
      <c r="BP249" s="35" t="str">
        <f aca="false">IF(AO249&lt;&gt;1,"",IF(Y249="Oui",1,0))</f>
        <v/>
      </c>
      <c r="BQ249" s="35" t="str">
        <f aca="true">IF(OR(AO249&lt;&gt;1,Z249&lt;&gt;"Oui"),"",IF(AB249="",IF(AND(AA249&lt;&gt;"",NOW()&gt;AA249),0,""),IF(AA249="","",IF(AB249&lt;=AA249,1,0))))</f>
        <v/>
      </c>
      <c r="BR249" s="38" t="str">
        <f aca="false">IF(OR(AO249&lt;&gt;1,K249&lt;&gt;"Oui",O249=""),"",IF(AC249="",O249+DORA_H_DET/24,IF(AC249-O249&lt;=DORA_H_DET/24,MIN(AC249+DORA_H_CLA/24,O249+DORA_H_DET/24),AC249+DORA_H_CLA/24)))</f>
        <v/>
      </c>
      <c r="BS249" s="35" t="str">
        <f aca="true">IF(BR249="","",IF(AD249="",IF(NOW()&gt;BR249,0,""),IF(AD249&lt;=BR249,1,0)))</f>
        <v/>
      </c>
      <c r="BT249" s="35" t="str">
        <f aca="true">IF(OR(BR249="",AD249=""),"",IF(AE249="",IF(NOW()&gt;AD249+DORA_H_INT/24,0,""),IF(AE249&lt;=AD249+DORA_H_INT/24,1,0)))</f>
        <v/>
      </c>
      <c r="BU249" s="35" t="str">
        <f aca="true">IF(OR(BR249="",AE249=""),"",IF(AF249="",IF(NOW()&gt;EDATE(AE249,DORA_M_FIN)+1,0,""),IF(AF249&lt;=EDATE(AE249,DORA_M_FIN),1,0)))</f>
        <v/>
      </c>
      <c r="BV249" s="35" t="str">
        <f aca="false">IF(BR249="","",IF(COUNT(BS249:BU249)=0,"",MIN(BS249:BU249)))</f>
        <v/>
      </c>
      <c r="BW249" s="40" t="str">
        <f aca="false">IF(AQ249&lt;&gt;1,"",IF(AND(AG249="",AH249=""),"",N(AG249)-N(AH249)))</f>
        <v/>
      </c>
      <c r="BX249" s="35" t="str">
        <f aca="true">IF(OR(AQ249&lt;&gt;1,AI249&lt;&gt;"Oui",AJ249=""),"",IF(AK249="",IF(NOW()&gt;AJ249+1,0,""),IF(AK249&lt;=AJ249,1,0)))</f>
        <v/>
      </c>
    </row>
    <row r="250" customFormat="false" ht="15" hidden="false" customHeight="false" outlineLevel="0" collapsed="false">
      <c r="B250" s="29"/>
      <c r="C250" s="29"/>
      <c r="D250" s="29"/>
      <c r="E250" s="29"/>
      <c r="F250" s="29"/>
      <c r="G250" s="29"/>
      <c r="H250" s="29"/>
      <c r="I250" s="29"/>
      <c r="J250" s="29"/>
      <c r="K250" s="29"/>
      <c r="L250" s="29"/>
      <c r="M250" s="29"/>
      <c r="N250" s="30"/>
      <c r="O250" s="30"/>
      <c r="P250" s="30"/>
      <c r="Q250" s="30"/>
      <c r="R250" s="30"/>
      <c r="S250" s="30"/>
      <c r="T250" s="30"/>
      <c r="U250" s="30"/>
      <c r="V250" s="31"/>
      <c r="W250" s="29"/>
      <c r="X250" s="29"/>
      <c r="Y250" s="29"/>
      <c r="Z250" s="29"/>
      <c r="AA250" s="30"/>
      <c r="AB250" s="30"/>
      <c r="AC250" s="30"/>
      <c r="AD250" s="30"/>
      <c r="AE250" s="30"/>
      <c r="AF250" s="32"/>
      <c r="AG250" s="33"/>
      <c r="AH250" s="33"/>
      <c r="AI250" s="29"/>
      <c r="AJ250" s="32"/>
      <c r="AK250" s="32"/>
      <c r="AL250" s="29"/>
      <c r="AN250" s="34" t="str">
        <f aca="false">IF($B250="","",IF(OR(C250="",D250="",E250="",G250="",I250="",J250="",L250="",O250="",P250=""),"Champ obligatoire manquant",IF(OR(AND(N250&lt;&gt;"",N250&gt;O250),O250&gt;P250,AND(Q250&lt;&gt;"",Q250&lt;P250),AND(R250&lt;&gt;"",R250&lt;P250),AND(S250&lt;&gt;"",S250&lt;R250),AND(S250&lt;&gt;"",R250=""),AND(T250&lt;&gt;"",T250&lt;O250),AND(U250&lt;&gt;"",U250&lt;O250)),"Chronologie incohérente",IF(AND(OR(L250="Résolu",L250="Clos"),R250=""),"Date de résolution manquante",IF(AND(L250="Clos",S250=""),"Date de clôture manquante",IF(AND(K250="Oui",AC250=""),"Classification DORA manquante","OK"))))))</f>
        <v/>
      </c>
      <c r="AO250" s="35" t="str">
        <f aca="false">IF($B250="","",IF(AND(C250="Incident",L250&lt;&gt;"Annulé"),1,0))</f>
        <v/>
      </c>
      <c r="AP250" s="35" t="str">
        <f aca="false">IF($B250="","",IF(AND(C250="Quasi-incident",L250&lt;&gt;"Annulé"),1,0))</f>
        <v/>
      </c>
      <c r="AQ250" s="35" t="str">
        <f aca="false">IF($B250="","",AO250+AP250)</f>
        <v/>
      </c>
      <c r="AR250" s="36" t="str">
        <f aca="false">IF(OR($B250="",J250=""),"",IFERROR(VALUE(LEFT(J250,1)),""))</f>
        <v/>
      </c>
      <c r="AS250" s="35" t="str">
        <f aca="false">IF(OR(AO250&lt;&gt;1,G250=""),"",IFERROR(IF(INDEX(L_SrcInterne,MATCH(G250,L_Sources,0))="Oui",1,0),""))</f>
        <v/>
      </c>
      <c r="AT250" s="37" t="str">
        <f aca="false">IF(AO250&lt;&gt;1,"",IFERROR(ROUND(IF(OR(N250="",O250=""),"",IF(O250&lt;N250,"",ROUND(((NETWORKDAYS(N250,O250,JoursFeries)-1)*(HFer-HOuv)+IF(NETWORKDAYS(O250,O250,JoursFeries),MEDIAN(MOD(O250,1),HFer,HOuv),HFer)-IF(NETWORKDAYS(N250,N250,JoursFeries),MEDIAN(MOD(N250,1),HFer,HOuv),HOuv))*24,4)))/HJour,4),""))</f>
        <v/>
      </c>
      <c r="AU250" s="37" t="str">
        <f aca="false">IF(AO250&lt;&gt;1,"",IF(OR(O250="",P250=""),"",IF(P250&lt;O250,"",ROUND(((NETWORKDAYS(O250,P250,JoursFeries)-1)*(HFer-HOuv)+IF(NETWORKDAYS(P250,P250,JoursFeries),MEDIAN(MOD(P250,1),HFer,HOuv),HFer)-IF(NETWORKDAYS(O250,O250,JoursFeries),MEDIAN(MOD(O250,1),HFer,HOuv),HOuv))*24,4))))</f>
        <v/>
      </c>
      <c r="AV250" s="37" t="str">
        <f aca="false">IF(AO250&lt;&gt;1,"",IF(OR(P250="",Q250=""),"",IF(Q250&lt;P250,"",ROUND(((NETWORKDAYS(P250,Q250,JoursFeries)-1)*(HFer-HOuv)+IF(NETWORKDAYS(Q250,Q250,JoursFeries),MEDIAN(MOD(Q250,1),HFer,HOuv),HFer)-IF(NETWORKDAYS(P250,P250,JoursFeries),MEDIAN(MOD(P250,1),HFer,HOuv),HOuv))*24,4))))</f>
        <v/>
      </c>
      <c r="AW250" s="37" t="str">
        <f aca="false">IF(AO250&lt;&gt;1,"",IFERROR(ROUND(IF(OR(P250="",R250=""),"",IF(R250&lt;P250,"",ROUND(((NETWORKDAYS(P250,R250,JoursFeries)-1)*(HFer-HOuv)+IF(NETWORKDAYS(R250,R250,JoursFeries),MEDIAN(MOD(R250,1),HFer,HOuv),HFer)-IF(NETWORKDAYS(P250,P250,JoursFeries),MEDIAN(MOD(P250,1),HFer,HOuv),HOuv))*24,4)))/HJour,4),""))</f>
        <v/>
      </c>
      <c r="AX250" s="37" t="str">
        <f aca="false">IF(AO250&lt;&gt;1,"",IFERROR(ROUND(IF(OR(P250="",S250=""),"",IF(S250&lt;P250,"",ROUND(((NETWORKDAYS(P250,S250,JoursFeries)-1)*(HFer-HOuv)+IF(NETWORKDAYS(S250,S250,JoursFeries),MEDIAN(MOD(S250,1),HFer,HOuv),HFer)-IF(NETWORKDAYS(P250,P250,JoursFeries),MEDIAN(MOD(P250,1),HFer,HOuv),HOuv))*24,4)))/HJour,4),""))</f>
        <v/>
      </c>
      <c r="AY250" s="36" t="str">
        <f aca="false">IF(OR(AO250&lt;&gt;1,AR250=""),"",INDEX(SLA_PEC,AR250))</f>
        <v/>
      </c>
      <c r="AZ250" s="35" t="str">
        <f aca="false">IF(OR(AV250="",AY250=""),"",IF(AV250&lt;=AY250,1,0))</f>
        <v/>
      </c>
      <c r="BA250" s="36" t="str">
        <f aca="false">IF(OR(AO250&lt;&gt;1,AR250=""),"",INDEX(SLA_RES,AR250))</f>
        <v/>
      </c>
      <c r="BB250" s="35" t="str">
        <f aca="false">IF(OR(AW250="",BA250=""),"",IF(AW250&lt;=BA250,1,0))</f>
        <v/>
      </c>
      <c r="BC250" s="38" t="str">
        <f aca="false">IF(OR(BA250="",P250=""),"",WORKDAY(INT(P250),BA250,JoursFeries)+MOD(P250,1))</f>
        <v/>
      </c>
      <c r="BD250" s="39" t="str">
        <f aca="false">IF(AO250&lt;&gt;1,"",IF(OR(AB250&lt;&gt;"",AD250&lt;&gt;""),4,IF(U250&lt;&gt;"",3,IF(T250&lt;&gt;"",2,1))))</f>
        <v/>
      </c>
      <c r="BE250" s="39" t="str">
        <f aca="false">IF(OR(AO250&lt;&gt;1,AR250=""),"",INDEX(NIV_REQ,AR250))</f>
        <v/>
      </c>
      <c r="BF250" s="39" t="str">
        <f aca="false">IF(BE250="","",MAX(BE250,IF(OR(K250="Oui",Z250="Oui"),4,1)))</f>
        <v/>
      </c>
      <c r="BG250" s="35" t="str">
        <f aca="false">IF(OR(BF250="",BD250=""),"",IF(BD250&gt;=BF250,1,0))</f>
        <v/>
      </c>
      <c r="BH250" s="38" t="str">
        <f aca="false">IF(BE250="","",IF(BE250&lt;2,"",IF(BE250=2,IF(AND(T250="",U250=""),"",MIN(T250,U250)),IF(U250="","",U250))))</f>
        <v/>
      </c>
      <c r="BI250" s="37" t="str">
        <f aca="false">IF(BH250="","",IF(OR(O250="",BH250=""),"",IF(BH250&lt;O250,"",ROUND(((NETWORKDAYS(O250,BH250,JoursFeries)-1)*(HFer-HOuv)+IF(NETWORKDAYS(BH250,BH250,JoursFeries),MEDIAN(MOD(BH250,1),HFer,HOuv),HFer)-IF(NETWORKDAYS(O250,O250,JoursFeries),MEDIAN(MOD(O250,1),HFer,HOuv),HOuv))*24,4))))</f>
        <v/>
      </c>
      <c r="BJ250" s="35" t="str">
        <f aca="false">IF(OR(BI250="",AR250=""),"",IF(BI250&lt;=INDEX(DELAI_ESC,AR250),1,0))</f>
        <v/>
      </c>
      <c r="BK250" s="38" t="str">
        <f aca="false">IF(AO250&lt;&gt;1,"",IF(AND(T250="",U250=""),"",MIN(T250,U250)))</f>
        <v/>
      </c>
      <c r="BL250" s="37" t="str">
        <f aca="false">IF(OR(BK250="",R250=""),"",IFERROR(ROUND(IF(OR(BK250="",R250=""),"",IF(R250&lt;BK250,"",ROUND(((NETWORKDAYS(BK250,R250,JoursFeries)-1)*(HFer-HOuv)+IF(NETWORKDAYS(R250,R250,JoursFeries),MEDIAN(MOD(R250,1),HFer,HOuv),HFer)-IF(NETWORKDAYS(BK250,BK250,JoursFeries),MEDIAN(MOD(BK250,1),HFer,HOuv),HOuv))*24,4)))/HJour,4),""))</f>
        <v/>
      </c>
      <c r="BM250" s="35" t="str">
        <f aca="false">IF(OR(AO250&lt;&gt;1,R250=""),"",IF(BD250=1,1,0))</f>
        <v/>
      </c>
      <c r="BN250" s="35" t="str">
        <f aca="false">IF(AO250&lt;&gt;1,"",IF(W250="Oui",1,0))</f>
        <v/>
      </c>
      <c r="BO250" s="35" t="str">
        <f aca="false">IF(AO250&lt;&gt;1,"",IF(X250&lt;&gt;"",1,0))</f>
        <v/>
      </c>
      <c r="BP250" s="35" t="str">
        <f aca="false">IF(AO250&lt;&gt;1,"",IF(Y250="Oui",1,0))</f>
        <v/>
      </c>
      <c r="BQ250" s="35" t="str">
        <f aca="true">IF(OR(AO250&lt;&gt;1,Z250&lt;&gt;"Oui"),"",IF(AB250="",IF(AND(AA250&lt;&gt;"",NOW()&gt;AA250),0,""),IF(AA250="","",IF(AB250&lt;=AA250,1,0))))</f>
        <v/>
      </c>
      <c r="BR250" s="38" t="str">
        <f aca="false">IF(OR(AO250&lt;&gt;1,K250&lt;&gt;"Oui",O250=""),"",IF(AC250="",O250+DORA_H_DET/24,IF(AC250-O250&lt;=DORA_H_DET/24,MIN(AC250+DORA_H_CLA/24,O250+DORA_H_DET/24),AC250+DORA_H_CLA/24)))</f>
        <v/>
      </c>
      <c r="BS250" s="35" t="str">
        <f aca="true">IF(BR250="","",IF(AD250="",IF(NOW()&gt;BR250,0,""),IF(AD250&lt;=BR250,1,0)))</f>
        <v/>
      </c>
      <c r="BT250" s="35" t="str">
        <f aca="true">IF(OR(BR250="",AD250=""),"",IF(AE250="",IF(NOW()&gt;AD250+DORA_H_INT/24,0,""),IF(AE250&lt;=AD250+DORA_H_INT/24,1,0)))</f>
        <v/>
      </c>
      <c r="BU250" s="35" t="str">
        <f aca="true">IF(OR(BR250="",AE250=""),"",IF(AF250="",IF(NOW()&gt;EDATE(AE250,DORA_M_FIN)+1,0,""),IF(AF250&lt;=EDATE(AE250,DORA_M_FIN),1,0)))</f>
        <v/>
      </c>
      <c r="BV250" s="35" t="str">
        <f aca="false">IF(BR250="","",IF(COUNT(BS250:BU250)=0,"",MIN(BS250:BU250)))</f>
        <v/>
      </c>
      <c r="BW250" s="40" t="str">
        <f aca="false">IF(AQ250&lt;&gt;1,"",IF(AND(AG250="",AH250=""),"",N(AG250)-N(AH250)))</f>
        <v/>
      </c>
      <c r="BX250" s="35" t="str">
        <f aca="true">IF(OR(AQ250&lt;&gt;1,AI250&lt;&gt;"Oui",AJ250=""),"",IF(AK250="",IF(NOW()&gt;AJ250+1,0,""),IF(AK250&lt;=AJ250,1,0)))</f>
        <v/>
      </c>
    </row>
    <row r="251" customFormat="false" ht="15" hidden="false" customHeight="false" outlineLevel="0" collapsed="false">
      <c r="B251" s="29"/>
      <c r="C251" s="29"/>
      <c r="D251" s="29"/>
      <c r="E251" s="29"/>
      <c r="F251" s="29"/>
      <c r="G251" s="29"/>
      <c r="H251" s="29"/>
      <c r="I251" s="29"/>
      <c r="J251" s="29"/>
      <c r="K251" s="29"/>
      <c r="L251" s="29"/>
      <c r="M251" s="29"/>
      <c r="N251" s="30"/>
      <c r="O251" s="30"/>
      <c r="P251" s="30"/>
      <c r="Q251" s="30"/>
      <c r="R251" s="30"/>
      <c r="S251" s="30"/>
      <c r="T251" s="30"/>
      <c r="U251" s="30"/>
      <c r="V251" s="31"/>
      <c r="W251" s="29"/>
      <c r="X251" s="29"/>
      <c r="Y251" s="29"/>
      <c r="Z251" s="29"/>
      <c r="AA251" s="30"/>
      <c r="AB251" s="30"/>
      <c r="AC251" s="30"/>
      <c r="AD251" s="30"/>
      <c r="AE251" s="30"/>
      <c r="AF251" s="32"/>
      <c r="AG251" s="33"/>
      <c r="AH251" s="33"/>
      <c r="AI251" s="29"/>
      <c r="AJ251" s="32"/>
      <c r="AK251" s="32"/>
      <c r="AL251" s="29"/>
      <c r="AN251" s="34" t="str">
        <f aca="false">IF($B251="","",IF(OR(C251="",D251="",E251="",G251="",I251="",J251="",L251="",O251="",P251=""),"Champ obligatoire manquant",IF(OR(AND(N251&lt;&gt;"",N251&gt;O251),O251&gt;P251,AND(Q251&lt;&gt;"",Q251&lt;P251),AND(R251&lt;&gt;"",R251&lt;P251),AND(S251&lt;&gt;"",S251&lt;R251),AND(S251&lt;&gt;"",R251=""),AND(T251&lt;&gt;"",T251&lt;O251),AND(U251&lt;&gt;"",U251&lt;O251)),"Chronologie incohérente",IF(AND(OR(L251="Résolu",L251="Clos"),R251=""),"Date de résolution manquante",IF(AND(L251="Clos",S251=""),"Date de clôture manquante",IF(AND(K251="Oui",AC251=""),"Classification DORA manquante","OK"))))))</f>
        <v/>
      </c>
      <c r="AO251" s="35" t="str">
        <f aca="false">IF($B251="","",IF(AND(C251="Incident",L251&lt;&gt;"Annulé"),1,0))</f>
        <v/>
      </c>
      <c r="AP251" s="35" t="str">
        <f aca="false">IF($B251="","",IF(AND(C251="Quasi-incident",L251&lt;&gt;"Annulé"),1,0))</f>
        <v/>
      </c>
      <c r="AQ251" s="35" t="str">
        <f aca="false">IF($B251="","",AO251+AP251)</f>
        <v/>
      </c>
      <c r="AR251" s="36" t="str">
        <f aca="false">IF(OR($B251="",J251=""),"",IFERROR(VALUE(LEFT(J251,1)),""))</f>
        <v/>
      </c>
      <c r="AS251" s="35" t="str">
        <f aca="false">IF(OR(AO251&lt;&gt;1,G251=""),"",IFERROR(IF(INDEX(L_SrcInterne,MATCH(G251,L_Sources,0))="Oui",1,0),""))</f>
        <v/>
      </c>
      <c r="AT251" s="37" t="str">
        <f aca="false">IF(AO251&lt;&gt;1,"",IFERROR(ROUND(IF(OR(N251="",O251=""),"",IF(O251&lt;N251,"",ROUND(((NETWORKDAYS(N251,O251,JoursFeries)-1)*(HFer-HOuv)+IF(NETWORKDAYS(O251,O251,JoursFeries),MEDIAN(MOD(O251,1),HFer,HOuv),HFer)-IF(NETWORKDAYS(N251,N251,JoursFeries),MEDIAN(MOD(N251,1),HFer,HOuv),HOuv))*24,4)))/HJour,4),""))</f>
        <v/>
      </c>
      <c r="AU251" s="37" t="str">
        <f aca="false">IF(AO251&lt;&gt;1,"",IF(OR(O251="",P251=""),"",IF(P251&lt;O251,"",ROUND(((NETWORKDAYS(O251,P251,JoursFeries)-1)*(HFer-HOuv)+IF(NETWORKDAYS(P251,P251,JoursFeries),MEDIAN(MOD(P251,1),HFer,HOuv),HFer)-IF(NETWORKDAYS(O251,O251,JoursFeries),MEDIAN(MOD(O251,1),HFer,HOuv),HOuv))*24,4))))</f>
        <v/>
      </c>
      <c r="AV251" s="37" t="str">
        <f aca="false">IF(AO251&lt;&gt;1,"",IF(OR(P251="",Q251=""),"",IF(Q251&lt;P251,"",ROUND(((NETWORKDAYS(P251,Q251,JoursFeries)-1)*(HFer-HOuv)+IF(NETWORKDAYS(Q251,Q251,JoursFeries),MEDIAN(MOD(Q251,1),HFer,HOuv),HFer)-IF(NETWORKDAYS(P251,P251,JoursFeries),MEDIAN(MOD(P251,1),HFer,HOuv),HOuv))*24,4))))</f>
        <v/>
      </c>
      <c r="AW251" s="37" t="str">
        <f aca="false">IF(AO251&lt;&gt;1,"",IFERROR(ROUND(IF(OR(P251="",R251=""),"",IF(R251&lt;P251,"",ROUND(((NETWORKDAYS(P251,R251,JoursFeries)-1)*(HFer-HOuv)+IF(NETWORKDAYS(R251,R251,JoursFeries),MEDIAN(MOD(R251,1),HFer,HOuv),HFer)-IF(NETWORKDAYS(P251,P251,JoursFeries),MEDIAN(MOD(P251,1),HFer,HOuv),HOuv))*24,4)))/HJour,4),""))</f>
        <v/>
      </c>
      <c r="AX251" s="37" t="str">
        <f aca="false">IF(AO251&lt;&gt;1,"",IFERROR(ROUND(IF(OR(P251="",S251=""),"",IF(S251&lt;P251,"",ROUND(((NETWORKDAYS(P251,S251,JoursFeries)-1)*(HFer-HOuv)+IF(NETWORKDAYS(S251,S251,JoursFeries),MEDIAN(MOD(S251,1),HFer,HOuv),HFer)-IF(NETWORKDAYS(P251,P251,JoursFeries),MEDIAN(MOD(P251,1),HFer,HOuv),HOuv))*24,4)))/HJour,4),""))</f>
        <v/>
      </c>
      <c r="AY251" s="36" t="str">
        <f aca="false">IF(OR(AO251&lt;&gt;1,AR251=""),"",INDEX(SLA_PEC,AR251))</f>
        <v/>
      </c>
      <c r="AZ251" s="35" t="str">
        <f aca="false">IF(OR(AV251="",AY251=""),"",IF(AV251&lt;=AY251,1,0))</f>
        <v/>
      </c>
      <c r="BA251" s="36" t="str">
        <f aca="false">IF(OR(AO251&lt;&gt;1,AR251=""),"",INDEX(SLA_RES,AR251))</f>
        <v/>
      </c>
      <c r="BB251" s="35" t="str">
        <f aca="false">IF(OR(AW251="",BA251=""),"",IF(AW251&lt;=BA251,1,0))</f>
        <v/>
      </c>
      <c r="BC251" s="38" t="str">
        <f aca="false">IF(OR(BA251="",P251=""),"",WORKDAY(INT(P251),BA251,JoursFeries)+MOD(P251,1))</f>
        <v/>
      </c>
      <c r="BD251" s="39" t="str">
        <f aca="false">IF(AO251&lt;&gt;1,"",IF(OR(AB251&lt;&gt;"",AD251&lt;&gt;""),4,IF(U251&lt;&gt;"",3,IF(T251&lt;&gt;"",2,1))))</f>
        <v/>
      </c>
      <c r="BE251" s="39" t="str">
        <f aca="false">IF(OR(AO251&lt;&gt;1,AR251=""),"",INDEX(NIV_REQ,AR251))</f>
        <v/>
      </c>
      <c r="BF251" s="39" t="str">
        <f aca="false">IF(BE251="","",MAX(BE251,IF(OR(K251="Oui",Z251="Oui"),4,1)))</f>
        <v/>
      </c>
      <c r="BG251" s="35" t="str">
        <f aca="false">IF(OR(BF251="",BD251=""),"",IF(BD251&gt;=BF251,1,0))</f>
        <v/>
      </c>
      <c r="BH251" s="38" t="str">
        <f aca="false">IF(BE251="","",IF(BE251&lt;2,"",IF(BE251=2,IF(AND(T251="",U251=""),"",MIN(T251,U251)),IF(U251="","",U251))))</f>
        <v/>
      </c>
      <c r="BI251" s="37" t="str">
        <f aca="false">IF(BH251="","",IF(OR(O251="",BH251=""),"",IF(BH251&lt;O251,"",ROUND(((NETWORKDAYS(O251,BH251,JoursFeries)-1)*(HFer-HOuv)+IF(NETWORKDAYS(BH251,BH251,JoursFeries),MEDIAN(MOD(BH251,1),HFer,HOuv),HFer)-IF(NETWORKDAYS(O251,O251,JoursFeries),MEDIAN(MOD(O251,1),HFer,HOuv),HOuv))*24,4))))</f>
        <v/>
      </c>
      <c r="BJ251" s="35" t="str">
        <f aca="false">IF(OR(BI251="",AR251=""),"",IF(BI251&lt;=INDEX(DELAI_ESC,AR251),1,0))</f>
        <v/>
      </c>
      <c r="BK251" s="38" t="str">
        <f aca="false">IF(AO251&lt;&gt;1,"",IF(AND(T251="",U251=""),"",MIN(T251,U251)))</f>
        <v/>
      </c>
      <c r="BL251" s="37" t="str">
        <f aca="false">IF(OR(BK251="",R251=""),"",IFERROR(ROUND(IF(OR(BK251="",R251=""),"",IF(R251&lt;BK251,"",ROUND(((NETWORKDAYS(BK251,R251,JoursFeries)-1)*(HFer-HOuv)+IF(NETWORKDAYS(R251,R251,JoursFeries),MEDIAN(MOD(R251,1),HFer,HOuv),HFer)-IF(NETWORKDAYS(BK251,BK251,JoursFeries),MEDIAN(MOD(BK251,1),HFer,HOuv),HOuv))*24,4)))/HJour,4),""))</f>
        <v/>
      </c>
      <c r="BM251" s="35" t="str">
        <f aca="false">IF(OR(AO251&lt;&gt;1,R251=""),"",IF(BD251=1,1,0))</f>
        <v/>
      </c>
      <c r="BN251" s="35" t="str">
        <f aca="false">IF(AO251&lt;&gt;1,"",IF(W251="Oui",1,0))</f>
        <v/>
      </c>
      <c r="BO251" s="35" t="str">
        <f aca="false">IF(AO251&lt;&gt;1,"",IF(X251&lt;&gt;"",1,0))</f>
        <v/>
      </c>
      <c r="BP251" s="35" t="str">
        <f aca="false">IF(AO251&lt;&gt;1,"",IF(Y251="Oui",1,0))</f>
        <v/>
      </c>
      <c r="BQ251" s="35" t="str">
        <f aca="true">IF(OR(AO251&lt;&gt;1,Z251&lt;&gt;"Oui"),"",IF(AB251="",IF(AND(AA251&lt;&gt;"",NOW()&gt;AA251),0,""),IF(AA251="","",IF(AB251&lt;=AA251,1,0))))</f>
        <v/>
      </c>
      <c r="BR251" s="38" t="str">
        <f aca="false">IF(OR(AO251&lt;&gt;1,K251&lt;&gt;"Oui",O251=""),"",IF(AC251="",O251+DORA_H_DET/24,IF(AC251-O251&lt;=DORA_H_DET/24,MIN(AC251+DORA_H_CLA/24,O251+DORA_H_DET/24),AC251+DORA_H_CLA/24)))</f>
        <v/>
      </c>
      <c r="BS251" s="35" t="str">
        <f aca="true">IF(BR251="","",IF(AD251="",IF(NOW()&gt;BR251,0,""),IF(AD251&lt;=BR251,1,0)))</f>
        <v/>
      </c>
      <c r="BT251" s="35" t="str">
        <f aca="true">IF(OR(BR251="",AD251=""),"",IF(AE251="",IF(NOW()&gt;AD251+DORA_H_INT/24,0,""),IF(AE251&lt;=AD251+DORA_H_INT/24,1,0)))</f>
        <v/>
      </c>
      <c r="BU251" s="35" t="str">
        <f aca="true">IF(OR(BR251="",AE251=""),"",IF(AF251="",IF(NOW()&gt;EDATE(AE251,DORA_M_FIN)+1,0,""),IF(AF251&lt;=EDATE(AE251,DORA_M_FIN),1,0)))</f>
        <v/>
      </c>
      <c r="BV251" s="35" t="str">
        <f aca="false">IF(BR251="","",IF(COUNT(BS251:BU251)=0,"",MIN(BS251:BU251)))</f>
        <v/>
      </c>
      <c r="BW251" s="40" t="str">
        <f aca="false">IF(AQ251&lt;&gt;1,"",IF(AND(AG251="",AH251=""),"",N(AG251)-N(AH251)))</f>
        <v/>
      </c>
      <c r="BX251" s="35" t="str">
        <f aca="true">IF(OR(AQ251&lt;&gt;1,AI251&lt;&gt;"Oui",AJ251=""),"",IF(AK251="",IF(NOW()&gt;AJ251+1,0,""),IF(AK251&lt;=AJ251,1,0)))</f>
        <v/>
      </c>
    </row>
    <row r="252" customFormat="false" ht="15" hidden="false" customHeight="false" outlineLevel="0" collapsed="false">
      <c r="B252" s="29"/>
      <c r="C252" s="29"/>
      <c r="D252" s="29"/>
      <c r="E252" s="29"/>
      <c r="F252" s="29"/>
      <c r="G252" s="29"/>
      <c r="H252" s="29"/>
      <c r="I252" s="29"/>
      <c r="J252" s="29"/>
      <c r="K252" s="29"/>
      <c r="L252" s="29"/>
      <c r="M252" s="29"/>
      <c r="N252" s="30"/>
      <c r="O252" s="30"/>
      <c r="P252" s="30"/>
      <c r="Q252" s="30"/>
      <c r="R252" s="30"/>
      <c r="S252" s="30"/>
      <c r="T252" s="30"/>
      <c r="U252" s="30"/>
      <c r="V252" s="31"/>
      <c r="W252" s="29"/>
      <c r="X252" s="29"/>
      <c r="Y252" s="29"/>
      <c r="Z252" s="29"/>
      <c r="AA252" s="30"/>
      <c r="AB252" s="30"/>
      <c r="AC252" s="30"/>
      <c r="AD252" s="30"/>
      <c r="AE252" s="30"/>
      <c r="AF252" s="32"/>
      <c r="AG252" s="33"/>
      <c r="AH252" s="33"/>
      <c r="AI252" s="29"/>
      <c r="AJ252" s="32"/>
      <c r="AK252" s="32"/>
      <c r="AL252" s="29"/>
      <c r="AN252" s="34" t="str">
        <f aca="false">IF($B252="","",IF(OR(C252="",D252="",E252="",G252="",I252="",J252="",L252="",O252="",P252=""),"Champ obligatoire manquant",IF(OR(AND(N252&lt;&gt;"",N252&gt;O252),O252&gt;P252,AND(Q252&lt;&gt;"",Q252&lt;P252),AND(R252&lt;&gt;"",R252&lt;P252),AND(S252&lt;&gt;"",S252&lt;R252),AND(S252&lt;&gt;"",R252=""),AND(T252&lt;&gt;"",T252&lt;O252),AND(U252&lt;&gt;"",U252&lt;O252)),"Chronologie incohérente",IF(AND(OR(L252="Résolu",L252="Clos"),R252=""),"Date de résolution manquante",IF(AND(L252="Clos",S252=""),"Date de clôture manquante",IF(AND(K252="Oui",AC252=""),"Classification DORA manquante","OK"))))))</f>
        <v/>
      </c>
      <c r="AO252" s="35" t="str">
        <f aca="false">IF($B252="","",IF(AND(C252="Incident",L252&lt;&gt;"Annulé"),1,0))</f>
        <v/>
      </c>
      <c r="AP252" s="35" t="str">
        <f aca="false">IF($B252="","",IF(AND(C252="Quasi-incident",L252&lt;&gt;"Annulé"),1,0))</f>
        <v/>
      </c>
      <c r="AQ252" s="35" t="str">
        <f aca="false">IF($B252="","",AO252+AP252)</f>
        <v/>
      </c>
      <c r="AR252" s="36" t="str">
        <f aca="false">IF(OR($B252="",J252=""),"",IFERROR(VALUE(LEFT(J252,1)),""))</f>
        <v/>
      </c>
      <c r="AS252" s="35" t="str">
        <f aca="false">IF(OR(AO252&lt;&gt;1,G252=""),"",IFERROR(IF(INDEX(L_SrcInterne,MATCH(G252,L_Sources,0))="Oui",1,0),""))</f>
        <v/>
      </c>
      <c r="AT252" s="37" t="str">
        <f aca="false">IF(AO252&lt;&gt;1,"",IFERROR(ROUND(IF(OR(N252="",O252=""),"",IF(O252&lt;N252,"",ROUND(((NETWORKDAYS(N252,O252,JoursFeries)-1)*(HFer-HOuv)+IF(NETWORKDAYS(O252,O252,JoursFeries),MEDIAN(MOD(O252,1),HFer,HOuv),HFer)-IF(NETWORKDAYS(N252,N252,JoursFeries),MEDIAN(MOD(N252,1),HFer,HOuv),HOuv))*24,4)))/HJour,4),""))</f>
        <v/>
      </c>
      <c r="AU252" s="37" t="str">
        <f aca="false">IF(AO252&lt;&gt;1,"",IF(OR(O252="",P252=""),"",IF(P252&lt;O252,"",ROUND(((NETWORKDAYS(O252,P252,JoursFeries)-1)*(HFer-HOuv)+IF(NETWORKDAYS(P252,P252,JoursFeries),MEDIAN(MOD(P252,1),HFer,HOuv),HFer)-IF(NETWORKDAYS(O252,O252,JoursFeries),MEDIAN(MOD(O252,1),HFer,HOuv),HOuv))*24,4))))</f>
        <v/>
      </c>
      <c r="AV252" s="37" t="str">
        <f aca="false">IF(AO252&lt;&gt;1,"",IF(OR(P252="",Q252=""),"",IF(Q252&lt;P252,"",ROUND(((NETWORKDAYS(P252,Q252,JoursFeries)-1)*(HFer-HOuv)+IF(NETWORKDAYS(Q252,Q252,JoursFeries),MEDIAN(MOD(Q252,1),HFer,HOuv),HFer)-IF(NETWORKDAYS(P252,P252,JoursFeries),MEDIAN(MOD(P252,1),HFer,HOuv),HOuv))*24,4))))</f>
        <v/>
      </c>
      <c r="AW252" s="37" t="str">
        <f aca="false">IF(AO252&lt;&gt;1,"",IFERROR(ROUND(IF(OR(P252="",R252=""),"",IF(R252&lt;P252,"",ROUND(((NETWORKDAYS(P252,R252,JoursFeries)-1)*(HFer-HOuv)+IF(NETWORKDAYS(R252,R252,JoursFeries),MEDIAN(MOD(R252,1),HFer,HOuv),HFer)-IF(NETWORKDAYS(P252,P252,JoursFeries),MEDIAN(MOD(P252,1),HFer,HOuv),HOuv))*24,4)))/HJour,4),""))</f>
        <v/>
      </c>
      <c r="AX252" s="37" t="str">
        <f aca="false">IF(AO252&lt;&gt;1,"",IFERROR(ROUND(IF(OR(P252="",S252=""),"",IF(S252&lt;P252,"",ROUND(((NETWORKDAYS(P252,S252,JoursFeries)-1)*(HFer-HOuv)+IF(NETWORKDAYS(S252,S252,JoursFeries),MEDIAN(MOD(S252,1),HFer,HOuv),HFer)-IF(NETWORKDAYS(P252,P252,JoursFeries),MEDIAN(MOD(P252,1),HFer,HOuv),HOuv))*24,4)))/HJour,4),""))</f>
        <v/>
      </c>
      <c r="AY252" s="36" t="str">
        <f aca="false">IF(OR(AO252&lt;&gt;1,AR252=""),"",INDEX(SLA_PEC,AR252))</f>
        <v/>
      </c>
      <c r="AZ252" s="35" t="str">
        <f aca="false">IF(OR(AV252="",AY252=""),"",IF(AV252&lt;=AY252,1,0))</f>
        <v/>
      </c>
      <c r="BA252" s="36" t="str">
        <f aca="false">IF(OR(AO252&lt;&gt;1,AR252=""),"",INDEX(SLA_RES,AR252))</f>
        <v/>
      </c>
      <c r="BB252" s="35" t="str">
        <f aca="false">IF(OR(AW252="",BA252=""),"",IF(AW252&lt;=BA252,1,0))</f>
        <v/>
      </c>
      <c r="BC252" s="38" t="str">
        <f aca="false">IF(OR(BA252="",P252=""),"",WORKDAY(INT(P252),BA252,JoursFeries)+MOD(P252,1))</f>
        <v/>
      </c>
      <c r="BD252" s="39" t="str">
        <f aca="false">IF(AO252&lt;&gt;1,"",IF(OR(AB252&lt;&gt;"",AD252&lt;&gt;""),4,IF(U252&lt;&gt;"",3,IF(T252&lt;&gt;"",2,1))))</f>
        <v/>
      </c>
      <c r="BE252" s="39" t="str">
        <f aca="false">IF(OR(AO252&lt;&gt;1,AR252=""),"",INDEX(NIV_REQ,AR252))</f>
        <v/>
      </c>
      <c r="BF252" s="39" t="str">
        <f aca="false">IF(BE252="","",MAX(BE252,IF(OR(K252="Oui",Z252="Oui"),4,1)))</f>
        <v/>
      </c>
      <c r="BG252" s="35" t="str">
        <f aca="false">IF(OR(BF252="",BD252=""),"",IF(BD252&gt;=BF252,1,0))</f>
        <v/>
      </c>
      <c r="BH252" s="38" t="str">
        <f aca="false">IF(BE252="","",IF(BE252&lt;2,"",IF(BE252=2,IF(AND(T252="",U252=""),"",MIN(T252,U252)),IF(U252="","",U252))))</f>
        <v/>
      </c>
      <c r="BI252" s="37" t="str">
        <f aca="false">IF(BH252="","",IF(OR(O252="",BH252=""),"",IF(BH252&lt;O252,"",ROUND(((NETWORKDAYS(O252,BH252,JoursFeries)-1)*(HFer-HOuv)+IF(NETWORKDAYS(BH252,BH252,JoursFeries),MEDIAN(MOD(BH252,1),HFer,HOuv),HFer)-IF(NETWORKDAYS(O252,O252,JoursFeries),MEDIAN(MOD(O252,1),HFer,HOuv),HOuv))*24,4))))</f>
        <v/>
      </c>
      <c r="BJ252" s="35" t="str">
        <f aca="false">IF(OR(BI252="",AR252=""),"",IF(BI252&lt;=INDEX(DELAI_ESC,AR252),1,0))</f>
        <v/>
      </c>
      <c r="BK252" s="38" t="str">
        <f aca="false">IF(AO252&lt;&gt;1,"",IF(AND(T252="",U252=""),"",MIN(T252,U252)))</f>
        <v/>
      </c>
      <c r="BL252" s="37" t="str">
        <f aca="false">IF(OR(BK252="",R252=""),"",IFERROR(ROUND(IF(OR(BK252="",R252=""),"",IF(R252&lt;BK252,"",ROUND(((NETWORKDAYS(BK252,R252,JoursFeries)-1)*(HFer-HOuv)+IF(NETWORKDAYS(R252,R252,JoursFeries),MEDIAN(MOD(R252,1),HFer,HOuv),HFer)-IF(NETWORKDAYS(BK252,BK252,JoursFeries),MEDIAN(MOD(BK252,1),HFer,HOuv),HOuv))*24,4)))/HJour,4),""))</f>
        <v/>
      </c>
      <c r="BM252" s="35" t="str">
        <f aca="false">IF(OR(AO252&lt;&gt;1,R252=""),"",IF(BD252=1,1,0))</f>
        <v/>
      </c>
      <c r="BN252" s="35" t="str">
        <f aca="false">IF(AO252&lt;&gt;1,"",IF(W252="Oui",1,0))</f>
        <v/>
      </c>
      <c r="BO252" s="35" t="str">
        <f aca="false">IF(AO252&lt;&gt;1,"",IF(X252&lt;&gt;"",1,0))</f>
        <v/>
      </c>
      <c r="BP252" s="35" t="str">
        <f aca="false">IF(AO252&lt;&gt;1,"",IF(Y252="Oui",1,0))</f>
        <v/>
      </c>
      <c r="BQ252" s="35" t="str">
        <f aca="true">IF(OR(AO252&lt;&gt;1,Z252&lt;&gt;"Oui"),"",IF(AB252="",IF(AND(AA252&lt;&gt;"",NOW()&gt;AA252),0,""),IF(AA252="","",IF(AB252&lt;=AA252,1,0))))</f>
        <v/>
      </c>
      <c r="BR252" s="38" t="str">
        <f aca="false">IF(OR(AO252&lt;&gt;1,K252&lt;&gt;"Oui",O252=""),"",IF(AC252="",O252+DORA_H_DET/24,IF(AC252-O252&lt;=DORA_H_DET/24,MIN(AC252+DORA_H_CLA/24,O252+DORA_H_DET/24),AC252+DORA_H_CLA/24)))</f>
        <v/>
      </c>
      <c r="BS252" s="35" t="str">
        <f aca="true">IF(BR252="","",IF(AD252="",IF(NOW()&gt;BR252,0,""),IF(AD252&lt;=BR252,1,0)))</f>
        <v/>
      </c>
      <c r="BT252" s="35" t="str">
        <f aca="true">IF(OR(BR252="",AD252=""),"",IF(AE252="",IF(NOW()&gt;AD252+DORA_H_INT/24,0,""),IF(AE252&lt;=AD252+DORA_H_INT/24,1,0)))</f>
        <v/>
      </c>
      <c r="BU252" s="35" t="str">
        <f aca="true">IF(OR(BR252="",AE252=""),"",IF(AF252="",IF(NOW()&gt;EDATE(AE252,DORA_M_FIN)+1,0,""),IF(AF252&lt;=EDATE(AE252,DORA_M_FIN),1,0)))</f>
        <v/>
      </c>
      <c r="BV252" s="35" t="str">
        <f aca="false">IF(BR252="","",IF(COUNT(BS252:BU252)=0,"",MIN(BS252:BU252)))</f>
        <v/>
      </c>
      <c r="BW252" s="40" t="str">
        <f aca="false">IF(AQ252&lt;&gt;1,"",IF(AND(AG252="",AH252=""),"",N(AG252)-N(AH252)))</f>
        <v/>
      </c>
      <c r="BX252" s="35" t="str">
        <f aca="true">IF(OR(AQ252&lt;&gt;1,AI252&lt;&gt;"Oui",AJ252=""),"",IF(AK252="",IF(NOW()&gt;AJ252+1,0,""),IF(AK252&lt;=AJ252,1,0)))</f>
        <v/>
      </c>
    </row>
    <row r="253" customFormat="false" ht="15" hidden="false" customHeight="false" outlineLevel="0" collapsed="false">
      <c r="B253" s="29"/>
      <c r="C253" s="29"/>
      <c r="D253" s="29"/>
      <c r="E253" s="29"/>
      <c r="F253" s="29"/>
      <c r="G253" s="29"/>
      <c r="H253" s="29"/>
      <c r="I253" s="29"/>
      <c r="J253" s="29"/>
      <c r="K253" s="29"/>
      <c r="L253" s="29"/>
      <c r="M253" s="29"/>
      <c r="N253" s="30"/>
      <c r="O253" s="30"/>
      <c r="P253" s="30"/>
      <c r="Q253" s="30"/>
      <c r="R253" s="30"/>
      <c r="S253" s="30"/>
      <c r="T253" s="30"/>
      <c r="U253" s="30"/>
      <c r="V253" s="31"/>
      <c r="W253" s="29"/>
      <c r="X253" s="29"/>
      <c r="Y253" s="29"/>
      <c r="Z253" s="29"/>
      <c r="AA253" s="30"/>
      <c r="AB253" s="30"/>
      <c r="AC253" s="30"/>
      <c r="AD253" s="30"/>
      <c r="AE253" s="30"/>
      <c r="AF253" s="32"/>
      <c r="AG253" s="33"/>
      <c r="AH253" s="33"/>
      <c r="AI253" s="29"/>
      <c r="AJ253" s="32"/>
      <c r="AK253" s="32"/>
      <c r="AL253" s="29"/>
      <c r="AN253" s="34" t="str">
        <f aca="false">IF($B253="","",IF(OR(C253="",D253="",E253="",G253="",I253="",J253="",L253="",O253="",P253=""),"Champ obligatoire manquant",IF(OR(AND(N253&lt;&gt;"",N253&gt;O253),O253&gt;P253,AND(Q253&lt;&gt;"",Q253&lt;P253),AND(R253&lt;&gt;"",R253&lt;P253),AND(S253&lt;&gt;"",S253&lt;R253),AND(S253&lt;&gt;"",R253=""),AND(T253&lt;&gt;"",T253&lt;O253),AND(U253&lt;&gt;"",U253&lt;O253)),"Chronologie incohérente",IF(AND(OR(L253="Résolu",L253="Clos"),R253=""),"Date de résolution manquante",IF(AND(L253="Clos",S253=""),"Date de clôture manquante",IF(AND(K253="Oui",AC253=""),"Classification DORA manquante","OK"))))))</f>
        <v/>
      </c>
      <c r="AO253" s="35" t="str">
        <f aca="false">IF($B253="","",IF(AND(C253="Incident",L253&lt;&gt;"Annulé"),1,0))</f>
        <v/>
      </c>
      <c r="AP253" s="35" t="str">
        <f aca="false">IF($B253="","",IF(AND(C253="Quasi-incident",L253&lt;&gt;"Annulé"),1,0))</f>
        <v/>
      </c>
      <c r="AQ253" s="35" t="str">
        <f aca="false">IF($B253="","",AO253+AP253)</f>
        <v/>
      </c>
      <c r="AR253" s="36" t="str">
        <f aca="false">IF(OR($B253="",J253=""),"",IFERROR(VALUE(LEFT(J253,1)),""))</f>
        <v/>
      </c>
      <c r="AS253" s="35" t="str">
        <f aca="false">IF(OR(AO253&lt;&gt;1,G253=""),"",IFERROR(IF(INDEX(L_SrcInterne,MATCH(G253,L_Sources,0))="Oui",1,0),""))</f>
        <v/>
      </c>
      <c r="AT253" s="37" t="str">
        <f aca="false">IF(AO253&lt;&gt;1,"",IFERROR(ROUND(IF(OR(N253="",O253=""),"",IF(O253&lt;N253,"",ROUND(((NETWORKDAYS(N253,O253,JoursFeries)-1)*(HFer-HOuv)+IF(NETWORKDAYS(O253,O253,JoursFeries),MEDIAN(MOD(O253,1),HFer,HOuv),HFer)-IF(NETWORKDAYS(N253,N253,JoursFeries),MEDIAN(MOD(N253,1),HFer,HOuv),HOuv))*24,4)))/HJour,4),""))</f>
        <v/>
      </c>
      <c r="AU253" s="37" t="str">
        <f aca="false">IF(AO253&lt;&gt;1,"",IF(OR(O253="",P253=""),"",IF(P253&lt;O253,"",ROUND(((NETWORKDAYS(O253,P253,JoursFeries)-1)*(HFer-HOuv)+IF(NETWORKDAYS(P253,P253,JoursFeries),MEDIAN(MOD(P253,1),HFer,HOuv),HFer)-IF(NETWORKDAYS(O253,O253,JoursFeries),MEDIAN(MOD(O253,1),HFer,HOuv),HOuv))*24,4))))</f>
        <v/>
      </c>
      <c r="AV253" s="37" t="str">
        <f aca="false">IF(AO253&lt;&gt;1,"",IF(OR(P253="",Q253=""),"",IF(Q253&lt;P253,"",ROUND(((NETWORKDAYS(P253,Q253,JoursFeries)-1)*(HFer-HOuv)+IF(NETWORKDAYS(Q253,Q253,JoursFeries),MEDIAN(MOD(Q253,1),HFer,HOuv),HFer)-IF(NETWORKDAYS(P253,P253,JoursFeries),MEDIAN(MOD(P253,1),HFer,HOuv),HOuv))*24,4))))</f>
        <v/>
      </c>
      <c r="AW253" s="37" t="str">
        <f aca="false">IF(AO253&lt;&gt;1,"",IFERROR(ROUND(IF(OR(P253="",R253=""),"",IF(R253&lt;P253,"",ROUND(((NETWORKDAYS(P253,R253,JoursFeries)-1)*(HFer-HOuv)+IF(NETWORKDAYS(R253,R253,JoursFeries),MEDIAN(MOD(R253,1),HFer,HOuv),HFer)-IF(NETWORKDAYS(P253,P253,JoursFeries),MEDIAN(MOD(P253,1),HFer,HOuv),HOuv))*24,4)))/HJour,4),""))</f>
        <v/>
      </c>
      <c r="AX253" s="37" t="str">
        <f aca="false">IF(AO253&lt;&gt;1,"",IFERROR(ROUND(IF(OR(P253="",S253=""),"",IF(S253&lt;P253,"",ROUND(((NETWORKDAYS(P253,S253,JoursFeries)-1)*(HFer-HOuv)+IF(NETWORKDAYS(S253,S253,JoursFeries),MEDIAN(MOD(S253,1),HFer,HOuv),HFer)-IF(NETWORKDAYS(P253,P253,JoursFeries),MEDIAN(MOD(P253,1),HFer,HOuv),HOuv))*24,4)))/HJour,4),""))</f>
        <v/>
      </c>
      <c r="AY253" s="36" t="str">
        <f aca="false">IF(OR(AO253&lt;&gt;1,AR253=""),"",INDEX(SLA_PEC,AR253))</f>
        <v/>
      </c>
      <c r="AZ253" s="35" t="str">
        <f aca="false">IF(OR(AV253="",AY253=""),"",IF(AV253&lt;=AY253,1,0))</f>
        <v/>
      </c>
      <c r="BA253" s="36" t="str">
        <f aca="false">IF(OR(AO253&lt;&gt;1,AR253=""),"",INDEX(SLA_RES,AR253))</f>
        <v/>
      </c>
      <c r="BB253" s="35" t="str">
        <f aca="false">IF(OR(AW253="",BA253=""),"",IF(AW253&lt;=BA253,1,0))</f>
        <v/>
      </c>
      <c r="BC253" s="38" t="str">
        <f aca="false">IF(OR(BA253="",P253=""),"",WORKDAY(INT(P253),BA253,JoursFeries)+MOD(P253,1))</f>
        <v/>
      </c>
      <c r="BD253" s="39" t="str">
        <f aca="false">IF(AO253&lt;&gt;1,"",IF(OR(AB253&lt;&gt;"",AD253&lt;&gt;""),4,IF(U253&lt;&gt;"",3,IF(T253&lt;&gt;"",2,1))))</f>
        <v/>
      </c>
      <c r="BE253" s="39" t="str">
        <f aca="false">IF(OR(AO253&lt;&gt;1,AR253=""),"",INDEX(NIV_REQ,AR253))</f>
        <v/>
      </c>
      <c r="BF253" s="39" t="str">
        <f aca="false">IF(BE253="","",MAX(BE253,IF(OR(K253="Oui",Z253="Oui"),4,1)))</f>
        <v/>
      </c>
      <c r="BG253" s="35" t="str">
        <f aca="false">IF(OR(BF253="",BD253=""),"",IF(BD253&gt;=BF253,1,0))</f>
        <v/>
      </c>
      <c r="BH253" s="38" t="str">
        <f aca="false">IF(BE253="","",IF(BE253&lt;2,"",IF(BE253=2,IF(AND(T253="",U253=""),"",MIN(T253,U253)),IF(U253="","",U253))))</f>
        <v/>
      </c>
      <c r="BI253" s="37" t="str">
        <f aca="false">IF(BH253="","",IF(OR(O253="",BH253=""),"",IF(BH253&lt;O253,"",ROUND(((NETWORKDAYS(O253,BH253,JoursFeries)-1)*(HFer-HOuv)+IF(NETWORKDAYS(BH253,BH253,JoursFeries),MEDIAN(MOD(BH253,1),HFer,HOuv),HFer)-IF(NETWORKDAYS(O253,O253,JoursFeries),MEDIAN(MOD(O253,1),HFer,HOuv),HOuv))*24,4))))</f>
        <v/>
      </c>
      <c r="BJ253" s="35" t="str">
        <f aca="false">IF(OR(BI253="",AR253=""),"",IF(BI253&lt;=INDEX(DELAI_ESC,AR253),1,0))</f>
        <v/>
      </c>
      <c r="BK253" s="38" t="str">
        <f aca="false">IF(AO253&lt;&gt;1,"",IF(AND(T253="",U253=""),"",MIN(T253,U253)))</f>
        <v/>
      </c>
      <c r="BL253" s="37" t="str">
        <f aca="false">IF(OR(BK253="",R253=""),"",IFERROR(ROUND(IF(OR(BK253="",R253=""),"",IF(R253&lt;BK253,"",ROUND(((NETWORKDAYS(BK253,R253,JoursFeries)-1)*(HFer-HOuv)+IF(NETWORKDAYS(R253,R253,JoursFeries),MEDIAN(MOD(R253,1),HFer,HOuv),HFer)-IF(NETWORKDAYS(BK253,BK253,JoursFeries),MEDIAN(MOD(BK253,1),HFer,HOuv),HOuv))*24,4)))/HJour,4),""))</f>
        <v/>
      </c>
      <c r="BM253" s="35" t="str">
        <f aca="false">IF(OR(AO253&lt;&gt;1,R253=""),"",IF(BD253=1,1,0))</f>
        <v/>
      </c>
      <c r="BN253" s="35" t="str">
        <f aca="false">IF(AO253&lt;&gt;1,"",IF(W253="Oui",1,0))</f>
        <v/>
      </c>
      <c r="BO253" s="35" t="str">
        <f aca="false">IF(AO253&lt;&gt;1,"",IF(X253&lt;&gt;"",1,0))</f>
        <v/>
      </c>
      <c r="BP253" s="35" t="str">
        <f aca="false">IF(AO253&lt;&gt;1,"",IF(Y253="Oui",1,0))</f>
        <v/>
      </c>
      <c r="BQ253" s="35" t="str">
        <f aca="true">IF(OR(AO253&lt;&gt;1,Z253&lt;&gt;"Oui"),"",IF(AB253="",IF(AND(AA253&lt;&gt;"",NOW()&gt;AA253),0,""),IF(AA253="","",IF(AB253&lt;=AA253,1,0))))</f>
        <v/>
      </c>
      <c r="BR253" s="38" t="str">
        <f aca="false">IF(OR(AO253&lt;&gt;1,K253&lt;&gt;"Oui",O253=""),"",IF(AC253="",O253+DORA_H_DET/24,IF(AC253-O253&lt;=DORA_H_DET/24,MIN(AC253+DORA_H_CLA/24,O253+DORA_H_DET/24),AC253+DORA_H_CLA/24)))</f>
        <v/>
      </c>
      <c r="BS253" s="35" t="str">
        <f aca="true">IF(BR253="","",IF(AD253="",IF(NOW()&gt;BR253,0,""),IF(AD253&lt;=BR253,1,0)))</f>
        <v/>
      </c>
      <c r="BT253" s="35" t="str">
        <f aca="true">IF(OR(BR253="",AD253=""),"",IF(AE253="",IF(NOW()&gt;AD253+DORA_H_INT/24,0,""),IF(AE253&lt;=AD253+DORA_H_INT/24,1,0)))</f>
        <v/>
      </c>
      <c r="BU253" s="35" t="str">
        <f aca="true">IF(OR(BR253="",AE253=""),"",IF(AF253="",IF(NOW()&gt;EDATE(AE253,DORA_M_FIN)+1,0,""),IF(AF253&lt;=EDATE(AE253,DORA_M_FIN),1,0)))</f>
        <v/>
      </c>
      <c r="BV253" s="35" t="str">
        <f aca="false">IF(BR253="","",IF(COUNT(BS253:BU253)=0,"",MIN(BS253:BU253)))</f>
        <v/>
      </c>
      <c r="BW253" s="40" t="str">
        <f aca="false">IF(AQ253&lt;&gt;1,"",IF(AND(AG253="",AH253=""),"",N(AG253)-N(AH253)))</f>
        <v/>
      </c>
      <c r="BX253" s="35" t="str">
        <f aca="true">IF(OR(AQ253&lt;&gt;1,AI253&lt;&gt;"Oui",AJ253=""),"",IF(AK253="",IF(NOW()&gt;AJ253+1,0,""),IF(AK253&lt;=AJ253,1,0)))</f>
        <v/>
      </c>
    </row>
    <row r="254" customFormat="false" ht="15" hidden="false" customHeight="false" outlineLevel="0" collapsed="false">
      <c r="B254" s="29"/>
      <c r="C254" s="29"/>
      <c r="D254" s="29"/>
      <c r="E254" s="29"/>
      <c r="F254" s="29"/>
      <c r="G254" s="29"/>
      <c r="H254" s="29"/>
      <c r="I254" s="29"/>
      <c r="J254" s="29"/>
      <c r="K254" s="29"/>
      <c r="L254" s="29"/>
      <c r="M254" s="29"/>
      <c r="N254" s="30"/>
      <c r="O254" s="30"/>
      <c r="P254" s="30"/>
      <c r="Q254" s="30"/>
      <c r="R254" s="30"/>
      <c r="S254" s="30"/>
      <c r="T254" s="30"/>
      <c r="U254" s="30"/>
      <c r="V254" s="31"/>
      <c r="W254" s="29"/>
      <c r="X254" s="29"/>
      <c r="Y254" s="29"/>
      <c r="Z254" s="29"/>
      <c r="AA254" s="30"/>
      <c r="AB254" s="30"/>
      <c r="AC254" s="30"/>
      <c r="AD254" s="30"/>
      <c r="AE254" s="30"/>
      <c r="AF254" s="32"/>
      <c r="AG254" s="33"/>
      <c r="AH254" s="33"/>
      <c r="AI254" s="29"/>
      <c r="AJ254" s="32"/>
      <c r="AK254" s="32"/>
      <c r="AL254" s="29"/>
      <c r="AN254" s="34" t="str">
        <f aca="false">IF($B254="","",IF(OR(C254="",D254="",E254="",G254="",I254="",J254="",L254="",O254="",P254=""),"Champ obligatoire manquant",IF(OR(AND(N254&lt;&gt;"",N254&gt;O254),O254&gt;P254,AND(Q254&lt;&gt;"",Q254&lt;P254),AND(R254&lt;&gt;"",R254&lt;P254),AND(S254&lt;&gt;"",S254&lt;R254),AND(S254&lt;&gt;"",R254=""),AND(T254&lt;&gt;"",T254&lt;O254),AND(U254&lt;&gt;"",U254&lt;O254)),"Chronologie incohérente",IF(AND(OR(L254="Résolu",L254="Clos"),R254=""),"Date de résolution manquante",IF(AND(L254="Clos",S254=""),"Date de clôture manquante",IF(AND(K254="Oui",AC254=""),"Classification DORA manquante","OK"))))))</f>
        <v/>
      </c>
      <c r="AO254" s="35" t="str">
        <f aca="false">IF($B254="","",IF(AND(C254="Incident",L254&lt;&gt;"Annulé"),1,0))</f>
        <v/>
      </c>
      <c r="AP254" s="35" t="str">
        <f aca="false">IF($B254="","",IF(AND(C254="Quasi-incident",L254&lt;&gt;"Annulé"),1,0))</f>
        <v/>
      </c>
      <c r="AQ254" s="35" t="str">
        <f aca="false">IF($B254="","",AO254+AP254)</f>
        <v/>
      </c>
      <c r="AR254" s="36" t="str">
        <f aca="false">IF(OR($B254="",J254=""),"",IFERROR(VALUE(LEFT(J254,1)),""))</f>
        <v/>
      </c>
      <c r="AS254" s="35" t="str">
        <f aca="false">IF(OR(AO254&lt;&gt;1,G254=""),"",IFERROR(IF(INDEX(L_SrcInterne,MATCH(G254,L_Sources,0))="Oui",1,0),""))</f>
        <v/>
      </c>
      <c r="AT254" s="37" t="str">
        <f aca="false">IF(AO254&lt;&gt;1,"",IFERROR(ROUND(IF(OR(N254="",O254=""),"",IF(O254&lt;N254,"",ROUND(((NETWORKDAYS(N254,O254,JoursFeries)-1)*(HFer-HOuv)+IF(NETWORKDAYS(O254,O254,JoursFeries),MEDIAN(MOD(O254,1),HFer,HOuv),HFer)-IF(NETWORKDAYS(N254,N254,JoursFeries),MEDIAN(MOD(N254,1),HFer,HOuv),HOuv))*24,4)))/HJour,4),""))</f>
        <v/>
      </c>
      <c r="AU254" s="37" t="str">
        <f aca="false">IF(AO254&lt;&gt;1,"",IF(OR(O254="",P254=""),"",IF(P254&lt;O254,"",ROUND(((NETWORKDAYS(O254,P254,JoursFeries)-1)*(HFer-HOuv)+IF(NETWORKDAYS(P254,P254,JoursFeries),MEDIAN(MOD(P254,1),HFer,HOuv),HFer)-IF(NETWORKDAYS(O254,O254,JoursFeries),MEDIAN(MOD(O254,1),HFer,HOuv),HOuv))*24,4))))</f>
        <v/>
      </c>
      <c r="AV254" s="37" t="str">
        <f aca="false">IF(AO254&lt;&gt;1,"",IF(OR(P254="",Q254=""),"",IF(Q254&lt;P254,"",ROUND(((NETWORKDAYS(P254,Q254,JoursFeries)-1)*(HFer-HOuv)+IF(NETWORKDAYS(Q254,Q254,JoursFeries),MEDIAN(MOD(Q254,1),HFer,HOuv),HFer)-IF(NETWORKDAYS(P254,P254,JoursFeries),MEDIAN(MOD(P254,1),HFer,HOuv),HOuv))*24,4))))</f>
        <v/>
      </c>
      <c r="AW254" s="37" t="str">
        <f aca="false">IF(AO254&lt;&gt;1,"",IFERROR(ROUND(IF(OR(P254="",R254=""),"",IF(R254&lt;P254,"",ROUND(((NETWORKDAYS(P254,R254,JoursFeries)-1)*(HFer-HOuv)+IF(NETWORKDAYS(R254,R254,JoursFeries),MEDIAN(MOD(R254,1),HFer,HOuv),HFer)-IF(NETWORKDAYS(P254,P254,JoursFeries),MEDIAN(MOD(P254,1),HFer,HOuv),HOuv))*24,4)))/HJour,4),""))</f>
        <v/>
      </c>
      <c r="AX254" s="37" t="str">
        <f aca="false">IF(AO254&lt;&gt;1,"",IFERROR(ROUND(IF(OR(P254="",S254=""),"",IF(S254&lt;P254,"",ROUND(((NETWORKDAYS(P254,S254,JoursFeries)-1)*(HFer-HOuv)+IF(NETWORKDAYS(S254,S254,JoursFeries),MEDIAN(MOD(S254,1),HFer,HOuv),HFer)-IF(NETWORKDAYS(P254,P254,JoursFeries),MEDIAN(MOD(P254,1),HFer,HOuv),HOuv))*24,4)))/HJour,4),""))</f>
        <v/>
      </c>
      <c r="AY254" s="36" t="str">
        <f aca="false">IF(OR(AO254&lt;&gt;1,AR254=""),"",INDEX(SLA_PEC,AR254))</f>
        <v/>
      </c>
      <c r="AZ254" s="35" t="str">
        <f aca="false">IF(OR(AV254="",AY254=""),"",IF(AV254&lt;=AY254,1,0))</f>
        <v/>
      </c>
      <c r="BA254" s="36" t="str">
        <f aca="false">IF(OR(AO254&lt;&gt;1,AR254=""),"",INDEX(SLA_RES,AR254))</f>
        <v/>
      </c>
      <c r="BB254" s="35" t="str">
        <f aca="false">IF(OR(AW254="",BA254=""),"",IF(AW254&lt;=BA254,1,0))</f>
        <v/>
      </c>
      <c r="BC254" s="38" t="str">
        <f aca="false">IF(OR(BA254="",P254=""),"",WORKDAY(INT(P254),BA254,JoursFeries)+MOD(P254,1))</f>
        <v/>
      </c>
      <c r="BD254" s="39" t="str">
        <f aca="false">IF(AO254&lt;&gt;1,"",IF(OR(AB254&lt;&gt;"",AD254&lt;&gt;""),4,IF(U254&lt;&gt;"",3,IF(T254&lt;&gt;"",2,1))))</f>
        <v/>
      </c>
      <c r="BE254" s="39" t="str">
        <f aca="false">IF(OR(AO254&lt;&gt;1,AR254=""),"",INDEX(NIV_REQ,AR254))</f>
        <v/>
      </c>
      <c r="BF254" s="39" t="str">
        <f aca="false">IF(BE254="","",MAX(BE254,IF(OR(K254="Oui",Z254="Oui"),4,1)))</f>
        <v/>
      </c>
      <c r="BG254" s="35" t="str">
        <f aca="false">IF(OR(BF254="",BD254=""),"",IF(BD254&gt;=BF254,1,0))</f>
        <v/>
      </c>
      <c r="BH254" s="38" t="str">
        <f aca="false">IF(BE254="","",IF(BE254&lt;2,"",IF(BE254=2,IF(AND(T254="",U254=""),"",MIN(T254,U254)),IF(U254="","",U254))))</f>
        <v/>
      </c>
      <c r="BI254" s="37" t="str">
        <f aca="false">IF(BH254="","",IF(OR(O254="",BH254=""),"",IF(BH254&lt;O254,"",ROUND(((NETWORKDAYS(O254,BH254,JoursFeries)-1)*(HFer-HOuv)+IF(NETWORKDAYS(BH254,BH254,JoursFeries),MEDIAN(MOD(BH254,1),HFer,HOuv),HFer)-IF(NETWORKDAYS(O254,O254,JoursFeries),MEDIAN(MOD(O254,1),HFer,HOuv),HOuv))*24,4))))</f>
        <v/>
      </c>
      <c r="BJ254" s="35" t="str">
        <f aca="false">IF(OR(BI254="",AR254=""),"",IF(BI254&lt;=INDEX(DELAI_ESC,AR254),1,0))</f>
        <v/>
      </c>
      <c r="BK254" s="38" t="str">
        <f aca="false">IF(AO254&lt;&gt;1,"",IF(AND(T254="",U254=""),"",MIN(T254,U254)))</f>
        <v/>
      </c>
      <c r="BL254" s="37" t="str">
        <f aca="false">IF(OR(BK254="",R254=""),"",IFERROR(ROUND(IF(OR(BK254="",R254=""),"",IF(R254&lt;BK254,"",ROUND(((NETWORKDAYS(BK254,R254,JoursFeries)-1)*(HFer-HOuv)+IF(NETWORKDAYS(R254,R254,JoursFeries),MEDIAN(MOD(R254,1),HFer,HOuv),HFer)-IF(NETWORKDAYS(BK254,BK254,JoursFeries),MEDIAN(MOD(BK254,1),HFer,HOuv),HOuv))*24,4)))/HJour,4),""))</f>
        <v/>
      </c>
      <c r="BM254" s="35" t="str">
        <f aca="false">IF(OR(AO254&lt;&gt;1,R254=""),"",IF(BD254=1,1,0))</f>
        <v/>
      </c>
      <c r="BN254" s="35" t="str">
        <f aca="false">IF(AO254&lt;&gt;1,"",IF(W254="Oui",1,0))</f>
        <v/>
      </c>
      <c r="BO254" s="35" t="str">
        <f aca="false">IF(AO254&lt;&gt;1,"",IF(X254&lt;&gt;"",1,0))</f>
        <v/>
      </c>
      <c r="BP254" s="35" t="str">
        <f aca="false">IF(AO254&lt;&gt;1,"",IF(Y254="Oui",1,0))</f>
        <v/>
      </c>
      <c r="BQ254" s="35" t="str">
        <f aca="true">IF(OR(AO254&lt;&gt;1,Z254&lt;&gt;"Oui"),"",IF(AB254="",IF(AND(AA254&lt;&gt;"",NOW()&gt;AA254),0,""),IF(AA254="","",IF(AB254&lt;=AA254,1,0))))</f>
        <v/>
      </c>
      <c r="BR254" s="38" t="str">
        <f aca="false">IF(OR(AO254&lt;&gt;1,K254&lt;&gt;"Oui",O254=""),"",IF(AC254="",O254+DORA_H_DET/24,IF(AC254-O254&lt;=DORA_H_DET/24,MIN(AC254+DORA_H_CLA/24,O254+DORA_H_DET/24),AC254+DORA_H_CLA/24)))</f>
        <v/>
      </c>
      <c r="BS254" s="35" t="str">
        <f aca="true">IF(BR254="","",IF(AD254="",IF(NOW()&gt;BR254,0,""),IF(AD254&lt;=BR254,1,0)))</f>
        <v/>
      </c>
      <c r="BT254" s="35" t="str">
        <f aca="true">IF(OR(BR254="",AD254=""),"",IF(AE254="",IF(NOW()&gt;AD254+DORA_H_INT/24,0,""),IF(AE254&lt;=AD254+DORA_H_INT/24,1,0)))</f>
        <v/>
      </c>
      <c r="BU254" s="35" t="str">
        <f aca="true">IF(OR(BR254="",AE254=""),"",IF(AF254="",IF(NOW()&gt;EDATE(AE254,DORA_M_FIN)+1,0,""),IF(AF254&lt;=EDATE(AE254,DORA_M_FIN),1,0)))</f>
        <v/>
      </c>
      <c r="BV254" s="35" t="str">
        <f aca="false">IF(BR254="","",IF(COUNT(BS254:BU254)=0,"",MIN(BS254:BU254)))</f>
        <v/>
      </c>
      <c r="BW254" s="40" t="str">
        <f aca="false">IF(AQ254&lt;&gt;1,"",IF(AND(AG254="",AH254=""),"",N(AG254)-N(AH254)))</f>
        <v/>
      </c>
      <c r="BX254" s="35" t="str">
        <f aca="true">IF(OR(AQ254&lt;&gt;1,AI254&lt;&gt;"Oui",AJ254=""),"",IF(AK254="",IF(NOW()&gt;AJ254+1,0,""),IF(AK254&lt;=AJ254,1,0)))</f>
        <v/>
      </c>
    </row>
    <row r="255" customFormat="false" ht="15" hidden="false" customHeight="false" outlineLevel="0" collapsed="false">
      <c r="B255" s="29"/>
      <c r="C255" s="29"/>
      <c r="D255" s="29"/>
      <c r="E255" s="29"/>
      <c r="F255" s="29"/>
      <c r="G255" s="29"/>
      <c r="H255" s="29"/>
      <c r="I255" s="29"/>
      <c r="J255" s="29"/>
      <c r="K255" s="29"/>
      <c r="L255" s="29"/>
      <c r="M255" s="29"/>
      <c r="N255" s="30"/>
      <c r="O255" s="30"/>
      <c r="P255" s="30"/>
      <c r="Q255" s="30"/>
      <c r="R255" s="30"/>
      <c r="S255" s="30"/>
      <c r="T255" s="30"/>
      <c r="U255" s="30"/>
      <c r="V255" s="31"/>
      <c r="W255" s="29"/>
      <c r="X255" s="29"/>
      <c r="Y255" s="29"/>
      <c r="Z255" s="29"/>
      <c r="AA255" s="30"/>
      <c r="AB255" s="30"/>
      <c r="AC255" s="30"/>
      <c r="AD255" s="30"/>
      <c r="AE255" s="30"/>
      <c r="AF255" s="32"/>
      <c r="AG255" s="33"/>
      <c r="AH255" s="33"/>
      <c r="AI255" s="29"/>
      <c r="AJ255" s="32"/>
      <c r="AK255" s="32"/>
      <c r="AL255" s="29"/>
      <c r="AN255" s="34" t="str">
        <f aca="false">IF($B255="","",IF(OR(C255="",D255="",E255="",G255="",I255="",J255="",L255="",O255="",P255=""),"Champ obligatoire manquant",IF(OR(AND(N255&lt;&gt;"",N255&gt;O255),O255&gt;P255,AND(Q255&lt;&gt;"",Q255&lt;P255),AND(R255&lt;&gt;"",R255&lt;P255),AND(S255&lt;&gt;"",S255&lt;R255),AND(S255&lt;&gt;"",R255=""),AND(T255&lt;&gt;"",T255&lt;O255),AND(U255&lt;&gt;"",U255&lt;O255)),"Chronologie incohérente",IF(AND(OR(L255="Résolu",L255="Clos"),R255=""),"Date de résolution manquante",IF(AND(L255="Clos",S255=""),"Date de clôture manquante",IF(AND(K255="Oui",AC255=""),"Classification DORA manquante","OK"))))))</f>
        <v/>
      </c>
      <c r="AO255" s="35" t="str">
        <f aca="false">IF($B255="","",IF(AND(C255="Incident",L255&lt;&gt;"Annulé"),1,0))</f>
        <v/>
      </c>
      <c r="AP255" s="35" t="str">
        <f aca="false">IF($B255="","",IF(AND(C255="Quasi-incident",L255&lt;&gt;"Annulé"),1,0))</f>
        <v/>
      </c>
      <c r="AQ255" s="35" t="str">
        <f aca="false">IF($B255="","",AO255+AP255)</f>
        <v/>
      </c>
      <c r="AR255" s="36" t="str">
        <f aca="false">IF(OR($B255="",J255=""),"",IFERROR(VALUE(LEFT(J255,1)),""))</f>
        <v/>
      </c>
      <c r="AS255" s="35" t="str">
        <f aca="false">IF(OR(AO255&lt;&gt;1,G255=""),"",IFERROR(IF(INDEX(L_SrcInterne,MATCH(G255,L_Sources,0))="Oui",1,0),""))</f>
        <v/>
      </c>
      <c r="AT255" s="37" t="str">
        <f aca="false">IF(AO255&lt;&gt;1,"",IFERROR(ROUND(IF(OR(N255="",O255=""),"",IF(O255&lt;N255,"",ROUND(((NETWORKDAYS(N255,O255,JoursFeries)-1)*(HFer-HOuv)+IF(NETWORKDAYS(O255,O255,JoursFeries),MEDIAN(MOD(O255,1),HFer,HOuv),HFer)-IF(NETWORKDAYS(N255,N255,JoursFeries),MEDIAN(MOD(N255,1),HFer,HOuv),HOuv))*24,4)))/HJour,4),""))</f>
        <v/>
      </c>
      <c r="AU255" s="37" t="str">
        <f aca="false">IF(AO255&lt;&gt;1,"",IF(OR(O255="",P255=""),"",IF(P255&lt;O255,"",ROUND(((NETWORKDAYS(O255,P255,JoursFeries)-1)*(HFer-HOuv)+IF(NETWORKDAYS(P255,P255,JoursFeries),MEDIAN(MOD(P255,1),HFer,HOuv),HFer)-IF(NETWORKDAYS(O255,O255,JoursFeries),MEDIAN(MOD(O255,1),HFer,HOuv),HOuv))*24,4))))</f>
        <v/>
      </c>
      <c r="AV255" s="37" t="str">
        <f aca="false">IF(AO255&lt;&gt;1,"",IF(OR(P255="",Q255=""),"",IF(Q255&lt;P255,"",ROUND(((NETWORKDAYS(P255,Q255,JoursFeries)-1)*(HFer-HOuv)+IF(NETWORKDAYS(Q255,Q255,JoursFeries),MEDIAN(MOD(Q255,1),HFer,HOuv),HFer)-IF(NETWORKDAYS(P255,P255,JoursFeries),MEDIAN(MOD(P255,1),HFer,HOuv),HOuv))*24,4))))</f>
        <v/>
      </c>
      <c r="AW255" s="37" t="str">
        <f aca="false">IF(AO255&lt;&gt;1,"",IFERROR(ROUND(IF(OR(P255="",R255=""),"",IF(R255&lt;P255,"",ROUND(((NETWORKDAYS(P255,R255,JoursFeries)-1)*(HFer-HOuv)+IF(NETWORKDAYS(R255,R255,JoursFeries),MEDIAN(MOD(R255,1),HFer,HOuv),HFer)-IF(NETWORKDAYS(P255,P255,JoursFeries),MEDIAN(MOD(P255,1),HFer,HOuv),HOuv))*24,4)))/HJour,4),""))</f>
        <v/>
      </c>
      <c r="AX255" s="37" t="str">
        <f aca="false">IF(AO255&lt;&gt;1,"",IFERROR(ROUND(IF(OR(P255="",S255=""),"",IF(S255&lt;P255,"",ROUND(((NETWORKDAYS(P255,S255,JoursFeries)-1)*(HFer-HOuv)+IF(NETWORKDAYS(S255,S255,JoursFeries),MEDIAN(MOD(S255,1),HFer,HOuv),HFer)-IF(NETWORKDAYS(P255,P255,JoursFeries),MEDIAN(MOD(P255,1),HFer,HOuv),HOuv))*24,4)))/HJour,4),""))</f>
        <v/>
      </c>
      <c r="AY255" s="36" t="str">
        <f aca="false">IF(OR(AO255&lt;&gt;1,AR255=""),"",INDEX(SLA_PEC,AR255))</f>
        <v/>
      </c>
      <c r="AZ255" s="35" t="str">
        <f aca="false">IF(OR(AV255="",AY255=""),"",IF(AV255&lt;=AY255,1,0))</f>
        <v/>
      </c>
      <c r="BA255" s="36" t="str">
        <f aca="false">IF(OR(AO255&lt;&gt;1,AR255=""),"",INDEX(SLA_RES,AR255))</f>
        <v/>
      </c>
      <c r="BB255" s="35" t="str">
        <f aca="false">IF(OR(AW255="",BA255=""),"",IF(AW255&lt;=BA255,1,0))</f>
        <v/>
      </c>
      <c r="BC255" s="38" t="str">
        <f aca="false">IF(OR(BA255="",P255=""),"",WORKDAY(INT(P255),BA255,JoursFeries)+MOD(P255,1))</f>
        <v/>
      </c>
      <c r="BD255" s="39" t="str">
        <f aca="false">IF(AO255&lt;&gt;1,"",IF(OR(AB255&lt;&gt;"",AD255&lt;&gt;""),4,IF(U255&lt;&gt;"",3,IF(T255&lt;&gt;"",2,1))))</f>
        <v/>
      </c>
      <c r="BE255" s="39" t="str">
        <f aca="false">IF(OR(AO255&lt;&gt;1,AR255=""),"",INDEX(NIV_REQ,AR255))</f>
        <v/>
      </c>
      <c r="BF255" s="39" t="str">
        <f aca="false">IF(BE255="","",MAX(BE255,IF(OR(K255="Oui",Z255="Oui"),4,1)))</f>
        <v/>
      </c>
      <c r="BG255" s="35" t="str">
        <f aca="false">IF(OR(BF255="",BD255=""),"",IF(BD255&gt;=BF255,1,0))</f>
        <v/>
      </c>
      <c r="BH255" s="38" t="str">
        <f aca="false">IF(BE255="","",IF(BE255&lt;2,"",IF(BE255=2,IF(AND(T255="",U255=""),"",MIN(T255,U255)),IF(U255="","",U255))))</f>
        <v/>
      </c>
      <c r="BI255" s="37" t="str">
        <f aca="false">IF(BH255="","",IF(OR(O255="",BH255=""),"",IF(BH255&lt;O255,"",ROUND(((NETWORKDAYS(O255,BH255,JoursFeries)-1)*(HFer-HOuv)+IF(NETWORKDAYS(BH255,BH255,JoursFeries),MEDIAN(MOD(BH255,1),HFer,HOuv),HFer)-IF(NETWORKDAYS(O255,O255,JoursFeries),MEDIAN(MOD(O255,1),HFer,HOuv),HOuv))*24,4))))</f>
        <v/>
      </c>
      <c r="BJ255" s="35" t="str">
        <f aca="false">IF(OR(BI255="",AR255=""),"",IF(BI255&lt;=INDEX(DELAI_ESC,AR255),1,0))</f>
        <v/>
      </c>
      <c r="BK255" s="38" t="str">
        <f aca="false">IF(AO255&lt;&gt;1,"",IF(AND(T255="",U255=""),"",MIN(T255,U255)))</f>
        <v/>
      </c>
      <c r="BL255" s="37" t="str">
        <f aca="false">IF(OR(BK255="",R255=""),"",IFERROR(ROUND(IF(OR(BK255="",R255=""),"",IF(R255&lt;BK255,"",ROUND(((NETWORKDAYS(BK255,R255,JoursFeries)-1)*(HFer-HOuv)+IF(NETWORKDAYS(R255,R255,JoursFeries),MEDIAN(MOD(R255,1),HFer,HOuv),HFer)-IF(NETWORKDAYS(BK255,BK255,JoursFeries),MEDIAN(MOD(BK255,1),HFer,HOuv),HOuv))*24,4)))/HJour,4),""))</f>
        <v/>
      </c>
      <c r="BM255" s="35" t="str">
        <f aca="false">IF(OR(AO255&lt;&gt;1,R255=""),"",IF(BD255=1,1,0))</f>
        <v/>
      </c>
      <c r="BN255" s="35" t="str">
        <f aca="false">IF(AO255&lt;&gt;1,"",IF(W255="Oui",1,0))</f>
        <v/>
      </c>
      <c r="BO255" s="35" t="str">
        <f aca="false">IF(AO255&lt;&gt;1,"",IF(X255&lt;&gt;"",1,0))</f>
        <v/>
      </c>
      <c r="BP255" s="35" t="str">
        <f aca="false">IF(AO255&lt;&gt;1,"",IF(Y255="Oui",1,0))</f>
        <v/>
      </c>
      <c r="BQ255" s="35" t="str">
        <f aca="true">IF(OR(AO255&lt;&gt;1,Z255&lt;&gt;"Oui"),"",IF(AB255="",IF(AND(AA255&lt;&gt;"",NOW()&gt;AA255),0,""),IF(AA255="","",IF(AB255&lt;=AA255,1,0))))</f>
        <v/>
      </c>
      <c r="BR255" s="38" t="str">
        <f aca="false">IF(OR(AO255&lt;&gt;1,K255&lt;&gt;"Oui",O255=""),"",IF(AC255="",O255+DORA_H_DET/24,IF(AC255-O255&lt;=DORA_H_DET/24,MIN(AC255+DORA_H_CLA/24,O255+DORA_H_DET/24),AC255+DORA_H_CLA/24)))</f>
        <v/>
      </c>
      <c r="BS255" s="35" t="str">
        <f aca="true">IF(BR255="","",IF(AD255="",IF(NOW()&gt;BR255,0,""),IF(AD255&lt;=BR255,1,0)))</f>
        <v/>
      </c>
      <c r="BT255" s="35" t="str">
        <f aca="true">IF(OR(BR255="",AD255=""),"",IF(AE255="",IF(NOW()&gt;AD255+DORA_H_INT/24,0,""),IF(AE255&lt;=AD255+DORA_H_INT/24,1,0)))</f>
        <v/>
      </c>
      <c r="BU255" s="35" t="str">
        <f aca="true">IF(OR(BR255="",AE255=""),"",IF(AF255="",IF(NOW()&gt;EDATE(AE255,DORA_M_FIN)+1,0,""),IF(AF255&lt;=EDATE(AE255,DORA_M_FIN),1,0)))</f>
        <v/>
      </c>
      <c r="BV255" s="35" t="str">
        <f aca="false">IF(BR255="","",IF(COUNT(BS255:BU255)=0,"",MIN(BS255:BU255)))</f>
        <v/>
      </c>
      <c r="BW255" s="40" t="str">
        <f aca="false">IF(AQ255&lt;&gt;1,"",IF(AND(AG255="",AH255=""),"",N(AG255)-N(AH255)))</f>
        <v/>
      </c>
      <c r="BX255" s="35" t="str">
        <f aca="true">IF(OR(AQ255&lt;&gt;1,AI255&lt;&gt;"Oui",AJ255=""),"",IF(AK255="",IF(NOW()&gt;AJ255+1,0,""),IF(AK255&lt;=AJ255,1,0)))</f>
        <v/>
      </c>
    </row>
    <row r="256" customFormat="false" ht="15" hidden="false" customHeight="false" outlineLevel="0" collapsed="false">
      <c r="B256" s="29"/>
      <c r="C256" s="29"/>
      <c r="D256" s="29"/>
      <c r="E256" s="29"/>
      <c r="F256" s="29"/>
      <c r="G256" s="29"/>
      <c r="H256" s="29"/>
      <c r="I256" s="29"/>
      <c r="J256" s="29"/>
      <c r="K256" s="29"/>
      <c r="L256" s="29"/>
      <c r="M256" s="29"/>
      <c r="N256" s="30"/>
      <c r="O256" s="30"/>
      <c r="P256" s="30"/>
      <c r="Q256" s="30"/>
      <c r="R256" s="30"/>
      <c r="S256" s="30"/>
      <c r="T256" s="30"/>
      <c r="U256" s="30"/>
      <c r="V256" s="31"/>
      <c r="W256" s="29"/>
      <c r="X256" s="29"/>
      <c r="Y256" s="29"/>
      <c r="Z256" s="29"/>
      <c r="AA256" s="30"/>
      <c r="AB256" s="30"/>
      <c r="AC256" s="30"/>
      <c r="AD256" s="30"/>
      <c r="AE256" s="30"/>
      <c r="AF256" s="32"/>
      <c r="AG256" s="33"/>
      <c r="AH256" s="33"/>
      <c r="AI256" s="29"/>
      <c r="AJ256" s="32"/>
      <c r="AK256" s="32"/>
      <c r="AL256" s="29"/>
      <c r="AN256" s="34" t="str">
        <f aca="false">IF($B256="","",IF(OR(C256="",D256="",E256="",G256="",I256="",J256="",L256="",O256="",P256=""),"Champ obligatoire manquant",IF(OR(AND(N256&lt;&gt;"",N256&gt;O256),O256&gt;P256,AND(Q256&lt;&gt;"",Q256&lt;P256),AND(R256&lt;&gt;"",R256&lt;P256),AND(S256&lt;&gt;"",S256&lt;R256),AND(S256&lt;&gt;"",R256=""),AND(T256&lt;&gt;"",T256&lt;O256),AND(U256&lt;&gt;"",U256&lt;O256)),"Chronologie incohérente",IF(AND(OR(L256="Résolu",L256="Clos"),R256=""),"Date de résolution manquante",IF(AND(L256="Clos",S256=""),"Date de clôture manquante",IF(AND(K256="Oui",AC256=""),"Classification DORA manquante","OK"))))))</f>
        <v/>
      </c>
      <c r="AO256" s="35" t="str">
        <f aca="false">IF($B256="","",IF(AND(C256="Incident",L256&lt;&gt;"Annulé"),1,0))</f>
        <v/>
      </c>
      <c r="AP256" s="35" t="str">
        <f aca="false">IF($B256="","",IF(AND(C256="Quasi-incident",L256&lt;&gt;"Annulé"),1,0))</f>
        <v/>
      </c>
      <c r="AQ256" s="35" t="str">
        <f aca="false">IF($B256="","",AO256+AP256)</f>
        <v/>
      </c>
      <c r="AR256" s="36" t="str">
        <f aca="false">IF(OR($B256="",J256=""),"",IFERROR(VALUE(LEFT(J256,1)),""))</f>
        <v/>
      </c>
      <c r="AS256" s="35" t="str">
        <f aca="false">IF(OR(AO256&lt;&gt;1,G256=""),"",IFERROR(IF(INDEX(L_SrcInterne,MATCH(G256,L_Sources,0))="Oui",1,0),""))</f>
        <v/>
      </c>
      <c r="AT256" s="37" t="str">
        <f aca="false">IF(AO256&lt;&gt;1,"",IFERROR(ROUND(IF(OR(N256="",O256=""),"",IF(O256&lt;N256,"",ROUND(((NETWORKDAYS(N256,O256,JoursFeries)-1)*(HFer-HOuv)+IF(NETWORKDAYS(O256,O256,JoursFeries),MEDIAN(MOD(O256,1),HFer,HOuv),HFer)-IF(NETWORKDAYS(N256,N256,JoursFeries),MEDIAN(MOD(N256,1),HFer,HOuv),HOuv))*24,4)))/HJour,4),""))</f>
        <v/>
      </c>
      <c r="AU256" s="37" t="str">
        <f aca="false">IF(AO256&lt;&gt;1,"",IF(OR(O256="",P256=""),"",IF(P256&lt;O256,"",ROUND(((NETWORKDAYS(O256,P256,JoursFeries)-1)*(HFer-HOuv)+IF(NETWORKDAYS(P256,P256,JoursFeries),MEDIAN(MOD(P256,1),HFer,HOuv),HFer)-IF(NETWORKDAYS(O256,O256,JoursFeries),MEDIAN(MOD(O256,1),HFer,HOuv),HOuv))*24,4))))</f>
        <v/>
      </c>
      <c r="AV256" s="37" t="str">
        <f aca="false">IF(AO256&lt;&gt;1,"",IF(OR(P256="",Q256=""),"",IF(Q256&lt;P256,"",ROUND(((NETWORKDAYS(P256,Q256,JoursFeries)-1)*(HFer-HOuv)+IF(NETWORKDAYS(Q256,Q256,JoursFeries),MEDIAN(MOD(Q256,1),HFer,HOuv),HFer)-IF(NETWORKDAYS(P256,P256,JoursFeries),MEDIAN(MOD(P256,1),HFer,HOuv),HOuv))*24,4))))</f>
        <v/>
      </c>
      <c r="AW256" s="37" t="str">
        <f aca="false">IF(AO256&lt;&gt;1,"",IFERROR(ROUND(IF(OR(P256="",R256=""),"",IF(R256&lt;P256,"",ROUND(((NETWORKDAYS(P256,R256,JoursFeries)-1)*(HFer-HOuv)+IF(NETWORKDAYS(R256,R256,JoursFeries),MEDIAN(MOD(R256,1),HFer,HOuv),HFer)-IF(NETWORKDAYS(P256,P256,JoursFeries),MEDIAN(MOD(P256,1),HFer,HOuv),HOuv))*24,4)))/HJour,4),""))</f>
        <v/>
      </c>
      <c r="AX256" s="37" t="str">
        <f aca="false">IF(AO256&lt;&gt;1,"",IFERROR(ROUND(IF(OR(P256="",S256=""),"",IF(S256&lt;P256,"",ROUND(((NETWORKDAYS(P256,S256,JoursFeries)-1)*(HFer-HOuv)+IF(NETWORKDAYS(S256,S256,JoursFeries),MEDIAN(MOD(S256,1),HFer,HOuv),HFer)-IF(NETWORKDAYS(P256,P256,JoursFeries),MEDIAN(MOD(P256,1),HFer,HOuv),HOuv))*24,4)))/HJour,4),""))</f>
        <v/>
      </c>
      <c r="AY256" s="36" t="str">
        <f aca="false">IF(OR(AO256&lt;&gt;1,AR256=""),"",INDEX(SLA_PEC,AR256))</f>
        <v/>
      </c>
      <c r="AZ256" s="35" t="str">
        <f aca="false">IF(OR(AV256="",AY256=""),"",IF(AV256&lt;=AY256,1,0))</f>
        <v/>
      </c>
      <c r="BA256" s="36" t="str">
        <f aca="false">IF(OR(AO256&lt;&gt;1,AR256=""),"",INDEX(SLA_RES,AR256))</f>
        <v/>
      </c>
      <c r="BB256" s="35" t="str">
        <f aca="false">IF(OR(AW256="",BA256=""),"",IF(AW256&lt;=BA256,1,0))</f>
        <v/>
      </c>
      <c r="BC256" s="38" t="str">
        <f aca="false">IF(OR(BA256="",P256=""),"",WORKDAY(INT(P256),BA256,JoursFeries)+MOD(P256,1))</f>
        <v/>
      </c>
      <c r="BD256" s="39" t="str">
        <f aca="false">IF(AO256&lt;&gt;1,"",IF(OR(AB256&lt;&gt;"",AD256&lt;&gt;""),4,IF(U256&lt;&gt;"",3,IF(T256&lt;&gt;"",2,1))))</f>
        <v/>
      </c>
      <c r="BE256" s="39" t="str">
        <f aca="false">IF(OR(AO256&lt;&gt;1,AR256=""),"",INDEX(NIV_REQ,AR256))</f>
        <v/>
      </c>
      <c r="BF256" s="39" t="str">
        <f aca="false">IF(BE256="","",MAX(BE256,IF(OR(K256="Oui",Z256="Oui"),4,1)))</f>
        <v/>
      </c>
      <c r="BG256" s="35" t="str">
        <f aca="false">IF(OR(BF256="",BD256=""),"",IF(BD256&gt;=BF256,1,0))</f>
        <v/>
      </c>
      <c r="BH256" s="38" t="str">
        <f aca="false">IF(BE256="","",IF(BE256&lt;2,"",IF(BE256=2,IF(AND(T256="",U256=""),"",MIN(T256,U256)),IF(U256="","",U256))))</f>
        <v/>
      </c>
      <c r="BI256" s="37" t="str">
        <f aca="false">IF(BH256="","",IF(OR(O256="",BH256=""),"",IF(BH256&lt;O256,"",ROUND(((NETWORKDAYS(O256,BH256,JoursFeries)-1)*(HFer-HOuv)+IF(NETWORKDAYS(BH256,BH256,JoursFeries),MEDIAN(MOD(BH256,1),HFer,HOuv),HFer)-IF(NETWORKDAYS(O256,O256,JoursFeries),MEDIAN(MOD(O256,1),HFer,HOuv),HOuv))*24,4))))</f>
        <v/>
      </c>
      <c r="BJ256" s="35" t="str">
        <f aca="false">IF(OR(BI256="",AR256=""),"",IF(BI256&lt;=INDEX(DELAI_ESC,AR256),1,0))</f>
        <v/>
      </c>
      <c r="BK256" s="38" t="str">
        <f aca="false">IF(AO256&lt;&gt;1,"",IF(AND(T256="",U256=""),"",MIN(T256,U256)))</f>
        <v/>
      </c>
      <c r="BL256" s="37" t="str">
        <f aca="false">IF(OR(BK256="",R256=""),"",IFERROR(ROUND(IF(OR(BK256="",R256=""),"",IF(R256&lt;BK256,"",ROUND(((NETWORKDAYS(BK256,R256,JoursFeries)-1)*(HFer-HOuv)+IF(NETWORKDAYS(R256,R256,JoursFeries),MEDIAN(MOD(R256,1),HFer,HOuv),HFer)-IF(NETWORKDAYS(BK256,BK256,JoursFeries),MEDIAN(MOD(BK256,1),HFer,HOuv),HOuv))*24,4)))/HJour,4),""))</f>
        <v/>
      </c>
      <c r="BM256" s="35" t="str">
        <f aca="false">IF(OR(AO256&lt;&gt;1,R256=""),"",IF(BD256=1,1,0))</f>
        <v/>
      </c>
      <c r="BN256" s="35" t="str">
        <f aca="false">IF(AO256&lt;&gt;1,"",IF(W256="Oui",1,0))</f>
        <v/>
      </c>
      <c r="BO256" s="35" t="str">
        <f aca="false">IF(AO256&lt;&gt;1,"",IF(X256&lt;&gt;"",1,0))</f>
        <v/>
      </c>
      <c r="BP256" s="35" t="str">
        <f aca="false">IF(AO256&lt;&gt;1,"",IF(Y256="Oui",1,0))</f>
        <v/>
      </c>
      <c r="BQ256" s="35" t="str">
        <f aca="true">IF(OR(AO256&lt;&gt;1,Z256&lt;&gt;"Oui"),"",IF(AB256="",IF(AND(AA256&lt;&gt;"",NOW()&gt;AA256),0,""),IF(AA256="","",IF(AB256&lt;=AA256,1,0))))</f>
        <v/>
      </c>
      <c r="BR256" s="38" t="str">
        <f aca="false">IF(OR(AO256&lt;&gt;1,K256&lt;&gt;"Oui",O256=""),"",IF(AC256="",O256+DORA_H_DET/24,IF(AC256-O256&lt;=DORA_H_DET/24,MIN(AC256+DORA_H_CLA/24,O256+DORA_H_DET/24),AC256+DORA_H_CLA/24)))</f>
        <v/>
      </c>
      <c r="BS256" s="35" t="str">
        <f aca="true">IF(BR256="","",IF(AD256="",IF(NOW()&gt;BR256,0,""),IF(AD256&lt;=BR256,1,0)))</f>
        <v/>
      </c>
      <c r="BT256" s="35" t="str">
        <f aca="true">IF(OR(BR256="",AD256=""),"",IF(AE256="",IF(NOW()&gt;AD256+DORA_H_INT/24,0,""),IF(AE256&lt;=AD256+DORA_H_INT/24,1,0)))</f>
        <v/>
      </c>
      <c r="BU256" s="35" t="str">
        <f aca="true">IF(OR(BR256="",AE256=""),"",IF(AF256="",IF(NOW()&gt;EDATE(AE256,DORA_M_FIN)+1,0,""),IF(AF256&lt;=EDATE(AE256,DORA_M_FIN),1,0)))</f>
        <v/>
      </c>
      <c r="BV256" s="35" t="str">
        <f aca="false">IF(BR256="","",IF(COUNT(BS256:BU256)=0,"",MIN(BS256:BU256)))</f>
        <v/>
      </c>
      <c r="BW256" s="40" t="str">
        <f aca="false">IF(AQ256&lt;&gt;1,"",IF(AND(AG256="",AH256=""),"",N(AG256)-N(AH256)))</f>
        <v/>
      </c>
      <c r="BX256" s="35" t="str">
        <f aca="true">IF(OR(AQ256&lt;&gt;1,AI256&lt;&gt;"Oui",AJ256=""),"",IF(AK256="",IF(NOW()&gt;AJ256+1,0,""),IF(AK256&lt;=AJ256,1,0)))</f>
        <v/>
      </c>
    </row>
    <row r="257" customFormat="false" ht="15" hidden="false" customHeight="false" outlineLevel="0" collapsed="false">
      <c r="B257" s="29"/>
      <c r="C257" s="29"/>
      <c r="D257" s="29"/>
      <c r="E257" s="29"/>
      <c r="F257" s="29"/>
      <c r="G257" s="29"/>
      <c r="H257" s="29"/>
      <c r="I257" s="29"/>
      <c r="J257" s="29"/>
      <c r="K257" s="29"/>
      <c r="L257" s="29"/>
      <c r="M257" s="29"/>
      <c r="N257" s="30"/>
      <c r="O257" s="30"/>
      <c r="P257" s="30"/>
      <c r="Q257" s="30"/>
      <c r="R257" s="30"/>
      <c r="S257" s="30"/>
      <c r="T257" s="30"/>
      <c r="U257" s="30"/>
      <c r="V257" s="31"/>
      <c r="W257" s="29"/>
      <c r="X257" s="29"/>
      <c r="Y257" s="29"/>
      <c r="Z257" s="29"/>
      <c r="AA257" s="30"/>
      <c r="AB257" s="30"/>
      <c r="AC257" s="30"/>
      <c r="AD257" s="30"/>
      <c r="AE257" s="30"/>
      <c r="AF257" s="32"/>
      <c r="AG257" s="33"/>
      <c r="AH257" s="33"/>
      <c r="AI257" s="29"/>
      <c r="AJ257" s="32"/>
      <c r="AK257" s="32"/>
      <c r="AL257" s="29"/>
      <c r="AN257" s="34" t="str">
        <f aca="false">IF($B257="","",IF(OR(C257="",D257="",E257="",G257="",I257="",J257="",L257="",O257="",P257=""),"Champ obligatoire manquant",IF(OR(AND(N257&lt;&gt;"",N257&gt;O257),O257&gt;P257,AND(Q257&lt;&gt;"",Q257&lt;P257),AND(R257&lt;&gt;"",R257&lt;P257),AND(S257&lt;&gt;"",S257&lt;R257),AND(S257&lt;&gt;"",R257=""),AND(T257&lt;&gt;"",T257&lt;O257),AND(U257&lt;&gt;"",U257&lt;O257)),"Chronologie incohérente",IF(AND(OR(L257="Résolu",L257="Clos"),R257=""),"Date de résolution manquante",IF(AND(L257="Clos",S257=""),"Date de clôture manquante",IF(AND(K257="Oui",AC257=""),"Classification DORA manquante","OK"))))))</f>
        <v/>
      </c>
      <c r="AO257" s="35" t="str">
        <f aca="false">IF($B257="","",IF(AND(C257="Incident",L257&lt;&gt;"Annulé"),1,0))</f>
        <v/>
      </c>
      <c r="AP257" s="35" t="str">
        <f aca="false">IF($B257="","",IF(AND(C257="Quasi-incident",L257&lt;&gt;"Annulé"),1,0))</f>
        <v/>
      </c>
      <c r="AQ257" s="35" t="str">
        <f aca="false">IF($B257="","",AO257+AP257)</f>
        <v/>
      </c>
      <c r="AR257" s="36" t="str">
        <f aca="false">IF(OR($B257="",J257=""),"",IFERROR(VALUE(LEFT(J257,1)),""))</f>
        <v/>
      </c>
      <c r="AS257" s="35" t="str">
        <f aca="false">IF(OR(AO257&lt;&gt;1,G257=""),"",IFERROR(IF(INDEX(L_SrcInterne,MATCH(G257,L_Sources,0))="Oui",1,0),""))</f>
        <v/>
      </c>
      <c r="AT257" s="37" t="str">
        <f aca="false">IF(AO257&lt;&gt;1,"",IFERROR(ROUND(IF(OR(N257="",O257=""),"",IF(O257&lt;N257,"",ROUND(((NETWORKDAYS(N257,O257,JoursFeries)-1)*(HFer-HOuv)+IF(NETWORKDAYS(O257,O257,JoursFeries),MEDIAN(MOD(O257,1),HFer,HOuv),HFer)-IF(NETWORKDAYS(N257,N257,JoursFeries),MEDIAN(MOD(N257,1),HFer,HOuv),HOuv))*24,4)))/HJour,4),""))</f>
        <v/>
      </c>
      <c r="AU257" s="37" t="str">
        <f aca="false">IF(AO257&lt;&gt;1,"",IF(OR(O257="",P257=""),"",IF(P257&lt;O257,"",ROUND(((NETWORKDAYS(O257,P257,JoursFeries)-1)*(HFer-HOuv)+IF(NETWORKDAYS(P257,P257,JoursFeries),MEDIAN(MOD(P257,1),HFer,HOuv),HFer)-IF(NETWORKDAYS(O257,O257,JoursFeries),MEDIAN(MOD(O257,1),HFer,HOuv),HOuv))*24,4))))</f>
        <v/>
      </c>
      <c r="AV257" s="37" t="str">
        <f aca="false">IF(AO257&lt;&gt;1,"",IF(OR(P257="",Q257=""),"",IF(Q257&lt;P257,"",ROUND(((NETWORKDAYS(P257,Q257,JoursFeries)-1)*(HFer-HOuv)+IF(NETWORKDAYS(Q257,Q257,JoursFeries),MEDIAN(MOD(Q257,1),HFer,HOuv),HFer)-IF(NETWORKDAYS(P257,P257,JoursFeries),MEDIAN(MOD(P257,1),HFer,HOuv),HOuv))*24,4))))</f>
        <v/>
      </c>
      <c r="AW257" s="37" t="str">
        <f aca="false">IF(AO257&lt;&gt;1,"",IFERROR(ROUND(IF(OR(P257="",R257=""),"",IF(R257&lt;P257,"",ROUND(((NETWORKDAYS(P257,R257,JoursFeries)-1)*(HFer-HOuv)+IF(NETWORKDAYS(R257,R257,JoursFeries),MEDIAN(MOD(R257,1),HFer,HOuv),HFer)-IF(NETWORKDAYS(P257,P257,JoursFeries),MEDIAN(MOD(P257,1),HFer,HOuv),HOuv))*24,4)))/HJour,4),""))</f>
        <v/>
      </c>
      <c r="AX257" s="37" t="str">
        <f aca="false">IF(AO257&lt;&gt;1,"",IFERROR(ROUND(IF(OR(P257="",S257=""),"",IF(S257&lt;P257,"",ROUND(((NETWORKDAYS(P257,S257,JoursFeries)-1)*(HFer-HOuv)+IF(NETWORKDAYS(S257,S257,JoursFeries),MEDIAN(MOD(S257,1),HFer,HOuv),HFer)-IF(NETWORKDAYS(P257,P257,JoursFeries),MEDIAN(MOD(P257,1),HFer,HOuv),HOuv))*24,4)))/HJour,4),""))</f>
        <v/>
      </c>
      <c r="AY257" s="36" t="str">
        <f aca="false">IF(OR(AO257&lt;&gt;1,AR257=""),"",INDEX(SLA_PEC,AR257))</f>
        <v/>
      </c>
      <c r="AZ257" s="35" t="str">
        <f aca="false">IF(OR(AV257="",AY257=""),"",IF(AV257&lt;=AY257,1,0))</f>
        <v/>
      </c>
      <c r="BA257" s="36" t="str">
        <f aca="false">IF(OR(AO257&lt;&gt;1,AR257=""),"",INDEX(SLA_RES,AR257))</f>
        <v/>
      </c>
      <c r="BB257" s="35" t="str">
        <f aca="false">IF(OR(AW257="",BA257=""),"",IF(AW257&lt;=BA257,1,0))</f>
        <v/>
      </c>
      <c r="BC257" s="38" t="str">
        <f aca="false">IF(OR(BA257="",P257=""),"",WORKDAY(INT(P257),BA257,JoursFeries)+MOD(P257,1))</f>
        <v/>
      </c>
      <c r="BD257" s="39" t="str">
        <f aca="false">IF(AO257&lt;&gt;1,"",IF(OR(AB257&lt;&gt;"",AD257&lt;&gt;""),4,IF(U257&lt;&gt;"",3,IF(T257&lt;&gt;"",2,1))))</f>
        <v/>
      </c>
      <c r="BE257" s="39" t="str">
        <f aca="false">IF(OR(AO257&lt;&gt;1,AR257=""),"",INDEX(NIV_REQ,AR257))</f>
        <v/>
      </c>
      <c r="BF257" s="39" t="str">
        <f aca="false">IF(BE257="","",MAX(BE257,IF(OR(K257="Oui",Z257="Oui"),4,1)))</f>
        <v/>
      </c>
      <c r="BG257" s="35" t="str">
        <f aca="false">IF(OR(BF257="",BD257=""),"",IF(BD257&gt;=BF257,1,0))</f>
        <v/>
      </c>
      <c r="BH257" s="38" t="str">
        <f aca="false">IF(BE257="","",IF(BE257&lt;2,"",IF(BE257=2,IF(AND(T257="",U257=""),"",MIN(T257,U257)),IF(U257="","",U257))))</f>
        <v/>
      </c>
      <c r="BI257" s="37" t="str">
        <f aca="false">IF(BH257="","",IF(OR(O257="",BH257=""),"",IF(BH257&lt;O257,"",ROUND(((NETWORKDAYS(O257,BH257,JoursFeries)-1)*(HFer-HOuv)+IF(NETWORKDAYS(BH257,BH257,JoursFeries),MEDIAN(MOD(BH257,1),HFer,HOuv),HFer)-IF(NETWORKDAYS(O257,O257,JoursFeries),MEDIAN(MOD(O257,1),HFer,HOuv),HOuv))*24,4))))</f>
        <v/>
      </c>
      <c r="BJ257" s="35" t="str">
        <f aca="false">IF(OR(BI257="",AR257=""),"",IF(BI257&lt;=INDEX(DELAI_ESC,AR257),1,0))</f>
        <v/>
      </c>
      <c r="BK257" s="38" t="str">
        <f aca="false">IF(AO257&lt;&gt;1,"",IF(AND(T257="",U257=""),"",MIN(T257,U257)))</f>
        <v/>
      </c>
      <c r="BL257" s="37" t="str">
        <f aca="false">IF(OR(BK257="",R257=""),"",IFERROR(ROUND(IF(OR(BK257="",R257=""),"",IF(R257&lt;BK257,"",ROUND(((NETWORKDAYS(BK257,R257,JoursFeries)-1)*(HFer-HOuv)+IF(NETWORKDAYS(R257,R257,JoursFeries),MEDIAN(MOD(R257,1),HFer,HOuv),HFer)-IF(NETWORKDAYS(BK257,BK257,JoursFeries),MEDIAN(MOD(BK257,1),HFer,HOuv),HOuv))*24,4)))/HJour,4),""))</f>
        <v/>
      </c>
      <c r="BM257" s="35" t="str">
        <f aca="false">IF(OR(AO257&lt;&gt;1,R257=""),"",IF(BD257=1,1,0))</f>
        <v/>
      </c>
      <c r="BN257" s="35" t="str">
        <f aca="false">IF(AO257&lt;&gt;1,"",IF(W257="Oui",1,0))</f>
        <v/>
      </c>
      <c r="BO257" s="35" t="str">
        <f aca="false">IF(AO257&lt;&gt;1,"",IF(X257&lt;&gt;"",1,0))</f>
        <v/>
      </c>
      <c r="BP257" s="35" t="str">
        <f aca="false">IF(AO257&lt;&gt;1,"",IF(Y257="Oui",1,0))</f>
        <v/>
      </c>
      <c r="BQ257" s="35" t="str">
        <f aca="true">IF(OR(AO257&lt;&gt;1,Z257&lt;&gt;"Oui"),"",IF(AB257="",IF(AND(AA257&lt;&gt;"",NOW()&gt;AA257),0,""),IF(AA257="","",IF(AB257&lt;=AA257,1,0))))</f>
        <v/>
      </c>
      <c r="BR257" s="38" t="str">
        <f aca="false">IF(OR(AO257&lt;&gt;1,K257&lt;&gt;"Oui",O257=""),"",IF(AC257="",O257+DORA_H_DET/24,IF(AC257-O257&lt;=DORA_H_DET/24,MIN(AC257+DORA_H_CLA/24,O257+DORA_H_DET/24),AC257+DORA_H_CLA/24)))</f>
        <v/>
      </c>
      <c r="BS257" s="35" t="str">
        <f aca="true">IF(BR257="","",IF(AD257="",IF(NOW()&gt;BR257,0,""),IF(AD257&lt;=BR257,1,0)))</f>
        <v/>
      </c>
      <c r="BT257" s="35" t="str">
        <f aca="true">IF(OR(BR257="",AD257=""),"",IF(AE257="",IF(NOW()&gt;AD257+DORA_H_INT/24,0,""),IF(AE257&lt;=AD257+DORA_H_INT/24,1,0)))</f>
        <v/>
      </c>
      <c r="BU257" s="35" t="str">
        <f aca="true">IF(OR(BR257="",AE257=""),"",IF(AF257="",IF(NOW()&gt;EDATE(AE257,DORA_M_FIN)+1,0,""),IF(AF257&lt;=EDATE(AE257,DORA_M_FIN),1,0)))</f>
        <v/>
      </c>
      <c r="BV257" s="35" t="str">
        <f aca="false">IF(BR257="","",IF(COUNT(BS257:BU257)=0,"",MIN(BS257:BU257)))</f>
        <v/>
      </c>
      <c r="BW257" s="40" t="str">
        <f aca="false">IF(AQ257&lt;&gt;1,"",IF(AND(AG257="",AH257=""),"",N(AG257)-N(AH257)))</f>
        <v/>
      </c>
      <c r="BX257" s="35" t="str">
        <f aca="true">IF(OR(AQ257&lt;&gt;1,AI257&lt;&gt;"Oui",AJ257=""),"",IF(AK257="",IF(NOW()&gt;AJ257+1,0,""),IF(AK257&lt;=AJ257,1,0)))</f>
        <v/>
      </c>
    </row>
    <row r="258" customFormat="false" ht="15" hidden="false" customHeight="false" outlineLevel="0" collapsed="false">
      <c r="B258" s="29"/>
      <c r="C258" s="29"/>
      <c r="D258" s="29"/>
      <c r="E258" s="29"/>
      <c r="F258" s="29"/>
      <c r="G258" s="29"/>
      <c r="H258" s="29"/>
      <c r="I258" s="29"/>
      <c r="J258" s="29"/>
      <c r="K258" s="29"/>
      <c r="L258" s="29"/>
      <c r="M258" s="29"/>
      <c r="N258" s="30"/>
      <c r="O258" s="30"/>
      <c r="P258" s="30"/>
      <c r="Q258" s="30"/>
      <c r="R258" s="30"/>
      <c r="S258" s="30"/>
      <c r="T258" s="30"/>
      <c r="U258" s="30"/>
      <c r="V258" s="31"/>
      <c r="W258" s="29"/>
      <c r="X258" s="29"/>
      <c r="Y258" s="29"/>
      <c r="Z258" s="29"/>
      <c r="AA258" s="30"/>
      <c r="AB258" s="30"/>
      <c r="AC258" s="30"/>
      <c r="AD258" s="30"/>
      <c r="AE258" s="30"/>
      <c r="AF258" s="32"/>
      <c r="AG258" s="33"/>
      <c r="AH258" s="33"/>
      <c r="AI258" s="29"/>
      <c r="AJ258" s="32"/>
      <c r="AK258" s="32"/>
      <c r="AL258" s="29"/>
      <c r="AN258" s="34" t="str">
        <f aca="false">IF($B258="","",IF(OR(C258="",D258="",E258="",G258="",I258="",J258="",L258="",O258="",P258=""),"Champ obligatoire manquant",IF(OR(AND(N258&lt;&gt;"",N258&gt;O258),O258&gt;P258,AND(Q258&lt;&gt;"",Q258&lt;P258),AND(R258&lt;&gt;"",R258&lt;P258),AND(S258&lt;&gt;"",S258&lt;R258),AND(S258&lt;&gt;"",R258=""),AND(T258&lt;&gt;"",T258&lt;O258),AND(U258&lt;&gt;"",U258&lt;O258)),"Chronologie incohérente",IF(AND(OR(L258="Résolu",L258="Clos"),R258=""),"Date de résolution manquante",IF(AND(L258="Clos",S258=""),"Date de clôture manquante",IF(AND(K258="Oui",AC258=""),"Classification DORA manquante","OK"))))))</f>
        <v/>
      </c>
      <c r="AO258" s="35" t="str">
        <f aca="false">IF($B258="","",IF(AND(C258="Incident",L258&lt;&gt;"Annulé"),1,0))</f>
        <v/>
      </c>
      <c r="AP258" s="35" t="str">
        <f aca="false">IF($B258="","",IF(AND(C258="Quasi-incident",L258&lt;&gt;"Annulé"),1,0))</f>
        <v/>
      </c>
      <c r="AQ258" s="35" t="str">
        <f aca="false">IF($B258="","",AO258+AP258)</f>
        <v/>
      </c>
      <c r="AR258" s="36" t="str">
        <f aca="false">IF(OR($B258="",J258=""),"",IFERROR(VALUE(LEFT(J258,1)),""))</f>
        <v/>
      </c>
      <c r="AS258" s="35" t="str">
        <f aca="false">IF(OR(AO258&lt;&gt;1,G258=""),"",IFERROR(IF(INDEX(L_SrcInterne,MATCH(G258,L_Sources,0))="Oui",1,0),""))</f>
        <v/>
      </c>
      <c r="AT258" s="37" t="str">
        <f aca="false">IF(AO258&lt;&gt;1,"",IFERROR(ROUND(IF(OR(N258="",O258=""),"",IF(O258&lt;N258,"",ROUND(((NETWORKDAYS(N258,O258,JoursFeries)-1)*(HFer-HOuv)+IF(NETWORKDAYS(O258,O258,JoursFeries),MEDIAN(MOD(O258,1),HFer,HOuv),HFer)-IF(NETWORKDAYS(N258,N258,JoursFeries),MEDIAN(MOD(N258,1),HFer,HOuv),HOuv))*24,4)))/HJour,4),""))</f>
        <v/>
      </c>
      <c r="AU258" s="37" t="str">
        <f aca="false">IF(AO258&lt;&gt;1,"",IF(OR(O258="",P258=""),"",IF(P258&lt;O258,"",ROUND(((NETWORKDAYS(O258,P258,JoursFeries)-1)*(HFer-HOuv)+IF(NETWORKDAYS(P258,P258,JoursFeries),MEDIAN(MOD(P258,1),HFer,HOuv),HFer)-IF(NETWORKDAYS(O258,O258,JoursFeries),MEDIAN(MOD(O258,1),HFer,HOuv),HOuv))*24,4))))</f>
        <v/>
      </c>
      <c r="AV258" s="37" t="str">
        <f aca="false">IF(AO258&lt;&gt;1,"",IF(OR(P258="",Q258=""),"",IF(Q258&lt;P258,"",ROUND(((NETWORKDAYS(P258,Q258,JoursFeries)-1)*(HFer-HOuv)+IF(NETWORKDAYS(Q258,Q258,JoursFeries),MEDIAN(MOD(Q258,1),HFer,HOuv),HFer)-IF(NETWORKDAYS(P258,P258,JoursFeries),MEDIAN(MOD(P258,1),HFer,HOuv),HOuv))*24,4))))</f>
        <v/>
      </c>
      <c r="AW258" s="37" t="str">
        <f aca="false">IF(AO258&lt;&gt;1,"",IFERROR(ROUND(IF(OR(P258="",R258=""),"",IF(R258&lt;P258,"",ROUND(((NETWORKDAYS(P258,R258,JoursFeries)-1)*(HFer-HOuv)+IF(NETWORKDAYS(R258,R258,JoursFeries),MEDIAN(MOD(R258,1),HFer,HOuv),HFer)-IF(NETWORKDAYS(P258,P258,JoursFeries),MEDIAN(MOD(P258,1),HFer,HOuv),HOuv))*24,4)))/HJour,4),""))</f>
        <v/>
      </c>
      <c r="AX258" s="37" t="str">
        <f aca="false">IF(AO258&lt;&gt;1,"",IFERROR(ROUND(IF(OR(P258="",S258=""),"",IF(S258&lt;P258,"",ROUND(((NETWORKDAYS(P258,S258,JoursFeries)-1)*(HFer-HOuv)+IF(NETWORKDAYS(S258,S258,JoursFeries),MEDIAN(MOD(S258,1),HFer,HOuv),HFer)-IF(NETWORKDAYS(P258,P258,JoursFeries),MEDIAN(MOD(P258,1),HFer,HOuv),HOuv))*24,4)))/HJour,4),""))</f>
        <v/>
      </c>
      <c r="AY258" s="36" t="str">
        <f aca="false">IF(OR(AO258&lt;&gt;1,AR258=""),"",INDEX(SLA_PEC,AR258))</f>
        <v/>
      </c>
      <c r="AZ258" s="35" t="str">
        <f aca="false">IF(OR(AV258="",AY258=""),"",IF(AV258&lt;=AY258,1,0))</f>
        <v/>
      </c>
      <c r="BA258" s="36" t="str">
        <f aca="false">IF(OR(AO258&lt;&gt;1,AR258=""),"",INDEX(SLA_RES,AR258))</f>
        <v/>
      </c>
      <c r="BB258" s="35" t="str">
        <f aca="false">IF(OR(AW258="",BA258=""),"",IF(AW258&lt;=BA258,1,0))</f>
        <v/>
      </c>
      <c r="BC258" s="38" t="str">
        <f aca="false">IF(OR(BA258="",P258=""),"",WORKDAY(INT(P258),BA258,JoursFeries)+MOD(P258,1))</f>
        <v/>
      </c>
      <c r="BD258" s="39" t="str">
        <f aca="false">IF(AO258&lt;&gt;1,"",IF(OR(AB258&lt;&gt;"",AD258&lt;&gt;""),4,IF(U258&lt;&gt;"",3,IF(T258&lt;&gt;"",2,1))))</f>
        <v/>
      </c>
      <c r="BE258" s="39" t="str">
        <f aca="false">IF(OR(AO258&lt;&gt;1,AR258=""),"",INDEX(NIV_REQ,AR258))</f>
        <v/>
      </c>
      <c r="BF258" s="39" t="str">
        <f aca="false">IF(BE258="","",MAX(BE258,IF(OR(K258="Oui",Z258="Oui"),4,1)))</f>
        <v/>
      </c>
      <c r="BG258" s="35" t="str">
        <f aca="false">IF(OR(BF258="",BD258=""),"",IF(BD258&gt;=BF258,1,0))</f>
        <v/>
      </c>
      <c r="BH258" s="38" t="str">
        <f aca="false">IF(BE258="","",IF(BE258&lt;2,"",IF(BE258=2,IF(AND(T258="",U258=""),"",MIN(T258,U258)),IF(U258="","",U258))))</f>
        <v/>
      </c>
      <c r="BI258" s="37" t="str">
        <f aca="false">IF(BH258="","",IF(OR(O258="",BH258=""),"",IF(BH258&lt;O258,"",ROUND(((NETWORKDAYS(O258,BH258,JoursFeries)-1)*(HFer-HOuv)+IF(NETWORKDAYS(BH258,BH258,JoursFeries),MEDIAN(MOD(BH258,1),HFer,HOuv),HFer)-IF(NETWORKDAYS(O258,O258,JoursFeries),MEDIAN(MOD(O258,1),HFer,HOuv),HOuv))*24,4))))</f>
        <v/>
      </c>
      <c r="BJ258" s="35" t="str">
        <f aca="false">IF(OR(BI258="",AR258=""),"",IF(BI258&lt;=INDEX(DELAI_ESC,AR258),1,0))</f>
        <v/>
      </c>
      <c r="BK258" s="38" t="str">
        <f aca="false">IF(AO258&lt;&gt;1,"",IF(AND(T258="",U258=""),"",MIN(T258,U258)))</f>
        <v/>
      </c>
      <c r="BL258" s="37" t="str">
        <f aca="false">IF(OR(BK258="",R258=""),"",IFERROR(ROUND(IF(OR(BK258="",R258=""),"",IF(R258&lt;BK258,"",ROUND(((NETWORKDAYS(BK258,R258,JoursFeries)-1)*(HFer-HOuv)+IF(NETWORKDAYS(R258,R258,JoursFeries),MEDIAN(MOD(R258,1),HFer,HOuv),HFer)-IF(NETWORKDAYS(BK258,BK258,JoursFeries),MEDIAN(MOD(BK258,1),HFer,HOuv),HOuv))*24,4)))/HJour,4),""))</f>
        <v/>
      </c>
      <c r="BM258" s="35" t="str">
        <f aca="false">IF(OR(AO258&lt;&gt;1,R258=""),"",IF(BD258=1,1,0))</f>
        <v/>
      </c>
      <c r="BN258" s="35" t="str">
        <f aca="false">IF(AO258&lt;&gt;1,"",IF(W258="Oui",1,0))</f>
        <v/>
      </c>
      <c r="BO258" s="35" t="str">
        <f aca="false">IF(AO258&lt;&gt;1,"",IF(X258&lt;&gt;"",1,0))</f>
        <v/>
      </c>
      <c r="BP258" s="35" t="str">
        <f aca="false">IF(AO258&lt;&gt;1,"",IF(Y258="Oui",1,0))</f>
        <v/>
      </c>
      <c r="BQ258" s="35" t="str">
        <f aca="true">IF(OR(AO258&lt;&gt;1,Z258&lt;&gt;"Oui"),"",IF(AB258="",IF(AND(AA258&lt;&gt;"",NOW()&gt;AA258),0,""),IF(AA258="","",IF(AB258&lt;=AA258,1,0))))</f>
        <v/>
      </c>
      <c r="BR258" s="38" t="str">
        <f aca="false">IF(OR(AO258&lt;&gt;1,K258&lt;&gt;"Oui",O258=""),"",IF(AC258="",O258+DORA_H_DET/24,IF(AC258-O258&lt;=DORA_H_DET/24,MIN(AC258+DORA_H_CLA/24,O258+DORA_H_DET/24),AC258+DORA_H_CLA/24)))</f>
        <v/>
      </c>
      <c r="BS258" s="35" t="str">
        <f aca="true">IF(BR258="","",IF(AD258="",IF(NOW()&gt;BR258,0,""),IF(AD258&lt;=BR258,1,0)))</f>
        <v/>
      </c>
      <c r="BT258" s="35" t="str">
        <f aca="true">IF(OR(BR258="",AD258=""),"",IF(AE258="",IF(NOW()&gt;AD258+DORA_H_INT/24,0,""),IF(AE258&lt;=AD258+DORA_H_INT/24,1,0)))</f>
        <v/>
      </c>
      <c r="BU258" s="35" t="str">
        <f aca="true">IF(OR(BR258="",AE258=""),"",IF(AF258="",IF(NOW()&gt;EDATE(AE258,DORA_M_FIN)+1,0,""),IF(AF258&lt;=EDATE(AE258,DORA_M_FIN),1,0)))</f>
        <v/>
      </c>
      <c r="BV258" s="35" t="str">
        <f aca="false">IF(BR258="","",IF(COUNT(BS258:BU258)=0,"",MIN(BS258:BU258)))</f>
        <v/>
      </c>
      <c r="BW258" s="40" t="str">
        <f aca="false">IF(AQ258&lt;&gt;1,"",IF(AND(AG258="",AH258=""),"",N(AG258)-N(AH258)))</f>
        <v/>
      </c>
      <c r="BX258" s="35" t="str">
        <f aca="true">IF(OR(AQ258&lt;&gt;1,AI258&lt;&gt;"Oui",AJ258=""),"",IF(AK258="",IF(NOW()&gt;AJ258+1,0,""),IF(AK258&lt;=AJ258,1,0)))</f>
        <v/>
      </c>
    </row>
    <row r="259" customFormat="false" ht="15" hidden="false" customHeight="false" outlineLevel="0" collapsed="false">
      <c r="B259" s="29"/>
      <c r="C259" s="29"/>
      <c r="D259" s="29"/>
      <c r="E259" s="29"/>
      <c r="F259" s="29"/>
      <c r="G259" s="29"/>
      <c r="H259" s="29"/>
      <c r="I259" s="29"/>
      <c r="J259" s="29"/>
      <c r="K259" s="29"/>
      <c r="L259" s="29"/>
      <c r="M259" s="29"/>
      <c r="N259" s="30"/>
      <c r="O259" s="30"/>
      <c r="P259" s="30"/>
      <c r="Q259" s="30"/>
      <c r="R259" s="30"/>
      <c r="S259" s="30"/>
      <c r="T259" s="30"/>
      <c r="U259" s="30"/>
      <c r="V259" s="31"/>
      <c r="W259" s="29"/>
      <c r="X259" s="29"/>
      <c r="Y259" s="29"/>
      <c r="Z259" s="29"/>
      <c r="AA259" s="30"/>
      <c r="AB259" s="30"/>
      <c r="AC259" s="30"/>
      <c r="AD259" s="30"/>
      <c r="AE259" s="30"/>
      <c r="AF259" s="32"/>
      <c r="AG259" s="33"/>
      <c r="AH259" s="33"/>
      <c r="AI259" s="29"/>
      <c r="AJ259" s="32"/>
      <c r="AK259" s="32"/>
      <c r="AL259" s="29"/>
      <c r="AN259" s="34" t="str">
        <f aca="false">IF($B259="","",IF(OR(C259="",D259="",E259="",G259="",I259="",J259="",L259="",O259="",P259=""),"Champ obligatoire manquant",IF(OR(AND(N259&lt;&gt;"",N259&gt;O259),O259&gt;P259,AND(Q259&lt;&gt;"",Q259&lt;P259),AND(R259&lt;&gt;"",R259&lt;P259),AND(S259&lt;&gt;"",S259&lt;R259),AND(S259&lt;&gt;"",R259=""),AND(T259&lt;&gt;"",T259&lt;O259),AND(U259&lt;&gt;"",U259&lt;O259)),"Chronologie incohérente",IF(AND(OR(L259="Résolu",L259="Clos"),R259=""),"Date de résolution manquante",IF(AND(L259="Clos",S259=""),"Date de clôture manquante",IF(AND(K259="Oui",AC259=""),"Classification DORA manquante","OK"))))))</f>
        <v/>
      </c>
      <c r="AO259" s="35" t="str">
        <f aca="false">IF($B259="","",IF(AND(C259="Incident",L259&lt;&gt;"Annulé"),1,0))</f>
        <v/>
      </c>
      <c r="AP259" s="35" t="str">
        <f aca="false">IF($B259="","",IF(AND(C259="Quasi-incident",L259&lt;&gt;"Annulé"),1,0))</f>
        <v/>
      </c>
      <c r="AQ259" s="35" t="str">
        <f aca="false">IF($B259="","",AO259+AP259)</f>
        <v/>
      </c>
      <c r="AR259" s="36" t="str">
        <f aca="false">IF(OR($B259="",J259=""),"",IFERROR(VALUE(LEFT(J259,1)),""))</f>
        <v/>
      </c>
      <c r="AS259" s="35" t="str">
        <f aca="false">IF(OR(AO259&lt;&gt;1,G259=""),"",IFERROR(IF(INDEX(L_SrcInterne,MATCH(G259,L_Sources,0))="Oui",1,0),""))</f>
        <v/>
      </c>
      <c r="AT259" s="37" t="str">
        <f aca="false">IF(AO259&lt;&gt;1,"",IFERROR(ROUND(IF(OR(N259="",O259=""),"",IF(O259&lt;N259,"",ROUND(((NETWORKDAYS(N259,O259,JoursFeries)-1)*(HFer-HOuv)+IF(NETWORKDAYS(O259,O259,JoursFeries),MEDIAN(MOD(O259,1),HFer,HOuv),HFer)-IF(NETWORKDAYS(N259,N259,JoursFeries),MEDIAN(MOD(N259,1),HFer,HOuv),HOuv))*24,4)))/HJour,4),""))</f>
        <v/>
      </c>
      <c r="AU259" s="37" t="str">
        <f aca="false">IF(AO259&lt;&gt;1,"",IF(OR(O259="",P259=""),"",IF(P259&lt;O259,"",ROUND(((NETWORKDAYS(O259,P259,JoursFeries)-1)*(HFer-HOuv)+IF(NETWORKDAYS(P259,P259,JoursFeries),MEDIAN(MOD(P259,1),HFer,HOuv),HFer)-IF(NETWORKDAYS(O259,O259,JoursFeries),MEDIAN(MOD(O259,1),HFer,HOuv),HOuv))*24,4))))</f>
        <v/>
      </c>
      <c r="AV259" s="37" t="str">
        <f aca="false">IF(AO259&lt;&gt;1,"",IF(OR(P259="",Q259=""),"",IF(Q259&lt;P259,"",ROUND(((NETWORKDAYS(P259,Q259,JoursFeries)-1)*(HFer-HOuv)+IF(NETWORKDAYS(Q259,Q259,JoursFeries),MEDIAN(MOD(Q259,1),HFer,HOuv),HFer)-IF(NETWORKDAYS(P259,P259,JoursFeries),MEDIAN(MOD(P259,1),HFer,HOuv),HOuv))*24,4))))</f>
        <v/>
      </c>
      <c r="AW259" s="37" t="str">
        <f aca="false">IF(AO259&lt;&gt;1,"",IFERROR(ROUND(IF(OR(P259="",R259=""),"",IF(R259&lt;P259,"",ROUND(((NETWORKDAYS(P259,R259,JoursFeries)-1)*(HFer-HOuv)+IF(NETWORKDAYS(R259,R259,JoursFeries),MEDIAN(MOD(R259,1),HFer,HOuv),HFer)-IF(NETWORKDAYS(P259,P259,JoursFeries),MEDIAN(MOD(P259,1),HFer,HOuv),HOuv))*24,4)))/HJour,4),""))</f>
        <v/>
      </c>
      <c r="AX259" s="37" t="str">
        <f aca="false">IF(AO259&lt;&gt;1,"",IFERROR(ROUND(IF(OR(P259="",S259=""),"",IF(S259&lt;P259,"",ROUND(((NETWORKDAYS(P259,S259,JoursFeries)-1)*(HFer-HOuv)+IF(NETWORKDAYS(S259,S259,JoursFeries),MEDIAN(MOD(S259,1),HFer,HOuv),HFer)-IF(NETWORKDAYS(P259,P259,JoursFeries),MEDIAN(MOD(P259,1),HFer,HOuv),HOuv))*24,4)))/HJour,4),""))</f>
        <v/>
      </c>
      <c r="AY259" s="36" t="str">
        <f aca="false">IF(OR(AO259&lt;&gt;1,AR259=""),"",INDEX(SLA_PEC,AR259))</f>
        <v/>
      </c>
      <c r="AZ259" s="35" t="str">
        <f aca="false">IF(OR(AV259="",AY259=""),"",IF(AV259&lt;=AY259,1,0))</f>
        <v/>
      </c>
      <c r="BA259" s="36" t="str">
        <f aca="false">IF(OR(AO259&lt;&gt;1,AR259=""),"",INDEX(SLA_RES,AR259))</f>
        <v/>
      </c>
      <c r="BB259" s="35" t="str">
        <f aca="false">IF(OR(AW259="",BA259=""),"",IF(AW259&lt;=BA259,1,0))</f>
        <v/>
      </c>
      <c r="BC259" s="38" t="str">
        <f aca="false">IF(OR(BA259="",P259=""),"",WORKDAY(INT(P259),BA259,JoursFeries)+MOD(P259,1))</f>
        <v/>
      </c>
      <c r="BD259" s="39" t="str">
        <f aca="false">IF(AO259&lt;&gt;1,"",IF(OR(AB259&lt;&gt;"",AD259&lt;&gt;""),4,IF(U259&lt;&gt;"",3,IF(T259&lt;&gt;"",2,1))))</f>
        <v/>
      </c>
      <c r="BE259" s="39" t="str">
        <f aca="false">IF(OR(AO259&lt;&gt;1,AR259=""),"",INDEX(NIV_REQ,AR259))</f>
        <v/>
      </c>
      <c r="BF259" s="39" t="str">
        <f aca="false">IF(BE259="","",MAX(BE259,IF(OR(K259="Oui",Z259="Oui"),4,1)))</f>
        <v/>
      </c>
      <c r="BG259" s="35" t="str">
        <f aca="false">IF(OR(BF259="",BD259=""),"",IF(BD259&gt;=BF259,1,0))</f>
        <v/>
      </c>
      <c r="BH259" s="38" t="str">
        <f aca="false">IF(BE259="","",IF(BE259&lt;2,"",IF(BE259=2,IF(AND(T259="",U259=""),"",MIN(T259,U259)),IF(U259="","",U259))))</f>
        <v/>
      </c>
      <c r="BI259" s="37" t="str">
        <f aca="false">IF(BH259="","",IF(OR(O259="",BH259=""),"",IF(BH259&lt;O259,"",ROUND(((NETWORKDAYS(O259,BH259,JoursFeries)-1)*(HFer-HOuv)+IF(NETWORKDAYS(BH259,BH259,JoursFeries),MEDIAN(MOD(BH259,1),HFer,HOuv),HFer)-IF(NETWORKDAYS(O259,O259,JoursFeries),MEDIAN(MOD(O259,1),HFer,HOuv),HOuv))*24,4))))</f>
        <v/>
      </c>
      <c r="BJ259" s="35" t="str">
        <f aca="false">IF(OR(BI259="",AR259=""),"",IF(BI259&lt;=INDEX(DELAI_ESC,AR259),1,0))</f>
        <v/>
      </c>
      <c r="BK259" s="38" t="str">
        <f aca="false">IF(AO259&lt;&gt;1,"",IF(AND(T259="",U259=""),"",MIN(T259,U259)))</f>
        <v/>
      </c>
      <c r="BL259" s="37" t="str">
        <f aca="false">IF(OR(BK259="",R259=""),"",IFERROR(ROUND(IF(OR(BK259="",R259=""),"",IF(R259&lt;BK259,"",ROUND(((NETWORKDAYS(BK259,R259,JoursFeries)-1)*(HFer-HOuv)+IF(NETWORKDAYS(R259,R259,JoursFeries),MEDIAN(MOD(R259,1),HFer,HOuv),HFer)-IF(NETWORKDAYS(BK259,BK259,JoursFeries),MEDIAN(MOD(BK259,1),HFer,HOuv),HOuv))*24,4)))/HJour,4),""))</f>
        <v/>
      </c>
      <c r="BM259" s="35" t="str">
        <f aca="false">IF(OR(AO259&lt;&gt;1,R259=""),"",IF(BD259=1,1,0))</f>
        <v/>
      </c>
      <c r="BN259" s="35" t="str">
        <f aca="false">IF(AO259&lt;&gt;1,"",IF(W259="Oui",1,0))</f>
        <v/>
      </c>
      <c r="BO259" s="35" t="str">
        <f aca="false">IF(AO259&lt;&gt;1,"",IF(X259&lt;&gt;"",1,0))</f>
        <v/>
      </c>
      <c r="BP259" s="35" t="str">
        <f aca="false">IF(AO259&lt;&gt;1,"",IF(Y259="Oui",1,0))</f>
        <v/>
      </c>
      <c r="BQ259" s="35" t="str">
        <f aca="true">IF(OR(AO259&lt;&gt;1,Z259&lt;&gt;"Oui"),"",IF(AB259="",IF(AND(AA259&lt;&gt;"",NOW()&gt;AA259),0,""),IF(AA259="","",IF(AB259&lt;=AA259,1,0))))</f>
        <v/>
      </c>
      <c r="BR259" s="38" t="str">
        <f aca="false">IF(OR(AO259&lt;&gt;1,K259&lt;&gt;"Oui",O259=""),"",IF(AC259="",O259+DORA_H_DET/24,IF(AC259-O259&lt;=DORA_H_DET/24,MIN(AC259+DORA_H_CLA/24,O259+DORA_H_DET/24),AC259+DORA_H_CLA/24)))</f>
        <v/>
      </c>
      <c r="BS259" s="35" t="str">
        <f aca="true">IF(BR259="","",IF(AD259="",IF(NOW()&gt;BR259,0,""),IF(AD259&lt;=BR259,1,0)))</f>
        <v/>
      </c>
      <c r="BT259" s="35" t="str">
        <f aca="true">IF(OR(BR259="",AD259=""),"",IF(AE259="",IF(NOW()&gt;AD259+DORA_H_INT/24,0,""),IF(AE259&lt;=AD259+DORA_H_INT/24,1,0)))</f>
        <v/>
      </c>
      <c r="BU259" s="35" t="str">
        <f aca="true">IF(OR(BR259="",AE259=""),"",IF(AF259="",IF(NOW()&gt;EDATE(AE259,DORA_M_FIN)+1,0,""),IF(AF259&lt;=EDATE(AE259,DORA_M_FIN),1,0)))</f>
        <v/>
      </c>
      <c r="BV259" s="35" t="str">
        <f aca="false">IF(BR259="","",IF(COUNT(BS259:BU259)=0,"",MIN(BS259:BU259)))</f>
        <v/>
      </c>
      <c r="BW259" s="40" t="str">
        <f aca="false">IF(AQ259&lt;&gt;1,"",IF(AND(AG259="",AH259=""),"",N(AG259)-N(AH259)))</f>
        <v/>
      </c>
      <c r="BX259" s="35" t="str">
        <f aca="true">IF(OR(AQ259&lt;&gt;1,AI259&lt;&gt;"Oui",AJ259=""),"",IF(AK259="",IF(NOW()&gt;AJ259+1,0,""),IF(AK259&lt;=AJ259,1,0)))</f>
        <v/>
      </c>
    </row>
    <row r="260" customFormat="false" ht="15" hidden="false" customHeight="false" outlineLevel="0" collapsed="false">
      <c r="B260" s="29"/>
      <c r="C260" s="29"/>
      <c r="D260" s="29"/>
      <c r="E260" s="29"/>
      <c r="F260" s="29"/>
      <c r="G260" s="29"/>
      <c r="H260" s="29"/>
      <c r="I260" s="29"/>
      <c r="J260" s="29"/>
      <c r="K260" s="29"/>
      <c r="L260" s="29"/>
      <c r="M260" s="29"/>
      <c r="N260" s="30"/>
      <c r="O260" s="30"/>
      <c r="P260" s="30"/>
      <c r="Q260" s="30"/>
      <c r="R260" s="30"/>
      <c r="S260" s="30"/>
      <c r="T260" s="30"/>
      <c r="U260" s="30"/>
      <c r="V260" s="31"/>
      <c r="W260" s="29"/>
      <c r="X260" s="29"/>
      <c r="Y260" s="29"/>
      <c r="Z260" s="29"/>
      <c r="AA260" s="30"/>
      <c r="AB260" s="30"/>
      <c r="AC260" s="30"/>
      <c r="AD260" s="30"/>
      <c r="AE260" s="30"/>
      <c r="AF260" s="32"/>
      <c r="AG260" s="33"/>
      <c r="AH260" s="33"/>
      <c r="AI260" s="29"/>
      <c r="AJ260" s="32"/>
      <c r="AK260" s="32"/>
      <c r="AL260" s="29"/>
      <c r="AN260" s="34" t="str">
        <f aca="false">IF($B260="","",IF(OR(C260="",D260="",E260="",G260="",I260="",J260="",L260="",O260="",P260=""),"Champ obligatoire manquant",IF(OR(AND(N260&lt;&gt;"",N260&gt;O260),O260&gt;P260,AND(Q260&lt;&gt;"",Q260&lt;P260),AND(R260&lt;&gt;"",R260&lt;P260),AND(S260&lt;&gt;"",S260&lt;R260),AND(S260&lt;&gt;"",R260=""),AND(T260&lt;&gt;"",T260&lt;O260),AND(U260&lt;&gt;"",U260&lt;O260)),"Chronologie incohérente",IF(AND(OR(L260="Résolu",L260="Clos"),R260=""),"Date de résolution manquante",IF(AND(L260="Clos",S260=""),"Date de clôture manquante",IF(AND(K260="Oui",AC260=""),"Classification DORA manquante","OK"))))))</f>
        <v/>
      </c>
      <c r="AO260" s="35" t="str">
        <f aca="false">IF($B260="","",IF(AND(C260="Incident",L260&lt;&gt;"Annulé"),1,0))</f>
        <v/>
      </c>
      <c r="AP260" s="35" t="str">
        <f aca="false">IF($B260="","",IF(AND(C260="Quasi-incident",L260&lt;&gt;"Annulé"),1,0))</f>
        <v/>
      </c>
      <c r="AQ260" s="35" t="str">
        <f aca="false">IF($B260="","",AO260+AP260)</f>
        <v/>
      </c>
      <c r="AR260" s="36" t="str">
        <f aca="false">IF(OR($B260="",J260=""),"",IFERROR(VALUE(LEFT(J260,1)),""))</f>
        <v/>
      </c>
      <c r="AS260" s="35" t="str">
        <f aca="false">IF(OR(AO260&lt;&gt;1,G260=""),"",IFERROR(IF(INDEX(L_SrcInterne,MATCH(G260,L_Sources,0))="Oui",1,0),""))</f>
        <v/>
      </c>
      <c r="AT260" s="37" t="str">
        <f aca="false">IF(AO260&lt;&gt;1,"",IFERROR(ROUND(IF(OR(N260="",O260=""),"",IF(O260&lt;N260,"",ROUND(((NETWORKDAYS(N260,O260,JoursFeries)-1)*(HFer-HOuv)+IF(NETWORKDAYS(O260,O260,JoursFeries),MEDIAN(MOD(O260,1),HFer,HOuv),HFer)-IF(NETWORKDAYS(N260,N260,JoursFeries),MEDIAN(MOD(N260,1),HFer,HOuv),HOuv))*24,4)))/HJour,4),""))</f>
        <v/>
      </c>
      <c r="AU260" s="37" t="str">
        <f aca="false">IF(AO260&lt;&gt;1,"",IF(OR(O260="",P260=""),"",IF(P260&lt;O260,"",ROUND(((NETWORKDAYS(O260,P260,JoursFeries)-1)*(HFer-HOuv)+IF(NETWORKDAYS(P260,P260,JoursFeries),MEDIAN(MOD(P260,1),HFer,HOuv),HFer)-IF(NETWORKDAYS(O260,O260,JoursFeries),MEDIAN(MOD(O260,1),HFer,HOuv),HOuv))*24,4))))</f>
        <v/>
      </c>
      <c r="AV260" s="37" t="str">
        <f aca="false">IF(AO260&lt;&gt;1,"",IF(OR(P260="",Q260=""),"",IF(Q260&lt;P260,"",ROUND(((NETWORKDAYS(P260,Q260,JoursFeries)-1)*(HFer-HOuv)+IF(NETWORKDAYS(Q260,Q260,JoursFeries),MEDIAN(MOD(Q260,1),HFer,HOuv),HFer)-IF(NETWORKDAYS(P260,P260,JoursFeries),MEDIAN(MOD(P260,1),HFer,HOuv),HOuv))*24,4))))</f>
        <v/>
      </c>
      <c r="AW260" s="37" t="str">
        <f aca="false">IF(AO260&lt;&gt;1,"",IFERROR(ROUND(IF(OR(P260="",R260=""),"",IF(R260&lt;P260,"",ROUND(((NETWORKDAYS(P260,R260,JoursFeries)-1)*(HFer-HOuv)+IF(NETWORKDAYS(R260,R260,JoursFeries),MEDIAN(MOD(R260,1),HFer,HOuv),HFer)-IF(NETWORKDAYS(P260,P260,JoursFeries),MEDIAN(MOD(P260,1),HFer,HOuv),HOuv))*24,4)))/HJour,4),""))</f>
        <v/>
      </c>
      <c r="AX260" s="37" t="str">
        <f aca="false">IF(AO260&lt;&gt;1,"",IFERROR(ROUND(IF(OR(P260="",S260=""),"",IF(S260&lt;P260,"",ROUND(((NETWORKDAYS(P260,S260,JoursFeries)-1)*(HFer-HOuv)+IF(NETWORKDAYS(S260,S260,JoursFeries),MEDIAN(MOD(S260,1),HFer,HOuv),HFer)-IF(NETWORKDAYS(P260,P260,JoursFeries),MEDIAN(MOD(P260,1),HFer,HOuv),HOuv))*24,4)))/HJour,4),""))</f>
        <v/>
      </c>
      <c r="AY260" s="36" t="str">
        <f aca="false">IF(OR(AO260&lt;&gt;1,AR260=""),"",INDEX(SLA_PEC,AR260))</f>
        <v/>
      </c>
      <c r="AZ260" s="35" t="str">
        <f aca="false">IF(OR(AV260="",AY260=""),"",IF(AV260&lt;=AY260,1,0))</f>
        <v/>
      </c>
      <c r="BA260" s="36" t="str">
        <f aca="false">IF(OR(AO260&lt;&gt;1,AR260=""),"",INDEX(SLA_RES,AR260))</f>
        <v/>
      </c>
      <c r="BB260" s="35" t="str">
        <f aca="false">IF(OR(AW260="",BA260=""),"",IF(AW260&lt;=BA260,1,0))</f>
        <v/>
      </c>
      <c r="BC260" s="38" t="str">
        <f aca="false">IF(OR(BA260="",P260=""),"",WORKDAY(INT(P260),BA260,JoursFeries)+MOD(P260,1))</f>
        <v/>
      </c>
      <c r="BD260" s="39" t="str">
        <f aca="false">IF(AO260&lt;&gt;1,"",IF(OR(AB260&lt;&gt;"",AD260&lt;&gt;""),4,IF(U260&lt;&gt;"",3,IF(T260&lt;&gt;"",2,1))))</f>
        <v/>
      </c>
      <c r="BE260" s="39" t="str">
        <f aca="false">IF(OR(AO260&lt;&gt;1,AR260=""),"",INDEX(NIV_REQ,AR260))</f>
        <v/>
      </c>
      <c r="BF260" s="39" t="str">
        <f aca="false">IF(BE260="","",MAX(BE260,IF(OR(K260="Oui",Z260="Oui"),4,1)))</f>
        <v/>
      </c>
      <c r="BG260" s="35" t="str">
        <f aca="false">IF(OR(BF260="",BD260=""),"",IF(BD260&gt;=BF260,1,0))</f>
        <v/>
      </c>
      <c r="BH260" s="38" t="str">
        <f aca="false">IF(BE260="","",IF(BE260&lt;2,"",IF(BE260=2,IF(AND(T260="",U260=""),"",MIN(T260,U260)),IF(U260="","",U260))))</f>
        <v/>
      </c>
      <c r="BI260" s="37" t="str">
        <f aca="false">IF(BH260="","",IF(OR(O260="",BH260=""),"",IF(BH260&lt;O260,"",ROUND(((NETWORKDAYS(O260,BH260,JoursFeries)-1)*(HFer-HOuv)+IF(NETWORKDAYS(BH260,BH260,JoursFeries),MEDIAN(MOD(BH260,1),HFer,HOuv),HFer)-IF(NETWORKDAYS(O260,O260,JoursFeries),MEDIAN(MOD(O260,1),HFer,HOuv),HOuv))*24,4))))</f>
        <v/>
      </c>
      <c r="BJ260" s="35" t="str">
        <f aca="false">IF(OR(BI260="",AR260=""),"",IF(BI260&lt;=INDEX(DELAI_ESC,AR260),1,0))</f>
        <v/>
      </c>
      <c r="BK260" s="38" t="str">
        <f aca="false">IF(AO260&lt;&gt;1,"",IF(AND(T260="",U260=""),"",MIN(T260,U260)))</f>
        <v/>
      </c>
      <c r="BL260" s="37" t="str">
        <f aca="false">IF(OR(BK260="",R260=""),"",IFERROR(ROUND(IF(OR(BK260="",R260=""),"",IF(R260&lt;BK260,"",ROUND(((NETWORKDAYS(BK260,R260,JoursFeries)-1)*(HFer-HOuv)+IF(NETWORKDAYS(R260,R260,JoursFeries),MEDIAN(MOD(R260,1),HFer,HOuv),HFer)-IF(NETWORKDAYS(BK260,BK260,JoursFeries),MEDIAN(MOD(BK260,1),HFer,HOuv),HOuv))*24,4)))/HJour,4),""))</f>
        <v/>
      </c>
      <c r="BM260" s="35" t="str">
        <f aca="false">IF(OR(AO260&lt;&gt;1,R260=""),"",IF(BD260=1,1,0))</f>
        <v/>
      </c>
      <c r="BN260" s="35" t="str">
        <f aca="false">IF(AO260&lt;&gt;1,"",IF(W260="Oui",1,0))</f>
        <v/>
      </c>
      <c r="BO260" s="35" t="str">
        <f aca="false">IF(AO260&lt;&gt;1,"",IF(X260&lt;&gt;"",1,0))</f>
        <v/>
      </c>
      <c r="BP260" s="35" t="str">
        <f aca="false">IF(AO260&lt;&gt;1,"",IF(Y260="Oui",1,0))</f>
        <v/>
      </c>
      <c r="BQ260" s="35" t="str">
        <f aca="true">IF(OR(AO260&lt;&gt;1,Z260&lt;&gt;"Oui"),"",IF(AB260="",IF(AND(AA260&lt;&gt;"",NOW()&gt;AA260),0,""),IF(AA260="","",IF(AB260&lt;=AA260,1,0))))</f>
        <v/>
      </c>
      <c r="BR260" s="38" t="str">
        <f aca="false">IF(OR(AO260&lt;&gt;1,K260&lt;&gt;"Oui",O260=""),"",IF(AC260="",O260+DORA_H_DET/24,IF(AC260-O260&lt;=DORA_H_DET/24,MIN(AC260+DORA_H_CLA/24,O260+DORA_H_DET/24),AC260+DORA_H_CLA/24)))</f>
        <v/>
      </c>
      <c r="BS260" s="35" t="str">
        <f aca="true">IF(BR260="","",IF(AD260="",IF(NOW()&gt;BR260,0,""),IF(AD260&lt;=BR260,1,0)))</f>
        <v/>
      </c>
      <c r="BT260" s="35" t="str">
        <f aca="true">IF(OR(BR260="",AD260=""),"",IF(AE260="",IF(NOW()&gt;AD260+DORA_H_INT/24,0,""),IF(AE260&lt;=AD260+DORA_H_INT/24,1,0)))</f>
        <v/>
      </c>
      <c r="BU260" s="35" t="str">
        <f aca="true">IF(OR(BR260="",AE260=""),"",IF(AF260="",IF(NOW()&gt;EDATE(AE260,DORA_M_FIN)+1,0,""),IF(AF260&lt;=EDATE(AE260,DORA_M_FIN),1,0)))</f>
        <v/>
      </c>
      <c r="BV260" s="35" t="str">
        <f aca="false">IF(BR260="","",IF(COUNT(BS260:BU260)=0,"",MIN(BS260:BU260)))</f>
        <v/>
      </c>
      <c r="BW260" s="40" t="str">
        <f aca="false">IF(AQ260&lt;&gt;1,"",IF(AND(AG260="",AH260=""),"",N(AG260)-N(AH260)))</f>
        <v/>
      </c>
      <c r="BX260" s="35" t="str">
        <f aca="true">IF(OR(AQ260&lt;&gt;1,AI260&lt;&gt;"Oui",AJ260=""),"",IF(AK260="",IF(NOW()&gt;AJ260+1,0,""),IF(AK260&lt;=AJ260,1,0)))</f>
        <v/>
      </c>
    </row>
    <row r="261" customFormat="false" ht="15" hidden="false" customHeight="false" outlineLevel="0" collapsed="false">
      <c r="B261" s="29"/>
      <c r="C261" s="29"/>
      <c r="D261" s="29"/>
      <c r="E261" s="29"/>
      <c r="F261" s="29"/>
      <c r="G261" s="29"/>
      <c r="H261" s="29"/>
      <c r="I261" s="29"/>
      <c r="J261" s="29"/>
      <c r="K261" s="29"/>
      <c r="L261" s="29"/>
      <c r="M261" s="29"/>
      <c r="N261" s="30"/>
      <c r="O261" s="30"/>
      <c r="P261" s="30"/>
      <c r="Q261" s="30"/>
      <c r="R261" s="30"/>
      <c r="S261" s="30"/>
      <c r="T261" s="30"/>
      <c r="U261" s="30"/>
      <c r="V261" s="31"/>
      <c r="W261" s="29"/>
      <c r="X261" s="29"/>
      <c r="Y261" s="29"/>
      <c r="Z261" s="29"/>
      <c r="AA261" s="30"/>
      <c r="AB261" s="30"/>
      <c r="AC261" s="30"/>
      <c r="AD261" s="30"/>
      <c r="AE261" s="30"/>
      <c r="AF261" s="32"/>
      <c r="AG261" s="33"/>
      <c r="AH261" s="33"/>
      <c r="AI261" s="29"/>
      <c r="AJ261" s="32"/>
      <c r="AK261" s="32"/>
      <c r="AL261" s="29"/>
      <c r="AN261" s="34" t="str">
        <f aca="false">IF($B261="","",IF(OR(C261="",D261="",E261="",G261="",I261="",J261="",L261="",O261="",P261=""),"Champ obligatoire manquant",IF(OR(AND(N261&lt;&gt;"",N261&gt;O261),O261&gt;P261,AND(Q261&lt;&gt;"",Q261&lt;P261),AND(R261&lt;&gt;"",R261&lt;P261),AND(S261&lt;&gt;"",S261&lt;R261),AND(S261&lt;&gt;"",R261=""),AND(T261&lt;&gt;"",T261&lt;O261),AND(U261&lt;&gt;"",U261&lt;O261)),"Chronologie incohérente",IF(AND(OR(L261="Résolu",L261="Clos"),R261=""),"Date de résolution manquante",IF(AND(L261="Clos",S261=""),"Date de clôture manquante",IF(AND(K261="Oui",AC261=""),"Classification DORA manquante","OK"))))))</f>
        <v/>
      </c>
      <c r="AO261" s="35" t="str">
        <f aca="false">IF($B261="","",IF(AND(C261="Incident",L261&lt;&gt;"Annulé"),1,0))</f>
        <v/>
      </c>
      <c r="AP261" s="35" t="str">
        <f aca="false">IF($B261="","",IF(AND(C261="Quasi-incident",L261&lt;&gt;"Annulé"),1,0))</f>
        <v/>
      </c>
      <c r="AQ261" s="35" t="str">
        <f aca="false">IF($B261="","",AO261+AP261)</f>
        <v/>
      </c>
      <c r="AR261" s="36" t="str">
        <f aca="false">IF(OR($B261="",J261=""),"",IFERROR(VALUE(LEFT(J261,1)),""))</f>
        <v/>
      </c>
      <c r="AS261" s="35" t="str">
        <f aca="false">IF(OR(AO261&lt;&gt;1,G261=""),"",IFERROR(IF(INDEX(L_SrcInterne,MATCH(G261,L_Sources,0))="Oui",1,0),""))</f>
        <v/>
      </c>
      <c r="AT261" s="37" t="str">
        <f aca="false">IF(AO261&lt;&gt;1,"",IFERROR(ROUND(IF(OR(N261="",O261=""),"",IF(O261&lt;N261,"",ROUND(((NETWORKDAYS(N261,O261,JoursFeries)-1)*(HFer-HOuv)+IF(NETWORKDAYS(O261,O261,JoursFeries),MEDIAN(MOD(O261,1),HFer,HOuv),HFer)-IF(NETWORKDAYS(N261,N261,JoursFeries),MEDIAN(MOD(N261,1),HFer,HOuv),HOuv))*24,4)))/HJour,4),""))</f>
        <v/>
      </c>
      <c r="AU261" s="37" t="str">
        <f aca="false">IF(AO261&lt;&gt;1,"",IF(OR(O261="",P261=""),"",IF(P261&lt;O261,"",ROUND(((NETWORKDAYS(O261,P261,JoursFeries)-1)*(HFer-HOuv)+IF(NETWORKDAYS(P261,P261,JoursFeries),MEDIAN(MOD(P261,1),HFer,HOuv),HFer)-IF(NETWORKDAYS(O261,O261,JoursFeries),MEDIAN(MOD(O261,1),HFer,HOuv),HOuv))*24,4))))</f>
        <v/>
      </c>
      <c r="AV261" s="37" t="str">
        <f aca="false">IF(AO261&lt;&gt;1,"",IF(OR(P261="",Q261=""),"",IF(Q261&lt;P261,"",ROUND(((NETWORKDAYS(P261,Q261,JoursFeries)-1)*(HFer-HOuv)+IF(NETWORKDAYS(Q261,Q261,JoursFeries),MEDIAN(MOD(Q261,1),HFer,HOuv),HFer)-IF(NETWORKDAYS(P261,P261,JoursFeries),MEDIAN(MOD(P261,1),HFer,HOuv),HOuv))*24,4))))</f>
        <v/>
      </c>
      <c r="AW261" s="37" t="str">
        <f aca="false">IF(AO261&lt;&gt;1,"",IFERROR(ROUND(IF(OR(P261="",R261=""),"",IF(R261&lt;P261,"",ROUND(((NETWORKDAYS(P261,R261,JoursFeries)-1)*(HFer-HOuv)+IF(NETWORKDAYS(R261,R261,JoursFeries),MEDIAN(MOD(R261,1),HFer,HOuv),HFer)-IF(NETWORKDAYS(P261,P261,JoursFeries),MEDIAN(MOD(P261,1),HFer,HOuv),HOuv))*24,4)))/HJour,4),""))</f>
        <v/>
      </c>
      <c r="AX261" s="37" t="str">
        <f aca="false">IF(AO261&lt;&gt;1,"",IFERROR(ROUND(IF(OR(P261="",S261=""),"",IF(S261&lt;P261,"",ROUND(((NETWORKDAYS(P261,S261,JoursFeries)-1)*(HFer-HOuv)+IF(NETWORKDAYS(S261,S261,JoursFeries),MEDIAN(MOD(S261,1),HFer,HOuv),HFer)-IF(NETWORKDAYS(P261,P261,JoursFeries),MEDIAN(MOD(P261,1),HFer,HOuv),HOuv))*24,4)))/HJour,4),""))</f>
        <v/>
      </c>
      <c r="AY261" s="36" t="str">
        <f aca="false">IF(OR(AO261&lt;&gt;1,AR261=""),"",INDEX(SLA_PEC,AR261))</f>
        <v/>
      </c>
      <c r="AZ261" s="35" t="str">
        <f aca="false">IF(OR(AV261="",AY261=""),"",IF(AV261&lt;=AY261,1,0))</f>
        <v/>
      </c>
      <c r="BA261" s="36" t="str">
        <f aca="false">IF(OR(AO261&lt;&gt;1,AR261=""),"",INDEX(SLA_RES,AR261))</f>
        <v/>
      </c>
      <c r="BB261" s="35" t="str">
        <f aca="false">IF(OR(AW261="",BA261=""),"",IF(AW261&lt;=BA261,1,0))</f>
        <v/>
      </c>
      <c r="BC261" s="38" t="str">
        <f aca="false">IF(OR(BA261="",P261=""),"",WORKDAY(INT(P261),BA261,JoursFeries)+MOD(P261,1))</f>
        <v/>
      </c>
      <c r="BD261" s="39" t="str">
        <f aca="false">IF(AO261&lt;&gt;1,"",IF(OR(AB261&lt;&gt;"",AD261&lt;&gt;""),4,IF(U261&lt;&gt;"",3,IF(T261&lt;&gt;"",2,1))))</f>
        <v/>
      </c>
      <c r="BE261" s="39" t="str">
        <f aca="false">IF(OR(AO261&lt;&gt;1,AR261=""),"",INDEX(NIV_REQ,AR261))</f>
        <v/>
      </c>
      <c r="BF261" s="39" t="str">
        <f aca="false">IF(BE261="","",MAX(BE261,IF(OR(K261="Oui",Z261="Oui"),4,1)))</f>
        <v/>
      </c>
      <c r="BG261" s="35" t="str">
        <f aca="false">IF(OR(BF261="",BD261=""),"",IF(BD261&gt;=BF261,1,0))</f>
        <v/>
      </c>
      <c r="BH261" s="38" t="str">
        <f aca="false">IF(BE261="","",IF(BE261&lt;2,"",IF(BE261=2,IF(AND(T261="",U261=""),"",MIN(T261,U261)),IF(U261="","",U261))))</f>
        <v/>
      </c>
      <c r="BI261" s="37" t="str">
        <f aca="false">IF(BH261="","",IF(OR(O261="",BH261=""),"",IF(BH261&lt;O261,"",ROUND(((NETWORKDAYS(O261,BH261,JoursFeries)-1)*(HFer-HOuv)+IF(NETWORKDAYS(BH261,BH261,JoursFeries),MEDIAN(MOD(BH261,1),HFer,HOuv),HFer)-IF(NETWORKDAYS(O261,O261,JoursFeries),MEDIAN(MOD(O261,1),HFer,HOuv),HOuv))*24,4))))</f>
        <v/>
      </c>
      <c r="BJ261" s="35" t="str">
        <f aca="false">IF(OR(BI261="",AR261=""),"",IF(BI261&lt;=INDEX(DELAI_ESC,AR261),1,0))</f>
        <v/>
      </c>
      <c r="BK261" s="38" t="str">
        <f aca="false">IF(AO261&lt;&gt;1,"",IF(AND(T261="",U261=""),"",MIN(T261,U261)))</f>
        <v/>
      </c>
      <c r="BL261" s="37" t="str">
        <f aca="false">IF(OR(BK261="",R261=""),"",IFERROR(ROUND(IF(OR(BK261="",R261=""),"",IF(R261&lt;BK261,"",ROUND(((NETWORKDAYS(BK261,R261,JoursFeries)-1)*(HFer-HOuv)+IF(NETWORKDAYS(R261,R261,JoursFeries),MEDIAN(MOD(R261,1),HFer,HOuv),HFer)-IF(NETWORKDAYS(BK261,BK261,JoursFeries),MEDIAN(MOD(BK261,1),HFer,HOuv),HOuv))*24,4)))/HJour,4),""))</f>
        <v/>
      </c>
      <c r="BM261" s="35" t="str">
        <f aca="false">IF(OR(AO261&lt;&gt;1,R261=""),"",IF(BD261=1,1,0))</f>
        <v/>
      </c>
      <c r="BN261" s="35" t="str">
        <f aca="false">IF(AO261&lt;&gt;1,"",IF(W261="Oui",1,0))</f>
        <v/>
      </c>
      <c r="BO261" s="35" t="str">
        <f aca="false">IF(AO261&lt;&gt;1,"",IF(X261&lt;&gt;"",1,0))</f>
        <v/>
      </c>
      <c r="BP261" s="35" t="str">
        <f aca="false">IF(AO261&lt;&gt;1,"",IF(Y261="Oui",1,0))</f>
        <v/>
      </c>
      <c r="BQ261" s="35" t="str">
        <f aca="true">IF(OR(AO261&lt;&gt;1,Z261&lt;&gt;"Oui"),"",IF(AB261="",IF(AND(AA261&lt;&gt;"",NOW()&gt;AA261),0,""),IF(AA261="","",IF(AB261&lt;=AA261,1,0))))</f>
        <v/>
      </c>
      <c r="BR261" s="38" t="str">
        <f aca="false">IF(OR(AO261&lt;&gt;1,K261&lt;&gt;"Oui",O261=""),"",IF(AC261="",O261+DORA_H_DET/24,IF(AC261-O261&lt;=DORA_H_DET/24,MIN(AC261+DORA_H_CLA/24,O261+DORA_H_DET/24),AC261+DORA_H_CLA/24)))</f>
        <v/>
      </c>
      <c r="BS261" s="35" t="str">
        <f aca="true">IF(BR261="","",IF(AD261="",IF(NOW()&gt;BR261,0,""),IF(AD261&lt;=BR261,1,0)))</f>
        <v/>
      </c>
      <c r="BT261" s="35" t="str">
        <f aca="true">IF(OR(BR261="",AD261=""),"",IF(AE261="",IF(NOW()&gt;AD261+DORA_H_INT/24,0,""),IF(AE261&lt;=AD261+DORA_H_INT/24,1,0)))</f>
        <v/>
      </c>
      <c r="BU261" s="35" t="str">
        <f aca="true">IF(OR(BR261="",AE261=""),"",IF(AF261="",IF(NOW()&gt;EDATE(AE261,DORA_M_FIN)+1,0,""),IF(AF261&lt;=EDATE(AE261,DORA_M_FIN),1,0)))</f>
        <v/>
      </c>
      <c r="BV261" s="35" t="str">
        <f aca="false">IF(BR261="","",IF(COUNT(BS261:BU261)=0,"",MIN(BS261:BU261)))</f>
        <v/>
      </c>
      <c r="BW261" s="40" t="str">
        <f aca="false">IF(AQ261&lt;&gt;1,"",IF(AND(AG261="",AH261=""),"",N(AG261)-N(AH261)))</f>
        <v/>
      </c>
      <c r="BX261" s="35" t="str">
        <f aca="true">IF(OR(AQ261&lt;&gt;1,AI261&lt;&gt;"Oui",AJ261=""),"",IF(AK261="",IF(NOW()&gt;AJ261+1,0,""),IF(AK261&lt;=AJ261,1,0)))</f>
        <v/>
      </c>
    </row>
    <row r="262" customFormat="false" ht="15" hidden="false" customHeight="false" outlineLevel="0" collapsed="false">
      <c r="B262" s="29"/>
      <c r="C262" s="29"/>
      <c r="D262" s="29"/>
      <c r="E262" s="29"/>
      <c r="F262" s="29"/>
      <c r="G262" s="29"/>
      <c r="H262" s="29"/>
      <c r="I262" s="29"/>
      <c r="J262" s="29"/>
      <c r="K262" s="29"/>
      <c r="L262" s="29"/>
      <c r="M262" s="29"/>
      <c r="N262" s="30"/>
      <c r="O262" s="30"/>
      <c r="P262" s="30"/>
      <c r="Q262" s="30"/>
      <c r="R262" s="30"/>
      <c r="S262" s="30"/>
      <c r="T262" s="30"/>
      <c r="U262" s="30"/>
      <c r="V262" s="31"/>
      <c r="W262" s="29"/>
      <c r="X262" s="29"/>
      <c r="Y262" s="29"/>
      <c r="Z262" s="29"/>
      <c r="AA262" s="30"/>
      <c r="AB262" s="30"/>
      <c r="AC262" s="30"/>
      <c r="AD262" s="30"/>
      <c r="AE262" s="30"/>
      <c r="AF262" s="32"/>
      <c r="AG262" s="33"/>
      <c r="AH262" s="33"/>
      <c r="AI262" s="29"/>
      <c r="AJ262" s="32"/>
      <c r="AK262" s="32"/>
      <c r="AL262" s="29"/>
      <c r="AN262" s="34" t="str">
        <f aca="false">IF($B262="","",IF(OR(C262="",D262="",E262="",G262="",I262="",J262="",L262="",O262="",P262=""),"Champ obligatoire manquant",IF(OR(AND(N262&lt;&gt;"",N262&gt;O262),O262&gt;P262,AND(Q262&lt;&gt;"",Q262&lt;P262),AND(R262&lt;&gt;"",R262&lt;P262),AND(S262&lt;&gt;"",S262&lt;R262),AND(S262&lt;&gt;"",R262=""),AND(T262&lt;&gt;"",T262&lt;O262),AND(U262&lt;&gt;"",U262&lt;O262)),"Chronologie incohérente",IF(AND(OR(L262="Résolu",L262="Clos"),R262=""),"Date de résolution manquante",IF(AND(L262="Clos",S262=""),"Date de clôture manquante",IF(AND(K262="Oui",AC262=""),"Classification DORA manquante","OK"))))))</f>
        <v/>
      </c>
      <c r="AO262" s="35" t="str">
        <f aca="false">IF($B262="","",IF(AND(C262="Incident",L262&lt;&gt;"Annulé"),1,0))</f>
        <v/>
      </c>
      <c r="AP262" s="35" t="str">
        <f aca="false">IF($B262="","",IF(AND(C262="Quasi-incident",L262&lt;&gt;"Annulé"),1,0))</f>
        <v/>
      </c>
      <c r="AQ262" s="35" t="str">
        <f aca="false">IF($B262="","",AO262+AP262)</f>
        <v/>
      </c>
      <c r="AR262" s="36" t="str">
        <f aca="false">IF(OR($B262="",J262=""),"",IFERROR(VALUE(LEFT(J262,1)),""))</f>
        <v/>
      </c>
      <c r="AS262" s="35" t="str">
        <f aca="false">IF(OR(AO262&lt;&gt;1,G262=""),"",IFERROR(IF(INDEX(L_SrcInterne,MATCH(G262,L_Sources,0))="Oui",1,0),""))</f>
        <v/>
      </c>
      <c r="AT262" s="37" t="str">
        <f aca="false">IF(AO262&lt;&gt;1,"",IFERROR(ROUND(IF(OR(N262="",O262=""),"",IF(O262&lt;N262,"",ROUND(((NETWORKDAYS(N262,O262,JoursFeries)-1)*(HFer-HOuv)+IF(NETWORKDAYS(O262,O262,JoursFeries),MEDIAN(MOD(O262,1),HFer,HOuv),HFer)-IF(NETWORKDAYS(N262,N262,JoursFeries),MEDIAN(MOD(N262,1),HFer,HOuv),HOuv))*24,4)))/HJour,4),""))</f>
        <v/>
      </c>
      <c r="AU262" s="37" t="str">
        <f aca="false">IF(AO262&lt;&gt;1,"",IF(OR(O262="",P262=""),"",IF(P262&lt;O262,"",ROUND(((NETWORKDAYS(O262,P262,JoursFeries)-1)*(HFer-HOuv)+IF(NETWORKDAYS(P262,P262,JoursFeries),MEDIAN(MOD(P262,1),HFer,HOuv),HFer)-IF(NETWORKDAYS(O262,O262,JoursFeries),MEDIAN(MOD(O262,1),HFer,HOuv),HOuv))*24,4))))</f>
        <v/>
      </c>
      <c r="AV262" s="37" t="str">
        <f aca="false">IF(AO262&lt;&gt;1,"",IF(OR(P262="",Q262=""),"",IF(Q262&lt;P262,"",ROUND(((NETWORKDAYS(P262,Q262,JoursFeries)-1)*(HFer-HOuv)+IF(NETWORKDAYS(Q262,Q262,JoursFeries),MEDIAN(MOD(Q262,1),HFer,HOuv),HFer)-IF(NETWORKDAYS(P262,P262,JoursFeries),MEDIAN(MOD(P262,1),HFer,HOuv),HOuv))*24,4))))</f>
        <v/>
      </c>
      <c r="AW262" s="37" t="str">
        <f aca="false">IF(AO262&lt;&gt;1,"",IFERROR(ROUND(IF(OR(P262="",R262=""),"",IF(R262&lt;P262,"",ROUND(((NETWORKDAYS(P262,R262,JoursFeries)-1)*(HFer-HOuv)+IF(NETWORKDAYS(R262,R262,JoursFeries),MEDIAN(MOD(R262,1),HFer,HOuv),HFer)-IF(NETWORKDAYS(P262,P262,JoursFeries),MEDIAN(MOD(P262,1),HFer,HOuv),HOuv))*24,4)))/HJour,4),""))</f>
        <v/>
      </c>
      <c r="AX262" s="37" t="str">
        <f aca="false">IF(AO262&lt;&gt;1,"",IFERROR(ROUND(IF(OR(P262="",S262=""),"",IF(S262&lt;P262,"",ROUND(((NETWORKDAYS(P262,S262,JoursFeries)-1)*(HFer-HOuv)+IF(NETWORKDAYS(S262,S262,JoursFeries),MEDIAN(MOD(S262,1),HFer,HOuv),HFer)-IF(NETWORKDAYS(P262,P262,JoursFeries),MEDIAN(MOD(P262,1),HFer,HOuv),HOuv))*24,4)))/HJour,4),""))</f>
        <v/>
      </c>
      <c r="AY262" s="36" t="str">
        <f aca="false">IF(OR(AO262&lt;&gt;1,AR262=""),"",INDEX(SLA_PEC,AR262))</f>
        <v/>
      </c>
      <c r="AZ262" s="35" t="str">
        <f aca="false">IF(OR(AV262="",AY262=""),"",IF(AV262&lt;=AY262,1,0))</f>
        <v/>
      </c>
      <c r="BA262" s="36" t="str">
        <f aca="false">IF(OR(AO262&lt;&gt;1,AR262=""),"",INDEX(SLA_RES,AR262))</f>
        <v/>
      </c>
      <c r="BB262" s="35" t="str">
        <f aca="false">IF(OR(AW262="",BA262=""),"",IF(AW262&lt;=BA262,1,0))</f>
        <v/>
      </c>
      <c r="BC262" s="38" t="str">
        <f aca="false">IF(OR(BA262="",P262=""),"",WORKDAY(INT(P262),BA262,JoursFeries)+MOD(P262,1))</f>
        <v/>
      </c>
      <c r="BD262" s="39" t="str">
        <f aca="false">IF(AO262&lt;&gt;1,"",IF(OR(AB262&lt;&gt;"",AD262&lt;&gt;""),4,IF(U262&lt;&gt;"",3,IF(T262&lt;&gt;"",2,1))))</f>
        <v/>
      </c>
      <c r="BE262" s="39" t="str">
        <f aca="false">IF(OR(AO262&lt;&gt;1,AR262=""),"",INDEX(NIV_REQ,AR262))</f>
        <v/>
      </c>
      <c r="BF262" s="39" t="str">
        <f aca="false">IF(BE262="","",MAX(BE262,IF(OR(K262="Oui",Z262="Oui"),4,1)))</f>
        <v/>
      </c>
      <c r="BG262" s="35" t="str">
        <f aca="false">IF(OR(BF262="",BD262=""),"",IF(BD262&gt;=BF262,1,0))</f>
        <v/>
      </c>
      <c r="BH262" s="38" t="str">
        <f aca="false">IF(BE262="","",IF(BE262&lt;2,"",IF(BE262=2,IF(AND(T262="",U262=""),"",MIN(T262,U262)),IF(U262="","",U262))))</f>
        <v/>
      </c>
      <c r="BI262" s="37" t="str">
        <f aca="false">IF(BH262="","",IF(OR(O262="",BH262=""),"",IF(BH262&lt;O262,"",ROUND(((NETWORKDAYS(O262,BH262,JoursFeries)-1)*(HFer-HOuv)+IF(NETWORKDAYS(BH262,BH262,JoursFeries),MEDIAN(MOD(BH262,1),HFer,HOuv),HFer)-IF(NETWORKDAYS(O262,O262,JoursFeries),MEDIAN(MOD(O262,1),HFer,HOuv),HOuv))*24,4))))</f>
        <v/>
      </c>
      <c r="BJ262" s="35" t="str">
        <f aca="false">IF(OR(BI262="",AR262=""),"",IF(BI262&lt;=INDEX(DELAI_ESC,AR262),1,0))</f>
        <v/>
      </c>
      <c r="BK262" s="38" t="str">
        <f aca="false">IF(AO262&lt;&gt;1,"",IF(AND(T262="",U262=""),"",MIN(T262,U262)))</f>
        <v/>
      </c>
      <c r="BL262" s="37" t="str">
        <f aca="false">IF(OR(BK262="",R262=""),"",IFERROR(ROUND(IF(OR(BK262="",R262=""),"",IF(R262&lt;BK262,"",ROUND(((NETWORKDAYS(BK262,R262,JoursFeries)-1)*(HFer-HOuv)+IF(NETWORKDAYS(R262,R262,JoursFeries),MEDIAN(MOD(R262,1),HFer,HOuv),HFer)-IF(NETWORKDAYS(BK262,BK262,JoursFeries),MEDIAN(MOD(BK262,1),HFer,HOuv),HOuv))*24,4)))/HJour,4),""))</f>
        <v/>
      </c>
      <c r="BM262" s="35" t="str">
        <f aca="false">IF(OR(AO262&lt;&gt;1,R262=""),"",IF(BD262=1,1,0))</f>
        <v/>
      </c>
      <c r="BN262" s="35" t="str">
        <f aca="false">IF(AO262&lt;&gt;1,"",IF(W262="Oui",1,0))</f>
        <v/>
      </c>
      <c r="BO262" s="35" t="str">
        <f aca="false">IF(AO262&lt;&gt;1,"",IF(X262&lt;&gt;"",1,0))</f>
        <v/>
      </c>
      <c r="BP262" s="35" t="str">
        <f aca="false">IF(AO262&lt;&gt;1,"",IF(Y262="Oui",1,0))</f>
        <v/>
      </c>
      <c r="BQ262" s="35" t="str">
        <f aca="true">IF(OR(AO262&lt;&gt;1,Z262&lt;&gt;"Oui"),"",IF(AB262="",IF(AND(AA262&lt;&gt;"",NOW()&gt;AA262),0,""),IF(AA262="","",IF(AB262&lt;=AA262,1,0))))</f>
        <v/>
      </c>
      <c r="BR262" s="38" t="str">
        <f aca="false">IF(OR(AO262&lt;&gt;1,K262&lt;&gt;"Oui",O262=""),"",IF(AC262="",O262+DORA_H_DET/24,IF(AC262-O262&lt;=DORA_H_DET/24,MIN(AC262+DORA_H_CLA/24,O262+DORA_H_DET/24),AC262+DORA_H_CLA/24)))</f>
        <v/>
      </c>
      <c r="BS262" s="35" t="str">
        <f aca="true">IF(BR262="","",IF(AD262="",IF(NOW()&gt;BR262,0,""),IF(AD262&lt;=BR262,1,0)))</f>
        <v/>
      </c>
      <c r="BT262" s="35" t="str">
        <f aca="true">IF(OR(BR262="",AD262=""),"",IF(AE262="",IF(NOW()&gt;AD262+DORA_H_INT/24,0,""),IF(AE262&lt;=AD262+DORA_H_INT/24,1,0)))</f>
        <v/>
      </c>
      <c r="BU262" s="35" t="str">
        <f aca="true">IF(OR(BR262="",AE262=""),"",IF(AF262="",IF(NOW()&gt;EDATE(AE262,DORA_M_FIN)+1,0,""),IF(AF262&lt;=EDATE(AE262,DORA_M_FIN),1,0)))</f>
        <v/>
      </c>
      <c r="BV262" s="35" t="str">
        <f aca="false">IF(BR262="","",IF(COUNT(BS262:BU262)=0,"",MIN(BS262:BU262)))</f>
        <v/>
      </c>
      <c r="BW262" s="40" t="str">
        <f aca="false">IF(AQ262&lt;&gt;1,"",IF(AND(AG262="",AH262=""),"",N(AG262)-N(AH262)))</f>
        <v/>
      </c>
      <c r="BX262" s="35" t="str">
        <f aca="true">IF(OR(AQ262&lt;&gt;1,AI262&lt;&gt;"Oui",AJ262=""),"",IF(AK262="",IF(NOW()&gt;AJ262+1,0,""),IF(AK262&lt;=AJ262,1,0)))</f>
        <v/>
      </c>
    </row>
    <row r="263" customFormat="false" ht="15" hidden="false" customHeight="false" outlineLevel="0" collapsed="false">
      <c r="B263" s="29"/>
      <c r="C263" s="29"/>
      <c r="D263" s="29"/>
      <c r="E263" s="29"/>
      <c r="F263" s="29"/>
      <c r="G263" s="29"/>
      <c r="H263" s="29"/>
      <c r="I263" s="29"/>
      <c r="J263" s="29"/>
      <c r="K263" s="29"/>
      <c r="L263" s="29"/>
      <c r="M263" s="29"/>
      <c r="N263" s="30"/>
      <c r="O263" s="30"/>
      <c r="P263" s="30"/>
      <c r="Q263" s="30"/>
      <c r="R263" s="30"/>
      <c r="S263" s="30"/>
      <c r="T263" s="30"/>
      <c r="U263" s="30"/>
      <c r="V263" s="31"/>
      <c r="W263" s="29"/>
      <c r="X263" s="29"/>
      <c r="Y263" s="29"/>
      <c r="Z263" s="29"/>
      <c r="AA263" s="30"/>
      <c r="AB263" s="30"/>
      <c r="AC263" s="30"/>
      <c r="AD263" s="30"/>
      <c r="AE263" s="30"/>
      <c r="AF263" s="32"/>
      <c r="AG263" s="33"/>
      <c r="AH263" s="33"/>
      <c r="AI263" s="29"/>
      <c r="AJ263" s="32"/>
      <c r="AK263" s="32"/>
      <c r="AL263" s="29"/>
      <c r="AN263" s="34" t="str">
        <f aca="false">IF($B263="","",IF(OR(C263="",D263="",E263="",G263="",I263="",J263="",L263="",O263="",P263=""),"Champ obligatoire manquant",IF(OR(AND(N263&lt;&gt;"",N263&gt;O263),O263&gt;P263,AND(Q263&lt;&gt;"",Q263&lt;P263),AND(R263&lt;&gt;"",R263&lt;P263),AND(S263&lt;&gt;"",S263&lt;R263),AND(S263&lt;&gt;"",R263=""),AND(T263&lt;&gt;"",T263&lt;O263),AND(U263&lt;&gt;"",U263&lt;O263)),"Chronologie incohérente",IF(AND(OR(L263="Résolu",L263="Clos"),R263=""),"Date de résolution manquante",IF(AND(L263="Clos",S263=""),"Date de clôture manquante",IF(AND(K263="Oui",AC263=""),"Classification DORA manquante","OK"))))))</f>
        <v/>
      </c>
      <c r="AO263" s="35" t="str">
        <f aca="false">IF($B263="","",IF(AND(C263="Incident",L263&lt;&gt;"Annulé"),1,0))</f>
        <v/>
      </c>
      <c r="AP263" s="35" t="str">
        <f aca="false">IF($B263="","",IF(AND(C263="Quasi-incident",L263&lt;&gt;"Annulé"),1,0))</f>
        <v/>
      </c>
      <c r="AQ263" s="35" t="str">
        <f aca="false">IF($B263="","",AO263+AP263)</f>
        <v/>
      </c>
      <c r="AR263" s="36" t="str">
        <f aca="false">IF(OR($B263="",J263=""),"",IFERROR(VALUE(LEFT(J263,1)),""))</f>
        <v/>
      </c>
      <c r="AS263" s="35" t="str">
        <f aca="false">IF(OR(AO263&lt;&gt;1,G263=""),"",IFERROR(IF(INDEX(L_SrcInterne,MATCH(G263,L_Sources,0))="Oui",1,0),""))</f>
        <v/>
      </c>
      <c r="AT263" s="37" t="str">
        <f aca="false">IF(AO263&lt;&gt;1,"",IFERROR(ROUND(IF(OR(N263="",O263=""),"",IF(O263&lt;N263,"",ROUND(((NETWORKDAYS(N263,O263,JoursFeries)-1)*(HFer-HOuv)+IF(NETWORKDAYS(O263,O263,JoursFeries),MEDIAN(MOD(O263,1),HFer,HOuv),HFer)-IF(NETWORKDAYS(N263,N263,JoursFeries),MEDIAN(MOD(N263,1),HFer,HOuv),HOuv))*24,4)))/HJour,4),""))</f>
        <v/>
      </c>
      <c r="AU263" s="37" t="str">
        <f aca="false">IF(AO263&lt;&gt;1,"",IF(OR(O263="",P263=""),"",IF(P263&lt;O263,"",ROUND(((NETWORKDAYS(O263,P263,JoursFeries)-1)*(HFer-HOuv)+IF(NETWORKDAYS(P263,P263,JoursFeries),MEDIAN(MOD(P263,1),HFer,HOuv),HFer)-IF(NETWORKDAYS(O263,O263,JoursFeries),MEDIAN(MOD(O263,1),HFer,HOuv),HOuv))*24,4))))</f>
        <v/>
      </c>
      <c r="AV263" s="37" t="str">
        <f aca="false">IF(AO263&lt;&gt;1,"",IF(OR(P263="",Q263=""),"",IF(Q263&lt;P263,"",ROUND(((NETWORKDAYS(P263,Q263,JoursFeries)-1)*(HFer-HOuv)+IF(NETWORKDAYS(Q263,Q263,JoursFeries),MEDIAN(MOD(Q263,1),HFer,HOuv),HFer)-IF(NETWORKDAYS(P263,P263,JoursFeries),MEDIAN(MOD(P263,1),HFer,HOuv),HOuv))*24,4))))</f>
        <v/>
      </c>
      <c r="AW263" s="37" t="str">
        <f aca="false">IF(AO263&lt;&gt;1,"",IFERROR(ROUND(IF(OR(P263="",R263=""),"",IF(R263&lt;P263,"",ROUND(((NETWORKDAYS(P263,R263,JoursFeries)-1)*(HFer-HOuv)+IF(NETWORKDAYS(R263,R263,JoursFeries),MEDIAN(MOD(R263,1),HFer,HOuv),HFer)-IF(NETWORKDAYS(P263,P263,JoursFeries),MEDIAN(MOD(P263,1),HFer,HOuv),HOuv))*24,4)))/HJour,4),""))</f>
        <v/>
      </c>
      <c r="AX263" s="37" t="str">
        <f aca="false">IF(AO263&lt;&gt;1,"",IFERROR(ROUND(IF(OR(P263="",S263=""),"",IF(S263&lt;P263,"",ROUND(((NETWORKDAYS(P263,S263,JoursFeries)-1)*(HFer-HOuv)+IF(NETWORKDAYS(S263,S263,JoursFeries),MEDIAN(MOD(S263,1),HFer,HOuv),HFer)-IF(NETWORKDAYS(P263,P263,JoursFeries),MEDIAN(MOD(P263,1),HFer,HOuv),HOuv))*24,4)))/HJour,4),""))</f>
        <v/>
      </c>
      <c r="AY263" s="36" t="str">
        <f aca="false">IF(OR(AO263&lt;&gt;1,AR263=""),"",INDEX(SLA_PEC,AR263))</f>
        <v/>
      </c>
      <c r="AZ263" s="35" t="str">
        <f aca="false">IF(OR(AV263="",AY263=""),"",IF(AV263&lt;=AY263,1,0))</f>
        <v/>
      </c>
      <c r="BA263" s="36" t="str">
        <f aca="false">IF(OR(AO263&lt;&gt;1,AR263=""),"",INDEX(SLA_RES,AR263))</f>
        <v/>
      </c>
      <c r="BB263" s="35" t="str">
        <f aca="false">IF(OR(AW263="",BA263=""),"",IF(AW263&lt;=BA263,1,0))</f>
        <v/>
      </c>
      <c r="BC263" s="38" t="str">
        <f aca="false">IF(OR(BA263="",P263=""),"",WORKDAY(INT(P263),BA263,JoursFeries)+MOD(P263,1))</f>
        <v/>
      </c>
      <c r="BD263" s="39" t="str">
        <f aca="false">IF(AO263&lt;&gt;1,"",IF(OR(AB263&lt;&gt;"",AD263&lt;&gt;""),4,IF(U263&lt;&gt;"",3,IF(T263&lt;&gt;"",2,1))))</f>
        <v/>
      </c>
      <c r="BE263" s="39" t="str">
        <f aca="false">IF(OR(AO263&lt;&gt;1,AR263=""),"",INDEX(NIV_REQ,AR263))</f>
        <v/>
      </c>
      <c r="BF263" s="39" t="str">
        <f aca="false">IF(BE263="","",MAX(BE263,IF(OR(K263="Oui",Z263="Oui"),4,1)))</f>
        <v/>
      </c>
      <c r="BG263" s="35" t="str">
        <f aca="false">IF(OR(BF263="",BD263=""),"",IF(BD263&gt;=BF263,1,0))</f>
        <v/>
      </c>
      <c r="BH263" s="38" t="str">
        <f aca="false">IF(BE263="","",IF(BE263&lt;2,"",IF(BE263=2,IF(AND(T263="",U263=""),"",MIN(T263,U263)),IF(U263="","",U263))))</f>
        <v/>
      </c>
      <c r="BI263" s="37" t="str">
        <f aca="false">IF(BH263="","",IF(OR(O263="",BH263=""),"",IF(BH263&lt;O263,"",ROUND(((NETWORKDAYS(O263,BH263,JoursFeries)-1)*(HFer-HOuv)+IF(NETWORKDAYS(BH263,BH263,JoursFeries),MEDIAN(MOD(BH263,1),HFer,HOuv),HFer)-IF(NETWORKDAYS(O263,O263,JoursFeries),MEDIAN(MOD(O263,1),HFer,HOuv),HOuv))*24,4))))</f>
        <v/>
      </c>
      <c r="BJ263" s="35" t="str">
        <f aca="false">IF(OR(BI263="",AR263=""),"",IF(BI263&lt;=INDEX(DELAI_ESC,AR263),1,0))</f>
        <v/>
      </c>
      <c r="BK263" s="38" t="str">
        <f aca="false">IF(AO263&lt;&gt;1,"",IF(AND(T263="",U263=""),"",MIN(T263,U263)))</f>
        <v/>
      </c>
      <c r="BL263" s="37" t="str">
        <f aca="false">IF(OR(BK263="",R263=""),"",IFERROR(ROUND(IF(OR(BK263="",R263=""),"",IF(R263&lt;BK263,"",ROUND(((NETWORKDAYS(BK263,R263,JoursFeries)-1)*(HFer-HOuv)+IF(NETWORKDAYS(R263,R263,JoursFeries),MEDIAN(MOD(R263,1),HFer,HOuv),HFer)-IF(NETWORKDAYS(BK263,BK263,JoursFeries),MEDIAN(MOD(BK263,1),HFer,HOuv),HOuv))*24,4)))/HJour,4),""))</f>
        <v/>
      </c>
      <c r="BM263" s="35" t="str">
        <f aca="false">IF(OR(AO263&lt;&gt;1,R263=""),"",IF(BD263=1,1,0))</f>
        <v/>
      </c>
      <c r="BN263" s="35" t="str">
        <f aca="false">IF(AO263&lt;&gt;1,"",IF(W263="Oui",1,0))</f>
        <v/>
      </c>
      <c r="BO263" s="35" t="str">
        <f aca="false">IF(AO263&lt;&gt;1,"",IF(X263&lt;&gt;"",1,0))</f>
        <v/>
      </c>
      <c r="BP263" s="35" t="str">
        <f aca="false">IF(AO263&lt;&gt;1,"",IF(Y263="Oui",1,0))</f>
        <v/>
      </c>
      <c r="BQ263" s="35" t="str">
        <f aca="true">IF(OR(AO263&lt;&gt;1,Z263&lt;&gt;"Oui"),"",IF(AB263="",IF(AND(AA263&lt;&gt;"",NOW()&gt;AA263),0,""),IF(AA263="","",IF(AB263&lt;=AA263,1,0))))</f>
        <v/>
      </c>
      <c r="BR263" s="38" t="str">
        <f aca="false">IF(OR(AO263&lt;&gt;1,K263&lt;&gt;"Oui",O263=""),"",IF(AC263="",O263+DORA_H_DET/24,IF(AC263-O263&lt;=DORA_H_DET/24,MIN(AC263+DORA_H_CLA/24,O263+DORA_H_DET/24),AC263+DORA_H_CLA/24)))</f>
        <v/>
      </c>
      <c r="BS263" s="35" t="str">
        <f aca="true">IF(BR263="","",IF(AD263="",IF(NOW()&gt;BR263,0,""),IF(AD263&lt;=BR263,1,0)))</f>
        <v/>
      </c>
      <c r="BT263" s="35" t="str">
        <f aca="true">IF(OR(BR263="",AD263=""),"",IF(AE263="",IF(NOW()&gt;AD263+DORA_H_INT/24,0,""),IF(AE263&lt;=AD263+DORA_H_INT/24,1,0)))</f>
        <v/>
      </c>
      <c r="BU263" s="35" t="str">
        <f aca="true">IF(OR(BR263="",AE263=""),"",IF(AF263="",IF(NOW()&gt;EDATE(AE263,DORA_M_FIN)+1,0,""),IF(AF263&lt;=EDATE(AE263,DORA_M_FIN),1,0)))</f>
        <v/>
      </c>
      <c r="BV263" s="35" t="str">
        <f aca="false">IF(BR263="","",IF(COUNT(BS263:BU263)=0,"",MIN(BS263:BU263)))</f>
        <v/>
      </c>
      <c r="BW263" s="40" t="str">
        <f aca="false">IF(AQ263&lt;&gt;1,"",IF(AND(AG263="",AH263=""),"",N(AG263)-N(AH263)))</f>
        <v/>
      </c>
      <c r="BX263" s="35" t="str">
        <f aca="true">IF(OR(AQ263&lt;&gt;1,AI263&lt;&gt;"Oui",AJ263=""),"",IF(AK263="",IF(NOW()&gt;AJ263+1,0,""),IF(AK263&lt;=AJ263,1,0)))</f>
        <v/>
      </c>
    </row>
    <row r="264" customFormat="false" ht="15" hidden="false" customHeight="false" outlineLevel="0" collapsed="false">
      <c r="B264" s="29"/>
      <c r="C264" s="29"/>
      <c r="D264" s="29"/>
      <c r="E264" s="29"/>
      <c r="F264" s="29"/>
      <c r="G264" s="29"/>
      <c r="H264" s="29"/>
      <c r="I264" s="29"/>
      <c r="J264" s="29"/>
      <c r="K264" s="29"/>
      <c r="L264" s="29"/>
      <c r="M264" s="29"/>
      <c r="N264" s="30"/>
      <c r="O264" s="30"/>
      <c r="P264" s="30"/>
      <c r="Q264" s="30"/>
      <c r="R264" s="30"/>
      <c r="S264" s="30"/>
      <c r="T264" s="30"/>
      <c r="U264" s="30"/>
      <c r="V264" s="31"/>
      <c r="W264" s="29"/>
      <c r="X264" s="29"/>
      <c r="Y264" s="29"/>
      <c r="Z264" s="29"/>
      <c r="AA264" s="30"/>
      <c r="AB264" s="30"/>
      <c r="AC264" s="30"/>
      <c r="AD264" s="30"/>
      <c r="AE264" s="30"/>
      <c r="AF264" s="32"/>
      <c r="AG264" s="33"/>
      <c r="AH264" s="33"/>
      <c r="AI264" s="29"/>
      <c r="AJ264" s="32"/>
      <c r="AK264" s="32"/>
      <c r="AL264" s="29"/>
      <c r="AN264" s="34" t="str">
        <f aca="false">IF($B264="","",IF(OR(C264="",D264="",E264="",G264="",I264="",J264="",L264="",O264="",P264=""),"Champ obligatoire manquant",IF(OR(AND(N264&lt;&gt;"",N264&gt;O264),O264&gt;P264,AND(Q264&lt;&gt;"",Q264&lt;P264),AND(R264&lt;&gt;"",R264&lt;P264),AND(S264&lt;&gt;"",S264&lt;R264),AND(S264&lt;&gt;"",R264=""),AND(T264&lt;&gt;"",T264&lt;O264),AND(U264&lt;&gt;"",U264&lt;O264)),"Chronologie incohérente",IF(AND(OR(L264="Résolu",L264="Clos"),R264=""),"Date de résolution manquante",IF(AND(L264="Clos",S264=""),"Date de clôture manquante",IF(AND(K264="Oui",AC264=""),"Classification DORA manquante","OK"))))))</f>
        <v/>
      </c>
      <c r="AO264" s="35" t="str">
        <f aca="false">IF($B264="","",IF(AND(C264="Incident",L264&lt;&gt;"Annulé"),1,0))</f>
        <v/>
      </c>
      <c r="AP264" s="35" t="str">
        <f aca="false">IF($B264="","",IF(AND(C264="Quasi-incident",L264&lt;&gt;"Annulé"),1,0))</f>
        <v/>
      </c>
      <c r="AQ264" s="35" t="str">
        <f aca="false">IF($B264="","",AO264+AP264)</f>
        <v/>
      </c>
      <c r="AR264" s="36" t="str">
        <f aca="false">IF(OR($B264="",J264=""),"",IFERROR(VALUE(LEFT(J264,1)),""))</f>
        <v/>
      </c>
      <c r="AS264" s="35" t="str">
        <f aca="false">IF(OR(AO264&lt;&gt;1,G264=""),"",IFERROR(IF(INDEX(L_SrcInterne,MATCH(G264,L_Sources,0))="Oui",1,0),""))</f>
        <v/>
      </c>
      <c r="AT264" s="37" t="str">
        <f aca="false">IF(AO264&lt;&gt;1,"",IFERROR(ROUND(IF(OR(N264="",O264=""),"",IF(O264&lt;N264,"",ROUND(((NETWORKDAYS(N264,O264,JoursFeries)-1)*(HFer-HOuv)+IF(NETWORKDAYS(O264,O264,JoursFeries),MEDIAN(MOD(O264,1),HFer,HOuv),HFer)-IF(NETWORKDAYS(N264,N264,JoursFeries),MEDIAN(MOD(N264,1),HFer,HOuv),HOuv))*24,4)))/HJour,4),""))</f>
        <v/>
      </c>
      <c r="AU264" s="37" t="str">
        <f aca="false">IF(AO264&lt;&gt;1,"",IF(OR(O264="",P264=""),"",IF(P264&lt;O264,"",ROUND(((NETWORKDAYS(O264,P264,JoursFeries)-1)*(HFer-HOuv)+IF(NETWORKDAYS(P264,P264,JoursFeries),MEDIAN(MOD(P264,1),HFer,HOuv),HFer)-IF(NETWORKDAYS(O264,O264,JoursFeries),MEDIAN(MOD(O264,1),HFer,HOuv),HOuv))*24,4))))</f>
        <v/>
      </c>
      <c r="AV264" s="37" t="str">
        <f aca="false">IF(AO264&lt;&gt;1,"",IF(OR(P264="",Q264=""),"",IF(Q264&lt;P264,"",ROUND(((NETWORKDAYS(P264,Q264,JoursFeries)-1)*(HFer-HOuv)+IF(NETWORKDAYS(Q264,Q264,JoursFeries),MEDIAN(MOD(Q264,1),HFer,HOuv),HFer)-IF(NETWORKDAYS(P264,P264,JoursFeries),MEDIAN(MOD(P264,1),HFer,HOuv),HOuv))*24,4))))</f>
        <v/>
      </c>
      <c r="AW264" s="37" t="str">
        <f aca="false">IF(AO264&lt;&gt;1,"",IFERROR(ROUND(IF(OR(P264="",R264=""),"",IF(R264&lt;P264,"",ROUND(((NETWORKDAYS(P264,R264,JoursFeries)-1)*(HFer-HOuv)+IF(NETWORKDAYS(R264,R264,JoursFeries),MEDIAN(MOD(R264,1),HFer,HOuv),HFer)-IF(NETWORKDAYS(P264,P264,JoursFeries),MEDIAN(MOD(P264,1),HFer,HOuv),HOuv))*24,4)))/HJour,4),""))</f>
        <v/>
      </c>
      <c r="AX264" s="37" t="str">
        <f aca="false">IF(AO264&lt;&gt;1,"",IFERROR(ROUND(IF(OR(P264="",S264=""),"",IF(S264&lt;P264,"",ROUND(((NETWORKDAYS(P264,S264,JoursFeries)-1)*(HFer-HOuv)+IF(NETWORKDAYS(S264,S264,JoursFeries),MEDIAN(MOD(S264,1),HFer,HOuv),HFer)-IF(NETWORKDAYS(P264,P264,JoursFeries),MEDIAN(MOD(P264,1),HFer,HOuv),HOuv))*24,4)))/HJour,4),""))</f>
        <v/>
      </c>
      <c r="AY264" s="36" t="str">
        <f aca="false">IF(OR(AO264&lt;&gt;1,AR264=""),"",INDEX(SLA_PEC,AR264))</f>
        <v/>
      </c>
      <c r="AZ264" s="35" t="str">
        <f aca="false">IF(OR(AV264="",AY264=""),"",IF(AV264&lt;=AY264,1,0))</f>
        <v/>
      </c>
      <c r="BA264" s="36" t="str">
        <f aca="false">IF(OR(AO264&lt;&gt;1,AR264=""),"",INDEX(SLA_RES,AR264))</f>
        <v/>
      </c>
      <c r="BB264" s="35" t="str">
        <f aca="false">IF(OR(AW264="",BA264=""),"",IF(AW264&lt;=BA264,1,0))</f>
        <v/>
      </c>
      <c r="BC264" s="38" t="str">
        <f aca="false">IF(OR(BA264="",P264=""),"",WORKDAY(INT(P264),BA264,JoursFeries)+MOD(P264,1))</f>
        <v/>
      </c>
      <c r="BD264" s="39" t="str">
        <f aca="false">IF(AO264&lt;&gt;1,"",IF(OR(AB264&lt;&gt;"",AD264&lt;&gt;""),4,IF(U264&lt;&gt;"",3,IF(T264&lt;&gt;"",2,1))))</f>
        <v/>
      </c>
      <c r="BE264" s="39" t="str">
        <f aca="false">IF(OR(AO264&lt;&gt;1,AR264=""),"",INDEX(NIV_REQ,AR264))</f>
        <v/>
      </c>
      <c r="BF264" s="39" t="str">
        <f aca="false">IF(BE264="","",MAX(BE264,IF(OR(K264="Oui",Z264="Oui"),4,1)))</f>
        <v/>
      </c>
      <c r="BG264" s="35" t="str">
        <f aca="false">IF(OR(BF264="",BD264=""),"",IF(BD264&gt;=BF264,1,0))</f>
        <v/>
      </c>
      <c r="BH264" s="38" t="str">
        <f aca="false">IF(BE264="","",IF(BE264&lt;2,"",IF(BE264=2,IF(AND(T264="",U264=""),"",MIN(T264,U264)),IF(U264="","",U264))))</f>
        <v/>
      </c>
      <c r="BI264" s="37" t="str">
        <f aca="false">IF(BH264="","",IF(OR(O264="",BH264=""),"",IF(BH264&lt;O264,"",ROUND(((NETWORKDAYS(O264,BH264,JoursFeries)-1)*(HFer-HOuv)+IF(NETWORKDAYS(BH264,BH264,JoursFeries),MEDIAN(MOD(BH264,1),HFer,HOuv),HFer)-IF(NETWORKDAYS(O264,O264,JoursFeries),MEDIAN(MOD(O264,1),HFer,HOuv),HOuv))*24,4))))</f>
        <v/>
      </c>
      <c r="BJ264" s="35" t="str">
        <f aca="false">IF(OR(BI264="",AR264=""),"",IF(BI264&lt;=INDEX(DELAI_ESC,AR264),1,0))</f>
        <v/>
      </c>
      <c r="BK264" s="38" t="str">
        <f aca="false">IF(AO264&lt;&gt;1,"",IF(AND(T264="",U264=""),"",MIN(T264,U264)))</f>
        <v/>
      </c>
      <c r="BL264" s="37" t="str">
        <f aca="false">IF(OR(BK264="",R264=""),"",IFERROR(ROUND(IF(OR(BK264="",R264=""),"",IF(R264&lt;BK264,"",ROUND(((NETWORKDAYS(BK264,R264,JoursFeries)-1)*(HFer-HOuv)+IF(NETWORKDAYS(R264,R264,JoursFeries),MEDIAN(MOD(R264,1),HFer,HOuv),HFer)-IF(NETWORKDAYS(BK264,BK264,JoursFeries),MEDIAN(MOD(BK264,1),HFer,HOuv),HOuv))*24,4)))/HJour,4),""))</f>
        <v/>
      </c>
      <c r="BM264" s="35" t="str">
        <f aca="false">IF(OR(AO264&lt;&gt;1,R264=""),"",IF(BD264=1,1,0))</f>
        <v/>
      </c>
      <c r="BN264" s="35" t="str">
        <f aca="false">IF(AO264&lt;&gt;1,"",IF(W264="Oui",1,0))</f>
        <v/>
      </c>
      <c r="BO264" s="35" t="str">
        <f aca="false">IF(AO264&lt;&gt;1,"",IF(X264&lt;&gt;"",1,0))</f>
        <v/>
      </c>
      <c r="BP264" s="35" t="str">
        <f aca="false">IF(AO264&lt;&gt;1,"",IF(Y264="Oui",1,0))</f>
        <v/>
      </c>
      <c r="BQ264" s="35" t="str">
        <f aca="true">IF(OR(AO264&lt;&gt;1,Z264&lt;&gt;"Oui"),"",IF(AB264="",IF(AND(AA264&lt;&gt;"",NOW()&gt;AA264),0,""),IF(AA264="","",IF(AB264&lt;=AA264,1,0))))</f>
        <v/>
      </c>
      <c r="BR264" s="38" t="str">
        <f aca="false">IF(OR(AO264&lt;&gt;1,K264&lt;&gt;"Oui",O264=""),"",IF(AC264="",O264+DORA_H_DET/24,IF(AC264-O264&lt;=DORA_H_DET/24,MIN(AC264+DORA_H_CLA/24,O264+DORA_H_DET/24),AC264+DORA_H_CLA/24)))</f>
        <v/>
      </c>
      <c r="BS264" s="35" t="str">
        <f aca="true">IF(BR264="","",IF(AD264="",IF(NOW()&gt;BR264,0,""),IF(AD264&lt;=BR264,1,0)))</f>
        <v/>
      </c>
      <c r="BT264" s="35" t="str">
        <f aca="true">IF(OR(BR264="",AD264=""),"",IF(AE264="",IF(NOW()&gt;AD264+DORA_H_INT/24,0,""),IF(AE264&lt;=AD264+DORA_H_INT/24,1,0)))</f>
        <v/>
      </c>
      <c r="BU264" s="35" t="str">
        <f aca="true">IF(OR(BR264="",AE264=""),"",IF(AF264="",IF(NOW()&gt;EDATE(AE264,DORA_M_FIN)+1,0,""),IF(AF264&lt;=EDATE(AE264,DORA_M_FIN),1,0)))</f>
        <v/>
      </c>
      <c r="BV264" s="35" t="str">
        <f aca="false">IF(BR264="","",IF(COUNT(BS264:BU264)=0,"",MIN(BS264:BU264)))</f>
        <v/>
      </c>
      <c r="BW264" s="40" t="str">
        <f aca="false">IF(AQ264&lt;&gt;1,"",IF(AND(AG264="",AH264=""),"",N(AG264)-N(AH264)))</f>
        <v/>
      </c>
      <c r="BX264" s="35" t="str">
        <f aca="true">IF(OR(AQ264&lt;&gt;1,AI264&lt;&gt;"Oui",AJ264=""),"",IF(AK264="",IF(NOW()&gt;AJ264+1,0,""),IF(AK264&lt;=AJ264,1,0)))</f>
        <v/>
      </c>
    </row>
    <row r="265" customFormat="false" ht="15" hidden="false" customHeight="false" outlineLevel="0" collapsed="false">
      <c r="B265" s="29"/>
      <c r="C265" s="29"/>
      <c r="D265" s="29"/>
      <c r="E265" s="29"/>
      <c r="F265" s="29"/>
      <c r="G265" s="29"/>
      <c r="H265" s="29"/>
      <c r="I265" s="29"/>
      <c r="J265" s="29"/>
      <c r="K265" s="29"/>
      <c r="L265" s="29"/>
      <c r="M265" s="29"/>
      <c r="N265" s="30"/>
      <c r="O265" s="30"/>
      <c r="P265" s="30"/>
      <c r="Q265" s="30"/>
      <c r="R265" s="30"/>
      <c r="S265" s="30"/>
      <c r="T265" s="30"/>
      <c r="U265" s="30"/>
      <c r="V265" s="31"/>
      <c r="W265" s="29"/>
      <c r="X265" s="29"/>
      <c r="Y265" s="29"/>
      <c r="Z265" s="29"/>
      <c r="AA265" s="30"/>
      <c r="AB265" s="30"/>
      <c r="AC265" s="30"/>
      <c r="AD265" s="30"/>
      <c r="AE265" s="30"/>
      <c r="AF265" s="32"/>
      <c r="AG265" s="33"/>
      <c r="AH265" s="33"/>
      <c r="AI265" s="29"/>
      <c r="AJ265" s="32"/>
      <c r="AK265" s="32"/>
      <c r="AL265" s="29"/>
      <c r="AN265" s="34" t="str">
        <f aca="false">IF($B265="","",IF(OR(C265="",D265="",E265="",G265="",I265="",J265="",L265="",O265="",P265=""),"Champ obligatoire manquant",IF(OR(AND(N265&lt;&gt;"",N265&gt;O265),O265&gt;P265,AND(Q265&lt;&gt;"",Q265&lt;P265),AND(R265&lt;&gt;"",R265&lt;P265),AND(S265&lt;&gt;"",S265&lt;R265),AND(S265&lt;&gt;"",R265=""),AND(T265&lt;&gt;"",T265&lt;O265),AND(U265&lt;&gt;"",U265&lt;O265)),"Chronologie incohérente",IF(AND(OR(L265="Résolu",L265="Clos"),R265=""),"Date de résolution manquante",IF(AND(L265="Clos",S265=""),"Date de clôture manquante",IF(AND(K265="Oui",AC265=""),"Classification DORA manquante","OK"))))))</f>
        <v/>
      </c>
      <c r="AO265" s="35" t="str">
        <f aca="false">IF($B265="","",IF(AND(C265="Incident",L265&lt;&gt;"Annulé"),1,0))</f>
        <v/>
      </c>
      <c r="AP265" s="35" t="str">
        <f aca="false">IF($B265="","",IF(AND(C265="Quasi-incident",L265&lt;&gt;"Annulé"),1,0))</f>
        <v/>
      </c>
      <c r="AQ265" s="35" t="str">
        <f aca="false">IF($B265="","",AO265+AP265)</f>
        <v/>
      </c>
      <c r="AR265" s="36" t="str">
        <f aca="false">IF(OR($B265="",J265=""),"",IFERROR(VALUE(LEFT(J265,1)),""))</f>
        <v/>
      </c>
      <c r="AS265" s="35" t="str">
        <f aca="false">IF(OR(AO265&lt;&gt;1,G265=""),"",IFERROR(IF(INDEX(L_SrcInterne,MATCH(G265,L_Sources,0))="Oui",1,0),""))</f>
        <v/>
      </c>
      <c r="AT265" s="37" t="str">
        <f aca="false">IF(AO265&lt;&gt;1,"",IFERROR(ROUND(IF(OR(N265="",O265=""),"",IF(O265&lt;N265,"",ROUND(((NETWORKDAYS(N265,O265,JoursFeries)-1)*(HFer-HOuv)+IF(NETWORKDAYS(O265,O265,JoursFeries),MEDIAN(MOD(O265,1),HFer,HOuv),HFer)-IF(NETWORKDAYS(N265,N265,JoursFeries),MEDIAN(MOD(N265,1),HFer,HOuv),HOuv))*24,4)))/HJour,4),""))</f>
        <v/>
      </c>
      <c r="AU265" s="37" t="str">
        <f aca="false">IF(AO265&lt;&gt;1,"",IF(OR(O265="",P265=""),"",IF(P265&lt;O265,"",ROUND(((NETWORKDAYS(O265,P265,JoursFeries)-1)*(HFer-HOuv)+IF(NETWORKDAYS(P265,P265,JoursFeries),MEDIAN(MOD(P265,1),HFer,HOuv),HFer)-IF(NETWORKDAYS(O265,O265,JoursFeries),MEDIAN(MOD(O265,1),HFer,HOuv),HOuv))*24,4))))</f>
        <v/>
      </c>
      <c r="AV265" s="37" t="str">
        <f aca="false">IF(AO265&lt;&gt;1,"",IF(OR(P265="",Q265=""),"",IF(Q265&lt;P265,"",ROUND(((NETWORKDAYS(P265,Q265,JoursFeries)-1)*(HFer-HOuv)+IF(NETWORKDAYS(Q265,Q265,JoursFeries),MEDIAN(MOD(Q265,1),HFer,HOuv),HFer)-IF(NETWORKDAYS(P265,P265,JoursFeries),MEDIAN(MOD(P265,1),HFer,HOuv),HOuv))*24,4))))</f>
        <v/>
      </c>
      <c r="AW265" s="37" t="str">
        <f aca="false">IF(AO265&lt;&gt;1,"",IFERROR(ROUND(IF(OR(P265="",R265=""),"",IF(R265&lt;P265,"",ROUND(((NETWORKDAYS(P265,R265,JoursFeries)-1)*(HFer-HOuv)+IF(NETWORKDAYS(R265,R265,JoursFeries),MEDIAN(MOD(R265,1),HFer,HOuv),HFer)-IF(NETWORKDAYS(P265,P265,JoursFeries),MEDIAN(MOD(P265,1),HFer,HOuv),HOuv))*24,4)))/HJour,4),""))</f>
        <v/>
      </c>
      <c r="AX265" s="37" t="str">
        <f aca="false">IF(AO265&lt;&gt;1,"",IFERROR(ROUND(IF(OR(P265="",S265=""),"",IF(S265&lt;P265,"",ROUND(((NETWORKDAYS(P265,S265,JoursFeries)-1)*(HFer-HOuv)+IF(NETWORKDAYS(S265,S265,JoursFeries),MEDIAN(MOD(S265,1),HFer,HOuv),HFer)-IF(NETWORKDAYS(P265,P265,JoursFeries),MEDIAN(MOD(P265,1),HFer,HOuv),HOuv))*24,4)))/HJour,4),""))</f>
        <v/>
      </c>
      <c r="AY265" s="36" t="str">
        <f aca="false">IF(OR(AO265&lt;&gt;1,AR265=""),"",INDEX(SLA_PEC,AR265))</f>
        <v/>
      </c>
      <c r="AZ265" s="35" t="str">
        <f aca="false">IF(OR(AV265="",AY265=""),"",IF(AV265&lt;=AY265,1,0))</f>
        <v/>
      </c>
      <c r="BA265" s="36" t="str">
        <f aca="false">IF(OR(AO265&lt;&gt;1,AR265=""),"",INDEX(SLA_RES,AR265))</f>
        <v/>
      </c>
      <c r="BB265" s="35" t="str">
        <f aca="false">IF(OR(AW265="",BA265=""),"",IF(AW265&lt;=BA265,1,0))</f>
        <v/>
      </c>
      <c r="BC265" s="38" t="str">
        <f aca="false">IF(OR(BA265="",P265=""),"",WORKDAY(INT(P265),BA265,JoursFeries)+MOD(P265,1))</f>
        <v/>
      </c>
      <c r="BD265" s="39" t="str">
        <f aca="false">IF(AO265&lt;&gt;1,"",IF(OR(AB265&lt;&gt;"",AD265&lt;&gt;""),4,IF(U265&lt;&gt;"",3,IF(T265&lt;&gt;"",2,1))))</f>
        <v/>
      </c>
      <c r="BE265" s="39" t="str">
        <f aca="false">IF(OR(AO265&lt;&gt;1,AR265=""),"",INDEX(NIV_REQ,AR265))</f>
        <v/>
      </c>
      <c r="BF265" s="39" t="str">
        <f aca="false">IF(BE265="","",MAX(BE265,IF(OR(K265="Oui",Z265="Oui"),4,1)))</f>
        <v/>
      </c>
      <c r="BG265" s="35" t="str">
        <f aca="false">IF(OR(BF265="",BD265=""),"",IF(BD265&gt;=BF265,1,0))</f>
        <v/>
      </c>
      <c r="BH265" s="38" t="str">
        <f aca="false">IF(BE265="","",IF(BE265&lt;2,"",IF(BE265=2,IF(AND(T265="",U265=""),"",MIN(T265,U265)),IF(U265="","",U265))))</f>
        <v/>
      </c>
      <c r="BI265" s="37" t="str">
        <f aca="false">IF(BH265="","",IF(OR(O265="",BH265=""),"",IF(BH265&lt;O265,"",ROUND(((NETWORKDAYS(O265,BH265,JoursFeries)-1)*(HFer-HOuv)+IF(NETWORKDAYS(BH265,BH265,JoursFeries),MEDIAN(MOD(BH265,1),HFer,HOuv),HFer)-IF(NETWORKDAYS(O265,O265,JoursFeries),MEDIAN(MOD(O265,1),HFer,HOuv),HOuv))*24,4))))</f>
        <v/>
      </c>
      <c r="BJ265" s="35" t="str">
        <f aca="false">IF(OR(BI265="",AR265=""),"",IF(BI265&lt;=INDEX(DELAI_ESC,AR265),1,0))</f>
        <v/>
      </c>
      <c r="BK265" s="38" t="str">
        <f aca="false">IF(AO265&lt;&gt;1,"",IF(AND(T265="",U265=""),"",MIN(T265,U265)))</f>
        <v/>
      </c>
      <c r="BL265" s="37" t="str">
        <f aca="false">IF(OR(BK265="",R265=""),"",IFERROR(ROUND(IF(OR(BK265="",R265=""),"",IF(R265&lt;BK265,"",ROUND(((NETWORKDAYS(BK265,R265,JoursFeries)-1)*(HFer-HOuv)+IF(NETWORKDAYS(R265,R265,JoursFeries),MEDIAN(MOD(R265,1),HFer,HOuv),HFer)-IF(NETWORKDAYS(BK265,BK265,JoursFeries),MEDIAN(MOD(BK265,1),HFer,HOuv),HOuv))*24,4)))/HJour,4),""))</f>
        <v/>
      </c>
      <c r="BM265" s="35" t="str">
        <f aca="false">IF(OR(AO265&lt;&gt;1,R265=""),"",IF(BD265=1,1,0))</f>
        <v/>
      </c>
      <c r="BN265" s="35" t="str">
        <f aca="false">IF(AO265&lt;&gt;1,"",IF(W265="Oui",1,0))</f>
        <v/>
      </c>
      <c r="BO265" s="35" t="str">
        <f aca="false">IF(AO265&lt;&gt;1,"",IF(X265&lt;&gt;"",1,0))</f>
        <v/>
      </c>
      <c r="BP265" s="35" t="str">
        <f aca="false">IF(AO265&lt;&gt;1,"",IF(Y265="Oui",1,0))</f>
        <v/>
      </c>
      <c r="BQ265" s="35" t="str">
        <f aca="true">IF(OR(AO265&lt;&gt;1,Z265&lt;&gt;"Oui"),"",IF(AB265="",IF(AND(AA265&lt;&gt;"",NOW()&gt;AA265),0,""),IF(AA265="","",IF(AB265&lt;=AA265,1,0))))</f>
        <v/>
      </c>
      <c r="BR265" s="38" t="str">
        <f aca="false">IF(OR(AO265&lt;&gt;1,K265&lt;&gt;"Oui",O265=""),"",IF(AC265="",O265+DORA_H_DET/24,IF(AC265-O265&lt;=DORA_H_DET/24,MIN(AC265+DORA_H_CLA/24,O265+DORA_H_DET/24),AC265+DORA_H_CLA/24)))</f>
        <v/>
      </c>
      <c r="BS265" s="35" t="str">
        <f aca="true">IF(BR265="","",IF(AD265="",IF(NOW()&gt;BR265,0,""),IF(AD265&lt;=BR265,1,0)))</f>
        <v/>
      </c>
      <c r="BT265" s="35" t="str">
        <f aca="true">IF(OR(BR265="",AD265=""),"",IF(AE265="",IF(NOW()&gt;AD265+DORA_H_INT/24,0,""),IF(AE265&lt;=AD265+DORA_H_INT/24,1,0)))</f>
        <v/>
      </c>
      <c r="BU265" s="35" t="str">
        <f aca="true">IF(OR(BR265="",AE265=""),"",IF(AF265="",IF(NOW()&gt;EDATE(AE265,DORA_M_FIN)+1,0,""),IF(AF265&lt;=EDATE(AE265,DORA_M_FIN),1,0)))</f>
        <v/>
      </c>
      <c r="BV265" s="35" t="str">
        <f aca="false">IF(BR265="","",IF(COUNT(BS265:BU265)=0,"",MIN(BS265:BU265)))</f>
        <v/>
      </c>
      <c r="BW265" s="40" t="str">
        <f aca="false">IF(AQ265&lt;&gt;1,"",IF(AND(AG265="",AH265=""),"",N(AG265)-N(AH265)))</f>
        <v/>
      </c>
      <c r="BX265" s="35" t="str">
        <f aca="true">IF(OR(AQ265&lt;&gt;1,AI265&lt;&gt;"Oui",AJ265=""),"",IF(AK265="",IF(NOW()&gt;AJ265+1,0,""),IF(AK265&lt;=AJ265,1,0)))</f>
        <v/>
      </c>
    </row>
    <row r="266" customFormat="false" ht="15" hidden="false" customHeight="false" outlineLevel="0" collapsed="false">
      <c r="B266" s="29"/>
      <c r="C266" s="29"/>
      <c r="D266" s="29"/>
      <c r="E266" s="29"/>
      <c r="F266" s="29"/>
      <c r="G266" s="29"/>
      <c r="H266" s="29"/>
      <c r="I266" s="29"/>
      <c r="J266" s="29"/>
      <c r="K266" s="29"/>
      <c r="L266" s="29"/>
      <c r="M266" s="29"/>
      <c r="N266" s="30"/>
      <c r="O266" s="30"/>
      <c r="P266" s="30"/>
      <c r="Q266" s="30"/>
      <c r="R266" s="30"/>
      <c r="S266" s="30"/>
      <c r="T266" s="30"/>
      <c r="U266" s="30"/>
      <c r="V266" s="31"/>
      <c r="W266" s="29"/>
      <c r="X266" s="29"/>
      <c r="Y266" s="29"/>
      <c r="Z266" s="29"/>
      <c r="AA266" s="30"/>
      <c r="AB266" s="30"/>
      <c r="AC266" s="30"/>
      <c r="AD266" s="30"/>
      <c r="AE266" s="30"/>
      <c r="AF266" s="32"/>
      <c r="AG266" s="33"/>
      <c r="AH266" s="33"/>
      <c r="AI266" s="29"/>
      <c r="AJ266" s="32"/>
      <c r="AK266" s="32"/>
      <c r="AL266" s="29"/>
      <c r="AN266" s="34" t="str">
        <f aca="false">IF($B266="","",IF(OR(C266="",D266="",E266="",G266="",I266="",J266="",L266="",O266="",P266=""),"Champ obligatoire manquant",IF(OR(AND(N266&lt;&gt;"",N266&gt;O266),O266&gt;P266,AND(Q266&lt;&gt;"",Q266&lt;P266),AND(R266&lt;&gt;"",R266&lt;P266),AND(S266&lt;&gt;"",S266&lt;R266),AND(S266&lt;&gt;"",R266=""),AND(T266&lt;&gt;"",T266&lt;O266),AND(U266&lt;&gt;"",U266&lt;O266)),"Chronologie incohérente",IF(AND(OR(L266="Résolu",L266="Clos"),R266=""),"Date de résolution manquante",IF(AND(L266="Clos",S266=""),"Date de clôture manquante",IF(AND(K266="Oui",AC266=""),"Classification DORA manquante","OK"))))))</f>
        <v/>
      </c>
      <c r="AO266" s="35" t="str">
        <f aca="false">IF($B266="","",IF(AND(C266="Incident",L266&lt;&gt;"Annulé"),1,0))</f>
        <v/>
      </c>
      <c r="AP266" s="35" t="str">
        <f aca="false">IF($B266="","",IF(AND(C266="Quasi-incident",L266&lt;&gt;"Annulé"),1,0))</f>
        <v/>
      </c>
      <c r="AQ266" s="35" t="str">
        <f aca="false">IF($B266="","",AO266+AP266)</f>
        <v/>
      </c>
      <c r="AR266" s="36" t="str">
        <f aca="false">IF(OR($B266="",J266=""),"",IFERROR(VALUE(LEFT(J266,1)),""))</f>
        <v/>
      </c>
      <c r="AS266" s="35" t="str">
        <f aca="false">IF(OR(AO266&lt;&gt;1,G266=""),"",IFERROR(IF(INDEX(L_SrcInterne,MATCH(G266,L_Sources,0))="Oui",1,0),""))</f>
        <v/>
      </c>
      <c r="AT266" s="37" t="str">
        <f aca="false">IF(AO266&lt;&gt;1,"",IFERROR(ROUND(IF(OR(N266="",O266=""),"",IF(O266&lt;N266,"",ROUND(((NETWORKDAYS(N266,O266,JoursFeries)-1)*(HFer-HOuv)+IF(NETWORKDAYS(O266,O266,JoursFeries),MEDIAN(MOD(O266,1),HFer,HOuv),HFer)-IF(NETWORKDAYS(N266,N266,JoursFeries),MEDIAN(MOD(N266,1),HFer,HOuv),HOuv))*24,4)))/HJour,4),""))</f>
        <v/>
      </c>
      <c r="AU266" s="37" t="str">
        <f aca="false">IF(AO266&lt;&gt;1,"",IF(OR(O266="",P266=""),"",IF(P266&lt;O266,"",ROUND(((NETWORKDAYS(O266,P266,JoursFeries)-1)*(HFer-HOuv)+IF(NETWORKDAYS(P266,P266,JoursFeries),MEDIAN(MOD(P266,1),HFer,HOuv),HFer)-IF(NETWORKDAYS(O266,O266,JoursFeries),MEDIAN(MOD(O266,1),HFer,HOuv),HOuv))*24,4))))</f>
        <v/>
      </c>
      <c r="AV266" s="37" t="str">
        <f aca="false">IF(AO266&lt;&gt;1,"",IF(OR(P266="",Q266=""),"",IF(Q266&lt;P266,"",ROUND(((NETWORKDAYS(P266,Q266,JoursFeries)-1)*(HFer-HOuv)+IF(NETWORKDAYS(Q266,Q266,JoursFeries),MEDIAN(MOD(Q266,1),HFer,HOuv),HFer)-IF(NETWORKDAYS(P266,P266,JoursFeries),MEDIAN(MOD(P266,1),HFer,HOuv),HOuv))*24,4))))</f>
        <v/>
      </c>
      <c r="AW266" s="37" t="str">
        <f aca="false">IF(AO266&lt;&gt;1,"",IFERROR(ROUND(IF(OR(P266="",R266=""),"",IF(R266&lt;P266,"",ROUND(((NETWORKDAYS(P266,R266,JoursFeries)-1)*(HFer-HOuv)+IF(NETWORKDAYS(R266,R266,JoursFeries),MEDIAN(MOD(R266,1),HFer,HOuv),HFer)-IF(NETWORKDAYS(P266,P266,JoursFeries),MEDIAN(MOD(P266,1),HFer,HOuv),HOuv))*24,4)))/HJour,4),""))</f>
        <v/>
      </c>
      <c r="AX266" s="37" t="str">
        <f aca="false">IF(AO266&lt;&gt;1,"",IFERROR(ROUND(IF(OR(P266="",S266=""),"",IF(S266&lt;P266,"",ROUND(((NETWORKDAYS(P266,S266,JoursFeries)-1)*(HFer-HOuv)+IF(NETWORKDAYS(S266,S266,JoursFeries),MEDIAN(MOD(S266,1),HFer,HOuv),HFer)-IF(NETWORKDAYS(P266,P266,JoursFeries),MEDIAN(MOD(P266,1),HFer,HOuv),HOuv))*24,4)))/HJour,4),""))</f>
        <v/>
      </c>
      <c r="AY266" s="36" t="str">
        <f aca="false">IF(OR(AO266&lt;&gt;1,AR266=""),"",INDEX(SLA_PEC,AR266))</f>
        <v/>
      </c>
      <c r="AZ266" s="35" t="str">
        <f aca="false">IF(OR(AV266="",AY266=""),"",IF(AV266&lt;=AY266,1,0))</f>
        <v/>
      </c>
      <c r="BA266" s="36" t="str">
        <f aca="false">IF(OR(AO266&lt;&gt;1,AR266=""),"",INDEX(SLA_RES,AR266))</f>
        <v/>
      </c>
      <c r="BB266" s="35" t="str">
        <f aca="false">IF(OR(AW266="",BA266=""),"",IF(AW266&lt;=BA266,1,0))</f>
        <v/>
      </c>
      <c r="BC266" s="38" t="str">
        <f aca="false">IF(OR(BA266="",P266=""),"",WORKDAY(INT(P266),BA266,JoursFeries)+MOD(P266,1))</f>
        <v/>
      </c>
      <c r="BD266" s="39" t="str">
        <f aca="false">IF(AO266&lt;&gt;1,"",IF(OR(AB266&lt;&gt;"",AD266&lt;&gt;""),4,IF(U266&lt;&gt;"",3,IF(T266&lt;&gt;"",2,1))))</f>
        <v/>
      </c>
      <c r="BE266" s="39" t="str">
        <f aca="false">IF(OR(AO266&lt;&gt;1,AR266=""),"",INDEX(NIV_REQ,AR266))</f>
        <v/>
      </c>
      <c r="BF266" s="39" t="str">
        <f aca="false">IF(BE266="","",MAX(BE266,IF(OR(K266="Oui",Z266="Oui"),4,1)))</f>
        <v/>
      </c>
      <c r="BG266" s="35" t="str">
        <f aca="false">IF(OR(BF266="",BD266=""),"",IF(BD266&gt;=BF266,1,0))</f>
        <v/>
      </c>
      <c r="BH266" s="38" t="str">
        <f aca="false">IF(BE266="","",IF(BE266&lt;2,"",IF(BE266=2,IF(AND(T266="",U266=""),"",MIN(T266,U266)),IF(U266="","",U266))))</f>
        <v/>
      </c>
      <c r="BI266" s="37" t="str">
        <f aca="false">IF(BH266="","",IF(OR(O266="",BH266=""),"",IF(BH266&lt;O266,"",ROUND(((NETWORKDAYS(O266,BH266,JoursFeries)-1)*(HFer-HOuv)+IF(NETWORKDAYS(BH266,BH266,JoursFeries),MEDIAN(MOD(BH266,1),HFer,HOuv),HFer)-IF(NETWORKDAYS(O266,O266,JoursFeries),MEDIAN(MOD(O266,1),HFer,HOuv),HOuv))*24,4))))</f>
        <v/>
      </c>
      <c r="BJ266" s="35" t="str">
        <f aca="false">IF(OR(BI266="",AR266=""),"",IF(BI266&lt;=INDEX(DELAI_ESC,AR266),1,0))</f>
        <v/>
      </c>
      <c r="BK266" s="38" t="str">
        <f aca="false">IF(AO266&lt;&gt;1,"",IF(AND(T266="",U266=""),"",MIN(T266,U266)))</f>
        <v/>
      </c>
      <c r="BL266" s="37" t="str">
        <f aca="false">IF(OR(BK266="",R266=""),"",IFERROR(ROUND(IF(OR(BK266="",R266=""),"",IF(R266&lt;BK266,"",ROUND(((NETWORKDAYS(BK266,R266,JoursFeries)-1)*(HFer-HOuv)+IF(NETWORKDAYS(R266,R266,JoursFeries),MEDIAN(MOD(R266,1),HFer,HOuv),HFer)-IF(NETWORKDAYS(BK266,BK266,JoursFeries),MEDIAN(MOD(BK266,1),HFer,HOuv),HOuv))*24,4)))/HJour,4),""))</f>
        <v/>
      </c>
      <c r="BM266" s="35" t="str">
        <f aca="false">IF(OR(AO266&lt;&gt;1,R266=""),"",IF(BD266=1,1,0))</f>
        <v/>
      </c>
      <c r="BN266" s="35" t="str">
        <f aca="false">IF(AO266&lt;&gt;1,"",IF(W266="Oui",1,0))</f>
        <v/>
      </c>
      <c r="BO266" s="35" t="str">
        <f aca="false">IF(AO266&lt;&gt;1,"",IF(X266&lt;&gt;"",1,0))</f>
        <v/>
      </c>
      <c r="BP266" s="35" t="str">
        <f aca="false">IF(AO266&lt;&gt;1,"",IF(Y266="Oui",1,0))</f>
        <v/>
      </c>
      <c r="BQ266" s="35" t="str">
        <f aca="true">IF(OR(AO266&lt;&gt;1,Z266&lt;&gt;"Oui"),"",IF(AB266="",IF(AND(AA266&lt;&gt;"",NOW()&gt;AA266),0,""),IF(AA266="","",IF(AB266&lt;=AA266,1,0))))</f>
        <v/>
      </c>
      <c r="BR266" s="38" t="str">
        <f aca="false">IF(OR(AO266&lt;&gt;1,K266&lt;&gt;"Oui",O266=""),"",IF(AC266="",O266+DORA_H_DET/24,IF(AC266-O266&lt;=DORA_H_DET/24,MIN(AC266+DORA_H_CLA/24,O266+DORA_H_DET/24),AC266+DORA_H_CLA/24)))</f>
        <v/>
      </c>
      <c r="BS266" s="35" t="str">
        <f aca="true">IF(BR266="","",IF(AD266="",IF(NOW()&gt;BR266,0,""),IF(AD266&lt;=BR266,1,0)))</f>
        <v/>
      </c>
      <c r="BT266" s="35" t="str">
        <f aca="true">IF(OR(BR266="",AD266=""),"",IF(AE266="",IF(NOW()&gt;AD266+DORA_H_INT/24,0,""),IF(AE266&lt;=AD266+DORA_H_INT/24,1,0)))</f>
        <v/>
      </c>
      <c r="BU266" s="35" t="str">
        <f aca="true">IF(OR(BR266="",AE266=""),"",IF(AF266="",IF(NOW()&gt;EDATE(AE266,DORA_M_FIN)+1,0,""),IF(AF266&lt;=EDATE(AE266,DORA_M_FIN),1,0)))</f>
        <v/>
      </c>
      <c r="BV266" s="35" t="str">
        <f aca="false">IF(BR266="","",IF(COUNT(BS266:BU266)=0,"",MIN(BS266:BU266)))</f>
        <v/>
      </c>
      <c r="BW266" s="40" t="str">
        <f aca="false">IF(AQ266&lt;&gt;1,"",IF(AND(AG266="",AH266=""),"",N(AG266)-N(AH266)))</f>
        <v/>
      </c>
      <c r="BX266" s="35" t="str">
        <f aca="true">IF(OR(AQ266&lt;&gt;1,AI266&lt;&gt;"Oui",AJ266=""),"",IF(AK266="",IF(NOW()&gt;AJ266+1,0,""),IF(AK266&lt;=AJ266,1,0)))</f>
        <v/>
      </c>
    </row>
    <row r="267" customFormat="false" ht="15" hidden="false" customHeight="false" outlineLevel="0" collapsed="false">
      <c r="B267" s="29"/>
      <c r="C267" s="29"/>
      <c r="D267" s="29"/>
      <c r="E267" s="29"/>
      <c r="F267" s="29"/>
      <c r="G267" s="29"/>
      <c r="H267" s="29"/>
      <c r="I267" s="29"/>
      <c r="J267" s="29"/>
      <c r="K267" s="29"/>
      <c r="L267" s="29"/>
      <c r="M267" s="29"/>
      <c r="N267" s="30"/>
      <c r="O267" s="30"/>
      <c r="P267" s="30"/>
      <c r="Q267" s="30"/>
      <c r="R267" s="30"/>
      <c r="S267" s="30"/>
      <c r="T267" s="30"/>
      <c r="U267" s="30"/>
      <c r="V267" s="31"/>
      <c r="W267" s="29"/>
      <c r="X267" s="29"/>
      <c r="Y267" s="29"/>
      <c r="Z267" s="29"/>
      <c r="AA267" s="30"/>
      <c r="AB267" s="30"/>
      <c r="AC267" s="30"/>
      <c r="AD267" s="30"/>
      <c r="AE267" s="30"/>
      <c r="AF267" s="32"/>
      <c r="AG267" s="33"/>
      <c r="AH267" s="33"/>
      <c r="AI267" s="29"/>
      <c r="AJ267" s="32"/>
      <c r="AK267" s="32"/>
      <c r="AL267" s="29"/>
      <c r="AN267" s="34" t="str">
        <f aca="false">IF($B267="","",IF(OR(C267="",D267="",E267="",G267="",I267="",J267="",L267="",O267="",P267=""),"Champ obligatoire manquant",IF(OR(AND(N267&lt;&gt;"",N267&gt;O267),O267&gt;P267,AND(Q267&lt;&gt;"",Q267&lt;P267),AND(R267&lt;&gt;"",R267&lt;P267),AND(S267&lt;&gt;"",S267&lt;R267),AND(S267&lt;&gt;"",R267=""),AND(T267&lt;&gt;"",T267&lt;O267),AND(U267&lt;&gt;"",U267&lt;O267)),"Chronologie incohérente",IF(AND(OR(L267="Résolu",L267="Clos"),R267=""),"Date de résolution manquante",IF(AND(L267="Clos",S267=""),"Date de clôture manquante",IF(AND(K267="Oui",AC267=""),"Classification DORA manquante","OK"))))))</f>
        <v/>
      </c>
      <c r="AO267" s="35" t="str">
        <f aca="false">IF($B267="","",IF(AND(C267="Incident",L267&lt;&gt;"Annulé"),1,0))</f>
        <v/>
      </c>
      <c r="AP267" s="35" t="str">
        <f aca="false">IF($B267="","",IF(AND(C267="Quasi-incident",L267&lt;&gt;"Annulé"),1,0))</f>
        <v/>
      </c>
      <c r="AQ267" s="35" t="str">
        <f aca="false">IF($B267="","",AO267+AP267)</f>
        <v/>
      </c>
      <c r="AR267" s="36" t="str">
        <f aca="false">IF(OR($B267="",J267=""),"",IFERROR(VALUE(LEFT(J267,1)),""))</f>
        <v/>
      </c>
      <c r="AS267" s="35" t="str">
        <f aca="false">IF(OR(AO267&lt;&gt;1,G267=""),"",IFERROR(IF(INDEX(L_SrcInterne,MATCH(G267,L_Sources,0))="Oui",1,0),""))</f>
        <v/>
      </c>
      <c r="AT267" s="37" t="str">
        <f aca="false">IF(AO267&lt;&gt;1,"",IFERROR(ROUND(IF(OR(N267="",O267=""),"",IF(O267&lt;N267,"",ROUND(((NETWORKDAYS(N267,O267,JoursFeries)-1)*(HFer-HOuv)+IF(NETWORKDAYS(O267,O267,JoursFeries),MEDIAN(MOD(O267,1),HFer,HOuv),HFer)-IF(NETWORKDAYS(N267,N267,JoursFeries),MEDIAN(MOD(N267,1),HFer,HOuv),HOuv))*24,4)))/HJour,4),""))</f>
        <v/>
      </c>
      <c r="AU267" s="37" t="str">
        <f aca="false">IF(AO267&lt;&gt;1,"",IF(OR(O267="",P267=""),"",IF(P267&lt;O267,"",ROUND(((NETWORKDAYS(O267,P267,JoursFeries)-1)*(HFer-HOuv)+IF(NETWORKDAYS(P267,P267,JoursFeries),MEDIAN(MOD(P267,1),HFer,HOuv),HFer)-IF(NETWORKDAYS(O267,O267,JoursFeries),MEDIAN(MOD(O267,1),HFer,HOuv),HOuv))*24,4))))</f>
        <v/>
      </c>
      <c r="AV267" s="37" t="str">
        <f aca="false">IF(AO267&lt;&gt;1,"",IF(OR(P267="",Q267=""),"",IF(Q267&lt;P267,"",ROUND(((NETWORKDAYS(P267,Q267,JoursFeries)-1)*(HFer-HOuv)+IF(NETWORKDAYS(Q267,Q267,JoursFeries),MEDIAN(MOD(Q267,1),HFer,HOuv),HFer)-IF(NETWORKDAYS(P267,P267,JoursFeries),MEDIAN(MOD(P267,1),HFer,HOuv),HOuv))*24,4))))</f>
        <v/>
      </c>
      <c r="AW267" s="37" t="str">
        <f aca="false">IF(AO267&lt;&gt;1,"",IFERROR(ROUND(IF(OR(P267="",R267=""),"",IF(R267&lt;P267,"",ROUND(((NETWORKDAYS(P267,R267,JoursFeries)-1)*(HFer-HOuv)+IF(NETWORKDAYS(R267,R267,JoursFeries),MEDIAN(MOD(R267,1),HFer,HOuv),HFer)-IF(NETWORKDAYS(P267,P267,JoursFeries),MEDIAN(MOD(P267,1),HFer,HOuv),HOuv))*24,4)))/HJour,4),""))</f>
        <v/>
      </c>
      <c r="AX267" s="37" t="str">
        <f aca="false">IF(AO267&lt;&gt;1,"",IFERROR(ROUND(IF(OR(P267="",S267=""),"",IF(S267&lt;P267,"",ROUND(((NETWORKDAYS(P267,S267,JoursFeries)-1)*(HFer-HOuv)+IF(NETWORKDAYS(S267,S267,JoursFeries),MEDIAN(MOD(S267,1),HFer,HOuv),HFer)-IF(NETWORKDAYS(P267,P267,JoursFeries),MEDIAN(MOD(P267,1),HFer,HOuv),HOuv))*24,4)))/HJour,4),""))</f>
        <v/>
      </c>
      <c r="AY267" s="36" t="str">
        <f aca="false">IF(OR(AO267&lt;&gt;1,AR267=""),"",INDEX(SLA_PEC,AR267))</f>
        <v/>
      </c>
      <c r="AZ267" s="35" t="str">
        <f aca="false">IF(OR(AV267="",AY267=""),"",IF(AV267&lt;=AY267,1,0))</f>
        <v/>
      </c>
      <c r="BA267" s="36" t="str">
        <f aca="false">IF(OR(AO267&lt;&gt;1,AR267=""),"",INDEX(SLA_RES,AR267))</f>
        <v/>
      </c>
      <c r="BB267" s="35" t="str">
        <f aca="false">IF(OR(AW267="",BA267=""),"",IF(AW267&lt;=BA267,1,0))</f>
        <v/>
      </c>
      <c r="BC267" s="38" t="str">
        <f aca="false">IF(OR(BA267="",P267=""),"",WORKDAY(INT(P267),BA267,JoursFeries)+MOD(P267,1))</f>
        <v/>
      </c>
      <c r="BD267" s="39" t="str">
        <f aca="false">IF(AO267&lt;&gt;1,"",IF(OR(AB267&lt;&gt;"",AD267&lt;&gt;""),4,IF(U267&lt;&gt;"",3,IF(T267&lt;&gt;"",2,1))))</f>
        <v/>
      </c>
      <c r="BE267" s="39" t="str">
        <f aca="false">IF(OR(AO267&lt;&gt;1,AR267=""),"",INDEX(NIV_REQ,AR267))</f>
        <v/>
      </c>
      <c r="BF267" s="39" t="str">
        <f aca="false">IF(BE267="","",MAX(BE267,IF(OR(K267="Oui",Z267="Oui"),4,1)))</f>
        <v/>
      </c>
      <c r="BG267" s="35" t="str">
        <f aca="false">IF(OR(BF267="",BD267=""),"",IF(BD267&gt;=BF267,1,0))</f>
        <v/>
      </c>
      <c r="BH267" s="38" t="str">
        <f aca="false">IF(BE267="","",IF(BE267&lt;2,"",IF(BE267=2,IF(AND(T267="",U267=""),"",MIN(T267,U267)),IF(U267="","",U267))))</f>
        <v/>
      </c>
      <c r="BI267" s="37" t="str">
        <f aca="false">IF(BH267="","",IF(OR(O267="",BH267=""),"",IF(BH267&lt;O267,"",ROUND(((NETWORKDAYS(O267,BH267,JoursFeries)-1)*(HFer-HOuv)+IF(NETWORKDAYS(BH267,BH267,JoursFeries),MEDIAN(MOD(BH267,1),HFer,HOuv),HFer)-IF(NETWORKDAYS(O267,O267,JoursFeries),MEDIAN(MOD(O267,1),HFer,HOuv),HOuv))*24,4))))</f>
        <v/>
      </c>
      <c r="BJ267" s="35" t="str">
        <f aca="false">IF(OR(BI267="",AR267=""),"",IF(BI267&lt;=INDEX(DELAI_ESC,AR267),1,0))</f>
        <v/>
      </c>
      <c r="BK267" s="38" t="str">
        <f aca="false">IF(AO267&lt;&gt;1,"",IF(AND(T267="",U267=""),"",MIN(T267,U267)))</f>
        <v/>
      </c>
      <c r="BL267" s="37" t="str">
        <f aca="false">IF(OR(BK267="",R267=""),"",IFERROR(ROUND(IF(OR(BK267="",R267=""),"",IF(R267&lt;BK267,"",ROUND(((NETWORKDAYS(BK267,R267,JoursFeries)-1)*(HFer-HOuv)+IF(NETWORKDAYS(R267,R267,JoursFeries),MEDIAN(MOD(R267,1),HFer,HOuv),HFer)-IF(NETWORKDAYS(BK267,BK267,JoursFeries),MEDIAN(MOD(BK267,1),HFer,HOuv),HOuv))*24,4)))/HJour,4),""))</f>
        <v/>
      </c>
      <c r="BM267" s="35" t="str">
        <f aca="false">IF(OR(AO267&lt;&gt;1,R267=""),"",IF(BD267=1,1,0))</f>
        <v/>
      </c>
      <c r="BN267" s="35" t="str">
        <f aca="false">IF(AO267&lt;&gt;1,"",IF(W267="Oui",1,0))</f>
        <v/>
      </c>
      <c r="BO267" s="35" t="str">
        <f aca="false">IF(AO267&lt;&gt;1,"",IF(X267&lt;&gt;"",1,0))</f>
        <v/>
      </c>
      <c r="BP267" s="35" t="str">
        <f aca="false">IF(AO267&lt;&gt;1,"",IF(Y267="Oui",1,0))</f>
        <v/>
      </c>
      <c r="BQ267" s="35" t="str">
        <f aca="true">IF(OR(AO267&lt;&gt;1,Z267&lt;&gt;"Oui"),"",IF(AB267="",IF(AND(AA267&lt;&gt;"",NOW()&gt;AA267),0,""),IF(AA267="","",IF(AB267&lt;=AA267,1,0))))</f>
        <v/>
      </c>
      <c r="BR267" s="38" t="str">
        <f aca="false">IF(OR(AO267&lt;&gt;1,K267&lt;&gt;"Oui",O267=""),"",IF(AC267="",O267+DORA_H_DET/24,IF(AC267-O267&lt;=DORA_H_DET/24,MIN(AC267+DORA_H_CLA/24,O267+DORA_H_DET/24),AC267+DORA_H_CLA/24)))</f>
        <v/>
      </c>
      <c r="BS267" s="35" t="str">
        <f aca="true">IF(BR267="","",IF(AD267="",IF(NOW()&gt;BR267,0,""),IF(AD267&lt;=BR267,1,0)))</f>
        <v/>
      </c>
      <c r="BT267" s="35" t="str">
        <f aca="true">IF(OR(BR267="",AD267=""),"",IF(AE267="",IF(NOW()&gt;AD267+DORA_H_INT/24,0,""),IF(AE267&lt;=AD267+DORA_H_INT/24,1,0)))</f>
        <v/>
      </c>
      <c r="BU267" s="35" t="str">
        <f aca="true">IF(OR(BR267="",AE267=""),"",IF(AF267="",IF(NOW()&gt;EDATE(AE267,DORA_M_FIN)+1,0,""),IF(AF267&lt;=EDATE(AE267,DORA_M_FIN),1,0)))</f>
        <v/>
      </c>
      <c r="BV267" s="35" t="str">
        <f aca="false">IF(BR267="","",IF(COUNT(BS267:BU267)=0,"",MIN(BS267:BU267)))</f>
        <v/>
      </c>
      <c r="BW267" s="40" t="str">
        <f aca="false">IF(AQ267&lt;&gt;1,"",IF(AND(AG267="",AH267=""),"",N(AG267)-N(AH267)))</f>
        <v/>
      </c>
      <c r="BX267" s="35" t="str">
        <f aca="true">IF(OR(AQ267&lt;&gt;1,AI267&lt;&gt;"Oui",AJ267=""),"",IF(AK267="",IF(NOW()&gt;AJ267+1,0,""),IF(AK267&lt;=AJ267,1,0)))</f>
        <v/>
      </c>
    </row>
    <row r="268" customFormat="false" ht="15" hidden="false" customHeight="false" outlineLevel="0" collapsed="false">
      <c r="B268" s="29"/>
      <c r="C268" s="29"/>
      <c r="D268" s="29"/>
      <c r="E268" s="29"/>
      <c r="F268" s="29"/>
      <c r="G268" s="29"/>
      <c r="H268" s="29"/>
      <c r="I268" s="29"/>
      <c r="J268" s="29"/>
      <c r="K268" s="29"/>
      <c r="L268" s="29"/>
      <c r="M268" s="29"/>
      <c r="N268" s="30"/>
      <c r="O268" s="30"/>
      <c r="P268" s="30"/>
      <c r="Q268" s="30"/>
      <c r="R268" s="30"/>
      <c r="S268" s="30"/>
      <c r="T268" s="30"/>
      <c r="U268" s="30"/>
      <c r="V268" s="31"/>
      <c r="W268" s="29"/>
      <c r="X268" s="29"/>
      <c r="Y268" s="29"/>
      <c r="Z268" s="29"/>
      <c r="AA268" s="30"/>
      <c r="AB268" s="30"/>
      <c r="AC268" s="30"/>
      <c r="AD268" s="30"/>
      <c r="AE268" s="30"/>
      <c r="AF268" s="32"/>
      <c r="AG268" s="33"/>
      <c r="AH268" s="33"/>
      <c r="AI268" s="29"/>
      <c r="AJ268" s="32"/>
      <c r="AK268" s="32"/>
      <c r="AL268" s="29"/>
      <c r="AN268" s="34" t="str">
        <f aca="false">IF($B268="","",IF(OR(C268="",D268="",E268="",G268="",I268="",J268="",L268="",O268="",P268=""),"Champ obligatoire manquant",IF(OR(AND(N268&lt;&gt;"",N268&gt;O268),O268&gt;P268,AND(Q268&lt;&gt;"",Q268&lt;P268),AND(R268&lt;&gt;"",R268&lt;P268),AND(S268&lt;&gt;"",S268&lt;R268),AND(S268&lt;&gt;"",R268=""),AND(T268&lt;&gt;"",T268&lt;O268),AND(U268&lt;&gt;"",U268&lt;O268)),"Chronologie incohérente",IF(AND(OR(L268="Résolu",L268="Clos"),R268=""),"Date de résolution manquante",IF(AND(L268="Clos",S268=""),"Date de clôture manquante",IF(AND(K268="Oui",AC268=""),"Classification DORA manquante","OK"))))))</f>
        <v/>
      </c>
      <c r="AO268" s="35" t="str">
        <f aca="false">IF($B268="","",IF(AND(C268="Incident",L268&lt;&gt;"Annulé"),1,0))</f>
        <v/>
      </c>
      <c r="AP268" s="35" t="str">
        <f aca="false">IF($B268="","",IF(AND(C268="Quasi-incident",L268&lt;&gt;"Annulé"),1,0))</f>
        <v/>
      </c>
      <c r="AQ268" s="35" t="str">
        <f aca="false">IF($B268="","",AO268+AP268)</f>
        <v/>
      </c>
      <c r="AR268" s="36" t="str">
        <f aca="false">IF(OR($B268="",J268=""),"",IFERROR(VALUE(LEFT(J268,1)),""))</f>
        <v/>
      </c>
      <c r="AS268" s="35" t="str">
        <f aca="false">IF(OR(AO268&lt;&gt;1,G268=""),"",IFERROR(IF(INDEX(L_SrcInterne,MATCH(G268,L_Sources,0))="Oui",1,0),""))</f>
        <v/>
      </c>
      <c r="AT268" s="37" t="str">
        <f aca="false">IF(AO268&lt;&gt;1,"",IFERROR(ROUND(IF(OR(N268="",O268=""),"",IF(O268&lt;N268,"",ROUND(((NETWORKDAYS(N268,O268,JoursFeries)-1)*(HFer-HOuv)+IF(NETWORKDAYS(O268,O268,JoursFeries),MEDIAN(MOD(O268,1),HFer,HOuv),HFer)-IF(NETWORKDAYS(N268,N268,JoursFeries),MEDIAN(MOD(N268,1),HFer,HOuv),HOuv))*24,4)))/HJour,4),""))</f>
        <v/>
      </c>
      <c r="AU268" s="37" t="str">
        <f aca="false">IF(AO268&lt;&gt;1,"",IF(OR(O268="",P268=""),"",IF(P268&lt;O268,"",ROUND(((NETWORKDAYS(O268,P268,JoursFeries)-1)*(HFer-HOuv)+IF(NETWORKDAYS(P268,P268,JoursFeries),MEDIAN(MOD(P268,1),HFer,HOuv),HFer)-IF(NETWORKDAYS(O268,O268,JoursFeries),MEDIAN(MOD(O268,1),HFer,HOuv),HOuv))*24,4))))</f>
        <v/>
      </c>
      <c r="AV268" s="37" t="str">
        <f aca="false">IF(AO268&lt;&gt;1,"",IF(OR(P268="",Q268=""),"",IF(Q268&lt;P268,"",ROUND(((NETWORKDAYS(P268,Q268,JoursFeries)-1)*(HFer-HOuv)+IF(NETWORKDAYS(Q268,Q268,JoursFeries),MEDIAN(MOD(Q268,1),HFer,HOuv),HFer)-IF(NETWORKDAYS(P268,P268,JoursFeries),MEDIAN(MOD(P268,1),HFer,HOuv),HOuv))*24,4))))</f>
        <v/>
      </c>
      <c r="AW268" s="37" t="str">
        <f aca="false">IF(AO268&lt;&gt;1,"",IFERROR(ROUND(IF(OR(P268="",R268=""),"",IF(R268&lt;P268,"",ROUND(((NETWORKDAYS(P268,R268,JoursFeries)-1)*(HFer-HOuv)+IF(NETWORKDAYS(R268,R268,JoursFeries),MEDIAN(MOD(R268,1),HFer,HOuv),HFer)-IF(NETWORKDAYS(P268,P268,JoursFeries),MEDIAN(MOD(P268,1),HFer,HOuv),HOuv))*24,4)))/HJour,4),""))</f>
        <v/>
      </c>
      <c r="AX268" s="37" t="str">
        <f aca="false">IF(AO268&lt;&gt;1,"",IFERROR(ROUND(IF(OR(P268="",S268=""),"",IF(S268&lt;P268,"",ROUND(((NETWORKDAYS(P268,S268,JoursFeries)-1)*(HFer-HOuv)+IF(NETWORKDAYS(S268,S268,JoursFeries),MEDIAN(MOD(S268,1),HFer,HOuv),HFer)-IF(NETWORKDAYS(P268,P268,JoursFeries),MEDIAN(MOD(P268,1),HFer,HOuv),HOuv))*24,4)))/HJour,4),""))</f>
        <v/>
      </c>
      <c r="AY268" s="36" t="str">
        <f aca="false">IF(OR(AO268&lt;&gt;1,AR268=""),"",INDEX(SLA_PEC,AR268))</f>
        <v/>
      </c>
      <c r="AZ268" s="35" t="str">
        <f aca="false">IF(OR(AV268="",AY268=""),"",IF(AV268&lt;=AY268,1,0))</f>
        <v/>
      </c>
      <c r="BA268" s="36" t="str">
        <f aca="false">IF(OR(AO268&lt;&gt;1,AR268=""),"",INDEX(SLA_RES,AR268))</f>
        <v/>
      </c>
      <c r="BB268" s="35" t="str">
        <f aca="false">IF(OR(AW268="",BA268=""),"",IF(AW268&lt;=BA268,1,0))</f>
        <v/>
      </c>
      <c r="BC268" s="38" t="str">
        <f aca="false">IF(OR(BA268="",P268=""),"",WORKDAY(INT(P268),BA268,JoursFeries)+MOD(P268,1))</f>
        <v/>
      </c>
      <c r="BD268" s="39" t="str">
        <f aca="false">IF(AO268&lt;&gt;1,"",IF(OR(AB268&lt;&gt;"",AD268&lt;&gt;""),4,IF(U268&lt;&gt;"",3,IF(T268&lt;&gt;"",2,1))))</f>
        <v/>
      </c>
      <c r="BE268" s="39" t="str">
        <f aca="false">IF(OR(AO268&lt;&gt;1,AR268=""),"",INDEX(NIV_REQ,AR268))</f>
        <v/>
      </c>
      <c r="BF268" s="39" t="str">
        <f aca="false">IF(BE268="","",MAX(BE268,IF(OR(K268="Oui",Z268="Oui"),4,1)))</f>
        <v/>
      </c>
      <c r="BG268" s="35" t="str">
        <f aca="false">IF(OR(BF268="",BD268=""),"",IF(BD268&gt;=BF268,1,0))</f>
        <v/>
      </c>
      <c r="BH268" s="38" t="str">
        <f aca="false">IF(BE268="","",IF(BE268&lt;2,"",IF(BE268=2,IF(AND(T268="",U268=""),"",MIN(T268,U268)),IF(U268="","",U268))))</f>
        <v/>
      </c>
      <c r="BI268" s="37" t="str">
        <f aca="false">IF(BH268="","",IF(OR(O268="",BH268=""),"",IF(BH268&lt;O268,"",ROUND(((NETWORKDAYS(O268,BH268,JoursFeries)-1)*(HFer-HOuv)+IF(NETWORKDAYS(BH268,BH268,JoursFeries),MEDIAN(MOD(BH268,1),HFer,HOuv),HFer)-IF(NETWORKDAYS(O268,O268,JoursFeries),MEDIAN(MOD(O268,1),HFer,HOuv),HOuv))*24,4))))</f>
        <v/>
      </c>
      <c r="BJ268" s="35" t="str">
        <f aca="false">IF(OR(BI268="",AR268=""),"",IF(BI268&lt;=INDEX(DELAI_ESC,AR268),1,0))</f>
        <v/>
      </c>
      <c r="BK268" s="38" t="str">
        <f aca="false">IF(AO268&lt;&gt;1,"",IF(AND(T268="",U268=""),"",MIN(T268,U268)))</f>
        <v/>
      </c>
      <c r="BL268" s="37" t="str">
        <f aca="false">IF(OR(BK268="",R268=""),"",IFERROR(ROUND(IF(OR(BK268="",R268=""),"",IF(R268&lt;BK268,"",ROUND(((NETWORKDAYS(BK268,R268,JoursFeries)-1)*(HFer-HOuv)+IF(NETWORKDAYS(R268,R268,JoursFeries),MEDIAN(MOD(R268,1),HFer,HOuv),HFer)-IF(NETWORKDAYS(BK268,BK268,JoursFeries),MEDIAN(MOD(BK268,1),HFer,HOuv),HOuv))*24,4)))/HJour,4),""))</f>
        <v/>
      </c>
      <c r="BM268" s="35" t="str">
        <f aca="false">IF(OR(AO268&lt;&gt;1,R268=""),"",IF(BD268=1,1,0))</f>
        <v/>
      </c>
      <c r="BN268" s="35" t="str">
        <f aca="false">IF(AO268&lt;&gt;1,"",IF(W268="Oui",1,0))</f>
        <v/>
      </c>
      <c r="BO268" s="35" t="str">
        <f aca="false">IF(AO268&lt;&gt;1,"",IF(X268&lt;&gt;"",1,0))</f>
        <v/>
      </c>
      <c r="BP268" s="35" t="str">
        <f aca="false">IF(AO268&lt;&gt;1,"",IF(Y268="Oui",1,0))</f>
        <v/>
      </c>
      <c r="BQ268" s="35" t="str">
        <f aca="true">IF(OR(AO268&lt;&gt;1,Z268&lt;&gt;"Oui"),"",IF(AB268="",IF(AND(AA268&lt;&gt;"",NOW()&gt;AA268),0,""),IF(AA268="","",IF(AB268&lt;=AA268,1,0))))</f>
        <v/>
      </c>
      <c r="BR268" s="38" t="str">
        <f aca="false">IF(OR(AO268&lt;&gt;1,K268&lt;&gt;"Oui",O268=""),"",IF(AC268="",O268+DORA_H_DET/24,IF(AC268-O268&lt;=DORA_H_DET/24,MIN(AC268+DORA_H_CLA/24,O268+DORA_H_DET/24),AC268+DORA_H_CLA/24)))</f>
        <v/>
      </c>
      <c r="BS268" s="35" t="str">
        <f aca="true">IF(BR268="","",IF(AD268="",IF(NOW()&gt;BR268,0,""),IF(AD268&lt;=BR268,1,0)))</f>
        <v/>
      </c>
      <c r="BT268" s="35" t="str">
        <f aca="true">IF(OR(BR268="",AD268=""),"",IF(AE268="",IF(NOW()&gt;AD268+DORA_H_INT/24,0,""),IF(AE268&lt;=AD268+DORA_H_INT/24,1,0)))</f>
        <v/>
      </c>
      <c r="BU268" s="35" t="str">
        <f aca="true">IF(OR(BR268="",AE268=""),"",IF(AF268="",IF(NOW()&gt;EDATE(AE268,DORA_M_FIN)+1,0,""),IF(AF268&lt;=EDATE(AE268,DORA_M_FIN),1,0)))</f>
        <v/>
      </c>
      <c r="BV268" s="35" t="str">
        <f aca="false">IF(BR268="","",IF(COUNT(BS268:BU268)=0,"",MIN(BS268:BU268)))</f>
        <v/>
      </c>
      <c r="BW268" s="40" t="str">
        <f aca="false">IF(AQ268&lt;&gt;1,"",IF(AND(AG268="",AH268=""),"",N(AG268)-N(AH268)))</f>
        <v/>
      </c>
      <c r="BX268" s="35" t="str">
        <f aca="true">IF(OR(AQ268&lt;&gt;1,AI268&lt;&gt;"Oui",AJ268=""),"",IF(AK268="",IF(NOW()&gt;AJ268+1,0,""),IF(AK268&lt;=AJ268,1,0)))</f>
        <v/>
      </c>
    </row>
    <row r="269" customFormat="false" ht="15" hidden="false" customHeight="false" outlineLevel="0" collapsed="false">
      <c r="B269" s="29"/>
      <c r="C269" s="29"/>
      <c r="D269" s="29"/>
      <c r="E269" s="29"/>
      <c r="F269" s="29"/>
      <c r="G269" s="29"/>
      <c r="H269" s="29"/>
      <c r="I269" s="29"/>
      <c r="J269" s="29"/>
      <c r="K269" s="29"/>
      <c r="L269" s="29"/>
      <c r="M269" s="29"/>
      <c r="N269" s="30"/>
      <c r="O269" s="30"/>
      <c r="P269" s="30"/>
      <c r="Q269" s="30"/>
      <c r="R269" s="30"/>
      <c r="S269" s="30"/>
      <c r="T269" s="30"/>
      <c r="U269" s="30"/>
      <c r="V269" s="31"/>
      <c r="W269" s="29"/>
      <c r="X269" s="29"/>
      <c r="Y269" s="29"/>
      <c r="Z269" s="29"/>
      <c r="AA269" s="30"/>
      <c r="AB269" s="30"/>
      <c r="AC269" s="30"/>
      <c r="AD269" s="30"/>
      <c r="AE269" s="30"/>
      <c r="AF269" s="32"/>
      <c r="AG269" s="33"/>
      <c r="AH269" s="33"/>
      <c r="AI269" s="29"/>
      <c r="AJ269" s="32"/>
      <c r="AK269" s="32"/>
      <c r="AL269" s="29"/>
      <c r="AN269" s="34" t="str">
        <f aca="false">IF($B269="","",IF(OR(C269="",D269="",E269="",G269="",I269="",J269="",L269="",O269="",P269=""),"Champ obligatoire manquant",IF(OR(AND(N269&lt;&gt;"",N269&gt;O269),O269&gt;P269,AND(Q269&lt;&gt;"",Q269&lt;P269),AND(R269&lt;&gt;"",R269&lt;P269),AND(S269&lt;&gt;"",S269&lt;R269),AND(S269&lt;&gt;"",R269=""),AND(T269&lt;&gt;"",T269&lt;O269),AND(U269&lt;&gt;"",U269&lt;O269)),"Chronologie incohérente",IF(AND(OR(L269="Résolu",L269="Clos"),R269=""),"Date de résolution manquante",IF(AND(L269="Clos",S269=""),"Date de clôture manquante",IF(AND(K269="Oui",AC269=""),"Classification DORA manquante","OK"))))))</f>
        <v/>
      </c>
      <c r="AO269" s="35" t="str">
        <f aca="false">IF($B269="","",IF(AND(C269="Incident",L269&lt;&gt;"Annulé"),1,0))</f>
        <v/>
      </c>
      <c r="AP269" s="35" t="str">
        <f aca="false">IF($B269="","",IF(AND(C269="Quasi-incident",L269&lt;&gt;"Annulé"),1,0))</f>
        <v/>
      </c>
      <c r="AQ269" s="35" t="str">
        <f aca="false">IF($B269="","",AO269+AP269)</f>
        <v/>
      </c>
      <c r="AR269" s="36" t="str">
        <f aca="false">IF(OR($B269="",J269=""),"",IFERROR(VALUE(LEFT(J269,1)),""))</f>
        <v/>
      </c>
      <c r="AS269" s="35" t="str">
        <f aca="false">IF(OR(AO269&lt;&gt;1,G269=""),"",IFERROR(IF(INDEX(L_SrcInterne,MATCH(G269,L_Sources,0))="Oui",1,0),""))</f>
        <v/>
      </c>
      <c r="AT269" s="37" t="str">
        <f aca="false">IF(AO269&lt;&gt;1,"",IFERROR(ROUND(IF(OR(N269="",O269=""),"",IF(O269&lt;N269,"",ROUND(((NETWORKDAYS(N269,O269,JoursFeries)-1)*(HFer-HOuv)+IF(NETWORKDAYS(O269,O269,JoursFeries),MEDIAN(MOD(O269,1),HFer,HOuv),HFer)-IF(NETWORKDAYS(N269,N269,JoursFeries),MEDIAN(MOD(N269,1),HFer,HOuv),HOuv))*24,4)))/HJour,4),""))</f>
        <v/>
      </c>
      <c r="AU269" s="37" t="str">
        <f aca="false">IF(AO269&lt;&gt;1,"",IF(OR(O269="",P269=""),"",IF(P269&lt;O269,"",ROUND(((NETWORKDAYS(O269,P269,JoursFeries)-1)*(HFer-HOuv)+IF(NETWORKDAYS(P269,P269,JoursFeries),MEDIAN(MOD(P269,1),HFer,HOuv),HFer)-IF(NETWORKDAYS(O269,O269,JoursFeries),MEDIAN(MOD(O269,1),HFer,HOuv),HOuv))*24,4))))</f>
        <v/>
      </c>
      <c r="AV269" s="37" t="str">
        <f aca="false">IF(AO269&lt;&gt;1,"",IF(OR(P269="",Q269=""),"",IF(Q269&lt;P269,"",ROUND(((NETWORKDAYS(P269,Q269,JoursFeries)-1)*(HFer-HOuv)+IF(NETWORKDAYS(Q269,Q269,JoursFeries),MEDIAN(MOD(Q269,1),HFer,HOuv),HFer)-IF(NETWORKDAYS(P269,P269,JoursFeries),MEDIAN(MOD(P269,1),HFer,HOuv),HOuv))*24,4))))</f>
        <v/>
      </c>
      <c r="AW269" s="37" t="str">
        <f aca="false">IF(AO269&lt;&gt;1,"",IFERROR(ROUND(IF(OR(P269="",R269=""),"",IF(R269&lt;P269,"",ROUND(((NETWORKDAYS(P269,R269,JoursFeries)-1)*(HFer-HOuv)+IF(NETWORKDAYS(R269,R269,JoursFeries),MEDIAN(MOD(R269,1),HFer,HOuv),HFer)-IF(NETWORKDAYS(P269,P269,JoursFeries),MEDIAN(MOD(P269,1),HFer,HOuv),HOuv))*24,4)))/HJour,4),""))</f>
        <v/>
      </c>
      <c r="AX269" s="37" t="str">
        <f aca="false">IF(AO269&lt;&gt;1,"",IFERROR(ROUND(IF(OR(P269="",S269=""),"",IF(S269&lt;P269,"",ROUND(((NETWORKDAYS(P269,S269,JoursFeries)-1)*(HFer-HOuv)+IF(NETWORKDAYS(S269,S269,JoursFeries),MEDIAN(MOD(S269,1),HFer,HOuv),HFer)-IF(NETWORKDAYS(P269,P269,JoursFeries),MEDIAN(MOD(P269,1),HFer,HOuv),HOuv))*24,4)))/HJour,4),""))</f>
        <v/>
      </c>
      <c r="AY269" s="36" t="str">
        <f aca="false">IF(OR(AO269&lt;&gt;1,AR269=""),"",INDEX(SLA_PEC,AR269))</f>
        <v/>
      </c>
      <c r="AZ269" s="35" t="str">
        <f aca="false">IF(OR(AV269="",AY269=""),"",IF(AV269&lt;=AY269,1,0))</f>
        <v/>
      </c>
      <c r="BA269" s="36" t="str">
        <f aca="false">IF(OR(AO269&lt;&gt;1,AR269=""),"",INDEX(SLA_RES,AR269))</f>
        <v/>
      </c>
      <c r="BB269" s="35" t="str">
        <f aca="false">IF(OR(AW269="",BA269=""),"",IF(AW269&lt;=BA269,1,0))</f>
        <v/>
      </c>
      <c r="BC269" s="38" t="str">
        <f aca="false">IF(OR(BA269="",P269=""),"",WORKDAY(INT(P269),BA269,JoursFeries)+MOD(P269,1))</f>
        <v/>
      </c>
      <c r="BD269" s="39" t="str">
        <f aca="false">IF(AO269&lt;&gt;1,"",IF(OR(AB269&lt;&gt;"",AD269&lt;&gt;""),4,IF(U269&lt;&gt;"",3,IF(T269&lt;&gt;"",2,1))))</f>
        <v/>
      </c>
      <c r="BE269" s="39" t="str">
        <f aca="false">IF(OR(AO269&lt;&gt;1,AR269=""),"",INDEX(NIV_REQ,AR269))</f>
        <v/>
      </c>
      <c r="BF269" s="39" t="str">
        <f aca="false">IF(BE269="","",MAX(BE269,IF(OR(K269="Oui",Z269="Oui"),4,1)))</f>
        <v/>
      </c>
      <c r="BG269" s="35" t="str">
        <f aca="false">IF(OR(BF269="",BD269=""),"",IF(BD269&gt;=BF269,1,0))</f>
        <v/>
      </c>
      <c r="BH269" s="38" t="str">
        <f aca="false">IF(BE269="","",IF(BE269&lt;2,"",IF(BE269=2,IF(AND(T269="",U269=""),"",MIN(T269,U269)),IF(U269="","",U269))))</f>
        <v/>
      </c>
      <c r="BI269" s="37" t="str">
        <f aca="false">IF(BH269="","",IF(OR(O269="",BH269=""),"",IF(BH269&lt;O269,"",ROUND(((NETWORKDAYS(O269,BH269,JoursFeries)-1)*(HFer-HOuv)+IF(NETWORKDAYS(BH269,BH269,JoursFeries),MEDIAN(MOD(BH269,1),HFer,HOuv),HFer)-IF(NETWORKDAYS(O269,O269,JoursFeries),MEDIAN(MOD(O269,1),HFer,HOuv),HOuv))*24,4))))</f>
        <v/>
      </c>
      <c r="BJ269" s="35" t="str">
        <f aca="false">IF(OR(BI269="",AR269=""),"",IF(BI269&lt;=INDEX(DELAI_ESC,AR269),1,0))</f>
        <v/>
      </c>
      <c r="BK269" s="38" t="str">
        <f aca="false">IF(AO269&lt;&gt;1,"",IF(AND(T269="",U269=""),"",MIN(T269,U269)))</f>
        <v/>
      </c>
      <c r="BL269" s="37" t="str">
        <f aca="false">IF(OR(BK269="",R269=""),"",IFERROR(ROUND(IF(OR(BK269="",R269=""),"",IF(R269&lt;BK269,"",ROUND(((NETWORKDAYS(BK269,R269,JoursFeries)-1)*(HFer-HOuv)+IF(NETWORKDAYS(R269,R269,JoursFeries),MEDIAN(MOD(R269,1),HFer,HOuv),HFer)-IF(NETWORKDAYS(BK269,BK269,JoursFeries),MEDIAN(MOD(BK269,1),HFer,HOuv),HOuv))*24,4)))/HJour,4),""))</f>
        <v/>
      </c>
      <c r="BM269" s="35" t="str">
        <f aca="false">IF(OR(AO269&lt;&gt;1,R269=""),"",IF(BD269=1,1,0))</f>
        <v/>
      </c>
      <c r="BN269" s="35" t="str">
        <f aca="false">IF(AO269&lt;&gt;1,"",IF(W269="Oui",1,0))</f>
        <v/>
      </c>
      <c r="BO269" s="35" t="str">
        <f aca="false">IF(AO269&lt;&gt;1,"",IF(X269&lt;&gt;"",1,0))</f>
        <v/>
      </c>
      <c r="BP269" s="35" t="str">
        <f aca="false">IF(AO269&lt;&gt;1,"",IF(Y269="Oui",1,0))</f>
        <v/>
      </c>
      <c r="BQ269" s="35" t="str">
        <f aca="true">IF(OR(AO269&lt;&gt;1,Z269&lt;&gt;"Oui"),"",IF(AB269="",IF(AND(AA269&lt;&gt;"",NOW()&gt;AA269),0,""),IF(AA269="","",IF(AB269&lt;=AA269,1,0))))</f>
        <v/>
      </c>
      <c r="BR269" s="38" t="str">
        <f aca="false">IF(OR(AO269&lt;&gt;1,K269&lt;&gt;"Oui",O269=""),"",IF(AC269="",O269+DORA_H_DET/24,IF(AC269-O269&lt;=DORA_H_DET/24,MIN(AC269+DORA_H_CLA/24,O269+DORA_H_DET/24),AC269+DORA_H_CLA/24)))</f>
        <v/>
      </c>
      <c r="BS269" s="35" t="str">
        <f aca="true">IF(BR269="","",IF(AD269="",IF(NOW()&gt;BR269,0,""),IF(AD269&lt;=BR269,1,0)))</f>
        <v/>
      </c>
      <c r="BT269" s="35" t="str">
        <f aca="true">IF(OR(BR269="",AD269=""),"",IF(AE269="",IF(NOW()&gt;AD269+DORA_H_INT/24,0,""),IF(AE269&lt;=AD269+DORA_H_INT/24,1,0)))</f>
        <v/>
      </c>
      <c r="BU269" s="35" t="str">
        <f aca="true">IF(OR(BR269="",AE269=""),"",IF(AF269="",IF(NOW()&gt;EDATE(AE269,DORA_M_FIN)+1,0,""),IF(AF269&lt;=EDATE(AE269,DORA_M_FIN),1,0)))</f>
        <v/>
      </c>
      <c r="BV269" s="35" t="str">
        <f aca="false">IF(BR269="","",IF(COUNT(BS269:BU269)=0,"",MIN(BS269:BU269)))</f>
        <v/>
      </c>
      <c r="BW269" s="40" t="str">
        <f aca="false">IF(AQ269&lt;&gt;1,"",IF(AND(AG269="",AH269=""),"",N(AG269)-N(AH269)))</f>
        <v/>
      </c>
      <c r="BX269" s="35" t="str">
        <f aca="true">IF(OR(AQ269&lt;&gt;1,AI269&lt;&gt;"Oui",AJ269=""),"",IF(AK269="",IF(NOW()&gt;AJ269+1,0,""),IF(AK269&lt;=AJ269,1,0)))</f>
        <v/>
      </c>
    </row>
    <row r="270" customFormat="false" ht="15" hidden="false" customHeight="false" outlineLevel="0" collapsed="false">
      <c r="B270" s="29"/>
      <c r="C270" s="29"/>
      <c r="D270" s="29"/>
      <c r="E270" s="29"/>
      <c r="F270" s="29"/>
      <c r="G270" s="29"/>
      <c r="H270" s="29"/>
      <c r="I270" s="29"/>
      <c r="J270" s="29"/>
      <c r="K270" s="29"/>
      <c r="L270" s="29"/>
      <c r="M270" s="29"/>
      <c r="N270" s="30"/>
      <c r="O270" s="30"/>
      <c r="P270" s="30"/>
      <c r="Q270" s="30"/>
      <c r="R270" s="30"/>
      <c r="S270" s="30"/>
      <c r="T270" s="30"/>
      <c r="U270" s="30"/>
      <c r="V270" s="31"/>
      <c r="W270" s="29"/>
      <c r="X270" s="29"/>
      <c r="Y270" s="29"/>
      <c r="Z270" s="29"/>
      <c r="AA270" s="30"/>
      <c r="AB270" s="30"/>
      <c r="AC270" s="30"/>
      <c r="AD270" s="30"/>
      <c r="AE270" s="30"/>
      <c r="AF270" s="32"/>
      <c r="AG270" s="33"/>
      <c r="AH270" s="33"/>
      <c r="AI270" s="29"/>
      <c r="AJ270" s="32"/>
      <c r="AK270" s="32"/>
      <c r="AL270" s="29"/>
      <c r="AN270" s="34" t="str">
        <f aca="false">IF($B270="","",IF(OR(C270="",D270="",E270="",G270="",I270="",J270="",L270="",O270="",P270=""),"Champ obligatoire manquant",IF(OR(AND(N270&lt;&gt;"",N270&gt;O270),O270&gt;P270,AND(Q270&lt;&gt;"",Q270&lt;P270),AND(R270&lt;&gt;"",R270&lt;P270),AND(S270&lt;&gt;"",S270&lt;R270),AND(S270&lt;&gt;"",R270=""),AND(T270&lt;&gt;"",T270&lt;O270),AND(U270&lt;&gt;"",U270&lt;O270)),"Chronologie incohérente",IF(AND(OR(L270="Résolu",L270="Clos"),R270=""),"Date de résolution manquante",IF(AND(L270="Clos",S270=""),"Date de clôture manquante",IF(AND(K270="Oui",AC270=""),"Classification DORA manquante","OK"))))))</f>
        <v/>
      </c>
      <c r="AO270" s="35" t="str">
        <f aca="false">IF($B270="","",IF(AND(C270="Incident",L270&lt;&gt;"Annulé"),1,0))</f>
        <v/>
      </c>
      <c r="AP270" s="35" t="str">
        <f aca="false">IF($B270="","",IF(AND(C270="Quasi-incident",L270&lt;&gt;"Annulé"),1,0))</f>
        <v/>
      </c>
      <c r="AQ270" s="35" t="str">
        <f aca="false">IF($B270="","",AO270+AP270)</f>
        <v/>
      </c>
      <c r="AR270" s="36" t="str">
        <f aca="false">IF(OR($B270="",J270=""),"",IFERROR(VALUE(LEFT(J270,1)),""))</f>
        <v/>
      </c>
      <c r="AS270" s="35" t="str">
        <f aca="false">IF(OR(AO270&lt;&gt;1,G270=""),"",IFERROR(IF(INDEX(L_SrcInterne,MATCH(G270,L_Sources,0))="Oui",1,0),""))</f>
        <v/>
      </c>
      <c r="AT270" s="37" t="str">
        <f aca="false">IF(AO270&lt;&gt;1,"",IFERROR(ROUND(IF(OR(N270="",O270=""),"",IF(O270&lt;N270,"",ROUND(((NETWORKDAYS(N270,O270,JoursFeries)-1)*(HFer-HOuv)+IF(NETWORKDAYS(O270,O270,JoursFeries),MEDIAN(MOD(O270,1),HFer,HOuv),HFer)-IF(NETWORKDAYS(N270,N270,JoursFeries),MEDIAN(MOD(N270,1),HFer,HOuv),HOuv))*24,4)))/HJour,4),""))</f>
        <v/>
      </c>
      <c r="AU270" s="37" t="str">
        <f aca="false">IF(AO270&lt;&gt;1,"",IF(OR(O270="",P270=""),"",IF(P270&lt;O270,"",ROUND(((NETWORKDAYS(O270,P270,JoursFeries)-1)*(HFer-HOuv)+IF(NETWORKDAYS(P270,P270,JoursFeries),MEDIAN(MOD(P270,1),HFer,HOuv),HFer)-IF(NETWORKDAYS(O270,O270,JoursFeries),MEDIAN(MOD(O270,1),HFer,HOuv),HOuv))*24,4))))</f>
        <v/>
      </c>
      <c r="AV270" s="37" t="str">
        <f aca="false">IF(AO270&lt;&gt;1,"",IF(OR(P270="",Q270=""),"",IF(Q270&lt;P270,"",ROUND(((NETWORKDAYS(P270,Q270,JoursFeries)-1)*(HFer-HOuv)+IF(NETWORKDAYS(Q270,Q270,JoursFeries),MEDIAN(MOD(Q270,1),HFer,HOuv),HFer)-IF(NETWORKDAYS(P270,P270,JoursFeries),MEDIAN(MOD(P270,1),HFer,HOuv),HOuv))*24,4))))</f>
        <v/>
      </c>
      <c r="AW270" s="37" t="str">
        <f aca="false">IF(AO270&lt;&gt;1,"",IFERROR(ROUND(IF(OR(P270="",R270=""),"",IF(R270&lt;P270,"",ROUND(((NETWORKDAYS(P270,R270,JoursFeries)-1)*(HFer-HOuv)+IF(NETWORKDAYS(R270,R270,JoursFeries),MEDIAN(MOD(R270,1),HFer,HOuv),HFer)-IF(NETWORKDAYS(P270,P270,JoursFeries),MEDIAN(MOD(P270,1),HFer,HOuv),HOuv))*24,4)))/HJour,4),""))</f>
        <v/>
      </c>
      <c r="AX270" s="37" t="str">
        <f aca="false">IF(AO270&lt;&gt;1,"",IFERROR(ROUND(IF(OR(P270="",S270=""),"",IF(S270&lt;P270,"",ROUND(((NETWORKDAYS(P270,S270,JoursFeries)-1)*(HFer-HOuv)+IF(NETWORKDAYS(S270,S270,JoursFeries),MEDIAN(MOD(S270,1),HFer,HOuv),HFer)-IF(NETWORKDAYS(P270,P270,JoursFeries),MEDIAN(MOD(P270,1),HFer,HOuv),HOuv))*24,4)))/HJour,4),""))</f>
        <v/>
      </c>
      <c r="AY270" s="36" t="str">
        <f aca="false">IF(OR(AO270&lt;&gt;1,AR270=""),"",INDEX(SLA_PEC,AR270))</f>
        <v/>
      </c>
      <c r="AZ270" s="35" t="str">
        <f aca="false">IF(OR(AV270="",AY270=""),"",IF(AV270&lt;=AY270,1,0))</f>
        <v/>
      </c>
      <c r="BA270" s="36" t="str">
        <f aca="false">IF(OR(AO270&lt;&gt;1,AR270=""),"",INDEX(SLA_RES,AR270))</f>
        <v/>
      </c>
      <c r="BB270" s="35" t="str">
        <f aca="false">IF(OR(AW270="",BA270=""),"",IF(AW270&lt;=BA270,1,0))</f>
        <v/>
      </c>
      <c r="BC270" s="38" t="str">
        <f aca="false">IF(OR(BA270="",P270=""),"",WORKDAY(INT(P270),BA270,JoursFeries)+MOD(P270,1))</f>
        <v/>
      </c>
      <c r="BD270" s="39" t="str">
        <f aca="false">IF(AO270&lt;&gt;1,"",IF(OR(AB270&lt;&gt;"",AD270&lt;&gt;""),4,IF(U270&lt;&gt;"",3,IF(T270&lt;&gt;"",2,1))))</f>
        <v/>
      </c>
      <c r="BE270" s="39" t="str">
        <f aca="false">IF(OR(AO270&lt;&gt;1,AR270=""),"",INDEX(NIV_REQ,AR270))</f>
        <v/>
      </c>
      <c r="BF270" s="39" t="str">
        <f aca="false">IF(BE270="","",MAX(BE270,IF(OR(K270="Oui",Z270="Oui"),4,1)))</f>
        <v/>
      </c>
      <c r="BG270" s="35" t="str">
        <f aca="false">IF(OR(BF270="",BD270=""),"",IF(BD270&gt;=BF270,1,0))</f>
        <v/>
      </c>
      <c r="BH270" s="38" t="str">
        <f aca="false">IF(BE270="","",IF(BE270&lt;2,"",IF(BE270=2,IF(AND(T270="",U270=""),"",MIN(T270,U270)),IF(U270="","",U270))))</f>
        <v/>
      </c>
      <c r="BI270" s="37" t="str">
        <f aca="false">IF(BH270="","",IF(OR(O270="",BH270=""),"",IF(BH270&lt;O270,"",ROUND(((NETWORKDAYS(O270,BH270,JoursFeries)-1)*(HFer-HOuv)+IF(NETWORKDAYS(BH270,BH270,JoursFeries),MEDIAN(MOD(BH270,1),HFer,HOuv),HFer)-IF(NETWORKDAYS(O270,O270,JoursFeries),MEDIAN(MOD(O270,1),HFer,HOuv),HOuv))*24,4))))</f>
        <v/>
      </c>
      <c r="BJ270" s="35" t="str">
        <f aca="false">IF(OR(BI270="",AR270=""),"",IF(BI270&lt;=INDEX(DELAI_ESC,AR270),1,0))</f>
        <v/>
      </c>
      <c r="BK270" s="38" t="str">
        <f aca="false">IF(AO270&lt;&gt;1,"",IF(AND(T270="",U270=""),"",MIN(T270,U270)))</f>
        <v/>
      </c>
      <c r="BL270" s="37" t="str">
        <f aca="false">IF(OR(BK270="",R270=""),"",IFERROR(ROUND(IF(OR(BK270="",R270=""),"",IF(R270&lt;BK270,"",ROUND(((NETWORKDAYS(BK270,R270,JoursFeries)-1)*(HFer-HOuv)+IF(NETWORKDAYS(R270,R270,JoursFeries),MEDIAN(MOD(R270,1),HFer,HOuv),HFer)-IF(NETWORKDAYS(BK270,BK270,JoursFeries),MEDIAN(MOD(BK270,1),HFer,HOuv),HOuv))*24,4)))/HJour,4),""))</f>
        <v/>
      </c>
      <c r="BM270" s="35" t="str">
        <f aca="false">IF(OR(AO270&lt;&gt;1,R270=""),"",IF(BD270=1,1,0))</f>
        <v/>
      </c>
      <c r="BN270" s="35" t="str">
        <f aca="false">IF(AO270&lt;&gt;1,"",IF(W270="Oui",1,0))</f>
        <v/>
      </c>
      <c r="BO270" s="35" t="str">
        <f aca="false">IF(AO270&lt;&gt;1,"",IF(X270&lt;&gt;"",1,0))</f>
        <v/>
      </c>
      <c r="BP270" s="35" t="str">
        <f aca="false">IF(AO270&lt;&gt;1,"",IF(Y270="Oui",1,0))</f>
        <v/>
      </c>
      <c r="BQ270" s="35" t="str">
        <f aca="true">IF(OR(AO270&lt;&gt;1,Z270&lt;&gt;"Oui"),"",IF(AB270="",IF(AND(AA270&lt;&gt;"",NOW()&gt;AA270),0,""),IF(AA270="","",IF(AB270&lt;=AA270,1,0))))</f>
        <v/>
      </c>
      <c r="BR270" s="38" t="str">
        <f aca="false">IF(OR(AO270&lt;&gt;1,K270&lt;&gt;"Oui",O270=""),"",IF(AC270="",O270+DORA_H_DET/24,IF(AC270-O270&lt;=DORA_H_DET/24,MIN(AC270+DORA_H_CLA/24,O270+DORA_H_DET/24),AC270+DORA_H_CLA/24)))</f>
        <v/>
      </c>
      <c r="BS270" s="35" t="str">
        <f aca="true">IF(BR270="","",IF(AD270="",IF(NOW()&gt;BR270,0,""),IF(AD270&lt;=BR270,1,0)))</f>
        <v/>
      </c>
      <c r="BT270" s="35" t="str">
        <f aca="true">IF(OR(BR270="",AD270=""),"",IF(AE270="",IF(NOW()&gt;AD270+DORA_H_INT/24,0,""),IF(AE270&lt;=AD270+DORA_H_INT/24,1,0)))</f>
        <v/>
      </c>
      <c r="BU270" s="35" t="str">
        <f aca="true">IF(OR(BR270="",AE270=""),"",IF(AF270="",IF(NOW()&gt;EDATE(AE270,DORA_M_FIN)+1,0,""),IF(AF270&lt;=EDATE(AE270,DORA_M_FIN),1,0)))</f>
        <v/>
      </c>
      <c r="BV270" s="35" t="str">
        <f aca="false">IF(BR270="","",IF(COUNT(BS270:BU270)=0,"",MIN(BS270:BU270)))</f>
        <v/>
      </c>
      <c r="BW270" s="40" t="str">
        <f aca="false">IF(AQ270&lt;&gt;1,"",IF(AND(AG270="",AH270=""),"",N(AG270)-N(AH270)))</f>
        <v/>
      </c>
      <c r="BX270" s="35" t="str">
        <f aca="true">IF(OR(AQ270&lt;&gt;1,AI270&lt;&gt;"Oui",AJ270=""),"",IF(AK270="",IF(NOW()&gt;AJ270+1,0,""),IF(AK270&lt;=AJ270,1,0)))</f>
        <v/>
      </c>
    </row>
    <row r="271" customFormat="false" ht="15" hidden="false" customHeight="false" outlineLevel="0" collapsed="false">
      <c r="B271" s="29"/>
      <c r="C271" s="29"/>
      <c r="D271" s="29"/>
      <c r="E271" s="29"/>
      <c r="F271" s="29"/>
      <c r="G271" s="29"/>
      <c r="H271" s="29"/>
      <c r="I271" s="29"/>
      <c r="J271" s="29"/>
      <c r="K271" s="29"/>
      <c r="L271" s="29"/>
      <c r="M271" s="29"/>
      <c r="N271" s="30"/>
      <c r="O271" s="30"/>
      <c r="P271" s="30"/>
      <c r="Q271" s="30"/>
      <c r="R271" s="30"/>
      <c r="S271" s="30"/>
      <c r="T271" s="30"/>
      <c r="U271" s="30"/>
      <c r="V271" s="31"/>
      <c r="W271" s="29"/>
      <c r="X271" s="29"/>
      <c r="Y271" s="29"/>
      <c r="Z271" s="29"/>
      <c r="AA271" s="30"/>
      <c r="AB271" s="30"/>
      <c r="AC271" s="30"/>
      <c r="AD271" s="30"/>
      <c r="AE271" s="30"/>
      <c r="AF271" s="32"/>
      <c r="AG271" s="33"/>
      <c r="AH271" s="33"/>
      <c r="AI271" s="29"/>
      <c r="AJ271" s="32"/>
      <c r="AK271" s="32"/>
      <c r="AL271" s="29"/>
      <c r="AN271" s="34" t="str">
        <f aca="false">IF($B271="","",IF(OR(C271="",D271="",E271="",G271="",I271="",J271="",L271="",O271="",P271=""),"Champ obligatoire manquant",IF(OR(AND(N271&lt;&gt;"",N271&gt;O271),O271&gt;P271,AND(Q271&lt;&gt;"",Q271&lt;P271),AND(R271&lt;&gt;"",R271&lt;P271),AND(S271&lt;&gt;"",S271&lt;R271),AND(S271&lt;&gt;"",R271=""),AND(T271&lt;&gt;"",T271&lt;O271),AND(U271&lt;&gt;"",U271&lt;O271)),"Chronologie incohérente",IF(AND(OR(L271="Résolu",L271="Clos"),R271=""),"Date de résolution manquante",IF(AND(L271="Clos",S271=""),"Date de clôture manquante",IF(AND(K271="Oui",AC271=""),"Classification DORA manquante","OK"))))))</f>
        <v/>
      </c>
      <c r="AO271" s="35" t="str">
        <f aca="false">IF($B271="","",IF(AND(C271="Incident",L271&lt;&gt;"Annulé"),1,0))</f>
        <v/>
      </c>
      <c r="AP271" s="35" t="str">
        <f aca="false">IF($B271="","",IF(AND(C271="Quasi-incident",L271&lt;&gt;"Annulé"),1,0))</f>
        <v/>
      </c>
      <c r="AQ271" s="35" t="str">
        <f aca="false">IF($B271="","",AO271+AP271)</f>
        <v/>
      </c>
      <c r="AR271" s="36" t="str">
        <f aca="false">IF(OR($B271="",J271=""),"",IFERROR(VALUE(LEFT(J271,1)),""))</f>
        <v/>
      </c>
      <c r="AS271" s="35" t="str">
        <f aca="false">IF(OR(AO271&lt;&gt;1,G271=""),"",IFERROR(IF(INDEX(L_SrcInterne,MATCH(G271,L_Sources,0))="Oui",1,0),""))</f>
        <v/>
      </c>
      <c r="AT271" s="37" t="str">
        <f aca="false">IF(AO271&lt;&gt;1,"",IFERROR(ROUND(IF(OR(N271="",O271=""),"",IF(O271&lt;N271,"",ROUND(((NETWORKDAYS(N271,O271,JoursFeries)-1)*(HFer-HOuv)+IF(NETWORKDAYS(O271,O271,JoursFeries),MEDIAN(MOD(O271,1),HFer,HOuv),HFer)-IF(NETWORKDAYS(N271,N271,JoursFeries),MEDIAN(MOD(N271,1),HFer,HOuv),HOuv))*24,4)))/HJour,4),""))</f>
        <v/>
      </c>
      <c r="AU271" s="37" t="str">
        <f aca="false">IF(AO271&lt;&gt;1,"",IF(OR(O271="",P271=""),"",IF(P271&lt;O271,"",ROUND(((NETWORKDAYS(O271,P271,JoursFeries)-1)*(HFer-HOuv)+IF(NETWORKDAYS(P271,P271,JoursFeries),MEDIAN(MOD(P271,1),HFer,HOuv),HFer)-IF(NETWORKDAYS(O271,O271,JoursFeries),MEDIAN(MOD(O271,1),HFer,HOuv),HOuv))*24,4))))</f>
        <v/>
      </c>
      <c r="AV271" s="37" t="str">
        <f aca="false">IF(AO271&lt;&gt;1,"",IF(OR(P271="",Q271=""),"",IF(Q271&lt;P271,"",ROUND(((NETWORKDAYS(P271,Q271,JoursFeries)-1)*(HFer-HOuv)+IF(NETWORKDAYS(Q271,Q271,JoursFeries),MEDIAN(MOD(Q271,1),HFer,HOuv),HFer)-IF(NETWORKDAYS(P271,P271,JoursFeries),MEDIAN(MOD(P271,1),HFer,HOuv),HOuv))*24,4))))</f>
        <v/>
      </c>
      <c r="AW271" s="37" t="str">
        <f aca="false">IF(AO271&lt;&gt;1,"",IFERROR(ROUND(IF(OR(P271="",R271=""),"",IF(R271&lt;P271,"",ROUND(((NETWORKDAYS(P271,R271,JoursFeries)-1)*(HFer-HOuv)+IF(NETWORKDAYS(R271,R271,JoursFeries),MEDIAN(MOD(R271,1),HFer,HOuv),HFer)-IF(NETWORKDAYS(P271,P271,JoursFeries),MEDIAN(MOD(P271,1),HFer,HOuv),HOuv))*24,4)))/HJour,4),""))</f>
        <v/>
      </c>
      <c r="AX271" s="37" t="str">
        <f aca="false">IF(AO271&lt;&gt;1,"",IFERROR(ROUND(IF(OR(P271="",S271=""),"",IF(S271&lt;P271,"",ROUND(((NETWORKDAYS(P271,S271,JoursFeries)-1)*(HFer-HOuv)+IF(NETWORKDAYS(S271,S271,JoursFeries),MEDIAN(MOD(S271,1),HFer,HOuv),HFer)-IF(NETWORKDAYS(P271,P271,JoursFeries),MEDIAN(MOD(P271,1),HFer,HOuv),HOuv))*24,4)))/HJour,4),""))</f>
        <v/>
      </c>
      <c r="AY271" s="36" t="str">
        <f aca="false">IF(OR(AO271&lt;&gt;1,AR271=""),"",INDEX(SLA_PEC,AR271))</f>
        <v/>
      </c>
      <c r="AZ271" s="35" t="str">
        <f aca="false">IF(OR(AV271="",AY271=""),"",IF(AV271&lt;=AY271,1,0))</f>
        <v/>
      </c>
      <c r="BA271" s="36" t="str">
        <f aca="false">IF(OR(AO271&lt;&gt;1,AR271=""),"",INDEX(SLA_RES,AR271))</f>
        <v/>
      </c>
      <c r="BB271" s="35" t="str">
        <f aca="false">IF(OR(AW271="",BA271=""),"",IF(AW271&lt;=BA271,1,0))</f>
        <v/>
      </c>
      <c r="BC271" s="38" t="str">
        <f aca="false">IF(OR(BA271="",P271=""),"",WORKDAY(INT(P271),BA271,JoursFeries)+MOD(P271,1))</f>
        <v/>
      </c>
      <c r="BD271" s="39" t="str">
        <f aca="false">IF(AO271&lt;&gt;1,"",IF(OR(AB271&lt;&gt;"",AD271&lt;&gt;""),4,IF(U271&lt;&gt;"",3,IF(T271&lt;&gt;"",2,1))))</f>
        <v/>
      </c>
      <c r="BE271" s="39" t="str">
        <f aca="false">IF(OR(AO271&lt;&gt;1,AR271=""),"",INDEX(NIV_REQ,AR271))</f>
        <v/>
      </c>
      <c r="BF271" s="39" t="str">
        <f aca="false">IF(BE271="","",MAX(BE271,IF(OR(K271="Oui",Z271="Oui"),4,1)))</f>
        <v/>
      </c>
      <c r="BG271" s="35" t="str">
        <f aca="false">IF(OR(BF271="",BD271=""),"",IF(BD271&gt;=BF271,1,0))</f>
        <v/>
      </c>
      <c r="BH271" s="38" t="str">
        <f aca="false">IF(BE271="","",IF(BE271&lt;2,"",IF(BE271=2,IF(AND(T271="",U271=""),"",MIN(T271,U271)),IF(U271="","",U271))))</f>
        <v/>
      </c>
      <c r="BI271" s="37" t="str">
        <f aca="false">IF(BH271="","",IF(OR(O271="",BH271=""),"",IF(BH271&lt;O271,"",ROUND(((NETWORKDAYS(O271,BH271,JoursFeries)-1)*(HFer-HOuv)+IF(NETWORKDAYS(BH271,BH271,JoursFeries),MEDIAN(MOD(BH271,1),HFer,HOuv),HFer)-IF(NETWORKDAYS(O271,O271,JoursFeries),MEDIAN(MOD(O271,1),HFer,HOuv),HOuv))*24,4))))</f>
        <v/>
      </c>
      <c r="BJ271" s="35" t="str">
        <f aca="false">IF(OR(BI271="",AR271=""),"",IF(BI271&lt;=INDEX(DELAI_ESC,AR271),1,0))</f>
        <v/>
      </c>
      <c r="BK271" s="38" t="str">
        <f aca="false">IF(AO271&lt;&gt;1,"",IF(AND(T271="",U271=""),"",MIN(T271,U271)))</f>
        <v/>
      </c>
      <c r="BL271" s="37" t="str">
        <f aca="false">IF(OR(BK271="",R271=""),"",IFERROR(ROUND(IF(OR(BK271="",R271=""),"",IF(R271&lt;BK271,"",ROUND(((NETWORKDAYS(BK271,R271,JoursFeries)-1)*(HFer-HOuv)+IF(NETWORKDAYS(R271,R271,JoursFeries),MEDIAN(MOD(R271,1),HFer,HOuv),HFer)-IF(NETWORKDAYS(BK271,BK271,JoursFeries),MEDIAN(MOD(BK271,1),HFer,HOuv),HOuv))*24,4)))/HJour,4),""))</f>
        <v/>
      </c>
      <c r="BM271" s="35" t="str">
        <f aca="false">IF(OR(AO271&lt;&gt;1,R271=""),"",IF(BD271=1,1,0))</f>
        <v/>
      </c>
      <c r="BN271" s="35" t="str">
        <f aca="false">IF(AO271&lt;&gt;1,"",IF(W271="Oui",1,0))</f>
        <v/>
      </c>
      <c r="BO271" s="35" t="str">
        <f aca="false">IF(AO271&lt;&gt;1,"",IF(X271&lt;&gt;"",1,0))</f>
        <v/>
      </c>
      <c r="BP271" s="35" t="str">
        <f aca="false">IF(AO271&lt;&gt;1,"",IF(Y271="Oui",1,0))</f>
        <v/>
      </c>
      <c r="BQ271" s="35" t="str">
        <f aca="true">IF(OR(AO271&lt;&gt;1,Z271&lt;&gt;"Oui"),"",IF(AB271="",IF(AND(AA271&lt;&gt;"",NOW()&gt;AA271),0,""),IF(AA271="","",IF(AB271&lt;=AA271,1,0))))</f>
        <v/>
      </c>
      <c r="BR271" s="38" t="str">
        <f aca="false">IF(OR(AO271&lt;&gt;1,K271&lt;&gt;"Oui",O271=""),"",IF(AC271="",O271+DORA_H_DET/24,IF(AC271-O271&lt;=DORA_H_DET/24,MIN(AC271+DORA_H_CLA/24,O271+DORA_H_DET/24),AC271+DORA_H_CLA/24)))</f>
        <v/>
      </c>
      <c r="BS271" s="35" t="str">
        <f aca="true">IF(BR271="","",IF(AD271="",IF(NOW()&gt;BR271,0,""),IF(AD271&lt;=BR271,1,0)))</f>
        <v/>
      </c>
      <c r="BT271" s="35" t="str">
        <f aca="true">IF(OR(BR271="",AD271=""),"",IF(AE271="",IF(NOW()&gt;AD271+DORA_H_INT/24,0,""),IF(AE271&lt;=AD271+DORA_H_INT/24,1,0)))</f>
        <v/>
      </c>
      <c r="BU271" s="35" t="str">
        <f aca="true">IF(OR(BR271="",AE271=""),"",IF(AF271="",IF(NOW()&gt;EDATE(AE271,DORA_M_FIN)+1,0,""),IF(AF271&lt;=EDATE(AE271,DORA_M_FIN),1,0)))</f>
        <v/>
      </c>
      <c r="BV271" s="35" t="str">
        <f aca="false">IF(BR271="","",IF(COUNT(BS271:BU271)=0,"",MIN(BS271:BU271)))</f>
        <v/>
      </c>
      <c r="BW271" s="40" t="str">
        <f aca="false">IF(AQ271&lt;&gt;1,"",IF(AND(AG271="",AH271=""),"",N(AG271)-N(AH271)))</f>
        <v/>
      </c>
      <c r="BX271" s="35" t="str">
        <f aca="true">IF(OR(AQ271&lt;&gt;1,AI271&lt;&gt;"Oui",AJ271=""),"",IF(AK271="",IF(NOW()&gt;AJ271+1,0,""),IF(AK271&lt;=AJ271,1,0)))</f>
        <v/>
      </c>
    </row>
    <row r="272" customFormat="false" ht="15" hidden="false" customHeight="false" outlineLevel="0" collapsed="false">
      <c r="B272" s="29"/>
      <c r="C272" s="29"/>
      <c r="D272" s="29"/>
      <c r="E272" s="29"/>
      <c r="F272" s="29"/>
      <c r="G272" s="29"/>
      <c r="H272" s="29"/>
      <c r="I272" s="29"/>
      <c r="J272" s="29"/>
      <c r="K272" s="29"/>
      <c r="L272" s="29"/>
      <c r="M272" s="29"/>
      <c r="N272" s="30"/>
      <c r="O272" s="30"/>
      <c r="P272" s="30"/>
      <c r="Q272" s="30"/>
      <c r="R272" s="30"/>
      <c r="S272" s="30"/>
      <c r="T272" s="30"/>
      <c r="U272" s="30"/>
      <c r="V272" s="31"/>
      <c r="W272" s="29"/>
      <c r="X272" s="29"/>
      <c r="Y272" s="29"/>
      <c r="Z272" s="29"/>
      <c r="AA272" s="30"/>
      <c r="AB272" s="30"/>
      <c r="AC272" s="30"/>
      <c r="AD272" s="30"/>
      <c r="AE272" s="30"/>
      <c r="AF272" s="32"/>
      <c r="AG272" s="33"/>
      <c r="AH272" s="33"/>
      <c r="AI272" s="29"/>
      <c r="AJ272" s="32"/>
      <c r="AK272" s="32"/>
      <c r="AL272" s="29"/>
      <c r="AN272" s="34" t="str">
        <f aca="false">IF($B272="","",IF(OR(C272="",D272="",E272="",G272="",I272="",J272="",L272="",O272="",P272=""),"Champ obligatoire manquant",IF(OR(AND(N272&lt;&gt;"",N272&gt;O272),O272&gt;P272,AND(Q272&lt;&gt;"",Q272&lt;P272),AND(R272&lt;&gt;"",R272&lt;P272),AND(S272&lt;&gt;"",S272&lt;R272),AND(S272&lt;&gt;"",R272=""),AND(T272&lt;&gt;"",T272&lt;O272),AND(U272&lt;&gt;"",U272&lt;O272)),"Chronologie incohérente",IF(AND(OR(L272="Résolu",L272="Clos"),R272=""),"Date de résolution manquante",IF(AND(L272="Clos",S272=""),"Date de clôture manquante",IF(AND(K272="Oui",AC272=""),"Classification DORA manquante","OK"))))))</f>
        <v/>
      </c>
      <c r="AO272" s="35" t="str">
        <f aca="false">IF($B272="","",IF(AND(C272="Incident",L272&lt;&gt;"Annulé"),1,0))</f>
        <v/>
      </c>
      <c r="AP272" s="35" t="str">
        <f aca="false">IF($B272="","",IF(AND(C272="Quasi-incident",L272&lt;&gt;"Annulé"),1,0))</f>
        <v/>
      </c>
      <c r="AQ272" s="35" t="str">
        <f aca="false">IF($B272="","",AO272+AP272)</f>
        <v/>
      </c>
      <c r="AR272" s="36" t="str">
        <f aca="false">IF(OR($B272="",J272=""),"",IFERROR(VALUE(LEFT(J272,1)),""))</f>
        <v/>
      </c>
      <c r="AS272" s="35" t="str">
        <f aca="false">IF(OR(AO272&lt;&gt;1,G272=""),"",IFERROR(IF(INDEX(L_SrcInterne,MATCH(G272,L_Sources,0))="Oui",1,0),""))</f>
        <v/>
      </c>
      <c r="AT272" s="37" t="str">
        <f aca="false">IF(AO272&lt;&gt;1,"",IFERROR(ROUND(IF(OR(N272="",O272=""),"",IF(O272&lt;N272,"",ROUND(((NETWORKDAYS(N272,O272,JoursFeries)-1)*(HFer-HOuv)+IF(NETWORKDAYS(O272,O272,JoursFeries),MEDIAN(MOD(O272,1),HFer,HOuv),HFer)-IF(NETWORKDAYS(N272,N272,JoursFeries),MEDIAN(MOD(N272,1),HFer,HOuv),HOuv))*24,4)))/HJour,4),""))</f>
        <v/>
      </c>
      <c r="AU272" s="37" t="str">
        <f aca="false">IF(AO272&lt;&gt;1,"",IF(OR(O272="",P272=""),"",IF(P272&lt;O272,"",ROUND(((NETWORKDAYS(O272,P272,JoursFeries)-1)*(HFer-HOuv)+IF(NETWORKDAYS(P272,P272,JoursFeries),MEDIAN(MOD(P272,1),HFer,HOuv),HFer)-IF(NETWORKDAYS(O272,O272,JoursFeries),MEDIAN(MOD(O272,1),HFer,HOuv),HOuv))*24,4))))</f>
        <v/>
      </c>
      <c r="AV272" s="37" t="str">
        <f aca="false">IF(AO272&lt;&gt;1,"",IF(OR(P272="",Q272=""),"",IF(Q272&lt;P272,"",ROUND(((NETWORKDAYS(P272,Q272,JoursFeries)-1)*(HFer-HOuv)+IF(NETWORKDAYS(Q272,Q272,JoursFeries),MEDIAN(MOD(Q272,1),HFer,HOuv),HFer)-IF(NETWORKDAYS(P272,P272,JoursFeries),MEDIAN(MOD(P272,1),HFer,HOuv),HOuv))*24,4))))</f>
        <v/>
      </c>
      <c r="AW272" s="37" t="str">
        <f aca="false">IF(AO272&lt;&gt;1,"",IFERROR(ROUND(IF(OR(P272="",R272=""),"",IF(R272&lt;P272,"",ROUND(((NETWORKDAYS(P272,R272,JoursFeries)-1)*(HFer-HOuv)+IF(NETWORKDAYS(R272,R272,JoursFeries),MEDIAN(MOD(R272,1),HFer,HOuv),HFer)-IF(NETWORKDAYS(P272,P272,JoursFeries),MEDIAN(MOD(P272,1),HFer,HOuv),HOuv))*24,4)))/HJour,4),""))</f>
        <v/>
      </c>
      <c r="AX272" s="37" t="str">
        <f aca="false">IF(AO272&lt;&gt;1,"",IFERROR(ROUND(IF(OR(P272="",S272=""),"",IF(S272&lt;P272,"",ROUND(((NETWORKDAYS(P272,S272,JoursFeries)-1)*(HFer-HOuv)+IF(NETWORKDAYS(S272,S272,JoursFeries),MEDIAN(MOD(S272,1),HFer,HOuv),HFer)-IF(NETWORKDAYS(P272,P272,JoursFeries),MEDIAN(MOD(P272,1),HFer,HOuv),HOuv))*24,4)))/HJour,4),""))</f>
        <v/>
      </c>
      <c r="AY272" s="36" t="str">
        <f aca="false">IF(OR(AO272&lt;&gt;1,AR272=""),"",INDEX(SLA_PEC,AR272))</f>
        <v/>
      </c>
      <c r="AZ272" s="35" t="str">
        <f aca="false">IF(OR(AV272="",AY272=""),"",IF(AV272&lt;=AY272,1,0))</f>
        <v/>
      </c>
      <c r="BA272" s="36" t="str">
        <f aca="false">IF(OR(AO272&lt;&gt;1,AR272=""),"",INDEX(SLA_RES,AR272))</f>
        <v/>
      </c>
      <c r="BB272" s="35" t="str">
        <f aca="false">IF(OR(AW272="",BA272=""),"",IF(AW272&lt;=BA272,1,0))</f>
        <v/>
      </c>
      <c r="BC272" s="38" t="str">
        <f aca="false">IF(OR(BA272="",P272=""),"",WORKDAY(INT(P272),BA272,JoursFeries)+MOD(P272,1))</f>
        <v/>
      </c>
      <c r="BD272" s="39" t="str">
        <f aca="false">IF(AO272&lt;&gt;1,"",IF(OR(AB272&lt;&gt;"",AD272&lt;&gt;""),4,IF(U272&lt;&gt;"",3,IF(T272&lt;&gt;"",2,1))))</f>
        <v/>
      </c>
      <c r="BE272" s="39" t="str">
        <f aca="false">IF(OR(AO272&lt;&gt;1,AR272=""),"",INDEX(NIV_REQ,AR272))</f>
        <v/>
      </c>
      <c r="BF272" s="39" t="str">
        <f aca="false">IF(BE272="","",MAX(BE272,IF(OR(K272="Oui",Z272="Oui"),4,1)))</f>
        <v/>
      </c>
      <c r="BG272" s="35" t="str">
        <f aca="false">IF(OR(BF272="",BD272=""),"",IF(BD272&gt;=BF272,1,0))</f>
        <v/>
      </c>
      <c r="BH272" s="38" t="str">
        <f aca="false">IF(BE272="","",IF(BE272&lt;2,"",IF(BE272=2,IF(AND(T272="",U272=""),"",MIN(T272,U272)),IF(U272="","",U272))))</f>
        <v/>
      </c>
      <c r="BI272" s="37" t="str">
        <f aca="false">IF(BH272="","",IF(OR(O272="",BH272=""),"",IF(BH272&lt;O272,"",ROUND(((NETWORKDAYS(O272,BH272,JoursFeries)-1)*(HFer-HOuv)+IF(NETWORKDAYS(BH272,BH272,JoursFeries),MEDIAN(MOD(BH272,1),HFer,HOuv),HFer)-IF(NETWORKDAYS(O272,O272,JoursFeries),MEDIAN(MOD(O272,1),HFer,HOuv),HOuv))*24,4))))</f>
        <v/>
      </c>
      <c r="BJ272" s="35" t="str">
        <f aca="false">IF(OR(BI272="",AR272=""),"",IF(BI272&lt;=INDEX(DELAI_ESC,AR272),1,0))</f>
        <v/>
      </c>
      <c r="BK272" s="38" t="str">
        <f aca="false">IF(AO272&lt;&gt;1,"",IF(AND(T272="",U272=""),"",MIN(T272,U272)))</f>
        <v/>
      </c>
      <c r="BL272" s="37" t="str">
        <f aca="false">IF(OR(BK272="",R272=""),"",IFERROR(ROUND(IF(OR(BK272="",R272=""),"",IF(R272&lt;BK272,"",ROUND(((NETWORKDAYS(BK272,R272,JoursFeries)-1)*(HFer-HOuv)+IF(NETWORKDAYS(R272,R272,JoursFeries),MEDIAN(MOD(R272,1),HFer,HOuv),HFer)-IF(NETWORKDAYS(BK272,BK272,JoursFeries),MEDIAN(MOD(BK272,1),HFer,HOuv),HOuv))*24,4)))/HJour,4),""))</f>
        <v/>
      </c>
      <c r="BM272" s="35" t="str">
        <f aca="false">IF(OR(AO272&lt;&gt;1,R272=""),"",IF(BD272=1,1,0))</f>
        <v/>
      </c>
      <c r="BN272" s="35" t="str">
        <f aca="false">IF(AO272&lt;&gt;1,"",IF(W272="Oui",1,0))</f>
        <v/>
      </c>
      <c r="BO272" s="35" t="str">
        <f aca="false">IF(AO272&lt;&gt;1,"",IF(X272&lt;&gt;"",1,0))</f>
        <v/>
      </c>
      <c r="BP272" s="35" t="str">
        <f aca="false">IF(AO272&lt;&gt;1,"",IF(Y272="Oui",1,0))</f>
        <v/>
      </c>
      <c r="BQ272" s="35" t="str">
        <f aca="true">IF(OR(AO272&lt;&gt;1,Z272&lt;&gt;"Oui"),"",IF(AB272="",IF(AND(AA272&lt;&gt;"",NOW()&gt;AA272),0,""),IF(AA272="","",IF(AB272&lt;=AA272,1,0))))</f>
        <v/>
      </c>
      <c r="BR272" s="38" t="str">
        <f aca="false">IF(OR(AO272&lt;&gt;1,K272&lt;&gt;"Oui",O272=""),"",IF(AC272="",O272+DORA_H_DET/24,IF(AC272-O272&lt;=DORA_H_DET/24,MIN(AC272+DORA_H_CLA/24,O272+DORA_H_DET/24),AC272+DORA_H_CLA/24)))</f>
        <v/>
      </c>
      <c r="BS272" s="35" t="str">
        <f aca="true">IF(BR272="","",IF(AD272="",IF(NOW()&gt;BR272,0,""),IF(AD272&lt;=BR272,1,0)))</f>
        <v/>
      </c>
      <c r="BT272" s="35" t="str">
        <f aca="true">IF(OR(BR272="",AD272=""),"",IF(AE272="",IF(NOW()&gt;AD272+DORA_H_INT/24,0,""),IF(AE272&lt;=AD272+DORA_H_INT/24,1,0)))</f>
        <v/>
      </c>
      <c r="BU272" s="35" t="str">
        <f aca="true">IF(OR(BR272="",AE272=""),"",IF(AF272="",IF(NOW()&gt;EDATE(AE272,DORA_M_FIN)+1,0,""),IF(AF272&lt;=EDATE(AE272,DORA_M_FIN),1,0)))</f>
        <v/>
      </c>
      <c r="BV272" s="35" t="str">
        <f aca="false">IF(BR272="","",IF(COUNT(BS272:BU272)=0,"",MIN(BS272:BU272)))</f>
        <v/>
      </c>
      <c r="BW272" s="40" t="str">
        <f aca="false">IF(AQ272&lt;&gt;1,"",IF(AND(AG272="",AH272=""),"",N(AG272)-N(AH272)))</f>
        <v/>
      </c>
      <c r="BX272" s="35" t="str">
        <f aca="true">IF(OR(AQ272&lt;&gt;1,AI272&lt;&gt;"Oui",AJ272=""),"",IF(AK272="",IF(NOW()&gt;AJ272+1,0,""),IF(AK272&lt;=AJ272,1,0)))</f>
        <v/>
      </c>
    </row>
    <row r="273" customFormat="false" ht="15" hidden="false" customHeight="false" outlineLevel="0" collapsed="false">
      <c r="B273" s="29"/>
      <c r="C273" s="29"/>
      <c r="D273" s="29"/>
      <c r="E273" s="29"/>
      <c r="F273" s="29"/>
      <c r="G273" s="29"/>
      <c r="H273" s="29"/>
      <c r="I273" s="29"/>
      <c r="J273" s="29"/>
      <c r="K273" s="29"/>
      <c r="L273" s="29"/>
      <c r="M273" s="29"/>
      <c r="N273" s="30"/>
      <c r="O273" s="30"/>
      <c r="P273" s="30"/>
      <c r="Q273" s="30"/>
      <c r="R273" s="30"/>
      <c r="S273" s="30"/>
      <c r="T273" s="30"/>
      <c r="U273" s="30"/>
      <c r="V273" s="31"/>
      <c r="W273" s="29"/>
      <c r="X273" s="29"/>
      <c r="Y273" s="29"/>
      <c r="Z273" s="29"/>
      <c r="AA273" s="30"/>
      <c r="AB273" s="30"/>
      <c r="AC273" s="30"/>
      <c r="AD273" s="30"/>
      <c r="AE273" s="30"/>
      <c r="AF273" s="32"/>
      <c r="AG273" s="33"/>
      <c r="AH273" s="33"/>
      <c r="AI273" s="29"/>
      <c r="AJ273" s="32"/>
      <c r="AK273" s="32"/>
      <c r="AL273" s="29"/>
      <c r="AN273" s="34" t="str">
        <f aca="false">IF($B273="","",IF(OR(C273="",D273="",E273="",G273="",I273="",J273="",L273="",O273="",P273=""),"Champ obligatoire manquant",IF(OR(AND(N273&lt;&gt;"",N273&gt;O273),O273&gt;P273,AND(Q273&lt;&gt;"",Q273&lt;P273),AND(R273&lt;&gt;"",R273&lt;P273),AND(S273&lt;&gt;"",S273&lt;R273),AND(S273&lt;&gt;"",R273=""),AND(T273&lt;&gt;"",T273&lt;O273),AND(U273&lt;&gt;"",U273&lt;O273)),"Chronologie incohérente",IF(AND(OR(L273="Résolu",L273="Clos"),R273=""),"Date de résolution manquante",IF(AND(L273="Clos",S273=""),"Date de clôture manquante",IF(AND(K273="Oui",AC273=""),"Classification DORA manquante","OK"))))))</f>
        <v/>
      </c>
      <c r="AO273" s="35" t="str">
        <f aca="false">IF($B273="","",IF(AND(C273="Incident",L273&lt;&gt;"Annulé"),1,0))</f>
        <v/>
      </c>
      <c r="AP273" s="35" t="str">
        <f aca="false">IF($B273="","",IF(AND(C273="Quasi-incident",L273&lt;&gt;"Annulé"),1,0))</f>
        <v/>
      </c>
      <c r="AQ273" s="35" t="str">
        <f aca="false">IF($B273="","",AO273+AP273)</f>
        <v/>
      </c>
      <c r="AR273" s="36" t="str">
        <f aca="false">IF(OR($B273="",J273=""),"",IFERROR(VALUE(LEFT(J273,1)),""))</f>
        <v/>
      </c>
      <c r="AS273" s="35" t="str">
        <f aca="false">IF(OR(AO273&lt;&gt;1,G273=""),"",IFERROR(IF(INDEX(L_SrcInterne,MATCH(G273,L_Sources,0))="Oui",1,0),""))</f>
        <v/>
      </c>
      <c r="AT273" s="37" t="str">
        <f aca="false">IF(AO273&lt;&gt;1,"",IFERROR(ROUND(IF(OR(N273="",O273=""),"",IF(O273&lt;N273,"",ROUND(((NETWORKDAYS(N273,O273,JoursFeries)-1)*(HFer-HOuv)+IF(NETWORKDAYS(O273,O273,JoursFeries),MEDIAN(MOD(O273,1),HFer,HOuv),HFer)-IF(NETWORKDAYS(N273,N273,JoursFeries),MEDIAN(MOD(N273,1),HFer,HOuv),HOuv))*24,4)))/HJour,4),""))</f>
        <v/>
      </c>
      <c r="AU273" s="37" t="str">
        <f aca="false">IF(AO273&lt;&gt;1,"",IF(OR(O273="",P273=""),"",IF(P273&lt;O273,"",ROUND(((NETWORKDAYS(O273,P273,JoursFeries)-1)*(HFer-HOuv)+IF(NETWORKDAYS(P273,P273,JoursFeries),MEDIAN(MOD(P273,1),HFer,HOuv),HFer)-IF(NETWORKDAYS(O273,O273,JoursFeries),MEDIAN(MOD(O273,1),HFer,HOuv),HOuv))*24,4))))</f>
        <v/>
      </c>
      <c r="AV273" s="37" t="str">
        <f aca="false">IF(AO273&lt;&gt;1,"",IF(OR(P273="",Q273=""),"",IF(Q273&lt;P273,"",ROUND(((NETWORKDAYS(P273,Q273,JoursFeries)-1)*(HFer-HOuv)+IF(NETWORKDAYS(Q273,Q273,JoursFeries),MEDIAN(MOD(Q273,1),HFer,HOuv),HFer)-IF(NETWORKDAYS(P273,P273,JoursFeries),MEDIAN(MOD(P273,1),HFer,HOuv),HOuv))*24,4))))</f>
        <v/>
      </c>
      <c r="AW273" s="37" t="str">
        <f aca="false">IF(AO273&lt;&gt;1,"",IFERROR(ROUND(IF(OR(P273="",R273=""),"",IF(R273&lt;P273,"",ROUND(((NETWORKDAYS(P273,R273,JoursFeries)-1)*(HFer-HOuv)+IF(NETWORKDAYS(R273,R273,JoursFeries),MEDIAN(MOD(R273,1),HFer,HOuv),HFer)-IF(NETWORKDAYS(P273,P273,JoursFeries),MEDIAN(MOD(P273,1),HFer,HOuv),HOuv))*24,4)))/HJour,4),""))</f>
        <v/>
      </c>
      <c r="AX273" s="37" t="str">
        <f aca="false">IF(AO273&lt;&gt;1,"",IFERROR(ROUND(IF(OR(P273="",S273=""),"",IF(S273&lt;P273,"",ROUND(((NETWORKDAYS(P273,S273,JoursFeries)-1)*(HFer-HOuv)+IF(NETWORKDAYS(S273,S273,JoursFeries),MEDIAN(MOD(S273,1),HFer,HOuv),HFer)-IF(NETWORKDAYS(P273,P273,JoursFeries),MEDIAN(MOD(P273,1),HFer,HOuv),HOuv))*24,4)))/HJour,4),""))</f>
        <v/>
      </c>
      <c r="AY273" s="36" t="str">
        <f aca="false">IF(OR(AO273&lt;&gt;1,AR273=""),"",INDEX(SLA_PEC,AR273))</f>
        <v/>
      </c>
      <c r="AZ273" s="35" t="str">
        <f aca="false">IF(OR(AV273="",AY273=""),"",IF(AV273&lt;=AY273,1,0))</f>
        <v/>
      </c>
      <c r="BA273" s="36" t="str">
        <f aca="false">IF(OR(AO273&lt;&gt;1,AR273=""),"",INDEX(SLA_RES,AR273))</f>
        <v/>
      </c>
      <c r="BB273" s="35" t="str">
        <f aca="false">IF(OR(AW273="",BA273=""),"",IF(AW273&lt;=BA273,1,0))</f>
        <v/>
      </c>
      <c r="BC273" s="38" t="str">
        <f aca="false">IF(OR(BA273="",P273=""),"",WORKDAY(INT(P273),BA273,JoursFeries)+MOD(P273,1))</f>
        <v/>
      </c>
      <c r="BD273" s="39" t="str">
        <f aca="false">IF(AO273&lt;&gt;1,"",IF(OR(AB273&lt;&gt;"",AD273&lt;&gt;""),4,IF(U273&lt;&gt;"",3,IF(T273&lt;&gt;"",2,1))))</f>
        <v/>
      </c>
      <c r="BE273" s="39" t="str">
        <f aca="false">IF(OR(AO273&lt;&gt;1,AR273=""),"",INDEX(NIV_REQ,AR273))</f>
        <v/>
      </c>
      <c r="BF273" s="39" t="str">
        <f aca="false">IF(BE273="","",MAX(BE273,IF(OR(K273="Oui",Z273="Oui"),4,1)))</f>
        <v/>
      </c>
      <c r="BG273" s="35" t="str">
        <f aca="false">IF(OR(BF273="",BD273=""),"",IF(BD273&gt;=BF273,1,0))</f>
        <v/>
      </c>
      <c r="BH273" s="38" t="str">
        <f aca="false">IF(BE273="","",IF(BE273&lt;2,"",IF(BE273=2,IF(AND(T273="",U273=""),"",MIN(T273,U273)),IF(U273="","",U273))))</f>
        <v/>
      </c>
      <c r="BI273" s="37" t="str">
        <f aca="false">IF(BH273="","",IF(OR(O273="",BH273=""),"",IF(BH273&lt;O273,"",ROUND(((NETWORKDAYS(O273,BH273,JoursFeries)-1)*(HFer-HOuv)+IF(NETWORKDAYS(BH273,BH273,JoursFeries),MEDIAN(MOD(BH273,1),HFer,HOuv),HFer)-IF(NETWORKDAYS(O273,O273,JoursFeries),MEDIAN(MOD(O273,1),HFer,HOuv),HOuv))*24,4))))</f>
        <v/>
      </c>
      <c r="BJ273" s="35" t="str">
        <f aca="false">IF(OR(BI273="",AR273=""),"",IF(BI273&lt;=INDEX(DELAI_ESC,AR273),1,0))</f>
        <v/>
      </c>
      <c r="BK273" s="38" t="str">
        <f aca="false">IF(AO273&lt;&gt;1,"",IF(AND(T273="",U273=""),"",MIN(T273,U273)))</f>
        <v/>
      </c>
      <c r="BL273" s="37" t="str">
        <f aca="false">IF(OR(BK273="",R273=""),"",IFERROR(ROUND(IF(OR(BK273="",R273=""),"",IF(R273&lt;BK273,"",ROUND(((NETWORKDAYS(BK273,R273,JoursFeries)-1)*(HFer-HOuv)+IF(NETWORKDAYS(R273,R273,JoursFeries),MEDIAN(MOD(R273,1),HFer,HOuv),HFer)-IF(NETWORKDAYS(BK273,BK273,JoursFeries),MEDIAN(MOD(BK273,1),HFer,HOuv),HOuv))*24,4)))/HJour,4),""))</f>
        <v/>
      </c>
      <c r="BM273" s="35" t="str">
        <f aca="false">IF(OR(AO273&lt;&gt;1,R273=""),"",IF(BD273=1,1,0))</f>
        <v/>
      </c>
      <c r="BN273" s="35" t="str">
        <f aca="false">IF(AO273&lt;&gt;1,"",IF(W273="Oui",1,0))</f>
        <v/>
      </c>
      <c r="BO273" s="35" t="str">
        <f aca="false">IF(AO273&lt;&gt;1,"",IF(X273&lt;&gt;"",1,0))</f>
        <v/>
      </c>
      <c r="BP273" s="35" t="str">
        <f aca="false">IF(AO273&lt;&gt;1,"",IF(Y273="Oui",1,0))</f>
        <v/>
      </c>
      <c r="BQ273" s="35" t="str">
        <f aca="true">IF(OR(AO273&lt;&gt;1,Z273&lt;&gt;"Oui"),"",IF(AB273="",IF(AND(AA273&lt;&gt;"",NOW()&gt;AA273),0,""),IF(AA273="","",IF(AB273&lt;=AA273,1,0))))</f>
        <v/>
      </c>
      <c r="BR273" s="38" t="str">
        <f aca="false">IF(OR(AO273&lt;&gt;1,K273&lt;&gt;"Oui",O273=""),"",IF(AC273="",O273+DORA_H_DET/24,IF(AC273-O273&lt;=DORA_H_DET/24,MIN(AC273+DORA_H_CLA/24,O273+DORA_H_DET/24),AC273+DORA_H_CLA/24)))</f>
        <v/>
      </c>
      <c r="BS273" s="35" t="str">
        <f aca="true">IF(BR273="","",IF(AD273="",IF(NOW()&gt;BR273,0,""),IF(AD273&lt;=BR273,1,0)))</f>
        <v/>
      </c>
      <c r="BT273" s="35" t="str">
        <f aca="true">IF(OR(BR273="",AD273=""),"",IF(AE273="",IF(NOW()&gt;AD273+DORA_H_INT/24,0,""),IF(AE273&lt;=AD273+DORA_H_INT/24,1,0)))</f>
        <v/>
      </c>
      <c r="BU273" s="35" t="str">
        <f aca="true">IF(OR(BR273="",AE273=""),"",IF(AF273="",IF(NOW()&gt;EDATE(AE273,DORA_M_FIN)+1,0,""),IF(AF273&lt;=EDATE(AE273,DORA_M_FIN),1,0)))</f>
        <v/>
      </c>
      <c r="BV273" s="35" t="str">
        <f aca="false">IF(BR273="","",IF(COUNT(BS273:BU273)=0,"",MIN(BS273:BU273)))</f>
        <v/>
      </c>
      <c r="BW273" s="40" t="str">
        <f aca="false">IF(AQ273&lt;&gt;1,"",IF(AND(AG273="",AH273=""),"",N(AG273)-N(AH273)))</f>
        <v/>
      </c>
      <c r="BX273" s="35" t="str">
        <f aca="true">IF(OR(AQ273&lt;&gt;1,AI273&lt;&gt;"Oui",AJ273=""),"",IF(AK273="",IF(NOW()&gt;AJ273+1,0,""),IF(AK273&lt;=AJ273,1,0)))</f>
        <v/>
      </c>
    </row>
    <row r="274" customFormat="false" ht="15" hidden="false" customHeight="false" outlineLevel="0" collapsed="false">
      <c r="B274" s="29"/>
      <c r="C274" s="29"/>
      <c r="D274" s="29"/>
      <c r="E274" s="29"/>
      <c r="F274" s="29"/>
      <c r="G274" s="29"/>
      <c r="H274" s="29"/>
      <c r="I274" s="29"/>
      <c r="J274" s="29"/>
      <c r="K274" s="29"/>
      <c r="L274" s="29"/>
      <c r="M274" s="29"/>
      <c r="N274" s="30"/>
      <c r="O274" s="30"/>
      <c r="P274" s="30"/>
      <c r="Q274" s="30"/>
      <c r="R274" s="30"/>
      <c r="S274" s="30"/>
      <c r="T274" s="30"/>
      <c r="U274" s="30"/>
      <c r="V274" s="31"/>
      <c r="W274" s="29"/>
      <c r="X274" s="29"/>
      <c r="Y274" s="29"/>
      <c r="Z274" s="29"/>
      <c r="AA274" s="30"/>
      <c r="AB274" s="30"/>
      <c r="AC274" s="30"/>
      <c r="AD274" s="30"/>
      <c r="AE274" s="30"/>
      <c r="AF274" s="32"/>
      <c r="AG274" s="33"/>
      <c r="AH274" s="33"/>
      <c r="AI274" s="29"/>
      <c r="AJ274" s="32"/>
      <c r="AK274" s="32"/>
      <c r="AL274" s="29"/>
      <c r="AN274" s="34" t="str">
        <f aca="false">IF($B274="","",IF(OR(C274="",D274="",E274="",G274="",I274="",J274="",L274="",O274="",P274=""),"Champ obligatoire manquant",IF(OR(AND(N274&lt;&gt;"",N274&gt;O274),O274&gt;P274,AND(Q274&lt;&gt;"",Q274&lt;P274),AND(R274&lt;&gt;"",R274&lt;P274),AND(S274&lt;&gt;"",S274&lt;R274),AND(S274&lt;&gt;"",R274=""),AND(T274&lt;&gt;"",T274&lt;O274),AND(U274&lt;&gt;"",U274&lt;O274)),"Chronologie incohérente",IF(AND(OR(L274="Résolu",L274="Clos"),R274=""),"Date de résolution manquante",IF(AND(L274="Clos",S274=""),"Date de clôture manquante",IF(AND(K274="Oui",AC274=""),"Classification DORA manquante","OK"))))))</f>
        <v/>
      </c>
      <c r="AO274" s="35" t="str">
        <f aca="false">IF($B274="","",IF(AND(C274="Incident",L274&lt;&gt;"Annulé"),1,0))</f>
        <v/>
      </c>
      <c r="AP274" s="35" t="str">
        <f aca="false">IF($B274="","",IF(AND(C274="Quasi-incident",L274&lt;&gt;"Annulé"),1,0))</f>
        <v/>
      </c>
      <c r="AQ274" s="35" t="str">
        <f aca="false">IF($B274="","",AO274+AP274)</f>
        <v/>
      </c>
      <c r="AR274" s="36" t="str">
        <f aca="false">IF(OR($B274="",J274=""),"",IFERROR(VALUE(LEFT(J274,1)),""))</f>
        <v/>
      </c>
      <c r="AS274" s="35" t="str">
        <f aca="false">IF(OR(AO274&lt;&gt;1,G274=""),"",IFERROR(IF(INDEX(L_SrcInterne,MATCH(G274,L_Sources,0))="Oui",1,0),""))</f>
        <v/>
      </c>
      <c r="AT274" s="37" t="str">
        <f aca="false">IF(AO274&lt;&gt;1,"",IFERROR(ROUND(IF(OR(N274="",O274=""),"",IF(O274&lt;N274,"",ROUND(((NETWORKDAYS(N274,O274,JoursFeries)-1)*(HFer-HOuv)+IF(NETWORKDAYS(O274,O274,JoursFeries),MEDIAN(MOD(O274,1),HFer,HOuv),HFer)-IF(NETWORKDAYS(N274,N274,JoursFeries),MEDIAN(MOD(N274,1),HFer,HOuv),HOuv))*24,4)))/HJour,4),""))</f>
        <v/>
      </c>
      <c r="AU274" s="37" t="str">
        <f aca="false">IF(AO274&lt;&gt;1,"",IF(OR(O274="",P274=""),"",IF(P274&lt;O274,"",ROUND(((NETWORKDAYS(O274,P274,JoursFeries)-1)*(HFer-HOuv)+IF(NETWORKDAYS(P274,P274,JoursFeries),MEDIAN(MOD(P274,1),HFer,HOuv),HFer)-IF(NETWORKDAYS(O274,O274,JoursFeries),MEDIAN(MOD(O274,1),HFer,HOuv),HOuv))*24,4))))</f>
        <v/>
      </c>
      <c r="AV274" s="37" t="str">
        <f aca="false">IF(AO274&lt;&gt;1,"",IF(OR(P274="",Q274=""),"",IF(Q274&lt;P274,"",ROUND(((NETWORKDAYS(P274,Q274,JoursFeries)-1)*(HFer-HOuv)+IF(NETWORKDAYS(Q274,Q274,JoursFeries),MEDIAN(MOD(Q274,1),HFer,HOuv),HFer)-IF(NETWORKDAYS(P274,P274,JoursFeries),MEDIAN(MOD(P274,1),HFer,HOuv),HOuv))*24,4))))</f>
        <v/>
      </c>
      <c r="AW274" s="37" t="str">
        <f aca="false">IF(AO274&lt;&gt;1,"",IFERROR(ROUND(IF(OR(P274="",R274=""),"",IF(R274&lt;P274,"",ROUND(((NETWORKDAYS(P274,R274,JoursFeries)-1)*(HFer-HOuv)+IF(NETWORKDAYS(R274,R274,JoursFeries),MEDIAN(MOD(R274,1),HFer,HOuv),HFer)-IF(NETWORKDAYS(P274,P274,JoursFeries),MEDIAN(MOD(P274,1),HFer,HOuv),HOuv))*24,4)))/HJour,4),""))</f>
        <v/>
      </c>
      <c r="AX274" s="37" t="str">
        <f aca="false">IF(AO274&lt;&gt;1,"",IFERROR(ROUND(IF(OR(P274="",S274=""),"",IF(S274&lt;P274,"",ROUND(((NETWORKDAYS(P274,S274,JoursFeries)-1)*(HFer-HOuv)+IF(NETWORKDAYS(S274,S274,JoursFeries),MEDIAN(MOD(S274,1),HFer,HOuv),HFer)-IF(NETWORKDAYS(P274,P274,JoursFeries),MEDIAN(MOD(P274,1),HFer,HOuv),HOuv))*24,4)))/HJour,4),""))</f>
        <v/>
      </c>
      <c r="AY274" s="36" t="str">
        <f aca="false">IF(OR(AO274&lt;&gt;1,AR274=""),"",INDEX(SLA_PEC,AR274))</f>
        <v/>
      </c>
      <c r="AZ274" s="35" t="str">
        <f aca="false">IF(OR(AV274="",AY274=""),"",IF(AV274&lt;=AY274,1,0))</f>
        <v/>
      </c>
      <c r="BA274" s="36" t="str">
        <f aca="false">IF(OR(AO274&lt;&gt;1,AR274=""),"",INDEX(SLA_RES,AR274))</f>
        <v/>
      </c>
      <c r="BB274" s="35" t="str">
        <f aca="false">IF(OR(AW274="",BA274=""),"",IF(AW274&lt;=BA274,1,0))</f>
        <v/>
      </c>
      <c r="BC274" s="38" t="str">
        <f aca="false">IF(OR(BA274="",P274=""),"",WORKDAY(INT(P274),BA274,JoursFeries)+MOD(P274,1))</f>
        <v/>
      </c>
      <c r="BD274" s="39" t="str">
        <f aca="false">IF(AO274&lt;&gt;1,"",IF(OR(AB274&lt;&gt;"",AD274&lt;&gt;""),4,IF(U274&lt;&gt;"",3,IF(T274&lt;&gt;"",2,1))))</f>
        <v/>
      </c>
      <c r="BE274" s="39" t="str">
        <f aca="false">IF(OR(AO274&lt;&gt;1,AR274=""),"",INDEX(NIV_REQ,AR274))</f>
        <v/>
      </c>
      <c r="BF274" s="39" t="str">
        <f aca="false">IF(BE274="","",MAX(BE274,IF(OR(K274="Oui",Z274="Oui"),4,1)))</f>
        <v/>
      </c>
      <c r="BG274" s="35" t="str">
        <f aca="false">IF(OR(BF274="",BD274=""),"",IF(BD274&gt;=BF274,1,0))</f>
        <v/>
      </c>
      <c r="BH274" s="38" t="str">
        <f aca="false">IF(BE274="","",IF(BE274&lt;2,"",IF(BE274=2,IF(AND(T274="",U274=""),"",MIN(T274,U274)),IF(U274="","",U274))))</f>
        <v/>
      </c>
      <c r="BI274" s="37" t="str">
        <f aca="false">IF(BH274="","",IF(OR(O274="",BH274=""),"",IF(BH274&lt;O274,"",ROUND(((NETWORKDAYS(O274,BH274,JoursFeries)-1)*(HFer-HOuv)+IF(NETWORKDAYS(BH274,BH274,JoursFeries),MEDIAN(MOD(BH274,1),HFer,HOuv),HFer)-IF(NETWORKDAYS(O274,O274,JoursFeries),MEDIAN(MOD(O274,1),HFer,HOuv),HOuv))*24,4))))</f>
        <v/>
      </c>
      <c r="BJ274" s="35" t="str">
        <f aca="false">IF(OR(BI274="",AR274=""),"",IF(BI274&lt;=INDEX(DELAI_ESC,AR274),1,0))</f>
        <v/>
      </c>
      <c r="BK274" s="38" t="str">
        <f aca="false">IF(AO274&lt;&gt;1,"",IF(AND(T274="",U274=""),"",MIN(T274,U274)))</f>
        <v/>
      </c>
      <c r="BL274" s="37" t="str">
        <f aca="false">IF(OR(BK274="",R274=""),"",IFERROR(ROUND(IF(OR(BK274="",R274=""),"",IF(R274&lt;BK274,"",ROUND(((NETWORKDAYS(BK274,R274,JoursFeries)-1)*(HFer-HOuv)+IF(NETWORKDAYS(R274,R274,JoursFeries),MEDIAN(MOD(R274,1),HFer,HOuv),HFer)-IF(NETWORKDAYS(BK274,BK274,JoursFeries),MEDIAN(MOD(BK274,1),HFer,HOuv),HOuv))*24,4)))/HJour,4),""))</f>
        <v/>
      </c>
      <c r="BM274" s="35" t="str">
        <f aca="false">IF(OR(AO274&lt;&gt;1,R274=""),"",IF(BD274=1,1,0))</f>
        <v/>
      </c>
      <c r="BN274" s="35" t="str">
        <f aca="false">IF(AO274&lt;&gt;1,"",IF(W274="Oui",1,0))</f>
        <v/>
      </c>
      <c r="BO274" s="35" t="str">
        <f aca="false">IF(AO274&lt;&gt;1,"",IF(X274&lt;&gt;"",1,0))</f>
        <v/>
      </c>
      <c r="BP274" s="35" t="str">
        <f aca="false">IF(AO274&lt;&gt;1,"",IF(Y274="Oui",1,0))</f>
        <v/>
      </c>
      <c r="BQ274" s="35" t="str">
        <f aca="true">IF(OR(AO274&lt;&gt;1,Z274&lt;&gt;"Oui"),"",IF(AB274="",IF(AND(AA274&lt;&gt;"",NOW()&gt;AA274),0,""),IF(AA274="","",IF(AB274&lt;=AA274,1,0))))</f>
        <v/>
      </c>
      <c r="BR274" s="38" t="str">
        <f aca="false">IF(OR(AO274&lt;&gt;1,K274&lt;&gt;"Oui",O274=""),"",IF(AC274="",O274+DORA_H_DET/24,IF(AC274-O274&lt;=DORA_H_DET/24,MIN(AC274+DORA_H_CLA/24,O274+DORA_H_DET/24),AC274+DORA_H_CLA/24)))</f>
        <v/>
      </c>
      <c r="BS274" s="35" t="str">
        <f aca="true">IF(BR274="","",IF(AD274="",IF(NOW()&gt;BR274,0,""),IF(AD274&lt;=BR274,1,0)))</f>
        <v/>
      </c>
      <c r="BT274" s="35" t="str">
        <f aca="true">IF(OR(BR274="",AD274=""),"",IF(AE274="",IF(NOW()&gt;AD274+DORA_H_INT/24,0,""),IF(AE274&lt;=AD274+DORA_H_INT/24,1,0)))</f>
        <v/>
      </c>
      <c r="BU274" s="35" t="str">
        <f aca="true">IF(OR(BR274="",AE274=""),"",IF(AF274="",IF(NOW()&gt;EDATE(AE274,DORA_M_FIN)+1,0,""),IF(AF274&lt;=EDATE(AE274,DORA_M_FIN),1,0)))</f>
        <v/>
      </c>
      <c r="BV274" s="35" t="str">
        <f aca="false">IF(BR274="","",IF(COUNT(BS274:BU274)=0,"",MIN(BS274:BU274)))</f>
        <v/>
      </c>
      <c r="BW274" s="40" t="str">
        <f aca="false">IF(AQ274&lt;&gt;1,"",IF(AND(AG274="",AH274=""),"",N(AG274)-N(AH274)))</f>
        <v/>
      </c>
      <c r="BX274" s="35" t="str">
        <f aca="true">IF(OR(AQ274&lt;&gt;1,AI274&lt;&gt;"Oui",AJ274=""),"",IF(AK274="",IF(NOW()&gt;AJ274+1,0,""),IF(AK274&lt;=AJ274,1,0)))</f>
        <v/>
      </c>
    </row>
    <row r="275" customFormat="false" ht="15" hidden="false" customHeight="false" outlineLevel="0" collapsed="false">
      <c r="B275" s="29"/>
      <c r="C275" s="29"/>
      <c r="D275" s="29"/>
      <c r="E275" s="29"/>
      <c r="F275" s="29"/>
      <c r="G275" s="29"/>
      <c r="H275" s="29"/>
      <c r="I275" s="29"/>
      <c r="J275" s="29"/>
      <c r="K275" s="29"/>
      <c r="L275" s="29"/>
      <c r="M275" s="29"/>
      <c r="N275" s="30"/>
      <c r="O275" s="30"/>
      <c r="P275" s="30"/>
      <c r="Q275" s="30"/>
      <c r="R275" s="30"/>
      <c r="S275" s="30"/>
      <c r="T275" s="30"/>
      <c r="U275" s="30"/>
      <c r="V275" s="31"/>
      <c r="W275" s="29"/>
      <c r="X275" s="29"/>
      <c r="Y275" s="29"/>
      <c r="Z275" s="29"/>
      <c r="AA275" s="30"/>
      <c r="AB275" s="30"/>
      <c r="AC275" s="30"/>
      <c r="AD275" s="30"/>
      <c r="AE275" s="30"/>
      <c r="AF275" s="32"/>
      <c r="AG275" s="33"/>
      <c r="AH275" s="33"/>
      <c r="AI275" s="29"/>
      <c r="AJ275" s="32"/>
      <c r="AK275" s="32"/>
      <c r="AL275" s="29"/>
      <c r="AN275" s="34" t="str">
        <f aca="false">IF($B275="","",IF(OR(C275="",D275="",E275="",G275="",I275="",J275="",L275="",O275="",P275=""),"Champ obligatoire manquant",IF(OR(AND(N275&lt;&gt;"",N275&gt;O275),O275&gt;P275,AND(Q275&lt;&gt;"",Q275&lt;P275),AND(R275&lt;&gt;"",R275&lt;P275),AND(S275&lt;&gt;"",S275&lt;R275),AND(S275&lt;&gt;"",R275=""),AND(T275&lt;&gt;"",T275&lt;O275),AND(U275&lt;&gt;"",U275&lt;O275)),"Chronologie incohérente",IF(AND(OR(L275="Résolu",L275="Clos"),R275=""),"Date de résolution manquante",IF(AND(L275="Clos",S275=""),"Date de clôture manquante",IF(AND(K275="Oui",AC275=""),"Classification DORA manquante","OK"))))))</f>
        <v/>
      </c>
      <c r="AO275" s="35" t="str">
        <f aca="false">IF($B275="","",IF(AND(C275="Incident",L275&lt;&gt;"Annulé"),1,0))</f>
        <v/>
      </c>
      <c r="AP275" s="35" t="str">
        <f aca="false">IF($B275="","",IF(AND(C275="Quasi-incident",L275&lt;&gt;"Annulé"),1,0))</f>
        <v/>
      </c>
      <c r="AQ275" s="35" t="str">
        <f aca="false">IF($B275="","",AO275+AP275)</f>
        <v/>
      </c>
      <c r="AR275" s="36" t="str">
        <f aca="false">IF(OR($B275="",J275=""),"",IFERROR(VALUE(LEFT(J275,1)),""))</f>
        <v/>
      </c>
      <c r="AS275" s="35" t="str">
        <f aca="false">IF(OR(AO275&lt;&gt;1,G275=""),"",IFERROR(IF(INDEX(L_SrcInterne,MATCH(G275,L_Sources,0))="Oui",1,0),""))</f>
        <v/>
      </c>
      <c r="AT275" s="37" t="str">
        <f aca="false">IF(AO275&lt;&gt;1,"",IFERROR(ROUND(IF(OR(N275="",O275=""),"",IF(O275&lt;N275,"",ROUND(((NETWORKDAYS(N275,O275,JoursFeries)-1)*(HFer-HOuv)+IF(NETWORKDAYS(O275,O275,JoursFeries),MEDIAN(MOD(O275,1),HFer,HOuv),HFer)-IF(NETWORKDAYS(N275,N275,JoursFeries),MEDIAN(MOD(N275,1),HFer,HOuv),HOuv))*24,4)))/HJour,4),""))</f>
        <v/>
      </c>
      <c r="AU275" s="37" t="str">
        <f aca="false">IF(AO275&lt;&gt;1,"",IF(OR(O275="",P275=""),"",IF(P275&lt;O275,"",ROUND(((NETWORKDAYS(O275,P275,JoursFeries)-1)*(HFer-HOuv)+IF(NETWORKDAYS(P275,P275,JoursFeries),MEDIAN(MOD(P275,1),HFer,HOuv),HFer)-IF(NETWORKDAYS(O275,O275,JoursFeries),MEDIAN(MOD(O275,1),HFer,HOuv),HOuv))*24,4))))</f>
        <v/>
      </c>
      <c r="AV275" s="37" t="str">
        <f aca="false">IF(AO275&lt;&gt;1,"",IF(OR(P275="",Q275=""),"",IF(Q275&lt;P275,"",ROUND(((NETWORKDAYS(P275,Q275,JoursFeries)-1)*(HFer-HOuv)+IF(NETWORKDAYS(Q275,Q275,JoursFeries),MEDIAN(MOD(Q275,1),HFer,HOuv),HFer)-IF(NETWORKDAYS(P275,P275,JoursFeries),MEDIAN(MOD(P275,1),HFer,HOuv),HOuv))*24,4))))</f>
        <v/>
      </c>
      <c r="AW275" s="37" t="str">
        <f aca="false">IF(AO275&lt;&gt;1,"",IFERROR(ROUND(IF(OR(P275="",R275=""),"",IF(R275&lt;P275,"",ROUND(((NETWORKDAYS(P275,R275,JoursFeries)-1)*(HFer-HOuv)+IF(NETWORKDAYS(R275,R275,JoursFeries),MEDIAN(MOD(R275,1),HFer,HOuv),HFer)-IF(NETWORKDAYS(P275,P275,JoursFeries),MEDIAN(MOD(P275,1),HFer,HOuv),HOuv))*24,4)))/HJour,4),""))</f>
        <v/>
      </c>
      <c r="AX275" s="37" t="str">
        <f aca="false">IF(AO275&lt;&gt;1,"",IFERROR(ROUND(IF(OR(P275="",S275=""),"",IF(S275&lt;P275,"",ROUND(((NETWORKDAYS(P275,S275,JoursFeries)-1)*(HFer-HOuv)+IF(NETWORKDAYS(S275,S275,JoursFeries),MEDIAN(MOD(S275,1),HFer,HOuv),HFer)-IF(NETWORKDAYS(P275,P275,JoursFeries),MEDIAN(MOD(P275,1),HFer,HOuv),HOuv))*24,4)))/HJour,4),""))</f>
        <v/>
      </c>
      <c r="AY275" s="36" t="str">
        <f aca="false">IF(OR(AO275&lt;&gt;1,AR275=""),"",INDEX(SLA_PEC,AR275))</f>
        <v/>
      </c>
      <c r="AZ275" s="35" t="str">
        <f aca="false">IF(OR(AV275="",AY275=""),"",IF(AV275&lt;=AY275,1,0))</f>
        <v/>
      </c>
      <c r="BA275" s="36" t="str">
        <f aca="false">IF(OR(AO275&lt;&gt;1,AR275=""),"",INDEX(SLA_RES,AR275))</f>
        <v/>
      </c>
      <c r="BB275" s="35" t="str">
        <f aca="false">IF(OR(AW275="",BA275=""),"",IF(AW275&lt;=BA275,1,0))</f>
        <v/>
      </c>
      <c r="BC275" s="38" t="str">
        <f aca="false">IF(OR(BA275="",P275=""),"",WORKDAY(INT(P275),BA275,JoursFeries)+MOD(P275,1))</f>
        <v/>
      </c>
      <c r="BD275" s="39" t="str">
        <f aca="false">IF(AO275&lt;&gt;1,"",IF(OR(AB275&lt;&gt;"",AD275&lt;&gt;""),4,IF(U275&lt;&gt;"",3,IF(T275&lt;&gt;"",2,1))))</f>
        <v/>
      </c>
      <c r="BE275" s="39" t="str">
        <f aca="false">IF(OR(AO275&lt;&gt;1,AR275=""),"",INDEX(NIV_REQ,AR275))</f>
        <v/>
      </c>
      <c r="BF275" s="39" t="str">
        <f aca="false">IF(BE275="","",MAX(BE275,IF(OR(K275="Oui",Z275="Oui"),4,1)))</f>
        <v/>
      </c>
      <c r="BG275" s="35" t="str">
        <f aca="false">IF(OR(BF275="",BD275=""),"",IF(BD275&gt;=BF275,1,0))</f>
        <v/>
      </c>
      <c r="BH275" s="38" t="str">
        <f aca="false">IF(BE275="","",IF(BE275&lt;2,"",IF(BE275=2,IF(AND(T275="",U275=""),"",MIN(T275,U275)),IF(U275="","",U275))))</f>
        <v/>
      </c>
      <c r="BI275" s="37" t="str">
        <f aca="false">IF(BH275="","",IF(OR(O275="",BH275=""),"",IF(BH275&lt;O275,"",ROUND(((NETWORKDAYS(O275,BH275,JoursFeries)-1)*(HFer-HOuv)+IF(NETWORKDAYS(BH275,BH275,JoursFeries),MEDIAN(MOD(BH275,1),HFer,HOuv),HFer)-IF(NETWORKDAYS(O275,O275,JoursFeries),MEDIAN(MOD(O275,1),HFer,HOuv),HOuv))*24,4))))</f>
        <v/>
      </c>
      <c r="BJ275" s="35" t="str">
        <f aca="false">IF(OR(BI275="",AR275=""),"",IF(BI275&lt;=INDEX(DELAI_ESC,AR275),1,0))</f>
        <v/>
      </c>
      <c r="BK275" s="38" t="str">
        <f aca="false">IF(AO275&lt;&gt;1,"",IF(AND(T275="",U275=""),"",MIN(T275,U275)))</f>
        <v/>
      </c>
      <c r="BL275" s="37" t="str">
        <f aca="false">IF(OR(BK275="",R275=""),"",IFERROR(ROUND(IF(OR(BK275="",R275=""),"",IF(R275&lt;BK275,"",ROUND(((NETWORKDAYS(BK275,R275,JoursFeries)-1)*(HFer-HOuv)+IF(NETWORKDAYS(R275,R275,JoursFeries),MEDIAN(MOD(R275,1),HFer,HOuv),HFer)-IF(NETWORKDAYS(BK275,BK275,JoursFeries),MEDIAN(MOD(BK275,1),HFer,HOuv),HOuv))*24,4)))/HJour,4),""))</f>
        <v/>
      </c>
      <c r="BM275" s="35" t="str">
        <f aca="false">IF(OR(AO275&lt;&gt;1,R275=""),"",IF(BD275=1,1,0))</f>
        <v/>
      </c>
      <c r="BN275" s="35" t="str">
        <f aca="false">IF(AO275&lt;&gt;1,"",IF(W275="Oui",1,0))</f>
        <v/>
      </c>
      <c r="BO275" s="35" t="str">
        <f aca="false">IF(AO275&lt;&gt;1,"",IF(X275&lt;&gt;"",1,0))</f>
        <v/>
      </c>
      <c r="BP275" s="35" t="str">
        <f aca="false">IF(AO275&lt;&gt;1,"",IF(Y275="Oui",1,0))</f>
        <v/>
      </c>
      <c r="BQ275" s="35" t="str">
        <f aca="true">IF(OR(AO275&lt;&gt;1,Z275&lt;&gt;"Oui"),"",IF(AB275="",IF(AND(AA275&lt;&gt;"",NOW()&gt;AA275),0,""),IF(AA275="","",IF(AB275&lt;=AA275,1,0))))</f>
        <v/>
      </c>
      <c r="BR275" s="38" t="str">
        <f aca="false">IF(OR(AO275&lt;&gt;1,K275&lt;&gt;"Oui",O275=""),"",IF(AC275="",O275+DORA_H_DET/24,IF(AC275-O275&lt;=DORA_H_DET/24,MIN(AC275+DORA_H_CLA/24,O275+DORA_H_DET/24),AC275+DORA_H_CLA/24)))</f>
        <v/>
      </c>
      <c r="BS275" s="35" t="str">
        <f aca="true">IF(BR275="","",IF(AD275="",IF(NOW()&gt;BR275,0,""),IF(AD275&lt;=BR275,1,0)))</f>
        <v/>
      </c>
      <c r="BT275" s="35" t="str">
        <f aca="true">IF(OR(BR275="",AD275=""),"",IF(AE275="",IF(NOW()&gt;AD275+DORA_H_INT/24,0,""),IF(AE275&lt;=AD275+DORA_H_INT/24,1,0)))</f>
        <v/>
      </c>
      <c r="BU275" s="35" t="str">
        <f aca="true">IF(OR(BR275="",AE275=""),"",IF(AF275="",IF(NOW()&gt;EDATE(AE275,DORA_M_FIN)+1,0,""),IF(AF275&lt;=EDATE(AE275,DORA_M_FIN),1,0)))</f>
        <v/>
      </c>
      <c r="BV275" s="35" t="str">
        <f aca="false">IF(BR275="","",IF(COUNT(BS275:BU275)=0,"",MIN(BS275:BU275)))</f>
        <v/>
      </c>
      <c r="BW275" s="40" t="str">
        <f aca="false">IF(AQ275&lt;&gt;1,"",IF(AND(AG275="",AH275=""),"",N(AG275)-N(AH275)))</f>
        <v/>
      </c>
      <c r="BX275" s="35" t="str">
        <f aca="true">IF(OR(AQ275&lt;&gt;1,AI275&lt;&gt;"Oui",AJ275=""),"",IF(AK275="",IF(NOW()&gt;AJ275+1,0,""),IF(AK275&lt;=AJ275,1,0)))</f>
        <v/>
      </c>
    </row>
    <row r="276" customFormat="false" ht="15" hidden="false" customHeight="false" outlineLevel="0" collapsed="false">
      <c r="B276" s="29"/>
      <c r="C276" s="29"/>
      <c r="D276" s="29"/>
      <c r="E276" s="29"/>
      <c r="F276" s="29"/>
      <c r="G276" s="29"/>
      <c r="H276" s="29"/>
      <c r="I276" s="29"/>
      <c r="J276" s="29"/>
      <c r="K276" s="29"/>
      <c r="L276" s="29"/>
      <c r="M276" s="29"/>
      <c r="N276" s="30"/>
      <c r="O276" s="30"/>
      <c r="P276" s="30"/>
      <c r="Q276" s="30"/>
      <c r="R276" s="30"/>
      <c r="S276" s="30"/>
      <c r="T276" s="30"/>
      <c r="U276" s="30"/>
      <c r="V276" s="31"/>
      <c r="W276" s="29"/>
      <c r="X276" s="29"/>
      <c r="Y276" s="29"/>
      <c r="Z276" s="29"/>
      <c r="AA276" s="30"/>
      <c r="AB276" s="30"/>
      <c r="AC276" s="30"/>
      <c r="AD276" s="30"/>
      <c r="AE276" s="30"/>
      <c r="AF276" s="32"/>
      <c r="AG276" s="33"/>
      <c r="AH276" s="33"/>
      <c r="AI276" s="29"/>
      <c r="AJ276" s="32"/>
      <c r="AK276" s="32"/>
      <c r="AL276" s="29"/>
      <c r="AN276" s="34" t="str">
        <f aca="false">IF($B276="","",IF(OR(C276="",D276="",E276="",G276="",I276="",J276="",L276="",O276="",P276=""),"Champ obligatoire manquant",IF(OR(AND(N276&lt;&gt;"",N276&gt;O276),O276&gt;P276,AND(Q276&lt;&gt;"",Q276&lt;P276),AND(R276&lt;&gt;"",R276&lt;P276),AND(S276&lt;&gt;"",S276&lt;R276),AND(S276&lt;&gt;"",R276=""),AND(T276&lt;&gt;"",T276&lt;O276),AND(U276&lt;&gt;"",U276&lt;O276)),"Chronologie incohérente",IF(AND(OR(L276="Résolu",L276="Clos"),R276=""),"Date de résolution manquante",IF(AND(L276="Clos",S276=""),"Date de clôture manquante",IF(AND(K276="Oui",AC276=""),"Classification DORA manquante","OK"))))))</f>
        <v/>
      </c>
      <c r="AO276" s="35" t="str">
        <f aca="false">IF($B276="","",IF(AND(C276="Incident",L276&lt;&gt;"Annulé"),1,0))</f>
        <v/>
      </c>
      <c r="AP276" s="35" t="str">
        <f aca="false">IF($B276="","",IF(AND(C276="Quasi-incident",L276&lt;&gt;"Annulé"),1,0))</f>
        <v/>
      </c>
      <c r="AQ276" s="35" t="str">
        <f aca="false">IF($B276="","",AO276+AP276)</f>
        <v/>
      </c>
      <c r="AR276" s="36" t="str">
        <f aca="false">IF(OR($B276="",J276=""),"",IFERROR(VALUE(LEFT(J276,1)),""))</f>
        <v/>
      </c>
      <c r="AS276" s="35" t="str">
        <f aca="false">IF(OR(AO276&lt;&gt;1,G276=""),"",IFERROR(IF(INDEX(L_SrcInterne,MATCH(G276,L_Sources,0))="Oui",1,0),""))</f>
        <v/>
      </c>
      <c r="AT276" s="37" t="str">
        <f aca="false">IF(AO276&lt;&gt;1,"",IFERROR(ROUND(IF(OR(N276="",O276=""),"",IF(O276&lt;N276,"",ROUND(((NETWORKDAYS(N276,O276,JoursFeries)-1)*(HFer-HOuv)+IF(NETWORKDAYS(O276,O276,JoursFeries),MEDIAN(MOD(O276,1),HFer,HOuv),HFer)-IF(NETWORKDAYS(N276,N276,JoursFeries),MEDIAN(MOD(N276,1),HFer,HOuv),HOuv))*24,4)))/HJour,4),""))</f>
        <v/>
      </c>
      <c r="AU276" s="37" t="str">
        <f aca="false">IF(AO276&lt;&gt;1,"",IF(OR(O276="",P276=""),"",IF(P276&lt;O276,"",ROUND(((NETWORKDAYS(O276,P276,JoursFeries)-1)*(HFer-HOuv)+IF(NETWORKDAYS(P276,P276,JoursFeries),MEDIAN(MOD(P276,1),HFer,HOuv),HFer)-IF(NETWORKDAYS(O276,O276,JoursFeries),MEDIAN(MOD(O276,1),HFer,HOuv),HOuv))*24,4))))</f>
        <v/>
      </c>
      <c r="AV276" s="37" t="str">
        <f aca="false">IF(AO276&lt;&gt;1,"",IF(OR(P276="",Q276=""),"",IF(Q276&lt;P276,"",ROUND(((NETWORKDAYS(P276,Q276,JoursFeries)-1)*(HFer-HOuv)+IF(NETWORKDAYS(Q276,Q276,JoursFeries),MEDIAN(MOD(Q276,1),HFer,HOuv),HFer)-IF(NETWORKDAYS(P276,P276,JoursFeries),MEDIAN(MOD(P276,1),HFer,HOuv),HOuv))*24,4))))</f>
        <v/>
      </c>
      <c r="AW276" s="37" t="str">
        <f aca="false">IF(AO276&lt;&gt;1,"",IFERROR(ROUND(IF(OR(P276="",R276=""),"",IF(R276&lt;P276,"",ROUND(((NETWORKDAYS(P276,R276,JoursFeries)-1)*(HFer-HOuv)+IF(NETWORKDAYS(R276,R276,JoursFeries),MEDIAN(MOD(R276,1),HFer,HOuv),HFer)-IF(NETWORKDAYS(P276,P276,JoursFeries),MEDIAN(MOD(P276,1),HFer,HOuv),HOuv))*24,4)))/HJour,4),""))</f>
        <v/>
      </c>
      <c r="AX276" s="37" t="str">
        <f aca="false">IF(AO276&lt;&gt;1,"",IFERROR(ROUND(IF(OR(P276="",S276=""),"",IF(S276&lt;P276,"",ROUND(((NETWORKDAYS(P276,S276,JoursFeries)-1)*(HFer-HOuv)+IF(NETWORKDAYS(S276,S276,JoursFeries),MEDIAN(MOD(S276,1),HFer,HOuv),HFer)-IF(NETWORKDAYS(P276,P276,JoursFeries),MEDIAN(MOD(P276,1),HFer,HOuv),HOuv))*24,4)))/HJour,4),""))</f>
        <v/>
      </c>
      <c r="AY276" s="36" t="str">
        <f aca="false">IF(OR(AO276&lt;&gt;1,AR276=""),"",INDEX(SLA_PEC,AR276))</f>
        <v/>
      </c>
      <c r="AZ276" s="35" t="str">
        <f aca="false">IF(OR(AV276="",AY276=""),"",IF(AV276&lt;=AY276,1,0))</f>
        <v/>
      </c>
      <c r="BA276" s="36" t="str">
        <f aca="false">IF(OR(AO276&lt;&gt;1,AR276=""),"",INDEX(SLA_RES,AR276))</f>
        <v/>
      </c>
      <c r="BB276" s="35" t="str">
        <f aca="false">IF(OR(AW276="",BA276=""),"",IF(AW276&lt;=BA276,1,0))</f>
        <v/>
      </c>
      <c r="BC276" s="38" t="str">
        <f aca="false">IF(OR(BA276="",P276=""),"",WORKDAY(INT(P276),BA276,JoursFeries)+MOD(P276,1))</f>
        <v/>
      </c>
      <c r="BD276" s="39" t="str">
        <f aca="false">IF(AO276&lt;&gt;1,"",IF(OR(AB276&lt;&gt;"",AD276&lt;&gt;""),4,IF(U276&lt;&gt;"",3,IF(T276&lt;&gt;"",2,1))))</f>
        <v/>
      </c>
      <c r="BE276" s="39" t="str">
        <f aca="false">IF(OR(AO276&lt;&gt;1,AR276=""),"",INDEX(NIV_REQ,AR276))</f>
        <v/>
      </c>
      <c r="BF276" s="39" t="str">
        <f aca="false">IF(BE276="","",MAX(BE276,IF(OR(K276="Oui",Z276="Oui"),4,1)))</f>
        <v/>
      </c>
      <c r="BG276" s="35" t="str">
        <f aca="false">IF(OR(BF276="",BD276=""),"",IF(BD276&gt;=BF276,1,0))</f>
        <v/>
      </c>
      <c r="BH276" s="38" t="str">
        <f aca="false">IF(BE276="","",IF(BE276&lt;2,"",IF(BE276=2,IF(AND(T276="",U276=""),"",MIN(T276,U276)),IF(U276="","",U276))))</f>
        <v/>
      </c>
      <c r="BI276" s="37" t="str">
        <f aca="false">IF(BH276="","",IF(OR(O276="",BH276=""),"",IF(BH276&lt;O276,"",ROUND(((NETWORKDAYS(O276,BH276,JoursFeries)-1)*(HFer-HOuv)+IF(NETWORKDAYS(BH276,BH276,JoursFeries),MEDIAN(MOD(BH276,1),HFer,HOuv),HFer)-IF(NETWORKDAYS(O276,O276,JoursFeries),MEDIAN(MOD(O276,1),HFer,HOuv),HOuv))*24,4))))</f>
        <v/>
      </c>
      <c r="BJ276" s="35" t="str">
        <f aca="false">IF(OR(BI276="",AR276=""),"",IF(BI276&lt;=INDEX(DELAI_ESC,AR276),1,0))</f>
        <v/>
      </c>
      <c r="BK276" s="38" t="str">
        <f aca="false">IF(AO276&lt;&gt;1,"",IF(AND(T276="",U276=""),"",MIN(T276,U276)))</f>
        <v/>
      </c>
      <c r="BL276" s="37" t="str">
        <f aca="false">IF(OR(BK276="",R276=""),"",IFERROR(ROUND(IF(OR(BK276="",R276=""),"",IF(R276&lt;BK276,"",ROUND(((NETWORKDAYS(BK276,R276,JoursFeries)-1)*(HFer-HOuv)+IF(NETWORKDAYS(R276,R276,JoursFeries),MEDIAN(MOD(R276,1),HFer,HOuv),HFer)-IF(NETWORKDAYS(BK276,BK276,JoursFeries),MEDIAN(MOD(BK276,1),HFer,HOuv),HOuv))*24,4)))/HJour,4),""))</f>
        <v/>
      </c>
      <c r="BM276" s="35" t="str">
        <f aca="false">IF(OR(AO276&lt;&gt;1,R276=""),"",IF(BD276=1,1,0))</f>
        <v/>
      </c>
      <c r="BN276" s="35" t="str">
        <f aca="false">IF(AO276&lt;&gt;1,"",IF(W276="Oui",1,0))</f>
        <v/>
      </c>
      <c r="BO276" s="35" t="str">
        <f aca="false">IF(AO276&lt;&gt;1,"",IF(X276&lt;&gt;"",1,0))</f>
        <v/>
      </c>
      <c r="BP276" s="35" t="str">
        <f aca="false">IF(AO276&lt;&gt;1,"",IF(Y276="Oui",1,0))</f>
        <v/>
      </c>
      <c r="BQ276" s="35" t="str">
        <f aca="true">IF(OR(AO276&lt;&gt;1,Z276&lt;&gt;"Oui"),"",IF(AB276="",IF(AND(AA276&lt;&gt;"",NOW()&gt;AA276),0,""),IF(AA276="","",IF(AB276&lt;=AA276,1,0))))</f>
        <v/>
      </c>
      <c r="BR276" s="38" t="str">
        <f aca="false">IF(OR(AO276&lt;&gt;1,K276&lt;&gt;"Oui",O276=""),"",IF(AC276="",O276+DORA_H_DET/24,IF(AC276-O276&lt;=DORA_H_DET/24,MIN(AC276+DORA_H_CLA/24,O276+DORA_H_DET/24),AC276+DORA_H_CLA/24)))</f>
        <v/>
      </c>
      <c r="BS276" s="35" t="str">
        <f aca="true">IF(BR276="","",IF(AD276="",IF(NOW()&gt;BR276,0,""),IF(AD276&lt;=BR276,1,0)))</f>
        <v/>
      </c>
      <c r="BT276" s="35" t="str">
        <f aca="true">IF(OR(BR276="",AD276=""),"",IF(AE276="",IF(NOW()&gt;AD276+DORA_H_INT/24,0,""),IF(AE276&lt;=AD276+DORA_H_INT/24,1,0)))</f>
        <v/>
      </c>
      <c r="BU276" s="35" t="str">
        <f aca="true">IF(OR(BR276="",AE276=""),"",IF(AF276="",IF(NOW()&gt;EDATE(AE276,DORA_M_FIN)+1,0,""),IF(AF276&lt;=EDATE(AE276,DORA_M_FIN),1,0)))</f>
        <v/>
      </c>
      <c r="BV276" s="35" t="str">
        <f aca="false">IF(BR276="","",IF(COUNT(BS276:BU276)=0,"",MIN(BS276:BU276)))</f>
        <v/>
      </c>
      <c r="BW276" s="40" t="str">
        <f aca="false">IF(AQ276&lt;&gt;1,"",IF(AND(AG276="",AH276=""),"",N(AG276)-N(AH276)))</f>
        <v/>
      </c>
      <c r="BX276" s="35" t="str">
        <f aca="true">IF(OR(AQ276&lt;&gt;1,AI276&lt;&gt;"Oui",AJ276=""),"",IF(AK276="",IF(NOW()&gt;AJ276+1,0,""),IF(AK276&lt;=AJ276,1,0)))</f>
        <v/>
      </c>
    </row>
    <row r="277" customFormat="false" ht="15" hidden="false" customHeight="false" outlineLevel="0" collapsed="false">
      <c r="B277" s="29"/>
      <c r="C277" s="29"/>
      <c r="D277" s="29"/>
      <c r="E277" s="29"/>
      <c r="F277" s="29"/>
      <c r="G277" s="29"/>
      <c r="H277" s="29"/>
      <c r="I277" s="29"/>
      <c r="J277" s="29"/>
      <c r="K277" s="29"/>
      <c r="L277" s="29"/>
      <c r="M277" s="29"/>
      <c r="N277" s="30"/>
      <c r="O277" s="30"/>
      <c r="P277" s="30"/>
      <c r="Q277" s="30"/>
      <c r="R277" s="30"/>
      <c r="S277" s="30"/>
      <c r="T277" s="30"/>
      <c r="U277" s="30"/>
      <c r="V277" s="31"/>
      <c r="W277" s="29"/>
      <c r="X277" s="29"/>
      <c r="Y277" s="29"/>
      <c r="Z277" s="29"/>
      <c r="AA277" s="30"/>
      <c r="AB277" s="30"/>
      <c r="AC277" s="30"/>
      <c r="AD277" s="30"/>
      <c r="AE277" s="30"/>
      <c r="AF277" s="32"/>
      <c r="AG277" s="33"/>
      <c r="AH277" s="33"/>
      <c r="AI277" s="29"/>
      <c r="AJ277" s="32"/>
      <c r="AK277" s="32"/>
      <c r="AL277" s="29"/>
      <c r="AN277" s="34" t="str">
        <f aca="false">IF($B277="","",IF(OR(C277="",D277="",E277="",G277="",I277="",J277="",L277="",O277="",P277=""),"Champ obligatoire manquant",IF(OR(AND(N277&lt;&gt;"",N277&gt;O277),O277&gt;P277,AND(Q277&lt;&gt;"",Q277&lt;P277),AND(R277&lt;&gt;"",R277&lt;P277),AND(S277&lt;&gt;"",S277&lt;R277),AND(S277&lt;&gt;"",R277=""),AND(T277&lt;&gt;"",T277&lt;O277),AND(U277&lt;&gt;"",U277&lt;O277)),"Chronologie incohérente",IF(AND(OR(L277="Résolu",L277="Clos"),R277=""),"Date de résolution manquante",IF(AND(L277="Clos",S277=""),"Date de clôture manquante",IF(AND(K277="Oui",AC277=""),"Classification DORA manquante","OK"))))))</f>
        <v/>
      </c>
      <c r="AO277" s="35" t="str">
        <f aca="false">IF($B277="","",IF(AND(C277="Incident",L277&lt;&gt;"Annulé"),1,0))</f>
        <v/>
      </c>
      <c r="AP277" s="35" t="str">
        <f aca="false">IF($B277="","",IF(AND(C277="Quasi-incident",L277&lt;&gt;"Annulé"),1,0))</f>
        <v/>
      </c>
      <c r="AQ277" s="35" t="str">
        <f aca="false">IF($B277="","",AO277+AP277)</f>
        <v/>
      </c>
      <c r="AR277" s="36" t="str">
        <f aca="false">IF(OR($B277="",J277=""),"",IFERROR(VALUE(LEFT(J277,1)),""))</f>
        <v/>
      </c>
      <c r="AS277" s="35" t="str">
        <f aca="false">IF(OR(AO277&lt;&gt;1,G277=""),"",IFERROR(IF(INDEX(L_SrcInterne,MATCH(G277,L_Sources,0))="Oui",1,0),""))</f>
        <v/>
      </c>
      <c r="AT277" s="37" t="str">
        <f aca="false">IF(AO277&lt;&gt;1,"",IFERROR(ROUND(IF(OR(N277="",O277=""),"",IF(O277&lt;N277,"",ROUND(((NETWORKDAYS(N277,O277,JoursFeries)-1)*(HFer-HOuv)+IF(NETWORKDAYS(O277,O277,JoursFeries),MEDIAN(MOD(O277,1),HFer,HOuv),HFer)-IF(NETWORKDAYS(N277,N277,JoursFeries),MEDIAN(MOD(N277,1),HFer,HOuv),HOuv))*24,4)))/HJour,4),""))</f>
        <v/>
      </c>
      <c r="AU277" s="37" t="str">
        <f aca="false">IF(AO277&lt;&gt;1,"",IF(OR(O277="",P277=""),"",IF(P277&lt;O277,"",ROUND(((NETWORKDAYS(O277,P277,JoursFeries)-1)*(HFer-HOuv)+IF(NETWORKDAYS(P277,P277,JoursFeries),MEDIAN(MOD(P277,1),HFer,HOuv),HFer)-IF(NETWORKDAYS(O277,O277,JoursFeries),MEDIAN(MOD(O277,1),HFer,HOuv),HOuv))*24,4))))</f>
        <v/>
      </c>
      <c r="AV277" s="37" t="str">
        <f aca="false">IF(AO277&lt;&gt;1,"",IF(OR(P277="",Q277=""),"",IF(Q277&lt;P277,"",ROUND(((NETWORKDAYS(P277,Q277,JoursFeries)-1)*(HFer-HOuv)+IF(NETWORKDAYS(Q277,Q277,JoursFeries),MEDIAN(MOD(Q277,1),HFer,HOuv),HFer)-IF(NETWORKDAYS(P277,P277,JoursFeries),MEDIAN(MOD(P277,1),HFer,HOuv),HOuv))*24,4))))</f>
        <v/>
      </c>
      <c r="AW277" s="37" t="str">
        <f aca="false">IF(AO277&lt;&gt;1,"",IFERROR(ROUND(IF(OR(P277="",R277=""),"",IF(R277&lt;P277,"",ROUND(((NETWORKDAYS(P277,R277,JoursFeries)-1)*(HFer-HOuv)+IF(NETWORKDAYS(R277,R277,JoursFeries),MEDIAN(MOD(R277,1),HFer,HOuv),HFer)-IF(NETWORKDAYS(P277,P277,JoursFeries),MEDIAN(MOD(P277,1),HFer,HOuv),HOuv))*24,4)))/HJour,4),""))</f>
        <v/>
      </c>
      <c r="AX277" s="37" t="str">
        <f aca="false">IF(AO277&lt;&gt;1,"",IFERROR(ROUND(IF(OR(P277="",S277=""),"",IF(S277&lt;P277,"",ROUND(((NETWORKDAYS(P277,S277,JoursFeries)-1)*(HFer-HOuv)+IF(NETWORKDAYS(S277,S277,JoursFeries),MEDIAN(MOD(S277,1),HFer,HOuv),HFer)-IF(NETWORKDAYS(P277,P277,JoursFeries),MEDIAN(MOD(P277,1),HFer,HOuv),HOuv))*24,4)))/HJour,4),""))</f>
        <v/>
      </c>
      <c r="AY277" s="36" t="str">
        <f aca="false">IF(OR(AO277&lt;&gt;1,AR277=""),"",INDEX(SLA_PEC,AR277))</f>
        <v/>
      </c>
      <c r="AZ277" s="35" t="str">
        <f aca="false">IF(OR(AV277="",AY277=""),"",IF(AV277&lt;=AY277,1,0))</f>
        <v/>
      </c>
      <c r="BA277" s="36" t="str">
        <f aca="false">IF(OR(AO277&lt;&gt;1,AR277=""),"",INDEX(SLA_RES,AR277))</f>
        <v/>
      </c>
      <c r="BB277" s="35" t="str">
        <f aca="false">IF(OR(AW277="",BA277=""),"",IF(AW277&lt;=BA277,1,0))</f>
        <v/>
      </c>
      <c r="BC277" s="38" t="str">
        <f aca="false">IF(OR(BA277="",P277=""),"",WORKDAY(INT(P277),BA277,JoursFeries)+MOD(P277,1))</f>
        <v/>
      </c>
      <c r="BD277" s="39" t="str">
        <f aca="false">IF(AO277&lt;&gt;1,"",IF(OR(AB277&lt;&gt;"",AD277&lt;&gt;""),4,IF(U277&lt;&gt;"",3,IF(T277&lt;&gt;"",2,1))))</f>
        <v/>
      </c>
      <c r="BE277" s="39" t="str">
        <f aca="false">IF(OR(AO277&lt;&gt;1,AR277=""),"",INDEX(NIV_REQ,AR277))</f>
        <v/>
      </c>
      <c r="BF277" s="39" t="str">
        <f aca="false">IF(BE277="","",MAX(BE277,IF(OR(K277="Oui",Z277="Oui"),4,1)))</f>
        <v/>
      </c>
      <c r="BG277" s="35" t="str">
        <f aca="false">IF(OR(BF277="",BD277=""),"",IF(BD277&gt;=BF277,1,0))</f>
        <v/>
      </c>
      <c r="BH277" s="38" t="str">
        <f aca="false">IF(BE277="","",IF(BE277&lt;2,"",IF(BE277=2,IF(AND(T277="",U277=""),"",MIN(T277,U277)),IF(U277="","",U277))))</f>
        <v/>
      </c>
      <c r="BI277" s="37" t="str">
        <f aca="false">IF(BH277="","",IF(OR(O277="",BH277=""),"",IF(BH277&lt;O277,"",ROUND(((NETWORKDAYS(O277,BH277,JoursFeries)-1)*(HFer-HOuv)+IF(NETWORKDAYS(BH277,BH277,JoursFeries),MEDIAN(MOD(BH277,1),HFer,HOuv),HFer)-IF(NETWORKDAYS(O277,O277,JoursFeries),MEDIAN(MOD(O277,1),HFer,HOuv),HOuv))*24,4))))</f>
        <v/>
      </c>
      <c r="BJ277" s="35" t="str">
        <f aca="false">IF(OR(BI277="",AR277=""),"",IF(BI277&lt;=INDEX(DELAI_ESC,AR277),1,0))</f>
        <v/>
      </c>
      <c r="BK277" s="38" t="str">
        <f aca="false">IF(AO277&lt;&gt;1,"",IF(AND(T277="",U277=""),"",MIN(T277,U277)))</f>
        <v/>
      </c>
      <c r="BL277" s="37" t="str">
        <f aca="false">IF(OR(BK277="",R277=""),"",IFERROR(ROUND(IF(OR(BK277="",R277=""),"",IF(R277&lt;BK277,"",ROUND(((NETWORKDAYS(BK277,R277,JoursFeries)-1)*(HFer-HOuv)+IF(NETWORKDAYS(R277,R277,JoursFeries),MEDIAN(MOD(R277,1),HFer,HOuv),HFer)-IF(NETWORKDAYS(BK277,BK277,JoursFeries),MEDIAN(MOD(BK277,1),HFer,HOuv),HOuv))*24,4)))/HJour,4),""))</f>
        <v/>
      </c>
      <c r="BM277" s="35" t="str">
        <f aca="false">IF(OR(AO277&lt;&gt;1,R277=""),"",IF(BD277=1,1,0))</f>
        <v/>
      </c>
      <c r="BN277" s="35" t="str">
        <f aca="false">IF(AO277&lt;&gt;1,"",IF(W277="Oui",1,0))</f>
        <v/>
      </c>
      <c r="BO277" s="35" t="str">
        <f aca="false">IF(AO277&lt;&gt;1,"",IF(X277&lt;&gt;"",1,0))</f>
        <v/>
      </c>
      <c r="BP277" s="35" t="str">
        <f aca="false">IF(AO277&lt;&gt;1,"",IF(Y277="Oui",1,0))</f>
        <v/>
      </c>
      <c r="BQ277" s="35" t="str">
        <f aca="true">IF(OR(AO277&lt;&gt;1,Z277&lt;&gt;"Oui"),"",IF(AB277="",IF(AND(AA277&lt;&gt;"",NOW()&gt;AA277),0,""),IF(AA277="","",IF(AB277&lt;=AA277,1,0))))</f>
        <v/>
      </c>
      <c r="BR277" s="38" t="str">
        <f aca="false">IF(OR(AO277&lt;&gt;1,K277&lt;&gt;"Oui",O277=""),"",IF(AC277="",O277+DORA_H_DET/24,IF(AC277-O277&lt;=DORA_H_DET/24,MIN(AC277+DORA_H_CLA/24,O277+DORA_H_DET/24),AC277+DORA_H_CLA/24)))</f>
        <v/>
      </c>
      <c r="BS277" s="35" t="str">
        <f aca="true">IF(BR277="","",IF(AD277="",IF(NOW()&gt;BR277,0,""),IF(AD277&lt;=BR277,1,0)))</f>
        <v/>
      </c>
      <c r="BT277" s="35" t="str">
        <f aca="true">IF(OR(BR277="",AD277=""),"",IF(AE277="",IF(NOW()&gt;AD277+DORA_H_INT/24,0,""),IF(AE277&lt;=AD277+DORA_H_INT/24,1,0)))</f>
        <v/>
      </c>
      <c r="BU277" s="35" t="str">
        <f aca="true">IF(OR(BR277="",AE277=""),"",IF(AF277="",IF(NOW()&gt;EDATE(AE277,DORA_M_FIN)+1,0,""),IF(AF277&lt;=EDATE(AE277,DORA_M_FIN),1,0)))</f>
        <v/>
      </c>
      <c r="BV277" s="35" t="str">
        <f aca="false">IF(BR277="","",IF(COUNT(BS277:BU277)=0,"",MIN(BS277:BU277)))</f>
        <v/>
      </c>
      <c r="BW277" s="40" t="str">
        <f aca="false">IF(AQ277&lt;&gt;1,"",IF(AND(AG277="",AH277=""),"",N(AG277)-N(AH277)))</f>
        <v/>
      </c>
      <c r="BX277" s="35" t="str">
        <f aca="true">IF(OR(AQ277&lt;&gt;1,AI277&lt;&gt;"Oui",AJ277=""),"",IF(AK277="",IF(NOW()&gt;AJ277+1,0,""),IF(AK277&lt;=AJ277,1,0)))</f>
        <v/>
      </c>
    </row>
    <row r="278" customFormat="false" ht="15" hidden="false" customHeight="false" outlineLevel="0" collapsed="false">
      <c r="B278" s="29"/>
      <c r="C278" s="29"/>
      <c r="D278" s="29"/>
      <c r="E278" s="29"/>
      <c r="F278" s="29"/>
      <c r="G278" s="29"/>
      <c r="H278" s="29"/>
      <c r="I278" s="29"/>
      <c r="J278" s="29"/>
      <c r="K278" s="29"/>
      <c r="L278" s="29"/>
      <c r="M278" s="29"/>
      <c r="N278" s="30"/>
      <c r="O278" s="30"/>
      <c r="P278" s="30"/>
      <c r="Q278" s="30"/>
      <c r="R278" s="30"/>
      <c r="S278" s="30"/>
      <c r="T278" s="30"/>
      <c r="U278" s="30"/>
      <c r="V278" s="31"/>
      <c r="W278" s="29"/>
      <c r="X278" s="29"/>
      <c r="Y278" s="29"/>
      <c r="Z278" s="29"/>
      <c r="AA278" s="30"/>
      <c r="AB278" s="30"/>
      <c r="AC278" s="30"/>
      <c r="AD278" s="30"/>
      <c r="AE278" s="30"/>
      <c r="AF278" s="32"/>
      <c r="AG278" s="33"/>
      <c r="AH278" s="33"/>
      <c r="AI278" s="29"/>
      <c r="AJ278" s="32"/>
      <c r="AK278" s="32"/>
      <c r="AL278" s="29"/>
      <c r="AN278" s="34" t="str">
        <f aca="false">IF($B278="","",IF(OR(C278="",D278="",E278="",G278="",I278="",J278="",L278="",O278="",P278=""),"Champ obligatoire manquant",IF(OR(AND(N278&lt;&gt;"",N278&gt;O278),O278&gt;P278,AND(Q278&lt;&gt;"",Q278&lt;P278),AND(R278&lt;&gt;"",R278&lt;P278),AND(S278&lt;&gt;"",S278&lt;R278),AND(S278&lt;&gt;"",R278=""),AND(T278&lt;&gt;"",T278&lt;O278),AND(U278&lt;&gt;"",U278&lt;O278)),"Chronologie incohérente",IF(AND(OR(L278="Résolu",L278="Clos"),R278=""),"Date de résolution manquante",IF(AND(L278="Clos",S278=""),"Date de clôture manquante",IF(AND(K278="Oui",AC278=""),"Classification DORA manquante","OK"))))))</f>
        <v/>
      </c>
      <c r="AO278" s="35" t="str">
        <f aca="false">IF($B278="","",IF(AND(C278="Incident",L278&lt;&gt;"Annulé"),1,0))</f>
        <v/>
      </c>
      <c r="AP278" s="35" t="str">
        <f aca="false">IF($B278="","",IF(AND(C278="Quasi-incident",L278&lt;&gt;"Annulé"),1,0))</f>
        <v/>
      </c>
      <c r="AQ278" s="35" t="str">
        <f aca="false">IF($B278="","",AO278+AP278)</f>
        <v/>
      </c>
      <c r="AR278" s="36" t="str">
        <f aca="false">IF(OR($B278="",J278=""),"",IFERROR(VALUE(LEFT(J278,1)),""))</f>
        <v/>
      </c>
      <c r="AS278" s="35" t="str">
        <f aca="false">IF(OR(AO278&lt;&gt;1,G278=""),"",IFERROR(IF(INDEX(L_SrcInterne,MATCH(G278,L_Sources,0))="Oui",1,0),""))</f>
        <v/>
      </c>
      <c r="AT278" s="37" t="str">
        <f aca="false">IF(AO278&lt;&gt;1,"",IFERROR(ROUND(IF(OR(N278="",O278=""),"",IF(O278&lt;N278,"",ROUND(((NETWORKDAYS(N278,O278,JoursFeries)-1)*(HFer-HOuv)+IF(NETWORKDAYS(O278,O278,JoursFeries),MEDIAN(MOD(O278,1),HFer,HOuv),HFer)-IF(NETWORKDAYS(N278,N278,JoursFeries),MEDIAN(MOD(N278,1),HFer,HOuv),HOuv))*24,4)))/HJour,4),""))</f>
        <v/>
      </c>
      <c r="AU278" s="37" t="str">
        <f aca="false">IF(AO278&lt;&gt;1,"",IF(OR(O278="",P278=""),"",IF(P278&lt;O278,"",ROUND(((NETWORKDAYS(O278,P278,JoursFeries)-1)*(HFer-HOuv)+IF(NETWORKDAYS(P278,P278,JoursFeries),MEDIAN(MOD(P278,1),HFer,HOuv),HFer)-IF(NETWORKDAYS(O278,O278,JoursFeries),MEDIAN(MOD(O278,1),HFer,HOuv),HOuv))*24,4))))</f>
        <v/>
      </c>
      <c r="AV278" s="37" t="str">
        <f aca="false">IF(AO278&lt;&gt;1,"",IF(OR(P278="",Q278=""),"",IF(Q278&lt;P278,"",ROUND(((NETWORKDAYS(P278,Q278,JoursFeries)-1)*(HFer-HOuv)+IF(NETWORKDAYS(Q278,Q278,JoursFeries),MEDIAN(MOD(Q278,1),HFer,HOuv),HFer)-IF(NETWORKDAYS(P278,P278,JoursFeries),MEDIAN(MOD(P278,1),HFer,HOuv),HOuv))*24,4))))</f>
        <v/>
      </c>
      <c r="AW278" s="37" t="str">
        <f aca="false">IF(AO278&lt;&gt;1,"",IFERROR(ROUND(IF(OR(P278="",R278=""),"",IF(R278&lt;P278,"",ROUND(((NETWORKDAYS(P278,R278,JoursFeries)-1)*(HFer-HOuv)+IF(NETWORKDAYS(R278,R278,JoursFeries),MEDIAN(MOD(R278,1),HFer,HOuv),HFer)-IF(NETWORKDAYS(P278,P278,JoursFeries),MEDIAN(MOD(P278,1),HFer,HOuv),HOuv))*24,4)))/HJour,4),""))</f>
        <v/>
      </c>
      <c r="AX278" s="37" t="str">
        <f aca="false">IF(AO278&lt;&gt;1,"",IFERROR(ROUND(IF(OR(P278="",S278=""),"",IF(S278&lt;P278,"",ROUND(((NETWORKDAYS(P278,S278,JoursFeries)-1)*(HFer-HOuv)+IF(NETWORKDAYS(S278,S278,JoursFeries),MEDIAN(MOD(S278,1),HFer,HOuv),HFer)-IF(NETWORKDAYS(P278,P278,JoursFeries),MEDIAN(MOD(P278,1),HFer,HOuv),HOuv))*24,4)))/HJour,4),""))</f>
        <v/>
      </c>
      <c r="AY278" s="36" t="str">
        <f aca="false">IF(OR(AO278&lt;&gt;1,AR278=""),"",INDEX(SLA_PEC,AR278))</f>
        <v/>
      </c>
      <c r="AZ278" s="35" t="str">
        <f aca="false">IF(OR(AV278="",AY278=""),"",IF(AV278&lt;=AY278,1,0))</f>
        <v/>
      </c>
      <c r="BA278" s="36" t="str">
        <f aca="false">IF(OR(AO278&lt;&gt;1,AR278=""),"",INDEX(SLA_RES,AR278))</f>
        <v/>
      </c>
      <c r="BB278" s="35" t="str">
        <f aca="false">IF(OR(AW278="",BA278=""),"",IF(AW278&lt;=BA278,1,0))</f>
        <v/>
      </c>
      <c r="BC278" s="38" t="str">
        <f aca="false">IF(OR(BA278="",P278=""),"",WORKDAY(INT(P278),BA278,JoursFeries)+MOD(P278,1))</f>
        <v/>
      </c>
      <c r="BD278" s="39" t="str">
        <f aca="false">IF(AO278&lt;&gt;1,"",IF(OR(AB278&lt;&gt;"",AD278&lt;&gt;""),4,IF(U278&lt;&gt;"",3,IF(T278&lt;&gt;"",2,1))))</f>
        <v/>
      </c>
      <c r="BE278" s="39" t="str">
        <f aca="false">IF(OR(AO278&lt;&gt;1,AR278=""),"",INDEX(NIV_REQ,AR278))</f>
        <v/>
      </c>
      <c r="BF278" s="39" t="str">
        <f aca="false">IF(BE278="","",MAX(BE278,IF(OR(K278="Oui",Z278="Oui"),4,1)))</f>
        <v/>
      </c>
      <c r="BG278" s="35" t="str">
        <f aca="false">IF(OR(BF278="",BD278=""),"",IF(BD278&gt;=BF278,1,0))</f>
        <v/>
      </c>
      <c r="BH278" s="38" t="str">
        <f aca="false">IF(BE278="","",IF(BE278&lt;2,"",IF(BE278=2,IF(AND(T278="",U278=""),"",MIN(T278,U278)),IF(U278="","",U278))))</f>
        <v/>
      </c>
      <c r="BI278" s="37" t="str">
        <f aca="false">IF(BH278="","",IF(OR(O278="",BH278=""),"",IF(BH278&lt;O278,"",ROUND(((NETWORKDAYS(O278,BH278,JoursFeries)-1)*(HFer-HOuv)+IF(NETWORKDAYS(BH278,BH278,JoursFeries),MEDIAN(MOD(BH278,1),HFer,HOuv),HFer)-IF(NETWORKDAYS(O278,O278,JoursFeries),MEDIAN(MOD(O278,1),HFer,HOuv),HOuv))*24,4))))</f>
        <v/>
      </c>
      <c r="BJ278" s="35" t="str">
        <f aca="false">IF(OR(BI278="",AR278=""),"",IF(BI278&lt;=INDEX(DELAI_ESC,AR278),1,0))</f>
        <v/>
      </c>
      <c r="BK278" s="38" t="str">
        <f aca="false">IF(AO278&lt;&gt;1,"",IF(AND(T278="",U278=""),"",MIN(T278,U278)))</f>
        <v/>
      </c>
      <c r="BL278" s="37" t="str">
        <f aca="false">IF(OR(BK278="",R278=""),"",IFERROR(ROUND(IF(OR(BK278="",R278=""),"",IF(R278&lt;BK278,"",ROUND(((NETWORKDAYS(BK278,R278,JoursFeries)-1)*(HFer-HOuv)+IF(NETWORKDAYS(R278,R278,JoursFeries),MEDIAN(MOD(R278,1),HFer,HOuv),HFer)-IF(NETWORKDAYS(BK278,BK278,JoursFeries),MEDIAN(MOD(BK278,1),HFer,HOuv),HOuv))*24,4)))/HJour,4),""))</f>
        <v/>
      </c>
      <c r="BM278" s="35" t="str">
        <f aca="false">IF(OR(AO278&lt;&gt;1,R278=""),"",IF(BD278=1,1,0))</f>
        <v/>
      </c>
      <c r="BN278" s="35" t="str">
        <f aca="false">IF(AO278&lt;&gt;1,"",IF(W278="Oui",1,0))</f>
        <v/>
      </c>
      <c r="BO278" s="35" t="str">
        <f aca="false">IF(AO278&lt;&gt;1,"",IF(X278&lt;&gt;"",1,0))</f>
        <v/>
      </c>
      <c r="BP278" s="35" t="str">
        <f aca="false">IF(AO278&lt;&gt;1,"",IF(Y278="Oui",1,0))</f>
        <v/>
      </c>
      <c r="BQ278" s="35" t="str">
        <f aca="true">IF(OR(AO278&lt;&gt;1,Z278&lt;&gt;"Oui"),"",IF(AB278="",IF(AND(AA278&lt;&gt;"",NOW()&gt;AA278),0,""),IF(AA278="","",IF(AB278&lt;=AA278,1,0))))</f>
        <v/>
      </c>
      <c r="BR278" s="38" t="str">
        <f aca="false">IF(OR(AO278&lt;&gt;1,K278&lt;&gt;"Oui",O278=""),"",IF(AC278="",O278+DORA_H_DET/24,IF(AC278-O278&lt;=DORA_H_DET/24,MIN(AC278+DORA_H_CLA/24,O278+DORA_H_DET/24),AC278+DORA_H_CLA/24)))</f>
        <v/>
      </c>
      <c r="BS278" s="35" t="str">
        <f aca="true">IF(BR278="","",IF(AD278="",IF(NOW()&gt;BR278,0,""),IF(AD278&lt;=BR278,1,0)))</f>
        <v/>
      </c>
      <c r="BT278" s="35" t="str">
        <f aca="true">IF(OR(BR278="",AD278=""),"",IF(AE278="",IF(NOW()&gt;AD278+DORA_H_INT/24,0,""),IF(AE278&lt;=AD278+DORA_H_INT/24,1,0)))</f>
        <v/>
      </c>
      <c r="BU278" s="35" t="str">
        <f aca="true">IF(OR(BR278="",AE278=""),"",IF(AF278="",IF(NOW()&gt;EDATE(AE278,DORA_M_FIN)+1,0,""),IF(AF278&lt;=EDATE(AE278,DORA_M_FIN),1,0)))</f>
        <v/>
      </c>
      <c r="BV278" s="35" t="str">
        <f aca="false">IF(BR278="","",IF(COUNT(BS278:BU278)=0,"",MIN(BS278:BU278)))</f>
        <v/>
      </c>
      <c r="BW278" s="40" t="str">
        <f aca="false">IF(AQ278&lt;&gt;1,"",IF(AND(AG278="",AH278=""),"",N(AG278)-N(AH278)))</f>
        <v/>
      </c>
      <c r="BX278" s="35" t="str">
        <f aca="true">IF(OR(AQ278&lt;&gt;1,AI278&lt;&gt;"Oui",AJ278=""),"",IF(AK278="",IF(NOW()&gt;AJ278+1,0,""),IF(AK278&lt;=AJ278,1,0)))</f>
        <v/>
      </c>
    </row>
    <row r="279" customFormat="false" ht="15" hidden="false" customHeight="false" outlineLevel="0" collapsed="false">
      <c r="B279" s="29"/>
      <c r="C279" s="29"/>
      <c r="D279" s="29"/>
      <c r="E279" s="29"/>
      <c r="F279" s="29"/>
      <c r="G279" s="29"/>
      <c r="H279" s="29"/>
      <c r="I279" s="29"/>
      <c r="J279" s="29"/>
      <c r="K279" s="29"/>
      <c r="L279" s="29"/>
      <c r="M279" s="29"/>
      <c r="N279" s="30"/>
      <c r="O279" s="30"/>
      <c r="P279" s="30"/>
      <c r="Q279" s="30"/>
      <c r="R279" s="30"/>
      <c r="S279" s="30"/>
      <c r="T279" s="30"/>
      <c r="U279" s="30"/>
      <c r="V279" s="31"/>
      <c r="W279" s="29"/>
      <c r="X279" s="29"/>
      <c r="Y279" s="29"/>
      <c r="Z279" s="29"/>
      <c r="AA279" s="30"/>
      <c r="AB279" s="30"/>
      <c r="AC279" s="30"/>
      <c r="AD279" s="30"/>
      <c r="AE279" s="30"/>
      <c r="AF279" s="32"/>
      <c r="AG279" s="33"/>
      <c r="AH279" s="33"/>
      <c r="AI279" s="29"/>
      <c r="AJ279" s="32"/>
      <c r="AK279" s="32"/>
      <c r="AL279" s="29"/>
      <c r="AN279" s="34" t="str">
        <f aca="false">IF($B279="","",IF(OR(C279="",D279="",E279="",G279="",I279="",J279="",L279="",O279="",P279=""),"Champ obligatoire manquant",IF(OR(AND(N279&lt;&gt;"",N279&gt;O279),O279&gt;P279,AND(Q279&lt;&gt;"",Q279&lt;P279),AND(R279&lt;&gt;"",R279&lt;P279),AND(S279&lt;&gt;"",S279&lt;R279),AND(S279&lt;&gt;"",R279=""),AND(T279&lt;&gt;"",T279&lt;O279),AND(U279&lt;&gt;"",U279&lt;O279)),"Chronologie incohérente",IF(AND(OR(L279="Résolu",L279="Clos"),R279=""),"Date de résolution manquante",IF(AND(L279="Clos",S279=""),"Date de clôture manquante",IF(AND(K279="Oui",AC279=""),"Classification DORA manquante","OK"))))))</f>
        <v/>
      </c>
      <c r="AO279" s="35" t="str">
        <f aca="false">IF($B279="","",IF(AND(C279="Incident",L279&lt;&gt;"Annulé"),1,0))</f>
        <v/>
      </c>
      <c r="AP279" s="35" t="str">
        <f aca="false">IF($B279="","",IF(AND(C279="Quasi-incident",L279&lt;&gt;"Annulé"),1,0))</f>
        <v/>
      </c>
      <c r="AQ279" s="35" t="str">
        <f aca="false">IF($B279="","",AO279+AP279)</f>
        <v/>
      </c>
      <c r="AR279" s="36" t="str">
        <f aca="false">IF(OR($B279="",J279=""),"",IFERROR(VALUE(LEFT(J279,1)),""))</f>
        <v/>
      </c>
      <c r="AS279" s="35" t="str">
        <f aca="false">IF(OR(AO279&lt;&gt;1,G279=""),"",IFERROR(IF(INDEX(L_SrcInterne,MATCH(G279,L_Sources,0))="Oui",1,0),""))</f>
        <v/>
      </c>
      <c r="AT279" s="37" t="str">
        <f aca="false">IF(AO279&lt;&gt;1,"",IFERROR(ROUND(IF(OR(N279="",O279=""),"",IF(O279&lt;N279,"",ROUND(((NETWORKDAYS(N279,O279,JoursFeries)-1)*(HFer-HOuv)+IF(NETWORKDAYS(O279,O279,JoursFeries),MEDIAN(MOD(O279,1),HFer,HOuv),HFer)-IF(NETWORKDAYS(N279,N279,JoursFeries),MEDIAN(MOD(N279,1),HFer,HOuv),HOuv))*24,4)))/HJour,4),""))</f>
        <v/>
      </c>
      <c r="AU279" s="37" t="str">
        <f aca="false">IF(AO279&lt;&gt;1,"",IF(OR(O279="",P279=""),"",IF(P279&lt;O279,"",ROUND(((NETWORKDAYS(O279,P279,JoursFeries)-1)*(HFer-HOuv)+IF(NETWORKDAYS(P279,P279,JoursFeries),MEDIAN(MOD(P279,1),HFer,HOuv),HFer)-IF(NETWORKDAYS(O279,O279,JoursFeries),MEDIAN(MOD(O279,1),HFer,HOuv),HOuv))*24,4))))</f>
        <v/>
      </c>
      <c r="AV279" s="37" t="str">
        <f aca="false">IF(AO279&lt;&gt;1,"",IF(OR(P279="",Q279=""),"",IF(Q279&lt;P279,"",ROUND(((NETWORKDAYS(P279,Q279,JoursFeries)-1)*(HFer-HOuv)+IF(NETWORKDAYS(Q279,Q279,JoursFeries),MEDIAN(MOD(Q279,1),HFer,HOuv),HFer)-IF(NETWORKDAYS(P279,P279,JoursFeries),MEDIAN(MOD(P279,1),HFer,HOuv),HOuv))*24,4))))</f>
        <v/>
      </c>
      <c r="AW279" s="37" t="str">
        <f aca="false">IF(AO279&lt;&gt;1,"",IFERROR(ROUND(IF(OR(P279="",R279=""),"",IF(R279&lt;P279,"",ROUND(((NETWORKDAYS(P279,R279,JoursFeries)-1)*(HFer-HOuv)+IF(NETWORKDAYS(R279,R279,JoursFeries),MEDIAN(MOD(R279,1),HFer,HOuv),HFer)-IF(NETWORKDAYS(P279,P279,JoursFeries),MEDIAN(MOD(P279,1),HFer,HOuv),HOuv))*24,4)))/HJour,4),""))</f>
        <v/>
      </c>
      <c r="AX279" s="37" t="str">
        <f aca="false">IF(AO279&lt;&gt;1,"",IFERROR(ROUND(IF(OR(P279="",S279=""),"",IF(S279&lt;P279,"",ROUND(((NETWORKDAYS(P279,S279,JoursFeries)-1)*(HFer-HOuv)+IF(NETWORKDAYS(S279,S279,JoursFeries),MEDIAN(MOD(S279,1),HFer,HOuv),HFer)-IF(NETWORKDAYS(P279,P279,JoursFeries),MEDIAN(MOD(P279,1),HFer,HOuv),HOuv))*24,4)))/HJour,4),""))</f>
        <v/>
      </c>
      <c r="AY279" s="36" t="str">
        <f aca="false">IF(OR(AO279&lt;&gt;1,AR279=""),"",INDEX(SLA_PEC,AR279))</f>
        <v/>
      </c>
      <c r="AZ279" s="35" t="str">
        <f aca="false">IF(OR(AV279="",AY279=""),"",IF(AV279&lt;=AY279,1,0))</f>
        <v/>
      </c>
      <c r="BA279" s="36" t="str">
        <f aca="false">IF(OR(AO279&lt;&gt;1,AR279=""),"",INDEX(SLA_RES,AR279))</f>
        <v/>
      </c>
      <c r="BB279" s="35" t="str">
        <f aca="false">IF(OR(AW279="",BA279=""),"",IF(AW279&lt;=BA279,1,0))</f>
        <v/>
      </c>
      <c r="BC279" s="38" t="str">
        <f aca="false">IF(OR(BA279="",P279=""),"",WORKDAY(INT(P279),BA279,JoursFeries)+MOD(P279,1))</f>
        <v/>
      </c>
      <c r="BD279" s="39" t="str">
        <f aca="false">IF(AO279&lt;&gt;1,"",IF(OR(AB279&lt;&gt;"",AD279&lt;&gt;""),4,IF(U279&lt;&gt;"",3,IF(T279&lt;&gt;"",2,1))))</f>
        <v/>
      </c>
      <c r="BE279" s="39" t="str">
        <f aca="false">IF(OR(AO279&lt;&gt;1,AR279=""),"",INDEX(NIV_REQ,AR279))</f>
        <v/>
      </c>
      <c r="BF279" s="39" t="str">
        <f aca="false">IF(BE279="","",MAX(BE279,IF(OR(K279="Oui",Z279="Oui"),4,1)))</f>
        <v/>
      </c>
      <c r="BG279" s="35" t="str">
        <f aca="false">IF(OR(BF279="",BD279=""),"",IF(BD279&gt;=BF279,1,0))</f>
        <v/>
      </c>
      <c r="BH279" s="38" t="str">
        <f aca="false">IF(BE279="","",IF(BE279&lt;2,"",IF(BE279=2,IF(AND(T279="",U279=""),"",MIN(T279,U279)),IF(U279="","",U279))))</f>
        <v/>
      </c>
      <c r="BI279" s="37" t="str">
        <f aca="false">IF(BH279="","",IF(OR(O279="",BH279=""),"",IF(BH279&lt;O279,"",ROUND(((NETWORKDAYS(O279,BH279,JoursFeries)-1)*(HFer-HOuv)+IF(NETWORKDAYS(BH279,BH279,JoursFeries),MEDIAN(MOD(BH279,1),HFer,HOuv),HFer)-IF(NETWORKDAYS(O279,O279,JoursFeries),MEDIAN(MOD(O279,1),HFer,HOuv),HOuv))*24,4))))</f>
        <v/>
      </c>
      <c r="BJ279" s="35" t="str">
        <f aca="false">IF(OR(BI279="",AR279=""),"",IF(BI279&lt;=INDEX(DELAI_ESC,AR279),1,0))</f>
        <v/>
      </c>
      <c r="BK279" s="38" t="str">
        <f aca="false">IF(AO279&lt;&gt;1,"",IF(AND(T279="",U279=""),"",MIN(T279,U279)))</f>
        <v/>
      </c>
      <c r="BL279" s="37" t="str">
        <f aca="false">IF(OR(BK279="",R279=""),"",IFERROR(ROUND(IF(OR(BK279="",R279=""),"",IF(R279&lt;BK279,"",ROUND(((NETWORKDAYS(BK279,R279,JoursFeries)-1)*(HFer-HOuv)+IF(NETWORKDAYS(R279,R279,JoursFeries),MEDIAN(MOD(R279,1),HFer,HOuv),HFer)-IF(NETWORKDAYS(BK279,BK279,JoursFeries),MEDIAN(MOD(BK279,1),HFer,HOuv),HOuv))*24,4)))/HJour,4),""))</f>
        <v/>
      </c>
      <c r="BM279" s="35" t="str">
        <f aca="false">IF(OR(AO279&lt;&gt;1,R279=""),"",IF(BD279=1,1,0))</f>
        <v/>
      </c>
      <c r="BN279" s="35" t="str">
        <f aca="false">IF(AO279&lt;&gt;1,"",IF(W279="Oui",1,0))</f>
        <v/>
      </c>
      <c r="BO279" s="35" t="str">
        <f aca="false">IF(AO279&lt;&gt;1,"",IF(X279&lt;&gt;"",1,0))</f>
        <v/>
      </c>
      <c r="BP279" s="35" t="str">
        <f aca="false">IF(AO279&lt;&gt;1,"",IF(Y279="Oui",1,0))</f>
        <v/>
      </c>
      <c r="BQ279" s="35" t="str">
        <f aca="true">IF(OR(AO279&lt;&gt;1,Z279&lt;&gt;"Oui"),"",IF(AB279="",IF(AND(AA279&lt;&gt;"",NOW()&gt;AA279),0,""),IF(AA279="","",IF(AB279&lt;=AA279,1,0))))</f>
        <v/>
      </c>
      <c r="BR279" s="38" t="str">
        <f aca="false">IF(OR(AO279&lt;&gt;1,K279&lt;&gt;"Oui",O279=""),"",IF(AC279="",O279+DORA_H_DET/24,IF(AC279-O279&lt;=DORA_H_DET/24,MIN(AC279+DORA_H_CLA/24,O279+DORA_H_DET/24),AC279+DORA_H_CLA/24)))</f>
        <v/>
      </c>
      <c r="BS279" s="35" t="str">
        <f aca="true">IF(BR279="","",IF(AD279="",IF(NOW()&gt;BR279,0,""),IF(AD279&lt;=BR279,1,0)))</f>
        <v/>
      </c>
      <c r="BT279" s="35" t="str">
        <f aca="true">IF(OR(BR279="",AD279=""),"",IF(AE279="",IF(NOW()&gt;AD279+DORA_H_INT/24,0,""),IF(AE279&lt;=AD279+DORA_H_INT/24,1,0)))</f>
        <v/>
      </c>
      <c r="BU279" s="35" t="str">
        <f aca="true">IF(OR(BR279="",AE279=""),"",IF(AF279="",IF(NOW()&gt;EDATE(AE279,DORA_M_FIN)+1,0,""),IF(AF279&lt;=EDATE(AE279,DORA_M_FIN),1,0)))</f>
        <v/>
      </c>
      <c r="BV279" s="35" t="str">
        <f aca="false">IF(BR279="","",IF(COUNT(BS279:BU279)=0,"",MIN(BS279:BU279)))</f>
        <v/>
      </c>
      <c r="BW279" s="40" t="str">
        <f aca="false">IF(AQ279&lt;&gt;1,"",IF(AND(AG279="",AH279=""),"",N(AG279)-N(AH279)))</f>
        <v/>
      </c>
      <c r="BX279" s="35" t="str">
        <f aca="true">IF(OR(AQ279&lt;&gt;1,AI279&lt;&gt;"Oui",AJ279=""),"",IF(AK279="",IF(NOW()&gt;AJ279+1,0,""),IF(AK279&lt;=AJ279,1,0)))</f>
        <v/>
      </c>
    </row>
    <row r="280" customFormat="false" ht="15" hidden="false" customHeight="false" outlineLevel="0" collapsed="false">
      <c r="B280" s="29"/>
      <c r="C280" s="29"/>
      <c r="D280" s="29"/>
      <c r="E280" s="29"/>
      <c r="F280" s="29"/>
      <c r="G280" s="29"/>
      <c r="H280" s="29"/>
      <c r="I280" s="29"/>
      <c r="J280" s="29"/>
      <c r="K280" s="29"/>
      <c r="L280" s="29"/>
      <c r="M280" s="29"/>
      <c r="N280" s="30"/>
      <c r="O280" s="30"/>
      <c r="P280" s="30"/>
      <c r="Q280" s="30"/>
      <c r="R280" s="30"/>
      <c r="S280" s="30"/>
      <c r="T280" s="30"/>
      <c r="U280" s="30"/>
      <c r="V280" s="31"/>
      <c r="W280" s="29"/>
      <c r="X280" s="29"/>
      <c r="Y280" s="29"/>
      <c r="Z280" s="29"/>
      <c r="AA280" s="30"/>
      <c r="AB280" s="30"/>
      <c r="AC280" s="30"/>
      <c r="AD280" s="30"/>
      <c r="AE280" s="30"/>
      <c r="AF280" s="32"/>
      <c r="AG280" s="33"/>
      <c r="AH280" s="33"/>
      <c r="AI280" s="29"/>
      <c r="AJ280" s="32"/>
      <c r="AK280" s="32"/>
      <c r="AL280" s="29"/>
      <c r="AN280" s="34" t="str">
        <f aca="false">IF($B280="","",IF(OR(C280="",D280="",E280="",G280="",I280="",J280="",L280="",O280="",P280=""),"Champ obligatoire manquant",IF(OR(AND(N280&lt;&gt;"",N280&gt;O280),O280&gt;P280,AND(Q280&lt;&gt;"",Q280&lt;P280),AND(R280&lt;&gt;"",R280&lt;P280),AND(S280&lt;&gt;"",S280&lt;R280),AND(S280&lt;&gt;"",R280=""),AND(T280&lt;&gt;"",T280&lt;O280),AND(U280&lt;&gt;"",U280&lt;O280)),"Chronologie incohérente",IF(AND(OR(L280="Résolu",L280="Clos"),R280=""),"Date de résolution manquante",IF(AND(L280="Clos",S280=""),"Date de clôture manquante",IF(AND(K280="Oui",AC280=""),"Classification DORA manquante","OK"))))))</f>
        <v/>
      </c>
      <c r="AO280" s="35" t="str">
        <f aca="false">IF($B280="","",IF(AND(C280="Incident",L280&lt;&gt;"Annulé"),1,0))</f>
        <v/>
      </c>
      <c r="AP280" s="35" t="str">
        <f aca="false">IF($B280="","",IF(AND(C280="Quasi-incident",L280&lt;&gt;"Annulé"),1,0))</f>
        <v/>
      </c>
      <c r="AQ280" s="35" t="str">
        <f aca="false">IF($B280="","",AO280+AP280)</f>
        <v/>
      </c>
      <c r="AR280" s="36" t="str">
        <f aca="false">IF(OR($B280="",J280=""),"",IFERROR(VALUE(LEFT(J280,1)),""))</f>
        <v/>
      </c>
      <c r="AS280" s="35" t="str">
        <f aca="false">IF(OR(AO280&lt;&gt;1,G280=""),"",IFERROR(IF(INDEX(L_SrcInterne,MATCH(G280,L_Sources,0))="Oui",1,0),""))</f>
        <v/>
      </c>
      <c r="AT280" s="37" t="str">
        <f aca="false">IF(AO280&lt;&gt;1,"",IFERROR(ROUND(IF(OR(N280="",O280=""),"",IF(O280&lt;N280,"",ROUND(((NETWORKDAYS(N280,O280,JoursFeries)-1)*(HFer-HOuv)+IF(NETWORKDAYS(O280,O280,JoursFeries),MEDIAN(MOD(O280,1),HFer,HOuv),HFer)-IF(NETWORKDAYS(N280,N280,JoursFeries),MEDIAN(MOD(N280,1),HFer,HOuv),HOuv))*24,4)))/HJour,4),""))</f>
        <v/>
      </c>
      <c r="AU280" s="37" t="str">
        <f aca="false">IF(AO280&lt;&gt;1,"",IF(OR(O280="",P280=""),"",IF(P280&lt;O280,"",ROUND(((NETWORKDAYS(O280,P280,JoursFeries)-1)*(HFer-HOuv)+IF(NETWORKDAYS(P280,P280,JoursFeries),MEDIAN(MOD(P280,1),HFer,HOuv),HFer)-IF(NETWORKDAYS(O280,O280,JoursFeries),MEDIAN(MOD(O280,1),HFer,HOuv),HOuv))*24,4))))</f>
        <v/>
      </c>
      <c r="AV280" s="37" t="str">
        <f aca="false">IF(AO280&lt;&gt;1,"",IF(OR(P280="",Q280=""),"",IF(Q280&lt;P280,"",ROUND(((NETWORKDAYS(P280,Q280,JoursFeries)-1)*(HFer-HOuv)+IF(NETWORKDAYS(Q280,Q280,JoursFeries),MEDIAN(MOD(Q280,1),HFer,HOuv),HFer)-IF(NETWORKDAYS(P280,P280,JoursFeries),MEDIAN(MOD(P280,1),HFer,HOuv),HOuv))*24,4))))</f>
        <v/>
      </c>
      <c r="AW280" s="37" t="str">
        <f aca="false">IF(AO280&lt;&gt;1,"",IFERROR(ROUND(IF(OR(P280="",R280=""),"",IF(R280&lt;P280,"",ROUND(((NETWORKDAYS(P280,R280,JoursFeries)-1)*(HFer-HOuv)+IF(NETWORKDAYS(R280,R280,JoursFeries),MEDIAN(MOD(R280,1),HFer,HOuv),HFer)-IF(NETWORKDAYS(P280,P280,JoursFeries),MEDIAN(MOD(P280,1),HFer,HOuv),HOuv))*24,4)))/HJour,4),""))</f>
        <v/>
      </c>
      <c r="AX280" s="37" t="str">
        <f aca="false">IF(AO280&lt;&gt;1,"",IFERROR(ROUND(IF(OR(P280="",S280=""),"",IF(S280&lt;P280,"",ROUND(((NETWORKDAYS(P280,S280,JoursFeries)-1)*(HFer-HOuv)+IF(NETWORKDAYS(S280,S280,JoursFeries),MEDIAN(MOD(S280,1),HFer,HOuv),HFer)-IF(NETWORKDAYS(P280,P280,JoursFeries),MEDIAN(MOD(P280,1),HFer,HOuv),HOuv))*24,4)))/HJour,4),""))</f>
        <v/>
      </c>
      <c r="AY280" s="36" t="str">
        <f aca="false">IF(OR(AO280&lt;&gt;1,AR280=""),"",INDEX(SLA_PEC,AR280))</f>
        <v/>
      </c>
      <c r="AZ280" s="35" t="str">
        <f aca="false">IF(OR(AV280="",AY280=""),"",IF(AV280&lt;=AY280,1,0))</f>
        <v/>
      </c>
      <c r="BA280" s="36" t="str">
        <f aca="false">IF(OR(AO280&lt;&gt;1,AR280=""),"",INDEX(SLA_RES,AR280))</f>
        <v/>
      </c>
      <c r="BB280" s="35" t="str">
        <f aca="false">IF(OR(AW280="",BA280=""),"",IF(AW280&lt;=BA280,1,0))</f>
        <v/>
      </c>
      <c r="BC280" s="38" t="str">
        <f aca="false">IF(OR(BA280="",P280=""),"",WORKDAY(INT(P280),BA280,JoursFeries)+MOD(P280,1))</f>
        <v/>
      </c>
      <c r="BD280" s="39" t="str">
        <f aca="false">IF(AO280&lt;&gt;1,"",IF(OR(AB280&lt;&gt;"",AD280&lt;&gt;""),4,IF(U280&lt;&gt;"",3,IF(T280&lt;&gt;"",2,1))))</f>
        <v/>
      </c>
      <c r="BE280" s="39" t="str">
        <f aca="false">IF(OR(AO280&lt;&gt;1,AR280=""),"",INDEX(NIV_REQ,AR280))</f>
        <v/>
      </c>
      <c r="BF280" s="39" t="str">
        <f aca="false">IF(BE280="","",MAX(BE280,IF(OR(K280="Oui",Z280="Oui"),4,1)))</f>
        <v/>
      </c>
      <c r="BG280" s="35" t="str">
        <f aca="false">IF(OR(BF280="",BD280=""),"",IF(BD280&gt;=BF280,1,0))</f>
        <v/>
      </c>
      <c r="BH280" s="38" t="str">
        <f aca="false">IF(BE280="","",IF(BE280&lt;2,"",IF(BE280=2,IF(AND(T280="",U280=""),"",MIN(T280,U280)),IF(U280="","",U280))))</f>
        <v/>
      </c>
      <c r="BI280" s="37" t="str">
        <f aca="false">IF(BH280="","",IF(OR(O280="",BH280=""),"",IF(BH280&lt;O280,"",ROUND(((NETWORKDAYS(O280,BH280,JoursFeries)-1)*(HFer-HOuv)+IF(NETWORKDAYS(BH280,BH280,JoursFeries),MEDIAN(MOD(BH280,1),HFer,HOuv),HFer)-IF(NETWORKDAYS(O280,O280,JoursFeries),MEDIAN(MOD(O280,1),HFer,HOuv),HOuv))*24,4))))</f>
        <v/>
      </c>
      <c r="BJ280" s="35" t="str">
        <f aca="false">IF(OR(BI280="",AR280=""),"",IF(BI280&lt;=INDEX(DELAI_ESC,AR280),1,0))</f>
        <v/>
      </c>
      <c r="BK280" s="38" t="str">
        <f aca="false">IF(AO280&lt;&gt;1,"",IF(AND(T280="",U280=""),"",MIN(T280,U280)))</f>
        <v/>
      </c>
      <c r="BL280" s="37" t="str">
        <f aca="false">IF(OR(BK280="",R280=""),"",IFERROR(ROUND(IF(OR(BK280="",R280=""),"",IF(R280&lt;BK280,"",ROUND(((NETWORKDAYS(BK280,R280,JoursFeries)-1)*(HFer-HOuv)+IF(NETWORKDAYS(R280,R280,JoursFeries),MEDIAN(MOD(R280,1),HFer,HOuv),HFer)-IF(NETWORKDAYS(BK280,BK280,JoursFeries),MEDIAN(MOD(BK280,1),HFer,HOuv),HOuv))*24,4)))/HJour,4),""))</f>
        <v/>
      </c>
      <c r="BM280" s="35" t="str">
        <f aca="false">IF(OR(AO280&lt;&gt;1,R280=""),"",IF(BD280=1,1,0))</f>
        <v/>
      </c>
      <c r="BN280" s="35" t="str">
        <f aca="false">IF(AO280&lt;&gt;1,"",IF(W280="Oui",1,0))</f>
        <v/>
      </c>
      <c r="BO280" s="35" t="str">
        <f aca="false">IF(AO280&lt;&gt;1,"",IF(X280&lt;&gt;"",1,0))</f>
        <v/>
      </c>
      <c r="BP280" s="35" t="str">
        <f aca="false">IF(AO280&lt;&gt;1,"",IF(Y280="Oui",1,0))</f>
        <v/>
      </c>
      <c r="BQ280" s="35" t="str">
        <f aca="true">IF(OR(AO280&lt;&gt;1,Z280&lt;&gt;"Oui"),"",IF(AB280="",IF(AND(AA280&lt;&gt;"",NOW()&gt;AA280),0,""),IF(AA280="","",IF(AB280&lt;=AA280,1,0))))</f>
        <v/>
      </c>
      <c r="BR280" s="38" t="str">
        <f aca="false">IF(OR(AO280&lt;&gt;1,K280&lt;&gt;"Oui",O280=""),"",IF(AC280="",O280+DORA_H_DET/24,IF(AC280-O280&lt;=DORA_H_DET/24,MIN(AC280+DORA_H_CLA/24,O280+DORA_H_DET/24),AC280+DORA_H_CLA/24)))</f>
        <v/>
      </c>
      <c r="BS280" s="35" t="str">
        <f aca="true">IF(BR280="","",IF(AD280="",IF(NOW()&gt;BR280,0,""),IF(AD280&lt;=BR280,1,0)))</f>
        <v/>
      </c>
      <c r="BT280" s="35" t="str">
        <f aca="true">IF(OR(BR280="",AD280=""),"",IF(AE280="",IF(NOW()&gt;AD280+DORA_H_INT/24,0,""),IF(AE280&lt;=AD280+DORA_H_INT/24,1,0)))</f>
        <v/>
      </c>
      <c r="BU280" s="35" t="str">
        <f aca="true">IF(OR(BR280="",AE280=""),"",IF(AF280="",IF(NOW()&gt;EDATE(AE280,DORA_M_FIN)+1,0,""),IF(AF280&lt;=EDATE(AE280,DORA_M_FIN),1,0)))</f>
        <v/>
      </c>
      <c r="BV280" s="35" t="str">
        <f aca="false">IF(BR280="","",IF(COUNT(BS280:BU280)=0,"",MIN(BS280:BU280)))</f>
        <v/>
      </c>
      <c r="BW280" s="40" t="str">
        <f aca="false">IF(AQ280&lt;&gt;1,"",IF(AND(AG280="",AH280=""),"",N(AG280)-N(AH280)))</f>
        <v/>
      </c>
      <c r="BX280" s="35" t="str">
        <f aca="true">IF(OR(AQ280&lt;&gt;1,AI280&lt;&gt;"Oui",AJ280=""),"",IF(AK280="",IF(NOW()&gt;AJ280+1,0,""),IF(AK280&lt;=AJ280,1,0)))</f>
        <v/>
      </c>
    </row>
    <row r="281" customFormat="false" ht="15" hidden="false" customHeight="false" outlineLevel="0" collapsed="false">
      <c r="B281" s="29"/>
      <c r="C281" s="29"/>
      <c r="D281" s="29"/>
      <c r="E281" s="29"/>
      <c r="F281" s="29"/>
      <c r="G281" s="29"/>
      <c r="H281" s="29"/>
      <c r="I281" s="29"/>
      <c r="J281" s="29"/>
      <c r="K281" s="29"/>
      <c r="L281" s="29"/>
      <c r="M281" s="29"/>
      <c r="N281" s="30"/>
      <c r="O281" s="30"/>
      <c r="P281" s="30"/>
      <c r="Q281" s="30"/>
      <c r="R281" s="30"/>
      <c r="S281" s="30"/>
      <c r="T281" s="30"/>
      <c r="U281" s="30"/>
      <c r="V281" s="31"/>
      <c r="W281" s="29"/>
      <c r="X281" s="29"/>
      <c r="Y281" s="29"/>
      <c r="Z281" s="29"/>
      <c r="AA281" s="30"/>
      <c r="AB281" s="30"/>
      <c r="AC281" s="30"/>
      <c r="AD281" s="30"/>
      <c r="AE281" s="30"/>
      <c r="AF281" s="32"/>
      <c r="AG281" s="33"/>
      <c r="AH281" s="33"/>
      <c r="AI281" s="29"/>
      <c r="AJ281" s="32"/>
      <c r="AK281" s="32"/>
      <c r="AL281" s="29"/>
      <c r="AN281" s="34" t="str">
        <f aca="false">IF($B281="","",IF(OR(C281="",D281="",E281="",G281="",I281="",J281="",L281="",O281="",P281=""),"Champ obligatoire manquant",IF(OR(AND(N281&lt;&gt;"",N281&gt;O281),O281&gt;P281,AND(Q281&lt;&gt;"",Q281&lt;P281),AND(R281&lt;&gt;"",R281&lt;P281),AND(S281&lt;&gt;"",S281&lt;R281),AND(S281&lt;&gt;"",R281=""),AND(T281&lt;&gt;"",T281&lt;O281),AND(U281&lt;&gt;"",U281&lt;O281)),"Chronologie incohérente",IF(AND(OR(L281="Résolu",L281="Clos"),R281=""),"Date de résolution manquante",IF(AND(L281="Clos",S281=""),"Date de clôture manquante",IF(AND(K281="Oui",AC281=""),"Classification DORA manquante","OK"))))))</f>
        <v/>
      </c>
      <c r="AO281" s="35" t="str">
        <f aca="false">IF($B281="","",IF(AND(C281="Incident",L281&lt;&gt;"Annulé"),1,0))</f>
        <v/>
      </c>
      <c r="AP281" s="35" t="str">
        <f aca="false">IF($B281="","",IF(AND(C281="Quasi-incident",L281&lt;&gt;"Annulé"),1,0))</f>
        <v/>
      </c>
      <c r="AQ281" s="35" t="str">
        <f aca="false">IF($B281="","",AO281+AP281)</f>
        <v/>
      </c>
      <c r="AR281" s="36" t="str">
        <f aca="false">IF(OR($B281="",J281=""),"",IFERROR(VALUE(LEFT(J281,1)),""))</f>
        <v/>
      </c>
      <c r="AS281" s="35" t="str">
        <f aca="false">IF(OR(AO281&lt;&gt;1,G281=""),"",IFERROR(IF(INDEX(L_SrcInterne,MATCH(G281,L_Sources,0))="Oui",1,0),""))</f>
        <v/>
      </c>
      <c r="AT281" s="37" t="str">
        <f aca="false">IF(AO281&lt;&gt;1,"",IFERROR(ROUND(IF(OR(N281="",O281=""),"",IF(O281&lt;N281,"",ROUND(((NETWORKDAYS(N281,O281,JoursFeries)-1)*(HFer-HOuv)+IF(NETWORKDAYS(O281,O281,JoursFeries),MEDIAN(MOD(O281,1),HFer,HOuv),HFer)-IF(NETWORKDAYS(N281,N281,JoursFeries),MEDIAN(MOD(N281,1),HFer,HOuv),HOuv))*24,4)))/HJour,4),""))</f>
        <v/>
      </c>
      <c r="AU281" s="37" t="str">
        <f aca="false">IF(AO281&lt;&gt;1,"",IF(OR(O281="",P281=""),"",IF(P281&lt;O281,"",ROUND(((NETWORKDAYS(O281,P281,JoursFeries)-1)*(HFer-HOuv)+IF(NETWORKDAYS(P281,P281,JoursFeries),MEDIAN(MOD(P281,1),HFer,HOuv),HFer)-IF(NETWORKDAYS(O281,O281,JoursFeries),MEDIAN(MOD(O281,1),HFer,HOuv),HOuv))*24,4))))</f>
        <v/>
      </c>
      <c r="AV281" s="37" t="str">
        <f aca="false">IF(AO281&lt;&gt;1,"",IF(OR(P281="",Q281=""),"",IF(Q281&lt;P281,"",ROUND(((NETWORKDAYS(P281,Q281,JoursFeries)-1)*(HFer-HOuv)+IF(NETWORKDAYS(Q281,Q281,JoursFeries),MEDIAN(MOD(Q281,1),HFer,HOuv),HFer)-IF(NETWORKDAYS(P281,P281,JoursFeries),MEDIAN(MOD(P281,1),HFer,HOuv),HOuv))*24,4))))</f>
        <v/>
      </c>
      <c r="AW281" s="37" t="str">
        <f aca="false">IF(AO281&lt;&gt;1,"",IFERROR(ROUND(IF(OR(P281="",R281=""),"",IF(R281&lt;P281,"",ROUND(((NETWORKDAYS(P281,R281,JoursFeries)-1)*(HFer-HOuv)+IF(NETWORKDAYS(R281,R281,JoursFeries),MEDIAN(MOD(R281,1),HFer,HOuv),HFer)-IF(NETWORKDAYS(P281,P281,JoursFeries),MEDIAN(MOD(P281,1),HFer,HOuv),HOuv))*24,4)))/HJour,4),""))</f>
        <v/>
      </c>
      <c r="AX281" s="37" t="str">
        <f aca="false">IF(AO281&lt;&gt;1,"",IFERROR(ROUND(IF(OR(P281="",S281=""),"",IF(S281&lt;P281,"",ROUND(((NETWORKDAYS(P281,S281,JoursFeries)-1)*(HFer-HOuv)+IF(NETWORKDAYS(S281,S281,JoursFeries),MEDIAN(MOD(S281,1),HFer,HOuv),HFer)-IF(NETWORKDAYS(P281,P281,JoursFeries),MEDIAN(MOD(P281,1),HFer,HOuv),HOuv))*24,4)))/HJour,4),""))</f>
        <v/>
      </c>
      <c r="AY281" s="36" t="str">
        <f aca="false">IF(OR(AO281&lt;&gt;1,AR281=""),"",INDEX(SLA_PEC,AR281))</f>
        <v/>
      </c>
      <c r="AZ281" s="35" t="str">
        <f aca="false">IF(OR(AV281="",AY281=""),"",IF(AV281&lt;=AY281,1,0))</f>
        <v/>
      </c>
      <c r="BA281" s="36" t="str">
        <f aca="false">IF(OR(AO281&lt;&gt;1,AR281=""),"",INDEX(SLA_RES,AR281))</f>
        <v/>
      </c>
      <c r="BB281" s="35" t="str">
        <f aca="false">IF(OR(AW281="",BA281=""),"",IF(AW281&lt;=BA281,1,0))</f>
        <v/>
      </c>
      <c r="BC281" s="38" t="str">
        <f aca="false">IF(OR(BA281="",P281=""),"",WORKDAY(INT(P281),BA281,JoursFeries)+MOD(P281,1))</f>
        <v/>
      </c>
      <c r="BD281" s="39" t="str">
        <f aca="false">IF(AO281&lt;&gt;1,"",IF(OR(AB281&lt;&gt;"",AD281&lt;&gt;""),4,IF(U281&lt;&gt;"",3,IF(T281&lt;&gt;"",2,1))))</f>
        <v/>
      </c>
      <c r="BE281" s="39" t="str">
        <f aca="false">IF(OR(AO281&lt;&gt;1,AR281=""),"",INDEX(NIV_REQ,AR281))</f>
        <v/>
      </c>
      <c r="BF281" s="39" t="str">
        <f aca="false">IF(BE281="","",MAX(BE281,IF(OR(K281="Oui",Z281="Oui"),4,1)))</f>
        <v/>
      </c>
      <c r="BG281" s="35" t="str">
        <f aca="false">IF(OR(BF281="",BD281=""),"",IF(BD281&gt;=BF281,1,0))</f>
        <v/>
      </c>
      <c r="BH281" s="38" t="str">
        <f aca="false">IF(BE281="","",IF(BE281&lt;2,"",IF(BE281=2,IF(AND(T281="",U281=""),"",MIN(T281,U281)),IF(U281="","",U281))))</f>
        <v/>
      </c>
      <c r="BI281" s="37" t="str">
        <f aca="false">IF(BH281="","",IF(OR(O281="",BH281=""),"",IF(BH281&lt;O281,"",ROUND(((NETWORKDAYS(O281,BH281,JoursFeries)-1)*(HFer-HOuv)+IF(NETWORKDAYS(BH281,BH281,JoursFeries),MEDIAN(MOD(BH281,1),HFer,HOuv),HFer)-IF(NETWORKDAYS(O281,O281,JoursFeries),MEDIAN(MOD(O281,1),HFer,HOuv),HOuv))*24,4))))</f>
        <v/>
      </c>
      <c r="BJ281" s="35" t="str">
        <f aca="false">IF(OR(BI281="",AR281=""),"",IF(BI281&lt;=INDEX(DELAI_ESC,AR281),1,0))</f>
        <v/>
      </c>
      <c r="BK281" s="38" t="str">
        <f aca="false">IF(AO281&lt;&gt;1,"",IF(AND(T281="",U281=""),"",MIN(T281,U281)))</f>
        <v/>
      </c>
      <c r="BL281" s="37" t="str">
        <f aca="false">IF(OR(BK281="",R281=""),"",IFERROR(ROUND(IF(OR(BK281="",R281=""),"",IF(R281&lt;BK281,"",ROUND(((NETWORKDAYS(BK281,R281,JoursFeries)-1)*(HFer-HOuv)+IF(NETWORKDAYS(R281,R281,JoursFeries),MEDIAN(MOD(R281,1),HFer,HOuv),HFer)-IF(NETWORKDAYS(BK281,BK281,JoursFeries),MEDIAN(MOD(BK281,1),HFer,HOuv),HOuv))*24,4)))/HJour,4),""))</f>
        <v/>
      </c>
      <c r="BM281" s="35" t="str">
        <f aca="false">IF(OR(AO281&lt;&gt;1,R281=""),"",IF(BD281=1,1,0))</f>
        <v/>
      </c>
      <c r="BN281" s="35" t="str">
        <f aca="false">IF(AO281&lt;&gt;1,"",IF(W281="Oui",1,0))</f>
        <v/>
      </c>
      <c r="BO281" s="35" t="str">
        <f aca="false">IF(AO281&lt;&gt;1,"",IF(X281&lt;&gt;"",1,0))</f>
        <v/>
      </c>
      <c r="BP281" s="35" t="str">
        <f aca="false">IF(AO281&lt;&gt;1,"",IF(Y281="Oui",1,0))</f>
        <v/>
      </c>
      <c r="BQ281" s="35" t="str">
        <f aca="true">IF(OR(AO281&lt;&gt;1,Z281&lt;&gt;"Oui"),"",IF(AB281="",IF(AND(AA281&lt;&gt;"",NOW()&gt;AA281),0,""),IF(AA281="","",IF(AB281&lt;=AA281,1,0))))</f>
        <v/>
      </c>
      <c r="BR281" s="38" t="str">
        <f aca="false">IF(OR(AO281&lt;&gt;1,K281&lt;&gt;"Oui",O281=""),"",IF(AC281="",O281+DORA_H_DET/24,IF(AC281-O281&lt;=DORA_H_DET/24,MIN(AC281+DORA_H_CLA/24,O281+DORA_H_DET/24),AC281+DORA_H_CLA/24)))</f>
        <v/>
      </c>
      <c r="BS281" s="35" t="str">
        <f aca="true">IF(BR281="","",IF(AD281="",IF(NOW()&gt;BR281,0,""),IF(AD281&lt;=BR281,1,0)))</f>
        <v/>
      </c>
      <c r="BT281" s="35" t="str">
        <f aca="true">IF(OR(BR281="",AD281=""),"",IF(AE281="",IF(NOW()&gt;AD281+DORA_H_INT/24,0,""),IF(AE281&lt;=AD281+DORA_H_INT/24,1,0)))</f>
        <v/>
      </c>
      <c r="BU281" s="35" t="str">
        <f aca="true">IF(OR(BR281="",AE281=""),"",IF(AF281="",IF(NOW()&gt;EDATE(AE281,DORA_M_FIN)+1,0,""),IF(AF281&lt;=EDATE(AE281,DORA_M_FIN),1,0)))</f>
        <v/>
      </c>
      <c r="BV281" s="35" t="str">
        <f aca="false">IF(BR281="","",IF(COUNT(BS281:BU281)=0,"",MIN(BS281:BU281)))</f>
        <v/>
      </c>
      <c r="BW281" s="40" t="str">
        <f aca="false">IF(AQ281&lt;&gt;1,"",IF(AND(AG281="",AH281=""),"",N(AG281)-N(AH281)))</f>
        <v/>
      </c>
      <c r="BX281" s="35" t="str">
        <f aca="true">IF(OR(AQ281&lt;&gt;1,AI281&lt;&gt;"Oui",AJ281=""),"",IF(AK281="",IF(NOW()&gt;AJ281+1,0,""),IF(AK281&lt;=AJ281,1,0)))</f>
        <v/>
      </c>
    </row>
    <row r="282" customFormat="false" ht="15" hidden="false" customHeight="false" outlineLevel="0" collapsed="false">
      <c r="B282" s="29"/>
      <c r="C282" s="29"/>
      <c r="D282" s="29"/>
      <c r="E282" s="29"/>
      <c r="F282" s="29"/>
      <c r="G282" s="29"/>
      <c r="H282" s="29"/>
      <c r="I282" s="29"/>
      <c r="J282" s="29"/>
      <c r="K282" s="29"/>
      <c r="L282" s="29"/>
      <c r="M282" s="29"/>
      <c r="N282" s="30"/>
      <c r="O282" s="30"/>
      <c r="P282" s="30"/>
      <c r="Q282" s="30"/>
      <c r="R282" s="30"/>
      <c r="S282" s="30"/>
      <c r="T282" s="30"/>
      <c r="U282" s="30"/>
      <c r="V282" s="31"/>
      <c r="W282" s="29"/>
      <c r="X282" s="29"/>
      <c r="Y282" s="29"/>
      <c r="Z282" s="29"/>
      <c r="AA282" s="30"/>
      <c r="AB282" s="30"/>
      <c r="AC282" s="30"/>
      <c r="AD282" s="30"/>
      <c r="AE282" s="30"/>
      <c r="AF282" s="32"/>
      <c r="AG282" s="33"/>
      <c r="AH282" s="33"/>
      <c r="AI282" s="29"/>
      <c r="AJ282" s="32"/>
      <c r="AK282" s="32"/>
      <c r="AL282" s="29"/>
      <c r="AN282" s="34" t="str">
        <f aca="false">IF($B282="","",IF(OR(C282="",D282="",E282="",G282="",I282="",J282="",L282="",O282="",P282=""),"Champ obligatoire manquant",IF(OR(AND(N282&lt;&gt;"",N282&gt;O282),O282&gt;P282,AND(Q282&lt;&gt;"",Q282&lt;P282),AND(R282&lt;&gt;"",R282&lt;P282),AND(S282&lt;&gt;"",S282&lt;R282),AND(S282&lt;&gt;"",R282=""),AND(T282&lt;&gt;"",T282&lt;O282),AND(U282&lt;&gt;"",U282&lt;O282)),"Chronologie incohérente",IF(AND(OR(L282="Résolu",L282="Clos"),R282=""),"Date de résolution manquante",IF(AND(L282="Clos",S282=""),"Date de clôture manquante",IF(AND(K282="Oui",AC282=""),"Classification DORA manquante","OK"))))))</f>
        <v/>
      </c>
      <c r="AO282" s="35" t="str">
        <f aca="false">IF($B282="","",IF(AND(C282="Incident",L282&lt;&gt;"Annulé"),1,0))</f>
        <v/>
      </c>
      <c r="AP282" s="35" t="str">
        <f aca="false">IF($B282="","",IF(AND(C282="Quasi-incident",L282&lt;&gt;"Annulé"),1,0))</f>
        <v/>
      </c>
      <c r="AQ282" s="35" t="str">
        <f aca="false">IF($B282="","",AO282+AP282)</f>
        <v/>
      </c>
      <c r="AR282" s="36" t="str">
        <f aca="false">IF(OR($B282="",J282=""),"",IFERROR(VALUE(LEFT(J282,1)),""))</f>
        <v/>
      </c>
      <c r="AS282" s="35" t="str">
        <f aca="false">IF(OR(AO282&lt;&gt;1,G282=""),"",IFERROR(IF(INDEX(L_SrcInterne,MATCH(G282,L_Sources,0))="Oui",1,0),""))</f>
        <v/>
      </c>
      <c r="AT282" s="37" t="str">
        <f aca="false">IF(AO282&lt;&gt;1,"",IFERROR(ROUND(IF(OR(N282="",O282=""),"",IF(O282&lt;N282,"",ROUND(((NETWORKDAYS(N282,O282,JoursFeries)-1)*(HFer-HOuv)+IF(NETWORKDAYS(O282,O282,JoursFeries),MEDIAN(MOD(O282,1),HFer,HOuv),HFer)-IF(NETWORKDAYS(N282,N282,JoursFeries),MEDIAN(MOD(N282,1),HFer,HOuv),HOuv))*24,4)))/HJour,4),""))</f>
        <v/>
      </c>
      <c r="AU282" s="37" t="str">
        <f aca="false">IF(AO282&lt;&gt;1,"",IF(OR(O282="",P282=""),"",IF(P282&lt;O282,"",ROUND(((NETWORKDAYS(O282,P282,JoursFeries)-1)*(HFer-HOuv)+IF(NETWORKDAYS(P282,P282,JoursFeries),MEDIAN(MOD(P282,1),HFer,HOuv),HFer)-IF(NETWORKDAYS(O282,O282,JoursFeries),MEDIAN(MOD(O282,1),HFer,HOuv),HOuv))*24,4))))</f>
        <v/>
      </c>
      <c r="AV282" s="37" t="str">
        <f aca="false">IF(AO282&lt;&gt;1,"",IF(OR(P282="",Q282=""),"",IF(Q282&lt;P282,"",ROUND(((NETWORKDAYS(P282,Q282,JoursFeries)-1)*(HFer-HOuv)+IF(NETWORKDAYS(Q282,Q282,JoursFeries),MEDIAN(MOD(Q282,1),HFer,HOuv),HFer)-IF(NETWORKDAYS(P282,P282,JoursFeries),MEDIAN(MOD(P282,1),HFer,HOuv),HOuv))*24,4))))</f>
        <v/>
      </c>
      <c r="AW282" s="37" t="str">
        <f aca="false">IF(AO282&lt;&gt;1,"",IFERROR(ROUND(IF(OR(P282="",R282=""),"",IF(R282&lt;P282,"",ROUND(((NETWORKDAYS(P282,R282,JoursFeries)-1)*(HFer-HOuv)+IF(NETWORKDAYS(R282,R282,JoursFeries),MEDIAN(MOD(R282,1),HFer,HOuv),HFer)-IF(NETWORKDAYS(P282,P282,JoursFeries),MEDIAN(MOD(P282,1),HFer,HOuv),HOuv))*24,4)))/HJour,4),""))</f>
        <v/>
      </c>
      <c r="AX282" s="37" t="str">
        <f aca="false">IF(AO282&lt;&gt;1,"",IFERROR(ROUND(IF(OR(P282="",S282=""),"",IF(S282&lt;P282,"",ROUND(((NETWORKDAYS(P282,S282,JoursFeries)-1)*(HFer-HOuv)+IF(NETWORKDAYS(S282,S282,JoursFeries),MEDIAN(MOD(S282,1),HFer,HOuv),HFer)-IF(NETWORKDAYS(P282,P282,JoursFeries),MEDIAN(MOD(P282,1),HFer,HOuv),HOuv))*24,4)))/HJour,4),""))</f>
        <v/>
      </c>
      <c r="AY282" s="36" t="str">
        <f aca="false">IF(OR(AO282&lt;&gt;1,AR282=""),"",INDEX(SLA_PEC,AR282))</f>
        <v/>
      </c>
      <c r="AZ282" s="35" t="str">
        <f aca="false">IF(OR(AV282="",AY282=""),"",IF(AV282&lt;=AY282,1,0))</f>
        <v/>
      </c>
      <c r="BA282" s="36" t="str">
        <f aca="false">IF(OR(AO282&lt;&gt;1,AR282=""),"",INDEX(SLA_RES,AR282))</f>
        <v/>
      </c>
      <c r="BB282" s="35" t="str">
        <f aca="false">IF(OR(AW282="",BA282=""),"",IF(AW282&lt;=BA282,1,0))</f>
        <v/>
      </c>
      <c r="BC282" s="38" t="str">
        <f aca="false">IF(OR(BA282="",P282=""),"",WORKDAY(INT(P282),BA282,JoursFeries)+MOD(P282,1))</f>
        <v/>
      </c>
      <c r="BD282" s="39" t="str">
        <f aca="false">IF(AO282&lt;&gt;1,"",IF(OR(AB282&lt;&gt;"",AD282&lt;&gt;""),4,IF(U282&lt;&gt;"",3,IF(T282&lt;&gt;"",2,1))))</f>
        <v/>
      </c>
      <c r="BE282" s="39" t="str">
        <f aca="false">IF(OR(AO282&lt;&gt;1,AR282=""),"",INDEX(NIV_REQ,AR282))</f>
        <v/>
      </c>
      <c r="BF282" s="39" t="str">
        <f aca="false">IF(BE282="","",MAX(BE282,IF(OR(K282="Oui",Z282="Oui"),4,1)))</f>
        <v/>
      </c>
      <c r="BG282" s="35" t="str">
        <f aca="false">IF(OR(BF282="",BD282=""),"",IF(BD282&gt;=BF282,1,0))</f>
        <v/>
      </c>
      <c r="BH282" s="38" t="str">
        <f aca="false">IF(BE282="","",IF(BE282&lt;2,"",IF(BE282=2,IF(AND(T282="",U282=""),"",MIN(T282,U282)),IF(U282="","",U282))))</f>
        <v/>
      </c>
      <c r="BI282" s="37" t="str">
        <f aca="false">IF(BH282="","",IF(OR(O282="",BH282=""),"",IF(BH282&lt;O282,"",ROUND(((NETWORKDAYS(O282,BH282,JoursFeries)-1)*(HFer-HOuv)+IF(NETWORKDAYS(BH282,BH282,JoursFeries),MEDIAN(MOD(BH282,1),HFer,HOuv),HFer)-IF(NETWORKDAYS(O282,O282,JoursFeries),MEDIAN(MOD(O282,1),HFer,HOuv),HOuv))*24,4))))</f>
        <v/>
      </c>
      <c r="BJ282" s="35" t="str">
        <f aca="false">IF(OR(BI282="",AR282=""),"",IF(BI282&lt;=INDEX(DELAI_ESC,AR282),1,0))</f>
        <v/>
      </c>
      <c r="BK282" s="38" t="str">
        <f aca="false">IF(AO282&lt;&gt;1,"",IF(AND(T282="",U282=""),"",MIN(T282,U282)))</f>
        <v/>
      </c>
      <c r="BL282" s="37" t="str">
        <f aca="false">IF(OR(BK282="",R282=""),"",IFERROR(ROUND(IF(OR(BK282="",R282=""),"",IF(R282&lt;BK282,"",ROUND(((NETWORKDAYS(BK282,R282,JoursFeries)-1)*(HFer-HOuv)+IF(NETWORKDAYS(R282,R282,JoursFeries),MEDIAN(MOD(R282,1),HFer,HOuv),HFer)-IF(NETWORKDAYS(BK282,BK282,JoursFeries),MEDIAN(MOD(BK282,1),HFer,HOuv),HOuv))*24,4)))/HJour,4),""))</f>
        <v/>
      </c>
      <c r="BM282" s="35" t="str">
        <f aca="false">IF(OR(AO282&lt;&gt;1,R282=""),"",IF(BD282=1,1,0))</f>
        <v/>
      </c>
      <c r="BN282" s="35" t="str">
        <f aca="false">IF(AO282&lt;&gt;1,"",IF(W282="Oui",1,0))</f>
        <v/>
      </c>
      <c r="BO282" s="35" t="str">
        <f aca="false">IF(AO282&lt;&gt;1,"",IF(X282&lt;&gt;"",1,0))</f>
        <v/>
      </c>
      <c r="BP282" s="35" t="str">
        <f aca="false">IF(AO282&lt;&gt;1,"",IF(Y282="Oui",1,0))</f>
        <v/>
      </c>
      <c r="BQ282" s="35" t="str">
        <f aca="true">IF(OR(AO282&lt;&gt;1,Z282&lt;&gt;"Oui"),"",IF(AB282="",IF(AND(AA282&lt;&gt;"",NOW()&gt;AA282),0,""),IF(AA282="","",IF(AB282&lt;=AA282,1,0))))</f>
        <v/>
      </c>
      <c r="BR282" s="38" t="str">
        <f aca="false">IF(OR(AO282&lt;&gt;1,K282&lt;&gt;"Oui",O282=""),"",IF(AC282="",O282+DORA_H_DET/24,IF(AC282-O282&lt;=DORA_H_DET/24,MIN(AC282+DORA_H_CLA/24,O282+DORA_H_DET/24),AC282+DORA_H_CLA/24)))</f>
        <v/>
      </c>
      <c r="BS282" s="35" t="str">
        <f aca="true">IF(BR282="","",IF(AD282="",IF(NOW()&gt;BR282,0,""),IF(AD282&lt;=BR282,1,0)))</f>
        <v/>
      </c>
      <c r="BT282" s="35" t="str">
        <f aca="true">IF(OR(BR282="",AD282=""),"",IF(AE282="",IF(NOW()&gt;AD282+DORA_H_INT/24,0,""),IF(AE282&lt;=AD282+DORA_H_INT/24,1,0)))</f>
        <v/>
      </c>
      <c r="BU282" s="35" t="str">
        <f aca="true">IF(OR(BR282="",AE282=""),"",IF(AF282="",IF(NOW()&gt;EDATE(AE282,DORA_M_FIN)+1,0,""),IF(AF282&lt;=EDATE(AE282,DORA_M_FIN),1,0)))</f>
        <v/>
      </c>
      <c r="BV282" s="35" t="str">
        <f aca="false">IF(BR282="","",IF(COUNT(BS282:BU282)=0,"",MIN(BS282:BU282)))</f>
        <v/>
      </c>
      <c r="BW282" s="40" t="str">
        <f aca="false">IF(AQ282&lt;&gt;1,"",IF(AND(AG282="",AH282=""),"",N(AG282)-N(AH282)))</f>
        <v/>
      </c>
      <c r="BX282" s="35" t="str">
        <f aca="true">IF(OR(AQ282&lt;&gt;1,AI282&lt;&gt;"Oui",AJ282=""),"",IF(AK282="",IF(NOW()&gt;AJ282+1,0,""),IF(AK282&lt;=AJ282,1,0)))</f>
        <v/>
      </c>
    </row>
    <row r="283" customFormat="false" ht="15" hidden="false" customHeight="false" outlineLevel="0" collapsed="false">
      <c r="B283" s="29"/>
      <c r="C283" s="29"/>
      <c r="D283" s="29"/>
      <c r="E283" s="29"/>
      <c r="F283" s="29"/>
      <c r="G283" s="29"/>
      <c r="H283" s="29"/>
      <c r="I283" s="29"/>
      <c r="J283" s="29"/>
      <c r="K283" s="29"/>
      <c r="L283" s="29"/>
      <c r="M283" s="29"/>
      <c r="N283" s="30"/>
      <c r="O283" s="30"/>
      <c r="P283" s="30"/>
      <c r="Q283" s="30"/>
      <c r="R283" s="30"/>
      <c r="S283" s="30"/>
      <c r="T283" s="30"/>
      <c r="U283" s="30"/>
      <c r="V283" s="31"/>
      <c r="W283" s="29"/>
      <c r="X283" s="29"/>
      <c r="Y283" s="29"/>
      <c r="Z283" s="29"/>
      <c r="AA283" s="30"/>
      <c r="AB283" s="30"/>
      <c r="AC283" s="30"/>
      <c r="AD283" s="30"/>
      <c r="AE283" s="30"/>
      <c r="AF283" s="32"/>
      <c r="AG283" s="33"/>
      <c r="AH283" s="33"/>
      <c r="AI283" s="29"/>
      <c r="AJ283" s="32"/>
      <c r="AK283" s="32"/>
      <c r="AL283" s="29"/>
      <c r="AN283" s="34" t="str">
        <f aca="false">IF($B283="","",IF(OR(C283="",D283="",E283="",G283="",I283="",J283="",L283="",O283="",P283=""),"Champ obligatoire manquant",IF(OR(AND(N283&lt;&gt;"",N283&gt;O283),O283&gt;P283,AND(Q283&lt;&gt;"",Q283&lt;P283),AND(R283&lt;&gt;"",R283&lt;P283),AND(S283&lt;&gt;"",S283&lt;R283),AND(S283&lt;&gt;"",R283=""),AND(T283&lt;&gt;"",T283&lt;O283),AND(U283&lt;&gt;"",U283&lt;O283)),"Chronologie incohérente",IF(AND(OR(L283="Résolu",L283="Clos"),R283=""),"Date de résolution manquante",IF(AND(L283="Clos",S283=""),"Date de clôture manquante",IF(AND(K283="Oui",AC283=""),"Classification DORA manquante","OK"))))))</f>
        <v/>
      </c>
      <c r="AO283" s="35" t="str">
        <f aca="false">IF($B283="","",IF(AND(C283="Incident",L283&lt;&gt;"Annulé"),1,0))</f>
        <v/>
      </c>
      <c r="AP283" s="35" t="str">
        <f aca="false">IF($B283="","",IF(AND(C283="Quasi-incident",L283&lt;&gt;"Annulé"),1,0))</f>
        <v/>
      </c>
      <c r="AQ283" s="35" t="str">
        <f aca="false">IF($B283="","",AO283+AP283)</f>
        <v/>
      </c>
      <c r="AR283" s="36" t="str">
        <f aca="false">IF(OR($B283="",J283=""),"",IFERROR(VALUE(LEFT(J283,1)),""))</f>
        <v/>
      </c>
      <c r="AS283" s="35" t="str">
        <f aca="false">IF(OR(AO283&lt;&gt;1,G283=""),"",IFERROR(IF(INDEX(L_SrcInterne,MATCH(G283,L_Sources,0))="Oui",1,0),""))</f>
        <v/>
      </c>
      <c r="AT283" s="37" t="str">
        <f aca="false">IF(AO283&lt;&gt;1,"",IFERROR(ROUND(IF(OR(N283="",O283=""),"",IF(O283&lt;N283,"",ROUND(((NETWORKDAYS(N283,O283,JoursFeries)-1)*(HFer-HOuv)+IF(NETWORKDAYS(O283,O283,JoursFeries),MEDIAN(MOD(O283,1),HFer,HOuv),HFer)-IF(NETWORKDAYS(N283,N283,JoursFeries),MEDIAN(MOD(N283,1),HFer,HOuv),HOuv))*24,4)))/HJour,4),""))</f>
        <v/>
      </c>
      <c r="AU283" s="37" t="str">
        <f aca="false">IF(AO283&lt;&gt;1,"",IF(OR(O283="",P283=""),"",IF(P283&lt;O283,"",ROUND(((NETWORKDAYS(O283,P283,JoursFeries)-1)*(HFer-HOuv)+IF(NETWORKDAYS(P283,P283,JoursFeries),MEDIAN(MOD(P283,1),HFer,HOuv),HFer)-IF(NETWORKDAYS(O283,O283,JoursFeries),MEDIAN(MOD(O283,1),HFer,HOuv),HOuv))*24,4))))</f>
        <v/>
      </c>
      <c r="AV283" s="37" t="str">
        <f aca="false">IF(AO283&lt;&gt;1,"",IF(OR(P283="",Q283=""),"",IF(Q283&lt;P283,"",ROUND(((NETWORKDAYS(P283,Q283,JoursFeries)-1)*(HFer-HOuv)+IF(NETWORKDAYS(Q283,Q283,JoursFeries),MEDIAN(MOD(Q283,1),HFer,HOuv),HFer)-IF(NETWORKDAYS(P283,P283,JoursFeries),MEDIAN(MOD(P283,1),HFer,HOuv),HOuv))*24,4))))</f>
        <v/>
      </c>
      <c r="AW283" s="37" t="str">
        <f aca="false">IF(AO283&lt;&gt;1,"",IFERROR(ROUND(IF(OR(P283="",R283=""),"",IF(R283&lt;P283,"",ROUND(((NETWORKDAYS(P283,R283,JoursFeries)-1)*(HFer-HOuv)+IF(NETWORKDAYS(R283,R283,JoursFeries),MEDIAN(MOD(R283,1),HFer,HOuv),HFer)-IF(NETWORKDAYS(P283,P283,JoursFeries),MEDIAN(MOD(P283,1),HFer,HOuv),HOuv))*24,4)))/HJour,4),""))</f>
        <v/>
      </c>
      <c r="AX283" s="37" t="str">
        <f aca="false">IF(AO283&lt;&gt;1,"",IFERROR(ROUND(IF(OR(P283="",S283=""),"",IF(S283&lt;P283,"",ROUND(((NETWORKDAYS(P283,S283,JoursFeries)-1)*(HFer-HOuv)+IF(NETWORKDAYS(S283,S283,JoursFeries),MEDIAN(MOD(S283,1),HFer,HOuv),HFer)-IF(NETWORKDAYS(P283,P283,JoursFeries),MEDIAN(MOD(P283,1),HFer,HOuv),HOuv))*24,4)))/HJour,4),""))</f>
        <v/>
      </c>
      <c r="AY283" s="36" t="str">
        <f aca="false">IF(OR(AO283&lt;&gt;1,AR283=""),"",INDEX(SLA_PEC,AR283))</f>
        <v/>
      </c>
      <c r="AZ283" s="35" t="str">
        <f aca="false">IF(OR(AV283="",AY283=""),"",IF(AV283&lt;=AY283,1,0))</f>
        <v/>
      </c>
      <c r="BA283" s="36" t="str">
        <f aca="false">IF(OR(AO283&lt;&gt;1,AR283=""),"",INDEX(SLA_RES,AR283))</f>
        <v/>
      </c>
      <c r="BB283" s="35" t="str">
        <f aca="false">IF(OR(AW283="",BA283=""),"",IF(AW283&lt;=BA283,1,0))</f>
        <v/>
      </c>
      <c r="BC283" s="38" t="str">
        <f aca="false">IF(OR(BA283="",P283=""),"",WORKDAY(INT(P283),BA283,JoursFeries)+MOD(P283,1))</f>
        <v/>
      </c>
      <c r="BD283" s="39" t="str">
        <f aca="false">IF(AO283&lt;&gt;1,"",IF(OR(AB283&lt;&gt;"",AD283&lt;&gt;""),4,IF(U283&lt;&gt;"",3,IF(T283&lt;&gt;"",2,1))))</f>
        <v/>
      </c>
      <c r="BE283" s="39" t="str">
        <f aca="false">IF(OR(AO283&lt;&gt;1,AR283=""),"",INDEX(NIV_REQ,AR283))</f>
        <v/>
      </c>
      <c r="BF283" s="39" t="str">
        <f aca="false">IF(BE283="","",MAX(BE283,IF(OR(K283="Oui",Z283="Oui"),4,1)))</f>
        <v/>
      </c>
      <c r="BG283" s="35" t="str">
        <f aca="false">IF(OR(BF283="",BD283=""),"",IF(BD283&gt;=BF283,1,0))</f>
        <v/>
      </c>
      <c r="BH283" s="38" t="str">
        <f aca="false">IF(BE283="","",IF(BE283&lt;2,"",IF(BE283=2,IF(AND(T283="",U283=""),"",MIN(T283,U283)),IF(U283="","",U283))))</f>
        <v/>
      </c>
      <c r="BI283" s="37" t="str">
        <f aca="false">IF(BH283="","",IF(OR(O283="",BH283=""),"",IF(BH283&lt;O283,"",ROUND(((NETWORKDAYS(O283,BH283,JoursFeries)-1)*(HFer-HOuv)+IF(NETWORKDAYS(BH283,BH283,JoursFeries),MEDIAN(MOD(BH283,1),HFer,HOuv),HFer)-IF(NETWORKDAYS(O283,O283,JoursFeries),MEDIAN(MOD(O283,1),HFer,HOuv),HOuv))*24,4))))</f>
        <v/>
      </c>
      <c r="BJ283" s="35" t="str">
        <f aca="false">IF(OR(BI283="",AR283=""),"",IF(BI283&lt;=INDEX(DELAI_ESC,AR283),1,0))</f>
        <v/>
      </c>
      <c r="BK283" s="38" t="str">
        <f aca="false">IF(AO283&lt;&gt;1,"",IF(AND(T283="",U283=""),"",MIN(T283,U283)))</f>
        <v/>
      </c>
      <c r="BL283" s="37" t="str">
        <f aca="false">IF(OR(BK283="",R283=""),"",IFERROR(ROUND(IF(OR(BK283="",R283=""),"",IF(R283&lt;BK283,"",ROUND(((NETWORKDAYS(BK283,R283,JoursFeries)-1)*(HFer-HOuv)+IF(NETWORKDAYS(R283,R283,JoursFeries),MEDIAN(MOD(R283,1),HFer,HOuv),HFer)-IF(NETWORKDAYS(BK283,BK283,JoursFeries),MEDIAN(MOD(BK283,1),HFer,HOuv),HOuv))*24,4)))/HJour,4),""))</f>
        <v/>
      </c>
      <c r="BM283" s="35" t="str">
        <f aca="false">IF(OR(AO283&lt;&gt;1,R283=""),"",IF(BD283=1,1,0))</f>
        <v/>
      </c>
      <c r="BN283" s="35" t="str">
        <f aca="false">IF(AO283&lt;&gt;1,"",IF(W283="Oui",1,0))</f>
        <v/>
      </c>
      <c r="BO283" s="35" t="str">
        <f aca="false">IF(AO283&lt;&gt;1,"",IF(X283&lt;&gt;"",1,0))</f>
        <v/>
      </c>
      <c r="BP283" s="35" t="str">
        <f aca="false">IF(AO283&lt;&gt;1,"",IF(Y283="Oui",1,0))</f>
        <v/>
      </c>
      <c r="BQ283" s="35" t="str">
        <f aca="true">IF(OR(AO283&lt;&gt;1,Z283&lt;&gt;"Oui"),"",IF(AB283="",IF(AND(AA283&lt;&gt;"",NOW()&gt;AA283),0,""),IF(AA283="","",IF(AB283&lt;=AA283,1,0))))</f>
        <v/>
      </c>
      <c r="BR283" s="38" t="str">
        <f aca="false">IF(OR(AO283&lt;&gt;1,K283&lt;&gt;"Oui",O283=""),"",IF(AC283="",O283+DORA_H_DET/24,IF(AC283-O283&lt;=DORA_H_DET/24,MIN(AC283+DORA_H_CLA/24,O283+DORA_H_DET/24),AC283+DORA_H_CLA/24)))</f>
        <v/>
      </c>
      <c r="BS283" s="35" t="str">
        <f aca="true">IF(BR283="","",IF(AD283="",IF(NOW()&gt;BR283,0,""),IF(AD283&lt;=BR283,1,0)))</f>
        <v/>
      </c>
      <c r="BT283" s="35" t="str">
        <f aca="true">IF(OR(BR283="",AD283=""),"",IF(AE283="",IF(NOW()&gt;AD283+DORA_H_INT/24,0,""),IF(AE283&lt;=AD283+DORA_H_INT/24,1,0)))</f>
        <v/>
      </c>
      <c r="BU283" s="35" t="str">
        <f aca="true">IF(OR(BR283="",AE283=""),"",IF(AF283="",IF(NOW()&gt;EDATE(AE283,DORA_M_FIN)+1,0,""),IF(AF283&lt;=EDATE(AE283,DORA_M_FIN),1,0)))</f>
        <v/>
      </c>
      <c r="BV283" s="35" t="str">
        <f aca="false">IF(BR283="","",IF(COUNT(BS283:BU283)=0,"",MIN(BS283:BU283)))</f>
        <v/>
      </c>
      <c r="BW283" s="40" t="str">
        <f aca="false">IF(AQ283&lt;&gt;1,"",IF(AND(AG283="",AH283=""),"",N(AG283)-N(AH283)))</f>
        <v/>
      </c>
      <c r="BX283" s="35" t="str">
        <f aca="true">IF(OR(AQ283&lt;&gt;1,AI283&lt;&gt;"Oui",AJ283=""),"",IF(AK283="",IF(NOW()&gt;AJ283+1,0,""),IF(AK283&lt;=AJ283,1,0)))</f>
        <v/>
      </c>
    </row>
    <row r="284" customFormat="false" ht="15" hidden="false" customHeight="false" outlineLevel="0" collapsed="false">
      <c r="B284" s="29"/>
      <c r="C284" s="29"/>
      <c r="D284" s="29"/>
      <c r="E284" s="29"/>
      <c r="F284" s="29"/>
      <c r="G284" s="29"/>
      <c r="H284" s="29"/>
      <c r="I284" s="29"/>
      <c r="J284" s="29"/>
      <c r="K284" s="29"/>
      <c r="L284" s="29"/>
      <c r="M284" s="29"/>
      <c r="N284" s="30"/>
      <c r="O284" s="30"/>
      <c r="P284" s="30"/>
      <c r="Q284" s="30"/>
      <c r="R284" s="30"/>
      <c r="S284" s="30"/>
      <c r="T284" s="30"/>
      <c r="U284" s="30"/>
      <c r="V284" s="31"/>
      <c r="W284" s="29"/>
      <c r="X284" s="29"/>
      <c r="Y284" s="29"/>
      <c r="Z284" s="29"/>
      <c r="AA284" s="30"/>
      <c r="AB284" s="30"/>
      <c r="AC284" s="30"/>
      <c r="AD284" s="30"/>
      <c r="AE284" s="30"/>
      <c r="AF284" s="32"/>
      <c r="AG284" s="33"/>
      <c r="AH284" s="33"/>
      <c r="AI284" s="29"/>
      <c r="AJ284" s="32"/>
      <c r="AK284" s="32"/>
      <c r="AL284" s="29"/>
      <c r="AN284" s="34" t="str">
        <f aca="false">IF($B284="","",IF(OR(C284="",D284="",E284="",G284="",I284="",J284="",L284="",O284="",P284=""),"Champ obligatoire manquant",IF(OR(AND(N284&lt;&gt;"",N284&gt;O284),O284&gt;P284,AND(Q284&lt;&gt;"",Q284&lt;P284),AND(R284&lt;&gt;"",R284&lt;P284),AND(S284&lt;&gt;"",S284&lt;R284),AND(S284&lt;&gt;"",R284=""),AND(T284&lt;&gt;"",T284&lt;O284),AND(U284&lt;&gt;"",U284&lt;O284)),"Chronologie incohérente",IF(AND(OR(L284="Résolu",L284="Clos"),R284=""),"Date de résolution manquante",IF(AND(L284="Clos",S284=""),"Date de clôture manquante",IF(AND(K284="Oui",AC284=""),"Classification DORA manquante","OK"))))))</f>
        <v/>
      </c>
      <c r="AO284" s="35" t="str">
        <f aca="false">IF($B284="","",IF(AND(C284="Incident",L284&lt;&gt;"Annulé"),1,0))</f>
        <v/>
      </c>
      <c r="AP284" s="35" t="str">
        <f aca="false">IF($B284="","",IF(AND(C284="Quasi-incident",L284&lt;&gt;"Annulé"),1,0))</f>
        <v/>
      </c>
      <c r="AQ284" s="35" t="str">
        <f aca="false">IF($B284="","",AO284+AP284)</f>
        <v/>
      </c>
      <c r="AR284" s="36" t="str">
        <f aca="false">IF(OR($B284="",J284=""),"",IFERROR(VALUE(LEFT(J284,1)),""))</f>
        <v/>
      </c>
      <c r="AS284" s="35" t="str">
        <f aca="false">IF(OR(AO284&lt;&gt;1,G284=""),"",IFERROR(IF(INDEX(L_SrcInterne,MATCH(G284,L_Sources,0))="Oui",1,0),""))</f>
        <v/>
      </c>
      <c r="AT284" s="37" t="str">
        <f aca="false">IF(AO284&lt;&gt;1,"",IFERROR(ROUND(IF(OR(N284="",O284=""),"",IF(O284&lt;N284,"",ROUND(((NETWORKDAYS(N284,O284,JoursFeries)-1)*(HFer-HOuv)+IF(NETWORKDAYS(O284,O284,JoursFeries),MEDIAN(MOD(O284,1),HFer,HOuv),HFer)-IF(NETWORKDAYS(N284,N284,JoursFeries),MEDIAN(MOD(N284,1),HFer,HOuv),HOuv))*24,4)))/HJour,4),""))</f>
        <v/>
      </c>
      <c r="AU284" s="37" t="str">
        <f aca="false">IF(AO284&lt;&gt;1,"",IF(OR(O284="",P284=""),"",IF(P284&lt;O284,"",ROUND(((NETWORKDAYS(O284,P284,JoursFeries)-1)*(HFer-HOuv)+IF(NETWORKDAYS(P284,P284,JoursFeries),MEDIAN(MOD(P284,1),HFer,HOuv),HFer)-IF(NETWORKDAYS(O284,O284,JoursFeries),MEDIAN(MOD(O284,1),HFer,HOuv),HOuv))*24,4))))</f>
        <v/>
      </c>
      <c r="AV284" s="37" t="str">
        <f aca="false">IF(AO284&lt;&gt;1,"",IF(OR(P284="",Q284=""),"",IF(Q284&lt;P284,"",ROUND(((NETWORKDAYS(P284,Q284,JoursFeries)-1)*(HFer-HOuv)+IF(NETWORKDAYS(Q284,Q284,JoursFeries),MEDIAN(MOD(Q284,1),HFer,HOuv),HFer)-IF(NETWORKDAYS(P284,P284,JoursFeries),MEDIAN(MOD(P284,1),HFer,HOuv),HOuv))*24,4))))</f>
        <v/>
      </c>
      <c r="AW284" s="37" t="str">
        <f aca="false">IF(AO284&lt;&gt;1,"",IFERROR(ROUND(IF(OR(P284="",R284=""),"",IF(R284&lt;P284,"",ROUND(((NETWORKDAYS(P284,R284,JoursFeries)-1)*(HFer-HOuv)+IF(NETWORKDAYS(R284,R284,JoursFeries),MEDIAN(MOD(R284,1),HFer,HOuv),HFer)-IF(NETWORKDAYS(P284,P284,JoursFeries),MEDIAN(MOD(P284,1),HFer,HOuv),HOuv))*24,4)))/HJour,4),""))</f>
        <v/>
      </c>
      <c r="AX284" s="37" t="str">
        <f aca="false">IF(AO284&lt;&gt;1,"",IFERROR(ROUND(IF(OR(P284="",S284=""),"",IF(S284&lt;P284,"",ROUND(((NETWORKDAYS(P284,S284,JoursFeries)-1)*(HFer-HOuv)+IF(NETWORKDAYS(S284,S284,JoursFeries),MEDIAN(MOD(S284,1),HFer,HOuv),HFer)-IF(NETWORKDAYS(P284,P284,JoursFeries),MEDIAN(MOD(P284,1),HFer,HOuv),HOuv))*24,4)))/HJour,4),""))</f>
        <v/>
      </c>
      <c r="AY284" s="36" t="str">
        <f aca="false">IF(OR(AO284&lt;&gt;1,AR284=""),"",INDEX(SLA_PEC,AR284))</f>
        <v/>
      </c>
      <c r="AZ284" s="35" t="str">
        <f aca="false">IF(OR(AV284="",AY284=""),"",IF(AV284&lt;=AY284,1,0))</f>
        <v/>
      </c>
      <c r="BA284" s="36" t="str">
        <f aca="false">IF(OR(AO284&lt;&gt;1,AR284=""),"",INDEX(SLA_RES,AR284))</f>
        <v/>
      </c>
      <c r="BB284" s="35" t="str">
        <f aca="false">IF(OR(AW284="",BA284=""),"",IF(AW284&lt;=BA284,1,0))</f>
        <v/>
      </c>
      <c r="BC284" s="38" t="str">
        <f aca="false">IF(OR(BA284="",P284=""),"",WORKDAY(INT(P284),BA284,JoursFeries)+MOD(P284,1))</f>
        <v/>
      </c>
      <c r="BD284" s="39" t="str">
        <f aca="false">IF(AO284&lt;&gt;1,"",IF(OR(AB284&lt;&gt;"",AD284&lt;&gt;""),4,IF(U284&lt;&gt;"",3,IF(T284&lt;&gt;"",2,1))))</f>
        <v/>
      </c>
      <c r="BE284" s="39" t="str">
        <f aca="false">IF(OR(AO284&lt;&gt;1,AR284=""),"",INDEX(NIV_REQ,AR284))</f>
        <v/>
      </c>
      <c r="BF284" s="39" t="str">
        <f aca="false">IF(BE284="","",MAX(BE284,IF(OR(K284="Oui",Z284="Oui"),4,1)))</f>
        <v/>
      </c>
      <c r="BG284" s="35" t="str">
        <f aca="false">IF(OR(BF284="",BD284=""),"",IF(BD284&gt;=BF284,1,0))</f>
        <v/>
      </c>
      <c r="BH284" s="38" t="str">
        <f aca="false">IF(BE284="","",IF(BE284&lt;2,"",IF(BE284=2,IF(AND(T284="",U284=""),"",MIN(T284,U284)),IF(U284="","",U284))))</f>
        <v/>
      </c>
      <c r="BI284" s="37" t="str">
        <f aca="false">IF(BH284="","",IF(OR(O284="",BH284=""),"",IF(BH284&lt;O284,"",ROUND(((NETWORKDAYS(O284,BH284,JoursFeries)-1)*(HFer-HOuv)+IF(NETWORKDAYS(BH284,BH284,JoursFeries),MEDIAN(MOD(BH284,1),HFer,HOuv),HFer)-IF(NETWORKDAYS(O284,O284,JoursFeries),MEDIAN(MOD(O284,1),HFer,HOuv),HOuv))*24,4))))</f>
        <v/>
      </c>
      <c r="BJ284" s="35" t="str">
        <f aca="false">IF(OR(BI284="",AR284=""),"",IF(BI284&lt;=INDEX(DELAI_ESC,AR284),1,0))</f>
        <v/>
      </c>
      <c r="BK284" s="38" t="str">
        <f aca="false">IF(AO284&lt;&gt;1,"",IF(AND(T284="",U284=""),"",MIN(T284,U284)))</f>
        <v/>
      </c>
      <c r="BL284" s="37" t="str">
        <f aca="false">IF(OR(BK284="",R284=""),"",IFERROR(ROUND(IF(OR(BK284="",R284=""),"",IF(R284&lt;BK284,"",ROUND(((NETWORKDAYS(BK284,R284,JoursFeries)-1)*(HFer-HOuv)+IF(NETWORKDAYS(R284,R284,JoursFeries),MEDIAN(MOD(R284,1),HFer,HOuv),HFer)-IF(NETWORKDAYS(BK284,BK284,JoursFeries),MEDIAN(MOD(BK284,1),HFer,HOuv),HOuv))*24,4)))/HJour,4),""))</f>
        <v/>
      </c>
      <c r="BM284" s="35" t="str">
        <f aca="false">IF(OR(AO284&lt;&gt;1,R284=""),"",IF(BD284=1,1,0))</f>
        <v/>
      </c>
      <c r="BN284" s="35" t="str">
        <f aca="false">IF(AO284&lt;&gt;1,"",IF(W284="Oui",1,0))</f>
        <v/>
      </c>
      <c r="BO284" s="35" t="str">
        <f aca="false">IF(AO284&lt;&gt;1,"",IF(X284&lt;&gt;"",1,0))</f>
        <v/>
      </c>
      <c r="BP284" s="35" t="str">
        <f aca="false">IF(AO284&lt;&gt;1,"",IF(Y284="Oui",1,0))</f>
        <v/>
      </c>
      <c r="BQ284" s="35" t="str">
        <f aca="true">IF(OR(AO284&lt;&gt;1,Z284&lt;&gt;"Oui"),"",IF(AB284="",IF(AND(AA284&lt;&gt;"",NOW()&gt;AA284),0,""),IF(AA284="","",IF(AB284&lt;=AA284,1,0))))</f>
        <v/>
      </c>
      <c r="BR284" s="38" t="str">
        <f aca="false">IF(OR(AO284&lt;&gt;1,K284&lt;&gt;"Oui",O284=""),"",IF(AC284="",O284+DORA_H_DET/24,IF(AC284-O284&lt;=DORA_H_DET/24,MIN(AC284+DORA_H_CLA/24,O284+DORA_H_DET/24),AC284+DORA_H_CLA/24)))</f>
        <v/>
      </c>
      <c r="BS284" s="35" t="str">
        <f aca="true">IF(BR284="","",IF(AD284="",IF(NOW()&gt;BR284,0,""),IF(AD284&lt;=BR284,1,0)))</f>
        <v/>
      </c>
      <c r="BT284" s="35" t="str">
        <f aca="true">IF(OR(BR284="",AD284=""),"",IF(AE284="",IF(NOW()&gt;AD284+DORA_H_INT/24,0,""),IF(AE284&lt;=AD284+DORA_H_INT/24,1,0)))</f>
        <v/>
      </c>
      <c r="BU284" s="35" t="str">
        <f aca="true">IF(OR(BR284="",AE284=""),"",IF(AF284="",IF(NOW()&gt;EDATE(AE284,DORA_M_FIN)+1,0,""),IF(AF284&lt;=EDATE(AE284,DORA_M_FIN),1,0)))</f>
        <v/>
      </c>
      <c r="BV284" s="35" t="str">
        <f aca="false">IF(BR284="","",IF(COUNT(BS284:BU284)=0,"",MIN(BS284:BU284)))</f>
        <v/>
      </c>
      <c r="BW284" s="40" t="str">
        <f aca="false">IF(AQ284&lt;&gt;1,"",IF(AND(AG284="",AH284=""),"",N(AG284)-N(AH284)))</f>
        <v/>
      </c>
      <c r="BX284" s="35" t="str">
        <f aca="true">IF(OR(AQ284&lt;&gt;1,AI284&lt;&gt;"Oui",AJ284=""),"",IF(AK284="",IF(NOW()&gt;AJ284+1,0,""),IF(AK284&lt;=AJ284,1,0)))</f>
        <v/>
      </c>
    </row>
    <row r="285" customFormat="false" ht="15" hidden="false" customHeight="false" outlineLevel="0" collapsed="false">
      <c r="B285" s="29"/>
      <c r="C285" s="29"/>
      <c r="D285" s="29"/>
      <c r="E285" s="29"/>
      <c r="F285" s="29"/>
      <c r="G285" s="29"/>
      <c r="H285" s="29"/>
      <c r="I285" s="29"/>
      <c r="J285" s="29"/>
      <c r="K285" s="29"/>
      <c r="L285" s="29"/>
      <c r="M285" s="29"/>
      <c r="N285" s="30"/>
      <c r="O285" s="30"/>
      <c r="P285" s="30"/>
      <c r="Q285" s="30"/>
      <c r="R285" s="30"/>
      <c r="S285" s="30"/>
      <c r="T285" s="30"/>
      <c r="U285" s="30"/>
      <c r="V285" s="31"/>
      <c r="W285" s="29"/>
      <c r="X285" s="29"/>
      <c r="Y285" s="29"/>
      <c r="Z285" s="29"/>
      <c r="AA285" s="30"/>
      <c r="AB285" s="30"/>
      <c r="AC285" s="30"/>
      <c r="AD285" s="30"/>
      <c r="AE285" s="30"/>
      <c r="AF285" s="32"/>
      <c r="AG285" s="33"/>
      <c r="AH285" s="33"/>
      <c r="AI285" s="29"/>
      <c r="AJ285" s="32"/>
      <c r="AK285" s="32"/>
      <c r="AL285" s="29"/>
      <c r="AN285" s="34" t="str">
        <f aca="false">IF($B285="","",IF(OR(C285="",D285="",E285="",G285="",I285="",J285="",L285="",O285="",P285=""),"Champ obligatoire manquant",IF(OR(AND(N285&lt;&gt;"",N285&gt;O285),O285&gt;P285,AND(Q285&lt;&gt;"",Q285&lt;P285),AND(R285&lt;&gt;"",R285&lt;P285),AND(S285&lt;&gt;"",S285&lt;R285),AND(S285&lt;&gt;"",R285=""),AND(T285&lt;&gt;"",T285&lt;O285),AND(U285&lt;&gt;"",U285&lt;O285)),"Chronologie incohérente",IF(AND(OR(L285="Résolu",L285="Clos"),R285=""),"Date de résolution manquante",IF(AND(L285="Clos",S285=""),"Date de clôture manquante",IF(AND(K285="Oui",AC285=""),"Classification DORA manquante","OK"))))))</f>
        <v/>
      </c>
      <c r="AO285" s="35" t="str">
        <f aca="false">IF($B285="","",IF(AND(C285="Incident",L285&lt;&gt;"Annulé"),1,0))</f>
        <v/>
      </c>
      <c r="AP285" s="35" t="str">
        <f aca="false">IF($B285="","",IF(AND(C285="Quasi-incident",L285&lt;&gt;"Annulé"),1,0))</f>
        <v/>
      </c>
      <c r="AQ285" s="35" t="str">
        <f aca="false">IF($B285="","",AO285+AP285)</f>
        <v/>
      </c>
      <c r="AR285" s="36" t="str">
        <f aca="false">IF(OR($B285="",J285=""),"",IFERROR(VALUE(LEFT(J285,1)),""))</f>
        <v/>
      </c>
      <c r="AS285" s="35" t="str">
        <f aca="false">IF(OR(AO285&lt;&gt;1,G285=""),"",IFERROR(IF(INDEX(L_SrcInterne,MATCH(G285,L_Sources,0))="Oui",1,0),""))</f>
        <v/>
      </c>
      <c r="AT285" s="37" t="str">
        <f aca="false">IF(AO285&lt;&gt;1,"",IFERROR(ROUND(IF(OR(N285="",O285=""),"",IF(O285&lt;N285,"",ROUND(((NETWORKDAYS(N285,O285,JoursFeries)-1)*(HFer-HOuv)+IF(NETWORKDAYS(O285,O285,JoursFeries),MEDIAN(MOD(O285,1),HFer,HOuv),HFer)-IF(NETWORKDAYS(N285,N285,JoursFeries),MEDIAN(MOD(N285,1),HFer,HOuv),HOuv))*24,4)))/HJour,4),""))</f>
        <v/>
      </c>
      <c r="AU285" s="37" t="str">
        <f aca="false">IF(AO285&lt;&gt;1,"",IF(OR(O285="",P285=""),"",IF(P285&lt;O285,"",ROUND(((NETWORKDAYS(O285,P285,JoursFeries)-1)*(HFer-HOuv)+IF(NETWORKDAYS(P285,P285,JoursFeries),MEDIAN(MOD(P285,1),HFer,HOuv),HFer)-IF(NETWORKDAYS(O285,O285,JoursFeries),MEDIAN(MOD(O285,1),HFer,HOuv),HOuv))*24,4))))</f>
        <v/>
      </c>
      <c r="AV285" s="37" t="str">
        <f aca="false">IF(AO285&lt;&gt;1,"",IF(OR(P285="",Q285=""),"",IF(Q285&lt;P285,"",ROUND(((NETWORKDAYS(P285,Q285,JoursFeries)-1)*(HFer-HOuv)+IF(NETWORKDAYS(Q285,Q285,JoursFeries),MEDIAN(MOD(Q285,1),HFer,HOuv),HFer)-IF(NETWORKDAYS(P285,P285,JoursFeries),MEDIAN(MOD(P285,1),HFer,HOuv),HOuv))*24,4))))</f>
        <v/>
      </c>
      <c r="AW285" s="37" t="str">
        <f aca="false">IF(AO285&lt;&gt;1,"",IFERROR(ROUND(IF(OR(P285="",R285=""),"",IF(R285&lt;P285,"",ROUND(((NETWORKDAYS(P285,R285,JoursFeries)-1)*(HFer-HOuv)+IF(NETWORKDAYS(R285,R285,JoursFeries),MEDIAN(MOD(R285,1),HFer,HOuv),HFer)-IF(NETWORKDAYS(P285,P285,JoursFeries),MEDIAN(MOD(P285,1),HFer,HOuv),HOuv))*24,4)))/HJour,4),""))</f>
        <v/>
      </c>
      <c r="AX285" s="37" t="str">
        <f aca="false">IF(AO285&lt;&gt;1,"",IFERROR(ROUND(IF(OR(P285="",S285=""),"",IF(S285&lt;P285,"",ROUND(((NETWORKDAYS(P285,S285,JoursFeries)-1)*(HFer-HOuv)+IF(NETWORKDAYS(S285,S285,JoursFeries),MEDIAN(MOD(S285,1),HFer,HOuv),HFer)-IF(NETWORKDAYS(P285,P285,JoursFeries),MEDIAN(MOD(P285,1),HFer,HOuv),HOuv))*24,4)))/HJour,4),""))</f>
        <v/>
      </c>
      <c r="AY285" s="36" t="str">
        <f aca="false">IF(OR(AO285&lt;&gt;1,AR285=""),"",INDEX(SLA_PEC,AR285))</f>
        <v/>
      </c>
      <c r="AZ285" s="35" t="str">
        <f aca="false">IF(OR(AV285="",AY285=""),"",IF(AV285&lt;=AY285,1,0))</f>
        <v/>
      </c>
      <c r="BA285" s="36" t="str">
        <f aca="false">IF(OR(AO285&lt;&gt;1,AR285=""),"",INDEX(SLA_RES,AR285))</f>
        <v/>
      </c>
      <c r="BB285" s="35" t="str">
        <f aca="false">IF(OR(AW285="",BA285=""),"",IF(AW285&lt;=BA285,1,0))</f>
        <v/>
      </c>
      <c r="BC285" s="38" t="str">
        <f aca="false">IF(OR(BA285="",P285=""),"",WORKDAY(INT(P285),BA285,JoursFeries)+MOD(P285,1))</f>
        <v/>
      </c>
      <c r="BD285" s="39" t="str">
        <f aca="false">IF(AO285&lt;&gt;1,"",IF(OR(AB285&lt;&gt;"",AD285&lt;&gt;""),4,IF(U285&lt;&gt;"",3,IF(T285&lt;&gt;"",2,1))))</f>
        <v/>
      </c>
      <c r="BE285" s="39" t="str">
        <f aca="false">IF(OR(AO285&lt;&gt;1,AR285=""),"",INDEX(NIV_REQ,AR285))</f>
        <v/>
      </c>
      <c r="BF285" s="39" t="str">
        <f aca="false">IF(BE285="","",MAX(BE285,IF(OR(K285="Oui",Z285="Oui"),4,1)))</f>
        <v/>
      </c>
      <c r="BG285" s="35" t="str">
        <f aca="false">IF(OR(BF285="",BD285=""),"",IF(BD285&gt;=BF285,1,0))</f>
        <v/>
      </c>
      <c r="BH285" s="38" t="str">
        <f aca="false">IF(BE285="","",IF(BE285&lt;2,"",IF(BE285=2,IF(AND(T285="",U285=""),"",MIN(T285,U285)),IF(U285="","",U285))))</f>
        <v/>
      </c>
      <c r="BI285" s="37" t="str">
        <f aca="false">IF(BH285="","",IF(OR(O285="",BH285=""),"",IF(BH285&lt;O285,"",ROUND(((NETWORKDAYS(O285,BH285,JoursFeries)-1)*(HFer-HOuv)+IF(NETWORKDAYS(BH285,BH285,JoursFeries),MEDIAN(MOD(BH285,1),HFer,HOuv),HFer)-IF(NETWORKDAYS(O285,O285,JoursFeries),MEDIAN(MOD(O285,1),HFer,HOuv),HOuv))*24,4))))</f>
        <v/>
      </c>
      <c r="BJ285" s="35" t="str">
        <f aca="false">IF(OR(BI285="",AR285=""),"",IF(BI285&lt;=INDEX(DELAI_ESC,AR285),1,0))</f>
        <v/>
      </c>
      <c r="BK285" s="38" t="str">
        <f aca="false">IF(AO285&lt;&gt;1,"",IF(AND(T285="",U285=""),"",MIN(T285,U285)))</f>
        <v/>
      </c>
      <c r="BL285" s="37" t="str">
        <f aca="false">IF(OR(BK285="",R285=""),"",IFERROR(ROUND(IF(OR(BK285="",R285=""),"",IF(R285&lt;BK285,"",ROUND(((NETWORKDAYS(BK285,R285,JoursFeries)-1)*(HFer-HOuv)+IF(NETWORKDAYS(R285,R285,JoursFeries),MEDIAN(MOD(R285,1),HFer,HOuv),HFer)-IF(NETWORKDAYS(BK285,BK285,JoursFeries),MEDIAN(MOD(BK285,1),HFer,HOuv),HOuv))*24,4)))/HJour,4),""))</f>
        <v/>
      </c>
      <c r="BM285" s="35" t="str">
        <f aca="false">IF(OR(AO285&lt;&gt;1,R285=""),"",IF(BD285=1,1,0))</f>
        <v/>
      </c>
      <c r="BN285" s="35" t="str">
        <f aca="false">IF(AO285&lt;&gt;1,"",IF(W285="Oui",1,0))</f>
        <v/>
      </c>
      <c r="BO285" s="35" t="str">
        <f aca="false">IF(AO285&lt;&gt;1,"",IF(X285&lt;&gt;"",1,0))</f>
        <v/>
      </c>
      <c r="BP285" s="35" t="str">
        <f aca="false">IF(AO285&lt;&gt;1,"",IF(Y285="Oui",1,0))</f>
        <v/>
      </c>
      <c r="BQ285" s="35" t="str">
        <f aca="true">IF(OR(AO285&lt;&gt;1,Z285&lt;&gt;"Oui"),"",IF(AB285="",IF(AND(AA285&lt;&gt;"",NOW()&gt;AA285),0,""),IF(AA285="","",IF(AB285&lt;=AA285,1,0))))</f>
        <v/>
      </c>
      <c r="BR285" s="38" t="str">
        <f aca="false">IF(OR(AO285&lt;&gt;1,K285&lt;&gt;"Oui",O285=""),"",IF(AC285="",O285+DORA_H_DET/24,IF(AC285-O285&lt;=DORA_H_DET/24,MIN(AC285+DORA_H_CLA/24,O285+DORA_H_DET/24),AC285+DORA_H_CLA/24)))</f>
        <v/>
      </c>
      <c r="BS285" s="35" t="str">
        <f aca="true">IF(BR285="","",IF(AD285="",IF(NOW()&gt;BR285,0,""),IF(AD285&lt;=BR285,1,0)))</f>
        <v/>
      </c>
      <c r="BT285" s="35" t="str">
        <f aca="true">IF(OR(BR285="",AD285=""),"",IF(AE285="",IF(NOW()&gt;AD285+DORA_H_INT/24,0,""),IF(AE285&lt;=AD285+DORA_H_INT/24,1,0)))</f>
        <v/>
      </c>
      <c r="BU285" s="35" t="str">
        <f aca="true">IF(OR(BR285="",AE285=""),"",IF(AF285="",IF(NOW()&gt;EDATE(AE285,DORA_M_FIN)+1,0,""),IF(AF285&lt;=EDATE(AE285,DORA_M_FIN),1,0)))</f>
        <v/>
      </c>
      <c r="BV285" s="35" t="str">
        <f aca="false">IF(BR285="","",IF(COUNT(BS285:BU285)=0,"",MIN(BS285:BU285)))</f>
        <v/>
      </c>
      <c r="BW285" s="40" t="str">
        <f aca="false">IF(AQ285&lt;&gt;1,"",IF(AND(AG285="",AH285=""),"",N(AG285)-N(AH285)))</f>
        <v/>
      </c>
      <c r="BX285" s="35" t="str">
        <f aca="true">IF(OR(AQ285&lt;&gt;1,AI285&lt;&gt;"Oui",AJ285=""),"",IF(AK285="",IF(NOW()&gt;AJ285+1,0,""),IF(AK285&lt;=AJ285,1,0)))</f>
        <v/>
      </c>
    </row>
    <row r="286" customFormat="false" ht="15" hidden="false" customHeight="false" outlineLevel="0" collapsed="false">
      <c r="B286" s="29"/>
      <c r="C286" s="29"/>
      <c r="D286" s="29"/>
      <c r="E286" s="29"/>
      <c r="F286" s="29"/>
      <c r="G286" s="29"/>
      <c r="H286" s="29"/>
      <c r="I286" s="29"/>
      <c r="J286" s="29"/>
      <c r="K286" s="29"/>
      <c r="L286" s="29"/>
      <c r="M286" s="29"/>
      <c r="N286" s="30"/>
      <c r="O286" s="30"/>
      <c r="P286" s="30"/>
      <c r="Q286" s="30"/>
      <c r="R286" s="30"/>
      <c r="S286" s="30"/>
      <c r="T286" s="30"/>
      <c r="U286" s="30"/>
      <c r="V286" s="31"/>
      <c r="W286" s="29"/>
      <c r="X286" s="29"/>
      <c r="Y286" s="29"/>
      <c r="Z286" s="29"/>
      <c r="AA286" s="30"/>
      <c r="AB286" s="30"/>
      <c r="AC286" s="30"/>
      <c r="AD286" s="30"/>
      <c r="AE286" s="30"/>
      <c r="AF286" s="32"/>
      <c r="AG286" s="33"/>
      <c r="AH286" s="33"/>
      <c r="AI286" s="29"/>
      <c r="AJ286" s="32"/>
      <c r="AK286" s="32"/>
      <c r="AL286" s="29"/>
      <c r="AN286" s="34" t="str">
        <f aca="false">IF($B286="","",IF(OR(C286="",D286="",E286="",G286="",I286="",J286="",L286="",O286="",P286=""),"Champ obligatoire manquant",IF(OR(AND(N286&lt;&gt;"",N286&gt;O286),O286&gt;P286,AND(Q286&lt;&gt;"",Q286&lt;P286),AND(R286&lt;&gt;"",R286&lt;P286),AND(S286&lt;&gt;"",S286&lt;R286),AND(S286&lt;&gt;"",R286=""),AND(T286&lt;&gt;"",T286&lt;O286),AND(U286&lt;&gt;"",U286&lt;O286)),"Chronologie incohérente",IF(AND(OR(L286="Résolu",L286="Clos"),R286=""),"Date de résolution manquante",IF(AND(L286="Clos",S286=""),"Date de clôture manquante",IF(AND(K286="Oui",AC286=""),"Classification DORA manquante","OK"))))))</f>
        <v/>
      </c>
      <c r="AO286" s="35" t="str">
        <f aca="false">IF($B286="","",IF(AND(C286="Incident",L286&lt;&gt;"Annulé"),1,0))</f>
        <v/>
      </c>
      <c r="AP286" s="35" t="str">
        <f aca="false">IF($B286="","",IF(AND(C286="Quasi-incident",L286&lt;&gt;"Annulé"),1,0))</f>
        <v/>
      </c>
      <c r="AQ286" s="35" t="str">
        <f aca="false">IF($B286="","",AO286+AP286)</f>
        <v/>
      </c>
      <c r="AR286" s="36" t="str">
        <f aca="false">IF(OR($B286="",J286=""),"",IFERROR(VALUE(LEFT(J286,1)),""))</f>
        <v/>
      </c>
      <c r="AS286" s="35" t="str">
        <f aca="false">IF(OR(AO286&lt;&gt;1,G286=""),"",IFERROR(IF(INDEX(L_SrcInterne,MATCH(G286,L_Sources,0))="Oui",1,0),""))</f>
        <v/>
      </c>
      <c r="AT286" s="37" t="str">
        <f aca="false">IF(AO286&lt;&gt;1,"",IFERROR(ROUND(IF(OR(N286="",O286=""),"",IF(O286&lt;N286,"",ROUND(((NETWORKDAYS(N286,O286,JoursFeries)-1)*(HFer-HOuv)+IF(NETWORKDAYS(O286,O286,JoursFeries),MEDIAN(MOD(O286,1),HFer,HOuv),HFer)-IF(NETWORKDAYS(N286,N286,JoursFeries),MEDIAN(MOD(N286,1),HFer,HOuv),HOuv))*24,4)))/HJour,4),""))</f>
        <v/>
      </c>
      <c r="AU286" s="37" t="str">
        <f aca="false">IF(AO286&lt;&gt;1,"",IF(OR(O286="",P286=""),"",IF(P286&lt;O286,"",ROUND(((NETWORKDAYS(O286,P286,JoursFeries)-1)*(HFer-HOuv)+IF(NETWORKDAYS(P286,P286,JoursFeries),MEDIAN(MOD(P286,1),HFer,HOuv),HFer)-IF(NETWORKDAYS(O286,O286,JoursFeries),MEDIAN(MOD(O286,1),HFer,HOuv),HOuv))*24,4))))</f>
        <v/>
      </c>
      <c r="AV286" s="37" t="str">
        <f aca="false">IF(AO286&lt;&gt;1,"",IF(OR(P286="",Q286=""),"",IF(Q286&lt;P286,"",ROUND(((NETWORKDAYS(P286,Q286,JoursFeries)-1)*(HFer-HOuv)+IF(NETWORKDAYS(Q286,Q286,JoursFeries),MEDIAN(MOD(Q286,1),HFer,HOuv),HFer)-IF(NETWORKDAYS(P286,P286,JoursFeries),MEDIAN(MOD(P286,1),HFer,HOuv),HOuv))*24,4))))</f>
        <v/>
      </c>
      <c r="AW286" s="37" t="str">
        <f aca="false">IF(AO286&lt;&gt;1,"",IFERROR(ROUND(IF(OR(P286="",R286=""),"",IF(R286&lt;P286,"",ROUND(((NETWORKDAYS(P286,R286,JoursFeries)-1)*(HFer-HOuv)+IF(NETWORKDAYS(R286,R286,JoursFeries),MEDIAN(MOD(R286,1),HFer,HOuv),HFer)-IF(NETWORKDAYS(P286,P286,JoursFeries),MEDIAN(MOD(P286,1),HFer,HOuv),HOuv))*24,4)))/HJour,4),""))</f>
        <v/>
      </c>
      <c r="AX286" s="37" t="str">
        <f aca="false">IF(AO286&lt;&gt;1,"",IFERROR(ROUND(IF(OR(P286="",S286=""),"",IF(S286&lt;P286,"",ROUND(((NETWORKDAYS(P286,S286,JoursFeries)-1)*(HFer-HOuv)+IF(NETWORKDAYS(S286,S286,JoursFeries),MEDIAN(MOD(S286,1),HFer,HOuv),HFer)-IF(NETWORKDAYS(P286,P286,JoursFeries),MEDIAN(MOD(P286,1),HFer,HOuv),HOuv))*24,4)))/HJour,4),""))</f>
        <v/>
      </c>
      <c r="AY286" s="36" t="str">
        <f aca="false">IF(OR(AO286&lt;&gt;1,AR286=""),"",INDEX(SLA_PEC,AR286))</f>
        <v/>
      </c>
      <c r="AZ286" s="35" t="str">
        <f aca="false">IF(OR(AV286="",AY286=""),"",IF(AV286&lt;=AY286,1,0))</f>
        <v/>
      </c>
      <c r="BA286" s="36" t="str">
        <f aca="false">IF(OR(AO286&lt;&gt;1,AR286=""),"",INDEX(SLA_RES,AR286))</f>
        <v/>
      </c>
      <c r="BB286" s="35" t="str">
        <f aca="false">IF(OR(AW286="",BA286=""),"",IF(AW286&lt;=BA286,1,0))</f>
        <v/>
      </c>
      <c r="BC286" s="38" t="str">
        <f aca="false">IF(OR(BA286="",P286=""),"",WORKDAY(INT(P286),BA286,JoursFeries)+MOD(P286,1))</f>
        <v/>
      </c>
      <c r="BD286" s="39" t="str">
        <f aca="false">IF(AO286&lt;&gt;1,"",IF(OR(AB286&lt;&gt;"",AD286&lt;&gt;""),4,IF(U286&lt;&gt;"",3,IF(T286&lt;&gt;"",2,1))))</f>
        <v/>
      </c>
      <c r="BE286" s="39" t="str">
        <f aca="false">IF(OR(AO286&lt;&gt;1,AR286=""),"",INDEX(NIV_REQ,AR286))</f>
        <v/>
      </c>
      <c r="BF286" s="39" t="str">
        <f aca="false">IF(BE286="","",MAX(BE286,IF(OR(K286="Oui",Z286="Oui"),4,1)))</f>
        <v/>
      </c>
      <c r="BG286" s="35" t="str">
        <f aca="false">IF(OR(BF286="",BD286=""),"",IF(BD286&gt;=BF286,1,0))</f>
        <v/>
      </c>
      <c r="BH286" s="38" t="str">
        <f aca="false">IF(BE286="","",IF(BE286&lt;2,"",IF(BE286=2,IF(AND(T286="",U286=""),"",MIN(T286,U286)),IF(U286="","",U286))))</f>
        <v/>
      </c>
      <c r="BI286" s="37" t="str">
        <f aca="false">IF(BH286="","",IF(OR(O286="",BH286=""),"",IF(BH286&lt;O286,"",ROUND(((NETWORKDAYS(O286,BH286,JoursFeries)-1)*(HFer-HOuv)+IF(NETWORKDAYS(BH286,BH286,JoursFeries),MEDIAN(MOD(BH286,1),HFer,HOuv),HFer)-IF(NETWORKDAYS(O286,O286,JoursFeries),MEDIAN(MOD(O286,1),HFer,HOuv),HOuv))*24,4))))</f>
        <v/>
      </c>
      <c r="BJ286" s="35" t="str">
        <f aca="false">IF(OR(BI286="",AR286=""),"",IF(BI286&lt;=INDEX(DELAI_ESC,AR286),1,0))</f>
        <v/>
      </c>
      <c r="BK286" s="38" t="str">
        <f aca="false">IF(AO286&lt;&gt;1,"",IF(AND(T286="",U286=""),"",MIN(T286,U286)))</f>
        <v/>
      </c>
      <c r="BL286" s="37" t="str">
        <f aca="false">IF(OR(BK286="",R286=""),"",IFERROR(ROUND(IF(OR(BK286="",R286=""),"",IF(R286&lt;BK286,"",ROUND(((NETWORKDAYS(BK286,R286,JoursFeries)-1)*(HFer-HOuv)+IF(NETWORKDAYS(R286,R286,JoursFeries),MEDIAN(MOD(R286,1),HFer,HOuv),HFer)-IF(NETWORKDAYS(BK286,BK286,JoursFeries),MEDIAN(MOD(BK286,1),HFer,HOuv),HOuv))*24,4)))/HJour,4),""))</f>
        <v/>
      </c>
      <c r="BM286" s="35" t="str">
        <f aca="false">IF(OR(AO286&lt;&gt;1,R286=""),"",IF(BD286=1,1,0))</f>
        <v/>
      </c>
      <c r="BN286" s="35" t="str">
        <f aca="false">IF(AO286&lt;&gt;1,"",IF(W286="Oui",1,0))</f>
        <v/>
      </c>
      <c r="BO286" s="35" t="str">
        <f aca="false">IF(AO286&lt;&gt;1,"",IF(X286&lt;&gt;"",1,0))</f>
        <v/>
      </c>
      <c r="BP286" s="35" t="str">
        <f aca="false">IF(AO286&lt;&gt;1,"",IF(Y286="Oui",1,0))</f>
        <v/>
      </c>
      <c r="BQ286" s="35" t="str">
        <f aca="true">IF(OR(AO286&lt;&gt;1,Z286&lt;&gt;"Oui"),"",IF(AB286="",IF(AND(AA286&lt;&gt;"",NOW()&gt;AA286),0,""),IF(AA286="","",IF(AB286&lt;=AA286,1,0))))</f>
        <v/>
      </c>
      <c r="BR286" s="38" t="str">
        <f aca="false">IF(OR(AO286&lt;&gt;1,K286&lt;&gt;"Oui",O286=""),"",IF(AC286="",O286+DORA_H_DET/24,IF(AC286-O286&lt;=DORA_H_DET/24,MIN(AC286+DORA_H_CLA/24,O286+DORA_H_DET/24),AC286+DORA_H_CLA/24)))</f>
        <v/>
      </c>
      <c r="BS286" s="35" t="str">
        <f aca="true">IF(BR286="","",IF(AD286="",IF(NOW()&gt;BR286,0,""),IF(AD286&lt;=BR286,1,0)))</f>
        <v/>
      </c>
      <c r="BT286" s="35" t="str">
        <f aca="true">IF(OR(BR286="",AD286=""),"",IF(AE286="",IF(NOW()&gt;AD286+DORA_H_INT/24,0,""),IF(AE286&lt;=AD286+DORA_H_INT/24,1,0)))</f>
        <v/>
      </c>
      <c r="BU286" s="35" t="str">
        <f aca="true">IF(OR(BR286="",AE286=""),"",IF(AF286="",IF(NOW()&gt;EDATE(AE286,DORA_M_FIN)+1,0,""),IF(AF286&lt;=EDATE(AE286,DORA_M_FIN),1,0)))</f>
        <v/>
      </c>
      <c r="BV286" s="35" t="str">
        <f aca="false">IF(BR286="","",IF(COUNT(BS286:BU286)=0,"",MIN(BS286:BU286)))</f>
        <v/>
      </c>
      <c r="BW286" s="40" t="str">
        <f aca="false">IF(AQ286&lt;&gt;1,"",IF(AND(AG286="",AH286=""),"",N(AG286)-N(AH286)))</f>
        <v/>
      </c>
      <c r="BX286" s="35" t="str">
        <f aca="true">IF(OR(AQ286&lt;&gt;1,AI286&lt;&gt;"Oui",AJ286=""),"",IF(AK286="",IF(NOW()&gt;AJ286+1,0,""),IF(AK286&lt;=AJ286,1,0)))</f>
        <v/>
      </c>
    </row>
    <row r="287" customFormat="false" ht="15" hidden="false" customHeight="false" outlineLevel="0" collapsed="false">
      <c r="B287" s="29"/>
      <c r="C287" s="29"/>
      <c r="D287" s="29"/>
      <c r="E287" s="29"/>
      <c r="F287" s="29"/>
      <c r="G287" s="29"/>
      <c r="H287" s="29"/>
      <c r="I287" s="29"/>
      <c r="J287" s="29"/>
      <c r="K287" s="29"/>
      <c r="L287" s="29"/>
      <c r="M287" s="29"/>
      <c r="N287" s="30"/>
      <c r="O287" s="30"/>
      <c r="P287" s="30"/>
      <c r="Q287" s="30"/>
      <c r="R287" s="30"/>
      <c r="S287" s="30"/>
      <c r="T287" s="30"/>
      <c r="U287" s="30"/>
      <c r="V287" s="31"/>
      <c r="W287" s="29"/>
      <c r="X287" s="29"/>
      <c r="Y287" s="29"/>
      <c r="Z287" s="29"/>
      <c r="AA287" s="30"/>
      <c r="AB287" s="30"/>
      <c r="AC287" s="30"/>
      <c r="AD287" s="30"/>
      <c r="AE287" s="30"/>
      <c r="AF287" s="32"/>
      <c r="AG287" s="33"/>
      <c r="AH287" s="33"/>
      <c r="AI287" s="29"/>
      <c r="AJ287" s="32"/>
      <c r="AK287" s="32"/>
      <c r="AL287" s="29"/>
      <c r="AN287" s="34" t="str">
        <f aca="false">IF($B287="","",IF(OR(C287="",D287="",E287="",G287="",I287="",J287="",L287="",O287="",P287=""),"Champ obligatoire manquant",IF(OR(AND(N287&lt;&gt;"",N287&gt;O287),O287&gt;P287,AND(Q287&lt;&gt;"",Q287&lt;P287),AND(R287&lt;&gt;"",R287&lt;P287),AND(S287&lt;&gt;"",S287&lt;R287),AND(S287&lt;&gt;"",R287=""),AND(T287&lt;&gt;"",T287&lt;O287),AND(U287&lt;&gt;"",U287&lt;O287)),"Chronologie incohérente",IF(AND(OR(L287="Résolu",L287="Clos"),R287=""),"Date de résolution manquante",IF(AND(L287="Clos",S287=""),"Date de clôture manquante",IF(AND(K287="Oui",AC287=""),"Classification DORA manquante","OK"))))))</f>
        <v/>
      </c>
      <c r="AO287" s="35" t="str">
        <f aca="false">IF($B287="","",IF(AND(C287="Incident",L287&lt;&gt;"Annulé"),1,0))</f>
        <v/>
      </c>
      <c r="AP287" s="35" t="str">
        <f aca="false">IF($B287="","",IF(AND(C287="Quasi-incident",L287&lt;&gt;"Annulé"),1,0))</f>
        <v/>
      </c>
      <c r="AQ287" s="35" t="str">
        <f aca="false">IF($B287="","",AO287+AP287)</f>
        <v/>
      </c>
      <c r="AR287" s="36" t="str">
        <f aca="false">IF(OR($B287="",J287=""),"",IFERROR(VALUE(LEFT(J287,1)),""))</f>
        <v/>
      </c>
      <c r="AS287" s="35" t="str">
        <f aca="false">IF(OR(AO287&lt;&gt;1,G287=""),"",IFERROR(IF(INDEX(L_SrcInterne,MATCH(G287,L_Sources,0))="Oui",1,0),""))</f>
        <v/>
      </c>
      <c r="AT287" s="37" t="str">
        <f aca="false">IF(AO287&lt;&gt;1,"",IFERROR(ROUND(IF(OR(N287="",O287=""),"",IF(O287&lt;N287,"",ROUND(((NETWORKDAYS(N287,O287,JoursFeries)-1)*(HFer-HOuv)+IF(NETWORKDAYS(O287,O287,JoursFeries),MEDIAN(MOD(O287,1),HFer,HOuv),HFer)-IF(NETWORKDAYS(N287,N287,JoursFeries),MEDIAN(MOD(N287,1),HFer,HOuv),HOuv))*24,4)))/HJour,4),""))</f>
        <v/>
      </c>
      <c r="AU287" s="37" t="str">
        <f aca="false">IF(AO287&lt;&gt;1,"",IF(OR(O287="",P287=""),"",IF(P287&lt;O287,"",ROUND(((NETWORKDAYS(O287,P287,JoursFeries)-1)*(HFer-HOuv)+IF(NETWORKDAYS(P287,P287,JoursFeries),MEDIAN(MOD(P287,1),HFer,HOuv),HFer)-IF(NETWORKDAYS(O287,O287,JoursFeries),MEDIAN(MOD(O287,1),HFer,HOuv),HOuv))*24,4))))</f>
        <v/>
      </c>
      <c r="AV287" s="37" t="str">
        <f aca="false">IF(AO287&lt;&gt;1,"",IF(OR(P287="",Q287=""),"",IF(Q287&lt;P287,"",ROUND(((NETWORKDAYS(P287,Q287,JoursFeries)-1)*(HFer-HOuv)+IF(NETWORKDAYS(Q287,Q287,JoursFeries),MEDIAN(MOD(Q287,1),HFer,HOuv),HFer)-IF(NETWORKDAYS(P287,P287,JoursFeries),MEDIAN(MOD(P287,1),HFer,HOuv),HOuv))*24,4))))</f>
        <v/>
      </c>
      <c r="AW287" s="37" t="str">
        <f aca="false">IF(AO287&lt;&gt;1,"",IFERROR(ROUND(IF(OR(P287="",R287=""),"",IF(R287&lt;P287,"",ROUND(((NETWORKDAYS(P287,R287,JoursFeries)-1)*(HFer-HOuv)+IF(NETWORKDAYS(R287,R287,JoursFeries),MEDIAN(MOD(R287,1),HFer,HOuv),HFer)-IF(NETWORKDAYS(P287,P287,JoursFeries),MEDIAN(MOD(P287,1),HFer,HOuv),HOuv))*24,4)))/HJour,4),""))</f>
        <v/>
      </c>
      <c r="AX287" s="37" t="str">
        <f aca="false">IF(AO287&lt;&gt;1,"",IFERROR(ROUND(IF(OR(P287="",S287=""),"",IF(S287&lt;P287,"",ROUND(((NETWORKDAYS(P287,S287,JoursFeries)-1)*(HFer-HOuv)+IF(NETWORKDAYS(S287,S287,JoursFeries),MEDIAN(MOD(S287,1),HFer,HOuv),HFer)-IF(NETWORKDAYS(P287,P287,JoursFeries),MEDIAN(MOD(P287,1),HFer,HOuv),HOuv))*24,4)))/HJour,4),""))</f>
        <v/>
      </c>
      <c r="AY287" s="36" t="str">
        <f aca="false">IF(OR(AO287&lt;&gt;1,AR287=""),"",INDEX(SLA_PEC,AR287))</f>
        <v/>
      </c>
      <c r="AZ287" s="35" t="str">
        <f aca="false">IF(OR(AV287="",AY287=""),"",IF(AV287&lt;=AY287,1,0))</f>
        <v/>
      </c>
      <c r="BA287" s="36" t="str">
        <f aca="false">IF(OR(AO287&lt;&gt;1,AR287=""),"",INDEX(SLA_RES,AR287))</f>
        <v/>
      </c>
      <c r="BB287" s="35" t="str">
        <f aca="false">IF(OR(AW287="",BA287=""),"",IF(AW287&lt;=BA287,1,0))</f>
        <v/>
      </c>
      <c r="BC287" s="38" t="str">
        <f aca="false">IF(OR(BA287="",P287=""),"",WORKDAY(INT(P287),BA287,JoursFeries)+MOD(P287,1))</f>
        <v/>
      </c>
      <c r="BD287" s="39" t="str">
        <f aca="false">IF(AO287&lt;&gt;1,"",IF(OR(AB287&lt;&gt;"",AD287&lt;&gt;""),4,IF(U287&lt;&gt;"",3,IF(T287&lt;&gt;"",2,1))))</f>
        <v/>
      </c>
      <c r="BE287" s="39" t="str">
        <f aca="false">IF(OR(AO287&lt;&gt;1,AR287=""),"",INDEX(NIV_REQ,AR287))</f>
        <v/>
      </c>
      <c r="BF287" s="39" t="str">
        <f aca="false">IF(BE287="","",MAX(BE287,IF(OR(K287="Oui",Z287="Oui"),4,1)))</f>
        <v/>
      </c>
      <c r="BG287" s="35" t="str">
        <f aca="false">IF(OR(BF287="",BD287=""),"",IF(BD287&gt;=BF287,1,0))</f>
        <v/>
      </c>
      <c r="BH287" s="38" t="str">
        <f aca="false">IF(BE287="","",IF(BE287&lt;2,"",IF(BE287=2,IF(AND(T287="",U287=""),"",MIN(T287,U287)),IF(U287="","",U287))))</f>
        <v/>
      </c>
      <c r="BI287" s="37" t="str">
        <f aca="false">IF(BH287="","",IF(OR(O287="",BH287=""),"",IF(BH287&lt;O287,"",ROUND(((NETWORKDAYS(O287,BH287,JoursFeries)-1)*(HFer-HOuv)+IF(NETWORKDAYS(BH287,BH287,JoursFeries),MEDIAN(MOD(BH287,1),HFer,HOuv),HFer)-IF(NETWORKDAYS(O287,O287,JoursFeries),MEDIAN(MOD(O287,1),HFer,HOuv),HOuv))*24,4))))</f>
        <v/>
      </c>
      <c r="BJ287" s="35" t="str">
        <f aca="false">IF(OR(BI287="",AR287=""),"",IF(BI287&lt;=INDEX(DELAI_ESC,AR287),1,0))</f>
        <v/>
      </c>
      <c r="BK287" s="38" t="str">
        <f aca="false">IF(AO287&lt;&gt;1,"",IF(AND(T287="",U287=""),"",MIN(T287,U287)))</f>
        <v/>
      </c>
      <c r="BL287" s="37" t="str">
        <f aca="false">IF(OR(BK287="",R287=""),"",IFERROR(ROUND(IF(OR(BK287="",R287=""),"",IF(R287&lt;BK287,"",ROUND(((NETWORKDAYS(BK287,R287,JoursFeries)-1)*(HFer-HOuv)+IF(NETWORKDAYS(R287,R287,JoursFeries),MEDIAN(MOD(R287,1),HFer,HOuv),HFer)-IF(NETWORKDAYS(BK287,BK287,JoursFeries),MEDIAN(MOD(BK287,1),HFer,HOuv),HOuv))*24,4)))/HJour,4),""))</f>
        <v/>
      </c>
      <c r="BM287" s="35" t="str">
        <f aca="false">IF(OR(AO287&lt;&gt;1,R287=""),"",IF(BD287=1,1,0))</f>
        <v/>
      </c>
      <c r="BN287" s="35" t="str">
        <f aca="false">IF(AO287&lt;&gt;1,"",IF(W287="Oui",1,0))</f>
        <v/>
      </c>
      <c r="BO287" s="35" t="str">
        <f aca="false">IF(AO287&lt;&gt;1,"",IF(X287&lt;&gt;"",1,0))</f>
        <v/>
      </c>
      <c r="BP287" s="35" t="str">
        <f aca="false">IF(AO287&lt;&gt;1,"",IF(Y287="Oui",1,0))</f>
        <v/>
      </c>
      <c r="BQ287" s="35" t="str">
        <f aca="true">IF(OR(AO287&lt;&gt;1,Z287&lt;&gt;"Oui"),"",IF(AB287="",IF(AND(AA287&lt;&gt;"",NOW()&gt;AA287),0,""),IF(AA287="","",IF(AB287&lt;=AA287,1,0))))</f>
        <v/>
      </c>
      <c r="BR287" s="38" t="str">
        <f aca="false">IF(OR(AO287&lt;&gt;1,K287&lt;&gt;"Oui",O287=""),"",IF(AC287="",O287+DORA_H_DET/24,IF(AC287-O287&lt;=DORA_H_DET/24,MIN(AC287+DORA_H_CLA/24,O287+DORA_H_DET/24),AC287+DORA_H_CLA/24)))</f>
        <v/>
      </c>
      <c r="BS287" s="35" t="str">
        <f aca="true">IF(BR287="","",IF(AD287="",IF(NOW()&gt;BR287,0,""),IF(AD287&lt;=BR287,1,0)))</f>
        <v/>
      </c>
      <c r="BT287" s="35" t="str">
        <f aca="true">IF(OR(BR287="",AD287=""),"",IF(AE287="",IF(NOW()&gt;AD287+DORA_H_INT/24,0,""),IF(AE287&lt;=AD287+DORA_H_INT/24,1,0)))</f>
        <v/>
      </c>
      <c r="BU287" s="35" t="str">
        <f aca="true">IF(OR(BR287="",AE287=""),"",IF(AF287="",IF(NOW()&gt;EDATE(AE287,DORA_M_FIN)+1,0,""),IF(AF287&lt;=EDATE(AE287,DORA_M_FIN),1,0)))</f>
        <v/>
      </c>
      <c r="BV287" s="35" t="str">
        <f aca="false">IF(BR287="","",IF(COUNT(BS287:BU287)=0,"",MIN(BS287:BU287)))</f>
        <v/>
      </c>
      <c r="BW287" s="40" t="str">
        <f aca="false">IF(AQ287&lt;&gt;1,"",IF(AND(AG287="",AH287=""),"",N(AG287)-N(AH287)))</f>
        <v/>
      </c>
      <c r="BX287" s="35" t="str">
        <f aca="true">IF(OR(AQ287&lt;&gt;1,AI287&lt;&gt;"Oui",AJ287=""),"",IF(AK287="",IF(NOW()&gt;AJ287+1,0,""),IF(AK287&lt;=AJ287,1,0)))</f>
        <v/>
      </c>
    </row>
    <row r="288" customFormat="false" ht="15" hidden="false" customHeight="false" outlineLevel="0" collapsed="false">
      <c r="B288" s="29"/>
      <c r="C288" s="29"/>
      <c r="D288" s="29"/>
      <c r="E288" s="29"/>
      <c r="F288" s="29"/>
      <c r="G288" s="29"/>
      <c r="H288" s="29"/>
      <c r="I288" s="29"/>
      <c r="J288" s="29"/>
      <c r="K288" s="29"/>
      <c r="L288" s="29"/>
      <c r="M288" s="29"/>
      <c r="N288" s="30"/>
      <c r="O288" s="30"/>
      <c r="P288" s="30"/>
      <c r="Q288" s="30"/>
      <c r="R288" s="30"/>
      <c r="S288" s="30"/>
      <c r="T288" s="30"/>
      <c r="U288" s="30"/>
      <c r="V288" s="31"/>
      <c r="W288" s="29"/>
      <c r="X288" s="29"/>
      <c r="Y288" s="29"/>
      <c r="Z288" s="29"/>
      <c r="AA288" s="30"/>
      <c r="AB288" s="30"/>
      <c r="AC288" s="30"/>
      <c r="AD288" s="30"/>
      <c r="AE288" s="30"/>
      <c r="AF288" s="32"/>
      <c r="AG288" s="33"/>
      <c r="AH288" s="33"/>
      <c r="AI288" s="29"/>
      <c r="AJ288" s="32"/>
      <c r="AK288" s="32"/>
      <c r="AL288" s="29"/>
      <c r="AN288" s="34" t="str">
        <f aca="false">IF($B288="","",IF(OR(C288="",D288="",E288="",G288="",I288="",J288="",L288="",O288="",P288=""),"Champ obligatoire manquant",IF(OR(AND(N288&lt;&gt;"",N288&gt;O288),O288&gt;P288,AND(Q288&lt;&gt;"",Q288&lt;P288),AND(R288&lt;&gt;"",R288&lt;P288),AND(S288&lt;&gt;"",S288&lt;R288),AND(S288&lt;&gt;"",R288=""),AND(T288&lt;&gt;"",T288&lt;O288),AND(U288&lt;&gt;"",U288&lt;O288)),"Chronologie incohérente",IF(AND(OR(L288="Résolu",L288="Clos"),R288=""),"Date de résolution manquante",IF(AND(L288="Clos",S288=""),"Date de clôture manquante",IF(AND(K288="Oui",AC288=""),"Classification DORA manquante","OK"))))))</f>
        <v/>
      </c>
      <c r="AO288" s="35" t="str">
        <f aca="false">IF($B288="","",IF(AND(C288="Incident",L288&lt;&gt;"Annulé"),1,0))</f>
        <v/>
      </c>
      <c r="AP288" s="35" t="str">
        <f aca="false">IF($B288="","",IF(AND(C288="Quasi-incident",L288&lt;&gt;"Annulé"),1,0))</f>
        <v/>
      </c>
      <c r="AQ288" s="35" t="str">
        <f aca="false">IF($B288="","",AO288+AP288)</f>
        <v/>
      </c>
      <c r="AR288" s="36" t="str">
        <f aca="false">IF(OR($B288="",J288=""),"",IFERROR(VALUE(LEFT(J288,1)),""))</f>
        <v/>
      </c>
      <c r="AS288" s="35" t="str">
        <f aca="false">IF(OR(AO288&lt;&gt;1,G288=""),"",IFERROR(IF(INDEX(L_SrcInterne,MATCH(G288,L_Sources,0))="Oui",1,0),""))</f>
        <v/>
      </c>
      <c r="AT288" s="37" t="str">
        <f aca="false">IF(AO288&lt;&gt;1,"",IFERROR(ROUND(IF(OR(N288="",O288=""),"",IF(O288&lt;N288,"",ROUND(((NETWORKDAYS(N288,O288,JoursFeries)-1)*(HFer-HOuv)+IF(NETWORKDAYS(O288,O288,JoursFeries),MEDIAN(MOD(O288,1),HFer,HOuv),HFer)-IF(NETWORKDAYS(N288,N288,JoursFeries),MEDIAN(MOD(N288,1),HFer,HOuv),HOuv))*24,4)))/HJour,4),""))</f>
        <v/>
      </c>
      <c r="AU288" s="37" t="str">
        <f aca="false">IF(AO288&lt;&gt;1,"",IF(OR(O288="",P288=""),"",IF(P288&lt;O288,"",ROUND(((NETWORKDAYS(O288,P288,JoursFeries)-1)*(HFer-HOuv)+IF(NETWORKDAYS(P288,P288,JoursFeries),MEDIAN(MOD(P288,1),HFer,HOuv),HFer)-IF(NETWORKDAYS(O288,O288,JoursFeries),MEDIAN(MOD(O288,1),HFer,HOuv),HOuv))*24,4))))</f>
        <v/>
      </c>
      <c r="AV288" s="37" t="str">
        <f aca="false">IF(AO288&lt;&gt;1,"",IF(OR(P288="",Q288=""),"",IF(Q288&lt;P288,"",ROUND(((NETWORKDAYS(P288,Q288,JoursFeries)-1)*(HFer-HOuv)+IF(NETWORKDAYS(Q288,Q288,JoursFeries),MEDIAN(MOD(Q288,1),HFer,HOuv),HFer)-IF(NETWORKDAYS(P288,P288,JoursFeries),MEDIAN(MOD(P288,1),HFer,HOuv),HOuv))*24,4))))</f>
        <v/>
      </c>
      <c r="AW288" s="37" t="str">
        <f aca="false">IF(AO288&lt;&gt;1,"",IFERROR(ROUND(IF(OR(P288="",R288=""),"",IF(R288&lt;P288,"",ROUND(((NETWORKDAYS(P288,R288,JoursFeries)-1)*(HFer-HOuv)+IF(NETWORKDAYS(R288,R288,JoursFeries),MEDIAN(MOD(R288,1),HFer,HOuv),HFer)-IF(NETWORKDAYS(P288,P288,JoursFeries),MEDIAN(MOD(P288,1),HFer,HOuv),HOuv))*24,4)))/HJour,4),""))</f>
        <v/>
      </c>
      <c r="AX288" s="37" t="str">
        <f aca="false">IF(AO288&lt;&gt;1,"",IFERROR(ROUND(IF(OR(P288="",S288=""),"",IF(S288&lt;P288,"",ROUND(((NETWORKDAYS(P288,S288,JoursFeries)-1)*(HFer-HOuv)+IF(NETWORKDAYS(S288,S288,JoursFeries),MEDIAN(MOD(S288,1),HFer,HOuv),HFer)-IF(NETWORKDAYS(P288,P288,JoursFeries),MEDIAN(MOD(P288,1),HFer,HOuv),HOuv))*24,4)))/HJour,4),""))</f>
        <v/>
      </c>
      <c r="AY288" s="36" t="str">
        <f aca="false">IF(OR(AO288&lt;&gt;1,AR288=""),"",INDEX(SLA_PEC,AR288))</f>
        <v/>
      </c>
      <c r="AZ288" s="35" t="str">
        <f aca="false">IF(OR(AV288="",AY288=""),"",IF(AV288&lt;=AY288,1,0))</f>
        <v/>
      </c>
      <c r="BA288" s="36" t="str">
        <f aca="false">IF(OR(AO288&lt;&gt;1,AR288=""),"",INDEX(SLA_RES,AR288))</f>
        <v/>
      </c>
      <c r="BB288" s="35" t="str">
        <f aca="false">IF(OR(AW288="",BA288=""),"",IF(AW288&lt;=BA288,1,0))</f>
        <v/>
      </c>
      <c r="BC288" s="38" t="str">
        <f aca="false">IF(OR(BA288="",P288=""),"",WORKDAY(INT(P288),BA288,JoursFeries)+MOD(P288,1))</f>
        <v/>
      </c>
      <c r="BD288" s="39" t="str">
        <f aca="false">IF(AO288&lt;&gt;1,"",IF(OR(AB288&lt;&gt;"",AD288&lt;&gt;""),4,IF(U288&lt;&gt;"",3,IF(T288&lt;&gt;"",2,1))))</f>
        <v/>
      </c>
      <c r="BE288" s="39" t="str">
        <f aca="false">IF(OR(AO288&lt;&gt;1,AR288=""),"",INDEX(NIV_REQ,AR288))</f>
        <v/>
      </c>
      <c r="BF288" s="39" t="str">
        <f aca="false">IF(BE288="","",MAX(BE288,IF(OR(K288="Oui",Z288="Oui"),4,1)))</f>
        <v/>
      </c>
      <c r="BG288" s="35" t="str">
        <f aca="false">IF(OR(BF288="",BD288=""),"",IF(BD288&gt;=BF288,1,0))</f>
        <v/>
      </c>
      <c r="BH288" s="38" t="str">
        <f aca="false">IF(BE288="","",IF(BE288&lt;2,"",IF(BE288=2,IF(AND(T288="",U288=""),"",MIN(T288,U288)),IF(U288="","",U288))))</f>
        <v/>
      </c>
      <c r="BI288" s="37" t="str">
        <f aca="false">IF(BH288="","",IF(OR(O288="",BH288=""),"",IF(BH288&lt;O288,"",ROUND(((NETWORKDAYS(O288,BH288,JoursFeries)-1)*(HFer-HOuv)+IF(NETWORKDAYS(BH288,BH288,JoursFeries),MEDIAN(MOD(BH288,1),HFer,HOuv),HFer)-IF(NETWORKDAYS(O288,O288,JoursFeries),MEDIAN(MOD(O288,1),HFer,HOuv),HOuv))*24,4))))</f>
        <v/>
      </c>
      <c r="BJ288" s="35" t="str">
        <f aca="false">IF(OR(BI288="",AR288=""),"",IF(BI288&lt;=INDEX(DELAI_ESC,AR288),1,0))</f>
        <v/>
      </c>
      <c r="BK288" s="38" t="str">
        <f aca="false">IF(AO288&lt;&gt;1,"",IF(AND(T288="",U288=""),"",MIN(T288,U288)))</f>
        <v/>
      </c>
      <c r="BL288" s="37" t="str">
        <f aca="false">IF(OR(BK288="",R288=""),"",IFERROR(ROUND(IF(OR(BK288="",R288=""),"",IF(R288&lt;BK288,"",ROUND(((NETWORKDAYS(BK288,R288,JoursFeries)-1)*(HFer-HOuv)+IF(NETWORKDAYS(R288,R288,JoursFeries),MEDIAN(MOD(R288,1),HFer,HOuv),HFer)-IF(NETWORKDAYS(BK288,BK288,JoursFeries),MEDIAN(MOD(BK288,1),HFer,HOuv),HOuv))*24,4)))/HJour,4),""))</f>
        <v/>
      </c>
      <c r="BM288" s="35" t="str">
        <f aca="false">IF(OR(AO288&lt;&gt;1,R288=""),"",IF(BD288=1,1,0))</f>
        <v/>
      </c>
      <c r="BN288" s="35" t="str">
        <f aca="false">IF(AO288&lt;&gt;1,"",IF(W288="Oui",1,0))</f>
        <v/>
      </c>
      <c r="BO288" s="35" t="str">
        <f aca="false">IF(AO288&lt;&gt;1,"",IF(X288&lt;&gt;"",1,0))</f>
        <v/>
      </c>
      <c r="BP288" s="35" t="str">
        <f aca="false">IF(AO288&lt;&gt;1,"",IF(Y288="Oui",1,0))</f>
        <v/>
      </c>
      <c r="BQ288" s="35" t="str">
        <f aca="true">IF(OR(AO288&lt;&gt;1,Z288&lt;&gt;"Oui"),"",IF(AB288="",IF(AND(AA288&lt;&gt;"",NOW()&gt;AA288),0,""),IF(AA288="","",IF(AB288&lt;=AA288,1,0))))</f>
        <v/>
      </c>
      <c r="BR288" s="38" t="str">
        <f aca="false">IF(OR(AO288&lt;&gt;1,K288&lt;&gt;"Oui",O288=""),"",IF(AC288="",O288+DORA_H_DET/24,IF(AC288-O288&lt;=DORA_H_DET/24,MIN(AC288+DORA_H_CLA/24,O288+DORA_H_DET/24),AC288+DORA_H_CLA/24)))</f>
        <v/>
      </c>
      <c r="BS288" s="35" t="str">
        <f aca="true">IF(BR288="","",IF(AD288="",IF(NOW()&gt;BR288,0,""),IF(AD288&lt;=BR288,1,0)))</f>
        <v/>
      </c>
      <c r="BT288" s="35" t="str">
        <f aca="true">IF(OR(BR288="",AD288=""),"",IF(AE288="",IF(NOW()&gt;AD288+DORA_H_INT/24,0,""),IF(AE288&lt;=AD288+DORA_H_INT/24,1,0)))</f>
        <v/>
      </c>
      <c r="BU288" s="35" t="str">
        <f aca="true">IF(OR(BR288="",AE288=""),"",IF(AF288="",IF(NOW()&gt;EDATE(AE288,DORA_M_FIN)+1,0,""),IF(AF288&lt;=EDATE(AE288,DORA_M_FIN),1,0)))</f>
        <v/>
      </c>
      <c r="BV288" s="35" t="str">
        <f aca="false">IF(BR288="","",IF(COUNT(BS288:BU288)=0,"",MIN(BS288:BU288)))</f>
        <v/>
      </c>
      <c r="BW288" s="40" t="str">
        <f aca="false">IF(AQ288&lt;&gt;1,"",IF(AND(AG288="",AH288=""),"",N(AG288)-N(AH288)))</f>
        <v/>
      </c>
      <c r="BX288" s="35" t="str">
        <f aca="true">IF(OR(AQ288&lt;&gt;1,AI288&lt;&gt;"Oui",AJ288=""),"",IF(AK288="",IF(NOW()&gt;AJ288+1,0,""),IF(AK288&lt;=AJ288,1,0)))</f>
        <v/>
      </c>
    </row>
    <row r="289" customFormat="false" ht="15" hidden="false" customHeight="false" outlineLevel="0" collapsed="false">
      <c r="B289" s="29"/>
      <c r="C289" s="29"/>
      <c r="D289" s="29"/>
      <c r="E289" s="29"/>
      <c r="F289" s="29"/>
      <c r="G289" s="29"/>
      <c r="H289" s="29"/>
      <c r="I289" s="29"/>
      <c r="J289" s="29"/>
      <c r="K289" s="29"/>
      <c r="L289" s="29"/>
      <c r="M289" s="29"/>
      <c r="N289" s="30"/>
      <c r="O289" s="30"/>
      <c r="P289" s="30"/>
      <c r="Q289" s="30"/>
      <c r="R289" s="30"/>
      <c r="S289" s="30"/>
      <c r="T289" s="30"/>
      <c r="U289" s="30"/>
      <c r="V289" s="31"/>
      <c r="W289" s="29"/>
      <c r="X289" s="29"/>
      <c r="Y289" s="29"/>
      <c r="Z289" s="29"/>
      <c r="AA289" s="30"/>
      <c r="AB289" s="30"/>
      <c r="AC289" s="30"/>
      <c r="AD289" s="30"/>
      <c r="AE289" s="30"/>
      <c r="AF289" s="32"/>
      <c r="AG289" s="33"/>
      <c r="AH289" s="33"/>
      <c r="AI289" s="29"/>
      <c r="AJ289" s="32"/>
      <c r="AK289" s="32"/>
      <c r="AL289" s="29"/>
      <c r="AN289" s="34" t="str">
        <f aca="false">IF($B289="","",IF(OR(C289="",D289="",E289="",G289="",I289="",J289="",L289="",O289="",P289=""),"Champ obligatoire manquant",IF(OR(AND(N289&lt;&gt;"",N289&gt;O289),O289&gt;P289,AND(Q289&lt;&gt;"",Q289&lt;P289),AND(R289&lt;&gt;"",R289&lt;P289),AND(S289&lt;&gt;"",S289&lt;R289),AND(S289&lt;&gt;"",R289=""),AND(T289&lt;&gt;"",T289&lt;O289),AND(U289&lt;&gt;"",U289&lt;O289)),"Chronologie incohérente",IF(AND(OR(L289="Résolu",L289="Clos"),R289=""),"Date de résolution manquante",IF(AND(L289="Clos",S289=""),"Date de clôture manquante",IF(AND(K289="Oui",AC289=""),"Classification DORA manquante","OK"))))))</f>
        <v/>
      </c>
      <c r="AO289" s="35" t="str">
        <f aca="false">IF($B289="","",IF(AND(C289="Incident",L289&lt;&gt;"Annulé"),1,0))</f>
        <v/>
      </c>
      <c r="AP289" s="35" t="str">
        <f aca="false">IF($B289="","",IF(AND(C289="Quasi-incident",L289&lt;&gt;"Annulé"),1,0))</f>
        <v/>
      </c>
      <c r="AQ289" s="35" t="str">
        <f aca="false">IF($B289="","",AO289+AP289)</f>
        <v/>
      </c>
      <c r="AR289" s="36" t="str">
        <f aca="false">IF(OR($B289="",J289=""),"",IFERROR(VALUE(LEFT(J289,1)),""))</f>
        <v/>
      </c>
      <c r="AS289" s="35" t="str">
        <f aca="false">IF(OR(AO289&lt;&gt;1,G289=""),"",IFERROR(IF(INDEX(L_SrcInterne,MATCH(G289,L_Sources,0))="Oui",1,0),""))</f>
        <v/>
      </c>
      <c r="AT289" s="37" t="str">
        <f aca="false">IF(AO289&lt;&gt;1,"",IFERROR(ROUND(IF(OR(N289="",O289=""),"",IF(O289&lt;N289,"",ROUND(((NETWORKDAYS(N289,O289,JoursFeries)-1)*(HFer-HOuv)+IF(NETWORKDAYS(O289,O289,JoursFeries),MEDIAN(MOD(O289,1),HFer,HOuv),HFer)-IF(NETWORKDAYS(N289,N289,JoursFeries),MEDIAN(MOD(N289,1),HFer,HOuv),HOuv))*24,4)))/HJour,4),""))</f>
        <v/>
      </c>
      <c r="AU289" s="37" t="str">
        <f aca="false">IF(AO289&lt;&gt;1,"",IF(OR(O289="",P289=""),"",IF(P289&lt;O289,"",ROUND(((NETWORKDAYS(O289,P289,JoursFeries)-1)*(HFer-HOuv)+IF(NETWORKDAYS(P289,P289,JoursFeries),MEDIAN(MOD(P289,1),HFer,HOuv),HFer)-IF(NETWORKDAYS(O289,O289,JoursFeries),MEDIAN(MOD(O289,1),HFer,HOuv),HOuv))*24,4))))</f>
        <v/>
      </c>
      <c r="AV289" s="37" t="str">
        <f aca="false">IF(AO289&lt;&gt;1,"",IF(OR(P289="",Q289=""),"",IF(Q289&lt;P289,"",ROUND(((NETWORKDAYS(P289,Q289,JoursFeries)-1)*(HFer-HOuv)+IF(NETWORKDAYS(Q289,Q289,JoursFeries),MEDIAN(MOD(Q289,1),HFer,HOuv),HFer)-IF(NETWORKDAYS(P289,P289,JoursFeries),MEDIAN(MOD(P289,1),HFer,HOuv),HOuv))*24,4))))</f>
        <v/>
      </c>
      <c r="AW289" s="37" t="str">
        <f aca="false">IF(AO289&lt;&gt;1,"",IFERROR(ROUND(IF(OR(P289="",R289=""),"",IF(R289&lt;P289,"",ROUND(((NETWORKDAYS(P289,R289,JoursFeries)-1)*(HFer-HOuv)+IF(NETWORKDAYS(R289,R289,JoursFeries),MEDIAN(MOD(R289,1),HFer,HOuv),HFer)-IF(NETWORKDAYS(P289,P289,JoursFeries),MEDIAN(MOD(P289,1),HFer,HOuv),HOuv))*24,4)))/HJour,4),""))</f>
        <v/>
      </c>
      <c r="AX289" s="37" t="str">
        <f aca="false">IF(AO289&lt;&gt;1,"",IFERROR(ROUND(IF(OR(P289="",S289=""),"",IF(S289&lt;P289,"",ROUND(((NETWORKDAYS(P289,S289,JoursFeries)-1)*(HFer-HOuv)+IF(NETWORKDAYS(S289,S289,JoursFeries),MEDIAN(MOD(S289,1),HFer,HOuv),HFer)-IF(NETWORKDAYS(P289,P289,JoursFeries),MEDIAN(MOD(P289,1),HFer,HOuv),HOuv))*24,4)))/HJour,4),""))</f>
        <v/>
      </c>
      <c r="AY289" s="36" t="str">
        <f aca="false">IF(OR(AO289&lt;&gt;1,AR289=""),"",INDEX(SLA_PEC,AR289))</f>
        <v/>
      </c>
      <c r="AZ289" s="35" t="str">
        <f aca="false">IF(OR(AV289="",AY289=""),"",IF(AV289&lt;=AY289,1,0))</f>
        <v/>
      </c>
      <c r="BA289" s="36" t="str">
        <f aca="false">IF(OR(AO289&lt;&gt;1,AR289=""),"",INDEX(SLA_RES,AR289))</f>
        <v/>
      </c>
      <c r="BB289" s="35" t="str">
        <f aca="false">IF(OR(AW289="",BA289=""),"",IF(AW289&lt;=BA289,1,0))</f>
        <v/>
      </c>
      <c r="BC289" s="38" t="str">
        <f aca="false">IF(OR(BA289="",P289=""),"",WORKDAY(INT(P289),BA289,JoursFeries)+MOD(P289,1))</f>
        <v/>
      </c>
      <c r="BD289" s="39" t="str">
        <f aca="false">IF(AO289&lt;&gt;1,"",IF(OR(AB289&lt;&gt;"",AD289&lt;&gt;""),4,IF(U289&lt;&gt;"",3,IF(T289&lt;&gt;"",2,1))))</f>
        <v/>
      </c>
      <c r="BE289" s="39" t="str">
        <f aca="false">IF(OR(AO289&lt;&gt;1,AR289=""),"",INDEX(NIV_REQ,AR289))</f>
        <v/>
      </c>
      <c r="BF289" s="39" t="str">
        <f aca="false">IF(BE289="","",MAX(BE289,IF(OR(K289="Oui",Z289="Oui"),4,1)))</f>
        <v/>
      </c>
      <c r="BG289" s="35" t="str">
        <f aca="false">IF(OR(BF289="",BD289=""),"",IF(BD289&gt;=BF289,1,0))</f>
        <v/>
      </c>
      <c r="BH289" s="38" t="str">
        <f aca="false">IF(BE289="","",IF(BE289&lt;2,"",IF(BE289=2,IF(AND(T289="",U289=""),"",MIN(T289,U289)),IF(U289="","",U289))))</f>
        <v/>
      </c>
      <c r="BI289" s="37" t="str">
        <f aca="false">IF(BH289="","",IF(OR(O289="",BH289=""),"",IF(BH289&lt;O289,"",ROUND(((NETWORKDAYS(O289,BH289,JoursFeries)-1)*(HFer-HOuv)+IF(NETWORKDAYS(BH289,BH289,JoursFeries),MEDIAN(MOD(BH289,1),HFer,HOuv),HFer)-IF(NETWORKDAYS(O289,O289,JoursFeries),MEDIAN(MOD(O289,1),HFer,HOuv),HOuv))*24,4))))</f>
        <v/>
      </c>
      <c r="BJ289" s="35" t="str">
        <f aca="false">IF(OR(BI289="",AR289=""),"",IF(BI289&lt;=INDEX(DELAI_ESC,AR289),1,0))</f>
        <v/>
      </c>
      <c r="BK289" s="38" t="str">
        <f aca="false">IF(AO289&lt;&gt;1,"",IF(AND(T289="",U289=""),"",MIN(T289,U289)))</f>
        <v/>
      </c>
      <c r="BL289" s="37" t="str">
        <f aca="false">IF(OR(BK289="",R289=""),"",IFERROR(ROUND(IF(OR(BK289="",R289=""),"",IF(R289&lt;BK289,"",ROUND(((NETWORKDAYS(BK289,R289,JoursFeries)-1)*(HFer-HOuv)+IF(NETWORKDAYS(R289,R289,JoursFeries),MEDIAN(MOD(R289,1),HFer,HOuv),HFer)-IF(NETWORKDAYS(BK289,BK289,JoursFeries),MEDIAN(MOD(BK289,1),HFer,HOuv),HOuv))*24,4)))/HJour,4),""))</f>
        <v/>
      </c>
      <c r="BM289" s="35" t="str">
        <f aca="false">IF(OR(AO289&lt;&gt;1,R289=""),"",IF(BD289=1,1,0))</f>
        <v/>
      </c>
      <c r="BN289" s="35" t="str">
        <f aca="false">IF(AO289&lt;&gt;1,"",IF(W289="Oui",1,0))</f>
        <v/>
      </c>
      <c r="BO289" s="35" t="str">
        <f aca="false">IF(AO289&lt;&gt;1,"",IF(X289&lt;&gt;"",1,0))</f>
        <v/>
      </c>
      <c r="BP289" s="35" t="str">
        <f aca="false">IF(AO289&lt;&gt;1,"",IF(Y289="Oui",1,0))</f>
        <v/>
      </c>
      <c r="BQ289" s="35" t="str">
        <f aca="true">IF(OR(AO289&lt;&gt;1,Z289&lt;&gt;"Oui"),"",IF(AB289="",IF(AND(AA289&lt;&gt;"",NOW()&gt;AA289),0,""),IF(AA289="","",IF(AB289&lt;=AA289,1,0))))</f>
        <v/>
      </c>
      <c r="BR289" s="38" t="str">
        <f aca="false">IF(OR(AO289&lt;&gt;1,K289&lt;&gt;"Oui",O289=""),"",IF(AC289="",O289+DORA_H_DET/24,IF(AC289-O289&lt;=DORA_H_DET/24,MIN(AC289+DORA_H_CLA/24,O289+DORA_H_DET/24),AC289+DORA_H_CLA/24)))</f>
        <v/>
      </c>
      <c r="BS289" s="35" t="str">
        <f aca="true">IF(BR289="","",IF(AD289="",IF(NOW()&gt;BR289,0,""),IF(AD289&lt;=BR289,1,0)))</f>
        <v/>
      </c>
      <c r="BT289" s="35" t="str">
        <f aca="true">IF(OR(BR289="",AD289=""),"",IF(AE289="",IF(NOW()&gt;AD289+DORA_H_INT/24,0,""),IF(AE289&lt;=AD289+DORA_H_INT/24,1,0)))</f>
        <v/>
      </c>
      <c r="BU289" s="35" t="str">
        <f aca="true">IF(OR(BR289="",AE289=""),"",IF(AF289="",IF(NOW()&gt;EDATE(AE289,DORA_M_FIN)+1,0,""),IF(AF289&lt;=EDATE(AE289,DORA_M_FIN),1,0)))</f>
        <v/>
      </c>
      <c r="BV289" s="35" t="str">
        <f aca="false">IF(BR289="","",IF(COUNT(BS289:BU289)=0,"",MIN(BS289:BU289)))</f>
        <v/>
      </c>
      <c r="BW289" s="40" t="str">
        <f aca="false">IF(AQ289&lt;&gt;1,"",IF(AND(AG289="",AH289=""),"",N(AG289)-N(AH289)))</f>
        <v/>
      </c>
      <c r="BX289" s="35" t="str">
        <f aca="true">IF(OR(AQ289&lt;&gt;1,AI289&lt;&gt;"Oui",AJ289=""),"",IF(AK289="",IF(NOW()&gt;AJ289+1,0,""),IF(AK289&lt;=AJ289,1,0)))</f>
        <v/>
      </c>
    </row>
    <row r="290" customFormat="false" ht="15" hidden="false" customHeight="false" outlineLevel="0" collapsed="false">
      <c r="B290" s="29"/>
      <c r="C290" s="29"/>
      <c r="D290" s="29"/>
      <c r="E290" s="29"/>
      <c r="F290" s="29"/>
      <c r="G290" s="29"/>
      <c r="H290" s="29"/>
      <c r="I290" s="29"/>
      <c r="J290" s="29"/>
      <c r="K290" s="29"/>
      <c r="L290" s="29"/>
      <c r="M290" s="29"/>
      <c r="N290" s="30"/>
      <c r="O290" s="30"/>
      <c r="P290" s="30"/>
      <c r="Q290" s="30"/>
      <c r="R290" s="30"/>
      <c r="S290" s="30"/>
      <c r="T290" s="30"/>
      <c r="U290" s="30"/>
      <c r="V290" s="31"/>
      <c r="W290" s="29"/>
      <c r="X290" s="29"/>
      <c r="Y290" s="29"/>
      <c r="Z290" s="29"/>
      <c r="AA290" s="30"/>
      <c r="AB290" s="30"/>
      <c r="AC290" s="30"/>
      <c r="AD290" s="30"/>
      <c r="AE290" s="30"/>
      <c r="AF290" s="32"/>
      <c r="AG290" s="33"/>
      <c r="AH290" s="33"/>
      <c r="AI290" s="29"/>
      <c r="AJ290" s="32"/>
      <c r="AK290" s="32"/>
      <c r="AL290" s="29"/>
      <c r="AN290" s="34" t="str">
        <f aca="false">IF($B290="","",IF(OR(C290="",D290="",E290="",G290="",I290="",J290="",L290="",O290="",P290=""),"Champ obligatoire manquant",IF(OR(AND(N290&lt;&gt;"",N290&gt;O290),O290&gt;P290,AND(Q290&lt;&gt;"",Q290&lt;P290),AND(R290&lt;&gt;"",R290&lt;P290),AND(S290&lt;&gt;"",S290&lt;R290),AND(S290&lt;&gt;"",R290=""),AND(T290&lt;&gt;"",T290&lt;O290),AND(U290&lt;&gt;"",U290&lt;O290)),"Chronologie incohérente",IF(AND(OR(L290="Résolu",L290="Clos"),R290=""),"Date de résolution manquante",IF(AND(L290="Clos",S290=""),"Date de clôture manquante",IF(AND(K290="Oui",AC290=""),"Classification DORA manquante","OK"))))))</f>
        <v/>
      </c>
      <c r="AO290" s="35" t="str">
        <f aca="false">IF($B290="","",IF(AND(C290="Incident",L290&lt;&gt;"Annulé"),1,0))</f>
        <v/>
      </c>
      <c r="AP290" s="35" t="str">
        <f aca="false">IF($B290="","",IF(AND(C290="Quasi-incident",L290&lt;&gt;"Annulé"),1,0))</f>
        <v/>
      </c>
      <c r="AQ290" s="35" t="str">
        <f aca="false">IF($B290="","",AO290+AP290)</f>
        <v/>
      </c>
      <c r="AR290" s="36" t="str">
        <f aca="false">IF(OR($B290="",J290=""),"",IFERROR(VALUE(LEFT(J290,1)),""))</f>
        <v/>
      </c>
      <c r="AS290" s="35" t="str">
        <f aca="false">IF(OR(AO290&lt;&gt;1,G290=""),"",IFERROR(IF(INDEX(L_SrcInterne,MATCH(G290,L_Sources,0))="Oui",1,0),""))</f>
        <v/>
      </c>
      <c r="AT290" s="37" t="str">
        <f aca="false">IF(AO290&lt;&gt;1,"",IFERROR(ROUND(IF(OR(N290="",O290=""),"",IF(O290&lt;N290,"",ROUND(((NETWORKDAYS(N290,O290,JoursFeries)-1)*(HFer-HOuv)+IF(NETWORKDAYS(O290,O290,JoursFeries),MEDIAN(MOD(O290,1),HFer,HOuv),HFer)-IF(NETWORKDAYS(N290,N290,JoursFeries),MEDIAN(MOD(N290,1),HFer,HOuv),HOuv))*24,4)))/HJour,4),""))</f>
        <v/>
      </c>
      <c r="AU290" s="37" t="str">
        <f aca="false">IF(AO290&lt;&gt;1,"",IF(OR(O290="",P290=""),"",IF(P290&lt;O290,"",ROUND(((NETWORKDAYS(O290,P290,JoursFeries)-1)*(HFer-HOuv)+IF(NETWORKDAYS(P290,P290,JoursFeries),MEDIAN(MOD(P290,1),HFer,HOuv),HFer)-IF(NETWORKDAYS(O290,O290,JoursFeries),MEDIAN(MOD(O290,1),HFer,HOuv),HOuv))*24,4))))</f>
        <v/>
      </c>
      <c r="AV290" s="37" t="str">
        <f aca="false">IF(AO290&lt;&gt;1,"",IF(OR(P290="",Q290=""),"",IF(Q290&lt;P290,"",ROUND(((NETWORKDAYS(P290,Q290,JoursFeries)-1)*(HFer-HOuv)+IF(NETWORKDAYS(Q290,Q290,JoursFeries),MEDIAN(MOD(Q290,1),HFer,HOuv),HFer)-IF(NETWORKDAYS(P290,P290,JoursFeries),MEDIAN(MOD(P290,1),HFer,HOuv),HOuv))*24,4))))</f>
        <v/>
      </c>
      <c r="AW290" s="37" t="str">
        <f aca="false">IF(AO290&lt;&gt;1,"",IFERROR(ROUND(IF(OR(P290="",R290=""),"",IF(R290&lt;P290,"",ROUND(((NETWORKDAYS(P290,R290,JoursFeries)-1)*(HFer-HOuv)+IF(NETWORKDAYS(R290,R290,JoursFeries),MEDIAN(MOD(R290,1),HFer,HOuv),HFer)-IF(NETWORKDAYS(P290,P290,JoursFeries),MEDIAN(MOD(P290,1),HFer,HOuv),HOuv))*24,4)))/HJour,4),""))</f>
        <v/>
      </c>
      <c r="AX290" s="37" t="str">
        <f aca="false">IF(AO290&lt;&gt;1,"",IFERROR(ROUND(IF(OR(P290="",S290=""),"",IF(S290&lt;P290,"",ROUND(((NETWORKDAYS(P290,S290,JoursFeries)-1)*(HFer-HOuv)+IF(NETWORKDAYS(S290,S290,JoursFeries),MEDIAN(MOD(S290,1),HFer,HOuv),HFer)-IF(NETWORKDAYS(P290,P290,JoursFeries),MEDIAN(MOD(P290,1),HFer,HOuv),HOuv))*24,4)))/HJour,4),""))</f>
        <v/>
      </c>
      <c r="AY290" s="36" t="str">
        <f aca="false">IF(OR(AO290&lt;&gt;1,AR290=""),"",INDEX(SLA_PEC,AR290))</f>
        <v/>
      </c>
      <c r="AZ290" s="35" t="str">
        <f aca="false">IF(OR(AV290="",AY290=""),"",IF(AV290&lt;=AY290,1,0))</f>
        <v/>
      </c>
      <c r="BA290" s="36" t="str">
        <f aca="false">IF(OR(AO290&lt;&gt;1,AR290=""),"",INDEX(SLA_RES,AR290))</f>
        <v/>
      </c>
      <c r="BB290" s="35" t="str">
        <f aca="false">IF(OR(AW290="",BA290=""),"",IF(AW290&lt;=BA290,1,0))</f>
        <v/>
      </c>
      <c r="BC290" s="38" t="str">
        <f aca="false">IF(OR(BA290="",P290=""),"",WORKDAY(INT(P290),BA290,JoursFeries)+MOD(P290,1))</f>
        <v/>
      </c>
      <c r="BD290" s="39" t="str">
        <f aca="false">IF(AO290&lt;&gt;1,"",IF(OR(AB290&lt;&gt;"",AD290&lt;&gt;""),4,IF(U290&lt;&gt;"",3,IF(T290&lt;&gt;"",2,1))))</f>
        <v/>
      </c>
      <c r="BE290" s="39" t="str">
        <f aca="false">IF(OR(AO290&lt;&gt;1,AR290=""),"",INDEX(NIV_REQ,AR290))</f>
        <v/>
      </c>
      <c r="BF290" s="39" t="str">
        <f aca="false">IF(BE290="","",MAX(BE290,IF(OR(K290="Oui",Z290="Oui"),4,1)))</f>
        <v/>
      </c>
      <c r="BG290" s="35" t="str">
        <f aca="false">IF(OR(BF290="",BD290=""),"",IF(BD290&gt;=BF290,1,0))</f>
        <v/>
      </c>
      <c r="BH290" s="38" t="str">
        <f aca="false">IF(BE290="","",IF(BE290&lt;2,"",IF(BE290=2,IF(AND(T290="",U290=""),"",MIN(T290,U290)),IF(U290="","",U290))))</f>
        <v/>
      </c>
      <c r="BI290" s="37" t="str">
        <f aca="false">IF(BH290="","",IF(OR(O290="",BH290=""),"",IF(BH290&lt;O290,"",ROUND(((NETWORKDAYS(O290,BH290,JoursFeries)-1)*(HFer-HOuv)+IF(NETWORKDAYS(BH290,BH290,JoursFeries),MEDIAN(MOD(BH290,1),HFer,HOuv),HFer)-IF(NETWORKDAYS(O290,O290,JoursFeries),MEDIAN(MOD(O290,1),HFer,HOuv),HOuv))*24,4))))</f>
        <v/>
      </c>
      <c r="BJ290" s="35" t="str">
        <f aca="false">IF(OR(BI290="",AR290=""),"",IF(BI290&lt;=INDEX(DELAI_ESC,AR290),1,0))</f>
        <v/>
      </c>
      <c r="BK290" s="38" t="str">
        <f aca="false">IF(AO290&lt;&gt;1,"",IF(AND(T290="",U290=""),"",MIN(T290,U290)))</f>
        <v/>
      </c>
      <c r="BL290" s="37" t="str">
        <f aca="false">IF(OR(BK290="",R290=""),"",IFERROR(ROUND(IF(OR(BK290="",R290=""),"",IF(R290&lt;BK290,"",ROUND(((NETWORKDAYS(BK290,R290,JoursFeries)-1)*(HFer-HOuv)+IF(NETWORKDAYS(R290,R290,JoursFeries),MEDIAN(MOD(R290,1),HFer,HOuv),HFer)-IF(NETWORKDAYS(BK290,BK290,JoursFeries),MEDIAN(MOD(BK290,1),HFer,HOuv),HOuv))*24,4)))/HJour,4),""))</f>
        <v/>
      </c>
      <c r="BM290" s="35" t="str">
        <f aca="false">IF(OR(AO290&lt;&gt;1,R290=""),"",IF(BD290=1,1,0))</f>
        <v/>
      </c>
      <c r="BN290" s="35" t="str">
        <f aca="false">IF(AO290&lt;&gt;1,"",IF(W290="Oui",1,0))</f>
        <v/>
      </c>
      <c r="BO290" s="35" t="str">
        <f aca="false">IF(AO290&lt;&gt;1,"",IF(X290&lt;&gt;"",1,0))</f>
        <v/>
      </c>
      <c r="BP290" s="35" t="str">
        <f aca="false">IF(AO290&lt;&gt;1,"",IF(Y290="Oui",1,0))</f>
        <v/>
      </c>
      <c r="BQ290" s="35" t="str">
        <f aca="true">IF(OR(AO290&lt;&gt;1,Z290&lt;&gt;"Oui"),"",IF(AB290="",IF(AND(AA290&lt;&gt;"",NOW()&gt;AA290),0,""),IF(AA290="","",IF(AB290&lt;=AA290,1,0))))</f>
        <v/>
      </c>
      <c r="BR290" s="38" t="str">
        <f aca="false">IF(OR(AO290&lt;&gt;1,K290&lt;&gt;"Oui",O290=""),"",IF(AC290="",O290+DORA_H_DET/24,IF(AC290-O290&lt;=DORA_H_DET/24,MIN(AC290+DORA_H_CLA/24,O290+DORA_H_DET/24),AC290+DORA_H_CLA/24)))</f>
        <v/>
      </c>
      <c r="BS290" s="35" t="str">
        <f aca="true">IF(BR290="","",IF(AD290="",IF(NOW()&gt;BR290,0,""),IF(AD290&lt;=BR290,1,0)))</f>
        <v/>
      </c>
      <c r="BT290" s="35" t="str">
        <f aca="true">IF(OR(BR290="",AD290=""),"",IF(AE290="",IF(NOW()&gt;AD290+DORA_H_INT/24,0,""),IF(AE290&lt;=AD290+DORA_H_INT/24,1,0)))</f>
        <v/>
      </c>
      <c r="BU290" s="35" t="str">
        <f aca="true">IF(OR(BR290="",AE290=""),"",IF(AF290="",IF(NOW()&gt;EDATE(AE290,DORA_M_FIN)+1,0,""),IF(AF290&lt;=EDATE(AE290,DORA_M_FIN),1,0)))</f>
        <v/>
      </c>
      <c r="BV290" s="35" t="str">
        <f aca="false">IF(BR290="","",IF(COUNT(BS290:BU290)=0,"",MIN(BS290:BU290)))</f>
        <v/>
      </c>
      <c r="BW290" s="40" t="str">
        <f aca="false">IF(AQ290&lt;&gt;1,"",IF(AND(AG290="",AH290=""),"",N(AG290)-N(AH290)))</f>
        <v/>
      </c>
      <c r="BX290" s="35" t="str">
        <f aca="true">IF(OR(AQ290&lt;&gt;1,AI290&lt;&gt;"Oui",AJ290=""),"",IF(AK290="",IF(NOW()&gt;AJ290+1,0,""),IF(AK290&lt;=AJ290,1,0)))</f>
        <v/>
      </c>
    </row>
    <row r="291" customFormat="false" ht="15" hidden="false" customHeight="false" outlineLevel="0" collapsed="false">
      <c r="B291" s="29"/>
      <c r="C291" s="29"/>
      <c r="D291" s="29"/>
      <c r="E291" s="29"/>
      <c r="F291" s="29"/>
      <c r="G291" s="29"/>
      <c r="H291" s="29"/>
      <c r="I291" s="29"/>
      <c r="J291" s="29"/>
      <c r="K291" s="29"/>
      <c r="L291" s="29"/>
      <c r="M291" s="29"/>
      <c r="N291" s="30"/>
      <c r="O291" s="30"/>
      <c r="P291" s="30"/>
      <c r="Q291" s="30"/>
      <c r="R291" s="30"/>
      <c r="S291" s="30"/>
      <c r="T291" s="30"/>
      <c r="U291" s="30"/>
      <c r="V291" s="31"/>
      <c r="W291" s="29"/>
      <c r="X291" s="29"/>
      <c r="Y291" s="29"/>
      <c r="Z291" s="29"/>
      <c r="AA291" s="30"/>
      <c r="AB291" s="30"/>
      <c r="AC291" s="30"/>
      <c r="AD291" s="30"/>
      <c r="AE291" s="30"/>
      <c r="AF291" s="32"/>
      <c r="AG291" s="33"/>
      <c r="AH291" s="33"/>
      <c r="AI291" s="29"/>
      <c r="AJ291" s="32"/>
      <c r="AK291" s="32"/>
      <c r="AL291" s="29"/>
      <c r="AN291" s="34" t="str">
        <f aca="false">IF($B291="","",IF(OR(C291="",D291="",E291="",G291="",I291="",J291="",L291="",O291="",P291=""),"Champ obligatoire manquant",IF(OR(AND(N291&lt;&gt;"",N291&gt;O291),O291&gt;P291,AND(Q291&lt;&gt;"",Q291&lt;P291),AND(R291&lt;&gt;"",R291&lt;P291),AND(S291&lt;&gt;"",S291&lt;R291),AND(S291&lt;&gt;"",R291=""),AND(T291&lt;&gt;"",T291&lt;O291),AND(U291&lt;&gt;"",U291&lt;O291)),"Chronologie incohérente",IF(AND(OR(L291="Résolu",L291="Clos"),R291=""),"Date de résolution manquante",IF(AND(L291="Clos",S291=""),"Date de clôture manquante",IF(AND(K291="Oui",AC291=""),"Classification DORA manquante","OK"))))))</f>
        <v/>
      </c>
      <c r="AO291" s="35" t="str">
        <f aca="false">IF($B291="","",IF(AND(C291="Incident",L291&lt;&gt;"Annulé"),1,0))</f>
        <v/>
      </c>
      <c r="AP291" s="35" t="str">
        <f aca="false">IF($B291="","",IF(AND(C291="Quasi-incident",L291&lt;&gt;"Annulé"),1,0))</f>
        <v/>
      </c>
      <c r="AQ291" s="35" t="str">
        <f aca="false">IF($B291="","",AO291+AP291)</f>
        <v/>
      </c>
      <c r="AR291" s="36" t="str">
        <f aca="false">IF(OR($B291="",J291=""),"",IFERROR(VALUE(LEFT(J291,1)),""))</f>
        <v/>
      </c>
      <c r="AS291" s="35" t="str">
        <f aca="false">IF(OR(AO291&lt;&gt;1,G291=""),"",IFERROR(IF(INDEX(L_SrcInterne,MATCH(G291,L_Sources,0))="Oui",1,0),""))</f>
        <v/>
      </c>
      <c r="AT291" s="37" t="str">
        <f aca="false">IF(AO291&lt;&gt;1,"",IFERROR(ROUND(IF(OR(N291="",O291=""),"",IF(O291&lt;N291,"",ROUND(((NETWORKDAYS(N291,O291,JoursFeries)-1)*(HFer-HOuv)+IF(NETWORKDAYS(O291,O291,JoursFeries),MEDIAN(MOD(O291,1),HFer,HOuv),HFer)-IF(NETWORKDAYS(N291,N291,JoursFeries),MEDIAN(MOD(N291,1),HFer,HOuv),HOuv))*24,4)))/HJour,4),""))</f>
        <v/>
      </c>
      <c r="AU291" s="37" t="str">
        <f aca="false">IF(AO291&lt;&gt;1,"",IF(OR(O291="",P291=""),"",IF(P291&lt;O291,"",ROUND(((NETWORKDAYS(O291,P291,JoursFeries)-1)*(HFer-HOuv)+IF(NETWORKDAYS(P291,P291,JoursFeries),MEDIAN(MOD(P291,1),HFer,HOuv),HFer)-IF(NETWORKDAYS(O291,O291,JoursFeries),MEDIAN(MOD(O291,1),HFer,HOuv),HOuv))*24,4))))</f>
        <v/>
      </c>
      <c r="AV291" s="37" t="str">
        <f aca="false">IF(AO291&lt;&gt;1,"",IF(OR(P291="",Q291=""),"",IF(Q291&lt;P291,"",ROUND(((NETWORKDAYS(P291,Q291,JoursFeries)-1)*(HFer-HOuv)+IF(NETWORKDAYS(Q291,Q291,JoursFeries),MEDIAN(MOD(Q291,1),HFer,HOuv),HFer)-IF(NETWORKDAYS(P291,P291,JoursFeries),MEDIAN(MOD(P291,1),HFer,HOuv),HOuv))*24,4))))</f>
        <v/>
      </c>
      <c r="AW291" s="37" t="str">
        <f aca="false">IF(AO291&lt;&gt;1,"",IFERROR(ROUND(IF(OR(P291="",R291=""),"",IF(R291&lt;P291,"",ROUND(((NETWORKDAYS(P291,R291,JoursFeries)-1)*(HFer-HOuv)+IF(NETWORKDAYS(R291,R291,JoursFeries),MEDIAN(MOD(R291,1),HFer,HOuv),HFer)-IF(NETWORKDAYS(P291,P291,JoursFeries),MEDIAN(MOD(P291,1),HFer,HOuv),HOuv))*24,4)))/HJour,4),""))</f>
        <v/>
      </c>
      <c r="AX291" s="37" t="str">
        <f aca="false">IF(AO291&lt;&gt;1,"",IFERROR(ROUND(IF(OR(P291="",S291=""),"",IF(S291&lt;P291,"",ROUND(((NETWORKDAYS(P291,S291,JoursFeries)-1)*(HFer-HOuv)+IF(NETWORKDAYS(S291,S291,JoursFeries),MEDIAN(MOD(S291,1),HFer,HOuv),HFer)-IF(NETWORKDAYS(P291,P291,JoursFeries),MEDIAN(MOD(P291,1),HFer,HOuv),HOuv))*24,4)))/HJour,4),""))</f>
        <v/>
      </c>
      <c r="AY291" s="36" t="str">
        <f aca="false">IF(OR(AO291&lt;&gt;1,AR291=""),"",INDEX(SLA_PEC,AR291))</f>
        <v/>
      </c>
      <c r="AZ291" s="35" t="str">
        <f aca="false">IF(OR(AV291="",AY291=""),"",IF(AV291&lt;=AY291,1,0))</f>
        <v/>
      </c>
      <c r="BA291" s="36" t="str">
        <f aca="false">IF(OR(AO291&lt;&gt;1,AR291=""),"",INDEX(SLA_RES,AR291))</f>
        <v/>
      </c>
      <c r="BB291" s="35" t="str">
        <f aca="false">IF(OR(AW291="",BA291=""),"",IF(AW291&lt;=BA291,1,0))</f>
        <v/>
      </c>
      <c r="BC291" s="38" t="str">
        <f aca="false">IF(OR(BA291="",P291=""),"",WORKDAY(INT(P291),BA291,JoursFeries)+MOD(P291,1))</f>
        <v/>
      </c>
      <c r="BD291" s="39" t="str">
        <f aca="false">IF(AO291&lt;&gt;1,"",IF(OR(AB291&lt;&gt;"",AD291&lt;&gt;""),4,IF(U291&lt;&gt;"",3,IF(T291&lt;&gt;"",2,1))))</f>
        <v/>
      </c>
      <c r="BE291" s="39" t="str">
        <f aca="false">IF(OR(AO291&lt;&gt;1,AR291=""),"",INDEX(NIV_REQ,AR291))</f>
        <v/>
      </c>
      <c r="BF291" s="39" t="str">
        <f aca="false">IF(BE291="","",MAX(BE291,IF(OR(K291="Oui",Z291="Oui"),4,1)))</f>
        <v/>
      </c>
      <c r="BG291" s="35" t="str">
        <f aca="false">IF(OR(BF291="",BD291=""),"",IF(BD291&gt;=BF291,1,0))</f>
        <v/>
      </c>
      <c r="BH291" s="38" t="str">
        <f aca="false">IF(BE291="","",IF(BE291&lt;2,"",IF(BE291=2,IF(AND(T291="",U291=""),"",MIN(T291,U291)),IF(U291="","",U291))))</f>
        <v/>
      </c>
      <c r="BI291" s="37" t="str">
        <f aca="false">IF(BH291="","",IF(OR(O291="",BH291=""),"",IF(BH291&lt;O291,"",ROUND(((NETWORKDAYS(O291,BH291,JoursFeries)-1)*(HFer-HOuv)+IF(NETWORKDAYS(BH291,BH291,JoursFeries),MEDIAN(MOD(BH291,1),HFer,HOuv),HFer)-IF(NETWORKDAYS(O291,O291,JoursFeries),MEDIAN(MOD(O291,1),HFer,HOuv),HOuv))*24,4))))</f>
        <v/>
      </c>
      <c r="BJ291" s="35" t="str">
        <f aca="false">IF(OR(BI291="",AR291=""),"",IF(BI291&lt;=INDEX(DELAI_ESC,AR291),1,0))</f>
        <v/>
      </c>
      <c r="BK291" s="38" t="str">
        <f aca="false">IF(AO291&lt;&gt;1,"",IF(AND(T291="",U291=""),"",MIN(T291,U291)))</f>
        <v/>
      </c>
      <c r="BL291" s="37" t="str">
        <f aca="false">IF(OR(BK291="",R291=""),"",IFERROR(ROUND(IF(OR(BK291="",R291=""),"",IF(R291&lt;BK291,"",ROUND(((NETWORKDAYS(BK291,R291,JoursFeries)-1)*(HFer-HOuv)+IF(NETWORKDAYS(R291,R291,JoursFeries),MEDIAN(MOD(R291,1),HFer,HOuv),HFer)-IF(NETWORKDAYS(BK291,BK291,JoursFeries),MEDIAN(MOD(BK291,1),HFer,HOuv),HOuv))*24,4)))/HJour,4),""))</f>
        <v/>
      </c>
      <c r="BM291" s="35" t="str">
        <f aca="false">IF(OR(AO291&lt;&gt;1,R291=""),"",IF(BD291=1,1,0))</f>
        <v/>
      </c>
      <c r="BN291" s="35" t="str">
        <f aca="false">IF(AO291&lt;&gt;1,"",IF(W291="Oui",1,0))</f>
        <v/>
      </c>
      <c r="BO291" s="35" t="str">
        <f aca="false">IF(AO291&lt;&gt;1,"",IF(X291&lt;&gt;"",1,0))</f>
        <v/>
      </c>
      <c r="BP291" s="35" t="str">
        <f aca="false">IF(AO291&lt;&gt;1,"",IF(Y291="Oui",1,0))</f>
        <v/>
      </c>
      <c r="BQ291" s="35" t="str">
        <f aca="true">IF(OR(AO291&lt;&gt;1,Z291&lt;&gt;"Oui"),"",IF(AB291="",IF(AND(AA291&lt;&gt;"",NOW()&gt;AA291),0,""),IF(AA291="","",IF(AB291&lt;=AA291,1,0))))</f>
        <v/>
      </c>
      <c r="BR291" s="38" t="str">
        <f aca="false">IF(OR(AO291&lt;&gt;1,K291&lt;&gt;"Oui",O291=""),"",IF(AC291="",O291+DORA_H_DET/24,IF(AC291-O291&lt;=DORA_H_DET/24,MIN(AC291+DORA_H_CLA/24,O291+DORA_H_DET/24),AC291+DORA_H_CLA/24)))</f>
        <v/>
      </c>
      <c r="BS291" s="35" t="str">
        <f aca="true">IF(BR291="","",IF(AD291="",IF(NOW()&gt;BR291,0,""),IF(AD291&lt;=BR291,1,0)))</f>
        <v/>
      </c>
      <c r="BT291" s="35" t="str">
        <f aca="true">IF(OR(BR291="",AD291=""),"",IF(AE291="",IF(NOW()&gt;AD291+DORA_H_INT/24,0,""),IF(AE291&lt;=AD291+DORA_H_INT/24,1,0)))</f>
        <v/>
      </c>
      <c r="BU291" s="35" t="str">
        <f aca="true">IF(OR(BR291="",AE291=""),"",IF(AF291="",IF(NOW()&gt;EDATE(AE291,DORA_M_FIN)+1,0,""),IF(AF291&lt;=EDATE(AE291,DORA_M_FIN),1,0)))</f>
        <v/>
      </c>
      <c r="BV291" s="35" t="str">
        <f aca="false">IF(BR291="","",IF(COUNT(BS291:BU291)=0,"",MIN(BS291:BU291)))</f>
        <v/>
      </c>
      <c r="BW291" s="40" t="str">
        <f aca="false">IF(AQ291&lt;&gt;1,"",IF(AND(AG291="",AH291=""),"",N(AG291)-N(AH291)))</f>
        <v/>
      </c>
      <c r="BX291" s="35" t="str">
        <f aca="true">IF(OR(AQ291&lt;&gt;1,AI291&lt;&gt;"Oui",AJ291=""),"",IF(AK291="",IF(NOW()&gt;AJ291+1,0,""),IF(AK291&lt;=AJ291,1,0)))</f>
        <v/>
      </c>
    </row>
    <row r="292" customFormat="false" ht="15" hidden="false" customHeight="false" outlineLevel="0" collapsed="false">
      <c r="B292" s="29"/>
      <c r="C292" s="29"/>
      <c r="D292" s="29"/>
      <c r="E292" s="29"/>
      <c r="F292" s="29"/>
      <c r="G292" s="29"/>
      <c r="H292" s="29"/>
      <c r="I292" s="29"/>
      <c r="J292" s="29"/>
      <c r="K292" s="29"/>
      <c r="L292" s="29"/>
      <c r="M292" s="29"/>
      <c r="N292" s="30"/>
      <c r="O292" s="30"/>
      <c r="P292" s="30"/>
      <c r="Q292" s="30"/>
      <c r="R292" s="30"/>
      <c r="S292" s="30"/>
      <c r="T292" s="30"/>
      <c r="U292" s="30"/>
      <c r="V292" s="31"/>
      <c r="W292" s="29"/>
      <c r="X292" s="29"/>
      <c r="Y292" s="29"/>
      <c r="Z292" s="29"/>
      <c r="AA292" s="30"/>
      <c r="AB292" s="30"/>
      <c r="AC292" s="30"/>
      <c r="AD292" s="30"/>
      <c r="AE292" s="30"/>
      <c r="AF292" s="32"/>
      <c r="AG292" s="33"/>
      <c r="AH292" s="33"/>
      <c r="AI292" s="29"/>
      <c r="AJ292" s="32"/>
      <c r="AK292" s="32"/>
      <c r="AL292" s="29"/>
      <c r="AN292" s="34" t="str">
        <f aca="false">IF($B292="","",IF(OR(C292="",D292="",E292="",G292="",I292="",J292="",L292="",O292="",P292=""),"Champ obligatoire manquant",IF(OR(AND(N292&lt;&gt;"",N292&gt;O292),O292&gt;P292,AND(Q292&lt;&gt;"",Q292&lt;P292),AND(R292&lt;&gt;"",R292&lt;P292),AND(S292&lt;&gt;"",S292&lt;R292),AND(S292&lt;&gt;"",R292=""),AND(T292&lt;&gt;"",T292&lt;O292),AND(U292&lt;&gt;"",U292&lt;O292)),"Chronologie incohérente",IF(AND(OR(L292="Résolu",L292="Clos"),R292=""),"Date de résolution manquante",IF(AND(L292="Clos",S292=""),"Date de clôture manquante",IF(AND(K292="Oui",AC292=""),"Classification DORA manquante","OK"))))))</f>
        <v/>
      </c>
      <c r="AO292" s="35" t="str">
        <f aca="false">IF($B292="","",IF(AND(C292="Incident",L292&lt;&gt;"Annulé"),1,0))</f>
        <v/>
      </c>
      <c r="AP292" s="35" t="str">
        <f aca="false">IF($B292="","",IF(AND(C292="Quasi-incident",L292&lt;&gt;"Annulé"),1,0))</f>
        <v/>
      </c>
      <c r="AQ292" s="35" t="str">
        <f aca="false">IF($B292="","",AO292+AP292)</f>
        <v/>
      </c>
      <c r="AR292" s="36" t="str">
        <f aca="false">IF(OR($B292="",J292=""),"",IFERROR(VALUE(LEFT(J292,1)),""))</f>
        <v/>
      </c>
      <c r="AS292" s="35" t="str">
        <f aca="false">IF(OR(AO292&lt;&gt;1,G292=""),"",IFERROR(IF(INDEX(L_SrcInterne,MATCH(G292,L_Sources,0))="Oui",1,0),""))</f>
        <v/>
      </c>
      <c r="AT292" s="37" t="str">
        <f aca="false">IF(AO292&lt;&gt;1,"",IFERROR(ROUND(IF(OR(N292="",O292=""),"",IF(O292&lt;N292,"",ROUND(((NETWORKDAYS(N292,O292,JoursFeries)-1)*(HFer-HOuv)+IF(NETWORKDAYS(O292,O292,JoursFeries),MEDIAN(MOD(O292,1),HFer,HOuv),HFer)-IF(NETWORKDAYS(N292,N292,JoursFeries),MEDIAN(MOD(N292,1),HFer,HOuv),HOuv))*24,4)))/HJour,4),""))</f>
        <v/>
      </c>
      <c r="AU292" s="37" t="str">
        <f aca="false">IF(AO292&lt;&gt;1,"",IF(OR(O292="",P292=""),"",IF(P292&lt;O292,"",ROUND(((NETWORKDAYS(O292,P292,JoursFeries)-1)*(HFer-HOuv)+IF(NETWORKDAYS(P292,P292,JoursFeries),MEDIAN(MOD(P292,1),HFer,HOuv),HFer)-IF(NETWORKDAYS(O292,O292,JoursFeries),MEDIAN(MOD(O292,1),HFer,HOuv),HOuv))*24,4))))</f>
        <v/>
      </c>
      <c r="AV292" s="37" t="str">
        <f aca="false">IF(AO292&lt;&gt;1,"",IF(OR(P292="",Q292=""),"",IF(Q292&lt;P292,"",ROUND(((NETWORKDAYS(P292,Q292,JoursFeries)-1)*(HFer-HOuv)+IF(NETWORKDAYS(Q292,Q292,JoursFeries),MEDIAN(MOD(Q292,1),HFer,HOuv),HFer)-IF(NETWORKDAYS(P292,P292,JoursFeries),MEDIAN(MOD(P292,1),HFer,HOuv),HOuv))*24,4))))</f>
        <v/>
      </c>
      <c r="AW292" s="37" t="str">
        <f aca="false">IF(AO292&lt;&gt;1,"",IFERROR(ROUND(IF(OR(P292="",R292=""),"",IF(R292&lt;P292,"",ROUND(((NETWORKDAYS(P292,R292,JoursFeries)-1)*(HFer-HOuv)+IF(NETWORKDAYS(R292,R292,JoursFeries),MEDIAN(MOD(R292,1),HFer,HOuv),HFer)-IF(NETWORKDAYS(P292,P292,JoursFeries),MEDIAN(MOD(P292,1),HFer,HOuv),HOuv))*24,4)))/HJour,4),""))</f>
        <v/>
      </c>
      <c r="AX292" s="37" t="str">
        <f aca="false">IF(AO292&lt;&gt;1,"",IFERROR(ROUND(IF(OR(P292="",S292=""),"",IF(S292&lt;P292,"",ROUND(((NETWORKDAYS(P292,S292,JoursFeries)-1)*(HFer-HOuv)+IF(NETWORKDAYS(S292,S292,JoursFeries),MEDIAN(MOD(S292,1),HFer,HOuv),HFer)-IF(NETWORKDAYS(P292,P292,JoursFeries),MEDIAN(MOD(P292,1),HFer,HOuv),HOuv))*24,4)))/HJour,4),""))</f>
        <v/>
      </c>
      <c r="AY292" s="36" t="str">
        <f aca="false">IF(OR(AO292&lt;&gt;1,AR292=""),"",INDEX(SLA_PEC,AR292))</f>
        <v/>
      </c>
      <c r="AZ292" s="35" t="str">
        <f aca="false">IF(OR(AV292="",AY292=""),"",IF(AV292&lt;=AY292,1,0))</f>
        <v/>
      </c>
      <c r="BA292" s="36" t="str">
        <f aca="false">IF(OR(AO292&lt;&gt;1,AR292=""),"",INDEX(SLA_RES,AR292))</f>
        <v/>
      </c>
      <c r="BB292" s="35" t="str">
        <f aca="false">IF(OR(AW292="",BA292=""),"",IF(AW292&lt;=BA292,1,0))</f>
        <v/>
      </c>
      <c r="BC292" s="38" t="str">
        <f aca="false">IF(OR(BA292="",P292=""),"",WORKDAY(INT(P292),BA292,JoursFeries)+MOD(P292,1))</f>
        <v/>
      </c>
      <c r="BD292" s="39" t="str">
        <f aca="false">IF(AO292&lt;&gt;1,"",IF(OR(AB292&lt;&gt;"",AD292&lt;&gt;""),4,IF(U292&lt;&gt;"",3,IF(T292&lt;&gt;"",2,1))))</f>
        <v/>
      </c>
      <c r="BE292" s="39" t="str">
        <f aca="false">IF(OR(AO292&lt;&gt;1,AR292=""),"",INDEX(NIV_REQ,AR292))</f>
        <v/>
      </c>
      <c r="BF292" s="39" t="str">
        <f aca="false">IF(BE292="","",MAX(BE292,IF(OR(K292="Oui",Z292="Oui"),4,1)))</f>
        <v/>
      </c>
      <c r="BG292" s="35" t="str">
        <f aca="false">IF(OR(BF292="",BD292=""),"",IF(BD292&gt;=BF292,1,0))</f>
        <v/>
      </c>
      <c r="BH292" s="38" t="str">
        <f aca="false">IF(BE292="","",IF(BE292&lt;2,"",IF(BE292=2,IF(AND(T292="",U292=""),"",MIN(T292,U292)),IF(U292="","",U292))))</f>
        <v/>
      </c>
      <c r="BI292" s="37" t="str">
        <f aca="false">IF(BH292="","",IF(OR(O292="",BH292=""),"",IF(BH292&lt;O292,"",ROUND(((NETWORKDAYS(O292,BH292,JoursFeries)-1)*(HFer-HOuv)+IF(NETWORKDAYS(BH292,BH292,JoursFeries),MEDIAN(MOD(BH292,1),HFer,HOuv),HFer)-IF(NETWORKDAYS(O292,O292,JoursFeries),MEDIAN(MOD(O292,1),HFer,HOuv),HOuv))*24,4))))</f>
        <v/>
      </c>
      <c r="BJ292" s="35" t="str">
        <f aca="false">IF(OR(BI292="",AR292=""),"",IF(BI292&lt;=INDEX(DELAI_ESC,AR292),1,0))</f>
        <v/>
      </c>
      <c r="BK292" s="38" t="str">
        <f aca="false">IF(AO292&lt;&gt;1,"",IF(AND(T292="",U292=""),"",MIN(T292,U292)))</f>
        <v/>
      </c>
      <c r="BL292" s="37" t="str">
        <f aca="false">IF(OR(BK292="",R292=""),"",IFERROR(ROUND(IF(OR(BK292="",R292=""),"",IF(R292&lt;BK292,"",ROUND(((NETWORKDAYS(BK292,R292,JoursFeries)-1)*(HFer-HOuv)+IF(NETWORKDAYS(R292,R292,JoursFeries),MEDIAN(MOD(R292,1),HFer,HOuv),HFer)-IF(NETWORKDAYS(BK292,BK292,JoursFeries),MEDIAN(MOD(BK292,1),HFer,HOuv),HOuv))*24,4)))/HJour,4),""))</f>
        <v/>
      </c>
      <c r="BM292" s="35" t="str">
        <f aca="false">IF(OR(AO292&lt;&gt;1,R292=""),"",IF(BD292=1,1,0))</f>
        <v/>
      </c>
      <c r="BN292" s="35" t="str">
        <f aca="false">IF(AO292&lt;&gt;1,"",IF(W292="Oui",1,0))</f>
        <v/>
      </c>
      <c r="BO292" s="35" t="str">
        <f aca="false">IF(AO292&lt;&gt;1,"",IF(X292&lt;&gt;"",1,0))</f>
        <v/>
      </c>
      <c r="BP292" s="35" t="str">
        <f aca="false">IF(AO292&lt;&gt;1,"",IF(Y292="Oui",1,0))</f>
        <v/>
      </c>
      <c r="BQ292" s="35" t="str">
        <f aca="true">IF(OR(AO292&lt;&gt;1,Z292&lt;&gt;"Oui"),"",IF(AB292="",IF(AND(AA292&lt;&gt;"",NOW()&gt;AA292),0,""),IF(AA292="","",IF(AB292&lt;=AA292,1,0))))</f>
        <v/>
      </c>
      <c r="BR292" s="38" t="str">
        <f aca="false">IF(OR(AO292&lt;&gt;1,K292&lt;&gt;"Oui",O292=""),"",IF(AC292="",O292+DORA_H_DET/24,IF(AC292-O292&lt;=DORA_H_DET/24,MIN(AC292+DORA_H_CLA/24,O292+DORA_H_DET/24),AC292+DORA_H_CLA/24)))</f>
        <v/>
      </c>
      <c r="BS292" s="35" t="str">
        <f aca="true">IF(BR292="","",IF(AD292="",IF(NOW()&gt;BR292,0,""),IF(AD292&lt;=BR292,1,0)))</f>
        <v/>
      </c>
      <c r="BT292" s="35" t="str">
        <f aca="true">IF(OR(BR292="",AD292=""),"",IF(AE292="",IF(NOW()&gt;AD292+DORA_H_INT/24,0,""),IF(AE292&lt;=AD292+DORA_H_INT/24,1,0)))</f>
        <v/>
      </c>
      <c r="BU292" s="35" t="str">
        <f aca="true">IF(OR(BR292="",AE292=""),"",IF(AF292="",IF(NOW()&gt;EDATE(AE292,DORA_M_FIN)+1,0,""),IF(AF292&lt;=EDATE(AE292,DORA_M_FIN),1,0)))</f>
        <v/>
      </c>
      <c r="BV292" s="35" t="str">
        <f aca="false">IF(BR292="","",IF(COUNT(BS292:BU292)=0,"",MIN(BS292:BU292)))</f>
        <v/>
      </c>
      <c r="BW292" s="40" t="str">
        <f aca="false">IF(AQ292&lt;&gt;1,"",IF(AND(AG292="",AH292=""),"",N(AG292)-N(AH292)))</f>
        <v/>
      </c>
      <c r="BX292" s="35" t="str">
        <f aca="true">IF(OR(AQ292&lt;&gt;1,AI292&lt;&gt;"Oui",AJ292=""),"",IF(AK292="",IF(NOW()&gt;AJ292+1,0,""),IF(AK292&lt;=AJ292,1,0)))</f>
        <v/>
      </c>
    </row>
    <row r="293" customFormat="false" ht="15" hidden="false" customHeight="false" outlineLevel="0" collapsed="false">
      <c r="B293" s="29"/>
      <c r="C293" s="29"/>
      <c r="D293" s="29"/>
      <c r="E293" s="29"/>
      <c r="F293" s="29"/>
      <c r="G293" s="29"/>
      <c r="H293" s="29"/>
      <c r="I293" s="29"/>
      <c r="J293" s="29"/>
      <c r="K293" s="29"/>
      <c r="L293" s="29"/>
      <c r="M293" s="29"/>
      <c r="N293" s="30"/>
      <c r="O293" s="30"/>
      <c r="P293" s="30"/>
      <c r="Q293" s="30"/>
      <c r="R293" s="30"/>
      <c r="S293" s="30"/>
      <c r="T293" s="30"/>
      <c r="U293" s="30"/>
      <c r="V293" s="31"/>
      <c r="W293" s="29"/>
      <c r="X293" s="29"/>
      <c r="Y293" s="29"/>
      <c r="Z293" s="29"/>
      <c r="AA293" s="30"/>
      <c r="AB293" s="30"/>
      <c r="AC293" s="30"/>
      <c r="AD293" s="30"/>
      <c r="AE293" s="30"/>
      <c r="AF293" s="32"/>
      <c r="AG293" s="33"/>
      <c r="AH293" s="33"/>
      <c r="AI293" s="29"/>
      <c r="AJ293" s="32"/>
      <c r="AK293" s="32"/>
      <c r="AL293" s="29"/>
      <c r="AN293" s="34" t="str">
        <f aca="false">IF($B293="","",IF(OR(C293="",D293="",E293="",G293="",I293="",J293="",L293="",O293="",P293=""),"Champ obligatoire manquant",IF(OR(AND(N293&lt;&gt;"",N293&gt;O293),O293&gt;P293,AND(Q293&lt;&gt;"",Q293&lt;P293),AND(R293&lt;&gt;"",R293&lt;P293),AND(S293&lt;&gt;"",S293&lt;R293),AND(S293&lt;&gt;"",R293=""),AND(T293&lt;&gt;"",T293&lt;O293),AND(U293&lt;&gt;"",U293&lt;O293)),"Chronologie incohérente",IF(AND(OR(L293="Résolu",L293="Clos"),R293=""),"Date de résolution manquante",IF(AND(L293="Clos",S293=""),"Date de clôture manquante",IF(AND(K293="Oui",AC293=""),"Classification DORA manquante","OK"))))))</f>
        <v/>
      </c>
      <c r="AO293" s="35" t="str">
        <f aca="false">IF($B293="","",IF(AND(C293="Incident",L293&lt;&gt;"Annulé"),1,0))</f>
        <v/>
      </c>
      <c r="AP293" s="35" t="str">
        <f aca="false">IF($B293="","",IF(AND(C293="Quasi-incident",L293&lt;&gt;"Annulé"),1,0))</f>
        <v/>
      </c>
      <c r="AQ293" s="35" t="str">
        <f aca="false">IF($B293="","",AO293+AP293)</f>
        <v/>
      </c>
      <c r="AR293" s="36" t="str">
        <f aca="false">IF(OR($B293="",J293=""),"",IFERROR(VALUE(LEFT(J293,1)),""))</f>
        <v/>
      </c>
      <c r="AS293" s="35" t="str">
        <f aca="false">IF(OR(AO293&lt;&gt;1,G293=""),"",IFERROR(IF(INDEX(L_SrcInterne,MATCH(G293,L_Sources,0))="Oui",1,0),""))</f>
        <v/>
      </c>
      <c r="AT293" s="37" t="str">
        <f aca="false">IF(AO293&lt;&gt;1,"",IFERROR(ROUND(IF(OR(N293="",O293=""),"",IF(O293&lt;N293,"",ROUND(((NETWORKDAYS(N293,O293,JoursFeries)-1)*(HFer-HOuv)+IF(NETWORKDAYS(O293,O293,JoursFeries),MEDIAN(MOD(O293,1),HFer,HOuv),HFer)-IF(NETWORKDAYS(N293,N293,JoursFeries),MEDIAN(MOD(N293,1),HFer,HOuv),HOuv))*24,4)))/HJour,4),""))</f>
        <v/>
      </c>
      <c r="AU293" s="37" t="str">
        <f aca="false">IF(AO293&lt;&gt;1,"",IF(OR(O293="",P293=""),"",IF(P293&lt;O293,"",ROUND(((NETWORKDAYS(O293,P293,JoursFeries)-1)*(HFer-HOuv)+IF(NETWORKDAYS(P293,P293,JoursFeries),MEDIAN(MOD(P293,1),HFer,HOuv),HFer)-IF(NETWORKDAYS(O293,O293,JoursFeries),MEDIAN(MOD(O293,1),HFer,HOuv),HOuv))*24,4))))</f>
        <v/>
      </c>
      <c r="AV293" s="37" t="str">
        <f aca="false">IF(AO293&lt;&gt;1,"",IF(OR(P293="",Q293=""),"",IF(Q293&lt;P293,"",ROUND(((NETWORKDAYS(P293,Q293,JoursFeries)-1)*(HFer-HOuv)+IF(NETWORKDAYS(Q293,Q293,JoursFeries),MEDIAN(MOD(Q293,1),HFer,HOuv),HFer)-IF(NETWORKDAYS(P293,P293,JoursFeries),MEDIAN(MOD(P293,1),HFer,HOuv),HOuv))*24,4))))</f>
        <v/>
      </c>
      <c r="AW293" s="37" t="str">
        <f aca="false">IF(AO293&lt;&gt;1,"",IFERROR(ROUND(IF(OR(P293="",R293=""),"",IF(R293&lt;P293,"",ROUND(((NETWORKDAYS(P293,R293,JoursFeries)-1)*(HFer-HOuv)+IF(NETWORKDAYS(R293,R293,JoursFeries),MEDIAN(MOD(R293,1),HFer,HOuv),HFer)-IF(NETWORKDAYS(P293,P293,JoursFeries),MEDIAN(MOD(P293,1),HFer,HOuv),HOuv))*24,4)))/HJour,4),""))</f>
        <v/>
      </c>
      <c r="AX293" s="37" t="str">
        <f aca="false">IF(AO293&lt;&gt;1,"",IFERROR(ROUND(IF(OR(P293="",S293=""),"",IF(S293&lt;P293,"",ROUND(((NETWORKDAYS(P293,S293,JoursFeries)-1)*(HFer-HOuv)+IF(NETWORKDAYS(S293,S293,JoursFeries),MEDIAN(MOD(S293,1),HFer,HOuv),HFer)-IF(NETWORKDAYS(P293,P293,JoursFeries),MEDIAN(MOD(P293,1),HFer,HOuv),HOuv))*24,4)))/HJour,4),""))</f>
        <v/>
      </c>
      <c r="AY293" s="36" t="str">
        <f aca="false">IF(OR(AO293&lt;&gt;1,AR293=""),"",INDEX(SLA_PEC,AR293))</f>
        <v/>
      </c>
      <c r="AZ293" s="35" t="str">
        <f aca="false">IF(OR(AV293="",AY293=""),"",IF(AV293&lt;=AY293,1,0))</f>
        <v/>
      </c>
      <c r="BA293" s="36" t="str">
        <f aca="false">IF(OR(AO293&lt;&gt;1,AR293=""),"",INDEX(SLA_RES,AR293))</f>
        <v/>
      </c>
      <c r="BB293" s="35" t="str">
        <f aca="false">IF(OR(AW293="",BA293=""),"",IF(AW293&lt;=BA293,1,0))</f>
        <v/>
      </c>
      <c r="BC293" s="38" t="str">
        <f aca="false">IF(OR(BA293="",P293=""),"",WORKDAY(INT(P293),BA293,JoursFeries)+MOD(P293,1))</f>
        <v/>
      </c>
      <c r="BD293" s="39" t="str">
        <f aca="false">IF(AO293&lt;&gt;1,"",IF(OR(AB293&lt;&gt;"",AD293&lt;&gt;""),4,IF(U293&lt;&gt;"",3,IF(T293&lt;&gt;"",2,1))))</f>
        <v/>
      </c>
      <c r="BE293" s="39" t="str">
        <f aca="false">IF(OR(AO293&lt;&gt;1,AR293=""),"",INDEX(NIV_REQ,AR293))</f>
        <v/>
      </c>
      <c r="BF293" s="39" t="str">
        <f aca="false">IF(BE293="","",MAX(BE293,IF(OR(K293="Oui",Z293="Oui"),4,1)))</f>
        <v/>
      </c>
      <c r="BG293" s="35" t="str">
        <f aca="false">IF(OR(BF293="",BD293=""),"",IF(BD293&gt;=BF293,1,0))</f>
        <v/>
      </c>
      <c r="BH293" s="38" t="str">
        <f aca="false">IF(BE293="","",IF(BE293&lt;2,"",IF(BE293=2,IF(AND(T293="",U293=""),"",MIN(T293,U293)),IF(U293="","",U293))))</f>
        <v/>
      </c>
      <c r="BI293" s="37" t="str">
        <f aca="false">IF(BH293="","",IF(OR(O293="",BH293=""),"",IF(BH293&lt;O293,"",ROUND(((NETWORKDAYS(O293,BH293,JoursFeries)-1)*(HFer-HOuv)+IF(NETWORKDAYS(BH293,BH293,JoursFeries),MEDIAN(MOD(BH293,1),HFer,HOuv),HFer)-IF(NETWORKDAYS(O293,O293,JoursFeries),MEDIAN(MOD(O293,1),HFer,HOuv),HOuv))*24,4))))</f>
        <v/>
      </c>
      <c r="BJ293" s="35" t="str">
        <f aca="false">IF(OR(BI293="",AR293=""),"",IF(BI293&lt;=INDEX(DELAI_ESC,AR293),1,0))</f>
        <v/>
      </c>
      <c r="BK293" s="38" t="str">
        <f aca="false">IF(AO293&lt;&gt;1,"",IF(AND(T293="",U293=""),"",MIN(T293,U293)))</f>
        <v/>
      </c>
      <c r="BL293" s="37" t="str">
        <f aca="false">IF(OR(BK293="",R293=""),"",IFERROR(ROUND(IF(OR(BK293="",R293=""),"",IF(R293&lt;BK293,"",ROUND(((NETWORKDAYS(BK293,R293,JoursFeries)-1)*(HFer-HOuv)+IF(NETWORKDAYS(R293,R293,JoursFeries),MEDIAN(MOD(R293,1),HFer,HOuv),HFer)-IF(NETWORKDAYS(BK293,BK293,JoursFeries),MEDIAN(MOD(BK293,1),HFer,HOuv),HOuv))*24,4)))/HJour,4),""))</f>
        <v/>
      </c>
      <c r="BM293" s="35" t="str">
        <f aca="false">IF(OR(AO293&lt;&gt;1,R293=""),"",IF(BD293=1,1,0))</f>
        <v/>
      </c>
      <c r="BN293" s="35" t="str">
        <f aca="false">IF(AO293&lt;&gt;1,"",IF(W293="Oui",1,0))</f>
        <v/>
      </c>
      <c r="BO293" s="35" t="str">
        <f aca="false">IF(AO293&lt;&gt;1,"",IF(X293&lt;&gt;"",1,0))</f>
        <v/>
      </c>
      <c r="BP293" s="35" t="str">
        <f aca="false">IF(AO293&lt;&gt;1,"",IF(Y293="Oui",1,0))</f>
        <v/>
      </c>
      <c r="BQ293" s="35" t="str">
        <f aca="true">IF(OR(AO293&lt;&gt;1,Z293&lt;&gt;"Oui"),"",IF(AB293="",IF(AND(AA293&lt;&gt;"",NOW()&gt;AA293),0,""),IF(AA293="","",IF(AB293&lt;=AA293,1,0))))</f>
        <v/>
      </c>
      <c r="BR293" s="38" t="str">
        <f aca="false">IF(OR(AO293&lt;&gt;1,K293&lt;&gt;"Oui",O293=""),"",IF(AC293="",O293+DORA_H_DET/24,IF(AC293-O293&lt;=DORA_H_DET/24,MIN(AC293+DORA_H_CLA/24,O293+DORA_H_DET/24),AC293+DORA_H_CLA/24)))</f>
        <v/>
      </c>
      <c r="BS293" s="35" t="str">
        <f aca="true">IF(BR293="","",IF(AD293="",IF(NOW()&gt;BR293,0,""),IF(AD293&lt;=BR293,1,0)))</f>
        <v/>
      </c>
      <c r="BT293" s="35" t="str">
        <f aca="true">IF(OR(BR293="",AD293=""),"",IF(AE293="",IF(NOW()&gt;AD293+DORA_H_INT/24,0,""),IF(AE293&lt;=AD293+DORA_H_INT/24,1,0)))</f>
        <v/>
      </c>
      <c r="BU293" s="35" t="str">
        <f aca="true">IF(OR(BR293="",AE293=""),"",IF(AF293="",IF(NOW()&gt;EDATE(AE293,DORA_M_FIN)+1,0,""),IF(AF293&lt;=EDATE(AE293,DORA_M_FIN),1,0)))</f>
        <v/>
      </c>
      <c r="BV293" s="35" t="str">
        <f aca="false">IF(BR293="","",IF(COUNT(BS293:BU293)=0,"",MIN(BS293:BU293)))</f>
        <v/>
      </c>
      <c r="BW293" s="40" t="str">
        <f aca="false">IF(AQ293&lt;&gt;1,"",IF(AND(AG293="",AH293=""),"",N(AG293)-N(AH293)))</f>
        <v/>
      </c>
      <c r="BX293" s="35" t="str">
        <f aca="true">IF(OR(AQ293&lt;&gt;1,AI293&lt;&gt;"Oui",AJ293=""),"",IF(AK293="",IF(NOW()&gt;AJ293+1,0,""),IF(AK293&lt;=AJ293,1,0)))</f>
        <v/>
      </c>
    </row>
    <row r="294" customFormat="false" ht="15" hidden="false" customHeight="false" outlineLevel="0" collapsed="false">
      <c r="B294" s="29"/>
      <c r="C294" s="29"/>
      <c r="D294" s="29"/>
      <c r="E294" s="29"/>
      <c r="F294" s="29"/>
      <c r="G294" s="29"/>
      <c r="H294" s="29"/>
      <c r="I294" s="29"/>
      <c r="J294" s="29"/>
      <c r="K294" s="29"/>
      <c r="L294" s="29"/>
      <c r="M294" s="29"/>
      <c r="N294" s="30"/>
      <c r="O294" s="30"/>
      <c r="P294" s="30"/>
      <c r="Q294" s="30"/>
      <c r="R294" s="30"/>
      <c r="S294" s="30"/>
      <c r="T294" s="30"/>
      <c r="U294" s="30"/>
      <c r="V294" s="31"/>
      <c r="W294" s="29"/>
      <c r="X294" s="29"/>
      <c r="Y294" s="29"/>
      <c r="Z294" s="29"/>
      <c r="AA294" s="30"/>
      <c r="AB294" s="30"/>
      <c r="AC294" s="30"/>
      <c r="AD294" s="30"/>
      <c r="AE294" s="30"/>
      <c r="AF294" s="32"/>
      <c r="AG294" s="33"/>
      <c r="AH294" s="33"/>
      <c r="AI294" s="29"/>
      <c r="AJ294" s="32"/>
      <c r="AK294" s="32"/>
      <c r="AL294" s="29"/>
      <c r="AN294" s="34" t="str">
        <f aca="false">IF($B294="","",IF(OR(C294="",D294="",E294="",G294="",I294="",J294="",L294="",O294="",P294=""),"Champ obligatoire manquant",IF(OR(AND(N294&lt;&gt;"",N294&gt;O294),O294&gt;P294,AND(Q294&lt;&gt;"",Q294&lt;P294),AND(R294&lt;&gt;"",R294&lt;P294),AND(S294&lt;&gt;"",S294&lt;R294),AND(S294&lt;&gt;"",R294=""),AND(T294&lt;&gt;"",T294&lt;O294),AND(U294&lt;&gt;"",U294&lt;O294)),"Chronologie incohérente",IF(AND(OR(L294="Résolu",L294="Clos"),R294=""),"Date de résolution manquante",IF(AND(L294="Clos",S294=""),"Date de clôture manquante",IF(AND(K294="Oui",AC294=""),"Classification DORA manquante","OK"))))))</f>
        <v/>
      </c>
      <c r="AO294" s="35" t="str">
        <f aca="false">IF($B294="","",IF(AND(C294="Incident",L294&lt;&gt;"Annulé"),1,0))</f>
        <v/>
      </c>
      <c r="AP294" s="35" t="str">
        <f aca="false">IF($B294="","",IF(AND(C294="Quasi-incident",L294&lt;&gt;"Annulé"),1,0))</f>
        <v/>
      </c>
      <c r="AQ294" s="35" t="str">
        <f aca="false">IF($B294="","",AO294+AP294)</f>
        <v/>
      </c>
      <c r="AR294" s="36" t="str">
        <f aca="false">IF(OR($B294="",J294=""),"",IFERROR(VALUE(LEFT(J294,1)),""))</f>
        <v/>
      </c>
      <c r="AS294" s="35" t="str">
        <f aca="false">IF(OR(AO294&lt;&gt;1,G294=""),"",IFERROR(IF(INDEX(L_SrcInterne,MATCH(G294,L_Sources,0))="Oui",1,0),""))</f>
        <v/>
      </c>
      <c r="AT294" s="37" t="str">
        <f aca="false">IF(AO294&lt;&gt;1,"",IFERROR(ROUND(IF(OR(N294="",O294=""),"",IF(O294&lt;N294,"",ROUND(((NETWORKDAYS(N294,O294,JoursFeries)-1)*(HFer-HOuv)+IF(NETWORKDAYS(O294,O294,JoursFeries),MEDIAN(MOD(O294,1),HFer,HOuv),HFer)-IF(NETWORKDAYS(N294,N294,JoursFeries),MEDIAN(MOD(N294,1),HFer,HOuv),HOuv))*24,4)))/HJour,4),""))</f>
        <v/>
      </c>
      <c r="AU294" s="37" t="str">
        <f aca="false">IF(AO294&lt;&gt;1,"",IF(OR(O294="",P294=""),"",IF(P294&lt;O294,"",ROUND(((NETWORKDAYS(O294,P294,JoursFeries)-1)*(HFer-HOuv)+IF(NETWORKDAYS(P294,P294,JoursFeries),MEDIAN(MOD(P294,1),HFer,HOuv),HFer)-IF(NETWORKDAYS(O294,O294,JoursFeries),MEDIAN(MOD(O294,1),HFer,HOuv),HOuv))*24,4))))</f>
        <v/>
      </c>
      <c r="AV294" s="37" t="str">
        <f aca="false">IF(AO294&lt;&gt;1,"",IF(OR(P294="",Q294=""),"",IF(Q294&lt;P294,"",ROUND(((NETWORKDAYS(P294,Q294,JoursFeries)-1)*(HFer-HOuv)+IF(NETWORKDAYS(Q294,Q294,JoursFeries),MEDIAN(MOD(Q294,1),HFer,HOuv),HFer)-IF(NETWORKDAYS(P294,P294,JoursFeries),MEDIAN(MOD(P294,1),HFer,HOuv),HOuv))*24,4))))</f>
        <v/>
      </c>
      <c r="AW294" s="37" t="str">
        <f aca="false">IF(AO294&lt;&gt;1,"",IFERROR(ROUND(IF(OR(P294="",R294=""),"",IF(R294&lt;P294,"",ROUND(((NETWORKDAYS(P294,R294,JoursFeries)-1)*(HFer-HOuv)+IF(NETWORKDAYS(R294,R294,JoursFeries),MEDIAN(MOD(R294,1),HFer,HOuv),HFer)-IF(NETWORKDAYS(P294,P294,JoursFeries),MEDIAN(MOD(P294,1),HFer,HOuv),HOuv))*24,4)))/HJour,4),""))</f>
        <v/>
      </c>
      <c r="AX294" s="37" t="str">
        <f aca="false">IF(AO294&lt;&gt;1,"",IFERROR(ROUND(IF(OR(P294="",S294=""),"",IF(S294&lt;P294,"",ROUND(((NETWORKDAYS(P294,S294,JoursFeries)-1)*(HFer-HOuv)+IF(NETWORKDAYS(S294,S294,JoursFeries),MEDIAN(MOD(S294,1),HFer,HOuv),HFer)-IF(NETWORKDAYS(P294,P294,JoursFeries),MEDIAN(MOD(P294,1),HFer,HOuv),HOuv))*24,4)))/HJour,4),""))</f>
        <v/>
      </c>
      <c r="AY294" s="36" t="str">
        <f aca="false">IF(OR(AO294&lt;&gt;1,AR294=""),"",INDEX(SLA_PEC,AR294))</f>
        <v/>
      </c>
      <c r="AZ294" s="35" t="str">
        <f aca="false">IF(OR(AV294="",AY294=""),"",IF(AV294&lt;=AY294,1,0))</f>
        <v/>
      </c>
      <c r="BA294" s="36" t="str">
        <f aca="false">IF(OR(AO294&lt;&gt;1,AR294=""),"",INDEX(SLA_RES,AR294))</f>
        <v/>
      </c>
      <c r="BB294" s="35" t="str">
        <f aca="false">IF(OR(AW294="",BA294=""),"",IF(AW294&lt;=BA294,1,0))</f>
        <v/>
      </c>
      <c r="BC294" s="38" t="str">
        <f aca="false">IF(OR(BA294="",P294=""),"",WORKDAY(INT(P294),BA294,JoursFeries)+MOD(P294,1))</f>
        <v/>
      </c>
      <c r="BD294" s="39" t="str">
        <f aca="false">IF(AO294&lt;&gt;1,"",IF(OR(AB294&lt;&gt;"",AD294&lt;&gt;""),4,IF(U294&lt;&gt;"",3,IF(T294&lt;&gt;"",2,1))))</f>
        <v/>
      </c>
      <c r="BE294" s="39" t="str">
        <f aca="false">IF(OR(AO294&lt;&gt;1,AR294=""),"",INDEX(NIV_REQ,AR294))</f>
        <v/>
      </c>
      <c r="BF294" s="39" t="str">
        <f aca="false">IF(BE294="","",MAX(BE294,IF(OR(K294="Oui",Z294="Oui"),4,1)))</f>
        <v/>
      </c>
      <c r="BG294" s="35" t="str">
        <f aca="false">IF(OR(BF294="",BD294=""),"",IF(BD294&gt;=BF294,1,0))</f>
        <v/>
      </c>
      <c r="BH294" s="38" t="str">
        <f aca="false">IF(BE294="","",IF(BE294&lt;2,"",IF(BE294=2,IF(AND(T294="",U294=""),"",MIN(T294,U294)),IF(U294="","",U294))))</f>
        <v/>
      </c>
      <c r="BI294" s="37" t="str">
        <f aca="false">IF(BH294="","",IF(OR(O294="",BH294=""),"",IF(BH294&lt;O294,"",ROUND(((NETWORKDAYS(O294,BH294,JoursFeries)-1)*(HFer-HOuv)+IF(NETWORKDAYS(BH294,BH294,JoursFeries),MEDIAN(MOD(BH294,1),HFer,HOuv),HFer)-IF(NETWORKDAYS(O294,O294,JoursFeries),MEDIAN(MOD(O294,1),HFer,HOuv),HOuv))*24,4))))</f>
        <v/>
      </c>
      <c r="BJ294" s="35" t="str">
        <f aca="false">IF(OR(BI294="",AR294=""),"",IF(BI294&lt;=INDEX(DELAI_ESC,AR294),1,0))</f>
        <v/>
      </c>
      <c r="BK294" s="38" t="str">
        <f aca="false">IF(AO294&lt;&gt;1,"",IF(AND(T294="",U294=""),"",MIN(T294,U294)))</f>
        <v/>
      </c>
      <c r="BL294" s="37" t="str">
        <f aca="false">IF(OR(BK294="",R294=""),"",IFERROR(ROUND(IF(OR(BK294="",R294=""),"",IF(R294&lt;BK294,"",ROUND(((NETWORKDAYS(BK294,R294,JoursFeries)-1)*(HFer-HOuv)+IF(NETWORKDAYS(R294,R294,JoursFeries),MEDIAN(MOD(R294,1),HFer,HOuv),HFer)-IF(NETWORKDAYS(BK294,BK294,JoursFeries),MEDIAN(MOD(BK294,1),HFer,HOuv),HOuv))*24,4)))/HJour,4),""))</f>
        <v/>
      </c>
      <c r="BM294" s="35" t="str">
        <f aca="false">IF(OR(AO294&lt;&gt;1,R294=""),"",IF(BD294=1,1,0))</f>
        <v/>
      </c>
      <c r="BN294" s="35" t="str">
        <f aca="false">IF(AO294&lt;&gt;1,"",IF(W294="Oui",1,0))</f>
        <v/>
      </c>
      <c r="BO294" s="35" t="str">
        <f aca="false">IF(AO294&lt;&gt;1,"",IF(X294&lt;&gt;"",1,0))</f>
        <v/>
      </c>
      <c r="BP294" s="35" t="str">
        <f aca="false">IF(AO294&lt;&gt;1,"",IF(Y294="Oui",1,0))</f>
        <v/>
      </c>
      <c r="BQ294" s="35" t="str">
        <f aca="true">IF(OR(AO294&lt;&gt;1,Z294&lt;&gt;"Oui"),"",IF(AB294="",IF(AND(AA294&lt;&gt;"",NOW()&gt;AA294),0,""),IF(AA294="","",IF(AB294&lt;=AA294,1,0))))</f>
        <v/>
      </c>
      <c r="BR294" s="38" t="str">
        <f aca="false">IF(OR(AO294&lt;&gt;1,K294&lt;&gt;"Oui",O294=""),"",IF(AC294="",O294+DORA_H_DET/24,IF(AC294-O294&lt;=DORA_H_DET/24,MIN(AC294+DORA_H_CLA/24,O294+DORA_H_DET/24),AC294+DORA_H_CLA/24)))</f>
        <v/>
      </c>
      <c r="BS294" s="35" t="str">
        <f aca="true">IF(BR294="","",IF(AD294="",IF(NOW()&gt;BR294,0,""),IF(AD294&lt;=BR294,1,0)))</f>
        <v/>
      </c>
      <c r="BT294" s="35" t="str">
        <f aca="true">IF(OR(BR294="",AD294=""),"",IF(AE294="",IF(NOW()&gt;AD294+DORA_H_INT/24,0,""),IF(AE294&lt;=AD294+DORA_H_INT/24,1,0)))</f>
        <v/>
      </c>
      <c r="BU294" s="35" t="str">
        <f aca="true">IF(OR(BR294="",AE294=""),"",IF(AF294="",IF(NOW()&gt;EDATE(AE294,DORA_M_FIN)+1,0,""),IF(AF294&lt;=EDATE(AE294,DORA_M_FIN),1,0)))</f>
        <v/>
      </c>
      <c r="BV294" s="35" t="str">
        <f aca="false">IF(BR294="","",IF(COUNT(BS294:BU294)=0,"",MIN(BS294:BU294)))</f>
        <v/>
      </c>
      <c r="BW294" s="40" t="str">
        <f aca="false">IF(AQ294&lt;&gt;1,"",IF(AND(AG294="",AH294=""),"",N(AG294)-N(AH294)))</f>
        <v/>
      </c>
      <c r="BX294" s="35" t="str">
        <f aca="true">IF(OR(AQ294&lt;&gt;1,AI294&lt;&gt;"Oui",AJ294=""),"",IF(AK294="",IF(NOW()&gt;AJ294+1,0,""),IF(AK294&lt;=AJ294,1,0)))</f>
        <v/>
      </c>
    </row>
    <row r="295" customFormat="false" ht="15" hidden="false" customHeight="false" outlineLevel="0" collapsed="false">
      <c r="B295" s="29"/>
      <c r="C295" s="29"/>
      <c r="D295" s="29"/>
      <c r="E295" s="29"/>
      <c r="F295" s="29"/>
      <c r="G295" s="29"/>
      <c r="H295" s="29"/>
      <c r="I295" s="29"/>
      <c r="J295" s="29"/>
      <c r="K295" s="29"/>
      <c r="L295" s="29"/>
      <c r="M295" s="29"/>
      <c r="N295" s="30"/>
      <c r="O295" s="30"/>
      <c r="P295" s="30"/>
      <c r="Q295" s="30"/>
      <c r="R295" s="30"/>
      <c r="S295" s="30"/>
      <c r="T295" s="30"/>
      <c r="U295" s="30"/>
      <c r="V295" s="31"/>
      <c r="W295" s="29"/>
      <c r="X295" s="29"/>
      <c r="Y295" s="29"/>
      <c r="Z295" s="29"/>
      <c r="AA295" s="30"/>
      <c r="AB295" s="30"/>
      <c r="AC295" s="30"/>
      <c r="AD295" s="30"/>
      <c r="AE295" s="30"/>
      <c r="AF295" s="32"/>
      <c r="AG295" s="33"/>
      <c r="AH295" s="33"/>
      <c r="AI295" s="29"/>
      <c r="AJ295" s="32"/>
      <c r="AK295" s="32"/>
      <c r="AL295" s="29"/>
      <c r="AN295" s="34" t="str">
        <f aca="false">IF($B295="","",IF(OR(C295="",D295="",E295="",G295="",I295="",J295="",L295="",O295="",P295=""),"Champ obligatoire manquant",IF(OR(AND(N295&lt;&gt;"",N295&gt;O295),O295&gt;P295,AND(Q295&lt;&gt;"",Q295&lt;P295),AND(R295&lt;&gt;"",R295&lt;P295),AND(S295&lt;&gt;"",S295&lt;R295),AND(S295&lt;&gt;"",R295=""),AND(T295&lt;&gt;"",T295&lt;O295),AND(U295&lt;&gt;"",U295&lt;O295)),"Chronologie incohérente",IF(AND(OR(L295="Résolu",L295="Clos"),R295=""),"Date de résolution manquante",IF(AND(L295="Clos",S295=""),"Date de clôture manquante",IF(AND(K295="Oui",AC295=""),"Classification DORA manquante","OK"))))))</f>
        <v/>
      </c>
      <c r="AO295" s="35" t="str">
        <f aca="false">IF($B295="","",IF(AND(C295="Incident",L295&lt;&gt;"Annulé"),1,0))</f>
        <v/>
      </c>
      <c r="AP295" s="35" t="str">
        <f aca="false">IF($B295="","",IF(AND(C295="Quasi-incident",L295&lt;&gt;"Annulé"),1,0))</f>
        <v/>
      </c>
      <c r="AQ295" s="35" t="str">
        <f aca="false">IF($B295="","",AO295+AP295)</f>
        <v/>
      </c>
      <c r="AR295" s="36" t="str">
        <f aca="false">IF(OR($B295="",J295=""),"",IFERROR(VALUE(LEFT(J295,1)),""))</f>
        <v/>
      </c>
      <c r="AS295" s="35" t="str">
        <f aca="false">IF(OR(AO295&lt;&gt;1,G295=""),"",IFERROR(IF(INDEX(L_SrcInterne,MATCH(G295,L_Sources,0))="Oui",1,0),""))</f>
        <v/>
      </c>
      <c r="AT295" s="37" t="str">
        <f aca="false">IF(AO295&lt;&gt;1,"",IFERROR(ROUND(IF(OR(N295="",O295=""),"",IF(O295&lt;N295,"",ROUND(((NETWORKDAYS(N295,O295,JoursFeries)-1)*(HFer-HOuv)+IF(NETWORKDAYS(O295,O295,JoursFeries),MEDIAN(MOD(O295,1),HFer,HOuv),HFer)-IF(NETWORKDAYS(N295,N295,JoursFeries),MEDIAN(MOD(N295,1),HFer,HOuv),HOuv))*24,4)))/HJour,4),""))</f>
        <v/>
      </c>
      <c r="AU295" s="37" t="str">
        <f aca="false">IF(AO295&lt;&gt;1,"",IF(OR(O295="",P295=""),"",IF(P295&lt;O295,"",ROUND(((NETWORKDAYS(O295,P295,JoursFeries)-1)*(HFer-HOuv)+IF(NETWORKDAYS(P295,P295,JoursFeries),MEDIAN(MOD(P295,1),HFer,HOuv),HFer)-IF(NETWORKDAYS(O295,O295,JoursFeries),MEDIAN(MOD(O295,1),HFer,HOuv),HOuv))*24,4))))</f>
        <v/>
      </c>
      <c r="AV295" s="37" t="str">
        <f aca="false">IF(AO295&lt;&gt;1,"",IF(OR(P295="",Q295=""),"",IF(Q295&lt;P295,"",ROUND(((NETWORKDAYS(P295,Q295,JoursFeries)-1)*(HFer-HOuv)+IF(NETWORKDAYS(Q295,Q295,JoursFeries),MEDIAN(MOD(Q295,1),HFer,HOuv),HFer)-IF(NETWORKDAYS(P295,P295,JoursFeries),MEDIAN(MOD(P295,1),HFer,HOuv),HOuv))*24,4))))</f>
        <v/>
      </c>
      <c r="AW295" s="37" t="str">
        <f aca="false">IF(AO295&lt;&gt;1,"",IFERROR(ROUND(IF(OR(P295="",R295=""),"",IF(R295&lt;P295,"",ROUND(((NETWORKDAYS(P295,R295,JoursFeries)-1)*(HFer-HOuv)+IF(NETWORKDAYS(R295,R295,JoursFeries),MEDIAN(MOD(R295,1),HFer,HOuv),HFer)-IF(NETWORKDAYS(P295,P295,JoursFeries),MEDIAN(MOD(P295,1),HFer,HOuv),HOuv))*24,4)))/HJour,4),""))</f>
        <v/>
      </c>
      <c r="AX295" s="37" t="str">
        <f aca="false">IF(AO295&lt;&gt;1,"",IFERROR(ROUND(IF(OR(P295="",S295=""),"",IF(S295&lt;P295,"",ROUND(((NETWORKDAYS(P295,S295,JoursFeries)-1)*(HFer-HOuv)+IF(NETWORKDAYS(S295,S295,JoursFeries),MEDIAN(MOD(S295,1),HFer,HOuv),HFer)-IF(NETWORKDAYS(P295,P295,JoursFeries),MEDIAN(MOD(P295,1),HFer,HOuv),HOuv))*24,4)))/HJour,4),""))</f>
        <v/>
      </c>
      <c r="AY295" s="36" t="str">
        <f aca="false">IF(OR(AO295&lt;&gt;1,AR295=""),"",INDEX(SLA_PEC,AR295))</f>
        <v/>
      </c>
      <c r="AZ295" s="35" t="str">
        <f aca="false">IF(OR(AV295="",AY295=""),"",IF(AV295&lt;=AY295,1,0))</f>
        <v/>
      </c>
      <c r="BA295" s="36" t="str">
        <f aca="false">IF(OR(AO295&lt;&gt;1,AR295=""),"",INDEX(SLA_RES,AR295))</f>
        <v/>
      </c>
      <c r="BB295" s="35" t="str">
        <f aca="false">IF(OR(AW295="",BA295=""),"",IF(AW295&lt;=BA295,1,0))</f>
        <v/>
      </c>
      <c r="BC295" s="38" t="str">
        <f aca="false">IF(OR(BA295="",P295=""),"",WORKDAY(INT(P295),BA295,JoursFeries)+MOD(P295,1))</f>
        <v/>
      </c>
      <c r="BD295" s="39" t="str">
        <f aca="false">IF(AO295&lt;&gt;1,"",IF(OR(AB295&lt;&gt;"",AD295&lt;&gt;""),4,IF(U295&lt;&gt;"",3,IF(T295&lt;&gt;"",2,1))))</f>
        <v/>
      </c>
      <c r="BE295" s="39" t="str">
        <f aca="false">IF(OR(AO295&lt;&gt;1,AR295=""),"",INDEX(NIV_REQ,AR295))</f>
        <v/>
      </c>
      <c r="BF295" s="39" t="str">
        <f aca="false">IF(BE295="","",MAX(BE295,IF(OR(K295="Oui",Z295="Oui"),4,1)))</f>
        <v/>
      </c>
      <c r="BG295" s="35" t="str">
        <f aca="false">IF(OR(BF295="",BD295=""),"",IF(BD295&gt;=BF295,1,0))</f>
        <v/>
      </c>
      <c r="BH295" s="38" t="str">
        <f aca="false">IF(BE295="","",IF(BE295&lt;2,"",IF(BE295=2,IF(AND(T295="",U295=""),"",MIN(T295,U295)),IF(U295="","",U295))))</f>
        <v/>
      </c>
      <c r="BI295" s="37" t="str">
        <f aca="false">IF(BH295="","",IF(OR(O295="",BH295=""),"",IF(BH295&lt;O295,"",ROUND(((NETWORKDAYS(O295,BH295,JoursFeries)-1)*(HFer-HOuv)+IF(NETWORKDAYS(BH295,BH295,JoursFeries),MEDIAN(MOD(BH295,1),HFer,HOuv),HFer)-IF(NETWORKDAYS(O295,O295,JoursFeries),MEDIAN(MOD(O295,1),HFer,HOuv),HOuv))*24,4))))</f>
        <v/>
      </c>
      <c r="BJ295" s="35" t="str">
        <f aca="false">IF(OR(BI295="",AR295=""),"",IF(BI295&lt;=INDEX(DELAI_ESC,AR295),1,0))</f>
        <v/>
      </c>
      <c r="BK295" s="38" t="str">
        <f aca="false">IF(AO295&lt;&gt;1,"",IF(AND(T295="",U295=""),"",MIN(T295,U295)))</f>
        <v/>
      </c>
      <c r="BL295" s="37" t="str">
        <f aca="false">IF(OR(BK295="",R295=""),"",IFERROR(ROUND(IF(OR(BK295="",R295=""),"",IF(R295&lt;BK295,"",ROUND(((NETWORKDAYS(BK295,R295,JoursFeries)-1)*(HFer-HOuv)+IF(NETWORKDAYS(R295,R295,JoursFeries),MEDIAN(MOD(R295,1),HFer,HOuv),HFer)-IF(NETWORKDAYS(BK295,BK295,JoursFeries),MEDIAN(MOD(BK295,1),HFer,HOuv),HOuv))*24,4)))/HJour,4),""))</f>
        <v/>
      </c>
      <c r="BM295" s="35" t="str">
        <f aca="false">IF(OR(AO295&lt;&gt;1,R295=""),"",IF(BD295=1,1,0))</f>
        <v/>
      </c>
      <c r="BN295" s="35" t="str">
        <f aca="false">IF(AO295&lt;&gt;1,"",IF(W295="Oui",1,0))</f>
        <v/>
      </c>
      <c r="BO295" s="35" t="str">
        <f aca="false">IF(AO295&lt;&gt;1,"",IF(X295&lt;&gt;"",1,0))</f>
        <v/>
      </c>
      <c r="BP295" s="35" t="str">
        <f aca="false">IF(AO295&lt;&gt;1,"",IF(Y295="Oui",1,0))</f>
        <v/>
      </c>
      <c r="BQ295" s="35" t="str">
        <f aca="true">IF(OR(AO295&lt;&gt;1,Z295&lt;&gt;"Oui"),"",IF(AB295="",IF(AND(AA295&lt;&gt;"",NOW()&gt;AA295),0,""),IF(AA295="","",IF(AB295&lt;=AA295,1,0))))</f>
        <v/>
      </c>
      <c r="BR295" s="38" t="str">
        <f aca="false">IF(OR(AO295&lt;&gt;1,K295&lt;&gt;"Oui",O295=""),"",IF(AC295="",O295+DORA_H_DET/24,IF(AC295-O295&lt;=DORA_H_DET/24,MIN(AC295+DORA_H_CLA/24,O295+DORA_H_DET/24),AC295+DORA_H_CLA/24)))</f>
        <v/>
      </c>
      <c r="BS295" s="35" t="str">
        <f aca="true">IF(BR295="","",IF(AD295="",IF(NOW()&gt;BR295,0,""),IF(AD295&lt;=BR295,1,0)))</f>
        <v/>
      </c>
      <c r="BT295" s="35" t="str">
        <f aca="true">IF(OR(BR295="",AD295=""),"",IF(AE295="",IF(NOW()&gt;AD295+DORA_H_INT/24,0,""),IF(AE295&lt;=AD295+DORA_H_INT/24,1,0)))</f>
        <v/>
      </c>
      <c r="BU295" s="35" t="str">
        <f aca="true">IF(OR(BR295="",AE295=""),"",IF(AF295="",IF(NOW()&gt;EDATE(AE295,DORA_M_FIN)+1,0,""),IF(AF295&lt;=EDATE(AE295,DORA_M_FIN),1,0)))</f>
        <v/>
      </c>
      <c r="BV295" s="35" t="str">
        <f aca="false">IF(BR295="","",IF(COUNT(BS295:BU295)=0,"",MIN(BS295:BU295)))</f>
        <v/>
      </c>
      <c r="BW295" s="40" t="str">
        <f aca="false">IF(AQ295&lt;&gt;1,"",IF(AND(AG295="",AH295=""),"",N(AG295)-N(AH295)))</f>
        <v/>
      </c>
      <c r="BX295" s="35" t="str">
        <f aca="true">IF(OR(AQ295&lt;&gt;1,AI295&lt;&gt;"Oui",AJ295=""),"",IF(AK295="",IF(NOW()&gt;AJ295+1,0,""),IF(AK295&lt;=AJ295,1,0)))</f>
        <v/>
      </c>
    </row>
    <row r="296" customFormat="false" ht="15" hidden="false" customHeight="false" outlineLevel="0" collapsed="false">
      <c r="B296" s="29"/>
      <c r="C296" s="29"/>
      <c r="D296" s="29"/>
      <c r="E296" s="29"/>
      <c r="F296" s="29"/>
      <c r="G296" s="29"/>
      <c r="H296" s="29"/>
      <c r="I296" s="29"/>
      <c r="J296" s="29"/>
      <c r="K296" s="29"/>
      <c r="L296" s="29"/>
      <c r="M296" s="29"/>
      <c r="N296" s="30"/>
      <c r="O296" s="30"/>
      <c r="P296" s="30"/>
      <c r="Q296" s="30"/>
      <c r="R296" s="30"/>
      <c r="S296" s="30"/>
      <c r="T296" s="30"/>
      <c r="U296" s="30"/>
      <c r="V296" s="31"/>
      <c r="W296" s="29"/>
      <c r="X296" s="29"/>
      <c r="Y296" s="29"/>
      <c r="Z296" s="29"/>
      <c r="AA296" s="30"/>
      <c r="AB296" s="30"/>
      <c r="AC296" s="30"/>
      <c r="AD296" s="30"/>
      <c r="AE296" s="30"/>
      <c r="AF296" s="32"/>
      <c r="AG296" s="33"/>
      <c r="AH296" s="33"/>
      <c r="AI296" s="29"/>
      <c r="AJ296" s="32"/>
      <c r="AK296" s="32"/>
      <c r="AL296" s="29"/>
      <c r="AN296" s="34" t="str">
        <f aca="false">IF($B296="","",IF(OR(C296="",D296="",E296="",G296="",I296="",J296="",L296="",O296="",P296=""),"Champ obligatoire manquant",IF(OR(AND(N296&lt;&gt;"",N296&gt;O296),O296&gt;P296,AND(Q296&lt;&gt;"",Q296&lt;P296),AND(R296&lt;&gt;"",R296&lt;P296),AND(S296&lt;&gt;"",S296&lt;R296),AND(S296&lt;&gt;"",R296=""),AND(T296&lt;&gt;"",T296&lt;O296),AND(U296&lt;&gt;"",U296&lt;O296)),"Chronologie incohérente",IF(AND(OR(L296="Résolu",L296="Clos"),R296=""),"Date de résolution manquante",IF(AND(L296="Clos",S296=""),"Date de clôture manquante",IF(AND(K296="Oui",AC296=""),"Classification DORA manquante","OK"))))))</f>
        <v/>
      </c>
      <c r="AO296" s="35" t="str">
        <f aca="false">IF($B296="","",IF(AND(C296="Incident",L296&lt;&gt;"Annulé"),1,0))</f>
        <v/>
      </c>
      <c r="AP296" s="35" t="str">
        <f aca="false">IF($B296="","",IF(AND(C296="Quasi-incident",L296&lt;&gt;"Annulé"),1,0))</f>
        <v/>
      </c>
      <c r="AQ296" s="35" t="str">
        <f aca="false">IF($B296="","",AO296+AP296)</f>
        <v/>
      </c>
      <c r="AR296" s="36" t="str">
        <f aca="false">IF(OR($B296="",J296=""),"",IFERROR(VALUE(LEFT(J296,1)),""))</f>
        <v/>
      </c>
      <c r="AS296" s="35" t="str">
        <f aca="false">IF(OR(AO296&lt;&gt;1,G296=""),"",IFERROR(IF(INDEX(L_SrcInterne,MATCH(G296,L_Sources,0))="Oui",1,0),""))</f>
        <v/>
      </c>
      <c r="AT296" s="37" t="str">
        <f aca="false">IF(AO296&lt;&gt;1,"",IFERROR(ROUND(IF(OR(N296="",O296=""),"",IF(O296&lt;N296,"",ROUND(((NETWORKDAYS(N296,O296,JoursFeries)-1)*(HFer-HOuv)+IF(NETWORKDAYS(O296,O296,JoursFeries),MEDIAN(MOD(O296,1),HFer,HOuv),HFer)-IF(NETWORKDAYS(N296,N296,JoursFeries),MEDIAN(MOD(N296,1),HFer,HOuv),HOuv))*24,4)))/HJour,4),""))</f>
        <v/>
      </c>
      <c r="AU296" s="37" t="str">
        <f aca="false">IF(AO296&lt;&gt;1,"",IF(OR(O296="",P296=""),"",IF(P296&lt;O296,"",ROUND(((NETWORKDAYS(O296,P296,JoursFeries)-1)*(HFer-HOuv)+IF(NETWORKDAYS(P296,P296,JoursFeries),MEDIAN(MOD(P296,1),HFer,HOuv),HFer)-IF(NETWORKDAYS(O296,O296,JoursFeries),MEDIAN(MOD(O296,1),HFer,HOuv),HOuv))*24,4))))</f>
        <v/>
      </c>
      <c r="AV296" s="37" t="str">
        <f aca="false">IF(AO296&lt;&gt;1,"",IF(OR(P296="",Q296=""),"",IF(Q296&lt;P296,"",ROUND(((NETWORKDAYS(P296,Q296,JoursFeries)-1)*(HFer-HOuv)+IF(NETWORKDAYS(Q296,Q296,JoursFeries),MEDIAN(MOD(Q296,1),HFer,HOuv),HFer)-IF(NETWORKDAYS(P296,P296,JoursFeries),MEDIAN(MOD(P296,1),HFer,HOuv),HOuv))*24,4))))</f>
        <v/>
      </c>
      <c r="AW296" s="37" t="str">
        <f aca="false">IF(AO296&lt;&gt;1,"",IFERROR(ROUND(IF(OR(P296="",R296=""),"",IF(R296&lt;P296,"",ROUND(((NETWORKDAYS(P296,R296,JoursFeries)-1)*(HFer-HOuv)+IF(NETWORKDAYS(R296,R296,JoursFeries),MEDIAN(MOD(R296,1),HFer,HOuv),HFer)-IF(NETWORKDAYS(P296,P296,JoursFeries),MEDIAN(MOD(P296,1),HFer,HOuv),HOuv))*24,4)))/HJour,4),""))</f>
        <v/>
      </c>
      <c r="AX296" s="37" t="str">
        <f aca="false">IF(AO296&lt;&gt;1,"",IFERROR(ROUND(IF(OR(P296="",S296=""),"",IF(S296&lt;P296,"",ROUND(((NETWORKDAYS(P296,S296,JoursFeries)-1)*(HFer-HOuv)+IF(NETWORKDAYS(S296,S296,JoursFeries),MEDIAN(MOD(S296,1),HFer,HOuv),HFer)-IF(NETWORKDAYS(P296,P296,JoursFeries),MEDIAN(MOD(P296,1),HFer,HOuv),HOuv))*24,4)))/HJour,4),""))</f>
        <v/>
      </c>
      <c r="AY296" s="36" t="str">
        <f aca="false">IF(OR(AO296&lt;&gt;1,AR296=""),"",INDEX(SLA_PEC,AR296))</f>
        <v/>
      </c>
      <c r="AZ296" s="35" t="str">
        <f aca="false">IF(OR(AV296="",AY296=""),"",IF(AV296&lt;=AY296,1,0))</f>
        <v/>
      </c>
      <c r="BA296" s="36" t="str">
        <f aca="false">IF(OR(AO296&lt;&gt;1,AR296=""),"",INDEX(SLA_RES,AR296))</f>
        <v/>
      </c>
      <c r="BB296" s="35" t="str">
        <f aca="false">IF(OR(AW296="",BA296=""),"",IF(AW296&lt;=BA296,1,0))</f>
        <v/>
      </c>
      <c r="BC296" s="38" t="str">
        <f aca="false">IF(OR(BA296="",P296=""),"",WORKDAY(INT(P296),BA296,JoursFeries)+MOD(P296,1))</f>
        <v/>
      </c>
      <c r="BD296" s="39" t="str">
        <f aca="false">IF(AO296&lt;&gt;1,"",IF(OR(AB296&lt;&gt;"",AD296&lt;&gt;""),4,IF(U296&lt;&gt;"",3,IF(T296&lt;&gt;"",2,1))))</f>
        <v/>
      </c>
      <c r="BE296" s="39" t="str">
        <f aca="false">IF(OR(AO296&lt;&gt;1,AR296=""),"",INDEX(NIV_REQ,AR296))</f>
        <v/>
      </c>
      <c r="BF296" s="39" t="str">
        <f aca="false">IF(BE296="","",MAX(BE296,IF(OR(K296="Oui",Z296="Oui"),4,1)))</f>
        <v/>
      </c>
      <c r="BG296" s="35" t="str">
        <f aca="false">IF(OR(BF296="",BD296=""),"",IF(BD296&gt;=BF296,1,0))</f>
        <v/>
      </c>
      <c r="BH296" s="38" t="str">
        <f aca="false">IF(BE296="","",IF(BE296&lt;2,"",IF(BE296=2,IF(AND(T296="",U296=""),"",MIN(T296,U296)),IF(U296="","",U296))))</f>
        <v/>
      </c>
      <c r="BI296" s="37" t="str">
        <f aca="false">IF(BH296="","",IF(OR(O296="",BH296=""),"",IF(BH296&lt;O296,"",ROUND(((NETWORKDAYS(O296,BH296,JoursFeries)-1)*(HFer-HOuv)+IF(NETWORKDAYS(BH296,BH296,JoursFeries),MEDIAN(MOD(BH296,1),HFer,HOuv),HFer)-IF(NETWORKDAYS(O296,O296,JoursFeries),MEDIAN(MOD(O296,1),HFer,HOuv),HOuv))*24,4))))</f>
        <v/>
      </c>
      <c r="BJ296" s="35" t="str">
        <f aca="false">IF(OR(BI296="",AR296=""),"",IF(BI296&lt;=INDEX(DELAI_ESC,AR296),1,0))</f>
        <v/>
      </c>
      <c r="BK296" s="38" t="str">
        <f aca="false">IF(AO296&lt;&gt;1,"",IF(AND(T296="",U296=""),"",MIN(T296,U296)))</f>
        <v/>
      </c>
      <c r="BL296" s="37" t="str">
        <f aca="false">IF(OR(BK296="",R296=""),"",IFERROR(ROUND(IF(OR(BK296="",R296=""),"",IF(R296&lt;BK296,"",ROUND(((NETWORKDAYS(BK296,R296,JoursFeries)-1)*(HFer-HOuv)+IF(NETWORKDAYS(R296,R296,JoursFeries),MEDIAN(MOD(R296,1),HFer,HOuv),HFer)-IF(NETWORKDAYS(BK296,BK296,JoursFeries),MEDIAN(MOD(BK296,1),HFer,HOuv),HOuv))*24,4)))/HJour,4),""))</f>
        <v/>
      </c>
      <c r="BM296" s="35" t="str">
        <f aca="false">IF(OR(AO296&lt;&gt;1,R296=""),"",IF(BD296=1,1,0))</f>
        <v/>
      </c>
      <c r="BN296" s="35" t="str">
        <f aca="false">IF(AO296&lt;&gt;1,"",IF(W296="Oui",1,0))</f>
        <v/>
      </c>
      <c r="BO296" s="35" t="str">
        <f aca="false">IF(AO296&lt;&gt;1,"",IF(X296&lt;&gt;"",1,0))</f>
        <v/>
      </c>
      <c r="BP296" s="35" t="str">
        <f aca="false">IF(AO296&lt;&gt;1,"",IF(Y296="Oui",1,0))</f>
        <v/>
      </c>
      <c r="BQ296" s="35" t="str">
        <f aca="true">IF(OR(AO296&lt;&gt;1,Z296&lt;&gt;"Oui"),"",IF(AB296="",IF(AND(AA296&lt;&gt;"",NOW()&gt;AA296),0,""),IF(AA296="","",IF(AB296&lt;=AA296,1,0))))</f>
        <v/>
      </c>
      <c r="BR296" s="38" t="str">
        <f aca="false">IF(OR(AO296&lt;&gt;1,K296&lt;&gt;"Oui",O296=""),"",IF(AC296="",O296+DORA_H_DET/24,IF(AC296-O296&lt;=DORA_H_DET/24,MIN(AC296+DORA_H_CLA/24,O296+DORA_H_DET/24),AC296+DORA_H_CLA/24)))</f>
        <v/>
      </c>
      <c r="BS296" s="35" t="str">
        <f aca="true">IF(BR296="","",IF(AD296="",IF(NOW()&gt;BR296,0,""),IF(AD296&lt;=BR296,1,0)))</f>
        <v/>
      </c>
      <c r="BT296" s="35" t="str">
        <f aca="true">IF(OR(BR296="",AD296=""),"",IF(AE296="",IF(NOW()&gt;AD296+DORA_H_INT/24,0,""),IF(AE296&lt;=AD296+DORA_H_INT/24,1,0)))</f>
        <v/>
      </c>
      <c r="BU296" s="35" t="str">
        <f aca="true">IF(OR(BR296="",AE296=""),"",IF(AF296="",IF(NOW()&gt;EDATE(AE296,DORA_M_FIN)+1,0,""),IF(AF296&lt;=EDATE(AE296,DORA_M_FIN),1,0)))</f>
        <v/>
      </c>
      <c r="BV296" s="35" t="str">
        <f aca="false">IF(BR296="","",IF(COUNT(BS296:BU296)=0,"",MIN(BS296:BU296)))</f>
        <v/>
      </c>
      <c r="BW296" s="40" t="str">
        <f aca="false">IF(AQ296&lt;&gt;1,"",IF(AND(AG296="",AH296=""),"",N(AG296)-N(AH296)))</f>
        <v/>
      </c>
      <c r="BX296" s="35" t="str">
        <f aca="true">IF(OR(AQ296&lt;&gt;1,AI296&lt;&gt;"Oui",AJ296=""),"",IF(AK296="",IF(NOW()&gt;AJ296+1,0,""),IF(AK296&lt;=AJ296,1,0)))</f>
        <v/>
      </c>
    </row>
    <row r="297" customFormat="false" ht="15" hidden="false" customHeight="false" outlineLevel="0" collapsed="false">
      <c r="B297" s="29"/>
      <c r="C297" s="29"/>
      <c r="D297" s="29"/>
      <c r="E297" s="29"/>
      <c r="F297" s="29"/>
      <c r="G297" s="29"/>
      <c r="H297" s="29"/>
      <c r="I297" s="29"/>
      <c r="J297" s="29"/>
      <c r="K297" s="29"/>
      <c r="L297" s="29"/>
      <c r="M297" s="29"/>
      <c r="N297" s="30"/>
      <c r="O297" s="30"/>
      <c r="P297" s="30"/>
      <c r="Q297" s="30"/>
      <c r="R297" s="30"/>
      <c r="S297" s="30"/>
      <c r="T297" s="30"/>
      <c r="U297" s="30"/>
      <c r="V297" s="31"/>
      <c r="W297" s="29"/>
      <c r="X297" s="29"/>
      <c r="Y297" s="29"/>
      <c r="Z297" s="29"/>
      <c r="AA297" s="30"/>
      <c r="AB297" s="30"/>
      <c r="AC297" s="30"/>
      <c r="AD297" s="30"/>
      <c r="AE297" s="30"/>
      <c r="AF297" s="32"/>
      <c r="AG297" s="33"/>
      <c r="AH297" s="33"/>
      <c r="AI297" s="29"/>
      <c r="AJ297" s="32"/>
      <c r="AK297" s="32"/>
      <c r="AL297" s="29"/>
      <c r="AN297" s="34" t="str">
        <f aca="false">IF($B297="","",IF(OR(C297="",D297="",E297="",G297="",I297="",J297="",L297="",O297="",P297=""),"Champ obligatoire manquant",IF(OR(AND(N297&lt;&gt;"",N297&gt;O297),O297&gt;P297,AND(Q297&lt;&gt;"",Q297&lt;P297),AND(R297&lt;&gt;"",R297&lt;P297),AND(S297&lt;&gt;"",S297&lt;R297),AND(S297&lt;&gt;"",R297=""),AND(T297&lt;&gt;"",T297&lt;O297),AND(U297&lt;&gt;"",U297&lt;O297)),"Chronologie incohérente",IF(AND(OR(L297="Résolu",L297="Clos"),R297=""),"Date de résolution manquante",IF(AND(L297="Clos",S297=""),"Date de clôture manquante",IF(AND(K297="Oui",AC297=""),"Classification DORA manquante","OK"))))))</f>
        <v/>
      </c>
      <c r="AO297" s="35" t="str">
        <f aca="false">IF($B297="","",IF(AND(C297="Incident",L297&lt;&gt;"Annulé"),1,0))</f>
        <v/>
      </c>
      <c r="AP297" s="35" t="str">
        <f aca="false">IF($B297="","",IF(AND(C297="Quasi-incident",L297&lt;&gt;"Annulé"),1,0))</f>
        <v/>
      </c>
      <c r="AQ297" s="35" t="str">
        <f aca="false">IF($B297="","",AO297+AP297)</f>
        <v/>
      </c>
      <c r="AR297" s="36" t="str">
        <f aca="false">IF(OR($B297="",J297=""),"",IFERROR(VALUE(LEFT(J297,1)),""))</f>
        <v/>
      </c>
      <c r="AS297" s="35" t="str">
        <f aca="false">IF(OR(AO297&lt;&gt;1,G297=""),"",IFERROR(IF(INDEX(L_SrcInterne,MATCH(G297,L_Sources,0))="Oui",1,0),""))</f>
        <v/>
      </c>
      <c r="AT297" s="37" t="str">
        <f aca="false">IF(AO297&lt;&gt;1,"",IFERROR(ROUND(IF(OR(N297="",O297=""),"",IF(O297&lt;N297,"",ROUND(((NETWORKDAYS(N297,O297,JoursFeries)-1)*(HFer-HOuv)+IF(NETWORKDAYS(O297,O297,JoursFeries),MEDIAN(MOD(O297,1),HFer,HOuv),HFer)-IF(NETWORKDAYS(N297,N297,JoursFeries),MEDIAN(MOD(N297,1),HFer,HOuv),HOuv))*24,4)))/HJour,4),""))</f>
        <v/>
      </c>
      <c r="AU297" s="37" t="str">
        <f aca="false">IF(AO297&lt;&gt;1,"",IF(OR(O297="",P297=""),"",IF(P297&lt;O297,"",ROUND(((NETWORKDAYS(O297,P297,JoursFeries)-1)*(HFer-HOuv)+IF(NETWORKDAYS(P297,P297,JoursFeries),MEDIAN(MOD(P297,1),HFer,HOuv),HFer)-IF(NETWORKDAYS(O297,O297,JoursFeries),MEDIAN(MOD(O297,1),HFer,HOuv),HOuv))*24,4))))</f>
        <v/>
      </c>
      <c r="AV297" s="37" t="str">
        <f aca="false">IF(AO297&lt;&gt;1,"",IF(OR(P297="",Q297=""),"",IF(Q297&lt;P297,"",ROUND(((NETWORKDAYS(P297,Q297,JoursFeries)-1)*(HFer-HOuv)+IF(NETWORKDAYS(Q297,Q297,JoursFeries),MEDIAN(MOD(Q297,1),HFer,HOuv),HFer)-IF(NETWORKDAYS(P297,P297,JoursFeries),MEDIAN(MOD(P297,1),HFer,HOuv),HOuv))*24,4))))</f>
        <v/>
      </c>
      <c r="AW297" s="37" t="str">
        <f aca="false">IF(AO297&lt;&gt;1,"",IFERROR(ROUND(IF(OR(P297="",R297=""),"",IF(R297&lt;P297,"",ROUND(((NETWORKDAYS(P297,R297,JoursFeries)-1)*(HFer-HOuv)+IF(NETWORKDAYS(R297,R297,JoursFeries),MEDIAN(MOD(R297,1),HFer,HOuv),HFer)-IF(NETWORKDAYS(P297,P297,JoursFeries),MEDIAN(MOD(P297,1),HFer,HOuv),HOuv))*24,4)))/HJour,4),""))</f>
        <v/>
      </c>
      <c r="AX297" s="37" t="str">
        <f aca="false">IF(AO297&lt;&gt;1,"",IFERROR(ROUND(IF(OR(P297="",S297=""),"",IF(S297&lt;P297,"",ROUND(((NETWORKDAYS(P297,S297,JoursFeries)-1)*(HFer-HOuv)+IF(NETWORKDAYS(S297,S297,JoursFeries),MEDIAN(MOD(S297,1),HFer,HOuv),HFer)-IF(NETWORKDAYS(P297,P297,JoursFeries),MEDIAN(MOD(P297,1),HFer,HOuv),HOuv))*24,4)))/HJour,4),""))</f>
        <v/>
      </c>
      <c r="AY297" s="36" t="str">
        <f aca="false">IF(OR(AO297&lt;&gt;1,AR297=""),"",INDEX(SLA_PEC,AR297))</f>
        <v/>
      </c>
      <c r="AZ297" s="35" t="str">
        <f aca="false">IF(OR(AV297="",AY297=""),"",IF(AV297&lt;=AY297,1,0))</f>
        <v/>
      </c>
      <c r="BA297" s="36" t="str">
        <f aca="false">IF(OR(AO297&lt;&gt;1,AR297=""),"",INDEX(SLA_RES,AR297))</f>
        <v/>
      </c>
      <c r="BB297" s="35" t="str">
        <f aca="false">IF(OR(AW297="",BA297=""),"",IF(AW297&lt;=BA297,1,0))</f>
        <v/>
      </c>
      <c r="BC297" s="38" t="str">
        <f aca="false">IF(OR(BA297="",P297=""),"",WORKDAY(INT(P297),BA297,JoursFeries)+MOD(P297,1))</f>
        <v/>
      </c>
      <c r="BD297" s="39" t="str">
        <f aca="false">IF(AO297&lt;&gt;1,"",IF(OR(AB297&lt;&gt;"",AD297&lt;&gt;""),4,IF(U297&lt;&gt;"",3,IF(T297&lt;&gt;"",2,1))))</f>
        <v/>
      </c>
      <c r="BE297" s="39" t="str">
        <f aca="false">IF(OR(AO297&lt;&gt;1,AR297=""),"",INDEX(NIV_REQ,AR297))</f>
        <v/>
      </c>
      <c r="BF297" s="39" t="str">
        <f aca="false">IF(BE297="","",MAX(BE297,IF(OR(K297="Oui",Z297="Oui"),4,1)))</f>
        <v/>
      </c>
      <c r="BG297" s="35" t="str">
        <f aca="false">IF(OR(BF297="",BD297=""),"",IF(BD297&gt;=BF297,1,0))</f>
        <v/>
      </c>
      <c r="BH297" s="38" t="str">
        <f aca="false">IF(BE297="","",IF(BE297&lt;2,"",IF(BE297=2,IF(AND(T297="",U297=""),"",MIN(T297,U297)),IF(U297="","",U297))))</f>
        <v/>
      </c>
      <c r="BI297" s="37" t="str">
        <f aca="false">IF(BH297="","",IF(OR(O297="",BH297=""),"",IF(BH297&lt;O297,"",ROUND(((NETWORKDAYS(O297,BH297,JoursFeries)-1)*(HFer-HOuv)+IF(NETWORKDAYS(BH297,BH297,JoursFeries),MEDIAN(MOD(BH297,1),HFer,HOuv),HFer)-IF(NETWORKDAYS(O297,O297,JoursFeries),MEDIAN(MOD(O297,1),HFer,HOuv),HOuv))*24,4))))</f>
        <v/>
      </c>
      <c r="BJ297" s="35" t="str">
        <f aca="false">IF(OR(BI297="",AR297=""),"",IF(BI297&lt;=INDEX(DELAI_ESC,AR297),1,0))</f>
        <v/>
      </c>
      <c r="BK297" s="38" t="str">
        <f aca="false">IF(AO297&lt;&gt;1,"",IF(AND(T297="",U297=""),"",MIN(T297,U297)))</f>
        <v/>
      </c>
      <c r="BL297" s="37" t="str">
        <f aca="false">IF(OR(BK297="",R297=""),"",IFERROR(ROUND(IF(OR(BK297="",R297=""),"",IF(R297&lt;BK297,"",ROUND(((NETWORKDAYS(BK297,R297,JoursFeries)-1)*(HFer-HOuv)+IF(NETWORKDAYS(R297,R297,JoursFeries),MEDIAN(MOD(R297,1),HFer,HOuv),HFer)-IF(NETWORKDAYS(BK297,BK297,JoursFeries),MEDIAN(MOD(BK297,1),HFer,HOuv),HOuv))*24,4)))/HJour,4),""))</f>
        <v/>
      </c>
      <c r="BM297" s="35" t="str">
        <f aca="false">IF(OR(AO297&lt;&gt;1,R297=""),"",IF(BD297=1,1,0))</f>
        <v/>
      </c>
      <c r="BN297" s="35" t="str">
        <f aca="false">IF(AO297&lt;&gt;1,"",IF(W297="Oui",1,0))</f>
        <v/>
      </c>
      <c r="BO297" s="35" t="str">
        <f aca="false">IF(AO297&lt;&gt;1,"",IF(X297&lt;&gt;"",1,0))</f>
        <v/>
      </c>
      <c r="BP297" s="35" t="str">
        <f aca="false">IF(AO297&lt;&gt;1,"",IF(Y297="Oui",1,0))</f>
        <v/>
      </c>
      <c r="BQ297" s="35" t="str">
        <f aca="true">IF(OR(AO297&lt;&gt;1,Z297&lt;&gt;"Oui"),"",IF(AB297="",IF(AND(AA297&lt;&gt;"",NOW()&gt;AA297),0,""),IF(AA297="","",IF(AB297&lt;=AA297,1,0))))</f>
        <v/>
      </c>
      <c r="BR297" s="38" t="str">
        <f aca="false">IF(OR(AO297&lt;&gt;1,K297&lt;&gt;"Oui",O297=""),"",IF(AC297="",O297+DORA_H_DET/24,IF(AC297-O297&lt;=DORA_H_DET/24,MIN(AC297+DORA_H_CLA/24,O297+DORA_H_DET/24),AC297+DORA_H_CLA/24)))</f>
        <v/>
      </c>
      <c r="BS297" s="35" t="str">
        <f aca="true">IF(BR297="","",IF(AD297="",IF(NOW()&gt;BR297,0,""),IF(AD297&lt;=BR297,1,0)))</f>
        <v/>
      </c>
      <c r="BT297" s="35" t="str">
        <f aca="true">IF(OR(BR297="",AD297=""),"",IF(AE297="",IF(NOW()&gt;AD297+DORA_H_INT/24,0,""),IF(AE297&lt;=AD297+DORA_H_INT/24,1,0)))</f>
        <v/>
      </c>
      <c r="BU297" s="35" t="str">
        <f aca="true">IF(OR(BR297="",AE297=""),"",IF(AF297="",IF(NOW()&gt;EDATE(AE297,DORA_M_FIN)+1,0,""),IF(AF297&lt;=EDATE(AE297,DORA_M_FIN),1,0)))</f>
        <v/>
      </c>
      <c r="BV297" s="35" t="str">
        <f aca="false">IF(BR297="","",IF(COUNT(BS297:BU297)=0,"",MIN(BS297:BU297)))</f>
        <v/>
      </c>
      <c r="BW297" s="40" t="str">
        <f aca="false">IF(AQ297&lt;&gt;1,"",IF(AND(AG297="",AH297=""),"",N(AG297)-N(AH297)))</f>
        <v/>
      </c>
      <c r="BX297" s="35" t="str">
        <f aca="true">IF(OR(AQ297&lt;&gt;1,AI297&lt;&gt;"Oui",AJ297=""),"",IF(AK297="",IF(NOW()&gt;AJ297+1,0,""),IF(AK297&lt;=AJ297,1,0)))</f>
        <v/>
      </c>
    </row>
    <row r="298" customFormat="false" ht="15" hidden="false" customHeight="false" outlineLevel="0" collapsed="false">
      <c r="B298" s="29"/>
      <c r="C298" s="29"/>
      <c r="D298" s="29"/>
      <c r="E298" s="29"/>
      <c r="F298" s="29"/>
      <c r="G298" s="29"/>
      <c r="H298" s="29"/>
      <c r="I298" s="29"/>
      <c r="J298" s="29"/>
      <c r="K298" s="29"/>
      <c r="L298" s="29"/>
      <c r="M298" s="29"/>
      <c r="N298" s="30"/>
      <c r="O298" s="30"/>
      <c r="P298" s="30"/>
      <c r="Q298" s="30"/>
      <c r="R298" s="30"/>
      <c r="S298" s="30"/>
      <c r="T298" s="30"/>
      <c r="U298" s="30"/>
      <c r="V298" s="31"/>
      <c r="W298" s="29"/>
      <c r="X298" s="29"/>
      <c r="Y298" s="29"/>
      <c r="Z298" s="29"/>
      <c r="AA298" s="30"/>
      <c r="AB298" s="30"/>
      <c r="AC298" s="30"/>
      <c r="AD298" s="30"/>
      <c r="AE298" s="30"/>
      <c r="AF298" s="32"/>
      <c r="AG298" s="33"/>
      <c r="AH298" s="33"/>
      <c r="AI298" s="29"/>
      <c r="AJ298" s="32"/>
      <c r="AK298" s="32"/>
      <c r="AL298" s="29"/>
      <c r="AN298" s="34" t="str">
        <f aca="false">IF($B298="","",IF(OR(C298="",D298="",E298="",G298="",I298="",J298="",L298="",O298="",P298=""),"Champ obligatoire manquant",IF(OR(AND(N298&lt;&gt;"",N298&gt;O298),O298&gt;P298,AND(Q298&lt;&gt;"",Q298&lt;P298),AND(R298&lt;&gt;"",R298&lt;P298),AND(S298&lt;&gt;"",S298&lt;R298),AND(S298&lt;&gt;"",R298=""),AND(T298&lt;&gt;"",T298&lt;O298),AND(U298&lt;&gt;"",U298&lt;O298)),"Chronologie incohérente",IF(AND(OR(L298="Résolu",L298="Clos"),R298=""),"Date de résolution manquante",IF(AND(L298="Clos",S298=""),"Date de clôture manquante",IF(AND(K298="Oui",AC298=""),"Classification DORA manquante","OK"))))))</f>
        <v/>
      </c>
      <c r="AO298" s="35" t="str">
        <f aca="false">IF($B298="","",IF(AND(C298="Incident",L298&lt;&gt;"Annulé"),1,0))</f>
        <v/>
      </c>
      <c r="AP298" s="35" t="str">
        <f aca="false">IF($B298="","",IF(AND(C298="Quasi-incident",L298&lt;&gt;"Annulé"),1,0))</f>
        <v/>
      </c>
      <c r="AQ298" s="35" t="str">
        <f aca="false">IF($B298="","",AO298+AP298)</f>
        <v/>
      </c>
      <c r="AR298" s="36" t="str">
        <f aca="false">IF(OR($B298="",J298=""),"",IFERROR(VALUE(LEFT(J298,1)),""))</f>
        <v/>
      </c>
      <c r="AS298" s="35" t="str">
        <f aca="false">IF(OR(AO298&lt;&gt;1,G298=""),"",IFERROR(IF(INDEX(L_SrcInterne,MATCH(G298,L_Sources,0))="Oui",1,0),""))</f>
        <v/>
      </c>
      <c r="AT298" s="37" t="str">
        <f aca="false">IF(AO298&lt;&gt;1,"",IFERROR(ROUND(IF(OR(N298="",O298=""),"",IF(O298&lt;N298,"",ROUND(((NETWORKDAYS(N298,O298,JoursFeries)-1)*(HFer-HOuv)+IF(NETWORKDAYS(O298,O298,JoursFeries),MEDIAN(MOD(O298,1),HFer,HOuv),HFer)-IF(NETWORKDAYS(N298,N298,JoursFeries),MEDIAN(MOD(N298,1),HFer,HOuv),HOuv))*24,4)))/HJour,4),""))</f>
        <v/>
      </c>
      <c r="AU298" s="37" t="str">
        <f aca="false">IF(AO298&lt;&gt;1,"",IF(OR(O298="",P298=""),"",IF(P298&lt;O298,"",ROUND(((NETWORKDAYS(O298,P298,JoursFeries)-1)*(HFer-HOuv)+IF(NETWORKDAYS(P298,P298,JoursFeries),MEDIAN(MOD(P298,1),HFer,HOuv),HFer)-IF(NETWORKDAYS(O298,O298,JoursFeries),MEDIAN(MOD(O298,1),HFer,HOuv),HOuv))*24,4))))</f>
        <v/>
      </c>
      <c r="AV298" s="37" t="str">
        <f aca="false">IF(AO298&lt;&gt;1,"",IF(OR(P298="",Q298=""),"",IF(Q298&lt;P298,"",ROUND(((NETWORKDAYS(P298,Q298,JoursFeries)-1)*(HFer-HOuv)+IF(NETWORKDAYS(Q298,Q298,JoursFeries),MEDIAN(MOD(Q298,1),HFer,HOuv),HFer)-IF(NETWORKDAYS(P298,P298,JoursFeries),MEDIAN(MOD(P298,1),HFer,HOuv),HOuv))*24,4))))</f>
        <v/>
      </c>
      <c r="AW298" s="37" t="str">
        <f aca="false">IF(AO298&lt;&gt;1,"",IFERROR(ROUND(IF(OR(P298="",R298=""),"",IF(R298&lt;P298,"",ROUND(((NETWORKDAYS(P298,R298,JoursFeries)-1)*(HFer-HOuv)+IF(NETWORKDAYS(R298,R298,JoursFeries),MEDIAN(MOD(R298,1),HFer,HOuv),HFer)-IF(NETWORKDAYS(P298,P298,JoursFeries),MEDIAN(MOD(P298,1),HFer,HOuv),HOuv))*24,4)))/HJour,4),""))</f>
        <v/>
      </c>
      <c r="AX298" s="37" t="str">
        <f aca="false">IF(AO298&lt;&gt;1,"",IFERROR(ROUND(IF(OR(P298="",S298=""),"",IF(S298&lt;P298,"",ROUND(((NETWORKDAYS(P298,S298,JoursFeries)-1)*(HFer-HOuv)+IF(NETWORKDAYS(S298,S298,JoursFeries),MEDIAN(MOD(S298,1),HFer,HOuv),HFer)-IF(NETWORKDAYS(P298,P298,JoursFeries),MEDIAN(MOD(P298,1),HFer,HOuv),HOuv))*24,4)))/HJour,4),""))</f>
        <v/>
      </c>
      <c r="AY298" s="36" t="str">
        <f aca="false">IF(OR(AO298&lt;&gt;1,AR298=""),"",INDEX(SLA_PEC,AR298))</f>
        <v/>
      </c>
      <c r="AZ298" s="35" t="str">
        <f aca="false">IF(OR(AV298="",AY298=""),"",IF(AV298&lt;=AY298,1,0))</f>
        <v/>
      </c>
      <c r="BA298" s="36" t="str">
        <f aca="false">IF(OR(AO298&lt;&gt;1,AR298=""),"",INDEX(SLA_RES,AR298))</f>
        <v/>
      </c>
      <c r="BB298" s="35" t="str">
        <f aca="false">IF(OR(AW298="",BA298=""),"",IF(AW298&lt;=BA298,1,0))</f>
        <v/>
      </c>
      <c r="BC298" s="38" t="str">
        <f aca="false">IF(OR(BA298="",P298=""),"",WORKDAY(INT(P298),BA298,JoursFeries)+MOD(P298,1))</f>
        <v/>
      </c>
      <c r="BD298" s="39" t="str">
        <f aca="false">IF(AO298&lt;&gt;1,"",IF(OR(AB298&lt;&gt;"",AD298&lt;&gt;""),4,IF(U298&lt;&gt;"",3,IF(T298&lt;&gt;"",2,1))))</f>
        <v/>
      </c>
      <c r="BE298" s="39" t="str">
        <f aca="false">IF(OR(AO298&lt;&gt;1,AR298=""),"",INDEX(NIV_REQ,AR298))</f>
        <v/>
      </c>
      <c r="BF298" s="39" t="str">
        <f aca="false">IF(BE298="","",MAX(BE298,IF(OR(K298="Oui",Z298="Oui"),4,1)))</f>
        <v/>
      </c>
      <c r="BG298" s="35" t="str">
        <f aca="false">IF(OR(BF298="",BD298=""),"",IF(BD298&gt;=BF298,1,0))</f>
        <v/>
      </c>
      <c r="BH298" s="38" t="str">
        <f aca="false">IF(BE298="","",IF(BE298&lt;2,"",IF(BE298=2,IF(AND(T298="",U298=""),"",MIN(T298,U298)),IF(U298="","",U298))))</f>
        <v/>
      </c>
      <c r="BI298" s="37" t="str">
        <f aca="false">IF(BH298="","",IF(OR(O298="",BH298=""),"",IF(BH298&lt;O298,"",ROUND(((NETWORKDAYS(O298,BH298,JoursFeries)-1)*(HFer-HOuv)+IF(NETWORKDAYS(BH298,BH298,JoursFeries),MEDIAN(MOD(BH298,1),HFer,HOuv),HFer)-IF(NETWORKDAYS(O298,O298,JoursFeries),MEDIAN(MOD(O298,1),HFer,HOuv),HOuv))*24,4))))</f>
        <v/>
      </c>
      <c r="BJ298" s="35" t="str">
        <f aca="false">IF(OR(BI298="",AR298=""),"",IF(BI298&lt;=INDEX(DELAI_ESC,AR298),1,0))</f>
        <v/>
      </c>
      <c r="BK298" s="38" t="str">
        <f aca="false">IF(AO298&lt;&gt;1,"",IF(AND(T298="",U298=""),"",MIN(T298,U298)))</f>
        <v/>
      </c>
      <c r="BL298" s="37" t="str">
        <f aca="false">IF(OR(BK298="",R298=""),"",IFERROR(ROUND(IF(OR(BK298="",R298=""),"",IF(R298&lt;BK298,"",ROUND(((NETWORKDAYS(BK298,R298,JoursFeries)-1)*(HFer-HOuv)+IF(NETWORKDAYS(R298,R298,JoursFeries),MEDIAN(MOD(R298,1),HFer,HOuv),HFer)-IF(NETWORKDAYS(BK298,BK298,JoursFeries),MEDIAN(MOD(BK298,1),HFer,HOuv),HOuv))*24,4)))/HJour,4),""))</f>
        <v/>
      </c>
      <c r="BM298" s="35" t="str">
        <f aca="false">IF(OR(AO298&lt;&gt;1,R298=""),"",IF(BD298=1,1,0))</f>
        <v/>
      </c>
      <c r="BN298" s="35" t="str">
        <f aca="false">IF(AO298&lt;&gt;1,"",IF(W298="Oui",1,0))</f>
        <v/>
      </c>
      <c r="BO298" s="35" t="str">
        <f aca="false">IF(AO298&lt;&gt;1,"",IF(X298&lt;&gt;"",1,0))</f>
        <v/>
      </c>
      <c r="BP298" s="35" t="str">
        <f aca="false">IF(AO298&lt;&gt;1,"",IF(Y298="Oui",1,0))</f>
        <v/>
      </c>
      <c r="BQ298" s="35" t="str">
        <f aca="true">IF(OR(AO298&lt;&gt;1,Z298&lt;&gt;"Oui"),"",IF(AB298="",IF(AND(AA298&lt;&gt;"",NOW()&gt;AA298),0,""),IF(AA298="","",IF(AB298&lt;=AA298,1,0))))</f>
        <v/>
      </c>
      <c r="BR298" s="38" t="str">
        <f aca="false">IF(OR(AO298&lt;&gt;1,K298&lt;&gt;"Oui",O298=""),"",IF(AC298="",O298+DORA_H_DET/24,IF(AC298-O298&lt;=DORA_H_DET/24,MIN(AC298+DORA_H_CLA/24,O298+DORA_H_DET/24),AC298+DORA_H_CLA/24)))</f>
        <v/>
      </c>
      <c r="BS298" s="35" t="str">
        <f aca="true">IF(BR298="","",IF(AD298="",IF(NOW()&gt;BR298,0,""),IF(AD298&lt;=BR298,1,0)))</f>
        <v/>
      </c>
      <c r="BT298" s="35" t="str">
        <f aca="true">IF(OR(BR298="",AD298=""),"",IF(AE298="",IF(NOW()&gt;AD298+DORA_H_INT/24,0,""),IF(AE298&lt;=AD298+DORA_H_INT/24,1,0)))</f>
        <v/>
      </c>
      <c r="BU298" s="35" t="str">
        <f aca="true">IF(OR(BR298="",AE298=""),"",IF(AF298="",IF(NOW()&gt;EDATE(AE298,DORA_M_FIN)+1,0,""),IF(AF298&lt;=EDATE(AE298,DORA_M_FIN),1,0)))</f>
        <v/>
      </c>
      <c r="BV298" s="35" t="str">
        <f aca="false">IF(BR298="","",IF(COUNT(BS298:BU298)=0,"",MIN(BS298:BU298)))</f>
        <v/>
      </c>
      <c r="BW298" s="40" t="str">
        <f aca="false">IF(AQ298&lt;&gt;1,"",IF(AND(AG298="",AH298=""),"",N(AG298)-N(AH298)))</f>
        <v/>
      </c>
      <c r="BX298" s="35" t="str">
        <f aca="true">IF(OR(AQ298&lt;&gt;1,AI298&lt;&gt;"Oui",AJ298=""),"",IF(AK298="",IF(NOW()&gt;AJ298+1,0,""),IF(AK298&lt;=AJ298,1,0)))</f>
        <v/>
      </c>
    </row>
    <row r="299" customFormat="false" ht="15" hidden="false" customHeight="false" outlineLevel="0" collapsed="false">
      <c r="B299" s="29"/>
      <c r="C299" s="29"/>
      <c r="D299" s="29"/>
      <c r="E299" s="29"/>
      <c r="F299" s="29"/>
      <c r="G299" s="29"/>
      <c r="H299" s="29"/>
      <c r="I299" s="29"/>
      <c r="J299" s="29"/>
      <c r="K299" s="29"/>
      <c r="L299" s="29"/>
      <c r="M299" s="29"/>
      <c r="N299" s="30"/>
      <c r="O299" s="30"/>
      <c r="P299" s="30"/>
      <c r="Q299" s="30"/>
      <c r="R299" s="30"/>
      <c r="S299" s="30"/>
      <c r="T299" s="30"/>
      <c r="U299" s="30"/>
      <c r="V299" s="31"/>
      <c r="W299" s="29"/>
      <c r="X299" s="29"/>
      <c r="Y299" s="29"/>
      <c r="Z299" s="29"/>
      <c r="AA299" s="30"/>
      <c r="AB299" s="30"/>
      <c r="AC299" s="30"/>
      <c r="AD299" s="30"/>
      <c r="AE299" s="30"/>
      <c r="AF299" s="32"/>
      <c r="AG299" s="33"/>
      <c r="AH299" s="33"/>
      <c r="AI299" s="29"/>
      <c r="AJ299" s="32"/>
      <c r="AK299" s="32"/>
      <c r="AL299" s="29"/>
      <c r="AN299" s="34" t="str">
        <f aca="false">IF($B299="","",IF(OR(C299="",D299="",E299="",G299="",I299="",J299="",L299="",O299="",P299=""),"Champ obligatoire manquant",IF(OR(AND(N299&lt;&gt;"",N299&gt;O299),O299&gt;P299,AND(Q299&lt;&gt;"",Q299&lt;P299),AND(R299&lt;&gt;"",R299&lt;P299),AND(S299&lt;&gt;"",S299&lt;R299),AND(S299&lt;&gt;"",R299=""),AND(T299&lt;&gt;"",T299&lt;O299),AND(U299&lt;&gt;"",U299&lt;O299)),"Chronologie incohérente",IF(AND(OR(L299="Résolu",L299="Clos"),R299=""),"Date de résolution manquante",IF(AND(L299="Clos",S299=""),"Date de clôture manquante",IF(AND(K299="Oui",AC299=""),"Classification DORA manquante","OK"))))))</f>
        <v/>
      </c>
      <c r="AO299" s="35" t="str">
        <f aca="false">IF($B299="","",IF(AND(C299="Incident",L299&lt;&gt;"Annulé"),1,0))</f>
        <v/>
      </c>
      <c r="AP299" s="35" t="str">
        <f aca="false">IF($B299="","",IF(AND(C299="Quasi-incident",L299&lt;&gt;"Annulé"),1,0))</f>
        <v/>
      </c>
      <c r="AQ299" s="35" t="str">
        <f aca="false">IF($B299="","",AO299+AP299)</f>
        <v/>
      </c>
      <c r="AR299" s="36" t="str">
        <f aca="false">IF(OR($B299="",J299=""),"",IFERROR(VALUE(LEFT(J299,1)),""))</f>
        <v/>
      </c>
      <c r="AS299" s="35" t="str">
        <f aca="false">IF(OR(AO299&lt;&gt;1,G299=""),"",IFERROR(IF(INDEX(L_SrcInterne,MATCH(G299,L_Sources,0))="Oui",1,0),""))</f>
        <v/>
      </c>
      <c r="AT299" s="37" t="str">
        <f aca="false">IF(AO299&lt;&gt;1,"",IFERROR(ROUND(IF(OR(N299="",O299=""),"",IF(O299&lt;N299,"",ROUND(((NETWORKDAYS(N299,O299,JoursFeries)-1)*(HFer-HOuv)+IF(NETWORKDAYS(O299,O299,JoursFeries),MEDIAN(MOD(O299,1),HFer,HOuv),HFer)-IF(NETWORKDAYS(N299,N299,JoursFeries),MEDIAN(MOD(N299,1),HFer,HOuv),HOuv))*24,4)))/HJour,4),""))</f>
        <v/>
      </c>
      <c r="AU299" s="37" t="str">
        <f aca="false">IF(AO299&lt;&gt;1,"",IF(OR(O299="",P299=""),"",IF(P299&lt;O299,"",ROUND(((NETWORKDAYS(O299,P299,JoursFeries)-1)*(HFer-HOuv)+IF(NETWORKDAYS(P299,P299,JoursFeries),MEDIAN(MOD(P299,1),HFer,HOuv),HFer)-IF(NETWORKDAYS(O299,O299,JoursFeries),MEDIAN(MOD(O299,1),HFer,HOuv),HOuv))*24,4))))</f>
        <v/>
      </c>
      <c r="AV299" s="37" t="str">
        <f aca="false">IF(AO299&lt;&gt;1,"",IF(OR(P299="",Q299=""),"",IF(Q299&lt;P299,"",ROUND(((NETWORKDAYS(P299,Q299,JoursFeries)-1)*(HFer-HOuv)+IF(NETWORKDAYS(Q299,Q299,JoursFeries),MEDIAN(MOD(Q299,1),HFer,HOuv),HFer)-IF(NETWORKDAYS(P299,P299,JoursFeries),MEDIAN(MOD(P299,1),HFer,HOuv),HOuv))*24,4))))</f>
        <v/>
      </c>
      <c r="AW299" s="37" t="str">
        <f aca="false">IF(AO299&lt;&gt;1,"",IFERROR(ROUND(IF(OR(P299="",R299=""),"",IF(R299&lt;P299,"",ROUND(((NETWORKDAYS(P299,R299,JoursFeries)-1)*(HFer-HOuv)+IF(NETWORKDAYS(R299,R299,JoursFeries),MEDIAN(MOD(R299,1),HFer,HOuv),HFer)-IF(NETWORKDAYS(P299,P299,JoursFeries),MEDIAN(MOD(P299,1),HFer,HOuv),HOuv))*24,4)))/HJour,4),""))</f>
        <v/>
      </c>
      <c r="AX299" s="37" t="str">
        <f aca="false">IF(AO299&lt;&gt;1,"",IFERROR(ROUND(IF(OR(P299="",S299=""),"",IF(S299&lt;P299,"",ROUND(((NETWORKDAYS(P299,S299,JoursFeries)-1)*(HFer-HOuv)+IF(NETWORKDAYS(S299,S299,JoursFeries),MEDIAN(MOD(S299,1),HFer,HOuv),HFer)-IF(NETWORKDAYS(P299,P299,JoursFeries),MEDIAN(MOD(P299,1),HFer,HOuv),HOuv))*24,4)))/HJour,4),""))</f>
        <v/>
      </c>
      <c r="AY299" s="36" t="str">
        <f aca="false">IF(OR(AO299&lt;&gt;1,AR299=""),"",INDEX(SLA_PEC,AR299))</f>
        <v/>
      </c>
      <c r="AZ299" s="35" t="str">
        <f aca="false">IF(OR(AV299="",AY299=""),"",IF(AV299&lt;=AY299,1,0))</f>
        <v/>
      </c>
      <c r="BA299" s="36" t="str">
        <f aca="false">IF(OR(AO299&lt;&gt;1,AR299=""),"",INDEX(SLA_RES,AR299))</f>
        <v/>
      </c>
      <c r="BB299" s="35" t="str">
        <f aca="false">IF(OR(AW299="",BA299=""),"",IF(AW299&lt;=BA299,1,0))</f>
        <v/>
      </c>
      <c r="BC299" s="38" t="str">
        <f aca="false">IF(OR(BA299="",P299=""),"",WORKDAY(INT(P299),BA299,JoursFeries)+MOD(P299,1))</f>
        <v/>
      </c>
      <c r="BD299" s="39" t="str">
        <f aca="false">IF(AO299&lt;&gt;1,"",IF(OR(AB299&lt;&gt;"",AD299&lt;&gt;""),4,IF(U299&lt;&gt;"",3,IF(T299&lt;&gt;"",2,1))))</f>
        <v/>
      </c>
      <c r="BE299" s="39" t="str">
        <f aca="false">IF(OR(AO299&lt;&gt;1,AR299=""),"",INDEX(NIV_REQ,AR299))</f>
        <v/>
      </c>
      <c r="BF299" s="39" t="str">
        <f aca="false">IF(BE299="","",MAX(BE299,IF(OR(K299="Oui",Z299="Oui"),4,1)))</f>
        <v/>
      </c>
      <c r="BG299" s="35" t="str">
        <f aca="false">IF(OR(BF299="",BD299=""),"",IF(BD299&gt;=BF299,1,0))</f>
        <v/>
      </c>
      <c r="BH299" s="38" t="str">
        <f aca="false">IF(BE299="","",IF(BE299&lt;2,"",IF(BE299=2,IF(AND(T299="",U299=""),"",MIN(T299,U299)),IF(U299="","",U299))))</f>
        <v/>
      </c>
      <c r="BI299" s="37" t="str">
        <f aca="false">IF(BH299="","",IF(OR(O299="",BH299=""),"",IF(BH299&lt;O299,"",ROUND(((NETWORKDAYS(O299,BH299,JoursFeries)-1)*(HFer-HOuv)+IF(NETWORKDAYS(BH299,BH299,JoursFeries),MEDIAN(MOD(BH299,1),HFer,HOuv),HFer)-IF(NETWORKDAYS(O299,O299,JoursFeries),MEDIAN(MOD(O299,1),HFer,HOuv),HOuv))*24,4))))</f>
        <v/>
      </c>
      <c r="BJ299" s="35" t="str">
        <f aca="false">IF(OR(BI299="",AR299=""),"",IF(BI299&lt;=INDEX(DELAI_ESC,AR299),1,0))</f>
        <v/>
      </c>
      <c r="BK299" s="38" t="str">
        <f aca="false">IF(AO299&lt;&gt;1,"",IF(AND(T299="",U299=""),"",MIN(T299,U299)))</f>
        <v/>
      </c>
      <c r="BL299" s="37" t="str">
        <f aca="false">IF(OR(BK299="",R299=""),"",IFERROR(ROUND(IF(OR(BK299="",R299=""),"",IF(R299&lt;BK299,"",ROUND(((NETWORKDAYS(BK299,R299,JoursFeries)-1)*(HFer-HOuv)+IF(NETWORKDAYS(R299,R299,JoursFeries),MEDIAN(MOD(R299,1),HFer,HOuv),HFer)-IF(NETWORKDAYS(BK299,BK299,JoursFeries),MEDIAN(MOD(BK299,1),HFer,HOuv),HOuv))*24,4)))/HJour,4),""))</f>
        <v/>
      </c>
      <c r="BM299" s="35" t="str">
        <f aca="false">IF(OR(AO299&lt;&gt;1,R299=""),"",IF(BD299=1,1,0))</f>
        <v/>
      </c>
      <c r="BN299" s="35" t="str">
        <f aca="false">IF(AO299&lt;&gt;1,"",IF(W299="Oui",1,0))</f>
        <v/>
      </c>
      <c r="BO299" s="35" t="str">
        <f aca="false">IF(AO299&lt;&gt;1,"",IF(X299&lt;&gt;"",1,0))</f>
        <v/>
      </c>
      <c r="BP299" s="35" t="str">
        <f aca="false">IF(AO299&lt;&gt;1,"",IF(Y299="Oui",1,0))</f>
        <v/>
      </c>
      <c r="BQ299" s="35" t="str">
        <f aca="true">IF(OR(AO299&lt;&gt;1,Z299&lt;&gt;"Oui"),"",IF(AB299="",IF(AND(AA299&lt;&gt;"",NOW()&gt;AA299),0,""),IF(AA299="","",IF(AB299&lt;=AA299,1,0))))</f>
        <v/>
      </c>
      <c r="BR299" s="38" t="str">
        <f aca="false">IF(OR(AO299&lt;&gt;1,K299&lt;&gt;"Oui",O299=""),"",IF(AC299="",O299+DORA_H_DET/24,IF(AC299-O299&lt;=DORA_H_DET/24,MIN(AC299+DORA_H_CLA/24,O299+DORA_H_DET/24),AC299+DORA_H_CLA/24)))</f>
        <v/>
      </c>
      <c r="BS299" s="35" t="str">
        <f aca="true">IF(BR299="","",IF(AD299="",IF(NOW()&gt;BR299,0,""),IF(AD299&lt;=BR299,1,0)))</f>
        <v/>
      </c>
      <c r="BT299" s="35" t="str">
        <f aca="true">IF(OR(BR299="",AD299=""),"",IF(AE299="",IF(NOW()&gt;AD299+DORA_H_INT/24,0,""),IF(AE299&lt;=AD299+DORA_H_INT/24,1,0)))</f>
        <v/>
      </c>
      <c r="BU299" s="35" t="str">
        <f aca="true">IF(OR(BR299="",AE299=""),"",IF(AF299="",IF(NOW()&gt;EDATE(AE299,DORA_M_FIN)+1,0,""),IF(AF299&lt;=EDATE(AE299,DORA_M_FIN),1,0)))</f>
        <v/>
      </c>
      <c r="BV299" s="35" t="str">
        <f aca="false">IF(BR299="","",IF(COUNT(BS299:BU299)=0,"",MIN(BS299:BU299)))</f>
        <v/>
      </c>
      <c r="BW299" s="40" t="str">
        <f aca="false">IF(AQ299&lt;&gt;1,"",IF(AND(AG299="",AH299=""),"",N(AG299)-N(AH299)))</f>
        <v/>
      </c>
      <c r="BX299" s="35" t="str">
        <f aca="true">IF(OR(AQ299&lt;&gt;1,AI299&lt;&gt;"Oui",AJ299=""),"",IF(AK299="",IF(NOW()&gt;AJ299+1,0,""),IF(AK299&lt;=AJ299,1,0)))</f>
        <v/>
      </c>
    </row>
    <row r="300" customFormat="false" ht="15" hidden="false" customHeight="false" outlineLevel="0" collapsed="false">
      <c r="B300" s="29"/>
      <c r="C300" s="29"/>
      <c r="D300" s="29"/>
      <c r="E300" s="29"/>
      <c r="F300" s="29"/>
      <c r="G300" s="29"/>
      <c r="H300" s="29"/>
      <c r="I300" s="29"/>
      <c r="J300" s="29"/>
      <c r="K300" s="29"/>
      <c r="L300" s="29"/>
      <c r="M300" s="29"/>
      <c r="N300" s="30"/>
      <c r="O300" s="30"/>
      <c r="P300" s="30"/>
      <c r="Q300" s="30"/>
      <c r="R300" s="30"/>
      <c r="S300" s="30"/>
      <c r="T300" s="30"/>
      <c r="U300" s="30"/>
      <c r="V300" s="31"/>
      <c r="W300" s="29"/>
      <c r="X300" s="29"/>
      <c r="Y300" s="29"/>
      <c r="Z300" s="29"/>
      <c r="AA300" s="30"/>
      <c r="AB300" s="30"/>
      <c r="AC300" s="30"/>
      <c r="AD300" s="30"/>
      <c r="AE300" s="30"/>
      <c r="AF300" s="32"/>
      <c r="AG300" s="33"/>
      <c r="AH300" s="33"/>
      <c r="AI300" s="29"/>
      <c r="AJ300" s="32"/>
      <c r="AK300" s="32"/>
      <c r="AL300" s="29"/>
      <c r="AN300" s="34" t="str">
        <f aca="false">IF($B300="","",IF(OR(C300="",D300="",E300="",G300="",I300="",J300="",L300="",O300="",P300=""),"Champ obligatoire manquant",IF(OR(AND(N300&lt;&gt;"",N300&gt;O300),O300&gt;P300,AND(Q300&lt;&gt;"",Q300&lt;P300),AND(R300&lt;&gt;"",R300&lt;P300),AND(S300&lt;&gt;"",S300&lt;R300),AND(S300&lt;&gt;"",R300=""),AND(T300&lt;&gt;"",T300&lt;O300),AND(U300&lt;&gt;"",U300&lt;O300)),"Chronologie incohérente",IF(AND(OR(L300="Résolu",L300="Clos"),R300=""),"Date de résolution manquante",IF(AND(L300="Clos",S300=""),"Date de clôture manquante",IF(AND(K300="Oui",AC300=""),"Classification DORA manquante","OK"))))))</f>
        <v/>
      </c>
      <c r="AO300" s="35" t="str">
        <f aca="false">IF($B300="","",IF(AND(C300="Incident",L300&lt;&gt;"Annulé"),1,0))</f>
        <v/>
      </c>
      <c r="AP300" s="35" t="str">
        <f aca="false">IF($B300="","",IF(AND(C300="Quasi-incident",L300&lt;&gt;"Annulé"),1,0))</f>
        <v/>
      </c>
      <c r="AQ300" s="35" t="str">
        <f aca="false">IF($B300="","",AO300+AP300)</f>
        <v/>
      </c>
      <c r="AR300" s="36" t="str">
        <f aca="false">IF(OR($B300="",J300=""),"",IFERROR(VALUE(LEFT(J300,1)),""))</f>
        <v/>
      </c>
      <c r="AS300" s="35" t="str">
        <f aca="false">IF(OR(AO300&lt;&gt;1,G300=""),"",IFERROR(IF(INDEX(L_SrcInterne,MATCH(G300,L_Sources,0))="Oui",1,0),""))</f>
        <v/>
      </c>
      <c r="AT300" s="37" t="str">
        <f aca="false">IF(AO300&lt;&gt;1,"",IFERROR(ROUND(IF(OR(N300="",O300=""),"",IF(O300&lt;N300,"",ROUND(((NETWORKDAYS(N300,O300,JoursFeries)-1)*(HFer-HOuv)+IF(NETWORKDAYS(O300,O300,JoursFeries),MEDIAN(MOD(O300,1),HFer,HOuv),HFer)-IF(NETWORKDAYS(N300,N300,JoursFeries),MEDIAN(MOD(N300,1),HFer,HOuv),HOuv))*24,4)))/HJour,4),""))</f>
        <v/>
      </c>
      <c r="AU300" s="37" t="str">
        <f aca="false">IF(AO300&lt;&gt;1,"",IF(OR(O300="",P300=""),"",IF(P300&lt;O300,"",ROUND(((NETWORKDAYS(O300,P300,JoursFeries)-1)*(HFer-HOuv)+IF(NETWORKDAYS(P300,P300,JoursFeries),MEDIAN(MOD(P300,1),HFer,HOuv),HFer)-IF(NETWORKDAYS(O300,O300,JoursFeries),MEDIAN(MOD(O300,1),HFer,HOuv),HOuv))*24,4))))</f>
        <v/>
      </c>
      <c r="AV300" s="37" t="str">
        <f aca="false">IF(AO300&lt;&gt;1,"",IF(OR(P300="",Q300=""),"",IF(Q300&lt;P300,"",ROUND(((NETWORKDAYS(P300,Q300,JoursFeries)-1)*(HFer-HOuv)+IF(NETWORKDAYS(Q300,Q300,JoursFeries),MEDIAN(MOD(Q300,1),HFer,HOuv),HFer)-IF(NETWORKDAYS(P300,P300,JoursFeries),MEDIAN(MOD(P300,1),HFer,HOuv),HOuv))*24,4))))</f>
        <v/>
      </c>
      <c r="AW300" s="37" t="str">
        <f aca="false">IF(AO300&lt;&gt;1,"",IFERROR(ROUND(IF(OR(P300="",R300=""),"",IF(R300&lt;P300,"",ROUND(((NETWORKDAYS(P300,R300,JoursFeries)-1)*(HFer-HOuv)+IF(NETWORKDAYS(R300,R300,JoursFeries),MEDIAN(MOD(R300,1),HFer,HOuv),HFer)-IF(NETWORKDAYS(P300,P300,JoursFeries),MEDIAN(MOD(P300,1),HFer,HOuv),HOuv))*24,4)))/HJour,4),""))</f>
        <v/>
      </c>
      <c r="AX300" s="37" t="str">
        <f aca="false">IF(AO300&lt;&gt;1,"",IFERROR(ROUND(IF(OR(P300="",S300=""),"",IF(S300&lt;P300,"",ROUND(((NETWORKDAYS(P300,S300,JoursFeries)-1)*(HFer-HOuv)+IF(NETWORKDAYS(S300,S300,JoursFeries),MEDIAN(MOD(S300,1),HFer,HOuv),HFer)-IF(NETWORKDAYS(P300,P300,JoursFeries),MEDIAN(MOD(P300,1),HFer,HOuv),HOuv))*24,4)))/HJour,4),""))</f>
        <v/>
      </c>
      <c r="AY300" s="36" t="str">
        <f aca="false">IF(OR(AO300&lt;&gt;1,AR300=""),"",INDEX(SLA_PEC,AR300))</f>
        <v/>
      </c>
      <c r="AZ300" s="35" t="str">
        <f aca="false">IF(OR(AV300="",AY300=""),"",IF(AV300&lt;=AY300,1,0))</f>
        <v/>
      </c>
      <c r="BA300" s="36" t="str">
        <f aca="false">IF(OR(AO300&lt;&gt;1,AR300=""),"",INDEX(SLA_RES,AR300))</f>
        <v/>
      </c>
      <c r="BB300" s="35" t="str">
        <f aca="false">IF(OR(AW300="",BA300=""),"",IF(AW300&lt;=BA300,1,0))</f>
        <v/>
      </c>
      <c r="BC300" s="38" t="str">
        <f aca="false">IF(OR(BA300="",P300=""),"",WORKDAY(INT(P300),BA300,JoursFeries)+MOD(P300,1))</f>
        <v/>
      </c>
      <c r="BD300" s="39" t="str">
        <f aca="false">IF(AO300&lt;&gt;1,"",IF(OR(AB300&lt;&gt;"",AD300&lt;&gt;""),4,IF(U300&lt;&gt;"",3,IF(T300&lt;&gt;"",2,1))))</f>
        <v/>
      </c>
      <c r="BE300" s="39" t="str">
        <f aca="false">IF(OR(AO300&lt;&gt;1,AR300=""),"",INDEX(NIV_REQ,AR300))</f>
        <v/>
      </c>
      <c r="BF300" s="39" t="str">
        <f aca="false">IF(BE300="","",MAX(BE300,IF(OR(K300="Oui",Z300="Oui"),4,1)))</f>
        <v/>
      </c>
      <c r="BG300" s="35" t="str">
        <f aca="false">IF(OR(BF300="",BD300=""),"",IF(BD300&gt;=BF300,1,0))</f>
        <v/>
      </c>
      <c r="BH300" s="38" t="str">
        <f aca="false">IF(BE300="","",IF(BE300&lt;2,"",IF(BE300=2,IF(AND(T300="",U300=""),"",MIN(T300,U300)),IF(U300="","",U300))))</f>
        <v/>
      </c>
      <c r="BI300" s="37" t="str">
        <f aca="false">IF(BH300="","",IF(OR(O300="",BH300=""),"",IF(BH300&lt;O300,"",ROUND(((NETWORKDAYS(O300,BH300,JoursFeries)-1)*(HFer-HOuv)+IF(NETWORKDAYS(BH300,BH300,JoursFeries),MEDIAN(MOD(BH300,1),HFer,HOuv),HFer)-IF(NETWORKDAYS(O300,O300,JoursFeries),MEDIAN(MOD(O300,1),HFer,HOuv),HOuv))*24,4))))</f>
        <v/>
      </c>
      <c r="BJ300" s="35" t="str">
        <f aca="false">IF(OR(BI300="",AR300=""),"",IF(BI300&lt;=INDEX(DELAI_ESC,AR300),1,0))</f>
        <v/>
      </c>
      <c r="BK300" s="38" t="str">
        <f aca="false">IF(AO300&lt;&gt;1,"",IF(AND(T300="",U300=""),"",MIN(T300,U300)))</f>
        <v/>
      </c>
      <c r="BL300" s="37" t="str">
        <f aca="false">IF(OR(BK300="",R300=""),"",IFERROR(ROUND(IF(OR(BK300="",R300=""),"",IF(R300&lt;BK300,"",ROUND(((NETWORKDAYS(BK300,R300,JoursFeries)-1)*(HFer-HOuv)+IF(NETWORKDAYS(R300,R300,JoursFeries),MEDIAN(MOD(R300,1),HFer,HOuv),HFer)-IF(NETWORKDAYS(BK300,BK300,JoursFeries),MEDIAN(MOD(BK300,1),HFer,HOuv),HOuv))*24,4)))/HJour,4),""))</f>
        <v/>
      </c>
      <c r="BM300" s="35" t="str">
        <f aca="false">IF(OR(AO300&lt;&gt;1,R300=""),"",IF(BD300=1,1,0))</f>
        <v/>
      </c>
      <c r="BN300" s="35" t="str">
        <f aca="false">IF(AO300&lt;&gt;1,"",IF(W300="Oui",1,0))</f>
        <v/>
      </c>
      <c r="BO300" s="35" t="str">
        <f aca="false">IF(AO300&lt;&gt;1,"",IF(X300&lt;&gt;"",1,0))</f>
        <v/>
      </c>
      <c r="BP300" s="35" t="str">
        <f aca="false">IF(AO300&lt;&gt;1,"",IF(Y300="Oui",1,0))</f>
        <v/>
      </c>
      <c r="BQ300" s="35" t="str">
        <f aca="true">IF(OR(AO300&lt;&gt;1,Z300&lt;&gt;"Oui"),"",IF(AB300="",IF(AND(AA300&lt;&gt;"",NOW()&gt;AA300),0,""),IF(AA300="","",IF(AB300&lt;=AA300,1,0))))</f>
        <v/>
      </c>
      <c r="BR300" s="38" t="str">
        <f aca="false">IF(OR(AO300&lt;&gt;1,K300&lt;&gt;"Oui",O300=""),"",IF(AC300="",O300+DORA_H_DET/24,IF(AC300-O300&lt;=DORA_H_DET/24,MIN(AC300+DORA_H_CLA/24,O300+DORA_H_DET/24),AC300+DORA_H_CLA/24)))</f>
        <v/>
      </c>
      <c r="BS300" s="35" t="str">
        <f aca="true">IF(BR300="","",IF(AD300="",IF(NOW()&gt;BR300,0,""),IF(AD300&lt;=BR300,1,0)))</f>
        <v/>
      </c>
      <c r="BT300" s="35" t="str">
        <f aca="true">IF(OR(BR300="",AD300=""),"",IF(AE300="",IF(NOW()&gt;AD300+DORA_H_INT/24,0,""),IF(AE300&lt;=AD300+DORA_H_INT/24,1,0)))</f>
        <v/>
      </c>
      <c r="BU300" s="35" t="str">
        <f aca="true">IF(OR(BR300="",AE300=""),"",IF(AF300="",IF(NOW()&gt;EDATE(AE300,DORA_M_FIN)+1,0,""),IF(AF300&lt;=EDATE(AE300,DORA_M_FIN),1,0)))</f>
        <v/>
      </c>
      <c r="BV300" s="35" t="str">
        <f aca="false">IF(BR300="","",IF(COUNT(BS300:BU300)=0,"",MIN(BS300:BU300)))</f>
        <v/>
      </c>
      <c r="BW300" s="40" t="str">
        <f aca="false">IF(AQ300&lt;&gt;1,"",IF(AND(AG300="",AH300=""),"",N(AG300)-N(AH300)))</f>
        <v/>
      </c>
      <c r="BX300" s="35" t="str">
        <f aca="true">IF(OR(AQ300&lt;&gt;1,AI300&lt;&gt;"Oui",AJ300=""),"",IF(AK300="",IF(NOW()&gt;AJ300+1,0,""),IF(AK300&lt;=AJ300,1,0)))</f>
        <v/>
      </c>
    </row>
    <row r="301" customFormat="false" ht="15" hidden="false" customHeight="false" outlineLevel="0" collapsed="false">
      <c r="B301" s="29"/>
      <c r="C301" s="29"/>
      <c r="D301" s="29"/>
      <c r="E301" s="29"/>
      <c r="F301" s="29"/>
      <c r="G301" s="29"/>
      <c r="H301" s="29"/>
      <c r="I301" s="29"/>
      <c r="J301" s="29"/>
      <c r="K301" s="29"/>
      <c r="L301" s="29"/>
      <c r="M301" s="29"/>
      <c r="N301" s="30"/>
      <c r="O301" s="30"/>
      <c r="P301" s="30"/>
      <c r="Q301" s="30"/>
      <c r="R301" s="30"/>
      <c r="S301" s="30"/>
      <c r="T301" s="30"/>
      <c r="U301" s="30"/>
      <c r="V301" s="31"/>
      <c r="W301" s="29"/>
      <c r="X301" s="29"/>
      <c r="Y301" s="29"/>
      <c r="Z301" s="29"/>
      <c r="AA301" s="30"/>
      <c r="AB301" s="30"/>
      <c r="AC301" s="30"/>
      <c r="AD301" s="30"/>
      <c r="AE301" s="30"/>
      <c r="AF301" s="32"/>
      <c r="AG301" s="33"/>
      <c r="AH301" s="33"/>
      <c r="AI301" s="29"/>
      <c r="AJ301" s="32"/>
      <c r="AK301" s="32"/>
      <c r="AL301" s="29"/>
      <c r="AN301" s="34" t="str">
        <f aca="false">IF($B301="","",IF(OR(C301="",D301="",E301="",G301="",I301="",J301="",L301="",O301="",P301=""),"Champ obligatoire manquant",IF(OR(AND(N301&lt;&gt;"",N301&gt;O301),O301&gt;P301,AND(Q301&lt;&gt;"",Q301&lt;P301),AND(R301&lt;&gt;"",R301&lt;P301),AND(S301&lt;&gt;"",S301&lt;R301),AND(S301&lt;&gt;"",R301=""),AND(T301&lt;&gt;"",T301&lt;O301),AND(U301&lt;&gt;"",U301&lt;O301)),"Chronologie incohérente",IF(AND(OR(L301="Résolu",L301="Clos"),R301=""),"Date de résolution manquante",IF(AND(L301="Clos",S301=""),"Date de clôture manquante",IF(AND(K301="Oui",AC301=""),"Classification DORA manquante","OK"))))))</f>
        <v/>
      </c>
      <c r="AO301" s="35" t="str">
        <f aca="false">IF($B301="","",IF(AND(C301="Incident",L301&lt;&gt;"Annulé"),1,0))</f>
        <v/>
      </c>
      <c r="AP301" s="35" t="str">
        <f aca="false">IF($B301="","",IF(AND(C301="Quasi-incident",L301&lt;&gt;"Annulé"),1,0))</f>
        <v/>
      </c>
      <c r="AQ301" s="35" t="str">
        <f aca="false">IF($B301="","",AO301+AP301)</f>
        <v/>
      </c>
      <c r="AR301" s="36" t="str">
        <f aca="false">IF(OR($B301="",J301=""),"",IFERROR(VALUE(LEFT(J301,1)),""))</f>
        <v/>
      </c>
      <c r="AS301" s="35" t="str">
        <f aca="false">IF(OR(AO301&lt;&gt;1,G301=""),"",IFERROR(IF(INDEX(L_SrcInterne,MATCH(G301,L_Sources,0))="Oui",1,0),""))</f>
        <v/>
      </c>
      <c r="AT301" s="37" t="str">
        <f aca="false">IF(AO301&lt;&gt;1,"",IFERROR(ROUND(IF(OR(N301="",O301=""),"",IF(O301&lt;N301,"",ROUND(((NETWORKDAYS(N301,O301,JoursFeries)-1)*(HFer-HOuv)+IF(NETWORKDAYS(O301,O301,JoursFeries),MEDIAN(MOD(O301,1),HFer,HOuv),HFer)-IF(NETWORKDAYS(N301,N301,JoursFeries),MEDIAN(MOD(N301,1),HFer,HOuv),HOuv))*24,4)))/HJour,4),""))</f>
        <v/>
      </c>
      <c r="AU301" s="37" t="str">
        <f aca="false">IF(AO301&lt;&gt;1,"",IF(OR(O301="",P301=""),"",IF(P301&lt;O301,"",ROUND(((NETWORKDAYS(O301,P301,JoursFeries)-1)*(HFer-HOuv)+IF(NETWORKDAYS(P301,P301,JoursFeries),MEDIAN(MOD(P301,1),HFer,HOuv),HFer)-IF(NETWORKDAYS(O301,O301,JoursFeries),MEDIAN(MOD(O301,1),HFer,HOuv),HOuv))*24,4))))</f>
        <v/>
      </c>
      <c r="AV301" s="37" t="str">
        <f aca="false">IF(AO301&lt;&gt;1,"",IF(OR(P301="",Q301=""),"",IF(Q301&lt;P301,"",ROUND(((NETWORKDAYS(P301,Q301,JoursFeries)-1)*(HFer-HOuv)+IF(NETWORKDAYS(Q301,Q301,JoursFeries),MEDIAN(MOD(Q301,1),HFer,HOuv),HFer)-IF(NETWORKDAYS(P301,P301,JoursFeries),MEDIAN(MOD(P301,1),HFer,HOuv),HOuv))*24,4))))</f>
        <v/>
      </c>
      <c r="AW301" s="37" t="str">
        <f aca="false">IF(AO301&lt;&gt;1,"",IFERROR(ROUND(IF(OR(P301="",R301=""),"",IF(R301&lt;P301,"",ROUND(((NETWORKDAYS(P301,R301,JoursFeries)-1)*(HFer-HOuv)+IF(NETWORKDAYS(R301,R301,JoursFeries),MEDIAN(MOD(R301,1),HFer,HOuv),HFer)-IF(NETWORKDAYS(P301,P301,JoursFeries),MEDIAN(MOD(P301,1),HFer,HOuv),HOuv))*24,4)))/HJour,4),""))</f>
        <v/>
      </c>
      <c r="AX301" s="37" t="str">
        <f aca="false">IF(AO301&lt;&gt;1,"",IFERROR(ROUND(IF(OR(P301="",S301=""),"",IF(S301&lt;P301,"",ROUND(((NETWORKDAYS(P301,S301,JoursFeries)-1)*(HFer-HOuv)+IF(NETWORKDAYS(S301,S301,JoursFeries),MEDIAN(MOD(S301,1),HFer,HOuv),HFer)-IF(NETWORKDAYS(P301,P301,JoursFeries),MEDIAN(MOD(P301,1),HFer,HOuv),HOuv))*24,4)))/HJour,4),""))</f>
        <v/>
      </c>
      <c r="AY301" s="36" t="str">
        <f aca="false">IF(OR(AO301&lt;&gt;1,AR301=""),"",INDEX(SLA_PEC,AR301))</f>
        <v/>
      </c>
      <c r="AZ301" s="35" t="str">
        <f aca="false">IF(OR(AV301="",AY301=""),"",IF(AV301&lt;=AY301,1,0))</f>
        <v/>
      </c>
      <c r="BA301" s="36" t="str">
        <f aca="false">IF(OR(AO301&lt;&gt;1,AR301=""),"",INDEX(SLA_RES,AR301))</f>
        <v/>
      </c>
      <c r="BB301" s="35" t="str">
        <f aca="false">IF(OR(AW301="",BA301=""),"",IF(AW301&lt;=BA301,1,0))</f>
        <v/>
      </c>
      <c r="BC301" s="38" t="str">
        <f aca="false">IF(OR(BA301="",P301=""),"",WORKDAY(INT(P301),BA301,JoursFeries)+MOD(P301,1))</f>
        <v/>
      </c>
      <c r="BD301" s="39" t="str">
        <f aca="false">IF(AO301&lt;&gt;1,"",IF(OR(AB301&lt;&gt;"",AD301&lt;&gt;""),4,IF(U301&lt;&gt;"",3,IF(T301&lt;&gt;"",2,1))))</f>
        <v/>
      </c>
      <c r="BE301" s="39" t="str">
        <f aca="false">IF(OR(AO301&lt;&gt;1,AR301=""),"",INDEX(NIV_REQ,AR301))</f>
        <v/>
      </c>
      <c r="BF301" s="39" t="str">
        <f aca="false">IF(BE301="","",MAX(BE301,IF(OR(K301="Oui",Z301="Oui"),4,1)))</f>
        <v/>
      </c>
      <c r="BG301" s="35" t="str">
        <f aca="false">IF(OR(BF301="",BD301=""),"",IF(BD301&gt;=BF301,1,0))</f>
        <v/>
      </c>
      <c r="BH301" s="38" t="str">
        <f aca="false">IF(BE301="","",IF(BE301&lt;2,"",IF(BE301=2,IF(AND(T301="",U301=""),"",MIN(T301,U301)),IF(U301="","",U301))))</f>
        <v/>
      </c>
      <c r="BI301" s="37" t="str">
        <f aca="false">IF(BH301="","",IF(OR(O301="",BH301=""),"",IF(BH301&lt;O301,"",ROUND(((NETWORKDAYS(O301,BH301,JoursFeries)-1)*(HFer-HOuv)+IF(NETWORKDAYS(BH301,BH301,JoursFeries),MEDIAN(MOD(BH301,1),HFer,HOuv),HFer)-IF(NETWORKDAYS(O301,O301,JoursFeries),MEDIAN(MOD(O301,1),HFer,HOuv),HOuv))*24,4))))</f>
        <v/>
      </c>
      <c r="BJ301" s="35" t="str">
        <f aca="false">IF(OR(BI301="",AR301=""),"",IF(BI301&lt;=INDEX(DELAI_ESC,AR301),1,0))</f>
        <v/>
      </c>
      <c r="BK301" s="38" t="str">
        <f aca="false">IF(AO301&lt;&gt;1,"",IF(AND(T301="",U301=""),"",MIN(T301,U301)))</f>
        <v/>
      </c>
      <c r="BL301" s="37" t="str">
        <f aca="false">IF(OR(BK301="",R301=""),"",IFERROR(ROUND(IF(OR(BK301="",R301=""),"",IF(R301&lt;BK301,"",ROUND(((NETWORKDAYS(BK301,R301,JoursFeries)-1)*(HFer-HOuv)+IF(NETWORKDAYS(R301,R301,JoursFeries),MEDIAN(MOD(R301,1),HFer,HOuv),HFer)-IF(NETWORKDAYS(BK301,BK301,JoursFeries),MEDIAN(MOD(BK301,1),HFer,HOuv),HOuv))*24,4)))/HJour,4),""))</f>
        <v/>
      </c>
      <c r="BM301" s="35" t="str">
        <f aca="false">IF(OR(AO301&lt;&gt;1,R301=""),"",IF(BD301=1,1,0))</f>
        <v/>
      </c>
      <c r="BN301" s="35" t="str">
        <f aca="false">IF(AO301&lt;&gt;1,"",IF(W301="Oui",1,0))</f>
        <v/>
      </c>
      <c r="BO301" s="35" t="str">
        <f aca="false">IF(AO301&lt;&gt;1,"",IF(X301&lt;&gt;"",1,0))</f>
        <v/>
      </c>
      <c r="BP301" s="35" t="str">
        <f aca="false">IF(AO301&lt;&gt;1,"",IF(Y301="Oui",1,0))</f>
        <v/>
      </c>
      <c r="BQ301" s="35" t="str">
        <f aca="true">IF(OR(AO301&lt;&gt;1,Z301&lt;&gt;"Oui"),"",IF(AB301="",IF(AND(AA301&lt;&gt;"",NOW()&gt;AA301),0,""),IF(AA301="","",IF(AB301&lt;=AA301,1,0))))</f>
        <v/>
      </c>
      <c r="BR301" s="38" t="str">
        <f aca="false">IF(OR(AO301&lt;&gt;1,K301&lt;&gt;"Oui",O301=""),"",IF(AC301="",O301+DORA_H_DET/24,IF(AC301-O301&lt;=DORA_H_DET/24,MIN(AC301+DORA_H_CLA/24,O301+DORA_H_DET/24),AC301+DORA_H_CLA/24)))</f>
        <v/>
      </c>
      <c r="BS301" s="35" t="str">
        <f aca="true">IF(BR301="","",IF(AD301="",IF(NOW()&gt;BR301,0,""),IF(AD301&lt;=BR301,1,0)))</f>
        <v/>
      </c>
      <c r="BT301" s="35" t="str">
        <f aca="true">IF(OR(BR301="",AD301=""),"",IF(AE301="",IF(NOW()&gt;AD301+DORA_H_INT/24,0,""),IF(AE301&lt;=AD301+DORA_H_INT/24,1,0)))</f>
        <v/>
      </c>
      <c r="BU301" s="35" t="str">
        <f aca="true">IF(OR(BR301="",AE301=""),"",IF(AF301="",IF(NOW()&gt;EDATE(AE301,DORA_M_FIN)+1,0,""),IF(AF301&lt;=EDATE(AE301,DORA_M_FIN),1,0)))</f>
        <v/>
      </c>
      <c r="BV301" s="35" t="str">
        <f aca="false">IF(BR301="","",IF(COUNT(BS301:BU301)=0,"",MIN(BS301:BU301)))</f>
        <v/>
      </c>
      <c r="BW301" s="40" t="str">
        <f aca="false">IF(AQ301&lt;&gt;1,"",IF(AND(AG301="",AH301=""),"",N(AG301)-N(AH301)))</f>
        <v/>
      </c>
      <c r="BX301" s="35" t="str">
        <f aca="true">IF(OR(AQ301&lt;&gt;1,AI301&lt;&gt;"Oui",AJ301=""),"",IF(AK301="",IF(NOW()&gt;AJ301+1,0,""),IF(AK301&lt;=AJ301,1,0)))</f>
        <v/>
      </c>
    </row>
    <row r="302" customFormat="false" ht="15" hidden="false" customHeight="false" outlineLevel="0" collapsed="false">
      <c r="B302" s="29"/>
      <c r="C302" s="29"/>
      <c r="D302" s="29"/>
      <c r="E302" s="29"/>
      <c r="F302" s="29"/>
      <c r="G302" s="29"/>
      <c r="H302" s="29"/>
      <c r="I302" s="29"/>
      <c r="J302" s="29"/>
      <c r="K302" s="29"/>
      <c r="L302" s="29"/>
      <c r="M302" s="29"/>
      <c r="N302" s="30"/>
      <c r="O302" s="30"/>
      <c r="P302" s="30"/>
      <c r="Q302" s="30"/>
      <c r="R302" s="30"/>
      <c r="S302" s="30"/>
      <c r="T302" s="30"/>
      <c r="U302" s="30"/>
      <c r="V302" s="31"/>
      <c r="W302" s="29"/>
      <c r="X302" s="29"/>
      <c r="Y302" s="29"/>
      <c r="Z302" s="29"/>
      <c r="AA302" s="30"/>
      <c r="AB302" s="30"/>
      <c r="AC302" s="30"/>
      <c r="AD302" s="30"/>
      <c r="AE302" s="30"/>
      <c r="AF302" s="32"/>
      <c r="AG302" s="33"/>
      <c r="AH302" s="33"/>
      <c r="AI302" s="29"/>
      <c r="AJ302" s="32"/>
      <c r="AK302" s="32"/>
      <c r="AL302" s="29"/>
      <c r="AN302" s="34" t="str">
        <f aca="false">IF($B302="","",IF(OR(C302="",D302="",E302="",G302="",I302="",J302="",L302="",O302="",P302=""),"Champ obligatoire manquant",IF(OR(AND(N302&lt;&gt;"",N302&gt;O302),O302&gt;P302,AND(Q302&lt;&gt;"",Q302&lt;P302),AND(R302&lt;&gt;"",R302&lt;P302),AND(S302&lt;&gt;"",S302&lt;R302),AND(S302&lt;&gt;"",R302=""),AND(T302&lt;&gt;"",T302&lt;O302),AND(U302&lt;&gt;"",U302&lt;O302)),"Chronologie incohérente",IF(AND(OR(L302="Résolu",L302="Clos"),R302=""),"Date de résolution manquante",IF(AND(L302="Clos",S302=""),"Date de clôture manquante",IF(AND(K302="Oui",AC302=""),"Classification DORA manquante","OK"))))))</f>
        <v/>
      </c>
      <c r="AO302" s="35" t="str">
        <f aca="false">IF($B302="","",IF(AND(C302="Incident",L302&lt;&gt;"Annulé"),1,0))</f>
        <v/>
      </c>
      <c r="AP302" s="35" t="str">
        <f aca="false">IF($B302="","",IF(AND(C302="Quasi-incident",L302&lt;&gt;"Annulé"),1,0))</f>
        <v/>
      </c>
      <c r="AQ302" s="35" t="str">
        <f aca="false">IF($B302="","",AO302+AP302)</f>
        <v/>
      </c>
      <c r="AR302" s="36" t="str">
        <f aca="false">IF(OR($B302="",J302=""),"",IFERROR(VALUE(LEFT(J302,1)),""))</f>
        <v/>
      </c>
      <c r="AS302" s="35" t="str">
        <f aca="false">IF(OR(AO302&lt;&gt;1,G302=""),"",IFERROR(IF(INDEX(L_SrcInterne,MATCH(G302,L_Sources,0))="Oui",1,0),""))</f>
        <v/>
      </c>
      <c r="AT302" s="37" t="str">
        <f aca="false">IF(AO302&lt;&gt;1,"",IFERROR(ROUND(IF(OR(N302="",O302=""),"",IF(O302&lt;N302,"",ROUND(((NETWORKDAYS(N302,O302,JoursFeries)-1)*(HFer-HOuv)+IF(NETWORKDAYS(O302,O302,JoursFeries),MEDIAN(MOD(O302,1),HFer,HOuv),HFer)-IF(NETWORKDAYS(N302,N302,JoursFeries),MEDIAN(MOD(N302,1),HFer,HOuv),HOuv))*24,4)))/HJour,4),""))</f>
        <v/>
      </c>
      <c r="AU302" s="37" t="str">
        <f aca="false">IF(AO302&lt;&gt;1,"",IF(OR(O302="",P302=""),"",IF(P302&lt;O302,"",ROUND(((NETWORKDAYS(O302,P302,JoursFeries)-1)*(HFer-HOuv)+IF(NETWORKDAYS(P302,P302,JoursFeries),MEDIAN(MOD(P302,1),HFer,HOuv),HFer)-IF(NETWORKDAYS(O302,O302,JoursFeries),MEDIAN(MOD(O302,1),HFer,HOuv),HOuv))*24,4))))</f>
        <v/>
      </c>
      <c r="AV302" s="37" t="str">
        <f aca="false">IF(AO302&lt;&gt;1,"",IF(OR(P302="",Q302=""),"",IF(Q302&lt;P302,"",ROUND(((NETWORKDAYS(P302,Q302,JoursFeries)-1)*(HFer-HOuv)+IF(NETWORKDAYS(Q302,Q302,JoursFeries),MEDIAN(MOD(Q302,1),HFer,HOuv),HFer)-IF(NETWORKDAYS(P302,P302,JoursFeries),MEDIAN(MOD(P302,1),HFer,HOuv),HOuv))*24,4))))</f>
        <v/>
      </c>
      <c r="AW302" s="37" t="str">
        <f aca="false">IF(AO302&lt;&gt;1,"",IFERROR(ROUND(IF(OR(P302="",R302=""),"",IF(R302&lt;P302,"",ROUND(((NETWORKDAYS(P302,R302,JoursFeries)-1)*(HFer-HOuv)+IF(NETWORKDAYS(R302,R302,JoursFeries),MEDIAN(MOD(R302,1),HFer,HOuv),HFer)-IF(NETWORKDAYS(P302,P302,JoursFeries),MEDIAN(MOD(P302,1),HFer,HOuv),HOuv))*24,4)))/HJour,4),""))</f>
        <v/>
      </c>
      <c r="AX302" s="37" t="str">
        <f aca="false">IF(AO302&lt;&gt;1,"",IFERROR(ROUND(IF(OR(P302="",S302=""),"",IF(S302&lt;P302,"",ROUND(((NETWORKDAYS(P302,S302,JoursFeries)-1)*(HFer-HOuv)+IF(NETWORKDAYS(S302,S302,JoursFeries),MEDIAN(MOD(S302,1),HFer,HOuv),HFer)-IF(NETWORKDAYS(P302,P302,JoursFeries),MEDIAN(MOD(P302,1),HFer,HOuv),HOuv))*24,4)))/HJour,4),""))</f>
        <v/>
      </c>
      <c r="AY302" s="36" t="str">
        <f aca="false">IF(OR(AO302&lt;&gt;1,AR302=""),"",INDEX(SLA_PEC,AR302))</f>
        <v/>
      </c>
      <c r="AZ302" s="35" t="str">
        <f aca="false">IF(OR(AV302="",AY302=""),"",IF(AV302&lt;=AY302,1,0))</f>
        <v/>
      </c>
      <c r="BA302" s="36" t="str">
        <f aca="false">IF(OR(AO302&lt;&gt;1,AR302=""),"",INDEX(SLA_RES,AR302))</f>
        <v/>
      </c>
      <c r="BB302" s="35" t="str">
        <f aca="false">IF(OR(AW302="",BA302=""),"",IF(AW302&lt;=BA302,1,0))</f>
        <v/>
      </c>
      <c r="BC302" s="38" t="str">
        <f aca="false">IF(OR(BA302="",P302=""),"",WORKDAY(INT(P302),BA302,JoursFeries)+MOD(P302,1))</f>
        <v/>
      </c>
      <c r="BD302" s="39" t="str">
        <f aca="false">IF(AO302&lt;&gt;1,"",IF(OR(AB302&lt;&gt;"",AD302&lt;&gt;""),4,IF(U302&lt;&gt;"",3,IF(T302&lt;&gt;"",2,1))))</f>
        <v/>
      </c>
      <c r="BE302" s="39" t="str">
        <f aca="false">IF(OR(AO302&lt;&gt;1,AR302=""),"",INDEX(NIV_REQ,AR302))</f>
        <v/>
      </c>
      <c r="BF302" s="39" t="str">
        <f aca="false">IF(BE302="","",MAX(BE302,IF(OR(K302="Oui",Z302="Oui"),4,1)))</f>
        <v/>
      </c>
      <c r="BG302" s="35" t="str">
        <f aca="false">IF(OR(BF302="",BD302=""),"",IF(BD302&gt;=BF302,1,0))</f>
        <v/>
      </c>
      <c r="BH302" s="38" t="str">
        <f aca="false">IF(BE302="","",IF(BE302&lt;2,"",IF(BE302=2,IF(AND(T302="",U302=""),"",MIN(T302,U302)),IF(U302="","",U302))))</f>
        <v/>
      </c>
      <c r="BI302" s="37" t="str">
        <f aca="false">IF(BH302="","",IF(OR(O302="",BH302=""),"",IF(BH302&lt;O302,"",ROUND(((NETWORKDAYS(O302,BH302,JoursFeries)-1)*(HFer-HOuv)+IF(NETWORKDAYS(BH302,BH302,JoursFeries),MEDIAN(MOD(BH302,1),HFer,HOuv),HFer)-IF(NETWORKDAYS(O302,O302,JoursFeries),MEDIAN(MOD(O302,1),HFer,HOuv),HOuv))*24,4))))</f>
        <v/>
      </c>
      <c r="BJ302" s="35" t="str">
        <f aca="false">IF(OR(BI302="",AR302=""),"",IF(BI302&lt;=INDEX(DELAI_ESC,AR302),1,0))</f>
        <v/>
      </c>
      <c r="BK302" s="38" t="str">
        <f aca="false">IF(AO302&lt;&gt;1,"",IF(AND(T302="",U302=""),"",MIN(T302,U302)))</f>
        <v/>
      </c>
      <c r="BL302" s="37" t="str">
        <f aca="false">IF(OR(BK302="",R302=""),"",IFERROR(ROUND(IF(OR(BK302="",R302=""),"",IF(R302&lt;BK302,"",ROUND(((NETWORKDAYS(BK302,R302,JoursFeries)-1)*(HFer-HOuv)+IF(NETWORKDAYS(R302,R302,JoursFeries),MEDIAN(MOD(R302,1),HFer,HOuv),HFer)-IF(NETWORKDAYS(BK302,BK302,JoursFeries),MEDIAN(MOD(BK302,1),HFer,HOuv),HOuv))*24,4)))/HJour,4),""))</f>
        <v/>
      </c>
      <c r="BM302" s="35" t="str">
        <f aca="false">IF(OR(AO302&lt;&gt;1,R302=""),"",IF(BD302=1,1,0))</f>
        <v/>
      </c>
      <c r="BN302" s="35" t="str">
        <f aca="false">IF(AO302&lt;&gt;1,"",IF(W302="Oui",1,0))</f>
        <v/>
      </c>
      <c r="BO302" s="35" t="str">
        <f aca="false">IF(AO302&lt;&gt;1,"",IF(X302&lt;&gt;"",1,0))</f>
        <v/>
      </c>
      <c r="BP302" s="35" t="str">
        <f aca="false">IF(AO302&lt;&gt;1,"",IF(Y302="Oui",1,0))</f>
        <v/>
      </c>
      <c r="BQ302" s="35" t="str">
        <f aca="true">IF(OR(AO302&lt;&gt;1,Z302&lt;&gt;"Oui"),"",IF(AB302="",IF(AND(AA302&lt;&gt;"",NOW()&gt;AA302),0,""),IF(AA302="","",IF(AB302&lt;=AA302,1,0))))</f>
        <v/>
      </c>
      <c r="BR302" s="38" t="str">
        <f aca="false">IF(OR(AO302&lt;&gt;1,K302&lt;&gt;"Oui",O302=""),"",IF(AC302="",O302+DORA_H_DET/24,IF(AC302-O302&lt;=DORA_H_DET/24,MIN(AC302+DORA_H_CLA/24,O302+DORA_H_DET/24),AC302+DORA_H_CLA/24)))</f>
        <v/>
      </c>
      <c r="BS302" s="35" t="str">
        <f aca="true">IF(BR302="","",IF(AD302="",IF(NOW()&gt;BR302,0,""),IF(AD302&lt;=BR302,1,0)))</f>
        <v/>
      </c>
      <c r="BT302" s="35" t="str">
        <f aca="true">IF(OR(BR302="",AD302=""),"",IF(AE302="",IF(NOW()&gt;AD302+DORA_H_INT/24,0,""),IF(AE302&lt;=AD302+DORA_H_INT/24,1,0)))</f>
        <v/>
      </c>
      <c r="BU302" s="35" t="str">
        <f aca="true">IF(OR(BR302="",AE302=""),"",IF(AF302="",IF(NOW()&gt;EDATE(AE302,DORA_M_FIN)+1,0,""),IF(AF302&lt;=EDATE(AE302,DORA_M_FIN),1,0)))</f>
        <v/>
      </c>
      <c r="BV302" s="35" t="str">
        <f aca="false">IF(BR302="","",IF(COUNT(BS302:BU302)=0,"",MIN(BS302:BU302)))</f>
        <v/>
      </c>
      <c r="BW302" s="40" t="str">
        <f aca="false">IF(AQ302&lt;&gt;1,"",IF(AND(AG302="",AH302=""),"",N(AG302)-N(AH302)))</f>
        <v/>
      </c>
      <c r="BX302" s="35" t="str">
        <f aca="true">IF(OR(AQ302&lt;&gt;1,AI302&lt;&gt;"Oui",AJ302=""),"",IF(AK302="",IF(NOW()&gt;AJ302+1,0,""),IF(AK302&lt;=AJ302,1,0)))</f>
        <v/>
      </c>
    </row>
    <row r="303" customFormat="false" ht="15" hidden="false" customHeight="false" outlineLevel="0" collapsed="false">
      <c r="B303" s="29"/>
      <c r="C303" s="29"/>
      <c r="D303" s="29"/>
      <c r="E303" s="29"/>
      <c r="F303" s="29"/>
      <c r="G303" s="29"/>
      <c r="H303" s="29"/>
      <c r="I303" s="29"/>
      <c r="J303" s="29"/>
      <c r="K303" s="29"/>
      <c r="L303" s="29"/>
      <c r="M303" s="29"/>
      <c r="N303" s="30"/>
      <c r="O303" s="30"/>
      <c r="P303" s="30"/>
      <c r="Q303" s="30"/>
      <c r="R303" s="30"/>
      <c r="S303" s="30"/>
      <c r="T303" s="30"/>
      <c r="U303" s="30"/>
      <c r="V303" s="31"/>
      <c r="W303" s="29"/>
      <c r="X303" s="29"/>
      <c r="Y303" s="29"/>
      <c r="Z303" s="29"/>
      <c r="AA303" s="30"/>
      <c r="AB303" s="30"/>
      <c r="AC303" s="30"/>
      <c r="AD303" s="30"/>
      <c r="AE303" s="30"/>
      <c r="AF303" s="32"/>
      <c r="AG303" s="33"/>
      <c r="AH303" s="33"/>
      <c r="AI303" s="29"/>
      <c r="AJ303" s="32"/>
      <c r="AK303" s="32"/>
      <c r="AL303" s="29"/>
      <c r="AN303" s="34" t="str">
        <f aca="false">IF($B303="","",IF(OR(C303="",D303="",E303="",G303="",I303="",J303="",L303="",O303="",P303=""),"Champ obligatoire manquant",IF(OR(AND(N303&lt;&gt;"",N303&gt;O303),O303&gt;P303,AND(Q303&lt;&gt;"",Q303&lt;P303),AND(R303&lt;&gt;"",R303&lt;P303),AND(S303&lt;&gt;"",S303&lt;R303),AND(S303&lt;&gt;"",R303=""),AND(T303&lt;&gt;"",T303&lt;O303),AND(U303&lt;&gt;"",U303&lt;O303)),"Chronologie incohérente",IF(AND(OR(L303="Résolu",L303="Clos"),R303=""),"Date de résolution manquante",IF(AND(L303="Clos",S303=""),"Date de clôture manquante",IF(AND(K303="Oui",AC303=""),"Classification DORA manquante","OK"))))))</f>
        <v/>
      </c>
      <c r="AO303" s="35" t="str">
        <f aca="false">IF($B303="","",IF(AND(C303="Incident",L303&lt;&gt;"Annulé"),1,0))</f>
        <v/>
      </c>
      <c r="AP303" s="35" t="str">
        <f aca="false">IF($B303="","",IF(AND(C303="Quasi-incident",L303&lt;&gt;"Annulé"),1,0))</f>
        <v/>
      </c>
      <c r="AQ303" s="35" t="str">
        <f aca="false">IF($B303="","",AO303+AP303)</f>
        <v/>
      </c>
      <c r="AR303" s="36" t="str">
        <f aca="false">IF(OR($B303="",J303=""),"",IFERROR(VALUE(LEFT(J303,1)),""))</f>
        <v/>
      </c>
      <c r="AS303" s="35" t="str">
        <f aca="false">IF(OR(AO303&lt;&gt;1,G303=""),"",IFERROR(IF(INDEX(L_SrcInterne,MATCH(G303,L_Sources,0))="Oui",1,0),""))</f>
        <v/>
      </c>
      <c r="AT303" s="37" t="str">
        <f aca="false">IF(AO303&lt;&gt;1,"",IFERROR(ROUND(IF(OR(N303="",O303=""),"",IF(O303&lt;N303,"",ROUND(((NETWORKDAYS(N303,O303,JoursFeries)-1)*(HFer-HOuv)+IF(NETWORKDAYS(O303,O303,JoursFeries),MEDIAN(MOD(O303,1),HFer,HOuv),HFer)-IF(NETWORKDAYS(N303,N303,JoursFeries),MEDIAN(MOD(N303,1),HFer,HOuv),HOuv))*24,4)))/HJour,4),""))</f>
        <v/>
      </c>
      <c r="AU303" s="37" t="str">
        <f aca="false">IF(AO303&lt;&gt;1,"",IF(OR(O303="",P303=""),"",IF(P303&lt;O303,"",ROUND(((NETWORKDAYS(O303,P303,JoursFeries)-1)*(HFer-HOuv)+IF(NETWORKDAYS(P303,P303,JoursFeries),MEDIAN(MOD(P303,1),HFer,HOuv),HFer)-IF(NETWORKDAYS(O303,O303,JoursFeries),MEDIAN(MOD(O303,1),HFer,HOuv),HOuv))*24,4))))</f>
        <v/>
      </c>
      <c r="AV303" s="37" t="str">
        <f aca="false">IF(AO303&lt;&gt;1,"",IF(OR(P303="",Q303=""),"",IF(Q303&lt;P303,"",ROUND(((NETWORKDAYS(P303,Q303,JoursFeries)-1)*(HFer-HOuv)+IF(NETWORKDAYS(Q303,Q303,JoursFeries),MEDIAN(MOD(Q303,1),HFer,HOuv),HFer)-IF(NETWORKDAYS(P303,P303,JoursFeries),MEDIAN(MOD(P303,1),HFer,HOuv),HOuv))*24,4))))</f>
        <v/>
      </c>
      <c r="AW303" s="37" t="str">
        <f aca="false">IF(AO303&lt;&gt;1,"",IFERROR(ROUND(IF(OR(P303="",R303=""),"",IF(R303&lt;P303,"",ROUND(((NETWORKDAYS(P303,R303,JoursFeries)-1)*(HFer-HOuv)+IF(NETWORKDAYS(R303,R303,JoursFeries),MEDIAN(MOD(R303,1),HFer,HOuv),HFer)-IF(NETWORKDAYS(P303,P303,JoursFeries),MEDIAN(MOD(P303,1),HFer,HOuv),HOuv))*24,4)))/HJour,4),""))</f>
        <v/>
      </c>
      <c r="AX303" s="37" t="str">
        <f aca="false">IF(AO303&lt;&gt;1,"",IFERROR(ROUND(IF(OR(P303="",S303=""),"",IF(S303&lt;P303,"",ROUND(((NETWORKDAYS(P303,S303,JoursFeries)-1)*(HFer-HOuv)+IF(NETWORKDAYS(S303,S303,JoursFeries),MEDIAN(MOD(S303,1),HFer,HOuv),HFer)-IF(NETWORKDAYS(P303,P303,JoursFeries),MEDIAN(MOD(P303,1),HFer,HOuv),HOuv))*24,4)))/HJour,4),""))</f>
        <v/>
      </c>
      <c r="AY303" s="36" t="str">
        <f aca="false">IF(OR(AO303&lt;&gt;1,AR303=""),"",INDEX(SLA_PEC,AR303))</f>
        <v/>
      </c>
      <c r="AZ303" s="35" t="str">
        <f aca="false">IF(OR(AV303="",AY303=""),"",IF(AV303&lt;=AY303,1,0))</f>
        <v/>
      </c>
      <c r="BA303" s="36" t="str">
        <f aca="false">IF(OR(AO303&lt;&gt;1,AR303=""),"",INDEX(SLA_RES,AR303))</f>
        <v/>
      </c>
      <c r="BB303" s="35" t="str">
        <f aca="false">IF(OR(AW303="",BA303=""),"",IF(AW303&lt;=BA303,1,0))</f>
        <v/>
      </c>
      <c r="BC303" s="38" t="str">
        <f aca="false">IF(OR(BA303="",P303=""),"",WORKDAY(INT(P303),BA303,JoursFeries)+MOD(P303,1))</f>
        <v/>
      </c>
      <c r="BD303" s="39" t="str">
        <f aca="false">IF(AO303&lt;&gt;1,"",IF(OR(AB303&lt;&gt;"",AD303&lt;&gt;""),4,IF(U303&lt;&gt;"",3,IF(T303&lt;&gt;"",2,1))))</f>
        <v/>
      </c>
      <c r="BE303" s="39" t="str">
        <f aca="false">IF(OR(AO303&lt;&gt;1,AR303=""),"",INDEX(NIV_REQ,AR303))</f>
        <v/>
      </c>
      <c r="BF303" s="39" t="str">
        <f aca="false">IF(BE303="","",MAX(BE303,IF(OR(K303="Oui",Z303="Oui"),4,1)))</f>
        <v/>
      </c>
      <c r="BG303" s="35" t="str">
        <f aca="false">IF(OR(BF303="",BD303=""),"",IF(BD303&gt;=BF303,1,0))</f>
        <v/>
      </c>
      <c r="BH303" s="38" t="str">
        <f aca="false">IF(BE303="","",IF(BE303&lt;2,"",IF(BE303=2,IF(AND(T303="",U303=""),"",MIN(T303,U303)),IF(U303="","",U303))))</f>
        <v/>
      </c>
      <c r="BI303" s="37" t="str">
        <f aca="false">IF(BH303="","",IF(OR(O303="",BH303=""),"",IF(BH303&lt;O303,"",ROUND(((NETWORKDAYS(O303,BH303,JoursFeries)-1)*(HFer-HOuv)+IF(NETWORKDAYS(BH303,BH303,JoursFeries),MEDIAN(MOD(BH303,1),HFer,HOuv),HFer)-IF(NETWORKDAYS(O303,O303,JoursFeries),MEDIAN(MOD(O303,1),HFer,HOuv),HOuv))*24,4))))</f>
        <v/>
      </c>
      <c r="BJ303" s="35" t="str">
        <f aca="false">IF(OR(BI303="",AR303=""),"",IF(BI303&lt;=INDEX(DELAI_ESC,AR303),1,0))</f>
        <v/>
      </c>
      <c r="BK303" s="38" t="str">
        <f aca="false">IF(AO303&lt;&gt;1,"",IF(AND(T303="",U303=""),"",MIN(T303,U303)))</f>
        <v/>
      </c>
      <c r="BL303" s="37" t="str">
        <f aca="false">IF(OR(BK303="",R303=""),"",IFERROR(ROUND(IF(OR(BK303="",R303=""),"",IF(R303&lt;BK303,"",ROUND(((NETWORKDAYS(BK303,R303,JoursFeries)-1)*(HFer-HOuv)+IF(NETWORKDAYS(R303,R303,JoursFeries),MEDIAN(MOD(R303,1),HFer,HOuv),HFer)-IF(NETWORKDAYS(BK303,BK303,JoursFeries),MEDIAN(MOD(BK303,1),HFer,HOuv),HOuv))*24,4)))/HJour,4),""))</f>
        <v/>
      </c>
      <c r="BM303" s="35" t="str">
        <f aca="false">IF(OR(AO303&lt;&gt;1,R303=""),"",IF(BD303=1,1,0))</f>
        <v/>
      </c>
      <c r="BN303" s="35" t="str">
        <f aca="false">IF(AO303&lt;&gt;1,"",IF(W303="Oui",1,0))</f>
        <v/>
      </c>
      <c r="BO303" s="35" t="str">
        <f aca="false">IF(AO303&lt;&gt;1,"",IF(X303&lt;&gt;"",1,0))</f>
        <v/>
      </c>
      <c r="BP303" s="35" t="str">
        <f aca="false">IF(AO303&lt;&gt;1,"",IF(Y303="Oui",1,0))</f>
        <v/>
      </c>
      <c r="BQ303" s="35" t="str">
        <f aca="true">IF(OR(AO303&lt;&gt;1,Z303&lt;&gt;"Oui"),"",IF(AB303="",IF(AND(AA303&lt;&gt;"",NOW()&gt;AA303),0,""),IF(AA303="","",IF(AB303&lt;=AA303,1,0))))</f>
        <v/>
      </c>
      <c r="BR303" s="38" t="str">
        <f aca="false">IF(OR(AO303&lt;&gt;1,K303&lt;&gt;"Oui",O303=""),"",IF(AC303="",O303+DORA_H_DET/24,IF(AC303-O303&lt;=DORA_H_DET/24,MIN(AC303+DORA_H_CLA/24,O303+DORA_H_DET/24),AC303+DORA_H_CLA/24)))</f>
        <v/>
      </c>
      <c r="BS303" s="35" t="str">
        <f aca="true">IF(BR303="","",IF(AD303="",IF(NOW()&gt;BR303,0,""),IF(AD303&lt;=BR303,1,0)))</f>
        <v/>
      </c>
      <c r="BT303" s="35" t="str">
        <f aca="true">IF(OR(BR303="",AD303=""),"",IF(AE303="",IF(NOW()&gt;AD303+DORA_H_INT/24,0,""),IF(AE303&lt;=AD303+DORA_H_INT/24,1,0)))</f>
        <v/>
      </c>
      <c r="BU303" s="35" t="str">
        <f aca="true">IF(OR(BR303="",AE303=""),"",IF(AF303="",IF(NOW()&gt;EDATE(AE303,DORA_M_FIN)+1,0,""),IF(AF303&lt;=EDATE(AE303,DORA_M_FIN),1,0)))</f>
        <v/>
      </c>
      <c r="BV303" s="35" t="str">
        <f aca="false">IF(BR303="","",IF(COUNT(BS303:BU303)=0,"",MIN(BS303:BU303)))</f>
        <v/>
      </c>
      <c r="BW303" s="40" t="str">
        <f aca="false">IF(AQ303&lt;&gt;1,"",IF(AND(AG303="",AH303=""),"",N(AG303)-N(AH303)))</f>
        <v/>
      </c>
      <c r="BX303" s="35" t="str">
        <f aca="true">IF(OR(AQ303&lt;&gt;1,AI303&lt;&gt;"Oui",AJ303=""),"",IF(AK303="",IF(NOW()&gt;AJ303+1,0,""),IF(AK303&lt;=AJ303,1,0)))</f>
        <v/>
      </c>
    </row>
    <row r="304" customFormat="false" ht="15" hidden="false" customHeight="false" outlineLevel="0" collapsed="false">
      <c r="B304" s="29"/>
      <c r="C304" s="29"/>
      <c r="D304" s="29"/>
      <c r="E304" s="29"/>
      <c r="F304" s="29"/>
      <c r="G304" s="29"/>
      <c r="H304" s="29"/>
      <c r="I304" s="29"/>
      <c r="J304" s="29"/>
      <c r="K304" s="29"/>
      <c r="L304" s="29"/>
      <c r="M304" s="29"/>
      <c r="N304" s="30"/>
      <c r="O304" s="30"/>
      <c r="P304" s="30"/>
      <c r="Q304" s="30"/>
      <c r="R304" s="30"/>
      <c r="S304" s="30"/>
      <c r="T304" s="30"/>
      <c r="U304" s="30"/>
      <c r="V304" s="31"/>
      <c r="W304" s="29"/>
      <c r="X304" s="29"/>
      <c r="Y304" s="29"/>
      <c r="Z304" s="29"/>
      <c r="AA304" s="30"/>
      <c r="AB304" s="30"/>
      <c r="AC304" s="30"/>
      <c r="AD304" s="30"/>
      <c r="AE304" s="30"/>
      <c r="AF304" s="32"/>
      <c r="AG304" s="33"/>
      <c r="AH304" s="33"/>
      <c r="AI304" s="29"/>
      <c r="AJ304" s="32"/>
      <c r="AK304" s="32"/>
      <c r="AL304" s="29"/>
      <c r="AN304" s="34" t="str">
        <f aca="false">IF($B304="","",IF(OR(C304="",D304="",E304="",G304="",I304="",J304="",L304="",O304="",P304=""),"Champ obligatoire manquant",IF(OR(AND(N304&lt;&gt;"",N304&gt;O304),O304&gt;P304,AND(Q304&lt;&gt;"",Q304&lt;P304),AND(R304&lt;&gt;"",R304&lt;P304),AND(S304&lt;&gt;"",S304&lt;R304),AND(S304&lt;&gt;"",R304=""),AND(T304&lt;&gt;"",T304&lt;O304),AND(U304&lt;&gt;"",U304&lt;O304)),"Chronologie incohérente",IF(AND(OR(L304="Résolu",L304="Clos"),R304=""),"Date de résolution manquante",IF(AND(L304="Clos",S304=""),"Date de clôture manquante",IF(AND(K304="Oui",AC304=""),"Classification DORA manquante","OK"))))))</f>
        <v/>
      </c>
      <c r="AO304" s="35" t="str">
        <f aca="false">IF($B304="","",IF(AND(C304="Incident",L304&lt;&gt;"Annulé"),1,0))</f>
        <v/>
      </c>
      <c r="AP304" s="35" t="str">
        <f aca="false">IF($B304="","",IF(AND(C304="Quasi-incident",L304&lt;&gt;"Annulé"),1,0))</f>
        <v/>
      </c>
      <c r="AQ304" s="35" t="str">
        <f aca="false">IF($B304="","",AO304+AP304)</f>
        <v/>
      </c>
      <c r="AR304" s="36" t="str">
        <f aca="false">IF(OR($B304="",J304=""),"",IFERROR(VALUE(LEFT(J304,1)),""))</f>
        <v/>
      </c>
      <c r="AS304" s="35" t="str">
        <f aca="false">IF(OR(AO304&lt;&gt;1,G304=""),"",IFERROR(IF(INDEX(L_SrcInterne,MATCH(G304,L_Sources,0))="Oui",1,0),""))</f>
        <v/>
      </c>
      <c r="AT304" s="37" t="str">
        <f aca="false">IF(AO304&lt;&gt;1,"",IFERROR(ROUND(IF(OR(N304="",O304=""),"",IF(O304&lt;N304,"",ROUND(((NETWORKDAYS(N304,O304,JoursFeries)-1)*(HFer-HOuv)+IF(NETWORKDAYS(O304,O304,JoursFeries),MEDIAN(MOD(O304,1),HFer,HOuv),HFer)-IF(NETWORKDAYS(N304,N304,JoursFeries),MEDIAN(MOD(N304,1),HFer,HOuv),HOuv))*24,4)))/HJour,4),""))</f>
        <v/>
      </c>
      <c r="AU304" s="37" t="str">
        <f aca="false">IF(AO304&lt;&gt;1,"",IF(OR(O304="",P304=""),"",IF(P304&lt;O304,"",ROUND(((NETWORKDAYS(O304,P304,JoursFeries)-1)*(HFer-HOuv)+IF(NETWORKDAYS(P304,P304,JoursFeries),MEDIAN(MOD(P304,1),HFer,HOuv),HFer)-IF(NETWORKDAYS(O304,O304,JoursFeries),MEDIAN(MOD(O304,1),HFer,HOuv),HOuv))*24,4))))</f>
        <v/>
      </c>
      <c r="AV304" s="37" t="str">
        <f aca="false">IF(AO304&lt;&gt;1,"",IF(OR(P304="",Q304=""),"",IF(Q304&lt;P304,"",ROUND(((NETWORKDAYS(P304,Q304,JoursFeries)-1)*(HFer-HOuv)+IF(NETWORKDAYS(Q304,Q304,JoursFeries),MEDIAN(MOD(Q304,1),HFer,HOuv),HFer)-IF(NETWORKDAYS(P304,P304,JoursFeries),MEDIAN(MOD(P304,1),HFer,HOuv),HOuv))*24,4))))</f>
        <v/>
      </c>
      <c r="AW304" s="37" t="str">
        <f aca="false">IF(AO304&lt;&gt;1,"",IFERROR(ROUND(IF(OR(P304="",R304=""),"",IF(R304&lt;P304,"",ROUND(((NETWORKDAYS(P304,R304,JoursFeries)-1)*(HFer-HOuv)+IF(NETWORKDAYS(R304,R304,JoursFeries),MEDIAN(MOD(R304,1),HFer,HOuv),HFer)-IF(NETWORKDAYS(P304,P304,JoursFeries),MEDIAN(MOD(P304,1),HFer,HOuv),HOuv))*24,4)))/HJour,4),""))</f>
        <v/>
      </c>
      <c r="AX304" s="37" t="str">
        <f aca="false">IF(AO304&lt;&gt;1,"",IFERROR(ROUND(IF(OR(P304="",S304=""),"",IF(S304&lt;P304,"",ROUND(((NETWORKDAYS(P304,S304,JoursFeries)-1)*(HFer-HOuv)+IF(NETWORKDAYS(S304,S304,JoursFeries),MEDIAN(MOD(S304,1),HFer,HOuv),HFer)-IF(NETWORKDAYS(P304,P304,JoursFeries),MEDIAN(MOD(P304,1),HFer,HOuv),HOuv))*24,4)))/HJour,4),""))</f>
        <v/>
      </c>
      <c r="AY304" s="36" t="str">
        <f aca="false">IF(OR(AO304&lt;&gt;1,AR304=""),"",INDEX(SLA_PEC,AR304))</f>
        <v/>
      </c>
      <c r="AZ304" s="35" t="str">
        <f aca="false">IF(OR(AV304="",AY304=""),"",IF(AV304&lt;=AY304,1,0))</f>
        <v/>
      </c>
      <c r="BA304" s="36" t="str">
        <f aca="false">IF(OR(AO304&lt;&gt;1,AR304=""),"",INDEX(SLA_RES,AR304))</f>
        <v/>
      </c>
      <c r="BB304" s="35" t="str">
        <f aca="false">IF(OR(AW304="",BA304=""),"",IF(AW304&lt;=BA304,1,0))</f>
        <v/>
      </c>
      <c r="BC304" s="38" t="str">
        <f aca="false">IF(OR(BA304="",P304=""),"",WORKDAY(INT(P304),BA304,JoursFeries)+MOD(P304,1))</f>
        <v/>
      </c>
      <c r="BD304" s="39" t="str">
        <f aca="false">IF(AO304&lt;&gt;1,"",IF(OR(AB304&lt;&gt;"",AD304&lt;&gt;""),4,IF(U304&lt;&gt;"",3,IF(T304&lt;&gt;"",2,1))))</f>
        <v/>
      </c>
      <c r="BE304" s="39" t="str">
        <f aca="false">IF(OR(AO304&lt;&gt;1,AR304=""),"",INDEX(NIV_REQ,AR304))</f>
        <v/>
      </c>
      <c r="BF304" s="39" t="str">
        <f aca="false">IF(BE304="","",MAX(BE304,IF(OR(K304="Oui",Z304="Oui"),4,1)))</f>
        <v/>
      </c>
      <c r="BG304" s="35" t="str">
        <f aca="false">IF(OR(BF304="",BD304=""),"",IF(BD304&gt;=BF304,1,0))</f>
        <v/>
      </c>
      <c r="BH304" s="38" t="str">
        <f aca="false">IF(BE304="","",IF(BE304&lt;2,"",IF(BE304=2,IF(AND(T304="",U304=""),"",MIN(T304,U304)),IF(U304="","",U304))))</f>
        <v/>
      </c>
      <c r="BI304" s="37" t="str">
        <f aca="false">IF(BH304="","",IF(OR(O304="",BH304=""),"",IF(BH304&lt;O304,"",ROUND(((NETWORKDAYS(O304,BH304,JoursFeries)-1)*(HFer-HOuv)+IF(NETWORKDAYS(BH304,BH304,JoursFeries),MEDIAN(MOD(BH304,1),HFer,HOuv),HFer)-IF(NETWORKDAYS(O304,O304,JoursFeries),MEDIAN(MOD(O304,1),HFer,HOuv),HOuv))*24,4))))</f>
        <v/>
      </c>
      <c r="BJ304" s="35" t="str">
        <f aca="false">IF(OR(BI304="",AR304=""),"",IF(BI304&lt;=INDEX(DELAI_ESC,AR304),1,0))</f>
        <v/>
      </c>
      <c r="BK304" s="38" t="str">
        <f aca="false">IF(AO304&lt;&gt;1,"",IF(AND(T304="",U304=""),"",MIN(T304,U304)))</f>
        <v/>
      </c>
      <c r="BL304" s="37" t="str">
        <f aca="false">IF(OR(BK304="",R304=""),"",IFERROR(ROUND(IF(OR(BK304="",R304=""),"",IF(R304&lt;BK304,"",ROUND(((NETWORKDAYS(BK304,R304,JoursFeries)-1)*(HFer-HOuv)+IF(NETWORKDAYS(R304,R304,JoursFeries),MEDIAN(MOD(R304,1),HFer,HOuv),HFer)-IF(NETWORKDAYS(BK304,BK304,JoursFeries),MEDIAN(MOD(BK304,1),HFer,HOuv),HOuv))*24,4)))/HJour,4),""))</f>
        <v/>
      </c>
      <c r="BM304" s="35" t="str">
        <f aca="false">IF(OR(AO304&lt;&gt;1,R304=""),"",IF(BD304=1,1,0))</f>
        <v/>
      </c>
      <c r="BN304" s="35" t="str">
        <f aca="false">IF(AO304&lt;&gt;1,"",IF(W304="Oui",1,0))</f>
        <v/>
      </c>
      <c r="BO304" s="35" t="str">
        <f aca="false">IF(AO304&lt;&gt;1,"",IF(X304&lt;&gt;"",1,0))</f>
        <v/>
      </c>
      <c r="BP304" s="35" t="str">
        <f aca="false">IF(AO304&lt;&gt;1,"",IF(Y304="Oui",1,0))</f>
        <v/>
      </c>
      <c r="BQ304" s="35" t="str">
        <f aca="true">IF(OR(AO304&lt;&gt;1,Z304&lt;&gt;"Oui"),"",IF(AB304="",IF(AND(AA304&lt;&gt;"",NOW()&gt;AA304),0,""),IF(AA304="","",IF(AB304&lt;=AA304,1,0))))</f>
        <v/>
      </c>
      <c r="BR304" s="38" t="str">
        <f aca="false">IF(OR(AO304&lt;&gt;1,K304&lt;&gt;"Oui",O304=""),"",IF(AC304="",O304+DORA_H_DET/24,IF(AC304-O304&lt;=DORA_H_DET/24,MIN(AC304+DORA_H_CLA/24,O304+DORA_H_DET/24),AC304+DORA_H_CLA/24)))</f>
        <v/>
      </c>
      <c r="BS304" s="35" t="str">
        <f aca="true">IF(BR304="","",IF(AD304="",IF(NOW()&gt;BR304,0,""),IF(AD304&lt;=BR304,1,0)))</f>
        <v/>
      </c>
      <c r="BT304" s="35" t="str">
        <f aca="true">IF(OR(BR304="",AD304=""),"",IF(AE304="",IF(NOW()&gt;AD304+DORA_H_INT/24,0,""),IF(AE304&lt;=AD304+DORA_H_INT/24,1,0)))</f>
        <v/>
      </c>
      <c r="BU304" s="35" t="str">
        <f aca="true">IF(OR(BR304="",AE304=""),"",IF(AF304="",IF(NOW()&gt;EDATE(AE304,DORA_M_FIN)+1,0,""),IF(AF304&lt;=EDATE(AE304,DORA_M_FIN),1,0)))</f>
        <v/>
      </c>
      <c r="BV304" s="35" t="str">
        <f aca="false">IF(BR304="","",IF(COUNT(BS304:BU304)=0,"",MIN(BS304:BU304)))</f>
        <v/>
      </c>
      <c r="BW304" s="40" t="str">
        <f aca="false">IF(AQ304&lt;&gt;1,"",IF(AND(AG304="",AH304=""),"",N(AG304)-N(AH304)))</f>
        <v/>
      </c>
      <c r="BX304" s="35" t="str">
        <f aca="true">IF(OR(AQ304&lt;&gt;1,AI304&lt;&gt;"Oui",AJ304=""),"",IF(AK304="",IF(NOW()&gt;AJ304+1,0,""),IF(AK304&lt;=AJ304,1,0)))</f>
        <v/>
      </c>
    </row>
    <row r="305" customFormat="false" ht="15" hidden="false" customHeight="false" outlineLevel="0" collapsed="false">
      <c r="B305" s="29"/>
      <c r="C305" s="29"/>
      <c r="D305" s="29"/>
      <c r="E305" s="29"/>
      <c r="F305" s="29"/>
      <c r="G305" s="29"/>
      <c r="H305" s="29"/>
      <c r="I305" s="29"/>
      <c r="J305" s="29"/>
      <c r="K305" s="29"/>
      <c r="L305" s="29"/>
      <c r="M305" s="29"/>
      <c r="N305" s="30"/>
      <c r="O305" s="30"/>
      <c r="P305" s="30"/>
      <c r="Q305" s="30"/>
      <c r="R305" s="30"/>
      <c r="S305" s="30"/>
      <c r="T305" s="30"/>
      <c r="U305" s="30"/>
      <c r="V305" s="31"/>
      <c r="W305" s="29"/>
      <c r="X305" s="29"/>
      <c r="Y305" s="29"/>
      <c r="Z305" s="29"/>
      <c r="AA305" s="30"/>
      <c r="AB305" s="30"/>
      <c r="AC305" s="30"/>
      <c r="AD305" s="30"/>
      <c r="AE305" s="30"/>
      <c r="AF305" s="32"/>
      <c r="AG305" s="33"/>
      <c r="AH305" s="33"/>
      <c r="AI305" s="29"/>
      <c r="AJ305" s="32"/>
      <c r="AK305" s="32"/>
      <c r="AL305" s="29"/>
      <c r="AN305" s="34" t="str">
        <f aca="false">IF($B305="","",IF(OR(C305="",D305="",E305="",G305="",I305="",J305="",L305="",O305="",P305=""),"Champ obligatoire manquant",IF(OR(AND(N305&lt;&gt;"",N305&gt;O305),O305&gt;P305,AND(Q305&lt;&gt;"",Q305&lt;P305),AND(R305&lt;&gt;"",R305&lt;P305),AND(S305&lt;&gt;"",S305&lt;R305),AND(S305&lt;&gt;"",R305=""),AND(T305&lt;&gt;"",T305&lt;O305),AND(U305&lt;&gt;"",U305&lt;O305)),"Chronologie incohérente",IF(AND(OR(L305="Résolu",L305="Clos"),R305=""),"Date de résolution manquante",IF(AND(L305="Clos",S305=""),"Date de clôture manquante",IF(AND(K305="Oui",AC305=""),"Classification DORA manquante","OK"))))))</f>
        <v/>
      </c>
      <c r="AO305" s="35" t="str">
        <f aca="false">IF($B305="","",IF(AND(C305="Incident",L305&lt;&gt;"Annulé"),1,0))</f>
        <v/>
      </c>
      <c r="AP305" s="35" t="str">
        <f aca="false">IF($B305="","",IF(AND(C305="Quasi-incident",L305&lt;&gt;"Annulé"),1,0))</f>
        <v/>
      </c>
      <c r="AQ305" s="35" t="str">
        <f aca="false">IF($B305="","",AO305+AP305)</f>
        <v/>
      </c>
      <c r="AR305" s="36" t="str">
        <f aca="false">IF(OR($B305="",J305=""),"",IFERROR(VALUE(LEFT(J305,1)),""))</f>
        <v/>
      </c>
      <c r="AS305" s="35" t="str">
        <f aca="false">IF(OR(AO305&lt;&gt;1,G305=""),"",IFERROR(IF(INDEX(L_SrcInterne,MATCH(G305,L_Sources,0))="Oui",1,0),""))</f>
        <v/>
      </c>
      <c r="AT305" s="37" t="str">
        <f aca="false">IF(AO305&lt;&gt;1,"",IFERROR(ROUND(IF(OR(N305="",O305=""),"",IF(O305&lt;N305,"",ROUND(((NETWORKDAYS(N305,O305,JoursFeries)-1)*(HFer-HOuv)+IF(NETWORKDAYS(O305,O305,JoursFeries),MEDIAN(MOD(O305,1),HFer,HOuv),HFer)-IF(NETWORKDAYS(N305,N305,JoursFeries),MEDIAN(MOD(N305,1),HFer,HOuv),HOuv))*24,4)))/HJour,4),""))</f>
        <v/>
      </c>
      <c r="AU305" s="37" t="str">
        <f aca="false">IF(AO305&lt;&gt;1,"",IF(OR(O305="",P305=""),"",IF(P305&lt;O305,"",ROUND(((NETWORKDAYS(O305,P305,JoursFeries)-1)*(HFer-HOuv)+IF(NETWORKDAYS(P305,P305,JoursFeries),MEDIAN(MOD(P305,1),HFer,HOuv),HFer)-IF(NETWORKDAYS(O305,O305,JoursFeries),MEDIAN(MOD(O305,1),HFer,HOuv),HOuv))*24,4))))</f>
        <v/>
      </c>
      <c r="AV305" s="37" t="str">
        <f aca="false">IF(AO305&lt;&gt;1,"",IF(OR(P305="",Q305=""),"",IF(Q305&lt;P305,"",ROUND(((NETWORKDAYS(P305,Q305,JoursFeries)-1)*(HFer-HOuv)+IF(NETWORKDAYS(Q305,Q305,JoursFeries),MEDIAN(MOD(Q305,1),HFer,HOuv),HFer)-IF(NETWORKDAYS(P305,P305,JoursFeries),MEDIAN(MOD(P305,1),HFer,HOuv),HOuv))*24,4))))</f>
        <v/>
      </c>
      <c r="AW305" s="37" t="str">
        <f aca="false">IF(AO305&lt;&gt;1,"",IFERROR(ROUND(IF(OR(P305="",R305=""),"",IF(R305&lt;P305,"",ROUND(((NETWORKDAYS(P305,R305,JoursFeries)-1)*(HFer-HOuv)+IF(NETWORKDAYS(R305,R305,JoursFeries),MEDIAN(MOD(R305,1),HFer,HOuv),HFer)-IF(NETWORKDAYS(P305,P305,JoursFeries),MEDIAN(MOD(P305,1),HFer,HOuv),HOuv))*24,4)))/HJour,4),""))</f>
        <v/>
      </c>
      <c r="AX305" s="37" t="str">
        <f aca="false">IF(AO305&lt;&gt;1,"",IFERROR(ROUND(IF(OR(P305="",S305=""),"",IF(S305&lt;P305,"",ROUND(((NETWORKDAYS(P305,S305,JoursFeries)-1)*(HFer-HOuv)+IF(NETWORKDAYS(S305,S305,JoursFeries),MEDIAN(MOD(S305,1),HFer,HOuv),HFer)-IF(NETWORKDAYS(P305,P305,JoursFeries),MEDIAN(MOD(P305,1),HFer,HOuv),HOuv))*24,4)))/HJour,4),""))</f>
        <v/>
      </c>
      <c r="AY305" s="36" t="str">
        <f aca="false">IF(OR(AO305&lt;&gt;1,AR305=""),"",INDEX(SLA_PEC,AR305))</f>
        <v/>
      </c>
      <c r="AZ305" s="35" t="str">
        <f aca="false">IF(OR(AV305="",AY305=""),"",IF(AV305&lt;=AY305,1,0))</f>
        <v/>
      </c>
      <c r="BA305" s="36" t="str">
        <f aca="false">IF(OR(AO305&lt;&gt;1,AR305=""),"",INDEX(SLA_RES,AR305))</f>
        <v/>
      </c>
      <c r="BB305" s="35" t="str">
        <f aca="false">IF(OR(AW305="",BA305=""),"",IF(AW305&lt;=BA305,1,0))</f>
        <v/>
      </c>
      <c r="BC305" s="38" t="str">
        <f aca="false">IF(OR(BA305="",P305=""),"",WORKDAY(INT(P305),BA305,JoursFeries)+MOD(P305,1))</f>
        <v/>
      </c>
      <c r="BD305" s="39" t="str">
        <f aca="false">IF(AO305&lt;&gt;1,"",IF(OR(AB305&lt;&gt;"",AD305&lt;&gt;""),4,IF(U305&lt;&gt;"",3,IF(T305&lt;&gt;"",2,1))))</f>
        <v/>
      </c>
      <c r="BE305" s="39" t="str">
        <f aca="false">IF(OR(AO305&lt;&gt;1,AR305=""),"",INDEX(NIV_REQ,AR305))</f>
        <v/>
      </c>
      <c r="BF305" s="39" t="str">
        <f aca="false">IF(BE305="","",MAX(BE305,IF(OR(K305="Oui",Z305="Oui"),4,1)))</f>
        <v/>
      </c>
      <c r="BG305" s="35" t="str">
        <f aca="false">IF(OR(BF305="",BD305=""),"",IF(BD305&gt;=BF305,1,0))</f>
        <v/>
      </c>
      <c r="BH305" s="38" t="str">
        <f aca="false">IF(BE305="","",IF(BE305&lt;2,"",IF(BE305=2,IF(AND(T305="",U305=""),"",MIN(T305,U305)),IF(U305="","",U305))))</f>
        <v/>
      </c>
      <c r="BI305" s="37" t="str">
        <f aca="false">IF(BH305="","",IF(OR(O305="",BH305=""),"",IF(BH305&lt;O305,"",ROUND(((NETWORKDAYS(O305,BH305,JoursFeries)-1)*(HFer-HOuv)+IF(NETWORKDAYS(BH305,BH305,JoursFeries),MEDIAN(MOD(BH305,1),HFer,HOuv),HFer)-IF(NETWORKDAYS(O305,O305,JoursFeries),MEDIAN(MOD(O305,1),HFer,HOuv),HOuv))*24,4))))</f>
        <v/>
      </c>
      <c r="BJ305" s="35" t="str">
        <f aca="false">IF(OR(BI305="",AR305=""),"",IF(BI305&lt;=INDEX(DELAI_ESC,AR305),1,0))</f>
        <v/>
      </c>
      <c r="BK305" s="38" t="str">
        <f aca="false">IF(AO305&lt;&gt;1,"",IF(AND(T305="",U305=""),"",MIN(T305,U305)))</f>
        <v/>
      </c>
      <c r="BL305" s="37" t="str">
        <f aca="false">IF(OR(BK305="",R305=""),"",IFERROR(ROUND(IF(OR(BK305="",R305=""),"",IF(R305&lt;BK305,"",ROUND(((NETWORKDAYS(BK305,R305,JoursFeries)-1)*(HFer-HOuv)+IF(NETWORKDAYS(R305,R305,JoursFeries),MEDIAN(MOD(R305,1),HFer,HOuv),HFer)-IF(NETWORKDAYS(BK305,BK305,JoursFeries),MEDIAN(MOD(BK305,1),HFer,HOuv),HOuv))*24,4)))/HJour,4),""))</f>
        <v/>
      </c>
      <c r="BM305" s="35" t="str">
        <f aca="false">IF(OR(AO305&lt;&gt;1,R305=""),"",IF(BD305=1,1,0))</f>
        <v/>
      </c>
      <c r="BN305" s="35" t="str">
        <f aca="false">IF(AO305&lt;&gt;1,"",IF(W305="Oui",1,0))</f>
        <v/>
      </c>
      <c r="BO305" s="35" t="str">
        <f aca="false">IF(AO305&lt;&gt;1,"",IF(X305&lt;&gt;"",1,0))</f>
        <v/>
      </c>
      <c r="BP305" s="35" t="str">
        <f aca="false">IF(AO305&lt;&gt;1,"",IF(Y305="Oui",1,0))</f>
        <v/>
      </c>
      <c r="BQ305" s="35" t="str">
        <f aca="true">IF(OR(AO305&lt;&gt;1,Z305&lt;&gt;"Oui"),"",IF(AB305="",IF(AND(AA305&lt;&gt;"",NOW()&gt;AA305),0,""),IF(AA305="","",IF(AB305&lt;=AA305,1,0))))</f>
        <v/>
      </c>
      <c r="BR305" s="38" t="str">
        <f aca="false">IF(OR(AO305&lt;&gt;1,K305&lt;&gt;"Oui",O305=""),"",IF(AC305="",O305+DORA_H_DET/24,IF(AC305-O305&lt;=DORA_H_DET/24,MIN(AC305+DORA_H_CLA/24,O305+DORA_H_DET/24),AC305+DORA_H_CLA/24)))</f>
        <v/>
      </c>
      <c r="BS305" s="35" t="str">
        <f aca="true">IF(BR305="","",IF(AD305="",IF(NOW()&gt;BR305,0,""),IF(AD305&lt;=BR305,1,0)))</f>
        <v/>
      </c>
      <c r="BT305" s="35" t="str">
        <f aca="true">IF(OR(BR305="",AD305=""),"",IF(AE305="",IF(NOW()&gt;AD305+DORA_H_INT/24,0,""),IF(AE305&lt;=AD305+DORA_H_INT/24,1,0)))</f>
        <v/>
      </c>
      <c r="BU305" s="35" t="str">
        <f aca="true">IF(OR(BR305="",AE305=""),"",IF(AF305="",IF(NOW()&gt;EDATE(AE305,DORA_M_FIN)+1,0,""),IF(AF305&lt;=EDATE(AE305,DORA_M_FIN),1,0)))</f>
        <v/>
      </c>
      <c r="BV305" s="35" t="str">
        <f aca="false">IF(BR305="","",IF(COUNT(BS305:BU305)=0,"",MIN(BS305:BU305)))</f>
        <v/>
      </c>
      <c r="BW305" s="40" t="str">
        <f aca="false">IF(AQ305&lt;&gt;1,"",IF(AND(AG305="",AH305=""),"",N(AG305)-N(AH305)))</f>
        <v/>
      </c>
      <c r="BX305" s="35" t="str">
        <f aca="true">IF(OR(AQ305&lt;&gt;1,AI305&lt;&gt;"Oui",AJ305=""),"",IF(AK305="",IF(NOW()&gt;AJ305+1,0,""),IF(AK305&lt;=AJ305,1,0)))</f>
        <v/>
      </c>
    </row>
    <row r="306" customFormat="false" ht="15" hidden="false" customHeight="false" outlineLevel="0" collapsed="false">
      <c r="B306" s="29"/>
      <c r="C306" s="29"/>
      <c r="D306" s="29"/>
      <c r="E306" s="29"/>
      <c r="F306" s="29"/>
      <c r="G306" s="29"/>
      <c r="H306" s="29"/>
      <c r="I306" s="29"/>
      <c r="J306" s="29"/>
      <c r="K306" s="29"/>
      <c r="L306" s="29"/>
      <c r="M306" s="29"/>
      <c r="N306" s="30"/>
      <c r="O306" s="30"/>
      <c r="P306" s="30"/>
      <c r="Q306" s="30"/>
      <c r="R306" s="30"/>
      <c r="S306" s="30"/>
      <c r="T306" s="30"/>
      <c r="U306" s="30"/>
      <c r="V306" s="31"/>
      <c r="W306" s="29"/>
      <c r="X306" s="29"/>
      <c r="Y306" s="29"/>
      <c r="Z306" s="29"/>
      <c r="AA306" s="30"/>
      <c r="AB306" s="30"/>
      <c r="AC306" s="30"/>
      <c r="AD306" s="30"/>
      <c r="AE306" s="30"/>
      <c r="AF306" s="32"/>
      <c r="AG306" s="33"/>
      <c r="AH306" s="33"/>
      <c r="AI306" s="29"/>
      <c r="AJ306" s="32"/>
      <c r="AK306" s="32"/>
      <c r="AL306" s="29"/>
      <c r="AN306" s="34" t="str">
        <f aca="false">IF($B306="","",IF(OR(C306="",D306="",E306="",G306="",I306="",J306="",L306="",O306="",P306=""),"Champ obligatoire manquant",IF(OR(AND(N306&lt;&gt;"",N306&gt;O306),O306&gt;P306,AND(Q306&lt;&gt;"",Q306&lt;P306),AND(R306&lt;&gt;"",R306&lt;P306),AND(S306&lt;&gt;"",S306&lt;R306),AND(S306&lt;&gt;"",R306=""),AND(T306&lt;&gt;"",T306&lt;O306),AND(U306&lt;&gt;"",U306&lt;O306)),"Chronologie incohérente",IF(AND(OR(L306="Résolu",L306="Clos"),R306=""),"Date de résolution manquante",IF(AND(L306="Clos",S306=""),"Date de clôture manquante",IF(AND(K306="Oui",AC306=""),"Classification DORA manquante","OK"))))))</f>
        <v/>
      </c>
      <c r="AO306" s="35" t="str">
        <f aca="false">IF($B306="","",IF(AND(C306="Incident",L306&lt;&gt;"Annulé"),1,0))</f>
        <v/>
      </c>
      <c r="AP306" s="35" t="str">
        <f aca="false">IF($B306="","",IF(AND(C306="Quasi-incident",L306&lt;&gt;"Annulé"),1,0))</f>
        <v/>
      </c>
      <c r="AQ306" s="35" t="str">
        <f aca="false">IF($B306="","",AO306+AP306)</f>
        <v/>
      </c>
      <c r="AR306" s="36" t="str">
        <f aca="false">IF(OR($B306="",J306=""),"",IFERROR(VALUE(LEFT(J306,1)),""))</f>
        <v/>
      </c>
      <c r="AS306" s="35" t="str">
        <f aca="false">IF(OR(AO306&lt;&gt;1,G306=""),"",IFERROR(IF(INDEX(L_SrcInterne,MATCH(G306,L_Sources,0))="Oui",1,0),""))</f>
        <v/>
      </c>
      <c r="AT306" s="37" t="str">
        <f aca="false">IF(AO306&lt;&gt;1,"",IFERROR(ROUND(IF(OR(N306="",O306=""),"",IF(O306&lt;N306,"",ROUND(((NETWORKDAYS(N306,O306,JoursFeries)-1)*(HFer-HOuv)+IF(NETWORKDAYS(O306,O306,JoursFeries),MEDIAN(MOD(O306,1),HFer,HOuv),HFer)-IF(NETWORKDAYS(N306,N306,JoursFeries),MEDIAN(MOD(N306,1),HFer,HOuv),HOuv))*24,4)))/HJour,4),""))</f>
        <v/>
      </c>
      <c r="AU306" s="37" t="str">
        <f aca="false">IF(AO306&lt;&gt;1,"",IF(OR(O306="",P306=""),"",IF(P306&lt;O306,"",ROUND(((NETWORKDAYS(O306,P306,JoursFeries)-1)*(HFer-HOuv)+IF(NETWORKDAYS(P306,P306,JoursFeries),MEDIAN(MOD(P306,1),HFer,HOuv),HFer)-IF(NETWORKDAYS(O306,O306,JoursFeries),MEDIAN(MOD(O306,1),HFer,HOuv),HOuv))*24,4))))</f>
        <v/>
      </c>
      <c r="AV306" s="37" t="str">
        <f aca="false">IF(AO306&lt;&gt;1,"",IF(OR(P306="",Q306=""),"",IF(Q306&lt;P306,"",ROUND(((NETWORKDAYS(P306,Q306,JoursFeries)-1)*(HFer-HOuv)+IF(NETWORKDAYS(Q306,Q306,JoursFeries),MEDIAN(MOD(Q306,1),HFer,HOuv),HFer)-IF(NETWORKDAYS(P306,P306,JoursFeries),MEDIAN(MOD(P306,1),HFer,HOuv),HOuv))*24,4))))</f>
        <v/>
      </c>
      <c r="AW306" s="37" t="str">
        <f aca="false">IF(AO306&lt;&gt;1,"",IFERROR(ROUND(IF(OR(P306="",R306=""),"",IF(R306&lt;P306,"",ROUND(((NETWORKDAYS(P306,R306,JoursFeries)-1)*(HFer-HOuv)+IF(NETWORKDAYS(R306,R306,JoursFeries),MEDIAN(MOD(R306,1),HFer,HOuv),HFer)-IF(NETWORKDAYS(P306,P306,JoursFeries),MEDIAN(MOD(P306,1),HFer,HOuv),HOuv))*24,4)))/HJour,4),""))</f>
        <v/>
      </c>
      <c r="AX306" s="37" t="str">
        <f aca="false">IF(AO306&lt;&gt;1,"",IFERROR(ROUND(IF(OR(P306="",S306=""),"",IF(S306&lt;P306,"",ROUND(((NETWORKDAYS(P306,S306,JoursFeries)-1)*(HFer-HOuv)+IF(NETWORKDAYS(S306,S306,JoursFeries),MEDIAN(MOD(S306,1),HFer,HOuv),HFer)-IF(NETWORKDAYS(P306,P306,JoursFeries),MEDIAN(MOD(P306,1),HFer,HOuv),HOuv))*24,4)))/HJour,4),""))</f>
        <v/>
      </c>
      <c r="AY306" s="36" t="str">
        <f aca="false">IF(OR(AO306&lt;&gt;1,AR306=""),"",INDEX(SLA_PEC,AR306))</f>
        <v/>
      </c>
      <c r="AZ306" s="35" t="str">
        <f aca="false">IF(OR(AV306="",AY306=""),"",IF(AV306&lt;=AY306,1,0))</f>
        <v/>
      </c>
      <c r="BA306" s="36" t="str">
        <f aca="false">IF(OR(AO306&lt;&gt;1,AR306=""),"",INDEX(SLA_RES,AR306))</f>
        <v/>
      </c>
      <c r="BB306" s="35" t="str">
        <f aca="false">IF(OR(AW306="",BA306=""),"",IF(AW306&lt;=BA306,1,0))</f>
        <v/>
      </c>
      <c r="BC306" s="38" t="str">
        <f aca="false">IF(OR(BA306="",P306=""),"",WORKDAY(INT(P306),BA306,JoursFeries)+MOD(P306,1))</f>
        <v/>
      </c>
      <c r="BD306" s="39" t="str">
        <f aca="false">IF(AO306&lt;&gt;1,"",IF(OR(AB306&lt;&gt;"",AD306&lt;&gt;""),4,IF(U306&lt;&gt;"",3,IF(T306&lt;&gt;"",2,1))))</f>
        <v/>
      </c>
      <c r="BE306" s="39" t="str">
        <f aca="false">IF(OR(AO306&lt;&gt;1,AR306=""),"",INDEX(NIV_REQ,AR306))</f>
        <v/>
      </c>
      <c r="BF306" s="39" t="str">
        <f aca="false">IF(BE306="","",MAX(BE306,IF(OR(K306="Oui",Z306="Oui"),4,1)))</f>
        <v/>
      </c>
      <c r="BG306" s="35" t="str">
        <f aca="false">IF(OR(BF306="",BD306=""),"",IF(BD306&gt;=BF306,1,0))</f>
        <v/>
      </c>
      <c r="BH306" s="38" t="str">
        <f aca="false">IF(BE306="","",IF(BE306&lt;2,"",IF(BE306=2,IF(AND(T306="",U306=""),"",MIN(T306,U306)),IF(U306="","",U306))))</f>
        <v/>
      </c>
      <c r="BI306" s="37" t="str">
        <f aca="false">IF(BH306="","",IF(OR(O306="",BH306=""),"",IF(BH306&lt;O306,"",ROUND(((NETWORKDAYS(O306,BH306,JoursFeries)-1)*(HFer-HOuv)+IF(NETWORKDAYS(BH306,BH306,JoursFeries),MEDIAN(MOD(BH306,1),HFer,HOuv),HFer)-IF(NETWORKDAYS(O306,O306,JoursFeries),MEDIAN(MOD(O306,1),HFer,HOuv),HOuv))*24,4))))</f>
        <v/>
      </c>
      <c r="BJ306" s="35" t="str">
        <f aca="false">IF(OR(BI306="",AR306=""),"",IF(BI306&lt;=INDEX(DELAI_ESC,AR306),1,0))</f>
        <v/>
      </c>
      <c r="BK306" s="38" t="str">
        <f aca="false">IF(AO306&lt;&gt;1,"",IF(AND(T306="",U306=""),"",MIN(T306,U306)))</f>
        <v/>
      </c>
      <c r="BL306" s="37" t="str">
        <f aca="false">IF(OR(BK306="",R306=""),"",IFERROR(ROUND(IF(OR(BK306="",R306=""),"",IF(R306&lt;BK306,"",ROUND(((NETWORKDAYS(BK306,R306,JoursFeries)-1)*(HFer-HOuv)+IF(NETWORKDAYS(R306,R306,JoursFeries),MEDIAN(MOD(R306,1),HFer,HOuv),HFer)-IF(NETWORKDAYS(BK306,BK306,JoursFeries),MEDIAN(MOD(BK306,1),HFer,HOuv),HOuv))*24,4)))/HJour,4),""))</f>
        <v/>
      </c>
      <c r="BM306" s="35" t="str">
        <f aca="false">IF(OR(AO306&lt;&gt;1,R306=""),"",IF(BD306=1,1,0))</f>
        <v/>
      </c>
      <c r="BN306" s="35" t="str">
        <f aca="false">IF(AO306&lt;&gt;1,"",IF(W306="Oui",1,0))</f>
        <v/>
      </c>
      <c r="BO306" s="35" t="str">
        <f aca="false">IF(AO306&lt;&gt;1,"",IF(X306&lt;&gt;"",1,0))</f>
        <v/>
      </c>
      <c r="BP306" s="35" t="str">
        <f aca="false">IF(AO306&lt;&gt;1,"",IF(Y306="Oui",1,0))</f>
        <v/>
      </c>
      <c r="BQ306" s="35" t="str">
        <f aca="true">IF(OR(AO306&lt;&gt;1,Z306&lt;&gt;"Oui"),"",IF(AB306="",IF(AND(AA306&lt;&gt;"",NOW()&gt;AA306),0,""),IF(AA306="","",IF(AB306&lt;=AA306,1,0))))</f>
        <v/>
      </c>
      <c r="BR306" s="38" t="str">
        <f aca="false">IF(OR(AO306&lt;&gt;1,K306&lt;&gt;"Oui",O306=""),"",IF(AC306="",O306+DORA_H_DET/24,IF(AC306-O306&lt;=DORA_H_DET/24,MIN(AC306+DORA_H_CLA/24,O306+DORA_H_DET/24),AC306+DORA_H_CLA/24)))</f>
        <v/>
      </c>
      <c r="BS306" s="35" t="str">
        <f aca="true">IF(BR306="","",IF(AD306="",IF(NOW()&gt;BR306,0,""),IF(AD306&lt;=BR306,1,0)))</f>
        <v/>
      </c>
      <c r="BT306" s="35" t="str">
        <f aca="true">IF(OR(BR306="",AD306=""),"",IF(AE306="",IF(NOW()&gt;AD306+DORA_H_INT/24,0,""),IF(AE306&lt;=AD306+DORA_H_INT/24,1,0)))</f>
        <v/>
      </c>
      <c r="BU306" s="35" t="str">
        <f aca="true">IF(OR(BR306="",AE306=""),"",IF(AF306="",IF(NOW()&gt;EDATE(AE306,DORA_M_FIN)+1,0,""),IF(AF306&lt;=EDATE(AE306,DORA_M_FIN),1,0)))</f>
        <v/>
      </c>
      <c r="BV306" s="35" t="str">
        <f aca="false">IF(BR306="","",IF(COUNT(BS306:BU306)=0,"",MIN(BS306:BU306)))</f>
        <v/>
      </c>
      <c r="BW306" s="40" t="str">
        <f aca="false">IF(AQ306&lt;&gt;1,"",IF(AND(AG306="",AH306=""),"",N(AG306)-N(AH306)))</f>
        <v/>
      </c>
      <c r="BX306" s="35" t="str">
        <f aca="true">IF(OR(AQ306&lt;&gt;1,AI306&lt;&gt;"Oui",AJ306=""),"",IF(AK306="",IF(NOW()&gt;AJ306+1,0,""),IF(AK306&lt;=AJ306,1,0)))</f>
        <v/>
      </c>
    </row>
    <row r="307" customFormat="false" ht="15" hidden="false" customHeight="false" outlineLevel="0" collapsed="false">
      <c r="B307" s="29"/>
      <c r="C307" s="29"/>
      <c r="D307" s="29"/>
      <c r="E307" s="29"/>
      <c r="F307" s="29"/>
      <c r="G307" s="29"/>
      <c r="H307" s="29"/>
      <c r="I307" s="29"/>
      <c r="J307" s="29"/>
      <c r="K307" s="29"/>
      <c r="L307" s="29"/>
      <c r="M307" s="29"/>
      <c r="N307" s="30"/>
      <c r="O307" s="30"/>
      <c r="P307" s="30"/>
      <c r="Q307" s="30"/>
      <c r="R307" s="30"/>
      <c r="S307" s="30"/>
      <c r="T307" s="30"/>
      <c r="U307" s="30"/>
      <c r="V307" s="31"/>
      <c r="W307" s="29"/>
      <c r="X307" s="29"/>
      <c r="Y307" s="29"/>
      <c r="Z307" s="29"/>
      <c r="AA307" s="30"/>
      <c r="AB307" s="30"/>
      <c r="AC307" s="30"/>
      <c r="AD307" s="30"/>
      <c r="AE307" s="30"/>
      <c r="AF307" s="32"/>
      <c r="AG307" s="33"/>
      <c r="AH307" s="33"/>
      <c r="AI307" s="29"/>
      <c r="AJ307" s="32"/>
      <c r="AK307" s="32"/>
      <c r="AL307" s="29"/>
      <c r="AN307" s="34" t="str">
        <f aca="false">IF($B307="","",IF(OR(C307="",D307="",E307="",G307="",I307="",J307="",L307="",O307="",P307=""),"Champ obligatoire manquant",IF(OR(AND(N307&lt;&gt;"",N307&gt;O307),O307&gt;P307,AND(Q307&lt;&gt;"",Q307&lt;P307),AND(R307&lt;&gt;"",R307&lt;P307),AND(S307&lt;&gt;"",S307&lt;R307),AND(S307&lt;&gt;"",R307=""),AND(T307&lt;&gt;"",T307&lt;O307),AND(U307&lt;&gt;"",U307&lt;O307)),"Chronologie incohérente",IF(AND(OR(L307="Résolu",L307="Clos"),R307=""),"Date de résolution manquante",IF(AND(L307="Clos",S307=""),"Date de clôture manquante",IF(AND(K307="Oui",AC307=""),"Classification DORA manquante","OK"))))))</f>
        <v/>
      </c>
      <c r="AO307" s="35" t="str">
        <f aca="false">IF($B307="","",IF(AND(C307="Incident",L307&lt;&gt;"Annulé"),1,0))</f>
        <v/>
      </c>
      <c r="AP307" s="35" t="str">
        <f aca="false">IF($B307="","",IF(AND(C307="Quasi-incident",L307&lt;&gt;"Annulé"),1,0))</f>
        <v/>
      </c>
      <c r="AQ307" s="35" t="str">
        <f aca="false">IF($B307="","",AO307+AP307)</f>
        <v/>
      </c>
      <c r="AR307" s="36" t="str">
        <f aca="false">IF(OR($B307="",J307=""),"",IFERROR(VALUE(LEFT(J307,1)),""))</f>
        <v/>
      </c>
      <c r="AS307" s="35" t="str">
        <f aca="false">IF(OR(AO307&lt;&gt;1,G307=""),"",IFERROR(IF(INDEX(L_SrcInterne,MATCH(G307,L_Sources,0))="Oui",1,0),""))</f>
        <v/>
      </c>
      <c r="AT307" s="37" t="str">
        <f aca="false">IF(AO307&lt;&gt;1,"",IFERROR(ROUND(IF(OR(N307="",O307=""),"",IF(O307&lt;N307,"",ROUND(((NETWORKDAYS(N307,O307,JoursFeries)-1)*(HFer-HOuv)+IF(NETWORKDAYS(O307,O307,JoursFeries),MEDIAN(MOD(O307,1),HFer,HOuv),HFer)-IF(NETWORKDAYS(N307,N307,JoursFeries),MEDIAN(MOD(N307,1),HFer,HOuv),HOuv))*24,4)))/HJour,4),""))</f>
        <v/>
      </c>
      <c r="AU307" s="37" t="str">
        <f aca="false">IF(AO307&lt;&gt;1,"",IF(OR(O307="",P307=""),"",IF(P307&lt;O307,"",ROUND(((NETWORKDAYS(O307,P307,JoursFeries)-1)*(HFer-HOuv)+IF(NETWORKDAYS(P307,P307,JoursFeries),MEDIAN(MOD(P307,1),HFer,HOuv),HFer)-IF(NETWORKDAYS(O307,O307,JoursFeries),MEDIAN(MOD(O307,1),HFer,HOuv),HOuv))*24,4))))</f>
        <v/>
      </c>
      <c r="AV307" s="37" t="str">
        <f aca="false">IF(AO307&lt;&gt;1,"",IF(OR(P307="",Q307=""),"",IF(Q307&lt;P307,"",ROUND(((NETWORKDAYS(P307,Q307,JoursFeries)-1)*(HFer-HOuv)+IF(NETWORKDAYS(Q307,Q307,JoursFeries),MEDIAN(MOD(Q307,1),HFer,HOuv),HFer)-IF(NETWORKDAYS(P307,P307,JoursFeries),MEDIAN(MOD(P307,1),HFer,HOuv),HOuv))*24,4))))</f>
        <v/>
      </c>
      <c r="AW307" s="37" t="str">
        <f aca="false">IF(AO307&lt;&gt;1,"",IFERROR(ROUND(IF(OR(P307="",R307=""),"",IF(R307&lt;P307,"",ROUND(((NETWORKDAYS(P307,R307,JoursFeries)-1)*(HFer-HOuv)+IF(NETWORKDAYS(R307,R307,JoursFeries),MEDIAN(MOD(R307,1),HFer,HOuv),HFer)-IF(NETWORKDAYS(P307,P307,JoursFeries),MEDIAN(MOD(P307,1),HFer,HOuv),HOuv))*24,4)))/HJour,4),""))</f>
        <v/>
      </c>
      <c r="AX307" s="37" t="str">
        <f aca="false">IF(AO307&lt;&gt;1,"",IFERROR(ROUND(IF(OR(P307="",S307=""),"",IF(S307&lt;P307,"",ROUND(((NETWORKDAYS(P307,S307,JoursFeries)-1)*(HFer-HOuv)+IF(NETWORKDAYS(S307,S307,JoursFeries),MEDIAN(MOD(S307,1),HFer,HOuv),HFer)-IF(NETWORKDAYS(P307,P307,JoursFeries),MEDIAN(MOD(P307,1),HFer,HOuv),HOuv))*24,4)))/HJour,4),""))</f>
        <v/>
      </c>
      <c r="AY307" s="36" t="str">
        <f aca="false">IF(OR(AO307&lt;&gt;1,AR307=""),"",INDEX(SLA_PEC,AR307))</f>
        <v/>
      </c>
      <c r="AZ307" s="35" t="str">
        <f aca="false">IF(OR(AV307="",AY307=""),"",IF(AV307&lt;=AY307,1,0))</f>
        <v/>
      </c>
      <c r="BA307" s="36" t="str">
        <f aca="false">IF(OR(AO307&lt;&gt;1,AR307=""),"",INDEX(SLA_RES,AR307))</f>
        <v/>
      </c>
      <c r="BB307" s="35" t="str">
        <f aca="false">IF(OR(AW307="",BA307=""),"",IF(AW307&lt;=BA307,1,0))</f>
        <v/>
      </c>
      <c r="BC307" s="38" t="str">
        <f aca="false">IF(OR(BA307="",P307=""),"",WORKDAY(INT(P307),BA307,JoursFeries)+MOD(P307,1))</f>
        <v/>
      </c>
      <c r="BD307" s="39" t="str">
        <f aca="false">IF(AO307&lt;&gt;1,"",IF(OR(AB307&lt;&gt;"",AD307&lt;&gt;""),4,IF(U307&lt;&gt;"",3,IF(T307&lt;&gt;"",2,1))))</f>
        <v/>
      </c>
      <c r="BE307" s="39" t="str">
        <f aca="false">IF(OR(AO307&lt;&gt;1,AR307=""),"",INDEX(NIV_REQ,AR307))</f>
        <v/>
      </c>
      <c r="BF307" s="39" t="str">
        <f aca="false">IF(BE307="","",MAX(BE307,IF(OR(K307="Oui",Z307="Oui"),4,1)))</f>
        <v/>
      </c>
      <c r="BG307" s="35" t="str">
        <f aca="false">IF(OR(BF307="",BD307=""),"",IF(BD307&gt;=BF307,1,0))</f>
        <v/>
      </c>
      <c r="BH307" s="38" t="str">
        <f aca="false">IF(BE307="","",IF(BE307&lt;2,"",IF(BE307=2,IF(AND(T307="",U307=""),"",MIN(T307,U307)),IF(U307="","",U307))))</f>
        <v/>
      </c>
      <c r="BI307" s="37" t="str">
        <f aca="false">IF(BH307="","",IF(OR(O307="",BH307=""),"",IF(BH307&lt;O307,"",ROUND(((NETWORKDAYS(O307,BH307,JoursFeries)-1)*(HFer-HOuv)+IF(NETWORKDAYS(BH307,BH307,JoursFeries),MEDIAN(MOD(BH307,1),HFer,HOuv),HFer)-IF(NETWORKDAYS(O307,O307,JoursFeries),MEDIAN(MOD(O307,1),HFer,HOuv),HOuv))*24,4))))</f>
        <v/>
      </c>
      <c r="BJ307" s="35" t="str">
        <f aca="false">IF(OR(BI307="",AR307=""),"",IF(BI307&lt;=INDEX(DELAI_ESC,AR307),1,0))</f>
        <v/>
      </c>
      <c r="BK307" s="38" t="str">
        <f aca="false">IF(AO307&lt;&gt;1,"",IF(AND(T307="",U307=""),"",MIN(T307,U307)))</f>
        <v/>
      </c>
      <c r="BL307" s="37" t="str">
        <f aca="false">IF(OR(BK307="",R307=""),"",IFERROR(ROUND(IF(OR(BK307="",R307=""),"",IF(R307&lt;BK307,"",ROUND(((NETWORKDAYS(BK307,R307,JoursFeries)-1)*(HFer-HOuv)+IF(NETWORKDAYS(R307,R307,JoursFeries),MEDIAN(MOD(R307,1),HFer,HOuv),HFer)-IF(NETWORKDAYS(BK307,BK307,JoursFeries),MEDIAN(MOD(BK307,1),HFer,HOuv),HOuv))*24,4)))/HJour,4),""))</f>
        <v/>
      </c>
      <c r="BM307" s="35" t="str">
        <f aca="false">IF(OR(AO307&lt;&gt;1,R307=""),"",IF(BD307=1,1,0))</f>
        <v/>
      </c>
      <c r="BN307" s="35" t="str">
        <f aca="false">IF(AO307&lt;&gt;1,"",IF(W307="Oui",1,0))</f>
        <v/>
      </c>
      <c r="BO307" s="35" t="str">
        <f aca="false">IF(AO307&lt;&gt;1,"",IF(X307&lt;&gt;"",1,0))</f>
        <v/>
      </c>
      <c r="BP307" s="35" t="str">
        <f aca="false">IF(AO307&lt;&gt;1,"",IF(Y307="Oui",1,0))</f>
        <v/>
      </c>
      <c r="BQ307" s="35" t="str">
        <f aca="true">IF(OR(AO307&lt;&gt;1,Z307&lt;&gt;"Oui"),"",IF(AB307="",IF(AND(AA307&lt;&gt;"",NOW()&gt;AA307),0,""),IF(AA307="","",IF(AB307&lt;=AA307,1,0))))</f>
        <v/>
      </c>
      <c r="BR307" s="38" t="str">
        <f aca="false">IF(OR(AO307&lt;&gt;1,K307&lt;&gt;"Oui",O307=""),"",IF(AC307="",O307+DORA_H_DET/24,IF(AC307-O307&lt;=DORA_H_DET/24,MIN(AC307+DORA_H_CLA/24,O307+DORA_H_DET/24),AC307+DORA_H_CLA/24)))</f>
        <v/>
      </c>
      <c r="BS307" s="35" t="str">
        <f aca="true">IF(BR307="","",IF(AD307="",IF(NOW()&gt;BR307,0,""),IF(AD307&lt;=BR307,1,0)))</f>
        <v/>
      </c>
      <c r="BT307" s="35" t="str">
        <f aca="true">IF(OR(BR307="",AD307=""),"",IF(AE307="",IF(NOW()&gt;AD307+DORA_H_INT/24,0,""),IF(AE307&lt;=AD307+DORA_H_INT/24,1,0)))</f>
        <v/>
      </c>
      <c r="BU307" s="35" t="str">
        <f aca="true">IF(OR(BR307="",AE307=""),"",IF(AF307="",IF(NOW()&gt;EDATE(AE307,DORA_M_FIN)+1,0,""),IF(AF307&lt;=EDATE(AE307,DORA_M_FIN),1,0)))</f>
        <v/>
      </c>
      <c r="BV307" s="35" t="str">
        <f aca="false">IF(BR307="","",IF(COUNT(BS307:BU307)=0,"",MIN(BS307:BU307)))</f>
        <v/>
      </c>
      <c r="BW307" s="40" t="str">
        <f aca="false">IF(AQ307&lt;&gt;1,"",IF(AND(AG307="",AH307=""),"",N(AG307)-N(AH307)))</f>
        <v/>
      </c>
      <c r="BX307" s="35" t="str">
        <f aca="true">IF(OR(AQ307&lt;&gt;1,AI307&lt;&gt;"Oui",AJ307=""),"",IF(AK307="",IF(NOW()&gt;AJ307+1,0,""),IF(AK307&lt;=AJ307,1,0)))</f>
        <v/>
      </c>
    </row>
    <row r="308" customFormat="false" ht="15" hidden="false" customHeight="false" outlineLevel="0" collapsed="false">
      <c r="B308" s="29"/>
      <c r="C308" s="29"/>
      <c r="D308" s="29"/>
      <c r="E308" s="29"/>
      <c r="F308" s="29"/>
      <c r="G308" s="29"/>
      <c r="H308" s="29"/>
      <c r="I308" s="29"/>
      <c r="J308" s="29"/>
      <c r="K308" s="29"/>
      <c r="L308" s="29"/>
      <c r="M308" s="29"/>
      <c r="N308" s="30"/>
      <c r="O308" s="30"/>
      <c r="P308" s="30"/>
      <c r="Q308" s="30"/>
      <c r="R308" s="30"/>
      <c r="S308" s="30"/>
      <c r="T308" s="30"/>
      <c r="U308" s="30"/>
      <c r="V308" s="31"/>
      <c r="W308" s="29"/>
      <c r="X308" s="29"/>
      <c r="Y308" s="29"/>
      <c r="Z308" s="29"/>
      <c r="AA308" s="30"/>
      <c r="AB308" s="30"/>
      <c r="AC308" s="30"/>
      <c r="AD308" s="30"/>
      <c r="AE308" s="30"/>
      <c r="AF308" s="32"/>
      <c r="AG308" s="33"/>
      <c r="AH308" s="33"/>
      <c r="AI308" s="29"/>
      <c r="AJ308" s="32"/>
      <c r="AK308" s="32"/>
      <c r="AL308" s="29"/>
      <c r="AN308" s="34" t="str">
        <f aca="false">IF($B308="","",IF(OR(C308="",D308="",E308="",G308="",I308="",J308="",L308="",O308="",P308=""),"Champ obligatoire manquant",IF(OR(AND(N308&lt;&gt;"",N308&gt;O308),O308&gt;P308,AND(Q308&lt;&gt;"",Q308&lt;P308),AND(R308&lt;&gt;"",R308&lt;P308),AND(S308&lt;&gt;"",S308&lt;R308),AND(S308&lt;&gt;"",R308=""),AND(T308&lt;&gt;"",T308&lt;O308),AND(U308&lt;&gt;"",U308&lt;O308)),"Chronologie incohérente",IF(AND(OR(L308="Résolu",L308="Clos"),R308=""),"Date de résolution manquante",IF(AND(L308="Clos",S308=""),"Date de clôture manquante",IF(AND(K308="Oui",AC308=""),"Classification DORA manquante","OK"))))))</f>
        <v/>
      </c>
      <c r="AO308" s="35" t="str">
        <f aca="false">IF($B308="","",IF(AND(C308="Incident",L308&lt;&gt;"Annulé"),1,0))</f>
        <v/>
      </c>
      <c r="AP308" s="35" t="str">
        <f aca="false">IF($B308="","",IF(AND(C308="Quasi-incident",L308&lt;&gt;"Annulé"),1,0))</f>
        <v/>
      </c>
      <c r="AQ308" s="35" t="str">
        <f aca="false">IF($B308="","",AO308+AP308)</f>
        <v/>
      </c>
      <c r="AR308" s="36" t="str">
        <f aca="false">IF(OR($B308="",J308=""),"",IFERROR(VALUE(LEFT(J308,1)),""))</f>
        <v/>
      </c>
      <c r="AS308" s="35" t="str">
        <f aca="false">IF(OR(AO308&lt;&gt;1,G308=""),"",IFERROR(IF(INDEX(L_SrcInterne,MATCH(G308,L_Sources,0))="Oui",1,0),""))</f>
        <v/>
      </c>
      <c r="AT308" s="37" t="str">
        <f aca="false">IF(AO308&lt;&gt;1,"",IFERROR(ROUND(IF(OR(N308="",O308=""),"",IF(O308&lt;N308,"",ROUND(((NETWORKDAYS(N308,O308,JoursFeries)-1)*(HFer-HOuv)+IF(NETWORKDAYS(O308,O308,JoursFeries),MEDIAN(MOD(O308,1),HFer,HOuv),HFer)-IF(NETWORKDAYS(N308,N308,JoursFeries),MEDIAN(MOD(N308,1),HFer,HOuv),HOuv))*24,4)))/HJour,4),""))</f>
        <v/>
      </c>
      <c r="AU308" s="37" t="str">
        <f aca="false">IF(AO308&lt;&gt;1,"",IF(OR(O308="",P308=""),"",IF(P308&lt;O308,"",ROUND(((NETWORKDAYS(O308,P308,JoursFeries)-1)*(HFer-HOuv)+IF(NETWORKDAYS(P308,P308,JoursFeries),MEDIAN(MOD(P308,1),HFer,HOuv),HFer)-IF(NETWORKDAYS(O308,O308,JoursFeries),MEDIAN(MOD(O308,1),HFer,HOuv),HOuv))*24,4))))</f>
        <v/>
      </c>
      <c r="AV308" s="37" t="str">
        <f aca="false">IF(AO308&lt;&gt;1,"",IF(OR(P308="",Q308=""),"",IF(Q308&lt;P308,"",ROUND(((NETWORKDAYS(P308,Q308,JoursFeries)-1)*(HFer-HOuv)+IF(NETWORKDAYS(Q308,Q308,JoursFeries),MEDIAN(MOD(Q308,1),HFer,HOuv),HFer)-IF(NETWORKDAYS(P308,P308,JoursFeries),MEDIAN(MOD(P308,1),HFer,HOuv),HOuv))*24,4))))</f>
        <v/>
      </c>
      <c r="AW308" s="37" t="str">
        <f aca="false">IF(AO308&lt;&gt;1,"",IFERROR(ROUND(IF(OR(P308="",R308=""),"",IF(R308&lt;P308,"",ROUND(((NETWORKDAYS(P308,R308,JoursFeries)-1)*(HFer-HOuv)+IF(NETWORKDAYS(R308,R308,JoursFeries),MEDIAN(MOD(R308,1),HFer,HOuv),HFer)-IF(NETWORKDAYS(P308,P308,JoursFeries),MEDIAN(MOD(P308,1),HFer,HOuv),HOuv))*24,4)))/HJour,4),""))</f>
        <v/>
      </c>
      <c r="AX308" s="37" t="str">
        <f aca="false">IF(AO308&lt;&gt;1,"",IFERROR(ROUND(IF(OR(P308="",S308=""),"",IF(S308&lt;P308,"",ROUND(((NETWORKDAYS(P308,S308,JoursFeries)-1)*(HFer-HOuv)+IF(NETWORKDAYS(S308,S308,JoursFeries),MEDIAN(MOD(S308,1),HFer,HOuv),HFer)-IF(NETWORKDAYS(P308,P308,JoursFeries),MEDIAN(MOD(P308,1),HFer,HOuv),HOuv))*24,4)))/HJour,4),""))</f>
        <v/>
      </c>
      <c r="AY308" s="36" t="str">
        <f aca="false">IF(OR(AO308&lt;&gt;1,AR308=""),"",INDEX(SLA_PEC,AR308))</f>
        <v/>
      </c>
      <c r="AZ308" s="35" t="str">
        <f aca="false">IF(OR(AV308="",AY308=""),"",IF(AV308&lt;=AY308,1,0))</f>
        <v/>
      </c>
      <c r="BA308" s="36" t="str">
        <f aca="false">IF(OR(AO308&lt;&gt;1,AR308=""),"",INDEX(SLA_RES,AR308))</f>
        <v/>
      </c>
      <c r="BB308" s="35" t="str">
        <f aca="false">IF(OR(AW308="",BA308=""),"",IF(AW308&lt;=BA308,1,0))</f>
        <v/>
      </c>
      <c r="BC308" s="38" t="str">
        <f aca="false">IF(OR(BA308="",P308=""),"",WORKDAY(INT(P308),BA308,JoursFeries)+MOD(P308,1))</f>
        <v/>
      </c>
      <c r="BD308" s="39" t="str">
        <f aca="false">IF(AO308&lt;&gt;1,"",IF(OR(AB308&lt;&gt;"",AD308&lt;&gt;""),4,IF(U308&lt;&gt;"",3,IF(T308&lt;&gt;"",2,1))))</f>
        <v/>
      </c>
      <c r="BE308" s="39" t="str">
        <f aca="false">IF(OR(AO308&lt;&gt;1,AR308=""),"",INDEX(NIV_REQ,AR308))</f>
        <v/>
      </c>
      <c r="BF308" s="39" t="str">
        <f aca="false">IF(BE308="","",MAX(BE308,IF(OR(K308="Oui",Z308="Oui"),4,1)))</f>
        <v/>
      </c>
      <c r="BG308" s="35" t="str">
        <f aca="false">IF(OR(BF308="",BD308=""),"",IF(BD308&gt;=BF308,1,0))</f>
        <v/>
      </c>
      <c r="BH308" s="38" t="str">
        <f aca="false">IF(BE308="","",IF(BE308&lt;2,"",IF(BE308=2,IF(AND(T308="",U308=""),"",MIN(T308,U308)),IF(U308="","",U308))))</f>
        <v/>
      </c>
      <c r="BI308" s="37" t="str">
        <f aca="false">IF(BH308="","",IF(OR(O308="",BH308=""),"",IF(BH308&lt;O308,"",ROUND(((NETWORKDAYS(O308,BH308,JoursFeries)-1)*(HFer-HOuv)+IF(NETWORKDAYS(BH308,BH308,JoursFeries),MEDIAN(MOD(BH308,1),HFer,HOuv),HFer)-IF(NETWORKDAYS(O308,O308,JoursFeries),MEDIAN(MOD(O308,1),HFer,HOuv),HOuv))*24,4))))</f>
        <v/>
      </c>
      <c r="BJ308" s="35" t="str">
        <f aca="false">IF(OR(BI308="",AR308=""),"",IF(BI308&lt;=INDEX(DELAI_ESC,AR308),1,0))</f>
        <v/>
      </c>
      <c r="BK308" s="38" t="str">
        <f aca="false">IF(AO308&lt;&gt;1,"",IF(AND(T308="",U308=""),"",MIN(T308,U308)))</f>
        <v/>
      </c>
      <c r="BL308" s="37" t="str">
        <f aca="false">IF(OR(BK308="",R308=""),"",IFERROR(ROUND(IF(OR(BK308="",R308=""),"",IF(R308&lt;BK308,"",ROUND(((NETWORKDAYS(BK308,R308,JoursFeries)-1)*(HFer-HOuv)+IF(NETWORKDAYS(R308,R308,JoursFeries),MEDIAN(MOD(R308,1),HFer,HOuv),HFer)-IF(NETWORKDAYS(BK308,BK308,JoursFeries),MEDIAN(MOD(BK308,1),HFer,HOuv),HOuv))*24,4)))/HJour,4),""))</f>
        <v/>
      </c>
      <c r="BM308" s="35" t="str">
        <f aca="false">IF(OR(AO308&lt;&gt;1,R308=""),"",IF(BD308=1,1,0))</f>
        <v/>
      </c>
      <c r="BN308" s="35" t="str">
        <f aca="false">IF(AO308&lt;&gt;1,"",IF(W308="Oui",1,0))</f>
        <v/>
      </c>
      <c r="BO308" s="35" t="str">
        <f aca="false">IF(AO308&lt;&gt;1,"",IF(X308&lt;&gt;"",1,0))</f>
        <v/>
      </c>
      <c r="BP308" s="35" t="str">
        <f aca="false">IF(AO308&lt;&gt;1,"",IF(Y308="Oui",1,0))</f>
        <v/>
      </c>
      <c r="BQ308" s="35" t="str">
        <f aca="true">IF(OR(AO308&lt;&gt;1,Z308&lt;&gt;"Oui"),"",IF(AB308="",IF(AND(AA308&lt;&gt;"",NOW()&gt;AA308),0,""),IF(AA308="","",IF(AB308&lt;=AA308,1,0))))</f>
        <v/>
      </c>
      <c r="BR308" s="38" t="str">
        <f aca="false">IF(OR(AO308&lt;&gt;1,K308&lt;&gt;"Oui",O308=""),"",IF(AC308="",O308+DORA_H_DET/24,IF(AC308-O308&lt;=DORA_H_DET/24,MIN(AC308+DORA_H_CLA/24,O308+DORA_H_DET/24),AC308+DORA_H_CLA/24)))</f>
        <v/>
      </c>
      <c r="BS308" s="35" t="str">
        <f aca="true">IF(BR308="","",IF(AD308="",IF(NOW()&gt;BR308,0,""),IF(AD308&lt;=BR308,1,0)))</f>
        <v/>
      </c>
      <c r="BT308" s="35" t="str">
        <f aca="true">IF(OR(BR308="",AD308=""),"",IF(AE308="",IF(NOW()&gt;AD308+DORA_H_INT/24,0,""),IF(AE308&lt;=AD308+DORA_H_INT/24,1,0)))</f>
        <v/>
      </c>
      <c r="BU308" s="35" t="str">
        <f aca="true">IF(OR(BR308="",AE308=""),"",IF(AF308="",IF(NOW()&gt;EDATE(AE308,DORA_M_FIN)+1,0,""),IF(AF308&lt;=EDATE(AE308,DORA_M_FIN),1,0)))</f>
        <v/>
      </c>
      <c r="BV308" s="35" t="str">
        <f aca="false">IF(BR308="","",IF(COUNT(BS308:BU308)=0,"",MIN(BS308:BU308)))</f>
        <v/>
      </c>
      <c r="BW308" s="40" t="str">
        <f aca="false">IF(AQ308&lt;&gt;1,"",IF(AND(AG308="",AH308=""),"",N(AG308)-N(AH308)))</f>
        <v/>
      </c>
      <c r="BX308" s="35" t="str">
        <f aca="true">IF(OR(AQ308&lt;&gt;1,AI308&lt;&gt;"Oui",AJ308=""),"",IF(AK308="",IF(NOW()&gt;AJ308+1,0,""),IF(AK308&lt;=AJ308,1,0)))</f>
        <v/>
      </c>
    </row>
    <row r="309" customFormat="false" ht="15" hidden="false" customHeight="false" outlineLevel="0" collapsed="false">
      <c r="B309" s="29"/>
      <c r="C309" s="29"/>
      <c r="D309" s="29"/>
      <c r="E309" s="29"/>
      <c r="F309" s="29"/>
      <c r="G309" s="29"/>
      <c r="H309" s="29"/>
      <c r="I309" s="29"/>
      <c r="J309" s="29"/>
      <c r="K309" s="29"/>
      <c r="L309" s="29"/>
      <c r="M309" s="29"/>
      <c r="N309" s="30"/>
      <c r="O309" s="30"/>
      <c r="P309" s="30"/>
      <c r="Q309" s="30"/>
      <c r="R309" s="30"/>
      <c r="S309" s="30"/>
      <c r="T309" s="30"/>
      <c r="U309" s="30"/>
      <c r="V309" s="31"/>
      <c r="W309" s="29"/>
      <c r="X309" s="29"/>
      <c r="Y309" s="29"/>
      <c r="Z309" s="29"/>
      <c r="AA309" s="30"/>
      <c r="AB309" s="30"/>
      <c r="AC309" s="30"/>
      <c r="AD309" s="30"/>
      <c r="AE309" s="30"/>
      <c r="AF309" s="32"/>
      <c r="AG309" s="33"/>
      <c r="AH309" s="33"/>
      <c r="AI309" s="29"/>
      <c r="AJ309" s="32"/>
      <c r="AK309" s="32"/>
      <c r="AL309" s="29"/>
      <c r="AN309" s="34" t="str">
        <f aca="false">IF($B309="","",IF(OR(C309="",D309="",E309="",G309="",I309="",J309="",L309="",O309="",P309=""),"Champ obligatoire manquant",IF(OR(AND(N309&lt;&gt;"",N309&gt;O309),O309&gt;P309,AND(Q309&lt;&gt;"",Q309&lt;P309),AND(R309&lt;&gt;"",R309&lt;P309),AND(S309&lt;&gt;"",S309&lt;R309),AND(S309&lt;&gt;"",R309=""),AND(T309&lt;&gt;"",T309&lt;O309),AND(U309&lt;&gt;"",U309&lt;O309)),"Chronologie incohérente",IF(AND(OR(L309="Résolu",L309="Clos"),R309=""),"Date de résolution manquante",IF(AND(L309="Clos",S309=""),"Date de clôture manquante",IF(AND(K309="Oui",AC309=""),"Classification DORA manquante","OK"))))))</f>
        <v/>
      </c>
      <c r="AO309" s="35" t="str">
        <f aca="false">IF($B309="","",IF(AND(C309="Incident",L309&lt;&gt;"Annulé"),1,0))</f>
        <v/>
      </c>
      <c r="AP309" s="35" t="str">
        <f aca="false">IF($B309="","",IF(AND(C309="Quasi-incident",L309&lt;&gt;"Annulé"),1,0))</f>
        <v/>
      </c>
      <c r="AQ309" s="35" t="str">
        <f aca="false">IF($B309="","",AO309+AP309)</f>
        <v/>
      </c>
      <c r="AR309" s="36" t="str">
        <f aca="false">IF(OR($B309="",J309=""),"",IFERROR(VALUE(LEFT(J309,1)),""))</f>
        <v/>
      </c>
      <c r="AS309" s="35" t="str">
        <f aca="false">IF(OR(AO309&lt;&gt;1,G309=""),"",IFERROR(IF(INDEX(L_SrcInterne,MATCH(G309,L_Sources,0))="Oui",1,0),""))</f>
        <v/>
      </c>
      <c r="AT309" s="37" t="str">
        <f aca="false">IF(AO309&lt;&gt;1,"",IFERROR(ROUND(IF(OR(N309="",O309=""),"",IF(O309&lt;N309,"",ROUND(((NETWORKDAYS(N309,O309,JoursFeries)-1)*(HFer-HOuv)+IF(NETWORKDAYS(O309,O309,JoursFeries),MEDIAN(MOD(O309,1),HFer,HOuv),HFer)-IF(NETWORKDAYS(N309,N309,JoursFeries),MEDIAN(MOD(N309,1),HFer,HOuv),HOuv))*24,4)))/HJour,4),""))</f>
        <v/>
      </c>
      <c r="AU309" s="37" t="str">
        <f aca="false">IF(AO309&lt;&gt;1,"",IF(OR(O309="",P309=""),"",IF(P309&lt;O309,"",ROUND(((NETWORKDAYS(O309,P309,JoursFeries)-1)*(HFer-HOuv)+IF(NETWORKDAYS(P309,P309,JoursFeries),MEDIAN(MOD(P309,1),HFer,HOuv),HFer)-IF(NETWORKDAYS(O309,O309,JoursFeries),MEDIAN(MOD(O309,1),HFer,HOuv),HOuv))*24,4))))</f>
        <v/>
      </c>
      <c r="AV309" s="37" t="str">
        <f aca="false">IF(AO309&lt;&gt;1,"",IF(OR(P309="",Q309=""),"",IF(Q309&lt;P309,"",ROUND(((NETWORKDAYS(P309,Q309,JoursFeries)-1)*(HFer-HOuv)+IF(NETWORKDAYS(Q309,Q309,JoursFeries),MEDIAN(MOD(Q309,1),HFer,HOuv),HFer)-IF(NETWORKDAYS(P309,P309,JoursFeries),MEDIAN(MOD(P309,1),HFer,HOuv),HOuv))*24,4))))</f>
        <v/>
      </c>
      <c r="AW309" s="37" t="str">
        <f aca="false">IF(AO309&lt;&gt;1,"",IFERROR(ROUND(IF(OR(P309="",R309=""),"",IF(R309&lt;P309,"",ROUND(((NETWORKDAYS(P309,R309,JoursFeries)-1)*(HFer-HOuv)+IF(NETWORKDAYS(R309,R309,JoursFeries),MEDIAN(MOD(R309,1),HFer,HOuv),HFer)-IF(NETWORKDAYS(P309,P309,JoursFeries),MEDIAN(MOD(P309,1),HFer,HOuv),HOuv))*24,4)))/HJour,4),""))</f>
        <v/>
      </c>
      <c r="AX309" s="37" t="str">
        <f aca="false">IF(AO309&lt;&gt;1,"",IFERROR(ROUND(IF(OR(P309="",S309=""),"",IF(S309&lt;P309,"",ROUND(((NETWORKDAYS(P309,S309,JoursFeries)-1)*(HFer-HOuv)+IF(NETWORKDAYS(S309,S309,JoursFeries),MEDIAN(MOD(S309,1),HFer,HOuv),HFer)-IF(NETWORKDAYS(P309,P309,JoursFeries),MEDIAN(MOD(P309,1),HFer,HOuv),HOuv))*24,4)))/HJour,4),""))</f>
        <v/>
      </c>
      <c r="AY309" s="36" t="str">
        <f aca="false">IF(OR(AO309&lt;&gt;1,AR309=""),"",INDEX(SLA_PEC,AR309))</f>
        <v/>
      </c>
      <c r="AZ309" s="35" t="str">
        <f aca="false">IF(OR(AV309="",AY309=""),"",IF(AV309&lt;=AY309,1,0))</f>
        <v/>
      </c>
      <c r="BA309" s="36" t="str">
        <f aca="false">IF(OR(AO309&lt;&gt;1,AR309=""),"",INDEX(SLA_RES,AR309))</f>
        <v/>
      </c>
      <c r="BB309" s="35" t="str">
        <f aca="false">IF(OR(AW309="",BA309=""),"",IF(AW309&lt;=BA309,1,0))</f>
        <v/>
      </c>
      <c r="BC309" s="38" t="str">
        <f aca="false">IF(OR(BA309="",P309=""),"",WORKDAY(INT(P309),BA309,JoursFeries)+MOD(P309,1))</f>
        <v/>
      </c>
      <c r="BD309" s="39" t="str">
        <f aca="false">IF(AO309&lt;&gt;1,"",IF(OR(AB309&lt;&gt;"",AD309&lt;&gt;""),4,IF(U309&lt;&gt;"",3,IF(T309&lt;&gt;"",2,1))))</f>
        <v/>
      </c>
      <c r="BE309" s="39" t="str">
        <f aca="false">IF(OR(AO309&lt;&gt;1,AR309=""),"",INDEX(NIV_REQ,AR309))</f>
        <v/>
      </c>
      <c r="BF309" s="39" t="str">
        <f aca="false">IF(BE309="","",MAX(BE309,IF(OR(K309="Oui",Z309="Oui"),4,1)))</f>
        <v/>
      </c>
      <c r="BG309" s="35" t="str">
        <f aca="false">IF(OR(BF309="",BD309=""),"",IF(BD309&gt;=BF309,1,0))</f>
        <v/>
      </c>
      <c r="BH309" s="38" t="str">
        <f aca="false">IF(BE309="","",IF(BE309&lt;2,"",IF(BE309=2,IF(AND(T309="",U309=""),"",MIN(T309,U309)),IF(U309="","",U309))))</f>
        <v/>
      </c>
      <c r="BI309" s="37" t="str">
        <f aca="false">IF(BH309="","",IF(OR(O309="",BH309=""),"",IF(BH309&lt;O309,"",ROUND(((NETWORKDAYS(O309,BH309,JoursFeries)-1)*(HFer-HOuv)+IF(NETWORKDAYS(BH309,BH309,JoursFeries),MEDIAN(MOD(BH309,1),HFer,HOuv),HFer)-IF(NETWORKDAYS(O309,O309,JoursFeries),MEDIAN(MOD(O309,1),HFer,HOuv),HOuv))*24,4))))</f>
        <v/>
      </c>
      <c r="BJ309" s="35" t="str">
        <f aca="false">IF(OR(BI309="",AR309=""),"",IF(BI309&lt;=INDEX(DELAI_ESC,AR309),1,0))</f>
        <v/>
      </c>
      <c r="BK309" s="38" t="str">
        <f aca="false">IF(AO309&lt;&gt;1,"",IF(AND(T309="",U309=""),"",MIN(T309,U309)))</f>
        <v/>
      </c>
      <c r="BL309" s="37" t="str">
        <f aca="false">IF(OR(BK309="",R309=""),"",IFERROR(ROUND(IF(OR(BK309="",R309=""),"",IF(R309&lt;BK309,"",ROUND(((NETWORKDAYS(BK309,R309,JoursFeries)-1)*(HFer-HOuv)+IF(NETWORKDAYS(R309,R309,JoursFeries),MEDIAN(MOD(R309,1),HFer,HOuv),HFer)-IF(NETWORKDAYS(BK309,BK309,JoursFeries),MEDIAN(MOD(BK309,1),HFer,HOuv),HOuv))*24,4)))/HJour,4),""))</f>
        <v/>
      </c>
      <c r="BM309" s="35" t="str">
        <f aca="false">IF(OR(AO309&lt;&gt;1,R309=""),"",IF(BD309=1,1,0))</f>
        <v/>
      </c>
      <c r="BN309" s="35" t="str">
        <f aca="false">IF(AO309&lt;&gt;1,"",IF(W309="Oui",1,0))</f>
        <v/>
      </c>
      <c r="BO309" s="35" t="str">
        <f aca="false">IF(AO309&lt;&gt;1,"",IF(X309&lt;&gt;"",1,0))</f>
        <v/>
      </c>
      <c r="BP309" s="35" t="str">
        <f aca="false">IF(AO309&lt;&gt;1,"",IF(Y309="Oui",1,0))</f>
        <v/>
      </c>
      <c r="BQ309" s="35" t="str">
        <f aca="true">IF(OR(AO309&lt;&gt;1,Z309&lt;&gt;"Oui"),"",IF(AB309="",IF(AND(AA309&lt;&gt;"",NOW()&gt;AA309),0,""),IF(AA309="","",IF(AB309&lt;=AA309,1,0))))</f>
        <v/>
      </c>
      <c r="BR309" s="38" t="str">
        <f aca="false">IF(OR(AO309&lt;&gt;1,K309&lt;&gt;"Oui",O309=""),"",IF(AC309="",O309+DORA_H_DET/24,IF(AC309-O309&lt;=DORA_H_DET/24,MIN(AC309+DORA_H_CLA/24,O309+DORA_H_DET/24),AC309+DORA_H_CLA/24)))</f>
        <v/>
      </c>
      <c r="BS309" s="35" t="str">
        <f aca="true">IF(BR309="","",IF(AD309="",IF(NOW()&gt;BR309,0,""),IF(AD309&lt;=BR309,1,0)))</f>
        <v/>
      </c>
      <c r="BT309" s="35" t="str">
        <f aca="true">IF(OR(BR309="",AD309=""),"",IF(AE309="",IF(NOW()&gt;AD309+DORA_H_INT/24,0,""),IF(AE309&lt;=AD309+DORA_H_INT/24,1,0)))</f>
        <v/>
      </c>
      <c r="BU309" s="35" t="str">
        <f aca="true">IF(OR(BR309="",AE309=""),"",IF(AF309="",IF(NOW()&gt;EDATE(AE309,DORA_M_FIN)+1,0,""),IF(AF309&lt;=EDATE(AE309,DORA_M_FIN),1,0)))</f>
        <v/>
      </c>
      <c r="BV309" s="35" t="str">
        <f aca="false">IF(BR309="","",IF(COUNT(BS309:BU309)=0,"",MIN(BS309:BU309)))</f>
        <v/>
      </c>
      <c r="BW309" s="40" t="str">
        <f aca="false">IF(AQ309&lt;&gt;1,"",IF(AND(AG309="",AH309=""),"",N(AG309)-N(AH309)))</f>
        <v/>
      </c>
      <c r="BX309" s="35" t="str">
        <f aca="true">IF(OR(AQ309&lt;&gt;1,AI309&lt;&gt;"Oui",AJ309=""),"",IF(AK309="",IF(NOW()&gt;AJ309+1,0,""),IF(AK309&lt;=AJ309,1,0)))</f>
        <v/>
      </c>
    </row>
    <row r="310" customFormat="false" ht="15" hidden="false" customHeight="false" outlineLevel="0" collapsed="false">
      <c r="B310" s="29"/>
      <c r="C310" s="29"/>
      <c r="D310" s="29"/>
      <c r="E310" s="29"/>
      <c r="F310" s="29"/>
      <c r="G310" s="29"/>
      <c r="H310" s="29"/>
      <c r="I310" s="29"/>
      <c r="J310" s="29"/>
      <c r="K310" s="29"/>
      <c r="L310" s="29"/>
      <c r="M310" s="29"/>
      <c r="N310" s="30"/>
      <c r="O310" s="30"/>
      <c r="P310" s="30"/>
      <c r="Q310" s="30"/>
      <c r="R310" s="30"/>
      <c r="S310" s="30"/>
      <c r="T310" s="30"/>
      <c r="U310" s="30"/>
      <c r="V310" s="31"/>
      <c r="W310" s="29"/>
      <c r="X310" s="29"/>
      <c r="Y310" s="29"/>
      <c r="Z310" s="29"/>
      <c r="AA310" s="30"/>
      <c r="AB310" s="30"/>
      <c r="AC310" s="30"/>
      <c r="AD310" s="30"/>
      <c r="AE310" s="30"/>
      <c r="AF310" s="32"/>
      <c r="AG310" s="33"/>
      <c r="AH310" s="33"/>
      <c r="AI310" s="29"/>
      <c r="AJ310" s="32"/>
      <c r="AK310" s="32"/>
      <c r="AL310" s="29"/>
      <c r="AN310" s="34" t="str">
        <f aca="false">IF($B310="","",IF(OR(C310="",D310="",E310="",G310="",I310="",J310="",L310="",O310="",P310=""),"Champ obligatoire manquant",IF(OR(AND(N310&lt;&gt;"",N310&gt;O310),O310&gt;P310,AND(Q310&lt;&gt;"",Q310&lt;P310),AND(R310&lt;&gt;"",R310&lt;P310),AND(S310&lt;&gt;"",S310&lt;R310),AND(S310&lt;&gt;"",R310=""),AND(T310&lt;&gt;"",T310&lt;O310),AND(U310&lt;&gt;"",U310&lt;O310)),"Chronologie incohérente",IF(AND(OR(L310="Résolu",L310="Clos"),R310=""),"Date de résolution manquante",IF(AND(L310="Clos",S310=""),"Date de clôture manquante",IF(AND(K310="Oui",AC310=""),"Classification DORA manquante","OK"))))))</f>
        <v/>
      </c>
      <c r="AO310" s="35" t="str">
        <f aca="false">IF($B310="","",IF(AND(C310="Incident",L310&lt;&gt;"Annulé"),1,0))</f>
        <v/>
      </c>
      <c r="AP310" s="35" t="str">
        <f aca="false">IF($B310="","",IF(AND(C310="Quasi-incident",L310&lt;&gt;"Annulé"),1,0))</f>
        <v/>
      </c>
      <c r="AQ310" s="35" t="str">
        <f aca="false">IF($B310="","",AO310+AP310)</f>
        <v/>
      </c>
      <c r="AR310" s="36" t="str">
        <f aca="false">IF(OR($B310="",J310=""),"",IFERROR(VALUE(LEFT(J310,1)),""))</f>
        <v/>
      </c>
      <c r="AS310" s="35" t="str">
        <f aca="false">IF(OR(AO310&lt;&gt;1,G310=""),"",IFERROR(IF(INDEX(L_SrcInterne,MATCH(G310,L_Sources,0))="Oui",1,0),""))</f>
        <v/>
      </c>
      <c r="AT310" s="37" t="str">
        <f aca="false">IF(AO310&lt;&gt;1,"",IFERROR(ROUND(IF(OR(N310="",O310=""),"",IF(O310&lt;N310,"",ROUND(((NETWORKDAYS(N310,O310,JoursFeries)-1)*(HFer-HOuv)+IF(NETWORKDAYS(O310,O310,JoursFeries),MEDIAN(MOD(O310,1),HFer,HOuv),HFer)-IF(NETWORKDAYS(N310,N310,JoursFeries),MEDIAN(MOD(N310,1),HFer,HOuv),HOuv))*24,4)))/HJour,4),""))</f>
        <v/>
      </c>
      <c r="AU310" s="37" t="str">
        <f aca="false">IF(AO310&lt;&gt;1,"",IF(OR(O310="",P310=""),"",IF(P310&lt;O310,"",ROUND(((NETWORKDAYS(O310,P310,JoursFeries)-1)*(HFer-HOuv)+IF(NETWORKDAYS(P310,P310,JoursFeries),MEDIAN(MOD(P310,1),HFer,HOuv),HFer)-IF(NETWORKDAYS(O310,O310,JoursFeries),MEDIAN(MOD(O310,1),HFer,HOuv),HOuv))*24,4))))</f>
        <v/>
      </c>
      <c r="AV310" s="37" t="str">
        <f aca="false">IF(AO310&lt;&gt;1,"",IF(OR(P310="",Q310=""),"",IF(Q310&lt;P310,"",ROUND(((NETWORKDAYS(P310,Q310,JoursFeries)-1)*(HFer-HOuv)+IF(NETWORKDAYS(Q310,Q310,JoursFeries),MEDIAN(MOD(Q310,1),HFer,HOuv),HFer)-IF(NETWORKDAYS(P310,P310,JoursFeries),MEDIAN(MOD(P310,1),HFer,HOuv),HOuv))*24,4))))</f>
        <v/>
      </c>
      <c r="AW310" s="37" t="str">
        <f aca="false">IF(AO310&lt;&gt;1,"",IFERROR(ROUND(IF(OR(P310="",R310=""),"",IF(R310&lt;P310,"",ROUND(((NETWORKDAYS(P310,R310,JoursFeries)-1)*(HFer-HOuv)+IF(NETWORKDAYS(R310,R310,JoursFeries),MEDIAN(MOD(R310,1),HFer,HOuv),HFer)-IF(NETWORKDAYS(P310,P310,JoursFeries),MEDIAN(MOD(P310,1),HFer,HOuv),HOuv))*24,4)))/HJour,4),""))</f>
        <v/>
      </c>
      <c r="AX310" s="37" t="str">
        <f aca="false">IF(AO310&lt;&gt;1,"",IFERROR(ROUND(IF(OR(P310="",S310=""),"",IF(S310&lt;P310,"",ROUND(((NETWORKDAYS(P310,S310,JoursFeries)-1)*(HFer-HOuv)+IF(NETWORKDAYS(S310,S310,JoursFeries),MEDIAN(MOD(S310,1),HFer,HOuv),HFer)-IF(NETWORKDAYS(P310,P310,JoursFeries),MEDIAN(MOD(P310,1),HFer,HOuv),HOuv))*24,4)))/HJour,4),""))</f>
        <v/>
      </c>
      <c r="AY310" s="36" t="str">
        <f aca="false">IF(OR(AO310&lt;&gt;1,AR310=""),"",INDEX(SLA_PEC,AR310))</f>
        <v/>
      </c>
      <c r="AZ310" s="35" t="str">
        <f aca="false">IF(OR(AV310="",AY310=""),"",IF(AV310&lt;=AY310,1,0))</f>
        <v/>
      </c>
      <c r="BA310" s="36" t="str">
        <f aca="false">IF(OR(AO310&lt;&gt;1,AR310=""),"",INDEX(SLA_RES,AR310))</f>
        <v/>
      </c>
      <c r="BB310" s="35" t="str">
        <f aca="false">IF(OR(AW310="",BA310=""),"",IF(AW310&lt;=BA310,1,0))</f>
        <v/>
      </c>
      <c r="BC310" s="38" t="str">
        <f aca="false">IF(OR(BA310="",P310=""),"",WORKDAY(INT(P310),BA310,JoursFeries)+MOD(P310,1))</f>
        <v/>
      </c>
      <c r="BD310" s="39" t="str">
        <f aca="false">IF(AO310&lt;&gt;1,"",IF(OR(AB310&lt;&gt;"",AD310&lt;&gt;""),4,IF(U310&lt;&gt;"",3,IF(T310&lt;&gt;"",2,1))))</f>
        <v/>
      </c>
      <c r="BE310" s="39" t="str">
        <f aca="false">IF(OR(AO310&lt;&gt;1,AR310=""),"",INDEX(NIV_REQ,AR310))</f>
        <v/>
      </c>
      <c r="BF310" s="39" t="str">
        <f aca="false">IF(BE310="","",MAX(BE310,IF(OR(K310="Oui",Z310="Oui"),4,1)))</f>
        <v/>
      </c>
      <c r="BG310" s="35" t="str">
        <f aca="false">IF(OR(BF310="",BD310=""),"",IF(BD310&gt;=BF310,1,0))</f>
        <v/>
      </c>
      <c r="BH310" s="38" t="str">
        <f aca="false">IF(BE310="","",IF(BE310&lt;2,"",IF(BE310=2,IF(AND(T310="",U310=""),"",MIN(T310,U310)),IF(U310="","",U310))))</f>
        <v/>
      </c>
      <c r="BI310" s="37" t="str">
        <f aca="false">IF(BH310="","",IF(OR(O310="",BH310=""),"",IF(BH310&lt;O310,"",ROUND(((NETWORKDAYS(O310,BH310,JoursFeries)-1)*(HFer-HOuv)+IF(NETWORKDAYS(BH310,BH310,JoursFeries),MEDIAN(MOD(BH310,1),HFer,HOuv),HFer)-IF(NETWORKDAYS(O310,O310,JoursFeries),MEDIAN(MOD(O310,1),HFer,HOuv),HOuv))*24,4))))</f>
        <v/>
      </c>
      <c r="BJ310" s="35" t="str">
        <f aca="false">IF(OR(BI310="",AR310=""),"",IF(BI310&lt;=INDEX(DELAI_ESC,AR310),1,0))</f>
        <v/>
      </c>
      <c r="BK310" s="38" t="str">
        <f aca="false">IF(AO310&lt;&gt;1,"",IF(AND(T310="",U310=""),"",MIN(T310,U310)))</f>
        <v/>
      </c>
      <c r="BL310" s="37" t="str">
        <f aca="false">IF(OR(BK310="",R310=""),"",IFERROR(ROUND(IF(OR(BK310="",R310=""),"",IF(R310&lt;BK310,"",ROUND(((NETWORKDAYS(BK310,R310,JoursFeries)-1)*(HFer-HOuv)+IF(NETWORKDAYS(R310,R310,JoursFeries),MEDIAN(MOD(R310,1),HFer,HOuv),HFer)-IF(NETWORKDAYS(BK310,BK310,JoursFeries),MEDIAN(MOD(BK310,1),HFer,HOuv),HOuv))*24,4)))/HJour,4),""))</f>
        <v/>
      </c>
      <c r="BM310" s="35" t="str">
        <f aca="false">IF(OR(AO310&lt;&gt;1,R310=""),"",IF(BD310=1,1,0))</f>
        <v/>
      </c>
      <c r="BN310" s="35" t="str">
        <f aca="false">IF(AO310&lt;&gt;1,"",IF(W310="Oui",1,0))</f>
        <v/>
      </c>
      <c r="BO310" s="35" t="str">
        <f aca="false">IF(AO310&lt;&gt;1,"",IF(X310&lt;&gt;"",1,0))</f>
        <v/>
      </c>
      <c r="BP310" s="35" t="str">
        <f aca="false">IF(AO310&lt;&gt;1,"",IF(Y310="Oui",1,0))</f>
        <v/>
      </c>
      <c r="BQ310" s="35" t="str">
        <f aca="true">IF(OR(AO310&lt;&gt;1,Z310&lt;&gt;"Oui"),"",IF(AB310="",IF(AND(AA310&lt;&gt;"",NOW()&gt;AA310),0,""),IF(AA310="","",IF(AB310&lt;=AA310,1,0))))</f>
        <v/>
      </c>
      <c r="BR310" s="38" t="str">
        <f aca="false">IF(OR(AO310&lt;&gt;1,K310&lt;&gt;"Oui",O310=""),"",IF(AC310="",O310+DORA_H_DET/24,IF(AC310-O310&lt;=DORA_H_DET/24,MIN(AC310+DORA_H_CLA/24,O310+DORA_H_DET/24),AC310+DORA_H_CLA/24)))</f>
        <v/>
      </c>
      <c r="BS310" s="35" t="str">
        <f aca="true">IF(BR310="","",IF(AD310="",IF(NOW()&gt;BR310,0,""),IF(AD310&lt;=BR310,1,0)))</f>
        <v/>
      </c>
      <c r="BT310" s="35" t="str">
        <f aca="true">IF(OR(BR310="",AD310=""),"",IF(AE310="",IF(NOW()&gt;AD310+DORA_H_INT/24,0,""),IF(AE310&lt;=AD310+DORA_H_INT/24,1,0)))</f>
        <v/>
      </c>
      <c r="BU310" s="35" t="str">
        <f aca="true">IF(OR(BR310="",AE310=""),"",IF(AF310="",IF(NOW()&gt;EDATE(AE310,DORA_M_FIN)+1,0,""),IF(AF310&lt;=EDATE(AE310,DORA_M_FIN),1,0)))</f>
        <v/>
      </c>
      <c r="BV310" s="35" t="str">
        <f aca="false">IF(BR310="","",IF(COUNT(BS310:BU310)=0,"",MIN(BS310:BU310)))</f>
        <v/>
      </c>
      <c r="BW310" s="40" t="str">
        <f aca="false">IF(AQ310&lt;&gt;1,"",IF(AND(AG310="",AH310=""),"",N(AG310)-N(AH310)))</f>
        <v/>
      </c>
      <c r="BX310" s="35" t="str">
        <f aca="true">IF(OR(AQ310&lt;&gt;1,AI310&lt;&gt;"Oui",AJ310=""),"",IF(AK310="",IF(NOW()&gt;AJ310+1,0,""),IF(AK310&lt;=AJ310,1,0)))</f>
        <v/>
      </c>
    </row>
    <row r="311" customFormat="false" ht="15" hidden="false" customHeight="false" outlineLevel="0" collapsed="false">
      <c r="B311" s="29"/>
      <c r="C311" s="29"/>
      <c r="D311" s="29"/>
      <c r="E311" s="29"/>
      <c r="F311" s="29"/>
      <c r="G311" s="29"/>
      <c r="H311" s="29"/>
      <c r="I311" s="29"/>
      <c r="J311" s="29"/>
      <c r="K311" s="29"/>
      <c r="L311" s="29"/>
      <c r="M311" s="29"/>
      <c r="N311" s="30"/>
      <c r="O311" s="30"/>
      <c r="P311" s="30"/>
      <c r="Q311" s="30"/>
      <c r="R311" s="30"/>
      <c r="S311" s="30"/>
      <c r="T311" s="30"/>
      <c r="U311" s="30"/>
      <c r="V311" s="31"/>
      <c r="W311" s="29"/>
      <c r="X311" s="29"/>
      <c r="Y311" s="29"/>
      <c r="Z311" s="29"/>
      <c r="AA311" s="30"/>
      <c r="AB311" s="30"/>
      <c r="AC311" s="30"/>
      <c r="AD311" s="30"/>
      <c r="AE311" s="30"/>
      <c r="AF311" s="32"/>
      <c r="AG311" s="33"/>
      <c r="AH311" s="33"/>
      <c r="AI311" s="29"/>
      <c r="AJ311" s="32"/>
      <c r="AK311" s="32"/>
      <c r="AL311" s="29"/>
      <c r="AN311" s="34" t="str">
        <f aca="false">IF($B311="","",IF(OR(C311="",D311="",E311="",G311="",I311="",J311="",L311="",O311="",P311=""),"Champ obligatoire manquant",IF(OR(AND(N311&lt;&gt;"",N311&gt;O311),O311&gt;P311,AND(Q311&lt;&gt;"",Q311&lt;P311),AND(R311&lt;&gt;"",R311&lt;P311),AND(S311&lt;&gt;"",S311&lt;R311),AND(S311&lt;&gt;"",R311=""),AND(T311&lt;&gt;"",T311&lt;O311),AND(U311&lt;&gt;"",U311&lt;O311)),"Chronologie incohérente",IF(AND(OR(L311="Résolu",L311="Clos"),R311=""),"Date de résolution manquante",IF(AND(L311="Clos",S311=""),"Date de clôture manquante",IF(AND(K311="Oui",AC311=""),"Classification DORA manquante","OK"))))))</f>
        <v/>
      </c>
      <c r="AO311" s="35" t="str">
        <f aca="false">IF($B311="","",IF(AND(C311="Incident",L311&lt;&gt;"Annulé"),1,0))</f>
        <v/>
      </c>
      <c r="AP311" s="35" t="str">
        <f aca="false">IF($B311="","",IF(AND(C311="Quasi-incident",L311&lt;&gt;"Annulé"),1,0))</f>
        <v/>
      </c>
      <c r="AQ311" s="35" t="str">
        <f aca="false">IF($B311="","",AO311+AP311)</f>
        <v/>
      </c>
      <c r="AR311" s="36" t="str">
        <f aca="false">IF(OR($B311="",J311=""),"",IFERROR(VALUE(LEFT(J311,1)),""))</f>
        <v/>
      </c>
      <c r="AS311" s="35" t="str">
        <f aca="false">IF(OR(AO311&lt;&gt;1,G311=""),"",IFERROR(IF(INDEX(L_SrcInterne,MATCH(G311,L_Sources,0))="Oui",1,0),""))</f>
        <v/>
      </c>
      <c r="AT311" s="37" t="str">
        <f aca="false">IF(AO311&lt;&gt;1,"",IFERROR(ROUND(IF(OR(N311="",O311=""),"",IF(O311&lt;N311,"",ROUND(((NETWORKDAYS(N311,O311,JoursFeries)-1)*(HFer-HOuv)+IF(NETWORKDAYS(O311,O311,JoursFeries),MEDIAN(MOD(O311,1),HFer,HOuv),HFer)-IF(NETWORKDAYS(N311,N311,JoursFeries),MEDIAN(MOD(N311,1),HFer,HOuv),HOuv))*24,4)))/HJour,4),""))</f>
        <v/>
      </c>
      <c r="AU311" s="37" t="str">
        <f aca="false">IF(AO311&lt;&gt;1,"",IF(OR(O311="",P311=""),"",IF(P311&lt;O311,"",ROUND(((NETWORKDAYS(O311,P311,JoursFeries)-1)*(HFer-HOuv)+IF(NETWORKDAYS(P311,P311,JoursFeries),MEDIAN(MOD(P311,1),HFer,HOuv),HFer)-IF(NETWORKDAYS(O311,O311,JoursFeries),MEDIAN(MOD(O311,1),HFer,HOuv),HOuv))*24,4))))</f>
        <v/>
      </c>
      <c r="AV311" s="37" t="str">
        <f aca="false">IF(AO311&lt;&gt;1,"",IF(OR(P311="",Q311=""),"",IF(Q311&lt;P311,"",ROUND(((NETWORKDAYS(P311,Q311,JoursFeries)-1)*(HFer-HOuv)+IF(NETWORKDAYS(Q311,Q311,JoursFeries),MEDIAN(MOD(Q311,1),HFer,HOuv),HFer)-IF(NETWORKDAYS(P311,P311,JoursFeries),MEDIAN(MOD(P311,1),HFer,HOuv),HOuv))*24,4))))</f>
        <v/>
      </c>
      <c r="AW311" s="37" t="str">
        <f aca="false">IF(AO311&lt;&gt;1,"",IFERROR(ROUND(IF(OR(P311="",R311=""),"",IF(R311&lt;P311,"",ROUND(((NETWORKDAYS(P311,R311,JoursFeries)-1)*(HFer-HOuv)+IF(NETWORKDAYS(R311,R311,JoursFeries),MEDIAN(MOD(R311,1),HFer,HOuv),HFer)-IF(NETWORKDAYS(P311,P311,JoursFeries),MEDIAN(MOD(P311,1),HFer,HOuv),HOuv))*24,4)))/HJour,4),""))</f>
        <v/>
      </c>
      <c r="AX311" s="37" t="str">
        <f aca="false">IF(AO311&lt;&gt;1,"",IFERROR(ROUND(IF(OR(P311="",S311=""),"",IF(S311&lt;P311,"",ROUND(((NETWORKDAYS(P311,S311,JoursFeries)-1)*(HFer-HOuv)+IF(NETWORKDAYS(S311,S311,JoursFeries),MEDIAN(MOD(S311,1),HFer,HOuv),HFer)-IF(NETWORKDAYS(P311,P311,JoursFeries),MEDIAN(MOD(P311,1),HFer,HOuv),HOuv))*24,4)))/HJour,4),""))</f>
        <v/>
      </c>
      <c r="AY311" s="36" t="str">
        <f aca="false">IF(OR(AO311&lt;&gt;1,AR311=""),"",INDEX(SLA_PEC,AR311))</f>
        <v/>
      </c>
      <c r="AZ311" s="35" t="str">
        <f aca="false">IF(OR(AV311="",AY311=""),"",IF(AV311&lt;=AY311,1,0))</f>
        <v/>
      </c>
      <c r="BA311" s="36" t="str">
        <f aca="false">IF(OR(AO311&lt;&gt;1,AR311=""),"",INDEX(SLA_RES,AR311))</f>
        <v/>
      </c>
      <c r="BB311" s="35" t="str">
        <f aca="false">IF(OR(AW311="",BA311=""),"",IF(AW311&lt;=BA311,1,0))</f>
        <v/>
      </c>
      <c r="BC311" s="38" t="str">
        <f aca="false">IF(OR(BA311="",P311=""),"",WORKDAY(INT(P311),BA311,JoursFeries)+MOD(P311,1))</f>
        <v/>
      </c>
      <c r="BD311" s="39" t="str">
        <f aca="false">IF(AO311&lt;&gt;1,"",IF(OR(AB311&lt;&gt;"",AD311&lt;&gt;""),4,IF(U311&lt;&gt;"",3,IF(T311&lt;&gt;"",2,1))))</f>
        <v/>
      </c>
      <c r="BE311" s="39" t="str">
        <f aca="false">IF(OR(AO311&lt;&gt;1,AR311=""),"",INDEX(NIV_REQ,AR311))</f>
        <v/>
      </c>
      <c r="BF311" s="39" t="str">
        <f aca="false">IF(BE311="","",MAX(BE311,IF(OR(K311="Oui",Z311="Oui"),4,1)))</f>
        <v/>
      </c>
      <c r="BG311" s="35" t="str">
        <f aca="false">IF(OR(BF311="",BD311=""),"",IF(BD311&gt;=BF311,1,0))</f>
        <v/>
      </c>
      <c r="BH311" s="38" t="str">
        <f aca="false">IF(BE311="","",IF(BE311&lt;2,"",IF(BE311=2,IF(AND(T311="",U311=""),"",MIN(T311,U311)),IF(U311="","",U311))))</f>
        <v/>
      </c>
      <c r="BI311" s="37" t="str">
        <f aca="false">IF(BH311="","",IF(OR(O311="",BH311=""),"",IF(BH311&lt;O311,"",ROUND(((NETWORKDAYS(O311,BH311,JoursFeries)-1)*(HFer-HOuv)+IF(NETWORKDAYS(BH311,BH311,JoursFeries),MEDIAN(MOD(BH311,1),HFer,HOuv),HFer)-IF(NETWORKDAYS(O311,O311,JoursFeries),MEDIAN(MOD(O311,1),HFer,HOuv),HOuv))*24,4))))</f>
        <v/>
      </c>
      <c r="BJ311" s="35" t="str">
        <f aca="false">IF(OR(BI311="",AR311=""),"",IF(BI311&lt;=INDEX(DELAI_ESC,AR311),1,0))</f>
        <v/>
      </c>
      <c r="BK311" s="38" t="str">
        <f aca="false">IF(AO311&lt;&gt;1,"",IF(AND(T311="",U311=""),"",MIN(T311,U311)))</f>
        <v/>
      </c>
      <c r="BL311" s="37" t="str">
        <f aca="false">IF(OR(BK311="",R311=""),"",IFERROR(ROUND(IF(OR(BK311="",R311=""),"",IF(R311&lt;BK311,"",ROUND(((NETWORKDAYS(BK311,R311,JoursFeries)-1)*(HFer-HOuv)+IF(NETWORKDAYS(R311,R311,JoursFeries),MEDIAN(MOD(R311,1),HFer,HOuv),HFer)-IF(NETWORKDAYS(BK311,BK311,JoursFeries),MEDIAN(MOD(BK311,1),HFer,HOuv),HOuv))*24,4)))/HJour,4),""))</f>
        <v/>
      </c>
      <c r="BM311" s="35" t="str">
        <f aca="false">IF(OR(AO311&lt;&gt;1,R311=""),"",IF(BD311=1,1,0))</f>
        <v/>
      </c>
      <c r="BN311" s="35" t="str">
        <f aca="false">IF(AO311&lt;&gt;1,"",IF(W311="Oui",1,0))</f>
        <v/>
      </c>
      <c r="BO311" s="35" t="str">
        <f aca="false">IF(AO311&lt;&gt;1,"",IF(X311&lt;&gt;"",1,0))</f>
        <v/>
      </c>
      <c r="BP311" s="35" t="str">
        <f aca="false">IF(AO311&lt;&gt;1,"",IF(Y311="Oui",1,0))</f>
        <v/>
      </c>
      <c r="BQ311" s="35" t="str">
        <f aca="true">IF(OR(AO311&lt;&gt;1,Z311&lt;&gt;"Oui"),"",IF(AB311="",IF(AND(AA311&lt;&gt;"",NOW()&gt;AA311),0,""),IF(AA311="","",IF(AB311&lt;=AA311,1,0))))</f>
        <v/>
      </c>
      <c r="BR311" s="38" t="str">
        <f aca="false">IF(OR(AO311&lt;&gt;1,K311&lt;&gt;"Oui",O311=""),"",IF(AC311="",O311+DORA_H_DET/24,IF(AC311-O311&lt;=DORA_H_DET/24,MIN(AC311+DORA_H_CLA/24,O311+DORA_H_DET/24),AC311+DORA_H_CLA/24)))</f>
        <v/>
      </c>
      <c r="BS311" s="35" t="str">
        <f aca="true">IF(BR311="","",IF(AD311="",IF(NOW()&gt;BR311,0,""),IF(AD311&lt;=BR311,1,0)))</f>
        <v/>
      </c>
      <c r="BT311" s="35" t="str">
        <f aca="true">IF(OR(BR311="",AD311=""),"",IF(AE311="",IF(NOW()&gt;AD311+DORA_H_INT/24,0,""),IF(AE311&lt;=AD311+DORA_H_INT/24,1,0)))</f>
        <v/>
      </c>
      <c r="BU311" s="35" t="str">
        <f aca="true">IF(OR(BR311="",AE311=""),"",IF(AF311="",IF(NOW()&gt;EDATE(AE311,DORA_M_FIN)+1,0,""),IF(AF311&lt;=EDATE(AE311,DORA_M_FIN),1,0)))</f>
        <v/>
      </c>
      <c r="BV311" s="35" t="str">
        <f aca="false">IF(BR311="","",IF(COUNT(BS311:BU311)=0,"",MIN(BS311:BU311)))</f>
        <v/>
      </c>
      <c r="BW311" s="40" t="str">
        <f aca="false">IF(AQ311&lt;&gt;1,"",IF(AND(AG311="",AH311=""),"",N(AG311)-N(AH311)))</f>
        <v/>
      </c>
      <c r="BX311" s="35" t="str">
        <f aca="true">IF(OR(AQ311&lt;&gt;1,AI311&lt;&gt;"Oui",AJ311=""),"",IF(AK311="",IF(NOW()&gt;AJ311+1,0,""),IF(AK311&lt;=AJ311,1,0)))</f>
        <v/>
      </c>
    </row>
    <row r="312" customFormat="false" ht="15" hidden="false" customHeight="false" outlineLevel="0" collapsed="false">
      <c r="B312" s="29"/>
      <c r="C312" s="29"/>
      <c r="D312" s="29"/>
      <c r="E312" s="29"/>
      <c r="F312" s="29"/>
      <c r="G312" s="29"/>
      <c r="H312" s="29"/>
      <c r="I312" s="29"/>
      <c r="J312" s="29"/>
      <c r="K312" s="29"/>
      <c r="L312" s="29"/>
      <c r="M312" s="29"/>
      <c r="N312" s="30"/>
      <c r="O312" s="30"/>
      <c r="P312" s="30"/>
      <c r="Q312" s="30"/>
      <c r="R312" s="30"/>
      <c r="S312" s="30"/>
      <c r="T312" s="30"/>
      <c r="U312" s="30"/>
      <c r="V312" s="31"/>
      <c r="W312" s="29"/>
      <c r="X312" s="29"/>
      <c r="Y312" s="29"/>
      <c r="Z312" s="29"/>
      <c r="AA312" s="30"/>
      <c r="AB312" s="30"/>
      <c r="AC312" s="30"/>
      <c r="AD312" s="30"/>
      <c r="AE312" s="30"/>
      <c r="AF312" s="32"/>
      <c r="AG312" s="33"/>
      <c r="AH312" s="33"/>
      <c r="AI312" s="29"/>
      <c r="AJ312" s="32"/>
      <c r="AK312" s="32"/>
      <c r="AL312" s="29"/>
      <c r="AN312" s="34" t="str">
        <f aca="false">IF($B312="","",IF(OR(C312="",D312="",E312="",G312="",I312="",J312="",L312="",O312="",P312=""),"Champ obligatoire manquant",IF(OR(AND(N312&lt;&gt;"",N312&gt;O312),O312&gt;P312,AND(Q312&lt;&gt;"",Q312&lt;P312),AND(R312&lt;&gt;"",R312&lt;P312),AND(S312&lt;&gt;"",S312&lt;R312),AND(S312&lt;&gt;"",R312=""),AND(T312&lt;&gt;"",T312&lt;O312),AND(U312&lt;&gt;"",U312&lt;O312)),"Chronologie incohérente",IF(AND(OR(L312="Résolu",L312="Clos"),R312=""),"Date de résolution manquante",IF(AND(L312="Clos",S312=""),"Date de clôture manquante",IF(AND(K312="Oui",AC312=""),"Classification DORA manquante","OK"))))))</f>
        <v/>
      </c>
      <c r="AO312" s="35" t="str">
        <f aca="false">IF($B312="","",IF(AND(C312="Incident",L312&lt;&gt;"Annulé"),1,0))</f>
        <v/>
      </c>
      <c r="AP312" s="35" t="str">
        <f aca="false">IF($B312="","",IF(AND(C312="Quasi-incident",L312&lt;&gt;"Annulé"),1,0))</f>
        <v/>
      </c>
      <c r="AQ312" s="35" t="str">
        <f aca="false">IF($B312="","",AO312+AP312)</f>
        <v/>
      </c>
      <c r="AR312" s="36" t="str">
        <f aca="false">IF(OR($B312="",J312=""),"",IFERROR(VALUE(LEFT(J312,1)),""))</f>
        <v/>
      </c>
      <c r="AS312" s="35" t="str">
        <f aca="false">IF(OR(AO312&lt;&gt;1,G312=""),"",IFERROR(IF(INDEX(L_SrcInterne,MATCH(G312,L_Sources,0))="Oui",1,0),""))</f>
        <v/>
      </c>
      <c r="AT312" s="37" t="str">
        <f aca="false">IF(AO312&lt;&gt;1,"",IFERROR(ROUND(IF(OR(N312="",O312=""),"",IF(O312&lt;N312,"",ROUND(((NETWORKDAYS(N312,O312,JoursFeries)-1)*(HFer-HOuv)+IF(NETWORKDAYS(O312,O312,JoursFeries),MEDIAN(MOD(O312,1),HFer,HOuv),HFer)-IF(NETWORKDAYS(N312,N312,JoursFeries),MEDIAN(MOD(N312,1),HFer,HOuv),HOuv))*24,4)))/HJour,4),""))</f>
        <v/>
      </c>
      <c r="AU312" s="37" t="str">
        <f aca="false">IF(AO312&lt;&gt;1,"",IF(OR(O312="",P312=""),"",IF(P312&lt;O312,"",ROUND(((NETWORKDAYS(O312,P312,JoursFeries)-1)*(HFer-HOuv)+IF(NETWORKDAYS(P312,P312,JoursFeries),MEDIAN(MOD(P312,1),HFer,HOuv),HFer)-IF(NETWORKDAYS(O312,O312,JoursFeries),MEDIAN(MOD(O312,1),HFer,HOuv),HOuv))*24,4))))</f>
        <v/>
      </c>
      <c r="AV312" s="37" t="str">
        <f aca="false">IF(AO312&lt;&gt;1,"",IF(OR(P312="",Q312=""),"",IF(Q312&lt;P312,"",ROUND(((NETWORKDAYS(P312,Q312,JoursFeries)-1)*(HFer-HOuv)+IF(NETWORKDAYS(Q312,Q312,JoursFeries),MEDIAN(MOD(Q312,1),HFer,HOuv),HFer)-IF(NETWORKDAYS(P312,P312,JoursFeries),MEDIAN(MOD(P312,1),HFer,HOuv),HOuv))*24,4))))</f>
        <v/>
      </c>
      <c r="AW312" s="37" t="str">
        <f aca="false">IF(AO312&lt;&gt;1,"",IFERROR(ROUND(IF(OR(P312="",R312=""),"",IF(R312&lt;P312,"",ROUND(((NETWORKDAYS(P312,R312,JoursFeries)-1)*(HFer-HOuv)+IF(NETWORKDAYS(R312,R312,JoursFeries),MEDIAN(MOD(R312,1),HFer,HOuv),HFer)-IF(NETWORKDAYS(P312,P312,JoursFeries),MEDIAN(MOD(P312,1),HFer,HOuv),HOuv))*24,4)))/HJour,4),""))</f>
        <v/>
      </c>
      <c r="AX312" s="37" t="str">
        <f aca="false">IF(AO312&lt;&gt;1,"",IFERROR(ROUND(IF(OR(P312="",S312=""),"",IF(S312&lt;P312,"",ROUND(((NETWORKDAYS(P312,S312,JoursFeries)-1)*(HFer-HOuv)+IF(NETWORKDAYS(S312,S312,JoursFeries),MEDIAN(MOD(S312,1),HFer,HOuv),HFer)-IF(NETWORKDAYS(P312,P312,JoursFeries),MEDIAN(MOD(P312,1),HFer,HOuv),HOuv))*24,4)))/HJour,4),""))</f>
        <v/>
      </c>
      <c r="AY312" s="36" t="str">
        <f aca="false">IF(OR(AO312&lt;&gt;1,AR312=""),"",INDEX(SLA_PEC,AR312))</f>
        <v/>
      </c>
      <c r="AZ312" s="35" t="str">
        <f aca="false">IF(OR(AV312="",AY312=""),"",IF(AV312&lt;=AY312,1,0))</f>
        <v/>
      </c>
      <c r="BA312" s="36" t="str">
        <f aca="false">IF(OR(AO312&lt;&gt;1,AR312=""),"",INDEX(SLA_RES,AR312))</f>
        <v/>
      </c>
      <c r="BB312" s="35" t="str">
        <f aca="false">IF(OR(AW312="",BA312=""),"",IF(AW312&lt;=BA312,1,0))</f>
        <v/>
      </c>
      <c r="BC312" s="38" t="str">
        <f aca="false">IF(OR(BA312="",P312=""),"",WORKDAY(INT(P312),BA312,JoursFeries)+MOD(P312,1))</f>
        <v/>
      </c>
      <c r="BD312" s="39" t="str">
        <f aca="false">IF(AO312&lt;&gt;1,"",IF(OR(AB312&lt;&gt;"",AD312&lt;&gt;""),4,IF(U312&lt;&gt;"",3,IF(T312&lt;&gt;"",2,1))))</f>
        <v/>
      </c>
      <c r="BE312" s="39" t="str">
        <f aca="false">IF(OR(AO312&lt;&gt;1,AR312=""),"",INDEX(NIV_REQ,AR312))</f>
        <v/>
      </c>
      <c r="BF312" s="39" t="str">
        <f aca="false">IF(BE312="","",MAX(BE312,IF(OR(K312="Oui",Z312="Oui"),4,1)))</f>
        <v/>
      </c>
      <c r="BG312" s="35" t="str">
        <f aca="false">IF(OR(BF312="",BD312=""),"",IF(BD312&gt;=BF312,1,0))</f>
        <v/>
      </c>
      <c r="BH312" s="38" t="str">
        <f aca="false">IF(BE312="","",IF(BE312&lt;2,"",IF(BE312=2,IF(AND(T312="",U312=""),"",MIN(T312,U312)),IF(U312="","",U312))))</f>
        <v/>
      </c>
      <c r="BI312" s="37" t="str">
        <f aca="false">IF(BH312="","",IF(OR(O312="",BH312=""),"",IF(BH312&lt;O312,"",ROUND(((NETWORKDAYS(O312,BH312,JoursFeries)-1)*(HFer-HOuv)+IF(NETWORKDAYS(BH312,BH312,JoursFeries),MEDIAN(MOD(BH312,1),HFer,HOuv),HFer)-IF(NETWORKDAYS(O312,O312,JoursFeries),MEDIAN(MOD(O312,1),HFer,HOuv),HOuv))*24,4))))</f>
        <v/>
      </c>
      <c r="BJ312" s="35" t="str">
        <f aca="false">IF(OR(BI312="",AR312=""),"",IF(BI312&lt;=INDEX(DELAI_ESC,AR312),1,0))</f>
        <v/>
      </c>
      <c r="BK312" s="38" t="str">
        <f aca="false">IF(AO312&lt;&gt;1,"",IF(AND(T312="",U312=""),"",MIN(T312,U312)))</f>
        <v/>
      </c>
      <c r="BL312" s="37" t="str">
        <f aca="false">IF(OR(BK312="",R312=""),"",IFERROR(ROUND(IF(OR(BK312="",R312=""),"",IF(R312&lt;BK312,"",ROUND(((NETWORKDAYS(BK312,R312,JoursFeries)-1)*(HFer-HOuv)+IF(NETWORKDAYS(R312,R312,JoursFeries),MEDIAN(MOD(R312,1),HFer,HOuv),HFer)-IF(NETWORKDAYS(BK312,BK312,JoursFeries),MEDIAN(MOD(BK312,1),HFer,HOuv),HOuv))*24,4)))/HJour,4),""))</f>
        <v/>
      </c>
      <c r="BM312" s="35" t="str">
        <f aca="false">IF(OR(AO312&lt;&gt;1,R312=""),"",IF(BD312=1,1,0))</f>
        <v/>
      </c>
      <c r="BN312" s="35" t="str">
        <f aca="false">IF(AO312&lt;&gt;1,"",IF(W312="Oui",1,0))</f>
        <v/>
      </c>
      <c r="BO312" s="35" t="str">
        <f aca="false">IF(AO312&lt;&gt;1,"",IF(X312&lt;&gt;"",1,0))</f>
        <v/>
      </c>
      <c r="BP312" s="35" t="str">
        <f aca="false">IF(AO312&lt;&gt;1,"",IF(Y312="Oui",1,0))</f>
        <v/>
      </c>
      <c r="BQ312" s="35" t="str">
        <f aca="true">IF(OR(AO312&lt;&gt;1,Z312&lt;&gt;"Oui"),"",IF(AB312="",IF(AND(AA312&lt;&gt;"",NOW()&gt;AA312),0,""),IF(AA312="","",IF(AB312&lt;=AA312,1,0))))</f>
        <v/>
      </c>
      <c r="BR312" s="38" t="str">
        <f aca="false">IF(OR(AO312&lt;&gt;1,K312&lt;&gt;"Oui",O312=""),"",IF(AC312="",O312+DORA_H_DET/24,IF(AC312-O312&lt;=DORA_H_DET/24,MIN(AC312+DORA_H_CLA/24,O312+DORA_H_DET/24),AC312+DORA_H_CLA/24)))</f>
        <v/>
      </c>
      <c r="BS312" s="35" t="str">
        <f aca="true">IF(BR312="","",IF(AD312="",IF(NOW()&gt;BR312,0,""),IF(AD312&lt;=BR312,1,0)))</f>
        <v/>
      </c>
      <c r="BT312" s="35" t="str">
        <f aca="true">IF(OR(BR312="",AD312=""),"",IF(AE312="",IF(NOW()&gt;AD312+DORA_H_INT/24,0,""),IF(AE312&lt;=AD312+DORA_H_INT/24,1,0)))</f>
        <v/>
      </c>
      <c r="BU312" s="35" t="str">
        <f aca="true">IF(OR(BR312="",AE312=""),"",IF(AF312="",IF(NOW()&gt;EDATE(AE312,DORA_M_FIN)+1,0,""),IF(AF312&lt;=EDATE(AE312,DORA_M_FIN),1,0)))</f>
        <v/>
      </c>
      <c r="BV312" s="35" t="str">
        <f aca="false">IF(BR312="","",IF(COUNT(BS312:BU312)=0,"",MIN(BS312:BU312)))</f>
        <v/>
      </c>
      <c r="BW312" s="40" t="str">
        <f aca="false">IF(AQ312&lt;&gt;1,"",IF(AND(AG312="",AH312=""),"",N(AG312)-N(AH312)))</f>
        <v/>
      </c>
      <c r="BX312" s="35" t="str">
        <f aca="true">IF(OR(AQ312&lt;&gt;1,AI312&lt;&gt;"Oui",AJ312=""),"",IF(AK312="",IF(NOW()&gt;AJ312+1,0,""),IF(AK312&lt;=AJ312,1,0)))</f>
        <v/>
      </c>
    </row>
    <row r="313" customFormat="false" ht="15" hidden="false" customHeight="false" outlineLevel="0" collapsed="false">
      <c r="B313" s="29"/>
      <c r="C313" s="29"/>
      <c r="D313" s="29"/>
      <c r="E313" s="29"/>
      <c r="F313" s="29"/>
      <c r="G313" s="29"/>
      <c r="H313" s="29"/>
      <c r="I313" s="29"/>
      <c r="J313" s="29"/>
      <c r="K313" s="29"/>
      <c r="L313" s="29"/>
      <c r="M313" s="29"/>
      <c r="N313" s="30"/>
      <c r="O313" s="30"/>
      <c r="P313" s="30"/>
      <c r="Q313" s="30"/>
      <c r="R313" s="30"/>
      <c r="S313" s="30"/>
      <c r="T313" s="30"/>
      <c r="U313" s="30"/>
      <c r="V313" s="31"/>
      <c r="W313" s="29"/>
      <c r="X313" s="29"/>
      <c r="Y313" s="29"/>
      <c r="Z313" s="29"/>
      <c r="AA313" s="30"/>
      <c r="AB313" s="30"/>
      <c r="AC313" s="30"/>
      <c r="AD313" s="30"/>
      <c r="AE313" s="30"/>
      <c r="AF313" s="32"/>
      <c r="AG313" s="33"/>
      <c r="AH313" s="33"/>
      <c r="AI313" s="29"/>
      <c r="AJ313" s="32"/>
      <c r="AK313" s="32"/>
      <c r="AL313" s="29"/>
      <c r="AN313" s="34" t="str">
        <f aca="false">IF($B313="","",IF(OR(C313="",D313="",E313="",G313="",I313="",J313="",L313="",O313="",P313=""),"Champ obligatoire manquant",IF(OR(AND(N313&lt;&gt;"",N313&gt;O313),O313&gt;P313,AND(Q313&lt;&gt;"",Q313&lt;P313),AND(R313&lt;&gt;"",R313&lt;P313),AND(S313&lt;&gt;"",S313&lt;R313),AND(S313&lt;&gt;"",R313=""),AND(T313&lt;&gt;"",T313&lt;O313),AND(U313&lt;&gt;"",U313&lt;O313)),"Chronologie incohérente",IF(AND(OR(L313="Résolu",L313="Clos"),R313=""),"Date de résolution manquante",IF(AND(L313="Clos",S313=""),"Date de clôture manquante",IF(AND(K313="Oui",AC313=""),"Classification DORA manquante","OK"))))))</f>
        <v/>
      </c>
      <c r="AO313" s="35" t="str">
        <f aca="false">IF($B313="","",IF(AND(C313="Incident",L313&lt;&gt;"Annulé"),1,0))</f>
        <v/>
      </c>
      <c r="AP313" s="35" t="str">
        <f aca="false">IF($B313="","",IF(AND(C313="Quasi-incident",L313&lt;&gt;"Annulé"),1,0))</f>
        <v/>
      </c>
      <c r="AQ313" s="35" t="str">
        <f aca="false">IF($B313="","",AO313+AP313)</f>
        <v/>
      </c>
      <c r="AR313" s="36" t="str">
        <f aca="false">IF(OR($B313="",J313=""),"",IFERROR(VALUE(LEFT(J313,1)),""))</f>
        <v/>
      </c>
      <c r="AS313" s="35" t="str">
        <f aca="false">IF(OR(AO313&lt;&gt;1,G313=""),"",IFERROR(IF(INDEX(L_SrcInterne,MATCH(G313,L_Sources,0))="Oui",1,0),""))</f>
        <v/>
      </c>
      <c r="AT313" s="37" t="str">
        <f aca="false">IF(AO313&lt;&gt;1,"",IFERROR(ROUND(IF(OR(N313="",O313=""),"",IF(O313&lt;N313,"",ROUND(((NETWORKDAYS(N313,O313,JoursFeries)-1)*(HFer-HOuv)+IF(NETWORKDAYS(O313,O313,JoursFeries),MEDIAN(MOD(O313,1),HFer,HOuv),HFer)-IF(NETWORKDAYS(N313,N313,JoursFeries),MEDIAN(MOD(N313,1),HFer,HOuv),HOuv))*24,4)))/HJour,4),""))</f>
        <v/>
      </c>
      <c r="AU313" s="37" t="str">
        <f aca="false">IF(AO313&lt;&gt;1,"",IF(OR(O313="",P313=""),"",IF(P313&lt;O313,"",ROUND(((NETWORKDAYS(O313,P313,JoursFeries)-1)*(HFer-HOuv)+IF(NETWORKDAYS(P313,P313,JoursFeries),MEDIAN(MOD(P313,1),HFer,HOuv),HFer)-IF(NETWORKDAYS(O313,O313,JoursFeries),MEDIAN(MOD(O313,1),HFer,HOuv),HOuv))*24,4))))</f>
        <v/>
      </c>
      <c r="AV313" s="37" t="str">
        <f aca="false">IF(AO313&lt;&gt;1,"",IF(OR(P313="",Q313=""),"",IF(Q313&lt;P313,"",ROUND(((NETWORKDAYS(P313,Q313,JoursFeries)-1)*(HFer-HOuv)+IF(NETWORKDAYS(Q313,Q313,JoursFeries),MEDIAN(MOD(Q313,1),HFer,HOuv),HFer)-IF(NETWORKDAYS(P313,P313,JoursFeries),MEDIAN(MOD(P313,1),HFer,HOuv),HOuv))*24,4))))</f>
        <v/>
      </c>
      <c r="AW313" s="37" t="str">
        <f aca="false">IF(AO313&lt;&gt;1,"",IFERROR(ROUND(IF(OR(P313="",R313=""),"",IF(R313&lt;P313,"",ROUND(((NETWORKDAYS(P313,R313,JoursFeries)-1)*(HFer-HOuv)+IF(NETWORKDAYS(R313,R313,JoursFeries),MEDIAN(MOD(R313,1),HFer,HOuv),HFer)-IF(NETWORKDAYS(P313,P313,JoursFeries),MEDIAN(MOD(P313,1),HFer,HOuv),HOuv))*24,4)))/HJour,4),""))</f>
        <v/>
      </c>
      <c r="AX313" s="37" t="str">
        <f aca="false">IF(AO313&lt;&gt;1,"",IFERROR(ROUND(IF(OR(P313="",S313=""),"",IF(S313&lt;P313,"",ROUND(((NETWORKDAYS(P313,S313,JoursFeries)-1)*(HFer-HOuv)+IF(NETWORKDAYS(S313,S313,JoursFeries),MEDIAN(MOD(S313,1),HFer,HOuv),HFer)-IF(NETWORKDAYS(P313,P313,JoursFeries),MEDIAN(MOD(P313,1),HFer,HOuv),HOuv))*24,4)))/HJour,4),""))</f>
        <v/>
      </c>
      <c r="AY313" s="36" t="str">
        <f aca="false">IF(OR(AO313&lt;&gt;1,AR313=""),"",INDEX(SLA_PEC,AR313))</f>
        <v/>
      </c>
      <c r="AZ313" s="35" t="str">
        <f aca="false">IF(OR(AV313="",AY313=""),"",IF(AV313&lt;=AY313,1,0))</f>
        <v/>
      </c>
      <c r="BA313" s="36" t="str">
        <f aca="false">IF(OR(AO313&lt;&gt;1,AR313=""),"",INDEX(SLA_RES,AR313))</f>
        <v/>
      </c>
      <c r="BB313" s="35" t="str">
        <f aca="false">IF(OR(AW313="",BA313=""),"",IF(AW313&lt;=BA313,1,0))</f>
        <v/>
      </c>
      <c r="BC313" s="38" t="str">
        <f aca="false">IF(OR(BA313="",P313=""),"",WORKDAY(INT(P313),BA313,JoursFeries)+MOD(P313,1))</f>
        <v/>
      </c>
      <c r="BD313" s="39" t="str">
        <f aca="false">IF(AO313&lt;&gt;1,"",IF(OR(AB313&lt;&gt;"",AD313&lt;&gt;""),4,IF(U313&lt;&gt;"",3,IF(T313&lt;&gt;"",2,1))))</f>
        <v/>
      </c>
      <c r="BE313" s="39" t="str">
        <f aca="false">IF(OR(AO313&lt;&gt;1,AR313=""),"",INDEX(NIV_REQ,AR313))</f>
        <v/>
      </c>
      <c r="BF313" s="39" t="str">
        <f aca="false">IF(BE313="","",MAX(BE313,IF(OR(K313="Oui",Z313="Oui"),4,1)))</f>
        <v/>
      </c>
      <c r="BG313" s="35" t="str">
        <f aca="false">IF(OR(BF313="",BD313=""),"",IF(BD313&gt;=BF313,1,0))</f>
        <v/>
      </c>
      <c r="BH313" s="38" t="str">
        <f aca="false">IF(BE313="","",IF(BE313&lt;2,"",IF(BE313=2,IF(AND(T313="",U313=""),"",MIN(T313,U313)),IF(U313="","",U313))))</f>
        <v/>
      </c>
      <c r="BI313" s="37" t="str">
        <f aca="false">IF(BH313="","",IF(OR(O313="",BH313=""),"",IF(BH313&lt;O313,"",ROUND(((NETWORKDAYS(O313,BH313,JoursFeries)-1)*(HFer-HOuv)+IF(NETWORKDAYS(BH313,BH313,JoursFeries),MEDIAN(MOD(BH313,1),HFer,HOuv),HFer)-IF(NETWORKDAYS(O313,O313,JoursFeries),MEDIAN(MOD(O313,1),HFer,HOuv),HOuv))*24,4))))</f>
        <v/>
      </c>
      <c r="BJ313" s="35" t="str">
        <f aca="false">IF(OR(BI313="",AR313=""),"",IF(BI313&lt;=INDEX(DELAI_ESC,AR313),1,0))</f>
        <v/>
      </c>
      <c r="BK313" s="38" t="str">
        <f aca="false">IF(AO313&lt;&gt;1,"",IF(AND(T313="",U313=""),"",MIN(T313,U313)))</f>
        <v/>
      </c>
      <c r="BL313" s="37" t="str">
        <f aca="false">IF(OR(BK313="",R313=""),"",IFERROR(ROUND(IF(OR(BK313="",R313=""),"",IF(R313&lt;BK313,"",ROUND(((NETWORKDAYS(BK313,R313,JoursFeries)-1)*(HFer-HOuv)+IF(NETWORKDAYS(R313,R313,JoursFeries),MEDIAN(MOD(R313,1),HFer,HOuv),HFer)-IF(NETWORKDAYS(BK313,BK313,JoursFeries),MEDIAN(MOD(BK313,1),HFer,HOuv),HOuv))*24,4)))/HJour,4),""))</f>
        <v/>
      </c>
      <c r="BM313" s="35" t="str">
        <f aca="false">IF(OR(AO313&lt;&gt;1,R313=""),"",IF(BD313=1,1,0))</f>
        <v/>
      </c>
      <c r="BN313" s="35" t="str">
        <f aca="false">IF(AO313&lt;&gt;1,"",IF(W313="Oui",1,0))</f>
        <v/>
      </c>
      <c r="BO313" s="35" t="str">
        <f aca="false">IF(AO313&lt;&gt;1,"",IF(X313&lt;&gt;"",1,0))</f>
        <v/>
      </c>
      <c r="BP313" s="35" t="str">
        <f aca="false">IF(AO313&lt;&gt;1,"",IF(Y313="Oui",1,0))</f>
        <v/>
      </c>
      <c r="BQ313" s="35" t="str">
        <f aca="true">IF(OR(AO313&lt;&gt;1,Z313&lt;&gt;"Oui"),"",IF(AB313="",IF(AND(AA313&lt;&gt;"",NOW()&gt;AA313),0,""),IF(AA313="","",IF(AB313&lt;=AA313,1,0))))</f>
        <v/>
      </c>
      <c r="BR313" s="38" t="str">
        <f aca="false">IF(OR(AO313&lt;&gt;1,K313&lt;&gt;"Oui",O313=""),"",IF(AC313="",O313+DORA_H_DET/24,IF(AC313-O313&lt;=DORA_H_DET/24,MIN(AC313+DORA_H_CLA/24,O313+DORA_H_DET/24),AC313+DORA_H_CLA/24)))</f>
        <v/>
      </c>
      <c r="BS313" s="35" t="str">
        <f aca="true">IF(BR313="","",IF(AD313="",IF(NOW()&gt;BR313,0,""),IF(AD313&lt;=BR313,1,0)))</f>
        <v/>
      </c>
      <c r="BT313" s="35" t="str">
        <f aca="true">IF(OR(BR313="",AD313=""),"",IF(AE313="",IF(NOW()&gt;AD313+DORA_H_INT/24,0,""),IF(AE313&lt;=AD313+DORA_H_INT/24,1,0)))</f>
        <v/>
      </c>
      <c r="BU313" s="35" t="str">
        <f aca="true">IF(OR(BR313="",AE313=""),"",IF(AF313="",IF(NOW()&gt;EDATE(AE313,DORA_M_FIN)+1,0,""),IF(AF313&lt;=EDATE(AE313,DORA_M_FIN),1,0)))</f>
        <v/>
      </c>
      <c r="BV313" s="35" t="str">
        <f aca="false">IF(BR313="","",IF(COUNT(BS313:BU313)=0,"",MIN(BS313:BU313)))</f>
        <v/>
      </c>
      <c r="BW313" s="40" t="str">
        <f aca="false">IF(AQ313&lt;&gt;1,"",IF(AND(AG313="",AH313=""),"",N(AG313)-N(AH313)))</f>
        <v/>
      </c>
      <c r="BX313" s="35" t="str">
        <f aca="true">IF(OR(AQ313&lt;&gt;1,AI313&lt;&gt;"Oui",AJ313=""),"",IF(AK313="",IF(NOW()&gt;AJ313+1,0,""),IF(AK313&lt;=AJ313,1,0)))</f>
        <v/>
      </c>
    </row>
    <row r="314" customFormat="false" ht="15" hidden="false" customHeight="false" outlineLevel="0" collapsed="false">
      <c r="B314" s="29"/>
      <c r="C314" s="29"/>
      <c r="D314" s="29"/>
      <c r="E314" s="29"/>
      <c r="F314" s="29"/>
      <c r="G314" s="29"/>
      <c r="H314" s="29"/>
      <c r="I314" s="29"/>
      <c r="J314" s="29"/>
      <c r="K314" s="29"/>
      <c r="L314" s="29"/>
      <c r="M314" s="29"/>
      <c r="N314" s="30"/>
      <c r="O314" s="30"/>
      <c r="P314" s="30"/>
      <c r="Q314" s="30"/>
      <c r="R314" s="30"/>
      <c r="S314" s="30"/>
      <c r="T314" s="30"/>
      <c r="U314" s="30"/>
      <c r="V314" s="31"/>
      <c r="W314" s="29"/>
      <c r="X314" s="29"/>
      <c r="Y314" s="29"/>
      <c r="Z314" s="29"/>
      <c r="AA314" s="30"/>
      <c r="AB314" s="30"/>
      <c r="AC314" s="30"/>
      <c r="AD314" s="30"/>
      <c r="AE314" s="30"/>
      <c r="AF314" s="32"/>
      <c r="AG314" s="33"/>
      <c r="AH314" s="33"/>
      <c r="AI314" s="29"/>
      <c r="AJ314" s="32"/>
      <c r="AK314" s="32"/>
      <c r="AL314" s="29"/>
      <c r="AN314" s="34" t="str">
        <f aca="false">IF($B314="","",IF(OR(C314="",D314="",E314="",G314="",I314="",J314="",L314="",O314="",P314=""),"Champ obligatoire manquant",IF(OR(AND(N314&lt;&gt;"",N314&gt;O314),O314&gt;P314,AND(Q314&lt;&gt;"",Q314&lt;P314),AND(R314&lt;&gt;"",R314&lt;P314),AND(S314&lt;&gt;"",S314&lt;R314),AND(S314&lt;&gt;"",R314=""),AND(T314&lt;&gt;"",T314&lt;O314),AND(U314&lt;&gt;"",U314&lt;O314)),"Chronologie incohérente",IF(AND(OR(L314="Résolu",L314="Clos"),R314=""),"Date de résolution manquante",IF(AND(L314="Clos",S314=""),"Date de clôture manquante",IF(AND(K314="Oui",AC314=""),"Classification DORA manquante","OK"))))))</f>
        <v/>
      </c>
      <c r="AO314" s="35" t="str">
        <f aca="false">IF($B314="","",IF(AND(C314="Incident",L314&lt;&gt;"Annulé"),1,0))</f>
        <v/>
      </c>
      <c r="AP314" s="35" t="str">
        <f aca="false">IF($B314="","",IF(AND(C314="Quasi-incident",L314&lt;&gt;"Annulé"),1,0))</f>
        <v/>
      </c>
      <c r="AQ314" s="35" t="str">
        <f aca="false">IF($B314="","",AO314+AP314)</f>
        <v/>
      </c>
      <c r="AR314" s="36" t="str">
        <f aca="false">IF(OR($B314="",J314=""),"",IFERROR(VALUE(LEFT(J314,1)),""))</f>
        <v/>
      </c>
      <c r="AS314" s="35" t="str">
        <f aca="false">IF(OR(AO314&lt;&gt;1,G314=""),"",IFERROR(IF(INDEX(L_SrcInterne,MATCH(G314,L_Sources,0))="Oui",1,0),""))</f>
        <v/>
      </c>
      <c r="AT314" s="37" t="str">
        <f aca="false">IF(AO314&lt;&gt;1,"",IFERROR(ROUND(IF(OR(N314="",O314=""),"",IF(O314&lt;N314,"",ROUND(((NETWORKDAYS(N314,O314,JoursFeries)-1)*(HFer-HOuv)+IF(NETWORKDAYS(O314,O314,JoursFeries),MEDIAN(MOD(O314,1),HFer,HOuv),HFer)-IF(NETWORKDAYS(N314,N314,JoursFeries),MEDIAN(MOD(N314,1),HFer,HOuv),HOuv))*24,4)))/HJour,4),""))</f>
        <v/>
      </c>
      <c r="AU314" s="37" t="str">
        <f aca="false">IF(AO314&lt;&gt;1,"",IF(OR(O314="",P314=""),"",IF(P314&lt;O314,"",ROUND(((NETWORKDAYS(O314,P314,JoursFeries)-1)*(HFer-HOuv)+IF(NETWORKDAYS(P314,P314,JoursFeries),MEDIAN(MOD(P314,1),HFer,HOuv),HFer)-IF(NETWORKDAYS(O314,O314,JoursFeries),MEDIAN(MOD(O314,1),HFer,HOuv),HOuv))*24,4))))</f>
        <v/>
      </c>
      <c r="AV314" s="37" t="str">
        <f aca="false">IF(AO314&lt;&gt;1,"",IF(OR(P314="",Q314=""),"",IF(Q314&lt;P314,"",ROUND(((NETWORKDAYS(P314,Q314,JoursFeries)-1)*(HFer-HOuv)+IF(NETWORKDAYS(Q314,Q314,JoursFeries),MEDIAN(MOD(Q314,1),HFer,HOuv),HFer)-IF(NETWORKDAYS(P314,P314,JoursFeries),MEDIAN(MOD(P314,1),HFer,HOuv),HOuv))*24,4))))</f>
        <v/>
      </c>
      <c r="AW314" s="37" t="str">
        <f aca="false">IF(AO314&lt;&gt;1,"",IFERROR(ROUND(IF(OR(P314="",R314=""),"",IF(R314&lt;P314,"",ROUND(((NETWORKDAYS(P314,R314,JoursFeries)-1)*(HFer-HOuv)+IF(NETWORKDAYS(R314,R314,JoursFeries),MEDIAN(MOD(R314,1),HFer,HOuv),HFer)-IF(NETWORKDAYS(P314,P314,JoursFeries),MEDIAN(MOD(P314,1),HFer,HOuv),HOuv))*24,4)))/HJour,4),""))</f>
        <v/>
      </c>
      <c r="AX314" s="37" t="str">
        <f aca="false">IF(AO314&lt;&gt;1,"",IFERROR(ROUND(IF(OR(P314="",S314=""),"",IF(S314&lt;P314,"",ROUND(((NETWORKDAYS(P314,S314,JoursFeries)-1)*(HFer-HOuv)+IF(NETWORKDAYS(S314,S314,JoursFeries),MEDIAN(MOD(S314,1),HFer,HOuv),HFer)-IF(NETWORKDAYS(P314,P314,JoursFeries),MEDIAN(MOD(P314,1),HFer,HOuv),HOuv))*24,4)))/HJour,4),""))</f>
        <v/>
      </c>
      <c r="AY314" s="36" t="str">
        <f aca="false">IF(OR(AO314&lt;&gt;1,AR314=""),"",INDEX(SLA_PEC,AR314))</f>
        <v/>
      </c>
      <c r="AZ314" s="35" t="str">
        <f aca="false">IF(OR(AV314="",AY314=""),"",IF(AV314&lt;=AY314,1,0))</f>
        <v/>
      </c>
      <c r="BA314" s="36" t="str">
        <f aca="false">IF(OR(AO314&lt;&gt;1,AR314=""),"",INDEX(SLA_RES,AR314))</f>
        <v/>
      </c>
      <c r="BB314" s="35" t="str">
        <f aca="false">IF(OR(AW314="",BA314=""),"",IF(AW314&lt;=BA314,1,0))</f>
        <v/>
      </c>
      <c r="BC314" s="38" t="str">
        <f aca="false">IF(OR(BA314="",P314=""),"",WORKDAY(INT(P314),BA314,JoursFeries)+MOD(P314,1))</f>
        <v/>
      </c>
      <c r="BD314" s="39" t="str">
        <f aca="false">IF(AO314&lt;&gt;1,"",IF(OR(AB314&lt;&gt;"",AD314&lt;&gt;""),4,IF(U314&lt;&gt;"",3,IF(T314&lt;&gt;"",2,1))))</f>
        <v/>
      </c>
      <c r="BE314" s="39" t="str">
        <f aca="false">IF(OR(AO314&lt;&gt;1,AR314=""),"",INDEX(NIV_REQ,AR314))</f>
        <v/>
      </c>
      <c r="BF314" s="39" t="str">
        <f aca="false">IF(BE314="","",MAX(BE314,IF(OR(K314="Oui",Z314="Oui"),4,1)))</f>
        <v/>
      </c>
      <c r="BG314" s="35" t="str">
        <f aca="false">IF(OR(BF314="",BD314=""),"",IF(BD314&gt;=BF314,1,0))</f>
        <v/>
      </c>
      <c r="BH314" s="38" t="str">
        <f aca="false">IF(BE314="","",IF(BE314&lt;2,"",IF(BE314=2,IF(AND(T314="",U314=""),"",MIN(T314,U314)),IF(U314="","",U314))))</f>
        <v/>
      </c>
      <c r="BI314" s="37" t="str">
        <f aca="false">IF(BH314="","",IF(OR(O314="",BH314=""),"",IF(BH314&lt;O314,"",ROUND(((NETWORKDAYS(O314,BH314,JoursFeries)-1)*(HFer-HOuv)+IF(NETWORKDAYS(BH314,BH314,JoursFeries),MEDIAN(MOD(BH314,1),HFer,HOuv),HFer)-IF(NETWORKDAYS(O314,O314,JoursFeries),MEDIAN(MOD(O314,1),HFer,HOuv),HOuv))*24,4))))</f>
        <v/>
      </c>
      <c r="BJ314" s="35" t="str">
        <f aca="false">IF(OR(BI314="",AR314=""),"",IF(BI314&lt;=INDEX(DELAI_ESC,AR314),1,0))</f>
        <v/>
      </c>
      <c r="BK314" s="38" t="str">
        <f aca="false">IF(AO314&lt;&gt;1,"",IF(AND(T314="",U314=""),"",MIN(T314,U314)))</f>
        <v/>
      </c>
      <c r="BL314" s="37" t="str">
        <f aca="false">IF(OR(BK314="",R314=""),"",IFERROR(ROUND(IF(OR(BK314="",R314=""),"",IF(R314&lt;BK314,"",ROUND(((NETWORKDAYS(BK314,R314,JoursFeries)-1)*(HFer-HOuv)+IF(NETWORKDAYS(R314,R314,JoursFeries),MEDIAN(MOD(R314,1),HFer,HOuv),HFer)-IF(NETWORKDAYS(BK314,BK314,JoursFeries),MEDIAN(MOD(BK314,1),HFer,HOuv),HOuv))*24,4)))/HJour,4),""))</f>
        <v/>
      </c>
      <c r="BM314" s="35" t="str">
        <f aca="false">IF(OR(AO314&lt;&gt;1,R314=""),"",IF(BD314=1,1,0))</f>
        <v/>
      </c>
      <c r="BN314" s="35" t="str">
        <f aca="false">IF(AO314&lt;&gt;1,"",IF(W314="Oui",1,0))</f>
        <v/>
      </c>
      <c r="BO314" s="35" t="str">
        <f aca="false">IF(AO314&lt;&gt;1,"",IF(X314&lt;&gt;"",1,0))</f>
        <v/>
      </c>
      <c r="BP314" s="35" t="str">
        <f aca="false">IF(AO314&lt;&gt;1,"",IF(Y314="Oui",1,0))</f>
        <v/>
      </c>
      <c r="BQ314" s="35" t="str">
        <f aca="true">IF(OR(AO314&lt;&gt;1,Z314&lt;&gt;"Oui"),"",IF(AB314="",IF(AND(AA314&lt;&gt;"",NOW()&gt;AA314),0,""),IF(AA314="","",IF(AB314&lt;=AA314,1,0))))</f>
        <v/>
      </c>
      <c r="BR314" s="38" t="str">
        <f aca="false">IF(OR(AO314&lt;&gt;1,K314&lt;&gt;"Oui",O314=""),"",IF(AC314="",O314+DORA_H_DET/24,IF(AC314-O314&lt;=DORA_H_DET/24,MIN(AC314+DORA_H_CLA/24,O314+DORA_H_DET/24),AC314+DORA_H_CLA/24)))</f>
        <v/>
      </c>
      <c r="BS314" s="35" t="str">
        <f aca="true">IF(BR314="","",IF(AD314="",IF(NOW()&gt;BR314,0,""),IF(AD314&lt;=BR314,1,0)))</f>
        <v/>
      </c>
      <c r="BT314" s="35" t="str">
        <f aca="true">IF(OR(BR314="",AD314=""),"",IF(AE314="",IF(NOW()&gt;AD314+DORA_H_INT/24,0,""),IF(AE314&lt;=AD314+DORA_H_INT/24,1,0)))</f>
        <v/>
      </c>
      <c r="BU314" s="35" t="str">
        <f aca="true">IF(OR(BR314="",AE314=""),"",IF(AF314="",IF(NOW()&gt;EDATE(AE314,DORA_M_FIN)+1,0,""),IF(AF314&lt;=EDATE(AE314,DORA_M_FIN),1,0)))</f>
        <v/>
      </c>
      <c r="BV314" s="35" t="str">
        <f aca="false">IF(BR314="","",IF(COUNT(BS314:BU314)=0,"",MIN(BS314:BU314)))</f>
        <v/>
      </c>
      <c r="BW314" s="40" t="str">
        <f aca="false">IF(AQ314&lt;&gt;1,"",IF(AND(AG314="",AH314=""),"",N(AG314)-N(AH314)))</f>
        <v/>
      </c>
      <c r="BX314" s="35" t="str">
        <f aca="true">IF(OR(AQ314&lt;&gt;1,AI314&lt;&gt;"Oui",AJ314=""),"",IF(AK314="",IF(NOW()&gt;AJ314+1,0,""),IF(AK314&lt;=AJ314,1,0)))</f>
        <v/>
      </c>
    </row>
    <row r="315" customFormat="false" ht="15" hidden="false" customHeight="false" outlineLevel="0" collapsed="false">
      <c r="B315" s="29"/>
      <c r="C315" s="29"/>
      <c r="D315" s="29"/>
      <c r="E315" s="29"/>
      <c r="F315" s="29"/>
      <c r="G315" s="29"/>
      <c r="H315" s="29"/>
      <c r="I315" s="29"/>
      <c r="J315" s="29"/>
      <c r="K315" s="29"/>
      <c r="L315" s="29"/>
      <c r="M315" s="29"/>
      <c r="N315" s="30"/>
      <c r="O315" s="30"/>
      <c r="P315" s="30"/>
      <c r="Q315" s="30"/>
      <c r="R315" s="30"/>
      <c r="S315" s="30"/>
      <c r="T315" s="30"/>
      <c r="U315" s="30"/>
      <c r="V315" s="31"/>
      <c r="W315" s="29"/>
      <c r="X315" s="29"/>
      <c r="Y315" s="29"/>
      <c r="Z315" s="29"/>
      <c r="AA315" s="30"/>
      <c r="AB315" s="30"/>
      <c r="AC315" s="30"/>
      <c r="AD315" s="30"/>
      <c r="AE315" s="30"/>
      <c r="AF315" s="32"/>
      <c r="AG315" s="33"/>
      <c r="AH315" s="33"/>
      <c r="AI315" s="29"/>
      <c r="AJ315" s="32"/>
      <c r="AK315" s="32"/>
      <c r="AL315" s="29"/>
      <c r="AN315" s="34" t="str">
        <f aca="false">IF($B315="","",IF(OR(C315="",D315="",E315="",G315="",I315="",J315="",L315="",O315="",P315=""),"Champ obligatoire manquant",IF(OR(AND(N315&lt;&gt;"",N315&gt;O315),O315&gt;P315,AND(Q315&lt;&gt;"",Q315&lt;P315),AND(R315&lt;&gt;"",R315&lt;P315),AND(S315&lt;&gt;"",S315&lt;R315),AND(S315&lt;&gt;"",R315=""),AND(T315&lt;&gt;"",T315&lt;O315),AND(U315&lt;&gt;"",U315&lt;O315)),"Chronologie incohérente",IF(AND(OR(L315="Résolu",L315="Clos"),R315=""),"Date de résolution manquante",IF(AND(L315="Clos",S315=""),"Date de clôture manquante",IF(AND(K315="Oui",AC315=""),"Classification DORA manquante","OK"))))))</f>
        <v/>
      </c>
      <c r="AO315" s="35" t="str">
        <f aca="false">IF($B315="","",IF(AND(C315="Incident",L315&lt;&gt;"Annulé"),1,0))</f>
        <v/>
      </c>
      <c r="AP315" s="35" t="str">
        <f aca="false">IF($B315="","",IF(AND(C315="Quasi-incident",L315&lt;&gt;"Annulé"),1,0))</f>
        <v/>
      </c>
      <c r="AQ315" s="35" t="str">
        <f aca="false">IF($B315="","",AO315+AP315)</f>
        <v/>
      </c>
      <c r="AR315" s="36" t="str">
        <f aca="false">IF(OR($B315="",J315=""),"",IFERROR(VALUE(LEFT(J315,1)),""))</f>
        <v/>
      </c>
      <c r="AS315" s="35" t="str">
        <f aca="false">IF(OR(AO315&lt;&gt;1,G315=""),"",IFERROR(IF(INDEX(L_SrcInterne,MATCH(G315,L_Sources,0))="Oui",1,0),""))</f>
        <v/>
      </c>
      <c r="AT315" s="37" t="str">
        <f aca="false">IF(AO315&lt;&gt;1,"",IFERROR(ROUND(IF(OR(N315="",O315=""),"",IF(O315&lt;N315,"",ROUND(((NETWORKDAYS(N315,O315,JoursFeries)-1)*(HFer-HOuv)+IF(NETWORKDAYS(O315,O315,JoursFeries),MEDIAN(MOD(O315,1),HFer,HOuv),HFer)-IF(NETWORKDAYS(N315,N315,JoursFeries),MEDIAN(MOD(N315,1),HFer,HOuv),HOuv))*24,4)))/HJour,4),""))</f>
        <v/>
      </c>
      <c r="AU315" s="37" t="str">
        <f aca="false">IF(AO315&lt;&gt;1,"",IF(OR(O315="",P315=""),"",IF(P315&lt;O315,"",ROUND(((NETWORKDAYS(O315,P315,JoursFeries)-1)*(HFer-HOuv)+IF(NETWORKDAYS(P315,P315,JoursFeries),MEDIAN(MOD(P315,1),HFer,HOuv),HFer)-IF(NETWORKDAYS(O315,O315,JoursFeries),MEDIAN(MOD(O315,1),HFer,HOuv),HOuv))*24,4))))</f>
        <v/>
      </c>
      <c r="AV315" s="37" t="str">
        <f aca="false">IF(AO315&lt;&gt;1,"",IF(OR(P315="",Q315=""),"",IF(Q315&lt;P315,"",ROUND(((NETWORKDAYS(P315,Q315,JoursFeries)-1)*(HFer-HOuv)+IF(NETWORKDAYS(Q315,Q315,JoursFeries),MEDIAN(MOD(Q315,1),HFer,HOuv),HFer)-IF(NETWORKDAYS(P315,P315,JoursFeries),MEDIAN(MOD(P315,1),HFer,HOuv),HOuv))*24,4))))</f>
        <v/>
      </c>
      <c r="AW315" s="37" t="str">
        <f aca="false">IF(AO315&lt;&gt;1,"",IFERROR(ROUND(IF(OR(P315="",R315=""),"",IF(R315&lt;P315,"",ROUND(((NETWORKDAYS(P315,R315,JoursFeries)-1)*(HFer-HOuv)+IF(NETWORKDAYS(R315,R315,JoursFeries),MEDIAN(MOD(R315,1),HFer,HOuv),HFer)-IF(NETWORKDAYS(P315,P315,JoursFeries),MEDIAN(MOD(P315,1),HFer,HOuv),HOuv))*24,4)))/HJour,4),""))</f>
        <v/>
      </c>
      <c r="AX315" s="37" t="str">
        <f aca="false">IF(AO315&lt;&gt;1,"",IFERROR(ROUND(IF(OR(P315="",S315=""),"",IF(S315&lt;P315,"",ROUND(((NETWORKDAYS(P315,S315,JoursFeries)-1)*(HFer-HOuv)+IF(NETWORKDAYS(S315,S315,JoursFeries),MEDIAN(MOD(S315,1),HFer,HOuv),HFer)-IF(NETWORKDAYS(P315,P315,JoursFeries),MEDIAN(MOD(P315,1),HFer,HOuv),HOuv))*24,4)))/HJour,4),""))</f>
        <v/>
      </c>
      <c r="AY315" s="36" t="str">
        <f aca="false">IF(OR(AO315&lt;&gt;1,AR315=""),"",INDEX(SLA_PEC,AR315))</f>
        <v/>
      </c>
      <c r="AZ315" s="35" t="str">
        <f aca="false">IF(OR(AV315="",AY315=""),"",IF(AV315&lt;=AY315,1,0))</f>
        <v/>
      </c>
      <c r="BA315" s="36" t="str">
        <f aca="false">IF(OR(AO315&lt;&gt;1,AR315=""),"",INDEX(SLA_RES,AR315))</f>
        <v/>
      </c>
      <c r="BB315" s="35" t="str">
        <f aca="false">IF(OR(AW315="",BA315=""),"",IF(AW315&lt;=BA315,1,0))</f>
        <v/>
      </c>
      <c r="BC315" s="38" t="str">
        <f aca="false">IF(OR(BA315="",P315=""),"",WORKDAY(INT(P315),BA315,JoursFeries)+MOD(P315,1))</f>
        <v/>
      </c>
      <c r="BD315" s="39" t="str">
        <f aca="false">IF(AO315&lt;&gt;1,"",IF(OR(AB315&lt;&gt;"",AD315&lt;&gt;""),4,IF(U315&lt;&gt;"",3,IF(T315&lt;&gt;"",2,1))))</f>
        <v/>
      </c>
      <c r="BE315" s="39" t="str">
        <f aca="false">IF(OR(AO315&lt;&gt;1,AR315=""),"",INDEX(NIV_REQ,AR315))</f>
        <v/>
      </c>
      <c r="BF315" s="39" t="str">
        <f aca="false">IF(BE315="","",MAX(BE315,IF(OR(K315="Oui",Z315="Oui"),4,1)))</f>
        <v/>
      </c>
      <c r="BG315" s="35" t="str">
        <f aca="false">IF(OR(BF315="",BD315=""),"",IF(BD315&gt;=BF315,1,0))</f>
        <v/>
      </c>
      <c r="BH315" s="38" t="str">
        <f aca="false">IF(BE315="","",IF(BE315&lt;2,"",IF(BE315=2,IF(AND(T315="",U315=""),"",MIN(T315,U315)),IF(U315="","",U315))))</f>
        <v/>
      </c>
      <c r="BI315" s="37" t="str">
        <f aca="false">IF(BH315="","",IF(OR(O315="",BH315=""),"",IF(BH315&lt;O315,"",ROUND(((NETWORKDAYS(O315,BH315,JoursFeries)-1)*(HFer-HOuv)+IF(NETWORKDAYS(BH315,BH315,JoursFeries),MEDIAN(MOD(BH315,1),HFer,HOuv),HFer)-IF(NETWORKDAYS(O315,O315,JoursFeries),MEDIAN(MOD(O315,1),HFer,HOuv),HOuv))*24,4))))</f>
        <v/>
      </c>
      <c r="BJ315" s="35" t="str">
        <f aca="false">IF(OR(BI315="",AR315=""),"",IF(BI315&lt;=INDEX(DELAI_ESC,AR315),1,0))</f>
        <v/>
      </c>
      <c r="BK315" s="38" t="str">
        <f aca="false">IF(AO315&lt;&gt;1,"",IF(AND(T315="",U315=""),"",MIN(T315,U315)))</f>
        <v/>
      </c>
      <c r="BL315" s="37" t="str">
        <f aca="false">IF(OR(BK315="",R315=""),"",IFERROR(ROUND(IF(OR(BK315="",R315=""),"",IF(R315&lt;BK315,"",ROUND(((NETWORKDAYS(BK315,R315,JoursFeries)-1)*(HFer-HOuv)+IF(NETWORKDAYS(R315,R315,JoursFeries),MEDIAN(MOD(R315,1),HFer,HOuv),HFer)-IF(NETWORKDAYS(BK315,BK315,JoursFeries),MEDIAN(MOD(BK315,1),HFer,HOuv),HOuv))*24,4)))/HJour,4),""))</f>
        <v/>
      </c>
      <c r="BM315" s="35" t="str">
        <f aca="false">IF(OR(AO315&lt;&gt;1,R315=""),"",IF(BD315=1,1,0))</f>
        <v/>
      </c>
      <c r="BN315" s="35" t="str">
        <f aca="false">IF(AO315&lt;&gt;1,"",IF(W315="Oui",1,0))</f>
        <v/>
      </c>
      <c r="BO315" s="35" t="str">
        <f aca="false">IF(AO315&lt;&gt;1,"",IF(X315&lt;&gt;"",1,0))</f>
        <v/>
      </c>
      <c r="BP315" s="35" t="str">
        <f aca="false">IF(AO315&lt;&gt;1,"",IF(Y315="Oui",1,0))</f>
        <v/>
      </c>
      <c r="BQ315" s="35" t="str">
        <f aca="true">IF(OR(AO315&lt;&gt;1,Z315&lt;&gt;"Oui"),"",IF(AB315="",IF(AND(AA315&lt;&gt;"",NOW()&gt;AA315),0,""),IF(AA315="","",IF(AB315&lt;=AA315,1,0))))</f>
        <v/>
      </c>
      <c r="BR315" s="38" t="str">
        <f aca="false">IF(OR(AO315&lt;&gt;1,K315&lt;&gt;"Oui",O315=""),"",IF(AC315="",O315+DORA_H_DET/24,IF(AC315-O315&lt;=DORA_H_DET/24,MIN(AC315+DORA_H_CLA/24,O315+DORA_H_DET/24),AC315+DORA_H_CLA/24)))</f>
        <v/>
      </c>
      <c r="BS315" s="35" t="str">
        <f aca="true">IF(BR315="","",IF(AD315="",IF(NOW()&gt;BR315,0,""),IF(AD315&lt;=BR315,1,0)))</f>
        <v/>
      </c>
      <c r="BT315" s="35" t="str">
        <f aca="true">IF(OR(BR315="",AD315=""),"",IF(AE315="",IF(NOW()&gt;AD315+DORA_H_INT/24,0,""),IF(AE315&lt;=AD315+DORA_H_INT/24,1,0)))</f>
        <v/>
      </c>
      <c r="BU315" s="35" t="str">
        <f aca="true">IF(OR(BR315="",AE315=""),"",IF(AF315="",IF(NOW()&gt;EDATE(AE315,DORA_M_FIN)+1,0,""),IF(AF315&lt;=EDATE(AE315,DORA_M_FIN),1,0)))</f>
        <v/>
      </c>
      <c r="BV315" s="35" t="str">
        <f aca="false">IF(BR315="","",IF(COUNT(BS315:BU315)=0,"",MIN(BS315:BU315)))</f>
        <v/>
      </c>
      <c r="BW315" s="40" t="str">
        <f aca="false">IF(AQ315&lt;&gt;1,"",IF(AND(AG315="",AH315=""),"",N(AG315)-N(AH315)))</f>
        <v/>
      </c>
      <c r="BX315" s="35" t="str">
        <f aca="true">IF(OR(AQ315&lt;&gt;1,AI315&lt;&gt;"Oui",AJ315=""),"",IF(AK315="",IF(NOW()&gt;AJ315+1,0,""),IF(AK315&lt;=AJ315,1,0)))</f>
        <v/>
      </c>
    </row>
    <row r="316" customFormat="false" ht="15" hidden="false" customHeight="false" outlineLevel="0" collapsed="false">
      <c r="B316" s="29"/>
      <c r="C316" s="29"/>
      <c r="D316" s="29"/>
      <c r="E316" s="29"/>
      <c r="F316" s="29"/>
      <c r="G316" s="29"/>
      <c r="H316" s="29"/>
      <c r="I316" s="29"/>
      <c r="J316" s="29"/>
      <c r="K316" s="29"/>
      <c r="L316" s="29"/>
      <c r="M316" s="29"/>
      <c r="N316" s="30"/>
      <c r="O316" s="30"/>
      <c r="P316" s="30"/>
      <c r="Q316" s="30"/>
      <c r="R316" s="30"/>
      <c r="S316" s="30"/>
      <c r="T316" s="30"/>
      <c r="U316" s="30"/>
      <c r="V316" s="31"/>
      <c r="W316" s="29"/>
      <c r="X316" s="29"/>
      <c r="Y316" s="29"/>
      <c r="Z316" s="29"/>
      <c r="AA316" s="30"/>
      <c r="AB316" s="30"/>
      <c r="AC316" s="30"/>
      <c r="AD316" s="30"/>
      <c r="AE316" s="30"/>
      <c r="AF316" s="32"/>
      <c r="AG316" s="33"/>
      <c r="AH316" s="33"/>
      <c r="AI316" s="29"/>
      <c r="AJ316" s="32"/>
      <c r="AK316" s="32"/>
      <c r="AL316" s="29"/>
      <c r="AN316" s="34" t="str">
        <f aca="false">IF($B316="","",IF(OR(C316="",D316="",E316="",G316="",I316="",J316="",L316="",O316="",P316=""),"Champ obligatoire manquant",IF(OR(AND(N316&lt;&gt;"",N316&gt;O316),O316&gt;P316,AND(Q316&lt;&gt;"",Q316&lt;P316),AND(R316&lt;&gt;"",R316&lt;P316),AND(S316&lt;&gt;"",S316&lt;R316),AND(S316&lt;&gt;"",R316=""),AND(T316&lt;&gt;"",T316&lt;O316),AND(U316&lt;&gt;"",U316&lt;O316)),"Chronologie incohérente",IF(AND(OR(L316="Résolu",L316="Clos"),R316=""),"Date de résolution manquante",IF(AND(L316="Clos",S316=""),"Date de clôture manquante",IF(AND(K316="Oui",AC316=""),"Classification DORA manquante","OK"))))))</f>
        <v/>
      </c>
      <c r="AO316" s="35" t="str">
        <f aca="false">IF($B316="","",IF(AND(C316="Incident",L316&lt;&gt;"Annulé"),1,0))</f>
        <v/>
      </c>
      <c r="AP316" s="35" t="str">
        <f aca="false">IF($B316="","",IF(AND(C316="Quasi-incident",L316&lt;&gt;"Annulé"),1,0))</f>
        <v/>
      </c>
      <c r="AQ316" s="35" t="str">
        <f aca="false">IF($B316="","",AO316+AP316)</f>
        <v/>
      </c>
      <c r="AR316" s="36" t="str">
        <f aca="false">IF(OR($B316="",J316=""),"",IFERROR(VALUE(LEFT(J316,1)),""))</f>
        <v/>
      </c>
      <c r="AS316" s="35" t="str">
        <f aca="false">IF(OR(AO316&lt;&gt;1,G316=""),"",IFERROR(IF(INDEX(L_SrcInterne,MATCH(G316,L_Sources,0))="Oui",1,0),""))</f>
        <v/>
      </c>
      <c r="AT316" s="37" t="str">
        <f aca="false">IF(AO316&lt;&gt;1,"",IFERROR(ROUND(IF(OR(N316="",O316=""),"",IF(O316&lt;N316,"",ROUND(((NETWORKDAYS(N316,O316,JoursFeries)-1)*(HFer-HOuv)+IF(NETWORKDAYS(O316,O316,JoursFeries),MEDIAN(MOD(O316,1),HFer,HOuv),HFer)-IF(NETWORKDAYS(N316,N316,JoursFeries),MEDIAN(MOD(N316,1),HFer,HOuv),HOuv))*24,4)))/HJour,4),""))</f>
        <v/>
      </c>
      <c r="AU316" s="37" t="str">
        <f aca="false">IF(AO316&lt;&gt;1,"",IF(OR(O316="",P316=""),"",IF(P316&lt;O316,"",ROUND(((NETWORKDAYS(O316,P316,JoursFeries)-1)*(HFer-HOuv)+IF(NETWORKDAYS(P316,P316,JoursFeries),MEDIAN(MOD(P316,1),HFer,HOuv),HFer)-IF(NETWORKDAYS(O316,O316,JoursFeries),MEDIAN(MOD(O316,1),HFer,HOuv),HOuv))*24,4))))</f>
        <v/>
      </c>
      <c r="AV316" s="37" t="str">
        <f aca="false">IF(AO316&lt;&gt;1,"",IF(OR(P316="",Q316=""),"",IF(Q316&lt;P316,"",ROUND(((NETWORKDAYS(P316,Q316,JoursFeries)-1)*(HFer-HOuv)+IF(NETWORKDAYS(Q316,Q316,JoursFeries),MEDIAN(MOD(Q316,1),HFer,HOuv),HFer)-IF(NETWORKDAYS(P316,P316,JoursFeries),MEDIAN(MOD(P316,1),HFer,HOuv),HOuv))*24,4))))</f>
        <v/>
      </c>
      <c r="AW316" s="37" t="str">
        <f aca="false">IF(AO316&lt;&gt;1,"",IFERROR(ROUND(IF(OR(P316="",R316=""),"",IF(R316&lt;P316,"",ROUND(((NETWORKDAYS(P316,R316,JoursFeries)-1)*(HFer-HOuv)+IF(NETWORKDAYS(R316,R316,JoursFeries),MEDIAN(MOD(R316,1),HFer,HOuv),HFer)-IF(NETWORKDAYS(P316,P316,JoursFeries),MEDIAN(MOD(P316,1),HFer,HOuv),HOuv))*24,4)))/HJour,4),""))</f>
        <v/>
      </c>
      <c r="AX316" s="37" t="str">
        <f aca="false">IF(AO316&lt;&gt;1,"",IFERROR(ROUND(IF(OR(P316="",S316=""),"",IF(S316&lt;P316,"",ROUND(((NETWORKDAYS(P316,S316,JoursFeries)-1)*(HFer-HOuv)+IF(NETWORKDAYS(S316,S316,JoursFeries),MEDIAN(MOD(S316,1),HFer,HOuv),HFer)-IF(NETWORKDAYS(P316,P316,JoursFeries),MEDIAN(MOD(P316,1),HFer,HOuv),HOuv))*24,4)))/HJour,4),""))</f>
        <v/>
      </c>
      <c r="AY316" s="36" t="str">
        <f aca="false">IF(OR(AO316&lt;&gt;1,AR316=""),"",INDEX(SLA_PEC,AR316))</f>
        <v/>
      </c>
      <c r="AZ316" s="35" t="str">
        <f aca="false">IF(OR(AV316="",AY316=""),"",IF(AV316&lt;=AY316,1,0))</f>
        <v/>
      </c>
      <c r="BA316" s="36" t="str">
        <f aca="false">IF(OR(AO316&lt;&gt;1,AR316=""),"",INDEX(SLA_RES,AR316))</f>
        <v/>
      </c>
      <c r="BB316" s="35" t="str">
        <f aca="false">IF(OR(AW316="",BA316=""),"",IF(AW316&lt;=BA316,1,0))</f>
        <v/>
      </c>
      <c r="BC316" s="38" t="str">
        <f aca="false">IF(OR(BA316="",P316=""),"",WORKDAY(INT(P316),BA316,JoursFeries)+MOD(P316,1))</f>
        <v/>
      </c>
      <c r="BD316" s="39" t="str">
        <f aca="false">IF(AO316&lt;&gt;1,"",IF(OR(AB316&lt;&gt;"",AD316&lt;&gt;""),4,IF(U316&lt;&gt;"",3,IF(T316&lt;&gt;"",2,1))))</f>
        <v/>
      </c>
      <c r="BE316" s="39" t="str">
        <f aca="false">IF(OR(AO316&lt;&gt;1,AR316=""),"",INDEX(NIV_REQ,AR316))</f>
        <v/>
      </c>
      <c r="BF316" s="39" t="str">
        <f aca="false">IF(BE316="","",MAX(BE316,IF(OR(K316="Oui",Z316="Oui"),4,1)))</f>
        <v/>
      </c>
      <c r="BG316" s="35" t="str">
        <f aca="false">IF(OR(BF316="",BD316=""),"",IF(BD316&gt;=BF316,1,0))</f>
        <v/>
      </c>
      <c r="BH316" s="38" t="str">
        <f aca="false">IF(BE316="","",IF(BE316&lt;2,"",IF(BE316=2,IF(AND(T316="",U316=""),"",MIN(T316,U316)),IF(U316="","",U316))))</f>
        <v/>
      </c>
      <c r="BI316" s="37" t="str">
        <f aca="false">IF(BH316="","",IF(OR(O316="",BH316=""),"",IF(BH316&lt;O316,"",ROUND(((NETWORKDAYS(O316,BH316,JoursFeries)-1)*(HFer-HOuv)+IF(NETWORKDAYS(BH316,BH316,JoursFeries),MEDIAN(MOD(BH316,1),HFer,HOuv),HFer)-IF(NETWORKDAYS(O316,O316,JoursFeries),MEDIAN(MOD(O316,1),HFer,HOuv),HOuv))*24,4))))</f>
        <v/>
      </c>
      <c r="BJ316" s="35" t="str">
        <f aca="false">IF(OR(BI316="",AR316=""),"",IF(BI316&lt;=INDEX(DELAI_ESC,AR316),1,0))</f>
        <v/>
      </c>
      <c r="BK316" s="38" t="str">
        <f aca="false">IF(AO316&lt;&gt;1,"",IF(AND(T316="",U316=""),"",MIN(T316,U316)))</f>
        <v/>
      </c>
      <c r="BL316" s="37" t="str">
        <f aca="false">IF(OR(BK316="",R316=""),"",IFERROR(ROUND(IF(OR(BK316="",R316=""),"",IF(R316&lt;BK316,"",ROUND(((NETWORKDAYS(BK316,R316,JoursFeries)-1)*(HFer-HOuv)+IF(NETWORKDAYS(R316,R316,JoursFeries),MEDIAN(MOD(R316,1),HFer,HOuv),HFer)-IF(NETWORKDAYS(BK316,BK316,JoursFeries),MEDIAN(MOD(BK316,1),HFer,HOuv),HOuv))*24,4)))/HJour,4),""))</f>
        <v/>
      </c>
      <c r="BM316" s="35" t="str">
        <f aca="false">IF(OR(AO316&lt;&gt;1,R316=""),"",IF(BD316=1,1,0))</f>
        <v/>
      </c>
      <c r="BN316" s="35" t="str">
        <f aca="false">IF(AO316&lt;&gt;1,"",IF(W316="Oui",1,0))</f>
        <v/>
      </c>
      <c r="BO316" s="35" t="str">
        <f aca="false">IF(AO316&lt;&gt;1,"",IF(X316&lt;&gt;"",1,0))</f>
        <v/>
      </c>
      <c r="BP316" s="35" t="str">
        <f aca="false">IF(AO316&lt;&gt;1,"",IF(Y316="Oui",1,0))</f>
        <v/>
      </c>
      <c r="BQ316" s="35" t="str">
        <f aca="true">IF(OR(AO316&lt;&gt;1,Z316&lt;&gt;"Oui"),"",IF(AB316="",IF(AND(AA316&lt;&gt;"",NOW()&gt;AA316),0,""),IF(AA316="","",IF(AB316&lt;=AA316,1,0))))</f>
        <v/>
      </c>
      <c r="BR316" s="38" t="str">
        <f aca="false">IF(OR(AO316&lt;&gt;1,K316&lt;&gt;"Oui",O316=""),"",IF(AC316="",O316+DORA_H_DET/24,IF(AC316-O316&lt;=DORA_H_DET/24,MIN(AC316+DORA_H_CLA/24,O316+DORA_H_DET/24),AC316+DORA_H_CLA/24)))</f>
        <v/>
      </c>
      <c r="BS316" s="35" t="str">
        <f aca="true">IF(BR316="","",IF(AD316="",IF(NOW()&gt;BR316,0,""),IF(AD316&lt;=BR316,1,0)))</f>
        <v/>
      </c>
      <c r="BT316" s="35" t="str">
        <f aca="true">IF(OR(BR316="",AD316=""),"",IF(AE316="",IF(NOW()&gt;AD316+DORA_H_INT/24,0,""),IF(AE316&lt;=AD316+DORA_H_INT/24,1,0)))</f>
        <v/>
      </c>
      <c r="BU316" s="35" t="str">
        <f aca="true">IF(OR(BR316="",AE316=""),"",IF(AF316="",IF(NOW()&gt;EDATE(AE316,DORA_M_FIN)+1,0,""),IF(AF316&lt;=EDATE(AE316,DORA_M_FIN),1,0)))</f>
        <v/>
      </c>
      <c r="BV316" s="35" t="str">
        <f aca="false">IF(BR316="","",IF(COUNT(BS316:BU316)=0,"",MIN(BS316:BU316)))</f>
        <v/>
      </c>
      <c r="BW316" s="40" t="str">
        <f aca="false">IF(AQ316&lt;&gt;1,"",IF(AND(AG316="",AH316=""),"",N(AG316)-N(AH316)))</f>
        <v/>
      </c>
      <c r="BX316" s="35" t="str">
        <f aca="true">IF(OR(AQ316&lt;&gt;1,AI316&lt;&gt;"Oui",AJ316=""),"",IF(AK316="",IF(NOW()&gt;AJ316+1,0,""),IF(AK316&lt;=AJ316,1,0)))</f>
        <v/>
      </c>
    </row>
    <row r="317" customFormat="false" ht="15" hidden="false" customHeight="false" outlineLevel="0" collapsed="false">
      <c r="B317" s="29"/>
      <c r="C317" s="29"/>
      <c r="D317" s="29"/>
      <c r="E317" s="29"/>
      <c r="F317" s="29"/>
      <c r="G317" s="29"/>
      <c r="H317" s="29"/>
      <c r="I317" s="29"/>
      <c r="J317" s="29"/>
      <c r="K317" s="29"/>
      <c r="L317" s="29"/>
      <c r="M317" s="29"/>
      <c r="N317" s="30"/>
      <c r="O317" s="30"/>
      <c r="P317" s="30"/>
      <c r="Q317" s="30"/>
      <c r="R317" s="30"/>
      <c r="S317" s="30"/>
      <c r="T317" s="30"/>
      <c r="U317" s="30"/>
      <c r="V317" s="31"/>
      <c r="W317" s="29"/>
      <c r="X317" s="29"/>
      <c r="Y317" s="29"/>
      <c r="Z317" s="29"/>
      <c r="AA317" s="30"/>
      <c r="AB317" s="30"/>
      <c r="AC317" s="30"/>
      <c r="AD317" s="30"/>
      <c r="AE317" s="30"/>
      <c r="AF317" s="32"/>
      <c r="AG317" s="33"/>
      <c r="AH317" s="33"/>
      <c r="AI317" s="29"/>
      <c r="AJ317" s="32"/>
      <c r="AK317" s="32"/>
      <c r="AL317" s="29"/>
      <c r="AN317" s="34" t="str">
        <f aca="false">IF($B317="","",IF(OR(C317="",D317="",E317="",G317="",I317="",J317="",L317="",O317="",P317=""),"Champ obligatoire manquant",IF(OR(AND(N317&lt;&gt;"",N317&gt;O317),O317&gt;P317,AND(Q317&lt;&gt;"",Q317&lt;P317),AND(R317&lt;&gt;"",R317&lt;P317),AND(S317&lt;&gt;"",S317&lt;R317),AND(S317&lt;&gt;"",R317=""),AND(T317&lt;&gt;"",T317&lt;O317),AND(U317&lt;&gt;"",U317&lt;O317)),"Chronologie incohérente",IF(AND(OR(L317="Résolu",L317="Clos"),R317=""),"Date de résolution manquante",IF(AND(L317="Clos",S317=""),"Date de clôture manquante",IF(AND(K317="Oui",AC317=""),"Classification DORA manquante","OK"))))))</f>
        <v/>
      </c>
      <c r="AO317" s="35" t="str">
        <f aca="false">IF($B317="","",IF(AND(C317="Incident",L317&lt;&gt;"Annulé"),1,0))</f>
        <v/>
      </c>
      <c r="AP317" s="35" t="str">
        <f aca="false">IF($B317="","",IF(AND(C317="Quasi-incident",L317&lt;&gt;"Annulé"),1,0))</f>
        <v/>
      </c>
      <c r="AQ317" s="35" t="str">
        <f aca="false">IF($B317="","",AO317+AP317)</f>
        <v/>
      </c>
      <c r="AR317" s="36" t="str">
        <f aca="false">IF(OR($B317="",J317=""),"",IFERROR(VALUE(LEFT(J317,1)),""))</f>
        <v/>
      </c>
      <c r="AS317" s="35" t="str">
        <f aca="false">IF(OR(AO317&lt;&gt;1,G317=""),"",IFERROR(IF(INDEX(L_SrcInterne,MATCH(G317,L_Sources,0))="Oui",1,0),""))</f>
        <v/>
      </c>
      <c r="AT317" s="37" t="str">
        <f aca="false">IF(AO317&lt;&gt;1,"",IFERROR(ROUND(IF(OR(N317="",O317=""),"",IF(O317&lt;N317,"",ROUND(((NETWORKDAYS(N317,O317,JoursFeries)-1)*(HFer-HOuv)+IF(NETWORKDAYS(O317,O317,JoursFeries),MEDIAN(MOD(O317,1),HFer,HOuv),HFer)-IF(NETWORKDAYS(N317,N317,JoursFeries),MEDIAN(MOD(N317,1),HFer,HOuv),HOuv))*24,4)))/HJour,4),""))</f>
        <v/>
      </c>
      <c r="AU317" s="37" t="str">
        <f aca="false">IF(AO317&lt;&gt;1,"",IF(OR(O317="",P317=""),"",IF(P317&lt;O317,"",ROUND(((NETWORKDAYS(O317,P317,JoursFeries)-1)*(HFer-HOuv)+IF(NETWORKDAYS(P317,P317,JoursFeries),MEDIAN(MOD(P317,1),HFer,HOuv),HFer)-IF(NETWORKDAYS(O317,O317,JoursFeries),MEDIAN(MOD(O317,1),HFer,HOuv),HOuv))*24,4))))</f>
        <v/>
      </c>
      <c r="AV317" s="37" t="str">
        <f aca="false">IF(AO317&lt;&gt;1,"",IF(OR(P317="",Q317=""),"",IF(Q317&lt;P317,"",ROUND(((NETWORKDAYS(P317,Q317,JoursFeries)-1)*(HFer-HOuv)+IF(NETWORKDAYS(Q317,Q317,JoursFeries),MEDIAN(MOD(Q317,1),HFer,HOuv),HFer)-IF(NETWORKDAYS(P317,P317,JoursFeries),MEDIAN(MOD(P317,1),HFer,HOuv),HOuv))*24,4))))</f>
        <v/>
      </c>
      <c r="AW317" s="37" t="str">
        <f aca="false">IF(AO317&lt;&gt;1,"",IFERROR(ROUND(IF(OR(P317="",R317=""),"",IF(R317&lt;P317,"",ROUND(((NETWORKDAYS(P317,R317,JoursFeries)-1)*(HFer-HOuv)+IF(NETWORKDAYS(R317,R317,JoursFeries),MEDIAN(MOD(R317,1),HFer,HOuv),HFer)-IF(NETWORKDAYS(P317,P317,JoursFeries),MEDIAN(MOD(P317,1),HFer,HOuv),HOuv))*24,4)))/HJour,4),""))</f>
        <v/>
      </c>
      <c r="AX317" s="37" t="str">
        <f aca="false">IF(AO317&lt;&gt;1,"",IFERROR(ROUND(IF(OR(P317="",S317=""),"",IF(S317&lt;P317,"",ROUND(((NETWORKDAYS(P317,S317,JoursFeries)-1)*(HFer-HOuv)+IF(NETWORKDAYS(S317,S317,JoursFeries),MEDIAN(MOD(S317,1),HFer,HOuv),HFer)-IF(NETWORKDAYS(P317,P317,JoursFeries),MEDIAN(MOD(P317,1),HFer,HOuv),HOuv))*24,4)))/HJour,4),""))</f>
        <v/>
      </c>
      <c r="AY317" s="36" t="str">
        <f aca="false">IF(OR(AO317&lt;&gt;1,AR317=""),"",INDEX(SLA_PEC,AR317))</f>
        <v/>
      </c>
      <c r="AZ317" s="35" t="str">
        <f aca="false">IF(OR(AV317="",AY317=""),"",IF(AV317&lt;=AY317,1,0))</f>
        <v/>
      </c>
      <c r="BA317" s="36" t="str">
        <f aca="false">IF(OR(AO317&lt;&gt;1,AR317=""),"",INDEX(SLA_RES,AR317))</f>
        <v/>
      </c>
      <c r="BB317" s="35" t="str">
        <f aca="false">IF(OR(AW317="",BA317=""),"",IF(AW317&lt;=BA317,1,0))</f>
        <v/>
      </c>
      <c r="BC317" s="38" t="str">
        <f aca="false">IF(OR(BA317="",P317=""),"",WORKDAY(INT(P317),BA317,JoursFeries)+MOD(P317,1))</f>
        <v/>
      </c>
      <c r="BD317" s="39" t="str">
        <f aca="false">IF(AO317&lt;&gt;1,"",IF(OR(AB317&lt;&gt;"",AD317&lt;&gt;""),4,IF(U317&lt;&gt;"",3,IF(T317&lt;&gt;"",2,1))))</f>
        <v/>
      </c>
      <c r="BE317" s="39" t="str">
        <f aca="false">IF(OR(AO317&lt;&gt;1,AR317=""),"",INDEX(NIV_REQ,AR317))</f>
        <v/>
      </c>
      <c r="BF317" s="39" t="str">
        <f aca="false">IF(BE317="","",MAX(BE317,IF(OR(K317="Oui",Z317="Oui"),4,1)))</f>
        <v/>
      </c>
      <c r="BG317" s="35" t="str">
        <f aca="false">IF(OR(BF317="",BD317=""),"",IF(BD317&gt;=BF317,1,0))</f>
        <v/>
      </c>
      <c r="BH317" s="38" t="str">
        <f aca="false">IF(BE317="","",IF(BE317&lt;2,"",IF(BE317=2,IF(AND(T317="",U317=""),"",MIN(T317,U317)),IF(U317="","",U317))))</f>
        <v/>
      </c>
      <c r="BI317" s="37" t="str">
        <f aca="false">IF(BH317="","",IF(OR(O317="",BH317=""),"",IF(BH317&lt;O317,"",ROUND(((NETWORKDAYS(O317,BH317,JoursFeries)-1)*(HFer-HOuv)+IF(NETWORKDAYS(BH317,BH317,JoursFeries),MEDIAN(MOD(BH317,1),HFer,HOuv),HFer)-IF(NETWORKDAYS(O317,O317,JoursFeries),MEDIAN(MOD(O317,1),HFer,HOuv),HOuv))*24,4))))</f>
        <v/>
      </c>
      <c r="BJ317" s="35" t="str">
        <f aca="false">IF(OR(BI317="",AR317=""),"",IF(BI317&lt;=INDEX(DELAI_ESC,AR317),1,0))</f>
        <v/>
      </c>
      <c r="BK317" s="38" t="str">
        <f aca="false">IF(AO317&lt;&gt;1,"",IF(AND(T317="",U317=""),"",MIN(T317,U317)))</f>
        <v/>
      </c>
      <c r="BL317" s="37" t="str">
        <f aca="false">IF(OR(BK317="",R317=""),"",IFERROR(ROUND(IF(OR(BK317="",R317=""),"",IF(R317&lt;BK317,"",ROUND(((NETWORKDAYS(BK317,R317,JoursFeries)-1)*(HFer-HOuv)+IF(NETWORKDAYS(R317,R317,JoursFeries),MEDIAN(MOD(R317,1),HFer,HOuv),HFer)-IF(NETWORKDAYS(BK317,BK317,JoursFeries),MEDIAN(MOD(BK317,1),HFer,HOuv),HOuv))*24,4)))/HJour,4),""))</f>
        <v/>
      </c>
      <c r="BM317" s="35" t="str">
        <f aca="false">IF(OR(AO317&lt;&gt;1,R317=""),"",IF(BD317=1,1,0))</f>
        <v/>
      </c>
      <c r="BN317" s="35" t="str">
        <f aca="false">IF(AO317&lt;&gt;1,"",IF(W317="Oui",1,0))</f>
        <v/>
      </c>
      <c r="BO317" s="35" t="str">
        <f aca="false">IF(AO317&lt;&gt;1,"",IF(X317&lt;&gt;"",1,0))</f>
        <v/>
      </c>
      <c r="BP317" s="35" t="str">
        <f aca="false">IF(AO317&lt;&gt;1,"",IF(Y317="Oui",1,0))</f>
        <v/>
      </c>
      <c r="BQ317" s="35" t="str">
        <f aca="true">IF(OR(AO317&lt;&gt;1,Z317&lt;&gt;"Oui"),"",IF(AB317="",IF(AND(AA317&lt;&gt;"",NOW()&gt;AA317),0,""),IF(AA317="","",IF(AB317&lt;=AA317,1,0))))</f>
        <v/>
      </c>
      <c r="BR317" s="38" t="str">
        <f aca="false">IF(OR(AO317&lt;&gt;1,K317&lt;&gt;"Oui",O317=""),"",IF(AC317="",O317+DORA_H_DET/24,IF(AC317-O317&lt;=DORA_H_DET/24,MIN(AC317+DORA_H_CLA/24,O317+DORA_H_DET/24),AC317+DORA_H_CLA/24)))</f>
        <v/>
      </c>
      <c r="BS317" s="35" t="str">
        <f aca="true">IF(BR317="","",IF(AD317="",IF(NOW()&gt;BR317,0,""),IF(AD317&lt;=BR317,1,0)))</f>
        <v/>
      </c>
      <c r="BT317" s="35" t="str">
        <f aca="true">IF(OR(BR317="",AD317=""),"",IF(AE317="",IF(NOW()&gt;AD317+DORA_H_INT/24,0,""),IF(AE317&lt;=AD317+DORA_H_INT/24,1,0)))</f>
        <v/>
      </c>
      <c r="BU317" s="35" t="str">
        <f aca="true">IF(OR(BR317="",AE317=""),"",IF(AF317="",IF(NOW()&gt;EDATE(AE317,DORA_M_FIN)+1,0,""),IF(AF317&lt;=EDATE(AE317,DORA_M_FIN),1,0)))</f>
        <v/>
      </c>
      <c r="BV317" s="35" t="str">
        <f aca="false">IF(BR317="","",IF(COUNT(BS317:BU317)=0,"",MIN(BS317:BU317)))</f>
        <v/>
      </c>
      <c r="BW317" s="40" t="str">
        <f aca="false">IF(AQ317&lt;&gt;1,"",IF(AND(AG317="",AH317=""),"",N(AG317)-N(AH317)))</f>
        <v/>
      </c>
      <c r="BX317" s="35" t="str">
        <f aca="true">IF(OR(AQ317&lt;&gt;1,AI317&lt;&gt;"Oui",AJ317=""),"",IF(AK317="",IF(NOW()&gt;AJ317+1,0,""),IF(AK317&lt;=AJ317,1,0)))</f>
        <v/>
      </c>
    </row>
    <row r="318" customFormat="false" ht="15" hidden="false" customHeight="false" outlineLevel="0" collapsed="false">
      <c r="B318" s="29"/>
      <c r="C318" s="29"/>
      <c r="D318" s="29"/>
      <c r="E318" s="29"/>
      <c r="F318" s="29"/>
      <c r="G318" s="29"/>
      <c r="H318" s="29"/>
      <c r="I318" s="29"/>
      <c r="J318" s="29"/>
      <c r="K318" s="29"/>
      <c r="L318" s="29"/>
      <c r="M318" s="29"/>
      <c r="N318" s="30"/>
      <c r="O318" s="30"/>
      <c r="P318" s="30"/>
      <c r="Q318" s="30"/>
      <c r="R318" s="30"/>
      <c r="S318" s="30"/>
      <c r="T318" s="30"/>
      <c r="U318" s="30"/>
      <c r="V318" s="31"/>
      <c r="W318" s="29"/>
      <c r="X318" s="29"/>
      <c r="Y318" s="29"/>
      <c r="Z318" s="29"/>
      <c r="AA318" s="30"/>
      <c r="AB318" s="30"/>
      <c r="AC318" s="30"/>
      <c r="AD318" s="30"/>
      <c r="AE318" s="30"/>
      <c r="AF318" s="32"/>
      <c r="AG318" s="33"/>
      <c r="AH318" s="33"/>
      <c r="AI318" s="29"/>
      <c r="AJ318" s="32"/>
      <c r="AK318" s="32"/>
      <c r="AL318" s="29"/>
      <c r="AN318" s="34" t="str">
        <f aca="false">IF($B318="","",IF(OR(C318="",D318="",E318="",G318="",I318="",J318="",L318="",O318="",P318=""),"Champ obligatoire manquant",IF(OR(AND(N318&lt;&gt;"",N318&gt;O318),O318&gt;P318,AND(Q318&lt;&gt;"",Q318&lt;P318),AND(R318&lt;&gt;"",R318&lt;P318),AND(S318&lt;&gt;"",S318&lt;R318),AND(S318&lt;&gt;"",R318=""),AND(T318&lt;&gt;"",T318&lt;O318),AND(U318&lt;&gt;"",U318&lt;O318)),"Chronologie incohérente",IF(AND(OR(L318="Résolu",L318="Clos"),R318=""),"Date de résolution manquante",IF(AND(L318="Clos",S318=""),"Date de clôture manquante",IF(AND(K318="Oui",AC318=""),"Classification DORA manquante","OK"))))))</f>
        <v/>
      </c>
      <c r="AO318" s="35" t="str">
        <f aca="false">IF($B318="","",IF(AND(C318="Incident",L318&lt;&gt;"Annulé"),1,0))</f>
        <v/>
      </c>
      <c r="AP318" s="35" t="str">
        <f aca="false">IF($B318="","",IF(AND(C318="Quasi-incident",L318&lt;&gt;"Annulé"),1,0))</f>
        <v/>
      </c>
      <c r="AQ318" s="35" t="str">
        <f aca="false">IF($B318="","",AO318+AP318)</f>
        <v/>
      </c>
      <c r="AR318" s="36" t="str">
        <f aca="false">IF(OR($B318="",J318=""),"",IFERROR(VALUE(LEFT(J318,1)),""))</f>
        <v/>
      </c>
      <c r="AS318" s="35" t="str">
        <f aca="false">IF(OR(AO318&lt;&gt;1,G318=""),"",IFERROR(IF(INDEX(L_SrcInterne,MATCH(G318,L_Sources,0))="Oui",1,0),""))</f>
        <v/>
      </c>
      <c r="AT318" s="37" t="str">
        <f aca="false">IF(AO318&lt;&gt;1,"",IFERROR(ROUND(IF(OR(N318="",O318=""),"",IF(O318&lt;N318,"",ROUND(((NETWORKDAYS(N318,O318,JoursFeries)-1)*(HFer-HOuv)+IF(NETWORKDAYS(O318,O318,JoursFeries),MEDIAN(MOD(O318,1),HFer,HOuv),HFer)-IF(NETWORKDAYS(N318,N318,JoursFeries),MEDIAN(MOD(N318,1),HFer,HOuv),HOuv))*24,4)))/HJour,4),""))</f>
        <v/>
      </c>
      <c r="AU318" s="37" t="str">
        <f aca="false">IF(AO318&lt;&gt;1,"",IF(OR(O318="",P318=""),"",IF(P318&lt;O318,"",ROUND(((NETWORKDAYS(O318,P318,JoursFeries)-1)*(HFer-HOuv)+IF(NETWORKDAYS(P318,P318,JoursFeries),MEDIAN(MOD(P318,1),HFer,HOuv),HFer)-IF(NETWORKDAYS(O318,O318,JoursFeries),MEDIAN(MOD(O318,1),HFer,HOuv),HOuv))*24,4))))</f>
        <v/>
      </c>
      <c r="AV318" s="37" t="str">
        <f aca="false">IF(AO318&lt;&gt;1,"",IF(OR(P318="",Q318=""),"",IF(Q318&lt;P318,"",ROUND(((NETWORKDAYS(P318,Q318,JoursFeries)-1)*(HFer-HOuv)+IF(NETWORKDAYS(Q318,Q318,JoursFeries),MEDIAN(MOD(Q318,1),HFer,HOuv),HFer)-IF(NETWORKDAYS(P318,P318,JoursFeries),MEDIAN(MOD(P318,1),HFer,HOuv),HOuv))*24,4))))</f>
        <v/>
      </c>
      <c r="AW318" s="37" t="str">
        <f aca="false">IF(AO318&lt;&gt;1,"",IFERROR(ROUND(IF(OR(P318="",R318=""),"",IF(R318&lt;P318,"",ROUND(((NETWORKDAYS(P318,R318,JoursFeries)-1)*(HFer-HOuv)+IF(NETWORKDAYS(R318,R318,JoursFeries),MEDIAN(MOD(R318,1),HFer,HOuv),HFer)-IF(NETWORKDAYS(P318,P318,JoursFeries),MEDIAN(MOD(P318,1),HFer,HOuv),HOuv))*24,4)))/HJour,4),""))</f>
        <v/>
      </c>
      <c r="AX318" s="37" t="str">
        <f aca="false">IF(AO318&lt;&gt;1,"",IFERROR(ROUND(IF(OR(P318="",S318=""),"",IF(S318&lt;P318,"",ROUND(((NETWORKDAYS(P318,S318,JoursFeries)-1)*(HFer-HOuv)+IF(NETWORKDAYS(S318,S318,JoursFeries),MEDIAN(MOD(S318,1),HFer,HOuv),HFer)-IF(NETWORKDAYS(P318,P318,JoursFeries),MEDIAN(MOD(P318,1),HFer,HOuv),HOuv))*24,4)))/HJour,4),""))</f>
        <v/>
      </c>
      <c r="AY318" s="36" t="str">
        <f aca="false">IF(OR(AO318&lt;&gt;1,AR318=""),"",INDEX(SLA_PEC,AR318))</f>
        <v/>
      </c>
      <c r="AZ318" s="35" t="str">
        <f aca="false">IF(OR(AV318="",AY318=""),"",IF(AV318&lt;=AY318,1,0))</f>
        <v/>
      </c>
      <c r="BA318" s="36" t="str">
        <f aca="false">IF(OR(AO318&lt;&gt;1,AR318=""),"",INDEX(SLA_RES,AR318))</f>
        <v/>
      </c>
      <c r="BB318" s="35" t="str">
        <f aca="false">IF(OR(AW318="",BA318=""),"",IF(AW318&lt;=BA318,1,0))</f>
        <v/>
      </c>
      <c r="BC318" s="38" t="str">
        <f aca="false">IF(OR(BA318="",P318=""),"",WORKDAY(INT(P318),BA318,JoursFeries)+MOD(P318,1))</f>
        <v/>
      </c>
      <c r="BD318" s="39" t="str">
        <f aca="false">IF(AO318&lt;&gt;1,"",IF(OR(AB318&lt;&gt;"",AD318&lt;&gt;""),4,IF(U318&lt;&gt;"",3,IF(T318&lt;&gt;"",2,1))))</f>
        <v/>
      </c>
      <c r="BE318" s="39" t="str">
        <f aca="false">IF(OR(AO318&lt;&gt;1,AR318=""),"",INDEX(NIV_REQ,AR318))</f>
        <v/>
      </c>
      <c r="BF318" s="39" t="str">
        <f aca="false">IF(BE318="","",MAX(BE318,IF(OR(K318="Oui",Z318="Oui"),4,1)))</f>
        <v/>
      </c>
      <c r="BG318" s="35" t="str">
        <f aca="false">IF(OR(BF318="",BD318=""),"",IF(BD318&gt;=BF318,1,0))</f>
        <v/>
      </c>
      <c r="BH318" s="38" t="str">
        <f aca="false">IF(BE318="","",IF(BE318&lt;2,"",IF(BE318=2,IF(AND(T318="",U318=""),"",MIN(T318,U318)),IF(U318="","",U318))))</f>
        <v/>
      </c>
      <c r="BI318" s="37" t="str">
        <f aca="false">IF(BH318="","",IF(OR(O318="",BH318=""),"",IF(BH318&lt;O318,"",ROUND(((NETWORKDAYS(O318,BH318,JoursFeries)-1)*(HFer-HOuv)+IF(NETWORKDAYS(BH318,BH318,JoursFeries),MEDIAN(MOD(BH318,1),HFer,HOuv),HFer)-IF(NETWORKDAYS(O318,O318,JoursFeries),MEDIAN(MOD(O318,1),HFer,HOuv),HOuv))*24,4))))</f>
        <v/>
      </c>
      <c r="BJ318" s="35" t="str">
        <f aca="false">IF(OR(BI318="",AR318=""),"",IF(BI318&lt;=INDEX(DELAI_ESC,AR318),1,0))</f>
        <v/>
      </c>
      <c r="BK318" s="38" t="str">
        <f aca="false">IF(AO318&lt;&gt;1,"",IF(AND(T318="",U318=""),"",MIN(T318,U318)))</f>
        <v/>
      </c>
      <c r="BL318" s="37" t="str">
        <f aca="false">IF(OR(BK318="",R318=""),"",IFERROR(ROUND(IF(OR(BK318="",R318=""),"",IF(R318&lt;BK318,"",ROUND(((NETWORKDAYS(BK318,R318,JoursFeries)-1)*(HFer-HOuv)+IF(NETWORKDAYS(R318,R318,JoursFeries),MEDIAN(MOD(R318,1),HFer,HOuv),HFer)-IF(NETWORKDAYS(BK318,BK318,JoursFeries),MEDIAN(MOD(BK318,1),HFer,HOuv),HOuv))*24,4)))/HJour,4),""))</f>
        <v/>
      </c>
      <c r="BM318" s="35" t="str">
        <f aca="false">IF(OR(AO318&lt;&gt;1,R318=""),"",IF(BD318=1,1,0))</f>
        <v/>
      </c>
      <c r="BN318" s="35" t="str">
        <f aca="false">IF(AO318&lt;&gt;1,"",IF(W318="Oui",1,0))</f>
        <v/>
      </c>
      <c r="BO318" s="35" t="str">
        <f aca="false">IF(AO318&lt;&gt;1,"",IF(X318&lt;&gt;"",1,0))</f>
        <v/>
      </c>
      <c r="BP318" s="35" t="str">
        <f aca="false">IF(AO318&lt;&gt;1,"",IF(Y318="Oui",1,0))</f>
        <v/>
      </c>
      <c r="BQ318" s="35" t="str">
        <f aca="true">IF(OR(AO318&lt;&gt;1,Z318&lt;&gt;"Oui"),"",IF(AB318="",IF(AND(AA318&lt;&gt;"",NOW()&gt;AA318),0,""),IF(AA318="","",IF(AB318&lt;=AA318,1,0))))</f>
        <v/>
      </c>
      <c r="BR318" s="38" t="str">
        <f aca="false">IF(OR(AO318&lt;&gt;1,K318&lt;&gt;"Oui",O318=""),"",IF(AC318="",O318+DORA_H_DET/24,IF(AC318-O318&lt;=DORA_H_DET/24,MIN(AC318+DORA_H_CLA/24,O318+DORA_H_DET/24),AC318+DORA_H_CLA/24)))</f>
        <v/>
      </c>
      <c r="BS318" s="35" t="str">
        <f aca="true">IF(BR318="","",IF(AD318="",IF(NOW()&gt;BR318,0,""),IF(AD318&lt;=BR318,1,0)))</f>
        <v/>
      </c>
      <c r="BT318" s="35" t="str">
        <f aca="true">IF(OR(BR318="",AD318=""),"",IF(AE318="",IF(NOW()&gt;AD318+DORA_H_INT/24,0,""),IF(AE318&lt;=AD318+DORA_H_INT/24,1,0)))</f>
        <v/>
      </c>
      <c r="BU318" s="35" t="str">
        <f aca="true">IF(OR(BR318="",AE318=""),"",IF(AF318="",IF(NOW()&gt;EDATE(AE318,DORA_M_FIN)+1,0,""),IF(AF318&lt;=EDATE(AE318,DORA_M_FIN),1,0)))</f>
        <v/>
      </c>
      <c r="BV318" s="35" t="str">
        <f aca="false">IF(BR318="","",IF(COUNT(BS318:BU318)=0,"",MIN(BS318:BU318)))</f>
        <v/>
      </c>
      <c r="BW318" s="40" t="str">
        <f aca="false">IF(AQ318&lt;&gt;1,"",IF(AND(AG318="",AH318=""),"",N(AG318)-N(AH318)))</f>
        <v/>
      </c>
      <c r="BX318" s="35" t="str">
        <f aca="true">IF(OR(AQ318&lt;&gt;1,AI318&lt;&gt;"Oui",AJ318=""),"",IF(AK318="",IF(NOW()&gt;AJ318+1,0,""),IF(AK318&lt;=AJ318,1,0)))</f>
        <v/>
      </c>
    </row>
    <row r="319" customFormat="false" ht="15" hidden="false" customHeight="false" outlineLevel="0" collapsed="false">
      <c r="B319" s="29"/>
      <c r="C319" s="29"/>
      <c r="D319" s="29"/>
      <c r="E319" s="29"/>
      <c r="F319" s="29"/>
      <c r="G319" s="29"/>
      <c r="H319" s="29"/>
      <c r="I319" s="29"/>
      <c r="J319" s="29"/>
      <c r="K319" s="29"/>
      <c r="L319" s="29"/>
      <c r="M319" s="29"/>
      <c r="N319" s="30"/>
      <c r="O319" s="30"/>
      <c r="P319" s="30"/>
      <c r="Q319" s="30"/>
      <c r="R319" s="30"/>
      <c r="S319" s="30"/>
      <c r="T319" s="30"/>
      <c r="U319" s="30"/>
      <c r="V319" s="31"/>
      <c r="W319" s="29"/>
      <c r="X319" s="29"/>
      <c r="Y319" s="29"/>
      <c r="Z319" s="29"/>
      <c r="AA319" s="30"/>
      <c r="AB319" s="30"/>
      <c r="AC319" s="30"/>
      <c r="AD319" s="30"/>
      <c r="AE319" s="30"/>
      <c r="AF319" s="32"/>
      <c r="AG319" s="33"/>
      <c r="AH319" s="33"/>
      <c r="AI319" s="29"/>
      <c r="AJ319" s="32"/>
      <c r="AK319" s="32"/>
      <c r="AL319" s="29"/>
      <c r="AN319" s="34" t="str">
        <f aca="false">IF($B319="","",IF(OR(C319="",D319="",E319="",G319="",I319="",J319="",L319="",O319="",P319=""),"Champ obligatoire manquant",IF(OR(AND(N319&lt;&gt;"",N319&gt;O319),O319&gt;P319,AND(Q319&lt;&gt;"",Q319&lt;P319),AND(R319&lt;&gt;"",R319&lt;P319),AND(S319&lt;&gt;"",S319&lt;R319),AND(S319&lt;&gt;"",R319=""),AND(T319&lt;&gt;"",T319&lt;O319),AND(U319&lt;&gt;"",U319&lt;O319)),"Chronologie incohérente",IF(AND(OR(L319="Résolu",L319="Clos"),R319=""),"Date de résolution manquante",IF(AND(L319="Clos",S319=""),"Date de clôture manquante",IF(AND(K319="Oui",AC319=""),"Classification DORA manquante","OK"))))))</f>
        <v/>
      </c>
      <c r="AO319" s="35" t="str">
        <f aca="false">IF($B319="","",IF(AND(C319="Incident",L319&lt;&gt;"Annulé"),1,0))</f>
        <v/>
      </c>
      <c r="AP319" s="35" t="str">
        <f aca="false">IF($B319="","",IF(AND(C319="Quasi-incident",L319&lt;&gt;"Annulé"),1,0))</f>
        <v/>
      </c>
      <c r="AQ319" s="35" t="str">
        <f aca="false">IF($B319="","",AO319+AP319)</f>
        <v/>
      </c>
      <c r="AR319" s="36" t="str">
        <f aca="false">IF(OR($B319="",J319=""),"",IFERROR(VALUE(LEFT(J319,1)),""))</f>
        <v/>
      </c>
      <c r="AS319" s="35" t="str">
        <f aca="false">IF(OR(AO319&lt;&gt;1,G319=""),"",IFERROR(IF(INDEX(L_SrcInterne,MATCH(G319,L_Sources,0))="Oui",1,0),""))</f>
        <v/>
      </c>
      <c r="AT319" s="37" t="str">
        <f aca="false">IF(AO319&lt;&gt;1,"",IFERROR(ROUND(IF(OR(N319="",O319=""),"",IF(O319&lt;N319,"",ROUND(((NETWORKDAYS(N319,O319,JoursFeries)-1)*(HFer-HOuv)+IF(NETWORKDAYS(O319,O319,JoursFeries),MEDIAN(MOD(O319,1),HFer,HOuv),HFer)-IF(NETWORKDAYS(N319,N319,JoursFeries),MEDIAN(MOD(N319,1),HFer,HOuv),HOuv))*24,4)))/HJour,4),""))</f>
        <v/>
      </c>
      <c r="AU319" s="37" t="str">
        <f aca="false">IF(AO319&lt;&gt;1,"",IF(OR(O319="",P319=""),"",IF(P319&lt;O319,"",ROUND(((NETWORKDAYS(O319,P319,JoursFeries)-1)*(HFer-HOuv)+IF(NETWORKDAYS(P319,P319,JoursFeries),MEDIAN(MOD(P319,1),HFer,HOuv),HFer)-IF(NETWORKDAYS(O319,O319,JoursFeries),MEDIAN(MOD(O319,1),HFer,HOuv),HOuv))*24,4))))</f>
        <v/>
      </c>
      <c r="AV319" s="37" t="str">
        <f aca="false">IF(AO319&lt;&gt;1,"",IF(OR(P319="",Q319=""),"",IF(Q319&lt;P319,"",ROUND(((NETWORKDAYS(P319,Q319,JoursFeries)-1)*(HFer-HOuv)+IF(NETWORKDAYS(Q319,Q319,JoursFeries),MEDIAN(MOD(Q319,1),HFer,HOuv),HFer)-IF(NETWORKDAYS(P319,P319,JoursFeries),MEDIAN(MOD(P319,1),HFer,HOuv),HOuv))*24,4))))</f>
        <v/>
      </c>
      <c r="AW319" s="37" t="str">
        <f aca="false">IF(AO319&lt;&gt;1,"",IFERROR(ROUND(IF(OR(P319="",R319=""),"",IF(R319&lt;P319,"",ROUND(((NETWORKDAYS(P319,R319,JoursFeries)-1)*(HFer-HOuv)+IF(NETWORKDAYS(R319,R319,JoursFeries),MEDIAN(MOD(R319,1),HFer,HOuv),HFer)-IF(NETWORKDAYS(P319,P319,JoursFeries),MEDIAN(MOD(P319,1),HFer,HOuv),HOuv))*24,4)))/HJour,4),""))</f>
        <v/>
      </c>
      <c r="AX319" s="37" t="str">
        <f aca="false">IF(AO319&lt;&gt;1,"",IFERROR(ROUND(IF(OR(P319="",S319=""),"",IF(S319&lt;P319,"",ROUND(((NETWORKDAYS(P319,S319,JoursFeries)-1)*(HFer-HOuv)+IF(NETWORKDAYS(S319,S319,JoursFeries),MEDIAN(MOD(S319,1),HFer,HOuv),HFer)-IF(NETWORKDAYS(P319,P319,JoursFeries),MEDIAN(MOD(P319,1),HFer,HOuv),HOuv))*24,4)))/HJour,4),""))</f>
        <v/>
      </c>
      <c r="AY319" s="36" t="str">
        <f aca="false">IF(OR(AO319&lt;&gt;1,AR319=""),"",INDEX(SLA_PEC,AR319))</f>
        <v/>
      </c>
      <c r="AZ319" s="35" t="str">
        <f aca="false">IF(OR(AV319="",AY319=""),"",IF(AV319&lt;=AY319,1,0))</f>
        <v/>
      </c>
      <c r="BA319" s="36" t="str">
        <f aca="false">IF(OR(AO319&lt;&gt;1,AR319=""),"",INDEX(SLA_RES,AR319))</f>
        <v/>
      </c>
      <c r="BB319" s="35" t="str">
        <f aca="false">IF(OR(AW319="",BA319=""),"",IF(AW319&lt;=BA319,1,0))</f>
        <v/>
      </c>
      <c r="BC319" s="38" t="str">
        <f aca="false">IF(OR(BA319="",P319=""),"",WORKDAY(INT(P319),BA319,JoursFeries)+MOD(P319,1))</f>
        <v/>
      </c>
      <c r="BD319" s="39" t="str">
        <f aca="false">IF(AO319&lt;&gt;1,"",IF(OR(AB319&lt;&gt;"",AD319&lt;&gt;""),4,IF(U319&lt;&gt;"",3,IF(T319&lt;&gt;"",2,1))))</f>
        <v/>
      </c>
      <c r="BE319" s="39" t="str">
        <f aca="false">IF(OR(AO319&lt;&gt;1,AR319=""),"",INDEX(NIV_REQ,AR319))</f>
        <v/>
      </c>
      <c r="BF319" s="39" t="str">
        <f aca="false">IF(BE319="","",MAX(BE319,IF(OR(K319="Oui",Z319="Oui"),4,1)))</f>
        <v/>
      </c>
      <c r="BG319" s="35" t="str">
        <f aca="false">IF(OR(BF319="",BD319=""),"",IF(BD319&gt;=BF319,1,0))</f>
        <v/>
      </c>
      <c r="BH319" s="38" t="str">
        <f aca="false">IF(BE319="","",IF(BE319&lt;2,"",IF(BE319=2,IF(AND(T319="",U319=""),"",MIN(T319,U319)),IF(U319="","",U319))))</f>
        <v/>
      </c>
      <c r="BI319" s="37" t="str">
        <f aca="false">IF(BH319="","",IF(OR(O319="",BH319=""),"",IF(BH319&lt;O319,"",ROUND(((NETWORKDAYS(O319,BH319,JoursFeries)-1)*(HFer-HOuv)+IF(NETWORKDAYS(BH319,BH319,JoursFeries),MEDIAN(MOD(BH319,1),HFer,HOuv),HFer)-IF(NETWORKDAYS(O319,O319,JoursFeries),MEDIAN(MOD(O319,1),HFer,HOuv),HOuv))*24,4))))</f>
        <v/>
      </c>
      <c r="BJ319" s="35" t="str">
        <f aca="false">IF(OR(BI319="",AR319=""),"",IF(BI319&lt;=INDEX(DELAI_ESC,AR319),1,0))</f>
        <v/>
      </c>
      <c r="BK319" s="38" t="str">
        <f aca="false">IF(AO319&lt;&gt;1,"",IF(AND(T319="",U319=""),"",MIN(T319,U319)))</f>
        <v/>
      </c>
      <c r="BL319" s="37" t="str">
        <f aca="false">IF(OR(BK319="",R319=""),"",IFERROR(ROUND(IF(OR(BK319="",R319=""),"",IF(R319&lt;BK319,"",ROUND(((NETWORKDAYS(BK319,R319,JoursFeries)-1)*(HFer-HOuv)+IF(NETWORKDAYS(R319,R319,JoursFeries),MEDIAN(MOD(R319,1),HFer,HOuv),HFer)-IF(NETWORKDAYS(BK319,BK319,JoursFeries),MEDIAN(MOD(BK319,1),HFer,HOuv),HOuv))*24,4)))/HJour,4),""))</f>
        <v/>
      </c>
      <c r="BM319" s="35" t="str">
        <f aca="false">IF(OR(AO319&lt;&gt;1,R319=""),"",IF(BD319=1,1,0))</f>
        <v/>
      </c>
      <c r="BN319" s="35" t="str">
        <f aca="false">IF(AO319&lt;&gt;1,"",IF(W319="Oui",1,0))</f>
        <v/>
      </c>
      <c r="BO319" s="35" t="str">
        <f aca="false">IF(AO319&lt;&gt;1,"",IF(X319&lt;&gt;"",1,0))</f>
        <v/>
      </c>
      <c r="BP319" s="35" t="str">
        <f aca="false">IF(AO319&lt;&gt;1,"",IF(Y319="Oui",1,0))</f>
        <v/>
      </c>
      <c r="BQ319" s="35" t="str">
        <f aca="true">IF(OR(AO319&lt;&gt;1,Z319&lt;&gt;"Oui"),"",IF(AB319="",IF(AND(AA319&lt;&gt;"",NOW()&gt;AA319),0,""),IF(AA319="","",IF(AB319&lt;=AA319,1,0))))</f>
        <v/>
      </c>
      <c r="BR319" s="38" t="str">
        <f aca="false">IF(OR(AO319&lt;&gt;1,K319&lt;&gt;"Oui",O319=""),"",IF(AC319="",O319+DORA_H_DET/24,IF(AC319-O319&lt;=DORA_H_DET/24,MIN(AC319+DORA_H_CLA/24,O319+DORA_H_DET/24),AC319+DORA_H_CLA/24)))</f>
        <v/>
      </c>
      <c r="BS319" s="35" t="str">
        <f aca="true">IF(BR319="","",IF(AD319="",IF(NOW()&gt;BR319,0,""),IF(AD319&lt;=BR319,1,0)))</f>
        <v/>
      </c>
      <c r="BT319" s="35" t="str">
        <f aca="true">IF(OR(BR319="",AD319=""),"",IF(AE319="",IF(NOW()&gt;AD319+DORA_H_INT/24,0,""),IF(AE319&lt;=AD319+DORA_H_INT/24,1,0)))</f>
        <v/>
      </c>
      <c r="BU319" s="35" t="str">
        <f aca="true">IF(OR(BR319="",AE319=""),"",IF(AF319="",IF(NOW()&gt;EDATE(AE319,DORA_M_FIN)+1,0,""),IF(AF319&lt;=EDATE(AE319,DORA_M_FIN),1,0)))</f>
        <v/>
      </c>
      <c r="BV319" s="35" t="str">
        <f aca="false">IF(BR319="","",IF(COUNT(BS319:BU319)=0,"",MIN(BS319:BU319)))</f>
        <v/>
      </c>
      <c r="BW319" s="40" t="str">
        <f aca="false">IF(AQ319&lt;&gt;1,"",IF(AND(AG319="",AH319=""),"",N(AG319)-N(AH319)))</f>
        <v/>
      </c>
      <c r="BX319" s="35" t="str">
        <f aca="true">IF(OR(AQ319&lt;&gt;1,AI319&lt;&gt;"Oui",AJ319=""),"",IF(AK319="",IF(NOW()&gt;AJ319+1,0,""),IF(AK319&lt;=AJ319,1,0)))</f>
        <v/>
      </c>
    </row>
    <row r="320" customFormat="false" ht="15" hidden="false" customHeight="false" outlineLevel="0" collapsed="false">
      <c r="B320" s="29"/>
      <c r="C320" s="29"/>
      <c r="D320" s="29"/>
      <c r="E320" s="29"/>
      <c r="F320" s="29"/>
      <c r="G320" s="29"/>
      <c r="H320" s="29"/>
      <c r="I320" s="29"/>
      <c r="J320" s="29"/>
      <c r="K320" s="29"/>
      <c r="L320" s="29"/>
      <c r="M320" s="29"/>
      <c r="N320" s="30"/>
      <c r="O320" s="30"/>
      <c r="P320" s="30"/>
      <c r="Q320" s="30"/>
      <c r="R320" s="30"/>
      <c r="S320" s="30"/>
      <c r="T320" s="30"/>
      <c r="U320" s="30"/>
      <c r="V320" s="31"/>
      <c r="W320" s="29"/>
      <c r="X320" s="29"/>
      <c r="Y320" s="29"/>
      <c r="Z320" s="29"/>
      <c r="AA320" s="30"/>
      <c r="AB320" s="30"/>
      <c r="AC320" s="30"/>
      <c r="AD320" s="30"/>
      <c r="AE320" s="30"/>
      <c r="AF320" s="32"/>
      <c r="AG320" s="33"/>
      <c r="AH320" s="33"/>
      <c r="AI320" s="29"/>
      <c r="AJ320" s="32"/>
      <c r="AK320" s="32"/>
      <c r="AL320" s="29"/>
      <c r="AN320" s="34" t="str">
        <f aca="false">IF($B320="","",IF(OR(C320="",D320="",E320="",G320="",I320="",J320="",L320="",O320="",P320=""),"Champ obligatoire manquant",IF(OR(AND(N320&lt;&gt;"",N320&gt;O320),O320&gt;P320,AND(Q320&lt;&gt;"",Q320&lt;P320),AND(R320&lt;&gt;"",R320&lt;P320),AND(S320&lt;&gt;"",S320&lt;R320),AND(S320&lt;&gt;"",R320=""),AND(T320&lt;&gt;"",T320&lt;O320),AND(U320&lt;&gt;"",U320&lt;O320)),"Chronologie incohérente",IF(AND(OR(L320="Résolu",L320="Clos"),R320=""),"Date de résolution manquante",IF(AND(L320="Clos",S320=""),"Date de clôture manquante",IF(AND(K320="Oui",AC320=""),"Classification DORA manquante","OK"))))))</f>
        <v/>
      </c>
      <c r="AO320" s="35" t="str">
        <f aca="false">IF($B320="","",IF(AND(C320="Incident",L320&lt;&gt;"Annulé"),1,0))</f>
        <v/>
      </c>
      <c r="AP320" s="35" t="str">
        <f aca="false">IF($B320="","",IF(AND(C320="Quasi-incident",L320&lt;&gt;"Annulé"),1,0))</f>
        <v/>
      </c>
      <c r="AQ320" s="35" t="str">
        <f aca="false">IF($B320="","",AO320+AP320)</f>
        <v/>
      </c>
      <c r="AR320" s="36" t="str">
        <f aca="false">IF(OR($B320="",J320=""),"",IFERROR(VALUE(LEFT(J320,1)),""))</f>
        <v/>
      </c>
      <c r="AS320" s="35" t="str">
        <f aca="false">IF(OR(AO320&lt;&gt;1,G320=""),"",IFERROR(IF(INDEX(L_SrcInterne,MATCH(G320,L_Sources,0))="Oui",1,0),""))</f>
        <v/>
      </c>
      <c r="AT320" s="37" t="str">
        <f aca="false">IF(AO320&lt;&gt;1,"",IFERROR(ROUND(IF(OR(N320="",O320=""),"",IF(O320&lt;N320,"",ROUND(((NETWORKDAYS(N320,O320,JoursFeries)-1)*(HFer-HOuv)+IF(NETWORKDAYS(O320,O320,JoursFeries),MEDIAN(MOD(O320,1),HFer,HOuv),HFer)-IF(NETWORKDAYS(N320,N320,JoursFeries),MEDIAN(MOD(N320,1),HFer,HOuv),HOuv))*24,4)))/HJour,4),""))</f>
        <v/>
      </c>
      <c r="AU320" s="37" t="str">
        <f aca="false">IF(AO320&lt;&gt;1,"",IF(OR(O320="",P320=""),"",IF(P320&lt;O320,"",ROUND(((NETWORKDAYS(O320,P320,JoursFeries)-1)*(HFer-HOuv)+IF(NETWORKDAYS(P320,P320,JoursFeries),MEDIAN(MOD(P320,1),HFer,HOuv),HFer)-IF(NETWORKDAYS(O320,O320,JoursFeries),MEDIAN(MOD(O320,1),HFer,HOuv),HOuv))*24,4))))</f>
        <v/>
      </c>
      <c r="AV320" s="37" t="str">
        <f aca="false">IF(AO320&lt;&gt;1,"",IF(OR(P320="",Q320=""),"",IF(Q320&lt;P320,"",ROUND(((NETWORKDAYS(P320,Q320,JoursFeries)-1)*(HFer-HOuv)+IF(NETWORKDAYS(Q320,Q320,JoursFeries),MEDIAN(MOD(Q320,1),HFer,HOuv),HFer)-IF(NETWORKDAYS(P320,P320,JoursFeries),MEDIAN(MOD(P320,1),HFer,HOuv),HOuv))*24,4))))</f>
        <v/>
      </c>
      <c r="AW320" s="37" t="str">
        <f aca="false">IF(AO320&lt;&gt;1,"",IFERROR(ROUND(IF(OR(P320="",R320=""),"",IF(R320&lt;P320,"",ROUND(((NETWORKDAYS(P320,R320,JoursFeries)-1)*(HFer-HOuv)+IF(NETWORKDAYS(R320,R320,JoursFeries),MEDIAN(MOD(R320,1),HFer,HOuv),HFer)-IF(NETWORKDAYS(P320,P320,JoursFeries),MEDIAN(MOD(P320,1),HFer,HOuv),HOuv))*24,4)))/HJour,4),""))</f>
        <v/>
      </c>
      <c r="AX320" s="37" t="str">
        <f aca="false">IF(AO320&lt;&gt;1,"",IFERROR(ROUND(IF(OR(P320="",S320=""),"",IF(S320&lt;P320,"",ROUND(((NETWORKDAYS(P320,S320,JoursFeries)-1)*(HFer-HOuv)+IF(NETWORKDAYS(S320,S320,JoursFeries),MEDIAN(MOD(S320,1),HFer,HOuv),HFer)-IF(NETWORKDAYS(P320,P320,JoursFeries),MEDIAN(MOD(P320,1),HFer,HOuv),HOuv))*24,4)))/HJour,4),""))</f>
        <v/>
      </c>
      <c r="AY320" s="36" t="str">
        <f aca="false">IF(OR(AO320&lt;&gt;1,AR320=""),"",INDEX(SLA_PEC,AR320))</f>
        <v/>
      </c>
      <c r="AZ320" s="35" t="str">
        <f aca="false">IF(OR(AV320="",AY320=""),"",IF(AV320&lt;=AY320,1,0))</f>
        <v/>
      </c>
      <c r="BA320" s="36" t="str">
        <f aca="false">IF(OR(AO320&lt;&gt;1,AR320=""),"",INDEX(SLA_RES,AR320))</f>
        <v/>
      </c>
      <c r="BB320" s="35" t="str">
        <f aca="false">IF(OR(AW320="",BA320=""),"",IF(AW320&lt;=BA320,1,0))</f>
        <v/>
      </c>
      <c r="BC320" s="38" t="str">
        <f aca="false">IF(OR(BA320="",P320=""),"",WORKDAY(INT(P320),BA320,JoursFeries)+MOD(P320,1))</f>
        <v/>
      </c>
      <c r="BD320" s="39" t="str">
        <f aca="false">IF(AO320&lt;&gt;1,"",IF(OR(AB320&lt;&gt;"",AD320&lt;&gt;""),4,IF(U320&lt;&gt;"",3,IF(T320&lt;&gt;"",2,1))))</f>
        <v/>
      </c>
      <c r="BE320" s="39" t="str">
        <f aca="false">IF(OR(AO320&lt;&gt;1,AR320=""),"",INDEX(NIV_REQ,AR320))</f>
        <v/>
      </c>
      <c r="BF320" s="39" t="str">
        <f aca="false">IF(BE320="","",MAX(BE320,IF(OR(K320="Oui",Z320="Oui"),4,1)))</f>
        <v/>
      </c>
      <c r="BG320" s="35" t="str">
        <f aca="false">IF(OR(BF320="",BD320=""),"",IF(BD320&gt;=BF320,1,0))</f>
        <v/>
      </c>
      <c r="BH320" s="38" t="str">
        <f aca="false">IF(BE320="","",IF(BE320&lt;2,"",IF(BE320=2,IF(AND(T320="",U320=""),"",MIN(T320,U320)),IF(U320="","",U320))))</f>
        <v/>
      </c>
      <c r="BI320" s="37" t="str">
        <f aca="false">IF(BH320="","",IF(OR(O320="",BH320=""),"",IF(BH320&lt;O320,"",ROUND(((NETWORKDAYS(O320,BH320,JoursFeries)-1)*(HFer-HOuv)+IF(NETWORKDAYS(BH320,BH320,JoursFeries),MEDIAN(MOD(BH320,1),HFer,HOuv),HFer)-IF(NETWORKDAYS(O320,O320,JoursFeries),MEDIAN(MOD(O320,1),HFer,HOuv),HOuv))*24,4))))</f>
        <v/>
      </c>
      <c r="BJ320" s="35" t="str">
        <f aca="false">IF(OR(BI320="",AR320=""),"",IF(BI320&lt;=INDEX(DELAI_ESC,AR320),1,0))</f>
        <v/>
      </c>
      <c r="BK320" s="38" t="str">
        <f aca="false">IF(AO320&lt;&gt;1,"",IF(AND(T320="",U320=""),"",MIN(T320,U320)))</f>
        <v/>
      </c>
      <c r="BL320" s="37" t="str">
        <f aca="false">IF(OR(BK320="",R320=""),"",IFERROR(ROUND(IF(OR(BK320="",R320=""),"",IF(R320&lt;BK320,"",ROUND(((NETWORKDAYS(BK320,R320,JoursFeries)-1)*(HFer-HOuv)+IF(NETWORKDAYS(R320,R320,JoursFeries),MEDIAN(MOD(R320,1),HFer,HOuv),HFer)-IF(NETWORKDAYS(BK320,BK320,JoursFeries),MEDIAN(MOD(BK320,1),HFer,HOuv),HOuv))*24,4)))/HJour,4),""))</f>
        <v/>
      </c>
      <c r="BM320" s="35" t="str">
        <f aca="false">IF(OR(AO320&lt;&gt;1,R320=""),"",IF(BD320=1,1,0))</f>
        <v/>
      </c>
      <c r="BN320" s="35" t="str">
        <f aca="false">IF(AO320&lt;&gt;1,"",IF(W320="Oui",1,0))</f>
        <v/>
      </c>
      <c r="BO320" s="35" t="str">
        <f aca="false">IF(AO320&lt;&gt;1,"",IF(X320&lt;&gt;"",1,0))</f>
        <v/>
      </c>
      <c r="BP320" s="35" t="str">
        <f aca="false">IF(AO320&lt;&gt;1,"",IF(Y320="Oui",1,0))</f>
        <v/>
      </c>
      <c r="BQ320" s="35" t="str">
        <f aca="true">IF(OR(AO320&lt;&gt;1,Z320&lt;&gt;"Oui"),"",IF(AB320="",IF(AND(AA320&lt;&gt;"",NOW()&gt;AA320),0,""),IF(AA320="","",IF(AB320&lt;=AA320,1,0))))</f>
        <v/>
      </c>
      <c r="BR320" s="38" t="str">
        <f aca="false">IF(OR(AO320&lt;&gt;1,K320&lt;&gt;"Oui",O320=""),"",IF(AC320="",O320+DORA_H_DET/24,IF(AC320-O320&lt;=DORA_H_DET/24,MIN(AC320+DORA_H_CLA/24,O320+DORA_H_DET/24),AC320+DORA_H_CLA/24)))</f>
        <v/>
      </c>
      <c r="BS320" s="35" t="str">
        <f aca="true">IF(BR320="","",IF(AD320="",IF(NOW()&gt;BR320,0,""),IF(AD320&lt;=BR320,1,0)))</f>
        <v/>
      </c>
      <c r="BT320" s="35" t="str">
        <f aca="true">IF(OR(BR320="",AD320=""),"",IF(AE320="",IF(NOW()&gt;AD320+DORA_H_INT/24,0,""),IF(AE320&lt;=AD320+DORA_H_INT/24,1,0)))</f>
        <v/>
      </c>
      <c r="BU320" s="35" t="str">
        <f aca="true">IF(OR(BR320="",AE320=""),"",IF(AF320="",IF(NOW()&gt;EDATE(AE320,DORA_M_FIN)+1,0,""),IF(AF320&lt;=EDATE(AE320,DORA_M_FIN),1,0)))</f>
        <v/>
      </c>
      <c r="BV320" s="35" t="str">
        <f aca="false">IF(BR320="","",IF(COUNT(BS320:BU320)=0,"",MIN(BS320:BU320)))</f>
        <v/>
      </c>
      <c r="BW320" s="40" t="str">
        <f aca="false">IF(AQ320&lt;&gt;1,"",IF(AND(AG320="",AH320=""),"",N(AG320)-N(AH320)))</f>
        <v/>
      </c>
      <c r="BX320" s="35" t="str">
        <f aca="true">IF(OR(AQ320&lt;&gt;1,AI320&lt;&gt;"Oui",AJ320=""),"",IF(AK320="",IF(NOW()&gt;AJ320+1,0,""),IF(AK320&lt;=AJ320,1,0)))</f>
        <v/>
      </c>
    </row>
    <row r="321" customFormat="false" ht="15" hidden="false" customHeight="false" outlineLevel="0" collapsed="false">
      <c r="B321" s="29"/>
      <c r="C321" s="29"/>
      <c r="D321" s="29"/>
      <c r="E321" s="29"/>
      <c r="F321" s="29"/>
      <c r="G321" s="29"/>
      <c r="H321" s="29"/>
      <c r="I321" s="29"/>
      <c r="J321" s="29"/>
      <c r="K321" s="29"/>
      <c r="L321" s="29"/>
      <c r="M321" s="29"/>
      <c r="N321" s="30"/>
      <c r="O321" s="30"/>
      <c r="P321" s="30"/>
      <c r="Q321" s="30"/>
      <c r="R321" s="30"/>
      <c r="S321" s="30"/>
      <c r="T321" s="30"/>
      <c r="U321" s="30"/>
      <c r="V321" s="31"/>
      <c r="W321" s="29"/>
      <c r="X321" s="29"/>
      <c r="Y321" s="29"/>
      <c r="Z321" s="29"/>
      <c r="AA321" s="30"/>
      <c r="AB321" s="30"/>
      <c r="AC321" s="30"/>
      <c r="AD321" s="30"/>
      <c r="AE321" s="30"/>
      <c r="AF321" s="32"/>
      <c r="AG321" s="33"/>
      <c r="AH321" s="33"/>
      <c r="AI321" s="29"/>
      <c r="AJ321" s="32"/>
      <c r="AK321" s="32"/>
      <c r="AL321" s="29"/>
      <c r="AN321" s="34" t="str">
        <f aca="false">IF($B321="","",IF(OR(C321="",D321="",E321="",G321="",I321="",J321="",L321="",O321="",P321=""),"Champ obligatoire manquant",IF(OR(AND(N321&lt;&gt;"",N321&gt;O321),O321&gt;P321,AND(Q321&lt;&gt;"",Q321&lt;P321),AND(R321&lt;&gt;"",R321&lt;P321),AND(S321&lt;&gt;"",S321&lt;R321),AND(S321&lt;&gt;"",R321=""),AND(T321&lt;&gt;"",T321&lt;O321),AND(U321&lt;&gt;"",U321&lt;O321)),"Chronologie incohérente",IF(AND(OR(L321="Résolu",L321="Clos"),R321=""),"Date de résolution manquante",IF(AND(L321="Clos",S321=""),"Date de clôture manquante",IF(AND(K321="Oui",AC321=""),"Classification DORA manquante","OK"))))))</f>
        <v/>
      </c>
      <c r="AO321" s="35" t="str">
        <f aca="false">IF($B321="","",IF(AND(C321="Incident",L321&lt;&gt;"Annulé"),1,0))</f>
        <v/>
      </c>
      <c r="AP321" s="35" t="str">
        <f aca="false">IF($B321="","",IF(AND(C321="Quasi-incident",L321&lt;&gt;"Annulé"),1,0))</f>
        <v/>
      </c>
      <c r="AQ321" s="35" t="str">
        <f aca="false">IF($B321="","",AO321+AP321)</f>
        <v/>
      </c>
      <c r="AR321" s="36" t="str">
        <f aca="false">IF(OR($B321="",J321=""),"",IFERROR(VALUE(LEFT(J321,1)),""))</f>
        <v/>
      </c>
      <c r="AS321" s="35" t="str">
        <f aca="false">IF(OR(AO321&lt;&gt;1,G321=""),"",IFERROR(IF(INDEX(L_SrcInterne,MATCH(G321,L_Sources,0))="Oui",1,0),""))</f>
        <v/>
      </c>
      <c r="AT321" s="37" t="str">
        <f aca="false">IF(AO321&lt;&gt;1,"",IFERROR(ROUND(IF(OR(N321="",O321=""),"",IF(O321&lt;N321,"",ROUND(((NETWORKDAYS(N321,O321,JoursFeries)-1)*(HFer-HOuv)+IF(NETWORKDAYS(O321,O321,JoursFeries),MEDIAN(MOD(O321,1),HFer,HOuv),HFer)-IF(NETWORKDAYS(N321,N321,JoursFeries),MEDIAN(MOD(N321,1),HFer,HOuv),HOuv))*24,4)))/HJour,4),""))</f>
        <v/>
      </c>
      <c r="AU321" s="37" t="str">
        <f aca="false">IF(AO321&lt;&gt;1,"",IF(OR(O321="",P321=""),"",IF(P321&lt;O321,"",ROUND(((NETWORKDAYS(O321,P321,JoursFeries)-1)*(HFer-HOuv)+IF(NETWORKDAYS(P321,P321,JoursFeries),MEDIAN(MOD(P321,1),HFer,HOuv),HFer)-IF(NETWORKDAYS(O321,O321,JoursFeries),MEDIAN(MOD(O321,1),HFer,HOuv),HOuv))*24,4))))</f>
        <v/>
      </c>
      <c r="AV321" s="37" t="str">
        <f aca="false">IF(AO321&lt;&gt;1,"",IF(OR(P321="",Q321=""),"",IF(Q321&lt;P321,"",ROUND(((NETWORKDAYS(P321,Q321,JoursFeries)-1)*(HFer-HOuv)+IF(NETWORKDAYS(Q321,Q321,JoursFeries),MEDIAN(MOD(Q321,1),HFer,HOuv),HFer)-IF(NETWORKDAYS(P321,P321,JoursFeries),MEDIAN(MOD(P321,1),HFer,HOuv),HOuv))*24,4))))</f>
        <v/>
      </c>
      <c r="AW321" s="37" t="str">
        <f aca="false">IF(AO321&lt;&gt;1,"",IFERROR(ROUND(IF(OR(P321="",R321=""),"",IF(R321&lt;P321,"",ROUND(((NETWORKDAYS(P321,R321,JoursFeries)-1)*(HFer-HOuv)+IF(NETWORKDAYS(R321,R321,JoursFeries),MEDIAN(MOD(R321,1),HFer,HOuv),HFer)-IF(NETWORKDAYS(P321,P321,JoursFeries),MEDIAN(MOD(P321,1),HFer,HOuv),HOuv))*24,4)))/HJour,4),""))</f>
        <v/>
      </c>
      <c r="AX321" s="37" t="str">
        <f aca="false">IF(AO321&lt;&gt;1,"",IFERROR(ROUND(IF(OR(P321="",S321=""),"",IF(S321&lt;P321,"",ROUND(((NETWORKDAYS(P321,S321,JoursFeries)-1)*(HFer-HOuv)+IF(NETWORKDAYS(S321,S321,JoursFeries),MEDIAN(MOD(S321,1),HFer,HOuv),HFer)-IF(NETWORKDAYS(P321,P321,JoursFeries),MEDIAN(MOD(P321,1),HFer,HOuv),HOuv))*24,4)))/HJour,4),""))</f>
        <v/>
      </c>
      <c r="AY321" s="36" t="str">
        <f aca="false">IF(OR(AO321&lt;&gt;1,AR321=""),"",INDEX(SLA_PEC,AR321))</f>
        <v/>
      </c>
      <c r="AZ321" s="35" t="str">
        <f aca="false">IF(OR(AV321="",AY321=""),"",IF(AV321&lt;=AY321,1,0))</f>
        <v/>
      </c>
      <c r="BA321" s="36" t="str">
        <f aca="false">IF(OR(AO321&lt;&gt;1,AR321=""),"",INDEX(SLA_RES,AR321))</f>
        <v/>
      </c>
      <c r="BB321" s="35" t="str">
        <f aca="false">IF(OR(AW321="",BA321=""),"",IF(AW321&lt;=BA321,1,0))</f>
        <v/>
      </c>
      <c r="BC321" s="38" t="str">
        <f aca="false">IF(OR(BA321="",P321=""),"",WORKDAY(INT(P321),BA321,JoursFeries)+MOD(P321,1))</f>
        <v/>
      </c>
      <c r="BD321" s="39" t="str">
        <f aca="false">IF(AO321&lt;&gt;1,"",IF(OR(AB321&lt;&gt;"",AD321&lt;&gt;""),4,IF(U321&lt;&gt;"",3,IF(T321&lt;&gt;"",2,1))))</f>
        <v/>
      </c>
      <c r="BE321" s="39" t="str">
        <f aca="false">IF(OR(AO321&lt;&gt;1,AR321=""),"",INDEX(NIV_REQ,AR321))</f>
        <v/>
      </c>
      <c r="BF321" s="39" t="str">
        <f aca="false">IF(BE321="","",MAX(BE321,IF(OR(K321="Oui",Z321="Oui"),4,1)))</f>
        <v/>
      </c>
      <c r="BG321" s="35" t="str">
        <f aca="false">IF(OR(BF321="",BD321=""),"",IF(BD321&gt;=BF321,1,0))</f>
        <v/>
      </c>
      <c r="BH321" s="38" t="str">
        <f aca="false">IF(BE321="","",IF(BE321&lt;2,"",IF(BE321=2,IF(AND(T321="",U321=""),"",MIN(T321,U321)),IF(U321="","",U321))))</f>
        <v/>
      </c>
      <c r="BI321" s="37" t="str">
        <f aca="false">IF(BH321="","",IF(OR(O321="",BH321=""),"",IF(BH321&lt;O321,"",ROUND(((NETWORKDAYS(O321,BH321,JoursFeries)-1)*(HFer-HOuv)+IF(NETWORKDAYS(BH321,BH321,JoursFeries),MEDIAN(MOD(BH321,1),HFer,HOuv),HFer)-IF(NETWORKDAYS(O321,O321,JoursFeries),MEDIAN(MOD(O321,1),HFer,HOuv),HOuv))*24,4))))</f>
        <v/>
      </c>
      <c r="BJ321" s="35" t="str">
        <f aca="false">IF(OR(BI321="",AR321=""),"",IF(BI321&lt;=INDEX(DELAI_ESC,AR321),1,0))</f>
        <v/>
      </c>
      <c r="BK321" s="38" t="str">
        <f aca="false">IF(AO321&lt;&gt;1,"",IF(AND(T321="",U321=""),"",MIN(T321,U321)))</f>
        <v/>
      </c>
      <c r="BL321" s="37" t="str">
        <f aca="false">IF(OR(BK321="",R321=""),"",IFERROR(ROUND(IF(OR(BK321="",R321=""),"",IF(R321&lt;BK321,"",ROUND(((NETWORKDAYS(BK321,R321,JoursFeries)-1)*(HFer-HOuv)+IF(NETWORKDAYS(R321,R321,JoursFeries),MEDIAN(MOD(R321,1),HFer,HOuv),HFer)-IF(NETWORKDAYS(BK321,BK321,JoursFeries),MEDIAN(MOD(BK321,1),HFer,HOuv),HOuv))*24,4)))/HJour,4),""))</f>
        <v/>
      </c>
      <c r="BM321" s="35" t="str">
        <f aca="false">IF(OR(AO321&lt;&gt;1,R321=""),"",IF(BD321=1,1,0))</f>
        <v/>
      </c>
      <c r="BN321" s="35" t="str">
        <f aca="false">IF(AO321&lt;&gt;1,"",IF(W321="Oui",1,0))</f>
        <v/>
      </c>
      <c r="BO321" s="35" t="str">
        <f aca="false">IF(AO321&lt;&gt;1,"",IF(X321&lt;&gt;"",1,0))</f>
        <v/>
      </c>
      <c r="BP321" s="35" t="str">
        <f aca="false">IF(AO321&lt;&gt;1,"",IF(Y321="Oui",1,0))</f>
        <v/>
      </c>
      <c r="BQ321" s="35" t="str">
        <f aca="true">IF(OR(AO321&lt;&gt;1,Z321&lt;&gt;"Oui"),"",IF(AB321="",IF(AND(AA321&lt;&gt;"",NOW()&gt;AA321),0,""),IF(AA321="","",IF(AB321&lt;=AA321,1,0))))</f>
        <v/>
      </c>
      <c r="BR321" s="38" t="str">
        <f aca="false">IF(OR(AO321&lt;&gt;1,K321&lt;&gt;"Oui",O321=""),"",IF(AC321="",O321+DORA_H_DET/24,IF(AC321-O321&lt;=DORA_H_DET/24,MIN(AC321+DORA_H_CLA/24,O321+DORA_H_DET/24),AC321+DORA_H_CLA/24)))</f>
        <v/>
      </c>
      <c r="BS321" s="35" t="str">
        <f aca="true">IF(BR321="","",IF(AD321="",IF(NOW()&gt;BR321,0,""),IF(AD321&lt;=BR321,1,0)))</f>
        <v/>
      </c>
      <c r="BT321" s="35" t="str">
        <f aca="true">IF(OR(BR321="",AD321=""),"",IF(AE321="",IF(NOW()&gt;AD321+DORA_H_INT/24,0,""),IF(AE321&lt;=AD321+DORA_H_INT/24,1,0)))</f>
        <v/>
      </c>
      <c r="BU321" s="35" t="str">
        <f aca="true">IF(OR(BR321="",AE321=""),"",IF(AF321="",IF(NOW()&gt;EDATE(AE321,DORA_M_FIN)+1,0,""),IF(AF321&lt;=EDATE(AE321,DORA_M_FIN),1,0)))</f>
        <v/>
      </c>
      <c r="BV321" s="35" t="str">
        <f aca="false">IF(BR321="","",IF(COUNT(BS321:BU321)=0,"",MIN(BS321:BU321)))</f>
        <v/>
      </c>
      <c r="BW321" s="40" t="str">
        <f aca="false">IF(AQ321&lt;&gt;1,"",IF(AND(AG321="",AH321=""),"",N(AG321)-N(AH321)))</f>
        <v/>
      </c>
      <c r="BX321" s="35" t="str">
        <f aca="true">IF(OR(AQ321&lt;&gt;1,AI321&lt;&gt;"Oui",AJ321=""),"",IF(AK321="",IF(NOW()&gt;AJ321+1,0,""),IF(AK321&lt;=AJ321,1,0)))</f>
        <v/>
      </c>
    </row>
    <row r="322" customFormat="false" ht="15" hidden="false" customHeight="false" outlineLevel="0" collapsed="false">
      <c r="B322" s="29"/>
      <c r="C322" s="29"/>
      <c r="D322" s="29"/>
      <c r="E322" s="29"/>
      <c r="F322" s="29"/>
      <c r="G322" s="29"/>
      <c r="H322" s="29"/>
      <c r="I322" s="29"/>
      <c r="J322" s="29"/>
      <c r="K322" s="29"/>
      <c r="L322" s="29"/>
      <c r="M322" s="29"/>
      <c r="N322" s="30"/>
      <c r="O322" s="30"/>
      <c r="P322" s="30"/>
      <c r="Q322" s="30"/>
      <c r="R322" s="30"/>
      <c r="S322" s="30"/>
      <c r="T322" s="30"/>
      <c r="U322" s="30"/>
      <c r="V322" s="31"/>
      <c r="W322" s="29"/>
      <c r="X322" s="29"/>
      <c r="Y322" s="29"/>
      <c r="Z322" s="29"/>
      <c r="AA322" s="30"/>
      <c r="AB322" s="30"/>
      <c r="AC322" s="30"/>
      <c r="AD322" s="30"/>
      <c r="AE322" s="30"/>
      <c r="AF322" s="32"/>
      <c r="AG322" s="33"/>
      <c r="AH322" s="33"/>
      <c r="AI322" s="29"/>
      <c r="AJ322" s="32"/>
      <c r="AK322" s="32"/>
      <c r="AL322" s="29"/>
      <c r="AN322" s="34" t="str">
        <f aca="false">IF($B322="","",IF(OR(C322="",D322="",E322="",G322="",I322="",J322="",L322="",O322="",P322=""),"Champ obligatoire manquant",IF(OR(AND(N322&lt;&gt;"",N322&gt;O322),O322&gt;P322,AND(Q322&lt;&gt;"",Q322&lt;P322),AND(R322&lt;&gt;"",R322&lt;P322),AND(S322&lt;&gt;"",S322&lt;R322),AND(S322&lt;&gt;"",R322=""),AND(T322&lt;&gt;"",T322&lt;O322),AND(U322&lt;&gt;"",U322&lt;O322)),"Chronologie incohérente",IF(AND(OR(L322="Résolu",L322="Clos"),R322=""),"Date de résolution manquante",IF(AND(L322="Clos",S322=""),"Date de clôture manquante",IF(AND(K322="Oui",AC322=""),"Classification DORA manquante","OK"))))))</f>
        <v/>
      </c>
      <c r="AO322" s="35" t="str">
        <f aca="false">IF($B322="","",IF(AND(C322="Incident",L322&lt;&gt;"Annulé"),1,0))</f>
        <v/>
      </c>
      <c r="AP322" s="35" t="str">
        <f aca="false">IF($B322="","",IF(AND(C322="Quasi-incident",L322&lt;&gt;"Annulé"),1,0))</f>
        <v/>
      </c>
      <c r="AQ322" s="35" t="str">
        <f aca="false">IF($B322="","",AO322+AP322)</f>
        <v/>
      </c>
      <c r="AR322" s="36" t="str">
        <f aca="false">IF(OR($B322="",J322=""),"",IFERROR(VALUE(LEFT(J322,1)),""))</f>
        <v/>
      </c>
      <c r="AS322" s="35" t="str">
        <f aca="false">IF(OR(AO322&lt;&gt;1,G322=""),"",IFERROR(IF(INDEX(L_SrcInterne,MATCH(G322,L_Sources,0))="Oui",1,0),""))</f>
        <v/>
      </c>
      <c r="AT322" s="37" t="str">
        <f aca="false">IF(AO322&lt;&gt;1,"",IFERROR(ROUND(IF(OR(N322="",O322=""),"",IF(O322&lt;N322,"",ROUND(((NETWORKDAYS(N322,O322,JoursFeries)-1)*(HFer-HOuv)+IF(NETWORKDAYS(O322,O322,JoursFeries),MEDIAN(MOD(O322,1),HFer,HOuv),HFer)-IF(NETWORKDAYS(N322,N322,JoursFeries),MEDIAN(MOD(N322,1),HFer,HOuv),HOuv))*24,4)))/HJour,4),""))</f>
        <v/>
      </c>
      <c r="AU322" s="37" t="str">
        <f aca="false">IF(AO322&lt;&gt;1,"",IF(OR(O322="",P322=""),"",IF(P322&lt;O322,"",ROUND(((NETWORKDAYS(O322,P322,JoursFeries)-1)*(HFer-HOuv)+IF(NETWORKDAYS(P322,P322,JoursFeries),MEDIAN(MOD(P322,1),HFer,HOuv),HFer)-IF(NETWORKDAYS(O322,O322,JoursFeries),MEDIAN(MOD(O322,1),HFer,HOuv),HOuv))*24,4))))</f>
        <v/>
      </c>
      <c r="AV322" s="37" t="str">
        <f aca="false">IF(AO322&lt;&gt;1,"",IF(OR(P322="",Q322=""),"",IF(Q322&lt;P322,"",ROUND(((NETWORKDAYS(P322,Q322,JoursFeries)-1)*(HFer-HOuv)+IF(NETWORKDAYS(Q322,Q322,JoursFeries),MEDIAN(MOD(Q322,1),HFer,HOuv),HFer)-IF(NETWORKDAYS(P322,P322,JoursFeries),MEDIAN(MOD(P322,1),HFer,HOuv),HOuv))*24,4))))</f>
        <v/>
      </c>
      <c r="AW322" s="37" t="str">
        <f aca="false">IF(AO322&lt;&gt;1,"",IFERROR(ROUND(IF(OR(P322="",R322=""),"",IF(R322&lt;P322,"",ROUND(((NETWORKDAYS(P322,R322,JoursFeries)-1)*(HFer-HOuv)+IF(NETWORKDAYS(R322,R322,JoursFeries),MEDIAN(MOD(R322,1),HFer,HOuv),HFer)-IF(NETWORKDAYS(P322,P322,JoursFeries),MEDIAN(MOD(P322,1),HFer,HOuv),HOuv))*24,4)))/HJour,4),""))</f>
        <v/>
      </c>
      <c r="AX322" s="37" t="str">
        <f aca="false">IF(AO322&lt;&gt;1,"",IFERROR(ROUND(IF(OR(P322="",S322=""),"",IF(S322&lt;P322,"",ROUND(((NETWORKDAYS(P322,S322,JoursFeries)-1)*(HFer-HOuv)+IF(NETWORKDAYS(S322,S322,JoursFeries),MEDIAN(MOD(S322,1),HFer,HOuv),HFer)-IF(NETWORKDAYS(P322,P322,JoursFeries),MEDIAN(MOD(P322,1),HFer,HOuv),HOuv))*24,4)))/HJour,4),""))</f>
        <v/>
      </c>
      <c r="AY322" s="36" t="str">
        <f aca="false">IF(OR(AO322&lt;&gt;1,AR322=""),"",INDEX(SLA_PEC,AR322))</f>
        <v/>
      </c>
      <c r="AZ322" s="35" t="str">
        <f aca="false">IF(OR(AV322="",AY322=""),"",IF(AV322&lt;=AY322,1,0))</f>
        <v/>
      </c>
      <c r="BA322" s="36" t="str">
        <f aca="false">IF(OR(AO322&lt;&gt;1,AR322=""),"",INDEX(SLA_RES,AR322))</f>
        <v/>
      </c>
      <c r="BB322" s="35" t="str">
        <f aca="false">IF(OR(AW322="",BA322=""),"",IF(AW322&lt;=BA322,1,0))</f>
        <v/>
      </c>
      <c r="BC322" s="38" t="str">
        <f aca="false">IF(OR(BA322="",P322=""),"",WORKDAY(INT(P322),BA322,JoursFeries)+MOD(P322,1))</f>
        <v/>
      </c>
      <c r="BD322" s="39" t="str">
        <f aca="false">IF(AO322&lt;&gt;1,"",IF(OR(AB322&lt;&gt;"",AD322&lt;&gt;""),4,IF(U322&lt;&gt;"",3,IF(T322&lt;&gt;"",2,1))))</f>
        <v/>
      </c>
      <c r="BE322" s="39" t="str">
        <f aca="false">IF(OR(AO322&lt;&gt;1,AR322=""),"",INDEX(NIV_REQ,AR322))</f>
        <v/>
      </c>
      <c r="BF322" s="39" t="str">
        <f aca="false">IF(BE322="","",MAX(BE322,IF(OR(K322="Oui",Z322="Oui"),4,1)))</f>
        <v/>
      </c>
      <c r="BG322" s="35" t="str">
        <f aca="false">IF(OR(BF322="",BD322=""),"",IF(BD322&gt;=BF322,1,0))</f>
        <v/>
      </c>
      <c r="BH322" s="38" t="str">
        <f aca="false">IF(BE322="","",IF(BE322&lt;2,"",IF(BE322=2,IF(AND(T322="",U322=""),"",MIN(T322,U322)),IF(U322="","",U322))))</f>
        <v/>
      </c>
      <c r="BI322" s="37" t="str">
        <f aca="false">IF(BH322="","",IF(OR(O322="",BH322=""),"",IF(BH322&lt;O322,"",ROUND(((NETWORKDAYS(O322,BH322,JoursFeries)-1)*(HFer-HOuv)+IF(NETWORKDAYS(BH322,BH322,JoursFeries),MEDIAN(MOD(BH322,1),HFer,HOuv),HFer)-IF(NETWORKDAYS(O322,O322,JoursFeries),MEDIAN(MOD(O322,1),HFer,HOuv),HOuv))*24,4))))</f>
        <v/>
      </c>
      <c r="BJ322" s="35" t="str">
        <f aca="false">IF(OR(BI322="",AR322=""),"",IF(BI322&lt;=INDEX(DELAI_ESC,AR322),1,0))</f>
        <v/>
      </c>
      <c r="BK322" s="38" t="str">
        <f aca="false">IF(AO322&lt;&gt;1,"",IF(AND(T322="",U322=""),"",MIN(T322,U322)))</f>
        <v/>
      </c>
      <c r="BL322" s="37" t="str">
        <f aca="false">IF(OR(BK322="",R322=""),"",IFERROR(ROUND(IF(OR(BK322="",R322=""),"",IF(R322&lt;BK322,"",ROUND(((NETWORKDAYS(BK322,R322,JoursFeries)-1)*(HFer-HOuv)+IF(NETWORKDAYS(R322,R322,JoursFeries),MEDIAN(MOD(R322,1),HFer,HOuv),HFer)-IF(NETWORKDAYS(BK322,BK322,JoursFeries),MEDIAN(MOD(BK322,1),HFer,HOuv),HOuv))*24,4)))/HJour,4),""))</f>
        <v/>
      </c>
      <c r="BM322" s="35" t="str">
        <f aca="false">IF(OR(AO322&lt;&gt;1,R322=""),"",IF(BD322=1,1,0))</f>
        <v/>
      </c>
      <c r="BN322" s="35" t="str">
        <f aca="false">IF(AO322&lt;&gt;1,"",IF(W322="Oui",1,0))</f>
        <v/>
      </c>
      <c r="BO322" s="35" t="str">
        <f aca="false">IF(AO322&lt;&gt;1,"",IF(X322&lt;&gt;"",1,0))</f>
        <v/>
      </c>
      <c r="BP322" s="35" t="str">
        <f aca="false">IF(AO322&lt;&gt;1,"",IF(Y322="Oui",1,0))</f>
        <v/>
      </c>
      <c r="BQ322" s="35" t="str">
        <f aca="true">IF(OR(AO322&lt;&gt;1,Z322&lt;&gt;"Oui"),"",IF(AB322="",IF(AND(AA322&lt;&gt;"",NOW()&gt;AA322),0,""),IF(AA322="","",IF(AB322&lt;=AA322,1,0))))</f>
        <v/>
      </c>
      <c r="BR322" s="38" t="str">
        <f aca="false">IF(OR(AO322&lt;&gt;1,K322&lt;&gt;"Oui",O322=""),"",IF(AC322="",O322+DORA_H_DET/24,IF(AC322-O322&lt;=DORA_H_DET/24,MIN(AC322+DORA_H_CLA/24,O322+DORA_H_DET/24),AC322+DORA_H_CLA/24)))</f>
        <v/>
      </c>
      <c r="BS322" s="35" t="str">
        <f aca="true">IF(BR322="","",IF(AD322="",IF(NOW()&gt;BR322,0,""),IF(AD322&lt;=BR322,1,0)))</f>
        <v/>
      </c>
      <c r="BT322" s="35" t="str">
        <f aca="true">IF(OR(BR322="",AD322=""),"",IF(AE322="",IF(NOW()&gt;AD322+DORA_H_INT/24,0,""),IF(AE322&lt;=AD322+DORA_H_INT/24,1,0)))</f>
        <v/>
      </c>
      <c r="BU322" s="35" t="str">
        <f aca="true">IF(OR(BR322="",AE322=""),"",IF(AF322="",IF(NOW()&gt;EDATE(AE322,DORA_M_FIN)+1,0,""),IF(AF322&lt;=EDATE(AE322,DORA_M_FIN),1,0)))</f>
        <v/>
      </c>
      <c r="BV322" s="35" t="str">
        <f aca="false">IF(BR322="","",IF(COUNT(BS322:BU322)=0,"",MIN(BS322:BU322)))</f>
        <v/>
      </c>
      <c r="BW322" s="40" t="str">
        <f aca="false">IF(AQ322&lt;&gt;1,"",IF(AND(AG322="",AH322=""),"",N(AG322)-N(AH322)))</f>
        <v/>
      </c>
      <c r="BX322" s="35" t="str">
        <f aca="true">IF(OR(AQ322&lt;&gt;1,AI322&lt;&gt;"Oui",AJ322=""),"",IF(AK322="",IF(NOW()&gt;AJ322+1,0,""),IF(AK322&lt;=AJ322,1,0)))</f>
        <v/>
      </c>
    </row>
    <row r="323" customFormat="false" ht="15" hidden="false" customHeight="false" outlineLevel="0" collapsed="false">
      <c r="B323" s="29"/>
      <c r="C323" s="29"/>
      <c r="D323" s="29"/>
      <c r="E323" s="29"/>
      <c r="F323" s="29"/>
      <c r="G323" s="29"/>
      <c r="H323" s="29"/>
      <c r="I323" s="29"/>
      <c r="J323" s="29"/>
      <c r="K323" s="29"/>
      <c r="L323" s="29"/>
      <c r="M323" s="29"/>
      <c r="N323" s="30"/>
      <c r="O323" s="30"/>
      <c r="P323" s="30"/>
      <c r="Q323" s="30"/>
      <c r="R323" s="30"/>
      <c r="S323" s="30"/>
      <c r="T323" s="30"/>
      <c r="U323" s="30"/>
      <c r="V323" s="31"/>
      <c r="W323" s="29"/>
      <c r="X323" s="29"/>
      <c r="Y323" s="29"/>
      <c r="Z323" s="29"/>
      <c r="AA323" s="30"/>
      <c r="AB323" s="30"/>
      <c r="AC323" s="30"/>
      <c r="AD323" s="30"/>
      <c r="AE323" s="30"/>
      <c r="AF323" s="32"/>
      <c r="AG323" s="33"/>
      <c r="AH323" s="33"/>
      <c r="AI323" s="29"/>
      <c r="AJ323" s="32"/>
      <c r="AK323" s="32"/>
      <c r="AL323" s="29"/>
      <c r="AN323" s="34" t="str">
        <f aca="false">IF($B323="","",IF(OR(C323="",D323="",E323="",G323="",I323="",J323="",L323="",O323="",P323=""),"Champ obligatoire manquant",IF(OR(AND(N323&lt;&gt;"",N323&gt;O323),O323&gt;P323,AND(Q323&lt;&gt;"",Q323&lt;P323),AND(R323&lt;&gt;"",R323&lt;P323),AND(S323&lt;&gt;"",S323&lt;R323),AND(S323&lt;&gt;"",R323=""),AND(T323&lt;&gt;"",T323&lt;O323),AND(U323&lt;&gt;"",U323&lt;O323)),"Chronologie incohérente",IF(AND(OR(L323="Résolu",L323="Clos"),R323=""),"Date de résolution manquante",IF(AND(L323="Clos",S323=""),"Date de clôture manquante",IF(AND(K323="Oui",AC323=""),"Classification DORA manquante","OK"))))))</f>
        <v/>
      </c>
      <c r="AO323" s="35" t="str">
        <f aca="false">IF($B323="","",IF(AND(C323="Incident",L323&lt;&gt;"Annulé"),1,0))</f>
        <v/>
      </c>
      <c r="AP323" s="35" t="str">
        <f aca="false">IF($B323="","",IF(AND(C323="Quasi-incident",L323&lt;&gt;"Annulé"),1,0))</f>
        <v/>
      </c>
      <c r="AQ323" s="35" t="str">
        <f aca="false">IF($B323="","",AO323+AP323)</f>
        <v/>
      </c>
      <c r="AR323" s="36" t="str">
        <f aca="false">IF(OR($B323="",J323=""),"",IFERROR(VALUE(LEFT(J323,1)),""))</f>
        <v/>
      </c>
      <c r="AS323" s="35" t="str">
        <f aca="false">IF(OR(AO323&lt;&gt;1,G323=""),"",IFERROR(IF(INDEX(L_SrcInterne,MATCH(G323,L_Sources,0))="Oui",1,0),""))</f>
        <v/>
      </c>
      <c r="AT323" s="37" t="str">
        <f aca="false">IF(AO323&lt;&gt;1,"",IFERROR(ROUND(IF(OR(N323="",O323=""),"",IF(O323&lt;N323,"",ROUND(((NETWORKDAYS(N323,O323,JoursFeries)-1)*(HFer-HOuv)+IF(NETWORKDAYS(O323,O323,JoursFeries),MEDIAN(MOD(O323,1),HFer,HOuv),HFer)-IF(NETWORKDAYS(N323,N323,JoursFeries),MEDIAN(MOD(N323,1),HFer,HOuv),HOuv))*24,4)))/HJour,4),""))</f>
        <v/>
      </c>
      <c r="AU323" s="37" t="str">
        <f aca="false">IF(AO323&lt;&gt;1,"",IF(OR(O323="",P323=""),"",IF(P323&lt;O323,"",ROUND(((NETWORKDAYS(O323,P323,JoursFeries)-1)*(HFer-HOuv)+IF(NETWORKDAYS(P323,P323,JoursFeries),MEDIAN(MOD(P323,1),HFer,HOuv),HFer)-IF(NETWORKDAYS(O323,O323,JoursFeries),MEDIAN(MOD(O323,1),HFer,HOuv),HOuv))*24,4))))</f>
        <v/>
      </c>
      <c r="AV323" s="37" t="str">
        <f aca="false">IF(AO323&lt;&gt;1,"",IF(OR(P323="",Q323=""),"",IF(Q323&lt;P323,"",ROUND(((NETWORKDAYS(P323,Q323,JoursFeries)-1)*(HFer-HOuv)+IF(NETWORKDAYS(Q323,Q323,JoursFeries),MEDIAN(MOD(Q323,1),HFer,HOuv),HFer)-IF(NETWORKDAYS(P323,P323,JoursFeries),MEDIAN(MOD(P323,1),HFer,HOuv),HOuv))*24,4))))</f>
        <v/>
      </c>
      <c r="AW323" s="37" t="str">
        <f aca="false">IF(AO323&lt;&gt;1,"",IFERROR(ROUND(IF(OR(P323="",R323=""),"",IF(R323&lt;P323,"",ROUND(((NETWORKDAYS(P323,R323,JoursFeries)-1)*(HFer-HOuv)+IF(NETWORKDAYS(R323,R323,JoursFeries),MEDIAN(MOD(R323,1),HFer,HOuv),HFer)-IF(NETWORKDAYS(P323,P323,JoursFeries),MEDIAN(MOD(P323,1),HFer,HOuv),HOuv))*24,4)))/HJour,4),""))</f>
        <v/>
      </c>
      <c r="AX323" s="37" t="str">
        <f aca="false">IF(AO323&lt;&gt;1,"",IFERROR(ROUND(IF(OR(P323="",S323=""),"",IF(S323&lt;P323,"",ROUND(((NETWORKDAYS(P323,S323,JoursFeries)-1)*(HFer-HOuv)+IF(NETWORKDAYS(S323,S323,JoursFeries),MEDIAN(MOD(S323,1),HFer,HOuv),HFer)-IF(NETWORKDAYS(P323,P323,JoursFeries),MEDIAN(MOD(P323,1),HFer,HOuv),HOuv))*24,4)))/HJour,4),""))</f>
        <v/>
      </c>
      <c r="AY323" s="36" t="str">
        <f aca="false">IF(OR(AO323&lt;&gt;1,AR323=""),"",INDEX(SLA_PEC,AR323))</f>
        <v/>
      </c>
      <c r="AZ323" s="35" t="str">
        <f aca="false">IF(OR(AV323="",AY323=""),"",IF(AV323&lt;=AY323,1,0))</f>
        <v/>
      </c>
      <c r="BA323" s="36" t="str">
        <f aca="false">IF(OR(AO323&lt;&gt;1,AR323=""),"",INDEX(SLA_RES,AR323))</f>
        <v/>
      </c>
      <c r="BB323" s="35" t="str">
        <f aca="false">IF(OR(AW323="",BA323=""),"",IF(AW323&lt;=BA323,1,0))</f>
        <v/>
      </c>
      <c r="BC323" s="38" t="str">
        <f aca="false">IF(OR(BA323="",P323=""),"",WORKDAY(INT(P323),BA323,JoursFeries)+MOD(P323,1))</f>
        <v/>
      </c>
      <c r="BD323" s="39" t="str">
        <f aca="false">IF(AO323&lt;&gt;1,"",IF(OR(AB323&lt;&gt;"",AD323&lt;&gt;""),4,IF(U323&lt;&gt;"",3,IF(T323&lt;&gt;"",2,1))))</f>
        <v/>
      </c>
      <c r="BE323" s="39" t="str">
        <f aca="false">IF(OR(AO323&lt;&gt;1,AR323=""),"",INDEX(NIV_REQ,AR323))</f>
        <v/>
      </c>
      <c r="BF323" s="39" t="str">
        <f aca="false">IF(BE323="","",MAX(BE323,IF(OR(K323="Oui",Z323="Oui"),4,1)))</f>
        <v/>
      </c>
      <c r="BG323" s="35" t="str">
        <f aca="false">IF(OR(BF323="",BD323=""),"",IF(BD323&gt;=BF323,1,0))</f>
        <v/>
      </c>
      <c r="BH323" s="38" t="str">
        <f aca="false">IF(BE323="","",IF(BE323&lt;2,"",IF(BE323=2,IF(AND(T323="",U323=""),"",MIN(T323,U323)),IF(U323="","",U323))))</f>
        <v/>
      </c>
      <c r="BI323" s="37" t="str">
        <f aca="false">IF(BH323="","",IF(OR(O323="",BH323=""),"",IF(BH323&lt;O323,"",ROUND(((NETWORKDAYS(O323,BH323,JoursFeries)-1)*(HFer-HOuv)+IF(NETWORKDAYS(BH323,BH323,JoursFeries),MEDIAN(MOD(BH323,1),HFer,HOuv),HFer)-IF(NETWORKDAYS(O323,O323,JoursFeries),MEDIAN(MOD(O323,1),HFer,HOuv),HOuv))*24,4))))</f>
        <v/>
      </c>
      <c r="BJ323" s="35" t="str">
        <f aca="false">IF(OR(BI323="",AR323=""),"",IF(BI323&lt;=INDEX(DELAI_ESC,AR323),1,0))</f>
        <v/>
      </c>
      <c r="BK323" s="38" t="str">
        <f aca="false">IF(AO323&lt;&gt;1,"",IF(AND(T323="",U323=""),"",MIN(T323,U323)))</f>
        <v/>
      </c>
      <c r="BL323" s="37" t="str">
        <f aca="false">IF(OR(BK323="",R323=""),"",IFERROR(ROUND(IF(OR(BK323="",R323=""),"",IF(R323&lt;BK323,"",ROUND(((NETWORKDAYS(BK323,R323,JoursFeries)-1)*(HFer-HOuv)+IF(NETWORKDAYS(R323,R323,JoursFeries),MEDIAN(MOD(R323,1),HFer,HOuv),HFer)-IF(NETWORKDAYS(BK323,BK323,JoursFeries),MEDIAN(MOD(BK323,1),HFer,HOuv),HOuv))*24,4)))/HJour,4),""))</f>
        <v/>
      </c>
      <c r="BM323" s="35" t="str">
        <f aca="false">IF(OR(AO323&lt;&gt;1,R323=""),"",IF(BD323=1,1,0))</f>
        <v/>
      </c>
      <c r="BN323" s="35" t="str">
        <f aca="false">IF(AO323&lt;&gt;1,"",IF(W323="Oui",1,0))</f>
        <v/>
      </c>
      <c r="BO323" s="35" t="str">
        <f aca="false">IF(AO323&lt;&gt;1,"",IF(X323&lt;&gt;"",1,0))</f>
        <v/>
      </c>
      <c r="BP323" s="35" t="str">
        <f aca="false">IF(AO323&lt;&gt;1,"",IF(Y323="Oui",1,0))</f>
        <v/>
      </c>
      <c r="BQ323" s="35" t="str">
        <f aca="true">IF(OR(AO323&lt;&gt;1,Z323&lt;&gt;"Oui"),"",IF(AB323="",IF(AND(AA323&lt;&gt;"",NOW()&gt;AA323),0,""),IF(AA323="","",IF(AB323&lt;=AA323,1,0))))</f>
        <v/>
      </c>
      <c r="BR323" s="38" t="str">
        <f aca="false">IF(OR(AO323&lt;&gt;1,K323&lt;&gt;"Oui",O323=""),"",IF(AC323="",O323+DORA_H_DET/24,IF(AC323-O323&lt;=DORA_H_DET/24,MIN(AC323+DORA_H_CLA/24,O323+DORA_H_DET/24),AC323+DORA_H_CLA/24)))</f>
        <v/>
      </c>
      <c r="BS323" s="35" t="str">
        <f aca="true">IF(BR323="","",IF(AD323="",IF(NOW()&gt;BR323,0,""),IF(AD323&lt;=BR323,1,0)))</f>
        <v/>
      </c>
      <c r="BT323" s="35" t="str">
        <f aca="true">IF(OR(BR323="",AD323=""),"",IF(AE323="",IF(NOW()&gt;AD323+DORA_H_INT/24,0,""),IF(AE323&lt;=AD323+DORA_H_INT/24,1,0)))</f>
        <v/>
      </c>
      <c r="BU323" s="35" t="str">
        <f aca="true">IF(OR(BR323="",AE323=""),"",IF(AF323="",IF(NOW()&gt;EDATE(AE323,DORA_M_FIN)+1,0,""),IF(AF323&lt;=EDATE(AE323,DORA_M_FIN),1,0)))</f>
        <v/>
      </c>
      <c r="BV323" s="35" t="str">
        <f aca="false">IF(BR323="","",IF(COUNT(BS323:BU323)=0,"",MIN(BS323:BU323)))</f>
        <v/>
      </c>
      <c r="BW323" s="40" t="str">
        <f aca="false">IF(AQ323&lt;&gt;1,"",IF(AND(AG323="",AH323=""),"",N(AG323)-N(AH323)))</f>
        <v/>
      </c>
      <c r="BX323" s="35" t="str">
        <f aca="true">IF(OR(AQ323&lt;&gt;1,AI323&lt;&gt;"Oui",AJ323=""),"",IF(AK323="",IF(NOW()&gt;AJ323+1,0,""),IF(AK323&lt;=AJ323,1,0)))</f>
        <v/>
      </c>
    </row>
    <row r="324" customFormat="false" ht="15" hidden="false" customHeight="false" outlineLevel="0" collapsed="false">
      <c r="B324" s="29"/>
      <c r="C324" s="29"/>
      <c r="D324" s="29"/>
      <c r="E324" s="29"/>
      <c r="F324" s="29"/>
      <c r="G324" s="29"/>
      <c r="H324" s="29"/>
      <c r="I324" s="29"/>
      <c r="J324" s="29"/>
      <c r="K324" s="29"/>
      <c r="L324" s="29"/>
      <c r="M324" s="29"/>
      <c r="N324" s="30"/>
      <c r="O324" s="30"/>
      <c r="P324" s="30"/>
      <c r="Q324" s="30"/>
      <c r="R324" s="30"/>
      <c r="S324" s="30"/>
      <c r="T324" s="30"/>
      <c r="U324" s="30"/>
      <c r="V324" s="31"/>
      <c r="W324" s="29"/>
      <c r="X324" s="29"/>
      <c r="Y324" s="29"/>
      <c r="Z324" s="29"/>
      <c r="AA324" s="30"/>
      <c r="AB324" s="30"/>
      <c r="AC324" s="30"/>
      <c r="AD324" s="30"/>
      <c r="AE324" s="30"/>
      <c r="AF324" s="32"/>
      <c r="AG324" s="33"/>
      <c r="AH324" s="33"/>
      <c r="AI324" s="29"/>
      <c r="AJ324" s="32"/>
      <c r="AK324" s="32"/>
      <c r="AL324" s="29"/>
      <c r="AN324" s="34" t="str">
        <f aca="false">IF($B324="","",IF(OR(C324="",D324="",E324="",G324="",I324="",J324="",L324="",O324="",P324=""),"Champ obligatoire manquant",IF(OR(AND(N324&lt;&gt;"",N324&gt;O324),O324&gt;P324,AND(Q324&lt;&gt;"",Q324&lt;P324),AND(R324&lt;&gt;"",R324&lt;P324),AND(S324&lt;&gt;"",S324&lt;R324),AND(S324&lt;&gt;"",R324=""),AND(T324&lt;&gt;"",T324&lt;O324),AND(U324&lt;&gt;"",U324&lt;O324)),"Chronologie incohérente",IF(AND(OR(L324="Résolu",L324="Clos"),R324=""),"Date de résolution manquante",IF(AND(L324="Clos",S324=""),"Date de clôture manquante",IF(AND(K324="Oui",AC324=""),"Classification DORA manquante","OK"))))))</f>
        <v/>
      </c>
      <c r="AO324" s="35" t="str">
        <f aca="false">IF($B324="","",IF(AND(C324="Incident",L324&lt;&gt;"Annulé"),1,0))</f>
        <v/>
      </c>
      <c r="AP324" s="35" t="str">
        <f aca="false">IF($B324="","",IF(AND(C324="Quasi-incident",L324&lt;&gt;"Annulé"),1,0))</f>
        <v/>
      </c>
      <c r="AQ324" s="35" t="str">
        <f aca="false">IF($B324="","",AO324+AP324)</f>
        <v/>
      </c>
      <c r="AR324" s="36" t="str">
        <f aca="false">IF(OR($B324="",J324=""),"",IFERROR(VALUE(LEFT(J324,1)),""))</f>
        <v/>
      </c>
      <c r="AS324" s="35" t="str">
        <f aca="false">IF(OR(AO324&lt;&gt;1,G324=""),"",IFERROR(IF(INDEX(L_SrcInterne,MATCH(G324,L_Sources,0))="Oui",1,0),""))</f>
        <v/>
      </c>
      <c r="AT324" s="37" t="str">
        <f aca="false">IF(AO324&lt;&gt;1,"",IFERROR(ROUND(IF(OR(N324="",O324=""),"",IF(O324&lt;N324,"",ROUND(((NETWORKDAYS(N324,O324,JoursFeries)-1)*(HFer-HOuv)+IF(NETWORKDAYS(O324,O324,JoursFeries),MEDIAN(MOD(O324,1),HFer,HOuv),HFer)-IF(NETWORKDAYS(N324,N324,JoursFeries),MEDIAN(MOD(N324,1),HFer,HOuv),HOuv))*24,4)))/HJour,4),""))</f>
        <v/>
      </c>
      <c r="AU324" s="37" t="str">
        <f aca="false">IF(AO324&lt;&gt;1,"",IF(OR(O324="",P324=""),"",IF(P324&lt;O324,"",ROUND(((NETWORKDAYS(O324,P324,JoursFeries)-1)*(HFer-HOuv)+IF(NETWORKDAYS(P324,P324,JoursFeries),MEDIAN(MOD(P324,1),HFer,HOuv),HFer)-IF(NETWORKDAYS(O324,O324,JoursFeries),MEDIAN(MOD(O324,1),HFer,HOuv),HOuv))*24,4))))</f>
        <v/>
      </c>
      <c r="AV324" s="37" t="str">
        <f aca="false">IF(AO324&lt;&gt;1,"",IF(OR(P324="",Q324=""),"",IF(Q324&lt;P324,"",ROUND(((NETWORKDAYS(P324,Q324,JoursFeries)-1)*(HFer-HOuv)+IF(NETWORKDAYS(Q324,Q324,JoursFeries),MEDIAN(MOD(Q324,1),HFer,HOuv),HFer)-IF(NETWORKDAYS(P324,P324,JoursFeries),MEDIAN(MOD(P324,1),HFer,HOuv),HOuv))*24,4))))</f>
        <v/>
      </c>
      <c r="AW324" s="37" t="str">
        <f aca="false">IF(AO324&lt;&gt;1,"",IFERROR(ROUND(IF(OR(P324="",R324=""),"",IF(R324&lt;P324,"",ROUND(((NETWORKDAYS(P324,R324,JoursFeries)-1)*(HFer-HOuv)+IF(NETWORKDAYS(R324,R324,JoursFeries),MEDIAN(MOD(R324,1),HFer,HOuv),HFer)-IF(NETWORKDAYS(P324,P324,JoursFeries),MEDIAN(MOD(P324,1),HFer,HOuv),HOuv))*24,4)))/HJour,4),""))</f>
        <v/>
      </c>
      <c r="AX324" s="37" t="str">
        <f aca="false">IF(AO324&lt;&gt;1,"",IFERROR(ROUND(IF(OR(P324="",S324=""),"",IF(S324&lt;P324,"",ROUND(((NETWORKDAYS(P324,S324,JoursFeries)-1)*(HFer-HOuv)+IF(NETWORKDAYS(S324,S324,JoursFeries),MEDIAN(MOD(S324,1),HFer,HOuv),HFer)-IF(NETWORKDAYS(P324,P324,JoursFeries),MEDIAN(MOD(P324,1),HFer,HOuv),HOuv))*24,4)))/HJour,4),""))</f>
        <v/>
      </c>
      <c r="AY324" s="36" t="str">
        <f aca="false">IF(OR(AO324&lt;&gt;1,AR324=""),"",INDEX(SLA_PEC,AR324))</f>
        <v/>
      </c>
      <c r="AZ324" s="35" t="str">
        <f aca="false">IF(OR(AV324="",AY324=""),"",IF(AV324&lt;=AY324,1,0))</f>
        <v/>
      </c>
      <c r="BA324" s="36" t="str">
        <f aca="false">IF(OR(AO324&lt;&gt;1,AR324=""),"",INDEX(SLA_RES,AR324))</f>
        <v/>
      </c>
      <c r="BB324" s="35" t="str">
        <f aca="false">IF(OR(AW324="",BA324=""),"",IF(AW324&lt;=BA324,1,0))</f>
        <v/>
      </c>
      <c r="BC324" s="38" t="str">
        <f aca="false">IF(OR(BA324="",P324=""),"",WORKDAY(INT(P324),BA324,JoursFeries)+MOD(P324,1))</f>
        <v/>
      </c>
      <c r="BD324" s="39" t="str">
        <f aca="false">IF(AO324&lt;&gt;1,"",IF(OR(AB324&lt;&gt;"",AD324&lt;&gt;""),4,IF(U324&lt;&gt;"",3,IF(T324&lt;&gt;"",2,1))))</f>
        <v/>
      </c>
      <c r="BE324" s="39" t="str">
        <f aca="false">IF(OR(AO324&lt;&gt;1,AR324=""),"",INDEX(NIV_REQ,AR324))</f>
        <v/>
      </c>
      <c r="BF324" s="39" t="str">
        <f aca="false">IF(BE324="","",MAX(BE324,IF(OR(K324="Oui",Z324="Oui"),4,1)))</f>
        <v/>
      </c>
      <c r="BG324" s="35" t="str">
        <f aca="false">IF(OR(BF324="",BD324=""),"",IF(BD324&gt;=BF324,1,0))</f>
        <v/>
      </c>
      <c r="BH324" s="38" t="str">
        <f aca="false">IF(BE324="","",IF(BE324&lt;2,"",IF(BE324=2,IF(AND(T324="",U324=""),"",MIN(T324,U324)),IF(U324="","",U324))))</f>
        <v/>
      </c>
      <c r="BI324" s="37" t="str">
        <f aca="false">IF(BH324="","",IF(OR(O324="",BH324=""),"",IF(BH324&lt;O324,"",ROUND(((NETWORKDAYS(O324,BH324,JoursFeries)-1)*(HFer-HOuv)+IF(NETWORKDAYS(BH324,BH324,JoursFeries),MEDIAN(MOD(BH324,1),HFer,HOuv),HFer)-IF(NETWORKDAYS(O324,O324,JoursFeries),MEDIAN(MOD(O324,1),HFer,HOuv),HOuv))*24,4))))</f>
        <v/>
      </c>
      <c r="BJ324" s="35" t="str">
        <f aca="false">IF(OR(BI324="",AR324=""),"",IF(BI324&lt;=INDEX(DELAI_ESC,AR324),1,0))</f>
        <v/>
      </c>
      <c r="BK324" s="38" t="str">
        <f aca="false">IF(AO324&lt;&gt;1,"",IF(AND(T324="",U324=""),"",MIN(T324,U324)))</f>
        <v/>
      </c>
      <c r="BL324" s="37" t="str">
        <f aca="false">IF(OR(BK324="",R324=""),"",IFERROR(ROUND(IF(OR(BK324="",R324=""),"",IF(R324&lt;BK324,"",ROUND(((NETWORKDAYS(BK324,R324,JoursFeries)-1)*(HFer-HOuv)+IF(NETWORKDAYS(R324,R324,JoursFeries),MEDIAN(MOD(R324,1),HFer,HOuv),HFer)-IF(NETWORKDAYS(BK324,BK324,JoursFeries),MEDIAN(MOD(BK324,1),HFer,HOuv),HOuv))*24,4)))/HJour,4),""))</f>
        <v/>
      </c>
      <c r="BM324" s="35" t="str">
        <f aca="false">IF(OR(AO324&lt;&gt;1,R324=""),"",IF(BD324=1,1,0))</f>
        <v/>
      </c>
      <c r="BN324" s="35" t="str">
        <f aca="false">IF(AO324&lt;&gt;1,"",IF(W324="Oui",1,0))</f>
        <v/>
      </c>
      <c r="BO324" s="35" t="str">
        <f aca="false">IF(AO324&lt;&gt;1,"",IF(X324&lt;&gt;"",1,0))</f>
        <v/>
      </c>
      <c r="BP324" s="35" t="str">
        <f aca="false">IF(AO324&lt;&gt;1,"",IF(Y324="Oui",1,0))</f>
        <v/>
      </c>
      <c r="BQ324" s="35" t="str">
        <f aca="true">IF(OR(AO324&lt;&gt;1,Z324&lt;&gt;"Oui"),"",IF(AB324="",IF(AND(AA324&lt;&gt;"",NOW()&gt;AA324),0,""),IF(AA324="","",IF(AB324&lt;=AA324,1,0))))</f>
        <v/>
      </c>
      <c r="BR324" s="38" t="str">
        <f aca="false">IF(OR(AO324&lt;&gt;1,K324&lt;&gt;"Oui",O324=""),"",IF(AC324="",O324+DORA_H_DET/24,IF(AC324-O324&lt;=DORA_H_DET/24,MIN(AC324+DORA_H_CLA/24,O324+DORA_H_DET/24),AC324+DORA_H_CLA/24)))</f>
        <v/>
      </c>
      <c r="BS324" s="35" t="str">
        <f aca="true">IF(BR324="","",IF(AD324="",IF(NOW()&gt;BR324,0,""),IF(AD324&lt;=BR324,1,0)))</f>
        <v/>
      </c>
      <c r="BT324" s="35" t="str">
        <f aca="true">IF(OR(BR324="",AD324=""),"",IF(AE324="",IF(NOW()&gt;AD324+DORA_H_INT/24,0,""),IF(AE324&lt;=AD324+DORA_H_INT/24,1,0)))</f>
        <v/>
      </c>
      <c r="BU324" s="35" t="str">
        <f aca="true">IF(OR(BR324="",AE324=""),"",IF(AF324="",IF(NOW()&gt;EDATE(AE324,DORA_M_FIN)+1,0,""),IF(AF324&lt;=EDATE(AE324,DORA_M_FIN),1,0)))</f>
        <v/>
      </c>
      <c r="BV324" s="35" t="str">
        <f aca="false">IF(BR324="","",IF(COUNT(BS324:BU324)=0,"",MIN(BS324:BU324)))</f>
        <v/>
      </c>
      <c r="BW324" s="40" t="str">
        <f aca="false">IF(AQ324&lt;&gt;1,"",IF(AND(AG324="",AH324=""),"",N(AG324)-N(AH324)))</f>
        <v/>
      </c>
      <c r="BX324" s="35" t="str">
        <f aca="true">IF(OR(AQ324&lt;&gt;1,AI324&lt;&gt;"Oui",AJ324=""),"",IF(AK324="",IF(NOW()&gt;AJ324+1,0,""),IF(AK324&lt;=AJ324,1,0)))</f>
        <v/>
      </c>
    </row>
    <row r="325" customFormat="false" ht="15" hidden="false" customHeight="false" outlineLevel="0" collapsed="false">
      <c r="B325" s="29"/>
      <c r="C325" s="29"/>
      <c r="D325" s="29"/>
      <c r="E325" s="29"/>
      <c r="F325" s="29"/>
      <c r="G325" s="29"/>
      <c r="H325" s="29"/>
      <c r="I325" s="29"/>
      <c r="J325" s="29"/>
      <c r="K325" s="29"/>
      <c r="L325" s="29"/>
      <c r="M325" s="29"/>
      <c r="N325" s="30"/>
      <c r="O325" s="30"/>
      <c r="P325" s="30"/>
      <c r="Q325" s="30"/>
      <c r="R325" s="30"/>
      <c r="S325" s="30"/>
      <c r="T325" s="30"/>
      <c r="U325" s="30"/>
      <c r="V325" s="31"/>
      <c r="W325" s="29"/>
      <c r="X325" s="29"/>
      <c r="Y325" s="29"/>
      <c r="Z325" s="29"/>
      <c r="AA325" s="30"/>
      <c r="AB325" s="30"/>
      <c r="AC325" s="30"/>
      <c r="AD325" s="30"/>
      <c r="AE325" s="30"/>
      <c r="AF325" s="32"/>
      <c r="AG325" s="33"/>
      <c r="AH325" s="33"/>
      <c r="AI325" s="29"/>
      <c r="AJ325" s="32"/>
      <c r="AK325" s="32"/>
      <c r="AL325" s="29"/>
      <c r="AN325" s="34" t="str">
        <f aca="false">IF($B325="","",IF(OR(C325="",D325="",E325="",G325="",I325="",J325="",L325="",O325="",P325=""),"Champ obligatoire manquant",IF(OR(AND(N325&lt;&gt;"",N325&gt;O325),O325&gt;P325,AND(Q325&lt;&gt;"",Q325&lt;P325),AND(R325&lt;&gt;"",R325&lt;P325),AND(S325&lt;&gt;"",S325&lt;R325),AND(S325&lt;&gt;"",R325=""),AND(T325&lt;&gt;"",T325&lt;O325),AND(U325&lt;&gt;"",U325&lt;O325)),"Chronologie incohérente",IF(AND(OR(L325="Résolu",L325="Clos"),R325=""),"Date de résolution manquante",IF(AND(L325="Clos",S325=""),"Date de clôture manquante",IF(AND(K325="Oui",AC325=""),"Classification DORA manquante","OK"))))))</f>
        <v/>
      </c>
      <c r="AO325" s="35" t="str">
        <f aca="false">IF($B325="","",IF(AND(C325="Incident",L325&lt;&gt;"Annulé"),1,0))</f>
        <v/>
      </c>
      <c r="AP325" s="35" t="str">
        <f aca="false">IF($B325="","",IF(AND(C325="Quasi-incident",L325&lt;&gt;"Annulé"),1,0))</f>
        <v/>
      </c>
      <c r="AQ325" s="35" t="str">
        <f aca="false">IF($B325="","",AO325+AP325)</f>
        <v/>
      </c>
      <c r="AR325" s="36" t="str">
        <f aca="false">IF(OR($B325="",J325=""),"",IFERROR(VALUE(LEFT(J325,1)),""))</f>
        <v/>
      </c>
      <c r="AS325" s="35" t="str">
        <f aca="false">IF(OR(AO325&lt;&gt;1,G325=""),"",IFERROR(IF(INDEX(L_SrcInterne,MATCH(G325,L_Sources,0))="Oui",1,0),""))</f>
        <v/>
      </c>
      <c r="AT325" s="37" t="str">
        <f aca="false">IF(AO325&lt;&gt;1,"",IFERROR(ROUND(IF(OR(N325="",O325=""),"",IF(O325&lt;N325,"",ROUND(((NETWORKDAYS(N325,O325,JoursFeries)-1)*(HFer-HOuv)+IF(NETWORKDAYS(O325,O325,JoursFeries),MEDIAN(MOD(O325,1),HFer,HOuv),HFer)-IF(NETWORKDAYS(N325,N325,JoursFeries),MEDIAN(MOD(N325,1),HFer,HOuv),HOuv))*24,4)))/HJour,4),""))</f>
        <v/>
      </c>
      <c r="AU325" s="37" t="str">
        <f aca="false">IF(AO325&lt;&gt;1,"",IF(OR(O325="",P325=""),"",IF(P325&lt;O325,"",ROUND(((NETWORKDAYS(O325,P325,JoursFeries)-1)*(HFer-HOuv)+IF(NETWORKDAYS(P325,P325,JoursFeries),MEDIAN(MOD(P325,1),HFer,HOuv),HFer)-IF(NETWORKDAYS(O325,O325,JoursFeries),MEDIAN(MOD(O325,1),HFer,HOuv),HOuv))*24,4))))</f>
        <v/>
      </c>
      <c r="AV325" s="37" t="str">
        <f aca="false">IF(AO325&lt;&gt;1,"",IF(OR(P325="",Q325=""),"",IF(Q325&lt;P325,"",ROUND(((NETWORKDAYS(P325,Q325,JoursFeries)-1)*(HFer-HOuv)+IF(NETWORKDAYS(Q325,Q325,JoursFeries),MEDIAN(MOD(Q325,1),HFer,HOuv),HFer)-IF(NETWORKDAYS(P325,P325,JoursFeries),MEDIAN(MOD(P325,1),HFer,HOuv),HOuv))*24,4))))</f>
        <v/>
      </c>
      <c r="AW325" s="37" t="str">
        <f aca="false">IF(AO325&lt;&gt;1,"",IFERROR(ROUND(IF(OR(P325="",R325=""),"",IF(R325&lt;P325,"",ROUND(((NETWORKDAYS(P325,R325,JoursFeries)-1)*(HFer-HOuv)+IF(NETWORKDAYS(R325,R325,JoursFeries),MEDIAN(MOD(R325,1),HFer,HOuv),HFer)-IF(NETWORKDAYS(P325,P325,JoursFeries),MEDIAN(MOD(P325,1),HFer,HOuv),HOuv))*24,4)))/HJour,4),""))</f>
        <v/>
      </c>
      <c r="AX325" s="37" t="str">
        <f aca="false">IF(AO325&lt;&gt;1,"",IFERROR(ROUND(IF(OR(P325="",S325=""),"",IF(S325&lt;P325,"",ROUND(((NETWORKDAYS(P325,S325,JoursFeries)-1)*(HFer-HOuv)+IF(NETWORKDAYS(S325,S325,JoursFeries),MEDIAN(MOD(S325,1),HFer,HOuv),HFer)-IF(NETWORKDAYS(P325,P325,JoursFeries),MEDIAN(MOD(P325,1),HFer,HOuv),HOuv))*24,4)))/HJour,4),""))</f>
        <v/>
      </c>
      <c r="AY325" s="36" t="str">
        <f aca="false">IF(OR(AO325&lt;&gt;1,AR325=""),"",INDEX(SLA_PEC,AR325))</f>
        <v/>
      </c>
      <c r="AZ325" s="35" t="str">
        <f aca="false">IF(OR(AV325="",AY325=""),"",IF(AV325&lt;=AY325,1,0))</f>
        <v/>
      </c>
      <c r="BA325" s="36" t="str">
        <f aca="false">IF(OR(AO325&lt;&gt;1,AR325=""),"",INDEX(SLA_RES,AR325))</f>
        <v/>
      </c>
      <c r="BB325" s="35" t="str">
        <f aca="false">IF(OR(AW325="",BA325=""),"",IF(AW325&lt;=BA325,1,0))</f>
        <v/>
      </c>
      <c r="BC325" s="38" t="str">
        <f aca="false">IF(OR(BA325="",P325=""),"",WORKDAY(INT(P325),BA325,JoursFeries)+MOD(P325,1))</f>
        <v/>
      </c>
      <c r="BD325" s="39" t="str">
        <f aca="false">IF(AO325&lt;&gt;1,"",IF(OR(AB325&lt;&gt;"",AD325&lt;&gt;""),4,IF(U325&lt;&gt;"",3,IF(T325&lt;&gt;"",2,1))))</f>
        <v/>
      </c>
      <c r="BE325" s="39" t="str">
        <f aca="false">IF(OR(AO325&lt;&gt;1,AR325=""),"",INDEX(NIV_REQ,AR325))</f>
        <v/>
      </c>
      <c r="BF325" s="39" t="str">
        <f aca="false">IF(BE325="","",MAX(BE325,IF(OR(K325="Oui",Z325="Oui"),4,1)))</f>
        <v/>
      </c>
      <c r="BG325" s="35" t="str">
        <f aca="false">IF(OR(BF325="",BD325=""),"",IF(BD325&gt;=BF325,1,0))</f>
        <v/>
      </c>
      <c r="BH325" s="38" t="str">
        <f aca="false">IF(BE325="","",IF(BE325&lt;2,"",IF(BE325=2,IF(AND(T325="",U325=""),"",MIN(T325,U325)),IF(U325="","",U325))))</f>
        <v/>
      </c>
      <c r="BI325" s="37" t="str">
        <f aca="false">IF(BH325="","",IF(OR(O325="",BH325=""),"",IF(BH325&lt;O325,"",ROUND(((NETWORKDAYS(O325,BH325,JoursFeries)-1)*(HFer-HOuv)+IF(NETWORKDAYS(BH325,BH325,JoursFeries),MEDIAN(MOD(BH325,1),HFer,HOuv),HFer)-IF(NETWORKDAYS(O325,O325,JoursFeries),MEDIAN(MOD(O325,1),HFer,HOuv),HOuv))*24,4))))</f>
        <v/>
      </c>
      <c r="BJ325" s="35" t="str">
        <f aca="false">IF(OR(BI325="",AR325=""),"",IF(BI325&lt;=INDEX(DELAI_ESC,AR325),1,0))</f>
        <v/>
      </c>
      <c r="BK325" s="38" t="str">
        <f aca="false">IF(AO325&lt;&gt;1,"",IF(AND(T325="",U325=""),"",MIN(T325,U325)))</f>
        <v/>
      </c>
      <c r="BL325" s="37" t="str">
        <f aca="false">IF(OR(BK325="",R325=""),"",IFERROR(ROUND(IF(OR(BK325="",R325=""),"",IF(R325&lt;BK325,"",ROUND(((NETWORKDAYS(BK325,R325,JoursFeries)-1)*(HFer-HOuv)+IF(NETWORKDAYS(R325,R325,JoursFeries),MEDIAN(MOD(R325,1),HFer,HOuv),HFer)-IF(NETWORKDAYS(BK325,BK325,JoursFeries),MEDIAN(MOD(BK325,1),HFer,HOuv),HOuv))*24,4)))/HJour,4),""))</f>
        <v/>
      </c>
      <c r="BM325" s="35" t="str">
        <f aca="false">IF(OR(AO325&lt;&gt;1,R325=""),"",IF(BD325=1,1,0))</f>
        <v/>
      </c>
      <c r="BN325" s="35" t="str">
        <f aca="false">IF(AO325&lt;&gt;1,"",IF(W325="Oui",1,0))</f>
        <v/>
      </c>
      <c r="BO325" s="35" t="str">
        <f aca="false">IF(AO325&lt;&gt;1,"",IF(X325&lt;&gt;"",1,0))</f>
        <v/>
      </c>
      <c r="BP325" s="35" t="str">
        <f aca="false">IF(AO325&lt;&gt;1,"",IF(Y325="Oui",1,0))</f>
        <v/>
      </c>
      <c r="BQ325" s="35" t="str">
        <f aca="true">IF(OR(AO325&lt;&gt;1,Z325&lt;&gt;"Oui"),"",IF(AB325="",IF(AND(AA325&lt;&gt;"",NOW()&gt;AA325),0,""),IF(AA325="","",IF(AB325&lt;=AA325,1,0))))</f>
        <v/>
      </c>
      <c r="BR325" s="38" t="str">
        <f aca="false">IF(OR(AO325&lt;&gt;1,K325&lt;&gt;"Oui",O325=""),"",IF(AC325="",O325+DORA_H_DET/24,IF(AC325-O325&lt;=DORA_H_DET/24,MIN(AC325+DORA_H_CLA/24,O325+DORA_H_DET/24),AC325+DORA_H_CLA/24)))</f>
        <v/>
      </c>
      <c r="BS325" s="35" t="str">
        <f aca="true">IF(BR325="","",IF(AD325="",IF(NOW()&gt;BR325,0,""),IF(AD325&lt;=BR325,1,0)))</f>
        <v/>
      </c>
      <c r="BT325" s="35" t="str">
        <f aca="true">IF(OR(BR325="",AD325=""),"",IF(AE325="",IF(NOW()&gt;AD325+DORA_H_INT/24,0,""),IF(AE325&lt;=AD325+DORA_H_INT/24,1,0)))</f>
        <v/>
      </c>
      <c r="BU325" s="35" t="str">
        <f aca="true">IF(OR(BR325="",AE325=""),"",IF(AF325="",IF(NOW()&gt;EDATE(AE325,DORA_M_FIN)+1,0,""),IF(AF325&lt;=EDATE(AE325,DORA_M_FIN),1,0)))</f>
        <v/>
      </c>
      <c r="BV325" s="35" t="str">
        <f aca="false">IF(BR325="","",IF(COUNT(BS325:BU325)=0,"",MIN(BS325:BU325)))</f>
        <v/>
      </c>
      <c r="BW325" s="40" t="str">
        <f aca="false">IF(AQ325&lt;&gt;1,"",IF(AND(AG325="",AH325=""),"",N(AG325)-N(AH325)))</f>
        <v/>
      </c>
      <c r="BX325" s="35" t="str">
        <f aca="true">IF(OR(AQ325&lt;&gt;1,AI325&lt;&gt;"Oui",AJ325=""),"",IF(AK325="",IF(NOW()&gt;AJ325+1,0,""),IF(AK325&lt;=AJ325,1,0)))</f>
        <v/>
      </c>
    </row>
    <row r="326" customFormat="false" ht="15" hidden="false" customHeight="false" outlineLevel="0" collapsed="false">
      <c r="B326" s="29"/>
      <c r="C326" s="29"/>
      <c r="D326" s="29"/>
      <c r="E326" s="29"/>
      <c r="F326" s="29"/>
      <c r="G326" s="29"/>
      <c r="H326" s="29"/>
      <c r="I326" s="29"/>
      <c r="J326" s="29"/>
      <c r="K326" s="29"/>
      <c r="L326" s="29"/>
      <c r="M326" s="29"/>
      <c r="N326" s="30"/>
      <c r="O326" s="30"/>
      <c r="P326" s="30"/>
      <c r="Q326" s="30"/>
      <c r="R326" s="30"/>
      <c r="S326" s="30"/>
      <c r="T326" s="30"/>
      <c r="U326" s="30"/>
      <c r="V326" s="31"/>
      <c r="W326" s="29"/>
      <c r="X326" s="29"/>
      <c r="Y326" s="29"/>
      <c r="Z326" s="29"/>
      <c r="AA326" s="30"/>
      <c r="AB326" s="30"/>
      <c r="AC326" s="30"/>
      <c r="AD326" s="30"/>
      <c r="AE326" s="30"/>
      <c r="AF326" s="32"/>
      <c r="AG326" s="33"/>
      <c r="AH326" s="33"/>
      <c r="AI326" s="29"/>
      <c r="AJ326" s="32"/>
      <c r="AK326" s="32"/>
      <c r="AL326" s="29"/>
      <c r="AN326" s="34" t="str">
        <f aca="false">IF($B326="","",IF(OR(C326="",D326="",E326="",G326="",I326="",J326="",L326="",O326="",P326=""),"Champ obligatoire manquant",IF(OR(AND(N326&lt;&gt;"",N326&gt;O326),O326&gt;P326,AND(Q326&lt;&gt;"",Q326&lt;P326),AND(R326&lt;&gt;"",R326&lt;P326),AND(S326&lt;&gt;"",S326&lt;R326),AND(S326&lt;&gt;"",R326=""),AND(T326&lt;&gt;"",T326&lt;O326),AND(U326&lt;&gt;"",U326&lt;O326)),"Chronologie incohérente",IF(AND(OR(L326="Résolu",L326="Clos"),R326=""),"Date de résolution manquante",IF(AND(L326="Clos",S326=""),"Date de clôture manquante",IF(AND(K326="Oui",AC326=""),"Classification DORA manquante","OK"))))))</f>
        <v/>
      </c>
      <c r="AO326" s="35" t="str">
        <f aca="false">IF($B326="","",IF(AND(C326="Incident",L326&lt;&gt;"Annulé"),1,0))</f>
        <v/>
      </c>
      <c r="AP326" s="35" t="str">
        <f aca="false">IF($B326="","",IF(AND(C326="Quasi-incident",L326&lt;&gt;"Annulé"),1,0))</f>
        <v/>
      </c>
      <c r="AQ326" s="35" t="str">
        <f aca="false">IF($B326="","",AO326+AP326)</f>
        <v/>
      </c>
      <c r="AR326" s="36" t="str">
        <f aca="false">IF(OR($B326="",J326=""),"",IFERROR(VALUE(LEFT(J326,1)),""))</f>
        <v/>
      </c>
      <c r="AS326" s="35" t="str">
        <f aca="false">IF(OR(AO326&lt;&gt;1,G326=""),"",IFERROR(IF(INDEX(L_SrcInterne,MATCH(G326,L_Sources,0))="Oui",1,0),""))</f>
        <v/>
      </c>
      <c r="AT326" s="37" t="str">
        <f aca="false">IF(AO326&lt;&gt;1,"",IFERROR(ROUND(IF(OR(N326="",O326=""),"",IF(O326&lt;N326,"",ROUND(((NETWORKDAYS(N326,O326,JoursFeries)-1)*(HFer-HOuv)+IF(NETWORKDAYS(O326,O326,JoursFeries),MEDIAN(MOD(O326,1),HFer,HOuv),HFer)-IF(NETWORKDAYS(N326,N326,JoursFeries),MEDIAN(MOD(N326,1),HFer,HOuv),HOuv))*24,4)))/HJour,4),""))</f>
        <v/>
      </c>
      <c r="AU326" s="37" t="str">
        <f aca="false">IF(AO326&lt;&gt;1,"",IF(OR(O326="",P326=""),"",IF(P326&lt;O326,"",ROUND(((NETWORKDAYS(O326,P326,JoursFeries)-1)*(HFer-HOuv)+IF(NETWORKDAYS(P326,P326,JoursFeries),MEDIAN(MOD(P326,1),HFer,HOuv),HFer)-IF(NETWORKDAYS(O326,O326,JoursFeries),MEDIAN(MOD(O326,1),HFer,HOuv),HOuv))*24,4))))</f>
        <v/>
      </c>
      <c r="AV326" s="37" t="str">
        <f aca="false">IF(AO326&lt;&gt;1,"",IF(OR(P326="",Q326=""),"",IF(Q326&lt;P326,"",ROUND(((NETWORKDAYS(P326,Q326,JoursFeries)-1)*(HFer-HOuv)+IF(NETWORKDAYS(Q326,Q326,JoursFeries),MEDIAN(MOD(Q326,1),HFer,HOuv),HFer)-IF(NETWORKDAYS(P326,P326,JoursFeries),MEDIAN(MOD(P326,1),HFer,HOuv),HOuv))*24,4))))</f>
        <v/>
      </c>
      <c r="AW326" s="37" t="str">
        <f aca="false">IF(AO326&lt;&gt;1,"",IFERROR(ROUND(IF(OR(P326="",R326=""),"",IF(R326&lt;P326,"",ROUND(((NETWORKDAYS(P326,R326,JoursFeries)-1)*(HFer-HOuv)+IF(NETWORKDAYS(R326,R326,JoursFeries),MEDIAN(MOD(R326,1),HFer,HOuv),HFer)-IF(NETWORKDAYS(P326,P326,JoursFeries),MEDIAN(MOD(P326,1),HFer,HOuv),HOuv))*24,4)))/HJour,4),""))</f>
        <v/>
      </c>
      <c r="AX326" s="37" t="str">
        <f aca="false">IF(AO326&lt;&gt;1,"",IFERROR(ROUND(IF(OR(P326="",S326=""),"",IF(S326&lt;P326,"",ROUND(((NETWORKDAYS(P326,S326,JoursFeries)-1)*(HFer-HOuv)+IF(NETWORKDAYS(S326,S326,JoursFeries),MEDIAN(MOD(S326,1),HFer,HOuv),HFer)-IF(NETWORKDAYS(P326,P326,JoursFeries),MEDIAN(MOD(P326,1),HFer,HOuv),HOuv))*24,4)))/HJour,4),""))</f>
        <v/>
      </c>
      <c r="AY326" s="36" t="str">
        <f aca="false">IF(OR(AO326&lt;&gt;1,AR326=""),"",INDEX(SLA_PEC,AR326))</f>
        <v/>
      </c>
      <c r="AZ326" s="35" t="str">
        <f aca="false">IF(OR(AV326="",AY326=""),"",IF(AV326&lt;=AY326,1,0))</f>
        <v/>
      </c>
      <c r="BA326" s="36" t="str">
        <f aca="false">IF(OR(AO326&lt;&gt;1,AR326=""),"",INDEX(SLA_RES,AR326))</f>
        <v/>
      </c>
      <c r="BB326" s="35" t="str">
        <f aca="false">IF(OR(AW326="",BA326=""),"",IF(AW326&lt;=BA326,1,0))</f>
        <v/>
      </c>
      <c r="BC326" s="38" t="str">
        <f aca="false">IF(OR(BA326="",P326=""),"",WORKDAY(INT(P326),BA326,JoursFeries)+MOD(P326,1))</f>
        <v/>
      </c>
      <c r="BD326" s="39" t="str">
        <f aca="false">IF(AO326&lt;&gt;1,"",IF(OR(AB326&lt;&gt;"",AD326&lt;&gt;""),4,IF(U326&lt;&gt;"",3,IF(T326&lt;&gt;"",2,1))))</f>
        <v/>
      </c>
      <c r="BE326" s="39" t="str">
        <f aca="false">IF(OR(AO326&lt;&gt;1,AR326=""),"",INDEX(NIV_REQ,AR326))</f>
        <v/>
      </c>
      <c r="BF326" s="39" t="str">
        <f aca="false">IF(BE326="","",MAX(BE326,IF(OR(K326="Oui",Z326="Oui"),4,1)))</f>
        <v/>
      </c>
      <c r="BG326" s="35" t="str">
        <f aca="false">IF(OR(BF326="",BD326=""),"",IF(BD326&gt;=BF326,1,0))</f>
        <v/>
      </c>
      <c r="BH326" s="38" t="str">
        <f aca="false">IF(BE326="","",IF(BE326&lt;2,"",IF(BE326=2,IF(AND(T326="",U326=""),"",MIN(T326,U326)),IF(U326="","",U326))))</f>
        <v/>
      </c>
      <c r="BI326" s="37" t="str">
        <f aca="false">IF(BH326="","",IF(OR(O326="",BH326=""),"",IF(BH326&lt;O326,"",ROUND(((NETWORKDAYS(O326,BH326,JoursFeries)-1)*(HFer-HOuv)+IF(NETWORKDAYS(BH326,BH326,JoursFeries),MEDIAN(MOD(BH326,1),HFer,HOuv),HFer)-IF(NETWORKDAYS(O326,O326,JoursFeries),MEDIAN(MOD(O326,1),HFer,HOuv),HOuv))*24,4))))</f>
        <v/>
      </c>
      <c r="BJ326" s="35" t="str">
        <f aca="false">IF(OR(BI326="",AR326=""),"",IF(BI326&lt;=INDEX(DELAI_ESC,AR326),1,0))</f>
        <v/>
      </c>
      <c r="BK326" s="38" t="str">
        <f aca="false">IF(AO326&lt;&gt;1,"",IF(AND(T326="",U326=""),"",MIN(T326,U326)))</f>
        <v/>
      </c>
      <c r="BL326" s="37" t="str">
        <f aca="false">IF(OR(BK326="",R326=""),"",IFERROR(ROUND(IF(OR(BK326="",R326=""),"",IF(R326&lt;BK326,"",ROUND(((NETWORKDAYS(BK326,R326,JoursFeries)-1)*(HFer-HOuv)+IF(NETWORKDAYS(R326,R326,JoursFeries),MEDIAN(MOD(R326,1),HFer,HOuv),HFer)-IF(NETWORKDAYS(BK326,BK326,JoursFeries),MEDIAN(MOD(BK326,1),HFer,HOuv),HOuv))*24,4)))/HJour,4),""))</f>
        <v/>
      </c>
      <c r="BM326" s="35" t="str">
        <f aca="false">IF(OR(AO326&lt;&gt;1,R326=""),"",IF(BD326=1,1,0))</f>
        <v/>
      </c>
      <c r="BN326" s="35" t="str">
        <f aca="false">IF(AO326&lt;&gt;1,"",IF(W326="Oui",1,0))</f>
        <v/>
      </c>
      <c r="BO326" s="35" t="str">
        <f aca="false">IF(AO326&lt;&gt;1,"",IF(X326&lt;&gt;"",1,0))</f>
        <v/>
      </c>
      <c r="BP326" s="35" t="str">
        <f aca="false">IF(AO326&lt;&gt;1,"",IF(Y326="Oui",1,0))</f>
        <v/>
      </c>
      <c r="BQ326" s="35" t="str">
        <f aca="true">IF(OR(AO326&lt;&gt;1,Z326&lt;&gt;"Oui"),"",IF(AB326="",IF(AND(AA326&lt;&gt;"",NOW()&gt;AA326),0,""),IF(AA326="","",IF(AB326&lt;=AA326,1,0))))</f>
        <v/>
      </c>
      <c r="BR326" s="38" t="str">
        <f aca="false">IF(OR(AO326&lt;&gt;1,K326&lt;&gt;"Oui",O326=""),"",IF(AC326="",O326+DORA_H_DET/24,IF(AC326-O326&lt;=DORA_H_DET/24,MIN(AC326+DORA_H_CLA/24,O326+DORA_H_DET/24),AC326+DORA_H_CLA/24)))</f>
        <v/>
      </c>
      <c r="BS326" s="35" t="str">
        <f aca="true">IF(BR326="","",IF(AD326="",IF(NOW()&gt;BR326,0,""),IF(AD326&lt;=BR326,1,0)))</f>
        <v/>
      </c>
      <c r="BT326" s="35" t="str">
        <f aca="true">IF(OR(BR326="",AD326=""),"",IF(AE326="",IF(NOW()&gt;AD326+DORA_H_INT/24,0,""),IF(AE326&lt;=AD326+DORA_H_INT/24,1,0)))</f>
        <v/>
      </c>
      <c r="BU326" s="35" t="str">
        <f aca="true">IF(OR(BR326="",AE326=""),"",IF(AF326="",IF(NOW()&gt;EDATE(AE326,DORA_M_FIN)+1,0,""),IF(AF326&lt;=EDATE(AE326,DORA_M_FIN),1,0)))</f>
        <v/>
      </c>
      <c r="BV326" s="35" t="str">
        <f aca="false">IF(BR326="","",IF(COUNT(BS326:BU326)=0,"",MIN(BS326:BU326)))</f>
        <v/>
      </c>
      <c r="BW326" s="40" t="str">
        <f aca="false">IF(AQ326&lt;&gt;1,"",IF(AND(AG326="",AH326=""),"",N(AG326)-N(AH326)))</f>
        <v/>
      </c>
      <c r="BX326" s="35" t="str">
        <f aca="true">IF(OR(AQ326&lt;&gt;1,AI326&lt;&gt;"Oui",AJ326=""),"",IF(AK326="",IF(NOW()&gt;AJ326+1,0,""),IF(AK326&lt;=AJ326,1,0)))</f>
        <v/>
      </c>
    </row>
    <row r="327" customFormat="false" ht="15" hidden="false" customHeight="false" outlineLevel="0" collapsed="false">
      <c r="B327" s="29"/>
      <c r="C327" s="29"/>
      <c r="D327" s="29"/>
      <c r="E327" s="29"/>
      <c r="F327" s="29"/>
      <c r="G327" s="29"/>
      <c r="H327" s="29"/>
      <c r="I327" s="29"/>
      <c r="J327" s="29"/>
      <c r="K327" s="29"/>
      <c r="L327" s="29"/>
      <c r="M327" s="29"/>
      <c r="N327" s="30"/>
      <c r="O327" s="30"/>
      <c r="P327" s="30"/>
      <c r="Q327" s="30"/>
      <c r="R327" s="30"/>
      <c r="S327" s="30"/>
      <c r="T327" s="30"/>
      <c r="U327" s="30"/>
      <c r="V327" s="31"/>
      <c r="W327" s="29"/>
      <c r="X327" s="29"/>
      <c r="Y327" s="29"/>
      <c r="Z327" s="29"/>
      <c r="AA327" s="30"/>
      <c r="AB327" s="30"/>
      <c r="AC327" s="30"/>
      <c r="AD327" s="30"/>
      <c r="AE327" s="30"/>
      <c r="AF327" s="32"/>
      <c r="AG327" s="33"/>
      <c r="AH327" s="33"/>
      <c r="AI327" s="29"/>
      <c r="AJ327" s="32"/>
      <c r="AK327" s="32"/>
      <c r="AL327" s="29"/>
      <c r="AN327" s="34" t="str">
        <f aca="false">IF($B327="","",IF(OR(C327="",D327="",E327="",G327="",I327="",J327="",L327="",O327="",P327=""),"Champ obligatoire manquant",IF(OR(AND(N327&lt;&gt;"",N327&gt;O327),O327&gt;P327,AND(Q327&lt;&gt;"",Q327&lt;P327),AND(R327&lt;&gt;"",R327&lt;P327),AND(S327&lt;&gt;"",S327&lt;R327),AND(S327&lt;&gt;"",R327=""),AND(T327&lt;&gt;"",T327&lt;O327),AND(U327&lt;&gt;"",U327&lt;O327)),"Chronologie incohérente",IF(AND(OR(L327="Résolu",L327="Clos"),R327=""),"Date de résolution manquante",IF(AND(L327="Clos",S327=""),"Date de clôture manquante",IF(AND(K327="Oui",AC327=""),"Classification DORA manquante","OK"))))))</f>
        <v/>
      </c>
      <c r="AO327" s="35" t="str">
        <f aca="false">IF($B327="","",IF(AND(C327="Incident",L327&lt;&gt;"Annulé"),1,0))</f>
        <v/>
      </c>
      <c r="AP327" s="35" t="str">
        <f aca="false">IF($B327="","",IF(AND(C327="Quasi-incident",L327&lt;&gt;"Annulé"),1,0))</f>
        <v/>
      </c>
      <c r="AQ327" s="35" t="str">
        <f aca="false">IF($B327="","",AO327+AP327)</f>
        <v/>
      </c>
      <c r="AR327" s="36" t="str">
        <f aca="false">IF(OR($B327="",J327=""),"",IFERROR(VALUE(LEFT(J327,1)),""))</f>
        <v/>
      </c>
      <c r="AS327" s="35" t="str">
        <f aca="false">IF(OR(AO327&lt;&gt;1,G327=""),"",IFERROR(IF(INDEX(L_SrcInterne,MATCH(G327,L_Sources,0))="Oui",1,0),""))</f>
        <v/>
      </c>
      <c r="AT327" s="37" t="str">
        <f aca="false">IF(AO327&lt;&gt;1,"",IFERROR(ROUND(IF(OR(N327="",O327=""),"",IF(O327&lt;N327,"",ROUND(((NETWORKDAYS(N327,O327,JoursFeries)-1)*(HFer-HOuv)+IF(NETWORKDAYS(O327,O327,JoursFeries),MEDIAN(MOD(O327,1),HFer,HOuv),HFer)-IF(NETWORKDAYS(N327,N327,JoursFeries),MEDIAN(MOD(N327,1),HFer,HOuv),HOuv))*24,4)))/HJour,4),""))</f>
        <v/>
      </c>
      <c r="AU327" s="37" t="str">
        <f aca="false">IF(AO327&lt;&gt;1,"",IF(OR(O327="",P327=""),"",IF(P327&lt;O327,"",ROUND(((NETWORKDAYS(O327,P327,JoursFeries)-1)*(HFer-HOuv)+IF(NETWORKDAYS(P327,P327,JoursFeries),MEDIAN(MOD(P327,1),HFer,HOuv),HFer)-IF(NETWORKDAYS(O327,O327,JoursFeries),MEDIAN(MOD(O327,1),HFer,HOuv),HOuv))*24,4))))</f>
        <v/>
      </c>
      <c r="AV327" s="37" t="str">
        <f aca="false">IF(AO327&lt;&gt;1,"",IF(OR(P327="",Q327=""),"",IF(Q327&lt;P327,"",ROUND(((NETWORKDAYS(P327,Q327,JoursFeries)-1)*(HFer-HOuv)+IF(NETWORKDAYS(Q327,Q327,JoursFeries),MEDIAN(MOD(Q327,1),HFer,HOuv),HFer)-IF(NETWORKDAYS(P327,P327,JoursFeries),MEDIAN(MOD(P327,1),HFer,HOuv),HOuv))*24,4))))</f>
        <v/>
      </c>
      <c r="AW327" s="37" t="str">
        <f aca="false">IF(AO327&lt;&gt;1,"",IFERROR(ROUND(IF(OR(P327="",R327=""),"",IF(R327&lt;P327,"",ROUND(((NETWORKDAYS(P327,R327,JoursFeries)-1)*(HFer-HOuv)+IF(NETWORKDAYS(R327,R327,JoursFeries),MEDIAN(MOD(R327,1),HFer,HOuv),HFer)-IF(NETWORKDAYS(P327,P327,JoursFeries),MEDIAN(MOD(P327,1),HFer,HOuv),HOuv))*24,4)))/HJour,4),""))</f>
        <v/>
      </c>
      <c r="AX327" s="37" t="str">
        <f aca="false">IF(AO327&lt;&gt;1,"",IFERROR(ROUND(IF(OR(P327="",S327=""),"",IF(S327&lt;P327,"",ROUND(((NETWORKDAYS(P327,S327,JoursFeries)-1)*(HFer-HOuv)+IF(NETWORKDAYS(S327,S327,JoursFeries),MEDIAN(MOD(S327,1),HFer,HOuv),HFer)-IF(NETWORKDAYS(P327,P327,JoursFeries),MEDIAN(MOD(P327,1),HFer,HOuv),HOuv))*24,4)))/HJour,4),""))</f>
        <v/>
      </c>
      <c r="AY327" s="36" t="str">
        <f aca="false">IF(OR(AO327&lt;&gt;1,AR327=""),"",INDEX(SLA_PEC,AR327))</f>
        <v/>
      </c>
      <c r="AZ327" s="35" t="str">
        <f aca="false">IF(OR(AV327="",AY327=""),"",IF(AV327&lt;=AY327,1,0))</f>
        <v/>
      </c>
      <c r="BA327" s="36" t="str">
        <f aca="false">IF(OR(AO327&lt;&gt;1,AR327=""),"",INDEX(SLA_RES,AR327))</f>
        <v/>
      </c>
      <c r="BB327" s="35" t="str">
        <f aca="false">IF(OR(AW327="",BA327=""),"",IF(AW327&lt;=BA327,1,0))</f>
        <v/>
      </c>
      <c r="BC327" s="38" t="str">
        <f aca="false">IF(OR(BA327="",P327=""),"",WORKDAY(INT(P327),BA327,JoursFeries)+MOD(P327,1))</f>
        <v/>
      </c>
      <c r="BD327" s="39" t="str">
        <f aca="false">IF(AO327&lt;&gt;1,"",IF(OR(AB327&lt;&gt;"",AD327&lt;&gt;""),4,IF(U327&lt;&gt;"",3,IF(T327&lt;&gt;"",2,1))))</f>
        <v/>
      </c>
      <c r="BE327" s="39" t="str">
        <f aca="false">IF(OR(AO327&lt;&gt;1,AR327=""),"",INDEX(NIV_REQ,AR327))</f>
        <v/>
      </c>
      <c r="BF327" s="39" t="str">
        <f aca="false">IF(BE327="","",MAX(BE327,IF(OR(K327="Oui",Z327="Oui"),4,1)))</f>
        <v/>
      </c>
      <c r="BG327" s="35" t="str">
        <f aca="false">IF(OR(BF327="",BD327=""),"",IF(BD327&gt;=BF327,1,0))</f>
        <v/>
      </c>
      <c r="BH327" s="38" t="str">
        <f aca="false">IF(BE327="","",IF(BE327&lt;2,"",IF(BE327=2,IF(AND(T327="",U327=""),"",MIN(T327,U327)),IF(U327="","",U327))))</f>
        <v/>
      </c>
      <c r="BI327" s="37" t="str">
        <f aca="false">IF(BH327="","",IF(OR(O327="",BH327=""),"",IF(BH327&lt;O327,"",ROUND(((NETWORKDAYS(O327,BH327,JoursFeries)-1)*(HFer-HOuv)+IF(NETWORKDAYS(BH327,BH327,JoursFeries),MEDIAN(MOD(BH327,1),HFer,HOuv),HFer)-IF(NETWORKDAYS(O327,O327,JoursFeries),MEDIAN(MOD(O327,1),HFer,HOuv),HOuv))*24,4))))</f>
        <v/>
      </c>
      <c r="BJ327" s="35" t="str">
        <f aca="false">IF(OR(BI327="",AR327=""),"",IF(BI327&lt;=INDEX(DELAI_ESC,AR327),1,0))</f>
        <v/>
      </c>
      <c r="BK327" s="38" t="str">
        <f aca="false">IF(AO327&lt;&gt;1,"",IF(AND(T327="",U327=""),"",MIN(T327,U327)))</f>
        <v/>
      </c>
      <c r="BL327" s="37" t="str">
        <f aca="false">IF(OR(BK327="",R327=""),"",IFERROR(ROUND(IF(OR(BK327="",R327=""),"",IF(R327&lt;BK327,"",ROUND(((NETWORKDAYS(BK327,R327,JoursFeries)-1)*(HFer-HOuv)+IF(NETWORKDAYS(R327,R327,JoursFeries),MEDIAN(MOD(R327,1),HFer,HOuv),HFer)-IF(NETWORKDAYS(BK327,BK327,JoursFeries),MEDIAN(MOD(BK327,1),HFer,HOuv),HOuv))*24,4)))/HJour,4),""))</f>
        <v/>
      </c>
      <c r="BM327" s="35" t="str">
        <f aca="false">IF(OR(AO327&lt;&gt;1,R327=""),"",IF(BD327=1,1,0))</f>
        <v/>
      </c>
      <c r="BN327" s="35" t="str">
        <f aca="false">IF(AO327&lt;&gt;1,"",IF(W327="Oui",1,0))</f>
        <v/>
      </c>
      <c r="BO327" s="35" t="str">
        <f aca="false">IF(AO327&lt;&gt;1,"",IF(X327&lt;&gt;"",1,0))</f>
        <v/>
      </c>
      <c r="BP327" s="35" t="str">
        <f aca="false">IF(AO327&lt;&gt;1,"",IF(Y327="Oui",1,0))</f>
        <v/>
      </c>
      <c r="BQ327" s="35" t="str">
        <f aca="true">IF(OR(AO327&lt;&gt;1,Z327&lt;&gt;"Oui"),"",IF(AB327="",IF(AND(AA327&lt;&gt;"",NOW()&gt;AA327),0,""),IF(AA327="","",IF(AB327&lt;=AA327,1,0))))</f>
        <v/>
      </c>
      <c r="BR327" s="38" t="str">
        <f aca="false">IF(OR(AO327&lt;&gt;1,K327&lt;&gt;"Oui",O327=""),"",IF(AC327="",O327+DORA_H_DET/24,IF(AC327-O327&lt;=DORA_H_DET/24,MIN(AC327+DORA_H_CLA/24,O327+DORA_H_DET/24),AC327+DORA_H_CLA/24)))</f>
        <v/>
      </c>
      <c r="BS327" s="35" t="str">
        <f aca="true">IF(BR327="","",IF(AD327="",IF(NOW()&gt;BR327,0,""),IF(AD327&lt;=BR327,1,0)))</f>
        <v/>
      </c>
      <c r="BT327" s="35" t="str">
        <f aca="true">IF(OR(BR327="",AD327=""),"",IF(AE327="",IF(NOW()&gt;AD327+DORA_H_INT/24,0,""),IF(AE327&lt;=AD327+DORA_H_INT/24,1,0)))</f>
        <v/>
      </c>
      <c r="BU327" s="35" t="str">
        <f aca="true">IF(OR(BR327="",AE327=""),"",IF(AF327="",IF(NOW()&gt;EDATE(AE327,DORA_M_FIN)+1,0,""),IF(AF327&lt;=EDATE(AE327,DORA_M_FIN),1,0)))</f>
        <v/>
      </c>
      <c r="BV327" s="35" t="str">
        <f aca="false">IF(BR327="","",IF(COUNT(BS327:BU327)=0,"",MIN(BS327:BU327)))</f>
        <v/>
      </c>
      <c r="BW327" s="40" t="str">
        <f aca="false">IF(AQ327&lt;&gt;1,"",IF(AND(AG327="",AH327=""),"",N(AG327)-N(AH327)))</f>
        <v/>
      </c>
      <c r="BX327" s="35" t="str">
        <f aca="true">IF(OR(AQ327&lt;&gt;1,AI327&lt;&gt;"Oui",AJ327=""),"",IF(AK327="",IF(NOW()&gt;AJ327+1,0,""),IF(AK327&lt;=AJ327,1,0)))</f>
        <v/>
      </c>
    </row>
    <row r="328" customFormat="false" ht="15" hidden="false" customHeight="false" outlineLevel="0" collapsed="false">
      <c r="B328" s="29"/>
      <c r="C328" s="29"/>
      <c r="D328" s="29"/>
      <c r="E328" s="29"/>
      <c r="F328" s="29"/>
      <c r="G328" s="29"/>
      <c r="H328" s="29"/>
      <c r="I328" s="29"/>
      <c r="J328" s="29"/>
      <c r="K328" s="29"/>
      <c r="L328" s="29"/>
      <c r="M328" s="29"/>
      <c r="N328" s="30"/>
      <c r="O328" s="30"/>
      <c r="P328" s="30"/>
      <c r="Q328" s="30"/>
      <c r="R328" s="30"/>
      <c r="S328" s="30"/>
      <c r="T328" s="30"/>
      <c r="U328" s="30"/>
      <c r="V328" s="31"/>
      <c r="W328" s="29"/>
      <c r="X328" s="29"/>
      <c r="Y328" s="29"/>
      <c r="Z328" s="29"/>
      <c r="AA328" s="30"/>
      <c r="AB328" s="30"/>
      <c r="AC328" s="30"/>
      <c r="AD328" s="30"/>
      <c r="AE328" s="30"/>
      <c r="AF328" s="32"/>
      <c r="AG328" s="33"/>
      <c r="AH328" s="33"/>
      <c r="AI328" s="29"/>
      <c r="AJ328" s="32"/>
      <c r="AK328" s="32"/>
      <c r="AL328" s="29"/>
      <c r="AN328" s="34" t="str">
        <f aca="false">IF($B328="","",IF(OR(C328="",D328="",E328="",G328="",I328="",J328="",L328="",O328="",P328=""),"Champ obligatoire manquant",IF(OR(AND(N328&lt;&gt;"",N328&gt;O328),O328&gt;P328,AND(Q328&lt;&gt;"",Q328&lt;P328),AND(R328&lt;&gt;"",R328&lt;P328),AND(S328&lt;&gt;"",S328&lt;R328),AND(S328&lt;&gt;"",R328=""),AND(T328&lt;&gt;"",T328&lt;O328),AND(U328&lt;&gt;"",U328&lt;O328)),"Chronologie incohérente",IF(AND(OR(L328="Résolu",L328="Clos"),R328=""),"Date de résolution manquante",IF(AND(L328="Clos",S328=""),"Date de clôture manquante",IF(AND(K328="Oui",AC328=""),"Classification DORA manquante","OK"))))))</f>
        <v/>
      </c>
      <c r="AO328" s="35" t="str">
        <f aca="false">IF($B328="","",IF(AND(C328="Incident",L328&lt;&gt;"Annulé"),1,0))</f>
        <v/>
      </c>
      <c r="AP328" s="35" t="str">
        <f aca="false">IF($B328="","",IF(AND(C328="Quasi-incident",L328&lt;&gt;"Annulé"),1,0))</f>
        <v/>
      </c>
      <c r="AQ328" s="35" t="str">
        <f aca="false">IF($B328="","",AO328+AP328)</f>
        <v/>
      </c>
      <c r="AR328" s="36" t="str">
        <f aca="false">IF(OR($B328="",J328=""),"",IFERROR(VALUE(LEFT(J328,1)),""))</f>
        <v/>
      </c>
      <c r="AS328" s="35" t="str">
        <f aca="false">IF(OR(AO328&lt;&gt;1,G328=""),"",IFERROR(IF(INDEX(L_SrcInterne,MATCH(G328,L_Sources,0))="Oui",1,0),""))</f>
        <v/>
      </c>
      <c r="AT328" s="37" t="str">
        <f aca="false">IF(AO328&lt;&gt;1,"",IFERROR(ROUND(IF(OR(N328="",O328=""),"",IF(O328&lt;N328,"",ROUND(((NETWORKDAYS(N328,O328,JoursFeries)-1)*(HFer-HOuv)+IF(NETWORKDAYS(O328,O328,JoursFeries),MEDIAN(MOD(O328,1),HFer,HOuv),HFer)-IF(NETWORKDAYS(N328,N328,JoursFeries),MEDIAN(MOD(N328,1),HFer,HOuv),HOuv))*24,4)))/HJour,4),""))</f>
        <v/>
      </c>
      <c r="AU328" s="37" t="str">
        <f aca="false">IF(AO328&lt;&gt;1,"",IF(OR(O328="",P328=""),"",IF(P328&lt;O328,"",ROUND(((NETWORKDAYS(O328,P328,JoursFeries)-1)*(HFer-HOuv)+IF(NETWORKDAYS(P328,P328,JoursFeries),MEDIAN(MOD(P328,1),HFer,HOuv),HFer)-IF(NETWORKDAYS(O328,O328,JoursFeries),MEDIAN(MOD(O328,1),HFer,HOuv),HOuv))*24,4))))</f>
        <v/>
      </c>
      <c r="AV328" s="37" t="str">
        <f aca="false">IF(AO328&lt;&gt;1,"",IF(OR(P328="",Q328=""),"",IF(Q328&lt;P328,"",ROUND(((NETWORKDAYS(P328,Q328,JoursFeries)-1)*(HFer-HOuv)+IF(NETWORKDAYS(Q328,Q328,JoursFeries),MEDIAN(MOD(Q328,1),HFer,HOuv),HFer)-IF(NETWORKDAYS(P328,P328,JoursFeries),MEDIAN(MOD(P328,1),HFer,HOuv),HOuv))*24,4))))</f>
        <v/>
      </c>
      <c r="AW328" s="37" t="str">
        <f aca="false">IF(AO328&lt;&gt;1,"",IFERROR(ROUND(IF(OR(P328="",R328=""),"",IF(R328&lt;P328,"",ROUND(((NETWORKDAYS(P328,R328,JoursFeries)-1)*(HFer-HOuv)+IF(NETWORKDAYS(R328,R328,JoursFeries),MEDIAN(MOD(R328,1),HFer,HOuv),HFer)-IF(NETWORKDAYS(P328,P328,JoursFeries),MEDIAN(MOD(P328,1),HFer,HOuv),HOuv))*24,4)))/HJour,4),""))</f>
        <v/>
      </c>
      <c r="AX328" s="37" t="str">
        <f aca="false">IF(AO328&lt;&gt;1,"",IFERROR(ROUND(IF(OR(P328="",S328=""),"",IF(S328&lt;P328,"",ROUND(((NETWORKDAYS(P328,S328,JoursFeries)-1)*(HFer-HOuv)+IF(NETWORKDAYS(S328,S328,JoursFeries),MEDIAN(MOD(S328,1),HFer,HOuv),HFer)-IF(NETWORKDAYS(P328,P328,JoursFeries),MEDIAN(MOD(P328,1),HFer,HOuv),HOuv))*24,4)))/HJour,4),""))</f>
        <v/>
      </c>
      <c r="AY328" s="36" t="str">
        <f aca="false">IF(OR(AO328&lt;&gt;1,AR328=""),"",INDEX(SLA_PEC,AR328))</f>
        <v/>
      </c>
      <c r="AZ328" s="35" t="str">
        <f aca="false">IF(OR(AV328="",AY328=""),"",IF(AV328&lt;=AY328,1,0))</f>
        <v/>
      </c>
      <c r="BA328" s="36" t="str">
        <f aca="false">IF(OR(AO328&lt;&gt;1,AR328=""),"",INDEX(SLA_RES,AR328))</f>
        <v/>
      </c>
      <c r="BB328" s="35" t="str">
        <f aca="false">IF(OR(AW328="",BA328=""),"",IF(AW328&lt;=BA328,1,0))</f>
        <v/>
      </c>
      <c r="BC328" s="38" t="str">
        <f aca="false">IF(OR(BA328="",P328=""),"",WORKDAY(INT(P328),BA328,JoursFeries)+MOD(P328,1))</f>
        <v/>
      </c>
      <c r="BD328" s="39" t="str">
        <f aca="false">IF(AO328&lt;&gt;1,"",IF(OR(AB328&lt;&gt;"",AD328&lt;&gt;""),4,IF(U328&lt;&gt;"",3,IF(T328&lt;&gt;"",2,1))))</f>
        <v/>
      </c>
      <c r="BE328" s="39" t="str">
        <f aca="false">IF(OR(AO328&lt;&gt;1,AR328=""),"",INDEX(NIV_REQ,AR328))</f>
        <v/>
      </c>
      <c r="BF328" s="39" t="str">
        <f aca="false">IF(BE328="","",MAX(BE328,IF(OR(K328="Oui",Z328="Oui"),4,1)))</f>
        <v/>
      </c>
      <c r="BG328" s="35" t="str">
        <f aca="false">IF(OR(BF328="",BD328=""),"",IF(BD328&gt;=BF328,1,0))</f>
        <v/>
      </c>
      <c r="BH328" s="38" t="str">
        <f aca="false">IF(BE328="","",IF(BE328&lt;2,"",IF(BE328=2,IF(AND(T328="",U328=""),"",MIN(T328,U328)),IF(U328="","",U328))))</f>
        <v/>
      </c>
      <c r="BI328" s="37" t="str">
        <f aca="false">IF(BH328="","",IF(OR(O328="",BH328=""),"",IF(BH328&lt;O328,"",ROUND(((NETWORKDAYS(O328,BH328,JoursFeries)-1)*(HFer-HOuv)+IF(NETWORKDAYS(BH328,BH328,JoursFeries),MEDIAN(MOD(BH328,1),HFer,HOuv),HFer)-IF(NETWORKDAYS(O328,O328,JoursFeries),MEDIAN(MOD(O328,1),HFer,HOuv),HOuv))*24,4))))</f>
        <v/>
      </c>
      <c r="BJ328" s="35" t="str">
        <f aca="false">IF(OR(BI328="",AR328=""),"",IF(BI328&lt;=INDEX(DELAI_ESC,AR328),1,0))</f>
        <v/>
      </c>
      <c r="BK328" s="38" t="str">
        <f aca="false">IF(AO328&lt;&gt;1,"",IF(AND(T328="",U328=""),"",MIN(T328,U328)))</f>
        <v/>
      </c>
      <c r="BL328" s="37" t="str">
        <f aca="false">IF(OR(BK328="",R328=""),"",IFERROR(ROUND(IF(OR(BK328="",R328=""),"",IF(R328&lt;BK328,"",ROUND(((NETWORKDAYS(BK328,R328,JoursFeries)-1)*(HFer-HOuv)+IF(NETWORKDAYS(R328,R328,JoursFeries),MEDIAN(MOD(R328,1),HFer,HOuv),HFer)-IF(NETWORKDAYS(BK328,BK328,JoursFeries),MEDIAN(MOD(BK328,1),HFer,HOuv),HOuv))*24,4)))/HJour,4),""))</f>
        <v/>
      </c>
      <c r="BM328" s="35" t="str">
        <f aca="false">IF(OR(AO328&lt;&gt;1,R328=""),"",IF(BD328=1,1,0))</f>
        <v/>
      </c>
      <c r="BN328" s="35" t="str">
        <f aca="false">IF(AO328&lt;&gt;1,"",IF(W328="Oui",1,0))</f>
        <v/>
      </c>
      <c r="BO328" s="35" t="str">
        <f aca="false">IF(AO328&lt;&gt;1,"",IF(X328&lt;&gt;"",1,0))</f>
        <v/>
      </c>
      <c r="BP328" s="35" t="str">
        <f aca="false">IF(AO328&lt;&gt;1,"",IF(Y328="Oui",1,0))</f>
        <v/>
      </c>
      <c r="BQ328" s="35" t="str">
        <f aca="true">IF(OR(AO328&lt;&gt;1,Z328&lt;&gt;"Oui"),"",IF(AB328="",IF(AND(AA328&lt;&gt;"",NOW()&gt;AA328),0,""),IF(AA328="","",IF(AB328&lt;=AA328,1,0))))</f>
        <v/>
      </c>
      <c r="BR328" s="38" t="str">
        <f aca="false">IF(OR(AO328&lt;&gt;1,K328&lt;&gt;"Oui",O328=""),"",IF(AC328="",O328+DORA_H_DET/24,IF(AC328-O328&lt;=DORA_H_DET/24,MIN(AC328+DORA_H_CLA/24,O328+DORA_H_DET/24),AC328+DORA_H_CLA/24)))</f>
        <v/>
      </c>
      <c r="BS328" s="35" t="str">
        <f aca="true">IF(BR328="","",IF(AD328="",IF(NOW()&gt;BR328,0,""),IF(AD328&lt;=BR328,1,0)))</f>
        <v/>
      </c>
      <c r="BT328" s="35" t="str">
        <f aca="true">IF(OR(BR328="",AD328=""),"",IF(AE328="",IF(NOW()&gt;AD328+DORA_H_INT/24,0,""),IF(AE328&lt;=AD328+DORA_H_INT/24,1,0)))</f>
        <v/>
      </c>
      <c r="BU328" s="35" t="str">
        <f aca="true">IF(OR(BR328="",AE328=""),"",IF(AF328="",IF(NOW()&gt;EDATE(AE328,DORA_M_FIN)+1,0,""),IF(AF328&lt;=EDATE(AE328,DORA_M_FIN),1,0)))</f>
        <v/>
      </c>
      <c r="BV328" s="35" t="str">
        <f aca="false">IF(BR328="","",IF(COUNT(BS328:BU328)=0,"",MIN(BS328:BU328)))</f>
        <v/>
      </c>
      <c r="BW328" s="40" t="str">
        <f aca="false">IF(AQ328&lt;&gt;1,"",IF(AND(AG328="",AH328=""),"",N(AG328)-N(AH328)))</f>
        <v/>
      </c>
      <c r="BX328" s="35" t="str">
        <f aca="true">IF(OR(AQ328&lt;&gt;1,AI328&lt;&gt;"Oui",AJ328=""),"",IF(AK328="",IF(NOW()&gt;AJ328+1,0,""),IF(AK328&lt;=AJ328,1,0)))</f>
        <v/>
      </c>
    </row>
    <row r="329" customFormat="false" ht="15" hidden="false" customHeight="false" outlineLevel="0" collapsed="false">
      <c r="B329" s="29"/>
      <c r="C329" s="29"/>
      <c r="D329" s="29"/>
      <c r="E329" s="29"/>
      <c r="F329" s="29"/>
      <c r="G329" s="29"/>
      <c r="H329" s="29"/>
      <c r="I329" s="29"/>
      <c r="J329" s="29"/>
      <c r="K329" s="29"/>
      <c r="L329" s="29"/>
      <c r="M329" s="29"/>
      <c r="N329" s="30"/>
      <c r="O329" s="30"/>
      <c r="P329" s="30"/>
      <c r="Q329" s="30"/>
      <c r="R329" s="30"/>
      <c r="S329" s="30"/>
      <c r="T329" s="30"/>
      <c r="U329" s="30"/>
      <c r="V329" s="31"/>
      <c r="W329" s="29"/>
      <c r="X329" s="29"/>
      <c r="Y329" s="29"/>
      <c r="Z329" s="29"/>
      <c r="AA329" s="30"/>
      <c r="AB329" s="30"/>
      <c r="AC329" s="30"/>
      <c r="AD329" s="30"/>
      <c r="AE329" s="30"/>
      <c r="AF329" s="32"/>
      <c r="AG329" s="33"/>
      <c r="AH329" s="33"/>
      <c r="AI329" s="29"/>
      <c r="AJ329" s="32"/>
      <c r="AK329" s="32"/>
      <c r="AL329" s="29"/>
      <c r="AN329" s="34" t="str">
        <f aca="false">IF($B329="","",IF(OR(C329="",D329="",E329="",G329="",I329="",J329="",L329="",O329="",P329=""),"Champ obligatoire manquant",IF(OR(AND(N329&lt;&gt;"",N329&gt;O329),O329&gt;P329,AND(Q329&lt;&gt;"",Q329&lt;P329),AND(R329&lt;&gt;"",R329&lt;P329),AND(S329&lt;&gt;"",S329&lt;R329),AND(S329&lt;&gt;"",R329=""),AND(T329&lt;&gt;"",T329&lt;O329),AND(U329&lt;&gt;"",U329&lt;O329)),"Chronologie incohérente",IF(AND(OR(L329="Résolu",L329="Clos"),R329=""),"Date de résolution manquante",IF(AND(L329="Clos",S329=""),"Date de clôture manquante",IF(AND(K329="Oui",AC329=""),"Classification DORA manquante","OK"))))))</f>
        <v/>
      </c>
      <c r="AO329" s="35" t="str">
        <f aca="false">IF($B329="","",IF(AND(C329="Incident",L329&lt;&gt;"Annulé"),1,0))</f>
        <v/>
      </c>
      <c r="AP329" s="35" t="str">
        <f aca="false">IF($B329="","",IF(AND(C329="Quasi-incident",L329&lt;&gt;"Annulé"),1,0))</f>
        <v/>
      </c>
      <c r="AQ329" s="35" t="str">
        <f aca="false">IF($B329="","",AO329+AP329)</f>
        <v/>
      </c>
      <c r="AR329" s="36" t="str">
        <f aca="false">IF(OR($B329="",J329=""),"",IFERROR(VALUE(LEFT(J329,1)),""))</f>
        <v/>
      </c>
      <c r="AS329" s="35" t="str">
        <f aca="false">IF(OR(AO329&lt;&gt;1,G329=""),"",IFERROR(IF(INDEX(L_SrcInterne,MATCH(G329,L_Sources,0))="Oui",1,0),""))</f>
        <v/>
      </c>
      <c r="AT329" s="37" t="str">
        <f aca="false">IF(AO329&lt;&gt;1,"",IFERROR(ROUND(IF(OR(N329="",O329=""),"",IF(O329&lt;N329,"",ROUND(((NETWORKDAYS(N329,O329,JoursFeries)-1)*(HFer-HOuv)+IF(NETWORKDAYS(O329,O329,JoursFeries),MEDIAN(MOD(O329,1),HFer,HOuv),HFer)-IF(NETWORKDAYS(N329,N329,JoursFeries),MEDIAN(MOD(N329,1),HFer,HOuv),HOuv))*24,4)))/HJour,4),""))</f>
        <v/>
      </c>
      <c r="AU329" s="37" t="str">
        <f aca="false">IF(AO329&lt;&gt;1,"",IF(OR(O329="",P329=""),"",IF(P329&lt;O329,"",ROUND(((NETWORKDAYS(O329,P329,JoursFeries)-1)*(HFer-HOuv)+IF(NETWORKDAYS(P329,P329,JoursFeries),MEDIAN(MOD(P329,1),HFer,HOuv),HFer)-IF(NETWORKDAYS(O329,O329,JoursFeries),MEDIAN(MOD(O329,1),HFer,HOuv),HOuv))*24,4))))</f>
        <v/>
      </c>
      <c r="AV329" s="37" t="str">
        <f aca="false">IF(AO329&lt;&gt;1,"",IF(OR(P329="",Q329=""),"",IF(Q329&lt;P329,"",ROUND(((NETWORKDAYS(P329,Q329,JoursFeries)-1)*(HFer-HOuv)+IF(NETWORKDAYS(Q329,Q329,JoursFeries),MEDIAN(MOD(Q329,1),HFer,HOuv),HFer)-IF(NETWORKDAYS(P329,P329,JoursFeries),MEDIAN(MOD(P329,1),HFer,HOuv),HOuv))*24,4))))</f>
        <v/>
      </c>
      <c r="AW329" s="37" t="str">
        <f aca="false">IF(AO329&lt;&gt;1,"",IFERROR(ROUND(IF(OR(P329="",R329=""),"",IF(R329&lt;P329,"",ROUND(((NETWORKDAYS(P329,R329,JoursFeries)-1)*(HFer-HOuv)+IF(NETWORKDAYS(R329,R329,JoursFeries),MEDIAN(MOD(R329,1),HFer,HOuv),HFer)-IF(NETWORKDAYS(P329,P329,JoursFeries),MEDIAN(MOD(P329,1),HFer,HOuv),HOuv))*24,4)))/HJour,4),""))</f>
        <v/>
      </c>
      <c r="AX329" s="37" t="str">
        <f aca="false">IF(AO329&lt;&gt;1,"",IFERROR(ROUND(IF(OR(P329="",S329=""),"",IF(S329&lt;P329,"",ROUND(((NETWORKDAYS(P329,S329,JoursFeries)-1)*(HFer-HOuv)+IF(NETWORKDAYS(S329,S329,JoursFeries),MEDIAN(MOD(S329,1),HFer,HOuv),HFer)-IF(NETWORKDAYS(P329,P329,JoursFeries),MEDIAN(MOD(P329,1),HFer,HOuv),HOuv))*24,4)))/HJour,4),""))</f>
        <v/>
      </c>
      <c r="AY329" s="36" t="str">
        <f aca="false">IF(OR(AO329&lt;&gt;1,AR329=""),"",INDEX(SLA_PEC,AR329))</f>
        <v/>
      </c>
      <c r="AZ329" s="35" t="str">
        <f aca="false">IF(OR(AV329="",AY329=""),"",IF(AV329&lt;=AY329,1,0))</f>
        <v/>
      </c>
      <c r="BA329" s="36" t="str">
        <f aca="false">IF(OR(AO329&lt;&gt;1,AR329=""),"",INDEX(SLA_RES,AR329))</f>
        <v/>
      </c>
      <c r="BB329" s="35" t="str">
        <f aca="false">IF(OR(AW329="",BA329=""),"",IF(AW329&lt;=BA329,1,0))</f>
        <v/>
      </c>
      <c r="BC329" s="38" t="str">
        <f aca="false">IF(OR(BA329="",P329=""),"",WORKDAY(INT(P329),BA329,JoursFeries)+MOD(P329,1))</f>
        <v/>
      </c>
      <c r="BD329" s="39" t="str">
        <f aca="false">IF(AO329&lt;&gt;1,"",IF(OR(AB329&lt;&gt;"",AD329&lt;&gt;""),4,IF(U329&lt;&gt;"",3,IF(T329&lt;&gt;"",2,1))))</f>
        <v/>
      </c>
      <c r="BE329" s="39" t="str">
        <f aca="false">IF(OR(AO329&lt;&gt;1,AR329=""),"",INDEX(NIV_REQ,AR329))</f>
        <v/>
      </c>
      <c r="BF329" s="39" t="str">
        <f aca="false">IF(BE329="","",MAX(BE329,IF(OR(K329="Oui",Z329="Oui"),4,1)))</f>
        <v/>
      </c>
      <c r="BG329" s="35" t="str">
        <f aca="false">IF(OR(BF329="",BD329=""),"",IF(BD329&gt;=BF329,1,0))</f>
        <v/>
      </c>
      <c r="BH329" s="38" t="str">
        <f aca="false">IF(BE329="","",IF(BE329&lt;2,"",IF(BE329=2,IF(AND(T329="",U329=""),"",MIN(T329,U329)),IF(U329="","",U329))))</f>
        <v/>
      </c>
      <c r="BI329" s="37" t="str">
        <f aca="false">IF(BH329="","",IF(OR(O329="",BH329=""),"",IF(BH329&lt;O329,"",ROUND(((NETWORKDAYS(O329,BH329,JoursFeries)-1)*(HFer-HOuv)+IF(NETWORKDAYS(BH329,BH329,JoursFeries),MEDIAN(MOD(BH329,1),HFer,HOuv),HFer)-IF(NETWORKDAYS(O329,O329,JoursFeries),MEDIAN(MOD(O329,1),HFer,HOuv),HOuv))*24,4))))</f>
        <v/>
      </c>
      <c r="BJ329" s="35" t="str">
        <f aca="false">IF(OR(BI329="",AR329=""),"",IF(BI329&lt;=INDEX(DELAI_ESC,AR329),1,0))</f>
        <v/>
      </c>
      <c r="BK329" s="38" t="str">
        <f aca="false">IF(AO329&lt;&gt;1,"",IF(AND(T329="",U329=""),"",MIN(T329,U329)))</f>
        <v/>
      </c>
      <c r="BL329" s="37" t="str">
        <f aca="false">IF(OR(BK329="",R329=""),"",IFERROR(ROUND(IF(OR(BK329="",R329=""),"",IF(R329&lt;BK329,"",ROUND(((NETWORKDAYS(BK329,R329,JoursFeries)-1)*(HFer-HOuv)+IF(NETWORKDAYS(R329,R329,JoursFeries),MEDIAN(MOD(R329,1),HFer,HOuv),HFer)-IF(NETWORKDAYS(BK329,BK329,JoursFeries),MEDIAN(MOD(BK329,1),HFer,HOuv),HOuv))*24,4)))/HJour,4),""))</f>
        <v/>
      </c>
      <c r="BM329" s="35" t="str">
        <f aca="false">IF(OR(AO329&lt;&gt;1,R329=""),"",IF(BD329=1,1,0))</f>
        <v/>
      </c>
      <c r="BN329" s="35" t="str">
        <f aca="false">IF(AO329&lt;&gt;1,"",IF(W329="Oui",1,0))</f>
        <v/>
      </c>
      <c r="BO329" s="35" t="str">
        <f aca="false">IF(AO329&lt;&gt;1,"",IF(X329&lt;&gt;"",1,0))</f>
        <v/>
      </c>
      <c r="BP329" s="35" t="str">
        <f aca="false">IF(AO329&lt;&gt;1,"",IF(Y329="Oui",1,0))</f>
        <v/>
      </c>
      <c r="BQ329" s="35" t="str">
        <f aca="true">IF(OR(AO329&lt;&gt;1,Z329&lt;&gt;"Oui"),"",IF(AB329="",IF(AND(AA329&lt;&gt;"",NOW()&gt;AA329),0,""),IF(AA329="","",IF(AB329&lt;=AA329,1,0))))</f>
        <v/>
      </c>
      <c r="BR329" s="38" t="str">
        <f aca="false">IF(OR(AO329&lt;&gt;1,K329&lt;&gt;"Oui",O329=""),"",IF(AC329="",O329+DORA_H_DET/24,IF(AC329-O329&lt;=DORA_H_DET/24,MIN(AC329+DORA_H_CLA/24,O329+DORA_H_DET/24),AC329+DORA_H_CLA/24)))</f>
        <v/>
      </c>
      <c r="BS329" s="35" t="str">
        <f aca="true">IF(BR329="","",IF(AD329="",IF(NOW()&gt;BR329,0,""),IF(AD329&lt;=BR329,1,0)))</f>
        <v/>
      </c>
      <c r="BT329" s="35" t="str">
        <f aca="true">IF(OR(BR329="",AD329=""),"",IF(AE329="",IF(NOW()&gt;AD329+DORA_H_INT/24,0,""),IF(AE329&lt;=AD329+DORA_H_INT/24,1,0)))</f>
        <v/>
      </c>
      <c r="BU329" s="35" t="str">
        <f aca="true">IF(OR(BR329="",AE329=""),"",IF(AF329="",IF(NOW()&gt;EDATE(AE329,DORA_M_FIN)+1,0,""),IF(AF329&lt;=EDATE(AE329,DORA_M_FIN),1,0)))</f>
        <v/>
      </c>
      <c r="BV329" s="35" t="str">
        <f aca="false">IF(BR329="","",IF(COUNT(BS329:BU329)=0,"",MIN(BS329:BU329)))</f>
        <v/>
      </c>
      <c r="BW329" s="40" t="str">
        <f aca="false">IF(AQ329&lt;&gt;1,"",IF(AND(AG329="",AH329=""),"",N(AG329)-N(AH329)))</f>
        <v/>
      </c>
      <c r="BX329" s="35" t="str">
        <f aca="true">IF(OR(AQ329&lt;&gt;1,AI329&lt;&gt;"Oui",AJ329=""),"",IF(AK329="",IF(NOW()&gt;AJ329+1,0,""),IF(AK329&lt;=AJ329,1,0)))</f>
        <v/>
      </c>
    </row>
    <row r="330" customFormat="false" ht="15" hidden="false" customHeight="false" outlineLevel="0" collapsed="false">
      <c r="B330" s="29"/>
      <c r="C330" s="29"/>
      <c r="D330" s="29"/>
      <c r="E330" s="29"/>
      <c r="F330" s="29"/>
      <c r="G330" s="29"/>
      <c r="H330" s="29"/>
      <c r="I330" s="29"/>
      <c r="J330" s="29"/>
      <c r="K330" s="29"/>
      <c r="L330" s="29"/>
      <c r="M330" s="29"/>
      <c r="N330" s="30"/>
      <c r="O330" s="30"/>
      <c r="P330" s="30"/>
      <c r="Q330" s="30"/>
      <c r="R330" s="30"/>
      <c r="S330" s="30"/>
      <c r="T330" s="30"/>
      <c r="U330" s="30"/>
      <c r="V330" s="31"/>
      <c r="W330" s="29"/>
      <c r="X330" s="29"/>
      <c r="Y330" s="29"/>
      <c r="Z330" s="29"/>
      <c r="AA330" s="30"/>
      <c r="AB330" s="30"/>
      <c r="AC330" s="30"/>
      <c r="AD330" s="30"/>
      <c r="AE330" s="30"/>
      <c r="AF330" s="32"/>
      <c r="AG330" s="33"/>
      <c r="AH330" s="33"/>
      <c r="AI330" s="29"/>
      <c r="AJ330" s="32"/>
      <c r="AK330" s="32"/>
      <c r="AL330" s="29"/>
      <c r="AN330" s="34" t="str">
        <f aca="false">IF($B330="","",IF(OR(C330="",D330="",E330="",G330="",I330="",J330="",L330="",O330="",P330=""),"Champ obligatoire manquant",IF(OR(AND(N330&lt;&gt;"",N330&gt;O330),O330&gt;P330,AND(Q330&lt;&gt;"",Q330&lt;P330),AND(R330&lt;&gt;"",R330&lt;P330),AND(S330&lt;&gt;"",S330&lt;R330),AND(S330&lt;&gt;"",R330=""),AND(T330&lt;&gt;"",T330&lt;O330),AND(U330&lt;&gt;"",U330&lt;O330)),"Chronologie incohérente",IF(AND(OR(L330="Résolu",L330="Clos"),R330=""),"Date de résolution manquante",IF(AND(L330="Clos",S330=""),"Date de clôture manquante",IF(AND(K330="Oui",AC330=""),"Classification DORA manquante","OK"))))))</f>
        <v/>
      </c>
      <c r="AO330" s="35" t="str">
        <f aca="false">IF($B330="","",IF(AND(C330="Incident",L330&lt;&gt;"Annulé"),1,0))</f>
        <v/>
      </c>
      <c r="AP330" s="35" t="str">
        <f aca="false">IF($B330="","",IF(AND(C330="Quasi-incident",L330&lt;&gt;"Annulé"),1,0))</f>
        <v/>
      </c>
      <c r="AQ330" s="35" t="str">
        <f aca="false">IF($B330="","",AO330+AP330)</f>
        <v/>
      </c>
      <c r="AR330" s="36" t="str">
        <f aca="false">IF(OR($B330="",J330=""),"",IFERROR(VALUE(LEFT(J330,1)),""))</f>
        <v/>
      </c>
      <c r="AS330" s="35" t="str">
        <f aca="false">IF(OR(AO330&lt;&gt;1,G330=""),"",IFERROR(IF(INDEX(L_SrcInterne,MATCH(G330,L_Sources,0))="Oui",1,0),""))</f>
        <v/>
      </c>
      <c r="AT330" s="37" t="str">
        <f aca="false">IF(AO330&lt;&gt;1,"",IFERROR(ROUND(IF(OR(N330="",O330=""),"",IF(O330&lt;N330,"",ROUND(((NETWORKDAYS(N330,O330,JoursFeries)-1)*(HFer-HOuv)+IF(NETWORKDAYS(O330,O330,JoursFeries),MEDIAN(MOD(O330,1),HFer,HOuv),HFer)-IF(NETWORKDAYS(N330,N330,JoursFeries),MEDIAN(MOD(N330,1),HFer,HOuv),HOuv))*24,4)))/HJour,4),""))</f>
        <v/>
      </c>
      <c r="AU330" s="37" t="str">
        <f aca="false">IF(AO330&lt;&gt;1,"",IF(OR(O330="",P330=""),"",IF(P330&lt;O330,"",ROUND(((NETWORKDAYS(O330,P330,JoursFeries)-1)*(HFer-HOuv)+IF(NETWORKDAYS(P330,P330,JoursFeries),MEDIAN(MOD(P330,1),HFer,HOuv),HFer)-IF(NETWORKDAYS(O330,O330,JoursFeries),MEDIAN(MOD(O330,1),HFer,HOuv),HOuv))*24,4))))</f>
        <v/>
      </c>
      <c r="AV330" s="37" t="str">
        <f aca="false">IF(AO330&lt;&gt;1,"",IF(OR(P330="",Q330=""),"",IF(Q330&lt;P330,"",ROUND(((NETWORKDAYS(P330,Q330,JoursFeries)-1)*(HFer-HOuv)+IF(NETWORKDAYS(Q330,Q330,JoursFeries),MEDIAN(MOD(Q330,1),HFer,HOuv),HFer)-IF(NETWORKDAYS(P330,P330,JoursFeries),MEDIAN(MOD(P330,1),HFer,HOuv),HOuv))*24,4))))</f>
        <v/>
      </c>
      <c r="AW330" s="37" t="str">
        <f aca="false">IF(AO330&lt;&gt;1,"",IFERROR(ROUND(IF(OR(P330="",R330=""),"",IF(R330&lt;P330,"",ROUND(((NETWORKDAYS(P330,R330,JoursFeries)-1)*(HFer-HOuv)+IF(NETWORKDAYS(R330,R330,JoursFeries),MEDIAN(MOD(R330,1),HFer,HOuv),HFer)-IF(NETWORKDAYS(P330,P330,JoursFeries),MEDIAN(MOD(P330,1),HFer,HOuv),HOuv))*24,4)))/HJour,4),""))</f>
        <v/>
      </c>
      <c r="AX330" s="37" t="str">
        <f aca="false">IF(AO330&lt;&gt;1,"",IFERROR(ROUND(IF(OR(P330="",S330=""),"",IF(S330&lt;P330,"",ROUND(((NETWORKDAYS(P330,S330,JoursFeries)-1)*(HFer-HOuv)+IF(NETWORKDAYS(S330,S330,JoursFeries),MEDIAN(MOD(S330,1),HFer,HOuv),HFer)-IF(NETWORKDAYS(P330,P330,JoursFeries),MEDIAN(MOD(P330,1),HFer,HOuv),HOuv))*24,4)))/HJour,4),""))</f>
        <v/>
      </c>
      <c r="AY330" s="36" t="str">
        <f aca="false">IF(OR(AO330&lt;&gt;1,AR330=""),"",INDEX(SLA_PEC,AR330))</f>
        <v/>
      </c>
      <c r="AZ330" s="35" t="str">
        <f aca="false">IF(OR(AV330="",AY330=""),"",IF(AV330&lt;=AY330,1,0))</f>
        <v/>
      </c>
      <c r="BA330" s="36" t="str">
        <f aca="false">IF(OR(AO330&lt;&gt;1,AR330=""),"",INDEX(SLA_RES,AR330))</f>
        <v/>
      </c>
      <c r="BB330" s="35" t="str">
        <f aca="false">IF(OR(AW330="",BA330=""),"",IF(AW330&lt;=BA330,1,0))</f>
        <v/>
      </c>
      <c r="BC330" s="38" t="str">
        <f aca="false">IF(OR(BA330="",P330=""),"",WORKDAY(INT(P330),BA330,JoursFeries)+MOD(P330,1))</f>
        <v/>
      </c>
      <c r="BD330" s="39" t="str">
        <f aca="false">IF(AO330&lt;&gt;1,"",IF(OR(AB330&lt;&gt;"",AD330&lt;&gt;""),4,IF(U330&lt;&gt;"",3,IF(T330&lt;&gt;"",2,1))))</f>
        <v/>
      </c>
      <c r="BE330" s="39" t="str">
        <f aca="false">IF(OR(AO330&lt;&gt;1,AR330=""),"",INDEX(NIV_REQ,AR330))</f>
        <v/>
      </c>
      <c r="BF330" s="39" t="str">
        <f aca="false">IF(BE330="","",MAX(BE330,IF(OR(K330="Oui",Z330="Oui"),4,1)))</f>
        <v/>
      </c>
      <c r="BG330" s="35" t="str">
        <f aca="false">IF(OR(BF330="",BD330=""),"",IF(BD330&gt;=BF330,1,0))</f>
        <v/>
      </c>
      <c r="BH330" s="38" t="str">
        <f aca="false">IF(BE330="","",IF(BE330&lt;2,"",IF(BE330=2,IF(AND(T330="",U330=""),"",MIN(T330,U330)),IF(U330="","",U330))))</f>
        <v/>
      </c>
      <c r="BI330" s="37" t="str">
        <f aca="false">IF(BH330="","",IF(OR(O330="",BH330=""),"",IF(BH330&lt;O330,"",ROUND(((NETWORKDAYS(O330,BH330,JoursFeries)-1)*(HFer-HOuv)+IF(NETWORKDAYS(BH330,BH330,JoursFeries),MEDIAN(MOD(BH330,1),HFer,HOuv),HFer)-IF(NETWORKDAYS(O330,O330,JoursFeries),MEDIAN(MOD(O330,1),HFer,HOuv),HOuv))*24,4))))</f>
        <v/>
      </c>
      <c r="BJ330" s="35" t="str">
        <f aca="false">IF(OR(BI330="",AR330=""),"",IF(BI330&lt;=INDEX(DELAI_ESC,AR330),1,0))</f>
        <v/>
      </c>
      <c r="BK330" s="38" t="str">
        <f aca="false">IF(AO330&lt;&gt;1,"",IF(AND(T330="",U330=""),"",MIN(T330,U330)))</f>
        <v/>
      </c>
      <c r="BL330" s="37" t="str">
        <f aca="false">IF(OR(BK330="",R330=""),"",IFERROR(ROUND(IF(OR(BK330="",R330=""),"",IF(R330&lt;BK330,"",ROUND(((NETWORKDAYS(BK330,R330,JoursFeries)-1)*(HFer-HOuv)+IF(NETWORKDAYS(R330,R330,JoursFeries),MEDIAN(MOD(R330,1),HFer,HOuv),HFer)-IF(NETWORKDAYS(BK330,BK330,JoursFeries),MEDIAN(MOD(BK330,1),HFer,HOuv),HOuv))*24,4)))/HJour,4),""))</f>
        <v/>
      </c>
      <c r="BM330" s="35" t="str">
        <f aca="false">IF(OR(AO330&lt;&gt;1,R330=""),"",IF(BD330=1,1,0))</f>
        <v/>
      </c>
      <c r="BN330" s="35" t="str">
        <f aca="false">IF(AO330&lt;&gt;1,"",IF(W330="Oui",1,0))</f>
        <v/>
      </c>
      <c r="BO330" s="35" t="str">
        <f aca="false">IF(AO330&lt;&gt;1,"",IF(X330&lt;&gt;"",1,0))</f>
        <v/>
      </c>
      <c r="BP330" s="35" t="str">
        <f aca="false">IF(AO330&lt;&gt;1,"",IF(Y330="Oui",1,0))</f>
        <v/>
      </c>
      <c r="BQ330" s="35" t="str">
        <f aca="true">IF(OR(AO330&lt;&gt;1,Z330&lt;&gt;"Oui"),"",IF(AB330="",IF(AND(AA330&lt;&gt;"",NOW()&gt;AA330),0,""),IF(AA330="","",IF(AB330&lt;=AA330,1,0))))</f>
        <v/>
      </c>
      <c r="BR330" s="38" t="str">
        <f aca="false">IF(OR(AO330&lt;&gt;1,K330&lt;&gt;"Oui",O330=""),"",IF(AC330="",O330+DORA_H_DET/24,IF(AC330-O330&lt;=DORA_H_DET/24,MIN(AC330+DORA_H_CLA/24,O330+DORA_H_DET/24),AC330+DORA_H_CLA/24)))</f>
        <v/>
      </c>
      <c r="BS330" s="35" t="str">
        <f aca="true">IF(BR330="","",IF(AD330="",IF(NOW()&gt;BR330,0,""),IF(AD330&lt;=BR330,1,0)))</f>
        <v/>
      </c>
      <c r="BT330" s="35" t="str">
        <f aca="true">IF(OR(BR330="",AD330=""),"",IF(AE330="",IF(NOW()&gt;AD330+DORA_H_INT/24,0,""),IF(AE330&lt;=AD330+DORA_H_INT/24,1,0)))</f>
        <v/>
      </c>
      <c r="BU330" s="35" t="str">
        <f aca="true">IF(OR(BR330="",AE330=""),"",IF(AF330="",IF(NOW()&gt;EDATE(AE330,DORA_M_FIN)+1,0,""),IF(AF330&lt;=EDATE(AE330,DORA_M_FIN),1,0)))</f>
        <v/>
      </c>
      <c r="BV330" s="35" t="str">
        <f aca="false">IF(BR330="","",IF(COUNT(BS330:BU330)=0,"",MIN(BS330:BU330)))</f>
        <v/>
      </c>
      <c r="BW330" s="40" t="str">
        <f aca="false">IF(AQ330&lt;&gt;1,"",IF(AND(AG330="",AH330=""),"",N(AG330)-N(AH330)))</f>
        <v/>
      </c>
      <c r="BX330" s="35" t="str">
        <f aca="true">IF(OR(AQ330&lt;&gt;1,AI330&lt;&gt;"Oui",AJ330=""),"",IF(AK330="",IF(NOW()&gt;AJ330+1,0,""),IF(AK330&lt;=AJ330,1,0)))</f>
        <v/>
      </c>
    </row>
    <row r="331" customFormat="false" ht="15" hidden="false" customHeight="false" outlineLevel="0" collapsed="false">
      <c r="B331" s="29"/>
      <c r="C331" s="29"/>
      <c r="D331" s="29"/>
      <c r="E331" s="29"/>
      <c r="F331" s="29"/>
      <c r="G331" s="29"/>
      <c r="H331" s="29"/>
      <c r="I331" s="29"/>
      <c r="J331" s="29"/>
      <c r="K331" s="29"/>
      <c r="L331" s="29"/>
      <c r="M331" s="29"/>
      <c r="N331" s="30"/>
      <c r="O331" s="30"/>
      <c r="P331" s="30"/>
      <c r="Q331" s="30"/>
      <c r="R331" s="30"/>
      <c r="S331" s="30"/>
      <c r="T331" s="30"/>
      <c r="U331" s="30"/>
      <c r="V331" s="31"/>
      <c r="W331" s="29"/>
      <c r="X331" s="29"/>
      <c r="Y331" s="29"/>
      <c r="Z331" s="29"/>
      <c r="AA331" s="30"/>
      <c r="AB331" s="30"/>
      <c r="AC331" s="30"/>
      <c r="AD331" s="30"/>
      <c r="AE331" s="30"/>
      <c r="AF331" s="32"/>
      <c r="AG331" s="33"/>
      <c r="AH331" s="33"/>
      <c r="AI331" s="29"/>
      <c r="AJ331" s="32"/>
      <c r="AK331" s="32"/>
      <c r="AL331" s="29"/>
      <c r="AN331" s="34" t="str">
        <f aca="false">IF($B331="","",IF(OR(C331="",D331="",E331="",G331="",I331="",J331="",L331="",O331="",P331=""),"Champ obligatoire manquant",IF(OR(AND(N331&lt;&gt;"",N331&gt;O331),O331&gt;P331,AND(Q331&lt;&gt;"",Q331&lt;P331),AND(R331&lt;&gt;"",R331&lt;P331),AND(S331&lt;&gt;"",S331&lt;R331),AND(S331&lt;&gt;"",R331=""),AND(T331&lt;&gt;"",T331&lt;O331),AND(U331&lt;&gt;"",U331&lt;O331)),"Chronologie incohérente",IF(AND(OR(L331="Résolu",L331="Clos"),R331=""),"Date de résolution manquante",IF(AND(L331="Clos",S331=""),"Date de clôture manquante",IF(AND(K331="Oui",AC331=""),"Classification DORA manquante","OK"))))))</f>
        <v/>
      </c>
      <c r="AO331" s="35" t="str">
        <f aca="false">IF($B331="","",IF(AND(C331="Incident",L331&lt;&gt;"Annulé"),1,0))</f>
        <v/>
      </c>
      <c r="AP331" s="35" t="str">
        <f aca="false">IF($B331="","",IF(AND(C331="Quasi-incident",L331&lt;&gt;"Annulé"),1,0))</f>
        <v/>
      </c>
      <c r="AQ331" s="35" t="str">
        <f aca="false">IF($B331="","",AO331+AP331)</f>
        <v/>
      </c>
      <c r="AR331" s="36" t="str">
        <f aca="false">IF(OR($B331="",J331=""),"",IFERROR(VALUE(LEFT(J331,1)),""))</f>
        <v/>
      </c>
      <c r="AS331" s="35" t="str">
        <f aca="false">IF(OR(AO331&lt;&gt;1,G331=""),"",IFERROR(IF(INDEX(L_SrcInterne,MATCH(G331,L_Sources,0))="Oui",1,0),""))</f>
        <v/>
      </c>
      <c r="AT331" s="37" t="str">
        <f aca="false">IF(AO331&lt;&gt;1,"",IFERROR(ROUND(IF(OR(N331="",O331=""),"",IF(O331&lt;N331,"",ROUND(((NETWORKDAYS(N331,O331,JoursFeries)-1)*(HFer-HOuv)+IF(NETWORKDAYS(O331,O331,JoursFeries),MEDIAN(MOD(O331,1),HFer,HOuv),HFer)-IF(NETWORKDAYS(N331,N331,JoursFeries),MEDIAN(MOD(N331,1),HFer,HOuv),HOuv))*24,4)))/HJour,4),""))</f>
        <v/>
      </c>
      <c r="AU331" s="37" t="str">
        <f aca="false">IF(AO331&lt;&gt;1,"",IF(OR(O331="",P331=""),"",IF(P331&lt;O331,"",ROUND(((NETWORKDAYS(O331,P331,JoursFeries)-1)*(HFer-HOuv)+IF(NETWORKDAYS(P331,P331,JoursFeries),MEDIAN(MOD(P331,1),HFer,HOuv),HFer)-IF(NETWORKDAYS(O331,O331,JoursFeries),MEDIAN(MOD(O331,1),HFer,HOuv),HOuv))*24,4))))</f>
        <v/>
      </c>
      <c r="AV331" s="37" t="str">
        <f aca="false">IF(AO331&lt;&gt;1,"",IF(OR(P331="",Q331=""),"",IF(Q331&lt;P331,"",ROUND(((NETWORKDAYS(P331,Q331,JoursFeries)-1)*(HFer-HOuv)+IF(NETWORKDAYS(Q331,Q331,JoursFeries),MEDIAN(MOD(Q331,1),HFer,HOuv),HFer)-IF(NETWORKDAYS(P331,P331,JoursFeries),MEDIAN(MOD(P331,1),HFer,HOuv),HOuv))*24,4))))</f>
        <v/>
      </c>
      <c r="AW331" s="37" t="str">
        <f aca="false">IF(AO331&lt;&gt;1,"",IFERROR(ROUND(IF(OR(P331="",R331=""),"",IF(R331&lt;P331,"",ROUND(((NETWORKDAYS(P331,R331,JoursFeries)-1)*(HFer-HOuv)+IF(NETWORKDAYS(R331,R331,JoursFeries),MEDIAN(MOD(R331,1),HFer,HOuv),HFer)-IF(NETWORKDAYS(P331,P331,JoursFeries),MEDIAN(MOD(P331,1),HFer,HOuv),HOuv))*24,4)))/HJour,4),""))</f>
        <v/>
      </c>
      <c r="AX331" s="37" t="str">
        <f aca="false">IF(AO331&lt;&gt;1,"",IFERROR(ROUND(IF(OR(P331="",S331=""),"",IF(S331&lt;P331,"",ROUND(((NETWORKDAYS(P331,S331,JoursFeries)-1)*(HFer-HOuv)+IF(NETWORKDAYS(S331,S331,JoursFeries),MEDIAN(MOD(S331,1),HFer,HOuv),HFer)-IF(NETWORKDAYS(P331,P331,JoursFeries),MEDIAN(MOD(P331,1),HFer,HOuv),HOuv))*24,4)))/HJour,4),""))</f>
        <v/>
      </c>
      <c r="AY331" s="36" t="str">
        <f aca="false">IF(OR(AO331&lt;&gt;1,AR331=""),"",INDEX(SLA_PEC,AR331))</f>
        <v/>
      </c>
      <c r="AZ331" s="35" t="str">
        <f aca="false">IF(OR(AV331="",AY331=""),"",IF(AV331&lt;=AY331,1,0))</f>
        <v/>
      </c>
      <c r="BA331" s="36" t="str">
        <f aca="false">IF(OR(AO331&lt;&gt;1,AR331=""),"",INDEX(SLA_RES,AR331))</f>
        <v/>
      </c>
      <c r="BB331" s="35" t="str">
        <f aca="false">IF(OR(AW331="",BA331=""),"",IF(AW331&lt;=BA331,1,0))</f>
        <v/>
      </c>
      <c r="BC331" s="38" t="str">
        <f aca="false">IF(OR(BA331="",P331=""),"",WORKDAY(INT(P331),BA331,JoursFeries)+MOD(P331,1))</f>
        <v/>
      </c>
      <c r="BD331" s="39" t="str">
        <f aca="false">IF(AO331&lt;&gt;1,"",IF(OR(AB331&lt;&gt;"",AD331&lt;&gt;""),4,IF(U331&lt;&gt;"",3,IF(T331&lt;&gt;"",2,1))))</f>
        <v/>
      </c>
      <c r="BE331" s="39" t="str">
        <f aca="false">IF(OR(AO331&lt;&gt;1,AR331=""),"",INDEX(NIV_REQ,AR331))</f>
        <v/>
      </c>
      <c r="BF331" s="39" t="str">
        <f aca="false">IF(BE331="","",MAX(BE331,IF(OR(K331="Oui",Z331="Oui"),4,1)))</f>
        <v/>
      </c>
      <c r="BG331" s="35" t="str">
        <f aca="false">IF(OR(BF331="",BD331=""),"",IF(BD331&gt;=BF331,1,0))</f>
        <v/>
      </c>
      <c r="BH331" s="38" t="str">
        <f aca="false">IF(BE331="","",IF(BE331&lt;2,"",IF(BE331=2,IF(AND(T331="",U331=""),"",MIN(T331,U331)),IF(U331="","",U331))))</f>
        <v/>
      </c>
      <c r="BI331" s="37" t="str">
        <f aca="false">IF(BH331="","",IF(OR(O331="",BH331=""),"",IF(BH331&lt;O331,"",ROUND(((NETWORKDAYS(O331,BH331,JoursFeries)-1)*(HFer-HOuv)+IF(NETWORKDAYS(BH331,BH331,JoursFeries),MEDIAN(MOD(BH331,1),HFer,HOuv),HFer)-IF(NETWORKDAYS(O331,O331,JoursFeries),MEDIAN(MOD(O331,1),HFer,HOuv),HOuv))*24,4))))</f>
        <v/>
      </c>
      <c r="BJ331" s="35" t="str">
        <f aca="false">IF(OR(BI331="",AR331=""),"",IF(BI331&lt;=INDEX(DELAI_ESC,AR331),1,0))</f>
        <v/>
      </c>
      <c r="BK331" s="38" t="str">
        <f aca="false">IF(AO331&lt;&gt;1,"",IF(AND(T331="",U331=""),"",MIN(T331,U331)))</f>
        <v/>
      </c>
      <c r="BL331" s="37" t="str">
        <f aca="false">IF(OR(BK331="",R331=""),"",IFERROR(ROUND(IF(OR(BK331="",R331=""),"",IF(R331&lt;BK331,"",ROUND(((NETWORKDAYS(BK331,R331,JoursFeries)-1)*(HFer-HOuv)+IF(NETWORKDAYS(R331,R331,JoursFeries),MEDIAN(MOD(R331,1),HFer,HOuv),HFer)-IF(NETWORKDAYS(BK331,BK331,JoursFeries),MEDIAN(MOD(BK331,1),HFer,HOuv),HOuv))*24,4)))/HJour,4),""))</f>
        <v/>
      </c>
      <c r="BM331" s="35" t="str">
        <f aca="false">IF(OR(AO331&lt;&gt;1,R331=""),"",IF(BD331=1,1,0))</f>
        <v/>
      </c>
      <c r="BN331" s="35" t="str">
        <f aca="false">IF(AO331&lt;&gt;1,"",IF(W331="Oui",1,0))</f>
        <v/>
      </c>
      <c r="BO331" s="35" t="str">
        <f aca="false">IF(AO331&lt;&gt;1,"",IF(X331&lt;&gt;"",1,0))</f>
        <v/>
      </c>
      <c r="BP331" s="35" t="str">
        <f aca="false">IF(AO331&lt;&gt;1,"",IF(Y331="Oui",1,0))</f>
        <v/>
      </c>
      <c r="BQ331" s="35" t="str">
        <f aca="true">IF(OR(AO331&lt;&gt;1,Z331&lt;&gt;"Oui"),"",IF(AB331="",IF(AND(AA331&lt;&gt;"",NOW()&gt;AA331),0,""),IF(AA331="","",IF(AB331&lt;=AA331,1,0))))</f>
        <v/>
      </c>
      <c r="BR331" s="38" t="str">
        <f aca="false">IF(OR(AO331&lt;&gt;1,K331&lt;&gt;"Oui",O331=""),"",IF(AC331="",O331+DORA_H_DET/24,IF(AC331-O331&lt;=DORA_H_DET/24,MIN(AC331+DORA_H_CLA/24,O331+DORA_H_DET/24),AC331+DORA_H_CLA/24)))</f>
        <v/>
      </c>
      <c r="BS331" s="35" t="str">
        <f aca="true">IF(BR331="","",IF(AD331="",IF(NOW()&gt;BR331,0,""),IF(AD331&lt;=BR331,1,0)))</f>
        <v/>
      </c>
      <c r="BT331" s="35" t="str">
        <f aca="true">IF(OR(BR331="",AD331=""),"",IF(AE331="",IF(NOW()&gt;AD331+DORA_H_INT/24,0,""),IF(AE331&lt;=AD331+DORA_H_INT/24,1,0)))</f>
        <v/>
      </c>
      <c r="BU331" s="35" t="str">
        <f aca="true">IF(OR(BR331="",AE331=""),"",IF(AF331="",IF(NOW()&gt;EDATE(AE331,DORA_M_FIN)+1,0,""),IF(AF331&lt;=EDATE(AE331,DORA_M_FIN),1,0)))</f>
        <v/>
      </c>
      <c r="BV331" s="35" t="str">
        <f aca="false">IF(BR331="","",IF(COUNT(BS331:BU331)=0,"",MIN(BS331:BU331)))</f>
        <v/>
      </c>
      <c r="BW331" s="40" t="str">
        <f aca="false">IF(AQ331&lt;&gt;1,"",IF(AND(AG331="",AH331=""),"",N(AG331)-N(AH331)))</f>
        <v/>
      </c>
      <c r="BX331" s="35" t="str">
        <f aca="true">IF(OR(AQ331&lt;&gt;1,AI331&lt;&gt;"Oui",AJ331=""),"",IF(AK331="",IF(NOW()&gt;AJ331+1,0,""),IF(AK331&lt;=AJ331,1,0)))</f>
        <v/>
      </c>
    </row>
    <row r="332" customFormat="false" ht="15" hidden="false" customHeight="false" outlineLevel="0" collapsed="false">
      <c r="B332" s="29"/>
      <c r="C332" s="29"/>
      <c r="D332" s="29"/>
      <c r="E332" s="29"/>
      <c r="F332" s="29"/>
      <c r="G332" s="29"/>
      <c r="H332" s="29"/>
      <c r="I332" s="29"/>
      <c r="J332" s="29"/>
      <c r="K332" s="29"/>
      <c r="L332" s="29"/>
      <c r="M332" s="29"/>
      <c r="N332" s="30"/>
      <c r="O332" s="30"/>
      <c r="P332" s="30"/>
      <c r="Q332" s="30"/>
      <c r="R332" s="30"/>
      <c r="S332" s="30"/>
      <c r="T332" s="30"/>
      <c r="U332" s="30"/>
      <c r="V332" s="31"/>
      <c r="W332" s="29"/>
      <c r="X332" s="29"/>
      <c r="Y332" s="29"/>
      <c r="Z332" s="29"/>
      <c r="AA332" s="30"/>
      <c r="AB332" s="30"/>
      <c r="AC332" s="30"/>
      <c r="AD332" s="30"/>
      <c r="AE332" s="30"/>
      <c r="AF332" s="32"/>
      <c r="AG332" s="33"/>
      <c r="AH332" s="33"/>
      <c r="AI332" s="29"/>
      <c r="AJ332" s="32"/>
      <c r="AK332" s="32"/>
      <c r="AL332" s="29"/>
      <c r="AN332" s="34" t="str">
        <f aca="false">IF($B332="","",IF(OR(C332="",D332="",E332="",G332="",I332="",J332="",L332="",O332="",P332=""),"Champ obligatoire manquant",IF(OR(AND(N332&lt;&gt;"",N332&gt;O332),O332&gt;P332,AND(Q332&lt;&gt;"",Q332&lt;P332),AND(R332&lt;&gt;"",R332&lt;P332),AND(S332&lt;&gt;"",S332&lt;R332),AND(S332&lt;&gt;"",R332=""),AND(T332&lt;&gt;"",T332&lt;O332),AND(U332&lt;&gt;"",U332&lt;O332)),"Chronologie incohérente",IF(AND(OR(L332="Résolu",L332="Clos"),R332=""),"Date de résolution manquante",IF(AND(L332="Clos",S332=""),"Date de clôture manquante",IF(AND(K332="Oui",AC332=""),"Classification DORA manquante","OK"))))))</f>
        <v/>
      </c>
      <c r="AO332" s="35" t="str">
        <f aca="false">IF($B332="","",IF(AND(C332="Incident",L332&lt;&gt;"Annulé"),1,0))</f>
        <v/>
      </c>
      <c r="AP332" s="35" t="str">
        <f aca="false">IF($B332="","",IF(AND(C332="Quasi-incident",L332&lt;&gt;"Annulé"),1,0))</f>
        <v/>
      </c>
      <c r="AQ332" s="35" t="str">
        <f aca="false">IF($B332="","",AO332+AP332)</f>
        <v/>
      </c>
      <c r="AR332" s="36" t="str">
        <f aca="false">IF(OR($B332="",J332=""),"",IFERROR(VALUE(LEFT(J332,1)),""))</f>
        <v/>
      </c>
      <c r="AS332" s="35" t="str">
        <f aca="false">IF(OR(AO332&lt;&gt;1,G332=""),"",IFERROR(IF(INDEX(L_SrcInterne,MATCH(G332,L_Sources,0))="Oui",1,0),""))</f>
        <v/>
      </c>
      <c r="AT332" s="37" t="str">
        <f aca="false">IF(AO332&lt;&gt;1,"",IFERROR(ROUND(IF(OR(N332="",O332=""),"",IF(O332&lt;N332,"",ROUND(((NETWORKDAYS(N332,O332,JoursFeries)-1)*(HFer-HOuv)+IF(NETWORKDAYS(O332,O332,JoursFeries),MEDIAN(MOD(O332,1),HFer,HOuv),HFer)-IF(NETWORKDAYS(N332,N332,JoursFeries),MEDIAN(MOD(N332,1),HFer,HOuv),HOuv))*24,4)))/HJour,4),""))</f>
        <v/>
      </c>
      <c r="AU332" s="37" t="str">
        <f aca="false">IF(AO332&lt;&gt;1,"",IF(OR(O332="",P332=""),"",IF(P332&lt;O332,"",ROUND(((NETWORKDAYS(O332,P332,JoursFeries)-1)*(HFer-HOuv)+IF(NETWORKDAYS(P332,P332,JoursFeries),MEDIAN(MOD(P332,1),HFer,HOuv),HFer)-IF(NETWORKDAYS(O332,O332,JoursFeries),MEDIAN(MOD(O332,1),HFer,HOuv),HOuv))*24,4))))</f>
        <v/>
      </c>
      <c r="AV332" s="37" t="str">
        <f aca="false">IF(AO332&lt;&gt;1,"",IF(OR(P332="",Q332=""),"",IF(Q332&lt;P332,"",ROUND(((NETWORKDAYS(P332,Q332,JoursFeries)-1)*(HFer-HOuv)+IF(NETWORKDAYS(Q332,Q332,JoursFeries),MEDIAN(MOD(Q332,1),HFer,HOuv),HFer)-IF(NETWORKDAYS(P332,P332,JoursFeries),MEDIAN(MOD(P332,1),HFer,HOuv),HOuv))*24,4))))</f>
        <v/>
      </c>
      <c r="AW332" s="37" t="str">
        <f aca="false">IF(AO332&lt;&gt;1,"",IFERROR(ROUND(IF(OR(P332="",R332=""),"",IF(R332&lt;P332,"",ROUND(((NETWORKDAYS(P332,R332,JoursFeries)-1)*(HFer-HOuv)+IF(NETWORKDAYS(R332,R332,JoursFeries),MEDIAN(MOD(R332,1),HFer,HOuv),HFer)-IF(NETWORKDAYS(P332,P332,JoursFeries),MEDIAN(MOD(P332,1),HFer,HOuv),HOuv))*24,4)))/HJour,4),""))</f>
        <v/>
      </c>
      <c r="AX332" s="37" t="str">
        <f aca="false">IF(AO332&lt;&gt;1,"",IFERROR(ROUND(IF(OR(P332="",S332=""),"",IF(S332&lt;P332,"",ROUND(((NETWORKDAYS(P332,S332,JoursFeries)-1)*(HFer-HOuv)+IF(NETWORKDAYS(S332,S332,JoursFeries),MEDIAN(MOD(S332,1),HFer,HOuv),HFer)-IF(NETWORKDAYS(P332,P332,JoursFeries),MEDIAN(MOD(P332,1),HFer,HOuv),HOuv))*24,4)))/HJour,4),""))</f>
        <v/>
      </c>
      <c r="AY332" s="36" t="str">
        <f aca="false">IF(OR(AO332&lt;&gt;1,AR332=""),"",INDEX(SLA_PEC,AR332))</f>
        <v/>
      </c>
      <c r="AZ332" s="35" t="str">
        <f aca="false">IF(OR(AV332="",AY332=""),"",IF(AV332&lt;=AY332,1,0))</f>
        <v/>
      </c>
      <c r="BA332" s="36" t="str">
        <f aca="false">IF(OR(AO332&lt;&gt;1,AR332=""),"",INDEX(SLA_RES,AR332))</f>
        <v/>
      </c>
      <c r="BB332" s="35" t="str">
        <f aca="false">IF(OR(AW332="",BA332=""),"",IF(AW332&lt;=BA332,1,0))</f>
        <v/>
      </c>
      <c r="BC332" s="38" t="str">
        <f aca="false">IF(OR(BA332="",P332=""),"",WORKDAY(INT(P332),BA332,JoursFeries)+MOD(P332,1))</f>
        <v/>
      </c>
      <c r="BD332" s="39" t="str">
        <f aca="false">IF(AO332&lt;&gt;1,"",IF(OR(AB332&lt;&gt;"",AD332&lt;&gt;""),4,IF(U332&lt;&gt;"",3,IF(T332&lt;&gt;"",2,1))))</f>
        <v/>
      </c>
      <c r="BE332" s="39" t="str">
        <f aca="false">IF(OR(AO332&lt;&gt;1,AR332=""),"",INDEX(NIV_REQ,AR332))</f>
        <v/>
      </c>
      <c r="BF332" s="39" t="str">
        <f aca="false">IF(BE332="","",MAX(BE332,IF(OR(K332="Oui",Z332="Oui"),4,1)))</f>
        <v/>
      </c>
      <c r="BG332" s="35" t="str">
        <f aca="false">IF(OR(BF332="",BD332=""),"",IF(BD332&gt;=BF332,1,0))</f>
        <v/>
      </c>
      <c r="BH332" s="38" t="str">
        <f aca="false">IF(BE332="","",IF(BE332&lt;2,"",IF(BE332=2,IF(AND(T332="",U332=""),"",MIN(T332,U332)),IF(U332="","",U332))))</f>
        <v/>
      </c>
      <c r="BI332" s="37" t="str">
        <f aca="false">IF(BH332="","",IF(OR(O332="",BH332=""),"",IF(BH332&lt;O332,"",ROUND(((NETWORKDAYS(O332,BH332,JoursFeries)-1)*(HFer-HOuv)+IF(NETWORKDAYS(BH332,BH332,JoursFeries),MEDIAN(MOD(BH332,1),HFer,HOuv),HFer)-IF(NETWORKDAYS(O332,O332,JoursFeries),MEDIAN(MOD(O332,1),HFer,HOuv),HOuv))*24,4))))</f>
        <v/>
      </c>
      <c r="BJ332" s="35" t="str">
        <f aca="false">IF(OR(BI332="",AR332=""),"",IF(BI332&lt;=INDEX(DELAI_ESC,AR332),1,0))</f>
        <v/>
      </c>
      <c r="BK332" s="38" t="str">
        <f aca="false">IF(AO332&lt;&gt;1,"",IF(AND(T332="",U332=""),"",MIN(T332,U332)))</f>
        <v/>
      </c>
      <c r="BL332" s="37" t="str">
        <f aca="false">IF(OR(BK332="",R332=""),"",IFERROR(ROUND(IF(OR(BK332="",R332=""),"",IF(R332&lt;BK332,"",ROUND(((NETWORKDAYS(BK332,R332,JoursFeries)-1)*(HFer-HOuv)+IF(NETWORKDAYS(R332,R332,JoursFeries),MEDIAN(MOD(R332,1),HFer,HOuv),HFer)-IF(NETWORKDAYS(BK332,BK332,JoursFeries),MEDIAN(MOD(BK332,1),HFer,HOuv),HOuv))*24,4)))/HJour,4),""))</f>
        <v/>
      </c>
      <c r="BM332" s="35" t="str">
        <f aca="false">IF(OR(AO332&lt;&gt;1,R332=""),"",IF(BD332=1,1,0))</f>
        <v/>
      </c>
      <c r="BN332" s="35" t="str">
        <f aca="false">IF(AO332&lt;&gt;1,"",IF(W332="Oui",1,0))</f>
        <v/>
      </c>
      <c r="BO332" s="35" t="str">
        <f aca="false">IF(AO332&lt;&gt;1,"",IF(X332&lt;&gt;"",1,0))</f>
        <v/>
      </c>
      <c r="BP332" s="35" t="str">
        <f aca="false">IF(AO332&lt;&gt;1,"",IF(Y332="Oui",1,0))</f>
        <v/>
      </c>
      <c r="BQ332" s="35" t="str">
        <f aca="true">IF(OR(AO332&lt;&gt;1,Z332&lt;&gt;"Oui"),"",IF(AB332="",IF(AND(AA332&lt;&gt;"",NOW()&gt;AA332),0,""),IF(AA332="","",IF(AB332&lt;=AA332,1,0))))</f>
        <v/>
      </c>
      <c r="BR332" s="38" t="str">
        <f aca="false">IF(OR(AO332&lt;&gt;1,K332&lt;&gt;"Oui",O332=""),"",IF(AC332="",O332+DORA_H_DET/24,IF(AC332-O332&lt;=DORA_H_DET/24,MIN(AC332+DORA_H_CLA/24,O332+DORA_H_DET/24),AC332+DORA_H_CLA/24)))</f>
        <v/>
      </c>
      <c r="BS332" s="35" t="str">
        <f aca="true">IF(BR332="","",IF(AD332="",IF(NOW()&gt;BR332,0,""),IF(AD332&lt;=BR332,1,0)))</f>
        <v/>
      </c>
      <c r="BT332" s="35" t="str">
        <f aca="true">IF(OR(BR332="",AD332=""),"",IF(AE332="",IF(NOW()&gt;AD332+DORA_H_INT/24,0,""),IF(AE332&lt;=AD332+DORA_H_INT/24,1,0)))</f>
        <v/>
      </c>
      <c r="BU332" s="35" t="str">
        <f aca="true">IF(OR(BR332="",AE332=""),"",IF(AF332="",IF(NOW()&gt;EDATE(AE332,DORA_M_FIN)+1,0,""),IF(AF332&lt;=EDATE(AE332,DORA_M_FIN),1,0)))</f>
        <v/>
      </c>
      <c r="BV332" s="35" t="str">
        <f aca="false">IF(BR332="","",IF(COUNT(BS332:BU332)=0,"",MIN(BS332:BU332)))</f>
        <v/>
      </c>
      <c r="BW332" s="40" t="str">
        <f aca="false">IF(AQ332&lt;&gt;1,"",IF(AND(AG332="",AH332=""),"",N(AG332)-N(AH332)))</f>
        <v/>
      </c>
      <c r="BX332" s="35" t="str">
        <f aca="true">IF(OR(AQ332&lt;&gt;1,AI332&lt;&gt;"Oui",AJ332=""),"",IF(AK332="",IF(NOW()&gt;AJ332+1,0,""),IF(AK332&lt;=AJ332,1,0)))</f>
        <v/>
      </c>
    </row>
    <row r="333" customFormat="false" ht="15" hidden="false" customHeight="false" outlineLevel="0" collapsed="false">
      <c r="B333" s="29"/>
      <c r="C333" s="29"/>
      <c r="D333" s="29"/>
      <c r="E333" s="29"/>
      <c r="F333" s="29"/>
      <c r="G333" s="29"/>
      <c r="H333" s="29"/>
      <c r="I333" s="29"/>
      <c r="J333" s="29"/>
      <c r="K333" s="29"/>
      <c r="L333" s="29"/>
      <c r="M333" s="29"/>
      <c r="N333" s="30"/>
      <c r="O333" s="30"/>
      <c r="P333" s="30"/>
      <c r="Q333" s="30"/>
      <c r="R333" s="30"/>
      <c r="S333" s="30"/>
      <c r="T333" s="30"/>
      <c r="U333" s="30"/>
      <c r="V333" s="31"/>
      <c r="W333" s="29"/>
      <c r="X333" s="29"/>
      <c r="Y333" s="29"/>
      <c r="Z333" s="29"/>
      <c r="AA333" s="30"/>
      <c r="AB333" s="30"/>
      <c r="AC333" s="30"/>
      <c r="AD333" s="30"/>
      <c r="AE333" s="30"/>
      <c r="AF333" s="32"/>
      <c r="AG333" s="33"/>
      <c r="AH333" s="33"/>
      <c r="AI333" s="29"/>
      <c r="AJ333" s="32"/>
      <c r="AK333" s="32"/>
      <c r="AL333" s="29"/>
      <c r="AN333" s="34" t="str">
        <f aca="false">IF($B333="","",IF(OR(C333="",D333="",E333="",G333="",I333="",J333="",L333="",O333="",P333=""),"Champ obligatoire manquant",IF(OR(AND(N333&lt;&gt;"",N333&gt;O333),O333&gt;P333,AND(Q333&lt;&gt;"",Q333&lt;P333),AND(R333&lt;&gt;"",R333&lt;P333),AND(S333&lt;&gt;"",S333&lt;R333),AND(S333&lt;&gt;"",R333=""),AND(T333&lt;&gt;"",T333&lt;O333),AND(U333&lt;&gt;"",U333&lt;O333)),"Chronologie incohérente",IF(AND(OR(L333="Résolu",L333="Clos"),R333=""),"Date de résolution manquante",IF(AND(L333="Clos",S333=""),"Date de clôture manquante",IF(AND(K333="Oui",AC333=""),"Classification DORA manquante","OK"))))))</f>
        <v/>
      </c>
      <c r="AO333" s="35" t="str">
        <f aca="false">IF($B333="","",IF(AND(C333="Incident",L333&lt;&gt;"Annulé"),1,0))</f>
        <v/>
      </c>
      <c r="AP333" s="35" t="str">
        <f aca="false">IF($B333="","",IF(AND(C333="Quasi-incident",L333&lt;&gt;"Annulé"),1,0))</f>
        <v/>
      </c>
      <c r="AQ333" s="35" t="str">
        <f aca="false">IF($B333="","",AO333+AP333)</f>
        <v/>
      </c>
      <c r="AR333" s="36" t="str">
        <f aca="false">IF(OR($B333="",J333=""),"",IFERROR(VALUE(LEFT(J333,1)),""))</f>
        <v/>
      </c>
      <c r="AS333" s="35" t="str">
        <f aca="false">IF(OR(AO333&lt;&gt;1,G333=""),"",IFERROR(IF(INDEX(L_SrcInterne,MATCH(G333,L_Sources,0))="Oui",1,0),""))</f>
        <v/>
      </c>
      <c r="AT333" s="37" t="str">
        <f aca="false">IF(AO333&lt;&gt;1,"",IFERROR(ROUND(IF(OR(N333="",O333=""),"",IF(O333&lt;N333,"",ROUND(((NETWORKDAYS(N333,O333,JoursFeries)-1)*(HFer-HOuv)+IF(NETWORKDAYS(O333,O333,JoursFeries),MEDIAN(MOD(O333,1),HFer,HOuv),HFer)-IF(NETWORKDAYS(N333,N333,JoursFeries),MEDIAN(MOD(N333,1),HFer,HOuv),HOuv))*24,4)))/HJour,4),""))</f>
        <v/>
      </c>
      <c r="AU333" s="37" t="str">
        <f aca="false">IF(AO333&lt;&gt;1,"",IF(OR(O333="",P333=""),"",IF(P333&lt;O333,"",ROUND(((NETWORKDAYS(O333,P333,JoursFeries)-1)*(HFer-HOuv)+IF(NETWORKDAYS(P333,P333,JoursFeries),MEDIAN(MOD(P333,1),HFer,HOuv),HFer)-IF(NETWORKDAYS(O333,O333,JoursFeries),MEDIAN(MOD(O333,1),HFer,HOuv),HOuv))*24,4))))</f>
        <v/>
      </c>
      <c r="AV333" s="37" t="str">
        <f aca="false">IF(AO333&lt;&gt;1,"",IF(OR(P333="",Q333=""),"",IF(Q333&lt;P333,"",ROUND(((NETWORKDAYS(P333,Q333,JoursFeries)-1)*(HFer-HOuv)+IF(NETWORKDAYS(Q333,Q333,JoursFeries),MEDIAN(MOD(Q333,1),HFer,HOuv),HFer)-IF(NETWORKDAYS(P333,P333,JoursFeries),MEDIAN(MOD(P333,1),HFer,HOuv),HOuv))*24,4))))</f>
        <v/>
      </c>
      <c r="AW333" s="37" t="str">
        <f aca="false">IF(AO333&lt;&gt;1,"",IFERROR(ROUND(IF(OR(P333="",R333=""),"",IF(R333&lt;P333,"",ROUND(((NETWORKDAYS(P333,R333,JoursFeries)-1)*(HFer-HOuv)+IF(NETWORKDAYS(R333,R333,JoursFeries),MEDIAN(MOD(R333,1),HFer,HOuv),HFer)-IF(NETWORKDAYS(P333,P333,JoursFeries),MEDIAN(MOD(P333,1),HFer,HOuv),HOuv))*24,4)))/HJour,4),""))</f>
        <v/>
      </c>
      <c r="AX333" s="37" t="str">
        <f aca="false">IF(AO333&lt;&gt;1,"",IFERROR(ROUND(IF(OR(P333="",S333=""),"",IF(S333&lt;P333,"",ROUND(((NETWORKDAYS(P333,S333,JoursFeries)-1)*(HFer-HOuv)+IF(NETWORKDAYS(S333,S333,JoursFeries),MEDIAN(MOD(S333,1),HFer,HOuv),HFer)-IF(NETWORKDAYS(P333,P333,JoursFeries),MEDIAN(MOD(P333,1),HFer,HOuv),HOuv))*24,4)))/HJour,4),""))</f>
        <v/>
      </c>
      <c r="AY333" s="36" t="str">
        <f aca="false">IF(OR(AO333&lt;&gt;1,AR333=""),"",INDEX(SLA_PEC,AR333))</f>
        <v/>
      </c>
      <c r="AZ333" s="35" t="str">
        <f aca="false">IF(OR(AV333="",AY333=""),"",IF(AV333&lt;=AY333,1,0))</f>
        <v/>
      </c>
      <c r="BA333" s="36" t="str">
        <f aca="false">IF(OR(AO333&lt;&gt;1,AR333=""),"",INDEX(SLA_RES,AR333))</f>
        <v/>
      </c>
      <c r="BB333" s="35" t="str">
        <f aca="false">IF(OR(AW333="",BA333=""),"",IF(AW333&lt;=BA333,1,0))</f>
        <v/>
      </c>
      <c r="BC333" s="38" t="str">
        <f aca="false">IF(OR(BA333="",P333=""),"",WORKDAY(INT(P333),BA333,JoursFeries)+MOD(P333,1))</f>
        <v/>
      </c>
      <c r="BD333" s="39" t="str">
        <f aca="false">IF(AO333&lt;&gt;1,"",IF(OR(AB333&lt;&gt;"",AD333&lt;&gt;""),4,IF(U333&lt;&gt;"",3,IF(T333&lt;&gt;"",2,1))))</f>
        <v/>
      </c>
      <c r="BE333" s="39" t="str">
        <f aca="false">IF(OR(AO333&lt;&gt;1,AR333=""),"",INDEX(NIV_REQ,AR333))</f>
        <v/>
      </c>
      <c r="BF333" s="39" t="str">
        <f aca="false">IF(BE333="","",MAX(BE333,IF(OR(K333="Oui",Z333="Oui"),4,1)))</f>
        <v/>
      </c>
      <c r="BG333" s="35" t="str">
        <f aca="false">IF(OR(BF333="",BD333=""),"",IF(BD333&gt;=BF333,1,0))</f>
        <v/>
      </c>
      <c r="BH333" s="38" t="str">
        <f aca="false">IF(BE333="","",IF(BE333&lt;2,"",IF(BE333=2,IF(AND(T333="",U333=""),"",MIN(T333,U333)),IF(U333="","",U333))))</f>
        <v/>
      </c>
      <c r="BI333" s="37" t="str">
        <f aca="false">IF(BH333="","",IF(OR(O333="",BH333=""),"",IF(BH333&lt;O333,"",ROUND(((NETWORKDAYS(O333,BH333,JoursFeries)-1)*(HFer-HOuv)+IF(NETWORKDAYS(BH333,BH333,JoursFeries),MEDIAN(MOD(BH333,1),HFer,HOuv),HFer)-IF(NETWORKDAYS(O333,O333,JoursFeries),MEDIAN(MOD(O333,1),HFer,HOuv),HOuv))*24,4))))</f>
        <v/>
      </c>
      <c r="BJ333" s="35" t="str">
        <f aca="false">IF(OR(BI333="",AR333=""),"",IF(BI333&lt;=INDEX(DELAI_ESC,AR333),1,0))</f>
        <v/>
      </c>
      <c r="BK333" s="38" t="str">
        <f aca="false">IF(AO333&lt;&gt;1,"",IF(AND(T333="",U333=""),"",MIN(T333,U333)))</f>
        <v/>
      </c>
      <c r="BL333" s="37" t="str">
        <f aca="false">IF(OR(BK333="",R333=""),"",IFERROR(ROUND(IF(OR(BK333="",R333=""),"",IF(R333&lt;BK333,"",ROUND(((NETWORKDAYS(BK333,R333,JoursFeries)-1)*(HFer-HOuv)+IF(NETWORKDAYS(R333,R333,JoursFeries),MEDIAN(MOD(R333,1),HFer,HOuv),HFer)-IF(NETWORKDAYS(BK333,BK333,JoursFeries),MEDIAN(MOD(BK333,1),HFer,HOuv),HOuv))*24,4)))/HJour,4),""))</f>
        <v/>
      </c>
      <c r="BM333" s="35" t="str">
        <f aca="false">IF(OR(AO333&lt;&gt;1,R333=""),"",IF(BD333=1,1,0))</f>
        <v/>
      </c>
      <c r="BN333" s="35" t="str">
        <f aca="false">IF(AO333&lt;&gt;1,"",IF(W333="Oui",1,0))</f>
        <v/>
      </c>
      <c r="BO333" s="35" t="str">
        <f aca="false">IF(AO333&lt;&gt;1,"",IF(X333&lt;&gt;"",1,0))</f>
        <v/>
      </c>
      <c r="BP333" s="35" t="str">
        <f aca="false">IF(AO333&lt;&gt;1,"",IF(Y333="Oui",1,0))</f>
        <v/>
      </c>
      <c r="BQ333" s="35" t="str">
        <f aca="true">IF(OR(AO333&lt;&gt;1,Z333&lt;&gt;"Oui"),"",IF(AB333="",IF(AND(AA333&lt;&gt;"",NOW()&gt;AA333),0,""),IF(AA333="","",IF(AB333&lt;=AA333,1,0))))</f>
        <v/>
      </c>
      <c r="BR333" s="38" t="str">
        <f aca="false">IF(OR(AO333&lt;&gt;1,K333&lt;&gt;"Oui",O333=""),"",IF(AC333="",O333+DORA_H_DET/24,IF(AC333-O333&lt;=DORA_H_DET/24,MIN(AC333+DORA_H_CLA/24,O333+DORA_H_DET/24),AC333+DORA_H_CLA/24)))</f>
        <v/>
      </c>
      <c r="BS333" s="35" t="str">
        <f aca="true">IF(BR333="","",IF(AD333="",IF(NOW()&gt;BR333,0,""),IF(AD333&lt;=BR333,1,0)))</f>
        <v/>
      </c>
      <c r="BT333" s="35" t="str">
        <f aca="true">IF(OR(BR333="",AD333=""),"",IF(AE333="",IF(NOW()&gt;AD333+DORA_H_INT/24,0,""),IF(AE333&lt;=AD333+DORA_H_INT/24,1,0)))</f>
        <v/>
      </c>
      <c r="BU333" s="35" t="str">
        <f aca="true">IF(OR(BR333="",AE333=""),"",IF(AF333="",IF(NOW()&gt;EDATE(AE333,DORA_M_FIN)+1,0,""),IF(AF333&lt;=EDATE(AE333,DORA_M_FIN),1,0)))</f>
        <v/>
      </c>
      <c r="BV333" s="35" t="str">
        <f aca="false">IF(BR333="","",IF(COUNT(BS333:BU333)=0,"",MIN(BS333:BU333)))</f>
        <v/>
      </c>
      <c r="BW333" s="40" t="str">
        <f aca="false">IF(AQ333&lt;&gt;1,"",IF(AND(AG333="",AH333=""),"",N(AG333)-N(AH333)))</f>
        <v/>
      </c>
      <c r="BX333" s="35" t="str">
        <f aca="true">IF(OR(AQ333&lt;&gt;1,AI333&lt;&gt;"Oui",AJ333=""),"",IF(AK333="",IF(NOW()&gt;AJ333+1,0,""),IF(AK333&lt;=AJ333,1,0)))</f>
        <v/>
      </c>
    </row>
    <row r="334" customFormat="false" ht="15" hidden="false" customHeight="false" outlineLevel="0" collapsed="false">
      <c r="B334" s="29"/>
      <c r="C334" s="29"/>
      <c r="D334" s="29"/>
      <c r="E334" s="29"/>
      <c r="F334" s="29"/>
      <c r="G334" s="29"/>
      <c r="H334" s="29"/>
      <c r="I334" s="29"/>
      <c r="J334" s="29"/>
      <c r="K334" s="29"/>
      <c r="L334" s="29"/>
      <c r="M334" s="29"/>
      <c r="N334" s="30"/>
      <c r="O334" s="30"/>
      <c r="P334" s="30"/>
      <c r="Q334" s="30"/>
      <c r="R334" s="30"/>
      <c r="S334" s="30"/>
      <c r="T334" s="30"/>
      <c r="U334" s="30"/>
      <c r="V334" s="31"/>
      <c r="W334" s="29"/>
      <c r="X334" s="29"/>
      <c r="Y334" s="29"/>
      <c r="Z334" s="29"/>
      <c r="AA334" s="30"/>
      <c r="AB334" s="30"/>
      <c r="AC334" s="30"/>
      <c r="AD334" s="30"/>
      <c r="AE334" s="30"/>
      <c r="AF334" s="32"/>
      <c r="AG334" s="33"/>
      <c r="AH334" s="33"/>
      <c r="AI334" s="29"/>
      <c r="AJ334" s="32"/>
      <c r="AK334" s="32"/>
      <c r="AL334" s="29"/>
      <c r="AN334" s="34" t="str">
        <f aca="false">IF($B334="","",IF(OR(C334="",D334="",E334="",G334="",I334="",J334="",L334="",O334="",P334=""),"Champ obligatoire manquant",IF(OR(AND(N334&lt;&gt;"",N334&gt;O334),O334&gt;P334,AND(Q334&lt;&gt;"",Q334&lt;P334),AND(R334&lt;&gt;"",R334&lt;P334),AND(S334&lt;&gt;"",S334&lt;R334),AND(S334&lt;&gt;"",R334=""),AND(T334&lt;&gt;"",T334&lt;O334),AND(U334&lt;&gt;"",U334&lt;O334)),"Chronologie incohérente",IF(AND(OR(L334="Résolu",L334="Clos"),R334=""),"Date de résolution manquante",IF(AND(L334="Clos",S334=""),"Date de clôture manquante",IF(AND(K334="Oui",AC334=""),"Classification DORA manquante","OK"))))))</f>
        <v/>
      </c>
      <c r="AO334" s="35" t="str">
        <f aca="false">IF($B334="","",IF(AND(C334="Incident",L334&lt;&gt;"Annulé"),1,0))</f>
        <v/>
      </c>
      <c r="AP334" s="35" t="str">
        <f aca="false">IF($B334="","",IF(AND(C334="Quasi-incident",L334&lt;&gt;"Annulé"),1,0))</f>
        <v/>
      </c>
      <c r="AQ334" s="35" t="str">
        <f aca="false">IF($B334="","",AO334+AP334)</f>
        <v/>
      </c>
      <c r="AR334" s="36" t="str">
        <f aca="false">IF(OR($B334="",J334=""),"",IFERROR(VALUE(LEFT(J334,1)),""))</f>
        <v/>
      </c>
      <c r="AS334" s="35" t="str">
        <f aca="false">IF(OR(AO334&lt;&gt;1,G334=""),"",IFERROR(IF(INDEX(L_SrcInterne,MATCH(G334,L_Sources,0))="Oui",1,0),""))</f>
        <v/>
      </c>
      <c r="AT334" s="37" t="str">
        <f aca="false">IF(AO334&lt;&gt;1,"",IFERROR(ROUND(IF(OR(N334="",O334=""),"",IF(O334&lt;N334,"",ROUND(((NETWORKDAYS(N334,O334,JoursFeries)-1)*(HFer-HOuv)+IF(NETWORKDAYS(O334,O334,JoursFeries),MEDIAN(MOD(O334,1),HFer,HOuv),HFer)-IF(NETWORKDAYS(N334,N334,JoursFeries),MEDIAN(MOD(N334,1),HFer,HOuv),HOuv))*24,4)))/HJour,4),""))</f>
        <v/>
      </c>
      <c r="AU334" s="37" t="str">
        <f aca="false">IF(AO334&lt;&gt;1,"",IF(OR(O334="",P334=""),"",IF(P334&lt;O334,"",ROUND(((NETWORKDAYS(O334,P334,JoursFeries)-1)*(HFer-HOuv)+IF(NETWORKDAYS(P334,P334,JoursFeries),MEDIAN(MOD(P334,1),HFer,HOuv),HFer)-IF(NETWORKDAYS(O334,O334,JoursFeries),MEDIAN(MOD(O334,1),HFer,HOuv),HOuv))*24,4))))</f>
        <v/>
      </c>
      <c r="AV334" s="37" t="str">
        <f aca="false">IF(AO334&lt;&gt;1,"",IF(OR(P334="",Q334=""),"",IF(Q334&lt;P334,"",ROUND(((NETWORKDAYS(P334,Q334,JoursFeries)-1)*(HFer-HOuv)+IF(NETWORKDAYS(Q334,Q334,JoursFeries),MEDIAN(MOD(Q334,1),HFer,HOuv),HFer)-IF(NETWORKDAYS(P334,P334,JoursFeries),MEDIAN(MOD(P334,1),HFer,HOuv),HOuv))*24,4))))</f>
        <v/>
      </c>
      <c r="AW334" s="37" t="str">
        <f aca="false">IF(AO334&lt;&gt;1,"",IFERROR(ROUND(IF(OR(P334="",R334=""),"",IF(R334&lt;P334,"",ROUND(((NETWORKDAYS(P334,R334,JoursFeries)-1)*(HFer-HOuv)+IF(NETWORKDAYS(R334,R334,JoursFeries),MEDIAN(MOD(R334,1),HFer,HOuv),HFer)-IF(NETWORKDAYS(P334,P334,JoursFeries),MEDIAN(MOD(P334,1),HFer,HOuv),HOuv))*24,4)))/HJour,4),""))</f>
        <v/>
      </c>
      <c r="AX334" s="37" t="str">
        <f aca="false">IF(AO334&lt;&gt;1,"",IFERROR(ROUND(IF(OR(P334="",S334=""),"",IF(S334&lt;P334,"",ROUND(((NETWORKDAYS(P334,S334,JoursFeries)-1)*(HFer-HOuv)+IF(NETWORKDAYS(S334,S334,JoursFeries),MEDIAN(MOD(S334,1),HFer,HOuv),HFer)-IF(NETWORKDAYS(P334,P334,JoursFeries),MEDIAN(MOD(P334,1),HFer,HOuv),HOuv))*24,4)))/HJour,4),""))</f>
        <v/>
      </c>
      <c r="AY334" s="36" t="str">
        <f aca="false">IF(OR(AO334&lt;&gt;1,AR334=""),"",INDEX(SLA_PEC,AR334))</f>
        <v/>
      </c>
      <c r="AZ334" s="35" t="str">
        <f aca="false">IF(OR(AV334="",AY334=""),"",IF(AV334&lt;=AY334,1,0))</f>
        <v/>
      </c>
      <c r="BA334" s="36" t="str">
        <f aca="false">IF(OR(AO334&lt;&gt;1,AR334=""),"",INDEX(SLA_RES,AR334))</f>
        <v/>
      </c>
      <c r="BB334" s="35" t="str">
        <f aca="false">IF(OR(AW334="",BA334=""),"",IF(AW334&lt;=BA334,1,0))</f>
        <v/>
      </c>
      <c r="BC334" s="38" t="str">
        <f aca="false">IF(OR(BA334="",P334=""),"",WORKDAY(INT(P334),BA334,JoursFeries)+MOD(P334,1))</f>
        <v/>
      </c>
      <c r="BD334" s="39" t="str">
        <f aca="false">IF(AO334&lt;&gt;1,"",IF(OR(AB334&lt;&gt;"",AD334&lt;&gt;""),4,IF(U334&lt;&gt;"",3,IF(T334&lt;&gt;"",2,1))))</f>
        <v/>
      </c>
      <c r="BE334" s="39" t="str">
        <f aca="false">IF(OR(AO334&lt;&gt;1,AR334=""),"",INDEX(NIV_REQ,AR334))</f>
        <v/>
      </c>
      <c r="BF334" s="39" t="str">
        <f aca="false">IF(BE334="","",MAX(BE334,IF(OR(K334="Oui",Z334="Oui"),4,1)))</f>
        <v/>
      </c>
      <c r="BG334" s="35" t="str">
        <f aca="false">IF(OR(BF334="",BD334=""),"",IF(BD334&gt;=BF334,1,0))</f>
        <v/>
      </c>
      <c r="BH334" s="38" t="str">
        <f aca="false">IF(BE334="","",IF(BE334&lt;2,"",IF(BE334=2,IF(AND(T334="",U334=""),"",MIN(T334,U334)),IF(U334="","",U334))))</f>
        <v/>
      </c>
      <c r="BI334" s="37" t="str">
        <f aca="false">IF(BH334="","",IF(OR(O334="",BH334=""),"",IF(BH334&lt;O334,"",ROUND(((NETWORKDAYS(O334,BH334,JoursFeries)-1)*(HFer-HOuv)+IF(NETWORKDAYS(BH334,BH334,JoursFeries),MEDIAN(MOD(BH334,1),HFer,HOuv),HFer)-IF(NETWORKDAYS(O334,O334,JoursFeries),MEDIAN(MOD(O334,1),HFer,HOuv),HOuv))*24,4))))</f>
        <v/>
      </c>
      <c r="BJ334" s="35" t="str">
        <f aca="false">IF(OR(BI334="",AR334=""),"",IF(BI334&lt;=INDEX(DELAI_ESC,AR334),1,0))</f>
        <v/>
      </c>
      <c r="BK334" s="38" t="str">
        <f aca="false">IF(AO334&lt;&gt;1,"",IF(AND(T334="",U334=""),"",MIN(T334,U334)))</f>
        <v/>
      </c>
      <c r="BL334" s="37" t="str">
        <f aca="false">IF(OR(BK334="",R334=""),"",IFERROR(ROUND(IF(OR(BK334="",R334=""),"",IF(R334&lt;BK334,"",ROUND(((NETWORKDAYS(BK334,R334,JoursFeries)-1)*(HFer-HOuv)+IF(NETWORKDAYS(R334,R334,JoursFeries),MEDIAN(MOD(R334,1),HFer,HOuv),HFer)-IF(NETWORKDAYS(BK334,BK334,JoursFeries),MEDIAN(MOD(BK334,1),HFer,HOuv),HOuv))*24,4)))/HJour,4),""))</f>
        <v/>
      </c>
      <c r="BM334" s="35" t="str">
        <f aca="false">IF(OR(AO334&lt;&gt;1,R334=""),"",IF(BD334=1,1,0))</f>
        <v/>
      </c>
      <c r="BN334" s="35" t="str">
        <f aca="false">IF(AO334&lt;&gt;1,"",IF(W334="Oui",1,0))</f>
        <v/>
      </c>
      <c r="BO334" s="35" t="str">
        <f aca="false">IF(AO334&lt;&gt;1,"",IF(X334&lt;&gt;"",1,0))</f>
        <v/>
      </c>
      <c r="BP334" s="35" t="str">
        <f aca="false">IF(AO334&lt;&gt;1,"",IF(Y334="Oui",1,0))</f>
        <v/>
      </c>
      <c r="BQ334" s="35" t="str">
        <f aca="true">IF(OR(AO334&lt;&gt;1,Z334&lt;&gt;"Oui"),"",IF(AB334="",IF(AND(AA334&lt;&gt;"",NOW()&gt;AA334),0,""),IF(AA334="","",IF(AB334&lt;=AA334,1,0))))</f>
        <v/>
      </c>
      <c r="BR334" s="38" t="str">
        <f aca="false">IF(OR(AO334&lt;&gt;1,K334&lt;&gt;"Oui",O334=""),"",IF(AC334="",O334+DORA_H_DET/24,IF(AC334-O334&lt;=DORA_H_DET/24,MIN(AC334+DORA_H_CLA/24,O334+DORA_H_DET/24),AC334+DORA_H_CLA/24)))</f>
        <v/>
      </c>
      <c r="BS334" s="35" t="str">
        <f aca="true">IF(BR334="","",IF(AD334="",IF(NOW()&gt;BR334,0,""),IF(AD334&lt;=BR334,1,0)))</f>
        <v/>
      </c>
      <c r="BT334" s="35" t="str">
        <f aca="true">IF(OR(BR334="",AD334=""),"",IF(AE334="",IF(NOW()&gt;AD334+DORA_H_INT/24,0,""),IF(AE334&lt;=AD334+DORA_H_INT/24,1,0)))</f>
        <v/>
      </c>
      <c r="BU334" s="35" t="str">
        <f aca="true">IF(OR(BR334="",AE334=""),"",IF(AF334="",IF(NOW()&gt;EDATE(AE334,DORA_M_FIN)+1,0,""),IF(AF334&lt;=EDATE(AE334,DORA_M_FIN),1,0)))</f>
        <v/>
      </c>
      <c r="BV334" s="35" t="str">
        <f aca="false">IF(BR334="","",IF(COUNT(BS334:BU334)=0,"",MIN(BS334:BU334)))</f>
        <v/>
      </c>
      <c r="BW334" s="40" t="str">
        <f aca="false">IF(AQ334&lt;&gt;1,"",IF(AND(AG334="",AH334=""),"",N(AG334)-N(AH334)))</f>
        <v/>
      </c>
      <c r="BX334" s="35" t="str">
        <f aca="true">IF(OR(AQ334&lt;&gt;1,AI334&lt;&gt;"Oui",AJ334=""),"",IF(AK334="",IF(NOW()&gt;AJ334+1,0,""),IF(AK334&lt;=AJ334,1,0)))</f>
        <v/>
      </c>
    </row>
    <row r="335" customFormat="false" ht="15" hidden="false" customHeight="false" outlineLevel="0" collapsed="false">
      <c r="B335" s="29"/>
      <c r="C335" s="29"/>
      <c r="D335" s="29"/>
      <c r="E335" s="29"/>
      <c r="F335" s="29"/>
      <c r="G335" s="29"/>
      <c r="H335" s="29"/>
      <c r="I335" s="29"/>
      <c r="J335" s="29"/>
      <c r="K335" s="29"/>
      <c r="L335" s="29"/>
      <c r="M335" s="29"/>
      <c r="N335" s="30"/>
      <c r="O335" s="30"/>
      <c r="P335" s="30"/>
      <c r="Q335" s="30"/>
      <c r="R335" s="30"/>
      <c r="S335" s="30"/>
      <c r="T335" s="30"/>
      <c r="U335" s="30"/>
      <c r="V335" s="31"/>
      <c r="W335" s="29"/>
      <c r="X335" s="29"/>
      <c r="Y335" s="29"/>
      <c r="Z335" s="29"/>
      <c r="AA335" s="30"/>
      <c r="AB335" s="30"/>
      <c r="AC335" s="30"/>
      <c r="AD335" s="30"/>
      <c r="AE335" s="30"/>
      <c r="AF335" s="32"/>
      <c r="AG335" s="33"/>
      <c r="AH335" s="33"/>
      <c r="AI335" s="29"/>
      <c r="AJ335" s="32"/>
      <c r="AK335" s="32"/>
      <c r="AL335" s="29"/>
      <c r="AN335" s="34" t="str">
        <f aca="false">IF($B335="","",IF(OR(C335="",D335="",E335="",G335="",I335="",J335="",L335="",O335="",P335=""),"Champ obligatoire manquant",IF(OR(AND(N335&lt;&gt;"",N335&gt;O335),O335&gt;P335,AND(Q335&lt;&gt;"",Q335&lt;P335),AND(R335&lt;&gt;"",R335&lt;P335),AND(S335&lt;&gt;"",S335&lt;R335),AND(S335&lt;&gt;"",R335=""),AND(T335&lt;&gt;"",T335&lt;O335),AND(U335&lt;&gt;"",U335&lt;O335)),"Chronologie incohérente",IF(AND(OR(L335="Résolu",L335="Clos"),R335=""),"Date de résolution manquante",IF(AND(L335="Clos",S335=""),"Date de clôture manquante",IF(AND(K335="Oui",AC335=""),"Classification DORA manquante","OK"))))))</f>
        <v/>
      </c>
      <c r="AO335" s="35" t="str">
        <f aca="false">IF($B335="","",IF(AND(C335="Incident",L335&lt;&gt;"Annulé"),1,0))</f>
        <v/>
      </c>
      <c r="AP335" s="35" t="str">
        <f aca="false">IF($B335="","",IF(AND(C335="Quasi-incident",L335&lt;&gt;"Annulé"),1,0))</f>
        <v/>
      </c>
      <c r="AQ335" s="35" t="str">
        <f aca="false">IF($B335="","",AO335+AP335)</f>
        <v/>
      </c>
      <c r="AR335" s="36" t="str">
        <f aca="false">IF(OR($B335="",J335=""),"",IFERROR(VALUE(LEFT(J335,1)),""))</f>
        <v/>
      </c>
      <c r="AS335" s="35" t="str">
        <f aca="false">IF(OR(AO335&lt;&gt;1,G335=""),"",IFERROR(IF(INDEX(L_SrcInterne,MATCH(G335,L_Sources,0))="Oui",1,0),""))</f>
        <v/>
      </c>
      <c r="AT335" s="37" t="str">
        <f aca="false">IF(AO335&lt;&gt;1,"",IFERROR(ROUND(IF(OR(N335="",O335=""),"",IF(O335&lt;N335,"",ROUND(((NETWORKDAYS(N335,O335,JoursFeries)-1)*(HFer-HOuv)+IF(NETWORKDAYS(O335,O335,JoursFeries),MEDIAN(MOD(O335,1),HFer,HOuv),HFer)-IF(NETWORKDAYS(N335,N335,JoursFeries),MEDIAN(MOD(N335,1),HFer,HOuv),HOuv))*24,4)))/HJour,4),""))</f>
        <v/>
      </c>
      <c r="AU335" s="37" t="str">
        <f aca="false">IF(AO335&lt;&gt;1,"",IF(OR(O335="",P335=""),"",IF(P335&lt;O335,"",ROUND(((NETWORKDAYS(O335,P335,JoursFeries)-1)*(HFer-HOuv)+IF(NETWORKDAYS(P335,P335,JoursFeries),MEDIAN(MOD(P335,1),HFer,HOuv),HFer)-IF(NETWORKDAYS(O335,O335,JoursFeries),MEDIAN(MOD(O335,1),HFer,HOuv),HOuv))*24,4))))</f>
        <v/>
      </c>
      <c r="AV335" s="37" t="str">
        <f aca="false">IF(AO335&lt;&gt;1,"",IF(OR(P335="",Q335=""),"",IF(Q335&lt;P335,"",ROUND(((NETWORKDAYS(P335,Q335,JoursFeries)-1)*(HFer-HOuv)+IF(NETWORKDAYS(Q335,Q335,JoursFeries),MEDIAN(MOD(Q335,1),HFer,HOuv),HFer)-IF(NETWORKDAYS(P335,P335,JoursFeries),MEDIAN(MOD(P335,1),HFer,HOuv),HOuv))*24,4))))</f>
        <v/>
      </c>
      <c r="AW335" s="37" t="str">
        <f aca="false">IF(AO335&lt;&gt;1,"",IFERROR(ROUND(IF(OR(P335="",R335=""),"",IF(R335&lt;P335,"",ROUND(((NETWORKDAYS(P335,R335,JoursFeries)-1)*(HFer-HOuv)+IF(NETWORKDAYS(R335,R335,JoursFeries),MEDIAN(MOD(R335,1),HFer,HOuv),HFer)-IF(NETWORKDAYS(P335,P335,JoursFeries),MEDIAN(MOD(P335,1),HFer,HOuv),HOuv))*24,4)))/HJour,4),""))</f>
        <v/>
      </c>
      <c r="AX335" s="37" t="str">
        <f aca="false">IF(AO335&lt;&gt;1,"",IFERROR(ROUND(IF(OR(P335="",S335=""),"",IF(S335&lt;P335,"",ROUND(((NETWORKDAYS(P335,S335,JoursFeries)-1)*(HFer-HOuv)+IF(NETWORKDAYS(S335,S335,JoursFeries),MEDIAN(MOD(S335,1),HFer,HOuv),HFer)-IF(NETWORKDAYS(P335,P335,JoursFeries),MEDIAN(MOD(P335,1),HFer,HOuv),HOuv))*24,4)))/HJour,4),""))</f>
        <v/>
      </c>
      <c r="AY335" s="36" t="str">
        <f aca="false">IF(OR(AO335&lt;&gt;1,AR335=""),"",INDEX(SLA_PEC,AR335))</f>
        <v/>
      </c>
      <c r="AZ335" s="35" t="str">
        <f aca="false">IF(OR(AV335="",AY335=""),"",IF(AV335&lt;=AY335,1,0))</f>
        <v/>
      </c>
      <c r="BA335" s="36" t="str">
        <f aca="false">IF(OR(AO335&lt;&gt;1,AR335=""),"",INDEX(SLA_RES,AR335))</f>
        <v/>
      </c>
      <c r="BB335" s="35" t="str">
        <f aca="false">IF(OR(AW335="",BA335=""),"",IF(AW335&lt;=BA335,1,0))</f>
        <v/>
      </c>
      <c r="BC335" s="38" t="str">
        <f aca="false">IF(OR(BA335="",P335=""),"",WORKDAY(INT(P335),BA335,JoursFeries)+MOD(P335,1))</f>
        <v/>
      </c>
      <c r="BD335" s="39" t="str">
        <f aca="false">IF(AO335&lt;&gt;1,"",IF(OR(AB335&lt;&gt;"",AD335&lt;&gt;""),4,IF(U335&lt;&gt;"",3,IF(T335&lt;&gt;"",2,1))))</f>
        <v/>
      </c>
      <c r="BE335" s="39" t="str">
        <f aca="false">IF(OR(AO335&lt;&gt;1,AR335=""),"",INDEX(NIV_REQ,AR335))</f>
        <v/>
      </c>
      <c r="BF335" s="39" t="str">
        <f aca="false">IF(BE335="","",MAX(BE335,IF(OR(K335="Oui",Z335="Oui"),4,1)))</f>
        <v/>
      </c>
      <c r="BG335" s="35" t="str">
        <f aca="false">IF(OR(BF335="",BD335=""),"",IF(BD335&gt;=BF335,1,0))</f>
        <v/>
      </c>
      <c r="BH335" s="38" t="str">
        <f aca="false">IF(BE335="","",IF(BE335&lt;2,"",IF(BE335=2,IF(AND(T335="",U335=""),"",MIN(T335,U335)),IF(U335="","",U335))))</f>
        <v/>
      </c>
      <c r="BI335" s="37" t="str">
        <f aca="false">IF(BH335="","",IF(OR(O335="",BH335=""),"",IF(BH335&lt;O335,"",ROUND(((NETWORKDAYS(O335,BH335,JoursFeries)-1)*(HFer-HOuv)+IF(NETWORKDAYS(BH335,BH335,JoursFeries),MEDIAN(MOD(BH335,1),HFer,HOuv),HFer)-IF(NETWORKDAYS(O335,O335,JoursFeries),MEDIAN(MOD(O335,1),HFer,HOuv),HOuv))*24,4))))</f>
        <v/>
      </c>
      <c r="BJ335" s="35" t="str">
        <f aca="false">IF(OR(BI335="",AR335=""),"",IF(BI335&lt;=INDEX(DELAI_ESC,AR335),1,0))</f>
        <v/>
      </c>
      <c r="BK335" s="38" t="str">
        <f aca="false">IF(AO335&lt;&gt;1,"",IF(AND(T335="",U335=""),"",MIN(T335,U335)))</f>
        <v/>
      </c>
      <c r="BL335" s="37" t="str">
        <f aca="false">IF(OR(BK335="",R335=""),"",IFERROR(ROUND(IF(OR(BK335="",R335=""),"",IF(R335&lt;BK335,"",ROUND(((NETWORKDAYS(BK335,R335,JoursFeries)-1)*(HFer-HOuv)+IF(NETWORKDAYS(R335,R335,JoursFeries),MEDIAN(MOD(R335,1),HFer,HOuv),HFer)-IF(NETWORKDAYS(BK335,BK335,JoursFeries),MEDIAN(MOD(BK335,1),HFer,HOuv),HOuv))*24,4)))/HJour,4),""))</f>
        <v/>
      </c>
      <c r="BM335" s="35" t="str">
        <f aca="false">IF(OR(AO335&lt;&gt;1,R335=""),"",IF(BD335=1,1,0))</f>
        <v/>
      </c>
      <c r="BN335" s="35" t="str">
        <f aca="false">IF(AO335&lt;&gt;1,"",IF(W335="Oui",1,0))</f>
        <v/>
      </c>
      <c r="BO335" s="35" t="str">
        <f aca="false">IF(AO335&lt;&gt;1,"",IF(X335&lt;&gt;"",1,0))</f>
        <v/>
      </c>
      <c r="BP335" s="35" t="str">
        <f aca="false">IF(AO335&lt;&gt;1,"",IF(Y335="Oui",1,0))</f>
        <v/>
      </c>
      <c r="BQ335" s="35" t="str">
        <f aca="true">IF(OR(AO335&lt;&gt;1,Z335&lt;&gt;"Oui"),"",IF(AB335="",IF(AND(AA335&lt;&gt;"",NOW()&gt;AA335),0,""),IF(AA335="","",IF(AB335&lt;=AA335,1,0))))</f>
        <v/>
      </c>
      <c r="BR335" s="38" t="str">
        <f aca="false">IF(OR(AO335&lt;&gt;1,K335&lt;&gt;"Oui",O335=""),"",IF(AC335="",O335+DORA_H_DET/24,IF(AC335-O335&lt;=DORA_H_DET/24,MIN(AC335+DORA_H_CLA/24,O335+DORA_H_DET/24),AC335+DORA_H_CLA/24)))</f>
        <v/>
      </c>
      <c r="BS335" s="35" t="str">
        <f aca="true">IF(BR335="","",IF(AD335="",IF(NOW()&gt;BR335,0,""),IF(AD335&lt;=BR335,1,0)))</f>
        <v/>
      </c>
      <c r="BT335" s="35" t="str">
        <f aca="true">IF(OR(BR335="",AD335=""),"",IF(AE335="",IF(NOW()&gt;AD335+DORA_H_INT/24,0,""),IF(AE335&lt;=AD335+DORA_H_INT/24,1,0)))</f>
        <v/>
      </c>
      <c r="BU335" s="35" t="str">
        <f aca="true">IF(OR(BR335="",AE335=""),"",IF(AF335="",IF(NOW()&gt;EDATE(AE335,DORA_M_FIN)+1,0,""),IF(AF335&lt;=EDATE(AE335,DORA_M_FIN),1,0)))</f>
        <v/>
      </c>
      <c r="BV335" s="35" t="str">
        <f aca="false">IF(BR335="","",IF(COUNT(BS335:BU335)=0,"",MIN(BS335:BU335)))</f>
        <v/>
      </c>
      <c r="BW335" s="40" t="str">
        <f aca="false">IF(AQ335&lt;&gt;1,"",IF(AND(AG335="",AH335=""),"",N(AG335)-N(AH335)))</f>
        <v/>
      </c>
      <c r="BX335" s="35" t="str">
        <f aca="true">IF(OR(AQ335&lt;&gt;1,AI335&lt;&gt;"Oui",AJ335=""),"",IF(AK335="",IF(NOW()&gt;AJ335+1,0,""),IF(AK335&lt;=AJ335,1,0)))</f>
        <v/>
      </c>
    </row>
    <row r="336" customFormat="false" ht="15" hidden="false" customHeight="false" outlineLevel="0" collapsed="false">
      <c r="B336" s="29"/>
      <c r="C336" s="29"/>
      <c r="D336" s="29"/>
      <c r="E336" s="29"/>
      <c r="F336" s="29"/>
      <c r="G336" s="29"/>
      <c r="H336" s="29"/>
      <c r="I336" s="29"/>
      <c r="J336" s="29"/>
      <c r="K336" s="29"/>
      <c r="L336" s="29"/>
      <c r="M336" s="29"/>
      <c r="N336" s="30"/>
      <c r="O336" s="30"/>
      <c r="P336" s="30"/>
      <c r="Q336" s="30"/>
      <c r="R336" s="30"/>
      <c r="S336" s="30"/>
      <c r="T336" s="30"/>
      <c r="U336" s="30"/>
      <c r="V336" s="31"/>
      <c r="W336" s="29"/>
      <c r="X336" s="29"/>
      <c r="Y336" s="29"/>
      <c r="Z336" s="29"/>
      <c r="AA336" s="30"/>
      <c r="AB336" s="30"/>
      <c r="AC336" s="30"/>
      <c r="AD336" s="30"/>
      <c r="AE336" s="30"/>
      <c r="AF336" s="32"/>
      <c r="AG336" s="33"/>
      <c r="AH336" s="33"/>
      <c r="AI336" s="29"/>
      <c r="AJ336" s="32"/>
      <c r="AK336" s="32"/>
      <c r="AL336" s="29"/>
      <c r="AN336" s="34" t="str">
        <f aca="false">IF($B336="","",IF(OR(C336="",D336="",E336="",G336="",I336="",J336="",L336="",O336="",P336=""),"Champ obligatoire manquant",IF(OR(AND(N336&lt;&gt;"",N336&gt;O336),O336&gt;P336,AND(Q336&lt;&gt;"",Q336&lt;P336),AND(R336&lt;&gt;"",R336&lt;P336),AND(S336&lt;&gt;"",S336&lt;R336),AND(S336&lt;&gt;"",R336=""),AND(T336&lt;&gt;"",T336&lt;O336),AND(U336&lt;&gt;"",U336&lt;O336)),"Chronologie incohérente",IF(AND(OR(L336="Résolu",L336="Clos"),R336=""),"Date de résolution manquante",IF(AND(L336="Clos",S336=""),"Date de clôture manquante",IF(AND(K336="Oui",AC336=""),"Classification DORA manquante","OK"))))))</f>
        <v/>
      </c>
      <c r="AO336" s="35" t="str">
        <f aca="false">IF($B336="","",IF(AND(C336="Incident",L336&lt;&gt;"Annulé"),1,0))</f>
        <v/>
      </c>
      <c r="AP336" s="35" t="str">
        <f aca="false">IF($B336="","",IF(AND(C336="Quasi-incident",L336&lt;&gt;"Annulé"),1,0))</f>
        <v/>
      </c>
      <c r="AQ336" s="35" t="str">
        <f aca="false">IF($B336="","",AO336+AP336)</f>
        <v/>
      </c>
      <c r="AR336" s="36" t="str">
        <f aca="false">IF(OR($B336="",J336=""),"",IFERROR(VALUE(LEFT(J336,1)),""))</f>
        <v/>
      </c>
      <c r="AS336" s="35" t="str">
        <f aca="false">IF(OR(AO336&lt;&gt;1,G336=""),"",IFERROR(IF(INDEX(L_SrcInterne,MATCH(G336,L_Sources,0))="Oui",1,0),""))</f>
        <v/>
      </c>
      <c r="AT336" s="37" t="str">
        <f aca="false">IF(AO336&lt;&gt;1,"",IFERROR(ROUND(IF(OR(N336="",O336=""),"",IF(O336&lt;N336,"",ROUND(((NETWORKDAYS(N336,O336,JoursFeries)-1)*(HFer-HOuv)+IF(NETWORKDAYS(O336,O336,JoursFeries),MEDIAN(MOD(O336,1),HFer,HOuv),HFer)-IF(NETWORKDAYS(N336,N336,JoursFeries),MEDIAN(MOD(N336,1),HFer,HOuv),HOuv))*24,4)))/HJour,4),""))</f>
        <v/>
      </c>
      <c r="AU336" s="37" t="str">
        <f aca="false">IF(AO336&lt;&gt;1,"",IF(OR(O336="",P336=""),"",IF(P336&lt;O336,"",ROUND(((NETWORKDAYS(O336,P336,JoursFeries)-1)*(HFer-HOuv)+IF(NETWORKDAYS(P336,P336,JoursFeries),MEDIAN(MOD(P336,1),HFer,HOuv),HFer)-IF(NETWORKDAYS(O336,O336,JoursFeries),MEDIAN(MOD(O336,1),HFer,HOuv),HOuv))*24,4))))</f>
        <v/>
      </c>
      <c r="AV336" s="37" t="str">
        <f aca="false">IF(AO336&lt;&gt;1,"",IF(OR(P336="",Q336=""),"",IF(Q336&lt;P336,"",ROUND(((NETWORKDAYS(P336,Q336,JoursFeries)-1)*(HFer-HOuv)+IF(NETWORKDAYS(Q336,Q336,JoursFeries),MEDIAN(MOD(Q336,1),HFer,HOuv),HFer)-IF(NETWORKDAYS(P336,P336,JoursFeries),MEDIAN(MOD(P336,1),HFer,HOuv),HOuv))*24,4))))</f>
        <v/>
      </c>
      <c r="AW336" s="37" t="str">
        <f aca="false">IF(AO336&lt;&gt;1,"",IFERROR(ROUND(IF(OR(P336="",R336=""),"",IF(R336&lt;P336,"",ROUND(((NETWORKDAYS(P336,R336,JoursFeries)-1)*(HFer-HOuv)+IF(NETWORKDAYS(R336,R336,JoursFeries),MEDIAN(MOD(R336,1),HFer,HOuv),HFer)-IF(NETWORKDAYS(P336,P336,JoursFeries),MEDIAN(MOD(P336,1),HFer,HOuv),HOuv))*24,4)))/HJour,4),""))</f>
        <v/>
      </c>
      <c r="AX336" s="37" t="str">
        <f aca="false">IF(AO336&lt;&gt;1,"",IFERROR(ROUND(IF(OR(P336="",S336=""),"",IF(S336&lt;P336,"",ROUND(((NETWORKDAYS(P336,S336,JoursFeries)-1)*(HFer-HOuv)+IF(NETWORKDAYS(S336,S336,JoursFeries),MEDIAN(MOD(S336,1),HFer,HOuv),HFer)-IF(NETWORKDAYS(P336,P336,JoursFeries),MEDIAN(MOD(P336,1),HFer,HOuv),HOuv))*24,4)))/HJour,4),""))</f>
        <v/>
      </c>
      <c r="AY336" s="36" t="str">
        <f aca="false">IF(OR(AO336&lt;&gt;1,AR336=""),"",INDEX(SLA_PEC,AR336))</f>
        <v/>
      </c>
      <c r="AZ336" s="35" t="str">
        <f aca="false">IF(OR(AV336="",AY336=""),"",IF(AV336&lt;=AY336,1,0))</f>
        <v/>
      </c>
      <c r="BA336" s="36" t="str">
        <f aca="false">IF(OR(AO336&lt;&gt;1,AR336=""),"",INDEX(SLA_RES,AR336))</f>
        <v/>
      </c>
      <c r="BB336" s="35" t="str">
        <f aca="false">IF(OR(AW336="",BA336=""),"",IF(AW336&lt;=BA336,1,0))</f>
        <v/>
      </c>
      <c r="BC336" s="38" t="str">
        <f aca="false">IF(OR(BA336="",P336=""),"",WORKDAY(INT(P336),BA336,JoursFeries)+MOD(P336,1))</f>
        <v/>
      </c>
      <c r="BD336" s="39" t="str">
        <f aca="false">IF(AO336&lt;&gt;1,"",IF(OR(AB336&lt;&gt;"",AD336&lt;&gt;""),4,IF(U336&lt;&gt;"",3,IF(T336&lt;&gt;"",2,1))))</f>
        <v/>
      </c>
      <c r="BE336" s="39" t="str">
        <f aca="false">IF(OR(AO336&lt;&gt;1,AR336=""),"",INDEX(NIV_REQ,AR336))</f>
        <v/>
      </c>
      <c r="BF336" s="39" t="str">
        <f aca="false">IF(BE336="","",MAX(BE336,IF(OR(K336="Oui",Z336="Oui"),4,1)))</f>
        <v/>
      </c>
      <c r="BG336" s="35" t="str">
        <f aca="false">IF(OR(BF336="",BD336=""),"",IF(BD336&gt;=BF336,1,0))</f>
        <v/>
      </c>
      <c r="BH336" s="38" t="str">
        <f aca="false">IF(BE336="","",IF(BE336&lt;2,"",IF(BE336=2,IF(AND(T336="",U336=""),"",MIN(T336,U336)),IF(U336="","",U336))))</f>
        <v/>
      </c>
      <c r="BI336" s="37" t="str">
        <f aca="false">IF(BH336="","",IF(OR(O336="",BH336=""),"",IF(BH336&lt;O336,"",ROUND(((NETWORKDAYS(O336,BH336,JoursFeries)-1)*(HFer-HOuv)+IF(NETWORKDAYS(BH336,BH336,JoursFeries),MEDIAN(MOD(BH336,1),HFer,HOuv),HFer)-IF(NETWORKDAYS(O336,O336,JoursFeries),MEDIAN(MOD(O336,1),HFer,HOuv),HOuv))*24,4))))</f>
        <v/>
      </c>
      <c r="BJ336" s="35" t="str">
        <f aca="false">IF(OR(BI336="",AR336=""),"",IF(BI336&lt;=INDEX(DELAI_ESC,AR336),1,0))</f>
        <v/>
      </c>
      <c r="BK336" s="38" t="str">
        <f aca="false">IF(AO336&lt;&gt;1,"",IF(AND(T336="",U336=""),"",MIN(T336,U336)))</f>
        <v/>
      </c>
      <c r="BL336" s="37" t="str">
        <f aca="false">IF(OR(BK336="",R336=""),"",IFERROR(ROUND(IF(OR(BK336="",R336=""),"",IF(R336&lt;BK336,"",ROUND(((NETWORKDAYS(BK336,R336,JoursFeries)-1)*(HFer-HOuv)+IF(NETWORKDAYS(R336,R336,JoursFeries),MEDIAN(MOD(R336,1),HFer,HOuv),HFer)-IF(NETWORKDAYS(BK336,BK336,JoursFeries),MEDIAN(MOD(BK336,1),HFer,HOuv),HOuv))*24,4)))/HJour,4),""))</f>
        <v/>
      </c>
      <c r="BM336" s="35" t="str">
        <f aca="false">IF(OR(AO336&lt;&gt;1,R336=""),"",IF(BD336=1,1,0))</f>
        <v/>
      </c>
      <c r="BN336" s="35" t="str">
        <f aca="false">IF(AO336&lt;&gt;1,"",IF(W336="Oui",1,0))</f>
        <v/>
      </c>
      <c r="BO336" s="35" t="str">
        <f aca="false">IF(AO336&lt;&gt;1,"",IF(X336&lt;&gt;"",1,0))</f>
        <v/>
      </c>
      <c r="BP336" s="35" t="str">
        <f aca="false">IF(AO336&lt;&gt;1,"",IF(Y336="Oui",1,0))</f>
        <v/>
      </c>
      <c r="BQ336" s="35" t="str">
        <f aca="true">IF(OR(AO336&lt;&gt;1,Z336&lt;&gt;"Oui"),"",IF(AB336="",IF(AND(AA336&lt;&gt;"",NOW()&gt;AA336),0,""),IF(AA336="","",IF(AB336&lt;=AA336,1,0))))</f>
        <v/>
      </c>
      <c r="BR336" s="38" t="str">
        <f aca="false">IF(OR(AO336&lt;&gt;1,K336&lt;&gt;"Oui",O336=""),"",IF(AC336="",O336+DORA_H_DET/24,IF(AC336-O336&lt;=DORA_H_DET/24,MIN(AC336+DORA_H_CLA/24,O336+DORA_H_DET/24),AC336+DORA_H_CLA/24)))</f>
        <v/>
      </c>
      <c r="BS336" s="35" t="str">
        <f aca="true">IF(BR336="","",IF(AD336="",IF(NOW()&gt;BR336,0,""),IF(AD336&lt;=BR336,1,0)))</f>
        <v/>
      </c>
      <c r="BT336" s="35" t="str">
        <f aca="true">IF(OR(BR336="",AD336=""),"",IF(AE336="",IF(NOW()&gt;AD336+DORA_H_INT/24,0,""),IF(AE336&lt;=AD336+DORA_H_INT/24,1,0)))</f>
        <v/>
      </c>
      <c r="BU336" s="35" t="str">
        <f aca="true">IF(OR(BR336="",AE336=""),"",IF(AF336="",IF(NOW()&gt;EDATE(AE336,DORA_M_FIN)+1,0,""),IF(AF336&lt;=EDATE(AE336,DORA_M_FIN),1,0)))</f>
        <v/>
      </c>
      <c r="BV336" s="35" t="str">
        <f aca="false">IF(BR336="","",IF(COUNT(BS336:BU336)=0,"",MIN(BS336:BU336)))</f>
        <v/>
      </c>
      <c r="BW336" s="40" t="str">
        <f aca="false">IF(AQ336&lt;&gt;1,"",IF(AND(AG336="",AH336=""),"",N(AG336)-N(AH336)))</f>
        <v/>
      </c>
      <c r="BX336" s="35" t="str">
        <f aca="true">IF(OR(AQ336&lt;&gt;1,AI336&lt;&gt;"Oui",AJ336=""),"",IF(AK336="",IF(NOW()&gt;AJ336+1,0,""),IF(AK336&lt;=AJ336,1,0)))</f>
        <v/>
      </c>
    </row>
    <row r="337" customFormat="false" ht="15" hidden="false" customHeight="false" outlineLevel="0" collapsed="false">
      <c r="B337" s="29"/>
      <c r="C337" s="29"/>
      <c r="D337" s="29"/>
      <c r="E337" s="29"/>
      <c r="F337" s="29"/>
      <c r="G337" s="29"/>
      <c r="H337" s="29"/>
      <c r="I337" s="29"/>
      <c r="J337" s="29"/>
      <c r="K337" s="29"/>
      <c r="L337" s="29"/>
      <c r="M337" s="29"/>
      <c r="N337" s="30"/>
      <c r="O337" s="30"/>
      <c r="P337" s="30"/>
      <c r="Q337" s="30"/>
      <c r="R337" s="30"/>
      <c r="S337" s="30"/>
      <c r="T337" s="30"/>
      <c r="U337" s="30"/>
      <c r="V337" s="31"/>
      <c r="W337" s="29"/>
      <c r="X337" s="29"/>
      <c r="Y337" s="29"/>
      <c r="Z337" s="29"/>
      <c r="AA337" s="30"/>
      <c r="AB337" s="30"/>
      <c r="AC337" s="30"/>
      <c r="AD337" s="30"/>
      <c r="AE337" s="30"/>
      <c r="AF337" s="32"/>
      <c r="AG337" s="33"/>
      <c r="AH337" s="33"/>
      <c r="AI337" s="29"/>
      <c r="AJ337" s="32"/>
      <c r="AK337" s="32"/>
      <c r="AL337" s="29"/>
      <c r="AN337" s="34" t="str">
        <f aca="false">IF($B337="","",IF(OR(C337="",D337="",E337="",G337="",I337="",J337="",L337="",O337="",P337=""),"Champ obligatoire manquant",IF(OR(AND(N337&lt;&gt;"",N337&gt;O337),O337&gt;P337,AND(Q337&lt;&gt;"",Q337&lt;P337),AND(R337&lt;&gt;"",R337&lt;P337),AND(S337&lt;&gt;"",S337&lt;R337),AND(S337&lt;&gt;"",R337=""),AND(T337&lt;&gt;"",T337&lt;O337),AND(U337&lt;&gt;"",U337&lt;O337)),"Chronologie incohérente",IF(AND(OR(L337="Résolu",L337="Clos"),R337=""),"Date de résolution manquante",IF(AND(L337="Clos",S337=""),"Date de clôture manquante",IF(AND(K337="Oui",AC337=""),"Classification DORA manquante","OK"))))))</f>
        <v/>
      </c>
      <c r="AO337" s="35" t="str">
        <f aca="false">IF($B337="","",IF(AND(C337="Incident",L337&lt;&gt;"Annulé"),1,0))</f>
        <v/>
      </c>
      <c r="AP337" s="35" t="str">
        <f aca="false">IF($B337="","",IF(AND(C337="Quasi-incident",L337&lt;&gt;"Annulé"),1,0))</f>
        <v/>
      </c>
      <c r="AQ337" s="35" t="str">
        <f aca="false">IF($B337="","",AO337+AP337)</f>
        <v/>
      </c>
      <c r="AR337" s="36" t="str">
        <f aca="false">IF(OR($B337="",J337=""),"",IFERROR(VALUE(LEFT(J337,1)),""))</f>
        <v/>
      </c>
      <c r="AS337" s="35" t="str">
        <f aca="false">IF(OR(AO337&lt;&gt;1,G337=""),"",IFERROR(IF(INDEX(L_SrcInterne,MATCH(G337,L_Sources,0))="Oui",1,0),""))</f>
        <v/>
      </c>
      <c r="AT337" s="37" t="str">
        <f aca="false">IF(AO337&lt;&gt;1,"",IFERROR(ROUND(IF(OR(N337="",O337=""),"",IF(O337&lt;N337,"",ROUND(((NETWORKDAYS(N337,O337,JoursFeries)-1)*(HFer-HOuv)+IF(NETWORKDAYS(O337,O337,JoursFeries),MEDIAN(MOD(O337,1),HFer,HOuv),HFer)-IF(NETWORKDAYS(N337,N337,JoursFeries),MEDIAN(MOD(N337,1),HFer,HOuv),HOuv))*24,4)))/HJour,4),""))</f>
        <v/>
      </c>
      <c r="AU337" s="37" t="str">
        <f aca="false">IF(AO337&lt;&gt;1,"",IF(OR(O337="",P337=""),"",IF(P337&lt;O337,"",ROUND(((NETWORKDAYS(O337,P337,JoursFeries)-1)*(HFer-HOuv)+IF(NETWORKDAYS(P337,P337,JoursFeries),MEDIAN(MOD(P337,1),HFer,HOuv),HFer)-IF(NETWORKDAYS(O337,O337,JoursFeries),MEDIAN(MOD(O337,1),HFer,HOuv),HOuv))*24,4))))</f>
        <v/>
      </c>
      <c r="AV337" s="37" t="str">
        <f aca="false">IF(AO337&lt;&gt;1,"",IF(OR(P337="",Q337=""),"",IF(Q337&lt;P337,"",ROUND(((NETWORKDAYS(P337,Q337,JoursFeries)-1)*(HFer-HOuv)+IF(NETWORKDAYS(Q337,Q337,JoursFeries),MEDIAN(MOD(Q337,1),HFer,HOuv),HFer)-IF(NETWORKDAYS(P337,P337,JoursFeries),MEDIAN(MOD(P337,1),HFer,HOuv),HOuv))*24,4))))</f>
        <v/>
      </c>
      <c r="AW337" s="37" t="str">
        <f aca="false">IF(AO337&lt;&gt;1,"",IFERROR(ROUND(IF(OR(P337="",R337=""),"",IF(R337&lt;P337,"",ROUND(((NETWORKDAYS(P337,R337,JoursFeries)-1)*(HFer-HOuv)+IF(NETWORKDAYS(R337,R337,JoursFeries),MEDIAN(MOD(R337,1),HFer,HOuv),HFer)-IF(NETWORKDAYS(P337,P337,JoursFeries),MEDIAN(MOD(P337,1),HFer,HOuv),HOuv))*24,4)))/HJour,4),""))</f>
        <v/>
      </c>
      <c r="AX337" s="37" t="str">
        <f aca="false">IF(AO337&lt;&gt;1,"",IFERROR(ROUND(IF(OR(P337="",S337=""),"",IF(S337&lt;P337,"",ROUND(((NETWORKDAYS(P337,S337,JoursFeries)-1)*(HFer-HOuv)+IF(NETWORKDAYS(S337,S337,JoursFeries),MEDIAN(MOD(S337,1),HFer,HOuv),HFer)-IF(NETWORKDAYS(P337,P337,JoursFeries),MEDIAN(MOD(P337,1),HFer,HOuv),HOuv))*24,4)))/HJour,4),""))</f>
        <v/>
      </c>
      <c r="AY337" s="36" t="str">
        <f aca="false">IF(OR(AO337&lt;&gt;1,AR337=""),"",INDEX(SLA_PEC,AR337))</f>
        <v/>
      </c>
      <c r="AZ337" s="35" t="str">
        <f aca="false">IF(OR(AV337="",AY337=""),"",IF(AV337&lt;=AY337,1,0))</f>
        <v/>
      </c>
      <c r="BA337" s="36" t="str">
        <f aca="false">IF(OR(AO337&lt;&gt;1,AR337=""),"",INDEX(SLA_RES,AR337))</f>
        <v/>
      </c>
      <c r="BB337" s="35" t="str">
        <f aca="false">IF(OR(AW337="",BA337=""),"",IF(AW337&lt;=BA337,1,0))</f>
        <v/>
      </c>
      <c r="BC337" s="38" t="str">
        <f aca="false">IF(OR(BA337="",P337=""),"",WORKDAY(INT(P337),BA337,JoursFeries)+MOD(P337,1))</f>
        <v/>
      </c>
      <c r="BD337" s="39" t="str">
        <f aca="false">IF(AO337&lt;&gt;1,"",IF(OR(AB337&lt;&gt;"",AD337&lt;&gt;""),4,IF(U337&lt;&gt;"",3,IF(T337&lt;&gt;"",2,1))))</f>
        <v/>
      </c>
      <c r="BE337" s="39" t="str">
        <f aca="false">IF(OR(AO337&lt;&gt;1,AR337=""),"",INDEX(NIV_REQ,AR337))</f>
        <v/>
      </c>
      <c r="BF337" s="39" t="str">
        <f aca="false">IF(BE337="","",MAX(BE337,IF(OR(K337="Oui",Z337="Oui"),4,1)))</f>
        <v/>
      </c>
      <c r="BG337" s="35" t="str">
        <f aca="false">IF(OR(BF337="",BD337=""),"",IF(BD337&gt;=BF337,1,0))</f>
        <v/>
      </c>
      <c r="BH337" s="38" t="str">
        <f aca="false">IF(BE337="","",IF(BE337&lt;2,"",IF(BE337=2,IF(AND(T337="",U337=""),"",MIN(T337,U337)),IF(U337="","",U337))))</f>
        <v/>
      </c>
      <c r="BI337" s="37" t="str">
        <f aca="false">IF(BH337="","",IF(OR(O337="",BH337=""),"",IF(BH337&lt;O337,"",ROUND(((NETWORKDAYS(O337,BH337,JoursFeries)-1)*(HFer-HOuv)+IF(NETWORKDAYS(BH337,BH337,JoursFeries),MEDIAN(MOD(BH337,1),HFer,HOuv),HFer)-IF(NETWORKDAYS(O337,O337,JoursFeries),MEDIAN(MOD(O337,1),HFer,HOuv),HOuv))*24,4))))</f>
        <v/>
      </c>
      <c r="BJ337" s="35" t="str">
        <f aca="false">IF(OR(BI337="",AR337=""),"",IF(BI337&lt;=INDEX(DELAI_ESC,AR337),1,0))</f>
        <v/>
      </c>
      <c r="BK337" s="38" t="str">
        <f aca="false">IF(AO337&lt;&gt;1,"",IF(AND(T337="",U337=""),"",MIN(T337,U337)))</f>
        <v/>
      </c>
      <c r="BL337" s="37" t="str">
        <f aca="false">IF(OR(BK337="",R337=""),"",IFERROR(ROUND(IF(OR(BK337="",R337=""),"",IF(R337&lt;BK337,"",ROUND(((NETWORKDAYS(BK337,R337,JoursFeries)-1)*(HFer-HOuv)+IF(NETWORKDAYS(R337,R337,JoursFeries),MEDIAN(MOD(R337,1),HFer,HOuv),HFer)-IF(NETWORKDAYS(BK337,BK337,JoursFeries),MEDIAN(MOD(BK337,1),HFer,HOuv),HOuv))*24,4)))/HJour,4),""))</f>
        <v/>
      </c>
      <c r="BM337" s="35" t="str">
        <f aca="false">IF(OR(AO337&lt;&gt;1,R337=""),"",IF(BD337=1,1,0))</f>
        <v/>
      </c>
      <c r="BN337" s="35" t="str">
        <f aca="false">IF(AO337&lt;&gt;1,"",IF(W337="Oui",1,0))</f>
        <v/>
      </c>
      <c r="BO337" s="35" t="str">
        <f aca="false">IF(AO337&lt;&gt;1,"",IF(X337&lt;&gt;"",1,0))</f>
        <v/>
      </c>
      <c r="BP337" s="35" t="str">
        <f aca="false">IF(AO337&lt;&gt;1,"",IF(Y337="Oui",1,0))</f>
        <v/>
      </c>
      <c r="BQ337" s="35" t="str">
        <f aca="true">IF(OR(AO337&lt;&gt;1,Z337&lt;&gt;"Oui"),"",IF(AB337="",IF(AND(AA337&lt;&gt;"",NOW()&gt;AA337),0,""),IF(AA337="","",IF(AB337&lt;=AA337,1,0))))</f>
        <v/>
      </c>
      <c r="BR337" s="38" t="str">
        <f aca="false">IF(OR(AO337&lt;&gt;1,K337&lt;&gt;"Oui",O337=""),"",IF(AC337="",O337+DORA_H_DET/24,IF(AC337-O337&lt;=DORA_H_DET/24,MIN(AC337+DORA_H_CLA/24,O337+DORA_H_DET/24),AC337+DORA_H_CLA/24)))</f>
        <v/>
      </c>
      <c r="BS337" s="35" t="str">
        <f aca="true">IF(BR337="","",IF(AD337="",IF(NOW()&gt;BR337,0,""),IF(AD337&lt;=BR337,1,0)))</f>
        <v/>
      </c>
      <c r="BT337" s="35" t="str">
        <f aca="true">IF(OR(BR337="",AD337=""),"",IF(AE337="",IF(NOW()&gt;AD337+DORA_H_INT/24,0,""),IF(AE337&lt;=AD337+DORA_H_INT/24,1,0)))</f>
        <v/>
      </c>
      <c r="BU337" s="35" t="str">
        <f aca="true">IF(OR(BR337="",AE337=""),"",IF(AF337="",IF(NOW()&gt;EDATE(AE337,DORA_M_FIN)+1,0,""),IF(AF337&lt;=EDATE(AE337,DORA_M_FIN),1,0)))</f>
        <v/>
      </c>
      <c r="BV337" s="35" t="str">
        <f aca="false">IF(BR337="","",IF(COUNT(BS337:BU337)=0,"",MIN(BS337:BU337)))</f>
        <v/>
      </c>
      <c r="BW337" s="40" t="str">
        <f aca="false">IF(AQ337&lt;&gt;1,"",IF(AND(AG337="",AH337=""),"",N(AG337)-N(AH337)))</f>
        <v/>
      </c>
      <c r="BX337" s="35" t="str">
        <f aca="true">IF(OR(AQ337&lt;&gt;1,AI337&lt;&gt;"Oui",AJ337=""),"",IF(AK337="",IF(NOW()&gt;AJ337+1,0,""),IF(AK337&lt;=AJ337,1,0)))</f>
        <v/>
      </c>
    </row>
    <row r="338" customFormat="false" ht="15" hidden="false" customHeight="false" outlineLevel="0" collapsed="false">
      <c r="B338" s="29"/>
      <c r="C338" s="29"/>
      <c r="D338" s="29"/>
      <c r="E338" s="29"/>
      <c r="F338" s="29"/>
      <c r="G338" s="29"/>
      <c r="H338" s="29"/>
      <c r="I338" s="29"/>
      <c r="J338" s="29"/>
      <c r="K338" s="29"/>
      <c r="L338" s="29"/>
      <c r="M338" s="29"/>
      <c r="N338" s="30"/>
      <c r="O338" s="30"/>
      <c r="P338" s="30"/>
      <c r="Q338" s="30"/>
      <c r="R338" s="30"/>
      <c r="S338" s="30"/>
      <c r="T338" s="30"/>
      <c r="U338" s="30"/>
      <c r="V338" s="31"/>
      <c r="W338" s="29"/>
      <c r="X338" s="29"/>
      <c r="Y338" s="29"/>
      <c r="Z338" s="29"/>
      <c r="AA338" s="30"/>
      <c r="AB338" s="30"/>
      <c r="AC338" s="30"/>
      <c r="AD338" s="30"/>
      <c r="AE338" s="30"/>
      <c r="AF338" s="32"/>
      <c r="AG338" s="33"/>
      <c r="AH338" s="33"/>
      <c r="AI338" s="29"/>
      <c r="AJ338" s="32"/>
      <c r="AK338" s="32"/>
      <c r="AL338" s="29"/>
      <c r="AN338" s="34" t="str">
        <f aca="false">IF($B338="","",IF(OR(C338="",D338="",E338="",G338="",I338="",J338="",L338="",O338="",P338=""),"Champ obligatoire manquant",IF(OR(AND(N338&lt;&gt;"",N338&gt;O338),O338&gt;P338,AND(Q338&lt;&gt;"",Q338&lt;P338),AND(R338&lt;&gt;"",R338&lt;P338),AND(S338&lt;&gt;"",S338&lt;R338),AND(S338&lt;&gt;"",R338=""),AND(T338&lt;&gt;"",T338&lt;O338),AND(U338&lt;&gt;"",U338&lt;O338)),"Chronologie incohérente",IF(AND(OR(L338="Résolu",L338="Clos"),R338=""),"Date de résolution manquante",IF(AND(L338="Clos",S338=""),"Date de clôture manquante",IF(AND(K338="Oui",AC338=""),"Classification DORA manquante","OK"))))))</f>
        <v/>
      </c>
      <c r="AO338" s="35" t="str">
        <f aca="false">IF($B338="","",IF(AND(C338="Incident",L338&lt;&gt;"Annulé"),1,0))</f>
        <v/>
      </c>
      <c r="AP338" s="35" t="str">
        <f aca="false">IF($B338="","",IF(AND(C338="Quasi-incident",L338&lt;&gt;"Annulé"),1,0))</f>
        <v/>
      </c>
      <c r="AQ338" s="35" t="str">
        <f aca="false">IF($B338="","",AO338+AP338)</f>
        <v/>
      </c>
      <c r="AR338" s="36" t="str">
        <f aca="false">IF(OR($B338="",J338=""),"",IFERROR(VALUE(LEFT(J338,1)),""))</f>
        <v/>
      </c>
      <c r="AS338" s="35" t="str">
        <f aca="false">IF(OR(AO338&lt;&gt;1,G338=""),"",IFERROR(IF(INDEX(L_SrcInterne,MATCH(G338,L_Sources,0))="Oui",1,0),""))</f>
        <v/>
      </c>
      <c r="AT338" s="37" t="str">
        <f aca="false">IF(AO338&lt;&gt;1,"",IFERROR(ROUND(IF(OR(N338="",O338=""),"",IF(O338&lt;N338,"",ROUND(((NETWORKDAYS(N338,O338,JoursFeries)-1)*(HFer-HOuv)+IF(NETWORKDAYS(O338,O338,JoursFeries),MEDIAN(MOD(O338,1),HFer,HOuv),HFer)-IF(NETWORKDAYS(N338,N338,JoursFeries),MEDIAN(MOD(N338,1),HFer,HOuv),HOuv))*24,4)))/HJour,4),""))</f>
        <v/>
      </c>
      <c r="AU338" s="37" t="str">
        <f aca="false">IF(AO338&lt;&gt;1,"",IF(OR(O338="",P338=""),"",IF(P338&lt;O338,"",ROUND(((NETWORKDAYS(O338,P338,JoursFeries)-1)*(HFer-HOuv)+IF(NETWORKDAYS(P338,P338,JoursFeries),MEDIAN(MOD(P338,1),HFer,HOuv),HFer)-IF(NETWORKDAYS(O338,O338,JoursFeries),MEDIAN(MOD(O338,1),HFer,HOuv),HOuv))*24,4))))</f>
        <v/>
      </c>
      <c r="AV338" s="37" t="str">
        <f aca="false">IF(AO338&lt;&gt;1,"",IF(OR(P338="",Q338=""),"",IF(Q338&lt;P338,"",ROUND(((NETWORKDAYS(P338,Q338,JoursFeries)-1)*(HFer-HOuv)+IF(NETWORKDAYS(Q338,Q338,JoursFeries),MEDIAN(MOD(Q338,1),HFer,HOuv),HFer)-IF(NETWORKDAYS(P338,P338,JoursFeries),MEDIAN(MOD(P338,1),HFer,HOuv),HOuv))*24,4))))</f>
        <v/>
      </c>
      <c r="AW338" s="37" t="str">
        <f aca="false">IF(AO338&lt;&gt;1,"",IFERROR(ROUND(IF(OR(P338="",R338=""),"",IF(R338&lt;P338,"",ROUND(((NETWORKDAYS(P338,R338,JoursFeries)-1)*(HFer-HOuv)+IF(NETWORKDAYS(R338,R338,JoursFeries),MEDIAN(MOD(R338,1),HFer,HOuv),HFer)-IF(NETWORKDAYS(P338,P338,JoursFeries),MEDIAN(MOD(P338,1),HFer,HOuv),HOuv))*24,4)))/HJour,4),""))</f>
        <v/>
      </c>
      <c r="AX338" s="37" t="str">
        <f aca="false">IF(AO338&lt;&gt;1,"",IFERROR(ROUND(IF(OR(P338="",S338=""),"",IF(S338&lt;P338,"",ROUND(((NETWORKDAYS(P338,S338,JoursFeries)-1)*(HFer-HOuv)+IF(NETWORKDAYS(S338,S338,JoursFeries),MEDIAN(MOD(S338,1),HFer,HOuv),HFer)-IF(NETWORKDAYS(P338,P338,JoursFeries),MEDIAN(MOD(P338,1),HFer,HOuv),HOuv))*24,4)))/HJour,4),""))</f>
        <v/>
      </c>
      <c r="AY338" s="36" t="str">
        <f aca="false">IF(OR(AO338&lt;&gt;1,AR338=""),"",INDEX(SLA_PEC,AR338))</f>
        <v/>
      </c>
      <c r="AZ338" s="35" t="str">
        <f aca="false">IF(OR(AV338="",AY338=""),"",IF(AV338&lt;=AY338,1,0))</f>
        <v/>
      </c>
      <c r="BA338" s="36" t="str">
        <f aca="false">IF(OR(AO338&lt;&gt;1,AR338=""),"",INDEX(SLA_RES,AR338))</f>
        <v/>
      </c>
      <c r="BB338" s="35" t="str">
        <f aca="false">IF(OR(AW338="",BA338=""),"",IF(AW338&lt;=BA338,1,0))</f>
        <v/>
      </c>
      <c r="BC338" s="38" t="str">
        <f aca="false">IF(OR(BA338="",P338=""),"",WORKDAY(INT(P338),BA338,JoursFeries)+MOD(P338,1))</f>
        <v/>
      </c>
      <c r="BD338" s="39" t="str">
        <f aca="false">IF(AO338&lt;&gt;1,"",IF(OR(AB338&lt;&gt;"",AD338&lt;&gt;""),4,IF(U338&lt;&gt;"",3,IF(T338&lt;&gt;"",2,1))))</f>
        <v/>
      </c>
      <c r="BE338" s="39" t="str">
        <f aca="false">IF(OR(AO338&lt;&gt;1,AR338=""),"",INDEX(NIV_REQ,AR338))</f>
        <v/>
      </c>
      <c r="BF338" s="39" t="str">
        <f aca="false">IF(BE338="","",MAX(BE338,IF(OR(K338="Oui",Z338="Oui"),4,1)))</f>
        <v/>
      </c>
      <c r="BG338" s="35" t="str">
        <f aca="false">IF(OR(BF338="",BD338=""),"",IF(BD338&gt;=BF338,1,0))</f>
        <v/>
      </c>
      <c r="BH338" s="38" t="str">
        <f aca="false">IF(BE338="","",IF(BE338&lt;2,"",IF(BE338=2,IF(AND(T338="",U338=""),"",MIN(T338,U338)),IF(U338="","",U338))))</f>
        <v/>
      </c>
      <c r="BI338" s="37" t="str">
        <f aca="false">IF(BH338="","",IF(OR(O338="",BH338=""),"",IF(BH338&lt;O338,"",ROUND(((NETWORKDAYS(O338,BH338,JoursFeries)-1)*(HFer-HOuv)+IF(NETWORKDAYS(BH338,BH338,JoursFeries),MEDIAN(MOD(BH338,1),HFer,HOuv),HFer)-IF(NETWORKDAYS(O338,O338,JoursFeries),MEDIAN(MOD(O338,1),HFer,HOuv),HOuv))*24,4))))</f>
        <v/>
      </c>
      <c r="BJ338" s="35" t="str">
        <f aca="false">IF(OR(BI338="",AR338=""),"",IF(BI338&lt;=INDEX(DELAI_ESC,AR338),1,0))</f>
        <v/>
      </c>
      <c r="BK338" s="38" t="str">
        <f aca="false">IF(AO338&lt;&gt;1,"",IF(AND(T338="",U338=""),"",MIN(T338,U338)))</f>
        <v/>
      </c>
      <c r="BL338" s="37" t="str">
        <f aca="false">IF(OR(BK338="",R338=""),"",IFERROR(ROUND(IF(OR(BK338="",R338=""),"",IF(R338&lt;BK338,"",ROUND(((NETWORKDAYS(BK338,R338,JoursFeries)-1)*(HFer-HOuv)+IF(NETWORKDAYS(R338,R338,JoursFeries),MEDIAN(MOD(R338,1),HFer,HOuv),HFer)-IF(NETWORKDAYS(BK338,BK338,JoursFeries),MEDIAN(MOD(BK338,1),HFer,HOuv),HOuv))*24,4)))/HJour,4),""))</f>
        <v/>
      </c>
      <c r="BM338" s="35" t="str">
        <f aca="false">IF(OR(AO338&lt;&gt;1,R338=""),"",IF(BD338=1,1,0))</f>
        <v/>
      </c>
      <c r="BN338" s="35" t="str">
        <f aca="false">IF(AO338&lt;&gt;1,"",IF(W338="Oui",1,0))</f>
        <v/>
      </c>
      <c r="BO338" s="35" t="str">
        <f aca="false">IF(AO338&lt;&gt;1,"",IF(X338&lt;&gt;"",1,0))</f>
        <v/>
      </c>
      <c r="BP338" s="35" t="str">
        <f aca="false">IF(AO338&lt;&gt;1,"",IF(Y338="Oui",1,0))</f>
        <v/>
      </c>
      <c r="BQ338" s="35" t="str">
        <f aca="true">IF(OR(AO338&lt;&gt;1,Z338&lt;&gt;"Oui"),"",IF(AB338="",IF(AND(AA338&lt;&gt;"",NOW()&gt;AA338),0,""),IF(AA338="","",IF(AB338&lt;=AA338,1,0))))</f>
        <v/>
      </c>
      <c r="BR338" s="38" t="str">
        <f aca="false">IF(OR(AO338&lt;&gt;1,K338&lt;&gt;"Oui",O338=""),"",IF(AC338="",O338+DORA_H_DET/24,IF(AC338-O338&lt;=DORA_H_DET/24,MIN(AC338+DORA_H_CLA/24,O338+DORA_H_DET/24),AC338+DORA_H_CLA/24)))</f>
        <v/>
      </c>
      <c r="BS338" s="35" t="str">
        <f aca="true">IF(BR338="","",IF(AD338="",IF(NOW()&gt;BR338,0,""),IF(AD338&lt;=BR338,1,0)))</f>
        <v/>
      </c>
      <c r="BT338" s="35" t="str">
        <f aca="true">IF(OR(BR338="",AD338=""),"",IF(AE338="",IF(NOW()&gt;AD338+DORA_H_INT/24,0,""),IF(AE338&lt;=AD338+DORA_H_INT/24,1,0)))</f>
        <v/>
      </c>
      <c r="BU338" s="35" t="str">
        <f aca="true">IF(OR(BR338="",AE338=""),"",IF(AF338="",IF(NOW()&gt;EDATE(AE338,DORA_M_FIN)+1,0,""),IF(AF338&lt;=EDATE(AE338,DORA_M_FIN),1,0)))</f>
        <v/>
      </c>
      <c r="BV338" s="35" t="str">
        <f aca="false">IF(BR338="","",IF(COUNT(BS338:BU338)=0,"",MIN(BS338:BU338)))</f>
        <v/>
      </c>
      <c r="BW338" s="40" t="str">
        <f aca="false">IF(AQ338&lt;&gt;1,"",IF(AND(AG338="",AH338=""),"",N(AG338)-N(AH338)))</f>
        <v/>
      </c>
      <c r="BX338" s="35" t="str">
        <f aca="true">IF(OR(AQ338&lt;&gt;1,AI338&lt;&gt;"Oui",AJ338=""),"",IF(AK338="",IF(NOW()&gt;AJ338+1,0,""),IF(AK338&lt;=AJ338,1,0)))</f>
        <v/>
      </c>
    </row>
    <row r="339" customFormat="false" ht="15" hidden="false" customHeight="false" outlineLevel="0" collapsed="false">
      <c r="B339" s="29"/>
      <c r="C339" s="29"/>
      <c r="D339" s="29"/>
      <c r="E339" s="29"/>
      <c r="F339" s="29"/>
      <c r="G339" s="29"/>
      <c r="H339" s="29"/>
      <c r="I339" s="29"/>
      <c r="J339" s="29"/>
      <c r="K339" s="29"/>
      <c r="L339" s="29"/>
      <c r="M339" s="29"/>
      <c r="N339" s="30"/>
      <c r="O339" s="30"/>
      <c r="P339" s="30"/>
      <c r="Q339" s="30"/>
      <c r="R339" s="30"/>
      <c r="S339" s="30"/>
      <c r="T339" s="30"/>
      <c r="U339" s="30"/>
      <c r="V339" s="31"/>
      <c r="W339" s="29"/>
      <c r="X339" s="29"/>
      <c r="Y339" s="29"/>
      <c r="Z339" s="29"/>
      <c r="AA339" s="30"/>
      <c r="AB339" s="30"/>
      <c r="AC339" s="30"/>
      <c r="AD339" s="30"/>
      <c r="AE339" s="30"/>
      <c r="AF339" s="32"/>
      <c r="AG339" s="33"/>
      <c r="AH339" s="33"/>
      <c r="AI339" s="29"/>
      <c r="AJ339" s="32"/>
      <c r="AK339" s="32"/>
      <c r="AL339" s="29"/>
      <c r="AN339" s="34" t="str">
        <f aca="false">IF($B339="","",IF(OR(C339="",D339="",E339="",G339="",I339="",J339="",L339="",O339="",P339=""),"Champ obligatoire manquant",IF(OR(AND(N339&lt;&gt;"",N339&gt;O339),O339&gt;P339,AND(Q339&lt;&gt;"",Q339&lt;P339),AND(R339&lt;&gt;"",R339&lt;P339),AND(S339&lt;&gt;"",S339&lt;R339),AND(S339&lt;&gt;"",R339=""),AND(T339&lt;&gt;"",T339&lt;O339),AND(U339&lt;&gt;"",U339&lt;O339)),"Chronologie incohérente",IF(AND(OR(L339="Résolu",L339="Clos"),R339=""),"Date de résolution manquante",IF(AND(L339="Clos",S339=""),"Date de clôture manquante",IF(AND(K339="Oui",AC339=""),"Classification DORA manquante","OK"))))))</f>
        <v/>
      </c>
      <c r="AO339" s="35" t="str">
        <f aca="false">IF($B339="","",IF(AND(C339="Incident",L339&lt;&gt;"Annulé"),1,0))</f>
        <v/>
      </c>
      <c r="AP339" s="35" t="str">
        <f aca="false">IF($B339="","",IF(AND(C339="Quasi-incident",L339&lt;&gt;"Annulé"),1,0))</f>
        <v/>
      </c>
      <c r="AQ339" s="35" t="str">
        <f aca="false">IF($B339="","",AO339+AP339)</f>
        <v/>
      </c>
      <c r="AR339" s="36" t="str">
        <f aca="false">IF(OR($B339="",J339=""),"",IFERROR(VALUE(LEFT(J339,1)),""))</f>
        <v/>
      </c>
      <c r="AS339" s="35" t="str">
        <f aca="false">IF(OR(AO339&lt;&gt;1,G339=""),"",IFERROR(IF(INDEX(L_SrcInterne,MATCH(G339,L_Sources,0))="Oui",1,0),""))</f>
        <v/>
      </c>
      <c r="AT339" s="37" t="str">
        <f aca="false">IF(AO339&lt;&gt;1,"",IFERROR(ROUND(IF(OR(N339="",O339=""),"",IF(O339&lt;N339,"",ROUND(((NETWORKDAYS(N339,O339,JoursFeries)-1)*(HFer-HOuv)+IF(NETWORKDAYS(O339,O339,JoursFeries),MEDIAN(MOD(O339,1),HFer,HOuv),HFer)-IF(NETWORKDAYS(N339,N339,JoursFeries),MEDIAN(MOD(N339,1),HFer,HOuv),HOuv))*24,4)))/HJour,4),""))</f>
        <v/>
      </c>
      <c r="AU339" s="37" t="str">
        <f aca="false">IF(AO339&lt;&gt;1,"",IF(OR(O339="",P339=""),"",IF(P339&lt;O339,"",ROUND(((NETWORKDAYS(O339,P339,JoursFeries)-1)*(HFer-HOuv)+IF(NETWORKDAYS(P339,P339,JoursFeries),MEDIAN(MOD(P339,1),HFer,HOuv),HFer)-IF(NETWORKDAYS(O339,O339,JoursFeries),MEDIAN(MOD(O339,1),HFer,HOuv),HOuv))*24,4))))</f>
        <v/>
      </c>
      <c r="AV339" s="37" t="str">
        <f aca="false">IF(AO339&lt;&gt;1,"",IF(OR(P339="",Q339=""),"",IF(Q339&lt;P339,"",ROUND(((NETWORKDAYS(P339,Q339,JoursFeries)-1)*(HFer-HOuv)+IF(NETWORKDAYS(Q339,Q339,JoursFeries),MEDIAN(MOD(Q339,1),HFer,HOuv),HFer)-IF(NETWORKDAYS(P339,P339,JoursFeries),MEDIAN(MOD(P339,1),HFer,HOuv),HOuv))*24,4))))</f>
        <v/>
      </c>
      <c r="AW339" s="37" t="str">
        <f aca="false">IF(AO339&lt;&gt;1,"",IFERROR(ROUND(IF(OR(P339="",R339=""),"",IF(R339&lt;P339,"",ROUND(((NETWORKDAYS(P339,R339,JoursFeries)-1)*(HFer-HOuv)+IF(NETWORKDAYS(R339,R339,JoursFeries),MEDIAN(MOD(R339,1),HFer,HOuv),HFer)-IF(NETWORKDAYS(P339,P339,JoursFeries),MEDIAN(MOD(P339,1),HFer,HOuv),HOuv))*24,4)))/HJour,4),""))</f>
        <v/>
      </c>
      <c r="AX339" s="37" t="str">
        <f aca="false">IF(AO339&lt;&gt;1,"",IFERROR(ROUND(IF(OR(P339="",S339=""),"",IF(S339&lt;P339,"",ROUND(((NETWORKDAYS(P339,S339,JoursFeries)-1)*(HFer-HOuv)+IF(NETWORKDAYS(S339,S339,JoursFeries),MEDIAN(MOD(S339,1),HFer,HOuv),HFer)-IF(NETWORKDAYS(P339,P339,JoursFeries),MEDIAN(MOD(P339,1),HFer,HOuv),HOuv))*24,4)))/HJour,4),""))</f>
        <v/>
      </c>
      <c r="AY339" s="36" t="str">
        <f aca="false">IF(OR(AO339&lt;&gt;1,AR339=""),"",INDEX(SLA_PEC,AR339))</f>
        <v/>
      </c>
      <c r="AZ339" s="35" t="str">
        <f aca="false">IF(OR(AV339="",AY339=""),"",IF(AV339&lt;=AY339,1,0))</f>
        <v/>
      </c>
      <c r="BA339" s="36" t="str">
        <f aca="false">IF(OR(AO339&lt;&gt;1,AR339=""),"",INDEX(SLA_RES,AR339))</f>
        <v/>
      </c>
      <c r="BB339" s="35" t="str">
        <f aca="false">IF(OR(AW339="",BA339=""),"",IF(AW339&lt;=BA339,1,0))</f>
        <v/>
      </c>
      <c r="BC339" s="38" t="str">
        <f aca="false">IF(OR(BA339="",P339=""),"",WORKDAY(INT(P339),BA339,JoursFeries)+MOD(P339,1))</f>
        <v/>
      </c>
      <c r="BD339" s="39" t="str">
        <f aca="false">IF(AO339&lt;&gt;1,"",IF(OR(AB339&lt;&gt;"",AD339&lt;&gt;""),4,IF(U339&lt;&gt;"",3,IF(T339&lt;&gt;"",2,1))))</f>
        <v/>
      </c>
      <c r="BE339" s="39" t="str">
        <f aca="false">IF(OR(AO339&lt;&gt;1,AR339=""),"",INDEX(NIV_REQ,AR339))</f>
        <v/>
      </c>
      <c r="BF339" s="39" t="str">
        <f aca="false">IF(BE339="","",MAX(BE339,IF(OR(K339="Oui",Z339="Oui"),4,1)))</f>
        <v/>
      </c>
      <c r="BG339" s="35" t="str">
        <f aca="false">IF(OR(BF339="",BD339=""),"",IF(BD339&gt;=BF339,1,0))</f>
        <v/>
      </c>
      <c r="BH339" s="38" t="str">
        <f aca="false">IF(BE339="","",IF(BE339&lt;2,"",IF(BE339=2,IF(AND(T339="",U339=""),"",MIN(T339,U339)),IF(U339="","",U339))))</f>
        <v/>
      </c>
      <c r="BI339" s="37" t="str">
        <f aca="false">IF(BH339="","",IF(OR(O339="",BH339=""),"",IF(BH339&lt;O339,"",ROUND(((NETWORKDAYS(O339,BH339,JoursFeries)-1)*(HFer-HOuv)+IF(NETWORKDAYS(BH339,BH339,JoursFeries),MEDIAN(MOD(BH339,1),HFer,HOuv),HFer)-IF(NETWORKDAYS(O339,O339,JoursFeries),MEDIAN(MOD(O339,1),HFer,HOuv),HOuv))*24,4))))</f>
        <v/>
      </c>
      <c r="BJ339" s="35" t="str">
        <f aca="false">IF(OR(BI339="",AR339=""),"",IF(BI339&lt;=INDEX(DELAI_ESC,AR339),1,0))</f>
        <v/>
      </c>
      <c r="BK339" s="38" t="str">
        <f aca="false">IF(AO339&lt;&gt;1,"",IF(AND(T339="",U339=""),"",MIN(T339,U339)))</f>
        <v/>
      </c>
      <c r="BL339" s="37" t="str">
        <f aca="false">IF(OR(BK339="",R339=""),"",IFERROR(ROUND(IF(OR(BK339="",R339=""),"",IF(R339&lt;BK339,"",ROUND(((NETWORKDAYS(BK339,R339,JoursFeries)-1)*(HFer-HOuv)+IF(NETWORKDAYS(R339,R339,JoursFeries),MEDIAN(MOD(R339,1),HFer,HOuv),HFer)-IF(NETWORKDAYS(BK339,BK339,JoursFeries),MEDIAN(MOD(BK339,1),HFer,HOuv),HOuv))*24,4)))/HJour,4),""))</f>
        <v/>
      </c>
      <c r="BM339" s="35" t="str">
        <f aca="false">IF(OR(AO339&lt;&gt;1,R339=""),"",IF(BD339=1,1,0))</f>
        <v/>
      </c>
      <c r="BN339" s="35" t="str">
        <f aca="false">IF(AO339&lt;&gt;1,"",IF(W339="Oui",1,0))</f>
        <v/>
      </c>
      <c r="BO339" s="35" t="str">
        <f aca="false">IF(AO339&lt;&gt;1,"",IF(X339&lt;&gt;"",1,0))</f>
        <v/>
      </c>
      <c r="BP339" s="35" t="str">
        <f aca="false">IF(AO339&lt;&gt;1,"",IF(Y339="Oui",1,0))</f>
        <v/>
      </c>
      <c r="BQ339" s="35" t="str">
        <f aca="true">IF(OR(AO339&lt;&gt;1,Z339&lt;&gt;"Oui"),"",IF(AB339="",IF(AND(AA339&lt;&gt;"",NOW()&gt;AA339),0,""),IF(AA339="","",IF(AB339&lt;=AA339,1,0))))</f>
        <v/>
      </c>
      <c r="BR339" s="38" t="str">
        <f aca="false">IF(OR(AO339&lt;&gt;1,K339&lt;&gt;"Oui",O339=""),"",IF(AC339="",O339+DORA_H_DET/24,IF(AC339-O339&lt;=DORA_H_DET/24,MIN(AC339+DORA_H_CLA/24,O339+DORA_H_DET/24),AC339+DORA_H_CLA/24)))</f>
        <v/>
      </c>
      <c r="BS339" s="35" t="str">
        <f aca="true">IF(BR339="","",IF(AD339="",IF(NOW()&gt;BR339,0,""),IF(AD339&lt;=BR339,1,0)))</f>
        <v/>
      </c>
      <c r="BT339" s="35" t="str">
        <f aca="true">IF(OR(BR339="",AD339=""),"",IF(AE339="",IF(NOW()&gt;AD339+DORA_H_INT/24,0,""),IF(AE339&lt;=AD339+DORA_H_INT/24,1,0)))</f>
        <v/>
      </c>
      <c r="BU339" s="35" t="str">
        <f aca="true">IF(OR(BR339="",AE339=""),"",IF(AF339="",IF(NOW()&gt;EDATE(AE339,DORA_M_FIN)+1,0,""),IF(AF339&lt;=EDATE(AE339,DORA_M_FIN),1,0)))</f>
        <v/>
      </c>
      <c r="BV339" s="35" t="str">
        <f aca="false">IF(BR339="","",IF(COUNT(BS339:BU339)=0,"",MIN(BS339:BU339)))</f>
        <v/>
      </c>
      <c r="BW339" s="40" t="str">
        <f aca="false">IF(AQ339&lt;&gt;1,"",IF(AND(AG339="",AH339=""),"",N(AG339)-N(AH339)))</f>
        <v/>
      </c>
      <c r="BX339" s="35" t="str">
        <f aca="true">IF(OR(AQ339&lt;&gt;1,AI339&lt;&gt;"Oui",AJ339=""),"",IF(AK339="",IF(NOW()&gt;AJ339+1,0,""),IF(AK339&lt;=AJ339,1,0)))</f>
        <v/>
      </c>
    </row>
    <row r="340" customFormat="false" ht="15" hidden="false" customHeight="false" outlineLevel="0" collapsed="false">
      <c r="B340" s="29"/>
      <c r="C340" s="29"/>
      <c r="D340" s="29"/>
      <c r="E340" s="29"/>
      <c r="F340" s="29"/>
      <c r="G340" s="29"/>
      <c r="H340" s="29"/>
      <c r="I340" s="29"/>
      <c r="J340" s="29"/>
      <c r="K340" s="29"/>
      <c r="L340" s="29"/>
      <c r="M340" s="29"/>
      <c r="N340" s="30"/>
      <c r="O340" s="30"/>
      <c r="P340" s="30"/>
      <c r="Q340" s="30"/>
      <c r="R340" s="30"/>
      <c r="S340" s="30"/>
      <c r="T340" s="30"/>
      <c r="U340" s="30"/>
      <c r="V340" s="31"/>
      <c r="W340" s="29"/>
      <c r="X340" s="29"/>
      <c r="Y340" s="29"/>
      <c r="Z340" s="29"/>
      <c r="AA340" s="30"/>
      <c r="AB340" s="30"/>
      <c r="AC340" s="30"/>
      <c r="AD340" s="30"/>
      <c r="AE340" s="30"/>
      <c r="AF340" s="32"/>
      <c r="AG340" s="33"/>
      <c r="AH340" s="33"/>
      <c r="AI340" s="29"/>
      <c r="AJ340" s="32"/>
      <c r="AK340" s="32"/>
      <c r="AL340" s="29"/>
      <c r="AN340" s="34" t="str">
        <f aca="false">IF($B340="","",IF(OR(C340="",D340="",E340="",G340="",I340="",J340="",L340="",O340="",P340=""),"Champ obligatoire manquant",IF(OR(AND(N340&lt;&gt;"",N340&gt;O340),O340&gt;P340,AND(Q340&lt;&gt;"",Q340&lt;P340),AND(R340&lt;&gt;"",R340&lt;P340),AND(S340&lt;&gt;"",S340&lt;R340),AND(S340&lt;&gt;"",R340=""),AND(T340&lt;&gt;"",T340&lt;O340),AND(U340&lt;&gt;"",U340&lt;O340)),"Chronologie incohérente",IF(AND(OR(L340="Résolu",L340="Clos"),R340=""),"Date de résolution manquante",IF(AND(L340="Clos",S340=""),"Date de clôture manquante",IF(AND(K340="Oui",AC340=""),"Classification DORA manquante","OK"))))))</f>
        <v/>
      </c>
      <c r="AO340" s="35" t="str">
        <f aca="false">IF($B340="","",IF(AND(C340="Incident",L340&lt;&gt;"Annulé"),1,0))</f>
        <v/>
      </c>
      <c r="AP340" s="35" t="str">
        <f aca="false">IF($B340="","",IF(AND(C340="Quasi-incident",L340&lt;&gt;"Annulé"),1,0))</f>
        <v/>
      </c>
      <c r="AQ340" s="35" t="str">
        <f aca="false">IF($B340="","",AO340+AP340)</f>
        <v/>
      </c>
      <c r="AR340" s="36" t="str">
        <f aca="false">IF(OR($B340="",J340=""),"",IFERROR(VALUE(LEFT(J340,1)),""))</f>
        <v/>
      </c>
      <c r="AS340" s="35" t="str">
        <f aca="false">IF(OR(AO340&lt;&gt;1,G340=""),"",IFERROR(IF(INDEX(L_SrcInterne,MATCH(G340,L_Sources,0))="Oui",1,0),""))</f>
        <v/>
      </c>
      <c r="AT340" s="37" t="str">
        <f aca="false">IF(AO340&lt;&gt;1,"",IFERROR(ROUND(IF(OR(N340="",O340=""),"",IF(O340&lt;N340,"",ROUND(((NETWORKDAYS(N340,O340,JoursFeries)-1)*(HFer-HOuv)+IF(NETWORKDAYS(O340,O340,JoursFeries),MEDIAN(MOD(O340,1),HFer,HOuv),HFer)-IF(NETWORKDAYS(N340,N340,JoursFeries),MEDIAN(MOD(N340,1),HFer,HOuv),HOuv))*24,4)))/HJour,4),""))</f>
        <v/>
      </c>
      <c r="AU340" s="37" t="str">
        <f aca="false">IF(AO340&lt;&gt;1,"",IF(OR(O340="",P340=""),"",IF(P340&lt;O340,"",ROUND(((NETWORKDAYS(O340,P340,JoursFeries)-1)*(HFer-HOuv)+IF(NETWORKDAYS(P340,P340,JoursFeries),MEDIAN(MOD(P340,1),HFer,HOuv),HFer)-IF(NETWORKDAYS(O340,O340,JoursFeries),MEDIAN(MOD(O340,1),HFer,HOuv),HOuv))*24,4))))</f>
        <v/>
      </c>
      <c r="AV340" s="37" t="str">
        <f aca="false">IF(AO340&lt;&gt;1,"",IF(OR(P340="",Q340=""),"",IF(Q340&lt;P340,"",ROUND(((NETWORKDAYS(P340,Q340,JoursFeries)-1)*(HFer-HOuv)+IF(NETWORKDAYS(Q340,Q340,JoursFeries),MEDIAN(MOD(Q340,1),HFer,HOuv),HFer)-IF(NETWORKDAYS(P340,P340,JoursFeries),MEDIAN(MOD(P340,1),HFer,HOuv),HOuv))*24,4))))</f>
        <v/>
      </c>
      <c r="AW340" s="37" t="str">
        <f aca="false">IF(AO340&lt;&gt;1,"",IFERROR(ROUND(IF(OR(P340="",R340=""),"",IF(R340&lt;P340,"",ROUND(((NETWORKDAYS(P340,R340,JoursFeries)-1)*(HFer-HOuv)+IF(NETWORKDAYS(R340,R340,JoursFeries),MEDIAN(MOD(R340,1),HFer,HOuv),HFer)-IF(NETWORKDAYS(P340,P340,JoursFeries),MEDIAN(MOD(P340,1),HFer,HOuv),HOuv))*24,4)))/HJour,4),""))</f>
        <v/>
      </c>
      <c r="AX340" s="37" t="str">
        <f aca="false">IF(AO340&lt;&gt;1,"",IFERROR(ROUND(IF(OR(P340="",S340=""),"",IF(S340&lt;P340,"",ROUND(((NETWORKDAYS(P340,S340,JoursFeries)-1)*(HFer-HOuv)+IF(NETWORKDAYS(S340,S340,JoursFeries),MEDIAN(MOD(S340,1),HFer,HOuv),HFer)-IF(NETWORKDAYS(P340,P340,JoursFeries),MEDIAN(MOD(P340,1),HFer,HOuv),HOuv))*24,4)))/HJour,4),""))</f>
        <v/>
      </c>
      <c r="AY340" s="36" t="str">
        <f aca="false">IF(OR(AO340&lt;&gt;1,AR340=""),"",INDEX(SLA_PEC,AR340))</f>
        <v/>
      </c>
      <c r="AZ340" s="35" t="str">
        <f aca="false">IF(OR(AV340="",AY340=""),"",IF(AV340&lt;=AY340,1,0))</f>
        <v/>
      </c>
      <c r="BA340" s="36" t="str">
        <f aca="false">IF(OR(AO340&lt;&gt;1,AR340=""),"",INDEX(SLA_RES,AR340))</f>
        <v/>
      </c>
      <c r="BB340" s="35" t="str">
        <f aca="false">IF(OR(AW340="",BA340=""),"",IF(AW340&lt;=BA340,1,0))</f>
        <v/>
      </c>
      <c r="BC340" s="38" t="str">
        <f aca="false">IF(OR(BA340="",P340=""),"",WORKDAY(INT(P340),BA340,JoursFeries)+MOD(P340,1))</f>
        <v/>
      </c>
      <c r="BD340" s="39" t="str">
        <f aca="false">IF(AO340&lt;&gt;1,"",IF(OR(AB340&lt;&gt;"",AD340&lt;&gt;""),4,IF(U340&lt;&gt;"",3,IF(T340&lt;&gt;"",2,1))))</f>
        <v/>
      </c>
      <c r="BE340" s="39" t="str">
        <f aca="false">IF(OR(AO340&lt;&gt;1,AR340=""),"",INDEX(NIV_REQ,AR340))</f>
        <v/>
      </c>
      <c r="BF340" s="39" t="str">
        <f aca="false">IF(BE340="","",MAX(BE340,IF(OR(K340="Oui",Z340="Oui"),4,1)))</f>
        <v/>
      </c>
      <c r="BG340" s="35" t="str">
        <f aca="false">IF(OR(BF340="",BD340=""),"",IF(BD340&gt;=BF340,1,0))</f>
        <v/>
      </c>
      <c r="BH340" s="38" t="str">
        <f aca="false">IF(BE340="","",IF(BE340&lt;2,"",IF(BE340=2,IF(AND(T340="",U340=""),"",MIN(T340,U340)),IF(U340="","",U340))))</f>
        <v/>
      </c>
      <c r="BI340" s="37" t="str">
        <f aca="false">IF(BH340="","",IF(OR(O340="",BH340=""),"",IF(BH340&lt;O340,"",ROUND(((NETWORKDAYS(O340,BH340,JoursFeries)-1)*(HFer-HOuv)+IF(NETWORKDAYS(BH340,BH340,JoursFeries),MEDIAN(MOD(BH340,1),HFer,HOuv),HFer)-IF(NETWORKDAYS(O340,O340,JoursFeries),MEDIAN(MOD(O340,1),HFer,HOuv),HOuv))*24,4))))</f>
        <v/>
      </c>
      <c r="BJ340" s="35" t="str">
        <f aca="false">IF(OR(BI340="",AR340=""),"",IF(BI340&lt;=INDEX(DELAI_ESC,AR340),1,0))</f>
        <v/>
      </c>
      <c r="BK340" s="38" t="str">
        <f aca="false">IF(AO340&lt;&gt;1,"",IF(AND(T340="",U340=""),"",MIN(T340,U340)))</f>
        <v/>
      </c>
      <c r="BL340" s="37" t="str">
        <f aca="false">IF(OR(BK340="",R340=""),"",IFERROR(ROUND(IF(OR(BK340="",R340=""),"",IF(R340&lt;BK340,"",ROUND(((NETWORKDAYS(BK340,R340,JoursFeries)-1)*(HFer-HOuv)+IF(NETWORKDAYS(R340,R340,JoursFeries),MEDIAN(MOD(R340,1),HFer,HOuv),HFer)-IF(NETWORKDAYS(BK340,BK340,JoursFeries),MEDIAN(MOD(BK340,1),HFer,HOuv),HOuv))*24,4)))/HJour,4),""))</f>
        <v/>
      </c>
      <c r="BM340" s="35" t="str">
        <f aca="false">IF(OR(AO340&lt;&gt;1,R340=""),"",IF(BD340=1,1,0))</f>
        <v/>
      </c>
      <c r="BN340" s="35" t="str">
        <f aca="false">IF(AO340&lt;&gt;1,"",IF(W340="Oui",1,0))</f>
        <v/>
      </c>
      <c r="BO340" s="35" t="str">
        <f aca="false">IF(AO340&lt;&gt;1,"",IF(X340&lt;&gt;"",1,0))</f>
        <v/>
      </c>
      <c r="BP340" s="35" t="str">
        <f aca="false">IF(AO340&lt;&gt;1,"",IF(Y340="Oui",1,0))</f>
        <v/>
      </c>
      <c r="BQ340" s="35" t="str">
        <f aca="true">IF(OR(AO340&lt;&gt;1,Z340&lt;&gt;"Oui"),"",IF(AB340="",IF(AND(AA340&lt;&gt;"",NOW()&gt;AA340),0,""),IF(AA340="","",IF(AB340&lt;=AA340,1,0))))</f>
        <v/>
      </c>
      <c r="BR340" s="38" t="str">
        <f aca="false">IF(OR(AO340&lt;&gt;1,K340&lt;&gt;"Oui",O340=""),"",IF(AC340="",O340+DORA_H_DET/24,IF(AC340-O340&lt;=DORA_H_DET/24,MIN(AC340+DORA_H_CLA/24,O340+DORA_H_DET/24),AC340+DORA_H_CLA/24)))</f>
        <v/>
      </c>
      <c r="BS340" s="35" t="str">
        <f aca="true">IF(BR340="","",IF(AD340="",IF(NOW()&gt;BR340,0,""),IF(AD340&lt;=BR340,1,0)))</f>
        <v/>
      </c>
      <c r="BT340" s="35" t="str">
        <f aca="true">IF(OR(BR340="",AD340=""),"",IF(AE340="",IF(NOW()&gt;AD340+DORA_H_INT/24,0,""),IF(AE340&lt;=AD340+DORA_H_INT/24,1,0)))</f>
        <v/>
      </c>
      <c r="BU340" s="35" t="str">
        <f aca="true">IF(OR(BR340="",AE340=""),"",IF(AF340="",IF(NOW()&gt;EDATE(AE340,DORA_M_FIN)+1,0,""),IF(AF340&lt;=EDATE(AE340,DORA_M_FIN),1,0)))</f>
        <v/>
      </c>
      <c r="BV340" s="35" t="str">
        <f aca="false">IF(BR340="","",IF(COUNT(BS340:BU340)=0,"",MIN(BS340:BU340)))</f>
        <v/>
      </c>
      <c r="BW340" s="40" t="str">
        <f aca="false">IF(AQ340&lt;&gt;1,"",IF(AND(AG340="",AH340=""),"",N(AG340)-N(AH340)))</f>
        <v/>
      </c>
      <c r="BX340" s="35" t="str">
        <f aca="true">IF(OR(AQ340&lt;&gt;1,AI340&lt;&gt;"Oui",AJ340=""),"",IF(AK340="",IF(NOW()&gt;AJ340+1,0,""),IF(AK340&lt;=AJ340,1,0)))</f>
        <v/>
      </c>
    </row>
    <row r="341" customFormat="false" ht="15" hidden="false" customHeight="false" outlineLevel="0" collapsed="false">
      <c r="B341" s="29"/>
      <c r="C341" s="29"/>
      <c r="D341" s="29"/>
      <c r="E341" s="29"/>
      <c r="F341" s="29"/>
      <c r="G341" s="29"/>
      <c r="H341" s="29"/>
      <c r="I341" s="29"/>
      <c r="J341" s="29"/>
      <c r="K341" s="29"/>
      <c r="L341" s="29"/>
      <c r="M341" s="29"/>
      <c r="N341" s="30"/>
      <c r="O341" s="30"/>
      <c r="P341" s="30"/>
      <c r="Q341" s="30"/>
      <c r="R341" s="30"/>
      <c r="S341" s="30"/>
      <c r="T341" s="30"/>
      <c r="U341" s="30"/>
      <c r="V341" s="31"/>
      <c r="W341" s="29"/>
      <c r="X341" s="29"/>
      <c r="Y341" s="29"/>
      <c r="Z341" s="29"/>
      <c r="AA341" s="30"/>
      <c r="AB341" s="30"/>
      <c r="AC341" s="30"/>
      <c r="AD341" s="30"/>
      <c r="AE341" s="30"/>
      <c r="AF341" s="32"/>
      <c r="AG341" s="33"/>
      <c r="AH341" s="33"/>
      <c r="AI341" s="29"/>
      <c r="AJ341" s="32"/>
      <c r="AK341" s="32"/>
      <c r="AL341" s="29"/>
      <c r="AN341" s="34" t="str">
        <f aca="false">IF($B341="","",IF(OR(C341="",D341="",E341="",G341="",I341="",J341="",L341="",O341="",P341=""),"Champ obligatoire manquant",IF(OR(AND(N341&lt;&gt;"",N341&gt;O341),O341&gt;P341,AND(Q341&lt;&gt;"",Q341&lt;P341),AND(R341&lt;&gt;"",R341&lt;P341),AND(S341&lt;&gt;"",S341&lt;R341),AND(S341&lt;&gt;"",R341=""),AND(T341&lt;&gt;"",T341&lt;O341),AND(U341&lt;&gt;"",U341&lt;O341)),"Chronologie incohérente",IF(AND(OR(L341="Résolu",L341="Clos"),R341=""),"Date de résolution manquante",IF(AND(L341="Clos",S341=""),"Date de clôture manquante",IF(AND(K341="Oui",AC341=""),"Classification DORA manquante","OK"))))))</f>
        <v/>
      </c>
      <c r="AO341" s="35" t="str">
        <f aca="false">IF($B341="","",IF(AND(C341="Incident",L341&lt;&gt;"Annulé"),1,0))</f>
        <v/>
      </c>
      <c r="AP341" s="35" t="str">
        <f aca="false">IF($B341="","",IF(AND(C341="Quasi-incident",L341&lt;&gt;"Annulé"),1,0))</f>
        <v/>
      </c>
      <c r="AQ341" s="35" t="str">
        <f aca="false">IF($B341="","",AO341+AP341)</f>
        <v/>
      </c>
      <c r="AR341" s="36" t="str">
        <f aca="false">IF(OR($B341="",J341=""),"",IFERROR(VALUE(LEFT(J341,1)),""))</f>
        <v/>
      </c>
      <c r="AS341" s="35" t="str">
        <f aca="false">IF(OR(AO341&lt;&gt;1,G341=""),"",IFERROR(IF(INDEX(L_SrcInterne,MATCH(G341,L_Sources,0))="Oui",1,0),""))</f>
        <v/>
      </c>
      <c r="AT341" s="37" t="str">
        <f aca="false">IF(AO341&lt;&gt;1,"",IFERROR(ROUND(IF(OR(N341="",O341=""),"",IF(O341&lt;N341,"",ROUND(((NETWORKDAYS(N341,O341,JoursFeries)-1)*(HFer-HOuv)+IF(NETWORKDAYS(O341,O341,JoursFeries),MEDIAN(MOD(O341,1),HFer,HOuv),HFer)-IF(NETWORKDAYS(N341,N341,JoursFeries),MEDIAN(MOD(N341,1),HFer,HOuv),HOuv))*24,4)))/HJour,4),""))</f>
        <v/>
      </c>
      <c r="AU341" s="37" t="str">
        <f aca="false">IF(AO341&lt;&gt;1,"",IF(OR(O341="",P341=""),"",IF(P341&lt;O341,"",ROUND(((NETWORKDAYS(O341,P341,JoursFeries)-1)*(HFer-HOuv)+IF(NETWORKDAYS(P341,P341,JoursFeries),MEDIAN(MOD(P341,1),HFer,HOuv),HFer)-IF(NETWORKDAYS(O341,O341,JoursFeries),MEDIAN(MOD(O341,1),HFer,HOuv),HOuv))*24,4))))</f>
        <v/>
      </c>
      <c r="AV341" s="37" t="str">
        <f aca="false">IF(AO341&lt;&gt;1,"",IF(OR(P341="",Q341=""),"",IF(Q341&lt;P341,"",ROUND(((NETWORKDAYS(P341,Q341,JoursFeries)-1)*(HFer-HOuv)+IF(NETWORKDAYS(Q341,Q341,JoursFeries),MEDIAN(MOD(Q341,1),HFer,HOuv),HFer)-IF(NETWORKDAYS(P341,P341,JoursFeries),MEDIAN(MOD(P341,1),HFer,HOuv),HOuv))*24,4))))</f>
        <v/>
      </c>
      <c r="AW341" s="37" t="str">
        <f aca="false">IF(AO341&lt;&gt;1,"",IFERROR(ROUND(IF(OR(P341="",R341=""),"",IF(R341&lt;P341,"",ROUND(((NETWORKDAYS(P341,R341,JoursFeries)-1)*(HFer-HOuv)+IF(NETWORKDAYS(R341,R341,JoursFeries),MEDIAN(MOD(R341,1),HFer,HOuv),HFer)-IF(NETWORKDAYS(P341,P341,JoursFeries),MEDIAN(MOD(P341,1),HFer,HOuv),HOuv))*24,4)))/HJour,4),""))</f>
        <v/>
      </c>
      <c r="AX341" s="37" t="str">
        <f aca="false">IF(AO341&lt;&gt;1,"",IFERROR(ROUND(IF(OR(P341="",S341=""),"",IF(S341&lt;P341,"",ROUND(((NETWORKDAYS(P341,S341,JoursFeries)-1)*(HFer-HOuv)+IF(NETWORKDAYS(S341,S341,JoursFeries),MEDIAN(MOD(S341,1),HFer,HOuv),HFer)-IF(NETWORKDAYS(P341,P341,JoursFeries),MEDIAN(MOD(P341,1),HFer,HOuv),HOuv))*24,4)))/HJour,4),""))</f>
        <v/>
      </c>
      <c r="AY341" s="36" t="str">
        <f aca="false">IF(OR(AO341&lt;&gt;1,AR341=""),"",INDEX(SLA_PEC,AR341))</f>
        <v/>
      </c>
      <c r="AZ341" s="35" t="str">
        <f aca="false">IF(OR(AV341="",AY341=""),"",IF(AV341&lt;=AY341,1,0))</f>
        <v/>
      </c>
      <c r="BA341" s="36" t="str">
        <f aca="false">IF(OR(AO341&lt;&gt;1,AR341=""),"",INDEX(SLA_RES,AR341))</f>
        <v/>
      </c>
      <c r="BB341" s="35" t="str">
        <f aca="false">IF(OR(AW341="",BA341=""),"",IF(AW341&lt;=BA341,1,0))</f>
        <v/>
      </c>
      <c r="BC341" s="38" t="str">
        <f aca="false">IF(OR(BA341="",P341=""),"",WORKDAY(INT(P341),BA341,JoursFeries)+MOD(P341,1))</f>
        <v/>
      </c>
      <c r="BD341" s="39" t="str">
        <f aca="false">IF(AO341&lt;&gt;1,"",IF(OR(AB341&lt;&gt;"",AD341&lt;&gt;""),4,IF(U341&lt;&gt;"",3,IF(T341&lt;&gt;"",2,1))))</f>
        <v/>
      </c>
      <c r="BE341" s="39" t="str">
        <f aca="false">IF(OR(AO341&lt;&gt;1,AR341=""),"",INDEX(NIV_REQ,AR341))</f>
        <v/>
      </c>
      <c r="BF341" s="39" t="str">
        <f aca="false">IF(BE341="","",MAX(BE341,IF(OR(K341="Oui",Z341="Oui"),4,1)))</f>
        <v/>
      </c>
      <c r="BG341" s="35" t="str">
        <f aca="false">IF(OR(BF341="",BD341=""),"",IF(BD341&gt;=BF341,1,0))</f>
        <v/>
      </c>
      <c r="BH341" s="38" t="str">
        <f aca="false">IF(BE341="","",IF(BE341&lt;2,"",IF(BE341=2,IF(AND(T341="",U341=""),"",MIN(T341,U341)),IF(U341="","",U341))))</f>
        <v/>
      </c>
      <c r="BI341" s="37" t="str">
        <f aca="false">IF(BH341="","",IF(OR(O341="",BH341=""),"",IF(BH341&lt;O341,"",ROUND(((NETWORKDAYS(O341,BH341,JoursFeries)-1)*(HFer-HOuv)+IF(NETWORKDAYS(BH341,BH341,JoursFeries),MEDIAN(MOD(BH341,1),HFer,HOuv),HFer)-IF(NETWORKDAYS(O341,O341,JoursFeries),MEDIAN(MOD(O341,1),HFer,HOuv),HOuv))*24,4))))</f>
        <v/>
      </c>
      <c r="BJ341" s="35" t="str">
        <f aca="false">IF(OR(BI341="",AR341=""),"",IF(BI341&lt;=INDEX(DELAI_ESC,AR341),1,0))</f>
        <v/>
      </c>
      <c r="BK341" s="38" t="str">
        <f aca="false">IF(AO341&lt;&gt;1,"",IF(AND(T341="",U341=""),"",MIN(T341,U341)))</f>
        <v/>
      </c>
      <c r="BL341" s="37" t="str">
        <f aca="false">IF(OR(BK341="",R341=""),"",IFERROR(ROUND(IF(OR(BK341="",R341=""),"",IF(R341&lt;BK341,"",ROUND(((NETWORKDAYS(BK341,R341,JoursFeries)-1)*(HFer-HOuv)+IF(NETWORKDAYS(R341,R341,JoursFeries),MEDIAN(MOD(R341,1),HFer,HOuv),HFer)-IF(NETWORKDAYS(BK341,BK341,JoursFeries),MEDIAN(MOD(BK341,1),HFer,HOuv),HOuv))*24,4)))/HJour,4),""))</f>
        <v/>
      </c>
      <c r="BM341" s="35" t="str">
        <f aca="false">IF(OR(AO341&lt;&gt;1,R341=""),"",IF(BD341=1,1,0))</f>
        <v/>
      </c>
      <c r="BN341" s="35" t="str">
        <f aca="false">IF(AO341&lt;&gt;1,"",IF(W341="Oui",1,0))</f>
        <v/>
      </c>
      <c r="BO341" s="35" t="str">
        <f aca="false">IF(AO341&lt;&gt;1,"",IF(X341&lt;&gt;"",1,0))</f>
        <v/>
      </c>
      <c r="BP341" s="35" t="str">
        <f aca="false">IF(AO341&lt;&gt;1,"",IF(Y341="Oui",1,0))</f>
        <v/>
      </c>
      <c r="BQ341" s="35" t="str">
        <f aca="true">IF(OR(AO341&lt;&gt;1,Z341&lt;&gt;"Oui"),"",IF(AB341="",IF(AND(AA341&lt;&gt;"",NOW()&gt;AA341),0,""),IF(AA341="","",IF(AB341&lt;=AA341,1,0))))</f>
        <v/>
      </c>
      <c r="BR341" s="38" t="str">
        <f aca="false">IF(OR(AO341&lt;&gt;1,K341&lt;&gt;"Oui",O341=""),"",IF(AC341="",O341+DORA_H_DET/24,IF(AC341-O341&lt;=DORA_H_DET/24,MIN(AC341+DORA_H_CLA/24,O341+DORA_H_DET/24),AC341+DORA_H_CLA/24)))</f>
        <v/>
      </c>
      <c r="BS341" s="35" t="str">
        <f aca="true">IF(BR341="","",IF(AD341="",IF(NOW()&gt;BR341,0,""),IF(AD341&lt;=BR341,1,0)))</f>
        <v/>
      </c>
      <c r="BT341" s="35" t="str">
        <f aca="true">IF(OR(BR341="",AD341=""),"",IF(AE341="",IF(NOW()&gt;AD341+DORA_H_INT/24,0,""),IF(AE341&lt;=AD341+DORA_H_INT/24,1,0)))</f>
        <v/>
      </c>
      <c r="BU341" s="35" t="str">
        <f aca="true">IF(OR(BR341="",AE341=""),"",IF(AF341="",IF(NOW()&gt;EDATE(AE341,DORA_M_FIN)+1,0,""),IF(AF341&lt;=EDATE(AE341,DORA_M_FIN),1,0)))</f>
        <v/>
      </c>
      <c r="BV341" s="35" t="str">
        <f aca="false">IF(BR341="","",IF(COUNT(BS341:BU341)=0,"",MIN(BS341:BU341)))</f>
        <v/>
      </c>
      <c r="BW341" s="40" t="str">
        <f aca="false">IF(AQ341&lt;&gt;1,"",IF(AND(AG341="",AH341=""),"",N(AG341)-N(AH341)))</f>
        <v/>
      </c>
      <c r="BX341" s="35" t="str">
        <f aca="true">IF(OR(AQ341&lt;&gt;1,AI341&lt;&gt;"Oui",AJ341=""),"",IF(AK341="",IF(NOW()&gt;AJ341+1,0,""),IF(AK341&lt;=AJ341,1,0)))</f>
        <v/>
      </c>
    </row>
    <row r="342" customFormat="false" ht="15" hidden="false" customHeight="false" outlineLevel="0" collapsed="false">
      <c r="B342" s="29"/>
      <c r="C342" s="29"/>
      <c r="D342" s="29"/>
      <c r="E342" s="29"/>
      <c r="F342" s="29"/>
      <c r="G342" s="29"/>
      <c r="H342" s="29"/>
      <c r="I342" s="29"/>
      <c r="J342" s="29"/>
      <c r="K342" s="29"/>
      <c r="L342" s="29"/>
      <c r="M342" s="29"/>
      <c r="N342" s="30"/>
      <c r="O342" s="30"/>
      <c r="P342" s="30"/>
      <c r="Q342" s="30"/>
      <c r="R342" s="30"/>
      <c r="S342" s="30"/>
      <c r="T342" s="30"/>
      <c r="U342" s="30"/>
      <c r="V342" s="31"/>
      <c r="W342" s="29"/>
      <c r="X342" s="29"/>
      <c r="Y342" s="29"/>
      <c r="Z342" s="29"/>
      <c r="AA342" s="30"/>
      <c r="AB342" s="30"/>
      <c r="AC342" s="30"/>
      <c r="AD342" s="30"/>
      <c r="AE342" s="30"/>
      <c r="AF342" s="32"/>
      <c r="AG342" s="33"/>
      <c r="AH342" s="33"/>
      <c r="AI342" s="29"/>
      <c r="AJ342" s="32"/>
      <c r="AK342" s="32"/>
      <c r="AL342" s="29"/>
      <c r="AN342" s="34" t="str">
        <f aca="false">IF($B342="","",IF(OR(C342="",D342="",E342="",G342="",I342="",J342="",L342="",O342="",P342=""),"Champ obligatoire manquant",IF(OR(AND(N342&lt;&gt;"",N342&gt;O342),O342&gt;P342,AND(Q342&lt;&gt;"",Q342&lt;P342),AND(R342&lt;&gt;"",R342&lt;P342),AND(S342&lt;&gt;"",S342&lt;R342),AND(S342&lt;&gt;"",R342=""),AND(T342&lt;&gt;"",T342&lt;O342),AND(U342&lt;&gt;"",U342&lt;O342)),"Chronologie incohérente",IF(AND(OR(L342="Résolu",L342="Clos"),R342=""),"Date de résolution manquante",IF(AND(L342="Clos",S342=""),"Date de clôture manquante",IF(AND(K342="Oui",AC342=""),"Classification DORA manquante","OK"))))))</f>
        <v/>
      </c>
      <c r="AO342" s="35" t="str">
        <f aca="false">IF($B342="","",IF(AND(C342="Incident",L342&lt;&gt;"Annulé"),1,0))</f>
        <v/>
      </c>
      <c r="AP342" s="35" t="str">
        <f aca="false">IF($B342="","",IF(AND(C342="Quasi-incident",L342&lt;&gt;"Annulé"),1,0))</f>
        <v/>
      </c>
      <c r="AQ342" s="35" t="str">
        <f aca="false">IF($B342="","",AO342+AP342)</f>
        <v/>
      </c>
      <c r="AR342" s="36" t="str">
        <f aca="false">IF(OR($B342="",J342=""),"",IFERROR(VALUE(LEFT(J342,1)),""))</f>
        <v/>
      </c>
      <c r="AS342" s="35" t="str">
        <f aca="false">IF(OR(AO342&lt;&gt;1,G342=""),"",IFERROR(IF(INDEX(L_SrcInterne,MATCH(G342,L_Sources,0))="Oui",1,0),""))</f>
        <v/>
      </c>
      <c r="AT342" s="37" t="str">
        <f aca="false">IF(AO342&lt;&gt;1,"",IFERROR(ROUND(IF(OR(N342="",O342=""),"",IF(O342&lt;N342,"",ROUND(((NETWORKDAYS(N342,O342,JoursFeries)-1)*(HFer-HOuv)+IF(NETWORKDAYS(O342,O342,JoursFeries),MEDIAN(MOD(O342,1),HFer,HOuv),HFer)-IF(NETWORKDAYS(N342,N342,JoursFeries),MEDIAN(MOD(N342,1),HFer,HOuv),HOuv))*24,4)))/HJour,4),""))</f>
        <v/>
      </c>
      <c r="AU342" s="37" t="str">
        <f aca="false">IF(AO342&lt;&gt;1,"",IF(OR(O342="",P342=""),"",IF(P342&lt;O342,"",ROUND(((NETWORKDAYS(O342,P342,JoursFeries)-1)*(HFer-HOuv)+IF(NETWORKDAYS(P342,P342,JoursFeries),MEDIAN(MOD(P342,1),HFer,HOuv),HFer)-IF(NETWORKDAYS(O342,O342,JoursFeries),MEDIAN(MOD(O342,1),HFer,HOuv),HOuv))*24,4))))</f>
        <v/>
      </c>
      <c r="AV342" s="37" t="str">
        <f aca="false">IF(AO342&lt;&gt;1,"",IF(OR(P342="",Q342=""),"",IF(Q342&lt;P342,"",ROUND(((NETWORKDAYS(P342,Q342,JoursFeries)-1)*(HFer-HOuv)+IF(NETWORKDAYS(Q342,Q342,JoursFeries),MEDIAN(MOD(Q342,1),HFer,HOuv),HFer)-IF(NETWORKDAYS(P342,P342,JoursFeries),MEDIAN(MOD(P342,1),HFer,HOuv),HOuv))*24,4))))</f>
        <v/>
      </c>
      <c r="AW342" s="37" t="str">
        <f aca="false">IF(AO342&lt;&gt;1,"",IFERROR(ROUND(IF(OR(P342="",R342=""),"",IF(R342&lt;P342,"",ROUND(((NETWORKDAYS(P342,R342,JoursFeries)-1)*(HFer-HOuv)+IF(NETWORKDAYS(R342,R342,JoursFeries),MEDIAN(MOD(R342,1),HFer,HOuv),HFer)-IF(NETWORKDAYS(P342,P342,JoursFeries),MEDIAN(MOD(P342,1),HFer,HOuv),HOuv))*24,4)))/HJour,4),""))</f>
        <v/>
      </c>
      <c r="AX342" s="37" t="str">
        <f aca="false">IF(AO342&lt;&gt;1,"",IFERROR(ROUND(IF(OR(P342="",S342=""),"",IF(S342&lt;P342,"",ROUND(((NETWORKDAYS(P342,S342,JoursFeries)-1)*(HFer-HOuv)+IF(NETWORKDAYS(S342,S342,JoursFeries),MEDIAN(MOD(S342,1),HFer,HOuv),HFer)-IF(NETWORKDAYS(P342,P342,JoursFeries),MEDIAN(MOD(P342,1),HFer,HOuv),HOuv))*24,4)))/HJour,4),""))</f>
        <v/>
      </c>
      <c r="AY342" s="36" t="str">
        <f aca="false">IF(OR(AO342&lt;&gt;1,AR342=""),"",INDEX(SLA_PEC,AR342))</f>
        <v/>
      </c>
      <c r="AZ342" s="35" t="str">
        <f aca="false">IF(OR(AV342="",AY342=""),"",IF(AV342&lt;=AY342,1,0))</f>
        <v/>
      </c>
      <c r="BA342" s="36" t="str">
        <f aca="false">IF(OR(AO342&lt;&gt;1,AR342=""),"",INDEX(SLA_RES,AR342))</f>
        <v/>
      </c>
      <c r="BB342" s="35" t="str">
        <f aca="false">IF(OR(AW342="",BA342=""),"",IF(AW342&lt;=BA342,1,0))</f>
        <v/>
      </c>
      <c r="BC342" s="38" t="str">
        <f aca="false">IF(OR(BA342="",P342=""),"",WORKDAY(INT(P342),BA342,JoursFeries)+MOD(P342,1))</f>
        <v/>
      </c>
      <c r="BD342" s="39" t="str">
        <f aca="false">IF(AO342&lt;&gt;1,"",IF(OR(AB342&lt;&gt;"",AD342&lt;&gt;""),4,IF(U342&lt;&gt;"",3,IF(T342&lt;&gt;"",2,1))))</f>
        <v/>
      </c>
      <c r="BE342" s="39" t="str">
        <f aca="false">IF(OR(AO342&lt;&gt;1,AR342=""),"",INDEX(NIV_REQ,AR342))</f>
        <v/>
      </c>
      <c r="BF342" s="39" t="str">
        <f aca="false">IF(BE342="","",MAX(BE342,IF(OR(K342="Oui",Z342="Oui"),4,1)))</f>
        <v/>
      </c>
      <c r="BG342" s="35" t="str">
        <f aca="false">IF(OR(BF342="",BD342=""),"",IF(BD342&gt;=BF342,1,0))</f>
        <v/>
      </c>
      <c r="BH342" s="38" t="str">
        <f aca="false">IF(BE342="","",IF(BE342&lt;2,"",IF(BE342=2,IF(AND(T342="",U342=""),"",MIN(T342,U342)),IF(U342="","",U342))))</f>
        <v/>
      </c>
      <c r="BI342" s="37" t="str">
        <f aca="false">IF(BH342="","",IF(OR(O342="",BH342=""),"",IF(BH342&lt;O342,"",ROUND(((NETWORKDAYS(O342,BH342,JoursFeries)-1)*(HFer-HOuv)+IF(NETWORKDAYS(BH342,BH342,JoursFeries),MEDIAN(MOD(BH342,1),HFer,HOuv),HFer)-IF(NETWORKDAYS(O342,O342,JoursFeries),MEDIAN(MOD(O342,1),HFer,HOuv),HOuv))*24,4))))</f>
        <v/>
      </c>
      <c r="BJ342" s="35" t="str">
        <f aca="false">IF(OR(BI342="",AR342=""),"",IF(BI342&lt;=INDEX(DELAI_ESC,AR342),1,0))</f>
        <v/>
      </c>
      <c r="BK342" s="38" t="str">
        <f aca="false">IF(AO342&lt;&gt;1,"",IF(AND(T342="",U342=""),"",MIN(T342,U342)))</f>
        <v/>
      </c>
      <c r="BL342" s="37" t="str">
        <f aca="false">IF(OR(BK342="",R342=""),"",IFERROR(ROUND(IF(OR(BK342="",R342=""),"",IF(R342&lt;BK342,"",ROUND(((NETWORKDAYS(BK342,R342,JoursFeries)-1)*(HFer-HOuv)+IF(NETWORKDAYS(R342,R342,JoursFeries),MEDIAN(MOD(R342,1),HFer,HOuv),HFer)-IF(NETWORKDAYS(BK342,BK342,JoursFeries),MEDIAN(MOD(BK342,1),HFer,HOuv),HOuv))*24,4)))/HJour,4),""))</f>
        <v/>
      </c>
      <c r="BM342" s="35" t="str">
        <f aca="false">IF(OR(AO342&lt;&gt;1,R342=""),"",IF(BD342=1,1,0))</f>
        <v/>
      </c>
      <c r="BN342" s="35" t="str">
        <f aca="false">IF(AO342&lt;&gt;1,"",IF(W342="Oui",1,0))</f>
        <v/>
      </c>
      <c r="BO342" s="35" t="str">
        <f aca="false">IF(AO342&lt;&gt;1,"",IF(X342&lt;&gt;"",1,0))</f>
        <v/>
      </c>
      <c r="BP342" s="35" t="str">
        <f aca="false">IF(AO342&lt;&gt;1,"",IF(Y342="Oui",1,0))</f>
        <v/>
      </c>
      <c r="BQ342" s="35" t="str">
        <f aca="true">IF(OR(AO342&lt;&gt;1,Z342&lt;&gt;"Oui"),"",IF(AB342="",IF(AND(AA342&lt;&gt;"",NOW()&gt;AA342),0,""),IF(AA342="","",IF(AB342&lt;=AA342,1,0))))</f>
        <v/>
      </c>
      <c r="BR342" s="38" t="str">
        <f aca="false">IF(OR(AO342&lt;&gt;1,K342&lt;&gt;"Oui",O342=""),"",IF(AC342="",O342+DORA_H_DET/24,IF(AC342-O342&lt;=DORA_H_DET/24,MIN(AC342+DORA_H_CLA/24,O342+DORA_H_DET/24),AC342+DORA_H_CLA/24)))</f>
        <v/>
      </c>
      <c r="BS342" s="35" t="str">
        <f aca="true">IF(BR342="","",IF(AD342="",IF(NOW()&gt;BR342,0,""),IF(AD342&lt;=BR342,1,0)))</f>
        <v/>
      </c>
      <c r="BT342" s="35" t="str">
        <f aca="true">IF(OR(BR342="",AD342=""),"",IF(AE342="",IF(NOW()&gt;AD342+DORA_H_INT/24,0,""),IF(AE342&lt;=AD342+DORA_H_INT/24,1,0)))</f>
        <v/>
      </c>
      <c r="BU342" s="35" t="str">
        <f aca="true">IF(OR(BR342="",AE342=""),"",IF(AF342="",IF(NOW()&gt;EDATE(AE342,DORA_M_FIN)+1,0,""),IF(AF342&lt;=EDATE(AE342,DORA_M_FIN),1,0)))</f>
        <v/>
      </c>
      <c r="BV342" s="35" t="str">
        <f aca="false">IF(BR342="","",IF(COUNT(BS342:BU342)=0,"",MIN(BS342:BU342)))</f>
        <v/>
      </c>
      <c r="BW342" s="40" t="str">
        <f aca="false">IF(AQ342&lt;&gt;1,"",IF(AND(AG342="",AH342=""),"",N(AG342)-N(AH342)))</f>
        <v/>
      </c>
      <c r="BX342" s="35" t="str">
        <f aca="true">IF(OR(AQ342&lt;&gt;1,AI342&lt;&gt;"Oui",AJ342=""),"",IF(AK342="",IF(NOW()&gt;AJ342+1,0,""),IF(AK342&lt;=AJ342,1,0)))</f>
        <v/>
      </c>
    </row>
    <row r="343" customFormat="false" ht="15" hidden="false" customHeight="false" outlineLevel="0" collapsed="false">
      <c r="B343" s="29"/>
      <c r="C343" s="29"/>
      <c r="D343" s="29"/>
      <c r="E343" s="29"/>
      <c r="F343" s="29"/>
      <c r="G343" s="29"/>
      <c r="H343" s="29"/>
      <c r="I343" s="29"/>
      <c r="J343" s="29"/>
      <c r="K343" s="29"/>
      <c r="L343" s="29"/>
      <c r="M343" s="29"/>
      <c r="N343" s="30"/>
      <c r="O343" s="30"/>
      <c r="P343" s="30"/>
      <c r="Q343" s="30"/>
      <c r="R343" s="30"/>
      <c r="S343" s="30"/>
      <c r="T343" s="30"/>
      <c r="U343" s="30"/>
      <c r="V343" s="31"/>
      <c r="W343" s="29"/>
      <c r="X343" s="29"/>
      <c r="Y343" s="29"/>
      <c r="Z343" s="29"/>
      <c r="AA343" s="30"/>
      <c r="AB343" s="30"/>
      <c r="AC343" s="30"/>
      <c r="AD343" s="30"/>
      <c r="AE343" s="30"/>
      <c r="AF343" s="32"/>
      <c r="AG343" s="33"/>
      <c r="AH343" s="33"/>
      <c r="AI343" s="29"/>
      <c r="AJ343" s="32"/>
      <c r="AK343" s="32"/>
      <c r="AL343" s="29"/>
      <c r="AN343" s="34" t="str">
        <f aca="false">IF($B343="","",IF(OR(C343="",D343="",E343="",G343="",I343="",J343="",L343="",O343="",P343=""),"Champ obligatoire manquant",IF(OR(AND(N343&lt;&gt;"",N343&gt;O343),O343&gt;P343,AND(Q343&lt;&gt;"",Q343&lt;P343),AND(R343&lt;&gt;"",R343&lt;P343),AND(S343&lt;&gt;"",S343&lt;R343),AND(S343&lt;&gt;"",R343=""),AND(T343&lt;&gt;"",T343&lt;O343),AND(U343&lt;&gt;"",U343&lt;O343)),"Chronologie incohérente",IF(AND(OR(L343="Résolu",L343="Clos"),R343=""),"Date de résolution manquante",IF(AND(L343="Clos",S343=""),"Date de clôture manquante",IF(AND(K343="Oui",AC343=""),"Classification DORA manquante","OK"))))))</f>
        <v/>
      </c>
      <c r="AO343" s="35" t="str">
        <f aca="false">IF($B343="","",IF(AND(C343="Incident",L343&lt;&gt;"Annulé"),1,0))</f>
        <v/>
      </c>
      <c r="AP343" s="35" t="str">
        <f aca="false">IF($B343="","",IF(AND(C343="Quasi-incident",L343&lt;&gt;"Annulé"),1,0))</f>
        <v/>
      </c>
      <c r="AQ343" s="35" t="str">
        <f aca="false">IF($B343="","",AO343+AP343)</f>
        <v/>
      </c>
      <c r="AR343" s="36" t="str">
        <f aca="false">IF(OR($B343="",J343=""),"",IFERROR(VALUE(LEFT(J343,1)),""))</f>
        <v/>
      </c>
      <c r="AS343" s="35" t="str">
        <f aca="false">IF(OR(AO343&lt;&gt;1,G343=""),"",IFERROR(IF(INDEX(L_SrcInterne,MATCH(G343,L_Sources,0))="Oui",1,0),""))</f>
        <v/>
      </c>
      <c r="AT343" s="37" t="str">
        <f aca="false">IF(AO343&lt;&gt;1,"",IFERROR(ROUND(IF(OR(N343="",O343=""),"",IF(O343&lt;N343,"",ROUND(((NETWORKDAYS(N343,O343,JoursFeries)-1)*(HFer-HOuv)+IF(NETWORKDAYS(O343,O343,JoursFeries),MEDIAN(MOD(O343,1),HFer,HOuv),HFer)-IF(NETWORKDAYS(N343,N343,JoursFeries),MEDIAN(MOD(N343,1),HFer,HOuv),HOuv))*24,4)))/HJour,4),""))</f>
        <v/>
      </c>
      <c r="AU343" s="37" t="str">
        <f aca="false">IF(AO343&lt;&gt;1,"",IF(OR(O343="",P343=""),"",IF(P343&lt;O343,"",ROUND(((NETWORKDAYS(O343,P343,JoursFeries)-1)*(HFer-HOuv)+IF(NETWORKDAYS(P343,P343,JoursFeries),MEDIAN(MOD(P343,1),HFer,HOuv),HFer)-IF(NETWORKDAYS(O343,O343,JoursFeries),MEDIAN(MOD(O343,1),HFer,HOuv),HOuv))*24,4))))</f>
        <v/>
      </c>
      <c r="AV343" s="37" t="str">
        <f aca="false">IF(AO343&lt;&gt;1,"",IF(OR(P343="",Q343=""),"",IF(Q343&lt;P343,"",ROUND(((NETWORKDAYS(P343,Q343,JoursFeries)-1)*(HFer-HOuv)+IF(NETWORKDAYS(Q343,Q343,JoursFeries),MEDIAN(MOD(Q343,1),HFer,HOuv),HFer)-IF(NETWORKDAYS(P343,P343,JoursFeries),MEDIAN(MOD(P343,1),HFer,HOuv),HOuv))*24,4))))</f>
        <v/>
      </c>
      <c r="AW343" s="37" t="str">
        <f aca="false">IF(AO343&lt;&gt;1,"",IFERROR(ROUND(IF(OR(P343="",R343=""),"",IF(R343&lt;P343,"",ROUND(((NETWORKDAYS(P343,R343,JoursFeries)-1)*(HFer-HOuv)+IF(NETWORKDAYS(R343,R343,JoursFeries),MEDIAN(MOD(R343,1),HFer,HOuv),HFer)-IF(NETWORKDAYS(P343,P343,JoursFeries),MEDIAN(MOD(P343,1),HFer,HOuv),HOuv))*24,4)))/HJour,4),""))</f>
        <v/>
      </c>
      <c r="AX343" s="37" t="str">
        <f aca="false">IF(AO343&lt;&gt;1,"",IFERROR(ROUND(IF(OR(P343="",S343=""),"",IF(S343&lt;P343,"",ROUND(((NETWORKDAYS(P343,S343,JoursFeries)-1)*(HFer-HOuv)+IF(NETWORKDAYS(S343,S343,JoursFeries),MEDIAN(MOD(S343,1),HFer,HOuv),HFer)-IF(NETWORKDAYS(P343,P343,JoursFeries),MEDIAN(MOD(P343,1),HFer,HOuv),HOuv))*24,4)))/HJour,4),""))</f>
        <v/>
      </c>
      <c r="AY343" s="36" t="str">
        <f aca="false">IF(OR(AO343&lt;&gt;1,AR343=""),"",INDEX(SLA_PEC,AR343))</f>
        <v/>
      </c>
      <c r="AZ343" s="35" t="str">
        <f aca="false">IF(OR(AV343="",AY343=""),"",IF(AV343&lt;=AY343,1,0))</f>
        <v/>
      </c>
      <c r="BA343" s="36" t="str">
        <f aca="false">IF(OR(AO343&lt;&gt;1,AR343=""),"",INDEX(SLA_RES,AR343))</f>
        <v/>
      </c>
      <c r="BB343" s="35" t="str">
        <f aca="false">IF(OR(AW343="",BA343=""),"",IF(AW343&lt;=BA343,1,0))</f>
        <v/>
      </c>
      <c r="BC343" s="38" t="str">
        <f aca="false">IF(OR(BA343="",P343=""),"",WORKDAY(INT(P343),BA343,JoursFeries)+MOD(P343,1))</f>
        <v/>
      </c>
      <c r="BD343" s="39" t="str">
        <f aca="false">IF(AO343&lt;&gt;1,"",IF(OR(AB343&lt;&gt;"",AD343&lt;&gt;""),4,IF(U343&lt;&gt;"",3,IF(T343&lt;&gt;"",2,1))))</f>
        <v/>
      </c>
      <c r="BE343" s="39" t="str">
        <f aca="false">IF(OR(AO343&lt;&gt;1,AR343=""),"",INDEX(NIV_REQ,AR343))</f>
        <v/>
      </c>
      <c r="BF343" s="39" t="str">
        <f aca="false">IF(BE343="","",MAX(BE343,IF(OR(K343="Oui",Z343="Oui"),4,1)))</f>
        <v/>
      </c>
      <c r="BG343" s="35" t="str">
        <f aca="false">IF(OR(BF343="",BD343=""),"",IF(BD343&gt;=BF343,1,0))</f>
        <v/>
      </c>
      <c r="BH343" s="38" t="str">
        <f aca="false">IF(BE343="","",IF(BE343&lt;2,"",IF(BE343=2,IF(AND(T343="",U343=""),"",MIN(T343,U343)),IF(U343="","",U343))))</f>
        <v/>
      </c>
      <c r="BI343" s="37" t="str">
        <f aca="false">IF(BH343="","",IF(OR(O343="",BH343=""),"",IF(BH343&lt;O343,"",ROUND(((NETWORKDAYS(O343,BH343,JoursFeries)-1)*(HFer-HOuv)+IF(NETWORKDAYS(BH343,BH343,JoursFeries),MEDIAN(MOD(BH343,1),HFer,HOuv),HFer)-IF(NETWORKDAYS(O343,O343,JoursFeries),MEDIAN(MOD(O343,1),HFer,HOuv),HOuv))*24,4))))</f>
        <v/>
      </c>
      <c r="BJ343" s="35" t="str">
        <f aca="false">IF(OR(BI343="",AR343=""),"",IF(BI343&lt;=INDEX(DELAI_ESC,AR343),1,0))</f>
        <v/>
      </c>
      <c r="BK343" s="38" t="str">
        <f aca="false">IF(AO343&lt;&gt;1,"",IF(AND(T343="",U343=""),"",MIN(T343,U343)))</f>
        <v/>
      </c>
      <c r="BL343" s="37" t="str">
        <f aca="false">IF(OR(BK343="",R343=""),"",IFERROR(ROUND(IF(OR(BK343="",R343=""),"",IF(R343&lt;BK343,"",ROUND(((NETWORKDAYS(BK343,R343,JoursFeries)-1)*(HFer-HOuv)+IF(NETWORKDAYS(R343,R343,JoursFeries),MEDIAN(MOD(R343,1),HFer,HOuv),HFer)-IF(NETWORKDAYS(BK343,BK343,JoursFeries),MEDIAN(MOD(BK343,1),HFer,HOuv),HOuv))*24,4)))/HJour,4),""))</f>
        <v/>
      </c>
      <c r="BM343" s="35" t="str">
        <f aca="false">IF(OR(AO343&lt;&gt;1,R343=""),"",IF(BD343=1,1,0))</f>
        <v/>
      </c>
      <c r="BN343" s="35" t="str">
        <f aca="false">IF(AO343&lt;&gt;1,"",IF(W343="Oui",1,0))</f>
        <v/>
      </c>
      <c r="BO343" s="35" t="str">
        <f aca="false">IF(AO343&lt;&gt;1,"",IF(X343&lt;&gt;"",1,0))</f>
        <v/>
      </c>
      <c r="BP343" s="35" t="str">
        <f aca="false">IF(AO343&lt;&gt;1,"",IF(Y343="Oui",1,0))</f>
        <v/>
      </c>
      <c r="BQ343" s="35" t="str">
        <f aca="true">IF(OR(AO343&lt;&gt;1,Z343&lt;&gt;"Oui"),"",IF(AB343="",IF(AND(AA343&lt;&gt;"",NOW()&gt;AA343),0,""),IF(AA343="","",IF(AB343&lt;=AA343,1,0))))</f>
        <v/>
      </c>
      <c r="BR343" s="38" t="str">
        <f aca="false">IF(OR(AO343&lt;&gt;1,K343&lt;&gt;"Oui",O343=""),"",IF(AC343="",O343+DORA_H_DET/24,IF(AC343-O343&lt;=DORA_H_DET/24,MIN(AC343+DORA_H_CLA/24,O343+DORA_H_DET/24),AC343+DORA_H_CLA/24)))</f>
        <v/>
      </c>
      <c r="BS343" s="35" t="str">
        <f aca="true">IF(BR343="","",IF(AD343="",IF(NOW()&gt;BR343,0,""),IF(AD343&lt;=BR343,1,0)))</f>
        <v/>
      </c>
      <c r="BT343" s="35" t="str">
        <f aca="true">IF(OR(BR343="",AD343=""),"",IF(AE343="",IF(NOW()&gt;AD343+DORA_H_INT/24,0,""),IF(AE343&lt;=AD343+DORA_H_INT/24,1,0)))</f>
        <v/>
      </c>
      <c r="BU343" s="35" t="str">
        <f aca="true">IF(OR(BR343="",AE343=""),"",IF(AF343="",IF(NOW()&gt;EDATE(AE343,DORA_M_FIN)+1,0,""),IF(AF343&lt;=EDATE(AE343,DORA_M_FIN),1,0)))</f>
        <v/>
      </c>
      <c r="BV343" s="35" t="str">
        <f aca="false">IF(BR343="","",IF(COUNT(BS343:BU343)=0,"",MIN(BS343:BU343)))</f>
        <v/>
      </c>
      <c r="BW343" s="40" t="str">
        <f aca="false">IF(AQ343&lt;&gt;1,"",IF(AND(AG343="",AH343=""),"",N(AG343)-N(AH343)))</f>
        <v/>
      </c>
      <c r="BX343" s="35" t="str">
        <f aca="true">IF(OR(AQ343&lt;&gt;1,AI343&lt;&gt;"Oui",AJ343=""),"",IF(AK343="",IF(NOW()&gt;AJ343+1,0,""),IF(AK343&lt;=AJ343,1,0)))</f>
        <v/>
      </c>
    </row>
    <row r="344" customFormat="false" ht="15" hidden="false" customHeight="false" outlineLevel="0" collapsed="false">
      <c r="B344" s="29"/>
      <c r="C344" s="29"/>
      <c r="D344" s="29"/>
      <c r="E344" s="29"/>
      <c r="F344" s="29"/>
      <c r="G344" s="29"/>
      <c r="H344" s="29"/>
      <c r="I344" s="29"/>
      <c r="J344" s="29"/>
      <c r="K344" s="29"/>
      <c r="L344" s="29"/>
      <c r="M344" s="29"/>
      <c r="N344" s="30"/>
      <c r="O344" s="30"/>
      <c r="P344" s="30"/>
      <c r="Q344" s="30"/>
      <c r="R344" s="30"/>
      <c r="S344" s="30"/>
      <c r="T344" s="30"/>
      <c r="U344" s="30"/>
      <c r="V344" s="31"/>
      <c r="W344" s="29"/>
      <c r="X344" s="29"/>
      <c r="Y344" s="29"/>
      <c r="Z344" s="29"/>
      <c r="AA344" s="30"/>
      <c r="AB344" s="30"/>
      <c r="AC344" s="30"/>
      <c r="AD344" s="30"/>
      <c r="AE344" s="30"/>
      <c r="AF344" s="32"/>
      <c r="AG344" s="33"/>
      <c r="AH344" s="33"/>
      <c r="AI344" s="29"/>
      <c r="AJ344" s="32"/>
      <c r="AK344" s="32"/>
      <c r="AL344" s="29"/>
      <c r="AN344" s="34" t="str">
        <f aca="false">IF($B344="","",IF(OR(C344="",D344="",E344="",G344="",I344="",J344="",L344="",O344="",P344=""),"Champ obligatoire manquant",IF(OR(AND(N344&lt;&gt;"",N344&gt;O344),O344&gt;P344,AND(Q344&lt;&gt;"",Q344&lt;P344),AND(R344&lt;&gt;"",R344&lt;P344),AND(S344&lt;&gt;"",S344&lt;R344),AND(S344&lt;&gt;"",R344=""),AND(T344&lt;&gt;"",T344&lt;O344),AND(U344&lt;&gt;"",U344&lt;O344)),"Chronologie incohérente",IF(AND(OR(L344="Résolu",L344="Clos"),R344=""),"Date de résolution manquante",IF(AND(L344="Clos",S344=""),"Date de clôture manquante",IF(AND(K344="Oui",AC344=""),"Classification DORA manquante","OK"))))))</f>
        <v/>
      </c>
      <c r="AO344" s="35" t="str">
        <f aca="false">IF($B344="","",IF(AND(C344="Incident",L344&lt;&gt;"Annulé"),1,0))</f>
        <v/>
      </c>
      <c r="AP344" s="35" t="str">
        <f aca="false">IF($B344="","",IF(AND(C344="Quasi-incident",L344&lt;&gt;"Annulé"),1,0))</f>
        <v/>
      </c>
      <c r="AQ344" s="35" t="str">
        <f aca="false">IF($B344="","",AO344+AP344)</f>
        <v/>
      </c>
      <c r="AR344" s="36" t="str">
        <f aca="false">IF(OR($B344="",J344=""),"",IFERROR(VALUE(LEFT(J344,1)),""))</f>
        <v/>
      </c>
      <c r="AS344" s="35" t="str">
        <f aca="false">IF(OR(AO344&lt;&gt;1,G344=""),"",IFERROR(IF(INDEX(L_SrcInterne,MATCH(G344,L_Sources,0))="Oui",1,0),""))</f>
        <v/>
      </c>
      <c r="AT344" s="37" t="str">
        <f aca="false">IF(AO344&lt;&gt;1,"",IFERROR(ROUND(IF(OR(N344="",O344=""),"",IF(O344&lt;N344,"",ROUND(((NETWORKDAYS(N344,O344,JoursFeries)-1)*(HFer-HOuv)+IF(NETWORKDAYS(O344,O344,JoursFeries),MEDIAN(MOD(O344,1),HFer,HOuv),HFer)-IF(NETWORKDAYS(N344,N344,JoursFeries),MEDIAN(MOD(N344,1),HFer,HOuv),HOuv))*24,4)))/HJour,4),""))</f>
        <v/>
      </c>
      <c r="AU344" s="37" t="str">
        <f aca="false">IF(AO344&lt;&gt;1,"",IF(OR(O344="",P344=""),"",IF(P344&lt;O344,"",ROUND(((NETWORKDAYS(O344,P344,JoursFeries)-1)*(HFer-HOuv)+IF(NETWORKDAYS(P344,P344,JoursFeries),MEDIAN(MOD(P344,1),HFer,HOuv),HFer)-IF(NETWORKDAYS(O344,O344,JoursFeries),MEDIAN(MOD(O344,1),HFer,HOuv),HOuv))*24,4))))</f>
        <v/>
      </c>
      <c r="AV344" s="37" t="str">
        <f aca="false">IF(AO344&lt;&gt;1,"",IF(OR(P344="",Q344=""),"",IF(Q344&lt;P344,"",ROUND(((NETWORKDAYS(P344,Q344,JoursFeries)-1)*(HFer-HOuv)+IF(NETWORKDAYS(Q344,Q344,JoursFeries),MEDIAN(MOD(Q344,1),HFer,HOuv),HFer)-IF(NETWORKDAYS(P344,P344,JoursFeries),MEDIAN(MOD(P344,1),HFer,HOuv),HOuv))*24,4))))</f>
        <v/>
      </c>
      <c r="AW344" s="37" t="str">
        <f aca="false">IF(AO344&lt;&gt;1,"",IFERROR(ROUND(IF(OR(P344="",R344=""),"",IF(R344&lt;P344,"",ROUND(((NETWORKDAYS(P344,R344,JoursFeries)-1)*(HFer-HOuv)+IF(NETWORKDAYS(R344,R344,JoursFeries),MEDIAN(MOD(R344,1),HFer,HOuv),HFer)-IF(NETWORKDAYS(P344,P344,JoursFeries),MEDIAN(MOD(P344,1),HFer,HOuv),HOuv))*24,4)))/HJour,4),""))</f>
        <v/>
      </c>
      <c r="AX344" s="37" t="str">
        <f aca="false">IF(AO344&lt;&gt;1,"",IFERROR(ROUND(IF(OR(P344="",S344=""),"",IF(S344&lt;P344,"",ROUND(((NETWORKDAYS(P344,S344,JoursFeries)-1)*(HFer-HOuv)+IF(NETWORKDAYS(S344,S344,JoursFeries),MEDIAN(MOD(S344,1),HFer,HOuv),HFer)-IF(NETWORKDAYS(P344,P344,JoursFeries),MEDIAN(MOD(P344,1),HFer,HOuv),HOuv))*24,4)))/HJour,4),""))</f>
        <v/>
      </c>
      <c r="AY344" s="36" t="str">
        <f aca="false">IF(OR(AO344&lt;&gt;1,AR344=""),"",INDEX(SLA_PEC,AR344))</f>
        <v/>
      </c>
      <c r="AZ344" s="35" t="str">
        <f aca="false">IF(OR(AV344="",AY344=""),"",IF(AV344&lt;=AY344,1,0))</f>
        <v/>
      </c>
      <c r="BA344" s="36" t="str">
        <f aca="false">IF(OR(AO344&lt;&gt;1,AR344=""),"",INDEX(SLA_RES,AR344))</f>
        <v/>
      </c>
      <c r="BB344" s="35" t="str">
        <f aca="false">IF(OR(AW344="",BA344=""),"",IF(AW344&lt;=BA344,1,0))</f>
        <v/>
      </c>
      <c r="BC344" s="38" t="str">
        <f aca="false">IF(OR(BA344="",P344=""),"",WORKDAY(INT(P344),BA344,JoursFeries)+MOD(P344,1))</f>
        <v/>
      </c>
      <c r="BD344" s="39" t="str">
        <f aca="false">IF(AO344&lt;&gt;1,"",IF(OR(AB344&lt;&gt;"",AD344&lt;&gt;""),4,IF(U344&lt;&gt;"",3,IF(T344&lt;&gt;"",2,1))))</f>
        <v/>
      </c>
      <c r="BE344" s="39" t="str">
        <f aca="false">IF(OR(AO344&lt;&gt;1,AR344=""),"",INDEX(NIV_REQ,AR344))</f>
        <v/>
      </c>
      <c r="BF344" s="39" t="str">
        <f aca="false">IF(BE344="","",MAX(BE344,IF(OR(K344="Oui",Z344="Oui"),4,1)))</f>
        <v/>
      </c>
      <c r="BG344" s="35" t="str">
        <f aca="false">IF(OR(BF344="",BD344=""),"",IF(BD344&gt;=BF344,1,0))</f>
        <v/>
      </c>
      <c r="BH344" s="38" t="str">
        <f aca="false">IF(BE344="","",IF(BE344&lt;2,"",IF(BE344=2,IF(AND(T344="",U344=""),"",MIN(T344,U344)),IF(U344="","",U344))))</f>
        <v/>
      </c>
      <c r="BI344" s="37" t="str">
        <f aca="false">IF(BH344="","",IF(OR(O344="",BH344=""),"",IF(BH344&lt;O344,"",ROUND(((NETWORKDAYS(O344,BH344,JoursFeries)-1)*(HFer-HOuv)+IF(NETWORKDAYS(BH344,BH344,JoursFeries),MEDIAN(MOD(BH344,1),HFer,HOuv),HFer)-IF(NETWORKDAYS(O344,O344,JoursFeries),MEDIAN(MOD(O344,1),HFer,HOuv),HOuv))*24,4))))</f>
        <v/>
      </c>
      <c r="BJ344" s="35" t="str">
        <f aca="false">IF(OR(BI344="",AR344=""),"",IF(BI344&lt;=INDEX(DELAI_ESC,AR344),1,0))</f>
        <v/>
      </c>
      <c r="BK344" s="38" t="str">
        <f aca="false">IF(AO344&lt;&gt;1,"",IF(AND(T344="",U344=""),"",MIN(T344,U344)))</f>
        <v/>
      </c>
      <c r="BL344" s="37" t="str">
        <f aca="false">IF(OR(BK344="",R344=""),"",IFERROR(ROUND(IF(OR(BK344="",R344=""),"",IF(R344&lt;BK344,"",ROUND(((NETWORKDAYS(BK344,R344,JoursFeries)-1)*(HFer-HOuv)+IF(NETWORKDAYS(R344,R344,JoursFeries),MEDIAN(MOD(R344,1),HFer,HOuv),HFer)-IF(NETWORKDAYS(BK344,BK344,JoursFeries),MEDIAN(MOD(BK344,1),HFer,HOuv),HOuv))*24,4)))/HJour,4),""))</f>
        <v/>
      </c>
      <c r="BM344" s="35" t="str">
        <f aca="false">IF(OR(AO344&lt;&gt;1,R344=""),"",IF(BD344=1,1,0))</f>
        <v/>
      </c>
      <c r="BN344" s="35" t="str">
        <f aca="false">IF(AO344&lt;&gt;1,"",IF(W344="Oui",1,0))</f>
        <v/>
      </c>
      <c r="BO344" s="35" t="str">
        <f aca="false">IF(AO344&lt;&gt;1,"",IF(X344&lt;&gt;"",1,0))</f>
        <v/>
      </c>
      <c r="BP344" s="35" t="str">
        <f aca="false">IF(AO344&lt;&gt;1,"",IF(Y344="Oui",1,0))</f>
        <v/>
      </c>
      <c r="BQ344" s="35" t="str">
        <f aca="true">IF(OR(AO344&lt;&gt;1,Z344&lt;&gt;"Oui"),"",IF(AB344="",IF(AND(AA344&lt;&gt;"",NOW()&gt;AA344),0,""),IF(AA344="","",IF(AB344&lt;=AA344,1,0))))</f>
        <v/>
      </c>
      <c r="BR344" s="38" t="str">
        <f aca="false">IF(OR(AO344&lt;&gt;1,K344&lt;&gt;"Oui",O344=""),"",IF(AC344="",O344+DORA_H_DET/24,IF(AC344-O344&lt;=DORA_H_DET/24,MIN(AC344+DORA_H_CLA/24,O344+DORA_H_DET/24),AC344+DORA_H_CLA/24)))</f>
        <v/>
      </c>
      <c r="BS344" s="35" t="str">
        <f aca="true">IF(BR344="","",IF(AD344="",IF(NOW()&gt;BR344,0,""),IF(AD344&lt;=BR344,1,0)))</f>
        <v/>
      </c>
      <c r="BT344" s="35" t="str">
        <f aca="true">IF(OR(BR344="",AD344=""),"",IF(AE344="",IF(NOW()&gt;AD344+DORA_H_INT/24,0,""),IF(AE344&lt;=AD344+DORA_H_INT/24,1,0)))</f>
        <v/>
      </c>
      <c r="BU344" s="35" t="str">
        <f aca="true">IF(OR(BR344="",AE344=""),"",IF(AF344="",IF(NOW()&gt;EDATE(AE344,DORA_M_FIN)+1,0,""),IF(AF344&lt;=EDATE(AE344,DORA_M_FIN),1,0)))</f>
        <v/>
      </c>
      <c r="BV344" s="35" t="str">
        <f aca="false">IF(BR344="","",IF(COUNT(BS344:BU344)=0,"",MIN(BS344:BU344)))</f>
        <v/>
      </c>
      <c r="BW344" s="40" t="str">
        <f aca="false">IF(AQ344&lt;&gt;1,"",IF(AND(AG344="",AH344=""),"",N(AG344)-N(AH344)))</f>
        <v/>
      </c>
      <c r="BX344" s="35" t="str">
        <f aca="true">IF(OR(AQ344&lt;&gt;1,AI344&lt;&gt;"Oui",AJ344=""),"",IF(AK344="",IF(NOW()&gt;AJ344+1,0,""),IF(AK344&lt;=AJ344,1,0)))</f>
        <v/>
      </c>
    </row>
    <row r="345" customFormat="false" ht="15" hidden="false" customHeight="false" outlineLevel="0" collapsed="false">
      <c r="B345" s="29"/>
      <c r="C345" s="29"/>
      <c r="D345" s="29"/>
      <c r="E345" s="29"/>
      <c r="F345" s="29"/>
      <c r="G345" s="29"/>
      <c r="H345" s="29"/>
      <c r="I345" s="29"/>
      <c r="J345" s="29"/>
      <c r="K345" s="29"/>
      <c r="L345" s="29"/>
      <c r="M345" s="29"/>
      <c r="N345" s="30"/>
      <c r="O345" s="30"/>
      <c r="P345" s="30"/>
      <c r="Q345" s="30"/>
      <c r="R345" s="30"/>
      <c r="S345" s="30"/>
      <c r="T345" s="30"/>
      <c r="U345" s="30"/>
      <c r="V345" s="31"/>
      <c r="W345" s="29"/>
      <c r="X345" s="29"/>
      <c r="Y345" s="29"/>
      <c r="Z345" s="29"/>
      <c r="AA345" s="30"/>
      <c r="AB345" s="30"/>
      <c r="AC345" s="30"/>
      <c r="AD345" s="30"/>
      <c r="AE345" s="30"/>
      <c r="AF345" s="32"/>
      <c r="AG345" s="33"/>
      <c r="AH345" s="33"/>
      <c r="AI345" s="29"/>
      <c r="AJ345" s="32"/>
      <c r="AK345" s="32"/>
      <c r="AL345" s="29"/>
      <c r="AN345" s="34" t="str">
        <f aca="false">IF($B345="","",IF(OR(C345="",D345="",E345="",G345="",I345="",J345="",L345="",O345="",P345=""),"Champ obligatoire manquant",IF(OR(AND(N345&lt;&gt;"",N345&gt;O345),O345&gt;P345,AND(Q345&lt;&gt;"",Q345&lt;P345),AND(R345&lt;&gt;"",R345&lt;P345),AND(S345&lt;&gt;"",S345&lt;R345),AND(S345&lt;&gt;"",R345=""),AND(T345&lt;&gt;"",T345&lt;O345),AND(U345&lt;&gt;"",U345&lt;O345)),"Chronologie incohérente",IF(AND(OR(L345="Résolu",L345="Clos"),R345=""),"Date de résolution manquante",IF(AND(L345="Clos",S345=""),"Date de clôture manquante",IF(AND(K345="Oui",AC345=""),"Classification DORA manquante","OK"))))))</f>
        <v/>
      </c>
      <c r="AO345" s="35" t="str">
        <f aca="false">IF($B345="","",IF(AND(C345="Incident",L345&lt;&gt;"Annulé"),1,0))</f>
        <v/>
      </c>
      <c r="AP345" s="35" t="str">
        <f aca="false">IF($B345="","",IF(AND(C345="Quasi-incident",L345&lt;&gt;"Annulé"),1,0))</f>
        <v/>
      </c>
      <c r="AQ345" s="35" t="str">
        <f aca="false">IF($B345="","",AO345+AP345)</f>
        <v/>
      </c>
      <c r="AR345" s="36" t="str">
        <f aca="false">IF(OR($B345="",J345=""),"",IFERROR(VALUE(LEFT(J345,1)),""))</f>
        <v/>
      </c>
      <c r="AS345" s="35" t="str">
        <f aca="false">IF(OR(AO345&lt;&gt;1,G345=""),"",IFERROR(IF(INDEX(L_SrcInterne,MATCH(G345,L_Sources,0))="Oui",1,0),""))</f>
        <v/>
      </c>
      <c r="AT345" s="37" t="str">
        <f aca="false">IF(AO345&lt;&gt;1,"",IFERROR(ROUND(IF(OR(N345="",O345=""),"",IF(O345&lt;N345,"",ROUND(((NETWORKDAYS(N345,O345,JoursFeries)-1)*(HFer-HOuv)+IF(NETWORKDAYS(O345,O345,JoursFeries),MEDIAN(MOD(O345,1),HFer,HOuv),HFer)-IF(NETWORKDAYS(N345,N345,JoursFeries),MEDIAN(MOD(N345,1),HFer,HOuv),HOuv))*24,4)))/HJour,4),""))</f>
        <v/>
      </c>
      <c r="AU345" s="37" t="str">
        <f aca="false">IF(AO345&lt;&gt;1,"",IF(OR(O345="",P345=""),"",IF(P345&lt;O345,"",ROUND(((NETWORKDAYS(O345,P345,JoursFeries)-1)*(HFer-HOuv)+IF(NETWORKDAYS(P345,P345,JoursFeries),MEDIAN(MOD(P345,1),HFer,HOuv),HFer)-IF(NETWORKDAYS(O345,O345,JoursFeries),MEDIAN(MOD(O345,1),HFer,HOuv),HOuv))*24,4))))</f>
        <v/>
      </c>
      <c r="AV345" s="37" t="str">
        <f aca="false">IF(AO345&lt;&gt;1,"",IF(OR(P345="",Q345=""),"",IF(Q345&lt;P345,"",ROUND(((NETWORKDAYS(P345,Q345,JoursFeries)-1)*(HFer-HOuv)+IF(NETWORKDAYS(Q345,Q345,JoursFeries),MEDIAN(MOD(Q345,1),HFer,HOuv),HFer)-IF(NETWORKDAYS(P345,P345,JoursFeries),MEDIAN(MOD(P345,1),HFer,HOuv),HOuv))*24,4))))</f>
        <v/>
      </c>
      <c r="AW345" s="37" t="str">
        <f aca="false">IF(AO345&lt;&gt;1,"",IFERROR(ROUND(IF(OR(P345="",R345=""),"",IF(R345&lt;P345,"",ROUND(((NETWORKDAYS(P345,R345,JoursFeries)-1)*(HFer-HOuv)+IF(NETWORKDAYS(R345,R345,JoursFeries),MEDIAN(MOD(R345,1),HFer,HOuv),HFer)-IF(NETWORKDAYS(P345,P345,JoursFeries),MEDIAN(MOD(P345,1),HFer,HOuv),HOuv))*24,4)))/HJour,4),""))</f>
        <v/>
      </c>
      <c r="AX345" s="37" t="str">
        <f aca="false">IF(AO345&lt;&gt;1,"",IFERROR(ROUND(IF(OR(P345="",S345=""),"",IF(S345&lt;P345,"",ROUND(((NETWORKDAYS(P345,S345,JoursFeries)-1)*(HFer-HOuv)+IF(NETWORKDAYS(S345,S345,JoursFeries),MEDIAN(MOD(S345,1),HFer,HOuv),HFer)-IF(NETWORKDAYS(P345,P345,JoursFeries),MEDIAN(MOD(P345,1),HFer,HOuv),HOuv))*24,4)))/HJour,4),""))</f>
        <v/>
      </c>
      <c r="AY345" s="36" t="str">
        <f aca="false">IF(OR(AO345&lt;&gt;1,AR345=""),"",INDEX(SLA_PEC,AR345))</f>
        <v/>
      </c>
      <c r="AZ345" s="35" t="str">
        <f aca="false">IF(OR(AV345="",AY345=""),"",IF(AV345&lt;=AY345,1,0))</f>
        <v/>
      </c>
      <c r="BA345" s="36" t="str">
        <f aca="false">IF(OR(AO345&lt;&gt;1,AR345=""),"",INDEX(SLA_RES,AR345))</f>
        <v/>
      </c>
      <c r="BB345" s="35" t="str">
        <f aca="false">IF(OR(AW345="",BA345=""),"",IF(AW345&lt;=BA345,1,0))</f>
        <v/>
      </c>
      <c r="BC345" s="38" t="str">
        <f aca="false">IF(OR(BA345="",P345=""),"",WORKDAY(INT(P345),BA345,JoursFeries)+MOD(P345,1))</f>
        <v/>
      </c>
      <c r="BD345" s="39" t="str">
        <f aca="false">IF(AO345&lt;&gt;1,"",IF(OR(AB345&lt;&gt;"",AD345&lt;&gt;""),4,IF(U345&lt;&gt;"",3,IF(T345&lt;&gt;"",2,1))))</f>
        <v/>
      </c>
      <c r="BE345" s="39" t="str">
        <f aca="false">IF(OR(AO345&lt;&gt;1,AR345=""),"",INDEX(NIV_REQ,AR345))</f>
        <v/>
      </c>
      <c r="BF345" s="39" t="str">
        <f aca="false">IF(BE345="","",MAX(BE345,IF(OR(K345="Oui",Z345="Oui"),4,1)))</f>
        <v/>
      </c>
      <c r="BG345" s="35" t="str">
        <f aca="false">IF(OR(BF345="",BD345=""),"",IF(BD345&gt;=BF345,1,0))</f>
        <v/>
      </c>
      <c r="BH345" s="38" t="str">
        <f aca="false">IF(BE345="","",IF(BE345&lt;2,"",IF(BE345=2,IF(AND(T345="",U345=""),"",MIN(T345,U345)),IF(U345="","",U345))))</f>
        <v/>
      </c>
      <c r="BI345" s="37" t="str">
        <f aca="false">IF(BH345="","",IF(OR(O345="",BH345=""),"",IF(BH345&lt;O345,"",ROUND(((NETWORKDAYS(O345,BH345,JoursFeries)-1)*(HFer-HOuv)+IF(NETWORKDAYS(BH345,BH345,JoursFeries),MEDIAN(MOD(BH345,1),HFer,HOuv),HFer)-IF(NETWORKDAYS(O345,O345,JoursFeries),MEDIAN(MOD(O345,1),HFer,HOuv),HOuv))*24,4))))</f>
        <v/>
      </c>
      <c r="BJ345" s="35" t="str">
        <f aca="false">IF(OR(BI345="",AR345=""),"",IF(BI345&lt;=INDEX(DELAI_ESC,AR345),1,0))</f>
        <v/>
      </c>
      <c r="BK345" s="38" t="str">
        <f aca="false">IF(AO345&lt;&gt;1,"",IF(AND(T345="",U345=""),"",MIN(T345,U345)))</f>
        <v/>
      </c>
      <c r="BL345" s="37" t="str">
        <f aca="false">IF(OR(BK345="",R345=""),"",IFERROR(ROUND(IF(OR(BK345="",R345=""),"",IF(R345&lt;BK345,"",ROUND(((NETWORKDAYS(BK345,R345,JoursFeries)-1)*(HFer-HOuv)+IF(NETWORKDAYS(R345,R345,JoursFeries),MEDIAN(MOD(R345,1),HFer,HOuv),HFer)-IF(NETWORKDAYS(BK345,BK345,JoursFeries),MEDIAN(MOD(BK345,1),HFer,HOuv),HOuv))*24,4)))/HJour,4),""))</f>
        <v/>
      </c>
      <c r="BM345" s="35" t="str">
        <f aca="false">IF(OR(AO345&lt;&gt;1,R345=""),"",IF(BD345=1,1,0))</f>
        <v/>
      </c>
      <c r="BN345" s="35" t="str">
        <f aca="false">IF(AO345&lt;&gt;1,"",IF(W345="Oui",1,0))</f>
        <v/>
      </c>
      <c r="BO345" s="35" t="str">
        <f aca="false">IF(AO345&lt;&gt;1,"",IF(X345&lt;&gt;"",1,0))</f>
        <v/>
      </c>
      <c r="BP345" s="35" t="str">
        <f aca="false">IF(AO345&lt;&gt;1,"",IF(Y345="Oui",1,0))</f>
        <v/>
      </c>
      <c r="BQ345" s="35" t="str">
        <f aca="true">IF(OR(AO345&lt;&gt;1,Z345&lt;&gt;"Oui"),"",IF(AB345="",IF(AND(AA345&lt;&gt;"",NOW()&gt;AA345),0,""),IF(AA345="","",IF(AB345&lt;=AA345,1,0))))</f>
        <v/>
      </c>
      <c r="BR345" s="38" t="str">
        <f aca="false">IF(OR(AO345&lt;&gt;1,K345&lt;&gt;"Oui",O345=""),"",IF(AC345="",O345+DORA_H_DET/24,IF(AC345-O345&lt;=DORA_H_DET/24,MIN(AC345+DORA_H_CLA/24,O345+DORA_H_DET/24),AC345+DORA_H_CLA/24)))</f>
        <v/>
      </c>
      <c r="BS345" s="35" t="str">
        <f aca="true">IF(BR345="","",IF(AD345="",IF(NOW()&gt;BR345,0,""),IF(AD345&lt;=BR345,1,0)))</f>
        <v/>
      </c>
      <c r="BT345" s="35" t="str">
        <f aca="true">IF(OR(BR345="",AD345=""),"",IF(AE345="",IF(NOW()&gt;AD345+DORA_H_INT/24,0,""),IF(AE345&lt;=AD345+DORA_H_INT/24,1,0)))</f>
        <v/>
      </c>
      <c r="BU345" s="35" t="str">
        <f aca="true">IF(OR(BR345="",AE345=""),"",IF(AF345="",IF(NOW()&gt;EDATE(AE345,DORA_M_FIN)+1,0,""),IF(AF345&lt;=EDATE(AE345,DORA_M_FIN),1,0)))</f>
        <v/>
      </c>
      <c r="BV345" s="35" t="str">
        <f aca="false">IF(BR345="","",IF(COUNT(BS345:BU345)=0,"",MIN(BS345:BU345)))</f>
        <v/>
      </c>
      <c r="BW345" s="40" t="str">
        <f aca="false">IF(AQ345&lt;&gt;1,"",IF(AND(AG345="",AH345=""),"",N(AG345)-N(AH345)))</f>
        <v/>
      </c>
      <c r="BX345" s="35" t="str">
        <f aca="true">IF(OR(AQ345&lt;&gt;1,AI345&lt;&gt;"Oui",AJ345=""),"",IF(AK345="",IF(NOW()&gt;AJ345+1,0,""),IF(AK345&lt;=AJ345,1,0)))</f>
        <v/>
      </c>
    </row>
    <row r="346" customFormat="false" ht="15" hidden="false" customHeight="false" outlineLevel="0" collapsed="false">
      <c r="B346" s="29"/>
      <c r="C346" s="29"/>
      <c r="D346" s="29"/>
      <c r="E346" s="29"/>
      <c r="F346" s="29"/>
      <c r="G346" s="29"/>
      <c r="H346" s="29"/>
      <c r="I346" s="29"/>
      <c r="J346" s="29"/>
      <c r="K346" s="29"/>
      <c r="L346" s="29"/>
      <c r="M346" s="29"/>
      <c r="N346" s="30"/>
      <c r="O346" s="30"/>
      <c r="P346" s="30"/>
      <c r="Q346" s="30"/>
      <c r="R346" s="30"/>
      <c r="S346" s="30"/>
      <c r="T346" s="30"/>
      <c r="U346" s="30"/>
      <c r="V346" s="31"/>
      <c r="W346" s="29"/>
      <c r="X346" s="29"/>
      <c r="Y346" s="29"/>
      <c r="Z346" s="29"/>
      <c r="AA346" s="30"/>
      <c r="AB346" s="30"/>
      <c r="AC346" s="30"/>
      <c r="AD346" s="30"/>
      <c r="AE346" s="30"/>
      <c r="AF346" s="32"/>
      <c r="AG346" s="33"/>
      <c r="AH346" s="33"/>
      <c r="AI346" s="29"/>
      <c r="AJ346" s="32"/>
      <c r="AK346" s="32"/>
      <c r="AL346" s="29"/>
      <c r="AN346" s="34" t="str">
        <f aca="false">IF($B346="","",IF(OR(C346="",D346="",E346="",G346="",I346="",J346="",L346="",O346="",P346=""),"Champ obligatoire manquant",IF(OR(AND(N346&lt;&gt;"",N346&gt;O346),O346&gt;P346,AND(Q346&lt;&gt;"",Q346&lt;P346),AND(R346&lt;&gt;"",R346&lt;P346),AND(S346&lt;&gt;"",S346&lt;R346),AND(S346&lt;&gt;"",R346=""),AND(T346&lt;&gt;"",T346&lt;O346),AND(U346&lt;&gt;"",U346&lt;O346)),"Chronologie incohérente",IF(AND(OR(L346="Résolu",L346="Clos"),R346=""),"Date de résolution manquante",IF(AND(L346="Clos",S346=""),"Date de clôture manquante",IF(AND(K346="Oui",AC346=""),"Classification DORA manquante","OK"))))))</f>
        <v/>
      </c>
      <c r="AO346" s="35" t="str">
        <f aca="false">IF($B346="","",IF(AND(C346="Incident",L346&lt;&gt;"Annulé"),1,0))</f>
        <v/>
      </c>
      <c r="AP346" s="35" t="str">
        <f aca="false">IF($B346="","",IF(AND(C346="Quasi-incident",L346&lt;&gt;"Annulé"),1,0))</f>
        <v/>
      </c>
      <c r="AQ346" s="35" t="str">
        <f aca="false">IF($B346="","",AO346+AP346)</f>
        <v/>
      </c>
      <c r="AR346" s="36" t="str">
        <f aca="false">IF(OR($B346="",J346=""),"",IFERROR(VALUE(LEFT(J346,1)),""))</f>
        <v/>
      </c>
      <c r="AS346" s="35" t="str">
        <f aca="false">IF(OR(AO346&lt;&gt;1,G346=""),"",IFERROR(IF(INDEX(L_SrcInterne,MATCH(G346,L_Sources,0))="Oui",1,0),""))</f>
        <v/>
      </c>
      <c r="AT346" s="37" t="str">
        <f aca="false">IF(AO346&lt;&gt;1,"",IFERROR(ROUND(IF(OR(N346="",O346=""),"",IF(O346&lt;N346,"",ROUND(((NETWORKDAYS(N346,O346,JoursFeries)-1)*(HFer-HOuv)+IF(NETWORKDAYS(O346,O346,JoursFeries),MEDIAN(MOD(O346,1),HFer,HOuv),HFer)-IF(NETWORKDAYS(N346,N346,JoursFeries),MEDIAN(MOD(N346,1),HFer,HOuv),HOuv))*24,4)))/HJour,4),""))</f>
        <v/>
      </c>
      <c r="AU346" s="37" t="str">
        <f aca="false">IF(AO346&lt;&gt;1,"",IF(OR(O346="",P346=""),"",IF(P346&lt;O346,"",ROUND(((NETWORKDAYS(O346,P346,JoursFeries)-1)*(HFer-HOuv)+IF(NETWORKDAYS(P346,P346,JoursFeries),MEDIAN(MOD(P346,1),HFer,HOuv),HFer)-IF(NETWORKDAYS(O346,O346,JoursFeries),MEDIAN(MOD(O346,1),HFer,HOuv),HOuv))*24,4))))</f>
        <v/>
      </c>
      <c r="AV346" s="37" t="str">
        <f aca="false">IF(AO346&lt;&gt;1,"",IF(OR(P346="",Q346=""),"",IF(Q346&lt;P346,"",ROUND(((NETWORKDAYS(P346,Q346,JoursFeries)-1)*(HFer-HOuv)+IF(NETWORKDAYS(Q346,Q346,JoursFeries),MEDIAN(MOD(Q346,1),HFer,HOuv),HFer)-IF(NETWORKDAYS(P346,P346,JoursFeries),MEDIAN(MOD(P346,1),HFer,HOuv),HOuv))*24,4))))</f>
        <v/>
      </c>
      <c r="AW346" s="37" t="str">
        <f aca="false">IF(AO346&lt;&gt;1,"",IFERROR(ROUND(IF(OR(P346="",R346=""),"",IF(R346&lt;P346,"",ROUND(((NETWORKDAYS(P346,R346,JoursFeries)-1)*(HFer-HOuv)+IF(NETWORKDAYS(R346,R346,JoursFeries),MEDIAN(MOD(R346,1),HFer,HOuv),HFer)-IF(NETWORKDAYS(P346,P346,JoursFeries),MEDIAN(MOD(P346,1),HFer,HOuv),HOuv))*24,4)))/HJour,4),""))</f>
        <v/>
      </c>
      <c r="AX346" s="37" t="str">
        <f aca="false">IF(AO346&lt;&gt;1,"",IFERROR(ROUND(IF(OR(P346="",S346=""),"",IF(S346&lt;P346,"",ROUND(((NETWORKDAYS(P346,S346,JoursFeries)-1)*(HFer-HOuv)+IF(NETWORKDAYS(S346,S346,JoursFeries),MEDIAN(MOD(S346,1),HFer,HOuv),HFer)-IF(NETWORKDAYS(P346,P346,JoursFeries),MEDIAN(MOD(P346,1),HFer,HOuv),HOuv))*24,4)))/HJour,4),""))</f>
        <v/>
      </c>
      <c r="AY346" s="36" t="str">
        <f aca="false">IF(OR(AO346&lt;&gt;1,AR346=""),"",INDEX(SLA_PEC,AR346))</f>
        <v/>
      </c>
      <c r="AZ346" s="35" t="str">
        <f aca="false">IF(OR(AV346="",AY346=""),"",IF(AV346&lt;=AY346,1,0))</f>
        <v/>
      </c>
      <c r="BA346" s="36" t="str">
        <f aca="false">IF(OR(AO346&lt;&gt;1,AR346=""),"",INDEX(SLA_RES,AR346))</f>
        <v/>
      </c>
      <c r="BB346" s="35" t="str">
        <f aca="false">IF(OR(AW346="",BA346=""),"",IF(AW346&lt;=BA346,1,0))</f>
        <v/>
      </c>
      <c r="BC346" s="38" t="str">
        <f aca="false">IF(OR(BA346="",P346=""),"",WORKDAY(INT(P346),BA346,JoursFeries)+MOD(P346,1))</f>
        <v/>
      </c>
      <c r="BD346" s="39" t="str">
        <f aca="false">IF(AO346&lt;&gt;1,"",IF(OR(AB346&lt;&gt;"",AD346&lt;&gt;""),4,IF(U346&lt;&gt;"",3,IF(T346&lt;&gt;"",2,1))))</f>
        <v/>
      </c>
      <c r="BE346" s="39" t="str">
        <f aca="false">IF(OR(AO346&lt;&gt;1,AR346=""),"",INDEX(NIV_REQ,AR346))</f>
        <v/>
      </c>
      <c r="BF346" s="39" t="str">
        <f aca="false">IF(BE346="","",MAX(BE346,IF(OR(K346="Oui",Z346="Oui"),4,1)))</f>
        <v/>
      </c>
      <c r="BG346" s="35" t="str">
        <f aca="false">IF(OR(BF346="",BD346=""),"",IF(BD346&gt;=BF346,1,0))</f>
        <v/>
      </c>
      <c r="BH346" s="38" t="str">
        <f aca="false">IF(BE346="","",IF(BE346&lt;2,"",IF(BE346=2,IF(AND(T346="",U346=""),"",MIN(T346,U346)),IF(U346="","",U346))))</f>
        <v/>
      </c>
      <c r="BI346" s="37" t="str">
        <f aca="false">IF(BH346="","",IF(OR(O346="",BH346=""),"",IF(BH346&lt;O346,"",ROUND(((NETWORKDAYS(O346,BH346,JoursFeries)-1)*(HFer-HOuv)+IF(NETWORKDAYS(BH346,BH346,JoursFeries),MEDIAN(MOD(BH346,1),HFer,HOuv),HFer)-IF(NETWORKDAYS(O346,O346,JoursFeries),MEDIAN(MOD(O346,1),HFer,HOuv),HOuv))*24,4))))</f>
        <v/>
      </c>
      <c r="BJ346" s="35" t="str">
        <f aca="false">IF(OR(BI346="",AR346=""),"",IF(BI346&lt;=INDEX(DELAI_ESC,AR346),1,0))</f>
        <v/>
      </c>
      <c r="BK346" s="38" t="str">
        <f aca="false">IF(AO346&lt;&gt;1,"",IF(AND(T346="",U346=""),"",MIN(T346,U346)))</f>
        <v/>
      </c>
      <c r="BL346" s="37" t="str">
        <f aca="false">IF(OR(BK346="",R346=""),"",IFERROR(ROUND(IF(OR(BK346="",R346=""),"",IF(R346&lt;BK346,"",ROUND(((NETWORKDAYS(BK346,R346,JoursFeries)-1)*(HFer-HOuv)+IF(NETWORKDAYS(R346,R346,JoursFeries),MEDIAN(MOD(R346,1),HFer,HOuv),HFer)-IF(NETWORKDAYS(BK346,BK346,JoursFeries),MEDIAN(MOD(BK346,1),HFer,HOuv),HOuv))*24,4)))/HJour,4),""))</f>
        <v/>
      </c>
      <c r="BM346" s="35" t="str">
        <f aca="false">IF(OR(AO346&lt;&gt;1,R346=""),"",IF(BD346=1,1,0))</f>
        <v/>
      </c>
      <c r="BN346" s="35" t="str">
        <f aca="false">IF(AO346&lt;&gt;1,"",IF(W346="Oui",1,0))</f>
        <v/>
      </c>
      <c r="BO346" s="35" t="str">
        <f aca="false">IF(AO346&lt;&gt;1,"",IF(X346&lt;&gt;"",1,0))</f>
        <v/>
      </c>
      <c r="BP346" s="35" t="str">
        <f aca="false">IF(AO346&lt;&gt;1,"",IF(Y346="Oui",1,0))</f>
        <v/>
      </c>
      <c r="BQ346" s="35" t="str">
        <f aca="true">IF(OR(AO346&lt;&gt;1,Z346&lt;&gt;"Oui"),"",IF(AB346="",IF(AND(AA346&lt;&gt;"",NOW()&gt;AA346),0,""),IF(AA346="","",IF(AB346&lt;=AA346,1,0))))</f>
        <v/>
      </c>
      <c r="BR346" s="38" t="str">
        <f aca="false">IF(OR(AO346&lt;&gt;1,K346&lt;&gt;"Oui",O346=""),"",IF(AC346="",O346+DORA_H_DET/24,IF(AC346-O346&lt;=DORA_H_DET/24,MIN(AC346+DORA_H_CLA/24,O346+DORA_H_DET/24),AC346+DORA_H_CLA/24)))</f>
        <v/>
      </c>
      <c r="BS346" s="35" t="str">
        <f aca="true">IF(BR346="","",IF(AD346="",IF(NOW()&gt;BR346,0,""),IF(AD346&lt;=BR346,1,0)))</f>
        <v/>
      </c>
      <c r="BT346" s="35" t="str">
        <f aca="true">IF(OR(BR346="",AD346=""),"",IF(AE346="",IF(NOW()&gt;AD346+DORA_H_INT/24,0,""),IF(AE346&lt;=AD346+DORA_H_INT/24,1,0)))</f>
        <v/>
      </c>
      <c r="BU346" s="35" t="str">
        <f aca="true">IF(OR(BR346="",AE346=""),"",IF(AF346="",IF(NOW()&gt;EDATE(AE346,DORA_M_FIN)+1,0,""),IF(AF346&lt;=EDATE(AE346,DORA_M_FIN),1,0)))</f>
        <v/>
      </c>
      <c r="BV346" s="35" t="str">
        <f aca="false">IF(BR346="","",IF(COUNT(BS346:BU346)=0,"",MIN(BS346:BU346)))</f>
        <v/>
      </c>
      <c r="BW346" s="40" t="str">
        <f aca="false">IF(AQ346&lt;&gt;1,"",IF(AND(AG346="",AH346=""),"",N(AG346)-N(AH346)))</f>
        <v/>
      </c>
      <c r="BX346" s="35" t="str">
        <f aca="true">IF(OR(AQ346&lt;&gt;1,AI346&lt;&gt;"Oui",AJ346=""),"",IF(AK346="",IF(NOW()&gt;AJ346+1,0,""),IF(AK346&lt;=AJ346,1,0)))</f>
        <v/>
      </c>
    </row>
    <row r="347" customFormat="false" ht="15" hidden="false" customHeight="false" outlineLevel="0" collapsed="false">
      <c r="B347" s="29"/>
      <c r="C347" s="29"/>
      <c r="D347" s="29"/>
      <c r="E347" s="29"/>
      <c r="F347" s="29"/>
      <c r="G347" s="29"/>
      <c r="H347" s="29"/>
      <c r="I347" s="29"/>
      <c r="J347" s="29"/>
      <c r="K347" s="29"/>
      <c r="L347" s="29"/>
      <c r="M347" s="29"/>
      <c r="N347" s="30"/>
      <c r="O347" s="30"/>
      <c r="P347" s="30"/>
      <c r="Q347" s="30"/>
      <c r="R347" s="30"/>
      <c r="S347" s="30"/>
      <c r="T347" s="30"/>
      <c r="U347" s="30"/>
      <c r="V347" s="31"/>
      <c r="W347" s="29"/>
      <c r="X347" s="29"/>
      <c r="Y347" s="29"/>
      <c r="Z347" s="29"/>
      <c r="AA347" s="30"/>
      <c r="AB347" s="30"/>
      <c r="AC347" s="30"/>
      <c r="AD347" s="30"/>
      <c r="AE347" s="30"/>
      <c r="AF347" s="32"/>
      <c r="AG347" s="33"/>
      <c r="AH347" s="33"/>
      <c r="AI347" s="29"/>
      <c r="AJ347" s="32"/>
      <c r="AK347" s="32"/>
      <c r="AL347" s="29"/>
      <c r="AN347" s="34" t="str">
        <f aca="false">IF($B347="","",IF(OR(C347="",D347="",E347="",G347="",I347="",J347="",L347="",O347="",P347=""),"Champ obligatoire manquant",IF(OR(AND(N347&lt;&gt;"",N347&gt;O347),O347&gt;P347,AND(Q347&lt;&gt;"",Q347&lt;P347),AND(R347&lt;&gt;"",R347&lt;P347),AND(S347&lt;&gt;"",S347&lt;R347),AND(S347&lt;&gt;"",R347=""),AND(T347&lt;&gt;"",T347&lt;O347),AND(U347&lt;&gt;"",U347&lt;O347)),"Chronologie incohérente",IF(AND(OR(L347="Résolu",L347="Clos"),R347=""),"Date de résolution manquante",IF(AND(L347="Clos",S347=""),"Date de clôture manquante",IF(AND(K347="Oui",AC347=""),"Classification DORA manquante","OK"))))))</f>
        <v/>
      </c>
      <c r="AO347" s="35" t="str">
        <f aca="false">IF($B347="","",IF(AND(C347="Incident",L347&lt;&gt;"Annulé"),1,0))</f>
        <v/>
      </c>
      <c r="AP347" s="35" t="str">
        <f aca="false">IF($B347="","",IF(AND(C347="Quasi-incident",L347&lt;&gt;"Annulé"),1,0))</f>
        <v/>
      </c>
      <c r="AQ347" s="35" t="str">
        <f aca="false">IF($B347="","",AO347+AP347)</f>
        <v/>
      </c>
      <c r="AR347" s="36" t="str">
        <f aca="false">IF(OR($B347="",J347=""),"",IFERROR(VALUE(LEFT(J347,1)),""))</f>
        <v/>
      </c>
      <c r="AS347" s="35" t="str">
        <f aca="false">IF(OR(AO347&lt;&gt;1,G347=""),"",IFERROR(IF(INDEX(L_SrcInterne,MATCH(G347,L_Sources,0))="Oui",1,0),""))</f>
        <v/>
      </c>
      <c r="AT347" s="37" t="str">
        <f aca="false">IF(AO347&lt;&gt;1,"",IFERROR(ROUND(IF(OR(N347="",O347=""),"",IF(O347&lt;N347,"",ROUND(((NETWORKDAYS(N347,O347,JoursFeries)-1)*(HFer-HOuv)+IF(NETWORKDAYS(O347,O347,JoursFeries),MEDIAN(MOD(O347,1),HFer,HOuv),HFer)-IF(NETWORKDAYS(N347,N347,JoursFeries),MEDIAN(MOD(N347,1),HFer,HOuv),HOuv))*24,4)))/HJour,4),""))</f>
        <v/>
      </c>
      <c r="AU347" s="37" t="str">
        <f aca="false">IF(AO347&lt;&gt;1,"",IF(OR(O347="",P347=""),"",IF(P347&lt;O347,"",ROUND(((NETWORKDAYS(O347,P347,JoursFeries)-1)*(HFer-HOuv)+IF(NETWORKDAYS(P347,P347,JoursFeries),MEDIAN(MOD(P347,1),HFer,HOuv),HFer)-IF(NETWORKDAYS(O347,O347,JoursFeries),MEDIAN(MOD(O347,1),HFer,HOuv),HOuv))*24,4))))</f>
        <v/>
      </c>
      <c r="AV347" s="37" t="str">
        <f aca="false">IF(AO347&lt;&gt;1,"",IF(OR(P347="",Q347=""),"",IF(Q347&lt;P347,"",ROUND(((NETWORKDAYS(P347,Q347,JoursFeries)-1)*(HFer-HOuv)+IF(NETWORKDAYS(Q347,Q347,JoursFeries),MEDIAN(MOD(Q347,1),HFer,HOuv),HFer)-IF(NETWORKDAYS(P347,P347,JoursFeries),MEDIAN(MOD(P347,1),HFer,HOuv),HOuv))*24,4))))</f>
        <v/>
      </c>
      <c r="AW347" s="37" t="str">
        <f aca="false">IF(AO347&lt;&gt;1,"",IFERROR(ROUND(IF(OR(P347="",R347=""),"",IF(R347&lt;P347,"",ROUND(((NETWORKDAYS(P347,R347,JoursFeries)-1)*(HFer-HOuv)+IF(NETWORKDAYS(R347,R347,JoursFeries),MEDIAN(MOD(R347,1),HFer,HOuv),HFer)-IF(NETWORKDAYS(P347,P347,JoursFeries),MEDIAN(MOD(P347,1),HFer,HOuv),HOuv))*24,4)))/HJour,4),""))</f>
        <v/>
      </c>
      <c r="AX347" s="37" t="str">
        <f aca="false">IF(AO347&lt;&gt;1,"",IFERROR(ROUND(IF(OR(P347="",S347=""),"",IF(S347&lt;P347,"",ROUND(((NETWORKDAYS(P347,S347,JoursFeries)-1)*(HFer-HOuv)+IF(NETWORKDAYS(S347,S347,JoursFeries),MEDIAN(MOD(S347,1),HFer,HOuv),HFer)-IF(NETWORKDAYS(P347,P347,JoursFeries),MEDIAN(MOD(P347,1),HFer,HOuv),HOuv))*24,4)))/HJour,4),""))</f>
        <v/>
      </c>
      <c r="AY347" s="36" t="str">
        <f aca="false">IF(OR(AO347&lt;&gt;1,AR347=""),"",INDEX(SLA_PEC,AR347))</f>
        <v/>
      </c>
      <c r="AZ347" s="35" t="str">
        <f aca="false">IF(OR(AV347="",AY347=""),"",IF(AV347&lt;=AY347,1,0))</f>
        <v/>
      </c>
      <c r="BA347" s="36" t="str">
        <f aca="false">IF(OR(AO347&lt;&gt;1,AR347=""),"",INDEX(SLA_RES,AR347))</f>
        <v/>
      </c>
      <c r="BB347" s="35" t="str">
        <f aca="false">IF(OR(AW347="",BA347=""),"",IF(AW347&lt;=BA347,1,0))</f>
        <v/>
      </c>
      <c r="BC347" s="38" t="str">
        <f aca="false">IF(OR(BA347="",P347=""),"",WORKDAY(INT(P347),BA347,JoursFeries)+MOD(P347,1))</f>
        <v/>
      </c>
      <c r="BD347" s="39" t="str">
        <f aca="false">IF(AO347&lt;&gt;1,"",IF(OR(AB347&lt;&gt;"",AD347&lt;&gt;""),4,IF(U347&lt;&gt;"",3,IF(T347&lt;&gt;"",2,1))))</f>
        <v/>
      </c>
      <c r="BE347" s="39" t="str">
        <f aca="false">IF(OR(AO347&lt;&gt;1,AR347=""),"",INDEX(NIV_REQ,AR347))</f>
        <v/>
      </c>
      <c r="BF347" s="39" t="str">
        <f aca="false">IF(BE347="","",MAX(BE347,IF(OR(K347="Oui",Z347="Oui"),4,1)))</f>
        <v/>
      </c>
      <c r="BG347" s="35" t="str">
        <f aca="false">IF(OR(BF347="",BD347=""),"",IF(BD347&gt;=BF347,1,0))</f>
        <v/>
      </c>
      <c r="BH347" s="38" t="str">
        <f aca="false">IF(BE347="","",IF(BE347&lt;2,"",IF(BE347=2,IF(AND(T347="",U347=""),"",MIN(T347,U347)),IF(U347="","",U347))))</f>
        <v/>
      </c>
      <c r="BI347" s="37" t="str">
        <f aca="false">IF(BH347="","",IF(OR(O347="",BH347=""),"",IF(BH347&lt;O347,"",ROUND(((NETWORKDAYS(O347,BH347,JoursFeries)-1)*(HFer-HOuv)+IF(NETWORKDAYS(BH347,BH347,JoursFeries),MEDIAN(MOD(BH347,1),HFer,HOuv),HFer)-IF(NETWORKDAYS(O347,O347,JoursFeries),MEDIAN(MOD(O347,1),HFer,HOuv),HOuv))*24,4))))</f>
        <v/>
      </c>
      <c r="BJ347" s="35" t="str">
        <f aca="false">IF(OR(BI347="",AR347=""),"",IF(BI347&lt;=INDEX(DELAI_ESC,AR347),1,0))</f>
        <v/>
      </c>
      <c r="BK347" s="38" t="str">
        <f aca="false">IF(AO347&lt;&gt;1,"",IF(AND(T347="",U347=""),"",MIN(T347,U347)))</f>
        <v/>
      </c>
      <c r="BL347" s="37" t="str">
        <f aca="false">IF(OR(BK347="",R347=""),"",IFERROR(ROUND(IF(OR(BK347="",R347=""),"",IF(R347&lt;BK347,"",ROUND(((NETWORKDAYS(BK347,R347,JoursFeries)-1)*(HFer-HOuv)+IF(NETWORKDAYS(R347,R347,JoursFeries),MEDIAN(MOD(R347,1),HFer,HOuv),HFer)-IF(NETWORKDAYS(BK347,BK347,JoursFeries),MEDIAN(MOD(BK347,1),HFer,HOuv),HOuv))*24,4)))/HJour,4),""))</f>
        <v/>
      </c>
      <c r="BM347" s="35" t="str">
        <f aca="false">IF(OR(AO347&lt;&gt;1,R347=""),"",IF(BD347=1,1,0))</f>
        <v/>
      </c>
      <c r="BN347" s="35" t="str">
        <f aca="false">IF(AO347&lt;&gt;1,"",IF(W347="Oui",1,0))</f>
        <v/>
      </c>
      <c r="BO347" s="35" t="str">
        <f aca="false">IF(AO347&lt;&gt;1,"",IF(X347&lt;&gt;"",1,0))</f>
        <v/>
      </c>
      <c r="BP347" s="35" t="str">
        <f aca="false">IF(AO347&lt;&gt;1,"",IF(Y347="Oui",1,0))</f>
        <v/>
      </c>
      <c r="BQ347" s="35" t="str">
        <f aca="true">IF(OR(AO347&lt;&gt;1,Z347&lt;&gt;"Oui"),"",IF(AB347="",IF(AND(AA347&lt;&gt;"",NOW()&gt;AA347),0,""),IF(AA347="","",IF(AB347&lt;=AA347,1,0))))</f>
        <v/>
      </c>
      <c r="BR347" s="38" t="str">
        <f aca="false">IF(OR(AO347&lt;&gt;1,K347&lt;&gt;"Oui",O347=""),"",IF(AC347="",O347+DORA_H_DET/24,IF(AC347-O347&lt;=DORA_H_DET/24,MIN(AC347+DORA_H_CLA/24,O347+DORA_H_DET/24),AC347+DORA_H_CLA/24)))</f>
        <v/>
      </c>
      <c r="BS347" s="35" t="str">
        <f aca="true">IF(BR347="","",IF(AD347="",IF(NOW()&gt;BR347,0,""),IF(AD347&lt;=BR347,1,0)))</f>
        <v/>
      </c>
      <c r="BT347" s="35" t="str">
        <f aca="true">IF(OR(BR347="",AD347=""),"",IF(AE347="",IF(NOW()&gt;AD347+DORA_H_INT/24,0,""),IF(AE347&lt;=AD347+DORA_H_INT/24,1,0)))</f>
        <v/>
      </c>
      <c r="BU347" s="35" t="str">
        <f aca="true">IF(OR(BR347="",AE347=""),"",IF(AF347="",IF(NOW()&gt;EDATE(AE347,DORA_M_FIN)+1,0,""),IF(AF347&lt;=EDATE(AE347,DORA_M_FIN),1,0)))</f>
        <v/>
      </c>
      <c r="BV347" s="35" t="str">
        <f aca="false">IF(BR347="","",IF(COUNT(BS347:BU347)=0,"",MIN(BS347:BU347)))</f>
        <v/>
      </c>
      <c r="BW347" s="40" t="str">
        <f aca="false">IF(AQ347&lt;&gt;1,"",IF(AND(AG347="",AH347=""),"",N(AG347)-N(AH347)))</f>
        <v/>
      </c>
      <c r="BX347" s="35" t="str">
        <f aca="true">IF(OR(AQ347&lt;&gt;1,AI347&lt;&gt;"Oui",AJ347=""),"",IF(AK347="",IF(NOW()&gt;AJ347+1,0,""),IF(AK347&lt;=AJ347,1,0)))</f>
        <v/>
      </c>
    </row>
    <row r="348" customFormat="false" ht="15" hidden="false" customHeight="false" outlineLevel="0" collapsed="false">
      <c r="B348" s="29"/>
      <c r="C348" s="29"/>
      <c r="D348" s="29"/>
      <c r="E348" s="29"/>
      <c r="F348" s="29"/>
      <c r="G348" s="29"/>
      <c r="H348" s="29"/>
      <c r="I348" s="29"/>
      <c r="J348" s="29"/>
      <c r="K348" s="29"/>
      <c r="L348" s="29"/>
      <c r="M348" s="29"/>
      <c r="N348" s="30"/>
      <c r="O348" s="30"/>
      <c r="P348" s="30"/>
      <c r="Q348" s="30"/>
      <c r="R348" s="30"/>
      <c r="S348" s="30"/>
      <c r="T348" s="30"/>
      <c r="U348" s="30"/>
      <c r="V348" s="31"/>
      <c r="W348" s="29"/>
      <c r="X348" s="29"/>
      <c r="Y348" s="29"/>
      <c r="Z348" s="29"/>
      <c r="AA348" s="30"/>
      <c r="AB348" s="30"/>
      <c r="AC348" s="30"/>
      <c r="AD348" s="30"/>
      <c r="AE348" s="30"/>
      <c r="AF348" s="32"/>
      <c r="AG348" s="33"/>
      <c r="AH348" s="33"/>
      <c r="AI348" s="29"/>
      <c r="AJ348" s="32"/>
      <c r="AK348" s="32"/>
      <c r="AL348" s="29"/>
      <c r="AN348" s="34" t="str">
        <f aca="false">IF($B348="","",IF(OR(C348="",D348="",E348="",G348="",I348="",J348="",L348="",O348="",P348=""),"Champ obligatoire manquant",IF(OR(AND(N348&lt;&gt;"",N348&gt;O348),O348&gt;P348,AND(Q348&lt;&gt;"",Q348&lt;P348),AND(R348&lt;&gt;"",R348&lt;P348),AND(S348&lt;&gt;"",S348&lt;R348),AND(S348&lt;&gt;"",R348=""),AND(T348&lt;&gt;"",T348&lt;O348),AND(U348&lt;&gt;"",U348&lt;O348)),"Chronologie incohérente",IF(AND(OR(L348="Résolu",L348="Clos"),R348=""),"Date de résolution manquante",IF(AND(L348="Clos",S348=""),"Date de clôture manquante",IF(AND(K348="Oui",AC348=""),"Classification DORA manquante","OK"))))))</f>
        <v/>
      </c>
      <c r="AO348" s="35" t="str">
        <f aca="false">IF($B348="","",IF(AND(C348="Incident",L348&lt;&gt;"Annulé"),1,0))</f>
        <v/>
      </c>
      <c r="AP348" s="35" t="str">
        <f aca="false">IF($B348="","",IF(AND(C348="Quasi-incident",L348&lt;&gt;"Annulé"),1,0))</f>
        <v/>
      </c>
      <c r="AQ348" s="35" t="str">
        <f aca="false">IF($B348="","",AO348+AP348)</f>
        <v/>
      </c>
      <c r="AR348" s="36" t="str">
        <f aca="false">IF(OR($B348="",J348=""),"",IFERROR(VALUE(LEFT(J348,1)),""))</f>
        <v/>
      </c>
      <c r="AS348" s="35" t="str">
        <f aca="false">IF(OR(AO348&lt;&gt;1,G348=""),"",IFERROR(IF(INDEX(L_SrcInterne,MATCH(G348,L_Sources,0))="Oui",1,0),""))</f>
        <v/>
      </c>
      <c r="AT348" s="37" t="str">
        <f aca="false">IF(AO348&lt;&gt;1,"",IFERROR(ROUND(IF(OR(N348="",O348=""),"",IF(O348&lt;N348,"",ROUND(((NETWORKDAYS(N348,O348,JoursFeries)-1)*(HFer-HOuv)+IF(NETWORKDAYS(O348,O348,JoursFeries),MEDIAN(MOD(O348,1),HFer,HOuv),HFer)-IF(NETWORKDAYS(N348,N348,JoursFeries),MEDIAN(MOD(N348,1),HFer,HOuv),HOuv))*24,4)))/HJour,4),""))</f>
        <v/>
      </c>
      <c r="AU348" s="37" t="str">
        <f aca="false">IF(AO348&lt;&gt;1,"",IF(OR(O348="",P348=""),"",IF(P348&lt;O348,"",ROUND(((NETWORKDAYS(O348,P348,JoursFeries)-1)*(HFer-HOuv)+IF(NETWORKDAYS(P348,P348,JoursFeries),MEDIAN(MOD(P348,1),HFer,HOuv),HFer)-IF(NETWORKDAYS(O348,O348,JoursFeries),MEDIAN(MOD(O348,1),HFer,HOuv),HOuv))*24,4))))</f>
        <v/>
      </c>
      <c r="AV348" s="37" t="str">
        <f aca="false">IF(AO348&lt;&gt;1,"",IF(OR(P348="",Q348=""),"",IF(Q348&lt;P348,"",ROUND(((NETWORKDAYS(P348,Q348,JoursFeries)-1)*(HFer-HOuv)+IF(NETWORKDAYS(Q348,Q348,JoursFeries),MEDIAN(MOD(Q348,1),HFer,HOuv),HFer)-IF(NETWORKDAYS(P348,P348,JoursFeries),MEDIAN(MOD(P348,1),HFer,HOuv),HOuv))*24,4))))</f>
        <v/>
      </c>
      <c r="AW348" s="37" t="str">
        <f aca="false">IF(AO348&lt;&gt;1,"",IFERROR(ROUND(IF(OR(P348="",R348=""),"",IF(R348&lt;P348,"",ROUND(((NETWORKDAYS(P348,R348,JoursFeries)-1)*(HFer-HOuv)+IF(NETWORKDAYS(R348,R348,JoursFeries),MEDIAN(MOD(R348,1),HFer,HOuv),HFer)-IF(NETWORKDAYS(P348,P348,JoursFeries),MEDIAN(MOD(P348,1),HFer,HOuv),HOuv))*24,4)))/HJour,4),""))</f>
        <v/>
      </c>
      <c r="AX348" s="37" t="str">
        <f aca="false">IF(AO348&lt;&gt;1,"",IFERROR(ROUND(IF(OR(P348="",S348=""),"",IF(S348&lt;P348,"",ROUND(((NETWORKDAYS(P348,S348,JoursFeries)-1)*(HFer-HOuv)+IF(NETWORKDAYS(S348,S348,JoursFeries),MEDIAN(MOD(S348,1),HFer,HOuv),HFer)-IF(NETWORKDAYS(P348,P348,JoursFeries),MEDIAN(MOD(P348,1),HFer,HOuv),HOuv))*24,4)))/HJour,4),""))</f>
        <v/>
      </c>
      <c r="AY348" s="36" t="str">
        <f aca="false">IF(OR(AO348&lt;&gt;1,AR348=""),"",INDEX(SLA_PEC,AR348))</f>
        <v/>
      </c>
      <c r="AZ348" s="35" t="str">
        <f aca="false">IF(OR(AV348="",AY348=""),"",IF(AV348&lt;=AY348,1,0))</f>
        <v/>
      </c>
      <c r="BA348" s="36" t="str">
        <f aca="false">IF(OR(AO348&lt;&gt;1,AR348=""),"",INDEX(SLA_RES,AR348))</f>
        <v/>
      </c>
      <c r="BB348" s="35" t="str">
        <f aca="false">IF(OR(AW348="",BA348=""),"",IF(AW348&lt;=BA348,1,0))</f>
        <v/>
      </c>
      <c r="BC348" s="38" t="str">
        <f aca="false">IF(OR(BA348="",P348=""),"",WORKDAY(INT(P348),BA348,JoursFeries)+MOD(P348,1))</f>
        <v/>
      </c>
      <c r="BD348" s="39" t="str">
        <f aca="false">IF(AO348&lt;&gt;1,"",IF(OR(AB348&lt;&gt;"",AD348&lt;&gt;""),4,IF(U348&lt;&gt;"",3,IF(T348&lt;&gt;"",2,1))))</f>
        <v/>
      </c>
      <c r="BE348" s="39" t="str">
        <f aca="false">IF(OR(AO348&lt;&gt;1,AR348=""),"",INDEX(NIV_REQ,AR348))</f>
        <v/>
      </c>
      <c r="BF348" s="39" t="str">
        <f aca="false">IF(BE348="","",MAX(BE348,IF(OR(K348="Oui",Z348="Oui"),4,1)))</f>
        <v/>
      </c>
      <c r="BG348" s="35" t="str">
        <f aca="false">IF(OR(BF348="",BD348=""),"",IF(BD348&gt;=BF348,1,0))</f>
        <v/>
      </c>
      <c r="BH348" s="38" t="str">
        <f aca="false">IF(BE348="","",IF(BE348&lt;2,"",IF(BE348=2,IF(AND(T348="",U348=""),"",MIN(T348,U348)),IF(U348="","",U348))))</f>
        <v/>
      </c>
      <c r="BI348" s="37" t="str">
        <f aca="false">IF(BH348="","",IF(OR(O348="",BH348=""),"",IF(BH348&lt;O348,"",ROUND(((NETWORKDAYS(O348,BH348,JoursFeries)-1)*(HFer-HOuv)+IF(NETWORKDAYS(BH348,BH348,JoursFeries),MEDIAN(MOD(BH348,1),HFer,HOuv),HFer)-IF(NETWORKDAYS(O348,O348,JoursFeries),MEDIAN(MOD(O348,1),HFer,HOuv),HOuv))*24,4))))</f>
        <v/>
      </c>
      <c r="BJ348" s="35" t="str">
        <f aca="false">IF(OR(BI348="",AR348=""),"",IF(BI348&lt;=INDEX(DELAI_ESC,AR348),1,0))</f>
        <v/>
      </c>
      <c r="BK348" s="38" t="str">
        <f aca="false">IF(AO348&lt;&gt;1,"",IF(AND(T348="",U348=""),"",MIN(T348,U348)))</f>
        <v/>
      </c>
      <c r="BL348" s="37" t="str">
        <f aca="false">IF(OR(BK348="",R348=""),"",IFERROR(ROUND(IF(OR(BK348="",R348=""),"",IF(R348&lt;BK348,"",ROUND(((NETWORKDAYS(BK348,R348,JoursFeries)-1)*(HFer-HOuv)+IF(NETWORKDAYS(R348,R348,JoursFeries),MEDIAN(MOD(R348,1),HFer,HOuv),HFer)-IF(NETWORKDAYS(BK348,BK348,JoursFeries),MEDIAN(MOD(BK348,1),HFer,HOuv),HOuv))*24,4)))/HJour,4),""))</f>
        <v/>
      </c>
      <c r="BM348" s="35" t="str">
        <f aca="false">IF(OR(AO348&lt;&gt;1,R348=""),"",IF(BD348=1,1,0))</f>
        <v/>
      </c>
      <c r="BN348" s="35" t="str">
        <f aca="false">IF(AO348&lt;&gt;1,"",IF(W348="Oui",1,0))</f>
        <v/>
      </c>
      <c r="BO348" s="35" t="str">
        <f aca="false">IF(AO348&lt;&gt;1,"",IF(X348&lt;&gt;"",1,0))</f>
        <v/>
      </c>
      <c r="BP348" s="35" t="str">
        <f aca="false">IF(AO348&lt;&gt;1,"",IF(Y348="Oui",1,0))</f>
        <v/>
      </c>
      <c r="BQ348" s="35" t="str">
        <f aca="true">IF(OR(AO348&lt;&gt;1,Z348&lt;&gt;"Oui"),"",IF(AB348="",IF(AND(AA348&lt;&gt;"",NOW()&gt;AA348),0,""),IF(AA348="","",IF(AB348&lt;=AA348,1,0))))</f>
        <v/>
      </c>
      <c r="BR348" s="38" t="str">
        <f aca="false">IF(OR(AO348&lt;&gt;1,K348&lt;&gt;"Oui",O348=""),"",IF(AC348="",O348+DORA_H_DET/24,IF(AC348-O348&lt;=DORA_H_DET/24,MIN(AC348+DORA_H_CLA/24,O348+DORA_H_DET/24),AC348+DORA_H_CLA/24)))</f>
        <v/>
      </c>
      <c r="BS348" s="35" t="str">
        <f aca="true">IF(BR348="","",IF(AD348="",IF(NOW()&gt;BR348,0,""),IF(AD348&lt;=BR348,1,0)))</f>
        <v/>
      </c>
      <c r="BT348" s="35" t="str">
        <f aca="true">IF(OR(BR348="",AD348=""),"",IF(AE348="",IF(NOW()&gt;AD348+DORA_H_INT/24,0,""),IF(AE348&lt;=AD348+DORA_H_INT/24,1,0)))</f>
        <v/>
      </c>
      <c r="BU348" s="35" t="str">
        <f aca="true">IF(OR(BR348="",AE348=""),"",IF(AF348="",IF(NOW()&gt;EDATE(AE348,DORA_M_FIN)+1,0,""),IF(AF348&lt;=EDATE(AE348,DORA_M_FIN),1,0)))</f>
        <v/>
      </c>
      <c r="BV348" s="35" t="str">
        <f aca="false">IF(BR348="","",IF(COUNT(BS348:BU348)=0,"",MIN(BS348:BU348)))</f>
        <v/>
      </c>
      <c r="BW348" s="40" t="str">
        <f aca="false">IF(AQ348&lt;&gt;1,"",IF(AND(AG348="",AH348=""),"",N(AG348)-N(AH348)))</f>
        <v/>
      </c>
      <c r="BX348" s="35" t="str">
        <f aca="true">IF(OR(AQ348&lt;&gt;1,AI348&lt;&gt;"Oui",AJ348=""),"",IF(AK348="",IF(NOW()&gt;AJ348+1,0,""),IF(AK348&lt;=AJ348,1,0)))</f>
        <v/>
      </c>
    </row>
    <row r="349" customFormat="false" ht="15" hidden="false" customHeight="false" outlineLevel="0" collapsed="false">
      <c r="B349" s="29"/>
      <c r="C349" s="29"/>
      <c r="D349" s="29"/>
      <c r="E349" s="29"/>
      <c r="F349" s="29"/>
      <c r="G349" s="29"/>
      <c r="H349" s="29"/>
      <c r="I349" s="29"/>
      <c r="J349" s="29"/>
      <c r="K349" s="29"/>
      <c r="L349" s="29"/>
      <c r="M349" s="29"/>
      <c r="N349" s="30"/>
      <c r="O349" s="30"/>
      <c r="P349" s="30"/>
      <c r="Q349" s="30"/>
      <c r="R349" s="30"/>
      <c r="S349" s="30"/>
      <c r="T349" s="30"/>
      <c r="U349" s="30"/>
      <c r="V349" s="31"/>
      <c r="W349" s="29"/>
      <c r="X349" s="29"/>
      <c r="Y349" s="29"/>
      <c r="Z349" s="29"/>
      <c r="AA349" s="30"/>
      <c r="AB349" s="30"/>
      <c r="AC349" s="30"/>
      <c r="AD349" s="30"/>
      <c r="AE349" s="30"/>
      <c r="AF349" s="32"/>
      <c r="AG349" s="33"/>
      <c r="AH349" s="33"/>
      <c r="AI349" s="29"/>
      <c r="AJ349" s="32"/>
      <c r="AK349" s="32"/>
      <c r="AL349" s="29"/>
      <c r="AN349" s="34" t="str">
        <f aca="false">IF($B349="","",IF(OR(C349="",D349="",E349="",G349="",I349="",J349="",L349="",O349="",P349=""),"Champ obligatoire manquant",IF(OR(AND(N349&lt;&gt;"",N349&gt;O349),O349&gt;P349,AND(Q349&lt;&gt;"",Q349&lt;P349),AND(R349&lt;&gt;"",R349&lt;P349),AND(S349&lt;&gt;"",S349&lt;R349),AND(S349&lt;&gt;"",R349=""),AND(T349&lt;&gt;"",T349&lt;O349),AND(U349&lt;&gt;"",U349&lt;O349)),"Chronologie incohérente",IF(AND(OR(L349="Résolu",L349="Clos"),R349=""),"Date de résolution manquante",IF(AND(L349="Clos",S349=""),"Date de clôture manquante",IF(AND(K349="Oui",AC349=""),"Classification DORA manquante","OK"))))))</f>
        <v/>
      </c>
      <c r="AO349" s="35" t="str">
        <f aca="false">IF($B349="","",IF(AND(C349="Incident",L349&lt;&gt;"Annulé"),1,0))</f>
        <v/>
      </c>
      <c r="AP349" s="35" t="str">
        <f aca="false">IF($B349="","",IF(AND(C349="Quasi-incident",L349&lt;&gt;"Annulé"),1,0))</f>
        <v/>
      </c>
      <c r="AQ349" s="35" t="str">
        <f aca="false">IF($B349="","",AO349+AP349)</f>
        <v/>
      </c>
      <c r="AR349" s="36" t="str">
        <f aca="false">IF(OR($B349="",J349=""),"",IFERROR(VALUE(LEFT(J349,1)),""))</f>
        <v/>
      </c>
      <c r="AS349" s="35" t="str">
        <f aca="false">IF(OR(AO349&lt;&gt;1,G349=""),"",IFERROR(IF(INDEX(L_SrcInterne,MATCH(G349,L_Sources,0))="Oui",1,0),""))</f>
        <v/>
      </c>
      <c r="AT349" s="37" t="str">
        <f aca="false">IF(AO349&lt;&gt;1,"",IFERROR(ROUND(IF(OR(N349="",O349=""),"",IF(O349&lt;N349,"",ROUND(((NETWORKDAYS(N349,O349,JoursFeries)-1)*(HFer-HOuv)+IF(NETWORKDAYS(O349,O349,JoursFeries),MEDIAN(MOD(O349,1),HFer,HOuv),HFer)-IF(NETWORKDAYS(N349,N349,JoursFeries),MEDIAN(MOD(N349,1),HFer,HOuv),HOuv))*24,4)))/HJour,4),""))</f>
        <v/>
      </c>
      <c r="AU349" s="37" t="str">
        <f aca="false">IF(AO349&lt;&gt;1,"",IF(OR(O349="",P349=""),"",IF(P349&lt;O349,"",ROUND(((NETWORKDAYS(O349,P349,JoursFeries)-1)*(HFer-HOuv)+IF(NETWORKDAYS(P349,P349,JoursFeries),MEDIAN(MOD(P349,1),HFer,HOuv),HFer)-IF(NETWORKDAYS(O349,O349,JoursFeries),MEDIAN(MOD(O349,1),HFer,HOuv),HOuv))*24,4))))</f>
        <v/>
      </c>
      <c r="AV349" s="37" t="str">
        <f aca="false">IF(AO349&lt;&gt;1,"",IF(OR(P349="",Q349=""),"",IF(Q349&lt;P349,"",ROUND(((NETWORKDAYS(P349,Q349,JoursFeries)-1)*(HFer-HOuv)+IF(NETWORKDAYS(Q349,Q349,JoursFeries),MEDIAN(MOD(Q349,1),HFer,HOuv),HFer)-IF(NETWORKDAYS(P349,P349,JoursFeries),MEDIAN(MOD(P349,1),HFer,HOuv),HOuv))*24,4))))</f>
        <v/>
      </c>
      <c r="AW349" s="37" t="str">
        <f aca="false">IF(AO349&lt;&gt;1,"",IFERROR(ROUND(IF(OR(P349="",R349=""),"",IF(R349&lt;P349,"",ROUND(((NETWORKDAYS(P349,R349,JoursFeries)-1)*(HFer-HOuv)+IF(NETWORKDAYS(R349,R349,JoursFeries),MEDIAN(MOD(R349,1),HFer,HOuv),HFer)-IF(NETWORKDAYS(P349,P349,JoursFeries),MEDIAN(MOD(P349,1),HFer,HOuv),HOuv))*24,4)))/HJour,4),""))</f>
        <v/>
      </c>
      <c r="AX349" s="37" t="str">
        <f aca="false">IF(AO349&lt;&gt;1,"",IFERROR(ROUND(IF(OR(P349="",S349=""),"",IF(S349&lt;P349,"",ROUND(((NETWORKDAYS(P349,S349,JoursFeries)-1)*(HFer-HOuv)+IF(NETWORKDAYS(S349,S349,JoursFeries),MEDIAN(MOD(S349,1),HFer,HOuv),HFer)-IF(NETWORKDAYS(P349,P349,JoursFeries),MEDIAN(MOD(P349,1),HFer,HOuv),HOuv))*24,4)))/HJour,4),""))</f>
        <v/>
      </c>
      <c r="AY349" s="36" t="str">
        <f aca="false">IF(OR(AO349&lt;&gt;1,AR349=""),"",INDEX(SLA_PEC,AR349))</f>
        <v/>
      </c>
      <c r="AZ349" s="35" t="str">
        <f aca="false">IF(OR(AV349="",AY349=""),"",IF(AV349&lt;=AY349,1,0))</f>
        <v/>
      </c>
      <c r="BA349" s="36" t="str">
        <f aca="false">IF(OR(AO349&lt;&gt;1,AR349=""),"",INDEX(SLA_RES,AR349))</f>
        <v/>
      </c>
      <c r="BB349" s="35" t="str">
        <f aca="false">IF(OR(AW349="",BA349=""),"",IF(AW349&lt;=BA349,1,0))</f>
        <v/>
      </c>
      <c r="BC349" s="38" t="str">
        <f aca="false">IF(OR(BA349="",P349=""),"",WORKDAY(INT(P349),BA349,JoursFeries)+MOD(P349,1))</f>
        <v/>
      </c>
      <c r="BD349" s="39" t="str">
        <f aca="false">IF(AO349&lt;&gt;1,"",IF(OR(AB349&lt;&gt;"",AD349&lt;&gt;""),4,IF(U349&lt;&gt;"",3,IF(T349&lt;&gt;"",2,1))))</f>
        <v/>
      </c>
      <c r="BE349" s="39" t="str">
        <f aca="false">IF(OR(AO349&lt;&gt;1,AR349=""),"",INDEX(NIV_REQ,AR349))</f>
        <v/>
      </c>
      <c r="BF349" s="39" t="str">
        <f aca="false">IF(BE349="","",MAX(BE349,IF(OR(K349="Oui",Z349="Oui"),4,1)))</f>
        <v/>
      </c>
      <c r="BG349" s="35" t="str">
        <f aca="false">IF(OR(BF349="",BD349=""),"",IF(BD349&gt;=BF349,1,0))</f>
        <v/>
      </c>
      <c r="BH349" s="38" t="str">
        <f aca="false">IF(BE349="","",IF(BE349&lt;2,"",IF(BE349=2,IF(AND(T349="",U349=""),"",MIN(T349,U349)),IF(U349="","",U349))))</f>
        <v/>
      </c>
      <c r="BI349" s="37" t="str">
        <f aca="false">IF(BH349="","",IF(OR(O349="",BH349=""),"",IF(BH349&lt;O349,"",ROUND(((NETWORKDAYS(O349,BH349,JoursFeries)-1)*(HFer-HOuv)+IF(NETWORKDAYS(BH349,BH349,JoursFeries),MEDIAN(MOD(BH349,1),HFer,HOuv),HFer)-IF(NETWORKDAYS(O349,O349,JoursFeries),MEDIAN(MOD(O349,1),HFer,HOuv),HOuv))*24,4))))</f>
        <v/>
      </c>
      <c r="BJ349" s="35" t="str">
        <f aca="false">IF(OR(BI349="",AR349=""),"",IF(BI349&lt;=INDEX(DELAI_ESC,AR349),1,0))</f>
        <v/>
      </c>
      <c r="BK349" s="38" t="str">
        <f aca="false">IF(AO349&lt;&gt;1,"",IF(AND(T349="",U349=""),"",MIN(T349,U349)))</f>
        <v/>
      </c>
      <c r="BL349" s="37" t="str">
        <f aca="false">IF(OR(BK349="",R349=""),"",IFERROR(ROUND(IF(OR(BK349="",R349=""),"",IF(R349&lt;BK349,"",ROUND(((NETWORKDAYS(BK349,R349,JoursFeries)-1)*(HFer-HOuv)+IF(NETWORKDAYS(R349,R349,JoursFeries),MEDIAN(MOD(R349,1),HFer,HOuv),HFer)-IF(NETWORKDAYS(BK349,BK349,JoursFeries),MEDIAN(MOD(BK349,1),HFer,HOuv),HOuv))*24,4)))/HJour,4),""))</f>
        <v/>
      </c>
      <c r="BM349" s="35" t="str">
        <f aca="false">IF(OR(AO349&lt;&gt;1,R349=""),"",IF(BD349=1,1,0))</f>
        <v/>
      </c>
      <c r="BN349" s="35" t="str">
        <f aca="false">IF(AO349&lt;&gt;1,"",IF(W349="Oui",1,0))</f>
        <v/>
      </c>
      <c r="BO349" s="35" t="str">
        <f aca="false">IF(AO349&lt;&gt;1,"",IF(X349&lt;&gt;"",1,0))</f>
        <v/>
      </c>
      <c r="BP349" s="35" t="str">
        <f aca="false">IF(AO349&lt;&gt;1,"",IF(Y349="Oui",1,0))</f>
        <v/>
      </c>
      <c r="BQ349" s="35" t="str">
        <f aca="true">IF(OR(AO349&lt;&gt;1,Z349&lt;&gt;"Oui"),"",IF(AB349="",IF(AND(AA349&lt;&gt;"",NOW()&gt;AA349),0,""),IF(AA349="","",IF(AB349&lt;=AA349,1,0))))</f>
        <v/>
      </c>
      <c r="BR349" s="38" t="str">
        <f aca="false">IF(OR(AO349&lt;&gt;1,K349&lt;&gt;"Oui",O349=""),"",IF(AC349="",O349+DORA_H_DET/24,IF(AC349-O349&lt;=DORA_H_DET/24,MIN(AC349+DORA_H_CLA/24,O349+DORA_H_DET/24),AC349+DORA_H_CLA/24)))</f>
        <v/>
      </c>
      <c r="BS349" s="35" t="str">
        <f aca="true">IF(BR349="","",IF(AD349="",IF(NOW()&gt;BR349,0,""),IF(AD349&lt;=BR349,1,0)))</f>
        <v/>
      </c>
      <c r="BT349" s="35" t="str">
        <f aca="true">IF(OR(BR349="",AD349=""),"",IF(AE349="",IF(NOW()&gt;AD349+DORA_H_INT/24,0,""),IF(AE349&lt;=AD349+DORA_H_INT/24,1,0)))</f>
        <v/>
      </c>
      <c r="BU349" s="35" t="str">
        <f aca="true">IF(OR(BR349="",AE349=""),"",IF(AF349="",IF(NOW()&gt;EDATE(AE349,DORA_M_FIN)+1,0,""),IF(AF349&lt;=EDATE(AE349,DORA_M_FIN),1,0)))</f>
        <v/>
      </c>
      <c r="BV349" s="35" t="str">
        <f aca="false">IF(BR349="","",IF(COUNT(BS349:BU349)=0,"",MIN(BS349:BU349)))</f>
        <v/>
      </c>
      <c r="BW349" s="40" t="str">
        <f aca="false">IF(AQ349&lt;&gt;1,"",IF(AND(AG349="",AH349=""),"",N(AG349)-N(AH349)))</f>
        <v/>
      </c>
      <c r="BX349" s="35" t="str">
        <f aca="true">IF(OR(AQ349&lt;&gt;1,AI349&lt;&gt;"Oui",AJ349=""),"",IF(AK349="",IF(NOW()&gt;AJ349+1,0,""),IF(AK349&lt;=AJ349,1,0)))</f>
        <v/>
      </c>
    </row>
    <row r="350" customFormat="false" ht="15" hidden="false" customHeight="false" outlineLevel="0" collapsed="false">
      <c r="B350" s="29"/>
      <c r="C350" s="29"/>
      <c r="D350" s="29"/>
      <c r="E350" s="29"/>
      <c r="F350" s="29"/>
      <c r="G350" s="29"/>
      <c r="H350" s="29"/>
      <c r="I350" s="29"/>
      <c r="J350" s="29"/>
      <c r="K350" s="29"/>
      <c r="L350" s="29"/>
      <c r="M350" s="29"/>
      <c r="N350" s="30"/>
      <c r="O350" s="30"/>
      <c r="P350" s="30"/>
      <c r="Q350" s="30"/>
      <c r="R350" s="30"/>
      <c r="S350" s="30"/>
      <c r="T350" s="30"/>
      <c r="U350" s="30"/>
      <c r="V350" s="31"/>
      <c r="W350" s="29"/>
      <c r="X350" s="29"/>
      <c r="Y350" s="29"/>
      <c r="Z350" s="29"/>
      <c r="AA350" s="30"/>
      <c r="AB350" s="30"/>
      <c r="AC350" s="30"/>
      <c r="AD350" s="30"/>
      <c r="AE350" s="30"/>
      <c r="AF350" s="32"/>
      <c r="AG350" s="33"/>
      <c r="AH350" s="33"/>
      <c r="AI350" s="29"/>
      <c r="AJ350" s="32"/>
      <c r="AK350" s="32"/>
      <c r="AL350" s="29"/>
      <c r="AN350" s="34" t="str">
        <f aca="false">IF($B350="","",IF(OR(C350="",D350="",E350="",G350="",I350="",J350="",L350="",O350="",P350=""),"Champ obligatoire manquant",IF(OR(AND(N350&lt;&gt;"",N350&gt;O350),O350&gt;P350,AND(Q350&lt;&gt;"",Q350&lt;P350),AND(R350&lt;&gt;"",R350&lt;P350),AND(S350&lt;&gt;"",S350&lt;R350),AND(S350&lt;&gt;"",R350=""),AND(T350&lt;&gt;"",T350&lt;O350),AND(U350&lt;&gt;"",U350&lt;O350)),"Chronologie incohérente",IF(AND(OR(L350="Résolu",L350="Clos"),R350=""),"Date de résolution manquante",IF(AND(L350="Clos",S350=""),"Date de clôture manquante",IF(AND(K350="Oui",AC350=""),"Classification DORA manquante","OK"))))))</f>
        <v/>
      </c>
      <c r="AO350" s="35" t="str">
        <f aca="false">IF($B350="","",IF(AND(C350="Incident",L350&lt;&gt;"Annulé"),1,0))</f>
        <v/>
      </c>
      <c r="AP350" s="35" t="str">
        <f aca="false">IF($B350="","",IF(AND(C350="Quasi-incident",L350&lt;&gt;"Annulé"),1,0))</f>
        <v/>
      </c>
      <c r="AQ350" s="35" t="str">
        <f aca="false">IF($B350="","",AO350+AP350)</f>
        <v/>
      </c>
      <c r="AR350" s="36" t="str">
        <f aca="false">IF(OR($B350="",J350=""),"",IFERROR(VALUE(LEFT(J350,1)),""))</f>
        <v/>
      </c>
      <c r="AS350" s="35" t="str">
        <f aca="false">IF(OR(AO350&lt;&gt;1,G350=""),"",IFERROR(IF(INDEX(L_SrcInterne,MATCH(G350,L_Sources,0))="Oui",1,0),""))</f>
        <v/>
      </c>
      <c r="AT350" s="37" t="str">
        <f aca="false">IF(AO350&lt;&gt;1,"",IFERROR(ROUND(IF(OR(N350="",O350=""),"",IF(O350&lt;N350,"",ROUND(((NETWORKDAYS(N350,O350,JoursFeries)-1)*(HFer-HOuv)+IF(NETWORKDAYS(O350,O350,JoursFeries),MEDIAN(MOD(O350,1),HFer,HOuv),HFer)-IF(NETWORKDAYS(N350,N350,JoursFeries),MEDIAN(MOD(N350,1),HFer,HOuv),HOuv))*24,4)))/HJour,4),""))</f>
        <v/>
      </c>
      <c r="AU350" s="37" t="str">
        <f aca="false">IF(AO350&lt;&gt;1,"",IF(OR(O350="",P350=""),"",IF(P350&lt;O350,"",ROUND(((NETWORKDAYS(O350,P350,JoursFeries)-1)*(HFer-HOuv)+IF(NETWORKDAYS(P350,P350,JoursFeries),MEDIAN(MOD(P350,1),HFer,HOuv),HFer)-IF(NETWORKDAYS(O350,O350,JoursFeries),MEDIAN(MOD(O350,1),HFer,HOuv),HOuv))*24,4))))</f>
        <v/>
      </c>
      <c r="AV350" s="37" t="str">
        <f aca="false">IF(AO350&lt;&gt;1,"",IF(OR(P350="",Q350=""),"",IF(Q350&lt;P350,"",ROUND(((NETWORKDAYS(P350,Q350,JoursFeries)-1)*(HFer-HOuv)+IF(NETWORKDAYS(Q350,Q350,JoursFeries),MEDIAN(MOD(Q350,1),HFer,HOuv),HFer)-IF(NETWORKDAYS(P350,P350,JoursFeries),MEDIAN(MOD(P350,1),HFer,HOuv),HOuv))*24,4))))</f>
        <v/>
      </c>
      <c r="AW350" s="37" t="str">
        <f aca="false">IF(AO350&lt;&gt;1,"",IFERROR(ROUND(IF(OR(P350="",R350=""),"",IF(R350&lt;P350,"",ROUND(((NETWORKDAYS(P350,R350,JoursFeries)-1)*(HFer-HOuv)+IF(NETWORKDAYS(R350,R350,JoursFeries),MEDIAN(MOD(R350,1),HFer,HOuv),HFer)-IF(NETWORKDAYS(P350,P350,JoursFeries),MEDIAN(MOD(P350,1),HFer,HOuv),HOuv))*24,4)))/HJour,4),""))</f>
        <v/>
      </c>
      <c r="AX350" s="37" t="str">
        <f aca="false">IF(AO350&lt;&gt;1,"",IFERROR(ROUND(IF(OR(P350="",S350=""),"",IF(S350&lt;P350,"",ROUND(((NETWORKDAYS(P350,S350,JoursFeries)-1)*(HFer-HOuv)+IF(NETWORKDAYS(S350,S350,JoursFeries),MEDIAN(MOD(S350,1),HFer,HOuv),HFer)-IF(NETWORKDAYS(P350,P350,JoursFeries),MEDIAN(MOD(P350,1),HFer,HOuv),HOuv))*24,4)))/HJour,4),""))</f>
        <v/>
      </c>
      <c r="AY350" s="36" t="str">
        <f aca="false">IF(OR(AO350&lt;&gt;1,AR350=""),"",INDEX(SLA_PEC,AR350))</f>
        <v/>
      </c>
      <c r="AZ350" s="35" t="str">
        <f aca="false">IF(OR(AV350="",AY350=""),"",IF(AV350&lt;=AY350,1,0))</f>
        <v/>
      </c>
      <c r="BA350" s="36" t="str">
        <f aca="false">IF(OR(AO350&lt;&gt;1,AR350=""),"",INDEX(SLA_RES,AR350))</f>
        <v/>
      </c>
      <c r="BB350" s="35" t="str">
        <f aca="false">IF(OR(AW350="",BA350=""),"",IF(AW350&lt;=BA350,1,0))</f>
        <v/>
      </c>
      <c r="BC350" s="38" t="str">
        <f aca="false">IF(OR(BA350="",P350=""),"",WORKDAY(INT(P350),BA350,JoursFeries)+MOD(P350,1))</f>
        <v/>
      </c>
      <c r="BD350" s="39" t="str">
        <f aca="false">IF(AO350&lt;&gt;1,"",IF(OR(AB350&lt;&gt;"",AD350&lt;&gt;""),4,IF(U350&lt;&gt;"",3,IF(T350&lt;&gt;"",2,1))))</f>
        <v/>
      </c>
      <c r="BE350" s="39" t="str">
        <f aca="false">IF(OR(AO350&lt;&gt;1,AR350=""),"",INDEX(NIV_REQ,AR350))</f>
        <v/>
      </c>
      <c r="BF350" s="39" t="str">
        <f aca="false">IF(BE350="","",MAX(BE350,IF(OR(K350="Oui",Z350="Oui"),4,1)))</f>
        <v/>
      </c>
      <c r="BG350" s="35" t="str">
        <f aca="false">IF(OR(BF350="",BD350=""),"",IF(BD350&gt;=BF350,1,0))</f>
        <v/>
      </c>
      <c r="BH350" s="38" t="str">
        <f aca="false">IF(BE350="","",IF(BE350&lt;2,"",IF(BE350=2,IF(AND(T350="",U350=""),"",MIN(T350,U350)),IF(U350="","",U350))))</f>
        <v/>
      </c>
      <c r="BI350" s="37" t="str">
        <f aca="false">IF(BH350="","",IF(OR(O350="",BH350=""),"",IF(BH350&lt;O350,"",ROUND(((NETWORKDAYS(O350,BH350,JoursFeries)-1)*(HFer-HOuv)+IF(NETWORKDAYS(BH350,BH350,JoursFeries),MEDIAN(MOD(BH350,1),HFer,HOuv),HFer)-IF(NETWORKDAYS(O350,O350,JoursFeries),MEDIAN(MOD(O350,1),HFer,HOuv),HOuv))*24,4))))</f>
        <v/>
      </c>
      <c r="BJ350" s="35" t="str">
        <f aca="false">IF(OR(BI350="",AR350=""),"",IF(BI350&lt;=INDEX(DELAI_ESC,AR350),1,0))</f>
        <v/>
      </c>
      <c r="BK350" s="38" t="str">
        <f aca="false">IF(AO350&lt;&gt;1,"",IF(AND(T350="",U350=""),"",MIN(T350,U350)))</f>
        <v/>
      </c>
      <c r="BL350" s="37" t="str">
        <f aca="false">IF(OR(BK350="",R350=""),"",IFERROR(ROUND(IF(OR(BK350="",R350=""),"",IF(R350&lt;BK350,"",ROUND(((NETWORKDAYS(BK350,R350,JoursFeries)-1)*(HFer-HOuv)+IF(NETWORKDAYS(R350,R350,JoursFeries),MEDIAN(MOD(R350,1),HFer,HOuv),HFer)-IF(NETWORKDAYS(BK350,BK350,JoursFeries),MEDIAN(MOD(BK350,1),HFer,HOuv),HOuv))*24,4)))/HJour,4),""))</f>
        <v/>
      </c>
      <c r="BM350" s="35" t="str">
        <f aca="false">IF(OR(AO350&lt;&gt;1,R350=""),"",IF(BD350=1,1,0))</f>
        <v/>
      </c>
      <c r="BN350" s="35" t="str">
        <f aca="false">IF(AO350&lt;&gt;1,"",IF(W350="Oui",1,0))</f>
        <v/>
      </c>
      <c r="BO350" s="35" t="str">
        <f aca="false">IF(AO350&lt;&gt;1,"",IF(X350&lt;&gt;"",1,0))</f>
        <v/>
      </c>
      <c r="BP350" s="35" t="str">
        <f aca="false">IF(AO350&lt;&gt;1,"",IF(Y350="Oui",1,0))</f>
        <v/>
      </c>
      <c r="BQ350" s="35" t="str">
        <f aca="true">IF(OR(AO350&lt;&gt;1,Z350&lt;&gt;"Oui"),"",IF(AB350="",IF(AND(AA350&lt;&gt;"",NOW()&gt;AA350),0,""),IF(AA350="","",IF(AB350&lt;=AA350,1,0))))</f>
        <v/>
      </c>
      <c r="BR350" s="38" t="str">
        <f aca="false">IF(OR(AO350&lt;&gt;1,K350&lt;&gt;"Oui",O350=""),"",IF(AC350="",O350+DORA_H_DET/24,IF(AC350-O350&lt;=DORA_H_DET/24,MIN(AC350+DORA_H_CLA/24,O350+DORA_H_DET/24),AC350+DORA_H_CLA/24)))</f>
        <v/>
      </c>
      <c r="BS350" s="35" t="str">
        <f aca="true">IF(BR350="","",IF(AD350="",IF(NOW()&gt;BR350,0,""),IF(AD350&lt;=BR350,1,0)))</f>
        <v/>
      </c>
      <c r="BT350" s="35" t="str">
        <f aca="true">IF(OR(BR350="",AD350=""),"",IF(AE350="",IF(NOW()&gt;AD350+DORA_H_INT/24,0,""),IF(AE350&lt;=AD350+DORA_H_INT/24,1,0)))</f>
        <v/>
      </c>
      <c r="BU350" s="35" t="str">
        <f aca="true">IF(OR(BR350="",AE350=""),"",IF(AF350="",IF(NOW()&gt;EDATE(AE350,DORA_M_FIN)+1,0,""),IF(AF350&lt;=EDATE(AE350,DORA_M_FIN),1,0)))</f>
        <v/>
      </c>
      <c r="BV350" s="35" t="str">
        <f aca="false">IF(BR350="","",IF(COUNT(BS350:BU350)=0,"",MIN(BS350:BU350)))</f>
        <v/>
      </c>
      <c r="BW350" s="40" t="str">
        <f aca="false">IF(AQ350&lt;&gt;1,"",IF(AND(AG350="",AH350=""),"",N(AG350)-N(AH350)))</f>
        <v/>
      </c>
      <c r="BX350" s="35" t="str">
        <f aca="true">IF(OR(AQ350&lt;&gt;1,AI350&lt;&gt;"Oui",AJ350=""),"",IF(AK350="",IF(NOW()&gt;AJ350+1,0,""),IF(AK350&lt;=AJ350,1,0)))</f>
        <v/>
      </c>
    </row>
    <row r="351" customFormat="false" ht="15" hidden="false" customHeight="false" outlineLevel="0" collapsed="false">
      <c r="B351" s="29"/>
      <c r="C351" s="29"/>
      <c r="D351" s="29"/>
      <c r="E351" s="29"/>
      <c r="F351" s="29"/>
      <c r="G351" s="29"/>
      <c r="H351" s="29"/>
      <c r="I351" s="29"/>
      <c r="J351" s="29"/>
      <c r="K351" s="29"/>
      <c r="L351" s="29"/>
      <c r="M351" s="29"/>
      <c r="N351" s="30"/>
      <c r="O351" s="30"/>
      <c r="P351" s="30"/>
      <c r="Q351" s="30"/>
      <c r="R351" s="30"/>
      <c r="S351" s="30"/>
      <c r="T351" s="30"/>
      <c r="U351" s="30"/>
      <c r="V351" s="31"/>
      <c r="W351" s="29"/>
      <c r="X351" s="29"/>
      <c r="Y351" s="29"/>
      <c r="Z351" s="29"/>
      <c r="AA351" s="30"/>
      <c r="AB351" s="30"/>
      <c r="AC351" s="30"/>
      <c r="AD351" s="30"/>
      <c r="AE351" s="30"/>
      <c r="AF351" s="32"/>
      <c r="AG351" s="33"/>
      <c r="AH351" s="33"/>
      <c r="AI351" s="29"/>
      <c r="AJ351" s="32"/>
      <c r="AK351" s="32"/>
      <c r="AL351" s="29"/>
      <c r="AN351" s="34" t="str">
        <f aca="false">IF($B351="","",IF(OR(C351="",D351="",E351="",G351="",I351="",J351="",L351="",O351="",P351=""),"Champ obligatoire manquant",IF(OR(AND(N351&lt;&gt;"",N351&gt;O351),O351&gt;P351,AND(Q351&lt;&gt;"",Q351&lt;P351),AND(R351&lt;&gt;"",R351&lt;P351),AND(S351&lt;&gt;"",S351&lt;R351),AND(S351&lt;&gt;"",R351=""),AND(T351&lt;&gt;"",T351&lt;O351),AND(U351&lt;&gt;"",U351&lt;O351)),"Chronologie incohérente",IF(AND(OR(L351="Résolu",L351="Clos"),R351=""),"Date de résolution manquante",IF(AND(L351="Clos",S351=""),"Date de clôture manquante",IF(AND(K351="Oui",AC351=""),"Classification DORA manquante","OK"))))))</f>
        <v/>
      </c>
      <c r="AO351" s="35" t="str">
        <f aca="false">IF($B351="","",IF(AND(C351="Incident",L351&lt;&gt;"Annulé"),1,0))</f>
        <v/>
      </c>
      <c r="AP351" s="35" t="str">
        <f aca="false">IF($B351="","",IF(AND(C351="Quasi-incident",L351&lt;&gt;"Annulé"),1,0))</f>
        <v/>
      </c>
      <c r="AQ351" s="35" t="str">
        <f aca="false">IF($B351="","",AO351+AP351)</f>
        <v/>
      </c>
      <c r="AR351" s="36" t="str">
        <f aca="false">IF(OR($B351="",J351=""),"",IFERROR(VALUE(LEFT(J351,1)),""))</f>
        <v/>
      </c>
      <c r="AS351" s="35" t="str">
        <f aca="false">IF(OR(AO351&lt;&gt;1,G351=""),"",IFERROR(IF(INDEX(L_SrcInterne,MATCH(G351,L_Sources,0))="Oui",1,0),""))</f>
        <v/>
      </c>
      <c r="AT351" s="37" t="str">
        <f aca="false">IF(AO351&lt;&gt;1,"",IFERROR(ROUND(IF(OR(N351="",O351=""),"",IF(O351&lt;N351,"",ROUND(((NETWORKDAYS(N351,O351,JoursFeries)-1)*(HFer-HOuv)+IF(NETWORKDAYS(O351,O351,JoursFeries),MEDIAN(MOD(O351,1),HFer,HOuv),HFer)-IF(NETWORKDAYS(N351,N351,JoursFeries),MEDIAN(MOD(N351,1),HFer,HOuv),HOuv))*24,4)))/HJour,4),""))</f>
        <v/>
      </c>
      <c r="AU351" s="37" t="str">
        <f aca="false">IF(AO351&lt;&gt;1,"",IF(OR(O351="",P351=""),"",IF(P351&lt;O351,"",ROUND(((NETWORKDAYS(O351,P351,JoursFeries)-1)*(HFer-HOuv)+IF(NETWORKDAYS(P351,P351,JoursFeries),MEDIAN(MOD(P351,1),HFer,HOuv),HFer)-IF(NETWORKDAYS(O351,O351,JoursFeries),MEDIAN(MOD(O351,1),HFer,HOuv),HOuv))*24,4))))</f>
        <v/>
      </c>
      <c r="AV351" s="37" t="str">
        <f aca="false">IF(AO351&lt;&gt;1,"",IF(OR(P351="",Q351=""),"",IF(Q351&lt;P351,"",ROUND(((NETWORKDAYS(P351,Q351,JoursFeries)-1)*(HFer-HOuv)+IF(NETWORKDAYS(Q351,Q351,JoursFeries),MEDIAN(MOD(Q351,1),HFer,HOuv),HFer)-IF(NETWORKDAYS(P351,P351,JoursFeries),MEDIAN(MOD(P351,1),HFer,HOuv),HOuv))*24,4))))</f>
        <v/>
      </c>
      <c r="AW351" s="37" t="str">
        <f aca="false">IF(AO351&lt;&gt;1,"",IFERROR(ROUND(IF(OR(P351="",R351=""),"",IF(R351&lt;P351,"",ROUND(((NETWORKDAYS(P351,R351,JoursFeries)-1)*(HFer-HOuv)+IF(NETWORKDAYS(R351,R351,JoursFeries),MEDIAN(MOD(R351,1),HFer,HOuv),HFer)-IF(NETWORKDAYS(P351,P351,JoursFeries),MEDIAN(MOD(P351,1),HFer,HOuv),HOuv))*24,4)))/HJour,4),""))</f>
        <v/>
      </c>
      <c r="AX351" s="37" t="str">
        <f aca="false">IF(AO351&lt;&gt;1,"",IFERROR(ROUND(IF(OR(P351="",S351=""),"",IF(S351&lt;P351,"",ROUND(((NETWORKDAYS(P351,S351,JoursFeries)-1)*(HFer-HOuv)+IF(NETWORKDAYS(S351,S351,JoursFeries),MEDIAN(MOD(S351,1),HFer,HOuv),HFer)-IF(NETWORKDAYS(P351,P351,JoursFeries),MEDIAN(MOD(P351,1),HFer,HOuv),HOuv))*24,4)))/HJour,4),""))</f>
        <v/>
      </c>
      <c r="AY351" s="36" t="str">
        <f aca="false">IF(OR(AO351&lt;&gt;1,AR351=""),"",INDEX(SLA_PEC,AR351))</f>
        <v/>
      </c>
      <c r="AZ351" s="35" t="str">
        <f aca="false">IF(OR(AV351="",AY351=""),"",IF(AV351&lt;=AY351,1,0))</f>
        <v/>
      </c>
      <c r="BA351" s="36" t="str">
        <f aca="false">IF(OR(AO351&lt;&gt;1,AR351=""),"",INDEX(SLA_RES,AR351))</f>
        <v/>
      </c>
      <c r="BB351" s="35" t="str">
        <f aca="false">IF(OR(AW351="",BA351=""),"",IF(AW351&lt;=BA351,1,0))</f>
        <v/>
      </c>
      <c r="BC351" s="38" t="str">
        <f aca="false">IF(OR(BA351="",P351=""),"",WORKDAY(INT(P351),BA351,JoursFeries)+MOD(P351,1))</f>
        <v/>
      </c>
      <c r="BD351" s="39" t="str">
        <f aca="false">IF(AO351&lt;&gt;1,"",IF(OR(AB351&lt;&gt;"",AD351&lt;&gt;""),4,IF(U351&lt;&gt;"",3,IF(T351&lt;&gt;"",2,1))))</f>
        <v/>
      </c>
      <c r="BE351" s="39" t="str">
        <f aca="false">IF(OR(AO351&lt;&gt;1,AR351=""),"",INDEX(NIV_REQ,AR351))</f>
        <v/>
      </c>
      <c r="BF351" s="39" t="str">
        <f aca="false">IF(BE351="","",MAX(BE351,IF(OR(K351="Oui",Z351="Oui"),4,1)))</f>
        <v/>
      </c>
      <c r="BG351" s="35" t="str">
        <f aca="false">IF(OR(BF351="",BD351=""),"",IF(BD351&gt;=BF351,1,0))</f>
        <v/>
      </c>
      <c r="BH351" s="38" t="str">
        <f aca="false">IF(BE351="","",IF(BE351&lt;2,"",IF(BE351=2,IF(AND(T351="",U351=""),"",MIN(T351,U351)),IF(U351="","",U351))))</f>
        <v/>
      </c>
      <c r="BI351" s="37" t="str">
        <f aca="false">IF(BH351="","",IF(OR(O351="",BH351=""),"",IF(BH351&lt;O351,"",ROUND(((NETWORKDAYS(O351,BH351,JoursFeries)-1)*(HFer-HOuv)+IF(NETWORKDAYS(BH351,BH351,JoursFeries),MEDIAN(MOD(BH351,1),HFer,HOuv),HFer)-IF(NETWORKDAYS(O351,O351,JoursFeries),MEDIAN(MOD(O351,1),HFer,HOuv),HOuv))*24,4))))</f>
        <v/>
      </c>
      <c r="BJ351" s="35" t="str">
        <f aca="false">IF(OR(BI351="",AR351=""),"",IF(BI351&lt;=INDEX(DELAI_ESC,AR351),1,0))</f>
        <v/>
      </c>
      <c r="BK351" s="38" t="str">
        <f aca="false">IF(AO351&lt;&gt;1,"",IF(AND(T351="",U351=""),"",MIN(T351,U351)))</f>
        <v/>
      </c>
      <c r="BL351" s="37" t="str">
        <f aca="false">IF(OR(BK351="",R351=""),"",IFERROR(ROUND(IF(OR(BK351="",R351=""),"",IF(R351&lt;BK351,"",ROUND(((NETWORKDAYS(BK351,R351,JoursFeries)-1)*(HFer-HOuv)+IF(NETWORKDAYS(R351,R351,JoursFeries),MEDIAN(MOD(R351,1),HFer,HOuv),HFer)-IF(NETWORKDAYS(BK351,BK351,JoursFeries),MEDIAN(MOD(BK351,1),HFer,HOuv),HOuv))*24,4)))/HJour,4),""))</f>
        <v/>
      </c>
      <c r="BM351" s="35" t="str">
        <f aca="false">IF(OR(AO351&lt;&gt;1,R351=""),"",IF(BD351=1,1,0))</f>
        <v/>
      </c>
      <c r="BN351" s="35" t="str">
        <f aca="false">IF(AO351&lt;&gt;1,"",IF(W351="Oui",1,0))</f>
        <v/>
      </c>
      <c r="BO351" s="35" t="str">
        <f aca="false">IF(AO351&lt;&gt;1,"",IF(X351&lt;&gt;"",1,0))</f>
        <v/>
      </c>
      <c r="BP351" s="35" t="str">
        <f aca="false">IF(AO351&lt;&gt;1,"",IF(Y351="Oui",1,0))</f>
        <v/>
      </c>
      <c r="BQ351" s="35" t="str">
        <f aca="true">IF(OR(AO351&lt;&gt;1,Z351&lt;&gt;"Oui"),"",IF(AB351="",IF(AND(AA351&lt;&gt;"",NOW()&gt;AA351),0,""),IF(AA351="","",IF(AB351&lt;=AA351,1,0))))</f>
        <v/>
      </c>
      <c r="BR351" s="38" t="str">
        <f aca="false">IF(OR(AO351&lt;&gt;1,K351&lt;&gt;"Oui",O351=""),"",IF(AC351="",O351+DORA_H_DET/24,IF(AC351-O351&lt;=DORA_H_DET/24,MIN(AC351+DORA_H_CLA/24,O351+DORA_H_DET/24),AC351+DORA_H_CLA/24)))</f>
        <v/>
      </c>
      <c r="BS351" s="35" t="str">
        <f aca="true">IF(BR351="","",IF(AD351="",IF(NOW()&gt;BR351,0,""),IF(AD351&lt;=BR351,1,0)))</f>
        <v/>
      </c>
      <c r="BT351" s="35" t="str">
        <f aca="true">IF(OR(BR351="",AD351=""),"",IF(AE351="",IF(NOW()&gt;AD351+DORA_H_INT/24,0,""),IF(AE351&lt;=AD351+DORA_H_INT/24,1,0)))</f>
        <v/>
      </c>
      <c r="BU351" s="35" t="str">
        <f aca="true">IF(OR(BR351="",AE351=""),"",IF(AF351="",IF(NOW()&gt;EDATE(AE351,DORA_M_FIN)+1,0,""),IF(AF351&lt;=EDATE(AE351,DORA_M_FIN),1,0)))</f>
        <v/>
      </c>
      <c r="BV351" s="35" t="str">
        <f aca="false">IF(BR351="","",IF(COUNT(BS351:BU351)=0,"",MIN(BS351:BU351)))</f>
        <v/>
      </c>
      <c r="BW351" s="40" t="str">
        <f aca="false">IF(AQ351&lt;&gt;1,"",IF(AND(AG351="",AH351=""),"",N(AG351)-N(AH351)))</f>
        <v/>
      </c>
      <c r="BX351" s="35" t="str">
        <f aca="true">IF(OR(AQ351&lt;&gt;1,AI351&lt;&gt;"Oui",AJ351=""),"",IF(AK351="",IF(NOW()&gt;AJ351+1,0,""),IF(AK351&lt;=AJ351,1,0)))</f>
        <v/>
      </c>
    </row>
    <row r="352" customFormat="false" ht="15" hidden="false" customHeight="false" outlineLevel="0" collapsed="false">
      <c r="B352" s="29"/>
      <c r="C352" s="29"/>
      <c r="D352" s="29"/>
      <c r="E352" s="29"/>
      <c r="F352" s="29"/>
      <c r="G352" s="29"/>
      <c r="H352" s="29"/>
      <c r="I352" s="29"/>
      <c r="J352" s="29"/>
      <c r="K352" s="29"/>
      <c r="L352" s="29"/>
      <c r="M352" s="29"/>
      <c r="N352" s="30"/>
      <c r="O352" s="30"/>
      <c r="P352" s="30"/>
      <c r="Q352" s="30"/>
      <c r="R352" s="30"/>
      <c r="S352" s="30"/>
      <c r="T352" s="30"/>
      <c r="U352" s="30"/>
      <c r="V352" s="31"/>
      <c r="W352" s="29"/>
      <c r="X352" s="29"/>
      <c r="Y352" s="29"/>
      <c r="Z352" s="29"/>
      <c r="AA352" s="30"/>
      <c r="AB352" s="30"/>
      <c r="AC352" s="30"/>
      <c r="AD352" s="30"/>
      <c r="AE352" s="30"/>
      <c r="AF352" s="32"/>
      <c r="AG352" s="33"/>
      <c r="AH352" s="33"/>
      <c r="AI352" s="29"/>
      <c r="AJ352" s="32"/>
      <c r="AK352" s="32"/>
      <c r="AL352" s="29"/>
      <c r="AN352" s="34" t="str">
        <f aca="false">IF($B352="","",IF(OR(C352="",D352="",E352="",G352="",I352="",J352="",L352="",O352="",P352=""),"Champ obligatoire manquant",IF(OR(AND(N352&lt;&gt;"",N352&gt;O352),O352&gt;P352,AND(Q352&lt;&gt;"",Q352&lt;P352),AND(R352&lt;&gt;"",R352&lt;P352),AND(S352&lt;&gt;"",S352&lt;R352),AND(S352&lt;&gt;"",R352=""),AND(T352&lt;&gt;"",T352&lt;O352),AND(U352&lt;&gt;"",U352&lt;O352)),"Chronologie incohérente",IF(AND(OR(L352="Résolu",L352="Clos"),R352=""),"Date de résolution manquante",IF(AND(L352="Clos",S352=""),"Date de clôture manquante",IF(AND(K352="Oui",AC352=""),"Classification DORA manquante","OK"))))))</f>
        <v/>
      </c>
      <c r="AO352" s="35" t="str">
        <f aca="false">IF($B352="","",IF(AND(C352="Incident",L352&lt;&gt;"Annulé"),1,0))</f>
        <v/>
      </c>
      <c r="AP352" s="35" t="str">
        <f aca="false">IF($B352="","",IF(AND(C352="Quasi-incident",L352&lt;&gt;"Annulé"),1,0))</f>
        <v/>
      </c>
      <c r="AQ352" s="35" t="str">
        <f aca="false">IF($B352="","",AO352+AP352)</f>
        <v/>
      </c>
      <c r="AR352" s="36" t="str">
        <f aca="false">IF(OR($B352="",J352=""),"",IFERROR(VALUE(LEFT(J352,1)),""))</f>
        <v/>
      </c>
      <c r="AS352" s="35" t="str">
        <f aca="false">IF(OR(AO352&lt;&gt;1,G352=""),"",IFERROR(IF(INDEX(L_SrcInterne,MATCH(G352,L_Sources,0))="Oui",1,0),""))</f>
        <v/>
      </c>
      <c r="AT352" s="37" t="str">
        <f aca="false">IF(AO352&lt;&gt;1,"",IFERROR(ROUND(IF(OR(N352="",O352=""),"",IF(O352&lt;N352,"",ROUND(((NETWORKDAYS(N352,O352,JoursFeries)-1)*(HFer-HOuv)+IF(NETWORKDAYS(O352,O352,JoursFeries),MEDIAN(MOD(O352,1),HFer,HOuv),HFer)-IF(NETWORKDAYS(N352,N352,JoursFeries),MEDIAN(MOD(N352,1),HFer,HOuv),HOuv))*24,4)))/HJour,4),""))</f>
        <v/>
      </c>
      <c r="AU352" s="37" t="str">
        <f aca="false">IF(AO352&lt;&gt;1,"",IF(OR(O352="",P352=""),"",IF(P352&lt;O352,"",ROUND(((NETWORKDAYS(O352,P352,JoursFeries)-1)*(HFer-HOuv)+IF(NETWORKDAYS(P352,P352,JoursFeries),MEDIAN(MOD(P352,1),HFer,HOuv),HFer)-IF(NETWORKDAYS(O352,O352,JoursFeries),MEDIAN(MOD(O352,1),HFer,HOuv),HOuv))*24,4))))</f>
        <v/>
      </c>
      <c r="AV352" s="37" t="str">
        <f aca="false">IF(AO352&lt;&gt;1,"",IF(OR(P352="",Q352=""),"",IF(Q352&lt;P352,"",ROUND(((NETWORKDAYS(P352,Q352,JoursFeries)-1)*(HFer-HOuv)+IF(NETWORKDAYS(Q352,Q352,JoursFeries),MEDIAN(MOD(Q352,1),HFer,HOuv),HFer)-IF(NETWORKDAYS(P352,P352,JoursFeries),MEDIAN(MOD(P352,1),HFer,HOuv),HOuv))*24,4))))</f>
        <v/>
      </c>
      <c r="AW352" s="37" t="str">
        <f aca="false">IF(AO352&lt;&gt;1,"",IFERROR(ROUND(IF(OR(P352="",R352=""),"",IF(R352&lt;P352,"",ROUND(((NETWORKDAYS(P352,R352,JoursFeries)-1)*(HFer-HOuv)+IF(NETWORKDAYS(R352,R352,JoursFeries),MEDIAN(MOD(R352,1),HFer,HOuv),HFer)-IF(NETWORKDAYS(P352,P352,JoursFeries),MEDIAN(MOD(P352,1),HFer,HOuv),HOuv))*24,4)))/HJour,4),""))</f>
        <v/>
      </c>
      <c r="AX352" s="37" t="str">
        <f aca="false">IF(AO352&lt;&gt;1,"",IFERROR(ROUND(IF(OR(P352="",S352=""),"",IF(S352&lt;P352,"",ROUND(((NETWORKDAYS(P352,S352,JoursFeries)-1)*(HFer-HOuv)+IF(NETWORKDAYS(S352,S352,JoursFeries),MEDIAN(MOD(S352,1),HFer,HOuv),HFer)-IF(NETWORKDAYS(P352,P352,JoursFeries),MEDIAN(MOD(P352,1),HFer,HOuv),HOuv))*24,4)))/HJour,4),""))</f>
        <v/>
      </c>
      <c r="AY352" s="36" t="str">
        <f aca="false">IF(OR(AO352&lt;&gt;1,AR352=""),"",INDEX(SLA_PEC,AR352))</f>
        <v/>
      </c>
      <c r="AZ352" s="35" t="str">
        <f aca="false">IF(OR(AV352="",AY352=""),"",IF(AV352&lt;=AY352,1,0))</f>
        <v/>
      </c>
      <c r="BA352" s="36" t="str">
        <f aca="false">IF(OR(AO352&lt;&gt;1,AR352=""),"",INDEX(SLA_RES,AR352))</f>
        <v/>
      </c>
      <c r="BB352" s="35" t="str">
        <f aca="false">IF(OR(AW352="",BA352=""),"",IF(AW352&lt;=BA352,1,0))</f>
        <v/>
      </c>
      <c r="BC352" s="38" t="str">
        <f aca="false">IF(OR(BA352="",P352=""),"",WORKDAY(INT(P352),BA352,JoursFeries)+MOD(P352,1))</f>
        <v/>
      </c>
      <c r="BD352" s="39" t="str">
        <f aca="false">IF(AO352&lt;&gt;1,"",IF(OR(AB352&lt;&gt;"",AD352&lt;&gt;""),4,IF(U352&lt;&gt;"",3,IF(T352&lt;&gt;"",2,1))))</f>
        <v/>
      </c>
      <c r="BE352" s="39" t="str">
        <f aca="false">IF(OR(AO352&lt;&gt;1,AR352=""),"",INDEX(NIV_REQ,AR352))</f>
        <v/>
      </c>
      <c r="BF352" s="39" t="str">
        <f aca="false">IF(BE352="","",MAX(BE352,IF(OR(K352="Oui",Z352="Oui"),4,1)))</f>
        <v/>
      </c>
      <c r="BG352" s="35" t="str">
        <f aca="false">IF(OR(BF352="",BD352=""),"",IF(BD352&gt;=BF352,1,0))</f>
        <v/>
      </c>
      <c r="BH352" s="38" t="str">
        <f aca="false">IF(BE352="","",IF(BE352&lt;2,"",IF(BE352=2,IF(AND(T352="",U352=""),"",MIN(T352,U352)),IF(U352="","",U352))))</f>
        <v/>
      </c>
      <c r="BI352" s="37" t="str">
        <f aca="false">IF(BH352="","",IF(OR(O352="",BH352=""),"",IF(BH352&lt;O352,"",ROUND(((NETWORKDAYS(O352,BH352,JoursFeries)-1)*(HFer-HOuv)+IF(NETWORKDAYS(BH352,BH352,JoursFeries),MEDIAN(MOD(BH352,1),HFer,HOuv),HFer)-IF(NETWORKDAYS(O352,O352,JoursFeries),MEDIAN(MOD(O352,1),HFer,HOuv),HOuv))*24,4))))</f>
        <v/>
      </c>
      <c r="BJ352" s="35" t="str">
        <f aca="false">IF(OR(BI352="",AR352=""),"",IF(BI352&lt;=INDEX(DELAI_ESC,AR352),1,0))</f>
        <v/>
      </c>
      <c r="BK352" s="38" t="str">
        <f aca="false">IF(AO352&lt;&gt;1,"",IF(AND(T352="",U352=""),"",MIN(T352,U352)))</f>
        <v/>
      </c>
      <c r="BL352" s="37" t="str">
        <f aca="false">IF(OR(BK352="",R352=""),"",IFERROR(ROUND(IF(OR(BK352="",R352=""),"",IF(R352&lt;BK352,"",ROUND(((NETWORKDAYS(BK352,R352,JoursFeries)-1)*(HFer-HOuv)+IF(NETWORKDAYS(R352,R352,JoursFeries),MEDIAN(MOD(R352,1),HFer,HOuv),HFer)-IF(NETWORKDAYS(BK352,BK352,JoursFeries),MEDIAN(MOD(BK352,1),HFer,HOuv),HOuv))*24,4)))/HJour,4),""))</f>
        <v/>
      </c>
      <c r="BM352" s="35" t="str">
        <f aca="false">IF(OR(AO352&lt;&gt;1,R352=""),"",IF(BD352=1,1,0))</f>
        <v/>
      </c>
      <c r="BN352" s="35" t="str">
        <f aca="false">IF(AO352&lt;&gt;1,"",IF(W352="Oui",1,0))</f>
        <v/>
      </c>
      <c r="BO352" s="35" t="str">
        <f aca="false">IF(AO352&lt;&gt;1,"",IF(X352&lt;&gt;"",1,0))</f>
        <v/>
      </c>
      <c r="BP352" s="35" t="str">
        <f aca="false">IF(AO352&lt;&gt;1,"",IF(Y352="Oui",1,0))</f>
        <v/>
      </c>
      <c r="BQ352" s="35" t="str">
        <f aca="true">IF(OR(AO352&lt;&gt;1,Z352&lt;&gt;"Oui"),"",IF(AB352="",IF(AND(AA352&lt;&gt;"",NOW()&gt;AA352),0,""),IF(AA352="","",IF(AB352&lt;=AA352,1,0))))</f>
        <v/>
      </c>
      <c r="BR352" s="38" t="str">
        <f aca="false">IF(OR(AO352&lt;&gt;1,K352&lt;&gt;"Oui",O352=""),"",IF(AC352="",O352+DORA_H_DET/24,IF(AC352-O352&lt;=DORA_H_DET/24,MIN(AC352+DORA_H_CLA/24,O352+DORA_H_DET/24),AC352+DORA_H_CLA/24)))</f>
        <v/>
      </c>
      <c r="BS352" s="35" t="str">
        <f aca="true">IF(BR352="","",IF(AD352="",IF(NOW()&gt;BR352,0,""),IF(AD352&lt;=BR352,1,0)))</f>
        <v/>
      </c>
      <c r="BT352" s="35" t="str">
        <f aca="true">IF(OR(BR352="",AD352=""),"",IF(AE352="",IF(NOW()&gt;AD352+DORA_H_INT/24,0,""),IF(AE352&lt;=AD352+DORA_H_INT/24,1,0)))</f>
        <v/>
      </c>
      <c r="BU352" s="35" t="str">
        <f aca="true">IF(OR(BR352="",AE352=""),"",IF(AF352="",IF(NOW()&gt;EDATE(AE352,DORA_M_FIN)+1,0,""),IF(AF352&lt;=EDATE(AE352,DORA_M_FIN),1,0)))</f>
        <v/>
      </c>
      <c r="BV352" s="35" t="str">
        <f aca="false">IF(BR352="","",IF(COUNT(BS352:BU352)=0,"",MIN(BS352:BU352)))</f>
        <v/>
      </c>
      <c r="BW352" s="40" t="str">
        <f aca="false">IF(AQ352&lt;&gt;1,"",IF(AND(AG352="",AH352=""),"",N(AG352)-N(AH352)))</f>
        <v/>
      </c>
      <c r="BX352" s="35" t="str">
        <f aca="true">IF(OR(AQ352&lt;&gt;1,AI352&lt;&gt;"Oui",AJ352=""),"",IF(AK352="",IF(NOW()&gt;AJ352+1,0,""),IF(AK352&lt;=AJ352,1,0)))</f>
        <v/>
      </c>
    </row>
    <row r="353" customFormat="false" ht="15" hidden="false" customHeight="false" outlineLevel="0" collapsed="false">
      <c r="B353" s="29"/>
      <c r="C353" s="29"/>
      <c r="D353" s="29"/>
      <c r="E353" s="29"/>
      <c r="F353" s="29"/>
      <c r="G353" s="29"/>
      <c r="H353" s="29"/>
      <c r="I353" s="29"/>
      <c r="J353" s="29"/>
      <c r="K353" s="29"/>
      <c r="L353" s="29"/>
      <c r="M353" s="29"/>
      <c r="N353" s="30"/>
      <c r="O353" s="30"/>
      <c r="P353" s="30"/>
      <c r="Q353" s="30"/>
      <c r="R353" s="30"/>
      <c r="S353" s="30"/>
      <c r="T353" s="30"/>
      <c r="U353" s="30"/>
      <c r="V353" s="31"/>
      <c r="W353" s="29"/>
      <c r="X353" s="29"/>
      <c r="Y353" s="29"/>
      <c r="Z353" s="29"/>
      <c r="AA353" s="30"/>
      <c r="AB353" s="30"/>
      <c r="AC353" s="30"/>
      <c r="AD353" s="30"/>
      <c r="AE353" s="30"/>
      <c r="AF353" s="32"/>
      <c r="AG353" s="33"/>
      <c r="AH353" s="33"/>
      <c r="AI353" s="29"/>
      <c r="AJ353" s="32"/>
      <c r="AK353" s="32"/>
      <c r="AL353" s="29"/>
      <c r="AN353" s="34" t="str">
        <f aca="false">IF($B353="","",IF(OR(C353="",D353="",E353="",G353="",I353="",J353="",L353="",O353="",P353=""),"Champ obligatoire manquant",IF(OR(AND(N353&lt;&gt;"",N353&gt;O353),O353&gt;P353,AND(Q353&lt;&gt;"",Q353&lt;P353),AND(R353&lt;&gt;"",R353&lt;P353),AND(S353&lt;&gt;"",S353&lt;R353),AND(S353&lt;&gt;"",R353=""),AND(T353&lt;&gt;"",T353&lt;O353),AND(U353&lt;&gt;"",U353&lt;O353)),"Chronologie incohérente",IF(AND(OR(L353="Résolu",L353="Clos"),R353=""),"Date de résolution manquante",IF(AND(L353="Clos",S353=""),"Date de clôture manquante",IF(AND(K353="Oui",AC353=""),"Classification DORA manquante","OK"))))))</f>
        <v/>
      </c>
      <c r="AO353" s="35" t="str">
        <f aca="false">IF($B353="","",IF(AND(C353="Incident",L353&lt;&gt;"Annulé"),1,0))</f>
        <v/>
      </c>
      <c r="AP353" s="35" t="str">
        <f aca="false">IF($B353="","",IF(AND(C353="Quasi-incident",L353&lt;&gt;"Annulé"),1,0))</f>
        <v/>
      </c>
      <c r="AQ353" s="35" t="str">
        <f aca="false">IF($B353="","",AO353+AP353)</f>
        <v/>
      </c>
      <c r="AR353" s="36" t="str">
        <f aca="false">IF(OR($B353="",J353=""),"",IFERROR(VALUE(LEFT(J353,1)),""))</f>
        <v/>
      </c>
      <c r="AS353" s="35" t="str">
        <f aca="false">IF(OR(AO353&lt;&gt;1,G353=""),"",IFERROR(IF(INDEX(L_SrcInterne,MATCH(G353,L_Sources,0))="Oui",1,0),""))</f>
        <v/>
      </c>
      <c r="AT353" s="37" t="str">
        <f aca="false">IF(AO353&lt;&gt;1,"",IFERROR(ROUND(IF(OR(N353="",O353=""),"",IF(O353&lt;N353,"",ROUND(((NETWORKDAYS(N353,O353,JoursFeries)-1)*(HFer-HOuv)+IF(NETWORKDAYS(O353,O353,JoursFeries),MEDIAN(MOD(O353,1),HFer,HOuv),HFer)-IF(NETWORKDAYS(N353,N353,JoursFeries),MEDIAN(MOD(N353,1),HFer,HOuv),HOuv))*24,4)))/HJour,4),""))</f>
        <v/>
      </c>
      <c r="AU353" s="37" t="str">
        <f aca="false">IF(AO353&lt;&gt;1,"",IF(OR(O353="",P353=""),"",IF(P353&lt;O353,"",ROUND(((NETWORKDAYS(O353,P353,JoursFeries)-1)*(HFer-HOuv)+IF(NETWORKDAYS(P353,P353,JoursFeries),MEDIAN(MOD(P353,1),HFer,HOuv),HFer)-IF(NETWORKDAYS(O353,O353,JoursFeries),MEDIAN(MOD(O353,1),HFer,HOuv),HOuv))*24,4))))</f>
        <v/>
      </c>
      <c r="AV353" s="37" t="str">
        <f aca="false">IF(AO353&lt;&gt;1,"",IF(OR(P353="",Q353=""),"",IF(Q353&lt;P353,"",ROUND(((NETWORKDAYS(P353,Q353,JoursFeries)-1)*(HFer-HOuv)+IF(NETWORKDAYS(Q353,Q353,JoursFeries),MEDIAN(MOD(Q353,1),HFer,HOuv),HFer)-IF(NETWORKDAYS(P353,P353,JoursFeries),MEDIAN(MOD(P353,1),HFer,HOuv),HOuv))*24,4))))</f>
        <v/>
      </c>
      <c r="AW353" s="37" t="str">
        <f aca="false">IF(AO353&lt;&gt;1,"",IFERROR(ROUND(IF(OR(P353="",R353=""),"",IF(R353&lt;P353,"",ROUND(((NETWORKDAYS(P353,R353,JoursFeries)-1)*(HFer-HOuv)+IF(NETWORKDAYS(R353,R353,JoursFeries),MEDIAN(MOD(R353,1),HFer,HOuv),HFer)-IF(NETWORKDAYS(P353,P353,JoursFeries),MEDIAN(MOD(P353,1),HFer,HOuv),HOuv))*24,4)))/HJour,4),""))</f>
        <v/>
      </c>
      <c r="AX353" s="37" t="str">
        <f aca="false">IF(AO353&lt;&gt;1,"",IFERROR(ROUND(IF(OR(P353="",S353=""),"",IF(S353&lt;P353,"",ROUND(((NETWORKDAYS(P353,S353,JoursFeries)-1)*(HFer-HOuv)+IF(NETWORKDAYS(S353,S353,JoursFeries),MEDIAN(MOD(S353,1),HFer,HOuv),HFer)-IF(NETWORKDAYS(P353,P353,JoursFeries),MEDIAN(MOD(P353,1),HFer,HOuv),HOuv))*24,4)))/HJour,4),""))</f>
        <v/>
      </c>
      <c r="AY353" s="36" t="str">
        <f aca="false">IF(OR(AO353&lt;&gt;1,AR353=""),"",INDEX(SLA_PEC,AR353))</f>
        <v/>
      </c>
      <c r="AZ353" s="35" t="str">
        <f aca="false">IF(OR(AV353="",AY353=""),"",IF(AV353&lt;=AY353,1,0))</f>
        <v/>
      </c>
      <c r="BA353" s="36" t="str">
        <f aca="false">IF(OR(AO353&lt;&gt;1,AR353=""),"",INDEX(SLA_RES,AR353))</f>
        <v/>
      </c>
      <c r="BB353" s="35" t="str">
        <f aca="false">IF(OR(AW353="",BA353=""),"",IF(AW353&lt;=BA353,1,0))</f>
        <v/>
      </c>
      <c r="BC353" s="38" t="str">
        <f aca="false">IF(OR(BA353="",P353=""),"",WORKDAY(INT(P353),BA353,JoursFeries)+MOD(P353,1))</f>
        <v/>
      </c>
      <c r="BD353" s="39" t="str">
        <f aca="false">IF(AO353&lt;&gt;1,"",IF(OR(AB353&lt;&gt;"",AD353&lt;&gt;""),4,IF(U353&lt;&gt;"",3,IF(T353&lt;&gt;"",2,1))))</f>
        <v/>
      </c>
      <c r="BE353" s="39" t="str">
        <f aca="false">IF(OR(AO353&lt;&gt;1,AR353=""),"",INDEX(NIV_REQ,AR353))</f>
        <v/>
      </c>
      <c r="BF353" s="39" t="str">
        <f aca="false">IF(BE353="","",MAX(BE353,IF(OR(K353="Oui",Z353="Oui"),4,1)))</f>
        <v/>
      </c>
      <c r="BG353" s="35" t="str">
        <f aca="false">IF(OR(BF353="",BD353=""),"",IF(BD353&gt;=BF353,1,0))</f>
        <v/>
      </c>
      <c r="BH353" s="38" t="str">
        <f aca="false">IF(BE353="","",IF(BE353&lt;2,"",IF(BE353=2,IF(AND(T353="",U353=""),"",MIN(T353,U353)),IF(U353="","",U353))))</f>
        <v/>
      </c>
      <c r="BI353" s="37" t="str">
        <f aca="false">IF(BH353="","",IF(OR(O353="",BH353=""),"",IF(BH353&lt;O353,"",ROUND(((NETWORKDAYS(O353,BH353,JoursFeries)-1)*(HFer-HOuv)+IF(NETWORKDAYS(BH353,BH353,JoursFeries),MEDIAN(MOD(BH353,1),HFer,HOuv),HFer)-IF(NETWORKDAYS(O353,O353,JoursFeries),MEDIAN(MOD(O353,1),HFer,HOuv),HOuv))*24,4))))</f>
        <v/>
      </c>
      <c r="BJ353" s="35" t="str">
        <f aca="false">IF(OR(BI353="",AR353=""),"",IF(BI353&lt;=INDEX(DELAI_ESC,AR353),1,0))</f>
        <v/>
      </c>
      <c r="BK353" s="38" t="str">
        <f aca="false">IF(AO353&lt;&gt;1,"",IF(AND(T353="",U353=""),"",MIN(T353,U353)))</f>
        <v/>
      </c>
      <c r="BL353" s="37" t="str">
        <f aca="false">IF(OR(BK353="",R353=""),"",IFERROR(ROUND(IF(OR(BK353="",R353=""),"",IF(R353&lt;BK353,"",ROUND(((NETWORKDAYS(BK353,R353,JoursFeries)-1)*(HFer-HOuv)+IF(NETWORKDAYS(R353,R353,JoursFeries),MEDIAN(MOD(R353,1),HFer,HOuv),HFer)-IF(NETWORKDAYS(BK353,BK353,JoursFeries),MEDIAN(MOD(BK353,1),HFer,HOuv),HOuv))*24,4)))/HJour,4),""))</f>
        <v/>
      </c>
      <c r="BM353" s="35" t="str">
        <f aca="false">IF(OR(AO353&lt;&gt;1,R353=""),"",IF(BD353=1,1,0))</f>
        <v/>
      </c>
      <c r="BN353" s="35" t="str">
        <f aca="false">IF(AO353&lt;&gt;1,"",IF(W353="Oui",1,0))</f>
        <v/>
      </c>
      <c r="BO353" s="35" t="str">
        <f aca="false">IF(AO353&lt;&gt;1,"",IF(X353&lt;&gt;"",1,0))</f>
        <v/>
      </c>
      <c r="BP353" s="35" t="str">
        <f aca="false">IF(AO353&lt;&gt;1,"",IF(Y353="Oui",1,0))</f>
        <v/>
      </c>
      <c r="BQ353" s="35" t="str">
        <f aca="true">IF(OR(AO353&lt;&gt;1,Z353&lt;&gt;"Oui"),"",IF(AB353="",IF(AND(AA353&lt;&gt;"",NOW()&gt;AA353),0,""),IF(AA353="","",IF(AB353&lt;=AA353,1,0))))</f>
        <v/>
      </c>
      <c r="BR353" s="38" t="str">
        <f aca="false">IF(OR(AO353&lt;&gt;1,K353&lt;&gt;"Oui",O353=""),"",IF(AC353="",O353+DORA_H_DET/24,IF(AC353-O353&lt;=DORA_H_DET/24,MIN(AC353+DORA_H_CLA/24,O353+DORA_H_DET/24),AC353+DORA_H_CLA/24)))</f>
        <v/>
      </c>
      <c r="BS353" s="35" t="str">
        <f aca="true">IF(BR353="","",IF(AD353="",IF(NOW()&gt;BR353,0,""),IF(AD353&lt;=BR353,1,0)))</f>
        <v/>
      </c>
      <c r="BT353" s="35" t="str">
        <f aca="true">IF(OR(BR353="",AD353=""),"",IF(AE353="",IF(NOW()&gt;AD353+DORA_H_INT/24,0,""),IF(AE353&lt;=AD353+DORA_H_INT/24,1,0)))</f>
        <v/>
      </c>
      <c r="BU353" s="35" t="str">
        <f aca="true">IF(OR(BR353="",AE353=""),"",IF(AF353="",IF(NOW()&gt;EDATE(AE353,DORA_M_FIN)+1,0,""),IF(AF353&lt;=EDATE(AE353,DORA_M_FIN),1,0)))</f>
        <v/>
      </c>
      <c r="BV353" s="35" t="str">
        <f aca="false">IF(BR353="","",IF(COUNT(BS353:BU353)=0,"",MIN(BS353:BU353)))</f>
        <v/>
      </c>
      <c r="BW353" s="40" t="str">
        <f aca="false">IF(AQ353&lt;&gt;1,"",IF(AND(AG353="",AH353=""),"",N(AG353)-N(AH353)))</f>
        <v/>
      </c>
      <c r="BX353" s="35" t="str">
        <f aca="true">IF(OR(AQ353&lt;&gt;1,AI353&lt;&gt;"Oui",AJ353=""),"",IF(AK353="",IF(NOW()&gt;AJ353+1,0,""),IF(AK353&lt;=AJ353,1,0)))</f>
        <v/>
      </c>
    </row>
    <row r="354" customFormat="false" ht="15" hidden="false" customHeight="false" outlineLevel="0" collapsed="false">
      <c r="B354" s="29"/>
      <c r="C354" s="29"/>
      <c r="D354" s="29"/>
      <c r="E354" s="29"/>
      <c r="F354" s="29"/>
      <c r="G354" s="29"/>
      <c r="H354" s="29"/>
      <c r="I354" s="29"/>
      <c r="J354" s="29"/>
      <c r="K354" s="29"/>
      <c r="L354" s="29"/>
      <c r="M354" s="29"/>
      <c r="N354" s="30"/>
      <c r="O354" s="30"/>
      <c r="P354" s="30"/>
      <c r="Q354" s="30"/>
      <c r="R354" s="30"/>
      <c r="S354" s="30"/>
      <c r="T354" s="30"/>
      <c r="U354" s="30"/>
      <c r="V354" s="31"/>
      <c r="W354" s="29"/>
      <c r="X354" s="29"/>
      <c r="Y354" s="29"/>
      <c r="Z354" s="29"/>
      <c r="AA354" s="30"/>
      <c r="AB354" s="30"/>
      <c r="AC354" s="30"/>
      <c r="AD354" s="30"/>
      <c r="AE354" s="30"/>
      <c r="AF354" s="32"/>
      <c r="AG354" s="33"/>
      <c r="AH354" s="33"/>
      <c r="AI354" s="29"/>
      <c r="AJ354" s="32"/>
      <c r="AK354" s="32"/>
      <c r="AL354" s="29"/>
      <c r="AN354" s="34" t="str">
        <f aca="false">IF($B354="","",IF(OR(C354="",D354="",E354="",G354="",I354="",J354="",L354="",O354="",P354=""),"Champ obligatoire manquant",IF(OR(AND(N354&lt;&gt;"",N354&gt;O354),O354&gt;P354,AND(Q354&lt;&gt;"",Q354&lt;P354),AND(R354&lt;&gt;"",R354&lt;P354),AND(S354&lt;&gt;"",S354&lt;R354),AND(S354&lt;&gt;"",R354=""),AND(T354&lt;&gt;"",T354&lt;O354),AND(U354&lt;&gt;"",U354&lt;O354)),"Chronologie incohérente",IF(AND(OR(L354="Résolu",L354="Clos"),R354=""),"Date de résolution manquante",IF(AND(L354="Clos",S354=""),"Date de clôture manquante",IF(AND(K354="Oui",AC354=""),"Classification DORA manquante","OK"))))))</f>
        <v/>
      </c>
      <c r="AO354" s="35" t="str">
        <f aca="false">IF($B354="","",IF(AND(C354="Incident",L354&lt;&gt;"Annulé"),1,0))</f>
        <v/>
      </c>
      <c r="AP354" s="35" t="str">
        <f aca="false">IF($B354="","",IF(AND(C354="Quasi-incident",L354&lt;&gt;"Annulé"),1,0))</f>
        <v/>
      </c>
      <c r="AQ354" s="35" t="str">
        <f aca="false">IF($B354="","",AO354+AP354)</f>
        <v/>
      </c>
      <c r="AR354" s="36" t="str">
        <f aca="false">IF(OR($B354="",J354=""),"",IFERROR(VALUE(LEFT(J354,1)),""))</f>
        <v/>
      </c>
      <c r="AS354" s="35" t="str">
        <f aca="false">IF(OR(AO354&lt;&gt;1,G354=""),"",IFERROR(IF(INDEX(L_SrcInterne,MATCH(G354,L_Sources,0))="Oui",1,0),""))</f>
        <v/>
      </c>
      <c r="AT354" s="37" t="str">
        <f aca="false">IF(AO354&lt;&gt;1,"",IFERROR(ROUND(IF(OR(N354="",O354=""),"",IF(O354&lt;N354,"",ROUND(((NETWORKDAYS(N354,O354,JoursFeries)-1)*(HFer-HOuv)+IF(NETWORKDAYS(O354,O354,JoursFeries),MEDIAN(MOD(O354,1),HFer,HOuv),HFer)-IF(NETWORKDAYS(N354,N354,JoursFeries),MEDIAN(MOD(N354,1),HFer,HOuv),HOuv))*24,4)))/HJour,4),""))</f>
        <v/>
      </c>
      <c r="AU354" s="37" t="str">
        <f aca="false">IF(AO354&lt;&gt;1,"",IF(OR(O354="",P354=""),"",IF(P354&lt;O354,"",ROUND(((NETWORKDAYS(O354,P354,JoursFeries)-1)*(HFer-HOuv)+IF(NETWORKDAYS(P354,P354,JoursFeries),MEDIAN(MOD(P354,1),HFer,HOuv),HFer)-IF(NETWORKDAYS(O354,O354,JoursFeries),MEDIAN(MOD(O354,1),HFer,HOuv),HOuv))*24,4))))</f>
        <v/>
      </c>
      <c r="AV354" s="37" t="str">
        <f aca="false">IF(AO354&lt;&gt;1,"",IF(OR(P354="",Q354=""),"",IF(Q354&lt;P354,"",ROUND(((NETWORKDAYS(P354,Q354,JoursFeries)-1)*(HFer-HOuv)+IF(NETWORKDAYS(Q354,Q354,JoursFeries),MEDIAN(MOD(Q354,1),HFer,HOuv),HFer)-IF(NETWORKDAYS(P354,P354,JoursFeries),MEDIAN(MOD(P354,1),HFer,HOuv),HOuv))*24,4))))</f>
        <v/>
      </c>
      <c r="AW354" s="37" t="str">
        <f aca="false">IF(AO354&lt;&gt;1,"",IFERROR(ROUND(IF(OR(P354="",R354=""),"",IF(R354&lt;P354,"",ROUND(((NETWORKDAYS(P354,R354,JoursFeries)-1)*(HFer-HOuv)+IF(NETWORKDAYS(R354,R354,JoursFeries),MEDIAN(MOD(R354,1),HFer,HOuv),HFer)-IF(NETWORKDAYS(P354,P354,JoursFeries),MEDIAN(MOD(P354,1),HFer,HOuv),HOuv))*24,4)))/HJour,4),""))</f>
        <v/>
      </c>
      <c r="AX354" s="37" t="str">
        <f aca="false">IF(AO354&lt;&gt;1,"",IFERROR(ROUND(IF(OR(P354="",S354=""),"",IF(S354&lt;P354,"",ROUND(((NETWORKDAYS(P354,S354,JoursFeries)-1)*(HFer-HOuv)+IF(NETWORKDAYS(S354,S354,JoursFeries),MEDIAN(MOD(S354,1),HFer,HOuv),HFer)-IF(NETWORKDAYS(P354,P354,JoursFeries),MEDIAN(MOD(P354,1),HFer,HOuv),HOuv))*24,4)))/HJour,4),""))</f>
        <v/>
      </c>
      <c r="AY354" s="36" t="str">
        <f aca="false">IF(OR(AO354&lt;&gt;1,AR354=""),"",INDEX(SLA_PEC,AR354))</f>
        <v/>
      </c>
      <c r="AZ354" s="35" t="str">
        <f aca="false">IF(OR(AV354="",AY354=""),"",IF(AV354&lt;=AY354,1,0))</f>
        <v/>
      </c>
      <c r="BA354" s="36" t="str">
        <f aca="false">IF(OR(AO354&lt;&gt;1,AR354=""),"",INDEX(SLA_RES,AR354))</f>
        <v/>
      </c>
      <c r="BB354" s="35" t="str">
        <f aca="false">IF(OR(AW354="",BA354=""),"",IF(AW354&lt;=BA354,1,0))</f>
        <v/>
      </c>
      <c r="BC354" s="38" t="str">
        <f aca="false">IF(OR(BA354="",P354=""),"",WORKDAY(INT(P354),BA354,JoursFeries)+MOD(P354,1))</f>
        <v/>
      </c>
      <c r="BD354" s="39" t="str">
        <f aca="false">IF(AO354&lt;&gt;1,"",IF(OR(AB354&lt;&gt;"",AD354&lt;&gt;""),4,IF(U354&lt;&gt;"",3,IF(T354&lt;&gt;"",2,1))))</f>
        <v/>
      </c>
      <c r="BE354" s="39" t="str">
        <f aca="false">IF(OR(AO354&lt;&gt;1,AR354=""),"",INDEX(NIV_REQ,AR354))</f>
        <v/>
      </c>
      <c r="BF354" s="39" t="str">
        <f aca="false">IF(BE354="","",MAX(BE354,IF(OR(K354="Oui",Z354="Oui"),4,1)))</f>
        <v/>
      </c>
      <c r="BG354" s="35" t="str">
        <f aca="false">IF(OR(BF354="",BD354=""),"",IF(BD354&gt;=BF354,1,0))</f>
        <v/>
      </c>
      <c r="BH354" s="38" t="str">
        <f aca="false">IF(BE354="","",IF(BE354&lt;2,"",IF(BE354=2,IF(AND(T354="",U354=""),"",MIN(T354,U354)),IF(U354="","",U354))))</f>
        <v/>
      </c>
      <c r="BI354" s="37" t="str">
        <f aca="false">IF(BH354="","",IF(OR(O354="",BH354=""),"",IF(BH354&lt;O354,"",ROUND(((NETWORKDAYS(O354,BH354,JoursFeries)-1)*(HFer-HOuv)+IF(NETWORKDAYS(BH354,BH354,JoursFeries),MEDIAN(MOD(BH354,1),HFer,HOuv),HFer)-IF(NETWORKDAYS(O354,O354,JoursFeries),MEDIAN(MOD(O354,1),HFer,HOuv),HOuv))*24,4))))</f>
        <v/>
      </c>
      <c r="BJ354" s="35" t="str">
        <f aca="false">IF(OR(BI354="",AR354=""),"",IF(BI354&lt;=INDEX(DELAI_ESC,AR354),1,0))</f>
        <v/>
      </c>
      <c r="BK354" s="38" t="str">
        <f aca="false">IF(AO354&lt;&gt;1,"",IF(AND(T354="",U354=""),"",MIN(T354,U354)))</f>
        <v/>
      </c>
      <c r="BL354" s="37" t="str">
        <f aca="false">IF(OR(BK354="",R354=""),"",IFERROR(ROUND(IF(OR(BK354="",R354=""),"",IF(R354&lt;BK354,"",ROUND(((NETWORKDAYS(BK354,R354,JoursFeries)-1)*(HFer-HOuv)+IF(NETWORKDAYS(R354,R354,JoursFeries),MEDIAN(MOD(R354,1),HFer,HOuv),HFer)-IF(NETWORKDAYS(BK354,BK354,JoursFeries),MEDIAN(MOD(BK354,1),HFer,HOuv),HOuv))*24,4)))/HJour,4),""))</f>
        <v/>
      </c>
      <c r="BM354" s="35" t="str">
        <f aca="false">IF(OR(AO354&lt;&gt;1,R354=""),"",IF(BD354=1,1,0))</f>
        <v/>
      </c>
      <c r="BN354" s="35" t="str">
        <f aca="false">IF(AO354&lt;&gt;1,"",IF(W354="Oui",1,0))</f>
        <v/>
      </c>
      <c r="BO354" s="35" t="str">
        <f aca="false">IF(AO354&lt;&gt;1,"",IF(X354&lt;&gt;"",1,0))</f>
        <v/>
      </c>
      <c r="BP354" s="35" t="str">
        <f aca="false">IF(AO354&lt;&gt;1,"",IF(Y354="Oui",1,0))</f>
        <v/>
      </c>
      <c r="BQ354" s="35" t="str">
        <f aca="true">IF(OR(AO354&lt;&gt;1,Z354&lt;&gt;"Oui"),"",IF(AB354="",IF(AND(AA354&lt;&gt;"",NOW()&gt;AA354),0,""),IF(AA354="","",IF(AB354&lt;=AA354,1,0))))</f>
        <v/>
      </c>
      <c r="BR354" s="38" t="str">
        <f aca="false">IF(OR(AO354&lt;&gt;1,K354&lt;&gt;"Oui",O354=""),"",IF(AC354="",O354+DORA_H_DET/24,IF(AC354-O354&lt;=DORA_H_DET/24,MIN(AC354+DORA_H_CLA/24,O354+DORA_H_DET/24),AC354+DORA_H_CLA/24)))</f>
        <v/>
      </c>
      <c r="BS354" s="35" t="str">
        <f aca="true">IF(BR354="","",IF(AD354="",IF(NOW()&gt;BR354,0,""),IF(AD354&lt;=BR354,1,0)))</f>
        <v/>
      </c>
      <c r="BT354" s="35" t="str">
        <f aca="true">IF(OR(BR354="",AD354=""),"",IF(AE354="",IF(NOW()&gt;AD354+DORA_H_INT/24,0,""),IF(AE354&lt;=AD354+DORA_H_INT/24,1,0)))</f>
        <v/>
      </c>
      <c r="BU354" s="35" t="str">
        <f aca="true">IF(OR(BR354="",AE354=""),"",IF(AF354="",IF(NOW()&gt;EDATE(AE354,DORA_M_FIN)+1,0,""),IF(AF354&lt;=EDATE(AE354,DORA_M_FIN),1,0)))</f>
        <v/>
      </c>
      <c r="BV354" s="35" t="str">
        <f aca="false">IF(BR354="","",IF(COUNT(BS354:BU354)=0,"",MIN(BS354:BU354)))</f>
        <v/>
      </c>
      <c r="BW354" s="40" t="str">
        <f aca="false">IF(AQ354&lt;&gt;1,"",IF(AND(AG354="",AH354=""),"",N(AG354)-N(AH354)))</f>
        <v/>
      </c>
      <c r="BX354" s="35" t="str">
        <f aca="true">IF(OR(AQ354&lt;&gt;1,AI354&lt;&gt;"Oui",AJ354=""),"",IF(AK354="",IF(NOW()&gt;AJ354+1,0,""),IF(AK354&lt;=AJ354,1,0)))</f>
        <v/>
      </c>
    </row>
    <row r="355" customFormat="false" ht="15" hidden="false" customHeight="false" outlineLevel="0" collapsed="false">
      <c r="B355" s="29"/>
      <c r="C355" s="29"/>
      <c r="D355" s="29"/>
      <c r="E355" s="29"/>
      <c r="F355" s="29"/>
      <c r="G355" s="29"/>
      <c r="H355" s="29"/>
      <c r="I355" s="29"/>
      <c r="J355" s="29"/>
      <c r="K355" s="29"/>
      <c r="L355" s="29"/>
      <c r="M355" s="29"/>
      <c r="N355" s="30"/>
      <c r="O355" s="30"/>
      <c r="P355" s="30"/>
      <c r="Q355" s="30"/>
      <c r="R355" s="30"/>
      <c r="S355" s="30"/>
      <c r="T355" s="30"/>
      <c r="U355" s="30"/>
      <c r="V355" s="31"/>
      <c r="W355" s="29"/>
      <c r="X355" s="29"/>
      <c r="Y355" s="29"/>
      <c r="Z355" s="29"/>
      <c r="AA355" s="30"/>
      <c r="AB355" s="30"/>
      <c r="AC355" s="30"/>
      <c r="AD355" s="30"/>
      <c r="AE355" s="30"/>
      <c r="AF355" s="32"/>
      <c r="AG355" s="33"/>
      <c r="AH355" s="33"/>
      <c r="AI355" s="29"/>
      <c r="AJ355" s="32"/>
      <c r="AK355" s="32"/>
      <c r="AL355" s="29"/>
      <c r="AN355" s="34" t="str">
        <f aca="false">IF($B355="","",IF(OR(C355="",D355="",E355="",G355="",I355="",J355="",L355="",O355="",P355=""),"Champ obligatoire manquant",IF(OR(AND(N355&lt;&gt;"",N355&gt;O355),O355&gt;P355,AND(Q355&lt;&gt;"",Q355&lt;P355),AND(R355&lt;&gt;"",R355&lt;P355),AND(S355&lt;&gt;"",S355&lt;R355),AND(S355&lt;&gt;"",R355=""),AND(T355&lt;&gt;"",T355&lt;O355),AND(U355&lt;&gt;"",U355&lt;O355)),"Chronologie incohérente",IF(AND(OR(L355="Résolu",L355="Clos"),R355=""),"Date de résolution manquante",IF(AND(L355="Clos",S355=""),"Date de clôture manquante",IF(AND(K355="Oui",AC355=""),"Classification DORA manquante","OK"))))))</f>
        <v/>
      </c>
      <c r="AO355" s="35" t="str">
        <f aca="false">IF($B355="","",IF(AND(C355="Incident",L355&lt;&gt;"Annulé"),1,0))</f>
        <v/>
      </c>
      <c r="AP355" s="35" t="str">
        <f aca="false">IF($B355="","",IF(AND(C355="Quasi-incident",L355&lt;&gt;"Annulé"),1,0))</f>
        <v/>
      </c>
      <c r="AQ355" s="35" t="str">
        <f aca="false">IF($B355="","",AO355+AP355)</f>
        <v/>
      </c>
      <c r="AR355" s="36" t="str">
        <f aca="false">IF(OR($B355="",J355=""),"",IFERROR(VALUE(LEFT(J355,1)),""))</f>
        <v/>
      </c>
      <c r="AS355" s="35" t="str">
        <f aca="false">IF(OR(AO355&lt;&gt;1,G355=""),"",IFERROR(IF(INDEX(L_SrcInterne,MATCH(G355,L_Sources,0))="Oui",1,0),""))</f>
        <v/>
      </c>
      <c r="AT355" s="37" t="str">
        <f aca="false">IF(AO355&lt;&gt;1,"",IFERROR(ROUND(IF(OR(N355="",O355=""),"",IF(O355&lt;N355,"",ROUND(((NETWORKDAYS(N355,O355,JoursFeries)-1)*(HFer-HOuv)+IF(NETWORKDAYS(O355,O355,JoursFeries),MEDIAN(MOD(O355,1),HFer,HOuv),HFer)-IF(NETWORKDAYS(N355,N355,JoursFeries),MEDIAN(MOD(N355,1),HFer,HOuv),HOuv))*24,4)))/HJour,4),""))</f>
        <v/>
      </c>
      <c r="AU355" s="37" t="str">
        <f aca="false">IF(AO355&lt;&gt;1,"",IF(OR(O355="",P355=""),"",IF(P355&lt;O355,"",ROUND(((NETWORKDAYS(O355,P355,JoursFeries)-1)*(HFer-HOuv)+IF(NETWORKDAYS(P355,P355,JoursFeries),MEDIAN(MOD(P355,1),HFer,HOuv),HFer)-IF(NETWORKDAYS(O355,O355,JoursFeries),MEDIAN(MOD(O355,1),HFer,HOuv),HOuv))*24,4))))</f>
        <v/>
      </c>
      <c r="AV355" s="37" t="str">
        <f aca="false">IF(AO355&lt;&gt;1,"",IF(OR(P355="",Q355=""),"",IF(Q355&lt;P355,"",ROUND(((NETWORKDAYS(P355,Q355,JoursFeries)-1)*(HFer-HOuv)+IF(NETWORKDAYS(Q355,Q355,JoursFeries),MEDIAN(MOD(Q355,1),HFer,HOuv),HFer)-IF(NETWORKDAYS(P355,P355,JoursFeries),MEDIAN(MOD(P355,1),HFer,HOuv),HOuv))*24,4))))</f>
        <v/>
      </c>
      <c r="AW355" s="37" t="str">
        <f aca="false">IF(AO355&lt;&gt;1,"",IFERROR(ROUND(IF(OR(P355="",R355=""),"",IF(R355&lt;P355,"",ROUND(((NETWORKDAYS(P355,R355,JoursFeries)-1)*(HFer-HOuv)+IF(NETWORKDAYS(R355,R355,JoursFeries),MEDIAN(MOD(R355,1),HFer,HOuv),HFer)-IF(NETWORKDAYS(P355,P355,JoursFeries),MEDIAN(MOD(P355,1),HFer,HOuv),HOuv))*24,4)))/HJour,4),""))</f>
        <v/>
      </c>
      <c r="AX355" s="37" t="str">
        <f aca="false">IF(AO355&lt;&gt;1,"",IFERROR(ROUND(IF(OR(P355="",S355=""),"",IF(S355&lt;P355,"",ROUND(((NETWORKDAYS(P355,S355,JoursFeries)-1)*(HFer-HOuv)+IF(NETWORKDAYS(S355,S355,JoursFeries),MEDIAN(MOD(S355,1),HFer,HOuv),HFer)-IF(NETWORKDAYS(P355,P355,JoursFeries),MEDIAN(MOD(P355,1),HFer,HOuv),HOuv))*24,4)))/HJour,4),""))</f>
        <v/>
      </c>
      <c r="AY355" s="36" t="str">
        <f aca="false">IF(OR(AO355&lt;&gt;1,AR355=""),"",INDEX(SLA_PEC,AR355))</f>
        <v/>
      </c>
      <c r="AZ355" s="35" t="str">
        <f aca="false">IF(OR(AV355="",AY355=""),"",IF(AV355&lt;=AY355,1,0))</f>
        <v/>
      </c>
      <c r="BA355" s="36" t="str">
        <f aca="false">IF(OR(AO355&lt;&gt;1,AR355=""),"",INDEX(SLA_RES,AR355))</f>
        <v/>
      </c>
      <c r="BB355" s="35" t="str">
        <f aca="false">IF(OR(AW355="",BA355=""),"",IF(AW355&lt;=BA355,1,0))</f>
        <v/>
      </c>
      <c r="BC355" s="38" t="str">
        <f aca="false">IF(OR(BA355="",P355=""),"",WORKDAY(INT(P355),BA355,JoursFeries)+MOD(P355,1))</f>
        <v/>
      </c>
      <c r="BD355" s="39" t="str">
        <f aca="false">IF(AO355&lt;&gt;1,"",IF(OR(AB355&lt;&gt;"",AD355&lt;&gt;""),4,IF(U355&lt;&gt;"",3,IF(T355&lt;&gt;"",2,1))))</f>
        <v/>
      </c>
      <c r="BE355" s="39" t="str">
        <f aca="false">IF(OR(AO355&lt;&gt;1,AR355=""),"",INDEX(NIV_REQ,AR355))</f>
        <v/>
      </c>
      <c r="BF355" s="39" t="str">
        <f aca="false">IF(BE355="","",MAX(BE355,IF(OR(K355="Oui",Z355="Oui"),4,1)))</f>
        <v/>
      </c>
      <c r="BG355" s="35" t="str">
        <f aca="false">IF(OR(BF355="",BD355=""),"",IF(BD355&gt;=BF355,1,0))</f>
        <v/>
      </c>
      <c r="BH355" s="38" t="str">
        <f aca="false">IF(BE355="","",IF(BE355&lt;2,"",IF(BE355=2,IF(AND(T355="",U355=""),"",MIN(T355,U355)),IF(U355="","",U355))))</f>
        <v/>
      </c>
      <c r="BI355" s="37" t="str">
        <f aca="false">IF(BH355="","",IF(OR(O355="",BH355=""),"",IF(BH355&lt;O355,"",ROUND(((NETWORKDAYS(O355,BH355,JoursFeries)-1)*(HFer-HOuv)+IF(NETWORKDAYS(BH355,BH355,JoursFeries),MEDIAN(MOD(BH355,1),HFer,HOuv),HFer)-IF(NETWORKDAYS(O355,O355,JoursFeries),MEDIAN(MOD(O355,1),HFer,HOuv),HOuv))*24,4))))</f>
        <v/>
      </c>
      <c r="BJ355" s="35" t="str">
        <f aca="false">IF(OR(BI355="",AR355=""),"",IF(BI355&lt;=INDEX(DELAI_ESC,AR355),1,0))</f>
        <v/>
      </c>
      <c r="BK355" s="38" t="str">
        <f aca="false">IF(AO355&lt;&gt;1,"",IF(AND(T355="",U355=""),"",MIN(T355,U355)))</f>
        <v/>
      </c>
      <c r="BL355" s="37" t="str">
        <f aca="false">IF(OR(BK355="",R355=""),"",IFERROR(ROUND(IF(OR(BK355="",R355=""),"",IF(R355&lt;BK355,"",ROUND(((NETWORKDAYS(BK355,R355,JoursFeries)-1)*(HFer-HOuv)+IF(NETWORKDAYS(R355,R355,JoursFeries),MEDIAN(MOD(R355,1),HFer,HOuv),HFer)-IF(NETWORKDAYS(BK355,BK355,JoursFeries),MEDIAN(MOD(BK355,1),HFer,HOuv),HOuv))*24,4)))/HJour,4),""))</f>
        <v/>
      </c>
      <c r="BM355" s="35" t="str">
        <f aca="false">IF(OR(AO355&lt;&gt;1,R355=""),"",IF(BD355=1,1,0))</f>
        <v/>
      </c>
      <c r="BN355" s="35" t="str">
        <f aca="false">IF(AO355&lt;&gt;1,"",IF(W355="Oui",1,0))</f>
        <v/>
      </c>
      <c r="BO355" s="35" t="str">
        <f aca="false">IF(AO355&lt;&gt;1,"",IF(X355&lt;&gt;"",1,0))</f>
        <v/>
      </c>
      <c r="BP355" s="35" t="str">
        <f aca="false">IF(AO355&lt;&gt;1,"",IF(Y355="Oui",1,0))</f>
        <v/>
      </c>
      <c r="BQ355" s="35" t="str">
        <f aca="true">IF(OR(AO355&lt;&gt;1,Z355&lt;&gt;"Oui"),"",IF(AB355="",IF(AND(AA355&lt;&gt;"",NOW()&gt;AA355),0,""),IF(AA355="","",IF(AB355&lt;=AA355,1,0))))</f>
        <v/>
      </c>
      <c r="BR355" s="38" t="str">
        <f aca="false">IF(OR(AO355&lt;&gt;1,K355&lt;&gt;"Oui",O355=""),"",IF(AC355="",O355+DORA_H_DET/24,IF(AC355-O355&lt;=DORA_H_DET/24,MIN(AC355+DORA_H_CLA/24,O355+DORA_H_DET/24),AC355+DORA_H_CLA/24)))</f>
        <v/>
      </c>
      <c r="BS355" s="35" t="str">
        <f aca="true">IF(BR355="","",IF(AD355="",IF(NOW()&gt;BR355,0,""),IF(AD355&lt;=BR355,1,0)))</f>
        <v/>
      </c>
      <c r="BT355" s="35" t="str">
        <f aca="true">IF(OR(BR355="",AD355=""),"",IF(AE355="",IF(NOW()&gt;AD355+DORA_H_INT/24,0,""),IF(AE355&lt;=AD355+DORA_H_INT/24,1,0)))</f>
        <v/>
      </c>
      <c r="BU355" s="35" t="str">
        <f aca="true">IF(OR(BR355="",AE355=""),"",IF(AF355="",IF(NOW()&gt;EDATE(AE355,DORA_M_FIN)+1,0,""),IF(AF355&lt;=EDATE(AE355,DORA_M_FIN),1,0)))</f>
        <v/>
      </c>
      <c r="BV355" s="35" t="str">
        <f aca="false">IF(BR355="","",IF(COUNT(BS355:BU355)=0,"",MIN(BS355:BU355)))</f>
        <v/>
      </c>
      <c r="BW355" s="40" t="str">
        <f aca="false">IF(AQ355&lt;&gt;1,"",IF(AND(AG355="",AH355=""),"",N(AG355)-N(AH355)))</f>
        <v/>
      </c>
      <c r="BX355" s="35" t="str">
        <f aca="true">IF(OR(AQ355&lt;&gt;1,AI355&lt;&gt;"Oui",AJ355=""),"",IF(AK355="",IF(NOW()&gt;AJ355+1,0,""),IF(AK355&lt;=AJ355,1,0)))</f>
        <v/>
      </c>
    </row>
    <row r="356" customFormat="false" ht="15" hidden="false" customHeight="false" outlineLevel="0" collapsed="false">
      <c r="B356" s="29"/>
      <c r="C356" s="29"/>
      <c r="D356" s="29"/>
      <c r="E356" s="29"/>
      <c r="F356" s="29"/>
      <c r="G356" s="29"/>
      <c r="H356" s="29"/>
      <c r="I356" s="29"/>
      <c r="J356" s="29"/>
      <c r="K356" s="29"/>
      <c r="L356" s="29"/>
      <c r="M356" s="29"/>
      <c r="N356" s="30"/>
      <c r="O356" s="30"/>
      <c r="P356" s="30"/>
      <c r="Q356" s="30"/>
      <c r="R356" s="30"/>
      <c r="S356" s="30"/>
      <c r="T356" s="30"/>
      <c r="U356" s="30"/>
      <c r="V356" s="31"/>
      <c r="W356" s="29"/>
      <c r="X356" s="29"/>
      <c r="Y356" s="29"/>
      <c r="Z356" s="29"/>
      <c r="AA356" s="30"/>
      <c r="AB356" s="30"/>
      <c r="AC356" s="30"/>
      <c r="AD356" s="30"/>
      <c r="AE356" s="30"/>
      <c r="AF356" s="32"/>
      <c r="AG356" s="33"/>
      <c r="AH356" s="33"/>
      <c r="AI356" s="29"/>
      <c r="AJ356" s="32"/>
      <c r="AK356" s="32"/>
      <c r="AL356" s="29"/>
      <c r="AN356" s="34" t="str">
        <f aca="false">IF($B356="","",IF(OR(C356="",D356="",E356="",G356="",I356="",J356="",L356="",O356="",P356=""),"Champ obligatoire manquant",IF(OR(AND(N356&lt;&gt;"",N356&gt;O356),O356&gt;P356,AND(Q356&lt;&gt;"",Q356&lt;P356),AND(R356&lt;&gt;"",R356&lt;P356),AND(S356&lt;&gt;"",S356&lt;R356),AND(S356&lt;&gt;"",R356=""),AND(T356&lt;&gt;"",T356&lt;O356),AND(U356&lt;&gt;"",U356&lt;O356)),"Chronologie incohérente",IF(AND(OR(L356="Résolu",L356="Clos"),R356=""),"Date de résolution manquante",IF(AND(L356="Clos",S356=""),"Date de clôture manquante",IF(AND(K356="Oui",AC356=""),"Classification DORA manquante","OK"))))))</f>
        <v/>
      </c>
      <c r="AO356" s="35" t="str">
        <f aca="false">IF($B356="","",IF(AND(C356="Incident",L356&lt;&gt;"Annulé"),1,0))</f>
        <v/>
      </c>
      <c r="AP356" s="35" t="str">
        <f aca="false">IF($B356="","",IF(AND(C356="Quasi-incident",L356&lt;&gt;"Annulé"),1,0))</f>
        <v/>
      </c>
      <c r="AQ356" s="35" t="str">
        <f aca="false">IF($B356="","",AO356+AP356)</f>
        <v/>
      </c>
      <c r="AR356" s="36" t="str">
        <f aca="false">IF(OR($B356="",J356=""),"",IFERROR(VALUE(LEFT(J356,1)),""))</f>
        <v/>
      </c>
      <c r="AS356" s="35" t="str">
        <f aca="false">IF(OR(AO356&lt;&gt;1,G356=""),"",IFERROR(IF(INDEX(L_SrcInterne,MATCH(G356,L_Sources,0))="Oui",1,0),""))</f>
        <v/>
      </c>
      <c r="AT356" s="37" t="str">
        <f aca="false">IF(AO356&lt;&gt;1,"",IFERROR(ROUND(IF(OR(N356="",O356=""),"",IF(O356&lt;N356,"",ROUND(((NETWORKDAYS(N356,O356,JoursFeries)-1)*(HFer-HOuv)+IF(NETWORKDAYS(O356,O356,JoursFeries),MEDIAN(MOD(O356,1),HFer,HOuv),HFer)-IF(NETWORKDAYS(N356,N356,JoursFeries),MEDIAN(MOD(N356,1),HFer,HOuv),HOuv))*24,4)))/HJour,4),""))</f>
        <v/>
      </c>
      <c r="AU356" s="37" t="str">
        <f aca="false">IF(AO356&lt;&gt;1,"",IF(OR(O356="",P356=""),"",IF(P356&lt;O356,"",ROUND(((NETWORKDAYS(O356,P356,JoursFeries)-1)*(HFer-HOuv)+IF(NETWORKDAYS(P356,P356,JoursFeries),MEDIAN(MOD(P356,1),HFer,HOuv),HFer)-IF(NETWORKDAYS(O356,O356,JoursFeries),MEDIAN(MOD(O356,1),HFer,HOuv),HOuv))*24,4))))</f>
        <v/>
      </c>
      <c r="AV356" s="37" t="str">
        <f aca="false">IF(AO356&lt;&gt;1,"",IF(OR(P356="",Q356=""),"",IF(Q356&lt;P356,"",ROUND(((NETWORKDAYS(P356,Q356,JoursFeries)-1)*(HFer-HOuv)+IF(NETWORKDAYS(Q356,Q356,JoursFeries),MEDIAN(MOD(Q356,1),HFer,HOuv),HFer)-IF(NETWORKDAYS(P356,P356,JoursFeries),MEDIAN(MOD(P356,1),HFer,HOuv),HOuv))*24,4))))</f>
        <v/>
      </c>
      <c r="AW356" s="37" t="str">
        <f aca="false">IF(AO356&lt;&gt;1,"",IFERROR(ROUND(IF(OR(P356="",R356=""),"",IF(R356&lt;P356,"",ROUND(((NETWORKDAYS(P356,R356,JoursFeries)-1)*(HFer-HOuv)+IF(NETWORKDAYS(R356,R356,JoursFeries),MEDIAN(MOD(R356,1),HFer,HOuv),HFer)-IF(NETWORKDAYS(P356,P356,JoursFeries),MEDIAN(MOD(P356,1),HFer,HOuv),HOuv))*24,4)))/HJour,4),""))</f>
        <v/>
      </c>
      <c r="AX356" s="37" t="str">
        <f aca="false">IF(AO356&lt;&gt;1,"",IFERROR(ROUND(IF(OR(P356="",S356=""),"",IF(S356&lt;P356,"",ROUND(((NETWORKDAYS(P356,S356,JoursFeries)-1)*(HFer-HOuv)+IF(NETWORKDAYS(S356,S356,JoursFeries),MEDIAN(MOD(S356,1),HFer,HOuv),HFer)-IF(NETWORKDAYS(P356,P356,JoursFeries),MEDIAN(MOD(P356,1),HFer,HOuv),HOuv))*24,4)))/HJour,4),""))</f>
        <v/>
      </c>
      <c r="AY356" s="36" t="str">
        <f aca="false">IF(OR(AO356&lt;&gt;1,AR356=""),"",INDEX(SLA_PEC,AR356))</f>
        <v/>
      </c>
      <c r="AZ356" s="35" t="str">
        <f aca="false">IF(OR(AV356="",AY356=""),"",IF(AV356&lt;=AY356,1,0))</f>
        <v/>
      </c>
      <c r="BA356" s="36" t="str">
        <f aca="false">IF(OR(AO356&lt;&gt;1,AR356=""),"",INDEX(SLA_RES,AR356))</f>
        <v/>
      </c>
      <c r="BB356" s="35" t="str">
        <f aca="false">IF(OR(AW356="",BA356=""),"",IF(AW356&lt;=BA356,1,0))</f>
        <v/>
      </c>
      <c r="BC356" s="38" t="str">
        <f aca="false">IF(OR(BA356="",P356=""),"",WORKDAY(INT(P356),BA356,JoursFeries)+MOD(P356,1))</f>
        <v/>
      </c>
      <c r="BD356" s="39" t="str">
        <f aca="false">IF(AO356&lt;&gt;1,"",IF(OR(AB356&lt;&gt;"",AD356&lt;&gt;""),4,IF(U356&lt;&gt;"",3,IF(T356&lt;&gt;"",2,1))))</f>
        <v/>
      </c>
      <c r="BE356" s="39" t="str">
        <f aca="false">IF(OR(AO356&lt;&gt;1,AR356=""),"",INDEX(NIV_REQ,AR356))</f>
        <v/>
      </c>
      <c r="BF356" s="39" t="str">
        <f aca="false">IF(BE356="","",MAX(BE356,IF(OR(K356="Oui",Z356="Oui"),4,1)))</f>
        <v/>
      </c>
      <c r="BG356" s="35" t="str">
        <f aca="false">IF(OR(BF356="",BD356=""),"",IF(BD356&gt;=BF356,1,0))</f>
        <v/>
      </c>
      <c r="BH356" s="38" t="str">
        <f aca="false">IF(BE356="","",IF(BE356&lt;2,"",IF(BE356=2,IF(AND(T356="",U356=""),"",MIN(T356,U356)),IF(U356="","",U356))))</f>
        <v/>
      </c>
      <c r="BI356" s="37" t="str">
        <f aca="false">IF(BH356="","",IF(OR(O356="",BH356=""),"",IF(BH356&lt;O356,"",ROUND(((NETWORKDAYS(O356,BH356,JoursFeries)-1)*(HFer-HOuv)+IF(NETWORKDAYS(BH356,BH356,JoursFeries),MEDIAN(MOD(BH356,1),HFer,HOuv),HFer)-IF(NETWORKDAYS(O356,O356,JoursFeries),MEDIAN(MOD(O356,1),HFer,HOuv),HOuv))*24,4))))</f>
        <v/>
      </c>
      <c r="BJ356" s="35" t="str">
        <f aca="false">IF(OR(BI356="",AR356=""),"",IF(BI356&lt;=INDEX(DELAI_ESC,AR356),1,0))</f>
        <v/>
      </c>
      <c r="BK356" s="38" t="str">
        <f aca="false">IF(AO356&lt;&gt;1,"",IF(AND(T356="",U356=""),"",MIN(T356,U356)))</f>
        <v/>
      </c>
      <c r="BL356" s="37" t="str">
        <f aca="false">IF(OR(BK356="",R356=""),"",IFERROR(ROUND(IF(OR(BK356="",R356=""),"",IF(R356&lt;BK356,"",ROUND(((NETWORKDAYS(BK356,R356,JoursFeries)-1)*(HFer-HOuv)+IF(NETWORKDAYS(R356,R356,JoursFeries),MEDIAN(MOD(R356,1),HFer,HOuv),HFer)-IF(NETWORKDAYS(BK356,BK356,JoursFeries),MEDIAN(MOD(BK356,1),HFer,HOuv),HOuv))*24,4)))/HJour,4),""))</f>
        <v/>
      </c>
      <c r="BM356" s="35" t="str">
        <f aca="false">IF(OR(AO356&lt;&gt;1,R356=""),"",IF(BD356=1,1,0))</f>
        <v/>
      </c>
      <c r="BN356" s="35" t="str">
        <f aca="false">IF(AO356&lt;&gt;1,"",IF(W356="Oui",1,0))</f>
        <v/>
      </c>
      <c r="BO356" s="35" t="str">
        <f aca="false">IF(AO356&lt;&gt;1,"",IF(X356&lt;&gt;"",1,0))</f>
        <v/>
      </c>
      <c r="BP356" s="35" t="str">
        <f aca="false">IF(AO356&lt;&gt;1,"",IF(Y356="Oui",1,0))</f>
        <v/>
      </c>
      <c r="BQ356" s="35" t="str">
        <f aca="true">IF(OR(AO356&lt;&gt;1,Z356&lt;&gt;"Oui"),"",IF(AB356="",IF(AND(AA356&lt;&gt;"",NOW()&gt;AA356),0,""),IF(AA356="","",IF(AB356&lt;=AA356,1,0))))</f>
        <v/>
      </c>
      <c r="BR356" s="38" t="str">
        <f aca="false">IF(OR(AO356&lt;&gt;1,K356&lt;&gt;"Oui",O356=""),"",IF(AC356="",O356+DORA_H_DET/24,IF(AC356-O356&lt;=DORA_H_DET/24,MIN(AC356+DORA_H_CLA/24,O356+DORA_H_DET/24),AC356+DORA_H_CLA/24)))</f>
        <v/>
      </c>
      <c r="BS356" s="35" t="str">
        <f aca="true">IF(BR356="","",IF(AD356="",IF(NOW()&gt;BR356,0,""),IF(AD356&lt;=BR356,1,0)))</f>
        <v/>
      </c>
      <c r="BT356" s="35" t="str">
        <f aca="true">IF(OR(BR356="",AD356=""),"",IF(AE356="",IF(NOW()&gt;AD356+DORA_H_INT/24,0,""),IF(AE356&lt;=AD356+DORA_H_INT/24,1,0)))</f>
        <v/>
      </c>
      <c r="BU356" s="35" t="str">
        <f aca="true">IF(OR(BR356="",AE356=""),"",IF(AF356="",IF(NOW()&gt;EDATE(AE356,DORA_M_FIN)+1,0,""),IF(AF356&lt;=EDATE(AE356,DORA_M_FIN),1,0)))</f>
        <v/>
      </c>
      <c r="BV356" s="35" t="str">
        <f aca="false">IF(BR356="","",IF(COUNT(BS356:BU356)=0,"",MIN(BS356:BU356)))</f>
        <v/>
      </c>
      <c r="BW356" s="40" t="str">
        <f aca="false">IF(AQ356&lt;&gt;1,"",IF(AND(AG356="",AH356=""),"",N(AG356)-N(AH356)))</f>
        <v/>
      </c>
      <c r="BX356" s="35" t="str">
        <f aca="true">IF(OR(AQ356&lt;&gt;1,AI356&lt;&gt;"Oui",AJ356=""),"",IF(AK356="",IF(NOW()&gt;AJ356+1,0,""),IF(AK356&lt;=AJ356,1,0)))</f>
        <v/>
      </c>
    </row>
    <row r="357" customFormat="false" ht="15" hidden="false" customHeight="false" outlineLevel="0" collapsed="false">
      <c r="B357" s="29"/>
      <c r="C357" s="29"/>
      <c r="D357" s="29"/>
      <c r="E357" s="29"/>
      <c r="F357" s="29"/>
      <c r="G357" s="29"/>
      <c r="H357" s="29"/>
      <c r="I357" s="29"/>
      <c r="J357" s="29"/>
      <c r="K357" s="29"/>
      <c r="L357" s="29"/>
      <c r="M357" s="29"/>
      <c r="N357" s="30"/>
      <c r="O357" s="30"/>
      <c r="P357" s="30"/>
      <c r="Q357" s="30"/>
      <c r="R357" s="30"/>
      <c r="S357" s="30"/>
      <c r="T357" s="30"/>
      <c r="U357" s="30"/>
      <c r="V357" s="31"/>
      <c r="W357" s="29"/>
      <c r="X357" s="29"/>
      <c r="Y357" s="29"/>
      <c r="Z357" s="29"/>
      <c r="AA357" s="30"/>
      <c r="AB357" s="30"/>
      <c r="AC357" s="30"/>
      <c r="AD357" s="30"/>
      <c r="AE357" s="30"/>
      <c r="AF357" s="32"/>
      <c r="AG357" s="33"/>
      <c r="AH357" s="33"/>
      <c r="AI357" s="29"/>
      <c r="AJ357" s="32"/>
      <c r="AK357" s="32"/>
      <c r="AL357" s="29"/>
      <c r="AN357" s="34" t="str">
        <f aca="false">IF($B357="","",IF(OR(C357="",D357="",E357="",G357="",I357="",J357="",L357="",O357="",P357=""),"Champ obligatoire manquant",IF(OR(AND(N357&lt;&gt;"",N357&gt;O357),O357&gt;P357,AND(Q357&lt;&gt;"",Q357&lt;P357),AND(R357&lt;&gt;"",R357&lt;P357),AND(S357&lt;&gt;"",S357&lt;R357),AND(S357&lt;&gt;"",R357=""),AND(T357&lt;&gt;"",T357&lt;O357),AND(U357&lt;&gt;"",U357&lt;O357)),"Chronologie incohérente",IF(AND(OR(L357="Résolu",L357="Clos"),R357=""),"Date de résolution manquante",IF(AND(L357="Clos",S357=""),"Date de clôture manquante",IF(AND(K357="Oui",AC357=""),"Classification DORA manquante","OK"))))))</f>
        <v/>
      </c>
      <c r="AO357" s="35" t="str">
        <f aca="false">IF($B357="","",IF(AND(C357="Incident",L357&lt;&gt;"Annulé"),1,0))</f>
        <v/>
      </c>
      <c r="AP357" s="35" t="str">
        <f aca="false">IF($B357="","",IF(AND(C357="Quasi-incident",L357&lt;&gt;"Annulé"),1,0))</f>
        <v/>
      </c>
      <c r="AQ357" s="35" t="str">
        <f aca="false">IF($B357="","",AO357+AP357)</f>
        <v/>
      </c>
      <c r="AR357" s="36" t="str">
        <f aca="false">IF(OR($B357="",J357=""),"",IFERROR(VALUE(LEFT(J357,1)),""))</f>
        <v/>
      </c>
      <c r="AS357" s="35" t="str">
        <f aca="false">IF(OR(AO357&lt;&gt;1,G357=""),"",IFERROR(IF(INDEX(L_SrcInterne,MATCH(G357,L_Sources,0))="Oui",1,0),""))</f>
        <v/>
      </c>
      <c r="AT357" s="37" t="str">
        <f aca="false">IF(AO357&lt;&gt;1,"",IFERROR(ROUND(IF(OR(N357="",O357=""),"",IF(O357&lt;N357,"",ROUND(((NETWORKDAYS(N357,O357,JoursFeries)-1)*(HFer-HOuv)+IF(NETWORKDAYS(O357,O357,JoursFeries),MEDIAN(MOD(O357,1),HFer,HOuv),HFer)-IF(NETWORKDAYS(N357,N357,JoursFeries),MEDIAN(MOD(N357,1),HFer,HOuv),HOuv))*24,4)))/HJour,4),""))</f>
        <v/>
      </c>
      <c r="AU357" s="37" t="str">
        <f aca="false">IF(AO357&lt;&gt;1,"",IF(OR(O357="",P357=""),"",IF(P357&lt;O357,"",ROUND(((NETWORKDAYS(O357,P357,JoursFeries)-1)*(HFer-HOuv)+IF(NETWORKDAYS(P357,P357,JoursFeries),MEDIAN(MOD(P357,1),HFer,HOuv),HFer)-IF(NETWORKDAYS(O357,O357,JoursFeries),MEDIAN(MOD(O357,1),HFer,HOuv),HOuv))*24,4))))</f>
        <v/>
      </c>
      <c r="AV357" s="37" t="str">
        <f aca="false">IF(AO357&lt;&gt;1,"",IF(OR(P357="",Q357=""),"",IF(Q357&lt;P357,"",ROUND(((NETWORKDAYS(P357,Q357,JoursFeries)-1)*(HFer-HOuv)+IF(NETWORKDAYS(Q357,Q357,JoursFeries),MEDIAN(MOD(Q357,1),HFer,HOuv),HFer)-IF(NETWORKDAYS(P357,P357,JoursFeries),MEDIAN(MOD(P357,1),HFer,HOuv),HOuv))*24,4))))</f>
        <v/>
      </c>
      <c r="AW357" s="37" t="str">
        <f aca="false">IF(AO357&lt;&gt;1,"",IFERROR(ROUND(IF(OR(P357="",R357=""),"",IF(R357&lt;P357,"",ROUND(((NETWORKDAYS(P357,R357,JoursFeries)-1)*(HFer-HOuv)+IF(NETWORKDAYS(R357,R357,JoursFeries),MEDIAN(MOD(R357,1),HFer,HOuv),HFer)-IF(NETWORKDAYS(P357,P357,JoursFeries),MEDIAN(MOD(P357,1),HFer,HOuv),HOuv))*24,4)))/HJour,4),""))</f>
        <v/>
      </c>
      <c r="AX357" s="37" t="str">
        <f aca="false">IF(AO357&lt;&gt;1,"",IFERROR(ROUND(IF(OR(P357="",S357=""),"",IF(S357&lt;P357,"",ROUND(((NETWORKDAYS(P357,S357,JoursFeries)-1)*(HFer-HOuv)+IF(NETWORKDAYS(S357,S357,JoursFeries),MEDIAN(MOD(S357,1),HFer,HOuv),HFer)-IF(NETWORKDAYS(P357,P357,JoursFeries),MEDIAN(MOD(P357,1),HFer,HOuv),HOuv))*24,4)))/HJour,4),""))</f>
        <v/>
      </c>
      <c r="AY357" s="36" t="str">
        <f aca="false">IF(OR(AO357&lt;&gt;1,AR357=""),"",INDEX(SLA_PEC,AR357))</f>
        <v/>
      </c>
      <c r="AZ357" s="35" t="str">
        <f aca="false">IF(OR(AV357="",AY357=""),"",IF(AV357&lt;=AY357,1,0))</f>
        <v/>
      </c>
      <c r="BA357" s="36" t="str">
        <f aca="false">IF(OR(AO357&lt;&gt;1,AR357=""),"",INDEX(SLA_RES,AR357))</f>
        <v/>
      </c>
      <c r="BB357" s="35" t="str">
        <f aca="false">IF(OR(AW357="",BA357=""),"",IF(AW357&lt;=BA357,1,0))</f>
        <v/>
      </c>
      <c r="BC357" s="38" t="str">
        <f aca="false">IF(OR(BA357="",P357=""),"",WORKDAY(INT(P357),BA357,JoursFeries)+MOD(P357,1))</f>
        <v/>
      </c>
      <c r="BD357" s="39" t="str">
        <f aca="false">IF(AO357&lt;&gt;1,"",IF(OR(AB357&lt;&gt;"",AD357&lt;&gt;""),4,IF(U357&lt;&gt;"",3,IF(T357&lt;&gt;"",2,1))))</f>
        <v/>
      </c>
      <c r="BE357" s="39" t="str">
        <f aca="false">IF(OR(AO357&lt;&gt;1,AR357=""),"",INDEX(NIV_REQ,AR357))</f>
        <v/>
      </c>
      <c r="BF357" s="39" t="str">
        <f aca="false">IF(BE357="","",MAX(BE357,IF(OR(K357="Oui",Z357="Oui"),4,1)))</f>
        <v/>
      </c>
      <c r="BG357" s="35" t="str">
        <f aca="false">IF(OR(BF357="",BD357=""),"",IF(BD357&gt;=BF357,1,0))</f>
        <v/>
      </c>
      <c r="BH357" s="38" t="str">
        <f aca="false">IF(BE357="","",IF(BE357&lt;2,"",IF(BE357=2,IF(AND(T357="",U357=""),"",MIN(T357,U357)),IF(U357="","",U357))))</f>
        <v/>
      </c>
      <c r="BI357" s="37" t="str">
        <f aca="false">IF(BH357="","",IF(OR(O357="",BH357=""),"",IF(BH357&lt;O357,"",ROUND(((NETWORKDAYS(O357,BH357,JoursFeries)-1)*(HFer-HOuv)+IF(NETWORKDAYS(BH357,BH357,JoursFeries),MEDIAN(MOD(BH357,1),HFer,HOuv),HFer)-IF(NETWORKDAYS(O357,O357,JoursFeries),MEDIAN(MOD(O357,1),HFer,HOuv),HOuv))*24,4))))</f>
        <v/>
      </c>
      <c r="BJ357" s="35" t="str">
        <f aca="false">IF(OR(BI357="",AR357=""),"",IF(BI357&lt;=INDEX(DELAI_ESC,AR357),1,0))</f>
        <v/>
      </c>
      <c r="BK357" s="38" t="str">
        <f aca="false">IF(AO357&lt;&gt;1,"",IF(AND(T357="",U357=""),"",MIN(T357,U357)))</f>
        <v/>
      </c>
      <c r="BL357" s="37" t="str">
        <f aca="false">IF(OR(BK357="",R357=""),"",IFERROR(ROUND(IF(OR(BK357="",R357=""),"",IF(R357&lt;BK357,"",ROUND(((NETWORKDAYS(BK357,R357,JoursFeries)-1)*(HFer-HOuv)+IF(NETWORKDAYS(R357,R357,JoursFeries),MEDIAN(MOD(R357,1),HFer,HOuv),HFer)-IF(NETWORKDAYS(BK357,BK357,JoursFeries),MEDIAN(MOD(BK357,1),HFer,HOuv),HOuv))*24,4)))/HJour,4),""))</f>
        <v/>
      </c>
      <c r="BM357" s="35" t="str">
        <f aca="false">IF(OR(AO357&lt;&gt;1,R357=""),"",IF(BD357=1,1,0))</f>
        <v/>
      </c>
      <c r="BN357" s="35" t="str">
        <f aca="false">IF(AO357&lt;&gt;1,"",IF(W357="Oui",1,0))</f>
        <v/>
      </c>
      <c r="BO357" s="35" t="str">
        <f aca="false">IF(AO357&lt;&gt;1,"",IF(X357&lt;&gt;"",1,0))</f>
        <v/>
      </c>
      <c r="BP357" s="35" t="str">
        <f aca="false">IF(AO357&lt;&gt;1,"",IF(Y357="Oui",1,0))</f>
        <v/>
      </c>
      <c r="BQ357" s="35" t="str">
        <f aca="true">IF(OR(AO357&lt;&gt;1,Z357&lt;&gt;"Oui"),"",IF(AB357="",IF(AND(AA357&lt;&gt;"",NOW()&gt;AA357),0,""),IF(AA357="","",IF(AB357&lt;=AA357,1,0))))</f>
        <v/>
      </c>
      <c r="BR357" s="38" t="str">
        <f aca="false">IF(OR(AO357&lt;&gt;1,K357&lt;&gt;"Oui",O357=""),"",IF(AC357="",O357+DORA_H_DET/24,IF(AC357-O357&lt;=DORA_H_DET/24,MIN(AC357+DORA_H_CLA/24,O357+DORA_H_DET/24),AC357+DORA_H_CLA/24)))</f>
        <v/>
      </c>
      <c r="BS357" s="35" t="str">
        <f aca="true">IF(BR357="","",IF(AD357="",IF(NOW()&gt;BR357,0,""),IF(AD357&lt;=BR357,1,0)))</f>
        <v/>
      </c>
      <c r="BT357" s="35" t="str">
        <f aca="true">IF(OR(BR357="",AD357=""),"",IF(AE357="",IF(NOW()&gt;AD357+DORA_H_INT/24,0,""),IF(AE357&lt;=AD357+DORA_H_INT/24,1,0)))</f>
        <v/>
      </c>
      <c r="BU357" s="35" t="str">
        <f aca="true">IF(OR(BR357="",AE357=""),"",IF(AF357="",IF(NOW()&gt;EDATE(AE357,DORA_M_FIN)+1,0,""),IF(AF357&lt;=EDATE(AE357,DORA_M_FIN),1,0)))</f>
        <v/>
      </c>
      <c r="BV357" s="35" t="str">
        <f aca="false">IF(BR357="","",IF(COUNT(BS357:BU357)=0,"",MIN(BS357:BU357)))</f>
        <v/>
      </c>
      <c r="BW357" s="40" t="str">
        <f aca="false">IF(AQ357&lt;&gt;1,"",IF(AND(AG357="",AH357=""),"",N(AG357)-N(AH357)))</f>
        <v/>
      </c>
      <c r="BX357" s="35" t="str">
        <f aca="true">IF(OR(AQ357&lt;&gt;1,AI357&lt;&gt;"Oui",AJ357=""),"",IF(AK357="",IF(NOW()&gt;AJ357+1,0,""),IF(AK357&lt;=AJ357,1,0)))</f>
        <v/>
      </c>
    </row>
    <row r="358" customFormat="false" ht="15" hidden="false" customHeight="false" outlineLevel="0" collapsed="false">
      <c r="B358" s="29"/>
      <c r="C358" s="29"/>
      <c r="D358" s="29"/>
      <c r="E358" s="29"/>
      <c r="F358" s="29"/>
      <c r="G358" s="29"/>
      <c r="H358" s="29"/>
      <c r="I358" s="29"/>
      <c r="J358" s="29"/>
      <c r="K358" s="29"/>
      <c r="L358" s="29"/>
      <c r="M358" s="29"/>
      <c r="N358" s="30"/>
      <c r="O358" s="30"/>
      <c r="P358" s="30"/>
      <c r="Q358" s="30"/>
      <c r="R358" s="30"/>
      <c r="S358" s="30"/>
      <c r="T358" s="30"/>
      <c r="U358" s="30"/>
      <c r="V358" s="31"/>
      <c r="W358" s="29"/>
      <c r="X358" s="29"/>
      <c r="Y358" s="29"/>
      <c r="Z358" s="29"/>
      <c r="AA358" s="30"/>
      <c r="AB358" s="30"/>
      <c r="AC358" s="30"/>
      <c r="AD358" s="30"/>
      <c r="AE358" s="30"/>
      <c r="AF358" s="32"/>
      <c r="AG358" s="33"/>
      <c r="AH358" s="33"/>
      <c r="AI358" s="29"/>
      <c r="AJ358" s="32"/>
      <c r="AK358" s="32"/>
      <c r="AL358" s="29"/>
      <c r="AN358" s="34" t="str">
        <f aca="false">IF($B358="","",IF(OR(C358="",D358="",E358="",G358="",I358="",J358="",L358="",O358="",P358=""),"Champ obligatoire manquant",IF(OR(AND(N358&lt;&gt;"",N358&gt;O358),O358&gt;P358,AND(Q358&lt;&gt;"",Q358&lt;P358),AND(R358&lt;&gt;"",R358&lt;P358),AND(S358&lt;&gt;"",S358&lt;R358),AND(S358&lt;&gt;"",R358=""),AND(T358&lt;&gt;"",T358&lt;O358),AND(U358&lt;&gt;"",U358&lt;O358)),"Chronologie incohérente",IF(AND(OR(L358="Résolu",L358="Clos"),R358=""),"Date de résolution manquante",IF(AND(L358="Clos",S358=""),"Date de clôture manquante",IF(AND(K358="Oui",AC358=""),"Classification DORA manquante","OK"))))))</f>
        <v/>
      </c>
      <c r="AO358" s="35" t="str">
        <f aca="false">IF($B358="","",IF(AND(C358="Incident",L358&lt;&gt;"Annulé"),1,0))</f>
        <v/>
      </c>
      <c r="AP358" s="35" t="str">
        <f aca="false">IF($B358="","",IF(AND(C358="Quasi-incident",L358&lt;&gt;"Annulé"),1,0))</f>
        <v/>
      </c>
      <c r="AQ358" s="35" t="str">
        <f aca="false">IF($B358="","",AO358+AP358)</f>
        <v/>
      </c>
      <c r="AR358" s="36" t="str">
        <f aca="false">IF(OR($B358="",J358=""),"",IFERROR(VALUE(LEFT(J358,1)),""))</f>
        <v/>
      </c>
      <c r="AS358" s="35" t="str">
        <f aca="false">IF(OR(AO358&lt;&gt;1,G358=""),"",IFERROR(IF(INDEX(L_SrcInterne,MATCH(G358,L_Sources,0))="Oui",1,0),""))</f>
        <v/>
      </c>
      <c r="AT358" s="37" t="str">
        <f aca="false">IF(AO358&lt;&gt;1,"",IFERROR(ROUND(IF(OR(N358="",O358=""),"",IF(O358&lt;N358,"",ROUND(((NETWORKDAYS(N358,O358,JoursFeries)-1)*(HFer-HOuv)+IF(NETWORKDAYS(O358,O358,JoursFeries),MEDIAN(MOD(O358,1),HFer,HOuv),HFer)-IF(NETWORKDAYS(N358,N358,JoursFeries),MEDIAN(MOD(N358,1),HFer,HOuv),HOuv))*24,4)))/HJour,4),""))</f>
        <v/>
      </c>
      <c r="AU358" s="37" t="str">
        <f aca="false">IF(AO358&lt;&gt;1,"",IF(OR(O358="",P358=""),"",IF(P358&lt;O358,"",ROUND(((NETWORKDAYS(O358,P358,JoursFeries)-1)*(HFer-HOuv)+IF(NETWORKDAYS(P358,P358,JoursFeries),MEDIAN(MOD(P358,1),HFer,HOuv),HFer)-IF(NETWORKDAYS(O358,O358,JoursFeries),MEDIAN(MOD(O358,1),HFer,HOuv),HOuv))*24,4))))</f>
        <v/>
      </c>
      <c r="AV358" s="37" t="str">
        <f aca="false">IF(AO358&lt;&gt;1,"",IF(OR(P358="",Q358=""),"",IF(Q358&lt;P358,"",ROUND(((NETWORKDAYS(P358,Q358,JoursFeries)-1)*(HFer-HOuv)+IF(NETWORKDAYS(Q358,Q358,JoursFeries),MEDIAN(MOD(Q358,1),HFer,HOuv),HFer)-IF(NETWORKDAYS(P358,P358,JoursFeries),MEDIAN(MOD(P358,1),HFer,HOuv),HOuv))*24,4))))</f>
        <v/>
      </c>
      <c r="AW358" s="37" t="str">
        <f aca="false">IF(AO358&lt;&gt;1,"",IFERROR(ROUND(IF(OR(P358="",R358=""),"",IF(R358&lt;P358,"",ROUND(((NETWORKDAYS(P358,R358,JoursFeries)-1)*(HFer-HOuv)+IF(NETWORKDAYS(R358,R358,JoursFeries),MEDIAN(MOD(R358,1),HFer,HOuv),HFer)-IF(NETWORKDAYS(P358,P358,JoursFeries),MEDIAN(MOD(P358,1),HFer,HOuv),HOuv))*24,4)))/HJour,4),""))</f>
        <v/>
      </c>
      <c r="AX358" s="37" t="str">
        <f aca="false">IF(AO358&lt;&gt;1,"",IFERROR(ROUND(IF(OR(P358="",S358=""),"",IF(S358&lt;P358,"",ROUND(((NETWORKDAYS(P358,S358,JoursFeries)-1)*(HFer-HOuv)+IF(NETWORKDAYS(S358,S358,JoursFeries),MEDIAN(MOD(S358,1),HFer,HOuv),HFer)-IF(NETWORKDAYS(P358,P358,JoursFeries),MEDIAN(MOD(P358,1),HFer,HOuv),HOuv))*24,4)))/HJour,4),""))</f>
        <v/>
      </c>
      <c r="AY358" s="36" t="str">
        <f aca="false">IF(OR(AO358&lt;&gt;1,AR358=""),"",INDEX(SLA_PEC,AR358))</f>
        <v/>
      </c>
      <c r="AZ358" s="35" t="str">
        <f aca="false">IF(OR(AV358="",AY358=""),"",IF(AV358&lt;=AY358,1,0))</f>
        <v/>
      </c>
      <c r="BA358" s="36" t="str">
        <f aca="false">IF(OR(AO358&lt;&gt;1,AR358=""),"",INDEX(SLA_RES,AR358))</f>
        <v/>
      </c>
      <c r="BB358" s="35" t="str">
        <f aca="false">IF(OR(AW358="",BA358=""),"",IF(AW358&lt;=BA358,1,0))</f>
        <v/>
      </c>
      <c r="BC358" s="38" t="str">
        <f aca="false">IF(OR(BA358="",P358=""),"",WORKDAY(INT(P358),BA358,JoursFeries)+MOD(P358,1))</f>
        <v/>
      </c>
      <c r="BD358" s="39" t="str">
        <f aca="false">IF(AO358&lt;&gt;1,"",IF(OR(AB358&lt;&gt;"",AD358&lt;&gt;""),4,IF(U358&lt;&gt;"",3,IF(T358&lt;&gt;"",2,1))))</f>
        <v/>
      </c>
      <c r="BE358" s="39" t="str">
        <f aca="false">IF(OR(AO358&lt;&gt;1,AR358=""),"",INDEX(NIV_REQ,AR358))</f>
        <v/>
      </c>
      <c r="BF358" s="39" t="str">
        <f aca="false">IF(BE358="","",MAX(BE358,IF(OR(K358="Oui",Z358="Oui"),4,1)))</f>
        <v/>
      </c>
      <c r="BG358" s="35" t="str">
        <f aca="false">IF(OR(BF358="",BD358=""),"",IF(BD358&gt;=BF358,1,0))</f>
        <v/>
      </c>
      <c r="BH358" s="38" t="str">
        <f aca="false">IF(BE358="","",IF(BE358&lt;2,"",IF(BE358=2,IF(AND(T358="",U358=""),"",MIN(T358,U358)),IF(U358="","",U358))))</f>
        <v/>
      </c>
      <c r="BI358" s="37" t="str">
        <f aca="false">IF(BH358="","",IF(OR(O358="",BH358=""),"",IF(BH358&lt;O358,"",ROUND(((NETWORKDAYS(O358,BH358,JoursFeries)-1)*(HFer-HOuv)+IF(NETWORKDAYS(BH358,BH358,JoursFeries),MEDIAN(MOD(BH358,1),HFer,HOuv),HFer)-IF(NETWORKDAYS(O358,O358,JoursFeries),MEDIAN(MOD(O358,1),HFer,HOuv),HOuv))*24,4))))</f>
        <v/>
      </c>
      <c r="BJ358" s="35" t="str">
        <f aca="false">IF(OR(BI358="",AR358=""),"",IF(BI358&lt;=INDEX(DELAI_ESC,AR358),1,0))</f>
        <v/>
      </c>
      <c r="BK358" s="38" t="str">
        <f aca="false">IF(AO358&lt;&gt;1,"",IF(AND(T358="",U358=""),"",MIN(T358,U358)))</f>
        <v/>
      </c>
      <c r="BL358" s="37" t="str">
        <f aca="false">IF(OR(BK358="",R358=""),"",IFERROR(ROUND(IF(OR(BK358="",R358=""),"",IF(R358&lt;BK358,"",ROUND(((NETWORKDAYS(BK358,R358,JoursFeries)-1)*(HFer-HOuv)+IF(NETWORKDAYS(R358,R358,JoursFeries),MEDIAN(MOD(R358,1),HFer,HOuv),HFer)-IF(NETWORKDAYS(BK358,BK358,JoursFeries),MEDIAN(MOD(BK358,1),HFer,HOuv),HOuv))*24,4)))/HJour,4),""))</f>
        <v/>
      </c>
      <c r="BM358" s="35" t="str">
        <f aca="false">IF(OR(AO358&lt;&gt;1,R358=""),"",IF(BD358=1,1,0))</f>
        <v/>
      </c>
      <c r="BN358" s="35" t="str">
        <f aca="false">IF(AO358&lt;&gt;1,"",IF(W358="Oui",1,0))</f>
        <v/>
      </c>
      <c r="BO358" s="35" t="str">
        <f aca="false">IF(AO358&lt;&gt;1,"",IF(X358&lt;&gt;"",1,0))</f>
        <v/>
      </c>
      <c r="BP358" s="35" t="str">
        <f aca="false">IF(AO358&lt;&gt;1,"",IF(Y358="Oui",1,0))</f>
        <v/>
      </c>
      <c r="BQ358" s="35" t="str">
        <f aca="true">IF(OR(AO358&lt;&gt;1,Z358&lt;&gt;"Oui"),"",IF(AB358="",IF(AND(AA358&lt;&gt;"",NOW()&gt;AA358),0,""),IF(AA358="","",IF(AB358&lt;=AA358,1,0))))</f>
        <v/>
      </c>
      <c r="BR358" s="38" t="str">
        <f aca="false">IF(OR(AO358&lt;&gt;1,K358&lt;&gt;"Oui",O358=""),"",IF(AC358="",O358+DORA_H_DET/24,IF(AC358-O358&lt;=DORA_H_DET/24,MIN(AC358+DORA_H_CLA/24,O358+DORA_H_DET/24),AC358+DORA_H_CLA/24)))</f>
        <v/>
      </c>
      <c r="BS358" s="35" t="str">
        <f aca="true">IF(BR358="","",IF(AD358="",IF(NOW()&gt;BR358,0,""),IF(AD358&lt;=BR358,1,0)))</f>
        <v/>
      </c>
      <c r="BT358" s="35" t="str">
        <f aca="true">IF(OR(BR358="",AD358=""),"",IF(AE358="",IF(NOW()&gt;AD358+DORA_H_INT/24,0,""),IF(AE358&lt;=AD358+DORA_H_INT/24,1,0)))</f>
        <v/>
      </c>
      <c r="BU358" s="35" t="str">
        <f aca="true">IF(OR(BR358="",AE358=""),"",IF(AF358="",IF(NOW()&gt;EDATE(AE358,DORA_M_FIN)+1,0,""),IF(AF358&lt;=EDATE(AE358,DORA_M_FIN),1,0)))</f>
        <v/>
      </c>
      <c r="BV358" s="35" t="str">
        <f aca="false">IF(BR358="","",IF(COUNT(BS358:BU358)=0,"",MIN(BS358:BU358)))</f>
        <v/>
      </c>
      <c r="BW358" s="40" t="str">
        <f aca="false">IF(AQ358&lt;&gt;1,"",IF(AND(AG358="",AH358=""),"",N(AG358)-N(AH358)))</f>
        <v/>
      </c>
      <c r="BX358" s="35" t="str">
        <f aca="true">IF(OR(AQ358&lt;&gt;1,AI358&lt;&gt;"Oui",AJ358=""),"",IF(AK358="",IF(NOW()&gt;AJ358+1,0,""),IF(AK358&lt;=AJ358,1,0)))</f>
        <v/>
      </c>
    </row>
    <row r="359" customFormat="false" ht="15" hidden="false" customHeight="false" outlineLevel="0" collapsed="false">
      <c r="B359" s="29"/>
      <c r="C359" s="29"/>
      <c r="D359" s="29"/>
      <c r="E359" s="29"/>
      <c r="F359" s="29"/>
      <c r="G359" s="29"/>
      <c r="H359" s="29"/>
      <c r="I359" s="29"/>
      <c r="J359" s="29"/>
      <c r="K359" s="29"/>
      <c r="L359" s="29"/>
      <c r="M359" s="29"/>
      <c r="N359" s="30"/>
      <c r="O359" s="30"/>
      <c r="P359" s="30"/>
      <c r="Q359" s="30"/>
      <c r="R359" s="30"/>
      <c r="S359" s="30"/>
      <c r="T359" s="30"/>
      <c r="U359" s="30"/>
      <c r="V359" s="31"/>
      <c r="W359" s="29"/>
      <c r="X359" s="29"/>
      <c r="Y359" s="29"/>
      <c r="Z359" s="29"/>
      <c r="AA359" s="30"/>
      <c r="AB359" s="30"/>
      <c r="AC359" s="30"/>
      <c r="AD359" s="30"/>
      <c r="AE359" s="30"/>
      <c r="AF359" s="32"/>
      <c r="AG359" s="33"/>
      <c r="AH359" s="33"/>
      <c r="AI359" s="29"/>
      <c r="AJ359" s="32"/>
      <c r="AK359" s="32"/>
      <c r="AL359" s="29"/>
      <c r="AN359" s="34" t="str">
        <f aca="false">IF($B359="","",IF(OR(C359="",D359="",E359="",G359="",I359="",J359="",L359="",O359="",P359=""),"Champ obligatoire manquant",IF(OR(AND(N359&lt;&gt;"",N359&gt;O359),O359&gt;P359,AND(Q359&lt;&gt;"",Q359&lt;P359),AND(R359&lt;&gt;"",R359&lt;P359),AND(S359&lt;&gt;"",S359&lt;R359),AND(S359&lt;&gt;"",R359=""),AND(T359&lt;&gt;"",T359&lt;O359),AND(U359&lt;&gt;"",U359&lt;O359)),"Chronologie incohérente",IF(AND(OR(L359="Résolu",L359="Clos"),R359=""),"Date de résolution manquante",IF(AND(L359="Clos",S359=""),"Date de clôture manquante",IF(AND(K359="Oui",AC359=""),"Classification DORA manquante","OK"))))))</f>
        <v/>
      </c>
      <c r="AO359" s="35" t="str">
        <f aca="false">IF($B359="","",IF(AND(C359="Incident",L359&lt;&gt;"Annulé"),1,0))</f>
        <v/>
      </c>
      <c r="AP359" s="35" t="str">
        <f aca="false">IF($B359="","",IF(AND(C359="Quasi-incident",L359&lt;&gt;"Annulé"),1,0))</f>
        <v/>
      </c>
      <c r="AQ359" s="35" t="str">
        <f aca="false">IF($B359="","",AO359+AP359)</f>
        <v/>
      </c>
      <c r="AR359" s="36" t="str">
        <f aca="false">IF(OR($B359="",J359=""),"",IFERROR(VALUE(LEFT(J359,1)),""))</f>
        <v/>
      </c>
      <c r="AS359" s="35" t="str">
        <f aca="false">IF(OR(AO359&lt;&gt;1,G359=""),"",IFERROR(IF(INDEX(L_SrcInterne,MATCH(G359,L_Sources,0))="Oui",1,0),""))</f>
        <v/>
      </c>
      <c r="AT359" s="37" t="str">
        <f aca="false">IF(AO359&lt;&gt;1,"",IFERROR(ROUND(IF(OR(N359="",O359=""),"",IF(O359&lt;N359,"",ROUND(((NETWORKDAYS(N359,O359,JoursFeries)-1)*(HFer-HOuv)+IF(NETWORKDAYS(O359,O359,JoursFeries),MEDIAN(MOD(O359,1),HFer,HOuv),HFer)-IF(NETWORKDAYS(N359,N359,JoursFeries),MEDIAN(MOD(N359,1),HFer,HOuv),HOuv))*24,4)))/HJour,4),""))</f>
        <v/>
      </c>
      <c r="AU359" s="37" t="str">
        <f aca="false">IF(AO359&lt;&gt;1,"",IF(OR(O359="",P359=""),"",IF(P359&lt;O359,"",ROUND(((NETWORKDAYS(O359,P359,JoursFeries)-1)*(HFer-HOuv)+IF(NETWORKDAYS(P359,P359,JoursFeries),MEDIAN(MOD(P359,1),HFer,HOuv),HFer)-IF(NETWORKDAYS(O359,O359,JoursFeries),MEDIAN(MOD(O359,1),HFer,HOuv),HOuv))*24,4))))</f>
        <v/>
      </c>
      <c r="AV359" s="37" t="str">
        <f aca="false">IF(AO359&lt;&gt;1,"",IF(OR(P359="",Q359=""),"",IF(Q359&lt;P359,"",ROUND(((NETWORKDAYS(P359,Q359,JoursFeries)-1)*(HFer-HOuv)+IF(NETWORKDAYS(Q359,Q359,JoursFeries),MEDIAN(MOD(Q359,1),HFer,HOuv),HFer)-IF(NETWORKDAYS(P359,P359,JoursFeries),MEDIAN(MOD(P359,1),HFer,HOuv),HOuv))*24,4))))</f>
        <v/>
      </c>
      <c r="AW359" s="37" t="str">
        <f aca="false">IF(AO359&lt;&gt;1,"",IFERROR(ROUND(IF(OR(P359="",R359=""),"",IF(R359&lt;P359,"",ROUND(((NETWORKDAYS(P359,R359,JoursFeries)-1)*(HFer-HOuv)+IF(NETWORKDAYS(R359,R359,JoursFeries),MEDIAN(MOD(R359,1),HFer,HOuv),HFer)-IF(NETWORKDAYS(P359,P359,JoursFeries),MEDIAN(MOD(P359,1),HFer,HOuv),HOuv))*24,4)))/HJour,4),""))</f>
        <v/>
      </c>
      <c r="AX359" s="37" t="str">
        <f aca="false">IF(AO359&lt;&gt;1,"",IFERROR(ROUND(IF(OR(P359="",S359=""),"",IF(S359&lt;P359,"",ROUND(((NETWORKDAYS(P359,S359,JoursFeries)-1)*(HFer-HOuv)+IF(NETWORKDAYS(S359,S359,JoursFeries),MEDIAN(MOD(S359,1),HFer,HOuv),HFer)-IF(NETWORKDAYS(P359,P359,JoursFeries),MEDIAN(MOD(P359,1),HFer,HOuv),HOuv))*24,4)))/HJour,4),""))</f>
        <v/>
      </c>
      <c r="AY359" s="36" t="str">
        <f aca="false">IF(OR(AO359&lt;&gt;1,AR359=""),"",INDEX(SLA_PEC,AR359))</f>
        <v/>
      </c>
      <c r="AZ359" s="35" t="str">
        <f aca="false">IF(OR(AV359="",AY359=""),"",IF(AV359&lt;=AY359,1,0))</f>
        <v/>
      </c>
      <c r="BA359" s="36" t="str">
        <f aca="false">IF(OR(AO359&lt;&gt;1,AR359=""),"",INDEX(SLA_RES,AR359))</f>
        <v/>
      </c>
      <c r="BB359" s="35" t="str">
        <f aca="false">IF(OR(AW359="",BA359=""),"",IF(AW359&lt;=BA359,1,0))</f>
        <v/>
      </c>
      <c r="BC359" s="38" t="str">
        <f aca="false">IF(OR(BA359="",P359=""),"",WORKDAY(INT(P359),BA359,JoursFeries)+MOD(P359,1))</f>
        <v/>
      </c>
      <c r="BD359" s="39" t="str">
        <f aca="false">IF(AO359&lt;&gt;1,"",IF(OR(AB359&lt;&gt;"",AD359&lt;&gt;""),4,IF(U359&lt;&gt;"",3,IF(T359&lt;&gt;"",2,1))))</f>
        <v/>
      </c>
      <c r="BE359" s="39" t="str">
        <f aca="false">IF(OR(AO359&lt;&gt;1,AR359=""),"",INDEX(NIV_REQ,AR359))</f>
        <v/>
      </c>
      <c r="BF359" s="39" t="str">
        <f aca="false">IF(BE359="","",MAX(BE359,IF(OR(K359="Oui",Z359="Oui"),4,1)))</f>
        <v/>
      </c>
      <c r="BG359" s="35" t="str">
        <f aca="false">IF(OR(BF359="",BD359=""),"",IF(BD359&gt;=BF359,1,0))</f>
        <v/>
      </c>
      <c r="BH359" s="38" t="str">
        <f aca="false">IF(BE359="","",IF(BE359&lt;2,"",IF(BE359=2,IF(AND(T359="",U359=""),"",MIN(T359,U359)),IF(U359="","",U359))))</f>
        <v/>
      </c>
      <c r="BI359" s="37" t="str">
        <f aca="false">IF(BH359="","",IF(OR(O359="",BH359=""),"",IF(BH359&lt;O359,"",ROUND(((NETWORKDAYS(O359,BH359,JoursFeries)-1)*(HFer-HOuv)+IF(NETWORKDAYS(BH359,BH359,JoursFeries),MEDIAN(MOD(BH359,1),HFer,HOuv),HFer)-IF(NETWORKDAYS(O359,O359,JoursFeries),MEDIAN(MOD(O359,1),HFer,HOuv),HOuv))*24,4))))</f>
        <v/>
      </c>
      <c r="BJ359" s="35" t="str">
        <f aca="false">IF(OR(BI359="",AR359=""),"",IF(BI359&lt;=INDEX(DELAI_ESC,AR359),1,0))</f>
        <v/>
      </c>
      <c r="BK359" s="38" t="str">
        <f aca="false">IF(AO359&lt;&gt;1,"",IF(AND(T359="",U359=""),"",MIN(T359,U359)))</f>
        <v/>
      </c>
      <c r="BL359" s="37" t="str">
        <f aca="false">IF(OR(BK359="",R359=""),"",IFERROR(ROUND(IF(OR(BK359="",R359=""),"",IF(R359&lt;BK359,"",ROUND(((NETWORKDAYS(BK359,R359,JoursFeries)-1)*(HFer-HOuv)+IF(NETWORKDAYS(R359,R359,JoursFeries),MEDIAN(MOD(R359,1),HFer,HOuv),HFer)-IF(NETWORKDAYS(BK359,BK359,JoursFeries),MEDIAN(MOD(BK359,1),HFer,HOuv),HOuv))*24,4)))/HJour,4),""))</f>
        <v/>
      </c>
      <c r="BM359" s="35" t="str">
        <f aca="false">IF(OR(AO359&lt;&gt;1,R359=""),"",IF(BD359=1,1,0))</f>
        <v/>
      </c>
      <c r="BN359" s="35" t="str">
        <f aca="false">IF(AO359&lt;&gt;1,"",IF(W359="Oui",1,0))</f>
        <v/>
      </c>
      <c r="BO359" s="35" t="str">
        <f aca="false">IF(AO359&lt;&gt;1,"",IF(X359&lt;&gt;"",1,0))</f>
        <v/>
      </c>
      <c r="BP359" s="35" t="str">
        <f aca="false">IF(AO359&lt;&gt;1,"",IF(Y359="Oui",1,0))</f>
        <v/>
      </c>
      <c r="BQ359" s="35" t="str">
        <f aca="true">IF(OR(AO359&lt;&gt;1,Z359&lt;&gt;"Oui"),"",IF(AB359="",IF(AND(AA359&lt;&gt;"",NOW()&gt;AA359),0,""),IF(AA359="","",IF(AB359&lt;=AA359,1,0))))</f>
        <v/>
      </c>
      <c r="BR359" s="38" t="str">
        <f aca="false">IF(OR(AO359&lt;&gt;1,K359&lt;&gt;"Oui",O359=""),"",IF(AC359="",O359+DORA_H_DET/24,IF(AC359-O359&lt;=DORA_H_DET/24,MIN(AC359+DORA_H_CLA/24,O359+DORA_H_DET/24),AC359+DORA_H_CLA/24)))</f>
        <v/>
      </c>
      <c r="BS359" s="35" t="str">
        <f aca="true">IF(BR359="","",IF(AD359="",IF(NOW()&gt;BR359,0,""),IF(AD359&lt;=BR359,1,0)))</f>
        <v/>
      </c>
      <c r="BT359" s="35" t="str">
        <f aca="true">IF(OR(BR359="",AD359=""),"",IF(AE359="",IF(NOW()&gt;AD359+DORA_H_INT/24,0,""),IF(AE359&lt;=AD359+DORA_H_INT/24,1,0)))</f>
        <v/>
      </c>
      <c r="BU359" s="35" t="str">
        <f aca="true">IF(OR(BR359="",AE359=""),"",IF(AF359="",IF(NOW()&gt;EDATE(AE359,DORA_M_FIN)+1,0,""),IF(AF359&lt;=EDATE(AE359,DORA_M_FIN),1,0)))</f>
        <v/>
      </c>
      <c r="BV359" s="35" t="str">
        <f aca="false">IF(BR359="","",IF(COUNT(BS359:BU359)=0,"",MIN(BS359:BU359)))</f>
        <v/>
      </c>
      <c r="BW359" s="40" t="str">
        <f aca="false">IF(AQ359&lt;&gt;1,"",IF(AND(AG359="",AH359=""),"",N(AG359)-N(AH359)))</f>
        <v/>
      </c>
      <c r="BX359" s="35" t="str">
        <f aca="true">IF(OR(AQ359&lt;&gt;1,AI359&lt;&gt;"Oui",AJ359=""),"",IF(AK359="",IF(NOW()&gt;AJ359+1,0,""),IF(AK359&lt;=AJ359,1,0)))</f>
        <v/>
      </c>
    </row>
    <row r="360" customFormat="false" ht="15" hidden="false" customHeight="false" outlineLevel="0" collapsed="false">
      <c r="B360" s="29"/>
      <c r="C360" s="29"/>
      <c r="D360" s="29"/>
      <c r="E360" s="29"/>
      <c r="F360" s="29"/>
      <c r="G360" s="29"/>
      <c r="H360" s="29"/>
      <c r="I360" s="29"/>
      <c r="J360" s="29"/>
      <c r="K360" s="29"/>
      <c r="L360" s="29"/>
      <c r="M360" s="29"/>
      <c r="N360" s="30"/>
      <c r="O360" s="30"/>
      <c r="P360" s="30"/>
      <c r="Q360" s="30"/>
      <c r="R360" s="30"/>
      <c r="S360" s="30"/>
      <c r="T360" s="30"/>
      <c r="U360" s="30"/>
      <c r="V360" s="31"/>
      <c r="W360" s="29"/>
      <c r="X360" s="29"/>
      <c r="Y360" s="29"/>
      <c r="Z360" s="29"/>
      <c r="AA360" s="30"/>
      <c r="AB360" s="30"/>
      <c r="AC360" s="30"/>
      <c r="AD360" s="30"/>
      <c r="AE360" s="30"/>
      <c r="AF360" s="32"/>
      <c r="AG360" s="33"/>
      <c r="AH360" s="33"/>
      <c r="AI360" s="29"/>
      <c r="AJ360" s="32"/>
      <c r="AK360" s="32"/>
      <c r="AL360" s="29"/>
      <c r="AN360" s="34" t="str">
        <f aca="false">IF($B360="","",IF(OR(C360="",D360="",E360="",G360="",I360="",J360="",L360="",O360="",P360=""),"Champ obligatoire manquant",IF(OR(AND(N360&lt;&gt;"",N360&gt;O360),O360&gt;P360,AND(Q360&lt;&gt;"",Q360&lt;P360),AND(R360&lt;&gt;"",R360&lt;P360),AND(S360&lt;&gt;"",S360&lt;R360),AND(S360&lt;&gt;"",R360=""),AND(T360&lt;&gt;"",T360&lt;O360),AND(U360&lt;&gt;"",U360&lt;O360)),"Chronologie incohérente",IF(AND(OR(L360="Résolu",L360="Clos"),R360=""),"Date de résolution manquante",IF(AND(L360="Clos",S360=""),"Date de clôture manquante",IF(AND(K360="Oui",AC360=""),"Classification DORA manquante","OK"))))))</f>
        <v/>
      </c>
      <c r="AO360" s="35" t="str">
        <f aca="false">IF($B360="","",IF(AND(C360="Incident",L360&lt;&gt;"Annulé"),1,0))</f>
        <v/>
      </c>
      <c r="AP360" s="35" t="str">
        <f aca="false">IF($B360="","",IF(AND(C360="Quasi-incident",L360&lt;&gt;"Annulé"),1,0))</f>
        <v/>
      </c>
      <c r="AQ360" s="35" t="str">
        <f aca="false">IF($B360="","",AO360+AP360)</f>
        <v/>
      </c>
      <c r="AR360" s="36" t="str">
        <f aca="false">IF(OR($B360="",J360=""),"",IFERROR(VALUE(LEFT(J360,1)),""))</f>
        <v/>
      </c>
      <c r="AS360" s="35" t="str">
        <f aca="false">IF(OR(AO360&lt;&gt;1,G360=""),"",IFERROR(IF(INDEX(L_SrcInterne,MATCH(G360,L_Sources,0))="Oui",1,0),""))</f>
        <v/>
      </c>
      <c r="AT360" s="37" t="str">
        <f aca="false">IF(AO360&lt;&gt;1,"",IFERROR(ROUND(IF(OR(N360="",O360=""),"",IF(O360&lt;N360,"",ROUND(((NETWORKDAYS(N360,O360,JoursFeries)-1)*(HFer-HOuv)+IF(NETWORKDAYS(O360,O360,JoursFeries),MEDIAN(MOD(O360,1),HFer,HOuv),HFer)-IF(NETWORKDAYS(N360,N360,JoursFeries),MEDIAN(MOD(N360,1),HFer,HOuv),HOuv))*24,4)))/HJour,4),""))</f>
        <v/>
      </c>
      <c r="AU360" s="37" t="str">
        <f aca="false">IF(AO360&lt;&gt;1,"",IF(OR(O360="",P360=""),"",IF(P360&lt;O360,"",ROUND(((NETWORKDAYS(O360,P360,JoursFeries)-1)*(HFer-HOuv)+IF(NETWORKDAYS(P360,P360,JoursFeries),MEDIAN(MOD(P360,1),HFer,HOuv),HFer)-IF(NETWORKDAYS(O360,O360,JoursFeries),MEDIAN(MOD(O360,1),HFer,HOuv),HOuv))*24,4))))</f>
        <v/>
      </c>
      <c r="AV360" s="37" t="str">
        <f aca="false">IF(AO360&lt;&gt;1,"",IF(OR(P360="",Q360=""),"",IF(Q360&lt;P360,"",ROUND(((NETWORKDAYS(P360,Q360,JoursFeries)-1)*(HFer-HOuv)+IF(NETWORKDAYS(Q360,Q360,JoursFeries),MEDIAN(MOD(Q360,1),HFer,HOuv),HFer)-IF(NETWORKDAYS(P360,P360,JoursFeries),MEDIAN(MOD(P360,1),HFer,HOuv),HOuv))*24,4))))</f>
        <v/>
      </c>
      <c r="AW360" s="37" t="str">
        <f aca="false">IF(AO360&lt;&gt;1,"",IFERROR(ROUND(IF(OR(P360="",R360=""),"",IF(R360&lt;P360,"",ROUND(((NETWORKDAYS(P360,R360,JoursFeries)-1)*(HFer-HOuv)+IF(NETWORKDAYS(R360,R360,JoursFeries),MEDIAN(MOD(R360,1),HFer,HOuv),HFer)-IF(NETWORKDAYS(P360,P360,JoursFeries),MEDIAN(MOD(P360,1),HFer,HOuv),HOuv))*24,4)))/HJour,4),""))</f>
        <v/>
      </c>
      <c r="AX360" s="37" t="str">
        <f aca="false">IF(AO360&lt;&gt;1,"",IFERROR(ROUND(IF(OR(P360="",S360=""),"",IF(S360&lt;P360,"",ROUND(((NETWORKDAYS(P360,S360,JoursFeries)-1)*(HFer-HOuv)+IF(NETWORKDAYS(S360,S360,JoursFeries),MEDIAN(MOD(S360,1),HFer,HOuv),HFer)-IF(NETWORKDAYS(P360,P360,JoursFeries),MEDIAN(MOD(P360,1),HFer,HOuv),HOuv))*24,4)))/HJour,4),""))</f>
        <v/>
      </c>
      <c r="AY360" s="36" t="str">
        <f aca="false">IF(OR(AO360&lt;&gt;1,AR360=""),"",INDEX(SLA_PEC,AR360))</f>
        <v/>
      </c>
      <c r="AZ360" s="35" t="str">
        <f aca="false">IF(OR(AV360="",AY360=""),"",IF(AV360&lt;=AY360,1,0))</f>
        <v/>
      </c>
      <c r="BA360" s="36" t="str">
        <f aca="false">IF(OR(AO360&lt;&gt;1,AR360=""),"",INDEX(SLA_RES,AR360))</f>
        <v/>
      </c>
      <c r="BB360" s="35" t="str">
        <f aca="false">IF(OR(AW360="",BA360=""),"",IF(AW360&lt;=BA360,1,0))</f>
        <v/>
      </c>
      <c r="BC360" s="38" t="str">
        <f aca="false">IF(OR(BA360="",P360=""),"",WORKDAY(INT(P360),BA360,JoursFeries)+MOD(P360,1))</f>
        <v/>
      </c>
      <c r="BD360" s="39" t="str">
        <f aca="false">IF(AO360&lt;&gt;1,"",IF(OR(AB360&lt;&gt;"",AD360&lt;&gt;""),4,IF(U360&lt;&gt;"",3,IF(T360&lt;&gt;"",2,1))))</f>
        <v/>
      </c>
      <c r="BE360" s="39" t="str">
        <f aca="false">IF(OR(AO360&lt;&gt;1,AR360=""),"",INDEX(NIV_REQ,AR360))</f>
        <v/>
      </c>
      <c r="BF360" s="39" t="str">
        <f aca="false">IF(BE360="","",MAX(BE360,IF(OR(K360="Oui",Z360="Oui"),4,1)))</f>
        <v/>
      </c>
      <c r="BG360" s="35" t="str">
        <f aca="false">IF(OR(BF360="",BD360=""),"",IF(BD360&gt;=BF360,1,0))</f>
        <v/>
      </c>
      <c r="BH360" s="38" t="str">
        <f aca="false">IF(BE360="","",IF(BE360&lt;2,"",IF(BE360=2,IF(AND(T360="",U360=""),"",MIN(T360,U360)),IF(U360="","",U360))))</f>
        <v/>
      </c>
      <c r="BI360" s="37" t="str">
        <f aca="false">IF(BH360="","",IF(OR(O360="",BH360=""),"",IF(BH360&lt;O360,"",ROUND(((NETWORKDAYS(O360,BH360,JoursFeries)-1)*(HFer-HOuv)+IF(NETWORKDAYS(BH360,BH360,JoursFeries),MEDIAN(MOD(BH360,1),HFer,HOuv),HFer)-IF(NETWORKDAYS(O360,O360,JoursFeries),MEDIAN(MOD(O360,1),HFer,HOuv),HOuv))*24,4))))</f>
        <v/>
      </c>
      <c r="BJ360" s="35" t="str">
        <f aca="false">IF(OR(BI360="",AR360=""),"",IF(BI360&lt;=INDEX(DELAI_ESC,AR360),1,0))</f>
        <v/>
      </c>
      <c r="BK360" s="38" t="str">
        <f aca="false">IF(AO360&lt;&gt;1,"",IF(AND(T360="",U360=""),"",MIN(T360,U360)))</f>
        <v/>
      </c>
      <c r="BL360" s="37" t="str">
        <f aca="false">IF(OR(BK360="",R360=""),"",IFERROR(ROUND(IF(OR(BK360="",R360=""),"",IF(R360&lt;BK360,"",ROUND(((NETWORKDAYS(BK360,R360,JoursFeries)-1)*(HFer-HOuv)+IF(NETWORKDAYS(R360,R360,JoursFeries),MEDIAN(MOD(R360,1),HFer,HOuv),HFer)-IF(NETWORKDAYS(BK360,BK360,JoursFeries),MEDIAN(MOD(BK360,1),HFer,HOuv),HOuv))*24,4)))/HJour,4),""))</f>
        <v/>
      </c>
      <c r="BM360" s="35" t="str">
        <f aca="false">IF(OR(AO360&lt;&gt;1,R360=""),"",IF(BD360=1,1,0))</f>
        <v/>
      </c>
      <c r="BN360" s="35" t="str">
        <f aca="false">IF(AO360&lt;&gt;1,"",IF(W360="Oui",1,0))</f>
        <v/>
      </c>
      <c r="BO360" s="35" t="str">
        <f aca="false">IF(AO360&lt;&gt;1,"",IF(X360&lt;&gt;"",1,0))</f>
        <v/>
      </c>
      <c r="BP360" s="35" t="str">
        <f aca="false">IF(AO360&lt;&gt;1,"",IF(Y360="Oui",1,0))</f>
        <v/>
      </c>
      <c r="BQ360" s="35" t="str">
        <f aca="true">IF(OR(AO360&lt;&gt;1,Z360&lt;&gt;"Oui"),"",IF(AB360="",IF(AND(AA360&lt;&gt;"",NOW()&gt;AA360),0,""),IF(AA360="","",IF(AB360&lt;=AA360,1,0))))</f>
        <v/>
      </c>
      <c r="BR360" s="38" t="str">
        <f aca="false">IF(OR(AO360&lt;&gt;1,K360&lt;&gt;"Oui",O360=""),"",IF(AC360="",O360+DORA_H_DET/24,IF(AC360-O360&lt;=DORA_H_DET/24,MIN(AC360+DORA_H_CLA/24,O360+DORA_H_DET/24),AC360+DORA_H_CLA/24)))</f>
        <v/>
      </c>
      <c r="BS360" s="35" t="str">
        <f aca="true">IF(BR360="","",IF(AD360="",IF(NOW()&gt;BR360,0,""),IF(AD360&lt;=BR360,1,0)))</f>
        <v/>
      </c>
      <c r="BT360" s="35" t="str">
        <f aca="true">IF(OR(BR360="",AD360=""),"",IF(AE360="",IF(NOW()&gt;AD360+DORA_H_INT/24,0,""),IF(AE360&lt;=AD360+DORA_H_INT/24,1,0)))</f>
        <v/>
      </c>
      <c r="BU360" s="35" t="str">
        <f aca="true">IF(OR(BR360="",AE360=""),"",IF(AF360="",IF(NOW()&gt;EDATE(AE360,DORA_M_FIN)+1,0,""),IF(AF360&lt;=EDATE(AE360,DORA_M_FIN),1,0)))</f>
        <v/>
      </c>
      <c r="BV360" s="35" t="str">
        <f aca="false">IF(BR360="","",IF(COUNT(BS360:BU360)=0,"",MIN(BS360:BU360)))</f>
        <v/>
      </c>
      <c r="BW360" s="40" t="str">
        <f aca="false">IF(AQ360&lt;&gt;1,"",IF(AND(AG360="",AH360=""),"",N(AG360)-N(AH360)))</f>
        <v/>
      </c>
      <c r="BX360" s="35" t="str">
        <f aca="true">IF(OR(AQ360&lt;&gt;1,AI360&lt;&gt;"Oui",AJ360=""),"",IF(AK360="",IF(NOW()&gt;AJ360+1,0,""),IF(AK360&lt;=AJ360,1,0)))</f>
        <v/>
      </c>
    </row>
    <row r="361" customFormat="false" ht="15" hidden="false" customHeight="false" outlineLevel="0" collapsed="false">
      <c r="B361" s="29"/>
      <c r="C361" s="29"/>
      <c r="D361" s="29"/>
      <c r="E361" s="29"/>
      <c r="F361" s="29"/>
      <c r="G361" s="29"/>
      <c r="H361" s="29"/>
      <c r="I361" s="29"/>
      <c r="J361" s="29"/>
      <c r="K361" s="29"/>
      <c r="L361" s="29"/>
      <c r="M361" s="29"/>
      <c r="N361" s="30"/>
      <c r="O361" s="30"/>
      <c r="P361" s="30"/>
      <c r="Q361" s="30"/>
      <c r="R361" s="30"/>
      <c r="S361" s="30"/>
      <c r="T361" s="30"/>
      <c r="U361" s="30"/>
      <c r="V361" s="31"/>
      <c r="W361" s="29"/>
      <c r="X361" s="29"/>
      <c r="Y361" s="29"/>
      <c r="Z361" s="29"/>
      <c r="AA361" s="30"/>
      <c r="AB361" s="30"/>
      <c r="AC361" s="30"/>
      <c r="AD361" s="30"/>
      <c r="AE361" s="30"/>
      <c r="AF361" s="32"/>
      <c r="AG361" s="33"/>
      <c r="AH361" s="33"/>
      <c r="AI361" s="29"/>
      <c r="AJ361" s="32"/>
      <c r="AK361" s="32"/>
      <c r="AL361" s="29"/>
      <c r="AN361" s="34" t="str">
        <f aca="false">IF($B361="","",IF(OR(C361="",D361="",E361="",G361="",I361="",J361="",L361="",O361="",P361=""),"Champ obligatoire manquant",IF(OR(AND(N361&lt;&gt;"",N361&gt;O361),O361&gt;P361,AND(Q361&lt;&gt;"",Q361&lt;P361),AND(R361&lt;&gt;"",R361&lt;P361),AND(S361&lt;&gt;"",S361&lt;R361),AND(S361&lt;&gt;"",R361=""),AND(T361&lt;&gt;"",T361&lt;O361),AND(U361&lt;&gt;"",U361&lt;O361)),"Chronologie incohérente",IF(AND(OR(L361="Résolu",L361="Clos"),R361=""),"Date de résolution manquante",IF(AND(L361="Clos",S361=""),"Date de clôture manquante",IF(AND(K361="Oui",AC361=""),"Classification DORA manquante","OK"))))))</f>
        <v/>
      </c>
      <c r="AO361" s="35" t="str">
        <f aca="false">IF($B361="","",IF(AND(C361="Incident",L361&lt;&gt;"Annulé"),1,0))</f>
        <v/>
      </c>
      <c r="AP361" s="35" t="str">
        <f aca="false">IF($B361="","",IF(AND(C361="Quasi-incident",L361&lt;&gt;"Annulé"),1,0))</f>
        <v/>
      </c>
      <c r="AQ361" s="35" t="str">
        <f aca="false">IF($B361="","",AO361+AP361)</f>
        <v/>
      </c>
      <c r="AR361" s="36" t="str">
        <f aca="false">IF(OR($B361="",J361=""),"",IFERROR(VALUE(LEFT(J361,1)),""))</f>
        <v/>
      </c>
      <c r="AS361" s="35" t="str">
        <f aca="false">IF(OR(AO361&lt;&gt;1,G361=""),"",IFERROR(IF(INDEX(L_SrcInterne,MATCH(G361,L_Sources,0))="Oui",1,0),""))</f>
        <v/>
      </c>
      <c r="AT361" s="37" t="str">
        <f aca="false">IF(AO361&lt;&gt;1,"",IFERROR(ROUND(IF(OR(N361="",O361=""),"",IF(O361&lt;N361,"",ROUND(((NETWORKDAYS(N361,O361,JoursFeries)-1)*(HFer-HOuv)+IF(NETWORKDAYS(O361,O361,JoursFeries),MEDIAN(MOD(O361,1),HFer,HOuv),HFer)-IF(NETWORKDAYS(N361,N361,JoursFeries),MEDIAN(MOD(N361,1),HFer,HOuv),HOuv))*24,4)))/HJour,4),""))</f>
        <v/>
      </c>
      <c r="AU361" s="37" t="str">
        <f aca="false">IF(AO361&lt;&gt;1,"",IF(OR(O361="",P361=""),"",IF(P361&lt;O361,"",ROUND(((NETWORKDAYS(O361,P361,JoursFeries)-1)*(HFer-HOuv)+IF(NETWORKDAYS(P361,P361,JoursFeries),MEDIAN(MOD(P361,1),HFer,HOuv),HFer)-IF(NETWORKDAYS(O361,O361,JoursFeries),MEDIAN(MOD(O361,1),HFer,HOuv),HOuv))*24,4))))</f>
        <v/>
      </c>
      <c r="AV361" s="37" t="str">
        <f aca="false">IF(AO361&lt;&gt;1,"",IF(OR(P361="",Q361=""),"",IF(Q361&lt;P361,"",ROUND(((NETWORKDAYS(P361,Q361,JoursFeries)-1)*(HFer-HOuv)+IF(NETWORKDAYS(Q361,Q361,JoursFeries),MEDIAN(MOD(Q361,1),HFer,HOuv),HFer)-IF(NETWORKDAYS(P361,P361,JoursFeries),MEDIAN(MOD(P361,1),HFer,HOuv),HOuv))*24,4))))</f>
        <v/>
      </c>
      <c r="AW361" s="37" t="str">
        <f aca="false">IF(AO361&lt;&gt;1,"",IFERROR(ROUND(IF(OR(P361="",R361=""),"",IF(R361&lt;P361,"",ROUND(((NETWORKDAYS(P361,R361,JoursFeries)-1)*(HFer-HOuv)+IF(NETWORKDAYS(R361,R361,JoursFeries),MEDIAN(MOD(R361,1),HFer,HOuv),HFer)-IF(NETWORKDAYS(P361,P361,JoursFeries),MEDIAN(MOD(P361,1),HFer,HOuv),HOuv))*24,4)))/HJour,4),""))</f>
        <v/>
      </c>
      <c r="AX361" s="37" t="str">
        <f aca="false">IF(AO361&lt;&gt;1,"",IFERROR(ROUND(IF(OR(P361="",S361=""),"",IF(S361&lt;P361,"",ROUND(((NETWORKDAYS(P361,S361,JoursFeries)-1)*(HFer-HOuv)+IF(NETWORKDAYS(S361,S361,JoursFeries),MEDIAN(MOD(S361,1),HFer,HOuv),HFer)-IF(NETWORKDAYS(P361,P361,JoursFeries),MEDIAN(MOD(P361,1),HFer,HOuv),HOuv))*24,4)))/HJour,4),""))</f>
        <v/>
      </c>
      <c r="AY361" s="36" t="str">
        <f aca="false">IF(OR(AO361&lt;&gt;1,AR361=""),"",INDEX(SLA_PEC,AR361))</f>
        <v/>
      </c>
      <c r="AZ361" s="35" t="str">
        <f aca="false">IF(OR(AV361="",AY361=""),"",IF(AV361&lt;=AY361,1,0))</f>
        <v/>
      </c>
      <c r="BA361" s="36" t="str">
        <f aca="false">IF(OR(AO361&lt;&gt;1,AR361=""),"",INDEX(SLA_RES,AR361))</f>
        <v/>
      </c>
      <c r="BB361" s="35" t="str">
        <f aca="false">IF(OR(AW361="",BA361=""),"",IF(AW361&lt;=BA361,1,0))</f>
        <v/>
      </c>
      <c r="BC361" s="38" t="str">
        <f aca="false">IF(OR(BA361="",P361=""),"",WORKDAY(INT(P361),BA361,JoursFeries)+MOD(P361,1))</f>
        <v/>
      </c>
      <c r="BD361" s="39" t="str">
        <f aca="false">IF(AO361&lt;&gt;1,"",IF(OR(AB361&lt;&gt;"",AD361&lt;&gt;""),4,IF(U361&lt;&gt;"",3,IF(T361&lt;&gt;"",2,1))))</f>
        <v/>
      </c>
      <c r="BE361" s="39" t="str">
        <f aca="false">IF(OR(AO361&lt;&gt;1,AR361=""),"",INDEX(NIV_REQ,AR361))</f>
        <v/>
      </c>
      <c r="BF361" s="39" t="str">
        <f aca="false">IF(BE361="","",MAX(BE361,IF(OR(K361="Oui",Z361="Oui"),4,1)))</f>
        <v/>
      </c>
      <c r="BG361" s="35" t="str">
        <f aca="false">IF(OR(BF361="",BD361=""),"",IF(BD361&gt;=BF361,1,0))</f>
        <v/>
      </c>
      <c r="BH361" s="38" t="str">
        <f aca="false">IF(BE361="","",IF(BE361&lt;2,"",IF(BE361=2,IF(AND(T361="",U361=""),"",MIN(T361,U361)),IF(U361="","",U361))))</f>
        <v/>
      </c>
      <c r="BI361" s="37" t="str">
        <f aca="false">IF(BH361="","",IF(OR(O361="",BH361=""),"",IF(BH361&lt;O361,"",ROUND(((NETWORKDAYS(O361,BH361,JoursFeries)-1)*(HFer-HOuv)+IF(NETWORKDAYS(BH361,BH361,JoursFeries),MEDIAN(MOD(BH361,1),HFer,HOuv),HFer)-IF(NETWORKDAYS(O361,O361,JoursFeries),MEDIAN(MOD(O361,1),HFer,HOuv),HOuv))*24,4))))</f>
        <v/>
      </c>
      <c r="BJ361" s="35" t="str">
        <f aca="false">IF(OR(BI361="",AR361=""),"",IF(BI361&lt;=INDEX(DELAI_ESC,AR361),1,0))</f>
        <v/>
      </c>
      <c r="BK361" s="38" t="str">
        <f aca="false">IF(AO361&lt;&gt;1,"",IF(AND(T361="",U361=""),"",MIN(T361,U361)))</f>
        <v/>
      </c>
      <c r="BL361" s="37" t="str">
        <f aca="false">IF(OR(BK361="",R361=""),"",IFERROR(ROUND(IF(OR(BK361="",R361=""),"",IF(R361&lt;BK361,"",ROUND(((NETWORKDAYS(BK361,R361,JoursFeries)-1)*(HFer-HOuv)+IF(NETWORKDAYS(R361,R361,JoursFeries),MEDIAN(MOD(R361,1),HFer,HOuv),HFer)-IF(NETWORKDAYS(BK361,BK361,JoursFeries),MEDIAN(MOD(BK361,1),HFer,HOuv),HOuv))*24,4)))/HJour,4),""))</f>
        <v/>
      </c>
      <c r="BM361" s="35" t="str">
        <f aca="false">IF(OR(AO361&lt;&gt;1,R361=""),"",IF(BD361=1,1,0))</f>
        <v/>
      </c>
      <c r="BN361" s="35" t="str">
        <f aca="false">IF(AO361&lt;&gt;1,"",IF(W361="Oui",1,0))</f>
        <v/>
      </c>
      <c r="BO361" s="35" t="str">
        <f aca="false">IF(AO361&lt;&gt;1,"",IF(X361&lt;&gt;"",1,0))</f>
        <v/>
      </c>
      <c r="BP361" s="35" t="str">
        <f aca="false">IF(AO361&lt;&gt;1,"",IF(Y361="Oui",1,0))</f>
        <v/>
      </c>
      <c r="BQ361" s="35" t="str">
        <f aca="true">IF(OR(AO361&lt;&gt;1,Z361&lt;&gt;"Oui"),"",IF(AB361="",IF(AND(AA361&lt;&gt;"",NOW()&gt;AA361),0,""),IF(AA361="","",IF(AB361&lt;=AA361,1,0))))</f>
        <v/>
      </c>
      <c r="BR361" s="38" t="str">
        <f aca="false">IF(OR(AO361&lt;&gt;1,K361&lt;&gt;"Oui",O361=""),"",IF(AC361="",O361+DORA_H_DET/24,IF(AC361-O361&lt;=DORA_H_DET/24,MIN(AC361+DORA_H_CLA/24,O361+DORA_H_DET/24),AC361+DORA_H_CLA/24)))</f>
        <v/>
      </c>
      <c r="BS361" s="35" t="str">
        <f aca="true">IF(BR361="","",IF(AD361="",IF(NOW()&gt;BR361,0,""),IF(AD361&lt;=BR361,1,0)))</f>
        <v/>
      </c>
      <c r="BT361" s="35" t="str">
        <f aca="true">IF(OR(BR361="",AD361=""),"",IF(AE361="",IF(NOW()&gt;AD361+DORA_H_INT/24,0,""),IF(AE361&lt;=AD361+DORA_H_INT/24,1,0)))</f>
        <v/>
      </c>
      <c r="BU361" s="35" t="str">
        <f aca="true">IF(OR(BR361="",AE361=""),"",IF(AF361="",IF(NOW()&gt;EDATE(AE361,DORA_M_FIN)+1,0,""),IF(AF361&lt;=EDATE(AE361,DORA_M_FIN),1,0)))</f>
        <v/>
      </c>
      <c r="BV361" s="35" t="str">
        <f aca="false">IF(BR361="","",IF(COUNT(BS361:BU361)=0,"",MIN(BS361:BU361)))</f>
        <v/>
      </c>
      <c r="BW361" s="40" t="str">
        <f aca="false">IF(AQ361&lt;&gt;1,"",IF(AND(AG361="",AH361=""),"",N(AG361)-N(AH361)))</f>
        <v/>
      </c>
      <c r="BX361" s="35" t="str">
        <f aca="true">IF(OR(AQ361&lt;&gt;1,AI361&lt;&gt;"Oui",AJ361=""),"",IF(AK361="",IF(NOW()&gt;AJ361+1,0,""),IF(AK361&lt;=AJ361,1,0)))</f>
        <v/>
      </c>
    </row>
    <row r="362" customFormat="false" ht="15" hidden="false" customHeight="false" outlineLevel="0" collapsed="false">
      <c r="B362" s="29"/>
      <c r="C362" s="29"/>
      <c r="D362" s="29"/>
      <c r="E362" s="29"/>
      <c r="F362" s="29"/>
      <c r="G362" s="29"/>
      <c r="H362" s="29"/>
      <c r="I362" s="29"/>
      <c r="J362" s="29"/>
      <c r="K362" s="29"/>
      <c r="L362" s="29"/>
      <c r="M362" s="29"/>
      <c r="N362" s="30"/>
      <c r="O362" s="30"/>
      <c r="P362" s="30"/>
      <c r="Q362" s="30"/>
      <c r="R362" s="30"/>
      <c r="S362" s="30"/>
      <c r="T362" s="30"/>
      <c r="U362" s="30"/>
      <c r="V362" s="31"/>
      <c r="W362" s="29"/>
      <c r="X362" s="29"/>
      <c r="Y362" s="29"/>
      <c r="Z362" s="29"/>
      <c r="AA362" s="30"/>
      <c r="AB362" s="30"/>
      <c r="AC362" s="30"/>
      <c r="AD362" s="30"/>
      <c r="AE362" s="30"/>
      <c r="AF362" s="32"/>
      <c r="AG362" s="33"/>
      <c r="AH362" s="33"/>
      <c r="AI362" s="29"/>
      <c r="AJ362" s="32"/>
      <c r="AK362" s="32"/>
      <c r="AL362" s="29"/>
      <c r="AN362" s="34" t="str">
        <f aca="false">IF($B362="","",IF(OR(C362="",D362="",E362="",G362="",I362="",J362="",L362="",O362="",P362=""),"Champ obligatoire manquant",IF(OR(AND(N362&lt;&gt;"",N362&gt;O362),O362&gt;P362,AND(Q362&lt;&gt;"",Q362&lt;P362),AND(R362&lt;&gt;"",R362&lt;P362),AND(S362&lt;&gt;"",S362&lt;R362),AND(S362&lt;&gt;"",R362=""),AND(T362&lt;&gt;"",T362&lt;O362),AND(U362&lt;&gt;"",U362&lt;O362)),"Chronologie incohérente",IF(AND(OR(L362="Résolu",L362="Clos"),R362=""),"Date de résolution manquante",IF(AND(L362="Clos",S362=""),"Date de clôture manquante",IF(AND(K362="Oui",AC362=""),"Classification DORA manquante","OK"))))))</f>
        <v/>
      </c>
      <c r="AO362" s="35" t="str">
        <f aca="false">IF($B362="","",IF(AND(C362="Incident",L362&lt;&gt;"Annulé"),1,0))</f>
        <v/>
      </c>
      <c r="AP362" s="35" t="str">
        <f aca="false">IF($B362="","",IF(AND(C362="Quasi-incident",L362&lt;&gt;"Annulé"),1,0))</f>
        <v/>
      </c>
      <c r="AQ362" s="35" t="str">
        <f aca="false">IF($B362="","",AO362+AP362)</f>
        <v/>
      </c>
      <c r="AR362" s="36" t="str">
        <f aca="false">IF(OR($B362="",J362=""),"",IFERROR(VALUE(LEFT(J362,1)),""))</f>
        <v/>
      </c>
      <c r="AS362" s="35" t="str">
        <f aca="false">IF(OR(AO362&lt;&gt;1,G362=""),"",IFERROR(IF(INDEX(L_SrcInterne,MATCH(G362,L_Sources,0))="Oui",1,0),""))</f>
        <v/>
      </c>
      <c r="AT362" s="37" t="str">
        <f aca="false">IF(AO362&lt;&gt;1,"",IFERROR(ROUND(IF(OR(N362="",O362=""),"",IF(O362&lt;N362,"",ROUND(((NETWORKDAYS(N362,O362,JoursFeries)-1)*(HFer-HOuv)+IF(NETWORKDAYS(O362,O362,JoursFeries),MEDIAN(MOD(O362,1),HFer,HOuv),HFer)-IF(NETWORKDAYS(N362,N362,JoursFeries),MEDIAN(MOD(N362,1),HFer,HOuv),HOuv))*24,4)))/HJour,4),""))</f>
        <v/>
      </c>
      <c r="AU362" s="37" t="str">
        <f aca="false">IF(AO362&lt;&gt;1,"",IF(OR(O362="",P362=""),"",IF(P362&lt;O362,"",ROUND(((NETWORKDAYS(O362,P362,JoursFeries)-1)*(HFer-HOuv)+IF(NETWORKDAYS(P362,P362,JoursFeries),MEDIAN(MOD(P362,1),HFer,HOuv),HFer)-IF(NETWORKDAYS(O362,O362,JoursFeries),MEDIAN(MOD(O362,1),HFer,HOuv),HOuv))*24,4))))</f>
        <v/>
      </c>
      <c r="AV362" s="37" t="str">
        <f aca="false">IF(AO362&lt;&gt;1,"",IF(OR(P362="",Q362=""),"",IF(Q362&lt;P362,"",ROUND(((NETWORKDAYS(P362,Q362,JoursFeries)-1)*(HFer-HOuv)+IF(NETWORKDAYS(Q362,Q362,JoursFeries),MEDIAN(MOD(Q362,1),HFer,HOuv),HFer)-IF(NETWORKDAYS(P362,P362,JoursFeries),MEDIAN(MOD(P362,1),HFer,HOuv),HOuv))*24,4))))</f>
        <v/>
      </c>
      <c r="AW362" s="37" t="str">
        <f aca="false">IF(AO362&lt;&gt;1,"",IFERROR(ROUND(IF(OR(P362="",R362=""),"",IF(R362&lt;P362,"",ROUND(((NETWORKDAYS(P362,R362,JoursFeries)-1)*(HFer-HOuv)+IF(NETWORKDAYS(R362,R362,JoursFeries),MEDIAN(MOD(R362,1),HFer,HOuv),HFer)-IF(NETWORKDAYS(P362,P362,JoursFeries),MEDIAN(MOD(P362,1),HFer,HOuv),HOuv))*24,4)))/HJour,4),""))</f>
        <v/>
      </c>
      <c r="AX362" s="37" t="str">
        <f aca="false">IF(AO362&lt;&gt;1,"",IFERROR(ROUND(IF(OR(P362="",S362=""),"",IF(S362&lt;P362,"",ROUND(((NETWORKDAYS(P362,S362,JoursFeries)-1)*(HFer-HOuv)+IF(NETWORKDAYS(S362,S362,JoursFeries),MEDIAN(MOD(S362,1),HFer,HOuv),HFer)-IF(NETWORKDAYS(P362,P362,JoursFeries),MEDIAN(MOD(P362,1),HFer,HOuv),HOuv))*24,4)))/HJour,4),""))</f>
        <v/>
      </c>
      <c r="AY362" s="36" t="str">
        <f aca="false">IF(OR(AO362&lt;&gt;1,AR362=""),"",INDEX(SLA_PEC,AR362))</f>
        <v/>
      </c>
      <c r="AZ362" s="35" t="str">
        <f aca="false">IF(OR(AV362="",AY362=""),"",IF(AV362&lt;=AY362,1,0))</f>
        <v/>
      </c>
      <c r="BA362" s="36" t="str">
        <f aca="false">IF(OR(AO362&lt;&gt;1,AR362=""),"",INDEX(SLA_RES,AR362))</f>
        <v/>
      </c>
      <c r="BB362" s="35" t="str">
        <f aca="false">IF(OR(AW362="",BA362=""),"",IF(AW362&lt;=BA362,1,0))</f>
        <v/>
      </c>
      <c r="BC362" s="38" t="str">
        <f aca="false">IF(OR(BA362="",P362=""),"",WORKDAY(INT(P362),BA362,JoursFeries)+MOD(P362,1))</f>
        <v/>
      </c>
      <c r="BD362" s="39" t="str">
        <f aca="false">IF(AO362&lt;&gt;1,"",IF(OR(AB362&lt;&gt;"",AD362&lt;&gt;""),4,IF(U362&lt;&gt;"",3,IF(T362&lt;&gt;"",2,1))))</f>
        <v/>
      </c>
      <c r="BE362" s="39" t="str">
        <f aca="false">IF(OR(AO362&lt;&gt;1,AR362=""),"",INDEX(NIV_REQ,AR362))</f>
        <v/>
      </c>
      <c r="BF362" s="39" t="str">
        <f aca="false">IF(BE362="","",MAX(BE362,IF(OR(K362="Oui",Z362="Oui"),4,1)))</f>
        <v/>
      </c>
      <c r="BG362" s="35" t="str">
        <f aca="false">IF(OR(BF362="",BD362=""),"",IF(BD362&gt;=BF362,1,0))</f>
        <v/>
      </c>
      <c r="BH362" s="38" t="str">
        <f aca="false">IF(BE362="","",IF(BE362&lt;2,"",IF(BE362=2,IF(AND(T362="",U362=""),"",MIN(T362,U362)),IF(U362="","",U362))))</f>
        <v/>
      </c>
      <c r="BI362" s="37" t="str">
        <f aca="false">IF(BH362="","",IF(OR(O362="",BH362=""),"",IF(BH362&lt;O362,"",ROUND(((NETWORKDAYS(O362,BH362,JoursFeries)-1)*(HFer-HOuv)+IF(NETWORKDAYS(BH362,BH362,JoursFeries),MEDIAN(MOD(BH362,1),HFer,HOuv),HFer)-IF(NETWORKDAYS(O362,O362,JoursFeries),MEDIAN(MOD(O362,1),HFer,HOuv),HOuv))*24,4))))</f>
        <v/>
      </c>
      <c r="BJ362" s="35" t="str">
        <f aca="false">IF(OR(BI362="",AR362=""),"",IF(BI362&lt;=INDEX(DELAI_ESC,AR362),1,0))</f>
        <v/>
      </c>
      <c r="BK362" s="38" t="str">
        <f aca="false">IF(AO362&lt;&gt;1,"",IF(AND(T362="",U362=""),"",MIN(T362,U362)))</f>
        <v/>
      </c>
      <c r="BL362" s="37" t="str">
        <f aca="false">IF(OR(BK362="",R362=""),"",IFERROR(ROUND(IF(OR(BK362="",R362=""),"",IF(R362&lt;BK362,"",ROUND(((NETWORKDAYS(BK362,R362,JoursFeries)-1)*(HFer-HOuv)+IF(NETWORKDAYS(R362,R362,JoursFeries),MEDIAN(MOD(R362,1),HFer,HOuv),HFer)-IF(NETWORKDAYS(BK362,BK362,JoursFeries),MEDIAN(MOD(BK362,1),HFer,HOuv),HOuv))*24,4)))/HJour,4),""))</f>
        <v/>
      </c>
      <c r="BM362" s="35" t="str">
        <f aca="false">IF(OR(AO362&lt;&gt;1,R362=""),"",IF(BD362=1,1,0))</f>
        <v/>
      </c>
      <c r="BN362" s="35" t="str">
        <f aca="false">IF(AO362&lt;&gt;1,"",IF(W362="Oui",1,0))</f>
        <v/>
      </c>
      <c r="BO362" s="35" t="str">
        <f aca="false">IF(AO362&lt;&gt;1,"",IF(X362&lt;&gt;"",1,0))</f>
        <v/>
      </c>
      <c r="BP362" s="35" t="str">
        <f aca="false">IF(AO362&lt;&gt;1,"",IF(Y362="Oui",1,0))</f>
        <v/>
      </c>
      <c r="BQ362" s="35" t="str">
        <f aca="true">IF(OR(AO362&lt;&gt;1,Z362&lt;&gt;"Oui"),"",IF(AB362="",IF(AND(AA362&lt;&gt;"",NOW()&gt;AA362),0,""),IF(AA362="","",IF(AB362&lt;=AA362,1,0))))</f>
        <v/>
      </c>
      <c r="BR362" s="38" t="str">
        <f aca="false">IF(OR(AO362&lt;&gt;1,K362&lt;&gt;"Oui",O362=""),"",IF(AC362="",O362+DORA_H_DET/24,IF(AC362-O362&lt;=DORA_H_DET/24,MIN(AC362+DORA_H_CLA/24,O362+DORA_H_DET/24),AC362+DORA_H_CLA/24)))</f>
        <v/>
      </c>
      <c r="BS362" s="35" t="str">
        <f aca="true">IF(BR362="","",IF(AD362="",IF(NOW()&gt;BR362,0,""),IF(AD362&lt;=BR362,1,0)))</f>
        <v/>
      </c>
      <c r="BT362" s="35" t="str">
        <f aca="true">IF(OR(BR362="",AD362=""),"",IF(AE362="",IF(NOW()&gt;AD362+DORA_H_INT/24,0,""),IF(AE362&lt;=AD362+DORA_H_INT/24,1,0)))</f>
        <v/>
      </c>
      <c r="BU362" s="35" t="str">
        <f aca="true">IF(OR(BR362="",AE362=""),"",IF(AF362="",IF(NOW()&gt;EDATE(AE362,DORA_M_FIN)+1,0,""),IF(AF362&lt;=EDATE(AE362,DORA_M_FIN),1,0)))</f>
        <v/>
      </c>
      <c r="BV362" s="35" t="str">
        <f aca="false">IF(BR362="","",IF(COUNT(BS362:BU362)=0,"",MIN(BS362:BU362)))</f>
        <v/>
      </c>
      <c r="BW362" s="40" t="str">
        <f aca="false">IF(AQ362&lt;&gt;1,"",IF(AND(AG362="",AH362=""),"",N(AG362)-N(AH362)))</f>
        <v/>
      </c>
      <c r="BX362" s="35" t="str">
        <f aca="true">IF(OR(AQ362&lt;&gt;1,AI362&lt;&gt;"Oui",AJ362=""),"",IF(AK362="",IF(NOW()&gt;AJ362+1,0,""),IF(AK362&lt;=AJ362,1,0)))</f>
        <v/>
      </c>
    </row>
    <row r="363" customFormat="false" ht="15" hidden="false" customHeight="false" outlineLevel="0" collapsed="false">
      <c r="B363" s="29"/>
      <c r="C363" s="29"/>
      <c r="D363" s="29"/>
      <c r="E363" s="29"/>
      <c r="F363" s="29"/>
      <c r="G363" s="29"/>
      <c r="H363" s="29"/>
      <c r="I363" s="29"/>
      <c r="J363" s="29"/>
      <c r="K363" s="29"/>
      <c r="L363" s="29"/>
      <c r="M363" s="29"/>
      <c r="N363" s="30"/>
      <c r="O363" s="30"/>
      <c r="P363" s="30"/>
      <c r="Q363" s="30"/>
      <c r="R363" s="30"/>
      <c r="S363" s="30"/>
      <c r="T363" s="30"/>
      <c r="U363" s="30"/>
      <c r="V363" s="31"/>
      <c r="W363" s="29"/>
      <c r="X363" s="29"/>
      <c r="Y363" s="29"/>
      <c r="Z363" s="29"/>
      <c r="AA363" s="30"/>
      <c r="AB363" s="30"/>
      <c r="AC363" s="30"/>
      <c r="AD363" s="30"/>
      <c r="AE363" s="30"/>
      <c r="AF363" s="32"/>
      <c r="AG363" s="33"/>
      <c r="AH363" s="33"/>
      <c r="AI363" s="29"/>
      <c r="AJ363" s="32"/>
      <c r="AK363" s="32"/>
      <c r="AL363" s="29"/>
      <c r="AN363" s="34" t="str">
        <f aca="false">IF($B363="","",IF(OR(C363="",D363="",E363="",G363="",I363="",J363="",L363="",O363="",P363=""),"Champ obligatoire manquant",IF(OR(AND(N363&lt;&gt;"",N363&gt;O363),O363&gt;P363,AND(Q363&lt;&gt;"",Q363&lt;P363),AND(R363&lt;&gt;"",R363&lt;P363),AND(S363&lt;&gt;"",S363&lt;R363),AND(S363&lt;&gt;"",R363=""),AND(T363&lt;&gt;"",T363&lt;O363),AND(U363&lt;&gt;"",U363&lt;O363)),"Chronologie incohérente",IF(AND(OR(L363="Résolu",L363="Clos"),R363=""),"Date de résolution manquante",IF(AND(L363="Clos",S363=""),"Date de clôture manquante",IF(AND(K363="Oui",AC363=""),"Classification DORA manquante","OK"))))))</f>
        <v/>
      </c>
      <c r="AO363" s="35" t="str">
        <f aca="false">IF($B363="","",IF(AND(C363="Incident",L363&lt;&gt;"Annulé"),1,0))</f>
        <v/>
      </c>
      <c r="AP363" s="35" t="str">
        <f aca="false">IF($B363="","",IF(AND(C363="Quasi-incident",L363&lt;&gt;"Annulé"),1,0))</f>
        <v/>
      </c>
      <c r="AQ363" s="35" t="str">
        <f aca="false">IF($B363="","",AO363+AP363)</f>
        <v/>
      </c>
      <c r="AR363" s="36" t="str">
        <f aca="false">IF(OR($B363="",J363=""),"",IFERROR(VALUE(LEFT(J363,1)),""))</f>
        <v/>
      </c>
      <c r="AS363" s="35" t="str">
        <f aca="false">IF(OR(AO363&lt;&gt;1,G363=""),"",IFERROR(IF(INDEX(L_SrcInterne,MATCH(G363,L_Sources,0))="Oui",1,0),""))</f>
        <v/>
      </c>
      <c r="AT363" s="37" t="str">
        <f aca="false">IF(AO363&lt;&gt;1,"",IFERROR(ROUND(IF(OR(N363="",O363=""),"",IF(O363&lt;N363,"",ROUND(((NETWORKDAYS(N363,O363,JoursFeries)-1)*(HFer-HOuv)+IF(NETWORKDAYS(O363,O363,JoursFeries),MEDIAN(MOD(O363,1),HFer,HOuv),HFer)-IF(NETWORKDAYS(N363,N363,JoursFeries),MEDIAN(MOD(N363,1),HFer,HOuv),HOuv))*24,4)))/HJour,4),""))</f>
        <v/>
      </c>
      <c r="AU363" s="37" t="str">
        <f aca="false">IF(AO363&lt;&gt;1,"",IF(OR(O363="",P363=""),"",IF(P363&lt;O363,"",ROUND(((NETWORKDAYS(O363,P363,JoursFeries)-1)*(HFer-HOuv)+IF(NETWORKDAYS(P363,P363,JoursFeries),MEDIAN(MOD(P363,1),HFer,HOuv),HFer)-IF(NETWORKDAYS(O363,O363,JoursFeries),MEDIAN(MOD(O363,1),HFer,HOuv),HOuv))*24,4))))</f>
        <v/>
      </c>
      <c r="AV363" s="37" t="str">
        <f aca="false">IF(AO363&lt;&gt;1,"",IF(OR(P363="",Q363=""),"",IF(Q363&lt;P363,"",ROUND(((NETWORKDAYS(P363,Q363,JoursFeries)-1)*(HFer-HOuv)+IF(NETWORKDAYS(Q363,Q363,JoursFeries),MEDIAN(MOD(Q363,1),HFer,HOuv),HFer)-IF(NETWORKDAYS(P363,P363,JoursFeries),MEDIAN(MOD(P363,1),HFer,HOuv),HOuv))*24,4))))</f>
        <v/>
      </c>
      <c r="AW363" s="37" t="str">
        <f aca="false">IF(AO363&lt;&gt;1,"",IFERROR(ROUND(IF(OR(P363="",R363=""),"",IF(R363&lt;P363,"",ROUND(((NETWORKDAYS(P363,R363,JoursFeries)-1)*(HFer-HOuv)+IF(NETWORKDAYS(R363,R363,JoursFeries),MEDIAN(MOD(R363,1),HFer,HOuv),HFer)-IF(NETWORKDAYS(P363,P363,JoursFeries),MEDIAN(MOD(P363,1),HFer,HOuv),HOuv))*24,4)))/HJour,4),""))</f>
        <v/>
      </c>
      <c r="AX363" s="37" t="str">
        <f aca="false">IF(AO363&lt;&gt;1,"",IFERROR(ROUND(IF(OR(P363="",S363=""),"",IF(S363&lt;P363,"",ROUND(((NETWORKDAYS(P363,S363,JoursFeries)-1)*(HFer-HOuv)+IF(NETWORKDAYS(S363,S363,JoursFeries),MEDIAN(MOD(S363,1),HFer,HOuv),HFer)-IF(NETWORKDAYS(P363,P363,JoursFeries),MEDIAN(MOD(P363,1),HFer,HOuv),HOuv))*24,4)))/HJour,4),""))</f>
        <v/>
      </c>
      <c r="AY363" s="36" t="str">
        <f aca="false">IF(OR(AO363&lt;&gt;1,AR363=""),"",INDEX(SLA_PEC,AR363))</f>
        <v/>
      </c>
      <c r="AZ363" s="35" t="str">
        <f aca="false">IF(OR(AV363="",AY363=""),"",IF(AV363&lt;=AY363,1,0))</f>
        <v/>
      </c>
      <c r="BA363" s="36" t="str">
        <f aca="false">IF(OR(AO363&lt;&gt;1,AR363=""),"",INDEX(SLA_RES,AR363))</f>
        <v/>
      </c>
      <c r="BB363" s="35" t="str">
        <f aca="false">IF(OR(AW363="",BA363=""),"",IF(AW363&lt;=BA363,1,0))</f>
        <v/>
      </c>
      <c r="BC363" s="38" t="str">
        <f aca="false">IF(OR(BA363="",P363=""),"",WORKDAY(INT(P363),BA363,JoursFeries)+MOD(P363,1))</f>
        <v/>
      </c>
      <c r="BD363" s="39" t="str">
        <f aca="false">IF(AO363&lt;&gt;1,"",IF(OR(AB363&lt;&gt;"",AD363&lt;&gt;""),4,IF(U363&lt;&gt;"",3,IF(T363&lt;&gt;"",2,1))))</f>
        <v/>
      </c>
      <c r="BE363" s="39" t="str">
        <f aca="false">IF(OR(AO363&lt;&gt;1,AR363=""),"",INDEX(NIV_REQ,AR363))</f>
        <v/>
      </c>
      <c r="BF363" s="39" t="str">
        <f aca="false">IF(BE363="","",MAX(BE363,IF(OR(K363="Oui",Z363="Oui"),4,1)))</f>
        <v/>
      </c>
      <c r="BG363" s="35" t="str">
        <f aca="false">IF(OR(BF363="",BD363=""),"",IF(BD363&gt;=BF363,1,0))</f>
        <v/>
      </c>
      <c r="BH363" s="38" t="str">
        <f aca="false">IF(BE363="","",IF(BE363&lt;2,"",IF(BE363=2,IF(AND(T363="",U363=""),"",MIN(T363,U363)),IF(U363="","",U363))))</f>
        <v/>
      </c>
      <c r="BI363" s="37" t="str">
        <f aca="false">IF(BH363="","",IF(OR(O363="",BH363=""),"",IF(BH363&lt;O363,"",ROUND(((NETWORKDAYS(O363,BH363,JoursFeries)-1)*(HFer-HOuv)+IF(NETWORKDAYS(BH363,BH363,JoursFeries),MEDIAN(MOD(BH363,1),HFer,HOuv),HFer)-IF(NETWORKDAYS(O363,O363,JoursFeries),MEDIAN(MOD(O363,1),HFer,HOuv),HOuv))*24,4))))</f>
        <v/>
      </c>
      <c r="BJ363" s="35" t="str">
        <f aca="false">IF(OR(BI363="",AR363=""),"",IF(BI363&lt;=INDEX(DELAI_ESC,AR363),1,0))</f>
        <v/>
      </c>
      <c r="BK363" s="38" t="str">
        <f aca="false">IF(AO363&lt;&gt;1,"",IF(AND(T363="",U363=""),"",MIN(T363,U363)))</f>
        <v/>
      </c>
      <c r="BL363" s="37" t="str">
        <f aca="false">IF(OR(BK363="",R363=""),"",IFERROR(ROUND(IF(OR(BK363="",R363=""),"",IF(R363&lt;BK363,"",ROUND(((NETWORKDAYS(BK363,R363,JoursFeries)-1)*(HFer-HOuv)+IF(NETWORKDAYS(R363,R363,JoursFeries),MEDIAN(MOD(R363,1),HFer,HOuv),HFer)-IF(NETWORKDAYS(BK363,BK363,JoursFeries),MEDIAN(MOD(BK363,1),HFer,HOuv),HOuv))*24,4)))/HJour,4),""))</f>
        <v/>
      </c>
      <c r="BM363" s="35" t="str">
        <f aca="false">IF(OR(AO363&lt;&gt;1,R363=""),"",IF(BD363=1,1,0))</f>
        <v/>
      </c>
      <c r="BN363" s="35" t="str">
        <f aca="false">IF(AO363&lt;&gt;1,"",IF(W363="Oui",1,0))</f>
        <v/>
      </c>
      <c r="BO363" s="35" t="str">
        <f aca="false">IF(AO363&lt;&gt;1,"",IF(X363&lt;&gt;"",1,0))</f>
        <v/>
      </c>
      <c r="BP363" s="35" t="str">
        <f aca="false">IF(AO363&lt;&gt;1,"",IF(Y363="Oui",1,0))</f>
        <v/>
      </c>
      <c r="BQ363" s="35" t="str">
        <f aca="true">IF(OR(AO363&lt;&gt;1,Z363&lt;&gt;"Oui"),"",IF(AB363="",IF(AND(AA363&lt;&gt;"",NOW()&gt;AA363),0,""),IF(AA363="","",IF(AB363&lt;=AA363,1,0))))</f>
        <v/>
      </c>
      <c r="BR363" s="38" t="str">
        <f aca="false">IF(OR(AO363&lt;&gt;1,K363&lt;&gt;"Oui",O363=""),"",IF(AC363="",O363+DORA_H_DET/24,IF(AC363-O363&lt;=DORA_H_DET/24,MIN(AC363+DORA_H_CLA/24,O363+DORA_H_DET/24),AC363+DORA_H_CLA/24)))</f>
        <v/>
      </c>
      <c r="BS363" s="35" t="str">
        <f aca="true">IF(BR363="","",IF(AD363="",IF(NOW()&gt;BR363,0,""),IF(AD363&lt;=BR363,1,0)))</f>
        <v/>
      </c>
      <c r="BT363" s="35" t="str">
        <f aca="true">IF(OR(BR363="",AD363=""),"",IF(AE363="",IF(NOW()&gt;AD363+DORA_H_INT/24,0,""),IF(AE363&lt;=AD363+DORA_H_INT/24,1,0)))</f>
        <v/>
      </c>
      <c r="BU363" s="35" t="str">
        <f aca="true">IF(OR(BR363="",AE363=""),"",IF(AF363="",IF(NOW()&gt;EDATE(AE363,DORA_M_FIN)+1,0,""),IF(AF363&lt;=EDATE(AE363,DORA_M_FIN),1,0)))</f>
        <v/>
      </c>
      <c r="BV363" s="35" t="str">
        <f aca="false">IF(BR363="","",IF(COUNT(BS363:BU363)=0,"",MIN(BS363:BU363)))</f>
        <v/>
      </c>
      <c r="BW363" s="40" t="str">
        <f aca="false">IF(AQ363&lt;&gt;1,"",IF(AND(AG363="",AH363=""),"",N(AG363)-N(AH363)))</f>
        <v/>
      </c>
      <c r="BX363" s="35" t="str">
        <f aca="true">IF(OR(AQ363&lt;&gt;1,AI363&lt;&gt;"Oui",AJ363=""),"",IF(AK363="",IF(NOW()&gt;AJ363+1,0,""),IF(AK363&lt;=AJ363,1,0)))</f>
        <v/>
      </c>
    </row>
    <row r="364" customFormat="false" ht="15" hidden="false" customHeight="false" outlineLevel="0" collapsed="false">
      <c r="B364" s="29"/>
      <c r="C364" s="29"/>
      <c r="D364" s="29"/>
      <c r="E364" s="29"/>
      <c r="F364" s="29"/>
      <c r="G364" s="29"/>
      <c r="H364" s="29"/>
      <c r="I364" s="29"/>
      <c r="J364" s="29"/>
      <c r="K364" s="29"/>
      <c r="L364" s="29"/>
      <c r="M364" s="29"/>
      <c r="N364" s="30"/>
      <c r="O364" s="30"/>
      <c r="P364" s="30"/>
      <c r="Q364" s="30"/>
      <c r="R364" s="30"/>
      <c r="S364" s="30"/>
      <c r="T364" s="30"/>
      <c r="U364" s="30"/>
      <c r="V364" s="31"/>
      <c r="W364" s="29"/>
      <c r="X364" s="29"/>
      <c r="Y364" s="29"/>
      <c r="Z364" s="29"/>
      <c r="AA364" s="30"/>
      <c r="AB364" s="30"/>
      <c r="AC364" s="30"/>
      <c r="AD364" s="30"/>
      <c r="AE364" s="30"/>
      <c r="AF364" s="32"/>
      <c r="AG364" s="33"/>
      <c r="AH364" s="33"/>
      <c r="AI364" s="29"/>
      <c r="AJ364" s="32"/>
      <c r="AK364" s="32"/>
      <c r="AL364" s="29"/>
      <c r="AN364" s="34" t="str">
        <f aca="false">IF($B364="","",IF(OR(C364="",D364="",E364="",G364="",I364="",J364="",L364="",O364="",P364=""),"Champ obligatoire manquant",IF(OR(AND(N364&lt;&gt;"",N364&gt;O364),O364&gt;P364,AND(Q364&lt;&gt;"",Q364&lt;P364),AND(R364&lt;&gt;"",R364&lt;P364),AND(S364&lt;&gt;"",S364&lt;R364),AND(S364&lt;&gt;"",R364=""),AND(T364&lt;&gt;"",T364&lt;O364),AND(U364&lt;&gt;"",U364&lt;O364)),"Chronologie incohérente",IF(AND(OR(L364="Résolu",L364="Clos"),R364=""),"Date de résolution manquante",IF(AND(L364="Clos",S364=""),"Date de clôture manquante",IF(AND(K364="Oui",AC364=""),"Classification DORA manquante","OK"))))))</f>
        <v/>
      </c>
      <c r="AO364" s="35" t="str">
        <f aca="false">IF($B364="","",IF(AND(C364="Incident",L364&lt;&gt;"Annulé"),1,0))</f>
        <v/>
      </c>
      <c r="AP364" s="35" t="str">
        <f aca="false">IF($B364="","",IF(AND(C364="Quasi-incident",L364&lt;&gt;"Annulé"),1,0))</f>
        <v/>
      </c>
      <c r="AQ364" s="35" t="str">
        <f aca="false">IF($B364="","",AO364+AP364)</f>
        <v/>
      </c>
      <c r="AR364" s="36" t="str">
        <f aca="false">IF(OR($B364="",J364=""),"",IFERROR(VALUE(LEFT(J364,1)),""))</f>
        <v/>
      </c>
      <c r="AS364" s="35" t="str">
        <f aca="false">IF(OR(AO364&lt;&gt;1,G364=""),"",IFERROR(IF(INDEX(L_SrcInterne,MATCH(G364,L_Sources,0))="Oui",1,0),""))</f>
        <v/>
      </c>
      <c r="AT364" s="37" t="str">
        <f aca="false">IF(AO364&lt;&gt;1,"",IFERROR(ROUND(IF(OR(N364="",O364=""),"",IF(O364&lt;N364,"",ROUND(((NETWORKDAYS(N364,O364,JoursFeries)-1)*(HFer-HOuv)+IF(NETWORKDAYS(O364,O364,JoursFeries),MEDIAN(MOD(O364,1),HFer,HOuv),HFer)-IF(NETWORKDAYS(N364,N364,JoursFeries),MEDIAN(MOD(N364,1),HFer,HOuv),HOuv))*24,4)))/HJour,4),""))</f>
        <v/>
      </c>
      <c r="AU364" s="37" t="str">
        <f aca="false">IF(AO364&lt;&gt;1,"",IF(OR(O364="",P364=""),"",IF(P364&lt;O364,"",ROUND(((NETWORKDAYS(O364,P364,JoursFeries)-1)*(HFer-HOuv)+IF(NETWORKDAYS(P364,P364,JoursFeries),MEDIAN(MOD(P364,1),HFer,HOuv),HFer)-IF(NETWORKDAYS(O364,O364,JoursFeries),MEDIAN(MOD(O364,1),HFer,HOuv),HOuv))*24,4))))</f>
        <v/>
      </c>
      <c r="AV364" s="37" t="str">
        <f aca="false">IF(AO364&lt;&gt;1,"",IF(OR(P364="",Q364=""),"",IF(Q364&lt;P364,"",ROUND(((NETWORKDAYS(P364,Q364,JoursFeries)-1)*(HFer-HOuv)+IF(NETWORKDAYS(Q364,Q364,JoursFeries),MEDIAN(MOD(Q364,1),HFer,HOuv),HFer)-IF(NETWORKDAYS(P364,P364,JoursFeries),MEDIAN(MOD(P364,1),HFer,HOuv),HOuv))*24,4))))</f>
        <v/>
      </c>
      <c r="AW364" s="37" t="str">
        <f aca="false">IF(AO364&lt;&gt;1,"",IFERROR(ROUND(IF(OR(P364="",R364=""),"",IF(R364&lt;P364,"",ROUND(((NETWORKDAYS(P364,R364,JoursFeries)-1)*(HFer-HOuv)+IF(NETWORKDAYS(R364,R364,JoursFeries),MEDIAN(MOD(R364,1),HFer,HOuv),HFer)-IF(NETWORKDAYS(P364,P364,JoursFeries),MEDIAN(MOD(P364,1),HFer,HOuv),HOuv))*24,4)))/HJour,4),""))</f>
        <v/>
      </c>
      <c r="AX364" s="37" t="str">
        <f aca="false">IF(AO364&lt;&gt;1,"",IFERROR(ROUND(IF(OR(P364="",S364=""),"",IF(S364&lt;P364,"",ROUND(((NETWORKDAYS(P364,S364,JoursFeries)-1)*(HFer-HOuv)+IF(NETWORKDAYS(S364,S364,JoursFeries),MEDIAN(MOD(S364,1),HFer,HOuv),HFer)-IF(NETWORKDAYS(P364,P364,JoursFeries),MEDIAN(MOD(P364,1),HFer,HOuv),HOuv))*24,4)))/HJour,4),""))</f>
        <v/>
      </c>
      <c r="AY364" s="36" t="str">
        <f aca="false">IF(OR(AO364&lt;&gt;1,AR364=""),"",INDEX(SLA_PEC,AR364))</f>
        <v/>
      </c>
      <c r="AZ364" s="35" t="str">
        <f aca="false">IF(OR(AV364="",AY364=""),"",IF(AV364&lt;=AY364,1,0))</f>
        <v/>
      </c>
      <c r="BA364" s="36" t="str">
        <f aca="false">IF(OR(AO364&lt;&gt;1,AR364=""),"",INDEX(SLA_RES,AR364))</f>
        <v/>
      </c>
      <c r="BB364" s="35" t="str">
        <f aca="false">IF(OR(AW364="",BA364=""),"",IF(AW364&lt;=BA364,1,0))</f>
        <v/>
      </c>
      <c r="BC364" s="38" t="str">
        <f aca="false">IF(OR(BA364="",P364=""),"",WORKDAY(INT(P364),BA364,JoursFeries)+MOD(P364,1))</f>
        <v/>
      </c>
      <c r="BD364" s="39" t="str">
        <f aca="false">IF(AO364&lt;&gt;1,"",IF(OR(AB364&lt;&gt;"",AD364&lt;&gt;""),4,IF(U364&lt;&gt;"",3,IF(T364&lt;&gt;"",2,1))))</f>
        <v/>
      </c>
      <c r="BE364" s="39" t="str">
        <f aca="false">IF(OR(AO364&lt;&gt;1,AR364=""),"",INDEX(NIV_REQ,AR364))</f>
        <v/>
      </c>
      <c r="BF364" s="39" t="str">
        <f aca="false">IF(BE364="","",MAX(BE364,IF(OR(K364="Oui",Z364="Oui"),4,1)))</f>
        <v/>
      </c>
      <c r="BG364" s="35" t="str">
        <f aca="false">IF(OR(BF364="",BD364=""),"",IF(BD364&gt;=BF364,1,0))</f>
        <v/>
      </c>
      <c r="BH364" s="38" t="str">
        <f aca="false">IF(BE364="","",IF(BE364&lt;2,"",IF(BE364=2,IF(AND(T364="",U364=""),"",MIN(T364,U364)),IF(U364="","",U364))))</f>
        <v/>
      </c>
      <c r="BI364" s="37" t="str">
        <f aca="false">IF(BH364="","",IF(OR(O364="",BH364=""),"",IF(BH364&lt;O364,"",ROUND(((NETWORKDAYS(O364,BH364,JoursFeries)-1)*(HFer-HOuv)+IF(NETWORKDAYS(BH364,BH364,JoursFeries),MEDIAN(MOD(BH364,1),HFer,HOuv),HFer)-IF(NETWORKDAYS(O364,O364,JoursFeries),MEDIAN(MOD(O364,1),HFer,HOuv),HOuv))*24,4))))</f>
        <v/>
      </c>
      <c r="BJ364" s="35" t="str">
        <f aca="false">IF(OR(BI364="",AR364=""),"",IF(BI364&lt;=INDEX(DELAI_ESC,AR364),1,0))</f>
        <v/>
      </c>
      <c r="BK364" s="38" t="str">
        <f aca="false">IF(AO364&lt;&gt;1,"",IF(AND(T364="",U364=""),"",MIN(T364,U364)))</f>
        <v/>
      </c>
      <c r="BL364" s="37" t="str">
        <f aca="false">IF(OR(BK364="",R364=""),"",IFERROR(ROUND(IF(OR(BK364="",R364=""),"",IF(R364&lt;BK364,"",ROUND(((NETWORKDAYS(BK364,R364,JoursFeries)-1)*(HFer-HOuv)+IF(NETWORKDAYS(R364,R364,JoursFeries),MEDIAN(MOD(R364,1),HFer,HOuv),HFer)-IF(NETWORKDAYS(BK364,BK364,JoursFeries),MEDIAN(MOD(BK364,1),HFer,HOuv),HOuv))*24,4)))/HJour,4),""))</f>
        <v/>
      </c>
      <c r="BM364" s="35" t="str">
        <f aca="false">IF(OR(AO364&lt;&gt;1,R364=""),"",IF(BD364=1,1,0))</f>
        <v/>
      </c>
      <c r="BN364" s="35" t="str">
        <f aca="false">IF(AO364&lt;&gt;1,"",IF(W364="Oui",1,0))</f>
        <v/>
      </c>
      <c r="BO364" s="35" t="str">
        <f aca="false">IF(AO364&lt;&gt;1,"",IF(X364&lt;&gt;"",1,0))</f>
        <v/>
      </c>
      <c r="BP364" s="35" t="str">
        <f aca="false">IF(AO364&lt;&gt;1,"",IF(Y364="Oui",1,0))</f>
        <v/>
      </c>
      <c r="BQ364" s="35" t="str">
        <f aca="true">IF(OR(AO364&lt;&gt;1,Z364&lt;&gt;"Oui"),"",IF(AB364="",IF(AND(AA364&lt;&gt;"",NOW()&gt;AA364),0,""),IF(AA364="","",IF(AB364&lt;=AA364,1,0))))</f>
        <v/>
      </c>
      <c r="BR364" s="38" t="str">
        <f aca="false">IF(OR(AO364&lt;&gt;1,K364&lt;&gt;"Oui",O364=""),"",IF(AC364="",O364+DORA_H_DET/24,IF(AC364-O364&lt;=DORA_H_DET/24,MIN(AC364+DORA_H_CLA/24,O364+DORA_H_DET/24),AC364+DORA_H_CLA/24)))</f>
        <v/>
      </c>
      <c r="BS364" s="35" t="str">
        <f aca="true">IF(BR364="","",IF(AD364="",IF(NOW()&gt;BR364,0,""),IF(AD364&lt;=BR364,1,0)))</f>
        <v/>
      </c>
      <c r="BT364" s="35" t="str">
        <f aca="true">IF(OR(BR364="",AD364=""),"",IF(AE364="",IF(NOW()&gt;AD364+DORA_H_INT/24,0,""),IF(AE364&lt;=AD364+DORA_H_INT/24,1,0)))</f>
        <v/>
      </c>
      <c r="BU364" s="35" t="str">
        <f aca="true">IF(OR(BR364="",AE364=""),"",IF(AF364="",IF(NOW()&gt;EDATE(AE364,DORA_M_FIN)+1,0,""),IF(AF364&lt;=EDATE(AE364,DORA_M_FIN),1,0)))</f>
        <v/>
      </c>
      <c r="BV364" s="35" t="str">
        <f aca="false">IF(BR364="","",IF(COUNT(BS364:BU364)=0,"",MIN(BS364:BU364)))</f>
        <v/>
      </c>
      <c r="BW364" s="40" t="str">
        <f aca="false">IF(AQ364&lt;&gt;1,"",IF(AND(AG364="",AH364=""),"",N(AG364)-N(AH364)))</f>
        <v/>
      </c>
      <c r="BX364" s="35" t="str">
        <f aca="true">IF(OR(AQ364&lt;&gt;1,AI364&lt;&gt;"Oui",AJ364=""),"",IF(AK364="",IF(NOW()&gt;AJ364+1,0,""),IF(AK364&lt;=AJ364,1,0)))</f>
        <v/>
      </c>
    </row>
    <row r="365" customFormat="false" ht="15" hidden="false" customHeight="false" outlineLevel="0" collapsed="false">
      <c r="B365" s="29"/>
      <c r="C365" s="29"/>
      <c r="D365" s="29"/>
      <c r="E365" s="29"/>
      <c r="F365" s="29"/>
      <c r="G365" s="29"/>
      <c r="H365" s="29"/>
      <c r="I365" s="29"/>
      <c r="J365" s="29"/>
      <c r="K365" s="29"/>
      <c r="L365" s="29"/>
      <c r="M365" s="29"/>
      <c r="N365" s="30"/>
      <c r="O365" s="30"/>
      <c r="P365" s="30"/>
      <c r="Q365" s="30"/>
      <c r="R365" s="30"/>
      <c r="S365" s="30"/>
      <c r="T365" s="30"/>
      <c r="U365" s="30"/>
      <c r="V365" s="31"/>
      <c r="W365" s="29"/>
      <c r="X365" s="29"/>
      <c r="Y365" s="29"/>
      <c r="Z365" s="29"/>
      <c r="AA365" s="30"/>
      <c r="AB365" s="30"/>
      <c r="AC365" s="30"/>
      <c r="AD365" s="30"/>
      <c r="AE365" s="30"/>
      <c r="AF365" s="32"/>
      <c r="AG365" s="33"/>
      <c r="AH365" s="33"/>
      <c r="AI365" s="29"/>
      <c r="AJ365" s="32"/>
      <c r="AK365" s="32"/>
      <c r="AL365" s="29"/>
      <c r="AN365" s="34" t="str">
        <f aca="false">IF($B365="","",IF(OR(C365="",D365="",E365="",G365="",I365="",J365="",L365="",O365="",P365=""),"Champ obligatoire manquant",IF(OR(AND(N365&lt;&gt;"",N365&gt;O365),O365&gt;P365,AND(Q365&lt;&gt;"",Q365&lt;P365),AND(R365&lt;&gt;"",R365&lt;P365),AND(S365&lt;&gt;"",S365&lt;R365),AND(S365&lt;&gt;"",R365=""),AND(T365&lt;&gt;"",T365&lt;O365),AND(U365&lt;&gt;"",U365&lt;O365)),"Chronologie incohérente",IF(AND(OR(L365="Résolu",L365="Clos"),R365=""),"Date de résolution manquante",IF(AND(L365="Clos",S365=""),"Date de clôture manquante",IF(AND(K365="Oui",AC365=""),"Classification DORA manquante","OK"))))))</f>
        <v/>
      </c>
      <c r="AO365" s="35" t="str">
        <f aca="false">IF($B365="","",IF(AND(C365="Incident",L365&lt;&gt;"Annulé"),1,0))</f>
        <v/>
      </c>
      <c r="AP365" s="35" t="str">
        <f aca="false">IF($B365="","",IF(AND(C365="Quasi-incident",L365&lt;&gt;"Annulé"),1,0))</f>
        <v/>
      </c>
      <c r="AQ365" s="35" t="str">
        <f aca="false">IF($B365="","",AO365+AP365)</f>
        <v/>
      </c>
      <c r="AR365" s="36" t="str">
        <f aca="false">IF(OR($B365="",J365=""),"",IFERROR(VALUE(LEFT(J365,1)),""))</f>
        <v/>
      </c>
      <c r="AS365" s="35" t="str">
        <f aca="false">IF(OR(AO365&lt;&gt;1,G365=""),"",IFERROR(IF(INDEX(L_SrcInterne,MATCH(G365,L_Sources,0))="Oui",1,0),""))</f>
        <v/>
      </c>
      <c r="AT365" s="37" t="str">
        <f aca="false">IF(AO365&lt;&gt;1,"",IFERROR(ROUND(IF(OR(N365="",O365=""),"",IF(O365&lt;N365,"",ROUND(((NETWORKDAYS(N365,O365,JoursFeries)-1)*(HFer-HOuv)+IF(NETWORKDAYS(O365,O365,JoursFeries),MEDIAN(MOD(O365,1),HFer,HOuv),HFer)-IF(NETWORKDAYS(N365,N365,JoursFeries),MEDIAN(MOD(N365,1),HFer,HOuv),HOuv))*24,4)))/HJour,4),""))</f>
        <v/>
      </c>
      <c r="AU365" s="37" t="str">
        <f aca="false">IF(AO365&lt;&gt;1,"",IF(OR(O365="",P365=""),"",IF(P365&lt;O365,"",ROUND(((NETWORKDAYS(O365,P365,JoursFeries)-1)*(HFer-HOuv)+IF(NETWORKDAYS(P365,P365,JoursFeries),MEDIAN(MOD(P365,1),HFer,HOuv),HFer)-IF(NETWORKDAYS(O365,O365,JoursFeries),MEDIAN(MOD(O365,1),HFer,HOuv),HOuv))*24,4))))</f>
        <v/>
      </c>
      <c r="AV365" s="37" t="str">
        <f aca="false">IF(AO365&lt;&gt;1,"",IF(OR(P365="",Q365=""),"",IF(Q365&lt;P365,"",ROUND(((NETWORKDAYS(P365,Q365,JoursFeries)-1)*(HFer-HOuv)+IF(NETWORKDAYS(Q365,Q365,JoursFeries),MEDIAN(MOD(Q365,1),HFer,HOuv),HFer)-IF(NETWORKDAYS(P365,P365,JoursFeries),MEDIAN(MOD(P365,1),HFer,HOuv),HOuv))*24,4))))</f>
        <v/>
      </c>
      <c r="AW365" s="37" t="str">
        <f aca="false">IF(AO365&lt;&gt;1,"",IFERROR(ROUND(IF(OR(P365="",R365=""),"",IF(R365&lt;P365,"",ROUND(((NETWORKDAYS(P365,R365,JoursFeries)-1)*(HFer-HOuv)+IF(NETWORKDAYS(R365,R365,JoursFeries),MEDIAN(MOD(R365,1),HFer,HOuv),HFer)-IF(NETWORKDAYS(P365,P365,JoursFeries),MEDIAN(MOD(P365,1),HFer,HOuv),HOuv))*24,4)))/HJour,4),""))</f>
        <v/>
      </c>
      <c r="AX365" s="37" t="str">
        <f aca="false">IF(AO365&lt;&gt;1,"",IFERROR(ROUND(IF(OR(P365="",S365=""),"",IF(S365&lt;P365,"",ROUND(((NETWORKDAYS(P365,S365,JoursFeries)-1)*(HFer-HOuv)+IF(NETWORKDAYS(S365,S365,JoursFeries),MEDIAN(MOD(S365,1),HFer,HOuv),HFer)-IF(NETWORKDAYS(P365,P365,JoursFeries),MEDIAN(MOD(P365,1),HFer,HOuv),HOuv))*24,4)))/HJour,4),""))</f>
        <v/>
      </c>
      <c r="AY365" s="36" t="str">
        <f aca="false">IF(OR(AO365&lt;&gt;1,AR365=""),"",INDEX(SLA_PEC,AR365))</f>
        <v/>
      </c>
      <c r="AZ365" s="35" t="str">
        <f aca="false">IF(OR(AV365="",AY365=""),"",IF(AV365&lt;=AY365,1,0))</f>
        <v/>
      </c>
      <c r="BA365" s="36" t="str">
        <f aca="false">IF(OR(AO365&lt;&gt;1,AR365=""),"",INDEX(SLA_RES,AR365))</f>
        <v/>
      </c>
      <c r="BB365" s="35" t="str">
        <f aca="false">IF(OR(AW365="",BA365=""),"",IF(AW365&lt;=BA365,1,0))</f>
        <v/>
      </c>
      <c r="BC365" s="38" t="str">
        <f aca="false">IF(OR(BA365="",P365=""),"",WORKDAY(INT(P365),BA365,JoursFeries)+MOD(P365,1))</f>
        <v/>
      </c>
      <c r="BD365" s="39" t="str">
        <f aca="false">IF(AO365&lt;&gt;1,"",IF(OR(AB365&lt;&gt;"",AD365&lt;&gt;""),4,IF(U365&lt;&gt;"",3,IF(T365&lt;&gt;"",2,1))))</f>
        <v/>
      </c>
      <c r="BE365" s="39" t="str">
        <f aca="false">IF(OR(AO365&lt;&gt;1,AR365=""),"",INDEX(NIV_REQ,AR365))</f>
        <v/>
      </c>
      <c r="BF365" s="39" t="str">
        <f aca="false">IF(BE365="","",MAX(BE365,IF(OR(K365="Oui",Z365="Oui"),4,1)))</f>
        <v/>
      </c>
      <c r="BG365" s="35" t="str">
        <f aca="false">IF(OR(BF365="",BD365=""),"",IF(BD365&gt;=BF365,1,0))</f>
        <v/>
      </c>
      <c r="BH365" s="38" t="str">
        <f aca="false">IF(BE365="","",IF(BE365&lt;2,"",IF(BE365=2,IF(AND(T365="",U365=""),"",MIN(T365,U365)),IF(U365="","",U365))))</f>
        <v/>
      </c>
      <c r="BI365" s="37" t="str">
        <f aca="false">IF(BH365="","",IF(OR(O365="",BH365=""),"",IF(BH365&lt;O365,"",ROUND(((NETWORKDAYS(O365,BH365,JoursFeries)-1)*(HFer-HOuv)+IF(NETWORKDAYS(BH365,BH365,JoursFeries),MEDIAN(MOD(BH365,1),HFer,HOuv),HFer)-IF(NETWORKDAYS(O365,O365,JoursFeries),MEDIAN(MOD(O365,1),HFer,HOuv),HOuv))*24,4))))</f>
        <v/>
      </c>
      <c r="BJ365" s="35" t="str">
        <f aca="false">IF(OR(BI365="",AR365=""),"",IF(BI365&lt;=INDEX(DELAI_ESC,AR365),1,0))</f>
        <v/>
      </c>
      <c r="BK365" s="38" t="str">
        <f aca="false">IF(AO365&lt;&gt;1,"",IF(AND(T365="",U365=""),"",MIN(T365,U365)))</f>
        <v/>
      </c>
      <c r="BL365" s="37" t="str">
        <f aca="false">IF(OR(BK365="",R365=""),"",IFERROR(ROUND(IF(OR(BK365="",R365=""),"",IF(R365&lt;BK365,"",ROUND(((NETWORKDAYS(BK365,R365,JoursFeries)-1)*(HFer-HOuv)+IF(NETWORKDAYS(R365,R365,JoursFeries),MEDIAN(MOD(R365,1),HFer,HOuv),HFer)-IF(NETWORKDAYS(BK365,BK365,JoursFeries),MEDIAN(MOD(BK365,1),HFer,HOuv),HOuv))*24,4)))/HJour,4),""))</f>
        <v/>
      </c>
      <c r="BM365" s="35" t="str">
        <f aca="false">IF(OR(AO365&lt;&gt;1,R365=""),"",IF(BD365=1,1,0))</f>
        <v/>
      </c>
      <c r="BN365" s="35" t="str">
        <f aca="false">IF(AO365&lt;&gt;1,"",IF(W365="Oui",1,0))</f>
        <v/>
      </c>
      <c r="BO365" s="35" t="str">
        <f aca="false">IF(AO365&lt;&gt;1,"",IF(X365&lt;&gt;"",1,0))</f>
        <v/>
      </c>
      <c r="BP365" s="35" t="str">
        <f aca="false">IF(AO365&lt;&gt;1,"",IF(Y365="Oui",1,0))</f>
        <v/>
      </c>
      <c r="BQ365" s="35" t="str">
        <f aca="true">IF(OR(AO365&lt;&gt;1,Z365&lt;&gt;"Oui"),"",IF(AB365="",IF(AND(AA365&lt;&gt;"",NOW()&gt;AA365),0,""),IF(AA365="","",IF(AB365&lt;=AA365,1,0))))</f>
        <v/>
      </c>
      <c r="BR365" s="38" t="str">
        <f aca="false">IF(OR(AO365&lt;&gt;1,K365&lt;&gt;"Oui",O365=""),"",IF(AC365="",O365+DORA_H_DET/24,IF(AC365-O365&lt;=DORA_H_DET/24,MIN(AC365+DORA_H_CLA/24,O365+DORA_H_DET/24),AC365+DORA_H_CLA/24)))</f>
        <v/>
      </c>
      <c r="BS365" s="35" t="str">
        <f aca="true">IF(BR365="","",IF(AD365="",IF(NOW()&gt;BR365,0,""),IF(AD365&lt;=BR365,1,0)))</f>
        <v/>
      </c>
      <c r="BT365" s="35" t="str">
        <f aca="true">IF(OR(BR365="",AD365=""),"",IF(AE365="",IF(NOW()&gt;AD365+DORA_H_INT/24,0,""),IF(AE365&lt;=AD365+DORA_H_INT/24,1,0)))</f>
        <v/>
      </c>
      <c r="BU365" s="35" t="str">
        <f aca="true">IF(OR(BR365="",AE365=""),"",IF(AF365="",IF(NOW()&gt;EDATE(AE365,DORA_M_FIN)+1,0,""),IF(AF365&lt;=EDATE(AE365,DORA_M_FIN),1,0)))</f>
        <v/>
      </c>
      <c r="BV365" s="35" t="str">
        <f aca="false">IF(BR365="","",IF(COUNT(BS365:BU365)=0,"",MIN(BS365:BU365)))</f>
        <v/>
      </c>
      <c r="BW365" s="40" t="str">
        <f aca="false">IF(AQ365&lt;&gt;1,"",IF(AND(AG365="",AH365=""),"",N(AG365)-N(AH365)))</f>
        <v/>
      </c>
      <c r="BX365" s="35" t="str">
        <f aca="true">IF(OR(AQ365&lt;&gt;1,AI365&lt;&gt;"Oui",AJ365=""),"",IF(AK365="",IF(NOW()&gt;AJ365+1,0,""),IF(AK365&lt;=AJ365,1,0)))</f>
        <v/>
      </c>
    </row>
    <row r="366" customFormat="false" ht="15" hidden="false" customHeight="false" outlineLevel="0" collapsed="false">
      <c r="B366" s="29"/>
      <c r="C366" s="29"/>
      <c r="D366" s="29"/>
      <c r="E366" s="29"/>
      <c r="F366" s="29"/>
      <c r="G366" s="29"/>
      <c r="H366" s="29"/>
      <c r="I366" s="29"/>
      <c r="J366" s="29"/>
      <c r="K366" s="29"/>
      <c r="L366" s="29"/>
      <c r="M366" s="29"/>
      <c r="N366" s="30"/>
      <c r="O366" s="30"/>
      <c r="P366" s="30"/>
      <c r="Q366" s="30"/>
      <c r="R366" s="30"/>
      <c r="S366" s="30"/>
      <c r="T366" s="30"/>
      <c r="U366" s="30"/>
      <c r="V366" s="31"/>
      <c r="W366" s="29"/>
      <c r="X366" s="29"/>
      <c r="Y366" s="29"/>
      <c r="Z366" s="29"/>
      <c r="AA366" s="30"/>
      <c r="AB366" s="30"/>
      <c r="AC366" s="30"/>
      <c r="AD366" s="30"/>
      <c r="AE366" s="30"/>
      <c r="AF366" s="32"/>
      <c r="AG366" s="33"/>
      <c r="AH366" s="33"/>
      <c r="AI366" s="29"/>
      <c r="AJ366" s="32"/>
      <c r="AK366" s="32"/>
      <c r="AL366" s="29"/>
      <c r="AN366" s="34" t="str">
        <f aca="false">IF($B366="","",IF(OR(C366="",D366="",E366="",G366="",I366="",J366="",L366="",O366="",P366=""),"Champ obligatoire manquant",IF(OR(AND(N366&lt;&gt;"",N366&gt;O366),O366&gt;P366,AND(Q366&lt;&gt;"",Q366&lt;P366),AND(R366&lt;&gt;"",R366&lt;P366),AND(S366&lt;&gt;"",S366&lt;R366),AND(S366&lt;&gt;"",R366=""),AND(T366&lt;&gt;"",T366&lt;O366),AND(U366&lt;&gt;"",U366&lt;O366)),"Chronologie incohérente",IF(AND(OR(L366="Résolu",L366="Clos"),R366=""),"Date de résolution manquante",IF(AND(L366="Clos",S366=""),"Date de clôture manquante",IF(AND(K366="Oui",AC366=""),"Classification DORA manquante","OK"))))))</f>
        <v/>
      </c>
      <c r="AO366" s="35" t="str">
        <f aca="false">IF($B366="","",IF(AND(C366="Incident",L366&lt;&gt;"Annulé"),1,0))</f>
        <v/>
      </c>
      <c r="AP366" s="35" t="str">
        <f aca="false">IF($B366="","",IF(AND(C366="Quasi-incident",L366&lt;&gt;"Annulé"),1,0))</f>
        <v/>
      </c>
      <c r="AQ366" s="35" t="str">
        <f aca="false">IF($B366="","",AO366+AP366)</f>
        <v/>
      </c>
      <c r="AR366" s="36" t="str">
        <f aca="false">IF(OR($B366="",J366=""),"",IFERROR(VALUE(LEFT(J366,1)),""))</f>
        <v/>
      </c>
      <c r="AS366" s="35" t="str">
        <f aca="false">IF(OR(AO366&lt;&gt;1,G366=""),"",IFERROR(IF(INDEX(L_SrcInterne,MATCH(G366,L_Sources,0))="Oui",1,0),""))</f>
        <v/>
      </c>
      <c r="AT366" s="37" t="str">
        <f aca="false">IF(AO366&lt;&gt;1,"",IFERROR(ROUND(IF(OR(N366="",O366=""),"",IF(O366&lt;N366,"",ROUND(((NETWORKDAYS(N366,O366,JoursFeries)-1)*(HFer-HOuv)+IF(NETWORKDAYS(O366,O366,JoursFeries),MEDIAN(MOD(O366,1),HFer,HOuv),HFer)-IF(NETWORKDAYS(N366,N366,JoursFeries),MEDIAN(MOD(N366,1),HFer,HOuv),HOuv))*24,4)))/HJour,4),""))</f>
        <v/>
      </c>
      <c r="AU366" s="37" t="str">
        <f aca="false">IF(AO366&lt;&gt;1,"",IF(OR(O366="",P366=""),"",IF(P366&lt;O366,"",ROUND(((NETWORKDAYS(O366,P366,JoursFeries)-1)*(HFer-HOuv)+IF(NETWORKDAYS(P366,P366,JoursFeries),MEDIAN(MOD(P366,1),HFer,HOuv),HFer)-IF(NETWORKDAYS(O366,O366,JoursFeries),MEDIAN(MOD(O366,1),HFer,HOuv),HOuv))*24,4))))</f>
        <v/>
      </c>
      <c r="AV366" s="37" t="str">
        <f aca="false">IF(AO366&lt;&gt;1,"",IF(OR(P366="",Q366=""),"",IF(Q366&lt;P366,"",ROUND(((NETWORKDAYS(P366,Q366,JoursFeries)-1)*(HFer-HOuv)+IF(NETWORKDAYS(Q366,Q366,JoursFeries),MEDIAN(MOD(Q366,1),HFer,HOuv),HFer)-IF(NETWORKDAYS(P366,P366,JoursFeries),MEDIAN(MOD(P366,1),HFer,HOuv),HOuv))*24,4))))</f>
        <v/>
      </c>
      <c r="AW366" s="37" t="str">
        <f aca="false">IF(AO366&lt;&gt;1,"",IFERROR(ROUND(IF(OR(P366="",R366=""),"",IF(R366&lt;P366,"",ROUND(((NETWORKDAYS(P366,R366,JoursFeries)-1)*(HFer-HOuv)+IF(NETWORKDAYS(R366,R366,JoursFeries),MEDIAN(MOD(R366,1),HFer,HOuv),HFer)-IF(NETWORKDAYS(P366,P366,JoursFeries),MEDIAN(MOD(P366,1),HFer,HOuv),HOuv))*24,4)))/HJour,4),""))</f>
        <v/>
      </c>
      <c r="AX366" s="37" t="str">
        <f aca="false">IF(AO366&lt;&gt;1,"",IFERROR(ROUND(IF(OR(P366="",S366=""),"",IF(S366&lt;P366,"",ROUND(((NETWORKDAYS(P366,S366,JoursFeries)-1)*(HFer-HOuv)+IF(NETWORKDAYS(S366,S366,JoursFeries),MEDIAN(MOD(S366,1),HFer,HOuv),HFer)-IF(NETWORKDAYS(P366,P366,JoursFeries),MEDIAN(MOD(P366,1),HFer,HOuv),HOuv))*24,4)))/HJour,4),""))</f>
        <v/>
      </c>
      <c r="AY366" s="36" t="str">
        <f aca="false">IF(OR(AO366&lt;&gt;1,AR366=""),"",INDEX(SLA_PEC,AR366))</f>
        <v/>
      </c>
      <c r="AZ366" s="35" t="str">
        <f aca="false">IF(OR(AV366="",AY366=""),"",IF(AV366&lt;=AY366,1,0))</f>
        <v/>
      </c>
      <c r="BA366" s="36" t="str">
        <f aca="false">IF(OR(AO366&lt;&gt;1,AR366=""),"",INDEX(SLA_RES,AR366))</f>
        <v/>
      </c>
      <c r="BB366" s="35" t="str">
        <f aca="false">IF(OR(AW366="",BA366=""),"",IF(AW366&lt;=BA366,1,0))</f>
        <v/>
      </c>
      <c r="BC366" s="38" t="str">
        <f aca="false">IF(OR(BA366="",P366=""),"",WORKDAY(INT(P366),BA366,JoursFeries)+MOD(P366,1))</f>
        <v/>
      </c>
      <c r="BD366" s="39" t="str">
        <f aca="false">IF(AO366&lt;&gt;1,"",IF(OR(AB366&lt;&gt;"",AD366&lt;&gt;""),4,IF(U366&lt;&gt;"",3,IF(T366&lt;&gt;"",2,1))))</f>
        <v/>
      </c>
      <c r="BE366" s="39" t="str">
        <f aca="false">IF(OR(AO366&lt;&gt;1,AR366=""),"",INDEX(NIV_REQ,AR366))</f>
        <v/>
      </c>
      <c r="BF366" s="39" t="str">
        <f aca="false">IF(BE366="","",MAX(BE366,IF(OR(K366="Oui",Z366="Oui"),4,1)))</f>
        <v/>
      </c>
      <c r="BG366" s="35" t="str">
        <f aca="false">IF(OR(BF366="",BD366=""),"",IF(BD366&gt;=BF366,1,0))</f>
        <v/>
      </c>
      <c r="BH366" s="38" t="str">
        <f aca="false">IF(BE366="","",IF(BE366&lt;2,"",IF(BE366=2,IF(AND(T366="",U366=""),"",MIN(T366,U366)),IF(U366="","",U366))))</f>
        <v/>
      </c>
      <c r="BI366" s="37" t="str">
        <f aca="false">IF(BH366="","",IF(OR(O366="",BH366=""),"",IF(BH366&lt;O366,"",ROUND(((NETWORKDAYS(O366,BH366,JoursFeries)-1)*(HFer-HOuv)+IF(NETWORKDAYS(BH366,BH366,JoursFeries),MEDIAN(MOD(BH366,1),HFer,HOuv),HFer)-IF(NETWORKDAYS(O366,O366,JoursFeries),MEDIAN(MOD(O366,1),HFer,HOuv),HOuv))*24,4))))</f>
        <v/>
      </c>
      <c r="BJ366" s="35" t="str">
        <f aca="false">IF(OR(BI366="",AR366=""),"",IF(BI366&lt;=INDEX(DELAI_ESC,AR366),1,0))</f>
        <v/>
      </c>
      <c r="BK366" s="38" t="str">
        <f aca="false">IF(AO366&lt;&gt;1,"",IF(AND(T366="",U366=""),"",MIN(T366,U366)))</f>
        <v/>
      </c>
      <c r="BL366" s="37" t="str">
        <f aca="false">IF(OR(BK366="",R366=""),"",IFERROR(ROUND(IF(OR(BK366="",R366=""),"",IF(R366&lt;BK366,"",ROUND(((NETWORKDAYS(BK366,R366,JoursFeries)-1)*(HFer-HOuv)+IF(NETWORKDAYS(R366,R366,JoursFeries),MEDIAN(MOD(R366,1),HFer,HOuv),HFer)-IF(NETWORKDAYS(BK366,BK366,JoursFeries),MEDIAN(MOD(BK366,1),HFer,HOuv),HOuv))*24,4)))/HJour,4),""))</f>
        <v/>
      </c>
      <c r="BM366" s="35" t="str">
        <f aca="false">IF(OR(AO366&lt;&gt;1,R366=""),"",IF(BD366=1,1,0))</f>
        <v/>
      </c>
      <c r="BN366" s="35" t="str">
        <f aca="false">IF(AO366&lt;&gt;1,"",IF(W366="Oui",1,0))</f>
        <v/>
      </c>
      <c r="BO366" s="35" t="str">
        <f aca="false">IF(AO366&lt;&gt;1,"",IF(X366&lt;&gt;"",1,0))</f>
        <v/>
      </c>
      <c r="BP366" s="35" t="str">
        <f aca="false">IF(AO366&lt;&gt;1,"",IF(Y366="Oui",1,0))</f>
        <v/>
      </c>
      <c r="BQ366" s="35" t="str">
        <f aca="true">IF(OR(AO366&lt;&gt;1,Z366&lt;&gt;"Oui"),"",IF(AB366="",IF(AND(AA366&lt;&gt;"",NOW()&gt;AA366),0,""),IF(AA366="","",IF(AB366&lt;=AA366,1,0))))</f>
        <v/>
      </c>
      <c r="BR366" s="38" t="str">
        <f aca="false">IF(OR(AO366&lt;&gt;1,K366&lt;&gt;"Oui",O366=""),"",IF(AC366="",O366+DORA_H_DET/24,IF(AC366-O366&lt;=DORA_H_DET/24,MIN(AC366+DORA_H_CLA/24,O366+DORA_H_DET/24),AC366+DORA_H_CLA/24)))</f>
        <v/>
      </c>
      <c r="BS366" s="35" t="str">
        <f aca="true">IF(BR366="","",IF(AD366="",IF(NOW()&gt;BR366,0,""),IF(AD366&lt;=BR366,1,0)))</f>
        <v/>
      </c>
      <c r="BT366" s="35" t="str">
        <f aca="true">IF(OR(BR366="",AD366=""),"",IF(AE366="",IF(NOW()&gt;AD366+DORA_H_INT/24,0,""),IF(AE366&lt;=AD366+DORA_H_INT/24,1,0)))</f>
        <v/>
      </c>
      <c r="BU366" s="35" t="str">
        <f aca="true">IF(OR(BR366="",AE366=""),"",IF(AF366="",IF(NOW()&gt;EDATE(AE366,DORA_M_FIN)+1,0,""),IF(AF366&lt;=EDATE(AE366,DORA_M_FIN),1,0)))</f>
        <v/>
      </c>
      <c r="BV366" s="35" t="str">
        <f aca="false">IF(BR366="","",IF(COUNT(BS366:BU366)=0,"",MIN(BS366:BU366)))</f>
        <v/>
      </c>
      <c r="BW366" s="40" t="str">
        <f aca="false">IF(AQ366&lt;&gt;1,"",IF(AND(AG366="",AH366=""),"",N(AG366)-N(AH366)))</f>
        <v/>
      </c>
      <c r="BX366" s="35" t="str">
        <f aca="true">IF(OR(AQ366&lt;&gt;1,AI366&lt;&gt;"Oui",AJ366=""),"",IF(AK366="",IF(NOW()&gt;AJ366+1,0,""),IF(AK366&lt;=AJ366,1,0)))</f>
        <v/>
      </c>
    </row>
    <row r="367" customFormat="false" ht="15" hidden="false" customHeight="false" outlineLevel="0" collapsed="false">
      <c r="B367" s="29"/>
      <c r="C367" s="29"/>
      <c r="D367" s="29"/>
      <c r="E367" s="29"/>
      <c r="F367" s="29"/>
      <c r="G367" s="29"/>
      <c r="H367" s="29"/>
      <c r="I367" s="29"/>
      <c r="J367" s="29"/>
      <c r="K367" s="29"/>
      <c r="L367" s="29"/>
      <c r="M367" s="29"/>
      <c r="N367" s="30"/>
      <c r="O367" s="30"/>
      <c r="P367" s="30"/>
      <c r="Q367" s="30"/>
      <c r="R367" s="30"/>
      <c r="S367" s="30"/>
      <c r="T367" s="30"/>
      <c r="U367" s="30"/>
      <c r="V367" s="31"/>
      <c r="W367" s="29"/>
      <c r="X367" s="29"/>
      <c r="Y367" s="29"/>
      <c r="Z367" s="29"/>
      <c r="AA367" s="30"/>
      <c r="AB367" s="30"/>
      <c r="AC367" s="30"/>
      <c r="AD367" s="30"/>
      <c r="AE367" s="30"/>
      <c r="AF367" s="32"/>
      <c r="AG367" s="33"/>
      <c r="AH367" s="33"/>
      <c r="AI367" s="29"/>
      <c r="AJ367" s="32"/>
      <c r="AK367" s="32"/>
      <c r="AL367" s="29"/>
      <c r="AN367" s="34" t="str">
        <f aca="false">IF($B367="","",IF(OR(C367="",D367="",E367="",G367="",I367="",J367="",L367="",O367="",P367=""),"Champ obligatoire manquant",IF(OR(AND(N367&lt;&gt;"",N367&gt;O367),O367&gt;P367,AND(Q367&lt;&gt;"",Q367&lt;P367),AND(R367&lt;&gt;"",R367&lt;P367),AND(S367&lt;&gt;"",S367&lt;R367),AND(S367&lt;&gt;"",R367=""),AND(T367&lt;&gt;"",T367&lt;O367),AND(U367&lt;&gt;"",U367&lt;O367)),"Chronologie incohérente",IF(AND(OR(L367="Résolu",L367="Clos"),R367=""),"Date de résolution manquante",IF(AND(L367="Clos",S367=""),"Date de clôture manquante",IF(AND(K367="Oui",AC367=""),"Classification DORA manquante","OK"))))))</f>
        <v/>
      </c>
      <c r="AO367" s="35" t="str">
        <f aca="false">IF($B367="","",IF(AND(C367="Incident",L367&lt;&gt;"Annulé"),1,0))</f>
        <v/>
      </c>
      <c r="AP367" s="35" t="str">
        <f aca="false">IF($B367="","",IF(AND(C367="Quasi-incident",L367&lt;&gt;"Annulé"),1,0))</f>
        <v/>
      </c>
      <c r="AQ367" s="35" t="str">
        <f aca="false">IF($B367="","",AO367+AP367)</f>
        <v/>
      </c>
      <c r="AR367" s="36" t="str">
        <f aca="false">IF(OR($B367="",J367=""),"",IFERROR(VALUE(LEFT(J367,1)),""))</f>
        <v/>
      </c>
      <c r="AS367" s="35" t="str">
        <f aca="false">IF(OR(AO367&lt;&gt;1,G367=""),"",IFERROR(IF(INDEX(L_SrcInterne,MATCH(G367,L_Sources,0))="Oui",1,0),""))</f>
        <v/>
      </c>
      <c r="AT367" s="37" t="str">
        <f aca="false">IF(AO367&lt;&gt;1,"",IFERROR(ROUND(IF(OR(N367="",O367=""),"",IF(O367&lt;N367,"",ROUND(((NETWORKDAYS(N367,O367,JoursFeries)-1)*(HFer-HOuv)+IF(NETWORKDAYS(O367,O367,JoursFeries),MEDIAN(MOD(O367,1),HFer,HOuv),HFer)-IF(NETWORKDAYS(N367,N367,JoursFeries),MEDIAN(MOD(N367,1),HFer,HOuv),HOuv))*24,4)))/HJour,4),""))</f>
        <v/>
      </c>
      <c r="AU367" s="37" t="str">
        <f aca="false">IF(AO367&lt;&gt;1,"",IF(OR(O367="",P367=""),"",IF(P367&lt;O367,"",ROUND(((NETWORKDAYS(O367,P367,JoursFeries)-1)*(HFer-HOuv)+IF(NETWORKDAYS(P367,P367,JoursFeries),MEDIAN(MOD(P367,1),HFer,HOuv),HFer)-IF(NETWORKDAYS(O367,O367,JoursFeries),MEDIAN(MOD(O367,1),HFer,HOuv),HOuv))*24,4))))</f>
        <v/>
      </c>
      <c r="AV367" s="37" t="str">
        <f aca="false">IF(AO367&lt;&gt;1,"",IF(OR(P367="",Q367=""),"",IF(Q367&lt;P367,"",ROUND(((NETWORKDAYS(P367,Q367,JoursFeries)-1)*(HFer-HOuv)+IF(NETWORKDAYS(Q367,Q367,JoursFeries),MEDIAN(MOD(Q367,1),HFer,HOuv),HFer)-IF(NETWORKDAYS(P367,P367,JoursFeries),MEDIAN(MOD(P367,1),HFer,HOuv),HOuv))*24,4))))</f>
        <v/>
      </c>
      <c r="AW367" s="37" t="str">
        <f aca="false">IF(AO367&lt;&gt;1,"",IFERROR(ROUND(IF(OR(P367="",R367=""),"",IF(R367&lt;P367,"",ROUND(((NETWORKDAYS(P367,R367,JoursFeries)-1)*(HFer-HOuv)+IF(NETWORKDAYS(R367,R367,JoursFeries),MEDIAN(MOD(R367,1),HFer,HOuv),HFer)-IF(NETWORKDAYS(P367,P367,JoursFeries),MEDIAN(MOD(P367,1),HFer,HOuv),HOuv))*24,4)))/HJour,4),""))</f>
        <v/>
      </c>
      <c r="AX367" s="37" t="str">
        <f aca="false">IF(AO367&lt;&gt;1,"",IFERROR(ROUND(IF(OR(P367="",S367=""),"",IF(S367&lt;P367,"",ROUND(((NETWORKDAYS(P367,S367,JoursFeries)-1)*(HFer-HOuv)+IF(NETWORKDAYS(S367,S367,JoursFeries),MEDIAN(MOD(S367,1),HFer,HOuv),HFer)-IF(NETWORKDAYS(P367,P367,JoursFeries),MEDIAN(MOD(P367,1),HFer,HOuv),HOuv))*24,4)))/HJour,4),""))</f>
        <v/>
      </c>
      <c r="AY367" s="36" t="str">
        <f aca="false">IF(OR(AO367&lt;&gt;1,AR367=""),"",INDEX(SLA_PEC,AR367))</f>
        <v/>
      </c>
      <c r="AZ367" s="35" t="str">
        <f aca="false">IF(OR(AV367="",AY367=""),"",IF(AV367&lt;=AY367,1,0))</f>
        <v/>
      </c>
      <c r="BA367" s="36" t="str">
        <f aca="false">IF(OR(AO367&lt;&gt;1,AR367=""),"",INDEX(SLA_RES,AR367))</f>
        <v/>
      </c>
      <c r="BB367" s="35" t="str">
        <f aca="false">IF(OR(AW367="",BA367=""),"",IF(AW367&lt;=BA367,1,0))</f>
        <v/>
      </c>
      <c r="BC367" s="38" t="str">
        <f aca="false">IF(OR(BA367="",P367=""),"",WORKDAY(INT(P367),BA367,JoursFeries)+MOD(P367,1))</f>
        <v/>
      </c>
      <c r="BD367" s="39" t="str">
        <f aca="false">IF(AO367&lt;&gt;1,"",IF(OR(AB367&lt;&gt;"",AD367&lt;&gt;""),4,IF(U367&lt;&gt;"",3,IF(T367&lt;&gt;"",2,1))))</f>
        <v/>
      </c>
      <c r="BE367" s="39" t="str">
        <f aca="false">IF(OR(AO367&lt;&gt;1,AR367=""),"",INDEX(NIV_REQ,AR367))</f>
        <v/>
      </c>
      <c r="BF367" s="39" t="str">
        <f aca="false">IF(BE367="","",MAX(BE367,IF(OR(K367="Oui",Z367="Oui"),4,1)))</f>
        <v/>
      </c>
      <c r="BG367" s="35" t="str">
        <f aca="false">IF(OR(BF367="",BD367=""),"",IF(BD367&gt;=BF367,1,0))</f>
        <v/>
      </c>
      <c r="BH367" s="38" t="str">
        <f aca="false">IF(BE367="","",IF(BE367&lt;2,"",IF(BE367=2,IF(AND(T367="",U367=""),"",MIN(T367,U367)),IF(U367="","",U367))))</f>
        <v/>
      </c>
      <c r="BI367" s="37" t="str">
        <f aca="false">IF(BH367="","",IF(OR(O367="",BH367=""),"",IF(BH367&lt;O367,"",ROUND(((NETWORKDAYS(O367,BH367,JoursFeries)-1)*(HFer-HOuv)+IF(NETWORKDAYS(BH367,BH367,JoursFeries),MEDIAN(MOD(BH367,1),HFer,HOuv),HFer)-IF(NETWORKDAYS(O367,O367,JoursFeries),MEDIAN(MOD(O367,1),HFer,HOuv),HOuv))*24,4))))</f>
        <v/>
      </c>
      <c r="BJ367" s="35" t="str">
        <f aca="false">IF(OR(BI367="",AR367=""),"",IF(BI367&lt;=INDEX(DELAI_ESC,AR367),1,0))</f>
        <v/>
      </c>
      <c r="BK367" s="38" t="str">
        <f aca="false">IF(AO367&lt;&gt;1,"",IF(AND(T367="",U367=""),"",MIN(T367,U367)))</f>
        <v/>
      </c>
      <c r="BL367" s="37" t="str">
        <f aca="false">IF(OR(BK367="",R367=""),"",IFERROR(ROUND(IF(OR(BK367="",R367=""),"",IF(R367&lt;BK367,"",ROUND(((NETWORKDAYS(BK367,R367,JoursFeries)-1)*(HFer-HOuv)+IF(NETWORKDAYS(R367,R367,JoursFeries),MEDIAN(MOD(R367,1),HFer,HOuv),HFer)-IF(NETWORKDAYS(BK367,BK367,JoursFeries),MEDIAN(MOD(BK367,1),HFer,HOuv),HOuv))*24,4)))/HJour,4),""))</f>
        <v/>
      </c>
      <c r="BM367" s="35" t="str">
        <f aca="false">IF(OR(AO367&lt;&gt;1,R367=""),"",IF(BD367=1,1,0))</f>
        <v/>
      </c>
      <c r="BN367" s="35" t="str">
        <f aca="false">IF(AO367&lt;&gt;1,"",IF(W367="Oui",1,0))</f>
        <v/>
      </c>
      <c r="BO367" s="35" t="str">
        <f aca="false">IF(AO367&lt;&gt;1,"",IF(X367&lt;&gt;"",1,0))</f>
        <v/>
      </c>
      <c r="BP367" s="35" t="str">
        <f aca="false">IF(AO367&lt;&gt;1,"",IF(Y367="Oui",1,0))</f>
        <v/>
      </c>
      <c r="BQ367" s="35" t="str">
        <f aca="true">IF(OR(AO367&lt;&gt;1,Z367&lt;&gt;"Oui"),"",IF(AB367="",IF(AND(AA367&lt;&gt;"",NOW()&gt;AA367),0,""),IF(AA367="","",IF(AB367&lt;=AA367,1,0))))</f>
        <v/>
      </c>
      <c r="BR367" s="38" t="str">
        <f aca="false">IF(OR(AO367&lt;&gt;1,K367&lt;&gt;"Oui",O367=""),"",IF(AC367="",O367+DORA_H_DET/24,IF(AC367-O367&lt;=DORA_H_DET/24,MIN(AC367+DORA_H_CLA/24,O367+DORA_H_DET/24),AC367+DORA_H_CLA/24)))</f>
        <v/>
      </c>
      <c r="BS367" s="35" t="str">
        <f aca="true">IF(BR367="","",IF(AD367="",IF(NOW()&gt;BR367,0,""),IF(AD367&lt;=BR367,1,0)))</f>
        <v/>
      </c>
      <c r="BT367" s="35" t="str">
        <f aca="true">IF(OR(BR367="",AD367=""),"",IF(AE367="",IF(NOW()&gt;AD367+DORA_H_INT/24,0,""),IF(AE367&lt;=AD367+DORA_H_INT/24,1,0)))</f>
        <v/>
      </c>
      <c r="BU367" s="35" t="str">
        <f aca="true">IF(OR(BR367="",AE367=""),"",IF(AF367="",IF(NOW()&gt;EDATE(AE367,DORA_M_FIN)+1,0,""),IF(AF367&lt;=EDATE(AE367,DORA_M_FIN),1,0)))</f>
        <v/>
      </c>
      <c r="BV367" s="35" t="str">
        <f aca="false">IF(BR367="","",IF(COUNT(BS367:BU367)=0,"",MIN(BS367:BU367)))</f>
        <v/>
      </c>
      <c r="BW367" s="40" t="str">
        <f aca="false">IF(AQ367&lt;&gt;1,"",IF(AND(AG367="",AH367=""),"",N(AG367)-N(AH367)))</f>
        <v/>
      </c>
      <c r="BX367" s="35" t="str">
        <f aca="true">IF(OR(AQ367&lt;&gt;1,AI367&lt;&gt;"Oui",AJ367=""),"",IF(AK367="",IF(NOW()&gt;AJ367+1,0,""),IF(AK367&lt;=AJ367,1,0)))</f>
        <v/>
      </c>
    </row>
    <row r="368" customFormat="false" ht="15" hidden="false" customHeight="false" outlineLevel="0" collapsed="false">
      <c r="B368" s="29"/>
      <c r="C368" s="29"/>
      <c r="D368" s="29"/>
      <c r="E368" s="29"/>
      <c r="F368" s="29"/>
      <c r="G368" s="29"/>
      <c r="H368" s="29"/>
      <c r="I368" s="29"/>
      <c r="J368" s="29"/>
      <c r="K368" s="29"/>
      <c r="L368" s="29"/>
      <c r="M368" s="29"/>
      <c r="N368" s="30"/>
      <c r="O368" s="30"/>
      <c r="P368" s="30"/>
      <c r="Q368" s="30"/>
      <c r="R368" s="30"/>
      <c r="S368" s="30"/>
      <c r="T368" s="30"/>
      <c r="U368" s="30"/>
      <c r="V368" s="31"/>
      <c r="W368" s="29"/>
      <c r="X368" s="29"/>
      <c r="Y368" s="29"/>
      <c r="Z368" s="29"/>
      <c r="AA368" s="30"/>
      <c r="AB368" s="30"/>
      <c r="AC368" s="30"/>
      <c r="AD368" s="30"/>
      <c r="AE368" s="30"/>
      <c r="AF368" s="32"/>
      <c r="AG368" s="33"/>
      <c r="AH368" s="33"/>
      <c r="AI368" s="29"/>
      <c r="AJ368" s="32"/>
      <c r="AK368" s="32"/>
      <c r="AL368" s="29"/>
      <c r="AN368" s="34" t="str">
        <f aca="false">IF($B368="","",IF(OR(C368="",D368="",E368="",G368="",I368="",J368="",L368="",O368="",P368=""),"Champ obligatoire manquant",IF(OR(AND(N368&lt;&gt;"",N368&gt;O368),O368&gt;P368,AND(Q368&lt;&gt;"",Q368&lt;P368),AND(R368&lt;&gt;"",R368&lt;P368),AND(S368&lt;&gt;"",S368&lt;R368),AND(S368&lt;&gt;"",R368=""),AND(T368&lt;&gt;"",T368&lt;O368),AND(U368&lt;&gt;"",U368&lt;O368)),"Chronologie incohérente",IF(AND(OR(L368="Résolu",L368="Clos"),R368=""),"Date de résolution manquante",IF(AND(L368="Clos",S368=""),"Date de clôture manquante",IF(AND(K368="Oui",AC368=""),"Classification DORA manquante","OK"))))))</f>
        <v/>
      </c>
      <c r="AO368" s="35" t="str">
        <f aca="false">IF($B368="","",IF(AND(C368="Incident",L368&lt;&gt;"Annulé"),1,0))</f>
        <v/>
      </c>
      <c r="AP368" s="35" t="str">
        <f aca="false">IF($B368="","",IF(AND(C368="Quasi-incident",L368&lt;&gt;"Annulé"),1,0))</f>
        <v/>
      </c>
      <c r="AQ368" s="35" t="str">
        <f aca="false">IF($B368="","",AO368+AP368)</f>
        <v/>
      </c>
      <c r="AR368" s="36" t="str">
        <f aca="false">IF(OR($B368="",J368=""),"",IFERROR(VALUE(LEFT(J368,1)),""))</f>
        <v/>
      </c>
      <c r="AS368" s="35" t="str">
        <f aca="false">IF(OR(AO368&lt;&gt;1,G368=""),"",IFERROR(IF(INDEX(L_SrcInterne,MATCH(G368,L_Sources,0))="Oui",1,0),""))</f>
        <v/>
      </c>
      <c r="AT368" s="37" t="str">
        <f aca="false">IF(AO368&lt;&gt;1,"",IFERROR(ROUND(IF(OR(N368="",O368=""),"",IF(O368&lt;N368,"",ROUND(((NETWORKDAYS(N368,O368,JoursFeries)-1)*(HFer-HOuv)+IF(NETWORKDAYS(O368,O368,JoursFeries),MEDIAN(MOD(O368,1),HFer,HOuv),HFer)-IF(NETWORKDAYS(N368,N368,JoursFeries),MEDIAN(MOD(N368,1),HFer,HOuv),HOuv))*24,4)))/HJour,4),""))</f>
        <v/>
      </c>
      <c r="AU368" s="37" t="str">
        <f aca="false">IF(AO368&lt;&gt;1,"",IF(OR(O368="",P368=""),"",IF(P368&lt;O368,"",ROUND(((NETWORKDAYS(O368,P368,JoursFeries)-1)*(HFer-HOuv)+IF(NETWORKDAYS(P368,P368,JoursFeries),MEDIAN(MOD(P368,1),HFer,HOuv),HFer)-IF(NETWORKDAYS(O368,O368,JoursFeries),MEDIAN(MOD(O368,1),HFer,HOuv),HOuv))*24,4))))</f>
        <v/>
      </c>
      <c r="AV368" s="37" t="str">
        <f aca="false">IF(AO368&lt;&gt;1,"",IF(OR(P368="",Q368=""),"",IF(Q368&lt;P368,"",ROUND(((NETWORKDAYS(P368,Q368,JoursFeries)-1)*(HFer-HOuv)+IF(NETWORKDAYS(Q368,Q368,JoursFeries),MEDIAN(MOD(Q368,1),HFer,HOuv),HFer)-IF(NETWORKDAYS(P368,P368,JoursFeries),MEDIAN(MOD(P368,1),HFer,HOuv),HOuv))*24,4))))</f>
        <v/>
      </c>
      <c r="AW368" s="37" t="str">
        <f aca="false">IF(AO368&lt;&gt;1,"",IFERROR(ROUND(IF(OR(P368="",R368=""),"",IF(R368&lt;P368,"",ROUND(((NETWORKDAYS(P368,R368,JoursFeries)-1)*(HFer-HOuv)+IF(NETWORKDAYS(R368,R368,JoursFeries),MEDIAN(MOD(R368,1),HFer,HOuv),HFer)-IF(NETWORKDAYS(P368,P368,JoursFeries),MEDIAN(MOD(P368,1),HFer,HOuv),HOuv))*24,4)))/HJour,4),""))</f>
        <v/>
      </c>
      <c r="AX368" s="37" t="str">
        <f aca="false">IF(AO368&lt;&gt;1,"",IFERROR(ROUND(IF(OR(P368="",S368=""),"",IF(S368&lt;P368,"",ROUND(((NETWORKDAYS(P368,S368,JoursFeries)-1)*(HFer-HOuv)+IF(NETWORKDAYS(S368,S368,JoursFeries),MEDIAN(MOD(S368,1),HFer,HOuv),HFer)-IF(NETWORKDAYS(P368,P368,JoursFeries),MEDIAN(MOD(P368,1),HFer,HOuv),HOuv))*24,4)))/HJour,4),""))</f>
        <v/>
      </c>
      <c r="AY368" s="36" t="str">
        <f aca="false">IF(OR(AO368&lt;&gt;1,AR368=""),"",INDEX(SLA_PEC,AR368))</f>
        <v/>
      </c>
      <c r="AZ368" s="35" t="str">
        <f aca="false">IF(OR(AV368="",AY368=""),"",IF(AV368&lt;=AY368,1,0))</f>
        <v/>
      </c>
      <c r="BA368" s="36" t="str">
        <f aca="false">IF(OR(AO368&lt;&gt;1,AR368=""),"",INDEX(SLA_RES,AR368))</f>
        <v/>
      </c>
      <c r="BB368" s="35" t="str">
        <f aca="false">IF(OR(AW368="",BA368=""),"",IF(AW368&lt;=BA368,1,0))</f>
        <v/>
      </c>
      <c r="BC368" s="38" t="str">
        <f aca="false">IF(OR(BA368="",P368=""),"",WORKDAY(INT(P368),BA368,JoursFeries)+MOD(P368,1))</f>
        <v/>
      </c>
      <c r="BD368" s="39" t="str">
        <f aca="false">IF(AO368&lt;&gt;1,"",IF(OR(AB368&lt;&gt;"",AD368&lt;&gt;""),4,IF(U368&lt;&gt;"",3,IF(T368&lt;&gt;"",2,1))))</f>
        <v/>
      </c>
      <c r="BE368" s="39" t="str">
        <f aca="false">IF(OR(AO368&lt;&gt;1,AR368=""),"",INDEX(NIV_REQ,AR368))</f>
        <v/>
      </c>
      <c r="BF368" s="39" t="str">
        <f aca="false">IF(BE368="","",MAX(BE368,IF(OR(K368="Oui",Z368="Oui"),4,1)))</f>
        <v/>
      </c>
      <c r="BG368" s="35" t="str">
        <f aca="false">IF(OR(BF368="",BD368=""),"",IF(BD368&gt;=BF368,1,0))</f>
        <v/>
      </c>
      <c r="BH368" s="38" t="str">
        <f aca="false">IF(BE368="","",IF(BE368&lt;2,"",IF(BE368=2,IF(AND(T368="",U368=""),"",MIN(T368,U368)),IF(U368="","",U368))))</f>
        <v/>
      </c>
      <c r="BI368" s="37" t="str">
        <f aca="false">IF(BH368="","",IF(OR(O368="",BH368=""),"",IF(BH368&lt;O368,"",ROUND(((NETWORKDAYS(O368,BH368,JoursFeries)-1)*(HFer-HOuv)+IF(NETWORKDAYS(BH368,BH368,JoursFeries),MEDIAN(MOD(BH368,1),HFer,HOuv),HFer)-IF(NETWORKDAYS(O368,O368,JoursFeries),MEDIAN(MOD(O368,1),HFer,HOuv),HOuv))*24,4))))</f>
        <v/>
      </c>
      <c r="BJ368" s="35" t="str">
        <f aca="false">IF(OR(BI368="",AR368=""),"",IF(BI368&lt;=INDEX(DELAI_ESC,AR368),1,0))</f>
        <v/>
      </c>
      <c r="BK368" s="38" t="str">
        <f aca="false">IF(AO368&lt;&gt;1,"",IF(AND(T368="",U368=""),"",MIN(T368,U368)))</f>
        <v/>
      </c>
      <c r="BL368" s="37" t="str">
        <f aca="false">IF(OR(BK368="",R368=""),"",IFERROR(ROUND(IF(OR(BK368="",R368=""),"",IF(R368&lt;BK368,"",ROUND(((NETWORKDAYS(BK368,R368,JoursFeries)-1)*(HFer-HOuv)+IF(NETWORKDAYS(R368,R368,JoursFeries),MEDIAN(MOD(R368,1),HFer,HOuv),HFer)-IF(NETWORKDAYS(BK368,BK368,JoursFeries),MEDIAN(MOD(BK368,1),HFer,HOuv),HOuv))*24,4)))/HJour,4),""))</f>
        <v/>
      </c>
      <c r="BM368" s="35" t="str">
        <f aca="false">IF(OR(AO368&lt;&gt;1,R368=""),"",IF(BD368=1,1,0))</f>
        <v/>
      </c>
      <c r="BN368" s="35" t="str">
        <f aca="false">IF(AO368&lt;&gt;1,"",IF(W368="Oui",1,0))</f>
        <v/>
      </c>
      <c r="BO368" s="35" t="str">
        <f aca="false">IF(AO368&lt;&gt;1,"",IF(X368&lt;&gt;"",1,0))</f>
        <v/>
      </c>
      <c r="BP368" s="35" t="str">
        <f aca="false">IF(AO368&lt;&gt;1,"",IF(Y368="Oui",1,0))</f>
        <v/>
      </c>
      <c r="BQ368" s="35" t="str">
        <f aca="true">IF(OR(AO368&lt;&gt;1,Z368&lt;&gt;"Oui"),"",IF(AB368="",IF(AND(AA368&lt;&gt;"",NOW()&gt;AA368),0,""),IF(AA368="","",IF(AB368&lt;=AA368,1,0))))</f>
        <v/>
      </c>
      <c r="BR368" s="38" t="str">
        <f aca="false">IF(OR(AO368&lt;&gt;1,K368&lt;&gt;"Oui",O368=""),"",IF(AC368="",O368+DORA_H_DET/24,IF(AC368-O368&lt;=DORA_H_DET/24,MIN(AC368+DORA_H_CLA/24,O368+DORA_H_DET/24),AC368+DORA_H_CLA/24)))</f>
        <v/>
      </c>
      <c r="BS368" s="35" t="str">
        <f aca="true">IF(BR368="","",IF(AD368="",IF(NOW()&gt;BR368,0,""),IF(AD368&lt;=BR368,1,0)))</f>
        <v/>
      </c>
      <c r="BT368" s="35" t="str">
        <f aca="true">IF(OR(BR368="",AD368=""),"",IF(AE368="",IF(NOW()&gt;AD368+DORA_H_INT/24,0,""),IF(AE368&lt;=AD368+DORA_H_INT/24,1,0)))</f>
        <v/>
      </c>
      <c r="BU368" s="35" t="str">
        <f aca="true">IF(OR(BR368="",AE368=""),"",IF(AF368="",IF(NOW()&gt;EDATE(AE368,DORA_M_FIN)+1,0,""),IF(AF368&lt;=EDATE(AE368,DORA_M_FIN),1,0)))</f>
        <v/>
      </c>
      <c r="BV368" s="35" t="str">
        <f aca="false">IF(BR368="","",IF(COUNT(BS368:BU368)=0,"",MIN(BS368:BU368)))</f>
        <v/>
      </c>
      <c r="BW368" s="40" t="str">
        <f aca="false">IF(AQ368&lt;&gt;1,"",IF(AND(AG368="",AH368=""),"",N(AG368)-N(AH368)))</f>
        <v/>
      </c>
      <c r="BX368" s="35" t="str">
        <f aca="true">IF(OR(AQ368&lt;&gt;1,AI368&lt;&gt;"Oui",AJ368=""),"",IF(AK368="",IF(NOW()&gt;AJ368+1,0,""),IF(AK368&lt;=AJ368,1,0)))</f>
        <v/>
      </c>
    </row>
    <row r="369" customFormat="false" ht="15" hidden="false" customHeight="false" outlineLevel="0" collapsed="false">
      <c r="B369" s="29"/>
      <c r="C369" s="29"/>
      <c r="D369" s="29"/>
      <c r="E369" s="29"/>
      <c r="F369" s="29"/>
      <c r="G369" s="29"/>
      <c r="H369" s="29"/>
      <c r="I369" s="29"/>
      <c r="J369" s="29"/>
      <c r="K369" s="29"/>
      <c r="L369" s="29"/>
      <c r="M369" s="29"/>
      <c r="N369" s="30"/>
      <c r="O369" s="30"/>
      <c r="P369" s="30"/>
      <c r="Q369" s="30"/>
      <c r="R369" s="30"/>
      <c r="S369" s="30"/>
      <c r="T369" s="30"/>
      <c r="U369" s="30"/>
      <c r="V369" s="31"/>
      <c r="W369" s="29"/>
      <c r="X369" s="29"/>
      <c r="Y369" s="29"/>
      <c r="Z369" s="29"/>
      <c r="AA369" s="30"/>
      <c r="AB369" s="30"/>
      <c r="AC369" s="30"/>
      <c r="AD369" s="30"/>
      <c r="AE369" s="30"/>
      <c r="AF369" s="32"/>
      <c r="AG369" s="33"/>
      <c r="AH369" s="33"/>
      <c r="AI369" s="29"/>
      <c r="AJ369" s="32"/>
      <c r="AK369" s="32"/>
      <c r="AL369" s="29"/>
      <c r="AN369" s="34" t="str">
        <f aca="false">IF($B369="","",IF(OR(C369="",D369="",E369="",G369="",I369="",J369="",L369="",O369="",P369=""),"Champ obligatoire manquant",IF(OR(AND(N369&lt;&gt;"",N369&gt;O369),O369&gt;P369,AND(Q369&lt;&gt;"",Q369&lt;P369),AND(R369&lt;&gt;"",R369&lt;P369),AND(S369&lt;&gt;"",S369&lt;R369),AND(S369&lt;&gt;"",R369=""),AND(T369&lt;&gt;"",T369&lt;O369),AND(U369&lt;&gt;"",U369&lt;O369)),"Chronologie incohérente",IF(AND(OR(L369="Résolu",L369="Clos"),R369=""),"Date de résolution manquante",IF(AND(L369="Clos",S369=""),"Date de clôture manquante",IF(AND(K369="Oui",AC369=""),"Classification DORA manquante","OK"))))))</f>
        <v/>
      </c>
      <c r="AO369" s="35" t="str">
        <f aca="false">IF($B369="","",IF(AND(C369="Incident",L369&lt;&gt;"Annulé"),1,0))</f>
        <v/>
      </c>
      <c r="AP369" s="35" t="str">
        <f aca="false">IF($B369="","",IF(AND(C369="Quasi-incident",L369&lt;&gt;"Annulé"),1,0))</f>
        <v/>
      </c>
      <c r="AQ369" s="35" t="str">
        <f aca="false">IF($B369="","",AO369+AP369)</f>
        <v/>
      </c>
      <c r="AR369" s="36" t="str">
        <f aca="false">IF(OR($B369="",J369=""),"",IFERROR(VALUE(LEFT(J369,1)),""))</f>
        <v/>
      </c>
      <c r="AS369" s="35" t="str">
        <f aca="false">IF(OR(AO369&lt;&gt;1,G369=""),"",IFERROR(IF(INDEX(L_SrcInterne,MATCH(G369,L_Sources,0))="Oui",1,0),""))</f>
        <v/>
      </c>
      <c r="AT369" s="37" t="str">
        <f aca="false">IF(AO369&lt;&gt;1,"",IFERROR(ROUND(IF(OR(N369="",O369=""),"",IF(O369&lt;N369,"",ROUND(((NETWORKDAYS(N369,O369,JoursFeries)-1)*(HFer-HOuv)+IF(NETWORKDAYS(O369,O369,JoursFeries),MEDIAN(MOD(O369,1),HFer,HOuv),HFer)-IF(NETWORKDAYS(N369,N369,JoursFeries),MEDIAN(MOD(N369,1),HFer,HOuv),HOuv))*24,4)))/HJour,4),""))</f>
        <v/>
      </c>
      <c r="AU369" s="37" t="str">
        <f aca="false">IF(AO369&lt;&gt;1,"",IF(OR(O369="",P369=""),"",IF(P369&lt;O369,"",ROUND(((NETWORKDAYS(O369,P369,JoursFeries)-1)*(HFer-HOuv)+IF(NETWORKDAYS(P369,P369,JoursFeries),MEDIAN(MOD(P369,1),HFer,HOuv),HFer)-IF(NETWORKDAYS(O369,O369,JoursFeries),MEDIAN(MOD(O369,1),HFer,HOuv),HOuv))*24,4))))</f>
        <v/>
      </c>
      <c r="AV369" s="37" t="str">
        <f aca="false">IF(AO369&lt;&gt;1,"",IF(OR(P369="",Q369=""),"",IF(Q369&lt;P369,"",ROUND(((NETWORKDAYS(P369,Q369,JoursFeries)-1)*(HFer-HOuv)+IF(NETWORKDAYS(Q369,Q369,JoursFeries),MEDIAN(MOD(Q369,1),HFer,HOuv),HFer)-IF(NETWORKDAYS(P369,P369,JoursFeries),MEDIAN(MOD(P369,1),HFer,HOuv),HOuv))*24,4))))</f>
        <v/>
      </c>
      <c r="AW369" s="37" t="str">
        <f aca="false">IF(AO369&lt;&gt;1,"",IFERROR(ROUND(IF(OR(P369="",R369=""),"",IF(R369&lt;P369,"",ROUND(((NETWORKDAYS(P369,R369,JoursFeries)-1)*(HFer-HOuv)+IF(NETWORKDAYS(R369,R369,JoursFeries),MEDIAN(MOD(R369,1),HFer,HOuv),HFer)-IF(NETWORKDAYS(P369,P369,JoursFeries),MEDIAN(MOD(P369,1),HFer,HOuv),HOuv))*24,4)))/HJour,4),""))</f>
        <v/>
      </c>
      <c r="AX369" s="37" t="str">
        <f aca="false">IF(AO369&lt;&gt;1,"",IFERROR(ROUND(IF(OR(P369="",S369=""),"",IF(S369&lt;P369,"",ROUND(((NETWORKDAYS(P369,S369,JoursFeries)-1)*(HFer-HOuv)+IF(NETWORKDAYS(S369,S369,JoursFeries),MEDIAN(MOD(S369,1),HFer,HOuv),HFer)-IF(NETWORKDAYS(P369,P369,JoursFeries),MEDIAN(MOD(P369,1),HFer,HOuv),HOuv))*24,4)))/HJour,4),""))</f>
        <v/>
      </c>
      <c r="AY369" s="36" t="str">
        <f aca="false">IF(OR(AO369&lt;&gt;1,AR369=""),"",INDEX(SLA_PEC,AR369))</f>
        <v/>
      </c>
      <c r="AZ369" s="35" t="str">
        <f aca="false">IF(OR(AV369="",AY369=""),"",IF(AV369&lt;=AY369,1,0))</f>
        <v/>
      </c>
      <c r="BA369" s="36" t="str">
        <f aca="false">IF(OR(AO369&lt;&gt;1,AR369=""),"",INDEX(SLA_RES,AR369))</f>
        <v/>
      </c>
      <c r="BB369" s="35" t="str">
        <f aca="false">IF(OR(AW369="",BA369=""),"",IF(AW369&lt;=BA369,1,0))</f>
        <v/>
      </c>
      <c r="BC369" s="38" t="str">
        <f aca="false">IF(OR(BA369="",P369=""),"",WORKDAY(INT(P369),BA369,JoursFeries)+MOD(P369,1))</f>
        <v/>
      </c>
      <c r="BD369" s="39" t="str">
        <f aca="false">IF(AO369&lt;&gt;1,"",IF(OR(AB369&lt;&gt;"",AD369&lt;&gt;""),4,IF(U369&lt;&gt;"",3,IF(T369&lt;&gt;"",2,1))))</f>
        <v/>
      </c>
      <c r="BE369" s="39" t="str">
        <f aca="false">IF(OR(AO369&lt;&gt;1,AR369=""),"",INDEX(NIV_REQ,AR369))</f>
        <v/>
      </c>
      <c r="BF369" s="39" t="str">
        <f aca="false">IF(BE369="","",MAX(BE369,IF(OR(K369="Oui",Z369="Oui"),4,1)))</f>
        <v/>
      </c>
      <c r="BG369" s="35" t="str">
        <f aca="false">IF(OR(BF369="",BD369=""),"",IF(BD369&gt;=BF369,1,0))</f>
        <v/>
      </c>
      <c r="BH369" s="38" t="str">
        <f aca="false">IF(BE369="","",IF(BE369&lt;2,"",IF(BE369=2,IF(AND(T369="",U369=""),"",MIN(T369,U369)),IF(U369="","",U369))))</f>
        <v/>
      </c>
      <c r="BI369" s="37" t="str">
        <f aca="false">IF(BH369="","",IF(OR(O369="",BH369=""),"",IF(BH369&lt;O369,"",ROUND(((NETWORKDAYS(O369,BH369,JoursFeries)-1)*(HFer-HOuv)+IF(NETWORKDAYS(BH369,BH369,JoursFeries),MEDIAN(MOD(BH369,1),HFer,HOuv),HFer)-IF(NETWORKDAYS(O369,O369,JoursFeries),MEDIAN(MOD(O369,1),HFer,HOuv),HOuv))*24,4))))</f>
        <v/>
      </c>
      <c r="BJ369" s="35" t="str">
        <f aca="false">IF(OR(BI369="",AR369=""),"",IF(BI369&lt;=INDEX(DELAI_ESC,AR369),1,0))</f>
        <v/>
      </c>
      <c r="BK369" s="38" t="str">
        <f aca="false">IF(AO369&lt;&gt;1,"",IF(AND(T369="",U369=""),"",MIN(T369,U369)))</f>
        <v/>
      </c>
      <c r="BL369" s="37" t="str">
        <f aca="false">IF(OR(BK369="",R369=""),"",IFERROR(ROUND(IF(OR(BK369="",R369=""),"",IF(R369&lt;BK369,"",ROUND(((NETWORKDAYS(BK369,R369,JoursFeries)-1)*(HFer-HOuv)+IF(NETWORKDAYS(R369,R369,JoursFeries),MEDIAN(MOD(R369,1),HFer,HOuv),HFer)-IF(NETWORKDAYS(BK369,BK369,JoursFeries),MEDIAN(MOD(BK369,1),HFer,HOuv),HOuv))*24,4)))/HJour,4),""))</f>
        <v/>
      </c>
      <c r="BM369" s="35" t="str">
        <f aca="false">IF(OR(AO369&lt;&gt;1,R369=""),"",IF(BD369=1,1,0))</f>
        <v/>
      </c>
      <c r="BN369" s="35" t="str">
        <f aca="false">IF(AO369&lt;&gt;1,"",IF(W369="Oui",1,0))</f>
        <v/>
      </c>
      <c r="BO369" s="35" t="str">
        <f aca="false">IF(AO369&lt;&gt;1,"",IF(X369&lt;&gt;"",1,0))</f>
        <v/>
      </c>
      <c r="BP369" s="35" t="str">
        <f aca="false">IF(AO369&lt;&gt;1,"",IF(Y369="Oui",1,0))</f>
        <v/>
      </c>
      <c r="BQ369" s="35" t="str">
        <f aca="true">IF(OR(AO369&lt;&gt;1,Z369&lt;&gt;"Oui"),"",IF(AB369="",IF(AND(AA369&lt;&gt;"",NOW()&gt;AA369),0,""),IF(AA369="","",IF(AB369&lt;=AA369,1,0))))</f>
        <v/>
      </c>
      <c r="BR369" s="38" t="str">
        <f aca="false">IF(OR(AO369&lt;&gt;1,K369&lt;&gt;"Oui",O369=""),"",IF(AC369="",O369+DORA_H_DET/24,IF(AC369-O369&lt;=DORA_H_DET/24,MIN(AC369+DORA_H_CLA/24,O369+DORA_H_DET/24),AC369+DORA_H_CLA/24)))</f>
        <v/>
      </c>
      <c r="BS369" s="35" t="str">
        <f aca="true">IF(BR369="","",IF(AD369="",IF(NOW()&gt;BR369,0,""),IF(AD369&lt;=BR369,1,0)))</f>
        <v/>
      </c>
      <c r="BT369" s="35" t="str">
        <f aca="true">IF(OR(BR369="",AD369=""),"",IF(AE369="",IF(NOW()&gt;AD369+DORA_H_INT/24,0,""),IF(AE369&lt;=AD369+DORA_H_INT/24,1,0)))</f>
        <v/>
      </c>
      <c r="BU369" s="35" t="str">
        <f aca="true">IF(OR(BR369="",AE369=""),"",IF(AF369="",IF(NOW()&gt;EDATE(AE369,DORA_M_FIN)+1,0,""),IF(AF369&lt;=EDATE(AE369,DORA_M_FIN),1,0)))</f>
        <v/>
      </c>
      <c r="BV369" s="35" t="str">
        <f aca="false">IF(BR369="","",IF(COUNT(BS369:BU369)=0,"",MIN(BS369:BU369)))</f>
        <v/>
      </c>
      <c r="BW369" s="40" t="str">
        <f aca="false">IF(AQ369&lt;&gt;1,"",IF(AND(AG369="",AH369=""),"",N(AG369)-N(AH369)))</f>
        <v/>
      </c>
      <c r="BX369" s="35" t="str">
        <f aca="true">IF(OR(AQ369&lt;&gt;1,AI369&lt;&gt;"Oui",AJ369=""),"",IF(AK369="",IF(NOW()&gt;AJ369+1,0,""),IF(AK369&lt;=AJ369,1,0)))</f>
        <v/>
      </c>
    </row>
    <row r="370" customFormat="false" ht="15" hidden="false" customHeight="false" outlineLevel="0" collapsed="false">
      <c r="B370" s="29"/>
      <c r="C370" s="29"/>
      <c r="D370" s="29"/>
      <c r="E370" s="29"/>
      <c r="F370" s="29"/>
      <c r="G370" s="29"/>
      <c r="H370" s="29"/>
      <c r="I370" s="29"/>
      <c r="J370" s="29"/>
      <c r="K370" s="29"/>
      <c r="L370" s="29"/>
      <c r="M370" s="29"/>
      <c r="N370" s="30"/>
      <c r="O370" s="30"/>
      <c r="P370" s="30"/>
      <c r="Q370" s="30"/>
      <c r="R370" s="30"/>
      <c r="S370" s="30"/>
      <c r="T370" s="30"/>
      <c r="U370" s="30"/>
      <c r="V370" s="31"/>
      <c r="W370" s="29"/>
      <c r="X370" s="29"/>
      <c r="Y370" s="29"/>
      <c r="Z370" s="29"/>
      <c r="AA370" s="30"/>
      <c r="AB370" s="30"/>
      <c r="AC370" s="30"/>
      <c r="AD370" s="30"/>
      <c r="AE370" s="30"/>
      <c r="AF370" s="32"/>
      <c r="AG370" s="33"/>
      <c r="AH370" s="33"/>
      <c r="AI370" s="29"/>
      <c r="AJ370" s="32"/>
      <c r="AK370" s="32"/>
      <c r="AL370" s="29"/>
      <c r="AN370" s="34" t="str">
        <f aca="false">IF($B370="","",IF(OR(C370="",D370="",E370="",G370="",I370="",J370="",L370="",O370="",P370=""),"Champ obligatoire manquant",IF(OR(AND(N370&lt;&gt;"",N370&gt;O370),O370&gt;P370,AND(Q370&lt;&gt;"",Q370&lt;P370),AND(R370&lt;&gt;"",R370&lt;P370),AND(S370&lt;&gt;"",S370&lt;R370),AND(S370&lt;&gt;"",R370=""),AND(T370&lt;&gt;"",T370&lt;O370),AND(U370&lt;&gt;"",U370&lt;O370)),"Chronologie incohérente",IF(AND(OR(L370="Résolu",L370="Clos"),R370=""),"Date de résolution manquante",IF(AND(L370="Clos",S370=""),"Date de clôture manquante",IF(AND(K370="Oui",AC370=""),"Classification DORA manquante","OK"))))))</f>
        <v/>
      </c>
      <c r="AO370" s="35" t="str">
        <f aca="false">IF($B370="","",IF(AND(C370="Incident",L370&lt;&gt;"Annulé"),1,0))</f>
        <v/>
      </c>
      <c r="AP370" s="35" t="str">
        <f aca="false">IF($B370="","",IF(AND(C370="Quasi-incident",L370&lt;&gt;"Annulé"),1,0))</f>
        <v/>
      </c>
      <c r="AQ370" s="35" t="str">
        <f aca="false">IF($B370="","",AO370+AP370)</f>
        <v/>
      </c>
      <c r="AR370" s="36" t="str">
        <f aca="false">IF(OR($B370="",J370=""),"",IFERROR(VALUE(LEFT(J370,1)),""))</f>
        <v/>
      </c>
      <c r="AS370" s="35" t="str">
        <f aca="false">IF(OR(AO370&lt;&gt;1,G370=""),"",IFERROR(IF(INDEX(L_SrcInterne,MATCH(G370,L_Sources,0))="Oui",1,0),""))</f>
        <v/>
      </c>
      <c r="AT370" s="37" t="str">
        <f aca="false">IF(AO370&lt;&gt;1,"",IFERROR(ROUND(IF(OR(N370="",O370=""),"",IF(O370&lt;N370,"",ROUND(((NETWORKDAYS(N370,O370,JoursFeries)-1)*(HFer-HOuv)+IF(NETWORKDAYS(O370,O370,JoursFeries),MEDIAN(MOD(O370,1),HFer,HOuv),HFer)-IF(NETWORKDAYS(N370,N370,JoursFeries),MEDIAN(MOD(N370,1),HFer,HOuv),HOuv))*24,4)))/HJour,4),""))</f>
        <v/>
      </c>
      <c r="AU370" s="37" t="str">
        <f aca="false">IF(AO370&lt;&gt;1,"",IF(OR(O370="",P370=""),"",IF(P370&lt;O370,"",ROUND(((NETWORKDAYS(O370,P370,JoursFeries)-1)*(HFer-HOuv)+IF(NETWORKDAYS(P370,P370,JoursFeries),MEDIAN(MOD(P370,1),HFer,HOuv),HFer)-IF(NETWORKDAYS(O370,O370,JoursFeries),MEDIAN(MOD(O370,1),HFer,HOuv),HOuv))*24,4))))</f>
        <v/>
      </c>
      <c r="AV370" s="37" t="str">
        <f aca="false">IF(AO370&lt;&gt;1,"",IF(OR(P370="",Q370=""),"",IF(Q370&lt;P370,"",ROUND(((NETWORKDAYS(P370,Q370,JoursFeries)-1)*(HFer-HOuv)+IF(NETWORKDAYS(Q370,Q370,JoursFeries),MEDIAN(MOD(Q370,1),HFer,HOuv),HFer)-IF(NETWORKDAYS(P370,P370,JoursFeries),MEDIAN(MOD(P370,1),HFer,HOuv),HOuv))*24,4))))</f>
        <v/>
      </c>
      <c r="AW370" s="37" t="str">
        <f aca="false">IF(AO370&lt;&gt;1,"",IFERROR(ROUND(IF(OR(P370="",R370=""),"",IF(R370&lt;P370,"",ROUND(((NETWORKDAYS(P370,R370,JoursFeries)-1)*(HFer-HOuv)+IF(NETWORKDAYS(R370,R370,JoursFeries),MEDIAN(MOD(R370,1),HFer,HOuv),HFer)-IF(NETWORKDAYS(P370,P370,JoursFeries),MEDIAN(MOD(P370,1),HFer,HOuv),HOuv))*24,4)))/HJour,4),""))</f>
        <v/>
      </c>
      <c r="AX370" s="37" t="str">
        <f aca="false">IF(AO370&lt;&gt;1,"",IFERROR(ROUND(IF(OR(P370="",S370=""),"",IF(S370&lt;P370,"",ROUND(((NETWORKDAYS(P370,S370,JoursFeries)-1)*(HFer-HOuv)+IF(NETWORKDAYS(S370,S370,JoursFeries),MEDIAN(MOD(S370,1),HFer,HOuv),HFer)-IF(NETWORKDAYS(P370,P370,JoursFeries),MEDIAN(MOD(P370,1),HFer,HOuv),HOuv))*24,4)))/HJour,4),""))</f>
        <v/>
      </c>
      <c r="AY370" s="36" t="str">
        <f aca="false">IF(OR(AO370&lt;&gt;1,AR370=""),"",INDEX(SLA_PEC,AR370))</f>
        <v/>
      </c>
      <c r="AZ370" s="35" t="str">
        <f aca="false">IF(OR(AV370="",AY370=""),"",IF(AV370&lt;=AY370,1,0))</f>
        <v/>
      </c>
      <c r="BA370" s="36" t="str">
        <f aca="false">IF(OR(AO370&lt;&gt;1,AR370=""),"",INDEX(SLA_RES,AR370))</f>
        <v/>
      </c>
      <c r="BB370" s="35" t="str">
        <f aca="false">IF(OR(AW370="",BA370=""),"",IF(AW370&lt;=BA370,1,0))</f>
        <v/>
      </c>
      <c r="BC370" s="38" t="str">
        <f aca="false">IF(OR(BA370="",P370=""),"",WORKDAY(INT(P370),BA370,JoursFeries)+MOD(P370,1))</f>
        <v/>
      </c>
      <c r="BD370" s="39" t="str">
        <f aca="false">IF(AO370&lt;&gt;1,"",IF(OR(AB370&lt;&gt;"",AD370&lt;&gt;""),4,IF(U370&lt;&gt;"",3,IF(T370&lt;&gt;"",2,1))))</f>
        <v/>
      </c>
      <c r="BE370" s="39" t="str">
        <f aca="false">IF(OR(AO370&lt;&gt;1,AR370=""),"",INDEX(NIV_REQ,AR370))</f>
        <v/>
      </c>
      <c r="BF370" s="39" t="str">
        <f aca="false">IF(BE370="","",MAX(BE370,IF(OR(K370="Oui",Z370="Oui"),4,1)))</f>
        <v/>
      </c>
      <c r="BG370" s="35" t="str">
        <f aca="false">IF(OR(BF370="",BD370=""),"",IF(BD370&gt;=BF370,1,0))</f>
        <v/>
      </c>
      <c r="BH370" s="38" t="str">
        <f aca="false">IF(BE370="","",IF(BE370&lt;2,"",IF(BE370=2,IF(AND(T370="",U370=""),"",MIN(T370,U370)),IF(U370="","",U370))))</f>
        <v/>
      </c>
      <c r="BI370" s="37" t="str">
        <f aca="false">IF(BH370="","",IF(OR(O370="",BH370=""),"",IF(BH370&lt;O370,"",ROUND(((NETWORKDAYS(O370,BH370,JoursFeries)-1)*(HFer-HOuv)+IF(NETWORKDAYS(BH370,BH370,JoursFeries),MEDIAN(MOD(BH370,1),HFer,HOuv),HFer)-IF(NETWORKDAYS(O370,O370,JoursFeries),MEDIAN(MOD(O370,1),HFer,HOuv),HOuv))*24,4))))</f>
        <v/>
      </c>
      <c r="BJ370" s="35" t="str">
        <f aca="false">IF(OR(BI370="",AR370=""),"",IF(BI370&lt;=INDEX(DELAI_ESC,AR370),1,0))</f>
        <v/>
      </c>
      <c r="BK370" s="38" t="str">
        <f aca="false">IF(AO370&lt;&gt;1,"",IF(AND(T370="",U370=""),"",MIN(T370,U370)))</f>
        <v/>
      </c>
      <c r="BL370" s="37" t="str">
        <f aca="false">IF(OR(BK370="",R370=""),"",IFERROR(ROUND(IF(OR(BK370="",R370=""),"",IF(R370&lt;BK370,"",ROUND(((NETWORKDAYS(BK370,R370,JoursFeries)-1)*(HFer-HOuv)+IF(NETWORKDAYS(R370,R370,JoursFeries),MEDIAN(MOD(R370,1),HFer,HOuv),HFer)-IF(NETWORKDAYS(BK370,BK370,JoursFeries),MEDIAN(MOD(BK370,1),HFer,HOuv),HOuv))*24,4)))/HJour,4),""))</f>
        <v/>
      </c>
      <c r="BM370" s="35" t="str">
        <f aca="false">IF(OR(AO370&lt;&gt;1,R370=""),"",IF(BD370=1,1,0))</f>
        <v/>
      </c>
      <c r="BN370" s="35" t="str">
        <f aca="false">IF(AO370&lt;&gt;1,"",IF(W370="Oui",1,0))</f>
        <v/>
      </c>
      <c r="BO370" s="35" t="str">
        <f aca="false">IF(AO370&lt;&gt;1,"",IF(X370&lt;&gt;"",1,0))</f>
        <v/>
      </c>
      <c r="BP370" s="35" t="str">
        <f aca="false">IF(AO370&lt;&gt;1,"",IF(Y370="Oui",1,0))</f>
        <v/>
      </c>
      <c r="BQ370" s="35" t="str">
        <f aca="true">IF(OR(AO370&lt;&gt;1,Z370&lt;&gt;"Oui"),"",IF(AB370="",IF(AND(AA370&lt;&gt;"",NOW()&gt;AA370),0,""),IF(AA370="","",IF(AB370&lt;=AA370,1,0))))</f>
        <v/>
      </c>
      <c r="BR370" s="38" t="str">
        <f aca="false">IF(OR(AO370&lt;&gt;1,K370&lt;&gt;"Oui",O370=""),"",IF(AC370="",O370+DORA_H_DET/24,IF(AC370-O370&lt;=DORA_H_DET/24,MIN(AC370+DORA_H_CLA/24,O370+DORA_H_DET/24),AC370+DORA_H_CLA/24)))</f>
        <v/>
      </c>
      <c r="BS370" s="35" t="str">
        <f aca="true">IF(BR370="","",IF(AD370="",IF(NOW()&gt;BR370,0,""),IF(AD370&lt;=BR370,1,0)))</f>
        <v/>
      </c>
      <c r="BT370" s="35" t="str">
        <f aca="true">IF(OR(BR370="",AD370=""),"",IF(AE370="",IF(NOW()&gt;AD370+DORA_H_INT/24,0,""),IF(AE370&lt;=AD370+DORA_H_INT/24,1,0)))</f>
        <v/>
      </c>
      <c r="BU370" s="35" t="str">
        <f aca="true">IF(OR(BR370="",AE370=""),"",IF(AF370="",IF(NOW()&gt;EDATE(AE370,DORA_M_FIN)+1,0,""),IF(AF370&lt;=EDATE(AE370,DORA_M_FIN),1,0)))</f>
        <v/>
      </c>
      <c r="BV370" s="35" t="str">
        <f aca="false">IF(BR370="","",IF(COUNT(BS370:BU370)=0,"",MIN(BS370:BU370)))</f>
        <v/>
      </c>
      <c r="BW370" s="40" t="str">
        <f aca="false">IF(AQ370&lt;&gt;1,"",IF(AND(AG370="",AH370=""),"",N(AG370)-N(AH370)))</f>
        <v/>
      </c>
      <c r="BX370" s="35" t="str">
        <f aca="true">IF(OR(AQ370&lt;&gt;1,AI370&lt;&gt;"Oui",AJ370=""),"",IF(AK370="",IF(NOW()&gt;AJ370+1,0,""),IF(AK370&lt;=AJ370,1,0)))</f>
        <v/>
      </c>
    </row>
    <row r="371" customFormat="false" ht="15" hidden="false" customHeight="false" outlineLevel="0" collapsed="false">
      <c r="B371" s="29"/>
      <c r="C371" s="29"/>
      <c r="D371" s="29"/>
      <c r="E371" s="29"/>
      <c r="F371" s="29"/>
      <c r="G371" s="29"/>
      <c r="H371" s="29"/>
      <c r="I371" s="29"/>
      <c r="J371" s="29"/>
      <c r="K371" s="29"/>
      <c r="L371" s="29"/>
      <c r="M371" s="29"/>
      <c r="N371" s="30"/>
      <c r="O371" s="30"/>
      <c r="P371" s="30"/>
      <c r="Q371" s="30"/>
      <c r="R371" s="30"/>
      <c r="S371" s="30"/>
      <c r="T371" s="30"/>
      <c r="U371" s="30"/>
      <c r="V371" s="31"/>
      <c r="W371" s="29"/>
      <c r="X371" s="29"/>
      <c r="Y371" s="29"/>
      <c r="Z371" s="29"/>
      <c r="AA371" s="30"/>
      <c r="AB371" s="30"/>
      <c r="AC371" s="30"/>
      <c r="AD371" s="30"/>
      <c r="AE371" s="30"/>
      <c r="AF371" s="32"/>
      <c r="AG371" s="33"/>
      <c r="AH371" s="33"/>
      <c r="AI371" s="29"/>
      <c r="AJ371" s="32"/>
      <c r="AK371" s="32"/>
      <c r="AL371" s="29"/>
      <c r="AN371" s="34" t="str">
        <f aca="false">IF($B371="","",IF(OR(C371="",D371="",E371="",G371="",I371="",J371="",L371="",O371="",P371=""),"Champ obligatoire manquant",IF(OR(AND(N371&lt;&gt;"",N371&gt;O371),O371&gt;P371,AND(Q371&lt;&gt;"",Q371&lt;P371),AND(R371&lt;&gt;"",R371&lt;P371),AND(S371&lt;&gt;"",S371&lt;R371),AND(S371&lt;&gt;"",R371=""),AND(T371&lt;&gt;"",T371&lt;O371),AND(U371&lt;&gt;"",U371&lt;O371)),"Chronologie incohérente",IF(AND(OR(L371="Résolu",L371="Clos"),R371=""),"Date de résolution manquante",IF(AND(L371="Clos",S371=""),"Date de clôture manquante",IF(AND(K371="Oui",AC371=""),"Classification DORA manquante","OK"))))))</f>
        <v/>
      </c>
      <c r="AO371" s="35" t="str">
        <f aca="false">IF($B371="","",IF(AND(C371="Incident",L371&lt;&gt;"Annulé"),1,0))</f>
        <v/>
      </c>
      <c r="AP371" s="35" t="str">
        <f aca="false">IF($B371="","",IF(AND(C371="Quasi-incident",L371&lt;&gt;"Annulé"),1,0))</f>
        <v/>
      </c>
      <c r="AQ371" s="35" t="str">
        <f aca="false">IF($B371="","",AO371+AP371)</f>
        <v/>
      </c>
      <c r="AR371" s="36" t="str">
        <f aca="false">IF(OR($B371="",J371=""),"",IFERROR(VALUE(LEFT(J371,1)),""))</f>
        <v/>
      </c>
      <c r="AS371" s="35" t="str">
        <f aca="false">IF(OR(AO371&lt;&gt;1,G371=""),"",IFERROR(IF(INDEX(L_SrcInterne,MATCH(G371,L_Sources,0))="Oui",1,0),""))</f>
        <v/>
      </c>
      <c r="AT371" s="37" t="str">
        <f aca="false">IF(AO371&lt;&gt;1,"",IFERROR(ROUND(IF(OR(N371="",O371=""),"",IF(O371&lt;N371,"",ROUND(((NETWORKDAYS(N371,O371,JoursFeries)-1)*(HFer-HOuv)+IF(NETWORKDAYS(O371,O371,JoursFeries),MEDIAN(MOD(O371,1),HFer,HOuv),HFer)-IF(NETWORKDAYS(N371,N371,JoursFeries),MEDIAN(MOD(N371,1),HFer,HOuv),HOuv))*24,4)))/HJour,4),""))</f>
        <v/>
      </c>
      <c r="AU371" s="37" t="str">
        <f aca="false">IF(AO371&lt;&gt;1,"",IF(OR(O371="",P371=""),"",IF(P371&lt;O371,"",ROUND(((NETWORKDAYS(O371,P371,JoursFeries)-1)*(HFer-HOuv)+IF(NETWORKDAYS(P371,P371,JoursFeries),MEDIAN(MOD(P371,1),HFer,HOuv),HFer)-IF(NETWORKDAYS(O371,O371,JoursFeries),MEDIAN(MOD(O371,1),HFer,HOuv),HOuv))*24,4))))</f>
        <v/>
      </c>
      <c r="AV371" s="37" t="str">
        <f aca="false">IF(AO371&lt;&gt;1,"",IF(OR(P371="",Q371=""),"",IF(Q371&lt;P371,"",ROUND(((NETWORKDAYS(P371,Q371,JoursFeries)-1)*(HFer-HOuv)+IF(NETWORKDAYS(Q371,Q371,JoursFeries),MEDIAN(MOD(Q371,1),HFer,HOuv),HFer)-IF(NETWORKDAYS(P371,P371,JoursFeries),MEDIAN(MOD(P371,1),HFer,HOuv),HOuv))*24,4))))</f>
        <v/>
      </c>
      <c r="AW371" s="37" t="str">
        <f aca="false">IF(AO371&lt;&gt;1,"",IFERROR(ROUND(IF(OR(P371="",R371=""),"",IF(R371&lt;P371,"",ROUND(((NETWORKDAYS(P371,R371,JoursFeries)-1)*(HFer-HOuv)+IF(NETWORKDAYS(R371,R371,JoursFeries),MEDIAN(MOD(R371,1),HFer,HOuv),HFer)-IF(NETWORKDAYS(P371,P371,JoursFeries),MEDIAN(MOD(P371,1),HFer,HOuv),HOuv))*24,4)))/HJour,4),""))</f>
        <v/>
      </c>
      <c r="AX371" s="37" t="str">
        <f aca="false">IF(AO371&lt;&gt;1,"",IFERROR(ROUND(IF(OR(P371="",S371=""),"",IF(S371&lt;P371,"",ROUND(((NETWORKDAYS(P371,S371,JoursFeries)-1)*(HFer-HOuv)+IF(NETWORKDAYS(S371,S371,JoursFeries),MEDIAN(MOD(S371,1),HFer,HOuv),HFer)-IF(NETWORKDAYS(P371,P371,JoursFeries),MEDIAN(MOD(P371,1),HFer,HOuv),HOuv))*24,4)))/HJour,4),""))</f>
        <v/>
      </c>
      <c r="AY371" s="36" t="str">
        <f aca="false">IF(OR(AO371&lt;&gt;1,AR371=""),"",INDEX(SLA_PEC,AR371))</f>
        <v/>
      </c>
      <c r="AZ371" s="35" t="str">
        <f aca="false">IF(OR(AV371="",AY371=""),"",IF(AV371&lt;=AY371,1,0))</f>
        <v/>
      </c>
      <c r="BA371" s="36" t="str">
        <f aca="false">IF(OR(AO371&lt;&gt;1,AR371=""),"",INDEX(SLA_RES,AR371))</f>
        <v/>
      </c>
      <c r="BB371" s="35" t="str">
        <f aca="false">IF(OR(AW371="",BA371=""),"",IF(AW371&lt;=BA371,1,0))</f>
        <v/>
      </c>
      <c r="BC371" s="38" t="str">
        <f aca="false">IF(OR(BA371="",P371=""),"",WORKDAY(INT(P371),BA371,JoursFeries)+MOD(P371,1))</f>
        <v/>
      </c>
      <c r="BD371" s="39" t="str">
        <f aca="false">IF(AO371&lt;&gt;1,"",IF(OR(AB371&lt;&gt;"",AD371&lt;&gt;""),4,IF(U371&lt;&gt;"",3,IF(T371&lt;&gt;"",2,1))))</f>
        <v/>
      </c>
      <c r="BE371" s="39" t="str">
        <f aca="false">IF(OR(AO371&lt;&gt;1,AR371=""),"",INDEX(NIV_REQ,AR371))</f>
        <v/>
      </c>
      <c r="BF371" s="39" t="str">
        <f aca="false">IF(BE371="","",MAX(BE371,IF(OR(K371="Oui",Z371="Oui"),4,1)))</f>
        <v/>
      </c>
      <c r="BG371" s="35" t="str">
        <f aca="false">IF(OR(BF371="",BD371=""),"",IF(BD371&gt;=BF371,1,0))</f>
        <v/>
      </c>
      <c r="BH371" s="38" t="str">
        <f aca="false">IF(BE371="","",IF(BE371&lt;2,"",IF(BE371=2,IF(AND(T371="",U371=""),"",MIN(T371,U371)),IF(U371="","",U371))))</f>
        <v/>
      </c>
      <c r="BI371" s="37" t="str">
        <f aca="false">IF(BH371="","",IF(OR(O371="",BH371=""),"",IF(BH371&lt;O371,"",ROUND(((NETWORKDAYS(O371,BH371,JoursFeries)-1)*(HFer-HOuv)+IF(NETWORKDAYS(BH371,BH371,JoursFeries),MEDIAN(MOD(BH371,1),HFer,HOuv),HFer)-IF(NETWORKDAYS(O371,O371,JoursFeries),MEDIAN(MOD(O371,1),HFer,HOuv),HOuv))*24,4))))</f>
        <v/>
      </c>
      <c r="BJ371" s="35" t="str">
        <f aca="false">IF(OR(BI371="",AR371=""),"",IF(BI371&lt;=INDEX(DELAI_ESC,AR371),1,0))</f>
        <v/>
      </c>
      <c r="BK371" s="38" t="str">
        <f aca="false">IF(AO371&lt;&gt;1,"",IF(AND(T371="",U371=""),"",MIN(T371,U371)))</f>
        <v/>
      </c>
      <c r="BL371" s="37" t="str">
        <f aca="false">IF(OR(BK371="",R371=""),"",IFERROR(ROUND(IF(OR(BK371="",R371=""),"",IF(R371&lt;BK371,"",ROUND(((NETWORKDAYS(BK371,R371,JoursFeries)-1)*(HFer-HOuv)+IF(NETWORKDAYS(R371,R371,JoursFeries),MEDIAN(MOD(R371,1),HFer,HOuv),HFer)-IF(NETWORKDAYS(BK371,BK371,JoursFeries),MEDIAN(MOD(BK371,1),HFer,HOuv),HOuv))*24,4)))/HJour,4),""))</f>
        <v/>
      </c>
      <c r="BM371" s="35" t="str">
        <f aca="false">IF(OR(AO371&lt;&gt;1,R371=""),"",IF(BD371=1,1,0))</f>
        <v/>
      </c>
      <c r="BN371" s="35" t="str">
        <f aca="false">IF(AO371&lt;&gt;1,"",IF(W371="Oui",1,0))</f>
        <v/>
      </c>
      <c r="BO371" s="35" t="str">
        <f aca="false">IF(AO371&lt;&gt;1,"",IF(X371&lt;&gt;"",1,0))</f>
        <v/>
      </c>
      <c r="BP371" s="35" t="str">
        <f aca="false">IF(AO371&lt;&gt;1,"",IF(Y371="Oui",1,0))</f>
        <v/>
      </c>
      <c r="BQ371" s="35" t="str">
        <f aca="true">IF(OR(AO371&lt;&gt;1,Z371&lt;&gt;"Oui"),"",IF(AB371="",IF(AND(AA371&lt;&gt;"",NOW()&gt;AA371),0,""),IF(AA371="","",IF(AB371&lt;=AA371,1,0))))</f>
        <v/>
      </c>
      <c r="BR371" s="38" t="str">
        <f aca="false">IF(OR(AO371&lt;&gt;1,K371&lt;&gt;"Oui",O371=""),"",IF(AC371="",O371+DORA_H_DET/24,IF(AC371-O371&lt;=DORA_H_DET/24,MIN(AC371+DORA_H_CLA/24,O371+DORA_H_DET/24),AC371+DORA_H_CLA/24)))</f>
        <v/>
      </c>
      <c r="BS371" s="35" t="str">
        <f aca="true">IF(BR371="","",IF(AD371="",IF(NOW()&gt;BR371,0,""),IF(AD371&lt;=BR371,1,0)))</f>
        <v/>
      </c>
      <c r="BT371" s="35" t="str">
        <f aca="true">IF(OR(BR371="",AD371=""),"",IF(AE371="",IF(NOW()&gt;AD371+DORA_H_INT/24,0,""),IF(AE371&lt;=AD371+DORA_H_INT/24,1,0)))</f>
        <v/>
      </c>
      <c r="BU371" s="35" t="str">
        <f aca="true">IF(OR(BR371="",AE371=""),"",IF(AF371="",IF(NOW()&gt;EDATE(AE371,DORA_M_FIN)+1,0,""),IF(AF371&lt;=EDATE(AE371,DORA_M_FIN),1,0)))</f>
        <v/>
      </c>
      <c r="BV371" s="35" t="str">
        <f aca="false">IF(BR371="","",IF(COUNT(BS371:BU371)=0,"",MIN(BS371:BU371)))</f>
        <v/>
      </c>
      <c r="BW371" s="40" t="str">
        <f aca="false">IF(AQ371&lt;&gt;1,"",IF(AND(AG371="",AH371=""),"",N(AG371)-N(AH371)))</f>
        <v/>
      </c>
      <c r="BX371" s="35" t="str">
        <f aca="true">IF(OR(AQ371&lt;&gt;1,AI371&lt;&gt;"Oui",AJ371=""),"",IF(AK371="",IF(NOW()&gt;AJ371+1,0,""),IF(AK371&lt;=AJ371,1,0)))</f>
        <v/>
      </c>
    </row>
    <row r="372" customFormat="false" ht="15" hidden="false" customHeight="false" outlineLevel="0" collapsed="false">
      <c r="B372" s="29"/>
      <c r="C372" s="29"/>
      <c r="D372" s="29"/>
      <c r="E372" s="29"/>
      <c r="F372" s="29"/>
      <c r="G372" s="29"/>
      <c r="H372" s="29"/>
      <c r="I372" s="29"/>
      <c r="J372" s="29"/>
      <c r="K372" s="29"/>
      <c r="L372" s="29"/>
      <c r="M372" s="29"/>
      <c r="N372" s="30"/>
      <c r="O372" s="30"/>
      <c r="P372" s="30"/>
      <c r="Q372" s="30"/>
      <c r="R372" s="30"/>
      <c r="S372" s="30"/>
      <c r="T372" s="30"/>
      <c r="U372" s="30"/>
      <c r="V372" s="31"/>
      <c r="W372" s="29"/>
      <c r="X372" s="29"/>
      <c r="Y372" s="29"/>
      <c r="Z372" s="29"/>
      <c r="AA372" s="30"/>
      <c r="AB372" s="30"/>
      <c r="AC372" s="30"/>
      <c r="AD372" s="30"/>
      <c r="AE372" s="30"/>
      <c r="AF372" s="32"/>
      <c r="AG372" s="33"/>
      <c r="AH372" s="33"/>
      <c r="AI372" s="29"/>
      <c r="AJ372" s="32"/>
      <c r="AK372" s="32"/>
      <c r="AL372" s="29"/>
      <c r="AN372" s="34" t="str">
        <f aca="false">IF($B372="","",IF(OR(C372="",D372="",E372="",G372="",I372="",J372="",L372="",O372="",P372=""),"Champ obligatoire manquant",IF(OR(AND(N372&lt;&gt;"",N372&gt;O372),O372&gt;P372,AND(Q372&lt;&gt;"",Q372&lt;P372),AND(R372&lt;&gt;"",R372&lt;P372),AND(S372&lt;&gt;"",S372&lt;R372),AND(S372&lt;&gt;"",R372=""),AND(T372&lt;&gt;"",T372&lt;O372),AND(U372&lt;&gt;"",U372&lt;O372)),"Chronologie incohérente",IF(AND(OR(L372="Résolu",L372="Clos"),R372=""),"Date de résolution manquante",IF(AND(L372="Clos",S372=""),"Date de clôture manquante",IF(AND(K372="Oui",AC372=""),"Classification DORA manquante","OK"))))))</f>
        <v/>
      </c>
      <c r="AO372" s="35" t="str">
        <f aca="false">IF($B372="","",IF(AND(C372="Incident",L372&lt;&gt;"Annulé"),1,0))</f>
        <v/>
      </c>
      <c r="AP372" s="35" t="str">
        <f aca="false">IF($B372="","",IF(AND(C372="Quasi-incident",L372&lt;&gt;"Annulé"),1,0))</f>
        <v/>
      </c>
      <c r="AQ372" s="35" t="str">
        <f aca="false">IF($B372="","",AO372+AP372)</f>
        <v/>
      </c>
      <c r="AR372" s="36" t="str">
        <f aca="false">IF(OR($B372="",J372=""),"",IFERROR(VALUE(LEFT(J372,1)),""))</f>
        <v/>
      </c>
      <c r="AS372" s="35" t="str">
        <f aca="false">IF(OR(AO372&lt;&gt;1,G372=""),"",IFERROR(IF(INDEX(L_SrcInterne,MATCH(G372,L_Sources,0))="Oui",1,0),""))</f>
        <v/>
      </c>
      <c r="AT372" s="37" t="str">
        <f aca="false">IF(AO372&lt;&gt;1,"",IFERROR(ROUND(IF(OR(N372="",O372=""),"",IF(O372&lt;N372,"",ROUND(((NETWORKDAYS(N372,O372,JoursFeries)-1)*(HFer-HOuv)+IF(NETWORKDAYS(O372,O372,JoursFeries),MEDIAN(MOD(O372,1),HFer,HOuv),HFer)-IF(NETWORKDAYS(N372,N372,JoursFeries),MEDIAN(MOD(N372,1),HFer,HOuv),HOuv))*24,4)))/HJour,4),""))</f>
        <v/>
      </c>
      <c r="AU372" s="37" t="str">
        <f aca="false">IF(AO372&lt;&gt;1,"",IF(OR(O372="",P372=""),"",IF(P372&lt;O372,"",ROUND(((NETWORKDAYS(O372,P372,JoursFeries)-1)*(HFer-HOuv)+IF(NETWORKDAYS(P372,P372,JoursFeries),MEDIAN(MOD(P372,1),HFer,HOuv),HFer)-IF(NETWORKDAYS(O372,O372,JoursFeries),MEDIAN(MOD(O372,1),HFer,HOuv),HOuv))*24,4))))</f>
        <v/>
      </c>
      <c r="AV372" s="37" t="str">
        <f aca="false">IF(AO372&lt;&gt;1,"",IF(OR(P372="",Q372=""),"",IF(Q372&lt;P372,"",ROUND(((NETWORKDAYS(P372,Q372,JoursFeries)-1)*(HFer-HOuv)+IF(NETWORKDAYS(Q372,Q372,JoursFeries),MEDIAN(MOD(Q372,1),HFer,HOuv),HFer)-IF(NETWORKDAYS(P372,P372,JoursFeries),MEDIAN(MOD(P372,1),HFer,HOuv),HOuv))*24,4))))</f>
        <v/>
      </c>
      <c r="AW372" s="37" t="str">
        <f aca="false">IF(AO372&lt;&gt;1,"",IFERROR(ROUND(IF(OR(P372="",R372=""),"",IF(R372&lt;P372,"",ROUND(((NETWORKDAYS(P372,R372,JoursFeries)-1)*(HFer-HOuv)+IF(NETWORKDAYS(R372,R372,JoursFeries),MEDIAN(MOD(R372,1),HFer,HOuv),HFer)-IF(NETWORKDAYS(P372,P372,JoursFeries),MEDIAN(MOD(P372,1),HFer,HOuv),HOuv))*24,4)))/HJour,4),""))</f>
        <v/>
      </c>
      <c r="AX372" s="37" t="str">
        <f aca="false">IF(AO372&lt;&gt;1,"",IFERROR(ROUND(IF(OR(P372="",S372=""),"",IF(S372&lt;P372,"",ROUND(((NETWORKDAYS(P372,S372,JoursFeries)-1)*(HFer-HOuv)+IF(NETWORKDAYS(S372,S372,JoursFeries),MEDIAN(MOD(S372,1),HFer,HOuv),HFer)-IF(NETWORKDAYS(P372,P372,JoursFeries),MEDIAN(MOD(P372,1),HFer,HOuv),HOuv))*24,4)))/HJour,4),""))</f>
        <v/>
      </c>
      <c r="AY372" s="36" t="str">
        <f aca="false">IF(OR(AO372&lt;&gt;1,AR372=""),"",INDEX(SLA_PEC,AR372))</f>
        <v/>
      </c>
      <c r="AZ372" s="35" t="str">
        <f aca="false">IF(OR(AV372="",AY372=""),"",IF(AV372&lt;=AY372,1,0))</f>
        <v/>
      </c>
      <c r="BA372" s="36" t="str">
        <f aca="false">IF(OR(AO372&lt;&gt;1,AR372=""),"",INDEX(SLA_RES,AR372))</f>
        <v/>
      </c>
      <c r="BB372" s="35" t="str">
        <f aca="false">IF(OR(AW372="",BA372=""),"",IF(AW372&lt;=BA372,1,0))</f>
        <v/>
      </c>
      <c r="BC372" s="38" t="str">
        <f aca="false">IF(OR(BA372="",P372=""),"",WORKDAY(INT(P372),BA372,JoursFeries)+MOD(P372,1))</f>
        <v/>
      </c>
      <c r="BD372" s="39" t="str">
        <f aca="false">IF(AO372&lt;&gt;1,"",IF(OR(AB372&lt;&gt;"",AD372&lt;&gt;""),4,IF(U372&lt;&gt;"",3,IF(T372&lt;&gt;"",2,1))))</f>
        <v/>
      </c>
      <c r="BE372" s="39" t="str">
        <f aca="false">IF(OR(AO372&lt;&gt;1,AR372=""),"",INDEX(NIV_REQ,AR372))</f>
        <v/>
      </c>
      <c r="BF372" s="39" t="str">
        <f aca="false">IF(BE372="","",MAX(BE372,IF(OR(K372="Oui",Z372="Oui"),4,1)))</f>
        <v/>
      </c>
      <c r="BG372" s="35" t="str">
        <f aca="false">IF(OR(BF372="",BD372=""),"",IF(BD372&gt;=BF372,1,0))</f>
        <v/>
      </c>
      <c r="BH372" s="38" t="str">
        <f aca="false">IF(BE372="","",IF(BE372&lt;2,"",IF(BE372=2,IF(AND(T372="",U372=""),"",MIN(T372,U372)),IF(U372="","",U372))))</f>
        <v/>
      </c>
      <c r="BI372" s="37" t="str">
        <f aca="false">IF(BH372="","",IF(OR(O372="",BH372=""),"",IF(BH372&lt;O372,"",ROUND(((NETWORKDAYS(O372,BH372,JoursFeries)-1)*(HFer-HOuv)+IF(NETWORKDAYS(BH372,BH372,JoursFeries),MEDIAN(MOD(BH372,1),HFer,HOuv),HFer)-IF(NETWORKDAYS(O372,O372,JoursFeries),MEDIAN(MOD(O372,1),HFer,HOuv),HOuv))*24,4))))</f>
        <v/>
      </c>
      <c r="BJ372" s="35" t="str">
        <f aca="false">IF(OR(BI372="",AR372=""),"",IF(BI372&lt;=INDEX(DELAI_ESC,AR372),1,0))</f>
        <v/>
      </c>
      <c r="BK372" s="38" t="str">
        <f aca="false">IF(AO372&lt;&gt;1,"",IF(AND(T372="",U372=""),"",MIN(T372,U372)))</f>
        <v/>
      </c>
      <c r="BL372" s="37" t="str">
        <f aca="false">IF(OR(BK372="",R372=""),"",IFERROR(ROUND(IF(OR(BK372="",R372=""),"",IF(R372&lt;BK372,"",ROUND(((NETWORKDAYS(BK372,R372,JoursFeries)-1)*(HFer-HOuv)+IF(NETWORKDAYS(R372,R372,JoursFeries),MEDIAN(MOD(R372,1),HFer,HOuv),HFer)-IF(NETWORKDAYS(BK372,BK372,JoursFeries),MEDIAN(MOD(BK372,1),HFer,HOuv),HOuv))*24,4)))/HJour,4),""))</f>
        <v/>
      </c>
      <c r="BM372" s="35" t="str">
        <f aca="false">IF(OR(AO372&lt;&gt;1,R372=""),"",IF(BD372=1,1,0))</f>
        <v/>
      </c>
      <c r="BN372" s="35" t="str">
        <f aca="false">IF(AO372&lt;&gt;1,"",IF(W372="Oui",1,0))</f>
        <v/>
      </c>
      <c r="BO372" s="35" t="str">
        <f aca="false">IF(AO372&lt;&gt;1,"",IF(X372&lt;&gt;"",1,0))</f>
        <v/>
      </c>
      <c r="BP372" s="35" t="str">
        <f aca="false">IF(AO372&lt;&gt;1,"",IF(Y372="Oui",1,0))</f>
        <v/>
      </c>
      <c r="BQ372" s="35" t="str">
        <f aca="true">IF(OR(AO372&lt;&gt;1,Z372&lt;&gt;"Oui"),"",IF(AB372="",IF(AND(AA372&lt;&gt;"",NOW()&gt;AA372),0,""),IF(AA372="","",IF(AB372&lt;=AA372,1,0))))</f>
        <v/>
      </c>
      <c r="BR372" s="38" t="str">
        <f aca="false">IF(OR(AO372&lt;&gt;1,K372&lt;&gt;"Oui",O372=""),"",IF(AC372="",O372+DORA_H_DET/24,IF(AC372-O372&lt;=DORA_H_DET/24,MIN(AC372+DORA_H_CLA/24,O372+DORA_H_DET/24),AC372+DORA_H_CLA/24)))</f>
        <v/>
      </c>
      <c r="BS372" s="35" t="str">
        <f aca="true">IF(BR372="","",IF(AD372="",IF(NOW()&gt;BR372,0,""),IF(AD372&lt;=BR372,1,0)))</f>
        <v/>
      </c>
      <c r="BT372" s="35" t="str">
        <f aca="true">IF(OR(BR372="",AD372=""),"",IF(AE372="",IF(NOW()&gt;AD372+DORA_H_INT/24,0,""),IF(AE372&lt;=AD372+DORA_H_INT/24,1,0)))</f>
        <v/>
      </c>
      <c r="BU372" s="35" t="str">
        <f aca="true">IF(OR(BR372="",AE372=""),"",IF(AF372="",IF(NOW()&gt;EDATE(AE372,DORA_M_FIN)+1,0,""),IF(AF372&lt;=EDATE(AE372,DORA_M_FIN),1,0)))</f>
        <v/>
      </c>
      <c r="BV372" s="35" t="str">
        <f aca="false">IF(BR372="","",IF(COUNT(BS372:BU372)=0,"",MIN(BS372:BU372)))</f>
        <v/>
      </c>
      <c r="BW372" s="40" t="str">
        <f aca="false">IF(AQ372&lt;&gt;1,"",IF(AND(AG372="",AH372=""),"",N(AG372)-N(AH372)))</f>
        <v/>
      </c>
      <c r="BX372" s="35" t="str">
        <f aca="true">IF(OR(AQ372&lt;&gt;1,AI372&lt;&gt;"Oui",AJ372=""),"",IF(AK372="",IF(NOW()&gt;AJ372+1,0,""),IF(AK372&lt;=AJ372,1,0)))</f>
        <v/>
      </c>
    </row>
    <row r="373" customFormat="false" ht="15" hidden="false" customHeight="false" outlineLevel="0" collapsed="false">
      <c r="B373" s="29"/>
      <c r="C373" s="29"/>
      <c r="D373" s="29"/>
      <c r="E373" s="29"/>
      <c r="F373" s="29"/>
      <c r="G373" s="29"/>
      <c r="H373" s="29"/>
      <c r="I373" s="29"/>
      <c r="J373" s="29"/>
      <c r="K373" s="29"/>
      <c r="L373" s="29"/>
      <c r="M373" s="29"/>
      <c r="N373" s="30"/>
      <c r="O373" s="30"/>
      <c r="P373" s="30"/>
      <c r="Q373" s="30"/>
      <c r="R373" s="30"/>
      <c r="S373" s="30"/>
      <c r="T373" s="30"/>
      <c r="U373" s="30"/>
      <c r="V373" s="31"/>
      <c r="W373" s="29"/>
      <c r="X373" s="29"/>
      <c r="Y373" s="29"/>
      <c r="Z373" s="29"/>
      <c r="AA373" s="30"/>
      <c r="AB373" s="30"/>
      <c r="AC373" s="30"/>
      <c r="AD373" s="30"/>
      <c r="AE373" s="30"/>
      <c r="AF373" s="32"/>
      <c r="AG373" s="33"/>
      <c r="AH373" s="33"/>
      <c r="AI373" s="29"/>
      <c r="AJ373" s="32"/>
      <c r="AK373" s="32"/>
      <c r="AL373" s="29"/>
      <c r="AN373" s="34" t="str">
        <f aca="false">IF($B373="","",IF(OR(C373="",D373="",E373="",G373="",I373="",J373="",L373="",O373="",P373=""),"Champ obligatoire manquant",IF(OR(AND(N373&lt;&gt;"",N373&gt;O373),O373&gt;P373,AND(Q373&lt;&gt;"",Q373&lt;P373),AND(R373&lt;&gt;"",R373&lt;P373),AND(S373&lt;&gt;"",S373&lt;R373),AND(S373&lt;&gt;"",R373=""),AND(T373&lt;&gt;"",T373&lt;O373),AND(U373&lt;&gt;"",U373&lt;O373)),"Chronologie incohérente",IF(AND(OR(L373="Résolu",L373="Clos"),R373=""),"Date de résolution manquante",IF(AND(L373="Clos",S373=""),"Date de clôture manquante",IF(AND(K373="Oui",AC373=""),"Classification DORA manquante","OK"))))))</f>
        <v/>
      </c>
      <c r="AO373" s="35" t="str">
        <f aca="false">IF($B373="","",IF(AND(C373="Incident",L373&lt;&gt;"Annulé"),1,0))</f>
        <v/>
      </c>
      <c r="AP373" s="35" t="str">
        <f aca="false">IF($B373="","",IF(AND(C373="Quasi-incident",L373&lt;&gt;"Annulé"),1,0))</f>
        <v/>
      </c>
      <c r="AQ373" s="35" t="str">
        <f aca="false">IF($B373="","",AO373+AP373)</f>
        <v/>
      </c>
      <c r="AR373" s="36" t="str">
        <f aca="false">IF(OR($B373="",J373=""),"",IFERROR(VALUE(LEFT(J373,1)),""))</f>
        <v/>
      </c>
      <c r="AS373" s="35" t="str">
        <f aca="false">IF(OR(AO373&lt;&gt;1,G373=""),"",IFERROR(IF(INDEX(L_SrcInterne,MATCH(G373,L_Sources,0))="Oui",1,0),""))</f>
        <v/>
      </c>
      <c r="AT373" s="37" t="str">
        <f aca="false">IF(AO373&lt;&gt;1,"",IFERROR(ROUND(IF(OR(N373="",O373=""),"",IF(O373&lt;N373,"",ROUND(((NETWORKDAYS(N373,O373,JoursFeries)-1)*(HFer-HOuv)+IF(NETWORKDAYS(O373,O373,JoursFeries),MEDIAN(MOD(O373,1),HFer,HOuv),HFer)-IF(NETWORKDAYS(N373,N373,JoursFeries),MEDIAN(MOD(N373,1),HFer,HOuv),HOuv))*24,4)))/HJour,4),""))</f>
        <v/>
      </c>
      <c r="AU373" s="37" t="str">
        <f aca="false">IF(AO373&lt;&gt;1,"",IF(OR(O373="",P373=""),"",IF(P373&lt;O373,"",ROUND(((NETWORKDAYS(O373,P373,JoursFeries)-1)*(HFer-HOuv)+IF(NETWORKDAYS(P373,P373,JoursFeries),MEDIAN(MOD(P373,1),HFer,HOuv),HFer)-IF(NETWORKDAYS(O373,O373,JoursFeries),MEDIAN(MOD(O373,1),HFer,HOuv),HOuv))*24,4))))</f>
        <v/>
      </c>
      <c r="AV373" s="37" t="str">
        <f aca="false">IF(AO373&lt;&gt;1,"",IF(OR(P373="",Q373=""),"",IF(Q373&lt;P373,"",ROUND(((NETWORKDAYS(P373,Q373,JoursFeries)-1)*(HFer-HOuv)+IF(NETWORKDAYS(Q373,Q373,JoursFeries),MEDIAN(MOD(Q373,1),HFer,HOuv),HFer)-IF(NETWORKDAYS(P373,P373,JoursFeries),MEDIAN(MOD(P373,1),HFer,HOuv),HOuv))*24,4))))</f>
        <v/>
      </c>
      <c r="AW373" s="37" t="str">
        <f aca="false">IF(AO373&lt;&gt;1,"",IFERROR(ROUND(IF(OR(P373="",R373=""),"",IF(R373&lt;P373,"",ROUND(((NETWORKDAYS(P373,R373,JoursFeries)-1)*(HFer-HOuv)+IF(NETWORKDAYS(R373,R373,JoursFeries),MEDIAN(MOD(R373,1),HFer,HOuv),HFer)-IF(NETWORKDAYS(P373,P373,JoursFeries),MEDIAN(MOD(P373,1),HFer,HOuv),HOuv))*24,4)))/HJour,4),""))</f>
        <v/>
      </c>
      <c r="AX373" s="37" t="str">
        <f aca="false">IF(AO373&lt;&gt;1,"",IFERROR(ROUND(IF(OR(P373="",S373=""),"",IF(S373&lt;P373,"",ROUND(((NETWORKDAYS(P373,S373,JoursFeries)-1)*(HFer-HOuv)+IF(NETWORKDAYS(S373,S373,JoursFeries),MEDIAN(MOD(S373,1),HFer,HOuv),HFer)-IF(NETWORKDAYS(P373,P373,JoursFeries),MEDIAN(MOD(P373,1),HFer,HOuv),HOuv))*24,4)))/HJour,4),""))</f>
        <v/>
      </c>
      <c r="AY373" s="36" t="str">
        <f aca="false">IF(OR(AO373&lt;&gt;1,AR373=""),"",INDEX(SLA_PEC,AR373))</f>
        <v/>
      </c>
      <c r="AZ373" s="35" t="str">
        <f aca="false">IF(OR(AV373="",AY373=""),"",IF(AV373&lt;=AY373,1,0))</f>
        <v/>
      </c>
      <c r="BA373" s="36" t="str">
        <f aca="false">IF(OR(AO373&lt;&gt;1,AR373=""),"",INDEX(SLA_RES,AR373))</f>
        <v/>
      </c>
      <c r="BB373" s="35" t="str">
        <f aca="false">IF(OR(AW373="",BA373=""),"",IF(AW373&lt;=BA373,1,0))</f>
        <v/>
      </c>
      <c r="BC373" s="38" t="str">
        <f aca="false">IF(OR(BA373="",P373=""),"",WORKDAY(INT(P373),BA373,JoursFeries)+MOD(P373,1))</f>
        <v/>
      </c>
      <c r="BD373" s="39" t="str">
        <f aca="false">IF(AO373&lt;&gt;1,"",IF(OR(AB373&lt;&gt;"",AD373&lt;&gt;""),4,IF(U373&lt;&gt;"",3,IF(T373&lt;&gt;"",2,1))))</f>
        <v/>
      </c>
      <c r="BE373" s="39" t="str">
        <f aca="false">IF(OR(AO373&lt;&gt;1,AR373=""),"",INDEX(NIV_REQ,AR373))</f>
        <v/>
      </c>
      <c r="BF373" s="39" t="str">
        <f aca="false">IF(BE373="","",MAX(BE373,IF(OR(K373="Oui",Z373="Oui"),4,1)))</f>
        <v/>
      </c>
      <c r="BG373" s="35" t="str">
        <f aca="false">IF(OR(BF373="",BD373=""),"",IF(BD373&gt;=BF373,1,0))</f>
        <v/>
      </c>
      <c r="BH373" s="38" t="str">
        <f aca="false">IF(BE373="","",IF(BE373&lt;2,"",IF(BE373=2,IF(AND(T373="",U373=""),"",MIN(T373,U373)),IF(U373="","",U373))))</f>
        <v/>
      </c>
      <c r="BI373" s="37" t="str">
        <f aca="false">IF(BH373="","",IF(OR(O373="",BH373=""),"",IF(BH373&lt;O373,"",ROUND(((NETWORKDAYS(O373,BH373,JoursFeries)-1)*(HFer-HOuv)+IF(NETWORKDAYS(BH373,BH373,JoursFeries),MEDIAN(MOD(BH373,1),HFer,HOuv),HFer)-IF(NETWORKDAYS(O373,O373,JoursFeries),MEDIAN(MOD(O373,1),HFer,HOuv),HOuv))*24,4))))</f>
        <v/>
      </c>
      <c r="BJ373" s="35" t="str">
        <f aca="false">IF(OR(BI373="",AR373=""),"",IF(BI373&lt;=INDEX(DELAI_ESC,AR373),1,0))</f>
        <v/>
      </c>
      <c r="BK373" s="38" t="str">
        <f aca="false">IF(AO373&lt;&gt;1,"",IF(AND(T373="",U373=""),"",MIN(T373,U373)))</f>
        <v/>
      </c>
      <c r="BL373" s="37" t="str">
        <f aca="false">IF(OR(BK373="",R373=""),"",IFERROR(ROUND(IF(OR(BK373="",R373=""),"",IF(R373&lt;BK373,"",ROUND(((NETWORKDAYS(BK373,R373,JoursFeries)-1)*(HFer-HOuv)+IF(NETWORKDAYS(R373,R373,JoursFeries),MEDIAN(MOD(R373,1),HFer,HOuv),HFer)-IF(NETWORKDAYS(BK373,BK373,JoursFeries),MEDIAN(MOD(BK373,1),HFer,HOuv),HOuv))*24,4)))/HJour,4),""))</f>
        <v/>
      </c>
      <c r="BM373" s="35" t="str">
        <f aca="false">IF(OR(AO373&lt;&gt;1,R373=""),"",IF(BD373=1,1,0))</f>
        <v/>
      </c>
      <c r="BN373" s="35" t="str">
        <f aca="false">IF(AO373&lt;&gt;1,"",IF(W373="Oui",1,0))</f>
        <v/>
      </c>
      <c r="BO373" s="35" t="str">
        <f aca="false">IF(AO373&lt;&gt;1,"",IF(X373&lt;&gt;"",1,0))</f>
        <v/>
      </c>
      <c r="BP373" s="35" t="str">
        <f aca="false">IF(AO373&lt;&gt;1,"",IF(Y373="Oui",1,0))</f>
        <v/>
      </c>
      <c r="BQ373" s="35" t="str">
        <f aca="true">IF(OR(AO373&lt;&gt;1,Z373&lt;&gt;"Oui"),"",IF(AB373="",IF(AND(AA373&lt;&gt;"",NOW()&gt;AA373),0,""),IF(AA373="","",IF(AB373&lt;=AA373,1,0))))</f>
        <v/>
      </c>
      <c r="BR373" s="38" t="str">
        <f aca="false">IF(OR(AO373&lt;&gt;1,K373&lt;&gt;"Oui",O373=""),"",IF(AC373="",O373+DORA_H_DET/24,IF(AC373-O373&lt;=DORA_H_DET/24,MIN(AC373+DORA_H_CLA/24,O373+DORA_H_DET/24),AC373+DORA_H_CLA/24)))</f>
        <v/>
      </c>
      <c r="BS373" s="35" t="str">
        <f aca="true">IF(BR373="","",IF(AD373="",IF(NOW()&gt;BR373,0,""),IF(AD373&lt;=BR373,1,0)))</f>
        <v/>
      </c>
      <c r="BT373" s="35" t="str">
        <f aca="true">IF(OR(BR373="",AD373=""),"",IF(AE373="",IF(NOW()&gt;AD373+DORA_H_INT/24,0,""),IF(AE373&lt;=AD373+DORA_H_INT/24,1,0)))</f>
        <v/>
      </c>
      <c r="BU373" s="35" t="str">
        <f aca="true">IF(OR(BR373="",AE373=""),"",IF(AF373="",IF(NOW()&gt;EDATE(AE373,DORA_M_FIN)+1,0,""),IF(AF373&lt;=EDATE(AE373,DORA_M_FIN),1,0)))</f>
        <v/>
      </c>
      <c r="BV373" s="35" t="str">
        <f aca="false">IF(BR373="","",IF(COUNT(BS373:BU373)=0,"",MIN(BS373:BU373)))</f>
        <v/>
      </c>
      <c r="BW373" s="40" t="str">
        <f aca="false">IF(AQ373&lt;&gt;1,"",IF(AND(AG373="",AH373=""),"",N(AG373)-N(AH373)))</f>
        <v/>
      </c>
      <c r="BX373" s="35" t="str">
        <f aca="true">IF(OR(AQ373&lt;&gt;1,AI373&lt;&gt;"Oui",AJ373=""),"",IF(AK373="",IF(NOW()&gt;AJ373+1,0,""),IF(AK373&lt;=AJ373,1,0)))</f>
        <v/>
      </c>
    </row>
    <row r="374" customFormat="false" ht="15" hidden="false" customHeight="false" outlineLevel="0" collapsed="false">
      <c r="B374" s="29"/>
      <c r="C374" s="29"/>
      <c r="D374" s="29"/>
      <c r="E374" s="29"/>
      <c r="F374" s="29"/>
      <c r="G374" s="29"/>
      <c r="H374" s="29"/>
      <c r="I374" s="29"/>
      <c r="J374" s="29"/>
      <c r="K374" s="29"/>
      <c r="L374" s="29"/>
      <c r="M374" s="29"/>
      <c r="N374" s="30"/>
      <c r="O374" s="30"/>
      <c r="P374" s="30"/>
      <c r="Q374" s="30"/>
      <c r="R374" s="30"/>
      <c r="S374" s="30"/>
      <c r="T374" s="30"/>
      <c r="U374" s="30"/>
      <c r="V374" s="31"/>
      <c r="W374" s="29"/>
      <c r="X374" s="29"/>
      <c r="Y374" s="29"/>
      <c r="Z374" s="29"/>
      <c r="AA374" s="30"/>
      <c r="AB374" s="30"/>
      <c r="AC374" s="30"/>
      <c r="AD374" s="30"/>
      <c r="AE374" s="30"/>
      <c r="AF374" s="32"/>
      <c r="AG374" s="33"/>
      <c r="AH374" s="33"/>
      <c r="AI374" s="29"/>
      <c r="AJ374" s="32"/>
      <c r="AK374" s="32"/>
      <c r="AL374" s="29"/>
      <c r="AN374" s="34" t="str">
        <f aca="false">IF($B374="","",IF(OR(C374="",D374="",E374="",G374="",I374="",J374="",L374="",O374="",P374=""),"Champ obligatoire manquant",IF(OR(AND(N374&lt;&gt;"",N374&gt;O374),O374&gt;P374,AND(Q374&lt;&gt;"",Q374&lt;P374),AND(R374&lt;&gt;"",R374&lt;P374),AND(S374&lt;&gt;"",S374&lt;R374),AND(S374&lt;&gt;"",R374=""),AND(T374&lt;&gt;"",T374&lt;O374),AND(U374&lt;&gt;"",U374&lt;O374)),"Chronologie incohérente",IF(AND(OR(L374="Résolu",L374="Clos"),R374=""),"Date de résolution manquante",IF(AND(L374="Clos",S374=""),"Date de clôture manquante",IF(AND(K374="Oui",AC374=""),"Classification DORA manquante","OK"))))))</f>
        <v/>
      </c>
      <c r="AO374" s="35" t="str">
        <f aca="false">IF($B374="","",IF(AND(C374="Incident",L374&lt;&gt;"Annulé"),1,0))</f>
        <v/>
      </c>
      <c r="AP374" s="35" t="str">
        <f aca="false">IF($B374="","",IF(AND(C374="Quasi-incident",L374&lt;&gt;"Annulé"),1,0))</f>
        <v/>
      </c>
      <c r="AQ374" s="35" t="str">
        <f aca="false">IF($B374="","",AO374+AP374)</f>
        <v/>
      </c>
      <c r="AR374" s="36" t="str">
        <f aca="false">IF(OR($B374="",J374=""),"",IFERROR(VALUE(LEFT(J374,1)),""))</f>
        <v/>
      </c>
      <c r="AS374" s="35" t="str">
        <f aca="false">IF(OR(AO374&lt;&gt;1,G374=""),"",IFERROR(IF(INDEX(L_SrcInterne,MATCH(G374,L_Sources,0))="Oui",1,0),""))</f>
        <v/>
      </c>
      <c r="AT374" s="37" t="str">
        <f aca="false">IF(AO374&lt;&gt;1,"",IFERROR(ROUND(IF(OR(N374="",O374=""),"",IF(O374&lt;N374,"",ROUND(((NETWORKDAYS(N374,O374,JoursFeries)-1)*(HFer-HOuv)+IF(NETWORKDAYS(O374,O374,JoursFeries),MEDIAN(MOD(O374,1),HFer,HOuv),HFer)-IF(NETWORKDAYS(N374,N374,JoursFeries),MEDIAN(MOD(N374,1),HFer,HOuv),HOuv))*24,4)))/HJour,4),""))</f>
        <v/>
      </c>
      <c r="AU374" s="37" t="str">
        <f aca="false">IF(AO374&lt;&gt;1,"",IF(OR(O374="",P374=""),"",IF(P374&lt;O374,"",ROUND(((NETWORKDAYS(O374,P374,JoursFeries)-1)*(HFer-HOuv)+IF(NETWORKDAYS(P374,P374,JoursFeries),MEDIAN(MOD(P374,1),HFer,HOuv),HFer)-IF(NETWORKDAYS(O374,O374,JoursFeries),MEDIAN(MOD(O374,1),HFer,HOuv),HOuv))*24,4))))</f>
        <v/>
      </c>
      <c r="AV374" s="37" t="str">
        <f aca="false">IF(AO374&lt;&gt;1,"",IF(OR(P374="",Q374=""),"",IF(Q374&lt;P374,"",ROUND(((NETWORKDAYS(P374,Q374,JoursFeries)-1)*(HFer-HOuv)+IF(NETWORKDAYS(Q374,Q374,JoursFeries),MEDIAN(MOD(Q374,1),HFer,HOuv),HFer)-IF(NETWORKDAYS(P374,P374,JoursFeries),MEDIAN(MOD(P374,1),HFer,HOuv),HOuv))*24,4))))</f>
        <v/>
      </c>
      <c r="AW374" s="37" t="str">
        <f aca="false">IF(AO374&lt;&gt;1,"",IFERROR(ROUND(IF(OR(P374="",R374=""),"",IF(R374&lt;P374,"",ROUND(((NETWORKDAYS(P374,R374,JoursFeries)-1)*(HFer-HOuv)+IF(NETWORKDAYS(R374,R374,JoursFeries),MEDIAN(MOD(R374,1),HFer,HOuv),HFer)-IF(NETWORKDAYS(P374,P374,JoursFeries),MEDIAN(MOD(P374,1),HFer,HOuv),HOuv))*24,4)))/HJour,4),""))</f>
        <v/>
      </c>
      <c r="AX374" s="37" t="str">
        <f aca="false">IF(AO374&lt;&gt;1,"",IFERROR(ROUND(IF(OR(P374="",S374=""),"",IF(S374&lt;P374,"",ROUND(((NETWORKDAYS(P374,S374,JoursFeries)-1)*(HFer-HOuv)+IF(NETWORKDAYS(S374,S374,JoursFeries),MEDIAN(MOD(S374,1),HFer,HOuv),HFer)-IF(NETWORKDAYS(P374,P374,JoursFeries),MEDIAN(MOD(P374,1),HFer,HOuv),HOuv))*24,4)))/HJour,4),""))</f>
        <v/>
      </c>
      <c r="AY374" s="36" t="str">
        <f aca="false">IF(OR(AO374&lt;&gt;1,AR374=""),"",INDEX(SLA_PEC,AR374))</f>
        <v/>
      </c>
      <c r="AZ374" s="35" t="str">
        <f aca="false">IF(OR(AV374="",AY374=""),"",IF(AV374&lt;=AY374,1,0))</f>
        <v/>
      </c>
      <c r="BA374" s="36" t="str">
        <f aca="false">IF(OR(AO374&lt;&gt;1,AR374=""),"",INDEX(SLA_RES,AR374))</f>
        <v/>
      </c>
      <c r="BB374" s="35" t="str">
        <f aca="false">IF(OR(AW374="",BA374=""),"",IF(AW374&lt;=BA374,1,0))</f>
        <v/>
      </c>
      <c r="BC374" s="38" t="str">
        <f aca="false">IF(OR(BA374="",P374=""),"",WORKDAY(INT(P374),BA374,JoursFeries)+MOD(P374,1))</f>
        <v/>
      </c>
      <c r="BD374" s="39" t="str">
        <f aca="false">IF(AO374&lt;&gt;1,"",IF(OR(AB374&lt;&gt;"",AD374&lt;&gt;""),4,IF(U374&lt;&gt;"",3,IF(T374&lt;&gt;"",2,1))))</f>
        <v/>
      </c>
      <c r="BE374" s="39" t="str">
        <f aca="false">IF(OR(AO374&lt;&gt;1,AR374=""),"",INDEX(NIV_REQ,AR374))</f>
        <v/>
      </c>
      <c r="BF374" s="39" t="str">
        <f aca="false">IF(BE374="","",MAX(BE374,IF(OR(K374="Oui",Z374="Oui"),4,1)))</f>
        <v/>
      </c>
      <c r="BG374" s="35" t="str">
        <f aca="false">IF(OR(BF374="",BD374=""),"",IF(BD374&gt;=BF374,1,0))</f>
        <v/>
      </c>
      <c r="BH374" s="38" t="str">
        <f aca="false">IF(BE374="","",IF(BE374&lt;2,"",IF(BE374=2,IF(AND(T374="",U374=""),"",MIN(T374,U374)),IF(U374="","",U374))))</f>
        <v/>
      </c>
      <c r="BI374" s="37" t="str">
        <f aca="false">IF(BH374="","",IF(OR(O374="",BH374=""),"",IF(BH374&lt;O374,"",ROUND(((NETWORKDAYS(O374,BH374,JoursFeries)-1)*(HFer-HOuv)+IF(NETWORKDAYS(BH374,BH374,JoursFeries),MEDIAN(MOD(BH374,1),HFer,HOuv),HFer)-IF(NETWORKDAYS(O374,O374,JoursFeries),MEDIAN(MOD(O374,1),HFer,HOuv),HOuv))*24,4))))</f>
        <v/>
      </c>
      <c r="BJ374" s="35" t="str">
        <f aca="false">IF(OR(BI374="",AR374=""),"",IF(BI374&lt;=INDEX(DELAI_ESC,AR374),1,0))</f>
        <v/>
      </c>
      <c r="BK374" s="38" t="str">
        <f aca="false">IF(AO374&lt;&gt;1,"",IF(AND(T374="",U374=""),"",MIN(T374,U374)))</f>
        <v/>
      </c>
      <c r="BL374" s="37" t="str">
        <f aca="false">IF(OR(BK374="",R374=""),"",IFERROR(ROUND(IF(OR(BK374="",R374=""),"",IF(R374&lt;BK374,"",ROUND(((NETWORKDAYS(BK374,R374,JoursFeries)-1)*(HFer-HOuv)+IF(NETWORKDAYS(R374,R374,JoursFeries),MEDIAN(MOD(R374,1),HFer,HOuv),HFer)-IF(NETWORKDAYS(BK374,BK374,JoursFeries),MEDIAN(MOD(BK374,1),HFer,HOuv),HOuv))*24,4)))/HJour,4),""))</f>
        <v/>
      </c>
      <c r="BM374" s="35" t="str">
        <f aca="false">IF(OR(AO374&lt;&gt;1,R374=""),"",IF(BD374=1,1,0))</f>
        <v/>
      </c>
      <c r="BN374" s="35" t="str">
        <f aca="false">IF(AO374&lt;&gt;1,"",IF(W374="Oui",1,0))</f>
        <v/>
      </c>
      <c r="BO374" s="35" t="str">
        <f aca="false">IF(AO374&lt;&gt;1,"",IF(X374&lt;&gt;"",1,0))</f>
        <v/>
      </c>
      <c r="BP374" s="35" t="str">
        <f aca="false">IF(AO374&lt;&gt;1,"",IF(Y374="Oui",1,0))</f>
        <v/>
      </c>
      <c r="BQ374" s="35" t="str">
        <f aca="true">IF(OR(AO374&lt;&gt;1,Z374&lt;&gt;"Oui"),"",IF(AB374="",IF(AND(AA374&lt;&gt;"",NOW()&gt;AA374),0,""),IF(AA374="","",IF(AB374&lt;=AA374,1,0))))</f>
        <v/>
      </c>
      <c r="BR374" s="38" t="str">
        <f aca="false">IF(OR(AO374&lt;&gt;1,K374&lt;&gt;"Oui",O374=""),"",IF(AC374="",O374+DORA_H_DET/24,IF(AC374-O374&lt;=DORA_H_DET/24,MIN(AC374+DORA_H_CLA/24,O374+DORA_H_DET/24),AC374+DORA_H_CLA/24)))</f>
        <v/>
      </c>
      <c r="BS374" s="35" t="str">
        <f aca="true">IF(BR374="","",IF(AD374="",IF(NOW()&gt;BR374,0,""),IF(AD374&lt;=BR374,1,0)))</f>
        <v/>
      </c>
      <c r="BT374" s="35" t="str">
        <f aca="true">IF(OR(BR374="",AD374=""),"",IF(AE374="",IF(NOW()&gt;AD374+DORA_H_INT/24,0,""),IF(AE374&lt;=AD374+DORA_H_INT/24,1,0)))</f>
        <v/>
      </c>
      <c r="BU374" s="35" t="str">
        <f aca="true">IF(OR(BR374="",AE374=""),"",IF(AF374="",IF(NOW()&gt;EDATE(AE374,DORA_M_FIN)+1,0,""),IF(AF374&lt;=EDATE(AE374,DORA_M_FIN),1,0)))</f>
        <v/>
      </c>
      <c r="BV374" s="35" t="str">
        <f aca="false">IF(BR374="","",IF(COUNT(BS374:BU374)=0,"",MIN(BS374:BU374)))</f>
        <v/>
      </c>
      <c r="BW374" s="40" t="str">
        <f aca="false">IF(AQ374&lt;&gt;1,"",IF(AND(AG374="",AH374=""),"",N(AG374)-N(AH374)))</f>
        <v/>
      </c>
      <c r="BX374" s="35" t="str">
        <f aca="true">IF(OR(AQ374&lt;&gt;1,AI374&lt;&gt;"Oui",AJ374=""),"",IF(AK374="",IF(NOW()&gt;AJ374+1,0,""),IF(AK374&lt;=AJ374,1,0)))</f>
        <v/>
      </c>
    </row>
    <row r="375" customFormat="false" ht="15" hidden="false" customHeight="false" outlineLevel="0" collapsed="false">
      <c r="B375" s="29"/>
      <c r="C375" s="29"/>
      <c r="D375" s="29"/>
      <c r="E375" s="29"/>
      <c r="F375" s="29"/>
      <c r="G375" s="29"/>
      <c r="H375" s="29"/>
      <c r="I375" s="29"/>
      <c r="J375" s="29"/>
      <c r="K375" s="29"/>
      <c r="L375" s="29"/>
      <c r="M375" s="29"/>
      <c r="N375" s="30"/>
      <c r="O375" s="30"/>
      <c r="P375" s="30"/>
      <c r="Q375" s="30"/>
      <c r="R375" s="30"/>
      <c r="S375" s="30"/>
      <c r="T375" s="30"/>
      <c r="U375" s="30"/>
      <c r="V375" s="31"/>
      <c r="W375" s="29"/>
      <c r="X375" s="29"/>
      <c r="Y375" s="29"/>
      <c r="Z375" s="29"/>
      <c r="AA375" s="30"/>
      <c r="AB375" s="30"/>
      <c r="AC375" s="30"/>
      <c r="AD375" s="30"/>
      <c r="AE375" s="30"/>
      <c r="AF375" s="32"/>
      <c r="AG375" s="33"/>
      <c r="AH375" s="33"/>
      <c r="AI375" s="29"/>
      <c r="AJ375" s="32"/>
      <c r="AK375" s="32"/>
      <c r="AL375" s="29"/>
      <c r="AN375" s="34" t="str">
        <f aca="false">IF($B375="","",IF(OR(C375="",D375="",E375="",G375="",I375="",J375="",L375="",O375="",P375=""),"Champ obligatoire manquant",IF(OR(AND(N375&lt;&gt;"",N375&gt;O375),O375&gt;P375,AND(Q375&lt;&gt;"",Q375&lt;P375),AND(R375&lt;&gt;"",R375&lt;P375),AND(S375&lt;&gt;"",S375&lt;R375),AND(S375&lt;&gt;"",R375=""),AND(T375&lt;&gt;"",T375&lt;O375),AND(U375&lt;&gt;"",U375&lt;O375)),"Chronologie incohérente",IF(AND(OR(L375="Résolu",L375="Clos"),R375=""),"Date de résolution manquante",IF(AND(L375="Clos",S375=""),"Date de clôture manquante",IF(AND(K375="Oui",AC375=""),"Classification DORA manquante","OK"))))))</f>
        <v/>
      </c>
      <c r="AO375" s="35" t="str">
        <f aca="false">IF($B375="","",IF(AND(C375="Incident",L375&lt;&gt;"Annulé"),1,0))</f>
        <v/>
      </c>
      <c r="AP375" s="35" t="str">
        <f aca="false">IF($B375="","",IF(AND(C375="Quasi-incident",L375&lt;&gt;"Annulé"),1,0))</f>
        <v/>
      </c>
      <c r="AQ375" s="35" t="str">
        <f aca="false">IF($B375="","",AO375+AP375)</f>
        <v/>
      </c>
      <c r="AR375" s="36" t="str">
        <f aca="false">IF(OR($B375="",J375=""),"",IFERROR(VALUE(LEFT(J375,1)),""))</f>
        <v/>
      </c>
      <c r="AS375" s="35" t="str">
        <f aca="false">IF(OR(AO375&lt;&gt;1,G375=""),"",IFERROR(IF(INDEX(L_SrcInterne,MATCH(G375,L_Sources,0))="Oui",1,0),""))</f>
        <v/>
      </c>
      <c r="AT375" s="37" t="str">
        <f aca="false">IF(AO375&lt;&gt;1,"",IFERROR(ROUND(IF(OR(N375="",O375=""),"",IF(O375&lt;N375,"",ROUND(((NETWORKDAYS(N375,O375,JoursFeries)-1)*(HFer-HOuv)+IF(NETWORKDAYS(O375,O375,JoursFeries),MEDIAN(MOD(O375,1),HFer,HOuv),HFer)-IF(NETWORKDAYS(N375,N375,JoursFeries),MEDIAN(MOD(N375,1),HFer,HOuv),HOuv))*24,4)))/HJour,4),""))</f>
        <v/>
      </c>
      <c r="AU375" s="37" t="str">
        <f aca="false">IF(AO375&lt;&gt;1,"",IF(OR(O375="",P375=""),"",IF(P375&lt;O375,"",ROUND(((NETWORKDAYS(O375,P375,JoursFeries)-1)*(HFer-HOuv)+IF(NETWORKDAYS(P375,P375,JoursFeries),MEDIAN(MOD(P375,1),HFer,HOuv),HFer)-IF(NETWORKDAYS(O375,O375,JoursFeries),MEDIAN(MOD(O375,1),HFer,HOuv),HOuv))*24,4))))</f>
        <v/>
      </c>
      <c r="AV375" s="37" t="str">
        <f aca="false">IF(AO375&lt;&gt;1,"",IF(OR(P375="",Q375=""),"",IF(Q375&lt;P375,"",ROUND(((NETWORKDAYS(P375,Q375,JoursFeries)-1)*(HFer-HOuv)+IF(NETWORKDAYS(Q375,Q375,JoursFeries),MEDIAN(MOD(Q375,1),HFer,HOuv),HFer)-IF(NETWORKDAYS(P375,P375,JoursFeries),MEDIAN(MOD(P375,1),HFer,HOuv),HOuv))*24,4))))</f>
        <v/>
      </c>
      <c r="AW375" s="37" t="str">
        <f aca="false">IF(AO375&lt;&gt;1,"",IFERROR(ROUND(IF(OR(P375="",R375=""),"",IF(R375&lt;P375,"",ROUND(((NETWORKDAYS(P375,R375,JoursFeries)-1)*(HFer-HOuv)+IF(NETWORKDAYS(R375,R375,JoursFeries),MEDIAN(MOD(R375,1),HFer,HOuv),HFer)-IF(NETWORKDAYS(P375,P375,JoursFeries),MEDIAN(MOD(P375,1),HFer,HOuv),HOuv))*24,4)))/HJour,4),""))</f>
        <v/>
      </c>
      <c r="AX375" s="37" t="str">
        <f aca="false">IF(AO375&lt;&gt;1,"",IFERROR(ROUND(IF(OR(P375="",S375=""),"",IF(S375&lt;P375,"",ROUND(((NETWORKDAYS(P375,S375,JoursFeries)-1)*(HFer-HOuv)+IF(NETWORKDAYS(S375,S375,JoursFeries),MEDIAN(MOD(S375,1),HFer,HOuv),HFer)-IF(NETWORKDAYS(P375,P375,JoursFeries),MEDIAN(MOD(P375,1),HFer,HOuv),HOuv))*24,4)))/HJour,4),""))</f>
        <v/>
      </c>
      <c r="AY375" s="36" t="str">
        <f aca="false">IF(OR(AO375&lt;&gt;1,AR375=""),"",INDEX(SLA_PEC,AR375))</f>
        <v/>
      </c>
      <c r="AZ375" s="35" t="str">
        <f aca="false">IF(OR(AV375="",AY375=""),"",IF(AV375&lt;=AY375,1,0))</f>
        <v/>
      </c>
      <c r="BA375" s="36" t="str">
        <f aca="false">IF(OR(AO375&lt;&gt;1,AR375=""),"",INDEX(SLA_RES,AR375))</f>
        <v/>
      </c>
      <c r="BB375" s="35" t="str">
        <f aca="false">IF(OR(AW375="",BA375=""),"",IF(AW375&lt;=BA375,1,0))</f>
        <v/>
      </c>
      <c r="BC375" s="38" t="str">
        <f aca="false">IF(OR(BA375="",P375=""),"",WORKDAY(INT(P375),BA375,JoursFeries)+MOD(P375,1))</f>
        <v/>
      </c>
      <c r="BD375" s="39" t="str">
        <f aca="false">IF(AO375&lt;&gt;1,"",IF(OR(AB375&lt;&gt;"",AD375&lt;&gt;""),4,IF(U375&lt;&gt;"",3,IF(T375&lt;&gt;"",2,1))))</f>
        <v/>
      </c>
      <c r="BE375" s="39" t="str">
        <f aca="false">IF(OR(AO375&lt;&gt;1,AR375=""),"",INDEX(NIV_REQ,AR375))</f>
        <v/>
      </c>
      <c r="BF375" s="39" t="str">
        <f aca="false">IF(BE375="","",MAX(BE375,IF(OR(K375="Oui",Z375="Oui"),4,1)))</f>
        <v/>
      </c>
      <c r="BG375" s="35" t="str">
        <f aca="false">IF(OR(BF375="",BD375=""),"",IF(BD375&gt;=BF375,1,0))</f>
        <v/>
      </c>
      <c r="BH375" s="38" t="str">
        <f aca="false">IF(BE375="","",IF(BE375&lt;2,"",IF(BE375=2,IF(AND(T375="",U375=""),"",MIN(T375,U375)),IF(U375="","",U375))))</f>
        <v/>
      </c>
      <c r="BI375" s="37" t="str">
        <f aca="false">IF(BH375="","",IF(OR(O375="",BH375=""),"",IF(BH375&lt;O375,"",ROUND(((NETWORKDAYS(O375,BH375,JoursFeries)-1)*(HFer-HOuv)+IF(NETWORKDAYS(BH375,BH375,JoursFeries),MEDIAN(MOD(BH375,1),HFer,HOuv),HFer)-IF(NETWORKDAYS(O375,O375,JoursFeries),MEDIAN(MOD(O375,1),HFer,HOuv),HOuv))*24,4))))</f>
        <v/>
      </c>
      <c r="BJ375" s="35" t="str">
        <f aca="false">IF(OR(BI375="",AR375=""),"",IF(BI375&lt;=INDEX(DELAI_ESC,AR375),1,0))</f>
        <v/>
      </c>
      <c r="BK375" s="38" t="str">
        <f aca="false">IF(AO375&lt;&gt;1,"",IF(AND(T375="",U375=""),"",MIN(T375,U375)))</f>
        <v/>
      </c>
      <c r="BL375" s="37" t="str">
        <f aca="false">IF(OR(BK375="",R375=""),"",IFERROR(ROUND(IF(OR(BK375="",R375=""),"",IF(R375&lt;BK375,"",ROUND(((NETWORKDAYS(BK375,R375,JoursFeries)-1)*(HFer-HOuv)+IF(NETWORKDAYS(R375,R375,JoursFeries),MEDIAN(MOD(R375,1),HFer,HOuv),HFer)-IF(NETWORKDAYS(BK375,BK375,JoursFeries),MEDIAN(MOD(BK375,1),HFer,HOuv),HOuv))*24,4)))/HJour,4),""))</f>
        <v/>
      </c>
      <c r="BM375" s="35" t="str">
        <f aca="false">IF(OR(AO375&lt;&gt;1,R375=""),"",IF(BD375=1,1,0))</f>
        <v/>
      </c>
      <c r="BN375" s="35" t="str">
        <f aca="false">IF(AO375&lt;&gt;1,"",IF(W375="Oui",1,0))</f>
        <v/>
      </c>
      <c r="BO375" s="35" t="str">
        <f aca="false">IF(AO375&lt;&gt;1,"",IF(X375&lt;&gt;"",1,0))</f>
        <v/>
      </c>
      <c r="BP375" s="35" t="str">
        <f aca="false">IF(AO375&lt;&gt;1,"",IF(Y375="Oui",1,0))</f>
        <v/>
      </c>
      <c r="BQ375" s="35" t="str">
        <f aca="true">IF(OR(AO375&lt;&gt;1,Z375&lt;&gt;"Oui"),"",IF(AB375="",IF(AND(AA375&lt;&gt;"",NOW()&gt;AA375),0,""),IF(AA375="","",IF(AB375&lt;=AA375,1,0))))</f>
        <v/>
      </c>
      <c r="BR375" s="38" t="str">
        <f aca="false">IF(OR(AO375&lt;&gt;1,K375&lt;&gt;"Oui",O375=""),"",IF(AC375="",O375+DORA_H_DET/24,IF(AC375-O375&lt;=DORA_H_DET/24,MIN(AC375+DORA_H_CLA/24,O375+DORA_H_DET/24),AC375+DORA_H_CLA/24)))</f>
        <v/>
      </c>
      <c r="BS375" s="35" t="str">
        <f aca="true">IF(BR375="","",IF(AD375="",IF(NOW()&gt;BR375,0,""),IF(AD375&lt;=BR375,1,0)))</f>
        <v/>
      </c>
      <c r="BT375" s="35" t="str">
        <f aca="true">IF(OR(BR375="",AD375=""),"",IF(AE375="",IF(NOW()&gt;AD375+DORA_H_INT/24,0,""),IF(AE375&lt;=AD375+DORA_H_INT/24,1,0)))</f>
        <v/>
      </c>
      <c r="BU375" s="35" t="str">
        <f aca="true">IF(OR(BR375="",AE375=""),"",IF(AF375="",IF(NOW()&gt;EDATE(AE375,DORA_M_FIN)+1,0,""),IF(AF375&lt;=EDATE(AE375,DORA_M_FIN),1,0)))</f>
        <v/>
      </c>
      <c r="BV375" s="35" t="str">
        <f aca="false">IF(BR375="","",IF(COUNT(BS375:BU375)=0,"",MIN(BS375:BU375)))</f>
        <v/>
      </c>
      <c r="BW375" s="40" t="str">
        <f aca="false">IF(AQ375&lt;&gt;1,"",IF(AND(AG375="",AH375=""),"",N(AG375)-N(AH375)))</f>
        <v/>
      </c>
      <c r="BX375" s="35" t="str">
        <f aca="true">IF(OR(AQ375&lt;&gt;1,AI375&lt;&gt;"Oui",AJ375=""),"",IF(AK375="",IF(NOW()&gt;AJ375+1,0,""),IF(AK375&lt;=AJ375,1,0)))</f>
        <v/>
      </c>
    </row>
    <row r="376" customFormat="false" ht="15" hidden="false" customHeight="false" outlineLevel="0" collapsed="false">
      <c r="B376" s="29"/>
      <c r="C376" s="29"/>
      <c r="D376" s="29"/>
      <c r="E376" s="29"/>
      <c r="F376" s="29"/>
      <c r="G376" s="29"/>
      <c r="H376" s="29"/>
      <c r="I376" s="29"/>
      <c r="J376" s="29"/>
      <c r="K376" s="29"/>
      <c r="L376" s="29"/>
      <c r="M376" s="29"/>
      <c r="N376" s="30"/>
      <c r="O376" s="30"/>
      <c r="P376" s="30"/>
      <c r="Q376" s="30"/>
      <c r="R376" s="30"/>
      <c r="S376" s="30"/>
      <c r="T376" s="30"/>
      <c r="U376" s="30"/>
      <c r="V376" s="31"/>
      <c r="W376" s="29"/>
      <c r="X376" s="29"/>
      <c r="Y376" s="29"/>
      <c r="Z376" s="29"/>
      <c r="AA376" s="30"/>
      <c r="AB376" s="30"/>
      <c r="AC376" s="30"/>
      <c r="AD376" s="30"/>
      <c r="AE376" s="30"/>
      <c r="AF376" s="32"/>
      <c r="AG376" s="33"/>
      <c r="AH376" s="33"/>
      <c r="AI376" s="29"/>
      <c r="AJ376" s="32"/>
      <c r="AK376" s="32"/>
      <c r="AL376" s="29"/>
      <c r="AN376" s="34" t="str">
        <f aca="false">IF($B376="","",IF(OR(C376="",D376="",E376="",G376="",I376="",J376="",L376="",O376="",P376=""),"Champ obligatoire manquant",IF(OR(AND(N376&lt;&gt;"",N376&gt;O376),O376&gt;P376,AND(Q376&lt;&gt;"",Q376&lt;P376),AND(R376&lt;&gt;"",R376&lt;P376),AND(S376&lt;&gt;"",S376&lt;R376),AND(S376&lt;&gt;"",R376=""),AND(T376&lt;&gt;"",T376&lt;O376),AND(U376&lt;&gt;"",U376&lt;O376)),"Chronologie incohérente",IF(AND(OR(L376="Résolu",L376="Clos"),R376=""),"Date de résolution manquante",IF(AND(L376="Clos",S376=""),"Date de clôture manquante",IF(AND(K376="Oui",AC376=""),"Classification DORA manquante","OK"))))))</f>
        <v/>
      </c>
      <c r="AO376" s="35" t="str">
        <f aca="false">IF($B376="","",IF(AND(C376="Incident",L376&lt;&gt;"Annulé"),1,0))</f>
        <v/>
      </c>
      <c r="AP376" s="35" t="str">
        <f aca="false">IF($B376="","",IF(AND(C376="Quasi-incident",L376&lt;&gt;"Annulé"),1,0))</f>
        <v/>
      </c>
      <c r="AQ376" s="35" t="str">
        <f aca="false">IF($B376="","",AO376+AP376)</f>
        <v/>
      </c>
      <c r="AR376" s="36" t="str">
        <f aca="false">IF(OR($B376="",J376=""),"",IFERROR(VALUE(LEFT(J376,1)),""))</f>
        <v/>
      </c>
      <c r="AS376" s="35" t="str">
        <f aca="false">IF(OR(AO376&lt;&gt;1,G376=""),"",IFERROR(IF(INDEX(L_SrcInterne,MATCH(G376,L_Sources,0))="Oui",1,0),""))</f>
        <v/>
      </c>
      <c r="AT376" s="37" t="str">
        <f aca="false">IF(AO376&lt;&gt;1,"",IFERROR(ROUND(IF(OR(N376="",O376=""),"",IF(O376&lt;N376,"",ROUND(((NETWORKDAYS(N376,O376,JoursFeries)-1)*(HFer-HOuv)+IF(NETWORKDAYS(O376,O376,JoursFeries),MEDIAN(MOD(O376,1),HFer,HOuv),HFer)-IF(NETWORKDAYS(N376,N376,JoursFeries),MEDIAN(MOD(N376,1),HFer,HOuv),HOuv))*24,4)))/HJour,4),""))</f>
        <v/>
      </c>
      <c r="AU376" s="37" t="str">
        <f aca="false">IF(AO376&lt;&gt;1,"",IF(OR(O376="",P376=""),"",IF(P376&lt;O376,"",ROUND(((NETWORKDAYS(O376,P376,JoursFeries)-1)*(HFer-HOuv)+IF(NETWORKDAYS(P376,P376,JoursFeries),MEDIAN(MOD(P376,1),HFer,HOuv),HFer)-IF(NETWORKDAYS(O376,O376,JoursFeries),MEDIAN(MOD(O376,1),HFer,HOuv),HOuv))*24,4))))</f>
        <v/>
      </c>
      <c r="AV376" s="37" t="str">
        <f aca="false">IF(AO376&lt;&gt;1,"",IF(OR(P376="",Q376=""),"",IF(Q376&lt;P376,"",ROUND(((NETWORKDAYS(P376,Q376,JoursFeries)-1)*(HFer-HOuv)+IF(NETWORKDAYS(Q376,Q376,JoursFeries),MEDIAN(MOD(Q376,1),HFer,HOuv),HFer)-IF(NETWORKDAYS(P376,P376,JoursFeries),MEDIAN(MOD(P376,1),HFer,HOuv),HOuv))*24,4))))</f>
        <v/>
      </c>
      <c r="AW376" s="37" t="str">
        <f aca="false">IF(AO376&lt;&gt;1,"",IFERROR(ROUND(IF(OR(P376="",R376=""),"",IF(R376&lt;P376,"",ROUND(((NETWORKDAYS(P376,R376,JoursFeries)-1)*(HFer-HOuv)+IF(NETWORKDAYS(R376,R376,JoursFeries),MEDIAN(MOD(R376,1),HFer,HOuv),HFer)-IF(NETWORKDAYS(P376,P376,JoursFeries),MEDIAN(MOD(P376,1),HFer,HOuv),HOuv))*24,4)))/HJour,4),""))</f>
        <v/>
      </c>
      <c r="AX376" s="37" t="str">
        <f aca="false">IF(AO376&lt;&gt;1,"",IFERROR(ROUND(IF(OR(P376="",S376=""),"",IF(S376&lt;P376,"",ROUND(((NETWORKDAYS(P376,S376,JoursFeries)-1)*(HFer-HOuv)+IF(NETWORKDAYS(S376,S376,JoursFeries),MEDIAN(MOD(S376,1),HFer,HOuv),HFer)-IF(NETWORKDAYS(P376,P376,JoursFeries),MEDIAN(MOD(P376,1),HFer,HOuv),HOuv))*24,4)))/HJour,4),""))</f>
        <v/>
      </c>
      <c r="AY376" s="36" t="str">
        <f aca="false">IF(OR(AO376&lt;&gt;1,AR376=""),"",INDEX(SLA_PEC,AR376))</f>
        <v/>
      </c>
      <c r="AZ376" s="35" t="str">
        <f aca="false">IF(OR(AV376="",AY376=""),"",IF(AV376&lt;=AY376,1,0))</f>
        <v/>
      </c>
      <c r="BA376" s="36" t="str">
        <f aca="false">IF(OR(AO376&lt;&gt;1,AR376=""),"",INDEX(SLA_RES,AR376))</f>
        <v/>
      </c>
      <c r="BB376" s="35" t="str">
        <f aca="false">IF(OR(AW376="",BA376=""),"",IF(AW376&lt;=BA376,1,0))</f>
        <v/>
      </c>
      <c r="BC376" s="38" t="str">
        <f aca="false">IF(OR(BA376="",P376=""),"",WORKDAY(INT(P376),BA376,JoursFeries)+MOD(P376,1))</f>
        <v/>
      </c>
      <c r="BD376" s="39" t="str">
        <f aca="false">IF(AO376&lt;&gt;1,"",IF(OR(AB376&lt;&gt;"",AD376&lt;&gt;""),4,IF(U376&lt;&gt;"",3,IF(T376&lt;&gt;"",2,1))))</f>
        <v/>
      </c>
      <c r="BE376" s="39" t="str">
        <f aca="false">IF(OR(AO376&lt;&gt;1,AR376=""),"",INDEX(NIV_REQ,AR376))</f>
        <v/>
      </c>
      <c r="BF376" s="39" t="str">
        <f aca="false">IF(BE376="","",MAX(BE376,IF(OR(K376="Oui",Z376="Oui"),4,1)))</f>
        <v/>
      </c>
      <c r="BG376" s="35" t="str">
        <f aca="false">IF(OR(BF376="",BD376=""),"",IF(BD376&gt;=BF376,1,0))</f>
        <v/>
      </c>
      <c r="BH376" s="38" t="str">
        <f aca="false">IF(BE376="","",IF(BE376&lt;2,"",IF(BE376=2,IF(AND(T376="",U376=""),"",MIN(T376,U376)),IF(U376="","",U376))))</f>
        <v/>
      </c>
      <c r="BI376" s="37" t="str">
        <f aca="false">IF(BH376="","",IF(OR(O376="",BH376=""),"",IF(BH376&lt;O376,"",ROUND(((NETWORKDAYS(O376,BH376,JoursFeries)-1)*(HFer-HOuv)+IF(NETWORKDAYS(BH376,BH376,JoursFeries),MEDIAN(MOD(BH376,1),HFer,HOuv),HFer)-IF(NETWORKDAYS(O376,O376,JoursFeries),MEDIAN(MOD(O376,1),HFer,HOuv),HOuv))*24,4))))</f>
        <v/>
      </c>
      <c r="BJ376" s="35" t="str">
        <f aca="false">IF(OR(BI376="",AR376=""),"",IF(BI376&lt;=INDEX(DELAI_ESC,AR376),1,0))</f>
        <v/>
      </c>
      <c r="BK376" s="38" t="str">
        <f aca="false">IF(AO376&lt;&gt;1,"",IF(AND(T376="",U376=""),"",MIN(T376,U376)))</f>
        <v/>
      </c>
      <c r="BL376" s="37" t="str">
        <f aca="false">IF(OR(BK376="",R376=""),"",IFERROR(ROUND(IF(OR(BK376="",R376=""),"",IF(R376&lt;BK376,"",ROUND(((NETWORKDAYS(BK376,R376,JoursFeries)-1)*(HFer-HOuv)+IF(NETWORKDAYS(R376,R376,JoursFeries),MEDIAN(MOD(R376,1),HFer,HOuv),HFer)-IF(NETWORKDAYS(BK376,BK376,JoursFeries),MEDIAN(MOD(BK376,1),HFer,HOuv),HOuv))*24,4)))/HJour,4),""))</f>
        <v/>
      </c>
      <c r="BM376" s="35" t="str">
        <f aca="false">IF(OR(AO376&lt;&gt;1,R376=""),"",IF(BD376=1,1,0))</f>
        <v/>
      </c>
      <c r="BN376" s="35" t="str">
        <f aca="false">IF(AO376&lt;&gt;1,"",IF(W376="Oui",1,0))</f>
        <v/>
      </c>
      <c r="BO376" s="35" t="str">
        <f aca="false">IF(AO376&lt;&gt;1,"",IF(X376&lt;&gt;"",1,0))</f>
        <v/>
      </c>
      <c r="BP376" s="35" t="str">
        <f aca="false">IF(AO376&lt;&gt;1,"",IF(Y376="Oui",1,0))</f>
        <v/>
      </c>
      <c r="BQ376" s="35" t="str">
        <f aca="true">IF(OR(AO376&lt;&gt;1,Z376&lt;&gt;"Oui"),"",IF(AB376="",IF(AND(AA376&lt;&gt;"",NOW()&gt;AA376),0,""),IF(AA376="","",IF(AB376&lt;=AA376,1,0))))</f>
        <v/>
      </c>
      <c r="BR376" s="38" t="str">
        <f aca="false">IF(OR(AO376&lt;&gt;1,K376&lt;&gt;"Oui",O376=""),"",IF(AC376="",O376+DORA_H_DET/24,IF(AC376-O376&lt;=DORA_H_DET/24,MIN(AC376+DORA_H_CLA/24,O376+DORA_H_DET/24),AC376+DORA_H_CLA/24)))</f>
        <v/>
      </c>
      <c r="BS376" s="35" t="str">
        <f aca="true">IF(BR376="","",IF(AD376="",IF(NOW()&gt;BR376,0,""),IF(AD376&lt;=BR376,1,0)))</f>
        <v/>
      </c>
      <c r="BT376" s="35" t="str">
        <f aca="true">IF(OR(BR376="",AD376=""),"",IF(AE376="",IF(NOW()&gt;AD376+DORA_H_INT/24,0,""),IF(AE376&lt;=AD376+DORA_H_INT/24,1,0)))</f>
        <v/>
      </c>
      <c r="BU376" s="35" t="str">
        <f aca="true">IF(OR(BR376="",AE376=""),"",IF(AF376="",IF(NOW()&gt;EDATE(AE376,DORA_M_FIN)+1,0,""),IF(AF376&lt;=EDATE(AE376,DORA_M_FIN),1,0)))</f>
        <v/>
      </c>
      <c r="BV376" s="35" t="str">
        <f aca="false">IF(BR376="","",IF(COUNT(BS376:BU376)=0,"",MIN(BS376:BU376)))</f>
        <v/>
      </c>
      <c r="BW376" s="40" t="str">
        <f aca="false">IF(AQ376&lt;&gt;1,"",IF(AND(AG376="",AH376=""),"",N(AG376)-N(AH376)))</f>
        <v/>
      </c>
      <c r="BX376" s="35" t="str">
        <f aca="true">IF(OR(AQ376&lt;&gt;1,AI376&lt;&gt;"Oui",AJ376=""),"",IF(AK376="",IF(NOW()&gt;AJ376+1,0,""),IF(AK376&lt;=AJ376,1,0)))</f>
        <v/>
      </c>
    </row>
    <row r="377" customFormat="false" ht="15" hidden="false" customHeight="false" outlineLevel="0" collapsed="false">
      <c r="B377" s="29"/>
      <c r="C377" s="29"/>
      <c r="D377" s="29"/>
      <c r="E377" s="29"/>
      <c r="F377" s="29"/>
      <c r="G377" s="29"/>
      <c r="H377" s="29"/>
      <c r="I377" s="29"/>
      <c r="J377" s="29"/>
      <c r="K377" s="29"/>
      <c r="L377" s="29"/>
      <c r="M377" s="29"/>
      <c r="N377" s="30"/>
      <c r="O377" s="30"/>
      <c r="P377" s="30"/>
      <c r="Q377" s="30"/>
      <c r="R377" s="30"/>
      <c r="S377" s="30"/>
      <c r="T377" s="30"/>
      <c r="U377" s="30"/>
      <c r="V377" s="31"/>
      <c r="W377" s="29"/>
      <c r="X377" s="29"/>
      <c r="Y377" s="29"/>
      <c r="Z377" s="29"/>
      <c r="AA377" s="30"/>
      <c r="AB377" s="30"/>
      <c r="AC377" s="30"/>
      <c r="AD377" s="30"/>
      <c r="AE377" s="30"/>
      <c r="AF377" s="32"/>
      <c r="AG377" s="33"/>
      <c r="AH377" s="33"/>
      <c r="AI377" s="29"/>
      <c r="AJ377" s="32"/>
      <c r="AK377" s="32"/>
      <c r="AL377" s="29"/>
      <c r="AN377" s="34" t="str">
        <f aca="false">IF($B377="","",IF(OR(C377="",D377="",E377="",G377="",I377="",J377="",L377="",O377="",P377=""),"Champ obligatoire manquant",IF(OR(AND(N377&lt;&gt;"",N377&gt;O377),O377&gt;P377,AND(Q377&lt;&gt;"",Q377&lt;P377),AND(R377&lt;&gt;"",R377&lt;P377),AND(S377&lt;&gt;"",S377&lt;R377),AND(S377&lt;&gt;"",R377=""),AND(T377&lt;&gt;"",T377&lt;O377),AND(U377&lt;&gt;"",U377&lt;O377)),"Chronologie incohérente",IF(AND(OR(L377="Résolu",L377="Clos"),R377=""),"Date de résolution manquante",IF(AND(L377="Clos",S377=""),"Date de clôture manquante",IF(AND(K377="Oui",AC377=""),"Classification DORA manquante","OK"))))))</f>
        <v/>
      </c>
      <c r="AO377" s="35" t="str">
        <f aca="false">IF($B377="","",IF(AND(C377="Incident",L377&lt;&gt;"Annulé"),1,0))</f>
        <v/>
      </c>
      <c r="AP377" s="35" t="str">
        <f aca="false">IF($B377="","",IF(AND(C377="Quasi-incident",L377&lt;&gt;"Annulé"),1,0))</f>
        <v/>
      </c>
      <c r="AQ377" s="35" t="str">
        <f aca="false">IF($B377="","",AO377+AP377)</f>
        <v/>
      </c>
      <c r="AR377" s="36" t="str">
        <f aca="false">IF(OR($B377="",J377=""),"",IFERROR(VALUE(LEFT(J377,1)),""))</f>
        <v/>
      </c>
      <c r="AS377" s="35" t="str">
        <f aca="false">IF(OR(AO377&lt;&gt;1,G377=""),"",IFERROR(IF(INDEX(L_SrcInterne,MATCH(G377,L_Sources,0))="Oui",1,0),""))</f>
        <v/>
      </c>
      <c r="AT377" s="37" t="str">
        <f aca="false">IF(AO377&lt;&gt;1,"",IFERROR(ROUND(IF(OR(N377="",O377=""),"",IF(O377&lt;N377,"",ROUND(((NETWORKDAYS(N377,O377,JoursFeries)-1)*(HFer-HOuv)+IF(NETWORKDAYS(O377,O377,JoursFeries),MEDIAN(MOD(O377,1),HFer,HOuv),HFer)-IF(NETWORKDAYS(N377,N377,JoursFeries),MEDIAN(MOD(N377,1),HFer,HOuv),HOuv))*24,4)))/HJour,4),""))</f>
        <v/>
      </c>
      <c r="AU377" s="37" t="str">
        <f aca="false">IF(AO377&lt;&gt;1,"",IF(OR(O377="",P377=""),"",IF(P377&lt;O377,"",ROUND(((NETWORKDAYS(O377,P377,JoursFeries)-1)*(HFer-HOuv)+IF(NETWORKDAYS(P377,P377,JoursFeries),MEDIAN(MOD(P377,1),HFer,HOuv),HFer)-IF(NETWORKDAYS(O377,O377,JoursFeries),MEDIAN(MOD(O377,1),HFer,HOuv),HOuv))*24,4))))</f>
        <v/>
      </c>
      <c r="AV377" s="37" t="str">
        <f aca="false">IF(AO377&lt;&gt;1,"",IF(OR(P377="",Q377=""),"",IF(Q377&lt;P377,"",ROUND(((NETWORKDAYS(P377,Q377,JoursFeries)-1)*(HFer-HOuv)+IF(NETWORKDAYS(Q377,Q377,JoursFeries),MEDIAN(MOD(Q377,1),HFer,HOuv),HFer)-IF(NETWORKDAYS(P377,P377,JoursFeries),MEDIAN(MOD(P377,1),HFer,HOuv),HOuv))*24,4))))</f>
        <v/>
      </c>
      <c r="AW377" s="37" t="str">
        <f aca="false">IF(AO377&lt;&gt;1,"",IFERROR(ROUND(IF(OR(P377="",R377=""),"",IF(R377&lt;P377,"",ROUND(((NETWORKDAYS(P377,R377,JoursFeries)-1)*(HFer-HOuv)+IF(NETWORKDAYS(R377,R377,JoursFeries),MEDIAN(MOD(R377,1),HFer,HOuv),HFer)-IF(NETWORKDAYS(P377,P377,JoursFeries),MEDIAN(MOD(P377,1),HFer,HOuv),HOuv))*24,4)))/HJour,4),""))</f>
        <v/>
      </c>
      <c r="AX377" s="37" t="str">
        <f aca="false">IF(AO377&lt;&gt;1,"",IFERROR(ROUND(IF(OR(P377="",S377=""),"",IF(S377&lt;P377,"",ROUND(((NETWORKDAYS(P377,S377,JoursFeries)-1)*(HFer-HOuv)+IF(NETWORKDAYS(S377,S377,JoursFeries),MEDIAN(MOD(S377,1),HFer,HOuv),HFer)-IF(NETWORKDAYS(P377,P377,JoursFeries),MEDIAN(MOD(P377,1),HFer,HOuv),HOuv))*24,4)))/HJour,4),""))</f>
        <v/>
      </c>
      <c r="AY377" s="36" t="str">
        <f aca="false">IF(OR(AO377&lt;&gt;1,AR377=""),"",INDEX(SLA_PEC,AR377))</f>
        <v/>
      </c>
      <c r="AZ377" s="35" t="str">
        <f aca="false">IF(OR(AV377="",AY377=""),"",IF(AV377&lt;=AY377,1,0))</f>
        <v/>
      </c>
      <c r="BA377" s="36" t="str">
        <f aca="false">IF(OR(AO377&lt;&gt;1,AR377=""),"",INDEX(SLA_RES,AR377))</f>
        <v/>
      </c>
      <c r="BB377" s="35" t="str">
        <f aca="false">IF(OR(AW377="",BA377=""),"",IF(AW377&lt;=BA377,1,0))</f>
        <v/>
      </c>
      <c r="BC377" s="38" t="str">
        <f aca="false">IF(OR(BA377="",P377=""),"",WORKDAY(INT(P377),BA377,JoursFeries)+MOD(P377,1))</f>
        <v/>
      </c>
      <c r="BD377" s="39" t="str">
        <f aca="false">IF(AO377&lt;&gt;1,"",IF(OR(AB377&lt;&gt;"",AD377&lt;&gt;""),4,IF(U377&lt;&gt;"",3,IF(T377&lt;&gt;"",2,1))))</f>
        <v/>
      </c>
      <c r="BE377" s="39" t="str">
        <f aca="false">IF(OR(AO377&lt;&gt;1,AR377=""),"",INDEX(NIV_REQ,AR377))</f>
        <v/>
      </c>
      <c r="BF377" s="39" t="str">
        <f aca="false">IF(BE377="","",MAX(BE377,IF(OR(K377="Oui",Z377="Oui"),4,1)))</f>
        <v/>
      </c>
      <c r="BG377" s="35" t="str">
        <f aca="false">IF(OR(BF377="",BD377=""),"",IF(BD377&gt;=BF377,1,0))</f>
        <v/>
      </c>
      <c r="BH377" s="38" t="str">
        <f aca="false">IF(BE377="","",IF(BE377&lt;2,"",IF(BE377=2,IF(AND(T377="",U377=""),"",MIN(T377,U377)),IF(U377="","",U377))))</f>
        <v/>
      </c>
      <c r="BI377" s="37" t="str">
        <f aca="false">IF(BH377="","",IF(OR(O377="",BH377=""),"",IF(BH377&lt;O377,"",ROUND(((NETWORKDAYS(O377,BH377,JoursFeries)-1)*(HFer-HOuv)+IF(NETWORKDAYS(BH377,BH377,JoursFeries),MEDIAN(MOD(BH377,1),HFer,HOuv),HFer)-IF(NETWORKDAYS(O377,O377,JoursFeries),MEDIAN(MOD(O377,1),HFer,HOuv),HOuv))*24,4))))</f>
        <v/>
      </c>
      <c r="BJ377" s="35" t="str">
        <f aca="false">IF(OR(BI377="",AR377=""),"",IF(BI377&lt;=INDEX(DELAI_ESC,AR377),1,0))</f>
        <v/>
      </c>
      <c r="BK377" s="38" t="str">
        <f aca="false">IF(AO377&lt;&gt;1,"",IF(AND(T377="",U377=""),"",MIN(T377,U377)))</f>
        <v/>
      </c>
      <c r="BL377" s="37" t="str">
        <f aca="false">IF(OR(BK377="",R377=""),"",IFERROR(ROUND(IF(OR(BK377="",R377=""),"",IF(R377&lt;BK377,"",ROUND(((NETWORKDAYS(BK377,R377,JoursFeries)-1)*(HFer-HOuv)+IF(NETWORKDAYS(R377,R377,JoursFeries),MEDIAN(MOD(R377,1),HFer,HOuv),HFer)-IF(NETWORKDAYS(BK377,BK377,JoursFeries),MEDIAN(MOD(BK377,1),HFer,HOuv),HOuv))*24,4)))/HJour,4),""))</f>
        <v/>
      </c>
      <c r="BM377" s="35" t="str">
        <f aca="false">IF(OR(AO377&lt;&gt;1,R377=""),"",IF(BD377=1,1,0))</f>
        <v/>
      </c>
      <c r="BN377" s="35" t="str">
        <f aca="false">IF(AO377&lt;&gt;1,"",IF(W377="Oui",1,0))</f>
        <v/>
      </c>
      <c r="BO377" s="35" t="str">
        <f aca="false">IF(AO377&lt;&gt;1,"",IF(X377&lt;&gt;"",1,0))</f>
        <v/>
      </c>
      <c r="BP377" s="35" t="str">
        <f aca="false">IF(AO377&lt;&gt;1,"",IF(Y377="Oui",1,0))</f>
        <v/>
      </c>
      <c r="BQ377" s="35" t="str">
        <f aca="true">IF(OR(AO377&lt;&gt;1,Z377&lt;&gt;"Oui"),"",IF(AB377="",IF(AND(AA377&lt;&gt;"",NOW()&gt;AA377),0,""),IF(AA377="","",IF(AB377&lt;=AA377,1,0))))</f>
        <v/>
      </c>
      <c r="BR377" s="38" t="str">
        <f aca="false">IF(OR(AO377&lt;&gt;1,K377&lt;&gt;"Oui",O377=""),"",IF(AC377="",O377+DORA_H_DET/24,IF(AC377-O377&lt;=DORA_H_DET/24,MIN(AC377+DORA_H_CLA/24,O377+DORA_H_DET/24),AC377+DORA_H_CLA/24)))</f>
        <v/>
      </c>
      <c r="BS377" s="35" t="str">
        <f aca="true">IF(BR377="","",IF(AD377="",IF(NOW()&gt;BR377,0,""),IF(AD377&lt;=BR377,1,0)))</f>
        <v/>
      </c>
      <c r="BT377" s="35" t="str">
        <f aca="true">IF(OR(BR377="",AD377=""),"",IF(AE377="",IF(NOW()&gt;AD377+DORA_H_INT/24,0,""),IF(AE377&lt;=AD377+DORA_H_INT/24,1,0)))</f>
        <v/>
      </c>
      <c r="BU377" s="35" t="str">
        <f aca="true">IF(OR(BR377="",AE377=""),"",IF(AF377="",IF(NOW()&gt;EDATE(AE377,DORA_M_FIN)+1,0,""),IF(AF377&lt;=EDATE(AE377,DORA_M_FIN),1,0)))</f>
        <v/>
      </c>
      <c r="BV377" s="35" t="str">
        <f aca="false">IF(BR377="","",IF(COUNT(BS377:BU377)=0,"",MIN(BS377:BU377)))</f>
        <v/>
      </c>
      <c r="BW377" s="40" t="str">
        <f aca="false">IF(AQ377&lt;&gt;1,"",IF(AND(AG377="",AH377=""),"",N(AG377)-N(AH377)))</f>
        <v/>
      </c>
      <c r="BX377" s="35" t="str">
        <f aca="true">IF(OR(AQ377&lt;&gt;1,AI377&lt;&gt;"Oui",AJ377=""),"",IF(AK377="",IF(NOW()&gt;AJ377+1,0,""),IF(AK377&lt;=AJ377,1,0)))</f>
        <v/>
      </c>
    </row>
    <row r="378" customFormat="false" ht="15" hidden="false" customHeight="false" outlineLevel="0" collapsed="false">
      <c r="B378" s="29"/>
      <c r="C378" s="29"/>
      <c r="D378" s="29"/>
      <c r="E378" s="29"/>
      <c r="F378" s="29"/>
      <c r="G378" s="29"/>
      <c r="H378" s="29"/>
      <c r="I378" s="29"/>
      <c r="J378" s="29"/>
      <c r="K378" s="29"/>
      <c r="L378" s="29"/>
      <c r="M378" s="29"/>
      <c r="N378" s="30"/>
      <c r="O378" s="30"/>
      <c r="P378" s="30"/>
      <c r="Q378" s="30"/>
      <c r="R378" s="30"/>
      <c r="S378" s="30"/>
      <c r="T378" s="30"/>
      <c r="U378" s="30"/>
      <c r="V378" s="31"/>
      <c r="W378" s="29"/>
      <c r="X378" s="29"/>
      <c r="Y378" s="29"/>
      <c r="Z378" s="29"/>
      <c r="AA378" s="30"/>
      <c r="AB378" s="30"/>
      <c r="AC378" s="30"/>
      <c r="AD378" s="30"/>
      <c r="AE378" s="30"/>
      <c r="AF378" s="32"/>
      <c r="AG378" s="33"/>
      <c r="AH378" s="33"/>
      <c r="AI378" s="29"/>
      <c r="AJ378" s="32"/>
      <c r="AK378" s="32"/>
      <c r="AL378" s="29"/>
      <c r="AN378" s="34" t="str">
        <f aca="false">IF($B378="","",IF(OR(C378="",D378="",E378="",G378="",I378="",J378="",L378="",O378="",P378=""),"Champ obligatoire manquant",IF(OR(AND(N378&lt;&gt;"",N378&gt;O378),O378&gt;P378,AND(Q378&lt;&gt;"",Q378&lt;P378),AND(R378&lt;&gt;"",R378&lt;P378),AND(S378&lt;&gt;"",S378&lt;R378),AND(S378&lt;&gt;"",R378=""),AND(T378&lt;&gt;"",T378&lt;O378),AND(U378&lt;&gt;"",U378&lt;O378)),"Chronologie incohérente",IF(AND(OR(L378="Résolu",L378="Clos"),R378=""),"Date de résolution manquante",IF(AND(L378="Clos",S378=""),"Date de clôture manquante",IF(AND(K378="Oui",AC378=""),"Classification DORA manquante","OK"))))))</f>
        <v/>
      </c>
      <c r="AO378" s="35" t="str">
        <f aca="false">IF($B378="","",IF(AND(C378="Incident",L378&lt;&gt;"Annulé"),1,0))</f>
        <v/>
      </c>
      <c r="AP378" s="35" t="str">
        <f aca="false">IF($B378="","",IF(AND(C378="Quasi-incident",L378&lt;&gt;"Annulé"),1,0))</f>
        <v/>
      </c>
      <c r="AQ378" s="35" t="str">
        <f aca="false">IF($B378="","",AO378+AP378)</f>
        <v/>
      </c>
      <c r="AR378" s="36" t="str">
        <f aca="false">IF(OR($B378="",J378=""),"",IFERROR(VALUE(LEFT(J378,1)),""))</f>
        <v/>
      </c>
      <c r="AS378" s="35" t="str">
        <f aca="false">IF(OR(AO378&lt;&gt;1,G378=""),"",IFERROR(IF(INDEX(L_SrcInterne,MATCH(G378,L_Sources,0))="Oui",1,0),""))</f>
        <v/>
      </c>
      <c r="AT378" s="37" t="str">
        <f aca="false">IF(AO378&lt;&gt;1,"",IFERROR(ROUND(IF(OR(N378="",O378=""),"",IF(O378&lt;N378,"",ROUND(((NETWORKDAYS(N378,O378,JoursFeries)-1)*(HFer-HOuv)+IF(NETWORKDAYS(O378,O378,JoursFeries),MEDIAN(MOD(O378,1),HFer,HOuv),HFer)-IF(NETWORKDAYS(N378,N378,JoursFeries),MEDIAN(MOD(N378,1),HFer,HOuv),HOuv))*24,4)))/HJour,4),""))</f>
        <v/>
      </c>
      <c r="AU378" s="37" t="str">
        <f aca="false">IF(AO378&lt;&gt;1,"",IF(OR(O378="",P378=""),"",IF(P378&lt;O378,"",ROUND(((NETWORKDAYS(O378,P378,JoursFeries)-1)*(HFer-HOuv)+IF(NETWORKDAYS(P378,P378,JoursFeries),MEDIAN(MOD(P378,1),HFer,HOuv),HFer)-IF(NETWORKDAYS(O378,O378,JoursFeries),MEDIAN(MOD(O378,1),HFer,HOuv),HOuv))*24,4))))</f>
        <v/>
      </c>
      <c r="AV378" s="37" t="str">
        <f aca="false">IF(AO378&lt;&gt;1,"",IF(OR(P378="",Q378=""),"",IF(Q378&lt;P378,"",ROUND(((NETWORKDAYS(P378,Q378,JoursFeries)-1)*(HFer-HOuv)+IF(NETWORKDAYS(Q378,Q378,JoursFeries),MEDIAN(MOD(Q378,1),HFer,HOuv),HFer)-IF(NETWORKDAYS(P378,P378,JoursFeries),MEDIAN(MOD(P378,1),HFer,HOuv),HOuv))*24,4))))</f>
        <v/>
      </c>
      <c r="AW378" s="37" t="str">
        <f aca="false">IF(AO378&lt;&gt;1,"",IFERROR(ROUND(IF(OR(P378="",R378=""),"",IF(R378&lt;P378,"",ROUND(((NETWORKDAYS(P378,R378,JoursFeries)-1)*(HFer-HOuv)+IF(NETWORKDAYS(R378,R378,JoursFeries),MEDIAN(MOD(R378,1),HFer,HOuv),HFer)-IF(NETWORKDAYS(P378,P378,JoursFeries),MEDIAN(MOD(P378,1),HFer,HOuv),HOuv))*24,4)))/HJour,4),""))</f>
        <v/>
      </c>
      <c r="AX378" s="37" t="str">
        <f aca="false">IF(AO378&lt;&gt;1,"",IFERROR(ROUND(IF(OR(P378="",S378=""),"",IF(S378&lt;P378,"",ROUND(((NETWORKDAYS(P378,S378,JoursFeries)-1)*(HFer-HOuv)+IF(NETWORKDAYS(S378,S378,JoursFeries),MEDIAN(MOD(S378,1),HFer,HOuv),HFer)-IF(NETWORKDAYS(P378,P378,JoursFeries),MEDIAN(MOD(P378,1),HFer,HOuv),HOuv))*24,4)))/HJour,4),""))</f>
        <v/>
      </c>
      <c r="AY378" s="36" t="str">
        <f aca="false">IF(OR(AO378&lt;&gt;1,AR378=""),"",INDEX(SLA_PEC,AR378))</f>
        <v/>
      </c>
      <c r="AZ378" s="35" t="str">
        <f aca="false">IF(OR(AV378="",AY378=""),"",IF(AV378&lt;=AY378,1,0))</f>
        <v/>
      </c>
      <c r="BA378" s="36" t="str">
        <f aca="false">IF(OR(AO378&lt;&gt;1,AR378=""),"",INDEX(SLA_RES,AR378))</f>
        <v/>
      </c>
      <c r="BB378" s="35" t="str">
        <f aca="false">IF(OR(AW378="",BA378=""),"",IF(AW378&lt;=BA378,1,0))</f>
        <v/>
      </c>
      <c r="BC378" s="38" t="str">
        <f aca="false">IF(OR(BA378="",P378=""),"",WORKDAY(INT(P378),BA378,JoursFeries)+MOD(P378,1))</f>
        <v/>
      </c>
      <c r="BD378" s="39" t="str">
        <f aca="false">IF(AO378&lt;&gt;1,"",IF(OR(AB378&lt;&gt;"",AD378&lt;&gt;""),4,IF(U378&lt;&gt;"",3,IF(T378&lt;&gt;"",2,1))))</f>
        <v/>
      </c>
      <c r="BE378" s="39" t="str">
        <f aca="false">IF(OR(AO378&lt;&gt;1,AR378=""),"",INDEX(NIV_REQ,AR378))</f>
        <v/>
      </c>
      <c r="BF378" s="39" t="str">
        <f aca="false">IF(BE378="","",MAX(BE378,IF(OR(K378="Oui",Z378="Oui"),4,1)))</f>
        <v/>
      </c>
      <c r="BG378" s="35" t="str">
        <f aca="false">IF(OR(BF378="",BD378=""),"",IF(BD378&gt;=BF378,1,0))</f>
        <v/>
      </c>
      <c r="BH378" s="38" t="str">
        <f aca="false">IF(BE378="","",IF(BE378&lt;2,"",IF(BE378=2,IF(AND(T378="",U378=""),"",MIN(T378,U378)),IF(U378="","",U378))))</f>
        <v/>
      </c>
      <c r="BI378" s="37" t="str">
        <f aca="false">IF(BH378="","",IF(OR(O378="",BH378=""),"",IF(BH378&lt;O378,"",ROUND(((NETWORKDAYS(O378,BH378,JoursFeries)-1)*(HFer-HOuv)+IF(NETWORKDAYS(BH378,BH378,JoursFeries),MEDIAN(MOD(BH378,1),HFer,HOuv),HFer)-IF(NETWORKDAYS(O378,O378,JoursFeries),MEDIAN(MOD(O378,1),HFer,HOuv),HOuv))*24,4))))</f>
        <v/>
      </c>
      <c r="BJ378" s="35" t="str">
        <f aca="false">IF(OR(BI378="",AR378=""),"",IF(BI378&lt;=INDEX(DELAI_ESC,AR378),1,0))</f>
        <v/>
      </c>
      <c r="BK378" s="38" t="str">
        <f aca="false">IF(AO378&lt;&gt;1,"",IF(AND(T378="",U378=""),"",MIN(T378,U378)))</f>
        <v/>
      </c>
      <c r="BL378" s="37" t="str">
        <f aca="false">IF(OR(BK378="",R378=""),"",IFERROR(ROUND(IF(OR(BK378="",R378=""),"",IF(R378&lt;BK378,"",ROUND(((NETWORKDAYS(BK378,R378,JoursFeries)-1)*(HFer-HOuv)+IF(NETWORKDAYS(R378,R378,JoursFeries),MEDIAN(MOD(R378,1),HFer,HOuv),HFer)-IF(NETWORKDAYS(BK378,BK378,JoursFeries),MEDIAN(MOD(BK378,1),HFer,HOuv),HOuv))*24,4)))/HJour,4),""))</f>
        <v/>
      </c>
      <c r="BM378" s="35" t="str">
        <f aca="false">IF(OR(AO378&lt;&gt;1,R378=""),"",IF(BD378=1,1,0))</f>
        <v/>
      </c>
      <c r="BN378" s="35" t="str">
        <f aca="false">IF(AO378&lt;&gt;1,"",IF(W378="Oui",1,0))</f>
        <v/>
      </c>
      <c r="BO378" s="35" t="str">
        <f aca="false">IF(AO378&lt;&gt;1,"",IF(X378&lt;&gt;"",1,0))</f>
        <v/>
      </c>
      <c r="BP378" s="35" t="str">
        <f aca="false">IF(AO378&lt;&gt;1,"",IF(Y378="Oui",1,0))</f>
        <v/>
      </c>
      <c r="BQ378" s="35" t="str">
        <f aca="true">IF(OR(AO378&lt;&gt;1,Z378&lt;&gt;"Oui"),"",IF(AB378="",IF(AND(AA378&lt;&gt;"",NOW()&gt;AA378),0,""),IF(AA378="","",IF(AB378&lt;=AA378,1,0))))</f>
        <v/>
      </c>
      <c r="BR378" s="38" t="str">
        <f aca="false">IF(OR(AO378&lt;&gt;1,K378&lt;&gt;"Oui",O378=""),"",IF(AC378="",O378+DORA_H_DET/24,IF(AC378-O378&lt;=DORA_H_DET/24,MIN(AC378+DORA_H_CLA/24,O378+DORA_H_DET/24),AC378+DORA_H_CLA/24)))</f>
        <v/>
      </c>
      <c r="BS378" s="35" t="str">
        <f aca="true">IF(BR378="","",IF(AD378="",IF(NOW()&gt;BR378,0,""),IF(AD378&lt;=BR378,1,0)))</f>
        <v/>
      </c>
      <c r="BT378" s="35" t="str">
        <f aca="true">IF(OR(BR378="",AD378=""),"",IF(AE378="",IF(NOW()&gt;AD378+DORA_H_INT/24,0,""),IF(AE378&lt;=AD378+DORA_H_INT/24,1,0)))</f>
        <v/>
      </c>
      <c r="BU378" s="35" t="str">
        <f aca="true">IF(OR(BR378="",AE378=""),"",IF(AF378="",IF(NOW()&gt;EDATE(AE378,DORA_M_FIN)+1,0,""),IF(AF378&lt;=EDATE(AE378,DORA_M_FIN),1,0)))</f>
        <v/>
      </c>
      <c r="BV378" s="35" t="str">
        <f aca="false">IF(BR378="","",IF(COUNT(BS378:BU378)=0,"",MIN(BS378:BU378)))</f>
        <v/>
      </c>
      <c r="BW378" s="40" t="str">
        <f aca="false">IF(AQ378&lt;&gt;1,"",IF(AND(AG378="",AH378=""),"",N(AG378)-N(AH378)))</f>
        <v/>
      </c>
      <c r="BX378" s="35" t="str">
        <f aca="true">IF(OR(AQ378&lt;&gt;1,AI378&lt;&gt;"Oui",AJ378=""),"",IF(AK378="",IF(NOW()&gt;AJ378+1,0,""),IF(AK378&lt;=AJ378,1,0)))</f>
        <v/>
      </c>
    </row>
    <row r="379" customFormat="false" ht="15" hidden="false" customHeight="false" outlineLevel="0" collapsed="false">
      <c r="B379" s="29"/>
      <c r="C379" s="29"/>
      <c r="D379" s="29"/>
      <c r="E379" s="29"/>
      <c r="F379" s="29"/>
      <c r="G379" s="29"/>
      <c r="H379" s="29"/>
      <c r="I379" s="29"/>
      <c r="J379" s="29"/>
      <c r="K379" s="29"/>
      <c r="L379" s="29"/>
      <c r="M379" s="29"/>
      <c r="N379" s="30"/>
      <c r="O379" s="30"/>
      <c r="P379" s="30"/>
      <c r="Q379" s="30"/>
      <c r="R379" s="30"/>
      <c r="S379" s="30"/>
      <c r="T379" s="30"/>
      <c r="U379" s="30"/>
      <c r="V379" s="31"/>
      <c r="W379" s="29"/>
      <c r="X379" s="29"/>
      <c r="Y379" s="29"/>
      <c r="Z379" s="29"/>
      <c r="AA379" s="30"/>
      <c r="AB379" s="30"/>
      <c r="AC379" s="30"/>
      <c r="AD379" s="30"/>
      <c r="AE379" s="30"/>
      <c r="AF379" s="32"/>
      <c r="AG379" s="33"/>
      <c r="AH379" s="33"/>
      <c r="AI379" s="29"/>
      <c r="AJ379" s="32"/>
      <c r="AK379" s="32"/>
      <c r="AL379" s="29"/>
      <c r="AN379" s="34" t="str">
        <f aca="false">IF($B379="","",IF(OR(C379="",D379="",E379="",G379="",I379="",J379="",L379="",O379="",P379=""),"Champ obligatoire manquant",IF(OR(AND(N379&lt;&gt;"",N379&gt;O379),O379&gt;P379,AND(Q379&lt;&gt;"",Q379&lt;P379),AND(R379&lt;&gt;"",R379&lt;P379),AND(S379&lt;&gt;"",S379&lt;R379),AND(S379&lt;&gt;"",R379=""),AND(T379&lt;&gt;"",T379&lt;O379),AND(U379&lt;&gt;"",U379&lt;O379)),"Chronologie incohérente",IF(AND(OR(L379="Résolu",L379="Clos"),R379=""),"Date de résolution manquante",IF(AND(L379="Clos",S379=""),"Date de clôture manquante",IF(AND(K379="Oui",AC379=""),"Classification DORA manquante","OK"))))))</f>
        <v/>
      </c>
      <c r="AO379" s="35" t="str">
        <f aca="false">IF($B379="","",IF(AND(C379="Incident",L379&lt;&gt;"Annulé"),1,0))</f>
        <v/>
      </c>
      <c r="AP379" s="35" t="str">
        <f aca="false">IF($B379="","",IF(AND(C379="Quasi-incident",L379&lt;&gt;"Annulé"),1,0))</f>
        <v/>
      </c>
      <c r="AQ379" s="35" t="str">
        <f aca="false">IF($B379="","",AO379+AP379)</f>
        <v/>
      </c>
      <c r="AR379" s="36" t="str">
        <f aca="false">IF(OR($B379="",J379=""),"",IFERROR(VALUE(LEFT(J379,1)),""))</f>
        <v/>
      </c>
      <c r="AS379" s="35" t="str">
        <f aca="false">IF(OR(AO379&lt;&gt;1,G379=""),"",IFERROR(IF(INDEX(L_SrcInterne,MATCH(G379,L_Sources,0))="Oui",1,0),""))</f>
        <v/>
      </c>
      <c r="AT379" s="37" t="str">
        <f aca="false">IF(AO379&lt;&gt;1,"",IFERROR(ROUND(IF(OR(N379="",O379=""),"",IF(O379&lt;N379,"",ROUND(((NETWORKDAYS(N379,O379,JoursFeries)-1)*(HFer-HOuv)+IF(NETWORKDAYS(O379,O379,JoursFeries),MEDIAN(MOD(O379,1),HFer,HOuv),HFer)-IF(NETWORKDAYS(N379,N379,JoursFeries),MEDIAN(MOD(N379,1),HFer,HOuv),HOuv))*24,4)))/HJour,4),""))</f>
        <v/>
      </c>
      <c r="AU379" s="37" t="str">
        <f aca="false">IF(AO379&lt;&gt;1,"",IF(OR(O379="",P379=""),"",IF(P379&lt;O379,"",ROUND(((NETWORKDAYS(O379,P379,JoursFeries)-1)*(HFer-HOuv)+IF(NETWORKDAYS(P379,P379,JoursFeries),MEDIAN(MOD(P379,1),HFer,HOuv),HFer)-IF(NETWORKDAYS(O379,O379,JoursFeries),MEDIAN(MOD(O379,1),HFer,HOuv),HOuv))*24,4))))</f>
        <v/>
      </c>
      <c r="AV379" s="37" t="str">
        <f aca="false">IF(AO379&lt;&gt;1,"",IF(OR(P379="",Q379=""),"",IF(Q379&lt;P379,"",ROUND(((NETWORKDAYS(P379,Q379,JoursFeries)-1)*(HFer-HOuv)+IF(NETWORKDAYS(Q379,Q379,JoursFeries),MEDIAN(MOD(Q379,1),HFer,HOuv),HFer)-IF(NETWORKDAYS(P379,P379,JoursFeries),MEDIAN(MOD(P379,1),HFer,HOuv),HOuv))*24,4))))</f>
        <v/>
      </c>
      <c r="AW379" s="37" t="str">
        <f aca="false">IF(AO379&lt;&gt;1,"",IFERROR(ROUND(IF(OR(P379="",R379=""),"",IF(R379&lt;P379,"",ROUND(((NETWORKDAYS(P379,R379,JoursFeries)-1)*(HFer-HOuv)+IF(NETWORKDAYS(R379,R379,JoursFeries),MEDIAN(MOD(R379,1),HFer,HOuv),HFer)-IF(NETWORKDAYS(P379,P379,JoursFeries),MEDIAN(MOD(P379,1),HFer,HOuv),HOuv))*24,4)))/HJour,4),""))</f>
        <v/>
      </c>
      <c r="AX379" s="37" t="str">
        <f aca="false">IF(AO379&lt;&gt;1,"",IFERROR(ROUND(IF(OR(P379="",S379=""),"",IF(S379&lt;P379,"",ROUND(((NETWORKDAYS(P379,S379,JoursFeries)-1)*(HFer-HOuv)+IF(NETWORKDAYS(S379,S379,JoursFeries),MEDIAN(MOD(S379,1),HFer,HOuv),HFer)-IF(NETWORKDAYS(P379,P379,JoursFeries),MEDIAN(MOD(P379,1),HFer,HOuv),HOuv))*24,4)))/HJour,4),""))</f>
        <v/>
      </c>
      <c r="AY379" s="36" t="str">
        <f aca="false">IF(OR(AO379&lt;&gt;1,AR379=""),"",INDEX(SLA_PEC,AR379))</f>
        <v/>
      </c>
      <c r="AZ379" s="35" t="str">
        <f aca="false">IF(OR(AV379="",AY379=""),"",IF(AV379&lt;=AY379,1,0))</f>
        <v/>
      </c>
      <c r="BA379" s="36" t="str">
        <f aca="false">IF(OR(AO379&lt;&gt;1,AR379=""),"",INDEX(SLA_RES,AR379))</f>
        <v/>
      </c>
      <c r="BB379" s="35" t="str">
        <f aca="false">IF(OR(AW379="",BA379=""),"",IF(AW379&lt;=BA379,1,0))</f>
        <v/>
      </c>
      <c r="BC379" s="38" t="str">
        <f aca="false">IF(OR(BA379="",P379=""),"",WORKDAY(INT(P379),BA379,JoursFeries)+MOD(P379,1))</f>
        <v/>
      </c>
      <c r="BD379" s="39" t="str">
        <f aca="false">IF(AO379&lt;&gt;1,"",IF(OR(AB379&lt;&gt;"",AD379&lt;&gt;""),4,IF(U379&lt;&gt;"",3,IF(T379&lt;&gt;"",2,1))))</f>
        <v/>
      </c>
      <c r="BE379" s="39" t="str">
        <f aca="false">IF(OR(AO379&lt;&gt;1,AR379=""),"",INDEX(NIV_REQ,AR379))</f>
        <v/>
      </c>
      <c r="BF379" s="39" t="str">
        <f aca="false">IF(BE379="","",MAX(BE379,IF(OR(K379="Oui",Z379="Oui"),4,1)))</f>
        <v/>
      </c>
      <c r="BG379" s="35" t="str">
        <f aca="false">IF(OR(BF379="",BD379=""),"",IF(BD379&gt;=BF379,1,0))</f>
        <v/>
      </c>
      <c r="BH379" s="38" t="str">
        <f aca="false">IF(BE379="","",IF(BE379&lt;2,"",IF(BE379=2,IF(AND(T379="",U379=""),"",MIN(T379,U379)),IF(U379="","",U379))))</f>
        <v/>
      </c>
      <c r="BI379" s="37" t="str">
        <f aca="false">IF(BH379="","",IF(OR(O379="",BH379=""),"",IF(BH379&lt;O379,"",ROUND(((NETWORKDAYS(O379,BH379,JoursFeries)-1)*(HFer-HOuv)+IF(NETWORKDAYS(BH379,BH379,JoursFeries),MEDIAN(MOD(BH379,1),HFer,HOuv),HFer)-IF(NETWORKDAYS(O379,O379,JoursFeries),MEDIAN(MOD(O379,1),HFer,HOuv),HOuv))*24,4))))</f>
        <v/>
      </c>
      <c r="BJ379" s="35" t="str">
        <f aca="false">IF(OR(BI379="",AR379=""),"",IF(BI379&lt;=INDEX(DELAI_ESC,AR379),1,0))</f>
        <v/>
      </c>
      <c r="BK379" s="38" t="str">
        <f aca="false">IF(AO379&lt;&gt;1,"",IF(AND(T379="",U379=""),"",MIN(T379,U379)))</f>
        <v/>
      </c>
      <c r="BL379" s="37" t="str">
        <f aca="false">IF(OR(BK379="",R379=""),"",IFERROR(ROUND(IF(OR(BK379="",R379=""),"",IF(R379&lt;BK379,"",ROUND(((NETWORKDAYS(BK379,R379,JoursFeries)-1)*(HFer-HOuv)+IF(NETWORKDAYS(R379,R379,JoursFeries),MEDIAN(MOD(R379,1),HFer,HOuv),HFer)-IF(NETWORKDAYS(BK379,BK379,JoursFeries),MEDIAN(MOD(BK379,1),HFer,HOuv),HOuv))*24,4)))/HJour,4),""))</f>
        <v/>
      </c>
      <c r="BM379" s="35" t="str">
        <f aca="false">IF(OR(AO379&lt;&gt;1,R379=""),"",IF(BD379=1,1,0))</f>
        <v/>
      </c>
      <c r="BN379" s="35" t="str">
        <f aca="false">IF(AO379&lt;&gt;1,"",IF(W379="Oui",1,0))</f>
        <v/>
      </c>
      <c r="BO379" s="35" t="str">
        <f aca="false">IF(AO379&lt;&gt;1,"",IF(X379&lt;&gt;"",1,0))</f>
        <v/>
      </c>
      <c r="BP379" s="35" t="str">
        <f aca="false">IF(AO379&lt;&gt;1,"",IF(Y379="Oui",1,0))</f>
        <v/>
      </c>
      <c r="BQ379" s="35" t="str">
        <f aca="true">IF(OR(AO379&lt;&gt;1,Z379&lt;&gt;"Oui"),"",IF(AB379="",IF(AND(AA379&lt;&gt;"",NOW()&gt;AA379),0,""),IF(AA379="","",IF(AB379&lt;=AA379,1,0))))</f>
        <v/>
      </c>
      <c r="BR379" s="38" t="str">
        <f aca="false">IF(OR(AO379&lt;&gt;1,K379&lt;&gt;"Oui",O379=""),"",IF(AC379="",O379+DORA_H_DET/24,IF(AC379-O379&lt;=DORA_H_DET/24,MIN(AC379+DORA_H_CLA/24,O379+DORA_H_DET/24),AC379+DORA_H_CLA/24)))</f>
        <v/>
      </c>
      <c r="BS379" s="35" t="str">
        <f aca="true">IF(BR379="","",IF(AD379="",IF(NOW()&gt;BR379,0,""),IF(AD379&lt;=BR379,1,0)))</f>
        <v/>
      </c>
      <c r="BT379" s="35" t="str">
        <f aca="true">IF(OR(BR379="",AD379=""),"",IF(AE379="",IF(NOW()&gt;AD379+DORA_H_INT/24,0,""),IF(AE379&lt;=AD379+DORA_H_INT/24,1,0)))</f>
        <v/>
      </c>
      <c r="BU379" s="35" t="str">
        <f aca="true">IF(OR(BR379="",AE379=""),"",IF(AF379="",IF(NOW()&gt;EDATE(AE379,DORA_M_FIN)+1,0,""),IF(AF379&lt;=EDATE(AE379,DORA_M_FIN),1,0)))</f>
        <v/>
      </c>
      <c r="BV379" s="35" t="str">
        <f aca="false">IF(BR379="","",IF(COUNT(BS379:BU379)=0,"",MIN(BS379:BU379)))</f>
        <v/>
      </c>
      <c r="BW379" s="40" t="str">
        <f aca="false">IF(AQ379&lt;&gt;1,"",IF(AND(AG379="",AH379=""),"",N(AG379)-N(AH379)))</f>
        <v/>
      </c>
      <c r="BX379" s="35" t="str">
        <f aca="true">IF(OR(AQ379&lt;&gt;1,AI379&lt;&gt;"Oui",AJ379=""),"",IF(AK379="",IF(NOW()&gt;AJ379+1,0,""),IF(AK379&lt;=AJ379,1,0)))</f>
        <v/>
      </c>
    </row>
    <row r="380" customFormat="false" ht="15" hidden="false" customHeight="false" outlineLevel="0" collapsed="false">
      <c r="B380" s="29"/>
      <c r="C380" s="29"/>
      <c r="D380" s="29"/>
      <c r="E380" s="29"/>
      <c r="F380" s="29"/>
      <c r="G380" s="29"/>
      <c r="H380" s="29"/>
      <c r="I380" s="29"/>
      <c r="J380" s="29"/>
      <c r="K380" s="29"/>
      <c r="L380" s="29"/>
      <c r="M380" s="29"/>
      <c r="N380" s="30"/>
      <c r="O380" s="30"/>
      <c r="P380" s="30"/>
      <c r="Q380" s="30"/>
      <c r="R380" s="30"/>
      <c r="S380" s="30"/>
      <c r="T380" s="30"/>
      <c r="U380" s="30"/>
      <c r="V380" s="31"/>
      <c r="W380" s="29"/>
      <c r="X380" s="29"/>
      <c r="Y380" s="29"/>
      <c r="Z380" s="29"/>
      <c r="AA380" s="30"/>
      <c r="AB380" s="30"/>
      <c r="AC380" s="30"/>
      <c r="AD380" s="30"/>
      <c r="AE380" s="30"/>
      <c r="AF380" s="32"/>
      <c r="AG380" s="33"/>
      <c r="AH380" s="33"/>
      <c r="AI380" s="29"/>
      <c r="AJ380" s="32"/>
      <c r="AK380" s="32"/>
      <c r="AL380" s="29"/>
      <c r="AN380" s="34" t="str">
        <f aca="false">IF($B380="","",IF(OR(C380="",D380="",E380="",G380="",I380="",J380="",L380="",O380="",P380=""),"Champ obligatoire manquant",IF(OR(AND(N380&lt;&gt;"",N380&gt;O380),O380&gt;P380,AND(Q380&lt;&gt;"",Q380&lt;P380),AND(R380&lt;&gt;"",R380&lt;P380),AND(S380&lt;&gt;"",S380&lt;R380),AND(S380&lt;&gt;"",R380=""),AND(T380&lt;&gt;"",T380&lt;O380),AND(U380&lt;&gt;"",U380&lt;O380)),"Chronologie incohérente",IF(AND(OR(L380="Résolu",L380="Clos"),R380=""),"Date de résolution manquante",IF(AND(L380="Clos",S380=""),"Date de clôture manquante",IF(AND(K380="Oui",AC380=""),"Classification DORA manquante","OK"))))))</f>
        <v/>
      </c>
      <c r="AO380" s="35" t="str">
        <f aca="false">IF($B380="","",IF(AND(C380="Incident",L380&lt;&gt;"Annulé"),1,0))</f>
        <v/>
      </c>
      <c r="AP380" s="35" t="str">
        <f aca="false">IF($B380="","",IF(AND(C380="Quasi-incident",L380&lt;&gt;"Annulé"),1,0))</f>
        <v/>
      </c>
      <c r="AQ380" s="35" t="str">
        <f aca="false">IF($B380="","",AO380+AP380)</f>
        <v/>
      </c>
      <c r="AR380" s="36" t="str">
        <f aca="false">IF(OR($B380="",J380=""),"",IFERROR(VALUE(LEFT(J380,1)),""))</f>
        <v/>
      </c>
      <c r="AS380" s="35" t="str">
        <f aca="false">IF(OR(AO380&lt;&gt;1,G380=""),"",IFERROR(IF(INDEX(L_SrcInterne,MATCH(G380,L_Sources,0))="Oui",1,0),""))</f>
        <v/>
      </c>
      <c r="AT380" s="37" t="str">
        <f aca="false">IF(AO380&lt;&gt;1,"",IFERROR(ROUND(IF(OR(N380="",O380=""),"",IF(O380&lt;N380,"",ROUND(((NETWORKDAYS(N380,O380,JoursFeries)-1)*(HFer-HOuv)+IF(NETWORKDAYS(O380,O380,JoursFeries),MEDIAN(MOD(O380,1),HFer,HOuv),HFer)-IF(NETWORKDAYS(N380,N380,JoursFeries),MEDIAN(MOD(N380,1),HFer,HOuv),HOuv))*24,4)))/HJour,4),""))</f>
        <v/>
      </c>
      <c r="AU380" s="37" t="str">
        <f aca="false">IF(AO380&lt;&gt;1,"",IF(OR(O380="",P380=""),"",IF(P380&lt;O380,"",ROUND(((NETWORKDAYS(O380,P380,JoursFeries)-1)*(HFer-HOuv)+IF(NETWORKDAYS(P380,P380,JoursFeries),MEDIAN(MOD(P380,1),HFer,HOuv),HFer)-IF(NETWORKDAYS(O380,O380,JoursFeries),MEDIAN(MOD(O380,1),HFer,HOuv),HOuv))*24,4))))</f>
        <v/>
      </c>
      <c r="AV380" s="37" t="str">
        <f aca="false">IF(AO380&lt;&gt;1,"",IF(OR(P380="",Q380=""),"",IF(Q380&lt;P380,"",ROUND(((NETWORKDAYS(P380,Q380,JoursFeries)-1)*(HFer-HOuv)+IF(NETWORKDAYS(Q380,Q380,JoursFeries),MEDIAN(MOD(Q380,1),HFer,HOuv),HFer)-IF(NETWORKDAYS(P380,P380,JoursFeries),MEDIAN(MOD(P380,1),HFer,HOuv),HOuv))*24,4))))</f>
        <v/>
      </c>
      <c r="AW380" s="37" t="str">
        <f aca="false">IF(AO380&lt;&gt;1,"",IFERROR(ROUND(IF(OR(P380="",R380=""),"",IF(R380&lt;P380,"",ROUND(((NETWORKDAYS(P380,R380,JoursFeries)-1)*(HFer-HOuv)+IF(NETWORKDAYS(R380,R380,JoursFeries),MEDIAN(MOD(R380,1),HFer,HOuv),HFer)-IF(NETWORKDAYS(P380,P380,JoursFeries),MEDIAN(MOD(P380,1),HFer,HOuv),HOuv))*24,4)))/HJour,4),""))</f>
        <v/>
      </c>
      <c r="AX380" s="37" t="str">
        <f aca="false">IF(AO380&lt;&gt;1,"",IFERROR(ROUND(IF(OR(P380="",S380=""),"",IF(S380&lt;P380,"",ROUND(((NETWORKDAYS(P380,S380,JoursFeries)-1)*(HFer-HOuv)+IF(NETWORKDAYS(S380,S380,JoursFeries),MEDIAN(MOD(S380,1),HFer,HOuv),HFer)-IF(NETWORKDAYS(P380,P380,JoursFeries),MEDIAN(MOD(P380,1),HFer,HOuv),HOuv))*24,4)))/HJour,4),""))</f>
        <v/>
      </c>
      <c r="AY380" s="36" t="str">
        <f aca="false">IF(OR(AO380&lt;&gt;1,AR380=""),"",INDEX(SLA_PEC,AR380))</f>
        <v/>
      </c>
      <c r="AZ380" s="35" t="str">
        <f aca="false">IF(OR(AV380="",AY380=""),"",IF(AV380&lt;=AY380,1,0))</f>
        <v/>
      </c>
      <c r="BA380" s="36" t="str">
        <f aca="false">IF(OR(AO380&lt;&gt;1,AR380=""),"",INDEX(SLA_RES,AR380))</f>
        <v/>
      </c>
      <c r="BB380" s="35" t="str">
        <f aca="false">IF(OR(AW380="",BA380=""),"",IF(AW380&lt;=BA380,1,0))</f>
        <v/>
      </c>
      <c r="BC380" s="38" t="str">
        <f aca="false">IF(OR(BA380="",P380=""),"",WORKDAY(INT(P380),BA380,JoursFeries)+MOD(P380,1))</f>
        <v/>
      </c>
      <c r="BD380" s="39" t="str">
        <f aca="false">IF(AO380&lt;&gt;1,"",IF(OR(AB380&lt;&gt;"",AD380&lt;&gt;""),4,IF(U380&lt;&gt;"",3,IF(T380&lt;&gt;"",2,1))))</f>
        <v/>
      </c>
      <c r="BE380" s="39" t="str">
        <f aca="false">IF(OR(AO380&lt;&gt;1,AR380=""),"",INDEX(NIV_REQ,AR380))</f>
        <v/>
      </c>
      <c r="BF380" s="39" t="str">
        <f aca="false">IF(BE380="","",MAX(BE380,IF(OR(K380="Oui",Z380="Oui"),4,1)))</f>
        <v/>
      </c>
      <c r="BG380" s="35" t="str">
        <f aca="false">IF(OR(BF380="",BD380=""),"",IF(BD380&gt;=BF380,1,0))</f>
        <v/>
      </c>
      <c r="BH380" s="38" t="str">
        <f aca="false">IF(BE380="","",IF(BE380&lt;2,"",IF(BE380=2,IF(AND(T380="",U380=""),"",MIN(T380,U380)),IF(U380="","",U380))))</f>
        <v/>
      </c>
      <c r="BI380" s="37" t="str">
        <f aca="false">IF(BH380="","",IF(OR(O380="",BH380=""),"",IF(BH380&lt;O380,"",ROUND(((NETWORKDAYS(O380,BH380,JoursFeries)-1)*(HFer-HOuv)+IF(NETWORKDAYS(BH380,BH380,JoursFeries),MEDIAN(MOD(BH380,1),HFer,HOuv),HFer)-IF(NETWORKDAYS(O380,O380,JoursFeries),MEDIAN(MOD(O380,1),HFer,HOuv),HOuv))*24,4))))</f>
        <v/>
      </c>
      <c r="BJ380" s="35" t="str">
        <f aca="false">IF(OR(BI380="",AR380=""),"",IF(BI380&lt;=INDEX(DELAI_ESC,AR380),1,0))</f>
        <v/>
      </c>
      <c r="BK380" s="38" t="str">
        <f aca="false">IF(AO380&lt;&gt;1,"",IF(AND(T380="",U380=""),"",MIN(T380,U380)))</f>
        <v/>
      </c>
      <c r="BL380" s="37" t="str">
        <f aca="false">IF(OR(BK380="",R380=""),"",IFERROR(ROUND(IF(OR(BK380="",R380=""),"",IF(R380&lt;BK380,"",ROUND(((NETWORKDAYS(BK380,R380,JoursFeries)-1)*(HFer-HOuv)+IF(NETWORKDAYS(R380,R380,JoursFeries),MEDIAN(MOD(R380,1),HFer,HOuv),HFer)-IF(NETWORKDAYS(BK380,BK380,JoursFeries),MEDIAN(MOD(BK380,1),HFer,HOuv),HOuv))*24,4)))/HJour,4),""))</f>
        <v/>
      </c>
      <c r="BM380" s="35" t="str">
        <f aca="false">IF(OR(AO380&lt;&gt;1,R380=""),"",IF(BD380=1,1,0))</f>
        <v/>
      </c>
      <c r="BN380" s="35" t="str">
        <f aca="false">IF(AO380&lt;&gt;1,"",IF(W380="Oui",1,0))</f>
        <v/>
      </c>
      <c r="BO380" s="35" t="str">
        <f aca="false">IF(AO380&lt;&gt;1,"",IF(X380&lt;&gt;"",1,0))</f>
        <v/>
      </c>
      <c r="BP380" s="35" t="str">
        <f aca="false">IF(AO380&lt;&gt;1,"",IF(Y380="Oui",1,0))</f>
        <v/>
      </c>
      <c r="BQ380" s="35" t="str">
        <f aca="true">IF(OR(AO380&lt;&gt;1,Z380&lt;&gt;"Oui"),"",IF(AB380="",IF(AND(AA380&lt;&gt;"",NOW()&gt;AA380),0,""),IF(AA380="","",IF(AB380&lt;=AA380,1,0))))</f>
        <v/>
      </c>
      <c r="BR380" s="38" t="str">
        <f aca="false">IF(OR(AO380&lt;&gt;1,K380&lt;&gt;"Oui",O380=""),"",IF(AC380="",O380+DORA_H_DET/24,IF(AC380-O380&lt;=DORA_H_DET/24,MIN(AC380+DORA_H_CLA/24,O380+DORA_H_DET/24),AC380+DORA_H_CLA/24)))</f>
        <v/>
      </c>
      <c r="BS380" s="35" t="str">
        <f aca="true">IF(BR380="","",IF(AD380="",IF(NOW()&gt;BR380,0,""),IF(AD380&lt;=BR380,1,0)))</f>
        <v/>
      </c>
      <c r="BT380" s="35" t="str">
        <f aca="true">IF(OR(BR380="",AD380=""),"",IF(AE380="",IF(NOW()&gt;AD380+DORA_H_INT/24,0,""),IF(AE380&lt;=AD380+DORA_H_INT/24,1,0)))</f>
        <v/>
      </c>
      <c r="BU380" s="35" t="str">
        <f aca="true">IF(OR(BR380="",AE380=""),"",IF(AF380="",IF(NOW()&gt;EDATE(AE380,DORA_M_FIN)+1,0,""),IF(AF380&lt;=EDATE(AE380,DORA_M_FIN),1,0)))</f>
        <v/>
      </c>
      <c r="BV380" s="35" t="str">
        <f aca="false">IF(BR380="","",IF(COUNT(BS380:BU380)=0,"",MIN(BS380:BU380)))</f>
        <v/>
      </c>
      <c r="BW380" s="40" t="str">
        <f aca="false">IF(AQ380&lt;&gt;1,"",IF(AND(AG380="",AH380=""),"",N(AG380)-N(AH380)))</f>
        <v/>
      </c>
      <c r="BX380" s="35" t="str">
        <f aca="true">IF(OR(AQ380&lt;&gt;1,AI380&lt;&gt;"Oui",AJ380=""),"",IF(AK380="",IF(NOW()&gt;AJ380+1,0,""),IF(AK380&lt;=AJ380,1,0)))</f>
        <v/>
      </c>
    </row>
    <row r="381" customFormat="false" ht="15" hidden="false" customHeight="false" outlineLevel="0" collapsed="false">
      <c r="B381" s="29"/>
      <c r="C381" s="29"/>
      <c r="D381" s="29"/>
      <c r="E381" s="29"/>
      <c r="F381" s="29"/>
      <c r="G381" s="29"/>
      <c r="H381" s="29"/>
      <c r="I381" s="29"/>
      <c r="J381" s="29"/>
      <c r="K381" s="29"/>
      <c r="L381" s="29"/>
      <c r="M381" s="29"/>
      <c r="N381" s="30"/>
      <c r="O381" s="30"/>
      <c r="P381" s="30"/>
      <c r="Q381" s="30"/>
      <c r="R381" s="30"/>
      <c r="S381" s="30"/>
      <c r="T381" s="30"/>
      <c r="U381" s="30"/>
      <c r="V381" s="31"/>
      <c r="W381" s="29"/>
      <c r="X381" s="29"/>
      <c r="Y381" s="29"/>
      <c r="Z381" s="29"/>
      <c r="AA381" s="30"/>
      <c r="AB381" s="30"/>
      <c r="AC381" s="30"/>
      <c r="AD381" s="30"/>
      <c r="AE381" s="30"/>
      <c r="AF381" s="32"/>
      <c r="AG381" s="33"/>
      <c r="AH381" s="33"/>
      <c r="AI381" s="29"/>
      <c r="AJ381" s="32"/>
      <c r="AK381" s="32"/>
      <c r="AL381" s="29"/>
      <c r="AN381" s="34" t="str">
        <f aca="false">IF($B381="","",IF(OR(C381="",D381="",E381="",G381="",I381="",J381="",L381="",O381="",P381=""),"Champ obligatoire manquant",IF(OR(AND(N381&lt;&gt;"",N381&gt;O381),O381&gt;P381,AND(Q381&lt;&gt;"",Q381&lt;P381),AND(R381&lt;&gt;"",R381&lt;P381),AND(S381&lt;&gt;"",S381&lt;R381),AND(S381&lt;&gt;"",R381=""),AND(T381&lt;&gt;"",T381&lt;O381),AND(U381&lt;&gt;"",U381&lt;O381)),"Chronologie incohérente",IF(AND(OR(L381="Résolu",L381="Clos"),R381=""),"Date de résolution manquante",IF(AND(L381="Clos",S381=""),"Date de clôture manquante",IF(AND(K381="Oui",AC381=""),"Classification DORA manquante","OK"))))))</f>
        <v/>
      </c>
      <c r="AO381" s="35" t="str">
        <f aca="false">IF($B381="","",IF(AND(C381="Incident",L381&lt;&gt;"Annulé"),1,0))</f>
        <v/>
      </c>
      <c r="AP381" s="35" t="str">
        <f aca="false">IF($B381="","",IF(AND(C381="Quasi-incident",L381&lt;&gt;"Annulé"),1,0))</f>
        <v/>
      </c>
      <c r="AQ381" s="35" t="str">
        <f aca="false">IF($B381="","",AO381+AP381)</f>
        <v/>
      </c>
      <c r="AR381" s="36" t="str">
        <f aca="false">IF(OR($B381="",J381=""),"",IFERROR(VALUE(LEFT(J381,1)),""))</f>
        <v/>
      </c>
      <c r="AS381" s="35" t="str">
        <f aca="false">IF(OR(AO381&lt;&gt;1,G381=""),"",IFERROR(IF(INDEX(L_SrcInterne,MATCH(G381,L_Sources,0))="Oui",1,0),""))</f>
        <v/>
      </c>
      <c r="AT381" s="37" t="str">
        <f aca="false">IF(AO381&lt;&gt;1,"",IFERROR(ROUND(IF(OR(N381="",O381=""),"",IF(O381&lt;N381,"",ROUND(((NETWORKDAYS(N381,O381,JoursFeries)-1)*(HFer-HOuv)+IF(NETWORKDAYS(O381,O381,JoursFeries),MEDIAN(MOD(O381,1),HFer,HOuv),HFer)-IF(NETWORKDAYS(N381,N381,JoursFeries),MEDIAN(MOD(N381,1),HFer,HOuv),HOuv))*24,4)))/HJour,4),""))</f>
        <v/>
      </c>
      <c r="AU381" s="37" t="str">
        <f aca="false">IF(AO381&lt;&gt;1,"",IF(OR(O381="",P381=""),"",IF(P381&lt;O381,"",ROUND(((NETWORKDAYS(O381,P381,JoursFeries)-1)*(HFer-HOuv)+IF(NETWORKDAYS(P381,P381,JoursFeries),MEDIAN(MOD(P381,1),HFer,HOuv),HFer)-IF(NETWORKDAYS(O381,O381,JoursFeries),MEDIAN(MOD(O381,1),HFer,HOuv),HOuv))*24,4))))</f>
        <v/>
      </c>
      <c r="AV381" s="37" t="str">
        <f aca="false">IF(AO381&lt;&gt;1,"",IF(OR(P381="",Q381=""),"",IF(Q381&lt;P381,"",ROUND(((NETWORKDAYS(P381,Q381,JoursFeries)-1)*(HFer-HOuv)+IF(NETWORKDAYS(Q381,Q381,JoursFeries),MEDIAN(MOD(Q381,1),HFer,HOuv),HFer)-IF(NETWORKDAYS(P381,P381,JoursFeries),MEDIAN(MOD(P381,1),HFer,HOuv),HOuv))*24,4))))</f>
        <v/>
      </c>
      <c r="AW381" s="37" t="str">
        <f aca="false">IF(AO381&lt;&gt;1,"",IFERROR(ROUND(IF(OR(P381="",R381=""),"",IF(R381&lt;P381,"",ROUND(((NETWORKDAYS(P381,R381,JoursFeries)-1)*(HFer-HOuv)+IF(NETWORKDAYS(R381,R381,JoursFeries),MEDIAN(MOD(R381,1),HFer,HOuv),HFer)-IF(NETWORKDAYS(P381,P381,JoursFeries),MEDIAN(MOD(P381,1),HFer,HOuv),HOuv))*24,4)))/HJour,4),""))</f>
        <v/>
      </c>
      <c r="AX381" s="37" t="str">
        <f aca="false">IF(AO381&lt;&gt;1,"",IFERROR(ROUND(IF(OR(P381="",S381=""),"",IF(S381&lt;P381,"",ROUND(((NETWORKDAYS(P381,S381,JoursFeries)-1)*(HFer-HOuv)+IF(NETWORKDAYS(S381,S381,JoursFeries),MEDIAN(MOD(S381,1),HFer,HOuv),HFer)-IF(NETWORKDAYS(P381,P381,JoursFeries),MEDIAN(MOD(P381,1),HFer,HOuv),HOuv))*24,4)))/HJour,4),""))</f>
        <v/>
      </c>
      <c r="AY381" s="36" t="str">
        <f aca="false">IF(OR(AO381&lt;&gt;1,AR381=""),"",INDEX(SLA_PEC,AR381))</f>
        <v/>
      </c>
      <c r="AZ381" s="35" t="str">
        <f aca="false">IF(OR(AV381="",AY381=""),"",IF(AV381&lt;=AY381,1,0))</f>
        <v/>
      </c>
      <c r="BA381" s="36" t="str">
        <f aca="false">IF(OR(AO381&lt;&gt;1,AR381=""),"",INDEX(SLA_RES,AR381))</f>
        <v/>
      </c>
      <c r="BB381" s="35" t="str">
        <f aca="false">IF(OR(AW381="",BA381=""),"",IF(AW381&lt;=BA381,1,0))</f>
        <v/>
      </c>
      <c r="BC381" s="38" t="str">
        <f aca="false">IF(OR(BA381="",P381=""),"",WORKDAY(INT(P381),BA381,JoursFeries)+MOD(P381,1))</f>
        <v/>
      </c>
      <c r="BD381" s="39" t="str">
        <f aca="false">IF(AO381&lt;&gt;1,"",IF(OR(AB381&lt;&gt;"",AD381&lt;&gt;""),4,IF(U381&lt;&gt;"",3,IF(T381&lt;&gt;"",2,1))))</f>
        <v/>
      </c>
      <c r="BE381" s="39" t="str">
        <f aca="false">IF(OR(AO381&lt;&gt;1,AR381=""),"",INDEX(NIV_REQ,AR381))</f>
        <v/>
      </c>
      <c r="BF381" s="39" t="str">
        <f aca="false">IF(BE381="","",MAX(BE381,IF(OR(K381="Oui",Z381="Oui"),4,1)))</f>
        <v/>
      </c>
      <c r="BG381" s="35" t="str">
        <f aca="false">IF(OR(BF381="",BD381=""),"",IF(BD381&gt;=BF381,1,0))</f>
        <v/>
      </c>
      <c r="BH381" s="38" t="str">
        <f aca="false">IF(BE381="","",IF(BE381&lt;2,"",IF(BE381=2,IF(AND(T381="",U381=""),"",MIN(T381,U381)),IF(U381="","",U381))))</f>
        <v/>
      </c>
      <c r="BI381" s="37" t="str">
        <f aca="false">IF(BH381="","",IF(OR(O381="",BH381=""),"",IF(BH381&lt;O381,"",ROUND(((NETWORKDAYS(O381,BH381,JoursFeries)-1)*(HFer-HOuv)+IF(NETWORKDAYS(BH381,BH381,JoursFeries),MEDIAN(MOD(BH381,1),HFer,HOuv),HFer)-IF(NETWORKDAYS(O381,O381,JoursFeries),MEDIAN(MOD(O381,1),HFer,HOuv),HOuv))*24,4))))</f>
        <v/>
      </c>
      <c r="BJ381" s="35" t="str">
        <f aca="false">IF(OR(BI381="",AR381=""),"",IF(BI381&lt;=INDEX(DELAI_ESC,AR381),1,0))</f>
        <v/>
      </c>
      <c r="BK381" s="38" t="str">
        <f aca="false">IF(AO381&lt;&gt;1,"",IF(AND(T381="",U381=""),"",MIN(T381,U381)))</f>
        <v/>
      </c>
      <c r="BL381" s="37" t="str">
        <f aca="false">IF(OR(BK381="",R381=""),"",IFERROR(ROUND(IF(OR(BK381="",R381=""),"",IF(R381&lt;BK381,"",ROUND(((NETWORKDAYS(BK381,R381,JoursFeries)-1)*(HFer-HOuv)+IF(NETWORKDAYS(R381,R381,JoursFeries),MEDIAN(MOD(R381,1),HFer,HOuv),HFer)-IF(NETWORKDAYS(BK381,BK381,JoursFeries),MEDIAN(MOD(BK381,1),HFer,HOuv),HOuv))*24,4)))/HJour,4),""))</f>
        <v/>
      </c>
      <c r="BM381" s="35" t="str">
        <f aca="false">IF(OR(AO381&lt;&gt;1,R381=""),"",IF(BD381=1,1,0))</f>
        <v/>
      </c>
      <c r="BN381" s="35" t="str">
        <f aca="false">IF(AO381&lt;&gt;1,"",IF(W381="Oui",1,0))</f>
        <v/>
      </c>
      <c r="BO381" s="35" t="str">
        <f aca="false">IF(AO381&lt;&gt;1,"",IF(X381&lt;&gt;"",1,0))</f>
        <v/>
      </c>
      <c r="BP381" s="35" t="str">
        <f aca="false">IF(AO381&lt;&gt;1,"",IF(Y381="Oui",1,0))</f>
        <v/>
      </c>
      <c r="BQ381" s="35" t="str">
        <f aca="true">IF(OR(AO381&lt;&gt;1,Z381&lt;&gt;"Oui"),"",IF(AB381="",IF(AND(AA381&lt;&gt;"",NOW()&gt;AA381),0,""),IF(AA381="","",IF(AB381&lt;=AA381,1,0))))</f>
        <v/>
      </c>
      <c r="BR381" s="38" t="str">
        <f aca="false">IF(OR(AO381&lt;&gt;1,K381&lt;&gt;"Oui",O381=""),"",IF(AC381="",O381+DORA_H_DET/24,IF(AC381-O381&lt;=DORA_H_DET/24,MIN(AC381+DORA_H_CLA/24,O381+DORA_H_DET/24),AC381+DORA_H_CLA/24)))</f>
        <v/>
      </c>
      <c r="BS381" s="35" t="str">
        <f aca="true">IF(BR381="","",IF(AD381="",IF(NOW()&gt;BR381,0,""),IF(AD381&lt;=BR381,1,0)))</f>
        <v/>
      </c>
      <c r="BT381" s="35" t="str">
        <f aca="true">IF(OR(BR381="",AD381=""),"",IF(AE381="",IF(NOW()&gt;AD381+DORA_H_INT/24,0,""),IF(AE381&lt;=AD381+DORA_H_INT/24,1,0)))</f>
        <v/>
      </c>
      <c r="BU381" s="35" t="str">
        <f aca="true">IF(OR(BR381="",AE381=""),"",IF(AF381="",IF(NOW()&gt;EDATE(AE381,DORA_M_FIN)+1,0,""),IF(AF381&lt;=EDATE(AE381,DORA_M_FIN),1,0)))</f>
        <v/>
      </c>
      <c r="BV381" s="35" t="str">
        <f aca="false">IF(BR381="","",IF(COUNT(BS381:BU381)=0,"",MIN(BS381:BU381)))</f>
        <v/>
      </c>
      <c r="BW381" s="40" t="str">
        <f aca="false">IF(AQ381&lt;&gt;1,"",IF(AND(AG381="",AH381=""),"",N(AG381)-N(AH381)))</f>
        <v/>
      </c>
      <c r="BX381" s="35" t="str">
        <f aca="true">IF(OR(AQ381&lt;&gt;1,AI381&lt;&gt;"Oui",AJ381=""),"",IF(AK381="",IF(NOW()&gt;AJ381+1,0,""),IF(AK381&lt;=AJ381,1,0)))</f>
        <v/>
      </c>
    </row>
    <row r="382" customFormat="false" ht="15" hidden="false" customHeight="false" outlineLevel="0" collapsed="false">
      <c r="B382" s="29"/>
      <c r="C382" s="29"/>
      <c r="D382" s="29"/>
      <c r="E382" s="29"/>
      <c r="F382" s="29"/>
      <c r="G382" s="29"/>
      <c r="H382" s="29"/>
      <c r="I382" s="29"/>
      <c r="J382" s="29"/>
      <c r="K382" s="29"/>
      <c r="L382" s="29"/>
      <c r="M382" s="29"/>
      <c r="N382" s="30"/>
      <c r="O382" s="30"/>
      <c r="P382" s="30"/>
      <c r="Q382" s="30"/>
      <c r="R382" s="30"/>
      <c r="S382" s="30"/>
      <c r="T382" s="30"/>
      <c r="U382" s="30"/>
      <c r="V382" s="31"/>
      <c r="W382" s="29"/>
      <c r="X382" s="29"/>
      <c r="Y382" s="29"/>
      <c r="Z382" s="29"/>
      <c r="AA382" s="30"/>
      <c r="AB382" s="30"/>
      <c r="AC382" s="30"/>
      <c r="AD382" s="30"/>
      <c r="AE382" s="30"/>
      <c r="AF382" s="32"/>
      <c r="AG382" s="33"/>
      <c r="AH382" s="33"/>
      <c r="AI382" s="29"/>
      <c r="AJ382" s="32"/>
      <c r="AK382" s="32"/>
      <c r="AL382" s="29"/>
      <c r="AN382" s="34" t="str">
        <f aca="false">IF($B382="","",IF(OR(C382="",D382="",E382="",G382="",I382="",J382="",L382="",O382="",P382=""),"Champ obligatoire manquant",IF(OR(AND(N382&lt;&gt;"",N382&gt;O382),O382&gt;P382,AND(Q382&lt;&gt;"",Q382&lt;P382),AND(R382&lt;&gt;"",R382&lt;P382),AND(S382&lt;&gt;"",S382&lt;R382),AND(S382&lt;&gt;"",R382=""),AND(T382&lt;&gt;"",T382&lt;O382),AND(U382&lt;&gt;"",U382&lt;O382)),"Chronologie incohérente",IF(AND(OR(L382="Résolu",L382="Clos"),R382=""),"Date de résolution manquante",IF(AND(L382="Clos",S382=""),"Date de clôture manquante",IF(AND(K382="Oui",AC382=""),"Classification DORA manquante","OK"))))))</f>
        <v/>
      </c>
      <c r="AO382" s="35" t="str">
        <f aca="false">IF($B382="","",IF(AND(C382="Incident",L382&lt;&gt;"Annulé"),1,0))</f>
        <v/>
      </c>
      <c r="AP382" s="35" t="str">
        <f aca="false">IF($B382="","",IF(AND(C382="Quasi-incident",L382&lt;&gt;"Annulé"),1,0))</f>
        <v/>
      </c>
      <c r="AQ382" s="35" t="str">
        <f aca="false">IF($B382="","",AO382+AP382)</f>
        <v/>
      </c>
      <c r="AR382" s="36" t="str">
        <f aca="false">IF(OR($B382="",J382=""),"",IFERROR(VALUE(LEFT(J382,1)),""))</f>
        <v/>
      </c>
      <c r="AS382" s="35" t="str">
        <f aca="false">IF(OR(AO382&lt;&gt;1,G382=""),"",IFERROR(IF(INDEX(L_SrcInterne,MATCH(G382,L_Sources,0))="Oui",1,0),""))</f>
        <v/>
      </c>
      <c r="AT382" s="37" t="str">
        <f aca="false">IF(AO382&lt;&gt;1,"",IFERROR(ROUND(IF(OR(N382="",O382=""),"",IF(O382&lt;N382,"",ROUND(((NETWORKDAYS(N382,O382,JoursFeries)-1)*(HFer-HOuv)+IF(NETWORKDAYS(O382,O382,JoursFeries),MEDIAN(MOD(O382,1),HFer,HOuv),HFer)-IF(NETWORKDAYS(N382,N382,JoursFeries),MEDIAN(MOD(N382,1),HFer,HOuv),HOuv))*24,4)))/HJour,4),""))</f>
        <v/>
      </c>
      <c r="AU382" s="37" t="str">
        <f aca="false">IF(AO382&lt;&gt;1,"",IF(OR(O382="",P382=""),"",IF(P382&lt;O382,"",ROUND(((NETWORKDAYS(O382,P382,JoursFeries)-1)*(HFer-HOuv)+IF(NETWORKDAYS(P382,P382,JoursFeries),MEDIAN(MOD(P382,1),HFer,HOuv),HFer)-IF(NETWORKDAYS(O382,O382,JoursFeries),MEDIAN(MOD(O382,1),HFer,HOuv),HOuv))*24,4))))</f>
        <v/>
      </c>
      <c r="AV382" s="37" t="str">
        <f aca="false">IF(AO382&lt;&gt;1,"",IF(OR(P382="",Q382=""),"",IF(Q382&lt;P382,"",ROUND(((NETWORKDAYS(P382,Q382,JoursFeries)-1)*(HFer-HOuv)+IF(NETWORKDAYS(Q382,Q382,JoursFeries),MEDIAN(MOD(Q382,1),HFer,HOuv),HFer)-IF(NETWORKDAYS(P382,P382,JoursFeries),MEDIAN(MOD(P382,1),HFer,HOuv),HOuv))*24,4))))</f>
        <v/>
      </c>
      <c r="AW382" s="37" t="str">
        <f aca="false">IF(AO382&lt;&gt;1,"",IFERROR(ROUND(IF(OR(P382="",R382=""),"",IF(R382&lt;P382,"",ROUND(((NETWORKDAYS(P382,R382,JoursFeries)-1)*(HFer-HOuv)+IF(NETWORKDAYS(R382,R382,JoursFeries),MEDIAN(MOD(R382,1),HFer,HOuv),HFer)-IF(NETWORKDAYS(P382,P382,JoursFeries),MEDIAN(MOD(P382,1),HFer,HOuv),HOuv))*24,4)))/HJour,4),""))</f>
        <v/>
      </c>
      <c r="AX382" s="37" t="str">
        <f aca="false">IF(AO382&lt;&gt;1,"",IFERROR(ROUND(IF(OR(P382="",S382=""),"",IF(S382&lt;P382,"",ROUND(((NETWORKDAYS(P382,S382,JoursFeries)-1)*(HFer-HOuv)+IF(NETWORKDAYS(S382,S382,JoursFeries),MEDIAN(MOD(S382,1),HFer,HOuv),HFer)-IF(NETWORKDAYS(P382,P382,JoursFeries),MEDIAN(MOD(P382,1),HFer,HOuv),HOuv))*24,4)))/HJour,4),""))</f>
        <v/>
      </c>
      <c r="AY382" s="36" t="str">
        <f aca="false">IF(OR(AO382&lt;&gt;1,AR382=""),"",INDEX(SLA_PEC,AR382))</f>
        <v/>
      </c>
      <c r="AZ382" s="35" t="str">
        <f aca="false">IF(OR(AV382="",AY382=""),"",IF(AV382&lt;=AY382,1,0))</f>
        <v/>
      </c>
      <c r="BA382" s="36" t="str">
        <f aca="false">IF(OR(AO382&lt;&gt;1,AR382=""),"",INDEX(SLA_RES,AR382))</f>
        <v/>
      </c>
      <c r="BB382" s="35" t="str">
        <f aca="false">IF(OR(AW382="",BA382=""),"",IF(AW382&lt;=BA382,1,0))</f>
        <v/>
      </c>
      <c r="BC382" s="38" t="str">
        <f aca="false">IF(OR(BA382="",P382=""),"",WORKDAY(INT(P382),BA382,JoursFeries)+MOD(P382,1))</f>
        <v/>
      </c>
      <c r="BD382" s="39" t="str">
        <f aca="false">IF(AO382&lt;&gt;1,"",IF(OR(AB382&lt;&gt;"",AD382&lt;&gt;""),4,IF(U382&lt;&gt;"",3,IF(T382&lt;&gt;"",2,1))))</f>
        <v/>
      </c>
      <c r="BE382" s="39" t="str">
        <f aca="false">IF(OR(AO382&lt;&gt;1,AR382=""),"",INDEX(NIV_REQ,AR382))</f>
        <v/>
      </c>
      <c r="BF382" s="39" t="str">
        <f aca="false">IF(BE382="","",MAX(BE382,IF(OR(K382="Oui",Z382="Oui"),4,1)))</f>
        <v/>
      </c>
      <c r="BG382" s="35" t="str">
        <f aca="false">IF(OR(BF382="",BD382=""),"",IF(BD382&gt;=BF382,1,0))</f>
        <v/>
      </c>
      <c r="BH382" s="38" t="str">
        <f aca="false">IF(BE382="","",IF(BE382&lt;2,"",IF(BE382=2,IF(AND(T382="",U382=""),"",MIN(T382,U382)),IF(U382="","",U382))))</f>
        <v/>
      </c>
      <c r="BI382" s="37" t="str">
        <f aca="false">IF(BH382="","",IF(OR(O382="",BH382=""),"",IF(BH382&lt;O382,"",ROUND(((NETWORKDAYS(O382,BH382,JoursFeries)-1)*(HFer-HOuv)+IF(NETWORKDAYS(BH382,BH382,JoursFeries),MEDIAN(MOD(BH382,1),HFer,HOuv),HFer)-IF(NETWORKDAYS(O382,O382,JoursFeries),MEDIAN(MOD(O382,1),HFer,HOuv),HOuv))*24,4))))</f>
        <v/>
      </c>
      <c r="BJ382" s="35" t="str">
        <f aca="false">IF(OR(BI382="",AR382=""),"",IF(BI382&lt;=INDEX(DELAI_ESC,AR382),1,0))</f>
        <v/>
      </c>
      <c r="BK382" s="38" t="str">
        <f aca="false">IF(AO382&lt;&gt;1,"",IF(AND(T382="",U382=""),"",MIN(T382,U382)))</f>
        <v/>
      </c>
      <c r="BL382" s="37" t="str">
        <f aca="false">IF(OR(BK382="",R382=""),"",IFERROR(ROUND(IF(OR(BK382="",R382=""),"",IF(R382&lt;BK382,"",ROUND(((NETWORKDAYS(BK382,R382,JoursFeries)-1)*(HFer-HOuv)+IF(NETWORKDAYS(R382,R382,JoursFeries),MEDIAN(MOD(R382,1),HFer,HOuv),HFer)-IF(NETWORKDAYS(BK382,BK382,JoursFeries),MEDIAN(MOD(BK382,1),HFer,HOuv),HOuv))*24,4)))/HJour,4),""))</f>
        <v/>
      </c>
      <c r="BM382" s="35" t="str">
        <f aca="false">IF(OR(AO382&lt;&gt;1,R382=""),"",IF(BD382=1,1,0))</f>
        <v/>
      </c>
      <c r="BN382" s="35" t="str">
        <f aca="false">IF(AO382&lt;&gt;1,"",IF(W382="Oui",1,0))</f>
        <v/>
      </c>
      <c r="BO382" s="35" t="str">
        <f aca="false">IF(AO382&lt;&gt;1,"",IF(X382&lt;&gt;"",1,0))</f>
        <v/>
      </c>
      <c r="BP382" s="35" t="str">
        <f aca="false">IF(AO382&lt;&gt;1,"",IF(Y382="Oui",1,0))</f>
        <v/>
      </c>
      <c r="BQ382" s="35" t="str">
        <f aca="true">IF(OR(AO382&lt;&gt;1,Z382&lt;&gt;"Oui"),"",IF(AB382="",IF(AND(AA382&lt;&gt;"",NOW()&gt;AA382),0,""),IF(AA382="","",IF(AB382&lt;=AA382,1,0))))</f>
        <v/>
      </c>
      <c r="BR382" s="38" t="str">
        <f aca="false">IF(OR(AO382&lt;&gt;1,K382&lt;&gt;"Oui",O382=""),"",IF(AC382="",O382+DORA_H_DET/24,IF(AC382-O382&lt;=DORA_H_DET/24,MIN(AC382+DORA_H_CLA/24,O382+DORA_H_DET/24),AC382+DORA_H_CLA/24)))</f>
        <v/>
      </c>
      <c r="BS382" s="35" t="str">
        <f aca="true">IF(BR382="","",IF(AD382="",IF(NOW()&gt;BR382,0,""),IF(AD382&lt;=BR382,1,0)))</f>
        <v/>
      </c>
      <c r="BT382" s="35" t="str">
        <f aca="true">IF(OR(BR382="",AD382=""),"",IF(AE382="",IF(NOW()&gt;AD382+DORA_H_INT/24,0,""),IF(AE382&lt;=AD382+DORA_H_INT/24,1,0)))</f>
        <v/>
      </c>
      <c r="BU382" s="35" t="str">
        <f aca="true">IF(OR(BR382="",AE382=""),"",IF(AF382="",IF(NOW()&gt;EDATE(AE382,DORA_M_FIN)+1,0,""),IF(AF382&lt;=EDATE(AE382,DORA_M_FIN),1,0)))</f>
        <v/>
      </c>
      <c r="BV382" s="35" t="str">
        <f aca="false">IF(BR382="","",IF(COUNT(BS382:BU382)=0,"",MIN(BS382:BU382)))</f>
        <v/>
      </c>
      <c r="BW382" s="40" t="str">
        <f aca="false">IF(AQ382&lt;&gt;1,"",IF(AND(AG382="",AH382=""),"",N(AG382)-N(AH382)))</f>
        <v/>
      </c>
      <c r="BX382" s="35" t="str">
        <f aca="true">IF(OR(AQ382&lt;&gt;1,AI382&lt;&gt;"Oui",AJ382=""),"",IF(AK382="",IF(NOW()&gt;AJ382+1,0,""),IF(AK382&lt;=AJ382,1,0)))</f>
        <v/>
      </c>
    </row>
    <row r="383" customFormat="false" ht="15" hidden="false" customHeight="false" outlineLevel="0" collapsed="false">
      <c r="B383" s="29"/>
      <c r="C383" s="29"/>
      <c r="D383" s="29"/>
      <c r="E383" s="29"/>
      <c r="F383" s="29"/>
      <c r="G383" s="29"/>
      <c r="H383" s="29"/>
      <c r="I383" s="29"/>
      <c r="J383" s="29"/>
      <c r="K383" s="29"/>
      <c r="L383" s="29"/>
      <c r="M383" s="29"/>
      <c r="N383" s="30"/>
      <c r="O383" s="30"/>
      <c r="P383" s="30"/>
      <c r="Q383" s="30"/>
      <c r="R383" s="30"/>
      <c r="S383" s="30"/>
      <c r="T383" s="30"/>
      <c r="U383" s="30"/>
      <c r="V383" s="31"/>
      <c r="W383" s="29"/>
      <c r="X383" s="29"/>
      <c r="Y383" s="29"/>
      <c r="Z383" s="29"/>
      <c r="AA383" s="30"/>
      <c r="AB383" s="30"/>
      <c r="AC383" s="30"/>
      <c r="AD383" s="30"/>
      <c r="AE383" s="30"/>
      <c r="AF383" s="32"/>
      <c r="AG383" s="33"/>
      <c r="AH383" s="33"/>
      <c r="AI383" s="29"/>
      <c r="AJ383" s="32"/>
      <c r="AK383" s="32"/>
      <c r="AL383" s="29"/>
      <c r="AN383" s="34" t="str">
        <f aca="false">IF($B383="","",IF(OR(C383="",D383="",E383="",G383="",I383="",J383="",L383="",O383="",P383=""),"Champ obligatoire manquant",IF(OR(AND(N383&lt;&gt;"",N383&gt;O383),O383&gt;P383,AND(Q383&lt;&gt;"",Q383&lt;P383),AND(R383&lt;&gt;"",R383&lt;P383),AND(S383&lt;&gt;"",S383&lt;R383),AND(S383&lt;&gt;"",R383=""),AND(T383&lt;&gt;"",T383&lt;O383),AND(U383&lt;&gt;"",U383&lt;O383)),"Chronologie incohérente",IF(AND(OR(L383="Résolu",L383="Clos"),R383=""),"Date de résolution manquante",IF(AND(L383="Clos",S383=""),"Date de clôture manquante",IF(AND(K383="Oui",AC383=""),"Classification DORA manquante","OK"))))))</f>
        <v/>
      </c>
      <c r="AO383" s="35" t="str">
        <f aca="false">IF($B383="","",IF(AND(C383="Incident",L383&lt;&gt;"Annulé"),1,0))</f>
        <v/>
      </c>
      <c r="AP383" s="35" t="str">
        <f aca="false">IF($B383="","",IF(AND(C383="Quasi-incident",L383&lt;&gt;"Annulé"),1,0))</f>
        <v/>
      </c>
      <c r="AQ383" s="35" t="str">
        <f aca="false">IF($B383="","",AO383+AP383)</f>
        <v/>
      </c>
      <c r="AR383" s="36" t="str">
        <f aca="false">IF(OR($B383="",J383=""),"",IFERROR(VALUE(LEFT(J383,1)),""))</f>
        <v/>
      </c>
      <c r="AS383" s="35" t="str">
        <f aca="false">IF(OR(AO383&lt;&gt;1,G383=""),"",IFERROR(IF(INDEX(L_SrcInterne,MATCH(G383,L_Sources,0))="Oui",1,0),""))</f>
        <v/>
      </c>
      <c r="AT383" s="37" t="str">
        <f aca="false">IF(AO383&lt;&gt;1,"",IFERROR(ROUND(IF(OR(N383="",O383=""),"",IF(O383&lt;N383,"",ROUND(((NETWORKDAYS(N383,O383,JoursFeries)-1)*(HFer-HOuv)+IF(NETWORKDAYS(O383,O383,JoursFeries),MEDIAN(MOD(O383,1),HFer,HOuv),HFer)-IF(NETWORKDAYS(N383,N383,JoursFeries),MEDIAN(MOD(N383,1),HFer,HOuv),HOuv))*24,4)))/HJour,4),""))</f>
        <v/>
      </c>
      <c r="AU383" s="37" t="str">
        <f aca="false">IF(AO383&lt;&gt;1,"",IF(OR(O383="",P383=""),"",IF(P383&lt;O383,"",ROUND(((NETWORKDAYS(O383,P383,JoursFeries)-1)*(HFer-HOuv)+IF(NETWORKDAYS(P383,P383,JoursFeries),MEDIAN(MOD(P383,1),HFer,HOuv),HFer)-IF(NETWORKDAYS(O383,O383,JoursFeries),MEDIAN(MOD(O383,1),HFer,HOuv),HOuv))*24,4))))</f>
        <v/>
      </c>
      <c r="AV383" s="37" t="str">
        <f aca="false">IF(AO383&lt;&gt;1,"",IF(OR(P383="",Q383=""),"",IF(Q383&lt;P383,"",ROUND(((NETWORKDAYS(P383,Q383,JoursFeries)-1)*(HFer-HOuv)+IF(NETWORKDAYS(Q383,Q383,JoursFeries),MEDIAN(MOD(Q383,1),HFer,HOuv),HFer)-IF(NETWORKDAYS(P383,P383,JoursFeries),MEDIAN(MOD(P383,1),HFer,HOuv),HOuv))*24,4))))</f>
        <v/>
      </c>
      <c r="AW383" s="37" t="str">
        <f aca="false">IF(AO383&lt;&gt;1,"",IFERROR(ROUND(IF(OR(P383="",R383=""),"",IF(R383&lt;P383,"",ROUND(((NETWORKDAYS(P383,R383,JoursFeries)-1)*(HFer-HOuv)+IF(NETWORKDAYS(R383,R383,JoursFeries),MEDIAN(MOD(R383,1),HFer,HOuv),HFer)-IF(NETWORKDAYS(P383,P383,JoursFeries),MEDIAN(MOD(P383,1),HFer,HOuv),HOuv))*24,4)))/HJour,4),""))</f>
        <v/>
      </c>
      <c r="AX383" s="37" t="str">
        <f aca="false">IF(AO383&lt;&gt;1,"",IFERROR(ROUND(IF(OR(P383="",S383=""),"",IF(S383&lt;P383,"",ROUND(((NETWORKDAYS(P383,S383,JoursFeries)-1)*(HFer-HOuv)+IF(NETWORKDAYS(S383,S383,JoursFeries),MEDIAN(MOD(S383,1),HFer,HOuv),HFer)-IF(NETWORKDAYS(P383,P383,JoursFeries),MEDIAN(MOD(P383,1),HFer,HOuv),HOuv))*24,4)))/HJour,4),""))</f>
        <v/>
      </c>
      <c r="AY383" s="36" t="str">
        <f aca="false">IF(OR(AO383&lt;&gt;1,AR383=""),"",INDEX(SLA_PEC,AR383))</f>
        <v/>
      </c>
      <c r="AZ383" s="35" t="str">
        <f aca="false">IF(OR(AV383="",AY383=""),"",IF(AV383&lt;=AY383,1,0))</f>
        <v/>
      </c>
      <c r="BA383" s="36" t="str">
        <f aca="false">IF(OR(AO383&lt;&gt;1,AR383=""),"",INDEX(SLA_RES,AR383))</f>
        <v/>
      </c>
      <c r="BB383" s="35" t="str">
        <f aca="false">IF(OR(AW383="",BA383=""),"",IF(AW383&lt;=BA383,1,0))</f>
        <v/>
      </c>
      <c r="BC383" s="38" t="str">
        <f aca="false">IF(OR(BA383="",P383=""),"",WORKDAY(INT(P383),BA383,JoursFeries)+MOD(P383,1))</f>
        <v/>
      </c>
      <c r="BD383" s="39" t="str">
        <f aca="false">IF(AO383&lt;&gt;1,"",IF(OR(AB383&lt;&gt;"",AD383&lt;&gt;""),4,IF(U383&lt;&gt;"",3,IF(T383&lt;&gt;"",2,1))))</f>
        <v/>
      </c>
      <c r="BE383" s="39" t="str">
        <f aca="false">IF(OR(AO383&lt;&gt;1,AR383=""),"",INDEX(NIV_REQ,AR383))</f>
        <v/>
      </c>
      <c r="BF383" s="39" t="str">
        <f aca="false">IF(BE383="","",MAX(BE383,IF(OR(K383="Oui",Z383="Oui"),4,1)))</f>
        <v/>
      </c>
      <c r="BG383" s="35" t="str">
        <f aca="false">IF(OR(BF383="",BD383=""),"",IF(BD383&gt;=BF383,1,0))</f>
        <v/>
      </c>
      <c r="BH383" s="38" t="str">
        <f aca="false">IF(BE383="","",IF(BE383&lt;2,"",IF(BE383=2,IF(AND(T383="",U383=""),"",MIN(T383,U383)),IF(U383="","",U383))))</f>
        <v/>
      </c>
      <c r="BI383" s="37" t="str">
        <f aca="false">IF(BH383="","",IF(OR(O383="",BH383=""),"",IF(BH383&lt;O383,"",ROUND(((NETWORKDAYS(O383,BH383,JoursFeries)-1)*(HFer-HOuv)+IF(NETWORKDAYS(BH383,BH383,JoursFeries),MEDIAN(MOD(BH383,1),HFer,HOuv),HFer)-IF(NETWORKDAYS(O383,O383,JoursFeries),MEDIAN(MOD(O383,1),HFer,HOuv),HOuv))*24,4))))</f>
        <v/>
      </c>
      <c r="BJ383" s="35" t="str">
        <f aca="false">IF(OR(BI383="",AR383=""),"",IF(BI383&lt;=INDEX(DELAI_ESC,AR383),1,0))</f>
        <v/>
      </c>
      <c r="BK383" s="38" t="str">
        <f aca="false">IF(AO383&lt;&gt;1,"",IF(AND(T383="",U383=""),"",MIN(T383,U383)))</f>
        <v/>
      </c>
      <c r="BL383" s="37" t="str">
        <f aca="false">IF(OR(BK383="",R383=""),"",IFERROR(ROUND(IF(OR(BK383="",R383=""),"",IF(R383&lt;BK383,"",ROUND(((NETWORKDAYS(BK383,R383,JoursFeries)-1)*(HFer-HOuv)+IF(NETWORKDAYS(R383,R383,JoursFeries),MEDIAN(MOD(R383,1),HFer,HOuv),HFer)-IF(NETWORKDAYS(BK383,BK383,JoursFeries),MEDIAN(MOD(BK383,1),HFer,HOuv),HOuv))*24,4)))/HJour,4),""))</f>
        <v/>
      </c>
      <c r="BM383" s="35" t="str">
        <f aca="false">IF(OR(AO383&lt;&gt;1,R383=""),"",IF(BD383=1,1,0))</f>
        <v/>
      </c>
      <c r="BN383" s="35" t="str">
        <f aca="false">IF(AO383&lt;&gt;1,"",IF(W383="Oui",1,0))</f>
        <v/>
      </c>
      <c r="BO383" s="35" t="str">
        <f aca="false">IF(AO383&lt;&gt;1,"",IF(X383&lt;&gt;"",1,0))</f>
        <v/>
      </c>
      <c r="BP383" s="35" t="str">
        <f aca="false">IF(AO383&lt;&gt;1,"",IF(Y383="Oui",1,0))</f>
        <v/>
      </c>
      <c r="BQ383" s="35" t="str">
        <f aca="true">IF(OR(AO383&lt;&gt;1,Z383&lt;&gt;"Oui"),"",IF(AB383="",IF(AND(AA383&lt;&gt;"",NOW()&gt;AA383),0,""),IF(AA383="","",IF(AB383&lt;=AA383,1,0))))</f>
        <v/>
      </c>
      <c r="BR383" s="38" t="str">
        <f aca="false">IF(OR(AO383&lt;&gt;1,K383&lt;&gt;"Oui",O383=""),"",IF(AC383="",O383+DORA_H_DET/24,IF(AC383-O383&lt;=DORA_H_DET/24,MIN(AC383+DORA_H_CLA/24,O383+DORA_H_DET/24),AC383+DORA_H_CLA/24)))</f>
        <v/>
      </c>
      <c r="BS383" s="35" t="str">
        <f aca="true">IF(BR383="","",IF(AD383="",IF(NOW()&gt;BR383,0,""),IF(AD383&lt;=BR383,1,0)))</f>
        <v/>
      </c>
      <c r="BT383" s="35" t="str">
        <f aca="true">IF(OR(BR383="",AD383=""),"",IF(AE383="",IF(NOW()&gt;AD383+DORA_H_INT/24,0,""),IF(AE383&lt;=AD383+DORA_H_INT/24,1,0)))</f>
        <v/>
      </c>
      <c r="BU383" s="35" t="str">
        <f aca="true">IF(OR(BR383="",AE383=""),"",IF(AF383="",IF(NOW()&gt;EDATE(AE383,DORA_M_FIN)+1,0,""),IF(AF383&lt;=EDATE(AE383,DORA_M_FIN),1,0)))</f>
        <v/>
      </c>
      <c r="BV383" s="35" t="str">
        <f aca="false">IF(BR383="","",IF(COUNT(BS383:BU383)=0,"",MIN(BS383:BU383)))</f>
        <v/>
      </c>
      <c r="BW383" s="40" t="str">
        <f aca="false">IF(AQ383&lt;&gt;1,"",IF(AND(AG383="",AH383=""),"",N(AG383)-N(AH383)))</f>
        <v/>
      </c>
      <c r="BX383" s="35" t="str">
        <f aca="true">IF(OR(AQ383&lt;&gt;1,AI383&lt;&gt;"Oui",AJ383=""),"",IF(AK383="",IF(NOW()&gt;AJ383+1,0,""),IF(AK383&lt;=AJ383,1,0)))</f>
        <v/>
      </c>
    </row>
    <row r="384" customFormat="false" ht="15" hidden="false" customHeight="false" outlineLevel="0" collapsed="false">
      <c r="B384" s="29"/>
      <c r="C384" s="29"/>
      <c r="D384" s="29"/>
      <c r="E384" s="29"/>
      <c r="F384" s="29"/>
      <c r="G384" s="29"/>
      <c r="H384" s="29"/>
      <c r="I384" s="29"/>
      <c r="J384" s="29"/>
      <c r="K384" s="29"/>
      <c r="L384" s="29"/>
      <c r="M384" s="29"/>
      <c r="N384" s="30"/>
      <c r="O384" s="30"/>
      <c r="P384" s="30"/>
      <c r="Q384" s="30"/>
      <c r="R384" s="30"/>
      <c r="S384" s="30"/>
      <c r="T384" s="30"/>
      <c r="U384" s="30"/>
      <c r="V384" s="31"/>
      <c r="W384" s="29"/>
      <c r="X384" s="29"/>
      <c r="Y384" s="29"/>
      <c r="Z384" s="29"/>
      <c r="AA384" s="30"/>
      <c r="AB384" s="30"/>
      <c r="AC384" s="30"/>
      <c r="AD384" s="30"/>
      <c r="AE384" s="30"/>
      <c r="AF384" s="32"/>
      <c r="AG384" s="33"/>
      <c r="AH384" s="33"/>
      <c r="AI384" s="29"/>
      <c r="AJ384" s="32"/>
      <c r="AK384" s="32"/>
      <c r="AL384" s="29"/>
      <c r="AN384" s="34" t="str">
        <f aca="false">IF($B384="","",IF(OR(C384="",D384="",E384="",G384="",I384="",J384="",L384="",O384="",P384=""),"Champ obligatoire manquant",IF(OR(AND(N384&lt;&gt;"",N384&gt;O384),O384&gt;P384,AND(Q384&lt;&gt;"",Q384&lt;P384),AND(R384&lt;&gt;"",R384&lt;P384),AND(S384&lt;&gt;"",S384&lt;R384),AND(S384&lt;&gt;"",R384=""),AND(T384&lt;&gt;"",T384&lt;O384),AND(U384&lt;&gt;"",U384&lt;O384)),"Chronologie incohérente",IF(AND(OR(L384="Résolu",L384="Clos"),R384=""),"Date de résolution manquante",IF(AND(L384="Clos",S384=""),"Date de clôture manquante",IF(AND(K384="Oui",AC384=""),"Classification DORA manquante","OK"))))))</f>
        <v/>
      </c>
      <c r="AO384" s="35" t="str">
        <f aca="false">IF($B384="","",IF(AND(C384="Incident",L384&lt;&gt;"Annulé"),1,0))</f>
        <v/>
      </c>
      <c r="AP384" s="35" t="str">
        <f aca="false">IF($B384="","",IF(AND(C384="Quasi-incident",L384&lt;&gt;"Annulé"),1,0))</f>
        <v/>
      </c>
      <c r="AQ384" s="35" t="str">
        <f aca="false">IF($B384="","",AO384+AP384)</f>
        <v/>
      </c>
      <c r="AR384" s="36" t="str">
        <f aca="false">IF(OR($B384="",J384=""),"",IFERROR(VALUE(LEFT(J384,1)),""))</f>
        <v/>
      </c>
      <c r="AS384" s="35" t="str">
        <f aca="false">IF(OR(AO384&lt;&gt;1,G384=""),"",IFERROR(IF(INDEX(L_SrcInterne,MATCH(G384,L_Sources,0))="Oui",1,0),""))</f>
        <v/>
      </c>
      <c r="AT384" s="37" t="str">
        <f aca="false">IF(AO384&lt;&gt;1,"",IFERROR(ROUND(IF(OR(N384="",O384=""),"",IF(O384&lt;N384,"",ROUND(((NETWORKDAYS(N384,O384,JoursFeries)-1)*(HFer-HOuv)+IF(NETWORKDAYS(O384,O384,JoursFeries),MEDIAN(MOD(O384,1),HFer,HOuv),HFer)-IF(NETWORKDAYS(N384,N384,JoursFeries),MEDIAN(MOD(N384,1),HFer,HOuv),HOuv))*24,4)))/HJour,4),""))</f>
        <v/>
      </c>
      <c r="AU384" s="37" t="str">
        <f aca="false">IF(AO384&lt;&gt;1,"",IF(OR(O384="",P384=""),"",IF(P384&lt;O384,"",ROUND(((NETWORKDAYS(O384,P384,JoursFeries)-1)*(HFer-HOuv)+IF(NETWORKDAYS(P384,P384,JoursFeries),MEDIAN(MOD(P384,1),HFer,HOuv),HFer)-IF(NETWORKDAYS(O384,O384,JoursFeries),MEDIAN(MOD(O384,1),HFer,HOuv),HOuv))*24,4))))</f>
        <v/>
      </c>
      <c r="AV384" s="37" t="str">
        <f aca="false">IF(AO384&lt;&gt;1,"",IF(OR(P384="",Q384=""),"",IF(Q384&lt;P384,"",ROUND(((NETWORKDAYS(P384,Q384,JoursFeries)-1)*(HFer-HOuv)+IF(NETWORKDAYS(Q384,Q384,JoursFeries),MEDIAN(MOD(Q384,1),HFer,HOuv),HFer)-IF(NETWORKDAYS(P384,P384,JoursFeries),MEDIAN(MOD(P384,1),HFer,HOuv),HOuv))*24,4))))</f>
        <v/>
      </c>
      <c r="AW384" s="37" t="str">
        <f aca="false">IF(AO384&lt;&gt;1,"",IFERROR(ROUND(IF(OR(P384="",R384=""),"",IF(R384&lt;P384,"",ROUND(((NETWORKDAYS(P384,R384,JoursFeries)-1)*(HFer-HOuv)+IF(NETWORKDAYS(R384,R384,JoursFeries),MEDIAN(MOD(R384,1),HFer,HOuv),HFer)-IF(NETWORKDAYS(P384,P384,JoursFeries),MEDIAN(MOD(P384,1),HFer,HOuv),HOuv))*24,4)))/HJour,4),""))</f>
        <v/>
      </c>
      <c r="AX384" s="37" t="str">
        <f aca="false">IF(AO384&lt;&gt;1,"",IFERROR(ROUND(IF(OR(P384="",S384=""),"",IF(S384&lt;P384,"",ROUND(((NETWORKDAYS(P384,S384,JoursFeries)-1)*(HFer-HOuv)+IF(NETWORKDAYS(S384,S384,JoursFeries),MEDIAN(MOD(S384,1),HFer,HOuv),HFer)-IF(NETWORKDAYS(P384,P384,JoursFeries),MEDIAN(MOD(P384,1),HFer,HOuv),HOuv))*24,4)))/HJour,4),""))</f>
        <v/>
      </c>
      <c r="AY384" s="36" t="str">
        <f aca="false">IF(OR(AO384&lt;&gt;1,AR384=""),"",INDEX(SLA_PEC,AR384))</f>
        <v/>
      </c>
      <c r="AZ384" s="35" t="str">
        <f aca="false">IF(OR(AV384="",AY384=""),"",IF(AV384&lt;=AY384,1,0))</f>
        <v/>
      </c>
      <c r="BA384" s="36" t="str">
        <f aca="false">IF(OR(AO384&lt;&gt;1,AR384=""),"",INDEX(SLA_RES,AR384))</f>
        <v/>
      </c>
      <c r="BB384" s="35" t="str">
        <f aca="false">IF(OR(AW384="",BA384=""),"",IF(AW384&lt;=BA384,1,0))</f>
        <v/>
      </c>
      <c r="BC384" s="38" t="str">
        <f aca="false">IF(OR(BA384="",P384=""),"",WORKDAY(INT(P384),BA384,JoursFeries)+MOD(P384,1))</f>
        <v/>
      </c>
      <c r="BD384" s="39" t="str">
        <f aca="false">IF(AO384&lt;&gt;1,"",IF(OR(AB384&lt;&gt;"",AD384&lt;&gt;""),4,IF(U384&lt;&gt;"",3,IF(T384&lt;&gt;"",2,1))))</f>
        <v/>
      </c>
      <c r="BE384" s="39" t="str">
        <f aca="false">IF(OR(AO384&lt;&gt;1,AR384=""),"",INDEX(NIV_REQ,AR384))</f>
        <v/>
      </c>
      <c r="BF384" s="39" t="str">
        <f aca="false">IF(BE384="","",MAX(BE384,IF(OR(K384="Oui",Z384="Oui"),4,1)))</f>
        <v/>
      </c>
      <c r="BG384" s="35" t="str">
        <f aca="false">IF(OR(BF384="",BD384=""),"",IF(BD384&gt;=BF384,1,0))</f>
        <v/>
      </c>
      <c r="BH384" s="38" t="str">
        <f aca="false">IF(BE384="","",IF(BE384&lt;2,"",IF(BE384=2,IF(AND(T384="",U384=""),"",MIN(T384,U384)),IF(U384="","",U384))))</f>
        <v/>
      </c>
      <c r="BI384" s="37" t="str">
        <f aca="false">IF(BH384="","",IF(OR(O384="",BH384=""),"",IF(BH384&lt;O384,"",ROUND(((NETWORKDAYS(O384,BH384,JoursFeries)-1)*(HFer-HOuv)+IF(NETWORKDAYS(BH384,BH384,JoursFeries),MEDIAN(MOD(BH384,1),HFer,HOuv),HFer)-IF(NETWORKDAYS(O384,O384,JoursFeries),MEDIAN(MOD(O384,1),HFer,HOuv),HOuv))*24,4))))</f>
        <v/>
      </c>
      <c r="BJ384" s="35" t="str">
        <f aca="false">IF(OR(BI384="",AR384=""),"",IF(BI384&lt;=INDEX(DELAI_ESC,AR384),1,0))</f>
        <v/>
      </c>
      <c r="BK384" s="38" t="str">
        <f aca="false">IF(AO384&lt;&gt;1,"",IF(AND(T384="",U384=""),"",MIN(T384,U384)))</f>
        <v/>
      </c>
      <c r="BL384" s="37" t="str">
        <f aca="false">IF(OR(BK384="",R384=""),"",IFERROR(ROUND(IF(OR(BK384="",R384=""),"",IF(R384&lt;BK384,"",ROUND(((NETWORKDAYS(BK384,R384,JoursFeries)-1)*(HFer-HOuv)+IF(NETWORKDAYS(R384,R384,JoursFeries),MEDIAN(MOD(R384,1),HFer,HOuv),HFer)-IF(NETWORKDAYS(BK384,BK384,JoursFeries),MEDIAN(MOD(BK384,1),HFer,HOuv),HOuv))*24,4)))/HJour,4),""))</f>
        <v/>
      </c>
      <c r="BM384" s="35" t="str">
        <f aca="false">IF(OR(AO384&lt;&gt;1,R384=""),"",IF(BD384=1,1,0))</f>
        <v/>
      </c>
      <c r="BN384" s="35" t="str">
        <f aca="false">IF(AO384&lt;&gt;1,"",IF(W384="Oui",1,0))</f>
        <v/>
      </c>
      <c r="BO384" s="35" t="str">
        <f aca="false">IF(AO384&lt;&gt;1,"",IF(X384&lt;&gt;"",1,0))</f>
        <v/>
      </c>
      <c r="BP384" s="35" t="str">
        <f aca="false">IF(AO384&lt;&gt;1,"",IF(Y384="Oui",1,0))</f>
        <v/>
      </c>
      <c r="BQ384" s="35" t="str">
        <f aca="true">IF(OR(AO384&lt;&gt;1,Z384&lt;&gt;"Oui"),"",IF(AB384="",IF(AND(AA384&lt;&gt;"",NOW()&gt;AA384),0,""),IF(AA384="","",IF(AB384&lt;=AA384,1,0))))</f>
        <v/>
      </c>
      <c r="BR384" s="38" t="str">
        <f aca="false">IF(OR(AO384&lt;&gt;1,K384&lt;&gt;"Oui",O384=""),"",IF(AC384="",O384+DORA_H_DET/24,IF(AC384-O384&lt;=DORA_H_DET/24,MIN(AC384+DORA_H_CLA/24,O384+DORA_H_DET/24),AC384+DORA_H_CLA/24)))</f>
        <v/>
      </c>
      <c r="BS384" s="35" t="str">
        <f aca="true">IF(BR384="","",IF(AD384="",IF(NOW()&gt;BR384,0,""),IF(AD384&lt;=BR384,1,0)))</f>
        <v/>
      </c>
      <c r="BT384" s="35" t="str">
        <f aca="true">IF(OR(BR384="",AD384=""),"",IF(AE384="",IF(NOW()&gt;AD384+DORA_H_INT/24,0,""),IF(AE384&lt;=AD384+DORA_H_INT/24,1,0)))</f>
        <v/>
      </c>
      <c r="BU384" s="35" t="str">
        <f aca="true">IF(OR(BR384="",AE384=""),"",IF(AF384="",IF(NOW()&gt;EDATE(AE384,DORA_M_FIN)+1,0,""),IF(AF384&lt;=EDATE(AE384,DORA_M_FIN),1,0)))</f>
        <v/>
      </c>
      <c r="BV384" s="35" t="str">
        <f aca="false">IF(BR384="","",IF(COUNT(BS384:BU384)=0,"",MIN(BS384:BU384)))</f>
        <v/>
      </c>
      <c r="BW384" s="40" t="str">
        <f aca="false">IF(AQ384&lt;&gt;1,"",IF(AND(AG384="",AH384=""),"",N(AG384)-N(AH384)))</f>
        <v/>
      </c>
      <c r="BX384" s="35" t="str">
        <f aca="true">IF(OR(AQ384&lt;&gt;1,AI384&lt;&gt;"Oui",AJ384=""),"",IF(AK384="",IF(NOW()&gt;AJ384+1,0,""),IF(AK384&lt;=AJ384,1,0)))</f>
        <v/>
      </c>
    </row>
    <row r="385" customFormat="false" ht="15" hidden="false" customHeight="false" outlineLevel="0" collapsed="false">
      <c r="B385" s="29"/>
      <c r="C385" s="29"/>
      <c r="D385" s="29"/>
      <c r="E385" s="29"/>
      <c r="F385" s="29"/>
      <c r="G385" s="29"/>
      <c r="H385" s="29"/>
      <c r="I385" s="29"/>
      <c r="J385" s="29"/>
      <c r="K385" s="29"/>
      <c r="L385" s="29"/>
      <c r="M385" s="29"/>
      <c r="N385" s="30"/>
      <c r="O385" s="30"/>
      <c r="P385" s="30"/>
      <c r="Q385" s="30"/>
      <c r="R385" s="30"/>
      <c r="S385" s="30"/>
      <c r="T385" s="30"/>
      <c r="U385" s="30"/>
      <c r="V385" s="31"/>
      <c r="W385" s="29"/>
      <c r="X385" s="29"/>
      <c r="Y385" s="29"/>
      <c r="Z385" s="29"/>
      <c r="AA385" s="30"/>
      <c r="AB385" s="30"/>
      <c r="AC385" s="30"/>
      <c r="AD385" s="30"/>
      <c r="AE385" s="30"/>
      <c r="AF385" s="32"/>
      <c r="AG385" s="33"/>
      <c r="AH385" s="33"/>
      <c r="AI385" s="29"/>
      <c r="AJ385" s="32"/>
      <c r="AK385" s="32"/>
      <c r="AL385" s="29"/>
      <c r="AN385" s="34" t="str">
        <f aca="false">IF($B385="","",IF(OR(C385="",D385="",E385="",G385="",I385="",J385="",L385="",O385="",P385=""),"Champ obligatoire manquant",IF(OR(AND(N385&lt;&gt;"",N385&gt;O385),O385&gt;P385,AND(Q385&lt;&gt;"",Q385&lt;P385),AND(R385&lt;&gt;"",R385&lt;P385),AND(S385&lt;&gt;"",S385&lt;R385),AND(S385&lt;&gt;"",R385=""),AND(T385&lt;&gt;"",T385&lt;O385),AND(U385&lt;&gt;"",U385&lt;O385)),"Chronologie incohérente",IF(AND(OR(L385="Résolu",L385="Clos"),R385=""),"Date de résolution manquante",IF(AND(L385="Clos",S385=""),"Date de clôture manquante",IF(AND(K385="Oui",AC385=""),"Classification DORA manquante","OK"))))))</f>
        <v/>
      </c>
      <c r="AO385" s="35" t="str">
        <f aca="false">IF($B385="","",IF(AND(C385="Incident",L385&lt;&gt;"Annulé"),1,0))</f>
        <v/>
      </c>
      <c r="AP385" s="35" t="str">
        <f aca="false">IF($B385="","",IF(AND(C385="Quasi-incident",L385&lt;&gt;"Annulé"),1,0))</f>
        <v/>
      </c>
      <c r="AQ385" s="35" t="str">
        <f aca="false">IF($B385="","",AO385+AP385)</f>
        <v/>
      </c>
      <c r="AR385" s="36" t="str">
        <f aca="false">IF(OR($B385="",J385=""),"",IFERROR(VALUE(LEFT(J385,1)),""))</f>
        <v/>
      </c>
      <c r="AS385" s="35" t="str">
        <f aca="false">IF(OR(AO385&lt;&gt;1,G385=""),"",IFERROR(IF(INDEX(L_SrcInterne,MATCH(G385,L_Sources,0))="Oui",1,0),""))</f>
        <v/>
      </c>
      <c r="AT385" s="37" t="str">
        <f aca="false">IF(AO385&lt;&gt;1,"",IFERROR(ROUND(IF(OR(N385="",O385=""),"",IF(O385&lt;N385,"",ROUND(((NETWORKDAYS(N385,O385,JoursFeries)-1)*(HFer-HOuv)+IF(NETWORKDAYS(O385,O385,JoursFeries),MEDIAN(MOD(O385,1),HFer,HOuv),HFer)-IF(NETWORKDAYS(N385,N385,JoursFeries),MEDIAN(MOD(N385,1),HFer,HOuv),HOuv))*24,4)))/HJour,4),""))</f>
        <v/>
      </c>
      <c r="AU385" s="37" t="str">
        <f aca="false">IF(AO385&lt;&gt;1,"",IF(OR(O385="",P385=""),"",IF(P385&lt;O385,"",ROUND(((NETWORKDAYS(O385,P385,JoursFeries)-1)*(HFer-HOuv)+IF(NETWORKDAYS(P385,P385,JoursFeries),MEDIAN(MOD(P385,1),HFer,HOuv),HFer)-IF(NETWORKDAYS(O385,O385,JoursFeries),MEDIAN(MOD(O385,1),HFer,HOuv),HOuv))*24,4))))</f>
        <v/>
      </c>
      <c r="AV385" s="37" t="str">
        <f aca="false">IF(AO385&lt;&gt;1,"",IF(OR(P385="",Q385=""),"",IF(Q385&lt;P385,"",ROUND(((NETWORKDAYS(P385,Q385,JoursFeries)-1)*(HFer-HOuv)+IF(NETWORKDAYS(Q385,Q385,JoursFeries),MEDIAN(MOD(Q385,1),HFer,HOuv),HFer)-IF(NETWORKDAYS(P385,P385,JoursFeries),MEDIAN(MOD(P385,1),HFer,HOuv),HOuv))*24,4))))</f>
        <v/>
      </c>
      <c r="AW385" s="37" t="str">
        <f aca="false">IF(AO385&lt;&gt;1,"",IFERROR(ROUND(IF(OR(P385="",R385=""),"",IF(R385&lt;P385,"",ROUND(((NETWORKDAYS(P385,R385,JoursFeries)-1)*(HFer-HOuv)+IF(NETWORKDAYS(R385,R385,JoursFeries),MEDIAN(MOD(R385,1),HFer,HOuv),HFer)-IF(NETWORKDAYS(P385,P385,JoursFeries),MEDIAN(MOD(P385,1),HFer,HOuv),HOuv))*24,4)))/HJour,4),""))</f>
        <v/>
      </c>
      <c r="AX385" s="37" t="str">
        <f aca="false">IF(AO385&lt;&gt;1,"",IFERROR(ROUND(IF(OR(P385="",S385=""),"",IF(S385&lt;P385,"",ROUND(((NETWORKDAYS(P385,S385,JoursFeries)-1)*(HFer-HOuv)+IF(NETWORKDAYS(S385,S385,JoursFeries),MEDIAN(MOD(S385,1),HFer,HOuv),HFer)-IF(NETWORKDAYS(P385,P385,JoursFeries),MEDIAN(MOD(P385,1),HFer,HOuv),HOuv))*24,4)))/HJour,4),""))</f>
        <v/>
      </c>
      <c r="AY385" s="36" t="str">
        <f aca="false">IF(OR(AO385&lt;&gt;1,AR385=""),"",INDEX(SLA_PEC,AR385))</f>
        <v/>
      </c>
      <c r="AZ385" s="35" t="str">
        <f aca="false">IF(OR(AV385="",AY385=""),"",IF(AV385&lt;=AY385,1,0))</f>
        <v/>
      </c>
      <c r="BA385" s="36" t="str">
        <f aca="false">IF(OR(AO385&lt;&gt;1,AR385=""),"",INDEX(SLA_RES,AR385))</f>
        <v/>
      </c>
      <c r="BB385" s="35" t="str">
        <f aca="false">IF(OR(AW385="",BA385=""),"",IF(AW385&lt;=BA385,1,0))</f>
        <v/>
      </c>
      <c r="BC385" s="38" t="str">
        <f aca="false">IF(OR(BA385="",P385=""),"",WORKDAY(INT(P385),BA385,JoursFeries)+MOD(P385,1))</f>
        <v/>
      </c>
      <c r="BD385" s="39" t="str">
        <f aca="false">IF(AO385&lt;&gt;1,"",IF(OR(AB385&lt;&gt;"",AD385&lt;&gt;""),4,IF(U385&lt;&gt;"",3,IF(T385&lt;&gt;"",2,1))))</f>
        <v/>
      </c>
      <c r="BE385" s="39" t="str">
        <f aca="false">IF(OR(AO385&lt;&gt;1,AR385=""),"",INDEX(NIV_REQ,AR385))</f>
        <v/>
      </c>
      <c r="BF385" s="39" t="str">
        <f aca="false">IF(BE385="","",MAX(BE385,IF(OR(K385="Oui",Z385="Oui"),4,1)))</f>
        <v/>
      </c>
      <c r="BG385" s="35" t="str">
        <f aca="false">IF(OR(BF385="",BD385=""),"",IF(BD385&gt;=BF385,1,0))</f>
        <v/>
      </c>
      <c r="BH385" s="38" t="str">
        <f aca="false">IF(BE385="","",IF(BE385&lt;2,"",IF(BE385=2,IF(AND(T385="",U385=""),"",MIN(T385,U385)),IF(U385="","",U385))))</f>
        <v/>
      </c>
      <c r="BI385" s="37" t="str">
        <f aca="false">IF(BH385="","",IF(OR(O385="",BH385=""),"",IF(BH385&lt;O385,"",ROUND(((NETWORKDAYS(O385,BH385,JoursFeries)-1)*(HFer-HOuv)+IF(NETWORKDAYS(BH385,BH385,JoursFeries),MEDIAN(MOD(BH385,1),HFer,HOuv),HFer)-IF(NETWORKDAYS(O385,O385,JoursFeries),MEDIAN(MOD(O385,1),HFer,HOuv),HOuv))*24,4))))</f>
        <v/>
      </c>
      <c r="BJ385" s="35" t="str">
        <f aca="false">IF(OR(BI385="",AR385=""),"",IF(BI385&lt;=INDEX(DELAI_ESC,AR385),1,0))</f>
        <v/>
      </c>
      <c r="BK385" s="38" t="str">
        <f aca="false">IF(AO385&lt;&gt;1,"",IF(AND(T385="",U385=""),"",MIN(T385,U385)))</f>
        <v/>
      </c>
      <c r="BL385" s="37" t="str">
        <f aca="false">IF(OR(BK385="",R385=""),"",IFERROR(ROUND(IF(OR(BK385="",R385=""),"",IF(R385&lt;BK385,"",ROUND(((NETWORKDAYS(BK385,R385,JoursFeries)-1)*(HFer-HOuv)+IF(NETWORKDAYS(R385,R385,JoursFeries),MEDIAN(MOD(R385,1),HFer,HOuv),HFer)-IF(NETWORKDAYS(BK385,BK385,JoursFeries),MEDIAN(MOD(BK385,1),HFer,HOuv),HOuv))*24,4)))/HJour,4),""))</f>
        <v/>
      </c>
      <c r="BM385" s="35" t="str">
        <f aca="false">IF(OR(AO385&lt;&gt;1,R385=""),"",IF(BD385=1,1,0))</f>
        <v/>
      </c>
      <c r="BN385" s="35" t="str">
        <f aca="false">IF(AO385&lt;&gt;1,"",IF(W385="Oui",1,0))</f>
        <v/>
      </c>
      <c r="BO385" s="35" t="str">
        <f aca="false">IF(AO385&lt;&gt;1,"",IF(X385&lt;&gt;"",1,0))</f>
        <v/>
      </c>
      <c r="BP385" s="35" t="str">
        <f aca="false">IF(AO385&lt;&gt;1,"",IF(Y385="Oui",1,0))</f>
        <v/>
      </c>
      <c r="BQ385" s="35" t="str">
        <f aca="true">IF(OR(AO385&lt;&gt;1,Z385&lt;&gt;"Oui"),"",IF(AB385="",IF(AND(AA385&lt;&gt;"",NOW()&gt;AA385),0,""),IF(AA385="","",IF(AB385&lt;=AA385,1,0))))</f>
        <v/>
      </c>
      <c r="BR385" s="38" t="str">
        <f aca="false">IF(OR(AO385&lt;&gt;1,K385&lt;&gt;"Oui",O385=""),"",IF(AC385="",O385+DORA_H_DET/24,IF(AC385-O385&lt;=DORA_H_DET/24,MIN(AC385+DORA_H_CLA/24,O385+DORA_H_DET/24),AC385+DORA_H_CLA/24)))</f>
        <v/>
      </c>
      <c r="BS385" s="35" t="str">
        <f aca="true">IF(BR385="","",IF(AD385="",IF(NOW()&gt;BR385,0,""),IF(AD385&lt;=BR385,1,0)))</f>
        <v/>
      </c>
      <c r="BT385" s="35" t="str">
        <f aca="true">IF(OR(BR385="",AD385=""),"",IF(AE385="",IF(NOW()&gt;AD385+DORA_H_INT/24,0,""),IF(AE385&lt;=AD385+DORA_H_INT/24,1,0)))</f>
        <v/>
      </c>
      <c r="BU385" s="35" t="str">
        <f aca="true">IF(OR(BR385="",AE385=""),"",IF(AF385="",IF(NOW()&gt;EDATE(AE385,DORA_M_FIN)+1,0,""),IF(AF385&lt;=EDATE(AE385,DORA_M_FIN),1,0)))</f>
        <v/>
      </c>
      <c r="BV385" s="35" t="str">
        <f aca="false">IF(BR385="","",IF(COUNT(BS385:BU385)=0,"",MIN(BS385:BU385)))</f>
        <v/>
      </c>
      <c r="BW385" s="40" t="str">
        <f aca="false">IF(AQ385&lt;&gt;1,"",IF(AND(AG385="",AH385=""),"",N(AG385)-N(AH385)))</f>
        <v/>
      </c>
      <c r="BX385" s="35" t="str">
        <f aca="true">IF(OR(AQ385&lt;&gt;1,AI385&lt;&gt;"Oui",AJ385=""),"",IF(AK385="",IF(NOW()&gt;AJ385+1,0,""),IF(AK385&lt;=AJ385,1,0)))</f>
        <v/>
      </c>
    </row>
    <row r="386" customFormat="false" ht="15" hidden="false" customHeight="false" outlineLevel="0" collapsed="false">
      <c r="B386" s="29"/>
      <c r="C386" s="29"/>
      <c r="D386" s="29"/>
      <c r="E386" s="29"/>
      <c r="F386" s="29"/>
      <c r="G386" s="29"/>
      <c r="H386" s="29"/>
      <c r="I386" s="29"/>
      <c r="J386" s="29"/>
      <c r="K386" s="29"/>
      <c r="L386" s="29"/>
      <c r="M386" s="29"/>
      <c r="N386" s="30"/>
      <c r="O386" s="30"/>
      <c r="P386" s="30"/>
      <c r="Q386" s="30"/>
      <c r="R386" s="30"/>
      <c r="S386" s="30"/>
      <c r="T386" s="30"/>
      <c r="U386" s="30"/>
      <c r="V386" s="31"/>
      <c r="W386" s="29"/>
      <c r="X386" s="29"/>
      <c r="Y386" s="29"/>
      <c r="Z386" s="29"/>
      <c r="AA386" s="30"/>
      <c r="AB386" s="30"/>
      <c r="AC386" s="30"/>
      <c r="AD386" s="30"/>
      <c r="AE386" s="30"/>
      <c r="AF386" s="32"/>
      <c r="AG386" s="33"/>
      <c r="AH386" s="33"/>
      <c r="AI386" s="29"/>
      <c r="AJ386" s="32"/>
      <c r="AK386" s="32"/>
      <c r="AL386" s="29"/>
      <c r="AN386" s="34" t="str">
        <f aca="false">IF($B386="","",IF(OR(C386="",D386="",E386="",G386="",I386="",J386="",L386="",O386="",P386=""),"Champ obligatoire manquant",IF(OR(AND(N386&lt;&gt;"",N386&gt;O386),O386&gt;P386,AND(Q386&lt;&gt;"",Q386&lt;P386),AND(R386&lt;&gt;"",R386&lt;P386),AND(S386&lt;&gt;"",S386&lt;R386),AND(S386&lt;&gt;"",R386=""),AND(T386&lt;&gt;"",T386&lt;O386),AND(U386&lt;&gt;"",U386&lt;O386)),"Chronologie incohérente",IF(AND(OR(L386="Résolu",L386="Clos"),R386=""),"Date de résolution manquante",IF(AND(L386="Clos",S386=""),"Date de clôture manquante",IF(AND(K386="Oui",AC386=""),"Classification DORA manquante","OK"))))))</f>
        <v/>
      </c>
      <c r="AO386" s="35" t="str">
        <f aca="false">IF($B386="","",IF(AND(C386="Incident",L386&lt;&gt;"Annulé"),1,0))</f>
        <v/>
      </c>
      <c r="AP386" s="35" t="str">
        <f aca="false">IF($B386="","",IF(AND(C386="Quasi-incident",L386&lt;&gt;"Annulé"),1,0))</f>
        <v/>
      </c>
      <c r="AQ386" s="35" t="str">
        <f aca="false">IF($B386="","",AO386+AP386)</f>
        <v/>
      </c>
      <c r="AR386" s="36" t="str">
        <f aca="false">IF(OR($B386="",J386=""),"",IFERROR(VALUE(LEFT(J386,1)),""))</f>
        <v/>
      </c>
      <c r="AS386" s="35" t="str">
        <f aca="false">IF(OR(AO386&lt;&gt;1,G386=""),"",IFERROR(IF(INDEX(L_SrcInterne,MATCH(G386,L_Sources,0))="Oui",1,0),""))</f>
        <v/>
      </c>
      <c r="AT386" s="37" t="str">
        <f aca="false">IF(AO386&lt;&gt;1,"",IFERROR(ROUND(IF(OR(N386="",O386=""),"",IF(O386&lt;N386,"",ROUND(((NETWORKDAYS(N386,O386,JoursFeries)-1)*(HFer-HOuv)+IF(NETWORKDAYS(O386,O386,JoursFeries),MEDIAN(MOD(O386,1),HFer,HOuv),HFer)-IF(NETWORKDAYS(N386,N386,JoursFeries),MEDIAN(MOD(N386,1),HFer,HOuv),HOuv))*24,4)))/HJour,4),""))</f>
        <v/>
      </c>
      <c r="AU386" s="37" t="str">
        <f aca="false">IF(AO386&lt;&gt;1,"",IF(OR(O386="",P386=""),"",IF(P386&lt;O386,"",ROUND(((NETWORKDAYS(O386,P386,JoursFeries)-1)*(HFer-HOuv)+IF(NETWORKDAYS(P386,P386,JoursFeries),MEDIAN(MOD(P386,1),HFer,HOuv),HFer)-IF(NETWORKDAYS(O386,O386,JoursFeries),MEDIAN(MOD(O386,1),HFer,HOuv),HOuv))*24,4))))</f>
        <v/>
      </c>
      <c r="AV386" s="37" t="str">
        <f aca="false">IF(AO386&lt;&gt;1,"",IF(OR(P386="",Q386=""),"",IF(Q386&lt;P386,"",ROUND(((NETWORKDAYS(P386,Q386,JoursFeries)-1)*(HFer-HOuv)+IF(NETWORKDAYS(Q386,Q386,JoursFeries),MEDIAN(MOD(Q386,1),HFer,HOuv),HFer)-IF(NETWORKDAYS(P386,P386,JoursFeries),MEDIAN(MOD(P386,1),HFer,HOuv),HOuv))*24,4))))</f>
        <v/>
      </c>
      <c r="AW386" s="37" t="str">
        <f aca="false">IF(AO386&lt;&gt;1,"",IFERROR(ROUND(IF(OR(P386="",R386=""),"",IF(R386&lt;P386,"",ROUND(((NETWORKDAYS(P386,R386,JoursFeries)-1)*(HFer-HOuv)+IF(NETWORKDAYS(R386,R386,JoursFeries),MEDIAN(MOD(R386,1),HFer,HOuv),HFer)-IF(NETWORKDAYS(P386,P386,JoursFeries),MEDIAN(MOD(P386,1),HFer,HOuv),HOuv))*24,4)))/HJour,4),""))</f>
        <v/>
      </c>
      <c r="AX386" s="37" t="str">
        <f aca="false">IF(AO386&lt;&gt;1,"",IFERROR(ROUND(IF(OR(P386="",S386=""),"",IF(S386&lt;P386,"",ROUND(((NETWORKDAYS(P386,S386,JoursFeries)-1)*(HFer-HOuv)+IF(NETWORKDAYS(S386,S386,JoursFeries),MEDIAN(MOD(S386,1),HFer,HOuv),HFer)-IF(NETWORKDAYS(P386,P386,JoursFeries),MEDIAN(MOD(P386,1),HFer,HOuv),HOuv))*24,4)))/HJour,4),""))</f>
        <v/>
      </c>
      <c r="AY386" s="36" t="str">
        <f aca="false">IF(OR(AO386&lt;&gt;1,AR386=""),"",INDEX(SLA_PEC,AR386))</f>
        <v/>
      </c>
      <c r="AZ386" s="35" t="str">
        <f aca="false">IF(OR(AV386="",AY386=""),"",IF(AV386&lt;=AY386,1,0))</f>
        <v/>
      </c>
      <c r="BA386" s="36" t="str">
        <f aca="false">IF(OR(AO386&lt;&gt;1,AR386=""),"",INDEX(SLA_RES,AR386))</f>
        <v/>
      </c>
      <c r="BB386" s="35" t="str">
        <f aca="false">IF(OR(AW386="",BA386=""),"",IF(AW386&lt;=BA386,1,0))</f>
        <v/>
      </c>
      <c r="BC386" s="38" t="str">
        <f aca="false">IF(OR(BA386="",P386=""),"",WORKDAY(INT(P386),BA386,JoursFeries)+MOD(P386,1))</f>
        <v/>
      </c>
      <c r="BD386" s="39" t="str">
        <f aca="false">IF(AO386&lt;&gt;1,"",IF(OR(AB386&lt;&gt;"",AD386&lt;&gt;""),4,IF(U386&lt;&gt;"",3,IF(T386&lt;&gt;"",2,1))))</f>
        <v/>
      </c>
      <c r="BE386" s="39" t="str">
        <f aca="false">IF(OR(AO386&lt;&gt;1,AR386=""),"",INDEX(NIV_REQ,AR386))</f>
        <v/>
      </c>
      <c r="BF386" s="39" t="str">
        <f aca="false">IF(BE386="","",MAX(BE386,IF(OR(K386="Oui",Z386="Oui"),4,1)))</f>
        <v/>
      </c>
      <c r="BG386" s="35" t="str">
        <f aca="false">IF(OR(BF386="",BD386=""),"",IF(BD386&gt;=BF386,1,0))</f>
        <v/>
      </c>
      <c r="BH386" s="38" t="str">
        <f aca="false">IF(BE386="","",IF(BE386&lt;2,"",IF(BE386=2,IF(AND(T386="",U386=""),"",MIN(T386,U386)),IF(U386="","",U386))))</f>
        <v/>
      </c>
      <c r="BI386" s="37" t="str">
        <f aca="false">IF(BH386="","",IF(OR(O386="",BH386=""),"",IF(BH386&lt;O386,"",ROUND(((NETWORKDAYS(O386,BH386,JoursFeries)-1)*(HFer-HOuv)+IF(NETWORKDAYS(BH386,BH386,JoursFeries),MEDIAN(MOD(BH386,1),HFer,HOuv),HFer)-IF(NETWORKDAYS(O386,O386,JoursFeries),MEDIAN(MOD(O386,1),HFer,HOuv),HOuv))*24,4))))</f>
        <v/>
      </c>
      <c r="BJ386" s="35" t="str">
        <f aca="false">IF(OR(BI386="",AR386=""),"",IF(BI386&lt;=INDEX(DELAI_ESC,AR386),1,0))</f>
        <v/>
      </c>
      <c r="BK386" s="38" t="str">
        <f aca="false">IF(AO386&lt;&gt;1,"",IF(AND(T386="",U386=""),"",MIN(T386,U386)))</f>
        <v/>
      </c>
      <c r="BL386" s="37" t="str">
        <f aca="false">IF(OR(BK386="",R386=""),"",IFERROR(ROUND(IF(OR(BK386="",R386=""),"",IF(R386&lt;BK386,"",ROUND(((NETWORKDAYS(BK386,R386,JoursFeries)-1)*(HFer-HOuv)+IF(NETWORKDAYS(R386,R386,JoursFeries),MEDIAN(MOD(R386,1),HFer,HOuv),HFer)-IF(NETWORKDAYS(BK386,BK386,JoursFeries),MEDIAN(MOD(BK386,1),HFer,HOuv),HOuv))*24,4)))/HJour,4),""))</f>
        <v/>
      </c>
      <c r="BM386" s="35" t="str">
        <f aca="false">IF(OR(AO386&lt;&gt;1,R386=""),"",IF(BD386=1,1,0))</f>
        <v/>
      </c>
      <c r="BN386" s="35" t="str">
        <f aca="false">IF(AO386&lt;&gt;1,"",IF(W386="Oui",1,0))</f>
        <v/>
      </c>
      <c r="BO386" s="35" t="str">
        <f aca="false">IF(AO386&lt;&gt;1,"",IF(X386&lt;&gt;"",1,0))</f>
        <v/>
      </c>
      <c r="BP386" s="35" t="str">
        <f aca="false">IF(AO386&lt;&gt;1,"",IF(Y386="Oui",1,0))</f>
        <v/>
      </c>
      <c r="BQ386" s="35" t="str">
        <f aca="true">IF(OR(AO386&lt;&gt;1,Z386&lt;&gt;"Oui"),"",IF(AB386="",IF(AND(AA386&lt;&gt;"",NOW()&gt;AA386),0,""),IF(AA386="","",IF(AB386&lt;=AA386,1,0))))</f>
        <v/>
      </c>
      <c r="BR386" s="38" t="str">
        <f aca="false">IF(OR(AO386&lt;&gt;1,K386&lt;&gt;"Oui",O386=""),"",IF(AC386="",O386+DORA_H_DET/24,IF(AC386-O386&lt;=DORA_H_DET/24,MIN(AC386+DORA_H_CLA/24,O386+DORA_H_DET/24),AC386+DORA_H_CLA/24)))</f>
        <v/>
      </c>
      <c r="BS386" s="35" t="str">
        <f aca="true">IF(BR386="","",IF(AD386="",IF(NOW()&gt;BR386,0,""),IF(AD386&lt;=BR386,1,0)))</f>
        <v/>
      </c>
      <c r="BT386" s="35" t="str">
        <f aca="true">IF(OR(BR386="",AD386=""),"",IF(AE386="",IF(NOW()&gt;AD386+DORA_H_INT/24,0,""),IF(AE386&lt;=AD386+DORA_H_INT/24,1,0)))</f>
        <v/>
      </c>
      <c r="BU386" s="35" t="str">
        <f aca="true">IF(OR(BR386="",AE386=""),"",IF(AF386="",IF(NOW()&gt;EDATE(AE386,DORA_M_FIN)+1,0,""),IF(AF386&lt;=EDATE(AE386,DORA_M_FIN),1,0)))</f>
        <v/>
      </c>
      <c r="BV386" s="35" t="str">
        <f aca="false">IF(BR386="","",IF(COUNT(BS386:BU386)=0,"",MIN(BS386:BU386)))</f>
        <v/>
      </c>
      <c r="BW386" s="40" t="str">
        <f aca="false">IF(AQ386&lt;&gt;1,"",IF(AND(AG386="",AH386=""),"",N(AG386)-N(AH386)))</f>
        <v/>
      </c>
      <c r="BX386" s="35" t="str">
        <f aca="true">IF(OR(AQ386&lt;&gt;1,AI386&lt;&gt;"Oui",AJ386=""),"",IF(AK386="",IF(NOW()&gt;AJ386+1,0,""),IF(AK386&lt;=AJ386,1,0)))</f>
        <v/>
      </c>
    </row>
    <row r="387" customFormat="false" ht="15" hidden="false" customHeight="false" outlineLevel="0" collapsed="false">
      <c r="B387" s="29"/>
      <c r="C387" s="29"/>
      <c r="D387" s="29"/>
      <c r="E387" s="29"/>
      <c r="F387" s="29"/>
      <c r="G387" s="29"/>
      <c r="H387" s="29"/>
      <c r="I387" s="29"/>
      <c r="J387" s="29"/>
      <c r="K387" s="29"/>
      <c r="L387" s="29"/>
      <c r="M387" s="29"/>
      <c r="N387" s="30"/>
      <c r="O387" s="30"/>
      <c r="P387" s="30"/>
      <c r="Q387" s="30"/>
      <c r="R387" s="30"/>
      <c r="S387" s="30"/>
      <c r="T387" s="30"/>
      <c r="U387" s="30"/>
      <c r="V387" s="31"/>
      <c r="W387" s="29"/>
      <c r="X387" s="29"/>
      <c r="Y387" s="29"/>
      <c r="Z387" s="29"/>
      <c r="AA387" s="30"/>
      <c r="AB387" s="30"/>
      <c r="AC387" s="30"/>
      <c r="AD387" s="30"/>
      <c r="AE387" s="30"/>
      <c r="AF387" s="32"/>
      <c r="AG387" s="33"/>
      <c r="AH387" s="33"/>
      <c r="AI387" s="29"/>
      <c r="AJ387" s="32"/>
      <c r="AK387" s="32"/>
      <c r="AL387" s="29"/>
      <c r="AN387" s="34" t="str">
        <f aca="false">IF($B387="","",IF(OR(C387="",D387="",E387="",G387="",I387="",J387="",L387="",O387="",P387=""),"Champ obligatoire manquant",IF(OR(AND(N387&lt;&gt;"",N387&gt;O387),O387&gt;P387,AND(Q387&lt;&gt;"",Q387&lt;P387),AND(R387&lt;&gt;"",R387&lt;P387),AND(S387&lt;&gt;"",S387&lt;R387),AND(S387&lt;&gt;"",R387=""),AND(T387&lt;&gt;"",T387&lt;O387),AND(U387&lt;&gt;"",U387&lt;O387)),"Chronologie incohérente",IF(AND(OR(L387="Résolu",L387="Clos"),R387=""),"Date de résolution manquante",IF(AND(L387="Clos",S387=""),"Date de clôture manquante",IF(AND(K387="Oui",AC387=""),"Classification DORA manquante","OK"))))))</f>
        <v/>
      </c>
      <c r="AO387" s="35" t="str">
        <f aca="false">IF($B387="","",IF(AND(C387="Incident",L387&lt;&gt;"Annulé"),1,0))</f>
        <v/>
      </c>
      <c r="AP387" s="35" t="str">
        <f aca="false">IF($B387="","",IF(AND(C387="Quasi-incident",L387&lt;&gt;"Annulé"),1,0))</f>
        <v/>
      </c>
      <c r="AQ387" s="35" t="str">
        <f aca="false">IF($B387="","",AO387+AP387)</f>
        <v/>
      </c>
      <c r="AR387" s="36" t="str">
        <f aca="false">IF(OR($B387="",J387=""),"",IFERROR(VALUE(LEFT(J387,1)),""))</f>
        <v/>
      </c>
      <c r="AS387" s="35" t="str">
        <f aca="false">IF(OR(AO387&lt;&gt;1,G387=""),"",IFERROR(IF(INDEX(L_SrcInterne,MATCH(G387,L_Sources,0))="Oui",1,0),""))</f>
        <v/>
      </c>
      <c r="AT387" s="37" t="str">
        <f aca="false">IF(AO387&lt;&gt;1,"",IFERROR(ROUND(IF(OR(N387="",O387=""),"",IF(O387&lt;N387,"",ROUND(((NETWORKDAYS(N387,O387,JoursFeries)-1)*(HFer-HOuv)+IF(NETWORKDAYS(O387,O387,JoursFeries),MEDIAN(MOD(O387,1),HFer,HOuv),HFer)-IF(NETWORKDAYS(N387,N387,JoursFeries),MEDIAN(MOD(N387,1),HFer,HOuv),HOuv))*24,4)))/HJour,4),""))</f>
        <v/>
      </c>
      <c r="AU387" s="37" t="str">
        <f aca="false">IF(AO387&lt;&gt;1,"",IF(OR(O387="",P387=""),"",IF(P387&lt;O387,"",ROUND(((NETWORKDAYS(O387,P387,JoursFeries)-1)*(HFer-HOuv)+IF(NETWORKDAYS(P387,P387,JoursFeries),MEDIAN(MOD(P387,1),HFer,HOuv),HFer)-IF(NETWORKDAYS(O387,O387,JoursFeries),MEDIAN(MOD(O387,1),HFer,HOuv),HOuv))*24,4))))</f>
        <v/>
      </c>
      <c r="AV387" s="37" t="str">
        <f aca="false">IF(AO387&lt;&gt;1,"",IF(OR(P387="",Q387=""),"",IF(Q387&lt;P387,"",ROUND(((NETWORKDAYS(P387,Q387,JoursFeries)-1)*(HFer-HOuv)+IF(NETWORKDAYS(Q387,Q387,JoursFeries),MEDIAN(MOD(Q387,1),HFer,HOuv),HFer)-IF(NETWORKDAYS(P387,P387,JoursFeries),MEDIAN(MOD(P387,1),HFer,HOuv),HOuv))*24,4))))</f>
        <v/>
      </c>
      <c r="AW387" s="37" t="str">
        <f aca="false">IF(AO387&lt;&gt;1,"",IFERROR(ROUND(IF(OR(P387="",R387=""),"",IF(R387&lt;P387,"",ROUND(((NETWORKDAYS(P387,R387,JoursFeries)-1)*(HFer-HOuv)+IF(NETWORKDAYS(R387,R387,JoursFeries),MEDIAN(MOD(R387,1),HFer,HOuv),HFer)-IF(NETWORKDAYS(P387,P387,JoursFeries),MEDIAN(MOD(P387,1),HFer,HOuv),HOuv))*24,4)))/HJour,4),""))</f>
        <v/>
      </c>
      <c r="AX387" s="37" t="str">
        <f aca="false">IF(AO387&lt;&gt;1,"",IFERROR(ROUND(IF(OR(P387="",S387=""),"",IF(S387&lt;P387,"",ROUND(((NETWORKDAYS(P387,S387,JoursFeries)-1)*(HFer-HOuv)+IF(NETWORKDAYS(S387,S387,JoursFeries),MEDIAN(MOD(S387,1),HFer,HOuv),HFer)-IF(NETWORKDAYS(P387,P387,JoursFeries),MEDIAN(MOD(P387,1),HFer,HOuv),HOuv))*24,4)))/HJour,4),""))</f>
        <v/>
      </c>
      <c r="AY387" s="36" t="str">
        <f aca="false">IF(OR(AO387&lt;&gt;1,AR387=""),"",INDEX(SLA_PEC,AR387))</f>
        <v/>
      </c>
      <c r="AZ387" s="35" t="str">
        <f aca="false">IF(OR(AV387="",AY387=""),"",IF(AV387&lt;=AY387,1,0))</f>
        <v/>
      </c>
      <c r="BA387" s="36" t="str">
        <f aca="false">IF(OR(AO387&lt;&gt;1,AR387=""),"",INDEX(SLA_RES,AR387))</f>
        <v/>
      </c>
      <c r="BB387" s="35" t="str">
        <f aca="false">IF(OR(AW387="",BA387=""),"",IF(AW387&lt;=BA387,1,0))</f>
        <v/>
      </c>
      <c r="BC387" s="38" t="str">
        <f aca="false">IF(OR(BA387="",P387=""),"",WORKDAY(INT(P387),BA387,JoursFeries)+MOD(P387,1))</f>
        <v/>
      </c>
      <c r="BD387" s="39" t="str">
        <f aca="false">IF(AO387&lt;&gt;1,"",IF(OR(AB387&lt;&gt;"",AD387&lt;&gt;""),4,IF(U387&lt;&gt;"",3,IF(T387&lt;&gt;"",2,1))))</f>
        <v/>
      </c>
      <c r="BE387" s="39" t="str">
        <f aca="false">IF(OR(AO387&lt;&gt;1,AR387=""),"",INDEX(NIV_REQ,AR387))</f>
        <v/>
      </c>
      <c r="BF387" s="39" t="str">
        <f aca="false">IF(BE387="","",MAX(BE387,IF(OR(K387="Oui",Z387="Oui"),4,1)))</f>
        <v/>
      </c>
      <c r="BG387" s="35" t="str">
        <f aca="false">IF(OR(BF387="",BD387=""),"",IF(BD387&gt;=BF387,1,0))</f>
        <v/>
      </c>
      <c r="BH387" s="38" t="str">
        <f aca="false">IF(BE387="","",IF(BE387&lt;2,"",IF(BE387=2,IF(AND(T387="",U387=""),"",MIN(T387,U387)),IF(U387="","",U387))))</f>
        <v/>
      </c>
      <c r="BI387" s="37" t="str">
        <f aca="false">IF(BH387="","",IF(OR(O387="",BH387=""),"",IF(BH387&lt;O387,"",ROUND(((NETWORKDAYS(O387,BH387,JoursFeries)-1)*(HFer-HOuv)+IF(NETWORKDAYS(BH387,BH387,JoursFeries),MEDIAN(MOD(BH387,1),HFer,HOuv),HFer)-IF(NETWORKDAYS(O387,O387,JoursFeries),MEDIAN(MOD(O387,1),HFer,HOuv),HOuv))*24,4))))</f>
        <v/>
      </c>
      <c r="BJ387" s="35" t="str">
        <f aca="false">IF(OR(BI387="",AR387=""),"",IF(BI387&lt;=INDEX(DELAI_ESC,AR387),1,0))</f>
        <v/>
      </c>
      <c r="BK387" s="38" t="str">
        <f aca="false">IF(AO387&lt;&gt;1,"",IF(AND(T387="",U387=""),"",MIN(T387,U387)))</f>
        <v/>
      </c>
      <c r="BL387" s="37" t="str">
        <f aca="false">IF(OR(BK387="",R387=""),"",IFERROR(ROUND(IF(OR(BK387="",R387=""),"",IF(R387&lt;BK387,"",ROUND(((NETWORKDAYS(BK387,R387,JoursFeries)-1)*(HFer-HOuv)+IF(NETWORKDAYS(R387,R387,JoursFeries),MEDIAN(MOD(R387,1),HFer,HOuv),HFer)-IF(NETWORKDAYS(BK387,BK387,JoursFeries),MEDIAN(MOD(BK387,1),HFer,HOuv),HOuv))*24,4)))/HJour,4),""))</f>
        <v/>
      </c>
      <c r="BM387" s="35" t="str">
        <f aca="false">IF(OR(AO387&lt;&gt;1,R387=""),"",IF(BD387=1,1,0))</f>
        <v/>
      </c>
      <c r="BN387" s="35" t="str">
        <f aca="false">IF(AO387&lt;&gt;1,"",IF(W387="Oui",1,0))</f>
        <v/>
      </c>
      <c r="BO387" s="35" t="str">
        <f aca="false">IF(AO387&lt;&gt;1,"",IF(X387&lt;&gt;"",1,0))</f>
        <v/>
      </c>
      <c r="BP387" s="35" t="str">
        <f aca="false">IF(AO387&lt;&gt;1,"",IF(Y387="Oui",1,0))</f>
        <v/>
      </c>
      <c r="BQ387" s="35" t="str">
        <f aca="true">IF(OR(AO387&lt;&gt;1,Z387&lt;&gt;"Oui"),"",IF(AB387="",IF(AND(AA387&lt;&gt;"",NOW()&gt;AA387),0,""),IF(AA387="","",IF(AB387&lt;=AA387,1,0))))</f>
        <v/>
      </c>
      <c r="BR387" s="38" t="str">
        <f aca="false">IF(OR(AO387&lt;&gt;1,K387&lt;&gt;"Oui",O387=""),"",IF(AC387="",O387+DORA_H_DET/24,IF(AC387-O387&lt;=DORA_H_DET/24,MIN(AC387+DORA_H_CLA/24,O387+DORA_H_DET/24),AC387+DORA_H_CLA/24)))</f>
        <v/>
      </c>
      <c r="BS387" s="35" t="str">
        <f aca="true">IF(BR387="","",IF(AD387="",IF(NOW()&gt;BR387,0,""),IF(AD387&lt;=BR387,1,0)))</f>
        <v/>
      </c>
      <c r="BT387" s="35" t="str">
        <f aca="true">IF(OR(BR387="",AD387=""),"",IF(AE387="",IF(NOW()&gt;AD387+DORA_H_INT/24,0,""),IF(AE387&lt;=AD387+DORA_H_INT/24,1,0)))</f>
        <v/>
      </c>
      <c r="BU387" s="35" t="str">
        <f aca="true">IF(OR(BR387="",AE387=""),"",IF(AF387="",IF(NOW()&gt;EDATE(AE387,DORA_M_FIN)+1,0,""),IF(AF387&lt;=EDATE(AE387,DORA_M_FIN),1,0)))</f>
        <v/>
      </c>
      <c r="BV387" s="35" t="str">
        <f aca="false">IF(BR387="","",IF(COUNT(BS387:BU387)=0,"",MIN(BS387:BU387)))</f>
        <v/>
      </c>
      <c r="BW387" s="40" t="str">
        <f aca="false">IF(AQ387&lt;&gt;1,"",IF(AND(AG387="",AH387=""),"",N(AG387)-N(AH387)))</f>
        <v/>
      </c>
      <c r="BX387" s="35" t="str">
        <f aca="true">IF(OR(AQ387&lt;&gt;1,AI387&lt;&gt;"Oui",AJ387=""),"",IF(AK387="",IF(NOW()&gt;AJ387+1,0,""),IF(AK387&lt;=AJ387,1,0)))</f>
        <v/>
      </c>
    </row>
    <row r="388" customFormat="false" ht="15" hidden="false" customHeight="false" outlineLevel="0" collapsed="false">
      <c r="B388" s="29"/>
      <c r="C388" s="29"/>
      <c r="D388" s="29"/>
      <c r="E388" s="29"/>
      <c r="F388" s="29"/>
      <c r="G388" s="29"/>
      <c r="H388" s="29"/>
      <c r="I388" s="29"/>
      <c r="J388" s="29"/>
      <c r="K388" s="29"/>
      <c r="L388" s="29"/>
      <c r="M388" s="29"/>
      <c r="N388" s="30"/>
      <c r="O388" s="30"/>
      <c r="P388" s="30"/>
      <c r="Q388" s="30"/>
      <c r="R388" s="30"/>
      <c r="S388" s="30"/>
      <c r="T388" s="30"/>
      <c r="U388" s="30"/>
      <c r="V388" s="31"/>
      <c r="W388" s="29"/>
      <c r="X388" s="29"/>
      <c r="Y388" s="29"/>
      <c r="Z388" s="29"/>
      <c r="AA388" s="30"/>
      <c r="AB388" s="30"/>
      <c r="AC388" s="30"/>
      <c r="AD388" s="30"/>
      <c r="AE388" s="30"/>
      <c r="AF388" s="32"/>
      <c r="AG388" s="33"/>
      <c r="AH388" s="33"/>
      <c r="AI388" s="29"/>
      <c r="AJ388" s="32"/>
      <c r="AK388" s="32"/>
      <c r="AL388" s="29"/>
      <c r="AN388" s="34" t="str">
        <f aca="false">IF($B388="","",IF(OR(C388="",D388="",E388="",G388="",I388="",J388="",L388="",O388="",P388=""),"Champ obligatoire manquant",IF(OR(AND(N388&lt;&gt;"",N388&gt;O388),O388&gt;P388,AND(Q388&lt;&gt;"",Q388&lt;P388),AND(R388&lt;&gt;"",R388&lt;P388),AND(S388&lt;&gt;"",S388&lt;R388),AND(S388&lt;&gt;"",R388=""),AND(T388&lt;&gt;"",T388&lt;O388),AND(U388&lt;&gt;"",U388&lt;O388)),"Chronologie incohérente",IF(AND(OR(L388="Résolu",L388="Clos"),R388=""),"Date de résolution manquante",IF(AND(L388="Clos",S388=""),"Date de clôture manquante",IF(AND(K388="Oui",AC388=""),"Classification DORA manquante","OK"))))))</f>
        <v/>
      </c>
      <c r="AO388" s="35" t="str">
        <f aca="false">IF($B388="","",IF(AND(C388="Incident",L388&lt;&gt;"Annulé"),1,0))</f>
        <v/>
      </c>
      <c r="AP388" s="35" t="str">
        <f aca="false">IF($B388="","",IF(AND(C388="Quasi-incident",L388&lt;&gt;"Annulé"),1,0))</f>
        <v/>
      </c>
      <c r="AQ388" s="35" t="str">
        <f aca="false">IF($B388="","",AO388+AP388)</f>
        <v/>
      </c>
      <c r="AR388" s="36" t="str">
        <f aca="false">IF(OR($B388="",J388=""),"",IFERROR(VALUE(LEFT(J388,1)),""))</f>
        <v/>
      </c>
      <c r="AS388" s="35" t="str">
        <f aca="false">IF(OR(AO388&lt;&gt;1,G388=""),"",IFERROR(IF(INDEX(L_SrcInterne,MATCH(G388,L_Sources,0))="Oui",1,0),""))</f>
        <v/>
      </c>
      <c r="AT388" s="37" t="str">
        <f aca="false">IF(AO388&lt;&gt;1,"",IFERROR(ROUND(IF(OR(N388="",O388=""),"",IF(O388&lt;N388,"",ROUND(((NETWORKDAYS(N388,O388,JoursFeries)-1)*(HFer-HOuv)+IF(NETWORKDAYS(O388,O388,JoursFeries),MEDIAN(MOD(O388,1),HFer,HOuv),HFer)-IF(NETWORKDAYS(N388,N388,JoursFeries),MEDIAN(MOD(N388,1),HFer,HOuv),HOuv))*24,4)))/HJour,4),""))</f>
        <v/>
      </c>
      <c r="AU388" s="37" t="str">
        <f aca="false">IF(AO388&lt;&gt;1,"",IF(OR(O388="",P388=""),"",IF(P388&lt;O388,"",ROUND(((NETWORKDAYS(O388,P388,JoursFeries)-1)*(HFer-HOuv)+IF(NETWORKDAYS(P388,P388,JoursFeries),MEDIAN(MOD(P388,1),HFer,HOuv),HFer)-IF(NETWORKDAYS(O388,O388,JoursFeries),MEDIAN(MOD(O388,1),HFer,HOuv),HOuv))*24,4))))</f>
        <v/>
      </c>
      <c r="AV388" s="37" t="str">
        <f aca="false">IF(AO388&lt;&gt;1,"",IF(OR(P388="",Q388=""),"",IF(Q388&lt;P388,"",ROUND(((NETWORKDAYS(P388,Q388,JoursFeries)-1)*(HFer-HOuv)+IF(NETWORKDAYS(Q388,Q388,JoursFeries),MEDIAN(MOD(Q388,1),HFer,HOuv),HFer)-IF(NETWORKDAYS(P388,P388,JoursFeries),MEDIAN(MOD(P388,1),HFer,HOuv),HOuv))*24,4))))</f>
        <v/>
      </c>
      <c r="AW388" s="37" t="str">
        <f aca="false">IF(AO388&lt;&gt;1,"",IFERROR(ROUND(IF(OR(P388="",R388=""),"",IF(R388&lt;P388,"",ROUND(((NETWORKDAYS(P388,R388,JoursFeries)-1)*(HFer-HOuv)+IF(NETWORKDAYS(R388,R388,JoursFeries),MEDIAN(MOD(R388,1),HFer,HOuv),HFer)-IF(NETWORKDAYS(P388,P388,JoursFeries),MEDIAN(MOD(P388,1),HFer,HOuv),HOuv))*24,4)))/HJour,4),""))</f>
        <v/>
      </c>
      <c r="AX388" s="37" t="str">
        <f aca="false">IF(AO388&lt;&gt;1,"",IFERROR(ROUND(IF(OR(P388="",S388=""),"",IF(S388&lt;P388,"",ROUND(((NETWORKDAYS(P388,S388,JoursFeries)-1)*(HFer-HOuv)+IF(NETWORKDAYS(S388,S388,JoursFeries),MEDIAN(MOD(S388,1),HFer,HOuv),HFer)-IF(NETWORKDAYS(P388,P388,JoursFeries),MEDIAN(MOD(P388,1),HFer,HOuv),HOuv))*24,4)))/HJour,4),""))</f>
        <v/>
      </c>
      <c r="AY388" s="36" t="str">
        <f aca="false">IF(OR(AO388&lt;&gt;1,AR388=""),"",INDEX(SLA_PEC,AR388))</f>
        <v/>
      </c>
      <c r="AZ388" s="35" t="str">
        <f aca="false">IF(OR(AV388="",AY388=""),"",IF(AV388&lt;=AY388,1,0))</f>
        <v/>
      </c>
      <c r="BA388" s="36" t="str">
        <f aca="false">IF(OR(AO388&lt;&gt;1,AR388=""),"",INDEX(SLA_RES,AR388))</f>
        <v/>
      </c>
      <c r="BB388" s="35" t="str">
        <f aca="false">IF(OR(AW388="",BA388=""),"",IF(AW388&lt;=BA388,1,0))</f>
        <v/>
      </c>
      <c r="BC388" s="38" t="str">
        <f aca="false">IF(OR(BA388="",P388=""),"",WORKDAY(INT(P388),BA388,JoursFeries)+MOD(P388,1))</f>
        <v/>
      </c>
      <c r="BD388" s="39" t="str">
        <f aca="false">IF(AO388&lt;&gt;1,"",IF(OR(AB388&lt;&gt;"",AD388&lt;&gt;""),4,IF(U388&lt;&gt;"",3,IF(T388&lt;&gt;"",2,1))))</f>
        <v/>
      </c>
      <c r="BE388" s="39" t="str">
        <f aca="false">IF(OR(AO388&lt;&gt;1,AR388=""),"",INDEX(NIV_REQ,AR388))</f>
        <v/>
      </c>
      <c r="BF388" s="39" t="str">
        <f aca="false">IF(BE388="","",MAX(BE388,IF(OR(K388="Oui",Z388="Oui"),4,1)))</f>
        <v/>
      </c>
      <c r="BG388" s="35" t="str">
        <f aca="false">IF(OR(BF388="",BD388=""),"",IF(BD388&gt;=BF388,1,0))</f>
        <v/>
      </c>
      <c r="BH388" s="38" t="str">
        <f aca="false">IF(BE388="","",IF(BE388&lt;2,"",IF(BE388=2,IF(AND(T388="",U388=""),"",MIN(T388,U388)),IF(U388="","",U388))))</f>
        <v/>
      </c>
      <c r="BI388" s="37" t="str">
        <f aca="false">IF(BH388="","",IF(OR(O388="",BH388=""),"",IF(BH388&lt;O388,"",ROUND(((NETWORKDAYS(O388,BH388,JoursFeries)-1)*(HFer-HOuv)+IF(NETWORKDAYS(BH388,BH388,JoursFeries),MEDIAN(MOD(BH388,1),HFer,HOuv),HFer)-IF(NETWORKDAYS(O388,O388,JoursFeries),MEDIAN(MOD(O388,1),HFer,HOuv),HOuv))*24,4))))</f>
        <v/>
      </c>
      <c r="BJ388" s="35" t="str">
        <f aca="false">IF(OR(BI388="",AR388=""),"",IF(BI388&lt;=INDEX(DELAI_ESC,AR388),1,0))</f>
        <v/>
      </c>
      <c r="BK388" s="38" t="str">
        <f aca="false">IF(AO388&lt;&gt;1,"",IF(AND(T388="",U388=""),"",MIN(T388,U388)))</f>
        <v/>
      </c>
      <c r="BL388" s="37" t="str">
        <f aca="false">IF(OR(BK388="",R388=""),"",IFERROR(ROUND(IF(OR(BK388="",R388=""),"",IF(R388&lt;BK388,"",ROUND(((NETWORKDAYS(BK388,R388,JoursFeries)-1)*(HFer-HOuv)+IF(NETWORKDAYS(R388,R388,JoursFeries),MEDIAN(MOD(R388,1),HFer,HOuv),HFer)-IF(NETWORKDAYS(BK388,BK388,JoursFeries),MEDIAN(MOD(BK388,1),HFer,HOuv),HOuv))*24,4)))/HJour,4),""))</f>
        <v/>
      </c>
      <c r="BM388" s="35" t="str">
        <f aca="false">IF(OR(AO388&lt;&gt;1,R388=""),"",IF(BD388=1,1,0))</f>
        <v/>
      </c>
      <c r="BN388" s="35" t="str">
        <f aca="false">IF(AO388&lt;&gt;1,"",IF(W388="Oui",1,0))</f>
        <v/>
      </c>
      <c r="BO388" s="35" t="str">
        <f aca="false">IF(AO388&lt;&gt;1,"",IF(X388&lt;&gt;"",1,0))</f>
        <v/>
      </c>
      <c r="BP388" s="35" t="str">
        <f aca="false">IF(AO388&lt;&gt;1,"",IF(Y388="Oui",1,0))</f>
        <v/>
      </c>
      <c r="BQ388" s="35" t="str">
        <f aca="true">IF(OR(AO388&lt;&gt;1,Z388&lt;&gt;"Oui"),"",IF(AB388="",IF(AND(AA388&lt;&gt;"",NOW()&gt;AA388),0,""),IF(AA388="","",IF(AB388&lt;=AA388,1,0))))</f>
        <v/>
      </c>
      <c r="BR388" s="38" t="str">
        <f aca="false">IF(OR(AO388&lt;&gt;1,K388&lt;&gt;"Oui",O388=""),"",IF(AC388="",O388+DORA_H_DET/24,IF(AC388-O388&lt;=DORA_H_DET/24,MIN(AC388+DORA_H_CLA/24,O388+DORA_H_DET/24),AC388+DORA_H_CLA/24)))</f>
        <v/>
      </c>
      <c r="BS388" s="35" t="str">
        <f aca="true">IF(BR388="","",IF(AD388="",IF(NOW()&gt;BR388,0,""),IF(AD388&lt;=BR388,1,0)))</f>
        <v/>
      </c>
      <c r="BT388" s="35" t="str">
        <f aca="true">IF(OR(BR388="",AD388=""),"",IF(AE388="",IF(NOW()&gt;AD388+DORA_H_INT/24,0,""),IF(AE388&lt;=AD388+DORA_H_INT/24,1,0)))</f>
        <v/>
      </c>
      <c r="BU388" s="35" t="str">
        <f aca="true">IF(OR(BR388="",AE388=""),"",IF(AF388="",IF(NOW()&gt;EDATE(AE388,DORA_M_FIN)+1,0,""),IF(AF388&lt;=EDATE(AE388,DORA_M_FIN),1,0)))</f>
        <v/>
      </c>
      <c r="BV388" s="35" t="str">
        <f aca="false">IF(BR388="","",IF(COUNT(BS388:BU388)=0,"",MIN(BS388:BU388)))</f>
        <v/>
      </c>
      <c r="BW388" s="40" t="str">
        <f aca="false">IF(AQ388&lt;&gt;1,"",IF(AND(AG388="",AH388=""),"",N(AG388)-N(AH388)))</f>
        <v/>
      </c>
      <c r="BX388" s="35" t="str">
        <f aca="true">IF(OR(AQ388&lt;&gt;1,AI388&lt;&gt;"Oui",AJ388=""),"",IF(AK388="",IF(NOW()&gt;AJ388+1,0,""),IF(AK388&lt;=AJ388,1,0)))</f>
        <v/>
      </c>
    </row>
    <row r="389" customFormat="false" ht="15" hidden="false" customHeight="false" outlineLevel="0" collapsed="false">
      <c r="B389" s="29"/>
      <c r="C389" s="29"/>
      <c r="D389" s="29"/>
      <c r="E389" s="29"/>
      <c r="F389" s="29"/>
      <c r="G389" s="29"/>
      <c r="H389" s="29"/>
      <c r="I389" s="29"/>
      <c r="J389" s="29"/>
      <c r="K389" s="29"/>
      <c r="L389" s="29"/>
      <c r="M389" s="29"/>
      <c r="N389" s="30"/>
      <c r="O389" s="30"/>
      <c r="P389" s="30"/>
      <c r="Q389" s="30"/>
      <c r="R389" s="30"/>
      <c r="S389" s="30"/>
      <c r="T389" s="30"/>
      <c r="U389" s="30"/>
      <c r="V389" s="31"/>
      <c r="W389" s="29"/>
      <c r="X389" s="29"/>
      <c r="Y389" s="29"/>
      <c r="Z389" s="29"/>
      <c r="AA389" s="30"/>
      <c r="AB389" s="30"/>
      <c r="AC389" s="30"/>
      <c r="AD389" s="30"/>
      <c r="AE389" s="30"/>
      <c r="AF389" s="32"/>
      <c r="AG389" s="33"/>
      <c r="AH389" s="33"/>
      <c r="AI389" s="29"/>
      <c r="AJ389" s="32"/>
      <c r="AK389" s="32"/>
      <c r="AL389" s="29"/>
      <c r="AN389" s="34" t="str">
        <f aca="false">IF($B389="","",IF(OR(C389="",D389="",E389="",G389="",I389="",J389="",L389="",O389="",P389=""),"Champ obligatoire manquant",IF(OR(AND(N389&lt;&gt;"",N389&gt;O389),O389&gt;P389,AND(Q389&lt;&gt;"",Q389&lt;P389),AND(R389&lt;&gt;"",R389&lt;P389),AND(S389&lt;&gt;"",S389&lt;R389),AND(S389&lt;&gt;"",R389=""),AND(T389&lt;&gt;"",T389&lt;O389),AND(U389&lt;&gt;"",U389&lt;O389)),"Chronologie incohérente",IF(AND(OR(L389="Résolu",L389="Clos"),R389=""),"Date de résolution manquante",IF(AND(L389="Clos",S389=""),"Date de clôture manquante",IF(AND(K389="Oui",AC389=""),"Classification DORA manquante","OK"))))))</f>
        <v/>
      </c>
      <c r="AO389" s="35" t="str">
        <f aca="false">IF($B389="","",IF(AND(C389="Incident",L389&lt;&gt;"Annulé"),1,0))</f>
        <v/>
      </c>
      <c r="AP389" s="35" t="str">
        <f aca="false">IF($B389="","",IF(AND(C389="Quasi-incident",L389&lt;&gt;"Annulé"),1,0))</f>
        <v/>
      </c>
      <c r="AQ389" s="35" t="str">
        <f aca="false">IF($B389="","",AO389+AP389)</f>
        <v/>
      </c>
      <c r="AR389" s="36" t="str">
        <f aca="false">IF(OR($B389="",J389=""),"",IFERROR(VALUE(LEFT(J389,1)),""))</f>
        <v/>
      </c>
      <c r="AS389" s="35" t="str">
        <f aca="false">IF(OR(AO389&lt;&gt;1,G389=""),"",IFERROR(IF(INDEX(L_SrcInterne,MATCH(G389,L_Sources,0))="Oui",1,0),""))</f>
        <v/>
      </c>
      <c r="AT389" s="37" t="str">
        <f aca="false">IF(AO389&lt;&gt;1,"",IFERROR(ROUND(IF(OR(N389="",O389=""),"",IF(O389&lt;N389,"",ROUND(((NETWORKDAYS(N389,O389,JoursFeries)-1)*(HFer-HOuv)+IF(NETWORKDAYS(O389,O389,JoursFeries),MEDIAN(MOD(O389,1),HFer,HOuv),HFer)-IF(NETWORKDAYS(N389,N389,JoursFeries),MEDIAN(MOD(N389,1),HFer,HOuv),HOuv))*24,4)))/HJour,4),""))</f>
        <v/>
      </c>
      <c r="AU389" s="37" t="str">
        <f aca="false">IF(AO389&lt;&gt;1,"",IF(OR(O389="",P389=""),"",IF(P389&lt;O389,"",ROUND(((NETWORKDAYS(O389,P389,JoursFeries)-1)*(HFer-HOuv)+IF(NETWORKDAYS(P389,P389,JoursFeries),MEDIAN(MOD(P389,1),HFer,HOuv),HFer)-IF(NETWORKDAYS(O389,O389,JoursFeries),MEDIAN(MOD(O389,1),HFer,HOuv),HOuv))*24,4))))</f>
        <v/>
      </c>
      <c r="AV389" s="37" t="str">
        <f aca="false">IF(AO389&lt;&gt;1,"",IF(OR(P389="",Q389=""),"",IF(Q389&lt;P389,"",ROUND(((NETWORKDAYS(P389,Q389,JoursFeries)-1)*(HFer-HOuv)+IF(NETWORKDAYS(Q389,Q389,JoursFeries),MEDIAN(MOD(Q389,1),HFer,HOuv),HFer)-IF(NETWORKDAYS(P389,P389,JoursFeries),MEDIAN(MOD(P389,1),HFer,HOuv),HOuv))*24,4))))</f>
        <v/>
      </c>
      <c r="AW389" s="37" t="str">
        <f aca="false">IF(AO389&lt;&gt;1,"",IFERROR(ROUND(IF(OR(P389="",R389=""),"",IF(R389&lt;P389,"",ROUND(((NETWORKDAYS(P389,R389,JoursFeries)-1)*(HFer-HOuv)+IF(NETWORKDAYS(R389,R389,JoursFeries),MEDIAN(MOD(R389,1),HFer,HOuv),HFer)-IF(NETWORKDAYS(P389,P389,JoursFeries),MEDIAN(MOD(P389,1),HFer,HOuv),HOuv))*24,4)))/HJour,4),""))</f>
        <v/>
      </c>
      <c r="AX389" s="37" t="str">
        <f aca="false">IF(AO389&lt;&gt;1,"",IFERROR(ROUND(IF(OR(P389="",S389=""),"",IF(S389&lt;P389,"",ROUND(((NETWORKDAYS(P389,S389,JoursFeries)-1)*(HFer-HOuv)+IF(NETWORKDAYS(S389,S389,JoursFeries),MEDIAN(MOD(S389,1),HFer,HOuv),HFer)-IF(NETWORKDAYS(P389,P389,JoursFeries),MEDIAN(MOD(P389,1),HFer,HOuv),HOuv))*24,4)))/HJour,4),""))</f>
        <v/>
      </c>
      <c r="AY389" s="36" t="str">
        <f aca="false">IF(OR(AO389&lt;&gt;1,AR389=""),"",INDEX(SLA_PEC,AR389))</f>
        <v/>
      </c>
      <c r="AZ389" s="35" t="str">
        <f aca="false">IF(OR(AV389="",AY389=""),"",IF(AV389&lt;=AY389,1,0))</f>
        <v/>
      </c>
      <c r="BA389" s="36" t="str">
        <f aca="false">IF(OR(AO389&lt;&gt;1,AR389=""),"",INDEX(SLA_RES,AR389))</f>
        <v/>
      </c>
      <c r="BB389" s="35" t="str">
        <f aca="false">IF(OR(AW389="",BA389=""),"",IF(AW389&lt;=BA389,1,0))</f>
        <v/>
      </c>
      <c r="BC389" s="38" t="str">
        <f aca="false">IF(OR(BA389="",P389=""),"",WORKDAY(INT(P389),BA389,JoursFeries)+MOD(P389,1))</f>
        <v/>
      </c>
      <c r="BD389" s="39" t="str">
        <f aca="false">IF(AO389&lt;&gt;1,"",IF(OR(AB389&lt;&gt;"",AD389&lt;&gt;""),4,IF(U389&lt;&gt;"",3,IF(T389&lt;&gt;"",2,1))))</f>
        <v/>
      </c>
      <c r="BE389" s="39" t="str">
        <f aca="false">IF(OR(AO389&lt;&gt;1,AR389=""),"",INDEX(NIV_REQ,AR389))</f>
        <v/>
      </c>
      <c r="BF389" s="39" t="str">
        <f aca="false">IF(BE389="","",MAX(BE389,IF(OR(K389="Oui",Z389="Oui"),4,1)))</f>
        <v/>
      </c>
      <c r="BG389" s="35" t="str">
        <f aca="false">IF(OR(BF389="",BD389=""),"",IF(BD389&gt;=BF389,1,0))</f>
        <v/>
      </c>
      <c r="BH389" s="38" t="str">
        <f aca="false">IF(BE389="","",IF(BE389&lt;2,"",IF(BE389=2,IF(AND(T389="",U389=""),"",MIN(T389,U389)),IF(U389="","",U389))))</f>
        <v/>
      </c>
      <c r="BI389" s="37" t="str">
        <f aca="false">IF(BH389="","",IF(OR(O389="",BH389=""),"",IF(BH389&lt;O389,"",ROUND(((NETWORKDAYS(O389,BH389,JoursFeries)-1)*(HFer-HOuv)+IF(NETWORKDAYS(BH389,BH389,JoursFeries),MEDIAN(MOD(BH389,1),HFer,HOuv),HFer)-IF(NETWORKDAYS(O389,O389,JoursFeries),MEDIAN(MOD(O389,1),HFer,HOuv),HOuv))*24,4))))</f>
        <v/>
      </c>
      <c r="BJ389" s="35" t="str">
        <f aca="false">IF(OR(BI389="",AR389=""),"",IF(BI389&lt;=INDEX(DELAI_ESC,AR389),1,0))</f>
        <v/>
      </c>
      <c r="BK389" s="38" t="str">
        <f aca="false">IF(AO389&lt;&gt;1,"",IF(AND(T389="",U389=""),"",MIN(T389,U389)))</f>
        <v/>
      </c>
      <c r="BL389" s="37" t="str">
        <f aca="false">IF(OR(BK389="",R389=""),"",IFERROR(ROUND(IF(OR(BK389="",R389=""),"",IF(R389&lt;BK389,"",ROUND(((NETWORKDAYS(BK389,R389,JoursFeries)-1)*(HFer-HOuv)+IF(NETWORKDAYS(R389,R389,JoursFeries),MEDIAN(MOD(R389,1),HFer,HOuv),HFer)-IF(NETWORKDAYS(BK389,BK389,JoursFeries),MEDIAN(MOD(BK389,1),HFer,HOuv),HOuv))*24,4)))/HJour,4),""))</f>
        <v/>
      </c>
      <c r="BM389" s="35" t="str">
        <f aca="false">IF(OR(AO389&lt;&gt;1,R389=""),"",IF(BD389=1,1,0))</f>
        <v/>
      </c>
      <c r="BN389" s="35" t="str">
        <f aca="false">IF(AO389&lt;&gt;1,"",IF(W389="Oui",1,0))</f>
        <v/>
      </c>
      <c r="BO389" s="35" t="str">
        <f aca="false">IF(AO389&lt;&gt;1,"",IF(X389&lt;&gt;"",1,0))</f>
        <v/>
      </c>
      <c r="BP389" s="35" t="str">
        <f aca="false">IF(AO389&lt;&gt;1,"",IF(Y389="Oui",1,0))</f>
        <v/>
      </c>
      <c r="BQ389" s="35" t="str">
        <f aca="true">IF(OR(AO389&lt;&gt;1,Z389&lt;&gt;"Oui"),"",IF(AB389="",IF(AND(AA389&lt;&gt;"",NOW()&gt;AA389),0,""),IF(AA389="","",IF(AB389&lt;=AA389,1,0))))</f>
        <v/>
      </c>
      <c r="BR389" s="38" t="str">
        <f aca="false">IF(OR(AO389&lt;&gt;1,K389&lt;&gt;"Oui",O389=""),"",IF(AC389="",O389+DORA_H_DET/24,IF(AC389-O389&lt;=DORA_H_DET/24,MIN(AC389+DORA_H_CLA/24,O389+DORA_H_DET/24),AC389+DORA_H_CLA/24)))</f>
        <v/>
      </c>
      <c r="BS389" s="35" t="str">
        <f aca="true">IF(BR389="","",IF(AD389="",IF(NOW()&gt;BR389,0,""),IF(AD389&lt;=BR389,1,0)))</f>
        <v/>
      </c>
      <c r="BT389" s="35" t="str">
        <f aca="true">IF(OR(BR389="",AD389=""),"",IF(AE389="",IF(NOW()&gt;AD389+DORA_H_INT/24,0,""),IF(AE389&lt;=AD389+DORA_H_INT/24,1,0)))</f>
        <v/>
      </c>
      <c r="BU389" s="35" t="str">
        <f aca="true">IF(OR(BR389="",AE389=""),"",IF(AF389="",IF(NOW()&gt;EDATE(AE389,DORA_M_FIN)+1,0,""),IF(AF389&lt;=EDATE(AE389,DORA_M_FIN),1,0)))</f>
        <v/>
      </c>
      <c r="BV389" s="35" t="str">
        <f aca="false">IF(BR389="","",IF(COUNT(BS389:BU389)=0,"",MIN(BS389:BU389)))</f>
        <v/>
      </c>
      <c r="BW389" s="40" t="str">
        <f aca="false">IF(AQ389&lt;&gt;1,"",IF(AND(AG389="",AH389=""),"",N(AG389)-N(AH389)))</f>
        <v/>
      </c>
      <c r="BX389" s="35" t="str">
        <f aca="true">IF(OR(AQ389&lt;&gt;1,AI389&lt;&gt;"Oui",AJ389=""),"",IF(AK389="",IF(NOW()&gt;AJ389+1,0,""),IF(AK389&lt;=AJ389,1,0)))</f>
        <v/>
      </c>
    </row>
    <row r="390" customFormat="false" ht="15" hidden="false" customHeight="false" outlineLevel="0" collapsed="false">
      <c r="B390" s="29"/>
      <c r="C390" s="29"/>
      <c r="D390" s="29"/>
      <c r="E390" s="29"/>
      <c r="F390" s="29"/>
      <c r="G390" s="29"/>
      <c r="H390" s="29"/>
      <c r="I390" s="29"/>
      <c r="J390" s="29"/>
      <c r="K390" s="29"/>
      <c r="L390" s="29"/>
      <c r="M390" s="29"/>
      <c r="N390" s="30"/>
      <c r="O390" s="30"/>
      <c r="P390" s="30"/>
      <c r="Q390" s="30"/>
      <c r="R390" s="30"/>
      <c r="S390" s="30"/>
      <c r="T390" s="30"/>
      <c r="U390" s="30"/>
      <c r="V390" s="31"/>
      <c r="W390" s="29"/>
      <c r="X390" s="29"/>
      <c r="Y390" s="29"/>
      <c r="Z390" s="29"/>
      <c r="AA390" s="30"/>
      <c r="AB390" s="30"/>
      <c r="AC390" s="30"/>
      <c r="AD390" s="30"/>
      <c r="AE390" s="30"/>
      <c r="AF390" s="32"/>
      <c r="AG390" s="33"/>
      <c r="AH390" s="33"/>
      <c r="AI390" s="29"/>
      <c r="AJ390" s="32"/>
      <c r="AK390" s="32"/>
      <c r="AL390" s="29"/>
      <c r="AN390" s="34" t="str">
        <f aca="false">IF($B390="","",IF(OR(C390="",D390="",E390="",G390="",I390="",J390="",L390="",O390="",P390=""),"Champ obligatoire manquant",IF(OR(AND(N390&lt;&gt;"",N390&gt;O390),O390&gt;P390,AND(Q390&lt;&gt;"",Q390&lt;P390),AND(R390&lt;&gt;"",R390&lt;P390),AND(S390&lt;&gt;"",S390&lt;R390),AND(S390&lt;&gt;"",R390=""),AND(T390&lt;&gt;"",T390&lt;O390),AND(U390&lt;&gt;"",U390&lt;O390)),"Chronologie incohérente",IF(AND(OR(L390="Résolu",L390="Clos"),R390=""),"Date de résolution manquante",IF(AND(L390="Clos",S390=""),"Date de clôture manquante",IF(AND(K390="Oui",AC390=""),"Classification DORA manquante","OK"))))))</f>
        <v/>
      </c>
      <c r="AO390" s="35" t="str">
        <f aca="false">IF($B390="","",IF(AND(C390="Incident",L390&lt;&gt;"Annulé"),1,0))</f>
        <v/>
      </c>
      <c r="AP390" s="35" t="str">
        <f aca="false">IF($B390="","",IF(AND(C390="Quasi-incident",L390&lt;&gt;"Annulé"),1,0))</f>
        <v/>
      </c>
      <c r="AQ390" s="35" t="str">
        <f aca="false">IF($B390="","",AO390+AP390)</f>
        <v/>
      </c>
      <c r="AR390" s="36" t="str">
        <f aca="false">IF(OR($B390="",J390=""),"",IFERROR(VALUE(LEFT(J390,1)),""))</f>
        <v/>
      </c>
      <c r="AS390" s="35" t="str">
        <f aca="false">IF(OR(AO390&lt;&gt;1,G390=""),"",IFERROR(IF(INDEX(L_SrcInterne,MATCH(G390,L_Sources,0))="Oui",1,0),""))</f>
        <v/>
      </c>
      <c r="AT390" s="37" t="str">
        <f aca="false">IF(AO390&lt;&gt;1,"",IFERROR(ROUND(IF(OR(N390="",O390=""),"",IF(O390&lt;N390,"",ROUND(((NETWORKDAYS(N390,O390,JoursFeries)-1)*(HFer-HOuv)+IF(NETWORKDAYS(O390,O390,JoursFeries),MEDIAN(MOD(O390,1),HFer,HOuv),HFer)-IF(NETWORKDAYS(N390,N390,JoursFeries),MEDIAN(MOD(N390,1),HFer,HOuv),HOuv))*24,4)))/HJour,4),""))</f>
        <v/>
      </c>
      <c r="AU390" s="37" t="str">
        <f aca="false">IF(AO390&lt;&gt;1,"",IF(OR(O390="",P390=""),"",IF(P390&lt;O390,"",ROUND(((NETWORKDAYS(O390,P390,JoursFeries)-1)*(HFer-HOuv)+IF(NETWORKDAYS(P390,P390,JoursFeries),MEDIAN(MOD(P390,1),HFer,HOuv),HFer)-IF(NETWORKDAYS(O390,O390,JoursFeries),MEDIAN(MOD(O390,1),HFer,HOuv),HOuv))*24,4))))</f>
        <v/>
      </c>
      <c r="AV390" s="37" t="str">
        <f aca="false">IF(AO390&lt;&gt;1,"",IF(OR(P390="",Q390=""),"",IF(Q390&lt;P390,"",ROUND(((NETWORKDAYS(P390,Q390,JoursFeries)-1)*(HFer-HOuv)+IF(NETWORKDAYS(Q390,Q390,JoursFeries),MEDIAN(MOD(Q390,1),HFer,HOuv),HFer)-IF(NETWORKDAYS(P390,P390,JoursFeries),MEDIAN(MOD(P390,1),HFer,HOuv),HOuv))*24,4))))</f>
        <v/>
      </c>
      <c r="AW390" s="37" t="str">
        <f aca="false">IF(AO390&lt;&gt;1,"",IFERROR(ROUND(IF(OR(P390="",R390=""),"",IF(R390&lt;P390,"",ROUND(((NETWORKDAYS(P390,R390,JoursFeries)-1)*(HFer-HOuv)+IF(NETWORKDAYS(R390,R390,JoursFeries),MEDIAN(MOD(R390,1),HFer,HOuv),HFer)-IF(NETWORKDAYS(P390,P390,JoursFeries),MEDIAN(MOD(P390,1),HFer,HOuv),HOuv))*24,4)))/HJour,4),""))</f>
        <v/>
      </c>
      <c r="AX390" s="37" t="str">
        <f aca="false">IF(AO390&lt;&gt;1,"",IFERROR(ROUND(IF(OR(P390="",S390=""),"",IF(S390&lt;P390,"",ROUND(((NETWORKDAYS(P390,S390,JoursFeries)-1)*(HFer-HOuv)+IF(NETWORKDAYS(S390,S390,JoursFeries),MEDIAN(MOD(S390,1),HFer,HOuv),HFer)-IF(NETWORKDAYS(P390,P390,JoursFeries),MEDIAN(MOD(P390,1),HFer,HOuv),HOuv))*24,4)))/HJour,4),""))</f>
        <v/>
      </c>
      <c r="AY390" s="36" t="str">
        <f aca="false">IF(OR(AO390&lt;&gt;1,AR390=""),"",INDEX(SLA_PEC,AR390))</f>
        <v/>
      </c>
      <c r="AZ390" s="35" t="str">
        <f aca="false">IF(OR(AV390="",AY390=""),"",IF(AV390&lt;=AY390,1,0))</f>
        <v/>
      </c>
      <c r="BA390" s="36" t="str">
        <f aca="false">IF(OR(AO390&lt;&gt;1,AR390=""),"",INDEX(SLA_RES,AR390))</f>
        <v/>
      </c>
      <c r="BB390" s="35" t="str">
        <f aca="false">IF(OR(AW390="",BA390=""),"",IF(AW390&lt;=BA390,1,0))</f>
        <v/>
      </c>
      <c r="BC390" s="38" t="str">
        <f aca="false">IF(OR(BA390="",P390=""),"",WORKDAY(INT(P390),BA390,JoursFeries)+MOD(P390,1))</f>
        <v/>
      </c>
      <c r="BD390" s="39" t="str">
        <f aca="false">IF(AO390&lt;&gt;1,"",IF(OR(AB390&lt;&gt;"",AD390&lt;&gt;""),4,IF(U390&lt;&gt;"",3,IF(T390&lt;&gt;"",2,1))))</f>
        <v/>
      </c>
      <c r="BE390" s="39" t="str">
        <f aca="false">IF(OR(AO390&lt;&gt;1,AR390=""),"",INDEX(NIV_REQ,AR390))</f>
        <v/>
      </c>
      <c r="BF390" s="39" t="str">
        <f aca="false">IF(BE390="","",MAX(BE390,IF(OR(K390="Oui",Z390="Oui"),4,1)))</f>
        <v/>
      </c>
      <c r="BG390" s="35" t="str">
        <f aca="false">IF(OR(BF390="",BD390=""),"",IF(BD390&gt;=BF390,1,0))</f>
        <v/>
      </c>
      <c r="BH390" s="38" t="str">
        <f aca="false">IF(BE390="","",IF(BE390&lt;2,"",IF(BE390=2,IF(AND(T390="",U390=""),"",MIN(T390,U390)),IF(U390="","",U390))))</f>
        <v/>
      </c>
      <c r="BI390" s="37" t="str">
        <f aca="false">IF(BH390="","",IF(OR(O390="",BH390=""),"",IF(BH390&lt;O390,"",ROUND(((NETWORKDAYS(O390,BH390,JoursFeries)-1)*(HFer-HOuv)+IF(NETWORKDAYS(BH390,BH390,JoursFeries),MEDIAN(MOD(BH390,1),HFer,HOuv),HFer)-IF(NETWORKDAYS(O390,O390,JoursFeries),MEDIAN(MOD(O390,1),HFer,HOuv),HOuv))*24,4))))</f>
        <v/>
      </c>
      <c r="BJ390" s="35" t="str">
        <f aca="false">IF(OR(BI390="",AR390=""),"",IF(BI390&lt;=INDEX(DELAI_ESC,AR390),1,0))</f>
        <v/>
      </c>
      <c r="BK390" s="38" t="str">
        <f aca="false">IF(AO390&lt;&gt;1,"",IF(AND(T390="",U390=""),"",MIN(T390,U390)))</f>
        <v/>
      </c>
      <c r="BL390" s="37" t="str">
        <f aca="false">IF(OR(BK390="",R390=""),"",IFERROR(ROUND(IF(OR(BK390="",R390=""),"",IF(R390&lt;BK390,"",ROUND(((NETWORKDAYS(BK390,R390,JoursFeries)-1)*(HFer-HOuv)+IF(NETWORKDAYS(R390,R390,JoursFeries),MEDIAN(MOD(R390,1),HFer,HOuv),HFer)-IF(NETWORKDAYS(BK390,BK390,JoursFeries),MEDIAN(MOD(BK390,1),HFer,HOuv),HOuv))*24,4)))/HJour,4),""))</f>
        <v/>
      </c>
      <c r="BM390" s="35" t="str">
        <f aca="false">IF(OR(AO390&lt;&gt;1,R390=""),"",IF(BD390=1,1,0))</f>
        <v/>
      </c>
      <c r="BN390" s="35" t="str">
        <f aca="false">IF(AO390&lt;&gt;1,"",IF(W390="Oui",1,0))</f>
        <v/>
      </c>
      <c r="BO390" s="35" t="str">
        <f aca="false">IF(AO390&lt;&gt;1,"",IF(X390&lt;&gt;"",1,0))</f>
        <v/>
      </c>
      <c r="BP390" s="35" t="str">
        <f aca="false">IF(AO390&lt;&gt;1,"",IF(Y390="Oui",1,0))</f>
        <v/>
      </c>
      <c r="BQ390" s="35" t="str">
        <f aca="true">IF(OR(AO390&lt;&gt;1,Z390&lt;&gt;"Oui"),"",IF(AB390="",IF(AND(AA390&lt;&gt;"",NOW()&gt;AA390),0,""),IF(AA390="","",IF(AB390&lt;=AA390,1,0))))</f>
        <v/>
      </c>
      <c r="BR390" s="38" t="str">
        <f aca="false">IF(OR(AO390&lt;&gt;1,K390&lt;&gt;"Oui",O390=""),"",IF(AC390="",O390+DORA_H_DET/24,IF(AC390-O390&lt;=DORA_H_DET/24,MIN(AC390+DORA_H_CLA/24,O390+DORA_H_DET/24),AC390+DORA_H_CLA/24)))</f>
        <v/>
      </c>
      <c r="BS390" s="35" t="str">
        <f aca="true">IF(BR390="","",IF(AD390="",IF(NOW()&gt;BR390,0,""),IF(AD390&lt;=BR390,1,0)))</f>
        <v/>
      </c>
      <c r="BT390" s="35" t="str">
        <f aca="true">IF(OR(BR390="",AD390=""),"",IF(AE390="",IF(NOW()&gt;AD390+DORA_H_INT/24,0,""),IF(AE390&lt;=AD390+DORA_H_INT/24,1,0)))</f>
        <v/>
      </c>
      <c r="BU390" s="35" t="str">
        <f aca="true">IF(OR(BR390="",AE390=""),"",IF(AF390="",IF(NOW()&gt;EDATE(AE390,DORA_M_FIN)+1,0,""),IF(AF390&lt;=EDATE(AE390,DORA_M_FIN),1,0)))</f>
        <v/>
      </c>
      <c r="BV390" s="35" t="str">
        <f aca="false">IF(BR390="","",IF(COUNT(BS390:BU390)=0,"",MIN(BS390:BU390)))</f>
        <v/>
      </c>
      <c r="BW390" s="40" t="str">
        <f aca="false">IF(AQ390&lt;&gt;1,"",IF(AND(AG390="",AH390=""),"",N(AG390)-N(AH390)))</f>
        <v/>
      </c>
      <c r="BX390" s="35" t="str">
        <f aca="true">IF(OR(AQ390&lt;&gt;1,AI390&lt;&gt;"Oui",AJ390=""),"",IF(AK390="",IF(NOW()&gt;AJ390+1,0,""),IF(AK390&lt;=AJ390,1,0)))</f>
        <v/>
      </c>
    </row>
    <row r="391" customFormat="false" ht="15" hidden="false" customHeight="false" outlineLevel="0" collapsed="false">
      <c r="B391" s="29"/>
      <c r="C391" s="29"/>
      <c r="D391" s="29"/>
      <c r="E391" s="29"/>
      <c r="F391" s="29"/>
      <c r="G391" s="29"/>
      <c r="H391" s="29"/>
      <c r="I391" s="29"/>
      <c r="J391" s="29"/>
      <c r="K391" s="29"/>
      <c r="L391" s="29"/>
      <c r="M391" s="29"/>
      <c r="N391" s="30"/>
      <c r="O391" s="30"/>
      <c r="P391" s="30"/>
      <c r="Q391" s="30"/>
      <c r="R391" s="30"/>
      <c r="S391" s="30"/>
      <c r="T391" s="30"/>
      <c r="U391" s="30"/>
      <c r="V391" s="31"/>
      <c r="W391" s="29"/>
      <c r="X391" s="29"/>
      <c r="Y391" s="29"/>
      <c r="Z391" s="29"/>
      <c r="AA391" s="30"/>
      <c r="AB391" s="30"/>
      <c r="AC391" s="30"/>
      <c r="AD391" s="30"/>
      <c r="AE391" s="30"/>
      <c r="AF391" s="32"/>
      <c r="AG391" s="33"/>
      <c r="AH391" s="33"/>
      <c r="AI391" s="29"/>
      <c r="AJ391" s="32"/>
      <c r="AK391" s="32"/>
      <c r="AL391" s="29"/>
      <c r="AN391" s="34" t="str">
        <f aca="false">IF($B391="","",IF(OR(C391="",D391="",E391="",G391="",I391="",J391="",L391="",O391="",P391=""),"Champ obligatoire manquant",IF(OR(AND(N391&lt;&gt;"",N391&gt;O391),O391&gt;P391,AND(Q391&lt;&gt;"",Q391&lt;P391),AND(R391&lt;&gt;"",R391&lt;P391),AND(S391&lt;&gt;"",S391&lt;R391),AND(S391&lt;&gt;"",R391=""),AND(T391&lt;&gt;"",T391&lt;O391),AND(U391&lt;&gt;"",U391&lt;O391)),"Chronologie incohérente",IF(AND(OR(L391="Résolu",L391="Clos"),R391=""),"Date de résolution manquante",IF(AND(L391="Clos",S391=""),"Date de clôture manquante",IF(AND(K391="Oui",AC391=""),"Classification DORA manquante","OK"))))))</f>
        <v/>
      </c>
      <c r="AO391" s="35" t="str">
        <f aca="false">IF($B391="","",IF(AND(C391="Incident",L391&lt;&gt;"Annulé"),1,0))</f>
        <v/>
      </c>
      <c r="AP391" s="35" t="str">
        <f aca="false">IF($B391="","",IF(AND(C391="Quasi-incident",L391&lt;&gt;"Annulé"),1,0))</f>
        <v/>
      </c>
      <c r="AQ391" s="35" t="str">
        <f aca="false">IF($B391="","",AO391+AP391)</f>
        <v/>
      </c>
      <c r="AR391" s="36" t="str">
        <f aca="false">IF(OR($B391="",J391=""),"",IFERROR(VALUE(LEFT(J391,1)),""))</f>
        <v/>
      </c>
      <c r="AS391" s="35" t="str">
        <f aca="false">IF(OR(AO391&lt;&gt;1,G391=""),"",IFERROR(IF(INDEX(L_SrcInterne,MATCH(G391,L_Sources,0))="Oui",1,0),""))</f>
        <v/>
      </c>
      <c r="AT391" s="37" t="str">
        <f aca="false">IF(AO391&lt;&gt;1,"",IFERROR(ROUND(IF(OR(N391="",O391=""),"",IF(O391&lt;N391,"",ROUND(((NETWORKDAYS(N391,O391,JoursFeries)-1)*(HFer-HOuv)+IF(NETWORKDAYS(O391,O391,JoursFeries),MEDIAN(MOD(O391,1),HFer,HOuv),HFer)-IF(NETWORKDAYS(N391,N391,JoursFeries),MEDIAN(MOD(N391,1),HFer,HOuv),HOuv))*24,4)))/HJour,4),""))</f>
        <v/>
      </c>
      <c r="AU391" s="37" t="str">
        <f aca="false">IF(AO391&lt;&gt;1,"",IF(OR(O391="",P391=""),"",IF(P391&lt;O391,"",ROUND(((NETWORKDAYS(O391,P391,JoursFeries)-1)*(HFer-HOuv)+IF(NETWORKDAYS(P391,P391,JoursFeries),MEDIAN(MOD(P391,1),HFer,HOuv),HFer)-IF(NETWORKDAYS(O391,O391,JoursFeries),MEDIAN(MOD(O391,1),HFer,HOuv),HOuv))*24,4))))</f>
        <v/>
      </c>
      <c r="AV391" s="37" t="str">
        <f aca="false">IF(AO391&lt;&gt;1,"",IF(OR(P391="",Q391=""),"",IF(Q391&lt;P391,"",ROUND(((NETWORKDAYS(P391,Q391,JoursFeries)-1)*(HFer-HOuv)+IF(NETWORKDAYS(Q391,Q391,JoursFeries),MEDIAN(MOD(Q391,1),HFer,HOuv),HFer)-IF(NETWORKDAYS(P391,P391,JoursFeries),MEDIAN(MOD(P391,1),HFer,HOuv),HOuv))*24,4))))</f>
        <v/>
      </c>
      <c r="AW391" s="37" t="str">
        <f aca="false">IF(AO391&lt;&gt;1,"",IFERROR(ROUND(IF(OR(P391="",R391=""),"",IF(R391&lt;P391,"",ROUND(((NETWORKDAYS(P391,R391,JoursFeries)-1)*(HFer-HOuv)+IF(NETWORKDAYS(R391,R391,JoursFeries),MEDIAN(MOD(R391,1),HFer,HOuv),HFer)-IF(NETWORKDAYS(P391,P391,JoursFeries),MEDIAN(MOD(P391,1),HFer,HOuv),HOuv))*24,4)))/HJour,4),""))</f>
        <v/>
      </c>
      <c r="AX391" s="37" t="str">
        <f aca="false">IF(AO391&lt;&gt;1,"",IFERROR(ROUND(IF(OR(P391="",S391=""),"",IF(S391&lt;P391,"",ROUND(((NETWORKDAYS(P391,S391,JoursFeries)-1)*(HFer-HOuv)+IF(NETWORKDAYS(S391,S391,JoursFeries),MEDIAN(MOD(S391,1),HFer,HOuv),HFer)-IF(NETWORKDAYS(P391,P391,JoursFeries),MEDIAN(MOD(P391,1),HFer,HOuv),HOuv))*24,4)))/HJour,4),""))</f>
        <v/>
      </c>
      <c r="AY391" s="36" t="str">
        <f aca="false">IF(OR(AO391&lt;&gt;1,AR391=""),"",INDEX(SLA_PEC,AR391))</f>
        <v/>
      </c>
      <c r="AZ391" s="35" t="str">
        <f aca="false">IF(OR(AV391="",AY391=""),"",IF(AV391&lt;=AY391,1,0))</f>
        <v/>
      </c>
      <c r="BA391" s="36" t="str">
        <f aca="false">IF(OR(AO391&lt;&gt;1,AR391=""),"",INDEX(SLA_RES,AR391))</f>
        <v/>
      </c>
      <c r="BB391" s="35" t="str">
        <f aca="false">IF(OR(AW391="",BA391=""),"",IF(AW391&lt;=BA391,1,0))</f>
        <v/>
      </c>
      <c r="BC391" s="38" t="str">
        <f aca="false">IF(OR(BA391="",P391=""),"",WORKDAY(INT(P391),BA391,JoursFeries)+MOD(P391,1))</f>
        <v/>
      </c>
      <c r="BD391" s="39" t="str">
        <f aca="false">IF(AO391&lt;&gt;1,"",IF(OR(AB391&lt;&gt;"",AD391&lt;&gt;""),4,IF(U391&lt;&gt;"",3,IF(T391&lt;&gt;"",2,1))))</f>
        <v/>
      </c>
      <c r="BE391" s="39" t="str">
        <f aca="false">IF(OR(AO391&lt;&gt;1,AR391=""),"",INDEX(NIV_REQ,AR391))</f>
        <v/>
      </c>
      <c r="BF391" s="39" t="str">
        <f aca="false">IF(BE391="","",MAX(BE391,IF(OR(K391="Oui",Z391="Oui"),4,1)))</f>
        <v/>
      </c>
      <c r="BG391" s="35" t="str">
        <f aca="false">IF(OR(BF391="",BD391=""),"",IF(BD391&gt;=BF391,1,0))</f>
        <v/>
      </c>
      <c r="BH391" s="38" t="str">
        <f aca="false">IF(BE391="","",IF(BE391&lt;2,"",IF(BE391=2,IF(AND(T391="",U391=""),"",MIN(T391,U391)),IF(U391="","",U391))))</f>
        <v/>
      </c>
      <c r="BI391" s="37" t="str">
        <f aca="false">IF(BH391="","",IF(OR(O391="",BH391=""),"",IF(BH391&lt;O391,"",ROUND(((NETWORKDAYS(O391,BH391,JoursFeries)-1)*(HFer-HOuv)+IF(NETWORKDAYS(BH391,BH391,JoursFeries),MEDIAN(MOD(BH391,1),HFer,HOuv),HFer)-IF(NETWORKDAYS(O391,O391,JoursFeries),MEDIAN(MOD(O391,1),HFer,HOuv),HOuv))*24,4))))</f>
        <v/>
      </c>
      <c r="BJ391" s="35" t="str">
        <f aca="false">IF(OR(BI391="",AR391=""),"",IF(BI391&lt;=INDEX(DELAI_ESC,AR391),1,0))</f>
        <v/>
      </c>
      <c r="BK391" s="38" t="str">
        <f aca="false">IF(AO391&lt;&gt;1,"",IF(AND(T391="",U391=""),"",MIN(T391,U391)))</f>
        <v/>
      </c>
      <c r="BL391" s="37" t="str">
        <f aca="false">IF(OR(BK391="",R391=""),"",IFERROR(ROUND(IF(OR(BK391="",R391=""),"",IF(R391&lt;BK391,"",ROUND(((NETWORKDAYS(BK391,R391,JoursFeries)-1)*(HFer-HOuv)+IF(NETWORKDAYS(R391,R391,JoursFeries),MEDIAN(MOD(R391,1),HFer,HOuv),HFer)-IF(NETWORKDAYS(BK391,BK391,JoursFeries),MEDIAN(MOD(BK391,1),HFer,HOuv),HOuv))*24,4)))/HJour,4),""))</f>
        <v/>
      </c>
      <c r="BM391" s="35" t="str">
        <f aca="false">IF(OR(AO391&lt;&gt;1,R391=""),"",IF(BD391=1,1,0))</f>
        <v/>
      </c>
      <c r="BN391" s="35" t="str">
        <f aca="false">IF(AO391&lt;&gt;1,"",IF(W391="Oui",1,0))</f>
        <v/>
      </c>
      <c r="BO391" s="35" t="str">
        <f aca="false">IF(AO391&lt;&gt;1,"",IF(X391&lt;&gt;"",1,0))</f>
        <v/>
      </c>
      <c r="BP391" s="35" t="str">
        <f aca="false">IF(AO391&lt;&gt;1,"",IF(Y391="Oui",1,0))</f>
        <v/>
      </c>
      <c r="BQ391" s="35" t="str">
        <f aca="true">IF(OR(AO391&lt;&gt;1,Z391&lt;&gt;"Oui"),"",IF(AB391="",IF(AND(AA391&lt;&gt;"",NOW()&gt;AA391),0,""),IF(AA391="","",IF(AB391&lt;=AA391,1,0))))</f>
        <v/>
      </c>
      <c r="BR391" s="38" t="str">
        <f aca="false">IF(OR(AO391&lt;&gt;1,K391&lt;&gt;"Oui",O391=""),"",IF(AC391="",O391+DORA_H_DET/24,IF(AC391-O391&lt;=DORA_H_DET/24,MIN(AC391+DORA_H_CLA/24,O391+DORA_H_DET/24),AC391+DORA_H_CLA/24)))</f>
        <v/>
      </c>
      <c r="BS391" s="35" t="str">
        <f aca="true">IF(BR391="","",IF(AD391="",IF(NOW()&gt;BR391,0,""),IF(AD391&lt;=BR391,1,0)))</f>
        <v/>
      </c>
      <c r="BT391" s="35" t="str">
        <f aca="true">IF(OR(BR391="",AD391=""),"",IF(AE391="",IF(NOW()&gt;AD391+DORA_H_INT/24,0,""),IF(AE391&lt;=AD391+DORA_H_INT/24,1,0)))</f>
        <v/>
      </c>
      <c r="BU391" s="35" t="str">
        <f aca="true">IF(OR(BR391="",AE391=""),"",IF(AF391="",IF(NOW()&gt;EDATE(AE391,DORA_M_FIN)+1,0,""),IF(AF391&lt;=EDATE(AE391,DORA_M_FIN),1,0)))</f>
        <v/>
      </c>
      <c r="BV391" s="35" t="str">
        <f aca="false">IF(BR391="","",IF(COUNT(BS391:BU391)=0,"",MIN(BS391:BU391)))</f>
        <v/>
      </c>
      <c r="BW391" s="40" t="str">
        <f aca="false">IF(AQ391&lt;&gt;1,"",IF(AND(AG391="",AH391=""),"",N(AG391)-N(AH391)))</f>
        <v/>
      </c>
      <c r="BX391" s="35" t="str">
        <f aca="true">IF(OR(AQ391&lt;&gt;1,AI391&lt;&gt;"Oui",AJ391=""),"",IF(AK391="",IF(NOW()&gt;AJ391+1,0,""),IF(AK391&lt;=AJ391,1,0)))</f>
        <v/>
      </c>
    </row>
    <row r="392" customFormat="false" ht="15" hidden="false" customHeight="false" outlineLevel="0" collapsed="false">
      <c r="B392" s="29"/>
      <c r="C392" s="29"/>
      <c r="D392" s="29"/>
      <c r="E392" s="29"/>
      <c r="F392" s="29"/>
      <c r="G392" s="29"/>
      <c r="H392" s="29"/>
      <c r="I392" s="29"/>
      <c r="J392" s="29"/>
      <c r="K392" s="29"/>
      <c r="L392" s="29"/>
      <c r="M392" s="29"/>
      <c r="N392" s="30"/>
      <c r="O392" s="30"/>
      <c r="P392" s="30"/>
      <c r="Q392" s="30"/>
      <c r="R392" s="30"/>
      <c r="S392" s="30"/>
      <c r="T392" s="30"/>
      <c r="U392" s="30"/>
      <c r="V392" s="31"/>
      <c r="W392" s="29"/>
      <c r="X392" s="29"/>
      <c r="Y392" s="29"/>
      <c r="Z392" s="29"/>
      <c r="AA392" s="30"/>
      <c r="AB392" s="30"/>
      <c r="AC392" s="30"/>
      <c r="AD392" s="30"/>
      <c r="AE392" s="30"/>
      <c r="AF392" s="32"/>
      <c r="AG392" s="33"/>
      <c r="AH392" s="33"/>
      <c r="AI392" s="29"/>
      <c r="AJ392" s="32"/>
      <c r="AK392" s="32"/>
      <c r="AL392" s="29"/>
      <c r="AN392" s="34" t="str">
        <f aca="false">IF($B392="","",IF(OR(C392="",D392="",E392="",G392="",I392="",J392="",L392="",O392="",P392=""),"Champ obligatoire manquant",IF(OR(AND(N392&lt;&gt;"",N392&gt;O392),O392&gt;P392,AND(Q392&lt;&gt;"",Q392&lt;P392),AND(R392&lt;&gt;"",R392&lt;P392),AND(S392&lt;&gt;"",S392&lt;R392),AND(S392&lt;&gt;"",R392=""),AND(T392&lt;&gt;"",T392&lt;O392),AND(U392&lt;&gt;"",U392&lt;O392)),"Chronologie incohérente",IF(AND(OR(L392="Résolu",L392="Clos"),R392=""),"Date de résolution manquante",IF(AND(L392="Clos",S392=""),"Date de clôture manquante",IF(AND(K392="Oui",AC392=""),"Classification DORA manquante","OK"))))))</f>
        <v/>
      </c>
      <c r="AO392" s="35" t="str">
        <f aca="false">IF($B392="","",IF(AND(C392="Incident",L392&lt;&gt;"Annulé"),1,0))</f>
        <v/>
      </c>
      <c r="AP392" s="35" t="str">
        <f aca="false">IF($B392="","",IF(AND(C392="Quasi-incident",L392&lt;&gt;"Annulé"),1,0))</f>
        <v/>
      </c>
      <c r="AQ392" s="35" t="str">
        <f aca="false">IF($B392="","",AO392+AP392)</f>
        <v/>
      </c>
      <c r="AR392" s="36" t="str">
        <f aca="false">IF(OR($B392="",J392=""),"",IFERROR(VALUE(LEFT(J392,1)),""))</f>
        <v/>
      </c>
      <c r="AS392" s="35" t="str">
        <f aca="false">IF(OR(AO392&lt;&gt;1,G392=""),"",IFERROR(IF(INDEX(L_SrcInterne,MATCH(G392,L_Sources,0))="Oui",1,0),""))</f>
        <v/>
      </c>
      <c r="AT392" s="37" t="str">
        <f aca="false">IF(AO392&lt;&gt;1,"",IFERROR(ROUND(IF(OR(N392="",O392=""),"",IF(O392&lt;N392,"",ROUND(((NETWORKDAYS(N392,O392,JoursFeries)-1)*(HFer-HOuv)+IF(NETWORKDAYS(O392,O392,JoursFeries),MEDIAN(MOD(O392,1),HFer,HOuv),HFer)-IF(NETWORKDAYS(N392,N392,JoursFeries),MEDIAN(MOD(N392,1),HFer,HOuv),HOuv))*24,4)))/HJour,4),""))</f>
        <v/>
      </c>
      <c r="AU392" s="37" t="str">
        <f aca="false">IF(AO392&lt;&gt;1,"",IF(OR(O392="",P392=""),"",IF(P392&lt;O392,"",ROUND(((NETWORKDAYS(O392,P392,JoursFeries)-1)*(HFer-HOuv)+IF(NETWORKDAYS(P392,P392,JoursFeries),MEDIAN(MOD(P392,1),HFer,HOuv),HFer)-IF(NETWORKDAYS(O392,O392,JoursFeries),MEDIAN(MOD(O392,1),HFer,HOuv),HOuv))*24,4))))</f>
        <v/>
      </c>
      <c r="AV392" s="37" t="str">
        <f aca="false">IF(AO392&lt;&gt;1,"",IF(OR(P392="",Q392=""),"",IF(Q392&lt;P392,"",ROUND(((NETWORKDAYS(P392,Q392,JoursFeries)-1)*(HFer-HOuv)+IF(NETWORKDAYS(Q392,Q392,JoursFeries),MEDIAN(MOD(Q392,1),HFer,HOuv),HFer)-IF(NETWORKDAYS(P392,P392,JoursFeries),MEDIAN(MOD(P392,1),HFer,HOuv),HOuv))*24,4))))</f>
        <v/>
      </c>
      <c r="AW392" s="37" t="str">
        <f aca="false">IF(AO392&lt;&gt;1,"",IFERROR(ROUND(IF(OR(P392="",R392=""),"",IF(R392&lt;P392,"",ROUND(((NETWORKDAYS(P392,R392,JoursFeries)-1)*(HFer-HOuv)+IF(NETWORKDAYS(R392,R392,JoursFeries),MEDIAN(MOD(R392,1),HFer,HOuv),HFer)-IF(NETWORKDAYS(P392,P392,JoursFeries),MEDIAN(MOD(P392,1),HFer,HOuv),HOuv))*24,4)))/HJour,4),""))</f>
        <v/>
      </c>
      <c r="AX392" s="37" t="str">
        <f aca="false">IF(AO392&lt;&gt;1,"",IFERROR(ROUND(IF(OR(P392="",S392=""),"",IF(S392&lt;P392,"",ROUND(((NETWORKDAYS(P392,S392,JoursFeries)-1)*(HFer-HOuv)+IF(NETWORKDAYS(S392,S392,JoursFeries),MEDIAN(MOD(S392,1),HFer,HOuv),HFer)-IF(NETWORKDAYS(P392,P392,JoursFeries),MEDIAN(MOD(P392,1),HFer,HOuv),HOuv))*24,4)))/HJour,4),""))</f>
        <v/>
      </c>
      <c r="AY392" s="36" t="str">
        <f aca="false">IF(OR(AO392&lt;&gt;1,AR392=""),"",INDEX(SLA_PEC,AR392))</f>
        <v/>
      </c>
      <c r="AZ392" s="35" t="str">
        <f aca="false">IF(OR(AV392="",AY392=""),"",IF(AV392&lt;=AY392,1,0))</f>
        <v/>
      </c>
      <c r="BA392" s="36" t="str">
        <f aca="false">IF(OR(AO392&lt;&gt;1,AR392=""),"",INDEX(SLA_RES,AR392))</f>
        <v/>
      </c>
      <c r="BB392" s="35" t="str">
        <f aca="false">IF(OR(AW392="",BA392=""),"",IF(AW392&lt;=BA392,1,0))</f>
        <v/>
      </c>
      <c r="BC392" s="38" t="str">
        <f aca="false">IF(OR(BA392="",P392=""),"",WORKDAY(INT(P392),BA392,JoursFeries)+MOD(P392,1))</f>
        <v/>
      </c>
      <c r="BD392" s="39" t="str">
        <f aca="false">IF(AO392&lt;&gt;1,"",IF(OR(AB392&lt;&gt;"",AD392&lt;&gt;""),4,IF(U392&lt;&gt;"",3,IF(T392&lt;&gt;"",2,1))))</f>
        <v/>
      </c>
      <c r="BE392" s="39" t="str">
        <f aca="false">IF(OR(AO392&lt;&gt;1,AR392=""),"",INDEX(NIV_REQ,AR392))</f>
        <v/>
      </c>
      <c r="BF392" s="39" t="str">
        <f aca="false">IF(BE392="","",MAX(BE392,IF(OR(K392="Oui",Z392="Oui"),4,1)))</f>
        <v/>
      </c>
      <c r="BG392" s="35" t="str">
        <f aca="false">IF(OR(BF392="",BD392=""),"",IF(BD392&gt;=BF392,1,0))</f>
        <v/>
      </c>
      <c r="BH392" s="38" t="str">
        <f aca="false">IF(BE392="","",IF(BE392&lt;2,"",IF(BE392=2,IF(AND(T392="",U392=""),"",MIN(T392,U392)),IF(U392="","",U392))))</f>
        <v/>
      </c>
      <c r="BI392" s="37" t="str">
        <f aca="false">IF(BH392="","",IF(OR(O392="",BH392=""),"",IF(BH392&lt;O392,"",ROUND(((NETWORKDAYS(O392,BH392,JoursFeries)-1)*(HFer-HOuv)+IF(NETWORKDAYS(BH392,BH392,JoursFeries),MEDIAN(MOD(BH392,1),HFer,HOuv),HFer)-IF(NETWORKDAYS(O392,O392,JoursFeries),MEDIAN(MOD(O392,1),HFer,HOuv),HOuv))*24,4))))</f>
        <v/>
      </c>
      <c r="BJ392" s="35" t="str">
        <f aca="false">IF(OR(BI392="",AR392=""),"",IF(BI392&lt;=INDEX(DELAI_ESC,AR392),1,0))</f>
        <v/>
      </c>
      <c r="BK392" s="38" t="str">
        <f aca="false">IF(AO392&lt;&gt;1,"",IF(AND(T392="",U392=""),"",MIN(T392,U392)))</f>
        <v/>
      </c>
      <c r="BL392" s="37" t="str">
        <f aca="false">IF(OR(BK392="",R392=""),"",IFERROR(ROUND(IF(OR(BK392="",R392=""),"",IF(R392&lt;BK392,"",ROUND(((NETWORKDAYS(BK392,R392,JoursFeries)-1)*(HFer-HOuv)+IF(NETWORKDAYS(R392,R392,JoursFeries),MEDIAN(MOD(R392,1),HFer,HOuv),HFer)-IF(NETWORKDAYS(BK392,BK392,JoursFeries),MEDIAN(MOD(BK392,1),HFer,HOuv),HOuv))*24,4)))/HJour,4),""))</f>
        <v/>
      </c>
      <c r="BM392" s="35" t="str">
        <f aca="false">IF(OR(AO392&lt;&gt;1,R392=""),"",IF(BD392=1,1,0))</f>
        <v/>
      </c>
      <c r="BN392" s="35" t="str">
        <f aca="false">IF(AO392&lt;&gt;1,"",IF(W392="Oui",1,0))</f>
        <v/>
      </c>
      <c r="BO392" s="35" t="str">
        <f aca="false">IF(AO392&lt;&gt;1,"",IF(X392&lt;&gt;"",1,0))</f>
        <v/>
      </c>
      <c r="BP392" s="35" t="str">
        <f aca="false">IF(AO392&lt;&gt;1,"",IF(Y392="Oui",1,0))</f>
        <v/>
      </c>
      <c r="BQ392" s="35" t="str">
        <f aca="true">IF(OR(AO392&lt;&gt;1,Z392&lt;&gt;"Oui"),"",IF(AB392="",IF(AND(AA392&lt;&gt;"",NOW()&gt;AA392),0,""),IF(AA392="","",IF(AB392&lt;=AA392,1,0))))</f>
        <v/>
      </c>
      <c r="BR392" s="38" t="str">
        <f aca="false">IF(OR(AO392&lt;&gt;1,K392&lt;&gt;"Oui",O392=""),"",IF(AC392="",O392+DORA_H_DET/24,IF(AC392-O392&lt;=DORA_H_DET/24,MIN(AC392+DORA_H_CLA/24,O392+DORA_H_DET/24),AC392+DORA_H_CLA/24)))</f>
        <v/>
      </c>
      <c r="BS392" s="35" t="str">
        <f aca="true">IF(BR392="","",IF(AD392="",IF(NOW()&gt;BR392,0,""),IF(AD392&lt;=BR392,1,0)))</f>
        <v/>
      </c>
      <c r="BT392" s="35" t="str">
        <f aca="true">IF(OR(BR392="",AD392=""),"",IF(AE392="",IF(NOW()&gt;AD392+DORA_H_INT/24,0,""),IF(AE392&lt;=AD392+DORA_H_INT/24,1,0)))</f>
        <v/>
      </c>
      <c r="BU392" s="35" t="str">
        <f aca="true">IF(OR(BR392="",AE392=""),"",IF(AF392="",IF(NOW()&gt;EDATE(AE392,DORA_M_FIN)+1,0,""),IF(AF392&lt;=EDATE(AE392,DORA_M_FIN),1,0)))</f>
        <v/>
      </c>
      <c r="BV392" s="35" t="str">
        <f aca="false">IF(BR392="","",IF(COUNT(BS392:BU392)=0,"",MIN(BS392:BU392)))</f>
        <v/>
      </c>
      <c r="BW392" s="40" t="str">
        <f aca="false">IF(AQ392&lt;&gt;1,"",IF(AND(AG392="",AH392=""),"",N(AG392)-N(AH392)))</f>
        <v/>
      </c>
      <c r="BX392" s="35" t="str">
        <f aca="true">IF(OR(AQ392&lt;&gt;1,AI392&lt;&gt;"Oui",AJ392=""),"",IF(AK392="",IF(NOW()&gt;AJ392+1,0,""),IF(AK392&lt;=AJ392,1,0)))</f>
        <v/>
      </c>
    </row>
    <row r="393" customFormat="false" ht="15" hidden="false" customHeight="false" outlineLevel="0" collapsed="false">
      <c r="B393" s="29"/>
      <c r="C393" s="29"/>
      <c r="D393" s="29"/>
      <c r="E393" s="29"/>
      <c r="F393" s="29"/>
      <c r="G393" s="29"/>
      <c r="H393" s="29"/>
      <c r="I393" s="29"/>
      <c r="J393" s="29"/>
      <c r="K393" s="29"/>
      <c r="L393" s="29"/>
      <c r="M393" s="29"/>
      <c r="N393" s="30"/>
      <c r="O393" s="30"/>
      <c r="P393" s="30"/>
      <c r="Q393" s="30"/>
      <c r="R393" s="30"/>
      <c r="S393" s="30"/>
      <c r="T393" s="30"/>
      <c r="U393" s="30"/>
      <c r="V393" s="31"/>
      <c r="W393" s="29"/>
      <c r="X393" s="29"/>
      <c r="Y393" s="29"/>
      <c r="Z393" s="29"/>
      <c r="AA393" s="30"/>
      <c r="AB393" s="30"/>
      <c r="AC393" s="30"/>
      <c r="AD393" s="30"/>
      <c r="AE393" s="30"/>
      <c r="AF393" s="32"/>
      <c r="AG393" s="33"/>
      <c r="AH393" s="33"/>
      <c r="AI393" s="29"/>
      <c r="AJ393" s="32"/>
      <c r="AK393" s="32"/>
      <c r="AL393" s="29"/>
      <c r="AN393" s="34" t="str">
        <f aca="false">IF($B393="","",IF(OR(C393="",D393="",E393="",G393="",I393="",J393="",L393="",O393="",P393=""),"Champ obligatoire manquant",IF(OR(AND(N393&lt;&gt;"",N393&gt;O393),O393&gt;P393,AND(Q393&lt;&gt;"",Q393&lt;P393),AND(R393&lt;&gt;"",R393&lt;P393),AND(S393&lt;&gt;"",S393&lt;R393),AND(S393&lt;&gt;"",R393=""),AND(T393&lt;&gt;"",T393&lt;O393),AND(U393&lt;&gt;"",U393&lt;O393)),"Chronologie incohérente",IF(AND(OR(L393="Résolu",L393="Clos"),R393=""),"Date de résolution manquante",IF(AND(L393="Clos",S393=""),"Date de clôture manquante",IF(AND(K393="Oui",AC393=""),"Classification DORA manquante","OK"))))))</f>
        <v/>
      </c>
      <c r="AO393" s="35" t="str">
        <f aca="false">IF($B393="","",IF(AND(C393="Incident",L393&lt;&gt;"Annulé"),1,0))</f>
        <v/>
      </c>
      <c r="AP393" s="35" t="str">
        <f aca="false">IF($B393="","",IF(AND(C393="Quasi-incident",L393&lt;&gt;"Annulé"),1,0))</f>
        <v/>
      </c>
      <c r="AQ393" s="35" t="str">
        <f aca="false">IF($B393="","",AO393+AP393)</f>
        <v/>
      </c>
      <c r="AR393" s="36" t="str">
        <f aca="false">IF(OR($B393="",J393=""),"",IFERROR(VALUE(LEFT(J393,1)),""))</f>
        <v/>
      </c>
      <c r="AS393" s="35" t="str">
        <f aca="false">IF(OR(AO393&lt;&gt;1,G393=""),"",IFERROR(IF(INDEX(L_SrcInterne,MATCH(G393,L_Sources,0))="Oui",1,0),""))</f>
        <v/>
      </c>
      <c r="AT393" s="37" t="str">
        <f aca="false">IF(AO393&lt;&gt;1,"",IFERROR(ROUND(IF(OR(N393="",O393=""),"",IF(O393&lt;N393,"",ROUND(((NETWORKDAYS(N393,O393,JoursFeries)-1)*(HFer-HOuv)+IF(NETWORKDAYS(O393,O393,JoursFeries),MEDIAN(MOD(O393,1),HFer,HOuv),HFer)-IF(NETWORKDAYS(N393,N393,JoursFeries),MEDIAN(MOD(N393,1),HFer,HOuv),HOuv))*24,4)))/HJour,4),""))</f>
        <v/>
      </c>
      <c r="AU393" s="37" t="str">
        <f aca="false">IF(AO393&lt;&gt;1,"",IF(OR(O393="",P393=""),"",IF(P393&lt;O393,"",ROUND(((NETWORKDAYS(O393,P393,JoursFeries)-1)*(HFer-HOuv)+IF(NETWORKDAYS(P393,P393,JoursFeries),MEDIAN(MOD(P393,1),HFer,HOuv),HFer)-IF(NETWORKDAYS(O393,O393,JoursFeries),MEDIAN(MOD(O393,1),HFer,HOuv),HOuv))*24,4))))</f>
        <v/>
      </c>
      <c r="AV393" s="37" t="str">
        <f aca="false">IF(AO393&lt;&gt;1,"",IF(OR(P393="",Q393=""),"",IF(Q393&lt;P393,"",ROUND(((NETWORKDAYS(P393,Q393,JoursFeries)-1)*(HFer-HOuv)+IF(NETWORKDAYS(Q393,Q393,JoursFeries),MEDIAN(MOD(Q393,1),HFer,HOuv),HFer)-IF(NETWORKDAYS(P393,P393,JoursFeries),MEDIAN(MOD(P393,1),HFer,HOuv),HOuv))*24,4))))</f>
        <v/>
      </c>
      <c r="AW393" s="37" t="str">
        <f aca="false">IF(AO393&lt;&gt;1,"",IFERROR(ROUND(IF(OR(P393="",R393=""),"",IF(R393&lt;P393,"",ROUND(((NETWORKDAYS(P393,R393,JoursFeries)-1)*(HFer-HOuv)+IF(NETWORKDAYS(R393,R393,JoursFeries),MEDIAN(MOD(R393,1),HFer,HOuv),HFer)-IF(NETWORKDAYS(P393,P393,JoursFeries),MEDIAN(MOD(P393,1),HFer,HOuv),HOuv))*24,4)))/HJour,4),""))</f>
        <v/>
      </c>
      <c r="AX393" s="37" t="str">
        <f aca="false">IF(AO393&lt;&gt;1,"",IFERROR(ROUND(IF(OR(P393="",S393=""),"",IF(S393&lt;P393,"",ROUND(((NETWORKDAYS(P393,S393,JoursFeries)-1)*(HFer-HOuv)+IF(NETWORKDAYS(S393,S393,JoursFeries),MEDIAN(MOD(S393,1),HFer,HOuv),HFer)-IF(NETWORKDAYS(P393,P393,JoursFeries),MEDIAN(MOD(P393,1),HFer,HOuv),HOuv))*24,4)))/HJour,4),""))</f>
        <v/>
      </c>
      <c r="AY393" s="36" t="str">
        <f aca="false">IF(OR(AO393&lt;&gt;1,AR393=""),"",INDEX(SLA_PEC,AR393))</f>
        <v/>
      </c>
      <c r="AZ393" s="35" t="str">
        <f aca="false">IF(OR(AV393="",AY393=""),"",IF(AV393&lt;=AY393,1,0))</f>
        <v/>
      </c>
      <c r="BA393" s="36" t="str">
        <f aca="false">IF(OR(AO393&lt;&gt;1,AR393=""),"",INDEX(SLA_RES,AR393))</f>
        <v/>
      </c>
      <c r="BB393" s="35" t="str">
        <f aca="false">IF(OR(AW393="",BA393=""),"",IF(AW393&lt;=BA393,1,0))</f>
        <v/>
      </c>
      <c r="BC393" s="38" t="str">
        <f aca="false">IF(OR(BA393="",P393=""),"",WORKDAY(INT(P393),BA393,JoursFeries)+MOD(P393,1))</f>
        <v/>
      </c>
      <c r="BD393" s="39" t="str">
        <f aca="false">IF(AO393&lt;&gt;1,"",IF(OR(AB393&lt;&gt;"",AD393&lt;&gt;""),4,IF(U393&lt;&gt;"",3,IF(T393&lt;&gt;"",2,1))))</f>
        <v/>
      </c>
      <c r="BE393" s="39" t="str">
        <f aca="false">IF(OR(AO393&lt;&gt;1,AR393=""),"",INDEX(NIV_REQ,AR393))</f>
        <v/>
      </c>
      <c r="BF393" s="39" t="str">
        <f aca="false">IF(BE393="","",MAX(BE393,IF(OR(K393="Oui",Z393="Oui"),4,1)))</f>
        <v/>
      </c>
      <c r="BG393" s="35" t="str">
        <f aca="false">IF(OR(BF393="",BD393=""),"",IF(BD393&gt;=BF393,1,0))</f>
        <v/>
      </c>
      <c r="BH393" s="38" t="str">
        <f aca="false">IF(BE393="","",IF(BE393&lt;2,"",IF(BE393=2,IF(AND(T393="",U393=""),"",MIN(T393,U393)),IF(U393="","",U393))))</f>
        <v/>
      </c>
      <c r="BI393" s="37" t="str">
        <f aca="false">IF(BH393="","",IF(OR(O393="",BH393=""),"",IF(BH393&lt;O393,"",ROUND(((NETWORKDAYS(O393,BH393,JoursFeries)-1)*(HFer-HOuv)+IF(NETWORKDAYS(BH393,BH393,JoursFeries),MEDIAN(MOD(BH393,1),HFer,HOuv),HFer)-IF(NETWORKDAYS(O393,O393,JoursFeries),MEDIAN(MOD(O393,1),HFer,HOuv),HOuv))*24,4))))</f>
        <v/>
      </c>
      <c r="BJ393" s="35" t="str">
        <f aca="false">IF(OR(BI393="",AR393=""),"",IF(BI393&lt;=INDEX(DELAI_ESC,AR393),1,0))</f>
        <v/>
      </c>
      <c r="BK393" s="38" t="str">
        <f aca="false">IF(AO393&lt;&gt;1,"",IF(AND(T393="",U393=""),"",MIN(T393,U393)))</f>
        <v/>
      </c>
      <c r="BL393" s="37" t="str">
        <f aca="false">IF(OR(BK393="",R393=""),"",IFERROR(ROUND(IF(OR(BK393="",R393=""),"",IF(R393&lt;BK393,"",ROUND(((NETWORKDAYS(BK393,R393,JoursFeries)-1)*(HFer-HOuv)+IF(NETWORKDAYS(R393,R393,JoursFeries),MEDIAN(MOD(R393,1),HFer,HOuv),HFer)-IF(NETWORKDAYS(BK393,BK393,JoursFeries),MEDIAN(MOD(BK393,1),HFer,HOuv),HOuv))*24,4)))/HJour,4),""))</f>
        <v/>
      </c>
      <c r="BM393" s="35" t="str">
        <f aca="false">IF(OR(AO393&lt;&gt;1,R393=""),"",IF(BD393=1,1,0))</f>
        <v/>
      </c>
      <c r="BN393" s="35" t="str">
        <f aca="false">IF(AO393&lt;&gt;1,"",IF(W393="Oui",1,0))</f>
        <v/>
      </c>
      <c r="BO393" s="35" t="str">
        <f aca="false">IF(AO393&lt;&gt;1,"",IF(X393&lt;&gt;"",1,0))</f>
        <v/>
      </c>
      <c r="BP393" s="35" t="str">
        <f aca="false">IF(AO393&lt;&gt;1,"",IF(Y393="Oui",1,0))</f>
        <v/>
      </c>
      <c r="BQ393" s="35" t="str">
        <f aca="true">IF(OR(AO393&lt;&gt;1,Z393&lt;&gt;"Oui"),"",IF(AB393="",IF(AND(AA393&lt;&gt;"",NOW()&gt;AA393),0,""),IF(AA393="","",IF(AB393&lt;=AA393,1,0))))</f>
        <v/>
      </c>
      <c r="BR393" s="38" t="str">
        <f aca="false">IF(OR(AO393&lt;&gt;1,K393&lt;&gt;"Oui",O393=""),"",IF(AC393="",O393+DORA_H_DET/24,IF(AC393-O393&lt;=DORA_H_DET/24,MIN(AC393+DORA_H_CLA/24,O393+DORA_H_DET/24),AC393+DORA_H_CLA/24)))</f>
        <v/>
      </c>
      <c r="BS393" s="35" t="str">
        <f aca="true">IF(BR393="","",IF(AD393="",IF(NOW()&gt;BR393,0,""),IF(AD393&lt;=BR393,1,0)))</f>
        <v/>
      </c>
      <c r="BT393" s="35" t="str">
        <f aca="true">IF(OR(BR393="",AD393=""),"",IF(AE393="",IF(NOW()&gt;AD393+DORA_H_INT/24,0,""),IF(AE393&lt;=AD393+DORA_H_INT/24,1,0)))</f>
        <v/>
      </c>
      <c r="BU393" s="35" t="str">
        <f aca="true">IF(OR(BR393="",AE393=""),"",IF(AF393="",IF(NOW()&gt;EDATE(AE393,DORA_M_FIN)+1,0,""),IF(AF393&lt;=EDATE(AE393,DORA_M_FIN),1,0)))</f>
        <v/>
      </c>
      <c r="BV393" s="35" t="str">
        <f aca="false">IF(BR393="","",IF(COUNT(BS393:BU393)=0,"",MIN(BS393:BU393)))</f>
        <v/>
      </c>
      <c r="BW393" s="40" t="str">
        <f aca="false">IF(AQ393&lt;&gt;1,"",IF(AND(AG393="",AH393=""),"",N(AG393)-N(AH393)))</f>
        <v/>
      </c>
      <c r="BX393" s="35" t="str">
        <f aca="true">IF(OR(AQ393&lt;&gt;1,AI393&lt;&gt;"Oui",AJ393=""),"",IF(AK393="",IF(NOW()&gt;AJ393+1,0,""),IF(AK393&lt;=AJ393,1,0)))</f>
        <v/>
      </c>
    </row>
    <row r="394" customFormat="false" ht="15" hidden="false" customHeight="false" outlineLevel="0" collapsed="false">
      <c r="B394" s="29"/>
      <c r="C394" s="29"/>
      <c r="D394" s="29"/>
      <c r="E394" s="29"/>
      <c r="F394" s="29"/>
      <c r="G394" s="29"/>
      <c r="H394" s="29"/>
      <c r="I394" s="29"/>
      <c r="J394" s="29"/>
      <c r="K394" s="29"/>
      <c r="L394" s="29"/>
      <c r="M394" s="29"/>
      <c r="N394" s="30"/>
      <c r="O394" s="30"/>
      <c r="P394" s="30"/>
      <c r="Q394" s="30"/>
      <c r="R394" s="30"/>
      <c r="S394" s="30"/>
      <c r="T394" s="30"/>
      <c r="U394" s="30"/>
      <c r="V394" s="31"/>
      <c r="W394" s="29"/>
      <c r="X394" s="29"/>
      <c r="Y394" s="29"/>
      <c r="Z394" s="29"/>
      <c r="AA394" s="30"/>
      <c r="AB394" s="30"/>
      <c r="AC394" s="30"/>
      <c r="AD394" s="30"/>
      <c r="AE394" s="30"/>
      <c r="AF394" s="32"/>
      <c r="AG394" s="33"/>
      <c r="AH394" s="33"/>
      <c r="AI394" s="29"/>
      <c r="AJ394" s="32"/>
      <c r="AK394" s="32"/>
      <c r="AL394" s="29"/>
      <c r="AN394" s="34" t="str">
        <f aca="false">IF($B394="","",IF(OR(C394="",D394="",E394="",G394="",I394="",J394="",L394="",O394="",P394=""),"Champ obligatoire manquant",IF(OR(AND(N394&lt;&gt;"",N394&gt;O394),O394&gt;P394,AND(Q394&lt;&gt;"",Q394&lt;P394),AND(R394&lt;&gt;"",R394&lt;P394),AND(S394&lt;&gt;"",S394&lt;R394),AND(S394&lt;&gt;"",R394=""),AND(T394&lt;&gt;"",T394&lt;O394),AND(U394&lt;&gt;"",U394&lt;O394)),"Chronologie incohérente",IF(AND(OR(L394="Résolu",L394="Clos"),R394=""),"Date de résolution manquante",IF(AND(L394="Clos",S394=""),"Date de clôture manquante",IF(AND(K394="Oui",AC394=""),"Classification DORA manquante","OK"))))))</f>
        <v/>
      </c>
      <c r="AO394" s="35" t="str">
        <f aca="false">IF($B394="","",IF(AND(C394="Incident",L394&lt;&gt;"Annulé"),1,0))</f>
        <v/>
      </c>
      <c r="AP394" s="35" t="str">
        <f aca="false">IF($B394="","",IF(AND(C394="Quasi-incident",L394&lt;&gt;"Annulé"),1,0))</f>
        <v/>
      </c>
      <c r="AQ394" s="35" t="str">
        <f aca="false">IF($B394="","",AO394+AP394)</f>
        <v/>
      </c>
      <c r="AR394" s="36" t="str">
        <f aca="false">IF(OR($B394="",J394=""),"",IFERROR(VALUE(LEFT(J394,1)),""))</f>
        <v/>
      </c>
      <c r="AS394" s="35" t="str">
        <f aca="false">IF(OR(AO394&lt;&gt;1,G394=""),"",IFERROR(IF(INDEX(L_SrcInterne,MATCH(G394,L_Sources,0))="Oui",1,0),""))</f>
        <v/>
      </c>
      <c r="AT394" s="37" t="str">
        <f aca="false">IF(AO394&lt;&gt;1,"",IFERROR(ROUND(IF(OR(N394="",O394=""),"",IF(O394&lt;N394,"",ROUND(((NETWORKDAYS(N394,O394,JoursFeries)-1)*(HFer-HOuv)+IF(NETWORKDAYS(O394,O394,JoursFeries),MEDIAN(MOD(O394,1),HFer,HOuv),HFer)-IF(NETWORKDAYS(N394,N394,JoursFeries),MEDIAN(MOD(N394,1),HFer,HOuv),HOuv))*24,4)))/HJour,4),""))</f>
        <v/>
      </c>
      <c r="AU394" s="37" t="str">
        <f aca="false">IF(AO394&lt;&gt;1,"",IF(OR(O394="",P394=""),"",IF(P394&lt;O394,"",ROUND(((NETWORKDAYS(O394,P394,JoursFeries)-1)*(HFer-HOuv)+IF(NETWORKDAYS(P394,P394,JoursFeries),MEDIAN(MOD(P394,1),HFer,HOuv),HFer)-IF(NETWORKDAYS(O394,O394,JoursFeries),MEDIAN(MOD(O394,1),HFer,HOuv),HOuv))*24,4))))</f>
        <v/>
      </c>
      <c r="AV394" s="37" t="str">
        <f aca="false">IF(AO394&lt;&gt;1,"",IF(OR(P394="",Q394=""),"",IF(Q394&lt;P394,"",ROUND(((NETWORKDAYS(P394,Q394,JoursFeries)-1)*(HFer-HOuv)+IF(NETWORKDAYS(Q394,Q394,JoursFeries),MEDIAN(MOD(Q394,1),HFer,HOuv),HFer)-IF(NETWORKDAYS(P394,P394,JoursFeries),MEDIAN(MOD(P394,1),HFer,HOuv),HOuv))*24,4))))</f>
        <v/>
      </c>
      <c r="AW394" s="37" t="str">
        <f aca="false">IF(AO394&lt;&gt;1,"",IFERROR(ROUND(IF(OR(P394="",R394=""),"",IF(R394&lt;P394,"",ROUND(((NETWORKDAYS(P394,R394,JoursFeries)-1)*(HFer-HOuv)+IF(NETWORKDAYS(R394,R394,JoursFeries),MEDIAN(MOD(R394,1),HFer,HOuv),HFer)-IF(NETWORKDAYS(P394,P394,JoursFeries),MEDIAN(MOD(P394,1),HFer,HOuv),HOuv))*24,4)))/HJour,4),""))</f>
        <v/>
      </c>
      <c r="AX394" s="37" t="str">
        <f aca="false">IF(AO394&lt;&gt;1,"",IFERROR(ROUND(IF(OR(P394="",S394=""),"",IF(S394&lt;P394,"",ROUND(((NETWORKDAYS(P394,S394,JoursFeries)-1)*(HFer-HOuv)+IF(NETWORKDAYS(S394,S394,JoursFeries),MEDIAN(MOD(S394,1),HFer,HOuv),HFer)-IF(NETWORKDAYS(P394,P394,JoursFeries),MEDIAN(MOD(P394,1),HFer,HOuv),HOuv))*24,4)))/HJour,4),""))</f>
        <v/>
      </c>
      <c r="AY394" s="36" t="str">
        <f aca="false">IF(OR(AO394&lt;&gt;1,AR394=""),"",INDEX(SLA_PEC,AR394))</f>
        <v/>
      </c>
      <c r="AZ394" s="35" t="str">
        <f aca="false">IF(OR(AV394="",AY394=""),"",IF(AV394&lt;=AY394,1,0))</f>
        <v/>
      </c>
      <c r="BA394" s="36" t="str">
        <f aca="false">IF(OR(AO394&lt;&gt;1,AR394=""),"",INDEX(SLA_RES,AR394))</f>
        <v/>
      </c>
      <c r="BB394" s="35" t="str">
        <f aca="false">IF(OR(AW394="",BA394=""),"",IF(AW394&lt;=BA394,1,0))</f>
        <v/>
      </c>
      <c r="BC394" s="38" t="str">
        <f aca="false">IF(OR(BA394="",P394=""),"",WORKDAY(INT(P394),BA394,JoursFeries)+MOD(P394,1))</f>
        <v/>
      </c>
      <c r="BD394" s="39" t="str">
        <f aca="false">IF(AO394&lt;&gt;1,"",IF(OR(AB394&lt;&gt;"",AD394&lt;&gt;""),4,IF(U394&lt;&gt;"",3,IF(T394&lt;&gt;"",2,1))))</f>
        <v/>
      </c>
      <c r="BE394" s="39" t="str">
        <f aca="false">IF(OR(AO394&lt;&gt;1,AR394=""),"",INDEX(NIV_REQ,AR394))</f>
        <v/>
      </c>
      <c r="BF394" s="39" t="str">
        <f aca="false">IF(BE394="","",MAX(BE394,IF(OR(K394="Oui",Z394="Oui"),4,1)))</f>
        <v/>
      </c>
      <c r="BG394" s="35" t="str">
        <f aca="false">IF(OR(BF394="",BD394=""),"",IF(BD394&gt;=BF394,1,0))</f>
        <v/>
      </c>
      <c r="BH394" s="38" t="str">
        <f aca="false">IF(BE394="","",IF(BE394&lt;2,"",IF(BE394=2,IF(AND(T394="",U394=""),"",MIN(T394,U394)),IF(U394="","",U394))))</f>
        <v/>
      </c>
      <c r="BI394" s="37" t="str">
        <f aca="false">IF(BH394="","",IF(OR(O394="",BH394=""),"",IF(BH394&lt;O394,"",ROUND(((NETWORKDAYS(O394,BH394,JoursFeries)-1)*(HFer-HOuv)+IF(NETWORKDAYS(BH394,BH394,JoursFeries),MEDIAN(MOD(BH394,1),HFer,HOuv),HFer)-IF(NETWORKDAYS(O394,O394,JoursFeries),MEDIAN(MOD(O394,1),HFer,HOuv),HOuv))*24,4))))</f>
        <v/>
      </c>
      <c r="BJ394" s="35" t="str">
        <f aca="false">IF(OR(BI394="",AR394=""),"",IF(BI394&lt;=INDEX(DELAI_ESC,AR394),1,0))</f>
        <v/>
      </c>
      <c r="BK394" s="38" t="str">
        <f aca="false">IF(AO394&lt;&gt;1,"",IF(AND(T394="",U394=""),"",MIN(T394,U394)))</f>
        <v/>
      </c>
      <c r="BL394" s="37" t="str">
        <f aca="false">IF(OR(BK394="",R394=""),"",IFERROR(ROUND(IF(OR(BK394="",R394=""),"",IF(R394&lt;BK394,"",ROUND(((NETWORKDAYS(BK394,R394,JoursFeries)-1)*(HFer-HOuv)+IF(NETWORKDAYS(R394,R394,JoursFeries),MEDIAN(MOD(R394,1),HFer,HOuv),HFer)-IF(NETWORKDAYS(BK394,BK394,JoursFeries),MEDIAN(MOD(BK394,1),HFer,HOuv),HOuv))*24,4)))/HJour,4),""))</f>
        <v/>
      </c>
      <c r="BM394" s="35" t="str">
        <f aca="false">IF(OR(AO394&lt;&gt;1,R394=""),"",IF(BD394=1,1,0))</f>
        <v/>
      </c>
      <c r="BN394" s="35" t="str">
        <f aca="false">IF(AO394&lt;&gt;1,"",IF(W394="Oui",1,0))</f>
        <v/>
      </c>
      <c r="BO394" s="35" t="str">
        <f aca="false">IF(AO394&lt;&gt;1,"",IF(X394&lt;&gt;"",1,0))</f>
        <v/>
      </c>
      <c r="BP394" s="35" t="str">
        <f aca="false">IF(AO394&lt;&gt;1,"",IF(Y394="Oui",1,0))</f>
        <v/>
      </c>
      <c r="BQ394" s="35" t="str">
        <f aca="true">IF(OR(AO394&lt;&gt;1,Z394&lt;&gt;"Oui"),"",IF(AB394="",IF(AND(AA394&lt;&gt;"",NOW()&gt;AA394),0,""),IF(AA394="","",IF(AB394&lt;=AA394,1,0))))</f>
        <v/>
      </c>
      <c r="BR394" s="38" t="str">
        <f aca="false">IF(OR(AO394&lt;&gt;1,K394&lt;&gt;"Oui",O394=""),"",IF(AC394="",O394+DORA_H_DET/24,IF(AC394-O394&lt;=DORA_H_DET/24,MIN(AC394+DORA_H_CLA/24,O394+DORA_H_DET/24),AC394+DORA_H_CLA/24)))</f>
        <v/>
      </c>
      <c r="BS394" s="35" t="str">
        <f aca="true">IF(BR394="","",IF(AD394="",IF(NOW()&gt;BR394,0,""),IF(AD394&lt;=BR394,1,0)))</f>
        <v/>
      </c>
      <c r="BT394" s="35" t="str">
        <f aca="true">IF(OR(BR394="",AD394=""),"",IF(AE394="",IF(NOW()&gt;AD394+DORA_H_INT/24,0,""),IF(AE394&lt;=AD394+DORA_H_INT/24,1,0)))</f>
        <v/>
      </c>
      <c r="BU394" s="35" t="str">
        <f aca="true">IF(OR(BR394="",AE394=""),"",IF(AF394="",IF(NOW()&gt;EDATE(AE394,DORA_M_FIN)+1,0,""),IF(AF394&lt;=EDATE(AE394,DORA_M_FIN),1,0)))</f>
        <v/>
      </c>
      <c r="BV394" s="35" t="str">
        <f aca="false">IF(BR394="","",IF(COUNT(BS394:BU394)=0,"",MIN(BS394:BU394)))</f>
        <v/>
      </c>
      <c r="BW394" s="40" t="str">
        <f aca="false">IF(AQ394&lt;&gt;1,"",IF(AND(AG394="",AH394=""),"",N(AG394)-N(AH394)))</f>
        <v/>
      </c>
      <c r="BX394" s="35" t="str">
        <f aca="true">IF(OR(AQ394&lt;&gt;1,AI394&lt;&gt;"Oui",AJ394=""),"",IF(AK394="",IF(NOW()&gt;AJ394+1,0,""),IF(AK394&lt;=AJ394,1,0)))</f>
        <v/>
      </c>
    </row>
    <row r="395" customFormat="false" ht="15" hidden="false" customHeight="false" outlineLevel="0" collapsed="false">
      <c r="B395" s="29"/>
      <c r="C395" s="29"/>
      <c r="D395" s="29"/>
      <c r="E395" s="29"/>
      <c r="F395" s="29"/>
      <c r="G395" s="29"/>
      <c r="H395" s="29"/>
      <c r="I395" s="29"/>
      <c r="J395" s="29"/>
      <c r="K395" s="29"/>
      <c r="L395" s="29"/>
      <c r="M395" s="29"/>
      <c r="N395" s="30"/>
      <c r="O395" s="30"/>
      <c r="P395" s="30"/>
      <c r="Q395" s="30"/>
      <c r="R395" s="30"/>
      <c r="S395" s="30"/>
      <c r="T395" s="30"/>
      <c r="U395" s="30"/>
      <c r="V395" s="31"/>
      <c r="W395" s="29"/>
      <c r="X395" s="29"/>
      <c r="Y395" s="29"/>
      <c r="Z395" s="29"/>
      <c r="AA395" s="30"/>
      <c r="AB395" s="30"/>
      <c r="AC395" s="30"/>
      <c r="AD395" s="30"/>
      <c r="AE395" s="30"/>
      <c r="AF395" s="32"/>
      <c r="AG395" s="33"/>
      <c r="AH395" s="33"/>
      <c r="AI395" s="29"/>
      <c r="AJ395" s="32"/>
      <c r="AK395" s="32"/>
      <c r="AL395" s="29"/>
      <c r="AN395" s="34" t="str">
        <f aca="false">IF($B395="","",IF(OR(C395="",D395="",E395="",G395="",I395="",J395="",L395="",O395="",P395=""),"Champ obligatoire manquant",IF(OR(AND(N395&lt;&gt;"",N395&gt;O395),O395&gt;P395,AND(Q395&lt;&gt;"",Q395&lt;P395),AND(R395&lt;&gt;"",R395&lt;P395),AND(S395&lt;&gt;"",S395&lt;R395),AND(S395&lt;&gt;"",R395=""),AND(T395&lt;&gt;"",T395&lt;O395),AND(U395&lt;&gt;"",U395&lt;O395)),"Chronologie incohérente",IF(AND(OR(L395="Résolu",L395="Clos"),R395=""),"Date de résolution manquante",IF(AND(L395="Clos",S395=""),"Date de clôture manquante",IF(AND(K395="Oui",AC395=""),"Classification DORA manquante","OK"))))))</f>
        <v/>
      </c>
      <c r="AO395" s="35" t="str">
        <f aca="false">IF($B395="","",IF(AND(C395="Incident",L395&lt;&gt;"Annulé"),1,0))</f>
        <v/>
      </c>
      <c r="AP395" s="35" t="str">
        <f aca="false">IF($B395="","",IF(AND(C395="Quasi-incident",L395&lt;&gt;"Annulé"),1,0))</f>
        <v/>
      </c>
      <c r="AQ395" s="35" t="str">
        <f aca="false">IF($B395="","",AO395+AP395)</f>
        <v/>
      </c>
      <c r="AR395" s="36" t="str">
        <f aca="false">IF(OR($B395="",J395=""),"",IFERROR(VALUE(LEFT(J395,1)),""))</f>
        <v/>
      </c>
      <c r="AS395" s="35" t="str">
        <f aca="false">IF(OR(AO395&lt;&gt;1,G395=""),"",IFERROR(IF(INDEX(L_SrcInterne,MATCH(G395,L_Sources,0))="Oui",1,0),""))</f>
        <v/>
      </c>
      <c r="AT395" s="37" t="str">
        <f aca="false">IF(AO395&lt;&gt;1,"",IFERROR(ROUND(IF(OR(N395="",O395=""),"",IF(O395&lt;N395,"",ROUND(((NETWORKDAYS(N395,O395,JoursFeries)-1)*(HFer-HOuv)+IF(NETWORKDAYS(O395,O395,JoursFeries),MEDIAN(MOD(O395,1),HFer,HOuv),HFer)-IF(NETWORKDAYS(N395,N395,JoursFeries),MEDIAN(MOD(N395,1),HFer,HOuv),HOuv))*24,4)))/HJour,4),""))</f>
        <v/>
      </c>
      <c r="AU395" s="37" t="str">
        <f aca="false">IF(AO395&lt;&gt;1,"",IF(OR(O395="",P395=""),"",IF(P395&lt;O395,"",ROUND(((NETWORKDAYS(O395,P395,JoursFeries)-1)*(HFer-HOuv)+IF(NETWORKDAYS(P395,P395,JoursFeries),MEDIAN(MOD(P395,1),HFer,HOuv),HFer)-IF(NETWORKDAYS(O395,O395,JoursFeries),MEDIAN(MOD(O395,1),HFer,HOuv),HOuv))*24,4))))</f>
        <v/>
      </c>
      <c r="AV395" s="37" t="str">
        <f aca="false">IF(AO395&lt;&gt;1,"",IF(OR(P395="",Q395=""),"",IF(Q395&lt;P395,"",ROUND(((NETWORKDAYS(P395,Q395,JoursFeries)-1)*(HFer-HOuv)+IF(NETWORKDAYS(Q395,Q395,JoursFeries),MEDIAN(MOD(Q395,1),HFer,HOuv),HFer)-IF(NETWORKDAYS(P395,P395,JoursFeries),MEDIAN(MOD(P395,1),HFer,HOuv),HOuv))*24,4))))</f>
        <v/>
      </c>
      <c r="AW395" s="37" t="str">
        <f aca="false">IF(AO395&lt;&gt;1,"",IFERROR(ROUND(IF(OR(P395="",R395=""),"",IF(R395&lt;P395,"",ROUND(((NETWORKDAYS(P395,R395,JoursFeries)-1)*(HFer-HOuv)+IF(NETWORKDAYS(R395,R395,JoursFeries),MEDIAN(MOD(R395,1),HFer,HOuv),HFer)-IF(NETWORKDAYS(P395,P395,JoursFeries),MEDIAN(MOD(P395,1),HFer,HOuv),HOuv))*24,4)))/HJour,4),""))</f>
        <v/>
      </c>
      <c r="AX395" s="37" t="str">
        <f aca="false">IF(AO395&lt;&gt;1,"",IFERROR(ROUND(IF(OR(P395="",S395=""),"",IF(S395&lt;P395,"",ROUND(((NETWORKDAYS(P395,S395,JoursFeries)-1)*(HFer-HOuv)+IF(NETWORKDAYS(S395,S395,JoursFeries),MEDIAN(MOD(S395,1),HFer,HOuv),HFer)-IF(NETWORKDAYS(P395,P395,JoursFeries),MEDIAN(MOD(P395,1),HFer,HOuv),HOuv))*24,4)))/HJour,4),""))</f>
        <v/>
      </c>
      <c r="AY395" s="36" t="str">
        <f aca="false">IF(OR(AO395&lt;&gt;1,AR395=""),"",INDEX(SLA_PEC,AR395))</f>
        <v/>
      </c>
      <c r="AZ395" s="35" t="str">
        <f aca="false">IF(OR(AV395="",AY395=""),"",IF(AV395&lt;=AY395,1,0))</f>
        <v/>
      </c>
      <c r="BA395" s="36" t="str">
        <f aca="false">IF(OR(AO395&lt;&gt;1,AR395=""),"",INDEX(SLA_RES,AR395))</f>
        <v/>
      </c>
      <c r="BB395" s="35" t="str">
        <f aca="false">IF(OR(AW395="",BA395=""),"",IF(AW395&lt;=BA395,1,0))</f>
        <v/>
      </c>
      <c r="BC395" s="38" t="str">
        <f aca="false">IF(OR(BA395="",P395=""),"",WORKDAY(INT(P395),BA395,JoursFeries)+MOD(P395,1))</f>
        <v/>
      </c>
      <c r="BD395" s="39" t="str">
        <f aca="false">IF(AO395&lt;&gt;1,"",IF(OR(AB395&lt;&gt;"",AD395&lt;&gt;""),4,IF(U395&lt;&gt;"",3,IF(T395&lt;&gt;"",2,1))))</f>
        <v/>
      </c>
      <c r="BE395" s="39" t="str">
        <f aca="false">IF(OR(AO395&lt;&gt;1,AR395=""),"",INDEX(NIV_REQ,AR395))</f>
        <v/>
      </c>
      <c r="BF395" s="39" t="str">
        <f aca="false">IF(BE395="","",MAX(BE395,IF(OR(K395="Oui",Z395="Oui"),4,1)))</f>
        <v/>
      </c>
      <c r="BG395" s="35" t="str">
        <f aca="false">IF(OR(BF395="",BD395=""),"",IF(BD395&gt;=BF395,1,0))</f>
        <v/>
      </c>
      <c r="BH395" s="38" t="str">
        <f aca="false">IF(BE395="","",IF(BE395&lt;2,"",IF(BE395=2,IF(AND(T395="",U395=""),"",MIN(T395,U395)),IF(U395="","",U395))))</f>
        <v/>
      </c>
      <c r="BI395" s="37" t="str">
        <f aca="false">IF(BH395="","",IF(OR(O395="",BH395=""),"",IF(BH395&lt;O395,"",ROUND(((NETWORKDAYS(O395,BH395,JoursFeries)-1)*(HFer-HOuv)+IF(NETWORKDAYS(BH395,BH395,JoursFeries),MEDIAN(MOD(BH395,1),HFer,HOuv),HFer)-IF(NETWORKDAYS(O395,O395,JoursFeries),MEDIAN(MOD(O395,1),HFer,HOuv),HOuv))*24,4))))</f>
        <v/>
      </c>
      <c r="BJ395" s="35" t="str">
        <f aca="false">IF(OR(BI395="",AR395=""),"",IF(BI395&lt;=INDEX(DELAI_ESC,AR395),1,0))</f>
        <v/>
      </c>
      <c r="BK395" s="38" t="str">
        <f aca="false">IF(AO395&lt;&gt;1,"",IF(AND(T395="",U395=""),"",MIN(T395,U395)))</f>
        <v/>
      </c>
      <c r="BL395" s="37" t="str">
        <f aca="false">IF(OR(BK395="",R395=""),"",IFERROR(ROUND(IF(OR(BK395="",R395=""),"",IF(R395&lt;BK395,"",ROUND(((NETWORKDAYS(BK395,R395,JoursFeries)-1)*(HFer-HOuv)+IF(NETWORKDAYS(R395,R395,JoursFeries),MEDIAN(MOD(R395,1),HFer,HOuv),HFer)-IF(NETWORKDAYS(BK395,BK395,JoursFeries),MEDIAN(MOD(BK395,1),HFer,HOuv),HOuv))*24,4)))/HJour,4),""))</f>
        <v/>
      </c>
      <c r="BM395" s="35" t="str">
        <f aca="false">IF(OR(AO395&lt;&gt;1,R395=""),"",IF(BD395=1,1,0))</f>
        <v/>
      </c>
      <c r="BN395" s="35" t="str">
        <f aca="false">IF(AO395&lt;&gt;1,"",IF(W395="Oui",1,0))</f>
        <v/>
      </c>
      <c r="BO395" s="35" t="str">
        <f aca="false">IF(AO395&lt;&gt;1,"",IF(X395&lt;&gt;"",1,0))</f>
        <v/>
      </c>
      <c r="BP395" s="35" t="str">
        <f aca="false">IF(AO395&lt;&gt;1,"",IF(Y395="Oui",1,0))</f>
        <v/>
      </c>
      <c r="BQ395" s="35" t="str">
        <f aca="true">IF(OR(AO395&lt;&gt;1,Z395&lt;&gt;"Oui"),"",IF(AB395="",IF(AND(AA395&lt;&gt;"",NOW()&gt;AA395),0,""),IF(AA395="","",IF(AB395&lt;=AA395,1,0))))</f>
        <v/>
      </c>
      <c r="BR395" s="38" t="str">
        <f aca="false">IF(OR(AO395&lt;&gt;1,K395&lt;&gt;"Oui",O395=""),"",IF(AC395="",O395+DORA_H_DET/24,IF(AC395-O395&lt;=DORA_H_DET/24,MIN(AC395+DORA_H_CLA/24,O395+DORA_H_DET/24),AC395+DORA_H_CLA/24)))</f>
        <v/>
      </c>
      <c r="BS395" s="35" t="str">
        <f aca="true">IF(BR395="","",IF(AD395="",IF(NOW()&gt;BR395,0,""),IF(AD395&lt;=BR395,1,0)))</f>
        <v/>
      </c>
      <c r="BT395" s="35" t="str">
        <f aca="true">IF(OR(BR395="",AD395=""),"",IF(AE395="",IF(NOW()&gt;AD395+DORA_H_INT/24,0,""),IF(AE395&lt;=AD395+DORA_H_INT/24,1,0)))</f>
        <v/>
      </c>
      <c r="BU395" s="35" t="str">
        <f aca="true">IF(OR(BR395="",AE395=""),"",IF(AF395="",IF(NOW()&gt;EDATE(AE395,DORA_M_FIN)+1,0,""),IF(AF395&lt;=EDATE(AE395,DORA_M_FIN),1,0)))</f>
        <v/>
      </c>
      <c r="BV395" s="35" t="str">
        <f aca="false">IF(BR395="","",IF(COUNT(BS395:BU395)=0,"",MIN(BS395:BU395)))</f>
        <v/>
      </c>
      <c r="BW395" s="40" t="str">
        <f aca="false">IF(AQ395&lt;&gt;1,"",IF(AND(AG395="",AH395=""),"",N(AG395)-N(AH395)))</f>
        <v/>
      </c>
      <c r="BX395" s="35" t="str">
        <f aca="true">IF(OR(AQ395&lt;&gt;1,AI395&lt;&gt;"Oui",AJ395=""),"",IF(AK395="",IF(NOW()&gt;AJ395+1,0,""),IF(AK395&lt;=AJ395,1,0)))</f>
        <v/>
      </c>
    </row>
    <row r="396" customFormat="false" ht="15" hidden="false" customHeight="false" outlineLevel="0" collapsed="false">
      <c r="B396" s="29"/>
      <c r="C396" s="29"/>
      <c r="D396" s="29"/>
      <c r="E396" s="29"/>
      <c r="F396" s="29"/>
      <c r="G396" s="29"/>
      <c r="H396" s="29"/>
      <c r="I396" s="29"/>
      <c r="J396" s="29"/>
      <c r="K396" s="29"/>
      <c r="L396" s="29"/>
      <c r="M396" s="29"/>
      <c r="N396" s="30"/>
      <c r="O396" s="30"/>
      <c r="P396" s="30"/>
      <c r="Q396" s="30"/>
      <c r="R396" s="30"/>
      <c r="S396" s="30"/>
      <c r="T396" s="30"/>
      <c r="U396" s="30"/>
      <c r="V396" s="31"/>
      <c r="W396" s="29"/>
      <c r="X396" s="29"/>
      <c r="Y396" s="29"/>
      <c r="Z396" s="29"/>
      <c r="AA396" s="30"/>
      <c r="AB396" s="30"/>
      <c r="AC396" s="30"/>
      <c r="AD396" s="30"/>
      <c r="AE396" s="30"/>
      <c r="AF396" s="32"/>
      <c r="AG396" s="33"/>
      <c r="AH396" s="33"/>
      <c r="AI396" s="29"/>
      <c r="AJ396" s="32"/>
      <c r="AK396" s="32"/>
      <c r="AL396" s="29"/>
      <c r="AN396" s="34" t="str">
        <f aca="false">IF($B396="","",IF(OR(C396="",D396="",E396="",G396="",I396="",J396="",L396="",O396="",P396=""),"Champ obligatoire manquant",IF(OR(AND(N396&lt;&gt;"",N396&gt;O396),O396&gt;P396,AND(Q396&lt;&gt;"",Q396&lt;P396),AND(R396&lt;&gt;"",R396&lt;P396),AND(S396&lt;&gt;"",S396&lt;R396),AND(S396&lt;&gt;"",R396=""),AND(T396&lt;&gt;"",T396&lt;O396),AND(U396&lt;&gt;"",U396&lt;O396)),"Chronologie incohérente",IF(AND(OR(L396="Résolu",L396="Clos"),R396=""),"Date de résolution manquante",IF(AND(L396="Clos",S396=""),"Date de clôture manquante",IF(AND(K396="Oui",AC396=""),"Classification DORA manquante","OK"))))))</f>
        <v/>
      </c>
      <c r="AO396" s="35" t="str">
        <f aca="false">IF($B396="","",IF(AND(C396="Incident",L396&lt;&gt;"Annulé"),1,0))</f>
        <v/>
      </c>
      <c r="AP396" s="35" t="str">
        <f aca="false">IF($B396="","",IF(AND(C396="Quasi-incident",L396&lt;&gt;"Annulé"),1,0))</f>
        <v/>
      </c>
      <c r="AQ396" s="35" t="str">
        <f aca="false">IF($B396="","",AO396+AP396)</f>
        <v/>
      </c>
      <c r="AR396" s="36" t="str">
        <f aca="false">IF(OR($B396="",J396=""),"",IFERROR(VALUE(LEFT(J396,1)),""))</f>
        <v/>
      </c>
      <c r="AS396" s="35" t="str">
        <f aca="false">IF(OR(AO396&lt;&gt;1,G396=""),"",IFERROR(IF(INDEX(L_SrcInterne,MATCH(G396,L_Sources,0))="Oui",1,0),""))</f>
        <v/>
      </c>
      <c r="AT396" s="37" t="str">
        <f aca="false">IF(AO396&lt;&gt;1,"",IFERROR(ROUND(IF(OR(N396="",O396=""),"",IF(O396&lt;N396,"",ROUND(((NETWORKDAYS(N396,O396,JoursFeries)-1)*(HFer-HOuv)+IF(NETWORKDAYS(O396,O396,JoursFeries),MEDIAN(MOD(O396,1),HFer,HOuv),HFer)-IF(NETWORKDAYS(N396,N396,JoursFeries),MEDIAN(MOD(N396,1),HFer,HOuv),HOuv))*24,4)))/HJour,4),""))</f>
        <v/>
      </c>
      <c r="AU396" s="37" t="str">
        <f aca="false">IF(AO396&lt;&gt;1,"",IF(OR(O396="",P396=""),"",IF(P396&lt;O396,"",ROUND(((NETWORKDAYS(O396,P396,JoursFeries)-1)*(HFer-HOuv)+IF(NETWORKDAYS(P396,P396,JoursFeries),MEDIAN(MOD(P396,1),HFer,HOuv),HFer)-IF(NETWORKDAYS(O396,O396,JoursFeries),MEDIAN(MOD(O396,1),HFer,HOuv),HOuv))*24,4))))</f>
        <v/>
      </c>
      <c r="AV396" s="37" t="str">
        <f aca="false">IF(AO396&lt;&gt;1,"",IF(OR(P396="",Q396=""),"",IF(Q396&lt;P396,"",ROUND(((NETWORKDAYS(P396,Q396,JoursFeries)-1)*(HFer-HOuv)+IF(NETWORKDAYS(Q396,Q396,JoursFeries),MEDIAN(MOD(Q396,1),HFer,HOuv),HFer)-IF(NETWORKDAYS(P396,P396,JoursFeries),MEDIAN(MOD(P396,1),HFer,HOuv),HOuv))*24,4))))</f>
        <v/>
      </c>
      <c r="AW396" s="37" t="str">
        <f aca="false">IF(AO396&lt;&gt;1,"",IFERROR(ROUND(IF(OR(P396="",R396=""),"",IF(R396&lt;P396,"",ROUND(((NETWORKDAYS(P396,R396,JoursFeries)-1)*(HFer-HOuv)+IF(NETWORKDAYS(R396,R396,JoursFeries),MEDIAN(MOD(R396,1),HFer,HOuv),HFer)-IF(NETWORKDAYS(P396,P396,JoursFeries),MEDIAN(MOD(P396,1),HFer,HOuv),HOuv))*24,4)))/HJour,4),""))</f>
        <v/>
      </c>
      <c r="AX396" s="37" t="str">
        <f aca="false">IF(AO396&lt;&gt;1,"",IFERROR(ROUND(IF(OR(P396="",S396=""),"",IF(S396&lt;P396,"",ROUND(((NETWORKDAYS(P396,S396,JoursFeries)-1)*(HFer-HOuv)+IF(NETWORKDAYS(S396,S396,JoursFeries),MEDIAN(MOD(S396,1),HFer,HOuv),HFer)-IF(NETWORKDAYS(P396,P396,JoursFeries),MEDIAN(MOD(P396,1),HFer,HOuv),HOuv))*24,4)))/HJour,4),""))</f>
        <v/>
      </c>
      <c r="AY396" s="36" t="str">
        <f aca="false">IF(OR(AO396&lt;&gt;1,AR396=""),"",INDEX(SLA_PEC,AR396))</f>
        <v/>
      </c>
      <c r="AZ396" s="35" t="str">
        <f aca="false">IF(OR(AV396="",AY396=""),"",IF(AV396&lt;=AY396,1,0))</f>
        <v/>
      </c>
      <c r="BA396" s="36" t="str">
        <f aca="false">IF(OR(AO396&lt;&gt;1,AR396=""),"",INDEX(SLA_RES,AR396))</f>
        <v/>
      </c>
      <c r="BB396" s="35" t="str">
        <f aca="false">IF(OR(AW396="",BA396=""),"",IF(AW396&lt;=BA396,1,0))</f>
        <v/>
      </c>
      <c r="BC396" s="38" t="str">
        <f aca="false">IF(OR(BA396="",P396=""),"",WORKDAY(INT(P396),BA396,JoursFeries)+MOD(P396,1))</f>
        <v/>
      </c>
      <c r="BD396" s="39" t="str">
        <f aca="false">IF(AO396&lt;&gt;1,"",IF(OR(AB396&lt;&gt;"",AD396&lt;&gt;""),4,IF(U396&lt;&gt;"",3,IF(T396&lt;&gt;"",2,1))))</f>
        <v/>
      </c>
      <c r="BE396" s="39" t="str">
        <f aca="false">IF(OR(AO396&lt;&gt;1,AR396=""),"",INDEX(NIV_REQ,AR396))</f>
        <v/>
      </c>
      <c r="BF396" s="39" t="str">
        <f aca="false">IF(BE396="","",MAX(BE396,IF(OR(K396="Oui",Z396="Oui"),4,1)))</f>
        <v/>
      </c>
      <c r="BG396" s="35" t="str">
        <f aca="false">IF(OR(BF396="",BD396=""),"",IF(BD396&gt;=BF396,1,0))</f>
        <v/>
      </c>
      <c r="BH396" s="38" t="str">
        <f aca="false">IF(BE396="","",IF(BE396&lt;2,"",IF(BE396=2,IF(AND(T396="",U396=""),"",MIN(T396,U396)),IF(U396="","",U396))))</f>
        <v/>
      </c>
      <c r="BI396" s="37" t="str">
        <f aca="false">IF(BH396="","",IF(OR(O396="",BH396=""),"",IF(BH396&lt;O396,"",ROUND(((NETWORKDAYS(O396,BH396,JoursFeries)-1)*(HFer-HOuv)+IF(NETWORKDAYS(BH396,BH396,JoursFeries),MEDIAN(MOD(BH396,1),HFer,HOuv),HFer)-IF(NETWORKDAYS(O396,O396,JoursFeries),MEDIAN(MOD(O396,1),HFer,HOuv),HOuv))*24,4))))</f>
        <v/>
      </c>
      <c r="BJ396" s="35" t="str">
        <f aca="false">IF(OR(BI396="",AR396=""),"",IF(BI396&lt;=INDEX(DELAI_ESC,AR396),1,0))</f>
        <v/>
      </c>
      <c r="BK396" s="38" t="str">
        <f aca="false">IF(AO396&lt;&gt;1,"",IF(AND(T396="",U396=""),"",MIN(T396,U396)))</f>
        <v/>
      </c>
      <c r="BL396" s="37" t="str">
        <f aca="false">IF(OR(BK396="",R396=""),"",IFERROR(ROUND(IF(OR(BK396="",R396=""),"",IF(R396&lt;BK396,"",ROUND(((NETWORKDAYS(BK396,R396,JoursFeries)-1)*(HFer-HOuv)+IF(NETWORKDAYS(R396,R396,JoursFeries),MEDIAN(MOD(R396,1),HFer,HOuv),HFer)-IF(NETWORKDAYS(BK396,BK396,JoursFeries),MEDIAN(MOD(BK396,1),HFer,HOuv),HOuv))*24,4)))/HJour,4),""))</f>
        <v/>
      </c>
      <c r="BM396" s="35" t="str">
        <f aca="false">IF(OR(AO396&lt;&gt;1,R396=""),"",IF(BD396=1,1,0))</f>
        <v/>
      </c>
      <c r="BN396" s="35" t="str">
        <f aca="false">IF(AO396&lt;&gt;1,"",IF(W396="Oui",1,0))</f>
        <v/>
      </c>
      <c r="BO396" s="35" t="str">
        <f aca="false">IF(AO396&lt;&gt;1,"",IF(X396&lt;&gt;"",1,0))</f>
        <v/>
      </c>
      <c r="BP396" s="35" t="str">
        <f aca="false">IF(AO396&lt;&gt;1,"",IF(Y396="Oui",1,0))</f>
        <v/>
      </c>
      <c r="BQ396" s="35" t="str">
        <f aca="true">IF(OR(AO396&lt;&gt;1,Z396&lt;&gt;"Oui"),"",IF(AB396="",IF(AND(AA396&lt;&gt;"",NOW()&gt;AA396),0,""),IF(AA396="","",IF(AB396&lt;=AA396,1,0))))</f>
        <v/>
      </c>
      <c r="BR396" s="38" t="str">
        <f aca="false">IF(OR(AO396&lt;&gt;1,K396&lt;&gt;"Oui",O396=""),"",IF(AC396="",O396+DORA_H_DET/24,IF(AC396-O396&lt;=DORA_H_DET/24,MIN(AC396+DORA_H_CLA/24,O396+DORA_H_DET/24),AC396+DORA_H_CLA/24)))</f>
        <v/>
      </c>
      <c r="BS396" s="35" t="str">
        <f aca="true">IF(BR396="","",IF(AD396="",IF(NOW()&gt;BR396,0,""),IF(AD396&lt;=BR396,1,0)))</f>
        <v/>
      </c>
      <c r="BT396" s="35" t="str">
        <f aca="true">IF(OR(BR396="",AD396=""),"",IF(AE396="",IF(NOW()&gt;AD396+DORA_H_INT/24,0,""),IF(AE396&lt;=AD396+DORA_H_INT/24,1,0)))</f>
        <v/>
      </c>
      <c r="BU396" s="35" t="str">
        <f aca="true">IF(OR(BR396="",AE396=""),"",IF(AF396="",IF(NOW()&gt;EDATE(AE396,DORA_M_FIN)+1,0,""),IF(AF396&lt;=EDATE(AE396,DORA_M_FIN),1,0)))</f>
        <v/>
      </c>
      <c r="BV396" s="35" t="str">
        <f aca="false">IF(BR396="","",IF(COUNT(BS396:BU396)=0,"",MIN(BS396:BU396)))</f>
        <v/>
      </c>
      <c r="BW396" s="40" t="str">
        <f aca="false">IF(AQ396&lt;&gt;1,"",IF(AND(AG396="",AH396=""),"",N(AG396)-N(AH396)))</f>
        <v/>
      </c>
      <c r="BX396" s="35" t="str">
        <f aca="true">IF(OR(AQ396&lt;&gt;1,AI396&lt;&gt;"Oui",AJ396=""),"",IF(AK396="",IF(NOW()&gt;AJ396+1,0,""),IF(AK396&lt;=AJ396,1,0)))</f>
        <v/>
      </c>
    </row>
    <row r="397" customFormat="false" ht="15" hidden="false" customHeight="false" outlineLevel="0" collapsed="false">
      <c r="B397" s="29"/>
      <c r="C397" s="29"/>
      <c r="D397" s="29"/>
      <c r="E397" s="29"/>
      <c r="F397" s="29"/>
      <c r="G397" s="29"/>
      <c r="H397" s="29"/>
      <c r="I397" s="29"/>
      <c r="J397" s="29"/>
      <c r="K397" s="29"/>
      <c r="L397" s="29"/>
      <c r="M397" s="29"/>
      <c r="N397" s="30"/>
      <c r="O397" s="30"/>
      <c r="P397" s="30"/>
      <c r="Q397" s="30"/>
      <c r="R397" s="30"/>
      <c r="S397" s="30"/>
      <c r="T397" s="30"/>
      <c r="U397" s="30"/>
      <c r="V397" s="31"/>
      <c r="W397" s="29"/>
      <c r="X397" s="29"/>
      <c r="Y397" s="29"/>
      <c r="Z397" s="29"/>
      <c r="AA397" s="30"/>
      <c r="AB397" s="30"/>
      <c r="AC397" s="30"/>
      <c r="AD397" s="30"/>
      <c r="AE397" s="30"/>
      <c r="AF397" s="32"/>
      <c r="AG397" s="33"/>
      <c r="AH397" s="33"/>
      <c r="AI397" s="29"/>
      <c r="AJ397" s="32"/>
      <c r="AK397" s="32"/>
      <c r="AL397" s="29"/>
      <c r="AN397" s="34" t="str">
        <f aca="false">IF($B397="","",IF(OR(C397="",D397="",E397="",G397="",I397="",J397="",L397="",O397="",P397=""),"Champ obligatoire manquant",IF(OR(AND(N397&lt;&gt;"",N397&gt;O397),O397&gt;P397,AND(Q397&lt;&gt;"",Q397&lt;P397),AND(R397&lt;&gt;"",R397&lt;P397),AND(S397&lt;&gt;"",S397&lt;R397),AND(S397&lt;&gt;"",R397=""),AND(T397&lt;&gt;"",T397&lt;O397),AND(U397&lt;&gt;"",U397&lt;O397)),"Chronologie incohérente",IF(AND(OR(L397="Résolu",L397="Clos"),R397=""),"Date de résolution manquante",IF(AND(L397="Clos",S397=""),"Date de clôture manquante",IF(AND(K397="Oui",AC397=""),"Classification DORA manquante","OK"))))))</f>
        <v/>
      </c>
      <c r="AO397" s="35" t="str">
        <f aca="false">IF($B397="","",IF(AND(C397="Incident",L397&lt;&gt;"Annulé"),1,0))</f>
        <v/>
      </c>
      <c r="AP397" s="35" t="str">
        <f aca="false">IF($B397="","",IF(AND(C397="Quasi-incident",L397&lt;&gt;"Annulé"),1,0))</f>
        <v/>
      </c>
      <c r="AQ397" s="35" t="str">
        <f aca="false">IF($B397="","",AO397+AP397)</f>
        <v/>
      </c>
      <c r="AR397" s="36" t="str">
        <f aca="false">IF(OR($B397="",J397=""),"",IFERROR(VALUE(LEFT(J397,1)),""))</f>
        <v/>
      </c>
      <c r="AS397" s="35" t="str">
        <f aca="false">IF(OR(AO397&lt;&gt;1,G397=""),"",IFERROR(IF(INDEX(L_SrcInterne,MATCH(G397,L_Sources,0))="Oui",1,0),""))</f>
        <v/>
      </c>
      <c r="AT397" s="37" t="str">
        <f aca="false">IF(AO397&lt;&gt;1,"",IFERROR(ROUND(IF(OR(N397="",O397=""),"",IF(O397&lt;N397,"",ROUND(((NETWORKDAYS(N397,O397,JoursFeries)-1)*(HFer-HOuv)+IF(NETWORKDAYS(O397,O397,JoursFeries),MEDIAN(MOD(O397,1),HFer,HOuv),HFer)-IF(NETWORKDAYS(N397,N397,JoursFeries),MEDIAN(MOD(N397,1),HFer,HOuv),HOuv))*24,4)))/HJour,4),""))</f>
        <v/>
      </c>
      <c r="AU397" s="37" t="str">
        <f aca="false">IF(AO397&lt;&gt;1,"",IF(OR(O397="",P397=""),"",IF(P397&lt;O397,"",ROUND(((NETWORKDAYS(O397,P397,JoursFeries)-1)*(HFer-HOuv)+IF(NETWORKDAYS(P397,P397,JoursFeries),MEDIAN(MOD(P397,1),HFer,HOuv),HFer)-IF(NETWORKDAYS(O397,O397,JoursFeries),MEDIAN(MOD(O397,1),HFer,HOuv),HOuv))*24,4))))</f>
        <v/>
      </c>
      <c r="AV397" s="37" t="str">
        <f aca="false">IF(AO397&lt;&gt;1,"",IF(OR(P397="",Q397=""),"",IF(Q397&lt;P397,"",ROUND(((NETWORKDAYS(P397,Q397,JoursFeries)-1)*(HFer-HOuv)+IF(NETWORKDAYS(Q397,Q397,JoursFeries),MEDIAN(MOD(Q397,1),HFer,HOuv),HFer)-IF(NETWORKDAYS(P397,P397,JoursFeries),MEDIAN(MOD(P397,1),HFer,HOuv),HOuv))*24,4))))</f>
        <v/>
      </c>
      <c r="AW397" s="37" t="str">
        <f aca="false">IF(AO397&lt;&gt;1,"",IFERROR(ROUND(IF(OR(P397="",R397=""),"",IF(R397&lt;P397,"",ROUND(((NETWORKDAYS(P397,R397,JoursFeries)-1)*(HFer-HOuv)+IF(NETWORKDAYS(R397,R397,JoursFeries),MEDIAN(MOD(R397,1),HFer,HOuv),HFer)-IF(NETWORKDAYS(P397,P397,JoursFeries),MEDIAN(MOD(P397,1),HFer,HOuv),HOuv))*24,4)))/HJour,4),""))</f>
        <v/>
      </c>
      <c r="AX397" s="37" t="str">
        <f aca="false">IF(AO397&lt;&gt;1,"",IFERROR(ROUND(IF(OR(P397="",S397=""),"",IF(S397&lt;P397,"",ROUND(((NETWORKDAYS(P397,S397,JoursFeries)-1)*(HFer-HOuv)+IF(NETWORKDAYS(S397,S397,JoursFeries),MEDIAN(MOD(S397,1),HFer,HOuv),HFer)-IF(NETWORKDAYS(P397,P397,JoursFeries),MEDIAN(MOD(P397,1),HFer,HOuv),HOuv))*24,4)))/HJour,4),""))</f>
        <v/>
      </c>
      <c r="AY397" s="36" t="str">
        <f aca="false">IF(OR(AO397&lt;&gt;1,AR397=""),"",INDEX(SLA_PEC,AR397))</f>
        <v/>
      </c>
      <c r="AZ397" s="35" t="str">
        <f aca="false">IF(OR(AV397="",AY397=""),"",IF(AV397&lt;=AY397,1,0))</f>
        <v/>
      </c>
      <c r="BA397" s="36" t="str">
        <f aca="false">IF(OR(AO397&lt;&gt;1,AR397=""),"",INDEX(SLA_RES,AR397))</f>
        <v/>
      </c>
      <c r="BB397" s="35" t="str">
        <f aca="false">IF(OR(AW397="",BA397=""),"",IF(AW397&lt;=BA397,1,0))</f>
        <v/>
      </c>
      <c r="BC397" s="38" t="str">
        <f aca="false">IF(OR(BA397="",P397=""),"",WORKDAY(INT(P397),BA397,JoursFeries)+MOD(P397,1))</f>
        <v/>
      </c>
      <c r="BD397" s="39" t="str">
        <f aca="false">IF(AO397&lt;&gt;1,"",IF(OR(AB397&lt;&gt;"",AD397&lt;&gt;""),4,IF(U397&lt;&gt;"",3,IF(T397&lt;&gt;"",2,1))))</f>
        <v/>
      </c>
      <c r="BE397" s="39" t="str">
        <f aca="false">IF(OR(AO397&lt;&gt;1,AR397=""),"",INDEX(NIV_REQ,AR397))</f>
        <v/>
      </c>
      <c r="BF397" s="39" t="str">
        <f aca="false">IF(BE397="","",MAX(BE397,IF(OR(K397="Oui",Z397="Oui"),4,1)))</f>
        <v/>
      </c>
      <c r="BG397" s="35" t="str">
        <f aca="false">IF(OR(BF397="",BD397=""),"",IF(BD397&gt;=BF397,1,0))</f>
        <v/>
      </c>
      <c r="BH397" s="38" t="str">
        <f aca="false">IF(BE397="","",IF(BE397&lt;2,"",IF(BE397=2,IF(AND(T397="",U397=""),"",MIN(T397,U397)),IF(U397="","",U397))))</f>
        <v/>
      </c>
      <c r="BI397" s="37" t="str">
        <f aca="false">IF(BH397="","",IF(OR(O397="",BH397=""),"",IF(BH397&lt;O397,"",ROUND(((NETWORKDAYS(O397,BH397,JoursFeries)-1)*(HFer-HOuv)+IF(NETWORKDAYS(BH397,BH397,JoursFeries),MEDIAN(MOD(BH397,1),HFer,HOuv),HFer)-IF(NETWORKDAYS(O397,O397,JoursFeries),MEDIAN(MOD(O397,1),HFer,HOuv),HOuv))*24,4))))</f>
        <v/>
      </c>
      <c r="BJ397" s="35" t="str">
        <f aca="false">IF(OR(BI397="",AR397=""),"",IF(BI397&lt;=INDEX(DELAI_ESC,AR397),1,0))</f>
        <v/>
      </c>
      <c r="BK397" s="38" t="str">
        <f aca="false">IF(AO397&lt;&gt;1,"",IF(AND(T397="",U397=""),"",MIN(T397,U397)))</f>
        <v/>
      </c>
      <c r="BL397" s="37" t="str">
        <f aca="false">IF(OR(BK397="",R397=""),"",IFERROR(ROUND(IF(OR(BK397="",R397=""),"",IF(R397&lt;BK397,"",ROUND(((NETWORKDAYS(BK397,R397,JoursFeries)-1)*(HFer-HOuv)+IF(NETWORKDAYS(R397,R397,JoursFeries),MEDIAN(MOD(R397,1),HFer,HOuv),HFer)-IF(NETWORKDAYS(BK397,BK397,JoursFeries),MEDIAN(MOD(BK397,1),HFer,HOuv),HOuv))*24,4)))/HJour,4),""))</f>
        <v/>
      </c>
      <c r="BM397" s="35" t="str">
        <f aca="false">IF(OR(AO397&lt;&gt;1,R397=""),"",IF(BD397=1,1,0))</f>
        <v/>
      </c>
      <c r="BN397" s="35" t="str">
        <f aca="false">IF(AO397&lt;&gt;1,"",IF(W397="Oui",1,0))</f>
        <v/>
      </c>
      <c r="BO397" s="35" t="str">
        <f aca="false">IF(AO397&lt;&gt;1,"",IF(X397&lt;&gt;"",1,0))</f>
        <v/>
      </c>
      <c r="BP397" s="35" t="str">
        <f aca="false">IF(AO397&lt;&gt;1,"",IF(Y397="Oui",1,0))</f>
        <v/>
      </c>
      <c r="BQ397" s="35" t="str">
        <f aca="true">IF(OR(AO397&lt;&gt;1,Z397&lt;&gt;"Oui"),"",IF(AB397="",IF(AND(AA397&lt;&gt;"",NOW()&gt;AA397),0,""),IF(AA397="","",IF(AB397&lt;=AA397,1,0))))</f>
        <v/>
      </c>
      <c r="BR397" s="38" t="str">
        <f aca="false">IF(OR(AO397&lt;&gt;1,K397&lt;&gt;"Oui",O397=""),"",IF(AC397="",O397+DORA_H_DET/24,IF(AC397-O397&lt;=DORA_H_DET/24,MIN(AC397+DORA_H_CLA/24,O397+DORA_H_DET/24),AC397+DORA_H_CLA/24)))</f>
        <v/>
      </c>
      <c r="BS397" s="35" t="str">
        <f aca="true">IF(BR397="","",IF(AD397="",IF(NOW()&gt;BR397,0,""),IF(AD397&lt;=BR397,1,0)))</f>
        <v/>
      </c>
      <c r="BT397" s="35" t="str">
        <f aca="true">IF(OR(BR397="",AD397=""),"",IF(AE397="",IF(NOW()&gt;AD397+DORA_H_INT/24,0,""),IF(AE397&lt;=AD397+DORA_H_INT/24,1,0)))</f>
        <v/>
      </c>
      <c r="BU397" s="35" t="str">
        <f aca="true">IF(OR(BR397="",AE397=""),"",IF(AF397="",IF(NOW()&gt;EDATE(AE397,DORA_M_FIN)+1,0,""),IF(AF397&lt;=EDATE(AE397,DORA_M_FIN),1,0)))</f>
        <v/>
      </c>
      <c r="BV397" s="35" t="str">
        <f aca="false">IF(BR397="","",IF(COUNT(BS397:BU397)=0,"",MIN(BS397:BU397)))</f>
        <v/>
      </c>
      <c r="BW397" s="40" t="str">
        <f aca="false">IF(AQ397&lt;&gt;1,"",IF(AND(AG397="",AH397=""),"",N(AG397)-N(AH397)))</f>
        <v/>
      </c>
      <c r="BX397" s="35" t="str">
        <f aca="true">IF(OR(AQ397&lt;&gt;1,AI397&lt;&gt;"Oui",AJ397=""),"",IF(AK397="",IF(NOW()&gt;AJ397+1,0,""),IF(AK397&lt;=AJ397,1,0)))</f>
        <v/>
      </c>
    </row>
    <row r="398" customFormat="false" ht="15" hidden="false" customHeight="false" outlineLevel="0" collapsed="false">
      <c r="B398" s="29"/>
      <c r="C398" s="29"/>
      <c r="D398" s="29"/>
      <c r="E398" s="29"/>
      <c r="F398" s="29"/>
      <c r="G398" s="29"/>
      <c r="H398" s="29"/>
      <c r="I398" s="29"/>
      <c r="J398" s="29"/>
      <c r="K398" s="29"/>
      <c r="L398" s="29"/>
      <c r="M398" s="29"/>
      <c r="N398" s="30"/>
      <c r="O398" s="30"/>
      <c r="P398" s="30"/>
      <c r="Q398" s="30"/>
      <c r="R398" s="30"/>
      <c r="S398" s="30"/>
      <c r="T398" s="30"/>
      <c r="U398" s="30"/>
      <c r="V398" s="31"/>
      <c r="W398" s="29"/>
      <c r="X398" s="29"/>
      <c r="Y398" s="29"/>
      <c r="Z398" s="29"/>
      <c r="AA398" s="30"/>
      <c r="AB398" s="30"/>
      <c r="AC398" s="30"/>
      <c r="AD398" s="30"/>
      <c r="AE398" s="30"/>
      <c r="AF398" s="32"/>
      <c r="AG398" s="33"/>
      <c r="AH398" s="33"/>
      <c r="AI398" s="29"/>
      <c r="AJ398" s="32"/>
      <c r="AK398" s="32"/>
      <c r="AL398" s="29"/>
      <c r="AN398" s="34" t="str">
        <f aca="false">IF($B398="","",IF(OR(C398="",D398="",E398="",G398="",I398="",J398="",L398="",O398="",P398=""),"Champ obligatoire manquant",IF(OR(AND(N398&lt;&gt;"",N398&gt;O398),O398&gt;P398,AND(Q398&lt;&gt;"",Q398&lt;P398),AND(R398&lt;&gt;"",R398&lt;P398),AND(S398&lt;&gt;"",S398&lt;R398),AND(S398&lt;&gt;"",R398=""),AND(T398&lt;&gt;"",T398&lt;O398),AND(U398&lt;&gt;"",U398&lt;O398)),"Chronologie incohérente",IF(AND(OR(L398="Résolu",L398="Clos"),R398=""),"Date de résolution manquante",IF(AND(L398="Clos",S398=""),"Date de clôture manquante",IF(AND(K398="Oui",AC398=""),"Classification DORA manquante","OK"))))))</f>
        <v/>
      </c>
      <c r="AO398" s="35" t="str">
        <f aca="false">IF($B398="","",IF(AND(C398="Incident",L398&lt;&gt;"Annulé"),1,0))</f>
        <v/>
      </c>
      <c r="AP398" s="35" t="str">
        <f aca="false">IF($B398="","",IF(AND(C398="Quasi-incident",L398&lt;&gt;"Annulé"),1,0))</f>
        <v/>
      </c>
      <c r="AQ398" s="35" t="str">
        <f aca="false">IF($B398="","",AO398+AP398)</f>
        <v/>
      </c>
      <c r="AR398" s="36" t="str">
        <f aca="false">IF(OR($B398="",J398=""),"",IFERROR(VALUE(LEFT(J398,1)),""))</f>
        <v/>
      </c>
      <c r="AS398" s="35" t="str">
        <f aca="false">IF(OR(AO398&lt;&gt;1,G398=""),"",IFERROR(IF(INDEX(L_SrcInterne,MATCH(G398,L_Sources,0))="Oui",1,0),""))</f>
        <v/>
      </c>
      <c r="AT398" s="37" t="str">
        <f aca="false">IF(AO398&lt;&gt;1,"",IFERROR(ROUND(IF(OR(N398="",O398=""),"",IF(O398&lt;N398,"",ROUND(((NETWORKDAYS(N398,O398,JoursFeries)-1)*(HFer-HOuv)+IF(NETWORKDAYS(O398,O398,JoursFeries),MEDIAN(MOD(O398,1),HFer,HOuv),HFer)-IF(NETWORKDAYS(N398,N398,JoursFeries),MEDIAN(MOD(N398,1),HFer,HOuv),HOuv))*24,4)))/HJour,4),""))</f>
        <v/>
      </c>
      <c r="AU398" s="37" t="str">
        <f aca="false">IF(AO398&lt;&gt;1,"",IF(OR(O398="",P398=""),"",IF(P398&lt;O398,"",ROUND(((NETWORKDAYS(O398,P398,JoursFeries)-1)*(HFer-HOuv)+IF(NETWORKDAYS(P398,P398,JoursFeries),MEDIAN(MOD(P398,1),HFer,HOuv),HFer)-IF(NETWORKDAYS(O398,O398,JoursFeries),MEDIAN(MOD(O398,1),HFer,HOuv),HOuv))*24,4))))</f>
        <v/>
      </c>
      <c r="AV398" s="37" t="str">
        <f aca="false">IF(AO398&lt;&gt;1,"",IF(OR(P398="",Q398=""),"",IF(Q398&lt;P398,"",ROUND(((NETWORKDAYS(P398,Q398,JoursFeries)-1)*(HFer-HOuv)+IF(NETWORKDAYS(Q398,Q398,JoursFeries),MEDIAN(MOD(Q398,1),HFer,HOuv),HFer)-IF(NETWORKDAYS(P398,P398,JoursFeries),MEDIAN(MOD(P398,1),HFer,HOuv),HOuv))*24,4))))</f>
        <v/>
      </c>
      <c r="AW398" s="37" t="str">
        <f aca="false">IF(AO398&lt;&gt;1,"",IFERROR(ROUND(IF(OR(P398="",R398=""),"",IF(R398&lt;P398,"",ROUND(((NETWORKDAYS(P398,R398,JoursFeries)-1)*(HFer-HOuv)+IF(NETWORKDAYS(R398,R398,JoursFeries),MEDIAN(MOD(R398,1),HFer,HOuv),HFer)-IF(NETWORKDAYS(P398,P398,JoursFeries),MEDIAN(MOD(P398,1),HFer,HOuv),HOuv))*24,4)))/HJour,4),""))</f>
        <v/>
      </c>
      <c r="AX398" s="37" t="str">
        <f aca="false">IF(AO398&lt;&gt;1,"",IFERROR(ROUND(IF(OR(P398="",S398=""),"",IF(S398&lt;P398,"",ROUND(((NETWORKDAYS(P398,S398,JoursFeries)-1)*(HFer-HOuv)+IF(NETWORKDAYS(S398,S398,JoursFeries),MEDIAN(MOD(S398,1),HFer,HOuv),HFer)-IF(NETWORKDAYS(P398,P398,JoursFeries),MEDIAN(MOD(P398,1),HFer,HOuv),HOuv))*24,4)))/HJour,4),""))</f>
        <v/>
      </c>
      <c r="AY398" s="36" t="str">
        <f aca="false">IF(OR(AO398&lt;&gt;1,AR398=""),"",INDEX(SLA_PEC,AR398))</f>
        <v/>
      </c>
      <c r="AZ398" s="35" t="str">
        <f aca="false">IF(OR(AV398="",AY398=""),"",IF(AV398&lt;=AY398,1,0))</f>
        <v/>
      </c>
      <c r="BA398" s="36" t="str">
        <f aca="false">IF(OR(AO398&lt;&gt;1,AR398=""),"",INDEX(SLA_RES,AR398))</f>
        <v/>
      </c>
      <c r="BB398" s="35" t="str">
        <f aca="false">IF(OR(AW398="",BA398=""),"",IF(AW398&lt;=BA398,1,0))</f>
        <v/>
      </c>
      <c r="BC398" s="38" t="str">
        <f aca="false">IF(OR(BA398="",P398=""),"",WORKDAY(INT(P398),BA398,JoursFeries)+MOD(P398,1))</f>
        <v/>
      </c>
      <c r="BD398" s="39" t="str">
        <f aca="false">IF(AO398&lt;&gt;1,"",IF(OR(AB398&lt;&gt;"",AD398&lt;&gt;""),4,IF(U398&lt;&gt;"",3,IF(T398&lt;&gt;"",2,1))))</f>
        <v/>
      </c>
      <c r="BE398" s="39" t="str">
        <f aca="false">IF(OR(AO398&lt;&gt;1,AR398=""),"",INDEX(NIV_REQ,AR398))</f>
        <v/>
      </c>
      <c r="BF398" s="39" t="str">
        <f aca="false">IF(BE398="","",MAX(BE398,IF(OR(K398="Oui",Z398="Oui"),4,1)))</f>
        <v/>
      </c>
      <c r="BG398" s="35" t="str">
        <f aca="false">IF(OR(BF398="",BD398=""),"",IF(BD398&gt;=BF398,1,0))</f>
        <v/>
      </c>
      <c r="BH398" s="38" t="str">
        <f aca="false">IF(BE398="","",IF(BE398&lt;2,"",IF(BE398=2,IF(AND(T398="",U398=""),"",MIN(T398,U398)),IF(U398="","",U398))))</f>
        <v/>
      </c>
      <c r="BI398" s="37" t="str">
        <f aca="false">IF(BH398="","",IF(OR(O398="",BH398=""),"",IF(BH398&lt;O398,"",ROUND(((NETWORKDAYS(O398,BH398,JoursFeries)-1)*(HFer-HOuv)+IF(NETWORKDAYS(BH398,BH398,JoursFeries),MEDIAN(MOD(BH398,1),HFer,HOuv),HFer)-IF(NETWORKDAYS(O398,O398,JoursFeries),MEDIAN(MOD(O398,1),HFer,HOuv),HOuv))*24,4))))</f>
        <v/>
      </c>
      <c r="BJ398" s="35" t="str">
        <f aca="false">IF(OR(BI398="",AR398=""),"",IF(BI398&lt;=INDEX(DELAI_ESC,AR398),1,0))</f>
        <v/>
      </c>
      <c r="BK398" s="38" t="str">
        <f aca="false">IF(AO398&lt;&gt;1,"",IF(AND(T398="",U398=""),"",MIN(T398,U398)))</f>
        <v/>
      </c>
      <c r="BL398" s="37" t="str">
        <f aca="false">IF(OR(BK398="",R398=""),"",IFERROR(ROUND(IF(OR(BK398="",R398=""),"",IF(R398&lt;BK398,"",ROUND(((NETWORKDAYS(BK398,R398,JoursFeries)-1)*(HFer-HOuv)+IF(NETWORKDAYS(R398,R398,JoursFeries),MEDIAN(MOD(R398,1),HFer,HOuv),HFer)-IF(NETWORKDAYS(BK398,BK398,JoursFeries),MEDIAN(MOD(BK398,1),HFer,HOuv),HOuv))*24,4)))/HJour,4),""))</f>
        <v/>
      </c>
      <c r="BM398" s="35" t="str">
        <f aca="false">IF(OR(AO398&lt;&gt;1,R398=""),"",IF(BD398=1,1,0))</f>
        <v/>
      </c>
      <c r="BN398" s="35" t="str">
        <f aca="false">IF(AO398&lt;&gt;1,"",IF(W398="Oui",1,0))</f>
        <v/>
      </c>
      <c r="BO398" s="35" t="str">
        <f aca="false">IF(AO398&lt;&gt;1,"",IF(X398&lt;&gt;"",1,0))</f>
        <v/>
      </c>
      <c r="BP398" s="35" t="str">
        <f aca="false">IF(AO398&lt;&gt;1,"",IF(Y398="Oui",1,0))</f>
        <v/>
      </c>
      <c r="BQ398" s="35" t="str">
        <f aca="true">IF(OR(AO398&lt;&gt;1,Z398&lt;&gt;"Oui"),"",IF(AB398="",IF(AND(AA398&lt;&gt;"",NOW()&gt;AA398),0,""),IF(AA398="","",IF(AB398&lt;=AA398,1,0))))</f>
        <v/>
      </c>
      <c r="BR398" s="38" t="str">
        <f aca="false">IF(OR(AO398&lt;&gt;1,K398&lt;&gt;"Oui",O398=""),"",IF(AC398="",O398+DORA_H_DET/24,IF(AC398-O398&lt;=DORA_H_DET/24,MIN(AC398+DORA_H_CLA/24,O398+DORA_H_DET/24),AC398+DORA_H_CLA/24)))</f>
        <v/>
      </c>
      <c r="BS398" s="35" t="str">
        <f aca="true">IF(BR398="","",IF(AD398="",IF(NOW()&gt;BR398,0,""),IF(AD398&lt;=BR398,1,0)))</f>
        <v/>
      </c>
      <c r="BT398" s="35" t="str">
        <f aca="true">IF(OR(BR398="",AD398=""),"",IF(AE398="",IF(NOW()&gt;AD398+DORA_H_INT/24,0,""),IF(AE398&lt;=AD398+DORA_H_INT/24,1,0)))</f>
        <v/>
      </c>
      <c r="BU398" s="35" t="str">
        <f aca="true">IF(OR(BR398="",AE398=""),"",IF(AF398="",IF(NOW()&gt;EDATE(AE398,DORA_M_FIN)+1,0,""),IF(AF398&lt;=EDATE(AE398,DORA_M_FIN),1,0)))</f>
        <v/>
      </c>
      <c r="BV398" s="35" t="str">
        <f aca="false">IF(BR398="","",IF(COUNT(BS398:BU398)=0,"",MIN(BS398:BU398)))</f>
        <v/>
      </c>
      <c r="BW398" s="40" t="str">
        <f aca="false">IF(AQ398&lt;&gt;1,"",IF(AND(AG398="",AH398=""),"",N(AG398)-N(AH398)))</f>
        <v/>
      </c>
      <c r="BX398" s="35" t="str">
        <f aca="true">IF(OR(AQ398&lt;&gt;1,AI398&lt;&gt;"Oui",AJ398=""),"",IF(AK398="",IF(NOW()&gt;AJ398+1,0,""),IF(AK398&lt;=AJ398,1,0)))</f>
        <v/>
      </c>
    </row>
    <row r="399" customFormat="false" ht="15" hidden="false" customHeight="false" outlineLevel="0" collapsed="false">
      <c r="B399" s="29"/>
      <c r="C399" s="29"/>
      <c r="D399" s="29"/>
      <c r="E399" s="29"/>
      <c r="F399" s="29"/>
      <c r="G399" s="29"/>
      <c r="H399" s="29"/>
      <c r="I399" s="29"/>
      <c r="J399" s="29"/>
      <c r="K399" s="29"/>
      <c r="L399" s="29"/>
      <c r="M399" s="29"/>
      <c r="N399" s="30"/>
      <c r="O399" s="30"/>
      <c r="P399" s="30"/>
      <c r="Q399" s="30"/>
      <c r="R399" s="30"/>
      <c r="S399" s="30"/>
      <c r="T399" s="30"/>
      <c r="U399" s="30"/>
      <c r="V399" s="31"/>
      <c r="W399" s="29"/>
      <c r="X399" s="29"/>
      <c r="Y399" s="29"/>
      <c r="Z399" s="29"/>
      <c r="AA399" s="30"/>
      <c r="AB399" s="30"/>
      <c r="AC399" s="30"/>
      <c r="AD399" s="30"/>
      <c r="AE399" s="30"/>
      <c r="AF399" s="32"/>
      <c r="AG399" s="33"/>
      <c r="AH399" s="33"/>
      <c r="AI399" s="29"/>
      <c r="AJ399" s="32"/>
      <c r="AK399" s="32"/>
      <c r="AL399" s="29"/>
      <c r="AN399" s="34" t="str">
        <f aca="false">IF($B399="","",IF(OR(C399="",D399="",E399="",G399="",I399="",J399="",L399="",O399="",P399=""),"Champ obligatoire manquant",IF(OR(AND(N399&lt;&gt;"",N399&gt;O399),O399&gt;P399,AND(Q399&lt;&gt;"",Q399&lt;P399),AND(R399&lt;&gt;"",R399&lt;P399),AND(S399&lt;&gt;"",S399&lt;R399),AND(S399&lt;&gt;"",R399=""),AND(T399&lt;&gt;"",T399&lt;O399),AND(U399&lt;&gt;"",U399&lt;O399)),"Chronologie incohérente",IF(AND(OR(L399="Résolu",L399="Clos"),R399=""),"Date de résolution manquante",IF(AND(L399="Clos",S399=""),"Date de clôture manquante",IF(AND(K399="Oui",AC399=""),"Classification DORA manquante","OK"))))))</f>
        <v/>
      </c>
      <c r="AO399" s="35" t="str">
        <f aca="false">IF($B399="","",IF(AND(C399="Incident",L399&lt;&gt;"Annulé"),1,0))</f>
        <v/>
      </c>
      <c r="AP399" s="35" t="str">
        <f aca="false">IF($B399="","",IF(AND(C399="Quasi-incident",L399&lt;&gt;"Annulé"),1,0))</f>
        <v/>
      </c>
      <c r="AQ399" s="35" t="str">
        <f aca="false">IF($B399="","",AO399+AP399)</f>
        <v/>
      </c>
      <c r="AR399" s="36" t="str">
        <f aca="false">IF(OR($B399="",J399=""),"",IFERROR(VALUE(LEFT(J399,1)),""))</f>
        <v/>
      </c>
      <c r="AS399" s="35" t="str">
        <f aca="false">IF(OR(AO399&lt;&gt;1,G399=""),"",IFERROR(IF(INDEX(L_SrcInterne,MATCH(G399,L_Sources,0))="Oui",1,0),""))</f>
        <v/>
      </c>
      <c r="AT399" s="37" t="str">
        <f aca="false">IF(AO399&lt;&gt;1,"",IFERROR(ROUND(IF(OR(N399="",O399=""),"",IF(O399&lt;N399,"",ROUND(((NETWORKDAYS(N399,O399,JoursFeries)-1)*(HFer-HOuv)+IF(NETWORKDAYS(O399,O399,JoursFeries),MEDIAN(MOD(O399,1),HFer,HOuv),HFer)-IF(NETWORKDAYS(N399,N399,JoursFeries),MEDIAN(MOD(N399,1),HFer,HOuv),HOuv))*24,4)))/HJour,4),""))</f>
        <v/>
      </c>
      <c r="AU399" s="37" t="str">
        <f aca="false">IF(AO399&lt;&gt;1,"",IF(OR(O399="",P399=""),"",IF(P399&lt;O399,"",ROUND(((NETWORKDAYS(O399,P399,JoursFeries)-1)*(HFer-HOuv)+IF(NETWORKDAYS(P399,P399,JoursFeries),MEDIAN(MOD(P399,1),HFer,HOuv),HFer)-IF(NETWORKDAYS(O399,O399,JoursFeries),MEDIAN(MOD(O399,1),HFer,HOuv),HOuv))*24,4))))</f>
        <v/>
      </c>
      <c r="AV399" s="37" t="str">
        <f aca="false">IF(AO399&lt;&gt;1,"",IF(OR(P399="",Q399=""),"",IF(Q399&lt;P399,"",ROUND(((NETWORKDAYS(P399,Q399,JoursFeries)-1)*(HFer-HOuv)+IF(NETWORKDAYS(Q399,Q399,JoursFeries),MEDIAN(MOD(Q399,1),HFer,HOuv),HFer)-IF(NETWORKDAYS(P399,P399,JoursFeries),MEDIAN(MOD(P399,1),HFer,HOuv),HOuv))*24,4))))</f>
        <v/>
      </c>
      <c r="AW399" s="37" t="str">
        <f aca="false">IF(AO399&lt;&gt;1,"",IFERROR(ROUND(IF(OR(P399="",R399=""),"",IF(R399&lt;P399,"",ROUND(((NETWORKDAYS(P399,R399,JoursFeries)-1)*(HFer-HOuv)+IF(NETWORKDAYS(R399,R399,JoursFeries),MEDIAN(MOD(R399,1),HFer,HOuv),HFer)-IF(NETWORKDAYS(P399,P399,JoursFeries),MEDIAN(MOD(P399,1),HFer,HOuv),HOuv))*24,4)))/HJour,4),""))</f>
        <v/>
      </c>
      <c r="AX399" s="37" t="str">
        <f aca="false">IF(AO399&lt;&gt;1,"",IFERROR(ROUND(IF(OR(P399="",S399=""),"",IF(S399&lt;P399,"",ROUND(((NETWORKDAYS(P399,S399,JoursFeries)-1)*(HFer-HOuv)+IF(NETWORKDAYS(S399,S399,JoursFeries),MEDIAN(MOD(S399,1),HFer,HOuv),HFer)-IF(NETWORKDAYS(P399,P399,JoursFeries),MEDIAN(MOD(P399,1),HFer,HOuv),HOuv))*24,4)))/HJour,4),""))</f>
        <v/>
      </c>
      <c r="AY399" s="36" t="str">
        <f aca="false">IF(OR(AO399&lt;&gt;1,AR399=""),"",INDEX(SLA_PEC,AR399))</f>
        <v/>
      </c>
      <c r="AZ399" s="35" t="str">
        <f aca="false">IF(OR(AV399="",AY399=""),"",IF(AV399&lt;=AY399,1,0))</f>
        <v/>
      </c>
      <c r="BA399" s="36" t="str">
        <f aca="false">IF(OR(AO399&lt;&gt;1,AR399=""),"",INDEX(SLA_RES,AR399))</f>
        <v/>
      </c>
      <c r="BB399" s="35" t="str">
        <f aca="false">IF(OR(AW399="",BA399=""),"",IF(AW399&lt;=BA399,1,0))</f>
        <v/>
      </c>
      <c r="BC399" s="38" t="str">
        <f aca="false">IF(OR(BA399="",P399=""),"",WORKDAY(INT(P399),BA399,JoursFeries)+MOD(P399,1))</f>
        <v/>
      </c>
      <c r="BD399" s="39" t="str">
        <f aca="false">IF(AO399&lt;&gt;1,"",IF(OR(AB399&lt;&gt;"",AD399&lt;&gt;""),4,IF(U399&lt;&gt;"",3,IF(T399&lt;&gt;"",2,1))))</f>
        <v/>
      </c>
      <c r="BE399" s="39" t="str">
        <f aca="false">IF(OR(AO399&lt;&gt;1,AR399=""),"",INDEX(NIV_REQ,AR399))</f>
        <v/>
      </c>
      <c r="BF399" s="39" t="str">
        <f aca="false">IF(BE399="","",MAX(BE399,IF(OR(K399="Oui",Z399="Oui"),4,1)))</f>
        <v/>
      </c>
      <c r="BG399" s="35" t="str">
        <f aca="false">IF(OR(BF399="",BD399=""),"",IF(BD399&gt;=BF399,1,0))</f>
        <v/>
      </c>
      <c r="BH399" s="38" t="str">
        <f aca="false">IF(BE399="","",IF(BE399&lt;2,"",IF(BE399=2,IF(AND(T399="",U399=""),"",MIN(T399,U399)),IF(U399="","",U399))))</f>
        <v/>
      </c>
      <c r="BI399" s="37" t="str">
        <f aca="false">IF(BH399="","",IF(OR(O399="",BH399=""),"",IF(BH399&lt;O399,"",ROUND(((NETWORKDAYS(O399,BH399,JoursFeries)-1)*(HFer-HOuv)+IF(NETWORKDAYS(BH399,BH399,JoursFeries),MEDIAN(MOD(BH399,1),HFer,HOuv),HFer)-IF(NETWORKDAYS(O399,O399,JoursFeries),MEDIAN(MOD(O399,1),HFer,HOuv),HOuv))*24,4))))</f>
        <v/>
      </c>
      <c r="BJ399" s="35" t="str">
        <f aca="false">IF(OR(BI399="",AR399=""),"",IF(BI399&lt;=INDEX(DELAI_ESC,AR399),1,0))</f>
        <v/>
      </c>
      <c r="BK399" s="38" t="str">
        <f aca="false">IF(AO399&lt;&gt;1,"",IF(AND(T399="",U399=""),"",MIN(T399,U399)))</f>
        <v/>
      </c>
      <c r="BL399" s="37" t="str">
        <f aca="false">IF(OR(BK399="",R399=""),"",IFERROR(ROUND(IF(OR(BK399="",R399=""),"",IF(R399&lt;BK399,"",ROUND(((NETWORKDAYS(BK399,R399,JoursFeries)-1)*(HFer-HOuv)+IF(NETWORKDAYS(R399,R399,JoursFeries),MEDIAN(MOD(R399,1),HFer,HOuv),HFer)-IF(NETWORKDAYS(BK399,BK399,JoursFeries),MEDIAN(MOD(BK399,1),HFer,HOuv),HOuv))*24,4)))/HJour,4),""))</f>
        <v/>
      </c>
      <c r="BM399" s="35" t="str">
        <f aca="false">IF(OR(AO399&lt;&gt;1,R399=""),"",IF(BD399=1,1,0))</f>
        <v/>
      </c>
      <c r="BN399" s="35" t="str">
        <f aca="false">IF(AO399&lt;&gt;1,"",IF(W399="Oui",1,0))</f>
        <v/>
      </c>
      <c r="BO399" s="35" t="str">
        <f aca="false">IF(AO399&lt;&gt;1,"",IF(X399&lt;&gt;"",1,0))</f>
        <v/>
      </c>
      <c r="BP399" s="35" t="str">
        <f aca="false">IF(AO399&lt;&gt;1,"",IF(Y399="Oui",1,0))</f>
        <v/>
      </c>
      <c r="BQ399" s="35" t="str">
        <f aca="true">IF(OR(AO399&lt;&gt;1,Z399&lt;&gt;"Oui"),"",IF(AB399="",IF(AND(AA399&lt;&gt;"",NOW()&gt;AA399),0,""),IF(AA399="","",IF(AB399&lt;=AA399,1,0))))</f>
        <v/>
      </c>
      <c r="BR399" s="38" t="str">
        <f aca="false">IF(OR(AO399&lt;&gt;1,K399&lt;&gt;"Oui",O399=""),"",IF(AC399="",O399+DORA_H_DET/24,IF(AC399-O399&lt;=DORA_H_DET/24,MIN(AC399+DORA_H_CLA/24,O399+DORA_H_DET/24),AC399+DORA_H_CLA/24)))</f>
        <v/>
      </c>
      <c r="BS399" s="35" t="str">
        <f aca="true">IF(BR399="","",IF(AD399="",IF(NOW()&gt;BR399,0,""),IF(AD399&lt;=BR399,1,0)))</f>
        <v/>
      </c>
      <c r="BT399" s="35" t="str">
        <f aca="true">IF(OR(BR399="",AD399=""),"",IF(AE399="",IF(NOW()&gt;AD399+DORA_H_INT/24,0,""),IF(AE399&lt;=AD399+DORA_H_INT/24,1,0)))</f>
        <v/>
      </c>
      <c r="BU399" s="35" t="str">
        <f aca="true">IF(OR(BR399="",AE399=""),"",IF(AF399="",IF(NOW()&gt;EDATE(AE399,DORA_M_FIN)+1,0,""),IF(AF399&lt;=EDATE(AE399,DORA_M_FIN),1,0)))</f>
        <v/>
      </c>
      <c r="BV399" s="35" t="str">
        <f aca="false">IF(BR399="","",IF(COUNT(BS399:BU399)=0,"",MIN(BS399:BU399)))</f>
        <v/>
      </c>
      <c r="BW399" s="40" t="str">
        <f aca="false">IF(AQ399&lt;&gt;1,"",IF(AND(AG399="",AH399=""),"",N(AG399)-N(AH399)))</f>
        <v/>
      </c>
      <c r="BX399" s="35" t="str">
        <f aca="true">IF(OR(AQ399&lt;&gt;1,AI399&lt;&gt;"Oui",AJ399=""),"",IF(AK399="",IF(NOW()&gt;AJ399+1,0,""),IF(AK399&lt;=AJ399,1,0)))</f>
        <v/>
      </c>
    </row>
    <row r="400" customFormat="false" ht="15" hidden="false" customHeight="false" outlineLevel="0" collapsed="false">
      <c r="B400" s="29"/>
      <c r="C400" s="29"/>
      <c r="D400" s="29"/>
      <c r="E400" s="29"/>
      <c r="F400" s="29"/>
      <c r="G400" s="29"/>
      <c r="H400" s="29"/>
      <c r="I400" s="29"/>
      <c r="J400" s="29"/>
      <c r="K400" s="29"/>
      <c r="L400" s="29"/>
      <c r="M400" s="29"/>
      <c r="N400" s="30"/>
      <c r="O400" s="30"/>
      <c r="P400" s="30"/>
      <c r="Q400" s="30"/>
      <c r="R400" s="30"/>
      <c r="S400" s="30"/>
      <c r="T400" s="30"/>
      <c r="U400" s="30"/>
      <c r="V400" s="31"/>
      <c r="W400" s="29"/>
      <c r="X400" s="29"/>
      <c r="Y400" s="29"/>
      <c r="Z400" s="29"/>
      <c r="AA400" s="30"/>
      <c r="AB400" s="30"/>
      <c r="AC400" s="30"/>
      <c r="AD400" s="30"/>
      <c r="AE400" s="30"/>
      <c r="AF400" s="32"/>
      <c r="AG400" s="33"/>
      <c r="AH400" s="33"/>
      <c r="AI400" s="29"/>
      <c r="AJ400" s="32"/>
      <c r="AK400" s="32"/>
      <c r="AL400" s="29"/>
      <c r="AN400" s="34" t="str">
        <f aca="false">IF($B400="","",IF(OR(C400="",D400="",E400="",G400="",I400="",J400="",L400="",O400="",P400=""),"Champ obligatoire manquant",IF(OR(AND(N400&lt;&gt;"",N400&gt;O400),O400&gt;P400,AND(Q400&lt;&gt;"",Q400&lt;P400),AND(R400&lt;&gt;"",R400&lt;P400),AND(S400&lt;&gt;"",S400&lt;R400),AND(S400&lt;&gt;"",R400=""),AND(T400&lt;&gt;"",T400&lt;O400),AND(U400&lt;&gt;"",U400&lt;O400)),"Chronologie incohérente",IF(AND(OR(L400="Résolu",L400="Clos"),R400=""),"Date de résolution manquante",IF(AND(L400="Clos",S400=""),"Date de clôture manquante",IF(AND(K400="Oui",AC400=""),"Classification DORA manquante","OK"))))))</f>
        <v/>
      </c>
      <c r="AO400" s="35" t="str">
        <f aca="false">IF($B400="","",IF(AND(C400="Incident",L400&lt;&gt;"Annulé"),1,0))</f>
        <v/>
      </c>
      <c r="AP400" s="35" t="str">
        <f aca="false">IF($B400="","",IF(AND(C400="Quasi-incident",L400&lt;&gt;"Annulé"),1,0))</f>
        <v/>
      </c>
      <c r="AQ400" s="35" t="str">
        <f aca="false">IF($B400="","",AO400+AP400)</f>
        <v/>
      </c>
      <c r="AR400" s="36" t="str">
        <f aca="false">IF(OR($B400="",J400=""),"",IFERROR(VALUE(LEFT(J400,1)),""))</f>
        <v/>
      </c>
      <c r="AS400" s="35" t="str">
        <f aca="false">IF(OR(AO400&lt;&gt;1,G400=""),"",IFERROR(IF(INDEX(L_SrcInterne,MATCH(G400,L_Sources,0))="Oui",1,0),""))</f>
        <v/>
      </c>
      <c r="AT400" s="37" t="str">
        <f aca="false">IF(AO400&lt;&gt;1,"",IFERROR(ROUND(IF(OR(N400="",O400=""),"",IF(O400&lt;N400,"",ROUND(((NETWORKDAYS(N400,O400,JoursFeries)-1)*(HFer-HOuv)+IF(NETWORKDAYS(O400,O400,JoursFeries),MEDIAN(MOD(O400,1),HFer,HOuv),HFer)-IF(NETWORKDAYS(N400,N400,JoursFeries),MEDIAN(MOD(N400,1),HFer,HOuv),HOuv))*24,4)))/HJour,4),""))</f>
        <v/>
      </c>
      <c r="AU400" s="37" t="str">
        <f aca="false">IF(AO400&lt;&gt;1,"",IF(OR(O400="",P400=""),"",IF(P400&lt;O400,"",ROUND(((NETWORKDAYS(O400,P400,JoursFeries)-1)*(HFer-HOuv)+IF(NETWORKDAYS(P400,P400,JoursFeries),MEDIAN(MOD(P400,1),HFer,HOuv),HFer)-IF(NETWORKDAYS(O400,O400,JoursFeries),MEDIAN(MOD(O400,1),HFer,HOuv),HOuv))*24,4))))</f>
        <v/>
      </c>
      <c r="AV400" s="37" t="str">
        <f aca="false">IF(AO400&lt;&gt;1,"",IF(OR(P400="",Q400=""),"",IF(Q400&lt;P400,"",ROUND(((NETWORKDAYS(P400,Q400,JoursFeries)-1)*(HFer-HOuv)+IF(NETWORKDAYS(Q400,Q400,JoursFeries),MEDIAN(MOD(Q400,1),HFer,HOuv),HFer)-IF(NETWORKDAYS(P400,P400,JoursFeries),MEDIAN(MOD(P400,1),HFer,HOuv),HOuv))*24,4))))</f>
        <v/>
      </c>
      <c r="AW400" s="37" t="str">
        <f aca="false">IF(AO400&lt;&gt;1,"",IFERROR(ROUND(IF(OR(P400="",R400=""),"",IF(R400&lt;P400,"",ROUND(((NETWORKDAYS(P400,R400,JoursFeries)-1)*(HFer-HOuv)+IF(NETWORKDAYS(R400,R400,JoursFeries),MEDIAN(MOD(R400,1),HFer,HOuv),HFer)-IF(NETWORKDAYS(P400,P400,JoursFeries),MEDIAN(MOD(P400,1),HFer,HOuv),HOuv))*24,4)))/HJour,4),""))</f>
        <v/>
      </c>
      <c r="AX400" s="37" t="str">
        <f aca="false">IF(AO400&lt;&gt;1,"",IFERROR(ROUND(IF(OR(P400="",S400=""),"",IF(S400&lt;P400,"",ROUND(((NETWORKDAYS(P400,S400,JoursFeries)-1)*(HFer-HOuv)+IF(NETWORKDAYS(S400,S400,JoursFeries),MEDIAN(MOD(S400,1),HFer,HOuv),HFer)-IF(NETWORKDAYS(P400,P400,JoursFeries),MEDIAN(MOD(P400,1),HFer,HOuv),HOuv))*24,4)))/HJour,4),""))</f>
        <v/>
      </c>
      <c r="AY400" s="36" t="str">
        <f aca="false">IF(OR(AO400&lt;&gt;1,AR400=""),"",INDEX(SLA_PEC,AR400))</f>
        <v/>
      </c>
      <c r="AZ400" s="35" t="str">
        <f aca="false">IF(OR(AV400="",AY400=""),"",IF(AV400&lt;=AY400,1,0))</f>
        <v/>
      </c>
      <c r="BA400" s="36" t="str">
        <f aca="false">IF(OR(AO400&lt;&gt;1,AR400=""),"",INDEX(SLA_RES,AR400))</f>
        <v/>
      </c>
      <c r="BB400" s="35" t="str">
        <f aca="false">IF(OR(AW400="",BA400=""),"",IF(AW400&lt;=BA400,1,0))</f>
        <v/>
      </c>
      <c r="BC400" s="38" t="str">
        <f aca="false">IF(OR(BA400="",P400=""),"",WORKDAY(INT(P400),BA400,JoursFeries)+MOD(P400,1))</f>
        <v/>
      </c>
      <c r="BD400" s="39" t="str">
        <f aca="false">IF(AO400&lt;&gt;1,"",IF(OR(AB400&lt;&gt;"",AD400&lt;&gt;""),4,IF(U400&lt;&gt;"",3,IF(T400&lt;&gt;"",2,1))))</f>
        <v/>
      </c>
      <c r="BE400" s="39" t="str">
        <f aca="false">IF(OR(AO400&lt;&gt;1,AR400=""),"",INDEX(NIV_REQ,AR400))</f>
        <v/>
      </c>
      <c r="BF400" s="39" t="str">
        <f aca="false">IF(BE400="","",MAX(BE400,IF(OR(K400="Oui",Z400="Oui"),4,1)))</f>
        <v/>
      </c>
      <c r="BG400" s="35" t="str">
        <f aca="false">IF(OR(BF400="",BD400=""),"",IF(BD400&gt;=BF400,1,0))</f>
        <v/>
      </c>
      <c r="BH400" s="38" t="str">
        <f aca="false">IF(BE400="","",IF(BE400&lt;2,"",IF(BE400=2,IF(AND(T400="",U400=""),"",MIN(T400,U400)),IF(U400="","",U400))))</f>
        <v/>
      </c>
      <c r="BI400" s="37" t="str">
        <f aca="false">IF(BH400="","",IF(OR(O400="",BH400=""),"",IF(BH400&lt;O400,"",ROUND(((NETWORKDAYS(O400,BH400,JoursFeries)-1)*(HFer-HOuv)+IF(NETWORKDAYS(BH400,BH400,JoursFeries),MEDIAN(MOD(BH400,1),HFer,HOuv),HFer)-IF(NETWORKDAYS(O400,O400,JoursFeries),MEDIAN(MOD(O400,1),HFer,HOuv),HOuv))*24,4))))</f>
        <v/>
      </c>
      <c r="BJ400" s="35" t="str">
        <f aca="false">IF(OR(BI400="",AR400=""),"",IF(BI400&lt;=INDEX(DELAI_ESC,AR400),1,0))</f>
        <v/>
      </c>
      <c r="BK400" s="38" t="str">
        <f aca="false">IF(AO400&lt;&gt;1,"",IF(AND(T400="",U400=""),"",MIN(T400,U400)))</f>
        <v/>
      </c>
      <c r="BL400" s="37" t="str">
        <f aca="false">IF(OR(BK400="",R400=""),"",IFERROR(ROUND(IF(OR(BK400="",R400=""),"",IF(R400&lt;BK400,"",ROUND(((NETWORKDAYS(BK400,R400,JoursFeries)-1)*(HFer-HOuv)+IF(NETWORKDAYS(R400,R400,JoursFeries),MEDIAN(MOD(R400,1),HFer,HOuv),HFer)-IF(NETWORKDAYS(BK400,BK400,JoursFeries),MEDIAN(MOD(BK400,1),HFer,HOuv),HOuv))*24,4)))/HJour,4),""))</f>
        <v/>
      </c>
      <c r="BM400" s="35" t="str">
        <f aca="false">IF(OR(AO400&lt;&gt;1,R400=""),"",IF(BD400=1,1,0))</f>
        <v/>
      </c>
      <c r="BN400" s="35" t="str">
        <f aca="false">IF(AO400&lt;&gt;1,"",IF(W400="Oui",1,0))</f>
        <v/>
      </c>
      <c r="BO400" s="35" t="str">
        <f aca="false">IF(AO400&lt;&gt;1,"",IF(X400&lt;&gt;"",1,0))</f>
        <v/>
      </c>
      <c r="BP400" s="35" t="str">
        <f aca="false">IF(AO400&lt;&gt;1,"",IF(Y400="Oui",1,0))</f>
        <v/>
      </c>
      <c r="BQ400" s="35" t="str">
        <f aca="true">IF(OR(AO400&lt;&gt;1,Z400&lt;&gt;"Oui"),"",IF(AB400="",IF(AND(AA400&lt;&gt;"",NOW()&gt;AA400),0,""),IF(AA400="","",IF(AB400&lt;=AA400,1,0))))</f>
        <v/>
      </c>
      <c r="BR400" s="38" t="str">
        <f aca="false">IF(OR(AO400&lt;&gt;1,K400&lt;&gt;"Oui",O400=""),"",IF(AC400="",O400+DORA_H_DET/24,IF(AC400-O400&lt;=DORA_H_DET/24,MIN(AC400+DORA_H_CLA/24,O400+DORA_H_DET/24),AC400+DORA_H_CLA/24)))</f>
        <v/>
      </c>
      <c r="BS400" s="35" t="str">
        <f aca="true">IF(BR400="","",IF(AD400="",IF(NOW()&gt;BR400,0,""),IF(AD400&lt;=BR400,1,0)))</f>
        <v/>
      </c>
      <c r="BT400" s="35" t="str">
        <f aca="true">IF(OR(BR400="",AD400=""),"",IF(AE400="",IF(NOW()&gt;AD400+DORA_H_INT/24,0,""),IF(AE400&lt;=AD400+DORA_H_INT/24,1,0)))</f>
        <v/>
      </c>
      <c r="BU400" s="35" t="str">
        <f aca="true">IF(OR(BR400="",AE400=""),"",IF(AF400="",IF(NOW()&gt;EDATE(AE400,DORA_M_FIN)+1,0,""),IF(AF400&lt;=EDATE(AE400,DORA_M_FIN),1,0)))</f>
        <v/>
      </c>
      <c r="BV400" s="35" t="str">
        <f aca="false">IF(BR400="","",IF(COUNT(BS400:BU400)=0,"",MIN(BS400:BU400)))</f>
        <v/>
      </c>
      <c r="BW400" s="40" t="str">
        <f aca="false">IF(AQ400&lt;&gt;1,"",IF(AND(AG400="",AH400=""),"",N(AG400)-N(AH400)))</f>
        <v/>
      </c>
      <c r="BX400" s="35" t="str">
        <f aca="true">IF(OR(AQ400&lt;&gt;1,AI400&lt;&gt;"Oui",AJ400=""),"",IF(AK400="",IF(NOW()&gt;AJ400+1,0,""),IF(AK400&lt;=AJ400,1,0)))</f>
        <v/>
      </c>
    </row>
    <row r="401" customFormat="false" ht="15" hidden="false" customHeight="false" outlineLevel="0" collapsed="false">
      <c r="B401" s="29"/>
      <c r="C401" s="29"/>
      <c r="D401" s="29"/>
      <c r="E401" s="29"/>
      <c r="F401" s="29"/>
      <c r="G401" s="29"/>
      <c r="H401" s="29"/>
      <c r="I401" s="29"/>
      <c r="J401" s="29"/>
      <c r="K401" s="29"/>
      <c r="L401" s="29"/>
      <c r="M401" s="29"/>
      <c r="N401" s="30"/>
      <c r="O401" s="30"/>
      <c r="P401" s="30"/>
      <c r="Q401" s="30"/>
      <c r="R401" s="30"/>
      <c r="S401" s="30"/>
      <c r="T401" s="30"/>
      <c r="U401" s="30"/>
      <c r="V401" s="31"/>
      <c r="W401" s="29"/>
      <c r="X401" s="29"/>
      <c r="Y401" s="29"/>
      <c r="Z401" s="29"/>
      <c r="AA401" s="30"/>
      <c r="AB401" s="30"/>
      <c r="AC401" s="30"/>
      <c r="AD401" s="30"/>
      <c r="AE401" s="30"/>
      <c r="AF401" s="32"/>
      <c r="AG401" s="33"/>
      <c r="AH401" s="33"/>
      <c r="AI401" s="29"/>
      <c r="AJ401" s="32"/>
      <c r="AK401" s="32"/>
      <c r="AL401" s="29"/>
      <c r="AN401" s="34" t="str">
        <f aca="false">IF($B401="","",IF(OR(C401="",D401="",E401="",G401="",I401="",J401="",L401="",O401="",P401=""),"Champ obligatoire manquant",IF(OR(AND(N401&lt;&gt;"",N401&gt;O401),O401&gt;P401,AND(Q401&lt;&gt;"",Q401&lt;P401),AND(R401&lt;&gt;"",R401&lt;P401),AND(S401&lt;&gt;"",S401&lt;R401),AND(S401&lt;&gt;"",R401=""),AND(T401&lt;&gt;"",T401&lt;O401),AND(U401&lt;&gt;"",U401&lt;O401)),"Chronologie incohérente",IF(AND(OR(L401="Résolu",L401="Clos"),R401=""),"Date de résolution manquante",IF(AND(L401="Clos",S401=""),"Date de clôture manquante",IF(AND(K401="Oui",AC401=""),"Classification DORA manquante","OK"))))))</f>
        <v/>
      </c>
      <c r="AO401" s="35" t="str">
        <f aca="false">IF($B401="","",IF(AND(C401="Incident",L401&lt;&gt;"Annulé"),1,0))</f>
        <v/>
      </c>
      <c r="AP401" s="35" t="str">
        <f aca="false">IF($B401="","",IF(AND(C401="Quasi-incident",L401&lt;&gt;"Annulé"),1,0))</f>
        <v/>
      </c>
      <c r="AQ401" s="35" t="str">
        <f aca="false">IF($B401="","",AO401+AP401)</f>
        <v/>
      </c>
      <c r="AR401" s="36" t="str">
        <f aca="false">IF(OR($B401="",J401=""),"",IFERROR(VALUE(LEFT(J401,1)),""))</f>
        <v/>
      </c>
      <c r="AS401" s="35" t="str">
        <f aca="false">IF(OR(AO401&lt;&gt;1,G401=""),"",IFERROR(IF(INDEX(L_SrcInterne,MATCH(G401,L_Sources,0))="Oui",1,0),""))</f>
        <v/>
      </c>
      <c r="AT401" s="37" t="str">
        <f aca="false">IF(AO401&lt;&gt;1,"",IFERROR(ROUND(IF(OR(N401="",O401=""),"",IF(O401&lt;N401,"",ROUND(((NETWORKDAYS(N401,O401,JoursFeries)-1)*(HFer-HOuv)+IF(NETWORKDAYS(O401,O401,JoursFeries),MEDIAN(MOD(O401,1),HFer,HOuv),HFer)-IF(NETWORKDAYS(N401,N401,JoursFeries),MEDIAN(MOD(N401,1),HFer,HOuv),HOuv))*24,4)))/HJour,4),""))</f>
        <v/>
      </c>
      <c r="AU401" s="37" t="str">
        <f aca="false">IF(AO401&lt;&gt;1,"",IF(OR(O401="",P401=""),"",IF(P401&lt;O401,"",ROUND(((NETWORKDAYS(O401,P401,JoursFeries)-1)*(HFer-HOuv)+IF(NETWORKDAYS(P401,P401,JoursFeries),MEDIAN(MOD(P401,1),HFer,HOuv),HFer)-IF(NETWORKDAYS(O401,O401,JoursFeries),MEDIAN(MOD(O401,1),HFer,HOuv),HOuv))*24,4))))</f>
        <v/>
      </c>
      <c r="AV401" s="37" t="str">
        <f aca="false">IF(AO401&lt;&gt;1,"",IF(OR(P401="",Q401=""),"",IF(Q401&lt;P401,"",ROUND(((NETWORKDAYS(P401,Q401,JoursFeries)-1)*(HFer-HOuv)+IF(NETWORKDAYS(Q401,Q401,JoursFeries),MEDIAN(MOD(Q401,1),HFer,HOuv),HFer)-IF(NETWORKDAYS(P401,P401,JoursFeries),MEDIAN(MOD(P401,1),HFer,HOuv),HOuv))*24,4))))</f>
        <v/>
      </c>
      <c r="AW401" s="37" t="str">
        <f aca="false">IF(AO401&lt;&gt;1,"",IFERROR(ROUND(IF(OR(P401="",R401=""),"",IF(R401&lt;P401,"",ROUND(((NETWORKDAYS(P401,R401,JoursFeries)-1)*(HFer-HOuv)+IF(NETWORKDAYS(R401,R401,JoursFeries),MEDIAN(MOD(R401,1),HFer,HOuv),HFer)-IF(NETWORKDAYS(P401,P401,JoursFeries),MEDIAN(MOD(P401,1),HFer,HOuv),HOuv))*24,4)))/HJour,4),""))</f>
        <v/>
      </c>
      <c r="AX401" s="37" t="str">
        <f aca="false">IF(AO401&lt;&gt;1,"",IFERROR(ROUND(IF(OR(P401="",S401=""),"",IF(S401&lt;P401,"",ROUND(((NETWORKDAYS(P401,S401,JoursFeries)-1)*(HFer-HOuv)+IF(NETWORKDAYS(S401,S401,JoursFeries),MEDIAN(MOD(S401,1),HFer,HOuv),HFer)-IF(NETWORKDAYS(P401,P401,JoursFeries),MEDIAN(MOD(P401,1),HFer,HOuv),HOuv))*24,4)))/HJour,4),""))</f>
        <v/>
      </c>
      <c r="AY401" s="36" t="str">
        <f aca="false">IF(OR(AO401&lt;&gt;1,AR401=""),"",INDEX(SLA_PEC,AR401))</f>
        <v/>
      </c>
      <c r="AZ401" s="35" t="str">
        <f aca="false">IF(OR(AV401="",AY401=""),"",IF(AV401&lt;=AY401,1,0))</f>
        <v/>
      </c>
      <c r="BA401" s="36" t="str">
        <f aca="false">IF(OR(AO401&lt;&gt;1,AR401=""),"",INDEX(SLA_RES,AR401))</f>
        <v/>
      </c>
      <c r="BB401" s="35" t="str">
        <f aca="false">IF(OR(AW401="",BA401=""),"",IF(AW401&lt;=BA401,1,0))</f>
        <v/>
      </c>
      <c r="BC401" s="38" t="str">
        <f aca="false">IF(OR(BA401="",P401=""),"",WORKDAY(INT(P401),BA401,JoursFeries)+MOD(P401,1))</f>
        <v/>
      </c>
      <c r="BD401" s="39" t="str">
        <f aca="false">IF(AO401&lt;&gt;1,"",IF(OR(AB401&lt;&gt;"",AD401&lt;&gt;""),4,IF(U401&lt;&gt;"",3,IF(T401&lt;&gt;"",2,1))))</f>
        <v/>
      </c>
      <c r="BE401" s="39" t="str">
        <f aca="false">IF(OR(AO401&lt;&gt;1,AR401=""),"",INDEX(NIV_REQ,AR401))</f>
        <v/>
      </c>
      <c r="BF401" s="39" t="str">
        <f aca="false">IF(BE401="","",MAX(BE401,IF(OR(K401="Oui",Z401="Oui"),4,1)))</f>
        <v/>
      </c>
      <c r="BG401" s="35" t="str">
        <f aca="false">IF(OR(BF401="",BD401=""),"",IF(BD401&gt;=BF401,1,0))</f>
        <v/>
      </c>
      <c r="BH401" s="38" t="str">
        <f aca="false">IF(BE401="","",IF(BE401&lt;2,"",IF(BE401=2,IF(AND(T401="",U401=""),"",MIN(T401,U401)),IF(U401="","",U401))))</f>
        <v/>
      </c>
      <c r="BI401" s="37" t="str">
        <f aca="false">IF(BH401="","",IF(OR(O401="",BH401=""),"",IF(BH401&lt;O401,"",ROUND(((NETWORKDAYS(O401,BH401,JoursFeries)-1)*(HFer-HOuv)+IF(NETWORKDAYS(BH401,BH401,JoursFeries),MEDIAN(MOD(BH401,1),HFer,HOuv),HFer)-IF(NETWORKDAYS(O401,O401,JoursFeries),MEDIAN(MOD(O401,1),HFer,HOuv),HOuv))*24,4))))</f>
        <v/>
      </c>
      <c r="BJ401" s="35" t="str">
        <f aca="false">IF(OR(BI401="",AR401=""),"",IF(BI401&lt;=INDEX(DELAI_ESC,AR401),1,0))</f>
        <v/>
      </c>
      <c r="BK401" s="38" t="str">
        <f aca="false">IF(AO401&lt;&gt;1,"",IF(AND(T401="",U401=""),"",MIN(T401,U401)))</f>
        <v/>
      </c>
      <c r="BL401" s="37" t="str">
        <f aca="false">IF(OR(BK401="",R401=""),"",IFERROR(ROUND(IF(OR(BK401="",R401=""),"",IF(R401&lt;BK401,"",ROUND(((NETWORKDAYS(BK401,R401,JoursFeries)-1)*(HFer-HOuv)+IF(NETWORKDAYS(R401,R401,JoursFeries),MEDIAN(MOD(R401,1),HFer,HOuv),HFer)-IF(NETWORKDAYS(BK401,BK401,JoursFeries),MEDIAN(MOD(BK401,1),HFer,HOuv),HOuv))*24,4)))/HJour,4),""))</f>
        <v/>
      </c>
      <c r="BM401" s="35" t="str">
        <f aca="false">IF(OR(AO401&lt;&gt;1,R401=""),"",IF(BD401=1,1,0))</f>
        <v/>
      </c>
      <c r="BN401" s="35" t="str">
        <f aca="false">IF(AO401&lt;&gt;1,"",IF(W401="Oui",1,0))</f>
        <v/>
      </c>
      <c r="BO401" s="35" t="str">
        <f aca="false">IF(AO401&lt;&gt;1,"",IF(X401&lt;&gt;"",1,0))</f>
        <v/>
      </c>
      <c r="BP401" s="35" t="str">
        <f aca="false">IF(AO401&lt;&gt;1,"",IF(Y401="Oui",1,0))</f>
        <v/>
      </c>
      <c r="BQ401" s="35" t="str">
        <f aca="true">IF(OR(AO401&lt;&gt;1,Z401&lt;&gt;"Oui"),"",IF(AB401="",IF(AND(AA401&lt;&gt;"",NOW()&gt;AA401),0,""),IF(AA401="","",IF(AB401&lt;=AA401,1,0))))</f>
        <v/>
      </c>
      <c r="BR401" s="38" t="str">
        <f aca="false">IF(OR(AO401&lt;&gt;1,K401&lt;&gt;"Oui",O401=""),"",IF(AC401="",O401+DORA_H_DET/24,IF(AC401-O401&lt;=DORA_H_DET/24,MIN(AC401+DORA_H_CLA/24,O401+DORA_H_DET/24),AC401+DORA_H_CLA/24)))</f>
        <v/>
      </c>
      <c r="BS401" s="35" t="str">
        <f aca="true">IF(BR401="","",IF(AD401="",IF(NOW()&gt;BR401,0,""),IF(AD401&lt;=BR401,1,0)))</f>
        <v/>
      </c>
      <c r="BT401" s="35" t="str">
        <f aca="true">IF(OR(BR401="",AD401=""),"",IF(AE401="",IF(NOW()&gt;AD401+DORA_H_INT/24,0,""),IF(AE401&lt;=AD401+DORA_H_INT/24,1,0)))</f>
        <v/>
      </c>
      <c r="BU401" s="35" t="str">
        <f aca="true">IF(OR(BR401="",AE401=""),"",IF(AF401="",IF(NOW()&gt;EDATE(AE401,DORA_M_FIN)+1,0,""),IF(AF401&lt;=EDATE(AE401,DORA_M_FIN),1,0)))</f>
        <v/>
      </c>
      <c r="BV401" s="35" t="str">
        <f aca="false">IF(BR401="","",IF(COUNT(BS401:BU401)=0,"",MIN(BS401:BU401)))</f>
        <v/>
      </c>
      <c r="BW401" s="40" t="str">
        <f aca="false">IF(AQ401&lt;&gt;1,"",IF(AND(AG401="",AH401=""),"",N(AG401)-N(AH401)))</f>
        <v/>
      </c>
      <c r="BX401" s="35" t="str">
        <f aca="true">IF(OR(AQ401&lt;&gt;1,AI401&lt;&gt;"Oui",AJ401=""),"",IF(AK401="",IF(NOW()&gt;AJ401+1,0,""),IF(AK401&lt;=AJ401,1,0)))</f>
        <v/>
      </c>
    </row>
    <row r="402" customFormat="false" ht="15" hidden="false" customHeight="false" outlineLevel="0" collapsed="false">
      <c r="B402" s="29"/>
      <c r="C402" s="29"/>
      <c r="D402" s="29"/>
      <c r="E402" s="29"/>
      <c r="F402" s="29"/>
      <c r="G402" s="29"/>
      <c r="H402" s="29"/>
      <c r="I402" s="29"/>
      <c r="J402" s="29"/>
      <c r="K402" s="29"/>
      <c r="L402" s="29"/>
      <c r="M402" s="29"/>
      <c r="N402" s="30"/>
      <c r="O402" s="30"/>
      <c r="P402" s="30"/>
      <c r="Q402" s="30"/>
      <c r="R402" s="30"/>
      <c r="S402" s="30"/>
      <c r="T402" s="30"/>
      <c r="U402" s="30"/>
      <c r="V402" s="31"/>
      <c r="W402" s="29"/>
      <c r="X402" s="29"/>
      <c r="Y402" s="29"/>
      <c r="Z402" s="29"/>
      <c r="AA402" s="30"/>
      <c r="AB402" s="30"/>
      <c r="AC402" s="30"/>
      <c r="AD402" s="30"/>
      <c r="AE402" s="30"/>
      <c r="AF402" s="32"/>
      <c r="AG402" s="33"/>
      <c r="AH402" s="33"/>
      <c r="AI402" s="29"/>
      <c r="AJ402" s="32"/>
      <c r="AK402" s="32"/>
      <c r="AL402" s="29"/>
      <c r="AN402" s="34" t="str">
        <f aca="false">IF($B402="","",IF(OR(C402="",D402="",E402="",G402="",I402="",J402="",L402="",O402="",P402=""),"Champ obligatoire manquant",IF(OR(AND(N402&lt;&gt;"",N402&gt;O402),O402&gt;P402,AND(Q402&lt;&gt;"",Q402&lt;P402),AND(R402&lt;&gt;"",R402&lt;P402),AND(S402&lt;&gt;"",S402&lt;R402),AND(S402&lt;&gt;"",R402=""),AND(T402&lt;&gt;"",T402&lt;O402),AND(U402&lt;&gt;"",U402&lt;O402)),"Chronologie incohérente",IF(AND(OR(L402="Résolu",L402="Clos"),R402=""),"Date de résolution manquante",IF(AND(L402="Clos",S402=""),"Date de clôture manquante",IF(AND(K402="Oui",AC402=""),"Classification DORA manquante","OK"))))))</f>
        <v/>
      </c>
      <c r="AO402" s="35" t="str">
        <f aca="false">IF($B402="","",IF(AND(C402="Incident",L402&lt;&gt;"Annulé"),1,0))</f>
        <v/>
      </c>
      <c r="AP402" s="35" t="str">
        <f aca="false">IF($B402="","",IF(AND(C402="Quasi-incident",L402&lt;&gt;"Annulé"),1,0))</f>
        <v/>
      </c>
      <c r="AQ402" s="35" t="str">
        <f aca="false">IF($B402="","",AO402+AP402)</f>
        <v/>
      </c>
      <c r="AR402" s="36" t="str">
        <f aca="false">IF(OR($B402="",J402=""),"",IFERROR(VALUE(LEFT(J402,1)),""))</f>
        <v/>
      </c>
      <c r="AS402" s="35" t="str">
        <f aca="false">IF(OR(AO402&lt;&gt;1,G402=""),"",IFERROR(IF(INDEX(L_SrcInterne,MATCH(G402,L_Sources,0))="Oui",1,0),""))</f>
        <v/>
      </c>
      <c r="AT402" s="37" t="str">
        <f aca="false">IF(AO402&lt;&gt;1,"",IFERROR(ROUND(IF(OR(N402="",O402=""),"",IF(O402&lt;N402,"",ROUND(((NETWORKDAYS(N402,O402,JoursFeries)-1)*(HFer-HOuv)+IF(NETWORKDAYS(O402,O402,JoursFeries),MEDIAN(MOD(O402,1),HFer,HOuv),HFer)-IF(NETWORKDAYS(N402,N402,JoursFeries),MEDIAN(MOD(N402,1),HFer,HOuv),HOuv))*24,4)))/HJour,4),""))</f>
        <v/>
      </c>
      <c r="AU402" s="37" t="str">
        <f aca="false">IF(AO402&lt;&gt;1,"",IF(OR(O402="",P402=""),"",IF(P402&lt;O402,"",ROUND(((NETWORKDAYS(O402,P402,JoursFeries)-1)*(HFer-HOuv)+IF(NETWORKDAYS(P402,P402,JoursFeries),MEDIAN(MOD(P402,1),HFer,HOuv),HFer)-IF(NETWORKDAYS(O402,O402,JoursFeries),MEDIAN(MOD(O402,1),HFer,HOuv),HOuv))*24,4))))</f>
        <v/>
      </c>
      <c r="AV402" s="37" t="str">
        <f aca="false">IF(AO402&lt;&gt;1,"",IF(OR(P402="",Q402=""),"",IF(Q402&lt;P402,"",ROUND(((NETWORKDAYS(P402,Q402,JoursFeries)-1)*(HFer-HOuv)+IF(NETWORKDAYS(Q402,Q402,JoursFeries),MEDIAN(MOD(Q402,1),HFer,HOuv),HFer)-IF(NETWORKDAYS(P402,P402,JoursFeries),MEDIAN(MOD(P402,1),HFer,HOuv),HOuv))*24,4))))</f>
        <v/>
      </c>
      <c r="AW402" s="37" t="str">
        <f aca="false">IF(AO402&lt;&gt;1,"",IFERROR(ROUND(IF(OR(P402="",R402=""),"",IF(R402&lt;P402,"",ROUND(((NETWORKDAYS(P402,R402,JoursFeries)-1)*(HFer-HOuv)+IF(NETWORKDAYS(R402,R402,JoursFeries),MEDIAN(MOD(R402,1),HFer,HOuv),HFer)-IF(NETWORKDAYS(P402,P402,JoursFeries),MEDIAN(MOD(P402,1),HFer,HOuv),HOuv))*24,4)))/HJour,4),""))</f>
        <v/>
      </c>
      <c r="AX402" s="37" t="str">
        <f aca="false">IF(AO402&lt;&gt;1,"",IFERROR(ROUND(IF(OR(P402="",S402=""),"",IF(S402&lt;P402,"",ROUND(((NETWORKDAYS(P402,S402,JoursFeries)-1)*(HFer-HOuv)+IF(NETWORKDAYS(S402,S402,JoursFeries),MEDIAN(MOD(S402,1),HFer,HOuv),HFer)-IF(NETWORKDAYS(P402,P402,JoursFeries),MEDIAN(MOD(P402,1),HFer,HOuv),HOuv))*24,4)))/HJour,4),""))</f>
        <v/>
      </c>
      <c r="AY402" s="36" t="str">
        <f aca="false">IF(OR(AO402&lt;&gt;1,AR402=""),"",INDEX(SLA_PEC,AR402))</f>
        <v/>
      </c>
      <c r="AZ402" s="35" t="str">
        <f aca="false">IF(OR(AV402="",AY402=""),"",IF(AV402&lt;=AY402,1,0))</f>
        <v/>
      </c>
      <c r="BA402" s="36" t="str">
        <f aca="false">IF(OR(AO402&lt;&gt;1,AR402=""),"",INDEX(SLA_RES,AR402))</f>
        <v/>
      </c>
      <c r="BB402" s="35" t="str">
        <f aca="false">IF(OR(AW402="",BA402=""),"",IF(AW402&lt;=BA402,1,0))</f>
        <v/>
      </c>
      <c r="BC402" s="38" t="str">
        <f aca="false">IF(OR(BA402="",P402=""),"",WORKDAY(INT(P402),BA402,JoursFeries)+MOD(P402,1))</f>
        <v/>
      </c>
      <c r="BD402" s="39" t="str">
        <f aca="false">IF(AO402&lt;&gt;1,"",IF(OR(AB402&lt;&gt;"",AD402&lt;&gt;""),4,IF(U402&lt;&gt;"",3,IF(T402&lt;&gt;"",2,1))))</f>
        <v/>
      </c>
      <c r="BE402" s="39" t="str">
        <f aca="false">IF(OR(AO402&lt;&gt;1,AR402=""),"",INDEX(NIV_REQ,AR402))</f>
        <v/>
      </c>
      <c r="BF402" s="39" t="str">
        <f aca="false">IF(BE402="","",MAX(BE402,IF(OR(K402="Oui",Z402="Oui"),4,1)))</f>
        <v/>
      </c>
      <c r="BG402" s="35" t="str">
        <f aca="false">IF(OR(BF402="",BD402=""),"",IF(BD402&gt;=BF402,1,0))</f>
        <v/>
      </c>
      <c r="BH402" s="38" t="str">
        <f aca="false">IF(BE402="","",IF(BE402&lt;2,"",IF(BE402=2,IF(AND(T402="",U402=""),"",MIN(T402,U402)),IF(U402="","",U402))))</f>
        <v/>
      </c>
      <c r="BI402" s="37" t="str">
        <f aca="false">IF(BH402="","",IF(OR(O402="",BH402=""),"",IF(BH402&lt;O402,"",ROUND(((NETWORKDAYS(O402,BH402,JoursFeries)-1)*(HFer-HOuv)+IF(NETWORKDAYS(BH402,BH402,JoursFeries),MEDIAN(MOD(BH402,1),HFer,HOuv),HFer)-IF(NETWORKDAYS(O402,O402,JoursFeries),MEDIAN(MOD(O402,1),HFer,HOuv),HOuv))*24,4))))</f>
        <v/>
      </c>
      <c r="BJ402" s="35" t="str">
        <f aca="false">IF(OR(BI402="",AR402=""),"",IF(BI402&lt;=INDEX(DELAI_ESC,AR402),1,0))</f>
        <v/>
      </c>
      <c r="BK402" s="38" t="str">
        <f aca="false">IF(AO402&lt;&gt;1,"",IF(AND(T402="",U402=""),"",MIN(T402,U402)))</f>
        <v/>
      </c>
      <c r="BL402" s="37" t="str">
        <f aca="false">IF(OR(BK402="",R402=""),"",IFERROR(ROUND(IF(OR(BK402="",R402=""),"",IF(R402&lt;BK402,"",ROUND(((NETWORKDAYS(BK402,R402,JoursFeries)-1)*(HFer-HOuv)+IF(NETWORKDAYS(R402,R402,JoursFeries),MEDIAN(MOD(R402,1),HFer,HOuv),HFer)-IF(NETWORKDAYS(BK402,BK402,JoursFeries),MEDIAN(MOD(BK402,1),HFer,HOuv),HOuv))*24,4)))/HJour,4),""))</f>
        <v/>
      </c>
      <c r="BM402" s="35" t="str">
        <f aca="false">IF(OR(AO402&lt;&gt;1,R402=""),"",IF(BD402=1,1,0))</f>
        <v/>
      </c>
      <c r="BN402" s="35" t="str">
        <f aca="false">IF(AO402&lt;&gt;1,"",IF(W402="Oui",1,0))</f>
        <v/>
      </c>
      <c r="BO402" s="35" t="str">
        <f aca="false">IF(AO402&lt;&gt;1,"",IF(X402&lt;&gt;"",1,0))</f>
        <v/>
      </c>
      <c r="BP402" s="35" t="str">
        <f aca="false">IF(AO402&lt;&gt;1,"",IF(Y402="Oui",1,0))</f>
        <v/>
      </c>
      <c r="BQ402" s="35" t="str">
        <f aca="true">IF(OR(AO402&lt;&gt;1,Z402&lt;&gt;"Oui"),"",IF(AB402="",IF(AND(AA402&lt;&gt;"",NOW()&gt;AA402),0,""),IF(AA402="","",IF(AB402&lt;=AA402,1,0))))</f>
        <v/>
      </c>
      <c r="BR402" s="38" t="str">
        <f aca="false">IF(OR(AO402&lt;&gt;1,K402&lt;&gt;"Oui",O402=""),"",IF(AC402="",O402+DORA_H_DET/24,IF(AC402-O402&lt;=DORA_H_DET/24,MIN(AC402+DORA_H_CLA/24,O402+DORA_H_DET/24),AC402+DORA_H_CLA/24)))</f>
        <v/>
      </c>
      <c r="BS402" s="35" t="str">
        <f aca="true">IF(BR402="","",IF(AD402="",IF(NOW()&gt;BR402,0,""),IF(AD402&lt;=BR402,1,0)))</f>
        <v/>
      </c>
      <c r="BT402" s="35" t="str">
        <f aca="true">IF(OR(BR402="",AD402=""),"",IF(AE402="",IF(NOW()&gt;AD402+DORA_H_INT/24,0,""),IF(AE402&lt;=AD402+DORA_H_INT/24,1,0)))</f>
        <v/>
      </c>
      <c r="BU402" s="35" t="str">
        <f aca="true">IF(OR(BR402="",AE402=""),"",IF(AF402="",IF(NOW()&gt;EDATE(AE402,DORA_M_FIN)+1,0,""),IF(AF402&lt;=EDATE(AE402,DORA_M_FIN),1,0)))</f>
        <v/>
      </c>
      <c r="BV402" s="35" t="str">
        <f aca="false">IF(BR402="","",IF(COUNT(BS402:BU402)=0,"",MIN(BS402:BU402)))</f>
        <v/>
      </c>
      <c r="BW402" s="40" t="str">
        <f aca="false">IF(AQ402&lt;&gt;1,"",IF(AND(AG402="",AH402=""),"",N(AG402)-N(AH402)))</f>
        <v/>
      </c>
      <c r="BX402" s="35" t="str">
        <f aca="true">IF(OR(AQ402&lt;&gt;1,AI402&lt;&gt;"Oui",AJ402=""),"",IF(AK402="",IF(NOW()&gt;AJ402+1,0,""),IF(AK402&lt;=AJ402,1,0)))</f>
        <v/>
      </c>
    </row>
    <row r="403" customFormat="false" ht="15" hidden="false" customHeight="false" outlineLevel="0" collapsed="false">
      <c r="B403" s="29"/>
      <c r="C403" s="29"/>
      <c r="D403" s="29"/>
      <c r="E403" s="29"/>
      <c r="F403" s="29"/>
      <c r="G403" s="29"/>
      <c r="H403" s="29"/>
      <c r="I403" s="29"/>
      <c r="J403" s="29"/>
      <c r="K403" s="29"/>
      <c r="L403" s="29"/>
      <c r="M403" s="29"/>
      <c r="N403" s="30"/>
      <c r="O403" s="30"/>
      <c r="P403" s="30"/>
      <c r="Q403" s="30"/>
      <c r="R403" s="30"/>
      <c r="S403" s="30"/>
      <c r="T403" s="30"/>
      <c r="U403" s="30"/>
      <c r="V403" s="31"/>
      <c r="W403" s="29"/>
      <c r="X403" s="29"/>
      <c r="Y403" s="29"/>
      <c r="Z403" s="29"/>
      <c r="AA403" s="30"/>
      <c r="AB403" s="30"/>
      <c r="AC403" s="30"/>
      <c r="AD403" s="30"/>
      <c r="AE403" s="30"/>
      <c r="AF403" s="32"/>
      <c r="AG403" s="33"/>
      <c r="AH403" s="33"/>
      <c r="AI403" s="29"/>
      <c r="AJ403" s="32"/>
      <c r="AK403" s="32"/>
      <c r="AL403" s="29"/>
      <c r="AN403" s="34" t="str">
        <f aca="false">IF($B403="","",IF(OR(C403="",D403="",E403="",G403="",I403="",J403="",L403="",O403="",P403=""),"Champ obligatoire manquant",IF(OR(AND(N403&lt;&gt;"",N403&gt;O403),O403&gt;P403,AND(Q403&lt;&gt;"",Q403&lt;P403),AND(R403&lt;&gt;"",R403&lt;P403),AND(S403&lt;&gt;"",S403&lt;R403),AND(S403&lt;&gt;"",R403=""),AND(T403&lt;&gt;"",T403&lt;O403),AND(U403&lt;&gt;"",U403&lt;O403)),"Chronologie incohérente",IF(AND(OR(L403="Résolu",L403="Clos"),R403=""),"Date de résolution manquante",IF(AND(L403="Clos",S403=""),"Date de clôture manquante",IF(AND(K403="Oui",AC403=""),"Classification DORA manquante","OK"))))))</f>
        <v/>
      </c>
      <c r="AO403" s="35" t="str">
        <f aca="false">IF($B403="","",IF(AND(C403="Incident",L403&lt;&gt;"Annulé"),1,0))</f>
        <v/>
      </c>
      <c r="AP403" s="35" t="str">
        <f aca="false">IF($B403="","",IF(AND(C403="Quasi-incident",L403&lt;&gt;"Annulé"),1,0))</f>
        <v/>
      </c>
      <c r="AQ403" s="35" t="str">
        <f aca="false">IF($B403="","",AO403+AP403)</f>
        <v/>
      </c>
      <c r="AR403" s="36" t="str">
        <f aca="false">IF(OR($B403="",J403=""),"",IFERROR(VALUE(LEFT(J403,1)),""))</f>
        <v/>
      </c>
      <c r="AS403" s="35" t="str">
        <f aca="false">IF(OR(AO403&lt;&gt;1,G403=""),"",IFERROR(IF(INDEX(L_SrcInterne,MATCH(G403,L_Sources,0))="Oui",1,0),""))</f>
        <v/>
      </c>
      <c r="AT403" s="37" t="str">
        <f aca="false">IF(AO403&lt;&gt;1,"",IFERROR(ROUND(IF(OR(N403="",O403=""),"",IF(O403&lt;N403,"",ROUND(((NETWORKDAYS(N403,O403,JoursFeries)-1)*(HFer-HOuv)+IF(NETWORKDAYS(O403,O403,JoursFeries),MEDIAN(MOD(O403,1),HFer,HOuv),HFer)-IF(NETWORKDAYS(N403,N403,JoursFeries),MEDIAN(MOD(N403,1),HFer,HOuv),HOuv))*24,4)))/HJour,4),""))</f>
        <v/>
      </c>
      <c r="AU403" s="37" t="str">
        <f aca="false">IF(AO403&lt;&gt;1,"",IF(OR(O403="",P403=""),"",IF(P403&lt;O403,"",ROUND(((NETWORKDAYS(O403,P403,JoursFeries)-1)*(HFer-HOuv)+IF(NETWORKDAYS(P403,P403,JoursFeries),MEDIAN(MOD(P403,1),HFer,HOuv),HFer)-IF(NETWORKDAYS(O403,O403,JoursFeries),MEDIAN(MOD(O403,1),HFer,HOuv),HOuv))*24,4))))</f>
        <v/>
      </c>
      <c r="AV403" s="37" t="str">
        <f aca="false">IF(AO403&lt;&gt;1,"",IF(OR(P403="",Q403=""),"",IF(Q403&lt;P403,"",ROUND(((NETWORKDAYS(P403,Q403,JoursFeries)-1)*(HFer-HOuv)+IF(NETWORKDAYS(Q403,Q403,JoursFeries),MEDIAN(MOD(Q403,1),HFer,HOuv),HFer)-IF(NETWORKDAYS(P403,P403,JoursFeries),MEDIAN(MOD(P403,1),HFer,HOuv),HOuv))*24,4))))</f>
        <v/>
      </c>
      <c r="AW403" s="37" t="str">
        <f aca="false">IF(AO403&lt;&gt;1,"",IFERROR(ROUND(IF(OR(P403="",R403=""),"",IF(R403&lt;P403,"",ROUND(((NETWORKDAYS(P403,R403,JoursFeries)-1)*(HFer-HOuv)+IF(NETWORKDAYS(R403,R403,JoursFeries),MEDIAN(MOD(R403,1),HFer,HOuv),HFer)-IF(NETWORKDAYS(P403,P403,JoursFeries),MEDIAN(MOD(P403,1),HFer,HOuv),HOuv))*24,4)))/HJour,4),""))</f>
        <v/>
      </c>
      <c r="AX403" s="37" t="str">
        <f aca="false">IF(AO403&lt;&gt;1,"",IFERROR(ROUND(IF(OR(P403="",S403=""),"",IF(S403&lt;P403,"",ROUND(((NETWORKDAYS(P403,S403,JoursFeries)-1)*(HFer-HOuv)+IF(NETWORKDAYS(S403,S403,JoursFeries),MEDIAN(MOD(S403,1),HFer,HOuv),HFer)-IF(NETWORKDAYS(P403,P403,JoursFeries),MEDIAN(MOD(P403,1),HFer,HOuv),HOuv))*24,4)))/HJour,4),""))</f>
        <v/>
      </c>
      <c r="AY403" s="36" t="str">
        <f aca="false">IF(OR(AO403&lt;&gt;1,AR403=""),"",INDEX(SLA_PEC,AR403))</f>
        <v/>
      </c>
      <c r="AZ403" s="35" t="str">
        <f aca="false">IF(OR(AV403="",AY403=""),"",IF(AV403&lt;=AY403,1,0))</f>
        <v/>
      </c>
      <c r="BA403" s="36" t="str">
        <f aca="false">IF(OR(AO403&lt;&gt;1,AR403=""),"",INDEX(SLA_RES,AR403))</f>
        <v/>
      </c>
      <c r="BB403" s="35" t="str">
        <f aca="false">IF(OR(AW403="",BA403=""),"",IF(AW403&lt;=BA403,1,0))</f>
        <v/>
      </c>
      <c r="BC403" s="38" t="str">
        <f aca="false">IF(OR(BA403="",P403=""),"",WORKDAY(INT(P403),BA403,JoursFeries)+MOD(P403,1))</f>
        <v/>
      </c>
      <c r="BD403" s="39" t="str">
        <f aca="false">IF(AO403&lt;&gt;1,"",IF(OR(AB403&lt;&gt;"",AD403&lt;&gt;""),4,IF(U403&lt;&gt;"",3,IF(T403&lt;&gt;"",2,1))))</f>
        <v/>
      </c>
      <c r="BE403" s="39" t="str">
        <f aca="false">IF(OR(AO403&lt;&gt;1,AR403=""),"",INDEX(NIV_REQ,AR403))</f>
        <v/>
      </c>
      <c r="BF403" s="39" t="str">
        <f aca="false">IF(BE403="","",MAX(BE403,IF(OR(K403="Oui",Z403="Oui"),4,1)))</f>
        <v/>
      </c>
      <c r="BG403" s="35" t="str">
        <f aca="false">IF(OR(BF403="",BD403=""),"",IF(BD403&gt;=BF403,1,0))</f>
        <v/>
      </c>
      <c r="BH403" s="38" t="str">
        <f aca="false">IF(BE403="","",IF(BE403&lt;2,"",IF(BE403=2,IF(AND(T403="",U403=""),"",MIN(T403,U403)),IF(U403="","",U403))))</f>
        <v/>
      </c>
      <c r="BI403" s="37" t="str">
        <f aca="false">IF(BH403="","",IF(OR(O403="",BH403=""),"",IF(BH403&lt;O403,"",ROUND(((NETWORKDAYS(O403,BH403,JoursFeries)-1)*(HFer-HOuv)+IF(NETWORKDAYS(BH403,BH403,JoursFeries),MEDIAN(MOD(BH403,1),HFer,HOuv),HFer)-IF(NETWORKDAYS(O403,O403,JoursFeries),MEDIAN(MOD(O403,1),HFer,HOuv),HOuv))*24,4))))</f>
        <v/>
      </c>
      <c r="BJ403" s="35" t="str">
        <f aca="false">IF(OR(BI403="",AR403=""),"",IF(BI403&lt;=INDEX(DELAI_ESC,AR403),1,0))</f>
        <v/>
      </c>
      <c r="BK403" s="38" t="str">
        <f aca="false">IF(AO403&lt;&gt;1,"",IF(AND(T403="",U403=""),"",MIN(T403,U403)))</f>
        <v/>
      </c>
      <c r="BL403" s="37" t="str">
        <f aca="false">IF(OR(BK403="",R403=""),"",IFERROR(ROUND(IF(OR(BK403="",R403=""),"",IF(R403&lt;BK403,"",ROUND(((NETWORKDAYS(BK403,R403,JoursFeries)-1)*(HFer-HOuv)+IF(NETWORKDAYS(R403,R403,JoursFeries),MEDIAN(MOD(R403,1),HFer,HOuv),HFer)-IF(NETWORKDAYS(BK403,BK403,JoursFeries),MEDIAN(MOD(BK403,1),HFer,HOuv),HOuv))*24,4)))/HJour,4),""))</f>
        <v/>
      </c>
      <c r="BM403" s="35" t="str">
        <f aca="false">IF(OR(AO403&lt;&gt;1,R403=""),"",IF(BD403=1,1,0))</f>
        <v/>
      </c>
      <c r="BN403" s="35" t="str">
        <f aca="false">IF(AO403&lt;&gt;1,"",IF(W403="Oui",1,0))</f>
        <v/>
      </c>
      <c r="BO403" s="35" t="str">
        <f aca="false">IF(AO403&lt;&gt;1,"",IF(X403&lt;&gt;"",1,0))</f>
        <v/>
      </c>
      <c r="BP403" s="35" t="str">
        <f aca="false">IF(AO403&lt;&gt;1,"",IF(Y403="Oui",1,0))</f>
        <v/>
      </c>
      <c r="BQ403" s="35" t="str">
        <f aca="true">IF(OR(AO403&lt;&gt;1,Z403&lt;&gt;"Oui"),"",IF(AB403="",IF(AND(AA403&lt;&gt;"",NOW()&gt;AA403),0,""),IF(AA403="","",IF(AB403&lt;=AA403,1,0))))</f>
        <v/>
      </c>
      <c r="BR403" s="38" t="str">
        <f aca="false">IF(OR(AO403&lt;&gt;1,K403&lt;&gt;"Oui",O403=""),"",IF(AC403="",O403+DORA_H_DET/24,IF(AC403-O403&lt;=DORA_H_DET/24,MIN(AC403+DORA_H_CLA/24,O403+DORA_H_DET/24),AC403+DORA_H_CLA/24)))</f>
        <v/>
      </c>
      <c r="BS403" s="35" t="str">
        <f aca="true">IF(BR403="","",IF(AD403="",IF(NOW()&gt;BR403,0,""),IF(AD403&lt;=BR403,1,0)))</f>
        <v/>
      </c>
      <c r="BT403" s="35" t="str">
        <f aca="true">IF(OR(BR403="",AD403=""),"",IF(AE403="",IF(NOW()&gt;AD403+DORA_H_INT/24,0,""),IF(AE403&lt;=AD403+DORA_H_INT/24,1,0)))</f>
        <v/>
      </c>
      <c r="BU403" s="35" t="str">
        <f aca="true">IF(OR(BR403="",AE403=""),"",IF(AF403="",IF(NOW()&gt;EDATE(AE403,DORA_M_FIN)+1,0,""),IF(AF403&lt;=EDATE(AE403,DORA_M_FIN),1,0)))</f>
        <v/>
      </c>
      <c r="BV403" s="35" t="str">
        <f aca="false">IF(BR403="","",IF(COUNT(BS403:BU403)=0,"",MIN(BS403:BU403)))</f>
        <v/>
      </c>
      <c r="BW403" s="40" t="str">
        <f aca="false">IF(AQ403&lt;&gt;1,"",IF(AND(AG403="",AH403=""),"",N(AG403)-N(AH403)))</f>
        <v/>
      </c>
      <c r="BX403" s="35" t="str">
        <f aca="true">IF(OR(AQ403&lt;&gt;1,AI403&lt;&gt;"Oui",AJ403=""),"",IF(AK403="",IF(NOW()&gt;AJ403+1,0,""),IF(AK403&lt;=AJ403,1,0)))</f>
        <v/>
      </c>
    </row>
    <row r="404" customFormat="false" ht="15" hidden="false" customHeight="false" outlineLevel="0" collapsed="false">
      <c r="B404" s="29"/>
      <c r="C404" s="29"/>
      <c r="D404" s="29"/>
      <c r="E404" s="29"/>
      <c r="F404" s="29"/>
      <c r="G404" s="29"/>
      <c r="H404" s="29"/>
      <c r="I404" s="29"/>
      <c r="J404" s="29"/>
      <c r="K404" s="29"/>
      <c r="L404" s="29"/>
      <c r="M404" s="29"/>
      <c r="N404" s="30"/>
      <c r="O404" s="30"/>
      <c r="P404" s="30"/>
      <c r="Q404" s="30"/>
      <c r="R404" s="30"/>
      <c r="S404" s="30"/>
      <c r="T404" s="30"/>
      <c r="U404" s="30"/>
      <c r="V404" s="31"/>
      <c r="W404" s="29"/>
      <c r="X404" s="29"/>
      <c r="Y404" s="29"/>
      <c r="Z404" s="29"/>
      <c r="AA404" s="30"/>
      <c r="AB404" s="30"/>
      <c r="AC404" s="30"/>
      <c r="AD404" s="30"/>
      <c r="AE404" s="30"/>
      <c r="AF404" s="32"/>
      <c r="AG404" s="33"/>
      <c r="AH404" s="33"/>
      <c r="AI404" s="29"/>
      <c r="AJ404" s="32"/>
      <c r="AK404" s="32"/>
      <c r="AL404" s="29"/>
      <c r="AN404" s="34" t="str">
        <f aca="false">IF($B404="","",IF(OR(C404="",D404="",E404="",G404="",I404="",J404="",L404="",O404="",P404=""),"Champ obligatoire manquant",IF(OR(AND(N404&lt;&gt;"",N404&gt;O404),O404&gt;P404,AND(Q404&lt;&gt;"",Q404&lt;P404),AND(R404&lt;&gt;"",R404&lt;P404),AND(S404&lt;&gt;"",S404&lt;R404),AND(S404&lt;&gt;"",R404=""),AND(T404&lt;&gt;"",T404&lt;O404),AND(U404&lt;&gt;"",U404&lt;O404)),"Chronologie incohérente",IF(AND(OR(L404="Résolu",L404="Clos"),R404=""),"Date de résolution manquante",IF(AND(L404="Clos",S404=""),"Date de clôture manquante",IF(AND(K404="Oui",AC404=""),"Classification DORA manquante","OK"))))))</f>
        <v/>
      </c>
      <c r="AO404" s="35" t="str">
        <f aca="false">IF($B404="","",IF(AND(C404="Incident",L404&lt;&gt;"Annulé"),1,0))</f>
        <v/>
      </c>
      <c r="AP404" s="35" t="str">
        <f aca="false">IF($B404="","",IF(AND(C404="Quasi-incident",L404&lt;&gt;"Annulé"),1,0))</f>
        <v/>
      </c>
      <c r="AQ404" s="35" t="str">
        <f aca="false">IF($B404="","",AO404+AP404)</f>
        <v/>
      </c>
      <c r="AR404" s="36" t="str">
        <f aca="false">IF(OR($B404="",J404=""),"",IFERROR(VALUE(LEFT(J404,1)),""))</f>
        <v/>
      </c>
      <c r="AS404" s="35" t="str">
        <f aca="false">IF(OR(AO404&lt;&gt;1,G404=""),"",IFERROR(IF(INDEX(L_SrcInterne,MATCH(G404,L_Sources,0))="Oui",1,0),""))</f>
        <v/>
      </c>
      <c r="AT404" s="37" t="str">
        <f aca="false">IF(AO404&lt;&gt;1,"",IFERROR(ROUND(IF(OR(N404="",O404=""),"",IF(O404&lt;N404,"",ROUND(((NETWORKDAYS(N404,O404,JoursFeries)-1)*(HFer-HOuv)+IF(NETWORKDAYS(O404,O404,JoursFeries),MEDIAN(MOD(O404,1),HFer,HOuv),HFer)-IF(NETWORKDAYS(N404,N404,JoursFeries),MEDIAN(MOD(N404,1),HFer,HOuv),HOuv))*24,4)))/HJour,4),""))</f>
        <v/>
      </c>
      <c r="AU404" s="37" t="str">
        <f aca="false">IF(AO404&lt;&gt;1,"",IF(OR(O404="",P404=""),"",IF(P404&lt;O404,"",ROUND(((NETWORKDAYS(O404,P404,JoursFeries)-1)*(HFer-HOuv)+IF(NETWORKDAYS(P404,P404,JoursFeries),MEDIAN(MOD(P404,1),HFer,HOuv),HFer)-IF(NETWORKDAYS(O404,O404,JoursFeries),MEDIAN(MOD(O404,1),HFer,HOuv),HOuv))*24,4))))</f>
        <v/>
      </c>
      <c r="AV404" s="37" t="str">
        <f aca="false">IF(AO404&lt;&gt;1,"",IF(OR(P404="",Q404=""),"",IF(Q404&lt;P404,"",ROUND(((NETWORKDAYS(P404,Q404,JoursFeries)-1)*(HFer-HOuv)+IF(NETWORKDAYS(Q404,Q404,JoursFeries),MEDIAN(MOD(Q404,1),HFer,HOuv),HFer)-IF(NETWORKDAYS(P404,P404,JoursFeries),MEDIAN(MOD(P404,1),HFer,HOuv),HOuv))*24,4))))</f>
        <v/>
      </c>
      <c r="AW404" s="37" t="str">
        <f aca="false">IF(AO404&lt;&gt;1,"",IFERROR(ROUND(IF(OR(P404="",R404=""),"",IF(R404&lt;P404,"",ROUND(((NETWORKDAYS(P404,R404,JoursFeries)-1)*(HFer-HOuv)+IF(NETWORKDAYS(R404,R404,JoursFeries),MEDIAN(MOD(R404,1),HFer,HOuv),HFer)-IF(NETWORKDAYS(P404,P404,JoursFeries),MEDIAN(MOD(P404,1),HFer,HOuv),HOuv))*24,4)))/HJour,4),""))</f>
        <v/>
      </c>
      <c r="AX404" s="37" t="str">
        <f aca="false">IF(AO404&lt;&gt;1,"",IFERROR(ROUND(IF(OR(P404="",S404=""),"",IF(S404&lt;P404,"",ROUND(((NETWORKDAYS(P404,S404,JoursFeries)-1)*(HFer-HOuv)+IF(NETWORKDAYS(S404,S404,JoursFeries),MEDIAN(MOD(S404,1),HFer,HOuv),HFer)-IF(NETWORKDAYS(P404,P404,JoursFeries),MEDIAN(MOD(P404,1),HFer,HOuv),HOuv))*24,4)))/HJour,4),""))</f>
        <v/>
      </c>
      <c r="AY404" s="36" t="str">
        <f aca="false">IF(OR(AO404&lt;&gt;1,AR404=""),"",INDEX(SLA_PEC,AR404))</f>
        <v/>
      </c>
      <c r="AZ404" s="35" t="str">
        <f aca="false">IF(OR(AV404="",AY404=""),"",IF(AV404&lt;=AY404,1,0))</f>
        <v/>
      </c>
      <c r="BA404" s="36" t="str">
        <f aca="false">IF(OR(AO404&lt;&gt;1,AR404=""),"",INDEX(SLA_RES,AR404))</f>
        <v/>
      </c>
      <c r="BB404" s="35" t="str">
        <f aca="false">IF(OR(AW404="",BA404=""),"",IF(AW404&lt;=BA404,1,0))</f>
        <v/>
      </c>
      <c r="BC404" s="38" t="str">
        <f aca="false">IF(OR(BA404="",P404=""),"",WORKDAY(INT(P404),BA404,JoursFeries)+MOD(P404,1))</f>
        <v/>
      </c>
      <c r="BD404" s="39" t="str">
        <f aca="false">IF(AO404&lt;&gt;1,"",IF(OR(AB404&lt;&gt;"",AD404&lt;&gt;""),4,IF(U404&lt;&gt;"",3,IF(T404&lt;&gt;"",2,1))))</f>
        <v/>
      </c>
      <c r="BE404" s="39" t="str">
        <f aca="false">IF(OR(AO404&lt;&gt;1,AR404=""),"",INDEX(NIV_REQ,AR404))</f>
        <v/>
      </c>
      <c r="BF404" s="39" t="str">
        <f aca="false">IF(BE404="","",MAX(BE404,IF(OR(K404="Oui",Z404="Oui"),4,1)))</f>
        <v/>
      </c>
      <c r="BG404" s="35" t="str">
        <f aca="false">IF(OR(BF404="",BD404=""),"",IF(BD404&gt;=BF404,1,0))</f>
        <v/>
      </c>
      <c r="BH404" s="38" t="str">
        <f aca="false">IF(BE404="","",IF(BE404&lt;2,"",IF(BE404=2,IF(AND(T404="",U404=""),"",MIN(T404,U404)),IF(U404="","",U404))))</f>
        <v/>
      </c>
      <c r="BI404" s="37" t="str">
        <f aca="false">IF(BH404="","",IF(OR(O404="",BH404=""),"",IF(BH404&lt;O404,"",ROUND(((NETWORKDAYS(O404,BH404,JoursFeries)-1)*(HFer-HOuv)+IF(NETWORKDAYS(BH404,BH404,JoursFeries),MEDIAN(MOD(BH404,1),HFer,HOuv),HFer)-IF(NETWORKDAYS(O404,O404,JoursFeries),MEDIAN(MOD(O404,1),HFer,HOuv),HOuv))*24,4))))</f>
        <v/>
      </c>
      <c r="BJ404" s="35" t="str">
        <f aca="false">IF(OR(BI404="",AR404=""),"",IF(BI404&lt;=INDEX(DELAI_ESC,AR404),1,0))</f>
        <v/>
      </c>
      <c r="BK404" s="38" t="str">
        <f aca="false">IF(AO404&lt;&gt;1,"",IF(AND(T404="",U404=""),"",MIN(T404,U404)))</f>
        <v/>
      </c>
      <c r="BL404" s="37" t="str">
        <f aca="false">IF(OR(BK404="",R404=""),"",IFERROR(ROUND(IF(OR(BK404="",R404=""),"",IF(R404&lt;BK404,"",ROUND(((NETWORKDAYS(BK404,R404,JoursFeries)-1)*(HFer-HOuv)+IF(NETWORKDAYS(R404,R404,JoursFeries),MEDIAN(MOD(R404,1),HFer,HOuv),HFer)-IF(NETWORKDAYS(BK404,BK404,JoursFeries),MEDIAN(MOD(BK404,1),HFer,HOuv),HOuv))*24,4)))/HJour,4),""))</f>
        <v/>
      </c>
      <c r="BM404" s="35" t="str">
        <f aca="false">IF(OR(AO404&lt;&gt;1,R404=""),"",IF(BD404=1,1,0))</f>
        <v/>
      </c>
      <c r="BN404" s="35" t="str">
        <f aca="false">IF(AO404&lt;&gt;1,"",IF(W404="Oui",1,0))</f>
        <v/>
      </c>
      <c r="BO404" s="35" t="str">
        <f aca="false">IF(AO404&lt;&gt;1,"",IF(X404&lt;&gt;"",1,0))</f>
        <v/>
      </c>
      <c r="BP404" s="35" t="str">
        <f aca="false">IF(AO404&lt;&gt;1,"",IF(Y404="Oui",1,0))</f>
        <v/>
      </c>
      <c r="BQ404" s="35" t="str">
        <f aca="true">IF(OR(AO404&lt;&gt;1,Z404&lt;&gt;"Oui"),"",IF(AB404="",IF(AND(AA404&lt;&gt;"",NOW()&gt;AA404),0,""),IF(AA404="","",IF(AB404&lt;=AA404,1,0))))</f>
        <v/>
      </c>
      <c r="BR404" s="38" t="str">
        <f aca="false">IF(OR(AO404&lt;&gt;1,K404&lt;&gt;"Oui",O404=""),"",IF(AC404="",O404+DORA_H_DET/24,IF(AC404-O404&lt;=DORA_H_DET/24,MIN(AC404+DORA_H_CLA/24,O404+DORA_H_DET/24),AC404+DORA_H_CLA/24)))</f>
        <v/>
      </c>
      <c r="BS404" s="35" t="str">
        <f aca="true">IF(BR404="","",IF(AD404="",IF(NOW()&gt;BR404,0,""),IF(AD404&lt;=BR404,1,0)))</f>
        <v/>
      </c>
      <c r="BT404" s="35" t="str">
        <f aca="true">IF(OR(BR404="",AD404=""),"",IF(AE404="",IF(NOW()&gt;AD404+DORA_H_INT/24,0,""),IF(AE404&lt;=AD404+DORA_H_INT/24,1,0)))</f>
        <v/>
      </c>
      <c r="BU404" s="35" t="str">
        <f aca="true">IF(OR(BR404="",AE404=""),"",IF(AF404="",IF(NOW()&gt;EDATE(AE404,DORA_M_FIN)+1,0,""),IF(AF404&lt;=EDATE(AE404,DORA_M_FIN),1,0)))</f>
        <v/>
      </c>
      <c r="BV404" s="35" t="str">
        <f aca="false">IF(BR404="","",IF(COUNT(BS404:BU404)=0,"",MIN(BS404:BU404)))</f>
        <v/>
      </c>
      <c r="BW404" s="40" t="str">
        <f aca="false">IF(AQ404&lt;&gt;1,"",IF(AND(AG404="",AH404=""),"",N(AG404)-N(AH404)))</f>
        <v/>
      </c>
      <c r="BX404" s="35" t="str">
        <f aca="true">IF(OR(AQ404&lt;&gt;1,AI404&lt;&gt;"Oui",AJ404=""),"",IF(AK404="",IF(NOW()&gt;AJ404+1,0,""),IF(AK404&lt;=AJ404,1,0)))</f>
        <v/>
      </c>
    </row>
    <row r="405" customFormat="false" ht="15" hidden="false" customHeight="false" outlineLevel="0" collapsed="false">
      <c r="B405" s="29"/>
      <c r="C405" s="29"/>
      <c r="D405" s="29"/>
      <c r="E405" s="29"/>
      <c r="F405" s="29"/>
      <c r="G405" s="29"/>
      <c r="H405" s="29"/>
      <c r="I405" s="29"/>
      <c r="J405" s="29"/>
      <c r="K405" s="29"/>
      <c r="L405" s="29"/>
      <c r="M405" s="29"/>
      <c r="N405" s="30"/>
      <c r="O405" s="30"/>
      <c r="P405" s="30"/>
      <c r="Q405" s="30"/>
      <c r="R405" s="30"/>
      <c r="S405" s="30"/>
      <c r="T405" s="30"/>
      <c r="U405" s="30"/>
      <c r="V405" s="31"/>
      <c r="W405" s="29"/>
      <c r="X405" s="29"/>
      <c r="Y405" s="29"/>
      <c r="Z405" s="29"/>
      <c r="AA405" s="30"/>
      <c r="AB405" s="30"/>
      <c r="AC405" s="30"/>
      <c r="AD405" s="30"/>
      <c r="AE405" s="30"/>
      <c r="AF405" s="32"/>
      <c r="AG405" s="33"/>
      <c r="AH405" s="33"/>
      <c r="AI405" s="29"/>
      <c r="AJ405" s="32"/>
      <c r="AK405" s="32"/>
      <c r="AL405" s="29"/>
      <c r="AN405" s="34" t="str">
        <f aca="false">IF($B405="","",IF(OR(C405="",D405="",E405="",G405="",I405="",J405="",L405="",O405="",P405=""),"Champ obligatoire manquant",IF(OR(AND(N405&lt;&gt;"",N405&gt;O405),O405&gt;P405,AND(Q405&lt;&gt;"",Q405&lt;P405),AND(R405&lt;&gt;"",R405&lt;P405),AND(S405&lt;&gt;"",S405&lt;R405),AND(S405&lt;&gt;"",R405=""),AND(T405&lt;&gt;"",T405&lt;O405),AND(U405&lt;&gt;"",U405&lt;O405)),"Chronologie incohérente",IF(AND(OR(L405="Résolu",L405="Clos"),R405=""),"Date de résolution manquante",IF(AND(L405="Clos",S405=""),"Date de clôture manquante",IF(AND(K405="Oui",AC405=""),"Classification DORA manquante","OK"))))))</f>
        <v/>
      </c>
      <c r="AO405" s="35" t="str">
        <f aca="false">IF($B405="","",IF(AND(C405="Incident",L405&lt;&gt;"Annulé"),1,0))</f>
        <v/>
      </c>
      <c r="AP405" s="35" t="str">
        <f aca="false">IF($B405="","",IF(AND(C405="Quasi-incident",L405&lt;&gt;"Annulé"),1,0))</f>
        <v/>
      </c>
      <c r="AQ405" s="35" t="str">
        <f aca="false">IF($B405="","",AO405+AP405)</f>
        <v/>
      </c>
      <c r="AR405" s="36" t="str">
        <f aca="false">IF(OR($B405="",J405=""),"",IFERROR(VALUE(LEFT(J405,1)),""))</f>
        <v/>
      </c>
      <c r="AS405" s="35" t="str">
        <f aca="false">IF(OR(AO405&lt;&gt;1,G405=""),"",IFERROR(IF(INDEX(L_SrcInterne,MATCH(G405,L_Sources,0))="Oui",1,0),""))</f>
        <v/>
      </c>
      <c r="AT405" s="37" t="str">
        <f aca="false">IF(AO405&lt;&gt;1,"",IFERROR(ROUND(IF(OR(N405="",O405=""),"",IF(O405&lt;N405,"",ROUND(((NETWORKDAYS(N405,O405,JoursFeries)-1)*(HFer-HOuv)+IF(NETWORKDAYS(O405,O405,JoursFeries),MEDIAN(MOD(O405,1),HFer,HOuv),HFer)-IF(NETWORKDAYS(N405,N405,JoursFeries),MEDIAN(MOD(N405,1),HFer,HOuv),HOuv))*24,4)))/HJour,4),""))</f>
        <v/>
      </c>
      <c r="AU405" s="37" t="str">
        <f aca="false">IF(AO405&lt;&gt;1,"",IF(OR(O405="",P405=""),"",IF(P405&lt;O405,"",ROUND(((NETWORKDAYS(O405,P405,JoursFeries)-1)*(HFer-HOuv)+IF(NETWORKDAYS(P405,P405,JoursFeries),MEDIAN(MOD(P405,1),HFer,HOuv),HFer)-IF(NETWORKDAYS(O405,O405,JoursFeries),MEDIAN(MOD(O405,1),HFer,HOuv),HOuv))*24,4))))</f>
        <v/>
      </c>
      <c r="AV405" s="37" t="str">
        <f aca="false">IF(AO405&lt;&gt;1,"",IF(OR(P405="",Q405=""),"",IF(Q405&lt;P405,"",ROUND(((NETWORKDAYS(P405,Q405,JoursFeries)-1)*(HFer-HOuv)+IF(NETWORKDAYS(Q405,Q405,JoursFeries),MEDIAN(MOD(Q405,1),HFer,HOuv),HFer)-IF(NETWORKDAYS(P405,P405,JoursFeries),MEDIAN(MOD(P405,1),HFer,HOuv),HOuv))*24,4))))</f>
        <v/>
      </c>
      <c r="AW405" s="37" t="str">
        <f aca="false">IF(AO405&lt;&gt;1,"",IFERROR(ROUND(IF(OR(P405="",R405=""),"",IF(R405&lt;P405,"",ROUND(((NETWORKDAYS(P405,R405,JoursFeries)-1)*(HFer-HOuv)+IF(NETWORKDAYS(R405,R405,JoursFeries),MEDIAN(MOD(R405,1),HFer,HOuv),HFer)-IF(NETWORKDAYS(P405,P405,JoursFeries),MEDIAN(MOD(P405,1),HFer,HOuv),HOuv))*24,4)))/HJour,4),""))</f>
        <v/>
      </c>
      <c r="AX405" s="37" t="str">
        <f aca="false">IF(AO405&lt;&gt;1,"",IFERROR(ROUND(IF(OR(P405="",S405=""),"",IF(S405&lt;P405,"",ROUND(((NETWORKDAYS(P405,S405,JoursFeries)-1)*(HFer-HOuv)+IF(NETWORKDAYS(S405,S405,JoursFeries),MEDIAN(MOD(S405,1),HFer,HOuv),HFer)-IF(NETWORKDAYS(P405,P405,JoursFeries),MEDIAN(MOD(P405,1),HFer,HOuv),HOuv))*24,4)))/HJour,4),""))</f>
        <v/>
      </c>
      <c r="AY405" s="36" t="str">
        <f aca="false">IF(OR(AO405&lt;&gt;1,AR405=""),"",INDEX(SLA_PEC,AR405))</f>
        <v/>
      </c>
      <c r="AZ405" s="35" t="str">
        <f aca="false">IF(OR(AV405="",AY405=""),"",IF(AV405&lt;=AY405,1,0))</f>
        <v/>
      </c>
      <c r="BA405" s="36" t="str">
        <f aca="false">IF(OR(AO405&lt;&gt;1,AR405=""),"",INDEX(SLA_RES,AR405))</f>
        <v/>
      </c>
      <c r="BB405" s="35" t="str">
        <f aca="false">IF(OR(AW405="",BA405=""),"",IF(AW405&lt;=BA405,1,0))</f>
        <v/>
      </c>
      <c r="BC405" s="38" t="str">
        <f aca="false">IF(OR(BA405="",P405=""),"",WORKDAY(INT(P405),BA405,JoursFeries)+MOD(P405,1))</f>
        <v/>
      </c>
      <c r="BD405" s="39" t="str">
        <f aca="false">IF(AO405&lt;&gt;1,"",IF(OR(AB405&lt;&gt;"",AD405&lt;&gt;""),4,IF(U405&lt;&gt;"",3,IF(T405&lt;&gt;"",2,1))))</f>
        <v/>
      </c>
      <c r="BE405" s="39" t="str">
        <f aca="false">IF(OR(AO405&lt;&gt;1,AR405=""),"",INDEX(NIV_REQ,AR405))</f>
        <v/>
      </c>
      <c r="BF405" s="39" t="str">
        <f aca="false">IF(BE405="","",MAX(BE405,IF(OR(K405="Oui",Z405="Oui"),4,1)))</f>
        <v/>
      </c>
      <c r="BG405" s="35" t="str">
        <f aca="false">IF(OR(BF405="",BD405=""),"",IF(BD405&gt;=BF405,1,0))</f>
        <v/>
      </c>
      <c r="BH405" s="38" t="str">
        <f aca="false">IF(BE405="","",IF(BE405&lt;2,"",IF(BE405=2,IF(AND(T405="",U405=""),"",MIN(T405,U405)),IF(U405="","",U405))))</f>
        <v/>
      </c>
      <c r="BI405" s="37" t="str">
        <f aca="false">IF(BH405="","",IF(OR(O405="",BH405=""),"",IF(BH405&lt;O405,"",ROUND(((NETWORKDAYS(O405,BH405,JoursFeries)-1)*(HFer-HOuv)+IF(NETWORKDAYS(BH405,BH405,JoursFeries),MEDIAN(MOD(BH405,1),HFer,HOuv),HFer)-IF(NETWORKDAYS(O405,O405,JoursFeries),MEDIAN(MOD(O405,1),HFer,HOuv),HOuv))*24,4))))</f>
        <v/>
      </c>
      <c r="BJ405" s="35" t="str">
        <f aca="false">IF(OR(BI405="",AR405=""),"",IF(BI405&lt;=INDEX(DELAI_ESC,AR405),1,0))</f>
        <v/>
      </c>
      <c r="BK405" s="38" t="str">
        <f aca="false">IF(AO405&lt;&gt;1,"",IF(AND(T405="",U405=""),"",MIN(T405,U405)))</f>
        <v/>
      </c>
      <c r="BL405" s="37" t="str">
        <f aca="false">IF(OR(BK405="",R405=""),"",IFERROR(ROUND(IF(OR(BK405="",R405=""),"",IF(R405&lt;BK405,"",ROUND(((NETWORKDAYS(BK405,R405,JoursFeries)-1)*(HFer-HOuv)+IF(NETWORKDAYS(R405,R405,JoursFeries),MEDIAN(MOD(R405,1),HFer,HOuv),HFer)-IF(NETWORKDAYS(BK405,BK405,JoursFeries),MEDIAN(MOD(BK405,1),HFer,HOuv),HOuv))*24,4)))/HJour,4),""))</f>
        <v/>
      </c>
      <c r="BM405" s="35" t="str">
        <f aca="false">IF(OR(AO405&lt;&gt;1,R405=""),"",IF(BD405=1,1,0))</f>
        <v/>
      </c>
      <c r="BN405" s="35" t="str">
        <f aca="false">IF(AO405&lt;&gt;1,"",IF(W405="Oui",1,0))</f>
        <v/>
      </c>
      <c r="BO405" s="35" t="str">
        <f aca="false">IF(AO405&lt;&gt;1,"",IF(X405&lt;&gt;"",1,0))</f>
        <v/>
      </c>
      <c r="BP405" s="35" t="str">
        <f aca="false">IF(AO405&lt;&gt;1,"",IF(Y405="Oui",1,0))</f>
        <v/>
      </c>
      <c r="BQ405" s="35" t="str">
        <f aca="true">IF(OR(AO405&lt;&gt;1,Z405&lt;&gt;"Oui"),"",IF(AB405="",IF(AND(AA405&lt;&gt;"",NOW()&gt;AA405),0,""),IF(AA405="","",IF(AB405&lt;=AA405,1,0))))</f>
        <v/>
      </c>
      <c r="BR405" s="38" t="str">
        <f aca="false">IF(OR(AO405&lt;&gt;1,K405&lt;&gt;"Oui",O405=""),"",IF(AC405="",O405+DORA_H_DET/24,IF(AC405-O405&lt;=DORA_H_DET/24,MIN(AC405+DORA_H_CLA/24,O405+DORA_H_DET/24),AC405+DORA_H_CLA/24)))</f>
        <v/>
      </c>
      <c r="BS405" s="35" t="str">
        <f aca="true">IF(BR405="","",IF(AD405="",IF(NOW()&gt;BR405,0,""),IF(AD405&lt;=BR405,1,0)))</f>
        <v/>
      </c>
      <c r="BT405" s="35" t="str">
        <f aca="true">IF(OR(BR405="",AD405=""),"",IF(AE405="",IF(NOW()&gt;AD405+DORA_H_INT/24,0,""),IF(AE405&lt;=AD405+DORA_H_INT/24,1,0)))</f>
        <v/>
      </c>
      <c r="BU405" s="35" t="str">
        <f aca="true">IF(OR(BR405="",AE405=""),"",IF(AF405="",IF(NOW()&gt;EDATE(AE405,DORA_M_FIN)+1,0,""),IF(AF405&lt;=EDATE(AE405,DORA_M_FIN),1,0)))</f>
        <v/>
      </c>
      <c r="BV405" s="35" t="str">
        <f aca="false">IF(BR405="","",IF(COUNT(BS405:BU405)=0,"",MIN(BS405:BU405)))</f>
        <v/>
      </c>
      <c r="BW405" s="40" t="str">
        <f aca="false">IF(AQ405&lt;&gt;1,"",IF(AND(AG405="",AH405=""),"",N(AG405)-N(AH405)))</f>
        <v/>
      </c>
      <c r="BX405" s="35" t="str">
        <f aca="true">IF(OR(AQ405&lt;&gt;1,AI405&lt;&gt;"Oui",AJ405=""),"",IF(AK405="",IF(NOW()&gt;AJ405+1,0,""),IF(AK405&lt;=AJ405,1,0)))</f>
        <v/>
      </c>
    </row>
    <row r="406" customFormat="false" ht="15" hidden="false" customHeight="false" outlineLevel="0" collapsed="false">
      <c r="B406" s="29"/>
      <c r="C406" s="29"/>
      <c r="D406" s="29"/>
      <c r="E406" s="29"/>
      <c r="F406" s="29"/>
      <c r="G406" s="29"/>
      <c r="H406" s="29"/>
      <c r="I406" s="29"/>
      <c r="J406" s="29"/>
      <c r="K406" s="29"/>
      <c r="L406" s="29"/>
      <c r="M406" s="29"/>
      <c r="N406" s="30"/>
      <c r="O406" s="30"/>
      <c r="P406" s="30"/>
      <c r="Q406" s="30"/>
      <c r="R406" s="30"/>
      <c r="S406" s="30"/>
      <c r="T406" s="30"/>
      <c r="U406" s="30"/>
      <c r="V406" s="31"/>
      <c r="W406" s="29"/>
      <c r="X406" s="29"/>
      <c r="Y406" s="29"/>
      <c r="Z406" s="29"/>
      <c r="AA406" s="30"/>
      <c r="AB406" s="30"/>
      <c r="AC406" s="30"/>
      <c r="AD406" s="30"/>
      <c r="AE406" s="30"/>
      <c r="AF406" s="32"/>
      <c r="AG406" s="33"/>
      <c r="AH406" s="33"/>
      <c r="AI406" s="29"/>
      <c r="AJ406" s="32"/>
      <c r="AK406" s="32"/>
      <c r="AL406" s="29"/>
      <c r="AN406" s="34" t="str">
        <f aca="false">IF($B406="","",IF(OR(C406="",D406="",E406="",G406="",I406="",J406="",L406="",O406="",P406=""),"Champ obligatoire manquant",IF(OR(AND(N406&lt;&gt;"",N406&gt;O406),O406&gt;P406,AND(Q406&lt;&gt;"",Q406&lt;P406),AND(R406&lt;&gt;"",R406&lt;P406),AND(S406&lt;&gt;"",S406&lt;R406),AND(S406&lt;&gt;"",R406=""),AND(T406&lt;&gt;"",T406&lt;O406),AND(U406&lt;&gt;"",U406&lt;O406)),"Chronologie incohérente",IF(AND(OR(L406="Résolu",L406="Clos"),R406=""),"Date de résolution manquante",IF(AND(L406="Clos",S406=""),"Date de clôture manquante",IF(AND(K406="Oui",AC406=""),"Classification DORA manquante","OK"))))))</f>
        <v/>
      </c>
      <c r="AO406" s="35" t="str">
        <f aca="false">IF($B406="","",IF(AND(C406="Incident",L406&lt;&gt;"Annulé"),1,0))</f>
        <v/>
      </c>
      <c r="AP406" s="35" t="str">
        <f aca="false">IF($B406="","",IF(AND(C406="Quasi-incident",L406&lt;&gt;"Annulé"),1,0))</f>
        <v/>
      </c>
      <c r="AQ406" s="35" t="str">
        <f aca="false">IF($B406="","",AO406+AP406)</f>
        <v/>
      </c>
      <c r="AR406" s="36" t="str">
        <f aca="false">IF(OR($B406="",J406=""),"",IFERROR(VALUE(LEFT(J406,1)),""))</f>
        <v/>
      </c>
      <c r="AS406" s="35" t="str">
        <f aca="false">IF(OR(AO406&lt;&gt;1,G406=""),"",IFERROR(IF(INDEX(L_SrcInterne,MATCH(G406,L_Sources,0))="Oui",1,0),""))</f>
        <v/>
      </c>
      <c r="AT406" s="37" t="str">
        <f aca="false">IF(AO406&lt;&gt;1,"",IFERROR(ROUND(IF(OR(N406="",O406=""),"",IF(O406&lt;N406,"",ROUND(((NETWORKDAYS(N406,O406,JoursFeries)-1)*(HFer-HOuv)+IF(NETWORKDAYS(O406,O406,JoursFeries),MEDIAN(MOD(O406,1),HFer,HOuv),HFer)-IF(NETWORKDAYS(N406,N406,JoursFeries),MEDIAN(MOD(N406,1),HFer,HOuv),HOuv))*24,4)))/HJour,4),""))</f>
        <v/>
      </c>
      <c r="AU406" s="37" t="str">
        <f aca="false">IF(AO406&lt;&gt;1,"",IF(OR(O406="",P406=""),"",IF(P406&lt;O406,"",ROUND(((NETWORKDAYS(O406,P406,JoursFeries)-1)*(HFer-HOuv)+IF(NETWORKDAYS(P406,P406,JoursFeries),MEDIAN(MOD(P406,1),HFer,HOuv),HFer)-IF(NETWORKDAYS(O406,O406,JoursFeries),MEDIAN(MOD(O406,1),HFer,HOuv),HOuv))*24,4))))</f>
        <v/>
      </c>
      <c r="AV406" s="37" t="str">
        <f aca="false">IF(AO406&lt;&gt;1,"",IF(OR(P406="",Q406=""),"",IF(Q406&lt;P406,"",ROUND(((NETWORKDAYS(P406,Q406,JoursFeries)-1)*(HFer-HOuv)+IF(NETWORKDAYS(Q406,Q406,JoursFeries),MEDIAN(MOD(Q406,1),HFer,HOuv),HFer)-IF(NETWORKDAYS(P406,P406,JoursFeries),MEDIAN(MOD(P406,1),HFer,HOuv),HOuv))*24,4))))</f>
        <v/>
      </c>
      <c r="AW406" s="37" t="str">
        <f aca="false">IF(AO406&lt;&gt;1,"",IFERROR(ROUND(IF(OR(P406="",R406=""),"",IF(R406&lt;P406,"",ROUND(((NETWORKDAYS(P406,R406,JoursFeries)-1)*(HFer-HOuv)+IF(NETWORKDAYS(R406,R406,JoursFeries),MEDIAN(MOD(R406,1),HFer,HOuv),HFer)-IF(NETWORKDAYS(P406,P406,JoursFeries),MEDIAN(MOD(P406,1),HFer,HOuv),HOuv))*24,4)))/HJour,4),""))</f>
        <v/>
      </c>
      <c r="AX406" s="37" t="str">
        <f aca="false">IF(AO406&lt;&gt;1,"",IFERROR(ROUND(IF(OR(P406="",S406=""),"",IF(S406&lt;P406,"",ROUND(((NETWORKDAYS(P406,S406,JoursFeries)-1)*(HFer-HOuv)+IF(NETWORKDAYS(S406,S406,JoursFeries),MEDIAN(MOD(S406,1),HFer,HOuv),HFer)-IF(NETWORKDAYS(P406,P406,JoursFeries),MEDIAN(MOD(P406,1),HFer,HOuv),HOuv))*24,4)))/HJour,4),""))</f>
        <v/>
      </c>
      <c r="AY406" s="36" t="str">
        <f aca="false">IF(OR(AO406&lt;&gt;1,AR406=""),"",INDEX(SLA_PEC,AR406))</f>
        <v/>
      </c>
      <c r="AZ406" s="35" t="str">
        <f aca="false">IF(OR(AV406="",AY406=""),"",IF(AV406&lt;=AY406,1,0))</f>
        <v/>
      </c>
      <c r="BA406" s="36" t="str">
        <f aca="false">IF(OR(AO406&lt;&gt;1,AR406=""),"",INDEX(SLA_RES,AR406))</f>
        <v/>
      </c>
      <c r="BB406" s="35" t="str">
        <f aca="false">IF(OR(AW406="",BA406=""),"",IF(AW406&lt;=BA406,1,0))</f>
        <v/>
      </c>
      <c r="BC406" s="38" t="str">
        <f aca="false">IF(OR(BA406="",P406=""),"",WORKDAY(INT(P406),BA406,JoursFeries)+MOD(P406,1))</f>
        <v/>
      </c>
      <c r="BD406" s="39" t="str">
        <f aca="false">IF(AO406&lt;&gt;1,"",IF(OR(AB406&lt;&gt;"",AD406&lt;&gt;""),4,IF(U406&lt;&gt;"",3,IF(T406&lt;&gt;"",2,1))))</f>
        <v/>
      </c>
      <c r="BE406" s="39" t="str">
        <f aca="false">IF(OR(AO406&lt;&gt;1,AR406=""),"",INDEX(NIV_REQ,AR406))</f>
        <v/>
      </c>
      <c r="BF406" s="39" t="str">
        <f aca="false">IF(BE406="","",MAX(BE406,IF(OR(K406="Oui",Z406="Oui"),4,1)))</f>
        <v/>
      </c>
      <c r="BG406" s="35" t="str">
        <f aca="false">IF(OR(BF406="",BD406=""),"",IF(BD406&gt;=BF406,1,0))</f>
        <v/>
      </c>
      <c r="BH406" s="38" t="str">
        <f aca="false">IF(BE406="","",IF(BE406&lt;2,"",IF(BE406=2,IF(AND(T406="",U406=""),"",MIN(T406,U406)),IF(U406="","",U406))))</f>
        <v/>
      </c>
      <c r="BI406" s="37" t="str">
        <f aca="false">IF(BH406="","",IF(OR(O406="",BH406=""),"",IF(BH406&lt;O406,"",ROUND(((NETWORKDAYS(O406,BH406,JoursFeries)-1)*(HFer-HOuv)+IF(NETWORKDAYS(BH406,BH406,JoursFeries),MEDIAN(MOD(BH406,1),HFer,HOuv),HFer)-IF(NETWORKDAYS(O406,O406,JoursFeries),MEDIAN(MOD(O406,1),HFer,HOuv),HOuv))*24,4))))</f>
        <v/>
      </c>
      <c r="BJ406" s="35" t="str">
        <f aca="false">IF(OR(BI406="",AR406=""),"",IF(BI406&lt;=INDEX(DELAI_ESC,AR406),1,0))</f>
        <v/>
      </c>
      <c r="BK406" s="38" t="str">
        <f aca="false">IF(AO406&lt;&gt;1,"",IF(AND(T406="",U406=""),"",MIN(T406,U406)))</f>
        <v/>
      </c>
      <c r="BL406" s="37" t="str">
        <f aca="false">IF(OR(BK406="",R406=""),"",IFERROR(ROUND(IF(OR(BK406="",R406=""),"",IF(R406&lt;BK406,"",ROUND(((NETWORKDAYS(BK406,R406,JoursFeries)-1)*(HFer-HOuv)+IF(NETWORKDAYS(R406,R406,JoursFeries),MEDIAN(MOD(R406,1),HFer,HOuv),HFer)-IF(NETWORKDAYS(BK406,BK406,JoursFeries),MEDIAN(MOD(BK406,1),HFer,HOuv),HOuv))*24,4)))/HJour,4),""))</f>
        <v/>
      </c>
      <c r="BM406" s="35" t="str">
        <f aca="false">IF(OR(AO406&lt;&gt;1,R406=""),"",IF(BD406=1,1,0))</f>
        <v/>
      </c>
      <c r="BN406" s="35" t="str">
        <f aca="false">IF(AO406&lt;&gt;1,"",IF(W406="Oui",1,0))</f>
        <v/>
      </c>
      <c r="BO406" s="35" t="str">
        <f aca="false">IF(AO406&lt;&gt;1,"",IF(X406&lt;&gt;"",1,0))</f>
        <v/>
      </c>
      <c r="BP406" s="35" t="str">
        <f aca="false">IF(AO406&lt;&gt;1,"",IF(Y406="Oui",1,0))</f>
        <v/>
      </c>
      <c r="BQ406" s="35" t="str">
        <f aca="true">IF(OR(AO406&lt;&gt;1,Z406&lt;&gt;"Oui"),"",IF(AB406="",IF(AND(AA406&lt;&gt;"",NOW()&gt;AA406),0,""),IF(AA406="","",IF(AB406&lt;=AA406,1,0))))</f>
        <v/>
      </c>
      <c r="BR406" s="38" t="str">
        <f aca="false">IF(OR(AO406&lt;&gt;1,K406&lt;&gt;"Oui",O406=""),"",IF(AC406="",O406+DORA_H_DET/24,IF(AC406-O406&lt;=DORA_H_DET/24,MIN(AC406+DORA_H_CLA/24,O406+DORA_H_DET/24),AC406+DORA_H_CLA/24)))</f>
        <v/>
      </c>
      <c r="BS406" s="35" t="str">
        <f aca="true">IF(BR406="","",IF(AD406="",IF(NOW()&gt;BR406,0,""),IF(AD406&lt;=BR406,1,0)))</f>
        <v/>
      </c>
      <c r="BT406" s="35" t="str">
        <f aca="true">IF(OR(BR406="",AD406=""),"",IF(AE406="",IF(NOW()&gt;AD406+DORA_H_INT/24,0,""),IF(AE406&lt;=AD406+DORA_H_INT/24,1,0)))</f>
        <v/>
      </c>
      <c r="BU406" s="35" t="str">
        <f aca="true">IF(OR(BR406="",AE406=""),"",IF(AF406="",IF(NOW()&gt;EDATE(AE406,DORA_M_FIN)+1,0,""),IF(AF406&lt;=EDATE(AE406,DORA_M_FIN),1,0)))</f>
        <v/>
      </c>
      <c r="BV406" s="35" t="str">
        <f aca="false">IF(BR406="","",IF(COUNT(BS406:BU406)=0,"",MIN(BS406:BU406)))</f>
        <v/>
      </c>
      <c r="BW406" s="40" t="str">
        <f aca="false">IF(AQ406&lt;&gt;1,"",IF(AND(AG406="",AH406=""),"",N(AG406)-N(AH406)))</f>
        <v/>
      </c>
      <c r="BX406" s="35" t="str">
        <f aca="true">IF(OR(AQ406&lt;&gt;1,AI406&lt;&gt;"Oui",AJ406=""),"",IF(AK406="",IF(NOW()&gt;AJ406+1,0,""),IF(AK406&lt;=AJ406,1,0)))</f>
        <v/>
      </c>
    </row>
    <row r="407" customFormat="false" ht="15" hidden="false" customHeight="false" outlineLevel="0" collapsed="false">
      <c r="B407" s="29"/>
      <c r="C407" s="29"/>
      <c r="D407" s="29"/>
      <c r="E407" s="29"/>
      <c r="F407" s="29"/>
      <c r="G407" s="29"/>
      <c r="H407" s="29"/>
      <c r="I407" s="29"/>
      <c r="J407" s="29"/>
      <c r="K407" s="29"/>
      <c r="L407" s="29"/>
      <c r="M407" s="29"/>
      <c r="N407" s="30"/>
      <c r="O407" s="30"/>
      <c r="P407" s="30"/>
      <c r="Q407" s="30"/>
      <c r="R407" s="30"/>
      <c r="S407" s="30"/>
      <c r="T407" s="30"/>
      <c r="U407" s="30"/>
      <c r="V407" s="31"/>
      <c r="W407" s="29"/>
      <c r="X407" s="29"/>
      <c r="Y407" s="29"/>
      <c r="Z407" s="29"/>
      <c r="AA407" s="30"/>
      <c r="AB407" s="30"/>
      <c r="AC407" s="30"/>
      <c r="AD407" s="30"/>
      <c r="AE407" s="30"/>
      <c r="AF407" s="32"/>
      <c r="AG407" s="33"/>
      <c r="AH407" s="33"/>
      <c r="AI407" s="29"/>
      <c r="AJ407" s="32"/>
      <c r="AK407" s="32"/>
      <c r="AL407" s="29"/>
      <c r="AN407" s="34" t="str">
        <f aca="false">IF($B407="","",IF(OR(C407="",D407="",E407="",G407="",I407="",J407="",L407="",O407="",P407=""),"Champ obligatoire manquant",IF(OR(AND(N407&lt;&gt;"",N407&gt;O407),O407&gt;P407,AND(Q407&lt;&gt;"",Q407&lt;P407),AND(R407&lt;&gt;"",R407&lt;P407),AND(S407&lt;&gt;"",S407&lt;R407),AND(S407&lt;&gt;"",R407=""),AND(T407&lt;&gt;"",T407&lt;O407),AND(U407&lt;&gt;"",U407&lt;O407)),"Chronologie incohérente",IF(AND(OR(L407="Résolu",L407="Clos"),R407=""),"Date de résolution manquante",IF(AND(L407="Clos",S407=""),"Date de clôture manquante",IF(AND(K407="Oui",AC407=""),"Classification DORA manquante","OK"))))))</f>
        <v/>
      </c>
      <c r="AO407" s="35" t="str">
        <f aca="false">IF($B407="","",IF(AND(C407="Incident",L407&lt;&gt;"Annulé"),1,0))</f>
        <v/>
      </c>
      <c r="AP407" s="35" t="str">
        <f aca="false">IF($B407="","",IF(AND(C407="Quasi-incident",L407&lt;&gt;"Annulé"),1,0))</f>
        <v/>
      </c>
      <c r="AQ407" s="35" t="str">
        <f aca="false">IF($B407="","",AO407+AP407)</f>
        <v/>
      </c>
      <c r="AR407" s="36" t="str">
        <f aca="false">IF(OR($B407="",J407=""),"",IFERROR(VALUE(LEFT(J407,1)),""))</f>
        <v/>
      </c>
      <c r="AS407" s="35" t="str">
        <f aca="false">IF(OR(AO407&lt;&gt;1,G407=""),"",IFERROR(IF(INDEX(L_SrcInterne,MATCH(G407,L_Sources,0))="Oui",1,0),""))</f>
        <v/>
      </c>
      <c r="AT407" s="37" t="str">
        <f aca="false">IF(AO407&lt;&gt;1,"",IFERROR(ROUND(IF(OR(N407="",O407=""),"",IF(O407&lt;N407,"",ROUND(((NETWORKDAYS(N407,O407,JoursFeries)-1)*(HFer-HOuv)+IF(NETWORKDAYS(O407,O407,JoursFeries),MEDIAN(MOD(O407,1),HFer,HOuv),HFer)-IF(NETWORKDAYS(N407,N407,JoursFeries),MEDIAN(MOD(N407,1),HFer,HOuv),HOuv))*24,4)))/HJour,4),""))</f>
        <v/>
      </c>
      <c r="AU407" s="37" t="str">
        <f aca="false">IF(AO407&lt;&gt;1,"",IF(OR(O407="",P407=""),"",IF(P407&lt;O407,"",ROUND(((NETWORKDAYS(O407,P407,JoursFeries)-1)*(HFer-HOuv)+IF(NETWORKDAYS(P407,P407,JoursFeries),MEDIAN(MOD(P407,1),HFer,HOuv),HFer)-IF(NETWORKDAYS(O407,O407,JoursFeries),MEDIAN(MOD(O407,1),HFer,HOuv),HOuv))*24,4))))</f>
        <v/>
      </c>
      <c r="AV407" s="37" t="str">
        <f aca="false">IF(AO407&lt;&gt;1,"",IF(OR(P407="",Q407=""),"",IF(Q407&lt;P407,"",ROUND(((NETWORKDAYS(P407,Q407,JoursFeries)-1)*(HFer-HOuv)+IF(NETWORKDAYS(Q407,Q407,JoursFeries),MEDIAN(MOD(Q407,1),HFer,HOuv),HFer)-IF(NETWORKDAYS(P407,P407,JoursFeries),MEDIAN(MOD(P407,1),HFer,HOuv),HOuv))*24,4))))</f>
        <v/>
      </c>
      <c r="AW407" s="37" t="str">
        <f aca="false">IF(AO407&lt;&gt;1,"",IFERROR(ROUND(IF(OR(P407="",R407=""),"",IF(R407&lt;P407,"",ROUND(((NETWORKDAYS(P407,R407,JoursFeries)-1)*(HFer-HOuv)+IF(NETWORKDAYS(R407,R407,JoursFeries),MEDIAN(MOD(R407,1),HFer,HOuv),HFer)-IF(NETWORKDAYS(P407,P407,JoursFeries),MEDIAN(MOD(P407,1),HFer,HOuv),HOuv))*24,4)))/HJour,4),""))</f>
        <v/>
      </c>
      <c r="AX407" s="37" t="str">
        <f aca="false">IF(AO407&lt;&gt;1,"",IFERROR(ROUND(IF(OR(P407="",S407=""),"",IF(S407&lt;P407,"",ROUND(((NETWORKDAYS(P407,S407,JoursFeries)-1)*(HFer-HOuv)+IF(NETWORKDAYS(S407,S407,JoursFeries),MEDIAN(MOD(S407,1),HFer,HOuv),HFer)-IF(NETWORKDAYS(P407,P407,JoursFeries),MEDIAN(MOD(P407,1),HFer,HOuv),HOuv))*24,4)))/HJour,4),""))</f>
        <v/>
      </c>
      <c r="AY407" s="36" t="str">
        <f aca="false">IF(OR(AO407&lt;&gt;1,AR407=""),"",INDEX(SLA_PEC,AR407))</f>
        <v/>
      </c>
      <c r="AZ407" s="35" t="str">
        <f aca="false">IF(OR(AV407="",AY407=""),"",IF(AV407&lt;=AY407,1,0))</f>
        <v/>
      </c>
      <c r="BA407" s="36" t="str">
        <f aca="false">IF(OR(AO407&lt;&gt;1,AR407=""),"",INDEX(SLA_RES,AR407))</f>
        <v/>
      </c>
      <c r="BB407" s="35" t="str">
        <f aca="false">IF(OR(AW407="",BA407=""),"",IF(AW407&lt;=BA407,1,0))</f>
        <v/>
      </c>
      <c r="BC407" s="38" t="str">
        <f aca="false">IF(OR(BA407="",P407=""),"",WORKDAY(INT(P407),BA407,JoursFeries)+MOD(P407,1))</f>
        <v/>
      </c>
      <c r="BD407" s="39" t="str">
        <f aca="false">IF(AO407&lt;&gt;1,"",IF(OR(AB407&lt;&gt;"",AD407&lt;&gt;""),4,IF(U407&lt;&gt;"",3,IF(T407&lt;&gt;"",2,1))))</f>
        <v/>
      </c>
      <c r="BE407" s="39" t="str">
        <f aca="false">IF(OR(AO407&lt;&gt;1,AR407=""),"",INDEX(NIV_REQ,AR407))</f>
        <v/>
      </c>
      <c r="BF407" s="39" t="str">
        <f aca="false">IF(BE407="","",MAX(BE407,IF(OR(K407="Oui",Z407="Oui"),4,1)))</f>
        <v/>
      </c>
      <c r="BG407" s="35" t="str">
        <f aca="false">IF(OR(BF407="",BD407=""),"",IF(BD407&gt;=BF407,1,0))</f>
        <v/>
      </c>
      <c r="BH407" s="38" t="str">
        <f aca="false">IF(BE407="","",IF(BE407&lt;2,"",IF(BE407=2,IF(AND(T407="",U407=""),"",MIN(T407,U407)),IF(U407="","",U407))))</f>
        <v/>
      </c>
      <c r="BI407" s="37" t="str">
        <f aca="false">IF(BH407="","",IF(OR(O407="",BH407=""),"",IF(BH407&lt;O407,"",ROUND(((NETWORKDAYS(O407,BH407,JoursFeries)-1)*(HFer-HOuv)+IF(NETWORKDAYS(BH407,BH407,JoursFeries),MEDIAN(MOD(BH407,1),HFer,HOuv),HFer)-IF(NETWORKDAYS(O407,O407,JoursFeries),MEDIAN(MOD(O407,1),HFer,HOuv),HOuv))*24,4))))</f>
        <v/>
      </c>
      <c r="BJ407" s="35" t="str">
        <f aca="false">IF(OR(BI407="",AR407=""),"",IF(BI407&lt;=INDEX(DELAI_ESC,AR407),1,0))</f>
        <v/>
      </c>
      <c r="BK407" s="38" t="str">
        <f aca="false">IF(AO407&lt;&gt;1,"",IF(AND(T407="",U407=""),"",MIN(T407,U407)))</f>
        <v/>
      </c>
      <c r="BL407" s="37" t="str">
        <f aca="false">IF(OR(BK407="",R407=""),"",IFERROR(ROUND(IF(OR(BK407="",R407=""),"",IF(R407&lt;BK407,"",ROUND(((NETWORKDAYS(BK407,R407,JoursFeries)-1)*(HFer-HOuv)+IF(NETWORKDAYS(R407,R407,JoursFeries),MEDIAN(MOD(R407,1),HFer,HOuv),HFer)-IF(NETWORKDAYS(BK407,BK407,JoursFeries),MEDIAN(MOD(BK407,1),HFer,HOuv),HOuv))*24,4)))/HJour,4),""))</f>
        <v/>
      </c>
      <c r="BM407" s="35" t="str">
        <f aca="false">IF(OR(AO407&lt;&gt;1,R407=""),"",IF(BD407=1,1,0))</f>
        <v/>
      </c>
      <c r="BN407" s="35" t="str">
        <f aca="false">IF(AO407&lt;&gt;1,"",IF(W407="Oui",1,0))</f>
        <v/>
      </c>
      <c r="BO407" s="35" t="str">
        <f aca="false">IF(AO407&lt;&gt;1,"",IF(X407&lt;&gt;"",1,0))</f>
        <v/>
      </c>
      <c r="BP407" s="35" t="str">
        <f aca="false">IF(AO407&lt;&gt;1,"",IF(Y407="Oui",1,0))</f>
        <v/>
      </c>
      <c r="BQ407" s="35" t="str">
        <f aca="true">IF(OR(AO407&lt;&gt;1,Z407&lt;&gt;"Oui"),"",IF(AB407="",IF(AND(AA407&lt;&gt;"",NOW()&gt;AA407),0,""),IF(AA407="","",IF(AB407&lt;=AA407,1,0))))</f>
        <v/>
      </c>
      <c r="BR407" s="38" t="str">
        <f aca="false">IF(OR(AO407&lt;&gt;1,K407&lt;&gt;"Oui",O407=""),"",IF(AC407="",O407+DORA_H_DET/24,IF(AC407-O407&lt;=DORA_H_DET/24,MIN(AC407+DORA_H_CLA/24,O407+DORA_H_DET/24),AC407+DORA_H_CLA/24)))</f>
        <v/>
      </c>
      <c r="BS407" s="35" t="str">
        <f aca="true">IF(BR407="","",IF(AD407="",IF(NOW()&gt;BR407,0,""),IF(AD407&lt;=BR407,1,0)))</f>
        <v/>
      </c>
      <c r="BT407" s="35" t="str">
        <f aca="true">IF(OR(BR407="",AD407=""),"",IF(AE407="",IF(NOW()&gt;AD407+DORA_H_INT/24,0,""),IF(AE407&lt;=AD407+DORA_H_INT/24,1,0)))</f>
        <v/>
      </c>
      <c r="BU407" s="35" t="str">
        <f aca="true">IF(OR(BR407="",AE407=""),"",IF(AF407="",IF(NOW()&gt;EDATE(AE407,DORA_M_FIN)+1,0,""),IF(AF407&lt;=EDATE(AE407,DORA_M_FIN),1,0)))</f>
        <v/>
      </c>
      <c r="BV407" s="35" t="str">
        <f aca="false">IF(BR407="","",IF(COUNT(BS407:BU407)=0,"",MIN(BS407:BU407)))</f>
        <v/>
      </c>
      <c r="BW407" s="40" t="str">
        <f aca="false">IF(AQ407&lt;&gt;1,"",IF(AND(AG407="",AH407=""),"",N(AG407)-N(AH407)))</f>
        <v/>
      </c>
      <c r="BX407" s="35" t="str">
        <f aca="true">IF(OR(AQ407&lt;&gt;1,AI407&lt;&gt;"Oui",AJ407=""),"",IF(AK407="",IF(NOW()&gt;AJ407+1,0,""),IF(AK407&lt;=AJ407,1,0)))</f>
        <v/>
      </c>
    </row>
    <row r="408" customFormat="false" ht="15" hidden="false" customHeight="false" outlineLevel="0" collapsed="false">
      <c r="B408" s="29"/>
      <c r="C408" s="29"/>
      <c r="D408" s="29"/>
      <c r="E408" s="29"/>
      <c r="F408" s="29"/>
      <c r="G408" s="29"/>
      <c r="H408" s="29"/>
      <c r="I408" s="29"/>
      <c r="J408" s="29"/>
      <c r="K408" s="29"/>
      <c r="L408" s="29"/>
      <c r="M408" s="29"/>
      <c r="N408" s="30"/>
      <c r="O408" s="30"/>
      <c r="P408" s="30"/>
      <c r="Q408" s="30"/>
      <c r="R408" s="30"/>
      <c r="S408" s="30"/>
      <c r="T408" s="30"/>
      <c r="U408" s="30"/>
      <c r="V408" s="31"/>
      <c r="W408" s="29"/>
      <c r="X408" s="29"/>
      <c r="Y408" s="29"/>
      <c r="Z408" s="29"/>
      <c r="AA408" s="30"/>
      <c r="AB408" s="30"/>
      <c r="AC408" s="30"/>
      <c r="AD408" s="30"/>
      <c r="AE408" s="30"/>
      <c r="AF408" s="32"/>
      <c r="AG408" s="33"/>
      <c r="AH408" s="33"/>
      <c r="AI408" s="29"/>
      <c r="AJ408" s="32"/>
      <c r="AK408" s="32"/>
      <c r="AL408" s="29"/>
      <c r="AN408" s="34" t="str">
        <f aca="false">IF($B408="","",IF(OR(C408="",D408="",E408="",G408="",I408="",J408="",L408="",O408="",P408=""),"Champ obligatoire manquant",IF(OR(AND(N408&lt;&gt;"",N408&gt;O408),O408&gt;P408,AND(Q408&lt;&gt;"",Q408&lt;P408),AND(R408&lt;&gt;"",R408&lt;P408),AND(S408&lt;&gt;"",S408&lt;R408),AND(S408&lt;&gt;"",R408=""),AND(T408&lt;&gt;"",T408&lt;O408),AND(U408&lt;&gt;"",U408&lt;O408)),"Chronologie incohérente",IF(AND(OR(L408="Résolu",L408="Clos"),R408=""),"Date de résolution manquante",IF(AND(L408="Clos",S408=""),"Date de clôture manquante",IF(AND(K408="Oui",AC408=""),"Classification DORA manquante","OK"))))))</f>
        <v/>
      </c>
      <c r="AO408" s="35" t="str">
        <f aca="false">IF($B408="","",IF(AND(C408="Incident",L408&lt;&gt;"Annulé"),1,0))</f>
        <v/>
      </c>
      <c r="AP408" s="35" t="str">
        <f aca="false">IF($B408="","",IF(AND(C408="Quasi-incident",L408&lt;&gt;"Annulé"),1,0))</f>
        <v/>
      </c>
      <c r="AQ408" s="35" t="str">
        <f aca="false">IF($B408="","",AO408+AP408)</f>
        <v/>
      </c>
      <c r="AR408" s="36" t="str">
        <f aca="false">IF(OR($B408="",J408=""),"",IFERROR(VALUE(LEFT(J408,1)),""))</f>
        <v/>
      </c>
      <c r="AS408" s="35" t="str">
        <f aca="false">IF(OR(AO408&lt;&gt;1,G408=""),"",IFERROR(IF(INDEX(L_SrcInterne,MATCH(G408,L_Sources,0))="Oui",1,0),""))</f>
        <v/>
      </c>
      <c r="AT408" s="37" t="str">
        <f aca="false">IF(AO408&lt;&gt;1,"",IFERROR(ROUND(IF(OR(N408="",O408=""),"",IF(O408&lt;N408,"",ROUND(((NETWORKDAYS(N408,O408,JoursFeries)-1)*(HFer-HOuv)+IF(NETWORKDAYS(O408,O408,JoursFeries),MEDIAN(MOD(O408,1),HFer,HOuv),HFer)-IF(NETWORKDAYS(N408,N408,JoursFeries),MEDIAN(MOD(N408,1),HFer,HOuv),HOuv))*24,4)))/HJour,4),""))</f>
        <v/>
      </c>
      <c r="AU408" s="37" t="str">
        <f aca="false">IF(AO408&lt;&gt;1,"",IF(OR(O408="",P408=""),"",IF(P408&lt;O408,"",ROUND(((NETWORKDAYS(O408,P408,JoursFeries)-1)*(HFer-HOuv)+IF(NETWORKDAYS(P408,P408,JoursFeries),MEDIAN(MOD(P408,1),HFer,HOuv),HFer)-IF(NETWORKDAYS(O408,O408,JoursFeries),MEDIAN(MOD(O408,1),HFer,HOuv),HOuv))*24,4))))</f>
        <v/>
      </c>
      <c r="AV408" s="37" t="str">
        <f aca="false">IF(AO408&lt;&gt;1,"",IF(OR(P408="",Q408=""),"",IF(Q408&lt;P408,"",ROUND(((NETWORKDAYS(P408,Q408,JoursFeries)-1)*(HFer-HOuv)+IF(NETWORKDAYS(Q408,Q408,JoursFeries),MEDIAN(MOD(Q408,1),HFer,HOuv),HFer)-IF(NETWORKDAYS(P408,P408,JoursFeries),MEDIAN(MOD(P408,1),HFer,HOuv),HOuv))*24,4))))</f>
        <v/>
      </c>
      <c r="AW408" s="37" t="str">
        <f aca="false">IF(AO408&lt;&gt;1,"",IFERROR(ROUND(IF(OR(P408="",R408=""),"",IF(R408&lt;P408,"",ROUND(((NETWORKDAYS(P408,R408,JoursFeries)-1)*(HFer-HOuv)+IF(NETWORKDAYS(R408,R408,JoursFeries),MEDIAN(MOD(R408,1),HFer,HOuv),HFer)-IF(NETWORKDAYS(P408,P408,JoursFeries),MEDIAN(MOD(P408,1),HFer,HOuv),HOuv))*24,4)))/HJour,4),""))</f>
        <v/>
      </c>
      <c r="AX408" s="37" t="str">
        <f aca="false">IF(AO408&lt;&gt;1,"",IFERROR(ROUND(IF(OR(P408="",S408=""),"",IF(S408&lt;P408,"",ROUND(((NETWORKDAYS(P408,S408,JoursFeries)-1)*(HFer-HOuv)+IF(NETWORKDAYS(S408,S408,JoursFeries),MEDIAN(MOD(S408,1),HFer,HOuv),HFer)-IF(NETWORKDAYS(P408,P408,JoursFeries),MEDIAN(MOD(P408,1),HFer,HOuv),HOuv))*24,4)))/HJour,4),""))</f>
        <v/>
      </c>
      <c r="AY408" s="36" t="str">
        <f aca="false">IF(OR(AO408&lt;&gt;1,AR408=""),"",INDEX(SLA_PEC,AR408))</f>
        <v/>
      </c>
      <c r="AZ408" s="35" t="str">
        <f aca="false">IF(OR(AV408="",AY408=""),"",IF(AV408&lt;=AY408,1,0))</f>
        <v/>
      </c>
      <c r="BA408" s="36" t="str">
        <f aca="false">IF(OR(AO408&lt;&gt;1,AR408=""),"",INDEX(SLA_RES,AR408))</f>
        <v/>
      </c>
      <c r="BB408" s="35" t="str">
        <f aca="false">IF(OR(AW408="",BA408=""),"",IF(AW408&lt;=BA408,1,0))</f>
        <v/>
      </c>
      <c r="BC408" s="38" t="str">
        <f aca="false">IF(OR(BA408="",P408=""),"",WORKDAY(INT(P408),BA408,JoursFeries)+MOD(P408,1))</f>
        <v/>
      </c>
      <c r="BD408" s="39" t="str">
        <f aca="false">IF(AO408&lt;&gt;1,"",IF(OR(AB408&lt;&gt;"",AD408&lt;&gt;""),4,IF(U408&lt;&gt;"",3,IF(T408&lt;&gt;"",2,1))))</f>
        <v/>
      </c>
      <c r="BE408" s="39" t="str">
        <f aca="false">IF(OR(AO408&lt;&gt;1,AR408=""),"",INDEX(NIV_REQ,AR408))</f>
        <v/>
      </c>
      <c r="BF408" s="39" t="str">
        <f aca="false">IF(BE408="","",MAX(BE408,IF(OR(K408="Oui",Z408="Oui"),4,1)))</f>
        <v/>
      </c>
      <c r="BG408" s="35" t="str">
        <f aca="false">IF(OR(BF408="",BD408=""),"",IF(BD408&gt;=BF408,1,0))</f>
        <v/>
      </c>
      <c r="BH408" s="38" t="str">
        <f aca="false">IF(BE408="","",IF(BE408&lt;2,"",IF(BE408=2,IF(AND(T408="",U408=""),"",MIN(T408,U408)),IF(U408="","",U408))))</f>
        <v/>
      </c>
      <c r="BI408" s="37" t="str">
        <f aca="false">IF(BH408="","",IF(OR(O408="",BH408=""),"",IF(BH408&lt;O408,"",ROUND(((NETWORKDAYS(O408,BH408,JoursFeries)-1)*(HFer-HOuv)+IF(NETWORKDAYS(BH408,BH408,JoursFeries),MEDIAN(MOD(BH408,1),HFer,HOuv),HFer)-IF(NETWORKDAYS(O408,O408,JoursFeries),MEDIAN(MOD(O408,1),HFer,HOuv),HOuv))*24,4))))</f>
        <v/>
      </c>
      <c r="BJ408" s="35" t="str">
        <f aca="false">IF(OR(BI408="",AR408=""),"",IF(BI408&lt;=INDEX(DELAI_ESC,AR408),1,0))</f>
        <v/>
      </c>
      <c r="BK408" s="38" t="str">
        <f aca="false">IF(AO408&lt;&gt;1,"",IF(AND(T408="",U408=""),"",MIN(T408,U408)))</f>
        <v/>
      </c>
      <c r="BL408" s="37" t="str">
        <f aca="false">IF(OR(BK408="",R408=""),"",IFERROR(ROUND(IF(OR(BK408="",R408=""),"",IF(R408&lt;BK408,"",ROUND(((NETWORKDAYS(BK408,R408,JoursFeries)-1)*(HFer-HOuv)+IF(NETWORKDAYS(R408,R408,JoursFeries),MEDIAN(MOD(R408,1),HFer,HOuv),HFer)-IF(NETWORKDAYS(BK408,BK408,JoursFeries),MEDIAN(MOD(BK408,1),HFer,HOuv),HOuv))*24,4)))/HJour,4),""))</f>
        <v/>
      </c>
      <c r="BM408" s="35" t="str">
        <f aca="false">IF(OR(AO408&lt;&gt;1,R408=""),"",IF(BD408=1,1,0))</f>
        <v/>
      </c>
      <c r="BN408" s="35" t="str">
        <f aca="false">IF(AO408&lt;&gt;1,"",IF(W408="Oui",1,0))</f>
        <v/>
      </c>
      <c r="BO408" s="35" t="str">
        <f aca="false">IF(AO408&lt;&gt;1,"",IF(X408&lt;&gt;"",1,0))</f>
        <v/>
      </c>
      <c r="BP408" s="35" t="str">
        <f aca="false">IF(AO408&lt;&gt;1,"",IF(Y408="Oui",1,0))</f>
        <v/>
      </c>
      <c r="BQ408" s="35" t="str">
        <f aca="true">IF(OR(AO408&lt;&gt;1,Z408&lt;&gt;"Oui"),"",IF(AB408="",IF(AND(AA408&lt;&gt;"",NOW()&gt;AA408),0,""),IF(AA408="","",IF(AB408&lt;=AA408,1,0))))</f>
        <v/>
      </c>
      <c r="BR408" s="38" t="str">
        <f aca="false">IF(OR(AO408&lt;&gt;1,K408&lt;&gt;"Oui",O408=""),"",IF(AC408="",O408+DORA_H_DET/24,IF(AC408-O408&lt;=DORA_H_DET/24,MIN(AC408+DORA_H_CLA/24,O408+DORA_H_DET/24),AC408+DORA_H_CLA/24)))</f>
        <v/>
      </c>
      <c r="BS408" s="35" t="str">
        <f aca="true">IF(BR408="","",IF(AD408="",IF(NOW()&gt;BR408,0,""),IF(AD408&lt;=BR408,1,0)))</f>
        <v/>
      </c>
      <c r="BT408" s="35" t="str">
        <f aca="true">IF(OR(BR408="",AD408=""),"",IF(AE408="",IF(NOW()&gt;AD408+DORA_H_INT/24,0,""),IF(AE408&lt;=AD408+DORA_H_INT/24,1,0)))</f>
        <v/>
      </c>
      <c r="BU408" s="35" t="str">
        <f aca="true">IF(OR(BR408="",AE408=""),"",IF(AF408="",IF(NOW()&gt;EDATE(AE408,DORA_M_FIN)+1,0,""),IF(AF408&lt;=EDATE(AE408,DORA_M_FIN),1,0)))</f>
        <v/>
      </c>
      <c r="BV408" s="35" t="str">
        <f aca="false">IF(BR408="","",IF(COUNT(BS408:BU408)=0,"",MIN(BS408:BU408)))</f>
        <v/>
      </c>
      <c r="BW408" s="40" t="str">
        <f aca="false">IF(AQ408&lt;&gt;1,"",IF(AND(AG408="",AH408=""),"",N(AG408)-N(AH408)))</f>
        <v/>
      </c>
      <c r="BX408" s="35" t="str">
        <f aca="true">IF(OR(AQ408&lt;&gt;1,AI408&lt;&gt;"Oui",AJ408=""),"",IF(AK408="",IF(NOW()&gt;AJ408+1,0,""),IF(AK408&lt;=AJ408,1,0)))</f>
        <v/>
      </c>
    </row>
    <row r="409" customFormat="false" ht="15" hidden="false" customHeight="false" outlineLevel="0" collapsed="false">
      <c r="B409" s="29"/>
      <c r="C409" s="29"/>
      <c r="D409" s="29"/>
      <c r="E409" s="29"/>
      <c r="F409" s="29"/>
      <c r="G409" s="29"/>
      <c r="H409" s="29"/>
      <c r="I409" s="29"/>
      <c r="J409" s="29"/>
      <c r="K409" s="29"/>
      <c r="L409" s="29"/>
      <c r="M409" s="29"/>
      <c r="N409" s="30"/>
      <c r="O409" s="30"/>
      <c r="P409" s="30"/>
      <c r="Q409" s="30"/>
      <c r="R409" s="30"/>
      <c r="S409" s="30"/>
      <c r="T409" s="30"/>
      <c r="U409" s="30"/>
      <c r="V409" s="31"/>
      <c r="W409" s="29"/>
      <c r="X409" s="29"/>
      <c r="Y409" s="29"/>
      <c r="Z409" s="29"/>
      <c r="AA409" s="30"/>
      <c r="AB409" s="30"/>
      <c r="AC409" s="30"/>
      <c r="AD409" s="30"/>
      <c r="AE409" s="30"/>
      <c r="AF409" s="32"/>
      <c r="AG409" s="33"/>
      <c r="AH409" s="33"/>
      <c r="AI409" s="29"/>
      <c r="AJ409" s="32"/>
      <c r="AK409" s="32"/>
      <c r="AL409" s="29"/>
      <c r="AN409" s="34" t="str">
        <f aca="false">IF($B409="","",IF(OR(C409="",D409="",E409="",G409="",I409="",J409="",L409="",O409="",P409=""),"Champ obligatoire manquant",IF(OR(AND(N409&lt;&gt;"",N409&gt;O409),O409&gt;P409,AND(Q409&lt;&gt;"",Q409&lt;P409),AND(R409&lt;&gt;"",R409&lt;P409),AND(S409&lt;&gt;"",S409&lt;R409),AND(S409&lt;&gt;"",R409=""),AND(T409&lt;&gt;"",T409&lt;O409),AND(U409&lt;&gt;"",U409&lt;O409)),"Chronologie incohérente",IF(AND(OR(L409="Résolu",L409="Clos"),R409=""),"Date de résolution manquante",IF(AND(L409="Clos",S409=""),"Date de clôture manquante",IF(AND(K409="Oui",AC409=""),"Classification DORA manquante","OK"))))))</f>
        <v/>
      </c>
      <c r="AO409" s="35" t="str">
        <f aca="false">IF($B409="","",IF(AND(C409="Incident",L409&lt;&gt;"Annulé"),1,0))</f>
        <v/>
      </c>
      <c r="AP409" s="35" t="str">
        <f aca="false">IF($B409="","",IF(AND(C409="Quasi-incident",L409&lt;&gt;"Annulé"),1,0))</f>
        <v/>
      </c>
      <c r="AQ409" s="35" t="str">
        <f aca="false">IF($B409="","",AO409+AP409)</f>
        <v/>
      </c>
      <c r="AR409" s="36" t="str">
        <f aca="false">IF(OR($B409="",J409=""),"",IFERROR(VALUE(LEFT(J409,1)),""))</f>
        <v/>
      </c>
      <c r="AS409" s="35" t="str">
        <f aca="false">IF(OR(AO409&lt;&gt;1,G409=""),"",IFERROR(IF(INDEX(L_SrcInterne,MATCH(G409,L_Sources,0))="Oui",1,0),""))</f>
        <v/>
      </c>
      <c r="AT409" s="37" t="str">
        <f aca="false">IF(AO409&lt;&gt;1,"",IFERROR(ROUND(IF(OR(N409="",O409=""),"",IF(O409&lt;N409,"",ROUND(((NETWORKDAYS(N409,O409,JoursFeries)-1)*(HFer-HOuv)+IF(NETWORKDAYS(O409,O409,JoursFeries),MEDIAN(MOD(O409,1),HFer,HOuv),HFer)-IF(NETWORKDAYS(N409,N409,JoursFeries),MEDIAN(MOD(N409,1),HFer,HOuv),HOuv))*24,4)))/HJour,4),""))</f>
        <v/>
      </c>
      <c r="AU409" s="37" t="str">
        <f aca="false">IF(AO409&lt;&gt;1,"",IF(OR(O409="",P409=""),"",IF(P409&lt;O409,"",ROUND(((NETWORKDAYS(O409,P409,JoursFeries)-1)*(HFer-HOuv)+IF(NETWORKDAYS(P409,P409,JoursFeries),MEDIAN(MOD(P409,1),HFer,HOuv),HFer)-IF(NETWORKDAYS(O409,O409,JoursFeries),MEDIAN(MOD(O409,1),HFer,HOuv),HOuv))*24,4))))</f>
        <v/>
      </c>
      <c r="AV409" s="37" t="str">
        <f aca="false">IF(AO409&lt;&gt;1,"",IF(OR(P409="",Q409=""),"",IF(Q409&lt;P409,"",ROUND(((NETWORKDAYS(P409,Q409,JoursFeries)-1)*(HFer-HOuv)+IF(NETWORKDAYS(Q409,Q409,JoursFeries),MEDIAN(MOD(Q409,1),HFer,HOuv),HFer)-IF(NETWORKDAYS(P409,P409,JoursFeries),MEDIAN(MOD(P409,1),HFer,HOuv),HOuv))*24,4))))</f>
        <v/>
      </c>
      <c r="AW409" s="37" t="str">
        <f aca="false">IF(AO409&lt;&gt;1,"",IFERROR(ROUND(IF(OR(P409="",R409=""),"",IF(R409&lt;P409,"",ROUND(((NETWORKDAYS(P409,R409,JoursFeries)-1)*(HFer-HOuv)+IF(NETWORKDAYS(R409,R409,JoursFeries),MEDIAN(MOD(R409,1),HFer,HOuv),HFer)-IF(NETWORKDAYS(P409,P409,JoursFeries),MEDIAN(MOD(P409,1),HFer,HOuv),HOuv))*24,4)))/HJour,4),""))</f>
        <v/>
      </c>
      <c r="AX409" s="37" t="str">
        <f aca="false">IF(AO409&lt;&gt;1,"",IFERROR(ROUND(IF(OR(P409="",S409=""),"",IF(S409&lt;P409,"",ROUND(((NETWORKDAYS(P409,S409,JoursFeries)-1)*(HFer-HOuv)+IF(NETWORKDAYS(S409,S409,JoursFeries),MEDIAN(MOD(S409,1),HFer,HOuv),HFer)-IF(NETWORKDAYS(P409,P409,JoursFeries),MEDIAN(MOD(P409,1),HFer,HOuv),HOuv))*24,4)))/HJour,4),""))</f>
        <v/>
      </c>
      <c r="AY409" s="36" t="str">
        <f aca="false">IF(OR(AO409&lt;&gt;1,AR409=""),"",INDEX(SLA_PEC,AR409))</f>
        <v/>
      </c>
      <c r="AZ409" s="35" t="str">
        <f aca="false">IF(OR(AV409="",AY409=""),"",IF(AV409&lt;=AY409,1,0))</f>
        <v/>
      </c>
      <c r="BA409" s="36" t="str">
        <f aca="false">IF(OR(AO409&lt;&gt;1,AR409=""),"",INDEX(SLA_RES,AR409))</f>
        <v/>
      </c>
      <c r="BB409" s="35" t="str">
        <f aca="false">IF(OR(AW409="",BA409=""),"",IF(AW409&lt;=BA409,1,0))</f>
        <v/>
      </c>
      <c r="BC409" s="38" t="str">
        <f aca="false">IF(OR(BA409="",P409=""),"",WORKDAY(INT(P409),BA409,JoursFeries)+MOD(P409,1))</f>
        <v/>
      </c>
      <c r="BD409" s="39" t="str">
        <f aca="false">IF(AO409&lt;&gt;1,"",IF(OR(AB409&lt;&gt;"",AD409&lt;&gt;""),4,IF(U409&lt;&gt;"",3,IF(T409&lt;&gt;"",2,1))))</f>
        <v/>
      </c>
      <c r="BE409" s="39" t="str">
        <f aca="false">IF(OR(AO409&lt;&gt;1,AR409=""),"",INDEX(NIV_REQ,AR409))</f>
        <v/>
      </c>
      <c r="BF409" s="39" t="str">
        <f aca="false">IF(BE409="","",MAX(BE409,IF(OR(K409="Oui",Z409="Oui"),4,1)))</f>
        <v/>
      </c>
      <c r="BG409" s="35" t="str">
        <f aca="false">IF(OR(BF409="",BD409=""),"",IF(BD409&gt;=BF409,1,0))</f>
        <v/>
      </c>
      <c r="BH409" s="38" t="str">
        <f aca="false">IF(BE409="","",IF(BE409&lt;2,"",IF(BE409=2,IF(AND(T409="",U409=""),"",MIN(T409,U409)),IF(U409="","",U409))))</f>
        <v/>
      </c>
      <c r="BI409" s="37" t="str">
        <f aca="false">IF(BH409="","",IF(OR(O409="",BH409=""),"",IF(BH409&lt;O409,"",ROUND(((NETWORKDAYS(O409,BH409,JoursFeries)-1)*(HFer-HOuv)+IF(NETWORKDAYS(BH409,BH409,JoursFeries),MEDIAN(MOD(BH409,1),HFer,HOuv),HFer)-IF(NETWORKDAYS(O409,O409,JoursFeries),MEDIAN(MOD(O409,1),HFer,HOuv),HOuv))*24,4))))</f>
        <v/>
      </c>
      <c r="BJ409" s="35" t="str">
        <f aca="false">IF(OR(BI409="",AR409=""),"",IF(BI409&lt;=INDEX(DELAI_ESC,AR409),1,0))</f>
        <v/>
      </c>
      <c r="BK409" s="38" t="str">
        <f aca="false">IF(AO409&lt;&gt;1,"",IF(AND(T409="",U409=""),"",MIN(T409,U409)))</f>
        <v/>
      </c>
      <c r="BL409" s="37" t="str">
        <f aca="false">IF(OR(BK409="",R409=""),"",IFERROR(ROUND(IF(OR(BK409="",R409=""),"",IF(R409&lt;BK409,"",ROUND(((NETWORKDAYS(BK409,R409,JoursFeries)-1)*(HFer-HOuv)+IF(NETWORKDAYS(R409,R409,JoursFeries),MEDIAN(MOD(R409,1),HFer,HOuv),HFer)-IF(NETWORKDAYS(BK409,BK409,JoursFeries),MEDIAN(MOD(BK409,1),HFer,HOuv),HOuv))*24,4)))/HJour,4),""))</f>
        <v/>
      </c>
      <c r="BM409" s="35" t="str">
        <f aca="false">IF(OR(AO409&lt;&gt;1,R409=""),"",IF(BD409=1,1,0))</f>
        <v/>
      </c>
      <c r="BN409" s="35" t="str">
        <f aca="false">IF(AO409&lt;&gt;1,"",IF(W409="Oui",1,0))</f>
        <v/>
      </c>
      <c r="BO409" s="35" t="str">
        <f aca="false">IF(AO409&lt;&gt;1,"",IF(X409&lt;&gt;"",1,0))</f>
        <v/>
      </c>
      <c r="BP409" s="35" t="str">
        <f aca="false">IF(AO409&lt;&gt;1,"",IF(Y409="Oui",1,0))</f>
        <v/>
      </c>
      <c r="BQ409" s="35" t="str">
        <f aca="true">IF(OR(AO409&lt;&gt;1,Z409&lt;&gt;"Oui"),"",IF(AB409="",IF(AND(AA409&lt;&gt;"",NOW()&gt;AA409),0,""),IF(AA409="","",IF(AB409&lt;=AA409,1,0))))</f>
        <v/>
      </c>
      <c r="BR409" s="38" t="str">
        <f aca="false">IF(OR(AO409&lt;&gt;1,K409&lt;&gt;"Oui",O409=""),"",IF(AC409="",O409+DORA_H_DET/24,IF(AC409-O409&lt;=DORA_H_DET/24,MIN(AC409+DORA_H_CLA/24,O409+DORA_H_DET/24),AC409+DORA_H_CLA/24)))</f>
        <v/>
      </c>
      <c r="BS409" s="35" t="str">
        <f aca="true">IF(BR409="","",IF(AD409="",IF(NOW()&gt;BR409,0,""),IF(AD409&lt;=BR409,1,0)))</f>
        <v/>
      </c>
      <c r="BT409" s="35" t="str">
        <f aca="true">IF(OR(BR409="",AD409=""),"",IF(AE409="",IF(NOW()&gt;AD409+DORA_H_INT/24,0,""),IF(AE409&lt;=AD409+DORA_H_INT/24,1,0)))</f>
        <v/>
      </c>
      <c r="BU409" s="35" t="str">
        <f aca="true">IF(OR(BR409="",AE409=""),"",IF(AF409="",IF(NOW()&gt;EDATE(AE409,DORA_M_FIN)+1,0,""),IF(AF409&lt;=EDATE(AE409,DORA_M_FIN),1,0)))</f>
        <v/>
      </c>
      <c r="BV409" s="35" t="str">
        <f aca="false">IF(BR409="","",IF(COUNT(BS409:BU409)=0,"",MIN(BS409:BU409)))</f>
        <v/>
      </c>
      <c r="BW409" s="40" t="str">
        <f aca="false">IF(AQ409&lt;&gt;1,"",IF(AND(AG409="",AH409=""),"",N(AG409)-N(AH409)))</f>
        <v/>
      </c>
      <c r="BX409" s="35" t="str">
        <f aca="true">IF(OR(AQ409&lt;&gt;1,AI409&lt;&gt;"Oui",AJ409=""),"",IF(AK409="",IF(NOW()&gt;AJ409+1,0,""),IF(AK409&lt;=AJ409,1,0)))</f>
        <v/>
      </c>
    </row>
    <row r="410" customFormat="false" ht="15" hidden="false" customHeight="false" outlineLevel="0" collapsed="false">
      <c r="B410" s="29"/>
      <c r="C410" s="29"/>
      <c r="D410" s="29"/>
      <c r="E410" s="29"/>
      <c r="F410" s="29"/>
      <c r="G410" s="29"/>
      <c r="H410" s="29"/>
      <c r="I410" s="29"/>
      <c r="J410" s="29"/>
      <c r="K410" s="29"/>
      <c r="L410" s="29"/>
      <c r="M410" s="29"/>
      <c r="N410" s="30"/>
      <c r="O410" s="30"/>
      <c r="P410" s="30"/>
      <c r="Q410" s="30"/>
      <c r="R410" s="30"/>
      <c r="S410" s="30"/>
      <c r="T410" s="30"/>
      <c r="U410" s="30"/>
      <c r="V410" s="31"/>
      <c r="W410" s="29"/>
      <c r="X410" s="29"/>
      <c r="Y410" s="29"/>
      <c r="Z410" s="29"/>
      <c r="AA410" s="30"/>
      <c r="AB410" s="30"/>
      <c r="AC410" s="30"/>
      <c r="AD410" s="30"/>
      <c r="AE410" s="30"/>
      <c r="AF410" s="32"/>
      <c r="AG410" s="33"/>
      <c r="AH410" s="33"/>
      <c r="AI410" s="29"/>
      <c r="AJ410" s="32"/>
      <c r="AK410" s="32"/>
      <c r="AL410" s="29"/>
      <c r="AN410" s="34" t="str">
        <f aca="false">IF($B410="","",IF(OR(C410="",D410="",E410="",G410="",I410="",J410="",L410="",O410="",P410=""),"Champ obligatoire manquant",IF(OR(AND(N410&lt;&gt;"",N410&gt;O410),O410&gt;P410,AND(Q410&lt;&gt;"",Q410&lt;P410),AND(R410&lt;&gt;"",R410&lt;P410),AND(S410&lt;&gt;"",S410&lt;R410),AND(S410&lt;&gt;"",R410=""),AND(T410&lt;&gt;"",T410&lt;O410),AND(U410&lt;&gt;"",U410&lt;O410)),"Chronologie incohérente",IF(AND(OR(L410="Résolu",L410="Clos"),R410=""),"Date de résolution manquante",IF(AND(L410="Clos",S410=""),"Date de clôture manquante",IF(AND(K410="Oui",AC410=""),"Classification DORA manquante","OK"))))))</f>
        <v/>
      </c>
      <c r="AO410" s="35" t="str">
        <f aca="false">IF($B410="","",IF(AND(C410="Incident",L410&lt;&gt;"Annulé"),1,0))</f>
        <v/>
      </c>
      <c r="AP410" s="35" t="str">
        <f aca="false">IF($B410="","",IF(AND(C410="Quasi-incident",L410&lt;&gt;"Annulé"),1,0))</f>
        <v/>
      </c>
      <c r="AQ410" s="35" t="str">
        <f aca="false">IF($B410="","",AO410+AP410)</f>
        <v/>
      </c>
      <c r="AR410" s="36" t="str">
        <f aca="false">IF(OR($B410="",J410=""),"",IFERROR(VALUE(LEFT(J410,1)),""))</f>
        <v/>
      </c>
      <c r="AS410" s="35" t="str">
        <f aca="false">IF(OR(AO410&lt;&gt;1,G410=""),"",IFERROR(IF(INDEX(L_SrcInterne,MATCH(G410,L_Sources,0))="Oui",1,0),""))</f>
        <v/>
      </c>
      <c r="AT410" s="37" t="str">
        <f aca="false">IF(AO410&lt;&gt;1,"",IFERROR(ROUND(IF(OR(N410="",O410=""),"",IF(O410&lt;N410,"",ROUND(((NETWORKDAYS(N410,O410,JoursFeries)-1)*(HFer-HOuv)+IF(NETWORKDAYS(O410,O410,JoursFeries),MEDIAN(MOD(O410,1),HFer,HOuv),HFer)-IF(NETWORKDAYS(N410,N410,JoursFeries),MEDIAN(MOD(N410,1),HFer,HOuv),HOuv))*24,4)))/HJour,4),""))</f>
        <v/>
      </c>
      <c r="AU410" s="37" t="str">
        <f aca="false">IF(AO410&lt;&gt;1,"",IF(OR(O410="",P410=""),"",IF(P410&lt;O410,"",ROUND(((NETWORKDAYS(O410,P410,JoursFeries)-1)*(HFer-HOuv)+IF(NETWORKDAYS(P410,P410,JoursFeries),MEDIAN(MOD(P410,1),HFer,HOuv),HFer)-IF(NETWORKDAYS(O410,O410,JoursFeries),MEDIAN(MOD(O410,1),HFer,HOuv),HOuv))*24,4))))</f>
        <v/>
      </c>
      <c r="AV410" s="37" t="str">
        <f aca="false">IF(AO410&lt;&gt;1,"",IF(OR(P410="",Q410=""),"",IF(Q410&lt;P410,"",ROUND(((NETWORKDAYS(P410,Q410,JoursFeries)-1)*(HFer-HOuv)+IF(NETWORKDAYS(Q410,Q410,JoursFeries),MEDIAN(MOD(Q410,1),HFer,HOuv),HFer)-IF(NETWORKDAYS(P410,P410,JoursFeries),MEDIAN(MOD(P410,1),HFer,HOuv),HOuv))*24,4))))</f>
        <v/>
      </c>
      <c r="AW410" s="37" t="str">
        <f aca="false">IF(AO410&lt;&gt;1,"",IFERROR(ROUND(IF(OR(P410="",R410=""),"",IF(R410&lt;P410,"",ROUND(((NETWORKDAYS(P410,R410,JoursFeries)-1)*(HFer-HOuv)+IF(NETWORKDAYS(R410,R410,JoursFeries),MEDIAN(MOD(R410,1),HFer,HOuv),HFer)-IF(NETWORKDAYS(P410,P410,JoursFeries),MEDIAN(MOD(P410,1),HFer,HOuv),HOuv))*24,4)))/HJour,4),""))</f>
        <v/>
      </c>
      <c r="AX410" s="37" t="str">
        <f aca="false">IF(AO410&lt;&gt;1,"",IFERROR(ROUND(IF(OR(P410="",S410=""),"",IF(S410&lt;P410,"",ROUND(((NETWORKDAYS(P410,S410,JoursFeries)-1)*(HFer-HOuv)+IF(NETWORKDAYS(S410,S410,JoursFeries),MEDIAN(MOD(S410,1),HFer,HOuv),HFer)-IF(NETWORKDAYS(P410,P410,JoursFeries),MEDIAN(MOD(P410,1),HFer,HOuv),HOuv))*24,4)))/HJour,4),""))</f>
        <v/>
      </c>
      <c r="AY410" s="36" t="str">
        <f aca="false">IF(OR(AO410&lt;&gt;1,AR410=""),"",INDEX(SLA_PEC,AR410))</f>
        <v/>
      </c>
      <c r="AZ410" s="35" t="str">
        <f aca="false">IF(OR(AV410="",AY410=""),"",IF(AV410&lt;=AY410,1,0))</f>
        <v/>
      </c>
      <c r="BA410" s="36" t="str">
        <f aca="false">IF(OR(AO410&lt;&gt;1,AR410=""),"",INDEX(SLA_RES,AR410))</f>
        <v/>
      </c>
      <c r="BB410" s="35" t="str">
        <f aca="false">IF(OR(AW410="",BA410=""),"",IF(AW410&lt;=BA410,1,0))</f>
        <v/>
      </c>
      <c r="BC410" s="38" t="str">
        <f aca="false">IF(OR(BA410="",P410=""),"",WORKDAY(INT(P410),BA410,JoursFeries)+MOD(P410,1))</f>
        <v/>
      </c>
      <c r="BD410" s="39" t="str">
        <f aca="false">IF(AO410&lt;&gt;1,"",IF(OR(AB410&lt;&gt;"",AD410&lt;&gt;""),4,IF(U410&lt;&gt;"",3,IF(T410&lt;&gt;"",2,1))))</f>
        <v/>
      </c>
      <c r="BE410" s="39" t="str">
        <f aca="false">IF(OR(AO410&lt;&gt;1,AR410=""),"",INDEX(NIV_REQ,AR410))</f>
        <v/>
      </c>
      <c r="BF410" s="39" t="str">
        <f aca="false">IF(BE410="","",MAX(BE410,IF(OR(K410="Oui",Z410="Oui"),4,1)))</f>
        <v/>
      </c>
      <c r="BG410" s="35" t="str">
        <f aca="false">IF(OR(BF410="",BD410=""),"",IF(BD410&gt;=BF410,1,0))</f>
        <v/>
      </c>
      <c r="BH410" s="38" t="str">
        <f aca="false">IF(BE410="","",IF(BE410&lt;2,"",IF(BE410=2,IF(AND(T410="",U410=""),"",MIN(T410,U410)),IF(U410="","",U410))))</f>
        <v/>
      </c>
      <c r="BI410" s="37" t="str">
        <f aca="false">IF(BH410="","",IF(OR(O410="",BH410=""),"",IF(BH410&lt;O410,"",ROUND(((NETWORKDAYS(O410,BH410,JoursFeries)-1)*(HFer-HOuv)+IF(NETWORKDAYS(BH410,BH410,JoursFeries),MEDIAN(MOD(BH410,1),HFer,HOuv),HFer)-IF(NETWORKDAYS(O410,O410,JoursFeries),MEDIAN(MOD(O410,1),HFer,HOuv),HOuv))*24,4))))</f>
        <v/>
      </c>
      <c r="BJ410" s="35" t="str">
        <f aca="false">IF(OR(BI410="",AR410=""),"",IF(BI410&lt;=INDEX(DELAI_ESC,AR410),1,0))</f>
        <v/>
      </c>
      <c r="BK410" s="38" t="str">
        <f aca="false">IF(AO410&lt;&gt;1,"",IF(AND(T410="",U410=""),"",MIN(T410,U410)))</f>
        <v/>
      </c>
      <c r="BL410" s="37" t="str">
        <f aca="false">IF(OR(BK410="",R410=""),"",IFERROR(ROUND(IF(OR(BK410="",R410=""),"",IF(R410&lt;BK410,"",ROUND(((NETWORKDAYS(BK410,R410,JoursFeries)-1)*(HFer-HOuv)+IF(NETWORKDAYS(R410,R410,JoursFeries),MEDIAN(MOD(R410,1),HFer,HOuv),HFer)-IF(NETWORKDAYS(BK410,BK410,JoursFeries),MEDIAN(MOD(BK410,1),HFer,HOuv),HOuv))*24,4)))/HJour,4),""))</f>
        <v/>
      </c>
      <c r="BM410" s="35" t="str">
        <f aca="false">IF(OR(AO410&lt;&gt;1,R410=""),"",IF(BD410=1,1,0))</f>
        <v/>
      </c>
      <c r="BN410" s="35" t="str">
        <f aca="false">IF(AO410&lt;&gt;1,"",IF(W410="Oui",1,0))</f>
        <v/>
      </c>
      <c r="BO410" s="35" t="str">
        <f aca="false">IF(AO410&lt;&gt;1,"",IF(X410&lt;&gt;"",1,0))</f>
        <v/>
      </c>
      <c r="BP410" s="35" t="str">
        <f aca="false">IF(AO410&lt;&gt;1,"",IF(Y410="Oui",1,0))</f>
        <v/>
      </c>
      <c r="BQ410" s="35" t="str">
        <f aca="true">IF(OR(AO410&lt;&gt;1,Z410&lt;&gt;"Oui"),"",IF(AB410="",IF(AND(AA410&lt;&gt;"",NOW()&gt;AA410),0,""),IF(AA410="","",IF(AB410&lt;=AA410,1,0))))</f>
        <v/>
      </c>
      <c r="BR410" s="38" t="str">
        <f aca="false">IF(OR(AO410&lt;&gt;1,K410&lt;&gt;"Oui",O410=""),"",IF(AC410="",O410+DORA_H_DET/24,IF(AC410-O410&lt;=DORA_H_DET/24,MIN(AC410+DORA_H_CLA/24,O410+DORA_H_DET/24),AC410+DORA_H_CLA/24)))</f>
        <v/>
      </c>
      <c r="BS410" s="35" t="str">
        <f aca="true">IF(BR410="","",IF(AD410="",IF(NOW()&gt;BR410,0,""),IF(AD410&lt;=BR410,1,0)))</f>
        <v/>
      </c>
      <c r="BT410" s="35" t="str">
        <f aca="true">IF(OR(BR410="",AD410=""),"",IF(AE410="",IF(NOW()&gt;AD410+DORA_H_INT/24,0,""),IF(AE410&lt;=AD410+DORA_H_INT/24,1,0)))</f>
        <v/>
      </c>
      <c r="BU410" s="35" t="str">
        <f aca="true">IF(OR(BR410="",AE410=""),"",IF(AF410="",IF(NOW()&gt;EDATE(AE410,DORA_M_FIN)+1,0,""),IF(AF410&lt;=EDATE(AE410,DORA_M_FIN),1,0)))</f>
        <v/>
      </c>
      <c r="BV410" s="35" t="str">
        <f aca="false">IF(BR410="","",IF(COUNT(BS410:BU410)=0,"",MIN(BS410:BU410)))</f>
        <v/>
      </c>
      <c r="BW410" s="40" t="str">
        <f aca="false">IF(AQ410&lt;&gt;1,"",IF(AND(AG410="",AH410=""),"",N(AG410)-N(AH410)))</f>
        <v/>
      </c>
      <c r="BX410" s="35" t="str">
        <f aca="true">IF(OR(AQ410&lt;&gt;1,AI410&lt;&gt;"Oui",AJ410=""),"",IF(AK410="",IF(NOW()&gt;AJ410+1,0,""),IF(AK410&lt;=AJ410,1,0)))</f>
        <v/>
      </c>
    </row>
    <row r="411" customFormat="false" ht="15" hidden="false" customHeight="false" outlineLevel="0" collapsed="false">
      <c r="B411" s="29"/>
      <c r="C411" s="29"/>
      <c r="D411" s="29"/>
      <c r="E411" s="29"/>
      <c r="F411" s="29"/>
      <c r="G411" s="29"/>
      <c r="H411" s="29"/>
      <c r="I411" s="29"/>
      <c r="J411" s="29"/>
      <c r="K411" s="29"/>
      <c r="L411" s="29"/>
      <c r="M411" s="29"/>
      <c r="N411" s="30"/>
      <c r="O411" s="30"/>
      <c r="P411" s="30"/>
      <c r="Q411" s="30"/>
      <c r="R411" s="30"/>
      <c r="S411" s="30"/>
      <c r="T411" s="30"/>
      <c r="U411" s="30"/>
      <c r="V411" s="31"/>
      <c r="W411" s="29"/>
      <c r="X411" s="29"/>
      <c r="Y411" s="29"/>
      <c r="Z411" s="29"/>
      <c r="AA411" s="30"/>
      <c r="AB411" s="30"/>
      <c r="AC411" s="30"/>
      <c r="AD411" s="30"/>
      <c r="AE411" s="30"/>
      <c r="AF411" s="32"/>
      <c r="AG411" s="33"/>
      <c r="AH411" s="33"/>
      <c r="AI411" s="29"/>
      <c r="AJ411" s="32"/>
      <c r="AK411" s="32"/>
      <c r="AL411" s="29"/>
      <c r="AN411" s="34" t="str">
        <f aca="false">IF($B411="","",IF(OR(C411="",D411="",E411="",G411="",I411="",J411="",L411="",O411="",P411=""),"Champ obligatoire manquant",IF(OR(AND(N411&lt;&gt;"",N411&gt;O411),O411&gt;P411,AND(Q411&lt;&gt;"",Q411&lt;P411),AND(R411&lt;&gt;"",R411&lt;P411),AND(S411&lt;&gt;"",S411&lt;R411),AND(S411&lt;&gt;"",R411=""),AND(T411&lt;&gt;"",T411&lt;O411),AND(U411&lt;&gt;"",U411&lt;O411)),"Chronologie incohérente",IF(AND(OR(L411="Résolu",L411="Clos"),R411=""),"Date de résolution manquante",IF(AND(L411="Clos",S411=""),"Date de clôture manquante",IF(AND(K411="Oui",AC411=""),"Classification DORA manquante","OK"))))))</f>
        <v/>
      </c>
      <c r="AO411" s="35" t="str">
        <f aca="false">IF($B411="","",IF(AND(C411="Incident",L411&lt;&gt;"Annulé"),1,0))</f>
        <v/>
      </c>
      <c r="AP411" s="35" t="str">
        <f aca="false">IF($B411="","",IF(AND(C411="Quasi-incident",L411&lt;&gt;"Annulé"),1,0))</f>
        <v/>
      </c>
      <c r="AQ411" s="35" t="str">
        <f aca="false">IF($B411="","",AO411+AP411)</f>
        <v/>
      </c>
      <c r="AR411" s="36" t="str">
        <f aca="false">IF(OR($B411="",J411=""),"",IFERROR(VALUE(LEFT(J411,1)),""))</f>
        <v/>
      </c>
      <c r="AS411" s="35" t="str">
        <f aca="false">IF(OR(AO411&lt;&gt;1,G411=""),"",IFERROR(IF(INDEX(L_SrcInterne,MATCH(G411,L_Sources,0))="Oui",1,0),""))</f>
        <v/>
      </c>
      <c r="AT411" s="37" t="str">
        <f aca="false">IF(AO411&lt;&gt;1,"",IFERROR(ROUND(IF(OR(N411="",O411=""),"",IF(O411&lt;N411,"",ROUND(((NETWORKDAYS(N411,O411,JoursFeries)-1)*(HFer-HOuv)+IF(NETWORKDAYS(O411,O411,JoursFeries),MEDIAN(MOD(O411,1),HFer,HOuv),HFer)-IF(NETWORKDAYS(N411,N411,JoursFeries),MEDIAN(MOD(N411,1),HFer,HOuv),HOuv))*24,4)))/HJour,4),""))</f>
        <v/>
      </c>
      <c r="AU411" s="37" t="str">
        <f aca="false">IF(AO411&lt;&gt;1,"",IF(OR(O411="",P411=""),"",IF(P411&lt;O411,"",ROUND(((NETWORKDAYS(O411,P411,JoursFeries)-1)*(HFer-HOuv)+IF(NETWORKDAYS(P411,P411,JoursFeries),MEDIAN(MOD(P411,1),HFer,HOuv),HFer)-IF(NETWORKDAYS(O411,O411,JoursFeries),MEDIAN(MOD(O411,1),HFer,HOuv),HOuv))*24,4))))</f>
        <v/>
      </c>
      <c r="AV411" s="37" t="str">
        <f aca="false">IF(AO411&lt;&gt;1,"",IF(OR(P411="",Q411=""),"",IF(Q411&lt;P411,"",ROUND(((NETWORKDAYS(P411,Q411,JoursFeries)-1)*(HFer-HOuv)+IF(NETWORKDAYS(Q411,Q411,JoursFeries),MEDIAN(MOD(Q411,1),HFer,HOuv),HFer)-IF(NETWORKDAYS(P411,P411,JoursFeries),MEDIAN(MOD(P411,1),HFer,HOuv),HOuv))*24,4))))</f>
        <v/>
      </c>
      <c r="AW411" s="37" t="str">
        <f aca="false">IF(AO411&lt;&gt;1,"",IFERROR(ROUND(IF(OR(P411="",R411=""),"",IF(R411&lt;P411,"",ROUND(((NETWORKDAYS(P411,R411,JoursFeries)-1)*(HFer-HOuv)+IF(NETWORKDAYS(R411,R411,JoursFeries),MEDIAN(MOD(R411,1),HFer,HOuv),HFer)-IF(NETWORKDAYS(P411,P411,JoursFeries),MEDIAN(MOD(P411,1),HFer,HOuv),HOuv))*24,4)))/HJour,4),""))</f>
        <v/>
      </c>
      <c r="AX411" s="37" t="str">
        <f aca="false">IF(AO411&lt;&gt;1,"",IFERROR(ROUND(IF(OR(P411="",S411=""),"",IF(S411&lt;P411,"",ROUND(((NETWORKDAYS(P411,S411,JoursFeries)-1)*(HFer-HOuv)+IF(NETWORKDAYS(S411,S411,JoursFeries),MEDIAN(MOD(S411,1),HFer,HOuv),HFer)-IF(NETWORKDAYS(P411,P411,JoursFeries),MEDIAN(MOD(P411,1),HFer,HOuv),HOuv))*24,4)))/HJour,4),""))</f>
        <v/>
      </c>
      <c r="AY411" s="36" t="str">
        <f aca="false">IF(OR(AO411&lt;&gt;1,AR411=""),"",INDEX(SLA_PEC,AR411))</f>
        <v/>
      </c>
      <c r="AZ411" s="35" t="str">
        <f aca="false">IF(OR(AV411="",AY411=""),"",IF(AV411&lt;=AY411,1,0))</f>
        <v/>
      </c>
      <c r="BA411" s="36" t="str">
        <f aca="false">IF(OR(AO411&lt;&gt;1,AR411=""),"",INDEX(SLA_RES,AR411))</f>
        <v/>
      </c>
      <c r="BB411" s="35" t="str">
        <f aca="false">IF(OR(AW411="",BA411=""),"",IF(AW411&lt;=BA411,1,0))</f>
        <v/>
      </c>
      <c r="BC411" s="38" t="str">
        <f aca="false">IF(OR(BA411="",P411=""),"",WORKDAY(INT(P411),BA411,JoursFeries)+MOD(P411,1))</f>
        <v/>
      </c>
      <c r="BD411" s="39" t="str">
        <f aca="false">IF(AO411&lt;&gt;1,"",IF(OR(AB411&lt;&gt;"",AD411&lt;&gt;""),4,IF(U411&lt;&gt;"",3,IF(T411&lt;&gt;"",2,1))))</f>
        <v/>
      </c>
      <c r="BE411" s="39" t="str">
        <f aca="false">IF(OR(AO411&lt;&gt;1,AR411=""),"",INDEX(NIV_REQ,AR411))</f>
        <v/>
      </c>
      <c r="BF411" s="39" t="str">
        <f aca="false">IF(BE411="","",MAX(BE411,IF(OR(K411="Oui",Z411="Oui"),4,1)))</f>
        <v/>
      </c>
      <c r="BG411" s="35" t="str">
        <f aca="false">IF(OR(BF411="",BD411=""),"",IF(BD411&gt;=BF411,1,0))</f>
        <v/>
      </c>
      <c r="BH411" s="38" t="str">
        <f aca="false">IF(BE411="","",IF(BE411&lt;2,"",IF(BE411=2,IF(AND(T411="",U411=""),"",MIN(T411,U411)),IF(U411="","",U411))))</f>
        <v/>
      </c>
      <c r="BI411" s="37" t="str">
        <f aca="false">IF(BH411="","",IF(OR(O411="",BH411=""),"",IF(BH411&lt;O411,"",ROUND(((NETWORKDAYS(O411,BH411,JoursFeries)-1)*(HFer-HOuv)+IF(NETWORKDAYS(BH411,BH411,JoursFeries),MEDIAN(MOD(BH411,1),HFer,HOuv),HFer)-IF(NETWORKDAYS(O411,O411,JoursFeries),MEDIAN(MOD(O411,1),HFer,HOuv),HOuv))*24,4))))</f>
        <v/>
      </c>
      <c r="BJ411" s="35" t="str">
        <f aca="false">IF(OR(BI411="",AR411=""),"",IF(BI411&lt;=INDEX(DELAI_ESC,AR411),1,0))</f>
        <v/>
      </c>
      <c r="BK411" s="38" t="str">
        <f aca="false">IF(AO411&lt;&gt;1,"",IF(AND(T411="",U411=""),"",MIN(T411,U411)))</f>
        <v/>
      </c>
      <c r="BL411" s="37" t="str">
        <f aca="false">IF(OR(BK411="",R411=""),"",IFERROR(ROUND(IF(OR(BK411="",R411=""),"",IF(R411&lt;BK411,"",ROUND(((NETWORKDAYS(BK411,R411,JoursFeries)-1)*(HFer-HOuv)+IF(NETWORKDAYS(R411,R411,JoursFeries),MEDIAN(MOD(R411,1),HFer,HOuv),HFer)-IF(NETWORKDAYS(BK411,BK411,JoursFeries),MEDIAN(MOD(BK411,1),HFer,HOuv),HOuv))*24,4)))/HJour,4),""))</f>
        <v/>
      </c>
      <c r="BM411" s="35" t="str">
        <f aca="false">IF(OR(AO411&lt;&gt;1,R411=""),"",IF(BD411=1,1,0))</f>
        <v/>
      </c>
      <c r="BN411" s="35" t="str">
        <f aca="false">IF(AO411&lt;&gt;1,"",IF(W411="Oui",1,0))</f>
        <v/>
      </c>
      <c r="BO411" s="35" t="str">
        <f aca="false">IF(AO411&lt;&gt;1,"",IF(X411&lt;&gt;"",1,0))</f>
        <v/>
      </c>
      <c r="BP411" s="35" t="str">
        <f aca="false">IF(AO411&lt;&gt;1,"",IF(Y411="Oui",1,0))</f>
        <v/>
      </c>
      <c r="BQ411" s="35" t="str">
        <f aca="true">IF(OR(AO411&lt;&gt;1,Z411&lt;&gt;"Oui"),"",IF(AB411="",IF(AND(AA411&lt;&gt;"",NOW()&gt;AA411),0,""),IF(AA411="","",IF(AB411&lt;=AA411,1,0))))</f>
        <v/>
      </c>
      <c r="BR411" s="38" t="str">
        <f aca="false">IF(OR(AO411&lt;&gt;1,K411&lt;&gt;"Oui",O411=""),"",IF(AC411="",O411+DORA_H_DET/24,IF(AC411-O411&lt;=DORA_H_DET/24,MIN(AC411+DORA_H_CLA/24,O411+DORA_H_DET/24),AC411+DORA_H_CLA/24)))</f>
        <v/>
      </c>
      <c r="BS411" s="35" t="str">
        <f aca="true">IF(BR411="","",IF(AD411="",IF(NOW()&gt;BR411,0,""),IF(AD411&lt;=BR411,1,0)))</f>
        <v/>
      </c>
      <c r="BT411" s="35" t="str">
        <f aca="true">IF(OR(BR411="",AD411=""),"",IF(AE411="",IF(NOW()&gt;AD411+DORA_H_INT/24,0,""),IF(AE411&lt;=AD411+DORA_H_INT/24,1,0)))</f>
        <v/>
      </c>
      <c r="BU411" s="35" t="str">
        <f aca="true">IF(OR(BR411="",AE411=""),"",IF(AF411="",IF(NOW()&gt;EDATE(AE411,DORA_M_FIN)+1,0,""),IF(AF411&lt;=EDATE(AE411,DORA_M_FIN),1,0)))</f>
        <v/>
      </c>
      <c r="BV411" s="35" t="str">
        <f aca="false">IF(BR411="","",IF(COUNT(BS411:BU411)=0,"",MIN(BS411:BU411)))</f>
        <v/>
      </c>
      <c r="BW411" s="40" t="str">
        <f aca="false">IF(AQ411&lt;&gt;1,"",IF(AND(AG411="",AH411=""),"",N(AG411)-N(AH411)))</f>
        <v/>
      </c>
      <c r="BX411" s="35" t="str">
        <f aca="true">IF(OR(AQ411&lt;&gt;1,AI411&lt;&gt;"Oui",AJ411=""),"",IF(AK411="",IF(NOW()&gt;AJ411+1,0,""),IF(AK411&lt;=AJ411,1,0)))</f>
        <v/>
      </c>
    </row>
    <row r="412" customFormat="false" ht="15" hidden="false" customHeight="false" outlineLevel="0" collapsed="false">
      <c r="B412" s="29"/>
      <c r="C412" s="29"/>
      <c r="D412" s="29"/>
      <c r="E412" s="29"/>
      <c r="F412" s="29"/>
      <c r="G412" s="29"/>
      <c r="H412" s="29"/>
      <c r="I412" s="29"/>
      <c r="J412" s="29"/>
      <c r="K412" s="29"/>
      <c r="L412" s="29"/>
      <c r="M412" s="29"/>
      <c r="N412" s="30"/>
      <c r="O412" s="30"/>
      <c r="P412" s="30"/>
      <c r="Q412" s="30"/>
      <c r="R412" s="30"/>
      <c r="S412" s="30"/>
      <c r="T412" s="30"/>
      <c r="U412" s="30"/>
      <c r="V412" s="31"/>
      <c r="W412" s="29"/>
      <c r="X412" s="29"/>
      <c r="Y412" s="29"/>
      <c r="Z412" s="29"/>
      <c r="AA412" s="30"/>
      <c r="AB412" s="30"/>
      <c r="AC412" s="30"/>
      <c r="AD412" s="30"/>
      <c r="AE412" s="30"/>
      <c r="AF412" s="32"/>
      <c r="AG412" s="33"/>
      <c r="AH412" s="33"/>
      <c r="AI412" s="29"/>
      <c r="AJ412" s="32"/>
      <c r="AK412" s="32"/>
      <c r="AL412" s="29"/>
      <c r="AN412" s="34" t="str">
        <f aca="false">IF($B412="","",IF(OR(C412="",D412="",E412="",G412="",I412="",J412="",L412="",O412="",P412=""),"Champ obligatoire manquant",IF(OR(AND(N412&lt;&gt;"",N412&gt;O412),O412&gt;P412,AND(Q412&lt;&gt;"",Q412&lt;P412),AND(R412&lt;&gt;"",R412&lt;P412),AND(S412&lt;&gt;"",S412&lt;R412),AND(S412&lt;&gt;"",R412=""),AND(T412&lt;&gt;"",T412&lt;O412),AND(U412&lt;&gt;"",U412&lt;O412)),"Chronologie incohérente",IF(AND(OR(L412="Résolu",L412="Clos"),R412=""),"Date de résolution manquante",IF(AND(L412="Clos",S412=""),"Date de clôture manquante",IF(AND(K412="Oui",AC412=""),"Classification DORA manquante","OK"))))))</f>
        <v/>
      </c>
      <c r="AO412" s="35" t="str">
        <f aca="false">IF($B412="","",IF(AND(C412="Incident",L412&lt;&gt;"Annulé"),1,0))</f>
        <v/>
      </c>
      <c r="AP412" s="35" t="str">
        <f aca="false">IF($B412="","",IF(AND(C412="Quasi-incident",L412&lt;&gt;"Annulé"),1,0))</f>
        <v/>
      </c>
      <c r="AQ412" s="35" t="str">
        <f aca="false">IF($B412="","",AO412+AP412)</f>
        <v/>
      </c>
      <c r="AR412" s="36" t="str">
        <f aca="false">IF(OR($B412="",J412=""),"",IFERROR(VALUE(LEFT(J412,1)),""))</f>
        <v/>
      </c>
      <c r="AS412" s="35" t="str">
        <f aca="false">IF(OR(AO412&lt;&gt;1,G412=""),"",IFERROR(IF(INDEX(L_SrcInterne,MATCH(G412,L_Sources,0))="Oui",1,0),""))</f>
        <v/>
      </c>
      <c r="AT412" s="37" t="str">
        <f aca="false">IF(AO412&lt;&gt;1,"",IFERROR(ROUND(IF(OR(N412="",O412=""),"",IF(O412&lt;N412,"",ROUND(((NETWORKDAYS(N412,O412,JoursFeries)-1)*(HFer-HOuv)+IF(NETWORKDAYS(O412,O412,JoursFeries),MEDIAN(MOD(O412,1),HFer,HOuv),HFer)-IF(NETWORKDAYS(N412,N412,JoursFeries),MEDIAN(MOD(N412,1),HFer,HOuv),HOuv))*24,4)))/HJour,4),""))</f>
        <v/>
      </c>
      <c r="AU412" s="37" t="str">
        <f aca="false">IF(AO412&lt;&gt;1,"",IF(OR(O412="",P412=""),"",IF(P412&lt;O412,"",ROUND(((NETWORKDAYS(O412,P412,JoursFeries)-1)*(HFer-HOuv)+IF(NETWORKDAYS(P412,P412,JoursFeries),MEDIAN(MOD(P412,1),HFer,HOuv),HFer)-IF(NETWORKDAYS(O412,O412,JoursFeries),MEDIAN(MOD(O412,1),HFer,HOuv),HOuv))*24,4))))</f>
        <v/>
      </c>
      <c r="AV412" s="37" t="str">
        <f aca="false">IF(AO412&lt;&gt;1,"",IF(OR(P412="",Q412=""),"",IF(Q412&lt;P412,"",ROUND(((NETWORKDAYS(P412,Q412,JoursFeries)-1)*(HFer-HOuv)+IF(NETWORKDAYS(Q412,Q412,JoursFeries),MEDIAN(MOD(Q412,1),HFer,HOuv),HFer)-IF(NETWORKDAYS(P412,P412,JoursFeries),MEDIAN(MOD(P412,1),HFer,HOuv),HOuv))*24,4))))</f>
        <v/>
      </c>
      <c r="AW412" s="37" t="str">
        <f aca="false">IF(AO412&lt;&gt;1,"",IFERROR(ROUND(IF(OR(P412="",R412=""),"",IF(R412&lt;P412,"",ROUND(((NETWORKDAYS(P412,R412,JoursFeries)-1)*(HFer-HOuv)+IF(NETWORKDAYS(R412,R412,JoursFeries),MEDIAN(MOD(R412,1),HFer,HOuv),HFer)-IF(NETWORKDAYS(P412,P412,JoursFeries),MEDIAN(MOD(P412,1),HFer,HOuv),HOuv))*24,4)))/HJour,4),""))</f>
        <v/>
      </c>
      <c r="AX412" s="37" t="str">
        <f aca="false">IF(AO412&lt;&gt;1,"",IFERROR(ROUND(IF(OR(P412="",S412=""),"",IF(S412&lt;P412,"",ROUND(((NETWORKDAYS(P412,S412,JoursFeries)-1)*(HFer-HOuv)+IF(NETWORKDAYS(S412,S412,JoursFeries),MEDIAN(MOD(S412,1),HFer,HOuv),HFer)-IF(NETWORKDAYS(P412,P412,JoursFeries),MEDIAN(MOD(P412,1),HFer,HOuv),HOuv))*24,4)))/HJour,4),""))</f>
        <v/>
      </c>
      <c r="AY412" s="36" t="str">
        <f aca="false">IF(OR(AO412&lt;&gt;1,AR412=""),"",INDEX(SLA_PEC,AR412))</f>
        <v/>
      </c>
      <c r="AZ412" s="35" t="str">
        <f aca="false">IF(OR(AV412="",AY412=""),"",IF(AV412&lt;=AY412,1,0))</f>
        <v/>
      </c>
      <c r="BA412" s="36" t="str">
        <f aca="false">IF(OR(AO412&lt;&gt;1,AR412=""),"",INDEX(SLA_RES,AR412))</f>
        <v/>
      </c>
      <c r="BB412" s="35" t="str">
        <f aca="false">IF(OR(AW412="",BA412=""),"",IF(AW412&lt;=BA412,1,0))</f>
        <v/>
      </c>
      <c r="BC412" s="38" t="str">
        <f aca="false">IF(OR(BA412="",P412=""),"",WORKDAY(INT(P412),BA412,JoursFeries)+MOD(P412,1))</f>
        <v/>
      </c>
      <c r="BD412" s="39" t="str">
        <f aca="false">IF(AO412&lt;&gt;1,"",IF(OR(AB412&lt;&gt;"",AD412&lt;&gt;""),4,IF(U412&lt;&gt;"",3,IF(T412&lt;&gt;"",2,1))))</f>
        <v/>
      </c>
      <c r="BE412" s="39" t="str">
        <f aca="false">IF(OR(AO412&lt;&gt;1,AR412=""),"",INDEX(NIV_REQ,AR412))</f>
        <v/>
      </c>
      <c r="BF412" s="39" t="str">
        <f aca="false">IF(BE412="","",MAX(BE412,IF(OR(K412="Oui",Z412="Oui"),4,1)))</f>
        <v/>
      </c>
      <c r="BG412" s="35" t="str">
        <f aca="false">IF(OR(BF412="",BD412=""),"",IF(BD412&gt;=BF412,1,0))</f>
        <v/>
      </c>
      <c r="BH412" s="38" t="str">
        <f aca="false">IF(BE412="","",IF(BE412&lt;2,"",IF(BE412=2,IF(AND(T412="",U412=""),"",MIN(T412,U412)),IF(U412="","",U412))))</f>
        <v/>
      </c>
      <c r="BI412" s="37" t="str">
        <f aca="false">IF(BH412="","",IF(OR(O412="",BH412=""),"",IF(BH412&lt;O412,"",ROUND(((NETWORKDAYS(O412,BH412,JoursFeries)-1)*(HFer-HOuv)+IF(NETWORKDAYS(BH412,BH412,JoursFeries),MEDIAN(MOD(BH412,1),HFer,HOuv),HFer)-IF(NETWORKDAYS(O412,O412,JoursFeries),MEDIAN(MOD(O412,1),HFer,HOuv),HOuv))*24,4))))</f>
        <v/>
      </c>
      <c r="BJ412" s="35" t="str">
        <f aca="false">IF(OR(BI412="",AR412=""),"",IF(BI412&lt;=INDEX(DELAI_ESC,AR412),1,0))</f>
        <v/>
      </c>
      <c r="BK412" s="38" t="str">
        <f aca="false">IF(AO412&lt;&gt;1,"",IF(AND(T412="",U412=""),"",MIN(T412,U412)))</f>
        <v/>
      </c>
      <c r="BL412" s="37" t="str">
        <f aca="false">IF(OR(BK412="",R412=""),"",IFERROR(ROUND(IF(OR(BK412="",R412=""),"",IF(R412&lt;BK412,"",ROUND(((NETWORKDAYS(BK412,R412,JoursFeries)-1)*(HFer-HOuv)+IF(NETWORKDAYS(R412,R412,JoursFeries),MEDIAN(MOD(R412,1),HFer,HOuv),HFer)-IF(NETWORKDAYS(BK412,BK412,JoursFeries),MEDIAN(MOD(BK412,1),HFer,HOuv),HOuv))*24,4)))/HJour,4),""))</f>
        <v/>
      </c>
      <c r="BM412" s="35" t="str">
        <f aca="false">IF(OR(AO412&lt;&gt;1,R412=""),"",IF(BD412=1,1,0))</f>
        <v/>
      </c>
      <c r="BN412" s="35" t="str">
        <f aca="false">IF(AO412&lt;&gt;1,"",IF(W412="Oui",1,0))</f>
        <v/>
      </c>
      <c r="BO412" s="35" t="str">
        <f aca="false">IF(AO412&lt;&gt;1,"",IF(X412&lt;&gt;"",1,0))</f>
        <v/>
      </c>
      <c r="BP412" s="35" t="str">
        <f aca="false">IF(AO412&lt;&gt;1,"",IF(Y412="Oui",1,0))</f>
        <v/>
      </c>
      <c r="BQ412" s="35" t="str">
        <f aca="true">IF(OR(AO412&lt;&gt;1,Z412&lt;&gt;"Oui"),"",IF(AB412="",IF(AND(AA412&lt;&gt;"",NOW()&gt;AA412),0,""),IF(AA412="","",IF(AB412&lt;=AA412,1,0))))</f>
        <v/>
      </c>
      <c r="BR412" s="38" t="str">
        <f aca="false">IF(OR(AO412&lt;&gt;1,K412&lt;&gt;"Oui",O412=""),"",IF(AC412="",O412+DORA_H_DET/24,IF(AC412-O412&lt;=DORA_H_DET/24,MIN(AC412+DORA_H_CLA/24,O412+DORA_H_DET/24),AC412+DORA_H_CLA/24)))</f>
        <v/>
      </c>
      <c r="BS412" s="35" t="str">
        <f aca="true">IF(BR412="","",IF(AD412="",IF(NOW()&gt;BR412,0,""),IF(AD412&lt;=BR412,1,0)))</f>
        <v/>
      </c>
      <c r="BT412" s="35" t="str">
        <f aca="true">IF(OR(BR412="",AD412=""),"",IF(AE412="",IF(NOW()&gt;AD412+DORA_H_INT/24,0,""),IF(AE412&lt;=AD412+DORA_H_INT/24,1,0)))</f>
        <v/>
      </c>
      <c r="BU412" s="35" t="str">
        <f aca="true">IF(OR(BR412="",AE412=""),"",IF(AF412="",IF(NOW()&gt;EDATE(AE412,DORA_M_FIN)+1,0,""),IF(AF412&lt;=EDATE(AE412,DORA_M_FIN),1,0)))</f>
        <v/>
      </c>
      <c r="BV412" s="35" t="str">
        <f aca="false">IF(BR412="","",IF(COUNT(BS412:BU412)=0,"",MIN(BS412:BU412)))</f>
        <v/>
      </c>
      <c r="BW412" s="40" t="str">
        <f aca="false">IF(AQ412&lt;&gt;1,"",IF(AND(AG412="",AH412=""),"",N(AG412)-N(AH412)))</f>
        <v/>
      </c>
      <c r="BX412" s="35" t="str">
        <f aca="true">IF(OR(AQ412&lt;&gt;1,AI412&lt;&gt;"Oui",AJ412=""),"",IF(AK412="",IF(NOW()&gt;AJ412+1,0,""),IF(AK412&lt;=AJ412,1,0)))</f>
        <v/>
      </c>
    </row>
    <row r="413" customFormat="false" ht="15" hidden="false" customHeight="false" outlineLevel="0" collapsed="false">
      <c r="B413" s="29"/>
      <c r="C413" s="29"/>
      <c r="D413" s="29"/>
      <c r="E413" s="29"/>
      <c r="F413" s="29"/>
      <c r="G413" s="29"/>
      <c r="H413" s="29"/>
      <c r="I413" s="29"/>
      <c r="J413" s="29"/>
      <c r="K413" s="29"/>
      <c r="L413" s="29"/>
      <c r="M413" s="29"/>
      <c r="N413" s="30"/>
      <c r="O413" s="30"/>
      <c r="P413" s="30"/>
      <c r="Q413" s="30"/>
      <c r="R413" s="30"/>
      <c r="S413" s="30"/>
      <c r="T413" s="30"/>
      <c r="U413" s="30"/>
      <c r="V413" s="31"/>
      <c r="W413" s="29"/>
      <c r="X413" s="29"/>
      <c r="Y413" s="29"/>
      <c r="Z413" s="29"/>
      <c r="AA413" s="30"/>
      <c r="AB413" s="30"/>
      <c r="AC413" s="30"/>
      <c r="AD413" s="30"/>
      <c r="AE413" s="30"/>
      <c r="AF413" s="32"/>
      <c r="AG413" s="33"/>
      <c r="AH413" s="33"/>
      <c r="AI413" s="29"/>
      <c r="AJ413" s="32"/>
      <c r="AK413" s="32"/>
      <c r="AL413" s="29"/>
      <c r="AN413" s="34" t="str">
        <f aca="false">IF($B413="","",IF(OR(C413="",D413="",E413="",G413="",I413="",J413="",L413="",O413="",P413=""),"Champ obligatoire manquant",IF(OR(AND(N413&lt;&gt;"",N413&gt;O413),O413&gt;P413,AND(Q413&lt;&gt;"",Q413&lt;P413),AND(R413&lt;&gt;"",R413&lt;P413),AND(S413&lt;&gt;"",S413&lt;R413),AND(S413&lt;&gt;"",R413=""),AND(T413&lt;&gt;"",T413&lt;O413),AND(U413&lt;&gt;"",U413&lt;O413)),"Chronologie incohérente",IF(AND(OR(L413="Résolu",L413="Clos"),R413=""),"Date de résolution manquante",IF(AND(L413="Clos",S413=""),"Date de clôture manquante",IF(AND(K413="Oui",AC413=""),"Classification DORA manquante","OK"))))))</f>
        <v/>
      </c>
      <c r="AO413" s="35" t="str">
        <f aca="false">IF($B413="","",IF(AND(C413="Incident",L413&lt;&gt;"Annulé"),1,0))</f>
        <v/>
      </c>
      <c r="AP413" s="35" t="str">
        <f aca="false">IF($B413="","",IF(AND(C413="Quasi-incident",L413&lt;&gt;"Annulé"),1,0))</f>
        <v/>
      </c>
      <c r="AQ413" s="35" t="str">
        <f aca="false">IF($B413="","",AO413+AP413)</f>
        <v/>
      </c>
      <c r="AR413" s="36" t="str">
        <f aca="false">IF(OR($B413="",J413=""),"",IFERROR(VALUE(LEFT(J413,1)),""))</f>
        <v/>
      </c>
      <c r="AS413" s="35" t="str">
        <f aca="false">IF(OR(AO413&lt;&gt;1,G413=""),"",IFERROR(IF(INDEX(L_SrcInterne,MATCH(G413,L_Sources,0))="Oui",1,0),""))</f>
        <v/>
      </c>
      <c r="AT413" s="37" t="str">
        <f aca="false">IF(AO413&lt;&gt;1,"",IFERROR(ROUND(IF(OR(N413="",O413=""),"",IF(O413&lt;N413,"",ROUND(((NETWORKDAYS(N413,O413,JoursFeries)-1)*(HFer-HOuv)+IF(NETWORKDAYS(O413,O413,JoursFeries),MEDIAN(MOD(O413,1),HFer,HOuv),HFer)-IF(NETWORKDAYS(N413,N413,JoursFeries),MEDIAN(MOD(N413,1),HFer,HOuv),HOuv))*24,4)))/HJour,4),""))</f>
        <v/>
      </c>
      <c r="AU413" s="37" t="str">
        <f aca="false">IF(AO413&lt;&gt;1,"",IF(OR(O413="",P413=""),"",IF(P413&lt;O413,"",ROUND(((NETWORKDAYS(O413,P413,JoursFeries)-1)*(HFer-HOuv)+IF(NETWORKDAYS(P413,P413,JoursFeries),MEDIAN(MOD(P413,1),HFer,HOuv),HFer)-IF(NETWORKDAYS(O413,O413,JoursFeries),MEDIAN(MOD(O413,1),HFer,HOuv),HOuv))*24,4))))</f>
        <v/>
      </c>
      <c r="AV413" s="37" t="str">
        <f aca="false">IF(AO413&lt;&gt;1,"",IF(OR(P413="",Q413=""),"",IF(Q413&lt;P413,"",ROUND(((NETWORKDAYS(P413,Q413,JoursFeries)-1)*(HFer-HOuv)+IF(NETWORKDAYS(Q413,Q413,JoursFeries),MEDIAN(MOD(Q413,1),HFer,HOuv),HFer)-IF(NETWORKDAYS(P413,P413,JoursFeries),MEDIAN(MOD(P413,1),HFer,HOuv),HOuv))*24,4))))</f>
        <v/>
      </c>
      <c r="AW413" s="37" t="str">
        <f aca="false">IF(AO413&lt;&gt;1,"",IFERROR(ROUND(IF(OR(P413="",R413=""),"",IF(R413&lt;P413,"",ROUND(((NETWORKDAYS(P413,R413,JoursFeries)-1)*(HFer-HOuv)+IF(NETWORKDAYS(R413,R413,JoursFeries),MEDIAN(MOD(R413,1),HFer,HOuv),HFer)-IF(NETWORKDAYS(P413,P413,JoursFeries),MEDIAN(MOD(P413,1),HFer,HOuv),HOuv))*24,4)))/HJour,4),""))</f>
        <v/>
      </c>
      <c r="AX413" s="37" t="str">
        <f aca="false">IF(AO413&lt;&gt;1,"",IFERROR(ROUND(IF(OR(P413="",S413=""),"",IF(S413&lt;P413,"",ROUND(((NETWORKDAYS(P413,S413,JoursFeries)-1)*(HFer-HOuv)+IF(NETWORKDAYS(S413,S413,JoursFeries),MEDIAN(MOD(S413,1),HFer,HOuv),HFer)-IF(NETWORKDAYS(P413,P413,JoursFeries),MEDIAN(MOD(P413,1),HFer,HOuv),HOuv))*24,4)))/HJour,4),""))</f>
        <v/>
      </c>
      <c r="AY413" s="36" t="str">
        <f aca="false">IF(OR(AO413&lt;&gt;1,AR413=""),"",INDEX(SLA_PEC,AR413))</f>
        <v/>
      </c>
      <c r="AZ413" s="35" t="str">
        <f aca="false">IF(OR(AV413="",AY413=""),"",IF(AV413&lt;=AY413,1,0))</f>
        <v/>
      </c>
      <c r="BA413" s="36" t="str">
        <f aca="false">IF(OR(AO413&lt;&gt;1,AR413=""),"",INDEX(SLA_RES,AR413))</f>
        <v/>
      </c>
      <c r="BB413" s="35" t="str">
        <f aca="false">IF(OR(AW413="",BA413=""),"",IF(AW413&lt;=BA413,1,0))</f>
        <v/>
      </c>
      <c r="BC413" s="38" t="str">
        <f aca="false">IF(OR(BA413="",P413=""),"",WORKDAY(INT(P413),BA413,JoursFeries)+MOD(P413,1))</f>
        <v/>
      </c>
      <c r="BD413" s="39" t="str">
        <f aca="false">IF(AO413&lt;&gt;1,"",IF(OR(AB413&lt;&gt;"",AD413&lt;&gt;""),4,IF(U413&lt;&gt;"",3,IF(T413&lt;&gt;"",2,1))))</f>
        <v/>
      </c>
      <c r="BE413" s="39" t="str">
        <f aca="false">IF(OR(AO413&lt;&gt;1,AR413=""),"",INDEX(NIV_REQ,AR413))</f>
        <v/>
      </c>
      <c r="BF413" s="39" t="str">
        <f aca="false">IF(BE413="","",MAX(BE413,IF(OR(K413="Oui",Z413="Oui"),4,1)))</f>
        <v/>
      </c>
      <c r="BG413" s="35" t="str">
        <f aca="false">IF(OR(BF413="",BD413=""),"",IF(BD413&gt;=BF413,1,0))</f>
        <v/>
      </c>
      <c r="BH413" s="38" t="str">
        <f aca="false">IF(BE413="","",IF(BE413&lt;2,"",IF(BE413=2,IF(AND(T413="",U413=""),"",MIN(T413,U413)),IF(U413="","",U413))))</f>
        <v/>
      </c>
      <c r="BI413" s="37" t="str">
        <f aca="false">IF(BH413="","",IF(OR(O413="",BH413=""),"",IF(BH413&lt;O413,"",ROUND(((NETWORKDAYS(O413,BH413,JoursFeries)-1)*(HFer-HOuv)+IF(NETWORKDAYS(BH413,BH413,JoursFeries),MEDIAN(MOD(BH413,1),HFer,HOuv),HFer)-IF(NETWORKDAYS(O413,O413,JoursFeries),MEDIAN(MOD(O413,1),HFer,HOuv),HOuv))*24,4))))</f>
        <v/>
      </c>
      <c r="BJ413" s="35" t="str">
        <f aca="false">IF(OR(BI413="",AR413=""),"",IF(BI413&lt;=INDEX(DELAI_ESC,AR413),1,0))</f>
        <v/>
      </c>
      <c r="BK413" s="38" t="str">
        <f aca="false">IF(AO413&lt;&gt;1,"",IF(AND(T413="",U413=""),"",MIN(T413,U413)))</f>
        <v/>
      </c>
      <c r="BL413" s="37" t="str">
        <f aca="false">IF(OR(BK413="",R413=""),"",IFERROR(ROUND(IF(OR(BK413="",R413=""),"",IF(R413&lt;BK413,"",ROUND(((NETWORKDAYS(BK413,R413,JoursFeries)-1)*(HFer-HOuv)+IF(NETWORKDAYS(R413,R413,JoursFeries),MEDIAN(MOD(R413,1),HFer,HOuv),HFer)-IF(NETWORKDAYS(BK413,BK413,JoursFeries),MEDIAN(MOD(BK413,1),HFer,HOuv),HOuv))*24,4)))/HJour,4),""))</f>
        <v/>
      </c>
      <c r="BM413" s="35" t="str">
        <f aca="false">IF(OR(AO413&lt;&gt;1,R413=""),"",IF(BD413=1,1,0))</f>
        <v/>
      </c>
      <c r="BN413" s="35" t="str">
        <f aca="false">IF(AO413&lt;&gt;1,"",IF(W413="Oui",1,0))</f>
        <v/>
      </c>
      <c r="BO413" s="35" t="str">
        <f aca="false">IF(AO413&lt;&gt;1,"",IF(X413&lt;&gt;"",1,0))</f>
        <v/>
      </c>
      <c r="BP413" s="35" t="str">
        <f aca="false">IF(AO413&lt;&gt;1,"",IF(Y413="Oui",1,0))</f>
        <v/>
      </c>
      <c r="BQ413" s="35" t="str">
        <f aca="true">IF(OR(AO413&lt;&gt;1,Z413&lt;&gt;"Oui"),"",IF(AB413="",IF(AND(AA413&lt;&gt;"",NOW()&gt;AA413),0,""),IF(AA413="","",IF(AB413&lt;=AA413,1,0))))</f>
        <v/>
      </c>
      <c r="BR413" s="38" t="str">
        <f aca="false">IF(OR(AO413&lt;&gt;1,K413&lt;&gt;"Oui",O413=""),"",IF(AC413="",O413+DORA_H_DET/24,IF(AC413-O413&lt;=DORA_H_DET/24,MIN(AC413+DORA_H_CLA/24,O413+DORA_H_DET/24),AC413+DORA_H_CLA/24)))</f>
        <v/>
      </c>
      <c r="BS413" s="35" t="str">
        <f aca="true">IF(BR413="","",IF(AD413="",IF(NOW()&gt;BR413,0,""),IF(AD413&lt;=BR413,1,0)))</f>
        <v/>
      </c>
      <c r="BT413" s="35" t="str">
        <f aca="true">IF(OR(BR413="",AD413=""),"",IF(AE413="",IF(NOW()&gt;AD413+DORA_H_INT/24,0,""),IF(AE413&lt;=AD413+DORA_H_INT/24,1,0)))</f>
        <v/>
      </c>
      <c r="BU413" s="35" t="str">
        <f aca="true">IF(OR(BR413="",AE413=""),"",IF(AF413="",IF(NOW()&gt;EDATE(AE413,DORA_M_FIN)+1,0,""),IF(AF413&lt;=EDATE(AE413,DORA_M_FIN),1,0)))</f>
        <v/>
      </c>
      <c r="BV413" s="35" t="str">
        <f aca="false">IF(BR413="","",IF(COUNT(BS413:BU413)=0,"",MIN(BS413:BU413)))</f>
        <v/>
      </c>
      <c r="BW413" s="40" t="str">
        <f aca="false">IF(AQ413&lt;&gt;1,"",IF(AND(AG413="",AH413=""),"",N(AG413)-N(AH413)))</f>
        <v/>
      </c>
      <c r="BX413" s="35" t="str">
        <f aca="true">IF(OR(AQ413&lt;&gt;1,AI413&lt;&gt;"Oui",AJ413=""),"",IF(AK413="",IF(NOW()&gt;AJ413+1,0,""),IF(AK413&lt;=AJ413,1,0)))</f>
        <v/>
      </c>
    </row>
    <row r="414" customFormat="false" ht="15" hidden="false" customHeight="false" outlineLevel="0" collapsed="false">
      <c r="B414" s="29"/>
      <c r="C414" s="29"/>
      <c r="D414" s="29"/>
      <c r="E414" s="29"/>
      <c r="F414" s="29"/>
      <c r="G414" s="29"/>
      <c r="H414" s="29"/>
      <c r="I414" s="29"/>
      <c r="J414" s="29"/>
      <c r="K414" s="29"/>
      <c r="L414" s="29"/>
      <c r="M414" s="29"/>
      <c r="N414" s="30"/>
      <c r="O414" s="30"/>
      <c r="P414" s="30"/>
      <c r="Q414" s="30"/>
      <c r="R414" s="30"/>
      <c r="S414" s="30"/>
      <c r="T414" s="30"/>
      <c r="U414" s="30"/>
      <c r="V414" s="31"/>
      <c r="W414" s="29"/>
      <c r="X414" s="29"/>
      <c r="Y414" s="29"/>
      <c r="Z414" s="29"/>
      <c r="AA414" s="30"/>
      <c r="AB414" s="30"/>
      <c r="AC414" s="30"/>
      <c r="AD414" s="30"/>
      <c r="AE414" s="30"/>
      <c r="AF414" s="32"/>
      <c r="AG414" s="33"/>
      <c r="AH414" s="33"/>
      <c r="AI414" s="29"/>
      <c r="AJ414" s="32"/>
      <c r="AK414" s="32"/>
      <c r="AL414" s="29"/>
      <c r="AN414" s="34" t="str">
        <f aca="false">IF($B414="","",IF(OR(C414="",D414="",E414="",G414="",I414="",J414="",L414="",O414="",P414=""),"Champ obligatoire manquant",IF(OR(AND(N414&lt;&gt;"",N414&gt;O414),O414&gt;P414,AND(Q414&lt;&gt;"",Q414&lt;P414),AND(R414&lt;&gt;"",R414&lt;P414),AND(S414&lt;&gt;"",S414&lt;R414),AND(S414&lt;&gt;"",R414=""),AND(T414&lt;&gt;"",T414&lt;O414),AND(U414&lt;&gt;"",U414&lt;O414)),"Chronologie incohérente",IF(AND(OR(L414="Résolu",L414="Clos"),R414=""),"Date de résolution manquante",IF(AND(L414="Clos",S414=""),"Date de clôture manquante",IF(AND(K414="Oui",AC414=""),"Classification DORA manquante","OK"))))))</f>
        <v/>
      </c>
      <c r="AO414" s="35" t="str">
        <f aca="false">IF($B414="","",IF(AND(C414="Incident",L414&lt;&gt;"Annulé"),1,0))</f>
        <v/>
      </c>
      <c r="AP414" s="35" t="str">
        <f aca="false">IF($B414="","",IF(AND(C414="Quasi-incident",L414&lt;&gt;"Annulé"),1,0))</f>
        <v/>
      </c>
      <c r="AQ414" s="35" t="str">
        <f aca="false">IF($B414="","",AO414+AP414)</f>
        <v/>
      </c>
      <c r="AR414" s="36" t="str">
        <f aca="false">IF(OR($B414="",J414=""),"",IFERROR(VALUE(LEFT(J414,1)),""))</f>
        <v/>
      </c>
      <c r="AS414" s="35" t="str">
        <f aca="false">IF(OR(AO414&lt;&gt;1,G414=""),"",IFERROR(IF(INDEX(L_SrcInterne,MATCH(G414,L_Sources,0))="Oui",1,0),""))</f>
        <v/>
      </c>
      <c r="AT414" s="37" t="str">
        <f aca="false">IF(AO414&lt;&gt;1,"",IFERROR(ROUND(IF(OR(N414="",O414=""),"",IF(O414&lt;N414,"",ROUND(((NETWORKDAYS(N414,O414,JoursFeries)-1)*(HFer-HOuv)+IF(NETWORKDAYS(O414,O414,JoursFeries),MEDIAN(MOD(O414,1),HFer,HOuv),HFer)-IF(NETWORKDAYS(N414,N414,JoursFeries),MEDIAN(MOD(N414,1),HFer,HOuv),HOuv))*24,4)))/HJour,4),""))</f>
        <v/>
      </c>
      <c r="AU414" s="37" t="str">
        <f aca="false">IF(AO414&lt;&gt;1,"",IF(OR(O414="",P414=""),"",IF(P414&lt;O414,"",ROUND(((NETWORKDAYS(O414,P414,JoursFeries)-1)*(HFer-HOuv)+IF(NETWORKDAYS(P414,P414,JoursFeries),MEDIAN(MOD(P414,1),HFer,HOuv),HFer)-IF(NETWORKDAYS(O414,O414,JoursFeries),MEDIAN(MOD(O414,1),HFer,HOuv),HOuv))*24,4))))</f>
        <v/>
      </c>
      <c r="AV414" s="37" t="str">
        <f aca="false">IF(AO414&lt;&gt;1,"",IF(OR(P414="",Q414=""),"",IF(Q414&lt;P414,"",ROUND(((NETWORKDAYS(P414,Q414,JoursFeries)-1)*(HFer-HOuv)+IF(NETWORKDAYS(Q414,Q414,JoursFeries),MEDIAN(MOD(Q414,1),HFer,HOuv),HFer)-IF(NETWORKDAYS(P414,P414,JoursFeries),MEDIAN(MOD(P414,1),HFer,HOuv),HOuv))*24,4))))</f>
        <v/>
      </c>
      <c r="AW414" s="37" t="str">
        <f aca="false">IF(AO414&lt;&gt;1,"",IFERROR(ROUND(IF(OR(P414="",R414=""),"",IF(R414&lt;P414,"",ROUND(((NETWORKDAYS(P414,R414,JoursFeries)-1)*(HFer-HOuv)+IF(NETWORKDAYS(R414,R414,JoursFeries),MEDIAN(MOD(R414,1),HFer,HOuv),HFer)-IF(NETWORKDAYS(P414,P414,JoursFeries),MEDIAN(MOD(P414,1),HFer,HOuv),HOuv))*24,4)))/HJour,4),""))</f>
        <v/>
      </c>
      <c r="AX414" s="37" t="str">
        <f aca="false">IF(AO414&lt;&gt;1,"",IFERROR(ROUND(IF(OR(P414="",S414=""),"",IF(S414&lt;P414,"",ROUND(((NETWORKDAYS(P414,S414,JoursFeries)-1)*(HFer-HOuv)+IF(NETWORKDAYS(S414,S414,JoursFeries),MEDIAN(MOD(S414,1),HFer,HOuv),HFer)-IF(NETWORKDAYS(P414,P414,JoursFeries),MEDIAN(MOD(P414,1),HFer,HOuv),HOuv))*24,4)))/HJour,4),""))</f>
        <v/>
      </c>
      <c r="AY414" s="36" t="str">
        <f aca="false">IF(OR(AO414&lt;&gt;1,AR414=""),"",INDEX(SLA_PEC,AR414))</f>
        <v/>
      </c>
      <c r="AZ414" s="35" t="str">
        <f aca="false">IF(OR(AV414="",AY414=""),"",IF(AV414&lt;=AY414,1,0))</f>
        <v/>
      </c>
      <c r="BA414" s="36" t="str">
        <f aca="false">IF(OR(AO414&lt;&gt;1,AR414=""),"",INDEX(SLA_RES,AR414))</f>
        <v/>
      </c>
      <c r="BB414" s="35" t="str">
        <f aca="false">IF(OR(AW414="",BA414=""),"",IF(AW414&lt;=BA414,1,0))</f>
        <v/>
      </c>
      <c r="BC414" s="38" t="str">
        <f aca="false">IF(OR(BA414="",P414=""),"",WORKDAY(INT(P414),BA414,JoursFeries)+MOD(P414,1))</f>
        <v/>
      </c>
      <c r="BD414" s="39" t="str">
        <f aca="false">IF(AO414&lt;&gt;1,"",IF(OR(AB414&lt;&gt;"",AD414&lt;&gt;""),4,IF(U414&lt;&gt;"",3,IF(T414&lt;&gt;"",2,1))))</f>
        <v/>
      </c>
      <c r="BE414" s="39" t="str">
        <f aca="false">IF(OR(AO414&lt;&gt;1,AR414=""),"",INDEX(NIV_REQ,AR414))</f>
        <v/>
      </c>
      <c r="BF414" s="39" t="str">
        <f aca="false">IF(BE414="","",MAX(BE414,IF(OR(K414="Oui",Z414="Oui"),4,1)))</f>
        <v/>
      </c>
      <c r="BG414" s="35" t="str">
        <f aca="false">IF(OR(BF414="",BD414=""),"",IF(BD414&gt;=BF414,1,0))</f>
        <v/>
      </c>
      <c r="BH414" s="38" t="str">
        <f aca="false">IF(BE414="","",IF(BE414&lt;2,"",IF(BE414=2,IF(AND(T414="",U414=""),"",MIN(T414,U414)),IF(U414="","",U414))))</f>
        <v/>
      </c>
      <c r="BI414" s="37" t="str">
        <f aca="false">IF(BH414="","",IF(OR(O414="",BH414=""),"",IF(BH414&lt;O414,"",ROUND(((NETWORKDAYS(O414,BH414,JoursFeries)-1)*(HFer-HOuv)+IF(NETWORKDAYS(BH414,BH414,JoursFeries),MEDIAN(MOD(BH414,1),HFer,HOuv),HFer)-IF(NETWORKDAYS(O414,O414,JoursFeries),MEDIAN(MOD(O414,1),HFer,HOuv),HOuv))*24,4))))</f>
        <v/>
      </c>
      <c r="BJ414" s="35" t="str">
        <f aca="false">IF(OR(BI414="",AR414=""),"",IF(BI414&lt;=INDEX(DELAI_ESC,AR414),1,0))</f>
        <v/>
      </c>
      <c r="BK414" s="38" t="str">
        <f aca="false">IF(AO414&lt;&gt;1,"",IF(AND(T414="",U414=""),"",MIN(T414,U414)))</f>
        <v/>
      </c>
      <c r="BL414" s="37" t="str">
        <f aca="false">IF(OR(BK414="",R414=""),"",IFERROR(ROUND(IF(OR(BK414="",R414=""),"",IF(R414&lt;BK414,"",ROUND(((NETWORKDAYS(BK414,R414,JoursFeries)-1)*(HFer-HOuv)+IF(NETWORKDAYS(R414,R414,JoursFeries),MEDIAN(MOD(R414,1),HFer,HOuv),HFer)-IF(NETWORKDAYS(BK414,BK414,JoursFeries),MEDIAN(MOD(BK414,1),HFer,HOuv),HOuv))*24,4)))/HJour,4),""))</f>
        <v/>
      </c>
      <c r="BM414" s="35" t="str">
        <f aca="false">IF(OR(AO414&lt;&gt;1,R414=""),"",IF(BD414=1,1,0))</f>
        <v/>
      </c>
      <c r="BN414" s="35" t="str">
        <f aca="false">IF(AO414&lt;&gt;1,"",IF(W414="Oui",1,0))</f>
        <v/>
      </c>
      <c r="BO414" s="35" t="str">
        <f aca="false">IF(AO414&lt;&gt;1,"",IF(X414&lt;&gt;"",1,0))</f>
        <v/>
      </c>
      <c r="BP414" s="35" t="str">
        <f aca="false">IF(AO414&lt;&gt;1,"",IF(Y414="Oui",1,0))</f>
        <v/>
      </c>
      <c r="BQ414" s="35" t="str">
        <f aca="true">IF(OR(AO414&lt;&gt;1,Z414&lt;&gt;"Oui"),"",IF(AB414="",IF(AND(AA414&lt;&gt;"",NOW()&gt;AA414),0,""),IF(AA414="","",IF(AB414&lt;=AA414,1,0))))</f>
        <v/>
      </c>
      <c r="BR414" s="38" t="str">
        <f aca="false">IF(OR(AO414&lt;&gt;1,K414&lt;&gt;"Oui",O414=""),"",IF(AC414="",O414+DORA_H_DET/24,IF(AC414-O414&lt;=DORA_H_DET/24,MIN(AC414+DORA_H_CLA/24,O414+DORA_H_DET/24),AC414+DORA_H_CLA/24)))</f>
        <v/>
      </c>
      <c r="BS414" s="35" t="str">
        <f aca="true">IF(BR414="","",IF(AD414="",IF(NOW()&gt;BR414,0,""),IF(AD414&lt;=BR414,1,0)))</f>
        <v/>
      </c>
      <c r="BT414" s="35" t="str">
        <f aca="true">IF(OR(BR414="",AD414=""),"",IF(AE414="",IF(NOW()&gt;AD414+DORA_H_INT/24,0,""),IF(AE414&lt;=AD414+DORA_H_INT/24,1,0)))</f>
        <v/>
      </c>
      <c r="BU414" s="35" t="str">
        <f aca="true">IF(OR(BR414="",AE414=""),"",IF(AF414="",IF(NOW()&gt;EDATE(AE414,DORA_M_FIN)+1,0,""),IF(AF414&lt;=EDATE(AE414,DORA_M_FIN),1,0)))</f>
        <v/>
      </c>
      <c r="BV414" s="35" t="str">
        <f aca="false">IF(BR414="","",IF(COUNT(BS414:BU414)=0,"",MIN(BS414:BU414)))</f>
        <v/>
      </c>
      <c r="BW414" s="40" t="str">
        <f aca="false">IF(AQ414&lt;&gt;1,"",IF(AND(AG414="",AH414=""),"",N(AG414)-N(AH414)))</f>
        <v/>
      </c>
      <c r="BX414" s="35" t="str">
        <f aca="true">IF(OR(AQ414&lt;&gt;1,AI414&lt;&gt;"Oui",AJ414=""),"",IF(AK414="",IF(NOW()&gt;AJ414+1,0,""),IF(AK414&lt;=AJ414,1,0)))</f>
        <v/>
      </c>
    </row>
    <row r="415" customFormat="false" ht="15" hidden="false" customHeight="false" outlineLevel="0" collapsed="false">
      <c r="B415" s="29"/>
      <c r="C415" s="29"/>
      <c r="D415" s="29"/>
      <c r="E415" s="29"/>
      <c r="F415" s="29"/>
      <c r="G415" s="29"/>
      <c r="H415" s="29"/>
      <c r="I415" s="29"/>
      <c r="J415" s="29"/>
      <c r="K415" s="29"/>
      <c r="L415" s="29"/>
      <c r="M415" s="29"/>
      <c r="N415" s="30"/>
      <c r="O415" s="30"/>
      <c r="P415" s="30"/>
      <c r="Q415" s="30"/>
      <c r="R415" s="30"/>
      <c r="S415" s="30"/>
      <c r="T415" s="30"/>
      <c r="U415" s="30"/>
      <c r="V415" s="31"/>
      <c r="W415" s="29"/>
      <c r="X415" s="29"/>
      <c r="Y415" s="29"/>
      <c r="Z415" s="29"/>
      <c r="AA415" s="30"/>
      <c r="AB415" s="30"/>
      <c r="AC415" s="30"/>
      <c r="AD415" s="30"/>
      <c r="AE415" s="30"/>
      <c r="AF415" s="32"/>
      <c r="AG415" s="33"/>
      <c r="AH415" s="33"/>
      <c r="AI415" s="29"/>
      <c r="AJ415" s="32"/>
      <c r="AK415" s="32"/>
      <c r="AL415" s="29"/>
      <c r="AN415" s="34" t="str">
        <f aca="false">IF($B415="","",IF(OR(C415="",D415="",E415="",G415="",I415="",J415="",L415="",O415="",P415=""),"Champ obligatoire manquant",IF(OR(AND(N415&lt;&gt;"",N415&gt;O415),O415&gt;P415,AND(Q415&lt;&gt;"",Q415&lt;P415),AND(R415&lt;&gt;"",R415&lt;P415),AND(S415&lt;&gt;"",S415&lt;R415),AND(S415&lt;&gt;"",R415=""),AND(T415&lt;&gt;"",T415&lt;O415),AND(U415&lt;&gt;"",U415&lt;O415)),"Chronologie incohérente",IF(AND(OR(L415="Résolu",L415="Clos"),R415=""),"Date de résolution manquante",IF(AND(L415="Clos",S415=""),"Date de clôture manquante",IF(AND(K415="Oui",AC415=""),"Classification DORA manquante","OK"))))))</f>
        <v/>
      </c>
      <c r="AO415" s="35" t="str">
        <f aca="false">IF($B415="","",IF(AND(C415="Incident",L415&lt;&gt;"Annulé"),1,0))</f>
        <v/>
      </c>
      <c r="AP415" s="35" t="str">
        <f aca="false">IF($B415="","",IF(AND(C415="Quasi-incident",L415&lt;&gt;"Annulé"),1,0))</f>
        <v/>
      </c>
      <c r="AQ415" s="35" t="str">
        <f aca="false">IF($B415="","",AO415+AP415)</f>
        <v/>
      </c>
      <c r="AR415" s="36" t="str">
        <f aca="false">IF(OR($B415="",J415=""),"",IFERROR(VALUE(LEFT(J415,1)),""))</f>
        <v/>
      </c>
      <c r="AS415" s="35" t="str">
        <f aca="false">IF(OR(AO415&lt;&gt;1,G415=""),"",IFERROR(IF(INDEX(L_SrcInterne,MATCH(G415,L_Sources,0))="Oui",1,0),""))</f>
        <v/>
      </c>
      <c r="AT415" s="37" t="str">
        <f aca="false">IF(AO415&lt;&gt;1,"",IFERROR(ROUND(IF(OR(N415="",O415=""),"",IF(O415&lt;N415,"",ROUND(((NETWORKDAYS(N415,O415,JoursFeries)-1)*(HFer-HOuv)+IF(NETWORKDAYS(O415,O415,JoursFeries),MEDIAN(MOD(O415,1),HFer,HOuv),HFer)-IF(NETWORKDAYS(N415,N415,JoursFeries),MEDIAN(MOD(N415,1),HFer,HOuv),HOuv))*24,4)))/HJour,4),""))</f>
        <v/>
      </c>
      <c r="AU415" s="37" t="str">
        <f aca="false">IF(AO415&lt;&gt;1,"",IF(OR(O415="",P415=""),"",IF(P415&lt;O415,"",ROUND(((NETWORKDAYS(O415,P415,JoursFeries)-1)*(HFer-HOuv)+IF(NETWORKDAYS(P415,P415,JoursFeries),MEDIAN(MOD(P415,1),HFer,HOuv),HFer)-IF(NETWORKDAYS(O415,O415,JoursFeries),MEDIAN(MOD(O415,1),HFer,HOuv),HOuv))*24,4))))</f>
        <v/>
      </c>
      <c r="AV415" s="37" t="str">
        <f aca="false">IF(AO415&lt;&gt;1,"",IF(OR(P415="",Q415=""),"",IF(Q415&lt;P415,"",ROUND(((NETWORKDAYS(P415,Q415,JoursFeries)-1)*(HFer-HOuv)+IF(NETWORKDAYS(Q415,Q415,JoursFeries),MEDIAN(MOD(Q415,1),HFer,HOuv),HFer)-IF(NETWORKDAYS(P415,P415,JoursFeries),MEDIAN(MOD(P415,1),HFer,HOuv),HOuv))*24,4))))</f>
        <v/>
      </c>
      <c r="AW415" s="37" t="str">
        <f aca="false">IF(AO415&lt;&gt;1,"",IFERROR(ROUND(IF(OR(P415="",R415=""),"",IF(R415&lt;P415,"",ROUND(((NETWORKDAYS(P415,R415,JoursFeries)-1)*(HFer-HOuv)+IF(NETWORKDAYS(R415,R415,JoursFeries),MEDIAN(MOD(R415,1),HFer,HOuv),HFer)-IF(NETWORKDAYS(P415,P415,JoursFeries),MEDIAN(MOD(P415,1),HFer,HOuv),HOuv))*24,4)))/HJour,4),""))</f>
        <v/>
      </c>
      <c r="AX415" s="37" t="str">
        <f aca="false">IF(AO415&lt;&gt;1,"",IFERROR(ROUND(IF(OR(P415="",S415=""),"",IF(S415&lt;P415,"",ROUND(((NETWORKDAYS(P415,S415,JoursFeries)-1)*(HFer-HOuv)+IF(NETWORKDAYS(S415,S415,JoursFeries),MEDIAN(MOD(S415,1),HFer,HOuv),HFer)-IF(NETWORKDAYS(P415,P415,JoursFeries),MEDIAN(MOD(P415,1),HFer,HOuv),HOuv))*24,4)))/HJour,4),""))</f>
        <v/>
      </c>
      <c r="AY415" s="36" t="str">
        <f aca="false">IF(OR(AO415&lt;&gt;1,AR415=""),"",INDEX(SLA_PEC,AR415))</f>
        <v/>
      </c>
      <c r="AZ415" s="35" t="str">
        <f aca="false">IF(OR(AV415="",AY415=""),"",IF(AV415&lt;=AY415,1,0))</f>
        <v/>
      </c>
      <c r="BA415" s="36" t="str">
        <f aca="false">IF(OR(AO415&lt;&gt;1,AR415=""),"",INDEX(SLA_RES,AR415))</f>
        <v/>
      </c>
      <c r="BB415" s="35" t="str">
        <f aca="false">IF(OR(AW415="",BA415=""),"",IF(AW415&lt;=BA415,1,0))</f>
        <v/>
      </c>
      <c r="BC415" s="38" t="str">
        <f aca="false">IF(OR(BA415="",P415=""),"",WORKDAY(INT(P415),BA415,JoursFeries)+MOD(P415,1))</f>
        <v/>
      </c>
      <c r="BD415" s="39" t="str">
        <f aca="false">IF(AO415&lt;&gt;1,"",IF(OR(AB415&lt;&gt;"",AD415&lt;&gt;""),4,IF(U415&lt;&gt;"",3,IF(T415&lt;&gt;"",2,1))))</f>
        <v/>
      </c>
      <c r="BE415" s="39" t="str">
        <f aca="false">IF(OR(AO415&lt;&gt;1,AR415=""),"",INDEX(NIV_REQ,AR415))</f>
        <v/>
      </c>
      <c r="BF415" s="39" t="str">
        <f aca="false">IF(BE415="","",MAX(BE415,IF(OR(K415="Oui",Z415="Oui"),4,1)))</f>
        <v/>
      </c>
      <c r="BG415" s="35" t="str">
        <f aca="false">IF(OR(BF415="",BD415=""),"",IF(BD415&gt;=BF415,1,0))</f>
        <v/>
      </c>
      <c r="BH415" s="38" t="str">
        <f aca="false">IF(BE415="","",IF(BE415&lt;2,"",IF(BE415=2,IF(AND(T415="",U415=""),"",MIN(T415,U415)),IF(U415="","",U415))))</f>
        <v/>
      </c>
      <c r="BI415" s="37" t="str">
        <f aca="false">IF(BH415="","",IF(OR(O415="",BH415=""),"",IF(BH415&lt;O415,"",ROUND(((NETWORKDAYS(O415,BH415,JoursFeries)-1)*(HFer-HOuv)+IF(NETWORKDAYS(BH415,BH415,JoursFeries),MEDIAN(MOD(BH415,1),HFer,HOuv),HFer)-IF(NETWORKDAYS(O415,O415,JoursFeries),MEDIAN(MOD(O415,1),HFer,HOuv),HOuv))*24,4))))</f>
        <v/>
      </c>
      <c r="BJ415" s="35" t="str">
        <f aca="false">IF(OR(BI415="",AR415=""),"",IF(BI415&lt;=INDEX(DELAI_ESC,AR415),1,0))</f>
        <v/>
      </c>
      <c r="BK415" s="38" t="str">
        <f aca="false">IF(AO415&lt;&gt;1,"",IF(AND(T415="",U415=""),"",MIN(T415,U415)))</f>
        <v/>
      </c>
      <c r="BL415" s="37" t="str">
        <f aca="false">IF(OR(BK415="",R415=""),"",IFERROR(ROUND(IF(OR(BK415="",R415=""),"",IF(R415&lt;BK415,"",ROUND(((NETWORKDAYS(BK415,R415,JoursFeries)-1)*(HFer-HOuv)+IF(NETWORKDAYS(R415,R415,JoursFeries),MEDIAN(MOD(R415,1),HFer,HOuv),HFer)-IF(NETWORKDAYS(BK415,BK415,JoursFeries),MEDIAN(MOD(BK415,1),HFer,HOuv),HOuv))*24,4)))/HJour,4),""))</f>
        <v/>
      </c>
      <c r="BM415" s="35" t="str">
        <f aca="false">IF(OR(AO415&lt;&gt;1,R415=""),"",IF(BD415=1,1,0))</f>
        <v/>
      </c>
      <c r="BN415" s="35" t="str">
        <f aca="false">IF(AO415&lt;&gt;1,"",IF(W415="Oui",1,0))</f>
        <v/>
      </c>
      <c r="BO415" s="35" t="str">
        <f aca="false">IF(AO415&lt;&gt;1,"",IF(X415&lt;&gt;"",1,0))</f>
        <v/>
      </c>
      <c r="BP415" s="35" t="str">
        <f aca="false">IF(AO415&lt;&gt;1,"",IF(Y415="Oui",1,0))</f>
        <v/>
      </c>
      <c r="BQ415" s="35" t="str">
        <f aca="true">IF(OR(AO415&lt;&gt;1,Z415&lt;&gt;"Oui"),"",IF(AB415="",IF(AND(AA415&lt;&gt;"",NOW()&gt;AA415),0,""),IF(AA415="","",IF(AB415&lt;=AA415,1,0))))</f>
        <v/>
      </c>
      <c r="BR415" s="38" t="str">
        <f aca="false">IF(OR(AO415&lt;&gt;1,K415&lt;&gt;"Oui",O415=""),"",IF(AC415="",O415+DORA_H_DET/24,IF(AC415-O415&lt;=DORA_H_DET/24,MIN(AC415+DORA_H_CLA/24,O415+DORA_H_DET/24),AC415+DORA_H_CLA/24)))</f>
        <v/>
      </c>
      <c r="BS415" s="35" t="str">
        <f aca="true">IF(BR415="","",IF(AD415="",IF(NOW()&gt;BR415,0,""),IF(AD415&lt;=BR415,1,0)))</f>
        <v/>
      </c>
      <c r="BT415" s="35" t="str">
        <f aca="true">IF(OR(BR415="",AD415=""),"",IF(AE415="",IF(NOW()&gt;AD415+DORA_H_INT/24,0,""),IF(AE415&lt;=AD415+DORA_H_INT/24,1,0)))</f>
        <v/>
      </c>
      <c r="BU415" s="35" t="str">
        <f aca="true">IF(OR(BR415="",AE415=""),"",IF(AF415="",IF(NOW()&gt;EDATE(AE415,DORA_M_FIN)+1,0,""),IF(AF415&lt;=EDATE(AE415,DORA_M_FIN),1,0)))</f>
        <v/>
      </c>
      <c r="BV415" s="35" t="str">
        <f aca="false">IF(BR415="","",IF(COUNT(BS415:BU415)=0,"",MIN(BS415:BU415)))</f>
        <v/>
      </c>
      <c r="BW415" s="40" t="str">
        <f aca="false">IF(AQ415&lt;&gt;1,"",IF(AND(AG415="",AH415=""),"",N(AG415)-N(AH415)))</f>
        <v/>
      </c>
      <c r="BX415" s="35" t="str">
        <f aca="true">IF(OR(AQ415&lt;&gt;1,AI415&lt;&gt;"Oui",AJ415=""),"",IF(AK415="",IF(NOW()&gt;AJ415+1,0,""),IF(AK415&lt;=AJ415,1,0)))</f>
        <v/>
      </c>
    </row>
    <row r="416" customFormat="false" ht="15" hidden="false" customHeight="false" outlineLevel="0" collapsed="false">
      <c r="B416" s="29"/>
      <c r="C416" s="29"/>
      <c r="D416" s="29"/>
      <c r="E416" s="29"/>
      <c r="F416" s="29"/>
      <c r="G416" s="29"/>
      <c r="H416" s="29"/>
      <c r="I416" s="29"/>
      <c r="J416" s="29"/>
      <c r="K416" s="29"/>
      <c r="L416" s="29"/>
      <c r="M416" s="29"/>
      <c r="N416" s="30"/>
      <c r="O416" s="30"/>
      <c r="P416" s="30"/>
      <c r="Q416" s="30"/>
      <c r="R416" s="30"/>
      <c r="S416" s="30"/>
      <c r="T416" s="30"/>
      <c r="U416" s="30"/>
      <c r="V416" s="31"/>
      <c r="W416" s="29"/>
      <c r="X416" s="29"/>
      <c r="Y416" s="29"/>
      <c r="Z416" s="29"/>
      <c r="AA416" s="30"/>
      <c r="AB416" s="30"/>
      <c r="AC416" s="30"/>
      <c r="AD416" s="30"/>
      <c r="AE416" s="30"/>
      <c r="AF416" s="32"/>
      <c r="AG416" s="33"/>
      <c r="AH416" s="33"/>
      <c r="AI416" s="29"/>
      <c r="AJ416" s="32"/>
      <c r="AK416" s="32"/>
      <c r="AL416" s="29"/>
      <c r="AN416" s="34" t="str">
        <f aca="false">IF($B416="","",IF(OR(C416="",D416="",E416="",G416="",I416="",J416="",L416="",O416="",P416=""),"Champ obligatoire manquant",IF(OR(AND(N416&lt;&gt;"",N416&gt;O416),O416&gt;P416,AND(Q416&lt;&gt;"",Q416&lt;P416),AND(R416&lt;&gt;"",R416&lt;P416),AND(S416&lt;&gt;"",S416&lt;R416),AND(S416&lt;&gt;"",R416=""),AND(T416&lt;&gt;"",T416&lt;O416),AND(U416&lt;&gt;"",U416&lt;O416)),"Chronologie incohérente",IF(AND(OR(L416="Résolu",L416="Clos"),R416=""),"Date de résolution manquante",IF(AND(L416="Clos",S416=""),"Date de clôture manquante",IF(AND(K416="Oui",AC416=""),"Classification DORA manquante","OK"))))))</f>
        <v/>
      </c>
      <c r="AO416" s="35" t="str">
        <f aca="false">IF($B416="","",IF(AND(C416="Incident",L416&lt;&gt;"Annulé"),1,0))</f>
        <v/>
      </c>
      <c r="AP416" s="35" t="str">
        <f aca="false">IF($B416="","",IF(AND(C416="Quasi-incident",L416&lt;&gt;"Annulé"),1,0))</f>
        <v/>
      </c>
      <c r="AQ416" s="35" t="str">
        <f aca="false">IF($B416="","",AO416+AP416)</f>
        <v/>
      </c>
      <c r="AR416" s="36" t="str">
        <f aca="false">IF(OR($B416="",J416=""),"",IFERROR(VALUE(LEFT(J416,1)),""))</f>
        <v/>
      </c>
      <c r="AS416" s="35" t="str">
        <f aca="false">IF(OR(AO416&lt;&gt;1,G416=""),"",IFERROR(IF(INDEX(L_SrcInterne,MATCH(G416,L_Sources,0))="Oui",1,0),""))</f>
        <v/>
      </c>
      <c r="AT416" s="37" t="str">
        <f aca="false">IF(AO416&lt;&gt;1,"",IFERROR(ROUND(IF(OR(N416="",O416=""),"",IF(O416&lt;N416,"",ROUND(((NETWORKDAYS(N416,O416,JoursFeries)-1)*(HFer-HOuv)+IF(NETWORKDAYS(O416,O416,JoursFeries),MEDIAN(MOD(O416,1),HFer,HOuv),HFer)-IF(NETWORKDAYS(N416,N416,JoursFeries),MEDIAN(MOD(N416,1),HFer,HOuv),HOuv))*24,4)))/HJour,4),""))</f>
        <v/>
      </c>
      <c r="AU416" s="37" t="str">
        <f aca="false">IF(AO416&lt;&gt;1,"",IF(OR(O416="",P416=""),"",IF(P416&lt;O416,"",ROUND(((NETWORKDAYS(O416,P416,JoursFeries)-1)*(HFer-HOuv)+IF(NETWORKDAYS(P416,P416,JoursFeries),MEDIAN(MOD(P416,1),HFer,HOuv),HFer)-IF(NETWORKDAYS(O416,O416,JoursFeries),MEDIAN(MOD(O416,1),HFer,HOuv),HOuv))*24,4))))</f>
        <v/>
      </c>
      <c r="AV416" s="37" t="str">
        <f aca="false">IF(AO416&lt;&gt;1,"",IF(OR(P416="",Q416=""),"",IF(Q416&lt;P416,"",ROUND(((NETWORKDAYS(P416,Q416,JoursFeries)-1)*(HFer-HOuv)+IF(NETWORKDAYS(Q416,Q416,JoursFeries),MEDIAN(MOD(Q416,1),HFer,HOuv),HFer)-IF(NETWORKDAYS(P416,P416,JoursFeries),MEDIAN(MOD(P416,1),HFer,HOuv),HOuv))*24,4))))</f>
        <v/>
      </c>
      <c r="AW416" s="37" t="str">
        <f aca="false">IF(AO416&lt;&gt;1,"",IFERROR(ROUND(IF(OR(P416="",R416=""),"",IF(R416&lt;P416,"",ROUND(((NETWORKDAYS(P416,R416,JoursFeries)-1)*(HFer-HOuv)+IF(NETWORKDAYS(R416,R416,JoursFeries),MEDIAN(MOD(R416,1),HFer,HOuv),HFer)-IF(NETWORKDAYS(P416,P416,JoursFeries),MEDIAN(MOD(P416,1),HFer,HOuv),HOuv))*24,4)))/HJour,4),""))</f>
        <v/>
      </c>
      <c r="AX416" s="37" t="str">
        <f aca="false">IF(AO416&lt;&gt;1,"",IFERROR(ROUND(IF(OR(P416="",S416=""),"",IF(S416&lt;P416,"",ROUND(((NETWORKDAYS(P416,S416,JoursFeries)-1)*(HFer-HOuv)+IF(NETWORKDAYS(S416,S416,JoursFeries),MEDIAN(MOD(S416,1),HFer,HOuv),HFer)-IF(NETWORKDAYS(P416,P416,JoursFeries),MEDIAN(MOD(P416,1),HFer,HOuv),HOuv))*24,4)))/HJour,4),""))</f>
        <v/>
      </c>
      <c r="AY416" s="36" t="str">
        <f aca="false">IF(OR(AO416&lt;&gt;1,AR416=""),"",INDEX(SLA_PEC,AR416))</f>
        <v/>
      </c>
      <c r="AZ416" s="35" t="str">
        <f aca="false">IF(OR(AV416="",AY416=""),"",IF(AV416&lt;=AY416,1,0))</f>
        <v/>
      </c>
      <c r="BA416" s="36" t="str">
        <f aca="false">IF(OR(AO416&lt;&gt;1,AR416=""),"",INDEX(SLA_RES,AR416))</f>
        <v/>
      </c>
      <c r="BB416" s="35" t="str">
        <f aca="false">IF(OR(AW416="",BA416=""),"",IF(AW416&lt;=BA416,1,0))</f>
        <v/>
      </c>
      <c r="BC416" s="38" t="str">
        <f aca="false">IF(OR(BA416="",P416=""),"",WORKDAY(INT(P416),BA416,JoursFeries)+MOD(P416,1))</f>
        <v/>
      </c>
      <c r="BD416" s="39" t="str">
        <f aca="false">IF(AO416&lt;&gt;1,"",IF(OR(AB416&lt;&gt;"",AD416&lt;&gt;""),4,IF(U416&lt;&gt;"",3,IF(T416&lt;&gt;"",2,1))))</f>
        <v/>
      </c>
      <c r="BE416" s="39" t="str">
        <f aca="false">IF(OR(AO416&lt;&gt;1,AR416=""),"",INDEX(NIV_REQ,AR416))</f>
        <v/>
      </c>
      <c r="BF416" s="39" t="str">
        <f aca="false">IF(BE416="","",MAX(BE416,IF(OR(K416="Oui",Z416="Oui"),4,1)))</f>
        <v/>
      </c>
      <c r="BG416" s="35" t="str">
        <f aca="false">IF(OR(BF416="",BD416=""),"",IF(BD416&gt;=BF416,1,0))</f>
        <v/>
      </c>
      <c r="BH416" s="38" t="str">
        <f aca="false">IF(BE416="","",IF(BE416&lt;2,"",IF(BE416=2,IF(AND(T416="",U416=""),"",MIN(T416,U416)),IF(U416="","",U416))))</f>
        <v/>
      </c>
      <c r="BI416" s="37" t="str">
        <f aca="false">IF(BH416="","",IF(OR(O416="",BH416=""),"",IF(BH416&lt;O416,"",ROUND(((NETWORKDAYS(O416,BH416,JoursFeries)-1)*(HFer-HOuv)+IF(NETWORKDAYS(BH416,BH416,JoursFeries),MEDIAN(MOD(BH416,1),HFer,HOuv),HFer)-IF(NETWORKDAYS(O416,O416,JoursFeries),MEDIAN(MOD(O416,1),HFer,HOuv),HOuv))*24,4))))</f>
        <v/>
      </c>
      <c r="BJ416" s="35" t="str">
        <f aca="false">IF(OR(BI416="",AR416=""),"",IF(BI416&lt;=INDEX(DELAI_ESC,AR416),1,0))</f>
        <v/>
      </c>
      <c r="BK416" s="38" t="str">
        <f aca="false">IF(AO416&lt;&gt;1,"",IF(AND(T416="",U416=""),"",MIN(T416,U416)))</f>
        <v/>
      </c>
      <c r="BL416" s="37" t="str">
        <f aca="false">IF(OR(BK416="",R416=""),"",IFERROR(ROUND(IF(OR(BK416="",R416=""),"",IF(R416&lt;BK416,"",ROUND(((NETWORKDAYS(BK416,R416,JoursFeries)-1)*(HFer-HOuv)+IF(NETWORKDAYS(R416,R416,JoursFeries),MEDIAN(MOD(R416,1),HFer,HOuv),HFer)-IF(NETWORKDAYS(BK416,BK416,JoursFeries),MEDIAN(MOD(BK416,1),HFer,HOuv),HOuv))*24,4)))/HJour,4),""))</f>
        <v/>
      </c>
      <c r="BM416" s="35" t="str">
        <f aca="false">IF(OR(AO416&lt;&gt;1,R416=""),"",IF(BD416=1,1,0))</f>
        <v/>
      </c>
      <c r="BN416" s="35" t="str">
        <f aca="false">IF(AO416&lt;&gt;1,"",IF(W416="Oui",1,0))</f>
        <v/>
      </c>
      <c r="BO416" s="35" t="str">
        <f aca="false">IF(AO416&lt;&gt;1,"",IF(X416&lt;&gt;"",1,0))</f>
        <v/>
      </c>
      <c r="BP416" s="35" t="str">
        <f aca="false">IF(AO416&lt;&gt;1,"",IF(Y416="Oui",1,0))</f>
        <v/>
      </c>
      <c r="BQ416" s="35" t="str">
        <f aca="true">IF(OR(AO416&lt;&gt;1,Z416&lt;&gt;"Oui"),"",IF(AB416="",IF(AND(AA416&lt;&gt;"",NOW()&gt;AA416),0,""),IF(AA416="","",IF(AB416&lt;=AA416,1,0))))</f>
        <v/>
      </c>
      <c r="BR416" s="38" t="str">
        <f aca="false">IF(OR(AO416&lt;&gt;1,K416&lt;&gt;"Oui",O416=""),"",IF(AC416="",O416+DORA_H_DET/24,IF(AC416-O416&lt;=DORA_H_DET/24,MIN(AC416+DORA_H_CLA/24,O416+DORA_H_DET/24),AC416+DORA_H_CLA/24)))</f>
        <v/>
      </c>
      <c r="BS416" s="35" t="str">
        <f aca="true">IF(BR416="","",IF(AD416="",IF(NOW()&gt;BR416,0,""),IF(AD416&lt;=BR416,1,0)))</f>
        <v/>
      </c>
      <c r="BT416" s="35" t="str">
        <f aca="true">IF(OR(BR416="",AD416=""),"",IF(AE416="",IF(NOW()&gt;AD416+DORA_H_INT/24,0,""),IF(AE416&lt;=AD416+DORA_H_INT/24,1,0)))</f>
        <v/>
      </c>
      <c r="BU416" s="35" t="str">
        <f aca="true">IF(OR(BR416="",AE416=""),"",IF(AF416="",IF(NOW()&gt;EDATE(AE416,DORA_M_FIN)+1,0,""),IF(AF416&lt;=EDATE(AE416,DORA_M_FIN),1,0)))</f>
        <v/>
      </c>
      <c r="BV416" s="35" t="str">
        <f aca="false">IF(BR416="","",IF(COUNT(BS416:BU416)=0,"",MIN(BS416:BU416)))</f>
        <v/>
      </c>
      <c r="BW416" s="40" t="str">
        <f aca="false">IF(AQ416&lt;&gt;1,"",IF(AND(AG416="",AH416=""),"",N(AG416)-N(AH416)))</f>
        <v/>
      </c>
      <c r="BX416" s="35" t="str">
        <f aca="true">IF(OR(AQ416&lt;&gt;1,AI416&lt;&gt;"Oui",AJ416=""),"",IF(AK416="",IF(NOW()&gt;AJ416+1,0,""),IF(AK416&lt;=AJ416,1,0)))</f>
        <v/>
      </c>
    </row>
    <row r="417" customFormat="false" ht="15" hidden="false" customHeight="false" outlineLevel="0" collapsed="false">
      <c r="B417" s="29"/>
      <c r="C417" s="29"/>
      <c r="D417" s="29"/>
      <c r="E417" s="29"/>
      <c r="F417" s="29"/>
      <c r="G417" s="29"/>
      <c r="H417" s="29"/>
      <c r="I417" s="29"/>
      <c r="J417" s="29"/>
      <c r="K417" s="29"/>
      <c r="L417" s="29"/>
      <c r="M417" s="29"/>
      <c r="N417" s="30"/>
      <c r="O417" s="30"/>
      <c r="P417" s="30"/>
      <c r="Q417" s="30"/>
      <c r="R417" s="30"/>
      <c r="S417" s="30"/>
      <c r="T417" s="30"/>
      <c r="U417" s="30"/>
      <c r="V417" s="31"/>
      <c r="W417" s="29"/>
      <c r="X417" s="29"/>
      <c r="Y417" s="29"/>
      <c r="Z417" s="29"/>
      <c r="AA417" s="30"/>
      <c r="AB417" s="30"/>
      <c r="AC417" s="30"/>
      <c r="AD417" s="30"/>
      <c r="AE417" s="30"/>
      <c r="AF417" s="32"/>
      <c r="AG417" s="33"/>
      <c r="AH417" s="33"/>
      <c r="AI417" s="29"/>
      <c r="AJ417" s="32"/>
      <c r="AK417" s="32"/>
      <c r="AL417" s="29"/>
      <c r="AN417" s="34" t="str">
        <f aca="false">IF($B417="","",IF(OR(C417="",D417="",E417="",G417="",I417="",J417="",L417="",O417="",P417=""),"Champ obligatoire manquant",IF(OR(AND(N417&lt;&gt;"",N417&gt;O417),O417&gt;P417,AND(Q417&lt;&gt;"",Q417&lt;P417),AND(R417&lt;&gt;"",R417&lt;P417),AND(S417&lt;&gt;"",S417&lt;R417),AND(S417&lt;&gt;"",R417=""),AND(T417&lt;&gt;"",T417&lt;O417),AND(U417&lt;&gt;"",U417&lt;O417)),"Chronologie incohérente",IF(AND(OR(L417="Résolu",L417="Clos"),R417=""),"Date de résolution manquante",IF(AND(L417="Clos",S417=""),"Date de clôture manquante",IF(AND(K417="Oui",AC417=""),"Classification DORA manquante","OK"))))))</f>
        <v/>
      </c>
      <c r="AO417" s="35" t="str">
        <f aca="false">IF($B417="","",IF(AND(C417="Incident",L417&lt;&gt;"Annulé"),1,0))</f>
        <v/>
      </c>
      <c r="AP417" s="35" t="str">
        <f aca="false">IF($B417="","",IF(AND(C417="Quasi-incident",L417&lt;&gt;"Annulé"),1,0))</f>
        <v/>
      </c>
      <c r="AQ417" s="35" t="str">
        <f aca="false">IF($B417="","",AO417+AP417)</f>
        <v/>
      </c>
      <c r="AR417" s="36" t="str">
        <f aca="false">IF(OR($B417="",J417=""),"",IFERROR(VALUE(LEFT(J417,1)),""))</f>
        <v/>
      </c>
      <c r="AS417" s="35" t="str">
        <f aca="false">IF(OR(AO417&lt;&gt;1,G417=""),"",IFERROR(IF(INDEX(L_SrcInterne,MATCH(G417,L_Sources,0))="Oui",1,0),""))</f>
        <v/>
      </c>
      <c r="AT417" s="37" t="str">
        <f aca="false">IF(AO417&lt;&gt;1,"",IFERROR(ROUND(IF(OR(N417="",O417=""),"",IF(O417&lt;N417,"",ROUND(((NETWORKDAYS(N417,O417,JoursFeries)-1)*(HFer-HOuv)+IF(NETWORKDAYS(O417,O417,JoursFeries),MEDIAN(MOD(O417,1),HFer,HOuv),HFer)-IF(NETWORKDAYS(N417,N417,JoursFeries),MEDIAN(MOD(N417,1),HFer,HOuv),HOuv))*24,4)))/HJour,4),""))</f>
        <v/>
      </c>
      <c r="AU417" s="37" t="str">
        <f aca="false">IF(AO417&lt;&gt;1,"",IF(OR(O417="",P417=""),"",IF(P417&lt;O417,"",ROUND(((NETWORKDAYS(O417,P417,JoursFeries)-1)*(HFer-HOuv)+IF(NETWORKDAYS(P417,P417,JoursFeries),MEDIAN(MOD(P417,1),HFer,HOuv),HFer)-IF(NETWORKDAYS(O417,O417,JoursFeries),MEDIAN(MOD(O417,1),HFer,HOuv),HOuv))*24,4))))</f>
        <v/>
      </c>
      <c r="AV417" s="37" t="str">
        <f aca="false">IF(AO417&lt;&gt;1,"",IF(OR(P417="",Q417=""),"",IF(Q417&lt;P417,"",ROUND(((NETWORKDAYS(P417,Q417,JoursFeries)-1)*(HFer-HOuv)+IF(NETWORKDAYS(Q417,Q417,JoursFeries),MEDIAN(MOD(Q417,1),HFer,HOuv),HFer)-IF(NETWORKDAYS(P417,P417,JoursFeries),MEDIAN(MOD(P417,1),HFer,HOuv),HOuv))*24,4))))</f>
        <v/>
      </c>
      <c r="AW417" s="37" t="str">
        <f aca="false">IF(AO417&lt;&gt;1,"",IFERROR(ROUND(IF(OR(P417="",R417=""),"",IF(R417&lt;P417,"",ROUND(((NETWORKDAYS(P417,R417,JoursFeries)-1)*(HFer-HOuv)+IF(NETWORKDAYS(R417,R417,JoursFeries),MEDIAN(MOD(R417,1),HFer,HOuv),HFer)-IF(NETWORKDAYS(P417,P417,JoursFeries),MEDIAN(MOD(P417,1),HFer,HOuv),HOuv))*24,4)))/HJour,4),""))</f>
        <v/>
      </c>
      <c r="AX417" s="37" t="str">
        <f aca="false">IF(AO417&lt;&gt;1,"",IFERROR(ROUND(IF(OR(P417="",S417=""),"",IF(S417&lt;P417,"",ROUND(((NETWORKDAYS(P417,S417,JoursFeries)-1)*(HFer-HOuv)+IF(NETWORKDAYS(S417,S417,JoursFeries),MEDIAN(MOD(S417,1),HFer,HOuv),HFer)-IF(NETWORKDAYS(P417,P417,JoursFeries),MEDIAN(MOD(P417,1),HFer,HOuv),HOuv))*24,4)))/HJour,4),""))</f>
        <v/>
      </c>
      <c r="AY417" s="36" t="str">
        <f aca="false">IF(OR(AO417&lt;&gt;1,AR417=""),"",INDEX(SLA_PEC,AR417))</f>
        <v/>
      </c>
      <c r="AZ417" s="35" t="str">
        <f aca="false">IF(OR(AV417="",AY417=""),"",IF(AV417&lt;=AY417,1,0))</f>
        <v/>
      </c>
      <c r="BA417" s="36" t="str">
        <f aca="false">IF(OR(AO417&lt;&gt;1,AR417=""),"",INDEX(SLA_RES,AR417))</f>
        <v/>
      </c>
      <c r="BB417" s="35" t="str">
        <f aca="false">IF(OR(AW417="",BA417=""),"",IF(AW417&lt;=BA417,1,0))</f>
        <v/>
      </c>
      <c r="BC417" s="38" t="str">
        <f aca="false">IF(OR(BA417="",P417=""),"",WORKDAY(INT(P417),BA417,JoursFeries)+MOD(P417,1))</f>
        <v/>
      </c>
      <c r="BD417" s="39" t="str">
        <f aca="false">IF(AO417&lt;&gt;1,"",IF(OR(AB417&lt;&gt;"",AD417&lt;&gt;""),4,IF(U417&lt;&gt;"",3,IF(T417&lt;&gt;"",2,1))))</f>
        <v/>
      </c>
      <c r="BE417" s="39" t="str">
        <f aca="false">IF(OR(AO417&lt;&gt;1,AR417=""),"",INDEX(NIV_REQ,AR417))</f>
        <v/>
      </c>
      <c r="BF417" s="39" t="str">
        <f aca="false">IF(BE417="","",MAX(BE417,IF(OR(K417="Oui",Z417="Oui"),4,1)))</f>
        <v/>
      </c>
      <c r="BG417" s="35" t="str">
        <f aca="false">IF(OR(BF417="",BD417=""),"",IF(BD417&gt;=BF417,1,0))</f>
        <v/>
      </c>
      <c r="BH417" s="38" t="str">
        <f aca="false">IF(BE417="","",IF(BE417&lt;2,"",IF(BE417=2,IF(AND(T417="",U417=""),"",MIN(T417,U417)),IF(U417="","",U417))))</f>
        <v/>
      </c>
      <c r="BI417" s="37" t="str">
        <f aca="false">IF(BH417="","",IF(OR(O417="",BH417=""),"",IF(BH417&lt;O417,"",ROUND(((NETWORKDAYS(O417,BH417,JoursFeries)-1)*(HFer-HOuv)+IF(NETWORKDAYS(BH417,BH417,JoursFeries),MEDIAN(MOD(BH417,1),HFer,HOuv),HFer)-IF(NETWORKDAYS(O417,O417,JoursFeries),MEDIAN(MOD(O417,1),HFer,HOuv),HOuv))*24,4))))</f>
        <v/>
      </c>
      <c r="BJ417" s="35" t="str">
        <f aca="false">IF(OR(BI417="",AR417=""),"",IF(BI417&lt;=INDEX(DELAI_ESC,AR417),1,0))</f>
        <v/>
      </c>
      <c r="BK417" s="38" t="str">
        <f aca="false">IF(AO417&lt;&gt;1,"",IF(AND(T417="",U417=""),"",MIN(T417,U417)))</f>
        <v/>
      </c>
      <c r="BL417" s="37" t="str">
        <f aca="false">IF(OR(BK417="",R417=""),"",IFERROR(ROUND(IF(OR(BK417="",R417=""),"",IF(R417&lt;BK417,"",ROUND(((NETWORKDAYS(BK417,R417,JoursFeries)-1)*(HFer-HOuv)+IF(NETWORKDAYS(R417,R417,JoursFeries),MEDIAN(MOD(R417,1),HFer,HOuv),HFer)-IF(NETWORKDAYS(BK417,BK417,JoursFeries),MEDIAN(MOD(BK417,1),HFer,HOuv),HOuv))*24,4)))/HJour,4),""))</f>
        <v/>
      </c>
      <c r="BM417" s="35" t="str">
        <f aca="false">IF(OR(AO417&lt;&gt;1,R417=""),"",IF(BD417=1,1,0))</f>
        <v/>
      </c>
      <c r="BN417" s="35" t="str">
        <f aca="false">IF(AO417&lt;&gt;1,"",IF(W417="Oui",1,0))</f>
        <v/>
      </c>
      <c r="BO417" s="35" t="str">
        <f aca="false">IF(AO417&lt;&gt;1,"",IF(X417&lt;&gt;"",1,0))</f>
        <v/>
      </c>
      <c r="BP417" s="35" t="str">
        <f aca="false">IF(AO417&lt;&gt;1,"",IF(Y417="Oui",1,0))</f>
        <v/>
      </c>
      <c r="BQ417" s="35" t="str">
        <f aca="true">IF(OR(AO417&lt;&gt;1,Z417&lt;&gt;"Oui"),"",IF(AB417="",IF(AND(AA417&lt;&gt;"",NOW()&gt;AA417),0,""),IF(AA417="","",IF(AB417&lt;=AA417,1,0))))</f>
        <v/>
      </c>
      <c r="BR417" s="38" t="str">
        <f aca="false">IF(OR(AO417&lt;&gt;1,K417&lt;&gt;"Oui",O417=""),"",IF(AC417="",O417+DORA_H_DET/24,IF(AC417-O417&lt;=DORA_H_DET/24,MIN(AC417+DORA_H_CLA/24,O417+DORA_H_DET/24),AC417+DORA_H_CLA/24)))</f>
        <v/>
      </c>
      <c r="BS417" s="35" t="str">
        <f aca="true">IF(BR417="","",IF(AD417="",IF(NOW()&gt;BR417,0,""),IF(AD417&lt;=BR417,1,0)))</f>
        <v/>
      </c>
      <c r="BT417" s="35" t="str">
        <f aca="true">IF(OR(BR417="",AD417=""),"",IF(AE417="",IF(NOW()&gt;AD417+DORA_H_INT/24,0,""),IF(AE417&lt;=AD417+DORA_H_INT/24,1,0)))</f>
        <v/>
      </c>
      <c r="BU417" s="35" t="str">
        <f aca="true">IF(OR(BR417="",AE417=""),"",IF(AF417="",IF(NOW()&gt;EDATE(AE417,DORA_M_FIN)+1,0,""),IF(AF417&lt;=EDATE(AE417,DORA_M_FIN),1,0)))</f>
        <v/>
      </c>
      <c r="BV417" s="35" t="str">
        <f aca="false">IF(BR417="","",IF(COUNT(BS417:BU417)=0,"",MIN(BS417:BU417)))</f>
        <v/>
      </c>
      <c r="BW417" s="40" t="str">
        <f aca="false">IF(AQ417&lt;&gt;1,"",IF(AND(AG417="",AH417=""),"",N(AG417)-N(AH417)))</f>
        <v/>
      </c>
      <c r="BX417" s="35" t="str">
        <f aca="true">IF(OR(AQ417&lt;&gt;1,AI417&lt;&gt;"Oui",AJ417=""),"",IF(AK417="",IF(NOW()&gt;AJ417+1,0,""),IF(AK417&lt;=AJ417,1,0)))</f>
        <v/>
      </c>
    </row>
    <row r="418" customFormat="false" ht="15" hidden="false" customHeight="false" outlineLevel="0" collapsed="false">
      <c r="B418" s="29"/>
      <c r="C418" s="29"/>
      <c r="D418" s="29"/>
      <c r="E418" s="29"/>
      <c r="F418" s="29"/>
      <c r="G418" s="29"/>
      <c r="H418" s="29"/>
      <c r="I418" s="29"/>
      <c r="J418" s="29"/>
      <c r="K418" s="29"/>
      <c r="L418" s="29"/>
      <c r="M418" s="29"/>
      <c r="N418" s="30"/>
      <c r="O418" s="30"/>
      <c r="P418" s="30"/>
      <c r="Q418" s="30"/>
      <c r="R418" s="30"/>
      <c r="S418" s="30"/>
      <c r="T418" s="30"/>
      <c r="U418" s="30"/>
      <c r="V418" s="31"/>
      <c r="W418" s="29"/>
      <c r="X418" s="29"/>
      <c r="Y418" s="29"/>
      <c r="Z418" s="29"/>
      <c r="AA418" s="30"/>
      <c r="AB418" s="30"/>
      <c r="AC418" s="30"/>
      <c r="AD418" s="30"/>
      <c r="AE418" s="30"/>
      <c r="AF418" s="32"/>
      <c r="AG418" s="33"/>
      <c r="AH418" s="33"/>
      <c r="AI418" s="29"/>
      <c r="AJ418" s="32"/>
      <c r="AK418" s="32"/>
      <c r="AL418" s="29"/>
      <c r="AN418" s="34" t="str">
        <f aca="false">IF($B418="","",IF(OR(C418="",D418="",E418="",G418="",I418="",J418="",L418="",O418="",P418=""),"Champ obligatoire manquant",IF(OR(AND(N418&lt;&gt;"",N418&gt;O418),O418&gt;P418,AND(Q418&lt;&gt;"",Q418&lt;P418),AND(R418&lt;&gt;"",R418&lt;P418),AND(S418&lt;&gt;"",S418&lt;R418),AND(S418&lt;&gt;"",R418=""),AND(T418&lt;&gt;"",T418&lt;O418),AND(U418&lt;&gt;"",U418&lt;O418)),"Chronologie incohérente",IF(AND(OR(L418="Résolu",L418="Clos"),R418=""),"Date de résolution manquante",IF(AND(L418="Clos",S418=""),"Date de clôture manquante",IF(AND(K418="Oui",AC418=""),"Classification DORA manquante","OK"))))))</f>
        <v/>
      </c>
      <c r="AO418" s="35" t="str">
        <f aca="false">IF($B418="","",IF(AND(C418="Incident",L418&lt;&gt;"Annulé"),1,0))</f>
        <v/>
      </c>
      <c r="AP418" s="35" t="str">
        <f aca="false">IF($B418="","",IF(AND(C418="Quasi-incident",L418&lt;&gt;"Annulé"),1,0))</f>
        <v/>
      </c>
      <c r="AQ418" s="35" t="str">
        <f aca="false">IF($B418="","",AO418+AP418)</f>
        <v/>
      </c>
      <c r="AR418" s="36" t="str">
        <f aca="false">IF(OR($B418="",J418=""),"",IFERROR(VALUE(LEFT(J418,1)),""))</f>
        <v/>
      </c>
      <c r="AS418" s="35" t="str">
        <f aca="false">IF(OR(AO418&lt;&gt;1,G418=""),"",IFERROR(IF(INDEX(L_SrcInterne,MATCH(G418,L_Sources,0))="Oui",1,0),""))</f>
        <v/>
      </c>
      <c r="AT418" s="37" t="str">
        <f aca="false">IF(AO418&lt;&gt;1,"",IFERROR(ROUND(IF(OR(N418="",O418=""),"",IF(O418&lt;N418,"",ROUND(((NETWORKDAYS(N418,O418,JoursFeries)-1)*(HFer-HOuv)+IF(NETWORKDAYS(O418,O418,JoursFeries),MEDIAN(MOD(O418,1),HFer,HOuv),HFer)-IF(NETWORKDAYS(N418,N418,JoursFeries),MEDIAN(MOD(N418,1),HFer,HOuv),HOuv))*24,4)))/HJour,4),""))</f>
        <v/>
      </c>
      <c r="AU418" s="37" t="str">
        <f aca="false">IF(AO418&lt;&gt;1,"",IF(OR(O418="",P418=""),"",IF(P418&lt;O418,"",ROUND(((NETWORKDAYS(O418,P418,JoursFeries)-1)*(HFer-HOuv)+IF(NETWORKDAYS(P418,P418,JoursFeries),MEDIAN(MOD(P418,1),HFer,HOuv),HFer)-IF(NETWORKDAYS(O418,O418,JoursFeries),MEDIAN(MOD(O418,1),HFer,HOuv),HOuv))*24,4))))</f>
        <v/>
      </c>
      <c r="AV418" s="37" t="str">
        <f aca="false">IF(AO418&lt;&gt;1,"",IF(OR(P418="",Q418=""),"",IF(Q418&lt;P418,"",ROUND(((NETWORKDAYS(P418,Q418,JoursFeries)-1)*(HFer-HOuv)+IF(NETWORKDAYS(Q418,Q418,JoursFeries),MEDIAN(MOD(Q418,1),HFer,HOuv),HFer)-IF(NETWORKDAYS(P418,P418,JoursFeries),MEDIAN(MOD(P418,1),HFer,HOuv),HOuv))*24,4))))</f>
        <v/>
      </c>
      <c r="AW418" s="37" t="str">
        <f aca="false">IF(AO418&lt;&gt;1,"",IFERROR(ROUND(IF(OR(P418="",R418=""),"",IF(R418&lt;P418,"",ROUND(((NETWORKDAYS(P418,R418,JoursFeries)-1)*(HFer-HOuv)+IF(NETWORKDAYS(R418,R418,JoursFeries),MEDIAN(MOD(R418,1),HFer,HOuv),HFer)-IF(NETWORKDAYS(P418,P418,JoursFeries),MEDIAN(MOD(P418,1),HFer,HOuv),HOuv))*24,4)))/HJour,4),""))</f>
        <v/>
      </c>
      <c r="AX418" s="37" t="str">
        <f aca="false">IF(AO418&lt;&gt;1,"",IFERROR(ROUND(IF(OR(P418="",S418=""),"",IF(S418&lt;P418,"",ROUND(((NETWORKDAYS(P418,S418,JoursFeries)-1)*(HFer-HOuv)+IF(NETWORKDAYS(S418,S418,JoursFeries),MEDIAN(MOD(S418,1),HFer,HOuv),HFer)-IF(NETWORKDAYS(P418,P418,JoursFeries),MEDIAN(MOD(P418,1),HFer,HOuv),HOuv))*24,4)))/HJour,4),""))</f>
        <v/>
      </c>
      <c r="AY418" s="36" t="str">
        <f aca="false">IF(OR(AO418&lt;&gt;1,AR418=""),"",INDEX(SLA_PEC,AR418))</f>
        <v/>
      </c>
      <c r="AZ418" s="35" t="str">
        <f aca="false">IF(OR(AV418="",AY418=""),"",IF(AV418&lt;=AY418,1,0))</f>
        <v/>
      </c>
      <c r="BA418" s="36" t="str">
        <f aca="false">IF(OR(AO418&lt;&gt;1,AR418=""),"",INDEX(SLA_RES,AR418))</f>
        <v/>
      </c>
      <c r="BB418" s="35" t="str">
        <f aca="false">IF(OR(AW418="",BA418=""),"",IF(AW418&lt;=BA418,1,0))</f>
        <v/>
      </c>
      <c r="BC418" s="38" t="str">
        <f aca="false">IF(OR(BA418="",P418=""),"",WORKDAY(INT(P418),BA418,JoursFeries)+MOD(P418,1))</f>
        <v/>
      </c>
      <c r="BD418" s="39" t="str">
        <f aca="false">IF(AO418&lt;&gt;1,"",IF(OR(AB418&lt;&gt;"",AD418&lt;&gt;""),4,IF(U418&lt;&gt;"",3,IF(T418&lt;&gt;"",2,1))))</f>
        <v/>
      </c>
      <c r="BE418" s="39" t="str">
        <f aca="false">IF(OR(AO418&lt;&gt;1,AR418=""),"",INDEX(NIV_REQ,AR418))</f>
        <v/>
      </c>
      <c r="BF418" s="39" t="str">
        <f aca="false">IF(BE418="","",MAX(BE418,IF(OR(K418="Oui",Z418="Oui"),4,1)))</f>
        <v/>
      </c>
      <c r="BG418" s="35" t="str">
        <f aca="false">IF(OR(BF418="",BD418=""),"",IF(BD418&gt;=BF418,1,0))</f>
        <v/>
      </c>
      <c r="BH418" s="38" t="str">
        <f aca="false">IF(BE418="","",IF(BE418&lt;2,"",IF(BE418=2,IF(AND(T418="",U418=""),"",MIN(T418,U418)),IF(U418="","",U418))))</f>
        <v/>
      </c>
      <c r="BI418" s="37" t="str">
        <f aca="false">IF(BH418="","",IF(OR(O418="",BH418=""),"",IF(BH418&lt;O418,"",ROUND(((NETWORKDAYS(O418,BH418,JoursFeries)-1)*(HFer-HOuv)+IF(NETWORKDAYS(BH418,BH418,JoursFeries),MEDIAN(MOD(BH418,1),HFer,HOuv),HFer)-IF(NETWORKDAYS(O418,O418,JoursFeries),MEDIAN(MOD(O418,1),HFer,HOuv),HOuv))*24,4))))</f>
        <v/>
      </c>
      <c r="BJ418" s="35" t="str">
        <f aca="false">IF(OR(BI418="",AR418=""),"",IF(BI418&lt;=INDEX(DELAI_ESC,AR418),1,0))</f>
        <v/>
      </c>
      <c r="BK418" s="38" t="str">
        <f aca="false">IF(AO418&lt;&gt;1,"",IF(AND(T418="",U418=""),"",MIN(T418,U418)))</f>
        <v/>
      </c>
      <c r="BL418" s="37" t="str">
        <f aca="false">IF(OR(BK418="",R418=""),"",IFERROR(ROUND(IF(OR(BK418="",R418=""),"",IF(R418&lt;BK418,"",ROUND(((NETWORKDAYS(BK418,R418,JoursFeries)-1)*(HFer-HOuv)+IF(NETWORKDAYS(R418,R418,JoursFeries),MEDIAN(MOD(R418,1),HFer,HOuv),HFer)-IF(NETWORKDAYS(BK418,BK418,JoursFeries),MEDIAN(MOD(BK418,1),HFer,HOuv),HOuv))*24,4)))/HJour,4),""))</f>
        <v/>
      </c>
      <c r="BM418" s="35" t="str">
        <f aca="false">IF(OR(AO418&lt;&gt;1,R418=""),"",IF(BD418=1,1,0))</f>
        <v/>
      </c>
      <c r="BN418" s="35" t="str">
        <f aca="false">IF(AO418&lt;&gt;1,"",IF(W418="Oui",1,0))</f>
        <v/>
      </c>
      <c r="BO418" s="35" t="str">
        <f aca="false">IF(AO418&lt;&gt;1,"",IF(X418&lt;&gt;"",1,0))</f>
        <v/>
      </c>
      <c r="BP418" s="35" t="str">
        <f aca="false">IF(AO418&lt;&gt;1,"",IF(Y418="Oui",1,0))</f>
        <v/>
      </c>
      <c r="BQ418" s="35" t="str">
        <f aca="true">IF(OR(AO418&lt;&gt;1,Z418&lt;&gt;"Oui"),"",IF(AB418="",IF(AND(AA418&lt;&gt;"",NOW()&gt;AA418),0,""),IF(AA418="","",IF(AB418&lt;=AA418,1,0))))</f>
        <v/>
      </c>
      <c r="BR418" s="38" t="str">
        <f aca="false">IF(OR(AO418&lt;&gt;1,K418&lt;&gt;"Oui",O418=""),"",IF(AC418="",O418+DORA_H_DET/24,IF(AC418-O418&lt;=DORA_H_DET/24,MIN(AC418+DORA_H_CLA/24,O418+DORA_H_DET/24),AC418+DORA_H_CLA/24)))</f>
        <v/>
      </c>
      <c r="BS418" s="35" t="str">
        <f aca="true">IF(BR418="","",IF(AD418="",IF(NOW()&gt;BR418,0,""),IF(AD418&lt;=BR418,1,0)))</f>
        <v/>
      </c>
      <c r="BT418" s="35" t="str">
        <f aca="true">IF(OR(BR418="",AD418=""),"",IF(AE418="",IF(NOW()&gt;AD418+DORA_H_INT/24,0,""),IF(AE418&lt;=AD418+DORA_H_INT/24,1,0)))</f>
        <v/>
      </c>
      <c r="BU418" s="35" t="str">
        <f aca="true">IF(OR(BR418="",AE418=""),"",IF(AF418="",IF(NOW()&gt;EDATE(AE418,DORA_M_FIN)+1,0,""),IF(AF418&lt;=EDATE(AE418,DORA_M_FIN),1,0)))</f>
        <v/>
      </c>
      <c r="BV418" s="35" t="str">
        <f aca="false">IF(BR418="","",IF(COUNT(BS418:BU418)=0,"",MIN(BS418:BU418)))</f>
        <v/>
      </c>
      <c r="BW418" s="40" t="str">
        <f aca="false">IF(AQ418&lt;&gt;1,"",IF(AND(AG418="",AH418=""),"",N(AG418)-N(AH418)))</f>
        <v/>
      </c>
      <c r="BX418" s="35" t="str">
        <f aca="true">IF(OR(AQ418&lt;&gt;1,AI418&lt;&gt;"Oui",AJ418=""),"",IF(AK418="",IF(NOW()&gt;AJ418+1,0,""),IF(AK418&lt;=AJ418,1,0)))</f>
        <v/>
      </c>
    </row>
    <row r="419" customFormat="false" ht="15" hidden="false" customHeight="false" outlineLevel="0" collapsed="false">
      <c r="B419" s="29"/>
      <c r="C419" s="29"/>
      <c r="D419" s="29"/>
      <c r="E419" s="29"/>
      <c r="F419" s="29"/>
      <c r="G419" s="29"/>
      <c r="H419" s="29"/>
      <c r="I419" s="29"/>
      <c r="J419" s="29"/>
      <c r="K419" s="29"/>
      <c r="L419" s="29"/>
      <c r="M419" s="29"/>
      <c r="N419" s="30"/>
      <c r="O419" s="30"/>
      <c r="P419" s="30"/>
      <c r="Q419" s="30"/>
      <c r="R419" s="30"/>
      <c r="S419" s="30"/>
      <c r="T419" s="30"/>
      <c r="U419" s="30"/>
      <c r="V419" s="31"/>
      <c r="W419" s="29"/>
      <c r="X419" s="29"/>
      <c r="Y419" s="29"/>
      <c r="Z419" s="29"/>
      <c r="AA419" s="30"/>
      <c r="AB419" s="30"/>
      <c r="AC419" s="30"/>
      <c r="AD419" s="30"/>
      <c r="AE419" s="30"/>
      <c r="AF419" s="32"/>
      <c r="AG419" s="33"/>
      <c r="AH419" s="33"/>
      <c r="AI419" s="29"/>
      <c r="AJ419" s="32"/>
      <c r="AK419" s="32"/>
      <c r="AL419" s="29"/>
      <c r="AN419" s="34" t="str">
        <f aca="false">IF($B419="","",IF(OR(C419="",D419="",E419="",G419="",I419="",J419="",L419="",O419="",P419=""),"Champ obligatoire manquant",IF(OR(AND(N419&lt;&gt;"",N419&gt;O419),O419&gt;P419,AND(Q419&lt;&gt;"",Q419&lt;P419),AND(R419&lt;&gt;"",R419&lt;P419),AND(S419&lt;&gt;"",S419&lt;R419),AND(S419&lt;&gt;"",R419=""),AND(T419&lt;&gt;"",T419&lt;O419),AND(U419&lt;&gt;"",U419&lt;O419)),"Chronologie incohérente",IF(AND(OR(L419="Résolu",L419="Clos"),R419=""),"Date de résolution manquante",IF(AND(L419="Clos",S419=""),"Date de clôture manquante",IF(AND(K419="Oui",AC419=""),"Classification DORA manquante","OK"))))))</f>
        <v/>
      </c>
      <c r="AO419" s="35" t="str">
        <f aca="false">IF($B419="","",IF(AND(C419="Incident",L419&lt;&gt;"Annulé"),1,0))</f>
        <v/>
      </c>
      <c r="AP419" s="35" t="str">
        <f aca="false">IF($B419="","",IF(AND(C419="Quasi-incident",L419&lt;&gt;"Annulé"),1,0))</f>
        <v/>
      </c>
      <c r="AQ419" s="35" t="str">
        <f aca="false">IF($B419="","",AO419+AP419)</f>
        <v/>
      </c>
      <c r="AR419" s="36" t="str">
        <f aca="false">IF(OR($B419="",J419=""),"",IFERROR(VALUE(LEFT(J419,1)),""))</f>
        <v/>
      </c>
      <c r="AS419" s="35" t="str">
        <f aca="false">IF(OR(AO419&lt;&gt;1,G419=""),"",IFERROR(IF(INDEX(L_SrcInterne,MATCH(G419,L_Sources,0))="Oui",1,0),""))</f>
        <v/>
      </c>
      <c r="AT419" s="37" t="str">
        <f aca="false">IF(AO419&lt;&gt;1,"",IFERROR(ROUND(IF(OR(N419="",O419=""),"",IF(O419&lt;N419,"",ROUND(((NETWORKDAYS(N419,O419,JoursFeries)-1)*(HFer-HOuv)+IF(NETWORKDAYS(O419,O419,JoursFeries),MEDIAN(MOD(O419,1),HFer,HOuv),HFer)-IF(NETWORKDAYS(N419,N419,JoursFeries),MEDIAN(MOD(N419,1),HFer,HOuv),HOuv))*24,4)))/HJour,4),""))</f>
        <v/>
      </c>
      <c r="AU419" s="37" t="str">
        <f aca="false">IF(AO419&lt;&gt;1,"",IF(OR(O419="",P419=""),"",IF(P419&lt;O419,"",ROUND(((NETWORKDAYS(O419,P419,JoursFeries)-1)*(HFer-HOuv)+IF(NETWORKDAYS(P419,P419,JoursFeries),MEDIAN(MOD(P419,1),HFer,HOuv),HFer)-IF(NETWORKDAYS(O419,O419,JoursFeries),MEDIAN(MOD(O419,1),HFer,HOuv),HOuv))*24,4))))</f>
        <v/>
      </c>
      <c r="AV419" s="37" t="str">
        <f aca="false">IF(AO419&lt;&gt;1,"",IF(OR(P419="",Q419=""),"",IF(Q419&lt;P419,"",ROUND(((NETWORKDAYS(P419,Q419,JoursFeries)-1)*(HFer-HOuv)+IF(NETWORKDAYS(Q419,Q419,JoursFeries),MEDIAN(MOD(Q419,1),HFer,HOuv),HFer)-IF(NETWORKDAYS(P419,P419,JoursFeries),MEDIAN(MOD(P419,1),HFer,HOuv),HOuv))*24,4))))</f>
        <v/>
      </c>
      <c r="AW419" s="37" t="str">
        <f aca="false">IF(AO419&lt;&gt;1,"",IFERROR(ROUND(IF(OR(P419="",R419=""),"",IF(R419&lt;P419,"",ROUND(((NETWORKDAYS(P419,R419,JoursFeries)-1)*(HFer-HOuv)+IF(NETWORKDAYS(R419,R419,JoursFeries),MEDIAN(MOD(R419,1),HFer,HOuv),HFer)-IF(NETWORKDAYS(P419,P419,JoursFeries),MEDIAN(MOD(P419,1),HFer,HOuv),HOuv))*24,4)))/HJour,4),""))</f>
        <v/>
      </c>
      <c r="AX419" s="37" t="str">
        <f aca="false">IF(AO419&lt;&gt;1,"",IFERROR(ROUND(IF(OR(P419="",S419=""),"",IF(S419&lt;P419,"",ROUND(((NETWORKDAYS(P419,S419,JoursFeries)-1)*(HFer-HOuv)+IF(NETWORKDAYS(S419,S419,JoursFeries),MEDIAN(MOD(S419,1),HFer,HOuv),HFer)-IF(NETWORKDAYS(P419,P419,JoursFeries),MEDIAN(MOD(P419,1),HFer,HOuv),HOuv))*24,4)))/HJour,4),""))</f>
        <v/>
      </c>
      <c r="AY419" s="36" t="str">
        <f aca="false">IF(OR(AO419&lt;&gt;1,AR419=""),"",INDEX(SLA_PEC,AR419))</f>
        <v/>
      </c>
      <c r="AZ419" s="35" t="str">
        <f aca="false">IF(OR(AV419="",AY419=""),"",IF(AV419&lt;=AY419,1,0))</f>
        <v/>
      </c>
      <c r="BA419" s="36" t="str">
        <f aca="false">IF(OR(AO419&lt;&gt;1,AR419=""),"",INDEX(SLA_RES,AR419))</f>
        <v/>
      </c>
      <c r="BB419" s="35" t="str">
        <f aca="false">IF(OR(AW419="",BA419=""),"",IF(AW419&lt;=BA419,1,0))</f>
        <v/>
      </c>
      <c r="BC419" s="38" t="str">
        <f aca="false">IF(OR(BA419="",P419=""),"",WORKDAY(INT(P419),BA419,JoursFeries)+MOD(P419,1))</f>
        <v/>
      </c>
      <c r="BD419" s="39" t="str">
        <f aca="false">IF(AO419&lt;&gt;1,"",IF(OR(AB419&lt;&gt;"",AD419&lt;&gt;""),4,IF(U419&lt;&gt;"",3,IF(T419&lt;&gt;"",2,1))))</f>
        <v/>
      </c>
      <c r="BE419" s="39" t="str">
        <f aca="false">IF(OR(AO419&lt;&gt;1,AR419=""),"",INDEX(NIV_REQ,AR419))</f>
        <v/>
      </c>
      <c r="BF419" s="39" t="str">
        <f aca="false">IF(BE419="","",MAX(BE419,IF(OR(K419="Oui",Z419="Oui"),4,1)))</f>
        <v/>
      </c>
      <c r="BG419" s="35" t="str">
        <f aca="false">IF(OR(BF419="",BD419=""),"",IF(BD419&gt;=BF419,1,0))</f>
        <v/>
      </c>
      <c r="BH419" s="38" t="str">
        <f aca="false">IF(BE419="","",IF(BE419&lt;2,"",IF(BE419=2,IF(AND(T419="",U419=""),"",MIN(T419,U419)),IF(U419="","",U419))))</f>
        <v/>
      </c>
      <c r="BI419" s="37" t="str">
        <f aca="false">IF(BH419="","",IF(OR(O419="",BH419=""),"",IF(BH419&lt;O419,"",ROUND(((NETWORKDAYS(O419,BH419,JoursFeries)-1)*(HFer-HOuv)+IF(NETWORKDAYS(BH419,BH419,JoursFeries),MEDIAN(MOD(BH419,1),HFer,HOuv),HFer)-IF(NETWORKDAYS(O419,O419,JoursFeries),MEDIAN(MOD(O419,1),HFer,HOuv),HOuv))*24,4))))</f>
        <v/>
      </c>
      <c r="BJ419" s="35" t="str">
        <f aca="false">IF(OR(BI419="",AR419=""),"",IF(BI419&lt;=INDEX(DELAI_ESC,AR419),1,0))</f>
        <v/>
      </c>
      <c r="BK419" s="38" t="str">
        <f aca="false">IF(AO419&lt;&gt;1,"",IF(AND(T419="",U419=""),"",MIN(T419,U419)))</f>
        <v/>
      </c>
      <c r="BL419" s="37" t="str">
        <f aca="false">IF(OR(BK419="",R419=""),"",IFERROR(ROUND(IF(OR(BK419="",R419=""),"",IF(R419&lt;BK419,"",ROUND(((NETWORKDAYS(BK419,R419,JoursFeries)-1)*(HFer-HOuv)+IF(NETWORKDAYS(R419,R419,JoursFeries),MEDIAN(MOD(R419,1),HFer,HOuv),HFer)-IF(NETWORKDAYS(BK419,BK419,JoursFeries),MEDIAN(MOD(BK419,1),HFer,HOuv),HOuv))*24,4)))/HJour,4),""))</f>
        <v/>
      </c>
      <c r="BM419" s="35" t="str">
        <f aca="false">IF(OR(AO419&lt;&gt;1,R419=""),"",IF(BD419=1,1,0))</f>
        <v/>
      </c>
      <c r="BN419" s="35" t="str">
        <f aca="false">IF(AO419&lt;&gt;1,"",IF(W419="Oui",1,0))</f>
        <v/>
      </c>
      <c r="BO419" s="35" t="str">
        <f aca="false">IF(AO419&lt;&gt;1,"",IF(X419&lt;&gt;"",1,0))</f>
        <v/>
      </c>
      <c r="BP419" s="35" t="str">
        <f aca="false">IF(AO419&lt;&gt;1,"",IF(Y419="Oui",1,0))</f>
        <v/>
      </c>
      <c r="BQ419" s="35" t="str">
        <f aca="true">IF(OR(AO419&lt;&gt;1,Z419&lt;&gt;"Oui"),"",IF(AB419="",IF(AND(AA419&lt;&gt;"",NOW()&gt;AA419),0,""),IF(AA419="","",IF(AB419&lt;=AA419,1,0))))</f>
        <v/>
      </c>
      <c r="BR419" s="38" t="str">
        <f aca="false">IF(OR(AO419&lt;&gt;1,K419&lt;&gt;"Oui",O419=""),"",IF(AC419="",O419+DORA_H_DET/24,IF(AC419-O419&lt;=DORA_H_DET/24,MIN(AC419+DORA_H_CLA/24,O419+DORA_H_DET/24),AC419+DORA_H_CLA/24)))</f>
        <v/>
      </c>
      <c r="BS419" s="35" t="str">
        <f aca="true">IF(BR419="","",IF(AD419="",IF(NOW()&gt;BR419,0,""),IF(AD419&lt;=BR419,1,0)))</f>
        <v/>
      </c>
      <c r="BT419" s="35" t="str">
        <f aca="true">IF(OR(BR419="",AD419=""),"",IF(AE419="",IF(NOW()&gt;AD419+DORA_H_INT/24,0,""),IF(AE419&lt;=AD419+DORA_H_INT/24,1,0)))</f>
        <v/>
      </c>
      <c r="BU419" s="35" t="str">
        <f aca="true">IF(OR(BR419="",AE419=""),"",IF(AF419="",IF(NOW()&gt;EDATE(AE419,DORA_M_FIN)+1,0,""),IF(AF419&lt;=EDATE(AE419,DORA_M_FIN),1,0)))</f>
        <v/>
      </c>
      <c r="BV419" s="35" t="str">
        <f aca="false">IF(BR419="","",IF(COUNT(BS419:BU419)=0,"",MIN(BS419:BU419)))</f>
        <v/>
      </c>
      <c r="BW419" s="40" t="str">
        <f aca="false">IF(AQ419&lt;&gt;1,"",IF(AND(AG419="",AH419=""),"",N(AG419)-N(AH419)))</f>
        <v/>
      </c>
      <c r="BX419" s="35" t="str">
        <f aca="true">IF(OR(AQ419&lt;&gt;1,AI419&lt;&gt;"Oui",AJ419=""),"",IF(AK419="",IF(NOW()&gt;AJ419+1,0,""),IF(AK419&lt;=AJ419,1,0)))</f>
        <v/>
      </c>
    </row>
    <row r="420" customFormat="false" ht="15" hidden="false" customHeight="false" outlineLevel="0" collapsed="false">
      <c r="B420" s="29"/>
      <c r="C420" s="29"/>
      <c r="D420" s="29"/>
      <c r="E420" s="29"/>
      <c r="F420" s="29"/>
      <c r="G420" s="29"/>
      <c r="H420" s="29"/>
      <c r="I420" s="29"/>
      <c r="J420" s="29"/>
      <c r="K420" s="29"/>
      <c r="L420" s="29"/>
      <c r="M420" s="29"/>
      <c r="N420" s="30"/>
      <c r="O420" s="30"/>
      <c r="P420" s="30"/>
      <c r="Q420" s="30"/>
      <c r="R420" s="30"/>
      <c r="S420" s="30"/>
      <c r="T420" s="30"/>
      <c r="U420" s="30"/>
      <c r="V420" s="31"/>
      <c r="W420" s="29"/>
      <c r="X420" s="29"/>
      <c r="Y420" s="29"/>
      <c r="Z420" s="29"/>
      <c r="AA420" s="30"/>
      <c r="AB420" s="30"/>
      <c r="AC420" s="30"/>
      <c r="AD420" s="30"/>
      <c r="AE420" s="30"/>
      <c r="AF420" s="32"/>
      <c r="AG420" s="33"/>
      <c r="AH420" s="33"/>
      <c r="AI420" s="29"/>
      <c r="AJ420" s="32"/>
      <c r="AK420" s="32"/>
      <c r="AL420" s="29"/>
      <c r="AN420" s="34" t="str">
        <f aca="false">IF($B420="","",IF(OR(C420="",D420="",E420="",G420="",I420="",J420="",L420="",O420="",P420=""),"Champ obligatoire manquant",IF(OR(AND(N420&lt;&gt;"",N420&gt;O420),O420&gt;P420,AND(Q420&lt;&gt;"",Q420&lt;P420),AND(R420&lt;&gt;"",R420&lt;P420),AND(S420&lt;&gt;"",S420&lt;R420),AND(S420&lt;&gt;"",R420=""),AND(T420&lt;&gt;"",T420&lt;O420),AND(U420&lt;&gt;"",U420&lt;O420)),"Chronologie incohérente",IF(AND(OR(L420="Résolu",L420="Clos"),R420=""),"Date de résolution manquante",IF(AND(L420="Clos",S420=""),"Date de clôture manquante",IF(AND(K420="Oui",AC420=""),"Classification DORA manquante","OK"))))))</f>
        <v/>
      </c>
      <c r="AO420" s="35" t="str">
        <f aca="false">IF($B420="","",IF(AND(C420="Incident",L420&lt;&gt;"Annulé"),1,0))</f>
        <v/>
      </c>
      <c r="AP420" s="35" t="str">
        <f aca="false">IF($B420="","",IF(AND(C420="Quasi-incident",L420&lt;&gt;"Annulé"),1,0))</f>
        <v/>
      </c>
      <c r="AQ420" s="35" t="str">
        <f aca="false">IF($B420="","",AO420+AP420)</f>
        <v/>
      </c>
      <c r="AR420" s="36" t="str">
        <f aca="false">IF(OR($B420="",J420=""),"",IFERROR(VALUE(LEFT(J420,1)),""))</f>
        <v/>
      </c>
      <c r="AS420" s="35" t="str">
        <f aca="false">IF(OR(AO420&lt;&gt;1,G420=""),"",IFERROR(IF(INDEX(L_SrcInterne,MATCH(G420,L_Sources,0))="Oui",1,0),""))</f>
        <v/>
      </c>
      <c r="AT420" s="37" t="str">
        <f aca="false">IF(AO420&lt;&gt;1,"",IFERROR(ROUND(IF(OR(N420="",O420=""),"",IF(O420&lt;N420,"",ROUND(((NETWORKDAYS(N420,O420,JoursFeries)-1)*(HFer-HOuv)+IF(NETWORKDAYS(O420,O420,JoursFeries),MEDIAN(MOD(O420,1),HFer,HOuv),HFer)-IF(NETWORKDAYS(N420,N420,JoursFeries),MEDIAN(MOD(N420,1),HFer,HOuv),HOuv))*24,4)))/HJour,4),""))</f>
        <v/>
      </c>
      <c r="AU420" s="37" t="str">
        <f aca="false">IF(AO420&lt;&gt;1,"",IF(OR(O420="",P420=""),"",IF(P420&lt;O420,"",ROUND(((NETWORKDAYS(O420,P420,JoursFeries)-1)*(HFer-HOuv)+IF(NETWORKDAYS(P420,P420,JoursFeries),MEDIAN(MOD(P420,1),HFer,HOuv),HFer)-IF(NETWORKDAYS(O420,O420,JoursFeries),MEDIAN(MOD(O420,1),HFer,HOuv),HOuv))*24,4))))</f>
        <v/>
      </c>
      <c r="AV420" s="37" t="str">
        <f aca="false">IF(AO420&lt;&gt;1,"",IF(OR(P420="",Q420=""),"",IF(Q420&lt;P420,"",ROUND(((NETWORKDAYS(P420,Q420,JoursFeries)-1)*(HFer-HOuv)+IF(NETWORKDAYS(Q420,Q420,JoursFeries),MEDIAN(MOD(Q420,1),HFer,HOuv),HFer)-IF(NETWORKDAYS(P420,P420,JoursFeries),MEDIAN(MOD(P420,1),HFer,HOuv),HOuv))*24,4))))</f>
        <v/>
      </c>
      <c r="AW420" s="37" t="str">
        <f aca="false">IF(AO420&lt;&gt;1,"",IFERROR(ROUND(IF(OR(P420="",R420=""),"",IF(R420&lt;P420,"",ROUND(((NETWORKDAYS(P420,R420,JoursFeries)-1)*(HFer-HOuv)+IF(NETWORKDAYS(R420,R420,JoursFeries),MEDIAN(MOD(R420,1),HFer,HOuv),HFer)-IF(NETWORKDAYS(P420,P420,JoursFeries),MEDIAN(MOD(P420,1),HFer,HOuv),HOuv))*24,4)))/HJour,4),""))</f>
        <v/>
      </c>
      <c r="AX420" s="37" t="str">
        <f aca="false">IF(AO420&lt;&gt;1,"",IFERROR(ROUND(IF(OR(P420="",S420=""),"",IF(S420&lt;P420,"",ROUND(((NETWORKDAYS(P420,S420,JoursFeries)-1)*(HFer-HOuv)+IF(NETWORKDAYS(S420,S420,JoursFeries),MEDIAN(MOD(S420,1),HFer,HOuv),HFer)-IF(NETWORKDAYS(P420,P420,JoursFeries),MEDIAN(MOD(P420,1),HFer,HOuv),HOuv))*24,4)))/HJour,4),""))</f>
        <v/>
      </c>
      <c r="AY420" s="36" t="str">
        <f aca="false">IF(OR(AO420&lt;&gt;1,AR420=""),"",INDEX(SLA_PEC,AR420))</f>
        <v/>
      </c>
      <c r="AZ420" s="35" t="str">
        <f aca="false">IF(OR(AV420="",AY420=""),"",IF(AV420&lt;=AY420,1,0))</f>
        <v/>
      </c>
      <c r="BA420" s="36" t="str">
        <f aca="false">IF(OR(AO420&lt;&gt;1,AR420=""),"",INDEX(SLA_RES,AR420))</f>
        <v/>
      </c>
      <c r="BB420" s="35" t="str">
        <f aca="false">IF(OR(AW420="",BA420=""),"",IF(AW420&lt;=BA420,1,0))</f>
        <v/>
      </c>
      <c r="BC420" s="38" t="str">
        <f aca="false">IF(OR(BA420="",P420=""),"",WORKDAY(INT(P420),BA420,JoursFeries)+MOD(P420,1))</f>
        <v/>
      </c>
      <c r="BD420" s="39" t="str">
        <f aca="false">IF(AO420&lt;&gt;1,"",IF(OR(AB420&lt;&gt;"",AD420&lt;&gt;""),4,IF(U420&lt;&gt;"",3,IF(T420&lt;&gt;"",2,1))))</f>
        <v/>
      </c>
      <c r="BE420" s="39" t="str">
        <f aca="false">IF(OR(AO420&lt;&gt;1,AR420=""),"",INDEX(NIV_REQ,AR420))</f>
        <v/>
      </c>
      <c r="BF420" s="39" t="str">
        <f aca="false">IF(BE420="","",MAX(BE420,IF(OR(K420="Oui",Z420="Oui"),4,1)))</f>
        <v/>
      </c>
      <c r="BG420" s="35" t="str">
        <f aca="false">IF(OR(BF420="",BD420=""),"",IF(BD420&gt;=BF420,1,0))</f>
        <v/>
      </c>
      <c r="BH420" s="38" t="str">
        <f aca="false">IF(BE420="","",IF(BE420&lt;2,"",IF(BE420=2,IF(AND(T420="",U420=""),"",MIN(T420,U420)),IF(U420="","",U420))))</f>
        <v/>
      </c>
      <c r="BI420" s="37" t="str">
        <f aca="false">IF(BH420="","",IF(OR(O420="",BH420=""),"",IF(BH420&lt;O420,"",ROUND(((NETWORKDAYS(O420,BH420,JoursFeries)-1)*(HFer-HOuv)+IF(NETWORKDAYS(BH420,BH420,JoursFeries),MEDIAN(MOD(BH420,1),HFer,HOuv),HFer)-IF(NETWORKDAYS(O420,O420,JoursFeries),MEDIAN(MOD(O420,1),HFer,HOuv),HOuv))*24,4))))</f>
        <v/>
      </c>
      <c r="BJ420" s="35" t="str">
        <f aca="false">IF(OR(BI420="",AR420=""),"",IF(BI420&lt;=INDEX(DELAI_ESC,AR420),1,0))</f>
        <v/>
      </c>
      <c r="BK420" s="38" t="str">
        <f aca="false">IF(AO420&lt;&gt;1,"",IF(AND(T420="",U420=""),"",MIN(T420,U420)))</f>
        <v/>
      </c>
      <c r="BL420" s="37" t="str">
        <f aca="false">IF(OR(BK420="",R420=""),"",IFERROR(ROUND(IF(OR(BK420="",R420=""),"",IF(R420&lt;BK420,"",ROUND(((NETWORKDAYS(BK420,R420,JoursFeries)-1)*(HFer-HOuv)+IF(NETWORKDAYS(R420,R420,JoursFeries),MEDIAN(MOD(R420,1),HFer,HOuv),HFer)-IF(NETWORKDAYS(BK420,BK420,JoursFeries),MEDIAN(MOD(BK420,1),HFer,HOuv),HOuv))*24,4)))/HJour,4),""))</f>
        <v/>
      </c>
      <c r="BM420" s="35" t="str">
        <f aca="false">IF(OR(AO420&lt;&gt;1,R420=""),"",IF(BD420=1,1,0))</f>
        <v/>
      </c>
      <c r="BN420" s="35" t="str">
        <f aca="false">IF(AO420&lt;&gt;1,"",IF(W420="Oui",1,0))</f>
        <v/>
      </c>
      <c r="BO420" s="35" t="str">
        <f aca="false">IF(AO420&lt;&gt;1,"",IF(X420&lt;&gt;"",1,0))</f>
        <v/>
      </c>
      <c r="BP420" s="35" t="str">
        <f aca="false">IF(AO420&lt;&gt;1,"",IF(Y420="Oui",1,0))</f>
        <v/>
      </c>
      <c r="BQ420" s="35" t="str">
        <f aca="true">IF(OR(AO420&lt;&gt;1,Z420&lt;&gt;"Oui"),"",IF(AB420="",IF(AND(AA420&lt;&gt;"",NOW()&gt;AA420),0,""),IF(AA420="","",IF(AB420&lt;=AA420,1,0))))</f>
        <v/>
      </c>
      <c r="BR420" s="38" t="str">
        <f aca="false">IF(OR(AO420&lt;&gt;1,K420&lt;&gt;"Oui",O420=""),"",IF(AC420="",O420+DORA_H_DET/24,IF(AC420-O420&lt;=DORA_H_DET/24,MIN(AC420+DORA_H_CLA/24,O420+DORA_H_DET/24),AC420+DORA_H_CLA/24)))</f>
        <v/>
      </c>
      <c r="BS420" s="35" t="str">
        <f aca="true">IF(BR420="","",IF(AD420="",IF(NOW()&gt;BR420,0,""),IF(AD420&lt;=BR420,1,0)))</f>
        <v/>
      </c>
      <c r="BT420" s="35" t="str">
        <f aca="true">IF(OR(BR420="",AD420=""),"",IF(AE420="",IF(NOW()&gt;AD420+DORA_H_INT/24,0,""),IF(AE420&lt;=AD420+DORA_H_INT/24,1,0)))</f>
        <v/>
      </c>
      <c r="BU420" s="35" t="str">
        <f aca="true">IF(OR(BR420="",AE420=""),"",IF(AF420="",IF(NOW()&gt;EDATE(AE420,DORA_M_FIN)+1,0,""),IF(AF420&lt;=EDATE(AE420,DORA_M_FIN),1,0)))</f>
        <v/>
      </c>
      <c r="BV420" s="35" t="str">
        <f aca="false">IF(BR420="","",IF(COUNT(BS420:BU420)=0,"",MIN(BS420:BU420)))</f>
        <v/>
      </c>
      <c r="BW420" s="40" t="str">
        <f aca="false">IF(AQ420&lt;&gt;1,"",IF(AND(AG420="",AH420=""),"",N(AG420)-N(AH420)))</f>
        <v/>
      </c>
      <c r="BX420" s="35" t="str">
        <f aca="true">IF(OR(AQ420&lt;&gt;1,AI420&lt;&gt;"Oui",AJ420=""),"",IF(AK420="",IF(NOW()&gt;AJ420+1,0,""),IF(AK420&lt;=AJ420,1,0)))</f>
        <v/>
      </c>
    </row>
    <row r="421" customFormat="false" ht="15" hidden="false" customHeight="false" outlineLevel="0" collapsed="false">
      <c r="B421" s="29"/>
      <c r="C421" s="29"/>
      <c r="D421" s="29"/>
      <c r="E421" s="29"/>
      <c r="F421" s="29"/>
      <c r="G421" s="29"/>
      <c r="H421" s="29"/>
      <c r="I421" s="29"/>
      <c r="J421" s="29"/>
      <c r="K421" s="29"/>
      <c r="L421" s="29"/>
      <c r="M421" s="29"/>
      <c r="N421" s="30"/>
      <c r="O421" s="30"/>
      <c r="P421" s="30"/>
      <c r="Q421" s="30"/>
      <c r="R421" s="30"/>
      <c r="S421" s="30"/>
      <c r="T421" s="30"/>
      <c r="U421" s="30"/>
      <c r="V421" s="31"/>
      <c r="W421" s="29"/>
      <c r="X421" s="29"/>
      <c r="Y421" s="29"/>
      <c r="Z421" s="29"/>
      <c r="AA421" s="30"/>
      <c r="AB421" s="30"/>
      <c r="AC421" s="30"/>
      <c r="AD421" s="30"/>
      <c r="AE421" s="30"/>
      <c r="AF421" s="32"/>
      <c r="AG421" s="33"/>
      <c r="AH421" s="33"/>
      <c r="AI421" s="29"/>
      <c r="AJ421" s="32"/>
      <c r="AK421" s="32"/>
      <c r="AL421" s="29"/>
      <c r="AN421" s="34" t="str">
        <f aca="false">IF($B421="","",IF(OR(C421="",D421="",E421="",G421="",I421="",J421="",L421="",O421="",P421=""),"Champ obligatoire manquant",IF(OR(AND(N421&lt;&gt;"",N421&gt;O421),O421&gt;P421,AND(Q421&lt;&gt;"",Q421&lt;P421),AND(R421&lt;&gt;"",R421&lt;P421),AND(S421&lt;&gt;"",S421&lt;R421),AND(S421&lt;&gt;"",R421=""),AND(T421&lt;&gt;"",T421&lt;O421),AND(U421&lt;&gt;"",U421&lt;O421)),"Chronologie incohérente",IF(AND(OR(L421="Résolu",L421="Clos"),R421=""),"Date de résolution manquante",IF(AND(L421="Clos",S421=""),"Date de clôture manquante",IF(AND(K421="Oui",AC421=""),"Classification DORA manquante","OK"))))))</f>
        <v/>
      </c>
      <c r="AO421" s="35" t="str">
        <f aca="false">IF($B421="","",IF(AND(C421="Incident",L421&lt;&gt;"Annulé"),1,0))</f>
        <v/>
      </c>
      <c r="AP421" s="35" t="str">
        <f aca="false">IF($B421="","",IF(AND(C421="Quasi-incident",L421&lt;&gt;"Annulé"),1,0))</f>
        <v/>
      </c>
      <c r="AQ421" s="35" t="str">
        <f aca="false">IF($B421="","",AO421+AP421)</f>
        <v/>
      </c>
      <c r="AR421" s="36" t="str">
        <f aca="false">IF(OR($B421="",J421=""),"",IFERROR(VALUE(LEFT(J421,1)),""))</f>
        <v/>
      </c>
      <c r="AS421" s="35" t="str">
        <f aca="false">IF(OR(AO421&lt;&gt;1,G421=""),"",IFERROR(IF(INDEX(L_SrcInterne,MATCH(G421,L_Sources,0))="Oui",1,0),""))</f>
        <v/>
      </c>
      <c r="AT421" s="37" t="str">
        <f aca="false">IF(AO421&lt;&gt;1,"",IFERROR(ROUND(IF(OR(N421="",O421=""),"",IF(O421&lt;N421,"",ROUND(((NETWORKDAYS(N421,O421,JoursFeries)-1)*(HFer-HOuv)+IF(NETWORKDAYS(O421,O421,JoursFeries),MEDIAN(MOD(O421,1),HFer,HOuv),HFer)-IF(NETWORKDAYS(N421,N421,JoursFeries),MEDIAN(MOD(N421,1),HFer,HOuv),HOuv))*24,4)))/HJour,4),""))</f>
        <v/>
      </c>
      <c r="AU421" s="37" t="str">
        <f aca="false">IF(AO421&lt;&gt;1,"",IF(OR(O421="",P421=""),"",IF(P421&lt;O421,"",ROUND(((NETWORKDAYS(O421,P421,JoursFeries)-1)*(HFer-HOuv)+IF(NETWORKDAYS(P421,P421,JoursFeries),MEDIAN(MOD(P421,1),HFer,HOuv),HFer)-IF(NETWORKDAYS(O421,O421,JoursFeries),MEDIAN(MOD(O421,1),HFer,HOuv),HOuv))*24,4))))</f>
        <v/>
      </c>
      <c r="AV421" s="37" t="str">
        <f aca="false">IF(AO421&lt;&gt;1,"",IF(OR(P421="",Q421=""),"",IF(Q421&lt;P421,"",ROUND(((NETWORKDAYS(P421,Q421,JoursFeries)-1)*(HFer-HOuv)+IF(NETWORKDAYS(Q421,Q421,JoursFeries),MEDIAN(MOD(Q421,1),HFer,HOuv),HFer)-IF(NETWORKDAYS(P421,P421,JoursFeries),MEDIAN(MOD(P421,1),HFer,HOuv),HOuv))*24,4))))</f>
        <v/>
      </c>
      <c r="AW421" s="37" t="str">
        <f aca="false">IF(AO421&lt;&gt;1,"",IFERROR(ROUND(IF(OR(P421="",R421=""),"",IF(R421&lt;P421,"",ROUND(((NETWORKDAYS(P421,R421,JoursFeries)-1)*(HFer-HOuv)+IF(NETWORKDAYS(R421,R421,JoursFeries),MEDIAN(MOD(R421,1),HFer,HOuv),HFer)-IF(NETWORKDAYS(P421,P421,JoursFeries),MEDIAN(MOD(P421,1),HFer,HOuv),HOuv))*24,4)))/HJour,4),""))</f>
        <v/>
      </c>
      <c r="AX421" s="37" t="str">
        <f aca="false">IF(AO421&lt;&gt;1,"",IFERROR(ROUND(IF(OR(P421="",S421=""),"",IF(S421&lt;P421,"",ROUND(((NETWORKDAYS(P421,S421,JoursFeries)-1)*(HFer-HOuv)+IF(NETWORKDAYS(S421,S421,JoursFeries),MEDIAN(MOD(S421,1),HFer,HOuv),HFer)-IF(NETWORKDAYS(P421,P421,JoursFeries),MEDIAN(MOD(P421,1),HFer,HOuv),HOuv))*24,4)))/HJour,4),""))</f>
        <v/>
      </c>
      <c r="AY421" s="36" t="str">
        <f aca="false">IF(OR(AO421&lt;&gt;1,AR421=""),"",INDEX(SLA_PEC,AR421))</f>
        <v/>
      </c>
      <c r="AZ421" s="35" t="str">
        <f aca="false">IF(OR(AV421="",AY421=""),"",IF(AV421&lt;=AY421,1,0))</f>
        <v/>
      </c>
      <c r="BA421" s="36" t="str">
        <f aca="false">IF(OR(AO421&lt;&gt;1,AR421=""),"",INDEX(SLA_RES,AR421))</f>
        <v/>
      </c>
      <c r="BB421" s="35" t="str">
        <f aca="false">IF(OR(AW421="",BA421=""),"",IF(AW421&lt;=BA421,1,0))</f>
        <v/>
      </c>
      <c r="BC421" s="38" t="str">
        <f aca="false">IF(OR(BA421="",P421=""),"",WORKDAY(INT(P421),BA421,JoursFeries)+MOD(P421,1))</f>
        <v/>
      </c>
      <c r="BD421" s="39" t="str">
        <f aca="false">IF(AO421&lt;&gt;1,"",IF(OR(AB421&lt;&gt;"",AD421&lt;&gt;""),4,IF(U421&lt;&gt;"",3,IF(T421&lt;&gt;"",2,1))))</f>
        <v/>
      </c>
      <c r="BE421" s="39" t="str">
        <f aca="false">IF(OR(AO421&lt;&gt;1,AR421=""),"",INDEX(NIV_REQ,AR421))</f>
        <v/>
      </c>
      <c r="BF421" s="39" t="str">
        <f aca="false">IF(BE421="","",MAX(BE421,IF(OR(K421="Oui",Z421="Oui"),4,1)))</f>
        <v/>
      </c>
      <c r="BG421" s="35" t="str">
        <f aca="false">IF(OR(BF421="",BD421=""),"",IF(BD421&gt;=BF421,1,0))</f>
        <v/>
      </c>
      <c r="BH421" s="38" t="str">
        <f aca="false">IF(BE421="","",IF(BE421&lt;2,"",IF(BE421=2,IF(AND(T421="",U421=""),"",MIN(T421,U421)),IF(U421="","",U421))))</f>
        <v/>
      </c>
      <c r="BI421" s="37" t="str">
        <f aca="false">IF(BH421="","",IF(OR(O421="",BH421=""),"",IF(BH421&lt;O421,"",ROUND(((NETWORKDAYS(O421,BH421,JoursFeries)-1)*(HFer-HOuv)+IF(NETWORKDAYS(BH421,BH421,JoursFeries),MEDIAN(MOD(BH421,1),HFer,HOuv),HFer)-IF(NETWORKDAYS(O421,O421,JoursFeries),MEDIAN(MOD(O421,1),HFer,HOuv),HOuv))*24,4))))</f>
        <v/>
      </c>
      <c r="BJ421" s="35" t="str">
        <f aca="false">IF(OR(BI421="",AR421=""),"",IF(BI421&lt;=INDEX(DELAI_ESC,AR421),1,0))</f>
        <v/>
      </c>
      <c r="BK421" s="38" t="str">
        <f aca="false">IF(AO421&lt;&gt;1,"",IF(AND(T421="",U421=""),"",MIN(T421,U421)))</f>
        <v/>
      </c>
      <c r="BL421" s="37" t="str">
        <f aca="false">IF(OR(BK421="",R421=""),"",IFERROR(ROUND(IF(OR(BK421="",R421=""),"",IF(R421&lt;BK421,"",ROUND(((NETWORKDAYS(BK421,R421,JoursFeries)-1)*(HFer-HOuv)+IF(NETWORKDAYS(R421,R421,JoursFeries),MEDIAN(MOD(R421,1),HFer,HOuv),HFer)-IF(NETWORKDAYS(BK421,BK421,JoursFeries),MEDIAN(MOD(BK421,1),HFer,HOuv),HOuv))*24,4)))/HJour,4),""))</f>
        <v/>
      </c>
      <c r="BM421" s="35" t="str">
        <f aca="false">IF(OR(AO421&lt;&gt;1,R421=""),"",IF(BD421=1,1,0))</f>
        <v/>
      </c>
      <c r="BN421" s="35" t="str">
        <f aca="false">IF(AO421&lt;&gt;1,"",IF(W421="Oui",1,0))</f>
        <v/>
      </c>
      <c r="BO421" s="35" t="str">
        <f aca="false">IF(AO421&lt;&gt;1,"",IF(X421&lt;&gt;"",1,0))</f>
        <v/>
      </c>
      <c r="BP421" s="35" t="str">
        <f aca="false">IF(AO421&lt;&gt;1,"",IF(Y421="Oui",1,0))</f>
        <v/>
      </c>
      <c r="BQ421" s="35" t="str">
        <f aca="true">IF(OR(AO421&lt;&gt;1,Z421&lt;&gt;"Oui"),"",IF(AB421="",IF(AND(AA421&lt;&gt;"",NOW()&gt;AA421),0,""),IF(AA421="","",IF(AB421&lt;=AA421,1,0))))</f>
        <v/>
      </c>
      <c r="BR421" s="38" t="str">
        <f aca="false">IF(OR(AO421&lt;&gt;1,K421&lt;&gt;"Oui",O421=""),"",IF(AC421="",O421+DORA_H_DET/24,IF(AC421-O421&lt;=DORA_H_DET/24,MIN(AC421+DORA_H_CLA/24,O421+DORA_H_DET/24),AC421+DORA_H_CLA/24)))</f>
        <v/>
      </c>
      <c r="BS421" s="35" t="str">
        <f aca="true">IF(BR421="","",IF(AD421="",IF(NOW()&gt;BR421,0,""),IF(AD421&lt;=BR421,1,0)))</f>
        <v/>
      </c>
      <c r="BT421" s="35" t="str">
        <f aca="true">IF(OR(BR421="",AD421=""),"",IF(AE421="",IF(NOW()&gt;AD421+DORA_H_INT/24,0,""),IF(AE421&lt;=AD421+DORA_H_INT/24,1,0)))</f>
        <v/>
      </c>
      <c r="BU421" s="35" t="str">
        <f aca="true">IF(OR(BR421="",AE421=""),"",IF(AF421="",IF(NOW()&gt;EDATE(AE421,DORA_M_FIN)+1,0,""),IF(AF421&lt;=EDATE(AE421,DORA_M_FIN),1,0)))</f>
        <v/>
      </c>
      <c r="BV421" s="35" t="str">
        <f aca="false">IF(BR421="","",IF(COUNT(BS421:BU421)=0,"",MIN(BS421:BU421)))</f>
        <v/>
      </c>
      <c r="BW421" s="40" t="str">
        <f aca="false">IF(AQ421&lt;&gt;1,"",IF(AND(AG421="",AH421=""),"",N(AG421)-N(AH421)))</f>
        <v/>
      </c>
      <c r="BX421" s="35" t="str">
        <f aca="true">IF(OR(AQ421&lt;&gt;1,AI421&lt;&gt;"Oui",AJ421=""),"",IF(AK421="",IF(NOW()&gt;AJ421+1,0,""),IF(AK421&lt;=AJ421,1,0)))</f>
        <v/>
      </c>
    </row>
    <row r="422" customFormat="false" ht="15" hidden="false" customHeight="false" outlineLevel="0" collapsed="false">
      <c r="B422" s="29"/>
      <c r="C422" s="29"/>
      <c r="D422" s="29"/>
      <c r="E422" s="29"/>
      <c r="F422" s="29"/>
      <c r="G422" s="29"/>
      <c r="H422" s="29"/>
      <c r="I422" s="29"/>
      <c r="J422" s="29"/>
      <c r="K422" s="29"/>
      <c r="L422" s="29"/>
      <c r="M422" s="29"/>
      <c r="N422" s="30"/>
      <c r="O422" s="30"/>
      <c r="P422" s="30"/>
      <c r="Q422" s="30"/>
      <c r="R422" s="30"/>
      <c r="S422" s="30"/>
      <c r="T422" s="30"/>
      <c r="U422" s="30"/>
      <c r="V422" s="31"/>
      <c r="W422" s="29"/>
      <c r="X422" s="29"/>
      <c r="Y422" s="29"/>
      <c r="Z422" s="29"/>
      <c r="AA422" s="30"/>
      <c r="AB422" s="30"/>
      <c r="AC422" s="30"/>
      <c r="AD422" s="30"/>
      <c r="AE422" s="30"/>
      <c r="AF422" s="32"/>
      <c r="AG422" s="33"/>
      <c r="AH422" s="33"/>
      <c r="AI422" s="29"/>
      <c r="AJ422" s="32"/>
      <c r="AK422" s="32"/>
      <c r="AL422" s="29"/>
      <c r="AN422" s="34" t="str">
        <f aca="false">IF($B422="","",IF(OR(C422="",D422="",E422="",G422="",I422="",J422="",L422="",O422="",P422=""),"Champ obligatoire manquant",IF(OR(AND(N422&lt;&gt;"",N422&gt;O422),O422&gt;P422,AND(Q422&lt;&gt;"",Q422&lt;P422),AND(R422&lt;&gt;"",R422&lt;P422),AND(S422&lt;&gt;"",S422&lt;R422),AND(S422&lt;&gt;"",R422=""),AND(T422&lt;&gt;"",T422&lt;O422),AND(U422&lt;&gt;"",U422&lt;O422)),"Chronologie incohérente",IF(AND(OR(L422="Résolu",L422="Clos"),R422=""),"Date de résolution manquante",IF(AND(L422="Clos",S422=""),"Date de clôture manquante",IF(AND(K422="Oui",AC422=""),"Classification DORA manquante","OK"))))))</f>
        <v/>
      </c>
      <c r="AO422" s="35" t="str">
        <f aca="false">IF($B422="","",IF(AND(C422="Incident",L422&lt;&gt;"Annulé"),1,0))</f>
        <v/>
      </c>
      <c r="AP422" s="35" t="str">
        <f aca="false">IF($B422="","",IF(AND(C422="Quasi-incident",L422&lt;&gt;"Annulé"),1,0))</f>
        <v/>
      </c>
      <c r="AQ422" s="35" t="str">
        <f aca="false">IF($B422="","",AO422+AP422)</f>
        <v/>
      </c>
      <c r="AR422" s="36" t="str">
        <f aca="false">IF(OR($B422="",J422=""),"",IFERROR(VALUE(LEFT(J422,1)),""))</f>
        <v/>
      </c>
      <c r="AS422" s="35" t="str">
        <f aca="false">IF(OR(AO422&lt;&gt;1,G422=""),"",IFERROR(IF(INDEX(L_SrcInterne,MATCH(G422,L_Sources,0))="Oui",1,0),""))</f>
        <v/>
      </c>
      <c r="AT422" s="37" t="str">
        <f aca="false">IF(AO422&lt;&gt;1,"",IFERROR(ROUND(IF(OR(N422="",O422=""),"",IF(O422&lt;N422,"",ROUND(((NETWORKDAYS(N422,O422,JoursFeries)-1)*(HFer-HOuv)+IF(NETWORKDAYS(O422,O422,JoursFeries),MEDIAN(MOD(O422,1),HFer,HOuv),HFer)-IF(NETWORKDAYS(N422,N422,JoursFeries),MEDIAN(MOD(N422,1),HFer,HOuv),HOuv))*24,4)))/HJour,4),""))</f>
        <v/>
      </c>
      <c r="AU422" s="37" t="str">
        <f aca="false">IF(AO422&lt;&gt;1,"",IF(OR(O422="",P422=""),"",IF(P422&lt;O422,"",ROUND(((NETWORKDAYS(O422,P422,JoursFeries)-1)*(HFer-HOuv)+IF(NETWORKDAYS(P422,P422,JoursFeries),MEDIAN(MOD(P422,1),HFer,HOuv),HFer)-IF(NETWORKDAYS(O422,O422,JoursFeries),MEDIAN(MOD(O422,1),HFer,HOuv),HOuv))*24,4))))</f>
        <v/>
      </c>
      <c r="AV422" s="37" t="str">
        <f aca="false">IF(AO422&lt;&gt;1,"",IF(OR(P422="",Q422=""),"",IF(Q422&lt;P422,"",ROUND(((NETWORKDAYS(P422,Q422,JoursFeries)-1)*(HFer-HOuv)+IF(NETWORKDAYS(Q422,Q422,JoursFeries),MEDIAN(MOD(Q422,1),HFer,HOuv),HFer)-IF(NETWORKDAYS(P422,P422,JoursFeries),MEDIAN(MOD(P422,1),HFer,HOuv),HOuv))*24,4))))</f>
        <v/>
      </c>
      <c r="AW422" s="37" t="str">
        <f aca="false">IF(AO422&lt;&gt;1,"",IFERROR(ROUND(IF(OR(P422="",R422=""),"",IF(R422&lt;P422,"",ROUND(((NETWORKDAYS(P422,R422,JoursFeries)-1)*(HFer-HOuv)+IF(NETWORKDAYS(R422,R422,JoursFeries),MEDIAN(MOD(R422,1),HFer,HOuv),HFer)-IF(NETWORKDAYS(P422,P422,JoursFeries),MEDIAN(MOD(P422,1),HFer,HOuv),HOuv))*24,4)))/HJour,4),""))</f>
        <v/>
      </c>
      <c r="AX422" s="37" t="str">
        <f aca="false">IF(AO422&lt;&gt;1,"",IFERROR(ROUND(IF(OR(P422="",S422=""),"",IF(S422&lt;P422,"",ROUND(((NETWORKDAYS(P422,S422,JoursFeries)-1)*(HFer-HOuv)+IF(NETWORKDAYS(S422,S422,JoursFeries),MEDIAN(MOD(S422,1),HFer,HOuv),HFer)-IF(NETWORKDAYS(P422,P422,JoursFeries),MEDIAN(MOD(P422,1),HFer,HOuv),HOuv))*24,4)))/HJour,4),""))</f>
        <v/>
      </c>
      <c r="AY422" s="36" t="str">
        <f aca="false">IF(OR(AO422&lt;&gt;1,AR422=""),"",INDEX(SLA_PEC,AR422))</f>
        <v/>
      </c>
      <c r="AZ422" s="35" t="str">
        <f aca="false">IF(OR(AV422="",AY422=""),"",IF(AV422&lt;=AY422,1,0))</f>
        <v/>
      </c>
      <c r="BA422" s="36" t="str">
        <f aca="false">IF(OR(AO422&lt;&gt;1,AR422=""),"",INDEX(SLA_RES,AR422))</f>
        <v/>
      </c>
      <c r="BB422" s="35" t="str">
        <f aca="false">IF(OR(AW422="",BA422=""),"",IF(AW422&lt;=BA422,1,0))</f>
        <v/>
      </c>
      <c r="BC422" s="38" t="str">
        <f aca="false">IF(OR(BA422="",P422=""),"",WORKDAY(INT(P422),BA422,JoursFeries)+MOD(P422,1))</f>
        <v/>
      </c>
      <c r="BD422" s="39" t="str">
        <f aca="false">IF(AO422&lt;&gt;1,"",IF(OR(AB422&lt;&gt;"",AD422&lt;&gt;""),4,IF(U422&lt;&gt;"",3,IF(T422&lt;&gt;"",2,1))))</f>
        <v/>
      </c>
      <c r="BE422" s="39" t="str">
        <f aca="false">IF(OR(AO422&lt;&gt;1,AR422=""),"",INDEX(NIV_REQ,AR422))</f>
        <v/>
      </c>
      <c r="BF422" s="39" t="str">
        <f aca="false">IF(BE422="","",MAX(BE422,IF(OR(K422="Oui",Z422="Oui"),4,1)))</f>
        <v/>
      </c>
      <c r="BG422" s="35" t="str">
        <f aca="false">IF(OR(BF422="",BD422=""),"",IF(BD422&gt;=BF422,1,0))</f>
        <v/>
      </c>
      <c r="BH422" s="38" t="str">
        <f aca="false">IF(BE422="","",IF(BE422&lt;2,"",IF(BE422=2,IF(AND(T422="",U422=""),"",MIN(T422,U422)),IF(U422="","",U422))))</f>
        <v/>
      </c>
      <c r="BI422" s="37" t="str">
        <f aca="false">IF(BH422="","",IF(OR(O422="",BH422=""),"",IF(BH422&lt;O422,"",ROUND(((NETWORKDAYS(O422,BH422,JoursFeries)-1)*(HFer-HOuv)+IF(NETWORKDAYS(BH422,BH422,JoursFeries),MEDIAN(MOD(BH422,1),HFer,HOuv),HFer)-IF(NETWORKDAYS(O422,O422,JoursFeries),MEDIAN(MOD(O422,1),HFer,HOuv),HOuv))*24,4))))</f>
        <v/>
      </c>
      <c r="BJ422" s="35" t="str">
        <f aca="false">IF(OR(BI422="",AR422=""),"",IF(BI422&lt;=INDEX(DELAI_ESC,AR422),1,0))</f>
        <v/>
      </c>
      <c r="BK422" s="38" t="str">
        <f aca="false">IF(AO422&lt;&gt;1,"",IF(AND(T422="",U422=""),"",MIN(T422,U422)))</f>
        <v/>
      </c>
      <c r="BL422" s="37" t="str">
        <f aca="false">IF(OR(BK422="",R422=""),"",IFERROR(ROUND(IF(OR(BK422="",R422=""),"",IF(R422&lt;BK422,"",ROUND(((NETWORKDAYS(BK422,R422,JoursFeries)-1)*(HFer-HOuv)+IF(NETWORKDAYS(R422,R422,JoursFeries),MEDIAN(MOD(R422,1),HFer,HOuv),HFer)-IF(NETWORKDAYS(BK422,BK422,JoursFeries),MEDIAN(MOD(BK422,1),HFer,HOuv),HOuv))*24,4)))/HJour,4),""))</f>
        <v/>
      </c>
      <c r="BM422" s="35" t="str">
        <f aca="false">IF(OR(AO422&lt;&gt;1,R422=""),"",IF(BD422=1,1,0))</f>
        <v/>
      </c>
      <c r="BN422" s="35" t="str">
        <f aca="false">IF(AO422&lt;&gt;1,"",IF(W422="Oui",1,0))</f>
        <v/>
      </c>
      <c r="BO422" s="35" t="str">
        <f aca="false">IF(AO422&lt;&gt;1,"",IF(X422&lt;&gt;"",1,0))</f>
        <v/>
      </c>
      <c r="BP422" s="35" t="str">
        <f aca="false">IF(AO422&lt;&gt;1,"",IF(Y422="Oui",1,0))</f>
        <v/>
      </c>
      <c r="BQ422" s="35" t="str">
        <f aca="true">IF(OR(AO422&lt;&gt;1,Z422&lt;&gt;"Oui"),"",IF(AB422="",IF(AND(AA422&lt;&gt;"",NOW()&gt;AA422),0,""),IF(AA422="","",IF(AB422&lt;=AA422,1,0))))</f>
        <v/>
      </c>
      <c r="BR422" s="38" t="str">
        <f aca="false">IF(OR(AO422&lt;&gt;1,K422&lt;&gt;"Oui",O422=""),"",IF(AC422="",O422+DORA_H_DET/24,IF(AC422-O422&lt;=DORA_H_DET/24,MIN(AC422+DORA_H_CLA/24,O422+DORA_H_DET/24),AC422+DORA_H_CLA/24)))</f>
        <v/>
      </c>
      <c r="BS422" s="35" t="str">
        <f aca="true">IF(BR422="","",IF(AD422="",IF(NOW()&gt;BR422,0,""),IF(AD422&lt;=BR422,1,0)))</f>
        <v/>
      </c>
      <c r="BT422" s="35" t="str">
        <f aca="true">IF(OR(BR422="",AD422=""),"",IF(AE422="",IF(NOW()&gt;AD422+DORA_H_INT/24,0,""),IF(AE422&lt;=AD422+DORA_H_INT/24,1,0)))</f>
        <v/>
      </c>
      <c r="BU422" s="35" t="str">
        <f aca="true">IF(OR(BR422="",AE422=""),"",IF(AF422="",IF(NOW()&gt;EDATE(AE422,DORA_M_FIN)+1,0,""),IF(AF422&lt;=EDATE(AE422,DORA_M_FIN),1,0)))</f>
        <v/>
      </c>
      <c r="BV422" s="35" t="str">
        <f aca="false">IF(BR422="","",IF(COUNT(BS422:BU422)=0,"",MIN(BS422:BU422)))</f>
        <v/>
      </c>
      <c r="BW422" s="40" t="str">
        <f aca="false">IF(AQ422&lt;&gt;1,"",IF(AND(AG422="",AH422=""),"",N(AG422)-N(AH422)))</f>
        <v/>
      </c>
      <c r="BX422" s="35" t="str">
        <f aca="true">IF(OR(AQ422&lt;&gt;1,AI422&lt;&gt;"Oui",AJ422=""),"",IF(AK422="",IF(NOW()&gt;AJ422+1,0,""),IF(AK422&lt;=AJ422,1,0)))</f>
        <v/>
      </c>
    </row>
    <row r="423" customFormat="false" ht="15" hidden="false" customHeight="false" outlineLevel="0" collapsed="false">
      <c r="B423" s="29"/>
      <c r="C423" s="29"/>
      <c r="D423" s="29"/>
      <c r="E423" s="29"/>
      <c r="F423" s="29"/>
      <c r="G423" s="29"/>
      <c r="H423" s="29"/>
      <c r="I423" s="29"/>
      <c r="J423" s="29"/>
      <c r="K423" s="29"/>
      <c r="L423" s="29"/>
      <c r="M423" s="29"/>
      <c r="N423" s="30"/>
      <c r="O423" s="30"/>
      <c r="P423" s="30"/>
      <c r="Q423" s="30"/>
      <c r="R423" s="30"/>
      <c r="S423" s="30"/>
      <c r="T423" s="30"/>
      <c r="U423" s="30"/>
      <c r="V423" s="31"/>
      <c r="W423" s="29"/>
      <c r="X423" s="29"/>
      <c r="Y423" s="29"/>
      <c r="Z423" s="29"/>
      <c r="AA423" s="30"/>
      <c r="AB423" s="30"/>
      <c r="AC423" s="30"/>
      <c r="AD423" s="30"/>
      <c r="AE423" s="30"/>
      <c r="AF423" s="32"/>
      <c r="AG423" s="33"/>
      <c r="AH423" s="33"/>
      <c r="AI423" s="29"/>
      <c r="AJ423" s="32"/>
      <c r="AK423" s="32"/>
      <c r="AL423" s="29"/>
      <c r="AN423" s="34" t="str">
        <f aca="false">IF($B423="","",IF(OR(C423="",D423="",E423="",G423="",I423="",J423="",L423="",O423="",P423=""),"Champ obligatoire manquant",IF(OR(AND(N423&lt;&gt;"",N423&gt;O423),O423&gt;P423,AND(Q423&lt;&gt;"",Q423&lt;P423),AND(R423&lt;&gt;"",R423&lt;P423),AND(S423&lt;&gt;"",S423&lt;R423),AND(S423&lt;&gt;"",R423=""),AND(T423&lt;&gt;"",T423&lt;O423),AND(U423&lt;&gt;"",U423&lt;O423)),"Chronologie incohérente",IF(AND(OR(L423="Résolu",L423="Clos"),R423=""),"Date de résolution manquante",IF(AND(L423="Clos",S423=""),"Date de clôture manquante",IF(AND(K423="Oui",AC423=""),"Classification DORA manquante","OK"))))))</f>
        <v/>
      </c>
      <c r="AO423" s="35" t="str">
        <f aca="false">IF($B423="","",IF(AND(C423="Incident",L423&lt;&gt;"Annulé"),1,0))</f>
        <v/>
      </c>
      <c r="AP423" s="35" t="str">
        <f aca="false">IF($B423="","",IF(AND(C423="Quasi-incident",L423&lt;&gt;"Annulé"),1,0))</f>
        <v/>
      </c>
      <c r="AQ423" s="35" t="str">
        <f aca="false">IF($B423="","",AO423+AP423)</f>
        <v/>
      </c>
      <c r="AR423" s="36" t="str">
        <f aca="false">IF(OR($B423="",J423=""),"",IFERROR(VALUE(LEFT(J423,1)),""))</f>
        <v/>
      </c>
      <c r="AS423" s="35" t="str">
        <f aca="false">IF(OR(AO423&lt;&gt;1,G423=""),"",IFERROR(IF(INDEX(L_SrcInterne,MATCH(G423,L_Sources,0))="Oui",1,0),""))</f>
        <v/>
      </c>
      <c r="AT423" s="37" t="str">
        <f aca="false">IF(AO423&lt;&gt;1,"",IFERROR(ROUND(IF(OR(N423="",O423=""),"",IF(O423&lt;N423,"",ROUND(((NETWORKDAYS(N423,O423,JoursFeries)-1)*(HFer-HOuv)+IF(NETWORKDAYS(O423,O423,JoursFeries),MEDIAN(MOD(O423,1),HFer,HOuv),HFer)-IF(NETWORKDAYS(N423,N423,JoursFeries),MEDIAN(MOD(N423,1),HFer,HOuv),HOuv))*24,4)))/HJour,4),""))</f>
        <v/>
      </c>
      <c r="AU423" s="37" t="str">
        <f aca="false">IF(AO423&lt;&gt;1,"",IF(OR(O423="",P423=""),"",IF(P423&lt;O423,"",ROUND(((NETWORKDAYS(O423,P423,JoursFeries)-1)*(HFer-HOuv)+IF(NETWORKDAYS(P423,P423,JoursFeries),MEDIAN(MOD(P423,1),HFer,HOuv),HFer)-IF(NETWORKDAYS(O423,O423,JoursFeries),MEDIAN(MOD(O423,1),HFer,HOuv),HOuv))*24,4))))</f>
        <v/>
      </c>
      <c r="AV423" s="37" t="str">
        <f aca="false">IF(AO423&lt;&gt;1,"",IF(OR(P423="",Q423=""),"",IF(Q423&lt;P423,"",ROUND(((NETWORKDAYS(P423,Q423,JoursFeries)-1)*(HFer-HOuv)+IF(NETWORKDAYS(Q423,Q423,JoursFeries),MEDIAN(MOD(Q423,1),HFer,HOuv),HFer)-IF(NETWORKDAYS(P423,P423,JoursFeries),MEDIAN(MOD(P423,1),HFer,HOuv),HOuv))*24,4))))</f>
        <v/>
      </c>
      <c r="AW423" s="37" t="str">
        <f aca="false">IF(AO423&lt;&gt;1,"",IFERROR(ROUND(IF(OR(P423="",R423=""),"",IF(R423&lt;P423,"",ROUND(((NETWORKDAYS(P423,R423,JoursFeries)-1)*(HFer-HOuv)+IF(NETWORKDAYS(R423,R423,JoursFeries),MEDIAN(MOD(R423,1),HFer,HOuv),HFer)-IF(NETWORKDAYS(P423,P423,JoursFeries),MEDIAN(MOD(P423,1),HFer,HOuv),HOuv))*24,4)))/HJour,4),""))</f>
        <v/>
      </c>
      <c r="AX423" s="37" t="str">
        <f aca="false">IF(AO423&lt;&gt;1,"",IFERROR(ROUND(IF(OR(P423="",S423=""),"",IF(S423&lt;P423,"",ROUND(((NETWORKDAYS(P423,S423,JoursFeries)-1)*(HFer-HOuv)+IF(NETWORKDAYS(S423,S423,JoursFeries),MEDIAN(MOD(S423,1),HFer,HOuv),HFer)-IF(NETWORKDAYS(P423,P423,JoursFeries),MEDIAN(MOD(P423,1),HFer,HOuv),HOuv))*24,4)))/HJour,4),""))</f>
        <v/>
      </c>
      <c r="AY423" s="36" t="str">
        <f aca="false">IF(OR(AO423&lt;&gt;1,AR423=""),"",INDEX(SLA_PEC,AR423))</f>
        <v/>
      </c>
      <c r="AZ423" s="35" t="str">
        <f aca="false">IF(OR(AV423="",AY423=""),"",IF(AV423&lt;=AY423,1,0))</f>
        <v/>
      </c>
      <c r="BA423" s="36" t="str">
        <f aca="false">IF(OR(AO423&lt;&gt;1,AR423=""),"",INDEX(SLA_RES,AR423))</f>
        <v/>
      </c>
      <c r="BB423" s="35" t="str">
        <f aca="false">IF(OR(AW423="",BA423=""),"",IF(AW423&lt;=BA423,1,0))</f>
        <v/>
      </c>
      <c r="BC423" s="38" t="str">
        <f aca="false">IF(OR(BA423="",P423=""),"",WORKDAY(INT(P423),BA423,JoursFeries)+MOD(P423,1))</f>
        <v/>
      </c>
      <c r="BD423" s="39" t="str">
        <f aca="false">IF(AO423&lt;&gt;1,"",IF(OR(AB423&lt;&gt;"",AD423&lt;&gt;""),4,IF(U423&lt;&gt;"",3,IF(T423&lt;&gt;"",2,1))))</f>
        <v/>
      </c>
      <c r="BE423" s="39" t="str">
        <f aca="false">IF(OR(AO423&lt;&gt;1,AR423=""),"",INDEX(NIV_REQ,AR423))</f>
        <v/>
      </c>
      <c r="BF423" s="39" t="str">
        <f aca="false">IF(BE423="","",MAX(BE423,IF(OR(K423="Oui",Z423="Oui"),4,1)))</f>
        <v/>
      </c>
      <c r="BG423" s="35" t="str">
        <f aca="false">IF(OR(BF423="",BD423=""),"",IF(BD423&gt;=BF423,1,0))</f>
        <v/>
      </c>
      <c r="BH423" s="38" t="str">
        <f aca="false">IF(BE423="","",IF(BE423&lt;2,"",IF(BE423=2,IF(AND(T423="",U423=""),"",MIN(T423,U423)),IF(U423="","",U423))))</f>
        <v/>
      </c>
      <c r="BI423" s="37" t="str">
        <f aca="false">IF(BH423="","",IF(OR(O423="",BH423=""),"",IF(BH423&lt;O423,"",ROUND(((NETWORKDAYS(O423,BH423,JoursFeries)-1)*(HFer-HOuv)+IF(NETWORKDAYS(BH423,BH423,JoursFeries),MEDIAN(MOD(BH423,1),HFer,HOuv),HFer)-IF(NETWORKDAYS(O423,O423,JoursFeries),MEDIAN(MOD(O423,1),HFer,HOuv),HOuv))*24,4))))</f>
        <v/>
      </c>
      <c r="BJ423" s="35" t="str">
        <f aca="false">IF(OR(BI423="",AR423=""),"",IF(BI423&lt;=INDEX(DELAI_ESC,AR423),1,0))</f>
        <v/>
      </c>
      <c r="BK423" s="38" t="str">
        <f aca="false">IF(AO423&lt;&gt;1,"",IF(AND(T423="",U423=""),"",MIN(T423,U423)))</f>
        <v/>
      </c>
      <c r="BL423" s="37" t="str">
        <f aca="false">IF(OR(BK423="",R423=""),"",IFERROR(ROUND(IF(OR(BK423="",R423=""),"",IF(R423&lt;BK423,"",ROUND(((NETWORKDAYS(BK423,R423,JoursFeries)-1)*(HFer-HOuv)+IF(NETWORKDAYS(R423,R423,JoursFeries),MEDIAN(MOD(R423,1),HFer,HOuv),HFer)-IF(NETWORKDAYS(BK423,BK423,JoursFeries),MEDIAN(MOD(BK423,1),HFer,HOuv),HOuv))*24,4)))/HJour,4),""))</f>
        <v/>
      </c>
      <c r="BM423" s="35" t="str">
        <f aca="false">IF(OR(AO423&lt;&gt;1,R423=""),"",IF(BD423=1,1,0))</f>
        <v/>
      </c>
      <c r="BN423" s="35" t="str">
        <f aca="false">IF(AO423&lt;&gt;1,"",IF(W423="Oui",1,0))</f>
        <v/>
      </c>
      <c r="BO423" s="35" t="str">
        <f aca="false">IF(AO423&lt;&gt;1,"",IF(X423&lt;&gt;"",1,0))</f>
        <v/>
      </c>
      <c r="BP423" s="35" t="str">
        <f aca="false">IF(AO423&lt;&gt;1,"",IF(Y423="Oui",1,0))</f>
        <v/>
      </c>
      <c r="BQ423" s="35" t="str">
        <f aca="true">IF(OR(AO423&lt;&gt;1,Z423&lt;&gt;"Oui"),"",IF(AB423="",IF(AND(AA423&lt;&gt;"",NOW()&gt;AA423),0,""),IF(AA423="","",IF(AB423&lt;=AA423,1,0))))</f>
        <v/>
      </c>
      <c r="BR423" s="38" t="str">
        <f aca="false">IF(OR(AO423&lt;&gt;1,K423&lt;&gt;"Oui",O423=""),"",IF(AC423="",O423+DORA_H_DET/24,IF(AC423-O423&lt;=DORA_H_DET/24,MIN(AC423+DORA_H_CLA/24,O423+DORA_H_DET/24),AC423+DORA_H_CLA/24)))</f>
        <v/>
      </c>
      <c r="BS423" s="35" t="str">
        <f aca="true">IF(BR423="","",IF(AD423="",IF(NOW()&gt;BR423,0,""),IF(AD423&lt;=BR423,1,0)))</f>
        <v/>
      </c>
      <c r="BT423" s="35" t="str">
        <f aca="true">IF(OR(BR423="",AD423=""),"",IF(AE423="",IF(NOW()&gt;AD423+DORA_H_INT/24,0,""),IF(AE423&lt;=AD423+DORA_H_INT/24,1,0)))</f>
        <v/>
      </c>
      <c r="BU423" s="35" t="str">
        <f aca="true">IF(OR(BR423="",AE423=""),"",IF(AF423="",IF(NOW()&gt;EDATE(AE423,DORA_M_FIN)+1,0,""),IF(AF423&lt;=EDATE(AE423,DORA_M_FIN),1,0)))</f>
        <v/>
      </c>
      <c r="BV423" s="35" t="str">
        <f aca="false">IF(BR423="","",IF(COUNT(BS423:BU423)=0,"",MIN(BS423:BU423)))</f>
        <v/>
      </c>
      <c r="BW423" s="40" t="str">
        <f aca="false">IF(AQ423&lt;&gt;1,"",IF(AND(AG423="",AH423=""),"",N(AG423)-N(AH423)))</f>
        <v/>
      </c>
      <c r="BX423" s="35" t="str">
        <f aca="true">IF(OR(AQ423&lt;&gt;1,AI423&lt;&gt;"Oui",AJ423=""),"",IF(AK423="",IF(NOW()&gt;AJ423+1,0,""),IF(AK423&lt;=AJ423,1,0)))</f>
        <v/>
      </c>
    </row>
    <row r="424" customFormat="false" ht="15" hidden="false" customHeight="false" outlineLevel="0" collapsed="false">
      <c r="B424" s="29"/>
      <c r="C424" s="29"/>
      <c r="D424" s="29"/>
      <c r="E424" s="29"/>
      <c r="F424" s="29"/>
      <c r="G424" s="29"/>
      <c r="H424" s="29"/>
      <c r="I424" s="29"/>
      <c r="J424" s="29"/>
      <c r="K424" s="29"/>
      <c r="L424" s="29"/>
      <c r="M424" s="29"/>
      <c r="N424" s="30"/>
      <c r="O424" s="30"/>
      <c r="P424" s="30"/>
      <c r="Q424" s="30"/>
      <c r="R424" s="30"/>
      <c r="S424" s="30"/>
      <c r="T424" s="30"/>
      <c r="U424" s="30"/>
      <c r="V424" s="31"/>
      <c r="W424" s="29"/>
      <c r="X424" s="29"/>
      <c r="Y424" s="29"/>
      <c r="Z424" s="29"/>
      <c r="AA424" s="30"/>
      <c r="AB424" s="30"/>
      <c r="AC424" s="30"/>
      <c r="AD424" s="30"/>
      <c r="AE424" s="30"/>
      <c r="AF424" s="32"/>
      <c r="AG424" s="33"/>
      <c r="AH424" s="33"/>
      <c r="AI424" s="29"/>
      <c r="AJ424" s="32"/>
      <c r="AK424" s="32"/>
      <c r="AL424" s="29"/>
      <c r="AN424" s="34" t="str">
        <f aca="false">IF($B424="","",IF(OR(C424="",D424="",E424="",G424="",I424="",J424="",L424="",O424="",P424=""),"Champ obligatoire manquant",IF(OR(AND(N424&lt;&gt;"",N424&gt;O424),O424&gt;P424,AND(Q424&lt;&gt;"",Q424&lt;P424),AND(R424&lt;&gt;"",R424&lt;P424),AND(S424&lt;&gt;"",S424&lt;R424),AND(S424&lt;&gt;"",R424=""),AND(T424&lt;&gt;"",T424&lt;O424),AND(U424&lt;&gt;"",U424&lt;O424)),"Chronologie incohérente",IF(AND(OR(L424="Résolu",L424="Clos"),R424=""),"Date de résolution manquante",IF(AND(L424="Clos",S424=""),"Date de clôture manquante",IF(AND(K424="Oui",AC424=""),"Classification DORA manquante","OK"))))))</f>
        <v/>
      </c>
      <c r="AO424" s="35" t="str">
        <f aca="false">IF($B424="","",IF(AND(C424="Incident",L424&lt;&gt;"Annulé"),1,0))</f>
        <v/>
      </c>
      <c r="AP424" s="35" t="str">
        <f aca="false">IF($B424="","",IF(AND(C424="Quasi-incident",L424&lt;&gt;"Annulé"),1,0))</f>
        <v/>
      </c>
      <c r="AQ424" s="35" t="str">
        <f aca="false">IF($B424="","",AO424+AP424)</f>
        <v/>
      </c>
      <c r="AR424" s="36" t="str">
        <f aca="false">IF(OR($B424="",J424=""),"",IFERROR(VALUE(LEFT(J424,1)),""))</f>
        <v/>
      </c>
      <c r="AS424" s="35" t="str">
        <f aca="false">IF(OR(AO424&lt;&gt;1,G424=""),"",IFERROR(IF(INDEX(L_SrcInterne,MATCH(G424,L_Sources,0))="Oui",1,0),""))</f>
        <v/>
      </c>
      <c r="AT424" s="37" t="str">
        <f aca="false">IF(AO424&lt;&gt;1,"",IFERROR(ROUND(IF(OR(N424="",O424=""),"",IF(O424&lt;N424,"",ROUND(((NETWORKDAYS(N424,O424,JoursFeries)-1)*(HFer-HOuv)+IF(NETWORKDAYS(O424,O424,JoursFeries),MEDIAN(MOD(O424,1),HFer,HOuv),HFer)-IF(NETWORKDAYS(N424,N424,JoursFeries),MEDIAN(MOD(N424,1),HFer,HOuv),HOuv))*24,4)))/HJour,4),""))</f>
        <v/>
      </c>
      <c r="AU424" s="37" t="str">
        <f aca="false">IF(AO424&lt;&gt;1,"",IF(OR(O424="",P424=""),"",IF(P424&lt;O424,"",ROUND(((NETWORKDAYS(O424,P424,JoursFeries)-1)*(HFer-HOuv)+IF(NETWORKDAYS(P424,P424,JoursFeries),MEDIAN(MOD(P424,1),HFer,HOuv),HFer)-IF(NETWORKDAYS(O424,O424,JoursFeries),MEDIAN(MOD(O424,1),HFer,HOuv),HOuv))*24,4))))</f>
        <v/>
      </c>
      <c r="AV424" s="37" t="str">
        <f aca="false">IF(AO424&lt;&gt;1,"",IF(OR(P424="",Q424=""),"",IF(Q424&lt;P424,"",ROUND(((NETWORKDAYS(P424,Q424,JoursFeries)-1)*(HFer-HOuv)+IF(NETWORKDAYS(Q424,Q424,JoursFeries),MEDIAN(MOD(Q424,1),HFer,HOuv),HFer)-IF(NETWORKDAYS(P424,P424,JoursFeries),MEDIAN(MOD(P424,1),HFer,HOuv),HOuv))*24,4))))</f>
        <v/>
      </c>
      <c r="AW424" s="37" t="str">
        <f aca="false">IF(AO424&lt;&gt;1,"",IFERROR(ROUND(IF(OR(P424="",R424=""),"",IF(R424&lt;P424,"",ROUND(((NETWORKDAYS(P424,R424,JoursFeries)-1)*(HFer-HOuv)+IF(NETWORKDAYS(R424,R424,JoursFeries),MEDIAN(MOD(R424,1),HFer,HOuv),HFer)-IF(NETWORKDAYS(P424,P424,JoursFeries),MEDIAN(MOD(P424,1),HFer,HOuv),HOuv))*24,4)))/HJour,4),""))</f>
        <v/>
      </c>
      <c r="AX424" s="37" t="str">
        <f aca="false">IF(AO424&lt;&gt;1,"",IFERROR(ROUND(IF(OR(P424="",S424=""),"",IF(S424&lt;P424,"",ROUND(((NETWORKDAYS(P424,S424,JoursFeries)-1)*(HFer-HOuv)+IF(NETWORKDAYS(S424,S424,JoursFeries),MEDIAN(MOD(S424,1),HFer,HOuv),HFer)-IF(NETWORKDAYS(P424,P424,JoursFeries),MEDIAN(MOD(P424,1),HFer,HOuv),HOuv))*24,4)))/HJour,4),""))</f>
        <v/>
      </c>
      <c r="AY424" s="36" t="str">
        <f aca="false">IF(OR(AO424&lt;&gt;1,AR424=""),"",INDEX(SLA_PEC,AR424))</f>
        <v/>
      </c>
      <c r="AZ424" s="35" t="str">
        <f aca="false">IF(OR(AV424="",AY424=""),"",IF(AV424&lt;=AY424,1,0))</f>
        <v/>
      </c>
      <c r="BA424" s="36" t="str">
        <f aca="false">IF(OR(AO424&lt;&gt;1,AR424=""),"",INDEX(SLA_RES,AR424))</f>
        <v/>
      </c>
      <c r="BB424" s="35" t="str">
        <f aca="false">IF(OR(AW424="",BA424=""),"",IF(AW424&lt;=BA424,1,0))</f>
        <v/>
      </c>
      <c r="BC424" s="38" t="str">
        <f aca="false">IF(OR(BA424="",P424=""),"",WORKDAY(INT(P424),BA424,JoursFeries)+MOD(P424,1))</f>
        <v/>
      </c>
      <c r="BD424" s="39" t="str">
        <f aca="false">IF(AO424&lt;&gt;1,"",IF(OR(AB424&lt;&gt;"",AD424&lt;&gt;""),4,IF(U424&lt;&gt;"",3,IF(T424&lt;&gt;"",2,1))))</f>
        <v/>
      </c>
      <c r="BE424" s="39" t="str">
        <f aca="false">IF(OR(AO424&lt;&gt;1,AR424=""),"",INDEX(NIV_REQ,AR424))</f>
        <v/>
      </c>
      <c r="BF424" s="39" t="str">
        <f aca="false">IF(BE424="","",MAX(BE424,IF(OR(K424="Oui",Z424="Oui"),4,1)))</f>
        <v/>
      </c>
      <c r="BG424" s="35" t="str">
        <f aca="false">IF(OR(BF424="",BD424=""),"",IF(BD424&gt;=BF424,1,0))</f>
        <v/>
      </c>
      <c r="BH424" s="38" t="str">
        <f aca="false">IF(BE424="","",IF(BE424&lt;2,"",IF(BE424=2,IF(AND(T424="",U424=""),"",MIN(T424,U424)),IF(U424="","",U424))))</f>
        <v/>
      </c>
      <c r="BI424" s="37" t="str">
        <f aca="false">IF(BH424="","",IF(OR(O424="",BH424=""),"",IF(BH424&lt;O424,"",ROUND(((NETWORKDAYS(O424,BH424,JoursFeries)-1)*(HFer-HOuv)+IF(NETWORKDAYS(BH424,BH424,JoursFeries),MEDIAN(MOD(BH424,1),HFer,HOuv),HFer)-IF(NETWORKDAYS(O424,O424,JoursFeries),MEDIAN(MOD(O424,1),HFer,HOuv),HOuv))*24,4))))</f>
        <v/>
      </c>
      <c r="BJ424" s="35" t="str">
        <f aca="false">IF(OR(BI424="",AR424=""),"",IF(BI424&lt;=INDEX(DELAI_ESC,AR424),1,0))</f>
        <v/>
      </c>
      <c r="BK424" s="38" t="str">
        <f aca="false">IF(AO424&lt;&gt;1,"",IF(AND(T424="",U424=""),"",MIN(T424,U424)))</f>
        <v/>
      </c>
      <c r="BL424" s="37" t="str">
        <f aca="false">IF(OR(BK424="",R424=""),"",IFERROR(ROUND(IF(OR(BK424="",R424=""),"",IF(R424&lt;BK424,"",ROUND(((NETWORKDAYS(BK424,R424,JoursFeries)-1)*(HFer-HOuv)+IF(NETWORKDAYS(R424,R424,JoursFeries),MEDIAN(MOD(R424,1),HFer,HOuv),HFer)-IF(NETWORKDAYS(BK424,BK424,JoursFeries),MEDIAN(MOD(BK424,1),HFer,HOuv),HOuv))*24,4)))/HJour,4),""))</f>
        <v/>
      </c>
      <c r="BM424" s="35" t="str">
        <f aca="false">IF(OR(AO424&lt;&gt;1,R424=""),"",IF(BD424=1,1,0))</f>
        <v/>
      </c>
      <c r="BN424" s="35" t="str">
        <f aca="false">IF(AO424&lt;&gt;1,"",IF(W424="Oui",1,0))</f>
        <v/>
      </c>
      <c r="BO424" s="35" t="str">
        <f aca="false">IF(AO424&lt;&gt;1,"",IF(X424&lt;&gt;"",1,0))</f>
        <v/>
      </c>
      <c r="BP424" s="35" t="str">
        <f aca="false">IF(AO424&lt;&gt;1,"",IF(Y424="Oui",1,0))</f>
        <v/>
      </c>
      <c r="BQ424" s="35" t="str">
        <f aca="true">IF(OR(AO424&lt;&gt;1,Z424&lt;&gt;"Oui"),"",IF(AB424="",IF(AND(AA424&lt;&gt;"",NOW()&gt;AA424),0,""),IF(AA424="","",IF(AB424&lt;=AA424,1,0))))</f>
        <v/>
      </c>
      <c r="BR424" s="38" t="str">
        <f aca="false">IF(OR(AO424&lt;&gt;1,K424&lt;&gt;"Oui",O424=""),"",IF(AC424="",O424+DORA_H_DET/24,IF(AC424-O424&lt;=DORA_H_DET/24,MIN(AC424+DORA_H_CLA/24,O424+DORA_H_DET/24),AC424+DORA_H_CLA/24)))</f>
        <v/>
      </c>
      <c r="BS424" s="35" t="str">
        <f aca="true">IF(BR424="","",IF(AD424="",IF(NOW()&gt;BR424,0,""),IF(AD424&lt;=BR424,1,0)))</f>
        <v/>
      </c>
      <c r="BT424" s="35" t="str">
        <f aca="true">IF(OR(BR424="",AD424=""),"",IF(AE424="",IF(NOW()&gt;AD424+DORA_H_INT/24,0,""),IF(AE424&lt;=AD424+DORA_H_INT/24,1,0)))</f>
        <v/>
      </c>
      <c r="BU424" s="35" t="str">
        <f aca="true">IF(OR(BR424="",AE424=""),"",IF(AF424="",IF(NOW()&gt;EDATE(AE424,DORA_M_FIN)+1,0,""),IF(AF424&lt;=EDATE(AE424,DORA_M_FIN),1,0)))</f>
        <v/>
      </c>
      <c r="BV424" s="35" t="str">
        <f aca="false">IF(BR424="","",IF(COUNT(BS424:BU424)=0,"",MIN(BS424:BU424)))</f>
        <v/>
      </c>
      <c r="BW424" s="40" t="str">
        <f aca="false">IF(AQ424&lt;&gt;1,"",IF(AND(AG424="",AH424=""),"",N(AG424)-N(AH424)))</f>
        <v/>
      </c>
      <c r="BX424" s="35" t="str">
        <f aca="true">IF(OR(AQ424&lt;&gt;1,AI424&lt;&gt;"Oui",AJ424=""),"",IF(AK424="",IF(NOW()&gt;AJ424+1,0,""),IF(AK424&lt;=AJ424,1,0)))</f>
        <v/>
      </c>
    </row>
    <row r="425" customFormat="false" ht="15" hidden="false" customHeight="false" outlineLevel="0" collapsed="false">
      <c r="B425" s="29"/>
      <c r="C425" s="29"/>
      <c r="D425" s="29"/>
      <c r="E425" s="29"/>
      <c r="F425" s="29"/>
      <c r="G425" s="29"/>
      <c r="H425" s="29"/>
      <c r="I425" s="29"/>
      <c r="J425" s="29"/>
      <c r="K425" s="29"/>
      <c r="L425" s="29"/>
      <c r="M425" s="29"/>
      <c r="N425" s="30"/>
      <c r="O425" s="30"/>
      <c r="P425" s="30"/>
      <c r="Q425" s="30"/>
      <c r="R425" s="30"/>
      <c r="S425" s="30"/>
      <c r="T425" s="30"/>
      <c r="U425" s="30"/>
      <c r="V425" s="31"/>
      <c r="W425" s="29"/>
      <c r="X425" s="29"/>
      <c r="Y425" s="29"/>
      <c r="Z425" s="29"/>
      <c r="AA425" s="30"/>
      <c r="AB425" s="30"/>
      <c r="AC425" s="30"/>
      <c r="AD425" s="30"/>
      <c r="AE425" s="30"/>
      <c r="AF425" s="32"/>
      <c r="AG425" s="33"/>
      <c r="AH425" s="33"/>
      <c r="AI425" s="29"/>
      <c r="AJ425" s="32"/>
      <c r="AK425" s="32"/>
      <c r="AL425" s="29"/>
      <c r="AN425" s="34" t="str">
        <f aca="false">IF($B425="","",IF(OR(C425="",D425="",E425="",G425="",I425="",J425="",L425="",O425="",P425=""),"Champ obligatoire manquant",IF(OR(AND(N425&lt;&gt;"",N425&gt;O425),O425&gt;P425,AND(Q425&lt;&gt;"",Q425&lt;P425),AND(R425&lt;&gt;"",R425&lt;P425),AND(S425&lt;&gt;"",S425&lt;R425),AND(S425&lt;&gt;"",R425=""),AND(T425&lt;&gt;"",T425&lt;O425),AND(U425&lt;&gt;"",U425&lt;O425)),"Chronologie incohérente",IF(AND(OR(L425="Résolu",L425="Clos"),R425=""),"Date de résolution manquante",IF(AND(L425="Clos",S425=""),"Date de clôture manquante",IF(AND(K425="Oui",AC425=""),"Classification DORA manquante","OK"))))))</f>
        <v/>
      </c>
      <c r="AO425" s="35" t="str">
        <f aca="false">IF($B425="","",IF(AND(C425="Incident",L425&lt;&gt;"Annulé"),1,0))</f>
        <v/>
      </c>
      <c r="AP425" s="35" t="str">
        <f aca="false">IF($B425="","",IF(AND(C425="Quasi-incident",L425&lt;&gt;"Annulé"),1,0))</f>
        <v/>
      </c>
      <c r="AQ425" s="35" t="str">
        <f aca="false">IF($B425="","",AO425+AP425)</f>
        <v/>
      </c>
      <c r="AR425" s="36" t="str">
        <f aca="false">IF(OR($B425="",J425=""),"",IFERROR(VALUE(LEFT(J425,1)),""))</f>
        <v/>
      </c>
      <c r="AS425" s="35" t="str">
        <f aca="false">IF(OR(AO425&lt;&gt;1,G425=""),"",IFERROR(IF(INDEX(L_SrcInterne,MATCH(G425,L_Sources,0))="Oui",1,0),""))</f>
        <v/>
      </c>
      <c r="AT425" s="37" t="str">
        <f aca="false">IF(AO425&lt;&gt;1,"",IFERROR(ROUND(IF(OR(N425="",O425=""),"",IF(O425&lt;N425,"",ROUND(((NETWORKDAYS(N425,O425,JoursFeries)-1)*(HFer-HOuv)+IF(NETWORKDAYS(O425,O425,JoursFeries),MEDIAN(MOD(O425,1),HFer,HOuv),HFer)-IF(NETWORKDAYS(N425,N425,JoursFeries),MEDIAN(MOD(N425,1),HFer,HOuv),HOuv))*24,4)))/HJour,4),""))</f>
        <v/>
      </c>
      <c r="AU425" s="37" t="str">
        <f aca="false">IF(AO425&lt;&gt;1,"",IF(OR(O425="",P425=""),"",IF(P425&lt;O425,"",ROUND(((NETWORKDAYS(O425,P425,JoursFeries)-1)*(HFer-HOuv)+IF(NETWORKDAYS(P425,P425,JoursFeries),MEDIAN(MOD(P425,1),HFer,HOuv),HFer)-IF(NETWORKDAYS(O425,O425,JoursFeries),MEDIAN(MOD(O425,1),HFer,HOuv),HOuv))*24,4))))</f>
        <v/>
      </c>
      <c r="AV425" s="37" t="str">
        <f aca="false">IF(AO425&lt;&gt;1,"",IF(OR(P425="",Q425=""),"",IF(Q425&lt;P425,"",ROUND(((NETWORKDAYS(P425,Q425,JoursFeries)-1)*(HFer-HOuv)+IF(NETWORKDAYS(Q425,Q425,JoursFeries),MEDIAN(MOD(Q425,1),HFer,HOuv),HFer)-IF(NETWORKDAYS(P425,P425,JoursFeries),MEDIAN(MOD(P425,1),HFer,HOuv),HOuv))*24,4))))</f>
        <v/>
      </c>
      <c r="AW425" s="37" t="str">
        <f aca="false">IF(AO425&lt;&gt;1,"",IFERROR(ROUND(IF(OR(P425="",R425=""),"",IF(R425&lt;P425,"",ROUND(((NETWORKDAYS(P425,R425,JoursFeries)-1)*(HFer-HOuv)+IF(NETWORKDAYS(R425,R425,JoursFeries),MEDIAN(MOD(R425,1),HFer,HOuv),HFer)-IF(NETWORKDAYS(P425,P425,JoursFeries),MEDIAN(MOD(P425,1),HFer,HOuv),HOuv))*24,4)))/HJour,4),""))</f>
        <v/>
      </c>
      <c r="AX425" s="37" t="str">
        <f aca="false">IF(AO425&lt;&gt;1,"",IFERROR(ROUND(IF(OR(P425="",S425=""),"",IF(S425&lt;P425,"",ROUND(((NETWORKDAYS(P425,S425,JoursFeries)-1)*(HFer-HOuv)+IF(NETWORKDAYS(S425,S425,JoursFeries),MEDIAN(MOD(S425,1),HFer,HOuv),HFer)-IF(NETWORKDAYS(P425,P425,JoursFeries),MEDIAN(MOD(P425,1),HFer,HOuv),HOuv))*24,4)))/HJour,4),""))</f>
        <v/>
      </c>
      <c r="AY425" s="36" t="str">
        <f aca="false">IF(OR(AO425&lt;&gt;1,AR425=""),"",INDEX(SLA_PEC,AR425))</f>
        <v/>
      </c>
      <c r="AZ425" s="35" t="str">
        <f aca="false">IF(OR(AV425="",AY425=""),"",IF(AV425&lt;=AY425,1,0))</f>
        <v/>
      </c>
      <c r="BA425" s="36" t="str">
        <f aca="false">IF(OR(AO425&lt;&gt;1,AR425=""),"",INDEX(SLA_RES,AR425))</f>
        <v/>
      </c>
      <c r="BB425" s="35" t="str">
        <f aca="false">IF(OR(AW425="",BA425=""),"",IF(AW425&lt;=BA425,1,0))</f>
        <v/>
      </c>
      <c r="BC425" s="38" t="str">
        <f aca="false">IF(OR(BA425="",P425=""),"",WORKDAY(INT(P425),BA425,JoursFeries)+MOD(P425,1))</f>
        <v/>
      </c>
      <c r="BD425" s="39" t="str">
        <f aca="false">IF(AO425&lt;&gt;1,"",IF(OR(AB425&lt;&gt;"",AD425&lt;&gt;""),4,IF(U425&lt;&gt;"",3,IF(T425&lt;&gt;"",2,1))))</f>
        <v/>
      </c>
      <c r="BE425" s="39" t="str">
        <f aca="false">IF(OR(AO425&lt;&gt;1,AR425=""),"",INDEX(NIV_REQ,AR425))</f>
        <v/>
      </c>
      <c r="BF425" s="39" t="str">
        <f aca="false">IF(BE425="","",MAX(BE425,IF(OR(K425="Oui",Z425="Oui"),4,1)))</f>
        <v/>
      </c>
      <c r="BG425" s="35" t="str">
        <f aca="false">IF(OR(BF425="",BD425=""),"",IF(BD425&gt;=BF425,1,0))</f>
        <v/>
      </c>
      <c r="BH425" s="38" t="str">
        <f aca="false">IF(BE425="","",IF(BE425&lt;2,"",IF(BE425=2,IF(AND(T425="",U425=""),"",MIN(T425,U425)),IF(U425="","",U425))))</f>
        <v/>
      </c>
      <c r="BI425" s="37" t="str">
        <f aca="false">IF(BH425="","",IF(OR(O425="",BH425=""),"",IF(BH425&lt;O425,"",ROUND(((NETWORKDAYS(O425,BH425,JoursFeries)-1)*(HFer-HOuv)+IF(NETWORKDAYS(BH425,BH425,JoursFeries),MEDIAN(MOD(BH425,1),HFer,HOuv),HFer)-IF(NETWORKDAYS(O425,O425,JoursFeries),MEDIAN(MOD(O425,1),HFer,HOuv),HOuv))*24,4))))</f>
        <v/>
      </c>
      <c r="BJ425" s="35" t="str">
        <f aca="false">IF(OR(BI425="",AR425=""),"",IF(BI425&lt;=INDEX(DELAI_ESC,AR425),1,0))</f>
        <v/>
      </c>
      <c r="BK425" s="38" t="str">
        <f aca="false">IF(AO425&lt;&gt;1,"",IF(AND(T425="",U425=""),"",MIN(T425,U425)))</f>
        <v/>
      </c>
      <c r="BL425" s="37" t="str">
        <f aca="false">IF(OR(BK425="",R425=""),"",IFERROR(ROUND(IF(OR(BK425="",R425=""),"",IF(R425&lt;BK425,"",ROUND(((NETWORKDAYS(BK425,R425,JoursFeries)-1)*(HFer-HOuv)+IF(NETWORKDAYS(R425,R425,JoursFeries),MEDIAN(MOD(R425,1),HFer,HOuv),HFer)-IF(NETWORKDAYS(BK425,BK425,JoursFeries),MEDIAN(MOD(BK425,1),HFer,HOuv),HOuv))*24,4)))/HJour,4),""))</f>
        <v/>
      </c>
      <c r="BM425" s="35" t="str">
        <f aca="false">IF(OR(AO425&lt;&gt;1,R425=""),"",IF(BD425=1,1,0))</f>
        <v/>
      </c>
      <c r="BN425" s="35" t="str">
        <f aca="false">IF(AO425&lt;&gt;1,"",IF(W425="Oui",1,0))</f>
        <v/>
      </c>
      <c r="BO425" s="35" t="str">
        <f aca="false">IF(AO425&lt;&gt;1,"",IF(X425&lt;&gt;"",1,0))</f>
        <v/>
      </c>
      <c r="BP425" s="35" t="str">
        <f aca="false">IF(AO425&lt;&gt;1,"",IF(Y425="Oui",1,0))</f>
        <v/>
      </c>
      <c r="BQ425" s="35" t="str">
        <f aca="true">IF(OR(AO425&lt;&gt;1,Z425&lt;&gt;"Oui"),"",IF(AB425="",IF(AND(AA425&lt;&gt;"",NOW()&gt;AA425),0,""),IF(AA425="","",IF(AB425&lt;=AA425,1,0))))</f>
        <v/>
      </c>
      <c r="BR425" s="38" t="str">
        <f aca="false">IF(OR(AO425&lt;&gt;1,K425&lt;&gt;"Oui",O425=""),"",IF(AC425="",O425+DORA_H_DET/24,IF(AC425-O425&lt;=DORA_H_DET/24,MIN(AC425+DORA_H_CLA/24,O425+DORA_H_DET/24),AC425+DORA_H_CLA/24)))</f>
        <v/>
      </c>
      <c r="BS425" s="35" t="str">
        <f aca="true">IF(BR425="","",IF(AD425="",IF(NOW()&gt;BR425,0,""),IF(AD425&lt;=BR425,1,0)))</f>
        <v/>
      </c>
      <c r="BT425" s="35" t="str">
        <f aca="true">IF(OR(BR425="",AD425=""),"",IF(AE425="",IF(NOW()&gt;AD425+DORA_H_INT/24,0,""),IF(AE425&lt;=AD425+DORA_H_INT/24,1,0)))</f>
        <v/>
      </c>
      <c r="BU425" s="35" t="str">
        <f aca="true">IF(OR(BR425="",AE425=""),"",IF(AF425="",IF(NOW()&gt;EDATE(AE425,DORA_M_FIN)+1,0,""),IF(AF425&lt;=EDATE(AE425,DORA_M_FIN),1,0)))</f>
        <v/>
      </c>
      <c r="BV425" s="35" t="str">
        <f aca="false">IF(BR425="","",IF(COUNT(BS425:BU425)=0,"",MIN(BS425:BU425)))</f>
        <v/>
      </c>
      <c r="BW425" s="40" t="str">
        <f aca="false">IF(AQ425&lt;&gt;1,"",IF(AND(AG425="",AH425=""),"",N(AG425)-N(AH425)))</f>
        <v/>
      </c>
      <c r="BX425" s="35" t="str">
        <f aca="true">IF(OR(AQ425&lt;&gt;1,AI425&lt;&gt;"Oui",AJ425=""),"",IF(AK425="",IF(NOW()&gt;AJ425+1,0,""),IF(AK425&lt;=AJ425,1,0)))</f>
        <v/>
      </c>
    </row>
    <row r="426" customFormat="false" ht="15" hidden="false" customHeight="false" outlineLevel="0" collapsed="false">
      <c r="B426" s="29"/>
      <c r="C426" s="29"/>
      <c r="D426" s="29"/>
      <c r="E426" s="29"/>
      <c r="F426" s="29"/>
      <c r="G426" s="29"/>
      <c r="H426" s="29"/>
      <c r="I426" s="29"/>
      <c r="J426" s="29"/>
      <c r="K426" s="29"/>
      <c r="L426" s="29"/>
      <c r="M426" s="29"/>
      <c r="N426" s="30"/>
      <c r="O426" s="30"/>
      <c r="P426" s="30"/>
      <c r="Q426" s="30"/>
      <c r="R426" s="30"/>
      <c r="S426" s="30"/>
      <c r="T426" s="30"/>
      <c r="U426" s="30"/>
      <c r="V426" s="31"/>
      <c r="W426" s="29"/>
      <c r="X426" s="29"/>
      <c r="Y426" s="29"/>
      <c r="Z426" s="29"/>
      <c r="AA426" s="30"/>
      <c r="AB426" s="30"/>
      <c r="AC426" s="30"/>
      <c r="AD426" s="30"/>
      <c r="AE426" s="30"/>
      <c r="AF426" s="32"/>
      <c r="AG426" s="33"/>
      <c r="AH426" s="33"/>
      <c r="AI426" s="29"/>
      <c r="AJ426" s="32"/>
      <c r="AK426" s="32"/>
      <c r="AL426" s="29"/>
      <c r="AN426" s="34" t="str">
        <f aca="false">IF($B426="","",IF(OR(C426="",D426="",E426="",G426="",I426="",J426="",L426="",O426="",P426=""),"Champ obligatoire manquant",IF(OR(AND(N426&lt;&gt;"",N426&gt;O426),O426&gt;P426,AND(Q426&lt;&gt;"",Q426&lt;P426),AND(R426&lt;&gt;"",R426&lt;P426),AND(S426&lt;&gt;"",S426&lt;R426),AND(S426&lt;&gt;"",R426=""),AND(T426&lt;&gt;"",T426&lt;O426),AND(U426&lt;&gt;"",U426&lt;O426)),"Chronologie incohérente",IF(AND(OR(L426="Résolu",L426="Clos"),R426=""),"Date de résolution manquante",IF(AND(L426="Clos",S426=""),"Date de clôture manquante",IF(AND(K426="Oui",AC426=""),"Classification DORA manquante","OK"))))))</f>
        <v/>
      </c>
      <c r="AO426" s="35" t="str">
        <f aca="false">IF($B426="","",IF(AND(C426="Incident",L426&lt;&gt;"Annulé"),1,0))</f>
        <v/>
      </c>
      <c r="AP426" s="35" t="str">
        <f aca="false">IF($B426="","",IF(AND(C426="Quasi-incident",L426&lt;&gt;"Annulé"),1,0))</f>
        <v/>
      </c>
      <c r="AQ426" s="35" t="str">
        <f aca="false">IF($B426="","",AO426+AP426)</f>
        <v/>
      </c>
      <c r="AR426" s="36" t="str">
        <f aca="false">IF(OR($B426="",J426=""),"",IFERROR(VALUE(LEFT(J426,1)),""))</f>
        <v/>
      </c>
      <c r="AS426" s="35" t="str">
        <f aca="false">IF(OR(AO426&lt;&gt;1,G426=""),"",IFERROR(IF(INDEX(L_SrcInterne,MATCH(G426,L_Sources,0))="Oui",1,0),""))</f>
        <v/>
      </c>
      <c r="AT426" s="37" t="str">
        <f aca="false">IF(AO426&lt;&gt;1,"",IFERROR(ROUND(IF(OR(N426="",O426=""),"",IF(O426&lt;N426,"",ROUND(((NETWORKDAYS(N426,O426,JoursFeries)-1)*(HFer-HOuv)+IF(NETWORKDAYS(O426,O426,JoursFeries),MEDIAN(MOD(O426,1),HFer,HOuv),HFer)-IF(NETWORKDAYS(N426,N426,JoursFeries),MEDIAN(MOD(N426,1),HFer,HOuv),HOuv))*24,4)))/HJour,4),""))</f>
        <v/>
      </c>
      <c r="AU426" s="37" t="str">
        <f aca="false">IF(AO426&lt;&gt;1,"",IF(OR(O426="",P426=""),"",IF(P426&lt;O426,"",ROUND(((NETWORKDAYS(O426,P426,JoursFeries)-1)*(HFer-HOuv)+IF(NETWORKDAYS(P426,P426,JoursFeries),MEDIAN(MOD(P426,1),HFer,HOuv),HFer)-IF(NETWORKDAYS(O426,O426,JoursFeries),MEDIAN(MOD(O426,1),HFer,HOuv),HOuv))*24,4))))</f>
        <v/>
      </c>
      <c r="AV426" s="37" t="str">
        <f aca="false">IF(AO426&lt;&gt;1,"",IF(OR(P426="",Q426=""),"",IF(Q426&lt;P426,"",ROUND(((NETWORKDAYS(P426,Q426,JoursFeries)-1)*(HFer-HOuv)+IF(NETWORKDAYS(Q426,Q426,JoursFeries),MEDIAN(MOD(Q426,1),HFer,HOuv),HFer)-IF(NETWORKDAYS(P426,P426,JoursFeries),MEDIAN(MOD(P426,1),HFer,HOuv),HOuv))*24,4))))</f>
        <v/>
      </c>
      <c r="AW426" s="37" t="str">
        <f aca="false">IF(AO426&lt;&gt;1,"",IFERROR(ROUND(IF(OR(P426="",R426=""),"",IF(R426&lt;P426,"",ROUND(((NETWORKDAYS(P426,R426,JoursFeries)-1)*(HFer-HOuv)+IF(NETWORKDAYS(R426,R426,JoursFeries),MEDIAN(MOD(R426,1),HFer,HOuv),HFer)-IF(NETWORKDAYS(P426,P426,JoursFeries),MEDIAN(MOD(P426,1),HFer,HOuv),HOuv))*24,4)))/HJour,4),""))</f>
        <v/>
      </c>
      <c r="AX426" s="37" t="str">
        <f aca="false">IF(AO426&lt;&gt;1,"",IFERROR(ROUND(IF(OR(P426="",S426=""),"",IF(S426&lt;P426,"",ROUND(((NETWORKDAYS(P426,S426,JoursFeries)-1)*(HFer-HOuv)+IF(NETWORKDAYS(S426,S426,JoursFeries),MEDIAN(MOD(S426,1),HFer,HOuv),HFer)-IF(NETWORKDAYS(P426,P426,JoursFeries),MEDIAN(MOD(P426,1),HFer,HOuv),HOuv))*24,4)))/HJour,4),""))</f>
        <v/>
      </c>
      <c r="AY426" s="36" t="str">
        <f aca="false">IF(OR(AO426&lt;&gt;1,AR426=""),"",INDEX(SLA_PEC,AR426))</f>
        <v/>
      </c>
      <c r="AZ426" s="35" t="str">
        <f aca="false">IF(OR(AV426="",AY426=""),"",IF(AV426&lt;=AY426,1,0))</f>
        <v/>
      </c>
      <c r="BA426" s="36" t="str">
        <f aca="false">IF(OR(AO426&lt;&gt;1,AR426=""),"",INDEX(SLA_RES,AR426))</f>
        <v/>
      </c>
      <c r="BB426" s="35" t="str">
        <f aca="false">IF(OR(AW426="",BA426=""),"",IF(AW426&lt;=BA426,1,0))</f>
        <v/>
      </c>
      <c r="BC426" s="38" t="str">
        <f aca="false">IF(OR(BA426="",P426=""),"",WORKDAY(INT(P426),BA426,JoursFeries)+MOD(P426,1))</f>
        <v/>
      </c>
      <c r="BD426" s="39" t="str">
        <f aca="false">IF(AO426&lt;&gt;1,"",IF(OR(AB426&lt;&gt;"",AD426&lt;&gt;""),4,IF(U426&lt;&gt;"",3,IF(T426&lt;&gt;"",2,1))))</f>
        <v/>
      </c>
      <c r="BE426" s="39" t="str">
        <f aca="false">IF(OR(AO426&lt;&gt;1,AR426=""),"",INDEX(NIV_REQ,AR426))</f>
        <v/>
      </c>
      <c r="BF426" s="39" t="str">
        <f aca="false">IF(BE426="","",MAX(BE426,IF(OR(K426="Oui",Z426="Oui"),4,1)))</f>
        <v/>
      </c>
      <c r="BG426" s="35" t="str">
        <f aca="false">IF(OR(BF426="",BD426=""),"",IF(BD426&gt;=BF426,1,0))</f>
        <v/>
      </c>
      <c r="BH426" s="38" t="str">
        <f aca="false">IF(BE426="","",IF(BE426&lt;2,"",IF(BE426=2,IF(AND(T426="",U426=""),"",MIN(T426,U426)),IF(U426="","",U426))))</f>
        <v/>
      </c>
      <c r="BI426" s="37" t="str">
        <f aca="false">IF(BH426="","",IF(OR(O426="",BH426=""),"",IF(BH426&lt;O426,"",ROUND(((NETWORKDAYS(O426,BH426,JoursFeries)-1)*(HFer-HOuv)+IF(NETWORKDAYS(BH426,BH426,JoursFeries),MEDIAN(MOD(BH426,1),HFer,HOuv),HFer)-IF(NETWORKDAYS(O426,O426,JoursFeries),MEDIAN(MOD(O426,1),HFer,HOuv),HOuv))*24,4))))</f>
        <v/>
      </c>
      <c r="BJ426" s="35" t="str">
        <f aca="false">IF(OR(BI426="",AR426=""),"",IF(BI426&lt;=INDEX(DELAI_ESC,AR426),1,0))</f>
        <v/>
      </c>
      <c r="BK426" s="38" t="str">
        <f aca="false">IF(AO426&lt;&gt;1,"",IF(AND(T426="",U426=""),"",MIN(T426,U426)))</f>
        <v/>
      </c>
      <c r="BL426" s="37" t="str">
        <f aca="false">IF(OR(BK426="",R426=""),"",IFERROR(ROUND(IF(OR(BK426="",R426=""),"",IF(R426&lt;BK426,"",ROUND(((NETWORKDAYS(BK426,R426,JoursFeries)-1)*(HFer-HOuv)+IF(NETWORKDAYS(R426,R426,JoursFeries),MEDIAN(MOD(R426,1),HFer,HOuv),HFer)-IF(NETWORKDAYS(BK426,BK426,JoursFeries),MEDIAN(MOD(BK426,1),HFer,HOuv),HOuv))*24,4)))/HJour,4),""))</f>
        <v/>
      </c>
      <c r="BM426" s="35" t="str">
        <f aca="false">IF(OR(AO426&lt;&gt;1,R426=""),"",IF(BD426=1,1,0))</f>
        <v/>
      </c>
      <c r="BN426" s="35" t="str">
        <f aca="false">IF(AO426&lt;&gt;1,"",IF(W426="Oui",1,0))</f>
        <v/>
      </c>
      <c r="BO426" s="35" t="str">
        <f aca="false">IF(AO426&lt;&gt;1,"",IF(X426&lt;&gt;"",1,0))</f>
        <v/>
      </c>
      <c r="BP426" s="35" t="str">
        <f aca="false">IF(AO426&lt;&gt;1,"",IF(Y426="Oui",1,0))</f>
        <v/>
      </c>
      <c r="BQ426" s="35" t="str">
        <f aca="true">IF(OR(AO426&lt;&gt;1,Z426&lt;&gt;"Oui"),"",IF(AB426="",IF(AND(AA426&lt;&gt;"",NOW()&gt;AA426),0,""),IF(AA426="","",IF(AB426&lt;=AA426,1,0))))</f>
        <v/>
      </c>
      <c r="BR426" s="38" t="str">
        <f aca="false">IF(OR(AO426&lt;&gt;1,K426&lt;&gt;"Oui",O426=""),"",IF(AC426="",O426+DORA_H_DET/24,IF(AC426-O426&lt;=DORA_H_DET/24,MIN(AC426+DORA_H_CLA/24,O426+DORA_H_DET/24),AC426+DORA_H_CLA/24)))</f>
        <v/>
      </c>
      <c r="BS426" s="35" t="str">
        <f aca="true">IF(BR426="","",IF(AD426="",IF(NOW()&gt;BR426,0,""),IF(AD426&lt;=BR426,1,0)))</f>
        <v/>
      </c>
      <c r="BT426" s="35" t="str">
        <f aca="true">IF(OR(BR426="",AD426=""),"",IF(AE426="",IF(NOW()&gt;AD426+DORA_H_INT/24,0,""),IF(AE426&lt;=AD426+DORA_H_INT/24,1,0)))</f>
        <v/>
      </c>
      <c r="BU426" s="35" t="str">
        <f aca="true">IF(OR(BR426="",AE426=""),"",IF(AF426="",IF(NOW()&gt;EDATE(AE426,DORA_M_FIN)+1,0,""),IF(AF426&lt;=EDATE(AE426,DORA_M_FIN),1,0)))</f>
        <v/>
      </c>
      <c r="BV426" s="35" t="str">
        <f aca="false">IF(BR426="","",IF(COUNT(BS426:BU426)=0,"",MIN(BS426:BU426)))</f>
        <v/>
      </c>
      <c r="BW426" s="40" t="str">
        <f aca="false">IF(AQ426&lt;&gt;1,"",IF(AND(AG426="",AH426=""),"",N(AG426)-N(AH426)))</f>
        <v/>
      </c>
      <c r="BX426" s="35" t="str">
        <f aca="true">IF(OR(AQ426&lt;&gt;1,AI426&lt;&gt;"Oui",AJ426=""),"",IF(AK426="",IF(NOW()&gt;AJ426+1,0,""),IF(AK426&lt;=AJ426,1,0)))</f>
        <v/>
      </c>
    </row>
    <row r="427" customFormat="false" ht="15" hidden="false" customHeight="false" outlineLevel="0" collapsed="false">
      <c r="B427" s="29"/>
      <c r="C427" s="29"/>
      <c r="D427" s="29"/>
      <c r="E427" s="29"/>
      <c r="F427" s="29"/>
      <c r="G427" s="29"/>
      <c r="H427" s="29"/>
      <c r="I427" s="29"/>
      <c r="J427" s="29"/>
      <c r="K427" s="29"/>
      <c r="L427" s="29"/>
      <c r="M427" s="29"/>
      <c r="N427" s="30"/>
      <c r="O427" s="30"/>
      <c r="P427" s="30"/>
      <c r="Q427" s="30"/>
      <c r="R427" s="30"/>
      <c r="S427" s="30"/>
      <c r="T427" s="30"/>
      <c r="U427" s="30"/>
      <c r="V427" s="31"/>
      <c r="W427" s="29"/>
      <c r="X427" s="29"/>
      <c r="Y427" s="29"/>
      <c r="Z427" s="29"/>
      <c r="AA427" s="30"/>
      <c r="AB427" s="30"/>
      <c r="AC427" s="30"/>
      <c r="AD427" s="30"/>
      <c r="AE427" s="30"/>
      <c r="AF427" s="32"/>
      <c r="AG427" s="33"/>
      <c r="AH427" s="33"/>
      <c r="AI427" s="29"/>
      <c r="AJ427" s="32"/>
      <c r="AK427" s="32"/>
      <c r="AL427" s="29"/>
      <c r="AN427" s="34" t="str">
        <f aca="false">IF($B427="","",IF(OR(C427="",D427="",E427="",G427="",I427="",J427="",L427="",O427="",P427=""),"Champ obligatoire manquant",IF(OR(AND(N427&lt;&gt;"",N427&gt;O427),O427&gt;P427,AND(Q427&lt;&gt;"",Q427&lt;P427),AND(R427&lt;&gt;"",R427&lt;P427),AND(S427&lt;&gt;"",S427&lt;R427),AND(S427&lt;&gt;"",R427=""),AND(T427&lt;&gt;"",T427&lt;O427),AND(U427&lt;&gt;"",U427&lt;O427)),"Chronologie incohérente",IF(AND(OR(L427="Résolu",L427="Clos"),R427=""),"Date de résolution manquante",IF(AND(L427="Clos",S427=""),"Date de clôture manquante",IF(AND(K427="Oui",AC427=""),"Classification DORA manquante","OK"))))))</f>
        <v/>
      </c>
      <c r="AO427" s="35" t="str">
        <f aca="false">IF($B427="","",IF(AND(C427="Incident",L427&lt;&gt;"Annulé"),1,0))</f>
        <v/>
      </c>
      <c r="AP427" s="35" t="str">
        <f aca="false">IF($B427="","",IF(AND(C427="Quasi-incident",L427&lt;&gt;"Annulé"),1,0))</f>
        <v/>
      </c>
      <c r="AQ427" s="35" t="str">
        <f aca="false">IF($B427="","",AO427+AP427)</f>
        <v/>
      </c>
      <c r="AR427" s="36" t="str">
        <f aca="false">IF(OR($B427="",J427=""),"",IFERROR(VALUE(LEFT(J427,1)),""))</f>
        <v/>
      </c>
      <c r="AS427" s="35" t="str">
        <f aca="false">IF(OR(AO427&lt;&gt;1,G427=""),"",IFERROR(IF(INDEX(L_SrcInterne,MATCH(G427,L_Sources,0))="Oui",1,0),""))</f>
        <v/>
      </c>
      <c r="AT427" s="37" t="str">
        <f aca="false">IF(AO427&lt;&gt;1,"",IFERROR(ROUND(IF(OR(N427="",O427=""),"",IF(O427&lt;N427,"",ROUND(((NETWORKDAYS(N427,O427,JoursFeries)-1)*(HFer-HOuv)+IF(NETWORKDAYS(O427,O427,JoursFeries),MEDIAN(MOD(O427,1),HFer,HOuv),HFer)-IF(NETWORKDAYS(N427,N427,JoursFeries),MEDIAN(MOD(N427,1),HFer,HOuv),HOuv))*24,4)))/HJour,4),""))</f>
        <v/>
      </c>
      <c r="AU427" s="37" t="str">
        <f aca="false">IF(AO427&lt;&gt;1,"",IF(OR(O427="",P427=""),"",IF(P427&lt;O427,"",ROUND(((NETWORKDAYS(O427,P427,JoursFeries)-1)*(HFer-HOuv)+IF(NETWORKDAYS(P427,P427,JoursFeries),MEDIAN(MOD(P427,1),HFer,HOuv),HFer)-IF(NETWORKDAYS(O427,O427,JoursFeries),MEDIAN(MOD(O427,1),HFer,HOuv),HOuv))*24,4))))</f>
        <v/>
      </c>
      <c r="AV427" s="37" t="str">
        <f aca="false">IF(AO427&lt;&gt;1,"",IF(OR(P427="",Q427=""),"",IF(Q427&lt;P427,"",ROUND(((NETWORKDAYS(P427,Q427,JoursFeries)-1)*(HFer-HOuv)+IF(NETWORKDAYS(Q427,Q427,JoursFeries),MEDIAN(MOD(Q427,1),HFer,HOuv),HFer)-IF(NETWORKDAYS(P427,P427,JoursFeries),MEDIAN(MOD(P427,1),HFer,HOuv),HOuv))*24,4))))</f>
        <v/>
      </c>
      <c r="AW427" s="37" t="str">
        <f aca="false">IF(AO427&lt;&gt;1,"",IFERROR(ROUND(IF(OR(P427="",R427=""),"",IF(R427&lt;P427,"",ROUND(((NETWORKDAYS(P427,R427,JoursFeries)-1)*(HFer-HOuv)+IF(NETWORKDAYS(R427,R427,JoursFeries),MEDIAN(MOD(R427,1),HFer,HOuv),HFer)-IF(NETWORKDAYS(P427,P427,JoursFeries),MEDIAN(MOD(P427,1),HFer,HOuv),HOuv))*24,4)))/HJour,4),""))</f>
        <v/>
      </c>
      <c r="AX427" s="37" t="str">
        <f aca="false">IF(AO427&lt;&gt;1,"",IFERROR(ROUND(IF(OR(P427="",S427=""),"",IF(S427&lt;P427,"",ROUND(((NETWORKDAYS(P427,S427,JoursFeries)-1)*(HFer-HOuv)+IF(NETWORKDAYS(S427,S427,JoursFeries),MEDIAN(MOD(S427,1),HFer,HOuv),HFer)-IF(NETWORKDAYS(P427,P427,JoursFeries),MEDIAN(MOD(P427,1),HFer,HOuv),HOuv))*24,4)))/HJour,4),""))</f>
        <v/>
      </c>
      <c r="AY427" s="36" t="str">
        <f aca="false">IF(OR(AO427&lt;&gt;1,AR427=""),"",INDEX(SLA_PEC,AR427))</f>
        <v/>
      </c>
      <c r="AZ427" s="35" t="str">
        <f aca="false">IF(OR(AV427="",AY427=""),"",IF(AV427&lt;=AY427,1,0))</f>
        <v/>
      </c>
      <c r="BA427" s="36" t="str">
        <f aca="false">IF(OR(AO427&lt;&gt;1,AR427=""),"",INDEX(SLA_RES,AR427))</f>
        <v/>
      </c>
      <c r="BB427" s="35" t="str">
        <f aca="false">IF(OR(AW427="",BA427=""),"",IF(AW427&lt;=BA427,1,0))</f>
        <v/>
      </c>
      <c r="BC427" s="38" t="str">
        <f aca="false">IF(OR(BA427="",P427=""),"",WORKDAY(INT(P427),BA427,JoursFeries)+MOD(P427,1))</f>
        <v/>
      </c>
      <c r="BD427" s="39" t="str">
        <f aca="false">IF(AO427&lt;&gt;1,"",IF(OR(AB427&lt;&gt;"",AD427&lt;&gt;""),4,IF(U427&lt;&gt;"",3,IF(T427&lt;&gt;"",2,1))))</f>
        <v/>
      </c>
      <c r="BE427" s="39" t="str">
        <f aca="false">IF(OR(AO427&lt;&gt;1,AR427=""),"",INDEX(NIV_REQ,AR427))</f>
        <v/>
      </c>
      <c r="BF427" s="39" t="str">
        <f aca="false">IF(BE427="","",MAX(BE427,IF(OR(K427="Oui",Z427="Oui"),4,1)))</f>
        <v/>
      </c>
      <c r="BG427" s="35" t="str">
        <f aca="false">IF(OR(BF427="",BD427=""),"",IF(BD427&gt;=BF427,1,0))</f>
        <v/>
      </c>
      <c r="BH427" s="38" t="str">
        <f aca="false">IF(BE427="","",IF(BE427&lt;2,"",IF(BE427=2,IF(AND(T427="",U427=""),"",MIN(T427,U427)),IF(U427="","",U427))))</f>
        <v/>
      </c>
      <c r="BI427" s="37" t="str">
        <f aca="false">IF(BH427="","",IF(OR(O427="",BH427=""),"",IF(BH427&lt;O427,"",ROUND(((NETWORKDAYS(O427,BH427,JoursFeries)-1)*(HFer-HOuv)+IF(NETWORKDAYS(BH427,BH427,JoursFeries),MEDIAN(MOD(BH427,1),HFer,HOuv),HFer)-IF(NETWORKDAYS(O427,O427,JoursFeries),MEDIAN(MOD(O427,1),HFer,HOuv),HOuv))*24,4))))</f>
        <v/>
      </c>
      <c r="BJ427" s="35" t="str">
        <f aca="false">IF(OR(BI427="",AR427=""),"",IF(BI427&lt;=INDEX(DELAI_ESC,AR427),1,0))</f>
        <v/>
      </c>
      <c r="BK427" s="38" t="str">
        <f aca="false">IF(AO427&lt;&gt;1,"",IF(AND(T427="",U427=""),"",MIN(T427,U427)))</f>
        <v/>
      </c>
      <c r="BL427" s="37" t="str">
        <f aca="false">IF(OR(BK427="",R427=""),"",IFERROR(ROUND(IF(OR(BK427="",R427=""),"",IF(R427&lt;BK427,"",ROUND(((NETWORKDAYS(BK427,R427,JoursFeries)-1)*(HFer-HOuv)+IF(NETWORKDAYS(R427,R427,JoursFeries),MEDIAN(MOD(R427,1),HFer,HOuv),HFer)-IF(NETWORKDAYS(BK427,BK427,JoursFeries),MEDIAN(MOD(BK427,1),HFer,HOuv),HOuv))*24,4)))/HJour,4),""))</f>
        <v/>
      </c>
      <c r="BM427" s="35" t="str">
        <f aca="false">IF(OR(AO427&lt;&gt;1,R427=""),"",IF(BD427=1,1,0))</f>
        <v/>
      </c>
      <c r="BN427" s="35" t="str">
        <f aca="false">IF(AO427&lt;&gt;1,"",IF(W427="Oui",1,0))</f>
        <v/>
      </c>
      <c r="BO427" s="35" t="str">
        <f aca="false">IF(AO427&lt;&gt;1,"",IF(X427&lt;&gt;"",1,0))</f>
        <v/>
      </c>
      <c r="BP427" s="35" t="str">
        <f aca="false">IF(AO427&lt;&gt;1,"",IF(Y427="Oui",1,0))</f>
        <v/>
      </c>
      <c r="BQ427" s="35" t="str">
        <f aca="true">IF(OR(AO427&lt;&gt;1,Z427&lt;&gt;"Oui"),"",IF(AB427="",IF(AND(AA427&lt;&gt;"",NOW()&gt;AA427),0,""),IF(AA427="","",IF(AB427&lt;=AA427,1,0))))</f>
        <v/>
      </c>
      <c r="BR427" s="38" t="str">
        <f aca="false">IF(OR(AO427&lt;&gt;1,K427&lt;&gt;"Oui",O427=""),"",IF(AC427="",O427+DORA_H_DET/24,IF(AC427-O427&lt;=DORA_H_DET/24,MIN(AC427+DORA_H_CLA/24,O427+DORA_H_DET/24),AC427+DORA_H_CLA/24)))</f>
        <v/>
      </c>
      <c r="BS427" s="35" t="str">
        <f aca="true">IF(BR427="","",IF(AD427="",IF(NOW()&gt;BR427,0,""),IF(AD427&lt;=BR427,1,0)))</f>
        <v/>
      </c>
      <c r="BT427" s="35" t="str">
        <f aca="true">IF(OR(BR427="",AD427=""),"",IF(AE427="",IF(NOW()&gt;AD427+DORA_H_INT/24,0,""),IF(AE427&lt;=AD427+DORA_H_INT/24,1,0)))</f>
        <v/>
      </c>
      <c r="BU427" s="35" t="str">
        <f aca="true">IF(OR(BR427="",AE427=""),"",IF(AF427="",IF(NOW()&gt;EDATE(AE427,DORA_M_FIN)+1,0,""),IF(AF427&lt;=EDATE(AE427,DORA_M_FIN),1,0)))</f>
        <v/>
      </c>
      <c r="BV427" s="35" t="str">
        <f aca="false">IF(BR427="","",IF(COUNT(BS427:BU427)=0,"",MIN(BS427:BU427)))</f>
        <v/>
      </c>
      <c r="BW427" s="40" t="str">
        <f aca="false">IF(AQ427&lt;&gt;1,"",IF(AND(AG427="",AH427=""),"",N(AG427)-N(AH427)))</f>
        <v/>
      </c>
      <c r="BX427" s="35" t="str">
        <f aca="true">IF(OR(AQ427&lt;&gt;1,AI427&lt;&gt;"Oui",AJ427=""),"",IF(AK427="",IF(NOW()&gt;AJ427+1,0,""),IF(AK427&lt;=AJ427,1,0)))</f>
        <v/>
      </c>
    </row>
    <row r="428" customFormat="false" ht="15" hidden="false" customHeight="false" outlineLevel="0" collapsed="false">
      <c r="B428" s="29"/>
      <c r="C428" s="29"/>
      <c r="D428" s="29"/>
      <c r="E428" s="29"/>
      <c r="F428" s="29"/>
      <c r="G428" s="29"/>
      <c r="H428" s="29"/>
      <c r="I428" s="29"/>
      <c r="J428" s="29"/>
      <c r="K428" s="29"/>
      <c r="L428" s="29"/>
      <c r="M428" s="29"/>
      <c r="N428" s="30"/>
      <c r="O428" s="30"/>
      <c r="P428" s="30"/>
      <c r="Q428" s="30"/>
      <c r="R428" s="30"/>
      <c r="S428" s="30"/>
      <c r="T428" s="30"/>
      <c r="U428" s="30"/>
      <c r="V428" s="31"/>
      <c r="W428" s="29"/>
      <c r="X428" s="29"/>
      <c r="Y428" s="29"/>
      <c r="Z428" s="29"/>
      <c r="AA428" s="30"/>
      <c r="AB428" s="30"/>
      <c r="AC428" s="30"/>
      <c r="AD428" s="30"/>
      <c r="AE428" s="30"/>
      <c r="AF428" s="32"/>
      <c r="AG428" s="33"/>
      <c r="AH428" s="33"/>
      <c r="AI428" s="29"/>
      <c r="AJ428" s="32"/>
      <c r="AK428" s="32"/>
      <c r="AL428" s="29"/>
      <c r="AN428" s="34" t="str">
        <f aca="false">IF($B428="","",IF(OR(C428="",D428="",E428="",G428="",I428="",J428="",L428="",O428="",P428=""),"Champ obligatoire manquant",IF(OR(AND(N428&lt;&gt;"",N428&gt;O428),O428&gt;P428,AND(Q428&lt;&gt;"",Q428&lt;P428),AND(R428&lt;&gt;"",R428&lt;P428),AND(S428&lt;&gt;"",S428&lt;R428),AND(S428&lt;&gt;"",R428=""),AND(T428&lt;&gt;"",T428&lt;O428),AND(U428&lt;&gt;"",U428&lt;O428)),"Chronologie incohérente",IF(AND(OR(L428="Résolu",L428="Clos"),R428=""),"Date de résolution manquante",IF(AND(L428="Clos",S428=""),"Date de clôture manquante",IF(AND(K428="Oui",AC428=""),"Classification DORA manquante","OK"))))))</f>
        <v/>
      </c>
      <c r="AO428" s="35" t="str">
        <f aca="false">IF($B428="","",IF(AND(C428="Incident",L428&lt;&gt;"Annulé"),1,0))</f>
        <v/>
      </c>
      <c r="AP428" s="35" t="str">
        <f aca="false">IF($B428="","",IF(AND(C428="Quasi-incident",L428&lt;&gt;"Annulé"),1,0))</f>
        <v/>
      </c>
      <c r="AQ428" s="35" t="str">
        <f aca="false">IF($B428="","",AO428+AP428)</f>
        <v/>
      </c>
      <c r="AR428" s="36" t="str">
        <f aca="false">IF(OR($B428="",J428=""),"",IFERROR(VALUE(LEFT(J428,1)),""))</f>
        <v/>
      </c>
      <c r="AS428" s="35" t="str">
        <f aca="false">IF(OR(AO428&lt;&gt;1,G428=""),"",IFERROR(IF(INDEX(L_SrcInterne,MATCH(G428,L_Sources,0))="Oui",1,0),""))</f>
        <v/>
      </c>
      <c r="AT428" s="37" t="str">
        <f aca="false">IF(AO428&lt;&gt;1,"",IFERROR(ROUND(IF(OR(N428="",O428=""),"",IF(O428&lt;N428,"",ROUND(((NETWORKDAYS(N428,O428,JoursFeries)-1)*(HFer-HOuv)+IF(NETWORKDAYS(O428,O428,JoursFeries),MEDIAN(MOD(O428,1),HFer,HOuv),HFer)-IF(NETWORKDAYS(N428,N428,JoursFeries),MEDIAN(MOD(N428,1),HFer,HOuv),HOuv))*24,4)))/HJour,4),""))</f>
        <v/>
      </c>
      <c r="AU428" s="37" t="str">
        <f aca="false">IF(AO428&lt;&gt;1,"",IF(OR(O428="",P428=""),"",IF(P428&lt;O428,"",ROUND(((NETWORKDAYS(O428,P428,JoursFeries)-1)*(HFer-HOuv)+IF(NETWORKDAYS(P428,P428,JoursFeries),MEDIAN(MOD(P428,1),HFer,HOuv),HFer)-IF(NETWORKDAYS(O428,O428,JoursFeries),MEDIAN(MOD(O428,1),HFer,HOuv),HOuv))*24,4))))</f>
        <v/>
      </c>
      <c r="AV428" s="37" t="str">
        <f aca="false">IF(AO428&lt;&gt;1,"",IF(OR(P428="",Q428=""),"",IF(Q428&lt;P428,"",ROUND(((NETWORKDAYS(P428,Q428,JoursFeries)-1)*(HFer-HOuv)+IF(NETWORKDAYS(Q428,Q428,JoursFeries),MEDIAN(MOD(Q428,1),HFer,HOuv),HFer)-IF(NETWORKDAYS(P428,P428,JoursFeries),MEDIAN(MOD(P428,1),HFer,HOuv),HOuv))*24,4))))</f>
        <v/>
      </c>
      <c r="AW428" s="37" t="str">
        <f aca="false">IF(AO428&lt;&gt;1,"",IFERROR(ROUND(IF(OR(P428="",R428=""),"",IF(R428&lt;P428,"",ROUND(((NETWORKDAYS(P428,R428,JoursFeries)-1)*(HFer-HOuv)+IF(NETWORKDAYS(R428,R428,JoursFeries),MEDIAN(MOD(R428,1),HFer,HOuv),HFer)-IF(NETWORKDAYS(P428,P428,JoursFeries),MEDIAN(MOD(P428,1),HFer,HOuv),HOuv))*24,4)))/HJour,4),""))</f>
        <v/>
      </c>
      <c r="AX428" s="37" t="str">
        <f aca="false">IF(AO428&lt;&gt;1,"",IFERROR(ROUND(IF(OR(P428="",S428=""),"",IF(S428&lt;P428,"",ROUND(((NETWORKDAYS(P428,S428,JoursFeries)-1)*(HFer-HOuv)+IF(NETWORKDAYS(S428,S428,JoursFeries),MEDIAN(MOD(S428,1),HFer,HOuv),HFer)-IF(NETWORKDAYS(P428,P428,JoursFeries),MEDIAN(MOD(P428,1),HFer,HOuv),HOuv))*24,4)))/HJour,4),""))</f>
        <v/>
      </c>
      <c r="AY428" s="36" t="str">
        <f aca="false">IF(OR(AO428&lt;&gt;1,AR428=""),"",INDEX(SLA_PEC,AR428))</f>
        <v/>
      </c>
      <c r="AZ428" s="35" t="str">
        <f aca="false">IF(OR(AV428="",AY428=""),"",IF(AV428&lt;=AY428,1,0))</f>
        <v/>
      </c>
      <c r="BA428" s="36" t="str">
        <f aca="false">IF(OR(AO428&lt;&gt;1,AR428=""),"",INDEX(SLA_RES,AR428))</f>
        <v/>
      </c>
      <c r="BB428" s="35" t="str">
        <f aca="false">IF(OR(AW428="",BA428=""),"",IF(AW428&lt;=BA428,1,0))</f>
        <v/>
      </c>
      <c r="BC428" s="38" t="str">
        <f aca="false">IF(OR(BA428="",P428=""),"",WORKDAY(INT(P428),BA428,JoursFeries)+MOD(P428,1))</f>
        <v/>
      </c>
      <c r="BD428" s="39" t="str">
        <f aca="false">IF(AO428&lt;&gt;1,"",IF(OR(AB428&lt;&gt;"",AD428&lt;&gt;""),4,IF(U428&lt;&gt;"",3,IF(T428&lt;&gt;"",2,1))))</f>
        <v/>
      </c>
      <c r="BE428" s="39" t="str">
        <f aca="false">IF(OR(AO428&lt;&gt;1,AR428=""),"",INDEX(NIV_REQ,AR428))</f>
        <v/>
      </c>
      <c r="BF428" s="39" t="str">
        <f aca="false">IF(BE428="","",MAX(BE428,IF(OR(K428="Oui",Z428="Oui"),4,1)))</f>
        <v/>
      </c>
      <c r="BG428" s="35" t="str">
        <f aca="false">IF(OR(BF428="",BD428=""),"",IF(BD428&gt;=BF428,1,0))</f>
        <v/>
      </c>
      <c r="BH428" s="38" t="str">
        <f aca="false">IF(BE428="","",IF(BE428&lt;2,"",IF(BE428=2,IF(AND(T428="",U428=""),"",MIN(T428,U428)),IF(U428="","",U428))))</f>
        <v/>
      </c>
      <c r="BI428" s="37" t="str">
        <f aca="false">IF(BH428="","",IF(OR(O428="",BH428=""),"",IF(BH428&lt;O428,"",ROUND(((NETWORKDAYS(O428,BH428,JoursFeries)-1)*(HFer-HOuv)+IF(NETWORKDAYS(BH428,BH428,JoursFeries),MEDIAN(MOD(BH428,1),HFer,HOuv),HFer)-IF(NETWORKDAYS(O428,O428,JoursFeries),MEDIAN(MOD(O428,1),HFer,HOuv),HOuv))*24,4))))</f>
        <v/>
      </c>
      <c r="BJ428" s="35" t="str">
        <f aca="false">IF(OR(BI428="",AR428=""),"",IF(BI428&lt;=INDEX(DELAI_ESC,AR428),1,0))</f>
        <v/>
      </c>
      <c r="BK428" s="38" t="str">
        <f aca="false">IF(AO428&lt;&gt;1,"",IF(AND(T428="",U428=""),"",MIN(T428,U428)))</f>
        <v/>
      </c>
      <c r="BL428" s="37" t="str">
        <f aca="false">IF(OR(BK428="",R428=""),"",IFERROR(ROUND(IF(OR(BK428="",R428=""),"",IF(R428&lt;BK428,"",ROUND(((NETWORKDAYS(BK428,R428,JoursFeries)-1)*(HFer-HOuv)+IF(NETWORKDAYS(R428,R428,JoursFeries),MEDIAN(MOD(R428,1),HFer,HOuv),HFer)-IF(NETWORKDAYS(BK428,BK428,JoursFeries),MEDIAN(MOD(BK428,1),HFer,HOuv),HOuv))*24,4)))/HJour,4),""))</f>
        <v/>
      </c>
      <c r="BM428" s="35" t="str">
        <f aca="false">IF(OR(AO428&lt;&gt;1,R428=""),"",IF(BD428=1,1,0))</f>
        <v/>
      </c>
      <c r="BN428" s="35" t="str">
        <f aca="false">IF(AO428&lt;&gt;1,"",IF(W428="Oui",1,0))</f>
        <v/>
      </c>
      <c r="BO428" s="35" t="str">
        <f aca="false">IF(AO428&lt;&gt;1,"",IF(X428&lt;&gt;"",1,0))</f>
        <v/>
      </c>
      <c r="BP428" s="35" t="str">
        <f aca="false">IF(AO428&lt;&gt;1,"",IF(Y428="Oui",1,0))</f>
        <v/>
      </c>
      <c r="BQ428" s="35" t="str">
        <f aca="true">IF(OR(AO428&lt;&gt;1,Z428&lt;&gt;"Oui"),"",IF(AB428="",IF(AND(AA428&lt;&gt;"",NOW()&gt;AA428),0,""),IF(AA428="","",IF(AB428&lt;=AA428,1,0))))</f>
        <v/>
      </c>
      <c r="BR428" s="38" t="str">
        <f aca="false">IF(OR(AO428&lt;&gt;1,K428&lt;&gt;"Oui",O428=""),"",IF(AC428="",O428+DORA_H_DET/24,IF(AC428-O428&lt;=DORA_H_DET/24,MIN(AC428+DORA_H_CLA/24,O428+DORA_H_DET/24),AC428+DORA_H_CLA/24)))</f>
        <v/>
      </c>
      <c r="BS428" s="35" t="str">
        <f aca="true">IF(BR428="","",IF(AD428="",IF(NOW()&gt;BR428,0,""),IF(AD428&lt;=BR428,1,0)))</f>
        <v/>
      </c>
      <c r="BT428" s="35" t="str">
        <f aca="true">IF(OR(BR428="",AD428=""),"",IF(AE428="",IF(NOW()&gt;AD428+DORA_H_INT/24,0,""),IF(AE428&lt;=AD428+DORA_H_INT/24,1,0)))</f>
        <v/>
      </c>
      <c r="BU428" s="35" t="str">
        <f aca="true">IF(OR(BR428="",AE428=""),"",IF(AF428="",IF(NOW()&gt;EDATE(AE428,DORA_M_FIN)+1,0,""),IF(AF428&lt;=EDATE(AE428,DORA_M_FIN),1,0)))</f>
        <v/>
      </c>
      <c r="BV428" s="35" t="str">
        <f aca="false">IF(BR428="","",IF(COUNT(BS428:BU428)=0,"",MIN(BS428:BU428)))</f>
        <v/>
      </c>
      <c r="BW428" s="40" t="str">
        <f aca="false">IF(AQ428&lt;&gt;1,"",IF(AND(AG428="",AH428=""),"",N(AG428)-N(AH428)))</f>
        <v/>
      </c>
      <c r="BX428" s="35" t="str">
        <f aca="true">IF(OR(AQ428&lt;&gt;1,AI428&lt;&gt;"Oui",AJ428=""),"",IF(AK428="",IF(NOW()&gt;AJ428+1,0,""),IF(AK428&lt;=AJ428,1,0)))</f>
        <v/>
      </c>
    </row>
    <row r="429" customFormat="false" ht="15" hidden="false" customHeight="false" outlineLevel="0" collapsed="false">
      <c r="B429" s="29"/>
      <c r="C429" s="29"/>
      <c r="D429" s="29"/>
      <c r="E429" s="29"/>
      <c r="F429" s="29"/>
      <c r="G429" s="29"/>
      <c r="H429" s="29"/>
      <c r="I429" s="29"/>
      <c r="J429" s="29"/>
      <c r="K429" s="29"/>
      <c r="L429" s="29"/>
      <c r="M429" s="29"/>
      <c r="N429" s="30"/>
      <c r="O429" s="30"/>
      <c r="P429" s="30"/>
      <c r="Q429" s="30"/>
      <c r="R429" s="30"/>
      <c r="S429" s="30"/>
      <c r="T429" s="30"/>
      <c r="U429" s="30"/>
      <c r="V429" s="31"/>
      <c r="W429" s="29"/>
      <c r="X429" s="29"/>
      <c r="Y429" s="29"/>
      <c r="Z429" s="29"/>
      <c r="AA429" s="30"/>
      <c r="AB429" s="30"/>
      <c r="AC429" s="30"/>
      <c r="AD429" s="30"/>
      <c r="AE429" s="30"/>
      <c r="AF429" s="32"/>
      <c r="AG429" s="33"/>
      <c r="AH429" s="33"/>
      <c r="AI429" s="29"/>
      <c r="AJ429" s="32"/>
      <c r="AK429" s="32"/>
      <c r="AL429" s="29"/>
      <c r="AN429" s="34" t="str">
        <f aca="false">IF($B429="","",IF(OR(C429="",D429="",E429="",G429="",I429="",J429="",L429="",O429="",P429=""),"Champ obligatoire manquant",IF(OR(AND(N429&lt;&gt;"",N429&gt;O429),O429&gt;P429,AND(Q429&lt;&gt;"",Q429&lt;P429),AND(R429&lt;&gt;"",R429&lt;P429),AND(S429&lt;&gt;"",S429&lt;R429),AND(S429&lt;&gt;"",R429=""),AND(T429&lt;&gt;"",T429&lt;O429),AND(U429&lt;&gt;"",U429&lt;O429)),"Chronologie incohérente",IF(AND(OR(L429="Résolu",L429="Clos"),R429=""),"Date de résolution manquante",IF(AND(L429="Clos",S429=""),"Date de clôture manquante",IF(AND(K429="Oui",AC429=""),"Classification DORA manquante","OK"))))))</f>
        <v/>
      </c>
      <c r="AO429" s="35" t="str">
        <f aca="false">IF($B429="","",IF(AND(C429="Incident",L429&lt;&gt;"Annulé"),1,0))</f>
        <v/>
      </c>
      <c r="AP429" s="35" t="str">
        <f aca="false">IF($B429="","",IF(AND(C429="Quasi-incident",L429&lt;&gt;"Annulé"),1,0))</f>
        <v/>
      </c>
      <c r="AQ429" s="35" t="str">
        <f aca="false">IF($B429="","",AO429+AP429)</f>
        <v/>
      </c>
      <c r="AR429" s="36" t="str">
        <f aca="false">IF(OR($B429="",J429=""),"",IFERROR(VALUE(LEFT(J429,1)),""))</f>
        <v/>
      </c>
      <c r="AS429" s="35" t="str">
        <f aca="false">IF(OR(AO429&lt;&gt;1,G429=""),"",IFERROR(IF(INDEX(L_SrcInterne,MATCH(G429,L_Sources,0))="Oui",1,0),""))</f>
        <v/>
      </c>
      <c r="AT429" s="37" t="str">
        <f aca="false">IF(AO429&lt;&gt;1,"",IFERROR(ROUND(IF(OR(N429="",O429=""),"",IF(O429&lt;N429,"",ROUND(((NETWORKDAYS(N429,O429,JoursFeries)-1)*(HFer-HOuv)+IF(NETWORKDAYS(O429,O429,JoursFeries),MEDIAN(MOD(O429,1),HFer,HOuv),HFer)-IF(NETWORKDAYS(N429,N429,JoursFeries),MEDIAN(MOD(N429,1),HFer,HOuv),HOuv))*24,4)))/HJour,4),""))</f>
        <v/>
      </c>
      <c r="AU429" s="37" t="str">
        <f aca="false">IF(AO429&lt;&gt;1,"",IF(OR(O429="",P429=""),"",IF(P429&lt;O429,"",ROUND(((NETWORKDAYS(O429,P429,JoursFeries)-1)*(HFer-HOuv)+IF(NETWORKDAYS(P429,P429,JoursFeries),MEDIAN(MOD(P429,1),HFer,HOuv),HFer)-IF(NETWORKDAYS(O429,O429,JoursFeries),MEDIAN(MOD(O429,1),HFer,HOuv),HOuv))*24,4))))</f>
        <v/>
      </c>
      <c r="AV429" s="37" t="str">
        <f aca="false">IF(AO429&lt;&gt;1,"",IF(OR(P429="",Q429=""),"",IF(Q429&lt;P429,"",ROUND(((NETWORKDAYS(P429,Q429,JoursFeries)-1)*(HFer-HOuv)+IF(NETWORKDAYS(Q429,Q429,JoursFeries),MEDIAN(MOD(Q429,1),HFer,HOuv),HFer)-IF(NETWORKDAYS(P429,P429,JoursFeries),MEDIAN(MOD(P429,1),HFer,HOuv),HOuv))*24,4))))</f>
        <v/>
      </c>
      <c r="AW429" s="37" t="str">
        <f aca="false">IF(AO429&lt;&gt;1,"",IFERROR(ROUND(IF(OR(P429="",R429=""),"",IF(R429&lt;P429,"",ROUND(((NETWORKDAYS(P429,R429,JoursFeries)-1)*(HFer-HOuv)+IF(NETWORKDAYS(R429,R429,JoursFeries),MEDIAN(MOD(R429,1),HFer,HOuv),HFer)-IF(NETWORKDAYS(P429,P429,JoursFeries),MEDIAN(MOD(P429,1),HFer,HOuv),HOuv))*24,4)))/HJour,4),""))</f>
        <v/>
      </c>
      <c r="AX429" s="37" t="str">
        <f aca="false">IF(AO429&lt;&gt;1,"",IFERROR(ROUND(IF(OR(P429="",S429=""),"",IF(S429&lt;P429,"",ROUND(((NETWORKDAYS(P429,S429,JoursFeries)-1)*(HFer-HOuv)+IF(NETWORKDAYS(S429,S429,JoursFeries),MEDIAN(MOD(S429,1),HFer,HOuv),HFer)-IF(NETWORKDAYS(P429,P429,JoursFeries),MEDIAN(MOD(P429,1),HFer,HOuv),HOuv))*24,4)))/HJour,4),""))</f>
        <v/>
      </c>
      <c r="AY429" s="36" t="str">
        <f aca="false">IF(OR(AO429&lt;&gt;1,AR429=""),"",INDEX(SLA_PEC,AR429))</f>
        <v/>
      </c>
      <c r="AZ429" s="35" t="str">
        <f aca="false">IF(OR(AV429="",AY429=""),"",IF(AV429&lt;=AY429,1,0))</f>
        <v/>
      </c>
      <c r="BA429" s="36" t="str">
        <f aca="false">IF(OR(AO429&lt;&gt;1,AR429=""),"",INDEX(SLA_RES,AR429))</f>
        <v/>
      </c>
      <c r="BB429" s="35" t="str">
        <f aca="false">IF(OR(AW429="",BA429=""),"",IF(AW429&lt;=BA429,1,0))</f>
        <v/>
      </c>
      <c r="BC429" s="38" t="str">
        <f aca="false">IF(OR(BA429="",P429=""),"",WORKDAY(INT(P429),BA429,JoursFeries)+MOD(P429,1))</f>
        <v/>
      </c>
      <c r="BD429" s="39" t="str">
        <f aca="false">IF(AO429&lt;&gt;1,"",IF(OR(AB429&lt;&gt;"",AD429&lt;&gt;""),4,IF(U429&lt;&gt;"",3,IF(T429&lt;&gt;"",2,1))))</f>
        <v/>
      </c>
      <c r="BE429" s="39" t="str">
        <f aca="false">IF(OR(AO429&lt;&gt;1,AR429=""),"",INDEX(NIV_REQ,AR429))</f>
        <v/>
      </c>
      <c r="BF429" s="39" t="str">
        <f aca="false">IF(BE429="","",MAX(BE429,IF(OR(K429="Oui",Z429="Oui"),4,1)))</f>
        <v/>
      </c>
      <c r="BG429" s="35" t="str">
        <f aca="false">IF(OR(BF429="",BD429=""),"",IF(BD429&gt;=BF429,1,0))</f>
        <v/>
      </c>
      <c r="BH429" s="38" t="str">
        <f aca="false">IF(BE429="","",IF(BE429&lt;2,"",IF(BE429=2,IF(AND(T429="",U429=""),"",MIN(T429,U429)),IF(U429="","",U429))))</f>
        <v/>
      </c>
      <c r="BI429" s="37" t="str">
        <f aca="false">IF(BH429="","",IF(OR(O429="",BH429=""),"",IF(BH429&lt;O429,"",ROUND(((NETWORKDAYS(O429,BH429,JoursFeries)-1)*(HFer-HOuv)+IF(NETWORKDAYS(BH429,BH429,JoursFeries),MEDIAN(MOD(BH429,1),HFer,HOuv),HFer)-IF(NETWORKDAYS(O429,O429,JoursFeries),MEDIAN(MOD(O429,1),HFer,HOuv),HOuv))*24,4))))</f>
        <v/>
      </c>
      <c r="BJ429" s="35" t="str">
        <f aca="false">IF(OR(BI429="",AR429=""),"",IF(BI429&lt;=INDEX(DELAI_ESC,AR429),1,0))</f>
        <v/>
      </c>
      <c r="BK429" s="38" t="str">
        <f aca="false">IF(AO429&lt;&gt;1,"",IF(AND(T429="",U429=""),"",MIN(T429,U429)))</f>
        <v/>
      </c>
      <c r="BL429" s="37" t="str">
        <f aca="false">IF(OR(BK429="",R429=""),"",IFERROR(ROUND(IF(OR(BK429="",R429=""),"",IF(R429&lt;BK429,"",ROUND(((NETWORKDAYS(BK429,R429,JoursFeries)-1)*(HFer-HOuv)+IF(NETWORKDAYS(R429,R429,JoursFeries),MEDIAN(MOD(R429,1),HFer,HOuv),HFer)-IF(NETWORKDAYS(BK429,BK429,JoursFeries),MEDIAN(MOD(BK429,1),HFer,HOuv),HOuv))*24,4)))/HJour,4),""))</f>
        <v/>
      </c>
      <c r="BM429" s="35" t="str">
        <f aca="false">IF(OR(AO429&lt;&gt;1,R429=""),"",IF(BD429=1,1,0))</f>
        <v/>
      </c>
      <c r="BN429" s="35" t="str">
        <f aca="false">IF(AO429&lt;&gt;1,"",IF(W429="Oui",1,0))</f>
        <v/>
      </c>
      <c r="BO429" s="35" t="str">
        <f aca="false">IF(AO429&lt;&gt;1,"",IF(X429&lt;&gt;"",1,0))</f>
        <v/>
      </c>
      <c r="BP429" s="35" t="str">
        <f aca="false">IF(AO429&lt;&gt;1,"",IF(Y429="Oui",1,0))</f>
        <v/>
      </c>
      <c r="BQ429" s="35" t="str">
        <f aca="true">IF(OR(AO429&lt;&gt;1,Z429&lt;&gt;"Oui"),"",IF(AB429="",IF(AND(AA429&lt;&gt;"",NOW()&gt;AA429),0,""),IF(AA429="","",IF(AB429&lt;=AA429,1,0))))</f>
        <v/>
      </c>
      <c r="BR429" s="38" t="str">
        <f aca="false">IF(OR(AO429&lt;&gt;1,K429&lt;&gt;"Oui",O429=""),"",IF(AC429="",O429+DORA_H_DET/24,IF(AC429-O429&lt;=DORA_H_DET/24,MIN(AC429+DORA_H_CLA/24,O429+DORA_H_DET/24),AC429+DORA_H_CLA/24)))</f>
        <v/>
      </c>
      <c r="BS429" s="35" t="str">
        <f aca="true">IF(BR429="","",IF(AD429="",IF(NOW()&gt;BR429,0,""),IF(AD429&lt;=BR429,1,0)))</f>
        <v/>
      </c>
      <c r="BT429" s="35" t="str">
        <f aca="true">IF(OR(BR429="",AD429=""),"",IF(AE429="",IF(NOW()&gt;AD429+DORA_H_INT/24,0,""),IF(AE429&lt;=AD429+DORA_H_INT/24,1,0)))</f>
        <v/>
      </c>
      <c r="BU429" s="35" t="str">
        <f aca="true">IF(OR(BR429="",AE429=""),"",IF(AF429="",IF(NOW()&gt;EDATE(AE429,DORA_M_FIN)+1,0,""),IF(AF429&lt;=EDATE(AE429,DORA_M_FIN),1,0)))</f>
        <v/>
      </c>
      <c r="BV429" s="35" t="str">
        <f aca="false">IF(BR429="","",IF(COUNT(BS429:BU429)=0,"",MIN(BS429:BU429)))</f>
        <v/>
      </c>
      <c r="BW429" s="40" t="str">
        <f aca="false">IF(AQ429&lt;&gt;1,"",IF(AND(AG429="",AH429=""),"",N(AG429)-N(AH429)))</f>
        <v/>
      </c>
      <c r="BX429" s="35" t="str">
        <f aca="true">IF(OR(AQ429&lt;&gt;1,AI429&lt;&gt;"Oui",AJ429=""),"",IF(AK429="",IF(NOW()&gt;AJ429+1,0,""),IF(AK429&lt;=AJ429,1,0)))</f>
        <v/>
      </c>
    </row>
    <row r="430" customFormat="false" ht="15" hidden="false" customHeight="false" outlineLevel="0" collapsed="false">
      <c r="B430" s="29"/>
      <c r="C430" s="29"/>
      <c r="D430" s="29"/>
      <c r="E430" s="29"/>
      <c r="F430" s="29"/>
      <c r="G430" s="29"/>
      <c r="H430" s="29"/>
      <c r="I430" s="29"/>
      <c r="J430" s="29"/>
      <c r="K430" s="29"/>
      <c r="L430" s="29"/>
      <c r="M430" s="29"/>
      <c r="N430" s="30"/>
      <c r="O430" s="30"/>
      <c r="P430" s="30"/>
      <c r="Q430" s="30"/>
      <c r="R430" s="30"/>
      <c r="S430" s="30"/>
      <c r="T430" s="30"/>
      <c r="U430" s="30"/>
      <c r="V430" s="31"/>
      <c r="W430" s="29"/>
      <c r="X430" s="29"/>
      <c r="Y430" s="29"/>
      <c r="Z430" s="29"/>
      <c r="AA430" s="30"/>
      <c r="AB430" s="30"/>
      <c r="AC430" s="30"/>
      <c r="AD430" s="30"/>
      <c r="AE430" s="30"/>
      <c r="AF430" s="32"/>
      <c r="AG430" s="33"/>
      <c r="AH430" s="33"/>
      <c r="AI430" s="29"/>
      <c r="AJ430" s="32"/>
      <c r="AK430" s="32"/>
      <c r="AL430" s="29"/>
      <c r="AN430" s="34" t="str">
        <f aca="false">IF($B430="","",IF(OR(C430="",D430="",E430="",G430="",I430="",J430="",L430="",O430="",P430=""),"Champ obligatoire manquant",IF(OR(AND(N430&lt;&gt;"",N430&gt;O430),O430&gt;P430,AND(Q430&lt;&gt;"",Q430&lt;P430),AND(R430&lt;&gt;"",R430&lt;P430),AND(S430&lt;&gt;"",S430&lt;R430),AND(S430&lt;&gt;"",R430=""),AND(T430&lt;&gt;"",T430&lt;O430),AND(U430&lt;&gt;"",U430&lt;O430)),"Chronologie incohérente",IF(AND(OR(L430="Résolu",L430="Clos"),R430=""),"Date de résolution manquante",IF(AND(L430="Clos",S430=""),"Date de clôture manquante",IF(AND(K430="Oui",AC430=""),"Classification DORA manquante","OK"))))))</f>
        <v/>
      </c>
      <c r="AO430" s="35" t="str">
        <f aca="false">IF($B430="","",IF(AND(C430="Incident",L430&lt;&gt;"Annulé"),1,0))</f>
        <v/>
      </c>
      <c r="AP430" s="35" t="str">
        <f aca="false">IF($B430="","",IF(AND(C430="Quasi-incident",L430&lt;&gt;"Annulé"),1,0))</f>
        <v/>
      </c>
      <c r="AQ430" s="35" t="str">
        <f aca="false">IF($B430="","",AO430+AP430)</f>
        <v/>
      </c>
      <c r="AR430" s="36" t="str">
        <f aca="false">IF(OR($B430="",J430=""),"",IFERROR(VALUE(LEFT(J430,1)),""))</f>
        <v/>
      </c>
      <c r="AS430" s="35" t="str">
        <f aca="false">IF(OR(AO430&lt;&gt;1,G430=""),"",IFERROR(IF(INDEX(L_SrcInterne,MATCH(G430,L_Sources,0))="Oui",1,0),""))</f>
        <v/>
      </c>
      <c r="AT430" s="37" t="str">
        <f aca="false">IF(AO430&lt;&gt;1,"",IFERROR(ROUND(IF(OR(N430="",O430=""),"",IF(O430&lt;N430,"",ROUND(((NETWORKDAYS(N430,O430,JoursFeries)-1)*(HFer-HOuv)+IF(NETWORKDAYS(O430,O430,JoursFeries),MEDIAN(MOD(O430,1),HFer,HOuv),HFer)-IF(NETWORKDAYS(N430,N430,JoursFeries),MEDIAN(MOD(N430,1),HFer,HOuv),HOuv))*24,4)))/HJour,4),""))</f>
        <v/>
      </c>
      <c r="AU430" s="37" t="str">
        <f aca="false">IF(AO430&lt;&gt;1,"",IF(OR(O430="",P430=""),"",IF(P430&lt;O430,"",ROUND(((NETWORKDAYS(O430,P430,JoursFeries)-1)*(HFer-HOuv)+IF(NETWORKDAYS(P430,P430,JoursFeries),MEDIAN(MOD(P430,1),HFer,HOuv),HFer)-IF(NETWORKDAYS(O430,O430,JoursFeries),MEDIAN(MOD(O430,1),HFer,HOuv),HOuv))*24,4))))</f>
        <v/>
      </c>
      <c r="AV430" s="37" t="str">
        <f aca="false">IF(AO430&lt;&gt;1,"",IF(OR(P430="",Q430=""),"",IF(Q430&lt;P430,"",ROUND(((NETWORKDAYS(P430,Q430,JoursFeries)-1)*(HFer-HOuv)+IF(NETWORKDAYS(Q430,Q430,JoursFeries),MEDIAN(MOD(Q430,1),HFer,HOuv),HFer)-IF(NETWORKDAYS(P430,P430,JoursFeries),MEDIAN(MOD(P430,1),HFer,HOuv),HOuv))*24,4))))</f>
        <v/>
      </c>
      <c r="AW430" s="37" t="str">
        <f aca="false">IF(AO430&lt;&gt;1,"",IFERROR(ROUND(IF(OR(P430="",R430=""),"",IF(R430&lt;P430,"",ROUND(((NETWORKDAYS(P430,R430,JoursFeries)-1)*(HFer-HOuv)+IF(NETWORKDAYS(R430,R430,JoursFeries),MEDIAN(MOD(R430,1),HFer,HOuv),HFer)-IF(NETWORKDAYS(P430,P430,JoursFeries),MEDIAN(MOD(P430,1),HFer,HOuv),HOuv))*24,4)))/HJour,4),""))</f>
        <v/>
      </c>
      <c r="AX430" s="37" t="str">
        <f aca="false">IF(AO430&lt;&gt;1,"",IFERROR(ROUND(IF(OR(P430="",S430=""),"",IF(S430&lt;P430,"",ROUND(((NETWORKDAYS(P430,S430,JoursFeries)-1)*(HFer-HOuv)+IF(NETWORKDAYS(S430,S430,JoursFeries),MEDIAN(MOD(S430,1),HFer,HOuv),HFer)-IF(NETWORKDAYS(P430,P430,JoursFeries),MEDIAN(MOD(P430,1),HFer,HOuv),HOuv))*24,4)))/HJour,4),""))</f>
        <v/>
      </c>
      <c r="AY430" s="36" t="str">
        <f aca="false">IF(OR(AO430&lt;&gt;1,AR430=""),"",INDEX(SLA_PEC,AR430))</f>
        <v/>
      </c>
      <c r="AZ430" s="35" t="str">
        <f aca="false">IF(OR(AV430="",AY430=""),"",IF(AV430&lt;=AY430,1,0))</f>
        <v/>
      </c>
      <c r="BA430" s="36" t="str">
        <f aca="false">IF(OR(AO430&lt;&gt;1,AR430=""),"",INDEX(SLA_RES,AR430))</f>
        <v/>
      </c>
      <c r="BB430" s="35" t="str">
        <f aca="false">IF(OR(AW430="",BA430=""),"",IF(AW430&lt;=BA430,1,0))</f>
        <v/>
      </c>
      <c r="BC430" s="38" t="str">
        <f aca="false">IF(OR(BA430="",P430=""),"",WORKDAY(INT(P430),BA430,JoursFeries)+MOD(P430,1))</f>
        <v/>
      </c>
      <c r="BD430" s="39" t="str">
        <f aca="false">IF(AO430&lt;&gt;1,"",IF(OR(AB430&lt;&gt;"",AD430&lt;&gt;""),4,IF(U430&lt;&gt;"",3,IF(T430&lt;&gt;"",2,1))))</f>
        <v/>
      </c>
      <c r="BE430" s="39" t="str">
        <f aca="false">IF(OR(AO430&lt;&gt;1,AR430=""),"",INDEX(NIV_REQ,AR430))</f>
        <v/>
      </c>
      <c r="BF430" s="39" t="str">
        <f aca="false">IF(BE430="","",MAX(BE430,IF(OR(K430="Oui",Z430="Oui"),4,1)))</f>
        <v/>
      </c>
      <c r="BG430" s="35" t="str">
        <f aca="false">IF(OR(BF430="",BD430=""),"",IF(BD430&gt;=BF430,1,0))</f>
        <v/>
      </c>
      <c r="BH430" s="38" t="str">
        <f aca="false">IF(BE430="","",IF(BE430&lt;2,"",IF(BE430=2,IF(AND(T430="",U430=""),"",MIN(T430,U430)),IF(U430="","",U430))))</f>
        <v/>
      </c>
      <c r="BI430" s="37" t="str">
        <f aca="false">IF(BH430="","",IF(OR(O430="",BH430=""),"",IF(BH430&lt;O430,"",ROUND(((NETWORKDAYS(O430,BH430,JoursFeries)-1)*(HFer-HOuv)+IF(NETWORKDAYS(BH430,BH430,JoursFeries),MEDIAN(MOD(BH430,1),HFer,HOuv),HFer)-IF(NETWORKDAYS(O430,O430,JoursFeries),MEDIAN(MOD(O430,1),HFer,HOuv),HOuv))*24,4))))</f>
        <v/>
      </c>
      <c r="BJ430" s="35" t="str">
        <f aca="false">IF(OR(BI430="",AR430=""),"",IF(BI430&lt;=INDEX(DELAI_ESC,AR430),1,0))</f>
        <v/>
      </c>
      <c r="BK430" s="38" t="str">
        <f aca="false">IF(AO430&lt;&gt;1,"",IF(AND(T430="",U430=""),"",MIN(T430,U430)))</f>
        <v/>
      </c>
      <c r="BL430" s="37" t="str">
        <f aca="false">IF(OR(BK430="",R430=""),"",IFERROR(ROUND(IF(OR(BK430="",R430=""),"",IF(R430&lt;BK430,"",ROUND(((NETWORKDAYS(BK430,R430,JoursFeries)-1)*(HFer-HOuv)+IF(NETWORKDAYS(R430,R430,JoursFeries),MEDIAN(MOD(R430,1),HFer,HOuv),HFer)-IF(NETWORKDAYS(BK430,BK430,JoursFeries),MEDIAN(MOD(BK430,1),HFer,HOuv),HOuv))*24,4)))/HJour,4),""))</f>
        <v/>
      </c>
      <c r="BM430" s="35" t="str">
        <f aca="false">IF(OR(AO430&lt;&gt;1,R430=""),"",IF(BD430=1,1,0))</f>
        <v/>
      </c>
      <c r="BN430" s="35" t="str">
        <f aca="false">IF(AO430&lt;&gt;1,"",IF(W430="Oui",1,0))</f>
        <v/>
      </c>
      <c r="BO430" s="35" t="str">
        <f aca="false">IF(AO430&lt;&gt;1,"",IF(X430&lt;&gt;"",1,0))</f>
        <v/>
      </c>
      <c r="BP430" s="35" t="str">
        <f aca="false">IF(AO430&lt;&gt;1,"",IF(Y430="Oui",1,0))</f>
        <v/>
      </c>
      <c r="BQ430" s="35" t="str">
        <f aca="true">IF(OR(AO430&lt;&gt;1,Z430&lt;&gt;"Oui"),"",IF(AB430="",IF(AND(AA430&lt;&gt;"",NOW()&gt;AA430),0,""),IF(AA430="","",IF(AB430&lt;=AA430,1,0))))</f>
        <v/>
      </c>
      <c r="BR430" s="38" t="str">
        <f aca="false">IF(OR(AO430&lt;&gt;1,K430&lt;&gt;"Oui",O430=""),"",IF(AC430="",O430+DORA_H_DET/24,IF(AC430-O430&lt;=DORA_H_DET/24,MIN(AC430+DORA_H_CLA/24,O430+DORA_H_DET/24),AC430+DORA_H_CLA/24)))</f>
        <v/>
      </c>
      <c r="BS430" s="35" t="str">
        <f aca="true">IF(BR430="","",IF(AD430="",IF(NOW()&gt;BR430,0,""),IF(AD430&lt;=BR430,1,0)))</f>
        <v/>
      </c>
      <c r="BT430" s="35" t="str">
        <f aca="true">IF(OR(BR430="",AD430=""),"",IF(AE430="",IF(NOW()&gt;AD430+DORA_H_INT/24,0,""),IF(AE430&lt;=AD430+DORA_H_INT/24,1,0)))</f>
        <v/>
      </c>
      <c r="BU430" s="35" t="str">
        <f aca="true">IF(OR(BR430="",AE430=""),"",IF(AF430="",IF(NOW()&gt;EDATE(AE430,DORA_M_FIN)+1,0,""),IF(AF430&lt;=EDATE(AE430,DORA_M_FIN),1,0)))</f>
        <v/>
      </c>
      <c r="BV430" s="35" t="str">
        <f aca="false">IF(BR430="","",IF(COUNT(BS430:BU430)=0,"",MIN(BS430:BU430)))</f>
        <v/>
      </c>
      <c r="BW430" s="40" t="str">
        <f aca="false">IF(AQ430&lt;&gt;1,"",IF(AND(AG430="",AH430=""),"",N(AG430)-N(AH430)))</f>
        <v/>
      </c>
      <c r="BX430" s="35" t="str">
        <f aca="true">IF(OR(AQ430&lt;&gt;1,AI430&lt;&gt;"Oui",AJ430=""),"",IF(AK430="",IF(NOW()&gt;AJ430+1,0,""),IF(AK430&lt;=AJ430,1,0)))</f>
        <v/>
      </c>
    </row>
    <row r="431" customFormat="false" ht="15" hidden="false" customHeight="false" outlineLevel="0" collapsed="false">
      <c r="B431" s="29"/>
      <c r="C431" s="29"/>
      <c r="D431" s="29"/>
      <c r="E431" s="29"/>
      <c r="F431" s="29"/>
      <c r="G431" s="29"/>
      <c r="H431" s="29"/>
      <c r="I431" s="29"/>
      <c r="J431" s="29"/>
      <c r="K431" s="29"/>
      <c r="L431" s="29"/>
      <c r="M431" s="29"/>
      <c r="N431" s="30"/>
      <c r="O431" s="30"/>
      <c r="P431" s="30"/>
      <c r="Q431" s="30"/>
      <c r="R431" s="30"/>
      <c r="S431" s="30"/>
      <c r="T431" s="30"/>
      <c r="U431" s="30"/>
      <c r="V431" s="31"/>
      <c r="W431" s="29"/>
      <c r="X431" s="29"/>
      <c r="Y431" s="29"/>
      <c r="Z431" s="29"/>
      <c r="AA431" s="30"/>
      <c r="AB431" s="30"/>
      <c r="AC431" s="30"/>
      <c r="AD431" s="30"/>
      <c r="AE431" s="30"/>
      <c r="AF431" s="32"/>
      <c r="AG431" s="33"/>
      <c r="AH431" s="33"/>
      <c r="AI431" s="29"/>
      <c r="AJ431" s="32"/>
      <c r="AK431" s="32"/>
      <c r="AL431" s="29"/>
      <c r="AN431" s="34" t="str">
        <f aca="false">IF($B431="","",IF(OR(C431="",D431="",E431="",G431="",I431="",J431="",L431="",O431="",P431=""),"Champ obligatoire manquant",IF(OR(AND(N431&lt;&gt;"",N431&gt;O431),O431&gt;P431,AND(Q431&lt;&gt;"",Q431&lt;P431),AND(R431&lt;&gt;"",R431&lt;P431),AND(S431&lt;&gt;"",S431&lt;R431),AND(S431&lt;&gt;"",R431=""),AND(T431&lt;&gt;"",T431&lt;O431),AND(U431&lt;&gt;"",U431&lt;O431)),"Chronologie incohérente",IF(AND(OR(L431="Résolu",L431="Clos"),R431=""),"Date de résolution manquante",IF(AND(L431="Clos",S431=""),"Date de clôture manquante",IF(AND(K431="Oui",AC431=""),"Classification DORA manquante","OK"))))))</f>
        <v/>
      </c>
      <c r="AO431" s="35" t="str">
        <f aca="false">IF($B431="","",IF(AND(C431="Incident",L431&lt;&gt;"Annulé"),1,0))</f>
        <v/>
      </c>
      <c r="AP431" s="35" t="str">
        <f aca="false">IF($B431="","",IF(AND(C431="Quasi-incident",L431&lt;&gt;"Annulé"),1,0))</f>
        <v/>
      </c>
      <c r="AQ431" s="35" t="str">
        <f aca="false">IF($B431="","",AO431+AP431)</f>
        <v/>
      </c>
      <c r="AR431" s="36" t="str">
        <f aca="false">IF(OR($B431="",J431=""),"",IFERROR(VALUE(LEFT(J431,1)),""))</f>
        <v/>
      </c>
      <c r="AS431" s="35" t="str">
        <f aca="false">IF(OR(AO431&lt;&gt;1,G431=""),"",IFERROR(IF(INDEX(L_SrcInterne,MATCH(G431,L_Sources,0))="Oui",1,0),""))</f>
        <v/>
      </c>
      <c r="AT431" s="37" t="str">
        <f aca="false">IF(AO431&lt;&gt;1,"",IFERROR(ROUND(IF(OR(N431="",O431=""),"",IF(O431&lt;N431,"",ROUND(((NETWORKDAYS(N431,O431,JoursFeries)-1)*(HFer-HOuv)+IF(NETWORKDAYS(O431,O431,JoursFeries),MEDIAN(MOD(O431,1),HFer,HOuv),HFer)-IF(NETWORKDAYS(N431,N431,JoursFeries),MEDIAN(MOD(N431,1),HFer,HOuv),HOuv))*24,4)))/HJour,4),""))</f>
        <v/>
      </c>
      <c r="AU431" s="37" t="str">
        <f aca="false">IF(AO431&lt;&gt;1,"",IF(OR(O431="",P431=""),"",IF(P431&lt;O431,"",ROUND(((NETWORKDAYS(O431,P431,JoursFeries)-1)*(HFer-HOuv)+IF(NETWORKDAYS(P431,P431,JoursFeries),MEDIAN(MOD(P431,1),HFer,HOuv),HFer)-IF(NETWORKDAYS(O431,O431,JoursFeries),MEDIAN(MOD(O431,1),HFer,HOuv),HOuv))*24,4))))</f>
        <v/>
      </c>
      <c r="AV431" s="37" t="str">
        <f aca="false">IF(AO431&lt;&gt;1,"",IF(OR(P431="",Q431=""),"",IF(Q431&lt;P431,"",ROUND(((NETWORKDAYS(P431,Q431,JoursFeries)-1)*(HFer-HOuv)+IF(NETWORKDAYS(Q431,Q431,JoursFeries),MEDIAN(MOD(Q431,1),HFer,HOuv),HFer)-IF(NETWORKDAYS(P431,P431,JoursFeries),MEDIAN(MOD(P431,1),HFer,HOuv),HOuv))*24,4))))</f>
        <v/>
      </c>
      <c r="AW431" s="37" t="str">
        <f aca="false">IF(AO431&lt;&gt;1,"",IFERROR(ROUND(IF(OR(P431="",R431=""),"",IF(R431&lt;P431,"",ROUND(((NETWORKDAYS(P431,R431,JoursFeries)-1)*(HFer-HOuv)+IF(NETWORKDAYS(R431,R431,JoursFeries),MEDIAN(MOD(R431,1),HFer,HOuv),HFer)-IF(NETWORKDAYS(P431,P431,JoursFeries),MEDIAN(MOD(P431,1),HFer,HOuv),HOuv))*24,4)))/HJour,4),""))</f>
        <v/>
      </c>
      <c r="AX431" s="37" t="str">
        <f aca="false">IF(AO431&lt;&gt;1,"",IFERROR(ROUND(IF(OR(P431="",S431=""),"",IF(S431&lt;P431,"",ROUND(((NETWORKDAYS(P431,S431,JoursFeries)-1)*(HFer-HOuv)+IF(NETWORKDAYS(S431,S431,JoursFeries),MEDIAN(MOD(S431,1),HFer,HOuv),HFer)-IF(NETWORKDAYS(P431,P431,JoursFeries),MEDIAN(MOD(P431,1),HFer,HOuv),HOuv))*24,4)))/HJour,4),""))</f>
        <v/>
      </c>
      <c r="AY431" s="36" t="str">
        <f aca="false">IF(OR(AO431&lt;&gt;1,AR431=""),"",INDEX(SLA_PEC,AR431))</f>
        <v/>
      </c>
      <c r="AZ431" s="35" t="str">
        <f aca="false">IF(OR(AV431="",AY431=""),"",IF(AV431&lt;=AY431,1,0))</f>
        <v/>
      </c>
      <c r="BA431" s="36" t="str">
        <f aca="false">IF(OR(AO431&lt;&gt;1,AR431=""),"",INDEX(SLA_RES,AR431))</f>
        <v/>
      </c>
      <c r="BB431" s="35" t="str">
        <f aca="false">IF(OR(AW431="",BA431=""),"",IF(AW431&lt;=BA431,1,0))</f>
        <v/>
      </c>
      <c r="BC431" s="38" t="str">
        <f aca="false">IF(OR(BA431="",P431=""),"",WORKDAY(INT(P431),BA431,JoursFeries)+MOD(P431,1))</f>
        <v/>
      </c>
      <c r="BD431" s="39" t="str">
        <f aca="false">IF(AO431&lt;&gt;1,"",IF(OR(AB431&lt;&gt;"",AD431&lt;&gt;""),4,IF(U431&lt;&gt;"",3,IF(T431&lt;&gt;"",2,1))))</f>
        <v/>
      </c>
      <c r="BE431" s="39" t="str">
        <f aca="false">IF(OR(AO431&lt;&gt;1,AR431=""),"",INDEX(NIV_REQ,AR431))</f>
        <v/>
      </c>
      <c r="BF431" s="39" t="str">
        <f aca="false">IF(BE431="","",MAX(BE431,IF(OR(K431="Oui",Z431="Oui"),4,1)))</f>
        <v/>
      </c>
      <c r="BG431" s="35" t="str">
        <f aca="false">IF(OR(BF431="",BD431=""),"",IF(BD431&gt;=BF431,1,0))</f>
        <v/>
      </c>
      <c r="BH431" s="38" t="str">
        <f aca="false">IF(BE431="","",IF(BE431&lt;2,"",IF(BE431=2,IF(AND(T431="",U431=""),"",MIN(T431,U431)),IF(U431="","",U431))))</f>
        <v/>
      </c>
      <c r="BI431" s="37" t="str">
        <f aca="false">IF(BH431="","",IF(OR(O431="",BH431=""),"",IF(BH431&lt;O431,"",ROUND(((NETWORKDAYS(O431,BH431,JoursFeries)-1)*(HFer-HOuv)+IF(NETWORKDAYS(BH431,BH431,JoursFeries),MEDIAN(MOD(BH431,1),HFer,HOuv),HFer)-IF(NETWORKDAYS(O431,O431,JoursFeries),MEDIAN(MOD(O431,1),HFer,HOuv),HOuv))*24,4))))</f>
        <v/>
      </c>
      <c r="BJ431" s="35" t="str">
        <f aca="false">IF(OR(BI431="",AR431=""),"",IF(BI431&lt;=INDEX(DELAI_ESC,AR431),1,0))</f>
        <v/>
      </c>
      <c r="BK431" s="38" t="str">
        <f aca="false">IF(AO431&lt;&gt;1,"",IF(AND(T431="",U431=""),"",MIN(T431,U431)))</f>
        <v/>
      </c>
      <c r="BL431" s="37" t="str">
        <f aca="false">IF(OR(BK431="",R431=""),"",IFERROR(ROUND(IF(OR(BK431="",R431=""),"",IF(R431&lt;BK431,"",ROUND(((NETWORKDAYS(BK431,R431,JoursFeries)-1)*(HFer-HOuv)+IF(NETWORKDAYS(R431,R431,JoursFeries),MEDIAN(MOD(R431,1),HFer,HOuv),HFer)-IF(NETWORKDAYS(BK431,BK431,JoursFeries),MEDIAN(MOD(BK431,1),HFer,HOuv),HOuv))*24,4)))/HJour,4),""))</f>
        <v/>
      </c>
      <c r="BM431" s="35" t="str">
        <f aca="false">IF(OR(AO431&lt;&gt;1,R431=""),"",IF(BD431=1,1,0))</f>
        <v/>
      </c>
      <c r="BN431" s="35" t="str">
        <f aca="false">IF(AO431&lt;&gt;1,"",IF(W431="Oui",1,0))</f>
        <v/>
      </c>
      <c r="BO431" s="35" t="str">
        <f aca="false">IF(AO431&lt;&gt;1,"",IF(X431&lt;&gt;"",1,0))</f>
        <v/>
      </c>
      <c r="BP431" s="35" t="str">
        <f aca="false">IF(AO431&lt;&gt;1,"",IF(Y431="Oui",1,0))</f>
        <v/>
      </c>
      <c r="BQ431" s="35" t="str">
        <f aca="true">IF(OR(AO431&lt;&gt;1,Z431&lt;&gt;"Oui"),"",IF(AB431="",IF(AND(AA431&lt;&gt;"",NOW()&gt;AA431),0,""),IF(AA431="","",IF(AB431&lt;=AA431,1,0))))</f>
        <v/>
      </c>
      <c r="BR431" s="38" t="str">
        <f aca="false">IF(OR(AO431&lt;&gt;1,K431&lt;&gt;"Oui",O431=""),"",IF(AC431="",O431+DORA_H_DET/24,IF(AC431-O431&lt;=DORA_H_DET/24,MIN(AC431+DORA_H_CLA/24,O431+DORA_H_DET/24),AC431+DORA_H_CLA/24)))</f>
        <v/>
      </c>
      <c r="BS431" s="35" t="str">
        <f aca="true">IF(BR431="","",IF(AD431="",IF(NOW()&gt;BR431,0,""),IF(AD431&lt;=BR431,1,0)))</f>
        <v/>
      </c>
      <c r="BT431" s="35" t="str">
        <f aca="true">IF(OR(BR431="",AD431=""),"",IF(AE431="",IF(NOW()&gt;AD431+DORA_H_INT/24,0,""),IF(AE431&lt;=AD431+DORA_H_INT/24,1,0)))</f>
        <v/>
      </c>
      <c r="BU431" s="35" t="str">
        <f aca="true">IF(OR(BR431="",AE431=""),"",IF(AF431="",IF(NOW()&gt;EDATE(AE431,DORA_M_FIN)+1,0,""),IF(AF431&lt;=EDATE(AE431,DORA_M_FIN),1,0)))</f>
        <v/>
      </c>
      <c r="BV431" s="35" t="str">
        <f aca="false">IF(BR431="","",IF(COUNT(BS431:BU431)=0,"",MIN(BS431:BU431)))</f>
        <v/>
      </c>
      <c r="BW431" s="40" t="str">
        <f aca="false">IF(AQ431&lt;&gt;1,"",IF(AND(AG431="",AH431=""),"",N(AG431)-N(AH431)))</f>
        <v/>
      </c>
      <c r="BX431" s="35" t="str">
        <f aca="true">IF(OR(AQ431&lt;&gt;1,AI431&lt;&gt;"Oui",AJ431=""),"",IF(AK431="",IF(NOW()&gt;AJ431+1,0,""),IF(AK431&lt;=AJ431,1,0)))</f>
        <v/>
      </c>
    </row>
    <row r="432" customFormat="false" ht="15" hidden="false" customHeight="false" outlineLevel="0" collapsed="false">
      <c r="B432" s="29"/>
      <c r="C432" s="29"/>
      <c r="D432" s="29"/>
      <c r="E432" s="29"/>
      <c r="F432" s="29"/>
      <c r="G432" s="29"/>
      <c r="H432" s="29"/>
      <c r="I432" s="29"/>
      <c r="J432" s="29"/>
      <c r="K432" s="29"/>
      <c r="L432" s="29"/>
      <c r="M432" s="29"/>
      <c r="N432" s="30"/>
      <c r="O432" s="30"/>
      <c r="P432" s="30"/>
      <c r="Q432" s="30"/>
      <c r="R432" s="30"/>
      <c r="S432" s="30"/>
      <c r="T432" s="30"/>
      <c r="U432" s="30"/>
      <c r="V432" s="31"/>
      <c r="W432" s="29"/>
      <c r="X432" s="29"/>
      <c r="Y432" s="29"/>
      <c r="Z432" s="29"/>
      <c r="AA432" s="30"/>
      <c r="AB432" s="30"/>
      <c r="AC432" s="30"/>
      <c r="AD432" s="30"/>
      <c r="AE432" s="30"/>
      <c r="AF432" s="32"/>
      <c r="AG432" s="33"/>
      <c r="AH432" s="33"/>
      <c r="AI432" s="29"/>
      <c r="AJ432" s="32"/>
      <c r="AK432" s="32"/>
      <c r="AL432" s="29"/>
      <c r="AN432" s="34" t="str">
        <f aca="false">IF($B432="","",IF(OR(C432="",D432="",E432="",G432="",I432="",J432="",L432="",O432="",P432=""),"Champ obligatoire manquant",IF(OR(AND(N432&lt;&gt;"",N432&gt;O432),O432&gt;P432,AND(Q432&lt;&gt;"",Q432&lt;P432),AND(R432&lt;&gt;"",R432&lt;P432),AND(S432&lt;&gt;"",S432&lt;R432),AND(S432&lt;&gt;"",R432=""),AND(T432&lt;&gt;"",T432&lt;O432),AND(U432&lt;&gt;"",U432&lt;O432)),"Chronologie incohérente",IF(AND(OR(L432="Résolu",L432="Clos"),R432=""),"Date de résolution manquante",IF(AND(L432="Clos",S432=""),"Date de clôture manquante",IF(AND(K432="Oui",AC432=""),"Classification DORA manquante","OK"))))))</f>
        <v/>
      </c>
      <c r="AO432" s="35" t="str">
        <f aca="false">IF($B432="","",IF(AND(C432="Incident",L432&lt;&gt;"Annulé"),1,0))</f>
        <v/>
      </c>
      <c r="AP432" s="35" t="str">
        <f aca="false">IF($B432="","",IF(AND(C432="Quasi-incident",L432&lt;&gt;"Annulé"),1,0))</f>
        <v/>
      </c>
      <c r="AQ432" s="35" t="str">
        <f aca="false">IF($B432="","",AO432+AP432)</f>
        <v/>
      </c>
      <c r="AR432" s="36" t="str">
        <f aca="false">IF(OR($B432="",J432=""),"",IFERROR(VALUE(LEFT(J432,1)),""))</f>
        <v/>
      </c>
      <c r="AS432" s="35" t="str">
        <f aca="false">IF(OR(AO432&lt;&gt;1,G432=""),"",IFERROR(IF(INDEX(L_SrcInterne,MATCH(G432,L_Sources,0))="Oui",1,0),""))</f>
        <v/>
      </c>
      <c r="AT432" s="37" t="str">
        <f aca="false">IF(AO432&lt;&gt;1,"",IFERROR(ROUND(IF(OR(N432="",O432=""),"",IF(O432&lt;N432,"",ROUND(((NETWORKDAYS(N432,O432,JoursFeries)-1)*(HFer-HOuv)+IF(NETWORKDAYS(O432,O432,JoursFeries),MEDIAN(MOD(O432,1),HFer,HOuv),HFer)-IF(NETWORKDAYS(N432,N432,JoursFeries),MEDIAN(MOD(N432,1),HFer,HOuv),HOuv))*24,4)))/HJour,4),""))</f>
        <v/>
      </c>
      <c r="AU432" s="37" t="str">
        <f aca="false">IF(AO432&lt;&gt;1,"",IF(OR(O432="",P432=""),"",IF(P432&lt;O432,"",ROUND(((NETWORKDAYS(O432,P432,JoursFeries)-1)*(HFer-HOuv)+IF(NETWORKDAYS(P432,P432,JoursFeries),MEDIAN(MOD(P432,1),HFer,HOuv),HFer)-IF(NETWORKDAYS(O432,O432,JoursFeries),MEDIAN(MOD(O432,1),HFer,HOuv),HOuv))*24,4))))</f>
        <v/>
      </c>
      <c r="AV432" s="37" t="str">
        <f aca="false">IF(AO432&lt;&gt;1,"",IF(OR(P432="",Q432=""),"",IF(Q432&lt;P432,"",ROUND(((NETWORKDAYS(P432,Q432,JoursFeries)-1)*(HFer-HOuv)+IF(NETWORKDAYS(Q432,Q432,JoursFeries),MEDIAN(MOD(Q432,1),HFer,HOuv),HFer)-IF(NETWORKDAYS(P432,P432,JoursFeries),MEDIAN(MOD(P432,1),HFer,HOuv),HOuv))*24,4))))</f>
        <v/>
      </c>
      <c r="AW432" s="37" t="str">
        <f aca="false">IF(AO432&lt;&gt;1,"",IFERROR(ROUND(IF(OR(P432="",R432=""),"",IF(R432&lt;P432,"",ROUND(((NETWORKDAYS(P432,R432,JoursFeries)-1)*(HFer-HOuv)+IF(NETWORKDAYS(R432,R432,JoursFeries),MEDIAN(MOD(R432,1),HFer,HOuv),HFer)-IF(NETWORKDAYS(P432,P432,JoursFeries),MEDIAN(MOD(P432,1),HFer,HOuv),HOuv))*24,4)))/HJour,4),""))</f>
        <v/>
      </c>
      <c r="AX432" s="37" t="str">
        <f aca="false">IF(AO432&lt;&gt;1,"",IFERROR(ROUND(IF(OR(P432="",S432=""),"",IF(S432&lt;P432,"",ROUND(((NETWORKDAYS(P432,S432,JoursFeries)-1)*(HFer-HOuv)+IF(NETWORKDAYS(S432,S432,JoursFeries),MEDIAN(MOD(S432,1),HFer,HOuv),HFer)-IF(NETWORKDAYS(P432,P432,JoursFeries),MEDIAN(MOD(P432,1),HFer,HOuv),HOuv))*24,4)))/HJour,4),""))</f>
        <v/>
      </c>
      <c r="AY432" s="36" t="str">
        <f aca="false">IF(OR(AO432&lt;&gt;1,AR432=""),"",INDEX(SLA_PEC,AR432))</f>
        <v/>
      </c>
      <c r="AZ432" s="35" t="str">
        <f aca="false">IF(OR(AV432="",AY432=""),"",IF(AV432&lt;=AY432,1,0))</f>
        <v/>
      </c>
      <c r="BA432" s="36" t="str">
        <f aca="false">IF(OR(AO432&lt;&gt;1,AR432=""),"",INDEX(SLA_RES,AR432))</f>
        <v/>
      </c>
      <c r="BB432" s="35" t="str">
        <f aca="false">IF(OR(AW432="",BA432=""),"",IF(AW432&lt;=BA432,1,0))</f>
        <v/>
      </c>
      <c r="BC432" s="38" t="str">
        <f aca="false">IF(OR(BA432="",P432=""),"",WORKDAY(INT(P432),BA432,JoursFeries)+MOD(P432,1))</f>
        <v/>
      </c>
      <c r="BD432" s="39" t="str">
        <f aca="false">IF(AO432&lt;&gt;1,"",IF(OR(AB432&lt;&gt;"",AD432&lt;&gt;""),4,IF(U432&lt;&gt;"",3,IF(T432&lt;&gt;"",2,1))))</f>
        <v/>
      </c>
      <c r="BE432" s="39" t="str">
        <f aca="false">IF(OR(AO432&lt;&gt;1,AR432=""),"",INDEX(NIV_REQ,AR432))</f>
        <v/>
      </c>
      <c r="BF432" s="39" t="str">
        <f aca="false">IF(BE432="","",MAX(BE432,IF(OR(K432="Oui",Z432="Oui"),4,1)))</f>
        <v/>
      </c>
      <c r="BG432" s="35" t="str">
        <f aca="false">IF(OR(BF432="",BD432=""),"",IF(BD432&gt;=BF432,1,0))</f>
        <v/>
      </c>
      <c r="BH432" s="38" t="str">
        <f aca="false">IF(BE432="","",IF(BE432&lt;2,"",IF(BE432=2,IF(AND(T432="",U432=""),"",MIN(T432,U432)),IF(U432="","",U432))))</f>
        <v/>
      </c>
      <c r="BI432" s="37" t="str">
        <f aca="false">IF(BH432="","",IF(OR(O432="",BH432=""),"",IF(BH432&lt;O432,"",ROUND(((NETWORKDAYS(O432,BH432,JoursFeries)-1)*(HFer-HOuv)+IF(NETWORKDAYS(BH432,BH432,JoursFeries),MEDIAN(MOD(BH432,1),HFer,HOuv),HFer)-IF(NETWORKDAYS(O432,O432,JoursFeries),MEDIAN(MOD(O432,1),HFer,HOuv),HOuv))*24,4))))</f>
        <v/>
      </c>
      <c r="BJ432" s="35" t="str">
        <f aca="false">IF(OR(BI432="",AR432=""),"",IF(BI432&lt;=INDEX(DELAI_ESC,AR432),1,0))</f>
        <v/>
      </c>
      <c r="BK432" s="38" t="str">
        <f aca="false">IF(AO432&lt;&gt;1,"",IF(AND(T432="",U432=""),"",MIN(T432,U432)))</f>
        <v/>
      </c>
      <c r="BL432" s="37" t="str">
        <f aca="false">IF(OR(BK432="",R432=""),"",IFERROR(ROUND(IF(OR(BK432="",R432=""),"",IF(R432&lt;BK432,"",ROUND(((NETWORKDAYS(BK432,R432,JoursFeries)-1)*(HFer-HOuv)+IF(NETWORKDAYS(R432,R432,JoursFeries),MEDIAN(MOD(R432,1),HFer,HOuv),HFer)-IF(NETWORKDAYS(BK432,BK432,JoursFeries),MEDIAN(MOD(BK432,1),HFer,HOuv),HOuv))*24,4)))/HJour,4),""))</f>
        <v/>
      </c>
      <c r="BM432" s="35" t="str">
        <f aca="false">IF(OR(AO432&lt;&gt;1,R432=""),"",IF(BD432=1,1,0))</f>
        <v/>
      </c>
      <c r="BN432" s="35" t="str">
        <f aca="false">IF(AO432&lt;&gt;1,"",IF(W432="Oui",1,0))</f>
        <v/>
      </c>
      <c r="BO432" s="35" t="str">
        <f aca="false">IF(AO432&lt;&gt;1,"",IF(X432&lt;&gt;"",1,0))</f>
        <v/>
      </c>
      <c r="BP432" s="35" t="str">
        <f aca="false">IF(AO432&lt;&gt;1,"",IF(Y432="Oui",1,0))</f>
        <v/>
      </c>
      <c r="BQ432" s="35" t="str">
        <f aca="true">IF(OR(AO432&lt;&gt;1,Z432&lt;&gt;"Oui"),"",IF(AB432="",IF(AND(AA432&lt;&gt;"",NOW()&gt;AA432),0,""),IF(AA432="","",IF(AB432&lt;=AA432,1,0))))</f>
        <v/>
      </c>
      <c r="BR432" s="38" t="str">
        <f aca="false">IF(OR(AO432&lt;&gt;1,K432&lt;&gt;"Oui",O432=""),"",IF(AC432="",O432+DORA_H_DET/24,IF(AC432-O432&lt;=DORA_H_DET/24,MIN(AC432+DORA_H_CLA/24,O432+DORA_H_DET/24),AC432+DORA_H_CLA/24)))</f>
        <v/>
      </c>
      <c r="BS432" s="35" t="str">
        <f aca="true">IF(BR432="","",IF(AD432="",IF(NOW()&gt;BR432,0,""),IF(AD432&lt;=BR432,1,0)))</f>
        <v/>
      </c>
      <c r="BT432" s="35" t="str">
        <f aca="true">IF(OR(BR432="",AD432=""),"",IF(AE432="",IF(NOW()&gt;AD432+DORA_H_INT/24,0,""),IF(AE432&lt;=AD432+DORA_H_INT/24,1,0)))</f>
        <v/>
      </c>
      <c r="BU432" s="35" t="str">
        <f aca="true">IF(OR(BR432="",AE432=""),"",IF(AF432="",IF(NOW()&gt;EDATE(AE432,DORA_M_FIN)+1,0,""),IF(AF432&lt;=EDATE(AE432,DORA_M_FIN),1,0)))</f>
        <v/>
      </c>
      <c r="BV432" s="35" t="str">
        <f aca="false">IF(BR432="","",IF(COUNT(BS432:BU432)=0,"",MIN(BS432:BU432)))</f>
        <v/>
      </c>
      <c r="BW432" s="40" t="str">
        <f aca="false">IF(AQ432&lt;&gt;1,"",IF(AND(AG432="",AH432=""),"",N(AG432)-N(AH432)))</f>
        <v/>
      </c>
      <c r="BX432" s="35" t="str">
        <f aca="true">IF(OR(AQ432&lt;&gt;1,AI432&lt;&gt;"Oui",AJ432=""),"",IF(AK432="",IF(NOW()&gt;AJ432+1,0,""),IF(AK432&lt;=AJ432,1,0)))</f>
        <v/>
      </c>
    </row>
    <row r="433" customFormat="false" ht="15" hidden="false" customHeight="false" outlineLevel="0" collapsed="false">
      <c r="B433" s="29"/>
      <c r="C433" s="29"/>
      <c r="D433" s="29"/>
      <c r="E433" s="29"/>
      <c r="F433" s="29"/>
      <c r="G433" s="29"/>
      <c r="H433" s="29"/>
      <c r="I433" s="29"/>
      <c r="J433" s="29"/>
      <c r="K433" s="29"/>
      <c r="L433" s="29"/>
      <c r="M433" s="29"/>
      <c r="N433" s="30"/>
      <c r="O433" s="30"/>
      <c r="P433" s="30"/>
      <c r="Q433" s="30"/>
      <c r="R433" s="30"/>
      <c r="S433" s="30"/>
      <c r="T433" s="30"/>
      <c r="U433" s="30"/>
      <c r="V433" s="31"/>
      <c r="W433" s="29"/>
      <c r="X433" s="29"/>
      <c r="Y433" s="29"/>
      <c r="Z433" s="29"/>
      <c r="AA433" s="30"/>
      <c r="AB433" s="30"/>
      <c r="AC433" s="30"/>
      <c r="AD433" s="30"/>
      <c r="AE433" s="30"/>
      <c r="AF433" s="32"/>
      <c r="AG433" s="33"/>
      <c r="AH433" s="33"/>
      <c r="AI433" s="29"/>
      <c r="AJ433" s="32"/>
      <c r="AK433" s="32"/>
      <c r="AL433" s="29"/>
      <c r="AN433" s="34" t="str">
        <f aca="false">IF($B433="","",IF(OR(C433="",D433="",E433="",G433="",I433="",J433="",L433="",O433="",P433=""),"Champ obligatoire manquant",IF(OR(AND(N433&lt;&gt;"",N433&gt;O433),O433&gt;P433,AND(Q433&lt;&gt;"",Q433&lt;P433),AND(R433&lt;&gt;"",R433&lt;P433),AND(S433&lt;&gt;"",S433&lt;R433),AND(S433&lt;&gt;"",R433=""),AND(T433&lt;&gt;"",T433&lt;O433),AND(U433&lt;&gt;"",U433&lt;O433)),"Chronologie incohérente",IF(AND(OR(L433="Résolu",L433="Clos"),R433=""),"Date de résolution manquante",IF(AND(L433="Clos",S433=""),"Date de clôture manquante",IF(AND(K433="Oui",AC433=""),"Classification DORA manquante","OK"))))))</f>
        <v/>
      </c>
      <c r="AO433" s="35" t="str">
        <f aca="false">IF($B433="","",IF(AND(C433="Incident",L433&lt;&gt;"Annulé"),1,0))</f>
        <v/>
      </c>
      <c r="AP433" s="35" t="str">
        <f aca="false">IF($B433="","",IF(AND(C433="Quasi-incident",L433&lt;&gt;"Annulé"),1,0))</f>
        <v/>
      </c>
      <c r="AQ433" s="35" t="str">
        <f aca="false">IF($B433="","",AO433+AP433)</f>
        <v/>
      </c>
      <c r="AR433" s="36" t="str">
        <f aca="false">IF(OR($B433="",J433=""),"",IFERROR(VALUE(LEFT(J433,1)),""))</f>
        <v/>
      </c>
      <c r="AS433" s="35" t="str">
        <f aca="false">IF(OR(AO433&lt;&gt;1,G433=""),"",IFERROR(IF(INDEX(L_SrcInterne,MATCH(G433,L_Sources,0))="Oui",1,0),""))</f>
        <v/>
      </c>
      <c r="AT433" s="37" t="str">
        <f aca="false">IF(AO433&lt;&gt;1,"",IFERROR(ROUND(IF(OR(N433="",O433=""),"",IF(O433&lt;N433,"",ROUND(((NETWORKDAYS(N433,O433,JoursFeries)-1)*(HFer-HOuv)+IF(NETWORKDAYS(O433,O433,JoursFeries),MEDIAN(MOD(O433,1),HFer,HOuv),HFer)-IF(NETWORKDAYS(N433,N433,JoursFeries),MEDIAN(MOD(N433,1),HFer,HOuv),HOuv))*24,4)))/HJour,4),""))</f>
        <v/>
      </c>
      <c r="AU433" s="37" t="str">
        <f aca="false">IF(AO433&lt;&gt;1,"",IF(OR(O433="",P433=""),"",IF(P433&lt;O433,"",ROUND(((NETWORKDAYS(O433,P433,JoursFeries)-1)*(HFer-HOuv)+IF(NETWORKDAYS(P433,P433,JoursFeries),MEDIAN(MOD(P433,1),HFer,HOuv),HFer)-IF(NETWORKDAYS(O433,O433,JoursFeries),MEDIAN(MOD(O433,1),HFer,HOuv),HOuv))*24,4))))</f>
        <v/>
      </c>
      <c r="AV433" s="37" t="str">
        <f aca="false">IF(AO433&lt;&gt;1,"",IF(OR(P433="",Q433=""),"",IF(Q433&lt;P433,"",ROUND(((NETWORKDAYS(P433,Q433,JoursFeries)-1)*(HFer-HOuv)+IF(NETWORKDAYS(Q433,Q433,JoursFeries),MEDIAN(MOD(Q433,1),HFer,HOuv),HFer)-IF(NETWORKDAYS(P433,P433,JoursFeries),MEDIAN(MOD(P433,1),HFer,HOuv),HOuv))*24,4))))</f>
        <v/>
      </c>
      <c r="AW433" s="37" t="str">
        <f aca="false">IF(AO433&lt;&gt;1,"",IFERROR(ROUND(IF(OR(P433="",R433=""),"",IF(R433&lt;P433,"",ROUND(((NETWORKDAYS(P433,R433,JoursFeries)-1)*(HFer-HOuv)+IF(NETWORKDAYS(R433,R433,JoursFeries),MEDIAN(MOD(R433,1),HFer,HOuv),HFer)-IF(NETWORKDAYS(P433,P433,JoursFeries),MEDIAN(MOD(P433,1),HFer,HOuv),HOuv))*24,4)))/HJour,4),""))</f>
        <v/>
      </c>
      <c r="AX433" s="37" t="str">
        <f aca="false">IF(AO433&lt;&gt;1,"",IFERROR(ROUND(IF(OR(P433="",S433=""),"",IF(S433&lt;P433,"",ROUND(((NETWORKDAYS(P433,S433,JoursFeries)-1)*(HFer-HOuv)+IF(NETWORKDAYS(S433,S433,JoursFeries),MEDIAN(MOD(S433,1),HFer,HOuv),HFer)-IF(NETWORKDAYS(P433,P433,JoursFeries),MEDIAN(MOD(P433,1),HFer,HOuv),HOuv))*24,4)))/HJour,4),""))</f>
        <v/>
      </c>
      <c r="AY433" s="36" t="str">
        <f aca="false">IF(OR(AO433&lt;&gt;1,AR433=""),"",INDEX(SLA_PEC,AR433))</f>
        <v/>
      </c>
      <c r="AZ433" s="35" t="str">
        <f aca="false">IF(OR(AV433="",AY433=""),"",IF(AV433&lt;=AY433,1,0))</f>
        <v/>
      </c>
      <c r="BA433" s="36" t="str">
        <f aca="false">IF(OR(AO433&lt;&gt;1,AR433=""),"",INDEX(SLA_RES,AR433))</f>
        <v/>
      </c>
      <c r="BB433" s="35" t="str">
        <f aca="false">IF(OR(AW433="",BA433=""),"",IF(AW433&lt;=BA433,1,0))</f>
        <v/>
      </c>
      <c r="BC433" s="38" t="str">
        <f aca="false">IF(OR(BA433="",P433=""),"",WORKDAY(INT(P433),BA433,JoursFeries)+MOD(P433,1))</f>
        <v/>
      </c>
      <c r="BD433" s="39" t="str">
        <f aca="false">IF(AO433&lt;&gt;1,"",IF(OR(AB433&lt;&gt;"",AD433&lt;&gt;""),4,IF(U433&lt;&gt;"",3,IF(T433&lt;&gt;"",2,1))))</f>
        <v/>
      </c>
      <c r="BE433" s="39" t="str">
        <f aca="false">IF(OR(AO433&lt;&gt;1,AR433=""),"",INDEX(NIV_REQ,AR433))</f>
        <v/>
      </c>
      <c r="BF433" s="39" t="str">
        <f aca="false">IF(BE433="","",MAX(BE433,IF(OR(K433="Oui",Z433="Oui"),4,1)))</f>
        <v/>
      </c>
      <c r="BG433" s="35" t="str">
        <f aca="false">IF(OR(BF433="",BD433=""),"",IF(BD433&gt;=BF433,1,0))</f>
        <v/>
      </c>
      <c r="BH433" s="38" t="str">
        <f aca="false">IF(BE433="","",IF(BE433&lt;2,"",IF(BE433=2,IF(AND(T433="",U433=""),"",MIN(T433,U433)),IF(U433="","",U433))))</f>
        <v/>
      </c>
      <c r="BI433" s="37" t="str">
        <f aca="false">IF(BH433="","",IF(OR(O433="",BH433=""),"",IF(BH433&lt;O433,"",ROUND(((NETWORKDAYS(O433,BH433,JoursFeries)-1)*(HFer-HOuv)+IF(NETWORKDAYS(BH433,BH433,JoursFeries),MEDIAN(MOD(BH433,1),HFer,HOuv),HFer)-IF(NETWORKDAYS(O433,O433,JoursFeries),MEDIAN(MOD(O433,1),HFer,HOuv),HOuv))*24,4))))</f>
        <v/>
      </c>
      <c r="BJ433" s="35" t="str">
        <f aca="false">IF(OR(BI433="",AR433=""),"",IF(BI433&lt;=INDEX(DELAI_ESC,AR433),1,0))</f>
        <v/>
      </c>
      <c r="BK433" s="38" t="str">
        <f aca="false">IF(AO433&lt;&gt;1,"",IF(AND(T433="",U433=""),"",MIN(T433,U433)))</f>
        <v/>
      </c>
      <c r="BL433" s="37" t="str">
        <f aca="false">IF(OR(BK433="",R433=""),"",IFERROR(ROUND(IF(OR(BK433="",R433=""),"",IF(R433&lt;BK433,"",ROUND(((NETWORKDAYS(BK433,R433,JoursFeries)-1)*(HFer-HOuv)+IF(NETWORKDAYS(R433,R433,JoursFeries),MEDIAN(MOD(R433,1),HFer,HOuv),HFer)-IF(NETWORKDAYS(BK433,BK433,JoursFeries),MEDIAN(MOD(BK433,1),HFer,HOuv),HOuv))*24,4)))/HJour,4),""))</f>
        <v/>
      </c>
      <c r="BM433" s="35" t="str">
        <f aca="false">IF(OR(AO433&lt;&gt;1,R433=""),"",IF(BD433=1,1,0))</f>
        <v/>
      </c>
      <c r="BN433" s="35" t="str">
        <f aca="false">IF(AO433&lt;&gt;1,"",IF(W433="Oui",1,0))</f>
        <v/>
      </c>
      <c r="BO433" s="35" t="str">
        <f aca="false">IF(AO433&lt;&gt;1,"",IF(X433&lt;&gt;"",1,0))</f>
        <v/>
      </c>
      <c r="BP433" s="35" t="str">
        <f aca="false">IF(AO433&lt;&gt;1,"",IF(Y433="Oui",1,0))</f>
        <v/>
      </c>
      <c r="BQ433" s="35" t="str">
        <f aca="true">IF(OR(AO433&lt;&gt;1,Z433&lt;&gt;"Oui"),"",IF(AB433="",IF(AND(AA433&lt;&gt;"",NOW()&gt;AA433),0,""),IF(AA433="","",IF(AB433&lt;=AA433,1,0))))</f>
        <v/>
      </c>
      <c r="BR433" s="38" t="str">
        <f aca="false">IF(OR(AO433&lt;&gt;1,K433&lt;&gt;"Oui",O433=""),"",IF(AC433="",O433+DORA_H_DET/24,IF(AC433-O433&lt;=DORA_H_DET/24,MIN(AC433+DORA_H_CLA/24,O433+DORA_H_DET/24),AC433+DORA_H_CLA/24)))</f>
        <v/>
      </c>
      <c r="BS433" s="35" t="str">
        <f aca="true">IF(BR433="","",IF(AD433="",IF(NOW()&gt;BR433,0,""),IF(AD433&lt;=BR433,1,0)))</f>
        <v/>
      </c>
      <c r="BT433" s="35" t="str">
        <f aca="true">IF(OR(BR433="",AD433=""),"",IF(AE433="",IF(NOW()&gt;AD433+DORA_H_INT/24,0,""),IF(AE433&lt;=AD433+DORA_H_INT/24,1,0)))</f>
        <v/>
      </c>
      <c r="BU433" s="35" t="str">
        <f aca="true">IF(OR(BR433="",AE433=""),"",IF(AF433="",IF(NOW()&gt;EDATE(AE433,DORA_M_FIN)+1,0,""),IF(AF433&lt;=EDATE(AE433,DORA_M_FIN),1,0)))</f>
        <v/>
      </c>
      <c r="BV433" s="35" t="str">
        <f aca="false">IF(BR433="","",IF(COUNT(BS433:BU433)=0,"",MIN(BS433:BU433)))</f>
        <v/>
      </c>
      <c r="BW433" s="40" t="str">
        <f aca="false">IF(AQ433&lt;&gt;1,"",IF(AND(AG433="",AH433=""),"",N(AG433)-N(AH433)))</f>
        <v/>
      </c>
      <c r="BX433" s="35" t="str">
        <f aca="true">IF(OR(AQ433&lt;&gt;1,AI433&lt;&gt;"Oui",AJ433=""),"",IF(AK433="",IF(NOW()&gt;AJ433+1,0,""),IF(AK433&lt;=AJ433,1,0)))</f>
        <v/>
      </c>
    </row>
    <row r="434" customFormat="false" ht="15" hidden="false" customHeight="false" outlineLevel="0" collapsed="false">
      <c r="B434" s="29"/>
      <c r="C434" s="29"/>
      <c r="D434" s="29"/>
      <c r="E434" s="29"/>
      <c r="F434" s="29"/>
      <c r="G434" s="29"/>
      <c r="H434" s="29"/>
      <c r="I434" s="29"/>
      <c r="J434" s="29"/>
      <c r="K434" s="29"/>
      <c r="L434" s="29"/>
      <c r="M434" s="29"/>
      <c r="N434" s="30"/>
      <c r="O434" s="30"/>
      <c r="P434" s="30"/>
      <c r="Q434" s="30"/>
      <c r="R434" s="30"/>
      <c r="S434" s="30"/>
      <c r="T434" s="30"/>
      <c r="U434" s="30"/>
      <c r="V434" s="31"/>
      <c r="W434" s="29"/>
      <c r="X434" s="29"/>
      <c r="Y434" s="29"/>
      <c r="Z434" s="29"/>
      <c r="AA434" s="30"/>
      <c r="AB434" s="30"/>
      <c r="AC434" s="30"/>
      <c r="AD434" s="30"/>
      <c r="AE434" s="30"/>
      <c r="AF434" s="32"/>
      <c r="AG434" s="33"/>
      <c r="AH434" s="33"/>
      <c r="AI434" s="29"/>
      <c r="AJ434" s="32"/>
      <c r="AK434" s="32"/>
      <c r="AL434" s="29"/>
      <c r="AN434" s="34" t="str">
        <f aca="false">IF($B434="","",IF(OR(C434="",D434="",E434="",G434="",I434="",J434="",L434="",O434="",P434=""),"Champ obligatoire manquant",IF(OR(AND(N434&lt;&gt;"",N434&gt;O434),O434&gt;P434,AND(Q434&lt;&gt;"",Q434&lt;P434),AND(R434&lt;&gt;"",R434&lt;P434),AND(S434&lt;&gt;"",S434&lt;R434),AND(S434&lt;&gt;"",R434=""),AND(T434&lt;&gt;"",T434&lt;O434),AND(U434&lt;&gt;"",U434&lt;O434)),"Chronologie incohérente",IF(AND(OR(L434="Résolu",L434="Clos"),R434=""),"Date de résolution manquante",IF(AND(L434="Clos",S434=""),"Date de clôture manquante",IF(AND(K434="Oui",AC434=""),"Classification DORA manquante","OK"))))))</f>
        <v/>
      </c>
      <c r="AO434" s="35" t="str">
        <f aca="false">IF($B434="","",IF(AND(C434="Incident",L434&lt;&gt;"Annulé"),1,0))</f>
        <v/>
      </c>
      <c r="AP434" s="35" t="str">
        <f aca="false">IF($B434="","",IF(AND(C434="Quasi-incident",L434&lt;&gt;"Annulé"),1,0))</f>
        <v/>
      </c>
      <c r="AQ434" s="35" t="str">
        <f aca="false">IF($B434="","",AO434+AP434)</f>
        <v/>
      </c>
      <c r="AR434" s="36" t="str">
        <f aca="false">IF(OR($B434="",J434=""),"",IFERROR(VALUE(LEFT(J434,1)),""))</f>
        <v/>
      </c>
      <c r="AS434" s="35" t="str">
        <f aca="false">IF(OR(AO434&lt;&gt;1,G434=""),"",IFERROR(IF(INDEX(L_SrcInterne,MATCH(G434,L_Sources,0))="Oui",1,0),""))</f>
        <v/>
      </c>
      <c r="AT434" s="37" t="str">
        <f aca="false">IF(AO434&lt;&gt;1,"",IFERROR(ROUND(IF(OR(N434="",O434=""),"",IF(O434&lt;N434,"",ROUND(((NETWORKDAYS(N434,O434,JoursFeries)-1)*(HFer-HOuv)+IF(NETWORKDAYS(O434,O434,JoursFeries),MEDIAN(MOD(O434,1),HFer,HOuv),HFer)-IF(NETWORKDAYS(N434,N434,JoursFeries),MEDIAN(MOD(N434,1),HFer,HOuv),HOuv))*24,4)))/HJour,4),""))</f>
        <v/>
      </c>
      <c r="AU434" s="37" t="str">
        <f aca="false">IF(AO434&lt;&gt;1,"",IF(OR(O434="",P434=""),"",IF(P434&lt;O434,"",ROUND(((NETWORKDAYS(O434,P434,JoursFeries)-1)*(HFer-HOuv)+IF(NETWORKDAYS(P434,P434,JoursFeries),MEDIAN(MOD(P434,1),HFer,HOuv),HFer)-IF(NETWORKDAYS(O434,O434,JoursFeries),MEDIAN(MOD(O434,1),HFer,HOuv),HOuv))*24,4))))</f>
        <v/>
      </c>
      <c r="AV434" s="37" t="str">
        <f aca="false">IF(AO434&lt;&gt;1,"",IF(OR(P434="",Q434=""),"",IF(Q434&lt;P434,"",ROUND(((NETWORKDAYS(P434,Q434,JoursFeries)-1)*(HFer-HOuv)+IF(NETWORKDAYS(Q434,Q434,JoursFeries),MEDIAN(MOD(Q434,1),HFer,HOuv),HFer)-IF(NETWORKDAYS(P434,P434,JoursFeries),MEDIAN(MOD(P434,1),HFer,HOuv),HOuv))*24,4))))</f>
        <v/>
      </c>
      <c r="AW434" s="37" t="str">
        <f aca="false">IF(AO434&lt;&gt;1,"",IFERROR(ROUND(IF(OR(P434="",R434=""),"",IF(R434&lt;P434,"",ROUND(((NETWORKDAYS(P434,R434,JoursFeries)-1)*(HFer-HOuv)+IF(NETWORKDAYS(R434,R434,JoursFeries),MEDIAN(MOD(R434,1),HFer,HOuv),HFer)-IF(NETWORKDAYS(P434,P434,JoursFeries),MEDIAN(MOD(P434,1),HFer,HOuv),HOuv))*24,4)))/HJour,4),""))</f>
        <v/>
      </c>
      <c r="AX434" s="37" t="str">
        <f aca="false">IF(AO434&lt;&gt;1,"",IFERROR(ROUND(IF(OR(P434="",S434=""),"",IF(S434&lt;P434,"",ROUND(((NETWORKDAYS(P434,S434,JoursFeries)-1)*(HFer-HOuv)+IF(NETWORKDAYS(S434,S434,JoursFeries),MEDIAN(MOD(S434,1),HFer,HOuv),HFer)-IF(NETWORKDAYS(P434,P434,JoursFeries),MEDIAN(MOD(P434,1),HFer,HOuv),HOuv))*24,4)))/HJour,4),""))</f>
        <v/>
      </c>
      <c r="AY434" s="36" t="str">
        <f aca="false">IF(OR(AO434&lt;&gt;1,AR434=""),"",INDEX(SLA_PEC,AR434))</f>
        <v/>
      </c>
      <c r="AZ434" s="35" t="str">
        <f aca="false">IF(OR(AV434="",AY434=""),"",IF(AV434&lt;=AY434,1,0))</f>
        <v/>
      </c>
      <c r="BA434" s="36" t="str">
        <f aca="false">IF(OR(AO434&lt;&gt;1,AR434=""),"",INDEX(SLA_RES,AR434))</f>
        <v/>
      </c>
      <c r="BB434" s="35" t="str">
        <f aca="false">IF(OR(AW434="",BA434=""),"",IF(AW434&lt;=BA434,1,0))</f>
        <v/>
      </c>
      <c r="BC434" s="38" t="str">
        <f aca="false">IF(OR(BA434="",P434=""),"",WORKDAY(INT(P434),BA434,JoursFeries)+MOD(P434,1))</f>
        <v/>
      </c>
      <c r="BD434" s="39" t="str">
        <f aca="false">IF(AO434&lt;&gt;1,"",IF(OR(AB434&lt;&gt;"",AD434&lt;&gt;""),4,IF(U434&lt;&gt;"",3,IF(T434&lt;&gt;"",2,1))))</f>
        <v/>
      </c>
      <c r="BE434" s="39" t="str">
        <f aca="false">IF(OR(AO434&lt;&gt;1,AR434=""),"",INDEX(NIV_REQ,AR434))</f>
        <v/>
      </c>
      <c r="BF434" s="39" t="str">
        <f aca="false">IF(BE434="","",MAX(BE434,IF(OR(K434="Oui",Z434="Oui"),4,1)))</f>
        <v/>
      </c>
      <c r="BG434" s="35" t="str">
        <f aca="false">IF(OR(BF434="",BD434=""),"",IF(BD434&gt;=BF434,1,0))</f>
        <v/>
      </c>
      <c r="BH434" s="38" t="str">
        <f aca="false">IF(BE434="","",IF(BE434&lt;2,"",IF(BE434=2,IF(AND(T434="",U434=""),"",MIN(T434,U434)),IF(U434="","",U434))))</f>
        <v/>
      </c>
      <c r="BI434" s="37" t="str">
        <f aca="false">IF(BH434="","",IF(OR(O434="",BH434=""),"",IF(BH434&lt;O434,"",ROUND(((NETWORKDAYS(O434,BH434,JoursFeries)-1)*(HFer-HOuv)+IF(NETWORKDAYS(BH434,BH434,JoursFeries),MEDIAN(MOD(BH434,1),HFer,HOuv),HFer)-IF(NETWORKDAYS(O434,O434,JoursFeries),MEDIAN(MOD(O434,1),HFer,HOuv),HOuv))*24,4))))</f>
        <v/>
      </c>
      <c r="BJ434" s="35" t="str">
        <f aca="false">IF(OR(BI434="",AR434=""),"",IF(BI434&lt;=INDEX(DELAI_ESC,AR434),1,0))</f>
        <v/>
      </c>
      <c r="BK434" s="38" t="str">
        <f aca="false">IF(AO434&lt;&gt;1,"",IF(AND(T434="",U434=""),"",MIN(T434,U434)))</f>
        <v/>
      </c>
      <c r="BL434" s="37" t="str">
        <f aca="false">IF(OR(BK434="",R434=""),"",IFERROR(ROUND(IF(OR(BK434="",R434=""),"",IF(R434&lt;BK434,"",ROUND(((NETWORKDAYS(BK434,R434,JoursFeries)-1)*(HFer-HOuv)+IF(NETWORKDAYS(R434,R434,JoursFeries),MEDIAN(MOD(R434,1),HFer,HOuv),HFer)-IF(NETWORKDAYS(BK434,BK434,JoursFeries),MEDIAN(MOD(BK434,1),HFer,HOuv),HOuv))*24,4)))/HJour,4),""))</f>
        <v/>
      </c>
      <c r="BM434" s="35" t="str">
        <f aca="false">IF(OR(AO434&lt;&gt;1,R434=""),"",IF(BD434=1,1,0))</f>
        <v/>
      </c>
      <c r="BN434" s="35" t="str">
        <f aca="false">IF(AO434&lt;&gt;1,"",IF(W434="Oui",1,0))</f>
        <v/>
      </c>
      <c r="BO434" s="35" t="str">
        <f aca="false">IF(AO434&lt;&gt;1,"",IF(X434&lt;&gt;"",1,0))</f>
        <v/>
      </c>
      <c r="BP434" s="35" t="str">
        <f aca="false">IF(AO434&lt;&gt;1,"",IF(Y434="Oui",1,0))</f>
        <v/>
      </c>
      <c r="BQ434" s="35" t="str">
        <f aca="true">IF(OR(AO434&lt;&gt;1,Z434&lt;&gt;"Oui"),"",IF(AB434="",IF(AND(AA434&lt;&gt;"",NOW()&gt;AA434),0,""),IF(AA434="","",IF(AB434&lt;=AA434,1,0))))</f>
        <v/>
      </c>
      <c r="BR434" s="38" t="str">
        <f aca="false">IF(OR(AO434&lt;&gt;1,K434&lt;&gt;"Oui",O434=""),"",IF(AC434="",O434+DORA_H_DET/24,IF(AC434-O434&lt;=DORA_H_DET/24,MIN(AC434+DORA_H_CLA/24,O434+DORA_H_DET/24),AC434+DORA_H_CLA/24)))</f>
        <v/>
      </c>
      <c r="BS434" s="35" t="str">
        <f aca="true">IF(BR434="","",IF(AD434="",IF(NOW()&gt;BR434,0,""),IF(AD434&lt;=BR434,1,0)))</f>
        <v/>
      </c>
      <c r="BT434" s="35" t="str">
        <f aca="true">IF(OR(BR434="",AD434=""),"",IF(AE434="",IF(NOW()&gt;AD434+DORA_H_INT/24,0,""),IF(AE434&lt;=AD434+DORA_H_INT/24,1,0)))</f>
        <v/>
      </c>
      <c r="BU434" s="35" t="str">
        <f aca="true">IF(OR(BR434="",AE434=""),"",IF(AF434="",IF(NOW()&gt;EDATE(AE434,DORA_M_FIN)+1,0,""),IF(AF434&lt;=EDATE(AE434,DORA_M_FIN),1,0)))</f>
        <v/>
      </c>
      <c r="BV434" s="35" t="str">
        <f aca="false">IF(BR434="","",IF(COUNT(BS434:BU434)=0,"",MIN(BS434:BU434)))</f>
        <v/>
      </c>
      <c r="BW434" s="40" t="str">
        <f aca="false">IF(AQ434&lt;&gt;1,"",IF(AND(AG434="",AH434=""),"",N(AG434)-N(AH434)))</f>
        <v/>
      </c>
      <c r="BX434" s="35" t="str">
        <f aca="true">IF(OR(AQ434&lt;&gt;1,AI434&lt;&gt;"Oui",AJ434=""),"",IF(AK434="",IF(NOW()&gt;AJ434+1,0,""),IF(AK434&lt;=AJ434,1,0)))</f>
        <v/>
      </c>
    </row>
    <row r="435" customFormat="false" ht="15" hidden="false" customHeight="false" outlineLevel="0" collapsed="false">
      <c r="B435" s="29"/>
      <c r="C435" s="29"/>
      <c r="D435" s="29"/>
      <c r="E435" s="29"/>
      <c r="F435" s="29"/>
      <c r="G435" s="29"/>
      <c r="H435" s="29"/>
      <c r="I435" s="29"/>
      <c r="J435" s="29"/>
      <c r="K435" s="29"/>
      <c r="L435" s="29"/>
      <c r="M435" s="29"/>
      <c r="N435" s="30"/>
      <c r="O435" s="30"/>
      <c r="P435" s="30"/>
      <c r="Q435" s="30"/>
      <c r="R435" s="30"/>
      <c r="S435" s="30"/>
      <c r="T435" s="30"/>
      <c r="U435" s="30"/>
      <c r="V435" s="31"/>
      <c r="W435" s="29"/>
      <c r="X435" s="29"/>
      <c r="Y435" s="29"/>
      <c r="Z435" s="29"/>
      <c r="AA435" s="30"/>
      <c r="AB435" s="30"/>
      <c r="AC435" s="30"/>
      <c r="AD435" s="30"/>
      <c r="AE435" s="30"/>
      <c r="AF435" s="32"/>
      <c r="AG435" s="33"/>
      <c r="AH435" s="33"/>
      <c r="AI435" s="29"/>
      <c r="AJ435" s="32"/>
      <c r="AK435" s="32"/>
      <c r="AL435" s="29"/>
      <c r="AN435" s="34" t="str">
        <f aca="false">IF($B435="","",IF(OR(C435="",D435="",E435="",G435="",I435="",J435="",L435="",O435="",P435=""),"Champ obligatoire manquant",IF(OR(AND(N435&lt;&gt;"",N435&gt;O435),O435&gt;P435,AND(Q435&lt;&gt;"",Q435&lt;P435),AND(R435&lt;&gt;"",R435&lt;P435),AND(S435&lt;&gt;"",S435&lt;R435),AND(S435&lt;&gt;"",R435=""),AND(T435&lt;&gt;"",T435&lt;O435),AND(U435&lt;&gt;"",U435&lt;O435)),"Chronologie incohérente",IF(AND(OR(L435="Résolu",L435="Clos"),R435=""),"Date de résolution manquante",IF(AND(L435="Clos",S435=""),"Date de clôture manquante",IF(AND(K435="Oui",AC435=""),"Classification DORA manquante","OK"))))))</f>
        <v/>
      </c>
      <c r="AO435" s="35" t="str">
        <f aca="false">IF($B435="","",IF(AND(C435="Incident",L435&lt;&gt;"Annulé"),1,0))</f>
        <v/>
      </c>
      <c r="AP435" s="35" t="str">
        <f aca="false">IF($B435="","",IF(AND(C435="Quasi-incident",L435&lt;&gt;"Annulé"),1,0))</f>
        <v/>
      </c>
      <c r="AQ435" s="35" t="str">
        <f aca="false">IF($B435="","",AO435+AP435)</f>
        <v/>
      </c>
      <c r="AR435" s="36" t="str">
        <f aca="false">IF(OR($B435="",J435=""),"",IFERROR(VALUE(LEFT(J435,1)),""))</f>
        <v/>
      </c>
      <c r="AS435" s="35" t="str">
        <f aca="false">IF(OR(AO435&lt;&gt;1,G435=""),"",IFERROR(IF(INDEX(L_SrcInterne,MATCH(G435,L_Sources,0))="Oui",1,0),""))</f>
        <v/>
      </c>
      <c r="AT435" s="37" t="str">
        <f aca="false">IF(AO435&lt;&gt;1,"",IFERROR(ROUND(IF(OR(N435="",O435=""),"",IF(O435&lt;N435,"",ROUND(((NETWORKDAYS(N435,O435,JoursFeries)-1)*(HFer-HOuv)+IF(NETWORKDAYS(O435,O435,JoursFeries),MEDIAN(MOD(O435,1),HFer,HOuv),HFer)-IF(NETWORKDAYS(N435,N435,JoursFeries),MEDIAN(MOD(N435,1),HFer,HOuv),HOuv))*24,4)))/HJour,4),""))</f>
        <v/>
      </c>
      <c r="AU435" s="37" t="str">
        <f aca="false">IF(AO435&lt;&gt;1,"",IF(OR(O435="",P435=""),"",IF(P435&lt;O435,"",ROUND(((NETWORKDAYS(O435,P435,JoursFeries)-1)*(HFer-HOuv)+IF(NETWORKDAYS(P435,P435,JoursFeries),MEDIAN(MOD(P435,1),HFer,HOuv),HFer)-IF(NETWORKDAYS(O435,O435,JoursFeries),MEDIAN(MOD(O435,1),HFer,HOuv),HOuv))*24,4))))</f>
        <v/>
      </c>
      <c r="AV435" s="37" t="str">
        <f aca="false">IF(AO435&lt;&gt;1,"",IF(OR(P435="",Q435=""),"",IF(Q435&lt;P435,"",ROUND(((NETWORKDAYS(P435,Q435,JoursFeries)-1)*(HFer-HOuv)+IF(NETWORKDAYS(Q435,Q435,JoursFeries),MEDIAN(MOD(Q435,1),HFer,HOuv),HFer)-IF(NETWORKDAYS(P435,P435,JoursFeries),MEDIAN(MOD(P435,1),HFer,HOuv),HOuv))*24,4))))</f>
        <v/>
      </c>
      <c r="AW435" s="37" t="str">
        <f aca="false">IF(AO435&lt;&gt;1,"",IFERROR(ROUND(IF(OR(P435="",R435=""),"",IF(R435&lt;P435,"",ROUND(((NETWORKDAYS(P435,R435,JoursFeries)-1)*(HFer-HOuv)+IF(NETWORKDAYS(R435,R435,JoursFeries),MEDIAN(MOD(R435,1),HFer,HOuv),HFer)-IF(NETWORKDAYS(P435,P435,JoursFeries),MEDIAN(MOD(P435,1),HFer,HOuv),HOuv))*24,4)))/HJour,4),""))</f>
        <v/>
      </c>
      <c r="AX435" s="37" t="str">
        <f aca="false">IF(AO435&lt;&gt;1,"",IFERROR(ROUND(IF(OR(P435="",S435=""),"",IF(S435&lt;P435,"",ROUND(((NETWORKDAYS(P435,S435,JoursFeries)-1)*(HFer-HOuv)+IF(NETWORKDAYS(S435,S435,JoursFeries),MEDIAN(MOD(S435,1),HFer,HOuv),HFer)-IF(NETWORKDAYS(P435,P435,JoursFeries),MEDIAN(MOD(P435,1),HFer,HOuv),HOuv))*24,4)))/HJour,4),""))</f>
        <v/>
      </c>
      <c r="AY435" s="36" t="str">
        <f aca="false">IF(OR(AO435&lt;&gt;1,AR435=""),"",INDEX(SLA_PEC,AR435))</f>
        <v/>
      </c>
      <c r="AZ435" s="35" t="str">
        <f aca="false">IF(OR(AV435="",AY435=""),"",IF(AV435&lt;=AY435,1,0))</f>
        <v/>
      </c>
      <c r="BA435" s="36" t="str">
        <f aca="false">IF(OR(AO435&lt;&gt;1,AR435=""),"",INDEX(SLA_RES,AR435))</f>
        <v/>
      </c>
      <c r="BB435" s="35" t="str">
        <f aca="false">IF(OR(AW435="",BA435=""),"",IF(AW435&lt;=BA435,1,0))</f>
        <v/>
      </c>
      <c r="BC435" s="38" t="str">
        <f aca="false">IF(OR(BA435="",P435=""),"",WORKDAY(INT(P435),BA435,JoursFeries)+MOD(P435,1))</f>
        <v/>
      </c>
      <c r="BD435" s="39" t="str">
        <f aca="false">IF(AO435&lt;&gt;1,"",IF(OR(AB435&lt;&gt;"",AD435&lt;&gt;""),4,IF(U435&lt;&gt;"",3,IF(T435&lt;&gt;"",2,1))))</f>
        <v/>
      </c>
      <c r="BE435" s="39" t="str">
        <f aca="false">IF(OR(AO435&lt;&gt;1,AR435=""),"",INDEX(NIV_REQ,AR435))</f>
        <v/>
      </c>
      <c r="BF435" s="39" t="str">
        <f aca="false">IF(BE435="","",MAX(BE435,IF(OR(K435="Oui",Z435="Oui"),4,1)))</f>
        <v/>
      </c>
      <c r="BG435" s="35" t="str">
        <f aca="false">IF(OR(BF435="",BD435=""),"",IF(BD435&gt;=BF435,1,0))</f>
        <v/>
      </c>
      <c r="BH435" s="38" t="str">
        <f aca="false">IF(BE435="","",IF(BE435&lt;2,"",IF(BE435=2,IF(AND(T435="",U435=""),"",MIN(T435,U435)),IF(U435="","",U435))))</f>
        <v/>
      </c>
      <c r="BI435" s="37" t="str">
        <f aca="false">IF(BH435="","",IF(OR(O435="",BH435=""),"",IF(BH435&lt;O435,"",ROUND(((NETWORKDAYS(O435,BH435,JoursFeries)-1)*(HFer-HOuv)+IF(NETWORKDAYS(BH435,BH435,JoursFeries),MEDIAN(MOD(BH435,1),HFer,HOuv),HFer)-IF(NETWORKDAYS(O435,O435,JoursFeries),MEDIAN(MOD(O435,1),HFer,HOuv),HOuv))*24,4))))</f>
        <v/>
      </c>
      <c r="BJ435" s="35" t="str">
        <f aca="false">IF(OR(BI435="",AR435=""),"",IF(BI435&lt;=INDEX(DELAI_ESC,AR435),1,0))</f>
        <v/>
      </c>
      <c r="BK435" s="38" t="str">
        <f aca="false">IF(AO435&lt;&gt;1,"",IF(AND(T435="",U435=""),"",MIN(T435,U435)))</f>
        <v/>
      </c>
      <c r="BL435" s="37" t="str">
        <f aca="false">IF(OR(BK435="",R435=""),"",IFERROR(ROUND(IF(OR(BK435="",R435=""),"",IF(R435&lt;BK435,"",ROUND(((NETWORKDAYS(BK435,R435,JoursFeries)-1)*(HFer-HOuv)+IF(NETWORKDAYS(R435,R435,JoursFeries),MEDIAN(MOD(R435,1),HFer,HOuv),HFer)-IF(NETWORKDAYS(BK435,BK435,JoursFeries),MEDIAN(MOD(BK435,1),HFer,HOuv),HOuv))*24,4)))/HJour,4),""))</f>
        <v/>
      </c>
      <c r="BM435" s="35" t="str">
        <f aca="false">IF(OR(AO435&lt;&gt;1,R435=""),"",IF(BD435=1,1,0))</f>
        <v/>
      </c>
      <c r="BN435" s="35" t="str">
        <f aca="false">IF(AO435&lt;&gt;1,"",IF(W435="Oui",1,0))</f>
        <v/>
      </c>
      <c r="BO435" s="35" t="str">
        <f aca="false">IF(AO435&lt;&gt;1,"",IF(X435&lt;&gt;"",1,0))</f>
        <v/>
      </c>
      <c r="BP435" s="35" t="str">
        <f aca="false">IF(AO435&lt;&gt;1,"",IF(Y435="Oui",1,0))</f>
        <v/>
      </c>
      <c r="BQ435" s="35" t="str">
        <f aca="true">IF(OR(AO435&lt;&gt;1,Z435&lt;&gt;"Oui"),"",IF(AB435="",IF(AND(AA435&lt;&gt;"",NOW()&gt;AA435),0,""),IF(AA435="","",IF(AB435&lt;=AA435,1,0))))</f>
        <v/>
      </c>
      <c r="BR435" s="38" t="str">
        <f aca="false">IF(OR(AO435&lt;&gt;1,K435&lt;&gt;"Oui",O435=""),"",IF(AC435="",O435+DORA_H_DET/24,IF(AC435-O435&lt;=DORA_H_DET/24,MIN(AC435+DORA_H_CLA/24,O435+DORA_H_DET/24),AC435+DORA_H_CLA/24)))</f>
        <v/>
      </c>
      <c r="BS435" s="35" t="str">
        <f aca="true">IF(BR435="","",IF(AD435="",IF(NOW()&gt;BR435,0,""),IF(AD435&lt;=BR435,1,0)))</f>
        <v/>
      </c>
      <c r="BT435" s="35" t="str">
        <f aca="true">IF(OR(BR435="",AD435=""),"",IF(AE435="",IF(NOW()&gt;AD435+DORA_H_INT/24,0,""),IF(AE435&lt;=AD435+DORA_H_INT/24,1,0)))</f>
        <v/>
      </c>
      <c r="BU435" s="35" t="str">
        <f aca="true">IF(OR(BR435="",AE435=""),"",IF(AF435="",IF(NOW()&gt;EDATE(AE435,DORA_M_FIN)+1,0,""),IF(AF435&lt;=EDATE(AE435,DORA_M_FIN),1,0)))</f>
        <v/>
      </c>
      <c r="BV435" s="35" t="str">
        <f aca="false">IF(BR435="","",IF(COUNT(BS435:BU435)=0,"",MIN(BS435:BU435)))</f>
        <v/>
      </c>
      <c r="BW435" s="40" t="str">
        <f aca="false">IF(AQ435&lt;&gt;1,"",IF(AND(AG435="",AH435=""),"",N(AG435)-N(AH435)))</f>
        <v/>
      </c>
      <c r="BX435" s="35" t="str">
        <f aca="true">IF(OR(AQ435&lt;&gt;1,AI435&lt;&gt;"Oui",AJ435=""),"",IF(AK435="",IF(NOW()&gt;AJ435+1,0,""),IF(AK435&lt;=AJ435,1,0)))</f>
        <v/>
      </c>
    </row>
    <row r="436" customFormat="false" ht="15" hidden="false" customHeight="false" outlineLevel="0" collapsed="false">
      <c r="B436" s="29"/>
      <c r="C436" s="29"/>
      <c r="D436" s="29"/>
      <c r="E436" s="29"/>
      <c r="F436" s="29"/>
      <c r="G436" s="29"/>
      <c r="H436" s="29"/>
      <c r="I436" s="29"/>
      <c r="J436" s="29"/>
      <c r="K436" s="29"/>
      <c r="L436" s="29"/>
      <c r="M436" s="29"/>
      <c r="N436" s="30"/>
      <c r="O436" s="30"/>
      <c r="P436" s="30"/>
      <c r="Q436" s="30"/>
      <c r="R436" s="30"/>
      <c r="S436" s="30"/>
      <c r="T436" s="30"/>
      <c r="U436" s="30"/>
      <c r="V436" s="31"/>
      <c r="W436" s="29"/>
      <c r="X436" s="29"/>
      <c r="Y436" s="29"/>
      <c r="Z436" s="29"/>
      <c r="AA436" s="30"/>
      <c r="AB436" s="30"/>
      <c r="AC436" s="30"/>
      <c r="AD436" s="30"/>
      <c r="AE436" s="30"/>
      <c r="AF436" s="32"/>
      <c r="AG436" s="33"/>
      <c r="AH436" s="33"/>
      <c r="AI436" s="29"/>
      <c r="AJ436" s="32"/>
      <c r="AK436" s="32"/>
      <c r="AL436" s="29"/>
      <c r="AN436" s="34" t="str">
        <f aca="false">IF($B436="","",IF(OR(C436="",D436="",E436="",G436="",I436="",J436="",L436="",O436="",P436=""),"Champ obligatoire manquant",IF(OR(AND(N436&lt;&gt;"",N436&gt;O436),O436&gt;P436,AND(Q436&lt;&gt;"",Q436&lt;P436),AND(R436&lt;&gt;"",R436&lt;P436),AND(S436&lt;&gt;"",S436&lt;R436),AND(S436&lt;&gt;"",R436=""),AND(T436&lt;&gt;"",T436&lt;O436),AND(U436&lt;&gt;"",U436&lt;O436)),"Chronologie incohérente",IF(AND(OR(L436="Résolu",L436="Clos"),R436=""),"Date de résolution manquante",IF(AND(L436="Clos",S436=""),"Date de clôture manquante",IF(AND(K436="Oui",AC436=""),"Classification DORA manquante","OK"))))))</f>
        <v/>
      </c>
      <c r="AO436" s="35" t="str">
        <f aca="false">IF($B436="","",IF(AND(C436="Incident",L436&lt;&gt;"Annulé"),1,0))</f>
        <v/>
      </c>
      <c r="AP436" s="35" t="str">
        <f aca="false">IF($B436="","",IF(AND(C436="Quasi-incident",L436&lt;&gt;"Annulé"),1,0))</f>
        <v/>
      </c>
      <c r="AQ436" s="35" t="str">
        <f aca="false">IF($B436="","",AO436+AP436)</f>
        <v/>
      </c>
      <c r="AR436" s="36" t="str">
        <f aca="false">IF(OR($B436="",J436=""),"",IFERROR(VALUE(LEFT(J436,1)),""))</f>
        <v/>
      </c>
      <c r="AS436" s="35" t="str">
        <f aca="false">IF(OR(AO436&lt;&gt;1,G436=""),"",IFERROR(IF(INDEX(L_SrcInterne,MATCH(G436,L_Sources,0))="Oui",1,0),""))</f>
        <v/>
      </c>
      <c r="AT436" s="37" t="str">
        <f aca="false">IF(AO436&lt;&gt;1,"",IFERROR(ROUND(IF(OR(N436="",O436=""),"",IF(O436&lt;N436,"",ROUND(((NETWORKDAYS(N436,O436,JoursFeries)-1)*(HFer-HOuv)+IF(NETWORKDAYS(O436,O436,JoursFeries),MEDIAN(MOD(O436,1),HFer,HOuv),HFer)-IF(NETWORKDAYS(N436,N436,JoursFeries),MEDIAN(MOD(N436,1),HFer,HOuv),HOuv))*24,4)))/HJour,4),""))</f>
        <v/>
      </c>
      <c r="AU436" s="37" t="str">
        <f aca="false">IF(AO436&lt;&gt;1,"",IF(OR(O436="",P436=""),"",IF(P436&lt;O436,"",ROUND(((NETWORKDAYS(O436,P436,JoursFeries)-1)*(HFer-HOuv)+IF(NETWORKDAYS(P436,P436,JoursFeries),MEDIAN(MOD(P436,1),HFer,HOuv),HFer)-IF(NETWORKDAYS(O436,O436,JoursFeries),MEDIAN(MOD(O436,1),HFer,HOuv),HOuv))*24,4))))</f>
        <v/>
      </c>
      <c r="AV436" s="37" t="str">
        <f aca="false">IF(AO436&lt;&gt;1,"",IF(OR(P436="",Q436=""),"",IF(Q436&lt;P436,"",ROUND(((NETWORKDAYS(P436,Q436,JoursFeries)-1)*(HFer-HOuv)+IF(NETWORKDAYS(Q436,Q436,JoursFeries),MEDIAN(MOD(Q436,1),HFer,HOuv),HFer)-IF(NETWORKDAYS(P436,P436,JoursFeries),MEDIAN(MOD(P436,1),HFer,HOuv),HOuv))*24,4))))</f>
        <v/>
      </c>
      <c r="AW436" s="37" t="str">
        <f aca="false">IF(AO436&lt;&gt;1,"",IFERROR(ROUND(IF(OR(P436="",R436=""),"",IF(R436&lt;P436,"",ROUND(((NETWORKDAYS(P436,R436,JoursFeries)-1)*(HFer-HOuv)+IF(NETWORKDAYS(R436,R436,JoursFeries),MEDIAN(MOD(R436,1),HFer,HOuv),HFer)-IF(NETWORKDAYS(P436,P436,JoursFeries),MEDIAN(MOD(P436,1),HFer,HOuv),HOuv))*24,4)))/HJour,4),""))</f>
        <v/>
      </c>
      <c r="AX436" s="37" t="str">
        <f aca="false">IF(AO436&lt;&gt;1,"",IFERROR(ROUND(IF(OR(P436="",S436=""),"",IF(S436&lt;P436,"",ROUND(((NETWORKDAYS(P436,S436,JoursFeries)-1)*(HFer-HOuv)+IF(NETWORKDAYS(S436,S436,JoursFeries),MEDIAN(MOD(S436,1),HFer,HOuv),HFer)-IF(NETWORKDAYS(P436,P436,JoursFeries),MEDIAN(MOD(P436,1),HFer,HOuv),HOuv))*24,4)))/HJour,4),""))</f>
        <v/>
      </c>
      <c r="AY436" s="36" t="str">
        <f aca="false">IF(OR(AO436&lt;&gt;1,AR436=""),"",INDEX(SLA_PEC,AR436))</f>
        <v/>
      </c>
      <c r="AZ436" s="35" t="str">
        <f aca="false">IF(OR(AV436="",AY436=""),"",IF(AV436&lt;=AY436,1,0))</f>
        <v/>
      </c>
      <c r="BA436" s="36" t="str">
        <f aca="false">IF(OR(AO436&lt;&gt;1,AR436=""),"",INDEX(SLA_RES,AR436))</f>
        <v/>
      </c>
      <c r="BB436" s="35" t="str">
        <f aca="false">IF(OR(AW436="",BA436=""),"",IF(AW436&lt;=BA436,1,0))</f>
        <v/>
      </c>
      <c r="BC436" s="38" t="str">
        <f aca="false">IF(OR(BA436="",P436=""),"",WORKDAY(INT(P436),BA436,JoursFeries)+MOD(P436,1))</f>
        <v/>
      </c>
      <c r="BD436" s="39" t="str">
        <f aca="false">IF(AO436&lt;&gt;1,"",IF(OR(AB436&lt;&gt;"",AD436&lt;&gt;""),4,IF(U436&lt;&gt;"",3,IF(T436&lt;&gt;"",2,1))))</f>
        <v/>
      </c>
      <c r="BE436" s="39" t="str">
        <f aca="false">IF(OR(AO436&lt;&gt;1,AR436=""),"",INDEX(NIV_REQ,AR436))</f>
        <v/>
      </c>
      <c r="BF436" s="39" t="str">
        <f aca="false">IF(BE436="","",MAX(BE436,IF(OR(K436="Oui",Z436="Oui"),4,1)))</f>
        <v/>
      </c>
      <c r="BG436" s="35" t="str">
        <f aca="false">IF(OR(BF436="",BD436=""),"",IF(BD436&gt;=BF436,1,0))</f>
        <v/>
      </c>
      <c r="BH436" s="38" t="str">
        <f aca="false">IF(BE436="","",IF(BE436&lt;2,"",IF(BE436=2,IF(AND(T436="",U436=""),"",MIN(T436,U436)),IF(U436="","",U436))))</f>
        <v/>
      </c>
      <c r="BI436" s="37" t="str">
        <f aca="false">IF(BH436="","",IF(OR(O436="",BH436=""),"",IF(BH436&lt;O436,"",ROUND(((NETWORKDAYS(O436,BH436,JoursFeries)-1)*(HFer-HOuv)+IF(NETWORKDAYS(BH436,BH436,JoursFeries),MEDIAN(MOD(BH436,1),HFer,HOuv),HFer)-IF(NETWORKDAYS(O436,O436,JoursFeries),MEDIAN(MOD(O436,1),HFer,HOuv),HOuv))*24,4))))</f>
        <v/>
      </c>
      <c r="BJ436" s="35" t="str">
        <f aca="false">IF(OR(BI436="",AR436=""),"",IF(BI436&lt;=INDEX(DELAI_ESC,AR436),1,0))</f>
        <v/>
      </c>
      <c r="BK436" s="38" t="str">
        <f aca="false">IF(AO436&lt;&gt;1,"",IF(AND(T436="",U436=""),"",MIN(T436,U436)))</f>
        <v/>
      </c>
      <c r="BL436" s="37" t="str">
        <f aca="false">IF(OR(BK436="",R436=""),"",IFERROR(ROUND(IF(OR(BK436="",R436=""),"",IF(R436&lt;BK436,"",ROUND(((NETWORKDAYS(BK436,R436,JoursFeries)-1)*(HFer-HOuv)+IF(NETWORKDAYS(R436,R436,JoursFeries),MEDIAN(MOD(R436,1),HFer,HOuv),HFer)-IF(NETWORKDAYS(BK436,BK436,JoursFeries),MEDIAN(MOD(BK436,1),HFer,HOuv),HOuv))*24,4)))/HJour,4),""))</f>
        <v/>
      </c>
      <c r="BM436" s="35" t="str">
        <f aca="false">IF(OR(AO436&lt;&gt;1,R436=""),"",IF(BD436=1,1,0))</f>
        <v/>
      </c>
      <c r="BN436" s="35" t="str">
        <f aca="false">IF(AO436&lt;&gt;1,"",IF(W436="Oui",1,0))</f>
        <v/>
      </c>
      <c r="BO436" s="35" t="str">
        <f aca="false">IF(AO436&lt;&gt;1,"",IF(X436&lt;&gt;"",1,0))</f>
        <v/>
      </c>
      <c r="BP436" s="35" t="str">
        <f aca="false">IF(AO436&lt;&gt;1,"",IF(Y436="Oui",1,0))</f>
        <v/>
      </c>
      <c r="BQ436" s="35" t="str">
        <f aca="true">IF(OR(AO436&lt;&gt;1,Z436&lt;&gt;"Oui"),"",IF(AB436="",IF(AND(AA436&lt;&gt;"",NOW()&gt;AA436),0,""),IF(AA436="","",IF(AB436&lt;=AA436,1,0))))</f>
        <v/>
      </c>
      <c r="BR436" s="38" t="str">
        <f aca="false">IF(OR(AO436&lt;&gt;1,K436&lt;&gt;"Oui",O436=""),"",IF(AC436="",O436+DORA_H_DET/24,IF(AC436-O436&lt;=DORA_H_DET/24,MIN(AC436+DORA_H_CLA/24,O436+DORA_H_DET/24),AC436+DORA_H_CLA/24)))</f>
        <v/>
      </c>
      <c r="BS436" s="35" t="str">
        <f aca="true">IF(BR436="","",IF(AD436="",IF(NOW()&gt;BR436,0,""),IF(AD436&lt;=BR436,1,0)))</f>
        <v/>
      </c>
      <c r="BT436" s="35" t="str">
        <f aca="true">IF(OR(BR436="",AD436=""),"",IF(AE436="",IF(NOW()&gt;AD436+DORA_H_INT/24,0,""),IF(AE436&lt;=AD436+DORA_H_INT/24,1,0)))</f>
        <v/>
      </c>
      <c r="BU436" s="35" t="str">
        <f aca="true">IF(OR(BR436="",AE436=""),"",IF(AF436="",IF(NOW()&gt;EDATE(AE436,DORA_M_FIN)+1,0,""),IF(AF436&lt;=EDATE(AE436,DORA_M_FIN),1,0)))</f>
        <v/>
      </c>
      <c r="BV436" s="35" t="str">
        <f aca="false">IF(BR436="","",IF(COUNT(BS436:BU436)=0,"",MIN(BS436:BU436)))</f>
        <v/>
      </c>
      <c r="BW436" s="40" t="str">
        <f aca="false">IF(AQ436&lt;&gt;1,"",IF(AND(AG436="",AH436=""),"",N(AG436)-N(AH436)))</f>
        <v/>
      </c>
      <c r="BX436" s="35" t="str">
        <f aca="true">IF(OR(AQ436&lt;&gt;1,AI436&lt;&gt;"Oui",AJ436=""),"",IF(AK436="",IF(NOW()&gt;AJ436+1,0,""),IF(AK436&lt;=AJ436,1,0)))</f>
        <v/>
      </c>
    </row>
    <row r="437" customFormat="false" ht="15" hidden="false" customHeight="false" outlineLevel="0" collapsed="false">
      <c r="B437" s="29"/>
      <c r="C437" s="29"/>
      <c r="D437" s="29"/>
      <c r="E437" s="29"/>
      <c r="F437" s="29"/>
      <c r="G437" s="29"/>
      <c r="H437" s="29"/>
      <c r="I437" s="29"/>
      <c r="J437" s="29"/>
      <c r="K437" s="29"/>
      <c r="L437" s="29"/>
      <c r="M437" s="29"/>
      <c r="N437" s="30"/>
      <c r="O437" s="30"/>
      <c r="P437" s="30"/>
      <c r="Q437" s="30"/>
      <c r="R437" s="30"/>
      <c r="S437" s="30"/>
      <c r="T437" s="30"/>
      <c r="U437" s="30"/>
      <c r="V437" s="31"/>
      <c r="W437" s="29"/>
      <c r="X437" s="29"/>
      <c r="Y437" s="29"/>
      <c r="Z437" s="29"/>
      <c r="AA437" s="30"/>
      <c r="AB437" s="30"/>
      <c r="AC437" s="30"/>
      <c r="AD437" s="30"/>
      <c r="AE437" s="30"/>
      <c r="AF437" s="32"/>
      <c r="AG437" s="33"/>
      <c r="AH437" s="33"/>
      <c r="AI437" s="29"/>
      <c r="AJ437" s="32"/>
      <c r="AK437" s="32"/>
      <c r="AL437" s="29"/>
      <c r="AN437" s="34" t="str">
        <f aca="false">IF($B437="","",IF(OR(C437="",D437="",E437="",G437="",I437="",J437="",L437="",O437="",P437=""),"Champ obligatoire manquant",IF(OR(AND(N437&lt;&gt;"",N437&gt;O437),O437&gt;P437,AND(Q437&lt;&gt;"",Q437&lt;P437),AND(R437&lt;&gt;"",R437&lt;P437),AND(S437&lt;&gt;"",S437&lt;R437),AND(S437&lt;&gt;"",R437=""),AND(T437&lt;&gt;"",T437&lt;O437),AND(U437&lt;&gt;"",U437&lt;O437)),"Chronologie incohérente",IF(AND(OR(L437="Résolu",L437="Clos"),R437=""),"Date de résolution manquante",IF(AND(L437="Clos",S437=""),"Date de clôture manquante",IF(AND(K437="Oui",AC437=""),"Classification DORA manquante","OK"))))))</f>
        <v/>
      </c>
      <c r="AO437" s="35" t="str">
        <f aca="false">IF($B437="","",IF(AND(C437="Incident",L437&lt;&gt;"Annulé"),1,0))</f>
        <v/>
      </c>
      <c r="AP437" s="35" t="str">
        <f aca="false">IF($B437="","",IF(AND(C437="Quasi-incident",L437&lt;&gt;"Annulé"),1,0))</f>
        <v/>
      </c>
      <c r="AQ437" s="35" t="str">
        <f aca="false">IF($B437="","",AO437+AP437)</f>
        <v/>
      </c>
      <c r="AR437" s="36" t="str">
        <f aca="false">IF(OR($B437="",J437=""),"",IFERROR(VALUE(LEFT(J437,1)),""))</f>
        <v/>
      </c>
      <c r="AS437" s="35" t="str">
        <f aca="false">IF(OR(AO437&lt;&gt;1,G437=""),"",IFERROR(IF(INDEX(L_SrcInterne,MATCH(G437,L_Sources,0))="Oui",1,0),""))</f>
        <v/>
      </c>
      <c r="AT437" s="37" t="str">
        <f aca="false">IF(AO437&lt;&gt;1,"",IFERROR(ROUND(IF(OR(N437="",O437=""),"",IF(O437&lt;N437,"",ROUND(((NETWORKDAYS(N437,O437,JoursFeries)-1)*(HFer-HOuv)+IF(NETWORKDAYS(O437,O437,JoursFeries),MEDIAN(MOD(O437,1),HFer,HOuv),HFer)-IF(NETWORKDAYS(N437,N437,JoursFeries),MEDIAN(MOD(N437,1),HFer,HOuv),HOuv))*24,4)))/HJour,4),""))</f>
        <v/>
      </c>
      <c r="AU437" s="37" t="str">
        <f aca="false">IF(AO437&lt;&gt;1,"",IF(OR(O437="",P437=""),"",IF(P437&lt;O437,"",ROUND(((NETWORKDAYS(O437,P437,JoursFeries)-1)*(HFer-HOuv)+IF(NETWORKDAYS(P437,P437,JoursFeries),MEDIAN(MOD(P437,1),HFer,HOuv),HFer)-IF(NETWORKDAYS(O437,O437,JoursFeries),MEDIAN(MOD(O437,1),HFer,HOuv),HOuv))*24,4))))</f>
        <v/>
      </c>
      <c r="AV437" s="37" t="str">
        <f aca="false">IF(AO437&lt;&gt;1,"",IF(OR(P437="",Q437=""),"",IF(Q437&lt;P437,"",ROUND(((NETWORKDAYS(P437,Q437,JoursFeries)-1)*(HFer-HOuv)+IF(NETWORKDAYS(Q437,Q437,JoursFeries),MEDIAN(MOD(Q437,1),HFer,HOuv),HFer)-IF(NETWORKDAYS(P437,P437,JoursFeries),MEDIAN(MOD(P437,1),HFer,HOuv),HOuv))*24,4))))</f>
        <v/>
      </c>
      <c r="AW437" s="37" t="str">
        <f aca="false">IF(AO437&lt;&gt;1,"",IFERROR(ROUND(IF(OR(P437="",R437=""),"",IF(R437&lt;P437,"",ROUND(((NETWORKDAYS(P437,R437,JoursFeries)-1)*(HFer-HOuv)+IF(NETWORKDAYS(R437,R437,JoursFeries),MEDIAN(MOD(R437,1),HFer,HOuv),HFer)-IF(NETWORKDAYS(P437,P437,JoursFeries),MEDIAN(MOD(P437,1),HFer,HOuv),HOuv))*24,4)))/HJour,4),""))</f>
        <v/>
      </c>
      <c r="AX437" s="37" t="str">
        <f aca="false">IF(AO437&lt;&gt;1,"",IFERROR(ROUND(IF(OR(P437="",S437=""),"",IF(S437&lt;P437,"",ROUND(((NETWORKDAYS(P437,S437,JoursFeries)-1)*(HFer-HOuv)+IF(NETWORKDAYS(S437,S437,JoursFeries),MEDIAN(MOD(S437,1),HFer,HOuv),HFer)-IF(NETWORKDAYS(P437,P437,JoursFeries),MEDIAN(MOD(P437,1),HFer,HOuv),HOuv))*24,4)))/HJour,4),""))</f>
        <v/>
      </c>
      <c r="AY437" s="36" t="str">
        <f aca="false">IF(OR(AO437&lt;&gt;1,AR437=""),"",INDEX(SLA_PEC,AR437))</f>
        <v/>
      </c>
      <c r="AZ437" s="35" t="str">
        <f aca="false">IF(OR(AV437="",AY437=""),"",IF(AV437&lt;=AY437,1,0))</f>
        <v/>
      </c>
      <c r="BA437" s="36" t="str">
        <f aca="false">IF(OR(AO437&lt;&gt;1,AR437=""),"",INDEX(SLA_RES,AR437))</f>
        <v/>
      </c>
      <c r="BB437" s="35" t="str">
        <f aca="false">IF(OR(AW437="",BA437=""),"",IF(AW437&lt;=BA437,1,0))</f>
        <v/>
      </c>
      <c r="BC437" s="38" t="str">
        <f aca="false">IF(OR(BA437="",P437=""),"",WORKDAY(INT(P437),BA437,JoursFeries)+MOD(P437,1))</f>
        <v/>
      </c>
      <c r="BD437" s="39" t="str">
        <f aca="false">IF(AO437&lt;&gt;1,"",IF(OR(AB437&lt;&gt;"",AD437&lt;&gt;""),4,IF(U437&lt;&gt;"",3,IF(T437&lt;&gt;"",2,1))))</f>
        <v/>
      </c>
      <c r="BE437" s="39" t="str">
        <f aca="false">IF(OR(AO437&lt;&gt;1,AR437=""),"",INDEX(NIV_REQ,AR437))</f>
        <v/>
      </c>
      <c r="BF437" s="39" t="str">
        <f aca="false">IF(BE437="","",MAX(BE437,IF(OR(K437="Oui",Z437="Oui"),4,1)))</f>
        <v/>
      </c>
      <c r="BG437" s="35" t="str">
        <f aca="false">IF(OR(BF437="",BD437=""),"",IF(BD437&gt;=BF437,1,0))</f>
        <v/>
      </c>
      <c r="BH437" s="38" t="str">
        <f aca="false">IF(BE437="","",IF(BE437&lt;2,"",IF(BE437=2,IF(AND(T437="",U437=""),"",MIN(T437,U437)),IF(U437="","",U437))))</f>
        <v/>
      </c>
      <c r="BI437" s="37" t="str">
        <f aca="false">IF(BH437="","",IF(OR(O437="",BH437=""),"",IF(BH437&lt;O437,"",ROUND(((NETWORKDAYS(O437,BH437,JoursFeries)-1)*(HFer-HOuv)+IF(NETWORKDAYS(BH437,BH437,JoursFeries),MEDIAN(MOD(BH437,1),HFer,HOuv),HFer)-IF(NETWORKDAYS(O437,O437,JoursFeries),MEDIAN(MOD(O437,1),HFer,HOuv),HOuv))*24,4))))</f>
        <v/>
      </c>
      <c r="BJ437" s="35" t="str">
        <f aca="false">IF(OR(BI437="",AR437=""),"",IF(BI437&lt;=INDEX(DELAI_ESC,AR437),1,0))</f>
        <v/>
      </c>
      <c r="BK437" s="38" t="str">
        <f aca="false">IF(AO437&lt;&gt;1,"",IF(AND(T437="",U437=""),"",MIN(T437,U437)))</f>
        <v/>
      </c>
      <c r="BL437" s="37" t="str">
        <f aca="false">IF(OR(BK437="",R437=""),"",IFERROR(ROUND(IF(OR(BK437="",R437=""),"",IF(R437&lt;BK437,"",ROUND(((NETWORKDAYS(BK437,R437,JoursFeries)-1)*(HFer-HOuv)+IF(NETWORKDAYS(R437,R437,JoursFeries),MEDIAN(MOD(R437,1),HFer,HOuv),HFer)-IF(NETWORKDAYS(BK437,BK437,JoursFeries),MEDIAN(MOD(BK437,1),HFer,HOuv),HOuv))*24,4)))/HJour,4),""))</f>
        <v/>
      </c>
      <c r="BM437" s="35" t="str">
        <f aca="false">IF(OR(AO437&lt;&gt;1,R437=""),"",IF(BD437=1,1,0))</f>
        <v/>
      </c>
      <c r="BN437" s="35" t="str">
        <f aca="false">IF(AO437&lt;&gt;1,"",IF(W437="Oui",1,0))</f>
        <v/>
      </c>
      <c r="BO437" s="35" t="str">
        <f aca="false">IF(AO437&lt;&gt;1,"",IF(X437&lt;&gt;"",1,0))</f>
        <v/>
      </c>
      <c r="BP437" s="35" t="str">
        <f aca="false">IF(AO437&lt;&gt;1,"",IF(Y437="Oui",1,0))</f>
        <v/>
      </c>
      <c r="BQ437" s="35" t="str">
        <f aca="true">IF(OR(AO437&lt;&gt;1,Z437&lt;&gt;"Oui"),"",IF(AB437="",IF(AND(AA437&lt;&gt;"",NOW()&gt;AA437),0,""),IF(AA437="","",IF(AB437&lt;=AA437,1,0))))</f>
        <v/>
      </c>
      <c r="BR437" s="38" t="str">
        <f aca="false">IF(OR(AO437&lt;&gt;1,K437&lt;&gt;"Oui",O437=""),"",IF(AC437="",O437+DORA_H_DET/24,IF(AC437-O437&lt;=DORA_H_DET/24,MIN(AC437+DORA_H_CLA/24,O437+DORA_H_DET/24),AC437+DORA_H_CLA/24)))</f>
        <v/>
      </c>
      <c r="BS437" s="35" t="str">
        <f aca="true">IF(BR437="","",IF(AD437="",IF(NOW()&gt;BR437,0,""),IF(AD437&lt;=BR437,1,0)))</f>
        <v/>
      </c>
      <c r="BT437" s="35" t="str">
        <f aca="true">IF(OR(BR437="",AD437=""),"",IF(AE437="",IF(NOW()&gt;AD437+DORA_H_INT/24,0,""),IF(AE437&lt;=AD437+DORA_H_INT/24,1,0)))</f>
        <v/>
      </c>
      <c r="BU437" s="35" t="str">
        <f aca="true">IF(OR(BR437="",AE437=""),"",IF(AF437="",IF(NOW()&gt;EDATE(AE437,DORA_M_FIN)+1,0,""),IF(AF437&lt;=EDATE(AE437,DORA_M_FIN),1,0)))</f>
        <v/>
      </c>
      <c r="BV437" s="35" t="str">
        <f aca="false">IF(BR437="","",IF(COUNT(BS437:BU437)=0,"",MIN(BS437:BU437)))</f>
        <v/>
      </c>
      <c r="BW437" s="40" t="str">
        <f aca="false">IF(AQ437&lt;&gt;1,"",IF(AND(AG437="",AH437=""),"",N(AG437)-N(AH437)))</f>
        <v/>
      </c>
      <c r="BX437" s="35" t="str">
        <f aca="true">IF(OR(AQ437&lt;&gt;1,AI437&lt;&gt;"Oui",AJ437=""),"",IF(AK437="",IF(NOW()&gt;AJ437+1,0,""),IF(AK437&lt;=AJ437,1,0)))</f>
        <v/>
      </c>
    </row>
    <row r="438" customFormat="false" ht="15" hidden="false" customHeight="false" outlineLevel="0" collapsed="false">
      <c r="B438" s="29"/>
      <c r="C438" s="29"/>
      <c r="D438" s="29"/>
      <c r="E438" s="29"/>
      <c r="F438" s="29"/>
      <c r="G438" s="29"/>
      <c r="H438" s="29"/>
      <c r="I438" s="29"/>
      <c r="J438" s="29"/>
      <c r="K438" s="29"/>
      <c r="L438" s="29"/>
      <c r="M438" s="29"/>
      <c r="N438" s="30"/>
      <c r="O438" s="30"/>
      <c r="P438" s="30"/>
      <c r="Q438" s="30"/>
      <c r="R438" s="30"/>
      <c r="S438" s="30"/>
      <c r="T438" s="30"/>
      <c r="U438" s="30"/>
      <c r="V438" s="31"/>
      <c r="W438" s="29"/>
      <c r="X438" s="29"/>
      <c r="Y438" s="29"/>
      <c r="Z438" s="29"/>
      <c r="AA438" s="30"/>
      <c r="AB438" s="30"/>
      <c r="AC438" s="30"/>
      <c r="AD438" s="30"/>
      <c r="AE438" s="30"/>
      <c r="AF438" s="32"/>
      <c r="AG438" s="33"/>
      <c r="AH438" s="33"/>
      <c r="AI438" s="29"/>
      <c r="AJ438" s="32"/>
      <c r="AK438" s="32"/>
      <c r="AL438" s="29"/>
      <c r="AN438" s="34" t="str">
        <f aca="false">IF($B438="","",IF(OR(C438="",D438="",E438="",G438="",I438="",J438="",L438="",O438="",P438=""),"Champ obligatoire manquant",IF(OR(AND(N438&lt;&gt;"",N438&gt;O438),O438&gt;P438,AND(Q438&lt;&gt;"",Q438&lt;P438),AND(R438&lt;&gt;"",R438&lt;P438),AND(S438&lt;&gt;"",S438&lt;R438),AND(S438&lt;&gt;"",R438=""),AND(T438&lt;&gt;"",T438&lt;O438),AND(U438&lt;&gt;"",U438&lt;O438)),"Chronologie incohérente",IF(AND(OR(L438="Résolu",L438="Clos"),R438=""),"Date de résolution manquante",IF(AND(L438="Clos",S438=""),"Date de clôture manquante",IF(AND(K438="Oui",AC438=""),"Classification DORA manquante","OK"))))))</f>
        <v/>
      </c>
      <c r="AO438" s="35" t="str">
        <f aca="false">IF($B438="","",IF(AND(C438="Incident",L438&lt;&gt;"Annulé"),1,0))</f>
        <v/>
      </c>
      <c r="AP438" s="35" t="str">
        <f aca="false">IF($B438="","",IF(AND(C438="Quasi-incident",L438&lt;&gt;"Annulé"),1,0))</f>
        <v/>
      </c>
      <c r="AQ438" s="35" t="str">
        <f aca="false">IF($B438="","",AO438+AP438)</f>
        <v/>
      </c>
      <c r="AR438" s="36" t="str">
        <f aca="false">IF(OR($B438="",J438=""),"",IFERROR(VALUE(LEFT(J438,1)),""))</f>
        <v/>
      </c>
      <c r="AS438" s="35" t="str">
        <f aca="false">IF(OR(AO438&lt;&gt;1,G438=""),"",IFERROR(IF(INDEX(L_SrcInterne,MATCH(G438,L_Sources,0))="Oui",1,0),""))</f>
        <v/>
      </c>
      <c r="AT438" s="37" t="str">
        <f aca="false">IF(AO438&lt;&gt;1,"",IFERROR(ROUND(IF(OR(N438="",O438=""),"",IF(O438&lt;N438,"",ROUND(((NETWORKDAYS(N438,O438,JoursFeries)-1)*(HFer-HOuv)+IF(NETWORKDAYS(O438,O438,JoursFeries),MEDIAN(MOD(O438,1),HFer,HOuv),HFer)-IF(NETWORKDAYS(N438,N438,JoursFeries),MEDIAN(MOD(N438,1),HFer,HOuv),HOuv))*24,4)))/HJour,4),""))</f>
        <v/>
      </c>
      <c r="AU438" s="37" t="str">
        <f aca="false">IF(AO438&lt;&gt;1,"",IF(OR(O438="",P438=""),"",IF(P438&lt;O438,"",ROUND(((NETWORKDAYS(O438,P438,JoursFeries)-1)*(HFer-HOuv)+IF(NETWORKDAYS(P438,P438,JoursFeries),MEDIAN(MOD(P438,1),HFer,HOuv),HFer)-IF(NETWORKDAYS(O438,O438,JoursFeries),MEDIAN(MOD(O438,1),HFer,HOuv),HOuv))*24,4))))</f>
        <v/>
      </c>
      <c r="AV438" s="37" t="str">
        <f aca="false">IF(AO438&lt;&gt;1,"",IF(OR(P438="",Q438=""),"",IF(Q438&lt;P438,"",ROUND(((NETWORKDAYS(P438,Q438,JoursFeries)-1)*(HFer-HOuv)+IF(NETWORKDAYS(Q438,Q438,JoursFeries),MEDIAN(MOD(Q438,1),HFer,HOuv),HFer)-IF(NETWORKDAYS(P438,P438,JoursFeries),MEDIAN(MOD(P438,1),HFer,HOuv),HOuv))*24,4))))</f>
        <v/>
      </c>
      <c r="AW438" s="37" t="str">
        <f aca="false">IF(AO438&lt;&gt;1,"",IFERROR(ROUND(IF(OR(P438="",R438=""),"",IF(R438&lt;P438,"",ROUND(((NETWORKDAYS(P438,R438,JoursFeries)-1)*(HFer-HOuv)+IF(NETWORKDAYS(R438,R438,JoursFeries),MEDIAN(MOD(R438,1),HFer,HOuv),HFer)-IF(NETWORKDAYS(P438,P438,JoursFeries),MEDIAN(MOD(P438,1),HFer,HOuv),HOuv))*24,4)))/HJour,4),""))</f>
        <v/>
      </c>
      <c r="AX438" s="37" t="str">
        <f aca="false">IF(AO438&lt;&gt;1,"",IFERROR(ROUND(IF(OR(P438="",S438=""),"",IF(S438&lt;P438,"",ROUND(((NETWORKDAYS(P438,S438,JoursFeries)-1)*(HFer-HOuv)+IF(NETWORKDAYS(S438,S438,JoursFeries),MEDIAN(MOD(S438,1),HFer,HOuv),HFer)-IF(NETWORKDAYS(P438,P438,JoursFeries),MEDIAN(MOD(P438,1),HFer,HOuv),HOuv))*24,4)))/HJour,4),""))</f>
        <v/>
      </c>
      <c r="AY438" s="36" t="str">
        <f aca="false">IF(OR(AO438&lt;&gt;1,AR438=""),"",INDEX(SLA_PEC,AR438))</f>
        <v/>
      </c>
      <c r="AZ438" s="35" t="str">
        <f aca="false">IF(OR(AV438="",AY438=""),"",IF(AV438&lt;=AY438,1,0))</f>
        <v/>
      </c>
      <c r="BA438" s="36" t="str">
        <f aca="false">IF(OR(AO438&lt;&gt;1,AR438=""),"",INDEX(SLA_RES,AR438))</f>
        <v/>
      </c>
      <c r="BB438" s="35" t="str">
        <f aca="false">IF(OR(AW438="",BA438=""),"",IF(AW438&lt;=BA438,1,0))</f>
        <v/>
      </c>
      <c r="BC438" s="38" t="str">
        <f aca="false">IF(OR(BA438="",P438=""),"",WORKDAY(INT(P438),BA438,JoursFeries)+MOD(P438,1))</f>
        <v/>
      </c>
      <c r="BD438" s="39" t="str">
        <f aca="false">IF(AO438&lt;&gt;1,"",IF(OR(AB438&lt;&gt;"",AD438&lt;&gt;""),4,IF(U438&lt;&gt;"",3,IF(T438&lt;&gt;"",2,1))))</f>
        <v/>
      </c>
      <c r="BE438" s="39" t="str">
        <f aca="false">IF(OR(AO438&lt;&gt;1,AR438=""),"",INDEX(NIV_REQ,AR438))</f>
        <v/>
      </c>
      <c r="BF438" s="39" t="str">
        <f aca="false">IF(BE438="","",MAX(BE438,IF(OR(K438="Oui",Z438="Oui"),4,1)))</f>
        <v/>
      </c>
      <c r="BG438" s="35" t="str">
        <f aca="false">IF(OR(BF438="",BD438=""),"",IF(BD438&gt;=BF438,1,0))</f>
        <v/>
      </c>
      <c r="BH438" s="38" t="str">
        <f aca="false">IF(BE438="","",IF(BE438&lt;2,"",IF(BE438=2,IF(AND(T438="",U438=""),"",MIN(T438,U438)),IF(U438="","",U438))))</f>
        <v/>
      </c>
      <c r="BI438" s="37" t="str">
        <f aca="false">IF(BH438="","",IF(OR(O438="",BH438=""),"",IF(BH438&lt;O438,"",ROUND(((NETWORKDAYS(O438,BH438,JoursFeries)-1)*(HFer-HOuv)+IF(NETWORKDAYS(BH438,BH438,JoursFeries),MEDIAN(MOD(BH438,1),HFer,HOuv),HFer)-IF(NETWORKDAYS(O438,O438,JoursFeries),MEDIAN(MOD(O438,1),HFer,HOuv),HOuv))*24,4))))</f>
        <v/>
      </c>
      <c r="BJ438" s="35" t="str">
        <f aca="false">IF(OR(BI438="",AR438=""),"",IF(BI438&lt;=INDEX(DELAI_ESC,AR438),1,0))</f>
        <v/>
      </c>
      <c r="BK438" s="38" t="str">
        <f aca="false">IF(AO438&lt;&gt;1,"",IF(AND(T438="",U438=""),"",MIN(T438,U438)))</f>
        <v/>
      </c>
      <c r="BL438" s="37" t="str">
        <f aca="false">IF(OR(BK438="",R438=""),"",IFERROR(ROUND(IF(OR(BK438="",R438=""),"",IF(R438&lt;BK438,"",ROUND(((NETWORKDAYS(BK438,R438,JoursFeries)-1)*(HFer-HOuv)+IF(NETWORKDAYS(R438,R438,JoursFeries),MEDIAN(MOD(R438,1),HFer,HOuv),HFer)-IF(NETWORKDAYS(BK438,BK438,JoursFeries),MEDIAN(MOD(BK438,1),HFer,HOuv),HOuv))*24,4)))/HJour,4),""))</f>
        <v/>
      </c>
      <c r="BM438" s="35" t="str">
        <f aca="false">IF(OR(AO438&lt;&gt;1,R438=""),"",IF(BD438=1,1,0))</f>
        <v/>
      </c>
      <c r="BN438" s="35" t="str">
        <f aca="false">IF(AO438&lt;&gt;1,"",IF(W438="Oui",1,0))</f>
        <v/>
      </c>
      <c r="BO438" s="35" t="str">
        <f aca="false">IF(AO438&lt;&gt;1,"",IF(X438&lt;&gt;"",1,0))</f>
        <v/>
      </c>
      <c r="BP438" s="35" t="str">
        <f aca="false">IF(AO438&lt;&gt;1,"",IF(Y438="Oui",1,0))</f>
        <v/>
      </c>
      <c r="BQ438" s="35" t="str">
        <f aca="true">IF(OR(AO438&lt;&gt;1,Z438&lt;&gt;"Oui"),"",IF(AB438="",IF(AND(AA438&lt;&gt;"",NOW()&gt;AA438),0,""),IF(AA438="","",IF(AB438&lt;=AA438,1,0))))</f>
        <v/>
      </c>
      <c r="BR438" s="38" t="str">
        <f aca="false">IF(OR(AO438&lt;&gt;1,K438&lt;&gt;"Oui",O438=""),"",IF(AC438="",O438+DORA_H_DET/24,IF(AC438-O438&lt;=DORA_H_DET/24,MIN(AC438+DORA_H_CLA/24,O438+DORA_H_DET/24),AC438+DORA_H_CLA/24)))</f>
        <v/>
      </c>
      <c r="BS438" s="35" t="str">
        <f aca="true">IF(BR438="","",IF(AD438="",IF(NOW()&gt;BR438,0,""),IF(AD438&lt;=BR438,1,0)))</f>
        <v/>
      </c>
      <c r="BT438" s="35" t="str">
        <f aca="true">IF(OR(BR438="",AD438=""),"",IF(AE438="",IF(NOW()&gt;AD438+DORA_H_INT/24,0,""),IF(AE438&lt;=AD438+DORA_H_INT/24,1,0)))</f>
        <v/>
      </c>
      <c r="BU438" s="35" t="str">
        <f aca="true">IF(OR(BR438="",AE438=""),"",IF(AF438="",IF(NOW()&gt;EDATE(AE438,DORA_M_FIN)+1,0,""),IF(AF438&lt;=EDATE(AE438,DORA_M_FIN),1,0)))</f>
        <v/>
      </c>
      <c r="BV438" s="35" t="str">
        <f aca="false">IF(BR438="","",IF(COUNT(BS438:BU438)=0,"",MIN(BS438:BU438)))</f>
        <v/>
      </c>
      <c r="BW438" s="40" t="str">
        <f aca="false">IF(AQ438&lt;&gt;1,"",IF(AND(AG438="",AH438=""),"",N(AG438)-N(AH438)))</f>
        <v/>
      </c>
      <c r="BX438" s="35" t="str">
        <f aca="true">IF(OR(AQ438&lt;&gt;1,AI438&lt;&gt;"Oui",AJ438=""),"",IF(AK438="",IF(NOW()&gt;AJ438+1,0,""),IF(AK438&lt;=AJ438,1,0)))</f>
        <v/>
      </c>
    </row>
    <row r="439" customFormat="false" ht="15" hidden="false" customHeight="false" outlineLevel="0" collapsed="false">
      <c r="B439" s="29"/>
      <c r="C439" s="29"/>
      <c r="D439" s="29"/>
      <c r="E439" s="29"/>
      <c r="F439" s="29"/>
      <c r="G439" s="29"/>
      <c r="H439" s="29"/>
      <c r="I439" s="29"/>
      <c r="J439" s="29"/>
      <c r="K439" s="29"/>
      <c r="L439" s="29"/>
      <c r="M439" s="29"/>
      <c r="N439" s="30"/>
      <c r="O439" s="30"/>
      <c r="P439" s="30"/>
      <c r="Q439" s="30"/>
      <c r="R439" s="30"/>
      <c r="S439" s="30"/>
      <c r="T439" s="30"/>
      <c r="U439" s="30"/>
      <c r="V439" s="31"/>
      <c r="W439" s="29"/>
      <c r="X439" s="29"/>
      <c r="Y439" s="29"/>
      <c r="Z439" s="29"/>
      <c r="AA439" s="30"/>
      <c r="AB439" s="30"/>
      <c r="AC439" s="30"/>
      <c r="AD439" s="30"/>
      <c r="AE439" s="30"/>
      <c r="AF439" s="32"/>
      <c r="AG439" s="33"/>
      <c r="AH439" s="33"/>
      <c r="AI439" s="29"/>
      <c r="AJ439" s="32"/>
      <c r="AK439" s="32"/>
      <c r="AL439" s="29"/>
      <c r="AN439" s="34" t="str">
        <f aca="false">IF($B439="","",IF(OR(C439="",D439="",E439="",G439="",I439="",J439="",L439="",O439="",P439=""),"Champ obligatoire manquant",IF(OR(AND(N439&lt;&gt;"",N439&gt;O439),O439&gt;P439,AND(Q439&lt;&gt;"",Q439&lt;P439),AND(R439&lt;&gt;"",R439&lt;P439),AND(S439&lt;&gt;"",S439&lt;R439),AND(S439&lt;&gt;"",R439=""),AND(T439&lt;&gt;"",T439&lt;O439),AND(U439&lt;&gt;"",U439&lt;O439)),"Chronologie incohérente",IF(AND(OR(L439="Résolu",L439="Clos"),R439=""),"Date de résolution manquante",IF(AND(L439="Clos",S439=""),"Date de clôture manquante",IF(AND(K439="Oui",AC439=""),"Classification DORA manquante","OK"))))))</f>
        <v/>
      </c>
      <c r="AO439" s="35" t="str">
        <f aca="false">IF($B439="","",IF(AND(C439="Incident",L439&lt;&gt;"Annulé"),1,0))</f>
        <v/>
      </c>
      <c r="AP439" s="35" t="str">
        <f aca="false">IF($B439="","",IF(AND(C439="Quasi-incident",L439&lt;&gt;"Annulé"),1,0))</f>
        <v/>
      </c>
      <c r="AQ439" s="35" t="str">
        <f aca="false">IF($B439="","",AO439+AP439)</f>
        <v/>
      </c>
      <c r="AR439" s="36" t="str">
        <f aca="false">IF(OR($B439="",J439=""),"",IFERROR(VALUE(LEFT(J439,1)),""))</f>
        <v/>
      </c>
      <c r="AS439" s="35" t="str">
        <f aca="false">IF(OR(AO439&lt;&gt;1,G439=""),"",IFERROR(IF(INDEX(L_SrcInterne,MATCH(G439,L_Sources,0))="Oui",1,0),""))</f>
        <v/>
      </c>
      <c r="AT439" s="37" t="str">
        <f aca="false">IF(AO439&lt;&gt;1,"",IFERROR(ROUND(IF(OR(N439="",O439=""),"",IF(O439&lt;N439,"",ROUND(((NETWORKDAYS(N439,O439,JoursFeries)-1)*(HFer-HOuv)+IF(NETWORKDAYS(O439,O439,JoursFeries),MEDIAN(MOD(O439,1),HFer,HOuv),HFer)-IF(NETWORKDAYS(N439,N439,JoursFeries),MEDIAN(MOD(N439,1),HFer,HOuv),HOuv))*24,4)))/HJour,4),""))</f>
        <v/>
      </c>
      <c r="AU439" s="37" t="str">
        <f aca="false">IF(AO439&lt;&gt;1,"",IF(OR(O439="",P439=""),"",IF(P439&lt;O439,"",ROUND(((NETWORKDAYS(O439,P439,JoursFeries)-1)*(HFer-HOuv)+IF(NETWORKDAYS(P439,P439,JoursFeries),MEDIAN(MOD(P439,1),HFer,HOuv),HFer)-IF(NETWORKDAYS(O439,O439,JoursFeries),MEDIAN(MOD(O439,1),HFer,HOuv),HOuv))*24,4))))</f>
        <v/>
      </c>
      <c r="AV439" s="37" t="str">
        <f aca="false">IF(AO439&lt;&gt;1,"",IF(OR(P439="",Q439=""),"",IF(Q439&lt;P439,"",ROUND(((NETWORKDAYS(P439,Q439,JoursFeries)-1)*(HFer-HOuv)+IF(NETWORKDAYS(Q439,Q439,JoursFeries),MEDIAN(MOD(Q439,1),HFer,HOuv),HFer)-IF(NETWORKDAYS(P439,P439,JoursFeries),MEDIAN(MOD(P439,1),HFer,HOuv),HOuv))*24,4))))</f>
        <v/>
      </c>
      <c r="AW439" s="37" t="str">
        <f aca="false">IF(AO439&lt;&gt;1,"",IFERROR(ROUND(IF(OR(P439="",R439=""),"",IF(R439&lt;P439,"",ROUND(((NETWORKDAYS(P439,R439,JoursFeries)-1)*(HFer-HOuv)+IF(NETWORKDAYS(R439,R439,JoursFeries),MEDIAN(MOD(R439,1),HFer,HOuv),HFer)-IF(NETWORKDAYS(P439,P439,JoursFeries),MEDIAN(MOD(P439,1),HFer,HOuv),HOuv))*24,4)))/HJour,4),""))</f>
        <v/>
      </c>
      <c r="AX439" s="37" t="str">
        <f aca="false">IF(AO439&lt;&gt;1,"",IFERROR(ROUND(IF(OR(P439="",S439=""),"",IF(S439&lt;P439,"",ROUND(((NETWORKDAYS(P439,S439,JoursFeries)-1)*(HFer-HOuv)+IF(NETWORKDAYS(S439,S439,JoursFeries),MEDIAN(MOD(S439,1),HFer,HOuv),HFer)-IF(NETWORKDAYS(P439,P439,JoursFeries),MEDIAN(MOD(P439,1),HFer,HOuv),HOuv))*24,4)))/HJour,4),""))</f>
        <v/>
      </c>
      <c r="AY439" s="36" t="str">
        <f aca="false">IF(OR(AO439&lt;&gt;1,AR439=""),"",INDEX(SLA_PEC,AR439))</f>
        <v/>
      </c>
      <c r="AZ439" s="35" t="str">
        <f aca="false">IF(OR(AV439="",AY439=""),"",IF(AV439&lt;=AY439,1,0))</f>
        <v/>
      </c>
      <c r="BA439" s="36" t="str">
        <f aca="false">IF(OR(AO439&lt;&gt;1,AR439=""),"",INDEX(SLA_RES,AR439))</f>
        <v/>
      </c>
      <c r="BB439" s="35" t="str">
        <f aca="false">IF(OR(AW439="",BA439=""),"",IF(AW439&lt;=BA439,1,0))</f>
        <v/>
      </c>
      <c r="BC439" s="38" t="str">
        <f aca="false">IF(OR(BA439="",P439=""),"",WORKDAY(INT(P439),BA439,JoursFeries)+MOD(P439,1))</f>
        <v/>
      </c>
      <c r="BD439" s="39" t="str">
        <f aca="false">IF(AO439&lt;&gt;1,"",IF(OR(AB439&lt;&gt;"",AD439&lt;&gt;""),4,IF(U439&lt;&gt;"",3,IF(T439&lt;&gt;"",2,1))))</f>
        <v/>
      </c>
      <c r="BE439" s="39" t="str">
        <f aca="false">IF(OR(AO439&lt;&gt;1,AR439=""),"",INDEX(NIV_REQ,AR439))</f>
        <v/>
      </c>
      <c r="BF439" s="39" t="str">
        <f aca="false">IF(BE439="","",MAX(BE439,IF(OR(K439="Oui",Z439="Oui"),4,1)))</f>
        <v/>
      </c>
      <c r="BG439" s="35" t="str">
        <f aca="false">IF(OR(BF439="",BD439=""),"",IF(BD439&gt;=BF439,1,0))</f>
        <v/>
      </c>
      <c r="BH439" s="38" t="str">
        <f aca="false">IF(BE439="","",IF(BE439&lt;2,"",IF(BE439=2,IF(AND(T439="",U439=""),"",MIN(T439,U439)),IF(U439="","",U439))))</f>
        <v/>
      </c>
      <c r="BI439" s="37" t="str">
        <f aca="false">IF(BH439="","",IF(OR(O439="",BH439=""),"",IF(BH439&lt;O439,"",ROUND(((NETWORKDAYS(O439,BH439,JoursFeries)-1)*(HFer-HOuv)+IF(NETWORKDAYS(BH439,BH439,JoursFeries),MEDIAN(MOD(BH439,1),HFer,HOuv),HFer)-IF(NETWORKDAYS(O439,O439,JoursFeries),MEDIAN(MOD(O439,1),HFer,HOuv),HOuv))*24,4))))</f>
        <v/>
      </c>
      <c r="BJ439" s="35" t="str">
        <f aca="false">IF(OR(BI439="",AR439=""),"",IF(BI439&lt;=INDEX(DELAI_ESC,AR439),1,0))</f>
        <v/>
      </c>
      <c r="BK439" s="38" t="str">
        <f aca="false">IF(AO439&lt;&gt;1,"",IF(AND(T439="",U439=""),"",MIN(T439,U439)))</f>
        <v/>
      </c>
      <c r="BL439" s="37" t="str">
        <f aca="false">IF(OR(BK439="",R439=""),"",IFERROR(ROUND(IF(OR(BK439="",R439=""),"",IF(R439&lt;BK439,"",ROUND(((NETWORKDAYS(BK439,R439,JoursFeries)-1)*(HFer-HOuv)+IF(NETWORKDAYS(R439,R439,JoursFeries),MEDIAN(MOD(R439,1),HFer,HOuv),HFer)-IF(NETWORKDAYS(BK439,BK439,JoursFeries),MEDIAN(MOD(BK439,1),HFer,HOuv),HOuv))*24,4)))/HJour,4),""))</f>
        <v/>
      </c>
      <c r="BM439" s="35" t="str">
        <f aca="false">IF(OR(AO439&lt;&gt;1,R439=""),"",IF(BD439=1,1,0))</f>
        <v/>
      </c>
      <c r="BN439" s="35" t="str">
        <f aca="false">IF(AO439&lt;&gt;1,"",IF(W439="Oui",1,0))</f>
        <v/>
      </c>
      <c r="BO439" s="35" t="str">
        <f aca="false">IF(AO439&lt;&gt;1,"",IF(X439&lt;&gt;"",1,0))</f>
        <v/>
      </c>
      <c r="BP439" s="35" t="str">
        <f aca="false">IF(AO439&lt;&gt;1,"",IF(Y439="Oui",1,0))</f>
        <v/>
      </c>
      <c r="BQ439" s="35" t="str">
        <f aca="true">IF(OR(AO439&lt;&gt;1,Z439&lt;&gt;"Oui"),"",IF(AB439="",IF(AND(AA439&lt;&gt;"",NOW()&gt;AA439),0,""),IF(AA439="","",IF(AB439&lt;=AA439,1,0))))</f>
        <v/>
      </c>
      <c r="BR439" s="38" t="str">
        <f aca="false">IF(OR(AO439&lt;&gt;1,K439&lt;&gt;"Oui",O439=""),"",IF(AC439="",O439+DORA_H_DET/24,IF(AC439-O439&lt;=DORA_H_DET/24,MIN(AC439+DORA_H_CLA/24,O439+DORA_H_DET/24),AC439+DORA_H_CLA/24)))</f>
        <v/>
      </c>
      <c r="BS439" s="35" t="str">
        <f aca="true">IF(BR439="","",IF(AD439="",IF(NOW()&gt;BR439,0,""),IF(AD439&lt;=BR439,1,0)))</f>
        <v/>
      </c>
      <c r="BT439" s="35" t="str">
        <f aca="true">IF(OR(BR439="",AD439=""),"",IF(AE439="",IF(NOW()&gt;AD439+DORA_H_INT/24,0,""),IF(AE439&lt;=AD439+DORA_H_INT/24,1,0)))</f>
        <v/>
      </c>
      <c r="BU439" s="35" t="str">
        <f aca="true">IF(OR(BR439="",AE439=""),"",IF(AF439="",IF(NOW()&gt;EDATE(AE439,DORA_M_FIN)+1,0,""),IF(AF439&lt;=EDATE(AE439,DORA_M_FIN),1,0)))</f>
        <v/>
      </c>
      <c r="BV439" s="35" t="str">
        <f aca="false">IF(BR439="","",IF(COUNT(BS439:BU439)=0,"",MIN(BS439:BU439)))</f>
        <v/>
      </c>
      <c r="BW439" s="40" t="str">
        <f aca="false">IF(AQ439&lt;&gt;1,"",IF(AND(AG439="",AH439=""),"",N(AG439)-N(AH439)))</f>
        <v/>
      </c>
      <c r="BX439" s="35" t="str">
        <f aca="true">IF(OR(AQ439&lt;&gt;1,AI439&lt;&gt;"Oui",AJ439=""),"",IF(AK439="",IF(NOW()&gt;AJ439+1,0,""),IF(AK439&lt;=AJ439,1,0)))</f>
        <v/>
      </c>
    </row>
    <row r="440" customFormat="false" ht="15" hidden="false" customHeight="false" outlineLevel="0" collapsed="false">
      <c r="B440" s="29"/>
      <c r="C440" s="29"/>
      <c r="D440" s="29"/>
      <c r="E440" s="29"/>
      <c r="F440" s="29"/>
      <c r="G440" s="29"/>
      <c r="H440" s="29"/>
      <c r="I440" s="29"/>
      <c r="J440" s="29"/>
      <c r="K440" s="29"/>
      <c r="L440" s="29"/>
      <c r="M440" s="29"/>
      <c r="N440" s="30"/>
      <c r="O440" s="30"/>
      <c r="P440" s="30"/>
      <c r="Q440" s="30"/>
      <c r="R440" s="30"/>
      <c r="S440" s="30"/>
      <c r="T440" s="30"/>
      <c r="U440" s="30"/>
      <c r="V440" s="31"/>
      <c r="W440" s="29"/>
      <c r="X440" s="29"/>
      <c r="Y440" s="29"/>
      <c r="Z440" s="29"/>
      <c r="AA440" s="30"/>
      <c r="AB440" s="30"/>
      <c r="AC440" s="30"/>
      <c r="AD440" s="30"/>
      <c r="AE440" s="30"/>
      <c r="AF440" s="32"/>
      <c r="AG440" s="33"/>
      <c r="AH440" s="33"/>
      <c r="AI440" s="29"/>
      <c r="AJ440" s="32"/>
      <c r="AK440" s="32"/>
      <c r="AL440" s="29"/>
      <c r="AN440" s="34" t="str">
        <f aca="false">IF($B440="","",IF(OR(C440="",D440="",E440="",G440="",I440="",J440="",L440="",O440="",P440=""),"Champ obligatoire manquant",IF(OR(AND(N440&lt;&gt;"",N440&gt;O440),O440&gt;P440,AND(Q440&lt;&gt;"",Q440&lt;P440),AND(R440&lt;&gt;"",R440&lt;P440),AND(S440&lt;&gt;"",S440&lt;R440),AND(S440&lt;&gt;"",R440=""),AND(T440&lt;&gt;"",T440&lt;O440),AND(U440&lt;&gt;"",U440&lt;O440)),"Chronologie incohérente",IF(AND(OR(L440="Résolu",L440="Clos"),R440=""),"Date de résolution manquante",IF(AND(L440="Clos",S440=""),"Date de clôture manquante",IF(AND(K440="Oui",AC440=""),"Classification DORA manquante","OK"))))))</f>
        <v/>
      </c>
      <c r="AO440" s="35" t="str">
        <f aca="false">IF($B440="","",IF(AND(C440="Incident",L440&lt;&gt;"Annulé"),1,0))</f>
        <v/>
      </c>
      <c r="AP440" s="35" t="str">
        <f aca="false">IF($B440="","",IF(AND(C440="Quasi-incident",L440&lt;&gt;"Annulé"),1,0))</f>
        <v/>
      </c>
      <c r="AQ440" s="35" t="str">
        <f aca="false">IF($B440="","",AO440+AP440)</f>
        <v/>
      </c>
      <c r="AR440" s="36" t="str">
        <f aca="false">IF(OR($B440="",J440=""),"",IFERROR(VALUE(LEFT(J440,1)),""))</f>
        <v/>
      </c>
      <c r="AS440" s="35" t="str">
        <f aca="false">IF(OR(AO440&lt;&gt;1,G440=""),"",IFERROR(IF(INDEX(L_SrcInterne,MATCH(G440,L_Sources,0))="Oui",1,0),""))</f>
        <v/>
      </c>
      <c r="AT440" s="37" t="str">
        <f aca="false">IF(AO440&lt;&gt;1,"",IFERROR(ROUND(IF(OR(N440="",O440=""),"",IF(O440&lt;N440,"",ROUND(((NETWORKDAYS(N440,O440,JoursFeries)-1)*(HFer-HOuv)+IF(NETWORKDAYS(O440,O440,JoursFeries),MEDIAN(MOD(O440,1),HFer,HOuv),HFer)-IF(NETWORKDAYS(N440,N440,JoursFeries),MEDIAN(MOD(N440,1),HFer,HOuv),HOuv))*24,4)))/HJour,4),""))</f>
        <v/>
      </c>
      <c r="AU440" s="37" t="str">
        <f aca="false">IF(AO440&lt;&gt;1,"",IF(OR(O440="",P440=""),"",IF(P440&lt;O440,"",ROUND(((NETWORKDAYS(O440,P440,JoursFeries)-1)*(HFer-HOuv)+IF(NETWORKDAYS(P440,P440,JoursFeries),MEDIAN(MOD(P440,1),HFer,HOuv),HFer)-IF(NETWORKDAYS(O440,O440,JoursFeries),MEDIAN(MOD(O440,1),HFer,HOuv),HOuv))*24,4))))</f>
        <v/>
      </c>
      <c r="AV440" s="37" t="str">
        <f aca="false">IF(AO440&lt;&gt;1,"",IF(OR(P440="",Q440=""),"",IF(Q440&lt;P440,"",ROUND(((NETWORKDAYS(P440,Q440,JoursFeries)-1)*(HFer-HOuv)+IF(NETWORKDAYS(Q440,Q440,JoursFeries),MEDIAN(MOD(Q440,1),HFer,HOuv),HFer)-IF(NETWORKDAYS(P440,P440,JoursFeries),MEDIAN(MOD(P440,1),HFer,HOuv),HOuv))*24,4))))</f>
        <v/>
      </c>
      <c r="AW440" s="37" t="str">
        <f aca="false">IF(AO440&lt;&gt;1,"",IFERROR(ROUND(IF(OR(P440="",R440=""),"",IF(R440&lt;P440,"",ROUND(((NETWORKDAYS(P440,R440,JoursFeries)-1)*(HFer-HOuv)+IF(NETWORKDAYS(R440,R440,JoursFeries),MEDIAN(MOD(R440,1),HFer,HOuv),HFer)-IF(NETWORKDAYS(P440,P440,JoursFeries),MEDIAN(MOD(P440,1),HFer,HOuv),HOuv))*24,4)))/HJour,4),""))</f>
        <v/>
      </c>
      <c r="AX440" s="37" t="str">
        <f aca="false">IF(AO440&lt;&gt;1,"",IFERROR(ROUND(IF(OR(P440="",S440=""),"",IF(S440&lt;P440,"",ROUND(((NETWORKDAYS(P440,S440,JoursFeries)-1)*(HFer-HOuv)+IF(NETWORKDAYS(S440,S440,JoursFeries),MEDIAN(MOD(S440,1),HFer,HOuv),HFer)-IF(NETWORKDAYS(P440,P440,JoursFeries),MEDIAN(MOD(P440,1),HFer,HOuv),HOuv))*24,4)))/HJour,4),""))</f>
        <v/>
      </c>
      <c r="AY440" s="36" t="str">
        <f aca="false">IF(OR(AO440&lt;&gt;1,AR440=""),"",INDEX(SLA_PEC,AR440))</f>
        <v/>
      </c>
      <c r="AZ440" s="35" t="str">
        <f aca="false">IF(OR(AV440="",AY440=""),"",IF(AV440&lt;=AY440,1,0))</f>
        <v/>
      </c>
      <c r="BA440" s="36" t="str">
        <f aca="false">IF(OR(AO440&lt;&gt;1,AR440=""),"",INDEX(SLA_RES,AR440))</f>
        <v/>
      </c>
      <c r="BB440" s="35" t="str">
        <f aca="false">IF(OR(AW440="",BA440=""),"",IF(AW440&lt;=BA440,1,0))</f>
        <v/>
      </c>
      <c r="BC440" s="38" t="str">
        <f aca="false">IF(OR(BA440="",P440=""),"",WORKDAY(INT(P440),BA440,JoursFeries)+MOD(P440,1))</f>
        <v/>
      </c>
      <c r="BD440" s="39" t="str">
        <f aca="false">IF(AO440&lt;&gt;1,"",IF(OR(AB440&lt;&gt;"",AD440&lt;&gt;""),4,IF(U440&lt;&gt;"",3,IF(T440&lt;&gt;"",2,1))))</f>
        <v/>
      </c>
      <c r="BE440" s="39" t="str">
        <f aca="false">IF(OR(AO440&lt;&gt;1,AR440=""),"",INDEX(NIV_REQ,AR440))</f>
        <v/>
      </c>
      <c r="BF440" s="39" t="str">
        <f aca="false">IF(BE440="","",MAX(BE440,IF(OR(K440="Oui",Z440="Oui"),4,1)))</f>
        <v/>
      </c>
      <c r="BG440" s="35" t="str">
        <f aca="false">IF(OR(BF440="",BD440=""),"",IF(BD440&gt;=BF440,1,0))</f>
        <v/>
      </c>
      <c r="BH440" s="38" t="str">
        <f aca="false">IF(BE440="","",IF(BE440&lt;2,"",IF(BE440=2,IF(AND(T440="",U440=""),"",MIN(T440,U440)),IF(U440="","",U440))))</f>
        <v/>
      </c>
      <c r="BI440" s="37" t="str">
        <f aca="false">IF(BH440="","",IF(OR(O440="",BH440=""),"",IF(BH440&lt;O440,"",ROUND(((NETWORKDAYS(O440,BH440,JoursFeries)-1)*(HFer-HOuv)+IF(NETWORKDAYS(BH440,BH440,JoursFeries),MEDIAN(MOD(BH440,1),HFer,HOuv),HFer)-IF(NETWORKDAYS(O440,O440,JoursFeries),MEDIAN(MOD(O440,1),HFer,HOuv),HOuv))*24,4))))</f>
        <v/>
      </c>
      <c r="BJ440" s="35" t="str">
        <f aca="false">IF(OR(BI440="",AR440=""),"",IF(BI440&lt;=INDEX(DELAI_ESC,AR440),1,0))</f>
        <v/>
      </c>
      <c r="BK440" s="38" t="str">
        <f aca="false">IF(AO440&lt;&gt;1,"",IF(AND(T440="",U440=""),"",MIN(T440,U440)))</f>
        <v/>
      </c>
      <c r="BL440" s="37" t="str">
        <f aca="false">IF(OR(BK440="",R440=""),"",IFERROR(ROUND(IF(OR(BK440="",R440=""),"",IF(R440&lt;BK440,"",ROUND(((NETWORKDAYS(BK440,R440,JoursFeries)-1)*(HFer-HOuv)+IF(NETWORKDAYS(R440,R440,JoursFeries),MEDIAN(MOD(R440,1),HFer,HOuv),HFer)-IF(NETWORKDAYS(BK440,BK440,JoursFeries),MEDIAN(MOD(BK440,1),HFer,HOuv),HOuv))*24,4)))/HJour,4),""))</f>
        <v/>
      </c>
      <c r="BM440" s="35" t="str">
        <f aca="false">IF(OR(AO440&lt;&gt;1,R440=""),"",IF(BD440=1,1,0))</f>
        <v/>
      </c>
      <c r="BN440" s="35" t="str">
        <f aca="false">IF(AO440&lt;&gt;1,"",IF(W440="Oui",1,0))</f>
        <v/>
      </c>
      <c r="BO440" s="35" t="str">
        <f aca="false">IF(AO440&lt;&gt;1,"",IF(X440&lt;&gt;"",1,0))</f>
        <v/>
      </c>
      <c r="BP440" s="35" t="str">
        <f aca="false">IF(AO440&lt;&gt;1,"",IF(Y440="Oui",1,0))</f>
        <v/>
      </c>
      <c r="BQ440" s="35" t="str">
        <f aca="true">IF(OR(AO440&lt;&gt;1,Z440&lt;&gt;"Oui"),"",IF(AB440="",IF(AND(AA440&lt;&gt;"",NOW()&gt;AA440),0,""),IF(AA440="","",IF(AB440&lt;=AA440,1,0))))</f>
        <v/>
      </c>
      <c r="BR440" s="38" t="str">
        <f aca="false">IF(OR(AO440&lt;&gt;1,K440&lt;&gt;"Oui",O440=""),"",IF(AC440="",O440+DORA_H_DET/24,IF(AC440-O440&lt;=DORA_H_DET/24,MIN(AC440+DORA_H_CLA/24,O440+DORA_H_DET/24),AC440+DORA_H_CLA/24)))</f>
        <v/>
      </c>
      <c r="BS440" s="35" t="str">
        <f aca="true">IF(BR440="","",IF(AD440="",IF(NOW()&gt;BR440,0,""),IF(AD440&lt;=BR440,1,0)))</f>
        <v/>
      </c>
      <c r="BT440" s="35" t="str">
        <f aca="true">IF(OR(BR440="",AD440=""),"",IF(AE440="",IF(NOW()&gt;AD440+DORA_H_INT/24,0,""),IF(AE440&lt;=AD440+DORA_H_INT/24,1,0)))</f>
        <v/>
      </c>
      <c r="BU440" s="35" t="str">
        <f aca="true">IF(OR(BR440="",AE440=""),"",IF(AF440="",IF(NOW()&gt;EDATE(AE440,DORA_M_FIN)+1,0,""),IF(AF440&lt;=EDATE(AE440,DORA_M_FIN),1,0)))</f>
        <v/>
      </c>
      <c r="BV440" s="35" t="str">
        <f aca="false">IF(BR440="","",IF(COUNT(BS440:BU440)=0,"",MIN(BS440:BU440)))</f>
        <v/>
      </c>
      <c r="BW440" s="40" t="str">
        <f aca="false">IF(AQ440&lt;&gt;1,"",IF(AND(AG440="",AH440=""),"",N(AG440)-N(AH440)))</f>
        <v/>
      </c>
      <c r="BX440" s="35" t="str">
        <f aca="true">IF(OR(AQ440&lt;&gt;1,AI440&lt;&gt;"Oui",AJ440=""),"",IF(AK440="",IF(NOW()&gt;AJ440+1,0,""),IF(AK440&lt;=AJ440,1,0)))</f>
        <v/>
      </c>
    </row>
    <row r="441" customFormat="false" ht="15" hidden="false" customHeight="false" outlineLevel="0" collapsed="false">
      <c r="B441" s="29"/>
      <c r="C441" s="29"/>
      <c r="D441" s="29"/>
      <c r="E441" s="29"/>
      <c r="F441" s="29"/>
      <c r="G441" s="29"/>
      <c r="H441" s="29"/>
      <c r="I441" s="29"/>
      <c r="J441" s="29"/>
      <c r="K441" s="29"/>
      <c r="L441" s="29"/>
      <c r="M441" s="29"/>
      <c r="N441" s="30"/>
      <c r="O441" s="30"/>
      <c r="P441" s="30"/>
      <c r="Q441" s="30"/>
      <c r="R441" s="30"/>
      <c r="S441" s="30"/>
      <c r="T441" s="30"/>
      <c r="U441" s="30"/>
      <c r="V441" s="31"/>
      <c r="W441" s="29"/>
      <c r="X441" s="29"/>
      <c r="Y441" s="29"/>
      <c r="Z441" s="29"/>
      <c r="AA441" s="30"/>
      <c r="AB441" s="30"/>
      <c r="AC441" s="30"/>
      <c r="AD441" s="30"/>
      <c r="AE441" s="30"/>
      <c r="AF441" s="32"/>
      <c r="AG441" s="33"/>
      <c r="AH441" s="33"/>
      <c r="AI441" s="29"/>
      <c r="AJ441" s="32"/>
      <c r="AK441" s="32"/>
      <c r="AL441" s="29"/>
      <c r="AN441" s="34" t="str">
        <f aca="false">IF($B441="","",IF(OR(C441="",D441="",E441="",G441="",I441="",J441="",L441="",O441="",P441=""),"Champ obligatoire manquant",IF(OR(AND(N441&lt;&gt;"",N441&gt;O441),O441&gt;P441,AND(Q441&lt;&gt;"",Q441&lt;P441),AND(R441&lt;&gt;"",R441&lt;P441),AND(S441&lt;&gt;"",S441&lt;R441),AND(S441&lt;&gt;"",R441=""),AND(T441&lt;&gt;"",T441&lt;O441),AND(U441&lt;&gt;"",U441&lt;O441)),"Chronologie incohérente",IF(AND(OR(L441="Résolu",L441="Clos"),R441=""),"Date de résolution manquante",IF(AND(L441="Clos",S441=""),"Date de clôture manquante",IF(AND(K441="Oui",AC441=""),"Classification DORA manquante","OK"))))))</f>
        <v/>
      </c>
      <c r="AO441" s="35" t="str">
        <f aca="false">IF($B441="","",IF(AND(C441="Incident",L441&lt;&gt;"Annulé"),1,0))</f>
        <v/>
      </c>
      <c r="AP441" s="35" t="str">
        <f aca="false">IF($B441="","",IF(AND(C441="Quasi-incident",L441&lt;&gt;"Annulé"),1,0))</f>
        <v/>
      </c>
      <c r="AQ441" s="35" t="str">
        <f aca="false">IF($B441="","",AO441+AP441)</f>
        <v/>
      </c>
      <c r="AR441" s="36" t="str">
        <f aca="false">IF(OR($B441="",J441=""),"",IFERROR(VALUE(LEFT(J441,1)),""))</f>
        <v/>
      </c>
      <c r="AS441" s="35" t="str">
        <f aca="false">IF(OR(AO441&lt;&gt;1,G441=""),"",IFERROR(IF(INDEX(L_SrcInterne,MATCH(G441,L_Sources,0))="Oui",1,0),""))</f>
        <v/>
      </c>
      <c r="AT441" s="37" t="str">
        <f aca="false">IF(AO441&lt;&gt;1,"",IFERROR(ROUND(IF(OR(N441="",O441=""),"",IF(O441&lt;N441,"",ROUND(((NETWORKDAYS(N441,O441,JoursFeries)-1)*(HFer-HOuv)+IF(NETWORKDAYS(O441,O441,JoursFeries),MEDIAN(MOD(O441,1),HFer,HOuv),HFer)-IF(NETWORKDAYS(N441,N441,JoursFeries),MEDIAN(MOD(N441,1),HFer,HOuv),HOuv))*24,4)))/HJour,4),""))</f>
        <v/>
      </c>
      <c r="AU441" s="37" t="str">
        <f aca="false">IF(AO441&lt;&gt;1,"",IF(OR(O441="",P441=""),"",IF(P441&lt;O441,"",ROUND(((NETWORKDAYS(O441,P441,JoursFeries)-1)*(HFer-HOuv)+IF(NETWORKDAYS(P441,P441,JoursFeries),MEDIAN(MOD(P441,1),HFer,HOuv),HFer)-IF(NETWORKDAYS(O441,O441,JoursFeries),MEDIAN(MOD(O441,1),HFer,HOuv),HOuv))*24,4))))</f>
        <v/>
      </c>
      <c r="AV441" s="37" t="str">
        <f aca="false">IF(AO441&lt;&gt;1,"",IF(OR(P441="",Q441=""),"",IF(Q441&lt;P441,"",ROUND(((NETWORKDAYS(P441,Q441,JoursFeries)-1)*(HFer-HOuv)+IF(NETWORKDAYS(Q441,Q441,JoursFeries),MEDIAN(MOD(Q441,1),HFer,HOuv),HFer)-IF(NETWORKDAYS(P441,P441,JoursFeries),MEDIAN(MOD(P441,1),HFer,HOuv),HOuv))*24,4))))</f>
        <v/>
      </c>
      <c r="AW441" s="37" t="str">
        <f aca="false">IF(AO441&lt;&gt;1,"",IFERROR(ROUND(IF(OR(P441="",R441=""),"",IF(R441&lt;P441,"",ROUND(((NETWORKDAYS(P441,R441,JoursFeries)-1)*(HFer-HOuv)+IF(NETWORKDAYS(R441,R441,JoursFeries),MEDIAN(MOD(R441,1),HFer,HOuv),HFer)-IF(NETWORKDAYS(P441,P441,JoursFeries),MEDIAN(MOD(P441,1),HFer,HOuv),HOuv))*24,4)))/HJour,4),""))</f>
        <v/>
      </c>
      <c r="AX441" s="37" t="str">
        <f aca="false">IF(AO441&lt;&gt;1,"",IFERROR(ROUND(IF(OR(P441="",S441=""),"",IF(S441&lt;P441,"",ROUND(((NETWORKDAYS(P441,S441,JoursFeries)-1)*(HFer-HOuv)+IF(NETWORKDAYS(S441,S441,JoursFeries),MEDIAN(MOD(S441,1),HFer,HOuv),HFer)-IF(NETWORKDAYS(P441,P441,JoursFeries),MEDIAN(MOD(P441,1),HFer,HOuv),HOuv))*24,4)))/HJour,4),""))</f>
        <v/>
      </c>
      <c r="AY441" s="36" t="str">
        <f aca="false">IF(OR(AO441&lt;&gt;1,AR441=""),"",INDEX(SLA_PEC,AR441))</f>
        <v/>
      </c>
      <c r="AZ441" s="35" t="str">
        <f aca="false">IF(OR(AV441="",AY441=""),"",IF(AV441&lt;=AY441,1,0))</f>
        <v/>
      </c>
      <c r="BA441" s="36" t="str">
        <f aca="false">IF(OR(AO441&lt;&gt;1,AR441=""),"",INDEX(SLA_RES,AR441))</f>
        <v/>
      </c>
      <c r="BB441" s="35" t="str">
        <f aca="false">IF(OR(AW441="",BA441=""),"",IF(AW441&lt;=BA441,1,0))</f>
        <v/>
      </c>
      <c r="BC441" s="38" t="str">
        <f aca="false">IF(OR(BA441="",P441=""),"",WORKDAY(INT(P441),BA441,JoursFeries)+MOD(P441,1))</f>
        <v/>
      </c>
      <c r="BD441" s="39" t="str">
        <f aca="false">IF(AO441&lt;&gt;1,"",IF(OR(AB441&lt;&gt;"",AD441&lt;&gt;""),4,IF(U441&lt;&gt;"",3,IF(T441&lt;&gt;"",2,1))))</f>
        <v/>
      </c>
      <c r="BE441" s="39" t="str">
        <f aca="false">IF(OR(AO441&lt;&gt;1,AR441=""),"",INDEX(NIV_REQ,AR441))</f>
        <v/>
      </c>
      <c r="BF441" s="39" t="str">
        <f aca="false">IF(BE441="","",MAX(BE441,IF(OR(K441="Oui",Z441="Oui"),4,1)))</f>
        <v/>
      </c>
      <c r="BG441" s="35" t="str">
        <f aca="false">IF(OR(BF441="",BD441=""),"",IF(BD441&gt;=BF441,1,0))</f>
        <v/>
      </c>
      <c r="BH441" s="38" t="str">
        <f aca="false">IF(BE441="","",IF(BE441&lt;2,"",IF(BE441=2,IF(AND(T441="",U441=""),"",MIN(T441,U441)),IF(U441="","",U441))))</f>
        <v/>
      </c>
      <c r="BI441" s="37" t="str">
        <f aca="false">IF(BH441="","",IF(OR(O441="",BH441=""),"",IF(BH441&lt;O441,"",ROUND(((NETWORKDAYS(O441,BH441,JoursFeries)-1)*(HFer-HOuv)+IF(NETWORKDAYS(BH441,BH441,JoursFeries),MEDIAN(MOD(BH441,1),HFer,HOuv),HFer)-IF(NETWORKDAYS(O441,O441,JoursFeries),MEDIAN(MOD(O441,1),HFer,HOuv),HOuv))*24,4))))</f>
        <v/>
      </c>
      <c r="BJ441" s="35" t="str">
        <f aca="false">IF(OR(BI441="",AR441=""),"",IF(BI441&lt;=INDEX(DELAI_ESC,AR441),1,0))</f>
        <v/>
      </c>
      <c r="BK441" s="38" t="str">
        <f aca="false">IF(AO441&lt;&gt;1,"",IF(AND(T441="",U441=""),"",MIN(T441,U441)))</f>
        <v/>
      </c>
      <c r="BL441" s="37" t="str">
        <f aca="false">IF(OR(BK441="",R441=""),"",IFERROR(ROUND(IF(OR(BK441="",R441=""),"",IF(R441&lt;BK441,"",ROUND(((NETWORKDAYS(BK441,R441,JoursFeries)-1)*(HFer-HOuv)+IF(NETWORKDAYS(R441,R441,JoursFeries),MEDIAN(MOD(R441,1),HFer,HOuv),HFer)-IF(NETWORKDAYS(BK441,BK441,JoursFeries),MEDIAN(MOD(BK441,1),HFer,HOuv),HOuv))*24,4)))/HJour,4),""))</f>
        <v/>
      </c>
      <c r="BM441" s="35" t="str">
        <f aca="false">IF(OR(AO441&lt;&gt;1,R441=""),"",IF(BD441=1,1,0))</f>
        <v/>
      </c>
      <c r="BN441" s="35" t="str">
        <f aca="false">IF(AO441&lt;&gt;1,"",IF(W441="Oui",1,0))</f>
        <v/>
      </c>
      <c r="BO441" s="35" t="str">
        <f aca="false">IF(AO441&lt;&gt;1,"",IF(X441&lt;&gt;"",1,0))</f>
        <v/>
      </c>
      <c r="BP441" s="35" t="str">
        <f aca="false">IF(AO441&lt;&gt;1,"",IF(Y441="Oui",1,0))</f>
        <v/>
      </c>
      <c r="BQ441" s="35" t="str">
        <f aca="true">IF(OR(AO441&lt;&gt;1,Z441&lt;&gt;"Oui"),"",IF(AB441="",IF(AND(AA441&lt;&gt;"",NOW()&gt;AA441),0,""),IF(AA441="","",IF(AB441&lt;=AA441,1,0))))</f>
        <v/>
      </c>
      <c r="BR441" s="38" t="str">
        <f aca="false">IF(OR(AO441&lt;&gt;1,K441&lt;&gt;"Oui",O441=""),"",IF(AC441="",O441+DORA_H_DET/24,IF(AC441-O441&lt;=DORA_H_DET/24,MIN(AC441+DORA_H_CLA/24,O441+DORA_H_DET/24),AC441+DORA_H_CLA/24)))</f>
        <v/>
      </c>
      <c r="BS441" s="35" t="str">
        <f aca="true">IF(BR441="","",IF(AD441="",IF(NOW()&gt;BR441,0,""),IF(AD441&lt;=BR441,1,0)))</f>
        <v/>
      </c>
      <c r="BT441" s="35" t="str">
        <f aca="true">IF(OR(BR441="",AD441=""),"",IF(AE441="",IF(NOW()&gt;AD441+DORA_H_INT/24,0,""),IF(AE441&lt;=AD441+DORA_H_INT/24,1,0)))</f>
        <v/>
      </c>
      <c r="BU441" s="35" t="str">
        <f aca="true">IF(OR(BR441="",AE441=""),"",IF(AF441="",IF(NOW()&gt;EDATE(AE441,DORA_M_FIN)+1,0,""),IF(AF441&lt;=EDATE(AE441,DORA_M_FIN),1,0)))</f>
        <v/>
      </c>
      <c r="BV441" s="35" t="str">
        <f aca="false">IF(BR441="","",IF(COUNT(BS441:BU441)=0,"",MIN(BS441:BU441)))</f>
        <v/>
      </c>
      <c r="BW441" s="40" t="str">
        <f aca="false">IF(AQ441&lt;&gt;1,"",IF(AND(AG441="",AH441=""),"",N(AG441)-N(AH441)))</f>
        <v/>
      </c>
      <c r="BX441" s="35" t="str">
        <f aca="true">IF(OR(AQ441&lt;&gt;1,AI441&lt;&gt;"Oui",AJ441=""),"",IF(AK441="",IF(NOW()&gt;AJ441+1,0,""),IF(AK441&lt;=AJ441,1,0)))</f>
        <v/>
      </c>
    </row>
    <row r="442" customFormat="false" ht="15" hidden="false" customHeight="false" outlineLevel="0" collapsed="false">
      <c r="B442" s="29"/>
      <c r="C442" s="29"/>
      <c r="D442" s="29"/>
      <c r="E442" s="29"/>
      <c r="F442" s="29"/>
      <c r="G442" s="29"/>
      <c r="H442" s="29"/>
      <c r="I442" s="29"/>
      <c r="J442" s="29"/>
      <c r="K442" s="29"/>
      <c r="L442" s="29"/>
      <c r="M442" s="29"/>
      <c r="N442" s="30"/>
      <c r="O442" s="30"/>
      <c r="P442" s="30"/>
      <c r="Q442" s="30"/>
      <c r="R442" s="30"/>
      <c r="S442" s="30"/>
      <c r="T442" s="30"/>
      <c r="U442" s="30"/>
      <c r="V442" s="31"/>
      <c r="W442" s="29"/>
      <c r="X442" s="29"/>
      <c r="Y442" s="29"/>
      <c r="Z442" s="29"/>
      <c r="AA442" s="30"/>
      <c r="AB442" s="30"/>
      <c r="AC442" s="30"/>
      <c r="AD442" s="30"/>
      <c r="AE442" s="30"/>
      <c r="AF442" s="32"/>
      <c r="AG442" s="33"/>
      <c r="AH442" s="33"/>
      <c r="AI442" s="29"/>
      <c r="AJ442" s="32"/>
      <c r="AK442" s="32"/>
      <c r="AL442" s="29"/>
      <c r="AN442" s="34" t="str">
        <f aca="false">IF($B442="","",IF(OR(C442="",D442="",E442="",G442="",I442="",J442="",L442="",O442="",P442=""),"Champ obligatoire manquant",IF(OR(AND(N442&lt;&gt;"",N442&gt;O442),O442&gt;P442,AND(Q442&lt;&gt;"",Q442&lt;P442),AND(R442&lt;&gt;"",R442&lt;P442),AND(S442&lt;&gt;"",S442&lt;R442),AND(S442&lt;&gt;"",R442=""),AND(T442&lt;&gt;"",T442&lt;O442),AND(U442&lt;&gt;"",U442&lt;O442)),"Chronologie incohérente",IF(AND(OR(L442="Résolu",L442="Clos"),R442=""),"Date de résolution manquante",IF(AND(L442="Clos",S442=""),"Date de clôture manquante",IF(AND(K442="Oui",AC442=""),"Classification DORA manquante","OK"))))))</f>
        <v/>
      </c>
      <c r="AO442" s="35" t="str">
        <f aca="false">IF($B442="","",IF(AND(C442="Incident",L442&lt;&gt;"Annulé"),1,0))</f>
        <v/>
      </c>
      <c r="AP442" s="35" t="str">
        <f aca="false">IF($B442="","",IF(AND(C442="Quasi-incident",L442&lt;&gt;"Annulé"),1,0))</f>
        <v/>
      </c>
      <c r="AQ442" s="35" t="str">
        <f aca="false">IF($B442="","",AO442+AP442)</f>
        <v/>
      </c>
      <c r="AR442" s="36" t="str">
        <f aca="false">IF(OR($B442="",J442=""),"",IFERROR(VALUE(LEFT(J442,1)),""))</f>
        <v/>
      </c>
      <c r="AS442" s="35" t="str">
        <f aca="false">IF(OR(AO442&lt;&gt;1,G442=""),"",IFERROR(IF(INDEX(L_SrcInterne,MATCH(G442,L_Sources,0))="Oui",1,0),""))</f>
        <v/>
      </c>
      <c r="AT442" s="37" t="str">
        <f aca="false">IF(AO442&lt;&gt;1,"",IFERROR(ROUND(IF(OR(N442="",O442=""),"",IF(O442&lt;N442,"",ROUND(((NETWORKDAYS(N442,O442,JoursFeries)-1)*(HFer-HOuv)+IF(NETWORKDAYS(O442,O442,JoursFeries),MEDIAN(MOD(O442,1),HFer,HOuv),HFer)-IF(NETWORKDAYS(N442,N442,JoursFeries),MEDIAN(MOD(N442,1),HFer,HOuv),HOuv))*24,4)))/HJour,4),""))</f>
        <v/>
      </c>
      <c r="AU442" s="37" t="str">
        <f aca="false">IF(AO442&lt;&gt;1,"",IF(OR(O442="",P442=""),"",IF(P442&lt;O442,"",ROUND(((NETWORKDAYS(O442,P442,JoursFeries)-1)*(HFer-HOuv)+IF(NETWORKDAYS(P442,P442,JoursFeries),MEDIAN(MOD(P442,1),HFer,HOuv),HFer)-IF(NETWORKDAYS(O442,O442,JoursFeries),MEDIAN(MOD(O442,1),HFer,HOuv),HOuv))*24,4))))</f>
        <v/>
      </c>
      <c r="AV442" s="37" t="str">
        <f aca="false">IF(AO442&lt;&gt;1,"",IF(OR(P442="",Q442=""),"",IF(Q442&lt;P442,"",ROUND(((NETWORKDAYS(P442,Q442,JoursFeries)-1)*(HFer-HOuv)+IF(NETWORKDAYS(Q442,Q442,JoursFeries),MEDIAN(MOD(Q442,1),HFer,HOuv),HFer)-IF(NETWORKDAYS(P442,P442,JoursFeries),MEDIAN(MOD(P442,1),HFer,HOuv),HOuv))*24,4))))</f>
        <v/>
      </c>
      <c r="AW442" s="37" t="str">
        <f aca="false">IF(AO442&lt;&gt;1,"",IFERROR(ROUND(IF(OR(P442="",R442=""),"",IF(R442&lt;P442,"",ROUND(((NETWORKDAYS(P442,R442,JoursFeries)-1)*(HFer-HOuv)+IF(NETWORKDAYS(R442,R442,JoursFeries),MEDIAN(MOD(R442,1),HFer,HOuv),HFer)-IF(NETWORKDAYS(P442,P442,JoursFeries),MEDIAN(MOD(P442,1),HFer,HOuv),HOuv))*24,4)))/HJour,4),""))</f>
        <v/>
      </c>
      <c r="AX442" s="37" t="str">
        <f aca="false">IF(AO442&lt;&gt;1,"",IFERROR(ROUND(IF(OR(P442="",S442=""),"",IF(S442&lt;P442,"",ROUND(((NETWORKDAYS(P442,S442,JoursFeries)-1)*(HFer-HOuv)+IF(NETWORKDAYS(S442,S442,JoursFeries),MEDIAN(MOD(S442,1),HFer,HOuv),HFer)-IF(NETWORKDAYS(P442,P442,JoursFeries),MEDIAN(MOD(P442,1),HFer,HOuv),HOuv))*24,4)))/HJour,4),""))</f>
        <v/>
      </c>
      <c r="AY442" s="36" t="str">
        <f aca="false">IF(OR(AO442&lt;&gt;1,AR442=""),"",INDEX(SLA_PEC,AR442))</f>
        <v/>
      </c>
      <c r="AZ442" s="35" t="str">
        <f aca="false">IF(OR(AV442="",AY442=""),"",IF(AV442&lt;=AY442,1,0))</f>
        <v/>
      </c>
      <c r="BA442" s="36" t="str">
        <f aca="false">IF(OR(AO442&lt;&gt;1,AR442=""),"",INDEX(SLA_RES,AR442))</f>
        <v/>
      </c>
      <c r="BB442" s="35" t="str">
        <f aca="false">IF(OR(AW442="",BA442=""),"",IF(AW442&lt;=BA442,1,0))</f>
        <v/>
      </c>
      <c r="BC442" s="38" t="str">
        <f aca="false">IF(OR(BA442="",P442=""),"",WORKDAY(INT(P442),BA442,JoursFeries)+MOD(P442,1))</f>
        <v/>
      </c>
      <c r="BD442" s="39" t="str">
        <f aca="false">IF(AO442&lt;&gt;1,"",IF(OR(AB442&lt;&gt;"",AD442&lt;&gt;""),4,IF(U442&lt;&gt;"",3,IF(T442&lt;&gt;"",2,1))))</f>
        <v/>
      </c>
      <c r="BE442" s="39" t="str">
        <f aca="false">IF(OR(AO442&lt;&gt;1,AR442=""),"",INDEX(NIV_REQ,AR442))</f>
        <v/>
      </c>
      <c r="BF442" s="39" t="str">
        <f aca="false">IF(BE442="","",MAX(BE442,IF(OR(K442="Oui",Z442="Oui"),4,1)))</f>
        <v/>
      </c>
      <c r="BG442" s="35" t="str">
        <f aca="false">IF(OR(BF442="",BD442=""),"",IF(BD442&gt;=BF442,1,0))</f>
        <v/>
      </c>
      <c r="BH442" s="38" t="str">
        <f aca="false">IF(BE442="","",IF(BE442&lt;2,"",IF(BE442=2,IF(AND(T442="",U442=""),"",MIN(T442,U442)),IF(U442="","",U442))))</f>
        <v/>
      </c>
      <c r="BI442" s="37" t="str">
        <f aca="false">IF(BH442="","",IF(OR(O442="",BH442=""),"",IF(BH442&lt;O442,"",ROUND(((NETWORKDAYS(O442,BH442,JoursFeries)-1)*(HFer-HOuv)+IF(NETWORKDAYS(BH442,BH442,JoursFeries),MEDIAN(MOD(BH442,1),HFer,HOuv),HFer)-IF(NETWORKDAYS(O442,O442,JoursFeries),MEDIAN(MOD(O442,1),HFer,HOuv),HOuv))*24,4))))</f>
        <v/>
      </c>
      <c r="BJ442" s="35" t="str">
        <f aca="false">IF(OR(BI442="",AR442=""),"",IF(BI442&lt;=INDEX(DELAI_ESC,AR442),1,0))</f>
        <v/>
      </c>
      <c r="BK442" s="38" t="str">
        <f aca="false">IF(AO442&lt;&gt;1,"",IF(AND(T442="",U442=""),"",MIN(T442,U442)))</f>
        <v/>
      </c>
      <c r="BL442" s="37" t="str">
        <f aca="false">IF(OR(BK442="",R442=""),"",IFERROR(ROUND(IF(OR(BK442="",R442=""),"",IF(R442&lt;BK442,"",ROUND(((NETWORKDAYS(BK442,R442,JoursFeries)-1)*(HFer-HOuv)+IF(NETWORKDAYS(R442,R442,JoursFeries),MEDIAN(MOD(R442,1),HFer,HOuv),HFer)-IF(NETWORKDAYS(BK442,BK442,JoursFeries),MEDIAN(MOD(BK442,1),HFer,HOuv),HOuv))*24,4)))/HJour,4),""))</f>
        <v/>
      </c>
      <c r="BM442" s="35" t="str">
        <f aca="false">IF(OR(AO442&lt;&gt;1,R442=""),"",IF(BD442=1,1,0))</f>
        <v/>
      </c>
      <c r="BN442" s="35" t="str">
        <f aca="false">IF(AO442&lt;&gt;1,"",IF(W442="Oui",1,0))</f>
        <v/>
      </c>
      <c r="BO442" s="35" t="str">
        <f aca="false">IF(AO442&lt;&gt;1,"",IF(X442&lt;&gt;"",1,0))</f>
        <v/>
      </c>
      <c r="BP442" s="35" t="str">
        <f aca="false">IF(AO442&lt;&gt;1,"",IF(Y442="Oui",1,0))</f>
        <v/>
      </c>
      <c r="BQ442" s="35" t="str">
        <f aca="true">IF(OR(AO442&lt;&gt;1,Z442&lt;&gt;"Oui"),"",IF(AB442="",IF(AND(AA442&lt;&gt;"",NOW()&gt;AA442),0,""),IF(AA442="","",IF(AB442&lt;=AA442,1,0))))</f>
        <v/>
      </c>
      <c r="BR442" s="38" t="str">
        <f aca="false">IF(OR(AO442&lt;&gt;1,K442&lt;&gt;"Oui",O442=""),"",IF(AC442="",O442+DORA_H_DET/24,IF(AC442-O442&lt;=DORA_H_DET/24,MIN(AC442+DORA_H_CLA/24,O442+DORA_H_DET/24),AC442+DORA_H_CLA/24)))</f>
        <v/>
      </c>
      <c r="BS442" s="35" t="str">
        <f aca="true">IF(BR442="","",IF(AD442="",IF(NOW()&gt;BR442,0,""),IF(AD442&lt;=BR442,1,0)))</f>
        <v/>
      </c>
      <c r="BT442" s="35" t="str">
        <f aca="true">IF(OR(BR442="",AD442=""),"",IF(AE442="",IF(NOW()&gt;AD442+DORA_H_INT/24,0,""),IF(AE442&lt;=AD442+DORA_H_INT/24,1,0)))</f>
        <v/>
      </c>
      <c r="BU442" s="35" t="str">
        <f aca="true">IF(OR(BR442="",AE442=""),"",IF(AF442="",IF(NOW()&gt;EDATE(AE442,DORA_M_FIN)+1,0,""),IF(AF442&lt;=EDATE(AE442,DORA_M_FIN),1,0)))</f>
        <v/>
      </c>
      <c r="BV442" s="35" t="str">
        <f aca="false">IF(BR442="","",IF(COUNT(BS442:BU442)=0,"",MIN(BS442:BU442)))</f>
        <v/>
      </c>
      <c r="BW442" s="40" t="str">
        <f aca="false">IF(AQ442&lt;&gt;1,"",IF(AND(AG442="",AH442=""),"",N(AG442)-N(AH442)))</f>
        <v/>
      </c>
      <c r="BX442" s="35" t="str">
        <f aca="true">IF(OR(AQ442&lt;&gt;1,AI442&lt;&gt;"Oui",AJ442=""),"",IF(AK442="",IF(NOW()&gt;AJ442+1,0,""),IF(AK442&lt;=AJ442,1,0)))</f>
        <v/>
      </c>
    </row>
    <row r="443" customFormat="false" ht="15" hidden="false" customHeight="false" outlineLevel="0" collapsed="false">
      <c r="B443" s="29"/>
      <c r="C443" s="29"/>
      <c r="D443" s="29"/>
      <c r="E443" s="29"/>
      <c r="F443" s="29"/>
      <c r="G443" s="29"/>
      <c r="H443" s="29"/>
      <c r="I443" s="29"/>
      <c r="J443" s="29"/>
      <c r="K443" s="29"/>
      <c r="L443" s="29"/>
      <c r="M443" s="29"/>
      <c r="N443" s="30"/>
      <c r="O443" s="30"/>
      <c r="P443" s="30"/>
      <c r="Q443" s="30"/>
      <c r="R443" s="30"/>
      <c r="S443" s="30"/>
      <c r="T443" s="30"/>
      <c r="U443" s="30"/>
      <c r="V443" s="31"/>
      <c r="W443" s="29"/>
      <c r="X443" s="29"/>
      <c r="Y443" s="29"/>
      <c r="Z443" s="29"/>
      <c r="AA443" s="30"/>
      <c r="AB443" s="30"/>
      <c r="AC443" s="30"/>
      <c r="AD443" s="30"/>
      <c r="AE443" s="30"/>
      <c r="AF443" s="32"/>
      <c r="AG443" s="33"/>
      <c r="AH443" s="33"/>
      <c r="AI443" s="29"/>
      <c r="AJ443" s="32"/>
      <c r="AK443" s="32"/>
      <c r="AL443" s="29"/>
      <c r="AN443" s="34" t="str">
        <f aca="false">IF($B443="","",IF(OR(C443="",D443="",E443="",G443="",I443="",J443="",L443="",O443="",P443=""),"Champ obligatoire manquant",IF(OR(AND(N443&lt;&gt;"",N443&gt;O443),O443&gt;P443,AND(Q443&lt;&gt;"",Q443&lt;P443),AND(R443&lt;&gt;"",R443&lt;P443),AND(S443&lt;&gt;"",S443&lt;R443),AND(S443&lt;&gt;"",R443=""),AND(T443&lt;&gt;"",T443&lt;O443),AND(U443&lt;&gt;"",U443&lt;O443)),"Chronologie incohérente",IF(AND(OR(L443="Résolu",L443="Clos"),R443=""),"Date de résolution manquante",IF(AND(L443="Clos",S443=""),"Date de clôture manquante",IF(AND(K443="Oui",AC443=""),"Classification DORA manquante","OK"))))))</f>
        <v/>
      </c>
      <c r="AO443" s="35" t="str">
        <f aca="false">IF($B443="","",IF(AND(C443="Incident",L443&lt;&gt;"Annulé"),1,0))</f>
        <v/>
      </c>
      <c r="AP443" s="35" t="str">
        <f aca="false">IF($B443="","",IF(AND(C443="Quasi-incident",L443&lt;&gt;"Annulé"),1,0))</f>
        <v/>
      </c>
      <c r="AQ443" s="35" t="str">
        <f aca="false">IF($B443="","",AO443+AP443)</f>
        <v/>
      </c>
      <c r="AR443" s="36" t="str">
        <f aca="false">IF(OR($B443="",J443=""),"",IFERROR(VALUE(LEFT(J443,1)),""))</f>
        <v/>
      </c>
      <c r="AS443" s="35" t="str">
        <f aca="false">IF(OR(AO443&lt;&gt;1,G443=""),"",IFERROR(IF(INDEX(L_SrcInterne,MATCH(G443,L_Sources,0))="Oui",1,0),""))</f>
        <v/>
      </c>
      <c r="AT443" s="37" t="str">
        <f aca="false">IF(AO443&lt;&gt;1,"",IFERROR(ROUND(IF(OR(N443="",O443=""),"",IF(O443&lt;N443,"",ROUND(((NETWORKDAYS(N443,O443,JoursFeries)-1)*(HFer-HOuv)+IF(NETWORKDAYS(O443,O443,JoursFeries),MEDIAN(MOD(O443,1),HFer,HOuv),HFer)-IF(NETWORKDAYS(N443,N443,JoursFeries),MEDIAN(MOD(N443,1),HFer,HOuv),HOuv))*24,4)))/HJour,4),""))</f>
        <v/>
      </c>
      <c r="AU443" s="37" t="str">
        <f aca="false">IF(AO443&lt;&gt;1,"",IF(OR(O443="",P443=""),"",IF(P443&lt;O443,"",ROUND(((NETWORKDAYS(O443,P443,JoursFeries)-1)*(HFer-HOuv)+IF(NETWORKDAYS(P443,P443,JoursFeries),MEDIAN(MOD(P443,1),HFer,HOuv),HFer)-IF(NETWORKDAYS(O443,O443,JoursFeries),MEDIAN(MOD(O443,1),HFer,HOuv),HOuv))*24,4))))</f>
        <v/>
      </c>
      <c r="AV443" s="37" t="str">
        <f aca="false">IF(AO443&lt;&gt;1,"",IF(OR(P443="",Q443=""),"",IF(Q443&lt;P443,"",ROUND(((NETWORKDAYS(P443,Q443,JoursFeries)-1)*(HFer-HOuv)+IF(NETWORKDAYS(Q443,Q443,JoursFeries),MEDIAN(MOD(Q443,1),HFer,HOuv),HFer)-IF(NETWORKDAYS(P443,P443,JoursFeries),MEDIAN(MOD(P443,1),HFer,HOuv),HOuv))*24,4))))</f>
        <v/>
      </c>
      <c r="AW443" s="37" t="str">
        <f aca="false">IF(AO443&lt;&gt;1,"",IFERROR(ROUND(IF(OR(P443="",R443=""),"",IF(R443&lt;P443,"",ROUND(((NETWORKDAYS(P443,R443,JoursFeries)-1)*(HFer-HOuv)+IF(NETWORKDAYS(R443,R443,JoursFeries),MEDIAN(MOD(R443,1),HFer,HOuv),HFer)-IF(NETWORKDAYS(P443,P443,JoursFeries),MEDIAN(MOD(P443,1),HFer,HOuv),HOuv))*24,4)))/HJour,4),""))</f>
        <v/>
      </c>
      <c r="AX443" s="37" t="str">
        <f aca="false">IF(AO443&lt;&gt;1,"",IFERROR(ROUND(IF(OR(P443="",S443=""),"",IF(S443&lt;P443,"",ROUND(((NETWORKDAYS(P443,S443,JoursFeries)-1)*(HFer-HOuv)+IF(NETWORKDAYS(S443,S443,JoursFeries),MEDIAN(MOD(S443,1),HFer,HOuv),HFer)-IF(NETWORKDAYS(P443,P443,JoursFeries),MEDIAN(MOD(P443,1),HFer,HOuv),HOuv))*24,4)))/HJour,4),""))</f>
        <v/>
      </c>
      <c r="AY443" s="36" t="str">
        <f aca="false">IF(OR(AO443&lt;&gt;1,AR443=""),"",INDEX(SLA_PEC,AR443))</f>
        <v/>
      </c>
      <c r="AZ443" s="35" t="str">
        <f aca="false">IF(OR(AV443="",AY443=""),"",IF(AV443&lt;=AY443,1,0))</f>
        <v/>
      </c>
      <c r="BA443" s="36" t="str">
        <f aca="false">IF(OR(AO443&lt;&gt;1,AR443=""),"",INDEX(SLA_RES,AR443))</f>
        <v/>
      </c>
      <c r="BB443" s="35" t="str">
        <f aca="false">IF(OR(AW443="",BA443=""),"",IF(AW443&lt;=BA443,1,0))</f>
        <v/>
      </c>
      <c r="BC443" s="38" t="str">
        <f aca="false">IF(OR(BA443="",P443=""),"",WORKDAY(INT(P443),BA443,JoursFeries)+MOD(P443,1))</f>
        <v/>
      </c>
      <c r="BD443" s="39" t="str">
        <f aca="false">IF(AO443&lt;&gt;1,"",IF(OR(AB443&lt;&gt;"",AD443&lt;&gt;""),4,IF(U443&lt;&gt;"",3,IF(T443&lt;&gt;"",2,1))))</f>
        <v/>
      </c>
      <c r="BE443" s="39" t="str">
        <f aca="false">IF(OR(AO443&lt;&gt;1,AR443=""),"",INDEX(NIV_REQ,AR443))</f>
        <v/>
      </c>
      <c r="BF443" s="39" t="str">
        <f aca="false">IF(BE443="","",MAX(BE443,IF(OR(K443="Oui",Z443="Oui"),4,1)))</f>
        <v/>
      </c>
      <c r="BG443" s="35" t="str">
        <f aca="false">IF(OR(BF443="",BD443=""),"",IF(BD443&gt;=BF443,1,0))</f>
        <v/>
      </c>
      <c r="BH443" s="38" t="str">
        <f aca="false">IF(BE443="","",IF(BE443&lt;2,"",IF(BE443=2,IF(AND(T443="",U443=""),"",MIN(T443,U443)),IF(U443="","",U443))))</f>
        <v/>
      </c>
      <c r="BI443" s="37" t="str">
        <f aca="false">IF(BH443="","",IF(OR(O443="",BH443=""),"",IF(BH443&lt;O443,"",ROUND(((NETWORKDAYS(O443,BH443,JoursFeries)-1)*(HFer-HOuv)+IF(NETWORKDAYS(BH443,BH443,JoursFeries),MEDIAN(MOD(BH443,1),HFer,HOuv),HFer)-IF(NETWORKDAYS(O443,O443,JoursFeries),MEDIAN(MOD(O443,1),HFer,HOuv),HOuv))*24,4))))</f>
        <v/>
      </c>
      <c r="BJ443" s="35" t="str">
        <f aca="false">IF(OR(BI443="",AR443=""),"",IF(BI443&lt;=INDEX(DELAI_ESC,AR443),1,0))</f>
        <v/>
      </c>
      <c r="BK443" s="38" t="str">
        <f aca="false">IF(AO443&lt;&gt;1,"",IF(AND(T443="",U443=""),"",MIN(T443,U443)))</f>
        <v/>
      </c>
      <c r="BL443" s="37" t="str">
        <f aca="false">IF(OR(BK443="",R443=""),"",IFERROR(ROUND(IF(OR(BK443="",R443=""),"",IF(R443&lt;BK443,"",ROUND(((NETWORKDAYS(BK443,R443,JoursFeries)-1)*(HFer-HOuv)+IF(NETWORKDAYS(R443,R443,JoursFeries),MEDIAN(MOD(R443,1),HFer,HOuv),HFer)-IF(NETWORKDAYS(BK443,BK443,JoursFeries),MEDIAN(MOD(BK443,1),HFer,HOuv),HOuv))*24,4)))/HJour,4),""))</f>
        <v/>
      </c>
      <c r="BM443" s="35" t="str">
        <f aca="false">IF(OR(AO443&lt;&gt;1,R443=""),"",IF(BD443=1,1,0))</f>
        <v/>
      </c>
      <c r="BN443" s="35" t="str">
        <f aca="false">IF(AO443&lt;&gt;1,"",IF(W443="Oui",1,0))</f>
        <v/>
      </c>
      <c r="BO443" s="35" t="str">
        <f aca="false">IF(AO443&lt;&gt;1,"",IF(X443&lt;&gt;"",1,0))</f>
        <v/>
      </c>
      <c r="BP443" s="35" t="str">
        <f aca="false">IF(AO443&lt;&gt;1,"",IF(Y443="Oui",1,0))</f>
        <v/>
      </c>
      <c r="BQ443" s="35" t="str">
        <f aca="true">IF(OR(AO443&lt;&gt;1,Z443&lt;&gt;"Oui"),"",IF(AB443="",IF(AND(AA443&lt;&gt;"",NOW()&gt;AA443),0,""),IF(AA443="","",IF(AB443&lt;=AA443,1,0))))</f>
        <v/>
      </c>
      <c r="BR443" s="38" t="str">
        <f aca="false">IF(OR(AO443&lt;&gt;1,K443&lt;&gt;"Oui",O443=""),"",IF(AC443="",O443+DORA_H_DET/24,IF(AC443-O443&lt;=DORA_H_DET/24,MIN(AC443+DORA_H_CLA/24,O443+DORA_H_DET/24),AC443+DORA_H_CLA/24)))</f>
        <v/>
      </c>
      <c r="BS443" s="35" t="str">
        <f aca="true">IF(BR443="","",IF(AD443="",IF(NOW()&gt;BR443,0,""),IF(AD443&lt;=BR443,1,0)))</f>
        <v/>
      </c>
      <c r="BT443" s="35" t="str">
        <f aca="true">IF(OR(BR443="",AD443=""),"",IF(AE443="",IF(NOW()&gt;AD443+DORA_H_INT/24,0,""),IF(AE443&lt;=AD443+DORA_H_INT/24,1,0)))</f>
        <v/>
      </c>
      <c r="BU443" s="35" t="str">
        <f aca="true">IF(OR(BR443="",AE443=""),"",IF(AF443="",IF(NOW()&gt;EDATE(AE443,DORA_M_FIN)+1,0,""),IF(AF443&lt;=EDATE(AE443,DORA_M_FIN),1,0)))</f>
        <v/>
      </c>
      <c r="BV443" s="35" t="str">
        <f aca="false">IF(BR443="","",IF(COUNT(BS443:BU443)=0,"",MIN(BS443:BU443)))</f>
        <v/>
      </c>
      <c r="BW443" s="40" t="str">
        <f aca="false">IF(AQ443&lt;&gt;1,"",IF(AND(AG443="",AH443=""),"",N(AG443)-N(AH443)))</f>
        <v/>
      </c>
      <c r="BX443" s="35" t="str">
        <f aca="true">IF(OR(AQ443&lt;&gt;1,AI443&lt;&gt;"Oui",AJ443=""),"",IF(AK443="",IF(NOW()&gt;AJ443+1,0,""),IF(AK443&lt;=AJ443,1,0)))</f>
        <v/>
      </c>
    </row>
    <row r="444" customFormat="false" ht="15" hidden="false" customHeight="false" outlineLevel="0" collapsed="false">
      <c r="B444" s="29"/>
      <c r="C444" s="29"/>
      <c r="D444" s="29"/>
      <c r="E444" s="29"/>
      <c r="F444" s="29"/>
      <c r="G444" s="29"/>
      <c r="H444" s="29"/>
      <c r="I444" s="29"/>
      <c r="J444" s="29"/>
      <c r="K444" s="29"/>
      <c r="L444" s="29"/>
      <c r="M444" s="29"/>
      <c r="N444" s="30"/>
      <c r="O444" s="30"/>
      <c r="P444" s="30"/>
      <c r="Q444" s="30"/>
      <c r="R444" s="30"/>
      <c r="S444" s="30"/>
      <c r="T444" s="30"/>
      <c r="U444" s="30"/>
      <c r="V444" s="31"/>
      <c r="W444" s="29"/>
      <c r="X444" s="29"/>
      <c r="Y444" s="29"/>
      <c r="Z444" s="29"/>
      <c r="AA444" s="30"/>
      <c r="AB444" s="30"/>
      <c r="AC444" s="30"/>
      <c r="AD444" s="30"/>
      <c r="AE444" s="30"/>
      <c r="AF444" s="32"/>
      <c r="AG444" s="33"/>
      <c r="AH444" s="33"/>
      <c r="AI444" s="29"/>
      <c r="AJ444" s="32"/>
      <c r="AK444" s="32"/>
      <c r="AL444" s="29"/>
      <c r="AN444" s="34" t="str">
        <f aca="false">IF($B444="","",IF(OR(C444="",D444="",E444="",G444="",I444="",J444="",L444="",O444="",P444=""),"Champ obligatoire manquant",IF(OR(AND(N444&lt;&gt;"",N444&gt;O444),O444&gt;P444,AND(Q444&lt;&gt;"",Q444&lt;P444),AND(R444&lt;&gt;"",R444&lt;P444),AND(S444&lt;&gt;"",S444&lt;R444),AND(S444&lt;&gt;"",R444=""),AND(T444&lt;&gt;"",T444&lt;O444),AND(U444&lt;&gt;"",U444&lt;O444)),"Chronologie incohérente",IF(AND(OR(L444="Résolu",L444="Clos"),R444=""),"Date de résolution manquante",IF(AND(L444="Clos",S444=""),"Date de clôture manquante",IF(AND(K444="Oui",AC444=""),"Classification DORA manquante","OK"))))))</f>
        <v/>
      </c>
      <c r="AO444" s="35" t="str">
        <f aca="false">IF($B444="","",IF(AND(C444="Incident",L444&lt;&gt;"Annulé"),1,0))</f>
        <v/>
      </c>
      <c r="AP444" s="35" t="str">
        <f aca="false">IF($B444="","",IF(AND(C444="Quasi-incident",L444&lt;&gt;"Annulé"),1,0))</f>
        <v/>
      </c>
      <c r="AQ444" s="35" t="str">
        <f aca="false">IF($B444="","",AO444+AP444)</f>
        <v/>
      </c>
      <c r="AR444" s="36" t="str">
        <f aca="false">IF(OR($B444="",J444=""),"",IFERROR(VALUE(LEFT(J444,1)),""))</f>
        <v/>
      </c>
      <c r="AS444" s="35" t="str">
        <f aca="false">IF(OR(AO444&lt;&gt;1,G444=""),"",IFERROR(IF(INDEX(L_SrcInterne,MATCH(G444,L_Sources,0))="Oui",1,0),""))</f>
        <v/>
      </c>
      <c r="AT444" s="37" t="str">
        <f aca="false">IF(AO444&lt;&gt;1,"",IFERROR(ROUND(IF(OR(N444="",O444=""),"",IF(O444&lt;N444,"",ROUND(((NETWORKDAYS(N444,O444,JoursFeries)-1)*(HFer-HOuv)+IF(NETWORKDAYS(O444,O444,JoursFeries),MEDIAN(MOD(O444,1),HFer,HOuv),HFer)-IF(NETWORKDAYS(N444,N444,JoursFeries),MEDIAN(MOD(N444,1),HFer,HOuv),HOuv))*24,4)))/HJour,4),""))</f>
        <v/>
      </c>
      <c r="AU444" s="37" t="str">
        <f aca="false">IF(AO444&lt;&gt;1,"",IF(OR(O444="",P444=""),"",IF(P444&lt;O444,"",ROUND(((NETWORKDAYS(O444,P444,JoursFeries)-1)*(HFer-HOuv)+IF(NETWORKDAYS(P444,P444,JoursFeries),MEDIAN(MOD(P444,1),HFer,HOuv),HFer)-IF(NETWORKDAYS(O444,O444,JoursFeries),MEDIAN(MOD(O444,1),HFer,HOuv),HOuv))*24,4))))</f>
        <v/>
      </c>
      <c r="AV444" s="37" t="str">
        <f aca="false">IF(AO444&lt;&gt;1,"",IF(OR(P444="",Q444=""),"",IF(Q444&lt;P444,"",ROUND(((NETWORKDAYS(P444,Q444,JoursFeries)-1)*(HFer-HOuv)+IF(NETWORKDAYS(Q444,Q444,JoursFeries),MEDIAN(MOD(Q444,1),HFer,HOuv),HFer)-IF(NETWORKDAYS(P444,P444,JoursFeries),MEDIAN(MOD(P444,1),HFer,HOuv),HOuv))*24,4))))</f>
        <v/>
      </c>
      <c r="AW444" s="37" t="str">
        <f aca="false">IF(AO444&lt;&gt;1,"",IFERROR(ROUND(IF(OR(P444="",R444=""),"",IF(R444&lt;P444,"",ROUND(((NETWORKDAYS(P444,R444,JoursFeries)-1)*(HFer-HOuv)+IF(NETWORKDAYS(R444,R444,JoursFeries),MEDIAN(MOD(R444,1),HFer,HOuv),HFer)-IF(NETWORKDAYS(P444,P444,JoursFeries),MEDIAN(MOD(P444,1),HFer,HOuv),HOuv))*24,4)))/HJour,4),""))</f>
        <v/>
      </c>
      <c r="AX444" s="37" t="str">
        <f aca="false">IF(AO444&lt;&gt;1,"",IFERROR(ROUND(IF(OR(P444="",S444=""),"",IF(S444&lt;P444,"",ROUND(((NETWORKDAYS(P444,S444,JoursFeries)-1)*(HFer-HOuv)+IF(NETWORKDAYS(S444,S444,JoursFeries),MEDIAN(MOD(S444,1),HFer,HOuv),HFer)-IF(NETWORKDAYS(P444,P444,JoursFeries),MEDIAN(MOD(P444,1),HFer,HOuv),HOuv))*24,4)))/HJour,4),""))</f>
        <v/>
      </c>
      <c r="AY444" s="36" t="str">
        <f aca="false">IF(OR(AO444&lt;&gt;1,AR444=""),"",INDEX(SLA_PEC,AR444))</f>
        <v/>
      </c>
      <c r="AZ444" s="35" t="str">
        <f aca="false">IF(OR(AV444="",AY444=""),"",IF(AV444&lt;=AY444,1,0))</f>
        <v/>
      </c>
      <c r="BA444" s="36" t="str">
        <f aca="false">IF(OR(AO444&lt;&gt;1,AR444=""),"",INDEX(SLA_RES,AR444))</f>
        <v/>
      </c>
      <c r="BB444" s="35" t="str">
        <f aca="false">IF(OR(AW444="",BA444=""),"",IF(AW444&lt;=BA444,1,0))</f>
        <v/>
      </c>
      <c r="BC444" s="38" t="str">
        <f aca="false">IF(OR(BA444="",P444=""),"",WORKDAY(INT(P444),BA444,JoursFeries)+MOD(P444,1))</f>
        <v/>
      </c>
      <c r="BD444" s="39" t="str">
        <f aca="false">IF(AO444&lt;&gt;1,"",IF(OR(AB444&lt;&gt;"",AD444&lt;&gt;""),4,IF(U444&lt;&gt;"",3,IF(T444&lt;&gt;"",2,1))))</f>
        <v/>
      </c>
      <c r="BE444" s="39" t="str">
        <f aca="false">IF(OR(AO444&lt;&gt;1,AR444=""),"",INDEX(NIV_REQ,AR444))</f>
        <v/>
      </c>
      <c r="BF444" s="39" t="str">
        <f aca="false">IF(BE444="","",MAX(BE444,IF(OR(K444="Oui",Z444="Oui"),4,1)))</f>
        <v/>
      </c>
      <c r="BG444" s="35" t="str">
        <f aca="false">IF(OR(BF444="",BD444=""),"",IF(BD444&gt;=BF444,1,0))</f>
        <v/>
      </c>
      <c r="BH444" s="38" t="str">
        <f aca="false">IF(BE444="","",IF(BE444&lt;2,"",IF(BE444=2,IF(AND(T444="",U444=""),"",MIN(T444,U444)),IF(U444="","",U444))))</f>
        <v/>
      </c>
      <c r="BI444" s="37" t="str">
        <f aca="false">IF(BH444="","",IF(OR(O444="",BH444=""),"",IF(BH444&lt;O444,"",ROUND(((NETWORKDAYS(O444,BH444,JoursFeries)-1)*(HFer-HOuv)+IF(NETWORKDAYS(BH444,BH444,JoursFeries),MEDIAN(MOD(BH444,1),HFer,HOuv),HFer)-IF(NETWORKDAYS(O444,O444,JoursFeries),MEDIAN(MOD(O444,1),HFer,HOuv),HOuv))*24,4))))</f>
        <v/>
      </c>
      <c r="BJ444" s="35" t="str">
        <f aca="false">IF(OR(BI444="",AR444=""),"",IF(BI444&lt;=INDEX(DELAI_ESC,AR444),1,0))</f>
        <v/>
      </c>
      <c r="BK444" s="38" t="str">
        <f aca="false">IF(AO444&lt;&gt;1,"",IF(AND(T444="",U444=""),"",MIN(T444,U444)))</f>
        <v/>
      </c>
      <c r="BL444" s="37" t="str">
        <f aca="false">IF(OR(BK444="",R444=""),"",IFERROR(ROUND(IF(OR(BK444="",R444=""),"",IF(R444&lt;BK444,"",ROUND(((NETWORKDAYS(BK444,R444,JoursFeries)-1)*(HFer-HOuv)+IF(NETWORKDAYS(R444,R444,JoursFeries),MEDIAN(MOD(R444,1),HFer,HOuv),HFer)-IF(NETWORKDAYS(BK444,BK444,JoursFeries),MEDIAN(MOD(BK444,1),HFer,HOuv),HOuv))*24,4)))/HJour,4),""))</f>
        <v/>
      </c>
      <c r="BM444" s="35" t="str">
        <f aca="false">IF(OR(AO444&lt;&gt;1,R444=""),"",IF(BD444=1,1,0))</f>
        <v/>
      </c>
      <c r="BN444" s="35" t="str">
        <f aca="false">IF(AO444&lt;&gt;1,"",IF(W444="Oui",1,0))</f>
        <v/>
      </c>
      <c r="BO444" s="35" t="str">
        <f aca="false">IF(AO444&lt;&gt;1,"",IF(X444&lt;&gt;"",1,0))</f>
        <v/>
      </c>
      <c r="BP444" s="35" t="str">
        <f aca="false">IF(AO444&lt;&gt;1,"",IF(Y444="Oui",1,0))</f>
        <v/>
      </c>
      <c r="BQ444" s="35" t="str">
        <f aca="true">IF(OR(AO444&lt;&gt;1,Z444&lt;&gt;"Oui"),"",IF(AB444="",IF(AND(AA444&lt;&gt;"",NOW()&gt;AA444),0,""),IF(AA444="","",IF(AB444&lt;=AA444,1,0))))</f>
        <v/>
      </c>
      <c r="BR444" s="38" t="str">
        <f aca="false">IF(OR(AO444&lt;&gt;1,K444&lt;&gt;"Oui",O444=""),"",IF(AC444="",O444+DORA_H_DET/24,IF(AC444-O444&lt;=DORA_H_DET/24,MIN(AC444+DORA_H_CLA/24,O444+DORA_H_DET/24),AC444+DORA_H_CLA/24)))</f>
        <v/>
      </c>
      <c r="BS444" s="35" t="str">
        <f aca="true">IF(BR444="","",IF(AD444="",IF(NOW()&gt;BR444,0,""),IF(AD444&lt;=BR444,1,0)))</f>
        <v/>
      </c>
      <c r="BT444" s="35" t="str">
        <f aca="true">IF(OR(BR444="",AD444=""),"",IF(AE444="",IF(NOW()&gt;AD444+DORA_H_INT/24,0,""),IF(AE444&lt;=AD444+DORA_H_INT/24,1,0)))</f>
        <v/>
      </c>
      <c r="BU444" s="35" t="str">
        <f aca="true">IF(OR(BR444="",AE444=""),"",IF(AF444="",IF(NOW()&gt;EDATE(AE444,DORA_M_FIN)+1,0,""),IF(AF444&lt;=EDATE(AE444,DORA_M_FIN),1,0)))</f>
        <v/>
      </c>
      <c r="BV444" s="35" t="str">
        <f aca="false">IF(BR444="","",IF(COUNT(BS444:BU444)=0,"",MIN(BS444:BU444)))</f>
        <v/>
      </c>
      <c r="BW444" s="40" t="str">
        <f aca="false">IF(AQ444&lt;&gt;1,"",IF(AND(AG444="",AH444=""),"",N(AG444)-N(AH444)))</f>
        <v/>
      </c>
      <c r="BX444" s="35" t="str">
        <f aca="true">IF(OR(AQ444&lt;&gt;1,AI444&lt;&gt;"Oui",AJ444=""),"",IF(AK444="",IF(NOW()&gt;AJ444+1,0,""),IF(AK444&lt;=AJ444,1,0)))</f>
        <v/>
      </c>
    </row>
    <row r="445" customFormat="false" ht="15" hidden="false" customHeight="false" outlineLevel="0" collapsed="false">
      <c r="B445" s="29"/>
      <c r="C445" s="29"/>
      <c r="D445" s="29"/>
      <c r="E445" s="29"/>
      <c r="F445" s="29"/>
      <c r="G445" s="29"/>
      <c r="H445" s="29"/>
      <c r="I445" s="29"/>
      <c r="J445" s="29"/>
      <c r="K445" s="29"/>
      <c r="L445" s="29"/>
      <c r="M445" s="29"/>
      <c r="N445" s="30"/>
      <c r="O445" s="30"/>
      <c r="P445" s="30"/>
      <c r="Q445" s="30"/>
      <c r="R445" s="30"/>
      <c r="S445" s="30"/>
      <c r="T445" s="30"/>
      <c r="U445" s="30"/>
      <c r="V445" s="31"/>
      <c r="W445" s="29"/>
      <c r="X445" s="29"/>
      <c r="Y445" s="29"/>
      <c r="Z445" s="29"/>
      <c r="AA445" s="30"/>
      <c r="AB445" s="30"/>
      <c r="AC445" s="30"/>
      <c r="AD445" s="30"/>
      <c r="AE445" s="30"/>
      <c r="AF445" s="32"/>
      <c r="AG445" s="33"/>
      <c r="AH445" s="33"/>
      <c r="AI445" s="29"/>
      <c r="AJ445" s="32"/>
      <c r="AK445" s="32"/>
      <c r="AL445" s="29"/>
      <c r="AN445" s="34" t="str">
        <f aca="false">IF($B445="","",IF(OR(C445="",D445="",E445="",G445="",I445="",J445="",L445="",O445="",P445=""),"Champ obligatoire manquant",IF(OR(AND(N445&lt;&gt;"",N445&gt;O445),O445&gt;P445,AND(Q445&lt;&gt;"",Q445&lt;P445),AND(R445&lt;&gt;"",R445&lt;P445),AND(S445&lt;&gt;"",S445&lt;R445),AND(S445&lt;&gt;"",R445=""),AND(T445&lt;&gt;"",T445&lt;O445),AND(U445&lt;&gt;"",U445&lt;O445)),"Chronologie incohérente",IF(AND(OR(L445="Résolu",L445="Clos"),R445=""),"Date de résolution manquante",IF(AND(L445="Clos",S445=""),"Date de clôture manquante",IF(AND(K445="Oui",AC445=""),"Classification DORA manquante","OK"))))))</f>
        <v/>
      </c>
      <c r="AO445" s="35" t="str">
        <f aca="false">IF($B445="","",IF(AND(C445="Incident",L445&lt;&gt;"Annulé"),1,0))</f>
        <v/>
      </c>
      <c r="AP445" s="35" t="str">
        <f aca="false">IF($B445="","",IF(AND(C445="Quasi-incident",L445&lt;&gt;"Annulé"),1,0))</f>
        <v/>
      </c>
      <c r="AQ445" s="35" t="str">
        <f aca="false">IF($B445="","",AO445+AP445)</f>
        <v/>
      </c>
      <c r="AR445" s="36" t="str">
        <f aca="false">IF(OR($B445="",J445=""),"",IFERROR(VALUE(LEFT(J445,1)),""))</f>
        <v/>
      </c>
      <c r="AS445" s="35" t="str">
        <f aca="false">IF(OR(AO445&lt;&gt;1,G445=""),"",IFERROR(IF(INDEX(L_SrcInterne,MATCH(G445,L_Sources,0))="Oui",1,0),""))</f>
        <v/>
      </c>
      <c r="AT445" s="37" t="str">
        <f aca="false">IF(AO445&lt;&gt;1,"",IFERROR(ROUND(IF(OR(N445="",O445=""),"",IF(O445&lt;N445,"",ROUND(((NETWORKDAYS(N445,O445,JoursFeries)-1)*(HFer-HOuv)+IF(NETWORKDAYS(O445,O445,JoursFeries),MEDIAN(MOD(O445,1),HFer,HOuv),HFer)-IF(NETWORKDAYS(N445,N445,JoursFeries),MEDIAN(MOD(N445,1),HFer,HOuv),HOuv))*24,4)))/HJour,4),""))</f>
        <v/>
      </c>
      <c r="AU445" s="37" t="str">
        <f aca="false">IF(AO445&lt;&gt;1,"",IF(OR(O445="",P445=""),"",IF(P445&lt;O445,"",ROUND(((NETWORKDAYS(O445,P445,JoursFeries)-1)*(HFer-HOuv)+IF(NETWORKDAYS(P445,P445,JoursFeries),MEDIAN(MOD(P445,1),HFer,HOuv),HFer)-IF(NETWORKDAYS(O445,O445,JoursFeries),MEDIAN(MOD(O445,1),HFer,HOuv),HOuv))*24,4))))</f>
        <v/>
      </c>
      <c r="AV445" s="37" t="str">
        <f aca="false">IF(AO445&lt;&gt;1,"",IF(OR(P445="",Q445=""),"",IF(Q445&lt;P445,"",ROUND(((NETWORKDAYS(P445,Q445,JoursFeries)-1)*(HFer-HOuv)+IF(NETWORKDAYS(Q445,Q445,JoursFeries),MEDIAN(MOD(Q445,1),HFer,HOuv),HFer)-IF(NETWORKDAYS(P445,P445,JoursFeries),MEDIAN(MOD(P445,1),HFer,HOuv),HOuv))*24,4))))</f>
        <v/>
      </c>
      <c r="AW445" s="37" t="str">
        <f aca="false">IF(AO445&lt;&gt;1,"",IFERROR(ROUND(IF(OR(P445="",R445=""),"",IF(R445&lt;P445,"",ROUND(((NETWORKDAYS(P445,R445,JoursFeries)-1)*(HFer-HOuv)+IF(NETWORKDAYS(R445,R445,JoursFeries),MEDIAN(MOD(R445,1),HFer,HOuv),HFer)-IF(NETWORKDAYS(P445,P445,JoursFeries),MEDIAN(MOD(P445,1),HFer,HOuv),HOuv))*24,4)))/HJour,4),""))</f>
        <v/>
      </c>
      <c r="AX445" s="37" t="str">
        <f aca="false">IF(AO445&lt;&gt;1,"",IFERROR(ROUND(IF(OR(P445="",S445=""),"",IF(S445&lt;P445,"",ROUND(((NETWORKDAYS(P445,S445,JoursFeries)-1)*(HFer-HOuv)+IF(NETWORKDAYS(S445,S445,JoursFeries),MEDIAN(MOD(S445,1),HFer,HOuv),HFer)-IF(NETWORKDAYS(P445,P445,JoursFeries),MEDIAN(MOD(P445,1),HFer,HOuv),HOuv))*24,4)))/HJour,4),""))</f>
        <v/>
      </c>
      <c r="AY445" s="36" t="str">
        <f aca="false">IF(OR(AO445&lt;&gt;1,AR445=""),"",INDEX(SLA_PEC,AR445))</f>
        <v/>
      </c>
      <c r="AZ445" s="35" t="str">
        <f aca="false">IF(OR(AV445="",AY445=""),"",IF(AV445&lt;=AY445,1,0))</f>
        <v/>
      </c>
      <c r="BA445" s="36" t="str">
        <f aca="false">IF(OR(AO445&lt;&gt;1,AR445=""),"",INDEX(SLA_RES,AR445))</f>
        <v/>
      </c>
      <c r="BB445" s="35" t="str">
        <f aca="false">IF(OR(AW445="",BA445=""),"",IF(AW445&lt;=BA445,1,0))</f>
        <v/>
      </c>
      <c r="BC445" s="38" t="str">
        <f aca="false">IF(OR(BA445="",P445=""),"",WORKDAY(INT(P445),BA445,JoursFeries)+MOD(P445,1))</f>
        <v/>
      </c>
      <c r="BD445" s="39" t="str">
        <f aca="false">IF(AO445&lt;&gt;1,"",IF(OR(AB445&lt;&gt;"",AD445&lt;&gt;""),4,IF(U445&lt;&gt;"",3,IF(T445&lt;&gt;"",2,1))))</f>
        <v/>
      </c>
      <c r="BE445" s="39" t="str">
        <f aca="false">IF(OR(AO445&lt;&gt;1,AR445=""),"",INDEX(NIV_REQ,AR445))</f>
        <v/>
      </c>
      <c r="BF445" s="39" t="str">
        <f aca="false">IF(BE445="","",MAX(BE445,IF(OR(K445="Oui",Z445="Oui"),4,1)))</f>
        <v/>
      </c>
      <c r="BG445" s="35" t="str">
        <f aca="false">IF(OR(BF445="",BD445=""),"",IF(BD445&gt;=BF445,1,0))</f>
        <v/>
      </c>
      <c r="BH445" s="38" t="str">
        <f aca="false">IF(BE445="","",IF(BE445&lt;2,"",IF(BE445=2,IF(AND(T445="",U445=""),"",MIN(T445,U445)),IF(U445="","",U445))))</f>
        <v/>
      </c>
      <c r="BI445" s="37" t="str">
        <f aca="false">IF(BH445="","",IF(OR(O445="",BH445=""),"",IF(BH445&lt;O445,"",ROUND(((NETWORKDAYS(O445,BH445,JoursFeries)-1)*(HFer-HOuv)+IF(NETWORKDAYS(BH445,BH445,JoursFeries),MEDIAN(MOD(BH445,1),HFer,HOuv),HFer)-IF(NETWORKDAYS(O445,O445,JoursFeries),MEDIAN(MOD(O445,1),HFer,HOuv),HOuv))*24,4))))</f>
        <v/>
      </c>
      <c r="BJ445" s="35" t="str">
        <f aca="false">IF(OR(BI445="",AR445=""),"",IF(BI445&lt;=INDEX(DELAI_ESC,AR445),1,0))</f>
        <v/>
      </c>
      <c r="BK445" s="38" t="str">
        <f aca="false">IF(AO445&lt;&gt;1,"",IF(AND(T445="",U445=""),"",MIN(T445,U445)))</f>
        <v/>
      </c>
      <c r="BL445" s="37" t="str">
        <f aca="false">IF(OR(BK445="",R445=""),"",IFERROR(ROUND(IF(OR(BK445="",R445=""),"",IF(R445&lt;BK445,"",ROUND(((NETWORKDAYS(BK445,R445,JoursFeries)-1)*(HFer-HOuv)+IF(NETWORKDAYS(R445,R445,JoursFeries),MEDIAN(MOD(R445,1),HFer,HOuv),HFer)-IF(NETWORKDAYS(BK445,BK445,JoursFeries),MEDIAN(MOD(BK445,1),HFer,HOuv),HOuv))*24,4)))/HJour,4),""))</f>
        <v/>
      </c>
      <c r="BM445" s="35" t="str">
        <f aca="false">IF(OR(AO445&lt;&gt;1,R445=""),"",IF(BD445=1,1,0))</f>
        <v/>
      </c>
      <c r="BN445" s="35" t="str">
        <f aca="false">IF(AO445&lt;&gt;1,"",IF(W445="Oui",1,0))</f>
        <v/>
      </c>
      <c r="BO445" s="35" t="str">
        <f aca="false">IF(AO445&lt;&gt;1,"",IF(X445&lt;&gt;"",1,0))</f>
        <v/>
      </c>
      <c r="BP445" s="35" t="str">
        <f aca="false">IF(AO445&lt;&gt;1,"",IF(Y445="Oui",1,0))</f>
        <v/>
      </c>
      <c r="BQ445" s="35" t="str">
        <f aca="true">IF(OR(AO445&lt;&gt;1,Z445&lt;&gt;"Oui"),"",IF(AB445="",IF(AND(AA445&lt;&gt;"",NOW()&gt;AA445),0,""),IF(AA445="","",IF(AB445&lt;=AA445,1,0))))</f>
        <v/>
      </c>
      <c r="BR445" s="38" t="str">
        <f aca="false">IF(OR(AO445&lt;&gt;1,K445&lt;&gt;"Oui",O445=""),"",IF(AC445="",O445+DORA_H_DET/24,IF(AC445-O445&lt;=DORA_H_DET/24,MIN(AC445+DORA_H_CLA/24,O445+DORA_H_DET/24),AC445+DORA_H_CLA/24)))</f>
        <v/>
      </c>
      <c r="BS445" s="35" t="str">
        <f aca="true">IF(BR445="","",IF(AD445="",IF(NOW()&gt;BR445,0,""),IF(AD445&lt;=BR445,1,0)))</f>
        <v/>
      </c>
      <c r="BT445" s="35" t="str">
        <f aca="true">IF(OR(BR445="",AD445=""),"",IF(AE445="",IF(NOW()&gt;AD445+DORA_H_INT/24,0,""),IF(AE445&lt;=AD445+DORA_H_INT/24,1,0)))</f>
        <v/>
      </c>
      <c r="BU445" s="35" t="str">
        <f aca="true">IF(OR(BR445="",AE445=""),"",IF(AF445="",IF(NOW()&gt;EDATE(AE445,DORA_M_FIN)+1,0,""),IF(AF445&lt;=EDATE(AE445,DORA_M_FIN),1,0)))</f>
        <v/>
      </c>
      <c r="BV445" s="35" t="str">
        <f aca="false">IF(BR445="","",IF(COUNT(BS445:BU445)=0,"",MIN(BS445:BU445)))</f>
        <v/>
      </c>
      <c r="BW445" s="40" t="str">
        <f aca="false">IF(AQ445&lt;&gt;1,"",IF(AND(AG445="",AH445=""),"",N(AG445)-N(AH445)))</f>
        <v/>
      </c>
      <c r="BX445" s="35" t="str">
        <f aca="true">IF(OR(AQ445&lt;&gt;1,AI445&lt;&gt;"Oui",AJ445=""),"",IF(AK445="",IF(NOW()&gt;AJ445+1,0,""),IF(AK445&lt;=AJ445,1,0)))</f>
        <v/>
      </c>
    </row>
    <row r="446" customFormat="false" ht="15" hidden="false" customHeight="false" outlineLevel="0" collapsed="false">
      <c r="B446" s="29"/>
      <c r="C446" s="29"/>
      <c r="D446" s="29"/>
      <c r="E446" s="29"/>
      <c r="F446" s="29"/>
      <c r="G446" s="29"/>
      <c r="H446" s="29"/>
      <c r="I446" s="29"/>
      <c r="J446" s="29"/>
      <c r="K446" s="29"/>
      <c r="L446" s="29"/>
      <c r="M446" s="29"/>
      <c r="N446" s="30"/>
      <c r="O446" s="30"/>
      <c r="P446" s="30"/>
      <c r="Q446" s="30"/>
      <c r="R446" s="30"/>
      <c r="S446" s="30"/>
      <c r="T446" s="30"/>
      <c r="U446" s="30"/>
      <c r="V446" s="31"/>
      <c r="W446" s="29"/>
      <c r="X446" s="29"/>
      <c r="Y446" s="29"/>
      <c r="Z446" s="29"/>
      <c r="AA446" s="30"/>
      <c r="AB446" s="30"/>
      <c r="AC446" s="30"/>
      <c r="AD446" s="30"/>
      <c r="AE446" s="30"/>
      <c r="AF446" s="32"/>
      <c r="AG446" s="33"/>
      <c r="AH446" s="33"/>
      <c r="AI446" s="29"/>
      <c r="AJ446" s="32"/>
      <c r="AK446" s="32"/>
      <c r="AL446" s="29"/>
      <c r="AN446" s="34" t="str">
        <f aca="false">IF($B446="","",IF(OR(C446="",D446="",E446="",G446="",I446="",J446="",L446="",O446="",P446=""),"Champ obligatoire manquant",IF(OR(AND(N446&lt;&gt;"",N446&gt;O446),O446&gt;P446,AND(Q446&lt;&gt;"",Q446&lt;P446),AND(R446&lt;&gt;"",R446&lt;P446),AND(S446&lt;&gt;"",S446&lt;R446),AND(S446&lt;&gt;"",R446=""),AND(T446&lt;&gt;"",T446&lt;O446),AND(U446&lt;&gt;"",U446&lt;O446)),"Chronologie incohérente",IF(AND(OR(L446="Résolu",L446="Clos"),R446=""),"Date de résolution manquante",IF(AND(L446="Clos",S446=""),"Date de clôture manquante",IF(AND(K446="Oui",AC446=""),"Classification DORA manquante","OK"))))))</f>
        <v/>
      </c>
      <c r="AO446" s="35" t="str">
        <f aca="false">IF($B446="","",IF(AND(C446="Incident",L446&lt;&gt;"Annulé"),1,0))</f>
        <v/>
      </c>
      <c r="AP446" s="35" t="str">
        <f aca="false">IF($B446="","",IF(AND(C446="Quasi-incident",L446&lt;&gt;"Annulé"),1,0))</f>
        <v/>
      </c>
      <c r="AQ446" s="35" t="str">
        <f aca="false">IF($B446="","",AO446+AP446)</f>
        <v/>
      </c>
      <c r="AR446" s="36" t="str">
        <f aca="false">IF(OR($B446="",J446=""),"",IFERROR(VALUE(LEFT(J446,1)),""))</f>
        <v/>
      </c>
      <c r="AS446" s="35" t="str">
        <f aca="false">IF(OR(AO446&lt;&gt;1,G446=""),"",IFERROR(IF(INDEX(L_SrcInterne,MATCH(G446,L_Sources,0))="Oui",1,0),""))</f>
        <v/>
      </c>
      <c r="AT446" s="37" t="str">
        <f aca="false">IF(AO446&lt;&gt;1,"",IFERROR(ROUND(IF(OR(N446="",O446=""),"",IF(O446&lt;N446,"",ROUND(((NETWORKDAYS(N446,O446,JoursFeries)-1)*(HFer-HOuv)+IF(NETWORKDAYS(O446,O446,JoursFeries),MEDIAN(MOD(O446,1),HFer,HOuv),HFer)-IF(NETWORKDAYS(N446,N446,JoursFeries),MEDIAN(MOD(N446,1),HFer,HOuv),HOuv))*24,4)))/HJour,4),""))</f>
        <v/>
      </c>
      <c r="AU446" s="37" t="str">
        <f aca="false">IF(AO446&lt;&gt;1,"",IF(OR(O446="",P446=""),"",IF(P446&lt;O446,"",ROUND(((NETWORKDAYS(O446,P446,JoursFeries)-1)*(HFer-HOuv)+IF(NETWORKDAYS(P446,P446,JoursFeries),MEDIAN(MOD(P446,1),HFer,HOuv),HFer)-IF(NETWORKDAYS(O446,O446,JoursFeries),MEDIAN(MOD(O446,1),HFer,HOuv),HOuv))*24,4))))</f>
        <v/>
      </c>
      <c r="AV446" s="37" t="str">
        <f aca="false">IF(AO446&lt;&gt;1,"",IF(OR(P446="",Q446=""),"",IF(Q446&lt;P446,"",ROUND(((NETWORKDAYS(P446,Q446,JoursFeries)-1)*(HFer-HOuv)+IF(NETWORKDAYS(Q446,Q446,JoursFeries),MEDIAN(MOD(Q446,1),HFer,HOuv),HFer)-IF(NETWORKDAYS(P446,P446,JoursFeries),MEDIAN(MOD(P446,1),HFer,HOuv),HOuv))*24,4))))</f>
        <v/>
      </c>
      <c r="AW446" s="37" t="str">
        <f aca="false">IF(AO446&lt;&gt;1,"",IFERROR(ROUND(IF(OR(P446="",R446=""),"",IF(R446&lt;P446,"",ROUND(((NETWORKDAYS(P446,R446,JoursFeries)-1)*(HFer-HOuv)+IF(NETWORKDAYS(R446,R446,JoursFeries),MEDIAN(MOD(R446,1),HFer,HOuv),HFer)-IF(NETWORKDAYS(P446,P446,JoursFeries),MEDIAN(MOD(P446,1),HFer,HOuv),HOuv))*24,4)))/HJour,4),""))</f>
        <v/>
      </c>
      <c r="AX446" s="37" t="str">
        <f aca="false">IF(AO446&lt;&gt;1,"",IFERROR(ROUND(IF(OR(P446="",S446=""),"",IF(S446&lt;P446,"",ROUND(((NETWORKDAYS(P446,S446,JoursFeries)-1)*(HFer-HOuv)+IF(NETWORKDAYS(S446,S446,JoursFeries),MEDIAN(MOD(S446,1),HFer,HOuv),HFer)-IF(NETWORKDAYS(P446,P446,JoursFeries),MEDIAN(MOD(P446,1),HFer,HOuv),HOuv))*24,4)))/HJour,4),""))</f>
        <v/>
      </c>
      <c r="AY446" s="36" t="str">
        <f aca="false">IF(OR(AO446&lt;&gt;1,AR446=""),"",INDEX(SLA_PEC,AR446))</f>
        <v/>
      </c>
      <c r="AZ446" s="35" t="str">
        <f aca="false">IF(OR(AV446="",AY446=""),"",IF(AV446&lt;=AY446,1,0))</f>
        <v/>
      </c>
      <c r="BA446" s="36" t="str">
        <f aca="false">IF(OR(AO446&lt;&gt;1,AR446=""),"",INDEX(SLA_RES,AR446))</f>
        <v/>
      </c>
      <c r="BB446" s="35" t="str">
        <f aca="false">IF(OR(AW446="",BA446=""),"",IF(AW446&lt;=BA446,1,0))</f>
        <v/>
      </c>
      <c r="BC446" s="38" t="str">
        <f aca="false">IF(OR(BA446="",P446=""),"",WORKDAY(INT(P446),BA446,JoursFeries)+MOD(P446,1))</f>
        <v/>
      </c>
      <c r="BD446" s="39" t="str">
        <f aca="false">IF(AO446&lt;&gt;1,"",IF(OR(AB446&lt;&gt;"",AD446&lt;&gt;""),4,IF(U446&lt;&gt;"",3,IF(T446&lt;&gt;"",2,1))))</f>
        <v/>
      </c>
      <c r="BE446" s="39" t="str">
        <f aca="false">IF(OR(AO446&lt;&gt;1,AR446=""),"",INDEX(NIV_REQ,AR446))</f>
        <v/>
      </c>
      <c r="BF446" s="39" t="str">
        <f aca="false">IF(BE446="","",MAX(BE446,IF(OR(K446="Oui",Z446="Oui"),4,1)))</f>
        <v/>
      </c>
      <c r="BG446" s="35" t="str">
        <f aca="false">IF(OR(BF446="",BD446=""),"",IF(BD446&gt;=BF446,1,0))</f>
        <v/>
      </c>
      <c r="BH446" s="38" t="str">
        <f aca="false">IF(BE446="","",IF(BE446&lt;2,"",IF(BE446=2,IF(AND(T446="",U446=""),"",MIN(T446,U446)),IF(U446="","",U446))))</f>
        <v/>
      </c>
      <c r="BI446" s="37" t="str">
        <f aca="false">IF(BH446="","",IF(OR(O446="",BH446=""),"",IF(BH446&lt;O446,"",ROUND(((NETWORKDAYS(O446,BH446,JoursFeries)-1)*(HFer-HOuv)+IF(NETWORKDAYS(BH446,BH446,JoursFeries),MEDIAN(MOD(BH446,1),HFer,HOuv),HFer)-IF(NETWORKDAYS(O446,O446,JoursFeries),MEDIAN(MOD(O446,1),HFer,HOuv),HOuv))*24,4))))</f>
        <v/>
      </c>
      <c r="BJ446" s="35" t="str">
        <f aca="false">IF(OR(BI446="",AR446=""),"",IF(BI446&lt;=INDEX(DELAI_ESC,AR446),1,0))</f>
        <v/>
      </c>
      <c r="BK446" s="38" t="str">
        <f aca="false">IF(AO446&lt;&gt;1,"",IF(AND(T446="",U446=""),"",MIN(T446,U446)))</f>
        <v/>
      </c>
      <c r="BL446" s="37" t="str">
        <f aca="false">IF(OR(BK446="",R446=""),"",IFERROR(ROUND(IF(OR(BK446="",R446=""),"",IF(R446&lt;BK446,"",ROUND(((NETWORKDAYS(BK446,R446,JoursFeries)-1)*(HFer-HOuv)+IF(NETWORKDAYS(R446,R446,JoursFeries),MEDIAN(MOD(R446,1),HFer,HOuv),HFer)-IF(NETWORKDAYS(BK446,BK446,JoursFeries),MEDIAN(MOD(BK446,1),HFer,HOuv),HOuv))*24,4)))/HJour,4),""))</f>
        <v/>
      </c>
      <c r="BM446" s="35" t="str">
        <f aca="false">IF(OR(AO446&lt;&gt;1,R446=""),"",IF(BD446=1,1,0))</f>
        <v/>
      </c>
      <c r="BN446" s="35" t="str">
        <f aca="false">IF(AO446&lt;&gt;1,"",IF(W446="Oui",1,0))</f>
        <v/>
      </c>
      <c r="BO446" s="35" t="str">
        <f aca="false">IF(AO446&lt;&gt;1,"",IF(X446&lt;&gt;"",1,0))</f>
        <v/>
      </c>
      <c r="BP446" s="35" t="str">
        <f aca="false">IF(AO446&lt;&gt;1,"",IF(Y446="Oui",1,0))</f>
        <v/>
      </c>
      <c r="BQ446" s="35" t="str">
        <f aca="true">IF(OR(AO446&lt;&gt;1,Z446&lt;&gt;"Oui"),"",IF(AB446="",IF(AND(AA446&lt;&gt;"",NOW()&gt;AA446),0,""),IF(AA446="","",IF(AB446&lt;=AA446,1,0))))</f>
        <v/>
      </c>
      <c r="BR446" s="38" t="str">
        <f aca="false">IF(OR(AO446&lt;&gt;1,K446&lt;&gt;"Oui",O446=""),"",IF(AC446="",O446+DORA_H_DET/24,IF(AC446-O446&lt;=DORA_H_DET/24,MIN(AC446+DORA_H_CLA/24,O446+DORA_H_DET/24),AC446+DORA_H_CLA/24)))</f>
        <v/>
      </c>
      <c r="BS446" s="35" t="str">
        <f aca="true">IF(BR446="","",IF(AD446="",IF(NOW()&gt;BR446,0,""),IF(AD446&lt;=BR446,1,0)))</f>
        <v/>
      </c>
      <c r="BT446" s="35" t="str">
        <f aca="true">IF(OR(BR446="",AD446=""),"",IF(AE446="",IF(NOW()&gt;AD446+DORA_H_INT/24,0,""),IF(AE446&lt;=AD446+DORA_H_INT/24,1,0)))</f>
        <v/>
      </c>
      <c r="BU446" s="35" t="str">
        <f aca="true">IF(OR(BR446="",AE446=""),"",IF(AF446="",IF(NOW()&gt;EDATE(AE446,DORA_M_FIN)+1,0,""),IF(AF446&lt;=EDATE(AE446,DORA_M_FIN),1,0)))</f>
        <v/>
      </c>
      <c r="BV446" s="35" t="str">
        <f aca="false">IF(BR446="","",IF(COUNT(BS446:BU446)=0,"",MIN(BS446:BU446)))</f>
        <v/>
      </c>
      <c r="BW446" s="40" t="str">
        <f aca="false">IF(AQ446&lt;&gt;1,"",IF(AND(AG446="",AH446=""),"",N(AG446)-N(AH446)))</f>
        <v/>
      </c>
      <c r="BX446" s="35" t="str">
        <f aca="true">IF(OR(AQ446&lt;&gt;1,AI446&lt;&gt;"Oui",AJ446=""),"",IF(AK446="",IF(NOW()&gt;AJ446+1,0,""),IF(AK446&lt;=AJ446,1,0)))</f>
        <v/>
      </c>
    </row>
    <row r="447" customFormat="false" ht="15" hidden="false" customHeight="false" outlineLevel="0" collapsed="false">
      <c r="B447" s="29"/>
      <c r="C447" s="29"/>
      <c r="D447" s="29"/>
      <c r="E447" s="29"/>
      <c r="F447" s="29"/>
      <c r="G447" s="29"/>
      <c r="H447" s="29"/>
      <c r="I447" s="29"/>
      <c r="J447" s="29"/>
      <c r="K447" s="29"/>
      <c r="L447" s="29"/>
      <c r="M447" s="29"/>
      <c r="N447" s="30"/>
      <c r="O447" s="30"/>
      <c r="P447" s="30"/>
      <c r="Q447" s="30"/>
      <c r="R447" s="30"/>
      <c r="S447" s="30"/>
      <c r="T447" s="30"/>
      <c r="U447" s="30"/>
      <c r="V447" s="31"/>
      <c r="W447" s="29"/>
      <c r="X447" s="29"/>
      <c r="Y447" s="29"/>
      <c r="Z447" s="29"/>
      <c r="AA447" s="30"/>
      <c r="AB447" s="30"/>
      <c r="AC447" s="30"/>
      <c r="AD447" s="30"/>
      <c r="AE447" s="30"/>
      <c r="AF447" s="32"/>
      <c r="AG447" s="33"/>
      <c r="AH447" s="33"/>
      <c r="AI447" s="29"/>
      <c r="AJ447" s="32"/>
      <c r="AK447" s="32"/>
      <c r="AL447" s="29"/>
      <c r="AN447" s="34" t="str">
        <f aca="false">IF($B447="","",IF(OR(C447="",D447="",E447="",G447="",I447="",J447="",L447="",O447="",P447=""),"Champ obligatoire manquant",IF(OR(AND(N447&lt;&gt;"",N447&gt;O447),O447&gt;P447,AND(Q447&lt;&gt;"",Q447&lt;P447),AND(R447&lt;&gt;"",R447&lt;P447),AND(S447&lt;&gt;"",S447&lt;R447),AND(S447&lt;&gt;"",R447=""),AND(T447&lt;&gt;"",T447&lt;O447),AND(U447&lt;&gt;"",U447&lt;O447)),"Chronologie incohérente",IF(AND(OR(L447="Résolu",L447="Clos"),R447=""),"Date de résolution manquante",IF(AND(L447="Clos",S447=""),"Date de clôture manquante",IF(AND(K447="Oui",AC447=""),"Classification DORA manquante","OK"))))))</f>
        <v/>
      </c>
      <c r="AO447" s="35" t="str">
        <f aca="false">IF($B447="","",IF(AND(C447="Incident",L447&lt;&gt;"Annulé"),1,0))</f>
        <v/>
      </c>
      <c r="AP447" s="35" t="str">
        <f aca="false">IF($B447="","",IF(AND(C447="Quasi-incident",L447&lt;&gt;"Annulé"),1,0))</f>
        <v/>
      </c>
      <c r="AQ447" s="35" t="str">
        <f aca="false">IF($B447="","",AO447+AP447)</f>
        <v/>
      </c>
      <c r="AR447" s="36" t="str">
        <f aca="false">IF(OR($B447="",J447=""),"",IFERROR(VALUE(LEFT(J447,1)),""))</f>
        <v/>
      </c>
      <c r="AS447" s="35" t="str">
        <f aca="false">IF(OR(AO447&lt;&gt;1,G447=""),"",IFERROR(IF(INDEX(L_SrcInterne,MATCH(G447,L_Sources,0))="Oui",1,0),""))</f>
        <v/>
      </c>
      <c r="AT447" s="37" t="str">
        <f aca="false">IF(AO447&lt;&gt;1,"",IFERROR(ROUND(IF(OR(N447="",O447=""),"",IF(O447&lt;N447,"",ROUND(((NETWORKDAYS(N447,O447,JoursFeries)-1)*(HFer-HOuv)+IF(NETWORKDAYS(O447,O447,JoursFeries),MEDIAN(MOD(O447,1),HFer,HOuv),HFer)-IF(NETWORKDAYS(N447,N447,JoursFeries),MEDIAN(MOD(N447,1),HFer,HOuv),HOuv))*24,4)))/HJour,4),""))</f>
        <v/>
      </c>
      <c r="AU447" s="37" t="str">
        <f aca="false">IF(AO447&lt;&gt;1,"",IF(OR(O447="",P447=""),"",IF(P447&lt;O447,"",ROUND(((NETWORKDAYS(O447,P447,JoursFeries)-1)*(HFer-HOuv)+IF(NETWORKDAYS(P447,P447,JoursFeries),MEDIAN(MOD(P447,1),HFer,HOuv),HFer)-IF(NETWORKDAYS(O447,O447,JoursFeries),MEDIAN(MOD(O447,1),HFer,HOuv),HOuv))*24,4))))</f>
        <v/>
      </c>
      <c r="AV447" s="37" t="str">
        <f aca="false">IF(AO447&lt;&gt;1,"",IF(OR(P447="",Q447=""),"",IF(Q447&lt;P447,"",ROUND(((NETWORKDAYS(P447,Q447,JoursFeries)-1)*(HFer-HOuv)+IF(NETWORKDAYS(Q447,Q447,JoursFeries),MEDIAN(MOD(Q447,1),HFer,HOuv),HFer)-IF(NETWORKDAYS(P447,P447,JoursFeries),MEDIAN(MOD(P447,1),HFer,HOuv),HOuv))*24,4))))</f>
        <v/>
      </c>
      <c r="AW447" s="37" t="str">
        <f aca="false">IF(AO447&lt;&gt;1,"",IFERROR(ROUND(IF(OR(P447="",R447=""),"",IF(R447&lt;P447,"",ROUND(((NETWORKDAYS(P447,R447,JoursFeries)-1)*(HFer-HOuv)+IF(NETWORKDAYS(R447,R447,JoursFeries),MEDIAN(MOD(R447,1),HFer,HOuv),HFer)-IF(NETWORKDAYS(P447,P447,JoursFeries),MEDIAN(MOD(P447,1),HFer,HOuv),HOuv))*24,4)))/HJour,4),""))</f>
        <v/>
      </c>
      <c r="AX447" s="37" t="str">
        <f aca="false">IF(AO447&lt;&gt;1,"",IFERROR(ROUND(IF(OR(P447="",S447=""),"",IF(S447&lt;P447,"",ROUND(((NETWORKDAYS(P447,S447,JoursFeries)-1)*(HFer-HOuv)+IF(NETWORKDAYS(S447,S447,JoursFeries),MEDIAN(MOD(S447,1),HFer,HOuv),HFer)-IF(NETWORKDAYS(P447,P447,JoursFeries),MEDIAN(MOD(P447,1),HFer,HOuv),HOuv))*24,4)))/HJour,4),""))</f>
        <v/>
      </c>
      <c r="AY447" s="36" t="str">
        <f aca="false">IF(OR(AO447&lt;&gt;1,AR447=""),"",INDEX(SLA_PEC,AR447))</f>
        <v/>
      </c>
      <c r="AZ447" s="35" t="str">
        <f aca="false">IF(OR(AV447="",AY447=""),"",IF(AV447&lt;=AY447,1,0))</f>
        <v/>
      </c>
      <c r="BA447" s="36" t="str">
        <f aca="false">IF(OR(AO447&lt;&gt;1,AR447=""),"",INDEX(SLA_RES,AR447))</f>
        <v/>
      </c>
      <c r="BB447" s="35" t="str">
        <f aca="false">IF(OR(AW447="",BA447=""),"",IF(AW447&lt;=BA447,1,0))</f>
        <v/>
      </c>
      <c r="BC447" s="38" t="str">
        <f aca="false">IF(OR(BA447="",P447=""),"",WORKDAY(INT(P447),BA447,JoursFeries)+MOD(P447,1))</f>
        <v/>
      </c>
      <c r="BD447" s="39" t="str">
        <f aca="false">IF(AO447&lt;&gt;1,"",IF(OR(AB447&lt;&gt;"",AD447&lt;&gt;""),4,IF(U447&lt;&gt;"",3,IF(T447&lt;&gt;"",2,1))))</f>
        <v/>
      </c>
      <c r="BE447" s="39" t="str">
        <f aca="false">IF(OR(AO447&lt;&gt;1,AR447=""),"",INDEX(NIV_REQ,AR447))</f>
        <v/>
      </c>
      <c r="BF447" s="39" t="str">
        <f aca="false">IF(BE447="","",MAX(BE447,IF(OR(K447="Oui",Z447="Oui"),4,1)))</f>
        <v/>
      </c>
      <c r="BG447" s="35" t="str">
        <f aca="false">IF(OR(BF447="",BD447=""),"",IF(BD447&gt;=BF447,1,0))</f>
        <v/>
      </c>
      <c r="BH447" s="38" t="str">
        <f aca="false">IF(BE447="","",IF(BE447&lt;2,"",IF(BE447=2,IF(AND(T447="",U447=""),"",MIN(T447,U447)),IF(U447="","",U447))))</f>
        <v/>
      </c>
      <c r="BI447" s="37" t="str">
        <f aca="false">IF(BH447="","",IF(OR(O447="",BH447=""),"",IF(BH447&lt;O447,"",ROUND(((NETWORKDAYS(O447,BH447,JoursFeries)-1)*(HFer-HOuv)+IF(NETWORKDAYS(BH447,BH447,JoursFeries),MEDIAN(MOD(BH447,1),HFer,HOuv),HFer)-IF(NETWORKDAYS(O447,O447,JoursFeries),MEDIAN(MOD(O447,1),HFer,HOuv),HOuv))*24,4))))</f>
        <v/>
      </c>
      <c r="BJ447" s="35" t="str">
        <f aca="false">IF(OR(BI447="",AR447=""),"",IF(BI447&lt;=INDEX(DELAI_ESC,AR447),1,0))</f>
        <v/>
      </c>
      <c r="BK447" s="38" t="str">
        <f aca="false">IF(AO447&lt;&gt;1,"",IF(AND(T447="",U447=""),"",MIN(T447,U447)))</f>
        <v/>
      </c>
      <c r="BL447" s="37" t="str">
        <f aca="false">IF(OR(BK447="",R447=""),"",IFERROR(ROUND(IF(OR(BK447="",R447=""),"",IF(R447&lt;BK447,"",ROUND(((NETWORKDAYS(BK447,R447,JoursFeries)-1)*(HFer-HOuv)+IF(NETWORKDAYS(R447,R447,JoursFeries),MEDIAN(MOD(R447,1),HFer,HOuv),HFer)-IF(NETWORKDAYS(BK447,BK447,JoursFeries),MEDIAN(MOD(BK447,1),HFer,HOuv),HOuv))*24,4)))/HJour,4),""))</f>
        <v/>
      </c>
      <c r="BM447" s="35" t="str">
        <f aca="false">IF(OR(AO447&lt;&gt;1,R447=""),"",IF(BD447=1,1,0))</f>
        <v/>
      </c>
      <c r="BN447" s="35" t="str">
        <f aca="false">IF(AO447&lt;&gt;1,"",IF(W447="Oui",1,0))</f>
        <v/>
      </c>
      <c r="BO447" s="35" t="str">
        <f aca="false">IF(AO447&lt;&gt;1,"",IF(X447&lt;&gt;"",1,0))</f>
        <v/>
      </c>
      <c r="BP447" s="35" t="str">
        <f aca="false">IF(AO447&lt;&gt;1,"",IF(Y447="Oui",1,0))</f>
        <v/>
      </c>
      <c r="BQ447" s="35" t="str">
        <f aca="true">IF(OR(AO447&lt;&gt;1,Z447&lt;&gt;"Oui"),"",IF(AB447="",IF(AND(AA447&lt;&gt;"",NOW()&gt;AA447),0,""),IF(AA447="","",IF(AB447&lt;=AA447,1,0))))</f>
        <v/>
      </c>
      <c r="BR447" s="38" t="str">
        <f aca="false">IF(OR(AO447&lt;&gt;1,K447&lt;&gt;"Oui",O447=""),"",IF(AC447="",O447+DORA_H_DET/24,IF(AC447-O447&lt;=DORA_H_DET/24,MIN(AC447+DORA_H_CLA/24,O447+DORA_H_DET/24),AC447+DORA_H_CLA/24)))</f>
        <v/>
      </c>
      <c r="BS447" s="35" t="str">
        <f aca="true">IF(BR447="","",IF(AD447="",IF(NOW()&gt;BR447,0,""),IF(AD447&lt;=BR447,1,0)))</f>
        <v/>
      </c>
      <c r="BT447" s="35" t="str">
        <f aca="true">IF(OR(BR447="",AD447=""),"",IF(AE447="",IF(NOW()&gt;AD447+DORA_H_INT/24,0,""),IF(AE447&lt;=AD447+DORA_H_INT/24,1,0)))</f>
        <v/>
      </c>
      <c r="BU447" s="35" t="str">
        <f aca="true">IF(OR(BR447="",AE447=""),"",IF(AF447="",IF(NOW()&gt;EDATE(AE447,DORA_M_FIN)+1,0,""),IF(AF447&lt;=EDATE(AE447,DORA_M_FIN),1,0)))</f>
        <v/>
      </c>
      <c r="BV447" s="35" t="str">
        <f aca="false">IF(BR447="","",IF(COUNT(BS447:BU447)=0,"",MIN(BS447:BU447)))</f>
        <v/>
      </c>
      <c r="BW447" s="40" t="str">
        <f aca="false">IF(AQ447&lt;&gt;1,"",IF(AND(AG447="",AH447=""),"",N(AG447)-N(AH447)))</f>
        <v/>
      </c>
      <c r="BX447" s="35" t="str">
        <f aca="true">IF(OR(AQ447&lt;&gt;1,AI447&lt;&gt;"Oui",AJ447=""),"",IF(AK447="",IF(NOW()&gt;AJ447+1,0,""),IF(AK447&lt;=AJ447,1,0)))</f>
        <v/>
      </c>
    </row>
    <row r="448" customFormat="false" ht="15" hidden="false" customHeight="false" outlineLevel="0" collapsed="false">
      <c r="B448" s="29"/>
      <c r="C448" s="29"/>
      <c r="D448" s="29"/>
      <c r="E448" s="29"/>
      <c r="F448" s="29"/>
      <c r="G448" s="29"/>
      <c r="H448" s="29"/>
      <c r="I448" s="29"/>
      <c r="J448" s="29"/>
      <c r="K448" s="29"/>
      <c r="L448" s="29"/>
      <c r="M448" s="29"/>
      <c r="N448" s="30"/>
      <c r="O448" s="30"/>
      <c r="P448" s="30"/>
      <c r="Q448" s="30"/>
      <c r="R448" s="30"/>
      <c r="S448" s="30"/>
      <c r="T448" s="30"/>
      <c r="U448" s="30"/>
      <c r="V448" s="31"/>
      <c r="W448" s="29"/>
      <c r="X448" s="29"/>
      <c r="Y448" s="29"/>
      <c r="Z448" s="29"/>
      <c r="AA448" s="30"/>
      <c r="AB448" s="30"/>
      <c r="AC448" s="30"/>
      <c r="AD448" s="30"/>
      <c r="AE448" s="30"/>
      <c r="AF448" s="32"/>
      <c r="AG448" s="33"/>
      <c r="AH448" s="33"/>
      <c r="AI448" s="29"/>
      <c r="AJ448" s="32"/>
      <c r="AK448" s="32"/>
      <c r="AL448" s="29"/>
      <c r="AN448" s="34" t="str">
        <f aca="false">IF($B448="","",IF(OR(C448="",D448="",E448="",G448="",I448="",J448="",L448="",O448="",P448=""),"Champ obligatoire manquant",IF(OR(AND(N448&lt;&gt;"",N448&gt;O448),O448&gt;P448,AND(Q448&lt;&gt;"",Q448&lt;P448),AND(R448&lt;&gt;"",R448&lt;P448),AND(S448&lt;&gt;"",S448&lt;R448),AND(S448&lt;&gt;"",R448=""),AND(T448&lt;&gt;"",T448&lt;O448),AND(U448&lt;&gt;"",U448&lt;O448)),"Chronologie incohérente",IF(AND(OR(L448="Résolu",L448="Clos"),R448=""),"Date de résolution manquante",IF(AND(L448="Clos",S448=""),"Date de clôture manquante",IF(AND(K448="Oui",AC448=""),"Classification DORA manquante","OK"))))))</f>
        <v/>
      </c>
      <c r="AO448" s="35" t="str">
        <f aca="false">IF($B448="","",IF(AND(C448="Incident",L448&lt;&gt;"Annulé"),1,0))</f>
        <v/>
      </c>
      <c r="AP448" s="35" t="str">
        <f aca="false">IF($B448="","",IF(AND(C448="Quasi-incident",L448&lt;&gt;"Annulé"),1,0))</f>
        <v/>
      </c>
      <c r="AQ448" s="35" t="str">
        <f aca="false">IF($B448="","",AO448+AP448)</f>
        <v/>
      </c>
      <c r="AR448" s="36" t="str">
        <f aca="false">IF(OR($B448="",J448=""),"",IFERROR(VALUE(LEFT(J448,1)),""))</f>
        <v/>
      </c>
      <c r="AS448" s="35" t="str">
        <f aca="false">IF(OR(AO448&lt;&gt;1,G448=""),"",IFERROR(IF(INDEX(L_SrcInterne,MATCH(G448,L_Sources,0))="Oui",1,0),""))</f>
        <v/>
      </c>
      <c r="AT448" s="37" t="str">
        <f aca="false">IF(AO448&lt;&gt;1,"",IFERROR(ROUND(IF(OR(N448="",O448=""),"",IF(O448&lt;N448,"",ROUND(((NETWORKDAYS(N448,O448,JoursFeries)-1)*(HFer-HOuv)+IF(NETWORKDAYS(O448,O448,JoursFeries),MEDIAN(MOD(O448,1),HFer,HOuv),HFer)-IF(NETWORKDAYS(N448,N448,JoursFeries),MEDIAN(MOD(N448,1),HFer,HOuv),HOuv))*24,4)))/HJour,4),""))</f>
        <v/>
      </c>
      <c r="AU448" s="37" t="str">
        <f aca="false">IF(AO448&lt;&gt;1,"",IF(OR(O448="",P448=""),"",IF(P448&lt;O448,"",ROUND(((NETWORKDAYS(O448,P448,JoursFeries)-1)*(HFer-HOuv)+IF(NETWORKDAYS(P448,P448,JoursFeries),MEDIAN(MOD(P448,1),HFer,HOuv),HFer)-IF(NETWORKDAYS(O448,O448,JoursFeries),MEDIAN(MOD(O448,1),HFer,HOuv),HOuv))*24,4))))</f>
        <v/>
      </c>
      <c r="AV448" s="37" t="str">
        <f aca="false">IF(AO448&lt;&gt;1,"",IF(OR(P448="",Q448=""),"",IF(Q448&lt;P448,"",ROUND(((NETWORKDAYS(P448,Q448,JoursFeries)-1)*(HFer-HOuv)+IF(NETWORKDAYS(Q448,Q448,JoursFeries),MEDIAN(MOD(Q448,1),HFer,HOuv),HFer)-IF(NETWORKDAYS(P448,P448,JoursFeries),MEDIAN(MOD(P448,1),HFer,HOuv),HOuv))*24,4))))</f>
        <v/>
      </c>
      <c r="AW448" s="37" t="str">
        <f aca="false">IF(AO448&lt;&gt;1,"",IFERROR(ROUND(IF(OR(P448="",R448=""),"",IF(R448&lt;P448,"",ROUND(((NETWORKDAYS(P448,R448,JoursFeries)-1)*(HFer-HOuv)+IF(NETWORKDAYS(R448,R448,JoursFeries),MEDIAN(MOD(R448,1),HFer,HOuv),HFer)-IF(NETWORKDAYS(P448,P448,JoursFeries),MEDIAN(MOD(P448,1),HFer,HOuv),HOuv))*24,4)))/HJour,4),""))</f>
        <v/>
      </c>
      <c r="AX448" s="37" t="str">
        <f aca="false">IF(AO448&lt;&gt;1,"",IFERROR(ROUND(IF(OR(P448="",S448=""),"",IF(S448&lt;P448,"",ROUND(((NETWORKDAYS(P448,S448,JoursFeries)-1)*(HFer-HOuv)+IF(NETWORKDAYS(S448,S448,JoursFeries),MEDIAN(MOD(S448,1),HFer,HOuv),HFer)-IF(NETWORKDAYS(P448,P448,JoursFeries),MEDIAN(MOD(P448,1),HFer,HOuv),HOuv))*24,4)))/HJour,4),""))</f>
        <v/>
      </c>
      <c r="AY448" s="36" t="str">
        <f aca="false">IF(OR(AO448&lt;&gt;1,AR448=""),"",INDEX(SLA_PEC,AR448))</f>
        <v/>
      </c>
      <c r="AZ448" s="35" t="str">
        <f aca="false">IF(OR(AV448="",AY448=""),"",IF(AV448&lt;=AY448,1,0))</f>
        <v/>
      </c>
      <c r="BA448" s="36" t="str">
        <f aca="false">IF(OR(AO448&lt;&gt;1,AR448=""),"",INDEX(SLA_RES,AR448))</f>
        <v/>
      </c>
      <c r="BB448" s="35" t="str">
        <f aca="false">IF(OR(AW448="",BA448=""),"",IF(AW448&lt;=BA448,1,0))</f>
        <v/>
      </c>
      <c r="BC448" s="38" t="str">
        <f aca="false">IF(OR(BA448="",P448=""),"",WORKDAY(INT(P448),BA448,JoursFeries)+MOD(P448,1))</f>
        <v/>
      </c>
      <c r="BD448" s="39" t="str">
        <f aca="false">IF(AO448&lt;&gt;1,"",IF(OR(AB448&lt;&gt;"",AD448&lt;&gt;""),4,IF(U448&lt;&gt;"",3,IF(T448&lt;&gt;"",2,1))))</f>
        <v/>
      </c>
      <c r="BE448" s="39" t="str">
        <f aca="false">IF(OR(AO448&lt;&gt;1,AR448=""),"",INDEX(NIV_REQ,AR448))</f>
        <v/>
      </c>
      <c r="BF448" s="39" t="str">
        <f aca="false">IF(BE448="","",MAX(BE448,IF(OR(K448="Oui",Z448="Oui"),4,1)))</f>
        <v/>
      </c>
      <c r="BG448" s="35" t="str">
        <f aca="false">IF(OR(BF448="",BD448=""),"",IF(BD448&gt;=BF448,1,0))</f>
        <v/>
      </c>
      <c r="BH448" s="38" t="str">
        <f aca="false">IF(BE448="","",IF(BE448&lt;2,"",IF(BE448=2,IF(AND(T448="",U448=""),"",MIN(T448,U448)),IF(U448="","",U448))))</f>
        <v/>
      </c>
      <c r="BI448" s="37" t="str">
        <f aca="false">IF(BH448="","",IF(OR(O448="",BH448=""),"",IF(BH448&lt;O448,"",ROUND(((NETWORKDAYS(O448,BH448,JoursFeries)-1)*(HFer-HOuv)+IF(NETWORKDAYS(BH448,BH448,JoursFeries),MEDIAN(MOD(BH448,1),HFer,HOuv),HFer)-IF(NETWORKDAYS(O448,O448,JoursFeries),MEDIAN(MOD(O448,1),HFer,HOuv),HOuv))*24,4))))</f>
        <v/>
      </c>
      <c r="BJ448" s="35" t="str">
        <f aca="false">IF(OR(BI448="",AR448=""),"",IF(BI448&lt;=INDEX(DELAI_ESC,AR448),1,0))</f>
        <v/>
      </c>
      <c r="BK448" s="38" t="str">
        <f aca="false">IF(AO448&lt;&gt;1,"",IF(AND(T448="",U448=""),"",MIN(T448,U448)))</f>
        <v/>
      </c>
      <c r="BL448" s="37" t="str">
        <f aca="false">IF(OR(BK448="",R448=""),"",IFERROR(ROUND(IF(OR(BK448="",R448=""),"",IF(R448&lt;BK448,"",ROUND(((NETWORKDAYS(BK448,R448,JoursFeries)-1)*(HFer-HOuv)+IF(NETWORKDAYS(R448,R448,JoursFeries),MEDIAN(MOD(R448,1),HFer,HOuv),HFer)-IF(NETWORKDAYS(BK448,BK448,JoursFeries),MEDIAN(MOD(BK448,1),HFer,HOuv),HOuv))*24,4)))/HJour,4),""))</f>
        <v/>
      </c>
      <c r="BM448" s="35" t="str">
        <f aca="false">IF(OR(AO448&lt;&gt;1,R448=""),"",IF(BD448=1,1,0))</f>
        <v/>
      </c>
      <c r="BN448" s="35" t="str">
        <f aca="false">IF(AO448&lt;&gt;1,"",IF(W448="Oui",1,0))</f>
        <v/>
      </c>
      <c r="BO448" s="35" t="str">
        <f aca="false">IF(AO448&lt;&gt;1,"",IF(X448&lt;&gt;"",1,0))</f>
        <v/>
      </c>
      <c r="BP448" s="35" t="str">
        <f aca="false">IF(AO448&lt;&gt;1,"",IF(Y448="Oui",1,0))</f>
        <v/>
      </c>
      <c r="BQ448" s="35" t="str">
        <f aca="true">IF(OR(AO448&lt;&gt;1,Z448&lt;&gt;"Oui"),"",IF(AB448="",IF(AND(AA448&lt;&gt;"",NOW()&gt;AA448),0,""),IF(AA448="","",IF(AB448&lt;=AA448,1,0))))</f>
        <v/>
      </c>
      <c r="BR448" s="38" t="str">
        <f aca="false">IF(OR(AO448&lt;&gt;1,K448&lt;&gt;"Oui",O448=""),"",IF(AC448="",O448+DORA_H_DET/24,IF(AC448-O448&lt;=DORA_H_DET/24,MIN(AC448+DORA_H_CLA/24,O448+DORA_H_DET/24),AC448+DORA_H_CLA/24)))</f>
        <v/>
      </c>
      <c r="BS448" s="35" t="str">
        <f aca="true">IF(BR448="","",IF(AD448="",IF(NOW()&gt;BR448,0,""),IF(AD448&lt;=BR448,1,0)))</f>
        <v/>
      </c>
      <c r="BT448" s="35" t="str">
        <f aca="true">IF(OR(BR448="",AD448=""),"",IF(AE448="",IF(NOW()&gt;AD448+DORA_H_INT/24,0,""),IF(AE448&lt;=AD448+DORA_H_INT/24,1,0)))</f>
        <v/>
      </c>
      <c r="BU448" s="35" t="str">
        <f aca="true">IF(OR(BR448="",AE448=""),"",IF(AF448="",IF(NOW()&gt;EDATE(AE448,DORA_M_FIN)+1,0,""),IF(AF448&lt;=EDATE(AE448,DORA_M_FIN),1,0)))</f>
        <v/>
      </c>
      <c r="BV448" s="35" t="str">
        <f aca="false">IF(BR448="","",IF(COUNT(BS448:BU448)=0,"",MIN(BS448:BU448)))</f>
        <v/>
      </c>
      <c r="BW448" s="40" t="str">
        <f aca="false">IF(AQ448&lt;&gt;1,"",IF(AND(AG448="",AH448=""),"",N(AG448)-N(AH448)))</f>
        <v/>
      </c>
      <c r="BX448" s="35" t="str">
        <f aca="true">IF(OR(AQ448&lt;&gt;1,AI448&lt;&gt;"Oui",AJ448=""),"",IF(AK448="",IF(NOW()&gt;AJ448+1,0,""),IF(AK448&lt;=AJ448,1,0)))</f>
        <v/>
      </c>
    </row>
    <row r="449" customFormat="false" ht="15" hidden="false" customHeight="false" outlineLevel="0" collapsed="false">
      <c r="B449" s="29"/>
      <c r="C449" s="29"/>
      <c r="D449" s="29"/>
      <c r="E449" s="29"/>
      <c r="F449" s="29"/>
      <c r="G449" s="29"/>
      <c r="H449" s="29"/>
      <c r="I449" s="29"/>
      <c r="J449" s="29"/>
      <c r="K449" s="29"/>
      <c r="L449" s="29"/>
      <c r="M449" s="29"/>
      <c r="N449" s="30"/>
      <c r="O449" s="30"/>
      <c r="P449" s="30"/>
      <c r="Q449" s="30"/>
      <c r="R449" s="30"/>
      <c r="S449" s="30"/>
      <c r="T449" s="30"/>
      <c r="U449" s="30"/>
      <c r="V449" s="31"/>
      <c r="W449" s="29"/>
      <c r="X449" s="29"/>
      <c r="Y449" s="29"/>
      <c r="Z449" s="29"/>
      <c r="AA449" s="30"/>
      <c r="AB449" s="30"/>
      <c r="AC449" s="30"/>
      <c r="AD449" s="30"/>
      <c r="AE449" s="30"/>
      <c r="AF449" s="32"/>
      <c r="AG449" s="33"/>
      <c r="AH449" s="33"/>
      <c r="AI449" s="29"/>
      <c r="AJ449" s="32"/>
      <c r="AK449" s="32"/>
      <c r="AL449" s="29"/>
      <c r="AN449" s="34" t="str">
        <f aca="false">IF($B449="","",IF(OR(C449="",D449="",E449="",G449="",I449="",J449="",L449="",O449="",P449=""),"Champ obligatoire manquant",IF(OR(AND(N449&lt;&gt;"",N449&gt;O449),O449&gt;P449,AND(Q449&lt;&gt;"",Q449&lt;P449),AND(R449&lt;&gt;"",R449&lt;P449),AND(S449&lt;&gt;"",S449&lt;R449),AND(S449&lt;&gt;"",R449=""),AND(T449&lt;&gt;"",T449&lt;O449),AND(U449&lt;&gt;"",U449&lt;O449)),"Chronologie incohérente",IF(AND(OR(L449="Résolu",L449="Clos"),R449=""),"Date de résolution manquante",IF(AND(L449="Clos",S449=""),"Date de clôture manquante",IF(AND(K449="Oui",AC449=""),"Classification DORA manquante","OK"))))))</f>
        <v/>
      </c>
      <c r="AO449" s="35" t="str">
        <f aca="false">IF($B449="","",IF(AND(C449="Incident",L449&lt;&gt;"Annulé"),1,0))</f>
        <v/>
      </c>
      <c r="AP449" s="35" t="str">
        <f aca="false">IF($B449="","",IF(AND(C449="Quasi-incident",L449&lt;&gt;"Annulé"),1,0))</f>
        <v/>
      </c>
      <c r="AQ449" s="35" t="str">
        <f aca="false">IF($B449="","",AO449+AP449)</f>
        <v/>
      </c>
      <c r="AR449" s="36" t="str">
        <f aca="false">IF(OR($B449="",J449=""),"",IFERROR(VALUE(LEFT(J449,1)),""))</f>
        <v/>
      </c>
      <c r="AS449" s="35" t="str">
        <f aca="false">IF(OR(AO449&lt;&gt;1,G449=""),"",IFERROR(IF(INDEX(L_SrcInterne,MATCH(G449,L_Sources,0))="Oui",1,0),""))</f>
        <v/>
      </c>
      <c r="AT449" s="37" t="str">
        <f aca="false">IF(AO449&lt;&gt;1,"",IFERROR(ROUND(IF(OR(N449="",O449=""),"",IF(O449&lt;N449,"",ROUND(((NETWORKDAYS(N449,O449,JoursFeries)-1)*(HFer-HOuv)+IF(NETWORKDAYS(O449,O449,JoursFeries),MEDIAN(MOD(O449,1),HFer,HOuv),HFer)-IF(NETWORKDAYS(N449,N449,JoursFeries),MEDIAN(MOD(N449,1),HFer,HOuv),HOuv))*24,4)))/HJour,4),""))</f>
        <v/>
      </c>
      <c r="AU449" s="37" t="str">
        <f aca="false">IF(AO449&lt;&gt;1,"",IF(OR(O449="",P449=""),"",IF(P449&lt;O449,"",ROUND(((NETWORKDAYS(O449,P449,JoursFeries)-1)*(HFer-HOuv)+IF(NETWORKDAYS(P449,P449,JoursFeries),MEDIAN(MOD(P449,1),HFer,HOuv),HFer)-IF(NETWORKDAYS(O449,O449,JoursFeries),MEDIAN(MOD(O449,1),HFer,HOuv),HOuv))*24,4))))</f>
        <v/>
      </c>
      <c r="AV449" s="37" t="str">
        <f aca="false">IF(AO449&lt;&gt;1,"",IF(OR(P449="",Q449=""),"",IF(Q449&lt;P449,"",ROUND(((NETWORKDAYS(P449,Q449,JoursFeries)-1)*(HFer-HOuv)+IF(NETWORKDAYS(Q449,Q449,JoursFeries),MEDIAN(MOD(Q449,1),HFer,HOuv),HFer)-IF(NETWORKDAYS(P449,P449,JoursFeries),MEDIAN(MOD(P449,1),HFer,HOuv),HOuv))*24,4))))</f>
        <v/>
      </c>
      <c r="AW449" s="37" t="str">
        <f aca="false">IF(AO449&lt;&gt;1,"",IFERROR(ROUND(IF(OR(P449="",R449=""),"",IF(R449&lt;P449,"",ROUND(((NETWORKDAYS(P449,R449,JoursFeries)-1)*(HFer-HOuv)+IF(NETWORKDAYS(R449,R449,JoursFeries),MEDIAN(MOD(R449,1),HFer,HOuv),HFer)-IF(NETWORKDAYS(P449,P449,JoursFeries),MEDIAN(MOD(P449,1),HFer,HOuv),HOuv))*24,4)))/HJour,4),""))</f>
        <v/>
      </c>
      <c r="AX449" s="37" t="str">
        <f aca="false">IF(AO449&lt;&gt;1,"",IFERROR(ROUND(IF(OR(P449="",S449=""),"",IF(S449&lt;P449,"",ROUND(((NETWORKDAYS(P449,S449,JoursFeries)-1)*(HFer-HOuv)+IF(NETWORKDAYS(S449,S449,JoursFeries),MEDIAN(MOD(S449,1),HFer,HOuv),HFer)-IF(NETWORKDAYS(P449,P449,JoursFeries),MEDIAN(MOD(P449,1),HFer,HOuv),HOuv))*24,4)))/HJour,4),""))</f>
        <v/>
      </c>
      <c r="AY449" s="36" t="str">
        <f aca="false">IF(OR(AO449&lt;&gt;1,AR449=""),"",INDEX(SLA_PEC,AR449))</f>
        <v/>
      </c>
      <c r="AZ449" s="35" t="str">
        <f aca="false">IF(OR(AV449="",AY449=""),"",IF(AV449&lt;=AY449,1,0))</f>
        <v/>
      </c>
      <c r="BA449" s="36" t="str">
        <f aca="false">IF(OR(AO449&lt;&gt;1,AR449=""),"",INDEX(SLA_RES,AR449))</f>
        <v/>
      </c>
      <c r="BB449" s="35" t="str">
        <f aca="false">IF(OR(AW449="",BA449=""),"",IF(AW449&lt;=BA449,1,0))</f>
        <v/>
      </c>
      <c r="BC449" s="38" t="str">
        <f aca="false">IF(OR(BA449="",P449=""),"",WORKDAY(INT(P449),BA449,JoursFeries)+MOD(P449,1))</f>
        <v/>
      </c>
      <c r="BD449" s="39" t="str">
        <f aca="false">IF(AO449&lt;&gt;1,"",IF(OR(AB449&lt;&gt;"",AD449&lt;&gt;""),4,IF(U449&lt;&gt;"",3,IF(T449&lt;&gt;"",2,1))))</f>
        <v/>
      </c>
      <c r="BE449" s="39" t="str">
        <f aca="false">IF(OR(AO449&lt;&gt;1,AR449=""),"",INDEX(NIV_REQ,AR449))</f>
        <v/>
      </c>
      <c r="BF449" s="39" t="str">
        <f aca="false">IF(BE449="","",MAX(BE449,IF(OR(K449="Oui",Z449="Oui"),4,1)))</f>
        <v/>
      </c>
      <c r="BG449" s="35" t="str">
        <f aca="false">IF(OR(BF449="",BD449=""),"",IF(BD449&gt;=BF449,1,0))</f>
        <v/>
      </c>
      <c r="BH449" s="38" t="str">
        <f aca="false">IF(BE449="","",IF(BE449&lt;2,"",IF(BE449=2,IF(AND(T449="",U449=""),"",MIN(T449,U449)),IF(U449="","",U449))))</f>
        <v/>
      </c>
      <c r="BI449" s="37" t="str">
        <f aca="false">IF(BH449="","",IF(OR(O449="",BH449=""),"",IF(BH449&lt;O449,"",ROUND(((NETWORKDAYS(O449,BH449,JoursFeries)-1)*(HFer-HOuv)+IF(NETWORKDAYS(BH449,BH449,JoursFeries),MEDIAN(MOD(BH449,1),HFer,HOuv),HFer)-IF(NETWORKDAYS(O449,O449,JoursFeries),MEDIAN(MOD(O449,1),HFer,HOuv),HOuv))*24,4))))</f>
        <v/>
      </c>
      <c r="BJ449" s="35" t="str">
        <f aca="false">IF(OR(BI449="",AR449=""),"",IF(BI449&lt;=INDEX(DELAI_ESC,AR449),1,0))</f>
        <v/>
      </c>
      <c r="BK449" s="38" t="str">
        <f aca="false">IF(AO449&lt;&gt;1,"",IF(AND(T449="",U449=""),"",MIN(T449,U449)))</f>
        <v/>
      </c>
      <c r="BL449" s="37" t="str">
        <f aca="false">IF(OR(BK449="",R449=""),"",IFERROR(ROUND(IF(OR(BK449="",R449=""),"",IF(R449&lt;BK449,"",ROUND(((NETWORKDAYS(BK449,R449,JoursFeries)-1)*(HFer-HOuv)+IF(NETWORKDAYS(R449,R449,JoursFeries),MEDIAN(MOD(R449,1),HFer,HOuv),HFer)-IF(NETWORKDAYS(BK449,BK449,JoursFeries),MEDIAN(MOD(BK449,1),HFer,HOuv),HOuv))*24,4)))/HJour,4),""))</f>
        <v/>
      </c>
      <c r="BM449" s="35" t="str">
        <f aca="false">IF(OR(AO449&lt;&gt;1,R449=""),"",IF(BD449=1,1,0))</f>
        <v/>
      </c>
      <c r="BN449" s="35" t="str">
        <f aca="false">IF(AO449&lt;&gt;1,"",IF(W449="Oui",1,0))</f>
        <v/>
      </c>
      <c r="BO449" s="35" t="str">
        <f aca="false">IF(AO449&lt;&gt;1,"",IF(X449&lt;&gt;"",1,0))</f>
        <v/>
      </c>
      <c r="BP449" s="35" t="str">
        <f aca="false">IF(AO449&lt;&gt;1,"",IF(Y449="Oui",1,0))</f>
        <v/>
      </c>
      <c r="BQ449" s="35" t="str">
        <f aca="true">IF(OR(AO449&lt;&gt;1,Z449&lt;&gt;"Oui"),"",IF(AB449="",IF(AND(AA449&lt;&gt;"",NOW()&gt;AA449),0,""),IF(AA449="","",IF(AB449&lt;=AA449,1,0))))</f>
        <v/>
      </c>
      <c r="BR449" s="38" t="str">
        <f aca="false">IF(OR(AO449&lt;&gt;1,K449&lt;&gt;"Oui",O449=""),"",IF(AC449="",O449+DORA_H_DET/24,IF(AC449-O449&lt;=DORA_H_DET/24,MIN(AC449+DORA_H_CLA/24,O449+DORA_H_DET/24),AC449+DORA_H_CLA/24)))</f>
        <v/>
      </c>
      <c r="BS449" s="35" t="str">
        <f aca="true">IF(BR449="","",IF(AD449="",IF(NOW()&gt;BR449,0,""),IF(AD449&lt;=BR449,1,0)))</f>
        <v/>
      </c>
      <c r="BT449" s="35" t="str">
        <f aca="true">IF(OR(BR449="",AD449=""),"",IF(AE449="",IF(NOW()&gt;AD449+DORA_H_INT/24,0,""),IF(AE449&lt;=AD449+DORA_H_INT/24,1,0)))</f>
        <v/>
      </c>
      <c r="BU449" s="35" t="str">
        <f aca="true">IF(OR(BR449="",AE449=""),"",IF(AF449="",IF(NOW()&gt;EDATE(AE449,DORA_M_FIN)+1,0,""),IF(AF449&lt;=EDATE(AE449,DORA_M_FIN),1,0)))</f>
        <v/>
      </c>
      <c r="BV449" s="35" t="str">
        <f aca="false">IF(BR449="","",IF(COUNT(BS449:BU449)=0,"",MIN(BS449:BU449)))</f>
        <v/>
      </c>
      <c r="BW449" s="40" t="str">
        <f aca="false">IF(AQ449&lt;&gt;1,"",IF(AND(AG449="",AH449=""),"",N(AG449)-N(AH449)))</f>
        <v/>
      </c>
      <c r="BX449" s="35" t="str">
        <f aca="true">IF(OR(AQ449&lt;&gt;1,AI449&lt;&gt;"Oui",AJ449=""),"",IF(AK449="",IF(NOW()&gt;AJ449+1,0,""),IF(AK449&lt;=AJ449,1,0)))</f>
        <v/>
      </c>
    </row>
    <row r="450" customFormat="false" ht="15" hidden="false" customHeight="false" outlineLevel="0" collapsed="false">
      <c r="B450" s="29"/>
      <c r="C450" s="29"/>
      <c r="D450" s="29"/>
      <c r="E450" s="29"/>
      <c r="F450" s="29"/>
      <c r="G450" s="29"/>
      <c r="H450" s="29"/>
      <c r="I450" s="29"/>
      <c r="J450" s="29"/>
      <c r="K450" s="29"/>
      <c r="L450" s="29"/>
      <c r="M450" s="29"/>
      <c r="N450" s="30"/>
      <c r="O450" s="30"/>
      <c r="P450" s="30"/>
      <c r="Q450" s="30"/>
      <c r="R450" s="30"/>
      <c r="S450" s="30"/>
      <c r="T450" s="30"/>
      <c r="U450" s="30"/>
      <c r="V450" s="31"/>
      <c r="W450" s="29"/>
      <c r="X450" s="29"/>
      <c r="Y450" s="29"/>
      <c r="Z450" s="29"/>
      <c r="AA450" s="30"/>
      <c r="AB450" s="30"/>
      <c r="AC450" s="30"/>
      <c r="AD450" s="30"/>
      <c r="AE450" s="30"/>
      <c r="AF450" s="32"/>
      <c r="AG450" s="33"/>
      <c r="AH450" s="33"/>
      <c r="AI450" s="29"/>
      <c r="AJ450" s="32"/>
      <c r="AK450" s="32"/>
      <c r="AL450" s="29"/>
      <c r="AN450" s="34" t="str">
        <f aca="false">IF($B450="","",IF(OR(C450="",D450="",E450="",G450="",I450="",J450="",L450="",O450="",P450=""),"Champ obligatoire manquant",IF(OR(AND(N450&lt;&gt;"",N450&gt;O450),O450&gt;P450,AND(Q450&lt;&gt;"",Q450&lt;P450),AND(R450&lt;&gt;"",R450&lt;P450),AND(S450&lt;&gt;"",S450&lt;R450),AND(S450&lt;&gt;"",R450=""),AND(T450&lt;&gt;"",T450&lt;O450),AND(U450&lt;&gt;"",U450&lt;O450)),"Chronologie incohérente",IF(AND(OR(L450="Résolu",L450="Clos"),R450=""),"Date de résolution manquante",IF(AND(L450="Clos",S450=""),"Date de clôture manquante",IF(AND(K450="Oui",AC450=""),"Classification DORA manquante","OK"))))))</f>
        <v/>
      </c>
      <c r="AO450" s="35" t="str">
        <f aca="false">IF($B450="","",IF(AND(C450="Incident",L450&lt;&gt;"Annulé"),1,0))</f>
        <v/>
      </c>
      <c r="AP450" s="35" t="str">
        <f aca="false">IF($B450="","",IF(AND(C450="Quasi-incident",L450&lt;&gt;"Annulé"),1,0))</f>
        <v/>
      </c>
      <c r="AQ450" s="35" t="str">
        <f aca="false">IF($B450="","",AO450+AP450)</f>
        <v/>
      </c>
      <c r="AR450" s="36" t="str">
        <f aca="false">IF(OR($B450="",J450=""),"",IFERROR(VALUE(LEFT(J450,1)),""))</f>
        <v/>
      </c>
      <c r="AS450" s="35" t="str">
        <f aca="false">IF(OR(AO450&lt;&gt;1,G450=""),"",IFERROR(IF(INDEX(L_SrcInterne,MATCH(G450,L_Sources,0))="Oui",1,0),""))</f>
        <v/>
      </c>
      <c r="AT450" s="37" t="str">
        <f aca="false">IF(AO450&lt;&gt;1,"",IFERROR(ROUND(IF(OR(N450="",O450=""),"",IF(O450&lt;N450,"",ROUND(((NETWORKDAYS(N450,O450,JoursFeries)-1)*(HFer-HOuv)+IF(NETWORKDAYS(O450,O450,JoursFeries),MEDIAN(MOD(O450,1),HFer,HOuv),HFer)-IF(NETWORKDAYS(N450,N450,JoursFeries),MEDIAN(MOD(N450,1),HFer,HOuv),HOuv))*24,4)))/HJour,4),""))</f>
        <v/>
      </c>
      <c r="AU450" s="37" t="str">
        <f aca="false">IF(AO450&lt;&gt;1,"",IF(OR(O450="",P450=""),"",IF(P450&lt;O450,"",ROUND(((NETWORKDAYS(O450,P450,JoursFeries)-1)*(HFer-HOuv)+IF(NETWORKDAYS(P450,P450,JoursFeries),MEDIAN(MOD(P450,1),HFer,HOuv),HFer)-IF(NETWORKDAYS(O450,O450,JoursFeries),MEDIAN(MOD(O450,1),HFer,HOuv),HOuv))*24,4))))</f>
        <v/>
      </c>
      <c r="AV450" s="37" t="str">
        <f aca="false">IF(AO450&lt;&gt;1,"",IF(OR(P450="",Q450=""),"",IF(Q450&lt;P450,"",ROUND(((NETWORKDAYS(P450,Q450,JoursFeries)-1)*(HFer-HOuv)+IF(NETWORKDAYS(Q450,Q450,JoursFeries),MEDIAN(MOD(Q450,1),HFer,HOuv),HFer)-IF(NETWORKDAYS(P450,P450,JoursFeries),MEDIAN(MOD(P450,1),HFer,HOuv),HOuv))*24,4))))</f>
        <v/>
      </c>
      <c r="AW450" s="37" t="str">
        <f aca="false">IF(AO450&lt;&gt;1,"",IFERROR(ROUND(IF(OR(P450="",R450=""),"",IF(R450&lt;P450,"",ROUND(((NETWORKDAYS(P450,R450,JoursFeries)-1)*(HFer-HOuv)+IF(NETWORKDAYS(R450,R450,JoursFeries),MEDIAN(MOD(R450,1),HFer,HOuv),HFer)-IF(NETWORKDAYS(P450,P450,JoursFeries),MEDIAN(MOD(P450,1),HFer,HOuv),HOuv))*24,4)))/HJour,4),""))</f>
        <v/>
      </c>
      <c r="AX450" s="37" t="str">
        <f aca="false">IF(AO450&lt;&gt;1,"",IFERROR(ROUND(IF(OR(P450="",S450=""),"",IF(S450&lt;P450,"",ROUND(((NETWORKDAYS(P450,S450,JoursFeries)-1)*(HFer-HOuv)+IF(NETWORKDAYS(S450,S450,JoursFeries),MEDIAN(MOD(S450,1),HFer,HOuv),HFer)-IF(NETWORKDAYS(P450,P450,JoursFeries),MEDIAN(MOD(P450,1),HFer,HOuv),HOuv))*24,4)))/HJour,4),""))</f>
        <v/>
      </c>
      <c r="AY450" s="36" t="str">
        <f aca="false">IF(OR(AO450&lt;&gt;1,AR450=""),"",INDEX(SLA_PEC,AR450))</f>
        <v/>
      </c>
      <c r="AZ450" s="35" t="str">
        <f aca="false">IF(OR(AV450="",AY450=""),"",IF(AV450&lt;=AY450,1,0))</f>
        <v/>
      </c>
      <c r="BA450" s="36" t="str">
        <f aca="false">IF(OR(AO450&lt;&gt;1,AR450=""),"",INDEX(SLA_RES,AR450))</f>
        <v/>
      </c>
      <c r="BB450" s="35" t="str">
        <f aca="false">IF(OR(AW450="",BA450=""),"",IF(AW450&lt;=BA450,1,0))</f>
        <v/>
      </c>
      <c r="BC450" s="38" t="str">
        <f aca="false">IF(OR(BA450="",P450=""),"",WORKDAY(INT(P450),BA450,JoursFeries)+MOD(P450,1))</f>
        <v/>
      </c>
      <c r="BD450" s="39" t="str">
        <f aca="false">IF(AO450&lt;&gt;1,"",IF(OR(AB450&lt;&gt;"",AD450&lt;&gt;""),4,IF(U450&lt;&gt;"",3,IF(T450&lt;&gt;"",2,1))))</f>
        <v/>
      </c>
      <c r="BE450" s="39" t="str">
        <f aca="false">IF(OR(AO450&lt;&gt;1,AR450=""),"",INDEX(NIV_REQ,AR450))</f>
        <v/>
      </c>
      <c r="BF450" s="39" t="str">
        <f aca="false">IF(BE450="","",MAX(BE450,IF(OR(K450="Oui",Z450="Oui"),4,1)))</f>
        <v/>
      </c>
      <c r="BG450" s="35" t="str">
        <f aca="false">IF(OR(BF450="",BD450=""),"",IF(BD450&gt;=BF450,1,0))</f>
        <v/>
      </c>
      <c r="BH450" s="38" t="str">
        <f aca="false">IF(BE450="","",IF(BE450&lt;2,"",IF(BE450=2,IF(AND(T450="",U450=""),"",MIN(T450,U450)),IF(U450="","",U450))))</f>
        <v/>
      </c>
      <c r="BI450" s="37" t="str">
        <f aca="false">IF(BH450="","",IF(OR(O450="",BH450=""),"",IF(BH450&lt;O450,"",ROUND(((NETWORKDAYS(O450,BH450,JoursFeries)-1)*(HFer-HOuv)+IF(NETWORKDAYS(BH450,BH450,JoursFeries),MEDIAN(MOD(BH450,1),HFer,HOuv),HFer)-IF(NETWORKDAYS(O450,O450,JoursFeries),MEDIAN(MOD(O450,1),HFer,HOuv),HOuv))*24,4))))</f>
        <v/>
      </c>
      <c r="BJ450" s="35" t="str">
        <f aca="false">IF(OR(BI450="",AR450=""),"",IF(BI450&lt;=INDEX(DELAI_ESC,AR450),1,0))</f>
        <v/>
      </c>
      <c r="BK450" s="38" t="str">
        <f aca="false">IF(AO450&lt;&gt;1,"",IF(AND(T450="",U450=""),"",MIN(T450,U450)))</f>
        <v/>
      </c>
      <c r="BL450" s="37" t="str">
        <f aca="false">IF(OR(BK450="",R450=""),"",IFERROR(ROUND(IF(OR(BK450="",R450=""),"",IF(R450&lt;BK450,"",ROUND(((NETWORKDAYS(BK450,R450,JoursFeries)-1)*(HFer-HOuv)+IF(NETWORKDAYS(R450,R450,JoursFeries),MEDIAN(MOD(R450,1),HFer,HOuv),HFer)-IF(NETWORKDAYS(BK450,BK450,JoursFeries),MEDIAN(MOD(BK450,1),HFer,HOuv),HOuv))*24,4)))/HJour,4),""))</f>
        <v/>
      </c>
      <c r="BM450" s="35" t="str">
        <f aca="false">IF(OR(AO450&lt;&gt;1,R450=""),"",IF(BD450=1,1,0))</f>
        <v/>
      </c>
      <c r="BN450" s="35" t="str">
        <f aca="false">IF(AO450&lt;&gt;1,"",IF(W450="Oui",1,0))</f>
        <v/>
      </c>
      <c r="BO450" s="35" t="str">
        <f aca="false">IF(AO450&lt;&gt;1,"",IF(X450&lt;&gt;"",1,0))</f>
        <v/>
      </c>
      <c r="BP450" s="35" t="str">
        <f aca="false">IF(AO450&lt;&gt;1,"",IF(Y450="Oui",1,0))</f>
        <v/>
      </c>
      <c r="BQ450" s="35" t="str">
        <f aca="true">IF(OR(AO450&lt;&gt;1,Z450&lt;&gt;"Oui"),"",IF(AB450="",IF(AND(AA450&lt;&gt;"",NOW()&gt;AA450),0,""),IF(AA450="","",IF(AB450&lt;=AA450,1,0))))</f>
        <v/>
      </c>
      <c r="BR450" s="38" t="str">
        <f aca="false">IF(OR(AO450&lt;&gt;1,K450&lt;&gt;"Oui",O450=""),"",IF(AC450="",O450+DORA_H_DET/24,IF(AC450-O450&lt;=DORA_H_DET/24,MIN(AC450+DORA_H_CLA/24,O450+DORA_H_DET/24),AC450+DORA_H_CLA/24)))</f>
        <v/>
      </c>
      <c r="BS450" s="35" t="str">
        <f aca="true">IF(BR450="","",IF(AD450="",IF(NOW()&gt;BR450,0,""),IF(AD450&lt;=BR450,1,0)))</f>
        <v/>
      </c>
      <c r="BT450" s="35" t="str">
        <f aca="true">IF(OR(BR450="",AD450=""),"",IF(AE450="",IF(NOW()&gt;AD450+DORA_H_INT/24,0,""),IF(AE450&lt;=AD450+DORA_H_INT/24,1,0)))</f>
        <v/>
      </c>
      <c r="BU450" s="35" t="str">
        <f aca="true">IF(OR(BR450="",AE450=""),"",IF(AF450="",IF(NOW()&gt;EDATE(AE450,DORA_M_FIN)+1,0,""),IF(AF450&lt;=EDATE(AE450,DORA_M_FIN),1,0)))</f>
        <v/>
      </c>
      <c r="BV450" s="35" t="str">
        <f aca="false">IF(BR450="","",IF(COUNT(BS450:BU450)=0,"",MIN(BS450:BU450)))</f>
        <v/>
      </c>
      <c r="BW450" s="40" t="str">
        <f aca="false">IF(AQ450&lt;&gt;1,"",IF(AND(AG450="",AH450=""),"",N(AG450)-N(AH450)))</f>
        <v/>
      </c>
      <c r="BX450" s="35" t="str">
        <f aca="true">IF(OR(AQ450&lt;&gt;1,AI450&lt;&gt;"Oui",AJ450=""),"",IF(AK450="",IF(NOW()&gt;AJ450+1,0,""),IF(AK450&lt;=AJ450,1,0)))</f>
        <v/>
      </c>
    </row>
    <row r="451" customFormat="false" ht="15" hidden="false" customHeight="false" outlineLevel="0" collapsed="false">
      <c r="B451" s="29"/>
      <c r="C451" s="29"/>
      <c r="D451" s="29"/>
      <c r="E451" s="29"/>
      <c r="F451" s="29"/>
      <c r="G451" s="29"/>
      <c r="H451" s="29"/>
      <c r="I451" s="29"/>
      <c r="J451" s="29"/>
      <c r="K451" s="29"/>
      <c r="L451" s="29"/>
      <c r="M451" s="29"/>
      <c r="N451" s="30"/>
      <c r="O451" s="30"/>
      <c r="P451" s="30"/>
      <c r="Q451" s="30"/>
      <c r="R451" s="30"/>
      <c r="S451" s="30"/>
      <c r="T451" s="30"/>
      <c r="U451" s="30"/>
      <c r="V451" s="31"/>
      <c r="W451" s="29"/>
      <c r="X451" s="29"/>
      <c r="Y451" s="29"/>
      <c r="Z451" s="29"/>
      <c r="AA451" s="30"/>
      <c r="AB451" s="30"/>
      <c r="AC451" s="30"/>
      <c r="AD451" s="30"/>
      <c r="AE451" s="30"/>
      <c r="AF451" s="32"/>
      <c r="AG451" s="33"/>
      <c r="AH451" s="33"/>
      <c r="AI451" s="29"/>
      <c r="AJ451" s="32"/>
      <c r="AK451" s="32"/>
      <c r="AL451" s="29"/>
      <c r="AN451" s="34" t="str">
        <f aca="false">IF($B451="","",IF(OR(C451="",D451="",E451="",G451="",I451="",J451="",L451="",O451="",P451=""),"Champ obligatoire manquant",IF(OR(AND(N451&lt;&gt;"",N451&gt;O451),O451&gt;P451,AND(Q451&lt;&gt;"",Q451&lt;P451),AND(R451&lt;&gt;"",R451&lt;P451),AND(S451&lt;&gt;"",S451&lt;R451),AND(S451&lt;&gt;"",R451=""),AND(T451&lt;&gt;"",T451&lt;O451),AND(U451&lt;&gt;"",U451&lt;O451)),"Chronologie incohérente",IF(AND(OR(L451="Résolu",L451="Clos"),R451=""),"Date de résolution manquante",IF(AND(L451="Clos",S451=""),"Date de clôture manquante",IF(AND(K451="Oui",AC451=""),"Classification DORA manquante","OK"))))))</f>
        <v/>
      </c>
      <c r="AO451" s="35" t="str">
        <f aca="false">IF($B451="","",IF(AND(C451="Incident",L451&lt;&gt;"Annulé"),1,0))</f>
        <v/>
      </c>
      <c r="AP451" s="35" t="str">
        <f aca="false">IF($B451="","",IF(AND(C451="Quasi-incident",L451&lt;&gt;"Annulé"),1,0))</f>
        <v/>
      </c>
      <c r="AQ451" s="35" t="str">
        <f aca="false">IF($B451="","",AO451+AP451)</f>
        <v/>
      </c>
      <c r="AR451" s="36" t="str">
        <f aca="false">IF(OR($B451="",J451=""),"",IFERROR(VALUE(LEFT(J451,1)),""))</f>
        <v/>
      </c>
      <c r="AS451" s="35" t="str">
        <f aca="false">IF(OR(AO451&lt;&gt;1,G451=""),"",IFERROR(IF(INDEX(L_SrcInterne,MATCH(G451,L_Sources,0))="Oui",1,0),""))</f>
        <v/>
      </c>
      <c r="AT451" s="37" t="str">
        <f aca="false">IF(AO451&lt;&gt;1,"",IFERROR(ROUND(IF(OR(N451="",O451=""),"",IF(O451&lt;N451,"",ROUND(((NETWORKDAYS(N451,O451,JoursFeries)-1)*(HFer-HOuv)+IF(NETWORKDAYS(O451,O451,JoursFeries),MEDIAN(MOD(O451,1),HFer,HOuv),HFer)-IF(NETWORKDAYS(N451,N451,JoursFeries),MEDIAN(MOD(N451,1),HFer,HOuv),HOuv))*24,4)))/HJour,4),""))</f>
        <v/>
      </c>
      <c r="AU451" s="37" t="str">
        <f aca="false">IF(AO451&lt;&gt;1,"",IF(OR(O451="",P451=""),"",IF(P451&lt;O451,"",ROUND(((NETWORKDAYS(O451,P451,JoursFeries)-1)*(HFer-HOuv)+IF(NETWORKDAYS(P451,P451,JoursFeries),MEDIAN(MOD(P451,1),HFer,HOuv),HFer)-IF(NETWORKDAYS(O451,O451,JoursFeries),MEDIAN(MOD(O451,1),HFer,HOuv),HOuv))*24,4))))</f>
        <v/>
      </c>
      <c r="AV451" s="37" t="str">
        <f aca="false">IF(AO451&lt;&gt;1,"",IF(OR(P451="",Q451=""),"",IF(Q451&lt;P451,"",ROUND(((NETWORKDAYS(P451,Q451,JoursFeries)-1)*(HFer-HOuv)+IF(NETWORKDAYS(Q451,Q451,JoursFeries),MEDIAN(MOD(Q451,1),HFer,HOuv),HFer)-IF(NETWORKDAYS(P451,P451,JoursFeries),MEDIAN(MOD(P451,1),HFer,HOuv),HOuv))*24,4))))</f>
        <v/>
      </c>
      <c r="AW451" s="37" t="str">
        <f aca="false">IF(AO451&lt;&gt;1,"",IFERROR(ROUND(IF(OR(P451="",R451=""),"",IF(R451&lt;P451,"",ROUND(((NETWORKDAYS(P451,R451,JoursFeries)-1)*(HFer-HOuv)+IF(NETWORKDAYS(R451,R451,JoursFeries),MEDIAN(MOD(R451,1),HFer,HOuv),HFer)-IF(NETWORKDAYS(P451,P451,JoursFeries),MEDIAN(MOD(P451,1),HFer,HOuv),HOuv))*24,4)))/HJour,4),""))</f>
        <v/>
      </c>
      <c r="AX451" s="37" t="str">
        <f aca="false">IF(AO451&lt;&gt;1,"",IFERROR(ROUND(IF(OR(P451="",S451=""),"",IF(S451&lt;P451,"",ROUND(((NETWORKDAYS(P451,S451,JoursFeries)-1)*(HFer-HOuv)+IF(NETWORKDAYS(S451,S451,JoursFeries),MEDIAN(MOD(S451,1),HFer,HOuv),HFer)-IF(NETWORKDAYS(P451,P451,JoursFeries),MEDIAN(MOD(P451,1),HFer,HOuv),HOuv))*24,4)))/HJour,4),""))</f>
        <v/>
      </c>
      <c r="AY451" s="36" t="str">
        <f aca="false">IF(OR(AO451&lt;&gt;1,AR451=""),"",INDEX(SLA_PEC,AR451))</f>
        <v/>
      </c>
      <c r="AZ451" s="35" t="str">
        <f aca="false">IF(OR(AV451="",AY451=""),"",IF(AV451&lt;=AY451,1,0))</f>
        <v/>
      </c>
      <c r="BA451" s="36" t="str">
        <f aca="false">IF(OR(AO451&lt;&gt;1,AR451=""),"",INDEX(SLA_RES,AR451))</f>
        <v/>
      </c>
      <c r="BB451" s="35" t="str">
        <f aca="false">IF(OR(AW451="",BA451=""),"",IF(AW451&lt;=BA451,1,0))</f>
        <v/>
      </c>
      <c r="BC451" s="38" t="str">
        <f aca="false">IF(OR(BA451="",P451=""),"",WORKDAY(INT(P451),BA451,JoursFeries)+MOD(P451,1))</f>
        <v/>
      </c>
      <c r="BD451" s="39" t="str">
        <f aca="false">IF(AO451&lt;&gt;1,"",IF(OR(AB451&lt;&gt;"",AD451&lt;&gt;""),4,IF(U451&lt;&gt;"",3,IF(T451&lt;&gt;"",2,1))))</f>
        <v/>
      </c>
      <c r="BE451" s="39" t="str">
        <f aca="false">IF(OR(AO451&lt;&gt;1,AR451=""),"",INDEX(NIV_REQ,AR451))</f>
        <v/>
      </c>
      <c r="BF451" s="39" t="str">
        <f aca="false">IF(BE451="","",MAX(BE451,IF(OR(K451="Oui",Z451="Oui"),4,1)))</f>
        <v/>
      </c>
      <c r="BG451" s="35" t="str">
        <f aca="false">IF(OR(BF451="",BD451=""),"",IF(BD451&gt;=BF451,1,0))</f>
        <v/>
      </c>
      <c r="BH451" s="38" t="str">
        <f aca="false">IF(BE451="","",IF(BE451&lt;2,"",IF(BE451=2,IF(AND(T451="",U451=""),"",MIN(T451,U451)),IF(U451="","",U451))))</f>
        <v/>
      </c>
      <c r="BI451" s="37" t="str">
        <f aca="false">IF(BH451="","",IF(OR(O451="",BH451=""),"",IF(BH451&lt;O451,"",ROUND(((NETWORKDAYS(O451,BH451,JoursFeries)-1)*(HFer-HOuv)+IF(NETWORKDAYS(BH451,BH451,JoursFeries),MEDIAN(MOD(BH451,1),HFer,HOuv),HFer)-IF(NETWORKDAYS(O451,O451,JoursFeries),MEDIAN(MOD(O451,1),HFer,HOuv),HOuv))*24,4))))</f>
        <v/>
      </c>
      <c r="BJ451" s="35" t="str">
        <f aca="false">IF(OR(BI451="",AR451=""),"",IF(BI451&lt;=INDEX(DELAI_ESC,AR451),1,0))</f>
        <v/>
      </c>
      <c r="BK451" s="38" t="str">
        <f aca="false">IF(AO451&lt;&gt;1,"",IF(AND(T451="",U451=""),"",MIN(T451,U451)))</f>
        <v/>
      </c>
      <c r="BL451" s="37" t="str">
        <f aca="false">IF(OR(BK451="",R451=""),"",IFERROR(ROUND(IF(OR(BK451="",R451=""),"",IF(R451&lt;BK451,"",ROUND(((NETWORKDAYS(BK451,R451,JoursFeries)-1)*(HFer-HOuv)+IF(NETWORKDAYS(R451,R451,JoursFeries),MEDIAN(MOD(R451,1),HFer,HOuv),HFer)-IF(NETWORKDAYS(BK451,BK451,JoursFeries),MEDIAN(MOD(BK451,1),HFer,HOuv),HOuv))*24,4)))/HJour,4),""))</f>
        <v/>
      </c>
      <c r="BM451" s="35" t="str">
        <f aca="false">IF(OR(AO451&lt;&gt;1,R451=""),"",IF(BD451=1,1,0))</f>
        <v/>
      </c>
      <c r="BN451" s="35" t="str">
        <f aca="false">IF(AO451&lt;&gt;1,"",IF(W451="Oui",1,0))</f>
        <v/>
      </c>
      <c r="BO451" s="35" t="str">
        <f aca="false">IF(AO451&lt;&gt;1,"",IF(X451&lt;&gt;"",1,0))</f>
        <v/>
      </c>
      <c r="BP451" s="35" t="str">
        <f aca="false">IF(AO451&lt;&gt;1,"",IF(Y451="Oui",1,0))</f>
        <v/>
      </c>
      <c r="BQ451" s="35" t="str">
        <f aca="true">IF(OR(AO451&lt;&gt;1,Z451&lt;&gt;"Oui"),"",IF(AB451="",IF(AND(AA451&lt;&gt;"",NOW()&gt;AA451),0,""),IF(AA451="","",IF(AB451&lt;=AA451,1,0))))</f>
        <v/>
      </c>
      <c r="BR451" s="38" t="str">
        <f aca="false">IF(OR(AO451&lt;&gt;1,K451&lt;&gt;"Oui",O451=""),"",IF(AC451="",O451+DORA_H_DET/24,IF(AC451-O451&lt;=DORA_H_DET/24,MIN(AC451+DORA_H_CLA/24,O451+DORA_H_DET/24),AC451+DORA_H_CLA/24)))</f>
        <v/>
      </c>
      <c r="BS451" s="35" t="str">
        <f aca="true">IF(BR451="","",IF(AD451="",IF(NOW()&gt;BR451,0,""),IF(AD451&lt;=BR451,1,0)))</f>
        <v/>
      </c>
      <c r="BT451" s="35" t="str">
        <f aca="true">IF(OR(BR451="",AD451=""),"",IF(AE451="",IF(NOW()&gt;AD451+DORA_H_INT/24,0,""),IF(AE451&lt;=AD451+DORA_H_INT/24,1,0)))</f>
        <v/>
      </c>
      <c r="BU451" s="35" t="str">
        <f aca="true">IF(OR(BR451="",AE451=""),"",IF(AF451="",IF(NOW()&gt;EDATE(AE451,DORA_M_FIN)+1,0,""),IF(AF451&lt;=EDATE(AE451,DORA_M_FIN),1,0)))</f>
        <v/>
      </c>
      <c r="BV451" s="35" t="str">
        <f aca="false">IF(BR451="","",IF(COUNT(BS451:BU451)=0,"",MIN(BS451:BU451)))</f>
        <v/>
      </c>
      <c r="BW451" s="40" t="str">
        <f aca="false">IF(AQ451&lt;&gt;1,"",IF(AND(AG451="",AH451=""),"",N(AG451)-N(AH451)))</f>
        <v/>
      </c>
      <c r="BX451" s="35" t="str">
        <f aca="true">IF(OR(AQ451&lt;&gt;1,AI451&lt;&gt;"Oui",AJ451=""),"",IF(AK451="",IF(NOW()&gt;AJ451+1,0,""),IF(AK451&lt;=AJ451,1,0)))</f>
        <v/>
      </c>
    </row>
    <row r="452" customFormat="false" ht="15" hidden="false" customHeight="false" outlineLevel="0" collapsed="false">
      <c r="B452" s="29"/>
      <c r="C452" s="29"/>
      <c r="D452" s="29"/>
      <c r="E452" s="29"/>
      <c r="F452" s="29"/>
      <c r="G452" s="29"/>
      <c r="H452" s="29"/>
      <c r="I452" s="29"/>
      <c r="J452" s="29"/>
      <c r="K452" s="29"/>
      <c r="L452" s="29"/>
      <c r="M452" s="29"/>
      <c r="N452" s="30"/>
      <c r="O452" s="30"/>
      <c r="P452" s="30"/>
      <c r="Q452" s="30"/>
      <c r="R452" s="30"/>
      <c r="S452" s="30"/>
      <c r="T452" s="30"/>
      <c r="U452" s="30"/>
      <c r="V452" s="31"/>
      <c r="W452" s="29"/>
      <c r="X452" s="29"/>
      <c r="Y452" s="29"/>
      <c r="Z452" s="29"/>
      <c r="AA452" s="30"/>
      <c r="AB452" s="30"/>
      <c r="AC452" s="30"/>
      <c r="AD452" s="30"/>
      <c r="AE452" s="30"/>
      <c r="AF452" s="32"/>
      <c r="AG452" s="33"/>
      <c r="AH452" s="33"/>
      <c r="AI452" s="29"/>
      <c r="AJ452" s="32"/>
      <c r="AK452" s="32"/>
      <c r="AL452" s="29"/>
      <c r="AN452" s="34" t="str">
        <f aca="false">IF($B452="","",IF(OR(C452="",D452="",E452="",G452="",I452="",J452="",L452="",O452="",P452=""),"Champ obligatoire manquant",IF(OR(AND(N452&lt;&gt;"",N452&gt;O452),O452&gt;P452,AND(Q452&lt;&gt;"",Q452&lt;P452),AND(R452&lt;&gt;"",R452&lt;P452),AND(S452&lt;&gt;"",S452&lt;R452),AND(S452&lt;&gt;"",R452=""),AND(T452&lt;&gt;"",T452&lt;O452),AND(U452&lt;&gt;"",U452&lt;O452)),"Chronologie incohérente",IF(AND(OR(L452="Résolu",L452="Clos"),R452=""),"Date de résolution manquante",IF(AND(L452="Clos",S452=""),"Date de clôture manquante",IF(AND(K452="Oui",AC452=""),"Classification DORA manquante","OK"))))))</f>
        <v/>
      </c>
      <c r="AO452" s="35" t="str">
        <f aca="false">IF($B452="","",IF(AND(C452="Incident",L452&lt;&gt;"Annulé"),1,0))</f>
        <v/>
      </c>
      <c r="AP452" s="35" t="str">
        <f aca="false">IF($B452="","",IF(AND(C452="Quasi-incident",L452&lt;&gt;"Annulé"),1,0))</f>
        <v/>
      </c>
      <c r="AQ452" s="35" t="str">
        <f aca="false">IF($B452="","",AO452+AP452)</f>
        <v/>
      </c>
      <c r="AR452" s="36" t="str">
        <f aca="false">IF(OR($B452="",J452=""),"",IFERROR(VALUE(LEFT(J452,1)),""))</f>
        <v/>
      </c>
      <c r="AS452" s="35" t="str">
        <f aca="false">IF(OR(AO452&lt;&gt;1,G452=""),"",IFERROR(IF(INDEX(L_SrcInterne,MATCH(G452,L_Sources,0))="Oui",1,0),""))</f>
        <v/>
      </c>
      <c r="AT452" s="37" t="str">
        <f aca="false">IF(AO452&lt;&gt;1,"",IFERROR(ROUND(IF(OR(N452="",O452=""),"",IF(O452&lt;N452,"",ROUND(((NETWORKDAYS(N452,O452,JoursFeries)-1)*(HFer-HOuv)+IF(NETWORKDAYS(O452,O452,JoursFeries),MEDIAN(MOD(O452,1),HFer,HOuv),HFer)-IF(NETWORKDAYS(N452,N452,JoursFeries),MEDIAN(MOD(N452,1),HFer,HOuv),HOuv))*24,4)))/HJour,4),""))</f>
        <v/>
      </c>
      <c r="AU452" s="37" t="str">
        <f aca="false">IF(AO452&lt;&gt;1,"",IF(OR(O452="",P452=""),"",IF(P452&lt;O452,"",ROUND(((NETWORKDAYS(O452,P452,JoursFeries)-1)*(HFer-HOuv)+IF(NETWORKDAYS(P452,P452,JoursFeries),MEDIAN(MOD(P452,1),HFer,HOuv),HFer)-IF(NETWORKDAYS(O452,O452,JoursFeries),MEDIAN(MOD(O452,1),HFer,HOuv),HOuv))*24,4))))</f>
        <v/>
      </c>
      <c r="AV452" s="37" t="str">
        <f aca="false">IF(AO452&lt;&gt;1,"",IF(OR(P452="",Q452=""),"",IF(Q452&lt;P452,"",ROUND(((NETWORKDAYS(P452,Q452,JoursFeries)-1)*(HFer-HOuv)+IF(NETWORKDAYS(Q452,Q452,JoursFeries),MEDIAN(MOD(Q452,1),HFer,HOuv),HFer)-IF(NETWORKDAYS(P452,P452,JoursFeries),MEDIAN(MOD(P452,1),HFer,HOuv),HOuv))*24,4))))</f>
        <v/>
      </c>
      <c r="AW452" s="37" t="str">
        <f aca="false">IF(AO452&lt;&gt;1,"",IFERROR(ROUND(IF(OR(P452="",R452=""),"",IF(R452&lt;P452,"",ROUND(((NETWORKDAYS(P452,R452,JoursFeries)-1)*(HFer-HOuv)+IF(NETWORKDAYS(R452,R452,JoursFeries),MEDIAN(MOD(R452,1),HFer,HOuv),HFer)-IF(NETWORKDAYS(P452,P452,JoursFeries),MEDIAN(MOD(P452,1),HFer,HOuv),HOuv))*24,4)))/HJour,4),""))</f>
        <v/>
      </c>
      <c r="AX452" s="37" t="str">
        <f aca="false">IF(AO452&lt;&gt;1,"",IFERROR(ROUND(IF(OR(P452="",S452=""),"",IF(S452&lt;P452,"",ROUND(((NETWORKDAYS(P452,S452,JoursFeries)-1)*(HFer-HOuv)+IF(NETWORKDAYS(S452,S452,JoursFeries),MEDIAN(MOD(S452,1),HFer,HOuv),HFer)-IF(NETWORKDAYS(P452,P452,JoursFeries),MEDIAN(MOD(P452,1),HFer,HOuv),HOuv))*24,4)))/HJour,4),""))</f>
        <v/>
      </c>
      <c r="AY452" s="36" t="str">
        <f aca="false">IF(OR(AO452&lt;&gt;1,AR452=""),"",INDEX(SLA_PEC,AR452))</f>
        <v/>
      </c>
      <c r="AZ452" s="35" t="str">
        <f aca="false">IF(OR(AV452="",AY452=""),"",IF(AV452&lt;=AY452,1,0))</f>
        <v/>
      </c>
      <c r="BA452" s="36" t="str">
        <f aca="false">IF(OR(AO452&lt;&gt;1,AR452=""),"",INDEX(SLA_RES,AR452))</f>
        <v/>
      </c>
      <c r="BB452" s="35" t="str">
        <f aca="false">IF(OR(AW452="",BA452=""),"",IF(AW452&lt;=BA452,1,0))</f>
        <v/>
      </c>
      <c r="BC452" s="38" t="str">
        <f aca="false">IF(OR(BA452="",P452=""),"",WORKDAY(INT(P452),BA452,JoursFeries)+MOD(P452,1))</f>
        <v/>
      </c>
      <c r="BD452" s="39" t="str">
        <f aca="false">IF(AO452&lt;&gt;1,"",IF(OR(AB452&lt;&gt;"",AD452&lt;&gt;""),4,IF(U452&lt;&gt;"",3,IF(T452&lt;&gt;"",2,1))))</f>
        <v/>
      </c>
      <c r="BE452" s="39" t="str">
        <f aca="false">IF(OR(AO452&lt;&gt;1,AR452=""),"",INDEX(NIV_REQ,AR452))</f>
        <v/>
      </c>
      <c r="BF452" s="39" t="str">
        <f aca="false">IF(BE452="","",MAX(BE452,IF(OR(K452="Oui",Z452="Oui"),4,1)))</f>
        <v/>
      </c>
      <c r="BG452" s="35" t="str">
        <f aca="false">IF(OR(BF452="",BD452=""),"",IF(BD452&gt;=BF452,1,0))</f>
        <v/>
      </c>
      <c r="BH452" s="38" t="str">
        <f aca="false">IF(BE452="","",IF(BE452&lt;2,"",IF(BE452=2,IF(AND(T452="",U452=""),"",MIN(T452,U452)),IF(U452="","",U452))))</f>
        <v/>
      </c>
      <c r="BI452" s="37" t="str">
        <f aca="false">IF(BH452="","",IF(OR(O452="",BH452=""),"",IF(BH452&lt;O452,"",ROUND(((NETWORKDAYS(O452,BH452,JoursFeries)-1)*(HFer-HOuv)+IF(NETWORKDAYS(BH452,BH452,JoursFeries),MEDIAN(MOD(BH452,1),HFer,HOuv),HFer)-IF(NETWORKDAYS(O452,O452,JoursFeries),MEDIAN(MOD(O452,1),HFer,HOuv),HOuv))*24,4))))</f>
        <v/>
      </c>
      <c r="BJ452" s="35" t="str">
        <f aca="false">IF(OR(BI452="",AR452=""),"",IF(BI452&lt;=INDEX(DELAI_ESC,AR452),1,0))</f>
        <v/>
      </c>
      <c r="BK452" s="38" t="str">
        <f aca="false">IF(AO452&lt;&gt;1,"",IF(AND(T452="",U452=""),"",MIN(T452,U452)))</f>
        <v/>
      </c>
      <c r="BL452" s="37" t="str">
        <f aca="false">IF(OR(BK452="",R452=""),"",IFERROR(ROUND(IF(OR(BK452="",R452=""),"",IF(R452&lt;BK452,"",ROUND(((NETWORKDAYS(BK452,R452,JoursFeries)-1)*(HFer-HOuv)+IF(NETWORKDAYS(R452,R452,JoursFeries),MEDIAN(MOD(R452,1),HFer,HOuv),HFer)-IF(NETWORKDAYS(BK452,BK452,JoursFeries),MEDIAN(MOD(BK452,1),HFer,HOuv),HOuv))*24,4)))/HJour,4),""))</f>
        <v/>
      </c>
      <c r="BM452" s="35" t="str">
        <f aca="false">IF(OR(AO452&lt;&gt;1,R452=""),"",IF(BD452=1,1,0))</f>
        <v/>
      </c>
      <c r="BN452" s="35" t="str">
        <f aca="false">IF(AO452&lt;&gt;1,"",IF(W452="Oui",1,0))</f>
        <v/>
      </c>
      <c r="BO452" s="35" t="str">
        <f aca="false">IF(AO452&lt;&gt;1,"",IF(X452&lt;&gt;"",1,0))</f>
        <v/>
      </c>
      <c r="BP452" s="35" t="str">
        <f aca="false">IF(AO452&lt;&gt;1,"",IF(Y452="Oui",1,0))</f>
        <v/>
      </c>
      <c r="BQ452" s="35" t="str">
        <f aca="true">IF(OR(AO452&lt;&gt;1,Z452&lt;&gt;"Oui"),"",IF(AB452="",IF(AND(AA452&lt;&gt;"",NOW()&gt;AA452),0,""),IF(AA452="","",IF(AB452&lt;=AA452,1,0))))</f>
        <v/>
      </c>
      <c r="BR452" s="38" t="str">
        <f aca="false">IF(OR(AO452&lt;&gt;1,K452&lt;&gt;"Oui",O452=""),"",IF(AC452="",O452+DORA_H_DET/24,IF(AC452-O452&lt;=DORA_H_DET/24,MIN(AC452+DORA_H_CLA/24,O452+DORA_H_DET/24),AC452+DORA_H_CLA/24)))</f>
        <v/>
      </c>
      <c r="BS452" s="35" t="str">
        <f aca="true">IF(BR452="","",IF(AD452="",IF(NOW()&gt;BR452,0,""),IF(AD452&lt;=BR452,1,0)))</f>
        <v/>
      </c>
      <c r="BT452" s="35" t="str">
        <f aca="true">IF(OR(BR452="",AD452=""),"",IF(AE452="",IF(NOW()&gt;AD452+DORA_H_INT/24,0,""),IF(AE452&lt;=AD452+DORA_H_INT/24,1,0)))</f>
        <v/>
      </c>
      <c r="BU452" s="35" t="str">
        <f aca="true">IF(OR(BR452="",AE452=""),"",IF(AF452="",IF(NOW()&gt;EDATE(AE452,DORA_M_FIN)+1,0,""),IF(AF452&lt;=EDATE(AE452,DORA_M_FIN),1,0)))</f>
        <v/>
      </c>
      <c r="BV452" s="35" t="str">
        <f aca="false">IF(BR452="","",IF(COUNT(BS452:BU452)=0,"",MIN(BS452:BU452)))</f>
        <v/>
      </c>
      <c r="BW452" s="40" t="str">
        <f aca="false">IF(AQ452&lt;&gt;1,"",IF(AND(AG452="",AH452=""),"",N(AG452)-N(AH452)))</f>
        <v/>
      </c>
      <c r="BX452" s="35" t="str">
        <f aca="true">IF(OR(AQ452&lt;&gt;1,AI452&lt;&gt;"Oui",AJ452=""),"",IF(AK452="",IF(NOW()&gt;AJ452+1,0,""),IF(AK452&lt;=AJ452,1,0)))</f>
        <v/>
      </c>
    </row>
    <row r="453" customFormat="false" ht="15" hidden="false" customHeight="false" outlineLevel="0" collapsed="false">
      <c r="B453" s="29"/>
      <c r="C453" s="29"/>
      <c r="D453" s="29"/>
      <c r="E453" s="29"/>
      <c r="F453" s="29"/>
      <c r="G453" s="29"/>
      <c r="H453" s="29"/>
      <c r="I453" s="29"/>
      <c r="J453" s="29"/>
      <c r="K453" s="29"/>
      <c r="L453" s="29"/>
      <c r="M453" s="29"/>
      <c r="N453" s="30"/>
      <c r="O453" s="30"/>
      <c r="P453" s="30"/>
      <c r="Q453" s="30"/>
      <c r="R453" s="30"/>
      <c r="S453" s="30"/>
      <c r="T453" s="30"/>
      <c r="U453" s="30"/>
      <c r="V453" s="31"/>
      <c r="W453" s="29"/>
      <c r="X453" s="29"/>
      <c r="Y453" s="29"/>
      <c r="Z453" s="29"/>
      <c r="AA453" s="30"/>
      <c r="AB453" s="30"/>
      <c r="AC453" s="30"/>
      <c r="AD453" s="30"/>
      <c r="AE453" s="30"/>
      <c r="AF453" s="32"/>
      <c r="AG453" s="33"/>
      <c r="AH453" s="33"/>
      <c r="AI453" s="29"/>
      <c r="AJ453" s="32"/>
      <c r="AK453" s="32"/>
      <c r="AL453" s="29"/>
      <c r="AN453" s="34" t="str">
        <f aca="false">IF($B453="","",IF(OR(C453="",D453="",E453="",G453="",I453="",J453="",L453="",O453="",P453=""),"Champ obligatoire manquant",IF(OR(AND(N453&lt;&gt;"",N453&gt;O453),O453&gt;P453,AND(Q453&lt;&gt;"",Q453&lt;P453),AND(R453&lt;&gt;"",R453&lt;P453),AND(S453&lt;&gt;"",S453&lt;R453),AND(S453&lt;&gt;"",R453=""),AND(T453&lt;&gt;"",T453&lt;O453),AND(U453&lt;&gt;"",U453&lt;O453)),"Chronologie incohérente",IF(AND(OR(L453="Résolu",L453="Clos"),R453=""),"Date de résolution manquante",IF(AND(L453="Clos",S453=""),"Date de clôture manquante",IF(AND(K453="Oui",AC453=""),"Classification DORA manquante","OK"))))))</f>
        <v/>
      </c>
      <c r="AO453" s="35" t="str">
        <f aca="false">IF($B453="","",IF(AND(C453="Incident",L453&lt;&gt;"Annulé"),1,0))</f>
        <v/>
      </c>
      <c r="AP453" s="35" t="str">
        <f aca="false">IF($B453="","",IF(AND(C453="Quasi-incident",L453&lt;&gt;"Annulé"),1,0))</f>
        <v/>
      </c>
      <c r="AQ453" s="35" t="str">
        <f aca="false">IF($B453="","",AO453+AP453)</f>
        <v/>
      </c>
      <c r="AR453" s="36" t="str">
        <f aca="false">IF(OR($B453="",J453=""),"",IFERROR(VALUE(LEFT(J453,1)),""))</f>
        <v/>
      </c>
      <c r="AS453" s="35" t="str">
        <f aca="false">IF(OR(AO453&lt;&gt;1,G453=""),"",IFERROR(IF(INDEX(L_SrcInterne,MATCH(G453,L_Sources,0))="Oui",1,0),""))</f>
        <v/>
      </c>
      <c r="AT453" s="37" t="str">
        <f aca="false">IF(AO453&lt;&gt;1,"",IFERROR(ROUND(IF(OR(N453="",O453=""),"",IF(O453&lt;N453,"",ROUND(((NETWORKDAYS(N453,O453,JoursFeries)-1)*(HFer-HOuv)+IF(NETWORKDAYS(O453,O453,JoursFeries),MEDIAN(MOD(O453,1),HFer,HOuv),HFer)-IF(NETWORKDAYS(N453,N453,JoursFeries),MEDIAN(MOD(N453,1),HFer,HOuv),HOuv))*24,4)))/HJour,4),""))</f>
        <v/>
      </c>
      <c r="AU453" s="37" t="str">
        <f aca="false">IF(AO453&lt;&gt;1,"",IF(OR(O453="",P453=""),"",IF(P453&lt;O453,"",ROUND(((NETWORKDAYS(O453,P453,JoursFeries)-1)*(HFer-HOuv)+IF(NETWORKDAYS(P453,P453,JoursFeries),MEDIAN(MOD(P453,1),HFer,HOuv),HFer)-IF(NETWORKDAYS(O453,O453,JoursFeries),MEDIAN(MOD(O453,1),HFer,HOuv),HOuv))*24,4))))</f>
        <v/>
      </c>
      <c r="AV453" s="37" t="str">
        <f aca="false">IF(AO453&lt;&gt;1,"",IF(OR(P453="",Q453=""),"",IF(Q453&lt;P453,"",ROUND(((NETWORKDAYS(P453,Q453,JoursFeries)-1)*(HFer-HOuv)+IF(NETWORKDAYS(Q453,Q453,JoursFeries),MEDIAN(MOD(Q453,1),HFer,HOuv),HFer)-IF(NETWORKDAYS(P453,P453,JoursFeries),MEDIAN(MOD(P453,1),HFer,HOuv),HOuv))*24,4))))</f>
        <v/>
      </c>
      <c r="AW453" s="37" t="str">
        <f aca="false">IF(AO453&lt;&gt;1,"",IFERROR(ROUND(IF(OR(P453="",R453=""),"",IF(R453&lt;P453,"",ROUND(((NETWORKDAYS(P453,R453,JoursFeries)-1)*(HFer-HOuv)+IF(NETWORKDAYS(R453,R453,JoursFeries),MEDIAN(MOD(R453,1),HFer,HOuv),HFer)-IF(NETWORKDAYS(P453,P453,JoursFeries),MEDIAN(MOD(P453,1),HFer,HOuv),HOuv))*24,4)))/HJour,4),""))</f>
        <v/>
      </c>
      <c r="AX453" s="37" t="str">
        <f aca="false">IF(AO453&lt;&gt;1,"",IFERROR(ROUND(IF(OR(P453="",S453=""),"",IF(S453&lt;P453,"",ROUND(((NETWORKDAYS(P453,S453,JoursFeries)-1)*(HFer-HOuv)+IF(NETWORKDAYS(S453,S453,JoursFeries),MEDIAN(MOD(S453,1),HFer,HOuv),HFer)-IF(NETWORKDAYS(P453,P453,JoursFeries),MEDIAN(MOD(P453,1),HFer,HOuv),HOuv))*24,4)))/HJour,4),""))</f>
        <v/>
      </c>
      <c r="AY453" s="36" t="str">
        <f aca="false">IF(OR(AO453&lt;&gt;1,AR453=""),"",INDEX(SLA_PEC,AR453))</f>
        <v/>
      </c>
      <c r="AZ453" s="35" t="str">
        <f aca="false">IF(OR(AV453="",AY453=""),"",IF(AV453&lt;=AY453,1,0))</f>
        <v/>
      </c>
      <c r="BA453" s="36" t="str">
        <f aca="false">IF(OR(AO453&lt;&gt;1,AR453=""),"",INDEX(SLA_RES,AR453))</f>
        <v/>
      </c>
      <c r="BB453" s="35" t="str">
        <f aca="false">IF(OR(AW453="",BA453=""),"",IF(AW453&lt;=BA453,1,0))</f>
        <v/>
      </c>
      <c r="BC453" s="38" t="str">
        <f aca="false">IF(OR(BA453="",P453=""),"",WORKDAY(INT(P453),BA453,JoursFeries)+MOD(P453,1))</f>
        <v/>
      </c>
      <c r="BD453" s="39" t="str">
        <f aca="false">IF(AO453&lt;&gt;1,"",IF(OR(AB453&lt;&gt;"",AD453&lt;&gt;""),4,IF(U453&lt;&gt;"",3,IF(T453&lt;&gt;"",2,1))))</f>
        <v/>
      </c>
      <c r="BE453" s="39" t="str">
        <f aca="false">IF(OR(AO453&lt;&gt;1,AR453=""),"",INDEX(NIV_REQ,AR453))</f>
        <v/>
      </c>
      <c r="BF453" s="39" t="str">
        <f aca="false">IF(BE453="","",MAX(BE453,IF(OR(K453="Oui",Z453="Oui"),4,1)))</f>
        <v/>
      </c>
      <c r="BG453" s="35" t="str">
        <f aca="false">IF(OR(BF453="",BD453=""),"",IF(BD453&gt;=BF453,1,0))</f>
        <v/>
      </c>
      <c r="BH453" s="38" t="str">
        <f aca="false">IF(BE453="","",IF(BE453&lt;2,"",IF(BE453=2,IF(AND(T453="",U453=""),"",MIN(T453,U453)),IF(U453="","",U453))))</f>
        <v/>
      </c>
      <c r="BI453" s="37" t="str">
        <f aca="false">IF(BH453="","",IF(OR(O453="",BH453=""),"",IF(BH453&lt;O453,"",ROUND(((NETWORKDAYS(O453,BH453,JoursFeries)-1)*(HFer-HOuv)+IF(NETWORKDAYS(BH453,BH453,JoursFeries),MEDIAN(MOD(BH453,1),HFer,HOuv),HFer)-IF(NETWORKDAYS(O453,O453,JoursFeries),MEDIAN(MOD(O453,1),HFer,HOuv),HOuv))*24,4))))</f>
        <v/>
      </c>
      <c r="BJ453" s="35" t="str">
        <f aca="false">IF(OR(BI453="",AR453=""),"",IF(BI453&lt;=INDEX(DELAI_ESC,AR453),1,0))</f>
        <v/>
      </c>
      <c r="BK453" s="38" t="str">
        <f aca="false">IF(AO453&lt;&gt;1,"",IF(AND(T453="",U453=""),"",MIN(T453,U453)))</f>
        <v/>
      </c>
      <c r="BL453" s="37" t="str">
        <f aca="false">IF(OR(BK453="",R453=""),"",IFERROR(ROUND(IF(OR(BK453="",R453=""),"",IF(R453&lt;BK453,"",ROUND(((NETWORKDAYS(BK453,R453,JoursFeries)-1)*(HFer-HOuv)+IF(NETWORKDAYS(R453,R453,JoursFeries),MEDIAN(MOD(R453,1),HFer,HOuv),HFer)-IF(NETWORKDAYS(BK453,BK453,JoursFeries),MEDIAN(MOD(BK453,1),HFer,HOuv),HOuv))*24,4)))/HJour,4),""))</f>
        <v/>
      </c>
      <c r="BM453" s="35" t="str">
        <f aca="false">IF(OR(AO453&lt;&gt;1,R453=""),"",IF(BD453=1,1,0))</f>
        <v/>
      </c>
      <c r="BN453" s="35" t="str">
        <f aca="false">IF(AO453&lt;&gt;1,"",IF(W453="Oui",1,0))</f>
        <v/>
      </c>
      <c r="BO453" s="35" t="str">
        <f aca="false">IF(AO453&lt;&gt;1,"",IF(X453&lt;&gt;"",1,0))</f>
        <v/>
      </c>
      <c r="BP453" s="35" t="str">
        <f aca="false">IF(AO453&lt;&gt;1,"",IF(Y453="Oui",1,0))</f>
        <v/>
      </c>
      <c r="BQ453" s="35" t="str">
        <f aca="true">IF(OR(AO453&lt;&gt;1,Z453&lt;&gt;"Oui"),"",IF(AB453="",IF(AND(AA453&lt;&gt;"",NOW()&gt;AA453),0,""),IF(AA453="","",IF(AB453&lt;=AA453,1,0))))</f>
        <v/>
      </c>
      <c r="BR453" s="38" t="str">
        <f aca="false">IF(OR(AO453&lt;&gt;1,K453&lt;&gt;"Oui",O453=""),"",IF(AC453="",O453+DORA_H_DET/24,IF(AC453-O453&lt;=DORA_H_DET/24,MIN(AC453+DORA_H_CLA/24,O453+DORA_H_DET/24),AC453+DORA_H_CLA/24)))</f>
        <v/>
      </c>
      <c r="BS453" s="35" t="str">
        <f aca="true">IF(BR453="","",IF(AD453="",IF(NOW()&gt;BR453,0,""),IF(AD453&lt;=BR453,1,0)))</f>
        <v/>
      </c>
      <c r="BT453" s="35" t="str">
        <f aca="true">IF(OR(BR453="",AD453=""),"",IF(AE453="",IF(NOW()&gt;AD453+DORA_H_INT/24,0,""),IF(AE453&lt;=AD453+DORA_H_INT/24,1,0)))</f>
        <v/>
      </c>
      <c r="BU453" s="35" t="str">
        <f aca="true">IF(OR(BR453="",AE453=""),"",IF(AF453="",IF(NOW()&gt;EDATE(AE453,DORA_M_FIN)+1,0,""),IF(AF453&lt;=EDATE(AE453,DORA_M_FIN),1,0)))</f>
        <v/>
      </c>
      <c r="BV453" s="35" t="str">
        <f aca="false">IF(BR453="","",IF(COUNT(BS453:BU453)=0,"",MIN(BS453:BU453)))</f>
        <v/>
      </c>
      <c r="BW453" s="40" t="str">
        <f aca="false">IF(AQ453&lt;&gt;1,"",IF(AND(AG453="",AH453=""),"",N(AG453)-N(AH453)))</f>
        <v/>
      </c>
      <c r="BX453" s="35" t="str">
        <f aca="true">IF(OR(AQ453&lt;&gt;1,AI453&lt;&gt;"Oui",AJ453=""),"",IF(AK453="",IF(NOW()&gt;AJ453+1,0,""),IF(AK453&lt;=AJ453,1,0)))</f>
        <v/>
      </c>
    </row>
    <row r="454" customFormat="false" ht="15" hidden="false" customHeight="false" outlineLevel="0" collapsed="false">
      <c r="B454" s="29"/>
      <c r="C454" s="29"/>
      <c r="D454" s="29"/>
      <c r="E454" s="29"/>
      <c r="F454" s="29"/>
      <c r="G454" s="29"/>
      <c r="H454" s="29"/>
      <c r="I454" s="29"/>
      <c r="J454" s="29"/>
      <c r="K454" s="29"/>
      <c r="L454" s="29"/>
      <c r="M454" s="29"/>
      <c r="N454" s="30"/>
      <c r="O454" s="30"/>
      <c r="P454" s="30"/>
      <c r="Q454" s="30"/>
      <c r="R454" s="30"/>
      <c r="S454" s="30"/>
      <c r="T454" s="30"/>
      <c r="U454" s="30"/>
      <c r="V454" s="31"/>
      <c r="W454" s="29"/>
      <c r="X454" s="29"/>
      <c r="Y454" s="29"/>
      <c r="Z454" s="29"/>
      <c r="AA454" s="30"/>
      <c r="AB454" s="30"/>
      <c r="AC454" s="30"/>
      <c r="AD454" s="30"/>
      <c r="AE454" s="30"/>
      <c r="AF454" s="32"/>
      <c r="AG454" s="33"/>
      <c r="AH454" s="33"/>
      <c r="AI454" s="29"/>
      <c r="AJ454" s="32"/>
      <c r="AK454" s="32"/>
      <c r="AL454" s="29"/>
      <c r="AN454" s="34" t="str">
        <f aca="false">IF($B454="","",IF(OR(C454="",D454="",E454="",G454="",I454="",J454="",L454="",O454="",P454=""),"Champ obligatoire manquant",IF(OR(AND(N454&lt;&gt;"",N454&gt;O454),O454&gt;P454,AND(Q454&lt;&gt;"",Q454&lt;P454),AND(R454&lt;&gt;"",R454&lt;P454),AND(S454&lt;&gt;"",S454&lt;R454),AND(S454&lt;&gt;"",R454=""),AND(T454&lt;&gt;"",T454&lt;O454),AND(U454&lt;&gt;"",U454&lt;O454)),"Chronologie incohérente",IF(AND(OR(L454="Résolu",L454="Clos"),R454=""),"Date de résolution manquante",IF(AND(L454="Clos",S454=""),"Date de clôture manquante",IF(AND(K454="Oui",AC454=""),"Classification DORA manquante","OK"))))))</f>
        <v/>
      </c>
      <c r="AO454" s="35" t="str">
        <f aca="false">IF($B454="","",IF(AND(C454="Incident",L454&lt;&gt;"Annulé"),1,0))</f>
        <v/>
      </c>
      <c r="AP454" s="35" t="str">
        <f aca="false">IF($B454="","",IF(AND(C454="Quasi-incident",L454&lt;&gt;"Annulé"),1,0))</f>
        <v/>
      </c>
      <c r="AQ454" s="35" t="str">
        <f aca="false">IF($B454="","",AO454+AP454)</f>
        <v/>
      </c>
      <c r="AR454" s="36" t="str">
        <f aca="false">IF(OR($B454="",J454=""),"",IFERROR(VALUE(LEFT(J454,1)),""))</f>
        <v/>
      </c>
      <c r="AS454" s="35" t="str">
        <f aca="false">IF(OR(AO454&lt;&gt;1,G454=""),"",IFERROR(IF(INDEX(L_SrcInterne,MATCH(G454,L_Sources,0))="Oui",1,0),""))</f>
        <v/>
      </c>
      <c r="AT454" s="37" t="str">
        <f aca="false">IF(AO454&lt;&gt;1,"",IFERROR(ROUND(IF(OR(N454="",O454=""),"",IF(O454&lt;N454,"",ROUND(((NETWORKDAYS(N454,O454,JoursFeries)-1)*(HFer-HOuv)+IF(NETWORKDAYS(O454,O454,JoursFeries),MEDIAN(MOD(O454,1),HFer,HOuv),HFer)-IF(NETWORKDAYS(N454,N454,JoursFeries),MEDIAN(MOD(N454,1),HFer,HOuv),HOuv))*24,4)))/HJour,4),""))</f>
        <v/>
      </c>
      <c r="AU454" s="37" t="str">
        <f aca="false">IF(AO454&lt;&gt;1,"",IF(OR(O454="",P454=""),"",IF(P454&lt;O454,"",ROUND(((NETWORKDAYS(O454,P454,JoursFeries)-1)*(HFer-HOuv)+IF(NETWORKDAYS(P454,P454,JoursFeries),MEDIAN(MOD(P454,1),HFer,HOuv),HFer)-IF(NETWORKDAYS(O454,O454,JoursFeries),MEDIAN(MOD(O454,1),HFer,HOuv),HOuv))*24,4))))</f>
        <v/>
      </c>
      <c r="AV454" s="37" t="str">
        <f aca="false">IF(AO454&lt;&gt;1,"",IF(OR(P454="",Q454=""),"",IF(Q454&lt;P454,"",ROUND(((NETWORKDAYS(P454,Q454,JoursFeries)-1)*(HFer-HOuv)+IF(NETWORKDAYS(Q454,Q454,JoursFeries),MEDIAN(MOD(Q454,1),HFer,HOuv),HFer)-IF(NETWORKDAYS(P454,P454,JoursFeries),MEDIAN(MOD(P454,1),HFer,HOuv),HOuv))*24,4))))</f>
        <v/>
      </c>
      <c r="AW454" s="37" t="str">
        <f aca="false">IF(AO454&lt;&gt;1,"",IFERROR(ROUND(IF(OR(P454="",R454=""),"",IF(R454&lt;P454,"",ROUND(((NETWORKDAYS(P454,R454,JoursFeries)-1)*(HFer-HOuv)+IF(NETWORKDAYS(R454,R454,JoursFeries),MEDIAN(MOD(R454,1),HFer,HOuv),HFer)-IF(NETWORKDAYS(P454,P454,JoursFeries),MEDIAN(MOD(P454,1),HFer,HOuv),HOuv))*24,4)))/HJour,4),""))</f>
        <v/>
      </c>
      <c r="AX454" s="37" t="str">
        <f aca="false">IF(AO454&lt;&gt;1,"",IFERROR(ROUND(IF(OR(P454="",S454=""),"",IF(S454&lt;P454,"",ROUND(((NETWORKDAYS(P454,S454,JoursFeries)-1)*(HFer-HOuv)+IF(NETWORKDAYS(S454,S454,JoursFeries),MEDIAN(MOD(S454,1),HFer,HOuv),HFer)-IF(NETWORKDAYS(P454,P454,JoursFeries),MEDIAN(MOD(P454,1),HFer,HOuv),HOuv))*24,4)))/HJour,4),""))</f>
        <v/>
      </c>
      <c r="AY454" s="36" t="str">
        <f aca="false">IF(OR(AO454&lt;&gt;1,AR454=""),"",INDEX(SLA_PEC,AR454))</f>
        <v/>
      </c>
      <c r="AZ454" s="35" t="str">
        <f aca="false">IF(OR(AV454="",AY454=""),"",IF(AV454&lt;=AY454,1,0))</f>
        <v/>
      </c>
      <c r="BA454" s="36" t="str">
        <f aca="false">IF(OR(AO454&lt;&gt;1,AR454=""),"",INDEX(SLA_RES,AR454))</f>
        <v/>
      </c>
      <c r="BB454" s="35" t="str">
        <f aca="false">IF(OR(AW454="",BA454=""),"",IF(AW454&lt;=BA454,1,0))</f>
        <v/>
      </c>
      <c r="BC454" s="38" t="str">
        <f aca="false">IF(OR(BA454="",P454=""),"",WORKDAY(INT(P454),BA454,JoursFeries)+MOD(P454,1))</f>
        <v/>
      </c>
      <c r="BD454" s="39" t="str">
        <f aca="false">IF(AO454&lt;&gt;1,"",IF(OR(AB454&lt;&gt;"",AD454&lt;&gt;""),4,IF(U454&lt;&gt;"",3,IF(T454&lt;&gt;"",2,1))))</f>
        <v/>
      </c>
      <c r="BE454" s="39" t="str">
        <f aca="false">IF(OR(AO454&lt;&gt;1,AR454=""),"",INDEX(NIV_REQ,AR454))</f>
        <v/>
      </c>
      <c r="BF454" s="39" t="str">
        <f aca="false">IF(BE454="","",MAX(BE454,IF(OR(K454="Oui",Z454="Oui"),4,1)))</f>
        <v/>
      </c>
      <c r="BG454" s="35" t="str">
        <f aca="false">IF(OR(BF454="",BD454=""),"",IF(BD454&gt;=BF454,1,0))</f>
        <v/>
      </c>
      <c r="BH454" s="38" t="str">
        <f aca="false">IF(BE454="","",IF(BE454&lt;2,"",IF(BE454=2,IF(AND(T454="",U454=""),"",MIN(T454,U454)),IF(U454="","",U454))))</f>
        <v/>
      </c>
      <c r="BI454" s="37" t="str">
        <f aca="false">IF(BH454="","",IF(OR(O454="",BH454=""),"",IF(BH454&lt;O454,"",ROUND(((NETWORKDAYS(O454,BH454,JoursFeries)-1)*(HFer-HOuv)+IF(NETWORKDAYS(BH454,BH454,JoursFeries),MEDIAN(MOD(BH454,1),HFer,HOuv),HFer)-IF(NETWORKDAYS(O454,O454,JoursFeries),MEDIAN(MOD(O454,1),HFer,HOuv),HOuv))*24,4))))</f>
        <v/>
      </c>
      <c r="BJ454" s="35" t="str">
        <f aca="false">IF(OR(BI454="",AR454=""),"",IF(BI454&lt;=INDEX(DELAI_ESC,AR454),1,0))</f>
        <v/>
      </c>
      <c r="BK454" s="38" t="str">
        <f aca="false">IF(AO454&lt;&gt;1,"",IF(AND(T454="",U454=""),"",MIN(T454,U454)))</f>
        <v/>
      </c>
      <c r="BL454" s="37" t="str">
        <f aca="false">IF(OR(BK454="",R454=""),"",IFERROR(ROUND(IF(OR(BK454="",R454=""),"",IF(R454&lt;BK454,"",ROUND(((NETWORKDAYS(BK454,R454,JoursFeries)-1)*(HFer-HOuv)+IF(NETWORKDAYS(R454,R454,JoursFeries),MEDIAN(MOD(R454,1),HFer,HOuv),HFer)-IF(NETWORKDAYS(BK454,BK454,JoursFeries),MEDIAN(MOD(BK454,1),HFer,HOuv),HOuv))*24,4)))/HJour,4),""))</f>
        <v/>
      </c>
      <c r="BM454" s="35" t="str">
        <f aca="false">IF(OR(AO454&lt;&gt;1,R454=""),"",IF(BD454=1,1,0))</f>
        <v/>
      </c>
      <c r="BN454" s="35" t="str">
        <f aca="false">IF(AO454&lt;&gt;1,"",IF(W454="Oui",1,0))</f>
        <v/>
      </c>
      <c r="BO454" s="35" t="str">
        <f aca="false">IF(AO454&lt;&gt;1,"",IF(X454&lt;&gt;"",1,0))</f>
        <v/>
      </c>
      <c r="BP454" s="35" t="str">
        <f aca="false">IF(AO454&lt;&gt;1,"",IF(Y454="Oui",1,0))</f>
        <v/>
      </c>
      <c r="BQ454" s="35" t="str">
        <f aca="true">IF(OR(AO454&lt;&gt;1,Z454&lt;&gt;"Oui"),"",IF(AB454="",IF(AND(AA454&lt;&gt;"",NOW()&gt;AA454),0,""),IF(AA454="","",IF(AB454&lt;=AA454,1,0))))</f>
        <v/>
      </c>
      <c r="BR454" s="38" t="str">
        <f aca="false">IF(OR(AO454&lt;&gt;1,K454&lt;&gt;"Oui",O454=""),"",IF(AC454="",O454+DORA_H_DET/24,IF(AC454-O454&lt;=DORA_H_DET/24,MIN(AC454+DORA_H_CLA/24,O454+DORA_H_DET/24),AC454+DORA_H_CLA/24)))</f>
        <v/>
      </c>
      <c r="BS454" s="35" t="str">
        <f aca="true">IF(BR454="","",IF(AD454="",IF(NOW()&gt;BR454,0,""),IF(AD454&lt;=BR454,1,0)))</f>
        <v/>
      </c>
      <c r="BT454" s="35" t="str">
        <f aca="true">IF(OR(BR454="",AD454=""),"",IF(AE454="",IF(NOW()&gt;AD454+DORA_H_INT/24,0,""),IF(AE454&lt;=AD454+DORA_H_INT/24,1,0)))</f>
        <v/>
      </c>
      <c r="BU454" s="35" t="str">
        <f aca="true">IF(OR(BR454="",AE454=""),"",IF(AF454="",IF(NOW()&gt;EDATE(AE454,DORA_M_FIN)+1,0,""),IF(AF454&lt;=EDATE(AE454,DORA_M_FIN),1,0)))</f>
        <v/>
      </c>
      <c r="BV454" s="35" t="str">
        <f aca="false">IF(BR454="","",IF(COUNT(BS454:BU454)=0,"",MIN(BS454:BU454)))</f>
        <v/>
      </c>
      <c r="BW454" s="40" t="str">
        <f aca="false">IF(AQ454&lt;&gt;1,"",IF(AND(AG454="",AH454=""),"",N(AG454)-N(AH454)))</f>
        <v/>
      </c>
      <c r="BX454" s="35" t="str">
        <f aca="true">IF(OR(AQ454&lt;&gt;1,AI454&lt;&gt;"Oui",AJ454=""),"",IF(AK454="",IF(NOW()&gt;AJ454+1,0,""),IF(AK454&lt;=AJ454,1,0)))</f>
        <v/>
      </c>
    </row>
    <row r="455" customFormat="false" ht="15" hidden="false" customHeight="false" outlineLevel="0" collapsed="false">
      <c r="B455" s="29"/>
      <c r="C455" s="29"/>
      <c r="D455" s="29"/>
      <c r="E455" s="29"/>
      <c r="F455" s="29"/>
      <c r="G455" s="29"/>
      <c r="H455" s="29"/>
      <c r="I455" s="29"/>
      <c r="J455" s="29"/>
      <c r="K455" s="29"/>
      <c r="L455" s="29"/>
      <c r="M455" s="29"/>
      <c r="N455" s="30"/>
      <c r="O455" s="30"/>
      <c r="P455" s="30"/>
      <c r="Q455" s="30"/>
      <c r="R455" s="30"/>
      <c r="S455" s="30"/>
      <c r="T455" s="30"/>
      <c r="U455" s="30"/>
      <c r="V455" s="31"/>
      <c r="W455" s="29"/>
      <c r="X455" s="29"/>
      <c r="Y455" s="29"/>
      <c r="Z455" s="29"/>
      <c r="AA455" s="30"/>
      <c r="AB455" s="30"/>
      <c r="AC455" s="30"/>
      <c r="AD455" s="30"/>
      <c r="AE455" s="30"/>
      <c r="AF455" s="32"/>
      <c r="AG455" s="33"/>
      <c r="AH455" s="33"/>
      <c r="AI455" s="29"/>
      <c r="AJ455" s="32"/>
      <c r="AK455" s="32"/>
      <c r="AL455" s="29"/>
      <c r="AN455" s="34" t="str">
        <f aca="false">IF($B455="","",IF(OR(C455="",D455="",E455="",G455="",I455="",J455="",L455="",O455="",P455=""),"Champ obligatoire manquant",IF(OR(AND(N455&lt;&gt;"",N455&gt;O455),O455&gt;P455,AND(Q455&lt;&gt;"",Q455&lt;P455),AND(R455&lt;&gt;"",R455&lt;P455),AND(S455&lt;&gt;"",S455&lt;R455),AND(S455&lt;&gt;"",R455=""),AND(T455&lt;&gt;"",T455&lt;O455),AND(U455&lt;&gt;"",U455&lt;O455)),"Chronologie incohérente",IF(AND(OR(L455="Résolu",L455="Clos"),R455=""),"Date de résolution manquante",IF(AND(L455="Clos",S455=""),"Date de clôture manquante",IF(AND(K455="Oui",AC455=""),"Classification DORA manquante","OK"))))))</f>
        <v/>
      </c>
      <c r="AO455" s="35" t="str">
        <f aca="false">IF($B455="","",IF(AND(C455="Incident",L455&lt;&gt;"Annulé"),1,0))</f>
        <v/>
      </c>
      <c r="AP455" s="35" t="str">
        <f aca="false">IF($B455="","",IF(AND(C455="Quasi-incident",L455&lt;&gt;"Annulé"),1,0))</f>
        <v/>
      </c>
      <c r="AQ455" s="35" t="str">
        <f aca="false">IF($B455="","",AO455+AP455)</f>
        <v/>
      </c>
      <c r="AR455" s="36" t="str">
        <f aca="false">IF(OR($B455="",J455=""),"",IFERROR(VALUE(LEFT(J455,1)),""))</f>
        <v/>
      </c>
      <c r="AS455" s="35" t="str">
        <f aca="false">IF(OR(AO455&lt;&gt;1,G455=""),"",IFERROR(IF(INDEX(L_SrcInterne,MATCH(G455,L_Sources,0))="Oui",1,0),""))</f>
        <v/>
      </c>
      <c r="AT455" s="37" t="str">
        <f aca="false">IF(AO455&lt;&gt;1,"",IFERROR(ROUND(IF(OR(N455="",O455=""),"",IF(O455&lt;N455,"",ROUND(((NETWORKDAYS(N455,O455,JoursFeries)-1)*(HFer-HOuv)+IF(NETWORKDAYS(O455,O455,JoursFeries),MEDIAN(MOD(O455,1),HFer,HOuv),HFer)-IF(NETWORKDAYS(N455,N455,JoursFeries),MEDIAN(MOD(N455,1),HFer,HOuv),HOuv))*24,4)))/HJour,4),""))</f>
        <v/>
      </c>
      <c r="AU455" s="37" t="str">
        <f aca="false">IF(AO455&lt;&gt;1,"",IF(OR(O455="",P455=""),"",IF(P455&lt;O455,"",ROUND(((NETWORKDAYS(O455,P455,JoursFeries)-1)*(HFer-HOuv)+IF(NETWORKDAYS(P455,P455,JoursFeries),MEDIAN(MOD(P455,1),HFer,HOuv),HFer)-IF(NETWORKDAYS(O455,O455,JoursFeries),MEDIAN(MOD(O455,1),HFer,HOuv),HOuv))*24,4))))</f>
        <v/>
      </c>
      <c r="AV455" s="37" t="str">
        <f aca="false">IF(AO455&lt;&gt;1,"",IF(OR(P455="",Q455=""),"",IF(Q455&lt;P455,"",ROUND(((NETWORKDAYS(P455,Q455,JoursFeries)-1)*(HFer-HOuv)+IF(NETWORKDAYS(Q455,Q455,JoursFeries),MEDIAN(MOD(Q455,1),HFer,HOuv),HFer)-IF(NETWORKDAYS(P455,P455,JoursFeries),MEDIAN(MOD(P455,1),HFer,HOuv),HOuv))*24,4))))</f>
        <v/>
      </c>
      <c r="AW455" s="37" t="str">
        <f aca="false">IF(AO455&lt;&gt;1,"",IFERROR(ROUND(IF(OR(P455="",R455=""),"",IF(R455&lt;P455,"",ROUND(((NETWORKDAYS(P455,R455,JoursFeries)-1)*(HFer-HOuv)+IF(NETWORKDAYS(R455,R455,JoursFeries),MEDIAN(MOD(R455,1),HFer,HOuv),HFer)-IF(NETWORKDAYS(P455,P455,JoursFeries),MEDIAN(MOD(P455,1),HFer,HOuv),HOuv))*24,4)))/HJour,4),""))</f>
        <v/>
      </c>
      <c r="AX455" s="37" t="str">
        <f aca="false">IF(AO455&lt;&gt;1,"",IFERROR(ROUND(IF(OR(P455="",S455=""),"",IF(S455&lt;P455,"",ROUND(((NETWORKDAYS(P455,S455,JoursFeries)-1)*(HFer-HOuv)+IF(NETWORKDAYS(S455,S455,JoursFeries),MEDIAN(MOD(S455,1),HFer,HOuv),HFer)-IF(NETWORKDAYS(P455,P455,JoursFeries),MEDIAN(MOD(P455,1),HFer,HOuv),HOuv))*24,4)))/HJour,4),""))</f>
        <v/>
      </c>
      <c r="AY455" s="36" t="str">
        <f aca="false">IF(OR(AO455&lt;&gt;1,AR455=""),"",INDEX(SLA_PEC,AR455))</f>
        <v/>
      </c>
      <c r="AZ455" s="35" t="str">
        <f aca="false">IF(OR(AV455="",AY455=""),"",IF(AV455&lt;=AY455,1,0))</f>
        <v/>
      </c>
      <c r="BA455" s="36" t="str">
        <f aca="false">IF(OR(AO455&lt;&gt;1,AR455=""),"",INDEX(SLA_RES,AR455))</f>
        <v/>
      </c>
      <c r="BB455" s="35" t="str">
        <f aca="false">IF(OR(AW455="",BA455=""),"",IF(AW455&lt;=BA455,1,0))</f>
        <v/>
      </c>
      <c r="BC455" s="38" t="str">
        <f aca="false">IF(OR(BA455="",P455=""),"",WORKDAY(INT(P455),BA455,JoursFeries)+MOD(P455,1))</f>
        <v/>
      </c>
      <c r="BD455" s="39" t="str">
        <f aca="false">IF(AO455&lt;&gt;1,"",IF(OR(AB455&lt;&gt;"",AD455&lt;&gt;""),4,IF(U455&lt;&gt;"",3,IF(T455&lt;&gt;"",2,1))))</f>
        <v/>
      </c>
      <c r="BE455" s="39" t="str">
        <f aca="false">IF(OR(AO455&lt;&gt;1,AR455=""),"",INDEX(NIV_REQ,AR455))</f>
        <v/>
      </c>
      <c r="BF455" s="39" t="str">
        <f aca="false">IF(BE455="","",MAX(BE455,IF(OR(K455="Oui",Z455="Oui"),4,1)))</f>
        <v/>
      </c>
      <c r="BG455" s="35" t="str">
        <f aca="false">IF(OR(BF455="",BD455=""),"",IF(BD455&gt;=BF455,1,0))</f>
        <v/>
      </c>
      <c r="BH455" s="38" t="str">
        <f aca="false">IF(BE455="","",IF(BE455&lt;2,"",IF(BE455=2,IF(AND(T455="",U455=""),"",MIN(T455,U455)),IF(U455="","",U455))))</f>
        <v/>
      </c>
      <c r="BI455" s="37" t="str">
        <f aca="false">IF(BH455="","",IF(OR(O455="",BH455=""),"",IF(BH455&lt;O455,"",ROUND(((NETWORKDAYS(O455,BH455,JoursFeries)-1)*(HFer-HOuv)+IF(NETWORKDAYS(BH455,BH455,JoursFeries),MEDIAN(MOD(BH455,1),HFer,HOuv),HFer)-IF(NETWORKDAYS(O455,O455,JoursFeries),MEDIAN(MOD(O455,1),HFer,HOuv),HOuv))*24,4))))</f>
        <v/>
      </c>
      <c r="BJ455" s="35" t="str">
        <f aca="false">IF(OR(BI455="",AR455=""),"",IF(BI455&lt;=INDEX(DELAI_ESC,AR455),1,0))</f>
        <v/>
      </c>
      <c r="BK455" s="38" t="str">
        <f aca="false">IF(AO455&lt;&gt;1,"",IF(AND(T455="",U455=""),"",MIN(T455,U455)))</f>
        <v/>
      </c>
      <c r="BL455" s="37" t="str">
        <f aca="false">IF(OR(BK455="",R455=""),"",IFERROR(ROUND(IF(OR(BK455="",R455=""),"",IF(R455&lt;BK455,"",ROUND(((NETWORKDAYS(BK455,R455,JoursFeries)-1)*(HFer-HOuv)+IF(NETWORKDAYS(R455,R455,JoursFeries),MEDIAN(MOD(R455,1),HFer,HOuv),HFer)-IF(NETWORKDAYS(BK455,BK455,JoursFeries),MEDIAN(MOD(BK455,1),HFer,HOuv),HOuv))*24,4)))/HJour,4),""))</f>
        <v/>
      </c>
      <c r="BM455" s="35" t="str">
        <f aca="false">IF(OR(AO455&lt;&gt;1,R455=""),"",IF(BD455=1,1,0))</f>
        <v/>
      </c>
      <c r="BN455" s="35" t="str">
        <f aca="false">IF(AO455&lt;&gt;1,"",IF(W455="Oui",1,0))</f>
        <v/>
      </c>
      <c r="BO455" s="35" t="str">
        <f aca="false">IF(AO455&lt;&gt;1,"",IF(X455&lt;&gt;"",1,0))</f>
        <v/>
      </c>
      <c r="BP455" s="35" t="str">
        <f aca="false">IF(AO455&lt;&gt;1,"",IF(Y455="Oui",1,0))</f>
        <v/>
      </c>
      <c r="BQ455" s="35" t="str">
        <f aca="true">IF(OR(AO455&lt;&gt;1,Z455&lt;&gt;"Oui"),"",IF(AB455="",IF(AND(AA455&lt;&gt;"",NOW()&gt;AA455),0,""),IF(AA455="","",IF(AB455&lt;=AA455,1,0))))</f>
        <v/>
      </c>
      <c r="BR455" s="38" t="str">
        <f aca="false">IF(OR(AO455&lt;&gt;1,K455&lt;&gt;"Oui",O455=""),"",IF(AC455="",O455+DORA_H_DET/24,IF(AC455-O455&lt;=DORA_H_DET/24,MIN(AC455+DORA_H_CLA/24,O455+DORA_H_DET/24),AC455+DORA_H_CLA/24)))</f>
        <v/>
      </c>
      <c r="BS455" s="35" t="str">
        <f aca="true">IF(BR455="","",IF(AD455="",IF(NOW()&gt;BR455,0,""),IF(AD455&lt;=BR455,1,0)))</f>
        <v/>
      </c>
      <c r="BT455" s="35" t="str">
        <f aca="true">IF(OR(BR455="",AD455=""),"",IF(AE455="",IF(NOW()&gt;AD455+DORA_H_INT/24,0,""),IF(AE455&lt;=AD455+DORA_H_INT/24,1,0)))</f>
        <v/>
      </c>
      <c r="BU455" s="35" t="str">
        <f aca="true">IF(OR(BR455="",AE455=""),"",IF(AF455="",IF(NOW()&gt;EDATE(AE455,DORA_M_FIN)+1,0,""),IF(AF455&lt;=EDATE(AE455,DORA_M_FIN),1,0)))</f>
        <v/>
      </c>
      <c r="BV455" s="35" t="str">
        <f aca="false">IF(BR455="","",IF(COUNT(BS455:BU455)=0,"",MIN(BS455:BU455)))</f>
        <v/>
      </c>
      <c r="BW455" s="40" t="str">
        <f aca="false">IF(AQ455&lt;&gt;1,"",IF(AND(AG455="",AH455=""),"",N(AG455)-N(AH455)))</f>
        <v/>
      </c>
      <c r="BX455" s="35" t="str">
        <f aca="true">IF(OR(AQ455&lt;&gt;1,AI455&lt;&gt;"Oui",AJ455=""),"",IF(AK455="",IF(NOW()&gt;AJ455+1,0,""),IF(AK455&lt;=AJ455,1,0)))</f>
        <v/>
      </c>
    </row>
    <row r="456" customFormat="false" ht="15" hidden="false" customHeight="false" outlineLevel="0" collapsed="false">
      <c r="B456" s="29"/>
      <c r="C456" s="29"/>
      <c r="D456" s="29"/>
      <c r="E456" s="29"/>
      <c r="F456" s="29"/>
      <c r="G456" s="29"/>
      <c r="H456" s="29"/>
      <c r="I456" s="29"/>
      <c r="J456" s="29"/>
      <c r="K456" s="29"/>
      <c r="L456" s="29"/>
      <c r="M456" s="29"/>
      <c r="N456" s="30"/>
      <c r="O456" s="30"/>
      <c r="P456" s="30"/>
      <c r="Q456" s="30"/>
      <c r="R456" s="30"/>
      <c r="S456" s="30"/>
      <c r="T456" s="30"/>
      <c r="U456" s="30"/>
      <c r="V456" s="31"/>
      <c r="W456" s="29"/>
      <c r="X456" s="29"/>
      <c r="Y456" s="29"/>
      <c r="Z456" s="29"/>
      <c r="AA456" s="30"/>
      <c r="AB456" s="30"/>
      <c r="AC456" s="30"/>
      <c r="AD456" s="30"/>
      <c r="AE456" s="30"/>
      <c r="AF456" s="32"/>
      <c r="AG456" s="33"/>
      <c r="AH456" s="33"/>
      <c r="AI456" s="29"/>
      <c r="AJ456" s="32"/>
      <c r="AK456" s="32"/>
      <c r="AL456" s="29"/>
      <c r="AN456" s="34" t="str">
        <f aca="false">IF($B456="","",IF(OR(C456="",D456="",E456="",G456="",I456="",J456="",L456="",O456="",P456=""),"Champ obligatoire manquant",IF(OR(AND(N456&lt;&gt;"",N456&gt;O456),O456&gt;P456,AND(Q456&lt;&gt;"",Q456&lt;P456),AND(R456&lt;&gt;"",R456&lt;P456),AND(S456&lt;&gt;"",S456&lt;R456),AND(S456&lt;&gt;"",R456=""),AND(T456&lt;&gt;"",T456&lt;O456),AND(U456&lt;&gt;"",U456&lt;O456)),"Chronologie incohérente",IF(AND(OR(L456="Résolu",L456="Clos"),R456=""),"Date de résolution manquante",IF(AND(L456="Clos",S456=""),"Date de clôture manquante",IF(AND(K456="Oui",AC456=""),"Classification DORA manquante","OK"))))))</f>
        <v/>
      </c>
      <c r="AO456" s="35" t="str">
        <f aca="false">IF($B456="","",IF(AND(C456="Incident",L456&lt;&gt;"Annulé"),1,0))</f>
        <v/>
      </c>
      <c r="AP456" s="35" t="str">
        <f aca="false">IF($B456="","",IF(AND(C456="Quasi-incident",L456&lt;&gt;"Annulé"),1,0))</f>
        <v/>
      </c>
      <c r="AQ456" s="35" t="str">
        <f aca="false">IF($B456="","",AO456+AP456)</f>
        <v/>
      </c>
      <c r="AR456" s="36" t="str">
        <f aca="false">IF(OR($B456="",J456=""),"",IFERROR(VALUE(LEFT(J456,1)),""))</f>
        <v/>
      </c>
      <c r="AS456" s="35" t="str">
        <f aca="false">IF(OR(AO456&lt;&gt;1,G456=""),"",IFERROR(IF(INDEX(L_SrcInterne,MATCH(G456,L_Sources,0))="Oui",1,0),""))</f>
        <v/>
      </c>
      <c r="AT456" s="37" t="str">
        <f aca="false">IF(AO456&lt;&gt;1,"",IFERROR(ROUND(IF(OR(N456="",O456=""),"",IF(O456&lt;N456,"",ROUND(((NETWORKDAYS(N456,O456,JoursFeries)-1)*(HFer-HOuv)+IF(NETWORKDAYS(O456,O456,JoursFeries),MEDIAN(MOD(O456,1),HFer,HOuv),HFer)-IF(NETWORKDAYS(N456,N456,JoursFeries),MEDIAN(MOD(N456,1),HFer,HOuv),HOuv))*24,4)))/HJour,4),""))</f>
        <v/>
      </c>
      <c r="AU456" s="37" t="str">
        <f aca="false">IF(AO456&lt;&gt;1,"",IF(OR(O456="",P456=""),"",IF(P456&lt;O456,"",ROUND(((NETWORKDAYS(O456,P456,JoursFeries)-1)*(HFer-HOuv)+IF(NETWORKDAYS(P456,P456,JoursFeries),MEDIAN(MOD(P456,1),HFer,HOuv),HFer)-IF(NETWORKDAYS(O456,O456,JoursFeries),MEDIAN(MOD(O456,1),HFer,HOuv),HOuv))*24,4))))</f>
        <v/>
      </c>
      <c r="AV456" s="37" t="str">
        <f aca="false">IF(AO456&lt;&gt;1,"",IF(OR(P456="",Q456=""),"",IF(Q456&lt;P456,"",ROUND(((NETWORKDAYS(P456,Q456,JoursFeries)-1)*(HFer-HOuv)+IF(NETWORKDAYS(Q456,Q456,JoursFeries),MEDIAN(MOD(Q456,1),HFer,HOuv),HFer)-IF(NETWORKDAYS(P456,P456,JoursFeries),MEDIAN(MOD(P456,1),HFer,HOuv),HOuv))*24,4))))</f>
        <v/>
      </c>
      <c r="AW456" s="37" t="str">
        <f aca="false">IF(AO456&lt;&gt;1,"",IFERROR(ROUND(IF(OR(P456="",R456=""),"",IF(R456&lt;P456,"",ROUND(((NETWORKDAYS(P456,R456,JoursFeries)-1)*(HFer-HOuv)+IF(NETWORKDAYS(R456,R456,JoursFeries),MEDIAN(MOD(R456,1),HFer,HOuv),HFer)-IF(NETWORKDAYS(P456,P456,JoursFeries),MEDIAN(MOD(P456,1),HFer,HOuv),HOuv))*24,4)))/HJour,4),""))</f>
        <v/>
      </c>
      <c r="AX456" s="37" t="str">
        <f aca="false">IF(AO456&lt;&gt;1,"",IFERROR(ROUND(IF(OR(P456="",S456=""),"",IF(S456&lt;P456,"",ROUND(((NETWORKDAYS(P456,S456,JoursFeries)-1)*(HFer-HOuv)+IF(NETWORKDAYS(S456,S456,JoursFeries),MEDIAN(MOD(S456,1),HFer,HOuv),HFer)-IF(NETWORKDAYS(P456,P456,JoursFeries),MEDIAN(MOD(P456,1),HFer,HOuv),HOuv))*24,4)))/HJour,4),""))</f>
        <v/>
      </c>
      <c r="AY456" s="36" t="str">
        <f aca="false">IF(OR(AO456&lt;&gt;1,AR456=""),"",INDEX(SLA_PEC,AR456))</f>
        <v/>
      </c>
      <c r="AZ456" s="35" t="str">
        <f aca="false">IF(OR(AV456="",AY456=""),"",IF(AV456&lt;=AY456,1,0))</f>
        <v/>
      </c>
      <c r="BA456" s="36" t="str">
        <f aca="false">IF(OR(AO456&lt;&gt;1,AR456=""),"",INDEX(SLA_RES,AR456))</f>
        <v/>
      </c>
      <c r="BB456" s="35" t="str">
        <f aca="false">IF(OR(AW456="",BA456=""),"",IF(AW456&lt;=BA456,1,0))</f>
        <v/>
      </c>
      <c r="BC456" s="38" t="str">
        <f aca="false">IF(OR(BA456="",P456=""),"",WORKDAY(INT(P456),BA456,JoursFeries)+MOD(P456,1))</f>
        <v/>
      </c>
      <c r="BD456" s="39" t="str">
        <f aca="false">IF(AO456&lt;&gt;1,"",IF(OR(AB456&lt;&gt;"",AD456&lt;&gt;""),4,IF(U456&lt;&gt;"",3,IF(T456&lt;&gt;"",2,1))))</f>
        <v/>
      </c>
      <c r="BE456" s="39" t="str">
        <f aca="false">IF(OR(AO456&lt;&gt;1,AR456=""),"",INDEX(NIV_REQ,AR456))</f>
        <v/>
      </c>
      <c r="BF456" s="39" t="str">
        <f aca="false">IF(BE456="","",MAX(BE456,IF(OR(K456="Oui",Z456="Oui"),4,1)))</f>
        <v/>
      </c>
      <c r="BG456" s="35" t="str">
        <f aca="false">IF(OR(BF456="",BD456=""),"",IF(BD456&gt;=BF456,1,0))</f>
        <v/>
      </c>
      <c r="BH456" s="38" t="str">
        <f aca="false">IF(BE456="","",IF(BE456&lt;2,"",IF(BE456=2,IF(AND(T456="",U456=""),"",MIN(T456,U456)),IF(U456="","",U456))))</f>
        <v/>
      </c>
      <c r="BI456" s="37" t="str">
        <f aca="false">IF(BH456="","",IF(OR(O456="",BH456=""),"",IF(BH456&lt;O456,"",ROUND(((NETWORKDAYS(O456,BH456,JoursFeries)-1)*(HFer-HOuv)+IF(NETWORKDAYS(BH456,BH456,JoursFeries),MEDIAN(MOD(BH456,1),HFer,HOuv),HFer)-IF(NETWORKDAYS(O456,O456,JoursFeries),MEDIAN(MOD(O456,1),HFer,HOuv),HOuv))*24,4))))</f>
        <v/>
      </c>
      <c r="BJ456" s="35" t="str">
        <f aca="false">IF(OR(BI456="",AR456=""),"",IF(BI456&lt;=INDEX(DELAI_ESC,AR456),1,0))</f>
        <v/>
      </c>
      <c r="BK456" s="38" t="str">
        <f aca="false">IF(AO456&lt;&gt;1,"",IF(AND(T456="",U456=""),"",MIN(T456,U456)))</f>
        <v/>
      </c>
      <c r="BL456" s="37" t="str">
        <f aca="false">IF(OR(BK456="",R456=""),"",IFERROR(ROUND(IF(OR(BK456="",R456=""),"",IF(R456&lt;BK456,"",ROUND(((NETWORKDAYS(BK456,R456,JoursFeries)-1)*(HFer-HOuv)+IF(NETWORKDAYS(R456,R456,JoursFeries),MEDIAN(MOD(R456,1),HFer,HOuv),HFer)-IF(NETWORKDAYS(BK456,BK456,JoursFeries),MEDIAN(MOD(BK456,1),HFer,HOuv),HOuv))*24,4)))/HJour,4),""))</f>
        <v/>
      </c>
      <c r="BM456" s="35" t="str">
        <f aca="false">IF(OR(AO456&lt;&gt;1,R456=""),"",IF(BD456=1,1,0))</f>
        <v/>
      </c>
      <c r="BN456" s="35" t="str">
        <f aca="false">IF(AO456&lt;&gt;1,"",IF(W456="Oui",1,0))</f>
        <v/>
      </c>
      <c r="BO456" s="35" t="str">
        <f aca="false">IF(AO456&lt;&gt;1,"",IF(X456&lt;&gt;"",1,0))</f>
        <v/>
      </c>
      <c r="BP456" s="35" t="str">
        <f aca="false">IF(AO456&lt;&gt;1,"",IF(Y456="Oui",1,0))</f>
        <v/>
      </c>
      <c r="BQ456" s="35" t="str">
        <f aca="true">IF(OR(AO456&lt;&gt;1,Z456&lt;&gt;"Oui"),"",IF(AB456="",IF(AND(AA456&lt;&gt;"",NOW()&gt;AA456),0,""),IF(AA456="","",IF(AB456&lt;=AA456,1,0))))</f>
        <v/>
      </c>
      <c r="BR456" s="38" t="str">
        <f aca="false">IF(OR(AO456&lt;&gt;1,K456&lt;&gt;"Oui",O456=""),"",IF(AC456="",O456+DORA_H_DET/24,IF(AC456-O456&lt;=DORA_H_DET/24,MIN(AC456+DORA_H_CLA/24,O456+DORA_H_DET/24),AC456+DORA_H_CLA/24)))</f>
        <v/>
      </c>
      <c r="BS456" s="35" t="str">
        <f aca="true">IF(BR456="","",IF(AD456="",IF(NOW()&gt;BR456,0,""),IF(AD456&lt;=BR456,1,0)))</f>
        <v/>
      </c>
      <c r="BT456" s="35" t="str">
        <f aca="true">IF(OR(BR456="",AD456=""),"",IF(AE456="",IF(NOW()&gt;AD456+DORA_H_INT/24,0,""),IF(AE456&lt;=AD456+DORA_H_INT/24,1,0)))</f>
        <v/>
      </c>
      <c r="BU456" s="35" t="str">
        <f aca="true">IF(OR(BR456="",AE456=""),"",IF(AF456="",IF(NOW()&gt;EDATE(AE456,DORA_M_FIN)+1,0,""),IF(AF456&lt;=EDATE(AE456,DORA_M_FIN),1,0)))</f>
        <v/>
      </c>
      <c r="BV456" s="35" t="str">
        <f aca="false">IF(BR456="","",IF(COUNT(BS456:BU456)=0,"",MIN(BS456:BU456)))</f>
        <v/>
      </c>
      <c r="BW456" s="40" t="str">
        <f aca="false">IF(AQ456&lt;&gt;1,"",IF(AND(AG456="",AH456=""),"",N(AG456)-N(AH456)))</f>
        <v/>
      </c>
      <c r="BX456" s="35" t="str">
        <f aca="true">IF(OR(AQ456&lt;&gt;1,AI456&lt;&gt;"Oui",AJ456=""),"",IF(AK456="",IF(NOW()&gt;AJ456+1,0,""),IF(AK456&lt;=AJ456,1,0)))</f>
        <v/>
      </c>
    </row>
    <row r="457" customFormat="false" ht="15" hidden="false" customHeight="false" outlineLevel="0" collapsed="false">
      <c r="B457" s="29"/>
      <c r="C457" s="29"/>
      <c r="D457" s="29"/>
      <c r="E457" s="29"/>
      <c r="F457" s="29"/>
      <c r="G457" s="29"/>
      <c r="H457" s="29"/>
      <c r="I457" s="29"/>
      <c r="J457" s="29"/>
      <c r="K457" s="29"/>
      <c r="L457" s="29"/>
      <c r="M457" s="29"/>
      <c r="N457" s="30"/>
      <c r="O457" s="30"/>
      <c r="P457" s="30"/>
      <c r="Q457" s="30"/>
      <c r="R457" s="30"/>
      <c r="S457" s="30"/>
      <c r="T457" s="30"/>
      <c r="U457" s="30"/>
      <c r="V457" s="31"/>
      <c r="W457" s="29"/>
      <c r="X457" s="29"/>
      <c r="Y457" s="29"/>
      <c r="Z457" s="29"/>
      <c r="AA457" s="30"/>
      <c r="AB457" s="30"/>
      <c r="AC457" s="30"/>
      <c r="AD457" s="30"/>
      <c r="AE457" s="30"/>
      <c r="AF457" s="32"/>
      <c r="AG457" s="33"/>
      <c r="AH457" s="33"/>
      <c r="AI457" s="29"/>
      <c r="AJ457" s="32"/>
      <c r="AK457" s="32"/>
      <c r="AL457" s="29"/>
      <c r="AN457" s="34" t="str">
        <f aca="false">IF($B457="","",IF(OR(C457="",D457="",E457="",G457="",I457="",J457="",L457="",O457="",P457=""),"Champ obligatoire manquant",IF(OR(AND(N457&lt;&gt;"",N457&gt;O457),O457&gt;P457,AND(Q457&lt;&gt;"",Q457&lt;P457),AND(R457&lt;&gt;"",R457&lt;P457),AND(S457&lt;&gt;"",S457&lt;R457),AND(S457&lt;&gt;"",R457=""),AND(T457&lt;&gt;"",T457&lt;O457),AND(U457&lt;&gt;"",U457&lt;O457)),"Chronologie incohérente",IF(AND(OR(L457="Résolu",L457="Clos"),R457=""),"Date de résolution manquante",IF(AND(L457="Clos",S457=""),"Date de clôture manquante",IF(AND(K457="Oui",AC457=""),"Classification DORA manquante","OK"))))))</f>
        <v/>
      </c>
      <c r="AO457" s="35" t="str">
        <f aca="false">IF($B457="","",IF(AND(C457="Incident",L457&lt;&gt;"Annulé"),1,0))</f>
        <v/>
      </c>
      <c r="AP457" s="35" t="str">
        <f aca="false">IF($B457="","",IF(AND(C457="Quasi-incident",L457&lt;&gt;"Annulé"),1,0))</f>
        <v/>
      </c>
      <c r="AQ457" s="35" t="str">
        <f aca="false">IF($B457="","",AO457+AP457)</f>
        <v/>
      </c>
      <c r="AR457" s="36" t="str">
        <f aca="false">IF(OR($B457="",J457=""),"",IFERROR(VALUE(LEFT(J457,1)),""))</f>
        <v/>
      </c>
      <c r="AS457" s="35" t="str">
        <f aca="false">IF(OR(AO457&lt;&gt;1,G457=""),"",IFERROR(IF(INDEX(L_SrcInterne,MATCH(G457,L_Sources,0))="Oui",1,0),""))</f>
        <v/>
      </c>
      <c r="AT457" s="37" t="str">
        <f aca="false">IF(AO457&lt;&gt;1,"",IFERROR(ROUND(IF(OR(N457="",O457=""),"",IF(O457&lt;N457,"",ROUND(((NETWORKDAYS(N457,O457,JoursFeries)-1)*(HFer-HOuv)+IF(NETWORKDAYS(O457,O457,JoursFeries),MEDIAN(MOD(O457,1),HFer,HOuv),HFer)-IF(NETWORKDAYS(N457,N457,JoursFeries),MEDIAN(MOD(N457,1),HFer,HOuv),HOuv))*24,4)))/HJour,4),""))</f>
        <v/>
      </c>
      <c r="AU457" s="37" t="str">
        <f aca="false">IF(AO457&lt;&gt;1,"",IF(OR(O457="",P457=""),"",IF(P457&lt;O457,"",ROUND(((NETWORKDAYS(O457,P457,JoursFeries)-1)*(HFer-HOuv)+IF(NETWORKDAYS(P457,P457,JoursFeries),MEDIAN(MOD(P457,1),HFer,HOuv),HFer)-IF(NETWORKDAYS(O457,O457,JoursFeries),MEDIAN(MOD(O457,1),HFer,HOuv),HOuv))*24,4))))</f>
        <v/>
      </c>
      <c r="AV457" s="37" t="str">
        <f aca="false">IF(AO457&lt;&gt;1,"",IF(OR(P457="",Q457=""),"",IF(Q457&lt;P457,"",ROUND(((NETWORKDAYS(P457,Q457,JoursFeries)-1)*(HFer-HOuv)+IF(NETWORKDAYS(Q457,Q457,JoursFeries),MEDIAN(MOD(Q457,1),HFer,HOuv),HFer)-IF(NETWORKDAYS(P457,P457,JoursFeries),MEDIAN(MOD(P457,1),HFer,HOuv),HOuv))*24,4))))</f>
        <v/>
      </c>
      <c r="AW457" s="37" t="str">
        <f aca="false">IF(AO457&lt;&gt;1,"",IFERROR(ROUND(IF(OR(P457="",R457=""),"",IF(R457&lt;P457,"",ROUND(((NETWORKDAYS(P457,R457,JoursFeries)-1)*(HFer-HOuv)+IF(NETWORKDAYS(R457,R457,JoursFeries),MEDIAN(MOD(R457,1),HFer,HOuv),HFer)-IF(NETWORKDAYS(P457,P457,JoursFeries),MEDIAN(MOD(P457,1),HFer,HOuv),HOuv))*24,4)))/HJour,4),""))</f>
        <v/>
      </c>
      <c r="AX457" s="37" t="str">
        <f aca="false">IF(AO457&lt;&gt;1,"",IFERROR(ROUND(IF(OR(P457="",S457=""),"",IF(S457&lt;P457,"",ROUND(((NETWORKDAYS(P457,S457,JoursFeries)-1)*(HFer-HOuv)+IF(NETWORKDAYS(S457,S457,JoursFeries),MEDIAN(MOD(S457,1),HFer,HOuv),HFer)-IF(NETWORKDAYS(P457,P457,JoursFeries),MEDIAN(MOD(P457,1),HFer,HOuv),HOuv))*24,4)))/HJour,4),""))</f>
        <v/>
      </c>
      <c r="AY457" s="36" t="str">
        <f aca="false">IF(OR(AO457&lt;&gt;1,AR457=""),"",INDEX(SLA_PEC,AR457))</f>
        <v/>
      </c>
      <c r="AZ457" s="35" t="str">
        <f aca="false">IF(OR(AV457="",AY457=""),"",IF(AV457&lt;=AY457,1,0))</f>
        <v/>
      </c>
      <c r="BA457" s="36" t="str">
        <f aca="false">IF(OR(AO457&lt;&gt;1,AR457=""),"",INDEX(SLA_RES,AR457))</f>
        <v/>
      </c>
      <c r="BB457" s="35" t="str">
        <f aca="false">IF(OR(AW457="",BA457=""),"",IF(AW457&lt;=BA457,1,0))</f>
        <v/>
      </c>
      <c r="BC457" s="38" t="str">
        <f aca="false">IF(OR(BA457="",P457=""),"",WORKDAY(INT(P457),BA457,JoursFeries)+MOD(P457,1))</f>
        <v/>
      </c>
      <c r="BD457" s="39" t="str">
        <f aca="false">IF(AO457&lt;&gt;1,"",IF(OR(AB457&lt;&gt;"",AD457&lt;&gt;""),4,IF(U457&lt;&gt;"",3,IF(T457&lt;&gt;"",2,1))))</f>
        <v/>
      </c>
      <c r="BE457" s="39" t="str">
        <f aca="false">IF(OR(AO457&lt;&gt;1,AR457=""),"",INDEX(NIV_REQ,AR457))</f>
        <v/>
      </c>
      <c r="BF457" s="39" t="str">
        <f aca="false">IF(BE457="","",MAX(BE457,IF(OR(K457="Oui",Z457="Oui"),4,1)))</f>
        <v/>
      </c>
      <c r="BG457" s="35" t="str">
        <f aca="false">IF(OR(BF457="",BD457=""),"",IF(BD457&gt;=BF457,1,0))</f>
        <v/>
      </c>
      <c r="BH457" s="38" t="str">
        <f aca="false">IF(BE457="","",IF(BE457&lt;2,"",IF(BE457=2,IF(AND(T457="",U457=""),"",MIN(T457,U457)),IF(U457="","",U457))))</f>
        <v/>
      </c>
      <c r="BI457" s="37" t="str">
        <f aca="false">IF(BH457="","",IF(OR(O457="",BH457=""),"",IF(BH457&lt;O457,"",ROUND(((NETWORKDAYS(O457,BH457,JoursFeries)-1)*(HFer-HOuv)+IF(NETWORKDAYS(BH457,BH457,JoursFeries),MEDIAN(MOD(BH457,1),HFer,HOuv),HFer)-IF(NETWORKDAYS(O457,O457,JoursFeries),MEDIAN(MOD(O457,1),HFer,HOuv),HOuv))*24,4))))</f>
        <v/>
      </c>
      <c r="BJ457" s="35" t="str">
        <f aca="false">IF(OR(BI457="",AR457=""),"",IF(BI457&lt;=INDEX(DELAI_ESC,AR457),1,0))</f>
        <v/>
      </c>
      <c r="BK457" s="38" t="str">
        <f aca="false">IF(AO457&lt;&gt;1,"",IF(AND(T457="",U457=""),"",MIN(T457,U457)))</f>
        <v/>
      </c>
      <c r="BL457" s="37" t="str">
        <f aca="false">IF(OR(BK457="",R457=""),"",IFERROR(ROUND(IF(OR(BK457="",R457=""),"",IF(R457&lt;BK457,"",ROUND(((NETWORKDAYS(BK457,R457,JoursFeries)-1)*(HFer-HOuv)+IF(NETWORKDAYS(R457,R457,JoursFeries),MEDIAN(MOD(R457,1),HFer,HOuv),HFer)-IF(NETWORKDAYS(BK457,BK457,JoursFeries),MEDIAN(MOD(BK457,1),HFer,HOuv),HOuv))*24,4)))/HJour,4),""))</f>
        <v/>
      </c>
      <c r="BM457" s="35" t="str">
        <f aca="false">IF(OR(AO457&lt;&gt;1,R457=""),"",IF(BD457=1,1,0))</f>
        <v/>
      </c>
      <c r="BN457" s="35" t="str">
        <f aca="false">IF(AO457&lt;&gt;1,"",IF(W457="Oui",1,0))</f>
        <v/>
      </c>
      <c r="BO457" s="35" t="str">
        <f aca="false">IF(AO457&lt;&gt;1,"",IF(X457&lt;&gt;"",1,0))</f>
        <v/>
      </c>
      <c r="BP457" s="35" t="str">
        <f aca="false">IF(AO457&lt;&gt;1,"",IF(Y457="Oui",1,0))</f>
        <v/>
      </c>
      <c r="BQ457" s="35" t="str">
        <f aca="true">IF(OR(AO457&lt;&gt;1,Z457&lt;&gt;"Oui"),"",IF(AB457="",IF(AND(AA457&lt;&gt;"",NOW()&gt;AA457),0,""),IF(AA457="","",IF(AB457&lt;=AA457,1,0))))</f>
        <v/>
      </c>
      <c r="BR457" s="38" t="str">
        <f aca="false">IF(OR(AO457&lt;&gt;1,K457&lt;&gt;"Oui",O457=""),"",IF(AC457="",O457+DORA_H_DET/24,IF(AC457-O457&lt;=DORA_H_DET/24,MIN(AC457+DORA_H_CLA/24,O457+DORA_H_DET/24),AC457+DORA_H_CLA/24)))</f>
        <v/>
      </c>
      <c r="BS457" s="35" t="str">
        <f aca="true">IF(BR457="","",IF(AD457="",IF(NOW()&gt;BR457,0,""),IF(AD457&lt;=BR457,1,0)))</f>
        <v/>
      </c>
      <c r="BT457" s="35" t="str">
        <f aca="true">IF(OR(BR457="",AD457=""),"",IF(AE457="",IF(NOW()&gt;AD457+DORA_H_INT/24,0,""),IF(AE457&lt;=AD457+DORA_H_INT/24,1,0)))</f>
        <v/>
      </c>
      <c r="BU457" s="35" t="str">
        <f aca="true">IF(OR(BR457="",AE457=""),"",IF(AF457="",IF(NOW()&gt;EDATE(AE457,DORA_M_FIN)+1,0,""),IF(AF457&lt;=EDATE(AE457,DORA_M_FIN),1,0)))</f>
        <v/>
      </c>
      <c r="BV457" s="35" t="str">
        <f aca="false">IF(BR457="","",IF(COUNT(BS457:BU457)=0,"",MIN(BS457:BU457)))</f>
        <v/>
      </c>
      <c r="BW457" s="40" t="str">
        <f aca="false">IF(AQ457&lt;&gt;1,"",IF(AND(AG457="",AH457=""),"",N(AG457)-N(AH457)))</f>
        <v/>
      </c>
      <c r="BX457" s="35" t="str">
        <f aca="true">IF(OR(AQ457&lt;&gt;1,AI457&lt;&gt;"Oui",AJ457=""),"",IF(AK457="",IF(NOW()&gt;AJ457+1,0,""),IF(AK457&lt;=AJ457,1,0)))</f>
        <v/>
      </c>
    </row>
    <row r="458" customFormat="false" ht="15" hidden="false" customHeight="false" outlineLevel="0" collapsed="false">
      <c r="B458" s="29"/>
      <c r="C458" s="29"/>
      <c r="D458" s="29"/>
      <c r="E458" s="29"/>
      <c r="F458" s="29"/>
      <c r="G458" s="29"/>
      <c r="H458" s="29"/>
      <c r="I458" s="29"/>
      <c r="J458" s="29"/>
      <c r="K458" s="29"/>
      <c r="L458" s="29"/>
      <c r="M458" s="29"/>
      <c r="N458" s="30"/>
      <c r="O458" s="30"/>
      <c r="P458" s="30"/>
      <c r="Q458" s="30"/>
      <c r="R458" s="30"/>
      <c r="S458" s="30"/>
      <c r="T458" s="30"/>
      <c r="U458" s="30"/>
      <c r="V458" s="31"/>
      <c r="W458" s="29"/>
      <c r="X458" s="29"/>
      <c r="Y458" s="29"/>
      <c r="Z458" s="29"/>
      <c r="AA458" s="30"/>
      <c r="AB458" s="30"/>
      <c r="AC458" s="30"/>
      <c r="AD458" s="30"/>
      <c r="AE458" s="30"/>
      <c r="AF458" s="32"/>
      <c r="AG458" s="33"/>
      <c r="AH458" s="33"/>
      <c r="AI458" s="29"/>
      <c r="AJ458" s="32"/>
      <c r="AK458" s="32"/>
      <c r="AL458" s="29"/>
      <c r="AN458" s="34" t="str">
        <f aca="false">IF($B458="","",IF(OR(C458="",D458="",E458="",G458="",I458="",J458="",L458="",O458="",P458=""),"Champ obligatoire manquant",IF(OR(AND(N458&lt;&gt;"",N458&gt;O458),O458&gt;P458,AND(Q458&lt;&gt;"",Q458&lt;P458),AND(R458&lt;&gt;"",R458&lt;P458),AND(S458&lt;&gt;"",S458&lt;R458),AND(S458&lt;&gt;"",R458=""),AND(T458&lt;&gt;"",T458&lt;O458),AND(U458&lt;&gt;"",U458&lt;O458)),"Chronologie incohérente",IF(AND(OR(L458="Résolu",L458="Clos"),R458=""),"Date de résolution manquante",IF(AND(L458="Clos",S458=""),"Date de clôture manquante",IF(AND(K458="Oui",AC458=""),"Classification DORA manquante","OK"))))))</f>
        <v/>
      </c>
      <c r="AO458" s="35" t="str">
        <f aca="false">IF($B458="","",IF(AND(C458="Incident",L458&lt;&gt;"Annulé"),1,0))</f>
        <v/>
      </c>
      <c r="AP458" s="35" t="str">
        <f aca="false">IF($B458="","",IF(AND(C458="Quasi-incident",L458&lt;&gt;"Annulé"),1,0))</f>
        <v/>
      </c>
      <c r="AQ458" s="35" t="str">
        <f aca="false">IF($B458="","",AO458+AP458)</f>
        <v/>
      </c>
      <c r="AR458" s="36" t="str">
        <f aca="false">IF(OR($B458="",J458=""),"",IFERROR(VALUE(LEFT(J458,1)),""))</f>
        <v/>
      </c>
      <c r="AS458" s="35" t="str">
        <f aca="false">IF(OR(AO458&lt;&gt;1,G458=""),"",IFERROR(IF(INDEX(L_SrcInterne,MATCH(G458,L_Sources,0))="Oui",1,0),""))</f>
        <v/>
      </c>
      <c r="AT458" s="37" t="str">
        <f aca="false">IF(AO458&lt;&gt;1,"",IFERROR(ROUND(IF(OR(N458="",O458=""),"",IF(O458&lt;N458,"",ROUND(((NETWORKDAYS(N458,O458,JoursFeries)-1)*(HFer-HOuv)+IF(NETWORKDAYS(O458,O458,JoursFeries),MEDIAN(MOD(O458,1),HFer,HOuv),HFer)-IF(NETWORKDAYS(N458,N458,JoursFeries),MEDIAN(MOD(N458,1),HFer,HOuv),HOuv))*24,4)))/HJour,4),""))</f>
        <v/>
      </c>
      <c r="AU458" s="37" t="str">
        <f aca="false">IF(AO458&lt;&gt;1,"",IF(OR(O458="",P458=""),"",IF(P458&lt;O458,"",ROUND(((NETWORKDAYS(O458,P458,JoursFeries)-1)*(HFer-HOuv)+IF(NETWORKDAYS(P458,P458,JoursFeries),MEDIAN(MOD(P458,1),HFer,HOuv),HFer)-IF(NETWORKDAYS(O458,O458,JoursFeries),MEDIAN(MOD(O458,1),HFer,HOuv),HOuv))*24,4))))</f>
        <v/>
      </c>
      <c r="AV458" s="37" t="str">
        <f aca="false">IF(AO458&lt;&gt;1,"",IF(OR(P458="",Q458=""),"",IF(Q458&lt;P458,"",ROUND(((NETWORKDAYS(P458,Q458,JoursFeries)-1)*(HFer-HOuv)+IF(NETWORKDAYS(Q458,Q458,JoursFeries),MEDIAN(MOD(Q458,1),HFer,HOuv),HFer)-IF(NETWORKDAYS(P458,P458,JoursFeries),MEDIAN(MOD(P458,1),HFer,HOuv),HOuv))*24,4))))</f>
        <v/>
      </c>
      <c r="AW458" s="37" t="str">
        <f aca="false">IF(AO458&lt;&gt;1,"",IFERROR(ROUND(IF(OR(P458="",R458=""),"",IF(R458&lt;P458,"",ROUND(((NETWORKDAYS(P458,R458,JoursFeries)-1)*(HFer-HOuv)+IF(NETWORKDAYS(R458,R458,JoursFeries),MEDIAN(MOD(R458,1),HFer,HOuv),HFer)-IF(NETWORKDAYS(P458,P458,JoursFeries),MEDIAN(MOD(P458,1),HFer,HOuv),HOuv))*24,4)))/HJour,4),""))</f>
        <v/>
      </c>
      <c r="AX458" s="37" t="str">
        <f aca="false">IF(AO458&lt;&gt;1,"",IFERROR(ROUND(IF(OR(P458="",S458=""),"",IF(S458&lt;P458,"",ROUND(((NETWORKDAYS(P458,S458,JoursFeries)-1)*(HFer-HOuv)+IF(NETWORKDAYS(S458,S458,JoursFeries),MEDIAN(MOD(S458,1),HFer,HOuv),HFer)-IF(NETWORKDAYS(P458,P458,JoursFeries),MEDIAN(MOD(P458,1),HFer,HOuv),HOuv))*24,4)))/HJour,4),""))</f>
        <v/>
      </c>
      <c r="AY458" s="36" t="str">
        <f aca="false">IF(OR(AO458&lt;&gt;1,AR458=""),"",INDEX(SLA_PEC,AR458))</f>
        <v/>
      </c>
      <c r="AZ458" s="35" t="str">
        <f aca="false">IF(OR(AV458="",AY458=""),"",IF(AV458&lt;=AY458,1,0))</f>
        <v/>
      </c>
      <c r="BA458" s="36" t="str">
        <f aca="false">IF(OR(AO458&lt;&gt;1,AR458=""),"",INDEX(SLA_RES,AR458))</f>
        <v/>
      </c>
      <c r="BB458" s="35" t="str">
        <f aca="false">IF(OR(AW458="",BA458=""),"",IF(AW458&lt;=BA458,1,0))</f>
        <v/>
      </c>
      <c r="BC458" s="38" t="str">
        <f aca="false">IF(OR(BA458="",P458=""),"",WORKDAY(INT(P458),BA458,JoursFeries)+MOD(P458,1))</f>
        <v/>
      </c>
      <c r="BD458" s="39" t="str">
        <f aca="false">IF(AO458&lt;&gt;1,"",IF(OR(AB458&lt;&gt;"",AD458&lt;&gt;""),4,IF(U458&lt;&gt;"",3,IF(T458&lt;&gt;"",2,1))))</f>
        <v/>
      </c>
      <c r="BE458" s="39" t="str">
        <f aca="false">IF(OR(AO458&lt;&gt;1,AR458=""),"",INDEX(NIV_REQ,AR458))</f>
        <v/>
      </c>
      <c r="BF458" s="39" t="str">
        <f aca="false">IF(BE458="","",MAX(BE458,IF(OR(K458="Oui",Z458="Oui"),4,1)))</f>
        <v/>
      </c>
      <c r="BG458" s="35" t="str">
        <f aca="false">IF(OR(BF458="",BD458=""),"",IF(BD458&gt;=BF458,1,0))</f>
        <v/>
      </c>
      <c r="BH458" s="38" t="str">
        <f aca="false">IF(BE458="","",IF(BE458&lt;2,"",IF(BE458=2,IF(AND(T458="",U458=""),"",MIN(T458,U458)),IF(U458="","",U458))))</f>
        <v/>
      </c>
      <c r="BI458" s="37" t="str">
        <f aca="false">IF(BH458="","",IF(OR(O458="",BH458=""),"",IF(BH458&lt;O458,"",ROUND(((NETWORKDAYS(O458,BH458,JoursFeries)-1)*(HFer-HOuv)+IF(NETWORKDAYS(BH458,BH458,JoursFeries),MEDIAN(MOD(BH458,1),HFer,HOuv),HFer)-IF(NETWORKDAYS(O458,O458,JoursFeries),MEDIAN(MOD(O458,1),HFer,HOuv),HOuv))*24,4))))</f>
        <v/>
      </c>
      <c r="BJ458" s="35" t="str">
        <f aca="false">IF(OR(BI458="",AR458=""),"",IF(BI458&lt;=INDEX(DELAI_ESC,AR458),1,0))</f>
        <v/>
      </c>
      <c r="BK458" s="38" t="str">
        <f aca="false">IF(AO458&lt;&gt;1,"",IF(AND(T458="",U458=""),"",MIN(T458,U458)))</f>
        <v/>
      </c>
      <c r="BL458" s="37" t="str">
        <f aca="false">IF(OR(BK458="",R458=""),"",IFERROR(ROUND(IF(OR(BK458="",R458=""),"",IF(R458&lt;BK458,"",ROUND(((NETWORKDAYS(BK458,R458,JoursFeries)-1)*(HFer-HOuv)+IF(NETWORKDAYS(R458,R458,JoursFeries),MEDIAN(MOD(R458,1),HFer,HOuv),HFer)-IF(NETWORKDAYS(BK458,BK458,JoursFeries),MEDIAN(MOD(BK458,1),HFer,HOuv),HOuv))*24,4)))/HJour,4),""))</f>
        <v/>
      </c>
      <c r="BM458" s="35" t="str">
        <f aca="false">IF(OR(AO458&lt;&gt;1,R458=""),"",IF(BD458=1,1,0))</f>
        <v/>
      </c>
      <c r="BN458" s="35" t="str">
        <f aca="false">IF(AO458&lt;&gt;1,"",IF(W458="Oui",1,0))</f>
        <v/>
      </c>
      <c r="BO458" s="35" t="str">
        <f aca="false">IF(AO458&lt;&gt;1,"",IF(X458&lt;&gt;"",1,0))</f>
        <v/>
      </c>
      <c r="BP458" s="35" t="str">
        <f aca="false">IF(AO458&lt;&gt;1,"",IF(Y458="Oui",1,0))</f>
        <v/>
      </c>
      <c r="BQ458" s="35" t="str">
        <f aca="true">IF(OR(AO458&lt;&gt;1,Z458&lt;&gt;"Oui"),"",IF(AB458="",IF(AND(AA458&lt;&gt;"",NOW()&gt;AA458),0,""),IF(AA458="","",IF(AB458&lt;=AA458,1,0))))</f>
        <v/>
      </c>
      <c r="BR458" s="38" t="str">
        <f aca="false">IF(OR(AO458&lt;&gt;1,K458&lt;&gt;"Oui",O458=""),"",IF(AC458="",O458+DORA_H_DET/24,IF(AC458-O458&lt;=DORA_H_DET/24,MIN(AC458+DORA_H_CLA/24,O458+DORA_H_DET/24),AC458+DORA_H_CLA/24)))</f>
        <v/>
      </c>
      <c r="BS458" s="35" t="str">
        <f aca="true">IF(BR458="","",IF(AD458="",IF(NOW()&gt;BR458,0,""),IF(AD458&lt;=BR458,1,0)))</f>
        <v/>
      </c>
      <c r="BT458" s="35" t="str">
        <f aca="true">IF(OR(BR458="",AD458=""),"",IF(AE458="",IF(NOW()&gt;AD458+DORA_H_INT/24,0,""),IF(AE458&lt;=AD458+DORA_H_INT/24,1,0)))</f>
        <v/>
      </c>
      <c r="BU458" s="35" t="str">
        <f aca="true">IF(OR(BR458="",AE458=""),"",IF(AF458="",IF(NOW()&gt;EDATE(AE458,DORA_M_FIN)+1,0,""),IF(AF458&lt;=EDATE(AE458,DORA_M_FIN),1,0)))</f>
        <v/>
      </c>
      <c r="BV458" s="35" t="str">
        <f aca="false">IF(BR458="","",IF(COUNT(BS458:BU458)=0,"",MIN(BS458:BU458)))</f>
        <v/>
      </c>
      <c r="BW458" s="40" t="str">
        <f aca="false">IF(AQ458&lt;&gt;1,"",IF(AND(AG458="",AH458=""),"",N(AG458)-N(AH458)))</f>
        <v/>
      </c>
      <c r="BX458" s="35" t="str">
        <f aca="true">IF(OR(AQ458&lt;&gt;1,AI458&lt;&gt;"Oui",AJ458=""),"",IF(AK458="",IF(NOW()&gt;AJ458+1,0,""),IF(AK458&lt;=AJ458,1,0)))</f>
        <v/>
      </c>
    </row>
    <row r="459" customFormat="false" ht="15" hidden="false" customHeight="false" outlineLevel="0" collapsed="false">
      <c r="B459" s="29"/>
      <c r="C459" s="29"/>
      <c r="D459" s="29"/>
      <c r="E459" s="29"/>
      <c r="F459" s="29"/>
      <c r="G459" s="29"/>
      <c r="H459" s="29"/>
      <c r="I459" s="29"/>
      <c r="J459" s="29"/>
      <c r="K459" s="29"/>
      <c r="L459" s="29"/>
      <c r="M459" s="29"/>
      <c r="N459" s="30"/>
      <c r="O459" s="30"/>
      <c r="P459" s="30"/>
      <c r="Q459" s="30"/>
      <c r="R459" s="30"/>
      <c r="S459" s="30"/>
      <c r="T459" s="30"/>
      <c r="U459" s="30"/>
      <c r="V459" s="31"/>
      <c r="W459" s="29"/>
      <c r="X459" s="29"/>
      <c r="Y459" s="29"/>
      <c r="Z459" s="29"/>
      <c r="AA459" s="30"/>
      <c r="AB459" s="30"/>
      <c r="AC459" s="30"/>
      <c r="AD459" s="30"/>
      <c r="AE459" s="30"/>
      <c r="AF459" s="32"/>
      <c r="AG459" s="33"/>
      <c r="AH459" s="33"/>
      <c r="AI459" s="29"/>
      <c r="AJ459" s="32"/>
      <c r="AK459" s="32"/>
      <c r="AL459" s="29"/>
      <c r="AN459" s="34" t="str">
        <f aca="false">IF($B459="","",IF(OR(C459="",D459="",E459="",G459="",I459="",J459="",L459="",O459="",P459=""),"Champ obligatoire manquant",IF(OR(AND(N459&lt;&gt;"",N459&gt;O459),O459&gt;P459,AND(Q459&lt;&gt;"",Q459&lt;P459),AND(R459&lt;&gt;"",R459&lt;P459),AND(S459&lt;&gt;"",S459&lt;R459),AND(S459&lt;&gt;"",R459=""),AND(T459&lt;&gt;"",T459&lt;O459),AND(U459&lt;&gt;"",U459&lt;O459)),"Chronologie incohérente",IF(AND(OR(L459="Résolu",L459="Clos"),R459=""),"Date de résolution manquante",IF(AND(L459="Clos",S459=""),"Date de clôture manquante",IF(AND(K459="Oui",AC459=""),"Classification DORA manquante","OK"))))))</f>
        <v/>
      </c>
      <c r="AO459" s="35" t="str">
        <f aca="false">IF($B459="","",IF(AND(C459="Incident",L459&lt;&gt;"Annulé"),1,0))</f>
        <v/>
      </c>
      <c r="AP459" s="35" t="str">
        <f aca="false">IF($B459="","",IF(AND(C459="Quasi-incident",L459&lt;&gt;"Annulé"),1,0))</f>
        <v/>
      </c>
      <c r="AQ459" s="35" t="str">
        <f aca="false">IF($B459="","",AO459+AP459)</f>
        <v/>
      </c>
      <c r="AR459" s="36" t="str">
        <f aca="false">IF(OR($B459="",J459=""),"",IFERROR(VALUE(LEFT(J459,1)),""))</f>
        <v/>
      </c>
      <c r="AS459" s="35" t="str">
        <f aca="false">IF(OR(AO459&lt;&gt;1,G459=""),"",IFERROR(IF(INDEX(L_SrcInterne,MATCH(G459,L_Sources,0))="Oui",1,0),""))</f>
        <v/>
      </c>
      <c r="AT459" s="37" t="str">
        <f aca="false">IF(AO459&lt;&gt;1,"",IFERROR(ROUND(IF(OR(N459="",O459=""),"",IF(O459&lt;N459,"",ROUND(((NETWORKDAYS(N459,O459,JoursFeries)-1)*(HFer-HOuv)+IF(NETWORKDAYS(O459,O459,JoursFeries),MEDIAN(MOD(O459,1),HFer,HOuv),HFer)-IF(NETWORKDAYS(N459,N459,JoursFeries),MEDIAN(MOD(N459,1),HFer,HOuv),HOuv))*24,4)))/HJour,4),""))</f>
        <v/>
      </c>
      <c r="AU459" s="37" t="str">
        <f aca="false">IF(AO459&lt;&gt;1,"",IF(OR(O459="",P459=""),"",IF(P459&lt;O459,"",ROUND(((NETWORKDAYS(O459,P459,JoursFeries)-1)*(HFer-HOuv)+IF(NETWORKDAYS(P459,P459,JoursFeries),MEDIAN(MOD(P459,1),HFer,HOuv),HFer)-IF(NETWORKDAYS(O459,O459,JoursFeries),MEDIAN(MOD(O459,1),HFer,HOuv),HOuv))*24,4))))</f>
        <v/>
      </c>
      <c r="AV459" s="37" t="str">
        <f aca="false">IF(AO459&lt;&gt;1,"",IF(OR(P459="",Q459=""),"",IF(Q459&lt;P459,"",ROUND(((NETWORKDAYS(P459,Q459,JoursFeries)-1)*(HFer-HOuv)+IF(NETWORKDAYS(Q459,Q459,JoursFeries),MEDIAN(MOD(Q459,1),HFer,HOuv),HFer)-IF(NETWORKDAYS(P459,P459,JoursFeries),MEDIAN(MOD(P459,1),HFer,HOuv),HOuv))*24,4))))</f>
        <v/>
      </c>
      <c r="AW459" s="37" t="str">
        <f aca="false">IF(AO459&lt;&gt;1,"",IFERROR(ROUND(IF(OR(P459="",R459=""),"",IF(R459&lt;P459,"",ROUND(((NETWORKDAYS(P459,R459,JoursFeries)-1)*(HFer-HOuv)+IF(NETWORKDAYS(R459,R459,JoursFeries),MEDIAN(MOD(R459,1),HFer,HOuv),HFer)-IF(NETWORKDAYS(P459,P459,JoursFeries),MEDIAN(MOD(P459,1),HFer,HOuv),HOuv))*24,4)))/HJour,4),""))</f>
        <v/>
      </c>
      <c r="AX459" s="37" t="str">
        <f aca="false">IF(AO459&lt;&gt;1,"",IFERROR(ROUND(IF(OR(P459="",S459=""),"",IF(S459&lt;P459,"",ROUND(((NETWORKDAYS(P459,S459,JoursFeries)-1)*(HFer-HOuv)+IF(NETWORKDAYS(S459,S459,JoursFeries),MEDIAN(MOD(S459,1),HFer,HOuv),HFer)-IF(NETWORKDAYS(P459,P459,JoursFeries),MEDIAN(MOD(P459,1),HFer,HOuv),HOuv))*24,4)))/HJour,4),""))</f>
        <v/>
      </c>
      <c r="AY459" s="36" t="str">
        <f aca="false">IF(OR(AO459&lt;&gt;1,AR459=""),"",INDEX(SLA_PEC,AR459))</f>
        <v/>
      </c>
      <c r="AZ459" s="35" t="str">
        <f aca="false">IF(OR(AV459="",AY459=""),"",IF(AV459&lt;=AY459,1,0))</f>
        <v/>
      </c>
      <c r="BA459" s="36" t="str">
        <f aca="false">IF(OR(AO459&lt;&gt;1,AR459=""),"",INDEX(SLA_RES,AR459))</f>
        <v/>
      </c>
      <c r="BB459" s="35" t="str">
        <f aca="false">IF(OR(AW459="",BA459=""),"",IF(AW459&lt;=BA459,1,0))</f>
        <v/>
      </c>
      <c r="BC459" s="38" t="str">
        <f aca="false">IF(OR(BA459="",P459=""),"",WORKDAY(INT(P459),BA459,JoursFeries)+MOD(P459,1))</f>
        <v/>
      </c>
      <c r="BD459" s="39" t="str">
        <f aca="false">IF(AO459&lt;&gt;1,"",IF(OR(AB459&lt;&gt;"",AD459&lt;&gt;""),4,IF(U459&lt;&gt;"",3,IF(T459&lt;&gt;"",2,1))))</f>
        <v/>
      </c>
      <c r="BE459" s="39" t="str">
        <f aca="false">IF(OR(AO459&lt;&gt;1,AR459=""),"",INDEX(NIV_REQ,AR459))</f>
        <v/>
      </c>
      <c r="BF459" s="39" t="str">
        <f aca="false">IF(BE459="","",MAX(BE459,IF(OR(K459="Oui",Z459="Oui"),4,1)))</f>
        <v/>
      </c>
      <c r="BG459" s="35" t="str">
        <f aca="false">IF(OR(BF459="",BD459=""),"",IF(BD459&gt;=BF459,1,0))</f>
        <v/>
      </c>
      <c r="BH459" s="38" t="str">
        <f aca="false">IF(BE459="","",IF(BE459&lt;2,"",IF(BE459=2,IF(AND(T459="",U459=""),"",MIN(T459,U459)),IF(U459="","",U459))))</f>
        <v/>
      </c>
      <c r="BI459" s="37" t="str">
        <f aca="false">IF(BH459="","",IF(OR(O459="",BH459=""),"",IF(BH459&lt;O459,"",ROUND(((NETWORKDAYS(O459,BH459,JoursFeries)-1)*(HFer-HOuv)+IF(NETWORKDAYS(BH459,BH459,JoursFeries),MEDIAN(MOD(BH459,1),HFer,HOuv),HFer)-IF(NETWORKDAYS(O459,O459,JoursFeries),MEDIAN(MOD(O459,1),HFer,HOuv),HOuv))*24,4))))</f>
        <v/>
      </c>
      <c r="BJ459" s="35" t="str">
        <f aca="false">IF(OR(BI459="",AR459=""),"",IF(BI459&lt;=INDEX(DELAI_ESC,AR459),1,0))</f>
        <v/>
      </c>
      <c r="BK459" s="38" t="str">
        <f aca="false">IF(AO459&lt;&gt;1,"",IF(AND(T459="",U459=""),"",MIN(T459,U459)))</f>
        <v/>
      </c>
      <c r="BL459" s="37" t="str">
        <f aca="false">IF(OR(BK459="",R459=""),"",IFERROR(ROUND(IF(OR(BK459="",R459=""),"",IF(R459&lt;BK459,"",ROUND(((NETWORKDAYS(BK459,R459,JoursFeries)-1)*(HFer-HOuv)+IF(NETWORKDAYS(R459,R459,JoursFeries),MEDIAN(MOD(R459,1),HFer,HOuv),HFer)-IF(NETWORKDAYS(BK459,BK459,JoursFeries),MEDIAN(MOD(BK459,1),HFer,HOuv),HOuv))*24,4)))/HJour,4),""))</f>
        <v/>
      </c>
      <c r="BM459" s="35" t="str">
        <f aca="false">IF(OR(AO459&lt;&gt;1,R459=""),"",IF(BD459=1,1,0))</f>
        <v/>
      </c>
      <c r="BN459" s="35" t="str">
        <f aca="false">IF(AO459&lt;&gt;1,"",IF(W459="Oui",1,0))</f>
        <v/>
      </c>
      <c r="BO459" s="35" t="str">
        <f aca="false">IF(AO459&lt;&gt;1,"",IF(X459&lt;&gt;"",1,0))</f>
        <v/>
      </c>
      <c r="BP459" s="35" t="str">
        <f aca="false">IF(AO459&lt;&gt;1,"",IF(Y459="Oui",1,0))</f>
        <v/>
      </c>
      <c r="BQ459" s="35" t="str">
        <f aca="true">IF(OR(AO459&lt;&gt;1,Z459&lt;&gt;"Oui"),"",IF(AB459="",IF(AND(AA459&lt;&gt;"",NOW()&gt;AA459),0,""),IF(AA459="","",IF(AB459&lt;=AA459,1,0))))</f>
        <v/>
      </c>
      <c r="BR459" s="38" t="str">
        <f aca="false">IF(OR(AO459&lt;&gt;1,K459&lt;&gt;"Oui",O459=""),"",IF(AC459="",O459+DORA_H_DET/24,IF(AC459-O459&lt;=DORA_H_DET/24,MIN(AC459+DORA_H_CLA/24,O459+DORA_H_DET/24),AC459+DORA_H_CLA/24)))</f>
        <v/>
      </c>
      <c r="BS459" s="35" t="str">
        <f aca="true">IF(BR459="","",IF(AD459="",IF(NOW()&gt;BR459,0,""),IF(AD459&lt;=BR459,1,0)))</f>
        <v/>
      </c>
      <c r="BT459" s="35" t="str">
        <f aca="true">IF(OR(BR459="",AD459=""),"",IF(AE459="",IF(NOW()&gt;AD459+DORA_H_INT/24,0,""),IF(AE459&lt;=AD459+DORA_H_INT/24,1,0)))</f>
        <v/>
      </c>
      <c r="BU459" s="35" t="str">
        <f aca="true">IF(OR(BR459="",AE459=""),"",IF(AF459="",IF(NOW()&gt;EDATE(AE459,DORA_M_FIN)+1,0,""),IF(AF459&lt;=EDATE(AE459,DORA_M_FIN),1,0)))</f>
        <v/>
      </c>
      <c r="BV459" s="35" t="str">
        <f aca="false">IF(BR459="","",IF(COUNT(BS459:BU459)=0,"",MIN(BS459:BU459)))</f>
        <v/>
      </c>
      <c r="BW459" s="40" t="str">
        <f aca="false">IF(AQ459&lt;&gt;1,"",IF(AND(AG459="",AH459=""),"",N(AG459)-N(AH459)))</f>
        <v/>
      </c>
      <c r="BX459" s="35" t="str">
        <f aca="true">IF(OR(AQ459&lt;&gt;1,AI459&lt;&gt;"Oui",AJ459=""),"",IF(AK459="",IF(NOW()&gt;AJ459+1,0,""),IF(AK459&lt;=AJ459,1,0)))</f>
        <v/>
      </c>
    </row>
    <row r="460" customFormat="false" ht="15" hidden="false" customHeight="false" outlineLevel="0" collapsed="false">
      <c r="B460" s="29"/>
      <c r="C460" s="29"/>
      <c r="D460" s="29"/>
      <c r="E460" s="29"/>
      <c r="F460" s="29"/>
      <c r="G460" s="29"/>
      <c r="H460" s="29"/>
      <c r="I460" s="29"/>
      <c r="J460" s="29"/>
      <c r="K460" s="29"/>
      <c r="L460" s="29"/>
      <c r="M460" s="29"/>
      <c r="N460" s="30"/>
      <c r="O460" s="30"/>
      <c r="P460" s="30"/>
      <c r="Q460" s="30"/>
      <c r="R460" s="30"/>
      <c r="S460" s="30"/>
      <c r="T460" s="30"/>
      <c r="U460" s="30"/>
      <c r="V460" s="31"/>
      <c r="W460" s="29"/>
      <c r="X460" s="29"/>
      <c r="Y460" s="29"/>
      <c r="Z460" s="29"/>
      <c r="AA460" s="30"/>
      <c r="AB460" s="30"/>
      <c r="AC460" s="30"/>
      <c r="AD460" s="30"/>
      <c r="AE460" s="30"/>
      <c r="AF460" s="32"/>
      <c r="AG460" s="33"/>
      <c r="AH460" s="33"/>
      <c r="AI460" s="29"/>
      <c r="AJ460" s="32"/>
      <c r="AK460" s="32"/>
      <c r="AL460" s="29"/>
      <c r="AN460" s="34" t="str">
        <f aca="false">IF($B460="","",IF(OR(C460="",D460="",E460="",G460="",I460="",J460="",L460="",O460="",P460=""),"Champ obligatoire manquant",IF(OR(AND(N460&lt;&gt;"",N460&gt;O460),O460&gt;P460,AND(Q460&lt;&gt;"",Q460&lt;P460),AND(R460&lt;&gt;"",R460&lt;P460),AND(S460&lt;&gt;"",S460&lt;R460),AND(S460&lt;&gt;"",R460=""),AND(T460&lt;&gt;"",T460&lt;O460),AND(U460&lt;&gt;"",U460&lt;O460)),"Chronologie incohérente",IF(AND(OR(L460="Résolu",L460="Clos"),R460=""),"Date de résolution manquante",IF(AND(L460="Clos",S460=""),"Date de clôture manquante",IF(AND(K460="Oui",AC460=""),"Classification DORA manquante","OK"))))))</f>
        <v/>
      </c>
      <c r="AO460" s="35" t="str">
        <f aca="false">IF($B460="","",IF(AND(C460="Incident",L460&lt;&gt;"Annulé"),1,0))</f>
        <v/>
      </c>
      <c r="AP460" s="35" t="str">
        <f aca="false">IF($B460="","",IF(AND(C460="Quasi-incident",L460&lt;&gt;"Annulé"),1,0))</f>
        <v/>
      </c>
      <c r="AQ460" s="35" t="str">
        <f aca="false">IF($B460="","",AO460+AP460)</f>
        <v/>
      </c>
      <c r="AR460" s="36" t="str">
        <f aca="false">IF(OR($B460="",J460=""),"",IFERROR(VALUE(LEFT(J460,1)),""))</f>
        <v/>
      </c>
      <c r="AS460" s="35" t="str">
        <f aca="false">IF(OR(AO460&lt;&gt;1,G460=""),"",IFERROR(IF(INDEX(L_SrcInterne,MATCH(G460,L_Sources,0))="Oui",1,0),""))</f>
        <v/>
      </c>
      <c r="AT460" s="37" t="str">
        <f aca="false">IF(AO460&lt;&gt;1,"",IFERROR(ROUND(IF(OR(N460="",O460=""),"",IF(O460&lt;N460,"",ROUND(((NETWORKDAYS(N460,O460,JoursFeries)-1)*(HFer-HOuv)+IF(NETWORKDAYS(O460,O460,JoursFeries),MEDIAN(MOD(O460,1),HFer,HOuv),HFer)-IF(NETWORKDAYS(N460,N460,JoursFeries),MEDIAN(MOD(N460,1),HFer,HOuv),HOuv))*24,4)))/HJour,4),""))</f>
        <v/>
      </c>
      <c r="AU460" s="37" t="str">
        <f aca="false">IF(AO460&lt;&gt;1,"",IF(OR(O460="",P460=""),"",IF(P460&lt;O460,"",ROUND(((NETWORKDAYS(O460,P460,JoursFeries)-1)*(HFer-HOuv)+IF(NETWORKDAYS(P460,P460,JoursFeries),MEDIAN(MOD(P460,1),HFer,HOuv),HFer)-IF(NETWORKDAYS(O460,O460,JoursFeries),MEDIAN(MOD(O460,1),HFer,HOuv),HOuv))*24,4))))</f>
        <v/>
      </c>
      <c r="AV460" s="37" t="str">
        <f aca="false">IF(AO460&lt;&gt;1,"",IF(OR(P460="",Q460=""),"",IF(Q460&lt;P460,"",ROUND(((NETWORKDAYS(P460,Q460,JoursFeries)-1)*(HFer-HOuv)+IF(NETWORKDAYS(Q460,Q460,JoursFeries),MEDIAN(MOD(Q460,1),HFer,HOuv),HFer)-IF(NETWORKDAYS(P460,P460,JoursFeries),MEDIAN(MOD(P460,1),HFer,HOuv),HOuv))*24,4))))</f>
        <v/>
      </c>
      <c r="AW460" s="37" t="str">
        <f aca="false">IF(AO460&lt;&gt;1,"",IFERROR(ROUND(IF(OR(P460="",R460=""),"",IF(R460&lt;P460,"",ROUND(((NETWORKDAYS(P460,R460,JoursFeries)-1)*(HFer-HOuv)+IF(NETWORKDAYS(R460,R460,JoursFeries),MEDIAN(MOD(R460,1),HFer,HOuv),HFer)-IF(NETWORKDAYS(P460,P460,JoursFeries),MEDIAN(MOD(P460,1),HFer,HOuv),HOuv))*24,4)))/HJour,4),""))</f>
        <v/>
      </c>
      <c r="AX460" s="37" t="str">
        <f aca="false">IF(AO460&lt;&gt;1,"",IFERROR(ROUND(IF(OR(P460="",S460=""),"",IF(S460&lt;P460,"",ROUND(((NETWORKDAYS(P460,S460,JoursFeries)-1)*(HFer-HOuv)+IF(NETWORKDAYS(S460,S460,JoursFeries),MEDIAN(MOD(S460,1),HFer,HOuv),HFer)-IF(NETWORKDAYS(P460,P460,JoursFeries),MEDIAN(MOD(P460,1),HFer,HOuv),HOuv))*24,4)))/HJour,4),""))</f>
        <v/>
      </c>
      <c r="AY460" s="36" t="str">
        <f aca="false">IF(OR(AO460&lt;&gt;1,AR460=""),"",INDEX(SLA_PEC,AR460))</f>
        <v/>
      </c>
      <c r="AZ460" s="35" t="str">
        <f aca="false">IF(OR(AV460="",AY460=""),"",IF(AV460&lt;=AY460,1,0))</f>
        <v/>
      </c>
      <c r="BA460" s="36" t="str">
        <f aca="false">IF(OR(AO460&lt;&gt;1,AR460=""),"",INDEX(SLA_RES,AR460))</f>
        <v/>
      </c>
      <c r="BB460" s="35" t="str">
        <f aca="false">IF(OR(AW460="",BA460=""),"",IF(AW460&lt;=BA460,1,0))</f>
        <v/>
      </c>
      <c r="BC460" s="38" t="str">
        <f aca="false">IF(OR(BA460="",P460=""),"",WORKDAY(INT(P460),BA460,JoursFeries)+MOD(P460,1))</f>
        <v/>
      </c>
      <c r="BD460" s="39" t="str">
        <f aca="false">IF(AO460&lt;&gt;1,"",IF(OR(AB460&lt;&gt;"",AD460&lt;&gt;""),4,IF(U460&lt;&gt;"",3,IF(T460&lt;&gt;"",2,1))))</f>
        <v/>
      </c>
      <c r="BE460" s="39" t="str">
        <f aca="false">IF(OR(AO460&lt;&gt;1,AR460=""),"",INDEX(NIV_REQ,AR460))</f>
        <v/>
      </c>
      <c r="BF460" s="39" t="str">
        <f aca="false">IF(BE460="","",MAX(BE460,IF(OR(K460="Oui",Z460="Oui"),4,1)))</f>
        <v/>
      </c>
      <c r="BG460" s="35" t="str">
        <f aca="false">IF(OR(BF460="",BD460=""),"",IF(BD460&gt;=BF460,1,0))</f>
        <v/>
      </c>
      <c r="BH460" s="38" t="str">
        <f aca="false">IF(BE460="","",IF(BE460&lt;2,"",IF(BE460=2,IF(AND(T460="",U460=""),"",MIN(T460,U460)),IF(U460="","",U460))))</f>
        <v/>
      </c>
      <c r="BI460" s="37" t="str">
        <f aca="false">IF(BH460="","",IF(OR(O460="",BH460=""),"",IF(BH460&lt;O460,"",ROUND(((NETWORKDAYS(O460,BH460,JoursFeries)-1)*(HFer-HOuv)+IF(NETWORKDAYS(BH460,BH460,JoursFeries),MEDIAN(MOD(BH460,1),HFer,HOuv),HFer)-IF(NETWORKDAYS(O460,O460,JoursFeries),MEDIAN(MOD(O460,1),HFer,HOuv),HOuv))*24,4))))</f>
        <v/>
      </c>
      <c r="BJ460" s="35" t="str">
        <f aca="false">IF(OR(BI460="",AR460=""),"",IF(BI460&lt;=INDEX(DELAI_ESC,AR460),1,0))</f>
        <v/>
      </c>
      <c r="BK460" s="38" t="str">
        <f aca="false">IF(AO460&lt;&gt;1,"",IF(AND(T460="",U460=""),"",MIN(T460,U460)))</f>
        <v/>
      </c>
      <c r="BL460" s="37" t="str">
        <f aca="false">IF(OR(BK460="",R460=""),"",IFERROR(ROUND(IF(OR(BK460="",R460=""),"",IF(R460&lt;BK460,"",ROUND(((NETWORKDAYS(BK460,R460,JoursFeries)-1)*(HFer-HOuv)+IF(NETWORKDAYS(R460,R460,JoursFeries),MEDIAN(MOD(R460,1),HFer,HOuv),HFer)-IF(NETWORKDAYS(BK460,BK460,JoursFeries),MEDIAN(MOD(BK460,1),HFer,HOuv),HOuv))*24,4)))/HJour,4),""))</f>
        <v/>
      </c>
      <c r="BM460" s="35" t="str">
        <f aca="false">IF(OR(AO460&lt;&gt;1,R460=""),"",IF(BD460=1,1,0))</f>
        <v/>
      </c>
      <c r="BN460" s="35" t="str">
        <f aca="false">IF(AO460&lt;&gt;1,"",IF(W460="Oui",1,0))</f>
        <v/>
      </c>
      <c r="BO460" s="35" t="str">
        <f aca="false">IF(AO460&lt;&gt;1,"",IF(X460&lt;&gt;"",1,0))</f>
        <v/>
      </c>
      <c r="BP460" s="35" t="str">
        <f aca="false">IF(AO460&lt;&gt;1,"",IF(Y460="Oui",1,0))</f>
        <v/>
      </c>
      <c r="BQ460" s="35" t="str">
        <f aca="true">IF(OR(AO460&lt;&gt;1,Z460&lt;&gt;"Oui"),"",IF(AB460="",IF(AND(AA460&lt;&gt;"",NOW()&gt;AA460),0,""),IF(AA460="","",IF(AB460&lt;=AA460,1,0))))</f>
        <v/>
      </c>
      <c r="BR460" s="38" t="str">
        <f aca="false">IF(OR(AO460&lt;&gt;1,K460&lt;&gt;"Oui",O460=""),"",IF(AC460="",O460+DORA_H_DET/24,IF(AC460-O460&lt;=DORA_H_DET/24,MIN(AC460+DORA_H_CLA/24,O460+DORA_H_DET/24),AC460+DORA_H_CLA/24)))</f>
        <v/>
      </c>
      <c r="BS460" s="35" t="str">
        <f aca="true">IF(BR460="","",IF(AD460="",IF(NOW()&gt;BR460,0,""),IF(AD460&lt;=BR460,1,0)))</f>
        <v/>
      </c>
      <c r="BT460" s="35" t="str">
        <f aca="true">IF(OR(BR460="",AD460=""),"",IF(AE460="",IF(NOW()&gt;AD460+DORA_H_INT/24,0,""),IF(AE460&lt;=AD460+DORA_H_INT/24,1,0)))</f>
        <v/>
      </c>
      <c r="BU460" s="35" t="str">
        <f aca="true">IF(OR(BR460="",AE460=""),"",IF(AF460="",IF(NOW()&gt;EDATE(AE460,DORA_M_FIN)+1,0,""),IF(AF460&lt;=EDATE(AE460,DORA_M_FIN),1,0)))</f>
        <v/>
      </c>
      <c r="BV460" s="35" t="str">
        <f aca="false">IF(BR460="","",IF(COUNT(BS460:BU460)=0,"",MIN(BS460:BU460)))</f>
        <v/>
      </c>
      <c r="BW460" s="40" t="str">
        <f aca="false">IF(AQ460&lt;&gt;1,"",IF(AND(AG460="",AH460=""),"",N(AG460)-N(AH460)))</f>
        <v/>
      </c>
      <c r="BX460" s="35" t="str">
        <f aca="true">IF(OR(AQ460&lt;&gt;1,AI460&lt;&gt;"Oui",AJ460=""),"",IF(AK460="",IF(NOW()&gt;AJ460+1,0,""),IF(AK460&lt;=AJ460,1,0)))</f>
        <v/>
      </c>
    </row>
    <row r="461" customFormat="false" ht="15" hidden="false" customHeight="false" outlineLevel="0" collapsed="false">
      <c r="B461" s="29"/>
      <c r="C461" s="29"/>
      <c r="D461" s="29"/>
      <c r="E461" s="29"/>
      <c r="F461" s="29"/>
      <c r="G461" s="29"/>
      <c r="H461" s="29"/>
      <c r="I461" s="29"/>
      <c r="J461" s="29"/>
      <c r="K461" s="29"/>
      <c r="L461" s="29"/>
      <c r="M461" s="29"/>
      <c r="N461" s="30"/>
      <c r="O461" s="30"/>
      <c r="P461" s="30"/>
      <c r="Q461" s="30"/>
      <c r="R461" s="30"/>
      <c r="S461" s="30"/>
      <c r="T461" s="30"/>
      <c r="U461" s="30"/>
      <c r="V461" s="31"/>
      <c r="W461" s="29"/>
      <c r="X461" s="29"/>
      <c r="Y461" s="29"/>
      <c r="Z461" s="29"/>
      <c r="AA461" s="30"/>
      <c r="AB461" s="30"/>
      <c r="AC461" s="30"/>
      <c r="AD461" s="30"/>
      <c r="AE461" s="30"/>
      <c r="AF461" s="32"/>
      <c r="AG461" s="33"/>
      <c r="AH461" s="33"/>
      <c r="AI461" s="29"/>
      <c r="AJ461" s="32"/>
      <c r="AK461" s="32"/>
      <c r="AL461" s="29"/>
      <c r="AN461" s="34" t="str">
        <f aca="false">IF($B461="","",IF(OR(C461="",D461="",E461="",G461="",I461="",J461="",L461="",O461="",P461=""),"Champ obligatoire manquant",IF(OR(AND(N461&lt;&gt;"",N461&gt;O461),O461&gt;P461,AND(Q461&lt;&gt;"",Q461&lt;P461),AND(R461&lt;&gt;"",R461&lt;P461),AND(S461&lt;&gt;"",S461&lt;R461),AND(S461&lt;&gt;"",R461=""),AND(T461&lt;&gt;"",T461&lt;O461),AND(U461&lt;&gt;"",U461&lt;O461)),"Chronologie incohérente",IF(AND(OR(L461="Résolu",L461="Clos"),R461=""),"Date de résolution manquante",IF(AND(L461="Clos",S461=""),"Date de clôture manquante",IF(AND(K461="Oui",AC461=""),"Classification DORA manquante","OK"))))))</f>
        <v/>
      </c>
      <c r="AO461" s="35" t="str">
        <f aca="false">IF($B461="","",IF(AND(C461="Incident",L461&lt;&gt;"Annulé"),1,0))</f>
        <v/>
      </c>
      <c r="AP461" s="35" t="str">
        <f aca="false">IF($B461="","",IF(AND(C461="Quasi-incident",L461&lt;&gt;"Annulé"),1,0))</f>
        <v/>
      </c>
      <c r="AQ461" s="35" t="str">
        <f aca="false">IF($B461="","",AO461+AP461)</f>
        <v/>
      </c>
      <c r="AR461" s="36" t="str">
        <f aca="false">IF(OR($B461="",J461=""),"",IFERROR(VALUE(LEFT(J461,1)),""))</f>
        <v/>
      </c>
      <c r="AS461" s="35" t="str">
        <f aca="false">IF(OR(AO461&lt;&gt;1,G461=""),"",IFERROR(IF(INDEX(L_SrcInterne,MATCH(G461,L_Sources,0))="Oui",1,0),""))</f>
        <v/>
      </c>
      <c r="AT461" s="37" t="str">
        <f aca="false">IF(AO461&lt;&gt;1,"",IFERROR(ROUND(IF(OR(N461="",O461=""),"",IF(O461&lt;N461,"",ROUND(((NETWORKDAYS(N461,O461,JoursFeries)-1)*(HFer-HOuv)+IF(NETWORKDAYS(O461,O461,JoursFeries),MEDIAN(MOD(O461,1),HFer,HOuv),HFer)-IF(NETWORKDAYS(N461,N461,JoursFeries),MEDIAN(MOD(N461,1),HFer,HOuv),HOuv))*24,4)))/HJour,4),""))</f>
        <v/>
      </c>
      <c r="AU461" s="37" t="str">
        <f aca="false">IF(AO461&lt;&gt;1,"",IF(OR(O461="",P461=""),"",IF(P461&lt;O461,"",ROUND(((NETWORKDAYS(O461,P461,JoursFeries)-1)*(HFer-HOuv)+IF(NETWORKDAYS(P461,P461,JoursFeries),MEDIAN(MOD(P461,1),HFer,HOuv),HFer)-IF(NETWORKDAYS(O461,O461,JoursFeries),MEDIAN(MOD(O461,1),HFer,HOuv),HOuv))*24,4))))</f>
        <v/>
      </c>
      <c r="AV461" s="37" t="str">
        <f aca="false">IF(AO461&lt;&gt;1,"",IF(OR(P461="",Q461=""),"",IF(Q461&lt;P461,"",ROUND(((NETWORKDAYS(P461,Q461,JoursFeries)-1)*(HFer-HOuv)+IF(NETWORKDAYS(Q461,Q461,JoursFeries),MEDIAN(MOD(Q461,1),HFer,HOuv),HFer)-IF(NETWORKDAYS(P461,P461,JoursFeries),MEDIAN(MOD(P461,1),HFer,HOuv),HOuv))*24,4))))</f>
        <v/>
      </c>
      <c r="AW461" s="37" t="str">
        <f aca="false">IF(AO461&lt;&gt;1,"",IFERROR(ROUND(IF(OR(P461="",R461=""),"",IF(R461&lt;P461,"",ROUND(((NETWORKDAYS(P461,R461,JoursFeries)-1)*(HFer-HOuv)+IF(NETWORKDAYS(R461,R461,JoursFeries),MEDIAN(MOD(R461,1),HFer,HOuv),HFer)-IF(NETWORKDAYS(P461,P461,JoursFeries),MEDIAN(MOD(P461,1),HFer,HOuv),HOuv))*24,4)))/HJour,4),""))</f>
        <v/>
      </c>
      <c r="AX461" s="37" t="str">
        <f aca="false">IF(AO461&lt;&gt;1,"",IFERROR(ROUND(IF(OR(P461="",S461=""),"",IF(S461&lt;P461,"",ROUND(((NETWORKDAYS(P461,S461,JoursFeries)-1)*(HFer-HOuv)+IF(NETWORKDAYS(S461,S461,JoursFeries),MEDIAN(MOD(S461,1),HFer,HOuv),HFer)-IF(NETWORKDAYS(P461,P461,JoursFeries),MEDIAN(MOD(P461,1),HFer,HOuv),HOuv))*24,4)))/HJour,4),""))</f>
        <v/>
      </c>
      <c r="AY461" s="36" t="str">
        <f aca="false">IF(OR(AO461&lt;&gt;1,AR461=""),"",INDEX(SLA_PEC,AR461))</f>
        <v/>
      </c>
      <c r="AZ461" s="35" t="str">
        <f aca="false">IF(OR(AV461="",AY461=""),"",IF(AV461&lt;=AY461,1,0))</f>
        <v/>
      </c>
      <c r="BA461" s="36" t="str">
        <f aca="false">IF(OR(AO461&lt;&gt;1,AR461=""),"",INDEX(SLA_RES,AR461))</f>
        <v/>
      </c>
      <c r="BB461" s="35" t="str">
        <f aca="false">IF(OR(AW461="",BA461=""),"",IF(AW461&lt;=BA461,1,0))</f>
        <v/>
      </c>
      <c r="BC461" s="38" t="str">
        <f aca="false">IF(OR(BA461="",P461=""),"",WORKDAY(INT(P461),BA461,JoursFeries)+MOD(P461,1))</f>
        <v/>
      </c>
      <c r="BD461" s="39" t="str">
        <f aca="false">IF(AO461&lt;&gt;1,"",IF(OR(AB461&lt;&gt;"",AD461&lt;&gt;""),4,IF(U461&lt;&gt;"",3,IF(T461&lt;&gt;"",2,1))))</f>
        <v/>
      </c>
      <c r="BE461" s="39" t="str">
        <f aca="false">IF(OR(AO461&lt;&gt;1,AR461=""),"",INDEX(NIV_REQ,AR461))</f>
        <v/>
      </c>
      <c r="BF461" s="39" t="str">
        <f aca="false">IF(BE461="","",MAX(BE461,IF(OR(K461="Oui",Z461="Oui"),4,1)))</f>
        <v/>
      </c>
      <c r="BG461" s="35" t="str">
        <f aca="false">IF(OR(BF461="",BD461=""),"",IF(BD461&gt;=BF461,1,0))</f>
        <v/>
      </c>
      <c r="BH461" s="38" t="str">
        <f aca="false">IF(BE461="","",IF(BE461&lt;2,"",IF(BE461=2,IF(AND(T461="",U461=""),"",MIN(T461,U461)),IF(U461="","",U461))))</f>
        <v/>
      </c>
      <c r="BI461" s="37" t="str">
        <f aca="false">IF(BH461="","",IF(OR(O461="",BH461=""),"",IF(BH461&lt;O461,"",ROUND(((NETWORKDAYS(O461,BH461,JoursFeries)-1)*(HFer-HOuv)+IF(NETWORKDAYS(BH461,BH461,JoursFeries),MEDIAN(MOD(BH461,1),HFer,HOuv),HFer)-IF(NETWORKDAYS(O461,O461,JoursFeries),MEDIAN(MOD(O461,1),HFer,HOuv),HOuv))*24,4))))</f>
        <v/>
      </c>
      <c r="BJ461" s="35" t="str">
        <f aca="false">IF(OR(BI461="",AR461=""),"",IF(BI461&lt;=INDEX(DELAI_ESC,AR461),1,0))</f>
        <v/>
      </c>
      <c r="BK461" s="38" t="str">
        <f aca="false">IF(AO461&lt;&gt;1,"",IF(AND(T461="",U461=""),"",MIN(T461,U461)))</f>
        <v/>
      </c>
      <c r="BL461" s="37" t="str">
        <f aca="false">IF(OR(BK461="",R461=""),"",IFERROR(ROUND(IF(OR(BK461="",R461=""),"",IF(R461&lt;BK461,"",ROUND(((NETWORKDAYS(BK461,R461,JoursFeries)-1)*(HFer-HOuv)+IF(NETWORKDAYS(R461,R461,JoursFeries),MEDIAN(MOD(R461,1),HFer,HOuv),HFer)-IF(NETWORKDAYS(BK461,BK461,JoursFeries),MEDIAN(MOD(BK461,1),HFer,HOuv),HOuv))*24,4)))/HJour,4),""))</f>
        <v/>
      </c>
      <c r="BM461" s="35" t="str">
        <f aca="false">IF(OR(AO461&lt;&gt;1,R461=""),"",IF(BD461=1,1,0))</f>
        <v/>
      </c>
      <c r="BN461" s="35" t="str">
        <f aca="false">IF(AO461&lt;&gt;1,"",IF(W461="Oui",1,0))</f>
        <v/>
      </c>
      <c r="BO461" s="35" t="str">
        <f aca="false">IF(AO461&lt;&gt;1,"",IF(X461&lt;&gt;"",1,0))</f>
        <v/>
      </c>
      <c r="BP461" s="35" t="str">
        <f aca="false">IF(AO461&lt;&gt;1,"",IF(Y461="Oui",1,0))</f>
        <v/>
      </c>
      <c r="BQ461" s="35" t="str">
        <f aca="true">IF(OR(AO461&lt;&gt;1,Z461&lt;&gt;"Oui"),"",IF(AB461="",IF(AND(AA461&lt;&gt;"",NOW()&gt;AA461),0,""),IF(AA461="","",IF(AB461&lt;=AA461,1,0))))</f>
        <v/>
      </c>
      <c r="BR461" s="38" t="str">
        <f aca="false">IF(OR(AO461&lt;&gt;1,K461&lt;&gt;"Oui",O461=""),"",IF(AC461="",O461+DORA_H_DET/24,IF(AC461-O461&lt;=DORA_H_DET/24,MIN(AC461+DORA_H_CLA/24,O461+DORA_H_DET/24),AC461+DORA_H_CLA/24)))</f>
        <v/>
      </c>
      <c r="BS461" s="35" t="str">
        <f aca="true">IF(BR461="","",IF(AD461="",IF(NOW()&gt;BR461,0,""),IF(AD461&lt;=BR461,1,0)))</f>
        <v/>
      </c>
      <c r="BT461" s="35" t="str">
        <f aca="true">IF(OR(BR461="",AD461=""),"",IF(AE461="",IF(NOW()&gt;AD461+DORA_H_INT/24,0,""),IF(AE461&lt;=AD461+DORA_H_INT/24,1,0)))</f>
        <v/>
      </c>
      <c r="BU461" s="35" t="str">
        <f aca="true">IF(OR(BR461="",AE461=""),"",IF(AF461="",IF(NOW()&gt;EDATE(AE461,DORA_M_FIN)+1,0,""),IF(AF461&lt;=EDATE(AE461,DORA_M_FIN),1,0)))</f>
        <v/>
      </c>
      <c r="BV461" s="35" t="str">
        <f aca="false">IF(BR461="","",IF(COUNT(BS461:BU461)=0,"",MIN(BS461:BU461)))</f>
        <v/>
      </c>
      <c r="BW461" s="40" t="str">
        <f aca="false">IF(AQ461&lt;&gt;1,"",IF(AND(AG461="",AH461=""),"",N(AG461)-N(AH461)))</f>
        <v/>
      </c>
      <c r="BX461" s="35" t="str">
        <f aca="true">IF(OR(AQ461&lt;&gt;1,AI461&lt;&gt;"Oui",AJ461=""),"",IF(AK461="",IF(NOW()&gt;AJ461+1,0,""),IF(AK461&lt;=AJ461,1,0)))</f>
        <v/>
      </c>
    </row>
    <row r="462" customFormat="false" ht="15" hidden="false" customHeight="false" outlineLevel="0" collapsed="false">
      <c r="B462" s="29"/>
      <c r="C462" s="29"/>
      <c r="D462" s="29"/>
      <c r="E462" s="29"/>
      <c r="F462" s="29"/>
      <c r="G462" s="29"/>
      <c r="H462" s="29"/>
      <c r="I462" s="29"/>
      <c r="J462" s="29"/>
      <c r="K462" s="29"/>
      <c r="L462" s="29"/>
      <c r="M462" s="29"/>
      <c r="N462" s="30"/>
      <c r="O462" s="30"/>
      <c r="P462" s="30"/>
      <c r="Q462" s="30"/>
      <c r="R462" s="30"/>
      <c r="S462" s="30"/>
      <c r="T462" s="30"/>
      <c r="U462" s="30"/>
      <c r="V462" s="31"/>
      <c r="W462" s="29"/>
      <c r="X462" s="29"/>
      <c r="Y462" s="29"/>
      <c r="Z462" s="29"/>
      <c r="AA462" s="30"/>
      <c r="AB462" s="30"/>
      <c r="AC462" s="30"/>
      <c r="AD462" s="30"/>
      <c r="AE462" s="30"/>
      <c r="AF462" s="32"/>
      <c r="AG462" s="33"/>
      <c r="AH462" s="33"/>
      <c r="AI462" s="29"/>
      <c r="AJ462" s="32"/>
      <c r="AK462" s="32"/>
      <c r="AL462" s="29"/>
      <c r="AN462" s="34" t="str">
        <f aca="false">IF($B462="","",IF(OR(C462="",D462="",E462="",G462="",I462="",J462="",L462="",O462="",P462=""),"Champ obligatoire manquant",IF(OR(AND(N462&lt;&gt;"",N462&gt;O462),O462&gt;P462,AND(Q462&lt;&gt;"",Q462&lt;P462),AND(R462&lt;&gt;"",R462&lt;P462),AND(S462&lt;&gt;"",S462&lt;R462),AND(S462&lt;&gt;"",R462=""),AND(T462&lt;&gt;"",T462&lt;O462),AND(U462&lt;&gt;"",U462&lt;O462)),"Chronologie incohérente",IF(AND(OR(L462="Résolu",L462="Clos"),R462=""),"Date de résolution manquante",IF(AND(L462="Clos",S462=""),"Date de clôture manquante",IF(AND(K462="Oui",AC462=""),"Classification DORA manquante","OK"))))))</f>
        <v/>
      </c>
      <c r="AO462" s="35" t="str">
        <f aca="false">IF($B462="","",IF(AND(C462="Incident",L462&lt;&gt;"Annulé"),1,0))</f>
        <v/>
      </c>
      <c r="AP462" s="35" t="str">
        <f aca="false">IF($B462="","",IF(AND(C462="Quasi-incident",L462&lt;&gt;"Annulé"),1,0))</f>
        <v/>
      </c>
      <c r="AQ462" s="35" t="str">
        <f aca="false">IF($B462="","",AO462+AP462)</f>
        <v/>
      </c>
      <c r="AR462" s="36" t="str">
        <f aca="false">IF(OR($B462="",J462=""),"",IFERROR(VALUE(LEFT(J462,1)),""))</f>
        <v/>
      </c>
      <c r="AS462" s="35" t="str">
        <f aca="false">IF(OR(AO462&lt;&gt;1,G462=""),"",IFERROR(IF(INDEX(L_SrcInterne,MATCH(G462,L_Sources,0))="Oui",1,0),""))</f>
        <v/>
      </c>
      <c r="AT462" s="37" t="str">
        <f aca="false">IF(AO462&lt;&gt;1,"",IFERROR(ROUND(IF(OR(N462="",O462=""),"",IF(O462&lt;N462,"",ROUND(((NETWORKDAYS(N462,O462,JoursFeries)-1)*(HFer-HOuv)+IF(NETWORKDAYS(O462,O462,JoursFeries),MEDIAN(MOD(O462,1),HFer,HOuv),HFer)-IF(NETWORKDAYS(N462,N462,JoursFeries),MEDIAN(MOD(N462,1),HFer,HOuv),HOuv))*24,4)))/HJour,4),""))</f>
        <v/>
      </c>
      <c r="AU462" s="37" t="str">
        <f aca="false">IF(AO462&lt;&gt;1,"",IF(OR(O462="",P462=""),"",IF(P462&lt;O462,"",ROUND(((NETWORKDAYS(O462,P462,JoursFeries)-1)*(HFer-HOuv)+IF(NETWORKDAYS(P462,P462,JoursFeries),MEDIAN(MOD(P462,1),HFer,HOuv),HFer)-IF(NETWORKDAYS(O462,O462,JoursFeries),MEDIAN(MOD(O462,1),HFer,HOuv),HOuv))*24,4))))</f>
        <v/>
      </c>
      <c r="AV462" s="37" t="str">
        <f aca="false">IF(AO462&lt;&gt;1,"",IF(OR(P462="",Q462=""),"",IF(Q462&lt;P462,"",ROUND(((NETWORKDAYS(P462,Q462,JoursFeries)-1)*(HFer-HOuv)+IF(NETWORKDAYS(Q462,Q462,JoursFeries),MEDIAN(MOD(Q462,1),HFer,HOuv),HFer)-IF(NETWORKDAYS(P462,P462,JoursFeries),MEDIAN(MOD(P462,1),HFer,HOuv),HOuv))*24,4))))</f>
        <v/>
      </c>
      <c r="AW462" s="37" t="str">
        <f aca="false">IF(AO462&lt;&gt;1,"",IFERROR(ROUND(IF(OR(P462="",R462=""),"",IF(R462&lt;P462,"",ROUND(((NETWORKDAYS(P462,R462,JoursFeries)-1)*(HFer-HOuv)+IF(NETWORKDAYS(R462,R462,JoursFeries),MEDIAN(MOD(R462,1),HFer,HOuv),HFer)-IF(NETWORKDAYS(P462,P462,JoursFeries),MEDIAN(MOD(P462,1),HFer,HOuv),HOuv))*24,4)))/HJour,4),""))</f>
        <v/>
      </c>
      <c r="AX462" s="37" t="str">
        <f aca="false">IF(AO462&lt;&gt;1,"",IFERROR(ROUND(IF(OR(P462="",S462=""),"",IF(S462&lt;P462,"",ROUND(((NETWORKDAYS(P462,S462,JoursFeries)-1)*(HFer-HOuv)+IF(NETWORKDAYS(S462,S462,JoursFeries),MEDIAN(MOD(S462,1),HFer,HOuv),HFer)-IF(NETWORKDAYS(P462,P462,JoursFeries),MEDIAN(MOD(P462,1),HFer,HOuv),HOuv))*24,4)))/HJour,4),""))</f>
        <v/>
      </c>
      <c r="AY462" s="36" t="str">
        <f aca="false">IF(OR(AO462&lt;&gt;1,AR462=""),"",INDEX(SLA_PEC,AR462))</f>
        <v/>
      </c>
      <c r="AZ462" s="35" t="str">
        <f aca="false">IF(OR(AV462="",AY462=""),"",IF(AV462&lt;=AY462,1,0))</f>
        <v/>
      </c>
      <c r="BA462" s="36" t="str">
        <f aca="false">IF(OR(AO462&lt;&gt;1,AR462=""),"",INDEX(SLA_RES,AR462))</f>
        <v/>
      </c>
      <c r="BB462" s="35" t="str">
        <f aca="false">IF(OR(AW462="",BA462=""),"",IF(AW462&lt;=BA462,1,0))</f>
        <v/>
      </c>
      <c r="BC462" s="38" t="str">
        <f aca="false">IF(OR(BA462="",P462=""),"",WORKDAY(INT(P462),BA462,JoursFeries)+MOD(P462,1))</f>
        <v/>
      </c>
      <c r="BD462" s="39" t="str">
        <f aca="false">IF(AO462&lt;&gt;1,"",IF(OR(AB462&lt;&gt;"",AD462&lt;&gt;""),4,IF(U462&lt;&gt;"",3,IF(T462&lt;&gt;"",2,1))))</f>
        <v/>
      </c>
      <c r="BE462" s="39" t="str">
        <f aca="false">IF(OR(AO462&lt;&gt;1,AR462=""),"",INDEX(NIV_REQ,AR462))</f>
        <v/>
      </c>
      <c r="BF462" s="39" t="str">
        <f aca="false">IF(BE462="","",MAX(BE462,IF(OR(K462="Oui",Z462="Oui"),4,1)))</f>
        <v/>
      </c>
      <c r="BG462" s="35" t="str">
        <f aca="false">IF(OR(BF462="",BD462=""),"",IF(BD462&gt;=BF462,1,0))</f>
        <v/>
      </c>
      <c r="BH462" s="38" t="str">
        <f aca="false">IF(BE462="","",IF(BE462&lt;2,"",IF(BE462=2,IF(AND(T462="",U462=""),"",MIN(T462,U462)),IF(U462="","",U462))))</f>
        <v/>
      </c>
      <c r="BI462" s="37" t="str">
        <f aca="false">IF(BH462="","",IF(OR(O462="",BH462=""),"",IF(BH462&lt;O462,"",ROUND(((NETWORKDAYS(O462,BH462,JoursFeries)-1)*(HFer-HOuv)+IF(NETWORKDAYS(BH462,BH462,JoursFeries),MEDIAN(MOD(BH462,1),HFer,HOuv),HFer)-IF(NETWORKDAYS(O462,O462,JoursFeries),MEDIAN(MOD(O462,1),HFer,HOuv),HOuv))*24,4))))</f>
        <v/>
      </c>
      <c r="BJ462" s="35" t="str">
        <f aca="false">IF(OR(BI462="",AR462=""),"",IF(BI462&lt;=INDEX(DELAI_ESC,AR462),1,0))</f>
        <v/>
      </c>
      <c r="BK462" s="38" t="str">
        <f aca="false">IF(AO462&lt;&gt;1,"",IF(AND(T462="",U462=""),"",MIN(T462,U462)))</f>
        <v/>
      </c>
      <c r="BL462" s="37" t="str">
        <f aca="false">IF(OR(BK462="",R462=""),"",IFERROR(ROUND(IF(OR(BK462="",R462=""),"",IF(R462&lt;BK462,"",ROUND(((NETWORKDAYS(BK462,R462,JoursFeries)-1)*(HFer-HOuv)+IF(NETWORKDAYS(R462,R462,JoursFeries),MEDIAN(MOD(R462,1),HFer,HOuv),HFer)-IF(NETWORKDAYS(BK462,BK462,JoursFeries),MEDIAN(MOD(BK462,1),HFer,HOuv),HOuv))*24,4)))/HJour,4),""))</f>
        <v/>
      </c>
      <c r="BM462" s="35" t="str">
        <f aca="false">IF(OR(AO462&lt;&gt;1,R462=""),"",IF(BD462=1,1,0))</f>
        <v/>
      </c>
      <c r="BN462" s="35" t="str">
        <f aca="false">IF(AO462&lt;&gt;1,"",IF(W462="Oui",1,0))</f>
        <v/>
      </c>
      <c r="BO462" s="35" t="str">
        <f aca="false">IF(AO462&lt;&gt;1,"",IF(X462&lt;&gt;"",1,0))</f>
        <v/>
      </c>
      <c r="BP462" s="35" t="str">
        <f aca="false">IF(AO462&lt;&gt;1,"",IF(Y462="Oui",1,0))</f>
        <v/>
      </c>
      <c r="BQ462" s="35" t="str">
        <f aca="true">IF(OR(AO462&lt;&gt;1,Z462&lt;&gt;"Oui"),"",IF(AB462="",IF(AND(AA462&lt;&gt;"",NOW()&gt;AA462),0,""),IF(AA462="","",IF(AB462&lt;=AA462,1,0))))</f>
        <v/>
      </c>
      <c r="BR462" s="38" t="str">
        <f aca="false">IF(OR(AO462&lt;&gt;1,K462&lt;&gt;"Oui",O462=""),"",IF(AC462="",O462+DORA_H_DET/24,IF(AC462-O462&lt;=DORA_H_DET/24,MIN(AC462+DORA_H_CLA/24,O462+DORA_H_DET/24),AC462+DORA_H_CLA/24)))</f>
        <v/>
      </c>
      <c r="BS462" s="35" t="str">
        <f aca="true">IF(BR462="","",IF(AD462="",IF(NOW()&gt;BR462,0,""),IF(AD462&lt;=BR462,1,0)))</f>
        <v/>
      </c>
      <c r="BT462" s="35" t="str">
        <f aca="true">IF(OR(BR462="",AD462=""),"",IF(AE462="",IF(NOW()&gt;AD462+DORA_H_INT/24,0,""),IF(AE462&lt;=AD462+DORA_H_INT/24,1,0)))</f>
        <v/>
      </c>
      <c r="BU462" s="35" t="str">
        <f aca="true">IF(OR(BR462="",AE462=""),"",IF(AF462="",IF(NOW()&gt;EDATE(AE462,DORA_M_FIN)+1,0,""),IF(AF462&lt;=EDATE(AE462,DORA_M_FIN),1,0)))</f>
        <v/>
      </c>
      <c r="BV462" s="35" t="str">
        <f aca="false">IF(BR462="","",IF(COUNT(BS462:BU462)=0,"",MIN(BS462:BU462)))</f>
        <v/>
      </c>
      <c r="BW462" s="40" t="str">
        <f aca="false">IF(AQ462&lt;&gt;1,"",IF(AND(AG462="",AH462=""),"",N(AG462)-N(AH462)))</f>
        <v/>
      </c>
      <c r="BX462" s="35" t="str">
        <f aca="true">IF(OR(AQ462&lt;&gt;1,AI462&lt;&gt;"Oui",AJ462=""),"",IF(AK462="",IF(NOW()&gt;AJ462+1,0,""),IF(AK462&lt;=AJ462,1,0)))</f>
        <v/>
      </c>
    </row>
    <row r="463" customFormat="false" ht="15" hidden="false" customHeight="false" outlineLevel="0" collapsed="false">
      <c r="B463" s="29"/>
      <c r="C463" s="29"/>
      <c r="D463" s="29"/>
      <c r="E463" s="29"/>
      <c r="F463" s="29"/>
      <c r="G463" s="29"/>
      <c r="H463" s="29"/>
      <c r="I463" s="29"/>
      <c r="J463" s="29"/>
      <c r="K463" s="29"/>
      <c r="L463" s="29"/>
      <c r="M463" s="29"/>
      <c r="N463" s="30"/>
      <c r="O463" s="30"/>
      <c r="P463" s="30"/>
      <c r="Q463" s="30"/>
      <c r="R463" s="30"/>
      <c r="S463" s="30"/>
      <c r="T463" s="30"/>
      <c r="U463" s="30"/>
      <c r="V463" s="31"/>
      <c r="W463" s="29"/>
      <c r="X463" s="29"/>
      <c r="Y463" s="29"/>
      <c r="Z463" s="29"/>
      <c r="AA463" s="30"/>
      <c r="AB463" s="30"/>
      <c r="AC463" s="30"/>
      <c r="AD463" s="30"/>
      <c r="AE463" s="30"/>
      <c r="AF463" s="32"/>
      <c r="AG463" s="33"/>
      <c r="AH463" s="33"/>
      <c r="AI463" s="29"/>
      <c r="AJ463" s="32"/>
      <c r="AK463" s="32"/>
      <c r="AL463" s="29"/>
      <c r="AN463" s="34" t="str">
        <f aca="false">IF($B463="","",IF(OR(C463="",D463="",E463="",G463="",I463="",J463="",L463="",O463="",P463=""),"Champ obligatoire manquant",IF(OR(AND(N463&lt;&gt;"",N463&gt;O463),O463&gt;P463,AND(Q463&lt;&gt;"",Q463&lt;P463),AND(R463&lt;&gt;"",R463&lt;P463),AND(S463&lt;&gt;"",S463&lt;R463),AND(S463&lt;&gt;"",R463=""),AND(T463&lt;&gt;"",T463&lt;O463),AND(U463&lt;&gt;"",U463&lt;O463)),"Chronologie incohérente",IF(AND(OR(L463="Résolu",L463="Clos"),R463=""),"Date de résolution manquante",IF(AND(L463="Clos",S463=""),"Date de clôture manquante",IF(AND(K463="Oui",AC463=""),"Classification DORA manquante","OK"))))))</f>
        <v/>
      </c>
      <c r="AO463" s="35" t="str">
        <f aca="false">IF($B463="","",IF(AND(C463="Incident",L463&lt;&gt;"Annulé"),1,0))</f>
        <v/>
      </c>
      <c r="AP463" s="35" t="str">
        <f aca="false">IF($B463="","",IF(AND(C463="Quasi-incident",L463&lt;&gt;"Annulé"),1,0))</f>
        <v/>
      </c>
      <c r="AQ463" s="35" t="str">
        <f aca="false">IF($B463="","",AO463+AP463)</f>
        <v/>
      </c>
      <c r="AR463" s="36" t="str">
        <f aca="false">IF(OR($B463="",J463=""),"",IFERROR(VALUE(LEFT(J463,1)),""))</f>
        <v/>
      </c>
      <c r="AS463" s="35" t="str">
        <f aca="false">IF(OR(AO463&lt;&gt;1,G463=""),"",IFERROR(IF(INDEX(L_SrcInterne,MATCH(G463,L_Sources,0))="Oui",1,0),""))</f>
        <v/>
      </c>
      <c r="AT463" s="37" t="str">
        <f aca="false">IF(AO463&lt;&gt;1,"",IFERROR(ROUND(IF(OR(N463="",O463=""),"",IF(O463&lt;N463,"",ROUND(((NETWORKDAYS(N463,O463,JoursFeries)-1)*(HFer-HOuv)+IF(NETWORKDAYS(O463,O463,JoursFeries),MEDIAN(MOD(O463,1),HFer,HOuv),HFer)-IF(NETWORKDAYS(N463,N463,JoursFeries),MEDIAN(MOD(N463,1),HFer,HOuv),HOuv))*24,4)))/HJour,4),""))</f>
        <v/>
      </c>
      <c r="AU463" s="37" t="str">
        <f aca="false">IF(AO463&lt;&gt;1,"",IF(OR(O463="",P463=""),"",IF(P463&lt;O463,"",ROUND(((NETWORKDAYS(O463,P463,JoursFeries)-1)*(HFer-HOuv)+IF(NETWORKDAYS(P463,P463,JoursFeries),MEDIAN(MOD(P463,1),HFer,HOuv),HFer)-IF(NETWORKDAYS(O463,O463,JoursFeries),MEDIAN(MOD(O463,1),HFer,HOuv),HOuv))*24,4))))</f>
        <v/>
      </c>
      <c r="AV463" s="37" t="str">
        <f aca="false">IF(AO463&lt;&gt;1,"",IF(OR(P463="",Q463=""),"",IF(Q463&lt;P463,"",ROUND(((NETWORKDAYS(P463,Q463,JoursFeries)-1)*(HFer-HOuv)+IF(NETWORKDAYS(Q463,Q463,JoursFeries),MEDIAN(MOD(Q463,1),HFer,HOuv),HFer)-IF(NETWORKDAYS(P463,P463,JoursFeries),MEDIAN(MOD(P463,1),HFer,HOuv),HOuv))*24,4))))</f>
        <v/>
      </c>
      <c r="AW463" s="37" t="str">
        <f aca="false">IF(AO463&lt;&gt;1,"",IFERROR(ROUND(IF(OR(P463="",R463=""),"",IF(R463&lt;P463,"",ROUND(((NETWORKDAYS(P463,R463,JoursFeries)-1)*(HFer-HOuv)+IF(NETWORKDAYS(R463,R463,JoursFeries),MEDIAN(MOD(R463,1),HFer,HOuv),HFer)-IF(NETWORKDAYS(P463,P463,JoursFeries),MEDIAN(MOD(P463,1),HFer,HOuv),HOuv))*24,4)))/HJour,4),""))</f>
        <v/>
      </c>
      <c r="AX463" s="37" t="str">
        <f aca="false">IF(AO463&lt;&gt;1,"",IFERROR(ROUND(IF(OR(P463="",S463=""),"",IF(S463&lt;P463,"",ROUND(((NETWORKDAYS(P463,S463,JoursFeries)-1)*(HFer-HOuv)+IF(NETWORKDAYS(S463,S463,JoursFeries),MEDIAN(MOD(S463,1),HFer,HOuv),HFer)-IF(NETWORKDAYS(P463,P463,JoursFeries),MEDIAN(MOD(P463,1),HFer,HOuv),HOuv))*24,4)))/HJour,4),""))</f>
        <v/>
      </c>
      <c r="AY463" s="36" t="str">
        <f aca="false">IF(OR(AO463&lt;&gt;1,AR463=""),"",INDEX(SLA_PEC,AR463))</f>
        <v/>
      </c>
      <c r="AZ463" s="35" t="str">
        <f aca="false">IF(OR(AV463="",AY463=""),"",IF(AV463&lt;=AY463,1,0))</f>
        <v/>
      </c>
      <c r="BA463" s="36" t="str">
        <f aca="false">IF(OR(AO463&lt;&gt;1,AR463=""),"",INDEX(SLA_RES,AR463))</f>
        <v/>
      </c>
      <c r="BB463" s="35" t="str">
        <f aca="false">IF(OR(AW463="",BA463=""),"",IF(AW463&lt;=BA463,1,0))</f>
        <v/>
      </c>
      <c r="BC463" s="38" t="str">
        <f aca="false">IF(OR(BA463="",P463=""),"",WORKDAY(INT(P463),BA463,JoursFeries)+MOD(P463,1))</f>
        <v/>
      </c>
      <c r="BD463" s="39" t="str">
        <f aca="false">IF(AO463&lt;&gt;1,"",IF(OR(AB463&lt;&gt;"",AD463&lt;&gt;""),4,IF(U463&lt;&gt;"",3,IF(T463&lt;&gt;"",2,1))))</f>
        <v/>
      </c>
      <c r="BE463" s="39" t="str">
        <f aca="false">IF(OR(AO463&lt;&gt;1,AR463=""),"",INDEX(NIV_REQ,AR463))</f>
        <v/>
      </c>
      <c r="BF463" s="39" t="str">
        <f aca="false">IF(BE463="","",MAX(BE463,IF(OR(K463="Oui",Z463="Oui"),4,1)))</f>
        <v/>
      </c>
      <c r="BG463" s="35" t="str">
        <f aca="false">IF(OR(BF463="",BD463=""),"",IF(BD463&gt;=BF463,1,0))</f>
        <v/>
      </c>
      <c r="BH463" s="38" t="str">
        <f aca="false">IF(BE463="","",IF(BE463&lt;2,"",IF(BE463=2,IF(AND(T463="",U463=""),"",MIN(T463,U463)),IF(U463="","",U463))))</f>
        <v/>
      </c>
      <c r="BI463" s="37" t="str">
        <f aca="false">IF(BH463="","",IF(OR(O463="",BH463=""),"",IF(BH463&lt;O463,"",ROUND(((NETWORKDAYS(O463,BH463,JoursFeries)-1)*(HFer-HOuv)+IF(NETWORKDAYS(BH463,BH463,JoursFeries),MEDIAN(MOD(BH463,1),HFer,HOuv),HFer)-IF(NETWORKDAYS(O463,O463,JoursFeries),MEDIAN(MOD(O463,1),HFer,HOuv),HOuv))*24,4))))</f>
        <v/>
      </c>
      <c r="BJ463" s="35" t="str">
        <f aca="false">IF(OR(BI463="",AR463=""),"",IF(BI463&lt;=INDEX(DELAI_ESC,AR463),1,0))</f>
        <v/>
      </c>
      <c r="BK463" s="38" t="str">
        <f aca="false">IF(AO463&lt;&gt;1,"",IF(AND(T463="",U463=""),"",MIN(T463,U463)))</f>
        <v/>
      </c>
      <c r="BL463" s="37" t="str">
        <f aca="false">IF(OR(BK463="",R463=""),"",IFERROR(ROUND(IF(OR(BK463="",R463=""),"",IF(R463&lt;BK463,"",ROUND(((NETWORKDAYS(BK463,R463,JoursFeries)-1)*(HFer-HOuv)+IF(NETWORKDAYS(R463,R463,JoursFeries),MEDIAN(MOD(R463,1),HFer,HOuv),HFer)-IF(NETWORKDAYS(BK463,BK463,JoursFeries),MEDIAN(MOD(BK463,1),HFer,HOuv),HOuv))*24,4)))/HJour,4),""))</f>
        <v/>
      </c>
      <c r="BM463" s="35" t="str">
        <f aca="false">IF(OR(AO463&lt;&gt;1,R463=""),"",IF(BD463=1,1,0))</f>
        <v/>
      </c>
      <c r="BN463" s="35" t="str">
        <f aca="false">IF(AO463&lt;&gt;1,"",IF(W463="Oui",1,0))</f>
        <v/>
      </c>
      <c r="BO463" s="35" t="str">
        <f aca="false">IF(AO463&lt;&gt;1,"",IF(X463&lt;&gt;"",1,0))</f>
        <v/>
      </c>
      <c r="BP463" s="35" t="str">
        <f aca="false">IF(AO463&lt;&gt;1,"",IF(Y463="Oui",1,0))</f>
        <v/>
      </c>
      <c r="BQ463" s="35" t="str">
        <f aca="true">IF(OR(AO463&lt;&gt;1,Z463&lt;&gt;"Oui"),"",IF(AB463="",IF(AND(AA463&lt;&gt;"",NOW()&gt;AA463),0,""),IF(AA463="","",IF(AB463&lt;=AA463,1,0))))</f>
        <v/>
      </c>
      <c r="BR463" s="38" t="str">
        <f aca="false">IF(OR(AO463&lt;&gt;1,K463&lt;&gt;"Oui",O463=""),"",IF(AC463="",O463+DORA_H_DET/24,IF(AC463-O463&lt;=DORA_H_DET/24,MIN(AC463+DORA_H_CLA/24,O463+DORA_H_DET/24),AC463+DORA_H_CLA/24)))</f>
        <v/>
      </c>
      <c r="BS463" s="35" t="str">
        <f aca="true">IF(BR463="","",IF(AD463="",IF(NOW()&gt;BR463,0,""),IF(AD463&lt;=BR463,1,0)))</f>
        <v/>
      </c>
      <c r="BT463" s="35" t="str">
        <f aca="true">IF(OR(BR463="",AD463=""),"",IF(AE463="",IF(NOW()&gt;AD463+DORA_H_INT/24,0,""),IF(AE463&lt;=AD463+DORA_H_INT/24,1,0)))</f>
        <v/>
      </c>
      <c r="BU463" s="35" t="str">
        <f aca="true">IF(OR(BR463="",AE463=""),"",IF(AF463="",IF(NOW()&gt;EDATE(AE463,DORA_M_FIN)+1,0,""),IF(AF463&lt;=EDATE(AE463,DORA_M_FIN),1,0)))</f>
        <v/>
      </c>
      <c r="BV463" s="35" t="str">
        <f aca="false">IF(BR463="","",IF(COUNT(BS463:BU463)=0,"",MIN(BS463:BU463)))</f>
        <v/>
      </c>
      <c r="BW463" s="40" t="str">
        <f aca="false">IF(AQ463&lt;&gt;1,"",IF(AND(AG463="",AH463=""),"",N(AG463)-N(AH463)))</f>
        <v/>
      </c>
      <c r="BX463" s="35" t="str">
        <f aca="true">IF(OR(AQ463&lt;&gt;1,AI463&lt;&gt;"Oui",AJ463=""),"",IF(AK463="",IF(NOW()&gt;AJ463+1,0,""),IF(AK463&lt;=AJ463,1,0)))</f>
        <v/>
      </c>
    </row>
    <row r="464" customFormat="false" ht="15" hidden="false" customHeight="false" outlineLevel="0" collapsed="false">
      <c r="B464" s="29"/>
      <c r="C464" s="29"/>
      <c r="D464" s="29"/>
      <c r="E464" s="29"/>
      <c r="F464" s="29"/>
      <c r="G464" s="29"/>
      <c r="H464" s="29"/>
      <c r="I464" s="29"/>
      <c r="J464" s="29"/>
      <c r="K464" s="29"/>
      <c r="L464" s="29"/>
      <c r="M464" s="29"/>
      <c r="N464" s="30"/>
      <c r="O464" s="30"/>
      <c r="P464" s="30"/>
      <c r="Q464" s="30"/>
      <c r="R464" s="30"/>
      <c r="S464" s="30"/>
      <c r="T464" s="30"/>
      <c r="U464" s="30"/>
      <c r="V464" s="31"/>
      <c r="W464" s="29"/>
      <c r="X464" s="29"/>
      <c r="Y464" s="29"/>
      <c r="Z464" s="29"/>
      <c r="AA464" s="30"/>
      <c r="AB464" s="30"/>
      <c r="AC464" s="30"/>
      <c r="AD464" s="30"/>
      <c r="AE464" s="30"/>
      <c r="AF464" s="32"/>
      <c r="AG464" s="33"/>
      <c r="AH464" s="33"/>
      <c r="AI464" s="29"/>
      <c r="AJ464" s="32"/>
      <c r="AK464" s="32"/>
      <c r="AL464" s="29"/>
      <c r="AN464" s="34" t="str">
        <f aca="false">IF($B464="","",IF(OR(C464="",D464="",E464="",G464="",I464="",J464="",L464="",O464="",P464=""),"Champ obligatoire manquant",IF(OR(AND(N464&lt;&gt;"",N464&gt;O464),O464&gt;P464,AND(Q464&lt;&gt;"",Q464&lt;P464),AND(R464&lt;&gt;"",R464&lt;P464),AND(S464&lt;&gt;"",S464&lt;R464),AND(S464&lt;&gt;"",R464=""),AND(T464&lt;&gt;"",T464&lt;O464),AND(U464&lt;&gt;"",U464&lt;O464)),"Chronologie incohérente",IF(AND(OR(L464="Résolu",L464="Clos"),R464=""),"Date de résolution manquante",IF(AND(L464="Clos",S464=""),"Date de clôture manquante",IF(AND(K464="Oui",AC464=""),"Classification DORA manquante","OK"))))))</f>
        <v/>
      </c>
      <c r="AO464" s="35" t="str">
        <f aca="false">IF($B464="","",IF(AND(C464="Incident",L464&lt;&gt;"Annulé"),1,0))</f>
        <v/>
      </c>
      <c r="AP464" s="35" t="str">
        <f aca="false">IF($B464="","",IF(AND(C464="Quasi-incident",L464&lt;&gt;"Annulé"),1,0))</f>
        <v/>
      </c>
      <c r="AQ464" s="35" t="str">
        <f aca="false">IF($B464="","",AO464+AP464)</f>
        <v/>
      </c>
      <c r="AR464" s="36" t="str">
        <f aca="false">IF(OR($B464="",J464=""),"",IFERROR(VALUE(LEFT(J464,1)),""))</f>
        <v/>
      </c>
      <c r="AS464" s="35" t="str">
        <f aca="false">IF(OR(AO464&lt;&gt;1,G464=""),"",IFERROR(IF(INDEX(L_SrcInterne,MATCH(G464,L_Sources,0))="Oui",1,0),""))</f>
        <v/>
      </c>
      <c r="AT464" s="37" t="str">
        <f aca="false">IF(AO464&lt;&gt;1,"",IFERROR(ROUND(IF(OR(N464="",O464=""),"",IF(O464&lt;N464,"",ROUND(((NETWORKDAYS(N464,O464,JoursFeries)-1)*(HFer-HOuv)+IF(NETWORKDAYS(O464,O464,JoursFeries),MEDIAN(MOD(O464,1),HFer,HOuv),HFer)-IF(NETWORKDAYS(N464,N464,JoursFeries),MEDIAN(MOD(N464,1),HFer,HOuv),HOuv))*24,4)))/HJour,4),""))</f>
        <v/>
      </c>
      <c r="AU464" s="37" t="str">
        <f aca="false">IF(AO464&lt;&gt;1,"",IF(OR(O464="",P464=""),"",IF(P464&lt;O464,"",ROUND(((NETWORKDAYS(O464,P464,JoursFeries)-1)*(HFer-HOuv)+IF(NETWORKDAYS(P464,P464,JoursFeries),MEDIAN(MOD(P464,1),HFer,HOuv),HFer)-IF(NETWORKDAYS(O464,O464,JoursFeries),MEDIAN(MOD(O464,1),HFer,HOuv),HOuv))*24,4))))</f>
        <v/>
      </c>
      <c r="AV464" s="37" t="str">
        <f aca="false">IF(AO464&lt;&gt;1,"",IF(OR(P464="",Q464=""),"",IF(Q464&lt;P464,"",ROUND(((NETWORKDAYS(P464,Q464,JoursFeries)-1)*(HFer-HOuv)+IF(NETWORKDAYS(Q464,Q464,JoursFeries),MEDIAN(MOD(Q464,1),HFer,HOuv),HFer)-IF(NETWORKDAYS(P464,P464,JoursFeries),MEDIAN(MOD(P464,1),HFer,HOuv),HOuv))*24,4))))</f>
        <v/>
      </c>
      <c r="AW464" s="37" t="str">
        <f aca="false">IF(AO464&lt;&gt;1,"",IFERROR(ROUND(IF(OR(P464="",R464=""),"",IF(R464&lt;P464,"",ROUND(((NETWORKDAYS(P464,R464,JoursFeries)-1)*(HFer-HOuv)+IF(NETWORKDAYS(R464,R464,JoursFeries),MEDIAN(MOD(R464,1),HFer,HOuv),HFer)-IF(NETWORKDAYS(P464,P464,JoursFeries),MEDIAN(MOD(P464,1),HFer,HOuv),HOuv))*24,4)))/HJour,4),""))</f>
        <v/>
      </c>
      <c r="AX464" s="37" t="str">
        <f aca="false">IF(AO464&lt;&gt;1,"",IFERROR(ROUND(IF(OR(P464="",S464=""),"",IF(S464&lt;P464,"",ROUND(((NETWORKDAYS(P464,S464,JoursFeries)-1)*(HFer-HOuv)+IF(NETWORKDAYS(S464,S464,JoursFeries),MEDIAN(MOD(S464,1),HFer,HOuv),HFer)-IF(NETWORKDAYS(P464,P464,JoursFeries),MEDIAN(MOD(P464,1),HFer,HOuv),HOuv))*24,4)))/HJour,4),""))</f>
        <v/>
      </c>
      <c r="AY464" s="36" t="str">
        <f aca="false">IF(OR(AO464&lt;&gt;1,AR464=""),"",INDEX(SLA_PEC,AR464))</f>
        <v/>
      </c>
      <c r="AZ464" s="35" t="str">
        <f aca="false">IF(OR(AV464="",AY464=""),"",IF(AV464&lt;=AY464,1,0))</f>
        <v/>
      </c>
      <c r="BA464" s="36" t="str">
        <f aca="false">IF(OR(AO464&lt;&gt;1,AR464=""),"",INDEX(SLA_RES,AR464))</f>
        <v/>
      </c>
      <c r="BB464" s="35" t="str">
        <f aca="false">IF(OR(AW464="",BA464=""),"",IF(AW464&lt;=BA464,1,0))</f>
        <v/>
      </c>
      <c r="BC464" s="38" t="str">
        <f aca="false">IF(OR(BA464="",P464=""),"",WORKDAY(INT(P464),BA464,JoursFeries)+MOD(P464,1))</f>
        <v/>
      </c>
      <c r="BD464" s="39" t="str">
        <f aca="false">IF(AO464&lt;&gt;1,"",IF(OR(AB464&lt;&gt;"",AD464&lt;&gt;""),4,IF(U464&lt;&gt;"",3,IF(T464&lt;&gt;"",2,1))))</f>
        <v/>
      </c>
      <c r="BE464" s="39" t="str">
        <f aca="false">IF(OR(AO464&lt;&gt;1,AR464=""),"",INDEX(NIV_REQ,AR464))</f>
        <v/>
      </c>
      <c r="BF464" s="39" t="str">
        <f aca="false">IF(BE464="","",MAX(BE464,IF(OR(K464="Oui",Z464="Oui"),4,1)))</f>
        <v/>
      </c>
      <c r="BG464" s="35" t="str">
        <f aca="false">IF(OR(BF464="",BD464=""),"",IF(BD464&gt;=BF464,1,0))</f>
        <v/>
      </c>
      <c r="BH464" s="38" t="str">
        <f aca="false">IF(BE464="","",IF(BE464&lt;2,"",IF(BE464=2,IF(AND(T464="",U464=""),"",MIN(T464,U464)),IF(U464="","",U464))))</f>
        <v/>
      </c>
      <c r="BI464" s="37" t="str">
        <f aca="false">IF(BH464="","",IF(OR(O464="",BH464=""),"",IF(BH464&lt;O464,"",ROUND(((NETWORKDAYS(O464,BH464,JoursFeries)-1)*(HFer-HOuv)+IF(NETWORKDAYS(BH464,BH464,JoursFeries),MEDIAN(MOD(BH464,1),HFer,HOuv),HFer)-IF(NETWORKDAYS(O464,O464,JoursFeries),MEDIAN(MOD(O464,1),HFer,HOuv),HOuv))*24,4))))</f>
        <v/>
      </c>
      <c r="BJ464" s="35" t="str">
        <f aca="false">IF(OR(BI464="",AR464=""),"",IF(BI464&lt;=INDEX(DELAI_ESC,AR464),1,0))</f>
        <v/>
      </c>
      <c r="BK464" s="38" t="str">
        <f aca="false">IF(AO464&lt;&gt;1,"",IF(AND(T464="",U464=""),"",MIN(T464,U464)))</f>
        <v/>
      </c>
      <c r="BL464" s="37" t="str">
        <f aca="false">IF(OR(BK464="",R464=""),"",IFERROR(ROUND(IF(OR(BK464="",R464=""),"",IF(R464&lt;BK464,"",ROUND(((NETWORKDAYS(BK464,R464,JoursFeries)-1)*(HFer-HOuv)+IF(NETWORKDAYS(R464,R464,JoursFeries),MEDIAN(MOD(R464,1),HFer,HOuv),HFer)-IF(NETWORKDAYS(BK464,BK464,JoursFeries),MEDIAN(MOD(BK464,1),HFer,HOuv),HOuv))*24,4)))/HJour,4),""))</f>
        <v/>
      </c>
      <c r="BM464" s="35" t="str">
        <f aca="false">IF(OR(AO464&lt;&gt;1,R464=""),"",IF(BD464=1,1,0))</f>
        <v/>
      </c>
      <c r="BN464" s="35" t="str">
        <f aca="false">IF(AO464&lt;&gt;1,"",IF(W464="Oui",1,0))</f>
        <v/>
      </c>
      <c r="BO464" s="35" t="str">
        <f aca="false">IF(AO464&lt;&gt;1,"",IF(X464&lt;&gt;"",1,0))</f>
        <v/>
      </c>
      <c r="BP464" s="35" t="str">
        <f aca="false">IF(AO464&lt;&gt;1,"",IF(Y464="Oui",1,0))</f>
        <v/>
      </c>
      <c r="BQ464" s="35" t="str">
        <f aca="true">IF(OR(AO464&lt;&gt;1,Z464&lt;&gt;"Oui"),"",IF(AB464="",IF(AND(AA464&lt;&gt;"",NOW()&gt;AA464),0,""),IF(AA464="","",IF(AB464&lt;=AA464,1,0))))</f>
        <v/>
      </c>
      <c r="BR464" s="38" t="str">
        <f aca="false">IF(OR(AO464&lt;&gt;1,K464&lt;&gt;"Oui",O464=""),"",IF(AC464="",O464+DORA_H_DET/24,IF(AC464-O464&lt;=DORA_H_DET/24,MIN(AC464+DORA_H_CLA/24,O464+DORA_H_DET/24),AC464+DORA_H_CLA/24)))</f>
        <v/>
      </c>
      <c r="BS464" s="35" t="str">
        <f aca="true">IF(BR464="","",IF(AD464="",IF(NOW()&gt;BR464,0,""),IF(AD464&lt;=BR464,1,0)))</f>
        <v/>
      </c>
      <c r="BT464" s="35" t="str">
        <f aca="true">IF(OR(BR464="",AD464=""),"",IF(AE464="",IF(NOW()&gt;AD464+DORA_H_INT/24,0,""),IF(AE464&lt;=AD464+DORA_H_INT/24,1,0)))</f>
        <v/>
      </c>
      <c r="BU464" s="35" t="str">
        <f aca="true">IF(OR(BR464="",AE464=""),"",IF(AF464="",IF(NOW()&gt;EDATE(AE464,DORA_M_FIN)+1,0,""),IF(AF464&lt;=EDATE(AE464,DORA_M_FIN),1,0)))</f>
        <v/>
      </c>
      <c r="BV464" s="35" t="str">
        <f aca="false">IF(BR464="","",IF(COUNT(BS464:BU464)=0,"",MIN(BS464:BU464)))</f>
        <v/>
      </c>
      <c r="BW464" s="40" t="str">
        <f aca="false">IF(AQ464&lt;&gt;1,"",IF(AND(AG464="",AH464=""),"",N(AG464)-N(AH464)))</f>
        <v/>
      </c>
      <c r="BX464" s="35" t="str">
        <f aca="true">IF(OR(AQ464&lt;&gt;1,AI464&lt;&gt;"Oui",AJ464=""),"",IF(AK464="",IF(NOW()&gt;AJ464+1,0,""),IF(AK464&lt;=AJ464,1,0)))</f>
        <v/>
      </c>
    </row>
    <row r="465" customFormat="false" ht="15" hidden="false" customHeight="false" outlineLevel="0" collapsed="false">
      <c r="B465" s="29"/>
      <c r="C465" s="29"/>
      <c r="D465" s="29"/>
      <c r="E465" s="29"/>
      <c r="F465" s="29"/>
      <c r="G465" s="29"/>
      <c r="H465" s="29"/>
      <c r="I465" s="29"/>
      <c r="J465" s="29"/>
      <c r="K465" s="29"/>
      <c r="L465" s="29"/>
      <c r="M465" s="29"/>
      <c r="N465" s="30"/>
      <c r="O465" s="30"/>
      <c r="P465" s="30"/>
      <c r="Q465" s="30"/>
      <c r="R465" s="30"/>
      <c r="S465" s="30"/>
      <c r="T465" s="30"/>
      <c r="U465" s="30"/>
      <c r="V465" s="31"/>
      <c r="W465" s="29"/>
      <c r="X465" s="29"/>
      <c r="Y465" s="29"/>
      <c r="Z465" s="29"/>
      <c r="AA465" s="30"/>
      <c r="AB465" s="30"/>
      <c r="AC465" s="30"/>
      <c r="AD465" s="30"/>
      <c r="AE465" s="30"/>
      <c r="AF465" s="32"/>
      <c r="AG465" s="33"/>
      <c r="AH465" s="33"/>
      <c r="AI465" s="29"/>
      <c r="AJ465" s="32"/>
      <c r="AK465" s="32"/>
      <c r="AL465" s="29"/>
      <c r="AN465" s="34" t="str">
        <f aca="false">IF($B465="","",IF(OR(C465="",D465="",E465="",G465="",I465="",J465="",L465="",O465="",P465=""),"Champ obligatoire manquant",IF(OR(AND(N465&lt;&gt;"",N465&gt;O465),O465&gt;P465,AND(Q465&lt;&gt;"",Q465&lt;P465),AND(R465&lt;&gt;"",R465&lt;P465),AND(S465&lt;&gt;"",S465&lt;R465),AND(S465&lt;&gt;"",R465=""),AND(T465&lt;&gt;"",T465&lt;O465),AND(U465&lt;&gt;"",U465&lt;O465)),"Chronologie incohérente",IF(AND(OR(L465="Résolu",L465="Clos"),R465=""),"Date de résolution manquante",IF(AND(L465="Clos",S465=""),"Date de clôture manquante",IF(AND(K465="Oui",AC465=""),"Classification DORA manquante","OK"))))))</f>
        <v/>
      </c>
      <c r="AO465" s="35" t="str">
        <f aca="false">IF($B465="","",IF(AND(C465="Incident",L465&lt;&gt;"Annulé"),1,0))</f>
        <v/>
      </c>
      <c r="AP465" s="35" t="str">
        <f aca="false">IF($B465="","",IF(AND(C465="Quasi-incident",L465&lt;&gt;"Annulé"),1,0))</f>
        <v/>
      </c>
      <c r="AQ465" s="35" t="str">
        <f aca="false">IF($B465="","",AO465+AP465)</f>
        <v/>
      </c>
      <c r="AR465" s="36" t="str">
        <f aca="false">IF(OR($B465="",J465=""),"",IFERROR(VALUE(LEFT(J465,1)),""))</f>
        <v/>
      </c>
      <c r="AS465" s="35" t="str">
        <f aca="false">IF(OR(AO465&lt;&gt;1,G465=""),"",IFERROR(IF(INDEX(L_SrcInterne,MATCH(G465,L_Sources,0))="Oui",1,0),""))</f>
        <v/>
      </c>
      <c r="AT465" s="37" t="str">
        <f aca="false">IF(AO465&lt;&gt;1,"",IFERROR(ROUND(IF(OR(N465="",O465=""),"",IF(O465&lt;N465,"",ROUND(((NETWORKDAYS(N465,O465,JoursFeries)-1)*(HFer-HOuv)+IF(NETWORKDAYS(O465,O465,JoursFeries),MEDIAN(MOD(O465,1),HFer,HOuv),HFer)-IF(NETWORKDAYS(N465,N465,JoursFeries),MEDIAN(MOD(N465,1),HFer,HOuv),HOuv))*24,4)))/HJour,4),""))</f>
        <v/>
      </c>
      <c r="AU465" s="37" t="str">
        <f aca="false">IF(AO465&lt;&gt;1,"",IF(OR(O465="",P465=""),"",IF(P465&lt;O465,"",ROUND(((NETWORKDAYS(O465,P465,JoursFeries)-1)*(HFer-HOuv)+IF(NETWORKDAYS(P465,P465,JoursFeries),MEDIAN(MOD(P465,1),HFer,HOuv),HFer)-IF(NETWORKDAYS(O465,O465,JoursFeries),MEDIAN(MOD(O465,1),HFer,HOuv),HOuv))*24,4))))</f>
        <v/>
      </c>
      <c r="AV465" s="37" t="str">
        <f aca="false">IF(AO465&lt;&gt;1,"",IF(OR(P465="",Q465=""),"",IF(Q465&lt;P465,"",ROUND(((NETWORKDAYS(P465,Q465,JoursFeries)-1)*(HFer-HOuv)+IF(NETWORKDAYS(Q465,Q465,JoursFeries),MEDIAN(MOD(Q465,1),HFer,HOuv),HFer)-IF(NETWORKDAYS(P465,P465,JoursFeries),MEDIAN(MOD(P465,1),HFer,HOuv),HOuv))*24,4))))</f>
        <v/>
      </c>
      <c r="AW465" s="37" t="str">
        <f aca="false">IF(AO465&lt;&gt;1,"",IFERROR(ROUND(IF(OR(P465="",R465=""),"",IF(R465&lt;P465,"",ROUND(((NETWORKDAYS(P465,R465,JoursFeries)-1)*(HFer-HOuv)+IF(NETWORKDAYS(R465,R465,JoursFeries),MEDIAN(MOD(R465,1),HFer,HOuv),HFer)-IF(NETWORKDAYS(P465,P465,JoursFeries),MEDIAN(MOD(P465,1),HFer,HOuv),HOuv))*24,4)))/HJour,4),""))</f>
        <v/>
      </c>
      <c r="AX465" s="37" t="str">
        <f aca="false">IF(AO465&lt;&gt;1,"",IFERROR(ROUND(IF(OR(P465="",S465=""),"",IF(S465&lt;P465,"",ROUND(((NETWORKDAYS(P465,S465,JoursFeries)-1)*(HFer-HOuv)+IF(NETWORKDAYS(S465,S465,JoursFeries),MEDIAN(MOD(S465,1),HFer,HOuv),HFer)-IF(NETWORKDAYS(P465,P465,JoursFeries),MEDIAN(MOD(P465,1),HFer,HOuv),HOuv))*24,4)))/HJour,4),""))</f>
        <v/>
      </c>
      <c r="AY465" s="36" t="str">
        <f aca="false">IF(OR(AO465&lt;&gt;1,AR465=""),"",INDEX(SLA_PEC,AR465))</f>
        <v/>
      </c>
      <c r="AZ465" s="35" t="str">
        <f aca="false">IF(OR(AV465="",AY465=""),"",IF(AV465&lt;=AY465,1,0))</f>
        <v/>
      </c>
      <c r="BA465" s="36" t="str">
        <f aca="false">IF(OR(AO465&lt;&gt;1,AR465=""),"",INDEX(SLA_RES,AR465))</f>
        <v/>
      </c>
      <c r="BB465" s="35" t="str">
        <f aca="false">IF(OR(AW465="",BA465=""),"",IF(AW465&lt;=BA465,1,0))</f>
        <v/>
      </c>
      <c r="BC465" s="38" t="str">
        <f aca="false">IF(OR(BA465="",P465=""),"",WORKDAY(INT(P465),BA465,JoursFeries)+MOD(P465,1))</f>
        <v/>
      </c>
      <c r="BD465" s="39" t="str">
        <f aca="false">IF(AO465&lt;&gt;1,"",IF(OR(AB465&lt;&gt;"",AD465&lt;&gt;""),4,IF(U465&lt;&gt;"",3,IF(T465&lt;&gt;"",2,1))))</f>
        <v/>
      </c>
      <c r="BE465" s="39" t="str">
        <f aca="false">IF(OR(AO465&lt;&gt;1,AR465=""),"",INDEX(NIV_REQ,AR465))</f>
        <v/>
      </c>
      <c r="BF465" s="39" t="str">
        <f aca="false">IF(BE465="","",MAX(BE465,IF(OR(K465="Oui",Z465="Oui"),4,1)))</f>
        <v/>
      </c>
      <c r="BG465" s="35" t="str">
        <f aca="false">IF(OR(BF465="",BD465=""),"",IF(BD465&gt;=BF465,1,0))</f>
        <v/>
      </c>
      <c r="BH465" s="38" t="str">
        <f aca="false">IF(BE465="","",IF(BE465&lt;2,"",IF(BE465=2,IF(AND(T465="",U465=""),"",MIN(T465,U465)),IF(U465="","",U465))))</f>
        <v/>
      </c>
      <c r="BI465" s="37" t="str">
        <f aca="false">IF(BH465="","",IF(OR(O465="",BH465=""),"",IF(BH465&lt;O465,"",ROUND(((NETWORKDAYS(O465,BH465,JoursFeries)-1)*(HFer-HOuv)+IF(NETWORKDAYS(BH465,BH465,JoursFeries),MEDIAN(MOD(BH465,1),HFer,HOuv),HFer)-IF(NETWORKDAYS(O465,O465,JoursFeries),MEDIAN(MOD(O465,1),HFer,HOuv),HOuv))*24,4))))</f>
        <v/>
      </c>
      <c r="BJ465" s="35" t="str">
        <f aca="false">IF(OR(BI465="",AR465=""),"",IF(BI465&lt;=INDEX(DELAI_ESC,AR465),1,0))</f>
        <v/>
      </c>
      <c r="BK465" s="38" t="str">
        <f aca="false">IF(AO465&lt;&gt;1,"",IF(AND(T465="",U465=""),"",MIN(T465,U465)))</f>
        <v/>
      </c>
      <c r="BL465" s="37" t="str">
        <f aca="false">IF(OR(BK465="",R465=""),"",IFERROR(ROUND(IF(OR(BK465="",R465=""),"",IF(R465&lt;BK465,"",ROUND(((NETWORKDAYS(BK465,R465,JoursFeries)-1)*(HFer-HOuv)+IF(NETWORKDAYS(R465,R465,JoursFeries),MEDIAN(MOD(R465,1),HFer,HOuv),HFer)-IF(NETWORKDAYS(BK465,BK465,JoursFeries),MEDIAN(MOD(BK465,1),HFer,HOuv),HOuv))*24,4)))/HJour,4),""))</f>
        <v/>
      </c>
      <c r="BM465" s="35" t="str">
        <f aca="false">IF(OR(AO465&lt;&gt;1,R465=""),"",IF(BD465=1,1,0))</f>
        <v/>
      </c>
      <c r="BN465" s="35" t="str">
        <f aca="false">IF(AO465&lt;&gt;1,"",IF(W465="Oui",1,0))</f>
        <v/>
      </c>
      <c r="BO465" s="35" t="str">
        <f aca="false">IF(AO465&lt;&gt;1,"",IF(X465&lt;&gt;"",1,0))</f>
        <v/>
      </c>
      <c r="BP465" s="35" t="str">
        <f aca="false">IF(AO465&lt;&gt;1,"",IF(Y465="Oui",1,0))</f>
        <v/>
      </c>
      <c r="BQ465" s="35" t="str">
        <f aca="true">IF(OR(AO465&lt;&gt;1,Z465&lt;&gt;"Oui"),"",IF(AB465="",IF(AND(AA465&lt;&gt;"",NOW()&gt;AA465),0,""),IF(AA465="","",IF(AB465&lt;=AA465,1,0))))</f>
        <v/>
      </c>
      <c r="BR465" s="38" t="str">
        <f aca="false">IF(OR(AO465&lt;&gt;1,K465&lt;&gt;"Oui",O465=""),"",IF(AC465="",O465+DORA_H_DET/24,IF(AC465-O465&lt;=DORA_H_DET/24,MIN(AC465+DORA_H_CLA/24,O465+DORA_H_DET/24),AC465+DORA_H_CLA/24)))</f>
        <v/>
      </c>
      <c r="BS465" s="35" t="str">
        <f aca="true">IF(BR465="","",IF(AD465="",IF(NOW()&gt;BR465,0,""),IF(AD465&lt;=BR465,1,0)))</f>
        <v/>
      </c>
      <c r="BT465" s="35" t="str">
        <f aca="true">IF(OR(BR465="",AD465=""),"",IF(AE465="",IF(NOW()&gt;AD465+DORA_H_INT/24,0,""),IF(AE465&lt;=AD465+DORA_H_INT/24,1,0)))</f>
        <v/>
      </c>
      <c r="BU465" s="35" t="str">
        <f aca="true">IF(OR(BR465="",AE465=""),"",IF(AF465="",IF(NOW()&gt;EDATE(AE465,DORA_M_FIN)+1,0,""),IF(AF465&lt;=EDATE(AE465,DORA_M_FIN),1,0)))</f>
        <v/>
      </c>
      <c r="BV465" s="35" t="str">
        <f aca="false">IF(BR465="","",IF(COUNT(BS465:BU465)=0,"",MIN(BS465:BU465)))</f>
        <v/>
      </c>
      <c r="BW465" s="40" t="str">
        <f aca="false">IF(AQ465&lt;&gt;1,"",IF(AND(AG465="",AH465=""),"",N(AG465)-N(AH465)))</f>
        <v/>
      </c>
      <c r="BX465" s="35" t="str">
        <f aca="true">IF(OR(AQ465&lt;&gt;1,AI465&lt;&gt;"Oui",AJ465=""),"",IF(AK465="",IF(NOW()&gt;AJ465+1,0,""),IF(AK465&lt;=AJ465,1,0)))</f>
        <v/>
      </c>
    </row>
    <row r="466" customFormat="false" ht="15" hidden="false" customHeight="false" outlineLevel="0" collapsed="false">
      <c r="B466" s="29"/>
      <c r="C466" s="29"/>
      <c r="D466" s="29"/>
      <c r="E466" s="29"/>
      <c r="F466" s="29"/>
      <c r="G466" s="29"/>
      <c r="H466" s="29"/>
      <c r="I466" s="29"/>
      <c r="J466" s="29"/>
      <c r="K466" s="29"/>
      <c r="L466" s="29"/>
      <c r="M466" s="29"/>
      <c r="N466" s="30"/>
      <c r="O466" s="30"/>
      <c r="P466" s="30"/>
      <c r="Q466" s="30"/>
      <c r="R466" s="30"/>
      <c r="S466" s="30"/>
      <c r="T466" s="30"/>
      <c r="U466" s="30"/>
      <c r="V466" s="31"/>
      <c r="W466" s="29"/>
      <c r="X466" s="29"/>
      <c r="Y466" s="29"/>
      <c r="Z466" s="29"/>
      <c r="AA466" s="30"/>
      <c r="AB466" s="30"/>
      <c r="AC466" s="30"/>
      <c r="AD466" s="30"/>
      <c r="AE466" s="30"/>
      <c r="AF466" s="32"/>
      <c r="AG466" s="33"/>
      <c r="AH466" s="33"/>
      <c r="AI466" s="29"/>
      <c r="AJ466" s="32"/>
      <c r="AK466" s="32"/>
      <c r="AL466" s="29"/>
      <c r="AN466" s="34" t="str">
        <f aca="false">IF($B466="","",IF(OR(C466="",D466="",E466="",G466="",I466="",J466="",L466="",O466="",P466=""),"Champ obligatoire manquant",IF(OR(AND(N466&lt;&gt;"",N466&gt;O466),O466&gt;P466,AND(Q466&lt;&gt;"",Q466&lt;P466),AND(R466&lt;&gt;"",R466&lt;P466),AND(S466&lt;&gt;"",S466&lt;R466),AND(S466&lt;&gt;"",R466=""),AND(T466&lt;&gt;"",T466&lt;O466),AND(U466&lt;&gt;"",U466&lt;O466)),"Chronologie incohérente",IF(AND(OR(L466="Résolu",L466="Clos"),R466=""),"Date de résolution manquante",IF(AND(L466="Clos",S466=""),"Date de clôture manquante",IF(AND(K466="Oui",AC466=""),"Classification DORA manquante","OK"))))))</f>
        <v/>
      </c>
      <c r="AO466" s="35" t="str">
        <f aca="false">IF($B466="","",IF(AND(C466="Incident",L466&lt;&gt;"Annulé"),1,0))</f>
        <v/>
      </c>
      <c r="AP466" s="35" t="str">
        <f aca="false">IF($B466="","",IF(AND(C466="Quasi-incident",L466&lt;&gt;"Annulé"),1,0))</f>
        <v/>
      </c>
      <c r="AQ466" s="35" t="str">
        <f aca="false">IF($B466="","",AO466+AP466)</f>
        <v/>
      </c>
      <c r="AR466" s="36" t="str">
        <f aca="false">IF(OR($B466="",J466=""),"",IFERROR(VALUE(LEFT(J466,1)),""))</f>
        <v/>
      </c>
      <c r="AS466" s="35" t="str">
        <f aca="false">IF(OR(AO466&lt;&gt;1,G466=""),"",IFERROR(IF(INDEX(L_SrcInterne,MATCH(G466,L_Sources,0))="Oui",1,0),""))</f>
        <v/>
      </c>
      <c r="AT466" s="37" t="str">
        <f aca="false">IF(AO466&lt;&gt;1,"",IFERROR(ROUND(IF(OR(N466="",O466=""),"",IF(O466&lt;N466,"",ROUND(((NETWORKDAYS(N466,O466,JoursFeries)-1)*(HFer-HOuv)+IF(NETWORKDAYS(O466,O466,JoursFeries),MEDIAN(MOD(O466,1),HFer,HOuv),HFer)-IF(NETWORKDAYS(N466,N466,JoursFeries),MEDIAN(MOD(N466,1),HFer,HOuv),HOuv))*24,4)))/HJour,4),""))</f>
        <v/>
      </c>
      <c r="AU466" s="37" t="str">
        <f aca="false">IF(AO466&lt;&gt;1,"",IF(OR(O466="",P466=""),"",IF(P466&lt;O466,"",ROUND(((NETWORKDAYS(O466,P466,JoursFeries)-1)*(HFer-HOuv)+IF(NETWORKDAYS(P466,P466,JoursFeries),MEDIAN(MOD(P466,1),HFer,HOuv),HFer)-IF(NETWORKDAYS(O466,O466,JoursFeries),MEDIAN(MOD(O466,1),HFer,HOuv),HOuv))*24,4))))</f>
        <v/>
      </c>
      <c r="AV466" s="37" t="str">
        <f aca="false">IF(AO466&lt;&gt;1,"",IF(OR(P466="",Q466=""),"",IF(Q466&lt;P466,"",ROUND(((NETWORKDAYS(P466,Q466,JoursFeries)-1)*(HFer-HOuv)+IF(NETWORKDAYS(Q466,Q466,JoursFeries),MEDIAN(MOD(Q466,1),HFer,HOuv),HFer)-IF(NETWORKDAYS(P466,P466,JoursFeries),MEDIAN(MOD(P466,1),HFer,HOuv),HOuv))*24,4))))</f>
        <v/>
      </c>
      <c r="AW466" s="37" t="str">
        <f aca="false">IF(AO466&lt;&gt;1,"",IFERROR(ROUND(IF(OR(P466="",R466=""),"",IF(R466&lt;P466,"",ROUND(((NETWORKDAYS(P466,R466,JoursFeries)-1)*(HFer-HOuv)+IF(NETWORKDAYS(R466,R466,JoursFeries),MEDIAN(MOD(R466,1),HFer,HOuv),HFer)-IF(NETWORKDAYS(P466,P466,JoursFeries),MEDIAN(MOD(P466,1),HFer,HOuv),HOuv))*24,4)))/HJour,4),""))</f>
        <v/>
      </c>
      <c r="AX466" s="37" t="str">
        <f aca="false">IF(AO466&lt;&gt;1,"",IFERROR(ROUND(IF(OR(P466="",S466=""),"",IF(S466&lt;P466,"",ROUND(((NETWORKDAYS(P466,S466,JoursFeries)-1)*(HFer-HOuv)+IF(NETWORKDAYS(S466,S466,JoursFeries),MEDIAN(MOD(S466,1),HFer,HOuv),HFer)-IF(NETWORKDAYS(P466,P466,JoursFeries),MEDIAN(MOD(P466,1),HFer,HOuv),HOuv))*24,4)))/HJour,4),""))</f>
        <v/>
      </c>
      <c r="AY466" s="36" t="str">
        <f aca="false">IF(OR(AO466&lt;&gt;1,AR466=""),"",INDEX(SLA_PEC,AR466))</f>
        <v/>
      </c>
      <c r="AZ466" s="35" t="str">
        <f aca="false">IF(OR(AV466="",AY466=""),"",IF(AV466&lt;=AY466,1,0))</f>
        <v/>
      </c>
      <c r="BA466" s="36" t="str">
        <f aca="false">IF(OR(AO466&lt;&gt;1,AR466=""),"",INDEX(SLA_RES,AR466))</f>
        <v/>
      </c>
      <c r="BB466" s="35" t="str">
        <f aca="false">IF(OR(AW466="",BA466=""),"",IF(AW466&lt;=BA466,1,0))</f>
        <v/>
      </c>
      <c r="BC466" s="38" t="str">
        <f aca="false">IF(OR(BA466="",P466=""),"",WORKDAY(INT(P466),BA466,JoursFeries)+MOD(P466,1))</f>
        <v/>
      </c>
      <c r="BD466" s="39" t="str">
        <f aca="false">IF(AO466&lt;&gt;1,"",IF(OR(AB466&lt;&gt;"",AD466&lt;&gt;""),4,IF(U466&lt;&gt;"",3,IF(T466&lt;&gt;"",2,1))))</f>
        <v/>
      </c>
      <c r="BE466" s="39" t="str">
        <f aca="false">IF(OR(AO466&lt;&gt;1,AR466=""),"",INDEX(NIV_REQ,AR466))</f>
        <v/>
      </c>
      <c r="BF466" s="39" t="str">
        <f aca="false">IF(BE466="","",MAX(BE466,IF(OR(K466="Oui",Z466="Oui"),4,1)))</f>
        <v/>
      </c>
      <c r="BG466" s="35" t="str">
        <f aca="false">IF(OR(BF466="",BD466=""),"",IF(BD466&gt;=BF466,1,0))</f>
        <v/>
      </c>
      <c r="BH466" s="38" t="str">
        <f aca="false">IF(BE466="","",IF(BE466&lt;2,"",IF(BE466=2,IF(AND(T466="",U466=""),"",MIN(T466,U466)),IF(U466="","",U466))))</f>
        <v/>
      </c>
      <c r="BI466" s="37" t="str">
        <f aca="false">IF(BH466="","",IF(OR(O466="",BH466=""),"",IF(BH466&lt;O466,"",ROUND(((NETWORKDAYS(O466,BH466,JoursFeries)-1)*(HFer-HOuv)+IF(NETWORKDAYS(BH466,BH466,JoursFeries),MEDIAN(MOD(BH466,1),HFer,HOuv),HFer)-IF(NETWORKDAYS(O466,O466,JoursFeries),MEDIAN(MOD(O466,1),HFer,HOuv),HOuv))*24,4))))</f>
        <v/>
      </c>
      <c r="BJ466" s="35" t="str">
        <f aca="false">IF(OR(BI466="",AR466=""),"",IF(BI466&lt;=INDEX(DELAI_ESC,AR466),1,0))</f>
        <v/>
      </c>
      <c r="BK466" s="38" t="str">
        <f aca="false">IF(AO466&lt;&gt;1,"",IF(AND(T466="",U466=""),"",MIN(T466,U466)))</f>
        <v/>
      </c>
      <c r="BL466" s="37" t="str">
        <f aca="false">IF(OR(BK466="",R466=""),"",IFERROR(ROUND(IF(OR(BK466="",R466=""),"",IF(R466&lt;BK466,"",ROUND(((NETWORKDAYS(BK466,R466,JoursFeries)-1)*(HFer-HOuv)+IF(NETWORKDAYS(R466,R466,JoursFeries),MEDIAN(MOD(R466,1),HFer,HOuv),HFer)-IF(NETWORKDAYS(BK466,BK466,JoursFeries),MEDIAN(MOD(BK466,1),HFer,HOuv),HOuv))*24,4)))/HJour,4),""))</f>
        <v/>
      </c>
      <c r="BM466" s="35" t="str">
        <f aca="false">IF(OR(AO466&lt;&gt;1,R466=""),"",IF(BD466=1,1,0))</f>
        <v/>
      </c>
      <c r="BN466" s="35" t="str">
        <f aca="false">IF(AO466&lt;&gt;1,"",IF(W466="Oui",1,0))</f>
        <v/>
      </c>
      <c r="BO466" s="35" t="str">
        <f aca="false">IF(AO466&lt;&gt;1,"",IF(X466&lt;&gt;"",1,0))</f>
        <v/>
      </c>
      <c r="BP466" s="35" t="str">
        <f aca="false">IF(AO466&lt;&gt;1,"",IF(Y466="Oui",1,0))</f>
        <v/>
      </c>
      <c r="BQ466" s="35" t="str">
        <f aca="true">IF(OR(AO466&lt;&gt;1,Z466&lt;&gt;"Oui"),"",IF(AB466="",IF(AND(AA466&lt;&gt;"",NOW()&gt;AA466),0,""),IF(AA466="","",IF(AB466&lt;=AA466,1,0))))</f>
        <v/>
      </c>
      <c r="BR466" s="38" t="str">
        <f aca="false">IF(OR(AO466&lt;&gt;1,K466&lt;&gt;"Oui",O466=""),"",IF(AC466="",O466+DORA_H_DET/24,IF(AC466-O466&lt;=DORA_H_DET/24,MIN(AC466+DORA_H_CLA/24,O466+DORA_H_DET/24),AC466+DORA_H_CLA/24)))</f>
        <v/>
      </c>
      <c r="BS466" s="35" t="str">
        <f aca="true">IF(BR466="","",IF(AD466="",IF(NOW()&gt;BR466,0,""),IF(AD466&lt;=BR466,1,0)))</f>
        <v/>
      </c>
      <c r="BT466" s="35" t="str">
        <f aca="true">IF(OR(BR466="",AD466=""),"",IF(AE466="",IF(NOW()&gt;AD466+DORA_H_INT/24,0,""),IF(AE466&lt;=AD466+DORA_H_INT/24,1,0)))</f>
        <v/>
      </c>
      <c r="BU466" s="35" t="str">
        <f aca="true">IF(OR(BR466="",AE466=""),"",IF(AF466="",IF(NOW()&gt;EDATE(AE466,DORA_M_FIN)+1,0,""),IF(AF466&lt;=EDATE(AE466,DORA_M_FIN),1,0)))</f>
        <v/>
      </c>
      <c r="BV466" s="35" t="str">
        <f aca="false">IF(BR466="","",IF(COUNT(BS466:BU466)=0,"",MIN(BS466:BU466)))</f>
        <v/>
      </c>
      <c r="BW466" s="40" t="str">
        <f aca="false">IF(AQ466&lt;&gt;1,"",IF(AND(AG466="",AH466=""),"",N(AG466)-N(AH466)))</f>
        <v/>
      </c>
      <c r="BX466" s="35" t="str">
        <f aca="true">IF(OR(AQ466&lt;&gt;1,AI466&lt;&gt;"Oui",AJ466=""),"",IF(AK466="",IF(NOW()&gt;AJ466+1,0,""),IF(AK466&lt;=AJ466,1,0)))</f>
        <v/>
      </c>
    </row>
    <row r="467" customFormat="false" ht="15" hidden="false" customHeight="false" outlineLevel="0" collapsed="false">
      <c r="B467" s="29"/>
      <c r="C467" s="29"/>
      <c r="D467" s="29"/>
      <c r="E467" s="29"/>
      <c r="F467" s="29"/>
      <c r="G467" s="29"/>
      <c r="H467" s="29"/>
      <c r="I467" s="29"/>
      <c r="J467" s="29"/>
      <c r="K467" s="29"/>
      <c r="L467" s="29"/>
      <c r="M467" s="29"/>
      <c r="N467" s="30"/>
      <c r="O467" s="30"/>
      <c r="P467" s="30"/>
      <c r="Q467" s="30"/>
      <c r="R467" s="30"/>
      <c r="S467" s="30"/>
      <c r="T467" s="30"/>
      <c r="U467" s="30"/>
      <c r="V467" s="31"/>
      <c r="W467" s="29"/>
      <c r="X467" s="29"/>
      <c r="Y467" s="29"/>
      <c r="Z467" s="29"/>
      <c r="AA467" s="30"/>
      <c r="AB467" s="30"/>
      <c r="AC467" s="30"/>
      <c r="AD467" s="30"/>
      <c r="AE467" s="30"/>
      <c r="AF467" s="32"/>
      <c r="AG467" s="33"/>
      <c r="AH467" s="33"/>
      <c r="AI467" s="29"/>
      <c r="AJ467" s="32"/>
      <c r="AK467" s="32"/>
      <c r="AL467" s="29"/>
      <c r="AN467" s="34" t="str">
        <f aca="false">IF($B467="","",IF(OR(C467="",D467="",E467="",G467="",I467="",J467="",L467="",O467="",P467=""),"Champ obligatoire manquant",IF(OR(AND(N467&lt;&gt;"",N467&gt;O467),O467&gt;P467,AND(Q467&lt;&gt;"",Q467&lt;P467),AND(R467&lt;&gt;"",R467&lt;P467),AND(S467&lt;&gt;"",S467&lt;R467),AND(S467&lt;&gt;"",R467=""),AND(T467&lt;&gt;"",T467&lt;O467),AND(U467&lt;&gt;"",U467&lt;O467)),"Chronologie incohérente",IF(AND(OR(L467="Résolu",L467="Clos"),R467=""),"Date de résolution manquante",IF(AND(L467="Clos",S467=""),"Date de clôture manquante",IF(AND(K467="Oui",AC467=""),"Classification DORA manquante","OK"))))))</f>
        <v/>
      </c>
      <c r="AO467" s="35" t="str">
        <f aca="false">IF($B467="","",IF(AND(C467="Incident",L467&lt;&gt;"Annulé"),1,0))</f>
        <v/>
      </c>
      <c r="AP467" s="35" t="str">
        <f aca="false">IF($B467="","",IF(AND(C467="Quasi-incident",L467&lt;&gt;"Annulé"),1,0))</f>
        <v/>
      </c>
      <c r="AQ467" s="35" t="str">
        <f aca="false">IF($B467="","",AO467+AP467)</f>
        <v/>
      </c>
      <c r="AR467" s="36" t="str">
        <f aca="false">IF(OR($B467="",J467=""),"",IFERROR(VALUE(LEFT(J467,1)),""))</f>
        <v/>
      </c>
      <c r="AS467" s="35" t="str">
        <f aca="false">IF(OR(AO467&lt;&gt;1,G467=""),"",IFERROR(IF(INDEX(L_SrcInterne,MATCH(G467,L_Sources,0))="Oui",1,0),""))</f>
        <v/>
      </c>
      <c r="AT467" s="37" t="str">
        <f aca="false">IF(AO467&lt;&gt;1,"",IFERROR(ROUND(IF(OR(N467="",O467=""),"",IF(O467&lt;N467,"",ROUND(((NETWORKDAYS(N467,O467,JoursFeries)-1)*(HFer-HOuv)+IF(NETWORKDAYS(O467,O467,JoursFeries),MEDIAN(MOD(O467,1),HFer,HOuv),HFer)-IF(NETWORKDAYS(N467,N467,JoursFeries),MEDIAN(MOD(N467,1),HFer,HOuv),HOuv))*24,4)))/HJour,4),""))</f>
        <v/>
      </c>
      <c r="AU467" s="37" t="str">
        <f aca="false">IF(AO467&lt;&gt;1,"",IF(OR(O467="",P467=""),"",IF(P467&lt;O467,"",ROUND(((NETWORKDAYS(O467,P467,JoursFeries)-1)*(HFer-HOuv)+IF(NETWORKDAYS(P467,P467,JoursFeries),MEDIAN(MOD(P467,1),HFer,HOuv),HFer)-IF(NETWORKDAYS(O467,O467,JoursFeries),MEDIAN(MOD(O467,1),HFer,HOuv),HOuv))*24,4))))</f>
        <v/>
      </c>
      <c r="AV467" s="37" t="str">
        <f aca="false">IF(AO467&lt;&gt;1,"",IF(OR(P467="",Q467=""),"",IF(Q467&lt;P467,"",ROUND(((NETWORKDAYS(P467,Q467,JoursFeries)-1)*(HFer-HOuv)+IF(NETWORKDAYS(Q467,Q467,JoursFeries),MEDIAN(MOD(Q467,1),HFer,HOuv),HFer)-IF(NETWORKDAYS(P467,P467,JoursFeries),MEDIAN(MOD(P467,1),HFer,HOuv),HOuv))*24,4))))</f>
        <v/>
      </c>
      <c r="AW467" s="37" t="str">
        <f aca="false">IF(AO467&lt;&gt;1,"",IFERROR(ROUND(IF(OR(P467="",R467=""),"",IF(R467&lt;P467,"",ROUND(((NETWORKDAYS(P467,R467,JoursFeries)-1)*(HFer-HOuv)+IF(NETWORKDAYS(R467,R467,JoursFeries),MEDIAN(MOD(R467,1),HFer,HOuv),HFer)-IF(NETWORKDAYS(P467,P467,JoursFeries),MEDIAN(MOD(P467,1),HFer,HOuv),HOuv))*24,4)))/HJour,4),""))</f>
        <v/>
      </c>
      <c r="AX467" s="37" t="str">
        <f aca="false">IF(AO467&lt;&gt;1,"",IFERROR(ROUND(IF(OR(P467="",S467=""),"",IF(S467&lt;P467,"",ROUND(((NETWORKDAYS(P467,S467,JoursFeries)-1)*(HFer-HOuv)+IF(NETWORKDAYS(S467,S467,JoursFeries),MEDIAN(MOD(S467,1),HFer,HOuv),HFer)-IF(NETWORKDAYS(P467,P467,JoursFeries),MEDIAN(MOD(P467,1),HFer,HOuv),HOuv))*24,4)))/HJour,4),""))</f>
        <v/>
      </c>
      <c r="AY467" s="36" t="str">
        <f aca="false">IF(OR(AO467&lt;&gt;1,AR467=""),"",INDEX(SLA_PEC,AR467))</f>
        <v/>
      </c>
      <c r="AZ467" s="35" t="str">
        <f aca="false">IF(OR(AV467="",AY467=""),"",IF(AV467&lt;=AY467,1,0))</f>
        <v/>
      </c>
      <c r="BA467" s="36" t="str">
        <f aca="false">IF(OR(AO467&lt;&gt;1,AR467=""),"",INDEX(SLA_RES,AR467))</f>
        <v/>
      </c>
      <c r="BB467" s="35" t="str">
        <f aca="false">IF(OR(AW467="",BA467=""),"",IF(AW467&lt;=BA467,1,0))</f>
        <v/>
      </c>
      <c r="BC467" s="38" t="str">
        <f aca="false">IF(OR(BA467="",P467=""),"",WORKDAY(INT(P467),BA467,JoursFeries)+MOD(P467,1))</f>
        <v/>
      </c>
      <c r="BD467" s="39" t="str">
        <f aca="false">IF(AO467&lt;&gt;1,"",IF(OR(AB467&lt;&gt;"",AD467&lt;&gt;""),4,IF(U467&lt;&gt;"",3,IF(T467&lt;&gt;"",2,1))))</f>
        <v/>
      </c>
      <c r="BE467" s="39" t="str">
        <f aca="false">IF(OR(AO467&lt;&gt;1,AR467=""),"",INDEX(NIV_REQ,AR467))</f>
        <v/>
      </c>
      <c r="BF467" s="39" t="str">
        <f aca="false">IF(BE467="","",MAX(BE467,IF(OR(K467="Oui",Z467="Oui"),4,1)))</f>
        <v/>
      </c>
      <c r="BG467" s="35" t="str">
        <f aca="false">IF(OR(BF467="",BD467=""),"",IF(BD467&gt;=BF467,1,0))</f>
        <v/>
      </c>
      <c r="BH467" s="38" t="str">
        <f aca="false">IF(BE467="","",IF(BE467&lt;2,"",IF(BE467=2,IF(AND(T467="",U467=""),"",MIN(T467,U467)),IF(U467="","",U467))))</f>
        <v/>
      </c>
      <c r="BI467" s="37" t="str">
        <f aca="false">IF(BH467="","",IF(OR(O467="",BH467=""),"",IF(BH467&lt;O467,"",ROUND(((NETWORKDAYS(O467,BH467,JoursFeries)-1)*(HFer-HOuv)+IF(NETWORKDAYS(BH467,BH467,JoursFeries),MEDIAN(MOD(BH467,1),HFer,HOuv),HFer)-IF(NETWORKDAYS(O467,O467,JoursFeries),MEDIAN(MOD(O467,1),HFer,HOuv),HOuv))*24,4))))</f>
        <v/>
      </c>
      <c r="BJ467" s="35" t="str">
        <f aca="false">IF(OR(BI467="",AR467=""),"",IF(BI467&lt;=INDEX(DELAI_ESC,AR467),1,0))</f>
        <v/>
      </c>
      <c r="BK467" s="38" t="str">
        <f aca="false">IF(AO467&lt;&gt;1,"",IF(AND(T467="",U467=""),"",MIN(T467,U467)))</f>
        <v/>
      </c>
      <c r="BL467" s="37" t="str">
        <f aca="false">IF(OR(BK467="",R467=""),"",IFERROR(ROUND(IF(OR(BK467="",R467=""),"",IF(R467&lt;BK467,"",ROUND(((NETWORKDAYS(BK467,R467,JoursFeries)-1)*(HFer-HOuv)+IF(NETWORKDAYS(R467,R467,JoursFeries),MEDIAN(MOD(R467,1),HFer,HOuv),HFer)-IF(NETWORKDAYS(BK467,BK467,JoursFeries),MEDIAN(MOD(BK467,1),HFer,HOuv),HOuv))*24,4)))/HJour,4),""))</f>
        <v/>
      </c>
      <c r="BM467" s="35" t="str">
        <f aca="false">IF(OR(AO467&lt;&gt;1,R467=""),"",IF(BD467=1,1,0))</f>
        <v/>
      </c>
      <c r="BN467" s="35" t="str">
        <f aca="false">IF(AO467&lt;&gt;1,"",IF(W467="Oui",1,0))</f>
        <v/>
      </c>
      <c r="BO467" s="35" t="str">
        <f aca="false">IF(AO467&lt;&gt;1,"",IF(X467&lt;&gt;"",1,0))</f>
        <v/>
      </c>
      <c r="BP467" s="35" t="str">
        <f aca="false">IF(AO467&lt;&gt;1,"",IF(Y467="Oui",1,0))</f>
        <v/>
      </c>
      <c r="BQ467" s="35" t="str">
        <f aca="true">IF(OR(AO467&lt;&gt;1,Z467&lt;&gt;"Oui"),"",IF(AB467="",IF(AND(AA467&lt;&gt;"",NOW()&gt;AA467),0,""),IF(AA467="","",IF(AB467&lt;=AA467,1,0))))</f>
        <v/>
      </c>
      <c r="BR467" s="38" t="str">
        <f aca="false">IF(OR(AO467&lt;&gt;1,K467&lt;&gt;"Oui",O467=""),"",IF(AC467="",O467+DORA_H_DET/24,IF(AC467-O467&lt;=DORA_H_DET/24,MIN(AC467+DORA_H_CLA/24,O467+DORA_H_DET/24),AC467+DORA_H_CLA/24)))</f>
        <v/>
      </c>
      <c r="BS467" s="35" t="str">
        <f aca="true">IF(BR467="","",IF(AD467="",IF(NOW()&gt;BR467,0,""),IF(AD467&lt;=BR467,1,0)))</f>
        <v/>
      </c>
      <c r="BT467" s="35" t="str">
        <f aca="true">IF(OR(BR467="",AD467=""),"",IF(AE467="",IF(NOW()&gt;AD467+DORA_H_INT/24,0,""),IF(AE467&lt;=AD467+DORA_H_INT/24,1,0)))</f>
        <v/>
      </c>
      <c r="BU467" s="35" t="str">
        <f aca="true">IF(OR(BR467="",AE467=""),"",IF(AF467="",IF(NOW()&gt;EDATE(AE467,DORA_M_FIN)+1,0,""),IF(AF467&lt;=EDATE(AE467,DORA_M_FIN),1,0)))</f>
        <v/>
      </c>
      <c r="BV467" s="35" t="str">
        <f aca="false">IF(BR467="","",IF(COUNT(BS467:BU467)=0,"",MIN(BS467:BU467)))</f>
        <v/>
      </c>
      <c r="BW467" s="40" t="str">
        <f aca="false">IF(AQ467&lt;&gt;1,"",IF(AND(AG467="",AH467=""),"",N(AG467)-N(AH467)))</f>
        <v/>
      </c>
      <c r="BX467" s="35" t="str">
        <f aca="true">IF(OR(AQ467&lt;&gt;1,AI467&lt;&gt;"Oui",AJ467=""),"",IF(AK467="",IF(NOW()&gt;AJ467+1,0,""),IF(AK467&lt;=AJ467,1,0)))</f>
        <v/>
      </c>
    </row>
    <row r="468" customFormat="false" ht="15" hidden="false" customHeight="false" outlineLevel="0" collapsed="false">
      <c r="B468" s="29"/>
      <c r="C468" s="29"/>
      <c r="D468" s="29"/>
      <c r="E468" s="29"/>
      <c r="F468" s="29"/>
      <c r="G468" s="29"/>
      <c r="H468" s="29"/>
      <c r="I468" s="29"/>
      <c r="J468" s="29"/>
      <c r="K468" s="29"/>
      <c r="L468" s="29"/>
      <c r="M468" s="29"/>
      <c r="N468" s="30"/>
      <c r="O468" s="30"/>
      <c r="P468" s="30"/>
      <c r="Q468" s="30"/>
      <c r="R468" s="30"/>
      <c r="S468" s="30"/>
      <c r="T468" s="30"/>
      <c r="U468" s="30"/>
      <c r="V468" s="31"/>
      <c r="W468" s="29"/>
      <c r="X468" s="29"/>
      <c r="Y468" s="29"/>
      <c r="Z468" s="29"/>
      <c r="AA468" s="30"/>
      <c r="AB468" s="30"/>
      <c r="AC468" s="30"/>
      <c r="AD468" s="30"/>
      <c r="AE468" s="30"/>
      <c r="AF468" s="32"/>
      <c r="AG468" s="33"/>
      <c r="AH468" s="33"/>
      <c r="AI468" s="29"/>
      <c r="AJ468" s="32"/>
      <c r="AK468" s="32"/>
      <c r="AL468" s="29"/>
      <c r="AN468" s="34" t="str">
        <f aca="false">IF($B468="","",IF(OR(C468="",D468="",E468="",G468="",I468="",J468="",L468="",O468="",P468=""),"Champ obligatoire manquant",IF(OR(AND(N468&lt;&gt;"",N468&gt;O468),O468&gt;P468,AND(Q468&lt;&gt;"",Q468&lt;P468),AND(R468&lt;&gt;"",R468&lt;P468),AND(S468&lt;&gt;"",S468&lt;R468),AND(S468&lt;&gt;"",R468=""),AND(T468&lt;&gt;"",T468&lt;O468),AND(U468&lt;&gt;"",U468&lt;O468)),"Chronologie incohérente",IF(AND(OR(L468="Résolu",L468="Clos"),R468=""),"Date de résolution manquante",IF(AND(L468="Clos",S468=""),"Date de clôture manquante",IF(AND(K468="Oui",AC468=""),"Classification DORA manquante","OK"))))))</f>
        <v/>
      </c>
      <c r="AO468" s="35" t="str">
        <f aca="false">IF($B468="","",IF(AND(C468="Incident",L468&lt;&gt;"Annulé"),1,0))</f>
        <v/>
      </c>
      <c r="AP468" s="35" t="str">
        <f aca="false">IF($B468="","",IF(AND(C468="Quasi-incident",L468&lt;&gt;"Annulé"),1,0))</f>
        <v/>
      </c>
      <c r="AQ468" s="35" t="str">
        <f aca="false">IF($B468="","",AO468+AP468)</f>
        <v/>
      </c>
      <c r="AR468" s="36" t="str">
        <f aca="false">IF(OR($B468="",J468=""),"",IFERROR(VALUE(LEFT(J468,1)),""))</f>
        <v/>
      </c>
      <c r="AS468" s="35" t="str">
        <f aca="false">IF(OR(AO468&lt;&gt;1,G468=""),"",IFERROR(IF(INDEX(L_SrcInterne,MATCH(G468,L_Sources,0))="Oui",1,0),""))</f>
        <v/>
      </c>
      <c r="AT468" s="37" t="str">
        <f aca="false">IF(AO468&lt;&gt;1,"",IFERROR(ROUND(IF(OR(N468="",O468=""),"",IF(O468&lt;N468,"",ROUND(((NETWORKDAYS(N468,O468,JoursFeries)-1)*(HFer-HOuv)+IF(NETWORKDAYS(O468,O468,JoursFeries),MEDIAN(MOD(O468,1),HFer,HOuv),HFer)-IF(NETWORKDAYS(N468,N468,JoursFeries),MEDIAN(MOD(N468,1),HFer,HOuv),HOuv))*24,4)))/HJour,4),""))</f>
        <v/>
      </c>
      <c r="AU468" s="37" t="str">
        <f aca="false">IF(AO468&lt;&gt;1,"",IF(OR(O468="",P468=""),"",IF(P468&lt;O468,"",ROUND(((NETWORKDAYS(O468,P468,JoursFeries)-1)*(HFer-HOuv)+IF(NETWORKDAYS(P468,P468,JoursFeries),MEDIAN(MOD(P468,1),HFer,HOuv),HFer)-IF(NETWORKDAYS(O468,O468,JoursFeries),MEDIAN(MOD(O468,1),HFer,HOuv),HOuv))*24,4))))</f>
        <v/>
      </c>
      <c r="AV468" s="37" t="str">
        <f aca="false">IF(AO468&lt;&gt;1,"",IF(OR(P468="",Q468=""),"",IF(Q468&lt;P468,"",ROUND(((NETWORKDAYS(P468,Q468,JoursFeries)-1)*(HFer-HOuv)+IF(NETWORKDAYS(Q468,Q468,JoursFeries),MEDIAN(MOD(Q468,1),HFer,HOuv),HFer)-IF(NETWORKDAYS(P468,P468,JoursFeries),MEDIAN(MOD(P468,1),HFer,HOuv),HOuv))*24,4))))</f>
        <v/>
      </c>
      <c r="AW468" s="37" t="str">
        <f aca="false">IF(AO468&lt;&gt;1,"",IFERROR(ROUND(IF(OR(P468="",R468=""),"",IF(R468&lt;P468,"",ROUND(((NETWORKDAYS(P468,R468,JoursFeries)-1)*(HFer-HOuv)+IF(NETWORKDAYS(R468,R468,JoursFeries),MEDIAN(MOD(R468,1),HFer,HOuv),HFer)-IF(NETWORKDAYS(P468,P468,JoursFeries),MEDIAN(MOD(P468,1),HFer,HOuv),HOuv))*24,4)))/HJour,4),""))</f>
        <v/>
      </c>
      <c r="AX468" s="37" t="str">
        <f aca="false">IF(AO468&lt;&gt;1,"",IFERROR(ROUND(IF(OR(P468="",S468=""),"",IF(S468&lt;P468,"",ROUND(((NETWORKDAYS(P468,S468,JoursFeries)-1)*(HFer-HOuv)+IF(NETWORKDAYS(S468,S468,JoursFeries),MEDIAN(MOD(S468,1),HFer,HOuv),HFer)-IF(NETWORKDAYS(P468,P468,JoursFeries),MEDIAN(MOD(P468,1),HFer,HOuv),HOuv))*24,4)))/HJour,4),""))</f>
        <v/>
      </c>
      <c r="AY468" s="36" t="str">
        <f aca="false">IF(OR(AO468&lt;&gt;1,AR468=""),"",INDEX(SLA_PEC,AR468))</f>
        <v/>
      </c>
      <c r="AZ468" s="35" t="str">
        <f aca="false">IF(OR(AV468="",AY468=""),"",IF(AV468&lt;=AY468,1,0))</f>
        <v/>
      </c>
      <c r="BA468" s="36" t="str">
        <f aca="false">IF(OR(AO468&lt;&gt;1,AR468=""),"",INDEX(SLA_RES,AR468))</f>
        <v/>
      </c>
      <c r="BB468" s="35" t="str">
        <f aca="false">IF(OR(AW468="",BA468=""),"",IF(AW468&lt;=BA468,1,0))</f>
        <v/>
      </c>
      <c r="BC468" s="38" t="str">
        <f aca="false">IF(OR(BA468="",P468=""),"",WORKDAY(INT(P468),BA468,JoursFeries)+MOD(P468,1))</f>
        <v/>
      </c>
      <c r="BD468" s="39" t="str">
        <f aca="false">IF(AO468&lt;&gt;1,"",IF(OR(AB468&lt;&gt;"",AD468&lt;&gt;""),4,IF(U468&lt;&gt;"",3,IF(T468&lt;&gt;"",2,1))))</f>
        <v/>
      </c>
      <c r="BE468" s="39" t="str">
        <f aca="false">IF(OR(AO468&lt;&gt;1,AR468=""),"",INDEX(NIV_REQ,AR468))</f>
        <v/>
      </c>
      <c r="BF468" s="39" t="str">
        <f aca="false">IF(BE468="","",MAX(BE468,IF(OR(K468="Oui",Z468="Oui"),4,1)))</f>
        <v/>
      </c>
      <c r="BG468" s="35" t="str">
        <f aca="false">IF(OR(BF468="",BD468=""),"",IF(BD468&gt;=BF468,1,0))</f>
        <v/>
      </c>
      <c r="BH468" s="38" t="str">
        <f aca="false">IF(BE468="","",IF(BE468&lt;2,"",IF(BE468=2,IF(AND(T468="",U468=""),"",MIN(T468,U468)),IF(U468="","",U468))))</f>
        <v/>
      </c>
      <c r="BI468" s="37" t="str">
        <f aca="false">IF(BH468="","",IF(OR(O468="",BH468=""),"",IF(BH468&lt;O468,"",ROUND(((NETWORKDAYS(O468,BH468,JoursFeries)-1)*(HFer-HOuv)+IF(NETWORKDAYS(BH468,BH468,JoursFeries),MEDIAN(MOD(BH468,1),HFer,HOuv),HFer)-IF(NETWORKDAYS(O468,O468,JoursFeries),MEDIAN(MOD(O468,1),HFer,HOuv),HOuv))*24,4))))</f>
        <v/>
      </c>
      <c r="BJ468" s="35" t="str">
        <f aca="false">IF(OR(BI468="",AR468=""),"",IF(BI468&lt;=INDEX(DELAI_ESC,AR468),1,0))</f>
        <v/>
      </c>
      <c r="BK468" s="38" t="str">
        <f aca="false">IF(AO468&lt;&gt;1,"",IF(AND(T468="",U468=""),"",MIN(T468,U468)))</f>
        <v/>
      </c>
      <c r="BL468" s="37" t="str">
        <f aca="false">IF(OR(BK468="",R468=""),"",IFERROR(ROUND(IF(OR(BK468="",R468=""),"",IF(R468&lt;BK468,"",ROUND(((NETWORKDAYS(BK468,R468,JoursFeries)-1)*(HFer-HOuv)+IF(NETWORKDAYS(R468,R468,JoursFeries),MEDIAN(MOD(R468,1),HFer,HOuv),HFer)-IF(NETWORKDAYS(BK468,BK468,JoursFeries),MEDIAN(MOD(BK468,1),HFer,HOuv),HOuv))*24,4)))/HJour,4),""))</f>
        <v/>
      </c>
      <c r="BM468" s="35" t="str">
        <f aca="false">IF(OR(AO468&lt;&gt;1,R468=""),"",IF(BD468=1,1,0))</f>
        <v/>
      </c>
      <c r="BN468" s="35" t="str">
        <f aca="false">IF(AO468&lt;&gt;1,"",IF(W468="Oui",1,0))</f>
        <v/>
      </c>
      <c r="BO468" s="35" t="str">
        <f aca="false">IF(AO468&lt;&gt;1,"",IF(X468&lt;&gt;"",1,0))</f>
        <v/>
      </c>
      <c r="BP468" s="35" t="str">
        <f aca="false">IF(AO468&lt;&gt;1,"",IF(Y468="Oui",1,0))</f>
        <v/>
      </c>
      <c r="BQ468" s="35" t="str">
        <f aca="true">IF(OR(AO468&lt;&gt;1,Z468&lt;&gt;"Oui"),"",IF(AB468="",IF(AND(AA468&lt;&gt;"",NOW()&gt;AA468),0,""),IF(AA468="","",IF(AB468&lt;=AA468,1,0))))</f>
        <v/>
      </c>
      <c r="BR468" s="38" t="str">
        <f aca="false">IF(OR(AO468&lt;&gt;1,K468&lt;&gt;"Oui",O468=""),"",IF(AC468="",O468+DORA_H_DET/24,IF(AC468-O468&lt;=DORA_H_DET/24,MIN(AC468+DORA_H_CLA/24,O468+DORA_H_DET/24),AC468+DORA_H_CLA/24)))</f>
        <v/>
      </c>
      <c r="BS468" s="35" t="str">
        <f aca="true">IF(BR468="","",IF(AD468="",IF(NOW()&gt;BR468,0,""),IF(AD468&lt;=BR468,1,0)))</f>
        <v/>
      </c>
      <c r="BT468" s="35" t="str">
        <f aca="true">IF(OR(BR468="",AD468=""),"",IF(AE468="",IF(NOW()&gt;AD468+DORA_H_INT/24,0,""),IF(AE468&lt;=AD468+DORA_H_INT/24,1,0)))</f>
        <v/>
      </c>
      <c r="BU468" s="35" t="str">
        <f aca="true">IF(OR(BR468="",AE468=""),"",IF(AF468="",IF(NOW()&gt;EDATE(AE468,DORA_M_FIN)+1,0,""),IF(AF468&lt;=EDATE(AE468,DORA_M_FIN),1,0)))</f>
        <v/>
      </c>
      <c r="BV468" s="35" t="str">
        <f aca="false">IF(BR468="","",IF(COUNT(BS468:BU468)=0,"",MIN(BS468:BU468)))</f>
        <v/>
      </c>
      <c r="BW468" s="40" t="str">
        <f aca="false">IF(AQ468&lt;&gt;1,"",IF(AND(AG468="",AH468=""),"",N(AG468)-N(AH468)))</f>
        <v/>
      </c>
      <c r="BX468" s="35" t="str">
        <f aca="true">IF(OR(AQ468&lt;&gt;1,AI468&lt;&gt;"Oui",AJ468=""),"",IF(AK468="",IF(NOW()&gt;AJ468+1,0,""),IF(AK468&lt;=AJ468,1,0)))</f>
        <v/>
      </c>
    </row>
    <row r="469" customFormat="false" ht="15" hidden="false" customHeight="false" outlineLevel="0" collapsed="false">
      <c r="B469" s="29"/>
      <c r="C469" s="29"/>
      <c r="D469" s="29"/>
      <c r="E469" s="29"/>
      <c r="F469" s="29"/>
      <c r="G469" s="29"/>
      <c r="H469" s="29"/>
      <c r="I469" s="29"/>
      <c r="J469" s="29"/>
      <c r="K469" s="29"/>
      <c r="L469" s="29"/>
      <c r="M469" s="29"/>
      <c r="N469" s="30"/>
      <c r="O469" s="30"/>
      <c r="P469" s="30"/>
      <c r="Q469" s="30"/>
      <c r="R469" s="30"/>
      <c r="S469" s="30"/>
      <c r="T469" s="30"/>
      <c r="U469" s="30"/>
      <c r="V469" s="31"/>
      <c r="W469" s="29"/>
      <c r="X469" s="29"/>
      <c r="Y469" s="29"/>
      <c r="Z469" s="29"/>
      <c r="AA469" s="30"/>
      <c r="AB469" s="30"/>
      <c r="AC469" s="30"/>
      <c r="AD469" s="30"/>
      <c r="AE469" s="30"/>
      <c r="AF469" s="32"/>
      <c r="AG469" s="33"/>
      <c r="AH469" s="33"/>
      <c r="AI469" s="29"/>
      <c r="AJ469" s="32"/>
      <c r="AK469" s="32"/>
      <c r="AL469" s="29"/>
      <c r="AN469" s="34" t="str">
        <f aca="false">IF($B469="","",IF(OR(C469="",D469="",E469="",G469="",I469="",J469="",L469="",O469="",P469=""),"Champ obligatoire manquant",IF(OR(AND(N469&lt;&gt;"",N469&gt;O469),O469&gt;P469,AND(Q469&lt;&gt;"",Q469&lt;P469),AND(R469&lt;&gt;"",R469&lt;P469),AND(S469&lt;&gt;"",S469&lt;R469),AND(S469&lt;&gt;"",R469=""),AND(T469&lt;&gt;"",T469&lt;O469),AND(U469&lt;&gt;"",U469&lt;O469)),"Chronologie incohérente",IF(AND(OR(L469="Résolu",L469="Clos"),R469=""),"Date de résolution manquante",IF(AND(L469="Clos",S469=""),"Date de clôture manquante",IF(AND(K469="Oui",AC469=""),"Classification DORA manquante","OK"))))))</f>
        <v/>
      </c>
      <c r="AO469" s="35" t="str">
        <f aca="false">IF($B469="","",IF(AND(C469="Incident",L469&lt;&gt;"Annulé"),1,0))</f>
        <v/>
      </c>
      <c r="AP469" s="35" t="str">
        <f aca="false">IF($B469="","",IF(AND(C469="Quasi-incident",L469&lt;&gt;"Annulé"),1,0))</f>
        <v/>
      </c>
      <c r="AQ469" s="35" t="str">
        <f aca="false">IF($B469="","",AO469+AP469)</f>
        <v/>
      </c>
      <c r="AR469" s="36" t="str">
        <f aca="false">IF(OR($B469="",J469=""),"",IFERROR(VALUE(LEFT(J469,1)),""))</f>
        <v/>
      </c>
      <c r="AS469" s="35" t="str">
        <f aca="false">IF(OR(AO469&lt;&gt;1,G469=""),"",IFERROR(IF(INDEX(L_SrcInterne,MATCH(G469,L_Sources,0))="Oui",1,0),""))</f>
        <v/>
      </c>
      <c r="AT469" s="37" t="str">
        <f aca="false">IF(AO469&lt;&gt;1,"",IFERROR(ROUND(IF(OR(N469="",O469=""),"",IF(O469&lt;N469,"",ROUND(((NETWORKDAYS(N469,O469,JoursFeries)-1)*(HFer-HOuv)+IF(NETWORKDAYS(O469,O469,JoursFeries),MEDIAN(MOD(O469,1),HFer,HOuv),HFer)-IF(NETWORKDAYS(N469,N469,JoursFeries),MEDIAN(MOD(N469,1),HFer,HOuv),HOuv))*24,4)))/HJour,4),""))</f>
        <v/>
      </c>
      <c r="AU469" s="37" t="str">
        <f aca="false">IF(AO469&lt;&gt;1,"",IF(OR(O469="",P469=""),"",IF(P469&lt;O469,"",ROUND(((NETWORKDAYS(O469,P469,JoursFeries)-1)*(HFer-HOuv)+IF(NETWORKDAYS(P469,P469,JoursFeries),MEDIAN(MOD(P469,1),HFer,HOuv),HFer)-IF(NETWORKDAYS(O469,O469,JoursFeries),MEDIAN(MOD(O469,1),HFer,HOuv),HOuv))*24,4))))</f>
        <v/>
      </c>
      <c r="AV469" s="37" t="str">
        <f aca="false">IF(AO469&lt;&gt;1,"",IF(OR(P469="",Q469=""),"",IF(Q469&lt;P469,"",ROUND(((NETWORKDAYS(P469,Q469,JoursFeries)-1)*(HFer-HOuv)+IF(NETWORKDAYS(Q469,Q469,JoursFeries),MEDIAN(MOD(Q469,1),HFer,HOuv),HFer)-IF(NETWORKDAYS(P469,P469,JoursFeries),MEDIAN(MOD(P469,1),HFer,HOuv),HOuv))*24,4))))</f>
        <v/>
      </c>
      <c r="AW469" s="37" t="str">
        <f aca="false">IF(AO469&lt;&gt;1,"",IFERROR(ROUND(IF(OR(P469="",R469=""),"",IF(R469&lt;P469,"",ROUND(((NETWORKDAYS(P469,R469,JoursFeries)-1)*(HFer-HOuv)+IF(NETWORKDAYS(R469,R469,JoursFeries),MEDIAN(MOD(R469,1),HFer,HOuv),HFer)-IF(NETWORKDAYS(P469,P469,JoursFeries),MEDIAN(MOD(P469,1),HFer,HOuv),HOuv))*24,4)))/HJour,4),""))</f>
        <v/>
      </c>
      <c r="AX469" s="37" t="str">
        <f aca="false">IF(AO469&lt;&gt;1,"",IFERROR(ROUND(IF(OR(P469="",S469=""),"",IF(S469&lt;P469,"",ROUND(((NETWORKDAYS(P469,S469,JoursFeries)-1)*(HFer-HOuv)+IF(NETWORKDAYS(S469,S469,JoursFeries),MEDIAN(MOD(S469,1),HFer,HOuv),HFer)-IF(NETWORKDAYS(P469,P469,JoursFeries),MEDIAN(MOD(P469,1),HFer,HOuv),HOuv))*24,4)))/HJour,4),""))</f>
        <v/>
      </c>
      <c r="AY469" s="36" t="str">
        <f aca="false">IF(OR(AO469&lt;&gt;1,AR469=""),"",INDEX(SLA_PEC,AR469))</f>
        <v/>
      </c>
      <c r="AZ469" s="35" t="str">
        <f aca="false">IF(OR(AV469="",AY469=""),"",IF(AV469&lt;=AY469,1,0))</f>
        <v/>
      </c>
      <c r="BA469" s="36" t="str">
        <f aca="false">IF(OR(AO469&lt;&gt;1,AR469=""),"",INDEX(SLA_RES,AR469))</f>
        <v/>
      </c>
      <c r="BB469" s="35" t="str">
        <f aca="false">IF(OR(AW469="",BA469=""),"",IF(AW469&lt;=BA469,1,0))</f>
        <v/>
      </c>
      <c r="BC469" s="38" t="str">
        <f aca="false">IF(OR(BA469="",P469=""),"",WORKDAY(INT(P469),BA469,JoursFeries)+MOD(P469,1))</f>
        <v/>
      </c>
      <c r="BD469" s="39" t="str">
        <f aca="false">IF(AO469&lt;&gt;1,"",IF(OR(AB469&lt;&gt;"",AD469&lt;&gt;""),4,IF(U469&lt;&gt;"",3,IF(T469&lt;&gt;"",2,1))))</f>
        <v/>
      </c>
      <c r="BE469" s="39" t="str">
        <f aca="false">IF(OR(AO469&lt;&gt;1,AR469=""),"",INDEX(NIV_REQ,AR469))</f>
        <v/>
      </c>
      <c r="BF469" s="39" t="str">
        <f aca="false">IF(BE469="","",MAX(BE469,IF(OR(K469="Oui",Z469="Oui"),4,1)))</f>
        <v/>
      </c>
      <c r="BG469" s="35" t="str">
        <f aca="false">IF(OR(BF469="",BD469=""),"",IF(BD469&gt;=BF469,1,0))</f>
        <v/>
      </c>
      <c r="BH469" s="38" t="str">
        <f aca="false">IF(BE469="","",IF(BE469&lt;2,"",IF(BE469=2,IF(AND(T469="",U469=""),"",MIN(T469,U469)),IF(U469="","",U469))))</f>
        <v/>
      </c>
      <c r="BI469" s="37" t="str">
        <f aca="false">IF(BH469="","",IF(OR(O469="",BH469=""),"",IF(BH469&lt;O469,"",ROUND(((NETWORKDAYS(O469,BH469,JoursFeries)-1)*(HFer-HOuv)+IF(NETWORKDAYS(BH469,BH469,JoursFeries),MEDIAN(MOD(BH469,1),HFer,HOuv),HFer)-IF(NETWORKDAYS(O469,O469,JoursFeries),MEDIAN(MOD(O469,1),HFer,HOuv),HOuv))*24,4))))</f>
        <v/>
      </c>
      <c r="BJ469" s="35" t="str">
        <f aca="false">IF(OR(BI469="",AR469=""),"",IF(BI469&lt;=INDEX(DELAI_ESC,AR469),1,0))</f>
        <v/>
      </c>
      <c r="BK469" s="38" t="str">
        <f aca="false">IF(AO469&lt;&gt;1,"",IF(AND(T469="",U469=""),"",MIN(T469,U469)))</f>
        <v/>
      </c>
      <c r="BL469" s="37" t="str">
        <f aca="false">IF(OR(BK469="",R469=""),"",IFERROR(ROUND(IF(OR(BK469="",R469=""),"",IF(R469&lt;BK469,"",ROUND(((NETWORKDAYS(BK469,R469,JoursFeries)-1)*(HFer-HOuv)+IF(NETWORKDAYS(R469,R469,JoursFeries),MEDIAN(MOD(R469,1),HFer,HOuv),HFer)-IF(NETWORKDAYS(BK469,BK469,JoursFeries),MEDIAN(MOD(BK469,1),HFer,HOuv),HOuv))*24,4)))/HJour,4),""))</f>
        <v/>
      </c>
      <c r="BM469" s="35" t="str">
        <f aca="false">IF(OR(AO469&lt;&gt;1,R469=""),"",IF(BD469=1,1,0))</f>
        <v/>
      </c>
      <c r="BN469" s="35" t="str">
        <f aca="false">IF(AO469&lt;&gt;1,"",IF(W469="Oui",1,0))</f>
        <v/>
      </c>
      <c r="BO469" s="35" t="str">
        <f aca="false">IF(AO469&lt;&gt;1,"",IF(X469&lt;&gt;"",1,0))</f>
        <v/>
      </c>
      <c r="BP469" s="35" t="str">
        <f aca="false">IF(AO469&lt;&gt;1,"",IF(Y469="Oui",1,0))</f>
        <v/>
      </c>
      <c r="BQ469" s="35" t="str">
        <f aca="true">IF(OR(AO469&lt;&gt;1,Z469&lt;&gt;"Oui"),"",IF(AB469="",IF(AND(AA469&lt;&gt;"",NOW()&gt;AA469),0,""),IF(AA469="","",IF(AB469&lt;=AA469,1,0))))</f>
        <v/>
      </c>
      <c r="BR469" s="38" t="str">
        <f aca="false">IF(OR(AO469&lt;&gt;1,K469&lt;&gt;"Oui",O469=""),"",IF(AC469="",O469+DORA_H_DET/24,IF(AC469-O469&lt;=DORA_H_DET/24,MIN(AC469+DORA_H_CLA/24,O469+DORA_H_DET/24),AC469+DORA_H_CLA/24)))</f>
        <v/>
      </c>
      <c r="BS469" s="35" t="str">
        <f aca="true">IF(BR469="","",IF(AD469="",IF(NOW()&gt;BR469,0,""),IF(AD469&lt;=BR469,1,0)))</f>
        <v/>
      </c>
      <c r="BT469" s="35" t="str">
        <f aca="true">IF(OR(BR469="",AD469=""),"",IF(AE469="",IF(NOW()&gt;AD469+DORA_H_INT/24,0,""),IF(AE469&lt;=AD469+DORA_H_INT/24,1,0)))</f>
        <v/>
      </c>
      <c r="BU469" s="35" t="str">
        <f aca="true">IF(OR(BR469="",AE469=""),"",IF(AF469="",IF(NOW()&gt;EDATE(AE469,DORA_M_FIN)+1,0,""),IF(AF469&lt;=EDATE(AE469,DORA_M_FIN),1,0)))</f>
        <v/>
      </c>
      <c r="BV469" s="35" t="str">
        <f aca="false">IF(BR469="","",IF(COUNT(BS469:BU469)=0,"",MIN(BS469:BU469)))</f>
        <v/>
      </c>
      <c r="BW469" s="40" t="str">
        <f aca="false">IF(AQ469&lt;&gt;1,"",IF(AND(AG469="",AH469=""),"",N(AG469)-N(AH469)))</f>
        <v/>
      </c>
      <c r="BX469" s="35" t="str">
        <f aca="true">IF(OR(AQ469&lt;&gt;1,AI469&lt;&gt;"Oui",AJ469=""),"",IF(AK469="",IF(NOW()&gt;AJ469+1,0,""),IF(AK469&lt;=AJ469,1,0)))</f>
        <v/>
      </c>
    </row>
    <row r="470" customFormat="false" ht="15" hidden="false" customHeight="false" outlineLevel="0" collapsed="false">
      <c r="B470" s="29"/>
      <c r="C470" s="29"/>
      <c r="D470" s="29"/>
      <c r="E470" s="29"/>
      <c r="F470" s="29"/>
      <c r="G470" s="29"/>
      <c r="H470" s="29"/>
      <c r="I470" s="29"/>
      <c r="J470" s="29"/>
      <c r="K470" s="29"/>
      <c r="L470" s="29"/>
      <c r="M470" s="29"/>
      <c r="N470" s="30"/>
      <c r="O470" s="30"/>
      <c r="P470" s="30"/>
      <c r="Q470" s="30"/>
      <c r="R470" s="30"/>
      <c r="S470" s="30"/>
      <c r="T470" s="30"/>
      <c r="U470" s="30"/>
      <c r="V470" s="31"/>
      <c r="W470" s="29"/>
      <c r="X470" s="29"/>
      <c r="Y470" s="29"/>
      <c r="Z470" s="29"/>
      <c r="AA470" s="30"/>
      <c r="AB470" s="30"/>
      <c r="AC470" s="30"/>
      <c r="AD470" s="30"/>
      <c r="AE470" s="30"/>
      <c r="AF470" s="32"/>
      <c r="AG470" s="33"/>
      <c r="AH470" s="33"/>
      <c r="AI470" s="29"/>
      <c r="AJ470" s="32"/>
      <c r="AK470" s="32"/>
      <c r="AL470" s="29"/>
      <c r="AN470" s="34" t="str">
        <f aca="false">IF($B470="","",IF(OR(C470="",D470="",E470="",G470="",I470="",J470="",L470="",O470="",P470=""),"Champ obligatoire manquant",IF(OR(AND(N470&lt;&gt;"",N470&gt;O470),O470&gt;P470,AND(Q470&lt;&gt;"",Q470&lt;P470),AND(R470&lt;&gt;"",R470&lt;P470),AND(S470&lt;&gt;"",S470&lt;R470),AND(S470&lt;&gt;"",R470=""),AND(T470&lt;&gt;"",T470&lt;O470),AND(U470&lt;&gt;"",U470&lt;O470)),"Chronologie incohérente",IF(AND(OR(L470="Résolu",L470="Clos"),R470=""),"Date de résolution manquante",IF(AND(L470="Clos",S470=""),"Date de clôture manquante",IF(AND(K470="Oui",AC470=""),"Classification DORA manquante","OK"))))))</f>
        <v/>
      </c>
      <c r="AO470" s="35" t="str">
        <f aca="false">IF($B470="","",IF(AND(C470="Incident",L470&lt;&gt;"Annulé"),1,0))</f>
        <v/>
      </c>
      <c r="AP470" s="35" t="str">
        <f aca="false">IF($B470="","",IF(AND(C470="Quasi-incident",L470&lt;&gt;"Annulé"),1,0))</f>
        <v/>
      </c>
      <c r="AQ470" s="35" t="str">
        <f aca="false">IF($B470="","",AO470+AP470)</f>
        <v/>
      </c>
      <c r="AR470" s="36" t="str">
        <f aca="false">IF(OR($B470="",J470=""),"",IFERROR(VALUE(LEFT(J470,1)),""))</f>
        <v/>
      </c>
      <c r="AS470" s="35" t="str">
        <f aca="false">IF(OR(AO470&lt;&gt;1,G470=""),"",IFERROR(IF(INDEX(L_SrcInterne,MATCH(G470,L_Sources,0))="Oui",1,0),""))</f>
        <v/>
      </c>
      <c r="AT470" s="37" t="str">
        <f aca="false">IF(AO470&lt;&gt;1,"",IFERROR(ROUND(IF(OR(N470="",O470=""),"",IF(O470&lt;N470,"",ROUND(((NETWORKDAYS(N470,O470,JoursFeries)-1)*(HFer-HOuv)+IF(NETWORKDAYS(O470,O470,JoursFeries),MEDIAN(MOD(O470,1),HFer,HOuv),HFer)-IF(NETWORKDAYS(N470,N470,JoursFeries),MEDIAN(MOD(N470,1),HFer,HOuv),HOuv))*24,4)))/HJour,4),""))</f>
        <v/>
      </c>
      <c r="AU470" s="37" t="str">
        <f aca="false">IF(AO470&lt;&gt;1,"",IF(OR(O470="",P470=""),"",IF(P470&lt;O470,"",ROUND(((NETWORKDAYS(O470,P470,JoursFeries)-1)*(HFer-HOuv)+IF(NETWORKDAYS(P470,P470,JoursFeries),MEDIAN(MOD(P470,1),HFer,HOuv),HFer)-IF(NETWORKDAYS(O470,O470,JoursFeries),MEDIAN(MOD(O470,1),HFer,HOuv),HOuv))*24,4))))</f>
        <v/>
      </c>
      <c r="AV470" s="37" t="str">
        <f aca="false">IF(AO470&lt;&gt;1,"",IF(OR(P470="",Q470=""),"",IF(Q470&lt;P470,"",ROUND(((NETWORKDAYS(P470,Q470,JoursFeries)-1)*(HFer-HOuv)+IF(NETWORKDAYS(Q470,Q470,JoursFeries),MEDIAN(MOD(Q470,1),HFer,HOuv),HFer)-IF(NETWORKDAYS(P470,P470,JoursFeries),MEDIAN(MOD(P470,1),HFer,HOuv),HOuv))*24,4))))</f>
        <v/>
      </c>
      <c r="AW470" s="37" t="str">
        <f aca="false">IF(AO470&lt;&gt;1,"",IFERROR(ROUND(IF(OR(P470="",R470=""),"",IF(R470&lt;P470,"",ROUND(((NETWORKDAYS(P470,R470,JoursFeries)-1)*(HFer-HOuv)+IF(NETWORKDAYS(R470,R470,JoursFeries),MEDIAN(MOD(R470,1),HFer,HOuv),HFer)-IF(NETWORKDAYS(P470,P470,JoursFeries),MEDIAN(MOD(P470,1),HFer,HOuv),HOuv))*24,4)))/HJour,4),""))</f>
        <v/>
      </c>
      <c r="AX470" s="37" t="str">
        <f aca="false">IF(AO470&lt;&gt;1,"",IFERROR(ROUND(IF(OR(P470="",S470=""),"",IF(S470&lt;P470,"",ROUND(((NETWORKDAYS(P470,S470,JoursFeries)-1)*(HFer-HOuv)+IF(NETWORKDAYS(S470,S470,JoursFeries),MEDIAN(MOD(S470,1),HFer,HOuv),HFer)-IF(NETWORKDAYS(P470,P470,JoursFeries),MEDIAN(MOD(P470,1),HFer,HOuv),HOuv))*24,4)))/HJour,4),""))</f>
        <v/>
      </c>
      <c r="AY470" s="36" t="str">
        <f aca="false">IF(OR(AO470&lt;&gt;1,AR470=""),"",INDEX(SLA_PEC,AR470))</f>
        <v/>
      </c>
      <c r="AZ470" s="35" t="str">
        <f aca="false">IF(OR(AV470="",AY470=""),"",IF(AV470&lt;=AY470,1,0))</f>
        <v/>
      </c>
      <c r="BA470" s="36" t="str">
        <f aca="false">IF(OR(AO470&lt;&gt;1,AR470=""),"",INDEX(SLA_RES,AR470))</f>
        <v/>
      </c>
      <c r="BB470" s="35" t="str">
        <f aca="false">IF(OR(AW470="",BA470=""),"",IF(AW470&lt;=BA470,1,0))</f>
        <v/>
      </c>
      <c r="BC470" s="38" t="str">
        <f aca="false">IF(OR(BA470="",P470=""),"",WORKDAY(INT(P470),BA470,JoursFeries)+MOD(P470,1))</f>
        <v/>
      </c>
      <c r="BD470" s="39" t="str">
        <f aca="false">IF(AO470&lt;&gt;1,"",IF(OR(AB470&lt;&gt;"",AD470&lt;&gt;""),4,IF(U470&lt;&gt;"",3,IF(T470&lt;&gt;"",2,1))))</f>
        <v/>
      </c>
      <c r="BE470" s="39" t="str">
        <f aca="false">IF(OR(AO470&lt;&gt;1,AR470=""),"",INDEX(NIV_REQ,AR470))</f>
        <v/>
      </c>
      <c r="BF470" s="39" t="str">
        <f aca="false">IF(BE470="","",MAX(BE470,IF(OR(K470="Oui",Z470="Oui"),4,1)))</f>
        <v/>
      </c>
      <c r="BG470" s="35" t="str">
        <f aca="false">IF(OR(BF470="",BD470=""),"",IF(BD470&gt;=BF470,1,0))</f>
        <v/>
      </c>
      <c r="BH470" s="38" t="str">
        <f aca="false">IF(BE470="","",IF(BE470&lt;2,"",IF(BE470=2,IF(AND(T470="",U470=""),"",MIN(T470,U470)),IF(U470="","",U470))))</f>
        <v/>
      </c>
      <c r="BI470" s="37" t="str">
        <f aca="false">IF(BH470="","",IF(OR(O470="",BH470=""),"",IF(BH470&lt;O470,"",ROUND(((NETWORKDAYS(O470,BH470,JoursFeries)-1)*(HFer-HOuv)+IF(NETWORKDAYS(BH470,BH470,JoursFeries),MEDIAN(MOD(BH470,1),HFer,HOuv),HFer)-IF(NETWORKDAYS(O470,O470,JoursFeries),MEDIAN(MOD(O470,1),HFer,HOuv),HOuv))*24,4))))</f>
        <v/>
      </c>
      <c r="BJ470" s="35" t="str">
        <f aca="false">IF(OR(BI470="",AR470=""),"",IF(BI470&lt;=INDEX(DELAI_ESC,AR470),1,0))</f>
        <v/>
      </c>
      <c r="BK470" s="38" t="str">
        <f aca="false">IF(AO470&lt;&gt;1,"",IF(AND(T470="",U470=""),"",MIN(T470,U470)))</f>
        <v/>
      </c>
      <c r="BL470" s="37" t="str">
        <f aca="false">IF(OR(BK470="",R470=""),"",IFERROR(ROUND(IF(OR(BK470="",R470=""),"",IF(R470&lt;BK470,"",ROUND(((NETWORKDAYS(BK470,R470,JoursFeries)-1)*(HFer-HOuv)+IF(NETWORKDAYS(R470,R470,JoursFeries),MEDIAN(MOD(R470,1),HFer,HOuv),HFer)-IF(NETWORKDAYS(BK470,BK470,JoursFeries),MEDIAN(MOD(BK470,1),HFer,HOuv),HOuv))*24,4)))/HJour,4),""))</f>
        <v/>
      </c>
      <c r="BM470" s="35" t="str">
        <f aca="false">IF(OR(AO470&lt;&gt;1,R470=""),"",IF(BD470=1,1,0))</f>
        <v/>
      </c>
      <c r="BN470" s="35" t="str">
        <f aca="false">IF(AO470&lt;&gt;1,"",IF(W470="Oui",1,0))</f>
        <v/>
      </c>
      <c r="BO470" s="35" t="str">
        <f aca="false">IF(AO470&lt;&gt;1,"",IF(X470&lt;&gt;"",1,0))</f>
        <v/>
      </c>
      <c r="BP470" s="35" t="str">
        <f aca="false">IF(AO470&lt;&gt;1,"",IF(Y470="Oui",1,0))</f>
        <v/>
      </c>
      <c r="BQ470" s="35" t="str">
        <f aca="true">IF(OR(AO470&lt;&gt;1,Z470&lt;&gt;"Oui"),"",IF(AB470="",IF(AND(AA470&lt;&gt;"",NOW()&gt;AA470),0,""),IF(AA470="","",IF(AB470&lt;=AA470,1,0))))</f>
        <v/>
      </c>
      <c r="BR470" s="38" t="str">
        <f aca="false">IF(OR(AO470&lt;&gt;1,K470&lt;&gt;"Oui",O470=""),"",IF(AC470="",O470+DORA_H_DET/24,IF(AC470-O470&lt;=DORA_H_DET/24,MIN(AC470+DORA_H_CLA/24,O470+DORA_H_DET/24),AC470+DORA_H_CLA/24)))</f>
        <v/>
      </c>
      <c r="BS470" s="35" t="str">
        <f aca="true">IF(BR470="","",IF(AD470="",IF(NOW()&gt;BR470,0,""),IF(AD470&lt;=BR470,1,0)))</f>
        <v/>
      </c>
      <c r="BT470" s="35" t="str">
        <f aca="true">IF(OR(BR470="",AD470=""),"",IF(AE470="",IF(NOW()&gt;AD470+DORA_H_INT/24,0,""),IF(AE470&lt;=AD470+DORA_H_INT/24,1,0)))</f>
        <v/>
      </c>
      <c r="BU470" s="35" t="str">
        <f aca="true">IF(OR(BR470="",AE470=""),"",IF(AF470="",IF(NOW()&gt;EDATE(AE470,DORA_M_FIN)+1,0,""),IF(AF470&lt;=EDATE(AE470,DORA_M_FIN),1,0)))</f>
        <v/>
      </c>
      <c r="BV470" s="35" t="str">
        <f aca="false">IF(BR470="","",IF(COUNT(BS470:BU470)=0,"",MIN(BS470:BU470)))</f>
        <v/>
      </c>
      <c r="BW470" s="40" t="str">
        <f aca="false">IF(AQ470&lt;&gt;1,"",IF(AND(AG470="",AH470=""),"",N(AG470)-N(AH470)))</f>
        <v/>
      </c>
      <c r="BX470" s="35" t="str">
        <f aca="true">IF(OR(AQ470&lt;&gt;1,AI470&lt;&gt;"Oui",AJ470=""),"",IF(AK470="",IF(NOW()&gt;AJ470+1,0,""),IF(AK470&lt;=AJ470,1,0)))</f>
        <v/>
      </c>
    </row>
    <row r="471" customFormat="false" ht="15" hidden="false" customHeight="false" outlineLevel="0" collapsed="false">
      <c r="B471" s="29"/>
      <c r="C471" s="29"/>
      <c r="D471" s="29"/>
      <c r="E471" s="29"/>
      <c r="F471" s="29"/>
      <c r="G471" s="29"/>
      <c r="H471" s="29"/>
      <c r="I471" s="29"/>
      <c r="J471" s="29"/>
      <c r="K471" s="29"/>
      <c r="L471" s="29"/>
      <c r="M471" s="29"/>
      <c r="N471" s="30"/>
      <c r="O471" s="30"/>
      <c r="P471" s="30"/>
      <c r="Q471" s="30"/>
      <c r="R471" s="30"/>
      <c r="S471" s="30"/>
      <c r="T471" s="30"/>
      <c r="U471" s="30"/>
      <c r="V471" s="31"/>
      <c r="W471" s="29"/>
      <c r="X471" s="29"/>
      <c r="Y471" s="29"/>
      <c r="Z471" s="29"/>
      <c r="AA471" s="30"/>
      <c r="AB471" s="30"/>
      <c r="AC471" s="30"/>
      <c r="AD471" s="30"/>
      <c r="AE471" s="30"/>
      <c r="AF471" s="32"/>
      <c r="AG471" s="33"/>
      <c r="AH471" s="33"/>
      <c r="AI471" s="29"/>
      <c r="AJ471" s="32"/>
      <c r="AK471" s="32"/>
      <c r="AL471" s="29"/>
      <c r="AN471" s="34" t="str">
        <f aca="false">IF($B471="","",IF(OR(C471="",D471="",E471="",G471="",I471="",J471="",L471="",O471="",P471=""),"Champ obligatoire manquant",IF(OR(AND(N471&lt;&gt;"",N471&gt;O471),O471&gt;P471,AND(Q471&lt;&gt;"",Q471&lt;P471),AND(R471&lt;&gt;"",R471&lt;P471),AND(S471&lt;&gt;"",S471&lt;R471),AND(S471&lt;&gt;"",R471=""),AND(T471&lt;&gt;"",T471&lt;O471),AND(U471&lt;&gt;"",U471&lt;O471)),"Chronologie incohérente",IF(AND(OR(L471="Résolu",L471="Clos"),R471=""),"Date de résolution manquante",IF(AND(L471="Clos",S471=""),"Date de clôture manquante",IF(AND(K471="Oui",AC471=""),"Classification DORA manquante","OK"))))))</f>
        <v/>
      </c>
      <c r="AO471" s="35" t="str">
        <f aca="false">IF($B471="","",IF(AND(C471="Incident",L471&lt;&gt;"Annulé"),1,0))</f>
        <v/>
      </c>
      <c r="AP471" s="35" t="str">
        <f aca="false">IF($B471="","",IF(AND(C471="Quasi-incident",L471&lt;&gt;"Annulé"),1,0))</f>
        <v/>
      </c>
      <c r="AQ471" s="35" t="str">
        <f aca="false">IF($B471="","",AO471+AP471)</f>
        <v/>
      </c>
      <c r="AR471" s="36" t="str">
        <f aca="false">IF(OR($B471="",J471=""),"",IFERROR(VALUE(LEFT(J471,1)),""))</f>
        <v/>
      </c>
      <c r="AS471" s="35" t="str">
        <f aca="false">IF(OR(AO471&lt;&gt;1,G471=""),"",IFERROR(IF(INDEX(L_SrcInterne,MATCH(G471,L_Sources,0))="Oui",1,0),""))</f>
        <v/>
      </c>
      <c r="AT471" s="37" t="str">
        <f aca="false">IF(AO471&lt;&gt;1,"",IFERROR(ROUND(IF(OR(N471="",O471=""),"",IF(O471&lt;N471,"",ROUND(((NETWORKDAYS(N471,O471,JoursFeries)-1)*(HFer-HOuv)+IF(NETWORKDAYS(O471,O471,JoursFeries),MEDIAN(MOD(O471,1),HFer,HOuv),HFer)-IF(NETWORKDAYS(N471,N471,JoursFeries),MEDIAN(MOD(N471,1),HFer,HOuv),HOuv))*24,4)))/HJour,4),""))</f>
        <v/>
      </c>
      <c r="AU471" s="37" t="str">
        <f aca="false">IF(AO471&lt;&gt;1,"",IF(OR(O471="",P471=""),"",IF(P471&lt;O471,"",ROUND(((NETWORKDAYS(O471,P471,JoursFeries)-1)*(HFer-HOuv)+IF(NETWORKDAYS(P471,P471,JoursFeries),MEDIAN(MOD(P471,1),HFer,HOuv),HFer)-IF(NETWORKDAYS(O471,O471,JoursFeries),MEDIAN(MOD(O471,1),HFer,HOuv),HOuv))*24,4))))</f>
        <v/>
      </c>
      <c r="AV471" s="37" t="str">
        <f aca="false">IF(AO471&lt;&gt;1,"",IF(OR(P471="",Q471=""),"",IF(Q471&lt;P471,"",ROUND(((NETWORKDAYS(P471,Q471,JoursFeries)-1)*(HFer-HOuv)+IF(NETWORKDAYS(Q471,Q471,JoursFeries),MEDIAN(MOD(Q471,1),HFer,HOuv),HFer)-IF(NETWORKDAYS(P471,P471,JoursFeries),MEDIAN(MOD(P471,1),HFer,HOuv),HOuv))*24,4))))</f>
        <v/>
      </c>
      <c r="AW471" s="37" t="str">
        <f aca="false">IF(AO471&lt;&gt;1,"",IFERROR(ROUND(IF(OR(P471="",R471=""),"",IF(R471&lt;P471,"",ROUND(((NETWORKDAYS(P471,R471,JoursFeries)-1)*(HFer-HOuv)+IF(NETWORKDAYS(R471,R471,JoursFeries),MEDIAN(MOD(R471,1),HFer,HOuv),HFer)-IF(NETWORKDAYS(P471,P471,JoursFeries),MEDIAN(MOD(P471,1),HFer,HOuv),HOuv))*24,4)))/HJour,4),""))</f>
        <v/>
      </c>
      <c r="AX471" s="37" t="str">
        <f aca="false">IF(AO471&lt;&gt;1,"",IFERROR(ROUND(IF(OR(P471="",S471=""),"",IF(S471&lt;P471,"",ROUND(((NETWORKDAYS(P471,S471,JoursFeries)-1)*(HFer-HOuv)+IF(NETWORKDAYS(S471,S471,JoursFeries),MEDIAN(MOD(S471,1),HFer,HOuv),HFer)-IF(NETWORKDAYS(P471,P471,JoursFeries),MEDIAN(MOD(P471,1),HFer,HOuv),HOuv))*24,4)))/HJour,4),""))</f>
        <v/>
      </c>
      <c r="AY471" s="36" t="str">
        <f aca="false">IF(OR(AO471&lt;&gt;1,AR471=""),"",INDEX(SLA_PEC,AR471))</f>
        <v/>
      </c>
      <c r="AZ471" s="35" t="str">
        <f aca="false">IF(OR(AV471="",AY471=""),"",IF(AV471&lt;=AY471,1,0))</f>
        <v/>
      </c>
      <c r="BA471" s="36" t="str">
        <f aca="false">IF(OR(AO471&lt;&gt;1,AR471=""),"",INDEX(SLA_RES,AR471))</f>
        <v/>
      </c>
      <c r="BB471" s="35" t="str">
        <f aca="false">IF(OR(AW471="",BA471=""),"",IF(AW471&lt;=BA471,1,0))</f>
        <v/>
      </c>
      <c r="BC471" s="38" t="str">
        <f aca="false">IF(OR(BA471="",P471=""),"",WORKDAY(INT(P471),BA471,JoursFeries)+MOD(P471,1))</f>
        <v/>
      </c>
      <c r="BD471" s="39" t="str">
        <f aca="false">IF(AO471&lt;&gt;1,"",IF(OR(AB471&lt;&gt;"",AD471&lt;&gt;""),4,IF(U471&lt;&gt;"",3,IF(T471&lt;&gt;"",2,1))))</f>
        <v/>
      </c>
      <c r="BE471" s="39" t="str">
        <f aca="false">IF(OR(AO471&lt;&gt;1,AR471=""),"",INDEX(NIV_REQ,AR471))</f>
        <v/>
      </c>
      <c r="BF471" s="39" t="str">
        <f aca="false">IF(BE471="","",MAX(BE471,IF(OR(K471="Oui",Z471="Oui"),4,1)))</f>
        <v/>
      </c>
      <c r="BG471" s="35" t="str">
        <f aca="false">IF(OR(BF471="",BD471=""),"",IF(BD471&gt;=BF471,1,0))</f>
        <v/>
      </c>
      <c r="BH471" s="38" t="str">
        <f aca="false">IF(BE471="","",IF(BE471&lt;2,"",IF(BE471=2,IF(AND(T471="",U471=""),"",MIN(T471,U471)),IF(U471="","",U471))))</f>
        <v/>
      </c>
      <c r="BI471" s="37" t="str">
        <f aca="false">IF(BH471="","",IF(OR(O471="",BH471=""),"",IF(BH471&lt;O471,"",ROUND(((NETWORKDAYS(O471,BH471,JoursFeries)-1)*(HFer-HOuv)+IF(NETWORKDAYS(BH471,BH471,JoursFeries),MEDIAN(MOD(BH471,1),HFer,HOuv),HFer)-IF(NETWORKDAYS(O471,O471,JoursFeries),MEDIAN(MOD(O471,1),HFer,HOuv),HOuv))*24,4))))</f>
        <v/>
      </c>
      <c r="BJ471" s="35" t="str">
        <f aca="false">IF(OR(BI471="",AR471=""),"",IF(BI471&lt;=INDEX(DELAI_ESC,AR471),1,0))</f>
        <v/>
      </c>
      <c r="BK471" s="38" t="str">
        <f aca="false">IF(AO471&lt;&gt;1,"",IF(AND(T471="",U471=""),"",MIN(T471,U471)))</f>
        <v/>
      </c>
      <c r="BL471" s="37" t="str">
        <f aca="false">IF(OR(BK471="",R471=""),"",IFERROR(ROUND(IF(OR(BK471="",R471=""),"",IF(R471&lt;BK471,"",ROUND(((NETWORKDAYS(BK471,R471,JoursFeries)-1)*(HFer-HOuv)+IF(NETWORKDAYS(R471,R471,JoursFeries),MEDIAN(MOD(R471,1),HFer,HOuv),HFer)-IF(NETWORKDAYS(BK471,BK471,JoursFeries),MEDIAN(MOD(BK471,1),HFer,HOuv),HOuv))*24,4)))/HJour,4),""))</f>
        <v/>
      </c>
      <c r="BM471" s="35" t="str">
        <f aca="false">IF(OR(AO471&lt;&gt;1,R471=""),"",IF(BD471=1,1,0))</f>
        <v/>
      </c>
      <c r="BN471" s="35" t="str">
        <f aca="false">IF(AO471&lt;&gt;1,"",IF(W471="Oui",1,0))</f>
        <v/>
      </c>
      <c r="BO471" s="35" t="str">
        <f aca="false">IF(AO471&lt;&gt;1,"",IF(X471&lt;&gt;"",1,0))</f>
        <v/>
      </c>
      <c r="BP471" s="35" t="str">
        <f aca="false">IF(AO471&lt;&gt;1,"",IF(Y471="Oui",1,0))</f>
        <v/>
      </c>
      <c r="BQ471" s="35" t="str">
        <f aca="true">IF(OR(AO471&lt;&gt;1,Z471&lt;&gt;"Oui"),"",IF(AB471="",IF(AND(AA471&lt;&gt;"",NOW()&gt;AA471),0,""),IF(AA471="","",IF(AB471&lt;=AA471,1,0))))</f>
        <v/>
      </c>
      <c r="BR471" s="38" t="str">
        <f aca="false">IF(OR(AO471&lt;&gt;1,K471&lt;&gt;"Oui",O471=""),"",IF(AC471="",O471+DORA_H_DET/24,IF(AC471-O471&lt;=DORA_H_DET/24,MIN(AC471+DORA_H_CLA/24,O471+DORA_H_DET/24),AC471+DORA_H_CLA/24)))</f>
        <v/>
      </c>
      <c r="BS471" s="35" t="str">
        <f aca="true">IF(BR471="","",IF(AD471="",IF(NOW()&gt;BR471,0,""),IF(AD471&lt;=BR471,1,0)))</f>
        <v/>
      </c>
      <c r="BT471" s="35" t="str">
        <f aca="true">IF(OR(BR471="",AD471=""),"",IF(AE471="",IF(NOW()&gt;AD471+DORA_H_INT/24,0,""),IF(AE471&lt;=AD471+DORA_H_INT/24,1,0)))</f>
        <v/>
      </c>
      <c r="BU471" s="35" t="str">
        <f aca="true">IF(OR(BR471="",AE471=""),"",IF(AF471="",IF(NOW()&gt;EDATE(AE471,DORA_M_FIN)+1,0,""),IF(AF471&lt;=EDATE(AE471,DORA_M_FIN),1,0)))</f>
        <v/>
      </c>
      <c r="BV471" s="35" t="str">
        <f aca="false">IF(BR471="","",IF(COUNT(BS471:BU471)=0,"",MIN(BS471:BU471)))</f>
        <v/>
      </c>
      <c r="BW471" s="40" t="str">
        <f aca="false">IF(AQ471&lt;&gt;1,"",IF(AND(AG471="",AH471=""),"",N(AG471)-N(AH471)))</f>
        <v/>
      </c>
      <c r="BX471" s="35" t="str">
        <f aca="true">IF(OR(AQ471&lt;&gt;1,AI471&lt;&gt;"Oui",AJ471=""),"",IF(AK471="",IF(NOW()&gt;AJ471+1,0,""),IF(AK471&lt;=AJ471,1,0)))</f>
        <v/>
      </c>
    </row>
    <row r="472" customFormat="false" ht="15" hidden="false" customHeight="false" outlineLevel="0" collapsed="false">
      <c r="B472" s="29"/>
      <c r="C472" s="29"/>
      <c r="D472" s="29"/>
      <c r="E472" s="29"/>
      <c r="F472" s="29"/>
      <c r="G472" s="29"/>
      <c r="H472" s="29"/>
      <c r="I472" s="29"/>
      <c r="J472" s="29"/>
      <c r="K472" s="29"/>
      <c r="L472" s="29"/>
      <c r="M472" s="29"/>
      <c r="N472" s="30"/>
      <c r="O472" s="30"/>
      <c r="P472" s="30"/>
      <c r="Q472" s="30"/>
      <c r="R472" s="30"/>
      <c r="S472" s="30"/>
      <c r="T472" s="30"/>
      <c r="U472" s="30"/>
      <c r="V472" s="31"/>
      <c r="W472" s="29"/>
      <c r="X472" s="29"/>
      <c r="Y472" s="29"/>
      <c r="Z472" s="29"/>
      <c r="AA472" s="30"/>
      <c r="AB472" s="30"/>
      <c r="AC472" s="30"/>
      <c r="AD472" s="30"/>
      <c r="AE472" s="30"/>
      <c r="AF472" s="32"/>
      <c r="AG472" s="33"/>
      <c r="AH472" s="33"/>
      <c r="AI472" s="29"/>
      <c r="AJ472" s="32"/>
      <c r="AK472" s="32"/>
      <c r="AL472" s="29"/>
      <c r="AN472" s="34" t="str">
        <f aca="false">IF($B472="","",IF(OR(C472="",D472="",E472="",G472="",I472="",J472="",L472="",O472="",P472=""),"Champ obligatoire manquant",IF(OR(AND(N472&lt;&gt;"",N472&gt;O472),O472&gt;P472,AND(Q472&lt;&gt;"",Q472&lt;P472),AND(R472&lt;&gt;"",R472&lt;P472),AND(S472&lt;&gt;"",S472&lt;R472),AND(S472&lt;&gt;"",R472=""),AND(T472&lt;&gt;"",T472&lt;O472),AND(U472&lt;&gt;"",U472&lt;O472)),"Chronologie incohérente",IF(AND(OR(L472="Résolu",L472="Clos"),R472=""),"Date de résolution manquante",IF(AND(L472="Clos",S472=""),"Date de clôture manquante",IF(AND(K472="Oui",AC472=""),"Classification DORA manquante","OK"))))))</f>
        <v/>
      </c>
      <c r="AO472" s="35" t="str">
        <f aca="false">IF($B472="","",IF(AND(C472="Incident",L472&lt;&gt;"Annulé"),1,0))</f>
        <v/>
      </c>
      <c r="AP472" s="35" t="str">
        <f aca="false">IF($B472="","",IF(AND(C472="Quasi-incident",L472&lt;&gt;"Annulé"),1,0))</f>
        <v/>
      </c>
      <c r="AQ472" s="35" t="str">
        <f aca="false">IF($B472="","",AO472+AP472)</f>
        <v/>
      </c>
      <c r="AR472" s="36" t="str">
        <f aca="false">IF(OR($B472="",J472=""),"",IFERROR(VALUE(LEFT(J472,1)),""))</f>
        <v/>
      </c>
      <c r="AS472" s="35" t="str">
        <f aca="false">IF(OR(AO472&lt;&gt;1,G472=""),"",IFERROR(IF(INDEX(L_SrcInterne,MATCH(G472,L_Sources,0))="Oui",1,0),""))</f>
        <v/>
      </c>
      <c r="AT472" s="37" t="str">
        <f aca="false">IF(AO472&lt;&gt;1,"",IFERROR(ROUND(IF(OR(N472="",O472=""),"",IF(O472&lt;N472,"",ROUND(((NETWORKDAYS(N472,O472,JoursFeries)-1)*(HFer-HOuv)+IF(NETWORKDAYS(O472,O472,JoursFeries),MEDIAN(MOD(O472,1),HFer,HOuv),HFer)-IF(NETWORKDAYS(N472,N472,JoursFeries),MEDIAN(MOD(N472,1),HFer,HOuv),HOuv))*24,4)))/HJour,4),""))</f>
        <v/>
      </c>
      <c r="AU472" s="37" t="str">
        <f aca="false">IF(AO472&lt;&gt;1,"",IF(OR(O472="",P472=""),"",IF(P472&lt;O472,"",ROUND(((NETWORKDAYS(O472,P472,JoursFeries)-1)*(HFer-HOuv)+IF(NETWORKDAYS(P472,P472,JoursFeries),MEDIAN(MOD(P472,1),HFer,HOuv),HFer)-IF(NETWORKDAYS(O472,O472,JoursFeries),MEDIAN(MOD(O472,1),HFer,HOuv),HOuv))*24,4))))</f>
        <v/>
      </c>
      <c r="AV472" s="37" t="str">
        <f aca="false">IF(AO472&lt;&gt;1,"",IF(OR(P472="",Q472=""),"",IF(Q472&lt;P472,"",ROUND(((NETWORKDAYS(P472,Q472,JoursFeries)-1)*(HFer-HOuv)+IF(NETWORKDAYS(Q472,Q472,JoursFeries),MEDIAN(MOD(Q472,1),HFer,HOuv),HFer)-IF(NETWORKDAYS(P472,P472,JoursFeries),MEDIAN(MOD(P472,1),HFer,HOuv),HOuv))*24,4))))</f>
        <v/>
      </c>
      <c r="AW472" s="37" t="str">
        <f aca="false">IF(AO472&lt;&gt;1,"",IFERROR(ROUND(IF(OR(P472="",R472=""),"",IF(R472&lt;P472,"",ROUND(((NETWORKDAYS(P472,R472,JoursFeries)-1)*(HFer-HOuv)+IF(NETWORKDAYS(R472,R472,JoursFeries),MEDIAN(MOD(R472,1),HFer,HOuv),HFer)-IF(NETWORKDAYS(P472,P472,JoursFeries),MEDIAN(MOD(P472,1),HFer,HOuv),HOuv))*24,4)))/HJour,4),""))</f>
        <v/>
      </c>
      <c r="AX472" s="37" t="str">
        <f aca="false">IF(AO472&lt;&gt;1,"",IFERROR(ROUND(IF(OR(P472="",S472=""),"",IF(S472&lt;P472,"",ROUND(((NETWORKDAYS(P472,S472,JoursFeries)-1)*(HFer-HOuv)+IF(NETWORKDAYS(S472,S472,JoursFeries),MEDIAN(MOD(S472,1),HFer,HOuv),HFer)-IF(NETWORKDAYS(P472,P472,JoursFeries),MEDIAN(MOD(P472,1),HFer,HOuv),HOuv))*24,4)))/HJour,4),""))</f>
        <v/>
      </c>
      <c r="AY472" s="36" t="str">
        <f aca="false">IF(OR(AO472&lt;&gt;1,AR472=""),"",INDEX(SLA_PEC,AR472))</f>
        <v/>
      </c>
      <c r="AZ472" s="35" t="str">
        <f aca="false">IF(OR(AV472="",AY472=""),"",IF(AV472&lt;=AY472,1,0))</f>
        <v/>
      </c>
      <c r="BA472" s="36" t="str">
        <f aca="false">IF(OR(AO472&lt;&gt;1,AR472=""),"",INDEX(SLA_RES,AR472))</f>
        <v/>
      </c>
      <c r="BB472" s="35" t="str">
        <f aca="false">IF(OR(AW472="",BA472=""),"",IF(AW472&lt;=BA472,1,0))</f>
        <v/>
      </c>
      <c r="BC472" s="38" t="str">
        <f aca="false">IF(OR(BA472="",P472=""),"",WORKDAY(INT(P472),BA472,JoursFeries)+MOD(P472,1))</f>
        <v/>
      </c>
      <c r="BD472" s="39" t="str">
        <f aca="false">IF(AO472&lt;&gt;1,"",IF(OR(AB472&lt;&gt;"",AD472&lt;&gt;""),4,IF(U472&lt;&gt;"",3,IF(T472&lt;&gt;"",2,1))))</f>
        <v/>
      </c>
      <c r="BE472" s="39" t="str">
        <f aca="false">IF(OR(AO472&lt;&gt;1,AR472=""),"",INDEX(NIV_REQ,AR472))</f>
        <v/>
      </c>
      <c r="BF472" s="39" t="str">
        <f aca="false">IF(BE472="","",MAX(BE472,IF(OR(K472="Oui",Z472="Oui"),4,1)))</f>
        <v/>
      </c>
      <c r="BG472" s="35" t="str">
        <f aca="false">IF(OR(BF472="",BD472=""),"",IF(BD472&gt;=BF472,1,0))</f>
        <v/>
      </c>
      <c r="BH472" s="38" t="str">
        <f aca="false">IF(BE472="","",IF(BE472&lt;2,"",IF(BE472=2,IF(AND(T472="",U472=""),"",MIN(T472,U472)),IF(U472="","",U472))))</f>
        <v/>
      </c>
      <c r="BI472" s="37" t="str">
        <f aca="false">IF(BH472="","",IF(OR(O472="",BH472=""),"",IF(BH472&lt;O472,"",ROUND(((NETWORKDAYS(O472,BH472,JoursFeries)-1)*(HFer-HOuv)+IF(NETWORKDAYS(BH472,BH472,JoursFeries),MEDIAN(MOD(BH472,1),HFer,HOuv),HFer)-IF(NETWORKDAYS(O472,O472,JoursFeries),MEDIAN(MOD(O472,1),HFer,HOuv),HOuv))*24,4))))</f>
        <v/>
      </c>
      <c r="BJ472" s="35" t="str">
        <f aca="false">IF(OR(BI472="",AR472=""),"",IF(BI472&lt;=INDEX(DELAI_ESC,AR472),1,0))</f>
        <v/>
      </c>
      <c r="BK472" s="38" t="str">
        <f aca="false">IF(AO472&lt;&gt;1,"",IF(AND(T472="",U472=""),"",MIN(T472,U472)))</f>
        <v/>
      </c>
      <c r="BL472" s="37" t="str">
        <f aca="false">IF(OR(BK472="",R472=""),"",IFERROR(ROUND(IF(OR(BK472="",R472=""),"",IF(R472&lt;BK472,"",ROUND(((NETWORKDAYS(BK472,R472,JoursFeries)-1)*(HFer-HOuv)+IF(NETWORKDAYS(R472,R472,JoursFeries),MEDIAN(MOD(R472,1),HFer,HOuv),HFer)-IF(NETWORKDAYS(BK472,BK472,JoursFeries),MEDIAN(MOD(BK472,1),HFer,HOuv),HOuv))*24,4)))/HJour,4),""))</f>
        <v/>
      </c>
      <c r="BM472" s="35" t="str">
        <f aca="false">IF(OR(AO472&lt;&gt;1,R472=""),"",IF(BD472=1,1,0))</f>
        <v/>
      </c>
      <c r="BN472" s="35" t="str">
        <f aca="false">IF(AO472&lt;&gt;1,"",IF(W472="Oui",1,0))</f>
        <v/>
      </c>
      <c r="BO472" s="35" t="str">
        <f aca="false">IF(AO472&lt;&gt;1,"",IF(X472&lt;&gt;"",1,0))</f>
        <v/>
      </c>
      <c r="BP472" s="35" t="str">
        <f aca="false">IF(AO472&lt;&gt;1,"",IF(Y472="Oui",1,0))</f>
        <v/>
      </c>
      <c r="BQ472" s="35" t="str">
        <f aca="true">IF(OR(AO472&lt;&gt;1,Z472&lt;&gt;"Oui"),"",IF(AB472="",IF(AND(AA472&lt;&gt;"",NOW()&gt;AA472),0,""),IF(AA472="","",IF(AB472&lt;=AA472,1,0))))</f>
        <v/>
      </c>
      <c r="BR472" s="38" t="str">
        <f aca="false">IF(OR(AO472&lt;&gt;1,K472&lt;&gt;"Oui",O472=""),"",IF(AC472="",O472+DORA_H_DET/24,IF(AC472-O472&lt;=DORA_H_DET/24,MIN(AC472+DORA_H_CLA/24,O472+DORA_H_DET/24),AC472+DORA_H_CLA/24)))</f>
        <v/>
      </c>
      <c r="BS472" s="35" t="str">
        <f aca="true">IF(BR472="","",IF(AD472="",IF(NOW()&gt;BR472,0,""),IF(AD472&lt;=BR472,1,0)))</f>
        <v/>
      </c>
      <c r="BT472" s="35" t="str">
        <f aca="true">IF(OR(BR472="",AD472=""),"",IF(AE472="",IF(NOW()&gt;AD472+DORA_H_INT/24,0,""),IF(AE472&lt;=AD472+DORA_H_INT/24,1,0)))</f>
        <v/>
      </c>
      <c r="BU472" s="35" t="str">
        <f aca="true">IF(OR(BR472="",AE472=""),"",IF(AF472="",IF(NOW()&gt;EDATE(AE472,DORA_M_FIN)+1,0,""),IF(AF472&lt;=EDATE(AE472,DORA_M_FIN),1,0)))</f>
        <v/>
      </c>
      <c r="BV472" s="35" t="str">
        <f aca="false">IF(BR472="","",IF(COUNT(BS472:BU472)=0,"",MIN(BS472:BU472)))</f>
        <v/>
      </c>
      <c r="BW472" s="40" t="str">
        <f aca="false">IF(AQ472&lt;&gt;1,"",IF(AND(AG472="",AH472=""),"",N(AG472)-N(AH472)))</f>
        <v/>
      </c>
      <c r="BX472" s="35" t="str">
        <f aca="true">IF(OR(AQ472&lt;&gt;1,AI472&lt;&gt;"Oui",AJ472=""),"",IF(AK472="",IF(NOW()&gt;AJ472+1,0,""),IF(AK472&lt;=AJ472,1,0)))</f>
        <v/>
      </c>
    </row>
    <row r="473" customFormat="false" ht="15" hidden="false" customHeight="false" outlineLevel="0" collapsed="false">
      <c r="B473" s="29"/>
      <c r="C473" s="29"/>
      <c r="D473" s="29"/>
      <c r="E473" s="29"/>
      <c r="F473" s="29"/>
      <c r="G473" s="29"/>
      <c r="H473" s="29"/>
      <c r="I473" s="29"/>
      <c r="J473" s="29"/>
      <c r="K473" s="29"/>
      <c r="L473" s="29"/>
      <c r="M473" s="29"/>
      <c r="N473" s="30"/>
      <c r="O473" s="30"/>
      <c r="P473" s="30"/>
      <c r="Q473" s="30"/>
      <c r="R473" s="30"/>
      <c r="S473" s="30"/>
      <c r="T473" s="30"/>
      <c r="U473" s="30"/>
      <c r="V473" s="31"/>
      <c r="W473" s="29"/>
      <c r="X473" s="29"/>
      <c r="Y473" s="29"/>
      <c r="Z473" s="29"/>
      <c r="AA473" s="30"/>
      <c r="AB473" s="30"/>
      <c r="AC473" s="30"/>
      <c r="AD473" s="30"/>
      <c r="AE473" s="30"/>
      <c r="AF473" s="32"/>
      <c r="AG473" s="33"/>
      <c r="AH473" s="33"/>
      <c r="AI473" s="29"/>
      <c r="AJ473" s="32"/>
      <c r="AK473" s="32"/>
      <c r="AL473" s="29"/>
      <c r="AN473" s="34" t="str">
        <f aca="false">IF($B473="","",IF(OR(C473="",D473="",E473="",G473="",I473="",J473="",L473="",O473="",P473=""),"Champ obligatoire manquant",IF(OR(AND(N473&lt;&gt;"",N473&gt;O473),O473&gt;P473,AND(Q473&lt;&gt;"",Q473&lt;P473),AND(R473&lt;&gt;"",R473&lt;P473),AND(S473&lt;&gt;"",S473&lt;R473),AND(S473&lt;&gt;"",R473=""),AND(T473&lt;&gt;"",T473&lt;O473),AND(U473&lt;&gt;"",U473&lt;O473)),"Chronologie incohérente",IF(AND(OR(L473="Résolu",L473="Clos"),R473=""),"Date de résolution manquante",IF(AND(L473="Clos",S473=""),"Date de clôture manquante",IF(AND(K473="Oui",AC473=""),"Classification DORA manquante","OK"))))))</f>
        <v/>
      </c>
      <c r="AO473" s="35" t="str">
        <f aca="false">IF($B473="","",IF(AND(C473="Incident",L473&lt;&gt;"Annulé"),1,0))</f>
        <v/>
      </c>
      <c r="AP473" s="35" t="str">
        <f aca="false">IF($B473="","",IF(AND(C473="Quasi-incident",L473&lt;&gt;"Annulé"),1,0))</f>
        <v/>
      </c>
      <c r="AQ473" s="35" t="str">
        <f aca="false">IF($B473="","",AO473+AP473)</f>
        <v/>
      </c>
      <c r="AR473" s="36" t="str">
        <f aca="false">IF(OR($B473="",J473=""),"",IFERROR(VALUE(LEFT(J473,1)),""))</f>
        <v/>
      </c>
      <c r="AS473" s="35" t="str">
        <f aca="false">IF(OR(AO473&lt;&gt;1,G473=""),"",IFERROR(IF(INDEX(L_SrcInterne,MATCH(G473,L_Sources,0))="Oui",1,0),""))</f>
        <v/>
      </c>
      <c r="AT473" s="37" t="str">
        <f aca="false">IF(AO473&lt;&gt;1,"",IFERROR(ROUND(IF(OR(N473="",O473=""),"",IF(O473&lt;N473,"",ROUND(((NETWORKDAYS(N473,O473,JoursFeries)-1)*(HFer-HOuv)+IF(NETWORKDAYS(O473,O473,JoursFeries),MEDIAN(MOD(O473,1),HFer,HOuv),HFer)-IF(NETWORKDAYS(N473,N473,JoursFeries),MEDIAN(MOD(N473,1),HFer,HOuv),HOuv))*24,4)))/HJour,4),""))</f>
        <v/>
      </c>
      <c r="AU473" s="37" t="str">
        <f aca="false">IF(AO473&lt;&gt;1,"",IF(OR(O473="",P473=""),"",IF(P473&lt;O473,"",ROUND(((NETWORKDAYS(O473,P473,JoursFeries)-1)*(HFer-HOuv)+IF(NETWORKDAYS(P473,P473,JoursFeries),MEDIAN(MOD(P473,1),HFer,HOuv),HFer)-IF(NETWORKDAYS(O473,O473,JoursFeries),MEDIAN(MOD(O473,1),HFer,HOuv),HOuv))*24,4))))</f>
        <v/>
      </c>
      <c r="AV473" s="37" t="str">
        <f aca="false">IF(AO473&lt;&gt;1,"",IF(OR(P473="",Q473=""),"",IF(Q473&lt;P473,"",ROUND(((NETWORKDAYS(P473,Q473,JoursFeries)-1)*(HFer-HOuv)+IF(NETWORKDAYS(Q473,Q473,JoursFeries),MEDIAN(MOD(Q473,1),HFer,HOuv),HFer)-IF(NETWORKDAYS(P473,P473,JoursFeries),MEDIAN(MOD(P473,1),HFer,HOuv),HOuv))*24,4))))</f>
        <v/>
      </c>
      <c r="AW473" s="37" t="str">
        <f aca="false">IF(AO473&lt;&gt;1,"",IFERROR(ROUND(IF(OR(P473="",R473=""),"",IF(R473&lt;P473,"",ROUND(((NETWORKDAYS(P473,R473,JoursFeries)-1)*(HFer-HOuv)+IF(NETWORKDAYS(R473,R473,JoursFeries),MEDIAN(MOD(R473,1),HFer,HOuv),HFer)-IF(NETWORKDAYS(P473,P473,JoursFeries),MEDIAN(MOD(P473,1),HFer,HOuv),HOuv))*24,4)))/HJour,4),""))</f>
        <v/>
      </c>
      <c r="AX473" s="37" t="str">
        <f aca="false">IF(AO473&lt;&gt;1,"",IFERROR(ROUND(IF(OR(P473="",S473=""),"",IF(S473&lt;P473,"",ROUND(((NETWORKDAYS(P473,S473,JoursFeries)-1)*(HFer-HOuv)+IF(NETWORKDAYS(S473,S473,JoursFeries),MEDIAN(MOD(S473,1),HFer,HOuv),HFer)-IF(NETWORKDAYS(P473,P473,JoursFeries),MEDIAN(MOD(P473,1),HFer,HOuv),HOuv))*24,4)))/HJour,4),""))</f>
        <v/>
      </c>
      <c r="AY473" s="36" t="str">
        <f aca="false">IF(OR(AO473&lt;&gt;1,AR473=""),"",INDEX(SLA_PEC,AR473))</f>
        <v/>
      </c>
      <c r="AZ473" s="35" t="str">
        <f aca="false">IF(OR(AV473="",AY473=""),"",IF(AV473&lt;=AY473,1,0))</f>
        <v/>
      </c>
      <c r="BA473" s="36" t="str">
        <f aca="false">IF(OR(AO473&lt;&gt;1,AR473=""),"",INDEX(SLA_RES,AR473))</f>
        <v/>
      </c>
      <c r="BB473" s="35" t="str">
        <f aca="false">IF(OR(AW473="",BA473=""),"",IF(AW473&lt;=BA473,1,0))</f>
        <v/>
      </c>
      <c r="BC473" s="38" t="str">
        <f aca="false">IF(OR(BA473="",P473=""),"",WORKDAY(INT(P473),BA473,JoursFeries)+MOD(P473,1))</f>
        <v/>
      </c>
      <c r="BD473" s="39" t="str">
        <f aca="false">IF(AO473&lt;&gt;1,"",IF(OR(AB473&lt;&gt;"",AD473&lt;&gt;""),4,IF(U473&lt;&gt;"",3,IF(T473&lt;&gt;"",2,1))))</f>
        <v/>
      </c>
      <c r="BE473" s="39" t="str">
        <f aca="false">IF(OR(AO473&lt;&gt;1,AR473=""),"",INDEX(NIV_REQ,AR473))</f>
        <v/>
      </c>
      <c r="BF473" s="39" t="str">
        <f aca="false">IF(BE473="","",MAX(BE473,IF(OR(K473="Oui",Z473="Oui"),4,1)))</f>
        <v/>
      </c>
      <c r="BG473" s="35" t="str">
        <f aca="false">IF(OR(BF473="",BD473=""),"",IF(BD473&gt;=BF473,1,0))</f>
        <v/>
      </c>
      <c r="BH473" s="38" t="str">
        <f aca="false">IF(BE473="","",IF(BE473&lt;2,"",IF(BE473=2,IF(AND(T473="",U473=""),"",MIN(T473,U473)),IF(U473="","",U473))))</f>
        <v/>
      </c>
      <c r="BI473" s="37" t="str">
        <f aca="false">IF(BH473="","",IF(OR(O473="",BH473=""),"",IF(BH473&lt;O473,"",ROUND(((NETWORKDAYS(O473,BH473,JoursFeries)-1)*(HFer-HOuv)+IF(NETWORKDAYS(BH473,BH473,JoursFeries),MEDIAN(MOD(BH473,1),HFer,HOuv),HFer)-IF(NETWORKDAYS(O473,O473,JoursFeries),MEDIAN(MOD(O473,1),HFer,HOuv),HOuv))*24,4))))</f>
        <v/>
      </c>
      <c r="BJ473" s="35" t="str">
        <f aca="false">IF(OR(BI473="",AR473=""),"",IF(BI473&lt;=INDEX(DELAI_ESC,AR473),1,0))</f>
        <v/>
      </c>
      <c r="BK473" s="38" t="str">
        <f aca="false">IF(AO473&lt;&gt;1,"",IF(AND(T473="",U473=""),"",MIN(T473,U473)))</f>
        <v/>
      </c>
      <c r="BL473" s="37" t="str">
        <f aca="false">IF(OR(BK473="",R473=""),"",IFERROR(ROUND(IF(OR(BK473="",R473=""),"",IF(R473&lt;BK473,"",ROUND(((NETWORKDAYS(BK473,R473,JoursFeries)-1)*(HFer-HOuv)+IF(NETWORKDAYS(R473,R473,JoursFeries),MEDIAN(MOD(R473,1),HFer,HOuv),HFer)-IF(NETWORKDAYS(BK473,BK473,JoursFeries),MEDIAN(MOD(BK473,1),HFer,HOuv),HOuv))*24,4)))/HJour,4),""))</f>
        <v/>
      </c>
      <c r="BM473" s="35" t="str">
        <f aca="false">IF(OR(AO473&lt;&gt;1,R473=""),"",IF(BD473=1,1,0))</f>
        <v/>
      </c>
      <c r="BN473" s="35" t="str">
        <f aca="false">IF(AO473&lt;&gt;1,"",IF(W473="Oui",1,0))</f>
        <v/>
      </c>
      <c r="BO473" s="35" t="str">
        <f aca="false">IF(AO473&lt;&gt;1,"",IF(X473&lt;&gt;"",1,0))</f>
        <v/>
      </c>
      <c r="BP473" s="35" t="str">
        <f aca="false">IF(AO473&lt;&gt;1,"",IF(Y473="Oui",1,0))</f>
        <v/>
      </c>
      <c r="BQ473" s="35" t="str">
        <f aca="true">IF(OR(AO473&lt;&gt;1,Z473&lt;&gt;"Oui"),"",IF(AB473="",IF(AND(AA473&lt;&gt;"",NOW()&gt;AA473),0,""),IF(AA473="","",IF(AB473&lt;=AA473,1,0))))</f>
        <v/>
      </c>
      <c r="BR473" s="38" t="str">
        <f aca="false">IF(OR(AO473&lt;&gt;1,K473&lt;&gt;"Oui",O473=""),"",IF(AC473="",O473+DORA_H_DET/24,IF(AC473-O473&lt;=DORA_H_DET/24,MIN(AC473+DORA_H_CLA/24,O473+DORA_H_DET/24),AC473+DORA_H_CLA/24)))</f>
        <v/>
      </c>
      <c r="BS473" s="35" t="str">
        <f aca="true">IF(BR473="","",IF(AD473="",IF(NOW()&gt;BR473,0,""),IF(AD473&lt;=BR473,1,0)))</f>
        <v/>
      </c>
      <c r="BT473" s="35" t="str">
        <f aca="true">IF(OR(BR473="",AD473=""),"",IF(AE473="",IF(NOW()&gt;AD473+DORA_H_INT/24,0,""),IF(AE473&lt;=AD473+DORA_H_INT/24,1,0)))</f>
        <v/>
      </c>
      <c r="BU473" s="35" t="str">
        <f aca="true">IF(OR(BR473="",AE473=""),"",IF(AF473="",IF(NOW()&gt;EDATE(AE473,DORA_M_FIN)+1,0,""),IF(AF473&lt;=EDATE(AE473,DORA_M_FIN),1,0)))</f>
        <v/>
      </c>
      <c r="BV473" s="35" t="str">
        <f aca="false">IF(BR473="","",IF(COUNT(BS473:BU473)=0,"",MIN(BS473:BU473)))</f>
        <v/>
      </c>
      <c r="BW473" s="40" t="str">
        <f aca="false">IF(AQ473&lt;&gt;1,"",IF(AND(AG473="",AH473=""),"",N(AG473)-N(AH473)))</f>
        <v/>
      </c>
      <c r="BX473" s="35" t="str">
        <f aca="true">IF(OR(AQ473&lt;&gt;1,AI473&lt;&gt;"Oui",AJ473=""),"",IF(AK473="",IF(NOW()&gt;AJ473+1,0,""),IF(AK473&lt;=AJ473,1,0)))</f>
        <v/>
      </c>
    </row>
    <row r="474" customFormat="false" ht="15" hidden="false" customHeight="false" outlineLevel="0" collapsed="false">
      <c r="B474" s="29"/>
      <c r="C474" s="29"/>
      <c r="D474" s="29"/>
      <c r="E474" s="29"/>
      <c r="F474" s="29"/>
      <c r="G474" s="29"/>
      <c r="H474" s="29"/>
      <c r="I474" s="29"/>
      <c r="J474" s="29"/>
      <c r="K474" s="29"/>
      <c r="L474" s="29"/>
      <c r="M474" s="29"/>
      <c r="N474" s="30"/>
      <c r="O474" s="30"/>
      <c r="P474" s="30"/>
      <c r="Q474" s="30"/>
      <c r="R474" s="30"/>
      <c r="S474" s="30"/>
      <c r="T474" s="30"/>
      <c r="U474" s="30"/>
      <c r="V474" s="31"/>
      <c r="W474" s="29"/>
      <c r="X474" s="29"/>
      <c r="Y474" s="29"/>
      <c r="Z474" s="29"/>
      <c r="AA474" s="30"/>
      <c r="AB474" s="30"/>
      <c r="AC474" s="30"/>
      <c r="AD474" s="30"/>
      <c r="AE474" s="30"/>
      <c r="AF474" s="32"/>
      <c r="AG474" s="33"/>
      <c r="AH474" s="33"/>
      <c r="AI474" s="29"/>
      <c r="AJ474" s="32"/>
      <c r="AK474" s="32"/>
      <c r="AL474" s="29"/>
      <c r="AN474" s="34" t="str">
        <f aca="false">IF($B474="","",IF(OR(C474="",D474="",E474="",G474="",I474="",J474="",L474="",O474="",P474=""),"Champ obligatoire manquant",IF(OR(AND(N474&lt;&gt;"",N474&gt;O474),O474&gt;P474,AND(Q474&lt;&gt;"",Q474&lt;P474),AND(R474&lt;&gt;"",R474&lt;P474),AND(S474&lt;&gt;"",S474&lt;R474),AND(S474&lt;&gt;"",R474=""),AND(T474&lt;&gt;"",T474&lt;O474),AND(U474&lt;&gt;"",U474&lt;O474)),"Chronologie incohérente",IF(AND(OR(L474="Résolu",L474="Clos"),R474=""),"Date de résolution manquante",IF(AND(L474="Clos",S474=""),"Date de clôture manquante",IF(AND(K474="Oui",AC474=""),"Classification DORA manquante","OK"))))))</f>
        <v/>
      </c>
      <c r="AO474" s="35" t="str">
        <f aca="false">IF($B474="","",IF(AND(C474="Incident",L474&lt;&gt;"Annulé"),1,0))</f>
        <v/>
      </c>
      <c r="AP474" s="35" t="str">
        <f aca="false">IF($B474="","",IF(AND(C474="Quasi-incident",L474&lt;&gt;"Annulé"),1,0))</f>
        <v/>
      </c>
      <c r="AQ474" s="35" t="str">
        <f aca="false">IF($B474="","",AO474+AP474)</f>
        <v/>
      </c>
      <c r="AR474" s="36" t="str">
        <f aca="false">IF(OR($B474="",J474=""),"",IFERROR(VALUE(LEFT(J474,1)),""))</f>
        <v/>
      </c>
      <c r="AS474" s="35" t="str">
        <f aca="false">IF(OR(AO474&lt;&gt;1,G474=""),"",IFERROR(IF(INDEX(L_SrcInterne,MATCH(G474,L_Sources,0))="Oui",1,0),""))</f>
        <v/>
      </c>
      <c r="AT474" s="37" t="str">
        <f aca="false">IF(AO474&lt;&gt;1,"",IFERROR(ROUND(IF(OR(N474="",O474=""),"",IF(O474&lt;N474,"",ROUND(((NETWORKDAYS(N474,O474,JoursFeries)-1)*(HFer-HOuv)+IF(NETWORKDAYS(O474,O474,JoursFeries),MEDIAN(MOD(O474,1),HFer,HOuv),HFer)-IF(NETWORKDAYS(N474,N474,JoursFeries),MEDIAN(MOD(N474,1),HFer,HOuv),HOuv))*24,4)))/HJour,4),""))</f>
        <v/>
      </c>
      <c r="AU474" s="37" t="str">
        <f aca="false">IF(AO474&lt;&gt;1,"",IF(OR(O474="",P474=""),"",IF(P474&lt;O474,"",ROUND(((NETWORKDAYS(O474,P474,JoursFeries)-1)*(HFer-HOuv)+IF(NETWORKDAYS(P474,P474,JoursFeries),MEDIAN(MOD(P474,1),HFer,HOuv),HFer)-IF(NETWORKDAYS(O474,O474,JoursFeries),MEDIAN(MOD(O474,1),HFer,HOuv),HOuv))*24,4))))</f>
        <v/>
      </c>
      <c r="AV474" s="37" t="str">
        <f aca="false">IF(AO474&lt;&gt;1,"",IF(OR(P474="",Q474=""),"",IF(Q474&lt;P474,"",ROUND(((NETWORKDAYS(P474,Q474,JoursFeries)-1)*(HFer-HOuv)+IF(NETWORKDAYS(Q474,Q474,JoursFeries),MEDIAN(MOD(Q474,1),HFer,HOuv),HFer)-IF(NETWORKDAYS(P474,P474,JoursFeries),MEDIAN(MOD(P474,1),HFer,HOuv),HOuv))*24,4))))</f>
        <v/>
      </c>
      <c r="AW474" s="37" t="str">
        <f aca="false">IF(AO474&lt;&gt;1,"",IFERROR(ROUND(IF(OR(P474="",R474=""),"",IF(R474&lt;P474,"",ROUND(((NETWORKDAYS(P474,R474,JoursFeries)-1)*(HFer-HOuv)+IF(NETWORKDAYS(R474,R474,JoursFeries),MEDIAN(MOD(R474,1),HFer,HOuv),HFer)-IF(NETWORKDAYS(P474,P474,JoursFeries),MEDIAN(MOD(P474,1),HFer,HOuv),HOuv))*24,4)))/HJour,4),""))</f>
        <v/>
      </c>
      <c r="AX474" s="37" t="str">
        <f aca="false">IF(AO474&lt;&gt;1,"",IFERROR(ROUND(IF(OR(P474="",S474=""),"",IF(S474&lt;P474,"",ROUND(((NETWORKDAYS(P474,S474,JoursFeries)-1)*(HFer-HOuv)+IF(NETWORKDAYS(S474,S474,JoursFeries),MEDIAN(MOD(S474,1),HFer,HOuv),HFer)-IF(NETWORKDAYS(P474,P474,JoursFeries),MEDIAN(MOD(P474,1),HFer,HOuv),HOuv))*24,4)))/HJour,4),""))</f>
        <v/>
      </c>
      <c r="AY474" s="36" t="str">
        <f aca="false">IF(OR(AO474&lt;&gt;1,AR474=""),"",INDEX(SLA_PEC,AR474))</f>
        <v/>
      </c>
      <c r="AZ474" s="35" t="str">
        <f aca="false">IF(OR(AV474="",AY474=""),"",IF(AV474&lt;=AY474,1,0))</f>
        <v/>
      </c>
      <c r="BA474" s="36" t="str">
        <f aca="false">IF(OR(AO474&lt;&gt;1,AR474=""),"",INDEX(SLA_RES,AR474))</f>
        <v/>
      </c>
      <c r="BB474" s="35" t="str">
        <f aca="false">IF(OR(AW474="",BA474=""),"",IF(AW474&lt;=BA474,1,0))</f>
        <v/>
      </c>
      <c r="BC474" s="38" t="str">
        <f aca="false">IF(OR(BA474="",P474=""),"",WORKDAY(INT(P474),BA474,JoursFeries)+MOD(P474,1))</f>
        <v/>
      </c>
      <c r="BD474" s="39" t="str">
        <f aca="false">IF(AO474&lt;&gt;1,"",IF(OR(AB474&lt;&gt;"",AD474&lt;&gt;""),4,IF(U474&lt;&gt;"",3,IF(T474&lt;&gt;"",2,1))))</f>
        <v/>
      </c>
      <c r="BE474" s="39" t="str">
        <f aca="false">IF(OR(AO474&lt;&gt;1,AR474=""),"",INDEX(NIV_REQ,AR474))</f>
        <v/>
      </c>
      <c r="BF474" s="39" t="str">
        <f aca="false">IF(BE474="","",MAX(BE474,IF(OR(K474="Oui",Z474="Oui"),4,1)))</f>
        <v/>
      </c>
      <c r="BG474" s="35" t="str">
        <f aca="false">IF(OR(BF474="",BD474=""),"",IF(BD474&gt;=BF474,1,0))</f>
        <v/>
      </c>
      <c r="BH474" s="38" t="str">
        <f aca="false">IF(BE474="","",IF(BE474&lt;2,"",IF(BE474=2,IF(AND(T474="",U474=""),"",MIN(T474,U474)),IF(U474="","",U474))))</f>
        <v/>
      </c>
      <c r="BI474" s="37" t="str">
        <f aca="false">IF(BH474="","",IF(OR(O474="",BH474=""),"",IF(BH474&lt;O474,"",ROUND(((NETWORKDAYS(O474,BH474,JoursFeries)-1)*(HFer-HOuv)+IF(NETWORKDAYS(BH474,BH474,JoursFeries),MEDIAN(MOD(BH474,1),HFer,HOuv),HFer)-IF(NETWORKDAYS(O474,O474,JoursFeries),MEDIAN(MOD(O474,1),HFer,HOuv),HOuv))*24,4))))</f>
        <v/>
      </c>
      <c r="BJ474" s="35" t="str">
        <f aca="false">IF(OR(BI474="",AR474=""),"",IF(BI474&lt;=INDEX(DELAI_ESC,AR474),1,0))</f>
        <v/>
      </c>
      <c r="BK474" s="38" t="str">
        <f aca="false">IF(AO474&lt;&gt;1,"",IF(AND(T474="",U474=""),"",MIN(T474,U474)))</f>
        <v/>
      </c>
      <c r="BL474" s="37" t="str">
        <f aca="false">IF(OR(BK474="",R474=""),"",IFERROR(ROUND(IF(OR(BK474="",R474=""),"",IF(R474&lt;BK474,"",ROUND(((NETWORKDAYS(BK474,R474,JoursFeries)-1)*(HFer-HOuv)+IF(NETWORKDAYS(R474,R474,JoursFeries),MEDIAN(MOD(R474,1),HFer,HOuv),HFer)-IF(NETWORKDAYS(BK474,BK474,JoursFeries),MEDIAN(MOD(BK474,1),HFer,HOuv),HOuv))*24,4)))/HJour,4),""))</f>
        <v/>
      </c>
      <c r="BM474" s="35" t="str">
        <f aca="false">IF(OR(AO474&lt;&gt;1,R474=""),"",IF(BD474=1,1,0))</f>
        <v/>
      </c>
      <c r="BN474" s="35" t="str">
        <f aca="false">IF(AO474&lt;&gt;1,"",IF(W474="Oui",1,0))</f>
        <v/>
      </c>
      <c r="BO474" s="35" t="str">
        <f aca="false">IF(AO474&lt;&gt;1,"",IF(X474&lt;&gt;"",1,0))</f>
        <v/>
      </c>
      <c r="BP474" s="35" t="str">
        <f aca="false">IF(AO474&lt;&gt;1,"",IF(Y474="Oui",1,0))</f>
        <v/>
      </c>
      <c r="BQ474" s="35" t="str">
        <f aca="true">IF(OR(AO474&lt;&gt;1,Z474&lt;&gt;"Oui"),"",IF(AB474="",IF(AND(AA474&lt;&gt;"",NOW()&gt;AA474),0,""),IF(AA474="","",IF(AB474&lt;=AA474,1,0))))</f>
        <v/>
      </c>
      <c r="BR474" s="38" t="str">
        <f aca="false">IF(OR(AO474&lt;&gt;1,K474&lt;&gt;"Oui",O474=""),"",IF(AC474="",O474+DORA_H_DET/24,IF(AC474-O474&lt;=DORA_H_DET/24,MIN(AC474+DORA_H_CLA/24,O474+DORA_H_DET/24),AC474+DORA_H_CLA/24)))</f>
        <v/>
      </c>
      <c r="BS474" s="35" t="str">
        <f aca="true">IF(BR474="","",IF(AD474="",IF(NOW()&gt;BR474,0,""),IF(AD474&lt;=BR474,1,0)))</f>
        <v/>
      </c>
      <c r="BT474" s="35" t="str">
        <f aca="true">IF(OR(BR474="",AD474=""),"",IF(AE474="",IF(NOW()&gt;AD474+DORA_H_INT/24,0,""),IF(AE474&lt;=AD474+DORA_H_INT/24,1,0)))</f>
        <v/>
      </c>
      <c r="BU474" s="35" t="str">
        <f aca="true">IF(OR(BR474="",AE474=""),"",IF(AF474="",IF(NOW()&gt;EDATE(AE474,DORA_M_FIN)+1,0,""),IF(AF474&lt;=EDATE(AE474,DORA_M_FIN),1,0)))</f>
        <v/>
      </c>
      <c r="BV474" s="35" t="str">
        <f aca="false">IF(BR474="","",IF(COUNT(BS474:BU474)=0,"",MIN(BS474:BU474)))</f>
        <v/>
      </c>
      <c r="BW474" s="40" t="str">
        <f aca="false">IF(AQ474&lt;&gt;1,"",IF(AND(AG474="",AH474=""),"",N(AG474)-N(AH474)))</f>
        <v/>
      </c>
      <c r="BX474" s="35" t="str">
        <f aca="true">IF(OR(AQ474&lt;&gt;1,AI474&lt;&gt;"Oui",AJ474=""),"",IF(AK474="",IF(NOW()&gt;AJ474+1,0,""),IF(AK474&lt;=AJ474,1,0)))</f>
        <v/>
      </c>
    </row>
    <row r="475" customFormat="false" ht="15" hidden="false" customHeight="false" outlineLevel="0" collapsed="false">
      <c r="B475" s="29"/>
      <c r="C475" s="29"/>
      <c r="D475" s="29"/>
      <c r="E475" s="29"/>
      <c r="F475" s="29"/>
      <c r="G475" s="29"/>
      <c r="H475" s="29"/>
      <c r="I475" s="29"/>
      <c r="J475" s="29"/>
      <c r="K475" s="29"/>
      <c r="L475" s="29"/>
      <c r="M475" s="29"/>
      <c r="N475" s="30"/>
      <c r="O475" s="30"/>
      <c r="P475" s="30"/>
      <c r="Q475" s="30"/>
      <c r="R475" s="30"/>
      <c r="S475" s="30"/>
      <c r="T475" s="30"/>
      <c r="U475" s="30"/>
      <c r="V475" s="31"/>
      <c r="W475" s="29"/>
      <c r="X475" s="29"/>
      <c r="Y475" s="29"/>
      <c r="Z475" s="29"/>
      <c r="AA475" s="30"/>
      <c r="AB475" s="30"/>
      <c r="AC475" s="30"/>
      <c r="AD475" s="30"/>
      <c r="AE475" s="30"/>
      <c r="AF475" s="32"/>
      <c r="AG475" s="33"/>
      <c r="AH475" s="33"/>
      <c r="AI475" s="29"/>
      <c r="AJ475" s="32"/>
      <c r="AK475" s="32"/>
      <c r="AL475" s="29"/>
      <c r="AN475" s="34" t="str">
        <f aca="false">IF($B475="","",IF(OR(C475="",D475="",E475="",G475="",I475="",J475="",L475="",O475="",P475=""),"Champ obligatoire manquant",IF(OR(AND(N475&lt;&gt;"",N475&gt;O475),O475&gt;P475,AND(Q475&lt;&gt;"",Q475&lt;P475),AND(R475&lt;&gt;"",R475&lt;P475),AND(S475&lt;&gt;"",S475&lt;R475),AND(S475&lt;&gt;"",R475=""),AND(T475&lt;&gt;"",T475&lt;O475),AND(U475&lt;&gt;"",U475&lt;O475)),"Chronologie incohérente",IF(AND(OR(L475="Résolu",L475="Clos"),R475=""),"Date de résolution manquante",IF(AND(L475="Clos",S475=""),"Date de clôture manquante",IF(AND(K475="Oui",AC475=""),"Classification DORA manquante","OK"))))))</f>
        <v/>
      </c>
      <c r="AO475" s="35" t="str">
        <f aca="false">IF($B475="","",IF(AND(C475="Incident",L475&lt;&gt;"Annulé"),1,0))</f>
        <v/>
      </c>
      <c r="AP475" s="35" t="str">
        <f aca="false">IF($B475="","",IF(AND(C475="Quasi-incident",L475&lt;&gt;"Annulé"),1,0))</f>
        <v/>
      </c>
      <c r="AQ475" s="35" t="str">
        <f aca="false">IF($B475="","",AO475+AP475)</f>
        <v/>
      </c>
      <c r="AR475" s="36" t="str">
        <f aca="false">IF(OR($B475="",J475=""),"",IFERROR(VALUE(LEFT(J475,1)),""))</f>
        <v/>
      </c>
      <c r="AS475" s="35" t="str">
        <f aca="false">IF(OR(AO475&lt;&gt;1,G475=""),"",IFERROR(IF(INDEX(L_SrcInterne,MATCH(G475,L_Sources,0))="Oui",1,0),""))</f>
        <v/>
      </c>
      <c r="AT475" s="37" t="str">
        <f aca="false">IF(AO475&lt;&gt;1,"",IFERROR(ROUND(IF(OR(N475="",O475=""),"",IF(O475&lt;N475,"",ROUND(((NETWORKDAYS(N475,O475,JoursFeries)-1)*(HFer-HOuv)+IF(NETWORKDAYS(O475,O475,JoursFeries),MEDIAN(MOD(O475,1),HFer,HOuv),HFer)-IF(NETWORKDAYS(N475,N475,JoursFeries),MEDIAN(MOD(N475,1),HFer,HOuv),HOuv))*24,4)))/HJour,4),""))</f>
        <v/>
      </c>
      <c r="AU475" s="37" t="str">
        <f aca="false">IF(AO475&lt;&gt;1,"",IF(OR(O475="",P475=""),"",IF(P475&lt;O475,"",ROUND(((NETWORKDAYS(O475,P475,JoursFeries)-1)*(HFer-HOuv)+IF(NETWORKDAYS(P475,P475,JoursFeries),MEDIAN(MOD(P475,1),HFer,HOuv),HFer)-IF(NETWORKDAYS(O475,O475,JoursFeries),MEDIAN(MOD(O475,1),HFer,HOuv),HOuv))*24,4))))</f>
        <v/>
      </c>
      <c r="AV475" s="37" t="str">
        <f aca="false">IF(AO475&lt;&gt;1,"",IF(OR(P475="",Q475=""),"",IF(Q475&lt;P475,"",ROUND(((NETWORKDAYS(P475,Q475,JoursFeries)-1)*(HFer-HOuv)+IF(NETWORKDAYS(Q475,Q475,JoursFeries),MEDIAN(MOD(Q475,1),HFer,HOuv),HFer)-IF(NETWORKDAYS(P475,P475,JoursFeries),MEDIAN(MOD(P475,1),HFer,HOuv),HOuv))*24,4))))</f>
        <v/>
      </c>
      <c r="AW475" s="37" t="str">
        <f aca="false">IF(AO475&lt;&gt;1,"",IFERROR(ROUND(IF(OR(P475="",R475=""),"",IF(R475&lt;P475,"",ROUND(((NETWORKDAYS(P475,R475,JoursFeries)-1)*(HFer-HOuv)+IF(NETWORKDAYS(R475,R475,JoursFeries),MEDIAN(MOD(R475,1),HFer,HOuv),HFer)-IF(NETWORKDAYS(P475,P475,JoursFeries),MEDIAN(MOD(P475,1),HFer,HOuv),HOuv))*24,4)))/HJour,4),""))</f>
        <v/>
      </c>
      <c r="AX475" s="37" t="str">
        <f aca="false">IF(AO475&lt;&gt;1,"",IFERROR(ROUND(IF(OR(P475="",S475=""),"",IF(S475&lt;P475,"",ROUND(((NETWORKDAYS(P475,S475,JoursFeries)-1)*(HFer-HOuv)+IF(NETWORKDAYS(S475,S475,JoursFeries),MEDIAN(MOD(S475,1),HFer,HOuv),HFer)-IF(NETWORKDAYS(P475,P475,JoursFeries),MEDIAN(MOD(P475,1),HFer,HOuv),HOuv))*24,4)))/HJour,4),""))</f>
        <v/>
      </c>
      <c r="AY475" s="36" t="str">
        <f aca="false">IF(OR(AO475&lt;&gt;1,AR475=""),"",INDEX(SLA_PEC,AR475))</f>
        <v/>
      </c>
      <c r="AZ475" s="35" t="str">
        <f aca="false">IF(OR(AV475="",AY475=""),"",IF(AV475&lt;=AY475,1,0))</f>
        <v/>
      </c>
      <c r="BA475" s="36" t="str">
        <f aca="false">IF(OR(AO475&lt;&gt;1,AR475=""),"",INDEX(SLA_RES,AR475))</f>
        <v/>
      </c>
      <c r="BB475" s="35" t="str">
        <f aca="false">IF(OR(AW475="",BA475=""),"",IF(AW475&lt;=BA475,1,0))</f>
        <v/>
      </c>
      <c r="BC475" s="38" t="str">
        <f aca="false">IF(OR(BA475="",P475=""),"",WORKDAY(INT(P475),BA475,JoursFeries)+MOD(P475,1))</f>
        <v/>
      </c>
      <c r="BD475" s="39" t="str">
        <f aca="false">IF(AO475&lt;&gt;1,"",IF(OR(AB475&lt;&gt;"",AD475&lt;&gt;""),4,IF(U475&lt;&gt;"",3,IF(T475&lt;&gt;"",2,1))))</f>
        <v/>
      </c>
      <c r="BE475" s="39" t="str">
        <f aca="false">IF(OR(AO475&lt;&gt;1,AR475=""),"",INDEX(NIV_REQ,AR475))</f>
        <v/>
      </c>
      <c r="BF475" s="39" t="str">
        <f aca="false">IF(BE475="","",MAX(BE475,IF(OR(K475="Oui",Z475="Oui"),4,1)))</f>
        <v/>
      </c>
      <c r="BG475" s="35" t="str">
        <f aca="false">IF(OR(BF475="",BD475=""),"",IF(BD475&gt;=BF475,1,0))</f>
        <v/>
      </c>
      <c r="BH475" s="38" t="str">
        <f aca="false">IF(BE475="","",IF(BE475&lt;2,"",IF(BE475=2,IF(AND(T475="",U475=""),"",MIN(T475,U475)),IF(U475="","",U475))))</f>
        <v/>
      </c>
      <c r="BI475" s="37" t="str">
        <f aca="false">IF(BH475="","",IF(OR(O475="",BH475=""),"",IF(BH475&lt;O475,"",ROUND(((NETWORKDAYS(O475,BH475,JoursFeries)-1)*(HFer-HOuv)+IF(NETWORKDAYS(BH475,BH475,JoursFeries),MEDIAN(MOD(BH475,1),HFer,HOuv),HFer)-IF(NETWORKDAYS(O475,O475,JoursFeries),MEDIAN(MOD(O475,1),HFer,HOuv),HOuv))*24,4))))</f>
        <v/>
      </c>
      <c r="BJ475" s="35" t="str">
        <f aca="false">IF(OR(BI475="",AR475=""),"",IF(BI475&lt;=INDEX(DELAI_ESC,AR475),1,0))</f>
        <v/>
      </c>
      <c r="BK475" s="38" t="str">
        <f aca="false">IF(AO475&lt;&gt;1,"",IF(AND(T475="",U475=""),"",MIN(T475,U475)))</f>
        <v/>
      </c>
      <c r="BL475" s="37" t="str">
        <f aca="false">IF(OR(BK475="",R475=""),"",IFERROR(ROUND(IF(OR(BK475="",R475=""),"",IF(R475&lt;BK475,"",ROUND(((NETWORKDAYS(BK475,R475,JoursFeries)-1)*(HFer-HOuv)+IF(NETWORKDAYS(R475,R475,JoursFeries),MEDIAN(MOD(R475,1),HFer,HOuv),HFer)-IF(NETWORKDAYS(BK475,BK475,JoursFeries),MEDIAN(MOD(BK475,1),HFer,HOuv),HOuv))*24,4)))/HJour,4),""))</f>
        <v/>
      </c>
      <c r="BM475" s="35" t="str">
        <f aca="false">IF(OR(AO475&lt;&gt;1,R475=""),"",IF(BD475=1,1,0))</f>
        <v/>
      </c>
      <c r="BN475" s="35" t="str">
        <f aca="false">IF(AO475&lt;&gt;1,"",IF(W475="Oui",1,0))</f>
        <v/>
      </c>
      <c r="BO475" s="35" t="str">
        <f aca="false">IF(AO475&lt;&gt;1,"",IF(X475&lt;&gt;"",1,0))</f>
        <v/>
      </c>
      <c r="BP475" s="35" t="str">
        <f aca="false">IF(AO475&lt;&gt;1,"",IF(Y475="Oui",1,0))</f>
        <v/>
      </c>
      <c r="BQ475" s="35" t="str">
        <f aca="true">IF(OR(AO475&lt;&gt;1,Z475&lt;&gt;"Oui"),"",IF(AB475="",IF(AND(AA475&lt;&gt;"",NOW()&gt;AA475),0,""),IF(AA475="","",IF(AB475&lt;=AA475,1,0))))</f>
        <v/>
      </c>
      <c r="BR475" s="38" t="str">
        <f aca="false">IF(OR(AO475&lt;&gt;1,K475&lt;&gt;"Oui",O475=""),"",IF(AC475="",O475+DORA_H_DET/24,IF(AC475-O475&lt;=DORA_H_DET/24,MIN(AC475+DORA_H_CLA/24,O475+DORA_H_DET/24),AC475+DORA_H_CLA/24)))</f>
        <v/>
      </c>
      <c r="BS475" s="35" t="str">
        <f aca="true">IF(BR475="","",IF(AD475="",IF(NOW()&gt;BR475,0,""),IF(AD475&lt;=BR475,1,0)))</f>
        <v/>
      </c>
      <c r="BT475" s="35" t="str">
        <f aca="true">IF(OR(BR475="",AD475=""),"",IF(AE475="",IF(NOW()&gt;AD475+DORA_H_INT/24,0,""),IF(AE475&lt;=AD475+DORA_H_INT/24,1,0)))</f>
        <v/>
      </c>
      <c r="BU475" s="35" t="str">
        <f aca="true">IF(OR(BR475="",AE475=""),"",IF(AF475="",IF(NOW()&gt;EDATE(AE475,DORA_M_FIN)+1,0,""),IF(AF475&lt;=EDATE(AE475,DORA_M_FIN),1,0)))</f>
        <v/>
      </c>
      <c r="BV475" s="35" t="str">
        <f aca="false">IF(BR475="","",IF(COUNT(BS475:BU475)=0,"",MIN(BS475:BU475)))</f>
        <v/>
      </c>
      <c r="BW475" s="40" t="str">
        <f aca="false">IF(AQ475&lt;&gt;1,"",IF(AND(AG475="",AH475=""),"",N(AG475)-N(AH475)))</f>
        <v/>
      </c>
      <c r="BX475" s="35" t="str">
        <f aca="true">IF(OR(AQ475&lt;&gt;1,AI475&lt;&gt;"Oui",AJ475=""),"",IF(AK475="",IF(NOW()&gt;AJ475+1,0,""),IF(AK475&lt;=AJ475,1,0)))</f>
        <v/>
      </c>
    </row>
    <row r="476" customFormat="false" ht="15" hidden="false" customHeight="false" outlineLevel="0" collapsed="false">
      <c r="B476" s="29"/>
      <c r="C476" s="29"/>
      <c r="D476" s="29"/>
      <c r="E476" s="29"/>
      <c r="F476" s="29"/>
      <c r="G476" s="29"/>
      <c r="H476" s="29"/>
      <c r="I476" s="29"/>
      <c r="J476" s="29"/>
      <c r="K476" s="29"/>
      <c r="L476" s="29"/>
      <c r="M476" s="29"/>
      <c r="N476" s="30"/>
      <c r="O476" s="30"/>
      <c r="P476" s="30"/>
      <c r="Q476" s="30"/>
      <c r="R476" s="30"/>
      <c r="S476" s="30"/>
      <c r="T476" s="30"/>
      <c r="U476" s="30"/>
      <c r="V476" s="31"/>
      <c r="W476" s="29"/>
      <c r="X476" s="29"/>
      <c r="Y476" s="29"/>
      <c r="Z476" s="29"/>
      <c r="AA476" s="30"/>
      <c r="AB476" s="30"/>
      <c r="AC476" s="30"/>
      <c r="AD476" s="30"/>
      <c r="AE476" s="30"/>
      <c r="AF476" s="32"/>
      <c r="AG476" s="33"/>
      <c r="AH476" s="33"/>
      <c r="AI476" s="29"/>
      <c r="AJ476" s="32"/>
      <c r="AK476" s="32"/>
      <c r="AL476" s="29"/>
      <c r="AN476" s="34" t="str">
        <f aca="false">IF($B476="","",IF(OR(C476="",D476="",E476="",G476="",I476="",J476="",L476="",O476="",P476=""),"Champ obligatoire manquant",IF(OR(AND(N476&lt;&gt;"",N476&gt;O476),O476&gt;P476,AND(Q476&lt;&gt;"",Q476&lt;P476),AND(R476&lt;&gt;"",R476&lt;P476),AND(S476&lt;&gt;"",S476&lt;R476),AND(S476&lt;&gt;"",R476=""),AND(T476&lt;&gt;"",T476&lt;O476),AND(U476&lt;&gt;"",U476&lt;O476)),"Chronologie incohérente",IF(AND(OR(L476="Résolu",L476="Clos"),R476=""),"Date de résolution manquante",IF(AND(L476="Clos",S476=""),"Date de clôture manquante",IF(AND(K476="Oui",AC476=""),"Classification DORA manquante","OK"))))))</f>
        <v/>
      </c>
      <c r="AO476" s="35" t="str">
        <f aca="false">IF($B476="","",IF(AND(C476="Incident",L476&lt;&gt;"Annulé"),1,0))</f>
        <v/>
      </c>
      <c r="AP476" s="35" t="str">
        <f aca="false">IF($B476="","",IF(AND(C476="Quasi-incident",L476&lt;&gt;"Annulé"),1,0))</f>
        <v/>
      </c>
      <c r="AQ476" s="35" t="str">
        <f aca="false">IF($B476="","",AO476+AP476)</f>
        <v/>
      </c>
      <c r="AR476" s="36" t="str">
        <f aca="false">IF(OR($B476="",J476=""),"",IFERROR(VALUE(LEFT(J476,1)),""))</f>
        <v/>
      </c>
      <c r="AS476" s="35" t="str">
        <f aca="false">IF(OR(AO476&lt;&gt;1,G476=""),"",IFERROR(IF(INDEX(L_SrcInterne,MATCH(G476,L_Sources,0))="Oui",1,0),""))</f>
        <v/>
      </c>
      <c r="AT476" s="37" t="str">
        <f aca="false">IF(AO476&lt;&gt;1,"",IFERROR(ROUND(IF(OR(N476="",O476=""),"",IF(O476&lt;N476,"",ROUND(((NETWORKDAYS(N476,O476,JoursFeries)-1)*(HFer-HOuv)+IF(NETWORKDAYS(O476,O476,JoursFeries),MEDIAN(MOD(O476,1),HFer,HOuv),HFer)-IF(NETWORKDAYS(N476,N476,JoursFeries),MEDIAN(MOD(N476,1),HFer,HOuv),HOuv))*24,4)))/HJour,4),""))</f>
        <v/>
      </c>
      <c r="AU476" s="37" t="str">
        <f aca="false">IF(AO476&lt;&gt;1,"",IF(OR(O476="",P476=""),"",IF(P476&lt;O476,"",ROUND(((NETWORKDAYS(O476,P476,JoursFeries)-1)*(HFer-HOuv)+IF(NETWORKDAYS(P476,P476,JoursFeries),MEDIAN(MOD(P476,1),HFer,HOuv),HFer)-IF(NETWORKDAYS(O476,O476,JoursFeries),MEDIAN(MOD(O476,1),HFer,HOuv),HOuv))*24,4))))</f>
        <v/>
      </c>
      <c r="AV476" s="37" t="str">
        <f aca="false">IF(AO476&lt;&gt;1,"",IF(OR(P476="",Q476=""),"",IF(Q476&lt;P476,"",ROUND(((NETWORKDAYS(P476,Q476,JoursFeries)-1)*(HFer-HOuv)+IF(NETWORKDAYS(Q476,Q476,JoursFeries),MEDIAN(MOD(Q476,1),HFer,HOuv),HFer)-IF(NETWORKDAYS(P476,P476,JoursFeries),MEDIAN(MOD(P476,1),HFer,HOuv),HOuv))*24,4))))</f>
        <v/>
      </c>
      <c r="AW476" s="37" t="str">
        <f aca="false">IF(AO476&lt;&gt;1,"",IFERROR(ROUND(IF(OR(P476="",R476=""),"",IF(R476&lt;P476,"",ROUND(((NETWORKDAYS(P476,R476,JoursFeries)-1)*(HFer-HOuv)+IF(NETWORKDAYS(R476,R476,JoursFeries),MEDIAN(MOD(R476,1),HFer,HOuv),HFer)-IF(NETWORKDAYS(P476,P476,JoursFeries),MEDIAN(MOD(P476,1),HFer,HOuv),HOuv))*24,4)))/HJour,4),""))</f>
        <v/>
      </c>
      <c r="AX476" s="37" t="str">
        <f aca="false">IF(AO476&lt;&gt;1,"",IFERROR(ROUND(IF(OR(P476="",S476=""),"",IF(S476&lt;P476,"",ROUND(((NETWORKDAYS(P476,S476,JoursFeries)-1)*(HFer-HOuv)+IF(NETWORKDAYS(S476,S476,JoursFeries),MEDIAN(MOD(S476,1),HFer,HOuv),HFer)-IF(NETWORKDAYS(P476,P476,JoursFeries),MEDIAN(MOD(P476,1),HFer,HOuv),HOuv))*24,4)))/HJour,4),""))</f>
        <v/>
      </c>
      <c r="AY476" s="36" t="str">
        <f aca="false">IF(OR(AO476&lt;&gt;1,AR476=""),"",INDEX(SLA_PEC,AR476))</f>
        <v/>
      </c>
      <c r="AZ476" s="35" t="str">
        <f aca="false">IF(OR(AV476="",AY476=""),"",IF(AV476&lt;=AY476,1,0))</f>
        <v/>
      </c>
      <c r="BA476" s="36" t="str">
        <f aca="false">IF(OR(AO476&lt;&gt;1,AR476=""),"",INDEX(SLA_RES,AR476))</f>
        <v/>
      </c>
      <c r="BB476" s="35" t="str">
        <f aca="false">IF(OR(AW476="",BA476=""),"",IF(AW476&lt;=BA476,1,0))</f>
        <v/>
      </c>
      <c r="BC476" s="38" t="str">
        <f aca="false">IF(OR(BA476="",P476=""),"",WORKDAY(INT(P476),BA476,JoursFeries)+MOD(P476,1))</f>
        <v/>
      </c>
      <c r="BD476" s="39" t="str">
        <f aca="false">IF(AO476&lt;&gt;1,"",IF(OR(AB476&lt;&gt;"",AD476&lt;&gt;""),4,IF(U476&lt;&gt;"",3,IF(T476&lt;&gt;"",2,1))))</f>
        <v/>
      </c>
      <c r="BE476" s="39" t="str">
        <f aca="false">IF(OR(AO476&lt;&gt;1,AR476=""),"",INDEX(NIV_REQ,AR476))</f>
        <v/>
      </c>
      <c r="BF476" s="39" t="str">
        <f aca="false">IF(BE476="","",MAX(BE476,IF(OR(K476="Oui",Z476="Oui"),4,1)))</f>
        <v/>
      </c>
      <c r="BG476" s="35" t="str">
        <f aca="false">IF(OR(BF476="",BD476=""),"",IF(BD476&gt;=BF476,1,0))</f>
        <v/>
      </c>
      <c r="BH476" s="38" t="str">
        <f aca="false">IF(BE476="","",IF(BE476&lt;2,"",IF(BE476=2,IF(AND(T476="",U476=""),"",MIN(T476,U476)),IF(U476="","",U476))))</f>
        <v/>
      </c>
      <c r="BI476" s="37" t="str">
        <f aca="false">IF(BH476="","",IF(OR(O476="",BH476=""),"",IF(BH476&lt;O476,"",ROUND(((NETWORKDAYS(O476,BH476,JoursFeries)-1)*(HFer-HOuv)+IF(NETWORKDAYS(BH476,BH476,JoursFeries),MEDIAN(MOD(BH476,1),HFer,HOuv),HFer)-IF(NETWORKDAYS(O476,O476,JoursFeries),MEDIAN(MOD(O476,1),HFer,HOuv),HOuv))*24,4))))</f>
        <v/>
      </c>
      <c r="BJ476" s="35" t="str">
        <f aca="false">IF(OR(BI476="",AR476=""),"",IF(BI476&lt;=INDEX(DELAI_ESC,AR476),1,0))</f>
        <v/>
      </c>
      <c r="BK476" s="38" t="str">
        <f aca="false">IF(AO476&lt;&gt;1,"",IF(AND(T476="",U476=""),"",MIN(T476,U476)))</f>
        <v/>
      </c>
      <c r="BL476" s="37" t="str">
        <f aca="false">IF(OR(BK476="",R476=""),"",IFERROR(ROUND(IF(OR(BK476="",R476=""),"",IF(R476&lt;BK476,"",ROUND(((NETWORKDAYS(BK476,R476,JoursFeries)-1)*(HFer-HOuv)+IF(NETWORKDAYS(R476,R476,JoursFeries),MEDIAN(MOD(R476,1),HFer,HOuv),HFer)-IF(NETWORKDAYS(BK476,BK476,JoursFeries),MEDIAN(MOD(BK476,1),HFer,HOuv),HOuv))*24,4)))/HJour,4),""))</f>
        <v/>
      </c>
      <c r="BM476" s="35" t="str">
        <f aca="false">IF(OR(AO476&lt;&gt;1,R476=""),"",IF(BD476=1,1,0))</f>
        <v/>
      </c>
      <c r="BN476" s="35" t="str">
        <f aca="false">IF(AO476&lt;&gt;1,"",IF(W476="Oui",1,0))</f>
        <v/>
      </c>
      <c r="BO476" s="35" t="str">
        <f aca="false">IF(AO476&lt;&gt;1,"",IF(X476&lt;&gt;"",1,0))</f>
        <v/>
      </c>
      <c r="BP476" s="35" t="str">
        <f aca="false">IF(AO476&lt;&gt;1,"",IF(Y476="Oui",1,0))</f>
        <v/>
      </c>
      <c r="BQ476" s="35" t="str">
        <f aca="true">IF(OR(AO476&lt;&gt;1,Z476&lt;&gt;"Oui"),"",IF(AB476="",IF(AND(AA476&lt;&gt;"",NOW()&gt;AA476),0,""),IF(AA476="","",IF(AB476&lt;=AA476,1,0))))</f>
        <v/>
      </c>
      <c r="BR476" s="38" t="str">
        <f aca="false">IF(OR(AO476&lt;&gt;1,K476&lt;&gt;"Oui",O476=""),"",IF(AC476="",O476+DORA_H_DET/24,IF(AC476-O476&lt;=DORA_H_DET/24,MIN(AC476+DORA_H_CLA/24,O476+DORA_H_DET/24),AC476+DORA_H_CLA/24)))</f>
        <v/>
      </c>
      <c r="BS476" s="35" t="str">
        <f aca="true">IF(BR476="","",IF(AD476="",IF(NOW()&gt;BR476,0,""),IF(AD476&lt;=BR476,1,0)))</f>
        <v/>
      </c>
      <c r="BT476" s="35" t="str">
        <f aca="true">IF(OR(BR476="",AD476=""),"",IF(AE476="",IF(NOW()&gt;AD476+DORA_H_INT/24,0,""),IF(AE476&lt;=AD476+DORA_H_INT/24,1,0)))</f>
        <v/>
      </c>
      <c r="BU476" s="35" t="str">
        <f aca="true">IF(OR(BR476="",AE476=""),"",IF(AF476="",IF(NOW()&gt;EDATE(AE476,DORA_M_FIN)+1,0,""),IF(AF476&lt;=EDATE(AE476,DORA_M_FIN),1,0)))</f>
        <v/>
      </c>
      <c r="BV476" s="35" t="str">
        <f aca="false">IF(BR476="","",IF(COUNT(BS476:BU476)=0,"",MIN(BS476:BU476)))</f>
        <v/>
      </c>
      <c r="BW476" s="40" t="str">
        <f aca="false">IF(AQ476&lt;&gt;1,"",IF(AND(AG476="",AH476=""),"",N(AG476)-N(AH476)))</f>
        <v/>
      </c>
      <c r="BX476" s="35" t="str">
        <f aca="true">IF(OR(AQ476&lt;&gt;1,AI476&lt;&gt;"Oui",AJ476=""),"",IF(AK476="",IF(NOW()&gt;AJ476+1,0,""),IF(AK476&lt;=AJ476,1,0)))</f>
        <v/>
      </c>
    </row>
    <row r="477" customFormat="false" ht="15" hidden="false" customHeight="false" outlineLevel="0" collapsed="false">
      <c r="B477" s="29"/>
      <c r="C477" s="29"/>
      <c r="D477" s="29"/>
      <c r="E477" s="29"/>
      <c r="F477" s="29"/>
      <c r="G477" s="29"/>
      <c r="H477" s="29"/>
      <c r="I477" s="29"/>
      <c r="J477" s="29"/>
      <c r="K477" s="29"/>
      <c r="L477" s="29"/>
      <c r="M477" s="29"/>
      <c r="N477" s="30"/>
      <c r="O477" s="30"/>
      <c r="P477" s="30"/>
      <c r="Q477" s="30"/>
      <c r="R477" s="30"/>
      <c r="S477" s="30"/>
      <c r="T477" s="30"/>
      <c r="U477" s="30"/>
      <c r="V477" s="31"/>
      <c r="W477" s="29"/>
      <c r="X477" s="29"/>
      <c r="Y477" s="29"/>
      <c r="Z477" s="29"/>
      <c r="AA477" s="30"/>
      <c r="AB477" s="30"/>
      <c r="AC477" s="30"/>
      <c r="AD477" s="30"/>
      <c r="AE477" s="30"/>
      <c r="AF477" s="32"/>
      <c r="AG477" s="33"/>
      <c r="AH477" s="33"/>
      <c r="AI477" s="29"/>
      <c r="AJ477" s="32"/>
      <c r="AK477" s="32"/>
      <c r="AL477" s="29"/>
      <c r="AN477" s="34" t="str">
        <f aca="false">IF($B477="","",IF(OR(C477="",D477="",E477="",G477="",I477="",J477="",L477="",O477="",P477=""),"Champ obligatoire manquant",IF(OR(AND(N477&lt;&gt;"",N477&gt;O477),O477&gt;P477,AND(Q477&lt;&gt;"",Q477&lt;P477),AND(R477&lt;&gt;"",R477&lt;P477),AND(S477&lt;&gt;"",S477&lt;R477),AND(S477&lt;&gt;"",R477=""),AND(T477&lt;&gt;"",T477&lt;O477),AND(U477&lt;&gt;"",U477&lt;O477)),"Chronologie incohérente",IF(AND(OR(L477="Résolu",L477="Clos"),R477=""),"Date de résolution manquante",IF(AND(L477="Clos",S477=""),"Date de clôture manquante",IF(AND(K477="Oui",AC477=""),"Classification DORA manquante","OK"))))))</f>
        <v/>
      </c>
      <c r="AO477" s="35" t="str">
        <f aca="false">IF($B477="","",IF(AND(C477="Incident",L477&lt;&gt;"Annulé"),1,0))</f>
        <v/>
      </c>
      <c r="AP477" s="35" t="str">
        <f aca="false">IF($B477="","",IF(AND(C477="Quasi-incident",L477&lt;&gt;"Annulé"),1,0))</f>
        <v/>
      </c>
      <c r="AQ477" s="35" t="str">
        <f aca="false">IF($B477="","",AO477+AP477)</f>
        <v/>
      </c>
      <c r="AR477" s="36" t="str">
        <f aca="false">IF(OR($B477="",J477=""),"",IFERROR(VALUE(LEFT(J477,1)),""))</f>
        <v/>
      </c>
      <c r="AS477" s="35" t="str">
        <f aca="false">IF(OR(AO477&lt;&gt;1,G477=""),"",IFERROR(IF(INDEX(L_SrcInterne,MATCH(G477,L_Sources,0))="Oui",1,0),""))</f>
        <v/>
      </c>
      <c r="AT477" s="37" t="str">
        <f aca="false">IF(AO477&lt;&gt;1,"",IFERROR(ROUND(IF(OR(N477="",O477=""),"",IF(O477&lt;N477,"",ROUND(((NETWORKDAYS(N477,O477,JoursFeries)-1)*(HFer-HOuv)+IF(NETWORKDAYS(O477,O477,JoursFeries),MEDIAN(MOD(O477,1),HFer,HOuv),HFer)-IF(NETWORKDAYS(N477,N477,JoursFeries),MEDIAN(MOD(N477,1),HFer,HOuv),HOuv))*24,4)))/HJour,4),""))</f>
        <v/>
      </c>
      <c r="AU477" s="37" t="str">
        <f aca="false">IF(AO477&lt;&gt;1,"",IF(OR(O477="",P477=""),"",IF(P477&lt;O477,"",ROUND(((NETWORKDAYS(O477,P477,JoursFeries)-1)*(HFer-HOuv)+IF(NETWORKDAYS(P477,P477,JoursFeries),MEDIAN(MOD(P477,1),HFer,HOuv),HFer)-IF(NETWORKDAYS(O477,O477,JoursFeries),MEDIAN(MOD(O477,1),HFer,HOuv),HOuv))*24,4))))</f>
        <v/>
      </c>
      <c r="AV477" s="37" t="str">
        <f aca="false">IF(AO477&lt;&gt;1,"",IF(OR(P477="",Q477=""),"",IF(Q477&lt;P477,"",ROUND(((NETWORKDAYS(P477,Q477,JoursFeries)-1)*(HFer-HOuv)+IF(NETWORKDAYS(Q477,Q477,JoursFeries),MEDIAN(MOD(Q477,1),HFer,HOuv),HFer)-IF(NETWORKDAYS(P477,P477,JoursFeries),MEDIAN(MOD(P477,1),HFer,HOuv),HOuv))*24,4))))</f>
        <v/>
      </c>
      <c r="AW477" s="37" t="str">
        <f aca="false">IF(AO477&lt;&gt;1,"",IFERROR(ROUND(IF(OR(P477="",R477=""),"",IF(R477&lt;P477,"",ROUND(((NETWORKDAYS(P477,R477,JoursFeries)-1)*(HFer-HOuv)+IF(NETWORKDAYS(R477,R477,JoursFeries),MEDIAN(MOD(R477,1),HFer,HOuv),HFer)-IF(NETWORKDAYS(P477,P477,JoursFeries),MEDIAN(MOD(P477,1),HFer,HOuv),HOuv))*24,4)))/HJour,4),""))</f>
        <v/>
      </c>
      <c r="AX477" s="37" t="str">
        <f aca="false">IF(AO477&lt;&gt;1,"",IFERROR(ROUND(IF(OR(P477="",S477=""),"",IF(S477&lt;P477,"",ROUND(((NETWORKDAYS(P477,S477,JoursFeries)-1)*(HFer-HOuv)+IF(NETWORKDAYS(S477,S477,JoursFeries),MEDIAN(MOD(S477,1),HFer,HOuv),HFer)-IF(NETWORKDAYS(P477,P477,JoursFeries),MEDIAN(MOD(P477,1),HFer,HOuv),HOuv))*24,4)))/HJour,4),""))</f>
        <v/>
      </c>
      <c r="AY477" s="36" t="str">
        <f aca="false">IF(OR(AO477&lt;&gt;1,AR477=""),"",INDEX(SLA_PEC,AR477))</f>
        <v/>
      </c>
      <c r="AZ477" s="35" t="str">
        <f aca="false">IF(OR(AV477="",AY477=""),"",IF(AV477&lt;=AY477,1,0))</f>
        <v/>
      </c>
      <c r="BA477" s="36" t="str">
        <f aca="false">IF(OR(AO477&lt;&gt;1,AR477=""),"",INDEX(SLA_RES,AR477))</f>
        <v/>
      </c>
      <c r="BB477" s="35" t="str">
        <f aca="false">IF(OR(AW477="",BA477=""),"",IF(AW477&lt;=BA477,1,0))</f>
        <v/>
      </c>
      <c r="BC477" s="38" t="str">
        <f aca="false">IF(OR(BA477="",P477=""),"",WORKDAY(INT(P477),BA477,JoursFeries)+MOD(P477,1))</f>
        <v/>
      </c>
      <c r="BD477" s="39" t="str">
        <f aca="false">IF(AO477&lt;&gt;1,"",IF(OR(AB477&lt;&gt;"",AD477&lt;&gt;""),4,IF(U477&lt;&gt;"",3,IF(T477&lt;&gt;"",2,1))))</f>
        <v/>
      </c>
      <c r="BE477" s="39" t="str">
        <f aca="false">IF(OR(AO477&lt;&gt;1,AR477=""),"",INDEX(NIV_REQ,AR477))</f>
        <v/>
      </c>
      <c r="BF477" s="39" t="str">
        <f aca="false">IF(BE477="","",MAX(BE477,IF(OR(K477="Oui",Z477="Oui"),4,1)))</f>
        <v/>
      </c>
      <c r="BG477" s="35" t="str">
        <f aca="false">IF(OR(BF477="",BD477=""),"",IF(BD477&gt;=BF477,1,0))</f>
        <v/>
      </c>
      <c r="BH477" s="38" t="str">
        <f aca="false">IF(BE477="","",IF(BE477&lt;2,"",IF(BE477=2,IF(AND(T477="",U477=""),"",MIN(T477,U477)),IF(U477="","",U477))))</f>
        <v/>
      </c>
      <c r="BI477" s="37" t="str">
        <f aca="false">IF(BH477="","",IF(OR(O477="",BH477=""),"",IF(BH477&lt;O477,"",ROUND(((NETWORKDAYS(O477,BH477,JoursFeries)-1)*(HFer-HOuv)+IF(NETWORKDAYS(BH477,BH477,JoursFeries),MEDIAN(MOD(BH477,1),HFer,HOuv),HFer)-IF(NETWORKDAYS(O477,O477,JoursFeries),MEDIAN(MOD(O477,1),HFer,HOuv),HOuv))*24,4))))</f>
        <v/>
      </c>
      <c r="BJ477" s="35" t="str">
        <f aca="false">IF(OR(BI477="",AR477=""),"",IF(BI477&lt;=INDEX(DELAI_ESC,AR477),1,0))</f>
        <v/>
      </c>
      <c r="BK477" s="38" t="str">
        <f aca="false">IF(AO477&lt;&gt;1,"",IF(AND(T477="",U477=""),"",MIN(T477,U477)))</f>
        <v/>
      </c>
      <c r="BL477" s="37" t="str">
        <f aca="false">IF(OR(BK477="",R477=""),"",IFERROR(ROUND(IF(OR(BK477="",R477=""),"",IF(R477&lt;BK477,"",ROUND(((NETWORKDAYS(BK477,R477,JoursFeries)-1)*(HFer-HOuv)+IF(NETWORKDAYS(R477,R477,JoursFeries),MEDIAN(MOD(R477,1),HFer,HOuv),HFer)-IF(NETWORKDAYS(BK477,BK477,JoursFeries),MEDIAN(MOD(BK477,1),HFer,HOuv),HOuv))*24,4)))/HJour,4),""))</f>
        <v/>
      </c>
      <c r="BM477" s="35" t="str">
        <f aca="false">IF(OR(AO477&lt;&gt;1,R477=""),"",IF(BD477=1,1,0))</f>
        <v/>
      </c>
      <c r="BN477" s="35" t="str">
        <f aca="false">IF(AO477&lt;&gt;1,"",IF(W477="Oui",1,0))</f>
        <v/>
      </c>
      <c r="BO477" s="35" t="str">
        <f aca="false">IF(AO477&lt;&gt;1,"",IF(X477&lt;&gt;"",1,0))</f>
        <v/>
      </c>
      <c r="BP477" s="35" t="str">
        <f aca="false">IF(AO477&lt;&gt;1,"",IF(Y477="Oui",1,0))</f>
        <v/>
      </c>
      <c r="BQ477" s="35" t="str">
        <f aca="true">IF(OR(AO477&lt;&gt;1,Z477&lt;&gt;"Oui"),"",IF(AB477="",IF(AND(AA477&lt;&gt;"",NOW()&gt;AA477),0,""),IF(AA477="","",IF(AB477&lt;=AA477,1,0))))</f>
        <v/>
      </c>
      <c r="BR477" s="38" t="str">
        <f aca="false">IF(OR(AO477&lt;&gt;1,K477&lt;&gt;"Oui",O477=""),"",IF(AC477="",O477+DORA_H_DET/24,IF(AC477-O477&lt;=DORA_H_DET/24,MIN(AC477+DORA_H_CLA/24,O477+DORA_H_DET/24),AC477+DORA_H_CLA/24)))</f>
        <v/>
      </c>
      <c r="BS477" s="35" t="str">
        <f aca="true">IF(BR477="","",IF(AD477="",IF(NOW()&gt;BR477,0,""),IF(AD477&lt;=BR477,1,0)))</f>
        <v/>
      </c>
      <c r="BT477" s="35" t="str">
        <f aca="true">IF(OR(BR477="",AD477=""),"",IF(AE477="",IF(NOW()&gt;AD477+DORA_H_INT/24,0,""),IF(AE477&lt;=AD477+DORA_H_INT/24,1,0)))</f>
        <v/>
      </c>
      <c r="BU477" s="35" t="str">
        <f aca="true">IF(OR(BR477="",AE477=""),"",IF(AF477="",IF(NOW()&gt;EDATE(AE477,DORA_M_FIN)+1,0,""),IF(AF477&lt;=EDATE(AE477,DORA_M_FIN),1,0)))</f>
        <v/>
      </c>
      <c r="BV477" s="35" t="str">
        <f aca="false">IF(BR477="","",IF(COUNT(BS477:BU477)=0,"",MIN(BS477:BU477)))</f>
        <v/>
      </c>
      <c r="BW477" s="40" t="str">
        <f aca="false">IF(AQ477&lt;&gt;1,"",IF(AND(AG477="",AH477=""),"",N(AG477)-N(AH477)))</f>
        <v/>
      </c>
      <c r="BX477" s="35" t="str">
        <f aca="true">IF(OR(AQ477&lt;&gt;1,AI477&lt;&gt;"Oui",AJ477=""),"",IF(AK477="",IF(NOW()&gt;AJ477+1,0,""),IF(AK477&lt;=AJ477,1,0)))</f>
        <v/>
      </c>
    </row>
    <row r="478" customFormat="false" ht="15" hidden="false" customHeight="false" outlineLevel="0" collapsed="false">
      <c r="B478" s="29"/>
      <c r="C478" s="29"/>
      <c r="D478" s="29"/>
      <c r="E478" s="29"/>
      <c r="F478" s="29"/>
      <c r="G478" s="29"/>
      <c r="H478" s="29"/>
      <c r="I478" s="29"/>
      <c r="J478" s="29"/>
      <c r="K478" s="29"/>
      <c r="L478" s="29"/>
      <c r="M478" s="29"/>
      <c r="N478" s="30"/>
      <c r="O478" s="30"/>
      <c r="P478" s="30"/>
      <c r="Q478" s="30"/>
      <c r="R478" s="30"/>
      <c r="S478" s="30"/>
      <c r="T478" s="30"/>
      <c r="U478" s="30"/>
      <c r="V478" s="31"/>
      <c r="W478" s="29"/>
      <c r="X478" s="29"/>
      <c r="Y478" s="29"/>
      <c r="Z478" s="29"/>
      <c r="AA478" s="30"/>
      <c r="AB478" s="30"/>
      <c r="AC478" s="30"/>
      <c r="AD478" s="30"/>
      <c r="AE478" s="30"/>
      <c r="AF478" s="32"/>
      <c r="AG478" s="33"/>
      <c r="AH478" s="33"/>
      <c r="AI478" s="29"/>
      <c r="AJ478" s="32"/>
      <c r="AK478" s="32"/>
      <c r="AL478" s="29"/>
      <c r="AN478" s="34" t="str">
        <f aca="false">IF($B478="","",IF(OR(C478="",D478="",E478="",G478="",I478="",J478="",L478="",O478="",P478=""),"Champ obligatoire manquant",IF(OR(AND(N478&lt;&gt;"",N478&gt;O478),O478&gt;P478,AND(Q478&lt;&gt;"",Q478&lt;P478),AND(R478&lt;&gt;"",R478&lt;P478),AND(S478&lt;&gt;"",S478&lt;R478),AND(S478&lt;&gt;"",R478=""),AND(T478&lt;&gt;"",T478&lt;O478),AND(U478&lt;&gt;"",U478&lt;O478)),"Chronologie incohérente",IF(AND(OR(L478="Résolu",L478="Clos"),R478=""),"Date de résolution manquante",IF(AND(L478="Clos",S478=""),"Date de clôture manquante",IF(AND(K478="Oui",AC478=""),"Classification DORA manquante","OK"))))))</f>
        <v/>
      </c>
      <c r="AO478" s="35" t="str">
        <f aca="false">IF($B478="","",IF(AND(C478="Incident",L478&lt;&gt;"Annulé"),1,0))</f>
        <v/>
      </c>
      <c r="AP478" s="35" t="str">
        <f aca="false">IF($B478="","",IF(AND(C478="Quasi-incident",L478&lt;&gt;"Annulé"),1,0))</f>
        <v/>
      </c>
      <c r="AQ478" s="35" t="str">
        <f aca="false">IF($B478="","",AO478+AP478)</f>
        <v/>
      </c>
      <c r="AR478" s="36" t="str">
        <f aca="false">IF(OR($B478="",J478=""),"",IFERROR(VALUE(LEFT(J478,1)),""))</f>
        <v/>
      </c>
      <c r="AS478" s="35" t="str">
        <f aca="false">IF(OR(AO478&lt;&gt;1,G478=""),"",IFERROR(IF(INDEX(L_SrcInterne,MATCH(G478,L_Sources,0))="Oui",1,0),""))</f>
        <v/>
      </c>
      <c r="AT478" s="37" t="str">
        <f aca="false">IF(AO478&lt;&gt;1,"",IFERROR(ROUND(IF(OR(N478="",O478=""),"",IF(O478&lt;N478,"",ROUND(((NETWORKDAYS(N478,O478,JoursFeries)-1)*(HFer-HOuv)+IF(NETWORKDAYS(O478,O478,JoursFeries),MEDIAN(MOD(O478,1),HFer,HOuv),HFer)-IF(NETWORKDAYS(N478,N478,JoursFeries),MEDIAN(MOD(N478,1),HFer,HOuv),HOuv))*24,4)))/HJour,4),""))</f>
        <v/>
      </c>
      <c r="AU478" s="37" t="str">
        <f aca="false">IF(AO478&lt;&gt;1,"",IF(OR(O478="",P478=""),"",IF(P478&lt;O478,"",ROUND(((NETWORKDAYS(O478,P478,JoursFeries)-1)*(HFer-HOuv)+IF(NETWORKDAYS(P478,P478,JoursFeries),MEDIAN(MOD(P478,1),HFer,HOuv),HFer)-IF(NETWORKDAYS(O478,O478,JoursFeries),MEDIAN(MOD(O478,1),HFer,HOuv),HOuv))*24,4))))</f>
        <v/>
      </c>
      <c r="AV478" s="37" t="str">
        <f aca="false">IF(AO478&lt;&gt;1,"",IF(OR(P478="",Q478=""),"",IF(Q478&lt;P478,"",ROUND(((NETWORKDAYS(P478,Q478,JoursFeries)-1)*(HFer-HOuv)+IF(NETWORKDAYS(Q478,Q478,JoursFeries),MEDIAN(MOD(Q478,1),HFer,HOuv),HFer)-IF(NETWORKDAYS(P478,P478,JoursFeries),MEDIAN(MOD(P478,1),HFer,HOuv),HOuv))*24,4))))</f>
        <v/>
      </c>
      <c r="AW478" s="37" t="str">
        <f aca="false">IF(AO478&lt;&gt;1,"",IFERROR(ROUND(IF(OR(P478="",R478=""),"",IF(R478&lt;P478,"",ROUND(((NETWORKDAYS(P478,R478,JoursFeries)-1)*(HFer-HOuv)+IF(NETWORKDAYS(R478,R478,JoursFeries),MEDIAN(MOD(R478,1),HFer,HOuv),HFer)-IF(NETWORKDAYS(P478,P478,JoursFeries),MEDIAN(MOD(P478,1),HFer,HOuv),HOuv))*24,4)))/HJour,4),""))</f>
        <v/>
      </c>
      <c r="AX478" s="37" t="str">
        <f aca="false">IF(AO478&lt;&gt;1,"",IFERROR(ROUND(IF(OR(P478="",S478=""),"",IF(S478&lt;P478,"",ROUND(((NETWORKDAYS(P478,S478,JoursFeries)-1)*(HFer-HOuv)+IF(NETWORKDAYS(S478,S478,JoursFeries),MEDIAN(MOD(S478,1),HFer,HOuv),HFer)-IF(NETWORKDAYS(P478,P478,JoursFeries),MEDIAN(MOD(P478,1),HFer,HOuv),HOuv))*24,4)))/HJour,4),""))</f>
        <v/>
      </c>
      <c r="AY478" s="36" t="str">
        <f aca="false">IF(OR(AO478&lt;&gt;1,AR478=""),"",INDEX(SLA_PEC,AR478))</f>
        <v/>
      </c>
      <c r="AZ478" s="35" t="str">
        <f aca="false">IF(OR(AV478="",AY478=""),"",IF(AV478&lt;=AY478,1,0))</f>
        <v/>
      </c>
      <c r="BA478" s="36" t="str">
        <f aca="false">IF(OR(AO478&lt;&gt;1,AR478=""),"",INDEX(SLA_RES,AR478))</f>
        <v/>
      </c>
      <c r="BB478" s="35" t="str">
        <f aca="false">IF(OR(AW478="",BA478=""),"",IF(AW478&lt;=BA478,1,0))</f>
        <v/>
      </c>
      <c r="BC478" s="38" t="str">
        <f aca="false">IF(OR(BA478="",P478=""),"",WORKDAY(INT(P478),BA478,JoursFeries)+MOD(P478,1))</f>
        <v/>
      </c>
      <c r="BD478" s="39" t="str">
        <f aca="false">IF(AO478&lt;&gt;1,"",IF(OR(AB478&lt;&gt;"",AD478&lt;&gt;""),4,IF(U478&lt;&gt;"",3,IF(T478&lt;&gt;"",2,1))))</f>
        <v/>
      </c>
      <c r="BE478" s="39" t="str">
        <f aca="false">IF(OR(AO478&lt;&gt;1,AR478=""),"",INDEX(NIV_REQ,AR478))</f>
        <v/>
      </c>
      <c r="BF478" s="39" t="str">
        <f aca="false">IF(BE478="","",MAX(BE478,IF(OR(K478="Oui",Z478="Oui"),4,1)))</f>
        <v/>
      </c>
      <c r="BG478" s="35" t="str">
        <f aca="false">IF(OR(BF478="",BD478=""),"",IF(BD478&gt;=BF478,1,0))</f>
        <v/>
      </c>
      <c r="BH478" s="38" t="str">
        <f aca="false">IF(BE478="","",IF(BE478&lt;2,"",IF(BE478=2,IF(AND(T478="",U478=""),"",MIN(T478,U478)),IF(U478="","",U478))))</f>
        <v/>
      </c>
      <c r="BI478" s="37" t="str">
        <f aca="false">IF(BH478="","",IF(OR(O478="",BH478=""),"",IF(BH478&lt;O478,"",ROUND(((NETWORKDAYS(O478,BH478,JoursFeries)-1)*(HFer-HOuv)+IF(NETWORKDAYS(BH478,BH478,JoursFeries),MEDIAN(MOD(BH478,1),HFer,HOuv),HFer)-IF(NETWORKDAYS(O478,O478,JoursFeries),MEDIAN(MOD(O478,1),HFer,HOuv),HOuv))*24,4))))</f>
        <v/>
      </c>
      <c r="BJ478" s="35" t="str">
        <f aca="false">IF(OR(BI478="",AR478=""),"",IF(BI478&lt;=INDEX(DELAI_ESC,AR478),1,0))</f>
        <v/>
      </c>
      <c r="BK478" s="38" t="str">
        <f aca="false">IF(AO478&lt;&gt;1,"",IF(AND(T478="",U478=""),"",MIN(T478,U478)))</f>
        <v/>
      </c>
      <c r="BL478" s="37" t="str">
        <f aca="false">IF(OR(BK478="",R478=""),"",IFERROR(ROUND(IF(OR(BK478="",R478=""),"",IF(R478&lt;BK478,"",ROUND(((NETWORKDAYS(BK478,R478,JoursFeries)-1)*(HFer-HOuv)+IF(NETWORKDAYS(R478,R478,JoursFeries),MEDIAN(MOD(R478,1),HFer,HOuv),HFer)-IF(NETWORKDAYS(BK478,BK478,JoursFeries),MEDIAN(MOD(BK478,1),HFer,HOuv),HOuv))*24,4)))/HJour,4),""))</f>
        <v/>
      </c>
      <c r="BM478" s="35" t="str">
        <f aca="false">IF(OR(AO478&lt;&gt;1,R478=""),"",IF(BD478=1,1,0))</f>
        <v/>
      </c>
      <c r="BN478" s="35" t="str">
        <f aca="false">IF(AO478&lt;&gt;1,"",IF(W478="Oui",1,0))</f>
        <v/>
      </c>
      <c r="BO478" s="35" t="str">
        <f aca="false">IF(AO478&lt;&gt;1,"",IF(X478&lt;&gt;"",1,0))</f>
        <v/>
      </c>
      <c r="BP478" s="35" t="str">
        <f aca="false">IF(AO478&lt;&gt;1,"",IF(Y478="Oui",1,0))</f>
        <v/>
      </c>
      <c r="BQ478" s="35" t="str">
        <f aca="true">IF(OR(AO478&lt;&gt;1,Z478&lt;&gt;"Oui"),"",IF(AB478="",IF(AND(AA478&lt;&gt;"",NOW()&gt;AA478),0,""),IF(AA478="","",IF(AB478&lt;=AA478,1,0))))</f>
        <v/>
      </c>
      <c r="BR478" s="38" t="str">
        <f aca="false">IF(OR(AO478&lt;&gt;1,K478&lt;&gt;"Oui",O478=""),"",IF(AC478="",O478+DORA_H_DET/24,IF(AC478-O478&lt;=DORA_H_DET/24,MIN(AC478+DORA_H_CLA/24,O478+DORA_H_DET/24),AC478+DORA_H_CLA/24)))</f>
        <v/>
      </c>
      <c r="BS478" s="35" t="str">
        <f aca="true">IF(BR478="","",IF(AD478="",IF(NOW()&gt;BR478,0,""),IF(AD478&lt;=BR478,1,0)))</f>
        <v/>
      </c>
      <c r="BT478" s="35" t="str">
        <f aca="true">IF(OR(BR478="",AD478=""),"",IF(AE478="",IF(NOW()&gt;AD478+DORA_H_INT/24,0,""),IF(AE478&lt;=AD478+DORA_H_INT/24,1,0)))</f>
        <v/>
      </c>
      <c r="BU478" s="35" t="str">
        <f aca="true">IF(OR(BR478="",AE478=""),"",IF(AF478="",IF(NOW()&gt;EDATE(AE478,DORA_M_FIN)+1,0,""),IF(AF478&lt;=EDATE(AE478,DORA_M_FIN),1,0)))</f>
        <v/>
      </c>
      <c r="BV478" s="35" t="str">
        <f aca="false">IF(BR478="","",IF(COUNT(BS478:BU478)=0,"",MIN(BS478:BU478)))</f>
        <v/>
      </c>
      <c r="BW478" s="40" t="str">
        <f aca="false">IF(AQ478&lt;&gt;1,"",IF(AND(AG478="",AH478=""),"",N(AG478)-N(AH478)))</f>
        <v/>
      </c>
      <c r="BX478" s="35" t="str">
        <f aca="true">IF(OR(AQ478&lt;&gt;1,AI478&lt;&gt;"Oui",AJ478=""),"",IF(AK478="",IF(NOW()&gt;AJ478+1,0,""),IF(AK478&lt;=AJ478,1,0)))</f>
        <v/>
      </c>
    </row>
    <row r="479" customFormat="false" ht="15" hidden="false" customHeight="false" outlineLevel="0" collapsed="false">
      <c r="B479" s="29"/>
      <c r="C479" s="29"/>
      <c r="D479" s="29"/>
      <c r="E479" s="29"/>
      <c r="F479" s="29"/>
      <c r="G479" s="29"/>
      <c r="H479" s="29"/>
      <c r="I479" s="29"/>
      <c r="J479" s="29"/>
      <c r="K479" s="29"/>
      <c r="L479" s="29"/>
      <c r="M479" s="29"/>
      <c r="N479" s="30"/>
      <c r="O479" s="30"/>
      <c r="P479" s="30"/>
      <c r="Q479" s="30"/>
      <c r="R479" s="30"/>
      <c r="S479" s="30"/>
      <c r="T479" s="30"/>
      <c r="U479" s="30"/>
      <c r="V479" s="31"/>
      <c r="W479" s="29"/>
      <c r="X479" s="29"/>
      <c r="Y479" s="29"/>
      <c r="Z479" s="29"/>
      <c r="AA479" s="30"/>
      <c r="AB479" s="30"/>
      <c r="AC479" s="30"/>
      <c r="AD479" s="30"/>
      <c r="AE479" s="30"/>
      <c r="AF479" s="32"/>
      <c r="AG479" s="33"/>
      <c r="AH479" s="33"/>
      <c r="AI479" s="29"/>
      <c r="AJ479" s="32"/>
      <c r="AK479" s="32"/>
      <c r="AL479" s="29"/>
      <c r="AN479" s="34" t="str">
        <f aca="false">IF($B479="","",IF(OR(C479="",D479="",E479="",G479="",I479="",J479="",L479="",O479="",P479=""),"Champ obligatoire manquant",IF(OR(AND(N479&lt;&gt;"",N479&gt;O479),O479&gt;P479,AND(Q479&lt;&gt;"",Q479&lt;P479),AND(R479&lt;&gt;"",R479&lt;P479),AND(S479&lt;&gt;"",S479&lt;R479),AND(S479&lt;&gt;"",R479=""),AND(T479&lt;&gt;"",T479&lt;O479),AND(U479&lt;&gt;"",U479&lt;O479)),"Chronologie incohérente",IF(AND(OR(L479="Résolu",L479="Clos"),R479=""),"Date de résolution manquante",IF(AND(L479="Clos",S479=""),"Date de clôture manquante",IF(AND(K479="Oui",AC479=""),"Classification DORA manquante","OK"))))))</f>
        <v/>
      </c>
      <c r="AO479" s="35" t="str">
        <f aca="false">IF($B479="","",IF(AND(C479="Incident",L479&lt;&gt;"Annulé"),1,0))</f>
        <v/>
      </c>
      <c r="AP479" s="35" t="str">
        <f aca="false">IF($B479="","",IF(AND(C479="Quasi-incident",L479&lt;&gt;"Annulé"),1,0))</f>
        <v/>
      </c>
      <c r="AQ479" s="35" t="str">
        <f aca="false">IF($B479="","",AO479+AP479)</f>
        <v/>
      </c>
      <c r="AR479" s="36" t="str">
        <f aca="false">IF(OR($B479="",J479=""),"",IFERROR(VALUE(LEFT(J479,1)),""))</f>
        <v/>
      </c>
      <c r="AS479" s="35" t="str">
        <f aca="false">IF(OR(AO479&lt;&gt;1,G479=""),"",IFERROR(IF(INDEX(L_SrcInterne,MATCH(G479,L_Sources,0))="Oui",1,0),""))</f>
        <v/>
      </c>
      <c r="AT479" s="37" t="str">
        <f aca="false">IF(AO479&lt;&gt;1,"",IFERROR(ROUND(IF(OR(N479="",O479=""),"",IF(O479&lt;N479,"",ROUND(((NETWORKDAYS(N479,O479,JoursFeries)-1)*(HFer-HOuv)+IF(NETWORKDAYS(O479,O479,JoursFeries),MEDIAN(MOD(O479,1),HFer,HOuv),HFer)-IF(NETWORKDAYS(N479,N479,JoursFeries),MEDIAN(MOD(N479,1),HFer,HOuv),HOuv))*24,4)))/HJour,4),""))</f>
        <v/>
      </c>
      <c r="AU479" s="37" t="str">
        <f aca="false">IF(AO479&lt;&gt;1,"",IF(OR(O479="",P479=""),"",IF(P479&lt;O479,"",ROUND(((NETWORKDAYS(O479,P479,JoursFeries)-1)*(HFer-HOuv)+IF(NETWORKDAYS(P479,P479,JoursFeries),MEDIAN(MOD(P479,1),HFer,HOuv),HFer)-IF(NETWORKDAYS(O479,O479,JoursFeries),MEDIAN(MOD(O479,1),HFer,HOuv),HOuv))*24,4))))</f>
        <v/>
      </c>
      <c r="AV479" s="37" t="str">
        <f aca="false">IF(AO479&lt;&gt;1,"",IF(OR(P479="",Q479=""),"",IF(Q479&lt;P479,"",ROUND(((NETWORKDAYS(P479,Q479,JoursFeries)-1)*(HFer-HOuv)+IF(NETWORKDAYS(Q479,Q479,JoursFeries),MEDIAN(MOD(Q479,1),HFer,HOuv),HFer)-IF(NETWORKDAYS(P479,P479,JoursFeries),MEDIAN(MOD(P479,1),HFer,HOuv),HOuv))*24,4))))</f>
        <v/>
      </c>
      <c r="AW479" s="37" t="str">
        <f aca="false">IF(AO479&lt;&gt;1,"",IFERROR(ROUND(IF(OR(P479="",R479=""),"",IF(R479&lt;P479,"",ROUND(((NETWORKDAYS(P479,R479,JoursFeries)-1)*(HFer-HOuv)+IF(NETWORKDAYS(R479,R479,JoursFeries),MEDIAN(MOD(R479,1),HFer,HOuv),HFer)-IF(NETWORKDAYS(P479,P479,JoursFeries),MEDIAN(MOD(P479,1),HFer,HOuv),HOuv))*24,4)))/HJour,4),""))</f>
        <v/>
      </c>
      <c r="AX479" s="37" t="str">
        <f aca="false">IF(AO479&lt;&gt;1,"",IFERROR(ROUND(IF(OR(P479="",S479=""),"",IF(S479&lt;P479,"",ROUND(((NETWORKDAYS(P479,S479,JoursFeries)-1)*(HFer-HOuv)+IF(NETWORKDAYS(S479,S479,JoursFeries),MEDIAN(MOD(S479,1),HFer,HOuv),HFer)-IF(NETWORKDAYS(P479,P479,JoursFeries),MEDIAN(MOD(P479,1),HFer,HOuv),HOuv))*24,4)))/HJour,4),""))</f>
        <v/>
      </c>
      <c r="AY479" s="36" t="str">
        <f aca="false">IF(OR(AO479&lt;&gt;1,AR479=""),"",INDEX(SLA_PEC,AR479))</f>
        <v/>
      </c>
      <c r="AZ479" s="35" t="str">
        <f aca="false">IF(OR(AV479="",AY479=""),"",IF(AV479&lt;=AY479,1,0))</f>
        <v/>
      </c>
      <c r="BA479" s="36" t="str">
        <f aca="false">IF(OR(AO479&lt;&gt;1,AR479=""),"",INDEX(SLA_RES,AR479))</f>
        <v/>
      </c>
      <c r="BB479" s="35" t="str">
        <f aca="false">IF(OR(AW479="",BA479=""),"",IF(AW479&lt;=BA479,1,0))</f>
        <v/>
      </c>
      <c r="BC479" s="38" t="str">
        <f aca="false">IF(OR(BA479="",P479=""),"",WORKDAY(INT(P479),BA479,JoursFeries)+MOD(P479,1))</f>
        <v/>
      </c>
      <c r="BD479" s="39" t="str">
        <f aca="false">IF(AO479&lt;&gt;1,"",IF(OR(AB479&lt;&gt;"",AD479&lt;&gt;""),4,IF(U479&lt;&gt;"",3,IF(T479&lt;&gt;"",2,1))))</f>
        <v/>
      </c>
      <c r="BE479" s="39" t="str">
        <f aca="false">IF(OR(AO479&lt;&gt;1,AR479=""),"",INDEX(NIV_REQ,AR479))</f>
        <v/>
      </c>
      <c r="BF479" s="39" t="str">
        <f aca="false">IF(BE479="","",MAX(BE479,IF(OR(K479="Oui",Z479="Oui"),4,1)))</f>
        <v/>
      </c>
      <c r="BG479" s="35" t="str">
        <f aca="false">IF(OR(BF479="",BD479=""),"",IF(BD479&gt;=BF479,1,0))</f>
        <v/>
      </c>
      <c r="BH479" s="38" t="str">
        <f aca="false">IF(BE479="","",IF(BE479&lt;2,"",IF(BE479=2,IF(AND(T479="",U479=""),"",MIN(T479,U479)),IF(U479="","",U479))))</f>
        <v/>
      </c>
      <c r="BI479" s="37" t="str">
        <f aca="false">IF(BH479="","",IF(OR(O479="",BH479=""),"",IF(BH479&lt;O479,"",ROUND(((NETWORKDAYS(O479,BH479,JoursFeries)-1)*(HFer-HOuv)+IF(NETWORKDAYS(BH479,BH479,JoursFeries),MEDIAN(MOD(BH479,1),HFer,HOuv),HFer)-IF(NETWORKDAYS(O479,O479,JoursFeries),MEDIAN(MOD(O479,1),HFer,HOuv),HOuv))*24,4))))</f>
        <v/>
      </c>
      <c r="BJ479" s="35" t="str">
        <f aca="false">IF(OR(BI479="",AR479=""),"",IF(BI479&lt;=INDEX(DELAI_ESC,AR479),1,0))</f>
        <v/>
      </c>
      <c r="BK479" s="38" t="str">
        <f aca="false">IF(AO479&lt;&gt;1,"",IF(AND(T479="",U479=""),"",MIN(T479,U479)))</f>
        <v/>
      </c>
      <c r="BL479" s="37" t="str">
        <f aca="false">IF(OR(BK479="",R479=""),"",IFERROR(ROUND(IF(OR(BK479="",R479=""),"",IF(R479&lt;BK479,"",ROUND(((NETWORKDAYS(BK479,R479,JoursFeries)-1)*(HFer-HOuv)+IF(NETWORKDAYS(R479,R479,JoursFeries),MEDIAN(MOD(R479,1),HFer,HOuv),HFer)-IF(NETWORKDAYS(BK479,BK479,JoursFeries),MEDIAN(MOD(BK479,1),HFer,HOuv),HOuv))*24,4)))/HJour,4),""))</f>
        <v/>
      </c>
      <c r="BM479" s="35" t="str">
        <f aca="false">IF(OR(AO479&lt;&gt;1,R479=""),"",IF(BD479=1,1,0))</f>
        <v/>
      </c>
      <c r="BN479" s="35" t="str">
        <f aca="false">IF(AO479&lt;&gt;1,"",IF(W479="Oui",1,0))</f>
        <v/>
      </c>
      <c r="BO479" s="35" t="str">
        <f aca="false">IF(AO479&lt;&gt;1,"",IF(X479&lt;&gt;"",1,0))</f>
        <v/>
      </c>
      <c r="BP479" s="35" t="str">
        <f aca="false">IF(AO479&lt;&gt;1,"",IF(Y479="Oui",1,0))</f>
        <v/>
      </c>
      <c r="BQ479" s="35" t="str">
        <f aca="true">IF(OR(AO479&lt;&gt;1,Z479&lt;&gt;"Oui"),"",IF(AB479="",IF(AND(AA479&lt;&gt;"",NOW()&gt;AA479),0,""),IF(AA479="","",IF(AB479&lt;=AA479,1,0))))</f>
        <v/>
      </c>
      <c r="BR479" s="38" t="str">
        <f aca="false">IF(OR(AO479&lt;&gt;1,K479&lt;&gt;"Oui",O479=""),"",IF(AC479="",O479+DORA_H_DET/24,IF(AC479-O479&lt;=DORA_H_DET/24,MIN(AC479+DORA_H_CLA/24,O479+DORA_H_DET/24),AC479+DORA_H_CLA/24)))</f>
        <v/>
      </c>
      <c r="BS479" s="35" t="str">
        <f aca="true">IF(BR479="","",IF(AD479="",IF(NOW()&gt;BR479,0,""),IF(AD479&lt;=BR479,1,0)))</f>
        <v/>
      </c>
      <c r="BT479" s="35" t="str">
        <f aca="true">IF(OR(BR479="",AD479=""),"",IF(AE479="",IF(NOW()&gt;AD479+DORA_H_INT/24,0,""),IF(AE479&lt;=AD479+DORA_H_INT/24,1,0)))</f>
        <v/>
      </c>
      <c r="BU479" s="35" t="str">
        <f aca="true">IF(OR(BR479="",AE479=""),"",IF(AF479="",IF(NOW()&gt;EDATE(AE479,DORA_M_FIN)+1,0,""),IF(AF479&lt;=EDATE(AE479,DORA_M_FIN),1,0)))</f>
        <v/>
      </c>
      <c r="BV479" s="35" t="str">
        <f aca="false">IF(BR479="","",IF(COUNT(BS479:BU479)=0,"",MIN(BS479:BU479)))</f>
        <v/>
      </c>
      <c r="BW479" s="40" t="str">
        <f aca="false">IF(AQ479&lt;&gt;1,"",IF(AND(AG479="",AH479=""),"",N(AG479)-N(AH479)))</f>
        <v/>
      </c>
      <c r="BX479" s="35" t="str">
        <f aca="true">IF(OR(AQ479&lt;&gt;1,AI479&lt;&gt;"Oui",AJ479=""),"",IF(AK479="",IF(NOW()&gt;AJ479+1,0,""),IF(AK479&lt;=AJ479,1,0)))</f>
        <v/>
      </c>
    </row>
    <row r="480" customFormat="false" ht="15" hidden="false" customHeight="false" outlineLevel="0" collapsed="false">
      <c r="B480" s="29"/>
      <c r="C480" s="29"/>
      <c r="D480" s="29"/>
      <c r="E480" s="29"/>
      <c r="F480" s="29"/>
      <c r="G480" s="29"/>
      <c r="H480" s="29"/>
      <c r="I480" s="29"/>
      <c r="J480" s="29"/>
      <c r="K480" s="29"/>
      <c r="L480" s="29"/>
      <c r="M480" s="29"/>
      <c r="N480" s="30"/>
      <c r="O480" s="30"/>
      <c r="P480" s="30"/>
      <c r="Q480" s="30"/>
      <c r="R480" s="30"/>
      <c r="S480" s="30"/>
      <c r="T480" s="30"/>
      <c r="U480" s="30"/>
      <c r="V480" s="31"/>
      <c r="W480" s="29"/>
      <c r="X480" s="29"/>
      <c r="Y480" s="29"/>
      <c r="Z480" s="29"/>
      <c r="AA480" s="30"/>
      <c r="AB480" s="30"/>
      <c r="AC480" s="30"/>
      <c r="AD480" s="30"/>
      <c r="AE480" s="30"/>
      <c r="AF480" s="32"/>
      <c r="AG480" s="33"/>
      <c r="AH480" s="33"/>
      <c r="AI480" s="29"/>
      <c r="AJ480" s="32"/>
      <c r="AK480" s="32"/>
      <c r="AL480" s="29"/>
      <c r="AN480" s="34" t="str">
        <f aca="false">IF($B480="","",IF(OR(C480="",D480="",E480="",G480="",I480="",J480="",L480="",O480="",P480=""),"Champ obligatoire manquant",IF(OR(AND(N480&lt;&gt;"",N480&gt;O480),O480&gt;P480,AND(Q480&lt;&gt;"",Q480&lt;P480),AND(R480&lt;&gt;"",R480&lt;P480),AND(S480&lt;&gt;"",S480&lt;R480),AND(S480&lt;&gt;"",R480=""),AND(T480&lt;&gt;"",T480&lt;O480),AND(U480&lt;&gt;"",U480&lt;O480)),"Chronologie incohérente",IF(AND(OR(L480="Résolu",L480="Clos"),R480=""),"Date de résolution manquante",IF(AND(L480="Clos",S480=""),"Date de clôture manquante",IF(AND(K480="Oui",AC480=""),"Classification DORA manquante","OK"))))))</f>
        <v/>
      </c>
      <c r="AO480" s="35" t="str">
        <f aca="false">IF($B480="","",IF(AND(C480="Incident",L480&lt;&gt;"Annulé"),1,0))</f>
        <v/>
      </c>
      <c r="AP480" s="35" t="str">
        <f aca="false">IF($B480="","",IF(AND(C480="Quasi-incident",L480&lt;&gt;"Annulé"),1,0))</f>
        <v/>
      </c>
      <c r="AQ480" s="35" t="str">
        <f aca="false">IF($B480="","",AO480+AP480)</f>
        <v/>
      </c>
      <c r="AR480" s="36" t="str">
        <f aca="false">IF(OR($B480="",J480=""),"",IFERROR(VALUE(LEFT(J480,1)),""))</f>
        <v/>
      </c>
      <c r="AS480" s="35" t="str">
        <f aca="false">IF(OR(AO480&lt;&gt;1,G480=""),"",IFERROR(IF(INDEX(L_SrcInterne,MATCH(G480,L_Sources,0))="Oui",1,0),""))</f>
        <v/>
      </c>
      <c r="AT480" s="37" t="str">
        <f aca="false">IF(AO480&lt;&gt;1,"",IFERROR(ROUND(IF(OR(N480="",O480=""),"",IF(O480&lt;N480,"",ROUND(((NETWORKDAYS(N480,O480,JoursFeries)-1)*(HFer-HOuv)+IF(NETWORKDAYS(O480,O480,JoursFeries),MEDIAN(MOD(O480,1),HFer,HOuv),HFer)-IF(NETWORKDAYS(N480,N480,JoursFeries),MEDIAN(MOD(N480,1),HFer,HOuv),HOuv))*24,4)))/HJour,4),""))</f>
        <v/>
      </c>
      <c r="AU480" s="37" t="str">
        <f aca="false">IF(AO480&lt;&gt;1,"",IF(OR(O480="",P480=""),"",IF(P480&lt;O480,"",ROUND(((NETWORKDAYS(O480,P480,JoursFeries)-1)*(HFer-HOuv)+IF(NETWORKDAYS(P480,P480,JoursFeries),MEDIAN(MOD(P480,1),HFer,HOuv),HFer)-IF(NETWORKDAYS(O480,O480,JoursFeries),MEDIAN(MOD(O480,1),HFer,HOuv),HOuv))*24,4))))</f>
        <v/>
      </c>
      <c r="AV480" s="37" t="str">
        <f aca="false">IF(AO480&lt;&gt;1,"",IF(OR(P480="",Q480=""),"",IF(Q480&lt;P480,"",ROUND(((NETWORKDAYS(P480,Q480,JoursFeries)-1)*(HFer-HOuv)+IF(NETWORKDAYS(Q480,Q480,JoursFeries),MEDIAN(MOD(Q480,1),HFer,HOuv),HFer)-IF(NETWORKDAYS(P480,P480,JoursFeries),MEDIAN(MOD(P480,1),HFer,HOuv),HOuv))*24,4))))</f>
        <v/>
      </c>
      <c r="AW480" s="37" t="str">
        <f aca="false">IF(AO480&lt;&gt;1,"",IFERROR(ROUND(IF(OR(P480="",R480=""),"",IF(R480&lt;P480,"",ROUND(((NETWORKDAYS(P480,R480,JoursFeries)-1)*(HFer-HOuv)+IF(NETWORKDAYS(R480,R480,JoursFeries),MEDIAN(MOD(R480,1),HFer,HOuv),HFer)-IF(NETWORKDAYS(P480,P480,JoursFeries),MEDIAN(MOD(P480,1),HFer,HOuv),HOuv))*24,4)))/HJour,4),""))</f>
        <v/>
      </c>
      <c r="AX480" s="37" t="str">
        <f aca="false">IF(AO480&lt;&gt;1,"",IFERROR(ROUND(IF(OR(P480="",S480=""),"",IF(S480&lt;P480,"",ROUND(((NETWORKDAYS(P480,S480,JoursFeries)-1)*(HFer-HOuv)+IF(NETWORKDAYS(S480,S480,JoursFeries),MEDIAN(MOD(S480,1),HFer,HOuv),HFer)-IF(NETWORKDAYS(P480,P480,JoursFeries),MEDIAN(MOD(P480,1),HFer,HOuv),HOuv))*24,4)))/HJour,4),""))</f>
        <v/>
      </c>
      <c r="AY480" s="36" t="str">
        <f aca="false">IF(OR(AO480&lt;&gt;1,AR480=""),"",INDEX(SLA_PEC,AR480))</f>
        <v/>
      </c>
      <c r="AZ480" s="35" t="str">
        <f aca="false">IF(OR(AV480="",AY480=""),"",IF(AV480&lt;=AY480,1,0))</f>
        <v/>
      </c>
      <c r="BA480" s="36" t="str">
        <f aca="false">IF(OR(AO480&lt;&gt;1,AR480=""),"",INDEX(SLA_RES,AR480))</f>
        <v/>
      </c>
      <c r="BB480" s="35" t="str">
        <f aca="false">IF(OR(AW480="",BA480=""),"",IF(AW480&lt;=BA480,1,0))</f>
        <v/>
      </c>
      <c r="BC480" s="38" t="str">
        <f aca="false">IF(OR(BA480="",P480=""),"",WORKDAY(INT(P480),BA480,JoursFeries)+MOD(P480,1))</f>
        <v/>
      </c>
      <c r="BD480" s="39" t="str">
        <f aca="false">IF(AO480&lt;&gt;1,"",IF(OR(AB480&lt;&gt;"",AD480&lt;&gt;""),4,IF(U480&lt;&gt;"",3,IF(T480&lt;&gt;"",2,1))))</f>
        <v/>
      </c>
      <c r="BE480" s="39" t="str">
        <f aca="false">IF(OR(AO480&lt;&gt;1,AR480=""),"",INDEX(NIV_REQ,AR480))</f>
        <v/>
      </c>
      <c r="BF480" s="39" t="str">
        <f aca="false">IF(BE480="","",MAX(BE480,IF(OR(K480="Oui",Z480="Oui"),4,1)))</f>
        <v/>
      </c>
      <c r="BG480" s="35" t="str">
        <f aca="false">IF(OR(BF480="",BD480=""),"",IF(BD480&gt;=BF480,1,0))</f>
        <v/>
      </c>
      <c r="BH480" s="38" t="str">
        <f aca="false">IF(BE480="","",IF(BE480&lt;2,"",IF(BE480=2,IF(AND(T480="",U480=""),"",MIN(T480,U480)),IF(U480="","",U480))))</f>
        <v/>
      </c>
      <c r="BI480" s="37" t="str">
        <f aca="false">IF(BH480="","",IF(OR(O480="",BH480=""),"",IF(BH480&lt;O480,"",ROUND(((NETWORKDAYS(O480,BH480,JoursFeries)-1)*(HFer-HOuv)+IF(NETWORKDAYS(BH480,BH480,JoursFeries),MEDIAN(MOD(BH480,1),HFer,HOuv),HFer)-IF(NETWORKDAYS(O480,O480,JoursFeries),MEDIAN(MOD(O480,1),HFer,HOuv),HOuv))*24,4))))</f>
        <v/>
      </c>
      <c r="BJ480" s="35" t="str">
        <f aca="false">IF(OR(BI480="",AR480=""),"",IF(BI480&lt;=INDEX(DELAI_ESC,AR480),1,0))</f>
        <v/>
      </c>
      <c r="BK480" s="38" t="str">
        <f aca="false">IF(AO480&lt;&gt;1,"",IF(AND(T480="",U480=""),"",MIN(T480,U480)))</f>
        <v/>
      </c>
      <c r="BL480" s="37" t="str">
        <f aca="false">IF(OR(BK480="",R480=""),"",IFERROR(ROUND(IF(OR(BK480="",R480=""),"",IF(R480&lt;BK480,"",ROUND(((NETWORKDAYS(BK480,R480,JoursFeries)-1)*(HFer-HOuv)+IF(NETWORKDAYS(R480,R480,JoursFeries),MEDIAN(MOD(R480,1),HFer,HOuv),HFer)-IF(NETWORKDAYS(BK480,BK480,JoursFeries),MEDIAN(MOD(BK480,1),HFer,HOuv),HOuv))*24,4)))/HJour,4),""))</f>
        <v/>
      </c>
      <c r="BM480" s="35" t="str">
        <f aca="false">IF(OR(AO480&lt;&gt;1,R480=""),"",IF(BD480=1,1,0))</f>
        <v/>
      </c>
      <c r="BN480" s="35" t="str">
        <f aca="false">IF(AO480&lt;&gt;1,"",IF(W480="Oui",1,0))</f>
        <v/>
      </c>
      <c r="BO480" s="35" t="str">
        <f aca="false">IF(AO480&lt;&gt;1,"",IF(X480&lt;&gt;"",1,0))</f>
        <v/>
      </c>
      <c r="BP480" s="35" t="str">
        <f aca="false">IF(AO480&lt;&gt;1,"",IF(Y480="Oui",1,0))</f>
        <v/>
      </c>
      <c r="BQ480" s="35" t="str">
        <f aca="true">IF(OR(AO480&lt;&gt;1,Z480&lt;&gt;"Oui"),"",IF(AB480="",IF(AND(AA480&lt;&gt;"",NOW()&gt;AA480),0,""),IF(AA480="","",IF(AB480&lt;=AA480,1,0))))</f>
        <v/>
      </c>
      <c r="BR480" s="38" t="str">
        <f aca="false">IF(OR(AO480&lt;&gt;1,K480&lt;&gt;"Oui",O480=""),"",IF(AC480="",O480+DORA_H_DET/24,IF(AC480-O480&lt;=DORA_H_DET/24,MIN(AC480+DORA_H_CLA/24,O480+DORA_H_DET/24),AC480+DORA_H_CLA/24)))</f>
        <v/>
      </c>
      <c r="BS480" s="35" t="str">
        <f aca="true">IF(BR480="","",IF(AD480="",IF(NOW()&gt;BR480,0,""),IF(AD480&lt;=BR480,1,0)))</f>
        <v/>
      </c>
      <c r="BT480" s="35" t="str">
        <f aca="true">IF(OR(BR480="",AD480=""),"",IF(AE480="",IF(NOW()&gt;AD480+DORA_H_INT/24,0,""),IF(AE480&lt;=AD480+DORA_H_INT/24,1,0)))</f>
        <v/>
      </c>
      <c r="BU480" s="35" t="str">
        <f aca="true">IF(OR(BR480="",AE480=""),"",IF(AF480="",IF(NOW()&gt;EDATE(AE480,DORA_M_FIN)+1,0,""),IF(AF480&lt;=EDATE(AE480,DORA_M_FIN),1,0)))</f>
        <v/>
      </c>
      <c r="BV480" s="35" t="str">
        <f aca="false">IF(BR480="","",IF(COUNT(BS480:BU480)=0,"",MIN(BS480:BU480)))</f>
        <v/>
      </c>
      <c r="BW480" s="40" t="str">
        <f aca="false">IF(AQ480&lt;&gt;1,"",IF(AND(AG480="",AH480=""),"",N(AG480)-N(AH480)))</f>
        <v/>
      </c>
      <c r="BX480" s="35" t="str">
        <f aca="true">IF(OR(AQ480&lt;&gt;1,AI480&lt;&gt;"Oui",AJ480=""),"",IF(AK480="",IF(NOW()&gt;AJ480+1,0,""),IF(AK480&lt;=AJ480,1,0)))</f>
        <v/>
      </c>
    </row>
    <row r="481" customFormat="false" ht="15" hidden="false" customHeight="false" outlineLevel="0" collapsed="false">
      <c r="B481" s="29"/>
      <c r="C481" s="29"/>
      <c r="D481" s="29"/>
      <c r="E481" s="29"/>
      <c r="F481" s="29"/>
      <c r="G481" s="29"/>
      <c r="H481" s="29"/>
      <c r="I481" s="29"/>
      <c r="J481" s="29"/>
      <c r="K481" s="29"/>
      <c r="L481" s="29"/>
      <c r="M481" s="29"/>
      <c r="N481" s="30"/>
      <c r="O481" s="30"/>
      <c r="P481" s="30"/>
      <c r="Q481" s="30"/>
      <c r="R481" s="30"/>
      <c r="S481" s="30"/>
      <c r="T481" s="30"/>
      <c r="U481" s="30"/>
      <c r="V481" s="31"/>
      <c r="W481" s="29"/>
      <c r="X481" s="29"/>
      <c r="Y481" s="29"/>
      <c r="Z481" s="29"/>
      <c r="AA481" s="30"/>
      <c r="AB481" s="30"/>
      <c r="AC481" s="30"/>
      <c r="AD481" s="30"/>
      <c r="AE481" s="30"/>
      <c r="AF481" s="32"/>
      <c r="AG481" s="33"/>
      <c r="AH481" s="33"/>
      <c r="AI481" s="29"/>
      <c r="AJ481" s="32"/>
      <c r="AK481" s="32"/>
      <c r="AL481" s="29"/>
      <c r="AN481" s="34" t="str">
        <f aca="false">IF($B481="","",IF(OR(C481="",D481="",E481="",G481="",I481="",J481="",L481="",O481="",P481=""),"Champ obligatoire manquant",IF(OR(AND(N481&lt;&gt;"",N481&gt;O481),O481&gt;P481,AND(Q481&lt;&gt;"",Q481&lt;P481),AND(R481&lt;&gt;"",R481&lt;P481),AND(S481&lt;&gt;"",S481&lt;R481),AND(S481&lt;&gt;"",R481=""),AND(T481&lt;&gt;"",T481&lt;O481),AND(U481&lt;&gt;"",U481&lt;O481)),"Chronologie incohérente",IF(AND(OR(L481="Résolu",L481="Clos"),R481=""),"Date de résolution manquante",IF(AND(L481="Clos",S481=""),"Date de clôture manquante",IF(AND(K481="Oui",AC481=""),"Classification DORA manquante","OK"))))))</f>
        <v/>
      </c>
      <c r="AO481" s="35" t="str">
        <f aca="false">IF($B481="","",IF(AND(C481="Incident",L481&lt;&gt;"Annulé"),1,0))</f>
        <v/>
      </c>
      <c r="AP481" s="35" t="str">
        <f aca="false">IF($B481="","",IF(AND(C481="Quasi-incident",L481&lt;&gt;"Annulé"),1,0))</f>
        <v/>
      </c>
      <c r="AQ481" s="35" t="str">
        <f aca="false">IF($B481="","",AO481+AP481)</f>
        <v/>
      </c>
      <c r="AR481" s="36" t="str">
        <f aca="false">IF(OR($B481="",J481=""),"",IFERROR(VALUE(LEFT(J481,1)),""))</f>
        <v/>
      </c>
      <c r="AS481" s="35" t="str">
        <f aca="false">IF(OR(AO481&lt;&gt;1,G481=""),"",IFERROR(IF(INDEX(L_SrcInterne,MATCH(G481,L_Sources,0))="Oui",1,0),""))</f>
        <v/>
      </c>
      <c r="AT481" s="37" t="str">
        <f aca="false">IF(AO481&lt;&gt;1,"",IFERROR(ROUND(IF(OR(N481="",O481=""),"",IF(O481&lt;N481,"",ROUND(((NETWORKDAYS(N481,O481,JoursFeries)-1)*(HFer-HOuv)+IF(NETWORKDAYS(O481,O481,JoursFeries),MEDIAN(MOD(O481,1),HFer,HOuv),HFer)-IF(NETWORKDAYS(N481,N481,JoursFeries),MEDIAN(MOD(N481,1),HFer,HOuv),HOuv))*24,4)))/HJour,4),""))</f>
        <v/>
      </c>
      <c r="AU481" s="37" t="str">
        <f aca="false">IF(AO481&lt;&gt;1,"",IF(OR(O481="",P481=""),"",IF(P481&lt;O481,"",ROUND(((NETWORKDAYS(O481,P481,JoursFeries)-1)*(HFer-HOuv)+IF(NETWORKDAYS(P481,P481,JoursFeries),MEDIAN(MOD(P481,1),HFer,HOuv),HFer)-IF(NETWORKDAYS(O481,O481,JoursFeries),MEDIAN(MOD(O481,1),HFer,HOuv),HOuv))*24,4))))</f>
        <v/>
      </c>
      <c r="AV481" s="37" t="str">
        <f aca="false">IF(AO481&lt;&gt;1,"",IF(OR(P481="",Q481=""),"",IF(Q481&lt;P481,"",ROUND(((NETWORKDAYS(P481,Q481,JoursFeries)-1)*(HFer-HOuv)+IF(NETWORKDAYS(Q481,Q481,JoursFeries),MEDIAN(MOD(Q481,1),HFer,HOuv),HFer)-IF(NETWORKDAYS(P481,P481,JoursFeries),MEDIAN(MOD(P481,1),HFer,HOuv),HOuv))*24,4))))</f>
        <v/>
      </c>
      <c r="AW481" s="37" t="str">
        <f aca="false">IF(AO481&lt;&gt;1,"",IFERROR(ROUND(IF(OR(P481="",R481=""),"",IF(R481&lt;P481,"",ROUND(((NETWORKDAYS(P481,R481,JoursFeries)-1)*(HFer-HOuv)+IF(NETWORKDAYS(R481,R481,JoursFeries),MEDIAN(MOD(R481,1),HFer,HOuv),HFer)-IF(NETWORKDAYS(P481,P481,JoursFeries),MEDIAN(MOD(P481,1),HFer,HOuv),HOuv))*24,4)))/HJour,4),""))</f>
        <v/>
      </c>
      <c r="AX481" s="37" t="str">
        <f aca="false">IF(AO481&lt;&gt;1,"",IFERROR(ROUND(IF(OR(P481="",S481=""),"",IF(S481&lt;P481,"",ROUND(((NETWORKDAYS(P481,S481,JoursFeries)-1)*(HFer-HOuv)+IF(NETWORKDAYS(S481,S481,JoursFeries),MEDIAN(MOD(S481,1),HFer,HOuv),HFer)-IF(NETWORKDAYS(P481,P481,JoursFeries),MEDIAN(MOD(P481,1),HFer,HOuv),HOuv))*24,4)))/HJour,4),""))</f>
        <v/>
      </c>
      <c r="AY481" s="36" t="str">
        <f aca="false">IF(OR(AO481&lt;&gt;1,AR481=""),"",INDEX(SLA_PEC,AR481))</f>
        <v/>
      </c>
      <c r="AZ481" s="35" t="str">
        <f aca="false">IF(OR(AV481="",AY481=""),"",IF(AV481&lt;=AY481,1,0))</f>
        <v/>
      </c>
      <c r="BA481" s="36" t="str">
        <f aca="false">IF(OR(AO481&lt;&gt;1,AR481=""),"",INDEX(SLA_RES,AR481))</f>
        <v/>
      </c>
      <c r="BB481" s="35" t="str">
        <f aca="false">IF(OR(AW481="",BA481=""),"",IF(AW481&lt;=BA481,1,0))</f>
        <v/>
      </c>
      <c r="BC481" s="38" t="str">
        <f aca="false">IF(OR(BA481="",P481=""),"",WORKDAY(INT(P481),BA481,JoursFeries)+MOD(P481,1))</f>
        <v/>
      </c>
      <c r="BD481" s="39" t="str">
        <f aca="false">IF(AO481&lt;&gt;1,"",IF(OR(AB481&lt;&gt;"",AD481&lt;&gt;""),4,IF(U481&lt;&gt;"",3,IF(T481&lt;&gt;"",2,1))))</f>
        <v/>
      </c>
      <c r="BE481" s="39" t="str">
        <f aca="false">IF(OR(AO481&lt;&gt;1,AR481=""),"",INDEX(NIV_REQ,AR481))</f>
        <v/>
      </c>
      <c r="BF481" s="39" t="str">
        <f aca="false">IF(BE481="","",MAX(BE481,IF(OR(K481="Oui",Z481="Oui"),4,1)))</f>
        <v/>
      </c>
      <c r="BG481" s="35" t="str">
        <f aca="false">IF(OR(BF481="",BD481=""),"",IF(BD481&gt;=BF481,1,0))</f>
        <v/>
      </c>
      <c r="BH481" s="38" t="str">
        <f aca="false">IF(BE481="","",IF(BE481&lt;2,"",IF(BE481=2,IF(AND(T481="",U481=""),"",MIN(T481,U481)),IF(U481="","",U481))))</f>
        <v/>
      </c>
      <c r="BI481" s="37" t="str">
        <f aca="false">IF(BH481="","",IF(OR(O481="",BH481=""),"",IF(BH481&lt;O481,"",ROUND(((NETWORKDAYS(O481,BH481,JoursFeries)-1)*(HFer-HOuv)+IF(NETWORKDAYS(BH481,BH481,JoursFeries),MEDIAN(MOD(BH481,1),HFer,HOuv),HFer)-IF(NETWORKDAYS(O481,O481,JoursFeries),MEDIAN(MOD(O481,1),HFer,HOuv),HOuv))*24,4))))</f>
        <v/>
      </c>
      <c r="BJ481" s="35" t="str">
        <f aca="false">IF(OR(BI481="",AR481=""),"",IF(BI481&lt;=INDEX(DELAI_ESC,AR481),1,0))</f>
        <v/>
      </c>
      <c r="BK481" s="38" t="str">
        <f aca="false">IF(AO481&lt;&gt;1,"",IF(AND(T481="",U481=""),"",MIN(T481,U481)))</f>
        <v/>
      </c>
      <c r="BL481" s="37" t="str">
        <f aca="false">IF(OR(BK481="",R481=""),"",IFERROR(ROUND(IF(OR(BK481="",R481=""),"",IF(R481&lt;BK481,"",ROUND(((NETWORKDAYS(BK481,R481,JoursFeries)-1)*(HFer-HOuv)+IF(NETWORKDAYS(R481,R481,JoursFeries),MEDIAN(MOD(R481,1),HFer,HOuv),HFer)-IF(NETWORKDAYS(BK481,BK481,JoursFeries),MEDIAN(MOD(BK481,1),HFer,HOuv),HOuv))*24,4)))/HJour,4),""))</f>
        <v/>
      </c>
      <c r="BM481" s="35" t="str">
        <f aca="false">IF(OR(AO481&lt;&gt;1,R481=""),"",IF(BD481=1,1,0))</f>
        <v/>
      </c>
      <c r="BN481" s="35" t="str">
        <f aca="false">IF(AO481&lt;&gt;1,"",IF(W481="Oui",1,0))</f>
        <v/>
      </c>
      <c r="BO481" s="35" t="str">
        <f aca="false">IF(AO481&lt;&gt;1,"",IF(X481&lt;&gt;"",1,0))</f>
        <v/>
      </c>
      <c r="BP481" s="35" t="str">
        <f aca="false">IF(AO481&lt;&gt;1,"",IF(Y481="Oui",1,0))</f>
        <v/>
      </c>
      <c r="BQ481" s="35" t="str">
        <f aca="true">IF(OR(AO481&lt;&gt;1,Z481&lt;&gt;"Oui"),"",IF(AB481="",IF(AND(AA481&lt;&gt;"",NOW()&gt;AA481),0,""),IF(AA481="","",IF(AB481&lt;=AA481,1,0))))</f>
        <v/>
      </c>
      <c r="BR481" s="38" t="str">
        <f aca="false">IF(OR(AO481&lt;&gt;1,K481&lt;&gt;"Oui",O481=""),"",IF(AC481="",O481+DORA_H_DET/24,IF(AC481-O481&lt;=DORA_H_DET/24,MIN(AC481+DORA_H_CLA/24,O481+DORA_H_DET/24),AC481+DORA_H_CLA/24)))</f>
        <v/>
      </c>
      <c r="BS481" s="35" t="str">
        <f aca="true">IF(BR481="","",IF(AD481="",IF(NOW()&gt;BR481,0,""),IF(AD481&lt;=BR481,1,0)))</f>
        <v/>
      </c>
      <c r="BT481" s="35" t="str">
        <f aca="true">IF(OR(BR481="",AD481=""),"",IF(AE481="",IF(NOW()&gt;AD481+DORA_H_INT/24,0,""),IF(AE481&lt;=AD481+DORA_H_INT/24,1,0)))</f>
        <v/>
      </c>
      <c r="BU481" s="35" t="str">
        <f aca="true">IF(OR(BR481="",AE481=""),"",IF(AF481="",IF(NOW()&gt;EDATE(AE481,DORA_M_FIN)+1,0,""),IF(AF481&lt;=EDATE(AE481,DORA_M_FIN),1,0)))</f>
        <v/>
      </c>
      <c r="BV481" s="35" t="str">
        <f aca="false">IF(BR481="","",IF(COUNT(BS481:BU481)=0,"",MIN(BS481:BU481)))</f>
        <v/>
      </c>
      <c r="BW481" s="40" t="str">
        <f aca="false">IF(AQ481&lt;&gt;1,"",IF(AND(AG481="",AH481=""),"",N(AG481)-N(AH481)))</f>
        <v/>
      </c>
      <c r="BX481" s="35" t="str">
        <f aca="true">IF(OR(AQ481&lt;&gt;1,AI481&lt;&gt;"Oui",AJ481=""),"",IF(AK481="",IF(NOW()&gt;AJ481+1,0,""),IF(AK481&lt;=AJ481,1,0)))</f>
        <v/>
      </c>
    </row>
    <row r="482" customFormat="false" ht="15" hidden="false" customHeight="false" outlineLevel="0" collapsed="false">
      <c r="B482" s="29"/>
      <c r="C482" s="29"/>
      <c r="D482" s="29"/>
      <c r="E482" s="29"/>
      <c r="F482" s="29"/>
      <c r="G482" s="29"/>
      <c r="H482" s="29"/>
      <c r="I482" s="29"/>
      <c r="J482" s="29"/>
      <c r="K482" s="29"/>
      <c r="L482" s="29"/>
      <c r="M482" s="29"/>
      <c r="N482" s="30"/>
      <c r="O482" s="30"/>
      <c r="P482" s="30"/>
      <c r="Q482" s="30"/>
      <c r="R482" s="30"/>
      <c r="S482" s="30"/>
      <c r="T482" s="30"/>
      <c r="U482" s="30"/>
      <c r="V482" s="31"/>
      <c r="W482" s="29"/>
      <c r="X482" s="29"/>
      <c r="Y482" s="29"/>
      <c r="Z482" s="29"/>
      <c r="AA482" s="30"/>
      <c r="AB482" s="30"/>
      <c r="AC482" s="30"/>
      <c r="AD482" s="30"/>
      <c r="AE482" s="30"/>
      <c r="AF482" s="32"/>
      <c r="AG482" s="33"/>
      <c r="AH482" s="33"/>
      <c r="AI482" s="29"/>
      <c r="AJ482" s="32"/>
      <c r="AK482" s="32"/>
      <c r="AL482" s="29"/>
      <c r="AN482" s="34" t="str">
        <f aca="false">IF($B482="","",IF(OR(C482="",D482="",E482="",G482="",I482="",J482="",L482="",O482="",P482=""),"Champ obligatoire manquant",IF(OR(AND(N482&lt;&gt;"",N482&gt;O482),O482&gt;P482,AND(Q482&lt;&gt;"",Q482&lt;P482),AND(R482&lt;&gt;"",R482&lt;P482),AND(S482&lt;&gt;"",S482&lt;R482),AND(S482&lt;&gt;"",R482=""),AND(T482&lt;&gt;"",T482&lt;O482),AND(U482&lt;&gt;"",U482&lt;O482)),"Chronologie incohérente",IF(AND(OR(L482="Résolu",L482="Clos"),R482=""),"Date de résolution manquante",IF(AND(L482="Clos",S482=""),"Date de clôture manquante",IF(AND(K482="Oui",AC482=""),"Classification DORA manquante","OK"))))))</f>
        <v/>
      </c>
      <c r="AO482" s="35" t="str">
        <f aca="false">IF($B482="","",IF(AND(C482="Incident",L482&lt;&gt;"Annulé"),1,0))</f>
        <v/>
      </c>
      <c r="AP482" s="35" t="str">
        <f aca="false">IF($B482="","",IF(AND(C482="Quasi-incident",L482&lt;&gt;"Annulé"),1,0))</f>
        <v/>
      </c>
      <c r="AQ482" s="35" t="str">
        <f aca="false">IF($B482="","",AO482+AP482)</f>
        <v/>
      </c>
      <c r="AR482" s="36" t="str">
        <f aca="false">IF(OR($B482="",J482=""),"",IFERROR(VALUE(LEFT(J482,1)),""))</f>
        <v/>
      </c>
      <c r="AS482" s="35" t="str">
        <f aca="false">IF(OR(AO482&lt;&gt;1,G482=""),"",IFERROR(IF(INDEX(L_SrcInterne,MATCH(G482,L_Sources,0))="Oui",1,0),""))</f>
        <v/>
      </c>
      <c r="AT482" s="37" t="str">
        <f aca="false">IF(AO482&lt;&gt;1,"",IFERROR(ROUND(IF(OR(N482="",O482=""),"",IF(O482&lt;N482,"",ROUND(((NETWORKDAYS(N482,O482,JoursFeries)-1)*(HFer-HOuv)+IF(NETWORKDAYS(O482,O482,JoursFeries),MEDIAN(MOD(O482,1),HFer,HOuv),HFer)-IF(NETWORKDAYS(N482,N482,JoursFeries),MEDIAN(MOD(N482,1),HFer,HOuv),HOuv))*24,4)))/HJour,4),""))</f>
        <v/>
      </c>
      <c r="AU482" s="37" t="str">
        <f aca="false">IF(AO482&lt;&gt;1,"",IF(OR(O482="",P482=""),"",IF(P482&lt;O482,"",ROUND(((NETWORKDAYS(O482,P482,JoursFeries)-1)*(HFer-HOuv)+IF(NETWORKDAYS(P482,P482,JoursFeries),MEDIAN(MOD(P482,1),HFer,HOuv),HFer)-IF(NETWORKDAYS(O482,O482,JoursFeries),MEDIAN(MOD(O482,1),HFer,HOuv),HOuv))*24,4))))</f>
        <v/>
      </c>
      <c r="AV482" s="37" t="str">
        <f aca="false">IF(AO482&lt;&gt;1,"",IF(OR(P482="",Q482=""),"",IF(Q482&lt;P482,"",ROUND(((NETWORKDAYS(P482,Q482,JoursFeries)-1)*(HFer-HOuv)+IF(NETWORKDAYS(Q482,Q482,JoursFeries),MEDIAN(MOD(Q482,1),HFer,HOuv),HFer)-IF(NETWORKDAYS(P482,P482,JoursFeries),MEDIAN(MOD(P482,1),HFer,HOuv),HOuv))*24,4))))</f>
        <v/>
      </c>
      <c r="AW482" s="37" t="str">
        <f aca="false">IF(AO482&lt;&gt;1,"",IFERROR(ROUND(IF(OR(P482="",R482=""),"",IF(R482&lt;P482,"",ROUND(((NETWORKDAYS(P482,R482,JoursFeries)-1)*(HFer-HOuv)+IF(NETWORKDAYS(R482,R482,JoursFeries),MEDIAN(MOD(R482,1),HFer,HOuv),HFer)-IF(NETWORKDAYS(P482,P482,JoursFeries),MEDIAN(MOD(P482,1),HFer,HOuv),HOuv))*24,4)))/HJour,4),""))</f>
        <v/>
      </c>
      <c r="AX482" s="37" t="str">
        <f aca="false">IF(AO482&lt;&gt;1,"",IFERROR(ROUND(IF(OR(P482="",S482=""),"",IF(S482&lt;P482,"",ROUND(((NETWORKDAYS(P482,S482,JoursFeries)-1)*(HFer-HOuv)+IF(NETWORKDAYS(S482,S482,JoursFeries),MEDIAN(MOD(S482,1),HFer,HOuv),HFer)-IF(NETWORKDAYS(P482,P482,JoursFeries),MEDIAN(MOD(P482,1),HFer,HOuv),HOuv))*24,4)))/HJour,4),""))</f>
        <v/>
      </c>
      <c r="AY482" s="36" t="str">
        <f aca="false">IF(OR(AO482&lt;&gt;1,AR482=""),"",INDEX(SLA_PEC,AR482))</f>
        <v/>
      </c>
      <c r="AZ482" s="35" t="str">
        <f aca="false">IF(OR(AV482="",AY482=""),"",IF(AV482&lt;=AY482,1,0))</f>
        <v/>
      </c>
      <c r="BA482" s="36" t="str">
        <f aca="false">IF(OR(AO482&lt;&gt;1,AR482=""),"",INDEX(SLA_RES,AR482))</f>
        <v/>
      </c>
      <c r="BB482" s="35" t="str">
        <f aca="false">IF(OR(AW482="",BA482=""),"",IF(AW482&lt;=BA482,1,0))</f>
        <v/>
      </c>
      <c r="BC482" s="38" t="str">
        <f aca="false">IF(OR(BA482="",P482=""),"",WORKDAY(INT(P482),BA482,JoursFeries)+MOD(P482,1))</f>
        <v/>
      </c>
      <c r="BD482" s="39" t="str">
        <f aca="false">IF(AO482&lt;&gt;1,"",IF(OR(AB482&lt;&gt;"",AD482&lt;&gt;""),4,IF(U482&lt;&gt;"",3,IF(T482&lt;&gt;"",2,1))))</f>
        <v/>
      </c>
      <c r="BE482" s="39" t="str">
        <f aca="false">IF(OR(AO482&lt;&gt;1,AR482=""),"",INDEX(NIV_REQ,AR482))</f>
        <v/>
      </c>
      <c r="BF482" s="39" t="str">
        <f aca="false">IF(BE482="","",MAX(BE482,IF(OR(K482="Oui",Z482="Oui"),4,1)))</f>
        <v/>
      </c>
      <c r="BG482" s="35" t="str">
        <f aca="false">IF(OR(BF482="",BD482=""),"",IF(BD482&gt;=BF482,1,0))</f>
        <v/>
      </c>
      <c r="BH482" s="38" t="str">
        <f aca="false">IF(BE482="","",IF(BE482&lt;2,"",IF(BE482=2,IF(AND(T482="",U482=""),"",MIN(T482,U482)),IF(U482="","",U482))))</f>
        <v/>
      </c>
      <c r="BI482" s="37" t="str">
        <f aca="false">IF(BH482="","",IF(OR(O482="",BH482=""),"",IF(BH482&lt;O482,"",ROUND(((NETWORKDAYS(O482,BH482,JoursFeries)-1)*(HFer-HOuv)+IF(NETWORKDAYS(BH482,BH482,JoursFeries),MEDIAN(MOD(BH482,1),HFer,HOuv),HFer)-IF(NETWORKDAYS(O482,O482,JoursFeries),MEDIAN(MOD(O482,1),HFer,HOuv),HOuv))*24,4))))</f>
        <v/>
      </c>
      <c r="BJ482" s="35" t="str">
        <f aca="false">IF(OR(BI482="",AR482=""),"",IF(BI482&lt;=INDEX(DELAI_ESC,AR482),1,0))</f>
        <v/>
      </c>
      <c r="BK482" s="38" t="str">
        <f aca="false">IF(AO482&lt;&gt;1,"",IF(AND(T482="",U482=""),"",MIN(T482,U482)))</f>
        <v/>
      </c>
      <c r="BL482" s="37" t="str">
        <f aca="false">IF(OR(BK482="",R482=""),"",IFERROR(ROUND(IF(OR(BK482="",R482=""),"",IF(R482&lt;BK482,"",ROUND(((NETWORKDAYS(BK482,R482,JoursFeries)-1)*(HFer-HOuv)+IF(NETWORKDAYS(R482,R482,JoursFeries),MEDIAN(MOD(R482,1),HFer,HOuv),HFer)-IF(NETWORKDAYS(BK482,BK482,JoursFeries),MEDIAN(MOD(BK482,1),HFer,HOuv),HOuv))*24,4)))/HJour,4),""))</f>
        <v/>
      </c>
      <c r="BM482" s="35" t="str">
        <f aca="false">IF(OR(AO482&lt;&gt;1,R482=""),"",IF(BD482=1,1,0))</f>
        <v/>
      </c>
      <c r="BN482" s="35" t="str">
        <f aca="false">IF(AO482&lt;&gt;1,"",IF(W482="Oui",1,0))</f>
        <v/>
      </c>
      <c r="BO482" s="35" t="str">
        <f aca="false">IF(AO482&lt;&gt;1,"",IF(X482&lt;&gt;"",1,0))</f>
        <v/>
      </c>
      <c r="BP482" s="35" t="str">
        <f aca="false">IF(AO482&lt;&gt;1,"",IF(Y482="Oui",1,0))</f>
        <v/>
      </c>
      <c r="BQ482" s="35" t="str">
        <f aca="true">IF(OR(AO482&lt;&gt;1,Z482&lt;&gt;"Oui"),"",IF(AB482="",IF(AND(AA482&lt;&gt;"",NOW()&gt;AA482),0,""),IF(AA482="","",IF(AB482&lt;=AA482,1,0))))</f>
        <v/>
      </c>
      <c r="BR482" s="38" t="str">
        <f aca="false">IF(OR(AO482&lt;&gt;1,K482&lt;&gt;"Oui",O482=""),"",IF(AC482="",O482+DORA_H_DET/24,IF(AC482-O482&lt;=DORA_H_DET/24,MIN(AC482+DORA_H_CLA/24,O482+DORA_H_DET/24),AC482+DORA_H_CLA/24)))</f>
        <v/>
      </c>
      <c r="BS482" s="35" t="str">
        <f aca="true">IF(BR482="","",IF(AD482="",IF(NOW()&gt;BR482,0,""),IF(AD482&lt;=BR482,1,0)))</f>
        <v/>
      </c>
      <c r="BT482" s="35" t="str">
        <f aca="true">IF(OR(BR482="",AD482=""),"",IF(AE482="",IF(NOW()&gt;AD482+DORA_H_INT/24,0,""),IF(AE482&lt;=AD482+DORA_H_INT/24,1,0)))</f>
        <v/>
      </c>
      <c r="BU482" s="35" t="str">
        <f aca="true">IF(OR(BR482="",AE482=""),"",IF(AF482="",IF(NOW()&gt;EDATE(AE482,DORA_M_FIN)+1,0,""),IF(AF482&lt;=EDATE(AE482,DORA_M_FIN),1,0)))</f>
        <v/>
      </c>
      <c r="BV482" s="35" t="str">
        <f aca="false">IF(BR482="","",IF(COUNT(BS482:BU482)=0,"",MIN(BS482:BU482)))</f>
        <v/>
      </c>
      <c r="BW482" s="40" t="str">
        <f aca="false">IF(AQ482&lt;&gt;1,"",IF(AND(AG482="",AH482=""),"",N(AG482)-N(AH482)))</f>
        <v/>
      </c>
      <c r="BX482" s="35" t="str">
        <f aca="true">IF(OR(AQ482&lt;&gt;1,AI482&lt;&gt;"Oui",AJ482=""),"",IF(AK482="",IF(NOW()&gt;AJ482+1,0,""),IF(AK482&lt;=AJ482,1,0)))</f>
        <v/>
      </c>
    </row>
    <row r="483" customFormat="false" ht="15" hidden="false" customHeight="false" outlineLevel="0" collapsed="false">
      <c r="B483" s="29"/>
      <c r="C483" s="29"/>
      <c r="D483" s="29"/>
      <c r="E483" s="29"/>
      <c r="F483" s="29"/>
      <c r="G483" s="29"/>
      <c r="H483" s="29"/>
      <c r="I483" s="29"/>
      <c r="J483" s="29"/>
      <c r="K483" s="29"/>
      <c r="L483" s="29"/>
      <c r="M483" s="29"/>
      <c r="N483" s="30"/>
      <c r="O483" s="30"/>
      <c r="P483" s="30"/>
      <c r="Q483" s="30"/>
      <c r="R483" s="30"/>
      <c r="S483" s="30"/>
      <c r="T483" s="30"/>
      <c r="U483" s="30"/>
      <c r="V483" s="31"/>
      <c r="W483" s="29"/>
      <c r="X483" s="29"/>
      <c r="Y483" s="29"/>
      <c r="Z483" s="29"/>
      <c r="AA483" s="30"/>
      <c r="AB483" s="30"/>
      <c r="AC483" s="30"/>
      <c r="AD483" s="30"/>
      <c r="AE483" s="30"/>
      <c r="AF483" s="32"/>
      <c r="AG483" s="33"/>
      <c r="AH483" s="33"/>
      <c r="AI483" s="29"/>
      <c r="AJ483" s="32"/>
      <c r="AK483" s="32"/>
      <c r="AL483" s="29"/>
      <c r="AN483" s="34" t="str">
        <f aca="false">IF($B483="","",IF(OR(C483="",D483="",E483="",G483="",I483="",J483="",L483="",O483="",P483=""),"Champ obligatoire manquant",IF(OR(AND(N483&lt;&gt;"",N483&gt;O483),O483&gt;P483,AND(Q483&lt;&gt;"",Q483&lt;P483),AND(R483&lt;&gt;"",R483&lt;P483),AND(S483&lt;&gt;"",S483&lt;R483),AND(S483&lt;&gt;"",R483=""),AND(T483&lt;&gt;"",T483&lt;O483),AND(U483&lt;&gt;"",U483&lt;O483)),"Chronologie incohérente",IF(AND(OR(L483="Résolu",L483="Clos"),R483=""),"Date de résolution manquante",IF(AND(L483="Clos",S483=""),"Date de clôture manquante",IF(AND(K483="Oui",AC483=""),"Classification DORA manquante","OK"))))))</f>
        <v/>
      </c>
      <c r="AO483" s="35" t="str">
        <f aca="false">IF($B483="","",IF(AND(C483="Incident",L483&lt;&gt;"Annulé"),1,0))</f>
        <v/>
      </c>
      <c r="AP483" s="35" t="str">
        <f aca="false">IF($B483="","",IF(AND(C483="Quasi-incident",L483&lt;&gt;"Annulé"),1,0))</f>
        <v/>
      </c>
      <c r="AQ483" s="35" t="str">
        <f aca="false">IF($B483="","",AO483+AP483)</f>
        <v/>
      </c>
      <c r="AR483" s="36" t="str">
        <f aca="false">IF(OR($B483="",J483=""),"",IFERROR(VALUE(LEFT(J483,1)),""))</f>
        <v/>
      </c>
      <c r="AS483" s="35" t="str">
        <f aca="false">IF(OR(AO483&lt;&gt;1,G483=""),"",IFERROR(IF(INDEX(L_SrcInterne,MATCH(G483,L_Sources,0))="Oui",1,0),""))</f>
        <v/>
      </c>
      <c r="AT483" s="37" t="str">
        <f aca="false">IF(AO483&lt;&gt;1,"",IFERROR(ROUND(IF(OR(N483="",O483=""),"",IF(O483&lt;N483,"",ROUND(((NETWORKDAYS(N483,O483,JoursFeries)-1)*(HFer-HOuv)+IF(NETWORKDAYS(O483,O483,JoursFeries),MEDIAN(MOD(O483,1),HFer,HOuv),HFer)-IF(NETWORKDAYS(N483,N483,JoursFeries),MEDIAN(MOD(N483,1),HFer,HOuv),HOuv))*24,4)))/HJour,4),""))</f>
        <v/>
      </c>
      <c r="AU483" s="37" t="str">
        <f aca="false">IF(AO483&lt;&gt;1,"",IF(OR(O483="",P483=""),"",IF(P483&lt;O483,"",ROUND(((NETWORKDAYS(O483,P483,JoursFeries)-1)*(HFer-HOuv)+IF(NETWORKDAYS(P483,P483,JoursFeries),MEDIAN(MOD(P483,1),HFer,HOuv),HFer)-IF(NETWORKDAYS(O483,O483,JoursFeries),MEDIAN(MOD(O483,1),HFer,HOuv),HOuv))*24,4))))</f>
        <v/>
      </c>
      <c r="AV483" s="37" t="str">
        <f aca="false">IF(AO483&lt;&gt;1,"",IF(OR(P483="",Q483=""),"",IF(Q483&lt;P483,"",ROUND(((NETWORKDAYS(P483,Q483,JoursFeries)-1)*(HFer-HOuv)+IF(NETWORKDAYS(Q483,Q483,JoursFeries),MEDIAN(MOD(Q483,1),HFer,HOuv),HFer)-IF(NETWORKDAYS(P483,P483,JoursFeries),MEDIAN(MOD(P483,1),HFer,HOuv),HOuv))*24,4))))</f>
        <v/>
      </c>
      <c r="AW483" s="37" t="str">
        <f aca="false">IF(AO483&lt;&gt;1,"",IFERROR(ROUND(IF(OR(P483="",R483=""),"",IF(R483&lt;P483,"",ROUND(((NETWORKDAYS(P483,R483,JoursFeries)-1)*(HFer-HOuv)+IF(NETWORKDAYS(R483,R483,JoursFeries),MEDIAN(MOD(R483,1),HFer,HOuv),HFer)-IF(NETWORKDAYS(P483,P483,JoursFeries),MEDIAN(MOD(P483,1),HFer,HOuv),HOuv))*24,4)))/HJour,4),""))</f>
        <v/>
      </c>
      <c r="AX483" s="37" t="str">
        <f aca="false">IF(AO483&lt;&gt;1,"",IFERROR(ROUND(IF(OR(P483="",S483=""),"",IF(S483&lt;P483,"",ROUND(((NETWORKDAYS(P483,S483,JoursFeries)-1)*(HFer-HOuv)+IF(NETWORKDAYS(S483,S483,JoursFeries),MEDIAN(MOD(S483,1),HFer,HOuv),HFer)-IF(NETWORKDAYS(P483,P483,JoursFeries),MEDIAN(MOD(P483,1),HFer,HOuv),HOuv))*24,4)))/HJour,4),""))</f>
        <v/>
      </c>
      <c r="AY483" s="36" t="str">
        <f aca="false">IF(OR(AO483&lt;&gt;1,AR483=""),"",INDEX(SLA_PEC,AR483))</f>
        <v/>
      </c>
      <c r="AZ483" s="35" t="str">
        <f aca="false">IF(OR(AV483="",AY483=""),"",IF(AV483&lt;=AY483,1,0))</f>
        <v/>
      </c>
      <c r="BA483" s="36" t="str">
        <f aca="false">IF(OR(AO483&lt;&gt;1,AR483=""),"",INDEX(SLA_RES,AR483))</f>
        <v/>
      </c>
      <c r="BB483" s="35" t="str">
        <f aca="false">IF(OR(AW483="",BA483=""),"",IF(AW483&lt;=BA483,1,0))</f>
        <v/>
      </c>
      <c r="BC483" s="38" t="str">
        <f aca="false">IF(OR(BA483="",P483=""),"",WORKDAY(INT(P483),BA483,JoursFeries)+MOD(P483,1))</f>
        <v/>
      </c>
      <c r="BD483" s="39" t="str">
        <f aca="false">IF(AO483&lt;&gt;1,"",IF(OR(AB483&lt;&gt;"",AD483&lt;&gt;""),4,IF(U483&lt;&gt;"",3,IF(T483&lt;&gt;"",2,1))))</f>
        <v/>
      </c>
      <c r="BE483" s="39" t="str">
        <f aca="false">IF(OR(AO483&lt;&gt;1,AR483=""),"",INDEX(NIV_REQ,AR483))</f>
        <v/>
      </c>
      <c r="BF483" s="39" t="str">
        <f aca="false">IF(BE483="","",MAX(BE483,IF(OR(K483="Oui",Z483="Oui"),4,1)))</f>
        <v/>
      </c>
      <c r="BG483" s="35" t="str">
        <f aca="false">IF(OR(BF483="",BD483=""),"",IF(BD483&gt;=BF483,1,0))</f>
        <v/>
      </c>
      <c r="BH483" s="38" t="str">
        <f aca="false">IF(BE483="","",IF(BE483&lt;2,"",IF(BE483=2,IF(AND(T483="",U483=""),"",MIN(T483,U483)),IF(U483="","",U483))))</f>
        <v/>
      </c>
      <c r="BI483" s="37" t="str">
        <f aca="false">IF(BH483="","",IF(OR(O483="",BH483=""),"",IF(BH483&lt;O483,"",ROUND(((NETWORKDAYS(O483,BH483,JoursFeries)-1)*(HFer-HOuv)+IF(NETWORKDAYS(BH483,BH483,JoursFeries),MEDIAN(MOD(BH483,1),HFer,HOuv),HFer)-IF(NETWORKDAYS(O483,O483,JoursFeries),MEDIAN(MOD(O483,1),HFer,HOuv),HOuv))*24,4))))</f>
        <v/>
      </c>
      <c r="BJ483" s="35" t="str">
        <f aca="false">IF(OR(BI483="",AR483=""),"",IF(BI483&lt;=INDEX(DELAI_ESC,AR483),1,0))</f>
        <v/>
      </c>
      <c r="BK483" s="38" t="str">
        <f aca="false">IF(AO483&lt;&gt;1,"",IF(AND(T483="",U483=""),"",MIN(T483,U483)))</f>
        <v/>
      </c>
      <c r="BL483" s="37" t="str">
        <f aca="false">IF(OR(BK483="",R483=""),"",IFERROR(ROUND(IF(OR(BK483="",R483=""),"",IF(R483&lt;BK483,"",ROUND(((NETWORKDAYS(BK483,R483,JoursFeries)-1)*(HFer-HOuv)+IF(NETWORKDAYS(R483,R483,JoursFeries),MEDIAN(MOD(R483,1),HFer,HOuv),HFer)-IF(NETWORKDAYS(BK483,BK483,JoursFeries),MEDIAN(MOD(BK483,1),HFer,HOuv),HOuv))*24,4)))/HJour,4),""))</f>
        <v/>
      </c>
      <c r="BM483" s="35" t="str">
        <f aca="false">IF(OR(AO483&lt;&gt;1,R483=""),"",IF(BD483=1,1,0))</f>
        <v/>
      </c>
      <c r="BN483" s="35" t="str">
        <f aca="false">IF(AO483&lt;&gt;1,"",IF(W483="Oui",1,0))</f>
        <v/>
      </c>
      <c r="BO483" s="35" t="str">
        <f aca="false">IF(AO483&lt;&gt;1,"",IF(X483&lt;&gt;"",1,0))</f>
        <v/>
      </c>
      <c r="BP483" s="35" t="str">
        <f aca="false">IF(AO483&lt;&gt;1,"",IF(Y483="Oui",1,0))</f>
        <v/>
      </c>
      <c r="BQ483" s="35" t="str">
        <f aca="true">IF(OR(AO483&lt;&gt;1,Z483&lt;&gt;"Oui"),"",IF(AB483="",IF(AND(AA483&lt;&gt;"",NOW()&gt;AA483),0,""),IF(AA483="","",IF(AB483&lt;=AA483,1,0))))</f>
        <v/>
      </c>
      <c r="BR483" s="38" t="str">
        <f aca="false">IF(OR(AO483&lt;&gt;1,K483&lt;&gt;"Oui",O483=""),"",IF(AC483="",O483+DORA_H_DET/24,IF(AC483-O483&lt;=DORA_H_DET/24,MIN(AC483+DORA_H_CLA/24,O483+DORA_H_DET/24),AC483+DORA_H_CLA/24)))</f>
        <v/>
      </c>
      <c r="BS483" s="35" t="str">
        <f aca="true">IF(BR483="","",IF(AD483="",IF(NOW()&gt;BR483,0,""),IF(AD483&lt;=BR483,1,0)))</f>
        <v/>
      </c>
      <c r="BT483" s="35" t="str">
        <f aca="true">IF(OR(BR483="",AD483=""),"",IF(AE483="",IF(NOW()&gt;AD483+DORA_H_INT/24,0,""),IF(AE483&lt;=AD483+DORA_H_INT/24,1,0)))</f>
        <v/>
      </c>
      <c r="BU483" s="35" t="str">
        <f aca="true">IF(OR(BR483="",AE483=""),"",IF(AF483="",IF(NOW()&gt;EDATE(AE483,DORA_M_FIN)+1,0,""),IF(AF483&lt;=EDATE(AE483,DORA_M_FIN),1,0)))</f>
        <v/>
      </c>
      <c r="BV483" s="35" t="str">
        <f aca="false">IF(BR483="","",IF(COUNT(BS483:BU483)=0,"",MIN(BS483:BU483)))</f>
        <v/>
      </c>
      <c r="BW483" s="40" t="str">
        <f aca="false">IF(AQ483&lt;&gt;1,"",IF(AND(AG483="",AH483=""),"",N(AG483)-N(AH483)))</f>
        <v/>
      </c>
      <c r="BX483" s="35" t="str">
        <f aca="true">IF(OR(AQ483&lt;&gt;1,AI483&lt;&gt;"Oui",AJ483=""),"",IF(AK483="",IF(NOW()&gt;AJ483+1,0,""),IF(AK483&lt;=AJ483,1,0)))</f>
        <v/>
      </c>
    </row>
    <row r="484" customFormat="false" ht="15" hidden="false" customHeight="false" outlineLevel="0" collapsed="false">
      <c r="B484" s="29"/>
      <c r="C484" s="29"/>
      <c r="D484" s="29"/>
      <c r="E484" s="29"/>
      <c r="F484" s="29"/>
      <c r="G484" s="29"/>
      <c r="H484" s="29"/>
      <c r="I484" s="29"/>
      <c r="J484" s="29"/>
      <c r="K484" s="29"/>
      <c r="L484" s="29"/>
      <c r="M484" s="29"/>
      <c r="N484" s="30"/>
      <c r="O484" s="30"/>
      <c r="P484" s="30"/>
      <c r="Q484" s="30"/>
      <c r="R484" s="30"/>
      <c r="S484" s="30"/>
      <c r="T484" s="30"/>
      <c r="U484" s="30"/>
      <c r="V484" s="31"/>
      <c r="W484" s="29"/>
      <c r="X484" s="29"/>
      <c r="Y484" s="29"/>
      <c r="Z484" s="29"/>
      <c r="AA484" s="30"/>
      <c r="AB484" s="30"/>
      <c r="AC484" s="30"/>
      <c r="AD484" s="30"/>
      <c r="AE484" s="30"/>
      <c r="AF484" s="32"/>
      <c r="AG484" s="33"/>
      <c r="AH484" s="33"/>
      <c r="AI484" s="29"/>
      <c r="AJ484" s="32"/>
      <c r="AK484" s="32"/>
      <c r="AL484" s="29"/>
      <c r="AN484" s="34" t="str">
        <f aca="false">IF($B484="","",IF(OR(C484="",D484="",E484="",G484="",I484="",J484="",L484="",O484="",P484=""),"Champ obligatoire manquant",IF(OR(AND(N484&lt;&gt;"",N484&gt;O484),O484&gt;P484,AND(Q484&lt;&gt;"",Q484&lt;P484),AND(R484&lt;&gt;"",R484&lt;P484),AND(S484&lt;&gt;"",S484&lt;R484),AND(S484&lt;&gt;"",R484=""),AND(T484&lt;&gt;"",T484&lt;O484),AND(U484&lt;&gt;"",U484&lt;O484)),"Chronologie incohérente",IF(AND(OR(L484="Résolu",L484="Clos"),R484=""),"Date de résolution manquante",IF(AND(L484="Clos",S484=""),"Date de clôture manquante",IF(AND(K484="Oui",AC484=""),"Classification DORA manquante","OK"))))))</f>
        <v/>
      </c>
      <c r="AO484" s="35" t="str">
        <f aca="false">IF($B484="","",IF(AND(C484="Incident",L484&lt;&gt;"Annulé"),1,0))</f>
        <v/>
      </c>
      <c r="AP484" s="35" t="str">
        <f aca="false">IF($B484="","",IF(AND(C484="Quasi-incident",L484&lt;&gt;"Annulé"),1,0))</f>
        <v/>
      </c>
      <c r="AQ484" s="35" t="str">
        <f aca="false">IF($B484="","",AO484+AP484)</f>
        <v/>
      </c>
      <c r="AR484" s="36" t="str">
        <f aca="false">IF(OR($B484="",J484=""),"",IFERROR(VALUE(LEFT(J484,1)),""))</f>
        <v/>
      </c>
      <c r="AS484" s="35" t="str">
        <f aca="false">IF(OR(AO484&lt;&gt;1,G484=""),"",IFERROR(IF(INDEX(L_SrcInterne,MATCH(G484,L_Sources,0))="Oui",1,0),""))</f>
        <v/>
      </c>
      <c r="AT484" s="37" t="str">
        <f aca="false">IF(AO484&lt;&gt;1,"",IFERROR(ROUND(IF(OR(N484="",O484=""),"",IF(O484&lt;N484,"",ROUND(((NETWORKDAYS(N484,O484,JoursFeries)-1)*(HFer-HOuv)+IF(NETWORKDAYS(O484,O484,JoursFeries),MEDIAN(MOD(O484,1),HFer,HOuv),HFer)-IF(NETWORKDAYS(N484,N484,JoursFeries),MEDIAN(MOD(N484,1),HFer,HOuv),HOuv))*24,4)))/HJour,4),""))</f>
        <v/>
      </c>
      <c r="AU484" s="37" t="str">
        <f aca="false">IF(AO484&lt;&gt;1,"",IF(OR(O484="",P484=""),"",IF(P484&lt;O484,"",ROUND(((NETWORKDAYS(O484,P484,JoursFeries)-1)*(HFer-HOuv)+IF(NETWORKDAYS(P484,P484,JoursFeries),MEDIAN(MOD(P484,1),HFer,HOuv),HFer)-IF(NETWORKDAYS(O484,O484,JoursFeries),MEDIAN(MOD(O484,1),HFer,HOuv),HOuv))*24,4))))</f>
        <v/>
      </c>
      <c r="AV484" s="37" t="str">
        <f aca="false">IF(AO484&lt;&gt;1,"",IF(OR(P484="",Q484=""),"",IF(Q484&lt;P484,"",ROUND(((NETWORKDAYS(P484,Q484,JoursFeries)-1)*(HFer-HOuv)+IF(NETWORKDAYS(Q484,Q484,JoursFeries),MEDIAN(MOD(Q484,1),HFer,HOuv),HFer)-IF(NETWORKDAYS(P484,P484,JoursFeries),MEDIAN(MOD(P484,1),HFer,HOuv),HOuv))*24,4))))</f>
        <v/>
      </c>
      <c r="AW484" s="37" t="str">
        <f aca="false">IF(AO484&lt;&gt;1,"",IFERROR(ROUND(IF(OR(P484="",R484=""),"",IF(R484&lt;P484,"",ROUND(((NETWORKDAYS(P484,R484,JoursFeries)-1)*(HFer-HOuv)+IF(NETWORKDAYS(R484,R484,JoursFeries),MEDIAN(MOD(R484,1),HFer,HOuv),HFer)-IF(NETWORKDAYS(P484,P484,JoursFeries),MEDIAN(MOD(P484,1),HFer,HOuv),HOuv))*24,4)))/HJour,4),""))</f>
        <v/>
      </c>
      <c r="AX484" s="37" t="str">
        <f aca="false">IF(AO484&lt;&gt;1,"",IFERROR(ROUND(IF(OR(P484="",S484=""),"",IF(S484&lt;P484,"",ROUND(((NETWORKDAYS(P484,S484,JoursFeries)-1)*(HFer-HOuv)+IF(NETWORKDAYS(S484,S484,JoursFeries),MEDIAN(MOD(S484,1),HFer,HOuv),HFer)-IF(NETWORKDAYS(P484,P484,JoursFeries),MEDIAN(MOD(P484,1),HFer,HOuv),HOuv))*24,4)))/HJour,4),""))</f>
        <v/>
      </c>
      <c r="AY484" s="36" t="str">
        <f aca="false">IF(OR(AO484&lt;&gt;1,AR484=""),"",INDEX(SLA_PEC,AR484))</f>
        <v/>
      </c>
      <c r="AZ484" s="35" t="str">
        <f aca="false">IF(OR(AV484="",AY484=""),"",IF(AV484&lt;=AY484,1,0))</f>
        <v/>
      </c>
      <c r="BA484" s="36" t="str">
        <f aca="false">IF(OR(AO484&lt;&gt;1,AR484=""),"",INDEX(SLA_RES,AR484))</f>
        <v/>
      </c>
      <c r="BB484" s="35" t="str">
        <f aca="false">IF(OR(AW484="",BA484=""),"",IF(AW484&lt;=BA484,1,0))</f>
        <v/>
      </c>
      <c r="BC484" s="38" t="str">
        <f aca="false">IF(OR(BA484="",P484=""),"",WORKDAY(INT(P484),BA484,JoursFeries)+MOD(P484,1))</f>
        <v/>
      </c>
      <c r="BD484" s="39" t="str">
        <f aca="false">IF(AO484&lt;&gt;1,"",IF(OR(AB484&lt;&gt;"",AD484&lt;&gt;""),4,IF(U484&lt;&gt;"",3,IF(T484&lt;&gt;"",2,1))))</f>
        <v/>
      </c>
      <c r="BE484" s="39" t="str">
        <f aca="false">IF(OR(AO484&lt;&gt;1,AR484=""),"",INDEX(NIV_REQ,AR484))</f>
        <v/>
      </c>
      <c r="BF484" s="39" t="str">
        <f aca="false">IF(BE484="","",MAX(BE484,IF(OR(K484="Oui",Z484="Oui"),4,1)))</f>
        <v/>
      </c>
      <c r="BG484" s="35" t="str">
        <f aca="false">IF(OR(BF484="",BD484=""),"",IF(BD484&gt;=BF484,1,0))</f>
        <v/>
      </c>
      <c r="BH484" s="38" t="str">
        <f aca="false">IF(BE484="","",IF(BE484&lt;2,"",IF(BE484=2,IF(AND(T484="",U484=""),"",MIN(T484,U484)),IF(U484="","",U484))))</f>
        <v/>
      </c>
      <c r="BI484" s="37" t="str">
        <f aca="false">IF(BH484="","",IF(OR(O484="",BH484=""),"",IF(BH484&lt;O484,"",ROUND(((NETWORKDAYS(O484,BH484,JoursFeries)-1)*(HFer-HOuv)+IF(NETWORKDAYS(BH484,BH484,JoursFeries),MEDIAN(MOD(BH484,1),HFer,HOuv),HFer)-IF(NETWORKDAYS(O484,O484,JoursFeries),MEDIAN(MOD(O484,1),HFer,HOuv),HOuv))*24,4))))</f>
        <v/>
      </c>
      <c r="BJ484" s="35" t="str">
        <f aca="false">IF(OR(BI484="",AR484=""),"",IF(BI484&lt;=INDEX(DELAI_ESC,AR484),1,0))</f>
        <v/>
      </c>
      <c r="BK484" s="38" t="str">
        <f aca="false">IF(AO484&lt;&gt;1,"",IF(AND(T484="",U484=""),"",MIN(T484,U484)))</f>
        <v/>
      </c>
      <c r="BL484" s="37" t="str">
        <f aca="false">IF(OR(BK484="",R484=""),"",IFERROR(ROUND(IF(OR(BK484="",R484=""),"",IF(R484&lt;BK484,"",ROUND(((NETWORKDAYS(BK484,R484,JoursFeries)-1)*(HFer-HOuv)+IF(NETWORKDAYS(R484,R484,JoursFeries),MEDIAN(MOD(R484,1),HFer,HOuv),HFer)-IF(NETWORKDAYS(BK484,BK484,JoursFeries),MEDIAN(MOD(BK484,1),HFer,HOuv),HOuv))*24,4)))/HJour,4),""))</f>
        <v/>
      </c>
      <c r="BM484" s="35" t="str">
        <f aca="false">IF(OR(AO484&lt;&gt;1,R484=""),"",IF(BD484=1,1,0))</f>
        <v/>
      </c>
      <c r="BN484" s="35" t="str">
        <f aca="false">IF(AO484&lt;&gt;1,"",IF(W484="Oui",1,0))</f>
        <v/>
      </c>
      <c r="BO484" s="35" t="str">
        <f aca="false">IF(AO484&lt;&gt;1,"",IF(X484&lt;&gt;"",1,0))</f>
        <v/>
      </c>
      <c r="BP484" s="35" t="str">
        <f aca="false">IF(AO484&lt;&gt;1,"",IF(Y484="Oui",1,0))</f>
        <v/>
      </c>
      <c r="BQ484" s="35" t="str">
        <f aca="true">IF(OR(AO484&lt;&gt;1,Z484&lt;&gt;"Oui"),"",IF(AB484="",IF(AND(AA484&lt;&gt;"",NOW()&gt;AA484),0,""),IF(AA484="","",IF(AB484&lt;=AA484,1,0))))</f>
        <v/>
      </c>
      <c r="BR484" s="38" t="str">
        <f aca="false">IF(OR(AO484&lt;&gt;1,K484&lt;&gt;"Oui",O484=""),"",IF(AC484="",O484+DORA_H_DET/24,IF(AC484-O484&lt;=DORA_H_DET/24,MIN(AC484+DORA_H_CLA/24,O484+DORA_H_DET/24),AC484+DORA_H_CLA/24)))</f>
        <v/>
      </c>
      <c r="BS484" s="35" t="str">
        <f aca="true">IF(BR484="","",IF(AD484="",IF(NOW()&gt;BR484,0,""),IF(AD484&lt;=BR484,1,0)))</f>
        <v/>
      </c>
      <c r="BT484" s="35" t="str">
        <f aca="true">IF(OR(BR484="",AD484=""),"",IF(AE484="",IF(NOW()&gt;AD484+DORA_H_INT/24,0,""),IF(AE484&lt;=AD484+DORA_H_INT/24,1,0)))</f>
        <v/>
      </c>
      <c r="BU484" s="35" t="str">
        <f aca="true">IF(OR(BR484="",AE484=""),"",IF(AF484="",IF(NOW()&gt;EDATE(AE484,DORA_M_FIN)+1,0,""),IF(AF484&lt;=EDATE(AE484,DORA_M_FIN),1,0)))</f>
        <v/>
      </c>
      <c r="BV484" s="35" t="str">
        <f aca="false">IF(BR484="","",IF(COUNT(BS484:BU484)=0,"",MIN(BS484:BU484)))</f>
        <v/>
      </c>
      <c r="BW484" s="40" t="str">
        <f aca="false">IF(AQ484&lt;&gt;1,"",IF(AND(AG484="",AH484=""),"",N(AG484)-N(AH484)))</f>
        <v/>
      </c>
      <c r="BX484" s="35" t="str">
        <f aca="true">IF(OR(AQ484&lt;&gt;1,AI484&lt;&gt;"Oui",AJ484=""),"",IF(AK484="",IF(NOW()&gt;AJ484+1,0,""),IF(AK484&lt;=AJ484,1,0)))</f>
        <v/>
      </c>
    </row>
    <row r="485" customFormat="false" ht="15" hidden="false" customHeight="false" outlineLevel="0" collapsed="false">
      <c r="B485" s="29"/>
      <c r="C485" s="29"/>
      <c r="D485" s="29"/>
      <c r="E485" s="29"/>
      <c r="F485" s="29"/>
      <c r="G485" s="29"/>
      <c r="H485" s="29"/>
      <c r="I485" s="29"/>
      <c r="J485" s="29"/>
      <c r="K485" s="29"/>
      <c r="L485" s="29"/>
      <c r="M485" s="29"/>
      <c r="N485" s="30"/>
      <c r="O485" s="30"/>
      <c r="P485" s="30"/>
      <c r="Q485" s="30"/>
      <c r="R485" s="30"/>
      <c r="S485" s="30"/>
      <c r="T485" s="30"/>
      <c r="U485" s="30"/>
      <c r="V485" s="31"/>
      <c r="W485" s="29"/>
      <c r="X485" s="29"/>
      <c r="Y485" s="29"/>
      <c r="Z485" s="29"/>
      <c r="AA485" s="30"/>
      <c r="AB485" s="30"/>
      <c r="AC485" s="30"/>
      <c r="AD485" s="30"/>
      <c r="AE485" s="30"/>
      <c r="AF485" s="32"/>
      <c r="AG485" s="33"/>
      <c r="AH485" s="33"/>
      <c r="AI485" s="29"/>
      <c r="AJ485" s="32"/>
      <c r="AK485" s="32"/>
      <c r="AL485" s="29"/>
      <c r="AN485" s="34" t="str">
        <f aca="false">IF($B485="","",IF(OR(C485="",D485="",E485="",G485="",I485="",J485="",L485="",O485="",P485=""),"Champ obligatoire manquant",IF(OR(AND(N485&lt;&gt;"",N485&gt;O485),O485&gt;P485,AND(Q485&lt;&gt;"",Q485&lt;P485),AND(R485&lt;&gt;"",R485&lt;P485),AND(S485&lt;&gt;"",S485&lt;R485),AND(S485&lt;&gt;"",R485=""),AND(T485&lt;&gt;"",T485&lt;O485),AND(U485&lt;&gt;"",U485&lt;O485)),"Chronologie incohérente",IF(AND(OR(L485="Résolu",L485="Clos"),R485=""),"Date de résolution manquante",IF(AND(L485="Clos",S485=""),"Date de clôture manquante",IF(AND(K485="Oui",AC485=""),"Classification DORA manquante","OK"))))))</f>
        <v/>
      </c>
      <c r="AO485" s="35" t="str">
        <f aca="false">IF($B485="","",IF(AND(C485="Incident",L485&lt;&gt;"Annulé"),1,0))</f>
        <v/>
      </c>
      <c r="AP485" s="35" t="str">
        <f aca="false">IF($B485="","",IF(AND(C485="Quasi-incident",L485&lt;&gt;"Annulé"),1,0))</f>
        <v/>
      </c>
      <c r="AQ485" s="35" t="str">
        <f aca="false">IF($B485="","",AO485+AP485)</f>
        <v/>
      </c>
      <c r="AR485" s="36" t="str">
        <f aca="false">IF(OR($B485="",J485=""),"",IFERROR(VALUE(LEFT(J485,1)),""))</f>
        <v/>
      </c>
      <c r="AS485" s="35" t="str">
        <f aca="false">IF(OR(AO485&lt;&gt;1,G485=""),"",IFERROR(IF(INDEX(L_SrcInterne,MATCH(G485,L_Sources,0))="Oui",1,0),""))</f>
        <v/>
      </c>
      <c r="AT485" s="37" t="str">
        <f aca="false">IF(AO485&lt;&gt;1,"",IFERROR(ROUND(IF(OR(N485="",O485=""),"",IF(O485&lt;N485,"",ROUND(((NETWORKDAYS(N485,O485,JoursFeries)-1)*(HFer-HOuv)+IF(NETWORKDAYS(O485,O485,JoursFeries),MEDIAN(MOD(O485,1),HFer,HOuv),HFer)-IF(NETWORKDAYS(N485,N485,JoursFeries),MEDIAN(MOD(N485,1),HFer,HOuv),HOuv))*24,4)))/HJour,4),""))</f>
        <v/>
      </c>
      <c r="AU485" s="37" t="str">
        <f aca="false">IF(AO485&lt;&gt;1,"",IF(OR(O485="",P485=""),"",IF(P485&lt;O485,"",ROUND(((NETWORKDAYS(O485,P485,JoursFeries)-1)*(HFer-HOuv)+IF(NETWORKDAYS(P485,P485,JoursFeries),MEDIAN(MOD(P485,1),HFer,HOuv),HFer)-IF(NETWORKDAYS(O485,O485,JoursFeries),MEDIAN(MOD(O485,1),HFer,HOuv),HOuv))*24,4))))</f>
        <v/>
      </c>
      <c r="AV485" s="37" t="str">
        <f aca="false">IF(AO485&lt;&gt;1,"",IF(OR(P485="",Q485=""),"",IF(Q485&lt;P485,"",ROUND(((NETWORKDAYS(P485,Q485,JoursFeries)-1)*(HFer-HOuv)+IF(NETWORKDAYS(Q485,Q485,JoursFeries),MEDIAN(MOD(Q485,1),HFer,HOuv),HFer)-IF(NETWORKDAYS(P485,P485,JoursFeries),MEDIAN(MOD(P485,1),HFer,HOuv),HOuv))*24,4))))</f>
        <v/>
      </c>
      <c r="AW485" s="37" t="str">
        <f aca="false">IF(AO485&lt;&gt;1,"",IFERROR(ROUND(IF(OR(P485="",R485=""),"",IF(R485&lt;P485,"",ROUND(((NETWORKDAYS(P485,R485,JoursFeries)-1)*(HFer-HOuv)+IF(NETWORKDAYS(R485,R485,JoursFeries),MEDIAN(MOD(R485,1),HFer,HOuv),HFer)-IF(NETWORKDAYS(P485,P485,JoursFeries),MEDIAN(MOD(P485,1),HFer,HOuv),HOuv))*24,4)))/HJour,4),""))</f>
        <v/>
      </c>
      <c r="AX485" s="37" t="str">
        <f aca="false">IF(AO485&lt;&gt;1,"",IFERROR(ROUND(IF(OR(P485="",S485=""),"",IF(S485&lt;P485,"",ROUND(((NETWORKDAYS(P485,S485,JoursFeries)-1)*(HFer-HOuv)+IF(NETWORKDAYS(S485,S485,JoursFeries),MEDIAN(MOD(S485,1),HFer,HOuv),HFer)-IF(NETWORKDAYS(P485,P485,JoursFeries),MEDIAN(MOD(P485,1),HFer,HOuv),HOuv))*24,4)))/HJour,4),""))</f>
        <v/>
      </c>
      <c r="AY485" s="36" t="str">
        <f aca="false">IF(OR(AO485&lt;&gt;1,AR485=""),"",INDEX(SLA_PEC,AR485))</f>
        <v/>
      </c>
      <c r="AZ485" s="35" t="str">
        <f aca="false">IF(OR(AV485="",AY485=""),"",IF(AV485&lt;=AY485,1,0))</f>
        <v/>
      </c>
      <c r="BA485" s="36" t="str">
        <f aca="false">IF(OR(AO485&lt;&gt;1,AR485=""),"",INDEX(SLA_RES,AR485))</f>
        <v/>
      </c>
      <c r="BB485" s="35" t="str">
        <f aca="false">IF(OR(AW485="",BA485=""),"",IF(AW485&lt;=BA485,1,0))</f>
        <v/>
      </c>
      <c r="BC485" s="38" t="str">
        <f aca="false">IF(OR(BA485="",P485=""),"",WORKDAY(INT(P485),BA485,JoursFeries)+MOD(P485,1))</f>
        <v/>
      </c>
      <c r="BD485" s="39" t="str">
        <f aca="false">IF(AO485&lt;&gt;1,"",IF(OR(AB485&lt;&gt;"",AD485&lt;&gt;""),4,IF(U485&lt;&gt;"",3,IF(T485&lt;&gt;"",2,1))))</f>
        <v/>
      </c>
      <c r="BE485" s="39" t="str">
        <f aca="false">IF(OR(AO485&lt;&gt;1,AR485=""),"",INDEX(NIV_REQ,AR485))</f>
        <v/>
      </c>
      <c r="BF485" s="39" t="str">
        <f aca="false">IF(BE485="","",MAX(BE485,IF(OR(K485="Oui",Z485="Oui"),4,1)))</f>
        <v/>
      </c>
      <c r="BG485" s="35" t="str">
        <f aca="false">IF(OR(BF485="",BD485=""),"",IF(BD485&gt;=BF485,1,0))</f>
        <v/>
      </c>
      <c r="BH485" s="38" t="str">
        <f aca="false">IF(BE485="","",IF(BE485&lt;2,"",IF(BE485=2,IF(AND(T485="",U485=""),"",MIN(T485,U485)),IF(U485="","",U485))))</f>
        <v/>
      </c>
      <c r="BI485" s="37" t="str">
        <f aca="false">IF(BH485="","",IF(OR(O485="",BH485=""),"",IF(BH485&lt;O485,"",ROUND(((NETWORKDAYS(O485,BH485,JoursFeries)-1)*(HFer-HOuv)+IF(NETWORKDAYS(BH485,BH485,JoursFeries),MEDIAN(MOD(BH485,1),HFer,HOuv),HFer)-IF(NETWORKDAYS(O485,O485,JoursFeries),MEDIAN(MOD(O485,1),HFer,HOuv),HOuv))*24,4))))</f>
        <v/>
      </c>
      <c r="BJ485" s="35" t="str">
        <f aca="false">IF(OR(BI485="",AR485=""),"",IF(BI485&lt;=INDEX(DELAI_ESC,AR485),1,0))</f>
        <v/>
      </c>
      <c r="BK485" s="38" t="str">
        <f aca="false">IF(AO485&lt;&gt;1,"",IF(AND(T485="",U485=""),"",MIN(T485,U485)))</f>
        <v/>
      </c>
      <c r="BL485" s="37" t="str">
        <f aca="false">IF(OR(BK485="",R485=""),"",IFERROR(ROUND(IF(OR(BK485="",R485=""),"",IF(R485&lt;BK485,"",ROUND(((NETWORKDAYS(BK485,R485,JoursFeries)-1)*(HFer-HOuv)+IF(NETWORKDAYS(R485,R485,JoursFeries),MEDIAN(MOD(R485,1),HFer,HOuv),HFer)-IF(NETWORKDAYS(BK485,BK485,JoursFeries),MEDIAN(MOD(BK485,1),HFer,HOuv),HOuv))*24,4)))/HJour,4),""))</f>
        <v/>
      </c>
      <c r="BM485" s="35" t="str">
        <f aca="false">IF(OR(AO485&lt;&gt;1,R485=""),"",IF(BD485=1,1,0))</f>
        <v/>
      </c>
      <c r="BN485" s="35" t="str">
        <f aca="false">IF(AO485&lt;&gt;1,"",IF(W485="Oui",1,0))</f>
        <v/>
      </c>
      <c r="BO485" s="35" t="str">
        <f aca="false">IF(AO485&lt;&gt;1,"",IF(X485&lt;&gt;"",1,0))</f>
        <v/>
      </c>
      <c r="BP485" s="35" t="str">
        <f aca="false">IF(AO485&lt;&gt;1,"",IF(Y485="Oui",1,0))</f>
        <v/>
      </c>
      <c r="BQ485" s="35" t="str">
        <f aca="true">IF(OR(AO485&lt;&gt;1,Z485&lt;&gt;"Oui"),"",IF(AB485="",IF(AND(AA485&lt;&gt;"",NOW()&gt;AA485),0,""),IF(AA485="","",IF(AB485&lt;=AA485,1,0))))</f>
        <v/>
      </c>
      <c r="BR485" s="38" t="str">
        <f aca="false">IF(OR(AO485&lt;&gt;1,K485&lt;&gt;"Oui",O485=""),"",IF(AC485="",O485+DORA_H_DET/24,IF(AC485-O485&lt;=DORA_H_DET/24,MIN(AC485+DORA_H_CLA/24,O485+DORA_H_DET/24),AC485+DORA_H_CLA/24)))</f>
        <v/>
      </c>
      <c r="BS485" s="35" t="str">
        <f aca="true">IF(BR485="","",IF(AD485="",IF(NOW()&gt;BR485,0,""),IF(AD485&lt;=BR485,1,0)))</f>
        <v/>
      </c>
      <c r="BT485" s="35" t="str">
        <f aca="true">IF(OR(BR485="",AD485=""),"",IF(AE485="",IF(NOW()&gt;AD485+DORA_H_INT/24,0,""),IF(AE485&lt;=AD485+DORA_H_INT/24,1,0)))</f>
        <v/>
      </c>
      <c r="BU485" s="35" t="str">
        <f aca="true">IF(OR(BR485="",AE485=""),"",IF(AF485="",IF(NOW()&gt;EDATE(AE485,DORA_M_FIN)+1,0,""),IF(AF485&lt;=EDATE(AE485,DORA_M_FIN),1,0)))</f>
        <v/>
      </c>
      <c r="BV485" s="35" t="str">
        <f aca="false">IF(BR485="","",IF(COUNT(BS485:BU485)=0,"",MIN(BS485:BU485)))</f>
        <v/>
      </c>
      <c r="BW485" s="40" t="str">
        <f aca="false">IF(AQ485&lt;&gt;1,"",IF(AND(AG485="",AH485=""),"",N(AG485)-N(AH485)))</f>
        <v/>
      </c>
      <c r="BX485" s="35" t="str">
        <f aca="true">IF(OR(AQ485&lt;&gt;1,AI485&lt;&gt;"Oui",AJ485=""),"",IF(AK485="",IF(NOW()&gt;AJ485+1,0,""),IF(AK485&lt;=AJ485,1,0)))</f>
        <v/>
      </c>
    </row>
    <row r="486" customFormat="false" ht="15" hidden="false" customHeight="false" outlineLevel="0" collapsed="false">
      <c r="B486" s="29"/>
      <c r="C486" s="29"/>
      <c r="D486" s="29"/>
      <c r="E486" s="29"/>
      <c r="F486" s="29"/>
      <c r="G486" s="29"/>
      <c r="H486" s="29"/>
      <c r="I486" s="29"/>
      <c r="J486" s="29"/>
      <c r="K486" s="29"/>
      <c r="L486" s="29"/>
      <c r="M486" s="29"/>
      <c r="N486" s="30"/>
      <c r="O486" s="30"/>
      <c r="P486" s="30"/>
      <c r="Q486" s="30"/>
      <c r="R486" s="30"/>
      <c r="S486" s="30"/>
      <c r="T486" s="30"/>
      <c r="U486" s="30"/>
      <c r="V486" s="31"/>
      <c r="W486" s="29"/>
      <c r="X486" s="29"/>
      <c r="Y486" s="29"/>
      <c r="Z486" s="29"/>
      <c r="AA486" s="30"/>
      <c r="AB486" s="30"/>
      <c r="AC486" s="30"/>
      <c r="AD486" s="30"/>
      <c r="AE486" s="30"/>
      <c r="AF486" s="32"/>
      <c r="AG486" s="33"/>
      <c r="AH486" s="33"/>
      <c r="AI486" s="29"/>
      <c r="AJ486" s="32"/>
      <c r="AK486" s="32"/>
      <c r="AL486" s="29"/>
      <c r="AN486" s="34" t="str">
        <f aca="false">IF($B486="","",IF(OR(C486="",D486="",E486="",G486="",I486="",J486="",L486="",O486="",P486=""),"Champ obligatoire manquant",IF(OR(AND(N486&lt;&gt;"",N486&gt;O486),O486&gt;P486,AND(Q486&lt;&gt;"",Q486&lt;P486),AND(R486&lt;&gt;"",R486&lt;P486),AND(S486&lt;&gt;"",S486&lt;R486),AND(S486&lt;&gt;"",R486=""),AND(T486&lt;&gt;"",T486&lt;O486),AND(U486&lt;&gt;"",U486&lt;O486)),"Chronologie incohérente",IF(AND(OR(L486="Résolu",L486="Clos"),R486=""),"Date de résolution manquante",IF(AND(L486="Clos",S486=""),"Date de clôture manquante",IF(AND(K486="Oui",AC486=""),"Classification DORA manquante","OK"))))))</f>
        <v/>
      </c>
      <c r="AO486" s="35" t="str">
        <f aca="false">IF($B486="","",IF(AND(C486="Incident",L486&lt;&gt;"Annulé"),1,0))</f>
        <v/>
      </c>
      <c r="AP486" s="35" t="str">
        <f aca="false">IF($B486="","",IF(AND(C486="Quasi-incident",L486&lt;&gt;"Annulé"),1,0))</f>
        <v/>
      </c>
      <c r="AQ486" s="35" t="str">
        <f aca="false">IF($B486="","",AO486+AP486)</f>
        <v/>
      </c>
      <c r="AR486" s="36" t="str">
        <f aca="false">IF(OR($B486="",J486=""),"",IFERROR(VALUE(LEFT(J486,1)),""))</f>
        <v/>
      </c>
      <c r="AS486" s="35" t="str">
        <f aca="false">IF(OR(AO486&lt;&gt;1,G486=""),"",IFERROR(IF(INDEX(L_SrcInterne,MATCH(G486,L_Sources,0))="Oui",1,0),""))</f>
        <v/>
      </c>
      <c r="AT486" s="37" t="str">
        <f aca="false">IF(AO486&lt;&gt;1,"",IFERROR(ROUND(IF(OR(N486="",O486=""),"",IF(O486&lt;N486,"",ROUND(((NETWORKDAYS(N486,O486,JoursFeries)-1)*(HFer-HOuv)+IF(NETWORKDAYS(O486,O486,JoursFeries),MEDIAN(MOD(O486,1),HFer,HOuv),HFer)-IF(NETWORKDAYS(N486,N486,JoursFeries),MEDIAN(MOD(N486,1),HFer,HOuv),HOuv))*24,4)))/HJour,4),""))</f>
        <v/>
      </c>
      <c r="AU486" s="37" t="str">
        <f aca="false">IF(AO486&lt;&gt;1,"",IF(OR(O486="",P486=""),"",IF(P486&lt;O486,"",ROUND(((NETWORKDAYS(O486,P486,JoursFeries)-1)*(HFer-HOuv)+IF(NETWORKDAYS(P486,P486,JoursFeries),MEDIAN(MOD(P486,1),HFer,HOuv),HFer)-IF(NETWORKDAYS(O486,O486,JoursFeries),MEDIAN(MOD(O486,1),HFer,HOuv),HOuv))*24,4))))</f>
        <v/>
      </c>
      <c r="AV486" s="37" t="str">
        <f aca="false">IF(AO486&lt;&gt;1,"",IF(OR(P486="",Q486=""),"",IF(Q486&lt;P486,"",ROUND(((NETWORKDAYS(P486,Q486,JoursFeries)-1)*(HFer-HOuv)+IF(NETWORKDAYS(Q486,Q486,JoursFeries),MEDIAN(MOD(Q486,1),HFer,HOuv),HFer)-IF(NETWORKDAYS(P486,P486,JoursFeries),MEDIAN(MOD(P486,1),HFer,HOuv),HOuv))*24,4))))</f>
        <v/>
      </c>
      <c r="AW486" s="37" t="str">
        <f aca="false">IF(AO486&lt;&gt;1,"",IFERROR(ROUND(IF(OR(P486="",R486=""),"",IF(R486&lt;P486,"",ROUND(((NETWORKDAYS(P486,R486,JoursFeries)-1)*(HFer-HOuv)+IF(NETWORKDAYS(R486,R486,JoursFeries),MEDIAN(MOD(R486,1),HFer,HOuv),HFer)-IF(NETWORKDAYS(P486,P486,JoursFeries),MEDIAN(MOD(P486,1),HFer,HOuv),HOuv))*24,4)))/HJour,4),""))</f>
        <v/>
      </c>
      <c r="AX486" s="37" t="str">
        <f aca="false">IF(AO486&lt;&gt;1,"",IFERROR(ROUND(IF(OR(P486="",S486=""),"",IF(S486&lt;P486,"",ROUND(((NETWORKDAYS(P486,S486,JoursFeries)-1)*(HFer-HOuv)+IF(NETWORKDAYS(S486,S486,JoursFeries),MEDIAN(MOD(S486,1),HFer,HOuv),HFer)-IF(NETWORKDAYS(P486,P486,JoursFeries),MEDIAN(MOD(P486,1),HFer,HOuv),HOuv))*24,4)))/HJour,4),""))</f>
        <v/>
      </c>
      <c r="AY486" s="36" t="str">
        <f aca="false">IF(OR(AO486&lt;&gt;1,AR486=""),"",INDEX(SLA_PEC,AR486))</f>
        <v/>
      </c>
      <c r="AZ486" s="35" t="str">
        <f aca="false">IF(OR(AV486="",AY486=""),"",IF(AV486&lt;=AY486,1,0))</f>
        <v/>
      </c>
      <c r="BA486" s="36" t="str">
        <f aca="false">IF(OR(AO486&lt;&gt;1,AR486=""),"",INDEX(SLA_RES,AR486))</f>
        <v/>
      </c>
      <c r="BB486" s="35" t="str">
        <f aca="false">IF(OR(AW486="",BA486=""),"",IF(AW486&lt;=BA486,1,0))</f>
        <v/>
      </c>
      <c r="BC486" s="38" t="str">
        <f aca="false">IF(OR(BA486="",P486=""),"",WORKDAY(INT(P486),BA486,JoursFeries)+MOD(P486,1))</f>
        <v/>
      </c>
      <c r="BD486" s="39" t="str">
        <f aca="false">IF(AO486&lt;&gt;1,"",IF(OR(AB486&lt;&gt;"",AD486&lt;&gt;""),4,IF(U486&lt;&gt;"",3,IF(T486&lt;&gt;"",2,1))))</f>
        <v/>
      </c>
      <c r="BE486" s="39" t="str">
        <f aca="false">IF(OR(AO486&lt;&gt;1,AR486=""),"",INDEX(NIV_REQ,AR486))</f>
        <v/>
      </c>
      <c r="BF486" s="39" t="str">
        <f aca="false">IF(BE486="","",MAX(BE486,IF(OR(K486="Oui",Z486="Oui"),4,1)))</f>
        <v/>
      </c>
      <c r="BG486" s="35" t="str">
        <f aca="false">IF(OR(BF486="",BD486=""),"",IF(BD486&gt;=BF486,1,0))</f>
        <v/>
      </c>
      <c r="BH486" s="38" t="str">
        <f aca="false">IF(BE486="","",IF(BE486&lt;2,"",IF(BE486=2,IF(AND(T486="",U486=""),"",MIN(T486,U486)),IF(U486="","",U486))))</f>
        <v/>
      </c>
      <c r="BI486" s="37" t="str">
        <f aca="false">IF(BH486="","",IF(OR(O486="",BH486=""),"",IF(BH486&lt;O486,"",ROUND(((NETWORKDAYS(O486,BH486,JoursFeries)-1)*(HFer-HOuv)+IF(NETWORKDAYS(BH486,BH486,JoursFeries),MEDIAN(MOD(BH486,1),HFer,HOuv),HFer)-IF(NETWORKDAYS(O486,O486,JoursFeries),MEDIAN(MOD(O486,1),HFer,HOuv),HOuv))*24,4))))</f>
        <v/>
      </c>
      <c r="BJ486" s="35" t="str">
        <f aca="false">IF(OR(BI486="",AR486=""),"",IF(BI486&lt;=INDEX(DELAI_ESC,AR486),1,0))</f>
        <v/>
      </c>
      <c r="BK486" s="38" t="str">
        <f aca="false">IF(AO486&lt;&gt;1,"",IF(AND(T486="",U486=""),"",MIN(T486,U486)))</f>
        <v/>
      </c>
      <c r="BL486" s="37" t="str">
        <f aca="false">IF(OR(BK486="",R486=""),"",IFERROR(ROUND(IF(OR(BK486="",R486=""),"",IF(R486&lt;BK486,"",ROUND(((NETWORKDAYS(BK486,R486,JoursFeries)-1)*(HFer-HOuv)+IF(NETWORKDAYS(R486,R486,JoursFeries),MEDIAN(MOD(R486,1),HFer,HOuv),HFer)-IF(NETWORKDAYS(BK486,BK486,JoursFeries),MEDIAN(MOD(BK486,1),HFer,HOuv),HOuv))*24,4)))/HJour,4),""))</f>
        <v/>
      </c>
      <c r="BM486" s="35" t="str">
        <f aca="false">IF(OR(AO486&lt;&gt;1,R486=""),"",IF(BD486=1,1,0))</f>
        <v/>
      </c>
      <c r="BN486" s="35" t="str">
        <f aca="false">IF(AO486&lt;&gt;1,"",IF(W486="Oui",1,0))</f>
        <v/>
      </c>
      <c r="BO486" s="35" t="str">
        <f aca="false">IF(AO486&lt;&gt;1,"",IF(X486&lt;&gt;"",1,0))</f>
        <v/>
      </c>
      <c r="BP486" s="35" t="str">
        <f aca="false">IF(AO486&lt;&gt;1,"",IF(Y486="Oui",1,0))</f>
        <v/>
      </c>
      <c r="BQ486" s="35" t="str">
        <f aca="true">IF(OR(AO486&lt;&gt;1,Z486&lt;&gt;"Oui"),"",IF(AB486="",IF(AND(AA486&lt;&gt;"",NOW()&gt;AA486),0,""),IF(AA486="","",IF(AB486&lt;=AA486,1,0))))</f>
        <v/>
      </c>
      <c r="BR486" s="38" t="str">
        <f aca="false">IF(OR(AO486&lt;&gt;1,K486&lt;&gt;"Oui",O486=""),"",IF(AC486="",O486+DORA_H_DET/24,IF(AC486-O486&lt;=DORA_H_DET/24,MIN(AC486+DORA_H_CLA/24,O486+DORA_H_DET/24),AC486+DORA_H_CLA/24)))</f>
        <v/>
      </c>
      <c r="BS486" s="35" t="str">
        <f aca="true">IF(BR486="","",IF(AD486="",IF(NOW()&gt;BR486,0,""),IF(AD486&lt;=BR486,1,0)))</f>
        <v/>
      </c>
      <c r="BT486" s="35" t="str">
        <f aca="true">IF(OR(BR486="",AD486=""),"",IF(AE486="",IF(NOW()&gt;AD486+DORA_H_INT/24,0,""),IF(AE486&lt;=AD486+DORA_H_INT/24,1,0)))</f>
        <v/>
      </c>
      <c r="BU486" s="35" t="str">
        <f aca="true">IF(OR(BR486="",AE486=""),"",IF(AF486="",IF(NOW()&gt;EDATE(AE486,DORA_M_FIN)+1,0,""),IF(AF486&lt;=EDATE(AE486,DORA_M_FIN),1,0)))</f>
        <v/>
      </c>
      <c r="BV486" s="35" t="str">
        <f aca="false">IF(BR486="","",IF(COUNT(BS486:BU486)=0,"",MIN(BS486:BU486)))</f>
        <v/>
      </c>
      <c r="BW486" s="40" t="str">
        <f aca="false">IF(AQ486&lt;&gt;1,"",IF(AND(AG486="",AH486=""),"",N(AG486)-N(AH486)))</f>
        <v/>
      </c>
      <c r="BX486" s="35" t="str">
        <f aca="true">IF(OR(AQ486&lt;&gt;1,AI486&lt;&gt;"Oui",AJ486=""),"",IF(AK486="",IF(NOW()&gt;AJ486+1,0,""),IF(AK486&lt;=AJ486,1,0)))</f>
        <v/>
      </c>
    </row>
    <row r="487" customFormat="false" ht="15" hidden="false" customHeight="false" outlineLevel="0" collapsed="false">
      <c r="B487" s="29"/>
      <c r="C487" s="29"/>
      <c r="D487" s="29"/>
      <c r="E487" s="29"/>
      <c r="F487" s="29"/>
      <c r="G487" s="29"/>
      <c r="H487" s="29"/>
      <c r="I487" s="29"/>
      <c r="J487" s="29"/>
      <c r="K487" s="29"/>
      <c r="L487" s="29"/>
      <c r="M487" s="29"/>
      <c r="N487" s="30"/>
      <c r="O487" s="30"/>
      <c r="P487" s="30"/>
      <c r="Q487" s="30"/>
      <c r="R487" s="30"/>
      <c r="S487" s="30"/>
      <c r="T487" s="30"/>
      <c r="U487" s="30"/>
      <c r="V487" s="31"/>
      <c r="W487" s="29"/>
      <c r="X487" s="29"/>
      <c r="Y487" s="29"/>
      <c r="Z487" s="29"/>
      <c r="AA487" s="30"/>
      <c r="AB487" s="30"/>
      <c r="AC487" s="30"/>
      <c r="AD487" s="30"/>
      <c r="AE487" s="30"/>
      <c r="AF487" s="32"/>
      <c r="AG487" s="33"/>
      <c r="AH487" s="33"/>
      <c r="AI487" s="29"/>
      <c r="AJ487" s="32"/>
      <c r="AK487" s="32"/>
      <c r="AL487" s="29"/>
      <c r="AN487" s="34" t="str">
        <f aca="false">IF($B487="","",IF(OR(C487="",D487="",E487="",G487="",I487="",J487="",L487="",O487="",P487=""),"Champ obligatoire manquant",IF(OR(AND(N487&lt;&gt;"",N487&gt;O487),O487&gt;P487,AND(Q487&lt;&gt;"",Q487&lt;P487),AND(R487&lt;&gt;"",R487&lt;P487),AND(S487&lt;&gt;"",S487&lt;R487),AND(S487&lt;&gt;"",R487=""),AND(T487&lt;&gt;"",T487&lt;O487),AND(U487&lt;&gt;"",U487&lt;O487)),"Chronologie incohérente",IF(AND(OR(L487="Résolu",L487="Clos"),R487=""),"Date de résolution manquante",IF(AND(L487="Clos",S487=""),"Date de clôture manquante",IF(AND(K487="Oui",AC487=""),"Classification DORA manquante","OK"))))))</f>
        <v/>
      </c>
      <c r="AO487" s="35" t="str">
        <f aca="false">IF($B487="","",IF(AND(C487="Incident",L487&lt;&gt;"Annulé"),1,0))</f>
        <v/>
      </c>
      <c r="AP487" s="35" t="str">
        <f aca="false">IF($B487="","",IF(AND(C487="Quasi-incident",L487&lt;&gt;"Annulé"),1,0))</f>
        <v/>
      </c>
      <c r="AQ487" s="35" t="str">
        <f aca="false">IF($B487="","",AO487+AP487)</f>
        <v/>
      </c>
      <c r="AR487" s="36" t="str">
        <f aca="false">IF(OR($B487="",J487=""),"",IFERROR(VALUE(LEFT(J487,1)),""))</f>
        <v/>
      </c>
      <c r="AS487" s="35" t="str">
        <f aca="false">IF(OR(AO487&lt;&gt;1,G487=""),"",IFERROR(IF(INDEX(L_SrcInterne,MATCH(G487,L_Sources,0))="Oui",1,0),""))</f>
        <v/>
      </c>
      <c r="AT487" s="37" t="str">
        <f aca="false">IF(AO487&lt;&gt;1,"",IFERROR(ROUND(IF(OR(N487="",O487=""),"",IF(O487&lt;N487,"",ROUND(((NETWORKDAYS(N487,O487,JoursFeries)-1)*(HFer-HOuv)+IF(NETWORKDAYS(O487,O487,JoursFeries),MEDIAN(MOD(O487,1),HFer,HOuv),HFer)-IF(NETWORKDAYS(N487,N487,JoursFeries),MEDIAN(MOD(N487,1),HFer,HOuv),HOuv))*24,4)))/HJour,4),""))</f>
        <v/>
      </c>
      <c r="AU487" s="37" t="str">
        <f aca="false">IF(AO487&lt;&gt;1,"",IF(OR(O487="",P487=""),"",IF(P487&lt;O487,"",ROUND(((NETWORKDAYS(O487,P487,JoursFeries)-1)*(HFer-HOuv)+IF(NETWORKDAYS(P487,P487,JoursFeries),MEDIAN(MOD(P487,1),HFer,HOuv),HFer)-IF(NETWORKDAYS(O487,O487,JoursFeries),MEDIAN(MOD(O487,1),HFer,HOuv),HOuv))*24,4))))</f>
        <v/>
      </c>
      <c r="AV487" s="37" t="str">
        <f aca="false">IF(AO487&lt;&gt;1,"",IF(OR(P487="",Q487=""),"",IF(Q487&lt;P487,"",ROUND(((NETWORKDAYS(P487,Q487,JoursFeries)-1)*(HFer-HOuv)+IF(NETWORKDAYS(Q487,Q487,JoursFeries),MEDIAN(MOD(Q487,1),HFer,HOuv),HFer)-IF(NETWORKDAYS(P487,P487,JoursFeries),MEDIAN(MOD(P487,1),HFer,HOuv),HOuv))*24,4))))</f>
        <v/>
      </c>
      <c r="AW487" s="37" t="str">
        <f aca="false">IF(AO487&lt;&gt;1,"",IFERROR(ROUND(IF(OR(P487="",R487=""),"",IF(R487&lt;P487,"",ROUND(((NETWORKDAYS(P487,R487,JoursFeries)-1)*(HFer-HOuv)+IF(NETWORKDAYS(R487,R487,JoursFeries),MEDIAN(MOD(R487,1),HFer,HOuv),HFer)-IF(NETWORKDAYS(P487,P487,JoursFeries),MEDIAN(MOD(P487,1),HFer,HOuv),HOuv))*24,4)))/HJour,4),""))</f>
        <v/>
      </c>
      <c r="AX487" s="37" t="str">
        <f aca="false">IF(AO487&lt;&gt;1,"",IFERROR(ROUND(IF(OR(P487="",S487=""),"",IF(S487&lt;P487,"",ROUND(((NETWORKDAYS(P487,S487,JoursFeries)-1)*(HFer-HOuv)+IF(NETWORKDAYS(S487,S487,JoursFeries),MEDIAN(MOD(S487,1),HFer,HOuv),HFer)-IF(NETWORKDAYS(P487,P487,JoursFeries),MEDIAN(MOD(P487,1),HFer,HOuv),HOuv))*24,4)))/HJour,4),""))</f>
        <v/>
      </c>
      <c r="AY487" s="36" t="str">
        <f aca="false">IF(OR(AO487&lt;&gt;1,AR487=""),"",INDEX(SLA_PEC,AR487))</f>
        <v/>
      </c>
      <c r="AZ487" s="35" t="str">
        <f aca="false">IF(OR(AV487="",AY487=""),"",IF(AV487&lt;=AY487,1,0))</f>
        <v/>
      </c>
      <c r="BA487" s="36" t="str">
        <f aca="false">IF(OR(AO487&lt;&gt;1,AR487=""),"",INDEX(SLA_RES,AR487))</f>
        <v/>
      </c>
      <c r="BB487" s="35" t="str">
        <f aca="false">IF(OR(AW487="",BA487=""),"",IF(AW487&lt;=BA487,1,0))</f>
        <v/>
      </c>
      <c r="BC487" s="38" t="str">
        <f aca="false">IF(OR(BA487="",P487=""),"",WORKDAY(INT(P487),BA487,JoursFeries)+MOD(P487,1))</f>
        <v/>
      </c>
      <c r="BD487" s="39" t="str">
        <f aca="false">IF(AO487&lt;&gt;1,"",IF(OR(AB487&lt;&gt;"",AD487&lt;&gt;""),4,IF(U487&lt;&gt;"",3,IF(T487&lt;&gt;"",2,1))))</f>
        <v/>
      </c>
      <c r="BE487" s="39" t="str">
        <f aca="false">IF(OR(AO487&lt;&gt;1,AR487=""),"",INDEX(NIV_REQ,AR487))</f>
        <v/>
      </c>
      <c r="BF487" s="39" t="str">
        <f aca="false">IF(BE487="","",MAX(BE487,IF(OR(K487="Oui",Z487="Oui"),4,1)))</f>
        <v/>
      </c>
      <c r="BG487" s="35" t="str">
        <f aca="false">IF(OR(BF487="",BD487=""),"",IF(BD487&gt;=BF487,1,0))</f>
        <v/>
      </c>
      <c r="BH487" s="38" t="str">
        <f aca="false">IF(BE487="","",IF(BE487&lt;2,"",IF(BE487=2,IF(AND(T487="",U487=""),"",MIN(T487,U487)),IF(U487="","",U487))))</f>
        <v/>
      </c>
      <c r="BI487" s="37" t="str">
        <f aca="false">IF(BH487="","",IF(OR(O487="",BH487=""),"",IF(BH487&lt;O487,"",ROUND(((NETWORKDAYS(O487,BH487,JoursFeries)-1)*(HFer-HOuv)+IF(NETWORKDAYS(BH487,BH487,JoursFeries),MEDIAN(MOD(BH487,1),HFer,HOuv),HFer)-IF(NETWORKDAYS(O487,O487,JoursFeries),MEDIAN(MOD(O487,1),HFer,HOuv),HOuv))*24,4))))</f>
        <v/>
      </c>
      <c r="BJ487" s="35" t="str">
        <f aca="false">IF(OR(BI487="",AR487=""),"",IF(BI487&lt;=INDEX(DELAI_ESC,AR487),1,0))</f>
        <v/>
      </c>
      <c r="BK487" s="38" t="str">
        <f aca="false">IF(AO487&lt;&gt;1,"",IF(AND(T487="",U487=""),"",MIN(T487,U487)))</f>
        <v/>
      </c>
      <c r="BL487" s="37" t="str">
        <f aca="false">IF(OR(BK487="",R487=""),"",IFERROR(ROUND(IF(OR(BK487="",R487=""),"",IF(R487&lt;BK487,"",ROUND(((NETWORKDAYS(BK487,R487,JoursFeries)-1)*(HFer-HOuv)+IF(NETWORKDAYS(R487,R487,JoursFeries),MEDIAN(MOD(R487,1),HFer,HOuv),HFer)-IF(NETWORKDAYS(BK487,BK487,JoursFeries),MEDIAN(MOD(BK487,1),HFer,HOuv),HOuv))*24,4)))/HJour,4),""))</f>
        <v/>
      </c>
      <c r="BM487" s="35" t="str">
        <f aca="false">IF(OR(AO487&lt;&gt;1,R487=""),"",IF(BD487=1,1,0))</f>
        <v/>
      </c>
      <c r="BN487" s="35" t="str">
        <f aca="false">IF(AO487&lt;&gt;1,"",IF(W487="Oui",1,0))</f>
        <v/>
      </c>
      <c r="BO487" s="35" t="str">
        <f aca="false">IF(AO487&lt;&gt;1,"",IF(X487&lt;&gt;"",1,0))</f>
        <v/>
      </c>
      <c r="BP487" s="35" t="str">
        <f aca="false">IF(AO487&lt;&gt;1,"",IF(Y487="Oui",1,0))</f>
        <v/>
      </c>
      <c r="BQ487" s="35" t="str">
        <f aca="true">IF(OR(AO487&lt;&gt;1,Z487&lt;&gt;"Oui"),"",IF(AB487="",IF(AND(AA487&lt;&gt;"",NOW()&gt;AA487),0,""),IF(AA487="","",IF(AB487&lt;=AA487,1,0))))</f>
        <v/>
      </c>
      <c r="BR487" s="38" t="str">
        <f aca="false">IF(OR(AO487&lt;&gt;1,K487&lt;&gt;"Oui",O487=""),"",IF(AC487="",O487+DORA_H_DET/24,IF(AC487-O487&lt;=DORA_H_DET/24,MIN(AC487+DORA_H_CLA/24,O487+DORA_H_DET/24),AC487+DORA_H_CLA/24)))</f>
        <v/>
      </c>
      <c r="BS487" s="35" t="str">
        <f aca="true">IF(BR487="","",IF(AD487="",IF(NOW()&gt;BR487,0,""),IF(AD487&lt;=BR487,1,0)))</f>
        <v/>
      </c>
      <c r="BT487" s="35" t="str">
        <f aca="true">IF(OR(BR487="",AD487=""),"",IF(AE487="",IF(NOW()&gt;AD487+DORA_H_INT/24,0,""),IF(AE487&lt;=AD487+DORA_H_INT/24,1,0)))</f>
        <v/>
      </c>
      <c r="BU487" s="35" t="str">
        <f aca="true">IF(OR(BR487="",AE487=""),"",IF(AF487="",IF(NOW()&gt;EDATE(AE487,DORA_M_FIN)+1,0,""),IF(AF487&lt;=EDATE(AE487,DORA_M_FIN),1,0)))</f>
        <v/>
      </c>
      <c r="BV487" s="35" t="str">
        <f aca="false">IF(BR487="","",IF(COUNT(BS487:BU487)=0,"",MIN(BS487:BU487)))</f>
        <v/>
      </c>
      <c r="BW487" s="40" t="str">
        <f aca="false">IF(AQ487&lt;&gt;1,"",IF(AND(AG487="",AH487=""),"",N(AG487)-N(AH487)))</f>
        <v/>
      </c>
      <c r="BX487" s="35" t="str">
        <f aca="true">IF(OR(AQ487&lt;&gt;1,AI487&lt;&gt;"Oui",AJ487=""),"",IF(AK487="",IF(NOW()&gt;AJ487+1,0,""),IF(AK487&lt;=AJ487,1,0)))</f>
        <v/>
      </c>
    </row>
    <row r="488" customFormat="false" ht="15" hidden="false" customHeight="false" outlineLevel="0" collapsed="false">
      <c r="B488" s="29"/>
      <c r="C488" s="29"/>
      <c r="D488" s="29"/>
      <c r="E488" s="29"/>
      <c r="F488" s="29"/>
      <c r="G488" s="29"/>
      <c r="H488" s="29"/>
      <c r="I488" s="29"/>
      <c r="J488" s="29"/>
      <c r="K488" s="29"/>
      <c r="L488" s="29"/>
      <c r="M488" s="29"/>
      <c r="N488" s="30"/>
      <c r="O488" s="30"/>
      <c r="P488" s="30"/>
      <c r="Q488" s="30"/>
      <c r="R488" s="30"/>
      <c r="S488" s="30"/>
      <c r="T488" s="30"/>
      <c r="U488" s="30"/>
      <c r="V488" s="31"/>
      <c r="W488" s="29"/>
      <c r="X488" s="29"/>
      <c r="Y488" s="29"/>
      <c r="Z488" s="29"/>
      <c r="AA488" s="30"/>
      <c r="AB488" s="30"/>
      <c r="AC488" s="30"/>
      <c r="AD488" s="30"/>
      <c r="AE488" s="30"/>
      <c r="AF488" s="32"/>
      <c r="AG488" s="33"/>
      <c r="AH488" s="33"/>
      <c r="AI488" s="29"/>
      <c r="AJ488" s="32"/>
      <c r="AK488" s="32"/>
      <c r="AL488" s="29"/>
      <c r="AN488" s="34" t="str">
        <f aca="false">IF($B488="","",IF(OR(C488="",D488="",E488="",G488="",I488="",J488="",L488="",O488="",P488=""),"Champ obligatoire manquant",IF(OR(AND(N488&lt;&gt;"",N488&gt;O488),O488&gt;P488,AND(Q488&lt;&gt;"",Q488&lt;P488),AND(R488&lt;&gt;"",R488&lt;P488),AND(S488&lt;&gt;"",S488&lt;R488),AND(S488&lt;&gt;"",R488=""),AND(T488&lt;&gt;"",T488&lt;O488),AND(U488&lt;&gt;"",U488&lt;O488)),"Chronologie incohérente",IF(AND(OR(L488="Résolu",L488="Clos"),R488=""),"Date de résolution manquante",IF(AND(L488="Clos",S488=""),"Date de clôture manquante",IF(AND(K488="Oui",AC488=""),"Classification DORA manquante","OK"))))))</f>
        <v/>
      </c>
      <c r="AO488" s="35" t="str">
        <f aca="false">IF($B488="","",IF(AND(C488="Incident",L488&lt;&gt;"Annulé"),1,0))</f>
        <v/>
      </c>
      <c r="AP488" s="35" t="str">
        <f aca="false">IF($B488="","",IF(AND(C488="Quasi-incident",L488&lt;&gt;"Annulé"),1,0))</f>
        <v/>
      </c>
      <c r="AQ488" s="35" t="str">
        <f aca="false">IF($B488="","",AO488+AP488)</f>
        <v/>
      </c>
      <c r="AR488" s="36" t="str">
        <f aca="false">IF(OR($B488="",J488=""),"",IFERROR(VALUE(LEFT(J488,1)),""))</f>
        <v/>
      </c>
      <c r="AS488" s="35" t="str">
        <f aca="false">IF(OR(AO488&lt;&gt;1,G488=""),"",IFERROR(IF(INDEX(L_SrcInterne,MATCH(G488,L_Sources,0))="Oui",1,0),""))</f>
        <v/>
      </c>
      <c r="AT488" s="37" t="str">
        <f aca="false">IF(AO488&lt;&gt;1,"",IFERROR(ROUND(IF(OR(N488="",O488=""),"",IF(O488&lt;N488,"",ROUND(((NETWORKDAYS(N488,O488,JoursFeries)-1)*(HFer-HOuv)+IF(NETWORKDAYS(O488,O488,JoursFeries),MEDIAN(MOD(O488,1),HFer,HOuv),HFer)-IF(NETWORKDAYS(N488,N488,JoursFeries),MEDIAN(MOD(N488,1),HFer,HOuv),HOuv))*24,4)))/HJour,4),""))</f>
        <v/>
      </c>
      <c r="AU488" s="37" t="str">
        <f aca="false">IF(AO488&lt;&gt;1,"",IF(OR(O488="",P488=""),"",IF(P488&lt;O488,"",ROUND(((NETWORKDAYS(O488,P488,JoursFeries)-1)*(HFer-HOuv)+IF(NETWORKDAYS(P488,P488,JoursFeries),MEDIAN(MOD(P488,1),HFer,HOuv),HFer)-IF(NETWORKDAYS(O488,O488,JoursFeries),MEDIAN(MOD(O488,1),HFer,HOuv),HOuv))*24,4))))</f>
        <v/>
      </c>
      <c r="AV488" s="37" t="str">
        <f aca="false">IF(AO488&lt;&gt;1,"",IF(OR(P488="",Q488=""),"",IF(Q488&lt;P488,"",ROUND(((NETWORKDAYS(P488,Q488,JoursFeries)-1)*(HFer-HOuv)+IF(NETWORKDAYS(Q488,Q488,JoursFeries),MEDIAN(MOD(Q488,1),HFer,HOuv),HFer)-IF(NETWORKDAYS(P488,P488,JoursFeries),MEDIAN(MOD(P488,1),HFer,HOuv),HOuv))*24,4))))</f>
        <v/>
      </c>
      <c r="AW488" s="37" t="str">
        <f aca="false">IF(AO488&lt;&gt;1,"",IFERROR(ROUND(IF(OR(P488="",R488=""),"",IF(R488&lt;P488,"",ROUND(((NETWORKDAYS(P488,R488,JoursFeries)-1)*(HFer-HOuv)+IF(NETWORKDAYS(R488,R488,JoursFeries),MEDIAN(MOD(R488,1),HFer,HOuv),HFer)-IF(NETWORKDAYS(P488,P488,JoursFeries),MEDIAN(MOD(P488,1),HFer,HOuv),HOuv))*24,4)))/HJour,4),""))</f>
        <v/>
      </c>
      <c r="AX488" s="37" t="str">
        <f aca="false">IF(AO488&lt;&gt;1,"",IFERROR(ROUND(IF(OR(P488="",S488=""),"",IF(S488&lt;P488,"",ROUND(((NETWORKDAYS(P488,S488,JoursFeries)-1)*(HFer-HOuv)+IF(NETWORKDAYS(S488,S488,JoursFeries),MEDIAN(MOD(S488,1),HFer,HOuv),HFer)-IF(NETWORKDAYS(P488,P488,JoursFeries),MEDIAN(MOD(P488,1),HFer,HOuv),HOuv))*24,4)))/HJour,4),""))</f>
        <v/>
      </c>
      <c r="AY488" s="36" t="str">
        <f aca="false">IF(OR(AO488&lt;&gt;1,AR488=""),"",INDEX(SLA_PEC,AR488))</f>
        <v/>
      </c>
      <c r="AZ488" s="35" t="str">
        <f aca="false">IF(OR(AV488="",AY488=""),"",IF(AV488&lt;=AY488,1,0))</f>
        <v/>
      </c>
      <c r="BA488" s="36" t="str">
        <f aca="false">IF(OR(AO488&lt;&gt;1,AR488=""),"",INDEX(SLA_RES,AR488))</f>
        <v/>
      </c>
      <c r="BB488" s="35" t="str">
        <f aca="false">IF(OR(AW488="",BA488=""),"",IF(AW488&lt;=BA488,1,0))</f>
        <v/>
      </c>
      <c r="BC488" s="38" t="str">
        <f aca="false">IF(OR(BA488="",P488=""),"",WORKDAY(INT(P488),BA488,JoursFeries)+MOD(P488,1))</f>
        <v/>
      </c>
      <c r="BD488" s="39" t="str">
        <f aca="false">IF(AO488&lt;&gt;1,"",IF(OR(AB488&lt;&gt;"",AD488&lt;&gt;""),4,IF(U488&lt;&gt;"",3,IF(T488&lt;&gt;"",2,1))))</f>
        <v/>
      </c>
      <c r="BE488" s="39" t="str">
        <f aca="false">IF(OR(AO488&lt;&gt;1,AR488=""),"",INDEX(NIV_REQ,AR488))</f>
        <v/>
      </c>
      <c r="BF488" s="39" t="str">
        <f aca="false">IF(BE488="","",MAX(BE488,IF(OR(K488="Oui",Z488="Oui"),4,1)))</f>
        <v/>
      </c>
      <c r="BG488" s="35" t="str">
        <f aca="false">IF(OR(BF488="",BD488=""),"",IF(BD488&gt;=BF488,1,0))</f>
        <v/>
      </c>
      <c r="BH488" s="38" t="str">
        <f aca="false">IF(BE488="","",IF(BE488&lt;2,"",IF(BE488=2,IF(AND(T488="",U488=""),"",MIN(T488,U488)),IF(U488="","",U488))))</f>
        <v/>
      </c>
      <c r="BI488" s="37" t="str">
        <f aca="false">IF(BH488="","",IF(OR(O488="",BH488=""),"",IF(BH488&lt;O488,"",ROUND(((NETWORKDAYS(O488,BH488,JoursFeries)-1)*(HFer-HOuv)+IF(NETWORKDAYS(BH488,BH488,JoursFeries),MEDIAN(MOD(BH488,1),HFer,HOuv),HFer)-IF(NETWORKDAYS(O488,O488,JoursFeries),MEDIAN(MOD(O488,1),HFer,HOuv),HOuv))*24,4))))</f>
        <v/>
      </c>
      <c r="BJ488" s="35" t="str">
        <f aca="false">IF(OR(BI488="",AR488=""),"",IF(BI488&lt;=INDEX(DELAI_ESC,AR488),1,0))</f>
        <v/>
      </c>
      <c r="BK488" s="38" t="str">
        <f aca="false">IF(AO488&lt;&gt;1,"",IF(AND(T488="",U488=""),"",MIN(T488,U488)))</f>
        <v/>
      </c>
      <c r="BL488" s="37" t="str">
        <f aca="false">IF(OR(BK488="",R488=""),"",IFERROR(ROUND(IF(OR(BK488="",R488=""),"",IF(R488&lt;BK488,"",ROUND(((NETWORKDAYS(BK488,R488,JoursFeries)-1)*(HFer-HOuv)+IF(NETWORKDAYS(R488,R488,JoursFeries),MEDIAN(MOD(R488,1),HFer,HOuv),HFer)-IF(NETWORKDAYS(BK488,BK488,JoursFeries),MEDIAN(MOD(BK488,1),HFer,HOuv),HOuv))*24,4)))/HJour,4),""))</f>
        <v/>
      </c>
      <c r="BM488" s="35" t="str">
        <f aca="false">IF(OR(AO488&lt;&gt;1,R488=""),"",IF(BD488=1,1,0))</f>
        <v/>
      </c>
      <c r="BN488" s="35" t="str">
        <f aca="false">IF(AO488&lt;&gt;1,"",IF(W488="Oui",1,0))</f>
        <v/>
      </c>
      <c r="BO488" s="35" t="str">
        <f aca="false">IF(AO488&lt;&gt;1,"",IF(X488&lt;&gt;"",1,0))</f>
        <v/>
      </c>
      <c r="BP488" s="35" t="str">
        <f aca="false">IF(AO488&lt;&gt;1,"",IF(Y488="Oui",1,0))</f>
        <v/>
      </c>
      <c r="BQ488" s="35" t="str">
        <f aca="true">IF(OR(AO488&lt;&gt;1,Z488&lt;&gt;"Oui"),"",IF(AB488="",IF(AND(AA488&lt;&gt;"",NOW()&gt;AA488),0,""),IF(AA488="","",IF(AB488&lt;=AA488,1,0))))</f>
        <v/>
      </c>
      <c r="BR488" s="38" t="str">
        <f aca="false">IF(OR(AO488&lt;&gt;1,K488&lt;&gt;"Oui",O488=""),"",IF(AC488="",O488+DORA_H_DET/24,IF(AC488-O488&lt;=DORA_H_DET/24,MIN(AC488+DORA_H_CLA/24,O488+DORA_H_DET/24),AC488+DORA_H_CLA/24)))</f>
        <v/>
      </c>
      <c r="BS488" s="35" t="str">
        <f aca="true">IF(BR488="","",IF(AD488="",IF(NOW()&gt;BR488,0,""),IF(AD488&lt;=BR488,1,0)))</f>
        <v/>
      </c>
      <c r="BT488" s="35" t="str">
        <f aca="true">IF(OR(BR488="",AD488=""),"",IF(AE488="",IF(NOW()&gt;AD488+DORA_H_INT/24,0,""),IF(AE488&lt;=AD488+DORA_H_INT/24,1,0)))</f>
        <v/>
      </c>
      <c r="BU488" s="35" t="str">
        <f aca="true">IF(OR(BR488="",AE488=""),"",IF(AF488="",IF(NOW()&gt;EDATE(AE488,DORA_M_FIN)+1,0,""),IF(AF488&lt;=EDATE(AE488,DORA_M_FIN),1,0)))</f>
        <v/>
      </c>
      <c r="BV488" s="35" t="str">
        <f aca="false">IF(BR488="","",IF(COUNT(BS488:BU488)=0,"",MIN(BS488:BU488)))</f>
        <v/>
      </c>
      <c r="BW488" s="40" t="str">
        <f aca="false">IF(AQ488&lt;&gt;1,"",IF(AND(AG488="",AH488=""),"",N(AG488)-N(AH488)))</f>
        <v/>
      </c>
      <c r="BX488" s="35" t="str">
        <f aca="true">IF(OR(AQ488&lt;&gt;1,AI488&lt;&gt;"Oui",AJ488=""),"",IF(AK488="",IF(NOW()&gt;AJ488+1,0,""),IF(AK488&lt;=AJ488,1,0)))</f>
        <v/>
      </c>
    </row>
    <row r="489" customFormat="false" ht="15" hidden="false" customHeight="false" outlineLevel="0" collapsed="false">
      <c r="B489" s="29"/>
      <c r="C489" s="29"/>
      <c r="D489" s="29"/>
      <c r="E489" s="29"/>
      <c r="F489" s="29"/>
      <c r="G489" s="29"/>
      <c r="H489" s="29"/>
      <c r="I489" s="29"/>
      <c r="J489" s="29"/>
      <c r="K489" s="29"/>
      <c r="L489" s="29"/>
      <c r="M489" s="29"/>
      <c r="N489" s="30"/>
      <c r="O489" s="30"/>
      <c r="P489" s="30"/>
      <c r="Q489" s="30"/>
      <c r="R489" s="30"/>
      <c r="S489" s="30"/>
      <c r="T489" s="30"/>
      <c r="U489" s="30"/>
      <c r="V489" s="31"/>
      <c r="W489" s="29"/>
      <c r="X489" s="29"/>
      <c r="Y489" s="29"/>
      <c r="Z489" s="29"/>
      <c r="AA489" s="30"/>
      <c r="AB489" s="30"/>
      <c r="AC489" s="30"/>
      <c r="AD489" s="30"/>
      <c r="AE489" s="30"/>
      <c r="AF489" s="32"/>
      <c r="AG489" s="33"/>
      <c r="AH489" s="33"/>
      <c r="AI489" s="29"/>
      <c r="AJ489" s="32"/>
      <c r="AK489" s="32"/>
      <c r="AL489" s="29"/>
      <c r="AN489" s="34" t="str">
        <f aca="false">IF($B489="","",IF(OR(C489="",D489="",E489="",G489="",I489="",J489="",L489="",O489="",P489=""),"Champ obligatoire manquant",IF(OR(AND(N489&lt;&gt;"",N489&gt;O489),O489&gt;P489,AND(Q489&lt;&gt;"",Q489&lt;P489),AND(R489&lt;&gt;"",R489&lt;P489),AND(S489&lt;&gt;"",S489&lt;R489),AND(S489&lt;&gt;"",R489=""),AND(T489&lt;&gt;"",T489&lt;O489),AND(U489&lt;&gt;"",U489&lt;O489)),"Chronologie incohérente",IF(AND(OR(L489="Résolu",L489="Clos"),R489=""),"Date de résolution manquante",IF(AND(L489="Clos",S489=""),"Date de clôture manquante",IF(AND(K489="Oui",AC489=""),"Classification DORA manquante","OK"))))))</f>
        <v/>
      </c>
      <c r="AO489" s="35" t="str">
        <f aca="false">IF($B489="","",IF(AND(C489="Incident",L489&lt;&gt;"Annulé"),1,0))</f>
        <v/>
      </c>
      <c r="AP489" s="35" t="str">
        <f aca="false">IF($B489="","",IF(AND(C489="Quasi-incident",L489&lt;&gt;"Annulé"),1,0))</f>
        <v/>
      </c>
      <c r="AQ489" s="35" t="str">
        <f aca="false">IF($B489="","",AO489+AP489)</f>
        <v/>
      </c>
      <c r="AR489" s="36" t="str">
        <f aca="false">IF(OR($B489="",J489=""),"",IFERROR(VALUE(LEFT(J489,1)),""))</f>
        <v/>
      </c>
      <c r="AS489" s="35" t="str">
        <f aca="false">IF(OR(AO489&lt;&gt;1,G489=""),"",IFERROR(IF(INDEX(L_SrcInterne,MATCH(G489,L_Sources,0))="Oui",1,0),""))</f>
        <v/>
      </c>
      <c r="AT489" s="37" t="str">
        <f aca="false">IF(AO489&lt;&gt;1,"",IFERROR(ROUND(IF(OR(N489="",O489=""),"",IF(O489&lt;N489,"",ROUND(((NETWORKDAYS(N489,O489,JoursFeries)-1)*(HFer-HOuv)+IF(NETWORKDAYS(O489,O489,JoursFeries),MEDIAN(MOD(O489,1),HFer,HOuv),HFer)-IF(NETWORKDAYS(N489,N489,JoursFeries),MEDIAN(MOD(N489,1),HFer,HOuv),HOuv))*24,4)))/HJour,4),""))</f>
        <v/>
      </c>
      <c r="AU489" s="37" t="str">
        <f aca="false">IF(AO489&lt;&gt;1,"",IF(OR(O489="",P489=""),"",IF(P489&lt;O489,"",ROUND(((NETWORKDAYS(O489,P489,JoursFeries)-1)*(HFer-HOuv)+IF(NETWORKDAYS(P489,P489,JoursFeries),MEDIAN(MOD(P489,1),HFer,HOuv),HFer)-IF(NETWORKDAYS(O489,O489,JoursFeries),MEDIAN(MOD(O489,1),HFer,HOuv),HOuv))*24,4))))</f>
        <v/>
      </c>
      <c r="AV489" s="37" t="str">
        <f aca="false">IF(AO489&lt;&gt;1,"",IF(OR(P489="",Q489=""),"",IF(Q489&lt;P489,"",ROUND(((NETWORKDAYS(P489,Q489,JoursFeries)-1)*(HFer-HOuv)+IF(NETWORKDAYS(Q489,Q489,JoursFeries),MEDIAN(MOD(Q489,1),HFer,HOuv),HFer)-IF(NETWORKDAYS(P489,P489,JoursFeries),MEDIAN(MOD(P489,1),HFer,HOuv),HOuv))*24,4))))</f>
        <v/>
      </c>
      <c r="AW489" s="37" t="str">
        <f aca="false">IF(AO489&lt;&gt;1,"",IFERROR(ROUND(IF(OR(P489="",R489=""),"",IF(R489&lt;P489,"",ROUND(((NETWORKDAYS(P489,R489,JoursFeries)-1)*(HFer-HOuv)+IF(NETWORKDAYS(R489,R489,JoursFeries),MEDIAN(MOD(R489,1),HFer,HOuv),HFer)-IF(NETWORKDAYS(P489,P489,JoursFeries),MEDIAN(MOD(P489,1),HFer,HOuv),HOuv))*24,4)))/HJour,4),""))</f>
        <v/>
      </c>
      <c r="AX489" s="37" t="str">
        <f aca="false">IF(AO489&lt;&gt;1,"",IFERROR(ROUND(IF(OR(P489="",S489=""),"",IF(S489&lt;P489,"",ROUND(((NETWORKDAYS(P489,S489,JoursFeries)-1)*(HFer-HOuv)+IF(NETWORKDAYS(S489,S489,JoursFeries),MEDIAN(MOD(S489,1),HFer,HOuv),HFer)-IF(NETWORKDAYS(P489,P489,JoursFeries),MEDIAN(MOD(P489,1),HFer,HOuv),HOuv))*24,4)))/HJour,4),""))</f>
        <v/>
      </c>
      <c r="AY489" s="36" t="str">
        <f aca="false">IF(OR(AO489&lt;&gt;1,AR489=""),"",INDEX(SLA_PEC,AR489))</f>
        <v/>
      </c>
      <c r="AZ489" s="35" t="str">
        <f aca="false">IF(OR(AV489="",AY489=""),"",IF(AV489&lt;=AY489,1,0))</f>
        <v/>
      </c>
      <c r="BA489" s="36" t="str">
        <f aca="false">IF(OR(AO489&lt;&gt;1,AR489=""),"",INDEX(SLA_RES,AR489))</f>
        <v/>
      </c>
      <c r="BB489" s="35" t="str">
        <f aca="false">IF(OR(AW489="",BA489=""),"",IF(AW489&lt;=BA489,1,0))</f>
        <v/>
      </c>
      <c r="BC489" s="38" t="str">
        <f aca="false">IF(OR(BA489="",P489=""),"",WORKDAY(INT(P489),BA489,JoursFeries)+MOD(P489,1))</f>
        <v/>
      </c>
      <c r="BD489" s="39" t="str">
        <f aca="false">IF(AO489&lt;&gt;1,"",IF(OR(AB489&lt;&gt;"",AD489&lt;&gt;""),4,IF(U489&lt;&gt;"",3,IF(T489&lt;&gt;"",2,1))))</f>
        <v/>
      </c>
      <c r="BE489" s="39" t="str">
        <f aca="false">IF(OR(AO489&lt;&gt;1,AR489=""),"",INDEX(NIV_REQ,AR489))</f>
        <v/>
      </c>
      <c r="BF489" s="39" t="str">
        <f aca="false">IF(BE489="","",MAX(BE489,IF(OR(K489="Oui",Z489="Oui"),4,1)))</f>
        <v/>
      </c>
      <c r="BG489" s="35" t="str">
        <f aca="false">IF(OR(BF489="",BD489=""),"",IF(BD489&gt;=BF489,1,0))</f>
        <v/>
      </c>
      <c r="BH489" s="38" t="str">
        <f aca="false">IF(BE489="","",IF(BE489&lt;2,"",IF(BE489=2,IF(AND(T489="",U489=""),"",MIN(T489,U489)),IF(U489="","",U489))))</f>
        <v/>
      </c>
      <c r="BI489" s="37" t="str">
        <f aca="false">IF(BH489="","",IF(OR(O489="",BH489=""),"",IF(BH489&lt;O489,"",ROUND(((NETWORKDAYS(O489,BH489,JoursFeries)-1)*(HFer-HOuv)+IF(NETWORKDAYS(BH489,BH489,JoursFeries),MEDIAN(MOD(BH489,1),HFer,HOuv),HFer)-IF(NETWORKDAYS(O489,O489,JoursFeries),MEDIAN(MOD(O489,1),HFer,HOuv),HOuv))*24,4))))</f>
        <v/>
      </c>
      <c r="BJ489" s="35" t="str">
        <f aca="false">IF(OR(BI489="",AR489=""),"",IF(BI489&lt;=INDEX(DELAI_ESC,AR489),1,0))</f>
        <v/>
      </c>
      <c r="BK489" s="38" t="str">
        <f aca="false">IF(AO489&lt;&gt;1,"",IF(AND(T489="",U489=""),"",MIN(T489,U489)))</f>
        <v/>
      </c>
      <c r="BL489" s="37" t="str">
        <f aca="false">IF(OR(BK489="",R489=""),"",IFERROR(ROUND(IF(OR(BK489="",R489=""),"",IF(R489&lt;BK489,"",ROUND(((NETWORKDAYS(BK489,R489,JoursFeries)-1)*(HFer-HOuv)+IF(NETWORKDAYS(R489,R489,JoursFeries),MEDIAN(MOD(R489,1),HFer,HOuv),HFer)-IF(NETWORKDAYS(BK489,BK489,JoursFeries),MEDIAN(MOD(BK489,1),HFer,HOuv),HOuv))*24,4)))/HJour,4),""))</f>
        <v/>
      </c>
      <c r="BM489" s="35" t="str">
        <f aca="false">IF(OR(AO489&lt;&gt;1,R489=""),"",IF(BD489=1,1,0))</f>
        <v/>
      </c>
      <c r="BN489" s="35" t="str">
        <f aca="false">IF(AO489&lt;&gt;1,"",IF(W489="Oui",1,0))</f>
        <v/>
      </c>
      <c r="BO489" s="35" t="str">
        <f aca="false">IF(AO489&lt;&gt;1,"",IF(X489&lt;&gt;"",1,0))</f>
        <v/>
      </c>
      <c r="BP489" s="35" t="str">
        <f aca="false">IF(AO489&lt;&gt;1,"",IF(Y489="Oui",1,0))</f>
        <v/>
      </c>
      <c r="BQ489" s="35" t="str">
        <f aca="true">IF(OR(AO489&lt;&gt;1,Z489&lt;&gt;"Oui"),"",IF(AB489="",IF(AND(AA489&lt;&gt;"",NOW()&gt;AA489),0,""),IF(AA489="","",IF(AB489&lt;=AA489,1,0))))</f>
        <v/>
      </c>
      <c r="BR489" s="38" t="str">
        <f aca="false">IF(OR(AO489&lt;&gt;1,K489&lt;&gt;"Oui",O489=""),"",IF(AC489="",O489+DORA_H_DET/24,IF(AC489-O489&lt;=DORA_H_DET/24,MIN(AC489+DORA_H_CLA/24,O489+DORA_H_DET/24),AC489+DORA_H_CLA/24)))</f>
        <v/>
      </c>
      <c r="BS489" s="35" t="str">
        <f aca="true">IF(BR489="","",IF(AD489="",IF(NOW()&gt;BR489,0,""),IF(AD489&lt;=BR489,1,0)))</f>
        <v/>
      </c>
      <c r="BT489" s="35" t="str">
        <f aca="true">IF(OR(BR489="",AD489=""),"",IF(AE489="",IF(NOW()&gt;AD489+DORA_H_INT/24,0,""),IF(AE489&lt;=AD489+DORA_H_INT/24,1,0)))</f>
        <v/>
      </c>
      <c r="BU489" s="35" t="str">
        <f aca="true">IF(OR(BR489="",AE489=""),"",IF(AF489="",IF(NOW()&gt;EDATE(AE489,DORA_M_FIN)+1,0,""),IF(AF489&lt;=EDATE(AE489,DORA_M_FIN),1,0)))</f>
        <v/>
      </c>
      <c r="BV489" s="35" t="str">
        <f aca="false">IF(BR489="","",IF(COUNT(BS489:BU489)=0,"",MIN(BS489:BU489)))</f>
        <v/>
      </c>
      <c r="BW489" s="40" t="str">
        <f aca="false">IF(AQ489&lt;&gt;1,"",IF(AND(AG489="",AH489=""),"",N(AG489)-N(AH489)))</f>
        <v/>
      </c>
      <c r="BX489" s="35" t="str">
        <f aca="true">IF(OR(AQ489&lt;&gt;1,AI489&lt;&gt;"Oui",AJ489=""),"",IF(AK489="",IF(NOW()&gt;AJ489+1,0,""),IF(AK489&lt;=AJ489,1,0)))</f>
        <v/>
      </c>
    </row>
    <row r="490" customFormat="false" ht="15" hidden="false" customHeight="false" outlineLevel="0" collapsed="false">
      <c r="B490" s="29"/>
      <c r="C490" s="29"/>
      <c r="D490" s="29"/>
      <c r="E490" s="29"/>
      <c r="F490" s="29"/>
      <c r="G490" s="29"/>
      <c r="H490" s="29"/>
      <c r="I490" s="29"/>
      <c r="J490" s="29"/>
      <c r="K490" s="29"/>
      <c r="L490" s="29"/>
      <c r="M490" s="29"/>
      <c r="N490" s="30"/>
      <c r="O490" s="30"/>
      <c r="P490" s="30"/>
      <c r="Q490" s="30"/>
      <c r="R490" s="30"/>
      <c r="S490" s="30"/>
      <c r="T490" s="30"/>
      <c r="U490" s="30"/>
      <c r="V490" s="31"/>
      <c r="W490" s="29"/>
      <c r="X490" s="29"/>
      <c r="Y490" s="29"/>
      <c r="Z490" s="29"/>
      <c r="AA490" s="30"/>
      <c r="AB490" s="30"/>
      <c r="AC490" s="30"/>
      <c r="AD490" s="30"/>
      <c r="AE490" s="30"/>
      <c r="AF490" s="32"/>
      <c r="AG490" s="33"/>
      <c r="AH490" s="33"/>
      <c r="AI490" s="29"/>
      <c r="AJ490" s="32"/>
      <c r="AK490" s="32"/>
      <c r="AL490" s="29"/>
      <c r="AN490" s="34" t="str">
        <f aca="false">IF($B490="","",IF(OR(C490="",D490="",E490="",G490="",I490="",J490="",L490="",O490="",P490=""),"Champ obligatoire manquant",IF(OR(AND(N490&lt;&gt;"",N490&gt;O490),O490&gt;P490,AND(Q490&lt;&gt;"",Q490&lt;P490),AND(R490&lt;&gt;"",R490&lt;P490),AND(S490&lt;&gt;"",S490&lt;R490),AND(S490&lt;&gt;"",R490=""),AND(T490&lt;&gt;"",T490&lt;O490),AND(U490&lt;&gt;"",U490&lt;O490)),"Chronologie incohérente",IF(AND(OR(L490="Résolu",L490="Clos"),R490=""),"Date de résolution manquante",IF(AND(L490="Clos",S490=""),"Date de clôture manquante",IF(AND(K490="Oui",AC490=""),"Classification DORA manquante","OK"))))))</f>
        <v/>
      </c>
      <c r="AO490" s="35" t="str">
        <f aca="false">IF($B490="","",IF(AND(C490="Incident",L490&lt;&gt;"Annulé"),1,0))</f>
        <v/>
      </c>
      <c r="AP490" s="35" t="str">
        <f aca="false">IF($B490="","",IF(AND(C490="Quasi-incident",L490&lt;&gt;"Annulé"),1,0))</f>
        <v/>
      </c>
      <c r="AQ490" s="35" t="str">
        <f aca="false">IF($B490="","",AO490+AP490)</f>
        <v/>
      </c>
      <c r="AR490" s="36" t="str">
        <f aca="false">IF(OR($B490="",J490=""),"",IFERROR(VALUE(LEFT(J490,1)),""))</f>
        <v/>
      </c>
      <c r="AS490" s="35" t="str">
        <f aca="false">IF(OR(AO490&lt;&gt;1,G490=""),"",IFERROR(IF(INDEX(L_SrcInterne,MATCH(G490,L_Sources,0))="Oui",1,0),""))</f>
        <v/>
      </c>
      <c r="AT490" s="37" t="str">
        <f aca="false">IF(AO490&lt;&gt;1,"",IFERROR(ROUND(IF(OR(N490="",O490=""),"",IF(O490&lt;N490,"",ROUND(((NETWORKDAYS(N490,O490,JoursFeries)-1)*(HFer-HOuv)+IF(NETWORKDAYS(O490,O490,JoursFeries),MEDIAN(MOD(O490,1),HFer,HOuv),HFer)-IF(NETWORKDAYS(N490,N490,JoursFeries),MEDIAN(MOD(N490,1),HFer,HOuv),HOuv))*24,4)))/HJour,4),""))</f>
        <v/>
      </c>
      <c r="AU490" s="37" t="str">
        <f aca="false">IF(AO490&lt;&gt;1,"",IF(OR(O490="",P490=""),"",IF(P490&lt;O490,"",ROUND(((NETWORKDAYS(O490,P490,JoursFeries)-1)*(HFer-HOuv)+IF(NETWORKDAYS(P490,P490,JoursFeries),MEDIAN(MOD(P490,1),HFer,HOuv),HFer)-IF(NETWORKDAYS(O490,O490,JoursFeries),MEDIAN(MOD(O490,1),HFer,HOuv),HOuv))*24,4))))</f>
        <v/>
      </c>
      <c r="AV490" s="37" t="str">
        <f aca="false">IF(AO490&lt;&gt;1,"",IF(OR(P490="",Q490=""),"",IF(Q490&lt;P490,"",ROUND(((NETWORKDAYS(P490,Q490,JoursFeries)-1)*(HFer-HOuv)+IF(NETWORKDAYS(Q490,Q490,JoursFeries),MEDIAN(MOD(Q490,1),HFer,HOuv),HFer)-IF(NETWORKDAYS(P490,P490,JoursFeries),MEDIAN(MOD(P490,1),HFer,HOuv),HOuv))*24,4))))</f>
        <v/>
      </c>
      <c r="AW490" s="37" t="str">
        <f aca="false">IF(AO490&lt;&gt;1,"",IFERROR(ROUND(IF(OR(P490="",R490=""),"",IF(R490&lt;P490,"",ROUND(((NETWORKDAYS(P490,R490,JoursFeries)-1)*(HFer-HOuv)+IF(NETWORKDAYS(R490,R490,JoursFeries),MEDIAN(MOD(R490,1),HFer,HOuv),HFer)-IF(NETWORKDAYS(P490,P490,JoursFeries),MEDIAN(MOD(P490,1),HFer,HOuv),HOuv))*24,4)))/HJour,4),""))</f>
        <v/>
      </c>
      <c r="AX490" s="37" t="str">
        <f aca="false">IF(AO490&lt;&gt;1,"",IFERROR(ROUND(IF(OR(P490="",S490=""),"",IF(S490&lt;P490,"",ROUND(((NETWORKDAYS(P490,S490,JoursFeries)-1)*(HFer-HOuv)+IF(NETWORKDAYS(S490,S490,JoursFeries),MEDIAN(MOD(S490,1),HFer,HOuv),HFer)-IF(NETWORKDAYS(P490,P490,JoursFeries),MEDIAN(MOD(P490,1),HFer,HOuv),HOuv))*24,4)))/HJour,4),""))</f>
        <v/>
      </c>
      <c r="AY490" s="36" t="str">
        <f aca="false">IF(OR(AO490&lt;&gt;1,AR490=""),"",INDEX(SLA_PEC,AR490))</f>
        <v/>
      </c>
      <c r="AZ490" s="35" t="str">
        <f aca="false">IF(OR(AV490="",AY490=""),"",IF(AV490&lt;=AY490,1,0))</f>
        <v/>
      </c>
      <c r="BA490" s="36" t="str">
        <f aca="false">IF(OR(AO490&lt;&gt;1,AR490=""),"",INDEX(SLA_RES,AR490))</f>
        <v/>
      </c>
      <c r="BB490" s="35" t="str">
        <f aca="false">IF(OR(AW490="",BA490=""),"",IF(AW490&lt;=BA490,1,0))</f>
        <v/>
      </c>
      <c r="BC490" s="38" t="str">
        <f aca="false">IF(OR(BA490="",P490=""),"",WORKDAY(INT(P490),BA490,JoursFeries)+MOD(P490,1))</f>
        <v/>
      </c>
      <c r="BD490" s="39" t="str">
        <f aca="false">IF(AO490&lt;&gt;1,"",IF(OR(AB490&lt;&gt;"",AD490&lt;&gt;""),4,IF(U490&lt;&gt;"",3,IF(T490&lt;&gt;"",2,1))))</f>
        <v/>
      </c>
      <c r="BE490" s="39" t="str">
        <f aca="false">IF(OR(AO490&lt;&gt;1,AR490=""),"",INDEX(NIV_REQ,AR490))</f>
        <v/>
      </c>
      <c r="BF490" s="39" t="str">
        <f aca="false">IF(BE490="","",MAX(BE490,IF(OR(K490="Oui",Z490="Oui"),4,1)))</f>
        <v/>
      </c>
      <c r="BG490" s="35" t="str">
        <f aca="false">IF(OR(BF490="",BD490=""),"",IF(BD490&gt;=BF490,1,0))</f>
        <v/>
      </c>
      <c r="BH490" s="38" t="str">
        <f aca="false">IF(BE490="","",IF(BE490&lt;2,"",IF(BE490=2,IF(AND(T490="",U490=""),"",MIN(T490,U490)),IF(U490="","",U490))))</f>
        <v/>
      </c>
      <c r="BI490" s="37" t="str">
        <f aca="false">IF(BH490="","",IF(OR(O490="",BH490=""),"",IF(BH490&lt;O490,"",ROUND(((NETWORKDAYS(O490,BH490,JoursFeries)-1)*(HFer-HOuv)+IF(NETWORKDAYS(BH490,BH490,JoursFeries),MEDIAN(MOD(BH490,1),HFer,HOuv),HFer)-IF(NETWORKDAYS(O490,O490,JoursFeries),MEDIAN(MOD(O490,1),HFer,HOuv),HOuv))*24,4))))</f>
        <v/>
      </c>
      <c r="BJ490" s="35" t="str">
        <f aca="false">IF(OR(BI490="",AR490=""),"",IF(BI490&lt;=INDEX(DELAI_ESC,AR490),1,0))</f>
        <v/>
      </c>
      <c r="BK490" s="38" t="str">
        <f aca="false">IF(AO490&lt;&gt;1,"",IF(AND(T490="",U490=""),"",MIN(T490,U490)))</f>
        <v/>
      </c>
      <c r="BL490" s="37" t="str">
        <f aca="false">IF(OR(BK490="",R490=""),"",IFERROR(ROUND(IF(OR(BK490="",R490=""),"",IF(R490&lt;BK490,"",ROUND(((NETWORKDAYS(BK490,R490,JoursFeries)-1)*(HFer-HOuv)+IF(NETWORKDAYS(R490,R490,JoursFeries),MEDIAN(MOD(R490,1),HFer,HOuv),HFer)-IF(NETWORKDAYS(BK490,BK490,JoursFeries),MEDIAN(MOD(BK490,1),HFer,HOuv),HOuv))*24,4)))/HJour,4),""))</f>
        <v/>
      </c>
      <c r="BM490" s="35" t="str">
        <f aca="false">IF(OR(AO490&lt;&gt;1,R490=""),"",IF(BD490=1,1,0))</f>
        <v/>
      </c>
      <c r="BN490" s="35" t="str">
        <f aca="false">IF(AO490&lt;&gt;1,"",IF(W490="Oui",1,0))</f>
        <v/>
      </c>
      <c r="BO490" s="35" t="str">
        <f aca="false">IF(AO490&lt;&gt;1,"",IF(X490&lt;&gt;"",1,0))</f>
        <v/>
      </c>
      <c r="BP490" s="35" t="str">
        <f aca="false">IF(AO490&lt;&gt;1,"",IF(Y490="Oui",1,0))</f>
        <v/>
      </c>
      <c r="BQ490" s="35" t="str">
        <f aca="true">IF(OR(AO490&lt;&gt;1,Z490&lt;&gt;"Oui"),"",IF(AB490="",IF(AND(AA490&lt;&gt;"",NOW()&gt;AA490),0,""),IF(AA490="","",IF(AB490&lt;=AA490,1,0))))</f>
        <v/>
      </c>
      <c r="BR490" s="38" t="str">
        <f aca="false">IF(OR(AO490&lt;&gt;1,K490&lt;&gt;"Oui",O490=""),"",IF(AC490="",O490+DORA_H_DET/24,IF(AC490-O490&lt;=DORA_H_DET/24,MIN(AC490+DORA_H_CLA/24,O490+DORA_H_DET/24),AC490+DORA_H_CLA/24)))</f>
        <v/>
      </c>
      <c r="BS490" s="35" t="str">
        <f aca="true">IF(BR490="","",IF(AD490="",IF(NOW()&gt;BR490,0,""),IF(AD490&lt;=BR490,1,0)))</f>
        <v/>
      </c>
      <c r="BT490" s="35" t="str">
        <f aca="true">IF(OR(BR490="",AD490=""),"",IF(AE490="",IF(NOW()&gt;AD490+DORA_H_INT/24,0,""),IF(AE490&lt;=AD490+DORA_H_INT/24,1,0)))</f>
        <v/>
      </c>
      <c r="BU490" s="35" t="str">
        <f aca="true">IF(OR(BR490="",AE490=""),"",IF(AF490="",IF(NOW()&gt;EDATE(AE490,DORA_M_FIN)+1,0,""),IF(AF490&lt;=EDATE(AE490,DORA_M_FIN),1,0)))</f>
        <v/>
      </c>
      <c r="BV490" s="35" t="str">
        <f aca="false">IF(BR490="","",IF(COUNT(BS490:BU490)=0,"",MIN(BS490:BU490)))</f>
        <v/>
      </c>
      <c r="BW490" s="40" t="str">
        <f aca="false">IF(AQ490&lt;&gt;1,"",IF(AND(AG490="",AH490=""),"",N(AG490)-N(AH490)))</f>
        <v/>
      </c>
      <c r="BX490" s="35" t="str">
        <f aca="true">IF(OR(AQ490&lt;&gt;1,AI490&lt;&gt;"Oui",AJ490=""),"",IF(AK490="",IF(NOW()&gt;AJ490+1,0,""),IF(AK490&lt;=AJ490,1,0)))</f>
        <v/>
      </c>
    </row>
    <row r="491" customFormat="false" ht="15" hidden="false" customHeight="false" outlineLevel="0" collapsed="false">
      <c r="B491" s="29"/>
      <c r="C491" s="29"/>
      <c r="D491" s="29"/>
      <c r="E491" s="29"/>
      <c r="F491" s="29"/>
      <c r="G491" s="29"/>
      <c r="H491" s="29"/>
      <c r="I491" s="29"/>
      <c r="J491" s="29"/>
      <c r="K491" s="29"/>
      <c r="L491" s="29"/>
      <c r="M491" s="29"/>
      <c r="N491" s="30"/>
      <c r="O491" s="30"/>
      <c r="P491" s="30"/>
      <c r="Q491" s="30"/>
      <c r="R491" s="30"/>
      <c r="S491" s="30"/>
      <c r="T491" s="30"/>
      <c r="U491" s="30"/>
      <c r="V491" s="31"/>
      <c r="W491" s="29"/>
      <c r="X491" s="29"/>
      <c r="Y491" s="29"/>
      <c r="Z491" s="29"/>
      <c r="AA491" s="30"/>
      <c r="AB491" s="30"/>
      <c r="AC491" s="30"/>
      <c r="AD491" s="30"/>
      <c r="AE491" s="30"/>
      <c r="AF491" s="32"/>
      <c r="AG491" s="33"/>
      <c r="AH491" s="33"/>
      <c r="AI491" s="29"/>
      <c r="AJ491" s="32"/>
      <c r="AK491" s="32"/>
      <c r="AL491" s="29"/>
      <c r="AN491" s="34" t="str">
        <f aca="false">IF($B491="","",IF(OR(C491="",D491="",E491="",G491="",I491="",J491="",L491="",O491="",P491=""),"Champ obligatoire manquant",IF(OR(AND(N491&lt;&gt;"",N491&gt;O491),O491&gt;P491,AND(Q491&lt;&gt;"",Q491&lt;P491),AND(R491&lt;&gt;"",R491&lt;P491),AND(S491&lt;&gt;"",S491&lt;R491),AND(S491&lt;&gt;"",R491=""),AND(T491&lt;&gt;"",T491&lt;O491),AND(U491&lt;&gt;"",U491&lt;O491)),"Chronologie incohérente",IF(AND(OR(L491="Résolu",L491="Clos"),R491=""),"Date de résolution manquante",IF(AND(L491="Clos",S491=""),"Date de clôture manquante",IF(AND(K491="Oui",AC491=""),"Classification DORA manquante","OK"))))))</f>
        <v/>
      </c>
      <c r="AO491" s="35" t="str">
        <f aca="false">IF($B491="","",IF(AND(C491="Incident",L491&lt;&gt;"Annulé"),1,0))</f>
        <v/>
      </c>
      <c r="AP491" s="35" t="str">
        <f aca="false">IF($B491="","",IF(AND(C491="Quasi-incident",L491&lt;&gt;"Annulé"),1,0))</f>
        <v/>
      </c>
      <c r="AQ491" s="35" t="str">
        <f aca="false">IF($B491="","",AO491+AP491)</f>
        <v/>
      </c>
      <c r="AR491" s="36" t="str">
        <f aca="false">IF(OR($B491="",J491=""),"",IFERROR(VALUE(LEFT(J491,1)),""))</f>
        <v/>
      </c>
      <c r="AS491" s="35" t="str">
        <f aca="false">IF(OR(AO491&lt;&gt;1,G491=""),"",IFERROR(IF(INDEX(L_SrcInterne,MATCH(G491,L_Sources,0))="Oui",1,0),""))</f>
        <v/>
      </c>
      <c r="AT491" s="37" t="str">
        <f aca="false">IF(AO491&lt;&gt;1,"",IFERROR(ROUND(IF(OR(N491="",O491=""),"",IF(O491&lt;N491,"",ROUND(((NETWORKDAYS(N491,O491,JoursFeries)-1)*(HFer-HOuv)+IF(NETWORKDAYS(O491,O491,JoursFeries),MEDIAN(MOD(O491,1),HFer,HOuv),HFer)-IF(NETWORKDAYS(N491,N491,JoursFeries),MEDIAN(MOD(N491,1),HFer,HOuv),HOuv))*24,4)))/HJour,4),""))</f>
        <v/>
      </c>
      <c r="AU491" s="37" t="str">
        <f aca="false">IF(AO491&lt;&gt;1,"",IF(OR(O491="",P491=""),"",IF(P491&lt;O491,"",ROUND(((NETWORKDAYS(O491,P491,JoursFeries)-1)*(HFer-HOuv)+IF(NETWORKDAYS(P491,P491,JoursFeries),MEDIAN(MOD(P491,1),HFer,HOuv),HFer)-IF(NETWORKDAYS(O491,O491,JoursFeries),MEDIAN(MOD(O491,1),HFer,HOuv),HOuv))*24,4))))</f>
        <v/>
      </c>
      <c r="AV491" s="37" t="str">
        <f aca="false">IF(AO491&lt;&gt;1,"",IF(OR(P491="",Q491=""),"",IF(Q491&lt;P491,"",ROUND(((NETWORKDAYS(P491,Q491,JoursFeries)-1)*(HFer-HOuv)+IF(NETWORKDAYS(Q491,Q491,JoursFeries),MEDIAN(MOD(Q491,1),HFer,HOuv),HFer)-IF(NETWORKDAYS(P491,P491,JoursFeries),MEDIAN(MOD(P491,1),HFer,HOuv),HOuv))*24,4))))</f>
        <v/>
      </c>
      <c r="AW491" s="37" t="str">
        <f aca="false">IF(AO491&lt;&gt;1,"",IFERROR(ROUND(IF(OR(P491="",R491=""),"",IF(R491&lt;P491,"",ROUND(((NETWORKDAYS(P491,R491,JoursFeries)-1)*(HFer-HOuv)+IF(NETWORKDAYS(R491,R491,JoursFeries),MEDIAN(MOD(R491,1),HFer,HOuv),HFer)-IF(NETWORKDAYS(P491,P491,JoursFeries),MEDIAN(MOD(P491,1),HFer,HOuv),HOuv))*24,4)))/HJour,4),""))</f>
        <v/>
      </c>
      <c r="AX491" s="37" t="str">
        <f aca="false">IF(AO491&lt;&gt;1,"",IFERROR(ROUND(IF(OR(P491="",S491=""),"",IF(S491&lt;P491,"",ROUND(((NETWORKDAYS(P491,S491,JoursFeries)-1)*(HFer-HOuv)+IF(NETWORKDAYS(S491,S491,JoursFeries),MEDIAN(MOD(S491,1),HFer,HOuv),HFer)-IF(NETWORKDAYS(P491,P491,JoursFeries),MEDIAN(MOD(P491,1),HFer,HOuv),HOuv))*24,4)))/HJour,4),""))</f>
        <v/>
      </c>
      <c r="AY491" s="36" t="str">
        <f aca="false">IF(OR(AO491&lt;&gt;1,AR491=""),"",INDEX(SLA_PEC,AR491))</f>
        <v/>
      </c>
      <c r="AZ491" s="35" t="str">
        <f aca="false">IF(OR(AV491="",AY491=""),"",IF(AV491&lt;=AY491,1,0))</f>
        <v/>
      </c>
      <c r="BA491" s="36" t="str">
        <f aca="false">IF(OR(AO491&lt;&gt;1,AR491=""),"",INDEX(SLA_RES,AR491))</f>
        <v/>
      </c>
      <c r="BB491" s="35" t="str">
        <f aca="false">IF(OR(AW491="",BA491=""),"",IF(AW491&lt;=BA491,1,0))</f>
        <v/>
      </c>
      <c r="BC491" s="38" t="str">
        <f aca="false">IF(OR(BA491="",P491=""),"",WORKDAY(INT(P491),BA491,JoursFeries)+MOD(P491,1))</f>
        <v/>
      </c>
      <c r="BD491" s="39" t="str">
        <f aca="false">IF(AO491&lt;&gt;1,"",IF(OR(AB491&lt;&gt;"",AD491&lt;&gt;""),4,IF(U491&lt;&gt;"",3,IF(T491&lt;&gt;"",2,1))))</f>
        <v/>
      </c>
      <c r="BE491" s="39" t="str">
        <f aca="false">IF(OR(AO491&lt;&gt;1,AR491=""),"",INDEX(NIV_REQ,AR491))</f>
        <v/>
      </c>
      <c r="BF491" s="39" t="str">
        <f aca="false">IF(BE491="","",MAX(BE491,IF(OR(K491="Oui",Z491="Oui"),4,1)))</f>
        <v/>
      </c>
      <c r="BG491" s="35" t="str">
        <f aca="false">IF(OR(BF491="",BD491=""),"",IF(BD491&gt;=BF491,1,0))</f>
        <v/>
      </c>
      <c r="BH491" s="38" t="str">
        <f aca="false">IF(BE491="","",IF(BE491&lt;2,"",IF(BE491=2,IF(AND(T491="",U491=""),"",MIN(T491,U491)),IF(U491="","",U491))))</f>
        <v/>
      </c>
      <c r="BI491" s="37" t="str">
        <f aca="false">IF(BH491="","",IF(OR(O491="",BH491=""),"",IF(BH491&lt;O491,"",ROUND(((NETWORKDAYS(O491,BH491,JoursFeries)-1)*(HFer-HOuv)+IF(NETWORKDAYS(BH491,BH491,JoursFeries),MEDIAN(MOD(BH491,1),HFer,HOuv),HFer)-IF(NETWORKDAYS(O491,O491,JoursFeries),MEDIAN(MOD(O491,1),HFer,HOuv),HOuv))*24,4))))</f>
        <v/>
      </c>
      <c r="BJ491" s="35" t="str">
        <f aca="false">IF(OR(BI491="",AR491=""),"",IF(BI491&lt;=INDEX(DELAI_ESC,AR491),1,0))</f>
        <v/>
      </c>
      <c r="BK491" s="38" t="str">
        <f aca="false">IF(AO491&lt;&gt;1,"",IF(AND(T491="",U491=""),"",MIN(T491,U491)))</f>
        <v/>
      </c>
      <c r="BL491" s="37" t="str">
        <f aca="false">IF(OR(BK491="",R491=""),"",IFERROR(ROUND(IF(OR(BK491="",R491=""),"",IF(R491&lt;BK491,"",ROUND(((NETWORKDAYS(BK491,R491,JoursFeries)-1)*(HFer-HOuv)+IF(NETWORKDAYS(R491,R491,JoursFeries),MEDIAN(MOD(R491,1),HFer,HOuv),HFer)-IF(NETWORKDAYS(BK491,BK491,JoursFeries),MEDIAN(MOD(BK491,1),HFer,HOuv),HOuv))*24,4)))/HJour,4),""))</f>
        <v/>
      </c>
      <c r="BM491" s="35" t="str">
        <f aca="false">IF(OR(AO491&lt;&gt;1,R491=""),"",IF(BD491=1,1,0))</f>
        <v/>
      </c>
      <c r="BN491" s="35" t="str">
        <f aca="false">IF(AO491&lt;&gt;1,"",IF(W491="Oui",1,0))</f>
        <v/>
      </c>
      <c r="BO491" s="35" t="str">
        <f aca="false">IF(AO491&lt;&gt;1,"",IF(X491&lt;&gt;"",1,0))</f>
        <v/>
      </c>
      <c r="BP491" s="35" t="str">
        <f aca="false">IF(AO491&lt;&gt;1,"",IF(Y491="Oui",1,0))</f>
        <v/>
      </c>
      <c r="BQ491" s="35" t="str">
        <f aca="true">IF(OR(AO491&lt;&gt;1,Z491&lt;&gt;"Oui"),"",IF(AB491="",IF(AND(AA491&lt;&gt;"",NOW()&gt;AA491),0,""),IF(AA491="","",IF(AB491&lt;=AA491,1,0))))</f>
        <v/>
      </c>
      <c r="BR491" s="38" t="str">
        <f aca="false">IF(OR(AO491&lt;&gt;1,K491&lt;&gt;"Oui",O491=""),"",IF(AC491="",O491+DORA_H_DET/24,IF(AC491-O491&lt;=DORA_H_DET/24,MIN(AC491+DORA_H_CLA/24,O491+DORA_H_DET/24),AC491+DORA_H_CLA/24)))</f>
        <v/>
      </c>
      <c r="BS491" s="35" t="str">
        <f aca="true">IF(BR491="","",IF(AD491="",IF(NOW()&gt;BR491,0,""),IF(AD491&lt;=BR491,1,0)))</f>
        <v/>
      </c>
      <c r="BT491" s="35" t="str">
        <f aca="true">IF(OR(BR491="",AD491=""),"",IF(AE491="",IF(NOW()&gt;AD491+DORA_H_INT/24,0,""),IF(AE491&lt;=AD491+DORA_H_INT/24,1,0)))</f>
        <v/>
      </c>
      <c r="BU491" s="35" t="str">
        <f aca="true">IF(OR(BR491="",AE491=""),"",IF(AF491="",IF(NOW()&gt;EDATE(AE491,DORA_M_FIN)+1,0,""),IF(AF491&lt;=EDATE(AE491,DORA_M_FIN),1,0)))</f>
        <v/>
      </c>
      <c r="BV491" s="35" t="str">
        <f aca="false">IF(BR491="","",IF(COUNT(BS491:BU491)=0,"",MIN(BS491:BU491)))</f>
        <v/>
      </c>
      <c r="BW491" s="40" t="str">
        <f aca="false">IF(AQ491&lt;&gt;1,"",IF(AND(AG491="",AH491=""),"",N(AG491)-N(AH491)))</f>
        <v/>
      </c>
      <c r="BX491" s="35" t="str">
        <f aca="true">IF(OR(AQ491&lt;&gt;1,AI491&lt;&gt;"Oui",AJ491=""),"",IF(AK491="",IF(NOW()&gt;AJ491+1,0,""),IF(AK491&lt;=AJ491,1,0)))</f>
        <v/>
      </c>
    </row>
    <row r="492" customFormat="false" ht="15" hidden="false" customHeight="false" outlineLevel="0" collapsed="false">
      <c r="B492" s="29"/>
      <c r="C492" s="29"/>
      <c r="D492" s="29"/>
      <c r="E492" s="29"/>
      <c r="F492" s="29"/>
      <c r="G492" s="29"/>
      <c r="H492" s="29"/>
      <c r="I492" s="29"/>
      <c r="J492" s="29"/>
      <c r="K492" s="29"/>
      <c r="L492" s="29"/>
      <c r="M492" s="29"/>
      <c r="N492" s="30"/>
      <c r="O492" s="30"/>
      <c r="P492" s="30"/>
      <c r="Q492" s="30"/>
      <c r="R492" s="30"/>
      <c r="S492" s="30"/>
      <c r="T492" s="30"/>
      <c r="U492" s="30"/>
      <c r="V492" s="31"/>
      <c r="W492" s="29"/>
      <c r="X492" s="29"/>
      <c r="Y492" s="29"/>
      <c r="Z492" s="29"/>
      <c r="AA492" s="30"/>
      <c r="AB492" s="30"/>
      <c r="AC492" s="30"/>
      <c r="AD492" s="30"/>
      <c r="AE492" s="30"/>
      <c r="AF492" s="32"/>
      <c r="AG492" s="33"/>
      <c r="AH492" s="33"/>
      <c r="AI492" s="29"/>
      <c r="AJ492" s="32"/>
      <c r="AK492" s="32"/>
      <c r="AL492" s="29"/>
      <c r="AN492" s="34" t="str">
        <f aca="false">IF($B492="","",IF(OR(C492="",D492="",E492="",G492="",I492="",J492="",L492="",O492="",P492=""),"Champ obligatoire manquant",IF(OR(AND(N492&lt;&gt;"",N492&gt;O492),O492&gt;P492,AND(Q492&lt;&gt;"",Q492&lt;P492),AND(R492&lt;&gt;"",R492&lt;P492),AND(S492&lt;&gt;"",S492&lt;R492),AND(S492&lt;&gt;"",R492=""),AND(T492&lt;&gt;"",T492&lt;O492),AND(U492&lt;&gt;"",U492&lt;O492)),"Chronologie incohérente",IF(AND(OR(L492="Résolu",L492="Clos"),R492=""),"Date de résolution manquante",IF(AND(L492="Clos",S492=""),"Date de clôture manquante",IF(AND(K492="Oui",AC492=""),"Classification DORA manquante","OK"))))))</f>
        <v/>
      </c>
      <c r="AO492" s="35" t="str">
        <f aca="false">IF($B492="","",IF(AND(C492="Incident",L492&lt;&gt;"Annulé"),1,0))</f>
        <v/>
      </c>
      <c r="AP492" s="35" t="str">
        <f aca="false">IF($B492="","",IF(AND(C492="Quasi-incident",L492&lt;&gt;"Annulé"),1,0))</f>
        <v/>
      </c>
      <c r="AQ492" s="35" t="str">
        <f aca="false">IF($B492="","",AO492+AP492)</f>
        <v/>
      </c>
      <c r="AR492" s="36" t="str">
        <f aca="false">IF(OR($B492="",J492=""),"",IFERROR(VALUE(LEFT(J492,1)),""))</f>
        <v/>
      </c>
      <c r="AS492" s="35" t="str">
        <f aca="false">IF(OR(AO492&lt;&gt;1,G492=""),"",IFERROR(IF(INDEX(L_SrcInterne,MATCH(G492,L_Sources,0))="Oui",1,0),""))</f>
        <v/>
      </c>
      <c r="AT492" s="37" t="str">
        <f aca="false">IF(AO492&lt;&gt;1,"",IFERROR(ROUND(IF(OR(N492="",O492=""),"",IF(O492&lt;N492,"",ROUND(((NETWORKDAYS(N492,O492,JoursFeries)-1)*(HFer-HOuv)+IF(NETWORKDAYS(O492,O492,JoursFeries),MEDIAN(MOD(O492,1),HFer,HOuv),HFer)-IF(NETWORKDAYS(N492,N492,JoursFeries),MEDIAN(MOD(N492,1),HFer,HOuv),HOuv))*24,4)))/HJour,4),""))</f>
        <v/>
      </c>
      <c r="AU492" s="37" t="str">
        <f aca="false">IF(AO492&lt;&gt;1,"",IF(OR(O492="",P492=""),"",IF(P492&lt;O492,"",ROUND(((NETWORKDAYS(O492,P492,JoursFeries)-1)*(HFer-HOuv)+IF(NETWORKDAYS(P492,P492,JoursFeries),MEDIAN(MOD(P492,1),HFer,HOuv),HFer)-IF(NETWORKDAYS(O492,O492,JoursFeries),MEDIAN(MOD(O492,1),HFer,HOuv),HOuv))*24,4))))</f>
        <v/>
      </c>
      <c r="AV492" s="37" t="str">
        <f aca="false">IF(AO492&lt;&gt;1,"",IF(OR(P492="",Q492=""),"",IF(Q492&lt;P492,"",ROUND(((NETWORKDAYS(P492,Q492,JoursFeries)-1)*(HFer-HOuv)+IF(NETWORKDAYS(Q492,Q492,JoursFeries),MEDIAN(MOD(Q492,1),HFer,HOuv),HFer)-IF(NETWORKDAYS(P492,P492,JoursFeries),MEDIAN(MOD(P492,1),HFer,HOuv),HOuv))*24,4))))</f>
        <v/>
      </c>
      <c r="AW492" s="37" t="str">
        <f aca="false">IF(AO492&lt;&gt;1,"",IFERROR(ROUND(IF(OR(P492="",R492=""),"",IF(R492&lt;P492,"",ROUND(((NETWORKDAYS(P492,R492,JoursFeries)-1)*(HFer-HOuv)+IF(NETWORKDAYS(R492,R492,JoursFeries),MEDIAN(MOD(R492,1),HFer,HOuv),HFer)-IF(NETWORKDAYS(P492,P492,JoursFeries),MEDIAN(MOD(P492,1),HFer,HOuv),HOuv))*24,4)))/HJour,4),""))</f>
        <v/>
      </c>
      <c r="AX492" s="37" t="str">
        <f aca="false">IF(AO492&lt;&gt;1,"",IFERROR(ROUND(IF(OR(P492="",S492=""),"",IF(S492&lt;P492,"",ROUND(((NETWORKDAYS(P492,S492,JoursFeries)-1)*(HFer-HOuv)+IF(NETWORKDAYS(S492,S492,JoursFeries),MEDIAN(MOD(S492,1),HFer,HOuv),HFer)-IF(NETWORKDAYS(P492,P492,JoursFeries),MEDIAN(MOD(P492,1),HFer,HOuv),HOuv))*24,4)))/HJour,4),""))</f>
        <v/>
      </c>
      <c r="AY492" s="36" t="str">
        <f aca="false">IF(OR(AO492&lt;&gt;1,AR492=""),"",INDEX(SLA_PEC,AR492))</f>
        <v/>
      </c>
      <c r="AZ492" s="35" t="str">
        <f aca="false">IF(OR(AV492="",AY492=""),"",IF(AV492&lt;=AY492,1,0))</f>
        <v/>
      </c>
      <c r="BA492" s="36" t="str">
        <f aca="false">IF(OR(AO492&lt;&gt;1,AR492=""),"",INDEX(SLA_RES,AR492))</f>
        <v/>
      </c>
      <c r="BB492" s="35" t="str">
        <f aca="false">IF(OR(AW492="",BA492=""),"",IF(AW492&lt;=BA492,1,0))</f>
        <v/>
      </c>
      <c r="BC492" s="38" t="str">
        <f aca="false">IF(OR(BA492="",P492=""),"",WORKDAY(INT(P492),BA492,JoursFeries)+MOD(P492,1))</f>
        <v/>
      </c>
      <c r="BD492" s="39" t="str">
        <f aca="false">IF(AO492&lt;&gt;1,"",IF(OR(AB492&lt;&gt;"",AD492&lt;&gt;""),4,IF(U492&lt;&gt;"",3,IF(T492&lt;&gt;"",2,1))))</f>
        <v/>
      </c>
      <c r="BE492" s="39" t="str">
        <f aca="false">IF(OR(AO492&lt;&gt;1,AR492=""),"",INDEX(NIV_REQ,AR492))</f>
        <v/>
      </c>
      <c r="BF492" s="39" t="str">
        <f aca="false">IF(BE492="","",MAX(BE492,IF(OR(K492="Oui",Z492="Oui"),4,1)))</f>
        <v/>
      </c>
      <c r="BG492" s="35" t="str">
        <f aca="false">IF(OR(BF492="",BD492=""),"",IF(BD492&gt;=BF492,1,0))</f>
        <v/>
      </c>
      <c r="BH492" s="38" t="str">
        <f aca="false">IF(BE492="","",IF(BE492&lt;2,"",IF(BE492=2,IF(AND(T492="",U492=""),"",MIN(T492,U492)),IF(U492="","",U492))))</f>
        <v/>
      </c>
      <c r="BI492" s="37" t="str">
        <f aca="false">IF(BH492="","",IF(OR(O492="",BH492=""),"",IF(BH492&lt;O492,"",ROUND(((NETWORKDAYS(O492,BH492,JoursFeries)-1)*(HFer-HOuv)+IF(NETWORKDAYS(BH492,BH492,JoursFeries),MEDIAN(MOD(BH492,1),HFer,HOuv),HFer)-IF(NETWORKDAYS(O492,O492,JoursFeries),MEDIAN(MOD(O492,1),HFer,HOuv),HOuv))*24,4))))</f>
        <v/>
      </c>
      <c r="BJ492" s="35" t="str">
        <f aca="false">IF(OR(BI492="",AR492=""),"",IF(BI492&lt;=INDEX(DELAI_ESC,AR492),1,0))</f>
        <v/>
      </c>
      <c r="BK492" s="38" t="str">
        <f aca="false">IF(AO492&lt;&gt;1,"",IF(AND(T492="",U492=""),"",MIN(T492,U492)))</f>
        <v/>
      </c>
      <c r="BL492" s="37" t="str">
        <f aca="false">IF(OR(BK492="",R492=""),"",IFERROR(ROUND(IF(OR(BK492="",R492=""),"",IF(R492&lt;BK492,"",ROUND(((NETWORKDAYS(BK492,R492,JoursFeries)-1)*(HFer-HOuv)+IF(NETWORKDAYS(R492,R492,JoursFeries),MEDIAN(MOD(R492,1),HFer,HOuv),HFer)-IF(NETWORKDAYS(BK492,BK492,JoursFeries),MEDIAN(MOD(BK492,1),HFer,HOuv),HOuv))*24,4)))/HJour,4),""))</f>
        <v/>
      </c>
      <c r="BM492" s="35" t="str">
        <f aca="false">IF(OR(AO492&lt;&gt;1,R492=""),"",IF(BD492=1,1,0))</f>
        <v/>
      </c>
      <c r="BN492" s="35" t="str">
        <f aca="false">IF(AO492&lt;&gt;1,"",IF(W492="Oui",1,0))</f>
        <v/>
      </c>
      <c r="BO492" s="35" t="str">
        <f aca="false">IF(AO492&lt;&gt;1,"",IF(X492&lt;&gt;"",1,0))</f>
        <v/>
      </c>
      <c r="BP492" s="35" t="str">
        <f aca="false">IF(AO492&lt;&gt;1,"",IF(Y492="Oui",1,0))</f>
        <v/>
      </c>
      <c r="BQ492" s="35" t="str">
        <f aca="true">IF(OR(AO492&lt;&gt;1,Z492&lt;&gt;"Oui"),"",IF(AB492="",IF(AND(AA492&lt;&gt;"",NOW()&gt;AA492),0,""),IF(AA492="","",IF(AB492&lt;=AA492,1,0))))</f>
        <v/>
      </c>
      <c r="BR492" s="38" t="str">
        <f aca="false">IF(OR(AO492&lt;&gt;1,K492&lt;&gt;"Oui",O492=""),"",IF(AC492="",O492+DORA_H_DET/24,IF(AC492-O492&lt;=DORA_H_DET/24,MIN(AC492+DORA_H_CLA/24,O492+DORA_H_DET/24),AC492+DORA_H_CLA/24)))</f>
        <v/>
      </c>
      <c r="BS492" s="35" t="str">
        <f aca="true">IF(BR492="","",IF(AD492="",IF(NOW()&gt;BR492,0,""),IF(AD492&lt;=BR492,1,0)))</f>
        <v/>
      </c>
      <c r="BT492" s="35" t="str">
        <f aca="true">IF(OR(BR492="",AD492=""),"",IF(AE492="",IF(NOW()&gt;AD492+DORA_H_INT/24,0,""),IF(AE492&lt;=AD492+DORA_H_INT/24,1,0)))</f>
        <v/>
      </c>
      <c r="BU492" s="35" t="str">
        <f aca="true">IF(OR(BR492="",AE492=""),"",IF(AF492="",IF(NOW()&gt;EDATE(AE492,DORA_M_FIN)+1,0,""),IF(AF492&lt;=EDATE(AE492,DORA_M_FIN),1,0)))</f>
        <v/>
      </c>
      <c r="BV492" s="35" t="str">
        <f aca="false">IF(BR492="","",IF(COUNT(BS492:BU492)=0,"",MIN(BS492:BU492)))</f>
        <v/>
      </c>
      <c r="BW492" s="40" t="str">
        <f aca="false">IF(AQ492&lt;&gt;1,"",IF(AND(AG492="",AH492=""),"",N(AG492)-N(AH492)))</f>
        <v/>
      </c>
      <c r="BX492" s="35" t="str">
        <f aca="true">IF(OR(AQ492&lt;&gt;1,AI492&lt;&gt;"Oui",AJ492=""),"",IF(AK492="",IF(NOW()&gt;AJ492+1,0,""),IF(AK492&lt;=AJ492,1,0)))</f>
        <v/>
      </c>
    </row>
    <row r="493" customFormat="false" ht="15" hidden="false" customHeight="false" outlineLevel="0" collapsed="false">
      <c r="B493" s="29"/>
      <c r="C493" s="29"/>
      <c r="D493" s="29"/>
      <c r="E493" s="29"/>
      <c r="F493" s="29"/>
      <c r="G493" s="29"/>
      <c r="H493" s="29"/>
      <c r="I493" s="29"/>
      <c r="J493" s="29"/>
      <c r="K493" s="29"/>
      <c r="L493" s="29"/>
      <c r="M493" s="29"/>
      <c r="N493" s="30"/>
      <c r="O493" s="30"/>
      <c r="P493" s="30"/>
      <c r="Q493" s="30"/>
      <c r="R493" s="30"/>
      <c r="S493" s="30"/>
      <c r="T493" s="30"/>
      <c r="U493" s="30"/>
      <c r="V493" s="31"/>
      <c r="W493" s="29"/>
      <c r="X493" s="29"/>
      <c r="Y493" s="29"/>
      <c r="Z493" s="29"/>
      <c r="AA493" s="30"/>
      <c r="AB493" s="30"/>
      <c r="AC493" s="30"/>
      <c r="AD493" s="30"/>
      <c r="AE493" s="30"/>
      <c r="AF493" s="32"/>
      <c r="AG493" s="33"/>
      <c r="AH493" s="33"/>
      <c r="AI493" s="29"/>
      <c r="AJ493" s="32"/>
      <c r="AK493" s="32"/>
      <c r="AL493" s="29"/>
      <c r="AN493" s="34" t="str">
        <f aca="false">IF($B493="","",IF(OR(C493="",D493="",E493="",G493="",I493="",J493="",L493="",O493="",P493=""),"Champ obligatoire manquant",IF(OR(AND(N493&lt;&gt;"",N493&gt;O493),O493&gt;P493,AND(Q493&lt;&gt;"",Q493&lt;P493),AND(R493&lt;&gt;"",R493&lt;P493),AND(S493&lt;&gt;"",S493&lt;R493),AND(S493&lt;&gt;"",R493=""),AND(T493&lt;&gt;"",T493&lt;O493),AND(U493&lt;&gt;"",U493&lt;O493)),"Chronologie incohérente",IF(AND(OR(L493="Résolu",L493="Clos"),R493=""),"Date de résolution manquante",IF(AND(L493="Clos",S493=""),"Date de clôture manquante",IF(AND(K493="Oui",AC493=""),"Classification DORA manquante","OK"))))))</f>
        <v/>
      </c>
      <c r="AO493" s="35" t="str">
        <f aca="false">IF($B493="","",IF(AND(C493="Incident",L493&lt;&gt;"Annulé"),1,0))</f>
        <v/>
      </c>
      <c r="AP493" s="35" t="str">
        <f aca="false">IF($B493="","",IF(AND(C493="Quasi-incident",L493&lt;&gt;"Annulé"),1,0))</f>
        <v/>
      </c>
      <c r="AQ493" s="35" t="str">
        <f aca="false">IF($B493="","",AO493+AP493)</f>
        <v/>
      </c>
      <c r="AR493" s="36" t="str">
        <f aca="false">IF(OR($B493="",J493=""),"",IFERROR(VALUE(LEFT(J493,1)),""))</f>
        <v/>
      </c>
      <c r="AS493" s="35" t="str">
        <f aca="false">IF(OR(AO493&lt;&gt;1,G493=""),"",IFERROR(IF(INDEX(L_SrcInterne,MATCH(G493,L_Sources,0))="Oui",1,0),""))</f>
        <v/>
      </c>
      <c r="AT493" s="37" t="str">
        <f aca="false">IF(AO493&lt;&gt;1,"",IFERROR(ROUND(IF(OR(N493="",O493=""),"",IF(O493&lt;N493,"",ROUND(((NETWORKDAYS(N493,O493,JoursFeries)-1)*(HFer-HOuv)+IF(NETWORKDAYS(O493,O493,JoursFeries),MEDIAN(MOD(O493,1),HFer,HOuv),HFer)-IF(NETWORKDAYS(N493,N493,JoursFeries),MEDIAN(MOD(N493,1),HFer,HOuv),HOuv))*24,4)))/HJour,4),""))</f>
        <v/>
      </c>
      <c r="AU493" s="37" t="str">
        <f aca="false">IF(AO493&lt;&gt;1,"",IF(OR(O493="",P493=""),"",IF(P493&lt;O493,"",ROUND(((NETWORKDAYS(O493,P493,JoursFeries)-1)*(HFer-HOuv)+IF(NETWORKDAYS(P493,P493,JoursFeries),MEDIAN(MOD(P493,1),HFer,HOuv),HFer)-IF(NETWORKDAYS(O493,O493,JoursFeries),MEDIAN(MOD(O493,1),HFer,HOuv),HOuv))*24,4))))</f>
        <v/>
      </c>
      <c r="AV493" s="37" t="str">
        <f aca="false">IF(AO493&lt;&gt;1,"",IF(OR(P493="",Q493=""),"",IF(Q493&lt;P493,"",ROUND(((NETWORKDAYS(P493,Q493,JoursFeries)-1)*(HFer-HOuv)+IF(NETWORKDAYS(Q493,Q493,JoursFeries),MEDIAN(MOD(Q493,1),HFer,HOuv),HFer)-IF(NETWORKDAYS(P493,P493,JoursFeries),MEDIAN(MOD(P493,1),HFer,HOuv),HOuv))*24,4))))</f>
        <v/>
      </c>
      <c r="AW493" s="37" t="str">
        <f aca="false">IF(AO493&lt;&gt;1,"",IFERROR(ROUND(IF(OR(P493="",R493=""),"",IF(R493&lt;P493,"",ROUND(((NETWORKDAYS(P493,R493,JoursFeries)-1)*(HFer-HOuv)+IF(NETWORKDAYS(R493,R493,JoursFeries),MEDIAN(MOD(R493,1),HFer,HOuv),HFer)-IF(NETWORKDAYS(P493,P493,JoursFeries),MEDIAN(MOD(P493,1),HFer,HOuv),HOuv))*24,4)))/HJour,4),""))</f>
        <v/>
      </c>
      <c r="AX493" s="37" t="str">
        <f aca="false">IF(AO493&lt;&gt;1,"",IFERROR(ROUND(IF(OR(P493="",S493=""),"",IF(S493&lt;P493,"",ROUND(((NETWORKDAYS(P493,S493,JoursFeries)-1)*(HFer-HOuv)+IF(NETWORKDAYS(S493,S493,JoursFeries),MEDIAN(MOD(S493,1),HFer,HOuv),HFer)-IF(NETWORKDAYS(P493,P493,JoursFeries),MEDIAN(MOD(P493,1),HFer,HOuv),HOuv))*24,4)))/HJour,4),""))</f>
        <v/>
      </c>
      <c r="AY493" s="36" t="str">
        <f aca="false">IF(OR(AO493&lt;&gt;1,AR493=""),"",INDEX(SLA_PEC,AR493))</f>
        <v/>
      </c>
      <c r="AZ493" s="35" t="str">
        <f aca="false">IF(OR(AV493="",AY493=""),"",IF(AV493&lt;=AY493,1,0))</f>
        <v/>
      </c>
      <c r="BA493" s="36" t="str">
        <f aca="false">IF(OR(AO493&lt;&gt;1,AR493=""),"",INDEX(SLA_RES,AR493))</f>
        <v/>
      </c>
      <c r="BB493" s="35" t="str">
        <f aca="false">IF(OR(AW493="",BA493=""),"",IF(AW493&lt;=BA493,1,0))</f>
        <v/>
      </c>
      <c r="BC493" s="38" t="str">
        <f aca="false">IF(OR(BA493="",P493=""),"",WORKDAY(INT(P493),BA493,JoursFeries)+MOD(P493,1))</f>
        <v/>
      </c>
      <c r="BD493" s="39" t="str">
        <f aca="false">IF(AO493&lt;&gt;1,"",IF(OR(AB493&lt;&gt;"",AD493&lt;&gt;""),4,IF(U493&lt;&gt;"",3,IF(T493&lt;&gt;"",2,1))))</f>
        <v/>
      </c>
      <c r="BE493" s="39" t="str">
        <f aca="false">IF(OR(AO493&lt;&gt;1,AR493=""),"",INDEX(NIV_REQ,AR493))</f>
        <v/>
      </c>
      <c r="BF493" s="39" t="str">
        <f aca="false">IF(BE493="","",MAX(BE493,IF(OR(K493="Oui",Z493="Oui"),4,1)))</f>
        <v/>
      </c>
      <c r="BG493" s="35" t="str">
        <f aca="false">IF(OR(BF493="",BD493=""),"",IF(BD493&gt;=BF493,1,0))</f>
        <v/>
      </c>
      <c r="BH493" s="38" t="str">
        <f aca="false">IF(BE493="","",IF(BE493&lt;2,"",IF(BE493=2,IF(AND(T493="",U493=""),"",MIN(T493,U493)),IF(U493="","",U493))))</f>
        <v/>
      </c>
      <c r="BI493" s="37" t="str">
        <f aca="false">IF(BH493="","",IF(OR(O493="",BH493=""),"",IF(BH493&lt;O493,"",ROUND(((NETWORKDAYS(O493,BH493,JoursFeries)-1)*(HFer-HOuv)+IF(NETWORKDAYS(BH493,BH493,JoursFeries),MEDIAN(MOD(BH493,1),HFer,HOuv),HFer)-IF(NETWORKDAYS(O493,O493,JoursFeries),MEDIAN(MOD(O493,1),HFer,HOuv),HOuv))*24,4))))</f>
        <v/>
      </c>
      <c r="BJ493" s="35" t="str">
        <f aca="false">IF(OR(BI493="",AR493=""),"",IF(BI493&lt;=INDEX(DELAI_ESC,AR493),1,0))</f>
        <v/>
      </c>
      <c r="BK493" s="38" t="str">
        <f aca="false">IF(AO493&lt;&gt;1,"",IF(AND(T493="",U493=""),"",MIN(T493,U493)))</f>
        <v/>
      </c>
      <c r="BL493" s="37" t="str">
        <f aca="false">IF(OR(BK493="",R493=""),"",IFERROR(ROUND(IF(OR(BK493="",R493=""),"",IF(R493&lt;BK493,"",ROUND(((NETWORKDAYS(BK493,R493,JoursFeries)-1)*(HFer-HOuv)+IF(NETWORKDAYS(R493,R493,JoursFeries),MEDIAN(MOD(R493,1),HFer,HOuv),HFer)-IF(NETWORKDAYS(BK493,BK493,JoursFeries),MEDIAN(MOD(BK493,1),HFer,HOuv),HOuv))*24,4)))/HJour,4),""))</f>
        <v/>
      </c>
      <c r="BM493" s="35" t="str">
        <f aca="false">IF(OR(AO493&lt;&gt;1,R493=""),"",IF(BD493=1,1,0))</f>
        <v/>
      </c>
      <c r="BN493" s="35" t="str">
        <f aca="false">IF(AO493&lt;&gt;1,"",IF(W493="Oui",1,0))</f>
        <v/>
      </c>
      <c r="BO493" s="35" t="str">
        <f aca="false">IF(AO493&lt;&gt;1,"",IF(X493&lt;&gt;"",1,0))</f>
        <v/>
      </c>
      <c r="BP493" s="35" t="str">
        <f aca="false">IF(AO493&lt;&gt;1,"",IF(Y493="Oui",1,0))</f>
        <v/>
      </c>
      <c r="BQ493" s="35" t="str">
        <f aca="true">IF(OR(AO493&lt;&gt;1,Z493&lt;&gt;"Oui"),"",IF(AB493="",IF(AND(AA493&lt;&gt;"",NOW()&gt;AA493),0,""),IF(AA493="","",IF(AB493&lt;=AA493,1,0))))</f>
        <v/>
      </c>
      <c r="BR493" s="38" t="str">
        <f aca="false">IF(OR(AO493&lt;&gt;1,K493&lt;&gt;"Oui",O493=""),"",IF(AC493="",O493+DORA_H_DET/24,IF(AC493-O493&lt;=DORA_H_DET/24,MIN(AC493+DORA_H_CLA/24,O493+DORA_H_DET/24),AC493+DORA_H_CLA/24)))</f>
        <v/>
      </c>
      <c r="BS493" s="35" t="str">
        <f aca="true">IF(BR493="","",IF(AD493="",IF(NOW()&gt;BR493,0,""),IF(AD493&lt;=BR493,1,0)))</f>
        <v/>
      </c>
      <c r="BT493" s="35" t="str">
        <f aca="true">IF(OR(BR493="",AD493=""),"",IF(AE493="",IF(NOW()&gt;AD493+DORA_H_INT/24,0,""),IF(AE493&lt;=AD493+DORA_H_INT/24,1,0)))</f>
        <v/>
      </c>
      <c r="BU493" s="35" t="str">
        <f aca="true">IF(OR(BR493="",AE493=""),"",IF(AF493="",IF(NOW()&gt;EDATE(AE493,DORA_M_FIN)+1,0,""),IF(AF493&lt;=EDATE(AE493,DORA_M_FIN),1,0)))</f>
        <v/>
      </c>
      <c r="BV493" s="35" t="str">
        <f aca="false">IF(BR493="","",IF(COUNT(BS493:BU493)=0,"",MIN(BS493:BU493)))</f>
        <v/>
      </c>
      <c r="BW493" s="40" t="str">
        <f aca="false">IF(AQ493&lt;&gt;1,"",IF(AND(AG493="",AH493=""),"",N(AG493)-N(AH493)))</f>
        <v/>
      </c>
      <c r="BX493" s="35" t="str">
        <f aca="true">IF(OR(AQ493&lt;&gt;1,AI493&lt;&gt;"Oui",AJ493=""),"",IF(AK493="",IF(NOW()&gt;AJ493+1,0,""),IF(AK493&lt;=AJ493,1,0)))</f>
        <v/>
      </c>
    </row>
    <row r="494" customFormat="false" ht="15" hidden="false" customHeight="false" outlineLevel="0" collapsed="false">
      <c r="B494" s="29"/>
      <c r="C494" s="29"/>
      <c r="D494" s="29"/>
      <c r="E494" s="29"/>
      <c r="F494" s="29"/>
      <c r="G494" s="29"/>
      <c r="H494" s="29"/>
      <c r="I494" s="29"/>
      <c r="J494" s="29"/>
      <c r="K494" s="29"/>
      <c r="L494" s="29"/>
      <c r="M494" s="29"/>
      <c r="N494" s="30"/>
      <c r="O494" s="30"/>
      <c r="P494" s="30"/>
      <c r="Q494" s="30"/>
      <c r="R494" s="30"/>
      <c r="S494" s="30"/>
      <c r="T494" s="30"/>
      <c r="U494" s="30"/>
      <c r="V494" s="31"/>
      <c r="W494" s="29"/>
      <c r="X494" s="29"/>
      <c r="Y494" s="29"/>
      <c r="Z494" s="29"/>
      <c r="AA494" s="30"/>
      <c r="AB494" s="30"/>
      <c r="AC494" s="30"/>
      <c r="AD494" s="30"/>
      <c r="AE494" s="30"/>
      <c r="AF494" s="32"/>
      <c r="AG494" s="33"/>
      <c r="AH494" s="33"/>
      <c r="AI494" s="29"/>
      <c r="AJ494" s="32"/>
      <c r="AK494" s="32"/>
      <c r="AL494" s="29"/>
      <c r="AN494" s="34" t="str">
        <f aca="false">IF($B494="","",IF(OR(C494="",D494="",E494="",G494="",I494="",J494="",L494="",O494="",P494=""),"Champ obligatoire manquant",IF(OR(AND(N494&lt;&gt;"",N494&gt;O494),O494&gt;P494,AND(Q494&lt;&gt;"",Q494&lt;P494),AND(R494&lt;&gt;"",R494&lt;P494),AND(S494&lt;&gt;"",S494&lt;R494),AND(S494&lt;&gt;"",R494=""),AND(T494&lt;&gt;"",T494&lt;O494),AND(U494&lt;&gt;"",U494&lt;O494)),"Chronologie incohérente",IF(AND(OR(L494="Résolu",L494="Clos"),R494=""),"Date de résolution manquante",IF(AND(L494="Clos",S494=""),"Date de clôture manquante",IF(AND(K494="Oui",AC494=""),"Classification DORA manquante","OK"))))))</f>
        <v/>
      </c>
      <c r="AO494" s="35" t="str">
        <f aca="false">IF($B494="","",IF(AND(C494="Incident",L494&lt;&gt;"Annulé"),1,0))</f>
        <v/>
      </c>
      <c r="AP494" s="35" t="str">
        <f aca="false">IF($B494="","",IF(AND(C494="Quasi-incident",L494&lt;&gt;"Annulé"),1,0))</f>
        <v/>
      </c>
      <c r="AQ494" s="35" t="str">
        <f aca="false">IF($B494="","",AO494+AP494)</f>
        <v/>
      </c>
      <c r="AR494" s="36" t="str">
        <f aca="false">IF(OR($B494="",J494=""),"",IFERROR(VALUE(LEFT(J494,1)),""))</f>
        <v/>
      </c>
      <c r="AS494" s="35" t="str">
        <f aca="false">IF(OR(AO494&lt;&gt;1,G494=""),"",IFERROR(IF(INDEX(L_SrcInterne,MATCH(G494,L_Sources,0))="Oui",1,0),""))</f>
        <v/>
      </c>
      <c r="AT494" s="37" t="str">
        <f aca="false">IF(AO494&lt;&gt;1,"",IFERROR(ROUND(IF(OR(N494="",O494=""),"",IF(O494&lt;N494,"",ROUND(((NETWORKDAYS(N494,O494,JoursFeries)-1)*(HFer-HOuv)+IF(NETWORKDAYS(O494,O494,JoursFeries),MEDIAN(MOD(O494,1),HFer,HOuv),HFer)-IF(NETWORKDAYS(N494,N494,JoursFeries),MEDIAN(MOD(N494,1),HFer,HOuv),HOuv))*24,4)))/HJour,4),""))</f>
        <v/>
      </c>
      <c r="AU494" s="37" t="str">
        <f aca="false">IF(AO494&lt;&gt;1,"",IF(OR(O494="",P494=""),"",IF(P494&lt;O494,"",ROUND(((NETWORKDAYS(O494,P494,JoursFeries)-1)*(HFer-HOuv)+IF(NETWORKDAYS(P494,P494,JoursFeries),MEDIAN(MOD(P494,1),HFer,HOuv),HFer)-IF(NETWORKDAYS(O494,O494,JoursFeries),MEDIAN(MOD(O494,1),HFer,HOuv),HOuv))*24,4))))</f>
        <v/>
      </c>
      <c r="AV494" s="37" t="str">
        <f aca="false">IF(AO494&lt;&gt;1,"",IF(OR(P494="",Q494=""),"",IF(Q494&lt;P494,"",ROUND(((NETWORKDAYS(P494,Q494,JoursFeries)-1)*(HFer-HOuv)+IF(NETWORKDAYS(Q494,Q494,JoursFeries),MEDIAN(MOD(Q494,1),HFer,HOuv),HFer)-IF(NETWORKDAYS(P494,P494,JoursFeries),MEDIAN(MOD(P494,1),HFer,HOuv),HOuv))*24,4))))</f>
        <v/>
      </c>
      <c r="AW494" s="37" t="str">
        <f aca="false">IF(AO494&lt;&gt;1,"",IFERROR(ROUND(IF(OR(P494="",R494=""),"",IF(R494&lt;P494,"",ROUND(((NETWORKDAYS(P494,R494,JoursFeries)-1)*(HFer-HOuv)+IF(NETWORKDAYS(R494,R494,JoursFeries),MEDIAN(MOD(R494,1),HFer,HOuv),HFer)-IF(NETWORKDAYS(P494,P494,JoursFeries),MEDIAN(MOD(P494,1),HFer,HOuv),HOuv))*24,4)))/HJour,4),""))</f>
        <v/>
      </c>
      <c r="AX494" s="37" t="str">
        <f aca="false">IF(AO494&lt;&gt;1,"",IFERROR(ROUND(IF(OR(P494="",S494=""),"",IF(S494&lt;P494,"",ROUND(((NETWORKDAYS(P494,S494,JoursFeries)-1)*(HFer-HOuv)+IF(NETWORKDAYS(S494,S494,JoursFeries),MEDIAN(MOD(S494,1),HFer,HOuv),HFer)-IF(NETWORKDAYS(P494,P494,JoursFeries),MEDIAN(MOD(P494,1),HFer,HOuv),HOuv))*24,4)))/HJour,4),""))</f>
        <v/>
      </c>
      <c r="AY494" s="36" t="str">
        <f aca="false">IF(OR(AO494&lt;&gt;1,AR494=""),"",INDEX(SLA_PEC,AR494))</f>
        <v/>
      </c>
      <c r="AZ494" s="35" t="str">
        <f aca="false">IF(OR(AV494="",AY494=""),"",IF(AV494&lt;=AY494,1,0))</f>
        <v/>
      </c>
      <c r="BA494" s="36" t="str">
        <f aca="false">IF(OR(AO494&lt;&gt;1,AR494=""),"",INDEX(SLA_RES,AR494))</f>
        <v/>
      </c>
      <c r="BB494" s="35" t="str">
        <f aca="false">IF(OR(AW494="",BA494=""),"",IF(AW494&lt;=BA494,1,0))</f>
        <v/>
      </c>
      <c r="BC494" s="38" t="str">
        <f aca="false">IF(OR(BA494="",P494=""),"",WORKDAY(INT(P494),BA494,JoursFeries)+MOD(P494,1))</f>
        <v/>
      </c>
      <c r="BD494" s="39" t="str">
        <f aca="false">IF(AO494&lt;&gt;1,"",IF(OR(AB494&lt;&gt;"",AD494&lt;&gt;""),4,IF(U494&lt;&gt;"",3,IF(T494&lt;&gt;"",2,1))))</f>
        <v/>
      </c>
      <c r="BE494" s="39" t="str">
        <f aca="false">IF(OR(AO494&lt;&gt;1,AR494=""),"",INDEX(NIV_REQ,AR494))</f>
        <v/>
      </c>
      <c r="BF494" s="39" t="str">
        <f aca="false">IF(BE494="","",MAX(BE494,IF(OR(K494="Oui",Z494="Oui"),4,1)))</f>
        <v/>
      </c>
      <c r="BG494" s="35" t="str">
        <f aca="false">IF(OR(BF494="",BD494=""),"",IF(BD494&gt;=BF494,1,0))</f>
        <v/>
      </c>
      <c r="BH494" s="38" t="str">
        <f aca="false">IF(BE494="","",IF(BE494&lt;2,"",IF(BE494=2,IF(AND(T494="",U494=""),"",MIN(T494,U494)),IF(U494="","",U494))))</f>
        <v/>
      </c>
      <c r="BI494" s="37" t="str">
        <f aca="false">IF(BH494="","",IF(OR(O494="",BH494=""),"",IF(BH494&lt;O494,"",ROUND(((NETWORKDAYS(O494,BH494,JoursFeries)-1)*(HFer-HOuv)+IF(NETWORKDAYS(BH494,BH494,JoursFeries),MEDIAN(MOD(BH494,1),HFer,HOuv),HFer)-IF(NETWORKDAYS(O494,O494,JoursFeries),MEDIAN(MOD(O494,1),HFer,HOuv),HOuv))*24,4))))</f>
        <v/>
      </c>
      <c r="BJ494" s="35" t="str">
        <f aca="false">IF(OR(BI494="",AR494=""),"",IF(BI494&lt;=INDEX(DELAI_ESC,AR494),1,0))</f>
        <v/>
      </c>
      <c r="BK494" s="38" t="str">
        <f aca="false">IF(AO494&lt;&gt;1,"",IF(AND(T494="",U494=""),"",MIN(T494,U494)))</f>
        <v/>
      </c>
      <c r="BL494" s="37" t="str">
        <f aca="false">IF(OR(BK494="",R494=""),"",IFERROR(ROUND(IF(OR(BK494="",R494=""),"",IF(R494&lt;BK494,"",ROUND(((NETWORKDAYS(BK494,R494,JoursFeries)-1)*(HFer-HOuv)+IF(NETWORKDAYS(R494,R494,JoursFeries),MEDIAN(MOD(R494,1),HFer,HOuv),HFer)-IF(NETWORKDAYS(BK494,BK494,JoursFeries),MEDIAN(MOD(BK494,1),HFer,HOuv),HOuv))*24,4)))/HJour,4),""))</f>
        <v/>
      </c>
      <c r="BM494" s="35" t="str">
        <f aca="false">IF(OR(AO494&lt;&gt;1,R494=""),"",IF(BD494=1,1,0))</f>
        <v/>
      </c>
      <c r="BN494" s="35" t="str">
        <f aca="false">IF(AO494&lt;&gt;1,"",IF(W494="Oui",1,0))</f>
        <v/>
      </c>
      <c r="BO494" s="35" t="str">
        <f aca="false">IF(AO494&lt;&gt;1,"",IF(X494&lt;&gt;"",1,0))</f>
        <v/>
      </c>
      <c r="BP494" s="35" t="str">
        <f aca="false">IF(AO494&lt;&gt;1,"",IF(Y494="Oui",1,0))</f>
        <v/>
      </c>
      <c r="BQ494" s="35" t="str">
        <f aca="true">IF(OR(AO494&lt;&gt;1,Z494&lt;&gt;"Oui"),"",IF(AB494="",IF(AND(AA494&lt;&gt;"",NOW()&gt;AA494),0,""),IF(AA494="","",IF(AB494&lt;=AA494,1,0))))</f>
        <v/>
      </c>
      <c r="BR494" s="38" t="str">
        <f aca="false">IF(OR(AO494&lt;&gt;1,K494&lt;&gt;"Oui",O494=""),"",IF(AC494="",O494+DORA_H_DET/24,IF(AC494-O494&lt;=DORA_H_DET/24,MIN(AC494+DORA_H_CLA/24,O494+DORA_H_DET/24),AC494+DORA_H_CLA/24)))</f>
        <v/>
      </c>
      <c r="BS494" s="35" t="str">
        <f aca="true">IF(BR494="","",IF(AD494="",IF(NOW()&gt;BR494,0,""),IF(AD494&lt;=BR494,1,0)))</f>
        <v/>
      </c>
      <c r="BT494" s="35" t="str">
        <f aca="true">IF(OR(BR494="",AD494=""),"",IF(AE494="",IF(NOW()&gt;AD494+DORA_H_INT/24,0,""),IF(AE494&lt;=AD494+DORA_H_INT/24,1,0)))</f>
        <v/>
      </c>
      <c r="BU494" s="35" t="str">
        <f aca="true">IF(OR(BR494="",AE494=""),"",IF(AF494="",IF(NOW()&gt;EDATE(AE494,DORA_M_FIN)+1,0,""),IF(AF494&lt;=EDATE(AE494,DORA_M_FIN),1,0)))</f>
        <v/>
      </c>
      <c r="BV494" s="35" t="str">
        <f aca="false">IF(BR494="","",IF(COUNT(BS494:BU494)=0,"",MIN(BS494:BU494)))</f>
        <v/>
      </c>
      <c r="BW494" s="40" t="str">
        <f aca="false">IF(AQ494&lt;&gt;1,"",IF(AND(AG494="",AH494=""),"",N(AG494)-N(AH494)))</f>
        <v/>
      </c>
      <c r="BX494" s="35" t="str">
        <f aca="true">IF(OR(AQ494&lt;&gt;1,AI494&lt;&gt;"Oui",AJ494=""),"",IF(AK494="",IF(NOW()&gt;AJ494+1,0,""),IF(AK494&lt;=AJ494,1,0)))</f>
        <v/>
      </c>
    </row>
    <row r="495" customFormat="false" ht="15" hidden="false" customHeight="false" outlineLevel="0" collapsed="false">
      <c r="B495" s="29"/>
      <c r="C495" s="29"/>
      <c r="D495" s="29"/>
      <c r="E495" s="29"/>
      <c r="F495" s="29"/>
      <c r="G495" s="29"/>
      <c r="H495" s="29"/>
      <c r="I495" s="29"/>
      <c r="J495" s="29"/>
      <c r="K495" s="29"/>
      <c r="L495" s="29"/>
      <c r="M495" s="29"/>
      <c r="N495" s="30"/>
      <c r="O495" s="30"/>
      <c r="P495" s="30"/>
      <c r="Q495" s="30"/>
      <c r="R495" s="30"/>
      <c r="S495" s="30"/>
      <c r="T495" s="30"/>
      <c r="U495" s="30"/>
      <c r="V495" s="31"/>
      <c r="W495" s="29"/>
      <c r="X495" s="29"/>
      <c r="Y495" s="29"/>
      <c r="Z495" s="29"/>
      <c r="AA495" s="30"/>
      <c r="AB495" s="30"/>
      <c r="AC495" s="30"/>
      <c r="AD495" s="30"/>
      <c r="AE495" s="30"/>
      <c r="AF495" s="32"/>
      <c r="AG495" s="33"/>
      <c r="AH495" s="33"/>
      <c r="AI495" s="29"/>
      <c r="AJ495" s="32"/>
      <c r="AK495" s="32"/>
      <c r="AL495" s="29"/>
      <c r="AN495" s="34" t="str">
        <f aca="false">IF($B495="","",IF(OR(C495="",D495="",E495="",G495="",I495="",J495="",L495="",O495="",P495=""),"Champ obligatoire manquant",IF(OR(AND(N495&lt;&gt;"",N495&gt;O495),O495&gt;P495,AND(Q495&lt;&gt;"",Q495&lt;P495),AND(R495&lt;&gt;"",R495&lt;P495),AND(S495&lt;&gt;"",S495&lt;R495),AND(S495&lt;&gt;"",R495=""),AND(T495&lt;&gt;"",T495&lt;O495),AND(U495&lt;&gt;"",U495&lt;O495)),"Chronologie incohérente",IF(AND(OR(L495="Résolu",L495="Clos"),R495=""),"Date de résolution manquante",IF(AND(L495="Clos",S495=""),"Date de clôture manquante",IF(AND(K495="Oui",AC495=""),"Classification DORA manquante","OK"))))))</f>
        <v/>
      </c>
      <c r="AO495" s="35" t="str">
        <f aca="false">IF($B495="","",IF(AND(C495="Incident",L495&lt;&gt;"Annulé"),1,0))</f>
        <v/>
      </c>
      <c r="AP495" s="35" t="str">
        <f aca="false">IF($B495="","",IF(AND(C495="Quasi-incident",L495&lt;&gt;"Annulé"),1,0))</f>
        <v/>
      </c>
      <c r="AQ495" s="35" t="str">
        <f aca="false">IF($B495="","",AO495+AP495)</f>
        <v/>
      </c>
      <c r="AR495" s="36" t="str">
        <f aca="false">IF(OR($B495="",J495=""),"",IFERROR(VALUE(LEFT(J495,1)),""))</f>
        <v/>
      </c>
      <c r="AS495" s="35" t="str">
        <f aca="false">IF(OR(AO495&lt;&gt;1,G495=""),"",IFERROR(IF(INDEX(L_SrcInterne,MATCH(G495,L_Sources,0))="Oui",1,0),""))</f>
        <v/>
      </c>
      <c r="AT495" s="37" t="str">
        <f aca="false">IF(AO495&lt;&gt;1,"",IFERROR(ROUND(IF(OR(N495="",O495=""),"",IF(O495&lt;N495,"",ROUND(((NETWORKDAYS(N495,O495,JoursFeries)-1)*(HFer-HOuv)+IF(NETWORKDAYS(O495,O495,JoursFeries),MEDIAN(MOD(O495,1),HFer,HOuv),HFer)-IF(NETWORKDAYS(N495,N495,JoursFeries),MEDIAN(MOD(N495,1),HFer,HOuv),HOuv))*24,4)))/HJour,4),""))</f>
        <v/>
      </c>
      <c r="AU495" s="37" t="str">
        <f aca="false">IF(AO495&lt;&gt;1,"",IF(OR(O495="",P495=""),"",IF(P495&lt;O495,"",ROUND(((NETWORKDAYS(O495,P495,JoursFeries)-1)*(HFer-HOuv)+IF(NETWORKDAYS(P495,P495,JoursFeries),MEDIAN(MOD(P495,1),HFer,HOuv),HFer)-IF(NETWORKDAYS(O495,O495,JoursFeries),MEDIAN(MOD(O495,1),HFer,HOuv),HOuv))*24,4))))</f>
        <v/>
      </c>
      <c r="AV495" s="37" t="str">
        <f aca="false">IF(AO495&lt;&gt;1,"",IF(OR(P495="",Q495=""),"",IF(Q495&lt;P495,"",ROUND(((NETWORKDAYS(P495,Q495,JoursFeries)-1)*(HFer-HOuv)+IF(NETWORKDAYS(Q495,Q495,JoursFeries),MEDIAN(MOD(Q495,1),HFer,HOuv),HFer)-IF(NETWORKDAYS(P495,P495,JoursFeries),MEDIAN(MOD(P495,1),HFer,HOuv),HOuv))*24,4))))</f>
        <v/>
      </c>
      <c r="AW495" s="37" t="str">
        <f aca="false">IF(AO495&lt;&gt;1,"",IFERROR(ROUND(IF(OR(P495="",R495=""),"",IF(R495&lt;P495,"",ROUND(((NETWORKDAYS(P495,R495,JoursFeries)-1)*(HFer-HOuv)+IF(NETWORKDAYS(R495,R495,JoursFeries),MEDIAN(MOD(R495,1),HFer,HOuv),HFer)-IF(NETWORKDAYS(P495,P495,JoursFeries),MEDIAN(MOD(P495,1),HFer,HOuv),HOuv))*24,4)))/HJour,4),""))</f>
        <v/>
      </c>
      <c r="AX495" s="37" t="str">
        <f aca="false">IF(AO495&lt;&gt;1,"",IFERROR(ROUND(IF(OR(P495="",S495=""),"",IF(S495&lt;P495,"",ROUND(((NETWORKDAYS(P495,S495,JoursFeries)-1)*(HFer-HOuv)+IF(NETWORKDAYS(S495,S495,JoursFeries),MEDIAN(MOD(S495,1),HFer,HOuv),HFer)-IF(NETWORKDAYS(P495,P495,JoursFeries),MEDIAN(MOD(P495,1),HFer,HOuv),HOuv))*24,4)))/HJour,4),""))</f>
        <v/>
      </c>
      <c r="AY495" s="36" t="str">
        <f aca="false">IF(OR(AO495&lt;&gt;1,AR495=""),"",INDEX(SLA_PEC,AR495))</f>
        <v/>
      </c>
      <c r="AZ495" s="35" t="str">
        <f aca="false">IF(OR(AV495="",AY495=""),"",IF(AV495&lt;=AY495,1,0))</f>
        <v/>
      </c>
      <c r="BA495" s="36" t="str">
        <f aca="false">IF(OR(AO495&lt;&gt;1,AR495=""),"",INDEX(SLA_RES,AR495))</f>
        <v/>
      </c>
      <c r="BB495" s="35" t="str">
        <f aca="false">IF(OR(AW495="",BA495=""),"",IF(AW495&lt;=BA495,1,0))</f>
        <v/>
      </c>
      <c r="BC495" s="38" t="str">
        <f aca="false">IF(OR(BA495="",P495=""),"",WORKDAY(INT(P495),BA495,JoursFeries)+MOD(P495,1))</f>
        <v/>
      </c>
      <c r="BD495" s="39" t="str">
        <f aca="false">IF(AO495&lt;&gt;1,"",IF(OR(AB495&lt;&gt;"",AD495&lt;&gt;""),4,IF(U495&lt;&gt;"",3,IF(T495&lt;&gt;"",2,1))))</f>
        <v/>
      </c>
      <c r="BE495" s="39" t="str">
        <f aca="false">IF(OR(AO495&lt;&gt;1,AR495=""),"",INDEX(NIV_REQ,AR495))</f>
        <v/>
      </c>
      <c r="BF495" s="39" t="str">
        <f aca="false">IF(BE495="","",MAX(BE495,IF(OR(K495="Oui",Z495="Oui"),4,1)))</f>
        <v/>
      </c>
      <c r="BG495" s="35" t="str">
        <f aca="false">IF(OR(BF495="",BD495=""),"",IF(BD495&gt;=BF495,1,0))</f>
        <v/>
      </c>
      <c r="BH495" s="38" t="str">
        <f aca="false">IF(BE495="","",IF(BE495&lt;2,"",IF(BE495=2,IF(AND(T495="",U495=""),"",MIN(T495,U495)),IF(U495="","",U495))))</f>
        <v/>
      </c>
      <c r="BI495" s="37" t="str">
        <f aca="false">IF(BH495="","",IF(OR(O495="",BH495=""),"",IF(BH495&lt;O495,"",ROUND(((NETWORKDAYS(O495,BH495,JoursFeries)-1)*(HFer-HOuv)+IF(NETWORKDAYS(BH495,BH495,JoursFeries),MEDIAN(MOD(BH495,1),HFer,HOuv),HFer)-IF(NETWORKDAYS(O495,O495,JoursFeries),MEDIAN(MOD(O495,1),HFer,HOuv),HOuv))*24,4))))</f>
        <v/>
      </c>
      <c r="BJ495" s="35" t="str">
        <f aca="false">IF(OR(BI495="",AR495=""),"",IF(BI495&lt;=INDEX(DELAI_ESC,AR495),1,0))</f>
        <v/>
      </c>
      <c r="BK495" s="38" t="str">
        <f aca="false">IF(AO495&lt;&gt;1,"",IF(AND(T495="",U495=""),"",MIN(T495,U495)))</f>
        <v/>
      </c>
      <c r="BL495" s="37" t="str">
        <f aca="false">IF(OR(BK495="",R495=""),"",IFERROR(ROUND(IF(OR(BK495="",R495=""),"",IF(R495&lt;BK495,"",ROUND(((NETWORKDAYS(BK495,R495,JoursFeries)-1)*(HFer-HOuv)+IF(NETWORKDAYS(R495,R495,JoursFeries),MEDIAN(MOD(R495,1),HFer,HOuv),HFer)-IF(NETWORKDAYS(BK495,BK495,JoursFeries),MEDIAN(MOD(BK495,1),HFer,HOuv),HOuv))*24,4)))/HJour,4),""))</f>
        <v/>
      </c>
      <c r="BM495" s="35" t="str">
        <f aca="false">IF(OR(AO495&lt;&gt;1,R495=""),"",IF(BD495=1,1,0))</f>
        <v/>
      </c>
      <c r="BN495" s="35" t="str">
        <f aca="false">IF(AO495&lt;&gt;1,"",IF(W495="Oui",1,0))</f>
        <v/>
      </c>
      <c r="BO495" s="35" t="str">
        <f aca="false">IF(AO495&lt;&gt;1,"",IF(X495&lt;&gt;"",1,0))</f>
        <v/>
      </c>
      <c r="BP495" s="35" t="str">
        <f aca="false">IF(AO495&lt;&gt;1,"",IF(Y495="Oui",1,0))</f>
        <v/>
      </c>
      <c r="BQ495" s="35" t="str">
        <f aca="true">IF(OR(AO495&lt;&gt;1,Z495&lt;&gt;"Oui"),"",IF(AB495="",IF(AND(AA495&lt;&gt;"",NOW()&gt;AA495),0,""),IF(AA495="","",IF(AB495&lt;=AA495,1,0))))</f>
        <v/>
      </c>
      <c r="BR495" s="38" t="str">
        <f aca="false">IF(OR(AO495&lt;&gt;1,K495&lt;&gt;"Oui",O495=""),"",IF(AC495="",O495+DORA_H_DET/24,IF(AC495-O495&lt;=DORA_H_DET/24,MIN(AC495+DORA_H_CLA/24,O495+DORA_H_DET/24),AC495+DORA_H_CLA/24)))</f>
        <v/>
      </c>
      <c r="BS495" s="35" t="str">
        <f aca="true">IF(BR495="","",IF(AD495="",IF(NOW()&gt;BR495,0,""),IF(AD495&lt;=BR495,1,0)))</f>
        <v/>
      </c>
      <c r="BT495" s="35" t="str">
        <f aca="true">IF(OR(BR495="",AD495=""),"",IF(AE495="",IF(NOW()&gt;AD495+DORA_H_INT/24,0,""),IF(AE495&lt;=AD495+DORA_H_INT/24,1,0)))</f>
        <v/>
      </c>
      <c r="BU495" s="35" t="str">
        <f aca="true">IF(OR(BR495="",AE495=""),"",IF(AF495="",IF(NOW()&gt;EDATE(AE495,DORA_M_FIN)+1,0,""),IF(AF495&lt;=EDATE(AE495,DORA_M_FIN),1,0)))</f>
        <v/>
      </c>
      <c r="BV495" s="35" t="str">
        <f aca="false">IF(BR495="","",IF(COUNT(BS495:BU495)=0,"",MIN(BS495:BU495)))</f>
        <v/>
      </c>
      <c r="BW495" s="40" t="str">
        <f aca="false">IF(AQ495&lt;&gt;1,"",IF(AND(AG495="",AH495=""),"",N(AG495)-N(AH495)))</f>
        <v/>
      </c>
      <c r="BX495" s="35" t="str">
        <f aca="true">IF(OR(AQ495&lt;&gt;1,AI495&lt;&gt;"Oui",AJ495=""),"",IF(AK495="",IF(NOW()&gt;AJ495+1,0,""),IF(AK495&lt;=AJ495,1,0)))</f>
        <v/>
      </c>
    </row>
    <row r="496" customFormat="false" ht="15" hidden="false" customHeight="false" outlineLevel="0" collapsed="false">
      <c r="B496" s="29"/>
      <c r="C496" s="29"/>
      <c r="D496" s="29"/>
      <c r="E496" s="29"/>
      <c r="F496" s="29"/>
      <c r="G496" s="29"/>
      <c r="H496" s="29"/>
      <c r="I496" s="29"/>
      <c r="J496" s="29"/>
      <c r="K496" s="29"/>
      <c r="L496" s="29"/>
      <c r="M496" s="29"/>
      <c r="N496" s="30"/>
      <c r="O496" s="30"/>
      <c r="P496" s="30"/>
      <c r="Q496" s="30"/>
      <c r="R496" s="30"/>
      <c r="S496" s="30"/>
      <c r="T496" s="30"/>
      <c r="U496" s="30"/>
      <c r="V496" s="31"/>
      <c r="W496" s="29"/>
      <c r="X496" s="29"/>
      <c r="Y496" s="29"/>
      <c r="Z496" s="29"/>
      <c r="AA496" s="30"/>
      <c r="AB496" s="30"/>
      <c r="AC496" s="30"/>
      <c r="AD496" s="30"/>
      <c r="AE496" s="30"/>
      <c r="AF496" s="32"/>
      <c r="AG496" s="33"/>
      <c r="AH496" s="33"/>
      <c r="AI496" s="29"/>
      <c r="AJ496" s="32"/>
      <c r="AK496" s="32"/>
      <c r="AL496" s="29"/>
      <c r="AN496" s="34" t="str">
        <f aca="false">IF($B496="","",IF(OR(C496="",D496="",E496="",G496="",I496="",J496="",L496="",O496="",P496=""),"Champ obligatoire manquant",IF(OR(AND(N496&lt;&gt;"",N496&gt;O496),O496&gt;P496,AND(Q496&lt;&gt;"",Q496&lt;P496),AND(R496&lt;&gt;"",R496&lt;P496),AND(S496&lt;&gt;"",S496&lt;R496),AND(S496&lt;&gt;"",R496=""),AND(T496&lt;&gt;"",T496&lt;O496),AND(U496&lt;&gt;"",U496&lt;O496)),"Chronologie incohérente",IF(AND(OR(L496="Résolu",L496="Clos"),R496=""),"Date de résolution manquante",IF(AND(L496="Clos",S496=""),"Date de clôture manquante",IF(AND(K496="Oui",AC496=""),"Classification DORA manquante","OK"))))))</f>
        <v/>
      </c>
      <c r="AO496" s="35" t="str">
        <f aca="false">IF($B496="","",IF(AND(C496="Incident",L496&lt;&gt;"Annulé"),1,0))</f>
        <v/>
      </c>
      <c r="AP496" s="35" t="str">
        <f aca="false">IF($B496="","",IF(AND(C496="Quasi-incident",L496&lt;&gt;"Annulé"),1,0))</f>
        <v/>
      </c>
      <c r="AQ496" s="35" t="str">
        <f aca="false">IF($B496="","",AO496+AP496)</f>
        <v/>
      </c>
      <c r="AR496" s="36" t="str">
        <f aca="false">IF(OR($B496="",J496=""),"",IFERROR(VALUE(LEFT(J496,1)),""))</f>
        <v/>
      </c>
      <c r="AS496" s="35" t="str">
        <f aca="false">IF(OR(AO496&lt;&gt;1,G496=""),"",IFERROR(IF(INDEX(L_SrcInterne,MATCH(G496,L_Sources,0))="Oui",1,0),""))</f>
        <v/>
      </c>
      <c r="AT496" s="37" t="str">
        <f aca="false">IF(AO496&lt;&gt;1,"",IFERROR(ROUND(IF(OR(N496="",O496=""),"",IF(O496&lt;N496,"",ROUND(((NETWORKDAYS(N496,O496,JoursFeries)-1)*(HFer-HOuv)+IF(NETWORKDAYS(O496,O496,JoursFeries),MEDIAN(MOD(O496,1),HFer,HOuv),HFer)-IF(NETWORKDAYS(N496,N496,JoursFeries),MEDIAN(MOD(N496,1),HFer,HOuv),HOuv))*24,4)))/HJour,4),""))</f>
        <v/>
      </c>
      <c r="AU496" s="37" t="str">
        <f aca="false">IF(AO496&lt;&gt;1,"",IF(OR(O496="",P496=""),"",IF(P496&lt;O496,"",ROUND(((NETWORKDAYS(O496,P496,JoursFeries)-1)*(HFer-HOuv)+IF(NETWORKDAYS(P496,P496,JoursFeries),MEDIAN(MOD(P496,1),HFer,HOuv),HFer)-IF(NETWORKDAYS(O496,O496,JoursFeries),MEDIAN(MOD(O496,1),HFer,HOuv),HOuv))*24,4))))</f>
        <v/>
      </c>
      <c r="AV496" s="37" t="str">
        <f aca="false">IF(AO496&lt;&gt;1,"",IF(OR(P496="",Q496=""),"",IF(Q496&lt;P496,"",ROUND(((NETWORKDAYS(P496,Q496,JoursFeries)-1)*(HFer-HOuv)+IF(NETWORKDAYS(Q496,Q496,JoursFeries),MEDIAN(MOD(Q496,1),HFer,HOuv),HFer)-IF(NETWORKDAYS(P496,P496,JoursFeries),MEDIAN(MOD(P496,1),HFer,HOuv),HOuv))*24,4))))</f>
        <v/>
      </c>
      <c r="AW496" s="37" t="str">
        <f aca="false">IF(AO496&lt;&gt;1,"",IFERROR(ROUND(IF(OR(P496="",R496=""),"",IF(R496&lt;P496,"",ROUND(((NETWORKDAYS(P496,R496,JoursFeries)-1)*(HFer-HOuv)+IF(NETWORKDAYS(R496,R496,JoursFeries),MEDIAN(MOD(R496,1),HFer,HOuv),HFer)-IF(NETWORKDAYS(P496,P496,JoursFeries),MEDIAN(MOD(P496,1),HFer,HOuv),HOuv))*24,4)))/HJour,4),""))</f>
        <v/>
      </c>
      <c r="AX496" s="37" t="str">
        <f aca="false">IF(AO496&lt;&gt;1,"",IFERROR(ROUND(IF(OR(P496="",S496=""),"",IF(S496&lt;P496,"",ROUND(((NETWORKDAYS(P496,S496,JoursFeries)-1)*(HFer-HOuv)+IF(NETWORKDAYS(S496,S496,JoursFeries),MEDIAN(MOD(S496,1),HFer,HOuv),HFer)-IF(NETWORKDAYS(P496,P496,JoursFeries),MEDIAN(MOD(P496,1),HFer,HOuv),HOuv))*24,4)))/HJour,4),""))</f>
        <v/>
      </c>
      <c r="AY496" s="36" t="str">
        <f aca="false">IF(OR(AO496&lt;&gt;1,AR496=""),"",INDEX(SLA_PEC,AR496))</f>
        <v/>
      </c>
      <c r="AZ496" s="35" t="str">
        <f aca="false">IF(OR(AV496="",AY496=""),"",IF(AV496&lt;=AY496,1,0))</f>
        <v/>
      </c>
      <c r="BA496" s="36" t="str">
        <f aca="false">IF(OR(AO496&lt;&gt;1,AR496=""),"",INDEX(SLA_RES,AR496))</f>
        <v/>
      </c>
      <c r="BB496" s="35" t="str">
        <f aca="false">IF(OR(AW496="",BA496=""),"",IF(AW496&lt;=BA496,1,0))</f>
        <v/>
      </c>
      <c r="BC496" s="38" t="str">
        <f aca="false">IF(OR(BA496="",P496=""),"",WORKDAY(INT(P496),BA496,JoursFeries)+MOD(P496,1))</f>
        <v/>
      </c>
      <c r="BD496" s="39" t="str">
        <f aca="false">IF(AO496&lt;&gt;1,"",IF(OR(AB496&lt;&gt;"",AD496&lt;&gt;""),4,IF(U496&lt;&gt;"",3,IF(T496&lt;&gt;"",2,1))))</f>
        <v/>
      </c>
      <c r="BE496" s="39" t="str">
        <f aca="false">IF(OR(AO496&lt;&gt;1,AR496=""),"",INDEX(NIV_REQ,AR496))</f>
        <v/>
      </c>
      <c r="BF496" s="39" t="str">
        <f aca="false">IF(BE496="","",MAX(BE496,IF(OR(K496="Oui",Z496="Oui"),4,1)))</f>
        <v/>
      </c>
      <c r="BG496" s="35" t="str">
        <f aca="false">IF(OR(BF496="",BD496=""),"",IF(BD496&gt;=BF496,1,0))</f>
        <v/>
      </c>
      <c r="BH496" s="38" t="str">
        <f aca="false">IF(BE496="","",IF(BE496&lt;2,"",IF(BE496=2,IF(AND(T496="",U496=""),"",MIN(T496,U496)),IF(U496="","",U496))))</f>
        <v/>
      </c>
      <c r="BI496" s="37" t="str">
        <f aca="false">IF(BH496="","",IF(OR(O496="",BH496=""),"",IF(BH496&lt;O496,"",ROUND(((NETWORKDAYS(O496,BH496,JoursFeries)-1)*(HFer-HOuv)+IF(NETWORKDAYS(BH496,BH496,JoursFeries),MEDIAN(MOD(BH496,1),HFer,HOuv),HFer)-IF(NETWORKDAYS(O496,O496,JoursFeries),MEDIAN(MOD(O496,1),HFer,HOuv),HOuv))*24,4))))</f>
        <v/>
      </c>
      <c r="BJ496" s="35" t="str">
        <f aca="false">IF(OR(BI496="",AR496=""),"",IF(BI496&lt;=INDEX(DELAI_ESC,AR496),1,0))</f>
        <v/>
      </c>
      <c r="BK496" s="38" t="str">
        <f aca="false">IF(AO496&lt;&gt;1,"",IF(AND(T496="",U496=""),"",MIN(T496,U496)))</f>
        <v/>
      </c>
      <c r="BL496" s="37" t="str">
        <f aca="false">IF(OR(BK496="",R496=""),"",IFERROR(ROUND(IF(OR(BK496="",R496=""),"",IF(R496&lt;BK496,"",ROUND(((NETWORKDAYS(BK496,R496,JoursFeries)-1)*(HFer-HOuv)+IF(NETWORKDAYS(R496,R496,JoursFeries),MEDIAN(MOD(R496,1),HFer,HOuv),HFer)-IF(NETWORKDAYS(BK496,BK496,JoursFeries),MEDIAN(MOD(BK496,1),HFer,HOuv),HOuv))*24,4)))/HJour,4),""))</f>
        <v/>
      </c>
      <c r="BM496" s="35" t="str">
        <f aca="false">IF(OR(AO496&lt;&gt;1,R496=""),"",IF(BD496=1,1,0))</f>
        <v/>
      </c>
      <c r="BN496" s="35" t="str">
        <f aca="false">IF(AO496&lt;&gt;1,"",IF(W496="Oui",1,0))</f>
        <v/>
      </c>
      <c r="BO496" s="35" t="str">
        <f aca="false">IF(AO496&lt;&gt;1,"",IF(X496&lt;&gt;"",1,0))</f>
        <v/>
      </c>
      <c r="BP496" s="35" t="str">
        <f aca="false">IF(AO496&lt;&gt;1,"",IF(Y496="Oui",1,0))</f>
        <v/>
      </c>
      <c r="BQ496" s="35" t="str">
        <f aca="true">IF(OR(AO496&lt;&gt;1,Z496&lt;&gt;"Oui"),"",IF(AB496="",IF(AND(AA496&lt;&gt;"",NOW()&gt;AA496),0,""),IF(AA496="","",IF(AB496&lt;=AA496,1,0))))</f>
        <v/>
      </c>
      <c r="BR496" s="38" t="str">
        <f aca="false">IF(OR(AO496&lt;&gt;1,K496&lt;&gt;"Oui",O496=""),"",IF(AC496="",O496+DORA_H_DET/24,IF(AC496-O496&lt;=DORA_H_DET/24,MIN(AC496+DORA_H_CLA/24,O496+DORA_H_DET/24),AC496+DORA_H_CLA/24)))</f>
        <v/>
      </c>
      <c r="BS496" s="35" t="str">
        <f aca="true">IF(BR496="","",IF(AD496="",IF(NOW()&gt;BR496,0,""),IF(AD496&lt;=BR496,1,0)))</f>
        <v/>
      </c>
      <c r="BT496" s="35" t="str">
        <f aca="true">IF(OR(BR496="",AD496=""),"",IF(AE496="",IF(NOW()&gt;AD496+DORA_H_INT/24,0,""),IF(AE496&lt;=AD496+DORA_H_INT/24,1,0)))</f>
        <v/>
      </c>
      <c r="BU496" s="35" t="str">
        <f aca="true">IF(OR(BR496="",AE496=""),"",IF(AF496="",IF(NOW()&gt;EDATE(AE496,DORA_M_FIN)+1,0,""),IF(AF496&lt;=EDATE(AE496,DORA_M_FIN),1,0)))</f>
        <v/>
      </c>
      <c r="BV496" s="35" t="str">
        <f aca="false">IF(BR496="","",IF(COUNT(BS496:BU496)=0,"",MIN(BS496:BU496)))</f>
        <v/>
      </c>
      <c r="BW496" s="40" t="str">
        <f aca="false">IF(AQ496&lt;&gt;1,"",IF(AND(AG496="",AH496=""),"",N(AG496)-N(AH496)))</f>
        <v/>
      </c>
      <c r="BX496" s="35" t="str">
        <f aca="true">IF(OR(AQ496&lt;&gt;1,AI496&lt;&gt;"Oui",AJ496=""),"",IF(AK496="",IF(NOW()&gt;AJ496+1,0,""),IF(AK496&lt;=AJ496,1,0)))</f>
        <v/>
      </c>
    </row>
    <row r="497" customFormat="false" ht="15" hidden="false" customHeight="false" outlineLevel="0" collapsed="false">
      <c r="B497" s="29"/>
      <c r="C497" s="29"/>
      <c r="D497" s="29"/>
      <c r="E497" s="29"/>
      <c r="F497" s="29"/>
      <c r="G497" s="29"/>
      <c r="H497" s="29"/>
      <c r="I497" s="29"/>
      <c r="J497" s="29"/>
      <c r="K497" s="29"/>
      <c r="L497" s="29"/>
      <c r="M497" s="29"/>
      <c r="N497" s="30"/>
      <c r="O497" s="30"/>
      <c r="P497" s="30"/>
      <c r="Q497" s="30"/>
      <c r="R497" s="30"/>
      <c r="S497" s="30"/>
      <c r="T497" s="30"/>
      <c r="U497" s="30"/>
      <c r="V497" s="31"/>
      <c r="W497" s="29"/>
      <c r="X497" s="29"/>
      <c r="Y497" s="29"/>
      <c r="Z497" s="29"/>
      <c r="AA497" s="30"/>
      <c r="AB497" s="30"/>
      <c r="AC497" s="30"/>
      <c r="AD497" s="30"/>
      <c r="AE497" s="30"/>
      <c r="AF497" s="32"/>
      <c r="AG497" s="33"/>
      <c r="AH497" s="33"/>
      <c r="AI497" s="29"/>
      <c r="AJ497" s="32"/>
      <c r="AK497" s="32"/>
      <c r="AL497" s="29"/>
      <c r="AN497" s="34" t="str">
        <f aca="false">IF($B497="","",IF(OR(C497="",D497="",E497="",G497="",I497="",J497="",L497="",O497="",P497=""),"Champ obligatoire manquant",IF(OR(AND(N497&lt;&gt;"",N497&gt;O497),O497&gt;P497,AND(Q497&lt;&gt;"",Q497&lt;P497),AND(R497&lt;&gt;"",R497&lt;P497),AND(S497&lt;&gt;"",S497&lt;R497),AND(S497&lt;&gt;"",R497=""),AND(T497&lt;&gt;"",T497&lt;O497),AND(U497&lt;&gt;"",U497&lt;O497)),"Chronologie incohérente",IF(AND(OR(L497="Résolu",L497="Clos"),R497=""),"Date de résolution manquante",IF(AND(L497="Clos",S497=""),"Date de clôture manquante",IF(AND(K497="Oui",AC497=""),"Classification DORA manquante","OK"))))))</f>
        <v/>
      </c>
      <c r="AO497" s="35" t="str">
        <f aca="false">IF($B497="","",IF(AND(C497="Incident",L497&lt;&gt;"Annulé"),1,0))</f>
        <v/>
      </c>
      <c r="AP497" s="35" t="str">
        <f aca="false">IF($B497="","",IF(AND(C497="Quasi-incident",L497&lt;&gt;"Annulé"),1,0))</f>
        <v/>
      </c>
      <c r="AQ497" s="35" t="str">
        <f aca="false">IF($B497="","",AO497+AP497)</f>
        <v/>
      </c>
      <c r="AR497" s="36" t="str">
        <f aca="false">IF(OR($B497="",J497=""),"",IFERROR(VALUE(LEFT(J497,1)),""))</f>
        <v/>
      </c>
      <c r="AS497" s="35" t="str">
        <f aca="false">IF(OR(AO497&lt;&gt;1,G497=""),"",IFERROR(IF(INDEX(L_SrcInterne,MATCH(G497,L_Sources,0))="Oui",1,0),""))</f>
        <v/>
      </c>
      <c r="AT497" s="37" t="str">
        <f aca="false">IF(AO497&lt;&gt;1,"",IFERROR(ROUND(IF(OR(N497="",O497=""),"",IF(O497&lt;N497,"",ROUND(((NETWORKDAYS(N497,O497,JoursFeries)-1)*(HFer-HOuv)+IF(NETWORKDAYS(O497,O497,JoursFeries),MEDIAN(MOD(O497,1),HFer,HOuv),HFer)-IF(NETWORKDAYS(N497,N497,JoursFeries),MEDIAN(MOD(N497,1),HFer,HOuv),HOuv))*24,4)))/HJour,4),""))</f>
        <v/>
      </c>
      <c r="AU497" s="37" t="str">
        <f aca="false">IF(AO497&lt;&gt;1,"",IF(OR(O497="",P497=""),"",IF(P497&lt;O497,"",ROUND(((NETWORKDAYS(O497,P497,JoursFeries)-1)*(HFer-HOuv)+IF(NETWORKDAYS(P497,P497,JoursFeries),MEDIAN(MOD(P497,1),HFer,HOuv),HFer)-IF(NETWORKDAYS(O497,O497,JoursFeries),MEDIAN(MOD(O497,1),HFer,HOuv),HOuv))*24,4))))</f>
        <v/>
      </c>
      <c r="AV497" s="37" t="str">
        <f aca="false">IF(AO497&lt;&gt;1,"",IF(OR(P497="",Q497=""),"",IF(Q497&lt;P497,"",ROUND(((NETWORKDAYS(P497,Q497,JoursFeries)-1)*(HFer-HOuv)+IF(NETWORKDAYS(Q497,Q497,JoursFeries),MEDIAN(MOD(Q497,1),HFer,HOuv),HFer)-IF(NETWORKDAYS(P497,P497,JoursFeries),MEDIAN(MOD(P497,1),HFer,HOuv),HOuv))*24,4))))</f>
        <v/>
      </c>
      <c r="AW497" s="37" t="str">
        <f aca="false">IF(AO497&lt;&gt;1,"",IFERROR(ROUND(IF(OR(P497="",R497=""),"",IF(R497&lt;P497,"",ROUND(((NETWORKDAYS(P497,R497,JoursFeries)-1)*(HFer-HOuv)+IF(NETWORKDAYS(R497,R497,JoursFeries),MEDIAN(MOD(R497,1),HFer,HOuv),HFer)-IF(NETWORKDAYS(P497,P497,JoursFeries),MEDIAN(MOD(P497,1),HFer,HOuv),HOuv))*24,4)))/HJour,4),""))</f>
        <v/>
      </c>
      <c r="AX497" s="37" t="str">
        <f aca="false">IF(AO497&lt;&gt;1,"",IFERROR(ROUND(IF(OR(P497="",S497=""),"",IF(S497&lt;P497,"",ROUND(((NETWORKDAYS(P497,S497,JoursFeries)-1)*(HFer-HOuv)+IF(NETWORKDAYS(S497,S497,JoursFeries),MEDIAN(MOD(S497,1),HFer,HOuv),HFer)-IF(NETWORKDAYS(P497,P497,JoursFeries),MEDIAN(MOD(P497,1),HFer,HOuv),HOuv))*24,4)))/HJour,4),""))</f>
        <v/>
      </c>
      <c r="AY497" s="36" t="str">
        <f aca="false">IF(OR(AO497&lt;&gt;1,AR497=""),"",INDEX(SLA_PEC,AR497))</f>
        <v/>
      </c>
      <c r="AZ497" s="35" t="str">
        <f aca="false">IF(OR(AV497="",AY497=""),"",IF(AV497&lt;=AY497,1,0))</f>
        <v/>
      </c>
      <c r="BA497" s="36" t="str">
        <f aca="false">IF(OR(AO497&lt;&gt;1,AR497=""),"",INDEX(SLA_RES,AR497))</f>
        <v/>
      </c>
      <c r="BB497" s="35" t="str">
        <f aca="false">IF(OR(AW497="",BA497=""),"",IF(AW497&lt;=BA497,1,0))</f>
        <v/>
      </c>
      <c r="BC497" s="38" t="str">
        <f aca="false">IF(OR(BA497="",P497=""),"",WORKDAY(INT(P497),BA497,JoursFeries)+MOD(P497,1))</f>
        <v/>
      </c>
      <c r="BD497" s="39" t="str">
        <f aca="false">IF(AO497&lt;&gt;1,"",IF(OR(AB497&lt;&gt;"",AD497&lt;&gt;""),4,IF(U497&lt;&gt;"",3,IF(T497&lt;&gt;"",2,1))))</f>
        <v/>
      </c>
      <c r="BE497" s="39" t="str">
        <f aca="false">IF(OR(AO497&lt;&gt;1,AR497=""),"",INDEX(NIV_REQ,AR497))</f>
        <v/>
      </c>
      <c r="BF497" s="39" t="str">
        <f aca="false">IF(BE497="","",MAX(BE497,IF(OR(K497="Oui",Z497="Oui"),4,1)))</f>
        <v/>
      </c>
      <c r="BG497" s="35" t="str">
        <f aca="false">IF(OR(BF497="",BD497=""),"",IF(BD497&gt;=BF497,1,0))</f>
        <v/>
      </c>
      <c r="BH497" s="38" t="str">
        <f aca="false">IF(BE497="","",IF(BE497&lt;2,"",IF(BE497=2,IF(AND(T497="",U497=""),"",MIN(T497,U497)),IF(U497="","",U497))))</f>
        <v/>
      </c>
      <c r="BI497" s="37" t="str">
        <f aca="false">IF(BH497="","",IF(OR(O497="",BH497=""),"",IF(BH497&lt;O497,"",ROUND(((NETWORKDAYS(O497,BH497,JoursFeries)-1)*(HFer-HOuv)+IF(NETWORKDAYS(BH497,BH497,JoursFeries),MEDIAN(MOD(BH497,1),HFer,HOuv),HFer)-IF(NETWORKDAYS(O497,O497,JoursFeries),MEDIAN(MOD(O497,1),HFer,HOuv),HOuv))*24,4))))</f>
        <v/>
      </c>
      <c r="BJ497" s="35" t="str">
        <f aca="false">IF(OR(BI497="",AR497=""),"",IF(BI497&lt;=INDEX(DELAI_ESC,AR497),1,0))</f>
        <v/>
      </c>
      <c r="BK497" s="38" t="str">
        <f aca="false">IF(AO497&lt;&gt;1,"",IF(AND(T497="",U497=""),"",MIN(T497,U497)))</f>
        <v/>
      </c>
      <c r="BL497" s="37" t="str">
        <f aca="false">IF(OR(BK497="",R497=""),"",IFERROR(ROUND(IF(OR(BK497="",R497=""),"",IF(R497&lt;BK497,"",ROUND(((NETWORKDAYS(BK497,R497,JoursFeries)-1)*(HFer-HOuv)+IF(NETWORKDAYS(R497,R497,JoursFeries),MEDIAN(MOD(R497,1),HFer,HOuv),HFer)-IF(NETWORKDAYS(BK497,BK497,JoursFeries),MEDIAN(MOD(BK497,1),HFer,HOuv),HOuv))*24,4)))/HJour,4),""))</f>
        <v/>
      </c>
      <c r="BM497" s="35" t="str">
        <f aca="false">IF(OR(AO497&lt;&gt;1,R497=""),"",IF(BD497=1,1,0))</f>
        <v/>
      </c>
      <c r="BN497" s="35" t="str">
        <f aca="false">IF(AO497&lt;&gt;1,"",IF(W497="Oui",1,0))</f>
        <v/>
      </c>
      <c r="BO497" s="35" t="str">
        <f aca="false">IF(AO497&lt;&gt;1,"",IF(X497&lt;&gt;"",1,0))</f>
        <v/>
      </c>
      <c r="BP497" s="35" t="str">
        <f aca="false">IF(AO497&lt;&gt;1,"",IF(Y497="Oui",1,0))</f>
        <v/>
      </c>
      <c r="BQ497" s="35" t="str">
        <f aca="true">IF(OR(AO497&lt;&gt;1,Z497&lt;&gt;"Oui"),"",IF(AB497="",IF(AND(AA497&lt;&gt;"",NOW()&gt;AA497),0,""),IF(AA497="","",IF(AB497&lt;=AA497,1,0))))</f>
        <v/>
      </c>
      <c r="BR497" s="38" t="str">
        <f aca="false">IF(OR(AO497&lt;&gt;1,K497&lt;&gt;"Oui",O497=""),"",IF(AC497="",O497+DORA_H_DET/24,IF(AC497-O497&lt;=DORA_H_DET/24,MIN(AC497+DORA_H_CLA/24,O497+DORA_H_DET/24),AC497+DORA_H_CLA/24)))</f>
        <v/>
      </c>
      <c r="BS497" s="35" t="str">
        <f aca="true">IF(BR497="","",IF(AD497="",IF(NOW()&gt;BR497,0,""),IF(AD497&lt;=BR497,1,0)))</f>
        <v/>
      </c>
      <c r="BT497" s="35" t="str">
        <f aca="true">IF(OR(BR497="",AD497=""),"",IF(AE497="",IF(NOW()&gt;AD497+DORA_H_INT/24,0,""),IF(AE497&lt;=AD497+DORA_H_INT/24,1,0)))</f>
        <v/>
      </c>
      <c r="BU497" s="35" t="str">
        <f aca="true">IF(OR(BR497="",AE497=""),"",IF(AF497="",IF(NOW()&gt;EDATE(AE497,DORA_M_FIN)+1,0,""),IF(AF497&lt;=EDATE(AE497,DORA_M_FIN),1,0)))</f>
        <v/>
      </c>
      <c r="BV497" s="35" t="str">
        <f aca="false">IF(BR497="","",IF(COUNT(BS497:BU497)=0,"",MIN(BS497:BU497)))</f>
        <v/>
      </c>
      <c r="BW497" s="40" t="str">
        <f aca="false">IF(AQ497&lt;&gt;1,"",IF(AND(AG497="",AH497=""),"",N(AG497)-N(AH497)))</f>
        <v/>
      </c>
      <c r="BX497" s="35" t="str">
        <f aca="true">IF(OR(AQ497&lt;&gt;1,AI497&lt;&gt;"Oui",AJ497=""),"",IF(AK497="",IF(NOW()&gt;AJ497+1,0,""),IF(AK497&lt;=AJ497,1,0)))</f>
        <v/>
      </c>
    </row>
    <row r="498" customFormat="false" ht="15" hidden="false" customHeight="false" outlineLevel="0" collapsed="false">
      <c r="B498" s="29"/>
      <c r="C498" s="29"/>
      <c r="D498" s="29"/>
      <c r="E498" s="29"/>
      <c r="F498" s="29"/>
      <c r="G498" s="29"/>
      <c r="H498" s="29"/>
      <c r="I498" s="29"/>
      <c r="J498" s="29"/>
      <c r="K498" s="29"/>
      <c r="L498" s="29"/>
      <c r="M498" s="29"/>
      <c r="N498" s="30"/>
      <c r="O498" s="30"/>
      <c r="P498" s="30"/>
      <c r="Q498" s="30"/>
      <c r="R498" s="30"/>
      <c r="S498" s="30"/>
      <c r="T498" s="30"/>
      <c r="U498" s="30"/>
      <c r="V498" s="31"/>
      <c r="W498" s="29"/>
      <c r="X498" s="29"/>
      <c r="Y498" s="29"/>
      <c r="Z498" s="29"/>
      <c r="AA498" s="30"/>
      <c r="AB498" s="30"/>
      <c r="AC498" s="30"/>
      <c r="AD498" s="30"/>
      <c r="AE498" s="30"/>
      <c r="AF498" s="32"/>
      <c r="AG498" s="33"/>
      <c r="AH498" s="33"/>
      <c r="AI498" s="29"/>
      <c r="AJ498" s="32"/>
      <c r="AK498" s="32"/>
      <c r="AL498" s="29"/>
      <c r="AN498" s="34" t="str">
        <f aca="false">IF($B498="","",IF(OR(C498="",D498="",E498="",G498="",I498="",J498="",L498="",O498="",P498=""),"Champ obligatoire manquant",IF(OR(AND(N498&lt;&gt;"",N498&gt;O498),O498&gt;P498,AND(Q498&lt;&gt;"",Q498&lt;P498),AND(R498&lt;&gt;"",R498&lt;P498),AND(S498&lt;&gt;"",S498&lt;R498),AND(S498&lt;&gt;"",R498=""),AND(T498&lt;&gt;"",T498&lt;O498),AND(U498&lt;&gt;"",U498&lt;O498)),"Chronologie incohérente",IF(AND(OR(L498="Résolu",L498="Clos"),R498=""),"Date de résolution manquante",IF(AND(L498="Clos",S498=""),"Date de clôture manquante",IF(AND(K498="Oui",AC498=""),"Classification DORA manquante","OK"))))))</f>
        <v/>
      </c>
      <c r="AO498" s="35" t="str">
        <f aca="false">IF($B498="","",IF(AND(C498="Incident",L498&lt;&gt;"Annulé"),1,0))</f>
        <v/>
      </c>
      <c r="AP498" s="35" t="str">
        <f aca="false">IF($B498="","",IF(AND(C498="Quasi-incident",L498&lt;&gt;"Annulé"),1,0))</f>
        <v/>
      </c>
      <c r="AQ498" s="35" t="str">
        <f aca="false">IF($B498="","",AO498+AP498)</f>
        <v/>
      </c>
      <c r="AR498" s="36" t="str">
        <f aca="false">IF(OR($B498="",J498=""),"",IFERROR(VALUE(LEFT(J498,1)),""))</f>
        <v/>
      </c>
      <c r="AS498" s="35" t="str">
        <f aca="false">IF(OR(AO498&lt;&gt;1,G498=""),"",IFERROR(IF(INDEX(L_SrcInterne,MATCH(G498,L_Sources,0))="Oui",1,0),""))</f>
        <v/>
      </c>
      <c r="AT498" s="37" t="str">
        <f aca="false">IF(AO498&lt;&gt;1,"",IFERROR(ROUND(IF(OR(N498="",O498=""),"",IF(O498&lt;N498,"",ROUND(((NETWORKDAYS(N498,O498,JoursFeries)-1)*(HFer-HOuv)+IF(NETWORKDAYS(O498,O498,JoursFeries),MEDIAN(MOD(O498,1),HFer,HOuv),HFer)-IF(NETWORKDAYS(N498,N498,JoursFeries),MEDIAN(MOD(N498,1),HFer,HOuv),HOuv))*24,4)))/HJour,4),""))</f>
        <v/>
      </c>
      <c r="AU498" s="37" t="str">
        <f aca="false">IF(AO498&lt;&gt;1,"",IF(OR(O498="",P498=""),"",IF(P498&lt;O498,"",ROUND(((NETWORKDAYS(O498,P498,JoursFeries)-1)*(HFer-HOuv)+IF(NETWORKDAYS(P498,P498,JoursFeries),MEDIAN(MOD(P498,1),HFer,HOuv),HFer)-IF(NETWORKDAYS(O498,O498,JoursFeries),MEDIAN(MOD(O498,1),HFer,HOuv),HOuv))*24,4))))</f>
        <v/>
      </c>
      <c r="AV498" s="37" t="str">
        <f aca="false">IF(AO498&lt;&gt;1,"",IF(OR(P498="",Q498=""),"",IF(Q498&lt;P498,"",ROUND(((NETWORKDAYS(P498,Q498,JoursFeries)-1)*(HFer-HOuv)+IF(NETWORKDAYS(Q498,Q498,JoursFeries),MEDIAN(MOD(Q498,1),HFer,HOuv),HFer)-IF(NETWORKDAYS(P498,P498,JoursFeries),MEDIAN(MOD(P498,1),HFer,HOuv),HOuv))*24,4))))</f>
        <v/>
      </c>
      <c r="AW498" s="37" t="str">
        <f aca="false">IF(AO498&lt;&gt;1,"",IFERROR(ROUND(IF(OR(P498="",R498=""),"",IF(R498&lt;P498,"",ROUND(((NETWORKDAYS(P498,R498,JoursFeries)-1)*(HFer-HOuv)+IF(NETWORKDAYS(R498,R498,JoursFeries),MEDIAN(MOD(R498,1),HFer,HOuv),HFer)-IF(NETWORKDAYS(P498,P498,JoursFeries),MEDIAN(MOD(P498,1),HFer,HOuv),HOuv))*24,4)))/HJour,4),""))</f>
        <v/>
      </c>
      <c r="AX498" s="37" t="str">
        <f aca="false">IF(AO498&lt;&gt;1,"",IFERROR(ROUND(IF(OR(P498="",S498=""),"",IF(S498&lt;P498,"",ROUND(((NETWORKDAYS(P498,S498,JoursFeries)-1)*(HFer-HOuv)+IF(NETWORKDAYS(S498,S498,JoursFeries),MEDIAN(MOD(S498,1),HFer,HOuv),HFer)-IF(NETWORKDAYS(P498,P498,JoursFeries),MEDIAN(MOD(P498,1),HFer,HOuv),HOuv))*24,4)))/HJour,4),""))</f>
        <v/>
      </c>
      <c r="AY498" s="36" t="str">
        <f aca="false">IF(OR(AO498&lt;&gt;1,AR498=""),"",INDEX(SLA_PEC,AR498))</f>
        <v/>
      </c>
      <c r="AZ498" s="35" t="str">
        <f aca="false">IF(OR(AV498="",AY498=""),"",IF(AV498&lt;=AY498,1,0))</f>
        <v/>
      </c>
      <c r="BA498" s="36" t="str">
        <f aca="false">IF(OR(AO498&lt;&gt;1,AR498=""),"",INDEX(SLA_RES,AR498))</f>
        <v/>
      </c>
      <c r="BB498" s="35" t="str">
        <f aca="false">IF(OR(AW498="",BA498=""),"",IF(AW498&lt;=BA498,1,0))</f>
        <v/>
      </c>
      <c r="BC498" s="38" t="str">
        <f aca="false">IF(OR(BA498="",P498=""),"",WORKDAY(INT(P498),BA498,JoursFeries)+MOD(P498,1))</f>
        <v/>
      </c>
      <c r="BD498" s="39" t="str">
        <f aca="false">IF(AO498&lt;&gt;1,"",IF(OR(AB498&lt;&gt;"",AD498&lt;&gt;""),4,IF(U498&lt;&gt;"",3,IF(T498&lt;&gt;"",2,1))))</f>
        <v/>
      </c>
      <c r="BE498" s="39" t="str">
        <f aca="false">IF(OR(AO498&lt;&gt;1,AR498=""),"",INDEX(NIV_REQ,AR498))</f>
        <v/>
      </c>
      <c r="BF498" s="39" t="str">
        <f aca="false">IF(BE498="","",MAX(BE498,IF(OR(K498="Oui",Z498="Oui"),4,1)))</f>
        <v/>
      </c>
      <c r="BG498" s="35" t="str">
        <f aca="false">IF(OR(BF498="",BD498=""),"",IF(BD498&gt;=BF498,1,0))</f>
        <v/>
      </c>
      <c r="BH498" s="38" t="str">
        <f aca="false">IF(BE498="","",IF(BE498&lt;2,"",IF(BE498=2,IF(AND(T498="",U498=""),"",MIN(T498,U498)),IF(U498="","",U498))))</f>
        <v/>
      </c>
      <c r="BI498" s="37" t="str">
        <f aca="false">IF(BH498="","",IF(OR(O498="",BH498=""),"",IF(BH498&lt;O498,"",ROUND(((NETWORKDAYS(O498,BH498,JoursFeries)-1)*(HFer-HOuv)+IF(NETWORKDAYS(BH498,BH498,JoursFeries),MEDIAN(MOD(BH498,1),HFer,HOuv),HFer)-IF(NETWORKDAYS(O498,O498,JoursFeries),MEDIAN(MOD(O498,1),HFer,HOuv),HOuv))*24,4))))</f>
        <v/>
      </c>
      <c r="BJ498" s="35" t="str">
        <f aca="false">IF(OR(BI498="",AR498=""),"",IF(BI498&lt;=INDEX(DELAI_ESC,AR498),1,0))</f>
        <v/>
      </c>
      <c r="BK498" s="38" t="str">
        <f aca="false">IF(AO498&lt;&gt;1,"",IF(AND(T498="",U498=""),"",MIN(T498,U498)))</f>
        <v/>
      </c>
      <c r="BL498" s="37" t="str">
        <f aca="false">IF(OR(BK498="",R498=""),"",IFERROR(ROUND(IF(OR(BK498="",R498=""),"",IF(R498&lt;BK498,"",ROUND(((NETWORKDAYS(BK498,R498,JoursFeries)-1)*(HFer-HOuv)+IF(NETWORKDAYS(R498,R498,JoursFeries),MEDIAN(MOD(R498,1),HFer,HOuv),HFer)-IF(NETWORKDAYS(BK498,BK498,JoursFeries),MEDIAN(MOD(BK498,1),HFer,HOuv),HOuv))*24,4)))/HJour,4),""))</f>
        <v/>
      </c>
      <c r="BM498" s="35" t="str">
        <f aca="false">IF(OR(AO498&lt;&gt;1,R498=""),"",IF(BD498=1,1,0))</f>
        <v/>
      </c>
      <c r="BN498" s="35" t="str">
        <f aca="false">IF(AO498&lt;&gt;1,"",IF(W498="Oui",1,0))</f>
        <v/>
      </c>
      <c r="BO498" s="35" t="str">
        <f aca="false">IF(AO498&lt;&gt;1,"",IF(X498&lt;&gt;"",1,0))</f>
        <v/>
      </c>
      <c r="BP498" s="35" t="str">
        <f aca="false">IF(AO498&lt;&gt;1,"",IF(Y498="Oui",1,0))</f>
        <v/>
      </c>
      <c r="BQ498" s="35" t="str">
        <f aca="true">IF(OR(AO498&lt;&gt;1,Z498&lt;&gt;"Oui"),"",IF(AB498="",IF(AND(AA498&lt;&gt;"",NOW()&gt;AA498),0,""),IF(AA498="","",IF(AB498&lt;=AA498,1,0))))</f>
        <v/>
      </c>
      <c r="BR498" s="38" t="str">
        <f aca="false">IF(OR(AO498&lt;&gt;1,K498&lt;&gt;"Oui",O498=""),"",IF(AC498="",O498+DORA_H_DET/24,IF(AC498-O498&lt;=DORA_H_DET/24,MIN(AC498+DORA_H_CLA/24,O498+DORA_H_DET/24),AC498+DORA_H_CLA/24)))</f>
        <v/>
      </c>
      <c r="BS498" s="35" t="str">
        <f aca="true">IF(BR498="","",IF(AD498="",IF(NOW()&gt;BR498,0,""),IF(AD498&lt;=BR498,1,0)))</f>
        <v/>
      </c>
      <c r="BT498" s="35" t="str">
        <f aca="true">IF(OR(BR498="",AD498=""),"",IF(AE498="",IF(NOW()&gt;AD498+DORA_H_INT/24,0,""),IF(AE498&lt;=AD498+DORA_H_INT/24,1,0)))</f>
        <v/>
      </c>
      <c r="BU498" s="35" t="str">
        <f aca="true">IF(OR(BR498="",AE498=""),"",IF(AF498="",IF(NOW()&gt;EDATE(AE498,DORA_M_FIN)+1,0,""),IF(AF498&lt;=EDATE(AE498,DORA_M_FIN),1,0)))</f>
        <v/>
      </c>
      <c r="BV498" s="35" t="str">
        <f aca="false">IF(BR498="","",IF(COUNT(BS498:BU498)=0,"",MIN(BS498:BU498)))</f>
        <v/>
      </c>
      <c r="BW498" s="40" t="str">
        <f aca="false">IF(AQ498&lt;&gt;1,"",IF(AND(AG498="",AH498=""),"",N(AG498)-N(AH498)))</f>
        <v/>
      </c>
      <c r="BX498" s="35" t="str">
        <f aca="true">IF(OR(AQ498&lt;&gt;1,AI498&lt;&gt;"Oui",AJ498=""),"",IF(AK498="",IF(NOW()&gt;AJ498+1,0,""),IF(AK498&lt;=AJ498,1,0)))</f>
        <v/>
      </c>
    </row>
    <row r="499" customFormat="false" ht="15" hidden="false" customHeight="false" outlineLevel="0" collapsed="false">
      <c r="B499" s="29"/>
      <c r="C499" s="29"/>
      <c r="D499" s="29"/>
      <c r="E499" s="29"/>
      <c r="F499" s="29"/>
      <c r="G499" s="29"/>
      <c r="H499" s="29"/>
      <c r="I499" s="29"/>
      <c r="J499" s="29"/>
      <c r="K499" s="29"/>
      <c r="L499" s="29"/>
      <c r="M499" s="29"/>
      <c r="N499" s="30"/>
      <c r="O499" s="30"/>
      <c r="P499" s="30"/>
      <c r="Q499" s="30"/>
      <c r="R499" s="30"/>
      <c r="S499" s="30"/>
      <c r="T499" s="30"/>
      <c r="U499" s="30"/>
      <c r="V499" s="31"/>
      <c r="W499" s="29"/>
      <c r="X499" s="29"/>
      <c r="Y499" s="29"/>
      <c r="Z499" s="29"/>
      <c r="AA499" s="30"/>
      <c r="AB499" s="30"/>
      <c r="AC499" s="30"/>
      <c r="AD499" s="30"/>
      <c r="AE499" s="30"/>
      <c r="AF499" s="32"/>
      <c r="AG499" s="33"/>
      <c r="AH499" s="33"/>
      <c r="AI499" s="29"/>
      <c r="AJ499" s="32"/>
      <c r="AK499" s="32"/>
      <c r="AL499" s="29"/>
      <c r="AN499" s="34" t="str">
        <f aca="false">IF($B499="","",IF(OR(C499="",D499="",E499="",G499="",I499="",J499="",L499="",O499="",P499=""),"Champ obligatoire manquant",IF(OR(AND(N499&lt;&gt;"",N499&gt;O499),O499&gt;P499,AND(Q499&lt;&gt;"",Q499&lt;P499),AND(R499&lt;&gt;"",R499&lt;P499),AND(S499&lt;&gt;"",S499&lt;R499),AND(S499&lt;&gt;"",R499=""),AND(T499&lt;&gt;"",T499&lt;O499),AND(U499&lt;&gt;"",U499&lt;O499)),"Chronologie incohérente",IF(AND(OR(L499="Résolu",L499="Clos"),R499=""),"Date de résolution manquante",IF(AND(L499="Clos",S499=""),"Date de clôture manquante",IF(AND(K499="Oui",AC499=""),"Classification DORA manquante","OK"))))))</f>
        <v/>
      </c>
      <c r="AO499" s="35" t="str">
        <f aca="false">IF($B499="","",IF(AND(C499="Incident",L499&lt;&gt;"Annulé"),1,0))</f>
        <v/>
      </c>
      <c r="AP499" s="35" t="str">
        <f aca="false">IF($B499="","",IF(AND(C499="Quasi-incident",L499&lt;&gt;"Annulé"),1,0))</f>
        <v/>
      </c>
      <c r="AQ499" s="35" t="str">
        <f aca="false">IF($B499="","",AO499+AP499)</f>
        <v/>
      </c>
      <c r="AR499" s="36" t="str">
        <f aca="false">IF(OR($B499="",J499=""),"",IFERROR(VALUE(LEFT(J499,1)),""))</f>
        <v/>
      </c>
      <c r="AS499" s="35" t="str">
        <f aca="false">IF(OR(AO499&lt;&gt;1,G499=""),"",IFERROR(IF(INDEX(L_SrcInterne,MATCH(G499,L_Sources,0))="Oui",1,0),""))</f>
        <v/>
      </c>
      <c r="AT499" s="37" t="str">
        <f aca="false">IF(AO499&lt;&gt;1,"",IFERROR(ROUND(IF(OR(N499="",O499=""),"",IF(O499&lt;N499,"",ROUND(((NETWORKDAYS(N499,O499,JoursFeries)-1)*(HFer-HOuv)+IF(NETWORKDAYS(O499,O499,JoursFeries),MEDIAN(MOD(O499,1),HFer,HOuv),HFer)-IF(NETWORKDAYS(N499,N499,JoursFeries),MEDIAN(MOD(N499,1),HFer,HOuv),HOuv))*24,4)))/HJour,4),""))</f>
        <v/>
      </c>
      <c r="AU499" s="37" t="str">
        <f aca="false">IF(AO499&lt;&gt;1,"",IF(OR(O499="",P499=""),"",IF(P499&lt;O499,"",ROUND(((NETWORKDAYS(O499,P499,JoursFeries)-1)*(HFer-HOuv)+IF(NETWORKDAYS(P499,P499,JoursFeries),MEDIAN(MOD(P499,1),HFer,HOuv),HFer)-IF(NETWORKDAYS(O499,O499,JoursFeries),MEDIAN(MOD(O499,1),HFer,HOuv),HOuv))*24,4))))</f>
        <v/>
      </c>
      <c r="AV499" s="37" t="str">
        <f aca="false">IF(AO499&lt;&gt;1,"",IF(OR(P499="",Q499=""),"",IF(Q499&lt;P499,"",ROUND(((NETWORKDAYS(P499,Q499,JoursFeries)-1)*(HFer-HOuv)+IF(NETWORKDAYS(Q499,Q499,JoursFeries),MEDIAN(MOD(Q499,1),HFer,HOuv),HFer)-IF(NETWORKDAYS(P499,P499,JoursFeries),MEDIAN(MOD(P499,1),HFer,HOuv),HOuv))*24,4))))</f>
        <v/>
      </c>
      <c r="AW499" s="37" t="str">
        <f aca="false">IF(AO499&lt;&gt;1,"",IFERROR(ROUND(IF(OR(P499="",R499=""),"",IF(R499&lt;P499,"",ROUND(((NETWORKDAYS(P499,R499,JoursFeries)-1)*(HFer-HOuv)+IF(NETWORKDAYS(R499,R499,JoursFeries),MEDIAN(MOD(R499,1),HFer,HOuv),HFer)-IF(NETWORKDAYS(P499,P499,JoursFeries),MEDIAN(MOD(P499,1),HFer,HOuv),HOuv))*24,4)))/HJour,4),""))</f>
        <v/>
      </c>
      <c r="AX499" s="37" t="str">
        <f aca="false">IF(AO499&lt;&gt;1,"",IFERROR(ROUND(IF(OR(P499="",S499=""),"",IF(S499&lt;P499,"",ROUND(((NETWORKDAYS(P499,S499,JoursFeries)-1)*(HFer-HOuv)+IF(NETWORKDAYS(S499,S499,JoursFeries),MEDIAN(MOD(S499,1),HFer,HOuv),HFer)-IF(NETWORKDAYS(P499,P499,JoursFeries),MEDIAN(MOD(P499,1),HFer,HOuv),HOuv))*24,4)))/HJour,4),""))</f>
        <v/>
      </c>
      <c r="AY499" s="36" t="str">
        <f aca="false">IF(OR(AO499&lt;&gt;1,AR499=""),"",INDEX(SLA_PEC,AR499))</f>
        <v/>
      </c>
      <c r="AZ499" s="35" t="str">
        <f aca="false">IF(OR(AV499="",AY499=""),"",IF(AV499&lt;=AY499,1,0))</f>
        <v/>
      </c>
      <c r="BA499" s="36" t="str">
        <f aca="false">IF(OR(AO499&lt;&gt;1,AR499=""),"",INDEX(SLA_RES,AR499))</f>
        <v/>
      </c>
      <c r="BB499" s="35" t="str">
        <f aca="false">IF(OR(AW499="",BA499=""),"",IF(AW499&lt;=BA499,1,0))</f>
        <v/>
      </c>
      <c r="BC499" s="38" t="str">
        <f aca="false">IF(OR(BA499="",P499=""),"",WORKDAY(INT(P499),BA499,JoursFeries)+MOD(P499,1))</f>
        <v/>
      </c>
      <c r="BD499" s="39" t="str">
        <f aca="false">IF(AO499&lt;&gt;1,"",IF(OR(AB499&lt;&gt;"",AD499&lt;&gt;""),4,IF(U499&lt;&gt;"",3,IF(T499&lt;&gt;"",2,1))))</f>
        <v/>
      </c>
      <c r="BE499" s="39" t="str">
        <f aca="false">IF(OR(AO499&lt;&gt;1,AR499=""),"",INDEX(NIV_REQ,AR499))</f>
        <v/>
      </c>
      <c r="BF499" s="39" t="str">
        <f aca="false">IF(BE499="","",MAX(BE499,IF(OR(K499="Oui",Z499="Oui"),4,1)))</f>
        <v/>
      </c>
      <c r="BG499" s="35" t="str">
        <f aca="false">IF(OR(BF499="",BD499=""),"",IF(BD499&gt;=BF499,1,0))</f>
        <v/>
      </c>
      <c r="BH499" s="38" t="str">
        <f aca="false">IF(BE499="","",IF(BE499&lt;2,"",IF(BE499=2,IF(AND(T499="",U499=""),"",MIN(T499,U499)),IF(U499="","",U499))))</f>
        <v/>
      </c>
      <c r="BI499" s="37" t="str">
        <f aca="false">IF(BH499="","",IF(OR(O499="",BH499=""),"",IF(BH499&lt;O499,"",ROUND(((NETWORKDAYS(O499,BH499,JoursFeries)-1)*(HFer-HOuv)+IF(NETWORKDAYS(BH499,BH499,JoursFeries),MEDIAN(MOD(BH499,1),HFer,HOuv),HFer)-IF(NETWORKDAYS(O499,O499,JoursFeries),MEDIAN(MOD(O499,1),HFer,HOuv),HOuv))*24,4))))</f>
        <v/>
      </c>
      <c r="BJ499" s="35" t="str">
        <f aca="false">IF(OR(BI499="",AR499=""),"",IF(BI499&lt;=INDEX(DELAI_ESC,AR499),1,0))</f>
        <v/>
      </c>
      <c r="BK499" s="38" t="str">
        <f aca="false">IF(AO499&lt;&gt;1,"",IF(AND(T499="",U499=""),"",MIN(T499,U499)))</f>
        <v/>
      </c>
      <c r="BL499" s="37" t="str">
        <f aca="false">IF(OR(BK499="",R499=""),"",IFERROR(ROUND(IF(OR(BK499="",R499=""),"",IF(R499&lt;BK499,"",ROUND(((NETWORKDAYS(BK499,R499,JoursFeries)-1)*(HFer-HOuv)+IF(NETWORKDAYS(R499,R499,JoursFeries),MEDIAN(MOD(R499,1),HFer,HOuv),HFer)-IF(NETWORKDAYS(BK499,BK499,JoursFeries),MEDIAN(MOD(BK499,1),HFer,HOuv),HOuv))*24,4)))/HJour,4),""))</f>
        <v/>
      </c>
      <c r="BM499" s="35" t="str">
        <f aca="false">IF(OR(AO499&lt;&gt;1,R499=""),"",IF(BD499=1,1,0))</f>
        <v/>
      </c>
      <c r="BN499" s="35" t="str">
        <f aca="false">IF(AO499&lt;&gt;1,"",IF(W499="Oui",1,0))</f>
        <v/>
      </c>
      <c r="BO499" s="35" t="str">
        <f aca="false">IF(AO499&lt;&gt;1,"",IF(X499&lt;&gt;"",1,0))</f>
        <v/>
      </c>
      <c r="BP499" s="35" t="str">
        <f aca="false">IF(AO499&lt;&gt;1,"",IF(Y499="Oui",1,0))</f>
        <v/>
      </c>
      <c r="BQ499" s="35" t="str">
        <f aca="true">IF(OR(AO499&lt;&gt;1,Z499&lt;&gt;"Oui"),"",IF(AB499="",IF(AND(AA499&lt;&gt;"",NOW()&gt;AA499),0,""),IF(AA499="","",IF(AB499&lt;=AA499,1,0))))</f>
        <v/>
      </c>
      <c r="BR499" s="38" t="str">
        <f aca="false">IF(OR(AO499&lt;&gt;1,K499&lt;&gt;"Oui",O499=""),"",IF(AC499="",O499+DORA_H_DET/24,IF(AC499-O499&lt;=DORA_H_DET/24,MIN(AC499+DORA_H_CLA/24,O499+DORA_H_DET/24),AC499+DORA_H_CLA/24)))</f>
        <v/>
      </c>
      <c r="BS499" s="35" t="str">
        <f aca="true">IF(BR499="","",IF(AD499="",IF(NOW()&gt;BR499,0,""),IF(AD499&lt;=BR499,1,0)))</f>
        <v/>
      </c>
      <c r="BT499" s="35" t="str">
        <f aca="true">IF(OR(BR499="",AD499=""),"",IF(AE499="",IF(NOW()&gt;AD499+DORA_H_INT/24,0,""),IF(AE499&lt;=AD499+DORA_H_INT/24,1,0)))</f>
        <v/>
      </c>
      <c r="BU499" s="35" t="str">
        <f aca="true">IF(OR(BR499="",AE499=""),"",IF(AF499="",IF(NOW()&gt;EDATE(AE499,DORA_M_FIN)+1,0,""),IF(AF499&lt;=EDATE(AE499,DORA_M_FIN),1,0)))</f>
        <v/>
      </c>
      <c r="BV499" s="35" t="str">
        <f aca="false">IF(BR499="","",IF(COUNT(BS499:BU499)=0,"",MIN(BS499:BU499)))</f>
        <v/>
      </c>
      <c r="BW499" s="40" t="str">
        <f aca="false">IF(AQ499&lt;&gt;1,"",IF(AND(AG499="",AH499=""),"",N(AG499)-N(AH499)))</f>
        <v/>
      </c>
      <c r="BX499" s="35" t="str">
        <f aca="true">IF(OR(AQ499&lt;&gt;1,AI499&lt;&gt;"Oui",AJ499=""),"",IF(AK499="",IF(NOW()&gt;AJ499+1,0,""),IF(AK499&lt;=AJ499,1,0)))</f>
        <v/>
      </c>
    </row>
    <row r="500" customFormat="false" ht="15" hidden="false" customHeight="false" outlineLevel="0" collapsed="false">
      <c r="B500" s="29"/>
      <c r="C500" s="29"/>
      <c r="D500" s="29"/>
      <c r="E500" s="29"/>
      <c r="F500" s="29"/>
      <c r="G500" s="29"/>
      <c r="H500" s="29"/>
      <c r="I500" s="29"/>
      <c r="J500" s="29"/>
      <c r="K500" s="29"/>
      <c r="L500" s="29"/>
      <c r="M500" s="29"/>
      <c r="N500" s="30"/>
      <c r="O500" s="30"/>
      <c r="P500" s="30"/>
      <c r="Q500" s="30"/>
      <c r="R500" s="30"/>
      <c r="S500" s="30"/>
      <c r="T500" s="30"/>
      <c r="U500" s="30"/>
      <c r="V500" s="31"/>
      <c r="W500" s="29"/>
      <c r="X500" s="29"/>
      <c r="Y500" s="29"/>
      <c r="Z500" s="29"/>
      <c r="AA500" s="30"/>
      <c r="AB500" s="30"/>
      <c r="AC500" s="30"/>
      <c r="AD500" s="30"/>
      <c r="AE500" s="30"/>
      <c r="AF500" s="32"/>
      <c r="AG500" s="33"/>
      <c r="AH500" s="33"/>
      <c r="AI500" s="29"/>
      <c r="AJ500" s="32"/>
      <c r="AK500" s="32"/>
      <c r="AL500" s="29"/>
      <c r="AN500" s="34" t="str">
        <f aca="false">IF($B500="","",IF(OR(C500="",D500="",E500="",G500="",I500="",J500="",L500="",O500="",P500=""),"Champ obligatoire manquant",IF(OR(AND(N500&lt;&gt;"",N500&gt;O500),O500&gt;P500,AND(Q500&lt;&gt;"",Q500&lt;P500),AND(R500&lt;&gt;"",R500&lt;P500),AND(S500&lt;&gt;"",S500&lt;R500),AND(S500&lt;&gt;"",R500=""),AND(T500&lt;&gt;"",T500&lt;O500),AND(U500&lt;&gt;"",U500&lt;O500)),"Chronologie incohérente",IF(AND(OR(L500="Résolu",L500="Clos"),R500=""),"Date de résolution manquante",IF(AND(L500="Clos",S500=""),"Date de clôture manquante",IF(AND(K500="Oui",AC500=""),"Classification DORA manquante","OK"))))))</f>
        <v/>
      </c>
      <c r="AO500" s="35" t="str">
        <f aca="false">IF($B500="","",IF(AND(C500="Incident",L500&lt;&gt;"Annulé"),1,0))</f>
        <v/>
      </c>
      <c r="AP500" s="35" t="str">
        <f aca="false">IF($B500="","",IF(AND(C500="Quasi-incident",L500&lt;&gt;"Annulé"),1,0))</f>
        <v/>
      </c>
      <c r="AQ500" s="35" t="str">
        <f aca="false">IF($B500="","",AO500+AP500)</f>
        <v/>
      </c>
      <c r="AR500" s="36" t="str">
        <f aca="false">IF(OR($B500="",J500=""),"",IFERROR(VALUE(LEFT(J500,1)),""))</f>
        <v/>
      </c>
      <c r="AS500" s="35" t="str">
        <f aca="false">IF(OR(AO500&lt;&gt;1,G500=""),"",IFERROR(IF(INDEX(L_SrcInterne,MATCH(G500,L_Sources,0))="Oui",1,0),""))</f>
        <v/>
      </c>
      <c r="AT500" s="37" t="str">
        <f aca="false">IF(AO500&lt;&gt;1,"",IFERROR(ROUND(IF(OR(N500="",O500=""),"",IF(O500&lt;N500,"",ROUND(((NETWORKDAYS(N500,O500,JoursFeries)-1)*(HFer-HOuv)+IF(NETWORKDAYS(O500,O500,JoursFeries),MEDIAN(MOD(O500,1),HFer,HOuv),HFer)-IF(NETWORKDAYS(N500,N500,JoursFeries),MEDIAN(MOD(N500,1),HFer,HOuv),HOuv))*24,4)))/HJour,4),""))</f>
        <v/>
      </c>
      <c r="AU500" s="37" t="str">
        <f aca="false">IF(AO500&lt;&gt;1,"",IF(OR(O500="",P500=""),"",IF(P500&lt;O500,"",ROUND(((NETWORKDAYS(O500,P500,JoursFeries)-1)*(HFer-HOuv)+IF(NETWORKDAYS(P500,P500,JoursFeries),MEDIAN(MOD(P500,1),HFer,HOuv),HFer)-IF(NETWORKDAYS(O500,O500,JoursFeries),MEDIAN(MOD(O500,1),HFer,HOuv),HOuv))*24,4))))</f>
        <v/>
      </c>
      <c r="AV500" s="37" t="str">
        <f aca="false">IF(AO500&lt;&gt;1,"",IF(OR(P500="",Q500=""),"",IF(Q500&lt;P500,"",ROUND(((NETWORKDAYS(P500,Q500,JoursFeries)-1)*(HFer-HOuv)+IF(NETWORKDAYS(Q500,Q500,JoursFeries),MEDIAN(MOD(Q500,1),HFer,HOuv),HFer)-IF(NETWORKDAYS(P500,P500,JoursFeries),MEDIAN(MOD(P500,1),HFer,HOuv),HOuv))*24,4))))</f>
        <v/>
      </c>
      <c r="AW500" s="37" t="str">
        <f aca="false">IF(AO500&lt;&gt;1,"",IFERROR(ROUND(IF(OR(P500="",R500=""),"",IF(R500&lt;P500,"",ROUND(((NETWORKDAYS(P500,R500,JoursFeries)-1)*(HFer-HOuv)+IF(NETWORKDAYS(R500,R500,JoursFeries),MEDIAN(MOD(R500,1),HFer,HOuv),HFer)-IF(NETWORKDAYS(P500,P500,JoursFeries),MEDIAN(MOD(P500,1),HFer,HOuv),HOuv))*24,4)))/HJour,4),""))</f>
        <v/>
      </c>
      <c r="AX500" s="37" t="str">
        <f aca="false">IF(AO500&lt;&gt;1,"",IFERROR(ROUND(IF(OR(P500="",S500=""),"",IF(S500&lt;P500,"",ROUND(((NETWORKDAYS(P500,S500,JoursFeries)-1)*(HFer-HOuv)+IF(NETWORKDAYS(S500,S500,JoursFeries),MEDIAN(MOD(S500,1),HFer,HOuv),HFer)-IF(NETWORKDAYS(P500,P500,JoursFeries),MEDIAN(MOD(P500,1),HFer,HOuv),HOuv))*24,4)))/HJour,4),""))</f>
        <v/>
      </c>
      <c r="AY500" s="36" t="str">
        <f aca="false">IF(OR(AO500&lt;&gt;1,AR500=""),"",INDEX(SLA_PEC,AR500))</f>
        <v/>
      </c>
      <c r="AZ500" s="35" t="str">
        <f aca="false">IF(OR(AV500="",AY500=""),"",IF(AV500&lt;=AY500,1,0))</f>
        <v/>
      </c>
      <c r="BA500" s="36" t="str">
        <f aca="false">IF(OR(AO500&lt;&gt;1,AR500=""),"",INDEX(SLA_RES,AR500))</f>
        <v/>
      </c>
      <c r="BB500" s="35" t="str">
        <f aca="false">IF(OR(AW500="",BA500=""),"",IF(AW500&lt;=BA500,1,0))</f>
        <v/>
      </c>
      <c r="BC500" s="38" t="str">
        <f aca="false">IF(OR(BA500="",P500=""),"",WORKDAY(INT(P500),BA500,JoursFeries)+MOD(P500,1))</f>
        <v/>
      </c>
      <c r="BD500" s="39" t="str">
        <f aca="false">IF(AO500&lt;&gt;1,"",IF(OR(AB500&lt;&gt;"",AD500&lt;&gt;""),4,IF(U500&lt;&gt;"",3,IF(T500&lt;&gt;"",2,1))))</f>
        <v/>
      </c>
      <c r="BE500" s="39" t="str">
        <f aca="false">IF(OR(AO500&lt;&gt;1,AR500=""),"",INDEX(NIV_REQ,AR500))</f>
        <v/>
      </c>
      <c r="BF500" s="39" t="str">
        <f aca="false">IF(BE500="","",MAX(BE500,IF(OR(K500="Oui",Z500="Oui"),4,1)))</f>
        <v/>
      </c>
      <c r="BG500" s="35" t="str">
        <f aca="false">IF(OR(BF500="",BD500=""),"",IF(BD500&gt;=BF500,1,0))</f>
        <v/>
      </c>
      <c r="BH500" s="38" t="str">
        <f aca="false">IF(BE500="","",IF(BE500&lt;2,"",IF(BE500=2,IF(AND(T500="",U500=""),"",MIN(T500,U500)),IF(U500="","",U500))))</f>
        <v/>
      </c>
      <c r="BI500" s="37" t="str">
        <f aca="false">IF(BH500="","",IF(OR(O500="",BH500=""),"",IF(BH500&lt;O500,"",ROUND(((NETWORKDAYS(O500,BH500,JoursFeries)-1)*(HFer-HOuv)+IF(NETWORKDAYS(BH500,BH500,JoursFeries),MEDIAN(MOD(BH500,1),HFer,HOuv),HFer)-IF(NETWORKDAYS(O500,O500,JoursFeries),MEDIAN(MOD(O500,1),HFer,HOuv),HOuv))*24,4))))</f>
        <v/>
      </c>
      <c r="BJ500" s="35" t="str">
        <f aca="false">IF(OR(BI500="",AR500=""),"",IF(BI500&lt;=INDEX(DELAI_ESC,AR500),1,0))</f>
        <v/>
      </c>
      <c r="BK500" s="38" t="str">
        <f aca="false">IF(AO500&lt;&gt;1,"",IF(AND(T500="",U500=""),"",MIN(T500,U500)))</f>
        <v/>
      </c>
      <c r="BL500" s="37" t="str">
        <f aca="false">IF(OR(BK500="",R500=""),"",IFERROR(ROUND(IF(OR(BK500="",R500=""),"",IF(R500&lt;BK500,"",ROUND(((NETWORKDAYS(BK500,R500,JoursFeries)-1)*(HFer-HOuv)+IF(NETWORKDAYS(R500,R500,JoursFeries),MEDIAN(MOD(R500,1),HFer,HOuv),HFer)-IF(NETWORKDAYS(BK500,BK500,JoursFeries),MEDIAN(MOD(BK500,1),HFer,HOuv),HOuv))*24,4)))/HJour,4),""))</f>
        <v/>
      </c>
      <c r="BM500" s="35" t="str">
        <f aca="false">IF(OR(AO500&lt;&gt;1,R500=""),"",IF(BD500=1,1,0))</f>
        <v/>
      </c>
      <c r="BN500" s="35" t="str">
        <f aca="false">IF(AO500&lt;&gt;1,"",IF(W500="Oui",1,0))</f>
        <v/>
      </c>
      <c r="BO500" s="35" t="str">
        <f aca="false">IF(AO500&lt;&gt;1,"",IF(X500&lt;&gt;"",1,0))</f>
        <v/>
      </c>
      <c r="BP500" s="35" t="str">
        <f aca="false">IF(AO500&lt;&gt;1,"",IF(Y500="Oui",1,0))</f>
        <v/>
      </c>
      <c r="BQ500" s="35" t="str">
        <f aca="true">IF(OR(AO500&lt;&gt;1,Z500&lt;&gt;"Oui"),"",IF(AB500="",IF(AND(AA500&lt;&gt;"",NOW()&gt;AA500),0,""),IF(AA500="","",IF(AB500&lt;=AA500,1,0))))</f>
        <v/>
      </c>
      <c r="BR500" s="38" t="str">
        <f aca="false">IF(OR(AO500&lt;&gt;1,K500&lt;&gt;"Oui",O500=""),"",IF(AC500="",O500+DORA_H_DET/24,IF(AC500-O500&lt;=DORA_H_DET/24,MIN(AC500+DORA_H_CLA/24,O500+DORA_H_DET/24),AC500+DORA_H_CLA/24)))</f>
        <v/>
      </c>
      <c r="BS500" s="35" t="str">
        <f aca="true">IF(BR500="","",IF(AD500="",IF(NOW()&gt;BR500,0,""),IF(AD500&lt;=BR500,1,0)))</f>
        <v/>
      </c>
      <c r="BT500" s="35" t="str">
        <f aca="true">IF(OR(BR500="",AD500=""),"",IF(AE500="",IF(NOW()&gt;AD500+DORA_H_INT/24,0,""),IF(AE500&lt;=AD500+DORA_H_INT/24,1,0)))</f>
        <v/>
      </c>
      <c r="BU500" s="35" t="str">
        <f aca="true">IF(OR(BR500="",AE500=""),"",IF(AF500="",IF(NOW()&gt;EDATE(AE500,DORA_M_FIN)+1,0,""),IF(AF500&lt;=EDATE(AE500,DORA_M_FIN),1,0)))</f>
        <v/>
      </c>
      <c r="BV500" s="35" t="str">
        <f aca="false">IF(BR500="","",IF(COUNT(BS500:BU500)=0,"",MIN(BS500:BU500)))</f>
        <v/>
      </c>
      <c r="BW500" s="40" t="str">
        <f aca="false">IF(AQ500&lt;&gt;1,"",IF(AND(AG500="",AH500=""),"",N(AG500)-N(AH500)))</f>
        <v/>
      </c>
      <c r="BX500" s="35" t="str">
        <f aca="true">IF(OR(AQ500&lt;&gt;1,AI500&lt;&gt;"Oui",AJ500=""),"",IF(AK500="",IF(NOW()&gt;AJ500+1,0,""),IF(AK500&lt;=AJ500,1,0)))</f>
        <v/>
      </c>
    </row>
    <row r="501" customFormat="false" ht="15" hidden="false" customHeight="false" outlineLevel="0" collapsed="false">
      <c r="B501" s="29"/>
      <c r="C501" s="29"/>
      <c r="D501" s="29"/>
      <c r="E501" s="29"/>
      <c r="F501" s="29"/>
      <c r="G501" s="29"/>
      <c r="H501" s="29"/>
      <c r="I501" s="29"/>
      <c r="J501" s="29"/>
      <c r="K501" s="29"/>
      <c r="L501" s="29"/>
      <c r="M501" s="29"/>
      <c r="N501" s="30"/>
      <c r="O501" s="30"/>
      <c r="P501" s="30"/>
      <c r="Q501" s="30"/>
      <c r="R501" s="30"/>
      <c r="S501" s="30"/>
      <c r="T501" s="30"/>
      <c r="U501" s="30"/>
      <c r="V501" s="31"/>
      <c r="W501" s="29"/>
      <c r="X501" s="29"/>
      <c r="Y501" s="29"/>
      <c r="Z501" s="29"/>
      <c r="AA501" s="30"/>
      <c r="AB501" s="30"/>
      <c r="AC501" s="30"/>
      <c r="AD501" s="30"/>
      <c r="AE501" s="30"/>
      <c r="AF501" s="32"/>
      <c r="AG501" s="33"/>
      <c r="AH501" s="33"/>
      <c r="AI501" s="29"/>
      <c r="AJ501" s="32"/>
      <c r="AK501" s="32"/>
      <c r="AL501" s="29"/>
      <c r="AN501" s="34" t="str">
        <f aca="false">IF($B501="","",IF(OR(C501="",D501="",E501="",G501="",I501="",J501="",L501="",O501="",P501=""),"Champ obligatoire manquant",IF(OR(AND(N501&lt;&gt;"",N501&gt;O501),O501&gt;P501,AND(Q501&lt;&gt;"",Q501&lt;P501),AND(R501&lt;&gt;"",R501&lt;P501),AND(S501&lt;&gt;"",S501&lt;R501),AND(S501&lt;&gt;"",R501=""),AND(T501&lt;&gt;"",T501&lt;O501),AND(U501&lt;&gt;"",U501&lt;O501)),"Chronologie incohérente",IF(AND(OR(L501="Résolu",L501="Clos"),R501=""),"Date de résolution manquante",IF(AND(L501="Clos",S501=""),"Date de clôture manquante",IF(AND(K501="Oui",AC501=""),"Classification DORA manquante","OK"))))))</f>
        <v/>
      </c>
      <c r="AO501" s="35" t="str">
        <f aca="false">IF($B501="","",IF(AND(C501="Incident",L501&lt;&gt;"Annulé"),1,0))</f>
        <v/>
      </c>
      <c r="AP501" s="35" t="str">
        <f aca="false">IF($B501="","",IF(AND(C501="Quasi-incident",L501&lt;&gt;"Annulé"),1,0))</f>
        <v/>
      </c>
      <c r="AQ501" s="35" t="str">
        <f aca="false">IF($B501="","",AO501+AP501)</f>
        <v/>
      </c>
      <c r="AR501" s="36" t="str">
        <f aca="false">IF(OR($B501="",J501=""),"",IFERROR(VALUE(LEFT(J501,1)),""))</f>
        <v/>
      </c>
      <c r="AS501" s="35" t="str">
        <f aca="false">IF(OR(AO501&lt;&gt;1,G501=""),"",IFERROR(IF(INDEX(L_SrcInterne,MATCH(G501,L_Sources,0))="Oui",1,0),""))</f>
        <v/>
      </c>
      <c r="AT501" s="37" t="str">
        <f aca="false">IF(AO501&lt;&gt;1,"",IFERROR(ROUND(IF(OR(N501="",O501=""),"",IF(O501&lt;N501,"",ROUND(((NETWORKDAYS(N501,O501,JoursFeries)-1)*(HFer-HOuv)+IF(NETWORKDAYS(O501,O501,JoursFeries),MEDIAN(MOD(O501,1),HFer,HOuv),HFer)-IF(NETWORKDAYS(N501,N501,JoursFeries),MEDIAN(MOD(N501,1),HFer,HOuv),HOuv))*24,4)))/HJour,4),""))</f>
        <v/>
      </c>
      <c r="AU501" s="37" t="str">
        <f aca="false">IF(AO501&lt;&gt;1,"",IF(OR(O501="",P501=""),"",IF(P501&lt;O501,"",ROUND(((NETWORKDAYS(O501,P501,JoursFeries)-1)*(HFer-HOuv)+IF(NETWORKDAYS(P501,P501,JoursFeries),MEDIAN(MOD(P501,1),HFer,HOuv),HFer)-IF(NETWORKDAYS(O501,O501,JoursFeries),MEDIAN(MOD(O501,1),HFer,HOuv),HOuv))*24,4))))</f>
        <v/>
      </c>
      <c r="AV501" s="37" t="str">
        <f aca="false">IF(AO501&lt;&gt;1,"",IF(OR(P501="",Q501=""),"",IF(Q501&lt;P501,"",ROUND(((NETWORKDAYS(P501,Q501,JoursFeries)-1)*(HFer-HOuv)+IF(NETWORKDAYS(Q501,Q501,JoursFeries),MEDIAN(MOD(Q501,1),HFer,HOuv),HFer)-IF(NETWORKDAYS(P501,P501,JoursFeries),MEDIAN(MOD(P501,1),HFer,HOuv),HOuv))*24,4))))</f>
        <v/>
      </c>
      <c r="AW501" s="37" t="str">
        <f aca="false">IF(AO501&lt;&gt;1,"",IFERROR(ROUND(IF(OR(P501="",R501=""),"",IF(R501&lt;P501,"",ROUND(((NETWORKDAYS(P501,R501,JoursFeries)-1)*(HFer-HOuv)+IF(NETWORKDAYS(R501,R501,JoursFeries),MEDIAN(MOD(R501,1),HFer,HOuv),HFer)-IF(NETWORKDAYS(P501,P501,JoursFeries),MEDIAN(MOD(P501,1),HFer,HOuv),HOuv))*24,4)))/HJour,4),""))</f>
        <v/>
      </c>
      <c r="AX501" s="37" t="str">
        <f aca="false">IF(AO501&lt;&gt;1,"",IFERROR(ROUND(IF(OR(P501="",S501=""),"",IF(S501&lt;P501,"",ROUND(((NETWORKDAYS(P501,S501,JoursFeries)-1)*(HFer-HOuv)+IF(NETWORKDAYS(S501,S501,JoursFeries),MEDIAN(MOD(S501,1),HFer,HOuv),HFer)-IF(NETWORKDAYS(P501,P501,JoursFeries),MEDIAN(MOD(P501,1),HFer,HOuv),HOuv))*24,4)))/HJour,4),""))</f>
        <v/>
      </c>
      <c r="AY501" s="36" t="str">
        <f aca="false">IF(OR(AO501&lt;&gt;1,AR501=""),"",INDEX(SLA_PEC,AR501))</f>
        <v/>
      </c>
      <c r="AZ501" s="35" t="str">
        <f aca="false">IF(OR(AV501="",AY501=""),"",IF(AV501&lt;=AY501,1,0))</f>
        <v/>
      </c>
      <c r="BA501" s="36" t="str">
        <f aca="false">IF(OR(AO501&lt;&gt;1,AR501=""),"",INDEX(SLA_RES,AR501))</f>
        <v/>
      </c>
      <c r="BB501" s="35" t="str">
        <f aca="false">IF(OR(AW501="",BA501=""),"",IF(AW501&lt;=BA501,1,0))</f>
        <v/>
      </c>
      <c r="BC501" s="38" t="str">
        <f aca="false">IF(OR(BA501="",P501=""),"",WORKDAY(INT(P501),BA501,JoursFeries)+MOD(P501,1))</f>
        <v/>
      </c>
      <c r="BD501" s="39" t="str">
        <f aca="false">IF(AO501&lt;&gt;1,"",IF(OR(AB501&lt;&gt;"",AD501&lt;&gt;""),4,IF(U501&lt;&gt;"",3,IF(T501&lt;&gt;"",2,1))))</f>
        <v/>
      </c>
      <c r="BE501" s="39" t="str">
        <f aca="false">IF(OR(AO501&lt;&gt;1,AR501=""),"",INDEX(NIV_REQ,AR501))</f>
        <v/>
      </c>
      <c r="BF501" s="39" t="str">
        <f aca="false">IF(BE501="","",MAX(BE501,IF(OR(K501="Oui",Z501="Oui"),4,1)))</f>
        <v/>
      </c>
      <c r="BG501" s="35" t="str">
        <f aca="false">IF(OR(BF501="",BD501=""),"",IF(BD501&gt;=BF501,1,0))</f>
        <v/>
      </c>
      <c r="BH501" s="38" t="str">
        <f aca="false">IF(BE501="","",IF(BE501&lt;2,"",IF(BE501=2,IF(AND(T501="",U501=""),"",MIN(T501,U501)),IF(U501="","",U501))))</f>
        <v/>
      </c>
      <c r="BI501" s="37" t="str">
        <f aca="false">IF(BH501="","",IF(OR(O501="",BH501=""),"",IF(BH501&lt;O501,"",ROUND(((NETWORKDAYS(O501,BH501,JoursFeries)-1)*(HFer-HOuv)+IF(NETWORKDAYS(BH501,BH501,JoursFeries),MEDIAN(MOD(BH501,1),HFer,HOuv),HFer)-IF(NETWORKDAYS(O501,O501,JoursFeries),MEDIAN(MOD(O501,1),HFer,HOuv),HOuv))*24,4))))</f>
        <v/>
      </c>
      <c r="BJ501" s="35" t="str">
        <f aca="false">IF(OR(BI501="",AR501=""),"",IF(BI501&lt;=INDEX(DELAI_ESC,AR501),1,0))</f>
        <v/>
      </c>
      <c r="BK501" s="38" t="str">
        <f aca="false">IF(AO501&lt;&gt;1,"",IF(AND(T501="",U501=""),"",MIN(T501,U501)))</f>
        <v/>
      </c>
      <c r="BL501" s="37" t="str">
        <f aca="false">IF(OR(BK501="",R501=""),"",IFERROR(ROUND(IF(OR(BK501="",R501=""),"",IF(R501&lt;BK501,"",ROUND(((NETWORKDAYS(BK501,R501,JoursFeries)-1)*(HFer-HOuv)+IF(NETWORKDAYS(R501,R501,JoursFeries),MEDIAN(MOD(R501,1),HFer,HOuv),HFer)-IF(NETWORKDAYS(BK501,BK501,JoursFeries),MEDIAN(MOD(BK501,1),HFer,HOuv),HOuv))*24,4)))/HJour,4),""))</f>
        <v/>
      </c>
      <c r="BM501" s="35" t="str">
        <f aca="false">IF(OR(AO501&lt;&gt;1,R501=""),"",IF(BD501=1,1,0))</f>
        <v/>
      </c>
      <c r="BN501" s="35" t="str">
        <f aca="false">IF(AO501&lt;&gt;1,"",IF(W501="Oui",1,0))</f>
        <v/>
      </c>
      <c r="BO501" s="35" t="str">
        <f aca="false">IF(AO501&lt;&gt;1,"",IF(X501&lt;&gt;"",1,0))</f>
        <v/>
      </c>
      <c r="BP501" s="35" t="str">
        <f aca="false">IF(AO501&lt;&gt;1,"",IF(Y501="Oui",1,0))</f>
        <v/>
      </c>
      <c r="BQ501" s="35" t="str">
        <f aca="true">IF(OR(AO501&lt;&gt;1,Z501&lt;&gt;"Oui"),"",IF(AB501="",IF(AND(AA501&lt;&gt;"",NOW()&gt;AA501),0,""),IF(AA501="","",IF(AB501&lt;=AA501,1,0))))</f>
        <v/>
      </c>
      <c r="BR501" s="38" t="str">
        <f aca="false">IF(OR(AO501&lt;&gt;1,K501&lt;&gt;"Oui",O501=""),"",IF(AC501="",O501+DORA_H_DET/24,IF(AC501-O501&lt;=DORA_H_DET/24,MIN(AC501+DORA_H_CLA/24,O501+DORA_H_DET/24),AC501+DORA_H_CLA/24)))</f>
        <v/>
      </c>
      <c r="BS501" s="35" t="str">
        <f aca="true">IF(BR501="","",IF(AD501="",IF(NOW()&gt;BR501,0,""),IF(AD501&lt;=BR501,1,0)))</f>
        <v/>
      </c>
      <c r="BT501" s="35" t="str">
        <f aca="true">IF(OR(BR501="",AD501=""),"",IF(AE501="",IF(NOW()&gt;AD501+DORA_H_INT/24,0,""),IF(AE501&lt;=AD501+DORA_H_INT/24,1,0)))</f>
        <v/>
      </c>
      <c r="BU501" s="35" t="str">
        <f aca="true">IF(OR(BR501="",AE501=""),"",IF(AF501="",IF(NOW()&gt;EDATE(AE501,DORA_M_FIN)+1,0,""),IF(AF501&lt;=EDATE(AE501,DORA_M_FIN),1,0)))</f>
        <v/>
      </c>
      <c r="BV501" s="35" t="str">
        <f aca="false">IF(BR501="","",IF(COUNT(BS501:BU501)=0,"",MIN(BS501:BU501)))</f>
        <v/>
      </c>
      <c r="BW501" s="40" t="str">
        <f aca="false">IF(AQ501&lt;&gt;1,"",IF(AND(AG501="",AH501=""),"",N(AG501)-N(AH501)))</f>
        <v/>
      </c>
      <c r="BX501" s="35" t="str">
        <f aca="true">IF(OR(AQ501&lt;&gt;1,AI501&lt;&gt;"Oui",AJ501=""),"",IF(AK501="",IF(NOW()&gt;AJ501+1,0,""),IF(AK501&lt;=AJ501,1,0)))</f>
        <v/>
      </c>
    </row>
    <row r="502" customFormat="false" ht="15" hidden="false" customHeight="false" outlineLevel="0" collapsed="false">
      <c r="B502" s="29"/>
      <c r="C502" s="29"/>
      <c r="D502" s="29"/>
      <c r="E502" s="29"/>
      <c r="F502" s="29"/>
      <c r="G502" s="29"/>
      <c r="H502" s="29"/>
      <c r="I502" s="29"/>
      <c r="J502" s="29"/>
      <c r="K502" s="29"/>
      <c r="L502" s="29"/>
      <c r="M502" s="29"/>
      <c r="N502" s="30"/>
      <c r="O502" s="30"/>
      <c r="P502" s="30"/>
      <c r="Q502" s="30"/>
      <c r="R502" s="30"/>
      <c r="S502" s="30"/>
      <c r="T502" s="30"/>
      <c r="U502" s="30"/>
      <c r="V502" s="31"/>
      <c r="W502" s="29"/>
      <c r="X502" s="29"/>
      <c r="Y502" s="29"/>
      <c r="Z502" s="29"/>
      <c r="AA502" s="30"/>
      <c r="AB502" s="30"/>
      <c r="AC502" s="30"/>
      <c r="AD502" s="30"/>
      <c r="AE502" s="30"/>
      <c r="AF502" s="32"/>
      <c r="AG502" s="33"/>
      <c r="AH502" s="33"/>
      <c r="AI502" s="29"/>
      <c r="AJ502" s="32"/>
      <c r="AK502" s="32"/>
      <c r="AL502" s="29"/>
      <c r="AN502" s="34" t="str">
        <f aca="false">IF($B502="","",IF(OR(C502="",D502="",E502="",G502="",I502="",J502="",L502="",O502="",P502=""),"Champ obligatoire manquant",IF(OR(AND(N502&lt;&gt;"",N502&gt;O502),O502&gt;P502,AND(Q502&lt;&gt;"",Q502&lt;P502),AND(R502&lt;&gt;"",R502&lt;P502),AND(S502&lt;&gt;"",S502&lt;R502),AND(S502&lt;&gt;"",R502=""),AND(T502&lt;&gt;"",T502&lt;O502),AND(U502&lt;&gt;"",U502&lt;O502)),"Chronologie incohérente",IF(AND(OR(L502="Résolu",L502="Clos"),R502=""),"Date de résolution manquante",IF(AND(L502="Clos",S502=""),"Date de clôture manquante",IF(AND(K502="Oui",AC502=""),"Classification DORA manquante","OK"))))))</f>
        <v/>
      </c>
      <c r="AO502" s="35" t="str">
        <f aca="false">IF($B502="","",IF(AND(C502="Incident",L502&lt;&gt;"Annulé"),1,0))</f>
        <v/>
      </c>
      <c r="AP502" s="35" t="str">
        <f aca="false">IF($B502="","",IF(AND(C502="Quasi-incident",L502&lt;&gt;"Annulé"),1,0))</f>
        <v/>
      </c>
      <c r="AQ502" s="35" t="str">
        <f aca="false">IF($B502="","",AO502+AP502)</f>
        <v/>
      </c>
      <c r="AR502" s="36" t="str">
        <f aca="false">IF(OR($B502="",J502=""),"",IFERROR(VALUE(LEFT(J502,1)),""))</f>
        <v/>
      </c>
      <c r="AS502" s="35" t="str">
        <f aca="false">IF(OR(AO502&lt;&gt;1,G502=""),"",IFERROR(IF(INDEX(L_SrcInterne,MATCH(G502,L_Sources,0))="Oui",1,0),""))</f>
        <v/>
      </c>
      <c r="AT502" s="37" t="str">
        <f aca="false">IF(AO502&lt;&gt;1,"",IFERROR(ROUND(IF(OR(N502="",O502=""),"",IF(O502&lt;N502,"",ROUND(((NETWORKDAYS(N502,O502,JoursFeries)-1)*(HFer-HOuv)+IF(NETWORKDAYS(O502,O502,JoursFeries),MEDIAN(MOD(O502,1),HFer,HOuv),HFer)-IF(NETWORKDAYS(N502,N502,JoursFeries),MEDIAN(MOD(N502,1),HFer,HOuv),HOuv))*24,4)))/HJour,4),""))</f>
        <v/>
      </c>
      <c r="AU502" s="37" t="str">
        <f aca="false">IF(AO502&lt;&gt;1,"",IF(OR(O502="",P502=""),"",IF(P502&lt;O502,"",ROUND(((NETWORKDAYS(O502,P502,JoursFeries)-1)*(HFer-HOuv)+IF(NETWORKDAYS(P502,P502,JoursFeries),MEDIAN(MOD(P502,1),HFer,HOuv),HFer)-IF(NETWORKDAYS(O502,O502,JoursFeries),MEDIAN(MOD(O502,1),HFer,HOuv),HOuv))*24,4))))</f>
        <v/>
      </c>
      <c r="AV502" s="37" t="str">
        <f aca="false">IF(AO502&lt;&gt;1,"",IF(OR(P502="",Q502=""),"",IF(Q502&lt;P502,"",ROUND(((NETWORKDAYS(P502,Q502,JoursFeries)-1)*(HFer-HOuv)+IF(NETWORKDAYS(Q502,Q502,JoursFeries),MEDIAN(MOD(Q502,1),HFer,HOuv),HFer)-IF(NETWORKDAYS(P502,P502,JoursFeries),MEDIAN(MOD(P502,1),HFer,HOuv),HOuv))*24,4))))</f>
        <v/>
      </c>
      <c r="AW502" s="37" t="str">
        <f aca="false">IF(AO502&lt;&gt;1,"",IFERROR(ROUND(IF(OR(P502="",R502=""),"",IF(R502&lt;P502,"",ROUND(((NETWORKDAYS(P502,R502,JoursFeries)-1)*(HFer-HOuv)+IF(NETWORKDAYS(R502,R502,JoursFeries),MEDIAN(MOD(R502,1),HFer,HOuv),HFer)-IF(NETWORKDAYS(P502,P502,JoursFeries),MEDIAN(MOD(P502,1),HFer,HOuv),HOuv))*24,4)))/HJour,4),""))</f>
        <v/>
      </c>
      <c r="AX502" s="37" t="str">
        <f aca="false">IF(AO502&lt;&gt;1,"",IFERROR(ROUND(IF(OR(P502="",S502=""),"",IF(S502&lt;P502,"",ROUND(((NETWORKDAYS(P502,S502,JoursFeries)-1)*(HFer-HOuv)+IF(NETWORKDAYS(S502,S502,JoursFeries),MEDIAN(MOD(S502,1),HFer,HOuv),HFer)-IF(NETWORKDAYS(P502,P502,JoursFeries),MEDIAN(MOD(P502,1),HFer,HOuv),HOuv))*24,4)))/HJour,4),""))</f>
        <v/>
      </c>
      <c r="AY502" s="36" t="str">
        <f aca="false">IF(OR(AO502&lt;&gt;1,AR502=""),"",INDEX(SLA_PEC,AR502))</f>
        <v/>
      </c>
      <c r="AZ502" s="35" t="str">
        <f aca="false">IF(OR(AV502="",AY502=""),"",IF(AV502&lt;=AY502,1,0))</f>
        <v/>
      </c>
      <c r="BA502" s="36" t="str">
        <f aca="false">IF(OR(AO502&lt;&gt;1,AR502=""),"",INDEX(SLA_RES,AR502))</f>
        <v/>
      </c>
      <c r="BB502" s="35" t="str">
        <f aca="false">IF(OR(AW502="",BA502=""),"",IF(AW502&lt;=BA502,1,0))</f>
        <v/>
      </c>
      <c r="BC502" s="38" t="str">
        <f aca="false">IF(OR(BA502="",P502=""),"",WORKDAY(INT(P502),BA502,JoursFeries)+MOD(P502,1))</f>
        <v/>
      </c>
      <c r="BD502" s="39" t="str">
        <f aca="false">IF(AO502&lt;&gt;1,"",IF(OR(AB502&lt;&gt;"",AD502&lt;&gt;""),4,IF(U502&lt;&gt;"",3,IF(T502&lt;&gt;"",2,1))))</f>
        <v/>
      </c>
      <c r="BE502" s="39" t="str">
        <f aca="false">IF(OR(AO502&lt;&gt;1,AR502=""),"",INDEX(NIV_REQ,AR502))</f>
        <v/>
      </c>
      <c r="BF502" s="39" t="str">
        <f aca="false">IF(BE502="","",MAX(BE502,IF(OR(K502="Oui",Z502="Oui"),4,1)))</f>
        <v/>
      </c>
      <c r="BG502" s="35" t="str">
        <f aca="false">IF(OR(BF502="",BD502=""),"",IF(BD502&gt;=BF502,1,0))</f>
        <v/>
      </c>
      <c r="BH502" s="38" t="str">
        <f aca="false">IF(BE502="","",IF(BE502&lt;2,"",IF(BE502=2,IF(AND(T502="",U502=""),"",MIN(T502,U502)),IF(U502="","",U502))))</f>
        <v/>
      </c>
      <c r="BI502" s="37" t="str">
        <f aca="false">IF(BH502="","",IF(OR(O502="",BH502=""),"",IF(BH502&lt;O502,"",ROUND(((NETWORKDAYS(O502,BH502,JoursFeries)-1)*(HFer-HOuv)+IF(NETWORKDAYS(BH502,BH502,JoursFeries),MEDIAN(MOD(BH502,1),HFer,HOuv),HFer)-IF(NETWORKDAYS(O502,O502,JoursFeries),MEDIAN(MOD(O502,1),HFer,HOuv),HOuv))*24,4))))</f>
        <v/>
      </c>
      <c r="BJ502" s="35" t="str">
        <f aca="false">IF(OR(BI502="",AR502=""),"",IF(BI502&lt;=INDEX(DELAI_ESC,AR502),1,0))</f>
        <v/>
      </c>
      <c r="BK502" s="38" t="str">
        <f aca="false">IF(AO502&lt;&gt;1,"",IF(AND(T502="",U502=""),"",MIN(T502,U502)))</f>
        <v/>
      </c>
      <c r="BL502" s="37" t="str">
        <f aca="false">IF(OR(BK502="",R502=""),"",IFERROR(ROUND(IF(OR(BK502="",R502=""),"",IF(R502&lt;BK502,"",ROUND(((NETWORKDAYS(BK502,R502,JoursFeries)-1)*(HFer-HOuv)+IF(NETWORKDAYS(R502,R502,JoursFeries),MEDIAN(MOD(R502,1),HFer,HOuv),HFer)-IF(NETWORKDAYS(BK502,BK502,JoursFeries),MEDIAN(MOD(BK502,1),HFer,HOuv),HOuv))*24,4)))/HJour,4),""))</f>
        <v/>
      </c>
      <c r="BM502" s="35" t="str">
        <f aca="false">IF(OR(AO502&lt;&gt;1,R502=""),"",IF(BD502=1,1,0))</f>
        <v/>
      </c>
      <c r="BN502" s="35" t="str">
        <f aca="false">IF(AO502&lt;&gt;1,"",IF(W502="Oui",1,0))</f>
        <v/>
      </c>
      <c r="BO502" s="35" t="str">
        <f aca="false">IF(AO502&lt;&gt;1,"",IF(X502&lt;&gt;"",1,0))</f>
        <v/>
      </c>
      <c r="BP502" s="35" t="str">
        <f aca="false">IF(AO502&lt;&gt;1,"",IF(Y502="Oui",1,0))</f>
        <v/>
      </c>
      <c r="BQ502" s="35" t="str">
        <f aca="true">IF(OR(AO502&lt;&gt;1,Z502&lt;&gt;"Oui"),"",IF(AB502="",IF(AND(AA502&lt;&gt;"",NOW()&gt;AA502),0,""),IF(AA502="","",IF(AB502&lt;=AA502,1,0))))</f>
        <v/>
      </c>
      <c r="BR502" s="38" t="str">
        <f aca="false">IF(OR(AO502&lt;&gt;1,K502&lt;&gt;"Oui",O502=""),"",IF(AC502="",O502+DORA_H_DET/24,IF(AC502-O502&lt;=DORA_H_DET/24,MIN(AC502+DORA_H_CLA/24,O502+DORA_H_DET/24),AC502+DORA_H_CLA/24)))</f>
        <v/>
      </c>
      <c r="BS502" s="35" t="str">
        <f aca="true">IF(BR502="","",IF(AD502="",IF(NOW()&gt;BR502,0,""),IF(AD502&lt;=BR502,1,0)))</f>
        <v/>
      </c>
      <c r="BT502" s="35" t="str">
        <f aca="true">IF(OR(BR502="",AD502=""),"",IF(AE502="",IF(NOW()&gt;AD502+DORA_H_INT/24,0,""),IF(AE502&lt;=AD502+DORA_H_INT/24,1,0)))</f>
        <v/>
      </c>
      <c r="BU502" s="35" t="str">
        <f aca="true">IF(OR(BR502="",AE502=""),"",IF(AF502="",IF(NOW()&gt;EDATE(AE502,DORA_M_FIN)+1,0,""),IF(AF502&lt;=EDATE(AE502,DORA_M_FIN),1,0)))</f>
        <v/>
      </c>
      <c r="BV502" s="35" t="str">
        <f aca="false">IF(BR502="","",IF(COUNT(BS502:BU502)=0,"",MIN(BS502:BU502)))</f>
        <v/>
      </c>
      <c r="BW502" s="40" t="str">
        <f aca="false">IF(AQ502&lt;&gt;1,"",IF(AND(AG502="",AH502=""),"",N(AG502)-N(AH502)))</f>
        <v/>
      </c>
      <c r="BX502" s="35" t="str">
        <f aca="true">IF(OR(AQ502&lt;&gt;1,AI502&lt;&gt;"Oui",AJ502=""),"",IF(AK502="",IF(NOW()&gt;AJ502+1,0,""),IF(AK502&lt;=AJ502,1,0)))</f>
        <v/>
      </c>
    </row>
    <row r="503" customFormat="false" ht="15" hidden="false" customHeight="false" outlineLevel="0" collapsed="false">
      <c r="B503" s="29"/>
      <c r="C503" s="29"/>
      <c r="D503" s="29"/>
      <c r="E503" s="29"/>
      <c r="F503" s="29"/>
      <c r="G503" s="29"/>
      <c r="H503" s="29"/>
      <c r="I503" s="29"/>
      <c r="J503" s="29"/>
      <c r="K503" s="29"/>
      <c r="L503" s="29"/>
      <c r="M503" s="29"/>
      <c r="N503" s="30"/>
      <c r="O503" s="30"/>
      <c r="P503" s="30"/>
      <c r="Q503" s="30"/>
      <c r="R503" s="30"/>
      <c r="S503" s="30"/>
      <c r="T503" s="30"/>
      <c r="U503" s="30"/>
      <c r="V503" s="31"/>
      <c r="W503" s="29"/>
      <c r="X503" s="29"/>
      <c r="Y503" s="29"/>
      <c r="Z503" s="29"/>
      <c r="AA503" s="30"/>
      <c r="AB503" s="30"/>
      <c r="AC503" s="30"/>
      <c r="AD503" s="30"/>
      <c r="AE503" s="30"/>
      <c r="AF503" s="32"/>
      <c r="AG503" s="33"/>
      <c r="AH503" s="33"/>
      <c r="AI503" s="29"/>
      <c r="AJ503" s="32"/>
      <c r="AK503" s="32"/>
      <c r="AL503" s="29"/>
      <c r="AN503" s="34" t="str">
        <f aca="false">IF($B503="","",IF(OR(C503="",D503="",E503="",G503="",I503="",J503="",L503="",O503="",P503=""),"Champ obligatoire manquant",IF(OR(AND(N503&lt;&gt;"",N503&gt;O503),O503&gt;P503,AND(Q503&lt;&gt;"",Q503&lt;P503),AND(R503&lt;&gt;"",R503&lt;P503),AND(S503&lt;&gt;"",S503&lt;R503),AND(S503&lt;&gt;"",R503=""),AND(T503&lt;&gt;"",T503&lt;O503),AND(U503&lt;&gt;"",U503&lt;O503)),"Chronologie incohérente",IF(AND(OR(L503="Résolu",L503="Clos"),R503=""),"Date de résolution manquante",IF(AND(L503="Clos",S503=""),"Date de clôture manquante",IF(AND(K503="Oui",AC503=""),"Classification DORA manquante","OK"))))))</f>
        <v/>
      </c>
      <c r="AO503" s="35" t="str">
        <f aca="false">IF($B503="","",IF(AND(C503="Incident",L503&lt;&gt;"Annulé"),1,0))</f>
        <v/>
      </c>
      <c r="AP503" s="35" t="str">
        <f aca="false">IF($B503="","",IF(AND(C503="Quasi-incident",L503&lt;&gt;"Annulé"),1,0))</f>
        <v/>
      </c>
      <c r="AQ503" s="35" t="str">
        <f aca="false">IF($B503="","",AO503+AP503)</f>
        <v/>
      </c>
      <c r="AR503" s="36" t="str">
        <f aca="false">IF(OR($B503="",J503=""),"",IFERROR(VALUE(LEFT(J503,1)),""))</f>
        <v/>
      </c>
      <c r="AS503" s="35" t="str">
        <f aca="false">IF(OR(AO503&lt;&gt;1,G503=""),"",IFERROR(IF(INDEX(L_SrcInterne,MATCH(G503,L_Sources,0))="Oui",1,0),""))</f>
        <v/>
      </c>
      <c r="AT503" s="37" t="str">
        <f aca="false">IF(AO503&lt;&gt;1,"",IFERROR(ROUND(IF(OR(N503="",O503=""),"",IF(O503&lt;N503,"",ROUND(((NETWORKDAYS(N503,O503,JoursFeries)-1)*(HFer-HOuv)+IF(NETWORKDAYS(O503,O503,JoursFeries),MEDIAN(MOD(O503,1),HFer,HOuv),HFer)-IF(NETWORKDAYS(N503,N503,JoursFeries),MEDIAN(MOD(N503,1),HFer,HOuv),HOuv))*24,4)))/HJour,4),""))</f>
        <v/>
      </c>
      <c r="AU503" s="37" t="str">
        <f aca="false">IF(AO503&lt;&gt;1,"",IF(OR(O503="",P503=""),"",IF(P503&lt;O503,"",ROUND(((NETWORKDAYS(O503,P503,JoursFeries)-1)*(HFer-HOuv)+IF(NETWORKDAYS(P503,P503,JoursFeries),MEDIAN(MOD(P503,1),HFer,HOuv),HFer)-IF(NETWORKDAYS(O503,O503,JoursFeries),MEDIAN(MOD(O503,1),HFer,HOuv),HOuv))*24,4))))</f>
        <v/>
      </c>
      <c r="AV503" s="37" t="str">
        <f aca="false">IF(AO503&lt;&gt;1,"",IF(OR(P503="",Q503=""),"",IF(Q503&lt;P503,"",ROUND(((NETWORKDAYS(P503,Q503,JoursFeries)-1)*(HFer-HOuv)+IF(NETWORKDAYS(Q503,Q503,JoursFeries),MEDIAN(MOD(Q503,1),HFer,HOuv),HFer)-IF(NETWORKDAYS(P503,P503,JoursFeries),MEDIAN(MOD(P503,1),HFer,HOuv),HOuv))*24,4))))</f>
        <v/>
      </c>
      <c r="AW503" s="37" t="str">
        <f aca="false">IF(AO503&lt;&gt;1,"",IFERROR(ROUND(IF(OR(P503="",R503=""),"",IF(R503&lt;P503,"",ROUND(((NETWORKDAYS(P503,R503,JoursFeries)-1)*(HFer-HOuv)+IF(NETWORKDAYS(R503,R503,JoursFeries),MEDIAN(MOD(R503,1),HFer,HOuv),HFer)-IF(NETWORKDAYS(P503,P503,JoursFeries),MEDIAN(MOD(P503,1),HFer,HOuv),HOuv))*24,4)))/HJour,4),""))</f>
        <v/>
      </c>
      <c r="AX503" s="37" t="str">
        <f aca="false">IF(AO503&lt;&gt;1,"",IFERROR(ROUND(IF(OR(P503="",S503=""),"",IF(S503&lt;P503,"",ROUND(((NETWORKDAYS(P503,S503,JoursFeries)-1)*(HFer-HOuv)+IF(NETWORKDAYS(S503,S503,JoursFeries),MEDIAN(MOD(S503,1),HFer,HOuv),HFer)-IF(NETWORKDAYS(P503,P503,JoursFeries),MEDIAN(MOD(P503,1),HFer,HOuv),HOuv))*24,4)))/HJour,4),""))</f>
        <v/>
      </c>
      <c r="AY503" s="36" t="str">
        <f aca="false">IF(OR(AO503&lt;&gt;1,AR503=""),"",INDEX(SLA_PEC,AR503))</f>
        <v/>
      </c>
      <c r="AZ503" s="35" t="str">
        <f aca="false">IF(OR(AV503="",AY503=""),"",IF(AV503&lt;=AY503,1,0))</f>
        <v/>
      </c>
      <c r="BA503" s="36" t="str">
        <f aca="false">IF(OR(AO503&lt;&gt;1,AR503=""),"",INDEX(SLA_RES,AR503))</f>
        <v/>
      </c>
      <c r="BB503" s="35" t="str">
        <f aca="false">IF(OR(AW503="",BA503=""),"",IF(AW503&lt;=BA503,1,0))</f>
        <v/>
      </c>
      <c r="BC503" s="38" t="str">
        <f aca="false">IF(OR(BA503="",P503=""),"",WORKDAY(INT(P503),BA503,JoursFeries)+MOD(P503,1))</f>
        <v/>
      </c>
      <c r="BD503" s="39" t="str">
        <f aca="false">IF(AO503&lt;&gt;1,"",IF(OR(AB503&lt;&gt;"",AD503&lt;&gt;""),4,IF(U503&lt;&gt;"",3,IF(T503&lt;&gt;"",2,1))))</f>
        <v/>
      </c>
      <c r="BE503" s="39" t="str">
        <f aca="false">IF(OR(AO503&lt;&gt;1,AR503=""),"",INDEX(NIV_REQ,AR503))</f>
        <v/>
      </c>
      <c r="BF503" s="39" t="str">
        <f aca="false">IF(BE503="","",MAX(BE503,IF(OR(K503="Oui",Z503="Oui"),4,1)))</f>
        <v/>
      </c>
      <c r="BG503" s="35" t="str">
        <f aca="false">IF(OR(BF503="",BD503=""),"",IF(BD503&gt;=BF503,1,0))</f>
        <v/>
      </c>
      <c r="BH503" s="38" t="str">
        <f aca="false">IF(BE503="","",IF(BE503&lt;2,"",IF(BE503=2,IF(AND(T503="",U503=""),"",MIN(T503,U503)),IF(U503="","",U503))))</f>
        <v/>
      </c>
      <c r="BI503" s="37" t="str">
        <f aca="false">IF(BH503="","",IF(OR(O503="",BH503=""),"",IF(BH503&lt;O503,"",ROUND(((NETWORKDAYS(O503,BH503,JoursFeries)-1)*(HFer-HOuv)+IF(NETWORKDAYS(BH503,BH503,JoursFeries),MEDIAN(MOD(BH503,1),HFer,HOuv),HFer)-IF(NETWORKDAYS(O503,O503,JoursFeries),MEDIAN(MOD(O503,1),HFer,HOuv),HOuv))*24,4))))</f>
        <v/>
      </c>
      <c r="BJ503" s="35" t="str">
        <f aca="false">IF(OR(BI503="",AR503=""),"",IF(BI503&lt;=INDEX(DELAI_ESC,AR503),1,0))</f>
        <v/>
      </c>
      <c r="BK503" s="38" t="str">
        <f aca="false">IF(AO503&lt;&gt;1,"",IF(AND(T503="",U503=""),"",MIN(T503,U503)))</f>
        <v/>
      </c>
      <c r="BL503" s="37" t="str">
        <f aca="false">IF(OR(BK503="",R503=""),"",IFERROR(ROUND(IF(OR(BK503="",R503=""),"",IF(R503&lt;BK503,"",ROUND(((NETWORKDAYS(BK503,R503,JoursFeries)-1)*(HFer-HOuv)+IF(NETWORKDAYS(R503,R503,JoursFeries),MEDIAN(MOD(R503,1),HFer,HOuv),HFer)-IF(NETWORKDAYS(BK503,BK503,JoursFeries),MEDIAN(MOD(BK503,1),HFer,HOuv),HOuv))*24,4)))/HJour,4),""))</f>
        <v/>
      </c>
      <c r="BM503" s="35" t="str">
        <f aca="false">IF(OR(AO503&lt;&gt;1,R503=""),"",IF(BD503=1,1,0))</f>
        <v/>
      </c>
      <c r="BN503" s="35" t="str">
        <f aca="false">IF(AO503&lt;&gt;1,"",IF(W503="Oui",1,0))</f>
        <v/>
      </c>
      <c r="BO503" s="35" t="str">
        <f aca="false">IF(AO503&lt;&gt;1,"",IF(X503&lt;&gt;"",1,0))</f>
        <v/>
      </c>
      <c r="BP503" s="35" t="str">
        <f aca="false">IF(AO503&lt;&gt;1,"",IF(Y503="Oui",1,0))</f>
        <v/>
      </c>
      <c r="BQ503" s="35" t="str">
        <f aca="true">IF(OR(AO503&lt;&gt;1,Z503&lt;&gt;"Oui"),"",IF(AB503="",IF(AND(AA503&lt;&gt;"",NOW()&gt;AA503),0,""),IF(AA503="","",IF(AB503&lt;=AA503,1,0))))</f>
        <v/>
      </c>
      <c r="BR503" s="38" t="str">
        <f aca="false">IF(OR(AO503&lt;&gt;1,K503&lt;&gt;"Oui",O503=""),"",IF(AC503="",O503+DORA_H_DET/24,IF(AC503-O503&lt;=DORA_H_DET/24,MIN(AC503+DORA_H_CLA/24,O503+DORA_H_DET/24),AC503+DORA_H_CLA/24)))</f>
        <v/>
      </c>
      <c r="BS503" s="35" t="str">
        <f aca="true">IF(BR503="","",IF(AD503="",IF(NOW()&gt;BR503,0,""),IF(AD503&lt;=BR503,1,0)))</f>
        <v/>
      </c>
      <c r="BT503" s="35" t="str">
        <f aca="true">IF(OR(BR503="",AD503=""),"",IF(AE503="",IF(NOW()&gt;AD503+DORA_H_INT/24,0,""),IF(AE503&lt;=AD503+DORA_H_INT/24,1,0)))</f>
        <v/>
      </c>
      <c r="BU503" s="35" t="str">
        <f aca="true">IF(OR(BR503="",AE503=""),"",IF(AF503="",IF(NOW()&gt;EDATE(AE503,DORA_M_FIN)+1,0,""),IF(AF503&lt;=EDATE(AE503,DORA_M_FIN),1,0)))</f>
        <v/>
      </c>
      <c r="BV503" s="35" t="str">
        <f aca="false">IF(BR503="","",IF(COUNT(BS503:BU503)=0,"",MIN(BS503:BU503)))</f>
        <v/>
      </c>
      <c r="BW503" s="40" t="str">
        <f aca="false">IF(AQ503&lt;&gt;1,"",IF(AND(AG503="",AH503=""),"",N(AG503)-N(AH503)))</f>
        <v/>
      </c>
      <c r="BX503" s="35" t="str">
        <f aca="true">IF(OR(AQ503&lt;&gt;1,AI503&lt;&gt;"Oui",AJ503=""),"",IF(AK503="",IF(NOW()&gt;AJ503+1,0,""),IF(AK503&lt;=AJ503,1,0)))</f>
        <v/>
      </c>
    </row>
    <row r="504" customFormat="false" ht="15" hidden="false" customHeight="false" outlineLevel="0" collapsed="false">
      <c r="B504" s="29"/>
      <c r="C504" s="29"/>
      <c r="D504" s="29"/>
      <c r="E504" s="29"/>
      <c r="F504" s="29"/>
      <c r="G504" s="29"/>
      <c r="H504" s="29"/>
      <c r="I504" s="29"/>
      <c r="J504" s="29"/>
      <c r="K504" s="29"/>
      <c r="L504" s="29"/>
      <c r="M504" s="29"/>
      <c r="N504" s="30"/>
      <c r="O504" s="30"/>
      <c r="P504" s="30"/>
      <c r="Q504" s="30"/>
      <c r="R504" s="30"/>
      <c r="S504" s="30"/>
      <c r="T504" s="30"/>
      <c r="U504" s="30"/>
      <c r="V504" s="31"/>
      <c r="W504" s="29"/>
      <c r="X504" s="29"/>
      <c r="Y504" s="29"/>
      <c r="Z504" s="29"/>
      <c r="AA504" s="30"/>
      <c r="AB504" s="30"/>
      <c r="AC504" s="30"/>
      <c r="AD504" s="30"/>
      <c r="AE504" s="30"/>
      <c r="AF504" s="32"/>
      <c r="AG504" s="33"/>
      <c r="AH504" s="33"/>
      <c r="AI504" s="29"/>
      <c r="AJ504" s="32"/>
      <c r="AK504" s="32"/>
      <c r="AL504" s="29"/>
      <c r="AN504" s="34" t="str">
        <f aca="false">IF($B504="","",IF(OR(C504="",D504="",E504="",G504="",I504="",J504="",L504="",O504="",P504=""),"Champ obligatoire manquant",IF(OR(AND(N504&lt;&gt;"",N504&gt;O504),O504&gt;P504,AND(Q504&lt;&gt;"",Q504&lt;P504),AND(R504&lt;&gt;"",R504&lt;P504),AND(S504&lt;&gt;"",S504&lt;R504),AND(S504&lt;&gt;"",R504=""),AND(T504&lt;&gt;"",T504&lt;O504),AND(U504&lt;&gt;"",U504&lt;O504)),"Chronologie incohérente",IF(AND(OR(L504="Résolu",L504="Clos"),R504=""),"Date de résolution manquante",IF(AND(L504="Clos",S504=""),"Date de clôture manquante",IF(AND(K504="Oui",AC504=""),"Classification DORA manquante","OK"))))))</f>
        <v/>
      </c>
      <c r="AO504" s="35" t="str">
        <f aca="false">IF($B504="","",IF(AND(C504="Incident",L504&lt;&gt;"Annulé"),1,0))</f>
        <v/>
      </c>
      <c r="AP504" s="35" t="str">
        <f aca="false">IF($B504="","",IF(AND(C504="Quasi-incident",L504&lt;&gt;"Annulé"),1,0))</f>
        <v/>
      </c>
      <c r="AQ504" s="35" t="str">
        <f aca="false">IF($B504="","",AO504+AP504)</f>
        <v/>
      </c>
      <c r="AR504" s="36" t="str">
        <f aca="false">IF(OR($B504="",J504=""),"",IFERROR(VALUE(LEFT(J504,1)),""))</f>
        <v/>
      </c>
      <c r="AS504" s="35" t="str">
        <f aca="false">IF(OR(AO504&lt;&gt;1,G504=""),"",IFERROR(IF(INDEX(L_SrcInterne,MATCH(G504,L_Sources,0))="Oui",1,0),""))</f>
        <v/>
      </c>
      <c r="AT504" s="37" t="str">
        <f aca="false">IF(AO504&lt;&gt;1,"",IFERROR(ROUND(IF(OR(N504="",O504=""),"",IF(O504&lt;N504,"",ROUND(((NETWORKDAYS(N504,O504,JoursFeries)-1)*(HFer-HOuv)+IF(NETWORKDAYS(O504,O504,JoursFeries),MEDIAN(MOD(O504,1),HFer,HOuv),HFer)-IF(NETWORKDAYS(N504,N504,JoursFeries),MEDIAN(MOD(N504,1),HFer,HOuv),HOuv))*24,4)))/HJour,4),""))</f>
        <v/>
      </c>
      <c r="AU504" s="37" t="str">
        <f aca="false">IF(AO504&lt;&gt;1,"",IF(OR(O504="",P504=""),"",IF(P504&lt;O504,"",ROUND(((NETWORKDAYS(O504,P504,JoursFeries)-1)*(HFer-HOuv)+IF(NETWORKDAYS(P504,P504,JoursFeries),MEDIAN(MOD(P504,1),HFer,HOuv),HFer)-IF(NETWORKDAYS(O504,O504,JoursFeries),MEDIAN(MOD(O504,1),HFer,HOuv),HOuv))*24,4))))</f>
        <v/>
      </c>
      <c r="AV504" s="37" t="str">
        <f aca="false">IF(AO504&lt;&gt;1,"",IF(OR(P504="",Q504=""),"",IF(Q504&lt;P504,"",ROUND(((NETWORKDAYS(P504,Q504,JoursFeries)-1)*(HFer-HOuv)+IF(NETWORKDAYS(Q504,Q504,JoursFeries),MEDIAN(MOD(Q504,1),HFer,HOuv),HFer)-IF(NETWORKDAYS(P504,P504,JoursFeries),MEDIAN(MOD(P504,1),HFer,HOuv),HOuv))*24,4))))</f>
        <v/>
      </c>
      <c r="AW504" s="37" t="str">
        <f aca="false">IF(AO504&lt;&gt;1,"",IFERROR(ROUND(IF(OR(P504="",R504=""),"",IF(R504&lt;P504,"",ROUND(((NETWORKDAYS(P504,R504,JoursFeries)-1)*(HFer-HOuv)+IF(NETWORKDAYS(R504,R504,JoursFeries),MEDIAN(MOD(R504,1),HFer,HOuv),HFer)-IF(NETWORKDAYS(P504,P504,JoursFeries),MEDIAN(MOD(P504,1),HFer,HOuv),HOuv))*24,4)))/HJour,4),""))</f>
        <v/>
      </c>
      <c r="AX504" s="37" t="str">
        <f aca="false">IF(AO504&lt;&gt;1,"",IFERROR(ROUND(IF(OR(P504="",S504=""),"",IF(S504&lt;P504,"",ROUND(((NETWORKDAYS(P504,S504,JoursFeries)-1)*(HFer-HOuv)+IF(NETWORKDAYS(S504,S504,JoursFeries),MEDIAN(MOD(S504,1),HFer,HOuv),HFer)-IF(NETWORKDAYS(P504,P504,JoursFeries),MEDIAN(MOD(P504,1),HFer,HOuv),HOuv))*24,4)))/HJour,4),""))</f>
        <v/>
      </c>
      <c r="AY504" s="36" t="str">
        <f aca="false">IF(OR(AO504&lt;&gt;1,AR504=""),"",INDEX(SLA_PEC,AR504))</f>
        <v/>
      </c>
      <c r="AZ504" s="35" t="str">
        <f aca="false">IF(OR(AV504="",AY504=""),"",IF(AV504&lt;=AY504,1,0))</f>
        <v/>
      </c>
      <c r="BA504" s="36" t="str">
        <f aca="false">IF(OR(AO504&lt;&gt;1,AR504=""),"",INDEX(SLA_RES,AR504))</f>
        <v/>
      </c>
      <c r="BB504" s="35" t="str">
        <f aca="false">IF(OR(AW504="",BA504=""),"",IF(AW504&lt;=BA504,1,0))</f>
        <v/>
      </c>
      <c r="BC504" s="38" t="str">
        <f aca="false">IF(OR(BA504="",P504=""),"",WORKDAY(INT(P504),BA504,JoursFeries)+MOD(P504,1))</f>
        <v/>
      </c>
      <c r="BD504" s="39" t="str">
        <f aca="false">IF(AO504&lt;&gt;1,"",IF(OR(AB504&lt;&gt;"",AD504&lt;&gt;""),4,IF(U504&lt;&gt;"",3,IF(T504&lt;&gt;"",2,1))))</f>
        <v/>
      </c>
      <c r="BE504" s="39" t="str">
        <f aca="false">IF(OR(AO504&lt;&gt;1,AR504=""),"",INDEX(NIV_REQ,AR504))</f>
        <v/>
      </c>
      <c r="BF504" s="39" t="str">
        <f aca="false">IF(BE504="","",MAX(BE504,IF(OR(K504="Oui",Z504="Oui"),4,1)))</f>
        <v/>
      </c>
      <c r="BG504" s="35" t="str">
        <f aca="false">IF(OR(BF504="",BD504=""),"",IF(BD504&gt;=BF504,1,0))</f>
        <v/>
      </c>
      <c r="BH504" s="38" t="str">
        <f aca="false">IF(BE504="","",IF(BE504&lt;2,"",IF(BE504=2,IF(AND(T504="",U504=""),"",MIN(T504,U504)),IF(U504="","",U504))))</f>
        <v/>
      </c>
      <c r="BI504" s="37" t="str">
        <f aca="false">IF(BH504="","",IF(OR(O504="",BH504=""),"",IF(BH504&lt;O504,"",ROUND(((NETWORKDAYS(O504,BH504,JoursFeries)-1)*(HFer-HOuv)+IF(NETWORKDAYS(BH504,BH504,JoursFeries),MEDIAN(MOD(BH504,1),HFer,HOuv),HFer)-IF(NETWORKDAYS(O504,O504,JoursFeries),MEDIAN(MOD(O504,1),HFer,HOuv),HOuv))*24,4))))</f>
        <v/>
      </c>
      <c r="BJ504" s="35" t="str">
        <f aca="false">IF(OR(BI504="",AR504=""),"",IF(BI504&lt;=INDEX(DELAI_ESC,AR504),1,0))</f>
        <v/>
      </c>
      <c r="BK504" s="38" t="str">
        <f aca="false">IF(AO504&lt;&gt;1,"",IF(AND(T504="",U504=""),"",MIN(T504,U504)))</f>
        <v/>
      </c>
      <c r="BL504" s="37" t="str">
        <f aca="false">IF(OR(BK504="",R504=""),"",IFERROR(ROUND(IF(OR(BK504="",R504=""),"",IF(R504&lt;BK504,"",ROUND(((NETWORKDAYS(BK504,R504,JoursFeries)-1)*(HFer-HOuv)+IF(NETWORKDAYS(R504,R504,JoursFeries),MEDIAN(MOD(R504,1),HFer,HOuv),HFer)-IF(NETWORKDAYS(BK504,BK504,JoursFeries),MEDIAN(MOD(BK504,1),HFer,HOuv),HOuv))*24,4)))/HJour,4),""))</f>
        <v/>
      </c>
      <c r="BM504" s="35" t="str">
        <f aca="false">IF(OR(AO504&lt;&gt;1,R504=""),"",IF(BD504=1,1,0))</f>
        <v/>
      </c>
      <c r="BN504" s="35" t="str">
        <f aca="false">IF(AO504&lt;&gt;1,"",IF(W504="Oui",1,0))</f>
        <v/>
      </c>
      <c r="BO504" s="35" t="str">
        <f aca="false">IF(AO504&lt;&gt;1,"",IF(X504&lt;&gt;"",1,0))</f>
        <v/>
      </c>
      <c r="BP504" s="35" t="str">
        <f aca="false">IF(AO504&lt;&gt;1,"",IF(Y504="Oui",1,0))</f>
        <v/>
      </c>
      <c r="BQ504" s="35" t="str">
        <f aca="true">IF(OR(AO504&lt;&gt;1,Z504&lt;&gt;"Oui"),"",IF(AB504="",IF(AND(AA504&lt;&gt;"",NOW()&gt;AA504),0,""),IF(AA504="","",IF(AB504&lt;=AA504,1,0))))</f>
        <v/>
      </c>
      <c r="BR504" s="38" t="str">
        <f aca="false">IF(OR(AO504&lt;&gt;1,K504&lt;&gt;"Oui",O504=""),"",IF(AC504="",O504+DORA_H_DET/24,IF(AC504-O504&lt;=DORA_H_DET/24,MIN(AC504+DORA_H_CLA/24,O504+DORA_H_DET/24),AC504+DORA_H_CLA/24)))</f>
        <v/>
      </c>
      <c r="BS504" s="35" t="str">
        <f aca="true">IF(BR504="","",IF(AD504="",IF(NOW()&gt;BR504,0,""),IF(AD504&lt;=BR504,1,0)))</f>
        <v/>
      </c>
      <c r="BT504" s="35" t="str">
        <f aca="true">IF(OR(BR504="",AD504=""),"",IF(AE504="",IF(NOW()&gt;AD504+DORA_H_INT/24,0,""),IF(AE504&lt;=AD504+DORA_H_INT/24,1,0)))</f>
        <v/>
      </c>
      <c r="BU504" s="35" t="str">
        <f aca="true">IF(OR(BR504="",AE504=""),"",IF(AF504="",IF(NOW()&gt;EDATE(AE504,DORA_M_FIN)+1,0,""),IF(AF504&lt;=EDATE(AE504,DORA_M_FIN),1,0)))</f>
        <v/>
      </c>
      <c r="BV504" s="35" t="str">
        <f aca="false">IF(BR504="","",IF(COUNT(BS504:BU504)=0,"",MIN(BS504:BU504)))</f>
        <v/>
      </c>
      <c r="BW504" s="40" t="str">
        <f aca="false">IF(AQ504&lt;&gt;1,"",IF(AND(AG504="",AH504=""),"",N(AG504)-N(AH504)))</f>
        <v/>
      </c>
      <c r="BX504" s="35" t="str">
        <f aca="true">IF(OR(AQ504&lt;&gt;1,AI504&lt;&gt;"Oui",AJ504=""),"",IF(AK504="",IF(NOW()&gt;AJ504+1,0,""),IF(AK504&lt;=AJ504,1,0)))</f>
        <v/>
      </c>
    </row>
    <row r="505" customFormat="false" ht="15" hidden="false" customHeight="false" outlineLevel="0" collapsed="false">
      <c r="B505" s="29"/>
      <c r="C505" s="29"/>
      <c r="D505" s="29"/>
      <c r="E505" s="29"/>
      <c r="F505" s="29"/>
      <c r="G505" s="29"/>
      <c r="H505" s="29"/>
      <c r="I505" s="29"/>
      <c r="J505" s="29"/>
      <c r="K505" s="29"/>
      <c r="L505" s="29"/>
      <c r="M505" s="29"/>
      <c r="N505" s="30"/>
      <c r="O505" s="30"/>
      <c r="P505" s="30"/>
      <c r="Q505" s="30"/>
      <c r="R505" s="30"/>
      <c r="S505" s="30"/>
      <c r="T505" s="30"/>
      <c r="U505" s="30"/>
      <c r="V505" s="31"/>
      <c r="W505" s="29"/>
      <c r="X505" s="29"/>
      <c r="Y505" s="29"/>
      <c r="Z505" s="29"/>
      <c r="AA505" s="30"/>
      <c r="AB505" s="30"/>
      <c r="AC505" s="30"/>
      <c r="AD505" s="30"/>
      <c r="AE505" s="30"/>
      <c r="AF505" s="32"/>
      <c r="AG505" s="33"/>
      <c r="AH505" s="33"/>
      <c r="AI505" s="29"/>
      <c r="AJ505" s="32"/>
      <c r="AK505" s="32"/>
      <c r="AL505" s="29"/>
      <c r="AN505" s="34" t="str">
        <f aca="false">IF($B505="","",IF(OR(C505="",D505="",E505="",G505="",I505="",J505="",L505="",O505="",P505=""),"Champ obligatoire manquant",IF(OR(AND(N505&lt;&gt;"",N505&gt;O505),O505&gt;P505,AND(Q505&lt;&gt;"",Q505&lt;P505),AND(R505&lt;&gt;"",R505&lt;P505),AND(S505&lt;&gt;"",S505&lt;R505),AND(S505&lt;&gt;"",R505=""),AND(T505&lt;&gt;"",T505&lt;O505),AND(U505&lt;&gt;"",U505&lt;O505)),"Chronologie incohérente",IF(AND(OR(L505="Résolu",L505="Clos"),R505=""),"Date de résolution manquante",IF(AND(L505="Clos",S505=""),"Date de clôture manquante",IF(AND(K505="Oui",AC505=""),"Classification DORA manquante","OK"))))))</f>
        <v/>
      </c>
      <c r="AO505" s="35" t="str">
        <f aca="false">IF($B505="","",IF(AND(C505="Incident",L505&lt;&gt;"Annulé"),1,0))</f>
        <v/>
      </c>
      <c r="AP505" s="35" t="str">
        <f aca="false">IF($B505="","",IF(AND(C505="Quasi-incident",L505&lt;&gt;"Annulé"),1,0))</f>
        <v/>
      </c>
      <c r="AQ505" s="35" t="str">
        <f aca="false">IF($B505="","",AO505+AP505)</f>
        <v/>
      </c>
      <c r="AR505" s="36" t="str">
        <f aca="false">IF(OR($B505="",J505=""),"",IFERROR(VALUE(LEFT(J505,1)),""))</f>
        <v/>
      </c>
      <c r="AS505" s="35" t="str">
        <f aca="false">IF(OR(AO505&lt;&gt;1,G505=""),"",IFERROR(IF(INDEX(L_SrcInterne,MATCH(G505,L_Sources,0))="Oui",1,0),""))</f>
        <v/>
      </c>
      <c r="AT505" s="37" t="str">
        <f aca="false">IF(AO505&lt;&gt;1,"",IFERROR(ROUND(IF(OR(N505="",O505=""),"",IF(O505&lt;N505,"",ROUND(((NETWORKDAYS(N505,O505,JoursFeries)-1)*(HFer-HOuv)+IF(NETWORKDAYS(O505,O505,JoursFeries),MEDIAN(MOD(O505,1),HFer,HOuv),HFer)-IF(NETWORKDAYS(N505,N505,JoursFeries),MEDIAN(MOD(N505,1),HFer,HOuv),HOuv))*24,4)))/HJour,4),""))</f>
        <v/>
      </c>
      <c r="AU505" s="37" t="str">
        <f aca="false">IF(AO505&lt;&gt;1,"",IF(OR(O505="",P505=""),"",IF(P505&lt;O505,"",ROUND(((NETWORKDAYS(O505,P505,JoursFeries)-1)*(HFer-HOuv)+IF(NETWORKDAYS(P505,P505,JoursFeries),MEDIAN(MOD(P505,1),HFer,HOuv),HFer)-IF(NETWORKDAYS(O505,O505,JoursFeries),MEDIAN(MOD(O505,1),HFer,HOuv),HOuv))*24,4))))</f>
        <v/>
      </c>
      <c r="AV505" s="37" t="str">
        <f aca="false">IF(AO505&lt;&gt;1,"",IF(OR(P505="",Q505=""),"",IF(Q505&lt;P505,"",ROUND(((NETWORKDAYS(P505,Q505,JoursFeries)-1)*(HFer-HOuv)+IF(NETWORKDAYS(Q505,Q505,JoursFeries),MEDIAN(MOD(Q505,1),HFer,HOuv),HFer)-IF(NETWORKDAYS(P505,P505,JoursFeries),MEDIAN(MOD(P505,1),HFer,HOuv),HOuv))*24,4))))</f>
        <v/>
      </c>
      <c r="AW505" s="37" t="str">
        <f aca="false">IF(AO505&lt;&gt;1,"",IFERROR(ROUND(IF(OR(P505="",R505=""),"",IF(R505&lt;P505,"",ROUND(((NETWORKDAYS(P505,R505,JoursFeries)-1)*(HFer-HOuv)+IF(NETWORKDAYS(R505,R505,JoursFeries),MEDIAN(MOD(R505,1),HFer,HOuv),HFer)-IF(NETWORKDAYS(P505,P505,JoursFeries),MEDIAN(MOD(P505,1),HFer,HOuv),HOuv))*24,4)))/HJour,4),""))</f>
        <v/>
      </c>
      <c r="AX505" s="37" t="str">
        <f aca="false">IF(AO505&lt;&gt;1,"",IFERROR(ROUND(IF(OR(P505="",S505=""),"",IF(S505&lt;P505,"",ROUND(((NETWORKDAYS(P505,S505,JoursFeries)-1)*(HFer-HOuv)+IF(NETWORKDAYS(S505,S505,JoursFeries),MEDIAN(MOD(S505,1),HFer,HOuv),HFer)-IF(NETWORKDAYS(P505,P505,JoursFeries),MEDIAN(MOD(P505,1),HFer,HOuv),HOuv))*24,4)))/HJour,4),""))</f>
        <v/>
      </c>
      <c r="AY505" s="36" t="str">
        <f aca="false">IF(OR(AO505&lt;&gt;1,AR505=""),"",INDEX(SLA_PEC,AR505))</f>
        <v/>
      </c>
      <c r="AZ505" s="35" t="str">
        <f aca="false">IF(OR(AV505="",AY505=""),"",IF(AV505&lt;=AY505,1,0))</f>
        <v/>
      </c>
      <c r="BA505" s="36" t="str">
        <f aca="false">IF(OR(AO505&lt;&gt;1,AR505=""),"",INDEX(SLA_RES,AR505))</f>
        <v/>
      </c>
      <c r="BB505" s="35" t="str">
        <f aca="false">IF(OR(AW505="",BA505=""),"",IF(AW505&lt;=BA505,1,0))</f>
        <v/>
      </c>
      <c r="BC505" s="38" t="str">
        <f aca="false">IF(OR(BA505="",P505=""),"",WORKDAY(INT(P505),BA505,JoursFeries)+MOD(P505,1))</f>
        <v/>
      </c>
      <c r="BD505" s="39" t="str">
        <f aca="false">IF(AO505&lt;&gt;1,"",IF(OR(AB505&lt;&gt;"",AD505&lt;&gt;""),4,IF(U505&lt;&gt;"",3,IF(T505&lt;&gt;"",2,1))))</f>
        <v/>
      </c>
      <c r="BE505" s="39" t="str">
        <f aca="false">IF(OR(AO505&lt;&gt;1,AR505=""),"",INDEX(NIV_REQ,AR505))</f>
        <v/>
      </c>
      <c r="BF505" s="39" t="str">
        <f aca="false">IF(BE505="","",MAX(BE505,IF(OR(K505="Oui",Z505="Oui"),4,1)))</f>
        <v/>
      </c>
      <c r="BG505" s="35" t="str">
        <f aca="false">IF(OR(BF505="",BD505=""),"",IF(BD505&gt;=BF505,1,0))</f>
        <v/>
      </c>
      <c r="BH505" s="38" t="str">
        <f aca="false">IF(BE505="","",IF(BE505&lt;2,"",IF(BE505=2,IF(AND(T505="",U505=""),"",MIN(T505,U505)),IF(U505="","",U505))))</f>
        <v/>
      </c>
      <c r="BI505" s="37" t="str">
        <f aca="false">IF(BH505="","",IF(OR(O505="",BH505=""),"",IF(BH505&lt;O505,"",ROUND(((NETWORKDAYS(O505,BH505,JoursFeries)-1)*(HFer-HOuv)+IF(NETWORKDAYS(BH505,BH505,JoursFeries),MEDIAN(MOD(BH505,1),HFer,HOuv),HFer)-IF(NETWORKDAYS(O505,O505,JoursFeries),MEDIAN(MOD(O505,1),HFer,HOuv),HOuv))*24,4))))</f>
        <v/>
      </c>
      <c r="BJ505" s="35" t="str">
        <f aca="false">IF(OR(BI505="",AR505=""),"",IF(BI505&lt;=INDEX(DELAI_ESC,AR505),1,0))</f>
        <v/>
      </c>
      <c r="BK505" s="38" t="str">
        <f aca="false">IF(AO505&lt;&gt;1,"",IF(AND(T505="",U505=""),"",MIN(T505,U505)))</f>
        <v/>
      </c>
      <c r="BL505" s="37" t="str">
        <f aca="false">IF(OR(BK505="",R505=""),"",IFERROR(ROUND(IF(OR(BK505="",R505=""),"",IF(R505&lt;BK505,"",ROUND(((NETWORKDAYS(BK505,R505,JoursFeries)-1)*(HFer-HOuv)+IF(NETWORKDAYS(R505,R505,JoursFeries),MEDIAN(MOD(R505,1),HFer,HOuv),HFer)-IF(NETWORKDAYS(BK505,BK505,JoursFeries),MEDIAN(MOD(BK505,1),HFer,HOuv),HOuv))*24,4)))/HJour,4),""))</f>
        <v/>
      </c>
      <c r="BM505" s="35" t="str">
        <f aca="false">IF(OR(AO505&lt;&gt;1,R505=""),"",IF(BD505=1,1,0))</f>
        <v/>
      </c>
      <c r="BN505" s="35" t="str">
        <f aca="false">IF(AO505&lt;&gt;1,"",IF(W505="Oui",1,0))</f>
        <v/>
      </c>
      <c r="BO505" s="35" t="str">
        <f aca="false">IF(AO505&lt;&gt;1,"",IF(X505&lt;&gt;"",1,0))</f>
        <v/>
      </c>
      <c r="BP505" s="35" t="str">
        <f aca="false">IF(AO505&lt;&gt;1,"",IF(Y505="Oui",1,0))</f>
        <v/>
      </c>
      <c r="BQ505" s="35" t="str">
        <f aca="true">IF(OR(AO505&lt;&gt;1,Z505&lt;&gt;"Oui"),"",IF(AB505="",IF(AND(AA505&lt;&gt;"",NOW()&gt;AA505),0,""),IF(AA505="","",IF(AB505&lt;=AA505,1,0))))</f>
        <v/>
      </c>
      <c r="BR505" s="38" t="str">
        <f aca="false">IF(OR(AO505&lt;&gt;1,K505&lt;&gt;"Oui",O505=""),"",IF(AC505="",O505+DORA_H_DET/24,IF(AC505-O505&lt;=DORA_H_DET/24,MIN(AC505+DORA_H_CLA/24,O505+DORA_H_DET/24),AC505+DORA_H_CLA/24)))</f>
        <v/>
      </c>
      <c r="BS505" s="35" t="str">
        <f aca="true">IF(BR505="","",IF(AD505="",IF(NOW()&gt;BR505,0,""),IF(AD505&lt;=BR505,1,0)))</f>
        <v/>
      </c>
      <c r="BT505" s="35" t="str">
        <f aca="true">IF(OR(BR505="",AD505=""),"",IF(AE505="",IF(NOW()&gt;AD505+DORA_H_INT/24,0,""),IF(AE505&lt;=AD505+DORA_H_INT/24,1,0)))</f>
        <v/>
      </c>
      <c r="BU505" s="35" t="str">
        <f aca="true">IF(OR(BR505="",AE505=""),"",IF(AF505="",IF(NOW()&gt;EDATE(AE505,DORA_M_FIN)+1,0,""),IF(AF505&lt;=EDATE(AE505,DORA_M_FIN),1,0)))</f>
        <v/>
      </c>
      <c r="BV505" s="35" t="str">
        <f aca="false">IF(BR505="","",IF(COUNT(BS505:BU505)=0,"",MIN(BS505:BU505)))</f>
        <v/>
      </c>
      <c r="BW505" s="40" t="str">
        <f aca="false">IF(AQ505&lt;&gt;1,"",IF(AND(AG505="",AH505=""),"",N(AG505)-N(AH505)))</f>
        <v/>
      </c>
      <c r="BX505" s="35" t="str">
        <f aca="true">IF(OR(AQ505&lt;&gt;1,AI505&lt;&gt;"Oui",AJ505=""),"",IF(AK505="",IF(NOW()&gt;AJ505+1,0,""),IF(AK505&lt;=AJ505,1,0)))</f>
        <v/>
      </c>
    </row>
    <row r="506" customFormat="false" ht="15" hidden="false" customHeight="false" outlineLevel="0" collapsed="false">
      <c r="B506" s="29"/>
      <c r="C506" s="29"/>
      <c r="D506" s="29"/>
      <c r="E506" s="29"/>
      <c r="F506" s="29"/>
      <c r="G506" s="29"/>
      <c r="H506" s="29"/>
      <c r="I506" s="29"/>
      <c r="J506" s="29"/>
      <c r="K506" s="29"/>
      <c r="L506" s="29"/>
      <c r="M506" s="29"/>
      <c r="N506" s="30"/>
      <c r="O506" s="30"/>
      <c r="P506" s="30"/>
      <c r="Q506" s="30"/>
      <c r="R506" s="30"/>
      <c r="S506" s="30"/>
      <c r="T506" s="30"/>
      <c r="U506" s="30"/>
      <c r="V506" s="31"/>
      <c r="W506" s="29"/>
      <c r="X506" s="29"/>
      <c r="Y506" s="29"/>
      <c r="Z506" s="29"/>
      <c r="AA506" s="30"/>
      <c r="AB506" s="30"/>
      <c r="AC506" s="30"/>
      <c r="AD506" s="30"/>
      <c r="AE506" s="30"/>
      <c r="AF506" s="32"/>
      <c r="AG506" s="33"/>
      <c r="AH506" s="33"/>
      <c r="AI506" s="29"/>
      <c r="AJ506" s="32"/>
      <c r="AK506" s="32"/>
      <c r="AL506" s="29"/>
      <c r="AN506" s="34" t="str">
        <f aca="false">IF($B506="","",IF(OR(C506="",D506="",E506="",G506="",I506="",J506="",L506="",O506="",P506=""),"Champ obligatoire manquant",IF(OR(AND(N506&lt;&gt;"",N506&gt;O506),O506&gt;P506,AND(Q506&lt;&gt;"",Q506&lt;P506),AND(R506&lt;&gt;"",R506&lt;P506),AND(S506&lt;&gt;"",S506&lt;R506),AND(S506&lt;&gt;"",R506=""),AND(T506&lt;&gt;"",T506&lt;O506),AND(U506&lt;&gt;"",U506&lt;O506)),"Chronologie incohérente",IF(AND(OR(L506="Résolu",L506="Clos"),R506=""),"Date de résolution manquante",IF(AND(L506="Clos",S506=""),"Date de clôture manquante",IF(AND(K506="Oui",AC506=""),"Classification DORA manquante","OK"))))))</f>
        <v/>
      </c>
      <c r="AO506" s="35" t="str">
        <f aca="false">IF($B506="","",IF(AND(C506="Incident",L506&lt;&gt;"Annulé"),1,0))</f>
        <v/>
      </c>
      <c r="AP506" s="35" t="str">
        <f aca="false">IF($B506="","",IF(AND(C506="Quasi-incident",L506&lt;&gt;"Annulé"),1,0))</f>
        <v/>
      </c>
      <c r="AQ506" s="35" t="str">
        <f aca="false">IF($B506="","",AO506+AP506)</f>
        <v/>
      </c>
      <c r="AR506" s="36" t="str">
        <f aca="false">IF(OR($B506="",J506=""),"",IFERROR(VALUE(LEFT(J506,1)),""))</f>
        <v/>
      </c>
      <c r="AS506" s="35" t="str">
        <f aca="false">IF(OR(AO506&lt;&gt;1,G506=""),"",IFERROR(IF(INDEX(L_SrcInterne,MATCH(G506,L_Sources,0))="Oui",1,0),""))</f>
        <v/>
      </c>
      <c r="AT506" s="37" t="str">
        <f aca="false">IF(AO506&lt;&gt;1,"",IFERROR(ROUND(IF(OR(N506="",O506=""),"",IF(O506&lt;N506,"",ROUND(((NETWORKDAYS(N506,O506,JoursFeries)-1)*(HFer-HOuv)+IF(NETWORKDAYS(O506,O506,JoursFeries),MEDIAN(MOD(O506,1),HFer,HOuv),HFer)-IF(NETWORKDAYS(N506,N506,JoursFeries),MEDIAN(MOD(N506,1),HFer,HOuv),HOuv))*24,4)))/HJour,4),""))</f>
        <v/>
      </c>
      <c r="AU506" s="37" t="str">
        <f aca="false">IF(AO506&lt;&gt;1,"",IF(OR(O506="",P506=""),"",IF(P506&lt;O506,"",ROUND(((NETWORKDAYS(O506,P506,JoursFeries)-1)*(HFer-HOuv)+IF(NETWORKDAYS(P506,P506,JoursFeries),MEDIAN(MOD(P506,1),HFer,HOuv),HFer)-IF(NETWORKDAYS(O506,O506,JoursFeries),MEDIAN(MOD(O506,1),HFer,HOuv),HOuv))*24,4))))</f>
        <v/>
      </c>
      <c r="AV506" s="37" t="str">
        <f aca="false">IF(AO506&lt;&gt;1,"",IF(OR(P506="",Q506=""),"",IF(Q506&lt;P506,"",ROUND(((NETWORKDAYS(P506,Q506,JoursFeries)-1)*(HFer-HOuv)+IF(NETWORKDAYS(Q506,Q506,JoursFeries),MEDIAN(MOD(Q506,1),HFer,HOuv),HFer)-IF(NETWORKDAYS(P506,P506,JoursFeries),MEDIAN(MOD(P506,1),HFer,HOuv),HOuv))*24,4))))</f>
        <v/>
      </c>
      <c r="AW506" s="37" t="str">
        <f aca="false">IF(AO506&lt;&gt;1,"",IFERROR(ROUND(IF(OR(P506="",R506=""),"",IF(R506&lt;P506,"",ROUND(((NETWORKDAYS(P506,R506,JoursFeries)-1)*(HFer-HOuv)+IF(NETWORKDAYS(R506,R506,JoursFeries),MEDIAN(MOD(R506,1),HFer,HOuv),HFer)-IF(NETWORKDAYS(P506,P506,JoursFeries),MEDIAN(MOD(P506,1),HFer,HOuv),HOuv))*24,4)))/HJour,4),""))</f>
        <v/>
      </c>
      <c r="AX506" s="37" t="str">
        <f aca="false">IF(AO506&lt;&gt;1,"",IFERROR(ROUND(IF(OR(P506="",S506=""),"",IF(S506&lt;P506,"",ROUND(((NETWORKDAYS(P506,S506,JoursFeries)-1)*(HFer-HOuv)+IF(NETWORKDAYS(S506,S506,JoursFeries),MEDIAN(MOD(S506,1),HFer,HOuv),HFer)-IF(NETWORKDAYS(P506,P506,JoursFeries),MEDIAN(MOD(P506,1),HFer,HOuv),HOuv))*24,4)))/HJour,4),""))</f>
        <v/>
      </c>
      <c r="AY506" s="36" t="str">
        <f aca="false">IF(OR(AO506&lt;&gt;1,AR506=""),"",INDEX(SLA_PEC,AR506))</f>
        <v/>
      </c>
      <c r="AZ506" s="35" t="str">
        <f aca="false">IF(OR(AV506="",AY506=""),"",IF(AV506&lt;=AY506,1,0))</f>
        <v/>
      </c>
      <c r="BA506" s="36" t="str">
        <f aca="false">IF(OR(AO506&lt;&gt;1,AR506=""),"",INDEX(SLA_RES,AR506))</f>
        <v/>
      </c>
      <c r="BB506" s="35" t="str">
        <f aca="false">IF(OR(AW506="",BA506=""),"",IF(AW506&lt;=BA506,1,0))</f>
        <v/>
      </c>
      <c r="BC506" s="38" t="str">
        <f aca="false">IF(OR(BA506="",P506=""),"",WORKDAY(INT(P506),BA506,JoursFeries)+MOD(P506,1))</f>
        <v/>
      </c>
      <c r="BD506" s="39" t="str">
        <f aca="false">IF(AO506&lt;&gt;1,"",IF(OR(AB506&lt;&gt;"",AD506&lt;&gt;""),4,IF(U506&lt;&gt;"",3,IF(T506&lt;&gt;"",2,1))))</f>
        <v/>
      </c>
      <c r="BE506" s="39" t="str">
        <f aca="false">IF(OR(AO506&lt;&gt;1,AR506=""),"",INDEX(NIV_REQ,AR506))</f>
        <v/>
      </c>
      <c r="BF506" s="39" t="str">
        <f aca="false">IF(BE506="","",MAX(BE506,IF(OR(K506="Oui",Z506="Oui"),4,1)))</f>
        <v/>
      </c>
      <c r="BG506" s="35" t="str">
        <f aca="false">IF(OR(BF506="",BD506=""),"",IF(BD506&gt;=BF506,1,0))</f>
        <v/>
      </c>
      <c r="BH506" s="38" t="str">
        <f aca="false">IF(BE506="","",IF(BE506&lt;2,"",IF(BE506=2,IF(AND(T506="",U506=""),"",MIN(T506,U506)),IF(U506="","",U506))))</f>
        <v/>
      </c>
      <c r="BI506" s="37" t="str">
        <f aca="false">IF(BH506="","",IF(OR(O506="",BH506=""),"",IF(BH506&lt;O506,"",ROUND(((NETWORKDAYS(O506,BH506,JoursFeries)-1)*(HFer-HOuv)+IF(NETWORKDAYS(BH506,BH506,JoursFeries),MEDIAN(MOD(BH506,1),HFer,HOuv),HFer)-IF(NETWORKDAYS(O506,O506,JoursFeries),MEDIAN(MOD(O506,1),HFer,HOuv),HOuv))*24,4))))</f>
        <v/>
      </c>
      <c r="BJ506" s="35" t="str">
        <f aca="false">IF(OR(BI506="",AR506=""),"",IF(BI506&lt;=INDEX(DELAI_ESC,AR506),1,0))</f>
        <v/>
      </c>
      <c r="BK506" s="38" t="str">
        <f aca="false">IF(AO506&lt;&gt;1,"",IF(AND(T506="",U506=""),"",MIN(T506,U506)))</f>
        <v/>
      </c>
      <c r="BL506" s="37" t="str">
        <f aca="false">IF(OR(BK506="",R506=""),"",IFERROR(ROUND(IF(OR(BK506="",R506=""),"",IF(R506&lt;BK506,"",ROUND(((NETWORKDAYS(BK506,R506,JoursFeries)-1)*(HFer-HOuv)+IF(NETWORKDAYS(R506,R506,JoursFeries),MEDIAN(MOD(R506,1),HFer,HOuv),HFer)-IF(NETWORKDAYS(BK506,BK506,JoursFeries),MEDIAN(MOD(BK506,1),HFer,HOuv),HOuv))*24,4)))/HJour,4),""))</f>
        <v/>
      </c>
      <c r="BM506" s="35" t="str">
        <f aca="false">IF(OR(AO506&lt;&gt;1,R506=""),"",IF(BD506=1,1,0))</f>
        <v/>
      </c>
      <c r="BN506" s="35" t="str">
        <f aca="false">IF(AO506&lt;&gt;1,"",IF(W506="Oui",1,0))</f>
        <v/>
      </c>
      <c r="BO506" s="35" t="str">
        <f aca="false">IF(AO506&lt;&gt;1,"",IF(X506&lt;&gt;"",1,0))</f>
        <v/>
      </c>
      <c r="BP506" s="35" t="str">
        <f aca="false">IF(AO506&lt;&gt;1,"",IF(Y506="Oui",1,0))</f>
        <v/>
      </c>
      <c r="BQ506" s="35" t="str">
        <f aca="true">IF(OR(AO506&lt;&gt;1,Z506&lt;&gt;"Oui"),"",IF(AB506="",IF(AND(AA506&lt;&gt;"",NOW()&gt;AA506),0,""),IF(AA506="","",IF(AB506&lt;=AA506,1,0))))</f>
        <v/>
      </c>
      <c r="BR506" s="38" t="str">
        <f aca="false">IF(OR(AO506&lt;&gt;1,K506&lt;&gt;"Oui",O506=""),"",IF(AC506="",O506+DORA_H_DET/24,IF(AC506-O506&lt;=DORA_H_DET/24,MIN(AC506+DORA_H_CLA/24,O506+DORA_H_DET/24),AC506+DORA_H_CLA/24)))</f>
        <v/>
      </c>
      <c r="BS506" s="35" t="str">
        <f aca="true">IF(BR506="","",IF(AD506="",IF(NOW()&gt;BR506,0,""),IF(AD506&lt;=BR506,1,0)))</f>
        <v/>
      </c>
      <c r="BT506" s="35" t="str">
        <f aca="true">IF(OR(BR506="",AD506=""),"",IF(AE506="",IF(NOW()&gt;AD506+DORA_H_INT/24,0,""),IF(AE506&lt;=AD506+DORA_H_INT/24,1,0)))</f>
        <v/>
      </c>
      <c r="BU506" s="35" t="str">
        <f aca="true">IF(OR(BR506="",AE506=""),"",IF(AF506="",IF(NOW()&gt;EDATE(AE506,DORA_M_FIN)+1,0,""),IF(AF506&lt;=EDATE(AE506,DORA_M_FIN),1,0)))</f>
        <v/>
      </c>
      <c r="BV506" s="35" t="str">
        <f aca="false">IF(BR506="","",IF(COUNT(BS506:BU506)=0,"",MIN(BS506:BU506)))</f>
        <v/>
      </c>
      <c r="BW506" s="40" t="str">
        <f aca="false">IF(AQ506&lt;&gt;1,"",IF(AND(AG506="",AH506=""),"",N(AG506)-N(AH506)))</f>
        <v/>
      </c>
      <c r="BX506" s="35" t="str">
        <f aca="true">IF(OR(AQ506&lt;&gt;1,AI506&lt;&gt;"Oui",AJ506=""),"",IF(AK506="",IF(NOW()&gt;AJ506+1,0,""),IF(AK506&lt;=AJ506,1,0)))</f>
        <v/>
      </c>
    </row>
    <row r="507" customFormat="false" ht="15" hidden="false" customHeight="false" outlineLevel="0" collapsed="false">
      <c r="B507" s="29"/>
      <c r="C507" s="29"/>
      <c r="D507" s="29"/>
      <c r="E507" s="29"/>
      <c r="F507" s="29"/>
      <c r="G507" s="29"/>
      <c r="H507" s="29"/>
      <c r="I507" s="29"/>
      <c r="J507" s="29"/>
      <c r="K507" s="29"/>
      <c r="L507" s="29"/>
      <c r="M507" s="29"/>
      <c r="N507" s="30"/>
      <c r="O507" s="30"/>
      <c r="P507" s="30"/>
      <c r="Q507" s="30"/>
      <c r="R507" s="30"/>
      <c r="S507" s="30"/>
      <c r="T507" s="30"/>
      <c r="U507" s="30"/>
      <c r="V507" s="31"/>
      <c r="W507" s="29"/>
      <c r="X507" s="29"/>
      <c r="Y507" s="29"/>
      <c r="Z507" s="29"/>
      <c r="AA507" s="30"/>
      <c r="AB507" s="30"/>
      <c r="AC507" s="30"/>
      <c r="AD507" s="30"/>
      <c r="AE507" s="30"/>
      <c r="AF507" s="32"/>
      <c r="AG507" s="33"/>
      <c r="AH507" s="33"/>
      <c r="AI507" s="29"/>
      <c r="AJ507" s="32"/>
      <c r="AK507" s="32"/>
      <c r="AL507" s="29"/>
      <c r="AN507" s="34" t="str">
        <f aca="false">IF($B507="","",IF(OR(C507="",D507="",E507="",G507="",I507="",J507="",L507="",O507="",P507=""),"Champ obligatoire manquant",IF(OR(AND(N507&lt;&gt;"",N507&gt;O507),O507&gt;P507,AND(Q507&lt;&gt;"",Q507&lt;P507),AND(R507&lt;&gt;"",R507&lt;P507),AND(S507&lt;&gt;"",S507&lt;R507),AND(S507&lt;&gt;"",R507=""),AND(T507&lt;&gt;"",T507&lt;O507),AND(U507&lt;&gt;"",U507&lt;O507)),"Chronologie incohérente",IF(AND(OR(L507="Résolu",L507="Clos"),R507=""),"Date de résolution manquante",IF(AND(L507="Clos",S507=""),"Date de clôture manquante",IF(AND(K507="Oui",AC507=""),"Classification DORA manquante","OK"))))))</f>
        <v/>
      </c>
      <c r="AO507" s="35" t="str">
        <f aca="false">IF($B507="","",IF(AND(C507="Incident",L507&lt;&gt;"Annulé"),1,0))</f>
        <v/>
      </c>
      <c r="AP507" s="35" t="str">
        <f aca="false">IF($B507="","",IF(AND(C507="Quasi-incident",L507&lt;&gt;"Annulé"),1,0))</f>
        <v/>
      </c>
      <c r="AQ507" s="35" t="str">
        <f aca="false">IF($B507="","",AO507+AP507)</f>
        <v/>
      </c>
      <c r="AR507" s="36" t="str">
        <f aca="false">IF(OR($B507="",J507=""),"",IFERROR(VALUE(LEFT(J507,1)),""))</f>
        <v/>
      </c>
      <c r="AS507" s="35" t="str">
        <f aca="false">IF(OR(AO507&lt;&gt;1,G507=""),"",IFERROR(IF(INDEX(L_SrcInterne,MATCH(G507,L_Sources,0))="Oui",1,0),""))</f>
        <v/>
      </c>
      <c r="AT507" s="37" t="str">
        <f aca="false">IF(AO507&lt;&gt;1,"",IFERROR(ROUND(IF(OR(N507="",O507=""),"",IF(O507&lt;N507,"",ROUND(((NETWORKDAYS(N507,O507,JoursFeries)-1)*(HFer-HOuv)+IF(NETWORKDAYS(O507,O507,JoursFeries),MEDIAN(MOD(O507,1),HFer,HOuv),HFer)-IF(NETWORKDAYS(N507,N507,JoursFeries),MEDIAN(MOD(N507,1),HFer,HOuv),HOuv))*24,4)))/HJour,4),""))</f>
        <v/>
      </c>
      <c r="AU507" s="37" t="str">
        <f aca="false">IF(AO507&lt;&gt;1,"",IF(OR(O507="",P507=""),"",IF(P507&lt;O507,"",ROUND(((NETWORKDAYS(O507,P507,JoursFeries)-1)*(HFer-HOuv)+IF(NETWORKDAYS(P507,P507,JoursFeries),MEDIAN(MOD(P507,1),HFer,HOuv),HFer)-IF(NETWORKDAYS(O507,O507,JoursFeries),MEDIAN(MOD(O507,1),HFer,HOuv),HOuv))*24,4))))</f>
        <v/>
      </c>
      <c r="AV507" s="37" t="str">
        <f aca="false">IF(AO507&lt;&gt;1,"",IF(OR(P507="",Q507=""),"",IF(Q507&lt;P507,"",ROUND(((NETWORKDAYS(P507,Q507,JoursFeries)-1)*(HFer-HOuv)+IF(NETWORKDAYS(Q507,Q507,JoursFeries),MEDIAN(MOD(Q507,1),HFer,HOuv),HFer)-IF(NETWORKDAYS(P507,P507,JoursFeries),MEDIAN(MOD(P507,1),HFer,HOuv),HOuv))*24,4))))</f>
        <v/>
      </c>
      <c r="AW507" s="37" t="str">
        <f aca="false">IF(AO507&lt;&gt;1,"",IFERROR(ROUND(IF(OR(P507="",R507=""),"",IF(R507&lt;P507,"",ROUND(((NETWORKDAYS(P507,R507,JoursFeries)-1)*(HFer-HOuv)+IF(NETWORKDAYS(R507,R507,JoursFeries),MEDIAN(MOD(R507,1),HFer,HOuv),HFer)-IF(NETWORKDAYS(P507,P507,JoursFeries),MEDIAN(MOD(P507,1),HFer,HOuv),HOuv))*24,4)))/HJour,4),""))</f>
        <v/>
      </c>
      <c r="AX507" s="37" t="str">
        <f aca="false">IF(AO507&lt;&gt;1,"",IFERROR(ROUND(IF(OR(P507="",S507=""),"",IF(S507&lt;P507,"",ROUND(((NETWORKDAYS(P507,S507,JoursFeries)-1)*(HFer-HOuv)+IF(NETWORKDAYS(S507,S507,JoursFeries),MEDIAN(MOD(S507,1),HFer,HOuv),HFer)-IF(NETWORKDAYS(P507,P507,JoursFeries),MEDIAN(MOD(P507,1),HFer,HOuv),HOuv))*24,4)))/HJour,4),""))</f>
        <v/>
      </c>
      <c r="AY507" s="36" t="str">
        <f aca="false">IF(OR(AO507&lt;&gt;1,AR507=""),"",INDEX(SLA_PEC,AR507))</f>
        <v/>
      </c>
      <c r="AZ507" s="35" t="str">
        <f aca="false">IF(OR(AV507="",AY507=""),"",IF(AV507&lt;=AY507,1,0))</f>
        <v/>
      </c>
      <c r="BA507" s="36" t="str">
        <f aca="false">IF(OR(AO507&lt;&gt;1,AR507=""),"",INDEX(SLA_RES,AR507))</f>
        <v/>
      </c>
      <c r="BB507" s="35" t="str">
        <f aca="false">IF(OR(AW507="",BA507=""),"",IF(AW507&lt;=BA507,1,0))</f>
        <v/>
      </c>
      <c r="BC507" s="38" t="str">
        <f aca="false">IF(OR(BA507="",P507=""),"",WORKDAY(INT(P507),BA507,JoursFeries)+MOD(P507,1))</f>
        <v/>
      </c>
      <c r="BD507" s="39" t="str">
        <f aca="false">IF(AO507&lt;&gt;1,"",IF(OR(AB507&lt;&gt;"",AD507&lt;&gt;""),4,IF(U507&lt;&gt;"",3,IF(T507&lt;&gt;"",2,1))))</f>
        <v/>
      </c>
      <c r="BE507" s="39" t="str">
        <f aca="false">IF(OR(AO507&lt;&gt;1,AR507=""),"",INDEX(NIV_REQ,AR507))</f>
        <v/>
      </c>
      <c r="BF507" s="39" t="str">
        <f aca="false">IF(BE507="","",MAX(BE507,IF(OR(K507="Oui",Z507="Oui"),4,1)))</f>
        <v/>
      </c>
      <c r="BG507" s="35" t="str">
        <f aca="false">IF(OR(BF507="",BD507=""),"",IF(BD507&gt;=BF507,1,0))</f>
        <v/>
      </c>
      <c r="BH507" s="38" t="str">
        <f aca="false">IF(BE507="","",IF(BE507&lt;2,"",IF(BE507=2,IF(AND(T507="",U507=""),"",MIN(T507,U507)),IF(U507="","",U507))))</f>
        <v/>
      </c>
      <c r="BI507" s="37" t="str">
        <f aca="false">IF(BH507="","",IF(OR(O507="",BH507=""),"",IF(BH507&lt;O507,"",ROUND(((NETWORKDAYS(O507,BH507,JoursFeries)-1)*(HFer-HOuv)+IF(NETWORKDAYS(BH507,BH507,JoursFeries),MEDIAN(MOD(BH507,1),HFer,HOuv),HFer)-IF(NETWORKDAYS(O507,O507,JoursFeries),MEDIAN(MOD(O507,1),HFer,HOuv),HOuv))*24,4))))</f>
        <v/>
      </c>
      <c r="BJ507" s="35" t="str">
        <f aca="false">IF(OR(BI507="",AR507=""),"",IF(BI507&lt;=INDEX(DELAI_ESC,AR507),1,0))</f>
        <v/>
      </c>
      <c r="BK507" s="38" t="str">
        <f aca="false">IF(AO507&lt;&gt;1,"",IF(AND(T507="",U507=""),"",MIN(T507,U507)))</f>
        <v/>
      </c>
      <c r="BL507" s="37" t="str">
        <f aca="false">IF(OR(BK507="",R507=""),"",IFERROR(ROUND(IF(OR(BK507="",R507=""),"",IF(R507&lt;BK507,"",ROUND(((NETWORKDAYS(BK507,R507,JoursFeries)-1)*(HFer-HOuv)+IF(NETWORKDAYS(R507,R507,JoursFeries),MEDIAN(MOD(R507,1),HFer,HOuv),HFer)-IF(NETWORKDAYS(BK507,BK507,JoursFeries),MEDIAN(MOD(BK507,1),HFer,HOuv),HOuv))*24,4)))/HJour,4),""))</f>
        <v/>
      </c>
      <c r="BM507" s="35" t="str">
        <f aca="false">IF(OR(AO507&lt;&gt;1,R507=""),"",IF(BD507=1,1,0))</f>
        <v/>
      </c>
      <c r="BN507" s="35" t="str">
        <f aca="false">IF(AO507&lt;&gt;1,"",IF(W507="Oui",1,0))</f>
        <v/>
      </c>
      <c r="BO507" s="35" t="str">
        <f aca="false">IF(AO507&lt;&gt;1,"",IF(X507&lt;&gt;"",1,0))</f>
        <v/>
      </c>
      <c r="BP507" s="35" t="str">
        <f aca="false">IF(AO507&lt;&gt;1,"",IF(Y507="Oui",1,0))</f>
        <v/>
      </c>
      <c r="BQ507" s="35" t="str">
        <f aca="true">IF(OR(AO507&lt;&gt;1,Z507&lt;&gt;"Oui"),"",IF(AB507="",IF(AND(AA507&lt;&gt;"",NOW()&gt;AA507),0,""),IF(AA507="","",IF(AB507&lt;=AA507,1,0))))</f>
        <v/>
      </c>
      <c r="BR507" s="38" t="str">
        <f aca="false">IF(OR(AO507&lt;&gt;1,K507&lt;&gt;"Oui",O507=""),"",IF(AC507="",O507+DORA_H_DET/24,IF(AC507-O507&lt;=DORA_H_DET/24,MIN(AC507+DORA_H_CLA/24,O507+DORA_H_DET/24),AC507+DORA_H_CLA/24)))</f>
        <v/>
      </c>
      <c r="BS507" s="35" t="str">
        <f aca="true">IF(BR507="","",IF(AD507="",IF(NOW()&gt;BR507,0,""),IF(AD507&lt;=BR507,1,0)))</f>
        <v/>
      </c>
      <c r="BT507" s="35" t="str">
        <f aca="true">IF(OR(BR507="",AD507=""),"",IF(AE507="",IF(NOW()&gt;AD507+DORA_H_INT/24,0,""),IF(AE507&lt;=AD507+DORA_H_INT/24,1,0)))</f>
        <v/>
      </c>
      <c r="BU507" s="35" t="str">
        <f aca="true">IF(OR(BR507="",AE507=""),"",IF(AF507="",IF(NOW()&gt;EDATE(AE507,DORA_M_FIN)+1,0,""),IF(AF507&lt;=EDATE(AE507,DORA_M_FIN),1,0)))</f>
        <v/>
      </c>
      <c r="BV507" s="35" t="str">
        <f aca="false">IF(BR507="","",IF(COUNT(BS507:BU507)=0,"",MIN(BS507:BU507)))</f>
        <v/>
      </c>
      <c r="BW507" s="40" t="str">
        <f aca="false">IF(AQ507&lt;&gt;1,"",IF(AND(AG507="",AH507=""),"",N(AG507)-N(AH507)))</f>
        <v/>
      </c>
      <c r="BX507" s="35" t="str">
        <f aca="true">IF(OR(AQ507&lt;&gt;1,AI507&lt;&gt;"Oui",AJ507=""),"",IF(AK507="",IF(NOW()&gt;AJ507+1,0,""),IF(AK507&lt;=AJ507,1,0)))</f>
        <v/>
      </c>
    </row>
    <row r="508" customFormat="false" ht="15" hidden="false" customHeight="false" outlineLevel="0" collapsed="false">
      <c r="B508" s="29"/>
      <c r="C508" s="29"/>
      <c r="D508" s="29"/>
      <c r="E508" s="29"/>
      <c r="F508" s="29"/>
      <c r="G508" s="29"/>
      <c r="H508" s="29"/>
      <c r="I508" s="29"/>
      <c r="J508" s="29"/>
      <c r="K508" s="29"/>
      <c r="L508" s="29"/>
      <c r="M508" s="29"/>
      <c r="N508" s="30"/>
      <c r="O508" s="30"/>
      <c r="P508" s="30"/>
      <c r="Q508" s="30"/>
      <c r="R508" s="30"/>
      <c r="S508" s="30"/>
      <c r="T508" s="30"/>
      <c r="U508" s="30"/>
      <c r="V508" s="31"/>
      <c r="W508" s="29"/>
      <c r="X508" s="29"/>
      <c r="Y508" s="29"/>
      <c r="Z508" s="29"/>
      <c r="AA508" s="30"/>
      <c r="AB508" s="30"/>
      <c r="AC508" s="30"/>
      <c r="AD508" s="30"/>
      <c r="AE508" s="30"/>
      <c r="AF508" s="32"/>
      <c r="AG508" s="33"/>
      <c r="AH508" s="33"/>
      <c r="AI508" s="29"/>
      <c r="AJ508" s="32"/>
      <c r="AK508" s="32"/>
      <c r="AL508" s="29"/>
      <c r="AN508" s="34" t="str">
        <f aca="false">IF($B508="","",IF(OR(C508="",D508="",E508="",G508="",I508="",J508="",L508="",O508="",P508=""),"Champ obligatoire manquant",IF(OR(AND(N508&lt;&gt;"",N508&gt;O508),O508&gt;P508,AND(Q508&lt;&gt;"",Q508&lt;P508),AND(R508&lt;&gt;"",R508&lt;P508),AND(S508&lt;&gt;"",S508&lt;R508),AND(S508&lt;&gt;"",R508=""),AND(T508&lt;&gt;"",T508&lt;O508),AND(U508&lt;&gt;"",U508&lt;O508)),"Chronologie incohérente",IF(AND(OR(L508="Résolu",L508="Clos"),R508=""),"Date de résolution manquante",IF(AND(L508="Clos",S508=""),"Date de clôture manquante",IF(AND(K508="Oui",AC508=""),"Classification DORA manquante","OK"))))))</f>
        <v/>
      </c>
      <c r="AO508" s="35" t="str">
        <f aca="false">IF($B508="","",IF(AND(C508="Incident",L508&lt;&gt;"Annulé"),1,0))</f>
        <v/>
      </c>
      <c r="AP508" s="35" t="str">
        <f aca="false">IF($B508="","",IF(AND(C508="Quasi-incident",L508&lt;&gt;"Annulé"),1,0))</f>
        <v/>
      </c>
      <c r="AQ508" s="35" t="str">
        <f aca="false">IF($B508="","",AO508+AP508)</f>
        <v/>
      </c>
      <c r="AR508" s="36" t="str">
        <f aca="false">IF(OR($B508="",J508=""),"",IFERROR(VALUE(LEFT(J508,1)),""))</f>
        <v/>
      </c>
      <c r="AS508" s="35" t="str">
        <f aca="false">IF(OR(AO508&lt;&gt;1,G508=""),"",IFERROR(IF(INDEX(L_SrcInterne,MATCH(G508,L_Sources,0))="Oui",1,0),""))</f>
        <v/>
      </c>
      <c r="AT508" s="37" t="str">
        <f aca="false">IF(AO508&lt;&gt;1,"",IFERROR(ROUND(IF(OR(N508="",O508=""),"",IF(O508&lt;N508,"",ROUND(((NETWORKDAYS(N508,O508,JoursFeries)-1)*(HFer-HOuv)+IF(NETWORKDAYS(O508,O508,JoursFeries),MEDIAN(MOD(O508,1),HFer,HOuv),HFer)-IF(NETWORKDAYS(N508,N508,JoursFeries),MEDIAN(MOD(N508,1),HFer,HOuv),HOuv))*24,4)))/HJour,4),""))</f>
        <v/>
      </c>
      <c r="AU508" s="37" t="str">
        <f aca="false">IF(AO508&lt;&gt;1,"",IF(OR(O508="",P508=""),"",IF(P508&lt;O508,"",ROUND(((NETWORKDAYS(O508,P508,JoursFeries)-1)*(HFer-HOuv)+IF(NETWORKDAYS(P508,P508,JoursFeries),MEDIAN(MOD(P508,1),HFer,HOuv),HFer)-IF(NETWORKDAYS(O508,O508,JoursFeries),MEDIAN(MOD(O508,1),HFer,HOuv),HOuv))*24,4))))</f>
        <v/>
      </c>
      <c r="AV508" s="37" t="str">
        <f aca="false">IF(AO508&lt;&gt;1,"",IF(OR(P508="",Q508=""),"",IF(Q508&lt;P508,"",ROUND(((NETWORKDAYS(P508,Q508,JoursFeries)-1)*(HFer-HOuv)+IF(NETWORKDAYS(Q508,Q508,JoursFeries),MEDIAN(MOD(Q508,1),HFer,HOuv),HFer)-IF(NETWORKDAYS(P508,P508,JoursFeries),MEDIAN(MOD(P508,1),HFer,HOuv),HOuv))*24,4))))</f>
        <v/>
      </c>
      <c r="AW508" s="37" t="str">
        <f aca="false">IF(AO508&lt;&gt;1,"",IFERROR(ROUND(IF(OR(P508="",R508=""),"",IF(R508&lt;P508,"",ROUND(((NETWORKDAYS(P508,R508,JoursFeries)-1)*(HFer-HOuv)+IF(NETWORKDAYS(R508,R508,JoursFeries),MEDIAN(MOD(R508,1),HFer,HOuv),HFer)-IF(NETWORKDAYS(P508,P508,JoursFeries),MEDIAN(MOD(P508,1),HFer,HOuv),HOuv))*24,4)))/HJour,4),""))</f>
        <v/>
      </c>
      <c r="AX508" s="37" t="str">
        <f aca="false">IF(AO508&lt;&gt;1,"",IFERROR(ROUND(IF(OR(P508="",S508=""),"",IF(S508&lt;P508,"",ROUND(((NETWORKDAYS(P508,S508,JoursFeries)-1)*(HFer-HOuv)+IF(NETWORKDAYS(S508,S508,JoursFeries),MEDIAN(MOD(S508,1),HFer,HOuv),HFer)-IF(NETWORKDAYS(P508,P508,JoursFeries),MEDIAN(MOD(P508,1),HFer,HOuv),HOuv))*24,4)))/HJour,4),""))</f>
        <v/>
      </c>
      <c r="AY508" s="36" t="str">
        <f aca="false">IF(OR(AO508&lt;&gt;1,AR508=""),"",INDEX(SLA_PEC,AR508))</f>
        <v/>
      </c>
      <c r="AZ508" s="35" t="str">
        <f aca="false">IF(OR(AV508="",AY508=""),"",IF(AV508&lt;=AY508,1,0))</f>
        <v/>
      </c>
      <c r="BA508" s="36" t="str">
        <f aca="false">IF(OR(AO508&lt;&gt;1,AR508=""),"",INDEX(SLA_RES,AR508))</f>
        <v/>
      </c>
      <c r="BB508" s="35" t="str">
        <f aca="false">IF(OR(AW508="",BA508=""),"",IF(AW508&lt;=BA508,1,0))</f>
        <v/>
      </c>
      <c r="BC508" s="38" t="str">
        <f aca="false">IF(OR(BA508="",P508=""),"",WORKDAY(INT(P508),BA508,JoursFeries)+MOD(P508,1))</f>
        <v/>
      </c>
      <c r="BD508" s="39" t="str">
        <f aca="false">IF(AO508&lt;&gt;1,"",IF(OR(AB508&lt;&gt;"",AD508&lt;&gt;""),4,IF(U508&lt;&gt;"",3,IF(T508&lt;&gt;"",2,1))))</f>
        <v/>
      </c>
      <c r="BE508" s="39" t="str">
        <f aca="false">IF(OR(AO508&lt;&gt;1,AR508=""),"",INDEX(NIV_REQ,AR508))</f>
        <v/>
      </c>
      <c r="BF508" s="39" t="str">
        <f aca="false">IF(BE508="","",MAX(BE508,IF(OR(K508="Oui",Z508="Oui"),4,1)))</f>
        <v/>
      </c>
      <c r="BG508" s="35" t="str">
        <f aca="false">IF(OR(BF508="",BD508=""),"",IF(BD508&gt;=BF508,1,0))</f>
        <v/>
      </c>
      <c r="BH508" s="38" t="str">
        <f aca="false">IF(BE508="","",IF(BE508&lt;2,"",IF(BE508=2,IF(AND(T508="",U508=""),"",MIN(T508,U508)),IF(U508="","",U508))))</f>
        <v/>
      </c>
      <c r="BI508" s="37" t="str">
        <f aca="false">IF(BH508="","",IF(OR(O508="",BH508=""),"",IF(BH508&lt;O508,"",ROUND(((NETWORKDAYS(O508,BH508,JoursFeries)-1)*(HFer-HOuv)+IF(NETWORKDAYS(BH508,BH508,JoursFeries),MEDIAN(MOD(BH508,1),HFer,HOuv),HFer)-IF(NETWORKDAYS(O508,O508,JoursFeries),MEDIAN(MOD(O508,1),HFer,HOuv),HOuv))*24,4))))</f>
        <v/>
      </c>
      <c r="BJ508" s="35" t="str">
        <f aca="false">IF(OR(BI508="",AR508=""),"",IF(BI508&lt;=INDEX(DELAI_ESC,AR508),1,0))</f>
        <v/>
      </c>
      <c r="BK508" s="38" t="str">
        <f aca="false">IF(AO508&lt;&gt;1,"",IF(AND(T508="",U508=""),"",MIN(T508,U508)))</f>
        <v/>
      </c>
      <c r="BL508" s="37" t="str">
        <f aca="false">IF(OR(BK508="",R508=""),"",IFERROR(ROUND(IF(OR(BK508="",R508=""),"",IF(R508&lt;BK508,"",ROUND(((NETWORKDAYS(BK508,R508,JoursFeries)-1)*(HFer-HOuv)+IF(NETWORKDAYS(R508,R508,JoursFeries),MEDIAN(MOD(R508,1),HFer,HOuv),HFer)-IF(NETWORKDAYS(BK508,BK508,JoursFeries),MEDIAN(MOD(BK508,1),HFer,HOuv),HOuv))*24,4)))/HJour,4),""))</f>
        <v/>
      </c>
      <c r="BM508" s="35" t="str">
        <f aca="false">IF(OR(AO508&lt;&gt;1,R508=""),"",IF(BD508=1,1,0))</f>
        <v/>
      </c>
      <c r="BN508" s="35" t="str">
        <f aca="false">IF(AO508&lt;&gt;1,"",IF(W508="Oui",1,0))</f>
        <v/>
      </c>
      <c r="BO508" s="35" t="str">
        <f aca="false">IF(AO508&lt;&gt;1,"",IF(X508&lt;&gt;"",1,0))</f>
        <v/>
      </c>
      <c r="BP508" s="35" t="str">
        <f aca="false">IF(AO508&lt;&gt;1,"",IF(Y508="Oui",1,0))</f>
        <v/>
      </c>
      <c r="BQ508" s="35" t="str">
        <f aca="true">IF(OR(AO508&lt;&gt;1,Z508&lt;&gt;"Oui"),"",IF(AB508="",IF(AND(AA508&lt;&gt;"",NOW()&gt;AA508),0,""),IF(AA508="","",IF(AB508&lt;=AA508,1,0))))</f>
        <v/>
      </c>
      <c r="BR508" s="38" t="str">
        <f aca="false">IF(OR(AO508&lt;&gt;1,K508&lt;&gt;"Oui",O508=""),"",IF(AC508="",O508+DORA_H_DET/24,IF(AC508-O508&lt;=DORA_H_DET/24,MIN(AC508+DORA_H_CLA/24,O508+DORA_H_DET/24),AC508+DORA_H_CLA/24)))</f>
        <v/>
      </c>
      <c r="BS508" s="35" t="str">
        <f aca="true">IF(BR508="","",IF(AD508="",IF(NOW()&gt;BR508,0,""),IF(AD508&lt;=BR508,1,0)))</f>
        <v/>
      </c>
      <c r="BT508" s="35" t="str">
        <f aca="true">IF(OR(BR508="",AD508=""),"",IF(AE508="",IF(NOW()&gt;AD508+DORA_H_INT/24,0,""),IF(AE508&lt;=AD508+DORA_H_INT/24,1,0)))</f>
        <v/>
      </c>
      <c r="BU508" s="35" t="str">
        <f aca="true">IF(OR(BR508="",AE508=""),"",IF(AF508="",IF(NOW()&gt;EDATE(AE508,DORA_M_FIN)+1,0,""),IF(AF508&lt;=EDATE(AE508,DORA_M_FIN),1,0)))</f>
        <v/>
      </c>
      <c r="BV508" s="35" t="str">
        <f aca="false">IF(BR508="","",IF(COUNT(BS508:BU508)=0,"",MIN(BS508:BU508)))</f>
        <v/>
      </c>
      <c r="BW508" s="40" t="str">
        <f aca="false">IF(AQ508&lt;&gt;1,"",IF(AND(AG508="",AH508=""),"",N(AG508)-N(AH508)))</f>
        <v/>
      </c>
      <c r="BX508" s="35" t="str">
        <f aca="true">IF(OR(AQ508&lt;&gt;1,AI508&lt;&gt;"Oui",AJ508=""),"",IF(AK508="",IF(NOW()&gt;AJ508+1,0,""),IF(AK508&lt;=AJ508,1,0)))</f>
        <v/>
      </c>
    </row>
    <row r="509" customFormat="false" ht="15" hidden="false" customHeight="false" outlineLevel="0" collapsed="false">
      <c r="B509" s="29"/>
      <c r="C509" s="29"/>
      <c r="D509" s="29"/>
      <c r="E509" s="29"/>
      <c r="F509" s="29"/>
      <c r="G509" s="29"/>
      <c r="H509" s="29"/>
      <c r="I509" s="29"/>
      <c r="J509" s="29"/>
      <c r="K509" s="29"/>
      <c r="L509" s="29"/>
      <c r="M509" s="29"/>
      <c r="N509" s="30"/>
      <c r="O509" s="30"/>
      <c r="P509" s="30"/>
      <c r="Q509" s="30"/>
      <c r="R509" s="30"/>
      <c r="S509" s="30"/>
      <c r="T509" s="30"/>
      <c r="U509" s="30"/>
      <c r="V509" s="31"/>
      <c r="W509" s="29"/>
      <c r="X509" s="29"/>
      <c r="Y509" s="29"/>
      <c r="Z509" s="29"/>
      <c r="AA509" s="30"/>
      <c r="AB509" s="30"/>
      <c r="AC509" s="30"/>
      <c r="AD509" s="30"/>
      <c r="AE509" s="30"/>
      <c r="AF509" s="32"/>
      <c r="AG509" s="33"/>
      <c r="AH509" s="33"/>
      <c r="AI509" s="29"/>
      <c r="AJ509" s="32"/>
      <c r="AK509" s="32"/>
      <c r="AL509" s="29"/>
      <c r="AN509" s="34" t="str">
        <f aca="false">IF($B509="","",IF(OR(C509="",D509="",E509="",G509="",I509="",J509="",L509="",O509="",P509=""),"Champ obligatoire manquant",IF(OR(AND(N509&lt;&gt;"",N509&gt;O509),O509&gt;P509,AND(Q509&lt;&gt;"",Q509&lt;P509),AND(R509&lt;&gt;"",R509&lt;P509),AND(S509&lt;&gt;"",S509&lt;R509),AND(S509&lt;&gt;"",R509=""),AND(T509&lt;&gt;"",T509&lt;O509),AND(U509&lt;&gt;"",U509&lt;O509)),"Chronologie incohérente",IF(AND(OR(L509="Résolu",L509="Clos"),R509=""),"Date de résolution manquante",IF(AND(L509="Clos",S509=""),"Date de clôture manquante",IF(AND(K509="Oui",AC509=""),"Classification DORA manquante","OK"))))))</f>
        <v/>
      </c>
      <c r="AO509" s="35" t="str">
        <f aca="false">IF($B509="","",IF(AND(C509="Incident",L509&lt;&gt;"Annulé"),1,0))</f>
        <v/>
      </c>
      <c r="AP509" s="35" t="str">
        <f aca="false">IF($B509="","",IF(AND(C509="Quasi-incident",L509&lt;&gt;"Annulé"),1,0))</f>
        <v/>
      </c>
      <c r="AQ509" s="35" t="str">
        <f aca="false">IF($B509="","",AO509+AP509)</f>
        <v/>
      </c>
      <c r="AR509" s="36" t="str">
        <f aca="false">IF(OR($B509="",J509=""),"",IFERROR(VALUE(LEFT(J509,1)),""))</f>
        <v/>
      </c>
      <c r="AS509" s="35" t="str">
        <f aca="false">IF(OR(AO509&lt;&gt;1,G509=""),"",IFERROR(IF(INDEX(L_SrcInterne,MATCH(G509,L_Sources,0))="Oui",1,0),""))</f>
        <v/>
      </c>
      <c r="AT509" s="37" t="str">
        <f aca="false">IF(AO509&lt;&gt;1,"",IFERROR(ROUND(IF(OR(N509="",O509=""),"",IF(O509&lt;N509,"",ROUND(((NETWORKDAYS(N509,O509,JoursFeries)-1)*(HFer-HOuv)+IF(NETWORKDAYS(O509,O509,JoursFeries),MEDIAN(MOD(O509,1),HFer,HOuv),HFer)-IF(NETWORKDAYS(N509,N509,JoursFeries),MEDIAN(MOD(N509,1),HFer,HOuv),HOuv))*24,4)))/HJour,4),""))</f>
        <v/>
      </c>
      <c r="AU509" s="37" t="str">
        <f aca="false">IF(AO509&lt;&gt;1,"",IF(OR(O509="",P509=""),"",IF(P509&lt;O509,"",ROUND(((NETWORKDAYS(O509,P509,JoursFeries)-1)*(HFer-HOuv)+IF(NETWORKDAYS(P509,P509,JoursFeries),MEDIAN(MOD(P509,1),HFer,HOuv),HFer)-IF(NETWORKDAYS(O509,O509,JoursFeries),MEDIAN(MOD(O509,1),HFer,HOuv),HOuv))*24,4))))</f>
        <v/>
      </c>
      <c r="AV509" s="37" t="str">
        <f aca="false">IF(AO509&lt;&gt;1,"",IF(OR(P509="",Q509=""),"",IF(Q509&lt;P509,"",ROUND(((NETWORKDAYS(P509,Q509,JoursFeries)-1)*(HFer-HOuv)+IF(NETWORKDAYS(Q509,Q509,JoursFeries),MEDIAN(MOD(Q509,1),HFer,HOuv),HFer)-IF(NETWORKDAYS(P509,P509,JoursFeries),MEDIAN(MOD(P509,1),HFer,HOuv),HOuv))*24,4))))</f>
        <v/>
      </c>
      <c r="AW509" s="37" t="str">
        <f aca="false">IF(AO509&lt;&gt;1,"",IFERROR(ROUND(IF(OR(P509="",R509=""),"",IF(R509&lt;P509,"",ROUND(((NETWORKDAYS(P509,R509,JoursFeries)-1)*(HFer-HOuv)+IF(NETWORKDAYS(R509,R509,JoursFeries),MEDIAN(MOD(R509,1),HFer,HOuv),HFer)-IF(NETWORKDAYS(P509,P509,JoursFeries),MEDIAN(MOD(P509,1),HFer,HOuv),HOuv))*24,4)))/HJour,4),""))</f>
        <v/>
      </c>
      <c r="AX509" s="37" t="str">
        <f aca="false">IF(AO509&lt;&gt;1,"",IFERROR(ROUND(IF(OR(P509="",S509=""),"",IF(S509&lt;P509,"",ROUND(((NETWORKDAYS(P509,S509,JoursFeries)-1)*(HFer-HOuv)+IF(NETWORKDAYS(S509,S509,JoursFeries),MEDIAN(MOD(S509,1),HFer,HOuv),HFer)-IF(NETWORKDAYS(P509,P509,JoursFeries),MEDIAN(MOD(P509,1),HFer,HOuv),HOuv))*24,4)))/HJour,4),""))</f>
        <v/>
      </c>
      <c r="AY509" s="36" t="str">
        <f aca="false">IF(OR(AO509&lt;&gt;1,AR509=""),"",INDEX(SLA_PEC,AR509))</f>
        <v/>
      </c>
      <c r="AZ509" s="35" t="str">
        <f aca="false">IF(OR(AV509="",AY509=""),"",IF(AV509&lt;=AY509,1,0))</f>
        <v/>
      </c>
      <c r="BA509" s="36" t="str">
        <f aca="false">IF(OR(AO509&lt;&gt;1,AR509=""),"",INDEX(SLA_RES,AR509))</f>
        <v/>
      </c>
      <c r="BB509" s="35" t="str">
        <f aca="false">IF(OR(AW509="",BA509=""),"",IF(AW509&lt;=BA509,1,0))</f>
        <v/>
      </c>
      <c r="BC509" s="38" t="str">
        <f aca="false">IF(OR(BA509="",P509=""),"",WORKDAY(INT(P509),BA509,JoursFeries)+MOD(P509,1))</f>
        <v/>
      </c>
      <c r="BD509" s="39" t="str">
        <f aca="false">IF(AO509&lt;&gt;1,"",IF(OR(AB509&lt;&gt;"",AD509&lt;&gt;""),4,IF(U509&lt;&gt;"",3,IF(T509&lt;&gt;"",2,1))))</f>
        <v/>
      </c>
      <c r="BE509" s="39" t="str">
        <f aca="false">IF(OR(AO509&lt;&gt;1,AR509=""),"",INDEX(NIV_REQ,AR509))</f>
        <v/>
      </c>
      <c r="BF509" s="39" t="str">
        <f aca="false">IF(BE509="","",MAX(BE509,IF(OR(K509="Oui",Z509="Oui"),4,1)))</f>
        <v/>
      </c>
      <c r="BG509" s="35" t="str">
        <f aca="false">IF(OR(BF509="",BD509=""),"",IF(BD509&gt;=BF509,1,0))</f>
        <v/>
      </c>
      <c r="BH509" s="38" t="str">
        <f aca="false">IF(BE509="","",IF(BE509&lt;2,"",IF(BE509=2,IF(AND(T509="",U509=""),"",MIN(T509,U509)),IF(U509="","",U509))))</f>
        <v/>
      </c>
      <c r="BI509" s="37" t="str">
        <f aca="false">IF(BH509="","",IF(OR(O509="",BH509=""),"",IF(BH509&lt;O509,"",ROUND(((NETWORKDAYS(O509,BH509,JoursFeries)-1)*(HFer-HOuv)+IF(NETWORKDAYS(BH509,BH509,JoursFeries),MEDIAN(MOD(BH509,1),HFer,HOuv),HFer)-IF(NETWORKDAYS(O509,O509,JoursFeries),MEDIAN(MOD(O509,1),HFer,HOuv),HOuv))*24,4))))</f>
        <v/>
      </c>
      <c r="BJ509" s="35" t="str">
        <f aca="false">IF(OR(BI509="",AR509=""),"",IF(BI509&lt;=INDEX(DELAI_ESC,AR509),1,0))</f>
        <v/>
      </c>
      <c r="BK509" s="38" t="str">
        <f aca="false">IF(AO509&lt;&gt;1,"",IF(AND(T509="",U509=""),"",MIN(T509,U509)))</f>
        <v/>
      </c>
      <c r="BL509" s="37" t="str">
        <f aca="false">IF(OR(BK509="",R509=""),"",IFERROR(ROUND(IF(OR(BK509="",R509=""),"",IF(R509&lt;BK509,"",ROUND(((NETWORKDAYS(BK509,R509,JoursFeries)-1)*(HFer-HOuv)+IF(NETWORKDAYS(R509,R509,JoursFeries),MEDIAN(MOD(R509,1),HFer,HOuv),HFer)-IF(NETWORKDAYS(BK509,BK509,JoursFeries),MEDIAN(MOD(BK509,1),HFer,HOuv),HOuv))*24,4)))/HJour,4),""))</f>
        <v/>
      </c>
      <c r="BM509" s="35" t="str">
        <f aca="false">IF(OR(AO509&lt;&gt;1,R509=""),"",IF(BD509=1,1,0))</f>
        <v/>
      </c>
      <c r="BN509" s="35" t="str">
        <f aca="false">IF(AO509&lt;&gt;1,"",IF(W509="Oui",1,0))</f>
        <v/>
      </c>
      <c r="BO509" s="35" t="str">
        <f aca="false">IF(AO509&lt;&gt;1,"",IF(X509&lt;&gt;"",1,0))</f>
        <v/>
      </c>
      <c r="BP509" s="35" t="str">
        <f aca="false">IF(AO509&lt;&gt;1,"",IF(Y509="Oui",1,0))</f>
        <v/>
      </c>
      <c r="BQ509" s="35" t="str">
        <f aca="true">IF(OR(AO509&lt;&gt;1,Z509&lt;&gt;"Oui"),"",IF(AB509="",IF(AND(AA509&lt;&gt;"",NOW()&gt;AA509),0,""),IF(AA509="","",IF(AB509&lt;=AA509,1,0))))</f>
        <v/>
      </c>
      <c r="BR509" s="38" t="str">
        <f aca="false">IF(OR(AO509&lt;&gt;1,K509&lt;&gt;"Oui",O509=""),"",IF(AC509="",O509+DORA_H_DET/24,IF(AC509-O509&lt;=DORA_H_DET/24,MIN(AC509+DORA_H_CLA/24,O509+DORA_H_DET/24),AC509+DORA_H_CLA/24)))</f>
        <v/>
      </c>
      <c r="BS509" s="35" t="str">
        <f aca="true">IF(BR509="","",IF(AD509="",IF(NOW()&gt;BR509,0,""),IF(AD509&lt;=BR509,1,0)))</f>
        <v/>
      </c>
      <c r="BT509" s="35" t="str">
        <f aca="true">IF(OR(BR509="",AD509=""),"",IF(AE509="",IF(NOW()&gt;AD509+DORA_H_INT/24,0,""),IF(AE509&lt;=AD509+DORA_H_INT/24,1,0)))</f>
        <v/>
      </c>
      <c r="BU509" s="35" t="str">
        <f aca="true">IF(OR(BR509="",AE509=""),"",IF(AF509="",IF(NOW()&gt;EDATE(AE509,DORA_M_FIN)+1,0,""),IF(AF509&lt;=EDATE(AE509,DORA_M_FIN),1,0)))</f>
        <v/>
      </c>
      <c r="BV509" s="35" t="str">
        <f aca="false">IF(BR509="","",IF(COUNT(BS509:BU509)=0,"",MIN(BS509:BU509)))</f>
        <v/>
      </c>
      <c r="BW509" s="40" t="str">
        <f aca="false">IF(AQ509&lt;&gt;1,"",IF(AND(AG509="",AH509=""),"",N(AG509)-N(AH509)))</f>
        <v/>
      </c>
      <c r="BX509" s="35" t="str">
        <f aca="true">IF(OR(AQ509&lt;&gt;1,AI509&lt;&gt;"Oui",AJ509=""),"",IF(AK509="",IF(NOW()&gt;AJ509+1,0,""),IF(AK509&lt;=AJ509,1,0)))</f>
        <v/>
      </c>
    </row>
    <row r="510" customFormat="false" ht="15" hidden="false" customHeight="false" outlineLevel="0" collapsed="false">
      <c r="B510" s="29"/>
      <c r="C510" s="29"/>
      <c r="D510" s="29"/>
      <c r="E510" s="29"/>
      <c r="F510" s="29"/>
      <c r="G510" s="29"/>
      <c r="H510" s="29"/>
      <c r="I510" s="29"/>
      <c r="J510" s="29"/>
      <c r="K510" s="29"/>
      <c r="L510" s="29"/>
      <c r="M510" s="29"/>
      <c r="N510" s="30"/>
      <c r="O510" s="30"/>
      <c r="P510" s="30"/>
      <c r="Q510" s="30"/>
      <c r="R510" s="30"/>
      <c r="S510" s="30"/>
      <c r="T510" s="30"/>
      <c r="U510" s="30"/>
      <c r="V510" s="31"/>
      <c r="W510" s="29"/>
      <c r="X510" s="29"/>
      <c r="Y510" s="29"/>
      <c r="Z510" s="29"/>
      <c r="AA510" s="30"/>
      <c r="AB510" s="30"/>
      <c r="AC510" s="30"/>
      <c r="AD510" s="30"/>
      <c r="AE510" s="30"/>
      <c r="AF510" s="32"/>
      <c r="AG510" s="33"/>
      <c r="AH510" s="33"/>
      <c r="AI510" s="29"/>
      <c r="AJ510" s="32"/>
      <c r="AK510" s="32"/>
      <c r="AL510" s="29"/>
      <c r="AN510" s="34" t="str">
        <f aca="false">IF($B510="","",IF(OR(C510="",D510="",E510="",G510="",I510="",J510="",L510="",O510="",P510=""),"Champ obligatoire manquant",IF(OR(AND(N510&lt;&gt;"",N510&gt;O510),O510&gt;P510,AND(Q510&lt;&gt;"",Q510&lt;P510),AND(R510&lt;&gt;"",R510&lt;P510),AND(S510&lt;&gt;"",S510&lt;R510),AND(S510&lt;&gt;"",R510=""),AND(T510&lt;&gt;"",T510&lt;O510),AND(U510&lt;&gt;"",U510&lt;O510)),"Chronologie incohérente",IF(AND(OR(L510="Résolu",L510="Clos"),R510=""),"Date de résolution manquante",IF(AND(L510="Clos",S510=""),"Date de clôture manquante",IF(AND(K510="Oui",AC510=""),"Classification DORA manquante","OK"))))))</f>
        <v/>
      </c>
      <c r="AO510" s="35" t="str">
        <f aca="false">IF($B510="","",IF(AND(C510="Incident",L510&lt;&gt;"Annulé"),1,0))</f>
        <v/>
      </c>
      <c r="AP510" s="35" t="str">
        <f aca="false">IF($B510="","",IF(AND(C510="Quasi-incident",L510&lt;&gt;"Annulé"),1,0))</f>
        <v/>
      </c>
      <c r="AQ510" s="35" t="str">
        <f aca="false">IF($B510="","",AO510+AP510)</f>
        <v/>
      </c>
      <c r="AR510" s="36" t="str">
        <f aca="false">IF(OR($B510="",J510=""),"",IFERROR(VALUE(LEFT(J510,1)),""))</f>
        <v/>
      </c>
      <c r="AS510" s="35" t="str">
        <f aca="false">IF(OR(AO510&lt;&gt;1,G510=""),"",IFERROR(IF(INDEX(L_SrcInterne,MATCH(G510,L_Sources,0))="Oui",1,0),""))</f>
        <v/>
      </c>
      <c r="AT510" s="37" t="str">
        <f aca="false">IF(AO510&lt;&gt;1,"",IFERROR(ROUND(IF(OR(N510="",O510=""),"",IF(O510&lt;N510,"",ROUND(((NETWORKDAYS(N510,O510,JoursFeries)-1)*(HFer-HOuv)+IF(NETWORKDAYS(O510,O510,JoursFeries),MEDIAN(MOD(O510,1),HFer,HOuv),HFer)-IF(NETWORKDAYS(N510,N510,JoursFeries),MEDIAN(MOD(N510,1),HFer,HOuv),HOuv))*24,4)))/HJour,4),""))</f>
        <v/>
      </c>
      <c r="AU510" s="37" t="str">
        <f aca="false">IF(AO510&lt;&gt;1,"",IF(OR(O510="",P510=""),"",IF(P510&lt;O510,"",ROUND(((NETWORKDAYS(O510,P510,JoursFeries)-1)*(HFer-HOuv)+IF(NETWORKDAYS(P510,P510,JoursFeries),MEDIAN(MOD(P510,1),HFer,HOuv),HFer)-IF(NETWORKDAYS(O510,O510,JoursFeries),MEDIAN(MOD(O510,1),HFer,HOuv),HOuv))*24,4))))</f>
        <v/>
      </c>
      <c r="AV510" s="37" t="str">
        <f aca="false">IF(AO510&lt;&gt;1,"",IF(OR(P510="",Q510=""),"",IF(Q510&lt;P510,"",ROUND(((NETWORKDAYS(P510,Q510,JoursFeries)-1)*(HFer-HOuv)+IF(NETWORKDAYS(Q510,Q510,JoursFeries),MEDIAN(MOD(Q510,1),HFer,HOuv),HFer)-IF(NETWORKDAYS(P510,P510,JoursFeries),MEDIAN(MOD(P510,1),HFer,HOuv),HOuv))*24,4))))</f>
        <v/>
      </c>
      <c r="AW510" s="37" t="str">
        <f aca="false">IF(AO510&lt;&gt;1,"",IFERROR(ROUND(IF(OR(P510="",R510=""),"",IF(R510&lt;P510,"",ROUND(((NETWORKDAYS(P510,R510,JoursFeries)-1)*(HFer-HOuv)+IF(NETWORKDAYS(R510,R510,JoursFeries),MEDIAN(MOD(R510,1),HFer,HOuv),HFer)-IF(NETWORKDAYS(P510,P510,JoursFeries),MEDIAN(MOD(P510,1),HFer,HOuv),HOuv))*24,4)))/HJour,4),""))</f>
        <v/>
      </c>
      <c r="AX510" s="37" t="str">
        <f aca="false">IF(AO510&lt;&gt;1,"",IFERROR(ROUND(IF(OR(P510="",S510=""),"",IF(S510&lt;P510,"",ROUND(((NETWORKDAYS(P510,S510,JoursFeries)-1)*(HFer-HOuv)+IF(NETWORKDAYS(S510,S510,JoursFeries),MEDIAN(MOD(S510,1),HFer,HOuv),HFer)-IF(NETWORKDAYS(P510,P510,JoursFeries),MEDIAN(MOD(P510,1),HFer,HOuv),HOuv))*24,4)))/HJour,4),""))</f>
        <v/>
      </c>
      <c r="AY510" s="36" t="str">
        <f aca="false">IF(OR(AO510&lt;&gt;1,AR510=""),"",INDEX(SLA_PEC,AR510))</f>
        <v/>
      </c>
      <c r="AZ510" s="35" t="str">
        <f aca="false">IF(OR(AV510="",AY510=""),"",IF(AV510&lt;=AY510,1,0))</f>
        <v/>
      </c>
      <c r="BA510" s="36" t="str">
        <f aca="false">IF(OR(AO510&lt;&gt;1,AR510=""),"",INDEX(SLA_RES,AR510))</f>
        <v/>
      </c>
      <c r="BB510" s="35" t="str">
        <f aca="false">IF(OR(AW510="",BA510=""),"",IF(AW510&lt;=BA510,1,0))</f>
        <v/>
      </c>
      <c r="BC510" s="38" t="str">
        <f aca="false">IF(OR(BA510="",P510=""),"",WORKDAY(INT(P510),BA510,JoursFeries)+MOD(P510,1))</f>
        <v/>
      </c>
      <c r="BD510" s="39" t="str">
        <f aca="false">IF(AO510&lt;&gt;1,"",IF(OR(AB510&lt;&gt;"",AD510&lt;&gt;""),4,IF(U510&lt;&gt;"",3,IF(T510&lt;&gt;"",2,1))))</f>
        <v/>
      </c>
      <c r="BE510" s="39" t="str">
        <f aca="false">IF(OR(AO510&lt;&gt;1,AR510=""),"",INDEX(NIV_REQ,AR510))</f>
        <v/>
      </c>
      <c r="BF510" s="39" t="str">
        <f aca="false">IF(BE510="","",MAX(BE510,IF(OR(K510="Oui",Z510="Oui"),4,1)))</f>
        <v/>
      </c>
      <c r="BG510" s="35" t="str">
        <f aca="false">IF(OR(BF510="",BD510=""),"",IF(BD510&gt;=BF510,1,0))</f>
        <v/>
      </c>
      <c r="BH510" s="38" t="str">
        <f aca="false">IF(BE510="","",IF(BE510&lt;2,"",IF(BE510=2,IF(AND(T510="",U510=""),"",MIN(T510,U510)),IF(U510="","",U510))))</f>
        <v/>
      </c>
      <c r="BI510" s="37" t="str">
        <f aca="false">IF(BH510="","",IF(OR(O510="",BH510=""),"",IF(BH510&lt;O510,"",ROUND(((NETWORKDAYS(O510,BH510,JoursFeries)-1)*(HFer-HOuv)+IF(NETWORKDAYS(BH510,BH510,JoursFeries),MEDIAN(MOD(BH510,1),HFer,HOuv),HFer)-IF(NETWORKDAYS(O510,O510,JoursFeries),MEDIAN(MOD(O510,1),HFer,HOuv),HOuv))*24,4))))</f>
        <v/>
      </c>
      <c r="BJ510" s="35" t="str">
        <f aca="false">IF(OR(BI510="",AR510=""),"",IF(BI510&lt;=INDEX(DELAI_ESC,AR510),1,0))</f>
        <v/>
      </c>
      <c r="BK510" s="38" t="str">
        <f aca="false">IF(AO510&lt;&gt;1,"",IF(AND(T510="",U510=""),"",MIN(T510,U510)))</f>
        <v/>
      </c>
      <c r="BL510" s="37" t="str">
        <f aca="false">IF(OR(BK510="",R510=""),"",IFERROR(ROUND(IF(OR(BK510="",R510=""),"",IF(R510&lt;BK510,"",ROUND(((NETWORKDAYS(BK510,R510,JoursFeries)-1)*(HFer-HOuv)+IF(NETWORKDAYS(R510,R510,JoursFeries),MEDIAN(MOD(R510,1),HFer,HOuv),HFer)-IF(NETWORKDAYS(BK510,BK510,JoursFeries),MEDIAN(MOD(BK510,1),HFer,HOuv),HOuv))*24,4)))/HJour,4),""))</f>
        <v/>
      </c>
      <c r="BM510" s="35" t="str">
        <f aca="false">IF(OR(AO510&lt;&gt;1,R510=""),"",IF(BD510=1,1,0))</f>
        <v/>
      </c>
      <c r="BN510" s="35" t="str">
        <f aca="false">IF(AO510&lt;&gt;1,"",IF(W510="Oui",1,0))</f>
        <v/>
      </c>
      <c r="BO510" s="35" t="str">
        <f aca="false">IF(AO510&lt;&gt;1,"",IF(X510&lt;&gt;"",1,0))</f>
        <v/>
      </c>
      <c r="BP510" s="35" t="str">
        <f aca="false">IF(AO510&lt;&gt;1,"",IF(Y510="Oui",1,0))</f>
        <v/>
      </c>
      <c r="BQ510" s="35" t="str">
        <f aca="true">IF(OR(AO510&lt;&gt;1,Z510&lt;&gt;"Oui"),"",IF(AB510="",IF(AND(AA510&lt;&gt;"",NOW()&gt;AA510),0,""),IF(AA510="","",IF(AB510&lt;=AA510,1,0))))</f>
        <v/>
      </c>
      <c r="BR510" s="38" t="str">
        <f aca="false">IF(OR(AO510&lt;&gt;1,K510&lt;&gt;"Oui",O510=""),"",IF(AC510="",O510+DORA_H_DET/24,IF(AC510-O510&lt;=DORA_H_DET/24,MIN(AC510+DORA_H_CLA/24,O510+DORA_H_DET/24),AC510+DORA_H_CLA/24)))</f>
        <v/>
      </c>
      <c r="BS510" s="35" t="str">
        <f aca="true">IF(BR510="","",IF(AD510="",IF(NOW()&gt;BR510,0,""),IF(AD510&lt;=BR510,1,0)))</f>
        <v/>
      </c>
      <c r="BT510" s="35" t="str">
        <f aca="true">IF(OR(BR510="",AD510=""),"",IF(AE510="",IF(NOW()&gt;AD510+DORA_H_INT/24,0,""),IF(AE510&lt;=AD510+DORA_H_INT/24,1,0)))</f>
        <v/>
      </c>
      <c r="BU510" s="35" t="str">
        <f aca="true">IF(OR(BR510="",AE510=""),"",IF(AF510="",IF(NOW()&gt;EDATE(AE510,DORA_M_FIN)+1,0,""),IF(AF510&lt;=EDATE(AE510,DORA_M_FIN),1,0)))</f>
        <v/>
      </c>
      <c r="BV510" s="35" t="str">
        <f aca="false">IF(BR510="","",IF(COUNT(BS510:BU510)=0,"",MIN(BS510:BU510)))</f>
        <v/>
      </c>
      <c r="BW510" s="40" t="str">
        <f aca="false">IF(AQ510&lt;&gt;1,"",IF(AND(AG510="",AH510=""),"",N(AG510)-N(AH510)))</f>
        <v/>
      </c>
      <c r="BX510" s="35" t="str">
        <f aca="true">IF(OR(AQ510&lt;&gt;1,AI510&lt;&gt;"Oui",AJ510=""),"",IF(AK510="",IF(NOW()&gt;AJ510+1,0,""),IF(AK510&lt;=AJ510,1,0)))</f>
        <v/>
      </c>
    </row>
    <row r="511" customFormat="false" ht="15" hidden="false" customHeight="false" outlineLevel="0" collapsed="false">
      <c r="B511" s="29"/>
      <c r="C511" s="29"/>
      <c r="D511" s="29"/>
      <c r="E511" s="29"/>
      <c r="F511" s="29"/>
      <c r="G511" s="29"/>
      <c r="H511" s="29"/>
      <c r="I511" s="29"/>
      <c r="J511" s="29"/>
      <c r="K511" s="29"/>
      <c r="L511" s="29"/>
      <c r="M511" s="29"/>
      <c r="N511" s="30"/>
      <c r="O511" s="30"/>
      <c r="P511" s="30"/>
      <c r="Q511" s="30"/>
      <c r="R511" s="30"/>
      <c r="S511" s="30"/>
      <c r="T511" s="30"/>
      <c r="U511" s="30"/>
      <c r="V511" s="31"/>
      <c r="W511" s="29"/>
      <c r="X511" s="29"/>
      <c r="Y511" s="29"/>
      <c r="Z511" s="29"/>
      <c r="AA511" s="30"/>
      <c r="AB511" s="30"/>
      <c r="AC511" s="30"/>
      <c r="AD511" s="30"/>
      <c r="AE511" s="30"/>
      <c r="AF511" s="32"/>
      <c r="AG511" s="33"/>
      <c r="AH511" s="33"/>
      <c r="AI511" s="29"/>
      <c r="AJ511" s="32"/>
      <c r="AK511" s="32"/>
      <c r="AL511" s="29"/>
      <c r="AN511" s="34" t="str">
        <f aca="false">IF($B511="","",IF(OR(C511="",D511="",E511="",G511="",I511="",J511="",L511="",O511="",P511=""),"Champ obligatoire manquant",IF(OR(AND(N511&lt;&gt;"",N511&gt;O511),O511&gt;P511,AND(Q511&lt;&gt;"",Q511&lt;P511),AND(R511&lt;&gt;"",R511&lt;P511),AND(S511&lt;&gt;"",S511&lt;R511),AND(S511&lt;&gt;"",R511=""),AND(T511&lt;&gt;"",T511&lt;O511),AND(U511&lt;&gt;"",U511&lt;O511)),"Chronologie incohérente",IF(AND(OR(L511="Résolu",L511="Clos"),R511=""),"Date de résolution manquante",IF(AND(L511="Clos",S511=""),"Date de clôture manquante",IF(AND(K511="Oui",AC511=""),"Classification DORA manquante","OK"))))))</f>
        <v/>
      </c>
      <c r="AO511" s="35" t="str">
        <f aca="false">IF($B511="","",IF(AND(C511="Incident",L511&lt;&gt;"Annulé"),1,0))</f>
        <v/>
      </c>
      <c r="AP511" s="35" t="str">
        <f aca="false">IF($B511="","",IF(AND(C511="Quasi-incident",L511&lt;&gt;"Annulé"),1,0))</f>
        <v/>
      </c>
      <c r="AQ511" s="35" t="str">
        <f aca="false">IF($B511="","",AO511+AP511)</f>
        <v/>
      </c>
      <c r="AR511" s="36" t="str">
        <f aca="false">IF(OR($B511="",J511=""),"",IFERROR(VALUE(LEFT(J511,1)),""))</f>
        <v/>
      </c>
      <c r="AS511" s="35" t="str">
        <f aca="false">IF(OR(AO511&lt;&gt;1,G511=""),"",IFERROR(IF(INDEX(L_SrcInterne,MATCH(G511,L_Sources,0))="Oui",1,0),""))</f>
        <v/>
      </c>
      <c r="AT511" s="37" t="str">
        <f aca="false">IF(AO511&lt;&gt;1,"",IFERROR(ROUND(IF(OR(N511="",O511=""),"",IF(O511&lt;N511,"",ROUND(((NETWORKDAYS(N511,O511,JoursFeries)-1)*(HFer-HOuv)+IF(NETWORKDAYS(O511,O511,JoursFeries),MEDIAN(MOD(O511,1),HFer,HOuv),HFer)-IF(NETWORKDAYS(N511,N511,JoursFeries),MEDIAN(MOD(N511,1),HFer,HOuv),HOuv))*24,4)))/HJour,4),""))</f>
        <v/>
      </c>
      <c r="AU511" s="37" t="str">
        <f aca="false">IF(AO511&lt;&gt;1,"",IF(OR(O511="",P511=""),"",IF(P511&lt;O511,"",ROUND(((NETWORKDAYS(O511,P511,JoursFeries)-1)*(HFer-HOuv)+IF(NETWORKDAYS(P511,P511,JoursFeries),MEDIAN(MOD(P511,1),HFer,HOuv),HFer)-IF(NETWORKDAYS(O511,O511,JoursFeries),MEDIAN(MOD(O511,1),HFer,HOuv),HOuv))*24,4))))</f>
        <v/>
      </c>
      <c r="AV511" s="37" t="str">
        <f aca="false">IF(AO511&lt;&gt;1,"",IF(OR(P511="",Q511=""),"",IF(Q511&lt;P511,"",ROUND(((NETWORKDAYS(P511,Q511,JoursFeries)-1)*(HFer-HOuv)+IF(NETWORKDAYS(Q511,Q511,JoursFeries),MEDIAN(MOD(Q511,1),HFer,HOuv),HFer)-IF(NETWORKDAYS(P511,P511,JoursFeries),MEDIAN(MOD(P511,1),HFer,HOuv),HOuv))*24,4))))</f>
        <v/>
      </c>
      <c r="AW511" s="37" t="str">
        <f aca="false">IF(AO511&lt;&gt;1,"",IFERROR(ROUND(IF(OR(P511="",R511=""),"",IF(R511&lt;P511,"",ROUND(((NETWORKDAYS(P511,R511,JoursFeries)-1)*(HFer-HOuv)+IF(NETWORKDAYS(R511,R511,JoursFeries),MEDIAN(MOD(R511,1),HFer,HOuv),HFer)-IF(NETWORKDAYS(P511,P511,JoursFeries),MEDIAN(MOD(P511,1),HFer,HOuv),HOuv))*24,4)))/HJour,4),""))</f>
        <v/>
      </c>
      <c r="AX511" s="37" t="str">
        <f aca="false">IF(AO511&lt;&gt;1,"",IFERROR(ROUND(IF(OR(P511="",S511=""),"",IF(S511&lt;P511,"",ROUND(((NETWORKDAYS(P511,S511,JoursFeries)-1)*(HFer-HOuv)+IF(NETWORKDAYS(S511,S511,JoursFeries),MEDIAN(MOD(S511,1),HFer,HOuv),HFer)-IF(NETWORKDAYS(P511,P511,JoursFeries),MEDIAN(MOD(P511,1),HFer,HOuv),HOuv))*24,4)))/HJour,4),""))</f>
        <v/>
      </c>
      <c r="AY511" s="36" t="str">
        <f aca="false">IF(OR(AO511&lt;&gt;1,AR511=""),"",INDEX(SLA_PEC,AR511))</f>
        <v/>
      </c>
      <c r="AZ511" s="35" t="str">
        <f aca="false">IF(OR(AV511="",AY511=""),"",IF(AV511&lt;=AY511,1,0))</f>
        <v/>
      </c>
      <c r="BA511" s="36" t="str">
        <f aca="false">IF(OR(AO511&lt;&gt;1,AR511=""),"",INDEX(SLA_RES,AR511))</f>
        <v/>
      </c>
      <c r="BB511" s="35" t="str">
        <f aca="false">IF(OR(AW511="",BA511=""),"",IF(AW511&lt;=BA511,1,0))</f>
        <v/>
      </c>
      <c r="BC511" s="38" t="str">
        <f aca="false">IF(OR(BA511="",P511=""),"",WORKDAY(INT(P511),BA511,JoursFeries)+MOD(P511,1))</f>
        <v/>
      </c>
      <c r="BD511" s="39" t="str">
        <f aca="false">IF(AO511&lt;&gt;1,"",IF(OR(AB511&lt;&gt;"",AD511&lt;&gt;""),4,IF(U511&lt;&gt;"",3,IF(T511&lt;&gt;"",2,1))))</f>
        <v/>
      </c>
      <c r="BE511" s="39" t="str">
        <f aca="false">IF(OR(AO511&lt;&gt;1,AR511=""),"",INDEX(NIV_REQ,AR511))</f>
        <v/>
      </c>
      <c r="BF511" s="39" t="str">
        <f aca="false">IF(BE511="","",MAX(BE511,IF(OR(K511="Oui",Z511="Oui"),4,1)))</f>
        <v/>
      </c>
      <c r="BG511" s="35" t="str">
        <f aca="false">IF(OR(BF511="",BD511=""),"",IF(BD511&gt;=BF511,1,0))</f>
        <v/>
      </c>
      <c r="BH511" s="38" t="str">
        <f aca="false">IF(BE511="","",IF(BE511&lt;2,"",IF(BE511=2,IF(AND(T511="",U511=""),"",MIN(T511,U511)),IF(U511="","",U511))))</f>
        <v/>
      </c>
      <c r="BI511" s="37" t="str">
        <f aca="false">IF(BH511="","",IF(OR(O511="",BH511=""),"",IF(BH511&lt;O511,"",ROUND(((NETWORKDAYS(O511,BH511,JoursFeries)-1)*(HFer-HOuv)+IF(NETWORKDAYS(BH511,BH511,JoursFeries),MEDIAN(MOD(BH511,1),HFer,HOuv),HFer)-IF(NETWORKDAYS(O511,O511,JoursFeries),MEDIAN(MOD(O511,1),HFer,HOuv),HOuv))*24,4))))</f>
        <v/>
      </c>
      <c r="BJ511" s="35" t="str">
        <f aca="false">IF(OR(BI511="",AR511=""),"",IF(BI511&lt;=INDEX(DELAI_ESC,AR511),1,0))</f>
        <v/>
      </c>
      <c r="BK511" s="38" t="str">
        <f aca="false">IF(AO511&lt;&gt;1,"",IF(AND(T511="",U511=""),"",MIN(T511,U511)))</f>
        <v/>
      </c>
      <c r="BL511" s="37" t="str">
        <f aca="false">IF(OR(BK511="",R511=""),"",IFERROR(ROUND(IF(OR(BK511="",R511=""),"",IF(R511&lt;BK511,"",ROUND(((NETWORKDAYS(BK511,R511,JoursFeries)-1)*(HFer-HOuv)+IF(NETWORKDAYS(R511,R511,JoursFeries),MEDIAN(MOD(R511,1),HFer,HOuv),HFer)-IF(NETWORKDAYS(BK511,BK511,JoursFeries),MEDIAN(MOD(BK511,1),HFer,HOuv),HOuv))*24,4)))/HJour,4),""))</f>
        <v/>
      </c>
      <c r="BM511" s="35" t="str">
        <f aca="false">IF(OR(AO511&lt;&gt;1,R511=""),"",IF(BD511=1,1,0))</f>
        <v/>
      </c>
      <c r="BN511" s="35" t="str">
        <f aca="false">IF(AO511&lt;&gt;1,"",IF(W511="Oui",1,0))</f>
        <v/>
      </c>
      <c r="BO511" s="35" t="str">
        <f aca="false">IF(AO511&lt;&gt;1,"",IF(X511&lt;&gt;"",1,0))</f>
        <v/>
      </c>
      <c r="BP511" s="35" t="str">
        <f aca="false">IF(AO511&lt;&gt;1,"",IF(Y511="Oui",1,0))</f>
        <v/>
      </c>
      <c r="BQ511" s="35" t="str">
        <f aca="true">IF(OR(AO511&lt;&gt;1,Z511&lt;&gt;"Oui"),"",IF(AB511="",IF(AND(AA511&lt;&gt;"",NOW()&gt;AA511),0,""),IF(AA511="","",IF(AB511&lt;=AA511,1,0))))</f>
        <v/>
      </c>
      <c r="BR511" s="38" t="str">
        <f aca="false">IF(OR(AO511&lt;&gt;1,K511&lt;&gt;"Oui",O511=""),"",IF(AC511="",O511+DORA_H_DET/24,IF(AC511-O511&lt;=DORA_H_DET/24,MIN(AC511+DORA_H_CLA/24,O511+DORA_H_DET/24),AC511+DORA_H_CLA/24)))</f>
        <v/>
      </c>
      <c r="BS511" s="35" t="str">
        <f aca="true">IF(BR511="","",IF(AD511="",IF(NOW()&gt;BR511,0,""),IF(AD511&lt;=BR511,1,0)))</f>
        <v/>
      </c>
      <c r="BT511" s="35" t="str">
        <f aca="true">IF(OR(BR511="",AD511=""),"",IF(AE511="",IF(NOW()&gt;AD511+DORA_H_INT/24,0,""),IF(AE511&lt;=AD511+DORA_H_INT/24,1,0)))</f>
        <v/>
      </c>
      <c r="BU511" s="35" t="str">
        <f aca="true">IF(OR(BR511="",AE511=""),"",IF(AF511="",IF(NOW()&gt;EDATE(AE511,DORA_M_FIN)+1,0,""),IF(AF511&lt;=EDATE(AE511,DORA_M_FIN),1,0)))</f>
        <v/>
      </c>
      <c r="BV511" s="35" t="str">
        <f aca="false">IF(BR511="","",IF(COUNT(BS511:BU511)=0,"",MIN(BS511:BU511)))</f>
        <v/>
      </c>
      <c r="BW511" s="40" t="str">
        <f aca="false">IF(AQ511&lt;&gt;1,"",IF(AND(AG511="",AH511=""),"",N(AG511)-N(AH511)))</f>
        <v/>
      </c>
      <c r="BX511" s="35" t="str">
        <f aca="true">IF(OR(AQ511&lt;&gt;1,AI511&lt;&gt;"Oui",AJ511=""),"",IF(AK511="",IF(NOW()&gt;AJ511+1,0,""),IF(AK511&lt;=AJ511,1,0)))</f>
        <v/>
      </c>
    </row>
    <row r="512" customFormat="false" ht="15" hidden="false" customHeight="false" outlineLevel="0" collapsed="false">
      <c r="B512" s="29"/>
      <c r="C512" s="29"/>
      <c r="D512" s="29"/>
      <c r="E512" s="29"/>
      <c r="F512" s="29"/>
      <c r="G512" s="29"/>
      <c r="H512" s="29"/>
      <c r="I512" s="29"/>
      <c r="J512" s="29"/>
      <c r="K512" s="29"/>
      <c r="L512" s="29"/>
      <c r="M512" s="29"/>
      <c r="N512" s="30"/>
      <c r="O512" s="30"/>
      <c r="P512" s="30"/>
      <c r="Q512" s="30"/>
      <c r="R512" s="30"/>
      <c r="S512" s="30"/>
      <c r="T512" s="30"/>
      <c r="U512" s="30"/>
      <c r="V512" s="31"/>
      <c r="W512" s="29"/>
      <c r="X512" s="29"/>
      <c r="Y512" s="29"/>
      <c r="Z512" s="29"/>
      <c r="AA512" s="30"/>
      <c r="AB512" s="30"/>
      <c r="AC512" s="30"/>
      <c r="AD512" s="30"/>
      <c r="AE512" s="30"/>
      <c r="AF512" s="32"/>
      <c r="AG512" s="33"/>
      <c r="AH512" s="33"/>
      <c r="AI512" s="29"/>
      <c r="AJ512" s="32"/>
      <c r="AK512" s="32"/>
      <c r="AL512" s="29"/>
      <c r="AN512" s="34" t="str">
        <f aca="false">IF($B512="","",IF(OR(C512="",D512="",E512="",G512="",I512="",J512="",L512="",O512="",P512=""),"Champ obligatoire manquant",IF(OR(AND(N512&lt;&gt;"",N512&gt;O512),O512&gt;P512,AND(Q512&lt;&gt;"",Q512&lt;P512),AND(R512&lt;&gt;"",R512&lt;P512),AND(S512&lt;&gt;"",S512&lt;R512),AND(S512&lt;&gt;"",R512=""),AND(T512&lt;&gt;"",T512&lt;O512),AND(U512&lt;&gt;"",U512&lt;O512)),"Chronologie incohérente",IF(AND(OR(L512="Résolu",L512="Clos"),R512=""),"Date de résolution manquante",IF(AND(L512="Clos",S512=""),"Date de clôture manquante",IF(AND(K512="Oui",AC512=""),"Classification DORA manquante","OK"))))))</f>
        <v/>
      </c>
      <c r="AO512" s="35" t="str">
        <f aca="false">IF($B512="","",IF(AND(C512="Incident",L512&lt;&gt;"Annulé"),1,0))</f>
        <v/>
      </c>
      <c r="AP512" s="35" t="str">
        <f aca="false">IF($B512="","",IF(AND(C512="Quasi-incident",L512&lt;&gt;"Annulé"),1,0))</f>
        <v/>
      </c>
      <c r="AQ512" s="35" t="str">
        <f aca="false">IF($B512="","",AO512+AP512)</f>
        <v/>
      </c>
      <c r="AR512" s="36" t="str">
        <f aca="false">IF(OR($B512="",J512=""),"",IFERROR(VALUE(LEFT(J512,1)),""))</f>
        <v/>
      </c>
      <c r="AS512" s="35" t="str">
        <f aca="false">IF(OR(AO512&lt;&gt;1,G512=""),"",IFERROR(IF(INDEX(L_SrcInterne,MATCH(G512,L_Sources,0))="Oui",1,0),""))</f>
        <v/>
      </c>
      <c r="AT512" s="37" t="str">
        <f aca="false">IF(AO512&lt;&gt;1,"",IFERROR(ROUND(IF(OR(N512="",O512=""),"",IF(O512&lt;N512,"",ROUND(((NETWORKDAYS(N512,O512,JoursFeries)-1)*(HFer-HOuv)+IF(NETWORKDAYS(O512,O512,JoursFeries),MEDIAN(MOD(O512,1),HFer,HOuv),HFer)-IF(NETWORKDAYS(N512,N512,JoursFeries),MEDIAN(MOD(N512,1),HFer,HOuv),HOuv))*24,4)))/HJour,4),""))</f>
        <v/>
      </c>
      <c r="AU512" s="37" t="str">
        <f aca="false">IF(AO512&lt;&gt;1,"",IF(OR(O512="",P512=""),"",IF(P512&lt;O512,"",ROUND(((NETWORKDAYS(O512,P512,JoursFeries)-1)*(HFer-HOuv)+IF(NETWORKDAYS(P512,P512,JoursFeries),MEDIAN(MOD(P512,1),HFer,HOuv),HFer)-IF(NETWORKDAYS(O512,O512,JoursFeries),MEDIAN(MOD(O512,1),HFer,HOuv),HOuv))*24,4))))</f>
        <v/>
      </c>
      <c r="AV512" s="37" t="str">
        <f aca="false">IF(AO512&lt;&gt;1,"",IF(OR(P512="",Q512=""),"",IF(Q512&lt;P512,"",ROUND(((NETWORKDAYS(P512,Q512,JoursFeries)-1)*(HFer-HOuv)+IF(NETWORKDAYS(Q512,Q512,JoursFeries),MEDIAN(MOD(Q512,1),HFer,HOuv),HFer)-IF(NETWORKDAYS(P512,P512,JoursFeries),MEDIAN(MOD(P512,1),HFer,HOuv),HOuv))*24,4))))</f>
        <v/>
      </c>
      <c r="AW512" s="37" t="str">
        <f aca="false">IF(AO512&lt;&gt;1,"",IFERROR(ROUND(IF(OR(P512="",R512=""),"",IF(R512&lt;P512,"",ROUND(((NETWORKDAYS(P512,R512,JoursFeries)-1)*(HFer-HOuv)+IF(NETWORKDAYS(R512,R512,JoursFeries),MEDIAN(MOD(R512,1),HFer,HOuv),HFer)-IF(NETWORKDAYS(P512,P512,JoursFeries),MEDIAN(MOD(P512,1),HFer,HOuv),HOuv))*24,4)))/HJour,4),""))</f>
        <v/>
      </c>
      <c r="AX512" s="37" t="str">
        <f aca="false">IF(AO512&lt;&gt;1,"",IFERROR(ROUND(IF(OR(P512="",S512=""),"",IF(S512&lt;P512,"",ROUND(((NETWORKDAYS(P512,S512,JoursFeries)-1)*(HFer-HOuv)+IF(NETWORKDAYS(S512,S512,JoursFeries),MEDIAN(MOD(S512,1),HFer,HOuv),HFer)-IF(NETWORKDAYS(P512,P512,JoursFeries),MEDIAN(MOD(P512,1),HFer,HOuv),HOuv))*24,4)))/HJour,4),""))</f>
        <v/>
      </c>
      <c r="AY512" s="36" t="str">
        <f aca="false">IF(OR(AO512&lt;&gt;1,AR512=""),"",INDEX(SLA_PEC,AR512))</f>
        <v/>
      </c>
      <c r="AZ512" s="35" t="str">
        <f aca="false">IF(OR(AV512="",AY512=""),"",IF(AV512&lt;=AY512,1,0))</f>
        <v/>
      </c>
      <c r="BA512" s="36" t="str">
        <f aca="false">IF(OR(AO512&lt;&gt;1,AR512=""),"",INDEX(SLA_RES,AR512))</f>
        <v/>
      </c>
      <c r="BB512" s="35" t="str">
        <f aca="false">IF(OR(AW512="",BA512=""),"",IF(AW512&lt;=BA512,1,0))</f>
        <v/>
      </c>
      <c r="BC512" s="38" t="str">
        <f aca="false">IF(OR(BA512="",P512=""),"",WORKDAY(INT(P512),BA512,JoursFeries)+MOD(P512,1))</f>
        <v/>
      </c>
      <c r="BD512" s="39" t="str">
        <f aca="false">IF(AO512&lt;&gt;1,"",IF(OR(AB512&lt;&gt;"",AD512&lt;&gt;""),4,IF(U512&lt;&gt;"",3,IF(T512&lt;&gt;"",2,1))))</f>
        <v/>
      </c>
      <c r="BE512" s="39" t="str">
        <f aca="false">IF(OR(AO512&lt;&gt;1,AR512=""),"",INDEX(NIV_REQ,AR512))</f>
        <v/>
      </c>
      <c r="BF512" s="39" t="str">
        <f aca="false">IF(BE512="","",MAX(BE512,IF(OR(K512="Oui",Z512="Oui"),4,1)))</f>
        <v/>
      </c>
      <c r="BG512" s="35" t="str">
        <f aca="false">IF(OR(BF512="",BD512=""),"",IF(BD512&gt;=BF512,1,0))</f>
        <v/>
      </c>
      <c r="BH512" s="38" t="str">
        <f aca="false">IF(BE512="","",IF(BE512&lt;2,"",IF(BE512=2,IF(AND(T512="",U512=""),"",MIN(T512,U512)),IF(U512="","",U512))))</f>
        <v/>
      </c>
      <c r="BI512" s="37" t="str">
        <f aca="false">IF(BH512="","",IF(OR(O512="",BH512=""),"",IF(BH512&lt;O512,"",ROUND(((NETWORKDAYS(O512,BH512,JoursFeries)-1)*(HFer-HOuv)+IF(NETWORKDAYS(BH512,BH512,JoursFeries),MEDIAN(MOD(BH512,1),HFer,HOuv),HFer)-IF(NETWORKDAYS(O512,O512,JoursFeries),MEDIAN(MOD(O512,1),HFer,HOuv),HOuv))*24,4))))</f>
        <v/>
      </c>
      <c r="BJ512" s="35" t="str">
        <f aca="false">IF(OR(BI512="",AR512=""),"",IF(BI512&lt;=INDEX(DELAI_ESC,AR512),1,0))</f>
        <v/>
      </c>
      <c r="BK512" s="38" t="str">
        <f aca="false">IF(AO512&lt;&gt;1,"",IF(AND(T512="",U512=""),"",MIN(T512,U512)))</f>
        <v/>
      </c>
      <c r="BL512" s="37" t="str">
        <f aca="false">IF(OR(BK512="",R512=""),"",IFERROR(ROUND(IF(OR(BK512="",R512=""),"",IF(R512&lt;BK512,"",ROUND(((NETWORKDAYS(BK512,R512,JoursFeries)-1)*(HFer-HOuv)+IF(NETWORKDAYS(R512,R512,JoursFeries),MEDIAN(MOD(R512,1),HFer,HOuv),HFer)-IF(NETWORKDAYS(BK512,BK512,JoursFeries),MEDIAN(MOD(BK512,1),HFer,HOuv),HOuv))*24,4)))/HJour,4),""))</f>
        <v/>
      </c>
      <c r="BM512" s="35" t="str">
        <f aca="false">IF(OR(AO512&lt;&gt;1,R512=""),"",IF(BD512=1,1,0))</f>
        <v/>
      </c>
      <c r="BN512" s="35" t="str">
        <f aca="false">IF(AO512&lt;&gt;1,"",IF(W512="Oui",1,0))</f>
        <v/>
      </c>
      <c r="BO512" s="35" t="str">
        <f aca="false">IF(AO512&lt;&gt;1,"",IF(X512&lt;&gt;"",1,0))</f>
        <v/>
      </c>
      <c r="BP512" s="35" t="str">
        <f aca="false">IF(AO512&lt;&gt;1,"",IF(Y512="Oui",1,0))</f>
        <v/>
      </c>
      <c r="BQ512" s="35" t="str">
        <f aca="true">IF(OR(AO512&lt;&gt;1,Z512&lt;&gt;"Oui"),"",IF(AB512="",IF(AND(AA512&lt;&gt;"",NOW()&gt;AA512),0,""),IF(AA512="","",IF(AB512&lt;=AA512,1,0))))</f>
        <v/>
      </c>
      <c r="BR512" s="38" t="str">
        <f aca="false">IF(OR(AO512&lt;&gt;1,K512&lt;&gt;"Oui",O512=""),"",IF(AC512="",O512+DORA_H_DET/24,IF(AC512-O512&lt;=DORA_H_DET/24,MIN(AC512+DORA_H_CLA/24,O512+DORA_H_DET/24),AC512+DORA_H_CLA/24)))</f>
        <v/>
      </c>
      <c r="BS512" s="35" t="str">
        <f aca="true">IF(BR512="","",IF(AD512="",IF(NOW()&gt;BR512,0,""),IF(AD512&lt;=BR512,1,0)))</f>
        <v/>
      </c>
      <c r="BT512" s="35" t="str">
        <f aca="true">IF(OR(BR512="",AD512=""),"",IF(AE512="",IF(NOW()&gt;AD512+DORA_H_INT/24,0,""),IF(AE512&lt;=AD512+DORA_H_INT/24,1,0)))</f>
        <v/>
      </c>
      <c r="BU512" s="35" t="str">
        <f aca="true">IF(OR(BR512="",AE512=""),"",IF(AF512="",IF(NOW()&gt;EDATE(AE512,DORA_M_FIN)+1,0,""),IF(AF512&lt;=EDATE(AE512,DORA_M_FIN),1,0)))</f>
        <v/>
      </c>
      <c r="BV512" s="35" t="str">
        <f aca="false">IF(BR512="","",IF(COUNT(BS512:BU512)=0,"",MIN(BS512:BU512)))</f>
        <v/>
      </c>
      <c r="BW512" s="40" t="str">
        <f aca="false">IF(AQ512&lt;&gt;1,"",IF(AND(AG512="",AH512=""),"",N(AG512)-N(AH512)))</f>
        <v/>
      </c>
      <c r="BX512" s="35" t="str">
        <f aca="true">IF(OR(AQ512&lt;&gt;1,AI512&lt;&gt;"Oui",AJ512=""),"",IF(AK512="",IF(NOW()&gt;AJ512+1,0,""),IF(AK512&lt;=AJ512,1,0)))</f>
        <v/>
      </c>
    </row>
    <row r="513" customFormat="false" ht="15" hidden="false" customHeight="false" outlineLevel="0" collapsed="false">
      <c r="B513" s="29"/>
      <c r="C513" s="29"/>
      <c r="D513" s="29"/>
      <c r="E513" s="29"/>
      <c r="F513" s="29"/>
      <c r="G513" s="29"/>
      <c r="H513" s="29"/>
      <c r="I513" s="29"/>
      <c r="J513" s="29"/>
      <c r="K513" s="29"/>
      <c r="L513" s="29"/>
      <c r="M513" s="29"/>
      <c r="N513" s="30"/>
      <c r="O513" s="30"/>
      <c r="P513" s="30"/>
      <c r="Q513" s="30"/>
      <c r="R513" s="30"/>
      <c r="S513" s="30"/>
      <c r="T513" s="30"/>
      <c r="U513" s="30"/>
      <c r="V513" s="31"/>
      <c r="W513" s="29"/>
      <c r="X513" s="29"/>
      <c r="Y513" s="29"/>
      <c r="Z513" s="29"/>
      <c r="AA513" s="30"/>
      <c r="AB513" s="30"/>
      <c r="AC513" s="30"/>
      <c r="AD513" s="30"/>
      <c r="AE513" s="30"/>
      <c r="AF513" s="32"/>
      <c r="AG513" s="33"/>
      <c r="AH513" s="33"/>
      <c r="AI513" s="29"/>
      <c r="AJ513" s="32"/>
      <c r="AK513" s="32"/>
      <c r="AL513" s="29"/>
      <c r="AN513" s="34" t="str">
        <f aca="false">IF($B513="","",IF(OR(C513="",D513="",E513="",G513="",I513="",J513="",L513="",O513="",P513=""),"Champ obligatoire manquant",IF(OR(AND(N513&lt;&gt;"",N513&gt;O513),O513&gt;P513,AND(Q513&lt;&gt;"",Q513&lt;P513),AND(R513&lt;&gt;"",R513&lt;P513),AND(S513&lt;&gt;"",S513&lt;R513),AND(S513&lt;&gt;"",R513=""),AND(T513&lt;&gt;"",T513&lt;O513),AND(U513&lt;&gt;"",U513&lt;O513)),"Chronologie incohérente",IF(AND(OR(L513="Résolu",L513="Clos"),R513=""),"Date de résolution manquante",IF(AND(L513="Clos",S513=""),"Date de clôture manquante",IF(AND(K513="Oui",AC513=""),"Classification DORA manquante","OK"))))))</f>
        <v/>
      </c>
      <c r="AO513" s="35" t="str">
        <f aca="false">IF($B513="","",IF(AND(C513="Incident",L513&lt;&gt;"Annulé"),1,0))</f>
        <v/>
      </c>
      <c r="AP513" s="35" t="str">
        <f aca="false">IF($B513="","",IF(AND(C513="Quasi-incident",L513&lt;&gt;"Annulé"),1,0))</f>
        <v/>
      </c>
      <c r="AQ513" s="35" t="str">
        <f aca="false">IF($B513="","",AO513+AP513)</f>
        <v/>
      </c>
      <c r="AR513" s="36" t="str">
        <f aca="false">IF(OR($B513="",J513=""),"",IFERROR(VALUE(LEFT(J513,1)),""))</f>
        <v/>
      </c>
      <c r="AS513" s="35" t="str">
        <f aca="false">IF(OR(AO513&lt;&gt;1,G513=""),"",IFERROR(IF(INDEX(L_SrcInterne,MATCH(G513,L_Sources,0))="Oui",1,0),""))</f>
        <v/>
      </c>
      <c r="AT513" s="37" t="str">
        <f aca="false">IF(AO513&lt;&gt;1,"",IFERROR(ROUND(IF(OR(N513="",O513=""),"",IF(O513&lt;N513,"",ROUND(((NETWORKDAYS(N513,O513,JoursFeries)-1)*(HFer-HOuv)+IF(NETWORKDAYS(O513,O513,JoursFeries),MEDIAN(MOD(O513,1),HFer,HOuv),HFer)-IF(NETWORKDAYS(N513,N513,JoursFeries),MEDIAN(MOD(N513,1),HFer,HOuv),HOuv))*24,4)))/HJour,4),""))</f>
        <v/>
      </c>
      <c r="AU513" s="37" t="str">
        <f aca="false">IF(AO513&lt;&gt;1,"",IF(OR(O513="",P513=""),"",IF(P513&lt;O513,"",ROUND(((NETWORKDAYS(O513,P513,JoursFeries)-1)*(HFer-HOuv)+IF(NETWORKDAYS(P513,P513,JoursFeries),MEDIAN(MOD(P513,1),HFer,HOuv),HFer)-IF(NETWORKDAYS(O513,O513,JoursFeries),MEDIAN(MOD(O513,1),HFer,HOuv),HOuv))*24,4))))</f>
        <v/>
      </c>
      <c r="AV513" s="37" t="str">
        <f aca="false">IF(AO513&lt;&gt;1,"",IF(OR(P513="",Q513=""),"",IF(Q513&lt;P513,"",ROUND(((NETWORKDAYS(P513,Q513,JoursFeries)-1)*(HFer-HOuv)+IF(NETWORKDAYS(Q513,Q513,JoursFeries),MEDIAN(MOD(Q513,1),HFer,HOuv),HFer)-IF(NETWORKDAYS(P513,P513,JoursFeries),MEDIAN(MOD(P513,1),HFer,HOuv),HOuv))*24,4))))</f>
        <v/>
      </c>
      <c r="AW513" s="37" t="str">
        <f aca="false">IF(AO513&lt;&gt;1,"",IFERROR(ROUND(IF(OR(P513="",R513=""),"",IF(R513&lt;P513,"",ROUND(((NETWORKDAYS(P513,R513,JoursFeries)-1)*(HFer-HOuv)+IF(NETWORKDAYS(R513,R513,JoursFeries),MEDIAN(MOD(R513,1),HFer,HOuv),HFer)-IF(NETWORKDAYS(P513,P513,JoursFeries),MEDIAN(MOD(P513,1),HFer,HOuv),HOuv))*24,4)))/HJour,4),""))</f>
        <v/>
      </c>
      <c r="AX513" s="37" t="str">
        <f aca="false">IF(AO513&lt;&gt;1,"",IFERROR(ROUND(IF(OR(P513="",S513=""),"",IF(S513&lt;P513,"",ROUND(((NETWORKDAYS(P513,S513,JoursFeries)-1)*(HFer-HOuv)+IF(NETWORKDAYS(S513,S513,JoursFeries),MEDIAN(MOD(S513,1),HFer,HOuv),HFer)-IF(NETWORKDAYS(P513,P513,JoursFeries),MEDIAN(MOD(P513,1),HFer,HOuv),HOuv))*24,4)))/HJour,4),""))</f>
        <v/>
      </c>
      <c r="AY513" s="36" t="str">
        <f aca="false">IF(OR(AO513&lt;&gt;1,AR513=""),"",INDEX(SLA_PEC,AR513))</f>
        <v/>
      </c>
      <c r="AZ513" s="35" t="str">
        <f aca="false">IF(OR(AV513="",AY513=""),"",IF(AV513&lt;=AY513,1,0))</f>
        <v/>
      </c>
      <c r="BA513" s="36" t="str">
        <f aca="false">IF(OR(AO513&lt;&gt;1,AR513=""),"",INDEX(SLA_RES,AR513))</f>
        <v/>
      </c>
      <c r="BB513" s="35" t="str">
        <f aca="false">IF(OR(AW513="",BA513=""),"",IF(AW513&lt;=BA513,1,0))</f>
        <v/>
      </c>
      <c r="BC513" s="38" t="str">
        <f aca="false">IF(OR(BA513="",P513=""),"",WORKDAY(INT(P513),BA513,JoursFeries)+MOD(P513,1))</f>
        <v/>
      </c>
      <c r="BD513" s="39" t="str">
        <f aca="false">IF(AO513&lt;&gt;1,"",IF(OR(AB513&lt;&gt;"",AD513&lt;&gt;""),4,IF(U513&lt;&gt;"",3,IF(T513&lt;&gt;"",2,1))))</f>
        <v/>
      </c>
      <c r="BE513" s="39" t="str">
        <f aca="false">IF(OR(AO513&lt;&gt;1,AR513=""),"",INDEX(NIV_REQ,AR513))</f>
        <v/>
      </c>
      <c r="BF513" s="39" t="str">
        <f aca="false">IF(BE513="","",MAX(BE513,IF(OR(K513="Oui",Z513="Oui"),4,1)))</f>
        <v/>
      </c>
      <c r="BG513" s="35" t="str">
        <f aca="false">IF(OR(BF513="",BD513=""),"",IF(BD513&gt;=BF513,1,0))</f>
        <v/>
      </c>
      <c r="BH513" s="38" t="str">
        <f aca="false">IF(BE513="","",IF(BE513&lt;2,"",IF(BE513=2,IF(AND(T513="",U513=""),"",MIN(T513,U513)),IF(U513="","",U513))))</f>
        <v/>
      </c>
      <c r="BI513" s="37" t="str">
        <f aca="false">IF(BH513="","",IF(OR(O513="",BH513=""),"",IF(BH513&lt;O513,"",ROUND(((NETWORKDAYS(O513,BH513,JoursFeries)-1)*(HFer-HOuv)+IF(NETWORKDAYS(BH513,BH513,JoursFeries),MEDIAN(MOD(BH513,1),HFer,HOuv),HFer)-IF(NETWORKDAYS(O513,O513,JoursFeries),MEDIAN(MOD(O513,1),HFer,HOuv),HOuv))*24,4))))</f>
        <v/>
      </c>
      <c r="BJ513" s="35" t="str">
        <f aca="false">IF(OR(BI513="",AR513=""),"",IF(BI513&lt;=INDEX(DELAI_ESC,AR513),1,0))</f>
        <v/>
      </c>
      <c r="BK513" s="38" t="str">
        <f aca="false">IF(AO513&lt;&gt;1,"",IF(AND(T513="",U513=""),"",MIN(T513,U513)))</f>
        <v/>
      </c>
      <c r="BL513" s="37" t="str">
        <f aca="false">IF(OR(BK513="",R513=""),"",IFERROR(ROUND(IF(OR(BK513="",R513=""),"",IF(R513&lt;BK513,"",ROUND(((NETWORKDAYS(BK513,R513,JoursFeries)-1)*(HFer-HOuv)+IF(NETWORKDAYS(R513,R513,JoursFeries),MEDIAN(MOD(R513,1),HFer,HOuv),HFer)-IF(NETWORKDAYS(BK513,BK513,JoursFeries),MEDIAN(MOD(BK513,1),HFer,HOuv),HOuv))*24,4)))/HJour,4),""))</f>
        <v/>
      </c>
      <c r="BM513" s="35" t="str">
        <f aca="false">IF(OR(AO513&lt;&gt;1,R513=""),"",IF(BD513=1,1,0))</f>
        <v/>
      </c>
      <c r="BN513" s="35" t="str">
        <f aca="false">IF(AO513&lt;&gt;1,"",IF(W513="Oui",1,0))</f>
        <v/>
      </c>
      <c r="BO513" s="35" t="str">
        <f aca="false">IF(AO513&lt;&gt;1,"",IF(X513&lt;&gt;"",1,0))</f>
        <v/>
      </c>
      <c r="BP513" s="35" t="str">
        <f aca="false">IF(AO513&lt;&gt;1,"",IF(Y513="Oui",1,0))</f>
        <v/>
      </c>
      <c r="BQ513" s="35" t="str">
        <f aca="true">IF(OR(AO513&lt;&gt;1,Z513&lt;&gt;"Oui"),"",IF(AB513="",IF(AND(AA513&lt;&gt;"",NOW()&gt;AA513),0,""),IF(AA513="","",IF(AB513&lt;=AA513,1,0))))</f>
        <v/>
      </c>
      <c r="BR513" s="38" t="str">
        <f aca="false">IF(OR(AO513&lt;&gt;1,K513&lt;&gt;"Oui",O513=""),"",IF(AC513="",O513+DORA_H_DET/24,IF(AC513-O513&lt;=DORA_H_DET/24,MIN(AC513+DORA_H_CLA/24,O513+DORA_H_DET/24),AC513+DORA_H_CLA/24)))</f>
        <v/>
      </c>
      <c r="BS513" s="35" t="str">
        <f aca="true">IF(BR513="","",IF(AD513="",IF(NOW()&gt;BR513,0,""),IF(AD513&lt;=BR513,1,0)))</f>
        <v/>
      </c>
      <c r="BT513" s="35" t="str">
        <f aca="true">IF(OR(BR513="",AD513=""),"",IF(AE513="",IF(NOW()&gt;AD513+DORA_H_INT/24,0,""),IF(AE513&lt;=AD513+DORA_H_INT/24,1,0)))</f>
        <v/>
      </c>
      <c r="BU513" s="35" t="str">
        <f aca="true">IF(OR(BR513="",AE513=""),"",IF(AF513="",IF(NOW()&gt;EDATE(AE513,DORA_M_FIN)+1,0,""),IF(AF513&lt;=EDATE(AE513,DORA_M_FIN),1,0)))</f>
        <v/>
      </c>
      <c r="BV513" s="35" t="str">
        <f aca="false">IF(BR513="","",IF(COUNT(BS513:BU513)=0,"",MIN(BS513:BU513)))</f>
        <v/>
      </c>
      <c r="BW513" s="40" t="str">
        <f aca="false">IF(AQ513&lt;&gt;1,"",IF(AND(AG513="",AH513=""),"",N(AG513)-N(AH513)))</f>
        <v/>
      </c>
      <c r="BX513" s="35" t="str">
        <f aca="true">IF(OR(AQ513&lt;&gt;1,AI513&lt;&gt;"Oui",AJ513=""),"",IF(AK513="",IF(NOW()&gt;AJ513+1,0,""),IF(AK513&lt;=AJ513,1,0)))</f>
        <v/>
      </c>
    </row>
    <row r="514" customFormat="false" ht="15" hidden="false" customHeight="false" outlineLevel="0" collapsed="false">
      <c r="B514" s="29"/>
      <c r="C514" s="29"/>
      <c r="D514" s="29"/>
      <c r="E514" s="29"/>
      <c r="F514" s="29"/>
      <c r="G514" s="29"/>
      <c r="H514" s="29"/>
      <c r="I514" s="29"/>
      <c r="J514" s="29"/>
      <c r="K514" s="29"/>
      <c r="L514" s="29"/>
      <c r="M514" s="29"/>
      <c r="N514" s="30"/>
      <c r="O514" s="30"/>
      <c r="P514" s="30"/>
      <c r="Q514" s="30"/>
      <c r="R514" s="30"/>
      <c r="S514" s="30"/>
      <c r="T514" s="30"/>
      <c r="U514" s="30"/>
      <c r="V514" s="31"/>
      <c r="W514" s="29"/>
      <c r="X514" s="29"/>
      <c r="Y514" s="29"/>
      <c r="Z514" s="29"/>
      <c r="AA514" s="30"/>
      <c r="AB514" s="30"/>
      <c r="AC514" s="30"/>
      <c r="AD514" s="30"/>
      <c r="AE514" s="30"/>
      <c r="AF514" s="32"/>
      <c r="AG514" s="33"/>
      <c r="AH514" s="33"/>
      <c r="AI514" s="29"/>
      <c r="AJ514" s="32"/>
      <c r="AK514" s="32"/>
      <c r="AL514" s="29"/>
      <c r="AN514" s="34" t="str">
        <f aca="false">IF($B514="","",IF(OR(C514="",D514="",E514="",G514="",I514="",J514="",L514="",O514="",P514=""),"Champ obligatoire manquant",IF(OR(AND(N514&lt;&gt;"",N514&gt;O514),O514&gt;P514,AND(Q514&lt;&gt;"",Q514&lt;P514),AND(R514&lt;&gt;"",R514&lt;P514),AND(S514&lt;&gt;"",S514&lt;R514),AND(S514&lt;&gt;"",R514=""),AND(T514&lt;&gt;"",T514&lt;O514),AND(U514&lt;&gt;"",U514&lt;O514)),"Chronologie incohérente",IF(AND(OR(L514="Résolu",L514="Clos"),R514=""),"Date de résolution manquante",IF(AND(L514="Clos",S514=""),"Date de clôture manquante",IF(AND(K514="Oui",AC514=""),"Classification DORA manquante","OK"))))))</f>
        <v/>
      </c>
      <c r="AO514" s="35" t="str">
        <f aca="false">IF($B514="","",IF(AND(C514="Incident",L514&lt;&gt;"Annulé"),1,0))</f>
        <v/>
      </c>
      <c r="AP514" s="35" t="str">
        <f aca="false">IF($B514="","",IF(AND(C514="Quasi-incident",L514&lt;&gt;"Annulé"),1,0))</f>
        <v/>
      </c>
      <c r="AQ514" s="35" t="str">
        <f aca="false">IF($B514="","",AO514+AP514)</f>
        <v/>
      </c>
      <c r="AR514" s="36" t="str">
        <f aca="false">IF(OR($B514="",J514=""),"",IFERROR(VALUE(LEFT(J514,1)),""))</f>
        <v/>
      </c>
      <c r="AS514" s="35" t="str">
        <f aca="false">IF(OR(AO514&lt;&gt;1,G514=""),"",IFERROR(IF(INDEX(L_SrcInterne,MATCH(G514,L_Sources,0))="Oui",1,0),""))</f>
        <v/>
      </c>
      <c r="AT514" s="37" t="str">
        <f aca="false">IF(AO514&lt;&gt;1,"",IFERROR(ROUND(IF(OR(N514="",O514=""),"",IF(O514&lt;N514,"",ROUND(((NETWORKDAYS(N514,O514,JoursFeries)-1)*(HFer-HOuv)+IF(NETWORKDAYS(O514,O514,JoursFeries),MEDIAN(MOD(O514,1),HFer,HOuv),HFer)-IF(NETWORKDAYS(N514,N514,JoursFeries),MEDIAN(MOD(N514,1),HFer,HOuv),HOuv))*24,4)))/HJour,4),""))</f>
        <v/>
      </c>
      <c r="AU514" s="37" t="str">
        <f aca="false">IF(AO514&lt;&gt;1,"",IF(OR(O514="",P514=""),"",IF(P514&lt;O514,"",ROUND(((NETWORKDAYS(O514,P514,JoursFeries)-1)*(HFer-HOuv)+IF(NETWORKDAYS(P514,P514,JoursFeries),MEDIAN(MOD(P514,1),HFer,HOuv),HFer)-IF(NETWORKDAYS(O514,O514,JoursFeries),MEDIAN(MOD(O514,1),HFer,HOuv),HOuv))*24,4))))</f>
        <v/>
      </c>
      <c r="AV514" s="37" t="str">
        <f aca="false">IF(AO514&lt;&gt;1,"",IF(OR(P514="",Q514=""),"",IF(Q514&lt;P514,"",ROUND(((NETWORKDAYS(P514,Q514,JoursFeries)-1)*(HFer-HOuv)+IF(NETWORKDAYS(Q514,Q514,JoursFeries),MEDIAN(MOD(Q514,1),HFer,HOuv),HFer)-IF(NETWORKDAYS(P514,P514,JoursFeries),MEDIAN(MOD(P514,1),HFer,HOuv),HOuv))*24,4))))</f>
        <v/>
      </c>
      <c r="AW514" s="37" t="str">
        <f aca="false">IF(AO514&lt;&gt;1,"",IFERROR(ROUND(IF(OR(P514="",R514=""),"",IF(R514&lt;P514,"",ROUND(((NETWORKDAYS(P514,R514,JoursFeries)-1)*(HFer-HOuv)+IF(NETWORKDAYS(R514,R514,JoursFeries),MEDIAN(MOD(R514,1),HFer,HOuv),HFer)-IF(NETWORKDAYS(P514,P514,JoursFeries),MEDIAN(MOD(P514,1),HFer,HOuv),HOuv))*24,4)))/HJour,4),""))</f>
        <v/>
      </c>
      <c r="AX514" s="37" t="str">
        <f aca="false">IF(AO514&lt;&gt;1,"",IFERROR(ROUND(IF(OR(P514="",S514=""),"",IF(S514&lt;P514,"",ROUND(((NETWORKDAYS(P514,S514,JoursFeries)-1)*(HFer-HOuv)+IF(NETWORKDAYS(S514,S514,JoursFeries),MEDIAN(MOD(S514,1),HFer,HOuv),HFer)-IF(NETWORKDAYS(P514,P514,JoursFeries),MEDIAN(MOD(P514,1),HFer,HOuv),HOuv))*24,4)))/HJour,4),""))</f>
        <v/>
      </c>
      <c r="AY514" s="36" t="str">
        <f aca="false">IF(OR(AO514&lt;&gt;1,AR514=""),"",INDEX(SLA_PEC,AR514))</f>
        <v/>
      </c>
      <c r="AZ514" s="35" t="str">
        <f aca="false">IF(OR(AV514="",AY514=""),"",IF(AV514&lt;=AY514,1,0))</f>
        <v/>
      </c>
      <c r="BA514" s="36" t="str">
        <f aca="false">IF(OR(AO514&lt;&gt;1,AR514=""),"",INDEX(SLA_RES,AR514))</f>
        <v/>
      </c>
      <c r="BB514" s="35" t="str">
        <f aca="false">IF(OR(AW514="",BA514=""),"",IF(AW514&lt;=BA514,1,0))</f>
        <v/>
      </c>
      <c r="BC514" s="38" t="str">
        <f aca="false">IF(OR(BA514="",P514=""),"",WORKDAY(INT(P514),BA514,JoursFeries)+MOD(P514,1))</f>
        <v/>
      </c>
      <c r="BD514" s="39" t="str">
        <f aca="false">IF(AO514&lt;&gt;1,"",IF(OR(AB514&lt;&gt;"",AD514&lt;&gt;""),4,IF(U514&lt;&gt;"",3,IF(T514&lt;&gt;"",2,1))))</f>
        <v/>
      </c>
      <c r="BE514" s="39" t="str">
        <f aca="false">IF(OR(AO514&lt;&gt;1,AR514=""),"",INDEX(NIV_REQ,AR514))</f>
        <v/>
      </c>
      <c r="BF514" s="39" t="str">
        <f aca="false">IF(BE514="","",MAX(BE514,IF(OR(K514="Oui",Z514="Oui"),4,1)))</f>
        <v/>
      </c>
      <c r="BG514" s="35" t="str">
        <f aca="false">IF(OR(BF514="",BD514=""),"",IF(BD514&gt;=BF514,1,0))</f>
        <v/>
      </c>
      <c r="BH514" s="38" t="str">
        <f aca="false">IF(BE514="","",IF(BE514&lt;2,"",IF(BE514=2,IF(AND(T514="",U514=""),"",MIN(T514,U514)),IF(U514="","",U514))))</f>
        <v/>
      </c>
      <c r="BI514" s="37" t="str">
        <f aca="false">IF(BH514="","",IF(OR(O514="",BH514=""),"",IF(BH514&lt;O514,"",ROUND(((NETWORKDAYS(O514,BH514,JoursFeries)-1)*(HFer-HOuv)+IF(NETWORKDAYS(BH514,BH514,JoursFeries),MEDIAN(MOD(BH514,1),HFer,HOuv),HFer)-IF(NETWORKDAYS(O514,O514,JoursFeries),MEDIAN(MOD(O514,1),HFer,HOuv),HOuv))*24,4))))</f>
        <v/>
      </c>
      <c r="BJ514" s="35" t="str">
        <f aca="false">IF(OR(BI514="",AR514=""),"",IF(BI514&lt;=INDEX(DELAI_ESC,AR514),1,0))</f>
        <v/>
      </c>
      <c r="BK514" s="38" t="str">
        <f aca="false">IF(AO514&lt;&gt;1,"",IF(AND(T514="",U514=""),"",MIN(T514,U514)))</f>
        <v/>
      </c>
      <c r="BL514" s="37" t="str">
        <f aca="false">IF(OR(BK514="",R514=""),"",IFERROR(ROUND(IF(OR(BK514="",R514=""),"",IF(R514&lt;BK514,"",ROUND(((NETWORKDAYS(BK514,R514,JoursFeries)-1)*(HFer-HOuv)+IF(NETWORKDAYS(R514,R514,JoursFeries),MEDIAN(MOD(R514,1),HFer,HOuv),HFer)-IF(NETWORKDAYS(BK514,BK514,JoursFeries),MEDIAN(MOD(BK514,1),HFer,HOuv),HOuv))*24,4)))/HJour,4),""))</f>
        <v/>
      </c>
      <c r="BM514" s="35" t="str">
        <f aca="false">IF(OR(AO514&lt;&gt;1,R514=""),"",IF(BD514=1,1,0))</f>
        <v/>
      </c>
      <c r="BN514" s="35" t="str">
        <f aca="false">IF(AO514&lt;&gt;1,"",IF(W514="Oui",1,0))</f>
        <v/>
      </c>
      <c r="BO514" s="35" t="str">
        <f aca="false">IF(AO514&lt;&gt;1,"",IF(X514&lt;&gt;"",1,0))</f>
        <v/>
      </c>
      <c r="BP514" s="35" t="str">
        <f aca="false">IF(AO514&lt;&gt;1,"",IF(Y514="Oui",1,0))</f>
        <v/>
      </c>
      <c r="BQ514" s="35" t="str">
        <f aca="true">IF(OR(AO514&lt;&gt;1,Z514&lt;&gt;"Oui"),"",IF(AB514="",IF(AND(AA514&lt;&gt;"",NOW()&gt;AA514),0,""),IF(AA514="","",IF(AB514&lt;=AA514,1,0))))</f>
        <v/>
      </c>
      <c r="BR514" s="38" t="str">
        <f aca="false">IF(OR(AO514&lt;&gt;1,K514&lt;&gt;"Oui",O514=""),"",IF(AC514="",O514+DORA_H_DET/24,IF(AC514-O514&lt;=DORA_H_DET/24,MIN(AC514+DORA_H_CLA/24,O514+DORA_H_DET/24),AC514+DORA_H_CLA/24)))</f>
        <v/>
      </c>
      <c r="BS514" s="35" t="str">
        <f aca="true">IF(BR514="","",IF(AD514="",IF(NOW()&gt;BR514,0,""),IF(AD514&lt;=BR514,1,0)))</f>
        <v/>
      </c>
      <c r="BT514" s="35" t="str">
        <f aca="true">IF(OR(BR514="",AD514=""),"",IF(AE514="",IF(NOW()&gt;AD514+DORA_H_INT/24,0,""),IF(AE514&lt;=AD514+DORA_H_INT/24,1,0)))</f>
        <v/>
      </c>
      <c r="BU514" s="35" t="str">
        <f aca="true">IF(OR(BR514="",AE514=""),"",IF(AF514="",IF(NOW()&gt;EDATE(AE514,DORA_M_FIN)+1,0,""),IF(AF514&lt;=EDATE(AE514,DORA_M_FIN),1,0)))</f>
        <v/>
      </c>
      <c r="BV514" s="35" t="str">
        <f aca="false">IF(BR514="","",IF(COUNT(BS514:BU514)=0,"",MIN(BS514:BU514)))</f>
        <v/>
      </c>
      <c r="BW514" s="40" t="str">
        <f aca="false">IF(AQ514&lt;&gt;1,"",IF(AND(AG514="",AH514=""),"",N(AG514)-N(AH514)))</f>
        <v/>
      </c>
      <c r="BX514" s="35" t="str">
        <f aca="true">IF(OR(AQ514&lt;&gt;1,AI514&lt;&gt;"Oui",AJ514=""),"",IF(AK514="",IF(NOW()&gt;AJ514+1,0,""),IF(AK514&lt;=AJ514,1,0)))</f>
        <v/>
      </c>
    </row>
    <row r="515" customFormat="false" ht="15" hidden="false" customHeight="false" outlineLevel="0" collapsed="false">
      <c r="B515" s="29"/>
      <c r="C515" s="29"/>
      <c r="D515" s="29"/>
      <c r="E515" s="29"/>
      <c r="F515" s="29"/>
      <c r="G515" s="29"/>
      <c r="H515" s="29"/>
      <c r="I515" s="29"/>
      <c r="J515" s="29"/>
      <c r="K515" s="29"/>
      <c r="L515" s="29"/>
      <c r="M515" s="29"/>
      <c r="N515" s="30"/>
      <c r="O515" s="30"/>
      <c r="P515" s="30"/>
      <c r="Q515" s="30"/>
      <c r="R515" s="30"/>
      <c r="S515" s="30"/>
      <c r="T515" s="30"/>
      <c r="U515" s="30"/>
      <c r="V515" s="31"/>
      <c r="W515" s="29"/>
      <c r="X515" s="29"/>
      <c r="Y515" s="29"/>
      <c r="Z515" s="29"/>
      <c r="AA515" s="30"/>
      <c r="AB515" s="30"/>
      <c r="AC515" s="30"/>
      <c r="AD515" s="30"/>
      <c r="AE515" s="30"/>
      <c r="AF515" s="32"/>
      <c r="AG515" s="33"/>
      <c r="AH515" s="33"/>
      <c r="AI515" s="29"/>
      <c r="AJ515" s="32"/>
      <c r="AK515" s="32"/>
      <c r="AL515" s="29"/>
      <c r="AN515" s="34" t="str">
        <f aca="false">IF($B515="","",IF(OR(C515="",D515="",E515="",G515="",I515="",J515="",L515="",O515="",P515=""),"Champ obligatoire manquant",IF(OR(AND(N515&lt;&gt;"",N515&gt;O515),O515&gt;P515,AND(Q515&lt;&gt;"",Q515&lt;P515),AND(R515&lt;&gt;"",R515&lt;P515),AND(S515&lt;&gt;"",S515&lt;R515),AND(S515&lt;&gt;"",R515=""),AND(T515&lt;&gt;"",T515&lt;O515),AND(U515&lt;&gt;"",U515&lt;O515)),"Chronologie incohérente",IF(AND(OR(L515="Résolu",L515="Clos"),R515=""),"Date de résolution manquante",IF(AND(L515="Clos",S515=""),"Date de clôture manquante",IF(AND(K515="Oui",AC515=""),"Classification DORA manquante","OK"))))))</f>
        <v/>
      </c>
      <c r="AO515" s="35" t="str">
        <f aca="false">IF($B515="","",IF(AND(C515="Incident",L515&lt;&gt;"Annulé"),1,0))</f>
        <v/>
      </c>
      <c r="AP515" s="35" t="str">
        <f aca="false">IF($B515="","",IF(AND(C515="Quasi-incident",L515&lt;&gt;"Annulé"),1,0))</f>
        <v/>
      </c>
      <c r="AQ515" s="35" t="str">
        <f aca="false">IF($B515="","",AO515+AP515)</f>
        <v/>
      </c>
      <c r="AR515" s="36" t="str">
        <f aca="false">IF(OR($B515="",J515=""),"",IFERROR(VALUE(LEFT(J515,1)),""))</f>
        <v/>
      </c>
      <c r="AS515" s="35" t="str">
        <f aca="false">IF(OR(AO515&lt;&gt;1,G515=""),"",IFERROR(IF(INDEX(L_SrcInterne,MATCH(G515,L_Sources,0))="Oui",1,0),""))</f>
        <v/>
      </c>
      <c r="AT515" s="37" t="str">
        <f aca="false">IF(AO515&lt;&gt;1,"",IFERROR(ROUND(IF(OR(N515="",O515=""),"",IF(O515&lt;N515,"",ROUND(((NETWORKDAYS(N515,O515,JoursFeries)-1)*(HFer-HOuv)+IF(NETWORKDAYS(O515,O515,JoursFeries),MEDIAN(MOD(O515,1),HFer,HOuv),HFer)-IF(NETWORKDAYS(N515,N515,JoursFeries),MEDIAN(MOD(N515,1),HFer,HOuv),HOuv))*24,4)))/HJour,4),""))</f>
        <v/>
      </c>
      <c r="AU515" s="37" t="str">
        <f aca="false">IF(AO515&lt;&gt;1,"",IF(OR(O515="",P515=""),"",IF(P515&lt;O515,"",ROUND(((NETWORKDAYS(O515,P515,JoursFeries)-1)*(HFer-HOuv)+IF(NETWORKDAYS(P515,P515,JoursFeries),MEDIAN(MOD(P515,1),HFer,HOuv),HFer)-IF(NETWORKDAYS(O515,O515,JoursFeries),MEDIAN(MOD(O515,1),HFer,HOuv),HOuv))*24,4))))</f>
        <v/>
      </c>
      <c r="AV515" s="37" t="str">
        <f aca="false">IF(AO515&lt;&gt;1,"",IF(OR(P515="",Q515=""),"",IF(Q515&lt;P515,"",ROUND(((NETWORKDAYS(P515,Q515,JoursFeries)-1)*(HFer-HOuv)+IF(NETWORKDAYS(Q515,Q515,JoursFeries),MEDIAN(MOD(Q515,1),HFer,HOuv),HFer)-IF(NETWORKDAYS(P515,P515,JoursFeries),MEDIAN(MOD(P515,1),HFer,HOuv),HOuv))*24,4))))</f>
        <v/>
      </c>
      <c r="AW515" s="37" t="str">
        <f aca="false">IF(AO515&lt;&gt;1,"",IFERROR(ROUND(IF(OR(P515="",R515=""),"",IF(R515&lt;P515,"",ROUND(((NETWORKDAYS(P515,R515,JoursFeries)-1)*(HFer-HOuv)+IF(NETWORKDAYS(R515,R515,JoursFeries),MEDIAN(MOD(R515,1),HFer,HOuv),HFer)-IF(NETWORKDAYS(P515,P515,JoursFeries),MEDIAN(MOD(P515,1),HFer,HOuv),HOuv))*24,4)))/HJour,4),""))</f>
        <v/>
      </c>
      <c r="AX515" s="37" t="str">
        <f aca="false">IF(AO515&lt;&gt;1,"",IFERROR(ROUND(IF(OR(P515="",S515=""),"",IF(S515&lt;P515,"",ROUND(((NETWORKDAYS(P515,S515,JoursFeries)-1)*(HFer-HOuv)+IF(NETWORKDAYS(S515,S515,JoursFeries),MEDIAN(MOD(S515,1),HFer,HOuv),HFer)-IF(NETWORKDAYS(P515,P515,JoursFeries),MEDIAN(MOD(P515,1),HFer,HOuv),HOuv))*24,4)))/HJour,4),""))</f>
        <v/>
      </c>
      <c r="AY515" s="36" t="str">
        <f aca="false">IF(OR(AO515&lt;&gt;1,AR515=""),"",INDEX(SLA_PEC,AR515))</f>
        <v/>
      </c>
      <c r="AZ515" s="35" t="str">
        <f aca="false">IF(OR(AV515="",AY515=""),"",IF(AV515&lt;=AY515,1,0))</f>
        <v/>
      </c>
      <c r="BA515" s="36" t="str">
        <f aca="false">IF(OR(AO515&lt;&gt;1,AR515=""),"",INDEX(SLA_RES,AR515))</f>
        <v/>
      </c>
      <c r="BB515" s="35" t="str">
        <f aca="false">IF(OR(AW515="",BA515=""),"",IF(AW515&lt;=BA515,1,0))</f>
        <v/>
      </c>
      <c r="BC515" s="38" t="str">
        <f aca="false">IF(OR(BA515="",P515=""),"",WORKDAY(INT(P515),BA515,JoursFeries)+MOD(P515,1))</f>
        <v/>
      </c>
      <c r="BD515" s="39" t="str">
        <f aca="false">IF(AO515&lt;&gt;1,"",IF(OR(AB515&lt;&gt;"",AD515&lt;&gt;""),4,IF(U515&lt;&gt;"",3,IF(T515&lt;&gt;"",2,1))))</f>
        <v/>
      </c>
      <c r="BE515" s="39" t="str">
        <f aca="false">IF(OR(AO515&lt;&gt;1,AR515=""),"",INDEX(NIV_REQ,AR515))</f>
        <v/>
      </c>
      <c r="BF515" s="39" t="str">
        <f aca="false">IF(BE515="","",MAX(BE515,IF(OR(K515="Oui",Z515="Oui"),4,1)))</f>
        <v/>
      </c>
      <c r="BG515" s="35" t="str">
        <f aca="false">IF(OR(BF515="",BD515=""),"",IF(BD515&gt;=BF515,1,0))</f>
        <v/>
      </c>
      <c r="BH515" s="38" t="str">
        <f aca="false">IF(BE515="","",IF(BE515&lt;2,"",IF(BE515=2,IF(AND(T515="",U515=""),"",MIN(T515,U515)),IF(U515="","",U515))))</f>
        <v/>
      </c>
      <c r="BI515" s="37" t="str">
        <f aca="false">IF(BH515="","",IF(OR(O515="",BH515=""),"",IF(BH515&lt;O515,"",ROUND(((NETWORKDAYS(O515,BH515,JoursFeries)-1)*(HFer-HOuv)+IF(NETWORKDAYS(BH515,BH515,JoursFeries),MEDIAN(MOD(BH515,1),HFer,HOuv),HFer)-IF(NETWORKDAYS(O515,O515,JoursFeries),MEDIAN(MOD(O515,1),HFer,HOuv),HOuv))*24,4))))</f>
        <v/>
      </c>
      <c r="BJ515" s="35" t="str">
        <f aca="false">IF(OR(BI515="",AR515=""),"",IF(BI515&lt;=INDEX(DELAI_ESC,AR515),1,0))</f>
        <v/>
      </c>
      <c r="BK515" s="38" t="str">
        <f aca="false">IF(AO515&lt;&gt;1,"",IF(AND(T515="",U515=""),"",MIN(T515,U515)))</f>
        <v/>
      </c>
      <c r="BL515" s="37" t="str">
        <f aca="false">IF(OR(BK515="",R515=""),"",IFERROR(ROUND(IF(OR(BK515="",R515=""),"",IF(R515&lt;BK515,"",ROUND(((NETWORKDAYS(BK515,R515,JoursFeries)-1)*(HFer-HOuv)+IF(NETWORKDAYS(R515,R515,JoursFeries),MEDIAN(MOD(R515,1),HFer,HOuv),HFer)-IF(NETWORKDAYS(BK515,BK515,JoursFeries),MEDIAN(MOD(BK515,1),HFer,HOuv),HOuv))*24,4)))/HJour,4),""))</f>
        <v/>
      </c>
      <c r="BM515" s="35" t="str">
        <f aca="false">IF(OR(AO515&lt;&gt;1,R515=""),"",IF(BD515=1,1,0))</f>
        <v/>
      </c>
      <c r="BN515" s="35" t="str">
        <f aca="false">IF(AO515&lt;&gt;1,"",IF(W515="Oui",1,0))</f>
        <v/>
      </c>
      <c r="BO515" s="35" t="str">
        <f aca="false">IF(AO515&lt;&gt;1,"",IF(X515&lt;&gt;"",1,0))</f>
        <v/>
      </c>
      <c r="BP515" s="35" t="str">
        <f aca="false">IF(AO515&lt;&gt;1,"",IF(Y515="Oui",1,0))</f>
        <v/>
      </c>
      <c r="BQ515" s="35" t="str">
        <f aca="true">IF(OR(AO515&lt;&gt;1,Z515&lt;&gt;"Oui"),"",IF(AB515="",IF(AND(AA515&lt;&gt;"",NOW()&gt;AA515),0,""),IF(AA515="","",IF(AB515&lt;=AA515,1,0))))</f>
        <v/>
      </c>
      <c r="BR515" s="38" t="str">
        <f aca="false">IF(OR(AO515&lt;&gt;1,K515&lt;&gt;"Oui",O515=""),"",IF(AC515="",O515+DORA_H_DET/24,IF(AC515-O515&lt;=DORA_H_DET/24,MIN(AC515+DORA_H_CLA/24,O515+DORA_H_DET/24),AC515+DORA_H_CLA/24)))</f>
        <v/>
      </c>
      <c r="BS515" s="35" t="str">
        <f aca="true">IF(BR515="","",IF(AD515="",IF(NOW()&gt;BR515,0,""),IF(AD515&lt;=BR515,1,0)))</f>
        <v/>
      </c>
      <c r="BT515" s="35" t="str">
        <f aca="true">IF(OR(BR515="",AD515=""),"",IF(AE515="",IF(NOW()&gt;AD515+DORA_H_INT/24,0,""),IF(AE515&lt;=AD515+DORA_H_INT/24,1,0)))</f>
        <v/>
      </c>
      <c r="BU515" s="35" t="str">
        <f aca="true">IF(OR(BR515="",AE515=""),"",IF(AF515="",IF(NOW()&gt;EDATE(AE515,DORA_M_FIN)+1,0,""),IF(AF515&lt;=EDATE(AE515,DORA_M_FIN),1,0)))</f>
        <v/>
      </c>
      <c r="BV515" s="35" t="str">
        <f aca="false">IF(BR515="","",IF(COUNT(BS515:BU515)=0,"",MIN(BS515:BU515)))</f>
        <v/>
      </c>
      <c r="BW515" s="40" t="str">
        <f aca="false">IF(AQ515&lt;&gt;1,"",IF(AND(AG515="",AH515=""),"",N(AG515)-N(AH515)))</f>
        <v/>
      </c>
      <c r="BX515" s="35" t="str">
        <f aca="true">IF(OR(AQ515&lt;&gt;1,AI515&lt;&gt;"Oui",AJ515=""),"",IF(AK515="",IF(NOW()&gt;AJ515+1,0,""),IF(AK515&lt;=AJ515,1,0)))</f>
        <v/>
      </c>
    </row>
    <row r="516" customFormat="false" ht="15" hidden="false" customHeight="false" outlineLevel="0" collapsed="false">
      <c r="B516" s="29"/>
      <c r="C516" s="29"/>
      <c r="D516" s="29"/>
      <c r="E516" s="29"/>
      <c r="F516" s="29"/>
      <c r="G516" s="29"/>
      <c r="H516" s="29"/>
      <c r="I516" s="29"/>
      <c r="J516" s="29"/>
      <c r="K516" s="29"/>
      <c r="L516" s="29"/>
      <c r="M516" s="29"/>
      <c r="N516" s="30"/>
      <c r="O516" s="30"/>
      <c r="P516" s="30"/>
      <c r="Q516" s="30"/>
      <c r="R516" s="30"/>
      <c r="S516" s="30"/>
      <c r="T516" s="30"/>
      <c r="U516" s="30"/>
      <c r="V516" s="31"/>
      <c r="W516" s="29"/>
      <c r="X516" s="29"/>
      <c r="Y516" s="29"/>
      <c r="Z516" s="29"/>
      <c r="AA516" s="30"/>
      <c r="AB516" s="30"/>
      <c r="AC516" s="30"/>
      <c r="AD516" s="30"/>
      <c r="AE516" s="30"/>
      <c r="AF516" s="32"/>
      <c r="AG516" s="33"/>
      <c r="AH516" s="33"/>
      <c r="AI516" s="29"/>
      <c r="AJ516" s="32"/>
      <c r="AK516" s="32"/>
      <c r="AL516" s="29"/>
      <c r="AN516" s="34" t="str">
        <f aca="false">IF($B516="","",IF(OR(C516="",D516="",E516="",G516="",I516="",J516="",L516="",O516="",P516=""),"Champ obligatoire manquant",IF(OR(AND(N516&lt;&gt;"",N516&gt;O516),O516&gt;P516,AND(Q516&lt;&gt;"",Q516&lt;P516),AND(R516&lt;&gt;"",R516&lt;P516),AND(S516&lt;&gt;"",S516&lt;R516),AND(S516&lt;&gt;"",R516=""),AND(T516&lt;&gt;"",T516&lt;O516),AND(U516&lt;&gt;"",U516&lt;O516)),"Chronologie incohérente",IF(AND(OR(L516="Résolu",L516="Clos"),R516=""),"Date de résolution manquante",IF(AND(L516="Clos",S516=""),"Date de clôture manquante",IF(AND(K516="Oui",AC516=""),"Classification DORA manquante","OK"))))))</f>
        <v/>
      </c>
      <c r="AO516" s="35" t="str">
        <f aca="false">IF($B516="","",IF(AND(C516="Incident",L516&lt;&gt;"Annulé"),1,0))</f>
        <v/>
      </c>
      <c r="AP516" s="35" t="str">
        <f aca="false">IF($B516="","",IF(AND(C516="Quasi-incident",L516&lt;&gt;"Annulé"),1,0))</f>
        <v/>
      </c>
      <c r="AQ516" s="35" t="str">
        <f aca="false">IF($B516="","",AO516+AP516)</f>
        <v/>
      </c>
      <c r="AR516" s="36" t="str">
        <f aca="false">IF(OR($B516="",J516=""),"",IFERROR(VALUE(LEFT(J516,1)),""))</f>
        <v/>
      </c>
      <c r="AS516" s="35" t="str">
        <f aca="false">IF(OR(AO516&lt;&gt;1,G516=""),"",IFERROR(IF(INDEX(L_SrcInterne,MATCH(G516,L_Sources,0))="Oui",1,0),""))</f>
        <v/>
      </c>
      <c r="AT516" s="37" t="str">
        <f aca="false">IF(AO516&lt;&gt;1,"",IFERROR(ROUND(IF(OR(N516="",O516=""),"",IF(O516&lt;N516,"",ROUND(((NETWORKDAYS(N516,O516,JoursFeries)-1)*(HFer-HOuv)+IF(NETWORKDAYS(O516,O516,JoursFeries),MEDIAN(MOD(O516,1),HFer,HOuv),HFer)-IF(NETWORKDAYS(N516,N516,JoursFeries),MEDIAN(MOD(N516,1),HFer,HOuv),HOuv))*24,4)))/HJour,4),""))</f>
        <v/>
      </c>
      <c r="AU516" s="37" t="str">
        <f aca="false">IF(AO516&lt;&gt;1,"",IF(OR(O516="",P516=""),"",IF(P516&lt;O516,"",ROUND(((NETWORKDAYS(O516,P516,JoursFeries)-1)*(HFer-HOuv)+IF(NETWORKDAYS(P516,P516,JoursFeries),MEDIAN(MOD(P516,1),HFer,HOuv),HFer)-IF(NETWORKDAYS(O516,O516,JoursFeries),MEDIAN(MOD(O516,1),HFer,HOuv),HOuv))*24,4))))</f>
        <v/>
      </c>
      <c r="AV516" s="37" t="str">
        <f aca="false">IF(AO516&lt;&gt;1,"",IF(OR(P516="",Q516=""),"",IF(Q516&lt;P516,"",ROUND(((NETWORKDAYS(P516,Q516,JoursFeries)-1)*(HFer-HOuv)+IF(NETWORKDAYS(Q516,Q516,JoursFeries),MEDIAN(MOD(Q516,1),HFer,HOuv),HFer)-IF(NETWORKDAYS(P516,P516,JoursFeries),MEDIAN(MOD(P516,1),HFer,HOuv),HOuv))*24,4))))</f>
        <v/>
      </c>
      <c r="AW516" s="37" t="str">
        <f aca="false">IF(AO516&lt;&gt;1,"",IFERROR(ROUND(IF(OR(P516="",R516=""),"",IF(R516&lt;P516,"",ROUND(((NETWORKDAYS(P516,R516,JoursFeries)-1)*(HFer-HOuv)+IF(NETWORKDAYS(R516,R516,JoursFeries),MEDIAN(MOD(R516,1),HFer,HOuv),HFer)-IF(NETWORKDAYS(P516,P516,JoursFeries),MEDIAN(MOD(P516,1),HFer,HOuv),HOuv))*24,4)))/HJour,4),""))</f>
        <v/>
      </c>
      <c r="AX516" s="37" t="str">
        <f aca="false">IF(AO516&lt;&gt;1,"",IFERROR(ROUND(IF(OR(P516="",S516=""),"",IF(S516&lt;P516,"",ROUND(((NETWORKDAYS(P516,S516,JoursFeries)-1)*(HFer-HOuv)+IF(NETWORKDAYS(S516,S516,JoursFeries),MEDIAN(MOD(S516,1),HFer,HOuv),HFer)-IF(NETWORKDAYS(P516,P516,JoursFeries),MEDIAN(MOD(P516,1),HFer,HOuv),HOuv))*24,4)))/HJour,4),""))</f>
        <v/>
      </c>
      <c r="AY516" s="36" t="str">
        <f aca="false">IF(OR(AO516&lt;&gt;1,AR516=""),"",INDEX(SLA_PEC,AR516))</f>
        <v/>
      </c>
      <c r="AZ516" s="35" t="str">
        <f aca="false">IF(OR(AV516="",AY516=""),"",IF(AV516&lt;=AY516,1,0))</f>
        <v/>
      </c>
      <c r="BA516" s="36" t="str">
        <f aca="false">IF(OR(AO516&lt;&gt;1,AR516=""),"",INDEX(SLA_RES,AR516))</f>
        <v/>
      </c>
      <c r="BB516" s="35" t="str">
        <f aca="false">IF(OR(AW516="",BA516=""),"",IF(AW516&lt;=BA516,1,0))</f>
        <v/>
      </c>
      <c r="BC516" s="38" t="str">
        <f aca="false">IF(OR(BA516="",P516=""),"",WORKDAY(INT(P516),BA516,JoursFeries)+MOD(P516,1))</f>
        <v/>
      </c>
      <c r="BD516" s="39" t="str">
        <f aca="false">IF(AO516&lt;&gt;1,"",IF(OR(AB516&lt;&gt;"",AD516&lt;&gt;""),4,IF(U516&lt;&gt;"",3,IF(T516&lt;&gt;"",2,1))))</f>
        <v/>
      </c>
      <c r="BE516" s="39" t="str">
        <f aca="false">IF(OR(AO516&lt;&gt;1,AR516=""),"",INDEX(NIV_REQ,AR516))</f>
        <v/>
      </c>
      <c r="BF516" s="39" t="str">
        <f aca="false">IF(BE516="","",MAX(BE516,IF(OR(K516="Oui",Z516="Oui"),4,1)))</f>
        <v/>
      </c>
      <c r="BG516" s="35" t="str">
        <f aca="false">IF(OR(BF516="",BD516=""),"",IF(BD516&gt;=BF516,1,0))</f>
        <v/>
      </c>
      <c r="BH516" s="38" t="str">
        <f aca="false">IF(BE516="","",IF(BE516&lt;2,"",IF(BE516=2,IF(AND(T516="",U516=""),"",MIN(T516,U516)),IF(U516="","",U516))))</f>
        <v/>
      </c>
      <c r="BI516" s="37" t="str">
        <f aca="false">IF(BH516="","",IF(OR(O516="",BH516=""),"",IF(BH516&lt;O516,"",ROUND(((NETWORKDAYS(O516,BH516,JoursFeries)-1)*(HFer-HOuv)+IF(NETWORKDAYS(BH516,BH516,JoursFeries),MEDIAN(MOD(BH516,1),HFer,HOuv),HFer)-IF(NETWORKDAYS(O516,O516,JoursFeries),MEDIAN(MOD(O516,1),HFer,HOuv),HOuv))*24,4))))</f>
        <v/>
      </c>
      <c r="BJ516" s="35" t="str">
        <f aca="false">IF(OR(BI516="",AR516=""),"",IF(BI516&lt;=INDEX(DELAI_ESC,AR516),1,0))</f>
        <v/>
      </c>
      <c r="BK516" s="38" t="str">
        <f aca="false">IF(AO516&lt;&gt;1,"",IF(AND(T516="",U516=""),"",MIN(T516,U516)))</f>
        <v/>
      </c>
      <c r="BL516" s="37" t="str">
        <f aca="false">IF(OR(BK516="",R516=""),"",IFERROR(ROUND(IF(OR(BK516="",R516=""),"",IF(R516&lt;BK516,"",ROUND(((NETWORKDAYS(BK516,R516,JoursFeries)-1)*(HFer-HOuv)+IF(NETWORKDAYS(R516,R516,JoursFeries),MEDIAN(MOD(R516,1),HFer,HOuv),HFer)-IF(NETWORKDAYS(BK516,BK516,JoursFeries),MEDIAN(MOD(BK516,1),HFer,HOuv),HOuv))*24,4)))/HJour,4),""))</f>
        <v/>
      </c>
      <c r="BM516" s="35" t="str">
        <f aca="false">IF(OR(AO516&lt;&gt;1,R516=""),"",IF(BD516=1,1,0))</f>
        <v/>
      </c>
      <c r="BN516" s="35" t="str">
        <f aca="false">IF(AO516&lt;&gt;1,"",IF(W516="Oui",1,0))</f>
        <v/>
      </c>
      <c r="BO516" s="35" t="str">
        <f aca="false">IF(AO516&lt;&gt;1,"",IF(X516&lt;&gt;"",1,0))</f>
        <v/>
      </c>
      <c r="BP516" s="35" t="str">
        <f aca="false">IF(AO516&lt;&gt;1,"",IF(Y516="Oui",1,0))</f>
        <v/>
      </c>
      <c r="BQ516" s="35" t="str">
        <f aca="true">IF(OR(AO516&lt;&gt;1,Z516&lt;&gt;"Oui"),"",IF(AB516="",IF(AND(AA516&lt;&gt;"",NOW()&gt;AA516),0,""),IF(AA516="","",IF(AB516&lt;=AA516,1,0))))</f>
        <v/>
      </c>
      <c r="BR516" s="38" t="str">
        <f aca="false">IF(OR(AO516&lt;&gt;1,K516&lt;&gt;"Oui",O516=""),"",IF(AC516="",O516+DORA_H_DET/24,IF(AC516-O516&lt;=DORA_H_DET/24,MIN(AC516+DORA_H_CLA/24,O516+DORA_H_DET/24),AC516+DORA_H_CLA/24)))</f>
        <v/>
      </c>
      <c r="BS516" s="35" t="str">
        <f aca="true">IF(BR516="","",IF(AD516="",IF(NOW()&gt;BR516,0,""),IF(AD516&lt;=BR516,1,0)))</f>
        <v/>
      </c>
      <c r="BT516" s="35" t="str">
        <f aca="true">IF(OR(BR516="",AD516=""),"",IF(AE516="",IF(NOW()&gt;AD516+DORA_H_INT/24,0,""),IF(AE516&lt;=AD516+DORA_H_INT/24,1,0)))</f>
        <v/>
      </c>
      <c r="BU516" s="35" t="str">
        <f aca="true">IF(OR(BR516="",AE516=""),"",IF(AF516="",IF(NOW()&gt;EDATE(AE516,DORA_M_FIN)+1,0,""),IF(AF516&lt;=EDATE(AE516,DORA_M_FIN),1,0)))</f>
        <v/>
      </c>
      <c r="BV516" s="35" t="str">
        <f aca="false">IF(BR516="","",IF(COUNT(BS516:BU516)=0,"",MIN(BS516:BU516)))</f>
        <v/>
      </c>
      <c r="BW516" s="40" t="str">
        <f aca="false">IF(AQ516&lt;&gt;1,"",IF(AND(AG516="",AH516=""),"",N(AG516)-N(AH516)))</f>
        <v/>
      </c>
      <c r="BX516" s="35" t="str">
        <f aca="true">IF(OR(AQ516&lt;&gt;1,AI516&lt;&gt;"Oui",AJ516=""),"",IF(AK516="",IF(NOW()&gt;AJ516+1,0,""),IF(AK516&lt;=AJ516,1,0)))</f>
        <v/>
      </c>
    </row>
    <row r="517" customFormat="false" ht="15" hidden="false" customHeight="false" outlineLevel="0" collapsed="false">
      <c r="B517" s="29"/>
      <c r="C517" s="29"/>
      <c r="D517" s="29"/>
      <c r="E517" s="29"/>
      <c r="F517" s="29"/>
      <c r="G517" s="29"/>
      <c r="H517" s="29"/>
      <c r="I517" s="29"/>
      <c r="J517" s="29"/>
      <c r="K517" s="29"/>
      <c r="L517" s="29"/>
      <c r="M517" s="29"/>
      <c r="N517" s="30"/>
      <c r="O517" s="30"/>
      <c r="P517" s="30"/>
      <c r="Q517" s="30"/>
      <c r="R517" s="30"/>
      <c r="S517" s="30"/>
      <c r="T517" s="30"/>
      <c r="U517" s="30"/>
      <c r="V517" s="31"/>
      <c r="W517" s="29"/>
      <c r="X517" s="29"/>
      <c r="Y517" s="29"/>
      <c r="Z517" s="29"/>
      <c r="AA517" s="30"/>
      <c r="AB517" s="30"/>
      <c r="AC517" s="30"/>
      <c r="AD517" s="30"/>
      <c r="AE517" s="30"/>
      <c r="AF517" s="32"/>
      <c r="AG517" s="33"/>
      <c r="AH517" s="33"/>
      <c r="AI517" s="29"/>
      <c r="AJ517" s="32"/>
      <c r="AK517" s="32"/>
      <c r="AL517" s="29"/>
      <c r="AN517" s="34" t="str">
        <f aca="false">IF($B517="","",IF(OR(C517="",D517="",E517="",G517="",I517="",J517="",L517="",O517="",P517=""),"Champ obligatoire manquant",IF(OR(AND(N517&lt;&gt;"",N517&gt;O517),O517&gt;P517,AND(Q517&lt;&gt;"",Q517&lt;P517),AND(R517&lt;&gt;"",R517&lt;P517),AND(S517&lt;&gt;"",S517&lt;R517),AND(S517&lt;&gt;"",R517=""),AND(T517&lt;&gt;"",T517&lt;O517),AND(U517&lt;&gt;"",U517&lt;O517)),"Chronologie incohérente",IF(AND(OR(L517="Résolu",L517="Clos"),R517=""),"Date de résolution manquante",IF(AND(L517="Clos",S517=""),"Date de clôture manquante",IF(AND(K517="Oui",AC517=""),"Classification DORA manquante","OK"))))))</f>
        <v/>
      </c>
      <c r="AO517" s="35" t="str">
        <f aca="false">IF($B517="","",IF(AND(C517="Incident",L517&lt;&gt;"Annulé"),1,0))</f>
        <v/>
      </c>
      <c r="AP517" s="35" t="str">
        <f aca="false">IF($B517="","",IF(AND(C517="Quasi-incident",L517&lt;&gt;"Annulé"),1,0))</f>
        <v/>
      </c>
      <c r="AQ517" s="35" t="str">
        <f aca="false">IF($B517="","",AO517+AP517)</f>
        <v/>
      </c>
      <c r="AR517" s="36" t="str">
        <f aca="false">IF(OR($B517="",J517=""),"",IFERROR(VALUE(LEFT(J517,1)),""))</f>
        <v/>
      </c>
      <c r="AS517" s="35" t="str">
        <f aca="false">IF(OR(AO517&lt;&gt;1,G517=""),"",IFERROR(IF(INDEX(L_SrcInterne,MATCH(G517,L_Sources,0))="Oui",1,0),""))</f>
        <v/>
      </c>
      <c r="AT517" s="37" t="str">
        <f aca="false">IF(AO517&lt;&gt;1,"",IFERROR(ROUND(IF(OR(N517="",O517=""),"",IF(O517&lt;N517,"",ROUND(((NETWORKDAYS(N517,O517,JoursFeries)-1)*(HFer-HOuv)+IF(NETWORKDAYS(O517,O517,JoursFeries),MEDIAN(MOD(O517,1),HFer,HOuv),HFer)-IF(NETWORKDAYS(N517,N517,JoursFeries),MEDIAN(MOD(N517,1),HFer,HOuv),HOuv))*24,4)))/HJour,4),""))</f>
        <v/>
      </c>
      <c r="AU517" s="37" t="str">
        <f aca="false">IF(AO517&lt;&gt;1,"",IF(OR(O517="",P517=""),"",IF(P517&lt;O517,"",ROUND(((NETWORKDAYS(O517,P517,JoursFeries)-1)*(HFer-HOuv)+IF(NETWORKDAYS(P517,P517,JoursFeries),MEDIAN(MOD(P517,1),HFer,HOuv),HFer)-IF(NETWORKDAYS(O517,O517,JoursFeries),MEDIAN(MOD(O517,1),HFer,HOuv),HOuv))*24,4))))</f>
        <v/>
      </c>
      <c r="AV517" s="37" t="str">
        <f aca="false">IF(AO517&lt;&gt;1,"",IF(OR(P517="",Q517=""),"",IF(Q517&lt;P517,"",ROUND(((NETWORKDAYS(P517,Q517,JoursFeries)-1)*(HFer-HOuv)+IF(NETWORKDAYS(Q517,Q517,JoursFeries),MEDIAN(MOD(Q517,1),HFer,HOuv),HFer)-IF(NETWORKDAYS(P517,P517,JoursFeries),MEDIAN(MOD(P517,1),HFer,HOuv),HOuv))*24,4))))</f>
        <v/>
      </c>
      <c r="AW517" s="37" t="str">
        <f aca="false">IF(AO517&lt;&gt;1,"",IFERROR(ROUND(IF(OR(P517="",R517=""),"",IF(R517&lt;P517,"",ROUND(((NETWORKDAYS(P517,R517,JoursFeries)-1)*(HFer-HOuv)+IF(NETWORKDAYS(R517,R517,JoursFeries),MEDIAN(MOD(R517,1),HFer,HOuv),HFer)-IF(NETWORKDAYS(P517,P517,JoursFeries),MEDIAN(MOD(P517,1),HFer,HOuv),HOuv))*24,4)))/HJour,4),""))</f>
        <v/>
      </c>
      <c r="AX517" s="37" t="str">
        <f aca="false">IF(AO517&lt;&gt;1,"",IFERROR(ROUND(IF(OR(P517="",S517=""),"",IF(S517&lt;P517,"",ROUND(((NETWORKDAYS(P517,S517,JoursFeries)-1)*(HFer-HOuv)+IF(NETWORKDAYS(S517,S517,JoursFeries),MEDIAN(MOD(S517,1),HFer,HOuv),HFer)-IF(NETWORKDAYS(P517,P517,JoursFeries),MEDIAN(MOD(P517,1),HFer,HOuv),HOuv))*24,4)))/HJour,4),""))</f>
        <v/>
      </c>
      <c r="AY517" s="36" t="str">
        <f aca="false">IF(OR(AO517&lt;&gt;1,AR517=""),"",INDEX(SLA_PEC,AR517))</f>
        <v/>
      </c>
      <c r="AZ517" s="35" t="str">
        <f aca="false">IF(OR(AV517="",AY517=""),"",IF(AV517&lt;=AY517,1,0))</f>
        <v/>
      </c>
      <c r="BA517" s="36" t="str">
        <f aca="false">IF(OR(AO517&lt;&gt;1,AR517=""),"",INDEX(SLA_RES,AR517))</f>
        <v/>
      </c>
      <c r="BB517" s="35" t="str">
        <f aca="false">IF(OR(AW517="",BA517=""),"",IF(AW517&lt;=BA517,1,0))</f>
        <v/>
      </c>
      <c r="BC517" s="38" t="str">
        <f aca="false">IF(OR(BA517="",P517=""),"",WORKDAY(INT(P517),BA517,JoursFeries)+MOD(P517,1))</f>
        <v/>
      </c>
      <c r="BD517" s="39" t="str">
        <f aca="false">IF(AO517&lt;&gt;1,"",IF(OR(AB517&lt;&gt;"",AD517&lt;&gt;""),4,IF(U517&lt;&gt;"",3,IF(T517&lt;&gt;"",2,1))))</f>
        <v/>
      </c>
      <c r="BE517" s="39" t="str">
        <f aca="false">IF(OR(AO517&lt;&gt;1,AR517=""),"",INDEX(NIV_REQ,AR517))</f>
        <v/>
      </c>
      <c r="BF517" s="39" t="str">
        <f aca="false">IF(BE517="","",MAX(BE517,IF(OR(K517="Oui",Z517="Oui"),4,1)))</f>
        <v/>
      </c>
      <c r="BG517" s="35" t="str">
        <f aca="false">IF(OR(BF517="",BD517=""),"",IF(BD517&gt;=BF517,1,0))</f>
        <v/>
      </c>
      <c r="BH517" s="38" t="str">
        <f aca="false">IF(BE517="","",IF(BE517&lt;2,"",IF(BE517=2,IF(AND(T517="",U517=""),"",MIN(T517,U517)),IF(U517="","",U517))))</f>
        <v/>
      </c>
      <c r="BI517" s="37" t="str">
        <f aca="false">IF(BH517="","",IF(OR(O517="",BH517=""),"",IF(BH517&lt;O517,"",ROUND(((NETWORKDAYS(O517,BH517,JoursFeries)-1)*(HFer-HOuv)+IF(NETWORKDAYS(BH517,BH517,JoursFeries),MEDIAN(MOD(BH517,1),HFer,HOuv),HFer)-IF(NETWORKDAYS(O517,O517,JoursFeries),MEDIAN(MOD(O517,1),HFer,HOuv),HOuv))*24,4))))</f>
        <v/>
      </c>
      <c r="BJ517" s="35" t="str">
        <f aca="false">IF(OR(BI517="",AR517=""),"",IF(BI517&lt;=INDEX(DELAI_ESC,AR517),1,0))</f>
        <v/>
      </c>
      <c r="BK517" s="38" t="str">
        <f aca="false">IF(AO517&lt;&gt;1,"",IF(AND(T517="",U517=""),"",MIN(T517,U517)))</f>
        <v/>
      </c>
      <c r="BL517" s="37" t="str">
        <f aca="false">IF(OR(BK517="",R517=""),"",IFERROR(ROUND(IF(OR(BK517="",R517=""),"",IF(R517&lt;BK517,"",ROUND(((NETWORKDAYS(BK517,R517,JoursFeries)-1)*(HFer-HOuv)+IF(NETWORKDAYS(R517,R517,JoursFeries),MEDIAN(MOD(R517,1),HFer,HOuv),HFer)-IF(NETWORKDAYS(BK517,BK517,JoursFeries),MEDIAN(MOD(BK517,1),HFer,HOuv),HOuv))*24,4)))/HJour,4),""))</f>
        <v/>
      </c>
      <c r="BM517" s="35" t="str">
        <f aca="false">IF(OR(AO517&lt;&gt;1,R517=""),"",IF(BD517=1,1,0))</f>
        <v/>
      </c>
      <c r="BN517" s="35" t="str">
        <f aca="false">IF(AO517&lt;&gt;1,"",IF(W517="Oui",1,0))</f>
        <v/>
      </c>
      <c r="BO517" s="35" t="str">
        <f aca="false">IF(AO517&lt;&gt;1,"",IF(X517&lt;&gt;"",1,0))</f>
        <v/>
      </c>
      <c r="BP517" s="35" t="str">
        <f aca="false">IF(AO517&lt;&gt;1,"",IF(Y517="Oui",1,0))</f>
        <v/>
      </c>
      <c r="BQ517" s="35" t="str">
        <f aca="true">IF(OR(AO517&lt;&gt;1,Z517&lt;&gt;"Oui"),"",IF(AB517="",IF(AND(AA517&lt;&gt;"",NOW()&gt;AA517),0,""),IF(AA517="","",IF(AB517&lt;=AA517,1,0))))</f>
        <v/>
      </c>
      <c r="BR517" s="38" t="str">
        <f aca="false">IF(OR(AO517&lt;&gt;1,K517&lt;&gt;"Oui",O517=""),"",IF(AC517="",O517+DORA_H_DET/24,IF(AC517-O517&lt;=DORA_H_DET/24,MIN(AC517+DORA_H_CLA/24,O517+DORA_H_DET/24),AC517+DORA_H_CLA/24)))</f>
        <v/>
      </c>
      <c r="BS517" s="35" t="str">
        <f aca="true">IF(BR517="","",IF(AD517="",IF(NOW()&gt;BR517,0,""),IF(AD517&lt;=BR517,1,0)))</f>
        <v/>
      </c>
      <c r="BT517" s="35" t="str">
        <f aca="true">IF(OR(BR517="",AD517=""),"",IF(AE517="",IF(NOW()&gt;AD517+DORA_H_INT/24,0,""),IF(AE517&lt;=AD517+DORA_H_INT/24,1,0)))</f>
        <v/>
      </c>
      <c r="BU517" s="35" t="str">
        <f aca="true">IF(OR(BR517="",AE517=""),"",IF(AF517="",IF(NOW()&gt;EDATE(AE517,DORA_M_FIN)+1,0,""),IF(AF517&lt;=EDATE(AE517,DORA_M_FIN),1,0)))</f>
        <v/>
      </c>
      <c r="BV517" s="35" t="str">
        <f aca="false">IF(BR517="","",IF(COUNT(BS517:BU517)=0,"",MIN(BS517:BU517)))</f>
        <v/>
      </c>
      <c r="BW517" s="40" t="str">
        <f aca="false">IF(AQ517&lt;&gt;1,"",IF(AND(AG517="",AH517=""),"",N(AG517)-N(AH517)))</f>
        <v/>
      </c>
      <c r="BX517" s="35" t="str">
        <f aca="true">IF(OR(AQ517&lt;&gt;1,AI517&lt;&gt;"Oui",AJ517=""),"",IF(AK517="",IF(NOW()&gt;AJ517+1,0,""),IF(AK517&lt;=AJ517,1,0)))</f>
        <v/>
      </c>
    </row>
    <row r="518" customFormat="false" ht="15" hidden="false" customHeight="false" outlineLevel="0" collapsed="false">
      <c r="B518" s="29"/>
      <c r="C518" s="29"/>
      <c r="D518" s="29"/>
      <c r="E518" s="29"/>
      <c r="F518" s="29"/>
      <c r="G518" s="29"/>
      <c r="H518" s="29"/>
      <c r="I518" s="29"/>
      <c r="J518" s="29"/>
      <c r="K518" s="29"/>
      <c r="L518" s="29"/>
      <c r="M518" s="29"/>
      <c r="N518" s="30"/>
      <c r="O518" s="30"/>
      <c r="P518" s="30"/>
      <c r="Q518" s="30"/>
      <c r="R518" s="30"/>
      <c r="S518" s="30"/>
      <c r="T518" s="30"/>
      <c r="U518" s="30"/>
      <c r="V518" s="31"/>
      <c r="W518" s="29"/>
      <c r="X518" s="29"/>
      <c r="Y518" s="29"/>
      <c r="Z518" s="29"/>
      <c r="AA518" s="30"/>
      <c r="AB518" s="30"/>
      <c r="AC518" s="30"/>
      <c r="AD518" s="30"/>
      <c r="AE518" s="30"/>
      <c r="AF518" s="32"/>
      <c r="AG518" s="33"/>
      <c r="AH518" s="33"/>
      <c r="AI518" s="29"/>
      <c r="AJ518" s="32"/>
      <c r="AK518" s="32"/>
      <c r="AL518" s="29"/>
      <c r="AN518" s="34" t="str">
        <f aca="false">IF($B518="","",IF(OR(C518="",D518="",E518="",G518="",I518="",J518="",L518="",O518="",P518=""),"Champ obligatoire manquant",IF(OR(AND(N518&lt;&gt;"",N518&gt;O518),O518&gt;P518,AND(Q518&lt;&gt;"",Q518&lt;P518),AND(R518&lt;&gt;"",R518&lt;P518),AND(S518&lt;&gt;"",S518&lt;R518),AND(S518&lt;&gt;"",R518=""),AND(T518&lt;&gt;"",T518&lt;O518),AND(U518&lt;&gt;"",U518&lt;O518)),"Chronologie incohérente",IF(AND(OR(L518="Résolu",L518="Clos"),R518=""),"Date de résolution manquante",IF(AND(L518="Clos",S518=""),"Date de clôture manquante",IF(AND(K518="Oui",AC518=""),"Classification DORA manquante","OK"))))))</f>
        <v/>
      </c>
      <c r="AO518" s="35" t="str">
        <f aca="false">IF($B518="","",IF(AND(C518="Incident",L518&lt;&gt;"Annulé"),1,0))</f>
        <v/>
      </c>
      <c r="AP518" s="35" t="str">
        <f aca="false">IF($B518="","",IF(AND(C518="Quasi-incident",L518&lt;&gt;"Annulé"),1,0))</f>
        <v/>
      </c>
      <c r="AQ518" s="35" t="str">
        <f aca="false">IF($B518="","",AO518+AP518)</f>
        <v/>
      </c>
      <c r="AR518" s="36" t="str">
        <f aca="false">IF(OR($B518="",J518=""),"",IFERROR(VALUE(LEFT(J518,1)),""))</f>
        <v/>
      </c>
      <c r="AS518" s="35" t="str">
        <f aca="false">IF(OR(AO518&lt;&gt;1,G518=""),"",IFERROR(IF(INDEX(L_SrcInterne,MATCH(G518,L_Sources,0))="Oui",1,0),""))</f>
        <v/>
      </c>
      <c r="AT518" s="37" t="str">
        <f aca="false">IF(AO518&lt;&gt;1,"",IFERROR(ROUND(IF(OR(N518="",O518=""),"",IF(O518&lt;N518,"",ROUND(((NETWORKDAYS(N518,O518,JoursFeries)-1)*(HFer-HOuv)+IF(NETWORKDAYS(O518,O518,JoursFeries),MEDIAN(MOD(O518,1),HFer,HOuv),HFer)-IF(NETWORKDAYS(N518,N518,JoursFeries),MEDIAN(MOD(N518,1),HFer,HOuv),HOuv))*24,4)))/HJour,4),""))</f>
        <v/>
      </c>
      <c r="AU518" s="37" t="str">
        <f aca="false">IF(AO518&lt;&gt;1,"",IF(OR(O518="",P518=""),"",IF(P518&lt;O518,"",ROUND(((NETWORKDAYS(O518,P518,JoursFeries)-1)*(HFer-HOuv)+IF(NETWORKDAYS(P518,P518,JoursFeries),MEDIAN(MOD(P518,1),HFer,HOuv),HFer)-IF(NETWORKDAYS(O518,O518,JoursFeries),MEDIAN(MOD(O518,1),HFer,HOuv),HOuv))*24,4))))</f>
        <v/>
      </c>
      <c r="AV518" s="37" t="str">
        <f aca="false">IF(AO518&lt;&gt;1,"",IF(OR(P518="",Q518=""),"",IF(Q518&lt;P518,"",ROUND(((NETWORKDAYS(P518,Q518,JoursFeries)-1)*(HFer-HOuv)+IF(NETWORKDAYS(Q518,Q518,JoursFeries),MEDIAN(MOD(Q518,1),HFer,HOuv),HFer)-IF(NETWORKDAYS(P518,P518,JoursFeries),MEDIAN(MOD(P518,1),HFer,HOuv),HOuv))*24,4))))</f>
        <v/>
      </c>
      <c r="AW518" s="37" t="str">
        <f aca="false">IF(AO518&lt;&gt;1,"",IFERROR(ROUND(IF(OR(P518="",R518=""),"",IF(R518&lt;P518,"",ROUND(((NETWORKDAYS(P518,R518,JoursFeries)-1)*(HFer-HOuv)+IF(NETWORKDAYS(R518,R518,JoursFeries),MEDIAN(MOD(R518,1),HFer,HOuv),HFer)-IF(NETWORKDAYS(P518,P518,JoursFeries),MEDIAN(MOD(P518,1),HFer,HOuv),HOuv))*24,4)))/HJour,4),""))</f>
        <v/>
      </c>
      <c r="AX518" s="37" t="str">
        <f aca="false">IF(AO518&lt;&gt;1,"",IFERROR(ROUND(IF(OR(P518="",S518=""),"",IF(S518&lt;P518,"",ROUND(((NETWORKDAYS(P518,S518,JoursFeries)-1)*(HFer-HOuv)+IF(NETWORKDAYS(S518,S518,JoursFeries),MEDIAN(MOD(S518,1),HFer,HOuv),HFer)-IF(NETWORKDAYS(P518,P518,JoursFeries),MEDIAN(MOD(P518,1),HFer,HOuv),HOuv))*24,4)))/HJour,4),""))</f>
        <v/>
      </c>
      <c r="AY518" s="36" t="str">
        <f aca="false">IF(OR(AO518&lt;&gt;1,AR518=""),"",INDEX(SLA_PEC,AR518))</f>
        <v/>
      </c>
      <c r="AZ518" s="35" t="str">
        <f aca="false">IF(OR(AV518="",AY518=""),"",IF(AV518&lt;=AY518,1,0))</f>
        <v/>
      </c>
      <c r="BA518" s="36" t="str">
        <f aca="false">IF(OR(AO518&lt;&gt;1,AR518=""),"",INDEX(SLA_RES,AR518))</f>
        <v/>
      </c>
      <c r="BB518" s="35" t="str">
        <f aca="false">IF(OR(AW518="",BA518=""),"",IF(AW518&lt;=BA518,1,0))</f>
        <v/>
      </c>
      <c r="BC518" s="38" t="str">
        <f aca="false">IF(OR(BA518="",P518=""),"",WORKDAY(INT(P518),BA518,JoursFeries)+MOD(P518,1))</f>
        <v/>
      </c>
      <c r="BD518" s="39" t="str">
        <f aca="false">IF(AO518&lt;&gt;1,"",IF(OR(AB518&lt;&gt;"",AD518&lt;&gt;""),4,IF(U518&lt;&gt;"",3,IF(T518&lt;&gt;"",2,1))))</f>
        <v/>
      </c>
      <c r="BE518" s="39" t="str">
        <f aca="false">IF(OR(AO518&lt;&gt;1,AR518=""),"",INDEX(NIV_REQ,AR518))</f>
        <v/>
      </c>
      <c r="BF518" s="39" t="str">
        <f aca="false">IF(BE518="","",MAX(BE518,IF(OR(K518="Oui",Z518="Oui"),4,1)))</f>
        <v/>
      </c>
      <c r="BG518" s="35" t="str">
        <f aca="false">IF(OR(BF518="",BD518=""),"",IF(BD518&gt;=BF518,1,0))</f>
        <v/>
      </c>
      <c r="BH518" s="38" t="str">
        <f aca="false">IF(BE518="","",IF(BE518&lt;2,"",IF(BE518=2,IF(AND(T518="",U518=""),"",MIN(T518,U518)),IF(U518="","",U518))))</f>
        <v/>
      </c>
      <c r="BI518" s="37" t="str">
        <f aca="false">IF(BH518="","",IF(OR(O518="",BH518=""),"",IF(BH518&lt;O518,"",ROUND(((NETWORKDAYS(O518,BH518,JoursFeries)-1)*(HFer-HOuv)+IF(NETWORKDAYS(BH518,BH518,JoursFeries),MEDIAN(MOD(BH518,1),HFer,HOuv),HFer)-IF(NETWORKDAYS(O518,O518,JoursFeries),MEDIAN(MOD(O518,1),HFer,HOuv),HOuv))*24,4))))</f>
        <v/>
      </c>
      <c r="BJ518" s="35" t="str">
        <f aca="false">IF(OR(BI518="",AR518=""),"",IF(BI518&lt;=INDEX(DELAI_ESC,AR518),1,0))</f>
        <v/>
      </c>
      <c r="BK518" s="38" t="str">
        <f aca="false">IF(AO518&lt;&gt;1,"",IF(AND(T518="",U518=""),"",MIN(T518,U518)))</f>
        <v/>
      </c>
      <c r="BL518" s="37" t="str">
        <f aca="false">IF(OR(BK518="",R518=""),"",IFERROR(ROUND(IF(OR(BK518="",R518=""),"",IF(R518&lt;BK518,"",ROUND(((NETWORKDAYS(BK518,R518,JoursFeries)-1)*(HFer-HOuv)+IF(NETWORKDAYS(R518,R518,JoursFeries),MEDIAN(MOD(R518,1),HFer,HOuv),HFer)-IF(NETWORKDAYS(BK518,BK518,JoursFeries),MEDIAN(MOD(BK518,1),HFer,HOuv),HOuv))*24,4)))/HJour,4),""))</f>
        <v/>
      </c>
      <c r="BM518" s="35" t="str">
        <f aca="false">IF(OR(AO518&lt;&gt;1,R518=""),"",IF(BD518=1,1,0))</f>
        <v/>
      </c>
      <c r="BN518" s="35" t="str">
        <f aca="false">IF(AO518&lt;&gt;1,"",IF(W518="Oui",1,0))</f>
        <v/>
      </c>
      <c r="BO518" s="35" t="str">
        <f aca="false">IF(AO518&lt;&gt;1,"",IF(X518&lt;&gt;"",1,0))</f>
        <v/>
      </c>
      <c r="BP518" s="35" t="str">
        <f aca="false">IF(AO518&lt;&gt;1,"",IF(Y518="Oui",1,0))</f>
        <v/>
      </c>
      <c r="BQ518" s="35" t="str">
        <f aca="true">IF(OR(AO518&lt;&gt;1,Z518&lt;&gt;"Oui"),"",IF(AB518="",IF(AND(AA518&lt;&gt;"",NOW()&gt;AA518),0,""),IF(AA518="","",IF(AB518&lt;=AA518,1,0))))</f>
        <v/>
      </c>
      <c r="BR518" s="38" t="str">
        <f aca="false">IF(OR(AO518&lt;&gt;1,K518&lt;&gt;"Oui",O518=""),"",IF(AC518="",O518+DORA_H_DET/24,IF(AC518-O518&lt;=DORA_H_DET/24,MIN(AC518+DORA_H_CLA/24,O518+DORA_H_DET/24),AC518+DORA_H_CLA/24)))</f>
        <v/>
      </c>
      <c r="BS518" s="35" t="str">
        <f aca="true">IF(BR518="","",IF(AD518="",IF(NOW()&gt;BR518,0,""),IF(AD518&lt;=BR518,1,0)))</f>
        <v/>
      </c>
      <c r="BT518" s="35" t="str">
        <f aca="true">IF(OR(BR518="",AD518=""),"",IF(AE518="",IF(NOW()&gt;AD518+DORA_H_INT/24,0,""),IF(AE518&lt;=AD518+DORA_H_INT/24,1,0)))</f>
        <v/>
      </c>
      <c r="BU518" s="35" t="str">
        <f aca="true">IF(OR(BR518="",AE518=""),"",IF(AF518="",IF(NOW()&gt;EDATE(AE518,DORA_M_FIN)+1,0,""),IF(AF518&lt;=EDATE(AE518,DORA_M_FIN),1,0)))</f>
        <v/>
      </c>
      <c r="BV518" s="35" t="str">
        <f aca="false">IF(BR518="","",IF(COUNT(BS518:BU518)=0,"",MIN(BS518:BU518)))</f>
        <v/>
      </c>
      <c r="BW518" s="40" t="str">
        <f aca="false">IF(AQ518&lt;&gt;1,"",IF(AND(AG518="",AH518=""),"",N(AG518)-N(AH518)))</f>
        <v/>
      </c>
      <c r="BX518" s="35" t="str">
        <f aca="true">IF(OR(AQ518&lt;&gt;1,AI518&lt;&gt;"Oui",AJ518=""),"",IF(AK518="",IF(NOW()&gt;AJ518+1,0,""),IF(AK518&lt;=AJ518,1,0)))</f>
        <v/>
      </c>
    </row>
    <row r="519" customFormat="false" ht="15" hidden="false" customHeight="false" outlineLevel="0" collapsed="false">
      <c r="B519" s="29"/>
      <c r="C519" s="29"/>
      <c r="D519" s="29"/>
      <c r="E519" s="29"/>
      <c r="F519" s="29"/>
      <c r="G519" s="29"/>
      <c r="H519" s="29"/>
      <c r="I519" s="29"/>
      <c r="J519" s="29"/>
      <c r="K519" s="29"/>
      <c r="L519" s="29"/>
      <c r="M519" s="29"/>
      <c r="N519" s="30"/>
      <c r="O519" s="30"/>
      <c r="P519" s="30"/>
      <c r="Q519" s="30"/>
      <c r="R519" s="30"/>
      <c r="S519" s="30"/>
      <c r="T519" s="30"/>
      <c r="U519" s="30"/>
      <c r="V519" s="31"/>
      <c r="W519" s="29"/>
      <c r="X519" s="29"/>
      <c r="Y519" s="29"/>
      <c r="Z519" s="29"/>
      <c r="AA519" s="30"/>
      <c r="AB519" s="30"/>
      <c r="AC519" s="30"/>
      <c r="AD519" s="30"/>
      <c r="AE519" s="30"/>
      <c r="AF519" s="32"/>
      <c r="AG519" s="33"/>
      <c r="AH519" s="33"/>
      <c r="AI519" s="29"/>
      <c r="AJ519" s="32"/>
      <c r="AK519" s="32"/>
      <c r="AL519" s="29"/>
      <c r="AN519" s="34" t="str">
        <f aca="false">IF($B519="","",IF(OR(C519="",D519="",E519="",G519="",I519="",J519="",L519="",O519="",P519=""),"Champ obligatoire manquant",IF(OR(AND(N519&lt;&gt;"",N519&gt;O519),O519&gt;P519,AND(Q519&lt;&gt;"",Q519&lt;P519),AND(R519&lt;&gt;"",R519&lt;P519),AND(S519&lt;&gt;"",S519&lt;R519),AND(S519&lt;&gt;"",R519=""),AND(T519&lt;&gt;"",T519&lt;O519),AND(U519&lt;&gt;"",U519&lt;O519)),"Chronologie incohérente",IF(AND(OR(L519="Résolu",L519="Clos"),R519=""),"Date de résolution manquante",IF(AND(L519="Clos",S519=""),"Date de clôture manquante",IF(AND(K519="Oui",AC519=""),"Classification DORA manquante","OK"))))))</f>
        <v/>
      </c>
      <c r="AO519" s="35" t="str">
        <f aca="false">IF($B519="","",IF(AND(C519="Incident",L519&lt;&gt;"Annulé"),1,0))</f>
        <v/>
      </c>
      <c r="AP519" s="35" t="str">
        <f aca="false">IF($B519="","",IF(AND(C519="Quasi-incident",L519&lt;&gt;"Annulé"),1,0))</f>
        <v/>
      </c>
      <c r="AQ519" s="35" t="str">
        <f aca="false">IF($B519="","",AO519+AP519)</f>
        <v/>
      </c>
      <c r="AR519" s="36" t="str">
        <f aca="false">IF(OR($B519="",J519=""),"",IFERROR(VALUE(LEFT(J519,1)),""))</f>
        <v/>
      </c>
      <c r="AS519" s="35" t="str">
        <f aca="false">IF(OR(AO519&lt;&gt;1,G519=""),"",IFERROR(IF(INDEX(L_SrcInterne,MATCH(G519,L_Sources,0))="Oui",1,0),""))</f>
        <v/>
      </c>
      <c r="AT519" s="37" t="str">
        <f aca="false">IF(AO519&lt;&gt;1,"",IFERROR(ROUND(IF(OR(N519="",O519=""),"",IF(O519&lt;N519,"",ROUND(((NETWORKDAYS(N519,O519,JoursFeries)-1)*(HFer-HOuv)+IF(NETWORKDAYS(O519,O519,JoursFeries),MEDIAN(MOD(O519,1),HFer,HOuv),HFer)-IF(NETWORKDAYS(N519,N519,JoursFeries),MEDIAN(MOD(N519,1),HFer,HOuv),HOuv))*24,4)))/HJour,4),""))</f>
        <v/>
      </c>
      <c r="AU519" s="37" t="str">
        <f aca="false">IF(AO519&lt;&gt;1,"",IF(OR(O519="",P519=""),"",IF(P519&lt;O519,"",ROUND(((NETWORKDAYS(O519,P519,JoursFeries)-1)*(HFer-HOuv)+IF(NETWORKDAYS(P519,P519,JoursFeries),MEDIAN(MOD(P519,1),HFer,HOuv),HFer)-IF(NETWORKDAYS(O519,O519,JoursFeries),MEDIAN(MOD(O519,1),HFer,HOuv),HOuv))*24,4))))</f>
        <v/>
      </c>
      <c r="AV519" s="37" t="str">
        <f aca="false">IF(AO519&lt;&gt;1,"",IF(OR(P519="",Q519=""),"",IF(Q519&lt;P519,"",ROUND(((NETWORKDAYS(P519,Q519,JoursFeries)-1)*(HFer-HOuv)+IF(NETWORKDAYS(Q519,Q519,JoursFeries),MEDIAN(MOD(Q519,1),HFer,HOuv),HFer)-IF(NETWORKDAYS(P519,P519,JoursFeries),MEDIAN(MOD(P519,1),HFer,HOuv),HOuv))*24,4))))</f>
        <v/>
      </c>
      <c r="AW519" s="37" t="str">
        <f aca="false">IF(AO519&lt;&gt;1,"",IFERROR(ROUND(IF(OR(P519="",R519=""),"",IF(R519&lt;P519,"",ROUND(((NETWORKDAYS(P519,R519,JoursFeries)-1)*(HFer-HOuv)+IF(NETWORKDAYS(R519,R519,JoursFeries),MEDIAN(MOD(R519,1),HFer,HOuv),HFer)-IF(NETWORKDAYS(P519,P519,JoursFeries),MEDIAN(MOD(P519,1),HFer,HOuv),HOuv))*24,4)))/HJour,4),""))</f>
        <v/>
      </c>
      <c r="AX519" s="37" t="str">
        <f aca="false">IF(AO519&lt;&gt;1,"",IFERROR(ROUND(IF(OR(P519="",S519=""),"",IF(S519&lt;P519,"",ROUND(((NETWORKDAYS(P519,S519,JoursFeries)-1)*(HFer-HOuv)+IF(NETWORKDAYS(S519,S519,JoursFeries),MEDIAN(MOD(S519,1),HFer,HOuv),HFer)-IF(NETWORKDAYS(P519,P519,JoursFeries),MEDIAN(MOD(P519,1),HFer,HOuv),HOuv))*24,4)))/HJour,4),""))</f>
        <v/>
      </c>
      <c r="AY519" s="36" t="str">
        <f aca="false">IF(OR(AO519&lt;&gt;1,AR519=""),"",INDEX(SLA_PEC,AR519))</f>
        <v/>
      </c>
      <c r="AZ519" s="35" t="str">
        <f aca="false">IF(OR(AV519="",AY519=""),"",IF(AV519&lt;=AY519,1,0))</f>
        <v/>
      </c>
      <c r="BA519" s="36" t="str">
        <f aca="false">IF(OR(AO519&lt;&gt;1,AR519=""),"",INDEX(SLA_RES,AR519))</f>
        <v/>
      </c>
      <c r="BB519" s="35" t="str">
        <f aca="false">IF(OR(AW519="",BA519=""),"",IF(AW519&lt;=BA519,1,0))</f>
        <v/>
      </c>
      <c r="BC519" s="38" t="str">
        <f aca="false">IF(OR(BA519="",P519=""),"",WORKDAY(INT(P519),BA519,JoursFeries)+MOD(P519,1))</f>
        <v/>
      </c>
      <c r="BD519" s="39" t="str">
        <f aca="false">IF(AO519&lt;&gt;1,"",IF(OR(AB519&lt;&gt;"",AD519&lt;&gt;""),4,IF(U519&lt;&gt;"",3,IF(T519&lt;&gt;"",2,1))))</f>
        <v/>
      </c>
      <c r="BE519" s="39" t="str">
        <f aca="false">IF(OR(AO519&lt;&gt;1,AR519=""),"",INDEX(NIV_REQ,AR519))</f>
        <v/>
      </c>
      <c r="BF519" s="39" t="str">
        <f aca="false">IF(BE519="","",MAX(BE519,IF(OR(K519="Oui",Z519="Oui"),4,1)))</f>
        <v/>
      </c>
      <c r="BG519" s="35" t="str">
        <f aca="false">IF(OR(BF519="",BD519=""),"",IF(BD519&gt;=BF519,1,0))</f>
        <v/>
      </c>
      <c r="BH519" s="38" t="str">
        <f aca="false">IF(BE519="","",IF(BE519&lt;2,"",IF(BE519=2,IF(AND(T519="",U519=""),"",MIN(T519,U519)),IF(U519="","",U519))))</f>
        <v/>
      </c>
      <c r="BI519" s="37" t="str">
        <f aca="false">IF(BH519="","",IF(OR(O519="",BH519=""),"",IF(BH519&lt;O519,"",ROUND(((NETWORKDAYS(O519,BH519,JoursFeries)-1)*(HFer-HOuv)+IF(NETWORKDAYS(BH519,BH519,JoursFeries),MEDIAN(MOD(BH519,1),HFer,HOuv),HFer)-IF(NETWORKDAYS(O519,O519,JoursFeries),MEDIAN(MOD(O519,1),HFer,HOuv),HOuv))*24,4))))</f>
        <v/>
      </c>
      <c r="BJ519" s="35" t="str">
        <f aca="false">IF(OR(BI519="",AR519=""),"",IF(BI519&lt;=INDEX(DELAI_ESC,AR519),1,0))</f>
        <v/>
      </c>
      <c r="BK519" s="38" t="str">
        <f aca="false">IF(AO519&lt;&gt;1,"",IF(AND(T519="",U519=""),"",MIN(T519,U519)))</f>
        <v/>
      </c>
      <c r="BL519" s="37" t="str">
        <f aca="false">IF(OR(BK519="",R519=""),"",IFERROR(ROUND(IF(OR(BK519="",R519=""),"",IF(R519&lt;BK519,"",ROUND(((NETWORKDAYS(BK519,R519,JoursFeries)-1)*(HFer-HOuv)+IF(NETWORKDAYS(R519,R519,JoursFeries),MEDIAN(MOD(R519,1),HFer,HOuv),HFer)-IF(NETWORKDAYS(BK519,BK519,JoursFeries),MEDIAN(MOD(BK519,1),HFer,HOuv),HOuv))*24,4)))/HJour,4),""))</f>
        <v/>
      </c>
      <c r="BM519" s="35" t="str">
        <f aca="false">IF(OR(AO519&lt;&gt;1,R519=""),"",IF(BD519=1,1,0))</f>
        <v/>
      </c>
      <c r="BN519" s="35" t="str">
        <f aca="false">IF(AO519&lt;&gt;1,"",IF(W519="Oui",1,0))</f>
        <v/>
      </c>
      <c r="BO519" s="35" t="str">
        <f aca="false">IF(AO519&lt;&gt;1,"",IF(X519&lt;&gt;"",1,0))</f>
        <v/>
      </c>
      <c r="BP519" s="35" t="str">
        <f aca="false">IF(AO519&lt;&gt;1,"",IF(Y519="Oui",1,0))</f>
        <v/>
      </c>
      <c r="BQ519" s="35" t="str">
        <f aca="true">IF(OR(AO519&lt;&gt;1,Z519&lt;&gt;"Oui"),"",IF(AB519="",IF(AND(AA519&lt;&gt;"",NOW()&gt;AA519),0,""),IF(AA519="","",IF(AB519&lt;=AA519,1,0))))</f>
        <v/>
      </c>
      <c r="BR519" s="38" t="str">
        <f aca="false">IF(OR(AO519&lt;&gt;1,K519&lt;&gt;"Oui",O519=""),"",IF(AC519="",O519+DORA_H_DET/24,IF(AC519-O519&lt;=DORA_H_DET/24,MIN(AC519+DORA_H_CLA/24,O519+DORA_H_DET/24),AC519+DORA_H_CLA/24)))</f>
        <v/>
      </c>
      <c r="BS519" s="35" t="str">
        <f aca="true">IF(BR519="","",IF(AD519="",IF(NOW()&gt;BR519,0,""),IF(AD519&lt;=BR519,1,0)))</f>
        <v/>
      </c>
      <c r="BT519" s="35" t="str">
        <f aca="true">IF(OR(BR519="",AD519=""),"",IF(AE519="",IF(NOW()&gt;AD519+DORA_H_INT/24,0,""),IF(AE519&lt;=AD519+DORA_H_INT/24,1,0)))</f>
        <v/>
      </c>
      <c r="BU519" s="35" t="str">
        <f aca="true">IF(OR(BR519="",AE519=""),"",IF(AF519="",IF(NOW()&gt;EDATE(AE519,DORA_M_FIN)+1,0,""),IF(AF519&lt;=EDATE(AE519,DORA_M_FIN),1,0)))</f>
        <v/>
      </c>
      <c r="BV519" s="35" t="str">
        <f aca="false">IF(BR519="","",IF(COUNT(BS519:BU519)=0,"",MIN(BS519:BU519)))</f>
        <v/>
      </c>
      <c r="BW519" s="40" t="str">
        <f aca="false">IF(AQ519&lt;&gt;1,"",IF(AND(AG519="",AH519=""),"",N(AG519)-N(AH519)))</f>
        <v/>
      </c>
      <c r="BX519" s="35" t="str">
        <f aca="true">IF(OR(AQ519&lt;&gt;1,AI519&lt;&gt;"Oui",AJ519=""),"",IF(AK519="",IF(NOW()&gt;AJ519+1,0,""),IF(AK519&lt;=AJ519,1,0)))</f>
        <v/>
      </c>
    </row>
    <row r="520" customFormat="false" ht="15" hidden="false" customHeight="false" outlineLevel="0" collapsed="false">
      <c r="B520" s="29"/>
      <c r="C520" s="29"/>
      <c r="D520" s="29"/>
      <c r="E520" s="29"/>
      <c r="F520" s="29"/>
      <c r="G520" s="29"/>
      <c r="H520" s="29"/>
      <c r="I520" s="29"/>
      <c r="J520" s="29"/>
      <c r="K520" s="29"/>
      <c r="L520" s="29"/>
      <c r="M520" s="29"/>
      <c r="N520" s="30"/>
      <c r="O520" s="30"/>
      <c r="P520" s="30"/>
      <c r="Q520" s="30"/>
      <c r="R520" s="30"/>
      <c r="S520" s="30"/>
      <c r="T520" s="30"/>
      <c r="U520" s="30"/>
      <c r="V520" s="31"/>
      <c r="W520" s="29"/>
      <c r="X520" s="29"/>
      <c r="Y520" s="29"/>
      <c r="Z520" s="29"/>
      <c r="AA520" s="30"/>
      <c r="AB520" s="30"/>
      <c r="AC520" s="30"/>
      <c r="AD520" s="30"/>
      <c r="AE520" s="30"/>
      <c r="AF520" s="32"/>
      <c r="AG520" s="33"/>
      <c r="AH520" s="33"/>
      <c r="AI520" s="29"/>
      <c r="AJ520" s="32"/>
      <c r="AK520" s="32"/>
      <c r="AL520" s="29"/>
      <c r="AN520" s="34" t="str">
        <f aca="false">IF($B520="","",IF(OR(C520="",D520="",E520="",G520="",I520="",J520="",L520="",O520="",P520=""),"Champ obligatoire manquant",IF(OR(AND(N520&lt;&gt;"",N520&gt;O520),O520&gt;P520,AND(Q520&lt;&gt;"",Q520&lt;P520),AND(R520&lt;&gt;"",R520&lt;P520),AND(S520&lt;&gt;"",S520&lt;R520),AND(S520&lt;&gt;"",R520=""),AND(T520&lt;&gt;"",T520&lt;O520),AND(U520&lt;&gt;"",U520&lt;O520)),"Chronologie incohérente",IF(AND(OR(L520="Résolu",L520="Clos"),R520=""),"Date de résolution manquante",IF(AND(L520="Clos",S520=""),"Date de clôture manquante",IF(AND(K520="Oui",AC520=""),"Classification DORA manquante","OK"))))))</f>
        <v/>
      </c>
      <c r="AO520" s="35" t="str">
        <f aca="false">IF($B520="","",IF(AND(C520="Incident",L520&lt;&gt;"Annulé"),1,0))</f>
        <v/>
      </c>
      <c r="AP520" s="35" t="str">
        <f aca="false">IF($B520="","",IF(AND(C520="Quasi-incident",L520&lt;&gt;"Annulé"),1,0))</f>
        <v/>
      </c>
      <c r="AQ520" s="35" t="str">
        <f aca="false">IF($B520="","",AO520+AP520)</f>
        <v/>
      </c>
      <c r="AR520" s="36" t="str">
        <f aca="false">IF(OR($B520="",J520=""),"",IFERROR(VALUE(LEFT(J520,1)),""))</f>
        <v/>
      </c>
      <c r="AS520" s="35" t="str">
        <f aca="false">IF(OR(AO520&lt;&gt;1,G520=""),"",IFERROR(IF(INDEX(L_SrcInterne,MATCH(G520,L_Sources,0))="Oui",1,0),""))</f>
        <v/>
      </c>
      <c r="AT520" s="37" t="str">
        <f aca="false">IF(AO520&lt;&gt;1,"",IFERROR(ROUND(IF(OR(N520="",O520=""),"",IF(O520&lt;N520,"",ROUND(((NETWORKDAYS(N520,O520,JoursFeries)-1)*(HFer-HOuv)+IF(NETWORKDAYS(O520,O520,JoursFeries),MEDIAN(MOD(O520,1),HFer,HOuv),HFer)-IF(NETWORKDAYS(N520,N520,JoursFeries),MEDIAN(MOD(N520,1),HFer,HOuv),HOuv))*24,4)))/HJour,4),""))</f>
        <v/>
      </c>
      <c r="AU520" s="37" t="str">
        <f aca="false">IF(AO520&lt;&gt;1,"",IF(OR(O520="",P520=""),"",IF(P520&lt;O520,"",ROUND(((NETWORKDAYS(O520,P520,JoursFeries)-1)*(HFer-HOuv)+IF(NETWORKDAYS(P520,P520,JoursFeries),MEDIAN(MOD(P520,1),HFer,HOuv),HFer)-IF(NETWORKDAYS(O520,O520,JoursFeries),MEDIAN(MOD(O520,1),HFer,HOuv),HOuv))*24,4))))</f>
        <v/>
      </c>
      <c r="AV520" s="37" t="str">
        <f aca="false">IF(AO520&lt;&gt;1,"",IF(OR(P520="",Q520=""),"",IF(Q520&lt;P520,"",ROUND(((NETWORKDAYS(P520,Q520,JoursFeries)-1)*(HFer-HOuv)+IF(NETWORKDAYS(Q520,Q520,JoursFeries),MEDIAN(MOD(Q520,1),HFer,HOuv),HFer)-IF(NETWORKDAYS(P520,P520,JoursFeries),MEDIAN(MOD(P520,1),HFer,HOuv),HOuv))*24,4))))</f>
        <v/>
      </c>
      <c r="AW520" s="37" t="str">
        <f aca="false">IF(AO520&lt;&gt;1,"",IFERROR(ROUND(IF(OR(P520="",R520=""),"",IF(R520&lt;P520,"",ROUND(((NETWORKDAYS(P520,R520,JoursFeries)-1)*(HFer-HOuv)+IF(NETWORKDAYS(R520,R520,JoursFeries),MEDIAN(MOD(R520,1),HFer,HOuv),HFer)-IF(NETWORKDAYS(P520,P520,JoursFeries),MEDIAN(MOD(P520,1),HFer,HOuv),HOuv))*24,4)))/HJour,4),""))</f>
        <v/>
      </c>
      <c r="AX520" s="37" t="str">
        <f aca="false">IF(AO520&lt;&gt;1,"",IFERROR(ROUND(IF(OR(P520="",S520=""),"",IF(S520&lt;P520,"",ROUND(((NETWORKDAYS(P520,S520,JoursFeries)-1)*(HFer-HOuv)+IF(NETWORKDAYS(S520,S520,JoursFeries),MEDIAN(MOD(S520,1),HFer,HOuv),HFer)-IF(NETWORKDAYS(P520,P520,JoursFeries),MEDIAN(MOD(P520,1),HFer,HOuv),HOuv))*24,4)))/HJour,4),""))</f>
        <v/>
      </c>
      <c r="AY520" s="36" t="str">
        <f aca="false">IF(OR(AO520&lt;&gt;1,AR520=""),"",INDEX(SLA_PEC,AR520))</f>
        <v/>
      </c>
      <c r="AZ520" s="35" t="str">
        <f aca="false">IF(OR(AV520="",AY520=""),"",IF(AV520&lt;=AY520,1,0))</f>
        <v/>
      </c>
      <c r="BA520" s="36" t="str">
        <f aca="false">IF(OR(AO520&lt;&gt;1,AR520=""),"",INDEX(SLA_RES,AR520))</f>
        <v/>
      </c>
      <c r="BB520" s="35" t="str">
        <f aca="false">IF(OR(AW520="",BA520=""),"",IF(AW520&lt;=BA520,1,0))</f>
        <v/>
      </c>
      <c r="BC520" s="38" t="str">
        <f aca="false">IF(OR(BA520="",P520=""),"",WORKDAY(INT(P520),BA520,JoursFeries)+MOD(P520,1))</f>
        <v/>
      </c>
      <c r="BD520" s="39" t="str">
        <f aca="false">IF(AO520&lt;&gt;1,"",IF(OR(AB520&lt;&gt;"",AD520&lt;&gt;""),4,IF(U520&lt;&gt;"",3,IF(T520&lt;&gt;"",2,1))))</f>
        <v/>
      </c>
      <c r="BE520" s="39" t="str">
        <f aca="false">IF(OR(AO520&lt;&gt;1,AR520=""),"",INDEX(NIV_REQ,AR520))</f>
        <v/>
      </c>
      <c r="BF520" s="39" t="str">
        <f aca="false">IF(BE520="","",MAX(BE520,IF(OR(K520="Oui",Z520="Oui"),4,1)))</f>
        <v/>
      </c>
      <c r="BG520" s="35" t="str">
        <f aca="false">IF(OR(BF520="",BD520=""),"",IF(BD520&gt;=BF520,1,0))</f>
        <v/>
      </c>
      <c r="BH520" s="38" t="str">
        <f aca="false">IF(BE520="","",IF(BE520&lt;2,"",IF(BE520=2,IF(AND(T520="",U520=""),"",MIN(T520,U520)),IF(U520="","",U520))))</f>
        <v/>
      </c>
      <c r="BI520" s="37" t="str">
        <f aca="false">IF(BH520="","",IF(OR(O520="",BH520=""),"",IF(BH520&lt;O520,"",ROUND(((NETWORKDAYS(O520,BH520,JoursFeries)-1)*(HFer-HOuv)+IF(NETWORKDAYS(BH520,BH520,JoursFeries),MEDIAN(MOD(BH520,1),HFer,HOuv),HFer)-IF(NETWORKDAYS(O520,O520,JoursFeries),MEDIAN(MOD(O520,1),HFer,HOuv),HOuv))*24,4))))</f>
        <v/>
      </c>
      <c r="BJ520" s="35" t="str">
        <f aca="false">IF(OR(BI520="",AR520=""),"",IF(BI520&lt;=INDEX(DELAI_ESC,AR520),1,0))</f>
        <v/>
      </c>
      <c r="BK520" s="38" t="str">
        <f aca="false">IF(AO520&lt;&gt;1,"",IF(AND(T520="",U520=""),"",MIN(T520,U520)))</f>
        <v/>
      </c>
      <c r="BL520" s="37" t="str">
        <f aca="false">IF(OR(BK520="",R520=""),"",IFERROR(ROUND(IF(OR(BK520="",R520=""),"",IF(R520&lt;BK520,"",ROUND(((NETWORKDAYS(BK520,R520,JoursFeries)-1)*(HFer-HOuv)+IF(NETWORKDAYS(R520,R520,JoursFeries),MEDIAN(MOD(R520,1),HFer,HOuv),HFer)-IF(NETWORKDAYS(BK520,BK520,JoursFeries),MEDIAN(MOD(BK520,1),HFer,HOuv),HOuv))*24,4)))/HJour,4),""))</f>
        <v/>
      </c>
      <c r="BM520" s="35" t="str">
        <f aca="false">IF(OR(AO520&lt;&gt;1,R520=""),"",IF(BD520=1,1,0))</f>
        <v/>
      </c>
      <c r="BN520" s="35" t="str">
        <f aca="false">IF(AO520&lt;&gt;1,"",IF(W520="Oui",1,0))</f>
        <v/>
      </c>
      <c r="BO520" s="35" t="str">
        <f aca="false">IF(AO520&lt;&gt;1,"",IF(X520&lt;&gt;"",1,0))</f>
        <v/>
      </c>
      <c r="BP520" s="35" t="str">
        <f aca="false">IF(AO520&lt;&gt;1,"",IF(Y520="Oui",1,0))</f>
        <v/>
      </c>
      <c r="BQ520" s="35" t="str">
        <f aca="true">IF(OR(AO520&lt;&gt;1,Z520&lt;&gt;"Oui"),"",IF(AB520="",IF(AND(AA520&lt;&gt;"",NOW()&gt;AA520),0,""),IF(AA520="","",IF(AB520&lt;=AA520,1,0))))</f>
        <v/>
      </c>
      <c r="BR520" s="38" t="str">
        <f aca="false">IF(OR(AO520&lt;&gt;1,K520&lt;&gt;"Oui",O520=""),"",IF(AC520="",O520+DORA_H_DET/24,IF(AC520-O520&lt;=DORA_H_DET/24,MIN(AC520+DORA_H_CLA/24,O520+DORA_H_DET/24),AC520+DORA_H_CLA/24)))</f>
        <v/>
      </c>
      <c r="BS520" s="35" t="str">
        <f aca="true">IF(BR520="","",IF(AD520="",IF(NOW()&gt;BR520,0,""),IF(AD520&lt;=BR520,1,0)))</f>
        <v/>
      </c>
      <c r="BT520" s="35" t="str">
        <f aca="true">IF(OR(BR520="",AD520=""),"",IF(AE520="",IF(NOW()&gt;AD520+DORA_H_INT/24,0,""),IF(AE520&lt;=AD520+DORA_H_INT/24,1,0)))</f>
        <v/>
      </c>
      <c r="BU520" s="35" t="str">
        <f aca="true">IF(OR(BR520="",AE520=""),"",IF(AF520="",IF(NOW()&gt;EDATE(AE520,DORA_M_FIN)+1,0,""),IF(AF520&lt;=EDATE(AE520,DORA_M_FIN),1,0)))</f>
        <v/>
      </c>
      <c r="BV520" s="35" t="str">
        <f aca="false">IF(BR520="","",IF(COUNT(BS520:BU520)=0,"",MIN(BS520:BU520)))</f>
        <v/>
      </c>
      <c r="BW520" s="40" t="str">
        <f aca="false">IF(AQ520&lt;&gt;1,"",IF(AND(AG520="",AH520=""),"",N(AG520)-N(AH520)))</f>
        <v/>
      </c>
      <c r="BX520" s="35" t="str">
        <f aca="true">IF(OR(AQ520&lt;&gt;1,AI520&lt;&gt;"Oui",AJ520=""),"",IF(AK520="",IF(NOW()&gt;AJ520+1,0,""),IF(AK520&lt;=AJ520,1,0)))</f>
        <v/>
      </c>
    </row>
    <row r="521" customFormat="false" ht="15" hidden="false" customHeight="false" outlineLevel="0" collapsed="false">
      <c r="B521" s="29"/>
      <c r="C521" s="29"/>
      <c r="D521" s="29"/>
      <c r="E521" s="29"/>
      <c r="F521" s="29"/>
      <c r="G521" s="29"/>
      <c r="H521" s="29"/>
      <c r="I521" s="29"/>
      <c r="J521" s="29"/>
      <c r="K521" s="29"/>
      <c r="L521" s="29"/>
      <c r="M521" s="29"/>
      <c r="N521" s="30"/>
      <c r="O521" s="30"/>
      <c r="P521" s="30"/>
      <c r="Q521" s="30"/>
      <c r="R521" s="30"/>
      <c r="S521" s="30"/>
      <c r="T521" s="30"/>
      <c r="U521" s="30"/>
      <c r="V521" s="31"/>
      <c r="W521" s="29"/>
      <c r="X521" s="29"/>
      <c r="Y521" s="29"/>
      <c r="Z521" s="29"/>
      <c r="AA521" s="30"/>
      <c r="AB521" s="30"/>
      <c r="AC521" s="30"/>
      <c r="AD521" s="30"/>
      <c r="AE521" s="30"/>
      <c r="AF521" s="32"/>
      <c r="AG521" s="33"/>
      <c r="AH521" s="33"/>
      <c r="AI521" s="29"/>
      <c r="AJ521" s="32"/>
      <c r="AK521" s="32"/>
      <c r="AL521" s="29"/>
      <c r="AN521" s="34" t="str">
        <f aca="false">IF($B521="","",IF(OR(C521="",D521="",E521="",G521="",I521="",J521="",L521="",O521="",P521=""),"Champ obligatoire manquant",IF(OR(AND(N521&lt;&gt;"",N521&gt;O521),O521&gt;P521,AND(Q521&lt;&gt;"",Q521&lt;P521),AND(R521&lt;&gt;"",R521&lt;P521),AND(S521&lt;&gt;"",S521&lt;R521),AND(S521&lt;&gt;"",R521=""),AND(T521&lt;&gt;"",T521&lt;O521),AND(U521&lt;&gt;"",U521&lt;O521)),"Chronologie incohérente",IF(AND(OR(L521="Résolu",L521="Clos"),R521=""),"Date de résolution manquante",IF(AND(L521="Clos",S521=""),"Date de clôture manquante",IF(AND(K521="Oui",AC521=""),"Classification DORA manquante","OK"))))))</f>
        <v/>
      </c>
      <c r="AO521" s="35" t="str">
        <f aca="false">IF($B521="","",IF(AND(C521="Incident",L521&lt;&gt;"Annulé"),1,0))</f>
        <v/>
      </c>
      <c r="AP521" s="35" t="str">
        <f aca="false">IF($B521="","",IF(AND(C521="Quasi-incident",L521&lt;&gt;"Annulé"),1,0))</f>
        <v/>
      </c>
      <c r="AQ521" s="35" t="str">
        <f aca="false">IF($B521="","",AO521+AP521)</f>
        <v/>
      </c>
      <c r="AR521" s="36" t="str">
        <f aca="false">IF(OR($B521="",J521=""),"",IFERROR(VALUE(LEFT(J521,1)),""))</f>
        <v/>
      </c>
      <c r="AS521" s="35" t="str">
        <f aca="false">IF(OR(AO521&lt;&gt;1,G521=""),"",IFERROR(IF(INDEX(L_SrcInterne,MATCH(G521,L_Sources,0))="Oui",1,0),""))</f>
        <v/>
      </c>
      <c r="AT521" s="37" t="str">
        <f aca="false">IF(AO521&lt;&gt;1,"",IFERROR(ROUND(IF(OR(N521="",O521=""),"",IF(O521&lt;N521,"",ROUND(((NETWORKDAYS(N521,O521,JoursFeries)-1)*(HFer-HOuv)+IF(NETWORKDAYS(O521,O521,JoursFeries),MEDIAN(MOD(O521,1),HFer,HOuv),HFer)-IF(NETWORKDAYS(N521,N521,JoursFeries),MEDIAN(MOD(N521,1),HFer,HOuv),HOuv))*24,4)))/HJour,4),""))</f>
        <v/>
      </c>
      <c r="AU521" s="37" t="str">
        <f aca="false">IF(AO521&lt;&gt;1,"",IF(OR(O521="",P521=""),"",IF(P521&lt;O521,"",ROUND(((NETWORKDAYS(O521,P521,JoursFeries)-1)*(HFer-HOuv)+IF(NETWORKDAYS(P521,P521,JoursFeries),MEDIAN(MOD(P521,1),HFer,HOuv),HFer)-IF(NETWORKDAYS(O521,O521,JoursFeries),MEDIAN(MOD(O521,1),HFer,HOuv),HOuv))*24,4))))</f>
        <v/>
      </c>
      <c r="AV521" s="37" t="str">
        <f aca="false">IF(AO521&lt;&gt;1,"",IF(OR(P521="",Q521=""),"",IF(Q521&lt;P521,"",ROUND(((NETWORKDAYS(P521,Q521,JoursFeries)-1)*(HFer-HOuv)+IF(NETWORKDAYS(Q521,Q521,JoursFeries),MEDIAN(MOD(Q521,1),HFer,HOuv),HFer)-IF(NETWORKDAYS(P521,P521,JoursFeries),MEDIAN(MOD(P521,1),HFer,HOuv),HOuv))*24,4))))</f>
        <v/>
      </c>
      <c r="AW521" s="37" t="str">
        <f aca="false">IF(AO521&lt;&gt;1,"",IFERROR(ROUND(IF(OR(P521="",R521=""),"",IF(R521&lt;P521,"",ROUND(((NETWORKDAYS(P521,R521,JoursFeries)-1)*(HFer-HOuv)+IF(NETWORKDAYS(R521,R521,JoursFeries),MEDIAN(MOD(R521,1),HFer,HOuv),HFer)-IF(NETWORKDAYS(P521,P521,JoursFeries),MEDIAN(MOD(P521,1),HFer,HOuv),HOuv))*24,4)))/HJour,4),""))</f>
        <v/>
      </c>
      <c r="AX521" s="37" t="str">
        <f aca="false">IF(AO521&lt;&gt;1,"",IFERROR(ROUND(IF(OR(P521="",S521=""),"",IF(S521&lt;P521,"",ROUND(((NETWORKDAYS(P521,S521,JoursFeries)-1)*(HFer-HOuv)+IF(NETWORKDAYS(S521,S521,JoursFeries),MEDIAN(MOD(S521,1),HFer,HOuv),HFer)-IF(NETWORKDAYS(P521,P521,JoursFeries),MEDIAN(MOD(P521,1),HFer,HOuv),HOuv))*24,4)))/HJour,4),""))</f>
        <v/>
      </c>
      <c r="AY521" s="36" t="str">
        <f aca="false">IF(OR(AO521&lt;&gt;1,AR521=""),"",INDEX(SLA_PEC,AR521))</f>
        <v/>
      </c>
      <c r="AZ521" s="35" t="str">
        <f aca="false">IF(OR(AV521="",AY521=""),"",IF(AV521&lt;=AY521,1,0))</f>
        <v/>
      </c>
      <c r="BA521" s="36" t="str">
        <f aca="false">IF(OR(AO521&lt;&gt;1,AR521=""),"",INDEX(SLA_RES,AR521))</f>
        <v/>
      </c>
      <c r="BB521" s="35" t="str">
        <f aca="false">IF(OR(AW521="",BA521=""),"",IF(AW521&lt;=BA521,1,0))</f>
        <v/>
      </c>
      <c r="BC521" s="38" t="str">
        <f aca="false">IF(OR(BA521="",P521=""),"",WORKDAY(INT(P521),BA521,JoursFeries)+MOD(P521,1))</f>
        <v/>
      </c>
      <c r="BD521" s="39" t="str">
        <f aca="false">IF(AO521&lt;&gt;1,"",IF(OR(AB521&lt;&gt;"",AD521&lt;&gt;""),4,IF(U521&lt;&gt;"",3,IF(T521&lt;&gt;"",2,1))))</f>
        <v/>
      </c>
      <c r="BE521" s="39" t="str">
        <f aca="false">IF(OR(AO521&lt;&gt;1,AR521=""),"",INDEX(NIV_REQ,AR521))</f>
        <v/>
      </c>
      <c r="BF521" s="39" t="str">
        <f aca="false">IF(BE521="","",MAX(BE521,IF(OR(K521="Oui",Z521="Oui"),4,1)))</f>
        <v/>
      </c>
      <c r="BG521" s="35" t="str">
        <f aca="false">IF(OR(BF521="",BD521=""),"",IF(BD521&gt;=BF521,1,0))</f>
        <v/>
      </c>
      <c r="BH521" s="38" t="str">
        <f aca="false">IF(BE521="","",IF(BE521&lt;2,"",IF(BE521=2,IF(AND(T521="",U521=""),"",MIN(T521,U521)),IF(U521="","",U521))))</f>
        <v/>
      </c>
      <c r="BI521" s="37" t="str">
        <f aca="false">IF(BH521="","",IF(OR(O521="",BH521=""),"",IF(BH521&lt;O521,"",ROUND(((NETWORKDAYS(O521,BH521,JoursFeries)-1)*(HFer-HOuv)+IF(NETWORKDAYS(BH521,BH521,JoursFeries),MEDIAN(MOD(BH521,1),HFer,HOuv),HFer)-IF(NETWORKDAYS(O521,O521,JoursFeries),MEDIAN(MOD(O521,1),HFer,HOuv),HOuv))*24,4))))</f>
        <v/>
      </c>
      <c r="BJ521" s="35" t="str">
        <f aca="false">IF(OR(BI521="",AR521=""),"",IF(BI521&lt;=INDEX(DELAI_ESC,AR521),1,0))</f>
        <v/>
      </c>
      <c r="BK521" s="38" t="str">
        <f aca="false">IF(AO521&lt;&gt;1,"",IF(AND(T521="",U521=""),"",MIN(T521,U521)))</f>
        <v/>
      </c>
      <c r="BL521" s="37" t="str">
        <f aca="false">IF(OR(BK521="",R521=""),"",IFERROR(ROUND(IF(OR(BK521="",R521=""),"",IF(R521&lt;BK521,"",ROUND(((NETWORKDAYS(BK521,R521,JoursFeries)-1)*(HFer-HOuv)+IF(NETWORKDAYS(R521,R521,JoursFeries),MEDIAN(MOD(R521,1),HFer,HOuv),HFer)-IF(NETWORKDAYS(BK521,BK521,JoursFeries),MEDIAN(MOD(BK521,1),HFer,HOuv),HOuv))*24,4)))/HJour,4),""))</f>
        <v/>
      </c>
      <c r="BM521" s="35" t="str">
        <f aca="false">IF(OR(AO521&lt;&gt;1,R521=""),"",IF(BD521=1,1,0))</f>
        <v/>
      </c>
      <c r="BN521" s="35" t="str">
        <f aca="false">IF(AO521&lt;&gt;1,"",IF(W521="Oui",1,0))</f>
        <v/>
      </c>
      <c r="BO521" s="35" t="str">
        <f aca="false">IF(AO521&lt;&gt;1,"",IF(X521&lt;&gt;"",1,0))</f>
        <v/>
      </c>
      <c r="BP521" s="35" t="str">
        <f aca="false">IF(AO521&lt;&gt;1,"",IF(Y521="Oui",1,0))</f>
        <v/>
      </c>
      <c r="BQ521" s="35" t="str">
        <f aca="true">IF(OR(AO521&lt;&gt;1,Z521&lt;&gt;"Oui"),"",IF(AB521="",IF(AND(AA521&lt;&gt;"",NOW()&gt;AA521),0,""),IF(AA521="","",IF(AB521&lt;=AA521,1,0))))</f>
        <v/>
      </c>
      <c r="BR521" s="38" t="str">
        <f aca="false">IF(OR(AO521&lt;&gt;1,K521&lt;&gt;"Oui",O521=""),"",IF(AC521="",O521+DORA_H_DET/24,IF(AC521-O521&lt;=DORA_H_DET/24,MIN(AC521+DORA_H_CLA/24,O521+DORA_H_DET/24),AC521+DORA_H_CLA/24)))</f>
        <v/>
      </c>
      <c r="BS521" s="35" t="str">
        <f aca="true">IF(BR521="","",IF(AD521="",IF(NOW()&gt;BR521,0,""),IF(AD521&lt;=BR521,1,0)))</f>
        <v/>
      </c>
      <c r="BT521" s="35" t="str">
        <f aca="true">IF(OR(BR521="",AD521=""),"",IF(AE521="",IF(NOW()&gt;AD521+DORA_H_INT/24,0,""),IF(AE521&lt;=AD521+DORA_H_INT/24,1,0)))</f>
        <v/>
      </c>
      <c r="BU521" s="35" t="str">
        <f aca="true">IF(OR(BR521="",AE521=""),"",IF(AF521="",IF(NOW()&gt;EDATE(AE521,DORA_M_FIN)+1,0,""),IF(AF521&lt;=EDATE(AE521,DORA_M_FIN),1,0)))</f>
        <v/>
      </c>
      <c r="BV521" s="35" t="str">
        <f aca="false">IF(BR521="","",IF(COUNT(BS521:BU521)=0,"",MIN(BS521:BU521)))</f>
        <v/>
      </c>
      <c r="BW521" s="40" t="str">
        <f aca="false">IF(AQ521&lt;&gt;1,"",IF(AND(AG521="",AH521=""),"",N(AG521)-N(AH521)))</f>
        <v/>
      </c>
      <c r="BX521" s="35" t="str">
        <f aca="true">IF(OR(AQ521&lt;&gt;1,AI521&lt;&gt;"Oui",AJ521=""),"",IF(AK521="",IF(NOW()&gt;AJ521+1,0,""),IF(AK521&lt;=AJ521,1,0)))</f>
        <v/>
      </c>
    </row>
    <row r="522" customFormat="false" ht="15" hidden="false" customHeight="false" outlineLevel="0" collapsed="false">
      <c r="B522" s="29"/>
      <c r="C522" s="29"/>
      <c r="D522" s="29"/>
      <c r="E522" s="29"/>
      <c r="F522" s="29"/>
      <c r="G522" s="29"/>
      <c r="H522" s="29"/>
      <c r="I522" s="29"/>
      <c r="J522" s="29"/>
      <c r="K522" s="29"/>
      <c r="L522" s="29"/>
      <c r="M522" s="29"/>
      <c r="N522" s="30"/>
      <c r="O522" s="30"/>
      <c r="P522" s="30"/>
      <c r="Q522" s="30"/>
      <c r="R522" s="30"/>
      <c r="S522" s="30"/>
      <c r="T522" s="30"/>
      <c r="U522" s="30"/>
      <c r="V522" s="31"/>
      <c r="W522" s="29"/>
      <c r="X522" s="29"/>
      <c r="Y522" s="29"/>
      <c r="Z522" s="29"/>
      <c r="AA522" s="30"/>
      <c r="AB522" s="30"/>
      <c r="AC522" s="30"/>
      <c r="AD522" s="30"/>
      <c r="AE522" s="30"/>
      <c r="AF522" s="32"/>
      <c r="AG522" s="33"/>
      <c r="AH522" s="33"/>
      <c r="AI522" s="29"/>
      <c r="AJ522" s="32"/>
      <c r="AK522" s="32"/>
      <c r="AL522" s="29"/>
      <c r="AN522" s="34" t="str">
        <f aca="false">IF($B522="","",IF(OR(C522="",D522="",E522="",G522="",I522="",J522="",L522="",O522="",P522=""),"Champ obligatoire manquant",IF(OR(AND(N522&lt;&gt;"",N522&gt;O522),O522&gt;P522,AND(Q522&lt;&gt;"",Q522&lt;P522),AND(R522&lt;&gt;"",R522&lt;P522),AND(S522&lt;&gt;"",S522&lt;R522),AND(S522&lt;&gt;"",R522=""),AND(T522&lt;&gt;"",T522&lt;O522),AND(U522&lt;&gt;"",U522&lt;O522)),"Chronologie incohérente",IF(AND(OR(L522="Résolu",L522="Clos"),R522=""),"Date de résolution manquante",IF(AND(L522="Clos",S522=""),"Date de clôture manquante",IF(AND(K522="Oui",AC522=""),"Classification DORA manquante","OK"))))))</f>
        <v/>
      </c>
      <c r="AO522" s="35" t="str">
        <f aca="false">IF($B522="","",IF(AND(C522="Incident",L522&lt;&gt;"Annulé"),1,0))</f>
        <v/>
      </c>
      <c r="AP522" s="35" t="str">
        <f aca="false">IF($B522="","",IF(AND(C522="Quasi-incident",L522&lt;&gt;"Annulé"),1,0))</f>
        <v/>
      </c>
      <c r="AQ522" s="35" t="str">
        <f aca="false">IF($B522="","",AO522+AP522)</f>
        <v/>
      </c>
      <c r="AR522" s="36" t="str">
        <f aca="false">IF(OR($B522="",J522=""),"",IFERROR(VALUE(LEFT(J522,1)),""))</f>
        <v/>
      </c>
      <c r="AS522" s="35" t="str">
        <f aca="false">IF(OR(AO522&lt;&gt;1,G522=""),"",IFERROR(IF(INDEX(L_SrcInterne,MATCH(G522,L_Sources,0))="Oui",1,0),""))</f>
        <v/>
      </c>
      <c r="AT522" s="37" t="str">
        <f aca="false">IF(AO522&lt;&gt;1,"",IFERROR(ROUND(IF(OR(N522="",O522=""),"",IF(O522&lt;N522,"",ROUND(((NETWORKDAYS(N522,O522,JoursFeries)-1)*(HFer-HOuv)+IF(NETWORKDAYS(O522,O522,JoursFeries),MEDIAN(MOD(O522,1),HFer,HOuv),HFer)-IF(NETWORKDAYS(N522,N522,JoursFeries),MEDIAN(MOD(N522,1),HFer,HOuv),HOuv))*24,4)))/HJour,4),""))</f>
        <v/>
      </c>
      <c r="AU522" s="37" t="str">
        <f aca="false">IF(AO522&lt;&gt;1,"",IF(OR(O522="",P522=""),"",IF(P522&lt;O522,"",ROUND(((NETWORKDAYS(O522,P522,JoursFeries)-1)*(HFer-HOuv)+IF(NETWORKDAYS(P522,P522,JoursFeries),MEDIAN(MOD(P522,1),HFer,HOuv),HFer)-IF(NETWORKDAYS(O522,O522,JoursFeries),MEDIAN(MOD(O522,1),HFer,HOuv),HOuv))*24,4))))</f>
        <v/>
      </c>
      <c r="AV522" s="37" t="str">
        <f aca="false">IF(AO522&lt;&gt;1,"",IF(OR(P522="",Q522=""),"",IF(Q522&lt;P522,"",ROUND(((NETWORKDAYS(P522,Q522,JoursFeries)-1)*(HFer-HOuv)+IF(NETWORKDAYS(Q522,Q522,JoursFeries),MEDIAN(MOD(Q522,1),HFer,HOuv),HFer)-IF(NETWORKDAYS(P522,P522,JoursFeries),MEDIAN(MOD(P522,1),HFer,HOuv),HOuv))*24,4))))</f>
        <v/>
      </c>
      <c r="AW522" s="37" t="str">
        <f aca="false">IF(AO522&lt;&gt;1,"",IFERROR(ROUND(IF(OR(P522="",R522=""),"",IF(R522&lt;P522,"",ROUND(((NETWORKDAYS(P522,R522,JoursFeries)-1)*(HFer-HOuv)+IF(NETWORKDAYS(R522,R522,JoursFeries),MEDIAN(MOD(R522,1),HFer,HOuv),HFer)-IF(NETWORKDAYS(P522,P522,JoursFeries),MEDIAN(MOD(P522,1),HFer,HOuv),HOuv))*24,4)))/HJour,4),""))</f>
        <v/>
      </c>
      <c r="AX522" s="37" t="str">
        <f aca="false">IF(AO522&lt;&gt;1,"",IFERROR(ROUND(IF(OR(P522="",S522=""),"",IF(S522&lt;P522,"",ROUND(((NETWORKDAYS(P522,S522,JoursFeries)-1)*(HFer-HOuv)+IF(NETWORKDAYS(S522,S522,JoursFeries),MEDIAN(MOD(S522,1),HFer,HOuv),HFer)-IF(NETWORKDAYS(P522,P522,JoursFeries),MEDIAN(MOD(P522,1),HFer,HOuv),HOuv))*24,4)))/HJour,4),""))</f>
        <v/>
      </c>
      <c r="AY522" s="36" t="str">
        <f aca="false">IF(OR(AO522&lt;&gt;1,AR522=""),"",INDEX(SLA_PEC,AR522))</f>
        <v/>
      </c>
      <c r="AZ522" s="35" t="str">
        <f aca="false">IF(OR(AV522="",AY522=""),"",IF(AV522&lt;=AY522,1,0))</f>
        <v/>
      </c>
      <c r="BA522" s="36" t="str">
        <f aca="false">IF(OR(AO522&lt;&gt;1,AR522=""),"",INDEX(SLA_RES,AR522))</f>
        <v/>
      </c>
      <c r="BB522" s="35" t="str">
        <f aca="false">IF(OR(AW522="",BA522=""),"",IF(AW522&lt;=BA522,1,0))</f>
        <v/>
      </c>
      <c r="BC522" s="38" t="str">
        <f aca="false">IF(OR(BA522="",P522=""),"",WORKDAY(INT(P522),BA522,JoursFeries)+MOD(P522,1))</f>
        <v/>
      </c>
      <c r="BD522" s="39" t="str">
        <f aca="false">IF(AO522&lt;&gt;1,"",IF(OR(AB522&lt;&gt;"",AD522&lt;&gt;""),4,IF(U522&lt;&gt;"",3,IF(T522&lt;&gt;"",2,1))))</f>
        <v/>
      </c>
      <c r="BE522" s="39" t="str">
        <f aca="false">IF(OR(AO522&lt;&gt;1,AR522=""),"",INDEX(NIV_REQ,AR522))</f>
        <v/>
      </c>
      <c r="BF522" s="39" t="str">
        <f aca="false">IF(BE522="","",MAX(BE522,IF(OR(K522="Oui",Z522="Oui"),4,1)))</f>
        <v/>
      </c>
      <c r="BG522" s="35" t="str">
        <f aca="false">IF(OR(BF522="",BD522=""),"",IF(BD522&gt;=BF522,1,0))</f>
        <v/>
      </c>
      <c r="BH522" s="38" t="str">
        <f aca="false">IF(BE522="","",IF(BE522&lt;2,"",IF(BE522=2,IF(AND(T522="",U522=""),"",MIN(T522,U522)),IF(U522="","",U522))))</f>
        <v/>
      </c>
      <c r="BI522" s="37" t="str">
        <f aca="false">IF(BH522="","",IF(OR(O522="",BH522=""),"",IF(BH522&lt;O522,"",ROUND(((NETWORKDAYS(O522,BH522,JoursFeries)-1)*(HFer-HOuv)+IF(NETWORKDAYS(BH522,BH522,JoursFeries),MEDIAN(MOD(BH522,1),HFer,HOuv),HFer)-IF(NETWORKDAYS(O522,O522,JoursFeries),MEDIAN(MOD(O522,1),HFer,HOuv),HOuv))*24,4))))</f>
        <v/>
      </c>
      <c r="BJ522" s="35" t="str">
        <f aca="false">IF(OR(BI522="",AR522=""),"",IF(BI522&lt;=INDEX(DELAI_ESC,AR522),1,0))</f>
        <v/>
      </c>
      <c r="BK522" s="38" t="str">
        <f aca="false">IF(AO522&lt;&gt;1,"",IF(AND(T522="",U522=""),"",MIN(T522,U522)))</f>
        <v/>
      </c>
      <c r="BL522" s="37" t="str">
        <f aca="false">IF(OR(BK522="",R522=""),"",IFERROR(ROUND(IF(OR(BK522="",R522=""),"",IF(R522&lt;BK522,"",ROUND(((NETWORKDAYS(BK522,R522,JoursFeries)-1)*(HFer-HOuv)+IF(NETWORKDAYS(R522,R522,JoursFeries),MEDIAN(MOD(R522,1),HFer,HOuv),HFer)-IF(NETWORKDAYS(BK522,BK522,JoursFeries),MEDIAN(MOD(BK522,1),HFer,HOuv),HOuv))*24,4)))/HJour,4),""))</f>
        <v/>
      </c>
      <c r="BM522" s="35" t="str">
        <f aca="false">IF(OR(AO522&lt;&gt;1,R522=""),"",IF(BD522=1,1,0))</f>
        <v/>
      </c>
      <c r="BN522" s="35" t="str">
        <f aca="false">IF(AO522&lt;&gt;1,"",IF(W522="Oui",1,0))</f>
        <v/>
      </c>
      <c r="BO522" s="35" t="str">
        <f aca="false">IF(AO522&lt;&gt;1,"",IF(X522&lt;&gt;"",1,0))</f>
        <v/>
      </c>
      <c r="BP522" s="35" t="str">
        <f aca="false">IF(AO522&lt;&gt;1,"",IF(Y522="Oui",1,0))</f>
        <v/>
      </c>
      <c r="BQ522" s="35" t="str">
        <f aca="true">IF(OR(AO522&lt;&gt;1,Z522&lt;&gt;"Oui"),"",IF(AB522="",IF(AND(AA522&lt;&gt;"",NOW()&gt;AA522),0,""),IF(AA522="","",IF(AB522&lt;=AA522,1,0))))</f>
        <v/>
      </c>
      <c r="BR522" s="38" t="str">
        <f aca="false">IF(OR(AO522&lt;&gt;1,K522&lt;&gt;"Oui",O522=""),"",IF(AC522="",O522+DORA_H_DET/24,IF(AC522-O522&lt;=DORA_H_DET/24,MIN(AC522+DORA_H_CLA/24,O522+DORA_H_DET/24),AC522+DORA_H_CLA/24)))</f>
        <v/>
      </c>
      <c r="BS522" s="35" t="str">
        <f aca="true">IF(BR522="","",IF(AD522="",IF(NOW()&gt;BR522,0,""),IF(AD522&lt;=BR522,1,0)))</f>
        <v/>
      </c>
      <c r="BT522" s="35" t="str">
        <f aca="true">IF(OR(BR522="",AD522=""),"",IF(AE522="",IF(NOW()&gt;AD522+DORA_H_INT/24,0,""),IF(AE522&lt;=AD522+DORA_H_INT/24,1,0)))</f>
        <v/>
      </c>
      <c r="BU522" s="35" t="str">
        <f aca="true">IF(OR(BR522="",AE522=""),"",IF(AF522="",IF(NOW()&gt;EDATE(AE522,DORA_M_FIN)+1,0,""),IF(AF522&lt;=EDATE(AE522,DORA_M_FIN),1,0)))</f>
        <v/>
      </c>
      <c r="BV522" s="35" t="str">
        <f aca="false">IF(BR522="","",IF(COUNT(BS522:BU522)=0,"",MIN(BS522:BU522)))</f>
        <v/>
      </c>
      <c r="BW522" s="40" t="str">
        <f aca="false">IF(AQ522&lt;&gt;1,"",IF(AND(AG522="",AH522=""),"",N(AG522)-N(AH522)))</f>
        <v/>
      </c>
      <c r="BX522" s="35" t="str">
        <f aca="true">IF(OR(AQ522&lt;&gt;1,AI522&lt;&gt;"Oui",AJ522=""),"",IF(AK522="",IF(NOW()&gt;AJ522+1,0,""),IF(AK522&lt;=AJ522,1,0)))</f>
        <v/>
      </c>
    </row>
    <row r="523" customFormat="false" ht="15" hidden="false" customHeight="false" outlineLevel="0" collapsed="false">
      <c r="B523" s="29"/>
      <c r="C523" s="29"/>
      <c r="D523" s="29"/>
      <c r="E523" s="29"/>
      <c r="F523" s="29"/>
      <c r="G523" s="29"/>
      <c r="H523" s="29"/>
      <c r="I523" s="29"/>
      <c r="J523" s="29"/>
      <c r="K523" s="29"/>
      <c r="L523" s="29"/>
      <c r="M523" s="29"/>
      <c r="N523" s="30"/>
      <c r="O523" s="30"/>
      <c r="P523" s="30"/>
      <c r="Q523" s="30"/>
      <c r="R523" s="30"/>
      <c r="S523" s="30"/>
      <c r="T523" s="30"/>
      <c r="U523" s="30"/>
      <c r="V523" s="31"/>
      <c r="W523" s="29"/>
      <c r="X523" s="29"/>
      <c r="Y523" s="29"/>
      <c r="Z523" s="29"/>
      <c r="AA523" s="30"/>
      <c r="AB523" s="30"/>
      <c r="AC523" s="30"/>
      <c r="AD523" s="30"/>
      <c r="AE523" s="30"/>
      <c r="AF523" s="32"/>
      <c r="AG523" s="33"/>
      <c r="AH523" s="33"/>
      <c r="AI523" s="29"/>
      <c r="AJ523" s="32"/>
      <c r="AK523" s="32"/>
      <c r="AL523" s="29"/>
      <c r="AN523" s="34" t="str">
        <f aca="false">IF($B523="","",IF(OR(C523="",D523="",E523="",G523="",I523="",J523="",L523="",O523="",P523=""),"Champ obligatoire manquant",IF(OR(AND(N523&lt;&gt;"",N523&gt;O523),O523&gt;P523,AND(Q523&lt;&gt;"",Q523&lt;P523),AND(R523&lt;&gt;"",R523&lt;P523),AND(S523&lt;&gt;"",S523&lt;R523),AND(S523&lt;&gt;"",R523=""),AND(T523&lt;&gt;"",T523&lt;O523),AND(U523&lt;&gt;"",U523&lt;O523)),"Chronologie incohérente",IF(AND(OR(L523="Résolu",L523="Clos"),R523=""),"Date de résolution manquante",IF(AND(L523="Clos",S523=""),"Date de clôture manquante",IF(AND(K523="Oui",AC523=""),"Classification DORA manquante","OK"))))))</f>
        <v/>
      </c>
      <c r="AO523" s="35" t="str">
        <f aca="false">IF($B523="","",IF(AND(C523="Incident",L523&lt;&gt;"Annulé"),1,0))</f>
        <v/>
      </c>
      <c r="AP523" s="35" t="str">
        <f aca="false">IF($B523="","",IF(AND(C523="Quasi-incident",L523&lt;&gt;"Annulé"),1,0))</f>
        <v/>
      </c>
      <c r="AQ523" s="35" t="str">
        <f aca="false">IF($B523="","",AO523+AP523)</f>
        <v/>
      </c>
      <c r="AR523" s="36" t="str">
        <f aca="false">IF(OR($B523="",J523=""),"",IFERROR(VALUE(LEFT(J523,1)),""))</f>
        <v/>
      </c>
      <c r="AS523" s="35" t="str">
        <f aca="false">IF(OR(AO523&lt;&gt;1,G523=""),"",IFERROR(IF(INDEX(L_SrcInterne,MATCH(G523,L_Sources,0))="Oui",1,0),""))</f>
        <v/>
      </c>
      <c r="AT523" s="37" t="str">
        <f aca="false">IF(AO523&lt;&gt;1,"",IFERROR(ROUND(IF(OR(N523="",O523=""),"",IF(O523&lt;N523,"",ROUND(((NETWORKDAYS(N523,O523,JoursFeries)-1)*(HFer-HOuv)+IF(NETWORKDAYS(O523,O523,JoursFeries),MEDIAN(MOD(O523,1),HFer,HOuv),HFer)-IF(NETWORKDAYS(N523,N523,JoursFeries),MEDIAN(MOD(N523,1),HFer,HOuv),HOuv))*24,4)))/HJour,4),""))</f>
        <v/>
      </c>
      <c r="AU523" s="37" t="str">
        <f aca="false">IF(AO523&lt;&gt;1,"",IF(OR(O523="",P523=""),"",IF(P523&lt;O523,"",ROUND(((NETWORKDAYS(O523,P523,JoursFeries)-1)*(HFer-HOuv)+IF(NETWORKDAYS(P523,P523,JoursFeries),MEDIAN(MOD(P523,1),HFer,HOuv),HFer)-IF(NETWORKDAYS(O523,O523,JoursFeries),MEDIAN(MOD(O523,1),HFer,HOuv),HOuv))*24,4))))</f>
        <v/>
      </c>
      <c r="AV523" s="37" t="str">
        <f aca="false">IF(AO523&lt;&gt;1,"",IF(OR(P523="",Q523=""),"",IF(Q523&lt;P523,"",ROUND(((NETWORKDAYS(P523,Q523,JoursFeries)-1)*(HFer-HOuv)+IF(NETWORKDAYS(Q523,Q523,JoursFeries),MEDIAN(MOD(Q523,1),HFer,HOuv),HFer)-IF(NETWORKDAYS(P523,P523,JoursFeries),MEDIAN(MOD(P523,1),HFer,HOuv),HOuv))*24,4))))</f>
        <v/>
      </c>
      <c r="AW523" s="37" t="str">
        <f aca="false">IF(AO523&lt;&gt;1,"",IFERROR(ROUND(IF(OR(P523="",R523=""),"",IF(R523&lt;P523,"",ROUND(((NETWORKDAYS(P523,R523,JoursFeries)-1)*(HFer-HOuv)+IF(NETWORKDAYS(R523,R523,JoursFeries),MEDIAN(MOD(R523,1),HFer,HOuv),HFer)-IF(NETWORKDAYS(P523,P523,JoursFeries),MEDIAN(MOD(P523,1),HFer,HOuv),HOuv))*24,4)))/HJour,4),""))</f>
        <v/>
      </c>
      <c r="AX523" s="37" t="str">
        <f aca="false">IF(AO523&lt;&gt;1,"",IFERROR(ROUND(IF(OR(P523="",S523=""),"",IF(S523&lt;P523,"",ROUND(((NETWORKDAYS(P523,S523,JoursFeries)-1)*(HFer-HOuv)+IF(NETWORKDAYS(S523,S523,JoursFeries),MEDIAN(MOD(S523,1),HFer,HOuv),HFer)-IF(NETWORKDAYS(P523,P523,JoursFeries),MEDIAN(MOD(P523,1),HFer,HOuv),HOuv))*24,4)))/HJour,4),""))</f>
        <v/>
      </c>
      <c r="AY523" s="36" t="str">
        <f aca="false">IF(OR(AO523&lt;&gt;1,AR523=""),"",INDEX(SLA_PEC,AR523))</f>
        <v/>
      </c>
      <c r="AZ523" s="35" t="str">
        <f aca="false">IF(OR(AV523="",AY523=""),"",IF(AV523&lt;=AY523,1,0))</f>
        <v/>
      </c>
      <c r="BA523" s="36" t="str">
        <f aca="false">IF(OR(AO523&lt;&gt;1,AR523=""),"",INDEX(SLA_RES,AR523))</f>
        <v/>
      </c>
      <c r="BB523" s="35" t="str">
        <f aca="false">IF(OR(AW523="",BA523=""),"",IF(AW523&lt;=BA523,1,0))</f>
        <v/>
      </c>
      <c r="BC523" s="38" t="str">
        <f aca="false">IF(OR(BA523="",P523=""),"",WORKDAY(INT(P523),BA523,JoursFeries)+MOD(P523,1))</f>
        <v/>
      </c>
      <c r="BD523" s="39" t="str">
        <f aca="false">IF(AO523&lt;&gt;1,"",IF(OR(AB523&lt;&gt;"",AD523&lt;&gt;""),4,IF(U523&lt;&gt;"",3,IF(T523&lt;&gt;"",2,1))))</f>
        <v/>
      </c>
      <c r="BE523" s="39" t="str">
        <f aca="false">IF(OR(AO523&lt;&gt;1,AR523=""),"",INDEX(NIV_REQ,AR523))</f>
        <v/>
      </c>
      <c r="BF523" s="39" t="str">
        <f aca="false">IF(BE523="","",MAX(BE523,IF(OR(K523="Oui",Z523="Oui"),4,1)))</f>
        <v/>
      </c>
      <c r="BG523" s="35" t="str">
        <f aca="false">IF(OR(BF523="",BD523=""),"",IF(BD523&gt;=BF523,1,0))</f>
        <v/>
      </c>
      <c r="BH523" s="38" t="str">
        <f aca="false">IF(BE523="","",IF(BE523&lt;2,"",IF(BE523=2,IF(AND(T523="",U523=""),"",MIN(T523,U523)),IF(U523="","",U523))))</f>
        <v/>
      </c>
      <c r="BI523" s="37" t="str">
        <f aca="false">IF(BH523="","",IF(OR(O523="",BH523=""),"",IF(BH523&lt;O523,"",ROUND(((NETWORKDAYS(O523,BH523,JoursFeries)-1)*(HFer-HOuv)+IF(NETWORKDAYS(BH523,BH523,JoursFeries),MEDIAN(MOD(BH523,1),HFer,HOuv),HFer)-IF(NETWORKDAYS(O523,O523,JoursFeries),MEDIAN(MOD(O523,1),HFer,HOuv),HOuv))*24,4))))</f>
        <v/>
      </c>
      <c r="BJ523" s="35" t="str">
        <f aca="false">IF(OR(BI523="",AR523=""),"",IF(BI523&lt;=INDEX(DELAI_ESC,AR523),1,0))</f>
        <v/>
      </c>
      <c r="BK523" s="38" t="str">
        <f aca="false">IF(AO523&lt;&gt;1,"",IF(AND(T523="",U523=""),"",MIN(T523,U523)))</f>
        <v/>
      </c>
      <c r="BL523" s="37" t="str">
        <f aca="false">IF(OR(BK523="",R523=""),"",IFERROR(ROUND(IF(OR(BK523="",R523=""),"",IF(R523&lt;BK523,"",ROUND(((NETWORKDAYS(BK523,R523,JoursFeries)-1)*(HFer-HOuv)+IF(NETWORKDAYS(R523,R523,JoursFeries),MEDIAN(MOD(R523,1),HFer,HOuv),HFer)-IF(NETWORKDAYS(BK523,BK523,JoursFeries),MEDIAN(MOD(BK523,1),HFer,HOuv),HOuv))*24,4)))/HJour,4),""))</f>
        <v/>
      </c>
      <c r="BM523" s="35" t="str">
        <f aca="false">IF(OR(AO523&lt;&gt;1,R523=""),"",IF(BD523=1,1,0))</f>
        <v/>
      </c>
      <c r="BN523" s="35" t="str">
        <f aca="false">IF(AO523&lt;&gt;1,"",IF(W523="Oui",1,0))</f>
        <v/>
      </c>
      <c r="BO523" s="35" t="str">
        <f aca="false">IF(AO523&lt;&gt;1,"",IF(X523&lt;&gt;"",1,0))</f>
        <v/>
      </c>
      <c r="BP523" s="35" t="str">
        <f aca="false">IF(AO523&lt;&gt;1,"",IF(Y523="Oui",1,0))</f>
        <v/>
      </c>
      <c r="BQ523" s="35" t="str">
        <f aca="true">IF(OR(AO523&lt;&gt;1,Z523&lt;&gt;"Oui"),"",IF(AB523="",IF(AND(AA523&lt;&gt;"",NOW()&gt;AA523),0,""),IF(AA523="","",IF(AB523&lt;=AA523,1,0))))</f>
        <v/>
      </c>
      <c r="BR523" s="38" t="str">
        <f aca="false">IF(OR(AO523&lt;&gt;1,K523&lt;&gt;"Oui",O523=""),"",IF(AC523="",O523+DORA_H_DET/24,IF(AC523-O523&lt;=DORA_H_DET/24,MIN(AC523+DORA_H_CLA/24,O523+DORA_H_DET/24),AC523+DORA_H_CLA/24)))</f>
        <v/>
      </c>
      <c r="BS523" s="35" t="str">
        <f aca="true">IF(BR523="","",IF(AD523="",IF(NOW()&gt;BR523,0,""),IF(AD523&lt;=BR523,1,0)))</f>
        <v/>
      </c>
      <c r="BT523" s="35" t="str">
        <f aca="true">IF(OR(BR523="",AD523=""),"",IF(AE523="",IF(NOW()&gt;AD523+DORA_H_INT/24,0,""),IF(AE523&lt;=AD523+DORA_H_INT/24,1,0)))</f>
        <v/>
      </c>
      <c r="BU523" s="35" t="str">
        <f aca="true">IF(OR(BR523="",AE523=""),"",IF(AF523="",IF(NOW()&gt;EDATE(AE523,DORA_M_FIN)+1,0,""),IF(AF523&lt;=EDATE(AE523,DORA_M_FIN),1,0)))</f>
        <v/>
      </c>
      <c r="BV523" s="35" t="str">
        <f aca="false">IF(BR523="","",IF(COUNT(BS523:BU523)=0,"",MIN(BS523:BU523)))</f>
        <v/>
      </c>
      <c r="BW523" s="40" t="str">
        <f aca="false">IF(AQ523&lt;&gt;1,"",IF(AND(AG523="",AH523=""),"",N(AG523)-N(AH523)))</f>
        <v/>
      </c>
      <c r="BX523" s="35" t="str">
        <f aca="true">IF(OR(AQ523&lt;&gt;1,AI523&lt;&gt;"Oui",AJ523=""),"",IF(AK523="",IF(NOW()&gt;AJ523+1,0,""),IF(AK523&lt;=AJ523,1,0)))</f>
        <v/>
      </c>
    </row>
    <row r="524" customFormat="false" ht="15" hidden="false" customHeight="false" outlineLevel="0" collapsed="false">
      <c r="B524" s="29"/>
      <c r="C524" s="29"/>
      <c r="D524" s="29"/>
      <c r="E524" s="29"/>
      <c r="F524" s="29"/>
      <c r="G524" s="29"/>
      <c r="H524" s="29"/>
      <c r="I524" s="29"/>
      <c r="J524" s="29"/>
      <c r="K524" s="29"/>
      <c r="L524" s="29"/>
      <c r="M524" s="29"/>
      <c r="N524" s="30"/>
      <c r="O524" s="30"/>
      <c r="P524" s="30"/>
      <c r="Q524" s="30"/>
      <c r="R524" s="30"/>
      <c r="S524" s="30"/>
      <c r="T524" s="30"/>
      <c r="U524" s="30"/>
      <c r="V524" s="31"/>
      <c r="W524" s="29"/>
      <c r="X524" s="29"/>
      <c r="Y524" s="29"/>
      <c r="Z524" s="29"/>
      <c r="AA524" s="30"/>
      <c r="AB524" s="30"/>
      <c r="AC524" s="30"/>
      <c r="AD524" s="30"/>
      <c r="AE524" s="30"/>
      <c r="AF524" s="32"/>
      <c r="AG524" s="33"/>
      <c r="AH524" s="33"/>
      <c r="AI524" s="29"/>
      <c r="AJ524" s="32"/>
      <c r="AK524" s="32"/>
      <c r="AL524" s="29"/>
      <c r="AN524" s="34" t="str">
        <f aca="false">IF($B524="","",IF(OR(C524="",D524="",E524="",G524="",I524="",J524="",L524="",O524="",P524=""),"Champ obligatoire manquant",IF(OR(AND(N524&lt;&gt;"",N524&gt;O524),O524&gt;P524,AND(Q524&lt;&gt;"",Q524&lt;P524),AND(R524&lt;&gt;"",R524&lt;P524),AND(S524&lt;&gt;"",S524&lt;R524),AND(S524&lt;&gt;"",R524=""),AND(T524&lt;&gt;"",T524&lt;O524),AND(U524&lt;&gt;"",U524&lt;O524)),"Chronologie incohérente",IF(AND(OR(L524="Résolu",L524="Clos"),R524=""),"Date de résolution manquante",IF(AND(L524="Clos",S524=""),"Date de clôture manquante",IF(AND(K524="Oui",AC524=""),"Classification DORA manquante","OK"))))))</f>
        <v/>
      </c>
      <c r="AO524" s="35" t="str">
        <f aca="false">IF($B524="","",IF(AND(C524="Incident",L524&lt;&gt;"Annulé"),1,0))</f>
        <v/>
      </c>
      <c r="AP524" s="35" t="str">
        <f aca="false">IF($B524="","",IF(AND(C524="Quasi-incident",L524&lt;&gt;"Annulé"),1,0))</f>
        <v/>
      </c>
      <c r="AQ524" s="35" t="str">
        <f aca="false">IF($B524="","",AO524+AP524)</f>
        <v/>
      </c>
      <c r="AR524" s="36" t="str">
        <f aca="false">IF(OR($B524="",J524=""),"",IFERROR(VALUE(LEFT(J524,1)),""))</f>
        <v/>
      </c>
      <c r="AS524" s="35" t="str">
        <f aca="false">IF(OR(AO524&lt;&gt;1,G524=""),"",IFERROR(IF(INDEX(L_SrcInterne,MATCH(G524,L_Sources,0))="Oui",1,0),""))</f>
        <v/>
      </c>
      <c r="AT524" s="37" t="str">
        <f aca="false">IF(AO524&lt;&gt;1,"",IFERROR(ROUND(IF(OR(N524="",O524=""),"",IF(O524&lt;N524,"",ROUND(((NETWORKDAYS(N524,O524,JoursFeries)-1)*(HFer-HOuv)+IF(NETWORKDAYS(O524,O524,JoursFeries),MEDIAN(MOD(O524,1),HFer,HOuv),HFer)-IF(NETWORKDAYS(N524,N524,JoursFeries),MEDIAN(MOD(N524,1),HFer,HOuv),HOuv))*24,4)))/HJour,4),""))</f>
        <v/>
      </c>
      <c r="AU524" s="37" t="str">
        <f aca="false">IF(AO524&lt;&gt;1,"",IF(OR(O524="",P524=""),"",IF(P524&lt;O524,"",ROUND(((NETWORKDAYS(O524,P524,JoursFeries)-1)*(HFer-HOuv)+IF(NETWORKDAYS(P524,P524,JoursFeries),MEDIAN(MOD(P524,1),HFer,HOuv),HFer)-IF(NETWORKDAYS(O524,O524,JoursFeries),MEDIAN(MOD(O524,1),HFer,HOuv),HOuv))*24,4))))</f>
        <v/>
      </c>
      <c r="AV524" s="37" t="str">
        <f aca="false">IF(AO524&lt;&gt;1,"",IF(OR(P524="",Q524=""),"",IF(Q524&lt;P524,"",ROUND(((NETWORKDAYS(P524,Q524,JoursFeries)-1)*(HFer-HOuv)+IF(NETWORKDAYS(Q524,Q524,JoursFeries),MEDIAN(MOD(Q524,1),HFer,HOuv),HFer)-IF(NETWORKDAYS(P524,P524,JoursFeries),MEDIAN(MOD(P524,1),HFer,HOuv),HOuv))*24,4))))</f>
        <v/>
      </c>
      <c r="AW524" s="37" t="str">
        <f aca="false">IF(AO524&lt;&gt;1,"",IFERROR(ROUND(IF(OR(P524="",R524=""),"",IF(R524&lt;P524,"",ROUND(((NETWORKDAYS(P524,R524,JoursFeries)-1)*(HFer-HOuv)+IF(NETWORKDAYS(R524,R524,JoursFeries),MEDIAN(MOD(R524,1),HFer,HOuv),HFer)-IF(NETWORKDAYS(P524,P524,JoursFeries),MEDIAN(MOD(P524,1),HFer,HOuv),HOuv))*24,4)))/HJour,4),""))</f>
        <v/>
      </c>
      <c r="AX524" s="37" t="str">
        <f aca="false">IF(AO524&lt;&gt;1,"",IFERROR(ROUND(IF(OR(P524="",S524=""),"",IF(S524&lt;P524,"",ROUND(((NETWORKDAYS(P524,S524,JoursFeries)-1)*(HFer-HOuv)+IF(NETWORKDAYS(S524,S524,JoursFeries),MEDIAN(MOD(S524,1),HFer,HOuv),HFer)-IF(NETWORKDAYS(P524,P524,JoursFeries),MEDIAN(MOD(P524,1),HFer,HOuv),HOuv))*24,4)))/HJour,4),""))</f>
        <v/>
      </c>
      <c r="AY524" s="36" t="str">
        <f aca="false">IF(OR(AO524&lt;&gt;1,AR524=""),"",INDEX(SLA_PEC,AR524))</f>
        <v/>
      </c>
      <c r="AZ524" s="35" t="str">
        <f aca="false">IF(OR(AV524="",AY524=""),"",IF(AV524&lt;=AY524,1,0))</f>
        <v/>
      </c>
      <c r="BA524" s="36" t="str">
        <f aca="false">IF(OR(AO524&lt;&gt;1,AR524=""),"",INDEX(SLA_RES,AR524))</f>
        <v/>
      </c>
      <c r="BB524" s="35" t="str">
        <f aca="false">IF(OR(AW524="",BA524=""),"",IF(AW524&lt;=BA524,1,0))</f>
        <v/>
      </c>
      <c r="BC524" s="38" t="str">
        <f aca="false">IF(OR(BA524="",P524=""),"",WORKDAY(INT(P524),BA524,JoursFeries)+MOD(P524,1))</f>
        <v/>
      </c>
      <c r="BD524" s="39" t="str">
        <f aca="false">IF(AO524&lt;&gt;1,"",IF(OR(AB524&lt;&gt;"",AD524&lt;&gt;""),4,IF(U524&lt;&gt;"",3,IF(T524&lt;&gt;"",2,1))))</f>
        <v/>
      </c>
      <c r="BE524" s="39" t="str">
        <f aca="false">IF(OR(AO524&lt;&gt;1,AR524=""),"",INDEX(NIV_REQ,AR524))</f>
        <v/>
      </c>
      <c r="BF524" s="39" t="str">
        <f aca="false">IF(BE524="","",MAX(BE524,IF(OR(K524="Oui",Z524="Oui"),4,1)))</f>
        <v/>
      </c>
      <c r="BG524" s="35" t="str">
        <f aca="false">IF(OR(BF524="",BD524=""),"",IF(BD524&gt;=BF524,1,0))</f>
        <v/>
      </c>
      <c r="BH524" s="38" t="str">
        <f aca="false">IF(BE524="","",IF(BE524&lt;2,"",IF(BE524=2,IF(AND(T524="",U524=""),"",MIN(T524,U524)),IF(U524="","",U524))))</f>
        <v/>
      </c>
      <c r="BI524" s="37" t="str">
        <f aca="false">IF(BH524="","",IF(OR(O524="",BH524=""),"",IF(BH524&lt;O524,"",ROUND(((NETWORKDAYS(O524,BH524,JoursFeries)-1)*(HFer-HOuv)+IF(NETWORKDAYS(BH524,BH524,JoursFeries),MEDIAN(MOD(BH524,1),HFer,HOuv),HFer)-IF(NETWORKDAYS(O524,O524,JoursFeries),MEDIAN(MOD(O524,1),HFer,HOuv),HOuv))*24,4))))</f>
        <v/>
      </c>
      <c r="BJ524" s="35" t="str">
        <f aca="false">IF(OR(BI524="",AR524=""),"",IF(BI524&lt;=INDEX(DELAI_ESC,AR524),1,0))</f>
        <v/>
      </c>
      <c r="BK524" s="38" t="str">
        <f aca="false">IF(AO524&lt;&gt;1,"",IF(AND(T524="",U524=""),"",MIN(T524,U524)))</f>
        <v/>
      </c>
      <c r="BL524" s="37" t="str">
        <f aca="false">IF(OR(BK524="",R524=""),"",IFERROR(ROUND(IF(OR(BK524="",R524=""),"",IF(R524&lt;BK524,"",ROUND(((NETWORKDAYS(BK524,R524,JoursFeries)-1)*(HFer-HOuv)+IF(NETWORKDAYS(R524,R524,JoursFeries),MEDIAN(MOD(R524,1),HFer,HOuv),HFer)-IF(NETWORKDAYS(BK524,BK524,JoursFeries),MEDIAN(MOD(BK524,1),HFer,HOuv),HOuv))*24,4)))/HJour,4),""))</f>
        <v/>
      </c>
      <c r="BM524" s="35" t="str">
        <f aca="false">IF(OR(AO524&lt;&gt;1,R524=""),"",IF(BD524=1,1,0))</f>
        <v/>
      </c>
      <c r="BN524" s="35" t="str">
        <f aca="false">IF(AO524&lt;&gt;1,"",IF(W524="Oui",1,0))</f>
        <v/>
      </c>
      <c r="BO524" s="35" t="str">
        <f aca="false">IF(AO524&lt;&gt;1,"",IF(X524&lt;&gt;"",1,0))</f>
        <v/>
      </c>
      <c r="BP524" s="35" t="str">
        <f aca="false">IF(AO524&lt;&gt;1,"",IF(Y524="Oui",1,0))</f>
        <v/>
      </c>
      <c r="BQ524" s="35" t="str">
        <f aca="true">IF(OR(AO524&lt;&gt;1,Z524&lt;&gt;"Oui"),"",IF(AB524="",IF(AND(AA524&lt;&gt;"",NOW()&gt;AA524),0,""),IF(AA524="","",IF(AB524&lt;=AA524,1,0))))</f>
        <v/>
      </c>
      <c r="BR524" s="38" t="str">
        <f aca="false">IF(OR(AO524&lt;&gt;1,K524&lt;&gt;"Oui",O524=""),"",IF(AC524="",O524+DORA_H_DET/24,IF(AC524-O524&lt;=DORA_H_DET/24,MIN(AC524+DORA_H_CLA/24,O524+DORA_H_DET/24),AC524+DORA_H_CLA/24)))</f>
        <v/>
      </c>
      <c r="BS524" s="35" t="str">
        <f aca="true">IF(BR524="","",IF(AD524="",IF(NOW()&gt;BR524,0,""),IF(AD524&lt;=BR524,1,0)))</f>
        <v/>
      </c>
      <c r="BT524" s="35" t="str">
        <f aca="true">IF(OR(BR524="",AD524=""),"",IF(AE524="",IF(NOW()&gt;AD524+DORA_H_INT/24,0,""),IF(AE524&lt;=AD524+DORA_H_INT/24,1,0)))</f>
        <v/>
      </c>
      <c r="BU524" s="35" t="str">
        <f aca="true">IF(OR(BR524="",AE524=""),"",IF(AF524="",IF(NOW()&gt;EDATE(AE524,DORA_M_FIN)+1,0,""),IF(AF524&lt;=EDATE(AE524,DORA_M_FIN),1,0)))</f>
        <v/>
      </c>
      <c r="BV524" s="35" t="str">
        <f aca="false">IF(BR524="","",IF(COUNT(BS524:BU524)=0,"",MIN(BS524:BU524)))</f>
        <v/>
      </c>
      <c r="BW524" s="40" t="str">
        <f aca="false">IF(AQ524&lt;&gt;1,"",IF(AND(AG524="",AH524=""),"",N(AG524)-N(AH524)))</f>
        <v/>
      </c>
      <c r="BX524" s="35" t="str">
        <f aca="true">IF(OR(AQ524&lt;&gt;1,AI524&lt;&gt;"Oui",AJ524=""),"",IF(AK524="",IF(NOW()&gt;AJ524+1,0,""),IF(AK524&lt;=AJ524,1,0)))</f>
        <v/>
      </c>
    </row>
    <row r="525" customFormat="false" ht="15" hidden="false" customHeight="false" outlineLevel="0" collapsed="false">
      <c r="B525" s="29"/>
      <c r="C525" s="29"/>
      <c r="D525" s="29"/>
      <c r="E525" s="29"/>
      <c r="F525" s="29"/>
      <c r="G525" s="29"/>
      <c r="H525" s="29"/>
      <c r="I525" s="29"/>
      <c r="J525" s="29"/>
      <c r="K525" s="29"/>
      <c r="L525" s="29"/>
      <c r="M525" s="29"/>
      <c r="N525" s="30"/>
      <c r="O525" s="30"/>
      <c r="P525" s="30"/>
      <c r="Q525" s="30"/>
      <c r="R525" s="30"/>
      <c r="S525" s="30"/>
      <c r="T525" s="30"/>
      <c r="U525" s="30"/>
      <c r="V525" s="31"/>
      <c r="W525" s="29"/>
      <c r="X525" s="29"/>
      <c r="Y525" s="29"/>
      <c r="Z525" s="29"/>
      <c r="AA525" s="30"/>
      <c r="AB525" s="30"/>
      <c r="AC525" s="30"/>
      <c r="AD525" s="30"/>
      <c r="AE525" s="30"/>
      <c r="AF525" s="32"/>
      <c r="AG525" s="33"/>
      <c r="AH525" s="33"/>
      <c r="AI525" s="29"/>
      <c r="AJ525" s="32"/>
      <c r="AK525" s="32"/>
      <c r="AL525" s="29"/>
      <c r="AN525" s="34" t="str">
        <f aca="false">IF($B525="","",IF(OR(C525="",D525="",E525="",G525="",I525="",J525="",L525="",O525="",P525=""),"Champ obligatoire manquant",IF(OR(AND(N525&lt;&gt;"",N525&gt;O525),O525&gt;P525,AND(Q525&lt;&gt;"",Q525&lt;P525),AND(R525&lt;&gt;"",R525&lt;P525),AND(S525&lt;&gt;"",S525&lt;R525),AND(S525&lt;&gt;"",R525=""),AND(T525&lt;&gt;"",T525&lt;O525),AND(U525&lt;&gt;"",U525&lt;O525)),"Chronologie incohérente",IF(AND(OR(L525="Résolu",L525="Clos"),R525=""),"Date de résolution manquante",IF(AND(L525="Clos",S525=""),"Date de clôture manquante",IF(AND(K525="Oui",AC525=""),"Classification DORA manquante","OK"))))))</f>
        <v/>
      </c>
      <c r="AO525" s="35" t="str">
        <f aca="false">IF($B525="","",IF(AND(C525="Incident",L525&lt;&gt;"Annulé"),1,0))</f>
        <v/>
      </c>
      <c r="AP525" s="35" t="str">
        <f aca="false">IF($B525="","",IF(AND(C525="Quasi-incident",L525&lt;&gt;"Annulé"),1,0))</f>
        <v/>
      </c>
      <c r="AQ525" s="35" t="str">
        <f aca="false">IF($B525="","",AO525+AP525)</f>
        <v/>
      </c>
      <c r="AR525" s="36" t="str">
        <f aca="false">IF(OR($B525="",J525=""),"",IFERROR(VALUE(LEFT(J525,1)),""))</f>
        <v/>
      </c>
      <c r="AS525" s="35" t="str">
        <f aca="false">IF(OR(AO525&lt;&gt;1,G525=""),"",IFERROR(IF(INDEX(L_SrcInterne,MATCH(G525,L_Sources,0))="Oui",1,0),""))</f>
        <v/>
      </c>
      <c r="AT525" s="37" t="str">
        <f aca="false">IF(AO525&lt;&gt;1,"",IFERROR(ROUND(IF(OR(N525="",O525=""),"",IF(O525&lt;N525,"",ROUND(((NETWORKDAYS(N525,O525,JoursFeries)-1)*(HFer-HOuv)+IF(NETWORKDAYS(O525,O525,JoursFeries),MEDIAN(MOD(O525,1),HFer,HOuv),HFer)-IF(NETWORKDAYS(N525,N525,JoursFeries),MEDIAN(MOD(N525,1),HFer,HOuv),HOuv))*24,4)))/HJour,4),""))</f>
        <v/>
      </c>
      <c r="AU525" s="37" t="str">
        <f aca="false">IF(AO525&lt;&gt;1,"",IF(OR(O525="",P525=""),"",IF(P525&lt;O525,"",ROUND(((NETWORKDAYS(O525,P525,JoursFeries)-1)*(HFer-HOuv)+IF(NETWORKDAYS(P525,P525,JoursFeries),MEDIAN(MOD(P525,1),HFer,HOuv),HFer)-IF(NETWORKDAYS(O525,O525,JoursFeries),MEDIAN(MOD(O525,1),HFer,HOuv),HOuv))*24,4))))</f>
        <v/>
      </c>
      <c r="AV525" s="37" t="str">
        <f aca="false">IF(AO525&lt;&gt;1,"",IF(OR(P525="",Q525=""),"",IF(Q525&lt;P525,"",ROUND(((NETWORKDAYS(P525,Q525,JoursFeries)-1)*(HFer-HOuv)+IF(NETWORKDAYS(Q525,Q525,JoursFeries),MEDIAN(MOD(Q525,1),HFer,HOuv),HFer)-IF(NETWORKDAYS(P525,P525,JoursFeries),MEDIAN(MOD(P525,1),HFer,HOuv),HOuv))*24,4))))</f>
        <v/>
      </c>
      <c r="AW525" s="37" t="str">
        <f aca="false">IF(AO525&lt;&gt;1,"",IFERROR(ROUND(IF(OR(P525="",R525=""),"",IF(R525&lt;P525,"",ROUND(((NETWORKDAYS(P525,R525,JoursFeries)-1)*(HFer-HOuv)+IF(NETWORKDAYS(R525,R525,JoursFeries),MEDIAN(MOD(R525,1),HFer,HOuv),HFer)-IF(NETWORKDAYS(P525,P525,JoursFeries),MEDIAN(MOD(P525,1),HFer,HOuv),HOuv))*24,4)))/HJour,4),""))</f>
        <v/>
      </c>
      <c r="AX525" s="37" t="str">
        <f aca="false">IF(AO525&lt;&gt;1,"",IFERROR(ROUND(IF(OR(P525="",S525=""),"",IF(S525&lt;P525,"",ROUND(((NETWORKDAYS(P525,S525,JoursFeries)-1)*(HFer-HOuv)+IF(NETWORKDAYS(S525,S525,JoursFeries),MEDIAN(MOD(S525,1),HFer,HOuv),HFer)-IF(NETWORKDAYS(P525,P525,JoursFeries),MEDIAN(MOD(P525,1),HFer,HOuv),HOuv))*24,4)))/HJour,4),""))</f>
        <v/>
      </c>
      <c r="AY525" s="36" t="str">
        <f aca="false">IF(OR(AO525&lt;&gt;1,AR525=""),"",INDEX(SLA_PEC,AR525))</f>
        <v/>
      </c>
      <c r="AZ525" s="35" t="str">
        <f aca="false">IF(OR(AV525="",AY525=""),"",IF(AV525&lt;=AY525,1,0))</f>
        <v/>
      </c>
      <c r="BA525" s="36" t="str">
        <f aca="false">IF(OR(AO525&lt;&gt;1,AR525=""),"",INDEX(SLA_RES,AR525))</f>
        <v/>
      </c>
      <c r="BB525" s="35" t="str">
        <f aca="false">IF(OR(AW525="",BA525=""),"",IF(AW525&lt;=BA525,1,0))</f>
        <v/>
      </c>
      <c r="BC525" s="38" t="str">
        <f aca="false">IF(OR(BA525="",P525=""),"",WORKDAY(INT(P525),BA525,JoursFeries)+MOD(P525,1))</f>
        <v/>
      </c>
      <c r="BD525" s="39" t="str">
        <f aca="false">IF(AO525&lt;&gt;1,"",IF(OR(AB525&lt;&gt;"",AD525&lt;&gt;""),4,IF(U525&lt;&gt;"",3,IF(T525&lt;&gt;"",2,1))))</f>
        <v/>
      </c>
      <c r="BE525" s="39" t="str">
        <f aca="false">IF(OR(AO525&lt;&gt;1,AR525=""),"",INDEX(NIV_REQ,AR525))</f>
        <v/>
      </c>
      <c r="BF525" s="39" t="str">
        <f aca="false">IF(BE525="","",MAX(BE525,IF(OR(K525="Oui",Z525="Oui"),4,1)))</f>
        <v/>
      </c>
      <c r="BG525" s="35" t="str">
        <f aca="false">IF(OR(BF525="",BD525=""),"",IF(BD525&gt;=BF525,1,0))</f>
        <v/>
      </c>
      <c r="BH525" s="38" t="str">
        <f aca="false">IF(BE525="","",IF(BE525&lt;2,"",IF(BE525=2,IF(AND(T525="",U525=""),"",MIN(T525,U525)),IF(U525="","",U525))))</f>
        <v/>
      </c>
      <c r="BI525" s="37" t="str">
        <f aca="false">IF(BH525="","",IF(OR(O525="",BH525=""),"",IF(BH525&lt;O525,"",ROUND(((NETWORKDAYS(O525,BH525,JoursFeries)-1)*(HFer-HOuv)+IF(NETWORKDAYS(BH525,BH525,JoursFeries),MEDIAN(MOD(BH525,1),HFer,HOuv),HFer)-IF(NETWORKDAYS(O525,O525,JoursFeries),MEDIAN(MOD(O525,1),HFer,HOuv),HOuv))*24,4))))</f>
        <v/>
      </c>
      <c r="BJ525" s="35" t="str">
        <f aca="false">IF(OR(BI525="",AR525=""),"",IF(BI525&lt;=INDEX(DELAI_ESC,AR525),1,0))</f>
        <v/>
      </c>
      <c r="BK525" s="38" t="str">
        <f aca="false">IF(AO525&lt;&gt;1,"",IF(AND(T525="",U525=""),"",MIN(T525,U525)))</f>
        <v/>
      </c>
      <c r="BL525" s="37" t="str">
        <f aca="false">IF(OR(BK525="",R525=""),"",IFERROR(ROUND(IF(OR(BK525="",R525=""),"",IF(R525&lt;BK525,"",ROUND(((NETWORKDAYS(BK525,R525,JoursFeries)-1)*(HFer-HOuv)+IF(NETWORKDAYS(R525,R525,JoursFeries),MEDIAN(MOD(R525,1),HFer,HOuv),HFer)-IF(NETWORKDAYS(BK525,BK525,JoursFeries),MEDIAN(MOD(BK525,1),HFer,HOuv),HOuv))*24,4)))/HJour,4),""))</f>
        <v/>
      </c>
      <c r="BM525" s="35" t="str">
        <f aca="false">IF(OR(AO525&lt;&gt;1,R525=""),"",IF(BD525=1,1,0))</f>
        <v/>
      </c>
      <c r="BN525" s="35" t="str">
        <f aca="false">IF(AO525&lt;&gt;1,"",IF(W525="Oui",1,0))</f>
        <v/>
      </c>
      <c r="BO525" s="35" t="str">
        <f aca="false">IF(AO525&lt;&gt;1,"",IF(X525&lt;&gt;"",1,0))</f>
        <v/>
      </c>
      <c r="BP525" s="35" t="str">
        <f aca="false">IF(AO525&lt;&gt;1,"",IF(Y525="Oui",1,0))</f>
        <v/>
      </c>
      <c r="BQ525" s="35" t="str">
        <f aca="true">IF(OR(AO525&lt;&gt;1,Z525&lt;&gt;"Oui"),"",IF(AB525="",IF(AND(AA525&lt;&gt;"",NOW()&gt;AA525),0,""),IF(AA525="","",IF(AB525&lt;=AA525,1,0))))</f>
        <v/>
      </c>
      <c r="BR525" s="38" t="str">
        <f aca="false">IF(OR(AO525&lt;&gt;1,K525&lt;&gt;"Oui",O525=""),"",IF(AC525="",O525+DORA_H_DET/24,IF(AC525-O525&lt;=DORA_H_DET/24,MIN(AC525+DORA_H_CLA/24,O525+DORA_H_DET/24),AC525+DORA_H_CLA/24)))</f>
        <v/>
      </c>
      <c r="BS525" s="35" t="str">
        <f aca="true">IF(BR525="","",IF(AD525="",IF(NOW()&gt;BR525,0,""),IF(AD525&lt;=BR525,1,0)))</f>
        <v/>
      </c>
      <c r="BT525" s="35" t="str">
        <f aca="true">IF(OR(BR525="",AD525=""),"",IF(AE525="",IF(NOW()&gt;AD525+DORA_H_INT/24,0,""),IF(AE525&lt;=AD525+DORA_H_INT/24,1,0)))</f>
        <v/>
      </c>
      <c r="BU525" s="35" t="str">
        <f aca="true">IF(OR(BR525="",AE525=""),"",IF(AF525="",IF(NOW()&gt;EDATE(AE525,DORA_M_FIN)+1,0,""),IF(AF525&lt;=EDATE(AE525,DORA_M_FIN),1,0)))</f>
        <v/>
      </c>
      <c r="BV525" s="35" t="str">
        <f aca="false">IF(BR525="","",IF(COUNT(BS525:BU525)=0,"",MIN(BS525:BU525)))</f>
        <v/>
      </c>
      <c r="BW525" s="40" t="str">
        <f aca="false">IF(AQ525&lt;&gt;1,"",IF(AND(AG525="",AH525=""),"",N(AG525)-N(AH525)))</f>
        <v/>
      </c>
      <c r="BX525" s="35" t="str">
        <f aca="true">IF(OR(AQ525&lt;&gt;1,AI525&lt;&gt;"Oui",AJ525=""),"",IF(AK525="",IF(NOW()&gt;AJ525+1,0,""),IF(AK525&lt;=AJ525,1,0)))</f>
        <v/>
      </c>
    </row>
    <row r="526" customFormat="false" ht="15" hidden="false" customHeight="false" outlineLevel="0" collapsed="false">
      <c r="B526" s="29"/>
      <c r="C526" s="29"/>
      <c r="D526" s="29"/>
      <c r="E526" s="29"/>
      <c r="F526" s="29"/>
      <c r="G526" s="29"/>
      <c r="H526" s="29"/>
      <c r="I526" s="29"/>
      <c r="J526" s="29"/>
      <c r="K526" s="29"/>
      <c r="L526" s="29"/>
      <c r="M526" s="29"/>
      <c r="N526" s="30"/>
      <c r="O526" s="30"/>
      <c r="P526" s="30"/>
      <c r="Q526" s="30"/>
      <c r="R526" s="30"/>
      <c r="S526" s="30"/>
      <c r="T526" s="30"/>
      <c r="U526" s="30"/>
      <c r="V526" s="31"/>
      <c r="W526" s="29"/>
      <c r="X526" s="29"/>
      <c r="Y526" s="29"/>
      <c r="Z526" s="29"/>
      <c r="AA526" s="30"/>
      <c r="AB526" s="30"/>
      <c r="AC526" s="30"/>
      <c r="AD526" s="30"/>
      <c r="AE526" s="30"/>
      <c r="AF526" s="32"/>
      <c r="AG526" s="33"/>
      <c r="AH526" s="33"/>
      <c r="AI526" s="29"/>
      <c r="AJ526" s="32"/>
      <c r="AK526" s="32"/>
      <c r="AL526" s="29"/>
      <c r="AN526" s="34" t="str">
        <f aca="false">IF($B526="","",IF(OR(C526="",D526="",E526="",G526="",I526="",J526="",L526="",O526="",P526=""),"Champ obligatoire manquant",IF(OR(AND(N526&lt;&gt;"",N526&gt;O526),O526&gt;P526,AND(Q526&lt;&gt;"",Q526&lt;P526),AND(R526&lt;&gt;"",R526&lt;P526),AND(S526&lt;&gt;"",S526&lt;R526),AND(S526&lt;&gt;"",R526=""),AND(T526&lt;&gt;"",T526&lt;O526),AND(U526&lt;&gt;"",U526&lt;O526)),"Chronologie incohérente",IF(AND(OR(L526="Résolu",L526="Clos"),R526=""),"Date de résolution manquante",IF(AND(L526="Clos",S526=""),"Date de clôture manquante",IF(AND(K526="Oui",AC526=""),"Classification DORA manquante","OK"))))))</f>
        <v/>
      </c>
      <c r="AO526" s="35" t="str">
        <f aca="false">IF($B526="","",IF(AND(C526="Incident",L526&lt;&gt;"Annulé"),1,0))</f>
        <v/>
      </c>
      <c r="AP526" s="35" t="str">
        <f aca="false">IF($B526="","",IF(AND(C526="Quasi-incident",L526&lt;&gt;"Annulé"),1,0))</f>
        <v/>
      </c>
      <c r="AQ526" s="35" t="str">
        <f aca="false">IF($B526="","",AO526+AP526)</f>
        <v/>
      </c>
      <c r="AR526" s="36" t="str">
        <f aca="false">IF(OR($B526="",J526=""),"",IFERROR(VALUE(LEFT(J526,1)),""))</f>
        <v/>
      </c>
      <c r="AS526" s="35" t="str">
        <f aca="false">IF(OR(AO526&lt;&gt;1,G526=""),"",IFERROR(IF(INDEX(L_SrcInterne,MATCH(G526,L_Sources,0))="Oui",1,0),""))</f>
        <v/>
      </c>
      <c r="AT526" s="37" t="str">
        <f aca="false">IF(AO526&lt;&gt;1,"",IFERROR(ROUND(IF(OR(N526="",O526=""),"",IF(O526&lt;N526,"",ROUND(((NETWORKDAYS(N526,O526,JoursFeries)-1)*(HFer-HOuv)+IF(NETWORKDAYS(O526,O526,JoursFeries),MEDIAN(MOD(O526,1),HFer,HOuv),HFer)-IF(NETWORKDAYS(N526,N526,JoursFeries),MEDIAN(MOD(N526,1),HFer,HOuv),HOuv))*24,4)))/HJour,4),""))</f>
        <v/>
      </c>
      <c r="AU526" s="37" t="str">
        <f aca="false">IF(AO526&lt;&gt;1,"",IF(OR(O526="",P526=""),"",IF(P526&lt;O526,"",ROUND(((NETWORKDAYS(O526,P526,JoursFeries)-1)*(HFer-HOuv)+IF(NETWORKDAYS(P526,P526,JoursFeries),MEDIAN(MOD(P526,1),HFer,HOuv),HFer)-IF(NETWORKDAYS(O526,O526,JoursFeries),MEDIAN(MOD(O526,1),HFer,HOuv),HOuv))*24,4))))</f>
        <v/>
      </c>
      <c r="AV526" s="37" t="str">
        <f aca="false">IF(AO526&lt;&gt;1,"",IF(OR(P526="",Q526=""),"",IF(Q526&lt;P526,"",ROUND(((NETWORKDAYS(P526,Q526,JoursFeries)-1)*(HFer-HOuv)+IF(NETWORKDAYS(Q526,Q526,JoursFeries),MEDIAN(MOD(Q526,1),HFer,HOuv),HFer)-IF(NETWORKDAYS(P526,P526,JoursFeries),MEDIAN(MOD(P526,1),HFer,HOuv),HOuv))*24,4))))</f>
        <v/>
      </c>
      <c r="AW526" s="37" t="str">
        <f aca="false">IF(AO526&lt;&gt;1,"",IFERROR(ROUND(IF(OR(P526="",R526=""),"",IF(R526&lt;P526,"",ROUND(((NETWORKDAYS(P526,R526,JoursFeries)-1)*(HFer-HOuv)+IF(NETWORKDAYS(R526,R526,JoursFeries),MEDIAN(MOD(R526,1),HFer,HOuv),HFer)-IF(NETWORKDAYS(P526,P526,JoursFeries),MEDIAN(MOD(P526,1),HFer,HOuv),HOuv))*24,4)))/HJour,4),""))</f>
        <v/>
      </c>
      <c r="AX526" s="37" t="str">
        <f aca="false">IF(AO526&lt;&gt;1,"",IFERROR(ROUND(IF(OR(P526="",S526=""),"",IF(S526&lt;P526,"",ROUND(((NETWORKDAYS(P526,S526,JoursFeries)-1)*(HFer-HOuv)+IF(NETWORKDAYS(S526,S526,JoursFeries),MEDIAN(MOD(S526,1),HFer,HOuv),HFer)-IF(NETWORKDAYS(P526,P526,JoursFeries),MEDIAN(MOD(P526,1),HFer,HOuv),HOuv))*24,4)))/HJour,4),""))</f>
        <v/>
      </c>
      <c r="AY526" s="36" t="str">
        <f aca="false">IF(OR(AO526&lt;&gt;1,AR526=""),"",INDEX(SLA_PEC,AR526))</f>
        <v/>
      </c>
      <c r="AZ526" s="35" t="str">
        <f aca="false">IF(OR(AV526="",AY526=""),"",IF(AV526&lt;=AY526,1,0))</f>
        <v/>
      </c>
      <c r="BA526" s="36" t="str">
        <f aca="false">IF(OR(AO526&lt;&gt;1,AR526=""),"",INDEX(SLA_RES,AR526))</f>
        <v/>
      </c>
      <c r="BB526" s="35" t="str">
        <f aca="false">IF(OR(AW526="",BA526=""),"",IF(AW526&lt;=BA526,1,0))</f>
        <v/>
      </c>
      <c r="BC526" s="38" t="str">
        <f aca="false">IF(OR(BA526="",P526=""),"",WORKDAY(INT(P526),BA526,JoursFeries)+MOD(P526,1))</f>
        <v/>
      </c>
      <c r="BD526" s="39" t="str">
        <f aca="false">IF(AO526&lt;&gt;1,"",IF(OR(AB526&lt;&gt;"",AD526&lt;&gt;""),4,IF(U526&lt;&gt;"",3,IF(T526&lt;&gt;"",2,1))))</f>
        <v/>
      </c>
      <c r="BE526" s="39" t="str">
        <f aca="false">IF(OR(AO526&lt;&gt;1,AR526=""),"",INDEX(NIV_REQ,AR526))</f>
        <v/>
      </c>
      <c r="BF526" s="39" t="str">
        <f aca="false">IF(BE526="","",MAX(BE526,IF(OR(K526="Oui",Z526="Oui"),4,1)))</f>
        <v/>
      </c>
      <c r="BG526" s="35" t="str">
        <f aca="false">IF(OR(BF526="",BD526=""),"",IF(BD526&gt;=BF526,1,0))</f>
        <v/>
      </c>
      <c r="BH526" s="38" t="str">
        <f aca="false">IF(BE526="","",IF(BE526&lt;2,"",IF(BE526=2,IF(AND(T526="",U526=""),"",MIN(T526,U526)),IF(U526="","",U526))))</f>
        <v/>
      </c>
      <c r="BI526" s="37" t="str">
        <f aca="false">IF(BH526="","",IF(OR(O526="",BH526=""),"",IF(BH526&lt;O526,"",ROUND(((NETWORKDAYS(O526,BH526,JoursFeries)-1)*(HFer-HOuv)+IF(NETWORKDAYS(BH526,BH526,JoursFeries),MEDIAN(MOD(BH526,1),HFer,HOuv),HFer)-IF(NETWORKDAYS(O526,O526,JoursFeries),MEDIAN(MOD(O526,1),HFer,HOuv),HOuv))*24,4))))</f>
        <v/>
      </c>
      <c r="BJ526" s="35" t="str">
        <f aca="false">IF(OR(BI526="",AR526=""),"",IF(BI526&lt;=INDEX(DELAI_ESC,AR526),1,0))</f>
        <v/>
      </c>
      <c r="BK526" s="38" t="str">
        <f aca="false">IF(AO526&lt;&gt;1,"",IF(AND(T526="",U526=""),"",MIN(T526,U526)))</f>
        <v/>
      </c>
      <c r="BL526" s="37" t="str">
        <f aca="false">IF(OR(BK526="",R526=""),"",IFERROR(ROUND(IF(OR(BK526="",R526=""),"",IF(R526&lt;BK526,"",ROUND(((NETWORKDAYS(BK526,R526,JoursFeries)-1)*(HFer-HOuv)+IF(NETWORKDAYS(R526,R526,JoursFeries),MEDIAN(MOD(R526,1),HFer,HOuv),HFer)-IF(NETWORKDAYS(BK526,BK526,JoursFeries),MEDIAN(MOD(BK526,1),HFer,HOuv),HOuv))*24,4)))/HJour,4),""))</f>
        <v/>
      </c>
      <c r="BM526" s="35" t="str">
        <f aca="false">IF(OR(AO526&lt;&gt;1,R526=""),"",IF(BD526=1,1,0))</f>
        <v/>
      </c>
      <c r="BN526" s="35" t="str">
        <f aca="false">IF(AO526&lt;&gt;1,"",IF(W526="Oui",1,0))</f>
        <v/>
      </c>
      <c r="BO526" s="35" t="str">
        <f aca="false">IF(AO526&lt;&gt;1,"",IF(X526&lt;&gt;"",1,0))</f>
        <v/>
      </c>
      <c r="BP526" s="35" t="str">
        <f aca="false">IF(AO526&lt;&gt;1,"",IF(Y526="Oui",1,0))</f>
        <v/>
      </c>
      <c r="BQ526" s="35" t="str">
        <f aca="true">IF(OR(AO526&lt;&gt;1,Z526&lt;&gt;"Oui"),"",IF(AB526="",IF(AND(AA526&lt;&gt;"",NOW()&gt;AA526),0,""),IF(AA526="","",IF(AB526&lt;=AA526,1,0))))</f>
        <v/>
      </c>
      <c r="BR526" s="38" t="str">
        <f aca="false">IF(OR(AO526&lt;&gt;1,K526&lt;&gt;"Oui",O526=""),"",IF(AC526="",O526+DORA_H_DET/24,IF(AC526-O526&lt;=DORA_H_DET/24,MIN(AC526+DORA_H_CLA/24,O526+DORA_H_DET/24),AC526+DORA_H_CLA/24)))</f>
        <v/>
      </c>
      <c r="BS526" s="35" t="str">
        <f aca="true">IF(BR526="","",IF(AD526="",IF(NOW()&gt;BR526,0,""),IF(AD526&lt;=BR526,1,0)))</f>
        <v/>
      </c>
      <c r="BT526" s="35" t="str">
        <f aca="true">IF(OR(BR526="",AD526=""),"",IF(AE526="",IF(NOW()&gt;AD526+DORA_H_INT/24,0,""),IF(AE526&lt;=AD526+DORA_H_INT/24,1,0)))</f>
        <v/>
      </c>
      <c r="BU526" s="35" t="str">
        <f aca="true">IF(OR(BR526="",AE526=""),"",IF(AF526="",IF(NOW()&gt;EDATE(AE526,DORA_M_FIN)+1,0,""),IF(AF526&lt;=EDATE(AE526,DORA_M_FIN),1,0)))</f>
        <v/>
      </c>
      <c r="BV526" s="35" t="str">
        <f aca="false">IF(BR526="","",IF(COUNT(BS526:BU526)=0,"",MIN(BS526:BU526)))</f>
        <v/>
      </c>
      <c r="BW526" s="40" t="str">
        <f aca="false">IF(AQ526&lt;&gt;1,"",IF(AND(AG526="",AH526=""),"",N(AG526)-N(AH526)))</f>
        <v/>
      </c>
      <c r="BX526" s="35" t="str">
        <f aca="true">IF(OR(AQ526&lt;&gt;1,AI526&lt;&gt;"Oui",AJ526=""),"",IF(AK526="",IF(NOW()&gt;AJ526+1,0,""),IF(AK526&lt;=AJ526,1,0)))</f>
        <v/>
      </c>
    </row>
    <row r="527" customFormat="false" ht="15" hidden="false" customHeight="false" outlineLevel="0" collapsed="false">
      <c r="B527" s="29"/>
      <c r="C527" s="29"/>
      <c r="D527" s="29"/>
      <c r="E527" s="29"/>
      <c r="F527" s="29"/>
      <c r="G527" s="29"/>
      <c r="H527" s="29"/>
      <c r="I527" s="29"/>
      <c r="J527" s="29"/>
      <c r="K527" s="29"/>
      <c r="L527" s="29"/>
      <c r="M527" s="29"/>
      <c r="N527" s="30"/>
      <c r="O527" s="30"/>
      <c r="P527" s="30"/>
      <c r="Q527" s="30"/>
      <c r="R527" s="30"/>
      <c r="S527" s="30"/>
      <c r="T527" s="30"/>
      <c r="U527" s="30"/>
      <c r="V527" s="31"/>
      <c r="W527" s="29"/>
      <c r="X527" s="29"/>
      <c r="Y527" s="29"/>
      <c r="Z527" s="29"/>
      <c r="AA527" s="30"/>
      <c r="AB527" s="30"/>
      <c r="AC527" s="30"/>
      <c r="AD527" s="30"/>
      <c r="AE527" s="30"/>
      <c r="AF527" s="32"/>
      <c r="AG527" s="33"/>
      <c r="AH527" s="33"/>
      <c r="AI527" s="29"/>
      <c r="AJ527" s="32"/>
      <c r="AK527" s="32"/>
      <c r="AL527" s="29"/>
      <c r="AN527" s="34" t="str">
        <f aca="false">IF($B527="","",IF(OR(C527="",D527="",E527="",G527="",I527="",J527="",L527="",O527="",P527=""),"Champ obligatoire manquant",IF(OR(AND(N527&lt;&gt;"",N527&gt;O527),O527&gt;P527,AND(Q527&lt;&gt;"",Q527&lt;P527),AND(R527&lt;&gt;"",R527&lt;P527),AND(S527&lt;&gt;"",S527&lt;R527),AND(S527&lt;&gt;"",R527=""),AND(T527&lt;&gt;"",T527&lt;O527),AND(U527&lt;&gt;"",U527&lt;O527)),"Chronologie incohérente",IF(AND(OR(L527="Résolu",L527="Clos"),R527=""),"Date de résolution manquante",IF(AND(L527="Clos",S527=""),"Date de clôture manquante",IF(AND(K527="Oui",AC527=""),"Classification DORA manquante","OK"))))))</f>
        <v/>
      </c>
      <c r="AO527" s="35" t="str">
        <f aca="false">IF($B527="","",IF(AND(C527="Incident",L527&lt;&gt;"Annulé"),1,0))</f>
        <v/>
      </c>
      <c r="AP527" s="35" t="str">
        <f aca="false">IF($B527="","",IF(AND(C527="Quasi-incident",L527&lt;&gt;"Annulé"),1,0))</f>
        <v/>
      </c>
      <c r="AQ527" s="35" t="str">
        <f aca="false">IF($B527="","",AO527+AP527)</f>
        <v/>
      </c>
      <c r="AR527" s="36" t="str">
        <f aca="false">IF(OR($B527="",J527=""),"",IFERROR(VALUE(LEFT(J527,1)),""))</f>
        <v/>
      </c>
      <c r="AS527" s="35" t="str">
        <f aca="false">IF(OR(AO527&lt;&gt;1,G527=""),"",IFERROR(IF(INDEX(L_SrcInterne,MATCH(G527,L_Sources,0))="Oui",1,0),""))</f>
        <v/>
      </c>
      <c r="AT527" s="37" t="str">
        <f aca="false">IF(AO527&lt;&gt;1,"",IFERROR(ROUND(IF(OR(N527="",O527=""),"",IF(O527&lt;N527,"",ROUND(((NETWORKDAYS(N527,O527,JoursFeries)-1)*(HFer-HOuv)+IF(NETWORKDAYS(O527,O527,JoursFeries),MEDIAN(MOD(O527,1),HFer,HOuv),HFer)-IF(NETWORKDAYS(N527,N527,JoursFeries),MEDIAN(MOD(N527,1),HFer,HOuv),HOuv))*24,4)))/HJour,4),""))</f>
        <v/>
      </c>
      <c r="AU527" s="37" t="str">
        <f aca="false">IF(AO527&lt;&gt;1,"",IF(OR(O527="",P527=""),"",IF(P527&lt;O527,"",ROUND(((NETWORKDAYS(O527,P527,JoursFeries)-1)*(HFer-HOuv)+IF(NETWORKDAYS(P527,P527,JoursFeries),MEDIAN(MOD(P527,1),HFer,HOuv),HFer)-IF(NETWORKDAYS(O527,O527,JoursFeries),MEDIAN(MOD(O527,1),HFer,HOuv),HOuv))*24,4))))</f>
        <v/>
      </c>
      <c r="AV527" s="37" t="str">
        <f aca="false">IF(AO527&lt;&gt;1,"",IF(OR(P527="",Q527=""),"",IF(Q527&lt;P527,"",ROUND(((NETWORKDAYS(P527,Q527,JoursFeries)-1)*(HFer-HOuv)+IF(NETWORKDAYS(Q527,Q527,JoursFeries),MEDIAN(MOD(Q527,1),HFer,HOuv),HFer)-IF(NETWORKDAYS(P527,P527,JoursFeries),MEDIAN(MOD(P527,1),HFer,HOuv),HOuv))*24,4))))</f>
        <v/>
      </c>
      <c r="AW527" s="37" t="str">
        <f aca="false">IF(AO527&lt;&gt;1,"",IFERROR(ROUND(IF(OR(P527="",R527=""),"",IF(R527&lt;P527,"",ROUND(((NETWORKDAYS(P527,R527,JoursFeries)-1)*(HFer-HOuv)+IF(NETWORKDAYS(R527,R527,JoursFeries),MEDIAN(MOD(R527,1),HFer,HOuv),HFer)-IF(NETWORKDAYS(P527,P527,JoursFeries),MEDIAN(MOD(P527,1),HFer,HOuv),HOuv))*24,4)))/HJour,4),""))</f>
        <v/>
      </c>
      <c r="AX527" s="37" t="str">
        <f aca="false">IF(AO527&lt;&gt;1,"",IFERROR(ROUND(IF(OR(P527="",S527=""),"",IF(S527&lt;P527,"",ROUND(((NETWORKDAYS(P527,S527,JoursFeries)-1)*(HFer-HOuv)+IF(NETWORKDAYS(S527,S527,JoursFeries),MEDIAN(MOD(S527,1),HFer,HOuv),HFer)-IF(NETWORKDAYS(P527,P527,JoursFeries),MEDIAN(MOD(P527,1),HFer,HOuv),HOuv))*24,4)))/HJour,4),""))</f>
        <v/>
      </c>
      <c r="AY527" s="36" t="str">
        <f aca="false">IF(OR(AO527&lt;&gt;1,AR527=""),"",INDEX(SLA_PEC,AR527))</f>
        <v/>
      </c>
      <c r="AZ527" s="35" t="str">
        <f aca="false">IF(OR(AV527="",AY527=""),"",IF(AV527&lt;=AY527,1,0))</f>
        <v/>
      </c>
      <c r="BA527" s="36" t="str">
        <f aca="false">IF(OR(AO527&lt;&gt;1,AR527=""),"",INDEX(SLA_RES,AR527))</f>
        <v/>
      </c>
      <c r="BB527" s="35" t="str">
        <f aca="false">IF(OR(AW527="",BA527=""),"",IF(AW527&lt;=BA527,1,0))</f>
        <v/>
      </c>
      <c r="BC527" s="38" t="str">
        <f aca="false">IF(OR(BA527="",P527=""),"",WORKDAY(INT(P527),BA527,JoursFeries)+MOD(P527,1))</f>
        <v/>
      </c>
      <c r="BD527" s="39" t="str">
        <f aca="false">IF(AO527&lt;&gt;1,"",IF(OR(AB527&lt;&gt;"",AD527&lt;&gt;""),4,IF(U527&lt;&gt;"",3,IF(T527&lt;&gt;"",2,1))))</f>
        <v/>
      </c>
      <c r="BE527" s="39" t="str">
        <f aca="false">IF(OR(AO527&lt;&gt;1,AR527=""),"",INDEX(NIV_REQ,AR527))</f>
        <v/>
      </c>
      <c r="BF527" s="39" t="str">
        <f aca="false">IF(BE527="","",MAX(BE527,IF(OR(K527="Oui",Z527="Oui"),4,1)))</f>
        <v/>
      </c>
      <c r="BG527" s="35" t="str">
        <f aca="false">IF(OR(BF527="",BD527=""),"",IF(BD527&gt;=BF527,1,0))</f>
        <v/>
      </c>
      <c r="BH527" s="38" t="str">
        <f aca="false">IF(BE527="","",IF(BE527&lt;2,"",IF(BE527=2,IF(AND(T527="",U527=""),"",MIN(T527,U527)),IF(U527="","",U527))))</f>
        <v/>
      </c>
      <c r="BI527" s="37" t="str">
        <f aca="false">IF(BH527="","",IF(OR(O527="",BH527=""),"",IF(BH527&lt;O527,"",ROUND(((NETWORKDAYS(O527,BH527,JoursFeries)-1)*(HFer-HOuv)+IF(NETWORKDAYS(BH527,BH527,JoursFeries),MEDIAN(MOD(BH527,1),HFer,HOuv),HFer)-IF(NETWORKDAYS(O527,O527,JoursFeries),MEDIAN(MOD(O527,1),HFer,HOuv),HOuv))*24,4))))</f>
        <v/>
      </c>
      <c r="BJ527" s="35" t="str">
        <f aca="false">IF(OR(BI527="",AR527=""),"",IF(BI527&lt;=INDEX(DELAI_ESC,AR527),1,0))</f>
        <v/>
      </c>
      <c r="BK527" s="38" t="str">
        <f aca="false">IF(AO527&lt;&gt;1,"",IF(AND(T527="",U527=""),"",MIN(T527,U527)))</f>
        <v/>
      </c>
      <c r="BL527" s="37" t="str">
        <f aca="false">IF(OR(BK527="",R527=""),"",IFERROR(ROUND(IF(OR(BK527="",R527=""),"",IF(R527&lt;BK527,"",ROUND(((NETWORKDAYS(BK527,R527,JoursFeries)-1)*(HFer-HOuv)+IF(NETWORKDAYS(R527,R527,JoursFeries),MEDIAN(MOD(R527,1),HFer,HOuv),HFer)-IF(NETWORKDAYS(BK527,BK527,JoursFeries),MEDIAN(MOD(BK527,1),HFer,HOuv),HOuv))*24,4)))/HJour,4),""))</f>
        <v/>
      </c>
      <c r="BM527" s="35" t="str">
        <f aca="false">IF(OR(AO527&lt;&gt;1,R527=""),"",IF(BD527=1,1,0))</f>
        <v/>
      </c>
      <c r="BN527" s="35" t="str">
        <f aca="false">IF(AO527&lt;&gt;1,"",IF(W527="Oui",1,0))</f>
        <v/>
      </c>
      <c r="BO527" s="35" t="str">
        <f aca="false">IF(AO527&lt;&gt;1,"",IF(X527&lt;&gt;"",1,0))</f>
        <v/>
      </c>
      <c r="BP527" s="35" t="str">
        <f aca="false">IF(AO527&lt;&gt;1,"",IF(Y527="Oui",1,0))</f>
        <v/>
      </c>
      <c r="BQ527" s="35" t="str">
        <f aca="true">IF(OR(AO527&lt;&gt;1,Z527&lt;&gt;"Oui"),"",IF(AB527="",IF(AND(AA527&lt;&gt;"",NOW()&gt;AA527),0,""),IF(AA527="","",IF(AB527&lt;=AA527,1,0))))</f>
        <v/>
      </c>
      <c r="BR527" s="38" t="str">
        <f aca="false">IF(OR(AO527&lt;&gt;1,K527&lt;&gt;"Oui",O527=""),"",IF(AC527="",O527+DORA_H_DET/24,IF(AC527-O527&lt;=DORA_H_DET/24,MIN(AC527+DORA_H_CLA/24,O527+DORA_H_DET/24),AC527+DORA_H_CLA/24)))</f>
        <v/>
      </c>
      <c r="BS527" s="35" t="str">
        <f aca="true">IF(BR527="","",IF(AD527="",IF(NOW()&gt;BR527,0,""),IF(AD527&lt;=BR527,1,0)))</f>
        <v/>
      </c>
      <c r="BT527" s="35" t="str">
        <f aca="true">IF(OR(BR527="",AD527=""),"",IF(AE527="",IF(NOW()&gt;AD527+DORA_H_INT/24,0,""),IF(AE527&lt;=AD527+DORA_H_INT/24,1,0)))</f>
        <v/>
      </c>
      <c r="BU527" s="35" t="str">
        <f aca="true">IF(OR(BR527="",AE527=""),"",IF(AF527="",IF(NOW()&gt;EDATE(AE527,DORA_M_FIN)+1,0,""),IF(AF527&lt;=EDATE(AE527,DORA_M_FIN),1,0)))</f>
        <v/>
      </c>
      <c r="BV527" s="35" t="str">
        <f aca="false">IF(BR527="","",IF(COUNT(BS527:BU527)=0,"",MIN(BS527:BU527)))</f>
        <v/>
      </c>
      <c r="BW527" s="40" t="str">
        <f aca="false">IF(AQ527&lt;&gt;1,"",IF(AND(AG527="",AH527=""),"",N(AG527)-N(AH527)))</f>
        <v/>
      </c>
      <c r="BX527" s="35" t="str">
        <f aca="true">IF(OR(AQ527&lt;&gt;1,AI527&lt;&gt;"Oui",AJ527=""),"",IF(AK527="",IF(NOW()&gt;AJ527+1,0,""),IF(AK527&lt;=AJ527,1,0)))</f>
        <v/>
      </c>
    </row>
    <row r="528" customFormat="false" ht="15" hidden="false" customHeight="false" outlineLevel="0" collapsed="false">
      <c r="B528" s="29"/>
      <c r="C528" s="29"/>
      <c r="D528" s="29"/>
      <c r="E528" s="29"/>
      <c r="F528" s="29"/>
      <c r="G528" s="29"/>
      <c r="H528" s="29"/>
      <c r="I528" s="29"/>
      <c r="J528" s="29"/>
      <c r="K528" s="29"/>
      <c r="L528" s="29"/>
      <c r="M528" s="29"/>
      <c r="N528" s="30"/>
      <c r="O528" s="30"/>
      <c r="P528" s="30"/>
      <c r="Q528" s="30"/>
      <c r="R528" s="30"/>
      <c r="S528" s="30"/>
      <c r="T528" s="30"/>
      <c r="U528" s="30"/>
      <c r="V528" s="31"/>
      <c r="W528" s="29"/>
      <c r="X528" s="29"/>
      <c r="Y528" s="29"/>
      <c r="Z528" s="29"/>
      <c r="AA528" s="30"/>
      <c r="AB528" s="30"/>
      <c r="AC528" s="30"/>
      <c r="AD528" s="30"/>
      <c r="AE528" s="30"/>
      <c r="AF528" s="32"/>
      <c r="AG528" s="33"/>
      <c r="AH528" s="33"/>
      <c r="AI528" s="29"/>
      <c r="AJ528" s="32"/>
      <c r="AK528" s="32"/>
      <c r="AL528" s="29"/>
      <c r="AN528" s="34" t="str">
        <f aca="false">IF($B528="","",IF(OR(C528="",D528="",E528="",G528="",I528="",J528="",L528="",O528="",P528=""),"Champ obligatoire manquant",IF(OR(AND(N528&lt;&gt;"",N528&gt;O528),O528&gt;P528,AND(Q528&lt;&gt;"",Q528&lt;P528),AND(R528&lt;&gt;"",R528&lt;P528),AND(S528&lt;&gt;"",S528&lt;R528),AND(S528&lt;&gt;"",R528=""),AND(T528&lt;&gt;"",T528&lt;O528),AND(U528&lt;&gt;"",U528&lt;O528)),"Chronologie incohérente",IF(AND(OR(L528="Résolu",L528="Clos"),R528=""),"Date de résolution manquante",IF(AND(L528="Clos",S528=""),"Date de clôture manquante",IF(AND(K528="Oui",AC528=""),"Classification DORA manquante","OK"))))))</f>
        <v/>
      </c>
      <c r="AO528" s="35" t="str">
        <f aca="false">IF($B528="","",IF(AND(C528="Incident",L528&lt;&gt;"Annulé"),1,0))</f>
        <v/>
      </c>
      <c r="AP528" s="35" t="str">
        <f aca="false">IF($B528="","",IF(AND(C528="Quasi-incident",L528&lt;&gt;"Annulé"),1,0))</f>
        <v/>
      </c>
      <c r="AQ528" s="35" t="str">
        <f aca="false">IF($B528="","",AO528+AP528)</f>
        <v/>
      </c>
      <c r="AR528" s="36" t="str">
        <f aca="false">IF(OR($B528="",J528=""),"",IFERROR(VALUE(LEFT(J528,1)),""))</f>
        <v/>
      </c>
      <c r="AS528" s="35" t="str">
        <f aca="false">IF(OR(AO528&lt;&gt;1,G528=""),"",IFERROR(IF(INDEX(L_SrcInterne,MATCH(G528,L_Sources,0))="Oui",1,0),""))</f>
        <v/>
      </c>
      <c r="AT528" s="37" t="str">
        <f aca="false">IF(AO528&lt;&gt;1,"",IFERROR(ROUND(IF(OR(N528="",O528=""),"",IF(O528&lt;N528,"",ROUND(((NETWORKDAYS(N528,O528,JoursFeries)-1)*(HFer-HOuv)+IF(NETWORKDAYS(O528,O528,JoursFeries),MEDIAN(MOD(O528,1),HFer,HOuv),HFer)-IF(NETWORKDAYS(N528,N528,JoursFeries),MEDIAN(MOD(N528,1),HFer,HOuv),HOuv))*24,4)))/HJour,4),""))</f>
        <v/>
      </c>
      <c r="AU528" s="37" t="str">
        <f aca="false">IF(AO528&lt;&gt;1,"",IF(OR(O528="",P528=""),"",IF(P528&lt;O528,"",ROUND(((NETWORKDAYS(O528,P528,JoursFeries)-1)*(HFer-HOuv)+IF(NETWORKDAYS(P528,P528,JoursFeries),MEDIAN(MOD(P528,1),HFer,HOuv),HFer)-IF(NETWORKDAYS(O528,O528,JoursFeries),MEDIAN(MOD(O528,1),HFer,HOuv),HOuv))*24,4))))</f>
        <v/>
      </c>
      <c r="AV528" s="37" t="str">
        <f aca="false">IF(AO528&lt;&gt;1,"",IF(OR(P528="",Q528=""),"",IF(Q528&lt;P528,"",ROUND(((NETWORKDAYS(P528,Q528,JoursFeries)-1)*(HFer-HOuv)+IF(NETWORKDAYS(Q528,Q528,JoursFeries),MEDIAN(MOD(Q528,1),HFer,HOuv),HFer)-IF(NETWORKDAYS(P528,P528,JoursFeries),MEDIAN(MOD(P528,1),HFer,HOuv),HOuv))*24,4))))</f>
        <v/>
      </c>
      <c r="AW528" s="37" t="str">
        <f aca="false">IF(AO528&lt;&gt;1,"",IFERROR(ROUND(IF(OR(P528="",R528=""),"",IF(R528&lt;P528,"",ROUND(((NETWORKDAYS(P528,R528,JoursFeries)-1)*(HFer-HOuv)+IF(NETWORKDAYS(R528,R528,JoursFeries),MEDIAN(MOD(R528,1),HFer,HOuv),HFer)-IF(NETWORKDAYS(P528,P528,JoursFeries),MEDIAN(MOD(P528,1),HFer,HOuv),HOuv))*24,4)))/HJour,4),""))</f>
        <v/>
      </c>
      <c r="AX528" s="37" t="str">
        <f aca="false">IF(AO528&lt;&gt;1,"",IFERROR(ROUND(IF(OR(P528="",S528=""),"",IF(S528&lt;P528,"",ROUND(((NETWORKDAYS(P528,S528,JoursFeries)-1)*(HFer-HOuv)+IF(NETWORKDAYS(S528,S528,JoursFeries),MEDIAN(MOD(S528,1),HFer,HOuv),HFer)-IF(NETWORKDAYS(P528,P528,JoursFeries),MEDIAN(MOD(P528,1),HFer,HOuv),HOuv))*24,4)))/HJour,4),""))</f>
        <v/>
      </c>
      <c r="AY528" s="36" t="str">
        <f aca="false">IF(OR(AO528&lt;&gt;1,AR528=""),"",INDEX(SLA_PEC,AR528))</f>
        <v/>
      </c>
      <c r="AZ528" s="35" t="str">
        <f aca="false">IF(OR(AV528="",AY528=""),"",IF(AV528&lt;=AY528,1,0))</f>
        <v/>
      </c>
      <c r="BA528" s="36" t="str">
        <f aca="false">IF(OR(AO528&lt;&gt;1,AR528=""),"",INDEX(SLA_RES,AR528))</f>
        <v/>
      </c>
      <c r="BB528" s="35" t="str">
        <f aca="false">IF(OR(AW528="",BA528=""),"",IF(AW528&lt;=BA528,1,0))</f>
        <v/>
      </c>
      <c r="BC528" s="38" t="str">
        <f aca="false">IF(OR(BA528="",P528=""),"",WORKDAY(INT(P528),BA528,JoursFeries)+MOD(P528,1))</f>
        <v/>
      </c>
      <c r="BD528" s="39" t="str">
        <f aca="false">IF(AO528&lt;&gt;1,"",IF(OR(AB528&lt;&gt;"",AD528&lt;&gt;""),4,IF(U528&lt;&gt;"",3,IF(T528&lt;&gt;"",2,1))))</f>
        <v/>
      </c>
      <c r="BE528" s="39" t="str">
        <f aca="false">IF(OR(AO528&lt;&gt;1,AR528=""),"",INDEX(NIV_REQ,AR528))</f>
        <v/>
      </c>
      <c r="BF528" s="39" t="str">
        <f aca="false">IF(BE528="","",MAX(BE528,IF(OR(K528="Oui",Z528="Oui"),4,1)))</f>
        <v/>
      </c>
      <c r="BG528" s="35" t="str">
        <f aca="false">IF(OR(BF528="",BD528=""),"",IF(BD528&gt;=BF528,1,0))</f>
        <v/>
      </c>
      <c r="BH528" s="38" t="str">
        <f aca="false">IF(BE528="","",IF(BE528&lt;2,"",IF(BE528=2,IF(AND(T528="",U528=""),"",MIN(T528,U528)),IF(U528="","",U528))))</f>
        <v/>
      </c>
      <c r="BI528" s="37" t="str">
        <f aca="false">IF(BH528="","",IF(OR(O528="",BH528=""),"",IF(BH528&lt;O528,"",ROUND(((NETWORKDAYS(O528,BH528,JoursFeries)-1)*(HFer-HOuv)+IF(NETWORKDAYS(BH528,BH528,JoursFeries),MEDIAN(MOD(BH528,1),HFer,HOuv),HFer)-IF(NETWORKDAYS(O528,O528,JoursFeries),MEDIAN(MOD(O528,1),HFer,HOuv),HOuv))*24,4))))</f>
        <v/>
      </c>
      <c r="BJ528" s="35" t="str">
        <f aca="false">IF(OR(BI528="",AR528=""),"",IF(BI528&lt;=INDEX(DELAI_ESC,AR528),1,0))</f>
        <v/>
      </c>
      <c r="BK528" s="38" t="str">
        <f aca="false">IF(AO528&lt;&gt;1,"",IF(AND(T528="",U528=""),"",MIN(T528,U528)))</f>
        <v/>
      </c>
      <c r="BL528" s="37" t="str">
        <f aca="false">IF(OR(BK528="",R528=""),"",IFERROR(ROUND(IF(OR(BK528="",R528=""),"",IF(R528&lt;BK528,"",ROUND(((NETWORKDAYS(BK528,R528,JoursFeries)-1)*(HFer-HOuv)+IF(NETWORKDAYS(R528,R528,JoursFeries),MEDIAN(MOD(R528,1),HFer,HOuv),HFer)-IF(NETWORKDAYS(BK528,BK528,JoursFeries),MEDIAN(MOD(BK528,1),HFer,HOuv),HOuv))*24,4)))/HJour,4),""))</f>
        <v/>
      </c>
      <c r="BM528" s="35" t="str">
        <f aca="false">IF(OR(AO528&lt;&gt;1,R528=""),"",IF(BD528=1,1,0))</f>
        <v/>
      </c>
      <c r="BN528" s="35" t="str">
        <f aca="false">IF(AO528&lt;&gt;1,"",IF(W528="Oui",1,0))</f>
        <v/>
      </c>
      <c r="BO528" s="35" t="str">
        <f aca="false">IF(AO528&lt;&gt;1,"",IF(X528&lt;&gt;"",1,0))</f>
        <v/>
      </c>
      <c r="BP528" s="35" t="str">
        <f aca="false">IF(AO528&lt;&gt;1,"",IF(Y528="Oui",1,0))</f>
        <v/>
      </c>
      <c r="BQ528" s="35" t="str">
        <f aca="true">IF(OR(AO528&lt;&gt;1,Z528&lt;&gt;"Oui"),"",IF(AB528="",IF(AND(AA528&lt;&gt;"",NOW()&gt;AA528),0,""),IF(AA528="","",IF(AB528&lt;=AA528,1,0))))</f>
        <v/>
      </c>
      <c r="BR528" s="38" t="str">
        <f aca="false">IF(OR(AO528&lt;&gt;1,K528&lt;&gt;"Oui",O528=""),"",IF(AC528="",O528+DORA_H_DET/24,IF(AC528-O528&lt;=DORA_H_DET/24,MIN(AC528+DORA_H_CLA/24,O528+DORA_H_DET/24),AC528+DORA_H_CLA/24)))</f>
        <v/>
      </c>
      <c r="BS528" s="35" t="str">
        <f aca="true">IF(BR528="","",IF(AD528="",IF(NOW()&gt;BR528,0,""),IF(AD528&lt;=BR528,1,0)))</f>
        <v/>
      </c>
      <c r="BT528" s="35" t="str">
        <f aca="true">IF(OR(BR528="",AD528=""),"",IF(AE528="",IF(NOW()&gt;AD528+DORA_H_INT/24,0,""),IF(AE528&lt;=AD528+DORA_H_INT/24,1,0)))</f>
        <v/>
      </c>
      <c r="BU528" s="35" t="str">
        <f aca="true">IF(OR(BR528="",AE528=""),"",IF(AF528="",IF(NOW()&gt;EDATE(AE528,DORA_M_FIN)+1,0,""),IF(AF528&lt;=EDATE(AE528,DORA_M_FIN),1,0)))</f>
        <v/>
      </c>
      <c r="BV528" s="35" t="str">
        <f aca="false">IF(BR528="","",IF(COUNT(BS528:BU528)=0,"",MIN(BS528:BU528)))</f>
        <v/>
      </c>
      <c r="BW528" s="40" t="str">
        <f aca="false">IF(AQ528&lt;&gt;1,"",IF(AND(AG528="",AH528=""),"",N(AG528)-N(AH528)))</f>
        <v/>
      </c>
      <c r="BX528" s="35" t="str">
        <f aca="true">IF(OR(AQ528&lt;&gt;1,AI528&lt;&gt;"Oui",AJ528=""),"",IF(AK528="",IF(NOW()&gt;AJ528+1,0,""),IF(AK528&lt;=AJ528,1,0)))</f>
        <v/>
      </c>
    </row>
    <row r="529" customFormat="false" ht="15" hidden="false" customHeight="false" outlineLevel="0" collapsed="false">
      <c r="B529" s="29"/>
      <c r="C529" s="29"/>
      <c r="D529" s="29"/>
      <c r="E529" s="29"/>
      <c r="F529" s="29"/>
      <c r="G529" s="29"/>
      <c r="H529" s="29"/>
      <c r="I529" s="29"/>
      <c r="J529" s="29"/>
      <c r="K529" s="29"/>
      <c r="L529" s="29"/>
      <c r="M529" s="29"/>
      <c r="N529" s="30"/>
      <c r="O529" s="30"/>
      <c r="P529" s="30"/>
      <c r="Q529" s="30"/>
      <c r="R529" s="30"/>
      <c r="S529" s="30"/>
      <c r="T529" s="30"/>
      <c r="U529" s="30"/>
      <c r="V529" s="31"/>
      <c r="W529" s="29"/>
      <c r="X529" s="29"/>
      <c r="Y529" s="29"/>
      <c r="Z529" s="29"/>
      <c r="AA529" s="30"/>
      <c r="AB529" s="30"/>
      <c r="AC529" s="30"/>
      <c r="AD529" s="30"/>
      <c r="AE529" s="30"/>
      <c r="AF529" s="32"/>
      <c r="AG529" s="33"/>
      <c r="AH529" s="33"/>
      <c r="AI529" s="29"/>
      <c r="AJ529" s="32"/>
      <c r="AK529" s="32"/>
      <c r="AL529" s="29"/>
      <c r="AN529" s="34" t="str">
        <f aca="false">IF($B529="","",IF(OR(C529="",D529="",E529="",G529="",I529="",J529="",L529="",O529="",P529=""),"Champ obligatoire manquant",IF(OR(AND(N529&lt;&gt;"",N529&gt;O529),O529&gt;P529,AND(Q529&lt;&gt;"",Q529&lt;P529),AND(R529&lt;&gt;"",R529&lt;P529),AND(S529&lt;&gt;"",S529&lt;R529),AND(S529&lt;&gt;"",R529=""),AND(T529&lt;&gt;"",T529&lt;O529),AND(U529&lt;&gt;"",U529&lt;O529)),"Chronologie incohérente",IF(AND(OR(L529="Résolu",L529="Clos"),R529=""),"Date de résolution manquante",IF(AND(L529="Clos",S529=""),"Date de clôture manquante",IF(AND(K529="Oui",AC529=""),"Classification DORA manquante","OK"))))))</f>
        <v/>
      </c>
      <c r="AO529" s="35" t="str">
        <f aca="false">IF($B529="","",IF(AND(C529="Incident",L529&lt;&gt;"Annulé"),1,0))</f>
        <v/>
      </c>
      <c r="AP529" s="35" t="str">
        <f aca="false">IF($B529="","",IF(AND(C529="Quasi-incident",L529&lt;&gt;"Annulé"),1,0))</f>
        <v/>
      </c>
      <c r="AQ529" s="35" t="str">
        <f aca="false">IF($B529="","",AO529+AP529)</f>
        <v/>
      </c>
      <c r="AR529" s="36" t="str">
        <f aca="false">IF(OR($B529="",J529=""),"",IFERROR(VALUE(LEFT(J529,1)),""))</f>
        <v/>
      </c>
      <c r="AS529" s="35" t="str">
        <f aca="false">IF(OR(AO529&lt;&gt;1,G529=""),"",IFERROR(IF(INDEX(L_SrcInterne,MATCH(G529,L_Sources,0))="Oui",1,0),""))</f>
        <v/>
      </c>
      <c r="AT529" s="37" t="str">
        <f aca="false">IF(AO529&lt;&gt;1,"",IFERROR(ROUND(IF(OR(N529="",O529=""),"",IF(O529&lt;N529,"",ROUND(((NETWORKDAYS(N529,O529,JoursFeries)-1)*(HFer-HOuv)+IF(NETWORKDAYS(O529,O529,JoursFeries),MEDIAN(MOD(O529,1),HFer,HOuv),HFer)-IF(NETWORKDAYS(N529,N529,JoursFeries),MEDIAN(MOD(N529,1),HFer,HOuv),HOuv))*24,4)))/HJour,4),""))</f>
        <v/>
      </c>
      <c r="AU529" s="37" t="str">
        <f aca="false">IF(AO529&lt;&gt;1,"",IF(OR(O529="",P529=""),"",IF(P529&lt;O529,"",ROUND(((NETWORKDAYS(O529,P529,JoursFeries)-1)*(HFer-HOuv)+IF(NETWORKDAYS(P529,P529,JoursFeries),MEDIAN(MOD(P529,1),HFer,HOuv),HFer)-IF(NETWORKDAYS(O529,O529,JoursFeries),MEDIAN(MOD(O529,1),HFer,HOuv),HOuv))*24,4))))</f>
        <v/>
      </c>
      <c r="AV529" s="37" t="str">
        <f aca="false">IF(AO529&lt;&gt;1,"",IF(OR(P529="",Q529=""),"",IF(Q529&lt;P529,"",ROUND(((NETWORKDAYS(P529,Q529,JoursFeries)-1)*(HFer-HOuv)+IF(NETWORKDAYS(Q529,Q529,JoursFeries),MEDIAN(MOD(Q529,1),HFer,HOuv),HFer)-IF(NETWORKDAYS(P529,P529,JoursFeries),MEDIAN(MOD(P529,1),HFer,HOuv),HOuv))*24,4))))</f>
        <v/>
      </c>
      <c r="AW529" s="37" t="str">
        <f aca="false">IF(AO529&lt;&gt;1,"",IFERROR(ROUND(IF(OR(P529="",R529=""),"",IF(R529&lt;P529,"",ROUND(((NETWORKDAYS(P529,R529,JoursFeries)-1)*(HFer-HOuv)+IF(NETWORKDAYS(R529,R529,JoursFeries),MEDIAN(MOD(R529,1),HFer,HOuv),HFer)-IF(NETWORKDAYS(P529,P529,JoursFeries),MEDIAN(MOD(P529,1),HFer,HOuv),HOuv))*24,4)))/HJour,4),""))</f>
        <v/>
      </c>
      <c r="AX529" s="37" t="str">
        <f aca="false">IF(AO529&lt;&gt;1,"",IFERROR(ROUND(IF(OR(P529="",S529=""),"",IF(S529&lt;P529,"",ROUND(((NETWORKDAYS(P529,S529,JoursFeries)-1)*(HFer-HOuv)+IF(NETWORKDAYS(S529,S529,JoursFeries),MEDIAN(MOD(S529,1),HFer,HOuv),HFer)-IF(NETWORKDAYS(P529,P529,JoursFeries),MEDIAN(MOD(P529,1),HFer,HOuv),HOuv))*24,4)))/HJour,4),""))</f>
        <v/>
      </c>
      <c r="AY529" s="36" t="str">
        <f aca="false">IF(OR(AO529&lt;&gt;1,AR529=""),"",INDEX(SLA_PEC,AR529))</f>
        <v/>
      </c>
      <c r="AZ529" s="35" t="str">
        <f aca="false">IF(OR(AV529="",AY529=""),"",IF(AV529&lt;=AY529,1,0))</f>
        <v/>
      </c>
      <c r="BA529" s="36" t="str">
        <f aca="false">IF(OR(AO529&lt;&gt;1,AR529=""),"",INDEX(SLA_RES,AR529))</f>
        <v/>
      </c>
      <c r="BB529" s="35" t="str">
        <f aca="false">IF(OR(AW529="",BA529=""),"",IF(AW529&lt;=BA529,1,0))</f>
        <v/>
      </c>
      <c r="BC529" s="38" t="str">
        <f aca="false">IF(OR(BA529="",P529=""),"",WORKDAY(INT(P529),BA529,JoursFeries)+MOD(P529,1))</f>
        <v/>
      </c>
      <c r="BD529" s="39" t="str">
        <f aca="false">IF(AO529&lt;&gt;1,"",IF(OR(AB529&lt;&gt;"",AD529&lt;&gt;""),4,IF(U529&lt;&gt;"",3,IF(T529&lt;&gt;"",2,1))))</f>
        <v/>
      </c>
      <c r="BE529" s="39" t="str">
        <f aca="false">IF(OR(AO529&lt;&gt;1,AR529=""),"",INDEX(NIV_REQ,AR529))</f>
        <v/>
      </c>
      <c r="BF529" s="39" t="str">
        <f aca="false">IF(BE529="","",MAX(BE529,IF(OR(K529="Oui",Z529="Oui"),4,1)))</f>
        <v/>
      </c>
      <c r="BG529" s="35" t="str">
        <f aca="false">IF(OR(BF529="",BD529=""),"",IF(BD529&gt;=BF529,1,0))</f>
        <v/>
      </c>
      <c r="BH529" s="38" t="str">
        <f aca="false">IF(BE529="","",IF(BE529&lt;2,"",IF(BE529=2,IF(AND(T529="",U529=""),"",MIN(T529,U529)),IF(U529="","",U529))))</f>
        <v/>
      </c>
      <c r="BI529" s="37" t="str">
        <f aca="false">IF(BH529="","",IF(OR(O529="",BH529=""),"",IF(BH529&lt;O529,"",ROUND(((NETWORKDAYS(O529,BH529,JoursFeries)-1)*(HFer-HOuv)+IF(NETWORKDAYS(BH529,BH529,JoursFeries),MEDIAN(MOD(BH529,1),HFer,HOuv),HFer)-IF(NETWORKDAYS(O529,O529,JoursFeries),MEDIAN(MOD(O529,1),HFer,HOuv),HOuv))*24,4))))</f>
        <v/>
      </c>
      <c r="BJ529" s="35" t="str">
        <f aca="false">IF(OR(BI529="",AR529=""),"",IF(BI529&lt;=INDEX(DELAI_ESC,AR529),1,0))</f>
        <v/>
      </c>
      <c r="BK529" s="38" t="str">
        <f aca="false">IF(AO529&lt;&gt;1,"",IF(AND(T529="",U529=""),"",MIN(T529,U529)))</f>
        <v/>
      </c>
      <c r="BL529" s="37" t="str">
        <f aca="false">IF(OR(BK529="",R529=""),"",IFERROR(ROUND(IF(OR(BK529="",R529=""),"",IF(R529&lt;BK529,"",ROUND(((NETWORKDAYS(BK529,R529,JoursFeries)-1)*(HFer-HOuv)+IF(NETWORKDAYS(R529,R529,JoursFeries),MEDIAN(MOD(R529,1),HFer,HOuv),HFer)-IF(NETWORKDAYS(BK529,BK529,JoursFeries),MEDIAN(MOD(BK529,1),HFer,HOuv),HOuv))*24,4)))/HJour,4),""))</f>
        <v/>
      </c>
      <c r="BM529" s="35" t="str">
        <f aca="false">IF(OR(AO529&lt;&gt;1,R529=""),"",IF(BD529=1,1,0))</f>
        <v/>
      </c>
      <c r="BN529" s="35" t="str">
        <f aca="false">IF(AO529&lt;&gt;1,"",IF(W529="Oui",1,0))</f>
        <v/>
      </c>
      <c r="BO529" s="35" t="str">
        <f aca="false">IF(AO529&lt;&gt;1,"",IF(X529&lt;&gt;"",1,0))</f>
        <v/>
      </c>
      <c r="BP529" s="35" t="str">
        <f aca="false">IF(AO529&lt;&gt;1,"",IF(Y529="Oui",1,0))</f>
        <v/>
      </c>
      <c r="BQ529" s="35" t="str">
        <f aca="true">IF(OR(AO529&lt;&gt;1,Z529&lt;&gt;"Oui"),"",IF(AB529="",IF(AND(AA529&lt;&gt;"",NOW()&gt;AA529),0,""),IF(AA529="","",IF(AB529&lt;=AA529,1,0))))</f>
        <v/>
      </c>
      <c r="BR529" s="38" t="str">
        <f aca="false">IF(OR(AO529&lt;&gt;1,K529&lt;&gt;"Oui",O529=""),"",IF(AC529="",O529+DORA_H_DET/24,IF(AC529-O529&lt;=DORA_H_DET/24,MIN(AC529+DORA_H_CLA/24,O529+DORA_H_DET/24),AC529+DORA_H_CLA/24)))</f>
        <v/>
      </c>
      <c r="BS529" s="35" t="str">
        <f aca="true">IF(BR529="","",IF(AD529="",IF(NOW()&gt;BR529,0,""),IF(AD529&lt;=BR529,1,0)))</f>
        <v/>
      </c>
      <c r="BT529" s="35" t="str">
        <f aca="true">IF(OR(BR529="",AD529=""),"",IF(AE529="",IF(NOW()&gt;AD529+DORA_H_INT/24,0,""),IF(AE529&lt;=AD529+DORA_H_INT/24,1,0)))</f>
        <v/>
      </c>
      <c r="BU529" s="35" t="str">
        <f aca="true">IF(OR(BR529="",AE529=""),"",IF(AF529="",IF(NOW()&gt;EDATE(AE529,DORA_M_FIN)+1,0,""),IF(AF529&lt;=EDATE(AE529,DORA_M_FIN),1,0)))</f>
        <v/>
      </c>
      <c r="BV529" s="35" t="str">
        <f aca="false">IF(BR529="","",IF(COUNT(BS529:BU529)=0,"",MIN(BS529:BU529)))</f>
        <v/>
      </c>
      <c r="BW529" s="40" t="str">
        <f aca="false">IF(AQ529&lt;&gt;1,"",IF(AND(AG529="",AH529=""),"",N(AG529)-N(AH529)))</f>
        <v/>
      </c>
      <c r="BX529" s="35" t="str">
        <f aca="true">IF(OR(AQ529&lt;&gt;1,AI529&lt;&gt;"Oui",AJ529=""),"",IF(AK529="",IF(NOW()&gt;AJ529+1,0,""),IF(AK529&lt;=AJ529,1,0)))</f>
        <v/>
      </c>
    </row>
    <row r="530" customFormat="false" ht="15" hidden="false" customHeight="false" outlineLevel="0" collapsed="false">
      <c r="B530" s="29"/>
      <c r="C530" s="29"/>
      <c r="D530" s="29"/>
      <c r="E530" s="29"/>
      <c r="F530" s="29"/>
      <c r="G530" s="29"/>
      <c r="H530" s="29"/>
      <c r="I530" s="29"/>
      <c r="J530" s="29"/>
      <c r="K530" s="29"/>
      <c r="L530" s="29"/>
      <c r="M530" s="29"/>
      <c r="N530" s="30"/>
      <c r="O530" s="30"/>
      <c r="P530" s="30"/>
      <c r="Q530" s="30"/>
      <c r="R530" s="30"/>
      <c r="S530" s="30"/>
      <c r="T530" s="30"/>
      <c r="U530" s="30"/>
      <c r="V530" s="31"/>
      <c r="W530" s="29"/>
      <c r="X530" s="29"/>
      <c r="Y530" s="29"/>
      <c r="Z530" s="29"/>
      <c r="AA530" s="30"/>
      <c r="AB530" s="30"/>
      <c r="AC530" s="30"/>
      <c r="AD530" s="30"/>
      <c r="AE530" s="30"/>
      <c r="AF530" s="32"/>
      <c r="AG530" s="33"/>
      <c r="AH530" s="33"/>
      <c r="AI530" s="29"/>
      <c r="AJ530" s="32"/>
      <c r="AK530" s="32"/>
      <c r="AL530" s="29"/>
      <c r="AN530" s="34" t="str">
        <f aca="false">IF($B530="","",IF(OR(C530="",D530="",E530="",G530="",I530="",J530="",L530="",O530="",P530=""),"Champ obligatoire manquant",IF(OR(AND(N530&lt;&gt;"",N530&gt;O530),O530&gt;P530,AND(Q530&lt;&gt;"",Q530&lt;P530),AND(R530&lt;&gt;"",R530&lt;P530),AND(S530&lt;&gt;"",S530&lt;R530),AND(S530&lt;&gt;"",R530=""),AND(T530&lt;&gt;"",T530&lt;O530),AND(U530&lt;&gt;"",U530&lt;O530)),"Chronologie incohérente",IF(AND(OR(L530="Résolu",L530="Clos"),R530=""),"Date de résolution manquante",IF(AND(L530="Clos",S530=""),"Date de clôture manquante",IF(AND(K530="Oui",AC530=""),"Classification DORA manquante","OK"))))))</f>
        <v/>
      </c>
      <c r="AO530" s="35" t="str">
        <f aca="false">IF($B530="","",IF(AND(C530="Incident",L530&lt;&gt;"Annulé"),1,0))</f>
        <v/>
      </c>
      <c r="AP530" s="35" t="str">
        <f aca="false">IF($B530="","",IF(AND(C530="Quasi-incident",L530&lt;&gt;"Annulé"),1,0))</f>
        <v/>
      </c>
      <c r="AQ530" s="35" t="str">
        <f aca="false">IF($B530="","",AO530+AP530)</f>
        <v/>
      </c>
      <c r="AR530" s="36" t="str">
        <f aca="false">IF(OR($B530="",J530=""),"",IFERROR(VALUE(LEFT(J530,1)),""))</f>
        <v/>
      </c>
      <c r="AS530" s="35" t="str">
        <f aca="false">IF(OR(AO530&lt;&gt;1,G530=""),"",IFERROR(IF(INDEX(L_SrcInterne,MATCH(G530,L_Sources,0))="Oui",1,0),""))</f>
        <v/>
      </c>
      <c r="AT530" s="37" t="str">
        <f aca="false">IF(AO530&lt;&gt;1,"",IFERROR(ROUND(IF(OR(N530="",O530=""),"",IF(O530&lt;N530,"",ROUND(((NETWORKDAYS(N530,O530,JoursFeries)-1)*(HFer-HOuv)+IF(NETWORKDAYS(O530,O530,JoursFeries),MEDIAN(MOD(O530,1),HFer,HOuv),HFer)-IF(NETWORKDAYS(N530,N530,JoursFeries),MEDIAN(MOD(N530,1),HFer,HOuv),HOuv))*24,4)))/HJour,4),""))</f>
        <v/>
      </c>
      <c r="AU530" s="37" t="str">
        <f aca="false">IF(AO530&lt;&gt;1,"",IF(OR(O530="",P530=""),"",IF(P530&lt;O530,"",ROUND(((NETWORKDAYS(O530,P530,JoursFeries)-1)*(HFer-HOuv)+IF(NETWORKDAYS(P530,P530,JoursFeries),MEDIAN(MOD(P530,1),HFer,HOuv),HFer)-IF(NETWORKDAYS(O530,O530,JoursFeries),MEDIAN(MOD(O530,1),HFer,HOuv),HOuv))*24,4))))</f>
        <v/>
      </c>
      <c r="AV530" s="37" t="str">
        <f aca="false">IF(AO530&lt;&gt;1,"",IF(OR(P530="",Q530=""),"",IF(Q530&lt;P530,"",ROUND(((NETWORKDAYS(P530,Q530,JoursFeries)-1)*(HFer-HOuv)+IF(NETWORKDAYS(Q530,Q530,JoursFeries),MEDIAN(MOD(Q530,1),HFer,HOuv),HFer)-IF(NETWORKDAYS(P530,P530,JoursFeries),MEDIAN(MOD(P530,1),HFer,HOuv),HOuv))*24,4))))</f>
        <v/>
      </c>
      <c r="AW530" s="37" t="str">
        <f aca="false">IF(AO530&lt;&gt;1,"",IFERROR(ROUND(IF(OR(P530="",R530=""),"",IF(R530&lt;P530,"",ROUND(((NETWORKDAYS(P530,R530,JoursFeries)-1)*(HFer-HOuv)+IF(NETWORKDAYS(R530,R530,JoursFeries),MEDIAN(MOD(R530,1),HFer,HOuv),HFer)-IF(NETWORKDAYS(P530,P530,JoursFeries),MEDIAN(MOD(P530,1),HFer,HOuv),HOuv))*24,4)))/HJour,4),""))</f>
        <v/>
      </c>
      <c r="AX530" s="37" t="str">
        <f aca="false">IF(AO530&lt;&gt;1,"",IFERROR(ROUND(IF(OR(P530="",S530=""),"",IF(S530&lt;P530,"",ROUND(((NETWORKDAYS(P530,S530,JoursFeries)-1)*(HFer-HOuv)+IF(NETWORKDAYS(S530,S530,JoursFeries),MEDIAN(MOD(S530,1),HFer,HOuv),HFer)-IF(NETWORKDAYS(P530,P530,JoursFeries),MEDIAN(MOD(P530,1),HFer,HOuv),HOuv))*24,4)))/HJour,4),""))</f>
        <v/>
      </c>
      <c r="AY530" s="36" t="str">
        <f aca="false">IF(OR(AO530&lt;&gt;1,AR530=""),"",INDEX(SLA_PEC,AR530))</f>
        <v/>
      </c>
      <c r="AZ530" s="35" t="str">
        <f aca="false">IF(OR(AV530="",AY530=""),"",IF(AV530&lt;=AY530,1,0))</f>
        <v/>
      </c>
      <c r="BA530" s="36" t="str">
        <f aca="false">IF(OR(AO530&lt;&gt;1,AR530=""),"",INDEX(SLA_RES,AR530))</f>
        <v/>
      </c>
      <c r="BB530" s="35" t="str">
        <f aca="false">IF(OR(AW530="",BA530=""),"",IF(AW530&lt;=BA530,1,0))</f>
        <v/>
      </c>
      <c r="BC530" s="38" t="str">
        <f aca="false">IF(OR(BA530="",P530=""),"",WORKDAY(INT(P530),BA530,JoursFeries)+MOD(P530,1))</f>
        <v/>
      </c>
      <c r="BD530" s="39" t="str">
        <f aca="false">IF(AO530&lt;&gt;1,"",IF(OR(AB530&lt;&gt;"",AD530&lt;&gt;""),4,IF(U530&lt;&gt;"",3,IF(T530&lt;&gt;"",2,1))))</f>
        <v/>
      </c>
      <c r="BE530" s="39" t="str">
        <f aca="false">IF(OR(AO530&lt;&gt;1,AR530=""),"",INDEX(NIV_REQ,AR530))</f>
        <v/>
      </c>
      <c r="BF530" s="39" t="str">
        <f aca="false">IF(BE530="","",MAX(BE530,IF(OR(K530="Oui",Z530="Oui"),4,1)))</f>
        <v/>
      </c>
      <c r="BG530" s="35" t="str">
        <f aca="false">IF(OR(BF530="",BD530=""),"",IF(BD530&gt;=BF530,1,0))</f>
        <v/>
      </c>
      <c r="BH530" s="38" t="str">
        <f aca="false">IF(BE530="","",IF(BE530&lt;2,"",IF(BE530=2,IF(AND(T530="",U530=""),"",MIN(T530,U530)),IF(U530="","",U530))))</f>
        <v/>
      </c>
      <c r="BI530" s="37" t="str">
        <f aca="false">IF(BH530="","",IF(OR(O530="",BH530=""),"",IF(BH530&lt;O530,"",ROUND(((NETWORKDAYS(O530,BH530,JoursFeries)-1)*(HFer-HOuv)+IF(NETWORKDAYS(BH530,BH530,JoursFeries),MEDIAN(MOD(BH530,1),HFer,HOuv),HFer)-IF(NETWORKDAYS(O530,O530,JoursFeries),MEDIAN(MOD(O530,1),HFer,HOuv),HOuv))*24,4))))</f>
        <v/>
      </c>
      <c r="BJ530" s="35" t="str">
        <f aca="false">IF(OR(BI530="",AR530=""),"",IF(BI530&lt;=INDEX(DELAI_ESC,AR530),1,0))</f>
        <v/>
      </c>
      <c r="BK530" s="38" t="str">
        <f aca="false">IF(AO530&lt;&gt;1,"",IF(AND(T530="",U530=""),"",MIN(T530,U530)))</f>
        <v/>
      </c>
      <c r="BL530" s="37" t="str">
        <f aca="false">IF(OR(BK530="",R530=""),"",IFERROR(ROUND(IF(OR(BK530="",R530=""),"",IF(R530&lt;BK530,"",ROUND(((NETWORKDAYS(BK530,R530,JoursFeries)-1)*(HFer-HOuv)+IF(NETWORKDAYS(R530,R530,JoursFeries),MEDIAN(MOD(R530,1),HFer,HOuv),HFer)-IF(NETWORKDAYS(BK530,BK530,JoursFeries),MEDIAN(MOD(BK530,1),HFer,HOuv),HOuv))*24,4)))/HJour,4),""))</f>
        <v/>
      </c>
      <c r="BM530" s="35" t="str">
        <f aca="false">IF(OR(AO530&lt;&gt;1,R530=""),"",IF(BD530=1,1,0))</f>
        <v/>
      </c>
      <c r="BN530" s="35" t="str">
        <f aca="false">IF(AO530&lt;&gt;1,"",IF(W530="Oui",1,0))</f>
        <v/>
      </c>
      <c r="BO530" s="35" t="str">
        <f aca="false">IF(AO530&lt;&gt;1,"",IF(X530&lt;&gt;"",1,0))</f>
        <v/>
      </c>
      <c r="BP530" s="35" t="str">
        <f aca="false">IF(AO530&lt;&gt;1,"",IF(Y530="Oui",1,0))</f>
        <v/>
      </c>
      <c r="BQ530" s="35" t="str">
        <f aca="true">IF(OR(AO530&lt;&gt;1,Z530&lt;&gt;"Oui"),"",IF(AB530="",IF(AND(AA530&lt;&gt;"",NOW()&gt;AA530),0,""),IF(AA530="","",IF(AB530&lt;=AA530,1,0))))</f>
        <v/>
      </c>
      <c r="BR530" s="38" t="str">
        <f aca="false">IF(OR(AO530&lt;&gt;1,K530&lt;&gt;"Oui",O530=""),"",IF(AC530="",O530+DORA_H_DET/24,IF(AC530-O530&lt;=DORA_H_DET/24,MIN(AC530+DORA_H_CLA/24,O530+DORA_H_DET/24),AC530+DORA_H_CLA/24)))</f>
        <v/>
      </c>
      <c r="BS530" s="35" t="str">
        <f aca="true">IF(BR530="","",IF(AD530="",IF(NOW()&gt;BR530,0,""),IF(AD530&lt;=BR530,1,0)))</f>
        <v/>
      </c>
      <c r="BT530" s="35" t="str">
        <f aca="true">IF(OR(BR530="",AD530=""),"",IF(AE530="",IF(NOW()&gt;AD530+DORA_H_INT/24,0,""),IF(AE530&lt;=AD530+DORA_H_INT/24,1,0)))</f>
        <v/>
      </c>
      <c r="BU530" s="35" t="str">
        <f aca="true">IF(OR(BR530="",AE530=""),"",IF(AF530="",IF(NOW()&gt;EDATE(AE530,DORA_M_FIN)+1,0,""),IF(AF530&lt;=EDATE(AE530,DORA_M_FIN),1,0)))</f>
        <v/>
      </c>
      <c r="BV530" s="35" t="str">
        <f aca="false">IF(BR530="","",IF(COUNT(BS530:BU530)=0,"",MIN(BS530:BU530)))</f>
        <v/>
      </c>
      <c r="BW530" s="40" t="str">
        <f aca="false">IF(AQ530&lt;&gt;1,"",IF(AND(AG530="",AH530=""),"",N(AG530)-N(AH530)))</f>
        <v/>
      </c>
      <c r="BX530" s="35" t="str">
        <f aca="true">IF(OR(AQ530&lt;&gt;1,AI530&lt;&gt;"Oui",AJ530=""),"",IF(AK530="",IF(NOW()&gt;AJ530+1,0,""),IF(AK530&lt;=AJ530,1,0)))</f>
        <v/>
      </c>
    </row>
    <row r="531" customFormat="false" ht="15" hidden="false" customHeight="false" outlineLevel="0" collapsed="false">
      <c r="B531" s="29"/>
      <c r="C531" s="29"/>
      <c r="D531" s="29"/>
      <c r="E531" s="29"/>
      <c r="F531" s="29"/>
      <c r="G531" s="29"/>
      <c r="H531" s="29"/>
      <c r="I531" s="29"/>
      <c r="J531" s="29"/>
      <c r="K531" s="29"/>
      <c r="L531" s="29"/>
      <c r="M531" s="29"/>
      <c r="N531" s="30"/>
      <c r="O531" s="30"/>
      <c r="P531" s="30"/>
      <c r="Q531" s="30"/>
      <c r="R531" s="30"/>
      <c r="S531" s="30"/>
      <c r="T531" s="30"/>
      <c r="U531" s="30"/>
      <c r="V531" s="31"/>
      <c r="W531" s="29"/>
      <c r="X531" s="29"/>
      <c r="Y531" s="29"/>
      <c r="Z531" s="29"/>
      <c r="AA531" s="30"/>
      <c r="AB531" s="30"/>
      <c r="AC531" s="30"/>
      <c r="AD531" s="30"/>
      <c r="AE531" s="30"/>
      <c r="AF531" s="32"/>
      <c r="AG531" s="33"/>
      <c r="AH531" s="33"/>
      <c r="AI531" s="29"/>
      <c r="AJ531" s="32"/>
      <c r="AK531" s="32"/>
      <c r="AL531" s="29"/>
      <c r="AN531" s="34" t="str">
        <f aca="false">IF($B531="","",IF(OR(C531="",D531="",E531="",G531="",I531="",J531="",L531="",O531="",P531=""),"Champ obligatoire manquant",IF(OR(AND(N531&lt;&gt;"",N531&gt;O531),O531&gt;P531,AND(Q531&lt;&gt;"",Q531&lt;P531),AND(R531&lt;&gt;"",R531&lt;P531),AND(S531&lt;&gt;"",S531&lt;R531),AND(S531&lt;&gt;"",R531=""),AND(T531&lt;&gt;"",T531&lt;O531),AND(U531&lt;&gt;"",U531&lt;O531)),"Chronologie incohérente",IF(AND(OR(L531="Résolu",L531="Clos"),R531=""),"Date de résolution manquante",IF(AND(L531="Clos",S531=""),"Date de clôture manquante",IF(AND(K531="Oui",AC531=""),"Classification DORA manquante","OK"))))))</f>
        <v/>
      </c>
      <c r="AO531" s="35" t="str">
        <f aca="false">IF($B531="","",IF(AND(C531="Incident",L531&lt;&gt;"Annulé"),1,0))</f>
        <v/>
      </c>
      <c r="AP531" s="35" t="str">
        <f aca="false">IF($B531="","",IF(AND(C531="Quasi-incident",L531&lt;&gt;"Annulé"),1,0))</f>
        <v/>
      </c>
      <c r="AQ531" s="35" t="str">
        <f aca="false">IF($B531="","",AO531+AP531)</f>
        <v/>
      </c>
      <c r="AR531" s="36" t="str">
        <f aca="false">IF(OR($B531="",J531=""),"",IFERROR(VALUE(LEFT(J531,1)),""))</f>
        <v/>
      </c>
      <c r="AS531" s="35" t="str">
        <f aca="false">IF(OR(AO531&lt;&gt;1,G531=""),"",IFERROR(IF(INDEX(L_SrcInterne,MATCH(G531,L_Sources,0))="Oui",1,0),""))</f>
        <v/>
      </c>
      <c r="AT531" s="37" t="str">
        <f aca="false">IF(AO531&lt;&gt;1,"",IFERROR(ROUND(IF(OR(N531="",O531=""),"",IF(O531&lt;N531,"",ROUND(((NETWORKDAYS(N531,O531,JoursFeries)-1)*(HFer-HOuv)+IF(NETWORKDAYS(O531,O531,JoursFeries),MEDIAN(MOD(O531,1),HFer,HOuv),HFer)-IF(NETWORKDAYS(N531,N531,JoursFeries),MEDIAN(MOD(N531,1),HFer,HOuv),HOuv))*24,4)))/HJour,4),""))</f>
        <v/>
      </c>
      <c r="AU531" s="37" t="str">
        <f aca="false">IF(AO531&lt;&gt;1,"",IF(OR(O531="",P531=""),"",IF(P531&lt;O531,"",ROUND(((NETWORKDAYS(O531,P531,JoursFeries)-1)*(HFer-HOuv)+IF(NETWORKDAYS(P531,P531,JoursFeries),MEDIAN(MOD(P531,1),HFer,HOuv),HFer)-IF(NETWORKDAYS(O531,O531,JoursFeries),MEDIAN(MOD(O531,1),HFer,HOuv),HOuv))*24,4))))</f>
        <v/>
      </c>
      <c r="AV531" s="37" t="str">
        <f aca="false">IF(AO531&lt;&gt;1,"",IF(OR(P531="",Q531=""),"",IF(Q531&lt;P531,"",ROUND(((NETWORKDAYS(P531,Q531,JoursFeries)-1)*(HFer-HOuv)+IF(NETWORKDAYS(Q531,Q531,JoursFeries),MEDIAN(MOD(Q531,1),HFer,HOuv),HFer)-IF(NETWORKDAYS(P531,P531,JoursFeries),MEDIAN(MOD(P531,1),HFer,HOuv),HOuv))*24,4))))</f>
        <v/>
      </c>
      <c r="AW531" s="37" t="str">
        <f aca="false">IF(AO531&lt;&gt;1,"",IFERROR(ROUND(IF(OR(P531="",R531=""),"",IF(R531&lt;P531,"",ROUND(((NETWORKDAYS(P531,R531,JoursFeries)-1)*(HFer-HOuv)+IF(NETWORKDAYS(R531,R531,JoursFeries),MEDIAN(MOD(R531,1),HFer,HOuv),HFer)-IF(NETWORKDAYS(P531,P531,JoursFeries),MEDIAN(MOD(P531,1),HFer,HOuv),HOuv))*24,4)))/HJour,4),""))</f>
        <v/>
      </c>
      <c r="AX531" s="37" t="str">
        <f aca="false">IF(AO531&lt;&gt;1,"",IFERROR(ROUND(IF(OR(P531="",S531=""),"",IF(S531&lt;P531,"",ROUND(((NETWORKDAYS(P531,S531,JoursFeries)-1)*(HFer-HOuv)+IF(NETWORKDAYS(S531,S531,JoursFeries),MEDIAN(MOD(S531,1),HFer,HOuv),HFer)-IF(NETWORKDAYS(P531,P531,JoursFeries),MEDIAN(MOD(P531,1),HFer,HOuv),HOuv))*24,4)))/HJour,4),""))</f>
        <v/>
      </c>
      <c r="AY531" s="36" t="str">
        <f aca="false">IF(OR(AO531&lt;&gt;1,AR531=""),"",INDEX(SLA_PEC,AR531))</f>
        <v/>
      </c>
      <c r="AZ531" s="35" t="str">
        <f aca="false">IF(OR(AV531="",AY531=""),"",IF(AV531&lt;=AY531,1,0))</f>
        <v/>
      </c>
      <c r="BA531" s="36" t="str">
        <f aca="false">IF(OR(AO531&lt;&gt;1,AR531=""),"",INDEX(SLA_RES,AR531))</f>
        <v/>
      </c>
      <c r="BB531" s="35" t="str">
        <f aca="false">IF(OR(AW531="",BA531=""),"",IF(AW531&lt;=BA531,1,0))</f>
        <v/>
      </c>
      <c r="BC531" s="38" t="str">
        <f aca="false">IF(OR(BA531="",P531=""),"",WORKDAY(INT(P531),BA531,JoursFeries)+MOD(P531,1))</f>
        <v/>
      </c>
      <c r="BD531" s="39" t="str">
        <f aca="false">IF(AO531&lt;&gt;1,"",IF(OR(AB531&lt;&gt;"",AD531&lt;&gt;""),4,IF(U531&lt;&gt;"",3,IF(T531&lt;&gt;"",2,1))))</f>
        <v/>
      </c>
      <c r="BE531" s="39" t="str">
        <f aca="false">IF(OR(AO531&lt;&gt;1,AR531=""),"",INDEX(NIV_REQ,AR531))</f>
        <v/>
      </c>
      <c r="BF531" s="39" t="str">
        <f aca="false">IF(BE531="","",MAX(BE531,IF(OR(K531="Oui",Z531="Oui"),4,1)))</f>
        <v/>
      </c>
      <c r="BG531" s="35" t="str">
        <f aca="false">IF(OR(BF531="",BD531=""),"",IF(BD531&gt;=BF531,1,0))</f>
        <v/>
      </c>
      <c r="BH531" s="38" t="str">
        <f aca="false">IF(BE531="","",IF(BE531&lt;2,"",IF(BE531=2,IF(AND(T531="",U531=""),"",MIN(T531,U531)),IF(U531="","",U531))))</f>
        <v/>
      </c>
      <c r="BI531" s="37" t="str">
        <f aca="false">IF(BH531="","",IF(OR(O531="",BH531=""),"",IF(BH531&lt;O531,"",ROUND(((NETWORKDAYS(O531,BH531,JoursFeries)-1)*(HFer-HOuv)+IF(NETWORKDAYS(BH531,BH531,JoursFeries),MEDIAN(MOD(BH531,1),HFer,HOuv),HFer)-IF(NETWORKDAYS(O531,O531,JoursFeries),MEDIAN(MOD(O531,1),HFer,HOuv),HOuv))*24,4))))</f>
        <v/>
      </c>
      <c r="BJ531" s="35" t="str">
        <f aca="false">IF(OR(BI531="",AR531=""),"",IF(BI531&lt;=INDEX(DELAI_ESC,AR531),1,0))</f>
        <v/>
      </c>
      <c r="BK531" s="38" t="str">
        <f aca="false">IF(AO531&lt;&gt;1,"",IF(AND(T531="",U531=""),"",MIN(T531,U531)))</f>
        <v/>
      </c>
      <c r="BL531" s="37" t="str">
        <f aca="false">IF(OR(BK531="",R531=""),"",IFERROR(ROUND(IF(OR(BK531="",R531=""),"",IF(R531&lt;BK531,"",ROUND(((NETWORKDAYS(BK531,R531,JoursFeries)-1)*(HFer-HOuv)+IF(NETWORKDAYS(R531,R531,JoursFeries),MEDIAN(MOD(R531,1),HFer,HOuv),HFer)-IF(NETWORKDAYS(BK531,BK531,JoursFeries),MEDIAN(MOD(BK531,1),HFer,HOuv),HOuv))*24,4)))/HJour,4),""))</f>
        <v/>
      </c>
      <c r="BM531" s="35" t="str">
        <f aca="false">IF(OR(AO531&lt;&gt;1,R531=""),"",IF(BD531=1,1,0))</f>
        <v/>
      </c>
      <c r="BN531" s="35" t="str">
        <f aca="false">IF(AO531&lt;&gt;1,"",IF(W531="Oui",1,0))</f>
        <v/>
      </c>
      <c r="BO531" s="35" t="str">
        <f aca="false">IF(AO531&lt;&gt;1,"",IF(X531&lt;&gt;"",1,0))</f>
        <v/>
      </c>
      <c r="BP531" s="35" t="str">
        <f aca="false">IF(AO531&lt;&gt;1,"",IF(Y531="Oui",1,0))</f>
        <v/>
      </c>
      <c r="BQ531" s="35" t="str">
        <f aca="true">IF(OR(AO531&lt;&gt;1,Z531&lt;&gt;"Oui"),"",IF(AB531="",IF(AND(AA531&lt;&gt;"",NOW()&gt;AA531),0,""),IF(AA531="","",IF(AB531&lt;=AA531,1,0))))</f>
        <v/>
      </c>
      <c r="BR531" s="38" t="str">
        <f aca="false">IF(OR(AO531&lt;&gt;1,K531&lt;&gt;"Oui",O531=""),"",IF(AC531="",O531+DORA_H_DET/24,IF(AC531-O531&lt;=DORA_H_DET/24,MIN(AC531+DORA_H_CLA/24,O531+DORA_H_DET/24),AC531+DORA_H_CLA/24)))</f>
        <v/>
      </c>
      <c r="BS531" s="35" t="str">
        <f aca="true">IF(BR531="","",IF(AD531="",IF(NOW()&gt;BR531,0,""),IF(AD531&lt;=BR531,1,0)))</f>
        <v/>
      </c>
      <c r="BT531" s="35" t="str">
        <f aca="true">IF(OR(BR531="",AD531=""),"",IF(AE531="",IF(NOW()&gt;AD531+DORA_H_INT/24,0,""),IF(AE531&lt;=AD531+DORA_H_INT/24,1,0)))</f>
        <v/>
      </c>
      <c r="BU531" s="35" t="str">
        <f aca="true">IF(OR(BR531="",AE531=""),"",IF(AF531="",IF(NOW()&gt;EDATE(AE531,DORA_M_FIN)+1,0,""),IF(AF531&lt;=EDATE(AE531,DORA_M_FIN),1,0)))</f>
        <v/>
      </c>
      <c r="BV531" s="35" t="str">
        <f aca="false">IF(BR531="","",IF(COUNT(BS531:BU531)=0,"",MIN(BS531:BU531)))</f>
        <v/>
      </c>
      <c r="BW531" s="40" t="str">
        <f aca="false">IF(AQ531&lt;&gt;1,"",IF(AND(AG531="",AH531=""),"",N(AG531)-N(AH531)))</f>
        <v/>
      </c>
      <c r="BX531" s="35" t="str">
        <f aca="true">IF(OR(AQ531&lt;&gt;1,AI531&lt;&gt;"Oui",AJ531=""),"",IF(AK531="",IF(NOW()&gt;AJ531+1,0,""),IF(AK531&lt;=AJ531,1,0)))</f>
        <v/>
      </c>
    </row>
    <row r="532" customFormat="false" ht="15" hidden="false" customHeight="false" outlineLevel="0" collapsed="false">
      <c r="B532" s="29"/>
      <c r="C532" s="29"/>
      <c r="D532" s="29"/>
      <c r="E532" s="29"/>
      <c r="F532" s="29"/>
      <c r="G532" s="29"/>
      <c r="H532" s="29"/>
      <c r="I532" s="29"/>
      <c r="J532" s="29"/>
      <c r="K532" s="29"/>
      <c r="L532" s="29"/>
      <c r="M532" s="29"/>
      <c r="N532" s="30"/>
      <c r="O532" s="30"/>
      <c r="P532" s="30"/>
      <c r="Q532" s="30"/>
      <c r="R532" s="30"/>
      <c r="S532" s="30"/>
      <c r="T532" s="30"/>
      <c r="U532" s="30"/>
      <c r="V532" s="31"/>
      <c r="W532" s="29"/>
      <c r="X532" s="29"/>
      <c r="Y532" s="29"/>
      <c r="Z532" s="29"/>
      <c r="AA532" s="30"/>
      <c r="AB532" s="30"/>
      <c r="AC532" s="30"/>
      <c r="AD532" s="30"/>
      <c r="AE532" s="30"/>
      <c r="AF532" s="32"/>
      <c r="AG532" s="33"/>
      <c r="AH532" s="33"/>
      <c r="AI532" s="29"/>
      <c r="AJ532" s="32"/>
      <c r="AK532" s="32"/>
      <c r="AL532" s="29"/>
      <c r="AN532" s="34" t="str">
        <f aca="false">IF($B532="","",IF(OR(C532="",D532="",E532="",G532="",I532="",J532="",L532="",O532="",P532=""),"Champ obligatoire manquant",IF(OR(AND(N532&lt;&gt;"",N532&gt;O532),O532&gt;P532,AND(Q532&lt;&gt;"",Q532&lt;P532),AND(R532&lt;&gt;"",R532&lt;P532),AND(S532&lt;&gt;"",S532&lt;R532),AND(S532&lt;&gt;"",R532=""),AND(T532&lt;&gt;"",T532&lt;O532),AND(U532&lt;&gt;"",U532&lt;O532)),"Chronologie incohérente",IF(AND(OR(L532="Résolu",L532="Clos"),R532=""),"Date de résolution manquante",IF(AND(L532="Clos",S532=""),"Date de clôture manquante",IF(AND(K532="Oui",AC532=""),"Classification DORA manquante","OK"))))))</f>
        <v/>
      </c>
      <c r="AO532" s="35" t="str">
        <f aca="false">IF($B532="","",IF(AND(C532="Incident",L532&lt;&gt;"Annulé"),1,0))</f>
        <v/>
      </c>
      <c r="AP532" s="35" t="str">
        <f aca="false">IF($B532="","",IF(AND(C532="Quasi-incident",L532&lt;&gt;"Annulé"),1,0))</f>
        <v/>
      </c>
      <c r="AQ532" s="35" t="str">
        <f aca="false">IF($B532="","",AO532+AP532)</f>
        <v/>
      </c>
      <c r="AR532" s="36" t="str">
        <f aca="false">IF(OR($B532="",J532=""),"",IFERROR(VALUE(LEFT(J532,1)),""))</f>
        <v/>
      </c>
      <c r="AS532" s="35" t="str">
        <f aca="false">IF(OR(AO532&lt;&gt;1,G532=""),"",IFERROR(IF(INDEX(L_SrcInterne,MATCH(G532,L_Sources,0))="Oui",1,0),""))</f>
        <v/>
      </c>
      <c r="AT532" s="37" t="str">
        <f aca="false">IF(AO532&lt;&gt;1,"",IFERROR(ROUND(IF(OR(N532="",O532=""),"",IF(O532&lt;N532,"",ROUND(((NETWORKDAYS(N532,O532,JoursFeries)-1)*(HFer-HOuv)+IF(NETWORKDAYS(O532,O532,JoursFeries),MEDIAN(MOD(O532,1),HFer,HOuv),HFer)-IF(NETWORKDAYS(N532,N532,JoursFeries),MEDIAN(MOD(N532,1),HFer,HOuv),HOuv))*24,4)))/HJour,4),""))</f>
        <v/>
      </c>
      <c r="AU532" s="37" t="str">
        <f aca="false">IF(AO532&lt;&gt;1,"",IF(OR(O532="",P532=""),"",IF(P532&lt;O532,"",ROUND(((NETWORKDAYS(O532,P532,JoursFeries)-1)*(HFer-HOuv)+IF(NETWORKDAYS(P532,P532,JoursFeries),MEDIAN(MOD(P532,1),HFer,HOuv),HFer)-IF(NETWORKDAYS(O532,O532,JoursFeries),MEDIAN(MOD(O532,1),HFer,HOuv),HOuv))*24,4))))</f>
        <v/>
      </c>
      <c r="AV532" s="37" t="str">
        <f aca="false">IF(AO532&lt;&gt;1,"",IF(OR(P532="",Q532=""),"",IF(Q532&lt;P532,"",ROUND(((NETWORKDAYS(P532,Q532,JoursFeries)-1)*(HFer-HOuv)+IF(NETWORKDAYS(Q532,Q532,JoursFeries),MEDIAN(MOD(Q532,1),HFer,HOuv),HFer)-IF(NETWORKDAYS(P532,P532,JoursFeries),MEDIAN(MOD(P532,1),HFer,HOuv),HOuv))*24,4))))</f>
        <v/>
      </c>
      <c r="AW532" s="37" t="str">
        <f aca="false">IF(AO532&lt;&gt;1,"",IFERROR(ROUND(IF(OR(P532="",R532=""),"",IF(R532&lt;P532,"",ROUND(((NETWORKDAYS(P532,R532,JoursFeries)-1)*(HFer-HOuv)+IF(NETWORKDAYS(R532,R532,JoursFeries),MEDIAN(MOD(R532,1),HFer,HOuv),HFer)-IF(NETWORKDAYS(P532,P532,JoursFeries),MEDIAN(MOD(P532,1),HFer,HOuv),HOuv))*24,4)))/HJour,4),""))</f>
        <v/>
      </c>
      <c r="AX532" s="37" t="str">
        <f aca="false">IF(AO532&lt;&gt;1,"",IFERROR(ROUND(IF(OR(P532="",S532=""),"",IF(S532&lt;P532,"",ROUND(((NETWORKDAYS(P532,S532,JoursFeries)-1)*(HFer-HOuv)+IF(NETWORKDAYS(S532,S532,JoursFeries),MEDIAN(MOD(S532,1),HFer,HOuv),HFer)-IF(NETWORKDAYS(P532,P532,JoursFeries),MEDIAN(MOD(P532,1),HFer,HOuv),HOuv))*24,4)))/HJour,4),""))</f>
        <v/>
      </c>
      <c r="AY532" s="36" t="str">
        <f aca="false">IF(OR(AO532&lt;&gt;1,AR532=""),"",INDEX(SLA_PEC,AR532))</f>
        <v/>
      </c>
      <c r="AZ532" s="35" t="str">
        <f aca="false">IF(OR(AV532="",AY532=""),"",IF(AV532&lt;=AY532,1,0))</f>
        <v/>
      </c>
      <c r="BA532" s="36" t="str">
        <f aca="false">IF(OR(AO532&lt;&gt;1,AR532=""),"",INDEX(SLA_RES,AR532))</f>
        <v/>
      </c>
      <c r="BB532" s="35" t="str">
        <f aca="false">IF(OR(AW532="",BA532=""),"",IF(AW532&lt;=BA532,1,0))</f>
        <v/>
      </c>
      <c r="BC532" s="38" t="str">
        <f aca="false">IF(OR(BA532="",P532=""),"",WORKDAY(INT(P532),BA532,JoursFeries)+MOD(P532,1))</f>
        <v/>
      </c>
      <c r="BD532" s="39" t="str">
        <f aca="false">IF(AO532&lt;&gt;1,"",IF(OR(AB532&lt;&gt;"",AD532&lt;&gt;""),4,IF(U532&lt;&gt;"",3,IF(T532&lt;&gt;"",2,1))))</f>
        <v/>
      </c>
      <c r="BE532" s="39" t="str">
        <f aca="false">IF(OR(AO532&lt;&gt;1,AR532=""),"",INDEX(NIV_REQ,AR532))</f>
        <v/>
      </c>
      <c r="BF532" s="39" t="str">
        <f aca="false">IF(BE532="","",MAX(BE532,IF(OR(K532="Oui",Z532="Oui"),4,1)))</f>
        <v/>
      </c>
      <c r="BG532" s="35" t="str">
        <f aca="false">IF(OR(BF532="",BD532=""),"",IF(BD532&gt;=BF532,1,0))</f>
        <v/>
      </c>
      <c r="BH532" s="38" t="str">
        <f aca="false">IF(BE532="","",IF(BE532&lt;2,"",IF(BE532=2,IF(AND(T532="",U532=""),"",MIN(T532,U532)),IF(U532="","",U532))))</f>
        <v/>
      </c>
      <c r="BI532" s="37" t="str">
        <f aca="false">IF(BH532="","",IF(OR(O532="",BH532=""),"",IF(BH532&lt;O532,"",ROUND(((NETWORKDAYS(O532,BH532,JoursFeries)-1)*(HFer-HOuv)+IF(NETWORKDAYS(BH532,BH532,JoursFeries),MEDIAN(MOD(BH532,1),HFer,HOuv),HFer)-IF(NETWORKDAYS(O532,O532,JoursFeries),MEDIAN(MOD(O532,1),HFer,HOuv),HOuv))*24,4))))</f>
        <v/>
      </c>
      <c r="BJ532" s="35" t="str">
        <f aca="false">IF(OR(BI532="",AR532=""),"",IF(BI532&lt;=INDEX(DELAI_ESC,AR532),1,0))</f>
        <v/>
      </c>
      <c r="BK532" s="38" t="str">
        <f aca="false">IF(AO532&lt;&gt;1,"",IF(AND(T532="",U532=""),"",MIN(T532,U532)))</f>
        <v/>
      </c>
      <c r="BL532" s="37" t="str">
        <f aca="false">IF(OR(BK532="",R532=""),"",IFERROR(ROUND(IF(OR(BK532="",R532=""),"",IF(R532&lt;BK532,"",ROUND(((NETWORKDAYS(BK532,R532,JoursFeries)-1)*(HFer-HOuv)+IF(NETWORKDAYS(R532,R532,JoursFeries),MEDIAN(MOD(R532,1),HFer,HOuv),HFer)-IF(NETWORKDAYS(BK532,BK532,JoursFeries),MEDIAN(MOD(BK532,1),HFer,HOuv),HOuv))*24,4)))/HJour,4),""))</f>
        <v/>
      </c>
      <c r="BM532" s="35" t="str">
        <f aca="false">IF(OR(AO532&lt;&gt;1,R532=""),"",IF(BD532=1,1,0))</f>
        <v/>
      </c>
      <c r="BN532" s="35" t="str">
        <f aca="false">IF(AO532&lt;&gt;1,"",IF(W532="Oui",1,0))</f>
        <v/>
      </c>
      <c r="BO532" s="35" t="str">
        <f aca="false">IF(AO532&lt;&gt;1,"",IF(X532&lt;&gt;"",1,0))</f>
        <v/>
      </c>
      <c r="BP532" s="35" t="str">
        <f aca="false">IF(AO532&lt;&gt;1,"",IF(Y532="Oui",1,0))</f>
        <v/>
      </c>
      <c r="BQ532" s="35" t="str">
        <f aca="true">IF(OR(AO532&lt;&gt;1,Z532&lt;&gt;"Oui"),"",IF(AB532="",IF(AND(AA532&lt;&gt;"",NOW()&gt;AA532),0,""),IF(AA532="","",IF(AB532&lt;=AA532,1,0))))</f>
        <v/>
      </c>
      <c r="BR532" s="38" t="str">
        <f aca="false">IF(OR(AO532&lt;&gt;1,K532&lt;&gt;"Oui",O532=""),"",IF(AC532="",O532+DORA_H_DET/24,IF(AC532-O532&lt;=DORA_H_DET/24,MIN(AC532+DORA_H_CLA/24,O532+DORA_H_DET/24),AC532+DORA_H_CLA/24)))</f>
        <v/>
      </c>
      <c r="BS532" s="35" t="str">
        <f aca="true">IF(BR532="","",IF(AD532="",IF(NOW()&gt;BR532,0,""),IF(AD532&lt;=BR532,1,0)))</f>
        <v/>
      </c>
      <c r="BT532" s="35" t="str">
        <f aca="true">IF(OR(BR532="",AD532=""),"",IF(AE532="",IF(NOW()&gt;AD532+DORA_H_INT/24,0,""),IF(AE532&lt;=AD532+DORA_H_INT/24,1,0)))</f>
        <v/>
      </c>
      <c r="BU532" s="35" t="str">
        <f aca="true">IF(OR(BR532="",AE532=""),"",IF(AF532="",IF(NOW()&gt;EDATE(AE532,DORA_M_FIN)+1,0,""),IF(AF532&lt;=EDATE(AE532,DORA_M_FIN),1,0)))</f>
        <v/>
      </c>
      <c r="BV532" s="35" t="str">
        <f aca="false">IF(BR532="","",IF(COUNT(BS532:BU532)=0,"",MIN(BS532:BU532)))</f>
        <v/>
      </c>
      <c r="BW532" s="40" t="str">
        <f aca="false">IF(AQ532&lt;&gt;1,"",IF(AND(AG532="",AH532=""),"",N(AG532)-N(AH532)))</f>
        <v/>
      </c>
      <c r="BX532" s="35" t="str">
        <f aca="true">IF(OR(AQ532&lt;&gt;1,AI532&lt;&gt;"Oui",AJ532=""),"",IF(AK532="",IF(NOW()&gt;AJ532+1,0,""),IF(AK532&lt;=AJ532,1,0)))</f>
        <v/>
      </c>
    </row>
    <row r="533" customFormat="false" ht="15" hidden="false" customHeight="false" outlineLevel="0" collapsed="false">
      <c r="B533" s="29"/>
      <c r="C533" s="29"/>
      <c r="D533" s="29"/>
      <c r="E533" s="29"/>
      <c r="F533" s="29"/>
      <c r="G533" s="29"/>
      <c r="H533" s="29"/>
      <c r="I533" s="29"/>
      <c r="J533" s="29"/>
      <c r="K533" s="29"/>
      <c r="L533" s="29"/>
      <c r="M533" s="29"/>
      <c r="N533" s="30"/>
      <c r="O533" s="30"/>
      <c r="P533" s="30"/>
      <c r="Q533" s="30"/>
      <c r="R533" s="30"/>
      <c r="S533" s="30"/>
      <c r="T533" s="30"/>
      <c r="U533" s="30"/>
      <c r="V533" s="31"/>
      <c r="W533" s="29"/>
      <c r="X533" s="29"/>
      <c r="Y533" s="29"/>
      <c r="Z533" s="29"/>
      <c r="AA533" s="30"/>
      <c r="AB533" s="30"/>
      <c r="AC533" s="30"/>
      <c r="AD533" s="30"/>
      <c r="AE533" s="30"/>
      <c r="AF533" s="32"/>
      <c r="AG533" s="33"/>
      <c r="AH533" s="33"/>
      <c r="AI533" s="29"/>
      <c r="AJ533" s="32"/>
      <c r="AK533" s="32"/>
      <c r="AL533" s="29"/>
      <c r="AN533" s="34" t="str">
        <f aca="false">IF($B533="","",IF(OR(C533="",D533="",E533="",G533="",I533="",J533="",L533="",O533="",P533=""),"Champ obligatoire manquant",IF(OR(AND(N533&lt;&gt;"",N533&gt;O533),O533&gt;P533,AND(Q533&lt;&gt;"",Q533&lt;P533),AND(R533&lt;&gt;"",R533&lt;P533),AND(S533&lt;&gt;"",S533&lt;R533),AND(S533&lt;&gt;"",R533=""),AND(T533&lt;&gt;"",T533&lt;O533),AND(U533&lt;&gt;"",U533&lt;O533)),"Chronologie incohérente",IF(AND(OR(L533="Résolu",L533="Clos"),R533=""),"Date de résolution manquante",IF(AND(L533="Clos",S533=""),"Date de clôture manquante",IF(AND(K533="Oui",AC533=""),"Classification DORA manquante","OK"))))))</f>
        <v/>
      </c>
      <c r="AO533" s="35" t="str">
        <f aca="false">IF($B533="","",IF(AND(C533="Incident",L533&lt;&gt;"Annulé"),1,0))</f>
        <v/>
      </c>
      <c r="AP533" s="35" t="str">
        <f aca="false">IF($B533="","",IF(AND(C533="Quasi-incident",L533&lt;&gt;"Annulé"),1,0))</f>
        <v/>
      </c>
      <c r="AQ533" s="35" t="str">
        <f aca="false">IF($B533="","",AO533+AP533)</f>
        <v/>
      </c>
      <c r="AR533" s="36" t="str">
        <f aca="false">IF(OR($B533="",J533=""),"",IFERROR(VALUE(LEFT(J533,1)),""))</f>
        <v/>
      </c>
      <c r="AS533" s="35" t="str">
        <f aca="false">IF(OR(AO533&lt;&gt;1,G533=""),"",IFERROR(IF(INDEX(L_SrcInterne,MATCH(G533,L_Sources,0))="Oui",1,0),""))</f>
        <v/>
      </c>
      <c r="AT533" s="37" t="str">
        <f aca="false">IF(AO533&lt;&gt;1,"",IFERROR(ROUND(IF(OR(N533="",O533=""),"",IF(O533&lt;N533,"",ROUND(((NETWORKDAYS(N533,O533,JoursFeries)-1)*(HFer-HOuv)+IF(NETWORKDAYS(O533,O533,JoursFeries),MEDIAN(MOD(O533,1),HFer,HOuv),HFer)-IF(NETWORKDAYS(N533,N533,JoursFeries),MEDIAN(MOD(N533,1),HFer,HOuv),HOuv))*24,4)))/HJour,4),""))</f>
        <v/>
      </c>
      <c r="AU533" s="37" t="str">
        <f aca="false">IF(AO533&lt;&gt;1,"",IF(OR(O533="",P533=""),"",IF(P533&lt;O533,"",ROUND(((NETWORKDAYS(O533,P533,JoursFeries)-1)*(HFer-HOuv)+IF(NETWORKDAYS(P533,P533,JoursFeries),MEDIAN(MOD(P533,1),HFer,HOuv),HFer)-IF(NETWORKDAYS(O533,O533,JoursFeries),MEDIAN(MOD(O533,1),HFer,HOuv),HOuv))*24,4))))</f>
        <v/>
      </c>
      <c r="AV533" s="37" t="str">
        <f aca="false">IF(AO533&lt;&gt;1,"",IF(OR(P533="",Q533=""),"",IF(Q533&lt;P533,"",ROUND(((NETWORKDAYS(P533,Q533,JoursFeries)-1)*(HFer-HOuv)+IF(NETWORKDAYS(Q533,Q533,JoursFeries),MEDIAN(MOD(Q533,1),HFer,HOuv),HFer)-IF(NETWORKDAYS(P533,P533,JoursFeries),MEDIAN(MOD(P533,1),HFer,HOuv),HOuv))*24,4))))</f>
        <v/>
      </c>
      <c r="AW533" s="37" t="str">
        <f aca="false">IF(AO533&lt;&gt;1,"",IFERROR(ROUND(IF(OR(P533="",R533=""),"",IF(R533&lt;P533,"",ROUND(((NETWORKDAYS(P533,R533,JoursFeries)-1)*(HFer-HOuv)+IF(NETWORKDAYS(R533,R533,JoursFeries),MEDIAN(MOD(R533,1),HFer,HOuv),HFer)-IF(NETWORKDAYS(P533,P533,JoursFeries),MEDIAN(MOD(P533,1),HFer,HOuv),HOuv))*24,4)))/HJour,4),""))</f>
        <v/>
      </c>
      <c r="AX533" s="37" t="str">
        <f aca="false">IF(AO533&lt;&gt;1,"",IFERROR(ROUND(IF(OR(P533="",S533=""),"",IF(S533&lt;P533,"",ROUND(((NETWORKDAYS(P533,S533,JoursFeries)-1)*(HFer-HOuv)+IF(NETWORKDAYS(S533,S533,JoursFeries),MEDIAN(MOD(S533,1),HFer,HOuv),HFer)-IF(NETWORKDAYS(P533,P533,JoursFeries),MEDIAN(MOD(P533,1),HFer,HOuv),HOuv))*24,4)))/HJour,4),""))</f>
        <v/>
      </c>
      <c r="AY533" s="36" t="str">
        <f aca="false">IF(OR(AO533&lt;&gt;1,AR533=""),"",INDEX(SLA_PEC,AR533))</f>
        <v/>
      </c>
      <c r="AZ533" s="35" t="str">
        <f aca="false">IF(OR(AV533="",AY533=""),"",IF(AV533&lt;=AY533,1,0))</f>
        <v/>
      </c>
      <c r="BA533" s="36" t="str">
        <f aca="false">IF(OR(AO533&lt;&gt;1,AR533=""),"",INDEX(SLA_RES,AR533))</f>
        <v/>
      </c>
      <c r="BB533" s="35" t="str">
        <f aca="false">IF(OR(AW533="",BA533=""),"",IF(AW533&lt;=BA533,1,0))</f>
        <v/>
      </c>
      <c r="BC533" s="38" t="str">
        <f aca="false">IF(OR(BA533="",P533=""),"",WORKDAY(INT(P533),BA533,JoursFeries)+MOD(P533,1))</f>
        <v/>
      </c>
      <c r="BD533" s="39" t="str">
        <f aca="false">IF(AO533&lt;&gt;1,"",IF(OR(AB533&lt;&gt;"",AD533&lt;&gt;""),4,IF(U533&lt;&gt;"",3,IF(T533&lt;&gt;"",2,1))))</f>
        <v/>
      </c>
      <c r="BE533" s="39" t="str">
        <f aca="false">IF(OR(AO533&lt;&gt;1,AR533=""),"",INDEX(NIV_REQ,AR533))</f>
        <v/>
      </c>
      <c r="BF533" s="39" t="str">
        <f aca="false">IF(BE533="","",MAX(BE533,IF(OR(K533="Oui",Z533="Oui"),4,1)))</f>
        <v/>
      </c>
      <c r="BG533" s="35" t="str">
        <f aca="false">IF(OR(BF533="",BD533=""),"",IF(BD533&gt;=BF533,1,0))</f>
        <v/>
      </c>
      <c r="BH533" s="38" t="str">
        <f aca="false">IF(BE533="","",IF(BE533&lt;2,"",IF(BE533=2,IF(AND(T533="",U533=""),"",MIN(T533,U533)),IF(U533="","",U533))))</f>
        <v/>
      </c>
      <c r="BI533" s="37" t="str">
        <f aca="false">IF(BH533="","",IF(OR(O533="",BH533=""),"",IF(BH533&lt;O533,"",ROUND(((NETWORKDAYS(O533,BH533,JoursFeries)-1)*(HFer-HOuv)+IF(NETWORKDAYS(BH533,BH533,JoursFeries),MEDIAN(MOD(BH533,1),HFer,HOuv),HFer)-IF(NETWORKDAYS(O533,O533,JoursFeries),MEDIAN(MOD(O533,1),HFer,HOuv),HOuv))*24,4))))</f>
        <v/>
      </c>
      <c r="BJ533" s="35" t="str">
        <f aca="false">IF(OR(BI533="",AR533=""),"",IF(BI533&lt;=INDEX(DELAI_ESC,AR533),1,0))</f>
        <v/>
      </c>
      <c r="BK533" s="38" t="str">
        <f aca="false">IF(AO533&lt;&gt;1,"",IF(AND(T533="",U533=""),"",MIN(T533,U533)))</f>
        <v/>
      </c>
      <c r="BL533" s="37" t="str">
        <f aca="false">IF(OR(BK533="",R533=""),"",IFERROR(ROUND(IF(OR(BK533="",R533=""),"",IF(R533&lt;BK533,"",ROUND(((NETWORKDAYS(BK533,R533,JoursFeries)-1)*(HFer-HOuv)+IF(NETWORKDAYS(R533,R533,JoursFeries),MEDIAN(MOD(R533,1),HFer,HOuv),HFer)-IF(NETWORKDAYS(BK533,BK533,JoursFeries),MEDIAN(MOD(BK533,1),HFer,HOuv),HOuv))*24,4)))/HJour,4),""))</f>
        <v/>
      </c>
      <c r="BM533" s="35" t="str">
        <f aca="false">IF(OR(AO533&lt;&gt;1,R533=""),"",IF(BD533=1,1,0))</f>
        <v/>
      </c>
      <c r="BN533" s="35" t="str">
        <f aca="false">IF(AO533&lt;&gt;1,"",IF(W533="Oui",1,0))</f>
        <v/>
      </c>
      <c r="BO533" s="35" t="str">
        <f aca="false">IF(AO533&lt;&gt;1,"",IF(X533&lt;&gt;"",1,0))</f>
        <v/>
      </c>
      <c r="BP533" s="35" t="str">
        <f aca="false">IF(AO533&lt;&gt;1,"",IF(Y533="Oui",1,0))</f>
        <v/>
      </c>
      <c r="BQ533" s="35" t="str">
        <f aca="true">IF(OR(AO533&lt;&gt;1,Z533&lt;&gt;"Oui"),"",IF(AB533="",IF(AND(AA533&lt;&gt;"",NOW()&gt;AA533),0,""),IF(AA533="","",IF(AB533&lt;=AA533,1,0))))</f>
        <v/>
      </c>
      <c r="BR533" s="38" t="str">
        <f aca="false">IF(OR(AO533&lt;&gt;1,K533&lt;&gt;"Oui",O533=""),"",IF(AC533="",O533+DORA_H_DET/24,IF(AC533-O533&lt;=DORA_H_DET/24,MIN(AC533+DORA_H_CLA/24,O533+DORA_H_DET/24),AC533+DORA_H_CLA/24)))</f>
        <v/>
      </c>
      <c r="BS533" s="35" t="str">
        <f aca="true">IF(BR533="","",IF(AD533="",IF(NOW()&gt;BR533,0,""),IF(AD533&lt;=BR533,1,0)))</f>
        <v/>
      </c>
      <c r="BT533" s="35" t="str">
        <f aca="true">IF(OR(BR533="",AD533=""),"",IF(AE533="",IF(NOW()&gt;AD533+DORA_H_INT/24,0,""),IF(AE533&lt;=AD533+DORA_H_INT/24,1,0)))</f>
        <v/>
      </c>
      <c r="BU533" s="35" t="str">
        <f aca="true">IF(OR(BR533="",AE533=""),"",IF(AF533="",IF(NOW()&gt;EDATE(AE533,DORA_M_FIN)+1,0,""),IF(AF533&lt;=EDATE(AE533,DORA_M_FIN),1,0)))</f>
        <v/>
      </c>
      <c r="BV533" s="35" t="str">
        <f aca="false">IF(BR533="","",IF(COUNT(BS533:BU533)=0,"",MIN(BS533:BU533)))</f>
        <v/>
      </c>
      <c r="BW533" s="40" t="str">
        <f aca="false">IF(AQ533&lt;&gt;1,"",IF(AND(AG533="",AH533=""),"",N(AG533)-N(AH533)))</f>
        <v/>
      </c>
      <c r="BX533" s="35" t="str">
        <f aca="true">IF(OR(AQ533&lt;&gt;1,AI533&lt;&gt;"Oui",AJ533=""),"",IF(AK533="",IF(NOW()&gt;AJ533+1,0,""),IF(AK533&lt;=AJ533,1,0)))</f>
        <v/>
      </c>
    </row>
    <row r="534" customFormat="false" ht="15" hidden="false" customHeight="false" outlineLevel="0" collapsed="false">
      <c r="B534" s="29"/>
      <c r="C534" s="29"/>
      <c r="D534" s="29"/>
      <c r="E534" s="29"/>
      <c r="F534" s="29"/>
      <c r="G534" s="29"/>
      <c r="H534" s="29"/>
      <c r="I534" s="29"/>
      <c r="J534" s="29"/>
      <c r="K534" s="29"/>
      <c r="L534" s="29"/>
      <c r="M534" s="29"/>
      <c r="N534" s="30"/>
      <c r="O534" s="30"/>
      <c r="P534" s="30"/>
      <c r="Q534" s="30"/>
      <c r="R534" s="30"/>
      <c r="S534" s="30"/>
      <c r="T534" s="30"/>
      <c r="U534" s="30"/>
      <c r="V534" s="31"/>
      <c r="W534" s="29"/>
      <c r="X534" s="29"/>
      <c r="Y534" s="29"/>
      <c r="Z534" s="29"/>
      <c r="AA534" s="30"/>
      <c r="AB534" s="30"/>
      <c r="AC534" s="30"/>
      <c r="AD534" s="30"/>
      <c r="AE534" s="30"/>
      <c r="AF534" s="32"/>
      <c r="AG534" s="33"/>
      <c r="AH534" s="33"/>
      <c r="AI534" s="29"/>
      <c r="AJ534" s="32"/>
      <c r="AK534" s="32"/>
      <c r="AL534" s="29"/>
      <c r="AN534" s="34" t="str">
        <f aca="false">IF($B534="","",IF(OR(C534="",D534="",E534="",G534="",I534="",J534="",L534="",O534="",P534=""),"Champ obligatoire manquant",IF(OR(AND(N534&lt;&gt;"",N534&gt;O534),O534&gt;P534,AND(Q534&lt;&gt;"",Q534&lt;P534),AND(R534&lt;&gt;"",R534&lt;P534),AND(S534&lt;&gt;"",S534&lt;R534),AND(S534&lt;&gt;"",R534=""),AND(T534&lt;&gt;"",T534&lt;O534),AND(U534&lt;&gt;"",U534&lt;O534)),"Chronologie incohérente",IF(AND(OR(L534="Résolu",L534="Clos"),R534=""),"Date de résolution manquante",IF(AND(L534="Clos",S534=""),"Date de clôture manquante",IF(AND(K534="Oui",AC534=""),"Classification DORA manquante","OK"))))))</f>
        <v/>
      </c>
      <c r="AO534" s="35" t="str">
        <f aca="false">IF($B534="","",IF(AND(C534="Incident",L534&lt;&gt;"Annulé"),1,0))</f>
        <v/>
      </c>
      <c r="AP534" s="35" t="str">
        <f aca="false">IF($B534="","",IF(AND(C534="Quasi-incident",L534&lt;&gt;"Annulé"),1,0))</f>
        <v/>
      </c>
      <c r="AQ534" s="35" t="str">
        <f aca="false">IF($B534="","",AO534+AP534)</f>
        <v/>
      </c>
      <c r="AR534" s="36" t="str">
        <f aca="false">IF(OR($B534="",J534=""),"",IFERROR(VALUE(LEFT(J534,1)),""))</f>
        <v/>
      </c>
      <c r="AS534" s="35" t="str">
        <f aca="false">IF(OR(AO534&lt;&gt;1,G534=""),"",IFERROR(IF(INDEX(L_SrcInterne,MATCH(G534,L_Sources,0))="Oui",1,0),""))</f>
        <v/>
      </c>
      <c r="AT534" s="37" t="str">
        <f aca="false">IF(AO534&lt;&gt;1,"",IFERROR(ROUND(IF(OR(N534="",O534=""),"",IF(O534&lt;N534,"",ROUND(((NETWORKDAYS(N534,O534,JoursFeries)-1)*(HFer-HOuv)+IF(NETWORKDAYS(O534,O534,JoursFeries),MEDIAN(MOD(O534,1),HFer,HOuv),HFer)-IF(NETWORKDAYS(N534,N534,JoursFeries),MEDIAN(MOD(N534,1),HFer,HOuv),HOuv))*24,4)))/HJour,4),""))</f>
        <v/>
      </c>
      <c r="AU534" s="37" t="str">
        <f aca="false">IF(AO534&lt;&gt;1,"",IF(OR(O534="",P534=""),"",IF(P534&lt;O534,"",ROUND(((NETWORKDAYS(O534,P534,JoursFeries)-1)*(HFer-HOuv)+IF(NETWORKDAYS(P534,P534,JoursFeries),MEDIAN(MOD(P534,1),HFer,HOuv),HFer)-IF(NETWORKDAYS(O534,O534,JoursFeries),MEDIAN(MOD(O534,1),HFer,HOuv),HOuv))*24,4))))</f>
        <v/>
      </c>
      <c r="AV534" s="37" t="str">
        <f aca="false">IF(AO534&lt;&gt;1,"",IF(OR(P534="",Q534=""),"",IF(Q534&lt;P534,"",ROUND(((NETWORKDAYS(P534,Q534,JoursFeries)-1)*(HFer-HOuv)+IF(NETWORKDAYS(Q534,Q534,JoursFeries),MEDIAN(MOD(Q534,1),HFer,HOuv),HFer)-IF(NETWORKDAYS(P534,P534,JoursFeries),MEDIAN(MOD(P534,1),HFer,HOuv),HOuv))*24,4))))</f>
        <v/>
      </c>
      <c r="AW534" s="37" t="str">
        <f aca="false">IF(AO534&lt;&gt;1,"",IFERROR(ROUND(IF(OR(P534="",R534=""),"",IF(R534&lt;P534,"",ROUND(((NETWORKDAYS(P534,R534,JoursFeries)-1)*(HFer-HOuv)+IF(NETWORKDAYS(R534,R534,JoursFeries),MEDIAN(MOD(R534,1),HFer,HOuv),HFer)-IF(NETWORKDAYS(P534,P534,JoursFeries),MEDIAN(MOD(P534,1),HFer,HOuv),HOuv))*24,4)))/HJour,4),""))</f>
        <v/>
      </c>
      <c r="AX534" s="37" t="str">
        <f aca="false">IF(AO534&lt;&gt;1,"",IFERROR(ROUND(IF(OR(P534="",S534=""),"",IF(S534&lt;P534,"",ROUND(((NETWORKDAYS(P534,S534,JoursFeries)-1)*(HFer-HOuv)+IF(NETWORKDAYS(S534,S534,JoursFeries),MEDIAN(MOD(S534,1),HFer,HOuv),HFer)-IF(NETWORKDAYS(P534,P534,JoursFeries),MEDIAN(MOD(P534,1),HFer,HOuv),HOuv))*24,4)))/HJour,4),""))</f>
        <v/>
      </c>
      <c r="AY534" s="36" t="str">
        <f aca="false">IF(OR(AO534&lt;&gt;1,AR534=""),"",INDEX(SLA_PEC,AR534))</f>
        <v/>
      </c>
      <c r="AZ534" s="35" t="str">
        <f aca="false">IF(OR(AV534="",AY534=""),"",IF(AV534&lt;=AY534,1,0))</f>
        <v/>
      </c>
      <c r="BA534" s="36" t="str">
        <f aca="false">IF(OR(AO534&lt;&gt;1,AR534=""),"",INDEX(SLA_RES,AR534))</f>
        <v/>
      </c>
      <c r="BB534" s="35" t="str">
        <f aca="false">IF(OR(AW534="",BA534=""),"",IF(AW534&lt;=BA534,1,0))</f>
        <v/>
      </c>
      <c r="BC534" s="38" t="str">
        <f aca="false">IF(OR(BA534="",P534=""),"",WORKDAY(INT(P534),BA534,JoursFeries)+MOD(P534,1))</f>
        <v/>
      </c>
      <c r="BD534" s="39" t="str">
        <f aca="false">IF(AO534&lt;&gt;1,"",IF(OR(AB534&lt;&gt;"",AD534&lt;&gt;""),4,IF(U534&lt;&gt;"",3,IF(T534&lt;&gt;"",2,1))))</f>
        <v/>
      </c>
      <c r="BE534" s="39" t="str">
        <f aca="false">IF(OR(AO534&lt;&gt;1,AR534=""),"",INDEX(NIV_REQ,AR534))</f>
        <v/>
      </c>
      <c r="BF534" s="39" t="str">
        <f aca="false">IF(BE534="","",MAX(BE534,IF(OR(K534="Oui",Z534="Oui"),4,1)))</f>
        <v/>
      </c>
      <c r="BG534" s="35" t="str">
        <f aca="false">IF(OR(BF534="",BD534=""),"",IF(BD534&gt;=BF534,1,0))</f>
        <v/>
      </c>
      <c r="BH534" s="38" t="str">
        <f aca="false">IF(BE534="","",IF(BE534&lt;2,"",IF(BE534=2,IF(AND(T534="",U534=""),"",MIN(T534,U534)),IF(U534="","",U534))))</f>
        <v/>
      </c>
      <c r="BI534" s="37" t="str">
        <f aca="false">IF(BH534="","",IF(OR(O534="",BH534=""),"",IF(BH534&lt;O534,"",ROUND(((NETWORKDAYS(O534,BH534,JoursFeries)-1)*(HFer-HOuv)+IF(NETWORKDAYS(BH534,BH534,JoursFeries),MEDIAN(MOD(BH534,1),HFer,HOuv),HFer)-IF(NETWORKDAYS(O534,O534,JoursFeries),MEDIAN(MOD(O534,1),HFer,HOuv),HOuv))*24,4))))</f>
        <v/>
      </c>
      <c r="BJ534" s="35" t="str">
        <f aca="false">IF(OR(BI534="",AR534=""),"",IF(BI534&lt;=INDEX(DELAI_ESC,AR534),1,0))</f>
        <v/>
      </c>
      <c r="BK534" s="38" t="str">
        <f aca="false">IF(AO534&lt;&gt;1,"",IF(AND(T534="",U534=""),"",MIN(T534,U534)))</f>
        <v/>
      </c>
      <c r="BL534" s="37" t="str">
        <f aca="false">IF(OR(BK534="",R534=""),"",IFERROR(ROUND(IF(OR(BK534="",R534=""),"",IF(R534&lt;BK534,"",ROUND(((NETWORKDAYS(BK534,R534,JoursFeries)-1)*(HFer-HOuv)+IF(NETWORKDAYS(R534,R534,JoursFeries),MEDIAN(MOD(R534,1),HFer,HOuv),HFer)-IF(NETWORKDAYS(BK534,BK534,JoursFeries),MEDIAN(MOD(BK534,1),HFer,HOuv),HOuv))*24,4)))/HJour,4),""))</f>
        <v/>
      </c>
      <c r="BM534" s="35" t="str">
        <f aca="false">IF(OR(AO534&lt;&gt;1,R534=""),"",IF(BD534=1,1,0))</f>
        <v/>
      </c>
      <c r="BN534" s="35" t="str">
        <f aca="false">IF(AO534&lt;&gt;1,"",IF(W534="Oui",1,0))</f>
        <v/>
      </c>
      <c r="BO534" s="35" t="str">
        <f aca="false">IF(AO534&lt;&gt;1,"",IF(X534&lt;&gt;"",1,0))</f>
        <v/>
      </c>
      <c r="BP534" s="35" t="str">
        <f aca="false">IF(AO534&lt;&gt;1,"",IF(Y534="Oui",1,0))</f>
        <v/>
      </c>
      <c r="BQ534" s="35" t="str">
        <f aca="true">IF(OR(AO534&lt;&gt;1,Z534&lt;&gt;"Oui"),"",IF(AB534="",IF(AND(AA534&lt;&gt;"",NOW()&gt;AA534),0,""),IF(AA534="","",IF(AB534&lt;=AA534,1,0))))</f>
        <v/>
      </c>
      <c r="BR534" s="38" t="str">
        <f aca="false">IF(OR(AO534&lt;&gt;1,K534&lt;&gt;"Oui",O534=""),"",IF(AC534="",O534+DORA_H_DET/24,IF(AC534-O534&lt;=DORA_H_DET/24,MIN(AC534+DORA_H_CLA/24,O534+DORA_H_DET/24),AC534+DORA_H_CLA/24)))</f>
        <v/>
      </c>
      <c r="BS534" s="35" t="str">
        <f aca="true">IF(BR534="","",IF(AD534="",IF(NOW()&gt;BR534,0,""),IF(AD534&lt;=BR534,1,0)))</f>
        <v/>
      </c>
      <c r="BT534" s="35" t="str">
        <f aca="true">IF(OR(BR534="",AD534=""),"",IF(AE534="",IF(NOW()&gt;AD534+DORA_H_INT/24,0,""),IF(AE534&lt;=AD534+DORA_H_INT/24,1,0)))</f>
        <v/>
      </c>
      <c r="BU534" s="35" t="str">
        <f aca="true">IF(OR(BR534="",AE534=""),"",IF(AF534="",IF(NOW()&gt;EDATE(AE534,DORA_M_FIN)+1,0,""),IF(AF534&lt;=EDATE(AE534,DORA_M_FIN),1,0)))</f>
        <v/>
      </c>
      <c r="BV534" s="35" t="str">
        <f aca="false">IF(BR534="","",IF(COUNT(BS534:BU534)=0,"",MIN(BS534:BU534)))</f>
        <v/>
      </c>
      <c r="BW534" s="40" t="str">
        <f aca="false">IF(AQ534&lt;&gt;1,"",IF(AND(AG534="",AH534=""),"",N(AG534)-N(AH534)))</f>
        <v/>
      </c>
      <c r="BX534" s="35" t="str">
        <f aca="true">IF(OR(AQ534&lt;&gt;1,AI534&lt;&gt;"Oui",AJ534=""),"",IF(AK534="",IF(NOW()&gt;AJ534+1,0,""),IF(AK534&lt;=AJ534,1,0)))</f>
        <v/>
      </c>
    </row>
    <row r="535" customFormat="false" ht="15" hidden="false" customHeight="false" outlineLevel="0" collapsed="false">
      <c r="B535" s="29"/>
      <c r="C535" s="29"/>
      <c r="D535" s="29"/>
      <c r="E535" s="29"/>
      <c r="F535" s="29"/>
      <c r="G535" s="29"/>
      <c r="H535" s="29"/>
      <c r="I535" s="29"/>
      <c r="J535" s="29"/>
      <c r="K535" s="29"/>
      <c r="L535" s="29"/>
      <c r="M535" s="29"/>
      <c r="N535" s="30"/>
      <c r="O535" s="30"/>
      <c r="P535" s="30"/>
      <c r="Q535" s="30"/>
      <c r="R535" s="30"/>
      <c r="S535" s="30"/>
      <c r="T535" s="30"/>
      <c r="U535" s="30"/>
      <c r="V535" s="31"/>
      <c r="W535" s="29"/>
      <c r="X535" s="29"/>
      <c r="Y535" s="29"/>
      <c r="Z535" s="29"/>
      <c r="AA535" s="30"/>
      <c r="AB535" s="30"/>
      <c r="AC535" s="30"/>
      <c r="AD535" s="30"/>
      <c r="AE535" s="30"/>
      <c r="AF535" s="32"/>
      <c r="AG535" s="33"/>
      <c r="AH535" s="33"/>
      <c r="AI535" s="29"/>
      <c r="AJ535" s="32"/>
      <c r="AK535" s="32"/>
      <c r="AL535" s="29"/>
      <c r="AN535" s="34" t="str">
        <f aca="false">IF($B535="","",IF(OR(C535="",D535="",E535="",G535="",I535="",J535="",L535="",O535="",P535=""),"Champ obligatoire manquant",IF(OR(AND(N535&lt;&gt;"",N535&gt;O535),O535&gt;P535,AND(Q535&lt;&gt;"",Q535&lt;P535),AND(R535&lt;&gt;"",R535&lt;P535),AND(S535&lt;&gt;"",S535&lt;R535),AND(S535&lt;&gt;"",R535=""),AND(T535&lt;&gt;"",T535&lt;O535),AND(U535&lt;&gt;"",U535&lt;O535)),"Chronologie incohérente",IF(AND(OR(L535="Résolu",L535="Clos"),R535=""),"Date de résolution manquante",IF(AND(L535="Clos",S535=""),"Date de clôture manquante",IF(AND(K535="Oui",AC535=""),"Classification DORA manquante","OK"))))))</f>
        <v/>
      </c>
      <c r="AO535" s="35" t="str">
        <f aca="false">IF($B535="","",IF(AND(C535="Incident",L535&lt;&gt;"Annulé"),1,0))</f>
        <v/>
      </c>
      <c r="AP535" s="35" t="str">
        <f aca="false">IF($B535="","",IF(AND(C535="Quasi-incident",L535&lt;&gt;"Annulé"),1,0))</f>
        <v/>
      </c>
      <c r="AQ535" s="35" t="str">
        <f aca="false">IF($B535="","",AO535+AP535)</f>
        <v/>
      </c>
      <c r="AR535" s="36" t="str">
        <f aca="false">IF(OR($B535="",J535=""),"",IFERROR(VALUE(LEFT(J535,1)),""))</f>
        <v/>
      </c>
      <c r="AS535" s="35" t="str">
        <f aca="false">IF(OR(AO535&lt;&gt;1,G535=""),"",IFERROR(IF(INDEX(L_SrcInterne,MATCH(G535,L_Sources,0))="Oui",1,0),""))</f>
        <v/>
      </c>
      <c r="AT535" s="37" t="str">
        <f aca="false">IF(AO535&lt;&gt;1,"",IFERROR(ROUND(IF(OR(N535="",O535=""),"",IF(O535&lt;N535,"",ROUND(((NETWORKDAYS(N535,O535,JoursFeries)-1)*(HFer-HOuv)+IF(NETWORKDAYS(O535,O535,JoursFeries),MEDIAN(MOD(O535,1),HFer,HOuv),HFer)-IF(NETWORKDAYS(N535,N535,JoursFeries),MEDIAN(MOD(N535,1),HFer,HOuv),HOuv))*24,4)))/HJour,4),""))</f>
        <v/>
      </c>
      <c r="AU535" s="37" t="str">
        <f aca="false">IF(AO535&lt;&gt;1,"",IF(OR(O535="",P535=""),"",IF(P535&lt;O535,"",ROUND(((NETWORKDAYS(O535,P535,JoursFeries)-1)*(HFer-HOuv)+IF(NETWORKDAYS(P535,P535,JoursFeries),MEDIAN(MOD(P535,1),HFer,HOuv),HFer)-IF(NETWORKDAYS(O535,O535,JoursFeries),MEDIAN(MOD(O535,1),HFer,HOuv),HOuv))*24,4))))</f>
        <v/>
      </c>
      <c r="AV535" s="37" t="str">
        <f aca="false">IF(AO535&lt;&gt;1,"",IF(OR(P535="",Q535=""),"",IF(Q535&lt;P535,"",ROUND(((NETWORKDAYS(P535,Q535,JoursFeries)-1)*(HFer-HOuv)+IF(NETWORKDAYS(Q535,Q535,JoursFeries),MEDIAN(MOD(Q535,1),HFer,HOuv),HFer)-IF(NETWORKDAYS(P535,P535,JoursFeries),MEDIAN(MOD(P535,1),HFer,HOuv),HOuv))*24,4))))</f>
        <v/>
      </c>
      <c r="AW535" s="37" t="str">
        <f aca="false">IF(AO535&lt;&gt;1,"",IFERROR(ROUND(IF(OR(P535="",R535=""),"",IF(R535&lt;P535,"",ROUND(((NETWORKDAYS(P535,R535,JoursFeries)-1)*(HFer-HOuv)+IF(NETWORKDAYS(R535,R535,JoursFeries),MEDIAN(MOD(R535,1),HFer,HOuv),HFer)-IF(NETWORKDAYS(P535,P535,JoursFeries),MEDIAN(MOD(P535,1),HFer,HOuv),HOuv))*24,4)))/HJour,4),""))</f>
        <v/>
      </c>
      <c r="AX535" s="37" t="str">
        <f aca="false">IF(AO535&lt;&gt;1,"",IFERROR(ROUND(IF(OR(P535="",S535=""),"",IF(S535&lt;P535,"",ROUND(((NETWORKDAYS(P535,S535,JoursFeries)-1)*(HFer-HOuv)+IF(NETWORKDAYS(S535,S535,JoursFeries),MEDIAN(MOD(S535,1),HFer,HOuv),HFer)-IF(NETWORKDAYS(P535,P535,JoursFeries),MEDIAN(MOD(P535,1),HFer,HOuv),HOuv))*24,4)))/HJour,4),""))</f>
        <v/>
      </c>
      <c r="AY535" s="36" t="str">
        <f aca="false">IF(OR(AO535&lt;&gt;1,AR535=""),"",INDEX(SLA_PEC,AR535))</f>
        <v/>
      </c>
      <c r="AZ535" s="35" t="str">
        <f aca="false">IF(OR(AV535="",AY535=""),"",IF(AV535&lt;=AY535,1,0))</f>
        <v/>
      </c>
      <c r="BA535" s="36" t="str">
        <f aca="false">IF(OR(AO535&lt;&gt;1,AR535=""),"",INDEX(SLA_RES,AR535))</f>
        <v/>
      </c>
      <c r="BB535" s="35" t="str">
        <f aca="false">IF(OR(AW535="",BA535=""),"",IF(AW535&lt;=BA535,1,0))</f>
        <v/>
      </c>
      <c r="BC535" s="38" t="str">
        <f aca="false">IF(OR(BA535="",P535=""),"",WORKDAY(INT(P535),BA535,JoursFeries)+MOD(P535,1))</f>
        <v/>
      </c>
      <c r="BD535" s="39" t="str">
        <f aca="false">IF(AO535&lt;&gt;1,"",IF(OR(AB535&lt;&gt;"",AD535&lt;&gt;""),4,IF(U535&lt;&gt;"",3,IF(T535&lt;&gt;"",2,1))))</f>
        <v/>
      </c>
      <c r="BE535" s="39" t="str">
        <f aca="false">IF(OR(AO535&lt;&gt;1,AR535=""),"",INDEX(NIV_REQ,AR535))</f>
        <v/>
      </c>
      <c r="BF535" s="39" t="str">
        <f aca="false">IF(BE535="","",MAX(BE535,IF(OR(K535="Oui",Z535="Oui"),4,1)))</f>
        <v/>
      </c>
      <c r="BG535" s="35" t="str">
        <f aca="false">IF(OR(BF535="",BD535=""),"",IF(BD535&gt;=BF535,1,0))</f>
        <v/>
      </c>
      <c r="BH535" s="38" t="str">
        <f aca="false">IF(BE535="","",IF(BE535&lt;2,"",IF(BE535=2,IF(AND(T535="",U535=""),"",MIN(T535,U535)),IF(U535="","",U535))))</f>
        <v/>
      </c>
      <c r="BI535" s="37" t="str">
        <f aca="false">IF(BH535="","",IF(OR(O535="",BH535=""),"",IF(BH535&lt;O535,"",ROUND(((NETWORKDAYS(O535,BH535,JoursFeries)-1)*(HFer-HOuv)+IF(NETWORKDAYS(BH535,BH535,JoursFeries),MEDIAN(MOD(BH535,1),HFer,HOuv),HFer)-IF(NETWORKDAYS(O535,O535,JoursFeries),MEDIAN(MOD(O535,1),HFer,HOuv),HOuv))*24,4))))</f>
        <v/>
      </c>
      <c r="BJ535" s="35" t="str">
        <f aca="false">IF(OR(BI535="",AR535=""),"",IF(BI535&lt;=INDEX(DELAI_ESC,AR535),1,0))</f>
        <v/>
      </c>
      <c r="BK535" s="38" t="str">
        <f aca="false">IF(AO535&lt;&gt;1,"",IF(AND(T535="",U535=""),"",MIN(T535,U535)))</f>
        <v/>
      </c>
      <c r="BL535" s="37" t="str">
        <f aca="false">IF(OR(BK535="",R535=""),"",IFERROR(ROUND(IF(OR(BK535="",R535=""),"",IF(R535&lt;BK535,"",ROUND(((NETWORKDAYS(BK535,R535,JoursFeries)-1)*(HFer-HOuv)+IF(NETWORKDAYS(R535,R535,JoursFeries),MEDIAN(MOD(R535,1),HFer,HOuv),HFer)-IF(NETWORKDAYS(BK535,BK535,JoursFeries),MEDIAN(MOD(BK535,1),HFer,HOuv),HOuv))*24,4)))/HJour,4),""))</f>
        <v/>
      </c>
      <c r="BM535" s="35" t="str">
        <f aca="false">IF(OR(AO535&lt;&gt;1,R535=""),"",IF(BD535=1,1,0))</f>
        <v/>
      </c>
      <c r="BN535" s="35" t="str">
        <f aca="false">IF(AO535&lt;&gt;1,"",IF(W535="Oui",1,0))</f>
        <v/>
      </c>
      <c r="BO535" s="35" t="str">
        <f aca="false">IF(AO535&lt;&gt;1,"",IF(X535&lt;&gt;"",1,0))</f>
        <v/>
      </c>
      <c r="BP535" s="35" t="str">
        <f aca="false">IF(AO535&lt;&gt;1,"",IF(Y535="Oui",1,0))</f>
        <v/>
      </c>
      <c r="BQ535" s="35" t="str">
        <f aca="true">IF(OR(AO535&lt;&gt;1,Z535&lt;&gt;"Oui"),"",IF(AB535="",IF(AND(AA535&lt;&gt;"",NOW()&gt;AA535),0,""),IF(AA535="","",IF(AB535&lt;=AA535,1,0))))</f>
        <v/>
      </c>
      <c r="BR535" s="38" t="str">
        <f aca="false">IF(OR(AO535&lt;&gt;1,K535&lt;&gt;"Oui",O535=""),"",IF(AC535="",O535+DORA_H_DET/24,IF(AC535-O535&lt;=DORA_H_DET/24,MIN(AC535+DORA_H_CLA/24,O535+DORA_H_DET/24),AC535+DORA_H_CLA/24)))</f>
        <v/>
      </c>
      <c r="BS535" s="35" t="str">
        <f aca="true">IF(BR535="","",IF(AD535="",IF(NOW()&gt;BR535,0,""),IF(AD535&lt;=BR535,1,0)))</f>
        <v/>
      </c>
      <c r="BT535" s="35" t="str">
        <f aca="true">IF(OR(BR535="",AD535=""),"",IF(AE535="",IF(NOW()&gt;AD535+DORA_H_INT/24,0,""),IF(AE535&lt;=AD535+DORA_H_INT/24,1,0)))</f>
        <v/>
      </c>
      <c r="BU535" s="35" t="str">
        <f aca="true">IF(OR(BR535="",AE535=""),"",IF(AF535="",IF(NOW()&gt;EDATE(AE535,DORA_M_FIN)+1,0,""),IF(AF535&lt;=EDATE(AE535,DORA_M_FIN),1,0)))</f>
        <v/>
      </c>
      <c r="BV535" s="35" t="str">
        <f aca="false">IF(BR535="","",IF(COUNT(BS535:BU535)=0,"",MIN(BS535:BU535)))</f>
        <v/>
      </c>
      <c r="BW535" s="40" t="str">
        <f aca="false">IF(AQ535&lt;&gt;1,"",IF(AND(AG535="",AH535=""),"",N(AG535)-N(AH535)))</f>
        <v/>
      </c>
      <c r="BX535" s="35" t="str">
        <f aca="true">IF(OR(AQ535&lt;&gt;1,AI535&lt;&gt;"Oui",AJ535=""),"",IF(AK535="",IF(NOW()&gt;AJ535+1,0,""),IF(AK535&lt;=AJ535,1,0)))</f>
        <v/>
      </c>
    </row>
    <row r="536" customFormat="false" ht="15" hidden="false" customHeight="false" outlineLevel="0" collapsed="false">
      <c r="B536" s="29"/>
      <c r="C536" s="29"/>
      <c r="D536" s="29"/>
      <c r="E536" s="29"/>
      <c r="F536" s="29"/>
      <c r="G536" s="29"/>
      <c r="H536" s="29"/>
      <c r="I536" s="29"/>
      <c r="J536" s="29"/>
      <c r="K536" s="29"/>
      <c r="L536" s="29"/>
      <c r="M536" s="29"/>
      <c r="N536" s="30"/>
      <c r="O536" s="30"/>
      <c r="P536" s="30"/>
      <c r="Q536" s="30"/>
      <c r="R536" s="30"/>
      <c r="S536" s="30"/>
      <c r="T536" s="30"/>
      <c r="U536" s="30"/>
      <c r="V536" s="31"/>
      <c r="W536" s="29"/>
      <c r="X536" s="29"/>
      <c r="Y536" s="29"/>
      <c r="Z536" s="29"/>
      <c r="AA536" s="30"/>
      <c r="AB536" s="30"/>
      <c r="AC536" s="30"/>
      <c r="AD536" s="30"/>
      <c r="AE536" s="30"/>
      <c r="AF536" s="32"/>
      <c r="AG536" s="33"/>
      <c r="AH536" s="33"/>
      <c r="AI536" s="29"/>
      <c r="AJ536" s="32"/>
      <c r="AK536" s="32"/>
      <c r="AL536" s="29"/>
      <c r="AN536" s="34" t="str">
        <f aca="false">IF($B536="","",IF(OR(C536="",D536="",E536="",G536="",I536="",J536="",L536="",O536="",P536=""),"Champ obligatoire manquant",IF(OR(AND(N536&lt;&gt;"",N536&gt;O536),O536&gt;P536,AND(Q536&lt;&gt;"",Q536&lt;P536),AND(R536&lt;&gt;"",R536&lt;P536),AND(S536&lt;&gt;"",S536&lt;R536),AND(S536&lt;&gt;"",R536=""),AND(T536&lt;&gt;"",T536&lt;O536),AND(U536&lt;&gt;"",U536&lt;O536)),"Chronologie incohérente",IF(AND(OR(L536="Résolu",L536="Clos"),R536=""),"Date de résolution manquante",IF(AND(L536="Clos",S536=""),"Date de clôture manquante",IF(AND(K536="Oui",AC536=""),"Classification DORA manquante","OK"))))))</f>
        <v/>
      </c>
      <c r="AO536" s="35" t="str">
        <f aca="false">IF($B536="","",IF(AND(C536="Incident",L536&lt;&gt;"Annulé"),1,0))</f>
        <v/>
      </c>
      <c r="AP536" s="35" t="str">
        <f aca="false">IF($B536="","",IF(AND(C536="Quasi-incident",L536&lt;&gt;"Annulé"),1,0))</f>
        <v/>
      </c>
      <c r="AQ536" s="35" t="str">
        <f aca="false">IF($B536="","",AO536+AP536)</f>
        <v/>
      </c>
      <c r="AR536" s="36" t="str">
        <f aca="false">IF(OR($B536="",J536=""),"",IFERROR(VALUE(LEFT(J536,1)),""))</f>
        <v/>
      </c>
      <c r="AS536" s="35" t="str">
        <f aca="false">IF(OR(AO536&lt;&gt;1,G536=""),"",IFERROR(IF(INDEX(L_SrcInterne,MATCH(G536,L_Sources,0))="Oui",1,0),""))</f>
        <v/>
      </c>
      <c r="AT536" s="37" t="str">
        <f aca="false">IF(AO536&lt;&gt;1,"",IFERROR(ROUND(IF(OR(N536="",O536=""),"",IF(O536&lt;N536,"",ROUND(((NETWORKDAYS(N536,O536,JoursFeries)-1)*(HFer-HOuv)+IF(NETWORKDAYS(O536,O536,JoursFeries),MEDIAN(MOD(O536,1),HFer,HOuv),HFer)-IF(NETWORKDAYS(N536,N536,JoursFeries),MEDIAN(MOD(N536,1),HFer,HOuv),HOuv))*24,4)))/HJour,4),""))</f>
        <v/>
      </c>
      <c r="AU536" s="37" t="str">
        <f aca="false">IF(AO536&lt;&gt;1,"",IF(OR(O536="",P536=""),"",IF(P536&lt;O536,"",ROUND(((NETWORKDAYS(O536,P536,JoursFeries)-1)*(HFer-HOuv)+IF(NETWORKDAYS(P536,P536,JoursFeries),MEDIAN(MOD(P536,1),HFer,HOuv),HFer)-IF(NETWORKDAYS(O536,O536,JoursFeries),MEDIAN(MOD(O536,1),HFer,HOuv),HOuv))*24,4))))</f>
        <v/>
      </c>
      <c r="AV536" s="37" t="str">
        <f aca="false">IF(AO536&lt;&gt;1,"",IF(OR(P536="",Q536=""),"",IF(Q536&lt;P536,"",ROUND(((NETWORKDAYS(P536,Q536,JoursFeries)-1)*(HFer-HOuv)+IF(NETWORKDAYS(Q536,Q536,JoursFeries),MEDIAN(MOD(Q536,1),HFer,HOuv),HFer)-IF(NETWORKDAYS(P536,P536,JoursFeries),MEDIAN(MOD(P536,1),HFer,HOuv),HOuv))*24,4))))</f>
        <v/>
      </c>
      <c r="AW536" s="37" t="str">
        <f aca="false">IF(AO536&lt;&gt;1,"",IFERROR(ROUND(IF(OR(P536="",R536=""),"",IF(R536&lt;P536,"",ROUND(((NETWORKDAYS(P536,R536,JoursFeries)-1)*(HFer-HOuv)+IF(NETWORKDAYS(R536,R536,JoursFeries),MEDIAN(MOD(R536,1),HFer,HOuv),HFer)-IF(NETWORKDAYS(P536,P536,JoursFeries),MEDIAN(MOD(P536,1),HFer,HOuv),HOuv))*24,4)))/HJour,4),""))</f>
        <v/>
      </c>
      <c r="AX536" s="37" t="str">
        <f aca="false">IF(AO536&lt;&gt;1,"",IFERROR(ROUND(IF(OR(P536="",S536=""),"",IF(S536&lt;P536,"",ROUND(((NETWORKDAYS(P536,S536,JoursFeries)-1)*(HFer-HOuv)+IF(NETWORKDAYS(S536,S536,JoursFeries),MEDIAN(MOD(S536,1),HFer,HOuv),HFer)-IF(NETWORKDAYS(P536,P536,JoursFeries),MEDIAN(MOD(P536,1),HFer,HOuv),HOuv))*24,4)))/HJour,4),""))</f>
        <v/>
      </c>
      <c r="AY536" s="36" t="str">
        <f aca="false">IF(OR(AO536&lt;&gt;1,AR536=""),"",INDEX(SLA_PEC,AR536))</f>
        <v/>
      </c>
      <c r="AZ536" s="35" t="str">
        <f aca="false">IF(OR(AV536="",AY536=""),"",IF(AV536&lt;=AY536,1,0))</f>
        <v/>
      </c>
      <c r="BA536" s="36" t="str">
        <f aca="false">IF(OR(AO536&lt;&gt;1,AR536=""),"",INDEX(SLA_RES,AR536))</f>
        <v/>
      </c>
      <c r="BB536" s="35" t="str">
        <f aca="false">IF(OR(AW536="",BA536=""),"",IF(AW536&lt;=BA536,1,0))</f>
        <v/>
      </c>
      <c r="BC536" s="38" t="str">
        <f aca="false">IF(OR(BA536="",P536=""),"",WORKDAY(INT(P536),BA536,JoursFeries)+MOD(P536,1))</f>
        <v/>
      </c>
      <c r="BD536" s="39" t="str">
        <f aca="false">IF(AO536&lt;&gt;1,"",IF(OR(AB536&lt;&gt;"",AD536&lt;&gt;""),4,IF(U536&lt;&gt;"",3,IF(T536&lt;&gt;"",2,1))))</f>
        <v/>
      </c>
      <c r="BE536" s="39" t="str">
        <f aca="false">IF(OR(AO536&lt;&gt;1,AR536=""),"",INDEX(NIV_REQ,AR536))</f>
        <v/>
      </c>
      <c r="BF536" s="39" t="str">
        <f aca="false">IF(BE536="","",MAX(BE536,IF(OR(K536="Oui",Z536="Oui"),4,1)))</f>
        <v/>
      </c>
      <c r="BG536" s="35" t="str">
        <f aca="false">IF(OR(BF536="",BD536=""),"",IF(BD536&gt;=BF536,1,0))</f>
        <v/>
      </c>
      <c r="BH536" s="38" t="str">
        <f aca="false">IF(BE536="","",IF(BE536&lt;2,"",IF(BE536=2,IF(AND(T536="",U536=""),"",MIN(T536,U536)),IF(U536="","",U536))))</f>
        <v/>
      </c>
      <c r="BI536" s="37" t="str">
        <f aca="false">IF(BH536="","",IF(OR(O536="",BH536=""),"",IF(BH536&lt;O536,"",ROUND(((NETWORKDAYS(O536,BH536,JoursFeries)-1)*(HFer-HOuv)+IF(NETWORKDAYS(BH536,BH536,JoursFeries),MEDIAN(MOD(BH536,1),HFer,HOuv),HFer)-IF(NETWORKDAYS(O536,O536,JoursFeries),MEDIAN(MOD(O536,1),HFer,HOuv),HOuv))*24,4))))</f>
        <v/>
      </c>
      <c r="BJ536" s="35" t="str">
        <f aca="false">IF(OR(BI536="",AR536=""),"",IF(BI536&lt;=INDEX(DELAI_ESC,AR536),1,0))</f>
        <v/>
      </c>
      <c r="BK536" s="38" t="str">
        <f aca="false">IF(AO536&lt;&gt;1,"",IF(AND(T536="",U536=""),"",MIN(T536,U536)))</f>
        <v/>
      </c>
      <c r="BL536" s="37" t="str">
        <f aca="false">IF(OR(BK536="",R536=""),"",IFERROR(ROUND(IF(OR(BK536="",R536=""),"",IF(R536&lt;BK536,"",ROUND(((NETWORKDAYS(BK536,R536,JoursFeries)-1)*(HFer-HOuv)+IF(NETWORKDAYS(R536,R536,JoursFeries),MEDIAN(MOD(R536,1),HFer,HOuv),HFer)-IF(NETWORKDAYS(BK536,BK536,JoursFeries),MEDIAN(MOD(BK536,1),HFer,HOuv),HOuv))*24,4)))/HJour,4),""))</f>
        <v/>
      </c>
      <c r="BM536" s="35" t="str">
        <f aca="false">IF(OR(AO536&lt;&gt;1,R536=""),"",IF(BD536=1,1,0))</f>
        <v/>
      </c>
      <c r="BN536" s="35" t="str">
        <f aca="false">IF(AO536&lt;&gt;1,"",IF(W536="Oui",1,0))</f>
        <v/>
      </c>
      <c r="BO536" s="35" t="str">
        <f aca="false">IF(AO536&lt;&gt;1,"",IF(X536&lt;&gt;"",1,0))</f>
        <v/>
      </c>
      <c r="BP536" s="35" t="str">
        <f aca="false">IF(AO536&lt;&gt;1,"",IF(Y536="Oui",1,0))</f>
        <v/>
      </c>
      <c r="BQ536" s="35" t="str">
        <f aca="true">IF(OR(AO536&lt;&gt;1,Z536&lt;&gt;"Oui"),"",IF(AB536="",IF(AND(AA536&lt;&gt;"",NOW()&gt;AA536),0,""),IF(AA536="","",IF(AB536&lt;=AA536,1,0))))</f>
        <v/>
      </c>
      <c r="BR536" s="38" t="str">
        <f aca="false">IF(OR(AO536&lt;&gt;1,K536&lt;&gt;"Oui",O536=""),"",IF(AC536="",O536+DORA_H_DET/24,IF(AC536-O536&lt;=DORA_H_DET/24,MIN(AC536+DORA_H_CLA/24,O536+DORA_H_DET/24),AC536+DORA_H_CLA/24)))</f>
        <v/>
      </c>
      <c r="BS536" s="35" t="str">
        <f aca="true">IF(BR536="","",IF(AD536="",IF(NOW()&gt;BR536,0,""),IF(AD536&lt;=BR536,1,0)))</f>
        <v/>
      </c>
      <c r="BT536" s="35" t="str">
        <f aca="true">IF(OR(BR536="",AD536=""),"",IF(AE536="",IF(NOW()&gt;AD536+DORA_H_INT/24,0,""),IF(AE536&lt;=AD536+DORA_H_INT/24,1,0)))</f>
        <v/>
      </c>
      <c r="BU536" s="35" t="str">
        <f aca="true">IF(OR(BR536="",AE536=""),"",IF(AF536="",IF(NOW()&gt;EDATE(AE536,DORA_M_FIN)+1,0,""),IF(AF536&lt;=EDATE(AE536,DORA_M_FIN),1,0)))</f>
        <v/>
      </c>
      <c r="BV536" s="35" t="str">
        <f aca="false">IF(BR536="","",IF(COUNT(BS536:BU536)=0,"",MIN(BS536:BU536)))</f>
        <v/>
      </c>
      <c r="BW536" s="40" t="str">
        <f aca="false">IF(AQ536&lt;&gt;1,"",IF(AND(AG536="",AH536=""),"",N(AG536)-N(AH536)))</f>
        <v/>
      </c>
      <c r="BX536" s="35" t="str">
        <f aca="true">IF(OR(AQ536&lt;&gt;1,AI536&lt;&gt;"Oui",AJ536=""),"",IF(AK536="",IF(NOW()&gt;AJ536+1,0,""),IF(AK536&lt;=AJ536,1,0)))</f>
        <v/>
      </c>
    </row>
    <row r="537" customFormat="false" ht="15" hidden="false" customHeight="false" outlineLevel="0" collapsed="false">
      <c r="B537" s="29"/>
      <c r="C537" s="29"/>
      <c r="D537" s="29"/>
      <c r="E537" s="29"/>
      <c r="F537" s="29"/>
      <c r="G537" s="29"/>
      <c r="H537" s="29"/>
      <c r="I537" s="29"/>
      <c r="J537" s="29"/>
      <c r="K537" s="29"/>
      <c r="L537" s="29"/>
      <c r="M537" s="29"/>
      <c r="N537" s="30"/>
      <c r="O537" s="30"/>
      <c r="P537" s="30"/>
      <c r="Q537" s="30"/>
      <c r="R537" s="30"/>
      <c r="S537" s="30"/>
      <c r="T537" s="30"/>
      <c r="U537" s="30"/>
      <c r="V537" s="31"/>
      <c r="W537" s="29"/>
      <c r="X537" s="29"/>
      <c r="Y537" s="29"/>
      <c r="Z537" s="29"/>
      <c r="AA537" s="30"/>
      <c r="AB537" s="30"/>
      <c r="AC537" s="30"/>
      <c r="AD537" s="30"/>
      <c r="AE537" s="30"/>
      <c r="AF537" s="32"/>
      <c r="AG537" s="33"/>
      <c r="AH537" s="33"/>
      <c r="AI537" s="29"/>
      <c r="AJ537" s="32"/>
      <c r="AK537" s="32"/>
      <c r="AL537" s="29"/>
      <c r="AN537" s="34" t="str">
        <f aca="false">IF($B537="","",IF(OR(C537="",D537="",E537="",G537="",I537="",J537="",L537="",O537="",P537=""),"Champ obligatoire manquant",IF(OR(AND(N537&lt;&gt;"",N537&gt;O537),O537&gt;P537,AND(Q537&lt;&gt;"",Q537&lt;P537),AND(R537&lt;&gt;"",R537&lt;P537),AND(S537&lt;&gt;"",S537&lt;R537),AND(S537&lt;&gt;"",R537=""),AND(T537&lt;&gt;"",T537&lt;O537),AND(U537&lt;&gt;"",U537&lt;O537)),"Chronologie incohérente",IF(AND(OR(L537="Résolu",L537="Clos"),R537=""),"Date de résolution manquante",IF(AND(L537="Clos",S537=""),"Date de clôture manquante",IF(AND(K537="Oui",AC537=""),"Classification DORA manquante","OK"))))))</f>
        <v/>
      </c>
      <c r="AO537" s="35" t="str">
        <f aca="false">IF($B537="","",IF(AND(C537="Incident",L537&lt;&gt;"Annulé"),1,0))</f>
        <v/>
      </c>
      <c r="AP537" s="35" t="str">
        <f aca="false">IF($B537="","",IF(AND(C537="Quasi-incident",L537&lt;&gt;"Annulé"),1,0))</f>
        <v/>
      </c>
      <c r="AQ537" s="35" t="str">
        <f aca="false">IF($B537="","",AO537+AP537)</f>
        <v/>
      </c>
      <c r="AR537" s="36" t="str">
        <f aca="false">IF(OR($B537="",J537=""),"",IFERROR(VALUE(LEFT(J537,1)),""))</f>
        <v/>
      </c>
      <c r="AS537" s="35" t="str">
        <f aca="false">IF(OR(AO537&lt;&gt;1,G537=""),"",IFERROR(IF(INDEX(L_SrcInterne,MATCH(G537,L_Sources,0))="Oui",1,0),""))</f>
        <v/>
      </c>
      <c r="AT537" s="37" t="str">
        <f aca="false">IF(AO537&lt;&gt;1,"",IFERROR(ROUND(IF(OR(N537="",O537=""),"",IF(O537&lt;N537,"",ROUND(((NETWORKDAYS(N537,O537,JoursFeries)-1)*(HFer-HOuv)+IF(NETWORKDAYS(O537,O537,JoursFeries),MEDIAN(MOD(O537,1),HFer,HOuv),HFer)-IF(NETWORKDAYS(N537,N537,JoursFeries),MEDIAN(MOD(N537,1),HFer,HOuv),HOuv))*24,4)))/HJour,4),""))</f>
        <v/>
      </c>
      <c r="AU537" s="37" t="str">
        <f aca="false">IF(AO537&lt;&gt;1,"",IF(OR(O537="",P537=""),"",IF(P537&lt;O537,"",ROUND(((NETWORKDAYS(O537,P537,JoursFeries)-1)*(HFer-HOuv)+IF(NETWORKDAYS(P537,P537,JoursFeries),MEDIAN(MOD(P537,1),HFer,HOuv),HFer)-IF(NETWORKDAYS(O537,O537,JoursFeries),MEDIAN(MOD(O537,1),HFer,HOuv),HOuv))*24,4))))</f>
        <v/>
      </c>
      <c r="AV537" s="37" t="str">
        <f aca="false">IF(AO537&lt;&gt;1,"",IF(OR(P537="",Q537=""),"",IF(Q537&lt;P537,"",ROUND(((NETWORKDAYS(P537,Q537,JoursFeries)-1)*(HFer-HOuv)+IF(NETWORKDAYS(Q537,Q537,JoursFeries),MEDIAN(MOD(Q537,1),HFer,HOuv),HFer)-IF(NETWORKDAYS(P537,P537,JoursFeries),MEDIAN(MOD(P537,1),HFer,HOuv),HOuv))*24,4))))</f>
        <v/>
      </c>
      <c r="AW537" s="37" t="str">
        <f aca="false">IF(AO537&lt;&gt;1,"",IFERROR(ROUND(IF(OR(P537="",R537=""),"",IF(R537&lt;P537,"",ROUND(((NETWORKDAYS(P537,R537,JoursFeries)-1)*(HFer-HOuv)+IF(NETWORKDAYS(R537,R537,JoursFeries),MEDIAN(MOD(R537,1),HFer,HOuv),HFer)-IF(NETWORKDAYS(P537,P537,JoursFeries),MEDIAN(MOD(P537,1),HFer,HOuv),HOuv))*24,4)))/HJour,4),""))</f>
        <v/>
      </c>
      <c r="AX537" s="37" t="str">
        <f aca="false">IF(AO537&lt;&gt;1,"",IFERROR(ROUND(IF(OR(P537="",S537=""),"",IF(S537&lt;P537,"",ROUND(((NETWORKDAYS(P537,S537,JoursFeries)-1)*(HFer-HOuv)+IF(NETWORKDAYS(S537,S537,JoursFeries),MEDIAN(MOD(S537,1),HFer,HOuv),HFer)-IF(NETWORKDAYS(P537,P537,JoursFeries),MEDIAN(MOD(P537,1),HFer,HOuv),HOuv))*24,4)))/HJour,4),""))</f>
        <v/>
      </c>
      <c r="AY537" s="36" t="str">
        <f aca="false">IF(OR(AO537&lt;&gt;1,AR537=""),"",INDEX(SLA_PEC,AR537))</f>
        <v/>
      </c>
      <c r="AZ537" s="35" t="str">
        <f aca="false">IF(OR(AV537="",AY537=""),"",IF(AV537&lt;=AY537,1,0))</f>
        <v/>
      </c>
      <c r="BA537" s="36" t="str">
        <f aca="false">IF(OR(AO537&lt;&gt;1,AR537=""),"",INDEX(SLA_RES,AR537))</f>
        <v/>
      </c>
      <c r="BB537" s="35" t="str">
        <f aca="false">IF(OR(AW537="",BA537=""),"",IF(AW537&lt;=BA537,1,0))</f>
        <v/>
      </c>
      <c r="BC537" s="38" t="str">
        <f aca="false">IF(OR(BA537="",P537=""),"",WORKDAY(INT(P537),BA537,JoursFeries)+MOD(P537,1))</f>
        <v/>
      </c>
      <c r="BD537" s="39" t="str">
        <f aca="false">IF(AO537&lt;&gt;1,"",IF(OR(AB537&lt;&gt;"",AD537&lt;&gt;""),4,IF(U537&lt;&gt;"",3,IF(T537&lt;&gt;"",2,1))))</f>
        <v/>
      </c>
      <c r="BE537" s="39" t="str">
        <f aca="false">IF(OR(AO537&lt;&gt;1,AR537=""),"",INDEX(NIV_REQ,AR537))</f>
        <v/>
      </c>
      <c r="BF537" s="39" t="str">
        <f aca="false">IF(BE537="","",MAX(BE537,IF(OR(K537="Oui",Z537="Oui"),4,1)))</f>
        <v/>
      </c>
      <c r="BG537" s="35" t="str">
        <f aca="false">IF(OR(BF537="",BD537=""),"",IF(BD537&gt;=BF537,1,0))</f>
        <v/>
      </c>
      <c r="BH537" s="38" t="str">
        <f aca="false">IF(BE537="","",IF(BE537&lt;2,"",IF(BE537=2,IF(AND(T537="",U537=""),"",MIN(T537,U537)),IF(U537="","",U537))))</f>
        <v/>
      </c>
      <c r="BI537" s="37" t="str">
        <f aca="false">IF(BH537="","",IF(OR(O537="",BH537=""),"",IF(BH537&lt;O537,"",ROUND(((NETWORKDAYS(O537,BH537,JoursFeries)-1)*(HFer-HOuv)+IF(NETWORKDAYS(BH537,BH537,JoursFeries),MEDIAN(MOD(BH537,1),HFer,HOuv),HFer)-IF(NETWORKDAYS(O537,O537,JoursFeries),MEDIAN(MOD(O537,1),HFer,HOuv),HOuv))*24,4))))</f>
        <v/>
      </c>
      <c r="BJ537" s="35" t="str">
        <f aca="false">IF(OR(BI537="",AR537=""),"",IF(BI537&lt;=INDEX(DELAI_ESC,AR537),1,0))</f>
        <v/>
      </c>
      <c r="BK537" s="38" t="str">
        <f aca="false">IF(AO537&lt;&gt;1,"",IF(AND(T537="",U537=""),"",MIN(T537,U537)))</f>
        <v/>
      </c>
      <c r="BL537" s="37" t="str">
        <f aca="false">IF(OR(BK537="",R537=""),"",IFERROR(ROUND(IF(OR(BK537="",R537=""),"",IF(R537&lt;BK537,"",ROUND(((NETWORKDAYS(BK537,R537,JoursFeries)-1)*(HFer-HOuv)+IF(NETWORKDAYS(R537,R537,JoursFeries),MEDIAN(MOD(R537,1),HFer,HOuv),HFer)-IF(NETWORKDAYS(BK537,BK537,JoursFeries),MEDIAN(MOD(BK537,1),HFer,HOuv),HOuv))*24,4)))/HJour,4),""))</f>
        <v/>
      </c>
      <c r="BM537" s="35" t="str">
        <f aca="false">IF(OR(AO537&lt;&gt;1,R537=""),"",IF(BD537=1,1,0))</f>
        <v/>
      </c>
      <c r="BN537" s="35" t="str">
        <f aca="false">IF(AO537&lt;&gt;1,"",IF(W537="Oui",1,0))</f>
        <v/>
      </c>
      <c r="BO537" s="35" t="str">
        <f aca="false">IF(AO537&lt;&gt;1,"",IF(X537&lt;&gt;"",1,0))</f>
        <v/>
      </c>
      <c r="BP537" s="35" t="str">
        <f aca="false">IF(AO537&lt;&gt;1,"",IF(Y537="Oui",1,0))</f>
        <v/>
      </c>
      <c r="BQ537" s="35" t="str">
        <f aca="true">IF(OR(AO537&lt;&gt;1,Z537&lt;&gt;"Oui"),"",IF(AB537="",IF(AND(AA537&lt;&gt;"",NOW()&gt;AA537),0,""),IF(AA537="","",IF(AB537&lt;=AA537,1,0))))</f>
        <v/>
      </c>
      <c r="BR537" s="38" t="str">
        <f aca="false">IF(OR(AO537&lt;&gt;1,K537&lt;&gt;"Oui",O537=""),"",IF(AC537="",O537+DORA_H_DET/24,IF(AC537-O537&lt;=DORA_H_DET/24,MIN(AC537+DORA_H_CLA/24,O537+DORA_H_DET/24),AC537+DORA_H_CLA/24)))</f>
        <v/>
      </c>
      <c r="BS537" s="35" t="str">
        <f aca="true">IF(BR537="","",IF(AD537="",IF(NOW()&gt;BR537,0,""),IF(AD537&lt;=BR537,1,0)))</f>
        <v/>
      </c>
      <c r="BT537" s="35" t="str">
        <f aca="true">IF(OR(BR537="",AD537=""),"",IF(AE537="",IF(NOW()&gt;AD537+DORA_H_INT/24,0,""),IF(AE537&lt;=AD537+DORA_H_INT/24,1,0)))</f>
        <v/>
      </c>
      <c r="BU537" s="35" t="str">
        <f aca="true">IF(OR(BR537="",AE537=""),"",IF(AF537="",IF(NOW()&gt;EDATE(AE537,DORA_M_FIN)+1,0,""),IF(AF537&lt;=EDATE(AE537,DORA_M_FIN),1,0)))</f>
        <v/>
      </c>
      <c r="BV537" s="35" t="str">
        <f aca="false">IF(BR537="","",IF(COUNT(BS537:BU537)=0,"",MIN(BS537:BU537)))</f>
        <v/>
      </c>
      <c r="BW537" s="40" t="str">
        <f aca="false">IF(AQ537&lt;&gt;1,"",IF(AND(AG537="",AH537=""),"",N(AG537)-N(AH537)))</f>
        <v/>
      </c>
      <c r="BX537" s="35" t="str">
        <f aca="true">IF(OR(AQ537&lt;&gt;1,AI537&lt;&gt;"Oui",AJ537=""),"",IF(AK537="",IF(NOW()&gt;AJ537+1,0,""),IF(AK537&lt;=AJ537,1,0)))</f>
        <v/>
      </c>
    </row>
    <row r="538" customFormat="false" ht="15" hidden="false" customHeight="false" outlineLevel="0" collapsed="false">
      <c r="B538" s="29"/>
      <c r="C538" s="29"/>
      <c r="D538" s="29"/>
      <c r="E538" s="29"/>
      <c r="F538" s="29"/>
      <c r="G538" s="29"/>
      <c r="H538" s="29"/>
      <c r="I538" s="29"/>
      <c r="J538" s="29"/>
      <c r="K538" s="29"/>
      <c r="L538" s="29"/>
      <c r="M538" s="29"/>
      <c r="N538" s="30"/>
      <c r="O538" s="30"/>
      <c r="P538" s="30"/>
      <c r="Q538" s="30"/>
      <c r="R538" s="30"/>
      <c r="S538" s="30"/>
      <c r="T538" s="30"/>
      <c r="U538" s="30"/>
      <c r="V538" s="31"/>
      <c r="W538" s="29"/>
      <c r="X538" s="29"/>
      <c r="Y538" s="29"/>
      <c r="Z538" s="29"/>
      <c r="AA538" s="30"/>
      <c r="AB538" s="30"/>
      <c r="AC538" s="30"/>
      <c r="AD538" s="30"/>
      <c r="AE538" s="30"/>
      <c r="AF538" s="32"/>
      <c r="AG538" s="33"/>
      <c r="AH538" s="33"/>
      <c r="AI538" s="29"/>
      <c r="AJ538" s="32"/>
      <c r="AK538" s="32"/>
      <c r="AL538" s="29"/>
      <c r="AN538" s="34" t="str">
        <f aca="false">IF($B538="","",IF(OR(C538="",D538="",E538="",G538="",I538="",J538="",L538="",O538="",P538=""),"Champ obligatoire manquant",IF(OR(AND(N538&lt;&gt;"",N538&gt;O538),O538&gt;P538,AND(Q538&lt;&gt;"",Q538&lt;P538),AND(R538&lt;&gt;"",R538&lt;P538),AND(S538&lt;&gt;"",S538&lt;R538),AND(S538&lt;&gt;"",R538=""),AND(T538&lt;&gt;"",T538&lt;O538),AND(U538&lt;&gt;"",U538&lt;O538)),"Chronologie incohérente",IF(AND(OR(L538="Résolu",L538="Clos"),R538=""),"Date de résolution manquante",IF(AND(L538="Clos",S538=""),"Date de clôture manquante",IF(AND(K538="Oui",AC538=""),"Classification DORA manquante","OK"))))))</f>
        <v/>
      </c>
      <c r="AO538" s="35" t="str">
        <f aca="false">IF($B538="","",IF(AND(C538="Incident",L538&lt;&gt;"Annulé"),1,0))</f>
        <v/>
      </c>
      <c r="AP538" s="35" t="str">
        <f aca="false">IF($B538="","",IF(AND(C538="Quasi-incident",L538&lt;&gt;"Annulé"),1,0))</f>
        <v/>
      </c>
      <c r="AQ538" s="35" t="str">
        <f aca="false">IF($B538="","",AO538+AP538)</f>
        <v/>
      </c>
      <c r="AR538" s="36" t="str">
        <f aca="false">IF(OR($B538="",J538=""),"",IFERROR(VALUE(LEFT(J538,1)),""))</f>
        <v/>
      </c>
      <c r="AS538" s="35" t="str">
        <f aca="false">IF(OR(AO538&lt;&gt;1,G538=""),"",IFERROR(IF(INDEX(L_SrcInterne,MATCH(G538,L_Sources,0))="Oui",1,0),""))</f>
        <v/>
      </c>
      <c r="AT538" s="37" t="str">
        <f aca="false">IF(AO538&lt;&gt;1,"",IFERROR(ROUND(IF(OR(N538="",O538=""),"",IF(O538&lt;N538,"",ROUND(((NETWORKDAYS(N538,O538,JoursFeries)-1)*(HFer-HOuv)+IF(NETWORKDAYS(O538,O538,JoursFeries),MEDIAN(MOD(O538,1),HFer,HOuv),HFer)-IF(NETWORKDAYS(N538,N538,JoursFeries),MEDIAN(MOD(N538,1),HFer,HOuv),HOuv))*24,4)))/HJour,4),""))</f>
        <v/>
      </c>
      <c r="AU538" s="37" t="str">
        <f aca="false">IF(AO538&lt;&gt;1,"",IF(OR(O538="",P538=""),"",IF(P538&lt;O538,"",ROUND(((NETWORKDAYS(O538,P538,JoursFeries)-1)*(HFer-HOuv)+IF(NETWORKDAYS(P538,P538,JoursFeries),MEDIAN(MOD(P538,1),HFer,HOuv),HFer)-IF(NETWORKDAYS(O538,O538,JoursFeries),MEDIAN(MOD(O538,1),HFer,HOuv),HOuv))*24,4))))</f>
        <v/>
      </c>
      <c r="AV538" s="37" t="str">
        <f aca="false">IF(AO538&lt;&gt;1,"",IF(OR(P538="",Q538=""),"",IF(Q538&lt;P538,"",ROUND(((NETWORKDAYS(P538,Q538,JoursFeries)-1)*(HFer-HOuv)+IF(NETWORKDAYS(Q538,Q538,JoursFeries),MEDIAN(MOD(Q538,1),HFer,HOuv),HFer)-IF(NETWORKDAYS(P538,P538,JoursFeries),MEDIAN(MOD(P538,1),HFer,HOuv),HOuv))*24,4))))</f>
        <v/>
      </c>
      <c r="AW538" s="37" t="str">
        <f aca="false">IF(AO538&lt;&gt;1,"",IFERROR(ROUND(IF(OR(P538="",R538=""),"",IF(R538&lt;P538,"",ROUND(((NETWORKDAYS(P538,R538,JoursFeries)-1)*(HFer-HOuv)+IF(NETWORKDAYS(R538,R538,JoursFeries),MEDIAN(MOD(R538,1),HFer,HOuv),HFer)-IF(NETWORKDAYS(P538,P538,JoursFeries),MEDIAN(MOD(P538,1),HFer,HOuv),HOuv))*24,4)))/HJour,4),""))</f>
        <v/>
      </c>
      <c r="AX538" s="37" t="str">
        <f aca="false">IF(AO538&lt;&gt;1,"",IFERROR(ROUND(IF(OR(P538="",S538=""),"",IF(S538&lt;P538,"",ROUND(((NETWORKDAYS(P538,S538,JoursFeries)-1)*(HFer-HOuv)+IF(NETWORKDAYS(S538,S538,JoursFeries),MEDIAN(MOD(S538,1),HFer,HOuv),HFer)-IF(NETWORKDAYS(P538,P538,JoursFeries),MEDIAN(MOD(P538,1),HFer,HOuv),HOuv))*24,4)))/HJour,4),""))</f>
        <v/>
      </c>
      <c r="AY538" s="36" t="str">
        <f aca="false">IF(OR(AO538&lt;&gt;1,AR538=""),"",INDEX(SLA_PEC,AR538))</f>
        <v/>
      </c>
      <c r="AZ538" s="35" t="str">
        <f aca="false">IF(OR(AV538="",AY538=""),"",IF(AV538&lt;=AY538,1,0))</f>
        <v/>
      </c>
      <c r="BA538" s="36" t="str">
        <f aca="false">IF(OR(AO538&lt;&gt;1,AR538=""),"",INDEX(SLA_RES,AR538))</f>
        <v/>
      </c>
      <c r="BB538" s="35" t="str">
        <f aca="false">IF(OR(AW538="",BA538=""),"",IF(AW538&lt;=BA538,1,0))</f>
        <v/>
      </c>
      <c r="BC538" s="38" t="str">
        <f aca="false">IF(OR(BA538="",P538=""),"",WORKDAY(INT(P538),BA538,JoursFeries)+MOD(P538,1))</f>
        <v/>
      </c>
      <c r="BD538" s="39" t="str">
        <f aca="false">IF(AO538&lt;&gt;1,"",IF(OR(AB538&lt;&gt;"",AD538&lt;&gt;""),4,IF(U538&lt;&gt;"",3,IF(T538&lt;&gt;"",2,1))))</f>
        <v/>
      </c>
      <c r="BE538" s="39" t="str">
        <f aca="false">IF(OR(AO538&lt;&gt;1,AR538=""),"",INDEX(NIV_REQ,AR538))</f>
        <v/>
      </c>
      <c r="BF538" s="39" t="str">
        <f aca="false">IF(BE538="","",MAX(BE538,IF(OR(K538="Oui",Z538="Oui"),4,1)))</f>
        <v/>
      </c>
      <c r="BG538" s="35" t="str">
        <f aca="false">IF(OR(BF538="",BD538=""),"",IF(BD538&gt;=BF538,1,0))</f>
        <v/>
      </c>
      <c r="BH538" s="38" t="str">
        <f aca="false">IF(BE538="","",IF(BE538&lt;2,"",IF(BE538=2,IF(AND(T538="",U538=""),"",MIN(T538,U538)),IF(U538="","",U538))))</f>
        <v/>
      </c>
      <c r="BI538" s="37" t="str">
        <f aca="false">IF(BH538="","",IF(OR(O538="",BH538=""),"",IF(BH538&lt;O538,"",ROUND(((NETWORKDAYS(O538,BH538,JoursFeries)-1)*(HFer-HOuv)+IF(NETWORKDAYS(BH538,BH538,JoursFeries),MEDIAN(MOD(BH538,1),HFer,HOuv),HFer)-IF(NETWORKDAYS(O538,O538,JoursFeries),MEDIAN(MOD(O538,1),HFer,HOuv),HOuv))*24,4))))</f>
        <v/>
      </c>
      <c r="BJ538" s="35" t="str">
        <f aca="false">IF(OR(BI538="",AR538=""),"",IF(BI538&lt;=INDEX(DELAI_ESC,AR538),1,0))</f>
        <v/>
      </c>
      <c r="BK538" s="38" t="str">
        <f aca="false">IF(AO538&lt;&gt;1,"",IF(AND(T538="",U538=""),"",MIN(T538,U538)))</f>
        <v/>
      </c>
      <c r="BL538" s="37" t="str">
        <f aca="false">IF(OR(BK538="",R538=""),"",IFERROR(ROUND(IF(OR(BK538="",R538=""),"",IF(R538&lt;BK538,"",ROUND(((NETWORKDAYS(BK538,R538,JoursFeries)-1)*(HFer-HOuv)+IF(NETWORKDAYS(R538,R538,JoursFeries),MEDIAN(MOD(R538,1),HFer,HOuv),HFer)-IF(NETWORKDAYS(BK538,BK538,JoursFeries),MEDIAN(MOD(BK538,1),HFer,HOuv),HOuv))*24,4)))/HJour,4),""))</f>
        <v/>
      </c>
      <c r="BM538" s="35" t="str">
        <f aca="false">IF(OR(AO538&lt;&gt;1,R538=""),"",IF(BD538=1,1,0))</f>
        <v/>
      </c>
      <c r="BN538" s="35" t="str">
        <f aca="false">IF(AO538&lt;&gt;1,"",IF(W538="Oui",1,0))</f>
        <v/>
      </c>
      <c r="BO538" s="35" t="str">
        <f aca="false">IF(AO538&lt;&gt;1,"",IF(X538&lt;&gt;"",1,0))</f>
        <v/>
      </c>
      <c r="BP538" s="35" t="str">
        <f aca="false">IF(AO538&lt;&gt;1,"",IF(Y538="Oui",1,0))</f>
        <v/>
      </c>
      <c r="BQ538" s="35" t="str">
        <f aca="true">IF(OR(AO538&lt;&gt;1,Z538&lt;&gt;"Oui"),"",IF(AB538="",IF(AND(AA538&lt;&gt;"",NOW()&gt;AA538),0,""),IF(AA538="","",IF(AB538&lt;=AA538,1,0))))</f>
        <v/>
      </c>
      <c r="BR538" s="38" t="str">
        <f aca="false">IF(OR(AO538&lt;&gt;1,K538&lt;&gt;"Oui",O538=""),"",IF(AC538="",O538+DORA_H_DET/24,IF(AC538-O538&lt;=DORA_H_DET/24,MIN(AC538+DORA_H_CLA/24,O538+DORA_H_DET/24),AC538+DORA_H_CLA/24)))</f>
        <v/>
      </c>
      <c r="BS538" s="35" t="str">
        <f aca="true">IF(BR538="","",IF(AD538="",IF(NOW()&gt;BR538,0,""),IF(AD538&lt;=BR538,1,0)))</f>
        <v/>
      </c>
      <c r="BT538" s="35" t="str">
        <f aca="true">IF(OR(BR538="",AD538=""),"",IF(AE538="",IF(NOW()&gt;AD538+DORA_H_INT/24,0,""),IF(AE538&lt;=AD538+DORA_H_INT/24,1,0)))</f>
        <v/>
      </c>
      <c r="BU538" s="35" t="str">
        <f aca="true">IF(OR(BR538="",AE538=""),"",IF(AF538="",IF(NOW()&gt;EDATE(AE538,DORA_M_FIN)+1,0,""),IF(AF538&lt;=EDATE(AE538,DORA_M_FIN),1,0)))</f>
        <v/>
      </c>
      <c r="BV538" s="35" t="str">
        <f aca="false">IF(BR538="","",IF(COUNT(BS538:BU538)=0,"",MIN(BS538:BU538)))</f>
        <v/>
      </c>
      <c r="BW538" s="40" t="str">
        <f aca="false">IF(AQ538&lt;&gt;1,"",IF(AND(AG538="",AH538=""),"",N(AG538)-N(AH538)))</f>
        <v/>
      </c>
      <c r="BX538" s="35" t="str">
        <f aca="true">IF(OR(AQ538&lt;&gt;1,AI538&lt;&gt;"Oui",AJ538=""),"",IF(AK538="",IF(NOW()&gt;AJ538+1,0,""),IF(AK538&lt;=AJ538,1,0)))</f>
        <v/>
      </c>
    </row>
    <row r="539" customFormat="false" ht="15" hidden="false" customHeight="false" outlineLevel="0" collapsed="false">
      <c r="B539" s="29"/>
      <c r="C539" s="29"/>
      <c r="D539" s="29"/>
      <c r="E539" s="29"/>
      <c r="F539" s="29"/>
      <c r="G539" s="29"/>
      <c r="H539" s="29"/>
      <c r="I539" s="29"/>
      <c r="J539" s="29"/>
      <c r="K539" s="29"/>
      <c r="L539" s="29"/>
      <c r="M539" s="29"/>
      <c r="N539" s="30"/>
      <c r="O539" s="30"/>
      <c r="P539" s="30"/>
      <c r="Q539" s="30"/>
      <c r="R539" s="30"/>
      <c r="S539" s="30"/>
      <c r="T539" s="30"/>
      <c r="U539" s="30"/>
      <c r="V539" s="31"/>
      <c r="W539" s="29"/>
      <c r="X539" s="29"/>
      <c r="Y539" s="29"/>
      <c r="Z539" s="29"/>
      <c r="AA539" s="30"/>
      <c r="AB539" s="30"/>
      <c r="AC539" s="30"/>
      <c r="AD539" s="30"/>
      <c r="AE539" s="30"/>
      <c r="AF539" s="32"/>
      <c r="AG539" s="33"/>
      <c r="AH539" s="33"/>
      <c r="AI539" s="29"/>
      <c r="AJ539" s="32"/>
      <c r="AK539" s="32"/>
      <c r="AL539" s="29"/>
      <c r="AN539" s="34" t="str">
        <f aca="false">IF($B539="","",IF(OR(C539="",D539="",E539="",G539="",I539="",J539="",L539="",O539="",P539=""),"Champ obligatoire manquant",IF(OR(AND(N539&lt;&gt;"",N539&gt;O539),O539&gt;P539,AND(Q539&lt;&gt;"",Q539&lt;P539),AND(R539&lt;&gt;"",R539&lt;P539),AND(S539&lt;&gt;"",S539&lt;R539),AND(S539&lt;&gt;"",R539=""),AND(T539&lt;&gt;"",T539&lt;O539),AND(U539&lt;&gt;"",U539&lt;O539)),"Chronologie incohérente",IF(AND(OR(L539="Résolu",L539="Clos"),R539=""),"Date de résolution manquante",IF(AND(L539="Clos",S539=""),"Date de clôture manquante",IF(AND(K539="Oui",AC539=""),"Classification DORA manquante","OK"))))))</f>
        <v/>
      </c>
      <c r="AO539" s="35" t="str">
        <f aca="false">IF($B539="","",IF(AND(C539="Incident",L539&lt;&gt;"Annulé"),1,0))</f>
        <v/>
      </c>
      <c r="AP539" s="35" t="str">
        <f aca="false">IF($B539="","",IF(AND(C539="Quasi-incident",L539&lt;&gt;"Annulé"),1,0))</f>
        <v/>
      </c>
      <c r="AQ539" s="35" t="str">
        <f aca="false">IF($B539="","",AO539+AP539)</f>
        <v/>
      </c>
      <c r="AR539" s="36" t="str">
        <f aca="false">IF(OR($B539="",J539=""),"",IFERROR(VALUE(LEFT(J539,1)),""))</f>
        <v/>
      </c>
      <c r="AS539" s="35" t="str">
        <f aca="false">IF(OR(AO539&lt;&gt;1,G539=""),"",IFERROR(IF(INDEX(L_SrcInterne,MATCH(G539,L_Sources,0))="Oui",1,0),""))</f>
        <v/>
      </c>
      <c r="AT539" s="37" t="str">
        <f aca="false">IF(AO539&lt;&gt;1,"",IFERROR(ROUND(IF(OR(N539="",O539=""),"",IF(O539&lt;N539,"",ROUND(((NETWORKDAYS(N539,O539,JoursFeries)-1)*(HFer-HOuv)+IF(NETWORKDAYS(O539,O539,JoursFeries),MEDIAN(MOD(O539,1),HFer,HOuv),HFer)-IF(NETWORKDAYS(N539,N539,JoursFeries),MEDIAN(MOD(N539,1),HFer,HOuv),HOuv))*24,4)))/HJour,4),""))</f>
        <v/>
      </c>
      <c r="AU539" s="37" t="str">
        <f aca="false">IF(AO539&lt;&gt;1,"",IF(OR(O539="",P539=""),"",IF(P539&lt;O539,"",ROUND(((NETWORKDAYS(O539,P539,JoursFeries)-1)*(HFer-HOuv)+IF(NETWORKDAYS(P539,P539,JoursFeries),MEDIAN(MOD(P539,1),HFer,HOuv),HFer)-IF(NETWORKDAYS(O539,O539,JoursFeries),MEDIAN(MOD(O539,1),HFer,HOuv),HOuv))*24,4))))</f>
        <v/>
      </c>
      <c r="AV539" s="37" t="str">
        <f aca="false">IF(AO539&lt;&gt;1,"",IF(OR(P539="",Q539=""),"",IF(Q539&lt;P539,"",ROUND(((NETWORKDAYS(P539,Q539,JoursFeries)-1)*(HFer-HOuv)+IF(NETWORKDAYS(Q539,Q539,JoursFeries),MEDIAN(MOD(Q539,1),HFer,HOuv),HFer)-IF(NETWORKDAYS(P539,P539,JoursFeries),MEDIAN(MOD(P539,1),HFer,HOuv),HOuv))*24,4))))</f>
        <v/>
      </c>
      <c r="AW539" s="37" t="str">
        <f aca="false">IF(AO539&lt;&gt;1,"",IFERROR(ROUND(IF(OR(P539="",R539=""),"",IF(R539&lt;P539,"",ROUND(((NETWORKDAYS(P539,R539,JoursFeries)-1)*(HFer-HOuv)+IF(NETWORKDAYS(R539,R539,JoursFeries),MEDIAN(MOD(R539,1),HFer,HOuv),HFer)-IF(NETWORKDAYS(P539,P539,JoursFeries),MEDIAN(MOD(P539,1),HFer,HOuv),HOuv))*24,4)))/HJour,4),""))</f>
        <v/>
      </c>
      <c r="AX539" s="37" t="str">
        <f aca="false">IF(AO539&lt;&gt;1,"",IFERROR(ROUND(IF(OR(P539="",S539=""),"",IF(S539&lt;P539,"",ROUND(((NETWORKDAYS(P539,S539,JoursFeries)-1)*(HFer-HOuv)+IF(NETWORKDAYS(S539,S539,JoursFeries),MEDIAN(MOD(S539,1),HFer,HOuv),HFer)-IF(NETWORKDAYS(P539,P539,JoursFeries),MEDIAN(MOD(P539,1),HFer,HOuv),HOuv))*24,4)))/HJour,4),""))</f>
        <v/>
      </c>
      <c r="AY539" s="36" t="str">
        <f aca="false">IF(OR(AO539&lt;&gt;1,AR539=""),"",INDEX(SLA_PEC,AR539))</f>
        <v/>
      </c>
      <c r="AZ539" s="35" t="str">
        <f aca="false">IF(OR(AV539="",AY539=""),"",IF(AV539&lt;=AY539,1,0))</f>
        <v/>
      </c>
      <c r="BA539" s="36" t="str">
        <f aca="false">IF(OR(AO539&lt;&gt;1,AR539=""),"",INDEX(SLA_RES,AR539))</f>
        <v/>
      </c>
      <c r="BB539" s="35" t="str">
        <f aca="false">IF(OR(AW539="",BA539=""),"",IF(AW539&lt;=BA539,1,0))</f>
        <v/>
      </c>
      <c r="BC539" s="38" t="str">
        <f aca="false">IF(OR(BA539="",P539=""),"",WORKDAY(INT(P539),BA539,JoursFeries)+MOD(P539,1))</f>
        <v/>
      </c>
      <c r="BD539" s="39" t="str">
        <f aca="false">IF(AO539&lt;&gt;1,"",IF(OR(AB539&lt;&gt;"",AD539&lt;&gt;""),4,IF(U539&lt;&gt;"",3,IF(T539&lt;&gt;"",2,1))))</f>
        <v/>
      </c>
      <c r="BE539" s="39" t="str">
        <f aca="false">IF(OR(AO539&lt;&gt;1,AR539=""),"",INDEX(NIV_REQ,AR539))</f>
        <v/>
      </c>
      <c r="BF539" s="39" t="str">
        <f aca="false">IF(BE539="","",MAX(BE539,IF(OR(K539="Oui",Z539="Oui"),4,1)))</f>
        <v/>
      </c>
      <c r="BG539" s="35" t="str">
        <f aca="false">IF(OR(BF539="",BD539=""),"",IF(BD539&gt;=BF539,1,0))</f>
        <v/>
      </c>
      <c r="BH539" s="38" t="str">
        <f aca="false">IF(BE539="","",IF(BE539&lt;2,"",IF(BE539=2,IF(AND(T539="",U539=""),"",MIN(T539,U539)),IF(U539="","",U539))))</f>
        <v/>
      </c>
      <c r="BI539" s="37" t="str">
        <f aca="false">IF(BH539="","",IF(OR(O539="",BH539=""),"",IF(BH539&lt;O539,"",ROUND(((NETWORKDAYS(O539,BH539,JoursFeries)-1)*(HFer-HOuv)+IF(NETWORKDAYS(BH539,BH539,JoursFeries),MEDIAN(MOD(BH539,1),HFer,HOuv),HFer)-IF(NETWORKDAYS(O539,O539,JoursFeries),MEDIAN(MOD(O539,1),HFer,HOuv),HOuv))*24,4))))</f>
        <v/>
      </c>
      <c r="BJ539" s="35" t="str">
        <f aca="false">IF(OR(BI539="",AR539=""),"",IF(BI539&lt;=INDEX(DELAI_ESC,AR539),1,0))</f>
        <v/>
      </c>
      <c r="BK539" s="38" t="str">
        <f aca="false">IF(AO539&lt;&gt;1,"",IF(AND(T539="",U539=""),"",MIN(T539,U539)))</f>
        <v/>
      </c>
      <c r="BL539" s="37" t="str">
        <f aca="false">IF(OR(BK539="",R539=""),"",IFERROR(ROUND(IF(OR(BK539="",R539=""),"",IF(R539&lt;BK539,"",ROUND(((NETWORKDAYS(BK539,R539,JoursFeries)-1)*(HFer-HOuv)+IF(NETWORKDAYS(R539,R539,JoursFeries),MEDIAN(MOD(R539,1),HFer,HOuv),HFer)-IF(NETWORKDAYS(BK539,BK539,JoursFeries),MEDIAN(MOD(BK539,1),HFer,HOuv),HOuv))*24,4)))/HJour,4),""))</f>
        <v/>
      </c>
      <c r="BM539" s="35" t="str">
        <f aca="false">IF(OR(AO539&lt;&gt;1,R539=""),"",IF(BD539=1,1,0))</f>
        <v/>
      </c>
      <c r="BN539" s="35" t="str">
        <f aca="false">IF(AO539&lt;&gt;1,"",IF(W539="Oui",1,0))</f>
        <v/>
      </c>
      <c r="BO539" s="35" t="str">
        <f aca="false">IF(AO539&lt;&gt;1,"",IF(X539&lt;&gt;"",1,0))</f>
        <v/>
      </c>
      <c r="BP539" s="35" t="str">
        <f aca="false">IF(AO539&lt;&gt;1,"",IF(Y539="Oui",1,0))</f>
        <v/>
      </c>
      <c r="BQ539" s="35" t="str">
        <f aca="true">IF(OR(AO539&lt;&gt;1,Z539&lt;&gt;"Oui"),"",IF(AB539="",IF(AND(AA539&lt;&gt;"",NOW()&gt;AA539),0,""),IF(AA539="","",IF(AB539&lt;=AA539,1,0))))</f>
        <v/>
      </c>
      <c r="BR539" s="38" t="str">
        <f aca="false">IF(OR(AO539&lt;&gt;1,K539&lt;&gt;"Oui",O539=""),"",IF(AC539="",O539+DORA_H_DET/24,IF(AC539-O539&lt;=DORA_H_DET/24,MIN(AC539+DORA_H_CLA/24,O539+DORA_H_DET/24),AC539+DORA_H_CLA/24)))</f>
        <v/>
      </c>
      <c r="BS539" s="35" t="str">
        <f aca="true">IF(BR539="","",IF(AD539="",IF(NOW()&gt;BR539,0,""),IF(AD539&lt;=BR539,1,0)))</f>
        <v/>
      </c>
      <c r="BT539" s="35" t="str">
        <f aca="true">IF(OR(BR539="",AD539=""),"",IF(AE539="",IF(NOW()&gt;AD539+DORA_H_INT/24,0,""),IF(AE539&lt;=AD539+DORA_H_INT/24,1,0)))</f>
        <v/>
      </c>
      <c r="BU539" s="35" t="str">
        <f aca="true">IF(OR(BR539="",AE539=""),"",IF(AF539="",IF(NOW()&gt;EDATE(AE539,DORA_M_FIN)+1,0,""),IF(AF539&lt;=EDATE(AE539,DORA_M_FIN),1,0)))</f>
        <v/>
      </c>
      <c r="BV539" s="35" t="str">
        <f aca="false">IF(BR539="","",IF(COUNT(BS539:BU539)=0,"",MIN(BS539:BU539)))</f>
        <v/>
      </c>
      <c r="BW539" s="40" t="str">
        <f aca="false">IF(AQ539&lt;&gt;1,"",IF(AND(AG539="",AH539=""),"",N(AG539)-N(AH539)))</f>
        <v/>
      </c>
      <c r="BX539" s="35" t="str">
        <f aca="true">IF(OR(AQ539&lt;&gt;1,AI539&lt;&gt;"Oui",AJ539=""),"",IF(AK539="",IF(NOW()&gt;AJ539+1,0,""),IF(AK539&lt;=AJ539,1,0)))</f>
        <v/>
      </c>
    </row>
    <row r="540" customFormat="false" ht="15" hidden="false" customHeight="false" outlineLevel="0" collapsed="false">
      <c r="B540" s="29"/>
      <c r="C540" s="29"/>
      <c r="D540" s="29"/>
      <c r="E540" s="29"/>
      <c r="F540" s="29"/>
      <c r="G540" s="29"/>
      <c r="H540" s="29"/>
      <c r="I540" s="29"/>
      <c r="J540" s="29"/>
      <c r="K540" s="29"/>
      <c r="L540" s="29"/>
      <c r="M540" s="29"/>
      <c r="N540" s="30"/>
      <c r="O540" s="30"/>
      <c r="P540" s="30"/>
      <c r="Q540" s="30"/>
      <c r="R540" s="30"/>
      <c r="S540" s="30"/>
      <c r="T540" s="30"/>
      <c r="U540" s="30"/>
      <c r="V540" s="31"/>
      <c r="W540" s="29"/>
      <c r="X540" s="29"/>
      <c r="Y540" s="29"/>
      <c r="Z540" s="29"/>
      <c r="AA540" s="30"/>
      <c r="AB540" s="30"/>
      <c r="AC540" s="30"/>
      <c r="AD540" s="30"/>
      <c r="AE540" s="30"/>
      <c r="AF540" s="32"/>
      <c r="AG540" s="33"/>
      <c r="AH540" s="33"/>
      <c r="AI540" s="29"/>
      <c r="AJ540" s="32"/>
      <c r="AK540" s="32"/>
      <c r="AL540" s="29"/>
      <c r="AN540" s="34" t="str">
        <f aca="false">IF($B540="","",IF(OR(C540="",D540="",E540="",G540="",I540="",J540="",L540="",O540="",P540=""),"Champ obligatoire manquant",IF(OR(AND(N540&lt;&gt;"",N540&gt;O540),O540&gt;P540,AND(Q540&lt;&gt;"",Q540&lt;P540),AND(R540&lt;&gt;"",R540&lt;P540),AND(S540&lt;&gt;"",S540&lt;R540),AND(S540&lt;&gt;"",R540=""),AND(T540&lt;&gt;"",T540&lt;O540),AND(U540&lt;&gt;"",U540&lt;O540)),"Chronologie incohérente",IF(AND(OR(L540="Résolu",L540="Clos"),R540=""),"Date de résolution manquante",IF(AND(L540="Clos",S540=""),"Date de clôture manquante",IF(AND(K540="Oui",AC540=""),"Classification DORA manquante","OK"))))))</f>
        <v/>
      </c>
      <c r="AO540" s="35" t="str">
        <f aca="false">IF($B540="","",IF(AND(C540="Incident",L540&lt;&gt;"Annulé"),1,0))</f>
        <v/>
      </c>
      <c r="AP540" s="35" t="str">
        <f aca="false">IF($B540="","",IF(AND(C540="Quasi-incident",L540&lt;&gt;"Annulé"),1,0))</f>
        <v/>
      </c>
      <c r="AQ540" s="35" t="str">
        <f aca="false">IF($B540="","",AO540+AP540)</f>
        <v/>
      </c>
      <c r="AR540" s="36" t="str">
        <f aca="false">IF(OR($B540="",J540=""),"",IFERROR(VALUE(LEFT(J540,1)),""))</f>
        <v/>
      </c>
      <c r="AS540" s="35" t="str">
        <f aca="false">IF(OR(AO540&lt;&gt;1,G540=""),"",IFERROR(IF(INDEX(L_SrcInterne,MATCH(G540,L_Sources,0))="Oui",1,0),""))</f>
        <v/>
      </c>
      <c r="AT540" s="37" t="str">
        <f aca="false">IF(AO540&lt;&gt;1,"",IFERROR(ROUND(IF(OR(N540="",O540=""),"",IF(O540&lt;N540,"",ROUND(((NETWORKDAYS(N540,O540,JoursFeries)-1)*(HFer-HOuv)+IF(NETWORKDAYS(O540,O540,JoursFeries),MEDIAN(MOD(O540,1),HFer,HOuv),HFer)-IF(NETWORKDAYS(N540,N540,JoursFeries),MEDIAN(MOD(N540,1),HFer,HOuv),HOuv))*24,4)))/HJour,4),""))</f>
        <v/>
      </c>
      <c r="AU540" s="37" t="str">
        <f aca="false">IF(AO540&lt;&gt;1,"",IF(OR(O540="",P540=""),"",IF(P540&lt;O540,"",ROUND(((NETWORKDAYS(O540,P540,JoursFeries)-1)*(HFer-HOuv)+IF(NETWORKDAYS(P540,P540,JoursFeries),MEDIAN(MOD(P540,1),HFer,HOuv),HFer)-IF(NETWORKDAYS(O540,O540,JoursFeries),MEDIAN(MOD(O540,1),HFer,HOuv),HOuv))*24,4))))</f>
        <v/>
      </c>
      <c r="AV540" s="37" t="str">
        <f aca="false">IF(AO540&lt;&gt;1,"",IF(OR(P540="",Q540=""),"",IF(Q540&lt;P540,"",ROUND(((NETWORKDAYS(P540,Q540,JoursFeries)-1)*(HFer-HOuv)+IF(NETWORKDAYS(Q540,Q540,JoursFeries),MEDIAN(MOD(Q540,1),HFer,HOuv),HFer)-IF(NETWORKDAYS(P540,P540,JoursFeries),MEDIAN(MOD(P540,1),HFer,HOuv),HOuv))*24,4))))</f>
        <v/>
      </c>
      <c r="AW540" s="37" t="str">
        <f aca="false">IF(AO540&lt;&gt;1,"",IFERROR(ROUND(IF(OR(P540="",R540=""),"",IF(R540&lt;P540,"",ROUND(((NETWORKDAYS(P540,R540,JoursFeries)-1)*(HFer-HOuv)+IF(NETWORKDAYS(R540,R540,JoursFeries),MEDIAN(MOD(R540,1),HFer,HOuv),HFer)-IF(NETWORKDAYS(P540,P540,JoursFeries),MEDIAN(MOD(P540,1),HFer,HOuv),HOuv))*24,4)))/HJour,4),""))</f>
        <v/>
      </c>
      <c r="AX540" s="37" t="str">
        <f aca="false">IF(AO540&lt;&gt;1,"",IFERROR(ROUND(IF(OR(P540="",S540=""),"",IF(S540&lt;P540,"",ROUND(((NETWORKDAYS(P540,S540,JoursFeries)-1)*(HFer-HOuv)+IF(NETWORKDAYS(S540,S540,JoursFeries),MEDIAN(MOD(S540,1),HFer,HOuv),HFer)-IF(NETWORKDAYS(P540,P540,JoursFeries),MEDIAN(MOD(P540,1),HFer,HOuv),HOuv))*24,4)))/HJour,4),""))</f>
        <v/>
      </c>
      <c r="AY540" s="36" t="str">
        <f aca="false">IF(OR(AO540&lt;&gt;1,AR540=""),"",INDEX(SLA_PEC,AR540))</f>
        <v/>
      </c>
      <c r="AZ540" s="35" t="str">
        <f aca="false">IF(OR(AV540="",AY540=""),"",IF(AV540&lt;=AY540,1,0))</f>
        <v/>
      </c>
      <c r="BA540" s="36" t="str">
        <f aca="false">IF(OR(AO540&lt;&gt;1,AR540=""),"",INDEX(SLA_RES,AR540))</f>
        <v/>
      </c>
      <c r="BB540" s="35" t="str">
        <f aca="false">IF(OR(AW540="",BA540=""),"",IF(AW540&lt;=BA540,1,0))</f>
        <v/>
      </c>
      <c r="BC540" s="38" t="str">
        <f aca="false">IF(OR(BA540="",P540=""),"",WORKDAY(INT(P540),BA540,JoursFeries)+MOD(P540,1))</f>
        <v/>
      </c>
      <c r="BD540" s="39" t="str">
        <f aca="false">IF(AO540&lt;&gt;1,"",IF(OR(AB540&lt;&gt;"",AD540&lt;&gt;""),4,IF(U540&lt;&gt;"",3,IF(T540&lt;&gt;"",2,1))))</f>
        <v/>
      </c>
      <c r="BE540" s="39" t="str">
        <f aca="false">IF(OR(AO540&lt;&gt;1,AR540=""),"",INDEX(NIV_REQ,AR540))</f>
        <v/>
      </c>
      <c r="BF540" s="39" t="str">
        <f aca="false">IF(BE540="","",MAX(BE540,IF(OR(K540="Oui",Z540="Oui"),4,1)))</f>
        <v/>
      </c>
      <c r="BG540" s="35" t="str">
        <f aca="false">IF(OR(BF540="",BD540=""),"",IF(BD540&gt;=BF540,1,0))</f>
        <v/>
      </c>
      <c r="BH540" s="38" t="str">
        <f aca="false">IF(BE540="","",IF(BE540&lt;2,"",IF(BE540=2,IF(AND(T540="",U540=""),"",MIN(T540,U540)),IF(U540="","",U540))))</f>
        <v/>
      </c>
      <c r="BI540" s="37" t="str">
        <f aca="false">IF(BH540="","",IF(OR(O540="",BH540=""),"",IF(BH540&lt;O540,"",ROUND(((NETWORKDAYS(O540,BH540,JoursFeries)-1)*(HFer-HOuv)+IF(NETWORKDAYS(BH540,BH540,JoursFeries),MEDIAN(MOD(BH540,1),HFer,HOuv),HFer)-IF(NETWORKDAYS(O540,O540,JoursFeries),MEDIAN(MOD(O540,1),HFer,HOuv),HOuv))*24,4))))</f>
        <v/>
      </c>
      <c r="BJ540" s="35" t="str">
        <f aca="false">IF(OR(BI540="",AR540=""),"",IF(BI540&lt;=INDEX(DELAI_ESC,AR540),1,0))</f>
        <v/>
      </c>
      <c r="BK540" s="38" t="str">
        <f aca="false">IF(AO540&lt;&gt;1,"",IF(AND(T540="",U540=""),"",MIN(T540,U540)))</f>
        <v/>
      </c>
      <c r="BL540" s="37" t="str">
        <f aca="false">IF(OR(BK540="",R540=""),"",IFERROR(ROUND(IF(OR(BK540="",R540=""),"",IF(R540&lt;BK540,"",ROUND(((NETWORKDAYS(BK540,R540,JoursFeries)-1)*(HFer-HOuv)+IF(NETWORKDAYS(R540,R540,JoursFeries),MEDIAN(MOD(R540,1),HFer,HOuv),HFer)-IF(NETWORKDAYS(BK540,BK540,JoursFeries),MEDIAN(MOD(BK540,1),HFer,HOuv),HOuv))*24,4)))/HJour,4),""))</f>
        <v/>
      </c>
      <c r="BM540" s="35" t="str">
        <f aca="false">IF(OR(AO540&lt;&gt;1,R540=""),"",IF(BD540=1,1,0))</f>
        <v/>
      </c>
      <c r="BN540" s="35" t="str">
        <f aca="false">IF(AO540&lt;&gt;1,"",IF(W540="Oui",1,0))</f>
        <v/>
      </c>
      <c r="BO540" s="35" t="str">
        <f aca="false">IF(AO540&lt;&gt;1,"",IF(X540&lt;&gt;"",1,0))</f>
        <v/>
      </c>
      <c r="BP540" s="35" t="str">
        <f aca="false">IF(AO540&lt;&gt;1,"",IF(Y540="Oui",1,0))</f>
        <v/>
      </c>
      <c r="BQ540" s="35" t="str">
        <f aca="true">IF(OR(AO540&lt;&gt;1,Z540&lt;&gt;"Oui"),"",IF(AB540="",IF(AND(AA540&lt;&gt;"",NOW()&gt;AA540),0,""),IF(AA540="","",IF(AB540&lt;=AA540,1,0))))</f>
        <v/>
      </c>
      <c r="BR540" s="38" t="str">
        <f aca="false">IF(OR(AO540&lt;&gt;1,K540&lt;&gt;"Oui",O540=""),"",IF(AC540="",O540+DORA_H_DET/24,IF(AC540-O540&lt;=DORA_H_DET/24,MIN(AC540+DORA_H_CLA/24,O540+DORA_H_DET/24),AC540+DORA_H_CLA/24)))</f>
        <v/>
      </c>
      <c r="BS540" s="35" t="str">
        <f aca="true">IF(BR540="","",IF(AD540="",IF(NOW()&gt;BR540,0,""),IF(AD540&lt;=BR540,1,0)))</f>
        <v/>
      </c>
      <c r="BT540" s="35" t="str">
        <f aca="true">IF(OR(BR540="",AD540=""),"",IF(AE540="",IF(NOW()&gt;AD540+DORA_H_INT/24,0,""),IF(AE540&lt;=AD540+DORA_H_INT/24,1,0)))</f>
        <v/>
      </c>
      <c r="BU540" s="35" t="str">
        <f aca="true">IF(OR(BR540="",AE540=""),"",IF(AF540="",IF(NOW()&gt;EDATE(AE540,DORA_M_FIN)+1,0,""),IF(AF540&lt;=EDATE(AE540,DORA_M_FIN),1,0)))</f>
        <v/>
      </c>
      <c r="BV540" s="35" t="str">
        <f aca="false">IF(BR540="","",IF(COUNT(BS540:BU540)=0,"",MIN(BS540:BU540)))</f>
        <v/>
      </c>
      <c r="BW540" s="40" t="str">
        <f aca="false">IF(AQ540&lt;&gt;1,"",IF(AND(AG540="",AH540=""),"",N(AG540)-N(AH540)))</f>
        <v/>
      </c>
      <c r="BX540" s="35" t="str">
        <f aca="true">IF(OR(AQ540&lt;&gt;1,AI540&lt;&gt;"Oui",AJ540=""),"",IF(AK540="",IF(NOW()&gt;AJ540+1,0,""),IF(AK540&lt;=AJ540,1,0)))</f>
        <v/>
      </c>
    </row>
    <row r="541" customFormat="false" ht="15" hidden="false" customHeight="false" outlineLevel="0" collapsed="false">
      <c r="B541" s="29"/>
      <c r="C541" s="29"/>
      <c r="D541" s="29"/>
      <c r="E541" s="29"/>
      <c r="F541" s="29"/>
      <c r="G541" s="29"/>
      <c r="H541" s="29"/>
      <c r="I541" s="29"/>
      <c r="J541" s="29"/>
      <c r="K541" s="29"/>
      <c r="L541" s="29"/>
      <c r="M541" s="29"/>
      <c r="N541" s="30"/>
      <c r="O541" s="30"/>
      <c r="P541" s="30"/>
      <c r="Q541" s="30"/>
      <c r="R541" s="30"/>
      <c r="S541" s="30"/>
      <c r="T541" s="30"/>
      <c r="U541" s="30"/>
      <c r="V541" s="31"/>
      <c r="W541" s="29"/>
      <c r="X541" s="29"/>
      <c r="Y541" s="29"/>
      <c r="Z541" s="29"/>
      <c r="AA541" s="30"/>
      <c r="AB541" s="30"/>
      <c r="AC541" s="30"/>
      <c r="AD541" s="30"/>
      <c r="AE541" s="30"/>
      <c r="AF541" s="32"/>
      <c r="AG541" s="33"/>
      <c r="AH541" s="33"/>
      <c r="AI541" s="29"/>
      <c r="AJ541" s="32"/>
      <c r="AK541" s="32"/>
      <c r="AL541" s="29"/>
      <c r="AN541" s="34" t="str">
        <f aca="false">IF($B541="","",IF(OR(C541="",D541="",E541="",G541="",I541="",J541="",L541="",O541="",P541=""),"Champ obligatoire manquant",IF(OR(AND(N541&lt;&gt;"",N541&gt;O541),O541&gt;P541,AND(Q541&lt;&gt;"",Q541&lt;P541),AND(R541&lt;&gt;"",R541&lt;P541),AND(S541&lt;&gt;"",S541&lt;R541),AND(S541&lt;&gt;"",R541=""),AND(T541&lt;&gt;"",T541&lt;O541),AND(U541&lt;&gt;"",U541&lt;O541)),"Chronologie incohérente",IF(AND(OR(L541="Résolu",L541="Clos"),R541=""),"Date de résolution manquante",IF(AND(L541="Clos",S541=""),"Date de clôture manquante",IF(AND(K541="Oui",AC541=""),"Classification DORA manquante","OK"))))))</f>
        <v/>
      </c>
      <c r="AO541" s="35" t="str">
        <f aca="false">IF($B541="","",IF(AND(C541="Incident",L541&lt;&gt;"Annulé"),1,0))</f>
        <v/>
      </c>
      <c r="AP541" s="35" t="str">
        <f aca="false">IF($B541="","",IF(AND(C541="Quasi-incident",L541&lt;&gt;"Annulé"),1,0))</f>
        <v/>
      </c>
      <c r="AQ541" s="35" t="str">
        <f aca="false">IF($B541="","",AO541+AP541)</f>
        <v/>
      </c>
      <c r="AR541" s="36" t="str">
        <f aca="false">IF(OR($B541="",J541=""),"",IFERROR(VALUE(LEFT(J541,1)),""))</f>
        <v/>
      </c>
      <c r="AS541" s="35" t="str">
        <f aca="false">IF(OR(AO541&lt;&gt;1,G541=""),"",IFERROR(IF(INDEX(L_SrcInterne,MATCH(G541,L_Sources,0))="Oui",1,0),""))</f>
        <v/>
      </c>
      <c r="AT541" s="37" t="str">
        <f aca="false">IF(AO541&lt;&gt;1,"",IFERROR(ROUND(IF(OR(N541="",O541=""),"",IF(O541&lt;N541,"",ROUND(((NETWORKDAYS(N541,O541,JoursFeries)-1)*(HFer-HOuv)+IF(NETWORKDAYS(O541,O541,JoursFeries),MEDIAN(MOD(O541,1),HFer,HOuv),HFer)-IF(NETWORKDAYS(N541,N541,JoursFeries),MEDIAN(MOD(N541,1),HFer,HOuv),HOuv))*24,4)))/HJour,4),""))</f>
        <v/>
      </c>
      <c r="AU541" s="37" t="str">
        <f aca="false">IF(AO541&lt;&gt;1,"",IF(OR(O541="",P541=""),"",IF(P541&lt;O541,"",ROUND(((NETWORKDAYS(O541,P541,JoursFeries)-1)*(HFer-HOuv)+IF(NETWORKDAYS(P541,P541,JoursFeries),MEDIAN(MOD(P541,1),HFer,HOuv),HFer)-IF(NETWORKDAYS(O541,O541,JoursFeries),MEDIAN(MOD(O541,1),HFer,HOuv),HOuv))*24,4))))</f>
        <v/>
      </c>
      <c r="AV541" s="37" t="str">
        <f aca="false">IF(AO541&lt;&gt;1,"",IF(OR(P541="",Q541=""),"",IF(Q541&lt;P541,"",ROUND(((NETWORKDAYS(P541,Q541,JoursFeries)-1)*(HFer-HOuv)+IF(NETWORKDAYS(Q541,Q541,JoursFeries),MEDIAN(MOD(Q541,1),HFer,HOuv),HFer)-IF(NETWORKDAYS(P541,P541,JoursFeries),MEDIAN(MOD(P541,1),HFer,HOuv),HOuv))*24,4))))</f>
        <v/>
      </c>
      <c r="AW541" s="37" t="str">
        <f aca="false">IF(AO541&lt;&gt;1,"",IFERROR(ROUND(IF(OR(P541="",R541=""),"",IF(R541&lt;P541,"",ROUND(((NETWORKDAYS(P541,R541,JoursFeries)-1)*(HFer-HOuv)+IF(NETWORKDAYS(R541,R541,JoursFeries),MEDIAN(MOD(R541,1),HFer,HOuv),HFer)-IF(NETWORKDAYS(P541,P541,JoursFeries),MEDIAN(MOD(P541,1),HFer,HOuv),HOuv))*24,4)))/HJour,4),""))</f>
        <v/>
      </c>
      <c r="AX541" s="37" t="str">
        <f aca="false">IF(AO541&lt;&gt;1,"",IFERROR(ROUND(IF(OR(P541="",S541=""),"",IF(S541&lt;P541,"",ROUND(((NETWORKDAYS(P541,S541,JoursFeries)-1)*(HFer-HOuv)+IF(NETWORKDAYS(S541,S541,JoursFeries),MEDIAN(MOD(S541,1),HFer,HOuv),HFer)-IF(NETWORKDAYS(P541,P541,JoursFeries),MEDIAN(MOD(P541,1),HFer,HOuv),HOuv))*24,4)))/HJour,4),""))</f>
        <v/>
      </c>
      <c r="AY541" s="36" t="str">
        <f aca="false">IF(OR(AO541&lt;&gt;1,AR541=""),"",INDEX(SLA_PEC,AR541))</f>
        <v/>
      </c>
      <c r="AZ541" s="35" t="str">
        <f aca="false">IF(OR(AV541="",AY541=""),"",IF(AV541&lt;=AY541,1,0))</f>
        <v/>
      </c>
      <c r="BA541" s="36" t="str">
        <f aca="false">IF(OR(AO541&lt;&gt;1,AR541=""),"",INDEX(SLA_RES,AR541))</f>
        <v/>
      </c>
      <c r="BB541" s="35" t="str">
        <f aca="false">IF(OR(AW541="",BA541=""),"",IF(AW541&lt;=BA541,1,0))</f>
        <v/>
      </c>
      <c r="BC541" s="38" t="str">
        <f aca="false">IF(OR(BA541="",P541=""),"",WORKDAY(INT(P541),BA541,JoursFeries)+MOD(P541,1))</f>
        <v/>
      </c>
      <c r="BD541" s="39" t="str">
        <f aca="false">IF(AO541&lt;&gt;1,"",IF(OR(AB541&lt;&gt;"",AD541&lt;&gt;""),4,IF(U541&lt;&gt;"",3,IF(T541&lt;&gt;"",2,1))))</f>
        <v/>
      </c>
      <c r="BE541" s="39" t="str">
        <f aca="false">IF(OR(AO541&lt;&gt;1,AR541=""),"",INDEX(NIV_REQ,AR541))</f>
        <v/>
      </c>
      <c r="BF541" s="39" t="str">
        <f aca="false">IF(BE541="","",MAX(BE541,IF(OR(K541="Oui",Z541="Oui"),4,1)))</f>
        <v/>
      </c>
      <c r="BG541" s="35" t="str">
        <f aca="false">IF(OR(BF541="",BD541=""),"",IF(BD541&gt;=BF541,1,0))</f>
        <v/>
      </c>
      <c r="BH541" s="38" t="str">
        <f aca="false">IF(BE541="","",IF(BE541&lt;2,"",IF(BE541=2,IF(AND(T541="",U541=""),"",MIN(T541,U541)),IF(U541="","",U541))))</f>
        <v/>
      </c>
      <c r="BI541" s="37" t="str">
        <f aca="false">IF(BH541="","",IF(OR(O541="",BH541=""),"",IF(BH541&lt;O541,"",ROUND(((NETWORKDAYS(O541,BH541,JoursFeries)-1)*(HFer-HOuv)+IF(NETWORKDAYS(BH541,BH541,JoursFeries),MEDIAN(MOD(BH541,1),HFer,HOuv),HFer)-IF(NETWORKDAYS(O541,O541,JoursFeries),MEDIAN(MOD(O541,1),HFer,HOuv),HOuv))*24,4))))</f>
        <v/>
      </c>
      <c r="BJ541" s="35" t="str">
        <f aca="false">IF(OR(BI541="",AR541=""),"",IF(BI541&lt;=INDEX(DELAI_ESC,AR541),1,0))</f>
        <v/>
      </c>
      <c r="BK541" s="38" t="str">
        <f aca="false">IF(AO541&lt;&gt;1,"",IF(AND(T541="",U541=""),"",MIN(T541,U541)))</f>
        <v/>
      </c>
      <c r="BL541" s="37" t="str">
        <f aca="false">IF(OR(BK541="",R541=""),"",IFERROR(ROUND(IF(OR(BK541="",R541=""),"",IF(R541&lt;BK541,"",ROUND(((NETWORKDAYS(BK541,R541,JoursFeries)-1)*(HFer-HOuv)+IF(NETWORKDAYS(R541,R541,JoursFeries),MEDIAN(MOD(R541,1),HFer,HOuv),HFer)-IF(NETWORKDAYS(BK541,BK541,JoursFeries),MEDIAN(MOD(BK541,1),HFer,HOuv),HOuv))*24,4)))/HJour,4),""))</f>
        <v/>
      </c>
      <c r="BM541" s="35" t="str">
        <f aca="false">IF(OR(AO541&lt;&gt;1,R541=""),"",IF(BD541=1,1,0))</f>
        <v/>
      </c>
      <c r="BN541" s="35" t="str">
        <f aca="false">IF(AO541&lt;&gt;1,"",IF(W541="Oui",1,0))</f>
        <v/>
      </c>
      <c r="BO541" s="35" t="str">
        <f aca="false">IF(AO541&lt;&gt;1,"",IF(X541&lt;&gt;"",1,0))</f>
        <v/>
      </c>
      <c r="BP541" s="35" t="str">
        <f aca="false">IF(AO541&lt;&gt;1,"",IF(Y541="Oui",1,0))</f>
        <v/>
      </c>
      <c r="BQ541" s="35" t="str">
        <f aca="true">IF(OR(AO541&lt;&gt;1,Z541&lt;&gt;"Oui"),"",IF(AB541="",IF(AND(AA541&lt;&gt;"",NOW()&gt;AA541),0,""),IF(AA541="","",IF(AB541&lt;=AA541,1,0))))</f>
        <v/>
      </c>
      <c r="BR541" s="38" t="str">
        <f aca="false">IF(OR(AO541&lt;&gt;1,K541&lt;&gt;"Oui",O541=""),"",IF(AC541="",O541+DORA_H_DET/24,IF(AC541-O541&lt;=DORA_H_DET/24,MIN(AC541+DORA_H_CLA/24,O541+DORA_H_DET/24),AC541+DORA_H_CLA/24)))</f>
        <v/>
      </c>
      <c r="BS541" s="35" t="str">
        <f aca="true">IF(BR541="","",IF(AD541="",IF(NOW()&gt;BR541,0,""),IF(AD541&lt;=BR541,1,0)))</f>
        <v/>
      </c>
      <c r="BT541" s="35" t="str">
        <f aca="true">IF(OR(BR541="",AD541=""),"",IF(AE541="",IF(NOW()&gt;AD541+DORA_H_INT/24,0,""),IF(AE541&lt;=AD541+DORA_H_INT/24,1,0)))</f>
        <v/>
      </c>
      <c r="BU541" s="35" t="str">
        <f aca="true">IF(OR(BR541="",AE541=""),"",IF(AF541="",IF(NOW()&gt;EDATE(AE541,DORA_M_FIN)+1,0,""),IF(AF541&lt;=EDATE(AE541,DORA_M_FIN),1,0)))</f>
        <v/>
      </c>
      <c r="BV541" s="35" t="str">
        <f aca="false">IF(BR541="","",IF(COUNT(BS541:BU541)=0,"",MIN(BS541:BU541)))</f>
        <v/>
      </c>
      <c r="BW541" s="40" t="str">
        <f aca="false">IF(AQ541&lt;&gt;1,"",IF(AND(AG541="",AH541=""),"",N(AG541)-N(AH541)))</f>
        <v/>
      </c>
      <c r="BX541" s="35" t="str">
        <f aca="true">IF(OR(AQ541&lt;&gt;1,AI541&lt;&gt;"Oui",AJ541=""),"",IF(AK541="",IF(NOW()&gt;AJ541+1,0,""),IF(AK541&lt;=AJ541,1,0)))</f>
        <v/>
      </c>
    </row>
    <row r="542" customFormat="false" ht="15" hidden="false" customHeight="false" outlineLevel="0" collapsed="false">
      <c r="B542" s="29"/>
      <c r="C542" s="29"/>
      <c r="D542" s="29"/>
      <c r="E542" s="29"/>
      <c r="F542" s="29"/>
      <c r="G542" s="29"/>
      <c r="H542" s="29"/>
      <c r="I542" s="29"/>
      <c r="J542" s="29"/>
      <c r="K542" s="29"/>
      <c r="L542" s="29"/>
      <c r="M542" s="29"/>
      <c r="N542" s="30"/>
      <c r="O542" s="30"/>
      <c r="P542" s="30"/>
      <c r="Q542" s="30"/>
      <c r="R542" s="30"/>
      <c r="S542" s="30"/>
      <c r="T542" s="30"/>
      <c r="U542" s="30"/>
      <c r="V542" s="31"/>
      <c r="W542" s="29"/>
      <c r="X542" s="29"/>
      <c r="Y542" s="29"/>
      <c r="Z542" s="29"/>
      <c r="AA542" s="30"/>
      <c r="AB542" s="30"/>
      <c r="AC542" s="30"/>
      <c r="AD542" s="30"/>
      <c r="AE542" s="30"/>
      <c r="AF542" s="32"/>
      <c r="AG542" s="33"/>
      <c r="AH542" s="33"/>
      <c r="AI542" s="29"/>
      <c r="AJ542" s="32"/>
      <c r="AK542" s="32"/>
      <c r="AL542" s="29"/>
      <c r="AN542" s="34" t="str">
        <f aca="false">IF($B542="","",IF(OR(C542="",D542="",E542="",G542="",I542="",J542="",L542="",O542="",P542=""),"Champ obligatoire manquant",IF(OR(AND(N542&lt;&gt;"",N542&gt;O542),O542&gt;P542,AND(Q542&lt;&gt;"",Q542&lt;P542),AND(R542&lt;&gt;"",R542&lt;P542),AND(S542&lt;&gt;"",S542&lt;R542),AND(S542&lt;&gt;"",R542=""),AND(T542&lt;&gt;"",T542&lt;O542),AND(U542&lt;&gt;"",U542&lt;O542)),"Chronologie incohérente",IF(AND(OR(L542="Résolu",L542="Clos"),R542=""),"Date de résolution manquante",IF(AND(L542="Clos",S542=""),"Date de clôture manquante",IF(AND(K542="Oui",AC542=""),"Classification DORA manquante","OK"))))))</f>
        <v/>
      </c>
      <c r="AO542" s="35" t="str">
        <f aca="false">IF($B542="","",IF(AND(C542="Incident",L542&lt;&gt;"Annulé"),1,0))</f>
        <v/>
      </c>
      <c r="AP542" s="35" t="str">
        <f aca="false">IF($B542="","",IF(AND(C542="Quasi-incident",L542&lt;&gt;"Annulé"),1,0))</f>
        <v/>
      </c>
      <c r="AQ542" s="35" t="str">
        <f aca="false">IF($B542="","",AO542+AP542)</f>
        <v/>
      </c>
      <c r="AR542" s="36" t="str">
        <f aca="false">IF(OR($B542="",J542=""),"",IFERROR(VALUE(LEFT(J542,1)),""))</f>
        <v/>
      </c>
      <c r="AS542" s="35" t="str">
        <f aca="false">IF(OR(AO542&lt;&gt;1,G542=""),"",IFERROR(IF(INDEX(L_SrcInterne,MATCH(G542,L_Sources,0))="Oui",1,0),""))</f>
        <v/>
      </c>
      <c r="AT542" s="37" t="str">
        <f aca="false">IF(AO542&lt;&gt;1,"",IFERROR(ROUND(IF(OR(N542="",O542=""),"",IF(O542&lt;N542,"",ROUND(((NETWORKDAYS(N542,O542,JoursFeries)-1)*(HFer-HOuv)+IF(NETWORKDAYS(O542,O542,JoursFeries),MEDIAN(MOD(O542,1),HFer,HOuv),HFer)-IF(NETWORKDAYS(N542,N542,JoursFeries),MEDIAN(MOD(N542,1),HFer,HOuv),HOuv))*24,4)))/HJour,4),""))</f>
        <v/>
      </c>
      <c r="AU542" s="37" t="str">
        <f aca="false">IF(AO542&lt;&gt;1,"",IF(OR(O542="",P542=""),"",IF(P542&lt;O542,"",ROUND(((NETWORKDAYS(O542,P542,JoursFeries)-1)*(HFer-HOuv)+IF(NETWORKDAYS(P542,P542,JoursFeries),MEDIAN(MOD(P542,1),HFer,HOuv),HFer)-IF(NETWORKDAYS(O542,O542,JoursFeries),MEDIAN(MOD(O542,1),HFer,HOuv),HOuv))*24,4))))</f>
        <v/>
      </c>
      <c r="AV542" s="37" t="str">
        <f aca="false">IF(AO542&lt;&gt;1,"",IF(OR(P542="",Q542=""),"",IF(Q542&lt;P542,"",ROUND(((NETWORKDAYS(P542,Q542,JoursFeries)-1)*(HFer-HOuv)+IF(NETWORKDAYS(Q542,Q542,JoursFeries),MEDIAN(MOD(Q542,1),HFer,HOuv),HFer)-IF(NETWORKDAYS(P542,P542,JoursFeries),MEDIAN(MOD(P542,1),HFer,HOuv),HOuv))*24,4))))</f>
        <v/>
      </c>
      <c r="AW542" s="37" t="str">
        <f aca="false">IF(AO542&lt;&gt;1,"",IFERROR(ROUND(IF(OR(P542="",R542=""),"",IF(R542&lt;P542,"",ROUND(((NETWORKDAYS(P542,R542,JoursFeries)-1)*(HFer-HOuv)+IF(NETWORKDAYS(R542,R542,JoursFeries),MEDIAN(MOD(R542,1),HFer,HOuv),HFer)-IF(NETWORKDAYS(P542,P542,JoursFeries),MEDIAN(MOD(P542,1),HFer,HOuv),HOuv))*24,4)))/HJour,4),""))</f>
        <v/>
      </c>
      <c r="AX542" s="37" t="str">
        <f aca="false">IF(AO542&lt;&gt;1,"",IFERROR(ROUND(IF(OR(P542="",S542=""),"",IF(S542&lt;P542,"",ROUND(((NETWORKDAYS(P542,S542,JoursFeries)-1)*(HFer-HOuv)+IF(NETWORKDAYS(S542,S542,JoursFeries),MEDIAN(MOD(S542,1),HFer,HOuv),HFer)-IF(NETWORKDAYS(P542,P542,JoursFeries),MEDIAN(MOD(P542,1),HFer,HOuv),HOuv))*24,4)))/HJour,4),""))</f>
        <v/>
      </c>
      <c r="AY542" s="36" t="str">
        <f aca="false">IF(OR(AO542&lt;&gt;1,AR542=""),"",INDEX(SLA_PEC,AR542))</f>
        <v/>
      </c>
      <c r="AZ542" s="35" t="str">
        <f aca="false">IF(OR(AV542="",AY542=""),"",IF(AV542&lt;=AY542,1,0))</f>
        <v/>
      </c>
      <c r="BA542" s="36" t="str">
        <f aca="false">IF(OR(AO542&lt;&gt;1,AR542=""),"",INDEX(SLA_RES,AR542))</f>
        <v/>
      </c>
      <c r="BB542" s="35" t="str">
        <f aca="false">IF(OR(AW542="",BA542=""),"",IF(AW542&lt;=BA542,1,0))</f>
        <v/>
      </c>
      <c r="BC542" s="38" t="str">
        <f aca="false">IF(OR(BA542="",P542=""),"",WORKDAY(INT(P542),BA542,JoursFeries)+MOD(P542,1))</f>
        <v/>
      </c>
      <c r="BD542" s="39" t="str">
        <f aca="false">IF(AO542&lt;&gt;1,"",IF(OR(AB542&lt;&gt;"",AD542&lt;&gt;""),4,IF(U542&lt;&gt;"",3,IF(T542&lt;&gt;"",2,1))))</f>
        <v/>
      </c>
      <c r="BE542" s="39" t="str">
        <f aca="false">IF(OR(AO542&lt;&gt;1,AR542=""),"",INDEX(NIV_REQ,AR542))</f>
        <v/>
      </c>
      <c r="BF542" s="39" t="str">
        <f aca="false">IF(BE542="","",MAX(BE542,IF(OR(K542="Oui",Z542="Oui"),4,1)))</f>
        <v/>
      </c>
      <c r="BG542" s="35" t="str">
        <f aca="false">IF(OR(BF542="",BD542=""),"",IF(BD542&gt;=BF542,1,0))</f>
        <v/>
      </c>
      <c r="BH542" s="38" t="str">
        <f aca="false">IF(BE542="","",IF(BE542&lt;2,"",IF(BE542=2,IF(AND(T542="",U542=""),"",MIN(T542,U542)),IF(U542="","",U542))))</f>
        <v/>
      </c>
      <c r="BI542" s="37" t="str">
        <f aca="false">IF(BH542="","",IF(OR(O542="",BH542=""),"",IF(BH542&lt;O542,"",ROUND(((NETWORKDAYS(O542,BH542,JoursFeries)-1)*(HFer-HOuv)+IF(NETWORKDAYS(BH542,BH542,JoursFeries),MEDIAN(MOD(BH542,1),HFer,HOuv),HFer)-IF(NETWORKDAYS(O542,O542,JoursFeries),MEDIAN(MOD(O542,1),HFer,HOuv),HOuv))*24,4))))</f>
        <v/>
      </c>
      <c r="BJ542" s="35" t="str">
        <f aca="false">IF(OR(BI542="",AR542=""),"",IF(BI542&lt;=INDEX(DELAI_ESC,AR542),1,0))</f>
        <v/>
      </c>
      <c r="BK542" s="38" t="str">
        <f aca="false">IF(AO542&lt;&gt;1,"",IF(AND(T542="",U542=""),"",MIN(T542,U542)))</f>
        <v/>
      </c>
      <c r="BL542" s="37" t="str">
        <f aca="false">IF(OR(BK542="",R542=""),"",IFERROR(ROUND(IF(OR(BK542="",R542=""),"",IF(R542&lt;BK542,"",ROUND(((NETWORKDAYS(BK542,R542,JoursFeries)-1)*(HFer-HOuv)+IF(NETWORKDAYS(R542,R542,JoursFeries),MEDIAN(MOD(R542,1),HFer,HOuv),HFer)-IF(NETWORKDAYS(BK542,BK542,JoursFeries),MEDIAN(MOD(BK542,1),HFer,HOuv),HOuv))*24,4)))/HJour,4),""))</f>
        <v/>
      </c>
      <c r="BM542" s="35" t="str">
        <f aca="false">IF(OR(AO542&lt;&gt;1,R542=""),"",IF(BD542=1,1,0))</f>
        <v/>
      </c>
      <c r="BN542" s="35" t="str">
        <f aca="false">IF(AO542&lt;&gt;1,"",IF(W542="Oui",1,0))</f>
        <v/>
      </c>
      <c r="BO542" s="35" t="str">
        <f aca="false">IF(AO542&lt;&gt;1,"",IF(X542&lt;&gt;"",1,0))</f>
        <v/>
      </c>
      <c r="BP542" s="35" t="str">
        <f aca="false">IF(AO542&lt;&gt;1,"",IF(Y542="Oui",1,0))</f>
        <v/>
      </c>
      <c r="BQ542" s="35" t="str">
        <f aca="true">IF(OR(AO542&lt;&gt;1,Z542&lt;&gt;"Oui"),"",IF(AB542="",IF(AND(AA542&lt;&gt;"",NOW()&gt;AA542),0,""),IF(AA542="","",IF(AB542&lt;=AA542,1,0))))</f>
        <v/>
      </c>
      <c r="BR542" s="38" t="str">
        <f aca="false">IF(OR(AO542&lt;&gt;1,K542&lt;&gt;"Oui",O542=""),"",IF(AC542="",O542+DORA_H_DET/24,IF(AC542-O542&lt;=DORA_H_DET/24,MIN(AC542+DORA_H_CLA/24,O542+DORA_H_DET/24),AC542+DORA_H_CLA/24)))</f>
        <v/>
      </c>
      <c r="BS542" s="35" t="str">
        <f aca="true">IF(BR542="","",IF(AD542="",IF(NOW()&gt;BR542,0,""),IF(AD542&lt;=BR542,1,0)))</f>
        <v/>
      </c>
      <c r="BT542" s="35" t="str">
        <f aca="true">IF(OR(BR542="",AD542=""),"",IF(AE542="",IF(NOW()&gt;AD542+DORA_H_INT/24,0,""),IF(AE542&lt;=AD542+DORA_H_INT/24,1,0)))</f>
        <v/>
      </c>
      <c r="BU542" s="35" t="str">
        <f aca="true">IF(OR(BR542="",AE542=""),"",IF(AF542="",IF(NOW()&gt;EDATE(AE542,DORA_M_FIN)+1,0,""),IF(AF542&lt;=EDATE(AE542,DORA_M_FIN),1,0)))</f>
        <v/>
      </c>
      <c r="BV542" s="35" t="str">
        <f aca="false">IF(BR542="","",IF(COUNT(BS542:BU542)=0,"",MIN(BS542:BU542)))</f>
        <v/>
      </c>
      <c r="BW542" s="40" t="str">
        <f aca="false">IF(AQ542&lt;&gt;1,"",IF(AND(AG542="",AH542=""),"",N(AG542)-N(AH542)))</f>
        <v/>
      </c>
      <c r="BX542" s="35" t="str">
        <f aca="true">IF(OR(AQ542&lt;&gt;1,AI542&lt;&gt;"Oui",AJ542=""),"",IF(AK542="",IF(NOW()&gt;AJ542+1,0,""),IF(AK542&lt;=AJ542,1,0)))</f>
        <v/>
      </c>
    </row>
    <row r="543" customFormat="false" ht="15" hidden="false" customHeight="false" outlineLevel="0" collapsed="false">
      <c r="B543" s="29"/>
      <c r="C543" s="29"/>
      <c r="D543" s="29"/>
      <c r="E543" s="29"/>
      <c r="F543" s="29"/>
      <c r="G543" s="29"/>
      <c r="H543" s="29"/>
      <c r="I543" s="29"/>
      <c r="J543" s="29"/>
      <c r="K543" s="29"/>
      <c r="L543" s="29"/>
      <c r="M543" s="29"/>
      <c r="N543" s="30"/>
      <c r="O543" s="30"/>
      <c r="P543" s="30"/>
      <c r="Q543" s="30"/>
      <c r="R543" s="30"/>
      <c r="S543" s="30"/>
      <c r="T543" s="30"/>
      <c r="U543" s="30"/>
      <c r="V543" s="31"/>
      <c r="W543" s="29"/>
      <c r="X543" s="29"/>
      <c r="Y543" s="29"/>
      <c r="Z543" s="29"/>
      <c r="AA543" s="30"/>
      <c r="AB543" s="30"/>
      <c r="AC543" s="30"/>
      <c r="AD543" s="30"/>
      <c r="AE543" s="30"/>
      <c r="AF543" s="32"/>
      <c r="AG543" s="33"/>
      <c r="AH543" s="33"/>
      <c r="AI543" s="29"/>
      <c r="AJ543" s="32"/>
      <c r="AK543" s="32"/>
      <c r="AL543" s="29"/>
      <c r="AN543" s="34" t="str">
        <f aca="false">IF($B543="","",IF(OR(C543="",D543="",E543="",G543="",I543="",J543="",L543="",O543="",P543=""),"Champ obligatoire manquant",IF(OR(AND(N543&lt;&gt;"",N543&gt;O543),O543&gt;P543,AND(Q543&lt;&gt;"",Q543&lt;P543),AND(R543&lt;&gt;"",R543&lt;P543),AND(S543&lt;&gt;"",S543&lt;R543),AND(S543&lt;&gt;"",R543=""),AND(T543&lt;&gt;"",T543&lt;O543),AND(U543&lt;&gt;"",U543&lt;O543)),"Chronologie incohérente",IF(AND(OR(L543="Résolu",L543="Clos"),R543=""),"Date de résolution manquante",IF(AND(L543="Clos",S543=""),"Date de clôture manquante",IF(AND(K543="Oui",AC543=""),"Classification DORA manquante","OK"))))))</f>
        <v/>
      </c>
      <c r="AO543" s="35" t="str">
        <f aca="false">IF($B543="","",IF(AND(C543="Incident",L543&lt;&gt;"Annulé"),1,0))</f>
        <v/>
      </c>
      <c r="AP543" s="35" t="str">
        <f aca="false">IF($B543="","",IF(AND(C543="Quasi-incident",L543&lt;&gt;"Annulé"),1,0))</f>
        <v/>
      </c>
      <c r="AQ543" s="35" t="str">
        <f aca="false">IF($B543="","",AO543+AP543)</f>
        <v/>
      </c>
      <c r="AR543" s="36" t="str">
        <f aca="false">IF(OR($B543="",J543=""),"",IFERROR(VALUE(LEFT(J543,1)),""))</f>
        <v/>
      </c>
      <c r="AS543" s="35" t="str">
        <f aca="false">IF(OR(AO543&lt;&gt;1,G543=""),"",IFERROR(IF(INDEX(L_SrcInterne,MATCH(G543,L_Sources,0))="Oui",1,0),""))</f>
        <v/>
      </c>
      <c r="AT543" s="37" t="str">
        <f aca="false">IF(AO543&lt;&gt;1,"",IFERROR(ROUND(IF(OR(N543="",O543=""),"",IF(O543&lt;N543,"",ROUND(((NETWORKDAYS(N543,O543,JoursFeries)-1)*(HFer-HOuv)+IF(NETWORKDAYS(O543,O543,JoursFeries),MEDIAN(MOD(O543,1),HFer,HOuv),HFer)-IF(NETWORKDAYS(N543,N543,JoursFeries),MEDIAN(MOD(N543,1),HFer,HOuv),HOuv))*24,4)))/HJour,4),""))</f>
        <v/>
      </c>
      <c r="AU543" s="37" t="str">
        <f aca="false">IF(AO543&lt;&gt;1,"",IF(OR(O543="",P543=""),"",IF(P543&lt;O543,"",ROUND(((NETWORKDAYS(O543,P543,JoursFeries)-1)*(HFer-HOuv)+IF(NETWORKDAYS(P543,P543,JoursFeries),MEDIAN(MOD(P543,1),HFer,HOuv),HFer)-IF(NETWORKDAYS(O543,O543,JoursFeries),MEDIAN(MOD(O543,1),HFer,HOuv),HOuv))*24,4))))</f>
        <v/>
      </c>
      <c r="AV543" s="37" t="str">
        <f aca="false">IF(AO543&lt;&gt;1,"",IF(OR(P543="",Q543=""),"",IF(Q543&lt;P543,"",ROUND(((NETWORKDAYS(P543,Q543,JoursFeries)-1)*(HFer-HOuv)+IF(NETWORKDAYS(Q543,Q543,JoursFeries),MEDIAN(MOD(Q543,1),HFer,HOuv),HFer)-IF(NETWORKDAYS(P543,P543,JoursFeries),MEDIAN(MOD(P543,1),HFer,HOuv),HOuv))*24,4))))</f>
        <v/>
      </c>
      <c r="AW543" s="37" t="str">
        <f aca="false">IF(AO543&lt;&gt;1,"",IFERROR(ROUND(IF(OR(P543="",R543=""),"",IF(R543&lt;P543,"",ROUND(((NETWORKDAYS(P543,R543,JoursFeries)-1)*(HFer-HOuv)+IF(NETWORKDAYS(R543,R543,JoursFeries),MEDIAN(MOD(R543,1),HFer,HOuv),HFer)-IF(NETWORKDAYS(P543,P543,JoursFeries),MEDIAN(MOD(P543,1),HFer,HOuv),HOuv))*24,4)))/HJour,4),""))</f>
        <v/>
      </c>
      <c r="AX543" s="37" t="str">
        <f aca="false">IF(AO543&lt;&gt;1,"",IFERROR(ROUND(IF(OR(P543="",S543=""),"",IF(S543&lt;P543,"",ROUND(((NETWORKDAYS(P543,S543,JoursFeries)-1)*(HFer-HOuv)+IF(NETWORKDAYS(S543,S543,JoursFeries),MEDIAN(MOD(S543,1),HFer,HOuv),HFer)-IF(NETWORKDAYS(P543,P543,JoursFeries),MEDIAN(MOD(P543,1),HFer,HOuv),HOuv))*24,4)))/HJour,4),""))</f>
        <v/>
      </c>
      <c r="AY543" s="36" t="str">
        <f aca="false">IF(OR(AO543&lt;&gt;1,AR543=""),"",INDEX(SLA_PEC,AR543))</f>
        <v/>
      </c>
      <c r="AZ543" s="35" t="str">
        <f aca="false">IF(OR(AV543="",AY543=""),"",IF(AV543&lt;=AY543,1,0))</f>
        <v/>
      </c>
      <c r="BA543" s="36" t="str">
        <f aca="false">IF(OR(AO543&lt;&gt;1,AR543=""),"",INDEX(SLA_RES,AR543))</f>
        <v/>
      </c>
      <c r="BB543" s="35" t="str">
        <f aca="false">IF(OR(AW543="",BA543=""),"",IF(AW543&lt;=BA543,1,0))</f>
        <v/>
      </c>
      <c r="BC543" s="38" t="str">
        <f aca="false">IF(OR(BA543="",P543=""),"",WORKDAY(INT(P543),BA543,JoursFeries)+MOD(P543,1))</f>
        <v/>
      </c>
      <c r="BD543" s="39" t="str">
        <f aca="false">IF(AO543&lt;&gt;1,"",IF(OR(AB543&lt;&gt;"",AD543&lt;&gt;""),4,IF(U543&lt;&gt;"",3,IF(T543&lt;&gt;"",2,1))))</f>
        <v/>
      </c>
      <c r="BE543" s="39" t="str">
        <f aca="false">IF(OR(AO543&lt;&gt;1,AR543=""),"",INDEX(NIV_REQ,AR543))</f>
        <v/>
      </c>
      <c r="BF543" s="39" t="str">
        <f aca="false">IF(BE543="","",MAX(BE543,IF(OR(K543="Oui",Z543="Oui"),4,1)))</f>
        <v/>
      </c>
      <c r="BG543" s="35" t="str">
        <f aca="false">IF(OR(BF543="",BD543=""),"",IF(BD543&gt;=BF543,1,0))</f>
        <v/>
      </c>
      <c r="BH543" s="38" t="str">
        <f aca="false">IF(BE543="","",IF(BE543&lt;2,"",IF(BE543=2,IF(AND(T543="",U543=""),"",MIN(T543,U543)),IF(U543="","",U543))))</f>
        <v/>
      </c>
      <c r="BI543" s="37" t="str">
        <f aca="false">IF(BH543="","",IF(OR(O543="",BH543=""),"",IF(BH543&lt;O543,"",ROUND(((NETWORKDAYS(O543,BH543,JoursFeries)-1)*(HFer-HOuv)+IF(NETWORKDAYS(BH543,BH543,JoursFeries),MEDIAN(MOD(BH543,1),HFer,HOuv),HFer)-IF(NETWORKDAYS(O543,O543,JoursFeries),MEDIAN(MOD(O543,1),HFer,HOuv),HOuv))*24,4))))</f>
        <v/>
      </c>
      <c r="BJ543" s="35" t="str">
        <f aca="false">IF(OR(BI543="",AR543=""),"",IF(BI543&lt;=INDEX(DELAI_ESC,AR543),1,0))</f>
        <v/>
      </c>
      <c r="BK543" s="38" t="str">
        <f aca="false">IF(AO543&lt;&gt;1,"",IF(AND(T543="",U543=""),"",MIN(T543,U543)))</f>
        <v/>
      </c>
      <c r="BL543" s="37" t="str">
        <f aca="false">IF(OR(BK543="",R543=""),"",IFERROR(ROUND(IF(OR(BK543="",R543=""),"",IF(R543&lt;BK543,"",ROUND(((NETWORKDAYS(BK543,R543,JoursFeries)-1)*(HFer-HOuv)+IF(NETWORKDAYS(R543,R543,JoursFeries),MEDIAN(MOD(R543,1),HFer,HOuv),HFer)-IF(NETWORKDAYS(BK543,BK543,JoursFeries),MEDIAN(MOD(BK543,1),HFer,HOuv),HOuv))*24,4)))/HJour,4),""))</f>
        <v/>
      </c>
      <c r="BM543" s="35" t="str">
        <f aca="false">IF(OR(AO543&lt;&gt;1,R543=""),"",IF(BD543=1,1,0))</f>
        <v/>
      </c>
      <c r="BN543" s="35" t="str">
        <f aca="false">IF(AO543&lt;&gt;1,"",IF(W543="Oui",1,0))</f>
        <v/>
      </c>
      <c r="BO543" s="35" t="str">
        <f aca="false">IF(AO543&lt;&gt;1,"",IF(X543&lt;&gt;"",1,0))</f>
        <v/>
      </c>
      <c r="BP543" s="35" t="str">
        <f aca="false">IF(AO543&lt;&gt;1,"",IF(Y543="Oui",1,0))</f>
        <v/>
      </c>
      <c r="BQ543" s="35" t="str">
        <f aca="true">IF(OR(AO543&lt;&gt;1,Z543&lt;&gt;"Oui"),"",IF(AB543="",IF(AND(AA543&lt;&gt;"",NOW()&gt;AA543),0,""),IF(AA543="","",IF(AB543&lt;=AA543,1,0))))</f>
        <v/>
      </c>
      <c r="BR543" s="38" t="str">
        <f aca="false">IF(OR(AO543&lt;&gt;1,K543&lt;&gt;"Oui",O543=""),"",IF(AC543="",O543+DORA_H_DET/24,IF(AC543-O543&lt;=DORA_H_DET/24,MIN(AC543+DORA_H_CLA/24,O543+DORA_H_DET/24),AC543+DORA_H_CLA/24)))</f>
        <v/>
      </c>
      <c r="BS543" s="35" t="str">
        <f aca="true">IF(BR543="","",IF(AD543="",IF(NOW()&gt;BR543,0,""),IF(AD543&lt;=BR543,1,0)))</f>
        <v/>
      </c>
      <c r="BT543" s="35" t="str">
        <f aca="true">IF(OR(BR543="",AD543=""),"",IF(AE543="",IF(NOW()&gt;AD543+DORA_H_INT/24,0,""),IF(AE543&lt;=AD543+DORA_H_INT/24,1,0)))</f>
        <v/>
      </c>
      <c r="BU543" s="35" t="str">
        <f aca="true">IF(OR(BR543="",AE543=""),"",IF(AF543="",IF(NOW()&gt;EDATE(AE543,DORA_M_FIN)+1,0,""),IF(AF543&lt;=EDATE(AE543,DORA_M_FIN),1,0)))</f>
        <v/>
      </c>
      <c r="BV543" s="35" t="str">
        <f aca="false">IF(BR543="","",IF(COUNT(BS543:BU543)=0,"",MIN(BS543:BU543)))</f>
        <v/>
      </c>
      <c r="BW543" s="40" t="str">
        <f aca="false">IF(AQ543&lt;&gt;1,"",IF(AND(AG543="",AH543=""),"",N(AG543)-N(AH543)))</f>
        <v/>
      </c>
      <c r="BX543" s="35" t="str">
        <f aca="true">IF(OR(AQ543&lt;&gt;1,AI543&lt;&gt;"Oui",AJ543=""),"",IF(AK543="",IF(NOW()&gt;AJ543+1,0,""),IF(AK543&lt;=AJ543,1,0)))</f>
        <v/>
      </c>
    </row>
    <row r="544" customFormat="false" ht="15" hidden="false" customHeight="false" outlineLevel="0" collapsed="false">
      <c r="B544" s="29"/>
      <c r="C544" s="29"/>
      <c r="D544" s="29"/>
      <c r="E544" s="29"/>
      <c r="F544" s="29"/>
      <c r="G544" s="29"/>
      <c r="H544" s="29"/>
      <c r="I544" s="29"/>
      <c r="J544" s="29"/>
      <c r="K544" s="29"/>
      <c r="L544" s="29"/>
      <c r="M544" s="29"/>
      <c r="N544" s="30"/>
      <c r="O544" s="30"/>
      <c r="P544" s="30"/>
      <c r="Q544" s="30"/>
      <c r="R544" s="30"/>
      <c r="S544" s="30"/>
      <c r="T544" s="30"/>
      <c r="U544" s="30"/>
      <c r="V544" s="31"/>
      <c r="W544" s="29"/>
      <c r="X544" s="29"/>
      <c r="Y544" s="29"/>
      <c r="Z544" s="29"/>
      <c r="AA544" s="30"/>
      <c r="AB544" s="30"/>
      <c r="AC544" s="30"/>
      <c r="AD544" s="30"/>
      <c r="AE544" s="30"/>
      <c r="AF544" s="32"/>
      <c r="AG544" s="33"/>
      <c r="AH544" s="33"/>
      <c r="AI544" s="29"/>
      <c r="AJ544" s="32"/>
      <c r="AK544" s="32"/>
      <c r="AL544" s="29"/>
      <c r="AN544" s="34" t="str">
        <f aca="false">IF($B544="","",IF(OR(C544="",D544="",E544="",G544="",I544="",J544="",L544="",O544="",P544=""),"Champ obligatoire manquant",IF(OR(AND(N544&lt;&gt;"",N544&gt;O544),O544&gt;P544,AND(Q544&lt;&gt;"",Q544&lt;P544),AND(R544&lt;&gt;"",R544&lt;P544),AND(S544&lt;&gt;"",S544&lt;R544),AND(S544&lt;&gt;"",R544=""),AND(T544&lt;&gt;"",T544&lt;O544),AND(U544&lt;&gt;"",U544&lt;O544)),"Chronologie incohérente",IF(AND(OR(L544="Résolu",L544="Clos"),R544=""),"Date de résolution manquante",IF(AND(L544="Clos",S544=""),"Date de clôture manquante",IF(AND(K544="Oui",AC544=""),"Classification DORA manquante","OK"))))))</f>
        <v/>
      </c>
      <c r="AO544" s="35" t="str">
        <f aca="false">IF($B544="","",IF(AND(C544="Incident",L544&lt;&gt;"Annulé"),1,0))</f>
        <v/>
      </c>
      <c r="AP544" s="35" t="str">
        <f aca="false">IF($B544="","",IF(AND(C544="Quasi-incident",L544&lt;&gt;"Annulé"),1,0))</f>
        <v/>
      </c>
      <c r="AQ544" s="35" t="str">
        <f aca="false">IF($B544="","",AO544+AP544)</f>
        <v/>
      </c>
      <c r="AR544" s="36" t="str">
        <f aca="false">IF(OR($B544="",J544=""),"",IFERROR(VALUE(LEFT(J544,1)),""))</f>
        <v/>
      </c>
      <c r="AS544" s="35" t="str">
        <f aca="false">IF(OR(AO544&lt;&gt;1,G544=""),"",IFERROR(IF(INDEX(L_SrcInterne,MATCH(G544,L_Sources,0))="Oui",1,0),""))</f>
        <v/>
      </c>
      <c r="AT544" s="37" t="str">
        <f aca="false">IF(AO544&lt;&gt;1,"",IFERROR(ROUND(IF(OR(N544="",O544=""),"",IF(O544&lt;N544,"",ROUND(((NETWORKDAYS(N544,O544,JoursFeries)-1)*(HFer-HOuv)+IF(NETWORKDAYS(O544,O544,JoursFeries),MEDIAN(MOD(O544,1),HFer,HOuv),HFer)-IF(NETWORKDAYS(N544,N544,JoursFeries),MEDIAN(MOD(N544,1),HFer,HOuv),HOuv))*24,4)))/HJour,4),""))</f>
        <v/>
      </c>
      <c r="AU544" s="37" t="str">
        <f aca="false">IF(AO544&lt;&gt;1,"",IF(OR(O544="",P544=""),"",IF(P544&lt;O544,"",ROUND(((NETWORKDAYS(O544,P544,JoursFeries)-1)*(HFer-HOuv)+IF(NETWORKDAYS(P544,P544,JoursFeries),MEDIAN(MOD(P544,1),HFer,HOuv),HFer)-IF(NETWORKDAYS(O544,O544,JoursFeries),MEDIAN(MOD(O544,1),HFer,HOuv),HOuv))*24,4))))</f>
        <v/>
      </c>
      <c r="AV544" s="37" t="str">
        <f aca="false">IF(AO544&lt;&gt;1,"",IF(OR(P544="",Q544=""),"",IF(Q544&lt;P544,"",ROUND(((NETWORKDAYS(P544,Q544,JoursFeries)-1)*(HFer-HOuv)+IF(NETWORKDAYS(Q544,Q544,JoursFeries),MEDIAN(MOD(Q544,1),HFer,HOuv),HFer)-IF(NETWORKDAYS(P544,P544,JoursFeries),MEDIAN(MOD(P544,1),HFer,HOuv),HOuv))*24,4))))</f>
        <v/>
      </c>
      <c r="AW544" s="37" t="str">
        <f aca="false">IF(AO544&lt;&gt;1,"",IFERROR(ROUND(IF(OR(P544="",R544=""),"",IF(R544&lt;P544,"",ROUND(((NETWORKDAYS(P544,R544,JoursFeries)-1)*(HFer-HOuv)+IF(NETWORKDAYS(R544,R544,JoursFeries),MEDIAN(MOD(R544,1),HFer,HOuv),HFer)-IF(NETWORKDAYS(P544,P544,JoursFeries),MEDIAN(MOD(P544,1),HFer,HOuv),HOuv))*24,4)))/HJour,4),""))</f>
        <v/>
      </c>
      <c r="AX544" s="37" t="str">
        <f aca="false">IF(AO544&lt;&gt;1,"",IFERROR(ROUND(IF(OR(P544="",S544=""),"",IF(S544&lt;P544,"",ROUND(((NETWORKDAYS(P544,S544,JoursFeries)-1)*(HFer-HOuv)+IF(NETWORKDAYS(S544,S544,JoursFeries),MEDIAN(MOD(S544,1),HFer,HOuv),HFer)-IF(NETWORKDAYS(P544,P544,JoursFeries),MEDIAN(MOD(P544,1),HFer,HOuv),HOuv))*24,4)))/HJour,4),""))</f>
        <v/>
      </c>
      <c r="AY544" s="36" t="str">
        <f aca="false">IF(OR(AO544&lt;&gt;1,AR544=""),"",INDEX(SLA_PEC,AR544))</f>
        <v/>
      </c>
      <c r="AZ544" s="35" t="str">
        <f aca="false">IF(OR(AV544="",AY544=""),"",IF(AV544&lt;=AY544,1,0))</f>
        <v/>
      </c>
      <c r="BA544" s="36" t="str">
        <f aca="false">IF(OR(AO544&lt;&gt;1,AR544=""),"",INDEX(SLA_RES,AR544))</f>
        <v/>
      </c>
      <c r="BB544" s="35" t="str">
        <f aca="false">IF(OR(AW544="",BA544=""),"",IF(AW544&lt;=BA544,1,0))</f>
        <v/>
      </c>
      <c r="BC544" s="38" t="str">
        <f aca="false">IF(OR(BA544="",P544=""),"",WORKDAY(INT(P544),BA544,JoursFeries)+MOD(P544,1))</f>
        <v/>
      </c>
      <c r="BD544" s="39" t="str">
        <f aca="false">IF(AO544&lt;&gt;1,"",IF(OR(AB544&lt;&gt;"",AD544&lt;&gt;""),4,IF(U544&lt;&gt;"",3,IF(T544&lt;&gt;"",2,1))))</f>
        <v/>
      </c>
      <c r="BE544" s="39" t="str">
        <f aca="false">IF(OR(AO544&lt;&gt;1,AR544=""),"",INDEX(NIV_REQ,AR544))</f>
        <v/>
      </c>
      <c r="BF544" s="39" t="str">
        <f aca="false">IF(BE544="","",MAX(BE544,IF(OR(K544="Oui",Z544="Oui"),4,1)))</f>
        <v/>
      </c>
      <c r="BG544" s="35" t="str">
        <f aca="false">IF(OR(BF544="",BD544=""),"",IF(BD544&gt;=BF544,1,0))</f>
        <v/>
      </c>
      <c r="BH544" s="38" t="str">
        <f aca="false">IF(BE544="","",IF(BE544&lt;2,"",IF(BE544=2,IF(AND(T544="",U544=""),"",MIN(T544,U544)),IF(U544="","",U544))))</f>
        <v/>
      </c>
      <c r="BI544" s="37" t="str">
        <f aca="false">IF(BH544="","",IF(OR(O544="",BH544=""),"",IF(BH544&lt;O544,"",ROUND(((NETWORKDAYS(O544,BH544,JoursFeries)-1)*(HFer-HOuv)+IF(NETWORKDAYS(BH544,BH544,JoursFeries),MEDIAN(MOD(BH544,1),HFer,HOuv),HFer)-IF(NETWORKDAYS(O544,O544,JoursFeries),MEDIAN(MOD(O544,1),HFer,HOuv),HOuv))*24,4))))</f>
        <v/>
      </c>
      <c r="BJ544" s="35" t="str">
        <f aca="false">IF(OR(BI544="",AR544=""),"",IF(BI544&lt;=INDEX(DELAI_ESC,AR544),1,0))</f>
        <v/>
      </c>
      <c r="BK544" s="38" t="str">
        <f aca="false">IF(AO544&lt;&gt;1,"",IF(AND(T544="",U544=""),"",MIN(T544,U544)))</f>
        <v/>
      </c>
      <c r="BL544" s="37" t="str">
        <f aca="false">IF(OR(BK544="",R544=""),"",IFERROR(ROUND(IF(OR(BK544="",R544=""),"",IF(R544&lt;BK544,"",ROUND(((NETWORKDAYS(BK544,R544,JoursFeries)-1)*(HFer-HOuv)+IF(NETWORKDAYS(R544,R544,JoursFeries),MEDIAN(MOD(R544,1),HFer,HOuv),HFer)-IF(NETWORKDAYS(BK544,BK544,JoursFeries),MEDIAN(MOD(BK544,1),HFer,HOuv),HOuv))*24,4)))/HJour,4),""))</f>
        <v/>
      </c>
      <c r="BM544" s="35" t="str">
        <f aca="false">IF(OR(AO544&lt;&gt;1,R544=""),"",IF(BD544=1,1,0))</f>
        <v/>
      </c>
      <c r="BN544" s="35" t="str">
        <f aca="false">IF(AO544&lt;&gt;1,"",IF(W544="Oui",1,0))</f>
        <v/>
      </c>
      <c r="BO544" s="35" t="str">
        <f aca="false">IF(AO544&lt;&gt;1,"",IF(X544&lt;&gt;"",1,0))</f>
        <v/>
      </c>
      <c r="BP544" s="35" t="str">
        <f aca="false">IF(AO544&lt;&gt;1,"",IF(Y544="Oui",1,0))</f>
        <v/>
      </c>
      <c r="BQ544" s="35" t="str">
        <f aca="true">IF(OR(AO544&lt;&gt;1,Z544&lt;&gt;"Oui"),"",IF(AB544="",IF(AND(AA544&lt;&gt;"",NOW()&gt;AA544),0,""),IF(AA544="","",IF(AB544&lt;=AA544,1,0))))</f>
        <v/>
      </c>
      <c r="BR544" s="38" t="str">
        <f aca="false">IF(OR(AO544&lt;&gt;1,K544&lt;&gt;"Oui",O544=""),"",IF(AC544="",O544+DORA_H_DET/24,IF(AC544-O544&lt;=DORA_H_DET/24,MIN(AC544+DORA_H_CLA/24,O544+DORA_H_DET/24),AC544+DORA_H_CLA/24)))</f>
        <v/>
      </c>
      <c r="BS544" s="35" t="str">
        <f aca="true">IF(BR544="","",IF(AD544="",IF(NOW()&gt;BR544,0,""),IF(AD544&lt;=BR544,1,0)))</f>
        <v/>
      </c>
      <c r="BT544" s="35" t="str">
        <f aca="true">IF(OR(BR544="",AD544=""),"",IF(AE544="",IF(NOW()&gt;AD544+DORA_H_INT/24,0,""),IF(AE544&lt;=AD544+DORA_H_INT/24,1,0)))</f>
        <v/>
      </c>
      <c r="BU544" s="35" t="str">
        <f aca="true">IF(OR(BR544="",AE544=""),"",IF(AF544="",IF(NOW()&gt;EDATE(AE544,DORA_M_FIN)+1,0,""),IF(AF544&lt;=EDATE(AE544,DORA_M_FIN),1,0)))</f>
        <v/>
      </c>
      <c r="BV544" s="35" t="str">
        <f aca="false">IF(BR544="","",IF(COUNT(BS544:BU544)=0,"",MIN(BS544:BU544)))</f>
        <v/>
      </c>
      <c r="BW544" s="40" t="str">
        <f aca="false">IF(AQ544&lt;&gt;1,"",IF(AND(AG544="",AH544=""),"",N(AG544)-N(AH544)))</f>
        <v/>
      </c>
      <c r="BX544" s="35" t="str">
        <f aca="true">IF(OR(AQ544&lt;&gt;1,AI544&lt;&gt;"Oui",AJ544=""),"",IF(AK544="",IF(NOW()&gt;AJ544+1,0,""),IF(AK544&lt;=AJ544,1,0)))</f>
        <v/>
      </c>
    </row>
    <row r="545" customFormat="false" ht="15" hidden="false" customHeight="false" outlineLevel="0" collapsed="false">
      <c r="B545" s="29"/>
      <c r="C545" s="29"/>
      <c r="D545" s="29"/>
      <c r="E545" s="29"/>
      <c r="F545" s="29"/>
      <c r="G545" s="29"/>
      <c r="H545" s="29"/>
      <c r="I545" s="29"/>
      <c r="J545" s="29"/>
      <c r="K545" s="29"/>
      <c r="L545" s="29"/>
      <c r="M545" s="29"/>
      <c r="N545" s="30"/>
      <c r="O545" s="30"/>
      <c r="P545" s="30"/>
      <c r="Q545" s="30"/>
      <c r="R545" s="30"/>
      <c r="S545" s="30"/>
      <c r="T545" s="30"/>
      <c r="U545" s="30"/>
      <c r="V545" s="31"/>
      <c r="W545" s="29"/>
      <c r="X545" s="29"/>
      <c r="Y545" s="29"/>
      <c r="Z545" s="29"/>
      <c r="AA545" s="30"/>
      <c r="AB545" s="30"/>
      <c r="AC545" s="30"/>
      <c r="AD545" s="30"/>
      <c r="AE545" s="30"/>
      <c r="AF545" s="32"/>
      <c r="AG545" s="33"/>
      <c r="AH545" s="33"/>
      <c r="AI545" s="29"/>
      <c r="AJ545" s="32"/>
      <c r="AK545" s="32"/>
      <c r="AL545" s="29"/>
      <c r="AN545" s="34" t="str">
        <f aca="false">IF($B545="","",IF(OR(C545="",D545="",E545="",G545="",I545="",J545="",L545="",O545="",P545=""),"Champ obligatoire manquant",IF(OR(AND(N545&lt;&gt;"",N545&gt;O545),O545&gt;P545,AND(Q545&lt;&gt;"",Q545&lt;P545),AND(R545&lt;&gt;"",R545&lt;P545),AND(S545&lt;&gt;"",S545&lt;R545),AND(S545&lt;&gt;"",R545=""),AND(T545&lt;&gt;"",T545&lt;O545),AND(U545&lt;&gt;"",U545&lt;O545)),"Chronologie incohérente",IF(AND(OR(L545="Résolu",L545="Clos"),R545=""),"Date de résolution manquante",IF(AND(L545="Clos",S545=""),"Date de clôture manquante",IF(AND(K545="Oui",AC545=""),"Classification DORA manquante","OK"))))))</f>
        <v/>
      </c>
      <c r="AO545" s="35" t="str">
        <f aca="false">IF($B545="","",IF(AND(C545="Incident",L545&lt;&gt;"Annulé"),1,0))</f>
        <v/>
      </c>
      <c r="AP545" s="35" t="str">
        <f aca="false">IF($B545="","",IF(AND(C545="Quasi-incident",L545&lt;&gt;"Annulé"),1,0))</f>
        <v/>
      </c>
      <c r="AQ545" s="35" t="str">
        <f aca="false">IF($B545="","",AO545+AP545)</f>
        <v/>
      </c>
      <c r="AR545" s="36" t="str">
        <f aca="false">IF(OR($B545="",J545=""),"",IFERROR(VALUE(LEFT(J545,1)),""))</f>
        <v/>
      </c>
      <c r="AS545" s="35" t="str">
        <f aca="false">IF(OR(AO545&lt;&gt;1,G545=""),"",IFERROR(IF(INDEX(L_SrcInterne,MATCH(G545,L_Sources,0))="Oui",1,0),""))</f>
        <v/>
      </c>
      <c r="AT545" s="37" t="str">
        <f aca="false">IF(AO545&lt;&gt;1,"",IFERROR(ROUND(IF(OR(N545="",O545=""),"",IF(O545&lt;N545,"",ROUND(((NETWORKDAYS(N545,O545,JoursFeries)-1)*(HFer-HOuv)+IF(NETWORKDAYS(O545,O545,JoursFeries),MEDIAN(MOD(O545,1),HFer,HOuv),HFer)-IF(NETWORKDAYS(N545,N545,JoursFeries),MEDIAN(MOD(N545,1),HFer,HOuv),HOuv))*24,4)))/HJour,4),""))</f>
        <v/>
      </c>
      <c r="AU545" s="37" t="str">
        <f aca="false">IF(AO545&lt;&gt;1,"",IF(OR(O545="",P545=""),"",IF(P545&lt;O545,"",ROUND(((NETWORKDAYS(O545,P545,JoursFeries)-1)*(HFer-HOuv)+IF(NETWORKDAYS(P545,P545,JoursFeries),MEDIAN(MOD(P545,1),HFer,HOuv),HFer)-IF(NETWORKDAYS(O545,O545,JoursFeries),MEDIAN(MOD(O545,1),HFer,HOuv),HOuv))*24,4))))</f>
        <v/>
      </c>
      <c r="AV545" s="37" t="str">
        <f aca="false">IF(AO545&lt;&gt;1,"",IF(OR(P545="",Q545=""),"",IF(Q545&lt;P545,"",ROUND(((NETWORKDAYS(P545,Q545,JoursFeries)-1)*(HFer-HOuv)+IF(NETWORKDAYS(Q545,Q545,JoursFeries),MEDIAN(MOD(Q545,1),HFer,HOuv),HFer)-IF(NETWORKDAYS(P545,P545,JoursFeries),MEDIAN(MOD(P545,1),HFer,HOuv),HOuv))*24,4))))</f>
        <v/>
      </c>
      <c r="AW545" s="37" t="str">
        <f aca="false">IF(AO545&lt;&gt;1,"",IFERROR(ROUND(IF(OR(P545="",R545=""),"",IF(R545&lt;P545,"",ROUND(((NETWORKDAYS(P545,R545,JoursFeries)-1)*(HFer-HOuv)+IF(NETWORKDAYS(R545,R545,JoursFeries),MEDIAN(MOD(R545,1),HFer,HOuv),HFer)-IF(NETWORKDAYS(P545,P545,JoursFeries),MEDIAN(MOD(P545,1),HFer,HOuv),HOuv))*24,4)))/HJour,4),""))</f>
        <v/>
      </c>
      <c r="AX545" s="37" t="str">
        <f aca="false">IF(AO545&lt;&gt;1,"",IFERROR(ROUND(IF(OR(P545="",S545=""),"",IF(S545&lt;P545,"",ROUND(((NETWORKDAYS(P545,S545,JoursFeries)-1)*(HFer-HOuv)+IF(NETWORKDAYS(S545,S545,JoursFeries),MEDIAN(MOD(S545,1),HFer,HOuv),HFer)-IF(NETWORKDAYS(P545,P545,JoursFeries),MEDIAN(MOD(P545,1),HFer,HOuv),HOuv))*24,4)))/HJour,4),""))</f>
        <v/>
      </c>
      <c r="AY545" s="36" t="str">
        <f aca="false">IF(OR(AO545&lt;&gt;1,AR545=""),"",INDEX(SLA_PEC,AR545))</f>
        <v/>
      </c>
      <c r="AZ545" s="35" t="str">
        <f aca="false">IF(OR(AV545="",AY545=""),"",IF(AV545&lt;=AY545,1,0))</f>
        <v/>
      </c>
      <c r="BA545" s="36" t="str">
        <f aca="false">IF(OR(AO545&lt;&gt;1,AR545=""),"",INDEX(SLA_RES,AR545))</f>
        <v/>
      </c>
      <c r="BB545" s="35" t="str">
        <f aca="false">IF(OR(AW545="",BA545=""),"",IF(AW545&lt;=BA545,1,0))</f>
        <v/>
      </c>
      <c r="BC545" s="38" t="str">
        <f aca="false">IF(OR(BA545="",P545=""),"",WORKDAY(INT(P545),BA545,JoursFeries)+MOD(P545,1))</f>
        <v/>
      </c>
      <c r="BD545" s="39" t="str">
        <f aca="false">IF(AO545&lt;&gt;1,"",IF(OR(AB545&lt;&gt;"",AD545&lt;&gt;""),4,IF(U545&lt;&gt;"",3,IF(T545&lt;&gt;"",2,1))))</f>
        <v/>
      </c>
      <c r="BE545" s="39" t="str">
        <f aca="false">IF(OR(AO545&lt;&gt;1,AR545=""),"",INDEX(NIV_REQ,AR545))</f>
        <v/>
      </c>
      <c r="BF545" s="39" t="str">
        <f aca="false">IF(BE545="","",MAX(BE545,IF(OR(K545="Oui",Z545="Oui"),4,1)))</f>
        <v/>
      </c>
      <c r="BG545" s="35" t="str">
        <f aca="false">IF(OR(BF545="",BD545=""),"",IF(BD545&gt;=BF545,1,0))</f>
        <v/>
      </c>
      <c r="BH545" s="38" t="str">
        <f aca="false">IF(BE545="","",IF(BE545&lt;2,"",IF(BE545=2,IF(AND(T545="",U545=""),"",MIN(T545,U545)),IF(U545="","",U545))))</f>
        <v/>
      </c>
      <c r="BI545" s="37" t="str">
        <f aca="false">IF(BH545="","",IF(OR(O545="",BH545=""),"",IF(BH545&lt;O545,"",ROUND(((NETWORKDAYS(O545,BH545,JoursFeries)-1)*(HFer-HOuv)+IF(NETWORKDAYS(BH545,BH545,JoursFeries),MEDIAN(MOD(BH545,1),HFer,HOuv),HFer)-IF(NETWORKDAYS(O545,O545,JoursFeries),MEDIAN(MOD(O545,1),HFer,HOuv),HOuv))*24,4))))</f>
        <v/>
      </c>
      <c r="BJ545" s="35" t="str">
        <f aca="false">IF(OR(BI545="",AR545=""),"",IF(BI545&lt;=INDEX(DELAI_ESC,AR545),1,0))</f>
        <v/>
      </c>
      <c r="BK545" s="38" t="str">
        <f aca="false">IF(AO545&lt;&gt;1,"",IF(AND(T545="",U545=""),"",MIN(T545,U545)))</f>
        <v/>
      </c>
      <c r="BL545" s="37" t="str">
        <f aca="false">IF(OR(BK545="",R545=""),"",IFERROR(ROUND(IF(OR(BK545="",R545=""),"",IF(R545&lt;BK545,"",ROUND(((NETWORKDAYS(BK545,R545,JoursFeries)-1)*(HFer-HOuv)+IF(NETWORKDAYS(R545,R545,JoursFeries),MEDIAN(MOD(R545,1),HFer,HOuv),HFer)-IF(NETWORKDAYS(BK545,BK545,JoursFeries),MEDIAN(MOD(BK545,1),HFer,HOuv),HOuv))*24,4)))/HJour,4),""))</f>
        <v/>
      </c>
      <c r="BM545" s="35" t="str">
        <f aca="false">IF(OR(AO545&lt;&gt;1,R545=""),"",IF(BD545=1,1,0))</f>
        <v/>
      </c>
      <c r="BN545" s="35" t="str">
        <f aca="false">IF(AO545&lt;&gt;1,"",IF(W545="Oui",1,0))</f>
        <v/>
      </c>
      <c r="BO545" s="35" t="str">
        <f aca="false">IF(AO545&lt;&gt;1,"",IF(X545&lt;&gt;"",1,0))</f>
        <v/>
      </c>
      <c r="BP545" s="35" t="str">
        <f aca="false">IF(AO545&lt;&gt;1,"",IF(Y545="Oui",1,0))</f>
        <v/>
      </c>
      <c r="BQ545" s="35" t="str">
        <f aca="true">IF(OR(AO545&lt;&gt;1,Z545&lt;&gt;"Oui"),"",IF(AB545="",IF(AND(AA545&lt;&gt;"",NOW()&gt;AA545),0,""),IF(AA545="","",IF(AB545&lt;=AA545,1,0))))</f>
        <v/>
      </c>
      <c r="BR545" s="38" t="str">
        <f aca="false">IF(OR(AO545&lt;&gt;1,K545&lt;&gt;"Oui",O545=""),"",IF(AC545="",O545+DORA_H_DET/24,IF(AC545-O545&lt;=DORA_H_DET/24,MIN(AC545+DORA_H_CLA/24,O545+DORA_H_DET/24),AC545+DORA_H_CLA/24)))</f>
        <v/>
      </c>
      <c r="BS545" s="35" t="str">
        <f aca="true">IF(BR545="","",IF(AD545="",IF(NOW()&gt;BR545,0,""),IF(AD545&lt;=BR545,1,0)))</f>
        <v/>
      </c>
      <c r="BT545" s="35" t="str">
        <f aca="true">IF(OR(BR545="",AD545=""),"",IF(AE545="",IF(NOW()&gt;AD545+DORA_H_INT/24,0,""),IF(AE545&lt;=AD545+DORA_H_INT/24,1,0)))</f>
        <v/>
      </c>
      <c r="BU545" s="35" t="str">
        <f aca="true">IF(OR(BR545="",AE545=""),"",IF(AF545="",IF(NOW()&gt;EDATE(AE545,DORA_M_FIN)+1,0,""),IF(AF545&lt;=EDATE(AE545,DORA_M_FIN),1,0)))</f>
        <v/>
      </c>
      <c r="BV545" s="35" t="str">
        <f aca="false">IF(BR545="","",IF(COUNT(BS545:BU545)=0,"",MIN(BS545:BU545)))</f>
        <v/>
      </c>
      <c r="BW545" s="40" t="str">
        <f aca="false">IF(AQ545&lt;&gt;1,"",IF(AND(AG545="",AH545=""),"",N(AG545)-N(AH545)))</f>
        <v/>
      </c>
      <c r="BX545" s="35" t="str">
        <f aca="true">IF(OR(AQ545&lt;&gt;1,AI545&lt;&gt;"Oui",AJ545=""),"",IF(AK545="",IF(NOW()&gt;AJ545+1,0,""),IF(AK545&lt;=AJ545,1,0)))</f>
        <v/>
      </c>
    </row>
    <row r="546" customFormat="false" ht="15" hidden="false" customHeight="false" outlineLevel="0" collapsed="false">
      <c r="B546" s="29"/>
      <c r="C546" s="29"/>
      <c r="D546" s="29"/>
      <c r="E546" s="29"/>
      <c r="F546" s="29"/>
      <c r="G546" s="29"/>
      <c r="H546" s="29"/>
      <c r="I546" s="29"/>
      <c r="J546" s="29"/>
      <c r="K546" s="29"/>
      <c r="L546" s="29"/>
      <c r="M546" s="29"/>
      <c r="N546" s="30"/>
      <c r="O546" s="30"/>
      <c r="P546" s="30"/>
      <c r="Q546" s="30"/>
      <c r="R546" s="30"/>
      <c r="S546" s="30"/>
      <c r="T546" s="30"/>
      <c r="U546" s="30"/>
      <c r="V546" s="31"/>
      <c r="W546" s="29"/>
      <c r="X546" s="29"/>
      <c r="Y546" s="29"/>
      <c r="Z546" s="29"/>
      <c r="AA546" s="30"/>
      <c r="AB546" s="30"/>
      <c r="AC546" s="30"/>
      <c r="AD546" s="30"/>
      <c r="AE546" s="30"/>
      <c r="AF546" s="32"/>
      <c r="AG546" s="33"/>
      <c r="AH546" s="33"/>
      <c r="AI546" s="29"/>
      <c r="AJ546" s="32"/>
      <c r="AK546" s="32"/>
      <c r="AL546" s="29"/>
      <c r="AN546" s="34" t="str">
        <f aca="false">IF($B546="","",IF(OR(C546="",D546="",E546="",G546="",I546="",J546="",L546="",O546="",P546=""),"Champ obligatoire manquant",IF(OR(AND(N546&lt;&gt;"",N546&gt;O546),O546&gt;P546,AND(Q546&lt;&gt;"",Q546&lt;P546),AND(R546&lt;&gt;"",R546&lt;P546),AND(S546&lt;&gt;"",S546&lt;R546),AND(S546&lt;&gt;"",R546=""),AND(T546&lt;&gt;"",T546&lt;O546),AND(U546&lt;&gt;"",U546&lt;O546)),"Chronologie incohérente",IF(AND(OR(L546="Résolu",L546="Clos"),R546=""),"Date de résolution manquante",IF(AND(L546="Clos",S546=""),"Date de clôture manquante",IF(AND(K546="Oui",AC546=""),"Classification DORA manquante","OK"))))))</f>
        <v/>
      </c>
      <c r="AO546" s="35" t="str">
        <f aca="false">IF($B546="","",IF(AND(C546="Incident",L546&lt;&gt;"Annulé"),1,0))</f>
        <v/>
      </c>
      <c r="AP546" s="35" t="str">
        <f aca="false">IF($B546="","",IF(AND(C546="Quasi-incident",L546&lt;&gt;"Annulé"),1,0))</f>
        <v/>
      </c>
      <c r="AQ546" s="35" t="str">
        <f aca="false">IF($B546="","",AO546+AP546)</f>
        <v/>
      </c>
      <c r="AR546" s="36" t="str">
        <f aca="false">IF(OR($B546="",J546=""),"",IFERROR(VALUE(LEFT(J546,1)),""))</f>
        <v/>
      </c>
      <c r="AS546" s="35" t="str">
        <f aca="false">IF(OR(AO546&lt;&gt;1,G546=""),"",IFERROR(IF(INDEX(L_SrcInterne,MATCH(G546,L_Sources,0))="Oui",1,0),""))</f>
        <v/>
      </c>
      <c r="AT546" s="37" t="str">
        <f aca="false">IF(AO546&lt;&gt;1,"",IFERROR(ROUND(IF(OR(N546="",O546=""),"",IF(O546&lt;N546,"",ROUND(((NETWORKDAYS(N546,O546,JoursFeries)-1)*(HFer-HOuv)+IF(NETWORKDAYS(O546,O546,JoursFeries),MEDIAN(MOD(O546,1),HFer,HOuv),HFer)-IF(NETWORKDAYS(N546,N546,JoursFeries),MEDIAN(MOD(N546,1),HFer,HOuv),HOuv))*24,4)))/HJour,4),""))</f>
        <v/>
      </c>
      <c r="AU546" s="37" t="str">
        <f aca="false">IF(AO546&lt;&gt;1,"",IF(OR(O546="",P546=""),"",IF(P546&lt;O546,"",ROUND(((NETWORKDAYS(O546,P546,JoursFeries)-1)*(HFer-HOuv)+IF(NETWORKDAYS(P546,P546,JoursFeries),MEDIAN(MOD(P546,1),HFer,HOuv),HFer)-IF(NETWORKDAYS(O546,O546,JoursFeries),MEDIAN(MOD(O546,1),HFer,HOuv),HOuv))*24,4))))</f>
        <v/>
      </c>
      <c r="AV546" s="37" t="str">
        <f aca="false">IF(AO546&lt;&gt;1,"",IF(OR(P546="",Q546=""),"",IF(Q546&lt;P546,"",ROUND(((NETWORKDAYS(P546,Q546,JoursFeries)-1)*(HFer-HOuv)+IF(NETWORKDAYS(Q546,Q546,JoursFeries),MEDIAN(MOD(Q546,1),HFer,HOuv),HFer)-IF(NETWORKDAYS(P546,P546,JoursFeries),MEDIAN(MOD(P546,1),HFer,HOuv),HOuv))*24,4))))</f>
        <v/>
      </c>
      <c r="AW546" s="37" t="str">
        <f aca="false">IF(AO546&lt;&gt;1,"",IFERROR(ROUND(IF(OR(P546="",R546=""),"",IF(R546&lt;P546,"",ROUND(((NETWORKDAYS(P546,R546,JoursFeries)-1)*(HFer-HOuv)+IF(NETWORKDAYS(R546,R546,JoursFeries),MEDIAN(MOD(R546,1),HFer,HOuv),HFer)-IF(NETWORKDAYS(P546,P546,JoursFeries),MEDIAN(MOD(P546,1),HFer,HOuv),HOuv))*24,4)))/HJour,4),""))</f>
        <v/>
      </c>
      <c r="AX546" s="37" t="str">
        <f aca="false">IF(AO546&lt;&gt;1,"",IFERROR(ROUND(IF(OR(P546="",S546=""),"",IF(S546&lt;P546,"",ROUND(((NETWORKDAYS(P546,S546,JoursFeries)-1)*(HFer-HOuv)+IF(NETWORKDAYS(S546,S546,JoursFeries),MEDIAN(MOD(S546,1),HFer,HOuv),HFer)-IF(NETWORKDAYS(P546,P546,JoursFeries),MEDIAN(MOD(P546,1),HFer,HOuv),HOuv))*24,4)))/HJour,4),""))</f>
        <v/>
      </c>
      <c r="AY546" s="36" t="str">
        <f aca="false">IF(OR(AO546&lt;&gt;1,AR546=""),"",INDEX(SLA_PEC,AR546))</f>
        <v/>
      </c>
      <c r="AZ546" s="35" t="str">
        <f aca="false">IF(OR(AV546="",AY546=""),"",IF(AV546&lt;=AY546,1,0))</f>
        <v/>
      </c>
      <c r="BA546" s="36" t="str">
        <f aca="false">IF(OR(AO546&lt;&gt;1,AR546=""),"",INDEX(SLA_RES,AR546))</f>
        <v/>
      </c>
      <c r="BB546" s="35" t="str">
        <f aca="false">IF(OR(AW546="",BA546=""),"",IF(AW546&lt;=BA546,1,0))</f>
        <v/>
      </c>
      <c r="BC546" s="38" t="str">
        <f aca="false">IF(OR(BA546="",P546=""),"",WORKDAY(INT(P546),BA546,JoursFeries)+MOD(P546,1))</f>
        <v/>
      </c>
      <c r="BD546" s="39" t="str">
        <f aca="false">IF(AO546&lt;&gt;1,"",IF(OR(AB546&lt;&gt;"",AD546&lt;&gt;""),4,IF(U546&lt;&gt;"",3,IF(T546&lt;&gt;"",2,1))))</f>
        <v/>
      </c>
      <c r="BE546" s="39" t="str">
        <f aca="false">IF(OR(AO546&lt;&gt;1,AR546=""),"",INDEX(NIV_REQ,AR546))</f>
        <v/>
      </c>
      <c r="BF546" s="39" t="str">
        <f aca="false">IF(BE546="","",MAX(BE546,IF(OR(K546="Oui",Z546="Oui"),4,1)))</f>
        <v/>
      </c>
      <c r="BG546" s="35" t="str">
        <f aca="false">IF(OR(BF546="",BD546=""),"",IF(BD546&gt;=BF546,1,0))</f>
        <v/>
      </c>
      <c r="BH546" s="38" t="str">
        <f aca="false">IF(BE546="","",IF(BE546&lt;2,"",IF(BE546=2,IF(AND(T546="",U546=""),"",MIN(T546,U546)),IF(U546="","",U546))))</f>
        <v/>
      </c>
      <c r="BI546" s="37" t="str">
        <f aca="false">IF(BH546="","",IF(OR(O546="",BH546=""),"",IF(BH546&lt;O546,"",ROUND(((NETWORKDAYS(O546,BH546,JoursFeries)-1)*(HFer-HOuv)+IF(NETWORKDAYS(BH546,BH546,JoursFeries),MEDIAN(MOD(BH546,1),HFer,HOuv),HFer)-IF(NETWORKDAYS(O546,O546,JoursFeries),MEDIAN(MOD(O546,1),HFer,HOuv),HOuv))*24,4))))</f>
        <v/>
      </c>
      <c r="BJ546" s="35" t="str">
        <f aca="false">IF(OR(BI546="",AR546=""),"",IF(BI546&lt;=INDEX(DELAI_ESC,AR546),1,0))</f>
        <v/>
      </c>
      <c r="BK546" s="38" t="str">
        <f aca="false">IF(AO546&lt;&gt;1,"",IF(AND(T546="",U546=""),"",MIN(T546,U546)))</f>
        <v/>
      </c>
      <c r="BL546" s="37" t="str">
        <f aca="false">IF(OR(BK546="",R546=""),"",IFERROR(ROUND(IF(OR(BK546="",R546=""),"",IF(R546&lt;BK546,"",ROUND(((NETWORKDAYS(BK546,R546,JoursFeries)-1)*(HFer-HOuv)+IF(NETWORKDAYS(R546,R546,JoursFeries),MEDIAN(MOD(R546,1),HFer,HOuv),HFer)-IF(NETWORKDAYS(BK546,BK546,JoursFeries),MEDIAN(MOD(BK546,1),HFer,HOuv),HOuv))*24,4)))/HJour,4),""))</f>
        <v/>
      </c>
      <c r="BM546" s="35" t="str">
        <f aca="false">IF(OR(AO546&lt;&gt;1,R546=""),"",IF(BD546=1,1,0))</f>
        <v/>
      </c>
      <c r="BN546" s="35" t="str">
        <f aca="false">IF(AO546&lt;&gt;1,"",IF(W546="Oui",1,0))</f>
        <v/>
      </c>
      <c r="BO546" s="35" t="str">
        <f aca="false">IF(AO546&lt;&gt;1,"",IF(X546&lt;&gt;"",1,0))</f>
        <v/>
      </c>
      <c r="BP546" s="35" t="str">
        <f aca="false">IF(AO546&lt;&gt;1,"",IF(Y546="Oui",1,0))</f>
        <v/>
      </c>
      <c r="BQ546" s="35" t="str">
        <f aca="true">IF(OR(AO546&lt;&gt;1,Z546&lt;&gt;"Oui"),"",IF(AB546="",IF(AND(AA546&lt;&gt;"",NOW()&gt;AA546),0,""),IF(AA546="","",IF(AB546&lt;=AA546,1,0))))</f>
        <v/>
      </c>
      <c r="BR546" s="38" t="str">
        <f aca="false">IF(OR(AO546&lt;&gt;1,K546&lt;&gt;"Oui",O546=""),"",IF(AC546="",O546+DORA_H_DET/24,IF(AC546-O546&lt;=DORA_H_DET/24,MIN(AC546+DORA_H_CLA/24,O546+DORA_H_DET/24),AC546+DORA_H_CLA/24)))</f>
        <v/>
      </c>
      <c r="BS546" s="35" t="str">
        <f aca="true">IF(BR546="","",IF(AD546="",IF(NOW()&gt;BR546,0,""),IF(AD546&lt;=BR546,1,0)))</f>
        <v/>
      </c>
      <c r="BT546" s="35" t="str">
        <f aca="true">IF(OR(BR546="",AD546=""),"",IF(AE546="",IF(NOW()&gt;AD546+DORA_H_INT/24,0,""),IF(AE546&lt;=AD546+DORA_H_INT/24,1,0)))</f>
        <v/>
      </c>
      <c r="BU546" s="35" t="str">
        <f aca="true">IF(OR(BR546="",AE546=""),"",IF(AF546="",IF(NOW()&gt;EDATE(AE546,DORA_M_FIN)+1,0,""),IF(AF546&lt;=EDATE(AE546,DORA_M_FIN),1,0)))</f>
        <v/>
      </c>
      <c r="BV546" s="35" t="str">
        <f aca="false">IF(BR546="","",IF(COUNT(BS546:BU546)=0,"",MIN(BS546:BU546)))</f>
        <v/>
      </c>
      <c r="BW546" s="40" t="str">
        <f aca="false">IF(AQ546&lt;&gt;1,"",IF(AND(AG546="",AH546=""),"",N(AG546)-N(AH546)))</f>
        <v/>
      </c>
      <c r="BX546" s="35" t="str">
        <f aca="true">IF(OR(AQ546&lt;&gt;1,AI546&lt;&gt;"Oui",AJ546=""),"",IF(AK546="",IF(NOW()&gt;AJ546+1,0,""),IF(AK546&lt;=AJ546,1,0)))</f>
        <v/>
      </c>
    </row>
    <row r="547" customFormat="false" ht="15" hidden="false" customHeight="false" outlineLevel="0" collapsed="false">
      <c r="B547" s="29"/>
      <c r="C547" s="29"/>
      <c r="D547" s="29"/>
      <c r="E547" s="29"/>
      <c r="F547" s="29"/>
      <c r="G547" s="29"/>
      <c r="H547" s="29"/>
      <c r="I547" s="29"/>
      <c r="J547" s="29"/>
      <c r="K547" s="29"/>
      <c r="L547" s="29"/>
      <c r="M547" s="29"/>
      <c r="N547" s="30"/>
      <c r="O547" s="30"/>
      <c r="P547" s="30"/>
      <c r="Q547" s="30"/>
      <c r="R547" s="30"/>
      <c r="S547" s="30"/>
      <c r="T547" s="30"/>
      <c r="U547" s="30"/>
      <c r="V547" s="31"/>
      <c r="W547" s="29"/>
      <c r="X547" s="29"/>
      <c r="Y547" s="29"/>
      <c r="Z547" s="29"/>
      <c r="AA547" s="30"/>
      <c r="AB547" s="30"/>
      <c r="AC547" s="30"/>
      <c r="AD547" s="30"/>
      <c r="AE547" s="30"/>
      <c r="AF547" s="32"/>
      <c r="AG547" s="33"/>
      <c r="AH547" s="33"/>
      <c r="AI547" s="29"/>
      <c r="AJ547" s="32"/>
      <c r="AK547" s="32"/>
      <c r="AL547" s="29"/>
      <c r="AN547" s="34" t="str">
        <f aca="false">IF($B547="","",IF(OR(C547="",D547="",E547="",G547="",I547="",J547="",L547="",O547="",P547=""),"Champ obligatoire manquant",IF(OR(AND(N547&lt;&gt;"",N547&gt;O547),O547&gt;P547,AND(Q547&lt;&gt;"",Q547&lt;P547),AND(R547&lt;&gt;"",R547&lt;P547),AND(S547&lt;&gt;"",S547&lt;R547),AND(S547&lt;&gt;"",R547=""),AND(T547&lt;&gt;"",T547&lt;O547),AND(U547&lt;&gt;"",U547&lt;O547)),"Chronologie incohérente",IF(AND(OR(L547="Résolu",L547="Clos"),R547=""),"Date de résolution manquante",IF(AND(L547="Clos",S547=""),"Date de clôture manquante",IF(AND(K547="Oui",AC547=""),"Classification DORA manquante","OK"))))))</f>
        <v/>
      </c>
      <c r="AO547" s="35" t="str">
        <f aca="false">IF($B547="","",IF(AND(C547="Incident",L547&lt;&gt;"Annulé"),1,0))</f>
        <v/>
      </c>
      <c r="AP547" s="35" t="str">
        <f aca="false">IF($B547="","",IF(AND(C547="Quasi-incident",L547&lt;&gt;"Annulé"),1,0))</f>
        <v/>
      </c>
      <c r="AQ547" s="35" t="str">
        <f aca="false">IF($B547="","",AO547+AP547)</f>
        <v/>
      </c>
      <c r="AR547" s="36" t="str">
        <f aca="false">IF(OR($B547="",J547=""),"",IFERROR(VALUE(LEFT(J547,1)),""))</f>
        <v/>
      </c>
      <c r="AS547" s="35" t="str">
        <f aca="false">IF(OR(AO547&lt;&gt;1,G547=""),"",IFERROR(IF(INDEX(L_SrcInterne,MATCH(G547,L_Sources,0))="Oui",1,0),""))</f>
        <v/>
      </c>
      <c r="AT547" s="37" t="str">
        <f aca="false">IF(AO547&lt;&gt;1,"",IFERROR(ROUND(IF(OR(N547="",O547=""),"",IF(O547&lt;N547,"",ROUND(((NETWORKDAYS(N547,O547,JoursFeries)-1)*(HFer-HOuv)+IF(NETWORKDAYS(O547,O547,JoursFeries),MEDIAN(MOD(O547,1),HFer,HOuv),HFer)-IF(NETWORKDAYS(N547,N547,JoursFeries),MEDIAN(MOD(N547,1),HFer,HOuv),HOuv))*24,4)))/HJour,4),""))</f>
        <v/>
      </c>
      <c r="AU547" s="37" t="str">
        <f aca="false">IF(AO547&lt;&gt;1,"",IF(OR(O547="",P547=""),"",IF(P547&lt;O547,"",ROUND(((NETWORKDAYS(O547,P547,JoursFeries)-1)*(HFer-HOuv)+IF(NETWORKDAYS(P547,P547,JoursFeries),MEDIAN(MOD(P547,1),HFer,HOuv),HFer)-IF(NETWORKDAYS(O547,O547,JoursFeries),MEDIAN(MOD(O547,1),HFer,HOuv),HOuv))*24,4))))</f>
        <v/>
      </c>
      <c r="AV547" s="37" t="str">
        <f aca="false">IF(AO547&lt;&gt;1,"",IF(OR(P547="",Q547=""),"",IF(Q547&lt;P547,"",ROUND(((NETWORKDAYS(P547,Q547,JoursFeries)-1)*(HFer-HOuv)+IF(NETWORKDAYS(Q547,Q547,JoursFeries),MEDIAN(MOD(Q547,1),HFer,HOuv),HFer)-IF(NETWORKDAYS(P547,P547,JoursFeries),MEDIAN(MOD(P547,1),HFer,HOuv),HOuv))*24,4))))</f>
        <v/>
      </c>
      <c r="AW547" s="37" t="str">
        <f aca="false">IF(AO547&lt;&gt;1,"",IFERROR(ROUND(IF(OR(P547="",R547=""),"",IF(R547&lt;P547,"",ROUND(((NETWORKDAYS(P547,R547,JoursFeries)-1)*(HFer-HOuv)+IF(NETWORKDAYS(R547,R547,JoursFeries),MEDIAN(MOD(R547,1),HFer,HOuv),HFer)-IF(NETWORKDAYS(P547,P547,JoursFeries),MEDIAN(MOD(P547,1),HFer,HOuv),HOuv))*24,4)))/HJour,4),""))</f>
        <v/>
      </c>
      <c r="AX547" s="37" t="str">
        <f aca="false">IF(AO547&lt;&gt;1,"",IFERROR(ROUND(IF(OR(P547="",S547=""),"",IF(S547&lt;P547,"",ROUND(((NETWORKDAYS(P547,S547,JoursFeries)-1)*(HFer-HOuv)+IF(NETWORKDAYS(S547,S547,JoursFeries),MEDIAN(MOD(S547,1),HFer,HOuv),HFer)-IF(NETWORKDAYS(P547,P547,JoursFeries),MEDIAN(MOD(P547,1),HFer,HOuv),HOuv))*24,4)))/HJour,4),""))</f>
        <v/>
      </c>
      <c r="AY547" s="36" t="str">
        <f aca="false">IF(OR(AO547&lt;&gt;1,AR547=""),"",INDEX(SLA_PEC,AR547))</f>
        <v/>
      </c>
      <c r="AZ547" s="35" t="str">
        <f aca="false">IF(OR(AV547="",AY547=""),"",IF(AV547&lt;=AY547,1,0))</f>
        <v/>
      </c>
      <c r="BA547" s="36" t="str">
        <f aca="false">IF(OR(AO547&lt;&gt;1,AR547=""),"",INDEX(SLA_RES,AR547))</f>
        <v/>
      </c>
      <c r="BB547" s="35" t="str">
        <f aca="false">IF(OR(AW547="",BA547=""),"",IF(AW547&lt;=BA547,1,0))</f>
        <v/>
      </c>
      <c r="BC547" s="38" t="str">
        <f aca="false">IF(OR(BA547="",P547=""),"",WORKDAY(INT(P547),BA547,JoursFeries)+MOD(P547,1))</f>
        <v/>
      </c>
      <c r="BD547" s="39" t="str">
        <f aca="false">IF(AO547&lt;&gt;1,"",IF(OR(AB547&lt;&gt;"",AD547&lt;&gt;""),4,IF(U547&lt;&gt;"",3,IF(T547&lt;&gt;"",2,1))))</f>
        <v/>
      </c>
      <c r="BE547" s="39" t="str">
        <f aca="false">IF(OR(AO547&lt;&gt;1,AR547=""),"",INDEX(NIV_REQ,AR547))</f>
        <v/>
      </c>
      <c r="BF547" s="39" t="str">
        <f aca="false">IF(BE547="","",MAX(BE547,IF(OR(K547="Oui",Z547="Oui"),4,1)))</f>
        <v/>
      </c>
      <c r="BG547" s="35" t="str">
        <f aca="false">IF(OR(BF547="",BD547=""),"",IF(BD547&gt;=BF547,1,0))</f>
        <v/>
      </c>
      <c r="BH547" s="38" t="str">
        <f aca="false">IF(BE547="","",IF(BE547&lt;2,"",IF(BE547=2,IF(AND(T547="",U547=""),"",MIN(T547,U547)),IF(U547="","",U547))))</f>
        <v/>
      </c>
      <c r="BI547" s="37" t="str">
        <f aca="false">IF(BH547="","",IF(OR(O547="",BH547=""),"",IF(BH547&lt;O547,"",ROUND(((NETWORKDAYS(O547,BH547,JoursFeries)-1)*(HFer-HOuv)+IF(NETWORKDAYS(BH547,BH547,JoursFeries),MEDIAN(MOD(BH547,1),HFer,HOuv),HFer)-IF(NETWORKDAYS(O547,O547,JoursFeries),MEDIAN(MOD(O547,1),HFer,HOuv),HOuv))*24,4))))</f>
        <v/>
      </c>
      <c r="BJ547" s="35" t="str">
        <f aca="false">IF(OR(BI547="",AR547=""),"",IF(BI547&lt;=INDEX(DELAI_ESC,AR547),1,0))</f>
        <v/>
      </c>
      <c r="BK547" s="38" t="str">
        <f aca="false">IF(AO547&lt;&gt;1,"",IF(AND(T547="",U547=""),"",MIN(T547,U547)))</f>
        <v/>
      </c>
      <c r="BL547" s="37" t="str">
        <f aca="false">IF(OR(BK547="",R547=""),"",IFERROR(ROUND(IF(OR(BK547="",R547=""),"",IF(R547&lt;BK547,"",ROUND(((NETWORKDAYS(BK547,R547,JoursFeries)-1)*(HFer-HOuv)+IF(NETWORKDAYS(R547,R547,JoursFeries),MEDIAN(MOD(R547,1),HFer,HOuv),HFer)-IF(NETWORKDAYS(BK547,BK547,JoursFeries),MEDIAN(MOD(BK547,1),HFer,HOuv),HOuv))*24,4)))/HJour,4),""))</f>
        <v/>
      </c>
      <c r="BM547" s="35" t="str">
        <f aca="false">IF(OR(AO547&lt;&gt;1,R547=""),"",IF(BD547=1,1,0))</f>
        <v/>
      </c>
      <c r="BN547" s="35" t="str">
        <f aca="false">IF(AO547&lt;&gt;1,"",IF(W547="Oui",1,0))</f>
        <v/>
      </c>
      <c r="BO547" s="35" t="str">
        <f aca="false">IF(AO547&lt;&gt;1,"",IF(X547&lt;&gt;"",1,0))</f>
        <v/>
      </c>
      <c r="BP547" s="35" t="str">
        <f aca="false">IF(AO547&lt;&gt;1,"",IF(Y547="Oui",1,0))</f>
        <v/>
      </c>
      <c r="BQ547" s="35" t="str">
        <f aca="true">IF(OR(AO547&lt;&gt;1,Z547&lt;&gt;"Oui"),"",IF(AB547="",IF(AND(AA547&lt;&gt;"",NOW()&gt;AA547),0,""),IF(AA547="","",IF(AB547&lt;=AA547,1,0))))</f>
        <v/>
      </c>
      <c r="BR547" s="38" t="str">
        <f aca="false">IF(OR(AO547&lt;&gt;1,K547&lt;&gt;"Oui",O547=""),"",IF(AC547="",O547+DORA_H_DET/24,IF(AC547-O547&lt;=DORA_H_DET/24,MIN(AC547+DORA_H_CLA/24,O547+DORA_H_DET/24),AC547+DORA_H_CLA/24)))</f>
        <v/>
      </c>
      <c r="BS547" s="35" t="str">
        <f aca="true">IF(BR547="","",IF(AD547="",IF(NOW()&gt;BR547,0,""),IF(AD547&lt;=BR547,1,0)))</f>
        <v/>
      </c>
      <c r="BT547" s="35" t="str">
        <f aca="true">IF(OR(BR547="",AD547=""),"",IF(AE547="",IF(NOW()&gt;AD547+DORA_H_INT/24,0,""),IF(AE547&lt;=AD547+DORA_H_INT/24,1,0)))</f>
        <v/>
      </c>
      <c r="BU547" s="35" t="str">
        <f aca="true">IF(OR(BR547="",AE547=""),"",IF(AF547="",IF(NOW()&gt;EDATE(AE547,DORA_M_FIN)+1,0,""),IF(AF547&lt;=EDATE(AE547,DORA_M_FIN),1,0)))</f>
        <v/>
      </c>
      <c r="BV547" s="35" t="str">
        <f aca="false">IF(BR547="","",IF(COUNT(BS547:BU547)=0,"",MIN(BS547:BU547)))</f>
        <v/>
      </c>
      <c r="BW547" s="40" t="str">
        <f aca="false">IF(AQ547&lt;&gt;1,"",IF(AND(AG547="",AH547=""),"",N(AG547)-N(AH547)))</f>
        <v/>
      </c>
      <c r="BX547" s="35" t="str">
        <f aca="true">IF(OR(AQ547&lt;&gt;1,AI547&lt;&gt;"Oui",AJ547=""),"",IF(AK547="",IF(NOW()&gt;AJ547+1,0,""),IF(AK547&lt;=AJ547,1,0)))</f>
        <v/>
      </c>
    </row>
    <row r="548" customFormat="false" ht="15" hidden="false" customHeight="false" outlineLevel="0" collapsed="false">
      <c r="B548" s="29"/>
      <c r="C548" s="29"/>
      <c r="D548" s="29"/>
      <c r="E548" s="29"/>
      <c r="F548" s="29"/>
      <c r="G548" s="29"/>
      <c r="H548" s="29"/>
      <c r="I548" s="29"/>
      <c r="J548" s="29"/>
      <c r="K548" s="29"/>
      <c r="L548" s="29"/>
      <c r="M548" s="29"/>
      <c r="N548" s="30"/>
      <c r="O548" s="30"/>
      <c r="P548" s="30"/>
      <c r="Q548" s="30"/>
      <c r="R548" s="30"/>
      <c r="S548" s="30"/>
      <c r="T548" s="30"/>
      <c r="U548" s="30"/>
      <c r="V548" s="31"/>
      <c r="W548" s="29"/>
      <c r="X548" s="29"/>
      <c r="Y548" s="29"/>
      <c r="Z548" s="29"/>
      <c r="AA548" s="30"/>
      <c r="AB548" s="30"/>
      <c r="AC548" s="30"/>
      <c r="AD548" s="30"/>
      <c r="AE548" s="30"/>
      <c r="AF548" s="32"/>
      <c r="AG548" s="33"/>
      <c r="AH548" s="33"/>
      <c r="AI548" s="29"/>
      <c r="AJ548" s="32"/>
      <c r="AK548" s="32"/>
      <c r="AL548" s="29"/>
      <c r="AN548" s="34" t="str">
        <f aca="false">IF($B548="","",IF(OR(C548="",D548="",E548="",G548="",I548="",J548="",L548="",O548="",P548=""),"Champ obligatoire manquant",IF(OR(AND(N548&lt;&gt;"",N548&gt;O548),O548&gt;P548,AND(Q548&lt;&gt;"",Q548&lt;P548),AND(R548&lt;&gt;"",R548&lt;P548),AND(S548&lt;&gt;"",S548&lt;R548),AND(S548&lt;&gt;"",R548=""),AND(T548&lt;&gt;"",T548&lt;O548),AND(U548&lt;&gt;"",U548&lt;O548)),"Chronologie incohérente",IF(AND(OR(L548="Résolu",L548="Clos"),R548=""),"Date de résolution manquante",IF(AND(L548="Clos",S548=""),"Date de clôture manquante",IF(AND(K548="Oui",AC548=""),"Classification DORA manquante","OK"))))))</f>
        <v/>
      </c>
      <c r="AO548" s="35" t="str">
        <f aca="false">IF($B548="","",IF(AND(C548="Incident",L548&lt;&gt;"Annulé"),1,0))</f>
        <v/>
      </c>
      <c r="AP548" s="35" t="str">
        <f aca="false">IF($B548="","",IF(AND(C548="Quasi-incident",L548&lt;&gt;"Annulé"),1,0))</f>
        <v/>
      </c>
      <c r="AQ548" s="35" t="str">
        <f aca="false">IF($B548="","",AO548+AP548)</f>
        <v/>
      </c>
      <c r="AR548" s="36" t="str">
        <f aca="false">IF(OR($B548="",J548=""),"",IFERROR(VALUE(LEFT(J548,1)),""))</f>
        <v/>
      </c>
      <c r="AS548" s="35" t="str">
        <f aca="false">IF(OR(AO548&lt;&gt;1,G548=""),"",IFERROR(IF(INDEX(L_SrcInterne,MATCH(G548,L_Sources,0))="Oui",1,0),""))</f>
        <v/>
      </c>
      <c r="AT548" s="37" t="str">
        <f aca="false">IF(AO548&lt;&gt;1,"",IFERROR(ROUND(IF(OR(N548="",O548=""),"",IF(O548&lt;N548,"",ROUND(((NETWORKDAYS(N548,O548,JoursFeries)-1)*(HFer-HOuv)+IF(NETWORKDAYS(O548,O548,JoursFeries),MEDIAN(MOD(O548,1),HFer,HOuv),HFer)-IF(NETWORKDAYS(N548,N548,JoursFeries),MEDIAN(MOD(N548,1),HFer,HOuv),HOuv))*24,4)))/HJour,4),""))</f>
        <v/>
      </c>
      <c r="AU548" s="37" t="str">
        <f aca="false">IF(AO548&lt;&gt;1,"",IF(OR(O548="",P548=""),"",IF(P548&lt;O548,"",ROUND(((NETWORKDAYS(O548,P548,JoursFeries)-1)*(HFer-HOuv)+IF(NETWORKDAYS(P548,P548,JoursFeries),MEDIAN(MOD(P548,1),HFer,HOuv),HFer)-IF(NETWORKDAYS(O548,O548,JoursFeries),MEDIAN(MOD(O548,1),HFer,HOuv),HOuv))*24,4))))</f>
        <v/>
      </c>
      <c r="AV548" s="37" t="str">
        <f aca="false">IF(AO548&lt;&gt;1,"",IF(OR(P548="",Q548=""),"",IF(Q548&lt;P548,"",ROUND(((NETWORKDAYS(P548,Q548,JoursFeries)-1)*(HFer-HOuv)+IF(NETWORKDAYS(Q548,Q548,JoursFeries),MEDIAN(MOD(Q548,1),HFer,HOuv),HFer)-IF(NETWORKDAYS(P548,P548,JoursFeries),MEDIAN(MOD(P548,1),HFer,HOuv),HOuv))*24,4))))</f>
        <v/>
      </c>
      <c r="AW548" s="37" t="str">
        <f aca="false">IF(AO548&lt;&gt;1,"",IFERROR(ROUND(IF(OR(P548="",R548=""),"",IF(R548&lt;P548,"",ROUND(((NETWORKDAYS(P548,R548,JoursFeries)-1)*(HFer-HOuv)+IF(NETWORKDAYS(R548,R548,JoursFeries),MEDIAN(MOD(R548,1),HFer,HOuv),HFer)-IF(NETWORKDAYS(P548,P548,JoursFeries),MEDIAN(MOD(P548,1),HFer,HOuv),HOuv))*24,4)))/HJour,4),""))</f>
        <v/>
      </c>
      <c r="AX548" s="37" t="str">
        <f aca="false">IF(AO548&lt;&gt;1,"",IFERROR(ROUND(IF(OR(P548="",S548=""),"",IF(S548&lt;P548,"",ROUND(((NETWORKDAYS(P548,S548,JoursFeries)-1)*(HFer-HOuv)+IF(NETWORKDAYS(S548,S548,JoursFeries),MEDIAN(MOD(S548,1),HFer,HOuv),HFer)-IF(NETWORKDAYS(P548,P548,JoursFeries),MEDIAN(MOD(P548,1),HFer,HOuv),HOuv))*24,4)))/HJour,4),""))</f>
        <v/>
      </c>
      <c r="AY548" s="36" t="str">
        <f aca="false">IF(OR(AO548&lt;&gt;1,AR548=""),"",INDEX(SLA_PEC,AR548))</f>
        <v/>
      </c>
      <c r="AZ548" s="35" t="str">
        <f aca="false">IF(OR(AV548="",AY548=""),"",IF(AV548&lt;=AY548,1,0))</f>
        <v/>
      </c>
      <c r="BA548" s="36" t="str">
        <f aca="false">IF(OR(AO548&lt;&gt;1,AR548=""),"",INDEX(SLA_RES,AR548))</f>
        <v/>
      </c>
      <c r="BB548" s="35" t="str">
        <f aca="false">IF(OR(AW548="",BA548=""),"",IF(AW548&lt;=BA548,1,0))</f>
        <v/>
      </c>
      <c r="BC548" s="38" t="str">
        <f aca="false">IF(OR(BA548="",P548=""),"",WORKDAY(INT(P548),BA548,JoursFeries)+MOD(P548,1))</f>
        <v/>
      </c>
      <c r="BD548" s="39" t="str">
        <f aca="false">IF(AO548&lt;&gt;1,"",IF(OR(AB548&lt;&gt;"",AD548&lt;&gt;""),4,IF(U548&lt;&gt;"",3,IF(T548&lt;&gt;"",2,1))))</f>
        <v/>
      </c>
      <c r="BE548" s="39" t="str">
        <f aca="false">IF(OR(AO548&lt;&gt;1,AR548=""),"",INDEX(NIV_REQ,AR548))</f>
        <v/>
      </c>
      <c r="BF548" s="39" t="str">
        <f aca="false">IF(BE548="","",MAX(BE548,IF(OR(K548="Oui",Z548="Oui"),4,1)))</f>
        <v/>
      </c>
      <c r="BG548" s="35" t="str">
        <f aca="false">IF(OR(BF548="",BD548=""),"",IF(BD548&gt;=BF548,1,0))</f>
        <v/>
      </c>
      <c r="BH548" s="38" t="str">
        <f aca="false">IF(BE548="","",IF(BE548&lt;2,"",IF(BE548=2,IF(AND(T548="",U548=""),"",MIN(T548,U548)),IF(U548="","",U548))))</f>
        <v/>
      </c>
      <c r="BI548" s="37" t="str">
        <f aca="false">IF(BH548="","",IF(OR(O548="",BH548=""),"",IF(BH548&lt;O548,"",ROUND(((NETWORKDAYS(O548,BH548,JoursFeries)-1)*(HFer-HOuv)+IF(NETWORKDAYS(BH548,BH548,JoursFeries),MEDIAN(MOD(BH548,1),HFer,HOuv),HFer)-IF(NETWORKDAYS(O548,O548,JoursFeries),MEDIAN(MOD(O548,1),HFer,HOuv),HOuv))*24,4))))</f>
        <v/>
      </c>
      <c r="BJ548" s="35" t="str">
        <f aca="false">IF(OR(BI548="",AR548=""),"",IF(BI548&lt;=INDEX(DELAI_ESC,AR548),1,0))</f>
        <v/>
      </c>
      <c r="BK548" s="38" t="str">
        <f aca="false">IF(AO548&lt;&gt;1,"",IF(AND(T548="",U548=""),"",MIN(T548,U548)))</f>
        <v/>
      </c>
      <c r="BL548" s="37" t="str">
        <f aca="false">IF(OR(BK548="",R548=""),"",IFERROR(ROUND(IF(OR(BK548="",R548=""),"",IF(R548&lt;BK548,"",ROUND(((NETWORKDAYS(BK548,R548,JoursFeries)-1)*(HFer-HOuv)+IF(NETWORKDAYS(R548,R548,JoursFeries),MEDIAN(MOD(R548,1),HFer,HOuv),HFer)-IF(NETWORKDAYS(BK548,BK548,JoursFeries),MEDIAN(MOD(BK548,1),HFer,HOuv),HOuv))*24,4)))/HJour,4),""))</f>
        <v/>
      </c>
      <c r="BM548" s="35" t="str">
        <f aca="false">IF(OR(AO548&lt;&gt;1,R548=""),"",IF(BD548=1,1,0))</f>
        <v/>
      </c>
      <c r="BN548" s="35" t="str">
        <f aca="false">IF(AO548&lt;&gt;1,"",IF(W548="Oui",1,0))</f>
        <v/>
      </c>
      <c r="BO548" s="35" t="str">
        <f aca="false">IF(AO548&lt;&gt;1,"",IF(X548&lt;&gt;"",1,0))</f>
        <v/>
      </c>
      <c r="BP548" s="35" t="str">
        <f aca="false">IF(AO548&lt;&gt;1,"",IF(Y548="Oui",1,0))</f>
        <v/>
      </c>
      <c r="BQ548" s="35" t="str">
        <f aca="true">IF(OR(AO548&lt;&gt;1,Z548&lt;&gt;"Oui"),"",IF(AB548="",IF(AND(AA548&lt;&gt;"",NOW()&gt;AA548),0,""),IF(AA548="","",IF(AB548&lt;=AA548,1,0))))</f>
        <v/>
      </c>
      <c r="BR548" s="38" t="str">
        <f aca="false">IF(OR(AO548&lt;&gt;1,K548&lt;&gt;"Oui",O548=""),"",IF(AC548="",O548+DORA_H_DET/24,IF(AC548-O548&lt;=DORA_H_DET/24,MIN(AC548+DORA_H_CLA/24,O548+DORA_H_DET/24),AC548+DORA_H_CLA/24)))</f>
        <v/>
      </c>
      <c r="BS548" s="35" t="str">
        <f aca="true">IF(BR548="","",IF(AD548="",IF(NOW()&gt;BR548,0,""),IF(AD548&lt;=BR548,1,0)))</f>
        <v/>
      </c>
      <c r="BT548" s="35" t="str">
        <f aca="true">IF(OR(BR548="",AD548=""),"",IF(AE548="",IF(NOW()&gt;AD548+DORA_H_INT/24,0,""),IF(AE548&lt;=AD548+DORA_H_INT/24,1,0)))</f>
        <v/>
      </c>
      <c r="BU548" s="35" t="str">
        <f aca="true">IF(OR(BR548="",AE548=""),"",IF(AF548="",IF(NOW()&gt;EDATE(AE548,DORA_M_FIN)+1,0,""),IF(AF548&lt;=EDATE(AE548,DORA_M_FIN),1,0)))</f>
        <v/>
      </c>
      <c r="BV548" s="35" t="str">
        <f aca="false">IF(BR548="","",IF(COUNT(BS548:BU548)=0,"",MIN(BS548:BU548)))</f>
        <v/>
      </c>
      <c r="BW548" s="40" t="str">
        <f aca="false">IF(AQ548&lt;&gt;1,"",IF(AND(AG548="",AH548=""),"",N(AG548)-N(AH548)))</f>
        <v/>
      </c>
      <c r="BX548" s="35" t="str">
        <f aca="true">IF(OR(AQ548&lt;&gt;1,AI548&lt;&gt;"Oui",AJ548=""),"",IF(AK548="",IF(NOW()&gt;AJ548+1,0,""),IF(AK548&lt;=AJ548,1,0)))</f>
        <v/>
      </c>
    </row>
    <row r="549" customFormat="false" ht="15" hidden="false" customHeight="false" outlineLevel="0" collapsed="false">
      <c r="B549" s="29"/>
      <c r="C549" s="29"/>
      <c r="D549" s="29"/>
      <c r="E549" s="29"/>
      <c r="F549" s="29"/>
      <c r="G549" s="29"/>
      <c r="H549" s="29"/>
      <c r="I549" s="29"/>
      <c r="J549" s="29"/>
      <c r="K549" s="29"/>
      <c r="L549" s="29"/>
      <c r="M549" s="29"/>
      <c r="N549" s="30"/>
      <c r="O549" s="30"/>
      <c r="P549" s="30"/>
      <c r="Q549" s="30"/>
      <c r="R549" s="30"/>
      <c r="S549" s="30"/>
      <c r="T549" s="30"/>
      <c r="U549" s="30"/>
      <c r="V549" s="31"/>
      <c r="W549" s="29"/>
      <c r="X549" s="29"/>
      <c r="Y549" s="29"/>
      <c r="Z549" s="29"/>
      <c r="AA549" s="30"/>
      <c r="AB549" s="30"/>
      <c r="AC549" s="30"/>
      <c r="AD549" s="30"/>
      <c r="AE549" s="30"/>
      <c r="AF549" s="32"/>
      <c r="AG549" s="33"/>
      <c r="AH549" s="33"/>
      <c r="AI549" s="29"/>
      <c r="AJ549" s="32"/>
      <c r="AK549" s="32"/>
      <c r="AL549" s="29"/>
      <c r="AN549" s="34" t="str">
        <f aca="false">IF($B549="","",IF(OR(C549="",D549="",E549="",G549="",I549="",J549="",L549="",O549="",P549=""),"Champ obligatoire manquant",IF(OR(AND(N549&lt;&gt;"",N549&gt;O549),O549&gt;P549,AND(Q549&lt;&gt;"",Q549&lt;P549),AND(R549&lt;&gt;"",R549&lt;P549),AND(S549&lt;&gt;"",S549&lt;R549),AND(S549&lt;&gt;"",R549=""),AND(T549&lt;&gt;"",T549&lt;O549),AND(U549&lt;&gt;"",U549&lt;O549)),"Chronologie incohérente",IF(AND(OR(L549="Résolu",L549="Clos"),R549=""),"Date de résolution manquante",IF(AND(L549="Clos",S549=""),"Date de clôture manquante",IF(AND(K549="Oui",AC549=""),"Classification DORA manquante","OK"))))))</f>
        <v/>
      </c>
      <c r="AO549" s="35" t="str">
        <f aca="false">IF($B549="","",IF(AND(C549="Incident",L549&lt;&gt;"Annulé"),1,0))</f>
        <v/>
      </c>
      <c r="AP549" s="35" t="str">
        <f aca="false">IF($B549="","",IF(AND(C549="Quasi-incident",L549&lt;&gt;"Annulé"),1,0))</f>
        <v/>
      </c>
      <c r="AQ549" s="35" t="str">
        <f aca="false">IF($B549="","",AO549+AP549)</f>
        <v/>
      </c>
      <c r="AR549" s="36" t="str">
        <f aca="false">IF(OR($B549="",J549=""),"",IFERROR(VALUE(LEFT(J549,1)),""))</f>
        <v/>
      </c>
      <c r="AS549" s="35" t="str">
        <f aca="false">IF(OR(AO549&lt;&gt;1,G549=""),"",IFERROR(IF(INDEX(L_SrcInterne,MATCH(G549,L_Sources,0))="Oui",1,0),""))</f>
        <v/>
      </c>
      <c r="AT549" s="37" t="str">
        <f aca="false">IF(AO549&lt;&gt;1,"",IFERROR(ROUND(IF(OR(N549="",O549=""),"",IF(O549&lt;N549,"",ROUND(((NETWORKDAYS(N549,O549,JoursFeries)-1)*(HFer-HOuv)+IF(NETWORKDAYS(O549,O549,JoursFeries),MEDIAN(MOD(O549,1),HFer,HOuv),HFer)-IF(NETWORKDAYS(N549,N549,JoursFeries),MEDIAN(MOD(N549,1),HFer,HOuv),HOuv))*24,4)))/HJour,4),""))</f>
        <v/>
      </c>
      <c r="AU549" s="37" t="str">
        <f aca="false">IF(AO549&lt;&gt;1,"",IF(OR(O549="",P549=""),"",IF(P549&lt;O549,"",ROUND(((NETWORKDAYS(O549,P549,JoursFeries)-1)*(HFer-HOuv)+IF(NETWORKDAYS(P549,P549,JoursFeries),MEDIAN(MOD(P549,1),HFer,HOuv),HFer)-IF(NETWORKDAYS(O549,O549,JoursFeries),MEDIAN(MOD(O549,1),HFer,HOuv),HOuv))*24,4))))</f>
        <v/>
      </c>
      <c r="AV549" s="37" t="str">
        <f aca="false">IF(AO549&lt;&gt;1,"",IF(OR(P549="",Q549=""),"",IF(Q549&lt;P549,"",ROUND(((NETWORKDAYS(P549,Q549,JoursFeries)-1)*(HFer-HOuv)+IF(NETWORKDAYS(Q549,Q549,JoursFeries),MEDIAN(MOD(Q549,1),HFer,HOuv),HFer)-IF(NETWORKDAYS(P549,P549,JoursFeries),MEDIAN(MOD(P549,1),HFer,HOuv),HOuv))*24,4))))</f>
        <v/>
      </c>
      <c r="AW549" s="37" t="str">
        <f aca="false">IF(AO549&lt;&gt;1,"",IFERROR(ROUND(IF(OR(P549="",R549=""),"",IF(R549&lt;P549,"",ROUND(((NETWORKDAYS(P549,R549,JoursFeries)-1)*(HFer-HOuv)+IF(NETWORKDAYS(R549,R549,JoursFeries),MEDIAN(MOD(R549,1),HFer,HOuv),HFer)-IF(NETWORKDAYS(P549,P549,JoursFeries),MEDIAN(MOD(P549,1),HFer,HOuv),HOuv))*24,4)))/HJour,4),""))</f>
        <v/>
      </c>
      <c r="AX549" s="37" t="str">
        <f aca="false">IF(AO549&lt;&gt;1,"",IFERROR(ROUND(IF(OR(P549="",S549=""),"",IF(S549&lt;P549,"",ROUND(((NETWORKDAYS(P549,S549,JoursFeries)-1)*(HFer-HOuv)+IF(NETWORKDAYS(S549,S549,JoursFeries),MEDIAN(MOD(S549,1),HFer,HOuv),HFer)-IF(NETWORKDAYS(P549,P549,JoursFeries),MEDIAN(MOD(P549,1),HFer,HOuv),HOuv))*24,4)))/HJour,4),""))</f>
        <v/>
      </c>
      <c r="AY549" s="36" t="str">
        <f aca="false">IF(OR(AO549&lt;&gt;1,AR549=""),"",INDEX(SLA_PEC,AR549))</f>
        <v/>
      </c>
      <c r="AZ549" s="35" t="str">
        <f aca="false">IF(OR(AV549="",AY549=""),"",IF(AV549&lt;=AY549,1,0))</f>
        <v/>
      </c>
      <c r="BA549" s="36" t="str">
        <f aca="false">IF(OR(AO549&lt;&gt;1,AR549=""),"",INDEX(SLA_RES,AR549))</f>
        <v/>
      </c>
      <c r="BB549" s="35" t="str">
        <f aca="false">IF(OR(AW549="",BA549=""),"",IF(AW549&lt;=BA549,1,0))</f>
        <v/>
      </c>
      <c r="BC549" s="38" t="str">
        <f aca="false">IF(OR(BA549="",P549=""),"",WORKDAY(INT(P549),BA549,JoursFeries)+MOD(P549,1))</f>
        <v/>
      </c>
      <c r="BD549" s="39" t="str">
        <f aca="false">IF(AO549&lt;&gt;1,"",IF(OR(AB549&lt;&gt;"",AD549&lt;&gt;""),4,IF(U549&lt;&gt;"",3,IF(T549&lt;&gt;"",2,1))))</f>
        <v/>
      </c>
      <c r="BE549" s="39" t="str">
        <f aca="false">IF(OR(AO549&lt;&gt;1,AR549=""),"",INDEX(NIV_REQ,AR549))</f>
        <v/>
      </c>
      <c r="BF549" s="39" t="str">
        <f aca="false">IF(BE549="","",MAX(BE549,IF(OR(K549="Oui",Z549="Oui"),4,1)))</f>
        <v/>
      </c>
      <c r="BG549" s="35" t="str">
        <f aca="false">IF(OR(BF549="",BD549=""),"",IF(BD549&gt;=BF549,1,0))</f>
        <v/>
      </c>
      <c r="BH549" s="38" t="str">
        <f aca="false">IF(BE549="","",IF(BE549&lt;2,"",IF(BE549=2,IF(AND(T549="",U549=""),"",MIN(T549,U549)),IF(U549="","",U549))))</f>
        <v/>
      </c>
      <c r="BI549" s="37" t="str">
        <f aca="false">IF(BH549="","",IF(OR(O549="",BH549=""),"",IF(BH549&lt;O549,"",ROUND(((NETWORKDAYS(O549,BH549,JoursFeries)-1)*(HFer-HOuv)+IF(NETWORKDAYS(BH549,BH549,JoursFeries),MEDIAN(MOD(BH549,1),HFer,HOuv),HFer)-IF(NETWORKDAYS(O549,O549,JoursFeries),MEDIAN(MOD(O549,1),HFer,HOuv),HOuv))*24,4))))</f>
        <v/>
      </c>
      <c r="BJ549" s="35" t="str">
        <f aca="false">IF(OR(BI549="",AR549=""),"",IF(BI549&lt;=INDEX(DELAI_ESC,AR549),1,0))</f>
        <v/>
      </c>
      <c r="BK549" s="38" t="str">
        <f aca="false">IF(AO549&lt;&gt;1,"",IF(AND(T549="",U549=""),"",MIN(T549,U549)))</f>
        <v/>
      </c>
      <c r="BL549" s="37" t="str">
        <f aca="false">IF(OR(BK549="",R549=""),"",IFERROR(ROUND(IF(OR(BK549="",R549=""),"",IF(R549&lt;BK549,"",ROUND(((NETWORKDAYS(BK549,R549,JoursFeries)-1)*(HFer-HOuv)+IF(NETWORKDAYS(R549,R549,JoursFeries),MEDIAN(MOD(R549,1),HFer,HOuv),HFer)-IF(NETWORKDAYS(BK549,BK549,JoursFeries),MEDIAN(MOD(BK549,1),HFer,HOuv),HOuv))*24,4)))/HJour,4),""))</f>
        <v/>
      </c>
      <c r="BM549" s="35" t="str">
        <f aca="false">IF(OR(AO549&lt;&gt;1,R549=""),"",IF(BD549=1,1,0))</f>
        <v/>
      </c>
      <c r="BN549" s="35" t="str">
        <f aca="false">IF(AO549&lt;&gt;1,"",IF(W549="Oui",1,0))</f>
        <v/>
      </c>
      <c r="BO549" s="35" t="str">
        <f aca="false">IF(AO549&lt;&gt;1,"",IF(X549&lt;&gt;"",1,0))</f>
        <v/>
      </c>
      <c r="BP549" s="35" t="str">
        <f aca="false">IF(AO549&lt;&gt;1,"",IF(Y549="Oui",1,0))</f>
        <v/>
      </c>
      <c r="BQ549" s="35" t="str">
        <f aca="true">IF(OR(AO549&lt;&gt;1,Z549&lt;&gt;"Oui"),"",IF(AB549="",IF(AND(AA549&lt;&gt;"",NOW()&gt;AA549),0,""),IF(AA549="","",IF(AB549&lt;=AA549,1,0))))</f>
        <v/>
      </c>
      <c r="BR549" s="38" t="str">
        <f aca="false">IF(OR(AO549&lt;&gt;1,K549&lt;&gt;"Oui",O549=""),"",IF(AC549="",O549+DORA_H_DET/24,IF(AC549-O549&lt;=DORA_H_DET/24,MIN(AC549+DORA_H_CLA/24,O549+DORA_H_DET/24),AC549+DORA_H_CLA/24)))</f>
        <v/>
      </c>
      <c r="BS549" s="35" t="str">
        <f aca="true">IF(BR549="","",IF(AD549="",IF(NOW()&gt;BR549,0,""),IF(AD549&lt;=BR549,1,0)))</f>
        <v/>
      </c>
      <c r="BT549" s="35" t="str">
        <f aca="true">IF(OR(BR549="",AD549=""),"",IF(AE549="",IF(NOW()&gt;AD549+DORA_H_INT/24,0,""),IF(AE549&lt;=AD549+DORA_H_INT/24,1,0)))</f>
        <v/>
      </c>
      <c r="BU549" s="35" t="str">
        <f aca="true">IF(OR(BR549="",AE549=""),"",IF(AF549="",IF(NOW()&gt;EDATE(AE549,DORA_M_FIN)+1,0,""),IF(AF549&lt;=EDATE(AE549,DORA_M_FIN),1,0)))</f>
        <v/>
      </c>
      <c r="BV549" s="35" t="str">
        <f aca="false">IF(BR549="","",IF(COUNT(BS549:BU549)=0,"",MIN(BS549:BU549)))</f>
        <v/>
      </c>
      <c r="BW549" s="40" t="str">
        <f aca="false">IF(AQ549&lt;&gt;1,"",IF(AND(AG549="",AH549=""),"",N(AG549)-N(AH549)))</f>
        <v/>
      </c>
      <c r="BX549" s="35" t="str">
        <f aca="true">IF(OR(AQ549&lt;&gt;1,AI549&lt;&gt;"Oui",AJ549=""),"",IF(AK549="",IF(NOW()&gt;AJ549+1,0,""),IF(AK549&lt;=AJ549,1,0)))</f>
        <v/>
      </c>
    </row>
    <row r="550" customFormat="false" ht="15" hidden="false" customHeight="false" outlineLevel="0" collapsed="false">
      <c r="B550" s="29"/>
      <c r="C550" s="29"/>
      <c r="D550" s="29"/>
      <c r="E550" s="29"/>
      <c r="F550" s="29"/>
      <c r="G550" s="29"/>
      <c r="H550" s="29"/>
      <c r="I550" s="29"/>
      <c r="J550" s="29"/>
      <c r="K550" s="29"/>
      <c r="L550" s="29"/>
      <c r="M550" s="29"/>
      <c r="N550" s="30"/>
      <c r="O550" s="30"/>
      <c r="P550" s="30"/>
      <c r="Q550" s="30"/>
      <c r="R550" s="30"/>
      <c r="S550" s="30"/>
      <c r="T550" s="30"/>
      <c r="U550" s="30"/>
      <c r="V550" s="31"/>
      <c r="W550" s="29"/>
      <c r="X550" s="29"/>
      <c r="Y550" s="29"/>
      <c r="Z550" s="29"/>
      <c r="AA550" s="30"/>
      <c r="AB550" s="30"/>
      <c r="AC550" s="30"/>
      <c r="AD550" s="30"/>
      <c r="AE550" s="30"/>
      <c r="AF550" s="32"/>
      <c r="AG550" s="33"/>
      <c r="AH550" s="33"/>
      <c r="AI550" s="29"/>
      <c r="AJ550" s="32"/>
      <c r="AK550" s="32"/>
      <c r="AL550" s="29"/>
      <c r="AN550" s="34" t="str">
        <f aca="false">IF($B550="","",IF(OR(C550="",D550="",E550="",G550="",I550="",J550="",L550="",O550="",P550=""),"Champ obligatoire manquant",IF(OR(AND(N550&lt;&gt;"",N550&gt;O550),O550&gt;P550,AND(Q550&lt;&gt;"",Q550&lt;P550),AND(R550&lt;&gt;"",R550&lt;P550),AND(S550&lt;&gt;"",S550&lt;R550),AND(S550&lt;&gt;"",R550=""),AND(T550&lt;&gt;"",T550&lt;O550),AND(U550&lt;&gt;"",U550&lt;O550)),"Chronologie incohérente",IF(AND(OR(L550="Résolu",L550="Clos"),R550=""),"Date de résolution manquante",IF(AND(L550="Clos",S550=""),"Date de clôture manquante",IF(AND(K550="Oui",AC550=""),"Classification DORA manquante","OK"))))))</f>
        <v/>
      </c>
      <c r="AO550" s="35" t="str">
        <f aca="false">IF($B550="","",IF(AND(C550="Incident",L550&lt;&gt;"Annulé"),1,0))</f>
        <v/>
      </c>
      <c r="AP550" s="35" t="str">
        <f aca="false">IF($B550="","",IF(AND(C550="Quasi-incident",L550&lt;&gt;"Annulé"),1,0))</f>
        <v/>
      </c>
      <c r="AQ550" s="35" t="str">
        <f aca="false">IF($B550="","",AO550+AP550)</f>
        <v/>
      </c>
      <c r="AR550" s="36" t="str">
        <f aca="false">IF(OR($B550="",J550=""),"",IFERROR(VALUE(LEFT(J550,1)),""))</f>
        <v/>
      </c>
      <c r="AS550" s="35" t="str">
        <f aca="false">IF(OR(AO550&lt;&gt;1,G550=""),"",IFERROR(IF(INDEX(L_SrcInterne,MATCH(G550,L_Sources,0))="Oui",1,0),""))</f>
        <v/>
      </c>
      <c r="AT550" s="37" t="str">
        <f aca="false">IF(AO550&lt;&gt;1,"",IFERROR(ROUND(IF(OR(N550="",O550=""),"",IF(O550&lt;N550,"",ROUND(((NETWORKDAYS(N550,O550,JoursFeries)-1)*(HFer-HOuv)+IF(NETWORKDAYS(O550,O550,JoursFeries),MEDIAN(MOD(O550,1),HFer,HOuv),HFer)-IF(NETWORKDAYS(N550,N550,JoursFeries),MEDIAN(MOD(N550,1),HFer,HOuv),HOuv))*24,4)))/HJour,4),""))</f>
        <v/>
      </c>
      <c r="AU550" s="37" t="str">
        <f aca="false">IF(AO550&lt;&gt;1,"",IF(OR(O550="",P550=""),"",IF(P550&lt;O550,"",ROUND(((NETWORKDAYS(O550,P550,JoursFeries)-1)*(HFer-HOuv)+IF(NETWORKDAYS(P550,P550,JoursFeries),MEDIAN(MOD(P550,1),HFer,HOuv),HFer)-IF(NETWORKDAYS(O550,O550,JoursFeries),MEDIAN(MOD(O550,1),HFer,HOuv),HOuv))*24,4))))</f>
        <v/>
      </c>
      <c r="AV550" s="37" t="str">
        <f aca="false">IF(AO550&lt;&gt;1,"",IF(OR(P550="",Q550=""),"",IF(Q550&lt;P550,"",ROUND(((NETWORKDAYS(P550,Q550,JoursFeries)-1)*(HFer-HOuv)+IF(NETWORKDAYS(Q550,Q550,JoursFeries),MEDIAN(MOD(Q550,1),HFer,HOuv),HFer)-IF(NETWORKDAYS(P550,P550,JoursFeries),MEDIAN(MOD(P550,1),HFer,HOuv),HOuv))*24,4))))</f>
        <v/>
      </c>
      <c r="AW550" s="37" t="str">
        <f aca="false">IF(AO550&lt;&gt;1,"",IFERROR(ROUND(IF(OR(P550="",R550=""),"",IF(R550&lt;P550,"",ROUND(((NETWORKDAYS(P550,R550,JoursFeries)-1)*(HFer-HOuv)+IF(NETWORKDAYS(R550,R550,JoursFeries),MEDIAN(MOD(R550,1),HFer,HOuv),HFer)-IF(NETWORKDAYS(P550,P550,JoursFeries),MEDIAN(MOD(P550,1),HFer,HOuv),HOuv))*24,4)))/HJour,4),""))</f>
        <v/>
      </c>
      <c r="AX550" s="37" t="str">
        <f aca="false">IF(AO550&lt;&gt;1,"",IFERROR(ROUND(IF(OR(P550="",S550=""),"",IF(S550&lt;P550,"",ROUND(((NETWORKDAYS(P550,S550,JoursFeries)-1)*(HFer-HOuv)+IF(NETWORKDAYS(S550,S550,JoursFeries),MEDIAN(MOD(S550,1),HFer,HOuv),HFer)-IF(NETWORKDAYS(P550,P550,JoursFeries),MEDIAN(MOD(P550,1),HFer,HOuv),HOuv))*24,4)))/HJour,4),""))</f>
        <v/>
      </c>
      <c r="AY550" s="36" t="str">
        <f aca="false">IF(OR(AO550&lt;&gt;1,AR550=""),"",INDEX(SLA_PEC,AR550))</f>
        <v/>
      </c>
      <c r="AZ550" s="35" t="str">
        <f aca="false">IF(OR(AV550="",AY550=""),"",IF(AV550&lt;=AY550,1,0))</f>
        <v/>
      </c>
      <c r="BA550" s="36" t="str">
        <f aca="false">IF(OR(AO550&lt;&gt;1,AR550=""),"",INDEX(SLA_RES,AR550))</f>
        <v/>
      </c>
      <c r="BB550" s="35" t="str">
        <f aca="false">IF(OR(AW550="",BA550=""),"",IF(AW550&lt;=BA550,1,0))</f>
        <v/>
      </c>
      <c r="BC550" s="38" t="str">
        <f aca="false">IF(OR(BA550="",P550=""),"",WORKDAY(INT(P550),BA550,JoursFeries)+MOD(P550,1))</f>
        <v/>
      </c>
      <c r="BD550" s="39" t="str">
        <f aca="false">IF(AO550&lt;&gt;1,"",IF(OR(AB550&lt;&gt;"",AD550&lt;&gt;""),4,IF(U550&lt;&gt;"",3,IF(T550&lt;&gt;"",2,1))))</f>
        <v/>
      </c>
      <c r="BE550" s="39" t="str">
        <f aca="false">IF(OR(AO550&lt;&gt;1,AR550=""),"",INDEX(NIV_REQ,AR550))</f>
        <v/>
      </c>
      <c r="BF550" s="39" t="str">
        <f aca="false">IF(BE550="","",MAX(BE550,IF(OR(K550="Oui",Z550="Oui"),4,1)))</f>
        <v/>
      </c>
      <c r="BG550" s="35" t="str">
        <f aca="false">IF(OR(BF550="",BD550=""),"",IF(BD550&gt;=BF550,1,0))</f>
        <v/>
      </c>
      <c r="BH550" s="38" t="str">
        <f aca="false">IF(BE550="","",IF(BE550&lt;2,"",IF(BE550=2,IF(AND(T550="",U550=""),"",MIN(T550,U550)),IF(U550="","",U550))))</f>
        <v/>
      </c>
      <c r="BI550" s="37" t="str">
        <f aca="false">IF(BH550="","",IF(OR(O550="",BH550=""),"",IF(BH550&lt;O550,"",ROUND(((NETWORKDAYS(O550,BH550,JoursFeries)-1)*(HFer-HOuv)+IF(NETWORKDAYS(BH550,BH550,JoursFeries),MEDIAN(MOD(BH550,1),HFer,HOuv),HFer)-IF(NETWORKDAYS(O550,O550,JoursFeries),MEDIAN(MOD(O550,1),HFer,HOuv),HOuv))*24,4))))</f>
        <v/>
      </c>
      <c r="BJ550" s="35" t="str">
        <f aca="false">IF(OR(BI550="",AR550=""),"",IF(BI550&lt;=INDEX(DELAI_ESC,AR550),1,0))</f>
        <v/>
      </c>
      <c r="BK550" s="38" t="str">
        <f aca="false">IF(AO550&lt;&gt;1,"",IF(AND(T550="",U550=""),"",MIN(T550,U550)))</f>
        <v/>
      </c>
      <c r="BL550" s="37" t="str">
        <f aca="false">IF(OR(BK550="",R550=""),"",IFERROR(ROUND(IF(OR(BK550="",R550=""),"",IF(R550&lt;BK550,"",ROUND(((NETWORKDAYS(BK550,R550,JoursFeries)-1)*(HFer-HOuv)+IF(NETWORKDAYS(R550,R550,JoursFeries),MEDIAN(MOD(R550,1),HFer,HOuv),HFer)-IF(NETWORKDAYS(BK550,BK550,JoursFeries),MEDIAN(MOD(BK550,1),HFer,HOuv),HOuv))*24,4)))/HJour,4),""))</f>
        <v/>
      </c>
      <c r="BM550" s="35" t="str">
        <f aca="false">IF(OR(AO550&lt;&gt;1,R550=""),"",IF(BD550=1,1,0))</f>
        <v/>
      </c>
      <c r="BN550" s="35" t="str">
        <f aca="false">IF(AO550&lt;&gt;1,"",IF(W550="Oui",1,0))</f>
        <v/>
      </c>
      <c r="BO550" s="35" t="str">
        <f aca="false">IF(AO550&lt;&gt;1,"",IF(X550&lt;&gt;"",1,0))</f>
        <v/>
      </c>
      <c r="BP550" s="35" t="str">
        <f aca="false">IF(AO550&lt;&gt;1,"",IF(Y550="Oui",1,0))</f>
        <v/>
      </c>
      <c r="BQ550" s="35" t="str">
        <f aca="true">IF(OR(AO550&lt;&gt;1,Z550&lt;&gt;"Oui"),"",IF(AB550="",IF(AND(AA550&lt;&gt;"",NOW()&gt;AA550),0,""),IF(AA550="","",IF(AB550&lt;=AA550,1,0))))</f>
        <v/>
      </c>
      <c r="BR550" s="38" t="str">
        <f aca="false">IF(OR(AO550&lt;&gt;1,K550&lt;&gt;"Oui",O550=""),"",IF(AC550="",O550+DORA_H_DET/24,IF(AC550-O550&lt;=DORA_H_DET/24,MIN(AC550+DORA_H_CLA/24,O550+DORA_H_DET/24),AC550+DORA_H_CLA/24)))</f>
        <v/>
      </c>
      <c r="BS550" s="35" t="str">
        <f aca="true">IF(BR550="","",IF(AD550="",IF(NOW()&gt;BR550,0,""),IF(AD550&lt;=BR550,1,0)))</f>
        <v/>
      </c>
      <c r="BT550" s="35" t="str">
        <f aca="true">IF(OR(BR550="",AD550=""),"",IF(AE550="",IF(NOW()&gt;AD550+DORA_H_INT/24,0,""),IF(AE550&lt;=AD550+DORA_H_INT/24,1,0)))</f>
        <v/>
      </c>
      <c r="BU550" s="35" t="str">
        <f aca="true">IF(OR(BR550="",AE550=""),"",IF(AF550="",IF(NOW()&gt;EDATE(AE550,DORA_M_FIN)+1,0,""),IF(AF550&lt;=EDATE(AE550,DORA_M_FIN),1,0)))</f>
        <v/>
      </c>
      <c r="BV550" s="35" t="str">
        <f aca="false">IF(BR550="","",IF(COUNT(BS550:BU550)=0,"",MIN(BS550:BU550)))</f>
        <v/>
      </c>
      <c r="BW550" s="40" t="str">
        <f aca="false">IF(AQ550&lt;&gt;1,"",IF(AND(AG550="",AH550=""),"",N(AG550)-N(AH550)))</f>
        <v/>
      </c>
      <c r="BX550" s="35" t="str">
        <f aca="true">IF(OR(AQ550&lt;&gt;1,AI550&lt;&gt;"Oui",AJ550=""),"",IF(AK550="",IF(NOW()&gt;AJ550+1,0,""),IF(AK550&lt;=AJ550,1,0)))</f>
        <v/>
      </c>
    </row>
    <row r="551" customFormat="false" ht="15" hidden="false" customHeight="false" outlineLevel="0" collapsed="false">
      <c r="B551" s="29"/>
      <c r="C551" s="29"/>
      <c r="D551" s="29"/>
      <c r="E551" s="29"/>
      <c r="F551" s="29"/>
      <c r="G551" s="29"/>
      <c r="H551" s="29"/>
      <c r="I551" s="29"/>
      <c r="J551" s="29"/>
      <c r="K551" s="29"/>
      <c r="L551" s="29"/>
      <c r="M551" s="29"/>
      <c r="N551" s="30"/>
      <c r="O551" s="30"/>
      <c r="P551" s="30"/>
      <c r="Q551" s="30"/>
      <c r="R551" s="30"/>
      <c r="S551" s="30"/>
      <c r="T551" s="30"/>
      <c r="U551" s="30"/>
      <c r="V551" s="31"/>
      <c r="W551" s="29"/>
      <c r="X551" s="29"/>
      <c r="Y551" s="29"/>
      <c r="Z551" s="29"/>
      <c r="AA551" s="30"/>
      <c r="AB551" s="30"/>
      <c r="AC551" s="30"/>
      <c r="AD551" s="30"/>
      <c r="AE551" s="30"/>
      <c r="AF551" s="32"/>
      <c r="AG551" s="33"/>
      <c r="AH551" s="33"/>
      <c r="AI551" s="29"/>
      <c r="AJ551" s="32"/>
      <c r="AK551" s="32"/>
      <c r="AL551" s="29"/>
      <c r="AN551" s="34" t="str">
        <f aca="false">IF($B551="","",IF(OR(C551="",D551="",E551="",G551="",I551="",J551="",L551="",O551="",P551=""),"Champ obligatoire manquant",IF(OR(AND(N551&lt;&gt;"",N551&gt;O551),O551&gt;P551,AND(Q551&lt;&gt;"",Q551&lt;P551),AND(R551&lt;&gt;"",R551&lt;P551),AND(S551&lt;&gt;"",S551&lt;R551),AND(S551&lt;&gt;"",R551=""),AND(T551&lt;&gt;"",T551&lt;O551),AND(U551&lt;&gt;"",U551&lt;O551)),"Chronologie incohérente",IF(AND(OR(L551="Résolu",L551="Clos"),R551=""),"Date de résolution manquante",IF(AND(L551="Clos",S551=""),"Date de clôture manquante",IF(AND(K551="Oui",AC551=""),"Classification DORA manquante","OK"))))))</f>
        <v/>
      </c>
      <c r="AO551" s="35" t="str">
        <f aca="false">IF($B551="","",IF(AND(C551="Incident",L551&lt;&gt;"Annulé"),1,0))</f>
        <v/>
      </c>
      <c r="AP551" s="35" t="str">
        <f aca="false">IF($B551="","",IF(AND(C551="Quasi-incident",L551&lt;&gt;"Annulé"),1,0))</f>
        <v/>
      </c>
      <c r="AQ551" s="35" t="str">
        <f aca="false">IF($B551="","",AO551+AP551)</f>
        <v/>
      </c>
      <c r="AR551" s="36" t="str">
        <f aca="false">IF(OR($B551="",J551=""),"",IFERROR(VALUE(LEFT(J551,1)),""))</f>
        <v/>
      </c>
      <c r="AS551" s="35" t="str">
        <f aca="false">IF(OR(AO551&lt;&gt;1,G551=""),"",IFERROR(IF(INDEX(L_SrcInterne,MATCH(G551,L_Sources,0))="Oui",1,0),""))</f>
        <v/>
      </c>
      <c r="AT551" s="37" t="str">
        <f aca="false">IF(AO551&lt;&gt;1,"",IFERROR(ROUND(IF(OR(N551="",O551=""),"",IF(O551&lt;N551,"",ROUND(((NETWORKDAYS(N551,O551,JoursFeries)-1)*(HFer-HOuv)+IF(NETWORKDAYS(O551,O551,JoursFeries),MEDIAN(MOD(O551,1),HFer,HOuv),HFer)-IF(NETWORKDAYS(N551,N551,JoursFeries),MEDIAN(MOD(N551,1),HFer,HOuv),HOuv))*24,4)))/HJour,4),""))</f>
        <v/>
      </c>
      <c r="AU551" s="37" t="str">
        <f aca="false">IF(AO551&lt;&gt;1,"",IF(OR(O551="",P551=""),"",IF(P551&lt;O551,"",ROUND(((NETWORKDAYS(O551,P551,JoursFeries)-1)*(HFer-HOuv)+IF(NETWORKDAYS(P551,P551,JoursFeries),MEDIAN(MOD(P551,1),HFer,HOuv),HFer)-IF(NETWORKDAYS(O551,O551,JoursFeries),MEDIAN(MOD(O551,1),HFer,HOuv),HOuv))*24,4))))</f>
        <v/>
      </c>
      <c r="AV551" s="37" t="str">
        <f aca="false">IF(AO551&lt;&gt;1,"",IF(OR(P551="",Q551=""),"",IF(Q551&lt;P551,"",ROUND(((NETWORKDAYS(P551,Q551,JoursFeries)-1)*(HFer-HOuv)+IF(NETWORKDAYS(Q551,Q551,JoursFeries),MEDIAN(MOD(Q551,1),HFer,HOuv),HFer)-IF(NETWORKDAYS(P551,P551,JoursFeries),MEDIAN(MOD(P551,1),HFer,HOuv),HOuv))*24,4))))</f>
        <v/>
      </c>
      <c r="AW551" s="37" t="str">
        <f aca="false">IF(AO551&lt;&gt;1,"",IFERROR(ROUND(IF(OR(P551="",R551=""),"",IF(R551&lt;P551,"",ROUND(((NETWORKDAYS(P551,R551,JoursFeries)-1)*(HFer-HOuv)+IF(NETWORKDAYS(R551,R551,JoursFeries),MEDIAN(MOD(R551,1),HFer,HOuv),HFer)-IF(NETWORKDAYS(P551,P551,JoursFeries),MEDIAN(MOD(P551,1),HFer,HOuv),HOuv))*24,4)))/HJour,4),""))</f>
        <v/>
      </c>
      <c r="AX551" s="37" t="str">
        <f aca="false">IF(AO551&lt;&gt;1,"",IFERROR(ROUND(IF(OR(P551="",S551=""),"",IF(S551&lt;P551,"",ROUND(((NETWORKDAYS(P551,S551,JoursFeries)-1)*(HFer-HOuv)+IF(NETWORKDAYS(S551,S551,JoursFeries),MEDIAN(MOD(S551,1),HFer,HOuv),HFer)-IF(NETWORKDAYS(P551,P551,JoursFeries),MEDIAN(MOD(P551,1),HFer,HOuv),HOuv))*24,4)))/HJour,4),""))</f>
        <v/>
      </c>
      <c r="AY551" s="36" t="str">
        <f aca="false">IF(OR(AO551&lt;&gt;1,AR551=""),"",INDEX(SLA_PEC,AR551))</f>
        <v/>
      </c>
      <c r="AZ551" s="35" t="str">
        <f aca="false">IF(OR(AV551="",AY551=""),"",IF(AV551&lt;=AY551,1,0))</f>
        <v/>
      </c>
      <c r="BA551" s="36" t="str">
        <f aca="false">IF(OR(AO551&lt;&gt;1,AR551=""),"",INDEX(SLA_RES,AR551))</f>
        <v/>
      </c>
      <c r="BB551" s="35" t="str">
        <f aca="false">IF(OR(AW551="",BA551=""),"",IF(AW551&lt;=BA551,1,0))</f>
        <v/>
      </c>
      <c r="BC551" s="38" t="str">
        <f aca="false">IF(OR(BA551="",P551=""),"",WORKDAY(INT(P551),BA551,JoursFeries)+MOD(P551,1))</f>
        <v/>
      </c>
      <c r="BD551" s="39" t="str">
        <f aca="false">IF(AO551&lt;&gt;1,"",IF(OR(AB551&lt;&gt;"",AD551&lt;&gt;""),4,IF(U551&lt;&gt;"",3,IF(T551&lt;&gt;"",2,1))))</f>
        <v/>
      </c>
      <c r="BE551" s="39" t="str">
        <f aca="false">IF(OR(AO551&lt;&gt;1,AR551=""),"",INDEX(NIV_REQ,AR551))</f>
        <v/>
      </c>
      <c r="BF551" s="39" t="str">
        <f aca="false">IF(BE551="","",MAX(BE551,IF(OR(K551="Oui",Z551="Oui"),4,1)))</f>
        <v/>
      </c>
      <c r="BG551" s="35" t="str">
        <f aca="false">IF(OR(BF551="",BD551=""),"",IF(BD551&gt;=BF551,1,0))</f>
        <v/>
      </c>
      <c r="BH551" s="38" t="str">
        <f aca="false">IF(BE551="","",IF(BE551&lt;2,"",IF(BE551=2,IF(AND(T551="",U551=""),"",MIN(T551,U551)),IF(U551="","",U551))))</f>
        <v/>
      </c>
      <c r="BI551" s="37" t="str">
        <f aca="false">IF(BH551="","",IF(OR(O551="",BH551=""),"",IF(BH551&lt;O551,"",ROUND(((NETWORKDAYS(O551,BH551,JoursFeries)-1)*(HFer-HOuv)+IF(NETWORKDAYS(BH551,BH551,JoursFeries),MEDIAN(MOD(BH551,1),HFer,HOuv),HFer)-IF(NETWORKDAYS(O551,O551,JoursFeries),MEDIAN(MOD(O551,1),HFer,HOuv),HOuv))*24,4))))</f>
        <v/>
      </c>
      <c r="BJ551" s="35" t="str">
        <f aca="false">IF(OR(BI551="",AR551=""),"",IF(BI551&lt;=INDEX(DELAI_ESC,AR551),1,0))</f>
        <v/>
      </c>
      <c r="BK551" s="38" t="str">
        <f aca="false">IF(AO551&lt;&gt;1,"",IF(AND(T551="",U551=""),"",MIN(T551,U551)))</f>
        <v/>
      </c>
      <c r="BL551" s="37" t="str">
        <f aca="false">IF(OR(BK551="",R551=""),"",IFERROR(ROUND(IF(OR(BK551="",R551=""),"",IF(R551&lt;BK551,"",ROUND(((NETWORKDAYS(BK551,R551,JoursFeries)-1)*(HFer-HOuv)+IF(NETWORKDAYS(R551,R551,JoursFeries),MEDIAN(MOD(R551,1),HFer,HOuv),HFer)-IF(NETWORKDAYS(BK551,BK551,JoursFeries),MEDIAN(MOD(BK551,1),HFer,HOuv),HOuv))*24,4)))/HJour,4),""))</f>
        <v/>
      </c>
      <c r="BM551" s="35" t="str">
        <f aca="false">IF(OR(AO551&lt;&gt;1,R551=""),"",IF(BD551=1,1,0))</f>
        <v/>
      </c>
      <c r="BN551" s="35" t="str">
        <f aca="false">IF(AO551&lt;&gt;1,"",IF(W551="Oui",1,0))</f>
        <v/>
      </c>
      <c r="BO551" s="35" t="str">
        <f aca="false">IF(AO551&lt;&gt;1,"",IF(X551&lt;&gt;"",1,0))</f>
        <v/>
      </c>
      <c r="BP551" s="35" t="str">
        <f aca="false">IF(AO551&lt;&gt;1,"",IF(Y551="Oui",1,0))</f>
        <v/>
      </c>
      <c r="BQ551" s="35" t="str">
        <f aca="true">IF(OR(AO551&lt;&gt;1,Z551&lt;&gt;"Oui"),"",IF(AB551="",IF(AND(AA551&lt;&gt;"",NOW()&gt;AA551),0,""),IF(AA551="","",IF(AB551&lt;=AA551,1,0))))</f>
        <v/>
      </c>
      <c r="BR551" s="38" t="str">
        <f aca="false">IF(OR(AO551&lt;&gt;1,K551&lt;&gt;"Oui",O551=""),"",IF(AC551="",O551+DORA_H_DET/24,IF(AC551-O551&lt;=DORA_H_DET/24,MIN(AC551+DORA_H_CLA/24,O551+DORA_H_DET/24),AC551+DORA_H_CLA/24)))</f>
        <v/>
      </c>
      <c r="BS551" s="35" t="str">
        <f aca="true">IF(BR551="","",IF(AD551="",IF(NOW()&gt;BR551,0,""),IF(AD551&lt;=BR551,1,0)))</f>
        <v/>
      </c>
      <c r="BT551" s="35" t="str">
        <f aca="true">IF(OR(BR551="",AD551=""),"",IF(AE551="",IF(NOW()&gt;AD551+DORA_H_INT/24,0,""),IF(AE551&lt;=AD551+DORA_H_INT/24,1,0)))</f>
        <v/>
      </c>
      <c r="BU551" s="35" t="str">
        <f aca="true">IF(OR(BR551="",AE551=""),"",IF(AF551="",IF(NOW()&gt;EDATE(AE551,DORA_M_FIN)+1,0,""),IF(AF551&lt;=EDATE(AE551,DORA_M_FIN),1,0)))</f>
        <v/>
      </c>
      <c r="BV551" s="35" t="str">
        <f aca="false">IF(BR551="","",IF(COUNT(BS551:BU551)=0,"",MIN(BS551:BU551)))</f>
        <v/>
      </c>
      <c r="BW551" s="40" t="str">
        <f aca="false">IF(AQ551&lt;&gt;1,"",IF(AND(AG551="",AH551=""),"",N(AG551)-N(AH551)))</f>
        <v/>
      </c>
      <c r="BX551" s="35" t="str">
        <f aca="true">IF(OR(AQ551&lt;&gt;1,AI551&lt;&gt;"Oui",AJ551=""),"",IF(AK551="",IF(NOW()&gt;AJ551+1,0,""),IF(AK551&lt;=AJ551,1,0)))</f>
        <v/>
      </c>
    </row>
    <row r="552" customFormat="false" ht="15" hidden="false" customHeight="false" outlineLevel="0" collapsed="false">
      <c r="B552" s="29"/>
      <c r="C552" s="29"/>
      <c r="D552" s="29"/>
      <c r="E552" s="29"/>
      <c r="F552" s="29"/>
      <c r="G552" s="29"/>
      <c r="H552" s="29"/>
      <c r="I552" s="29"/>
      <c r="J552" s="29"/>
      <c r="K552" s="29"/>
      <c r="L552" s="29"/>
      <c r="M552" s="29"/>
      <c r="N552" s="30"/>
      <c r="O552" s="30"/>
      <c r="P552" s="30"/>
      <c r="Q552" s="30"/>
      <c r="R552" s="30"/>
      <c r="S552" s="30"/>
      <c r="T552" s="30"/>
      <c r="U552" s="30"/>
      <c r="V552" s="31"/>
      <c r="W552" s="29"/>
      <c r="X552" s="29"/>
      <c r="Y552" s="29"/>
      <c r="Z552" s="29"/>
      <c r="AA552" s="30"/>
      <c r="AB552" s="30"/>
      <c r="AC552" s="30"/>
      <c r="AD552" s="30"/>
      <c r="AE552" s="30"/>
      <c r="AF552" s="32"/>
      <c r="AG552" s="33"/>
      <c r="AH552" s="33"/>
      <c r="AI552" s="29"/>
      <c r="AJ552" s="32"/>
      <c r="AK552" s="32"/>
      <c r="AL552" s="29"/>
      <c r="AN552" s="34" t="str">
        <f aca="false">IF($B552="","",IF(OR(C552="",D552="",E552="",G552="",I552="",J552="",L552="",O552="",P552=""),"Champ obligatoire manquant",IF(OR(AND(N552&lt;&gt;"",N552&gt;O552),O552&gt;P552,AND(Q552&lt;&gt;"",Q552&lt;P552),AND(R552&lt;&gt;"",R552&lt;P552),AND(S552&lt;&gt;"",S552&lt;R552),AND(S552&lt;&gt;"",R552=""),AND(T552&lt;&gt;"",T552&lt;O552),AND(U552&lt;&gt;"",U552&lt;O552)),"Chronologie incohérente",IF(AND(OR(L552="Résolu",L552="Clos"),R552=""),"Date de résolution manquante",IF(AND(L552="Clos",S552=""),"Date de clôture manquante",IF(AND(K552="Oui",AC552=""),"Classification DORA manquante","OK"))))))</f>
        <v/>
      </c>
      <c r="AO552" s="35" t="str">
        <f aca="false">IF($B552="","",IF(AND(C552="Incident",L552&lt;&gt;"Annulé"),1,0))</f>
        <v/>
      </c>
      <c r="AP552" s="35" t="str">
        <f aca="false">IF($B552="","",IF(AND(C552="Quasi-incident",L552&lt;&gt;"Annulé"),1,0))</f>
        <v/>
      </c>
      <c r="AQ552" s="35" t="str">
        <f aca="false">IF($B552="","",AO552+AP552)</f>
        <v/>
      </c>
      <c r="AR552" s="36" t="str">
        <f aca="false">IF(OR($B552="",J552=""),"",IFERROR(VALUE(LEFT(J552,1)),""))</f>
        <v/>
      </c>
      <c r="AS552" s="35" t="str">
        <f aca="false">IF(OR(AO552&lt;&gt;1,G552=""),"",IFERROR(IF(INDEX(L_SrcInterne,MATCH(G552,L_Sources,0))="Oui",1,0),""))</f>
        <v/>
      </c>
      <c r="AT552" s="37" t="str">
        <f aca="false">IF(AO552&lt;&gt;1,"",IFERROR(ROUND(IF(OR(N552="",O552=""),"",IF(O552&lt;N552,"",ROUND(((NETWORKDAYS(N552,O552,JoursFeries)-1)*(HFer-HOuv)+IF(NETWORKDAYS(O552,O552,JoursFeries),MEDIAN(MOD(O552,1),HFer,HOuv),HFer)-IF(NETWORKDAYS(N552,N552,JoursFeries),MEDIAN(MOD(N552,1),HFer,HOuv),HOuv))*24,4)))/HJour,4),""))</f>
        <v/>
      </c>
      <c r="AU552" s="37" t="str">
        <f aca="false">IF(AO552&lt;&gt;1,"",IF(OR(O552="",P552=""),"",IF(P552&lt;O552,"",ROUND(((NETWORKDAYS(O552,P552,JoursFeries)-1)*(HFer-HOuv)+IF(NETWORKDAYS(P552,P552,JoursFeries),MEDIAN(MOD(P552,1),HFer,HOuv),HFer)-IF(NETWORKDAYS(O552,O552,JoursFeries),MEDIAN(MOD(O552,1),HFer,HOuv),HOuv))*24,4))))</f>
        <v/>
      </c>
      <c r="AV552" s="37" t="str">
        <f aca="false">IF(AO552&lt;&gt;1,"",IF(OR(P552="",Q552=""),"",IF(Q552&lt;P552,"",ROUND(((NETWORKDAYS(P552,Q552,JoursFeries)-1)*(HFer-HOuv)+IF(NETWORKDAYS(Q552,Q552,JoursFeries),MEDIAN(MOD(Q552,1),HFer,HOuv),HFer)-IF(NETWORKDAYS(P552,P552,JoursFeries),MEDIAN(MOD(P552,1),HFer,HOuv),HOuv))*24,4))))</f>
        <v/>
      </c>
      <c r="AW552" s="37" t="str">
        <f aca="false">IF(AO552&lt;&gt;1,"",IFERROR(ROUND(IF(OR(P552="",R552=""),"",IF(R552&lt;P552,"",ROUND(((NETWORKDAYS(P552,R552,JoursFeries)-1)*(HFer-HOuv)+IF(NETWORKDAYS(R552,R552,JoursFeries),MEDIAN(MOD(R552,1),HFer,HOuv),HFer)-IF(NETWORKDAYS(P552,P552,JoursFeries),MEDIAN(MOD(P552,1),HFer,HOuv),HOuv))*24,4)))/HJour,4),""))</f>
        <v/>
      </c>
      <c r="AX552" s="37" t="str">
        <f aca="false">IF(AO552&lt;&gt;1,"",IFERROR(ROUND(IF(OR(P552="",S552=""),"",IF(S552&lt;P552,"",ROUND(((NETWORKDAYS(P552,S552,JoursFeries)-1)*(HFer-HOuv)+IF(NETWORKDAYS(S552,S552,JoursFeries),MEDIAN(MOD(S552,1),HFer,HOuv),HFer)-IF(NETWORKDAYS(P552,P552,JoursFeries),MEDIAN(MOD(P552,1),HFer,HOuv),HOuv))*24,4)))/HJour,4),""))</f>
        <v/>
      </c>
      <c r="AY552" s="36" t="str">
        <f aca="false">IF(OR(AO552&lt;&gt;1,AR552=""),"",INDEX(SLA_PEC,AR552))</f>
        <v/>
      </c>
      <c r="AZ552" s="35" t="str">
        <f aca="false">IF(OR(AV552="",AY552=""),"",IF(AV552&lt;=AY552,1,0))</f>
        <v/>
      </c>
      <c r="BA552" s="36" t="str">
        <f aca="false">IF(OR(AO552&lt;&gt;1,AR552=""),"",INDEX(SLA_RES,AR552))</f>
        <v/>
      </c>
      <c r="BB552" s="35" t="str">
        <f aca="false">IF(OR(AW552="",BA552=""),"",IF(AW552&lt;=BA552,1,0))</f>
        <v/>
      </c>
      <c r="BC552" s="38" t="str">
        <f aca="false">IF(OR(BA552="",P552=""),"",WORKDAY(INT(P552),BA552,JoursFeries)+MOD(P552,1))</f>
        <v/>
      </c>
      <c r="BD552" s="39" t="str">
        <f aca="false">IF(AO552&lt;&gt;1,"",IF(OR(AB552&lt;&gt;"",AD552&lt;&gt;""),4,IF(U552&lt;&gt;"",3,IF(T552&lt;&gt;"",2,1))))</f>
        <v/>
      </c>
      <c r="BE552" s="39" t="str">
        <f aca="false">IF(OR(AO552&lt;&gt;1,AR552=""),"",INDEX(NIV_REQ,AR552))</f>
        <v/>
      </c>
      <c r="BF552" s="39" t="str">
        <f aca="false">IF(BE552="","",MAX(BE552,IF(OR(K552="Oui",Z552="Oui"),4,1)))</f>
        <v/>
      </c>
      <c r="BG552" s="35" t="str">
        <f aca="false">IF(OR(BF552="",BD552=""),"",IF(BD552&gt;=BF552,1,0))</f>
        <v/>
      </c>
      <c r="BH552" s="38" t="str">
        <f aca="false">IF(BE552="","",IF(BE552&lt;2,"",IF(BE552=2,IF(AND(T552="",U552=""),"",MIN(T552,U552)),IF(U552="","",U552))))</f>
        <v/>
      </c>
      <c r="BI552" s="37" t="str">
        <f aca="false">IF(BH552="","",IF(OR(O552="",BH552=""),"",IF(BH552&lt;O552,"",ROUND(((NETWORKDAYS(O552,BH552,JoursFeries)-1)*(HFer-HOuv)+IF(NETWORKDAYS(BH552,BH552,JoursFeries),MEDIAN(MOD(BH552,1),HFer,HOuv),HFer)-IF(NETWORKDAYS(O552,O552,JoursFeries),MEDIAN(MOD(O552,1),HFer,HOuv),HOuv))*24,4))))</f>
        <v/>
      </c>
      <c r="BJ552" s="35" t="str">
        <f aca="false">IF(OR(BI552="",AR552=""),"",IF(BI552&lt;=INDEX(DELAI_ESC,AR552),1,0))</f>
        <v/>
      </c>
      <c r="BK552" s="38" t="str">
        <f aca="false">IF(AO552&lt;&gt;1,"",IF(AND(T552="",U552=""),"",MIN(T552,U552)))</f>
        <v/>
      </c>
      <c r="BL552" s="37" t="str">
        <f aca="false">IF(OR(BK552="",R552=""),"",IFERROR(ROUND(IF(OR(BK552="",R552=""),"",IF(R552&lt;BK552,"",ROUND(((NETWORKDAYS(BK552,R552,JoursFeries)-1)*(HFer-HOuv)+IF(NETWORKDAYS(R552,R552,JoursFeries),MEDIAN(MOD(R552,1),HFer,HOuv),HFer)-IF(NETWORKDAYS(BK552,BK552,JoursFeries),MEDIAN(MOD(BK552,1),HFer,HOuv),HOuv))*24,4)))/HJour,4),""))</f>
        <v/>
      </c>
      <c r="BM552" s="35" t="str">
        <f aca="false">IF(OR(AO552&lt;&gt;1,R552=""),"",IF(BD552=1,1,0))</f>
        <v/>
      </c>
      <c r="BN552" s="35" t="str">
        <f aca="false">IF(AO552&lt;&gt;1,"",IF(W552="Oui",1,0))</f>
        <v/>
      </c>
      <c r="BO552" s="35" t="str">
        <f aca="false">IF(AO552&lt;&gt;1,"",IF(X552&lt;&gt;"",1,0))</f>
        <v/>
      </c>
      <c r="BP552" s="35" t="str">
        <f aca="false">IF(AO552&lt;&gt;1,"",IF(Y552="Oui",1,0))</f>
        <v/>
      </c>
      <c r="BQ552" s="35" t="str">
        <f aca="true">IF(OR(AO552&lt;&gt;1,Z552&lt;&gt;"Oui"),"",IF(AB552="",IF(AND(AA552&lt;&gt;"",NOW()&gt;AA552),0,""),IF(AA552="","",IF(AB552&lt;=AA552,1,0))))</f>
        <v/>
      </c>
      <c r="BR552" s="38" t="str">
        <f aca="false">IF(OR(AO552&lt;&gt;1,K552&lt;&gt;"Oui",O552=""),"",IF(AC552="",O552+DORA_H_DET/24,IF(AC552-O552&lt;=DORA_H_DET/24,MIN(AC552+DORA_H_CLA/24,O552+DORA_H_DET/24),AC552+DORA_H_CLA/24)))</f>
        <v/>
      </c>
      <c r="BS552" s="35" t="str">
        <f aca="true">IF(BR552="","",IF(AD552="",IF(NOW()&gt;BR552,0,""),IF(AD552&lt;=BR552,1,0)))</f>
        <v/>
      </c>
      <c r="BT552" s="35" t="str">
        <f aca="true">IF(OR(BR552="",AD552=""),"",IF(AE552="",IF(NOW()&gt;AD552+DORA_H_INT/24,0,""),IF(AE552&lt;=AD552+DORA_H_INT/24,1,0)))</f>
        <v/>
      </c>
      <c r="BU552" s="35" t="str">
        <f aca="true">IF(OR(BR552="",AE552=""),"",IF(AF552="",IF(NOW()&gt;EDATE(AE552,DORA_M_FIN)+1,0,""),IF(AF552&lt;=EDATE(AE552,DORA_M_FIN),1,0)))</f>
        <v/>
      </c>
      <c r="BV552" s="35" t="str">
        <f aca="false">IF(BR552="","",IF(COUNT(BS552:BU552)=0,"",MIN(BS552:BU552)))</f>
        <v/>
      </c>
      <c r="BW552" s="40" t="str">
        <f aca="false">IF(AQ552&lt;&gt;1,"",IF(AND(AG552="",AH552=""),"",N(AG552)-N(AH552)))</f>
        <v/>
      </c>
      <c r="BX552" s="35" t="str">
        <f aca="true">IF(OR(AQ552&lt;&gt;1,AI552&lt;&gt;"Oui",AJ552=""),"",IF(AK552="",IF(NOW()&gt;AJ552+1,0,""),IF(AK552&lt;=AJ552,1,0)))</f>
        <v/>
      </c>
    </row>
    <row r="553" customFormat="false" ht="15" hidden="false" customHeight="false" outlineLevel="0" collapsed="false">
      <c r="B553" s="29"/>
      <c r="C553" s="29"/>
      <c r="D553" s="29"/>
      <c r="E553" s="29"/>
      <c r="F553" s="29"/>
      <c r="G553" s="29"/>
      <c r="H553" s="29"/>
      <c r="I553" s="29"/>
      <c r="J553" s="29"/>
      <c r="K553" s="29"/>
      <c r="L553" s="29"/>
      <c r="M553" s="29"/>
      <c r="N553" s="30"/>
      <c r="O553" s="30"/>
      <c r="P553" s="30"/>
      <c r="Q553" s="30"/>
      <c r="R553" s="30"/>
      <c r="S553" s="30"/>
      <c r="T553" s="30"/>
      <c r="U553" s="30"/>
      <c r="V553" s="31"/>
      <c r="W553" s="29"/>
      <c r="X553" s="29"/>
      <c r="Y553" s="29"/>
      <c r="Z553" s="29"/>
      <c r="AA553" s="30"/>
      <c r="AB553" s="30"/>
      <c r="AC553" s="30"/>
      <c r="AD553" s="30"/>
      <c r="AE553" s="30"/>
      <c r="AF553" s="32"/>
      <c r="AG553" s="33"/>
      <c r="AH553" s="33"/>
      <c r="AI553" s="29"/>
      <c r="AJ553" s="32"/>
      <c r="AK553" s="32"/>
      <c r="AL553" s="29"/>
      <c r="AN553" s="34" t="str">
        <f aca="false">IF($B553="","",IF(OR(C553="",D553="",E553="",G553="",I553="",J553="",L553="",O553="",P553=""),"Champ obligatoire manquant",IF(OR(AND(N553&lt;&gt;"",N553&gt;O553),O553&gt;P553,AND(Q553&lt;&gt;"",Q553&lt;P553),AND(R553&lt;&gt;"",R553&lt;P553),AND(S553&lt;&gt;"",S553&lt;R553),AND(S553&lt;&gt;"",R553=""),AND(T553&lt;&gt;"",T553&lt;O553),AND(U553&lt;&gt;"",U553&lt;O553)),"Chronologie incohérente",IF(AND(OR(L553="Résolu",L553="Clos"),R553=""),"Date de résolution manquante",IF(AND(L553="Clos",S553=""),"Date de clôture manquante",IF(AND(K553="Oui",AC553=""),"Classification DORA manquante","OK"))))))</f>
        <v/>
      </c>
      <c r="AO553" s="35" t="str">
        <f aca="false">IF($B553="","",IF(AND(C553="Incident",L553&lt;&gt;"Annulé"),1,0))</f>
        <v/>
      </c>
      <c r="AP553" s="35" t="str">
        <f aca="false">IF($B553="","",IF(AND(C553="Quasi-incident",L553&lt;&gt;"Annulé"),1,0))</f>
        <v/>
      </c>
      <c r="AQ553" s="35" t="str">
        <f aca="false">IF($B553="","",AO553+AP553)</f>
        <v/>
      </c>
      <c r="AR553" s="36" t="str">
        <f aca="false">IF(OR($B553="",J553=""),"",IFERROR(VALUE(LEFT(J553,1)),""))</f>
        <v/>
      </c>
      <c r="AS553" s="35" t="str">
        <f aca="false">IF(OR(AO553&lt;&gt;1,G553=""),"",IFERROR(IF(INDEX(L_SrcInterne,MATCH(G553,L_Sources,0))="Oui",1,0),""))</f>
        <v/>
      </c>
      <c r="AT553" s="37" t="str">
        <f aca="false">IF(AO553&lt;&gt;1,"",IFERROR(ROUND(IF(OR(N553="",O553=""),"",IF(O553&lt;N553,"",ROUND(((NETWORKDAYS(N553,O553,JoursFeries)-1)*(HFer-HOuv)+IF(NETWORKDAYS(O553,O553,JoursFeries),MEDIAN(MOD(O553,1),HFer,HOuv),HFer)-IF(NETWORKDAYS(N553,N553,JoursFeries),MEDIAN(MOD(N553,1),HFer,HOuv),HOuv))*24,4)))/HJour,4),""))</f>
        <v/>
      </c>
      <c r="AU553" s="37" t="str">
        <f aca="false">IF(AO553&lt;&gt;1,"",IF(OR(O553="",P553=""),"",IF(P553&lt;O553,"",ROUND(((NETWORKDAYS(O553,P553,JoursFeries)-1)*(HFer-HOuv)+IF(NETWORKDAYS(P553,P553,JoursFeries),MEDIAN(MOD(P553,1),HFer,HOuv),HFer)-IF(NETWORKDAYS(O553,O553,JoursFeries),MEDIAN(MOD(O553,1),HFer,HOuv),HOuv))*24,4))))</f>
        <v/>
      </c>
      <c r="AV553" s="37" t="str">
        <f aca="false">IF(AO553&lt;&gt;1,"",IF(OR(P553="",Q553=""),"",IF(Q553&lt;P553,"",ROUND(((NETWORKDAYS(P553,Q553,JoursFeries)-1)*(HFer-HOuv)+IF(NETWORKDAYS(Q553,Q553,JoursFeries),MEDIAN(MOD(Q553,1),HFer,HOuv),HFer)-IF(NETWORKDAYS(P553,P553,JoursFeries),MEDIAN(MOD(P553,1),HFer,HOuv),HOuv))*24,4))))</f>
        <v/>
      </c>
      <c r="AW553" s="37" t="str">
        <f aca="false">IF(AO553&lt;&gt;1,"",IFERROR(ROUND(IF(OR(P553="",R553=""),"",IF(R553&lt;P553,"",ROUND(((NETWORKDAYS(P553,R553,JoursFeries)-1)*(HFer-HOuv)+IF(NETWORKDAYS(R553,R553,JoursFeries),MEDIAN(MOD(R553,1),HFer,HOuv),HFer)-IF(NETWORKDAYS(P553,P553,JoursFeries),MEDIAN(MOD(P553,1),HFer,HOuv),HOuv))*24,4)))/HJour,4),""))</f>
        <v/>
      </c>
      <c r="AX553" s="37" t="str">
        <f aca="false">IF(AO553&lt;&gt;1,"",IFERROR(ROUND(IF(OR(P553="",S553=""),"",IF(S553&lt;P553,"",ROUND(((NETWORKDAYS(P553,S553,JoursFeries)-1)*(HFer-HOuv)+IF(NETWORKDAYS(S553,S553,JoursFeries),MEDIAN(MOD(S553,1),HFer,HOuv),HFer)-IF(NETWORKDAYS(P553,P553,JoursFeries),MEDIAN(MOD(P553,1),HFer,HOuv),HOuv))*24,4)))/HJour,4),""))</f>
        <v/>
      </c>
      <c r="AY553" s="36" t="str">
        <f aca="false">IF(OR(AO553&lt;&gt;1,AR553=""),"",INDEX(SLA_PEC,AR553))</f>
        <v/>
      </c>
      <c r="AZ553" s="35" t="str">
        <f aca="false">IF(OR(AV553="",AY553=""),"",IF(AV553&lt;=AY553,1,0))</f>
        <v/>
      </c>
      <c r="BA553" s="36" t="str">
        <f aca="false">IF(OR(AO553&lt;&gt;1,AR553=""),"",INDEX(SLA_RES,AR553))</f>
        <v/>
      </c>
      <c r="BB553" s="35" t="str">
        <f aca="false">IF(OR(AW553="",BA553=""),"",IF(AW553&lt;=BA553,1,0))</f>
        <v/>
      </c>
      <c r="BC553" s="38" t="str">
        <f aca="false">IF(OR(BA553="",P553=""),"",WORKDAY(INT(P553),BA553,JoursFeries)+MOD(P553,1))</f>
        <v/>
      </c>
      <c r="BD553" s="39" t="str">
        <f aca="false">IF(AO553&lt;&gt;1,"",IF(OR(AB553&lt;&gt;"",AD553&lt;&gt;""),4,IF(U553&lt;&gt;"",3,IF(T553&lt;&gt;"",2,1))))</f>
        <v/>
      </c>
      <c r="BE553" s="39" t="str">
        <f aca="false">IF(OR(AO553&lt;&gt;1,AR553=""),"",INDEX(NIV_REQ,AR553))</f>
        <v/>
      </c>
      <c r="BF553" s="39" t="str">
        <f aca="false">IF(BE553="","",MAX(BE553,IF(OR(K553="Oui",Z553="Oui"),4,1)))</f>
        <v/>
      </c>
      <c r="BG553" s="35" t="str">
        <f aca="false">IF(OR(BF553="",BD553=""),"",IF(BD553&gt;=BF553,1,0))</f>
        <v/>
      </c>
      <c r="BH553" s="38" t="str">
        <f aca="false">IF(BE553="","",IF(BE553&lt;2,"",IF(BE553=2,IF(AND(T553="",U553=""),"",MIN(T553,U553)),IF(U553="","",U553))))</f>
        <v/>
      </c>
      <c r="BI553" s="37" t="str">
        <f aca="false">IF(BH553="","",IF(OR(O553="",BH553=""),"",IF(BH553&lt;O553,"",ROUND(((NETWORKDAYS(O553,BH553,JoursFeries)-1)*(HFer-HOuv)+IF(NETWORKDAYS(BH553,BH553,JoursFeries),MEDIAN(MOD(BH553,1),HFer,HOuv),HFer)-IF(NETWORKDAYS(O553,O553,JoursFeries),MEDIAN(MOD(O553,1),HFer,HOuv),HOuv))*24,4))))</f>
        <v/>
      </c>
      <c r="BJ553" s="35" t="str">
        <f aca="false">IF(OR(BI553="",AR553=""),"",IF(BI553&lt;=INDEX(DELAI_ESC,AR553),1,0))</f>
        <v/>
      </c>
      <c r="BK553" s="38" t="str">
        <f aca="false">IF(AO553&lt;&gt;1,"",IF(AND(T553="",U553=""),"",MIN(T553,U553)))</f>
        <v/>
      </c>
      <c r="BL553" s="37" t="str">
        <f aca="false">IF(OR(BK553="",R553=""),"",IFERROR(ROUND(IF(OR(BK553="",R553=""),"",IF(R553&lt;BK553,"",ROUND(((NETWORKDAYS(BK553,R553,JoursFeries)-1)*(HFer-HOuv)+IF(NETWORKDAYS(R553,R553,JoursFeries),MEDIAN(MOD(R553,1),HFer,HOuv),HFer)-IF(NETWORKDAYS(BK553,BK553,JoursFeries),MEDIAN(MOD(BK553,1),HFer,HOuv),HOuv))*24,4)))/HJour,4),""))</f>
        <v/>
      </c>
      <c r="BM553" s="35" t="str">
        <f aca="false">IF(OR(AO553&lt;&gt;1,R553=""),"",IF(BD553=1,1,0))</f>
        <v/>
      </c>
      <c r="BN553" s="35" t="str">
        <f aca="false">IF(AO553&lt;&gt;1,"",IF(W553="Oui",1,0))</f>
        <v/>
      </c>
      <c r="BO553" s="35" t="str">
        <f aca="false">IF(AO553&lt;&gt;1,"",IF(X553&lt;&gt;"",1,0))</f>
        <v/>
      </c>
      <c r="BP553" s="35" t="str">
        <f aca="false">IF(AO553&lt;&gt;1,"",IF(Y553="Oui",1,0))</f>
        <v/>
      </c>
      <c r="BQ553" s="35" t="str">
        <f aca="true">IF(OR(AO553&lt;&gt;1,Z553&lt;&gt;"Oui"),"",IF(AB553="",IF(AND(AA553&lt;&gt;"",NOW()&gt;AA553),0,""),IF(AA553="","",IF(AB553&lt;=AA553,1,0))))</f>
        <v/>
      </c>
      <c r="BR553" s="38" t="str">
        <f aca="false">IF(OR(AO553&lt;&gt;1,K553&lt;&gt;"Oui",O553=""),"",IF(AC553="",O553+DORA_H_DET/24,IF(AC553-O553&lt;=DORA_H_DET/24,MIN(AC553+DORA_H_CLA/24,O553+DORA_H_DET/24),AC553+DORA_H_CLA/24)))</f>
        <v/>
      </c>
      <c r="BS553" s="35" t="str">
        <f aca="true">IF(BR553="","",IF(AD553="",IF(NOW()&gt;BR553,0,""),IF(AD553&lt;=BR553,1,0)))</f>
        <v/>
      </c>
      <c r="BT553" s="35" t="str">
        <f aca="true">IF(OR(BR553="",AD553=""),"",IF(AE553="",IF(NOW()&gt;AD553+DORA_H_INT/24,0,""),IF(AE553&lt;=AD553+DORA_H_INT/24,1,0)))</f>
        <v/>
      </c>
      <c r="BU553" s="35" t="str">
        <f aca="true">IF(OR(BR553="",AE553=""),"",IF(AF553="",IF(NOW()&gt;EDATE(AE553,DORA_M_FIN)+1,0,""),IF(AF553&lt;=EDATE(AE553,DORA_M_FIN),1,0)))</f>
        <v/>
      </c>
      <c r="BV553" s="35" t="str">
        <f aca="false">IF(BR553="","",IF(COUNT(BS553:BU553)=0,"",MIN(BS553:BU553)))</f>
        <v/>
      </c>
      <c r="BW553" s="40" t="str">
        <f aca="false">IF(AQ553&lt;&gt;1,"",IF(AND(AG553="",AH553=""),"",N(AG553)-N(AH553)))</f>
        <v/>
      </c>
      <c r="BX553" s="35" t="str">
        <f aca="true">IF(OR(AQ553&lt;&gt;1,AI553&lt;&gt;"Oui",AJ553=""),"",IF(AK553="",IF(NOW()&gt;AJ553+1,0,""),IF(AK553&lt;=AJ553,1,0)))</f>
        <v/>
      </c>
    </row>
    <row r="554" customFormat="false" ht="15" hidden="false" customHeight="false" outlineLevel="0" collapsed="false">
      <c r="B554" s="29"/>
      <c r="C554" s="29"/>
      <c r="D554" s="29"/>
      <c r="E554" s="29"/>
      <c r="F554" s="29"/>
      <c r="G554" s="29"/>
      <c r="H554" s="29"/>
      <c r="I554" s="29"/>
      <c r="J554" s="29"/>
      <c r="K554" s="29"/>
      <c r="L554" s="29"/>
      <c r="M554" s="29"/>
      <c r="N554" s="30"/>
      <c r="O554" s="30"/>
      <c r="P554" s="30"/>
      <c r="Q554" s="30"/>
      <c r="R554" s="30"/>
      <c r="S554" s="30"/>
      <c r="T554" s="30"/>
      <c r="U554" s="30"/>
      <c r="V554" s="31"/>
      <c r="W554" s="29"/>
      <c r="X554" s="29"/>
      <c r="Y554" s="29"/>
      <c r="Z554" s="29"/>
      <c r="AA554" s="30"/>
      <c r="AB554" s="30"/>
      <c r="AC554" s="30"/>
      <c r="AD554" s="30"/>
      <c r="AE554" s="30"/>
      <c r="AF554" s="32"/>
      <c r="AG554" s="33"/>
      <c r="AH554" s="33"/>
      <c r="AI554" s="29"/>
      <c r="AJ554" s="32"/>
      <c r="AK554" s="32"/>
      <c r="AL554" s="29"/>
      <c r="AN554" s="34" t="str">
        <f aca="false">IF($B554="","",IF(OR(C554="",D554="",E554="",G554="",I554="",J554="",L554="",O554="",P554=""),"Champ obligatoire manquant",IF(OR(AND(N554&lt;&gt;"",N554&gt;O554),O554&gt;P554,AND(Q554&lt;&gt;"",Q554&lt;P554),AND(R554&lt;&gt;"",R554&lt;P554),AND(S554&lt;&gt;"",S554&lt;R554),AND(S554&lt;&gt;"",R554=""),AND(T554&lt;&gt;"",T554&lt;O554),AND(U554&lt;&gt;"",U554&lt;O554)),"Chronologie incohérente",IF(AND(OR(L554="Résolu",L554="Clos"),R554=""),"Date de résolution manquante",IF(AND(L554="Clos",S554=""),"Date de clôture manquante",IF(AND(K554="Oui",AC554=""),"Classification DORA manquante","OK"))))))</f>
        <v/>
      </c>
      <c r="AO554" s="35" t="str">
        <f aca="false">IF($B554="","",IF(AND(C554="Incident",L554&lt;&gt;"Annulé"),1,0))</f>
        <v/>
      </c>
      <c r="AP554" s="35" t="str">
        <f aca="false">IF($B554="","",IF(AND(C554="Quasi-incident",L554&lt;&gt;"Annulé"),1,0))</f>
        <v/>
      </c>
      <c r="AQ554" s="35" t="str">
        <f aca="false">IF($B554="","",AO554+AP554)</f>
        <v/>
      </c>
      <c r="AR554" s="36" t="str">
        <f aca="false">IF(OR($B554="",J554=""),"",IFERROR(VALUE(LEFT(J554,1)),""))</f>
        <v/>
      </c>
      <c r="AS554" s="35" t="str">
        <f aca="false">IF(OR(AO554&lt;&gt;1,G554=""),"",IFERROR(IF(INDEX(L_SrcInterne,MATCH(G554,L_Sources,0))="Oui",1,0),""))</f>
        <v/>
      </c>
      <c r="AT554" s="37" t="str">
        <f aca="false">IF(AO554&lt;&gt;1,"",IFERROR(ROUND(IF(OR(N554="",O554=""),"",IF(O554&lt;N554,"",ROUND(((NETWORKDAYS(N554,O554,JoursFeries)-1)*(HFer-HOuv)+IF(NETWORKDAYS(O554,O554,JoursFeries),MEDIAN(MOD(O554,1),HFer,HOuv),HFer)-IF(NETWORKDAYS(N554,N554,JoursFeries),MEDIAN(MOD(N554,1),HFer,HOuv),HOuv))*24,4)))/HJour,4),""))</f>
        <v/>
      </c>
      <c r="AU554" s="37" t="str">
        <f aca="false">IF(AO554&lt;&gt;1,"",IF(OR(O554="",P554=""),"",IF(P554&lt;O554,"",ROUND(((NETWORKDAYS(O554,P554,JoursFeries)-1)*(HFer-HOuv)+IF(NETWORKDAYS(P554,P554,JoursFeries),MEDIAN(MOD(P554,1),HFer,HOuv),HFer)-IF(NETWORKDAYS(O554,O554,JoursFeries),MEDIAN(MOD(O554,1),HFer,HOuv),HOuv))*24,4))))</f>
        <v/>
      </c>
      <c r="AV554" s="37" t="str">
        <f aca="false">IF(AO554&lt;&gt;1,"",IF(OR(P554="",Q554=""),"",IF(Q554&lt;P554,"",ROUND(((NETWORKDAYS(P554,Q554,JoursFeries)-1)*(HFer-HOuv)+IF(NETWORKDAYS(Q554,Q554,JoursFeries),MEDIAN(MOD(Q554,1),HFer,HOuv),HFer)-IF(NETWORKDAYS(P554,P554,JoursFeries),MEDIAN(MOD(P554,1),HFer,HOuv),HOuv))*24,4))))</f>
        <v/>
      </c>
      <c r="AW554" s="37" t="str">
        <f aca="false">IF(AO554&lt;&gt;1,"",IFERROR(ROUND(IF(OR(P554="",R554=""),"",IF(R554&lt;P554,"",ROUND(((NETWORKDAYS(P554,R554,JoursFeries)-1)*(HFer-HOuv)+IF(NETWORKDAYS(R554,R554,JoursFeries),MEDIAN(MOD(R554,1),HFer,HOuv),HFer)-IF(NETWORKDAYS(P554,P554,JoursFeries),MEDIAN(MOD(P554,1),HFer,HOuv),HOuv))*24,4)))/HJour,4),""))</f>
        <v/>
      </c>
      <c r="AX554" s="37" t="str">
        <f aca="false">IF(AO554&lt;&gt;1,"",IFERROR(ROUND(IF(OR(P554="",S554=""),"",IF(S554&lt;P554,"",ROUND(((NETWORKDAYS(P554,S554,JoursFeries)-1)*(HFer-HOuv)+IF(NETWORKDAYS(S554,S554,JoursFeries),MEDIAN(MOD(S554,1),HFer,HOuv),HFer)-IF(NETWORKDAYS(P554,P554,JoursFeries),MEDIAN(MOD(P554,1),HFer,HOuv),HOuv))*24,4)))/HJour,4),""))</f>
        <v/>
      </c>
      <c r="AY554" s="36" t="str">
        <f aca="false">IF(OR(AO554&lt;&gt;1,AR554=""),"",INDEX(SLA_PEC,AR554))</f>
        <v/>
      </c>
      <c r="AZ554" s="35" t="str">
        <f aca="false">IF(OR(AV554="",AY554=""),"",IF(AV554&lt;=AY554,1,0))</f>
        <v/>
      </c>
      <c r="BA554" s="36" t="str">
        <f aca="false">IF(OR(AO554&lt;&gt;1,AR554=""),"",INDEX(SLA_RES,AR554))</f>
        <v/>
      </c>
      <c r="BB554" s="35" t="str">
        <f aca="false">IF(OR(AW554="",BA554=""),"",IF(AW554&lt;=BA554,1,0))</f>
        <v/>
      </c>
      <c r="BC554" s="38" t="str">
        <f aca="false">IF(OR(BA554="",P554=""),"",WORKDAY(INT(P554),BA554,JoursFeries)+MOD(P554,1))</f>
        <v/>
      </c>
      <c r="BD554" s="39" t="str">
        <f aca="false">IF(AO554&lt;&gt;1,"",IF(OR(AB554&lt;&gt;"",AD554&lt;&gt;""),4,IF(U554&lt;&gt;"",3,IF(T554&lt;&gt;"",2,1))))</f>
        <v/>
      </c>
      <c r="BE554" s="39" t="str">
        <f aca="false">IF(OR(AO554&lt;&gt;1,AR554=""),"",INDEX(NIV_REQ,AR554))</f>
        <v/>
      </c>
      <c r="BF554" s="39" t="str">
        <f aca="false">IF(BE554="","",MAX(BE554,IF(OR(K554="Oui",Z554="Oui"),4,1)))</f>
        <v/>
      </c>
      <c r="BG554" s="35" t="str">
        <f aca="false">IF(OR(BF554="",BD554=""),"",IF(BD554&gt;=BF554,1,0))</f>
        <v/>
      </c>
      <c r="BH554" s="38" t="str">
        <f aca="false">IF(BE554="","",IF(BE554&lt;2,"",IF(BE554=2,IF(AND(T554="",U554=""),"",MIN(T554,U554)),IF(U554="","",U554))))</f>
        <v/>
      </c>
      <c r="BI554" s="37" t="str">
        <f aca="false">IF(BH554="","",IF(OR(O554="",BH554=""),"",IF(BH554&lt;O554,"",ROUND(((NETWORKDAYS(O554,BH554,JoursFeries)-1)*(HFer-HOuv)+IF(NETWORKDAYS(BH554,BH554,JoursFeries),MEDIAN(MOD(BH554,1),HFer,HOuv),HFer)-IF(NETWORKDAYS(O554,O554,JoursFeries),MEDIAN(MOD(O554,1),HFer,HOuv),HOuv))*24,4))))</f>
        <v/>
      </c>
      <c r="BJ554" s="35" t="str">
        <f aca="false">IF(OR(BI554="",AR554=""),"",IF(BI554&lt;=INDEX(DELAI_ESC,AR554),1,0))</f>
        <v/>
      </c>
      <c r="BK554" s="38" t="str">
        <f aca="false">IF(AO554&lt;&gt;1,"",IF(AND(T554="",U554=""),"",MIN(T554,U554)))</f>
        <v/>
      </c>
      <c r="BL554" s="37" t="str">
        <f aca="false">IF(OR(BK554="",R554=""),"",IFERROR(ROUND(IF(OR(BK554="",R554=""),"",IF(R554&lt;BK554,"",ROUND(((NETWORKDAYS(BK554,R554,JoursFeries)-1)*(HFer-HOuv)+IF(NETWORKDAYS(R554,R554,JoursFeries),MEDIAN(MOD(R554,1),HFer,HOuv),HFer)-IF(NETWORKDAYS(BK554,BK554,JoursFeries),MEDIAN(MOD(BK554,1),HFer,HOuv),HOuv))*24,4)))/HJour,4),""))</f>
        <v/>
      </c>
      <c r="BM554" s="35" t="str">
        <f aca="false">IF(OR(AO554&lt;&gt;1,R554=""),"",IF(BD554=1,1,0))</f>
        <v/>
      </c>
      <c r="BN554" s="35" t="str">
        <f aca="false">IF(AO554&lt;&gt;1,"",IF(W554="Oui",1,0))</f>
        <v/>
      </c>
      <c r="BO554" s="35" t="str">
        <f aca="false">IF(AO554&lt;&gt;1,"",IF(X554&lt;&gt;"",1,0))</f>
        <v/>
      </c>
      <c r="BP554" s="35" t="str">
        <f aca="false">IF(AO554&lt;&gt;1,"",IF(Y554="Oui",1,0))</f>
        <v/>
      </c>
      <c r="BQ554" s="35" t="str">
        <f aca="true">IF(OR(AO554&lt;&gt;1,Z554&lt;&gt;"Oui"),"",IF(AB554="",IF(AND(AA554&lt;&gt;"",NOW()&gt;AA554),0,""),IF(AA554="","",IF(AB554&lt;=AA554,1,0))))</f>
        <v/>
      </c>
      <c r="BR554" s="38" t="str">
        <f aca="false">IF(OR(AO554&lt;&gt;1,K554&lt;&gt;"Oui",O554=""),"",IF(AC554="",O554+DORA_H_DET/24,IF(AC554-O554&lt;=DORA_H_DET/24,MIN(AC554+DORA_H_CLA/24,O554+DORA_H_DET/24),AC554+DORA_H_CLA/24)))</f>
        <v/>
      </c>
      <c r="BS554" s="35" t="str">
        <f aca="true">IF(BR554="","",IF(AD554="",IF(NOW()&gt;BR554,0,""),IF(AD554&lt;=BR554,1,0)))</f>
        <v/>
      </c>
      <c r="BT554" s="35" t="str">
        <f aca="true">IF(OR(BR554="",AD554=""),"",IF(AE554="",IF(NOW()&gt;AD554+DORA_H_INT/24,0,""),IF(AE554&lt;=AD554+DORA_H_INT/24,1,0)))</f>
        <v/>
      </c>
      <c r="BU554" s="35" t="str">
        <f aca="true">IF(OR(BR554="",AE554=""),"",IF(AF554="",IF(NOW()&gt;EDATE(AE554,DORA_M_FIN)+1,0,""),IF(AF554&lt;=EDATE(AE554,DORA_M_FIN),1,0)))</f>
        <v/>
      </c>
      <c r="BV554" s="35" t="str">
        <f aca="false">IF(BR554="","",IF(COUNT(BS554:BU554)=0,"",MIN(BS554:BU554)))</f>
        <v/>
      </c>
      <c r="BW554" s="40" t="str">
        <f aca="false">IF(AQ554&lt;&gt;1,"",IF(AND(AG554="",AH554=""),"",N(AG554)-N(AH554)))</f>
        <v/>
      </c>
      <c r="BX554" s="35" t="str">
        <f aca="true">IF(OR(AQ554&lt;&gt;1,AI554&lt;&gt;"Oui",AJ554=""),"",IF(AK554="",IF(NOW()&gt;AJ554+1,0,""),IF(AK554&lt;=AJ554,1,0)))</f>
        <v/>
      </c>
    </row>
    <row r="555" customFormat="false" ht="15" hidden="false" customHeight="false" outlineLevel="0" collapsed="false">
      <c r="B555" s="29"/>
      <c r="C555" s="29"/>
      <c r="D555" s="29"/>
      <c r="E555" s="29"/>
      <c r="F555" s="29"/>
      <c r="G555" s="29"/>
      <c r="H555" s="29"/>
      <c r="I555" s="29"/>
      <c r="J555" s="29"/>
      <c r="K555" s="29"/>
      <c r="L555" s="29"/>
      <c r="M555" s="29"/>
      <c r="N555" s="30"/>
      <c r="O555" s="30"/>
      <c r="P555" s="30"/>
      <c r="Q555" s="30"/>
      <c r="R555" s="30"/>
      <c r="S555" s="30"/>
      <c r="T555" s="30"/>
      <c r="U555" s="30"/>
      <c r="V555" s="31"/>
      <c r="W555" s="29"/>
      <c r="X555" s="29"/>
      <c r="Y555" s="29"/>
      <c r="Z555" s="29"/>
      <c r="AA555" s="30"/>
      <c r="AB555" s="30"/>
      <c r="AC555" s="30"/>
      <c r="AD555" s="30"/>
      <c r="AE555" s="30"/>
      <c r="AF555" s="32"/>
      <c r="AG555" s="33"/>
      <c r="AH555" s="33"/>
      <c r="AI555" s="29"/>
      <c r="AJ555" s="32"/>
      <c r="AK555" s="32"/>
      <c r="AL555" s="29"/>
      <c r="AN555" s="34" t="str">
        <f aca="false">IF($B555="","",IF(OR(C555="",D555="",E555="",G555="",I555="",J555="",L555="",O555="",P555=""),"Champ obligatoire manquant",IF(OR(AND(N555&lt;&gt;"",N555&gt;O555),O555&gt;P555,AND(Q555&lt;&gt;"",Q555&lt;P555),AND(R555&lt;&gt;"",R555&lt;P555),AND(S555&lt;&gt;"",S555&lt;R555),AND(S555&lt;&gt;"",R555=""),AND(T555&lt;&gt;"",T555&lt;O555),AND(U555&lt;&gt;"",U555&lt;O555)),"Chronologie incohérente",IF(AND(OR(L555="Résolu",L555="Clos"),R555=""),"Date de résolution manquante",IF(AND(L555="Clos",S555=""),"Date de clôture manquante",IF(AND(K555="Oui",AC555=""),"Classification DORA manquante","OK"))))))</f>
        <v/>
      </c>
      <c r="AO555" s="35" t="str">
        <f aca="false">IF($B555="","",IF(AND(C555="Incident",L555&lt;&gt;"Annulé"),1,0))</f>
        <v/>
      </c>
      <c r="AP555" s="35" t="str">
        <f aca="false">IF($B555="","",IF(AND(C555="Quasi-incident",L555&lt;&gt;"Annulé"),1,0))</f>
        <v/>
      </c>
      <c r="AQ555" s="35" t="str">
        <f aca="false">IF($B555="","",AO555+AP555)</f>
        <v/>
      </c>
      <c r="AR555" s="36" t="str">
        <f aca="false">IF(OR($B555="",J555=""),"",IFERROR(VALUE(LEFT(J555,1)),""))</f>
        <v/>
      </c>
      <c r="AS555" s="35" t="str">
        <f aca="false">IF(OR(AO555&lt;&gt;1,G555=""),"",IFERROR(IF(INDEX(L_SrcInterne,MATCH(G555,L_Sources,0))="Oui",1,0),""))</f>
        <v/>
      </c>
      <c r="AT555" s="37" t="str">
        <f aca="false">IF(AO555&lt;&gt;1,"",IFERROR(ROUND(IF(OR(N555="",O555=""),"",IF(O555&lt;N555,"",ROUND(((NETWORKDAYS(N555,O555,JoursFeries)-1)*(HFer-HOuv)+IF(NETWORKDAYS(O555,O555,JoursFeries),MEDIAN(MOD(O555,1),HFer,HOuv),HFer)-IF(NETWORKDAYS(N555,N555,JoursFeries),MEDIAN(MOD(N555,1),HFer,HOuv),HOuv))*24,4)))/HJour,4),""))</f>
        <v/>
      </c>
      <c r="AU555" s="37" t="str">
        <f aca="false">IF(AO555&lt;&gt;1,"",IF(OR(O555="",P555=""),"",IF(P555&lt;O555,"",ROUND(((NETWORKDAYS(O555,P555,JoursFeries)-1)*(HFer-HOuv)+IF(NETWORKDAYS(P555,P555,JoursFeries),MEDIAN(MOD(P555,1),HFer,HOuv),HFer)-IF(NETWORKDAYS(O555,O555,JoursFeries),MEDIAN(MOD(O555,1),HFer,HOuv),HOuv))*24,4))))</f>
        <v/>
      </c>
      <c r="AV555" s="37" t="str">
        <f aca="false">IF(AO555&lt;&gt;1,"",IF(OR(P555="",Q555=""),"",IF(Q555&lt;P555,"",ROUND(((NETWORKDAYS(P555,Q555,JoursFeries)-1)*(HFer-HOuv)+IF(NETWORKDAYS(Q555,Q555,JoursFeries),MEDIAN(MOD(Q555,1),HFer,HOuv),HFer)-IF(NETWORKDAYS(P555,P555,JoursFeries),MEDIAN(MOD(P555,1),HFer,HOuv),HOuv))*24,4))))</f>
        <v/>
      </c>
      <c r="AW555" s="37" t="str">
        <f aca="false">IF(AO555&lt;&gt;1,"",IFERROR(ROUND(IF(OR(P555="",R555=""),"",IF(R555&lt;P555,"",ROUND(((NETWORKDAYS(P555,R555,JoursFeries)-1)*(HFer-HOuv)+IF(NETWORKDAYS(R555,R555,JoursFeries),MEDIAN(MOD(R555,1),HFer,HOuv),HFer)-IF(NETWORKDAYS(P555,P555,JoursFeries),MEDIAN(MOD(P555,1),HFer,HOuv),HOuv))*24,4)))/HJour,4),""))</f>
        <v/>
      </c>
      <c r="AX555" s="37" t="str">
        <f aca="false">IF(AO555&lt;&gt;1,"",IFERROR(ROUND(IF(OR(P555="",S555=""),"",IF(S555&lt;P555,"",ROUND(((NETWORKDAYS(P555,S555,JoursFeries)-1)*(HFer-HOuv)+IF(NETWORKDAYS(S555,S555,JoursFeries),MEDIAN(MOD(S555,1),HFer,HOuv),HFer)-IF(NETWORKDAYS(P555,P555,JoursFeries),MEDIAN(MOD(P555,1),HFer,HOuv),HOuv))*24,4)))/HJour,4),""))</f>
        <v/>
      </c>
      <c r="AY555" s="36" t="str">
        <f aca="false">IF(OR(AO555&lt;&gt;1,AR555=""),"",INDEX(SLA_PEC,AR555))</f>
        <v/>
      </c>
      <c r="AZ555" s="35" t="str">
        <f aca="false">IF(OR(AV555="",AY555=""),"",IF(AV555&lt;=AY555,1,0))</f>
        <v/>
      </c>
      <c r="BA555" s="36" t="str">
        <f aca="false">IF(OR(AO555&lt;&gt;1,AR555=""),"",INDEX(SLA_RES,AR555))</f>
        <v/>
      </c>
      <c r="BB555" s="35" t="str">
        <f aca="false">IF(OR(AW555="",BA555=""),"",IF(AW555&lt;=BA555,1,0))</f>
        <v/>
      </c>
      <c r="BC555" s="38" t="str">
        <f aca="false">IF(OR(BA555="",P555=""),"",WORKDAY(INT(P555),BA555,JoursFeries)+MOD(P555,1))</f>
        <v/>
      </c>
      <c r="BD555" s="39" t="str">
        <f aca="false">IF(AO555&lt;&gt;1,"",IF(OR(AB555&lt;&gt;"",AD555&lt;&gt;""),4,IF(U555&lt;&gt;"",3,IF(T555&lt;&gt;"",2,1))))</f>
        <v/>
      </c>
      <c r="BE555" s="39" t="str">
        <f aca="false">IF(OR(AO555&lt;&gt;1,AR555=""),"",INDEX(NIV_REQ,AR555))</f>
        <v/>
      </c>
      <c r="BF555" s="39" t="str">
        <f aca="false">IF(BE555="","",MAX(BE555,IF(OR(K555="Oui",Z555="Oui"),4,1)))</f>
        <v/>
      </c>
      <c r="BG555" s="35" t="str">
        <f aca="false">IF(OR(BF555="",BD555=""),"",IF(BD555&gt;=BF555,1,0))</f>
        <v/>
      </c>
      <c r="BH555" s="38" t="str">
        <f aca="false">IF(BE555="","",IF(BE555&lt;2,"",IF(BE555=2,IF(AND(T555="",U555=""),"",MIN(T555,U555)),IF(U555="","",U555))))</f>
        <v/>
      </c>
      <c r="BI555" s="37" t="str">
        <f aca="false">IF(BH555="","",IF(OR(O555="",BH555=""),"",IF(BH555&lt;O555,"",ROUND(((NETWORKDAYS(O555,BH555,JoursFeries)-1)*(HFer-HOuv)+IF(NETWORKDAYS(BH555,BH555,JoursFeries),MEDIAN(MOD(BH555,1),HFer,HOuv),HFer)-IF(NETWORKDAYS(O555,O555,JoursFeries),MEDIAN(MOD(O555,1),HFer,HOuv),HOuv))*24,4))))</f>
        <v/>
      </c>
      <c r="BJ555" s="35" t="str">
        <f aca="false">IF(OR(BI555="",AR555=""),"",IF(BI555&lt;=INDEX(DELAI_ESC,AR555),1,0))</f>
        <v/>
      </c>
      <c r="BK555" s="38" t="str">
        <f aca="false">IF(AO555&lt;&gt;1,"",IF(AND(T555="",U555=""),"",MIN(T555,U555)))</f>
        <v/>
      </c>
      <c r="BL555" s="37" t="str">
        <f aca="false">IF(OR(BK555="",R555=""),"",IFERROR(ROUND(IF(OR(BK555="",R555=""),"",IF(R555&lt;BK555,"",ROUND(((NETWORKDAYS(BK555,R555,JoursFeries)-1)*(HFer-HOuv)+IF(NETWORKDAYS(R555,R555,JoursFeries),MEDIAN(MOD(R555,1),HFer,HOuv),HFer)-IF(NETWORKDAYS(BK555,BK555,JoursFeries),MEDIAN(MOD(BK555,1),HFer,HOuv),HOuv))*24,4)))/HJour,4),""))</f>
        <v/>
      </c>
      <c r="BM555" s="35" t="str">
        <f aca="false">IF(OR(AO555&lt;&gt;1,R555=""),"",IF(BD555=1,1,0))</f>
        <v/>
      </c>
      <c r="BN555" s="35" t="str">
        <f aca="false">IF(AO555&lt;&gt;1,"",IF(W555="Oui",1,0))</f>
        <v/>
      </c>
      <c r="BO555" s="35" t="str">
        <f aca="false">IF(AO555&lt;&gt;1,"",IF(X555&lt;&gt;"",1,0))</f>
        <v/>
      </c>
      <c r="BP555" s="35" t="str">
        <f aca="false">IF(AO555&lt;&gt;1,"",IF(Y555="Oui",1,0))</f>
        <v/>
      </c>
      <c r="BQ555" s="35" t="str">
        <f aca="true">IF(OR(AO555&lt;&gt;1,Z555&lt;&gt;"Oui"),"",IF(AB555="",IF(AND(AA555&lt;&gt;"",NOW()&gt;AA555),0,""),IF(AA555="","",IF(AB555&lt;=AA555,1,0))))</f>
        <v/>
      </c>
      <c r="BR555" s="38" t="str">
        <f aca="false">IF(OR(AO555&lt;&gt;1,K555&lt;&gt;"Oui",O555=""),"",IF(AC555="",O555+DORA_H_DET/24,IF(AC555-O555&lt;=DORA_H_DET/24,MIN(AC555+DORA_H_CLA/24,O555+DORA_H_DET/24),AC555+DORA_H_CLA/24)))</f>
        <v/>
      </c>
      <c r="BS555" s="35" t="str">
        <f aca="true">IF(BR555="","",IF(AD555="",IF(NOW()&gt;BR555,0,""),IF(AD555&lt;=BR555,1,0)))</f>
        <v/>
      </c>
      <c r="BT555" s="35" t="str">
        <f aca="true">IF(OR(BR555="",AD555=""),"",IF(AE555="",IF(NOW()&gt;AD555+DORA_H_INT/24,0,""),IF(AE555&lt;=AD555+DORA_H_INT/24,1,0)))</f>
        <v/>
      </c>
      <c r="BU555" s="35" t="str">
        <f aca="true">IF(OR(BR555="",AE555=""),"",IF(AF555="",IF(NOW()&gt;EDATE(AE555,DORA_M_FIN)+1,0,""),IF(AF555&lt;=EDATE(AE555,DORA_M_FIN),1,0)))</f>
        <v/>
      </c>
      <c r="BV555" s="35" t="str">
        <f aca="false">IF(BR555="","",IF(COUNT(BS555:BU555)=0,"",MIN(BS555:BU555)))</f>
        <v/>
      </c>
      <c r="BW555" s="40" t="str">
        <f aca="false">IF(AQ555&lt;&gt;1,"",IF(AND(AG555="",AH555=""),"",N(AG555)-N(AH555)))</f>
        <v/>
      </c>
      <c r="BX555" s="35" t="str">
        <f aca="true">IF(OR(AQ555&lt;&gt;1,AI555&lt;&gt;"Oui",AJ555=""),"",IF(AK555="",IF(NOW()&gt;AJ555+1,0,""),IF(AK555&lt;=AJ555,1,0)))</f>
        <v/>
      </c>
    </row>
    <row r="556" customFormat="false" ht="15" hidden="false" customHeight="false" outlineLevel="0" collapsed="false">
      <c r="B556" s="29"/>
      <c r="C556" s="29"/>
      <c r="D556" s="29"/>
      <c r="E556" s="29"/>
      <c r="F556" s="29"/>
      <c r="G556" s="29"/>
      <c r="H556" s="29"/>
      <c r="I556" s="29"/>
      <c r="J556" s="29"/>
      <c r="K556" s="29"/>
      <c r="L556" s="29"/>
      <c r="M556" s="29"/>
      <c r="N556" s="30"/>
      <c r="O556" s="30"/>
      <c r="P556" s="30"/>
      <c r="Q556" s="30"/>
      <c r="R556" s="30"/>
      <c r="S556" s="30"/>
      <c r="T556" s="30"/>
      <c r="U556" s="30"/>
      <c r="V556" s="31"/>
      <c r="W556" s="29"/>
      <c r="X556" s="29"/>
      <c r="Y556" s="29"/>
      <c r="Z556" s="29"/>
      <c r="AA556" s="30"/>
      <c r="AB556" s="30"/>
      <c r="AC556" s="30"/>
      <c r="AD556" s="30"/>
      <c r="AE556" s="30"/>
      <c r="AF556" s="32"/>
      <c r="AG556" s="33"/>
      <c r="AH556" s="33"/>
      <c r="AI556" s="29"/>
      <c r="AJ556" s="32"/>
      <c r="AK556" s="32"/>
      <c r="AL556" s="29"/>
      <c r="AN556" s="34" t="str">
        <f aca="false">IF($B556="","",IF(OR(C556="",D556="",E556="",G556="",I556="",J556="",L556="",O556="",P556=""),"Champ obligatoire manquant",IF(OR(AND(N556&lt;&gt;"",N556&gt;O556),O556&gt;P556,AND(Q556&lt;&gt;"",Q556&lt;P556),AND(R556&lt;&gt;"",R556&lt;P556),AND(S556&lt;&gt;"",S556&lt;R556),AND(S556&lt;&gt;"",R556=""),AND(T556&lt;&gt;"",T556&lt;O556),AND(U556&lt;&gt;"",U556&lt;O556)),"Chronologie incohérente",IF(AND(OR(L556="Résolu",L556="Clos"),R556=""),"Date de résolution manquante",IF(AND(L556="Clos",S556=""),"Date de clôture manquante",IF(AND(K556="Oui",AC556=""),"Classification DORA manquante","OK"))))))</f>
        <v/>
      </c>
      <c r="AO556" s="35" t="str">
        <f aca="false">IF($B556="","",IF(AND(C556="Incident",L556&lt;&gt;"Annulé"),1,0))</f>
        <v/>
      </c>
      <c r="AP556" s="35" t="str">
        <f aca="false">IF($B556="","",IF(AND(C556="Quasi-incident",L556&lt;&gt;"Annulé"),1,0))</f>
        <v/>
      </c>
      <c r="AQ556" s="35" t="str">
        <f aca="false">IF($B556="","",AO556+AP556)</f>
        <v/>
      </c>
      <c r="AR556" s="36" t="str">
        <f aca="false">IF(OR($B556="",J556=""),"",IFERROR(VALUE(LEFT(J556,1)),""))</f>
        <v/>
      </c>
      <c r="AS556" s="35" t="str">
        <f aca="false">IF(OR(AO556&lt;&gt;1,G556=""),"",IFERROR(IF(INDEX(L_SrcInterne,MATCH(G556,L_Sources,0))="Oui",1,0),""))</f>
        <v/>
      </c>
      <c r="AT556" s="37" t="str">
        <f aca="false">IF(AO556&lt;&gt;1,"",IFERROR(ROUND(IF(OR(N556="",O556=""),"",IF(O556&lt;N556,"",ROUND(((NETWORKDAYS(N556,O556,JoursFeries)-1)*(HFer-HOuv)+IF(NETWORKDAYS(O556,O556,JoursFeries),MEDIAN(MOD(O556,1),HFer,HOuv),HFer)-IF(NETWORKDAYS(N556,N556,JoursFeries),MEDIAN(MOD(N556,1),HFer,HOuv),HOuv))*24,4)))/HJour,4),""))</f>
        <v/>
      </c>
      <c r="AU556" s="37" t="str">
        <f aca="false">IF(AO556&lt;&gt;1,"",IF(OR(O556="",P556=""),"",IF(P556&lt;O556,"",ROUND(((NETWORKDAYS(O556,P556,JoursFeries)-1)*(HFer-HOuv)+IF(NETWORKDAYS(P556,P556,JoursFeries),MEDIAN(MOD(P556,1),HFer,HOuv),HFer)-IF(NETWORKDAYS(O556,O556,JoursFeries),MEDIAN(MOD(O556,1),HFer,HOuv),HOuv))*24,4))))</f>
        <v/>
      </c>
      <c r="AV556" s="37" t="str">
        <f aca="false">IF(AO556&lt;&gt;1,"",IF(OR(P556="",Q556=""),"",IF(Q556&lt;P556,"",ROUND(((NETWORKDAYS(P556,Q556,JoursFeries)-1)*(HFer-HOuv)+IF(NETWORKDAYS(Q556,Q556,JoursFeries),MEDIAN(MOD(Q556,1),HFer,HOuv),HFer)-IF(NETWORKDAYS(P556,P556,JoursFeries),MEDIAN(MOD(P556,1),HFer,HOuv),HOuv))*24,4))))</f>
        <v/>
      </c>
      <c r="AW556" s="37" t="str">
        <f aca="false">IF(AO556&lt;&gt;1,"",IFERROR(ROUND(IF(OR(P556="",R556=""),"",IF(R556&lt;P556,"",ROUND(((NETWORKDAYS(P556,R556,JoursFeries)-1)*(HFer-HOuv)+IF(NETWORKDAYS(R556,R556,JoursFeries),MEDIAN(MOD(R556,1),HFer,HOuv),HFer)-IF(NETWORKDAYS(P556,P556,JoursFeries),MEDIAN(MOD(P556,1),HFer,HOuv),HOuv))*24,4)))/HJour,4),""))</f>
        <v/>
      </c>
      <c r="AX556" s="37" t="str">
        <f aca="false">IF(AO556&lt;&gt;1,"",IFERROR(ROUND(IF(OR(P556="",S556=""),"",IF(S556&lt;P556,"",ROUND(((NETWORKDAYS(P556,S556,JoursFeries)-1)*(HFer-HOuv)+IF(NETWORKDAYS(S556,S556,JoursFeries),MEDIAN(MOD(S556,1),HFer,HOuv),HFer)-IF(NETWORKDAYS(P556,P556,JoursFeries),MEDIAN(MOD(P556,1),HFer,HOuv),HOuv))*24,4)))/HJour,4),""))</f>
        <v/>
      </c>
      <c r="AY556" s="36" t="str">
        <f aca="false">IF(OR(AO556&lt;&gt;1,AR556=""),"",INDEX(SLA_PEC,AR556))</f>
        <v/>
      </c>
      <c r="AZ556" s="35" t="str">
        <f aca="false">IF(OR(AV556="",AY556=""),"",IF(AV556&lt;=AY556,1,0))</f>
        <v/>
      </c>
      <c r="BA556" s="36" t="str">
        <f aca="false">IF(OR(AO556&lt;&gt;1,AR556=""),"",INDEX(SLA_RES,AR556))</f>
        <v/>
      </c>
      <c r="BB556" s="35" t="str">
        <f aca="false">IF(OR(AW556="",BA556=""),"",IF(AW556&lt;=BA556,1,0))</f>
        <v/>
      </c>
      <c r="BC556" s="38" t="str">
        <f aca="false">IF(OR(BA556="",P556=""),"",WORKDAY(INT(P556),BA556,JoursFeries)+MOD(P556,1))</f>
        <v/>
      </c>
      <c r="BD556" s="39" t="str">
        <f aca="false">IF(AO556&lt;&gt;1,"",IF(OR(AB556&lt;&gt;"",AD556&lt;&gt;""),4,IF(U556&lt;&gt;"",3,IF(T556&lt;&gt;"",2,1))))</f>
        <v/>
      </c>
      <c r="BE556" s="39" t="str">
        <f aca="false">IF(OR(AO556&lt;&gt;1,AR556=""),"",INDEX(NIV_REQ,AR556))</f>
        <v/>
      </c>
      <c r="BF556" s="39" t="str">
        <f aca="false">IF(BE556="","",MAX(BE556,IF(OR(K556="Oui",Z556="Oui"),4,1)))</f>
        <v/>
      </c>
      <c r="BG556" s="35" t="str">
        <f aca="false">IF(OR(BF556="",BD556=""),"",IF(BD556&gt;=BF556,1,0))</f>
        <v/>
      </c>
      <c r="BH556" s="38" t="str">
        <f aca="false">IF(BE556="","",IF(BE556&lt;2,"",IF(BE556=2,IF(AND(T556="",U556=""),"",MIN(T556,U556)),IF(U556="","",U556))))</f>
        <v/>
      </c>
      <c r="BI556" s="37" t="str">
        <f aca="false">IF(BH556="","",IF(OR(O556="",BH556=""),"",IF(BH556&lt;O556,"",ROUND(((NETWORKDAYS(O556,BH556,JoursFeries)-1)*(HFer-HOuv)+IF(NETWORKDAYS(BH556,BH556,JoursFeries),MEDIAN(MOD(BH556,1),HFer,HOuv),HFer)-IF(NETWORKDAYS(O556,O556,JoursFeries),MEDIAN(MOD(O556,1),HFer,HOuv),HOuv))*24,4))))</f>
        <v/>
      </c>
      <c r="BJ556" s="35" t="str">
        <f aca="false">IF(OR(BI556="",AR556=""),"",IF(BI556&lt;=INDEX(DELAI_ESC,AR556),1,0))</f>
        <v/>
      </c>
      <c r="BK556" s="38" t="str">
        <f aca="false">IF(AO556&lt;&gt;1,"",IF(AND(T556="",U556=""),"",MIN(T556,U556)))</f>
        <v/>
      </c>
      <c r="BL556" s="37" t="str">
        <f aca="false">IF(OR(BK556="",R556=""),"",IFERROR(ROUND(IF(OR(BK556="",R556=""),"",IF(R556&lt;BK556,"",ROUND(((NETWORKDAYS(BK556,R556,JoursFeries)-1)*(HFer-HOuv)+IF(NETWORKDAYS(R556,R556,JoursFeries),MEDIAN(MOD(R556,1),HFer,HOuv),HFer)-IF(NETWORKDAYS(BK556,BK556,JoursFeries),MEDIAN(MOD(BK556,1),HFer,HOuv),HOuv))*24,4)))/HJour,4),""))</f>
        <v/>
      </c>
      <c r="BM556" s="35" t="str">
        <f aca="false">IF(OR(AO556&lt;&gt;1,R556=""),"",IF(BD556=1,1,0))</f>
        <v/>
      </c>
      <c r="BN556" s="35" t="str">
        <f aca="false">IF(AO556&lt;&gt;1,"",IF(W556="Oui",1,0))</f>
        <v/>
      </c>
      <c r="BO556" s="35" t="str">
        <f aca="false">IF(AO556&lt;&gt;1,"",IF(X556&lt;&gt;"",1,0))</f>
        <v/>
      </c>
      <c r="BP556" s="35" t="str">
        <f aca="false">IF(AO556&lt;&gt;1,"",IF(Y556="Oui",1,0))</f>
        <v/>
      </c>
      <c r="BQ556" s="35" t="str">
        <f aca="true">IF(OR(AO556&lt;&gt;1,Z556&lt;&gt;"Oui"),"",IF(AB556="",IF(AND(AA556&lt;&gt;"",NOW()&gt;AA556),0,""),IF(AA556="","",IF(AB556&lt;=AA556,1,0))))</f>
        <v/>
      </c>
      <c r="BR556" s="38" t="str">
        <f aca="false">IF(OR(AO556&lt;&gt;1,K556&lt;&gt;"Oui",O556=""),"",IF(AC556="",O556+DORA_H_DET/24,IF(AC556-O556&lt;=DORA_H_DET/24,MIN(AC556+DORA_H_CLA/24,O556+DORA_H_DET/24),AC556+DORA_H_CLA/24)))</f>
        <v/>
      </c>
      <c r="BS556" s="35" t="str">
        <f aca="true">IF(BR556="","",IF(AD556="",IF(NOW()&gt;BR556,0,""),IF(AD556&lt;=BR556,1,0)))</f>
        <v/>
      </c>
      <c r="BT556" s="35" t="str">
        <f aca="true">IF(OR(BR556="",AD556=""),"",IF(AE556="",IF(NOW()&gt;AD556+DORA_H_INT/24,0,""),IF(AE556&lt;=AD556+DORA_H_INT/24,1,0)))</f>
        <v/>
      </c>
      <c r="BU556" s="35" t="str">
        <f aca="true">IF(OR(BR556="",AE556=""),"",IF(AF556="",IF(NOW()&gt;EDATE(AE556,DORA_M_FIN)+1,0,""),IF(AF556&lt;=EDATE(AE556,DORA_M_FIN),1,0)))</f>
        <v/>
      </c>
      <c r="BV556" s="35" t="str">
        <f aca="false">IF(BR556="","",IF(COUNT(BS556:BU556)=0,"",MIN(BS556:BU556)))</f>
        <v/>
      </c>
      <c r="BW556" s="40" t="str">
        <f aca="false">IF(AQ556&lt;&gt;1,"",IF(AND(AG556="",AH556=""),"",N(AG556)-N(AH556)))</f>
        <v/>
      </c>
      <c r="BX556" s="35" t="str">
        <f aca="true">IF(OR(AQ556&lt;&gt;1,AI556&lt;&gt;"Oui",AJ556=""),"",IF(AK556="",IF(NOW()&gt;AJ556+1,0,""),IF(AK556&lt;=AJ556,1,0)))</f>
        <v/>
      </c>
    </row>
    <row r="557" customFormat="false" ht="15" hidden="false" customHeight="false" outlineLevel="0" collapsed="false">
      <c r="B557" s="29"/>
      <c r="C557" s="29"/>
      <c r="D557" s="29"/>
      <c r="E557" s="29"/>
      <c r="F557" s="29"/>
      <c r="G557" s="29"/>
      <c r="H557" s="29"/>
      <c r="I557" s="29"/>
      <c r="J557" s="29"/>
      <c r="K557" s="29"/>
      <c r="L557" s="29"/>
      <c r="M557" s="29"/>
      <c r="N557" s="30"/>
      <c r="O557" s="30"/>
      <c r="P557" s="30"/>
      <c r="Q557" s="30"/>
      <c r="R557" s="30"/>
      <c r="S557" s="30"/>
      <c r="T557" s="30"/>
      <c r="U557" s="30"/>
      <c r="V557" s="31"/>
      <c r="W557" s="29"/>
      <c r="X557" s="29"/>
      <c r="Y557" s="29"/>
      <c r="Z557" s="29"/>
      <c r="AA557" s="30"/>
      <c r="AB557" s="30"/>
      <c r="AC557" s="30"/>
      <c r="AD557" s="30"/>
      <c r="AE557" s="30"/>
      <c r="AF557" s="32"/>
      <c r="AG557" s="33"/>
      <c r="AH557" s="33"/>
      <c r="AI557" s="29"/>
      <c r="AJ557" s="32"/>
      <c r="AK557" s="32"/>
      <c r="AL557" s="29"/>
      <c r="AN557" s="34" t="str">
        <f aca="false">IF($B557="","",IF(OR(C557="",D557="",E557="",G557="",I557="",J557="",L557="",O557="",P557=""),"Champ obligatoire manquant",IF(OR(AND(N557&lt;&gt;"",N557&gt;O557),O557&gt;P557,AND(Q557&lt;&gt;"",Q557&lt;P557),AND(R557&lt;&gt;"",R557&lt;P557),AND(S557&lt;&gt;"",S557&lt;R557),AND(S557&lt;&gt;"",R557=""),AND(T557&lt;&gt;"",T557&lt;O557),AND(U557&lt;&gt;"",U557&lt;O557)),"Chronologie incohérente",IF(AND(OR(L557="Résolu",L557="Clos"),R557=""),"Date de résolution manquante",IF(AND(L557="Clos",S557=""),"Date de clôture manquante",IF(AND(K557="Oui",AC557=""),"Classification DORA manquante","OK"))))))</f>
        <v/>
      </c>
      <c r="AO557" s="35" t="str">
        <f aca="false">IF($B557="","",IF(AND(C557="Incident",L557&lt;&gt;"Annulé"),1,0))</f>
        <v/>
      </c>
      <c r="AP557" s="35" t="str">
        <f aca="false">IF($B557="","",IF(AND(C557="Quasi-incident",L557&lt;&gt;"Annulé"),1,0))</f>
        <v/>
      </c>
      <c r="AQ557" s="35" t="str">
        <f aca="false">IF($B557="","",AO557+AP557)</f>
        <v/>
      </c>
      <c r="AR557" s="36" t="str">
        <f aca="false">IF(OR($B557="",J557=""),"",IFERROR(VALUE(LEFT(J557,1)),""))</f>
        <v/>
      </c>
      <c r="AS557" s="35" t="str">
        <f aca="false">IF(OR(AO557&lt;&gt;1,G557=""),"",IFERROR(IF(INDEX(L_SrcInterne,MATCH(G557,L_Sources,0))="Oui",1,0),""))</f>
        <v/>
      </c>
      <c r="AT557" s="37" t="str">
        <f aca="false">IF(AO557&lt;&gt;1,"",IFERROR(ROUND(IF(OR(N557="",O557=""),"",IF(O557&lt;N557,"",ROUND(((NETWORKDAYS(N557,O557,JoursFeries)-1)*(HFer-HOuv)+IF(NETWORKDAYS(O557,O557,JoursFeries),MEDIAN(MOD(O557,1),HFer,HOuv),HFer)-IF(NETWORKDAYS(N557,N557,JoursFeries),MEDIAN(MOD(N557,1),HFer,HOuv),HOuv))*24,4)))/HJour,4),""))</f>
        <v/>
      </c>
      <c r="AU557" s="37" t="str">
        <f aca="false">IF(AO557&lt;&gt;1,"",IF(OR(O557="",P557=""),"",IF(P557&lt;O557,"",ROUND(((NETWORKDAYS(O557,P557,JoursFeries)-1)*(HFer-HOuv)+IF(NETWORKDAYS(P557,P557,JoursFeries),MEDIAN(MOD(P557,1),HFer,HOuv),HFer)-IF(NETWORKDAYS(O557,O557,JoursFeries),MEDIAN(MOD(O557,1),HFer,HOuv),HOuv))*24,4))))</f>
        <v/>
      </c>
      <c r="AV557" s="37" t="str">
        <f aca="false">IF(AO557&lt;&gt;1,"",IF(OR(P557="",Q557=""),"",IF(Q557&lt;P557,"",ROUND(((NETWORKDAYS(P557,Q557,JoursFeries)-1)*(HFer-HOuv)+IF(NETWORKDAYS(Q557,Q557,JoursFeries),MEDIAN(MOD(Q557,1),HFer,HOuv),HFer)-IF(NETWORKDAYS(P557,P557,JoursFeries),MEDIAN(MOD(P557,1),HFer,HOuv),HOuv))*24,4))))</f>
        <v/>
      </c>
      <c r="AW557" s="37" t="str">
        <f aca="false">IF(AO557&lt;&gt;1,"",IFERROR(ROUND(IF(OR(P557="",R557=""),"",IF(R557&lt;P557,"",ROUND(((NETWORKDAYS(P557,R557,JoursFeries)-1)*(HFer-HOuv)+IF(NETWORKDAYS(R557,R557,JoursFeries),MEDIAN(MOD(R557,1),HFer,HOuv),HFer)-IF(NETWORKDAYS(P557,P557,JoursFeries),MEDIAN(MOD(P557,1),HFer,HOuv),HOuv))*24,4)))/HJour,4),""))</f>
        <v/>
      </c>
      <c r="AX557" s="37" t="str">
        <f aca="false">IF(AO557&lt;&gt;1,"",IFERROR(ROUND(IF(OR(P557="",S557=""),"",IF(S557&lt;P557,"",ROUND(((NETWORKDAYS(P557,S557,JoursFeries)-1)*(HFer-HOuv)+IF(NETWORKDAYS(S557,S557,JoursFeries),MEDIAN(MOD(S557,1),HFer,HOuv),HFer)-IF(NETWORKDAYS(P557,P557,JoursFeries),MEDIAN(MOD(P557,1),HFer,HOuv),HOuv))*24,4)))/HJour,4),""))</f>
        <v/>
      </c>
      <c r="AY557" s="36" t="str">
        <f aca="false">IF(OR(AO557&lt;&gt;1,AR557=""),"",INDEX(SLA_PEC,AR557))</f>
        <v/>
      </c>
      <c r="AZ557" s="35" t="str">
        <f aca="false">IF(OR(AV557="",AY557=""),"",IF(AV557&lt;=AY557,1,0))</f>
        <v/>
      </c>
      <c r="BA557" s="36" t="str">
        <f aca="false">IF(OR(AO557&lt;&gt;1,AR557=""),"",INDEX(SLA_RES,AR557))</f>
        <v/>
      </c>
      <c r="BB557" s="35" t="str">
        <f aca="false">IF(OR(AW557="",BA557=""),"",IF(AW557&lt;=BA557,1,0))</f>
        <v/>
      </c>
      <c r="BC557" s="38" t="str">
        <f aca="false">IF(OR(BA557="",P557=""),"",WORKDAY(INT(P557),BA557,JoursFeries)+MOD(P557,1))</f>
        <v/>
      </c>
      <c r="BD557" s="39" t="str">
        <f aca="false">IF(AO557&lt;&gt;1,"",IF(OR(AB557&lt;&gt;"",AD557&lt;&gt;""),4,IF(U557&lt;&gt;"",3,IF(T557&lt;&gt;"",2,1))))</f>
        <v/>
      </c>
      <c r="BE557" s="39" t="str">
        <f aca="false">IF(OR(AO557&lt;&gt;1,AR557=""),"",INDEX(NIV_REQ,AR557))</f>
        <v/>
      </c>
      <c r="BF557" s="39" t="str">
        <f aca="false">IF(BE557="","",MAX(BE557,IF(OR(K557="Oui",Z557="Oui"),4,1)))</f>
        <v/>
      </c>
      <c r="BG557" s="35" t="str">
        <f aca="false">IF(OR(BF557="",BD557=""),"",IF(BD557&gt;=BF557,1,0))</f>
        <v/>
      </c>
      <c r="BH557" s="38" t="str">
        <f aca="false">IF(BE557="","",IF(BE557&lt;2,"",IF(BE557=2,IF(AND(T557="",U557=""),"",MIN(T557,U557)),IF(U557="","",U557))))</f>
        <v/>
      </c>
      <c r="BI557" s="37" t="str">
        <f aca="false">IF(BH557="","",IF(OR(O557="",BH557=""),"",IF(BH557&lt;O557,"",ROUND(((NETWORKDAYS(O557,BH557,JoursFeries)-1)*(HFer-HOuv)+IF(NETWORKDAYS(BH557,BH557,JoursFeries),MEDIAN(MOD(BH557,1),HFer,HOuv),HFer)-IF(NETWORKDAYS(O557,O557,JoursFeries),MEDIAN(MOD(O557,1),HFer,HOuv),HOuv))*24,4))))</f>
        <v/>
      </c>
      <c r="BJ557" s="35" t="str">
        <f aca="false">IF(OR(BI557="",AR557=""),"",IF(BI557&lt;=INDEX(DELAI_ESC,AR557),1,0))</f>
        <v/>
      </c>
      <c r="BK557" s="38" t="str">
        <f aca="false">IF(AO557&lt;&gt;1,"",IF(AND(T557="",U557=""),"",MIN(T557,U557)))</f>
        <v/>
      </c>
      <c r="BL557" s="37" t="str">
        <f aca="false">IF(OR(BK557="",R557=""),"",IFERROR(ROUND(IF(OR(BK557="",R557=""),"",IF(R557&lt;BK557,"",ROUND(((NETWORKDAYS(BK557,R557,JoursFeries)-1)*(HFer-HOuv)+IF(NETWORKDAYS(R557,R557,JoursFeries),MEDIAN(MOD(R557,1),HFer,HOuv),HFer)-IF(NETWORKDAYS(BK557,BK557,JoursFeries),MEDIAN(MOD(BK557,1),HFer,HOuv),HOuv))*24,4)))/HJour,4),""))</f>
        <v/>
      </c>
      <c r="BM557" s="35" t="str">
        <f aca="false">IF(OR(AO557&lt;&gt;1,R557=""),"",IF(BD557=1,1,0))</f>
        <v/>
      </c>
      <c r="BN557" s="35" t="str">
        <f aca="false">IF(AO557&lt;&gt;1,"",IF(W557="Oui",1,0))</f>
        <v/>
      </c>
      <c r="BO557" s="35" t="str">
        <f aca="false">IF(AO557&lt;&gt;1,"",IF(X557&lt;&gt;"",1,0))</f>
        <v/>
      </c>
      <c r="BP557" s="35" t="str">
        <f aca="false">IF(AO557&lt;&gt;1,"",IF(Y557="Oui",1,0))</f>
        <v/>
      </c>
      <c r="BQ557" s="35" t="str">
        <f aca="true">IF(OR(AO557&lt;&gt;1,Z557&lt;&gt;"Oui"),"",IF(AB557="",IF(AND(AA557&lt;&gt;"",NOW()&gt;AA557),0,""),IF(AA557="","",IF(AB557&lt;=AA557,1,0))))</f>
        <v/>
      </c>
      <c r="BR557" s="38" t="str">
        <f aca="false">IF(OR(AO557&lt;&gt;1,K557&lt;&gt;"Oui",O557=""),"",IF(AC557="",O557+DORA_H_DET/24,IF(AC557-O557&lt;=DORA_H_DET/24,MIN(AC557+DORA_H_CLA/24,O557+DORA_H_DET/24),AC557+DORA_H_CLA/24)))</f>
        <v/>
      </c>
      <c r="BS557" s="35" t="str">
        <f aca="true">IF(BR557="","",IF(AD557="",IF(NOW()&gt;BR557,0,""),IF(AD557&lt;=BR557,1,0)))</f>
        <v/>
      </c>
      <c r="BT557" s="35" t="str">
        <f aca="true">IF(OR(BR557="",AD557=""),"",IF(AE557="",IF(NOW()&gt;AD557+DORA_H_INT/24,0,""),IF(AE557&lt;=AD557+DORA_H_INT/24,1,0)))</f>
        <v/>
      </c>
      <c r="BU557" s="35" t="str">
        <f aca="true">IF(OR(BR557="",AE557=""),"",IF(AF557="",IF(NOW()&gt;EDATE(AE557,DORA_M_FIN)+1,0,""),IF(AF557&lt;=EDATE(AE557,DORA_M_FIN),1,0)))</f>
        <v/>
      </c>
      <c r="BV557" s="35" t="str">
        <f aca="false">IF(BR557="","",IF(COUNT(BS557:BU557)=0,"",MIN(BS557:BU557)))</f>
        <v/>
      </c>
      <c r="BW557" s="40" t="str">
        <f aca="false">IF(AQ557&lt;&gt;1,"",IF(AND(AG557="",AH557=""),"",N(AG557)-N(AH557)))</f>
        <v/>
      </c>
      <c r="BX557" s="35" t="str">
        <f aca="true">IF(OR(AQ557&lt;&gt;1,AI557&lt;&gt;"Oui",AJ557=""),"",IF(AK557="",IF(NOW()&gt;AJ557+1,0,""),IF(AK557&lt;=AJ557,1,0)))</f>
        <v/>
      </c>
    </row>
    <row r="558" customFormat="false" ht="15" hidden="false" customHeight="false" outlineLevel="0" collapsed="false">
      <c r="B558" s="29"/>
      <c r="C558" s="29"/>
      <c r="D558" s="29"/>
      <c r="E558" s="29"/>
      <c r="F558" s="29"/>
      <c r="G558" s="29"/>
      <c r="H558" s="29"/>
      <c r="I558" s="29"/>
      <c r="J558" s="29"/>
      <c r="K558" s="29"/>
      <c r="L558" s="29"/>
      <c r="M558" s="29"/>
      <c r="N558" s="30"/>
      <c r="O558" s="30"/>
      <c r="P558" s="30"/>
      <c r="Q558" s="30"/>
      <c r="R558" s="30"/>
      <c r="S558" s="30"/>
      <c r="T558" s="30"/>
      <c r="U558" s="30"/>
      <c r="V558" s="31"/>
      <c r="W558" s="29"/>
      <c r="X558" s="29"/>
      <c r="Y558" s="29"/>
      <c r="Z558" s="29"/>
      <c r="AA558" s="30"/>
      <c r="AB558" s="30"/>
      <c r="AC558" s="30"/>
      <c r="AD558" s="30"/>
      <c r="AE558" s="30"/>
      <c r="AF558" s="32"/>
      <c r="AG558" s="33"/>
      <c r="AH558" s="33"/>
      <c r="AI558" s="29"/>
      <c r="AJ558" s="32"/>
      <c r="AK558" s="32"/>
      <c r="AL558" s="29"/>
      <c r="AN558" s="34" t="str">
        <f aca="false">IF($B558="","",IF(OR(C558="",D558="",E558="",G558="",I558="",J558="",L558="",O558="",P558=""),"Champ obligatoire manquant",IF(OR(AND(N558&lt;&gt;"",N558&gt;O558),O558&gt;P558,AND(Q558&lt;&gt;"",Q558&lt;P558),AND(R558&lt;&gt;"",R558&lt;P558),AND(S558&lt;&gt;"",S558&lt;R558),AND(S558&lt;&gt;"",R558=""),AND(T558&lt;&gt;"",T558&lt;O558),AND(U558&lt;&gt;"",U558&lt;O558)),"Chronologie incohérente",IF(AND(OR(L558="Résolu",L558="Clos"),R558=""),"Date de résolution manquante",IF(AND(L558="Clos",S558=""),"Date de clôture manquante",IF(AND(K558="Oui",AC558=""),"Classification DORA manquante","OK"))))))</f>
        <v/>
      </c>
      <c r="AO558" s="35" t="str">
        <f aca="false">IF($B558="","",IF(AND(C558="Incident",L558&lt;&gt;"Annulé"),1,0))</f>
        <v/>
      </c>
      <c r="AP558" s="35" t="str">
        <f aca="false">IF($B558="","",IF(AND(C558="Quasi-incident",L558&lt;&gt;"Annulé"),1,0))</f>
        <v/>
      </c>
      <c r="AQ558" s="35" t="str">
        <f aca="false">IF($B558="","",AO558+AP558)</f>
        <v/>
      </c>
      <c r="AR558" s="36" t="str">
        <f aca="false">IF(OR($B558="",J558=""),"",IFERROR(VALUE(LEFT(J558,1)),""))</f>
        <v/>
      </c>
      <c r="AS558" s="35" t="str">
        <f aca="false">IF(OR(AO558&lt;&gt;1,G558=""),"",IFERROR(IF(INDEX(L_SrcInterne,MATCH(G558,L_Sources,0))="Oui",1,0),""))</f>
        <v/>
      </c>
      <c r="AT558" s="37" t="str">
        <f aca="false">IF(AO558&lt;&gt;1,"",IFERROR(ROUND(IF(OR(N558="",O558=""),"",IF(O558&lt;N558,"",ROUND(((NETWORKDAYS(N558,O558,JoursFeries)-1)*(HFer-HOuv)+IF(NETWORKDAYS(O558,O558,JoursFeries),MEDIAN(MOD(O558,1),HFer,HOuv),HFer)-IF(NETWORKDAYS(N558,N558,JoursFeries),MEDIAN(MOD(N558,1),HFer,HOuv),HOuv))*24,4)))/HJour,4),""))</f>
        <v/>
      </c>
      <c r="AU558" s="37" t="str">
        <f aca="false">IF(AO558&lt;&gt;1,"",IF(OR(O558="",P558=""),"",IF(P558&lt;O558,"",ROUND(((NETWORKDAYS(O558,P558,JoursFeries)-1)*(HFer-HOuv)+IF(NETWORKDAYS(P558,P558,JoursFeries),MEDIAN(MOD(P558,1),HFer,HOuv),HFer)-IF(NETWORKDAYS(O558,O558,JoursFeries),MEDIAN(MOD(O558,1),HFer,HOuv),HOuv))*24,4))))</f>
        <v/>
      </c>
      <c r="AV558" s="37" t="str">
        <f aca="false">IF(AO558&lt;&gt;1,"",IF(OR(P558="",Q558=""),"",IF(Q558&lt;P558,"",ROUND(((NETWORKDAYS(P558,Q558,JoursFeries)-1)*(HFer-HOuv)+IF(NETWORKDAYS(Q558,Q558,JoursFeries),MEDIAN(MOD(Q558,1),HFer,HOuv),HFer)-IF(NETWORKDAYS(P558,P558,JoursFeries),MEDIAN(MOD(P558,1),HFer,HOuv),HOuv))*24,4))))</f>
        <v/>
      </c>
      <c r="AW558" s="37" t="str">
        <f aca="false">IF(AO558&lt;&gt;1,"",IFERROR(ROUND(IF(OR(P558="",R558=""),"",IF(R558&lt;P558,"",ROUND(((NETWORKDAYS(P558,R558,JoursFeries)-1)*(HFer-HOuv)+IF(NETWORKDAYS(R558,R558,JoursFeries),MEDIAN(MOD(R558,1),HFer,HOuv),HFer)-IF(NETWORKDAYS(P558,P558,JoursFeries),MEDIAN(MOD(P558,1),HFer,HOuv),HOuv))*24,4)))/HJour,4),""))</f>
        <v/>
      </c>
      <c r="AX558" s="37" t="str">
        <f aca="false">IF(AO558&lt;&gt;1,"",IFERROR(ROUND(IF(OR(P558="",S558=""),"",IF(S558&lt;P558,"",ROUND(((NETWORKDAYS(P558,S558,JoursFeries)-1)*(HFer-HOuv)+IF(NETWORKDAYS(S558,S558,JoursFeries),MEDIAN(MOD(S558,1),HFer,HOuv),HFer)-IF(NETWORKDAYS(P558,P558,JoursFeries),MEDIAN(MOD(P558,1),HFer,HOuv),HOuv))*24,4)))/HJour,4),""))</f>
        <v/>
      </c>
      <c r="AY558" s="36" t="str">
        <f aca="false">IF(OR(AO558&lt;&gt;1,AR558=""),"",INDEX(SLA_PEC,AR558))</f>
        <v/>
      </c>
      <c r="AZ558" s="35" t="str">
        <f aca="false">IF(OR(AV558="",AY558=""),"",IF(AV558&lt;=AY558,1,0))</f>
        <v/>
      </c>
      <c r="BA558" s="36" t="str">
        <f aca="false">IF(OR(AO558&lt;&gt;1,AR558=""),"",INDEX(SLA_RES,AR558))</f>
        <v/>
      </c>
      <c r="BB558" s="35" t="str">
        <f aca="false">IF(OR(AW558="",BA558=""),"",IF(AW558&lt;=BA558,1,0))</f>
        <v/>
      </c>
      <c r="BC558" s="38" t="str">
        <f aca="false">IF(OR(BA558="",P558=""),"",WORKDAY(INT(P558),BA558,JoursFeries)+MOD(P558,1))</f>
        <v/>
      </c>
      <c r="BD558" s="39" t="str">
        <f aca="false">IF(AO558&lt;&gt;1,"",IF(OR(AB558&lt;&gt;"",AD558&lt;&gt;""),4,IF(U558&lt;&gt;"",3,IF(T558&lt;&gt;"",2,1))))</f>
        <v/>
      </c>
      <c r="BE558" s="39" t="str">
        <f aca="false">IF(OR(AO558&lt;&gt;1,AR558=""),"",INDEX(NIV_REQ,AR558))</f>
        <v/>
      </c>
      <c r="BF558" s="39" t="str">
        <f aca="false">IF(BE558="","",MAX(BE558,IF(OR(K558="Oui",Z558="Oui"),4,1)))</f>
        <v/>
      </c>
      <c r="BG558" s="35" t="str">
        <f aca="false">IF(OR(BF558="",BD558=""),"",IF(BD558&gt;=BF558,1,0))</f>
        <v/>
      </c>
      <c r="BH558" s="38" t="str">
        <f aca="false">IF(BE558="","",IF(BE558&lt;2,"",IF(BE558=2,IF(AND(T558="",U558=""),"",MIN(T558,U558)),IF(U558="","",U558))))</f>
        <v/>
      </c>
      <c r="BI558" s="37" t="str">
        <f aca="false">IF(BH558="","",IF(OR(O558="",BH558=""),"",IF(BH558&lt;O558,"",ROUND(((NETWORKDAYS(O558,BH558,JoursFeries)-1)*(HFer-HOuv)+IF(NETWORKDAYS(BH558,BH558,JoursFeries),MEDIAN(MOD(BH558,1),HFer,HOuv),HFer)-IF(NETWORKDAYS(O558,O558,JoursFeries),MEDIAN(MOD(O558,1),HFer,HOuv),HOuv))*24,4))))</f>
        <v/>
      </c>
      <c r="BJ558" s="35" t="str">
        <f aca="false">IF(OR(BI558="",AR558=""),"",IF(BI558&lt;=INDEX(DELAI_ESC,AR558),1,0))</f>
        <v/>
      </c>
      <c r="BK558" s="38" t="str">
        <f aca="false">IF(AO558&lt;&gt;1,"",IF(AND(T558="",U558=""),"",MIN(T558,U558)))</f>
        <v/>
      </c>
      <c r="BL558" s="37" t="str">
        <f aca="false">IF(OR(BK558="",R558=""),"",IFERROR(ROUND(IF(OR(BK558="",R558=""),"",IF(R558&lt;BK558,"",ROUND(((NETWORKDAYS(BK558,R558,JoursFeries)-1)*(HFer-HOuv)+IF(NETWORKDAYS(R558,R558,JoursFeries),MEDIAN(MOD(R558,1),HFer,HOuv),HFer)-IF(NETWORKDAYS(BK558,BK558,JoursFeries),MEDIAN(MOD(BK558,1),HFer,HOuv),HOuv))*24,4)))/HJour,4),""))</f>
        <v/>
      </c>
      <c r="BM558" s="35" t="str">
        <f aca="false">IF(OR(AO558&lt;&gt;1,R558=""),"",IF(BD558=1,1,0))</f>
        <v/>
      </c>
      <c r="BN558" s="35" t="str">
        <f aca="false">IF(AO558&lt;&gt;1,"",IF(W558="Oui",1,0))</f>
        <v/>
      </c>
      <c r="BO558" s="35" t="str">
        <f aca="false">IF(AO558&lt;&gt;1,"",IF(X558&lt;&gt;"",1,0))</f>
        <v/>
      </c>
      <c r="BP558" s="35" t="str">
        <f aca="false">IF(AO558&lt;&gt;1,"",IF(Y558="Oui",1,0))</f>
        <v/>
      </c>
      <c r="BQ558" s="35" t="str">
        <f aca="true">IF(OR(AO558&lt;&gt;1,Z558&lt;&gt;"Oui"),"",IF(AB558="",IF(AND(AA558&lt;&gt;"",NOW()&gt;AA558),0,""),IF(AA558="","",IF(AB558&lt;=AA558,1,0))))</f>
        <v/>
      </c>
      <c r="BR558" s="38" t="str">
        <f aca="false">IF(OR(AO558&lt;&gt;1,K558&lt;&gt;"Oui",O558=""),"",IF(AC558="",O558+DORA_H_DET/24,IF(AC558-O558&lt;=DORA_H_DET/24,MIN(AC558+DORA_H_CLA/24,O558+DORA_H_DET/24),AC558+DORA_H_CLA/24)))</f>
        <v/>
      </c>
      <c r="BS558" s="35" t="str">
        <f aca="true">IF(BR558="","",IF(AD558="",IF(NOW()&gt;BR558,0,""),IF(AD558&lt;=BR558,1,0)))</f>
        <v/>
      </c>
      <c r="BT558" s="35" t="str">
        <f aca="true">IF(OR(BR558="",AD558=""),"",IF(AE558="",IF(NOW()&gt;AD558+DORA_H_INT/24,0,""),IF(AE558&lt;=AD558+DORA_H_INT/24,1,0)))</f>
        <v/>
      </c>
      <c r="BU558" s="35" t="str">
        <f aca="true">IF(OR(BR558="",AE558=""),"",IF(AF558="",IF(NOW()&gt;EDATE(AE558,DORA_M_FIN)+1,0,""),IF(AF558&lt;=EDATE(AE558,DORA_M_FIN),1,0)))</f>
        <v/>
      </c>
      <c r="BV558" s="35" t="str">
        <f aca="false">IF(BR558="","",IF(COUNT(BS558:BU558)=0,"",MIN(BS558:BU558)))</f>
        <v/>
      </c>
      <c r="BW558" s="40" t="str">
        <f aca="false">IF(AQ558&lt;&gt;1,"",IF(AND(AG558="",AH558=""),"",N(AG558)-N(AH558)))</f>
        <v/>
      </c>
      <c r="BX558" s="35" t="str">
        <f aca="true">IF(OR(AQ558&lt;&gt;1,AI558&lt;&gt;"Oui",AJ558=""),"",IF(AK558="",IF(NOW()&gt;AJ558+1,0,""),IF(AK558&lt;=AJ558,1,0)))</f>
        <v/>
      </c>
    </row>
    <row r="559" customFormat="false" ht="15" hidden="false" customHeight="false" outlineLevel="0" collapsed="false">
      <c r="B559" s="29"/>
      <c r="C559" s="29"/>
      <c r="D559" s="29"/>
      <c r="E559" s="29"/>
      <c r="F559" s="29"/>
      <c r="G559" s="29"/>
      <c r="H559" s="29"/>
      <c r="I559" s="29"/>
      <c r="J559" s="29"/>
      <c r="K559" s="29"/>
      <c r="L559" s="29"/>
      <c r="M559" s="29"/>
      <c r="N559" s="30"/>
      <c r="O559" s="30"/>
      <c r="P559" s="30"/>
      <c r="Q559" s="30"/>
      <c r="R559" s="30"/>
      <c r="S559" s="30"/>
      <c r="T559" s="30"/>
      <c r="U559" s="30"/>
      <c r="V559" s="31"/>
      <c r="W559" s="29"/>
      <c r="X559" s="29"/>
      <c r="Y559" s="29"/>
      <c r="Z559" s="29"/>
      <c r="AA559" s="30"/>
      <c r="AB559" s="30"/>
      <c r="AC559" s="30"/>
      <c r="AD559" s="30"/>
      <c r="AE559" s="30"/>
      <c r="AF559" s="32"/>
      <c r="AG559" s="33"/>
      <c r="AH559" s="33"/>
      <c r="AI559" s="29"/>
      <c r="AJ559" s="32"/>
      <c r="AK559" s="32"/>
      <c r="AL559" s="29"/>
      <c r="AN559" s="34" t="str">
        <f aca="false">IF($B559="","",IF(OR(C559="",D559="",E559="",G559="",I559="",J559="",L559="",O559="",P559=""),"Champ obligatoire manquant",IF(OR(AND(N559&lt;&gt;"",N559&gt;O559),O559&gt;P559,AND(Q559&lt;&gt;"",Q559&lt;P559),AND(R559&lt;&gt;"",R559&lt;P559),AND(S559&lt;&gt;"",S559&lt;R559),AND(S559&lt;&gt;"",R559=""),AND(T559&lt;&gt;"",T559&lt;O559),AND(U559&lt;&gt;"",U559&lt;O559)),"Chronologie incohérente",IF(AND(OR(L559="Résolu",L559="Clos"),R559=""),"Date de résolution manquante",IF(AND(L559="Clos",S559=""),"Date de clôture manquante",IF(AND(K559="Oui",AC559=""),"Classification DORA manquante","OK"))))))</f>
        <v/>
      </c>
      <c r="AO559" s="35" t="str">
        <f aca="false">IF($B559="","",IF(AND(C559="Incident",L559&lt;&gt;"Annulé"),1,0))</f>
        <v/>
      </c>
      <c r="AP559" s="35" t="str">
        <f aca="false">IF($B559="","",IF(AND(C559="Quasi-incident",L559&lt;&gt;"Annulé"),1,0))</f>
        <v/>
      </c>
      <c r="AQ559" s="35" t="str">
        <f aca="false">IF($B559="","",AO559+AP559)</f>
        <v/>
      </c>
      <c r="AR559" s="36" t="str">
        <f aca="false">IF(OR($B559="",J559=""),"",IFERROR(VALUE(LEFT(J559,1)),""))</f>
        <v/>
      </c>
      <c r="AS559" s="35" t="str">
        <f aca="false">IF(OR(AO559&lt;&gt;1,G559=""),"",IFERROR(IF(INDEX(L_SrcInterne,MATCH(G559,L_Sources,0))="Oui",1,0),""))</f>
        <v/>
      </c>
      <c r="AT559" s="37" t="str">
        <f aca="false">IF(AO559&lt;&gt;1,"",IFERROR(ROUND(IF(OR(N559="",O559=""),"",IF(O559&lt;N559,"",ROUND(((NETWORKDAYS(N559,O559,JoursFeries)-1)*(HFer-HOuv)+IF(NETWORKDAYS(O559,O559,JoursFeries),MEDIAN(MOD(O559,1),HFer,HOuv),HFer)-IF(NETWORKDAYS(N559,N559,JoursFeries),MEDIAN(MOD(N559,1),HFer,HOuv),HOuv))*24,4)))/HJour,4),""))</f>
        <v/>
      </c>
      <c r="AU559" s="37" t="str">
        <f aca="false">IF(AO559&lt;&gt;1,"",IF(OR(O559="",P559=""),"",IF(P559&lt;O559,"",ROUND(((NETWORKDAYS(O559,P559,JoursFeries)-1)*(HFer-HOuv)+IF(NETWORKDAYS(P559,P559,JoursFeries),MEDIAN(MOD(P559,1),HFer,HOuv),HFer)-IF(NETWORKDAYS(O559,O559,JoursFeries),MEDIAN(MOD(O559,1),HFer,HOuv),HOuv))*24,4))))</f>
        <v/>
      </c>
      <c r="AV559" s="37" t="str">
        <f aca="false">IF(AO559&lt;&gt;1,"",IF(OR(P559="",Q559=""),"",IF(Q559&lt;P559,"",ROUND(((NETWORKDAYS(P559,Q559,JoursFeries)-1)*(HFer-HOuv)+IF(NETWORKDAYS(Q559,Q559,JoursFeries),MEDIAN(MOD(Q559,1),HFer,HOuv),HFer)-IF(NETWORKDAYS(P559,P559,JoursFeries),MEDIAN(MOD(P559,1),HFer,HOuv),HOuv))*24,4))))</f>
        <v/>
      </c>
      <c r="AW559" s="37" t="str">
        <f aca="false">IF(AO559&lt;&gt;1,"",IFERROR(ROUND(IF(OR(P559="",R559=""),"",IF(R559&lt;P559,"",ROUND(((NETWORKDAYS(P559,R559,JoursFeries)-1)*(HFer-HOuv)+IF(NETWORKDAYS(R559,R559,JoursFeries),MEDIAN(MOD(R559,1),HFer,HOuv),HFer)-IF(NETWORKDAYS(P559,P559,JoursFeries),MEDIAN(MOD(P559,1),HFer,HOuv),HOuv))*24,4)))/HJour,4),""))</f>
        <v/>
      </c>
      <c r="AX559" s="37" t="str">
        <f aca="false">IF(AO559&lt;&gt;1,"",IFERROR(ROUND(IF(OR(P559="",S559=""),"",IF(S559&lt;P559,"",ROUND(((NETWORKDAYS(P559,S559,JoursFeries)-1)*(HFer-HOuv)+IF(NETWORKDAYS(S559,S559,JoursFeries),MEDIAN(MOD(S559,1),HFer,HOuv),HFer)-IF(NETWORKDAYS(P559,P559,JoursFeries),MEDIAN(MOD(P559,1),HFer,HOuv),HOuv))*24,4)))/HJour,4),""))</f>
        <v/>
      </c>
      <c r="AY559" s="36" t="str">
        <f aca="false">IF(OR(AO559&lt;&gt;1,AR559=""),"",INDEX(SLA_PEC,AR559))</f>
        <v/>
      </c>
      <c r="AZ559" s="35" t="str">
        <f aca="false">IF(OR(AV559="",AY559=""),"",IF(AV559&lt;=AY559,1,0))</f>
        <v/>
      </c>
      <c r="BA559" s="36" t="str">
        <f aca="false">IF(OR(AO559&lt;&gt;1,AR559=""),"",INDEX(SLA_RES,AR559))</f>
        <v/>
      </c>
      <c r="BB559" s="35" t="str">
        <f aca="false">IF(OR(AW559="",BA559=""),"",IF(AW559&lt;=BA559,1,0))</f>
        <v/>
      </c>
      <c r="BC559" s="38" t="str">
        <f aca="false">IF(OR(BA559="",P559=""),"",WORKDAY(INT(P559),BA559,JoursFeries)+MOD(P559,1))</f>
        <v/>
      </c>
      <c r="BD559" s="39" t="str">
        <f aca="false">IF(AO559&lt;&gt;1,"",IF(OR(AB559&lt;&gt;"",AD559&lt;&gt;""),4,IF(U559&lt;&gt;"",3,IF(T559&lt;&gt;"",2,1))))</f>
        <v/>
      </c>
      <c r="BE559" s="39" t="str">
        <f aca="false">IF(OR(AO559&lt;&gt;1,AR559=""),"",INDEX(NIV_REQ,AR559))</f>
        <v/>
      </c>
      <c r="BF559" s="39" t="str">
        <f aca="false">IF(BE559="","",MAX(BE559,IF(OR(K559="Oui",Z559="Oui"),4,1)))</f>
        <v/>
      </c>
      <c r="BG559" s="35" t="str">
        <f aca="false">IF(OR(BF559="",BD559=""),"",IF(BD559&gt;=BF559,1,0))</f>
        <v/>
      </c>
      <c r="BH559" s="38" t="str">
        <f aca="false">IF(BE559="","",IF(BE559&lt;2,"",IF(BE559=2,IF(AND(T559="",U559=""),"",MIN(T559,U559)),IF(U559="","",U559))))</f>
        <v/>
      </c>
      <c r="BI559" s="37" t="str">
        <f aca="false">IF(BH559="","",IF(OR(O559="",BH559=""),"",IF(BH559&lt;O559,"",ROUND(((NETWORKDAYS(O559,BH559,JoursFeries)-1)*(HFer-HOuv)+IF(NETWORKDAYS(BH559,BH559,JoursFeries),MEDIAN(MOD(BH559,1),HFer,HOuv),HFer)-IF(NETWORKDAYS(O559,O559,JoursFeries),MEDIAN(MOD(O559,1),HFer,HOuv),HOuv))*24,4))))</f>
        <v/>
      </c>
      <c r="BJ559" s="35" t="str">
        <f aca="false">IF(OR(BI559="",AR559=""),"",IF(BI559&lt;=INDEX(DELAI_ESC,AR559),1,0))</f>
        <v/>
      </c>
      <c r="BK559" s="38" t="str">
        <f aca="false">IF(AO559&lt;&gt;1,"",IF(AND(T559="",U559=""),"",MIN(T559,U559)))</f>
        <v/>
      </c>
      <c r="BL559" s="37" t="str">
        <f aca="false">IF(OR(BK559="",R559=""),"",IFERROR(ROUND(IF(OR(BK559="",R559=""),"",IF(R559&lt;BK559,"",ROUND(((NETWORKDAYS(BK559,R559,JoursFeries)-1)*(HFer-HOuv)+IF(NETWORKDAYS(R559,R559,JoursFeries),MEDIAN(MOD(R559,1),HFer,HOuv),HFer)-IF(NETWORKDAYS(BK559,BK559,JoursFeries),MEDIAN(MOD(BK559,1),HFer,HOuv),HOuv))*24,4)))/HJour,4),""))</f>
        <v/>
      </c>
      <c r="BM559" s="35" t="str">
        <f aca="false">IF(OR(AO559&lt;&gt;1,R559=""),"",IF(BD559=1,1,0))</f>
        <v/>
      </c>
      <c r="BN559" s="35" t="str">
        <f aca="false">IF(AO559&lt;&gt;1,"",IF(W559="Oui",1,0))</f>
        <v/>
      </c>
      <c r="BO559" s="35" t="str">
        <f aca="false">IF(AO559&lt;&gt;1,"",IF(X559&lt;&gt;"",1,0))</f>
        <v/>
      </c>
      <c r="BP559" s="35" t="str">
        <f aca="false">IF(AO559&lt;&gt;1,"",IF(Y559="Oui",1,0))</f>
        <v/>
      </c>
      <c r="BQ559" s="35" t="str">
        <f aca="true">IF(OR(AO559&lt;&gt;1,Z559&lt;&gt;"Oui"),"",IF(AB559="",IF(AND(AA559&lt;&gt;"",NOW()&gt;AA559),0,""),IF(AA559="","",IF(AB559&lt;=AA559,1,0))))</f>
        <v/>
      </c>
      <c r="BR559" s="38" t="str">
        <f aca="false">IF(OR(AO559&lt;&gt;1,K559&lt;&gt;"Oui",O559=""),"",IF(AC559="",O559+DORA_H_DET/24,IF(AC559-O559&lt;=DORA_H_DET/24,MIN(AC559+DORA_H_CLA/24,O559+DORA_H_DET/24),AC559+DORA_H_CLA/24)))</f>
        <v/>
      </c>
      <c r="BS559" s="35" t="str">
        <f aca="true">IF(BR559="","",IF(AD559="",IF(NOW()&gt;BR559,0,""),IF(AD559&lt;=BR559,1,0)))</f>
        <v/>
      </c>
      <c r="BT559" s="35" t="str">
        <f aca="true">IF(OR(BR559="",AD559=""),"",IF(AE559="",IF(NOW()&gt;AD559+DORA_H_INT/24,0,""),IF(AE559&lt;=AD559+DORA_H_INT/24,1,0)))</f>
        <v/>
      </c>
      <c r="BU559" s="35" t="str">
        <f aca="true">IF(OR(BR559="",AE559=""),"",IF(AF559="",IF(NOW()&gt;EDATE(AE559,DORA_M_FIN)+1,0,""),IF(AF559&lt;=EDATE(AE559,DORA_M_FIN),1,0)))</f>
        <v/>
      </c>
      <c r="BV559" s="35" t="str">
        <f aca="false">IF(BR559="","",IF(COUNT(BS559:BU559)=0,"",MIN(BS559:BU559)))</f>
        <v/>
      </c>
      <c r="BW559" s="40" t="str">
        <f aca="false">IF(AQ559&lt;&gt;1,"",IF(AND(AG559="",AH559=""),"",N(AG559)-N(AH559)))</f>
        <v/>
      </c>
      <c r="BX559" s="35" t="str">
        <f aca="true">IF(OR(AQ559&lt;&gt;1,AI559&lt;&gt;"Oui",AJ559=""),"",IF(AK559="",IF(NOW()&gt;AJ559+1,0,""),IF(AK559&lt;=AJ559,1,0)))</f>
        <v/>
      </c>
    </row>
    <row r="560" customFormat="false" ht="15" hidden="false" customHeight="false" outlineLevel="0" collapsed="false">
      <c r="B560" s="29"/>
      <c r="C560" s="29"/>
      <c r="D560" s="29"/>
      <c r="E560" s="29"/>
      <c r="F560" s="29"/>
      <c r="G560" s="29"/>
      <c r="H560" s="29"/>
      <c r="I560" s="29"/>
      <c r="J560" s="29"/>
      <c r="K560" s="29"/>
      <c r="L560" s="29"/>
      <c r="M560" s="29"/>
      <c r="N560" s="30"/>
      <c r="O560" s="30"/>
      <c r="P560" s="30"/>
      <c r="Q560" s="30"/>
      <c r="R560" s="30"/>
      <c r="S560" s="30"/>
      <c r="T560" s="30"/>
      <c r="U560" s="30"/>
      <c r="V560" s="31"/>
      <c r="W560" s="29"/>
      <c r="X560" s="29"/>
      <c r="Y560" s="29"/>
      <c r="Z560" s="29"/>
      <c r="AA560" s="30"/>
      <c r="AB560" s="30"/>
      <c r="AC560" s="30"/>
      <c r="AD560" s="30"/>
      <c r="AE560" s="30"/>
      <c r="AF560" s="32"/>
      <c r="AG560" s="33"/>
      <c r="AH560" s="33"/>
      <c r="AI560" s="29"/>
      <c r="AJ560" s="32"/>
      <c r="AK560" s="32"/>
      <c r="AL560" s="29"/>
      <c r="AN560" s="34" t="str">
        <f aca="false">IF($B560="","",IF(OR(C560="",D560="",E560="",G560="",I560="",J560="",L560="",O560="",P560=""),"Champ obligatoire manquant",IF(OR(AND(N560&lt;&gt;"",N560&gt;O560),O560&gt;P560,AND(Q560&lt;&gt;"",Q560&lt;P560),AND(R560&lt;&gt;"",R560&lt;P560),AND(S560&lt;&gt;"",S560&lt;R560),AND(S560&lt;&gt;"",R560=""),AND(T560&lt;&gt;"",T560&lt;O560),AND(U560&lt;&gt;"",U560&lt;O560)),"Chronologie incohérente",IF(AND(OR(L560="Résolu",L560="Clos"),R560=""),"Date de résolution manquante",IF(AND(L560="Clos",S560=""),"Date de clôture manquante",IF(AND(K560="Oui",AC560=""),"Classification DORA manquante","OK"))))))</f>
        <v/>
      </c>
      <c r="AO560" s="35" t="str">
        <f aca="false">IF($B560="","",IF(AND(C560="Incident",L560&lt;&gt;"Annulé"),1,0))</f>
        <v/>
      </c>
      <c r="AP560" s="35" t="str">
        <f aca="false">IF($B560="","",IF(AND(C560="Quasi-incident",L560&lt;&gt;"Annulé"),1,0))</f>
        <v/>
      </c>
      <c r="AQ560" s="35" t="str">
        <f aca="false">IF($B560="","",AO560+AP560)</f>
        <v/>
      </c>
      <c r="AR560" s="36" t="str">
        <f aca="false">IF(OR($B560="",J560=""),"",IFERROR(VALUE(LEFT(J560,1)),""))</f>
        <v/>
      </c>
      <c r="AS560" s="35" t="str">
        <f aca="false">IF(OR(AO560&lt;&gt;1,G560=""),"",IFERROR(IF(INDEX(L_SrcInterne,MATCH(G560,L_Sources,0))="Oui",1,0),""))</f>
        <v/>
      </c>
      <c r="AT560" s="37" t="str">
        <f aca="false">IF(AO560&lt;&gt;1,"",IFERROR(ROUND(IF(OR(N560="",O560=""),"",IF(O560&lt;N560,"",ROUND(((NETWORKDAYS(N560,O560,JoursFeries)-1)*(HFer-HOuv)+IF(NETWORKDAYS(O560,O560,JoursFeries),MEDIAN(MOD(O560,1),HFer,HOuv),HFer)-IF(NETWORKDAYS(N560,N560,JoursFeries),MEDIAN(MOD(N560,1),HFer,HOuv),HOuv))*24,4)))/HJour,4),""))</f>
        <v/>
      </c>
      <c r="AU560" s="37" t="str">
        <f aca="false">IF(AO560&lt;&gt;1,"",IF(OR(O560="",P560=""),"",IF(P560&lt;O560,"",ROUND(((NETWORKDAYS(O560,P560,JoursFeries)-1)*(HFer-HOuv)+IF(NETWORKDAYS(P560,P560,JoursFeries),MEDIAN(MOD(P560,1),HFer,HOuv),HFer)-IF(NETWORKDAYS(O560,O560,JoursFeries),MEDIAN(MOD(O560,1),HFer,HOuv),HOuv))*24,4))))</f>
        <v/>
      </c>
      <c r="AV560" s="37" t="str">
        <f aca="false">IF(AO560&lt;&gt;1,"",IF(OR(P560="",Q560=""),"",IF(Q560&lt;P560,"",ROUND(((NETWORKDAYS(P560,Q560,JoursFeries)-1)*(HFer-HOuv)+IF(NETWORKDAYS(Q560,Q560,JoursFeries),MEDIAN(MOD(Q560,1),HFer,HOuv),HFer)-IF(NETWORKDAYS(P560,P560,JoursFeries),MEDIAN(MOD(P560,1),HFer,HOuv),HOuv))*24,4))))</f>
        <v/>
      </c>
      <c r="AW560" s="37" t="str">
        <f aca="false">IF(AO560&lt;&gt;1,"",IFERROR(ROUND(IF(OR(P560="",R560=""),"",IF(R560&lt;P560,"",ROUND(((NETWORKDAYS(P560,R560,JoursFeries)-1)*(HFer-HOuv)+IF(NETWORKDAYS(R560,R560,JoursFeries),MEDIAN(MOD(R560,1),HFer,HOuv),HFer)-IF(NETWORKDAYS(P560,P560,JoursFeries),MEDIAN(MOD(P560,1),HFer,HOuv),HOuv))*24,4)))/HJour,4),""))</f>
        <v/>
      </c>
      <c r="AX560" s="37" t="str">
        <f aca="false">IF(AO560&lt;&gt;1,"",IFERROR(ROUND(IF(OR(P560="",S560=""),"",IF(S560&lt;P560,"",ROUND(((NETWORKDAYS(P560,S560,JoursFeries)-1)*(HFer-HOuv)+IF(NETWORKDAYS(S560,S560,JoursFeries),MEDIAN(MOD(S560,1),HFer,HOuv),HFer)-IF(NETWORKDAYS(P560,P560,JoursFeries),MEDIAN(MOD(P560,1),HFer,HOuv),HOuv))*24,4)))/HJour,4),""))</f>
        <v/>
      </c>
      <c r="AY560" s="36" t="str">
        <f aca="false">IF(OR(AO560&lt;&gt;1,AR560=""),"",INDEX(SLA_PEC,AR560))</f>
        <v/>
      </c>
      <c r="AZ560" s="35" t="str">
        <f aca="false">IF(OR(AV560="",AY560=""),"",IF(AV560&lt;=AY560,1,0))</f>
        <v/>
      </c>
      <c r="BA560" s="36" t="str">
        <f aca="false">IF(OR(AO560&lt;&gt;1,AR560=""),"",INDEX(SLA_RES,AR560))</f>
        <v/>
      </c>
      <c r="BB560" s="35" t="str">
        <f aca="false">IF(OR(AW560="",BA560=""),"",IF(AW560&lt;=BA560,1,0))</f>
        <v/>
      </c>
      <c r="BC560" s="38" t="str">
        <f aca="false">IF(OR(BA560="",P560=""),"",WORKDAY(INT(P560),BA560,JoursFeries)+MOD(P560,1))</f>
        <v/>
      </c>
      <c r="BD560" s="39" t="str">
        <f aca="false">IF(AO560&lt;&gt;1,"",IF(OR(AB560&lt;&gt;"",AD560&lt;&gt;""),4,IF(U560&lt;&gt;"",3,IF(T560&lt;&gt;"",2,1))))</f>
        <v/>
      </c>
      <c r="BE560" s="39" t="str">
        <f aca="false">IF(OR(AO560&lt;&gt;1,AR560=""),"",INDEX(NIV_REQ,AR560))</f>
        <v/>
      </c>
      <c r="BF560" s="39" t="str">
        <f aca="false">IF(BE560="","",MAX(BE560,IF(OR(K560="Oui",Z560="Oui"),4,1)))</f>
        <v/>
      </c>
      <c r="BG560" s="35" t="str">
        <f aca="false">IF(OR(BF560="",BD560=""),"",IF(BD560&gt;=BF560,1,0))</f>
        <v/>
      </c>
      <c r="BH560" s="38" t="str">
        <f aca="false">IF(BE560="","",IF(BE560&lt;2,"",IF(BE560=2,IF(AND(T560="",U560=""),"",MIN(T560,U560)),IF(U560="","",U560))))</f>
        <v/>
      </c>
      <c r="BI560" s="37" t="str">
        <f aca="false">IF(BH560="","",IF(OR(O560="",BH560=""),"",IF(BH560&lt;O560,"",ROUND(((NETWORKDAYS(O560,BH560,JoursFeries)-1)*(HFer-HOuv)+IF(NETWORKDAYS(BH560,BH560,JoursFeries),MEDIAN(MOD(BH560,1),HFer,HOuv),HFer)-IF(NETWORKDAYS(O560,O560,JoursFeries),MEDIAN(MOD(O560,1),HFer,HOuv),HOuv))*24,4))))</f>
        <v/>
      </c>
      <c r="BJ560" s="35" t="str">
        <f aca="false">IF(OR(BI560="",AR560=""),"",IF(BI560&lt;=INDEX(DELAI_ESC,AR560),1,0))</f>
        <v/>
      </c>
      <c r="BK560" s="38" t="str">
        <f aca="false">IF(AO560&lt;&gt;1,"",IF(AND(T560="",U560=""),"",MIN(T560,U560)))</f>
        <v/>
      </c>
      <c r="BL560" s="37" t="str">
        <f aca="false">IF(OR(BK560="",R560=""),"",IFERROR(ROUND(IF(OR(BK560="",R560=""),"",IF(R560&lt;BK560,"",ROUND(((NETWORKDAYS(BK560,R560,JoursFeries)-1)*(HFer-HOuv)+IF(NETWORKDAYS(R560,R560,JoursFeries),MEDIAN(MOD(R560,1),HFer,HOuv),HFer)-IF(NETWORKDAYS(BK560,BK560,JoursFeries),MEDIAN(MOD(BK560,1),HFer,HOuv),HOuv))*24,4)))/HJour,4),""))</f>
        <v/>
      </c>
      <c r="BM560" s="35" t="str">
        <f aca="false">IF(OR(AO560&lt;&gt;1,R560=""),"",IF(BD560=1,1,0))</f>
        <v/>
      </c>
      <c r="BN560" s="35" t="str">
        <f aca="false">IF(AO560&lt;&gt;1,"",IF(W560="Oui",1,0))</f>
        <v/>
      </c>
      <c r="BO560" s="35" t="str">
        <f aca="false">IF(AO560&lt;&gt;1,"",IF(X560&lt;&gt;"",1,0))</f>
        <v/>
      </c>
      <c r="BP560" s="35" t="str">
        <f aca="false">IF(AO560&lt;&gt;1,"",IF(Y560="Oui",1,0))</f>
        <v/>
      </c>
      <c r="BQ560" s="35" t="str">
        <f aca="true">IF(OR(AO560&lt;&gt;1,Z560&lt;&gt;"Oui"),"",IF(AB560="",IF(AND(AA560&lt;&gt;"",NOW()&gt;AA560),0,""),IF(AA560="","",IF(AB560&lt;=AA560,1,0))))</f>
        <v/>
      </c>
      <c r="BR560" s="38" t="str">
        <f aca="false">IF(OR(AO560&lt;&gt;1,K560&lt;&gt;"Oui",O560=""),"",IF(AC560="",O560+DORA_H_DET/24,IF(AC560-O560&lt;=DORA_H_DET/24,MIN(AC560+DORA_H_CLA/24,O560+DORA_H_DET/24),AC560+DORA_H_CLA/24)))</f>
        <v/>
      </c>
      <c r="BS560" s="35" t="str">
        <f aca="true">IF(BR560="","",IF(AD560="",IF(NOW()&gt;BR560,0,""),IF(AD560&lt;=BR560,1,0)))</f>
        <v/>
      </c>
      <c r="BT560" s="35" t="str">
        <f aca="true">IF(OR(BR560="",AD560=""),"",IF(AE560="",IF(NOW()&gt;AD560+DORA_H_INT/24,0,""),IF(AE560&lt;=AD560+DORA_H_INT/24,1,0)))</f>
        <v/>
      </c>
      <c r="BU560" s="35" t="str">
        <f aca="true">IF(OR(BR560="",AE560=""),"",IF(AF560="",IF(NOW()&gt;EDATE(AE560,DORA_M_FIN)+1,0,""),IF(AF560&lt;=EDATE(AE560,DORA_M_FIN),1,0)))</f>
        <v/>
      </c>
      <c r="BV560" s="35" t="str">
        <f aca="false">IF(BR560="","",IF(COUNT(BS560:BU560)=0,"",MIN(BS560:BU560)))</f>
        <v/>
      </c>
      <c r="BW560" s="40" t="str">
        <f aca="false">IF(AQ560&lt;&gt;1,"",IF(AND(AG560="",AH560=""),"",N(AG560)-N(AH560)))</f>
        <v/>
      </c>
      <c r="BX560" s="35" t="str">
        <f aca="true">IF(OR(AQ560&lt;&gt;1,AI560&lt;&gt;"Oui",AJ560=""),"",IF(AK560="",IF(NOW()&gt;AJ560+1,0,""),IF(AK560&lt;=AJ560,1,0)))</f>
        <v/>
      </c>
    </row>
    <row r="561" customFormat="false" ht="15" hidden="false" customHeight="false" outlineLevel="0" collapsed="false">
      <c r="B561" s="29"/>
      <c r="C561" s="29"/>
      <c r="D561" s="29"/>
      <c r="E561" s="29"/>
      <c r="F561" s="29"/>
      <c r="G561" s="29"/>
      <c r="H561" s="29"/>
      <c r="I561" s="29"/>
      <c r="J561" s="29"/>
      <c r="K561" s="29"/>
      <c r="L561" s="29"/>
      <c r="M561" s="29"/>
      <c r="N561" s="30"/>
      <c r="O561" s="30"/>
      <c r="P561" s="30"/>
      <c r="Q561" s="30"/>
      <c r="R561" s="30"/>
      <c r="S561" s="30"/>
      <c r="T561" s="30"/>
      <c r="U561" s="30"/>
      <c r="V561" s="31"/>
      <c r="W561" s="29"/>
      <c r="X561" s="29"/>
      <c r="Y561" s="29"/>
      <c r="Z561" s="29"/>
      <c r="AA561" s="30"/>
      <c r="AB561" s="30"/>
      <c r="AC561" s="30"/>
      <c r="AD561" s="30"/>
      <c r="AE561" s="30"/>
      <c r="AF561" s="32"/>
      <c r="AG561" s="33"/>
      <c r="AH561" s="33"/>
      <c r="AI561" s="29"/>
      <c r="AJ561" s="32"/>
      <c r="AK561" s="32"/>
      <c r="AL561" s="29"/>
      <c r="AN561" s="34" t="str">
        <f aca="false">IF($B561="","",IF(OR(C561="",D561="",E561="",G561="",I561="",J561="",L561="",O561="",P561=""),"Champ obligatoire manquant",IF(OR(AND(N561&lt;&gt;"",N561&gt;O561),O561&gt;P561,AND(Q561&lt;&gt;"",Q561&lt;P561),AND(R561&lt;&gt;"",R561&lt;P561),AND(S561&lt;&gt;"",S561&lt;R561),AND(S561&lt;&gt;"",R561=""),AND(T561&lt;&gt;"",T561&lt;O561),AND(U561&lt;&gt;"",U561&lt;O561)),"Chronologie incohérente",IF(AND(OR(L561="Résolu",L561="Clos"),R561=""),"Date de résolution manquante",IF(AND(L561="Clos",S561=""),"Date de clôture manquante",IF(AND(K561="Oui",AC561=""),"Classification DORA manquante","OK"))))))</f>
        <v/>
      </c>
      <c r="AO561" s="35" t="str">
        <f aca="false">IF($B561="","",IF(AND(C561="Incident",L561&lt;&gt;"Annulé"),1,0))</f>
        <v/>
      </c>
      <c r="AP561" s="35" t="str">
        <f aca="false">IF($B561="","",IF(AND(C561="Quasi-incident",L561&lt;&gt;"Annulé"),1,0))</f>
        <v/>
      </c>
      <c r="AQ561" s="35" t="str">
        <f aca="false">IF($B561="","",AO561+AP561)</f>
        <v/>
      </c>
      <c r="AR561" s="36" t="str">
        <f aca="false">IF(OR($B561="",J561=""),"",IFERROR(VALUE(LEFT(J561,1)),""))</f>
        <v/>
      </c>
      <c r="AS561" s="35" t="str">
        <f aca="false">IF(OR(AO561&lt;&gt;1,G561=""),"",IFERROR(IF(INDEX(L_SrcInterne,MATCH(G561,L_Sources,0))="Oui",1,0),""))</f>
        <v/>
      </c>
      <c r="AT561" s="37" t="str">
        <f aca="false">IF(AO561&lt;&gt;1,"",IFERROR(ROUND(IF(OR(N561="",O561=""),"",IF(O561&lt;N561,"",ROUND(((NETWORKDAYS(N561,O561,JoursFeries)-1)*(HFer-HOuv)+IF(NETWORKDAYS(O561,O561,JoursFeries),MEDIAN(MOD(O561,1),HFer,HOuv),HFer)-IF(NETWORKDAYS(N561,N561,JoursFeries),MEDIAN(MOD(N561,1),HFer,HOuv),HOuv))*24,4)))/HJour,4),""))</f>
        <v/>
      </c>
      <c r="AU561" s="37" t="str">
        <f aca="false">IF(AO561&lt;&gt;1,"",IF(OR(O561="",P561=""),"",IF(P561&lt;O561,"",ROUND(((NETWORKDAYS(O561,P561,JoursFeries)-1)*(HFer-HOuv)+IF(NETWORKDAYS(P561,P561,JoursFeries),MEDIAN(MOD(P561,1),HFer,HOuv),HFer)-IF(NETWORKDAYS(O561,O561,JoursFeries),MEDIAN(MOD(O561,1),HFer,HOuv),HOuv))*24,4))))</f>
        <v/>
      </c>
      <c r="AV561" s="37" t="str">
        <f aca="false">IF(AO561&lt;&gt;1,"",IF(OR(P561="",Q561=""),"",IF(Q561&lt;P561,"",ROUND(((NETWORKDAYS(P561,Q561,JoursFeries)-1)*(HFer-HOuv)+IF(NETWORKDAYS(Q561,Q561,JoursFeries),MEDIAN(MOD(Q561,1),HFer,HOuv),HFer)-IF(NETWORKDAYS(P561,P561,JoursFeries),MEDIAN(MOD(P561,1),HFer,HOuv),HOuv))*24,4))))</f>
        <v/>
      </c>
      <c r="AW561" s="37" t="str">
        <f aca="false">IF(AO561&lt;&gt;1,"",IFERROR(ROUND(IF(OR(P561="",R561=""),"",IF(R561&lt;P561,"",ROUND(((NETWORKDAYS(P561,R561,JoursFeries)-1)*(HFer-HOuv)+IF(NETWORKDAYS(R561,R561,JoursFeries),MEDIAN(MOD(R561,1),HFer,HOuv),HFer)-IF(NETWORKDAYS(P561,P561,JoursFeries),MEDIAN(MOD(P561,1),HFer,HOuv),HOuv))*24,4)))/HJour,4),""))</f>
        <v/>
      </c>
      <c r="AX561" s="37" t="str">
        <f aca="false">IF(AO561&lt;&gt;1,"",IFERROR(ROUND(IF(OR(P561="",S561=""),"",IF(S561&lt;P561,"",ROUND(((NETWORKDAYS(P561,S561,JoursFeries)-1)*(HFer-HOuv)+IF(NETWORKDAYS(S561,S561,JoursFeries),MEDIAN(MOD(S561,1),HFer,HOuv),HFer)-IF(NETWORKDAYS(P561,P561,JoursFeries),MEDIAN(MOD(P561,1),HFer,HOuv),HOuv))*24,4)))/HJour,4),""))</f>
        <v/>
      </c>
      <c r="AY561" s="36" t="str">
        <f aca="false">IF(OR(AO561&lt;&gt;1,AR561=""),"",INDEX(SLA_PEC,AR561))</f>
        <v/>
      </c>
      <c r="AZ561" s="35" t="str">
        <f aca="false">IF(OR(AV561="",AY561=""),"",IF(AV561&lt;=AY561,1,0))</f>
        <v/>
      </c>
      <c r="BA561" s="36" t="str">
        <f aca="false">IF(OR(AO561&lt;&gt;1,AR561=""),"",INDEX(SLA_RES,AR561))</f>
        <v/>
      </c>
      <c r="BB561" s="35" t="str">
        <f aca="false">IF(OR(AW561="",BA561=""),"",IF(AW561&lt;=BA561,1,0))</f>
        <v/>
      </c>
      <c r="BC561" s="38" t="str">
        <f aca="false">IF(OR(BA561="",P561=""),"",WORKDAY(INT(P561),BA561,JoursFeries)+MOD(P561,1))</f>
        <v/>
      </c>
      <c r="BD561" s="39" t="str">
        <f aca="false">IF(AO561&lt;&gt;1,"",IF(OR(AB561&lt;&gt;"",AD561&lt;&gt;""),4,IF(U561&lt;&gt;"",3,IF(T561&lt;&gt;"",2,1))))</f>
        <v/>
      </c>
      <c r="BE561" s="39" t="str">
        <f aca="false">IF(OR(AO561&lt;&gt;1,AR561=""),"",INDEX(NIV_REQ,AR561))</f>
        <v/>
      </c>
      <c r="BF561" s="39" t="str">
        <f aca="false">IF(BE561="","",MAX(BE561,IF(OR(K561="Oui",Z561="Oui"),4,1)))</f>
        <v/>
      </c>
      <c r="BG561" s="35" t="str">
        <f aca="false">IF(OR(BF561="",BD561=""),"",IF(BD561&gt;=BF561,1,0))</f>
        <v/>
      </c>
      <c r="BH561" s="38" t="str">
        <f aca="false">IF(BE561="","",IF(BE561&lt;2,"",IF(BE561=2,IF(AND(T561="",U561=""),"",MIN(T561,U561)),IF(U561="","",U561))))</f>
        <v/>
      </c>
      <c r="BI561" s="37" t="str">
        <f aca="false">IF(BH561="","",IF(OR(O561="",BH561=""),"",IF(BH561&lt;O561,"",ROUND(((NETWORKDAYS(O561,BH561,JoursFeries)-1)*(HFer-HOuv)+IF(NETWORKDAYS(BH561,BH561,JoursFeries),MEDIAN(MOD(BH561,1),HFer,HOuv),HFer)-IF(NETWORKDAYS(O561,O561,JoursFeries),MEDIAN(MOD(O561,1),HFer,HOuv),HOuv))*24,4))))</f>
        <v/>
      </c>
      <c r="BJ561" s="35" t="str">
        <f aca="false">IF(OR(BI561="",AR561=""),"",IF(BI561&lt;=INDEX(DELAI_ESC,AR561),1,0))</f>
        <v/>
      </c>
      <c r="BK561" s="38" t="str">
        <f aca="false">IF(AO561&lt;&gt;1,"",IF(AND(T561="",U561=""),"",MIN(T561,U561)))</f>
        <v/>
      </c>
      <c r="BL561" s="37" t="str">
        <f aca="false">IF(OR(BK561="",R561=""),"",IFERROR(ROUND(IF(OR(BK561="",R561=""),"",IF(R561&lt;BK561,"",ROUND(((NETWORKDAYS(BK561,R561,JoursFeries)-1)*(HFer-HOuv)+IF(NETWORKDAYS(R561,R561,JoursFeries),MEDIAN(MOD(R561,1),HFer,HOuv),HFer)-IF(NETWORKDAYS(BK561,BK561,JoursFeries),MEDIAN(MOD(BK561,1),HFer,HOuv),HOuv))*24,4)))/HJour,4),""))</f>
        <v/>
      </c>
      <c r="BM561" s="35" t="str">
        <f aca="false">IF(OR(AO561&lt;&gt;1,R561=""),"",IF(BD561=1,1,0))</f>
        <v/>
      </c>
      <c r="BN561" s="35" t="str">
        <f aca="false">IF(AO561&lt;&gt;1,"",IF(W561="Oui",1,0))</f>
        <v/>
      </c>
      <c r="BO561" s="35" t="str">
        <f aca="false">IF(AO561&lt;&gt;1,"",IF(X561&lt;&gt;"",1,0))</f>
        <v/>
      </c>
      <c r="BP561" s="35" t="str">
        <f aca="false">IF(AO561&lt;&gt;1,"",IF(Y561="Oui",1,0))</f>
        <v/>
      </c>
      <c r="BQ561" s="35" t="str">
        <f aca="true">IF(OR(AO561&lt;&gt;1,Z561&lt;&gt;"Oui"),"",IF(AB561="",IF(AND(AA561&lt;&gt;"",NOW()&gt;AA561),0,""),IF(AA561="","",IF(AB561&lt;=AA561,1,0))))</f>
        <v/>
      </c>
      <c r="BR561" s="38" t="str">
        <f aca="false">IF(OR(AO561&lt;&gt;1,K561&lt;&gt;"Oui",O561=""),"",IF(AC561="",O561+DORA_H_DET/24,IF(AC561-O561&lt;=DORA_H_DET/24,MIN(AC561+DORA_H_CLA/24,O561+DORA_H_DET/24),AC561+DORA_H_CLA/24)))</f>
        <v/>
      </c>
      <c r="BS561" s="35" t="str">
        <f aca="true">IF(BR561="","",IF(AD561="",IF(NOW()&gt;BR561,0,""),IF(AD561&lt;=BR561,1,0)))</f>
        <v/>
      </c>
      <c r="BT561" s="35" t="str">
        <f aca="true">IF(OR(BR561="",AD561=""),"",IF(AE561="",IF(NOW()&gt;AD561+DORA_H_INT/24,0,""),IF(AE561&lt;=AD561+DORA_H_INT/24,1,0)))</f>
        <v/>
      </c>
      <c r="BU561" s="35" t="str">
        <f aca="true">IF(OR(BR561="",AE561=""),"",IF(AF561="",IF(NOW()&gt;EDATE(AE561,DORA_M_FIN)+1,0,""),IF(AF561&lt;=EDATE(AE561,DORA_M_FIN),1,0)))</f>
        <v/>
      </c>
      <c r="BV561" s="35" t="str">
        <f aca="false">IF(BR561="","",IF(COUNT(BS561:BU561)=0,"",MIN(BS561:BU561)))</f>
        <v/>
      </c>
      <c r="BW561" s="40" t="str">
        <f aca="false">IF(AQ561&lt;&gt;1,"",IF(AND(AG561="",AH561=""),"",N(AG561)-N(AH561)))</f>
        <v/>
      </c>
      <c r="BX561" s="35" t="str">
        <f aca="true">IF(OR(AQ561&lt;&gt;1,AI561&lt;&gt;"Oui",AJ561=""),"",IF(AK561="",IF(NOW()&gt;AJ561+1,0,""),IF(AK561&lt;=AJ561,1,0)))</f>
        <v/>
      </c>
    </row>
    <row r="562" customFormat="false" ht="15" hidden="false" customHeight="false" outlineLevel="0" collapsed="false">
      <c r="B562" s="29"/>
      <c r="C562" s="29"/>
      <c r="D562" s="29"/>
      <c r="E562" s="29"/>
      <c r="F562" s="29"/>
      <c r="G562" s="29"/>
      <c r="H562" s="29"/>
      <c r="I562" s="29"/>
      <c r="J562" s="29"/>
      <c r="K562" s="29"/>
      <c r="L562" s="29"/>
      <c r="M562" s="29"/>
      <c r="N562" s="30"/>
      <c r="O562" s="30"/>
      <c r="P562" s="30"/>
      <c r="Q562" s="30"/>
      <c r="R562" s="30"/>
      <c r="S562" s="30"/>
      <c r="T562" s="30"/>
      <c r="U562" s="30"/>
      <c r="V562" s="31"/>
      <c r="W562" s="29"/>
      <c r="X562" s="29"/>
      <c r="Y562" s="29"/>
      <c r="Z562" s="29"/>
      <c r="AA562" s="30"/>
      <c r="AB562" s="30"/>
      <c r="AC562" s="30"/>
      <c r="AD562" s="30"/>
      <c r="AE562" s="30"/>
      <c r="AF562" s="32"/>
      <c r="AG562" s="33"/>
      <c r="AH562" s="33"/>
      <c r="AI562" s="29"/>
      <c r="AJ562" s="32"/>
      <c r="AK562" s="32"/>
      <c r="AL562" s="29"/>
      <c r="AN562" s="34" t="str">
        <f aca="false">IF($B562="","",IF(OR(C562="",D562="",E562="",G562="",I562="",J562="",L562="",O562="",P562=""),"Champ obligatoire manquant",IF(OR(AND(N562&lt;&gt;"",N562&gt;O562),O562&gt;P562,AND(Q562&lt;&gt;"",Q562&lt;P562),AND(R562&lt;&gt;"",R562&lt;P562),AND(S562&lt;&gt;"",S562&lt;R562),AND(S562&lt;&gt;"",R562=""),AND(T562&lt;&gt;"",T562&lt;O562),AND(U562&lt;&gt;"",U562&lt;O562)),"Chronologie incohérente",IF(AND(OR(L562="Résolu",L562="Clos"),R562=""),"Date de résolution manquante",IF(AND(L562="Clos",S562=""),"Date de clôture manquante",IF(AND(K562="Oui",AC562=""),"Classification DORA manquante","OK"))))))</f>
        <v/>
      </c>
      <c r="AO562" s="35" t="str">
        <f aca="false">IF($B562="","",IF(AND(C562="Incident",L562&lt;&gt;"Annulé"),1,0))</f>
        <v/>
      </c>
      <c r="AP562" s="35" t="str">
        <f aca="false">IF($B562="","",IF(AND(C562="Quasi-incident",L562&lt;&gt;"Annulé"),1,0))</f>
        <v/>
      </c>
      <c r="AQ562" s="35" t="str">
        <f aca="false">IF($B562="","",AO562+AP562)</f>
        <v/>
      </c>
      <c r="AR562" s="36" t="str">
        <f aca="false">IF(OR($B562="",J562=""),"",IFERROR(VALUE(LEFT(J562,1)),""))</f>
        <v/>
      </c>
      <c r="AS562" s="35" t="str">
        <f aca="false">IF(OR(AO562&lt;&gt;1,G562=""),"",IFERROR(IF(INDEX(L_SrcInterne,MATCH(G562,L_Sources,0))="Oui",1,0),""))</f>
        <v/>
      </c>
      <c r="AT562" s="37" t="str">
        <f aca="false">IF(AO562&lt;&gt;1,"",IFERROR(ROUND(IF(OR(N562="",O562=""),"",IF(O562&lt;N562,"",ROUND(((NETWORKDAYS(N562,O562,JoursFeries)-1)*(HFer-HOuv)+IF(NETWORKDAYS(O562,O562,JoursFeries),MEDIAN(MOD(O562,1),HFer,HOuv),HFer)-IF(NETWORKDAYS(N562,N562,JoursFeries),MEDIAN(MOD(N562,1),HFer,HOuv),HOuv))*24,4)))/HJour,4),""))</f>
        <v/>
      </c>
      <c r="AU562" s="37" t="str">
        <f aca="false">IF(AO562&lt;&gt;1,"",IF(OR(O562="",P562=""),"",IF(P562&lt;O562,"",ROUND(((NETWORKDAYS(O562,P562,JoursFeries)-1)*(HFer-HOuv)+IF(NETWORKDAYS(P562,P562,JoursFeries),MEDIAN(MOD(P562,1),HFer,HOuv),HFer)-IF(NETWORKDAYS(O562,O562,JoursFeries),MEDIAN(MOD(O562,1),HFer,HOuv),HOuv))*24,4))))</f>
        <v/>
      </c>
      <c r="AV562" s="37" t="str">
        <f aca="false">IF(AO562&lt;&gt;1,"",IF(OR(P562="",Q562=""),"",IF(Q562&lt;P562,"",ROUND(((NETWORKDAYS(P562,Q562,JoursFeries)-1)*(HFer-HOuv)+IF(NETWORKDAYS(Q562,Q562,JoursFeries),MEDIAN(MOD(Q562,1),HFer,HOuv),HFer)-IF(NETWORKDAYS(P562,P562,JoursFeries),MEDIAN(MOD(P562,1),HFer,HOuv),HOuv))*24,4))))</f>
        <v/>
      </c>
      <c r="AW562" s="37" t="str">
        <f aca="false">IF(AO562&lt;&gt;1,"",IFERROR(ROUND(IF(OR(P562="",R562=""),"",IF(R562&lt;P562,"",ROUND(((NETWORKDAYS(P562,R562,JoursFeries)-1)*(HFer-HOuv)+IF(NETWORKDAYS(R562,R562,JoursFeries),MEDIAN(MOD(R562,1),HFer,HOuv),HFer)-IF(NETWORKDAYS(P562,P562,JoursFeries),MEDIAN(MOD(P562,1),HFer,HOuv),HOuv))*24,4)))/HJour,4),""))</f>
        <v/>
      </c>
      <c r="AX562" s="37" t="str">
        <f aca="false">IF(AO562&lt;&gt;1,"",IFERROR(ROUND(IF(OR(P562="",S562=""),"",IF(S562&lt;P562,"",ROUND(((NETWORKDAYS(P562,S562,JoursFeries)-1)*(HFer-HOuv)+IF(NETWORKDAYS(S562,S562,JoursFeries),MEDIAN(MOD(S562,1),HFer,HOuv),HFer)-IF(NETWORKDAYS(P562,P562,JoursFeries),MEDIAN(MOD(P562,1),HFer,HOuv),HOuv))*24,4)))/HJour,4),""))</f>
        <v/>
      </c>
      <c r="AY562" s="36" t="str">
        <f aca="false">IF(OR(AO562&lt;&gt;1,AR562=""),"",INDEX(SLA_PEC,AR562))</f>
        <v/>
      </c>
      <c r="AZ562" s="35" t="str">
        <f aca="false">IF(OR(AV562="",AY562=""),"",IF(AV562&lt;=AY562,1,0))</f>
        <v/>
      </c>
      <c r="BA562" s="36" t="str">
        <f aca="false">IF(OR(AO562&lt;&gt;1,AR562=""),"",INDEX(SLA_RES,AR562))</f>
        <v/>
      </c>
      <c r="BB562" s="35" t="str">
        <f aca="false">IF(OR(AW562="",BA562=""),"",IF(AW562&lt;=BA562,1,0))</f>
        <v/>
      </c>
      <c r="BC562" s="38" t="str">
        <f aca="false">IF(OR(BA562="",P562=""),"",WORKDAY(INT(P562),BA562,JoursFeries)+MOD(P562,1))</f>
        <v/>
      </c>
      <c r="BD562" s="39" t="str">
        <f aca="false">IF(AO562&lt;&gt;1,"",IF(OR(AB562&lt;&gt;"",AD562&lt;&gt;""),4,IF(U562&lt;&gt;"",3,IF(T562&lt;&gt;"",2,1))))</f>
        <v/>
      </c>
      <c r="BE562" s="39" t="str">
        <f aca="false">IF(OR(AO562&lt;&gt;1,AR562=""),"",INDEX(NIV_REQ,AR562))</f>
        <v/>
      </c>
      <c r="BF562" s="39" t="str">
        <f aca="false">IF(BE562="","",MAX(BE562,IF(OR(K562="Oui",Z562="Oui"),4,1)))</f>
        <v/>
      </c>
      <c r="BG562" s="35" t="str">
        <f aca="false">IF(OR(BF562="",BD562=""),"",IF(BD562&gt;=BF562,1,0))</f>
        <v/>
      </c>
      <c r="BH562" s="38" t="str">
        <f aca="false">IF(BE562="","",IF(BE562&lt;2,"",IF(BE562=2,IF(AND(T562="",U562=""),"",MIN(T562,U562)),IF(U562="","",U562))))</f>
        <v/>
      </c>
      <c r="BI562" s="37" t="str">
        <f aca="false">IF(BH562="","",IF(OR(O562="",BH562=""),"",IF(BH562&lt;O562,"",ROUND(((NETWORKDAYS(O562,BH562,JoursFeries)-1)*(HFer-HOuv)+IF(NETWORKDAYS(BH562,BH562,JoursFeries),MEDIAN(MOD(BH562,1),HFer,HOuv),HFer)-IF(NETWORKDAYS(O562,O562,JoursFeries),MEDIAN(MOD(O562,1),HFer,HOuv),HOuv))*24,4))))</f>
        <v/>
      </c>
      <c r="BJ562" s="35" t="str">
        <f aca="false">IF(OR(BI562="",AR562=""),"",IF(BI562&lt;=INDEX(DELAI_ESC,AR562),1,0))</f>
        <v/>
      </c>
      <c r="BK562" s="38" t="str">
        <f aca="false">IF(AO562&lt;&gt;1,"",IF(AND(T562="",U562=""),"",MIN(T562,U562)))</f>
        <v/>
      </c>
      <c r="BL562" s="37" t="str">
        <f aca="false">IF(OR(BK562="",R562=""),"",IFERROR(ROUND(IF(OR(BK562="",R562=""),"",IF(R562&lt;BK562,"",ROUND(((NETWORKDAYS(BK562,R562,JoursFeries)-1)*(HFer-HOuv)+IF(NETWORKDAYS(R562,R562,JoursFeries),MEDIAN(MOD(R562,1),HFer,HOuv),HFer)-IF(NETWORKDAYS(BK562,BK562,JoursFeries),MEDIAN(MOD(BK562,1),HFer,HOuv),HOuv))*24,4)))/HJour,4),""))</f>
        <v/>
      </c>
      <c r="BM562" s="35" t="str">
        <f aca="false">IF(OR(AO562&lt;&gt;1,R562=""),"",IF(BD562=1,1,0))</f>
        <v/>
      </c>
      <c r="BN562" s="35" t="str">
        <f aca="false">IF(AO562&lt;&gt;1,"",IF(W562="Oui",1,0))</f>
        <v/>
      </c>
      <c r="BO562" s="35" t="str">
        <f aca="false">IF(AO562&lt;&gt;1,"",IF(X562&lt;&gt;"",1,0))</f>
        <v/>
      </c>
      <c r="BP562" s="35" t="str">
        <f aca="false">IF(AO562&lt;&gt;1,"",IF(Y562="Oui",1,0))</f>
        <v/>
      </c>
      <c r="BQ562" s="35" t="str">
        <f aca="true">IF(OR(AO562&lt;&gt;1,Z562&lt;&gt;"Oui"),"",IF(AB562="",IF(AND(AA562&lt;&gt;"",NOW()&gt;AA562),0,""),IF(AA562="","",IF(AB562&lt;=AA562,1,0))))</f>
        <v/>
      </c>
      <c r="BR562" s="38" t="str">
        <f aca="false">IF(OR(AO562&lt;&gt;1,K562&lt;&gt;"Oui",O562=""),"",IF(AC562="",O562+DORA_H_DET/24,IF(AC562-O562&lt;=DORA_H_DET/24,MIN(AC562+DORA_H_CLA/24,O562+DORA_H_DET/24),AC562+DORA_H_CLA/24)))</f>
        <v/>
      </c>
      <c r="BS562" s="35" t="str">
        <f aca="true">IF(BR562="","",IF(AD562="",IF(NOW()&gt;BR562,0,""),IF(AD562&lt;=BR562,1,0)))</f>
        <v/>
      </c>
      <c r="BT562" s="35" t="str">
        <f aca="true">IF(OR(BR562="",AD562=""),"",IF(AE562="",IF(NOW()&gt;AD562+DORA_H_INT/24,0,""),IF(AE562&lt;=AD562+DORA_H_INT/24,1,0)))</f>
        <v/>
      </c>
      <c r="BU562" s="35" t="str">
        <f aca="true">IF(OR(BR562="",AE562=""),"",IF(AF562="",IF(NOW()&gt;EDATE(AE562,DORA_M_FIN)+1,0,""),IF(AF562&lt;=EDATE(AE562,DORA_M_FIN),1,0)))</f>
        <v/>
      </c>
      <c r="BV562" s="35" t="str">
        <f aca="false">IF(BR562="","",IF(COUNT(BS562:BU562)=0,"",MIN(BS562:BU562)))</f>
        <v/>
      </c>
      <c r="BW562" s="40" t="str">
        <f aca="false">IF(AQ562&lt;&gt;1,"",IF(AND(AG562="",AH562=""),"",N(AG562)-N(AH562)))</f>
        <v/>
      </c>
      <c r="BX562" s="35" t="str">
        <f aca="true">IF(OR(AQ562&lt;&gt;1,AI562&lt;&gt;"Oui",AJ562=""),"",IF(AK562="",IF(NOW()&gt;AJ562+1,0,""),IF(AK562&lt;=AJ562,1,0)))</f>
        <v/>
      </c>
    </row>
    <row r="563" customFormat="false" ht="15" hidden="false" customHeight="false" outlineLevel="0" collapsed="false">
      <c r="B563" s="29"/>
      <c r="C563" s="29"/>
      <c r="D563" s="29"/>
      <c r="E563" s="29"/>
      <c r="F563" s="29"/>
      <c r="G563" s="29"/>
      <c r="H563" s="29"/>
      <c r="I563" s="29"/>
      <c r="J563" s="29"/>
      <c r="K563" s="29"/>
      <c r="L563" s="29"/>
      <c r="M563" s="29"/>
      <c r="N563" s="30"/>
      <c r="O563" s="30"/>
      <c r="P563" s="30"/>
      <c r="Q563" s="30"/>
      <c r="R563" s="30"/>
      <c r="S563" s="30"/>
      <c r="T563" s="30"/>
      <c r="U563" s="30"/>
      <c r="V563" s="31"/>
      <c r="W563" s="29"/>
      <c r="X563" s="29"/>
      <c r="Y563" s="29"/>
      <c r="Z563" s="29"/>
      <c r="AA563" s="30"/>
      <c r="AB563" s="30"/>
      <c r="AC563" s="30"/>
      <c r="AD563" s="30"/>
      <c r="AE563" s="30"/>
      <c r="AF563" s="32"/>
      <c r="AG563" s="33"/>
      <c r="AH563" s="33"/>
      <c r="AI563" s="29"/>
      <c r="AJ563" s="32"/>
      <c r="AK563" s="32"/>
      <c r="AL563" s="29"/>
      <c r="AN563" s="34" t="str">
        <f aca="false">IF($B563="","",IF(OR(C563="",D563="",E563="",G563="",I563="",J563="",L563="",O563="",P563=""),"Champ obligatoire manquant",IF(OR(AND(N563&lt;&gt;"",N563&gt;O563),O563&gt;P563,AND(Q563&lt;&gt;"",Q563&lt;P563),AND(R563&lt;&gt;"",R563&lt;P563),AND(S563&lt;&gt;"",S563&lt;R563),AND(S563&lt;&gt;"",R563=""),AND(T563&lt;&gt;"",T563&lt;O563),AND(U563&lt;&gt;"",U563&lt;O563)),"Chronologie incohérente",IF(AND(OR(L563="Résolu",L563="Clos"),R563=""),"Date de résolution manquante",IF(AND(L563="Clos",S563=""),"Date de clôture manquante",IF(AND(K563="Oui",AC563=""),"Classification DORA manquante","OK"))))))</f>
        <v/>
      </c>
      <c r="AO563" s="35" t="str">
        <f aca="false">IF($B563="","",IF(AND(C563="Incident",L563&lt;&gt;"Annulé"),1,0))</f>
        <v/>
      </c>
      <c r="AP563" s="35" t="str">
        <f aca="false">IF($B563="","",IF(AND(C563="Quasi-incident",L563&lt;&gt;"Annulé"),1,0))</f>
        <v/>
      </c>
      <c r="AQ563" s="35" t="str">
        <f aca="false">IF($B563="","",AO563+AP563)</f>
        <v/>
      </c>
      <c r="AR563" s="36" t="str">
        <f aca="false">IF(OR($B563="",J563=""),"",IFERROR(VALUE(LEFT(J563,1)),""))</f>
        <v/>
      </c>
      <c r="AS563" s="35" t="str">
        <f aca="false">IF(OR(AO563&lt;&gt;1,G563=""),"",IFERROR(IF(INDEX(L_SrcInterne,MATCH(G563,L_Sources,0))="Oui",1,0),""))</f>
        <v/>
      </c>
      <c r="AT563" s="37" t="str">
        <f aca="false">IF(AO563&lt;&gt;1,"",IFERROR(ROUND(IF(OR(N563="",O563=""),"",IF(O563&lt;N563,"",ROUND(((NETWORKDAYS(N563,O563,JoursFeries)-1)*(HFer-HOuv)+IF(NETWORKDAYS(O563,O563,JoursFeries),MEDIAN(MOD(O563,1),HFer,HOuv),HFer)-IF(NETWORKDAYS(N563,N563,JoursFeries),MEDIAN(MOD(N563,1),HFer,HOuv),HOuv))*24,4)))/HJour,4),""))</f>
        <v/>
      </c>
      <c r="AU563" s="37" t="str">
        <f aca="false">IF(AO563&lt;&gt;1,"",IF(OR(O563="",P563=""),"",IF(P563&lt;O563,"",ROUND(((NETWORKDAYS(O563,P563,JoursFeries)-1)*(HFer-HOuv)+IF(NETWORKDAYS(P563,P563,JoursFeries),MEDIAN(MOD(P563,1),HFer,HOuv),HFer)-IF(NETWORKDAYS(O563,O563,JoursFeries),MEDIAN(MOD(O563,1),HFer,HOuv),HOuv))*24,4))))</f>
        <v/>
      </c>
      <c r="AV563" s="37" t="str">
        <f aca="false">IF(AO563&lt;&gt;1,"",IF(OR(P563="",Q563=""),"",IF(Q563&lt;P563,"",ROUND(((NETWORKDAYS(P563,Q563,JoursFeries)-1)*(HFer-HOuv)+IF(NETWORKDAYS(Q563,Q563,JoursFeries),MEDIAN(MOD(Q563,1),HFer,HOuv),HFer)-IF(NETWORKDAYS(P563,P563,JoursFeries),MEDIAN(MOD(P563,1),HFer,HOuv),HOuv))*24,4))))</f>
        <v/>
      </c>
      <c r="AW563" s="37" t="str">
        <f aca="false">IF(AO563&lt;&gt;1,"",IFERROR(ROUND(IF(OR(P563="",R563=""),"",IF(R563&lt;P563,"",ROUND(((NETWORKDAYS(P563,R563,JoursFeries)-1)*(HFer-HOuv)+IF(NETWORKDAYS(R563,R563,JoursFeries),MEDIAN(MOD(R563,1),HFer,HOuv),HFer)-IF(NETWORKDAYS(P563,P563,JoursFeries),MEDIAN(MOD(P563,1),HFer,HOuv),HOuv))*24,4)))/HJour,4),""))</f>
        <v/>
      </c>
      <c r="AX563" s="37" t="str">
        <f aca="false">IF(AO563&lt;&gt;1,"",IFERROR(ROUND(IF(OR(P563="",S563=""),"",IF(S563&lt;P563,"",ROUND(((NETWORKDAYS(P563,S563,JoursFeries)-1)*(HFer-HOuv)+IF(NETWORKDAYS(S563,S563,JoursFeries),MEDIAN(MOD(S563,1),HFer,HOuv),HFer)-IF(NETWORKDAYS(P563,P563,JoursFeries),MEDIAN(MOD(P563,1),HFer,HOuv),HOuv))*24,4)))/HJour,4),""))</f>
        <v/>
      </c>
      <c r="AY563" s="36" t="str">
        <f aca="false">IF(OR(AO563&lt;&gt;1,AR563=""),"",INDEX(SLA_PEC,AR563))</f>
        <v/>
      </c>
      <c r="AZ563" s="35" t="str">
        <f aca="false">IF(OR(AV563="",AY563=""),"",IF(AV563&lt;=AY563,1,0))</f>
        <v/>
      </c>
      <c r="BA563" s="36" t="str">
        <f aca="false">IF(OR(AO563&lt;&gt;1,AR563=""),"",INDEX(SLA_RES,AR563))</f>
        <v/>
      </c>
      <c r="BB563" s="35" t="str">
        <f aca="false">IF(OR(AW563="",BA563=""),"",IF(AW563&lt;=BA563,1,0))</f>
        <v/>
      </c>
      <c r="BC563" s="38" t="str">
        <f aca="false">IF(OR(BA563="",P563=""),"",WORKDAY(INT(P563),BA563,JoursFeries)+MOD(P563,1))</f>
        <v/>
      </c>
      <c r="BD563" s="39" t="str">
        <f aca="false">IF(AO563&lt;&gt;1,"",IF(OR(AB563&lt;&gt;"",AD563&lt;&gt;""),4,IF(U563&lt;&gt;"",3,IF(T563&lt;&gt;"",2,1))))</f>
        <v/>
      </c>
      <c r="BE563" s="39" t="str">
        <f aca="false">IF(OR(AO563&lt;&gt;1,AR563=""),"",INDEX(NIV_REQ,AR563))</f>
        <v/>
      </c>
      <c r="BF563" s="39" t="str">
        <f aca="false">IF(BE563="","",MAX(BE563,IF(OR(K563="Oui",Z563="Oui"),4,1)))</f>
        <v/>
      </c>
      <c r="BG563" s="35" t="str">
        <f aca="false">IF(OR(BF563="",BD563=""),"",IF(BD563&gt;=BF563,1,0))</f>
        <v/>
      </c>
      <c r="BH563" s="38" t="str">
        <f aca="false">IF(BE563="","",IF(BE563&lt;2,"",IF(BE563=2,IF(AND(T563="",U563=""),"",MIN(T563,U563)),IF(U563="","",U563))))</f>
        <v/>
      </c>
      <c r="BI563" s="37" t="str">
        <f aca="false">IF(BH563="","",IF(OR(O563="",BH563=""),"",IF(BH563&lt;O563,"",ROUND(((NETWORKDAYS(O563,BH563,JoursFeries)-1)*(HFer-HOuv)+IF(NETWORKDAYS(BH563,BH563,JoursFeries),MEDIAN(MOD(BH563,1),HFer,HOuv),HFer)-IF(NETWORKDAYS(O563,O563,JoursFeries),MEDIAN(MOD(O563,1),HFer,HOuv),HOuv))*24,4))))</f>
        <v/>
      </c>
      <c r="BJ563" s="35" t="str">
        <f aca="false">IF(OR(BI563="",AR563=""),"",IF(BI563&lt;=INDEX(DELAI_ESC,AR563),1,0))</f>
        <v/>
      </c>
      <c r="BK563" s="38" t="str">
        <f aca="false">IF(AO563&lt;&gt;1,"",IF(AND(T563="",U563=""),"",MIN(T563,U563)))</f>
        <v/>
      </c>
      <c r="BL563" s="37" t="str">
        <f aca="false">IF(OR(BK563="",R563=""),"",IFERROR(ROUND(IF(OR(BK563="",R563=""),"",IF(R563&lt;BK563,"",ROUND(((NETWORKDAYS(BK563,R563,JoursFeries)-1)*(HFer-HOuv)+IF(NETWORKDAYS(R563,R563,JoursFeries),MEDIAN(MOD(R563,1),HFer,HOuv),HFer)-IF(NETWORKDAYS(BK563,BK563,JoursFeries),MEDIAN(MOD(BK563,1),HFer,HOuv),HOuv))*24,4)))/HJour,4),""))</f>
        <v/>
      </c>
      <c r="BM563" s="35" t="str">
        <f aca="false">IF(OR(AO563&lt;&gt;1,R563=""),"",IF(BD563=1,1,0))</f>
        <v/>
      </c>
      <c r="BN563" s="35" t="str">
        <f aca="false">IF(AO563&lt;&gt;1,"",IF(W563="Oui",1,0))</f>
        <v/>
      </c>
      <c r="BO563" s="35" t="str">
        <f aca="false">IF(AO563&lt;&gt;1,"",IF(X563&lt;&gt;"",1,0))</f>
        <v/>
      </c>
      <c r="BP563" s="35" t="str">
        <f aca="false">IF(AO563&lt;&gt;1,"",IF(Y563="Oui",1,0))</f>
        <v/>
      </c>
      <c r="BQ563" s="35" t="str">
        <f aca="true">IF(OR(AO563&lt;&gt;1,Z563&lt;&gt;"Oui"),"",IF(AB563="",IF(AND(AA563&lt;&gt;"",NOW()&gt;AA563),0,""),IF(AA563="","",IF(AB563&lt;=AA563,1,0))))</f>
        <v/>
      </c>
      <c r="BR563" s="38" t="str">
        <f aca="false">IF(OR(AO563&lt;&gt;1,K563&lt;&gt;"Oui",O563=""),"",IF(AC563="",O563+DORA_H_DET/24,IF(AC563-O563&lt;=DORA_H_DET/24,MIN(AC563+DORA_H_CLA/24,O563+DORA_H_DET/24),AC563+DORA_H_CLA/24)))</f>
        <v/>
      </c>
      <c r="BS563" s="35" t="str">
        <f aca="true">IF(BR563="","",IF(AD563="",IF(NOW()&gt;BR563,0,""),IF(AD563&lt;=BR563,1,0)))</f>
        <v/>
      </c>
      <c r="BT563" s="35" t="str">
        <f aca="true">IF(OR(BR563="",AD563=""),"",IF(AE563="",IF(NOW()&gt;AD563+DORA_H_INT/24,0,""),IF(AE563&lt;=AD563+DORA_H_INT/24,1,0)))</f>
        <v/>
      </c>
      <c r="BU563" s="35" t="str">
        <f aca="true">IF(OR(BR563="",AE563=""),"",IF(AF563="",IF(NOW()&gt;EDATE(AE563,DORA_M_FIN)+1,0,""),IF(AF563&lt;=EDATE(AE563,DORA_M_FIN),1,0)))</f>
        <v/>
      </c>
      <c r="BV563" s="35" t="str">
        <f aca="false">IF(BR563="","",IF(COUNT(BS563:BU563)=0,"",MIN(BS563:BU563)))</f>
        <v/>
      </c>
      <c r="BW563" s="40" t="str">
        <f aca="false">IF(AQ563&lt;&gt;1,"",IF(AND(AG563="",AH563=""),"",N(AG563)-N(AH563)))</f>
        <v/>
      </c>
      <c r="BX563" s="35" t="str">
        <f aca="true">IF(OR(AQ563&lt;&gt;1,AI563&lt;&gt;"Oui",AJ563=""),"",IF(AK563="",IF(NOW()&gt;AJ563+1,0,""),IF(AK563&lt;=AJ563,1,0)))</f>
        <v/>
      </c>
    </row>
    <row r="564" customFormat="false" ht="15" hidden="false" customHeight="false" outlineLevel="0" collapsed="false">
      <c r="B564" s="29"/>
      <c r="C564" s="29"/>
      <c r="D564" s="29"/>
      <c r="E564" s="29"/>
      <c r="F564" s="29"/>
      <c r="G564" s="29"/>
      <c r="H564" s="29"/>
      <c r="I564" s="29"/>
      <c r="J564" s="29"/>
      <c r="K564" s="29"/>
      <c r="L564" s="29"/>
      <c r="M564" s="29"/>
      <c r="N564" s="30"/>
      <c r="O564" s="30"/>
      <c r="P564" s="30"/>
      <c r="Q564" s="30"/>
      <c r="R564" s="30"/>
      <c r="S564" s="30"/>
      <c r="T564" s="30"/>
      <c r="U564" s="30"/>
      <c r="V564" s="31"/>
      <c r="W564" s="29"/>
      <c r="X564" s="29"/>
      <c r="Y564" s="29"/>
      <c r="Z564" s="29"/>
      <c r="AA564" s="30"/>
      <c r="AB564" s="30"/>
      <c r="AC564" s="30"/>
      <c r="AD564" s="30"/>
      <c r="AE564" s="30"/>
      <c r="AF564" s="32"/>
      <c r="AG564" s="33"/>
      <c r="AH564" s="33"/>
      <c r="AI564" s="29"/>
      <c r="AJ564" s="32"/>
      <c r="AK564" s="32"/>
      <c r="AL564" s="29"/>
      <c r="AN564" s="34" t="str">
        <f aca="false">IF($B564="","",IF(OR(C564="",D564="",E564="",G564="",I564="",J564="",L564="",O564="",P564=""),"Champ obligatoire manquant",IF(OR(AND(N564&lt;&gt;"",N564&gt;O564),O564&gt;P564,AND(Q564&lt;&gt;"",Q564&lt;P564),AND(R564&lt;&gt;"",R564&lt;P564),AND(S564&lt;&gt;"",S564&lt;R564),AND(S564&lt;&gt;"",R564=""),AND(T564&lt;&gt;"",T564&lt;O564),AND(U564&lt;&gt;"",U564&lt;O564)),"Chronologie incohérente",IF(AND(OR(L564="Résolu",L564="Clos"),R564=""),"Date de résolution manquante",IF(AND(L564="Clos",S564=""),"Date de clôture manquante",IF(AND(K564="Oui",AC564=""),"Classification DORA manquante","OK"))))))</f>
        <v/>
      </c>
      <c r="AO564" s="35" t="str">
        <f aca="false">IF($B564="","",IF(AND(C564="Incident",L564&lt;&gt;"Annulé"),1,0))</f>
        <v/>
      </c>
      <c r="AP564" s="35" t="str">
        <f aca="false">IF($B564="","",IF(AND(C564="Quasi-incident",L564&lt;&gt;"Annulé"),1,0))</f>
        <v/>
      </c>
      <c r="AQ564" s="35" t="str">
        <f aca="false">IF($B564="","",AO564+AP564)</f>
        <v/>
      </c>
      <c r="AR564" s="36" t="str">
        <f aca="false">IF(OR($B564="",J564=""),"",IFERROR(VALUE(LEFT(J564,1)),""))</f>
        <v/>
      </c>
      <c r="AS564" s="35" t="str">
        <f aca="false">IF(OR(AO564&lt;&gt;1,G564=""),"",IFERROR(IF(INDEX(L_SrcInterne,MATCH(G564,L_Sources,0))="Oui",1,0),""))</f>
        <v/>
      </c>
      <c r="AT564" s="37" t="str">
        <f aca="false">IF(AO564&lt;&gt;1,"",IFERROR(ROUND(IF(OR(N564="",O564=""),"",IF(O564&lt;N564,"",ROUND(((NETWORKDAYS(N564,O564,JoursFeries)-1)*(HFer-HOuv)+IF(NETWORKDAYS(O564,O564,JoursFeries),MEDIAN(MOD(O564,1),HFer,HOuv),HFer)-IF(NETWORKDAYS(N564,N564,JoursFeries),MEDIAN(MOD(N564,1),HFer,HOuv),HOuv))*24,4)))/HJour,4),""))</f>
        <v/>
      </c>
      <c r="AU564" s="37" t="str">
        <f aca="false">IF(AO564&lt;&gt;1,"",IF(OR(O564="",P564=""),"",IF(P564&lt;O564,"",ROUND(((NETWORKDAYS(O564,P564,JoursFeries)-1)*(HFer-HOuv)+IF(NETWORKDAYS(P564,P564,JoursFeries),MEDIAN(MOD(P564,1),HFer,HOuv),HFer)-IF(NETWORKDAYS(O564,O564,JoursFeries),MEDIAN(MOD(O564,1),HFer,HOuv),HOuv))*24,4))))</f>
        <v/>
      </c>
      <c r="AV564" s="37" t="str">
        <f aca="false">IF(AO564&lt;&gt;1,"",IF(OR(P564="",Q564=""),"",IF(Q564&lt;P564,"",ROUND(((NETWORKDAYS(P564,Q564,JoursFeries)-1)*(HFer-HOuv)+IF(NETWORKDAYS(Q564,Q564,JoursFeries),MEDIAN(MOD(Q564,1),HFer,HOuv),HFer)-IF(NETWORKDAYS(P564,P564,JoursFeries),MEDIAN(MOD(P564,1),HFer,HOuv),HOuv))*24,4))))</f>
        <v/>
      </c>
      <c r="AW564" s="37" t="str">
        <f aca="false">IF(AO564&lt;&gt;1,"",IFERROR(ROUND(IF(OR(P564="",R564=""),"",IF(R564&lt;P564,"",ROUND(((NETWORKDAYS(P564,R564,JoursFeries)-1)*(HFer-HOuv)+IF(NETWORKDAYS(R564,R564,JoursFeries),MEDIAN(MOD(R564,1),HFer,HOuv),HFer)-IF(NETWORKDAYS(P564,P564,JoursFeries),MEDIAN(MOD(P564,1),HFer,HOuv),HOuv))*24,4)))/HJour,4),""))</f>
        <v/>
      </c>
      <c r="AX564" s="37" t="str">
        <f aca="false">IF(AO564&lt;&gt;1,"",IFERROR(ROUND(IF(OR(P564="",S564=""),"",IF(S564&lt;P564,"",ROUND(((NETWORKDAYS(P564,S564,JoursFeries)-1)*(HFer-HOuv)+IF(NETWORKDAYS(S564,S564,JoursFeries),MEDIAN(MOD(S564,1),HFer,HOuv),HFer)-IF(NETWORKDAYS(P564,P564,JoursFeries),MEDIAN(MOD(P564,1),HFer,HOuv),HOuv))*24,4)))/HJour,4),""))</f>
        <v/>
      </c>
      <c r="AY564" s="36" t="str">
        <f aca="false">IF(OR(AO564&lt;&gt;1,AR564=""),"",INDEX(SLA_PEC,AR564))</f>
        <v/>
      </c>
      <c r="AZ564" s="35" t="str">
        <f aca="false">IF(OR(AV564="",AY564=""),"",IF(AV564&lt;=AY564,1,0))</f>
        <v/>
      </c>
      <c r="BA564" s="36" t="str">
        <f aca="false">IF(OR(AO564&lt;&gt;1,AR564=""),"",INDEX(SLA_RES,AR564))</f>
        <v/>
      </c>
      <c r="BB564" s="35" t="str">
        <f aca="false">IF(OR(AW564="",BA564=""),"",IF(AW564&lt;=BA564,1,0))</f>
        <v/>
      </c>
      <c r="BC564" s="38" t="str">
        <f aca="false">IF(OR(BA564="",P564=""),"",WORKDAY(INT(P564),BA564,JoursFeries)+MOD(P564,1))</f>
        <v/>
      </c>
      <c r="BD564" s="39" t="str">
        <f aca="false">IF(AO564&lt;&gt;1,"",IF(OR(AB564&lt;&gt;"",AD564&lt;&gt;""),4,IF(U564&lt;&gt;"",3,IF(T564&lt;&gt;"",2,1))))</f>
        <v/>
      </c>
      <c r="BE564" s="39" t="str">
        <f aca="false">IF(OR(AO564&lt;&gt;1,AR564=""),"",INDEX(NIV_REQ,AR564))</f>
        <v/>
      </c>
      <c r="BF564" s="39" t="str">
        <f aca="false">IF(BE564="","",MAX(BE564,IF(OR(K564="Oui",Z564="Oui"),4,1)))</f>
        <v/>
      </c>
      <c r="BG564" s="35" t="str">
        <f aca="false">IF(OR(BF564="",BD564=""),"",IF(BD564&gt;=BF564,1,0))</f>
        <v/>
      </c>
      <c r="BH564" s="38" t="str">
        <f aca="false">IF(BE564="","",IF(BE564&lt;2,"",IF(BE564=2,IF(AND(T564="",U564=""),"",MIN(T564,U564)),IF(U564="","",U564))))</f>
        <v/>
      </c>
      <c r="BI564" s="37" t="str">
        <f aca="false">IF(BH564="","",IF(OR(O564="",BH564=""),"",IF(BH564&lt;O564,"",ROUND(((NETWORKDAYS(O564,BH564,JoursFeries)-1)*(HFer-HOuv)+IF(NETWORKDAYS(BH564,BH564,JoursFeries),MEDIAN(MOD(BH564,1),HFer,HOuv),HFer)-IF(NETWORKDAYS(O564,O564,JoursFeries),MEDIAN(MOD(O564,1),HFer,HOuv),HOuv))*24,4))))</f>
        <v/>
      </c>
      <c r="BJ564" s="35" t="str">
        <f aca="false">IF(OR(BI564="",AR564=""),"",IF(BI564&lt;=INDEX(DELAI_ESC,AR564),1,0))</f>
        <v/>
      </c>
      <c r="BK564" s="38" t="str">
        <f aca="false">IF(AO564&lt;&gt;1,"",IF(AND(T564="",U564=""),"",MIN(T564,U564)))</f>
        <v/>
      </c>
      <c r="BL564" s="37" t="str">
        <f aca="false">IF(OR(BK564="",R564=""),"",IFERROR(ROUND(IF(OR(BK564="",R564=""),"",IF(R564&lt;BK564,"",ROUND(((NETWORKDAYS(BK564,R564,JoursFeries)-1)*(HFer-HOuv)+IF(NETWORKDAYS(R564,R564,JoursFeries),MEDIAN(MOD(R564,1),HFer,HOuv),HFer)-IF(NETWORKDAYS(BK564,BK564,JoursFeries),MEDIAN(MOD(BK564,1),HFer,HOuv),HOuv))*24,4)))/HJour,4),""))</f>
        <v/>
      </c>
      <c r="BM564" s="35" t="str">
        <f aca="false">IF(OR(AO564&lt;&gt;1,R564=""),"",IF(BD564=1,1,0))</f>
        <v/>
      </c>
      <c r="BN564" s="35" t="str">
        <f aca="false">IF(AO564&lt;&gt;1,"",IF(W564="Oui",1,0))</f>
        <v/>
      </c>
      <c r="BO564" s="35" t="str">
        <f aca="false">IF(AO564&lt;&gt;1,"",IF(X564&lt;&gt;"",1,0))</f>
        <v/>
      </c>
      <c r="BP564" s="35" t="str">
        <f aca="false">IF(AO564&lt;&gt;1,"",IF(Y564="Oui",1,0))</f>
        <v/>
      </c>
      <c r="BQ564" s="35" t="str">
        <f aca="true">IF(OR(AO564&lt;&gt;1,Z564&lt;&gt;"Oui"),"",IF(AB564="",IF(AND(AA564&lt;&gt;"",NOW()&gt;AA564),0,""),IF(AA564="","",IF(AB564&lt;=AA564,1,0))))</f>
        <v/>
      </c>
      <c r="BR564" s="38" t="str">
        <f aca="false">IF(OR(AO564&lt;&gt;1,K564&lt;&gt;"Oui",O564=""),"",IF(AC564="",O564+DORA_H_DET/24,IF(AC564-O564&lt;=DORA_H_DET/24,MIN(AC564+DORA_H_CLA/24,O564+DORA_H_DET/24),AC564+DORA_H_CLA/24)))</f>
        <v/>
      </c>
      <c r="BS564" s="35" t="str">
        <f aca="true">IF(BR564="","",IF(AD564="",IF(NOW()&gt;BR564,0,""),IF(AD564&lt;=BR564,1,0)))</f>
        <v/>
      </c>
      <c r="BT564" s="35" t="str">
        <f aca="true">IF(OR(BR564="",AD564=""),"",IF(AE564="",IF(NOW()&gt;AD564+DORA_H_INT/24,0,""),IF(AE564&lt;=AD564+DORA_H_INT/24,1,0)))</f>
        <v/>
      </c>
      <c r="BU564" s="35" t="str">
        <f aca="true">IF(OR(BR564="",AE564=""),"",IF(AF564="",IF(NOW()&gt;EDATE(AE564,DORA_M_FIN)+1,0,""),IF(AF564&lt;=EDATE(AE564,DORA_M_FIN),1,0)))</f>
        <v/>
      </c>
      <c r="BV564" s="35" t="str">
        <f aca="false">IF(BR564="","",IF(COUNT(BS564:BU564)=0,"",MIN(BS564:BU564)))</f>
        <v/>
      </c>
      <c r="BW564" s="40" t="str">
        <f aca="false">IF(AQ564&lt;&gt;1,"",IF(AND(AG564="",AH564=""),"",N(AG564)-N(AH564)))</f>
        <v/>
      </c>
      <c r="BX564" s="35" t="str">
        <f aca="true">IF(OR(AQ564&lt;&gt;1,AI564&lt;&gt;"Oui",AJ564=""),"",IF(AK564="",IF(NOW()&gt;AJ564+1,0,""),IF(AK564&lt;=AJ564,1,0)))</f>
        <v/>
      </c>
    </row>
    <row r="565" customFormat="false" ht="15" hidden="false" customHeight="false" outlineLevel="0" collapsed="false">
      <c r="B565" s="29"/>
      <c r="C565" s="29"/>
      <c r="D565" s="29"/>
      <c r="E565" s="29"/>
      <c r="F565" s="29"/>
      <c r="G565" s="29"/>
      <c r="H565" s="29"/>
      <c r="I565" s="29"/>
      <c r="J565" s="29"/>
      <c r="K565" s="29"/>
      <c r="L565" s="29"/>
      <c r="M565" s="29"/>
      <c r="N565" s="30"/>
      <c r="O565" s="30"/>
      <c r="P565" s="30"/>
      <c r="Q565" s="30"/>
      <c r="R565" s="30"/>
      <c r="S565" s="30"/>
      <c r="T565" s="30"/>
      <c r="U565" s="30"/>
      <c r="V565" s="31"/>
      <c r="W565" s="29"/>
      <c r="X565" s="29"/>
      <c r="Y565" s="29"/>
      <c r="Z565" s="29"/>
      <c r="AA565" s="30"/>
      <c r="AB565" s="30"/>
      <c r="AC565" s="30"/>
      <c r="AD565" s="30"/>
      <c r="AE565" s="30"/>
      <c r="AF565" s="32"/>
      <c r="AG565" s="33"/>
      <c r="AH565" s="33"/>
      <c r="AI565" s="29"/>
      <c r="AJ565" s="32"/>
      <c r="AK565" s="32"/>
      <c r="AL565" s="29"/>
      <c r="AN565" s="34" t="str">
        <f aca="false">IF($B565="","",IF(OR(C565="",D565="",E565="",G565="",I565="",J565="",L565="",O565="",P565=""),"Champ obligatoire manquant",IF(OR(AND(N565&lt;&gt;"",N565&gt;O565),O565&gt;P565,AND(Q565&lt;&gt;"",Q565&lt;P565),AND(R565&lt;&gt;"",R565&lt;P565),AND(S565&lt;&gt;"",S565&lt;R565),AND(S565&lt;&gt;"",R565=""),AND(T565&lt;&gt;"",T565&lt;O565),AND(U565&lt;&gt;"",U565&lt;O565)),"Chronologie incohérente",IF(AND(OR(L565="Résolu",L565="Clos"),R565=""),"Date de résolution manquante",IF(AND(L565="Clos",S565=""),"Date de clôture manquante",IF(AND(K565="Oui",AC565=""),"Classification DORA manquante","OK"))))))</f>
        <v/>
      </c>
      <c r="AO565" s="35" t="str">
        <f aca="false">IF($B565="","",IF(AND(C565="Incident",L565&lt;&gt;"Annulé"),1,0))</f>
        <v/>
      </c>
      <c r="AP565" s="35" t="str">
        <f aca="false">IF($B565="","",IF(AND(C565="Quasi-incident",L565&lt;&gt;"Annulé"),1,0))</f>
        <v/>
      </c>
      <c r="AQ565" s="35" t="str">
        <f aca="false">IF($B565="","",AO565+AP565)</f>
        <v/>
      </c>
      <c r="AR565" s="36" t="str">
        <f aca="false">IF(OR($B565="",J565=""),"",IFERROR(VALUE(LEFT(J565,1)),""))</f>
        <v/>
      </c>
      <c r="AS565" s="35" t="str">
        <f aca="false">IF(OR(AO565&lt;&gt;1,G565=""),"",IFERROR(IF(INDEX(L_SrcInterne,MATCH(G565,L_Sources,0))="Oui",1,0),""))</f>
        <v/>
      </c>
      <c r="AT565" s="37" t="str">
        <f aca="false">IF(AO565&lt;&gt;1,"",IFERROR(ROUND(IF(OR(N565="",O565=""),"",IF(O565&lt;N565,"",ROUND(((NETWORKDAYS(N565,O565,JoursFeries)-1)*(HFer-HOuv)+IF(NETWORKDAYS(O565,O565,JoursFeries),MEDIAN(MOD(O565,1),HFer,HOuv),HFer)-IF(NETWORKDAYS(N565,N565,JoursFeries),MEDIAN(MOD(N565,1),HFer,HOuv),HOuv))*24,4)))/HJour,4),""))</f>
        <v/>
      </c>
      <c r="AU565" s="37" t="str">
        <f aca="false">IF(AO565&lt;&gt;1,"",IF(OR(O565="",P565=""),"",IF(P565&lt;O565,"",ROUND(((NETWORKDAYS(O565,P565,JoursFeries)-1)*(HFer-HOuv)+IF(NETWORKDAYS(P565,P565,JoursFeries),MEDIAN(MOD(P565,1),HFer,HOuv),HFer)-IF(NETWORKDAYS(O565,O565,JoursFeries),MEDIAN(MOD(O565,1),HFer,HOuv),HOuv))*24,4))))</f>
        <v/>
      </c>
      <c r="AV565" s="37" t="str">
        <f aca="false">IF(AO565&lt;&gt;1,"",IF(OR(P565="",Q565=""),"",IF(Q565&lt;P565,"",ROUND(((NETWORKDAYS(P565,Q565,JoursFeries)-1)*(HFer-HOuv)+IF(NETWORKDAYS(Q565,Q565,JoursFeries),MEDIAN(MOD(Q565,1),HFer,HOuv),HFer)-IF(NETWORKDAYS(P565,P565,JoursFeries),MEDIAN(MOD(P565,1),HFer,HOuv),HOuv))*24,4))))</f>
        <v/>
      </c>
      <c r="AW565" s="37" t="str">
        <f aca="false">IF(AO565&lt;&gt;1,"",IFERROR(ROUND(IF(OR(P565="",R565=""),"",IF(R565&lt;P565,"",ROUND(((NETWORKDAYS(P565,R565,JoursFeries)-1)*(HFer-HOuv)+IF(NETWORKDAYS(R565,R565,JoursFeries),MEDIAN(MOD(R565,1),HFer,HOuv),HFer)-IF(NETWORKDAYS(P565,P565,JoursFeries),MEDIAN(MOD(P565,1),HFer,HOuv),HOuv))*24,4)))/HJour,4),""))</f>
        <v/>
      </c>
      <c r="AX565" s="37" t="str">
        <f aca="false">IF(AO565&lt;&gt;1,"",IFERROR(ROUND(IF(OR(P565="",S565=""),"",IF(S565&lt;P565,"",ROUND(((NETWORKDAYS(P565,S565,JoursFeries)-1)*(HFer-HOuv)+IF(NETWORKDAYS(S565,S565,JoursFeries),MEDIAN(MOD(S565,1),HFer,HOuv),HFer)-IF(NETWORKDAYS(P565,P565,JoursFeries),MEDIAN(MOD(P565,1),HFer,HOuv),HOuv))*24,4)))/HJour,4),""))</f>
        <v/>
      </c>
      <c r="AY565" s="36" t="str">
        <f aca="false">IF(OR(AO565&lt;&gt;1,AR565=""),"",INDEX(SLA_PEC,AR565))</f>
        <v/>
      </c>
      <c r="AZ565" s="35" t="str">
        <f aca="false">IF(OR(AV565="",AY565=""),"",IF(AV565&lt;=AY565,1,0))</f>
        <v/>
      </c>
      <c r="BA565" s="36" t="str">
        <f aca="false">IF(OR(AO565&lt;&gt;1,AR565=""),"",INDEX(SLA_RES,AR565))</f>
        <v/>
      </c>
      <c r="BB565" s="35" t="str">
        <f aca="false">IF(OR(AW565="",BA565=""),"",IF(AW565&lt;=BA565,1,0))</f>
        <v/>
      </c>
      <c r="BC565" s="38" t="str">
        <f aca="false">IF(OR(BA565="",P565=""),"",WORKDAY(INT(P565),BA565,JoursFeries)+MOD(P565,1))</f>
        <v/>
      </c>
      <c r="BD565" s="39" t="str">
        <f aca="false">IF(AO565&lt;&gt;1,"",IF(OR(AB565&lt;&gt;"",AD565&lt;&gt;""),4,IF(U565&lt;&gt;"",3,IF(T565&lt;&gt;"",2,1))))</f>
        <v/>
      </c>
      <c r="BE565" s="39" t="str">
        <f aca="false">IF(OR(AO565&lt;&gt;1,AR565=""),"",INDEX(NIV_REQ,AR565))</f>
        <v/>
      </c>
      <c r="BF565" s="39" t="str">
        <f aca="false">IF(BE565="","",MAX(BE565,IF(OR(K565="Oui",Z565="Oui"),4,1)))</f>
        <v/>
      </c>
      <c r="BG565" s="35" t="str">
        <f aca="false">IF(OR(BF565="",BD565=""),"",IF(BD565&gt;=BF565,1,0))</f>
        <v/>
      </c>
      <c r="BH565" s="38" t="str">
        <f aca="false">IF(BE565="","",IF(BE565&lt;2,"",IF(BE565=2,IF(AND(T565="",U565=""),"",MIN(T565,U565)),IF(U565="","",U565))))</f>
        <v/>
      </c>
      <c r="BI565" s="37" t="str">
        <f aca="false">IF(BH565="","",IF(OR(O565="",BH565=""),"",IF(BH565&lt;O565,"",ROUND(((NETWORKDAYS(O565,BH565,JoursFeries)-1)*(HFer-HOuv)+IF(NETWORKDAYS(BH565,BH565,JoursFeries),MEDIAN(MOD(BH565,1),HFer,HOuv),HFer)-IF(NETWORKDAYS(O565,O565,JoursFeries),MEDIAN(MOD(O565,1),HFer,HOuv),HOuv))*24,4))))</f>
        <v/>
      </c>
      <c r="BJ565" s="35" t="str">
        <f aca="false">IF(OR(BI565="",AR565=""),"",IF(BI565&lt;=INDEX(DELAI_ESC,AR565),1,0))</f>
        <v/>
      </c>
      <c r="BK565" s="38" t="str">
        <f aca="false">IF(AO565&lt;&gt;1,"",IF(AND(T565="",U565=""),"",MIN(T565,U565)))</f>
        <v/>
      </c>
      <c r="BL565" s="37" t="str">
        <f aca="false">IF(OR(BK565="",R565=""),"",IFERROR(ROUND(IF(OR(BK565="",R565=""),"",IF(R565&lt;BK565,"",ROUND(((NETWORKDAYS(BK565,R565,JoursFeries)-1)*(HFer-HOuv)+IF(NETWORKDAYS(R565,R565,JoursFeries),MEDIAN(MOD(R565,1),HFer,HOuv),HFer)-IF(NETWORKDAYS(BK565,BK565,JoursFeries),MEDIAN(MOD(BK565,1),HFer,HOuv),HOuv))*24,4)))/HJour,4),""))</f>
        <v/>
      </c>
      <c r="BM565" s="35" t="str">
        <f aca="false">IF(OR(AO565&lt;&gt;1,R565=""),"",IF(BD565=1,1,0))</f>
        <v/>
      </c>
      <c r="BN565" s="35" t="str">
        <f aca="false">IF(AO565&lt;&gt;1,"",IF(W565="Oui",1,0))</f>
        <v/>
      </c>
      <c r="BO565" s="35" t="str">
        <f aca="false">IF(AO565&lt;&gt;1,"",IF(X565&lt;&gt;"",1,0))</f>
        <v/>
      </c>
      <c r="BP565" s="35" t="str">
        <f aca="false">IF(AO565&lt;&gt;1,"",IF(Y565="Oui",1,0))</f>
        <v/>
      </c>
      <c r="BQ565" s="35" t="str">
        <f aca="true">IF(OR(AO565&lt;&gt;1,Z565&lt;&gt;"Oui"),"",IF(AB565="",IF(AND(AA565&lt;&gt;"",NOW()&gt;AA565),0,""),IF(AA565="","",IF(AB565&lt;=AA565,1,0))))</f>
        <v/>
      </c>
      <c r="BR565" s="38" t="str">
        <f aca="false">IF(OR(AO565&lt;&gt;1,K565&lt;&gt;"Oui",O565=""),"",IF(AC565="",O565+DORA_H_DET/24,IF(AC565-O565&lt;=DORA_H_DET/24,MIN(AC565+DORA_H_CLA/24,O565+DORA_H_DET/24),AC565+DORA_H_CLA/24)))</f>
        <v/>
      </c>
      <c r="BS565" s="35" t="str">
        <f aca="true">IF(BR565="","",IF(AD565="",IF(NOW()&gt;BR565,0,""),IF(AD565&lt;=BR565,1,0)))</f>
        <v/>
      </c>
      <c r="BT565" s="35" t="str">
        <f aca="true">IF(OR(BR565="",AD565=""),"",IF(AE565="",IF(NOW()&gt;AD565+DORA_H_INT/24,0,""),IF(AE565&lt;=AD565+DORA_H_INT/24,1,0)))</f>
        <v/>
      </c>
      <c r="BU565" s="35" t="str">
        <f aca="true">IF(OR(BR565="",AE565=""),"",IF(AF565="",IF(NOW()&gt;EDATE(AE565,DORA_M_FIN)+1,0,""),IF(AF565&lt;=EDATE(AE565,DORA_M_FIN),1,0)))</f>
        <v/>
      </c>
      <c r="BV565" s="35" t="str">
        <f aca="false">IF(BR565="","",IF(COUNT(BS565:BU565)=0,"",MIN(BS565:BU565)))</f>
        <v/>
      </c>
      <c r="BW565" s="40" t="str">
        <f aca="false">IF(AQ565&lt;&gt;1,"",IF(AND(AG565="",AH565=""),"",N(AG565)-N(AH565)))</f>
        <v/>
      </c>
      <c r="BX565" s="35" t="str">
        <f aca="true">IF(OR(AQ565&lt;&gt;1,AI565&lt;&gt;"Oui",AJ565=""),"",IF(AK565="",IF(NOW()&gt;AJ565+1,0,""),IF(AK565&lt;=AJ565,1,0)))</f>
        <v/>
      </c>
    </row>
    <row r="566" customFormat="false" ht="15" hidden="false" customHeight="false" outlineLevel="0" collapsed="false">
      <c r="B566" s="29"/>
      <c r="C566" s="29"/>
      <c r="D566" s="29"/>
      <c r="E566" s="29"/>
      <c r="F566" s="29"/>
      <c r="G566" s="29"/>
      <c r="H566" s="29"/>
      <c r="I566" s="29"/>
      <c r="J566" s="29"/>
      <c r="K566" s="29"/>
      <c r="L566" s="29"/>
      <c r="M566" s="29"/>
      <c r="N566" s="30"/>
      <c r="O566" s="30"/>
      <c r="P566" s="30"/>
      <c r="Q566" s="30"/>
      <c r="R566" s="30"/>
      <c r="S566" s="30"/>
      <c r="T566" s="30"/>
      <c r="U566" s="30"/>
      <c r="V566" s="31"/>
      <c r="W566" s="29"/>
      <c r="X566" s="29"/>
      <c r="Y566" s="29"/>
      <c r="Z566" s="29"/>
      <c r="AA566" s="30"/>
      <c r="AB566" s="30"/>
      <c r="AC566" s="30"/>
      <c r="AD566" s="30"/>
      <c r="AE566" s="30"/>
      <c r="AF566" s="32"/>
      <c r="AG566" s="33"/>
      <c r="AH566" s="33"/>
      <c r="AI566" s="29"/>
      <c r="AJ566" s="32"/>
      <c r="AK566" s="32"/>
      <c r="AL566" s="29"/>
      <c r="AN566" s="34" t="str">
        <f aca="false">IF($B566="","",IF(OR(C566="",D566="",E566="",G566="",I566="",J566="",L566="",O566="",P566=""),"Champ obligatoire manquant",IF(OR(AND(N566&lt;&gt;"",N566&gt;O566),O566&gt;P566,AND(Q566&lt;&gt;"",Q566&lt;P566),AND(R566&lt;&gt;"",R566&lt;P566),AND(S566&lt;&gt;"",S566&lt;R566),AND(S566&lt;&gt;"",R566=""),AND(T566&lt;&gt;"",T566&lt;O566),AND(U566&lt;&gt;"",U566&lt;O566)),"Chronologie incohérente",IF(AND(OR(L566="Résolu",L566="Clos"),R566=""),"Date de résolution manquante",IF(AND(L566="Clos",S566=""),"Date de clôture manquante",IF(AND(K566="Oui",AC566=""),"Classification DORA manquante","OK"))))))</f>
        <v/>
      </c>
      <c r="AO566" s="35" t="str">
        <f aca="false">IF($B566="","",IF(AND(C566="Incident",L566&lt;&gt;"Annulé"),1,0))</f>
        <v/>
      </c>
      <c r="AP566" s="35" t="str">
        <f aca="false">IF($B566="","",IF(AND(C566="Quasi-incident",L566&lt;&gt;"Annulé"),1,0))</f>
        <v/>
      </c>
      <c r="AQ566" s="35" t="str">
        <f aca="false">IF($B566="","",AO566+AP566)</f>
        <v/>
      </c>
      <c r="AR566" s="36" t="str">
        <f aca="false">IF(OR($B566="",J566=""),"",IFERROR(VALUE(LEFT(J566,1)),""))</f>
        <v/>
      </c>
      <c r="AS566" s="35" t="str">
        <f aca="false">IF(OR(AO566&lt;&gt;1,G566=""),"",IFERROR(IF(INDEX(L_SrcInterne,MATCH(G566,L_Sources,0))="Oui",1,0),""))</f>
        <v/>
      </c>
      <c r="AT566" s="37" t="str">
        <f aca="false">IF(AO566&lt;&gt;1,"",IFERROR(ROUND(IF(OR(N566="",O566=""),"",IF(O566&lt;N566,"",ROUND(((NETWORKDAYS(N566,O566,JoursFeries)-1)*(HFer-HOuv)+IF(NETWORKDAYS(O566,O566,JoursFeries),MEDIAN(MOD(O566,1),HFer,HOuv),HFer)-IF(NETWORKDAYS(N566,N566,JoursFeries),MEDIAN(MOD(N566,1),HFer,HOuv),HOuv))*24,4)))/HJour,4),""))</f>
        <v/>
      </c>
      <c r="AU566" s="37" t="str">
        <f aca="false">IF(AO566&lt;&gt;1,"",IF(OR(O566="",P566=""),"",IF(P566&lt;O566,"",ROUND(((NETWORKDAYS(O566,P566,JoursFeries)-1)*(HFer-HOuv)+IF(NETWORKDAYS(P566,P566,JoursFeries),MEDIAN(MOD(P566,1),HFer,HOuv),HFer)-IF(NETWORKDAYS(O566,O566,JoursFeries),MEDIAN(MOD(O566,1),HFer,HOuv),HOuv))*24,4))))</f>
        <v/>
      </c>
      <c r="AV566" s="37" t="str">
        <f aca="false">IF(AO566&lt;&gt;1,"",IF(OR(P566="",Q566=""),"",IF(Q566&lt;P566,"",ROUND(((NETWORKDAYS(P566,Q566,JoursFeries)-1)*(HFer-HOuv)+IF(NETWORKDAYS(Q566,Q566,JoursFeries),MEDIAN(MOD(Q566,1),HFer,HOuv),HFer)-IF(NETWORKDAYS(P566,P566,JoursFeries),MEDIAN(MOD(P566,1),HFer,HOuv),HOuv))*24,4))))</f>
        <v/>
      </c>
      <c r="AW566" s="37" t="str">
        <f aca="false">IF(AO566&lt;&gt;1,"",IFERROR(ROUND(IF(OR(P566="",R566=""),"",IF(R566&lt;P566,"",ROUND(((NETWORKDAYS(P566,R566,JoursFeries)-1)*(HFer-HOuv)+IF(NETWORKDAYS(R566,R566,JoursFeries),MEDIAN(MOD(R566,1),HFer,HOuv),HFer)-IF(NETWORKDAYS(P566,P566,JoursFeries),MEDIAN(MOD(P566,1),HFer,HOuv),HOuv))*24,4)))/HJour,4),""))</f>
        <v/>
      </c>
      <c r="AX566" s="37" t="str">
        <f aca="false">IF(AO566&lt;&gt;1,"",IFERROR(ROUND(IF(OR(P566="",S566=""),"",IF(S566&lt;P566,"",ROUND(((NETWORKDAYS(P566,S566,JoursFeries)-1)*(HFer-HOuv)+IF(NETWORKDAYS(S566,S566,JoursFeries),MEDIAN(MOD(S566,1),HFer,HOuv),HFer)-IF(NETWORKDAYS(P566,P566,JoursFeries),MEDIAN(MOD(P566,1),HFer,HOuv),HOuv))*24,4)))/HJour,4),""))</f>
        <v/>
      </c>
      <c r="AY566" s="36" t="str">
        <f aca="false">IF(OR(AO566&lt;&gt;1,AR566=""),"",INDEX(SLA_PEC,AR566))</f>
        <v/>
      </c>
      <c r="AZ566" s="35" t="str">
        <f aca="false">IF(OR(AV566="",AY566=""),"",IF(AV566&lt;=AY566,1,0))</f>
        <v/>
      </c>
      <c r="BA566" s="36" t="str">
        <f aca="false">IF(OR(AO566&lt;&gt;1,AR566=""),"",INDEX(SLA_RES,AR566))</f>
        <v/>
      </c>
      <c r="BB566" s="35" t="str">
        <f aca="false">IF(OR(AW566="",BA566=""),"",IF(AW566&lt;=BA566,1,0))</f>
        <v/>
      </c>
      <c r="BC566" s="38" t="str">
        <f aca="false">IF(OR(BA566="",P566=""),"",WORKDAY(INT(P566),BA566,JoursFeries)+MOD(P566,1))</f>
        <v/>
      </c>
      <c r="BD566" s="39" t="str">
        <f aca="false">IF(AO566&lt;&gt;1,"",IF(OR(AB566&lt;&gt;"",AD566&lt;&gt;""),4,IF(U566&lt;&gt;"",3,IF(T566&lt;&gt;"",2,1))))</f>
        <v/>
      </c>
      <c r="BE566" s="39" t="str">
        <f aca="false">IF(OR(AO566&lt;&gt;1,AR566=""),"",INDEX(NIV_REQ,AR566))</f>
        <v/>
      </c>
      <c r="BF566" s="39" t="str">
        <f aca="false">IF(BE566="","",MAX(BE566,IF(OR(K566="Oui",Z566="Oui"),4,1)))</f>
        <v/>
      </c>
      <c r="BG566" s="35" t="str">
        <f aca="false">IF(OR(BF566="",BD566=""),"",IF(BD566&gt;=BF566,1,0))</f>
        <v/>
      </c>
      <c r="BH566" s="38" t="str">
        <f aca="false">IF(BE566="","",IF(BE566&lt;2,"",IF(BE566=2,IF(AND(T566="",U566=""),"",MIN(T566,U566)),IF(U566="","",U566))))</f>
        <v/>
      </c>
      <c r="BI566" s="37" t="str">
        <f aca="false">IF(BH566="","",IF(OR(O566="",BH566=""),"",IF(BH566&lt;O566,"",ROUND(((NETWORKDAYS(O566,BH566,JoursFeries)-1)*(HFer-HOuv)+IF(NETWORKDAYS(BH566,BH566,JoursFeries),MEDIAN(MOD(BH566,1),HFer,HOuv),HFer)-IF(NETWORKDAYS(O566,O566,JoursFeries),MEDIAN(MOD(O566,1),HFer,HOuv),HOuv))*24,4))))</f>
        <v/>
      </c>
      <c r="BJ566" s="35" t="str">
        <f aca="false">IF(OR(BI566="",AR566=""),"",IF(BI566&lt;=INDEX(DELAI_ESC,AR566),1,0))</f>
        <v/>
      </c>
      <c r="BK566" s="38" t="str">
        <f aca="false">IF(AO566&lt;&gt;1,"",IF(AND(T566="",U566=""),"",MIN(T566,U566)))</f>
        <v/>
      </c>
      <c r="BL566" s="37" t="str">
        <f aca="false">IF(OR(BK566="",R566=""),"",IFERROR(ROUND(IF(OR(BK566="",R566=""),"",IF(R566&lt;BK566,"",ROUND(((NETWORKDAYS(BK566,R566,JoursFeries)-1)*(HFer-HOuv)+IF(NETWORKDAYS(R566,R566,JoursFeries),MEDIAN(MOD(R566,1),HFer,HOuv),HFer)-IF(NETWORKDAYS(BK566,BK566,JoursFeries),MEDIAN(MOD(BK566,1),HFer,HOuv),HOuv))*24,4)))/HJour,4),""))</f>
        <v/>
      </c>
      <c r="BM566" s="35" t="str">
        <f aca="false">IF(OR(AO566&lt;&gt;1,R566=""),"",IF(BD566=1,1,0))</f>
        <v/>
      </c>
      <c r="BN566" s="35" t="str">
        <f aca="false">IF(AO566&lt;&gt;1,"",IF(W566="Oui",1,0))</f>
        <v/>
      </c>
      <c r="BO566" s="35" t="str">
        <f aca="false">IF(AO566&lt;&gt;1,"",IF(X566&lt;&gt;"",1,0))</f>
        <v/>
      </c>
      <c r="BP566" s="35" t="str">
        <f aca="false">IF(AO566&lt;&gt;1,"",IF(Y566="Oui",1,0))</f>
        <v/>
      </c>
      <c r="BQ566" s="35" t="str">
        <f aca="true">IF(OR(AO566&lt;&gt;1,Z566&lt;&gt;"Oui"),"",IF(AB566="",IF(AND(AA566&lt;&gt;"",NOW()&gt;AA566),0,""),IF(AA566="","",IF(AB566&lt;=AA566,1,0))))</f>
        <v/>
      </c>
      <c r="BR566" s="38" t="str">
        <f aca="false">IF(OR(AO566&lt;&gt;1,K566&lt;&gt;"Oui",O566=""),"",IF(AC566="",O566+DORA_H_DET/24,IF(AC566-O566&lt;=DORA_H_DET/24,MIN(AC566+DORA_H_CLA/24,O566+DORA_H_DET/24),AC566+DORA_H_CLA/24)))</f>
        <v/>
      </c>
      <c r="BS566" s="35" t="str">
        <f aca="true">IF(BR566="","",IF(AD566="",IF(NOW()&gt;BR566,0,""),IF(AD566&lt;=BR566,1,0)))</f>
        <v/>
      </c>
      <c r="BT566" s="35" t="str">
        <f aca="true">IF(OR(BR566="",AD566=""),"",IF(AE566="",IF(NOW()&gt;AD566+DORA_H_INT/24,0,""),IF(AE566&lt;=AD566+DORA_H_INT/24,1,0)))</f>
        <v/>
      </c>
      <c r="BU566" s="35" t="str">
        <f aca="true">IF(OR(BR566="",AE566=""),"",IF(AF566="",IF(NOW()&gt;EDATE(AE566,DORA_M_FIN)+1,0,""),IF(AF566&lt;=EDATE(AE566,DORA_M_FIN),1,0)))</f>
        <v/>
      </c>
      <c r="BV566" s="35" t="str">
        <f aca="false">IF(BR566="","",IF(COUNT(BS566:BU566)=0,"",MIN(BS566:BU566)))</f>
        <v/>
      </c>
      <c r="BW566" s="40" t="str">
        <f aca="false">IF(AQ566&lt;&gt;1,"",IF(AND(AG566="",AH566=""),"",N(AG566)-N(AH566)))</f>
        <v/>
      </c>
      <c r="BX566" s="35" t="str">
        <f aca="true">IF(OR(AQ566&lt;&gt;1,AI566&lt;&gt;"Oui",AJ566=""),"",IF(AK566="",IF(NOW()&gt;AJ566+1,0,""),IF(AK566&lt;=AJ566,1,0)))</f>
        <v/>
      </c>
    </row>
    <row r="567" customFormat="false" ht="15" hidden="false" customHeight="false" outlineLevel="0" collapsed="false">
      <c r="B567" s="29"/>
      <c r="C567" s="29"/>
      <c r="D567" s="29"/>
      <c r="E567" s="29"/>
      <c r="F567" s="29"/>
      <c r="G567" s="29"/>
      <c r="H567" s="29"/>
      <c r="I567" s="29"/>
      <c r="J567" s="29"/>
      <c r="K567" s="29"/>
      <c r="L567" s="29"/>
      <c r="M567" s="29"/>
      <c r="N567" s="30"/>
      <c r="O567" s="30"/>
      <c r="P567" s="30"/>
      <c r="Q567" s="30"/>
      <c r="R567" s="30"/>
      <c r="S567" s="30"/>
      <c r="T567" s="30"/>
      <c r="U567" s="30"/>
      <c r="V567" s="31"/>
      <c r="W567" s="29"/>
      <c r="X567" s="29"/>
      <c r="Y567" s="29"/>
      <c r="Z567" s="29"/>
      <c r="AA567" s="30"/>
      <c r="AB567" s="30"/>
      <c r="AC567" s="30"/>
      <c r="AD567" s="30"/>
      <c r="AE567" s="30"/>
      <c r="AF567" s="32"/>
      <c r="AG567" s="33"/>
      <c r="AH567" s="33"/>
      <c r="AI567" s="29"/>
      <c r="AJ567" s="32"/>
      <c r="AK567" s="32"/>
      <c r="AL567" s="29"/>
      <c r="AN567" s="34" t="str">
        <f aca="false">IF($B567="","",IF(OR(C567="",D567="",E567="",G567="",I567="",J567="",L567="",O567="",P567=""),"Champ obligatoire manquant",IF(OR(AND(N567&lt;&gt;"",N567&gt;O567),O567&gt;P567,AND(Q567&lt;&gt;"",Q567&lt;P567),AND(R567&lt;&gt;"",R567&lt;P567),AND(S567&lt;&gt;"",S567&lt;R567),AND(S567&lt;&gt;"",R567=""),AND(T567&lt;&gt;"",T567&lt;O567),AND(U567&lt;&gt;"",U567&lt;O567)),"Chronologie incohérente",IF(AND(OR(L567="Résolu",L567="Clos"),R567=""),"Date de résolution manquante",IF(AND(L567="Clos",S567=""),"Date de clôture manquante",IF(AND(K567="Oui",AC567=""),"Classification DORA manquante","OK"))))))</f>
        <v/>
      </c>
      <c r="AO567" s="35" t="str">
        <f aca="false">IF($B567="","",IF(AND(C567="Incident",L567&lt;&gt;"Annulé"),1,0))</f>
        <v/>
      </c>
      <c r="AP567" s="35" t="str">
        <f aca="false">IF($B567="","",IF(AND(C567="Quasi-incident",L567&lt;&gt;"Annulé"),1,0))</f>
        <v/>
      </c>
      <c r="AQ567" s="35" t="str">
        <f aca="false">IF($B567="","",AO567+AP567)</f>
        <v/>
      </c>
      <c r="AR567" s="36" t="str">
        <f aca="false">IF(OR($B567="",J567=""),"",IFERROR(VALUE(LEFT(J567,1)),""))</f>
        <v/>
      </c>
      <c r="AS567" s="35" t="str">
        <f aca="false">IF(OR(AO567&lt;&gt;1,G567=""),"",IFERROR(IF(INDEX(L_SrcInterne,MATCH(G567,L_Sources,0))="Oui",1,0),""))</f>
        <v/>
      </c>
      <c r="AT567" s="37" t="str">
        <f aca="false">IF(AO567&lt;&gt;1,"",IFERROR(ROUND(IF(OR(N567="",O567=""),"",IF(O567&lt;N567,"",ROUND(((NETWORKDAYS(N567,O567,JoursFeries)-1)*(HFer-HOuv)+IF(NETWORKDAYS(O567,O567,JoursFeries),MEDIAN(MOD(O567,1),HFer,HOuv),HFer)-IF(NETWORKDAYS(N567,N567,JoursFeries),MEDIAN(MOD(N567,1),HFer,HOuv),HOuv))*24,4)))/HJour,4),""))</f>
        <v/>
      </c>
      <c r="AU567" s="37" t="str">
        <f aca="false">IF(AO567&lt;&gt;1,"",IF(OR(O567="",P567=""),"",IF(P567&lt;O567,"",ROUND(((NETWORKDAYS(O567,P567,JoursFeries)-1)*(HFer-HOuv)+IF(NETWORKDAYS(P567,P567,JoursFeries),MEDIAN(MOD(P567,1),HFer,HOuv),HFer)-IF(NETWORKDAYS(O567,O567,JoursFeries),MEDIAN(MOD(O567,1),HFer,HOuv),HOuv))*24,4))))</f>
        <v/>
      </c>
      <c r="AV567" s="37" t="str">
        <f aca="false">IF(AO567&lt;&gt;1,"",IF(OR(P567="",Q567=""),"",IF(Q567&lt;P567,"",ROUND(((NETWORKDAYS(P567,Q567,JoursFeries)-1)*(HFer-HOuv)+IF(NETWORKDAYS(Q567,Q567,JoursFeries),MEDIAN(MOD(Q567,1),HFer,HOuv),HFer)-IF(NETWORKDAYS(P567,P567,JoursFeries),MEDIAN(MOD(P567,1),HFer,HOuv),HOuv))*24,4))))</f>
        <v/>
      </c>
      <c r="AW567" s="37" t="str">
        <f aca="false">IF(AO567&lt;&gt;1,"",IFERROR(ROUND(IF(OR(P567="",R567=""),"",IF(R567&lt;P567,"",ROUND(((NETWORKDAYS(P567,R567,JoursFeries)-1)*(HFer-HOuv)+IF(NETWORKDAYS(R567,R567,JoursFeries),MEDIAN(MOD(R567,1),HFer,HOuv),HFer)-IF(NETWORKDAYS(P567,P567,JoursFeries),MEDIAN(MOD(P567,1),HFer,HOuv),HOuv))*24,4)))/HJour,4),""))</f>
        <v/>
      </c>
      <c r="AX567" s="37" t="str">
        <f aca="false">IF(AO567&lt;&gt;1,"",IFERROR(ROUND(IF(OR(P567="",S567=""),"",IF(S567&lt;P567,"",ROUND(((NETWORKDAYS(P567,S567,JoursFeries)-1)*(HFer-HOuv)+IF(NETWORKDAYS(S567,S567,JoursFeries),MEDIAN(MOD(S567,1),HFer,HOuv),HFer)-IF(NETWORKDAYS(P567,P567,JoursFeries),MEDIAN(MOD(P567,1),HFer,HOuv),HOuv))*24,4)))/HJour,4),""))</f>
        <v/>
      </c>
      <c r="AY567" s="36" t="str">
        <f aca="false">IF(OR(AO567&lt;&gt;1,AR567=""),"",INDEX(SLA_PEC,AR567))</f>
        <v/>
      </c>
      <c r="AZ567" s="35" t="str">
        <f aca="false">IF(OR(AV567="",AY567=""),"",IF(AV567&lt;=AY567,1,0))</f>
        <v/>
      </c>
      <c r="BA567" s="36" t="str">
        <f aca="false">IF(OR(AO567&lt;&gt;1,AR567=""),"",INDEX(SLA_RES,AR567))</f>
        <v/>
      </c>
      <c r="BB567" s="35" t="str">
        <f aca="false">IF(OR(AW567="",BA567=""),"",IF(AW567&lt;=BA567,1,0))</f>
        <v/>
      </c>
      <c r="BC567" s="38" t="str">
        <f aca="false">IF(OR(BA567="",P567=""),"",WORKDAY(INT(P567),BA567,JoursFeries)+MOD(P567,1))</f>
        <v/>
      </c>
      <c r="BD567" s="39" t="str">
        <f aca="false">IF(AO567&lt;&gt;1,"",IF(OR(AB567&lt;&gt;"",AD567&lt;&gt;""),4,IF(U567&lt;&gt;"",3,IF(T567&lt;&gt;"",2,1))))</f>
        <v/>
      </c>
      <c r="BE567" s="39" t="str">
        <f aca="false">IF(OR(AO567&lt;&gt;1,AR567=""),"",INDEX(NIV_REQ,AR567))</f>
        <v/>
      </c>
      <c r="BF567" s="39" t="str">
        <f aca="false">IF(BE567="","",MAX(BE567,IF(OR(K567="Oui",Z567="Oui"),4,1)))</f>
        <v/>
      </c>
      <c r="BG567" s="35" t="str">
        <f aca="false">IF(OR(BF567="",BD567=""),"",IF(BD567&gt;=BF567,1,0))</f>
        <v/>
      </c>
      <c r="BH567" s="38" t="str">
        <f aca="false">IF(BE567="","",IF(BE567&lt;2,"",IF(BE567=2,IF(AND(T567="",U567=""),"",MIN(T567,U567)),IF(U567="","",U567))))</f>
        <v/>
      </c>
      <c r="BI567" s="37" t="str">
        <f aca="false">IF(BH567="","",IF(OR(O567="",BH567=""),"",IF(BH567&lt;O567,"",ROUND(((NETWORKDAYS(O567,BH567,JoursFeries)-1)*(HFer-HOuv)+IF(NETWORKDAYS(BH567,BH567,JoursFeries),MEDIAN(MOD(BH567,1),HFer,HOuv),HFer)-IF(NETWORKDAYS(O567,O567,JoursFeries),MEDIAN(MOD(O567,1),HFer,HOuv),HOuv))*24,4))))</f>
        <v/>
      </c>
      <c r="BJ567" s="35" t="str">
        <f aca="false">IF(OR(BI567="",AR567=""),"",IF(BI567&lt;=INDEX(DELAI_ESC,AR567),1,0))</f>
        <v/>
      </c>
      <c r="BK567" s="38" t="str">
        <f aca="false">IF(AO567&lt;&gt;1,"",IF(AND(T567="",U567=""),"",MIN(T567,U567)))</f>
        <v/>
      </c>
      <c r="BL567" s="37" t="str">
        <f aca="false">IF(OR(BK567="",R567=""),"",IFERROR(ROUND(IF(OR(BK567="",R567=""),"",IF(R567&lt;BK567,"",ROUND(((NETWORKDAYS(BK567,R567,JoursFeries)-1)*(HFer-HOuv)+IF(NETWORKDAYS(R567,R567,JoursFeries),MEDIAN(MOD(R567,1),HFer,HOuv),HFer)-IF(NETWORKDAYS(BK567,BK567,JoursFeries),MEDIAN(MOD(BK567,1),HFer,HOuv),HOuv))*24,4)))/HJour,4),""))</f>
        <v/>
      </c>
      <c r="BM567" s="35" t="str">
        <f aca="false">IF(OR(AO567&lt;&gt;1,R567=""),"",IF(BD567=1,1,0))</f>
        <v/>
      </c>
      <c r="BN567" s="35" t="str">
        <f aca="false">IF(AO567&lt;&gt;1,"",IF(W567="Oui",1,0))</f>
        <v/>
      </c>
      <c r="BO567" s="35" t="str">
        <f aca="false">IF(AO567&lt;&gt;1,"",IF(X567&lt;&gt;"",1,0))</f>
        <v/>
      </c>
      <c r="BP567" s="35" t="str">
        <f aca="false">IF(AO567&lt;&gt;1,"",IF(Y567="Oui",1,0))</f>
        <v/>
      </c>
      <c r="BQ567" s="35" t="str">
        <f aca="true">IF(OR(AO567&lt;&gt;1,Z567&lt;&gt;"Oui"),"",IF(AB567="",IF(AND(AA567&lt;&gt;"",NOW()&gt;AA567),0,""),IF(AA567="","",IF(AB567&lt;=AA567,1,0))))</f>
        <v/>
      </c>
      <c r="BR567" s="38" t="str">
        <f aca="false">IF(OR(AO567&lt;&gt;1,K567&lt;&gt;"Oui",O567=""),"",IF(AC567="",O567+DORA_H_DET/24,IF(AC567-O567&lt;=DORA_H_DET/24,MIN(AC567+DORA_H_CLA/24,O567+DORA_H_DET/24),AC567+DORA_H_CLA/24)))</f>
        <v/>
      </c>
      <c r="BS567" s="35" t="str">
        <f aca="true">IF(BR567="","",IF(AD567="",IF(NOW()&gt;BR567,0,""),IF(AD567&lt;=BR567,1,0)))</f>
        <v/>
      </c>
      <c r="BT567" s="35" t="str">
        <f aca="true">IF(OR(BR567="",AD567=""),"",IF(AE567="",IF(NOW()&gt;AD567+DORA_H_INT/24,0,""),IF(AE567&lt;=AD567+DORA_H_INT/24,1,0)))</f>
        <v/>
      </c>
      <c r="BU567" s="35" t="str">
        <f aca="true">IF(OR(BR567="",AE567=""),"",IF(AF567="",IF(NOW()&gt;EDATE(AE567,DORA_M_FIN)+1,0,""),IF(AF567&lt;=EDATE(AE567,DORA_M_FIN),1,0)))</f>
        <v/>
      </c>
      <c r="BV567" s="35" t="str">
        <f aca="false">IF(BR567="","",IF(COUNT(BS567:BU567)=0,"",MIN(BS567:BU567)))</f>
        <v/>
      </c>
      <c r="BW567" s="40" t="str">
        <f aca="false">IF(AQ567&lt;&gt;1,"",IF(AND(AG567="",AH567=""),"",N(AG567)-N(AH567)))</f>
        <v/>
      </c>
      <c r="BX567" s="35" t="str">
        <f aca="true">IF(OR(AQ567&lt;&gt;1,AI567&lt;&gt;"Oui",AJ567=""),"",IF(AK567="",IF(NOW()&gt;AJ567+1,0,""),IF(AK567&lt;=AJ567,1,0)))</f>
        <v/>
      </c>
    </row>
    <row r="568" customFormat="false" ht="15" hidden="false" customHeight="false" outlineLevel="0" collapsed="false">
      <c r="B568" s="29"/>
      <c r="C568" s="29"/>
      <c r="D568" s="29"/>
      <c r="E568" s="29"/>
      <c r="F568" s="29"/>
      <c r="G568" s="29"/>
      <c r="H568" s="29"/>
      <c r="I568" s="29"/>
      <c r="J568" s="29"/>
      <c r="K568" s="29"/>
      <c r="L568" s="29"/>
      <c r="M568" s="29"/>
      <c r="N568" s="30"/>
      <c r="O568" s="30"/>
      <c r="P568" s="30"/>
      <c r="Q568" s="30"/>
      <c r="R568" s="30"/>
      <c r="S568" s="30"/>
      <c r="T568" s="30"/>
      <c r="U568" s="30"/>
      <c r="V568" s="31"/>
      <c r="W568" s="29"/>
      <c r="X568" s="29"/>
      <c r="Y568" s="29"/>
      <c r="Z568" s="29"/>
      <c r="AA568" s="30"/>
      <c r="AB568" s="30"/>
      <c r="AC568" s="30"/>
      <c r="AD568" s="30"/>
      <c r="AE568" s="30"/>
      <c r="AF568" s="32"/>
      <c r="AG568" s="33"/>
      <c r="AH568" s="33"/>
      <c r="AI568" s="29"/>
      <c r="AJ568" s="32"/>
      <c r="AK568" s="32"/>
      <c r="AL568" s="29"/>
      <c r="AN568" s="34" t="str">
        <f aca="false">IF($B568="","",IF(OR(C568="",D568="",E568="",G568="",I568="",J568="",L568="",O568="",P568=""),"Champ obligatoire manquant",IF(OR(AND(N568&lt;&gt;"",N568&gt;O568),O568&gt;P568,AND(Q568&lt;&gt;"",Q568&lt;P568),AND(R568&lt;&gt;"",R568&lt;P568),AND(S568&lt;&gt;"",S568&lt;R568),AND(S568&lt;&gt;"",R568=""),AND(T568&lt;&gt;"",T568&lt;O568),AND(U568&lt;&gt;"",U568&lt;O568)),"Chronologie incohérente",IF(AND(OR(L568="Résolu",L568="Clos"),R568=""),"Date de résolution manquante",IF(AND(L568="Clos",S568=""),"Date de clôture manquante",IF(AND(K568="Oui",AC568=""),"Classification DORA manquante","OK"))))))</f>
        <v/>
      </c>
      <c r="AO568" s="35" t="str">
        <f aca="false">IF($B568="","",IF(AND(C568="Incident",L568&lt;&gt;"Annulé"),1,0))</f>
        <v/>
      </c>
      <c r="AP568" s="35" t="str">
        <f aca="false">IF($B568="","",IF(AND(C568="Quasi-incident",L568&lt;&gt;"Annulé"),1,0))</f>
        <v/>
      </c>
      <c r="AQ568" s="35" t="str">
        <f aca="false">IF($B568="","",AO568+AP568)</f>
        <v/>
      </c>
      <c r="AR568" s="36" t="str">
        <f aca="false">IF(OR($B568="",J568=""),"",IFERROR(VALUE(LEFT(J568,1)),""))</f>
        <v/>
      </c>
      <c r="AS568" s="35" t="str">
        <f aca="false">IF(OR(AO568&lt;&gt;1,G568=""),"",IFERROR(IF(INDEX(L_SrcInterne,MATCH(G568,L_Sources,0))="Oui",1,0),""))</f>
        <v/>
      </c>
      <c r="AT568" s="37" t="str">
        <f aca="false">IF(AO568&lt;&gt;1,"",IFERROR(ROUND(IF(OR(N568="",O568=""),"",IF(O568&lt;N568,"",ROUND(((NETWORKDAYS(N568,O568,JoursFeries)-1)*(HFer-HOuv)+IF(NETWORKDAYS(O568,O568,JoursFeries),MEDIAN(MOD(O568,1),HFer,HOuv),HFer)-IF(NETWORKDAYS(N568,N568,JoursFeries),MEDIAN(MOD(N568,1),HFer,HOuv),HOuv))*24,4)))/HJour,4),""))</f>
        <v/>
      </c>
      <c r="AU568" s="37" t="str">
        <f aca="false">IF(AO568&lt;&gt;1,"",IF(OR(O568="",P568=""),"",IF(P568&lt;O568,"",ROUND(((NETWORKDAYS(O568,P568,JoursFeries)-1)*(HFer-HOuv)+IF(NETWORKDAYS(P568,P568,JoursFeries),MEDIAN(MOD(P568,1),HFer,HOuv),HFer)-IF(NETWORKDAYS(O568,O568,JoursFeries),MEDIAN(MOD(O568,1),HFer,HOuv),HOuv))*24,4))))</f>
        <v/>
      </c>
      <c r="AV568" s="37" t="str">
        <f aca="false">IF(AO568&lt;&gt;1,"",IF(OR(P568="",Q568=""),"",IF(Q568&lt;P568,"",ROUND(((NETWORKDAYS(P568,Q568,JoursFeries)-1)*(HFer-HOuv)+IF(NETWORKDAYS(Q568,Q568,JoursFeries),MEDIAN(MOD(Q568,1),HFer,HOuv),HFer)-IF(NETWORKDAYS(P568,P568,JoursFeries),MEDIAN(MOD(P568,1),HFer,HOuv),HOuv))*24,4))))</f>
        <v/>
      </c>
      <c r="AW568" s="37" t="str">
        <f aca="false">IF(AO568&lt;&gt;1,"",IFERROR(ROUND(IF(OR(P568="",R568=""),"",IF(R568&lt;P568,"",ROUND(((NETWORKDAYS(P568,R568,JoursFeries)-1)*(HFer-HOuv)+IF(NETWORKDAYS(R568,R568,JoursFeries),MEDIAN(MOD(R568,1),HFer,HOuv),HFer)-IF(NETWORKDAYS(P568,P568,JoursFeries),MEDIAN(MOD(P568,1),HFer,HOuv),HOuv))*24,4)))/HJour,4),""))</f>
        <v/>
      </c>
      <c r="AX568" s="37" t="str">
        <f aca="false">IF(AO568&lt;&gt;1,"",IFERROR(ROUND(IF(OR(P568="",S568=""),"",IF(S568&lt;P568,"",ROUND(((NETWORKDAYS(P568,S568,JoursFeries)-1)*(HFer-HOuv)+IF(NETWORKDAYS(S568,S568,JoursFeries),MEDIAN(MOD(S568,1),HFer,HOuv),HFer)-IF(NETWORKDAYS(P568,P568,JoursFeries),MEDIAN(MOD(P568,1),HFer,HOuv),HOuv))*24,4)))/HJour,4),""))</f>
        <v/>
      </c>
      <c r="AY568" s="36" t="str">
        <f aca="false">IF(OR(AO568&lt;&gt;1,AR568=""),"",INDEX(SLA_PEC,AR568))</f>
        <v/>
      </c>
      <c r="AZ568" s="35" t="str">
        <f aca="false">IF(OR(AV568="",AY568=""),"",IF(AV568&lt;=AY568,1,0))</f>
        <v/>
      </c>
      <c r="BA568" s="36" t="str">
        <f aca="false">IF(OR(AO568&lt;&gt;1,AR568=""),"",INDEX(SLA_RES,AR568))</f>
        <v/>
      </c>
      <c r="BB568" s="35" t="str">
        <f aca="false">IF(OR(AW568="",BA568=""),"",IF(AW568&lt;=BA568,1,0))</f>
        <v/>
      </c>
      <c r="BC568" s="38" t="str">
        <f aca="false">IF(OR(BA568="",P568=""),"",WORKDAY(INT(P568),BA568,JoursFeries)+MOD(P568,1))</f>
        <v/>
      </c>
      <c r="BD568" s="39" t="str">
        <f aca="false">IF(AO568&lt;&gt;1,"",IF(OR(AB568&lt;&gt;"",AD568&lt;&gt;""),4,IF(U568&lt;&gt;"",3,IF(T568&lt;&gt;"",2,1))))</f>
        <v/>
      </c>
      <c r="BE568" s="39" t="str">
        <f aca="false">IF(OR(AO568&lt;&gt;1,AR568=""),"",INDEX(NIV_REQ,AR568))</f>
        <v/>
      </c>
      <c r="BF568" s="39" t="str">
        <f aca="false">IF(BE568="","",MAX(BE568,IF(OR(K568="Oui",Z568="Oui"),4,1)))</f>
        <v/>
      </c>
      <c r="BG568" s="35" t="str">
        <f aca="false">IF(OR(BF568="",BD568=""),"",IF(BD568&gt;=BF568,1,0))</f>
        <v/>
      </c>
      <c r="BH568" s="38" t="str">
        <f aca="false">IF(BE568="","",IF(BE568&lt;2,"",IF(BE568=2,IF(AND(T568="",U568=""),"",MIN(T568,U568)),IF(U568="","",U568))))</f>
        <v/>
      </c>
      <c r="BI568" s="37" t="str">
        <f aca="false">IF(BH568="","",IF(OR(O568="",BH568=""),"",IF(BH568&lt;O568,"",ROUND(((NETWORKDAYS(O568,BH568,JoursFeries)-1)*(HFer-HOuv)+IF(NETWORKDAYS(BH568,BH568,JoursFeries),MEDIAN(MOD(BH568,1),HFer,HOuv),HFer)-IF(NETWORKDAYS(O568,O568,JoursFeries),MEDIAN(MOD(O568,1),HFer,HOuv),HOuv))*24,4))))</f>
        <v/>
      </c>
      <c r="BJ568" s="35" t="str">
        <f aca="false">IF(OR(BI568="",AR568=""),"",IF(BI568&lt;=INDEX(DELAI_ESC,AR568),1,0))</f>
        <v/>
      </c>
      <c r="BK568" s="38" t="str">
        <f aca="false">IF(AO568&lt;&gt;1,"",IF(AND(T568="",U568=""),"",MIN(T568,U568)))</f>
        <v/>
      </c>
      <c r="BL568" s="37" t="str">
        <f aca="false">IF(OR(BK568="",R568=""),"",IFERROR(ROUND(IF(OR(BK568="",R568=""),"",IF(R568&lt;BK568,"",ROUND(((NETWORKDAYS(BK568,R568,JoursFeries)-1)*(HFer-HOuv)+IF(NETWORKDAYS(R568,R568,JoursFeries),MEDIAN(MOD(R568,1),HFer,HOuv),HFer)-IF(NETWORKDAYS(BK568,BK568,JoursFeries),MEDIAN(MOD(BK568,1),HFer,HOuv),HOuv))*24,4)))/HJour,4),""))</f>
        <v/>
      </c>
      <c r="BM568" s="35" t="str">
        <f aca="false">IF(OR(AO568&lt;&gt;1,R568=""),"",IF(BD568=1,1,0))</f>
        <v/>
      </c>
      <c r="BN568" s="35" t="str">
        <f aca="false">IF(AO568&lt;&gt;1,"",IF(W568="Oui",1,0))</f>
        <v/>
      </c>
      <c r="BO568" s="35" t="str">
        <f aca="false">IF(AO568&lt;&gt;1,"",IF(X568&lt;&gt;"",1,0))</f>
        <v/>
      </c>
      <c r="BP568" s="35" t="str">
        <f aca="false">IF(AO568&lt;&gt;1,"",IF(Y568="Oui",1,0))</f>
        <v/>
      </c>
      <c r="BQ568" s="35" t="str">
        <f aca="true">IF(OR(AO568&lt;&gt;1,Z568&lt;&gt;"Oui"),"",IF(AB568="",IF(AND(AA568&lt;&gt;"",NOW()&gt;AA568),0,""),IF(AA568="","",IF(AB568&lt;=AA568,1,0))))</f>
        <v/>
      </c>
      <c r="BR568" s="38" t="str">
        <f aca="false">IF(OR(AO568&lt;&gt;1,K568&lt;&gt;"Oui",O568=""),"",IF(AC568="",O568+DORA_H_DET/24,IF(AC568-O568&lt;=DORA_H_DET/24,MIN(AC568+DORA_H_CLA/24,O568+DORA_H_DET/24),AC568+DORA_H_CLA/24)))</f>
        <v/>
      </c>
      <c r="BS568" s="35" t="str">
        <f aca="true">IF(BR568="","",IF(AD568="",IF(NOW()&gt;BR568,0,""),IF(AD568&lt;=BR568,1,0)))</f>
        <v/>
      </c>
      <c r="BT568" s="35" t="str">
        <f aca="true">IF(OR(BR568="",AD568=""),"",IF(AE568="",IF(NOW()&gt;AD568+DORA_H_INT/24,0,""),IF(AE568&lt;=AD568+DORA_H_INT/24,1,0)))</f>
        <v/>
      </c>
      <c r="BU568" s="35" t="str">
        <f aca="true">IF(OR(BR568="",AE568=""),"",IF(AF568="",IF(NOW()&gt;EDATE(AE568,DORA_M_FIN)+1,0,""),IF(AF568&lt;=EDATE(AE568,DORA_M_FIN),1,0)))</f>
        <v/>
      </c>
      <c r="BV568" s="35" t="str">
        <f aca="false">IF(BR568="","",IF(COUNT(BS568:BU568)=0,"",MIN(BS568:BU568)))</f>
        <v/>
      </c>
      <c r="BW568" s="40" t="str">
        <f aca="false">IF(AQ568&lt;&gt;1,"",IF(AND(AG568="",AH568=""),"",N(AG568)-N(AH568)))</f>
        <v/>
      </c>
      <c r="BX568" s="35" t="str">
        <f aca="true">IF(OR(AQ568&lt;&gt;1,AI568&lt;&gt;"Oui",AJ568=""),"",IF(AK568="",IF(NOW()&gt;AJ568+1,0,""),IF(AK568&lt;=AJ568,1,0)))</f>
        <v/>
      </c>
    </row>
    <row r="569" customFormat="false" ht="15" hidden="false" customHeight="false" outlineLevel="0" collapsed="false">
      <c r="B569" s="29"/>
      <c r="C569" s="29"/>
      <c r="D569" s="29"/>
      <c r="E569" s="29"/>
      <c r="F569" s="29"/>
      <c r="G569" s="29"/>
      <c r="H569" s="29"/>
      <c r="I569" s="29"/>
      <c r="J569" s="29"/>
      <c r="K569" s="29"/>
      <c r="L569" s="29"/>
      <c r="M569" s="29"/>
      <c r="N569" s="30"/>
      <c r="O569" s="30"/>
      <c r="P569" s="30"/>
      <c r="Q569" s="30"/>
      <c r="R569" s="30"/>
      <c r="S569" s="30"/>
      <c r="T569" s="30"/>
      <c r="U569" s="30"/>
      <c r="V569" s="31"/>
      <c r="W569" s="29"/>
      <c r="X569" s="29"/>
      <c r="Y569" s="29"/>
      <c r="Z569" s="29"/>
      <c r="AA569" s="30"/>
      <c r="AB569" s="30"/>
      <c r="AC569" s="30"/>
      <c r="AD569" s="30"/>
      <c r="AE569" s="30"/>
      <c r="AF569" s="32"/>
      <c r="AG569" s="33"/>
      <c r="AH569" s="33"/>
      <c r="AI569" s="29"/>
      <c r="AJ569" s="32"/>
      <c r="AK569" s="32"/>
      <c r="AL569" s="29"/>
      <c r="AN569" s="34" t="str">
        <f aca="false">IF($B569="","",IF(OR(C569="",D569="",E569="",G569="",I569="",J569="",L569="",O569="",P569=""),"Champ obligatoire manquant",IF(OR(AND(N569&lt;&gt;"",N569&gt;O569),O569&gt;P569,AND(Q569&lt;&gt;"",Q569&lt;P569),AND(R569&lt;&gt;"",R569&lt;P569),AND(S569&lt;&gt;"",S569&lt;R569),AND(S569&lt;&gt;"",R569=""),AND(T569&lt;&gt;"",T569&lt;O569),AND(U569&lt;&gt;"",U569&lt;O569)),"Chronologie incohérente",IF(AND(OR(L569="Résolu",L569="Clos"),R569=""),"Date de résolution manquante",IF(AND(L569="Clos",S569=""),"Date de clôture manquante",IF(AND(K569="Oui",AC569=""),"Classification DORA manquante","OK"))))))</f>
        <v/>
      </c>
      <c r="AO569" s="35" t="str">
        <f aca="false">IF($B569="","",IF(AND(C569="Incident",L569&lt;&gt;"Annulé"),1,0))</f>
        <v/>
      </c>
      <c r="AP569" s="35" t="str">
        <f aca="false">IF($B569="","",IF(AND(C569="Quasi-incident",L569&lt;&gt;"Annulé"),1,0))</f>
        <v/>
      </c>
      <c r="AQ569" s="35" t="str">
        <f aca="false">IF($B569="","",AO569+AP569)</f>
        <v/>
      </c>
      <c r="AR569" s="36" t="str">
        <f aca="false">IF(OR($B569="",J569=""),"",IFERROR(VALUE(LEFT(J569,1)),""))</f>
        <v/>
      </c>
      <c r="AS569" s="35" t="str">
        <f aca="false">IF(OR(AO569&lt;&gt;1,G569=""),"",IFERROR(IF(INDEX(L_SrcInterne,MATCH(G569,L_Sources,0))="Oui",1,0),""))</f>
        <v/>
      </c>
      <c r="AT569" s="37" t="str">
        <f aca="false">IF(AO569&lt;&gt;1,"",IFERROR(ROUND(IF(OR(N569="",O569=""),"",IF(O569&lt;N569,"",ROUND(((NETWORKDAYS(N569,O569,JoursFeries)-1)*(HFer-HOuv)+IF(NETWORKDAYS(O569,O569,JoursFeries),MEDIAN(MOD(O569,1),HFer,HOuv),HFer)-IF(NETWORKDAYS(N569,N569,JoursFeries),MEDIAN(MOD(N569,1),HFer,HOuv),HOuv))*24,4)))/HJour,4),""))</f>
        <v/>
      </c>
      <c r="AU569" s="37" t="str">
        <f aca="false">IF(AO569&lt;&gt;1,"",IF(OR(O569="",P569=""),"",IF(P569&lt;O569,"",ROUND(((NETWORKDAYS(O569,P569,JoursFeries)-1)*(HFer-HOuv)+IF(NETWORKDAYS(P569,P569,JoursFeries),MEDIAN(MOD(P569,1),HFer,HOuv),HFer)-IF(NETWORKDAYS(O569,O569,JoursFeries),MEDIAN(MOD(O569,1),HFer,HOuv),HOuv))*24,4))))</f>
        <v/>
      </c>
      <c r="AV569" s="37" t="str">
        <f aca="false">IF(AO569&lt;&gt;1,"",IF(OR(P569="",Q569=""),"",IF(Q569&lt;P569,"",ROUND(((NETWORKDAYS(P569,Q569,JoursFeries)-1)*(HFer-HOuv)+IF(NETWORKDAYS(Q569,Q569,JoursFeries),MEDIAN(MOD(Q569,1),HFer,HOuv),HFer)-IF(NETWORKDAYS(P569,P569,JoursFeries),MEDIAN(MOD(P569,1),HFer,HOuv),HOuv))*24,4))))</f>
        <v/>
      </c>
      <c r="AW569" s="37" t="str">
        <f aca="false">IF(AO569&lt;&gt;1,"",IFERROR(ROUND(IF(OR(P569="",R569=""),"",IF(R569&lt;P569,"",ROUND(((NETWORKDAYS(P569,R569,JoursFeries)-1)*(HFer-HOuv)+IF(NETWORKDAYS(R569,R569,JoursFeries),MEDIAN(MOD(R569,1),HFer,HOuv),HFer)-IF(NETWORKDAYS(P569,P569,JoursFeries),MEDIAN(MOD(P569,1),HFer,HOuv),HOuv))*24,4)))/HJour,4),""))</f>
        <v/>
      </c>
      <c r="AX569" s="37" t="str">
        <f aca="false">IF(AO569&lt;&gt;1,"",IFERROR(ROUND(IF(OR(P569="",S569=""),"",IF(S569&lt;P569,"",ROUND(((NETWORKDAYS(P569,S569,JoursFeries)-1)*(HFer-HOuv)+IF(NETWORKDAYS(S569,S569,JoursFeries),MEDIAN(MOD(S569,1),HFer,HOuv),HFer)-IF(NETWORKDAYS(P569,P569,JoursFeries),MEDIAN(MOD(P569,1),HFer,HOuv),HOuv))*24,4)))/HJour,4),""))</f>
        <v/>
      </c>
      <c r="AY569" s="36" t="str">
        <f aca="false">IF(OR(AO569&lt;&gt;1,AR569=""),"",INDEX(SLA_PEC,AR569))</f>
        <v/>
      </c>
      <c r="AZ569" s="35" t="str">
        <f aca="false">IF(OR(AV569="",AY569=""),"",IF(AV569&lt;=AY569,1,0))</f>
        <v/>
      </c>
      <c r="BA569" s="36" t="str">
        <f aca="false">IF(OR(AO569&lt;&gt;1,AR569=""),"",INDEX(SLA_RES,AR569))</f>
        <v/>
      </c>
      <c r="BB569" s="35" t="str">
        <f aca="false">IF(OR(AW569="",BA569=""),"",IF(AW569&lt;=BA569,1,0))</f>
        <v/>
      </c>
      <c r="BC569" s="38" t="str">
        <f aca="false">IF(OR(BA569="",P569=""),"",WORKDAY(INT(P569),BA569,JoursFeries)+MOD(P569,1))</f>
        <v/>
      </c>
      <c r="BD569" s="39" t="str">
        <f aca="false">IF(AO569&lt;&gt;1,"",IF(OR(AB569&lt;&gt;"",AD569&lt;&gt;""),4,IF(U569&lt;&gt;"",3,IF(T569&lt;&gt;"",2,1))))</f>
        <v/>
      </c>
      <c r="BE569" s="39" t="str">
        <f aca="false">IF(OR(AO569&lt;&gt;1,AR569=""),"",INDEX(NIV_REQ,AR569))</f>
        <v/>
      </c>
      <c r="BF569" s="39" t="str">
        <f aca="false">IF(BE569="","",MAX(BE569,IF(OR(K569="Oui",Z569="Oui"),4,1)))</f>
        <v/>
      </c>
      <c r="BG569" s="35" t="str">
        <f aca="false">IF(OR(BF569="",BD569=""),"",IF(BD569&gt;=BF569,1,0))</f>
        <v/>
      </c>
      <c r="BH569" s="38" t="str">
        <f aca="false">IF(BE569="","",IF(BE569&lt;2,"",IF(BE569=2,IF(AND(T569="",U569=""),"",MIN(T569,U569)),IF(U569="","",U569))))</f>
        <v/>
      </c>
      <c r="BI569" s="37" t="str">
        <f aca="false">IF(BH569="","",IF(OR(O569="",BH569=""),"",IF(BH569&lt;O569,"",ROUND(((NETWORKDAYS(O569,BH569,JoursFeries)-1)*(HFer-HOuv)+IF(NETWORKDAYS(BH569,BH569,JoursFeries),MEDIAN(MOD(BH569,1),HFer,HOuv),HFer)-IF(NETWORKDAYS(O569,O569,JoursFeries),MEDIAN(MOD(O569,1),HFer,HOuv),HOuv))*24,4))))</f>
        <v/>
      </c>
      <c r="BJ569" s="35" t="str">
        <f aca="false">IF(OR(BI569="",AR569=""),"",IF(BI569&lt;=INDEX(DELAI_ESC,AR569),1,0))</f>
        <v/>
      </c>
      <c r="BK569" s="38" t="str">
        <f aca="false">IF(AO569&lt;&gt;1,"",IF(AND(T569="",U569=""),"",MIN(T569,U569)))</f>
        <v/>
      </c>
      <c r="BL569" s="37" t="str">
        <f aca="false">IF(OR(BK569="",R569=""),"",IFERROR(ROUND(IF(OR(BK569="",R569=""),"",IF(R569&lt;BK569,"",ROUND(((NETWORKDAYS(BK569,R569,JoursFeries)-1)*(HFer-HOuv)+IF(NETWORKDAYS(R569,R569,JoursFeries),MEDIAN(MOD(R569,1),HFer,HOuv),HFer)-IF(NETWORKDAYS(BK569,BK569,JoursFeries),MEDIAN(MOD(BK569,1),HFer,HOuv),HOuv))*24,4)))/HJour,4),""))</f>
        <v/>
      </c>
      <c r="BM569" s="35" t="str">
        <f aca="false">IF(OR(AO569&lt;&gt;1,R569=""),"",IF(BD569=1,1,0))</f>
        <v/>
      </c>
      <c r="BN569" s="35" t="str">
        <f aca="false">IF(AO569&lt;&gt;1,"",IF(W569="Oui",1,0))</f>
        <v/>
      </c>
      <c r="BO569" s="35" t="str">
        <f aca="false">IF(AO569&lt;&gt;1,"",IF(X569&lt;&gt;"",1,0))</f>
        <v/>
      </c>
      <c r="BP569" s="35" t="str">
        <f aca="false">IF(AO569&lt;&gt;1,"",IF(Y569="Oui",1,0))</f>
        <v/>
      </c>
      <c r="BQ569" s="35" t="str">
        <f aca="true">IF(OR(AO569&lt;&gt;1,Z569&lt;&gt;"Oui"),"",IF(AB569="",IF(AND(AA569&lt;&gt;"",NOW()&gt;AA569),0,""),IF(AA569="","",IF(AB569&lt;=AA569,1,0))))</f>
        <v/>
      </c>
      <c r="BR569" s="38" t="str">
        <f aca="false">IF(OR(AO569&lt;&gt;1,K569&lt;&gt;"Oui",O569=""),"",IF(AC569="",O569+DORA_H_DET/24,IF(AC569-O569&lt;=DORA_H_DET/24,MIN(AC569+DORA_H_CLA/24,O569+DORA_H_DET/24),AC569+DORA_H_CLA/24)))</f>
        <v/>
      </c>
      <c r="BS569" s="35" t="str">
        <f aca="true">IF(BR569="","",IF(AD569="",IF(NOW()&gt;BR569,0,""),IF(AD569&lt;=BR569,1,0)))</f>
        <v/>
      </c>
      <c r="BT569" s="35" t="str">
        <f aca="true">IF(OR(BR569="",AD569=""),"",IF(AE569="",IF(NOW()&gt;AD569+DORA_H_INT/24,0,""),IF(AE569&lt;=AD569+DORA_H_INT/24,1,0)))</f>
        <v/>
      </c>
      <c r="BU569" s="35" t="str">
        <f aca="true">IF(OR(BR569="",AE569=""),"",IF(AF569="",IF(NOW()&gt;EDATE(AE569,DORA_M_FIN)+1,0,""),IF(AF569&lt;=EDATE(AE569,DORA_M_FIN),1,0)))</f>
        <v/>
      </c>
      <c r="BV569" s="35" t="str">
        <f aca="false">IF(BR569="","",IF(COUNT(BS569:BU569)=0,"",MIN(BS569:BU569)))</f>
        <v/>
      </c>
      <c r="BW569" s="40" t="str">
        <f aca="false">IF(AQ569&lt;&gt;1,"",IF(AND(AG569="",AH569=""),"",N(AG569)-N(AH569)))</f>
        <v/>
      </c>
      <c r="BX569" s="35" t="str">
        <f aca="true">IF(OR(AQ569&lt;&gt;1,AI569&lt;&gt;"Oui",AJ569=""),"",IF(AK569="",IF(NOW()&gt;AJ569+1,0,""),IF(AK569&lt;=AJ569,1,0)))</f>
        <v/>
      </c>
    </row>
    <row r="570" customFormat="false" ht="15" hidden="false" customHeight="false" outlineLevel="0" collapsed="false">
      <c r="B570" s="29"/>
      <c r="C570" s="29"/>
      <c r="D570" s="29"/>
      <c r="E570" s="29"/>
      <c r="F570" s="29"/>
      <c r="G570" s="29"/>
      <c r="H570" s="29"/>
      <c r="I570" s="29"/>
      <c r="J570" s="29"/>
      <c r="K570" s="29"/>
      <c r="L570" s="29"/>
      <c r="M570" s="29"/>
      <c r="N570" s="30"/>
      <c r="O570" s="30"/>
      <c r="P570" s="30"/>
      <c r="Q570" s="30"/>
      <c r="R570" s="30"/>
      <c r="S570" s="30"/>
      <c r="T570" s="30"/>
      <c r="U570" s="30"/>
      <c r="V570" s="31"/>
      <c r="W570" s="29"/>
      <c r="X570" s="29"/>
      <c r="Y570" s="29"/>
      <c r="Z570" s="29"/>
      <c r="AA570" s="30"/>
      <c r="AB570" s="30"/>
      <c r="AC570" s="30"/>
      <c r="AD570" s="30"/>
      <c r="AE570" s="30"/>
      <c r="AF570" s="32"/>
      <c r="AG570" s="33"/>
      <c r="AH570" s="33"/>
      <c r="AI570" s="29"/>
      <c r="AJ570" s="32"/>
      <c r="AK570" s="32"/>
      <c r="AL570" s="29"/>
      <c r="AN570" s="34" t="str">
        <f aca="false">IF($B570="","",IF(OR(C570="",D570="",E570="",G570="",I570="",J570="",L570="",O570="",P570=""),"Champ obligatoire manquant",IF(OR(AND(N570&lt;&gt;"",N570&gt;O570),O570&gt;P570,AND(Q570&lt;&gt;"",Q570&lt;P570),AND(R570&lt;&gt;"",R570&lt;P570),AND(S570&lt;&gt;"",S570&lt;R570),AND(S570&lt;&gt;"",R570=""),AND(T570&lt;&gt;"",T570&lt;O570),AND(U570&lt;&gt;"",U570&lt;O570)),"Chronologie incohérente",IF(AND(OR(L570="Résolu",L570="Clos"),R570=""),"Date de résolution manquante",IF(AND(L570="Clos",S570=""),"Date de clôture manquante",IF(AND(K570="Oui",AC570=""),"Classification DORA manquante","OK"))))))</f>
        <v/>
      </c>
      <c r="AO570" s="35" t="str">
        <f aca="false">IF($B570="","",IF(AND(C570="Incident",L570&lt;&gt;"Annulé"),1,0))</f>
        <v/>
      </c>
      <c r="AP570" s="35" t="str">
        <f aca="false">IF($B570="","",IF(AND(C570="Quasi-incident",L570&lt;&gt;"Annulé"),1,0))</f>
        <v/>
      </c>
      <c r="AQ570" s="35" t="str">
        <f aca="false">IF($B570="","",AO570+AP570)</f>
        <v/>
      </c>
      <c r="AR570" s="36" t="str">
        <f aca="false">IF(OR($B570="",J570=""),"",IFERROR(VALUE(LEFT(J570,1)),""))</f>
        <v/>
      </c>
      <c r="AS570" s="35" t="str">
        <f aca="false">IF(OR(AO570&lt;&gt;1,G570=""),"",IFERROR(IF(INDEX(L_SrcInterne,MATCH(G570,L_Sources,0))="Oui",1,0),""))</f>
        <v/>
      </c>
      <c r="AT570" s="37" t="str">
        <f aca="false">IF(AO570&lt;&gt;1,"",IFERROR(ROUND(IF(OR(N570="",O570=""),"",IF(O570&lt;N570,"",ROUND(((NETWORKDAYS(N570,O570,JoursFeries)-1)*(HFer-HOuv)+IF(NETWORKDAYS(O570,O570,JoursFeries),MEDIAN(MOD(O570,1),HFer,HOuv),HFer)-IF(NETWORKDAYS(N570,N570,JoursFeries),MEDIAN(MOD(N570,1),HFer,HOuv),HOuv))*24,4)))/HJour,4),""))</f>
        <v/>
      </c>
      <c r="AU570" s="37" t="str">
        <f aca="false">IF(AO570&lt;&gt;1,"",IF(OR(O570="",P570=""),"",IF(P570&lt;O570,"",ROUND(((NETWORKDAYS(O570,P570,JoursFeries)-1)*(HFer-HOuv)+IF(NETWORKDAYS(P570,P570,JoursFeries),MEDIAN(MOD(P570,1),HFer,HOuv),HFer)-IF(NETWORKDAYS(O570,O570,JoursFeries),MEDIAN(MOD(O570,1),HFer,HOuv),HOuv))*24,4))))</f>
        <v/>
      </c>
      <c r="AV570" s="37" t="str">
        <f aca="false">IF(AO570&lt;&gt;1,"",IF(OR(P570="",Q570=""),"",IF(Q570&lt;P570,"",ROUND(((NETWORKDAYS(P570,Q570,JoursFeries)-1)*(HFer-HOuv)+IF(NETWORKDAYS(Q570,Q570,JoursFeries),MEDIAN(MOD(Q570,1),HFer,HOuv),HFer)-IF(NETWORKDAYS(P570,P570,JoursFeries),MEDIAN(MOD(P570,1),HFer,HOuv),HOuv))*24,4))))</f>
        <v/>
      </c>
      <c r="AW570" s="37" t="str">
        <f aca="false">IF(AO570&lt;&gt;1,"",IFERROR(ROUND(IF(OR(P570="",R570=""),"",IF(R570&lt;P570,"",ROUND(((NETWORKDAYS(P570,R570,JoursFeries)-1)*(HFer-HOuv)+IF(NETWORKDAYS(R570,R570,JoursFeries),MEDIAN(MOD(R570,1),HFer,HOuv),HFer)-IF(NETWORKDAYS(P570,P570,JoursFeries),MEDIAN(MOD(P570,1),HFer,HOuv),HOuv))*24,4)))/HJour,4),""))</f>
        <v/>
      </c>
      <c r="AX570" s="37" t="str">
        <f aca="false">IF(AO570&lt;&gt;1,"",IFERROR(ROUND(IF(OR(P570="",S570=""),"",IF(S570&lt;P570,"",ROUND(((NETWORKDAYS(P570,S570,JoursFeries)-1)*(HFer-HOuv)+IF(NETWORKDAYS(S570,S570,JoursFeries),MEDIAN(MOD(S570,1),HFer,HOuv),HFer)-IF(NETWORKDAYS(P570,P570,JoursFeries),MEDIAN(MOD(P570,1),HFer,HOuv),HOuv))*24,4)))/HJour,4),""))</f>
        <v/>
      </c>
      <c r="AY570" s="36" t="str">
        <f aca="false">IF(OR(AO570&lt;&gt;1,AR570=""),"",INDEX(SLA_PEC,AR570))</f>
        <v/>
      </c>
      <c r="AZ570" s="35" t="str">
        <f aca="false">IF(OR(AV570="",AY570=""),"",IF(AV570&lt;=AY570,1,0))</f>
        <v/>
      </c>
      <c r="BA570" s="36" t="str">
        <f aca="false">IF(OR(AO570&lt;&gt;1,AR570=""),"",INDEX(SLA_RES,AR570))</f>
        <v/>
      </c>
      <c r="BB570" s="35" t="str">
        <f aca="false">IF(OR(AW570="",BA570=""),"",IF(AW570&lt;=BA570,1,0))</f>
        <v/>
      </c>
      <c r="BC570" s="38" t="str">
        <f aca="false">IF(OR(BA570="",P570=""),"",WORKDAY(INT(P570),BA570,JoursFeries)+MOD(P570,1))</f>
        <v/>
      </c>
      <c r="BD570" s="39" t="str">
        <f aca="false">IF(AO570&lt;&gt;1,"",IF(OR(AB570&lt;&gt;"",AD570&lt;&gt;""),4,IF(U570&lt;&gt;"",3,IF(T570&lt;&gt;"",2,1))))</f>
        <v/>
      </c>
      <c r="BE570" s="39" t="str">
        <f aca="false">IF(OR(AO570&lt;&gt;1,AR570=""),"",INDEX(NIV_REQ,AR570))</f>
        <v/>
      </c>
      <c r="BF570" s="39" t="str">
        <f aca="false">IF(BE570="","",MAX(BE570,IF(OR(K570="Oui",Z570="Oui"),4,1)))</f>
        <v/>
      </c>
      <c r="BG570" s="35" t="str">
        <f aca="false">IF(OR(BF570="",BD570=""),"",IF(BD570&gt;=BF570,1,0))</f>
        <v/>
      </c>
      <c r="BH570" s="38" t="str">
        <f aca="false">IF(BE570="","",IF(BE570&lt;2,"",IF(BE570=2,IF(AND(T570="",U570=""),"",MIN(T570,U570)),IF(U570="","",U570))))</f>
        <v/>
      </c>
      <c r="BI570" s="37" t="str">
        <f aca="false">IF(BH570="","",IF(OR(O570="",BH570=""),"",IF(BH570&lt;O570,"",ROUND(((NETWORKDAYS(O570,BH570,JoursFeries)-1)*(HFer-HOuv)+IF(NETWORKDAYS(BH570,BH570,JoursFeries),MEDIAN(MOD(BH570,1),HFer,HOuv),HFer)-IF(NETWORKDAYS(O570,O570,JoursFeries),MEDIAN(MOD(O570,1),HFer,HOuv),HOuv))*24,4))))</f>
        <v/>
      </c>
      <c r="BJ570" s="35" t="str">
        <f aca="false">IF(OR(BI570="",AR570=""),"",IF(BI570&lt;=INDEX(DELAI_ESC,AR570),1,0))</f>
        <v/>
      </c>
      <c r="BK570" s="38" t="str">
        <f aca="false">IF(AO570&lt;&gt;1,"",IF(AND(T570="",U570=""),"",MIN(T570,U570)))</f>
        <v/>
      </c>
      <c r="BL570" s="37" t="str">
        <f aca="false">IF(OR(BK570="",R570=""),"",IFERROR(ROUND(IF(OR(BK570="",R570=""),"",IF(R570&lt;BK570,"",ROUND(((NETWORKDAYS(BK570,R570,JoursFeries)-1)*(HFer-HOuv)+IF(NETWORKDAYS(R570,R570,JoursFeries),MEDIAN(MOD(R570,1),HFer,HOuv),HFer)-IF(NETWORKDAYS(BK570,BK570,JoursFeries),MEDIAN(MOD(BK570,1),HFer,HOuv),HOuv))*24,4)))/HJour,4),""))</f>
        <v/>
      </c>
      <c r="BM570" s="35" t="str">
        <f aca="false">IF(OR(AO570&lt;&gt;1,R570=""),"",IF(BD570=1,1,0))</f>
        <v/>
      </c>
      <c r="BN570" s="35" t="str">
        <f aca="false">IF(AO570&lt;&gt;1,"",IF(W570="Oui",1,0))</f>
        <v/>
      </c>
      <c r="BO570" s="35" t="str">
        <f aca="false">IF(AO570&lt;&gt;1,"",IF(X570&lt;&gt;"",1,0))</f>
        <v/>
      </c>
      <c r="BP570" s="35" t="str">
        <f aca="false">IF(AO570&lt;&gt;1,"",IF(Y570="Oui",1,0))</f>
        <v/>
      </c>
      <c r="BQ570" s="35" t="str">
        <f aca="true">IF(OR(AO570&lt;&gt;1,Z570&lt;&gt;"Oui"),"",IF(AB570="",IF(AND(AA570&lt;&gt;"",NOW()&gt;AA570),0,""),IF(AA570="","",IF(AB570&lt;=AA570,1,0))))</f>
        <v/>
      </c>
      <c r="BR570" s="38" t="str">
        <f aca="false">IF(OR(AO570&lt;&gt;1,K570&lt;&gt;"Oui",O570=""),"",IF(AC570="",O570+DORA_H_DET/24,IF(AC570-O570&lt;=DORA_H_DET/24,MIN(AC570+DORA_H_CLA/24,O570+DORA_H_DET/24),AC570+DORA_H_CLA/24)))</f>
        <v/>
      </c>
      <c r="BS570" s="35" t="str">
        <f aca="true">IF(BR570="","",IF(AD570="",IF(NOW()&gt;BR570,0,""),IF(AD570&lt;=BR570,1,0)))</f>
        <v/>
      </c>
      <c r="BT570" s="35" t="str">
        <f aca="true">IF(OR(BR570="",AD570=""),"",IF(AE570="",IF(NOW()&gt;AD570+DORA_H_INT/24,0,""),IF(AE570&lt;=AD570+DORA_H_INT/24,1,0)))</f>
        <v/>
      </c>
      <c r="BU570" s="35" t="str">
        <f aca="true">IF(OR(BR570="",AE570=""),"",IF(AF570="",IF(NOW()&gt;EDATE(AE570,DORA_M_FIN)+1,0,""),IF(AF570&lt;=EDATE(AE570,DORA_M_FIN),1,0)))</f>
        <v/>
      </c>
      <c r="BV570" s="35" t="str">
        <f aca="false">IF(BR570="","",IF(COUNT(BS570:BU570)=0,"",MIN(BS570:BU570)))</f>
        <v/>
      </c>
      <c r="BW570" s="40" t="str">
        <f aca="false">IF(AQ570&lt;&gt;1,"",IF(AND(AG570="",AH570=""),"",N(AG570)-N(AH570)))</f>
        <v/>
      </c>
      <c r="BX570" s="35" t="str">
        <f aca="true">IF(OR(AQ570&lt;&gt;1,AI570&lt;&gt;"Oui",AJ570=""),"",IF(AK570="",IF(NOW()&gt;AJ570+1,0,""),IF(AK570&lt;=AJ570,1,0)))</f>
        <v/>
      </c>
    </row>
    <row r="571" customFormat="false" ht="15" hidden="false" customHeight="false" outlineLevel="0" collapsed="false">
      <c r="B571" s="29"/>
      <c r="C571" s="29"/>
      <c r="D571" s="29"/>
      <c r="E571" s="29"/>
      <c r="F571" s="29"/>
      <c r="G571" s="29"/>
      <c r="H571" s="29"/>
      <c r="I571" s="29"/>
      <c r="J571" s="29"/>
      <c r="K571" s="29"/>
      <c r="L571" s="29"/>
      <c r="M571" s="29"/>
      <c r="N571" s="30"/>
      <c r="O571" s="30"/>
      <c r="P571" s="30"/>
      <c r="Q571" s="30"/>
      <c r="R571" s="30"/>
      <c r="S571" s="30"/>
      <c r="T571" s="30"/>
      <c r="U571" s="30"/>
      <c r="V571" s="31"/>
      <c r="W571" s="29"/>
      <c r="X571" s="29"/>
      <c r="Y571" s="29"/>
      <c r="Z571" s="29"/>
      <c r="AA571" s="30"/>
      <c r="AB571" s="30"/>
      <c r="AC571" s="30"/>
      <c r="AD571" s="30"/>
      <c r="AE571" s="30"/>
      <c r="AF571" s="32"/>
      <c r="AG571" s="33"/>
      <c r="AH571" s="33"/>
      <c r="AI571" s="29"/>
      <c r="AJ571" s="32"/>
      <c r="AK571" s="32"/>
      <c r="AL571" s="29"/>
      <c r="AN571" s="34" t="str">
        <f aca="false">IF($B571="","",IF(OR(C571="",D571="",E571="",G571="",I571="",J571="",L571="",O571="",P571=""),"Champ obligatoire manquant",IF(OR(AND(N571&lt;&gt;"",N571&gt;O571),O571&gt;P571,AND(Q571&lt;&gt;"",Q571&lt;P571),AND(R571&lt;&gt;"",R571&lt;P571),AND(S571&lt;&gt;"",S571&lt;R571),AND(S571&lt;&gt;"",R571=""),AND(T571&lt;&gt;"",T571&lt;O571),AND(U571&lt;&gt;"",U571&lt;O571)),"Chronologie incohérente",IF(AND(OR(L571="Résolu",L571="Clos"),R571=""),"Date de résolution manquante",IF(AND(L571="Clos",S571=""),"Date de clôture manquante",IF(AND(K571="Oui",AC571=""),"Classification DORA manquante","OK"))))))</f>
        <v/>
      </c>
      <c r="AO571" s="35" t="str">
        <f aca="false">IF($B571="","",IF(AND(C571="Incident",L571&lt;&gt;"Annulé"),1,0))</f>
        <v/>
      </c>
      <c r="AP571" s="35" t="str">
        <f aca="false">IF($B571="","",IF(AND(C571="Quasi-incident",L571&lt;&gt;"Annulé"),1,0))</f>
        <v/>
      </c>
      <c r="AQ571" s="35" t="str">
        <f aca="false">IF($B571="","",AO571+AP571)</f>
        <v/>
      </c>
      <c r="AR571" s="36" t="str">
        <f aca="false">IF(OR($B571="",J571=""),"",IFERROR(VALUE(LEFT(J571,1)),""))</f>
        <v/>
      </c>
      <c r="AS571" s="35" t="str">
        <f aca="false">IF(OR(AO571&lt;&gt;1,G571=""),"",IFERROR(IF(INDEX(L_SrcInterne,MATCH(G571,L_Sources,0))="Oui",1,0),""))</f>
        <v/>
      </c>
      <c r="AT571" s="37" t="str">
        <f aca="false">IF(AO571&lt;&gt;1,"",IFERROR(ROUND(IF(OR(N571="",O571=""),"",IF(O571&lt;N571,"",ROUND(((NETWORKDAYS(N571,O571,JoursFeries)-1)*(HFer-HOuv)+IF(NETWORKDAYS(O571,O571,JoursFeries),MEDIAN(MOD(O571,1),HFer,HOuv),HFer)-IF(NETWORKDAYS(N571,N571,JoursFeries),MEDIAN(MOD(N571,1),HFer,HOuv),HOuv))*24,4)))/HJour,4),""))</f>
        <v/>
      </c>
      <c r="AU571" s="37" t="str">
        <f aca="false">IF(AO571&lt;&gt;1,"",IF(OR(O571="",P571=""),"",IF(P571&lt;O571,"",ROUND(((NETWORKDAYS(O571,P571,JoursFeries)-1)*(HFer-HOuv)+IF(NETWORKDAYS(P571,P571,JoursFeries),MEDIAN(MOD(P571,1),HFer,HOuv),HFer)-IF(NETWORKDAYS(O571,O571,JoursFeries),MEDIAN(MOD(O571,1),HFer,HOuv),HOuv))*24,4))))</f>
        <v/>
      </c>
      <c r="AV571" s="37" t="str">
        <f aca="false">IF(AO571&lt;&gt;1,"",IF(OR(P571="",Q571=""),"",IF(Q571&lt;P571,"",ROUND(((NETWORKDAYS(P571,Q571,JoursFeries)-1)*(HFer-HOuv)+IF(NETWORKDAYS(Q571,Q571,JoursFeries),MEDIAN(MOD(Q571,1),HFer,HOuv),HFer)-IF(NETWORKDAYS(P571,P571,JoursFeries),MEDIAN(MOD(P571,1),HFer,HOuv),HOuv))*24,4))))</f>
        <v/>
      </c>
      <c r="AW571" s="37" t="str">
        <f aca="false">IF(AO571&lt;&gt;1,"",IFERROR(ROUND(IF(OR(P571="",R571=""),"",IF(R571&lt;P571,"",ROUND(((NETWORKDAYS(P571,R571,JoursFeries)-1)*(HFer-HOuv)+IF(NETWORKDAYS(R571,R571,JoursFeries),MEDIAN(MOD(R571,1),HFer,HOuv),HFer)-IF(NETWORKDAYS(P571,P571,JoursFeries),MEDIAN(MOD(P571,1),HFer,HOuv),HOuv))*24,4)))/HJour,4),""))</f>
        <v/>
      </c>
      <c r="AX571" s="37" t="str">
        <f aca="false">IF(AO571&lt;&gt;1,"",IFERROR(ROUND(IF(OR(P571="",S571=""),"",IF(S571&lt;P571,"",ROUND(((NETWORKDAYS(P571,S571,JoursFeries)-1)*(HFer-HOuv)+IF(NETWORKDAYS(S571,S571,JoursFeries),MEDIAN(MOD(S571,1),HFer,HOuv),HFer)-IF(NETWORKDAYS(P571,P571,JoursFeries),MEDIAN(MOD(P571,1),HFer,HOuv),HOuv))*24,4)))/HJour,4),""))</f>
        <v/>
      </c>
      <c r="AY571" s="36" t="str">
        <f aca="false">IF(OR(AO571&lt;&gt;1,AR571=""),"",INDEX(SLA_PEC,AR571))</f>
        <v/>
      </c>
      <c r="AZ571" s="35" t="str">
        <f aca="false">IF(OR(AV571="",AY571=""),"",IF(AV571&lt;=AY571,1,0))</f>
        <v/>
      </c>
      <c r="BA571" s="36" t="str">
        <f aca="false">IF(OR(AO571&lt;&gt;1,AR571=""),"",INDEX(SLA_RES,AR571))</f>
        <v/>
      </c>
      <c r="BB571" s="35" t="str">
        <f aca="false">IF(OR(AW571="",BA571=""),"",IF(AW571&lt;=BA571,1,0))</f>
        <v/>
      </c>
      <c r="BC571" s="38" t="str">
        <f aca="false">IF(OR(BA571="",P571=""),"",WORKDAY(INT(P571),BA571,JoursFeries)+MOD(P571,1))</f>
        <v/>
      </c>
      <c r="BD571" s="39" t="str">
        <f aca="false">IF(AO571&lt;&gt;1,"",IF(OR(AB571&lt;&gt;"",AD571&lt;&gt;""),4,IF(U571&lt;&gt;"",3,IF(T571&lt;&gt;"",2,1))))</f>
        <v/>
      </c>
      <c r="BE571" s="39" t="str">
        <f aca="false">IF(OR(AO571&lt;&gt;1,AR571=""),"",INDEX(NIV_REQ,AR571))</f>
        <v/>
      </c>
      <c r="BF571" s="39" t="str">
        <f aca="false">IF(BE571="","",MAX(BE571,IF(OR(K571="Oui",Z571="Oui"),4,1)))</f>
        <v/>
      </c>
      <c r="BG571" s="35" t="str">
        <f aca="false">IF(OR(BF571="",BD571=""),"",IF(BD571&gt;=BF571,1,0))</f>
        <v/>
      </c>
      <c r="BH571" s="38" t="str">
        <f aca="false">IF(BE571="","",IF(BE571&lt;2,"",IF(BE571=2,IF(AND(T571="",U571=""),"",MIN(T571,U571)),IF(U571="","",U571))))</f>
        <v/>
      </c>
      <c r="BI571" s="37" t="str">
        <f aca="false">IF(BH571="","",IF(OR(O571="",BH571=""),"",IF(BH571&lt;O571,"",ROUND(((NETWORKDAYS(O571,BH571,JoursFeries)-1)*(HFer-HOuv)+IF(NETWORKDAYS(BH571,BH571,JoursFeries),MEDIAN(MOD(BH571,1),HFer,HOuv),HFer)-IF(NETWORKDAYS(O571,O571,JoursFeries),MEDIAN(MOD(O571,1),HFer,HOuv),HOuv))*24,4))))</f>
        <v/>
      </c>
      <c r="BJ571" s="35" t="str">
        <f aca="false">IF(OR(BI571="",AR571=""),"",IF(BI571&lt;=INDEX(DELAI_ESC,AR571),1,0))</f>
        <v/>
      </c>
      <c r="BK571" s="38" t="str">
        <f aca="false">IF(AO571&lt;&gt;1,"",IF(AND(T571="",U571=""),"",MIN(T571,U571)))</f>
        <v/>
      </c>
      <c r="BL571" s="37" t="str">
        <f aca="false">IF(OR(BK571="",R571=""),"",IFERROR(ROUND(IF(OR(BK571="",R571=""),"",IF(R571&lt;BK571,"",ROUND(((NETWORKDAYS(BK571,R571,JoursFeries)-1)*(HFer-HOuv)+IF(NETWORKDAYS(R571,R571,JoursFeries),MEDIAN(MOD(R571,1),HFer,HOuv),HFer)-IF(NETWORKDAYS(BK571,BK571,JoursFeries),MEDIAN(MOD(BK571,1),HFer,HOuv),HOuv))*24,4)))/HJour,4),""))</f>
        <v/>
      </c>
      <c r="BM571" s="35" t="str">
        <f aca="false">IF(OR(AO571&lt;&gt;1,R571=""),"",IF(BD571=1,1,0))</f>
        <v/>
      </c>
      <c r="BN571" s="35" t="str">
        <f aca="false">IF(AO571&lt;&gt;1,"",IF(W571="Oui",1,0))</f>
        <v/>
      </c>
      <c r="BO571" s="35" t="str">
        <f aca="false">IF(AO571&lt;&gt;1,"",IF(X571&lt;&gt;"",1,0))</f>
        <v/>
      </c>
      <c r="BP571" s="35" t="str">
        <f aca="false">IF(AO571&lt;&gt;1,"",IF(Y571="Oui",1,0))</f>
        <v/>
      </c>
      <c r="BQ571" s="35" t="str">
        <f aca="true">IF(OR(AO571&lt;&gt;1,Z571&lt;&gt;"Oui"),"",IF(AB571="",IF(AND(AA571&lt;&gt;"",NOW()&gt;AA571),0,""),IF(AA571="","",IF(AB571&lt;=AA571,1,0))))</f>
        <v/>
      </c>
      <c r="BR571" s="38" t="str">
        <f aca="false">IF(OR(AO571&lt;&gt;1,K571&lt;&gt;"Oui",O571=""),"",IF(AC571="",O571+DORA_H_DET/24,IF(AC571-O571&lt;=DORA_H_DET/24,MIN(AC571+DORA_H_CLA/24,O571+DORA_H_DET/24),AC571+DORA_H_CLA/24)))</f>
        <v/>
      </c>
      <c r="BS571" s="35" t="str">
        <f aca="true">IF(BR571="","",IF(AD571="",IF(NOW()&gt;BR571,0,""),IF(AD571&lt;=BR571,1,0)))</f>
        <v/>
      </c>
      <c r="BT571" s="35" t="str">
        <f aca="true">IF(OR(BR571="",AD571=""),"",IF(AE571="",IF(NOW()&gt;AD571+DORA_H_INT/24,0,""),IF(AE571&lt;=AD571+DORA_H_INT/24,1,0)))</f>
        <v/>
      </c>
      <c r="BU571" s="35" t="str">
        <f aca="true">IF(OR(BR571="",AE571=""),"",IF(AF571="",IF(NOW()&gt;EDATE(AE571,DORA_M_FIN)+1,0,""),IF(AF571&lt;=EDATE(AE571,DORA_M_FIN),1,0)))</f>
        <v/>
      </c>
      <c r="BV571" s="35" t="str">
        <f aca="false">IF(BR571="","",IF(COUNT(BS571:BU571)=0,"",MIN(BS571:BU571)))</f>
        <v/>
      </c>
      <c r="BW571" s="40" t="str">
        <f aca="false">IF(AQ571&lt;&gt;1,"",IF(AND(AG571="",AH571=""),"",N(AG571)-N(AH571)))</f>
        <v/>
      </c>
      <c r="BX571" s="35" t="str">
        <f aca="true">IF(OR(AQ571&lt;&gt;1,AI571&lt;&gt;"Oui",AJ571=""),"",IF(AK571="",IF(NOW()&gt;AJ571+1,0,""),IF(AK571&lt;=AJ571,1,0)))</f>
        <v/>
      </c>
    </row>
    <row r="572" customFormat="false" ht="15" hidden="false" customHeight="false" outlineLevel="0" collapsed="false">
      <c r="B572" s="29"/>
      <c r="C572" s="29"/>
      <c r="D572" s="29"/>
      <c r="E572" s="29"/>
      <c r="F572" s="29"/>
      <c r="G572" s="29"/>
      <c r="H572" s="29"/>
      <c r="I572" s="29"/>
      <c r="J572" s="29"/>
      <c r="K572" s="29"/>
      <c r="L572" s="29"/>
      <c r="M572" s="29"/>
      <c r="N572" s="30"/>
      <c r="O572" s="30"/>
      <c r="P572" s="30"/>
      <c r="Q572" s="30"/>
      <c r="R572" s="30"/>
      <c r="S572" s="30"/>
      <c r="T572" s="30"/>
      <c r="U572" s="30"/>
      <c r="V572" s="31"/>
      <c r="W572" s="29"/>
      <c r="X572" s="29"/>
      <c r="Y572" s="29"/>
      <c r="Z572" s="29"/>
      <c r="AA572" s="30"/>
      <c r="AB572" s="30"/>
      <c r="AC572" s="30"/>
      <c r="AD572" s="30"/>
      <c r="AE572" s="30"/>
      <c r="AF572" s="32"/>
      <c r="AG572" s="33"/>
      <c r="AH572" s="33"/>
      <c r="AI572" s="29"/>
      <c r="AJ572" s="32"/>
      <c r="AK572" s="32"/>
      <c r="AL572" s="29"/>
      <c r="AN572" s="34" t="str">
        <f aca="false">IF($B572="","",IF(OR(C572="",D572="",E572="",G572="",I572="",J572="",L572="",O572="",P572=""),"Champ obligatoire manquant",IF(OR(AND(N572&lt;&gt;"",N572&gt;O572),O572&gt;P572,AND(Q572&lt;&gt;"",Q572&lt;P572),AND(R572&lt;&gt;"",R572&lt;P572),AND(S572&lt;&gt;"",S572&lt;R572),AND(S572&lt;&gt;"",R572=""),AND(T572&lt;&gt;"",T572&lt;O572),AND(U572&lt;&gt;"",U572&lt;O572)),"Chronologie incohérente",IF(AND(OR(L572="Résolu",L572="Clos"),R572=""),"Date de résolution manquante",IF(AND(L572="Clos",S572=""),"Date de clôture manquante",IF(AND(K572="Oui",AC572=""),"Classification DORA manquante","OK"))))))</f>
        <v/>
      </c>
      <c r="AO572" s="35" t="str">
        <f aca="false">IF($B572="","",IF(AND(C572="Incident",L572&lt;&gt;"Annulé"),1,0))</f>
        <v/>
      </c>
      <c r="AP572" s="35" t="str">
        <f aca="false">IF($B572="","",IF(AND(C572="Quasi-incident",L572&lt;&gt;"Annulé"),1,0))</f>
        <v/>
      </c>
      <c r="AQ572" s="35" t="str">
        <f aca="false">IF($B572="","",AO572+AP572)</f>
        <v/>
      </c>
      <c r="AR572" s="36" t="str">
        <f aca="false">IF(OR($B572="",J572=""),"",IFERROR(VALUE(LEFT(J572,1)),""))</f>
        <v/>
      </c>
      <c r="AS572" s="35" t="str">
        <f aca="false">IF(OR(AO572&lt;&gt;1,G572=""),"",IFERROR(IF(INDEX(L_SrcInterne,MATCH(G572,L_Sources,0))="Oui",1,0),""))</f>
        <v/>
      </c>
      <c r="AT572" s="37" t="str">
        <f aca="false">IF(AO572&lt;&gt;1,"",IFERROR(ROUND(IF(OR(N572="",O572=""),"",IF(O572&lt;N572,"",ROUND(((NETWORKDAYS(N572,O572,JoursFeries)-1)*(HFer-HOuv)+IF(NETWORKDAYS(O572,O572,JoursFeries),MEDIAN(MOD(O572,1),HFer,HOuv),HFer)-IF(NETWORKDAYS(N572,N572,JoursFeries),MEDIAN(MOD(N572,1),HFer,HOuv),HOuv))*24,4)))/HJour,4),""))</f>
        <v/>
      </c>
      <c r="AU572" s="37" t="str">
        <f aca="false">IF(AO572&lt;&gt;1,"",IF(OR(O572="",P572=""),"",IF(P572&lt;O572,"",ROUND(((NETWORKDAYS(O572,P572,JoursFeries)-1)*(HFer-HOuv)+IF(NETWORKDAYS(P572,P572,JoursFeries),MEDIAN(MOD(P572,1),HFer,HOuv),HFer)-IF(NETWORKDAYS(O572,O572,JoursFeries),MEDIAN(MOD(O572,1),HFer,HOuv),HOuv))*24,4))))</f>
        <v/>
      </c>
      <c r="AV572" s="37" t="str">
        <f aca="false">IF(AO572&lt;&gt;1,"",IF(OR(P572="",Q572=""),"",IF(Q572&lt;P572,"",ROUND(((NETWORKDAYS(P572,Q572,JoursFeries)-1)*(HFer-HOuv)+IF(NETWORKDAYS(Q572,Q572,JoursFeries),MEDIAN(MOD(Q572,1),HFer,HOuv),HFer)-IF(NETWORKDAYS(P572,P572,JoursFeries),MEDIAN(MOD(P572,1),HFer,HOuv),HOuv))*24,4))))</f>
        <v/>
      </c>
      <c r="AW572" s="37" t="str">
        <f aca="false">IF(AO572&lt;&gt;1,"",IFERROR(ROUND(IF(OR(P572="",R572=""),"",IF(R572&lt;P572,"",ROUND(((NETWORKDAYS(P572,R572,JoursFeries)-1)*(HFer-HOuv)+IF(NETWORKDAYS(R572,R572,JoursFeries),MEDIAN(MOD(R572,1),HFer,HOuv),HFer)-IF(NETWORKDAYS(P572,P572,JoursFeries),MEDIAN(MOD(P572,1),HFer,HOuv),HOuv))*24,4)))/HJour,4),""))</f>
        <v/>
      </c>
      <c r="AX572" s="37" t="str">
        <f aca="false">IF(AO572&lt;&gt;1,"",IFERROR(ROUND(IF(OR(P572="",S572=""),"",IF(S572&lt;P572,"",ROUND(((NETWORKDAYS(P572,S572,JoursFeries)-1)*(HFer-HOuv)+IF(NETWORKDAYS(S572,S572,JoursFeries),MEDIAN(MOD(S572,1),HFer,HOuv),HFer)-IF(NETWORKDAYS(P572,P572,JoursFeries),MEDIAN(MOD(P572,1),HFer,HOuv),HOuv))*24,4)))/HJour,4),""))</f>
        <v/>
      </c>
      <c r="AY572" s="36" t="str">
        <f aca="false">IF(OR(AO572&lt;&gt;1,AR572=""),"",INDEX(SLA_PEC,AR572))</f>
        <v/>
      </c>
      <c r="AZ572" s="35" t="str">
        <f aca="false">IF(OR(AV572="",AY572=""),"",IF(AV572&lt;=AY572,1,0))</f>
        <v/>
      </c>
      <c r="BA572" s="36" t="str">
        <f aca="false">IF(OR(AO572&lt;&gt;1,AR572=""),"",INDEX(SLA_RES,AR572))</f>
        <v/>
      </c>
      <c r="BB572" s="35" t="str">
        <f aca="false">IF(OR(AW572="",BA572=""),"",IF(AW572&lt;=BA572,1,0))</f>
        <v/>
      </c>
      <c r="BC572" s="38" t="str">
        <f aca="false">IF(OR(BA572="",P572=""),"",WORKDAY(INT(P572),BA572,JoursFeries)+MOD(P572,1))</f>
        <v/>
      </c>
      <c r="BD572" s="39" t="str">
        <f aca="false">IF(AO572&lt;&gt;1,"",IF(OR(AB572&lt;&gt;"",AD572&lt;&gt;""),4,IF(U572&lt;&gt;"",3,IF(T572&lt;&gt;"",2,1))))</f>
        <v/>
      </c>
      <c r="BE572" s="39" t="str">
        <f aca="false">IF(OR(AO572&lt;&gt;1,AR572=""),"",INDEX(NIV_REQ,AR572))</f>
        <v/>
      </c>
      <c r="BF572" s="39" t="str">
        <f aca="false">IF(BE572="","",MAX(BE572,IF(OR(K572="Oui",Z572="Oui"),4,1)))</f>
        <v/>
      </c>
      <c r="BG572" s="35" t="str">
        <f aca="false">IF(OR(BF572="",BD572=""),"",IF(BD572&gt;=BF572,1,0))</f>
        <v/>
      </c>
      <c r="BH572" s="38" t="str">
        <f aca="false">IF(BE572="","",IF(BE572&lt;2,"",IF(BE572=2,IF(AND(T572="",U572=""),"",MIN(T572,U572)),IF(U572="","",U572))))</f>
        <v/>
      </c>
      <c r="BI572" s="37" t="str">
        <f aca="false">IF(BH572="","",IF(OR(O572="",BH572=""),"",IF(BH572&lt;O572,"",ROUND(((NETWORKDAYS(O572,BH572,JoursFeries)-1)*(HFer-HOuv)+IF(NETWORKDAYS(BH572,BH572,JoursFeries),MEDIAN(MOD(BH572,1),HFer,HOuv),HFer)-IF(NETWORKDAYS(O572,O572,JoursFeries),MEDIAN(MOD(O572,1),HFer,HOuv),HOuv))*24,4))))</f>
        <v/>
      </c>
      <c r="BJ572" s="35" t="str">
        <f aca="false">IF(OR(BI572="",AR572=""),"",IF(BI572&lt;=INDEX(DELAI_ESC,AR572),1,0))</f>
        <v/>
      </c>
      <c r="BK572" s="38" t="str">
        <f aca="false">IF(AO572&lt;&gt;1,"",IF(AND(T572="",U572=""),"",MIN(T572,U572)))</f>
        <v/>
      </c>
      <c r="BL572" s="37" t="str">
        <f aca="false">IF(OR(BK572="",R572=""),"",IFERROR(ROUND(IF(OR(BK572="",R572=""),"",IF(R572&lt;BK572,"",ROUND(((NETWORKDAYS(BK572,R572,JoursFeries)-1)*(HFer-HOuv)+IF(NETWORKDAYS(R572,R572,JoursFeries),MEDIAN(MOD(R572,1),HFer,HOuv),HFer)-IF(NETWORKDAYS(BK572,BK572,JoursFeries),MEDIAN(MOD(BK572,1),HFer,HOuv),HOuv))*24,4)))/HJour,4),""))</f>
        <v/>
      </c>
      <c r="BM572" s="35" t="str">
        <f aca="false">IF(OR(AO572&lt;&gt;1,R572=""),"",IF(BD572=1,1,0))</f>
        <v/>
      </c>
      <c r="BN572" s="35" t="str">
        <f aca="false">IF(AO572&lt;&gt;1,"",IF(W572="Oui",1,0))</f>
        <v/>
      </c>
      <c r="BO572" s="35" t="str">
        <f aca="false">IF(AO572&lt;&gt;1,"",IF(X572&lt;&gt;"",1,0))</f>
        <v/>
      </c>
      <c r="BP572" s="35" t="str">
        <f aca="false">IF(AO572&lt;&gt;1,"",IF(Y572="Oui",1,0))</f>
        <v/>
      </c>
      <c r="BQ572" s="35" t="str">
        <f aca="true">IF(OR(AO572&lt;&gt;1,Z572&lt;&gt;"Oui"),"",IF(AB572="",IF(AND(AA572&lt;&gt;"",NOW()&gt;AA572),0,""),IF(AA572="","",IF(AB572&lt;=AA572,1,0))))</f>
        <v/>
      </c>
      <c r="BR572" s="38" t="str">
        <f aca="false">IF(OR(AO572&lt;&gt;1,K572&lt;&gt;"Oui",O572=""),"",IF(AC572="",O572+DORA_H_DET/24,IF(AC572-O572&lt;=DORA_H_DET/24,MIN(AC572+DORA_H_CLA/24,O572+DORA_H_DET/24),AC572+DORA_H_CLA/24)))</f>
        <v/>
      </c>
      <c r="BS572" s="35" t="str">
        <f aca="true">IF(BR572="","",IF(AD572="",IF(NOW()&gt;BR572,0,""),IF(AD572&lt;=BR572,1,0)))</f>
        <v/>
      </c>
      <c r="BT572" s="35" t="str">
        <f aca="true">IF(OR(BR572="",AD572=""),"",IF(AE572="",IF(NOW()&gt;AD572+DORA_H_INT/24,0,""),IF(AE572&lt;=AD572+DORA_H_INT/24,1,0)))</f>
        <v/>
      </c>
      <c r="BU572" s="35" t="str">
        <f aca="true">IF(OR(BR572="",AE572=""),"",IF(AF572="",IF(NOW()&gt;EDATE(AE572,DORA_M_FIN)+1,0,""),IF(AF572&lt;=EDATE(AE572,DORA_M_FIN),1,0)))</f>
        <v/>
      </c>
      <c r="BV572" s="35" t="str">
        <f aca="false">IF(BR572="","",IF(COUNT(BS572:BU572)=0,"",MIN(BS572:BU572)))</f>
        <v/>
      </c>
      <c r="BW572" s="40" t="str">
        <f aca="false">IF(AQ572&lt;&gt;1,"",IF(AND(AG572="",AH572=""),"",N(AG572)-N(AH572)))</f>
        <v/>
      </c>
      <c r="BX572" s="35" t="str">
        <f aca="true">IF(OR(AQ572&lt;&gt;1,AI572&lt;&gt;"Oui",AJ572=""),"",IF(AK572="",IF(NOW()&gt;AJ572+1,0,""),IF(AK572&lt;=AJ572,1,0)))</f>
        <v/>
      </c>
    </row>
    <row r="573" customFormat="false" ht="15" hidden="false" customHeight="false" outlineLevel="0" collapsed="false">
      <c r="B573" s="29"/>
      <c r="C573" s="29"/>
      <c r="D573" s="29"/>
      <c r="E573" s="29"/>
      <c r="F573" s="29"/>
      <c r="G573" s="29"/>
      <c r="H573" s="29"/>
      <c r="I573" s="29"/>
      <c r="J573" s="29"/>
      <c r="K573" s="29"/>
      <c r="L573" s="29"/>
      <c r="M573" s="29"/>
      <c r="N573" s="30"/>
      <c r="O573" s="30"/>
      <c r="P573" s="30"/>
      <c r="Q573" s="30"/>
      <c r="R573" s="30"/>
      <c r="S573" s="30"/>
      <c r="T573" s="30"/>
      <c r="U573" s="30"/>
      <c r="V573" s="31"/>
      <c r="W573" s="29"/>
      <c r="X573" s="29"/>
      <c r="Y573" s="29"/>
      <c r="Z573" s="29"/>
      <c r="AA573" s="30"/>
      <c r="AB573" s="30"/>
      <c r="AC573" s="30"/>
      <c r="AD573" s="30"/>
      <c r="AE573" s="30"/>
      <c r="AF573" s="32"/>
      <c r="AG573" s="33"/>
      <c r="AH573" s="33"/>
      <c r="AI573" s="29"/>
      <c r="AJ573" s="32"/>
      <c r="AK573" s="32"/>
      <c r="AL573" s="29"/>
      <c r="AN573" s="34" t="str">
        <f aca="false">IF($B573="","",IF(OR(C573="",D573="",E573="",G573="",I573="",J573="",L573="",O573="",P573=""),"Champ obligatoire manquant",IF(OR(AND(N573&lt;&gt;"",N573&gt;O573),O573&gt;P573,AND(Q573&lt;&gt;"",Q573&lt;P573),AND(R573&lt;&gt;"",R573&lt;P573),AND(S573&lt;&gt;"",S573&lt;R573),AND(S573&lt;&gt;"",R573=""),AND(T573&lt;&gt;"",T573&lt;O573),AND(U573&lt;&gt;"",U573&lt;O573)),"Chronologie incohérente",IF(AND(OR(L573="Résolu",L573="Clos"),R573=""),"Date de résolution manquante",IF(AND(L573="Clos",S573=""),"Date de clôture manquante",IF(AND(K573="Oui",AC573=""),"Classification DORA manquante","OK"))))))</f>
        <v/>
      </c>
      <c r="AO573" s="35" t="str">
        <f aca="false">IF($B573="","",IF(AND(C573="Incident",L573&lt;&gt;"Annulé"),1,0))</f>
        <v/>
      </c>
      <c r="AP573" s="35" t="str">
        <f aca="false">IF($B573="","",IF(AND(C573="Quasi-incident",L573&lt;&gt;"Annulé"),1,0))</f>
        <v/>
      </c>
      <c r="AQ573" s="35" t="str">
        <f aca="false">IF($B573="","",AO573+AP573)</f>
        <v/>
      </c>
      <c r="AR573" s="36" t="str">
        <f aca="false">IF(OR($B573="",J573=""),"",IFERROR(VALUE(LEFT(J573,1)),""))</f>
        <v/>
      </c>
      <c r="AS573" s="35" t="str">
        <f aca="false">IF(OR(AO573&lt;&gt;1,G573=""),"",IFERROR(IF(INDEX(L_SrcInterne,MATCH(G573,L_Sources,0))="Oui",1,0),""))</f>
        <v/>
      </c>
      <c r="AT573" s="37" t="str">
        <f aca="false">IF(AO573&lt;&gt;1,"",IFERROR(ROUND(IF(OR(N573="",O573=""),"",IF(O573&lt;N573,"",ROUND(((NETWORKDAYS(N573,O573,JoursFeries)-1)*(HFer-HOuv)+IF(NETWORKDAYS(O573,O573,JoursFeries),MEDIAN(MOD(O573,1),HFer,HOuv),HFer)-IF(NETWORKDAYS(N573,N573,JoursFeries),MEDIAN(MOD(N573,1),HFer,HOuv),HOuv))*24,4)))/HJour,4),""))</f>
        <v/>
      </c>
      <c r="AU573" s="37" t="str">
        <f aca="false">IF(AO573&lt;&gt;1,"",IF(OR(O573="",P573=""),"",IF(P573&lt;O573,"",ROUND(((NETWORKDAYS(O573,P573,JoursFeries)-1)*(HFer-HOuv)+IF(NETWORKDAYS(P573,P573,JoursFeries),MEDIAN(MOD(P573,1),HFer,HOuv),HFer)-IF(NETWORKDAYS(O573,O573,JoursFeries),MEDIAN(MOD(O573,1),HFer,HOuv),HOuv))*24,4))))</f>
        <v/>
      </c>
      <c r="AV573" s="37" t="str">
        <f aca="false">IF(AO573&lt;&gt;1,"",IF(OR(P573="",Q573=""),"",IF(Q573&lt;P573,"",ROUND(((NETWORKDAYS(P573,Q573,JoursFeries)-1)*(HFer-HOuv)+IF(NETWORKDAYS(Q573,Q573,JoursFeries),MEDIAN(MOD(Q573,1),HFer,HOuv),HFer)-IF(NETWORKDAYS(P573,P573,JoursFeries),MEDIAN(MOD(P573,1),HFer,HOuv),HOuv))*24,4))))</f>
        <v/>
      </c>
      <c r="AW573" s="37" t="str">
        <f aca="false">IF(AO573&lt;&gt;1,"",IFERROR(ROUND(IF(OR(P573="",R573=""),"",IF(R573&lt;P573,"",ROUND(((NETWORKDAYS(P573,R573,JoursFeries)-1)*(HFer-HOuv)+IF(NETWORKDAYS(R573,R573,JoursFeries),MEDIAN(MOD(R573,1),HFer,HOuv),HFer)-IF(NETWORKDAYS(P573,P573,JoursFeries),MEDIAN(MOD(P573,1),HFer,HOuv),HOuv))*24,4)))/HJour,4),""))</f>
        <v/>
      </c>
      <c r="AX573" s="37" t="str">
        <f aca="false">IF(AO573&lt;&gt;1,"",IFERROR(ROUND(IF(OR(P573="",S573=""),"",IF(S573&lt;P573,"",ROUND(((NETWORKDAYS(P573,S573,JoursFeries)-1)*(HFer-HOuv)+IF(NETWORKDAYS(S573,S573,JoursFeries),MEDIAN(MOD(S573,1),HFer,HOuv),HFer)-IF(NETWORKDAYS(P573,P573,JoursFeries),MEDIAN(MOD(P573,1),HFer,HOuv),HOuv))*24,4)))/HJour,4),""))</f>
        <v/>
      </c>
      <c r="AY573" s="36" t="str">
        <f aca="false">IF(OR(AO573&lt;&gt;1,AR573=""),"",INDEX(SLA_PEC,AR573))</f>
        <v/>
      </c>
      <c r="AZ573" s="35" t="str">
        <f aca="false">IF(OR(AV573="",AY573=""),"",IF(AV573&lt;=AY573,1,0))</f>
        <v/>
      </c>
      <c r="BA573" s="36" t="str">
        <f aca="false">IF(OR(AO573&lt;&gt;1,AR573=""),"",INDEX(SLA_RES,AR573))</f>
        <v/>
      </c>
      <c r="BB573" s="35" t="str">
        <f aca="false">IF(OR(AW573="",BA573=""),"",IF(AW573&lt;=BA573,1,0))</f>
        <v/>
      </c>
      <c r="BC573" s="38" t="str">
        <f aca="false">IF(OR(BA573="",P573=""),"",WORKDAY(INT(P573),BA573,JoursFeries)+MOD(P573,1))</f>
        <v/>
      </c>
      <c r="BD573" s="39" t="str">
        <f aca="false">IF(AO573&lt;&gt;1,"",IF(OR(AB573&lt;&gt;"",AD573&lt;&gt;""),4,IF(U573&lt;&gt;"",3,IF(T573&lt;&gt;"",2,1))))</f>
        <v/>
      </c>
      <c r="BE573" s="39" t="str">
        <f aca="false">IF(OR(AO573&lt;&gt;1,AR573=""),"",INDEX(NIV_REQ,AR573))</f>
        <v/>
      </c>
      <c r="BF573" s="39" t="str">
        <f aca="false">IF(BE573="","",MAX(BE573,IF(OR(K573="Oui",Z573="Oui"),4,1)))</f>
        <v/>
      </c>
      <c r="BG573" s="35" t="str">
        <f aca="false">IF(OR(BF573="",BD573=""),"",IF(BD573&gt;=BF573,1,0))</f>
        <v/>
      </c>
      <c r="BH573" s="38" t="str">
        <f aca="false">IF(BE573="","",IF(BE573&lt;2,"",IF(BE573=2,IF(AND(T573="",U573=""),"",MIN(T573,U573)),IF(U573="","",U573))))</f>
        <v/>
      </c>
      <c r="BI573" s="37" t="str">
        <f aca="false">IF(BH573="","",IF(OR(O573="",BH573=""),"",IF(BH573&lt;O573,"",ROUND(((NETWORKDAYS(O573,BH573,JoursFeries)-1)*(HFer-HOuv)+IF(NETWORKDAYS(BH573,BH573,JoursFeries),MEDIAN(MOD(BH573,1),HFer,HOuv),HFer)-IF(NETWORKDAYS(O573,O573,JoursFeries),MEDIAN(MOD(O573,1),HFer,HOuv),HOuv))*24,4))))</f>
        <v/>
      </c>
      <c r="BJ573" s="35" t="str">
        <f aca="false">IF(OR(BI573="",AR573=""),"",IF(BI573&lt;=INDEX(DELAI_ESC,AR573),1,0))</f>
        <v/>
      </c>
      <c r="BK573" s="38" t="str">
        <f aca="false">IF(AO573&lt;&gt;1,"",IF(AND(T573="",U573=""),"",MIN(T573,U573)))</f>
        <v/>
      </c>
      <c r="BL573" s="37" t="str">
        <f aca="false">IF(OR(BK573="",R573=""),"",IFERROR(ROUND(IF(OR(BK573="",R573=""),"",IF(R573&lt;BK573,"",ROUND(((NETWORKDAYS(BK573,R573,JoursFeries)-1)*(HFer-HOuv)+IF(NETWORKDAYS(R573,R573,JoursFeries),MEDIAN(MOD(R573,1),HFer,HOuv),HFer)-IF(NETWORKDAYS(BK573,BK573,JoursFeries),MEDIAN(MOD(BK573,1),HFer,HOuv),HOuv))*24,4)))/HJour,4),""))</f>
        <v/>
      </c>
      <c r="BM573" s="35" t="str">
        <f aca="false">IF(OR(AO573&lt;&gt;1,R573=""),"",IF(BD573=1,1,0))</f>
        <v/>
      </c>
      <c r="BN573" s="35" t="str">
        <f aca="false">IF(AO573&lt;&gt;1,"",IF(W573="Oui",1,0))</f>
        <v/>
      </c>
      <c r="BO573" s="35" t="str">
        <f aca="false">IF(AO573&lt;&gt;1,"",IF(X573&lt;&gt;"",1,0))</f>
        <v/>
      </c>
      <c r="BP573" s="35" t="str">
        <f aca="false">IF(AO573&lt;&gt;1,"",IF(Y573="Oui",1,0))</f>
        <v/>
      </c>
      <c r="BQ573" s="35" t="str">
        <f aca="true">IF(OR(AO573&lt;&gt;1,Z573&lt;&gt;"Oui"),"",IF(AB573="",IF(AND(AA573&lt;&gt;"",NOW()&gt;AA573),0,""),IF(AA573="","",IF(AB573&lt;=AA573,1,0))))</f>
        <v/>
      </c>
      <c r="BR573" s="38" t="str">
        <f aca="false">IF(OR(AO573&lt;&gt;1,K573&lt;&gt;"Oui",O573=""),"",IF(AC573="",O573+DORA_H_DET/24,IF(AC573-O573&lt;=DORA_H_DET/24,MIN(AC573+DORA_H_CLA/24,O573+DORA_H_DET/24),AC573+DORA_H_CLA/24)))</f>
        <v/>
      </c>
      <c r="BS573" s="35" t="str">
        <f aca="true">IF(BR573="","",IF(AD573="",IF(NOW()&gt;BR573,0,""),IF(AD573&lt;=BR573,1,0)))</f>
        <v/>
      </c>
      <c r="BT573" s="35" t="str">
        <f aca="true">IF(OR(BR573="",AD573=""),"",IF(AE573="",IF(NOW()&gt;AD573+DORA_H_INT/24,0,""),IF(AE573&lt;=AD573+DORA_H_INT/24,1,0)))</f>
        <v/>
      </c>
      <c r="BU573" s="35" t="str">
        <f aca="true">IF(OR(BR573="",AE573=""),"",IF(AF573="",IF(NOW()&gt;EDATE(AE573,DORA_M_FIN)+1,0,""),IF(AF573&lt;=EDATE(AE573,DORA_M_FIN),1,0)))</f>
        <v/>
      </c>
      <c r="BV573" s="35" t="str">
        <f aca="false">IF(BR573="","",IF(COUNT(BS573:BU573)=0,"",MIN(BS573:BU573)))</f>
        <v/>
      </c>
      <c r="BW573" s="40" t="str">
        <f aca="false">IF(AQ573&lt;&gt;1,"",IF(AND(AG573="",AH573=""),"",N(AG573)-N(AH573)))</f>
        <v/>
      </c>
      <c r="BX573" s="35" t="str">
        <f aca="true">IF(OR(AQ573&lt;&gt;1,AI573&lt;&gt;"Oui",AJ573=""),"",IF(AK573="",IF(NOW()&gt;AJ573+1,0,""),IF(AK573&lt;=AJ573,1,0)))</f>
        <v/>
      </c>
    </row>
    <row r="574" customFormat="false" ht="15" hidden="false" customHeight="false" outlineLevel="0" collapsed="false">
      <c r="B574" s="29"/>
      <c r="C574" s="29"/>
      <c r="D574" s="29"/>
      <c r="E574" s="29"/>
      <c r="F574" s="29"/>
      <c r="G574" s="29"/>
      <c r="H574" s="29"/>
      <c r="I574" s="29"/>
      <c r="J574" s="29"/>
      <c r="K574" s="29"/>
      <c r="L574" s="29"/>
      <c r="M574" s="29"/>
      <c r="N574" s="30"/>
      <c r="O574" s="30"/>
      <c r="P574" s="30"/>
      <c r="Q574" s="30"/>
      <c r="R574" s="30"/>
      <c r="S574" s="30"/>
      <c r="T574" s="30"/>
      <c r="U574" s="30"/>
      <c r="V574" s="31"/>
      <c r="W574" s="29"/>
      <c r="X574" s="29"/>
      <c r="Y574" s="29"/>
      <c r="Z574" s="29"/>
      <c r="AA574" s="30"/>
      <c r="AB574" s="30"/>
      <c r="AC574" s="30"/>
      <c r="AD574" s="30"/>
      <c r="AE574" s="30"/>
      <c r="AF574" s="32"/>
      <c r="AG574" s="33"/>
      <c r="AH574" s="33"/>
      <c r="AI574" s="29"/>
      <c r="AJ574" s="32"/>
      <c r="AK574" s="32"/>
      <c r="AL574" s="29"/>
      <c r="AN574" s="34" t="str">
        <f aca="false">IF($B574="","",IF(OR(C574="",D574="",E574="",G574="",I574="",J574="",L574="",O574="",P574=""),"Champ obligatoire manquant",IF(OR(AND(N574&lt;&gt;"",N574&gt;O574),O574&gt;P574,AND(Q574&lt;&gt;"",Q574&lt;P574),AND(R574&lt;&gt;"",R574&lt;P574),AND(S574&lt;&gt;"",S574&lt;R574),AND(S574&lt;&gt;"",R574=""),AND(T574&lt;&gt;"",T574&lt;O574),AND(U574&lt;&gt;"",U574&lt;O574)),"Chronologie incohérente",IF(AND(OR(L574="Résolu",L574="Clos"),R574=""),"Date de résolution manquante",IF(AND(L574="Clos",S574=""),"Date de clôture manquante",IF(AND(K574="Oui",AC574=""),"Classification DORA manquante","OK"))))))</f>
        <v/>
      </c>
      <c r="AO574" s="35" t="str">
        <f aca="false">IF($B574="","",IF(AND(C574="Incident",L574&lt;&gt;"Annulé"),1,0))</f>
        <v/>
      </c>
      <c r="AP574" s="35" t="str">
        <f aca="false">IF($B574="","",IF(AND(C574="Quasi-incident",L574&lt;&gt;"Annulé"),1,0))</f>
        <v/>
      </c>
      <c r="AQ574" s="35" t="str">
        <f aca="false">IF($B574="","",AO574+AP574)</f>
        <v/>
      </c>
      <c r="AR574" s="36" t="str">
        <f aca="false">IF(OR($B574="",J574=""),"",IFERROR(VALUE(LEFT(J574,1)),""))</f>
        <v/>
      </c>
      <c r="AS574" s="35" t="str">
        <f aca="false">IF(OR(AO574&lt;&gt;1,G574=""),"",IFERROR(IF(INDEX(L_SrcInterne,MATCH(G574,L_Sources,0))="Oui",1,0),""))</f>
        <v/>
      </c>
      <c r="AT574" s="37" t="str">
        <f aca="false">IF(AO574&lt;&gt;1,"",IFERROR(ROUND(IF(OR(N574="",O574=""),"",IF(O574&lt;N574,"",ROUND(((NETWORKDAYS(N574,O574,JoursFeries)-1)*(HFer-HOuv)+IF(NETWORKDAYS(O574,O574,JoursFeries),MEDIAN(MOD(O574,1),HFer,HOuv),HFer)-IF(NETWORKDAYS(N574,N574,JoursFeries),MEDIAN(MOD(N574,1),HFer,HOuv),HOuv))*24,4)))/HJour,4),""))</f>
        <v/>
      </c>
      <c r="AU574" s="37" t="str">
        <f aca="false">IF(AO574&lt;&gt;1,"",IF(OR(O574="",P574=""),"",IF(P574&lt;O574,"",ROUND(((NETWORKDAYS(O574,P574,JoursFeries)-1)*(HFer-HOuv)+IF(NETWORKDAYS(P574,P574,JoursFeries),MEDIAN(MOD(P574,1),HFer,HOuv),HFer)-IF(NETWORKDAYS(O574,O574,JoursFeries),MEDIAN(MOD(O574,1),HFer,HOuv),HOuv))*24,4))))</f>
        <v/>
      </c>
      <c r="AV574" s="37" t="str">
        <f aca="false">IF(AO574&lt;&gt;1,"",IF(OR(P574="",Q574=""),"",IF(Q574&lt;P574,"",ROUND(((NETWORKDAYS(P574,Q574,JoursFeries)-1)*(HFer-HOuv)+IF(NETWORKDAYS(Q574,Q574,JoursFeries),MEDIAN(MOD(Q574,1),HFer,HOuv),HFer)-IF(NETWORKDAYS(P574,P574,JoursFeries),MEDIAN(MOD(P574,1),HFer,HOuv),HOuv))*24,4))))</f>
        <v/>
      </c>
      <c r="AW574" s="37" t="str">
        <f aca="false">IF(AO574&lt;&gt;1,"",IFERROR(ROUND(IF(OR(P574="",R574=""),"",IF(R574&lt;P574,"",ROUND(((NETWORKDAYS(P574,R574,JoursFeries)-1)*(HFer-HOuv)+IF(NETWORKDAYS(R574,R574,JoursFeries),MEDIAN(MOD(R574,1),HFer,HOuv),HFer)-IF(NETWORKDAYS(P574,P574,JoursFeries),MEDIAN(MOD(P574,1),HFer,HOuv),HOuv))*24,4)))/HJour,4),""))</f>
        <v/>
      </c>
      <c r="AX574" s="37" t="str">
        <f aca="false">IF(AO574&lt;&gt;1,"",IFERROR(ROUND(IF(OR(P574="",S574=""),"",IF(S574&lt;P574,"",ROUND(((NETWORKDAYS(P574,S574,JoursFeries)-1)*(HFer-HOuv)+IF(NETWORKDAYS(S574,S574,JoursFeries),MEDIAN(MOD(S574,1),HFer,HOuv),HFer)-IF(NETWORKDAYS(P574,P574,JoursFeries),MEDIAN(MOD(P574,1),HFer,HOuv),HOuv))*24,4)))/HJour,4),""))</f>
        <v/>
      </c>
      <c r="AY574" s="36" t="str">
        <f aca="false">IF(OR(AO574&lt;&gt;1,AR574=""),"",INDEX(SLA_PEC,AR574))</f>
        <v/>
      </c>
      <c r="AZ574" s="35" t="str">
        <f aca="false">IF(OR(AV574="",AY574=""),"",IF(AV574&lt;=AY574,1,0))</f>
        <v/>
      </c>
      <c r="BA574" s="36" t="str">
        <f aca="false">IF(OR(AO574&lt;&gt;1,AR574=""),"",INDEX(SLA_RES,AR574))</f>
        <v/>
      </c>
      <c r="BB574" s="35" t="str">
        <f aca="false">IF(OR(AW574="",BA574=""),"",IF(AW574&lt;=BA574,1,0))</f>
        <v/>
      </c>
      <c r="BC574" s="38" t="str">
        <f aca="false">IF(OR(BA574="",P574=""),"",WORKDAY(INT(P574),BA574,JoursFeries)+MOD(P574,1))</f>
        <v/>
      </c>
      <c r="BD574" s="39" t="str">
        <f aca="false">IF(AO574&lt;&gt;1,"",IF(OR(AB574&lt;&gt;"",AD574&lt;&gt;""),4,IF(U574&lt;&gt;"",3,IF(T574&lt;&gt;"",2,1))))</f>
        <v/>
      </c>
      <c r="BE574" s="39" t="str">
        <f aca="false">IF(OR(AO574&lt;&gt;1,AR574=""),"",INDEX(NIV_REQ,AR574))</f>
        <v/>
      </c>
      <c r="BF574" s="39" t="str">
        <f aca="false">IF(BE574="","",MAX(BE574,IF(OR(K574="Oui",Z574="Oui"),4,1)))</f>
        <v/>
      </c>
      <c r="BG574" s="35" t="str">
        <f aca="false">IF(OR(BF574="",BD574=""),"",IF(BD574&gt;=BF574,1,0))</f>
        <v/>
      </c>
      <c r="BH574" s="38" t="str">
        <f aca="false">IF(BE574="","",IF(BE574&lt;2,"",IF(BE574=2,IF(AND(T574="",U574=""),"",MIN(T574,U574)),IF(U574="","",U574))))</f>
        <v/>
      </c>
      <c r="BI574" s="37" t="str">
        <f aca="false">IF(BH574="","",IF(OR(O574="",BH574=""),"",IF(BH574&lt;O574,"",ROUND(((NETWORKDAYS(O574,BH574,JoursFeries)-1)*(HFer-HOuv)+IF(NETWORKDAYS(BH574,BH574,JoursFeries),MEDIAN(MOD(BH574,1),HFer,HOuv),HFer)-IF(NETWORKDAYS(O574,O574,JoursFeries),MEDIAN(MOD(O574,1),HFer,HOuv),HOuv))*24,4))))</f>
        <v/>
      </c>
      <c r="BJ574" s="35" t="str">
        <f aca="false">IF(OR(BI574="",AR574=""),"",IF(BI574&lt;=INDEX(DELAI_ESC,AR574),1,0))</f>
        <v/>
      </c>
      <c r="BK574" s="38" t="str">
        <f aca="false">IF(AO574&lt;&gt;1,"",IF(AND(T574="",U574=""),"",MIN(T574,U574)))</f>
        <v/>
      </c>
      <c r="BL574" s="37" t="str">
        <f aca="false">IF(OR(BK574="",R574=""),"",IFERROR(ROUND(IF(OR(BK574="",R574=""),"",IF(R574&lt;BK574,"",ROUND(((NETWORKDAYS(BK574,R574,JoursFeries)-1)*(HFer-HOuv)+IF(NETWORKDAYS(R574,R574,JoursFeries),MEDIAN(MOD(R574,1),HFer,HOuv),HFer)-IF(NETWORKDAYS(BK574,BK574,JoursFeries),MEDIAN(MOD(BK574,1),HFer,HOuv),HOuv))*24,4)))/HJour,4),""))</f>
        <v/>
      </c>
      <c r="BM574" s="35" t="str">
        <f aca="false">IF(OR(AO574&lt;&gt;1,R574=""),"",IF(BD574=1,1,0))</f>
        <v/>
      </c>
      <c r="BN574" s="35" t="str">
        <f aca="false">IF(AO574&lt;&gt;1,"",IF(W574="Oui",1,0))</f>
        <v/>
      </c>
      <c r="BO574" s="35" t="str">
        <f aca="false">IF(AO574&lt;&gt;1,"",IF(X574&lt;&gt;"",1,0))</f>
        <v/>
      </c>
      <c r="BP574" s="35" t="str">
        <f aca="false">IF(AO574&lt;&gt;1,"",IF(Y574="Oui",1,0))</f>
        <v/>
      </c>
      <c r="BQ574" s="35" t="str">
        <f aca="true">IF(OR(AO574&lt;&gt;1,Z574&lt;&gt;"Oui"),"",IF(AB574="",IF(AND(AA574&lt;&gt;"",NOW()&gt;AA574),0,""),IF(AA574="","",IF(AB574&lt;=AA574,1,0))))</f>
        <v/>
      </c>
      <c r="BR574" s="38" t="str">
        <f aca="false">IF(OR(AO574&lt;&gt;1,K574&lt;&gt;"Oui",O574=""),"",IF(AC574="",O574+DORA_H_DET/24,IF(AC574-O574&lt;=DORA_H_DET/24,MIN(AC574+DORA_H_CLA/24,O574+DORA_H_DET/24),AC574+DORA_H_CLA/24)))</f>
        <v/>
      </c>
      <c r="BS574" s="35" t="str">
        <f aca="true">IF(BR574="","",IF(AD574="",IF(NOW()&gt;BR574,0,""),IF(AD574&lt;=BR574,1,0)))</f>
        <v/>
      </c>
      <c r="BT574" s="35" t="str">
        <f aca="true">IF(OR(BR574="",AD574=""),"",IF(AE574="",IF(NOW()&gt;AD574+DORA_H_INT/24,0,""),IF(AE574&lt;=AD574+DORA_H_INT/24,1,0)))</f>
        <v/>
      </c>
      <c r="BU574" s="35" t="str">
        <f aca="true">IF(OR(BR574="",AE574=""),"",IF(AF574="",IF(NOW()&gt;EDATE(AE574,DORA_M_FIN)+1,0,""),IF(AF574&lt;=EDATE(AE574,DORA_M_FIN),1,0)))</f>
        <v/>
      </c>
      <c r="BV574" s="35" t="str">
        <f aca="false">IF(BR574="","",IF(COUNT(BS574:BU574)=0,"",MIN(BS574:BU574)))</f>
        <v/>
      </c>
      <c r="BW574" s="40" t="str">
        <f aca="false">IF(AQ574&lt;&gt;1,"",IF(AND(AG574="",AH574=""),"",N(AG574)-N(AH574)))</f>
        <v/>
      </c>
      <c r="BX574" s="35" t="str">
        <f aca="true">IF(OR(AQ574&lt;&gt;1,AI574&lt;&gt;"Oui",AJ574=""),"",IF(AK574="",IF(NOW()&gt;AJ574+1,0,""),IF(AK574&lt;=AJ574,1,0)))</f>
        <v/>
      </c>
    </row>
    <row r="575" customFormat="false" ht="15" hidden="false" customHeight="false" outlineLevel="0" collapsed="false">
      <c r="B575" s="29"/>
      <c r="C575" s="29"/>
      <c r="D575" s="29"/>
      <c r="E575" s="29"/>
      <c r="F575" s="29"/>
      <c r="G575" s="29"/>
      <c r="H575" s="29"/>
      <c r="I575" s="29"/>
      <c r="J575" s="29"/>
      <c r="K575" s="29"/>
      <c r="L575" s="29"/>
      <c r="M575" s="29"/>
      <c r="N575" s="30"/>
      <c r="O575" s="30"/>
      <c r="P575" s="30"/>
      <c r="Q575" s="30"/>
      <c r="R575" s="30"/>
      <c r="S575" s="30"/>
      <c r="T575" s="30"/>
      <c r="U575" s="30"/>
      <c r="V575" s="31"/>
      <c r="W575" s="29"/>
      <c r="X575" s="29"/>
      <c r="Y575" s="29"/>
      <c r="Z575" s="29"/>
      <c r="AA575" s="30"/>
      <c r="AB575" s="30"/>
      <c r="AC575" s="30"/>
      <c r="AD575" s="30"/>
      <c r="AE575" s="30"/>
      <c r="AF575" s="32"/>
      <c r="AG575" s="33"/>
      <c r="AH575" s="33"/>
      <c r="AI575" s="29"/>
      <c r="AJ575" s="32"/>
      <c r="AK575" s="32"/>
      <c r="AL575" s="29"/>
      <c r="AN575" s="34" t="str">
        <f aca="false">IF($B575="","",IF(OR(C575="",D575="",E575="",G575="",I575="",J575="",L575="",O575="",P575=""),"Champ obligatoire manquant",IF(OR(AND(N575&lt;&gt;"",N575&gt;O575),O575&gt;P575,AND(Q575&lt;&gt;"",Q575&lt;P575),AND(R575&lt;&gt;"",R575&lt;P575),AND(S575&lt;&gt;"",S575&lt;R575),AND(S575&lt;&gt;"",R575=""),AND(T575&lt;&gt;"",T575&lt;O575),AND(U575&lt;&gt;"",U575&lt;O575)),"Chronologie incohérente",IF(AND(OR(L575="Résolu",L575="Clos"),R575=""),"Date de résolution manquante",IF(AND(L575="Clos",S575=""),"Date de clôture manquante",IF(AND(K575="Oui",AC575=""),"Classification DORA manquante","OK"))))))</f>
        <v/>
      </c>
      <c r="AO575" s="35" t="str">
        <f aca="false">IF($B575="","",IF(AND(C575="Incident",L575&lt;&gt;"Annulé"),1,0))</f>
        <v/>
      </c>
      <c r="AP575" s="35" t="str">
        <f aca="false">IF($B575="","",IF(AND(C575="Quasi-incident",L575&lt;&gt;"Annulé"),1,0))</f>
        <v/>
      </c>
      <c r="AQ575" s="35" t="str">
        <f aca="false">IF($B575="","",AO575+AP575)</f>
        <v/>
      </c>
      <c r="AR575" s="36" t="str">
        <f aca="false">IF(OR($B575="",J575=""),"",IFERROR(VALUE(LEFT(J575,1)),""))</f>
        <v/>
      </c>
      <c r="AS575" s="35" t="str">
        <f aca="false">IF(OR(AO575&lt;&gt;1,G575=""),"",IFERROR(IF(INDEX(L_SrcInterne,MATCH(G575,L_Sources,0))="Oui",1,0),""))</f>
        <v/>
      </c>
      <c r="AT575" s="37" t="str">
        <f aca="false">IF(AO575&lt;&gt;1,"",IFERROR(ROUND(IF(OR(N575="",O575=""),"",IF(O575&lt;N575,"",ROUND(((NETWORKDAYS(N575,O575,JoursFeries)-1)*(HFer-HOuv)+IF(NETWORKDAYS(O575,O575,JoursFeries),MEDIAN(MOD(O575,1),HFer,HOuv),HFer)-IF(NETWORKDAYS(N575,N575,JoursFeries),MEDIAN(MOD(N575,1),HFer,HOuv),HOuv))*24,4)))/HJour,4),""))</f>
        <v/>
      </c>
      <c r="AU575" s="37" t="str">
        <f aca="false">IF(AO575&lt;&gt;1,"",IF(OR(O575="",P575=""),"",IF(P575&lt;O575,"",ROUND(((NETWORKDAYS(O575,P575,JoursFeries)-1)*(HFer-HOuv)+IF(NETWORKDAYS(P575,P575,JoursFeries),MEDIAN(MOD(P575,1),HFer,HOuv),HFer)-IF(NETWORKDAYS(O575,O575,JoursFeries),MEDIAN(MOD(O575,1),HFer,HOuv),HOuv))*24,4))))</f>
        <v/>
      </c>
      <c r="AV575" s="37" t="str">
        <f aca="false">IF(AO575&lt;&gt;1,"",IF(OR(P575="",Q575=""),"",IF(Q575&lt;P575,"",ROUND(((NETWORKDAYS(P575,Q575,JoursFeries)-1)*(HFer-HOuv)+IF(NETWORKDAYS(Q575,Q575,JoursFeries),MEDIAN(MOD(Q575,1),HFer,HOuv),HFer)-IF(NETWORKDAYS(P575,P575,JoursFeries),MEDIAN(MOD(P575,1),HFer,HOuv),HOuv))*24,4))))</f>
        <v/>
      </c>
      <c r="AW575" s="37" t="str">
        <f aca="false">IF(AO575&lt;&gt;1,"",IFERROR(ROUND(IF(OR(P575="",R575=""),"",IF(R575&lt;P575,"",ROUND(((NETWORKDAYS(P575,R575,JoursFeries)-1)*(HFer-HOuv)+IF(NETWORKDAYS(R575,R575,JoursFeries),MEDIAN(MOD(R575,1),HFer,HOuv),HFer)-IF(NETWORKDAYS(P575,P575,JoursFeries),MEDIAN(MOD(P575,1),HFer,HOuv),HOuv))*24,4)))/HJour,4),""))</f>
        <v/>
      </c>
      <c r="AX575" s="37" t="str">
        <f aca="false">IF(AO575&lt;&gt;1,"",IFERROR(ROUND(IF(OR(P575="",S575=""),"",IF(S575&lt;P575,"",ROUND(((NETWORKDAYS(P575,S575,JoursFeries)-1)*(HFer-HOuv)+IF(NETWORKDAYS(S575,S575,JoursFeries),MEDIAN(MOD(S575,1),HFer,HOuv),HFer)-IF(NETWORKDAYS(P575,P575,JoursFeries),MEDIAN(MOD(P575,1),HFer,HOuv),HOuv))*24,4)))/HJour,4),""))</f>
        <v/>
      </c>
      <c r="AY575" s="36" t="str">
        <f aca="false">IF(OR(AO575&lt;&gt;1,AR575=""),"",INDEX(SLA_PEC,AR575))</f>
        <v/>
      </c>
      <c r="AZ575" s="35" t="str">
        <f aca="false">IF(OR(AV575="",AY575=""),"",IF(AV575&lt;=AY575,1,0))</f>
        <v/>
      </c>
      <c r="BA575" s="36" t="str">
        <f aca="false">IF(OR(AO575&lt;&gt;1,AR575=""),"",INDEX(SLA_RES,AR575))</f>
        <v/>
      </c>
      <c r="BB575" s="35" t="str">
        <f aca="false">IF(OR(AW575="",BA575=""),"",IF(AW575&lt;=BA575,1,0))</f>
        <v/>
      </c>
      <c r="BC575" s="38" t="str">
        <f aca="false">IF(OR(BA575="",P575=""),"",WORKDAY(INT(P575),BA575,JoursFeries)+MOD(P575,1))</f>
        <v/>
      </c>
      <c r="BD575" s="39" t="str">
        <f aca="false">IF(AO575&lt;&gt;1,"",IF(OR(AB575&lt;&gt;"",AD575&lt;&gt;""),4,IF(U575&lt;&gt;"",3,IF(T575&lt;&gt;"",2,1))))</f>
        <v/>
      </c>
      <c r="BE575" s="39" t="str">
        <f aca="false">IF(OR(AO575&lt;&gt;1,AR575=""),"",INDEX(NIV_REQ,AR575))</f>
        <v/>
      </c>
      <c r="BF575" s="39" t="str">
        <f aca="false">IF(BE575="","",MAX(BE575,IF(OR(K575="Oui",Z575="Oui"),4,1)))</f>
        <v/>
      </c>
      <c r="BG575" s="35" t="str">
        <f aca="false">IF(OR(BF575="",BD575=""),"",IF(BD575&gt;=BF575,1,0))</f>
        <v/>
      </c>
      <c r="BH575" s="38" t="str">
        <f aca="false">IF(BE575="","",IF(BE575&lt;2,"",IF(BE575=2,IF(AND(T575="",U575=""),"",MIN(T575,U575)),IF(U575="","",U575))))</f>
        <v/>
      </c>
      <c r="BI575" s="37" t="str">
        <f aca="false">IF(BH575="","",IF(OR(O575="",BH575=""),"",IF(BH575&lt;O575,"",ROUND(((NETWORKDAYS(O575,BH575,JoursFeries)-1)*(HFer-HOuv)+IF(NETWORKDAYS(BH575,BH575,JoursFeries),MEDIAN(MOD(BH575,1),HFer,HOuv),HFer)-IF(NETWORKDAYS(O575,O575,JoursFeries),MEDIAN(MOD(O575,1),HFer,HOuv),HOuv))*24,4))))</f>
        <v/>
      </c>
      <c r="BJ575" s="35" t="str">
        <f aca="false">IF(OR(BI575="",AR575=""),"",IF(BI575&lt;=INDEX(DELAI_ESC,AR575),1,0))</f>
        <v/>
      </c>
      <c r="BK575" s="38" t="str">
        <f aca="false">IF(AO575&lt;&gt;1,"",IF(AND(T575="",U575=""),"",MIN(T575,U575)))</f>
        <v/>
      </c>
      <c r="BL575" s="37" t="str">
        <f aca="false">IF(OR(BK575="",R575=""),"",IFERROR(ROUND(IF(OR(BK575="",R575=""),"",IF(R575&lt;BK575,"",ROUND(((NETWORKDAYS(BK575,R575,JoursFeries)-1)*(HFer-HOuv)+IF(NETWORKDAYS(R575,R575,JoursFeries),MEDIAN(MOD(R575,1),HFer,HOuv),HFer)-IF(NETWORKDAYS(BK575,BK575,JoursFeries),MEDIAN(MOD(BK575,1),HFer,HOuv),HOuv))*24,4)))/HJour,4),""))</f>
        <v/>
      </c>
      <c r="BM575" s="35" t="str">
        <f aca="false">IF(OR(AO575&lt;&gt;1,R575=""),"",IF(BD575=1,1,0))</f>
        <v/>
      </c>
      <c r="BN575" s="35" t="str">
        <f aca="false">IF(AO575&lt;&gt;1,"",IF(W575="Oui",1,0))</f>
        <v/>
      </c>
      <c r="BO575" s="35" t="str">
        <f aca="false">IF(AO575&lt;&gt;1,"",IF(X575&lt;&gt;"",1,0))</f>
        <v/>
      </c>
      <c r="BP575" s="35" t="str">
        <f aca="false">IF(AO575&lt;&gt;1,"",IF(Y575="Oui",1,0))</f>
        <v/>
      </c>
      <c r="BQ575" s="35" t="str">
        <f aca="true">IF(OR(AO575&lt;&gt;1,Z575&lt;&gt;"Oui"),"",IF(AB575="",IF(AND(AA575&lt;&gt;"",NOW()&gt;AA575),0,""),IF(AA575="","",IF(AB575&lt;=AA575,1,0))))</f>
        <v/>
      </c>
      <c r="BR575" s="38" t="str">
        <f aca="false">IF(OR(AO575&lt;&gt;1,K575&lt;&gt;"Oui",O575=""),"",IF(AC575="",O575+DORA_H_DET/24,IF(AC575-O575&lt;=DORA_H_DET/24,MIN(AC575+DORA_H_CLA/24,O575+DORA_H_DET/24),AC575+DORA_H_CLA/24)))</f>
        <v/>
      </c>
      <c r="BS575" s="35" t="str">
        <f aca="true">IF(BR575="","",IF(AD575="",IF(NOW()&gt;BR575,0,""),IF(AD575&lt;=BR575,1,0)))</f>
        <v/>
      </c>
      <c r="BT575" s="35" t="str">
        <f aca="true">IF(OR(BR575="",AD575=""),"",IF(AE575="",IF(NOW()&gt;AD575+DORA_H_INT/24,0,""),IF(AE575&lt;=AD575+DORA_H_INT/24,1,0)))</f>
        <v/>
      </c>
      <c r="BU575" s="35" t="str">
        <f aca="true">IF(OR(BR575="",AE575=""),"",IF(AF575="",IF(NOW()&gt;EDATE(AE575,DORA_M_FIN)+1,0,""),IF(AF575&lt;=EDATE(AE575,DORA_M_FIN),1,0)))</f>
        <v/>
      </c>
      <c r="BV575" s="35" t="str">
        <f aca="false">IF(BR575="","",IF(COUNT(BS575:BU575)=0,"",MIN(BS575:BU575)))</f>
        <v/>
      </c>
      <c r="BW575" s="40" t="str">
        <f aca="false">IF(AQ575&lt;&gt;1,"",IF(AND(AG575="",AH575=""),"",N(AG575)-N(AH575)))</f>
        <v/>
      </c>
      <c r="BX575" s="35" t="str">
        <f aca="true">IF(OR(AQ575&lt;&gt;1,AI575&lt;&gt;"Oui",AJ575=""),"",IF(AK575="",IF(NOW()&gt;AJ575+1,0,""),IF(AK575&lt;=AJ575,1,0)))</f>
        <v/>
      </c>
    </row>
    <row r="576" customFormat="false" ht="15" hidden="false" customHeight="false" outlineLevel="0" collapsed="false">
      <c r="B576" s="29"/>
      <c r="C576" s="29"/>
      <c r="D576" s="29"/>
      <c r="E576" s="29"/>
      <c r="F576" s="29"/>
      <c r="G576" s="29"/>
      <c r="H576" s="29"/>
      <c r="I576" s="29"/>
      <c r="J576" s="29"/>
      <c r="K576" s="29"/>
      <c r="L576" s="29"/>
      <c r="M576" s="29"/>
      <c r="N576" s="30"/>
      <c r="O576" s="30"/>
      <c r="P576" s="30"/>
      <c r="Q576" s="30"/>
      <c r="R576" s="30"/>
      <c r="S576" s="30"/>
      <c r="T576" s="30"/>
      <c r="U576" s="30"/>
      <c r="V576" s="31"/>
      <c r="W576" s="29"/>
      <c r="X576" s="29"/>
      <c r="Y576" s="29"/>
      <c r="Z576" s="29"/>
      <c r="AA576" s="30"/>
      <c r="AB576" s="30"/>
      <c r="AC576" s="30"/>
      <c r="AD576" s="30"/>
      <c r="AE576" s="30"/>
      <c r="AF576" s="32"/>
      <c r="AG576" s="33"/>
      <c r="AH576" s="33"/>
      <c r="AI576" s="29"/>
      <c r="AJ576" s="32"/>
      <c r="AK576" s="32"/>
      <c r="AL576" s="29"/>
      <c r="AN576" s="34" t="str">
        <f aca="false">IF($B576="","",IF(OR(C576="",D576="",E576="",G576="",I576="",J576="",L576="",O576="",P576=""),"Champ obligatoire manquant",IF(OR(AND(N576&lt;&gt;"",N576&gt;O576),O576&gt;P576,AND(Q576&lt;&gt;"",Q576&lt;P576),AND(R576&lt;&gt;"",R576&lt;P576),AND(S576&lt;&gt;"",S576&lt;R576),AND(S576&lt;&gt;"",R576=""),AND(T576&lt;&gt;"",T576&lt;O576),AND(U576&lt;&gt;"",U576&lt;O576)),"Chronologie incohérente",IF(AND(OR(L576="Résolu",L576="Clos"),R576=""),"Date de résolution manquante",IF(AND(L576="Clos",S576=""),"Date de clôture manquante",IF(AND(K576="Oui",AC576=""),"Classification DORA manquante","OK"))))))</f>
        <v/>
      </c>
      <c r="AO576" s="35" t="str">
        <f aca="false">IF($B576="","",IF(AND(C576="Incident",L576&lt;&gt;"Annulé"),1,0))</f>
        <v/>
      </c>
      <c r="AP576" s="35" t="str">
        <f aca="false">IF($B576="","",IF(AND(C576="Quasi-incident",L576&lt;&gt;"Annulé"),1,0))</f>
        <v/>
      </c>
      <c r="AQ576" s="35" t="str">
        <f aca="false">IF($B576="","",AO576+AP576)</f>
        <v/>
      </c>
      <c r="AR576" s="36" t="str">
        <f aca="false">IF(OR($B576="",J576=""),"",IFERROR(VALUE(LEFT(J576,1)),""))</f>
        <v/>
      </c>
      <c r="AS576" s="35" t="str">
        <f aca="false">IF(OR(AO576&lt;&gt;1,G576=""),"",IFERROR(IF(INDEX(L_SrcInterne,MATCH(G576,L_Sources,0))="Oui",1,0),""))</f>
        <v/>
      </c>
      <c r="AT576" s="37" t="str">
        <f aca="false">IF(AO576&lt;&gt;1,"",IFERROR(ROUND(IF(OR(N576="",O576=""),"",IF(O576&lt;N576,"",ROUND(((NETWORKDAYS(N576,O576,JoursFeries)-1)*(HFer-HOuv)+IF(NETWORKDAYS(O576,O576,JoursFeries),MEDIAN(MOD(O576,1),HFer,HOuv),HFer)-IF(NETWORKDAYS(N576,N576,JoursFeries),MEDIAN(MOD(N576,1),HFer,HOuv),HOuv))*24,4)))/HJour,4),""))</f>
        <v/>
      </c>
      <c r="AU576" s="37" t="str">
        <f aca="false">IF(AO576&lt;&gt;1,"",IF(OR(O576="",P576=""),"",IF(P576&lt;O576,"",ROUND(((NETWORKDAYS(O576,P576,JoursFeries)-1)*(HFer-HOuv)+IF(NETWORKDAYS(P576,P576,JoursFeries),MEDIAN(MOD(P576,1),HFer,HOuv),HFer)-IF(NETWORKDAYS(O576,O576,JoursFeries),MEDIAN(MOD(O576,1),HFer,HOuv),HOuv))*24,4))))</f>
        <v/>
      </c>
      <c r="AV576" s="37" t="str">
        <f aca="false">IF(AO576&lt;&gt;1,"",IF(OR(P576="",Q576=""),"",IF(Q576&lt;P576,"",ROUND(((NETWORKDAYS(P576,Q576,JoursFeries)-1)*(HFer-HOuv)+IF(NETWORKDAYS(Q576,Q576,JoursFeries),MEDIAN(MOD(Q576,1),HFer,HOuv),HFer)-IF(NETWORKDAYS(P576,P576,JoursFeries),MEDIAN(MOD(P576,1),HFer,HOuv),HOuv))*24,4))))</f>
        <v/>
      </c>
      <c r="AW576" s="37" t="str">
        <f aca="false">IF(AO576&lt;&gt;1,"",IFERROR(ROUND(IF(OR(P576="",R576=""),"",IF(R576&lt;P576,"",ROUND(((NETWORKDAYS(P576,R576,JoursFeries)-1)*(HFer-HOuv)+IF(NETWORKDAYS(R576,R576,JoursFeries),MEDIAN(MOD(R576,1),HFer,HOuv),HFer)-IF(NETWORKDAYS(P576,P576,JoursFeries),MEDIAN(MOD(P576,1),HFer,HOuv),HOuv))*24,4)))/HJour,4),""))</f>
        <v/>
      </c>
      <c r="AX576" s="37" t="str">
        <f aca="false">IF(AO576&lt;&gt;1,"",IFERROR(ROUND(IF(OR(P576="",S576=""),"",IF(S576&lt;P576,"",ROUND(((NETWORKDAYS(P576,S576,JoursFeries)-1)*(HFer-HOuv)+IF(NETWORKDAYS(S576,S576,JoursFeries),MEDIAN(MOD(S576,1),HFer,HOuv),HFer)-IF(NETWORKDAYS(P576,P576,JoursFeries),MEDIAN(MOD(P576,1),HFer,HOuv),HOuv))*24,4)))/HJour,4),""))</f>
        <v/>
      </c>
      <c r="AY576" s="36" t="str">
        <f aca="false">IF(OR(AO576&lt;&gt;1,AR576=""),"",INDEX(SLA_PEC,AR576))</f>
        <v/>
      </c>
      <c r="AZ576" s="35" t="str">
        <f aca="false">IF(OR(AV576="",AY576=""),"",IF(AV576&lt;=AY576,1,0))</f>
        <v/>
      </c>
      <c r="BA576" s="36" t="str">
        <f aca="false">IF(OR(AO576&lt;&gt;1,AR576=""),"",INDEX(SLA_RES,AR576))</f>
        <v/>
      </c>
      <c r="BB576" s="35" t="str">
        <f aca="false">IF(OR(AW576="",BA576=""),"",IF(AW576&lt;=BA576,1,0))</f>
        <v/>
      </c>
      <c r="BC576" s="38" t="str">
        <f aca="false">IF(OR(BA576="",P576=""),"",WORKDAY(INT(P576),BA576,JoursFeries)+MOD(P576,1))</f>
        <v/>
      </c>
      <c r="BD576" s="39" t="str">
        <f aca="false">IF(AO576&lt;&gt;1,"",IF(OR(AB576&lt;&gt;"",AD576&lt;&gt;""),4,IF(U576&lt;&gt;"",3,IF(T576&lt;&gt;"",2,1))))</f>
        <v/>
      </c>
      <c r="BE576" s="39" t="str">
        <f aca="false">IF(OR(AO576&lt;&gt;1,AR576=""),"",INDEX(NIV_REQ,AR576))</f>
        <v/>
      </c>
      <c r="BF576" s="39" t="str">
        <f aca="false">IF(BE576="","",MAX(BE576,IF(OR(K576="Oui",Z576="Oui"),4,1)))</f>
        <v/>
      </c>
      <c r="BG576" s="35" t="str">
        <f aca="false">IF(OR(BF576="",BD576=""),"",IF(BD576&gt;=BF576,1,0))</f>
        <v/>
      </c>
      <c r="BH576" s="38" t="str">
        <f aca="false">IF(BE576="","",IF(BE576&lt;2,"",IF(BE576=2,IF(AND(T576="",U576=""),"",MIN(T576,U576)),IF(U576="","",U576))))</f>
        <v/>
      </c>
      <c r="BI576" s="37" t="str">
        <f aca="false">IF(BH576="","",IF(OR(O576="",BH576=""),"",IF(BH576&lt;O576,"",ROUND(((NETWORKDAYS(O576,BH576,JoursFeries)-1)*(HFer-HOuv)+IF(NETWORKDAYS(BH576,BH576,JoursFeries),MEDIAN(MOD(BH576,1),HFer,HOuv),HFer)-IF(NETWORKDAYS(O576,O576,JoursFeries),MEDIAN(MOD(O576,1),HFer,HOuv),HOuv))*24,4))))</f>
        <v/>
      </c>
      <c r="BJ576" s="35" t="str">
        <f aca="false">IF(OR(BI576="",AR576=""),"",IF(BI576&lt;=INDEX(DELAI_ESC,AR576),1,0))</f>
        <v/>
      </c>
      <c r="BK576" s="38" t="str">
        <f aca="false">IF(AO576&lt;&gt;1,"",IF(AND(T576="",U576=""),"",MIN(T576,U576)))</f>
        <v/>
      </c>
      <c r="BL576" s="37" t="str">
        <f aca="false">IF(OR(BK576="",R576=""),"",IFERROR(ROUND(IF(OR(BK576="",R576=""),"",IF(R576&lt;BK576,"",ROUND(((NETWORKDAYS(BK576,R576,JoursFeries)-1)*(HFer-HOuv)+IF(NETWORKDAYS(R576,R576,JoursFeries),MEDIAN(MOD(R576,1),HFer,HOuv),HFer)-IF(NETWORKDAYS(BK576,BK576,JoursFeries),MEDIAN(MOD(BK576,1),HFer,HOuv),HOuv))*24,4)))/HJour,4),""))</f>
        <v/>
      </c>
      <c r="BM576" s="35" t="str">
        <f aca="false">IF(OR(AO576&lt;&gt;1,R576=""),"",IF(BD576=1,1,0))</f>
        <v/>
      </c>
      <c r="BN576" s="35" t="str">
        <f aca="false">IF(AO576&lt;&gt;1,"",IF(W576="Oui",1,0))</f>
        <v/>
      </c>
      <c r="BO576" s="35" t="str">
        <f aca="false">IF(AO576&lt;&gt;1,"",IF(X576&lt;&gt;"",1,0))</f>
        <v/>
      </c>
      <c r="BP576" s="35" t="str">
        <f aca="false">IF(AO576&lt;&gt;1,"",IF(Y576="Oui",1,0))</f>
        <v/>
      </c>
      <c r="BQ576" s="35" t="str">
        <f aca="true">IF(OR(AO576&lt;&gt;1,Z576&lt;&gt;"Oui"),"",IF(AB576="",IF(AND(AA576&lt;&gt;"",NOW()&gt;AA576),0,""),IF(AA576="","",IF(AB576&lt;=AA576,1,0))))</f>
        <v/>
      </c>
      <c r="BR576" s="38" t="str">
        <f aca="false">IF(OR(AO576&lt;&gt;1,K576&lt;&gt;"Oui",O576=""),"",IF(AC576="",O576+DORA_H_DET/24,IF(AC576-O576&lt;=DORA_H_DET/24,MIN(AC576+DORA_H_CLA/24,O576+DORA_H_DET/24),AC576+DORA_H_CLA/24)))</f>
        <v/>
      </c>
      <c r="BS576" s="35" t="str">
        <f aca="true">IF(BR576="","",IF(AD576="",IF(NOW()&gt;BR576,0,""),IF(AD576&lt;=BR576,1,0)))</f>
        <v/>
      </c>
      <c r="BT576" s="35" t="str">
        <f aca="true">IF(OR(BR576="",AD576=""),"",IF(AE576="",IF(NOW()&gt;AD576+DORA_H_INT/24,0,""),IF(AE576&lt;=AD576+DORA_H_INT/24,1,0)))</f>
        <v/>
      </c>
      <c r="BU576" s="35" t="str">
        <f aca="true">IF(OR(BR576="",AE576=""),"",IF(AF576="",IF(NOW()&gt;EDATE(AE576,DORA_M_FIN)+1,0,""),IF(AF576&lt;=EDATE(AE576,DORA_M_FIN),1,0)))</f>
        <v/>
      </c>
      <c r="BV576" s="35" t="str">
        <f aca="false">IF(BR576="","",IF(COUNT(BS576:BU576)=0,"",MIN(BS576:BU576)))</f>
        <v/>
      </c>
      <c r="BW576" s="40" t="str">
        <f aca="false">IF(AQ576&lt;&gt;1,"",IF(AND(AG576="",AH576=""),"",N(AG576)-N(AH576)))</f>
        <v/>
      </c>
      <c r="BX576" s="35" t="str">
        <f aca="true">IF(OR(AQ576&lt;&gt;1,AI576&lt;&gt;"Oui",AJ576=""),"",IF(AK576="",IF(NOW()&gt;AJ576+1,0,""),IF(AK576&lt;=AJ576,1,0)))</f>
        <v/>
      </c>
    </row>
    <row r="577" customFormat="false" ht="15" hidden="false" customHeight="false" outlineLevel="0" collapsed="false">
      <c r="B577" s="29"/>
      <c r="C577" s="29"/>
      <c r="D577" s="29"/>
      <c r="E577" s="29"/>
      <c r="F577" s="29"/>
      <c r="G577" s="29"/>
      <c r="H577" s="29"/>
      <c r="I577" s="29"/>
      <c r="J577" s="29"/>
      <c r="K577" s="29"/>
      <c r="L577" s="29"/>
      <c r="M577" s="29"/>
      <c r="N577" s="30"/>
      <c r="O577" s="30"/>
      <c r="P577" s="30"/>
      <c r="Q577" s="30"/>
      <c r="R577" s="30"/>
      <c r="S577" s="30"/>
      <c r="T577" s="30"/>
      <c r="U577" s="30"/>
      <c r="V577" s="31"/>
      <c r="W577" s="29"/>
      <c r="X577" s="29"/>
      <c r="Y577" s="29"/>
      <c r="Z577" s="29"/>
      <c r="AA577" s="30"/>
      <c r="AB577" s="30"/>
      <c r="AC577" s="30"/>
      <c r="AD577" s="30"/>
      <c r="AE577" s="30"/>
      <c r="AF577" s="32"/>
      <c r="AG577" s="33"/>
      <c r="AH577" s="33"/>
      <c r="AI577" s="29"/>
      <c r="AJ577" s="32"/>
      <c r="AK577" s="32"/>
      <c r="AL577" s="29"/>
      <c r="AN577" s="34" t="str">
        <f aca="false">IF($B577="","",IF(OR(C577="",D577="",E577="",G577="",I577="",J577="",L577="",O577="",P577=""),"Champ obligatoire manquant",IF(OR(AND(N577&lt;&gt;"",N577&gt;O577),O577&gt;P577,AND(Q577&lt;&gt;"",Q577&lt;P577),AND(R577&lt;&gt;"",R577&lt;P577),AND(S577&lt;&gt;"",S577&lt;R577),AND(S577&lt;&gt;"",R577=""),AND(T577&lt;&gt;"",T577&lt;O577),AND(U577&lt;&gt;"",U577&lt;O577)),"Chronologie incohérente",IF(AND(OR(L577="Résolu",L577="Clos"),R577=""),"Date de résolution manquante",IF(AND(L577="Clos",S577=""),"Date de clôture manquante",IF(AND(K577="Oui",AC577=""),"Classification DORA manquante","OK"))))))</f>
        <v/>
      </c>
      <c r="AO577" s="35" t="str">
        <f aca="false">IF($B577="","",IF(AND(C577="Incident",L577&lt;&gt;"Annulé"),1,0))</f>
        <v/>
      </c>
      <c r="AP577" s="35" t="str">
        <f aca="false">IF($B577="","",IF(AND(C577="Quasi-incident",L577&lt;&gt;"Annulé"),1,0))</f>
        <v/>
      </c>
      <c r="AQ577" s="35" t="str">
        <f aca="false">IF($B577="","",AO577+AP577)</f>
        <v/>
      </c>
      <c r="AR577" s="36" t="str">
        <f aca="false">IF(OR($B577="",J577=""),"",IFERROR(VALUE(LEFT(J577,1)),""))</f>
        <v/>
      </c>
      <c r="AS577" s="35" t="str">
        <f aca="false">IF(OR(AO577&lt;&gt;1,G577=""),"",IFERROR(IF(INDEX(L_SrcInterne,MATCH(G577,L_Sources,0))="Oui",1,0),""))</f>
        <v/>
      </c>
      <c r="AT577" s="37" t="str">
        <f aca="false">IF(AO577&lt;&gt;1,"",IFERROR(ROUND(IF(OR(N577="",O577=""),"",IF(O577&lt;N577,"",ROUND(((NETWORKDAYS(N577,O577,JoursFeries)-1)*(HFer-HOuv)+IF(NETWORKDAYS(O577,O577,JoursFeries),MEDIAN(MOD(O577,1),HFer,HOuv),HFer)-IF(NETWORKDAYS(N577,N577,JoursFeries),MEDIAN(MOD(N577,1),HFer,HOuv),HOuv))*24,4)))/HJour,4),""))</f>
        <v/>
      </c>
      <c r="AU577" s="37" t="str">
        <f aca="false">IF(AO577&lt;&gt;1,"",IF(OR(O577="",P577=""),"",IF(P577&lt;O577,"",ROUND(((NETWORKDAYS(O577,P577,JoursFeries)-1)*(HFer-HOuv)+IF(NETWORKDAYS(P577,P577,JoursFeries),MEDIAN(MOD(P577,1),HFer,HOuv),HFer)-IF(NETWORKDAYS(O577,O577,JoursFeries),MEDIAN(MOD(O577,1),HFer,HOuv),HOuv))*24,4))))</f>
        <v/>
      </c>
      <c r="AV577" s="37" t="str">
        <f aca="false">IF(AO577&lt;&gt;1,"",IF(OR(P577="",Q577=""),"",IF(Q577&lt;P577,"",ROUND(((NETWORKDAYS(P577,Q577,JoursFeries)-1)*(HFer-HOuv)+IF(NETWORKDAYS(Q577,Q577,JoursFeries),MEDIAN(MOD(Q577,1),HFer,HOuv),HFer)-IF(NETWORKDAYS(P577,P577,JoursFeries),MEDIAN(MOD(P577,1),HFer,HOuv),HOuv))*24,4))))</f>
        <v/>
      </c>
      <c r="AW577" s="37" t="str">
        <f aca="false">IF(AO577&lt;&gt;1,"",IFERROR(ROUND(IF(OR(P577="",R577=""),"",IF(R577&lt;P577,"",ROUND(((NETWORKDAYS(P577,R577,JoursFeries)-1)*(HFer-HOuv)+IF(NETWORKDAYS(R577,R577,JoursFeries),MEDIAN(MOD(R577,1),HFer,HOuv),HFer)-IF(NETWORKDAYS(P577,P577,JoursFeries),MEDIAN(MOD(P577,1),HFer,HOuv),HOuv))*24,4)))/HJour,4),""))</f>
        <v/>
      </c>
      <c r="AX577" s="37" t="str">
        <f aca="false">IF(AO577&lt;&gt;1,"",IFERROR(ROUND(IF(OR(P577="",S577=""),"",IF(S577&lt;P577,"",ROUND(((NETWORKDAYS(P577,S577,JoursFeries)-1)*(HFer-HOuv)+IF(NETWORKDAYS(S577,S577,JoursFeries),MEDIAN(MOD(S577,1),HFer,HOuv),HFer)-IF(NETWORKDAYS(P577,P577,JoursFeries),MEDIAN(MOD(P577,1),HFer,HOuv),HOuv))*24,4)))/HJour,4),""))</f>
        <v/>
      </c>
      <c r="AY577" s="36" t="str">
        <f aca="false">IF(OR(AO577&lt;&gt;1,AR577=""),"",INDEX(SLA_PEC,AR577))</f>
        <v/>
      </c>
      <c r="AZ577" s="35" t="str">
        <f aca="false">IF(OR(AV577="",AY577=""),"",IF(AV577&lt;=AY577,1,0))</f>
        <v/>
      </c>
      <c r="BA577" s="36" t="str">
        <f aca="false">IF(OR(AO577&lt;&gt;1,AR577=""),"",INDEX(SLA_RES,AR577))</f>
        <v/>
      </c>
      <c r="BB577" s="35" t="str">
        <f aca="false">IF(OR(AW577="",BA577=""),"",IF(AW577&lt;=BA577,1,0))</f>
        <v/>
      </c>
      <c r="BC577" s="38" t="str">
        <f aca="false">IF(OR(BA577="",P577=""),"",WORKDAY(INT(P577),BA577,JoursFeries)+MOD(P577,1))</f>
        <v/>
      </c>
      <c r="BD577" s="39" t="str">
        <f aca="false">IF(AO577&lt;&gt;1,"",IF(OR(AB577&lt;&gt;"",AD577&lt;&gt;""),4,IF(U577&lt;&gt;"",3,IF(T577&lt;&gt;"",2,1))))</f>
        <v/>
      </c>
      <c r="BE577" s="39" t="str">
        <f aca="false">IF(OR(AO577&lt;&gt;1,AR577=""),"",INDEX(NIV_REQ,AR577))</f>
        <v/>
      </c>
      <c r="BF577" s="39" t="str">
        <f aca="false">IF(BE577="","",MAX(BE577,IF(OR(K577="Oui",Z577="Oui"),4,1)))</f>
        <v/>
      </c>
      <c r="BG577" s="35" t="str">
        <f aca="false">IF(OR(BF577="",BD577=""),"",IF(BD577&gt;=BF577,1,0))</f>
        <v/>
      </c>
      <c r="BH577" s="38" t="str">
        <f aca="false">IF(BE577="","",IF(BE577&lt;2,"",IF(BE577=2,IF(AND(T577="",U577=""),"",MIN(T577,U577)),IF(U577="","",U577))))</f>
        <v/>
      </c>
      <c r="BI577" s="37" t="str">
        <f aca="false">IF(BH577="","",IF(OR(O577="",BH577=""),"",IF(BH577&lt;O577,"",ROUND(((NETWORKDAYS(O577,BH577,JoursFeries)-1)*(HFer-HOuv)+IF(NETWORKDAYS(BH577,BH577,JoursFeries),MEDIAN(MOD(BH577,1),HFer,HOuv),HFer)-IF(NETWORKDAYS(O577,O577,JoursFeries),MEDIAN(MOD(O577,1),HFer,HOuv),HOuv))*24,4))))</f>
        <v/>
      </c>
      <c r="BJ577" s="35" t="str">
        <f aca="false">IF(OR(BI577="",AR577=""),"",IF(BI577&lt;=INDEX(DELAI_ESC,AR577),1,0))</f>
        <v/>
      </c>
      <c r="BK577" s="38" t="str">
        <f aca="false">IF(AO577&lt;&gt;1,"",IF(AND(T577="",U577=""),"",MIN(T577,U577)))</f>
        <v/>
      </c>
      <c r="BL577" s="37" t="str">
        <f aca="false">IF(OR(BK577="",R577=""),"",IFERROR(ROUND(IF(OR(BK577="",R577=""),"",IF(R577&lt;BK577,"",ROUND(((NETWORKDAYS(BK577,R577,JoursFeries)-1)*(HFer-HOuv)+IF(NETWORKDAYS(R577,R577,JoursFeries),MEDIAN(MOD(R577,1),HFer,HOuv),HFer)-IF(NETWORKDAYS(BK577,BK577,JoursFeries),MEDIAN(MOD(BK577,1),HFer,HOuv),HOuv))*24,4)))/HJour,4),""))</f>
        <v/>
      </c>
      <c r="BM577" s="35" t="str">
        <f aca="false">IF(OR(AO577&lt;&gt;1,R577=""),"",IF(BD577=1,1,0))</f>
        <v/>
      </c>
      <c r="BN577" s="35" t="str">
        <f aca="false">IF(AO577&lt;&gt;1,"",IF(W577="Oui",1,0))</f>
        <v/>
      </c>
      <c r="BO577" s="35" t="str">
        <f aca="false">IF(AO577&lt;&gt;1,"",IF(X577&lt;&gt;"",1,0))</f>
        <v/>
      </c>
      <c r="BP577" s="35" t="str">
        <f aca="false">IF(AO577&lt;&gt;1,"",IF(Y577="Oui",1,0))</f>
        <v/>
      </c>
      <c r="BQ577" s="35" t="str">
        <f aca="true">IF(OR(AO577&lt;&gt;1,Z577&lt;&gt;"Oui"),"",IF(AB577="",IF(AND(AA577&lt;&gt;"",NOW()&gt;AA577),0,""),IF(AA577="","",IF(AB577&lt;=AA577,1,0))))</f>
        <v/>
      </c>
      <c r="BR577" s="38" t="str">
        <f aca="false">IF(OR(AO577&lt;&gt;1,K577&lt;&gt;"Oui",O577=""),"",IF(AC577="",O577+DORA_H_DET/24,IF(AC577-O577&lt;=DORA_H_DET/24,MIN(AC577+DORA_H_CLA/24,O577+DORA_H_DET/24),AC577+DORA_H_CLA/24)))</f>
        <v/>
      </c>
      <c r="BS577" s="35" t="str">
        <f aca="true">IF(BR577="","",IF(AD577="",IF(NOW()&gt;BR577,0,""),IF(AD577&lt;=BR577,1,0)))</f>
        <v/>
      </c>
      <c r="BT577" s="35" t="str">
        <f aca="true">IF(OR(BR577="",AD577=""),"",IF(AE577="",IF(NOW()&gt;AD577+DORA_H_INT/24,0,""),IF(AE577&lt;=AD577+DORA_H_INT/24,1,0)))</f>
        <v/>
      </c>
      <c r="BU577" s="35" t="str">
        <f aca="true">IF(OR(BR577="",AE577=""),"",IF(AF577="",IF(NOW()&gt;EDATE(AE577,DORA_M_FIN)+1,0,""),IF(AF577&lt;=EDATE(AE577,DORA_M_FIN),1,0)))</f>
        <v/>
      </c>
      <c r="BV577" s="35" t="str">
        <f aca="false">IF(BR577="","",IF(COUNT(BS577:BU577)=0,"",MIN(BS577:BU577)))</f>
        <v/>
      </c>
      <c r="BW577" s="40" t="str">
        <f aca="false">IF(AQ577&lt;&gt;1,"",IF(AND(AG577="",AH577=""),"",N(AG577)-N(AH577)))</f>
        <v/>
      </c>
      <c r="BX577" s="35" t="str">
        <f aca="true">IF(OR(AQ577&lt;&gt;1,AI577&lt;&gt;"Oui",AJ577=""),"",IF(AK577="",IF(NOW()&gt;AJ577+1,0,""),IF(AK577&lt;=AJ577,1,0)))</f>
        <v/>
      </c>
    </row>
    <row r="578" customFormat="false" ht="15" hidden="false" customHeight="false" outlineLevel="0" collapsed="false">
      <c r="B578" s="29"/>
      <c r="C578" s="29"/>
      <c r="D578" s="29"/>
      <c r="E578" s="29"/>
      <c r="F578" s="29"/>
      <c r="G578" s="29"/>
      <c r="H578" s="29"/>
      <c r="I578" s="29"/>
      <c r="J578" s="29"/>
      <c r="K578" s="29"/>
      <c r="L578" s="29"/>
      <c r="M578" s="29"/>
      <c r="N578" s="30"/>
      <c r="O578" s="30"/>
      <c r="P578" s="30"/>
      <c r="Q578" s="30"/>
      <c r="R578" s="30"/>
      <c r="S578" s="30"/>
      <c r="T578" s="30"/>
      <c r="U578" s="30"/>
      <c r="V578" s="31"/>
      <c r="W578" s="29"/>
      <c r="X578" s="29"/>
      <c r="Y578" s="29"/>
      <c r="Z578" s="29"/>
      <c r="AA578" s="30"/>
      <c r="AB578" s="30"/>
      <c r="AC578" s="30"/>
      <c r="AD578" s="30"/>
      <c r="AE578" s="30"/>
      <c r="AF578" s="32"/>
      <c r="AG578" s="33"/>
      <c r="AH578" s="33"/>
      <c r="AI578" s="29"/>
      <c r="AJ578" s="32"/>
      <c r="AK578" s="32"/>
      <c r="AL578" s="29"/>
      <c r="AN578" s="34" t="str">
        <f aca="false">IF($B578="","",IF(OR(C578="",D578="",E578="",G578="",I578="",J578="",L578="",O578="",P578=""),"Champ obligatoire manquant",IF(OR(AND(N578&lt;&gt;"",N578&gt;O578),O578&gt;P578,AND(Q578&lt;&gt;"",Q578&lt;P578),AND(R578&lt;&gt;"",R578&lt;P578),AND(S578&lt;&gt;"",S578&lt;R578),AND(S578&lt;&gt;"",R578=""),AND(T578&lt;&gt;"",T578&lt;O578),AND(U578&lt;&gt;"",U578&lt;O578)),"Chronologie incohérente",IF(AND(OR(L578="Résolu",L578="Clos"),R578=""),"Date de résolution manquante",IF(AND(L578="Clos",S578=""),"Date de clôture manquante",IF(AND(K578="Oui",AC578=""),"Classification DORA manquante","OK"))))))</f>
        <v/>
      </c>
      <c r="AO578" s="35" t="str">
        <f aca="false">IF($B578="","",IF(AND(C578="Incident",L578&lt;&gt;"Annulé"),1,0))</f>
        <v/>
      </c>
      <c r="AP578" s="35" t="str">
        <f aca="false">IF($B578="","",IF(AND(C578="Quasi-incident",L578&lt;&gt;"Annulé"),1,0))</f>
        <v/>
      </c>
      <c r="AQ578" s="35" t="str">
        <f aca="false">IF($B578="","",AO578+AP578)</f>
        <v/>
      </c>
      <c r="AR578" s="36" t="str">
        <f aca="false">IF(OR($B578="",J578=""),"",IFERROR(VALUE(LEFT(J578,1)),""))</f>
        <v/>
      </c>
      <c r="AS578" s="35" t="str">
        <f aca="false">IF(OR(AO578&lt;&gt;1,G578=""),"",IFERROR(IF(INDEX(L_SrcInterne,MATCH(G578,L_Sources,0))="Oui",1,0),""))</f>
        <v/>
      </c>
      <c r="AT578" s="37" t="str">
        <f aca="false">IF(AO578&lt;&gt;1,"",IFERROR(ROUND(IF(OR(N578="",O578=""),"",IF(O578&lt;N578,"",ROUND(((NETWORKDAYS(N578,O578,JoursFeries)-1)*(HFer-HOuv)+IF(NETWORKDAYS(O578,O578,JoursFeries),MEDIAN(MOD(O578,1),HFer,HOuv),HFer)-IF(NETWORKDAYS(N578,N578,JoursFeries),MEDIAN(MOD(N578,1),HFer,HOuv),HOuv))*24,4)))/HJour,4),""))</f>
        <v/>
      </c>
      <c r="AU578" s="37" t="str">
        <f aca="false">IF(AO578&lt;&gt;1,"",IF(OR(O578="",P578=""),"",IF(P578&lt;O578,"",ROUND(((NETWORKDAYS(O578,P578,JoursFeries)-1)*(HFer-HOuv)+IF(NETWORKDAYS(P578,P578,JoursFeries),MEDIAN(MOD(P578,1),HFer,HOuv),HFer)-IF(NETWORKDAYS(O578,O578,JoursFeries),MEDIAN(MOD(O578,1),HFer,HOuv),HOuv))*24,4))))</f>
        <v/>
      </c>
      <c r="AV578" s="37" t="str">
        <f aca="false">IF(AO578&lt;&gt;1,"",IF(OR(P578="",Q578=""),"",IF(Q578&lt;P578,"",ROUND(((NETWORKDAYS(P578,Q578,JoursFeries)-1)*(HFer-HOuv)+IF(NETWORKDAYS(Q578,Q578,JoursFeries),MEDIAN(MOD(Q578,1),HFer,HOuv),HFer)-IF(NETWORKDAYS(P578,P578,JoursFeries),MEDIAN(MOD(P578,1),HFer,HOuv),HOuv))*24,4))))</f>
        <v/>
      </c>
      <c r="AW578" s="37" t="str">
        <f aca="false">IF(AO578&lt;&gt;1,"",IFERROR(ROUND(IF(OR(P578="",R578=""),"",IF(R578&lt;P578,"",ROUND(((NETWORKDAYS(P578,R578,JoursFeries)-1)*(HFer-HOuv)+IF(NETWORKDAYS(R578,R578,JoursFeries),MEDIAN(MOD(R578,1),HFer,HOuv),HFer)-IF(NETWORKDAYS(P578,P578,JoursFeries),MEDIAN(MOD(P578,1),HFer,HOuv),HOuv))*24,4)))/HJour,4),""))</f>
        <v/>
      </c>
      <c r="AX578" s="37" t="str">
        <f aca="false">IF(AO578&lt;&gt;1,"",IFERROR(ROUND(IF(OR(P578="",S578=""),"",IF(S578&lt;P578,"",ROUND(((NETWORKDAYS(P578,S578,JoursFeries)-1)*(HFer-HOuv)+IF(NETWORKDAYS(S578,S578,JoursFeries),MEDIAN(MOD(S578,1),HFer,HOuv),HFer)-IF(NETWORKDAYS(P578,P578,JoursFeries),MEDIAN(MOD(P578,1),HFer,HOuv),HOuv))*24,4)))/HJour,4),""))</f>
        <v/>
      </c>
      <c r="AY578" s="36" t="str">
        <f aca="false">IF(OR(AO578&lt;&gt;1,AR578=""),"",INDEX(SLA_PEC,AR578))</f>
        <v/>
      </c>
      <c r="AZ578" s="35" t="str">
        <f aca="false">IF(OR(AV578="",AY578=""),"",IF(AV578&lt;=AY578,1,0))</f>
        <v/>
      </c>
      <c r="BA578" s="36" t="str">
        <f aca="false">IF(OR(AO578&lt;&gt;1,AR578=""),"",INDEX(SLA_RES,AR578))</f>
        <v/>
      </c>
      <c r="BB578" s="35" t="str">
        <f aca="false">IF(OR(AW578="",BA578=""),"",IF(AW578&lt;=BA578,1,0))</f>
        <v/>
      </c>
      <c r="BC578" s="38" t="str">
        <f aca="false">IF(OR(BA578="",P578=""),"",WORKDAY(INT(P578),BA578,JoursFeries)+MOD(P578,1))</f>
        <v/>
      </c>
      <c r="BD578" s="39" t="str">
        <f aca="false">IF(AO578&lt;&gt;1,"",IF(OR(AB578&lt;&gt;"",AD578&lt;&gt;""),4,IF(U578&lt;&gt;"",3,IF(T578&lt;&gt;"",2,1))))</f>
        <v/>
      </c>
      <c r="BE578" s="39" t="str">
        <f aca="false">IF(OR(AO578&lt;&gt;1,AR578=""),"",INDEX(NIV_REQ,AR578))</f>
        <v/>
      </c>
      <c r="BF578" s="39" t="str">
        <f aca="false">IF(BE578="","",MAX(BE578,IF(OR(K578="Oui",Z578="Oui"),4,1)))</f>
        <v/>
      </c>
      <c r="BG578" s="35" t="str">
        <f aca="false">IF(OR(BF578="",BD578=""),"",IF(BD578&gt;=BF578,1,0))</f>
        <v/>
      </c>
      <c r="BH578" s="38" t="str">
        <f aca="false">IF(BE578="","",IF(BE578&lt;2,"",IF(BE578=2,IF(AND(T578="",U578=""),"",MIN(T578,U578)),IF(U578="","",U578))))</f>
        <v/>
      </c>
      <c r="BI578" s="37" t="str">
        <f aca="false">IF(BH578="","",IF(OR(O578="",BH578=""),"",IF(BH578&lt;O578,"",ROUND(((NETWORKDAYS(O578,BH578,JoursFeries)-1)*(HFer-HOuv)+IF(NETWORKDAYS(BH578,BH578,JoursFeries),MEDIAN(MOD(BH578,1),HFer,HOuv),HFer)-IF(NETWORKDAYS(O578,O578,JoursFeries),MEDIAN(MOD(O578,1),HFer,HOuv),HOuv))*24,4))))</f>
        <v/>
      </c>
      <c r="BJ578" s="35" t="str">
        <f aca="false">IF(OR(BI578="",AR578=""),"",IF(BI578&lt;=INDEX(DELAI_ESC,AR578),1,0))</f>
        <v/>
      </c>
      <c r="BK578" s="38" t="str">
        <f aca="false">IF(AO578&lt;&gt;1,"",IF(AND(T578="",U578=""),"",MIN(T578,U578)))</f>
        <v/>
      </c>
      <c r="BL578" s="37" t="str">
        <f aca="false">IF(OR(BK578="",R578=""),"",IFERROR(ROUND(IF(OR(BK578="",R578=""),"",IF(R578&lt;BK578,"",ROUND(((NETWORKDAYS(BK578,R578,JoursFeries)-1)*(HFer-HOuv)+IF(NETWORKDAYS(R578,R578,JoursFeries),MEDIAN(MOD(R578,1),HFer,HOuv),HFer)-IF(NETWORKDAYS(BK578,BK578,JoursFeries),MEDIAN(MOD(BK578,1),HFer,HOuv),HOuv))*24,4)))/HJour,4),""))</f>
        <v/>
      </c>
      <c r="BM578" s="35" t="str">
        <f aca="false">IF(OR(AO578&lt;&gt;1,R578=""),"",IF(BD578=1,1,0))</f>
        <v/>
      </c>
      <c r="BN578" s="35" t="str">
        <f aca="false">IF(AO578&lt;&gt;1,"",IF(W578="Oui",1,0))</f>
        <v/>
      </c>
      <c r="BO578" s="35" t="str">
        <f aca="false">IF(AO578&lt;&gt;1,"",IF(X578&lt;&gt;"",1,0))</f>
        <v/>
      </c>
      <c r="BP578" s="35" t="str">
        <f aca="false">IF(AO578&lt;&gt;1,"",IF(Y578="Oui",1,0))</f>
        <v/>
      </c>
      <c r="BQ578" s="35" t="str">
        <f aca="true">IF(OR(AO578&lt;&gt;1,Z578&lt;&gt;"Oui"),"",IF(AB578="",IF(AND(AA578&lt;&gt;"",NOW()&gt;AA578),0,""),IF(AA578="","",IF(AB578&lt;=AA578,1,0))))</f>
        <v/>
      </c>
      <c r="BR578" s="38" t="str">
        <f aca="false">IF(OR(AO578&lt;&gt;1,K578&lt;&gt;"Oui",O578=""),"",IF(AC578="",O578+DORA_H_DET/24,IF(AC578-O578&lt;=DORA_H_DET/24,MIN(AC578+DORA_H_CLA/24,O578+DORA_H_DET/24),AC578+DORA_H_CLA/24)))</f>
        <v/>
      </c>
      <c r="BS578" s="35" t="str">
        <f aca="true">IF(BR578="","",IF(AD578="",IF(NOW()&gt;BR578,0,""),IF(AD578&lt;=BR578,1,0)))</f>
        <v/>
      </c>
      <c r="BT578" s="35" t="str">
        <f aca="true">IF(OR(BR578="",AD578=""),"",IF(AE578="",IF(NOW()&gt;AD578+DORA_H_INT/24,0,""),IF(AE578&lt;=AD578+DORA_H_INT/24,1,0)))</f>
        <v/>
      </c>
      <c r="BU578" s="35" t="str">
        <f aca="true">IF(OR(BR578="",AE578=""),"",IF(AF578="",IF(NOW()&gt;EDATE(AE578,DORA_M_FIN)+1,0,""),IF(AF578&lt;=EDATE(AE578,DORA_M_FIN),1,0)))</f>
        <v/>
      </c>
      <c r="BV578" s="35" t="str">
        <f aca="false">IF(BR578="","",IF(COUNT(BS578:BU578)=0,"",MIN(BS578:BU578)))</f>
        <v/>
      </c>
      <c r="BW578" s="40" t="str">
        <f aca="false">IF(AQ578&lt;&gt;1,"",IF(AND(AG578="",AH578=""),"",N(AG578)-N(AH578)))</f>
        <v/>
      </c>
      <c r="BX578" s="35" t="str">
        <f aca="true">IF(OR(AQ578&lt;&gt;1,AI578&lt;&gt;"Oui",AJ578=""),"",IF(AK578="",IF(NOW()&gt;AJ578+1,0,""),IF(AK578&lt;=AJ578,1,0)))</f>
        <v/>
      </c>
    </row>
    <row r="579" customFormat="false" ht="15" hidden="false" customHeight="false" outlineLevel="0" collapsed="false">
      <c r="B579" s="29"/>
      <c r="C579" s="29"/>
      <c r="D579" s="29"/>
      <c r="E579" s="29"/>
      <c r="F579" s="29"/>
      <c r="G579" s="29"/>
      <c r="H579" s="29"/>
      <c r="I579" s="29"/>
      <c r="J579" s="29"/>
      <c r="K579" s="29"/>
      <c r="L579" s="29"/>
      <c r="M579" s="29"/>
      <c r="N579" s="30"/>
      <c r="O579" s="30"/>
      <c r="P579" s="30"/>
      <c r="Q579" s="30"/>
      <c r="R579" s="30"/>
      <c r="S579" s="30"/>
      <c r="T579" s="30"/>
      <c r="U579" s="30"/>
      <c r="V579" s="31"/>
      <c r="W579" s="29"/>
      <c r="X579" s="29"/>
      <c r="Y579" s="29"/>
      <c r="Z579" s="29"/>
      <c r="AA579" s="30"/>
      <c r="AB579" s="30"/>
      <c r="AC579" s="30"/>
      <c r="AD579" s="30"/>
      <c r="AE579" s="30"/>
      <c r="AF579" s="32"/>
      <c r="AG579" s="33"/>
      <c r="AH579" s="33"/>
      <c r="AI579" s="29"/>
      <c r="AJ579" s="32"/>
      <c r="AK579" s="32"/>
      <c r="AL579" s="29"/>
      <c r="AN579" s="34" t="str">
        <f aca="false">IF($B579="","",IF(OR(C579="",D579="",E579="",G579="",I579="",J579="",L579="",O579="",P579=""),"Champ obligatoire manquant",IF(OR(AND(N579&lt;&gt;"",N579&gt;O579),O579&gt;P579,AND(Q579&lt;&gt;"",Q579&lt;P579),AND(R579&lt;&gt;"",R579&lt;P579),AND(S579&lt;&gt;"",S579&lt;R579),AND(S579&lt;&gt;"",R579=""),AND(T579&lt;&gt;"",T579&lt;O579),AND(U579&lt;&gt;"",U579&lt;O579)),"Chronologie incohérente",IF(AND(OR(L579="Résolu",L579="Clos"),R579=""),"Date de résolution manquante",IF(AND(L579="Clos",S579=""),"Date de clôture manquante",IF(AND(K579="Oui",AC579=""),"Classification DORA manquante","OK"))))))</f>
        <v/>
      </c>
      <c r="AO579" s="35" t="str">
        <f aca="false">IF($B579="","",IF(AND(C579="Incident",L579&lt;&gt;"Annulé"),1,0))</f>
        <v/>
      </c>
      <c r="AP579" s="35" t="str">
        <f aca="false">IF($B579="","",IF(AND(C579="Quasi-incident",L579&lt;&gt;"Annulé"),1,0))</f>
        <v/>
      </c>
      <c r="AQ579" s="35" t="str">
        <f aca="false">IF($B579="","",AO579+AP579)</f>
        <v/>
      </c>
      <c r="AR579" s="36" t="str">
        <f aca="false">IF(OR($B579="",J579=""),"",IFERROR(VALUE(LEFT(J579,1)),""))</f>
        <v/>
      </c>
      <c r="AS579" s="35" t="str">
        <f aca="false">IF(OR(AO579&lt;&gt;1,G579=""),"",IFERROR(IF(INDEX(L_SrcInterne,MATCH(G579,L_Sources,0))="Oui",1,0),""))</f>
        <v/>
      </c>
      <c r="AT579" s="37" t="str">
        <f aca="false">IF(AO579&lt;&gt;1,"",IFERROR(ROUND(IF(OR(N579="",O579=""),"",IF(O579&lt;N579,"",ROUND(((NETWORKDAYS(N579,O579,JoursFeries)-1)*(HFer-HOuv)+IF(NETWORKDAYS(O579,O579,JoursFeries),MEDIAN(MOD(O579,1),HFer,HOuv),HFer)-IF(NETWORKDAYS(N579,N579,JoursFeries),MEDIAN(MOD(N579,1),HFer,HOuv),HOuv))*24,4)))/HJour,4),""))</f>
        <v/>
      </c>
      <c r="AU579" s="37" t="str">
        <f aca="false">IF(AO579&lt;&gt;1,"",IF(OR(O579="",P579=""),"",IF(P579&lt;O579,"",ROUND(((NETWORKDAYS(O579,P579,JoursFeries)-1)*(HFer-HOuv)+IF(NETWORKDAYS(P579,P579,JoursFeries),MEDIAN(MOD(P579,1),HFer,HOuv),HFer)-IF(NETWORKDAYS(O579,O579,JoursFeries),MEDIAN(MOD(O579,1),HFer,HOuv),HOuv))*24,4))))</f>
        <v/>
      </c>
      <c r="AV579" s="37" t="str">
        <f aca="false">IF(AO579&lt;&gt;1,"",IF(OR(P579="",Q579=""),"",IF(Q579&lt;P579,"",ROUND(((NETWORKDAYS(P579,Q579,JoursFeries)-1)*(HFer-HOuv)+IF(NETWORKDAYS(Q579,Q579,JoursFeries),MEDIAN(MOD(Q579,1),HFer,HOuv),HFer)-IF(NETWORKDAYS(P579,P579,JoursFeries),MEDIAN(MOD(P579,1),HFer,HOuv),HOuv))*24,4))))</f>
        <v/>
      </c>
      <c r="AW579" s="37" t="str">
        <f aca="false">IF(AO579&lt;&gt;1,"",IFERROR(ROUND(IF(OR(P579="",R579=""),"",IF(R579&lt;P579,"",ROUND(((NETWORKDAYS(P579,R579,JoursFeries)-1)*(HFer-HOuv)+IF(NETWORKDAYS(R579,R579,JoursFeries),MEDIAN(MOD(R579,1),HFer,HOuv),HFer)-IF(NETWORKDAYS(P579,P579,JoursFeries),MEDIAN(MOD(P579,1),HFer,HOuv),HOuv))*24,4)))/HJour,4),""))</f>
        <v/>
      </c>
      <c r="AX579" s="37" t="str">
        <f aca="false">IF(AO579&lt;&gt;1,"",IFERROR(ROUND(IF(OR(P579="",S579=""),"",IF(S579&lt;P579,"",ROUND(((NETWORKDAYS(P579,S579,JoursFeries)-1)*(HFer-HOuv)+IF(NETWORKDAYS(S579,S579,JoursFeries),MEDIAN(MOD(S579,1),HFer,HOuv),HFer)-IF(NETWORKDAYS(P579,P579,JoursFeries),MEDIAN(MOD(P579,1),HFer,HOuv),HOuv))*24,4)))/HJour,4),""))</f>
        <v/>
      </c>
      <c r="AY579" s="36" t="str">
        <f aca="false">IF(OR(AO579&lt;&gt;1,AR579=""),"",INDEX(SLA_PEC,AR579))</f>
        <v/>
      </c>
      <c r="AZ579" s="35" t="str">
        <f aca="false">IF(OR(AV579="",AY579=""),"",IF(AV579&lt;=AY579,1,0))</f>
        <v/>
      </c>
      <c r="BA579" s="36" t="str">
        <f aca="false">IF(OR(AO579&lt;&gt;1,AR579=""),"",INDEX(SLA_RES,AR579))</f>
        <v/>
      </c>
      <c r="BB579" s="35" t="str">
        <f aca="false">IF(OR(AW579="",BA579=""),"",IF(AW579&lt;=BA579,1,0))</f>
        <v/>
      </c>
      <c r="BC579" s="38" t="str">
        <f aca="false">IF(OR(BA579="",P579=""),"",WORKDAY(INT(P579),BA579,JoursFeries)+MOD(P579,1))</f>
        <v/>
      </c>
      <c r="BD579" s="39" t="str">
        <f aca="false">IF(AO579&lt;&gt;1,"",IF(OR(AB579&lt;&gt;"",AD579&lt;&gt;""),4,IF(U579&lt;&gt;"",3,IF(T579&lt;&gt;"",2,1))))</f>
        <v/>
      </c>
      <c r="BE579" s="39" t="str">
        <f aca="false">IF(OR(AO579&lt;&gt;1,AR579=""),"",INDEX(NIV_REQ,AR579))</f>
        <v/>
      </c>
      <c r="BF579" s="39" t="str">
        <f aca="false">IF(BE579="","",MAX(BE579,IF(OR(K579="Oui",Z579="Oui"),4,1)))</f>
        <v/>
      </c>
      <c r="BG579" s="35" t="str">
        <f aca="false">IF(OR(BF579="",BD579=""),"",IF(BD579&gt;=BF579,1,0))</f>
        <v/>
      </c>
      <c r="BH579" s="38" t="str">
        <f aca="false">IF(BE579="","",IF(BE579&lt;2,"",IF(BE579=2,IF(AND(T579="",U579=""),"",MIN(T579,U579)),IF(U579="","",U579))))</f>
        <v/>
      </c>
      <c r="BI579" s="37" t="str">
        <f aca="false">IF(BH579="","",IF(OR(O579="",BH579=""),"",IF(BH579&lt;O579,"",ROUND(((NETWORKDAYS(O579,BH579,JoursFeries)-1)*(HFer-HOuv)+IF(NETWORKDAYS(BH579,BH579,JoursFeries),MEDIAN(MOD(BH579,1),HFer,HOuv),HFer)-IF(NETWORKDAYS(O579,O579,JoursFeries),MEDIAN(MOD(O579,1),HFer,HOuv),HOuv))*24,4))))</f>
        <v/>
      </c>
      <c r="BJ579" s="35" t="str">
        <f aca="false">IF(OR(BI579="",AR579=""),"",IF(BI579&lt;=INDEX(DELAI_ESC,AR579),1,0))</f>
        <v/>
      </c>
      <c r="BK579" s="38" t="str">
        <f aca="false">IF(AO579&lt;&gt;1,"",IF(AND(T579="",U579=""),"",MIN(T579,U579)))</f>
        <v/>
      </c>
      <c r="BL579" s="37" t="str">
        <f aca="false">IF(OR(BK579="",R579=""),"",IFERROR(ROUND(IF(OR(BK579="",R579=""),"",IF(R579&lt;BK579,"",ROUND(((NETWORKDAYS(BK579,R579,JoursFeries)-1)*(HFer-HOuv)+IF(NETWORKDAYS(R579,R579,JoursFeries),MEDIAN(MOD(R579,1),HFer,HOuv),HFer)-IF(NETWORKDAYS(BK579,BK579,JoursFeries),MEDIAN(MOD(BK579,1),HFer,HOuv),HOuv))*24,4)))/HJour,4),""))</f>
        <v/>
      </c>
      <c r="BM579" s="35" t="str">
        <f aca="false">IF(OR(AO579&lt;&gt;1,R579=""),"",IF(BD579=1,1,0))</f>
        <v/>
      </c>
      <c r="BN579" s="35" t="str">
        <f aca="false">IF(AO579&lt;&gt;1,"",IF(W579="Oui",1,0))</f>
        <v/>
      </c>
      <c r="BO579" s="35" t="str">
        <f aca="false">IF(AO579&lt;&gt;1,"",IF(X579&lt;&gt;"",1,0))</f>
        <v/>
      </c>
      <c r="BP579" s="35" t="str">
        <f aca="false">IF(AO579&lt;&gt;1,"",IF(Y579="Oui",1,0))</f>
        <v/>
      </c>
      <c r="BQ579" s="35" t="str">
        <f aca="true">IF(OR(AO579&lt;&gt;1,Z579&lt;&gt;"Oui"),"",IF(AB579="",IF(AND(AA579&lt;&gt;"",NOW()&gt;AA579),0,""),IF(AA579="","",IF(AB579&lt;=AA579,1,0))))</f>
        <v/>
      </c>
      <c r="BR579" s="38" t="str">
        <f aca="false">IF(OR(AO579&lt;&gt;1,K579&lt;&gt;"Oui",O579=""),"",IF(AC579="",O579+DORA_H_DET/24,IF(AC579-O579&lt;=DORA_H_DET/24,MIN(AC579+DORA_H_CLA/24,O579+DORA_H_DET/24),AC579+DORA_H_CLA/24)))</f>
        <v/>
      </c>
      <c r="BS579" s="35" t="str">
        <f aca="true">IF(BR579="","",IF(AD579="",IF(NOW()&gt;BR579,0,""),IF(AD579&lt;=BR579,1,0)))</f>
        <v/>
      </c>
      <c r="BT579" s="35" t="str">
        <f aca="true">IF(OR(BR579="",AD579=""),"",IF(AE579="",IF(NOW()&gt;AD579+DORA_H_INT/24,0,""),IF(AE579&lt;=AD579+DORA_H_INT/24,1,0)))</f>
        <v/>
      </c>
      <c r="BU579" s="35" t="str">
        <f aca="true">IF(OR(BR579="",AE579=""),"",IF(AF579="",IF(NOW()&gt;EDATE(AE579,DORA_M_FIN)+1,0,""),IF(AF579&lt;=EDATE(AE579,DORA_M_FIN),1,0)))</f>
        <v/>
      </c>
      <c r="BV579" s="35" t="str">
        <f aca="false">IF(BR579="","",IF(COUNT(BS579:BU579)=0,"",MIN(BS579:BU579)))</f>
        <v/>
      </c>
      <c r="BW579" s="40" t="str">
        <f aca="false">IF(AQ579&lt;&gt;1,"",IF(AND(AG579="",AH579=""),"",N(AG579)-N(AH579)))</f>
        <v/>
      </c>
      <c r="BX579" s="35" t="str">
        <f aca="true">IF(OR(AQ579&lt;&gt;1,AI579&lt;&gt;"Oui",AJ579=""),"",IF(AK579="",IF(NOW()&gt;AJ579+1,0,""),IF(AK579&lt;=AJ579,1,0)))</f>
        <v/>
      </c>
    </row>
    <row r="580" customFormat="false" ht="15" hidden="false" customHeight="false" outlineLevel="0" collapsed="false">
      <c r="B580" s="29"/>
      <c r="C580" s="29"/>
      <c r="D580" s="29"/>
      <c r="E580" s="29"/>
      <c r="F580" s="29"/>
      <c r="G580" s="29"/>
      <c r="H580" s="29"/>
      <c r="I580" s="29"/>
      <c r="J580" s="29"/>
      <c r="K580" s="29"/>
      <c r="L580" s="29"/>
      <c r="M580" s="29"/>
      <c r="N580" s="30"/>
      <c r="O580" s="30"/>
      <c r="P580" s="30"/>
      <c r="Q580" s="30"/>
      <c r="R580" s="30"/>
      <c r="S580" s="30"/>
      <c r="T580" s="30"/>
      <c r="U580" s="30"/>
      <c r="V580" s="31"/>
      <c r="W580" s="29"/>
      <c r="X580" s="29"/>
      <c r="Y580" s="29"/>
      <c r="Z580" s="29"/>
      <c r="AA580" s="30"/>
      <c r="AB580" s="30"/>
      <c r="AC580" s="30"/>
      <c r="AD580" s="30"/>
      <c r="AE580" s="30"/>
      <c r="AF580" s="32"/>
      <c r="AG580" s="33"/>
      <c r="AH580" s="33"/>
      <c r="AI580" s="29"/>
      <c r="AJ580" s="32"/>
      <c r="AK580" s="32"/>
      <c r="AL580" s="29"/>
      <c r="AN580" s="34" t="str">
        <f aca="false">IF($B580="","",IF(OR(C580="",D580="",E580="",G580="",I580="",J580="",L580="",O580="",P580=""),"Champ obligatoire manquant",IF(OR(AND(N580&lt;&gt;"",N580&gt;O580),O580&gt;P580,AND(Q580&lt;&gt;"",Q580&lt;P580),AND(R580&lt;&gt;"",R580&lt;P580),AND(S580&lt;&gt;"",S580&lt;R580),AND(S580&lt;&gt;"",R580=""),AND(T580&lt;&gt;"",T580&lt;O580),AND(U580&lt;&gt;"",U580&lt;O580)),"Chronologie incohérente",IF(AND(OR(L580="Résolu",L580="Clos"),R580=""),"Date de résolution manquante",IF(AND(L580="Clos",S580=""),"Date de clôture manquante",IF(AND(K580="Oui",AC580=""),"Classification DORA manquante","OK"))))))</f>
        <v/>
      </c>
      <c r="AO580" s="35" t="str">
        <f aca="false">IF($B580="","",IF(AND(C580="Incident",L580&lt;&gt;"Annulé"),1,0))</f>
        <v/>
      </c>
      <c r="AP580" s="35" t="str">
        <f aca="false">IF($B580="","",IF(AND(C580="Quasi-incident",L580&lt;&gt;"Annulé"),1,0))</f>
        <v/>
      </c>
      <c r="AQ580" s="35" t="str">
        <f aca="false">IF($B580="","",AO580+AP580)</f>
        <v/>
      </c>
      <c r="AR580" s="36" t="str">
        <f aca="false">IF(OR($B580="",J580=""),"",IFERROR(VALUE(LEFT(J580,1)),""))</f>
        <v/>
      </c>
      <c r="AS580" s="35" t="str">
        <f aca="false">IF(OR(AO580&lt;&gt;1,G580=""),"",IFERROR(IF(INDEX(L_SrcInterne,MATCH(G580,L_Sources,0))="Oui",1,0),""))</f>
        <v/>
      </c>
      <c r="AT580" s="37" t="str">
        <f aca="false">IF(AO580&lt;&gt;1,"",IFERROR(ROUND(IF(OR(N580="",O580=""),"",IF(O580&lt;N580,"",ROUND(((NETWORKDAYS(N580,O580,JoursFeries)-1)*(HFer-HOuv)+IF(NETWORKDAYS(O580,O580,JoursFeries),MEDIAN(MOD(O580,1),HFer,HOuv),HFer)-IF(NETWORKDAYS(N580,N580,JoursFeries),MEDIAN(MOD(N580,1),HFer,HOuv),HOuv))*24,4)))/HJour,4),""))</f>
        <v/>
      </c>
      <c r="AU580" s="37" t="str">
        <f aca="false">IF(AO580&lt;&gt;1,"",IF(OR(O580="",P580=""),"",IF(P580&lt;O580,"",ROUND(((NETWORKDAYS(O580,P580,JoursFeries)-1)*(HFer-HOuv)+IF(NETWORKDAYS(P580,P580,JoursFeries),MEDIAN(MOD(P580,1),HFer,HOuv),HFer)-IF(NETWORKDAYS(O580,O580,JoursFeries),MEDIAN(MOD(O580,1),HFer,HOuv),HOuv))*24,4))))</f>
        <v/>
      </c>
      <c r="AV580" s="37" t="str">
        <f aca="false">IF(AO580&lt;&gt;1,"",IF(OR(P580="",Q580=""),"",IF(Q580&lt;P580,"",ROUND(((NETWORKDAYS(P580,Q580,JoursFeries)-1)*(HFer-HOuv)+IF(NETWORKDAYS(Q580,Q580,JoursFeries),MEDIAN(MOD(Q580,1),HFer,HOuv),HFer)-IF(NETWORKDAYS(P580,P580,JoursFeries),MEDIAN(MOD(P580,1),HFer,HOuv),HOuv))*24,4))))</f>
        <v/>
      </c>
      <c r="AW580" s="37" t="str">
        <f aca="false">IF(AO580&lt;&gt;1,"",IFERROR(ROUND(IF(OR(P580="",R580=""),"",IF(R580&lt;P580,"",ROUND(((NETWORKDAYS(P580,R580,JoursFeries)-1)*(HFer-HOuv)+IF(NETWORKDAYS(R580,R580,JoursFeries),MEDIAN(MOD(R580,1),HFer,HOuv),HFer)-IF(NETWORKDAYS(P580,P580,JoursFeries),MEDIAN(MOD(P580,1),HFer,HOuv),HOuv))*24,4)))/HJour,4),""))</f>
        <v/>
      </c>
      <c r="AX580" s="37" t="str">
        <f aca="false">IF(AO580&lt;&gt;1,"",IFERROR(ROUND(IF(OR(P580="",S580=""),"",IF(S580&lt;P580,"",ROUND(((NETWORKDAYS(P580,S580,JoursFeries)-1)*(HFer-HOuv)+IF(NETWORKDAYS(S580,S580,JoursFeries),MEDIAN(MOD(S580,1),HFer,HOuv),HFer)-IF(NETWORKDAYS(P580,P580,JoursFeries),MEDIAN(MOD(P580,1),HFer,HOuv),HOuv))*24,4)))/HJour,4),""))</f>
        <v/>
      </c>
      <c r="AY580" s="36" t="str">
        <f aca="false">IF(OR(AO580&lt;&gt;1,AR580=""),"",INDEX(SLA_PEC,AR580))</f>
        <v/>
      </c>
      <c r="AZ580" s="35" t="str">
        <f aca="false">IF(OR(AV580="",AY580=""),"",IF(AV580&lt;=AY580,1,0))</f>
        <v/>
      </c>
      <c r="BA580" s="36" t="str">
        <f aca="false">IF(OR(AO580&lt;&gt;1,AR580=""),"",INDEX(SLA_RES,AR580))</f>
        <v/>
      </c>
      <c r="BB580" s="35" t="str">
        <f aca="false">IF(OR(AW580="",BA580=""),"",IF(AW580&lt;=BA580,1,0))</f>
        <v/>
      </c>
      <c r="BC580" s="38" t="str">
        <f aca="false">IF(OR(BA580="",P580=""),"",WORKDAY(INT(P580),BA580,JoursFeries)+MOD(P580,1))</f>
        <v/>
      </c>
      <c r="BD580" s="39" t="str">
        <f aca="false">IF(AO580&lt;&gt;1,"",IF(OR(AB580&lt;&gt;"",AD580&lt;&gt;""),4,IF(U580&lt;&gt;"",3,IF(T580&lt;&gt;"",2,1))))</f>
        <v/>
      </c>
      <c r="BE580" s="39" t="str">
        <f aca="false">IF(OR(AO580&lt;&gt;1,AR580=""),"",INDEX(NIV_REQ,AR580))</f>
        <v/>
      </c>
      <c r="BF580" s="39" t="str">
        <f aca="false">IF(BE580="","",MAX(BE580,IF(OR(K580="Oui",Z580="Oui"),4,1)))</f>
        <v/>
      </c>
      <c r="BG580" s="35" t="str">
        <f aca="false">IF(OR(BF580="",BD580=""),"",IF(BD580&gt;=BF580,1,0))</f>
        <v/>
      </c>
      <c r="BH580" s="38" t="str">
        <f aca="false">IF(BE580="","",IF(BE580&lt;2,"",IF(BE580=2,IF(AND(T580="",U580=""),"",MIN(T580,U580)),IF(U580="","",U580))))</f>
        <v/>
      </c>
      <c r="BI580" s="37" t="str">
        <f aca="false">IF(BH580="","",IF(OR(O580="",BH580=""),"",IF(BH580&lt;O580,"",ROUND(((NETWORKDAYS(O580,BH580,JoursFeries)-1)*(HFer-HOuv)+IF(NETWORKDAYS(BH580,BH580,JoursFeries),MEDIAN(MOD(BH580,1),HFer,HOuv),HFer)-IF(NETWORKDAYS(O580,O580,JoursFeries),MEDIAN(MOD(O580,1),HFer,HOuv),HOuv))*24,4))))</f>
        <v/>
      </c>
      <c r="BJ580" s="35" t="str">
        <f aca="false">IF(OR(BI580="",AR580=""),"",IF(BI580&lt;=INDEX(DELAI_ESC,AR580),1,0))</f>
        <v/>
      </c>
      <c r="BK580" s="38" t="str">
        <f aca="false">IF(AO580&lt;&gt;1,"",IF(AND(T580="",U580=""),"",MIN(T580,U580)))</f>
        <v/>
      </c>
      <c r="BL580" s="37" t="str">
        <f aca="false">IF(OR(BK580="",R580=""),"",IFERROR(ROUND(IF(OR(BK580="",R580=""),"",IF(R580&lt;BK580,"",ROUND(((NETWORKDAYS(BK580,R580,JoursFeries)-1)*(HFer-HOuv)+IF(NETWORKDAYS(R580,R580,JoursFeries),MEDIAN(MOD(R580,1),HFer,HOuv),HFer)-IF(NETWORKDAYS(BK580,BK580,JoursFeries),MEDIAN(MOD(BK580,1),HFer,HOuv),HOuv))*24,4)))/HJour,4),""))</f>
        <v/>
      </c>
      <c r="BM580" s="35" t="str">
        <f aca="false">IF(OR(AO580&lt;&gt;1,R580=""),"",IF(BD580=1,1,0))</f>
        <v/>
      </c>
      <c r="BN580" s="35" t="str">
        <f aca="false">IF(AO580&lt;&gt;1,"",IF(W580="Oui",1,0))</f>
        <v/>
      </c>
      <c r="BO580" s="35" t="str">
        <f aca="false">IF(AO580&lt;&gt;1,"",IF(X580&lt;&gt;"",1,0))</f>
        <v/>
      </c>
      <c r="BP580" s="35" t="str">
        <f aca="false">IF(AO580&lt;&gt;1,"",IF(Y580="Oui",1,0))</f>
        <v/>
      </c>
      <c r="BQ580" s="35" t="str">
        <f aca="true">IF(OR(AO580&lt;&gt;1,Z580&lt;&gt;"Oui"),"",IF(AB580="",IF(AND(AA580&lt;&gt;"",NOW()&gt;AA580),0,""),IF(AA580="","",IF(AB580&lt;=AA580,1,0))))</f>
        <v/>
      </c>
      <c r="BR580" s="38" t="str">
        <f aca="false">IF(OR(AO580&lt;&gt;1,K580&lt;&gt;"Oui",O580=""),"",IF(AC580="",O580+DORA_H_DET/24,IF(AC580-O580&lt;=DORA_H_DET/24,MIN(AC580+DORA_H_CLA/24,O580+DORA_H_DET/24),AC580+DORA_H_CLA/24)))</f>
        <v/>
      </c>
      <c r="BS580" s="35" t="str">
        <f aca="true">IF(BR580="","",IF(AD580="",IF(NOW()&gt;BR580,0,""),IF(AD580&lt;=BR580,1,0)))</f>
        <v/>
      </c>
      <c r="BT580" s="35" t="str">
        <f aca="true">IF(OR(BR580="",AD580=""),"",IF(AE580="",IF(NOW()&gt;AD580+DORA_H_INT/24,0,""),IF(AE580&lt;=AD580+DORA_H_INT/24,1,0)))</f>
        <v/>
      </c>
      <c r="BU580" s="35" t="str">
        <f aca="true">IF(OR(BR580="",AE580=""),"",IF(AF580="",IF(NOW()&gt;EDATE(AE580,DORA_M_FIN)+1,0,""),IF(AF580&lt;=EDATE(AE580,DORA_M_FIN),1,0)))</f>
        <v/>
      </c>
      <c r="BV580" s="35" t="str">
        <f aca="false">IF(BR580="","",IF(COUNT(BS580:BU580)=0,"",MIN(BS580:BU580)))</f>
        <v/>
      </c>
      <c r="BW580" s="40" t="str">
        <f aca="false">IF(AQ580&lt;&gt;1,"",IF(AND(AG580="",AH580=""),"",N(AG580)-N(AH580)))</f>
        <v/>
      </c>
      <c r="BX580" s="35" t="str">
        <f aca="true">IF(OR(AQ580&lt;&gt;1,AI580&lt;&gt;"Oui",AJ580=""),"",IF(AK580="",IF(NOW()&gt;AJ580+1,0,""),IF(AK580&lt;=AJ580,1,0)))</f>
        <v/>
      </c>
    </row>
    <row r="581" customFormat="false" ht="15" hidden="false" customHeight="false" outlineLevel="0" collapsed="false">
      <c r="B581" s="29"/>
      <c r="C581" s="29"/>
      <c r="D581" s="29"/>
      <c r="E581" s="29"/>
      <c r="F581" s="29"/>
      <c r="G581" s="29"/>
      <c r="H581" s="29"/>
      <c r="I581" s="29"/>
      <c r="J581" s="29"/>
      <c r="K581" s="29"/>
      <c r="L581" s="29"/>
      <c r="M581" s="29"/>
      <c r="N581" s="30"/>
      <c r="O581" s="30"/>
      <c r="P581" s="30"/>
      <c r="Q581" s="30"/>
      <c r="R581" s="30"/>
      <c r="S581" s="30"/>
      <c r="T581" s="30"/>
      <c r="U581" s="30"/>
      <c r="V581" s="31"/>
      <c r="W581" s="29"/>
      <c r="X581" s="29"/>
      <c r="Y581" s="29"/>
      <c r="Z581" s="29"/>
      <c r="AA581" s="30"/>
      <c r="AB581" s="30"/>
      <c r="AC581" s="30"/>
      <c r="AD581" s="30"/>
      <c r="AE581" s="30"/>
      <c r="AF581" s="32"/>
      <c r="AG581" s="33"/>
      <c r="AH581" s="33"/>
      <c r="AI581" s="29"/>
      <c r="AJ581" s="32"/>
      <c r="AK581" s="32"/>
      <c r="AL581" s="29"/>
      <c r="AN581" s="34" t="str">
        <f aca="false">IF($B581="","",IF(OR(C581="",D581="",E581="",G581="",I581="",J581="",L581="",O581="",P581=""),"Champ obligatoire manquant",IF(OR(AND(N581&lt;&gt;"",N581&gt;O581),O581&gt;P581,AND(Q581&lt;&gt;"",Q581&lt;P581),AND(R581&lt;&gt;"",R581&lt;P581),AND(S581&lt;&gt;"",S581&lt;R581),AND(S581&lt;&gt;"",R581=""),AND(T581&lt;&gt;"",T581&lt;O581),AND(U581&lt;&gt;"",U581&lt;O581)),"Chronologie incohérente",IF(AND(OR(L581="Résolu",L581="Clos"),R581=""),"Date de résolution manquante",IF(AND(L581="Clos",S581=""),"Date de clôture manquante",IF(AND(K581="Oui",AC581=""),"Classification DORA manquante","OK"))))))</f>
        <v/>
      </c>
      <c r="AO581" s="35" t="str">
        <f aca="false">IF($B581="","",IF(AND(C581="Incident",L581&lt;&gt;"Annulé"),1,0))</f>
        <v/>
      </c>
      <c r="AP581" s="35" t="str">
        <f aca="false">IF($B581="","",IF(AND(C581="Quasi-incident",L581&lt;&gt;"Annulé"),1,0))</f>
        <v/>
      </c>
      <c r="AQ581" s="35" t="str">
        <f aca="false">IF($B581="","",AO581+AP581)</f>
        <v/>
      </c>
      <c r="AR581" s="36" t="str">
        <f aca="false">IF(OR($B581="",J581=""),"",IFERROR(VALUE(LEFT(J581,1)),""))</f>
        <v/>
      </c>
      <c r="AS581" s="35" t="str">
        <f aca="false">IF(OR(AO581&lt;&gt;1,G581=""),"",IFERROR(IF(INDEX(L_SrcInterne,MATCH(G581,L_Sources,0))="Oui",1,0),""))</f>
        <v/>
      </c>
      <c r="AT581" s="37" t="str">
        <f aca="false">IF(AO581&lt;&gt;1,"",IFERROR(ROUND(IF(OR(N581="",O581=""),"",IF(O581&lt;N581,"",ROUND(((NETWORKDAYS(N581,O581,JoursFeries)-1)*(HFer-HOuv)+IF(NETWORKDAYS(O581,O581,JoursFeries),MEDIAN(MOD(O581,1),HFer,HOuv),HFer)-IF(NETWORKDAYS(N581,N581,JoursFeries),MEDIAN(MOD(N581,1),HFer,HOuv),HOuv))*24,4)))/HJour,4),""))</f>
        <v/>
      </c>
      <c r="AU581" s="37" t="str">
        <f aca="false">IF(AO581&lt;&gt;1,"",IF(OR(O581="",P581=""),"",IF(P581&lt;O581,"",ROUND(((NETWORKDAYS(O581,P581,JoursFeries)-1)*(HFer-HOuv)+IF(NETWORKDAYS(P581,P581,JoursFeries),MEDIAN(MOD(P581,1),HFer,HOuv),HFer)-IF(NETWORKDAYS(O581,O581,JoursFeries),MEDIAN(MOD(O581,1),HFer,HOuv),HOuv))*24,4))))</f>
        <v/>
      </c>
      <c r="AV581" s="37" t="str">
        <f aca="false">IF(AO581&lt;&gt;1,"",IF(OR(P581="",Q581=""),"",IF(Q581&lt;P581,"",ROUND(((NETWORKDAYS(P581,Q581,JoursFeries)-1)*(HFer-HOuv)+IF(NETWORKDAYS(Q581,Q581,JoursFeries),MEDIAN(MOD(Q581,1),HFer,HOuv),HFer)-IF(NETWORKDAYS(P581,P581,JoursFeries),MEDIAN(MOD(P581,1),HFer,HOuv),HOuv))*24,4))))</f>
        <v/>
      </c>
      <c r="AW581" s="37" t="str">
        <f aca="false">IF(AO581&lt;&gt;1,"",IFERROR(ROUND(IF(OR(P581="",R581=""),"",IF(R581&lt;P581,"",ROUND(((NETWORKDAYS(P581,R581,JoursFeries)-1)*(HFer-HOuv)+IF(NETWORKDAYS(R581,R581,JoursFeries),MEDIAN(MOD(R581,1),HFer,HOuv),HFer)-IF(NETWORKDAYS(P581,P581,JoursFeries),MEDIAN(MOD(P581,1),HFer,HOuv),HOuv))*24,4)))/HJour,4),""))</f>
        <v/>
      </c>
      <c r="AX581" s="37" t="str">
        <f aca="false">IF(AO581&lt;&gt;1,"",IFERROR(ROUND(IF(OR(P581="",S581=""),"",IF(S581&lt;P581,"",ROUND(((NETWORKDAYS(P581,S581,JoursFeries)-1)*(HFer-HOuv)+IF(NETWORKDAYS(S581,S581,JoursFeries),MEDIAN(MOD(S581,1),HFer,HOuv),HFer)-IF(NETWORKDAYS(P581,P581,JoursFeries),MEDIAN(MOD(P581,1),HFer,HOuv),HOuv))*24,4)))/HJour,4),""))</f>
        <v/>
      </c>
      <c r="AY581" s="36" t="str">
        <f aca="false">IF(OR(AO581&lt;&gt;1,AR581=""),"",INDEX(SLA_PEC,AR581))</f>
        <v/>
      </c>
      <c r="AZ581" s="35" t="str">
        <f aca="false">IF(OR(AV581="",AY581=""),"",IF(AV581&lt;=AY581,1,0))</f>
        <v/>
      </c>
      <c r="BA581" s="36" t="str">
        <f aca="false">IF(OR(AO581&lt;&gt;1,AR581=""),"",INDEX(SLA_RES,AR581))</f>
        <v/>
      </c>
      <c r="BB581" s="35" t="str">
        <f aca="false">IF(OR(AW581="",BA581=""),"",IF(AW581&lt;=BA581,1,0))</f>
        <v/>
      </c>
      <c r="BC581" s="38" t="str">
        <f aca="false">IF(OR(BA581="",P581=""),"",WORKDAY(INT(P581),BA581,JoursFeries)+MOD(P581,1))</f>
        <v/>
      </c>
      <c r="BD581" s="39" t="str">
        <f aca="false">IF(AO581&lt;&gt;1,"",IF(OR(AB581&lt;&gt;"",AD581&lt;&gt;""),4,IF(U581&lt;&gt;"",3,IF(T581&lt;&gt;"",2,1))))</f>
        <v/>
      </c>
      <c r="BE581" s="39" t="str">
        <f aca="false">IF(OR(AO581&lt;&gt;1,AR581=""),"",INDEX(NIV_REQ,AR581))</f>
        <v/>
      </c>
      <c r="BF581" s="39" t="str">
        <f aca="false">IF(BE581="","",MAX(BE581,IF(OR(K581="Oui",Z581="Oui"),4,1)))</f>
        <v/>
      </c>
      <c r="BG581" s="35" t="str">
        <f aca="false">IF(OR(BF581="",BD581=""),"",IF(BD581&gt;=BF581,1,0))</f>
        <v/>
      </c>
      <c r="BH581" s="38" t="str">
        <f aca="false">IF(BE581="","",IF(BE581&lt;2,"",IF(BE581=2,IF(AND(T581="",U581=""),"",MIN(T581,U581)),IF(U581="","",U581))))</f>
        <v/>
      </c>
      <c r="BI581" s="37" t="str">
        <f aca="false">IF(BH581="","",IF(OR(O581="",BH581=""),"",IF(BH581&lt;O581,"",ROUND(((NETWORKDAYS(O581,BH581,JoursFeries)-1)*(HFer-HOuv)+IF(NETWORKDAYS(BH581,BH581,JoursFeries),MEDIAN(MOD(BH581,1),HFer,HOuv),HFer)-IF(NETWORKDAYS(O581,O581,JoursFeries),MEDIAN(MOD(O581,1),HFer,HOuv),HOuv))*24,4))))</f>
        <v/>
      </c>
      <c r="BJ581" s="35" t="str">
        <f aca="false">IF(OR(BI581="",AR581=""),"",IF(BI581&lt;=INDEX(DELAI_ESC,AR581),1,0))</f>
        <v/>
      </c>
      <c r="BK581" s="38" t="str">
        <f aca="false">IF(AO581&lt;&gt;1,"",IF(AND(T581="",U581=""),"",MIN(T581,U581)))</f>
        <v/>
      </c>
      <c r="BL581" s="37" t="str">
        <f aca="false">IF(OR(BK581="",R581=""),"",IFERROR(ROUND(IF(OR(BK581="",R581=""),"",IF(R581&lt;BK581,"",ROUND(((NETWORKDAYS(BK581,R581,JoursFeries)-1)*(HFer-HOuv)+IF(NETWORKDAYS(R581,R581,JoursFeries),MEDIAN(MOD(R581,1),HFer,HOuv),HFer)-IF(NETWORKDAYS(BK581,BK581,JoursFeries),MEDIAN(MOD(BK581,1),HFer,HOuv),HOuv))*24,4)))/HJour,4),""))</f>
        <v/>
      </c>
      <c r="BM581" s="35" t="str">
        <f aca="false">IF(OR(AO581&lt;&gt;1,R581=""),"",IF(BD581=1,1,0))</f>
        <v/>
      </c>
      <c r="BN581" s="35" t="str">
        <f aca="false">IF(AO581&lt;&gt;1,"",IF(W581="Oui",1,0))</f>
        <v/>
      </c>
      <c r="BO581" s="35" t="str">
        <f aca="false">IF(AO581&lt;&gt;1,"",IF(X581&lt;&gt;"",1,0))</f>
        <v/>
      </c>
      <c r="BP581" s="35" t="str">
        <f aca="false">IF(AO581&lt;&gt;1,"",IF(Y581="Oui",1,0))</f>
        <v/>
      </c>
      <c r="BQ581" s="35" t="str">
        <f aca="true">IF(OR(AO581&lt;&gt;1,Z581&lt;&gt;"Oui"),"",IF(AB581="",IF(AND(AA581&lt;&gt;"",NOW()&gt;AA581),0,""),IF(AA581="","",IF(AB581&lt;=AA581,1,0))))</f>
        <v/>
      </c>
      <c r="BR581" s="38" t="str">
        <f aca="false">IF(OR(AO581&lt;&gt;1,K581&lt;&gt;"Oui",O581=""),"",IF(AC581="",O581+DORA_H_DET/24,IF(AC581-O581&lt;=DORA_H_DET/24,MIN(AC581+DORA_H_CLA/24,O581+DORA_H_DET/24),AC581+DORA_H_CLA/24)))</f>
        <v/>
      </c>
      <c r="BS581" s="35" t="str">
        <f aca="true">IF(BR581="","",IF(AD581="",IF(NOW()&gt;BR581,0,""),IF(AD581&lt;=BR581,1,0)))</f>
        <v/>
      </c>
      <c r="BT581" s="35" t="str">
        <f aca="true">IF(OR(BR581="",AD581=""),"",IF(AE581="",IF(NOW()&gt;AD581+DORA_H_INT/24,0,""),IF(AE581&lt;=AD581+DORA_H_INT/24,1,0)))</f>
        <v/>
      </c>
      <c r="BU581" s="35" t="str">
        <f aca="true">IF(OR(BR581="",AE581=""),"",IF(AF581="",IF(NOW()&gt;EDATE(AE581,DORA_M_FIN)+1,0,""),IF(AF581&lt;=EDATE(AE581,DORA_M_FIN),1,0)))</f>
        <v/>
      </c>
      <c r="BV581" s="35" t="str">
        <f aca="false">IF(BR581="","",IF(COUNT(BS581:BU581)=0,"",MIN(BS581:BU581)))</f>
        <v/>
      </c>
      <c r="BW581" s="40" t="str">
        <f aca="false">IF(AQ581&lt;&gt;1,"",IF(AND(AG581="",AH581=""),"",N(AG581)-N(AH581)))</f>
        <v/>
      </c>
      <c r="BX581" s="35" t="str">
        <f aca="true">IF(OR(AQ581&lt;&gt;1,AI581&lt;&gt;"Oui",AJ581=""),"",IF(AK581="",IF(NOW()&gt;AJ581+1,0,""),IF(AK581&lt;=AJ581,1,0)))</f>
        <v/>
      </c>
    </row>
    <row r="582" customFormat="false" ht="15" hidden="false" customHeight="false" outlineLevel="0" collapsed="false">
      <c r="B582" s="29"/>
      <c r="C582" s="29"/>
      <c r="D582" s="29"/>
      <c r="E582" s="29"/>
      <c r="F582" s="29"/>
      <c r="G582" s="29"/>
      <c r="H582" s="29"/>
      <c r="I582" s="29"/>
      <c r="J582" s="29"/>
      <c r="K582" s="29"/>
      <c r="L582" s="29"/>
      <c r="M582" s="29"/>
      <c r="N582" s="30"/>
      <c r="O582" s="30"/>
      <c r="P582" s="30"/>
      <c r="Q582" s="30"/>
      <c r="R582" s="30"/>
      <c r="S582" s="30"/>
      <c r="T582" s="30"/>
      <c r="U582" s="30"/>
      <c r="V582" s="31"/>
      <c r="W582" s="29"/>
      <c r="X582" s="29"/>
      <c r="Y582" s="29"/>
      <c r="Z582" s="29"/>
      <c r="AA582" s="30"/>
      <c r="AB582" s="30"/>
      <c r="AC582" s="30"/>
      <c r="AD582" s="30"/>
      <c r="AE582" s="30"/>
      <c r="AF582" s="32"/>
      <c r="AG582" s="33"/>
      <c r="AH582" s="33"/>
      <c r="AI582" s="29"/>
      <c r="AJ582" s="32"/>
      <c r="AK582" s="32"/>
      <c r="AL582" s="29"/>
      <c r="AN582" s="34" t="str">
        <f aca="false">IF($B582="","",IF(OR(C582="",D582="",E582="",G582="",I582="",J582="",L582="",O582="",P582=""),"Champ obligatoire manquant",IF(OR(AND(N582&lt;&gt;"",N582&gt;O582),O582&gt;P582,AND(Q582&lt;&gt;"",Q582&lt;P582),AND(R582&lt;&gt;"",R582&lt;P582),AND(S582&lt;&gt;"",S582&lt;R582),AND(S582&lt;&gt;"",R582=""),AND(T582&lt;&gt;"",T582&lt;O582),AND(U582&lt;&gt;"",U582&lt;O582)),"Chronologie incohérente",IF(AND(OR(L582="Résolu",L582="Clos"),R582=""),"Date de résolution manquante",IF(AND(L582="Clos",S582=""),"Date de clôture manquante",IF(AND(K582="Oui",AC582=""),"Classification DORA manquante","OK"))))))</f>
        <v/>
      </c>
      <c r="AO582" s="35" t="str">
        <f aca="false">IF($B582="","",IF(AND(C582="Incident",L582&lt;&gt;"Annulé"),1,0))</f>
        <v/>
      </c>
      <c r="AP582" s="35" t="str">
        <f aca="false">IF($B582="","",IF(AND(C582="Quasi-incident",L582&lt;&gt;"Annulé"),1,0))</f>
        <v/>
      </c>
      <c r="AQ582" s="35" t="str">
        <f aca="false">IF($B582="","",AO582+AP582)</f>
        <v/>
      </c>
      <c r="AR582" s="36" t="str">
        <f aca="false">IF(OR($B582="",J582=""),"",IFERROR(VALUE(LEFT(J582,1)),""))</f>
        <v/>
      </c>
      <c r="AS582" s="35" t="str">
        <f aca="false">IF(OR(AO582&lt;&gt;1,G582=""),"",IFERROR(IF(INDEX(L_SrcInterne,MATCH(G582,L_Sources,0))="Oui",1,0),""))</f>
        <v/>
      </c>
      <c r="AT582" s="37" t="str">
        <f aca="false">IF(AO582&lt;&gt;1,"",IFERROR(ROUND(IF(OR(N582="",O582=""),"",IF(O582&lt;N582,"",ROUND(((NETWORKDAYS(N582,O582,JoursFeries)-1)*(HFer-HOuv)+IF(NETWORKDAYS(O582,O582,JoursFeries),MEDIAN(MOD(O582,1),HFer,HOuv),HFer)-IF(NETWORKDAYS(N582,N582,JoursFeries),MEDIAN(MOD(N582,1),HFer,HOuv),HOuv))*24,4)))/HJour,4),""))</f>
        <v/>
      </c>
      <c r="AU582" s="37" t="str">
        <f aca="false">IF(AO582&lt;&gt;1,"",IF(OR(O582="",P582=""),"",IF(P582&lt;O582,"",ROUND(((NETWORKDAYS(O582,P582,JoursFeries)-1)*(HFer-HOuv)+IF(NETWORKDAYS(P582,P582,JoursFeries),MEDIAN(MOD(P582,1),HFer,HOuv),HFer)-IF(NETWORKDAYS(O582,O582,JoursFeries),MEDIAN(MOD(O582,1),HFer,HOuv),HOuv))*24,4))))</f>
        <v/>
      </c>
      <c r="AV582" s="37" t="str">
        <f aca="false">IF(AO582&lt;&gt;1,"",IF(OR(P582="",Q582=""),"",IF(Q582&lt;P582,"",ROUND(((NETWORKDAYS(P582,Q582,JoursFeries)-1)*(HFer-HOuv)+IF(NETWORKDAYS(Q582,Q582,JoursFeries),MEDIAN(MOD(Q582,1),HFer,HOuv),HFer)-IF(NETWORKDAYS(P582,P582,JoursFeries),MEDIAN(MOD(P582,1),HFer,HOuv),HOuv))*24,4))))</f>
        <v/>
      </c>
      <c r="AW582" s="37" t="str">
        <f aca="false">IF(AO582&lt;&gt;1,"",IFERROR(ROUND(IF(OR(P582="",R582=""),"",IF(R582&lt;P582,"",ROUND(((NETWORKDAYS(P582,R582,JoursFeries)-1)*(HFer-HOuv)+IF(NETWORKDAYS(R582,R582,JoursFeries),MEDIAN(MOD(R582,1),HFer,HOuv),HFer)-IF(NETWORKDAYS(P582,P582,JoursFeries),MEDIAN(MOD(P582,1),HFer,HOuv),HOuv))*24,4)))/HJour,4),""))</f>
        <v/>
      </c>
      <c r="AX582" s="37" t="str">
        <f aca="false">IF(AO582&lt;&gt;1,"",IFERROR(ROUND(IF(OR(P582="",S582=""),"",IF(S582&lt;P582,"",ROUND(((NETWORKDAYS(P582,S582,JoursFeries)-1)*(HFer-HOuv)+IF(NETWORKDAYS(S582,S582,JoursFeries),MEDIAN(MOD(S582,1),HFer,HOuv),HFer)-IF(NETWORKDAYS(P582,P582,JoursFeries),MEDIAN(MOD(P582,1),HFer,HOuv),HOuv))*24,4)))/HJour,4),""))</f>
        <v/>
      </c>
      <c r="AY582" s="36" t="str">
        <f aca="false">IF(OR(AO582&lt;&gt;1,AR582=""),"",INDEX(SLA_PEC,AR582))</f>
        <v/>
      </c>
      <c r="AZ582" s="35" t="str">
        <f aca="false">IF(OR(AV582="",AY582=""),"",IF(AV582&lt;=AY582,1,0))</f>
        <v/>
      </c>
      <c r="BA582" s="36" t="str">
        <f aca="false">IF(OR(AO582&lt;&gt;1,AR582=""),"",INDEX(SLA_RES,AR582))</f>
        <v/>
      </c>
      <c r="BB582" s="35" t="str">
        <f aca="false">IF(OR(AW582="",BA582=""),"",IF(AW582&lt;=BA582,1,0))</f>
        <v/>
      </c>
      <c r="BC582" s="38" t="str">
        <f aca="false">IF(OR(BA582="",P582=""),"",WORKDAY(INT(P582),BA582,JoursFeries)+MOD(P582,1))</f>
        <v/>
      </c>
      <c r="BD582" s="39" t="str">
        <f aca="false">IF(AO582&lt;&gt;1,"",IF(OR(AB582&lt;&gt;"",AD582&lt;&gt;""),4,IF(U582&lt;&gt;"",3,IF(T582&lt;&gt;"",2,1))))</f>
        <v/>
      </c>
      <c r="BE582" s="39" t="str">
        <f aca="false">IF(OR(AO582&lt;&gt;1,AR582=""),"",INDEX(NIV_REQ,AR582))</f>
        <v/>
      </c>
      <c r="BF582" s="39" t="str">
        <f aca="false">IF(BE582="","",MAX(BE582,IF(OR(K582="Oui",Z582="Oui"),4,1)))</f>
        <v/>
      </c>
      <c r="BG582" s="35" t="str">
        <f aca="false">IF(OR(BF582="",BD582=""),"",IF(BD582&gt;=BF582,1,0))</f>
        <v/>
      </c>
      <c r="BH582" s="38" t="str">
        <f aca="false">IF(BE582="","",IF(BE582&lt;2,"",IF(BE582=2,IF(AND(T582="",U582=""),"",MIN(T582,U582)),IF(U582="","",U582))))</f>
        <v/>
      </c>
      <c r="BI582" s="37" t="str">
        <f aca="false">IF(BH582="","",IF(OR(O582="",BH582=""),"",IF(BH582&lt;O582,"",ROUND(((NETWORKDAYS(O582,BH582,JoursFeries)-1)*(HFer-HOuv)+IF(NETWORKDAYS(BH582,BH582,JoursFeries),MEDIAN(MOD(BH582,1),HFer,HOuv),HFer)-IF(NETWORKDAYS(O582,O582,JoursFeries),MEDIAN(MOD(O582,1),HFer,HOuv),HOuv))*24,4))))</f>
        <v/>
      </c>
      <c r="BJ582" s="35" t="str">
        <f aca="false">IF(OR(BI582="",AR582=""),"",IF(BI582&lt;=INDEX(DELAI_ESC,AR582),1,0))</f>
        <v/>
      </c>
      <c r="BK582" s="38" t="str">
        <f aca="false">IF(AO582&lt;&gt;1,"",IF(AND(T582="",U582=""),"",MIN(T582,U582)))</f>
        <v/>
      </c>
      <c r="BL582" s="37" t="str">
        <f aca="false">IF(OR(BK582="",R582=""),"",IFERROR(ROUND(IF(OR(BK582="",R582=""),"",IF(R582&lt;BK582,"",ROUND(((NETWORKDAYS(BK582,R582,JoursFeries)-1)*(HFer-HOuv)+IF(NETWORKDAYS(R582,R582,JoursFeries),MEDIAN(MOD(R582,1),HFer,HOuv),HFer)-IF(NETWORKDAYS(BK582,BK582,JoursFeries),MEDIAN(MOD(BK582,1),HFer,HOuv),HOuv))*24,4)))/HJour,4),""))</f>
        <v/>
      </c>
      <c r="BM582" s="35" t="str">
        <f aca="false">IF(OR(AO582&lt;&gt;1,R582=""),"",IF(BD582=1,1,0))</f>
        <v/>
      </c>
      <c r="BN582" s="35" t="str">
        <f aca="false">IF(AO582&lt;&gt;1,"",IF(W582="Oui",1,0))</f>
        <v/>
      </c>
      <c r="BO582" s="35" t="str">
        <f aca="false">IF(AO582&lt;&gt;1,"",IF(X582&lt;&gt;"",1,0))</f>
        <v/>
      </c>
      <c r="BP582" s="35" t="str">
        <f aca="false">IF(AO582&lt;&gt;1,"",IF(Y582="Oui",1,0))</f>
        <v/>
      </c>
      <c r="BQ582" s="35" t="str">
        <f aca="true">IF(OR(AO582&lt;&gt;1,Z582&lt;&gt;"Oui"),"",IF(AB582="",IF(AND(AA582&lt;&gt;"",NOW()&gt;AA582),0,""),IF(AA582="","",IF(AB582&lt;=AA582,1,0))))</f>
        <v/>
      </c>
      <c r="BR582" s="38" t="str">
        <f aca="false">IF(OR(AO582&lt;&gt;1,K582&lt;&gt;"Oui",O582=""),"",IF(AC582="",O582+DORA_H_DET/24,IF(AC582-O582&lt;=DORA_H_DET/24,MIN(AC582+DORA_H_CLA/24,O582+DORA_H_DET/24),AC582+DORA_H_CLA/24)))</f>
        <v/>
      </c>
      <c r="BS582" s="35" t="str">
        <f aca="true">IF(BR582="","",IF(AD582="",IF(NOW()&gt;BR582,0,""),IF(AD582&lt;=BR582,1,0)))</f>
        <v/>
      </c>
      <c r="BT582" s="35" t="str">
        <f aca="true">IF(OR(BR582="",AD582=""),"",IF(AE582="",IF(NOW()&gt;AD582+DORA_H_INT/24,0,""),IF(AE582&lt;=AD582+DORA_H_INT/24,1,0)))</f>
        <v/>
      </c>
      <c r="BU582" s="35" t="str">
        <f aca="true">IF(OR(BR582="",AE582=""),"",IF(AF582="",IF(NOW()&gt;EDATE(AE582,DORA_M_FIN)+1,0,""),IF(AF582&lt;=EDATE(AE582,DORA_M_FIN),1,0)))</f>
        <v/>
      </c>
      <c r="BV582" s="35" t="str">
        <f aca="false">IF(BR582="","",IF(COUNT(BS582:BU582)=0,"",MIN(BS582:BU582)))</f>
        <v/>
      </c>
      <c r="BW582" s="40" t="str">
        <f aca="false">IF(AQ582&lt;&gt;1,"",IF(AND(AG582="",AH582=""),"",N(AG582)-N(AH582)))</f>
        <v/>
      </c>
      <c r="BX582" s="35" t="str">
        <f aca="true">IF(OR(AQ582&lt;&gt;1,AI582&lt;&gt;"Oui",AJ582=""),"",IF(AK582="",IF(NOW()&gt;AJ582+1,0,""),IF(AK582&lt;=AJ582,1,0)))</f>
        <v/>
      </c>
    </row>
    <row r="583" customFormat="false" ht="15" hidden="false" customHeight="false" outlineLevel="0" collapsed="false">
      <c r="B583" s="29"/>
      <c r="C583" s="29"/>
      <c r="D583" s="29"/>
      <c r="E583" s="29"/>
      <c r="F583" s="29"/>
      <c r="G583" s="29"/>
      <c r="H583" s="29"/>
      <c r="I583" s="29"/>
      <c r="J583" s="29"/>
      <c r="K583" s="29"/>
      <c r="L583" s="29"/>
      <c r="M583" s="29"/>
      <c r="N583" s="30"/>
      <c r="O583" s="30"/>
      <c r="P583" s="30"/>
      <c r="Q583" s="30"/>
      <c r="R583" s="30"/>
      <c r="S583" s="30"/>
      <c r="T583" s="30"/>
      <c r="U583" s="30"/>
      <c r="V583" s="31"/>
      <c r="W583" s="29"/>
      <c r="X583" s="29"/>
      <c r="Y583" s="29"/>
      <c r="Z583" s="29"/>
      <c r="AA583" s="30"/>
      <c r="AB583" s="30"/>
      <c r="AC583" s="30"/>
      <c r="AD583" s="30"/>
      <c r="AE583" s="30"/>
      <c r="AF583" s="32"/>
      <c r="AG583" s="33"/>
      <c r="AH583" s="33"/>
      <c r="AI583" s="29"/>
      <c r="AJ583" s="32"/>
      <c r="AK583" s="32"/>
      <c r="AL583" s="29"/>
      <c r="AN583" s="34" t="str">
        <f aca="false">IF($B583="","",IF(OR(C583="",D583="",E583="",G583="",I583="",J583="",L583="",O583="",P583=""),"Champ obligatoire manquant",IF(OR(AND(N583&lt;&gt;"",N583&gt;O583),O583&gt;P583,AND(Q583&lt;&gt;"",Q583&lt;P583),AND(R583&lt;&gt;"",R583&lt;P583),AND(S583&lt;&gt;"",S583&lt;R583),AND(S583&lt;&gt;"",R583=""),AND(T583&lt;&gt;"",T583&lt;O583),AND(U583&lt;&gt;"",U583&lt;O583)),"Chronologie incohérente",IF(AND(OR(L583="Résolu",L583="Clos"),R583=""),"Date de résolution manquante",IF(AND(L583="Clos",S583=""),"Date de clôture manquante",IF(AND(K583="Oui",AC583=""),"Classification DORA manquante","OK"))))))</f>
        <v/>
      </c>
      <c r="AO583" s="35" t="str">
        <f aca="false">IF($B583="","",IF(AND(C583="Incident",L583&lt;&gt;"Annulé"),1,0))</f>
        <v/>
      </c>
      <c r="AP583" s="35" t="str">
        <f aca="false">IF($B583="","",IF(AND(C583="Quasi-incident",L583&lt;&gt;"Annulé"),1,0))</f>
        <v/>
      </c>
      <c r="AQ583" s="35" t="str">
        <f aca="false">IF($B583="","",AO583+AP583)</f>
        <v/>
      </c>
      <c r="AR583" s="36" t="str">
        <f aca="false">IF(OR($B583="",J583=""),"",IFERROR(VALUE(LEFT(J583,1)),""))</f>
        <v/>
      </c>
      <c r="AS583" s="35" t="str">
        <f aca="false">IF(OR(AO583&lt;&gt;1,G583=""),"",IFERROR(IF(INDEX(L_SrcInterne,MATCH(G583,L_Sources,0))="Oui",1,0),""))</f>
        <v/>
      </c>
      <c r="AT583" s="37" t="str">
        <f aca="false">IF(AO583&lt;&gt;1,"",IFERROR(ROUND(IF(OR(N583="",O583=""),"",IF(O583&lt;N583,"",ROUND(((NETWORKDAYS(N583,O583,JoursFeries)-1)*(HFer-HOuv)+IF(NETWORKDAYS(O583,O583,JoursFeries),MEDIAN(MOD(O583,1),HFer,HOuv),HFer)-IF(NETWORKDAYS(N583,N583,JoursFeries),MEDIAN(MOD(N583,1),HFer,HOuv),HOuv))*24,4)))/HJour,4),""))</f>
        <v/>
      </c>
      <c r="AU583" s="37" t="str">
        <f aca="false">IF(AO583&lt;&gt;1,"",IF(OR(O583="",P583=""),"",IF(P583&lt;O583,"",ROUND(((NETWORKDAYS(O583,P583,JoursFeries)-1)*(HFer-HOuv)+IF(NETWORKDAYS(P583,P583,JoursFeries),MEDIAN(MOD(P583,1),HFer,HOuv),HFer)-IF(NETWORKDAYS(O583,O583,JoursFeries),MEDIAN(MOD(O583,1),HFer,HOuv),HOuv))*24,4))))</f>
        <v/>
      </c>
      <c r="AV583" s="37" t="str">
        <f aca="false">IF(AO583&lt;&gt;1,"",IF(OR(P583="",Q583=""),"",IF(Q583&lt;P583,"",ROUND(((NETWORKDAYS(P583,Q583,JoursFeries)-1)*(HFer-HOuv)+IF(NETWORKDAYS(Q583,Q583,JoursFeries),MEDIAN(MOD(Q583,1),HFer,HOuv),HFer)-IF(NETWORKDAYS(P583,P583,JoursFeries),MEDIAN(MOD(P583,1),HFer,HOuv),HOuv))*24,4))))</f>
        <v/>
      </c>
      <c r="AW583" s="37" t="str">
        <f aca="false">IF(AO583&lt;&gt;1,"",IFERROR(ROUND(IF(OR(P583="",R583=""),"",IF(R583&lt;P583,"",ROUND(((NETWORKDAYS(P583,R583,JoursFeries)-1)*(HFer-HOuv)+IF(NETWORKDAYS(R583,R583,JoursFeries),MEDIAN(MOD(R583,1),HFer,HOuv),HFer)-IF(NETWORKDAYS(P583,P583,JoursFeries),MEDIAN(MOD(P583,1),HFer,HOuv),HOuv))*24,4)))/HJour,4),""))</f>
        <v/>
      </c>
      <c r="AX583" s="37" t="str">
        <f aca="false">IF(AO583&lt;&gt;1,"",IFERROR(ROUND(IF(OR(P583="",S583=""),"",IF(S583&lt;P583,"",ROUND(((NETWORKDAYS(P583,S583,JoursFeries)-1)*(HFer-HOuv)+IF(NETWORKDAYS(S583,S583,JoursFeries),MEDIAN(MOD(S583,1),HFer,HOuv),HFer)-IF(NETWORKDAYS(P583,P583,JoursFeries),MEDIAN(MOD(P583,1),HFer,HOuv),HOuv))*24,4)))/HJour,4),""))</f>
        <v/>
      </c>
      <c r="AY583" s="36" t="str">
        <f aca="false">IF(OR(AO583&lt;&gt;1,AR583=""),"",INDEX(SLA_PEC,AR583))</f>
        <v/>
      </c>
      <c r="AZ583" s="35" t="str">
        <f aca="false">IF(OR(AV583="",AY583=""),"",IF(AV583&lt;=AY583,1,0))</f>
        <v/>
      </c>
      <c r="BA583" s="36" t="str">
        <f aca="false">IF(OR(AO583&lt;&gt;1,AR583=""),"",INDEX(SLA_RES,AR583))</f>
        <v/>
      </c>
      <c r="BB583" s="35" t="str">
        <f aca="false">IF(OR(AW583="",BA583=""),"",IF(AW583&lt;=BA583,1,0))</f>
        <v/>
      </c>
      <c r="BC583" s="38" t="str">
        <f aca="false">IF(OR(BA583="",P583=""),"",WORKDAY(INT(P583),BA583,JoursFeries)+MOD(P583,1))</f>
        <v/>
      </c>
      <c r="BD583" s="39" t="str">
        <f aca="false">IF(AO583&lt;&gt;1,"",IF(OR(AB583&lt;&gt;"",AD583&lt;&gt;""),4,IF(U583&lt;&gt;"",3,IF(T583&lt;&gt;"",2,1))))</f>
        <v/>
      </c>
      <c r="BE583" s="39" t="str">
        <f aca="false">IF(OR(AO583&lt;&gt;1,AR583=""),"",INDEX(NIV_REQ,AR583))</f>
        <v/>
      </c>
      <c r="BF583" s="39" t="str">
        <f aca="false">IF(BE583="","",MAX(BE583,IF(OR(K583="Oui",Z583="Oui"),4,1)))</f>
        <v/>
      </c>
      <c r="BG583" s="35" t="str">
        <f aca="false">IF(OR(BF583="",BD583=""),"",IF(BD583&gt;=BF583,1,0))</f>
        <v/>
      </c>
      <c r="BH583" s="38" t="str">
        <f aca="false">IF(BE583="","",IF(BE583&lt;2,"",IF(BE583=2,IF(AND(T583="",U583=""),"",MIN(T583,U583)),IF(U583="","",U583))))</f>
        <v/>
      </c>
      <c r="BI583" s="37" t="str">
        <f aca="false">IF(BH583="","",IF(OR(O583="",BH583=""),"",IF(BH583&lt;O583,"",ROUND(((NETWORKDAYS(O583,BH583,JoursFeries)-1)*(HFer-HOuv)+IF(NETWORKDAYS(BH583,BH583,JoursFeries),MEDIAN(MOD(BH583,1),HFer,HOuv),HFer)-IF(NETWORKDAYS(O583,O583,JoursFeries),MEDIAN(MOD(O583,1),HFer,HOuv),HOuv))*24,4))))</f>
        <v/>
      </c>
      <c r="BJ583" s="35" t="str">
        <f aca="false">IF(OR(BI583="",AR583=""),"",IF(BI583&lt;=INDEX(DELAI_ESC,AR583),1,0))</f>
        <v/>
      </c>
      <c r="BK583" s="38" t="str">
        <f aca="false">IF(AO583&lt;&gt;1,"",IF(AND(T583="",U583=""),"",MIN(T583,U583)))</f>
        <v/>
      </c>
      <c r="BL583" s="37" t="str">
        <f aca="false">IF(OR(BK583="",R583=""),"",IFERROR(ROUND(IF(OR(BK583="",R583=""),"",IF(R583&lt;BK583,"",ROUND(((NETWORKDAYS(BK583,R583,JoursFeries)-1)*(HFer-HOuv)+IF(NETWORKDAYS(R583,R583,JoursFeries),MEDIAN(MOD(R583,1),HFer,HOuv),HFer)-IF(NETWORKDAYS(BK583,BK583,JoursFeries),MEDIAN(MOD(BK583,1),HFer,HOuv),HOuv))*24,4)))/HJour,4),""))</f>
        <v/>
      </c>
      <c r="BM583" s="35" t="str">
        <f aca="false">IF(OR(AO583&lt;&gt;1,R583=""),"",IF(BD583=1,1,0))</f>
        <v/>
      </c>
      <c r="BN583" s="35" t="str">
        <f aca="false">IF(AO583&lt;&gt;1,"",IF(W583="Oui",1,0))</f>
        <v/>
      </c>
      <c r="BO583" s="35" t="str">
        <f aca="false">IF(AO583&lt;&gt;1,"",IF(X583&lt;&gt;"",1,0))</f>
        <v/>
      </c>
      <c r="BP583" s="35" t="str">
        <f aca="false">IF(AO583&lt;&gt;1,"",IF(Y583="Oui",1,0))</f>
        <v/>
      </c>
      <c r="BQ583" s="35" t="str">
        <f aca="true">IF(OR(AO583&lt;&gt;1,Z583&lt;&gt;"Oui"),"",IF(AB583="",IF(AND(AA583&lt;&gt;"",NOW()&gt;AA583),0,""),IF(AA583="","",IF(AB583&lt;=AA583,1,0))))</f>
        <v/>
      </c>
      <c r="BR583" s="38" t="str">
        <f aca="false">IF(OR(AO583&lt;&gt;1,K583&lt;&gt;"Oui",O583=""),"",IF(AC583="",O583+DORA_H_DET/24,IF(AC583-O583&lt;=DORA_H_DET/24,MIN(AC583+DORA_H_CLA/24,O583+DORA_H_DET/24),AC583+DORA_H_CLA/24)))</f>
        <v/>
      </c>
      <c r="BS583" s="35" t="str">
        <f aca="true">IF(BR583="","",IF(AD583="",IF(NOW()&gt;BR583,0,""),IF(AD583&lt;=BR583,1,0)))</f>
        <v/>
      </c>
      <c r="BT583" s="35" t="str">
        <f aca="true">IF(OR(BR583="",AD583=""),"",IF(AE583="",IF(NOW()&gt;AD583+DORA_H_INT/24,0,""),IF(AE583&lt;=AD583+DORA_H_INT/24,1,0)))</f>
        <v/>
      </c>
      <c r="BU583" s="35" t="str">
        <f aca="true">IF(OR(BR583="",AE583=""),"",IF(AF583="",IF(NOW()&gt;EDATE(AE583,DORA_M_FIN)+1,0,""),IF(AF583&lt;=EDATE(AE583,DORA_M_FIN),1,0)))</f>
        <v/>
      </c>
      <c r="BV583" s="35" t="str">
        <f aca="false">IF(BR583="","",IF(COUNT(BS583:BU583)=0,"",MIN(BS583:BU583)))</f>
        <v/>
      </c>
      <c r="BW583" s="40" t="str">
        <f aca="false">IF(AQ583&lt;&gt;1,"",IF(AND(AG583="",AH583=""),"",N(AG583)-N(AH583)))</f>
        <v/>
      </c>
      <c r="BX583" s="35" t="str">
        <f aca="true">IF(OR(AQ583&lt;&gt;1,AI583&lt;&gt;"Oui",AJ583=""),"",IF(AK583="",IF(NOW()&gt;AJ583+1,0,""),IF(AK583&lt;=AJ583,1,0)))</f>
        <v/>
      </c>
    </row>
    <row r="584" customFormat="false" ht="15" hidden="false" customHeight="false" outlineLevel="0" collapsed="false">
      <c r="B584" s="29"/>
      <c r="C584" s="29"/>
      <c r="D584" s="29"/>
      <c r="E584" s="29"/>
      <c r="F584" s="29"/>
      <c r="G584" s="29"/>
      <c r="H584" s="29"/>
      <c r="I584" s="29"/>
      <c r="J584" s="29"/>
      <c r="K584" s="29"/>
      <c r="L584" s="29"/>
      <c r="M584" s="29"/>
      <c r="N584" s="30"/>
      <c r="O584" s="30"/>
      <c r="P584" s="30"/>
      <c r="Q584" s="30"/>
      <c r="R584" s="30"/>
      <c r="S584" s="30"/>
      <c r="T584" s="30"/>
      <c r="U584" s="30"/>
      <c r="V584" s="31"/>
      <c r="W584" s="29"/>
      <c r="X584" s="29"/>
      <c r="Y584" s="29"/>
      <c r="Z584" s="29"/>
      <c r="AA584" s="30"/>
      <c r="AB584" s="30"/>
      <c r="AC584" s="30"/>
      <c r="AD584" s="30"/>
      <c r="AE584" s="30"/>
      <c r="AF584" s="32"/>
      <c r="AG584" s="33"/>
      <c r="AH584" s="33"/>
      <c r="AI584" s="29"/>
      <c r="AJ584" s="32"/>
      <c r="AK584" s="32"/>
      <c r="AL584" s="29"/>
      <c r="AN584" s="34" t="str">
        <f aca="false">IF($B584="","",IF(OR(C584="",D584="",E584="",G584="",I584="",J584="",L584="",O584="",P584=""),"Champ obligatoire manquant",IF(OR(AND(N584&lt;&gt;"",N584&gt;O584),O584&gt;P584,AND(Q584&lt;&gt;"",Q584&lt;P584),AND(R584&lt;&gt;"",R584&lt;P584),AND(S584&lt;&gt;"",S584&lt;R584),AND(S584&lt;&gt;"",R584=""),AND(T584&lt;&gt;"",T584&lt;O584),AND(U584&lt;&gt;"",U584&lt;O584)),"Chronologie incohérente",IF(AND(OR(L584="Résolu",L584="Clos"),R584=""),"Date de résolution manquante",IF(AND(L584="Clos",S584=""),"Date de clôture manquante",IF(AND(K584="Oui",AC584=""),"Classification DORA manquante","OK"))))))</f>
        <v/>
      </c>
      <c r="AO584" s="35" t="str">
        <f aca="false">IF($B584="","",IF(AND(C584="Incident",L584&lt;&gt;"Annulé"),1,0))</f>
        <v/>
      </c>
      <c r="AP584" s="35" t="str">
        <f aca="false">IF($B584="","",IF(AND(C584="Quasi-incident",L584&lt;&gt;"Annulé"),1,0))</f>
        <v/>
      </c>
      <c r="AQ584" s="35" t="str">
        <f aca="false">IF($B584="","",AO584+AP584)</f>
        <v/>
      </c>
      <c r="AR584" s="36" t="str">
        <f aca="false">IF(OR($B584="",J584=""),"",IFERROR(VALUE(LEFT(J584,1)),""))</f>
        <v/>
      </c>
      <c r="AS584" s="35" t="str">
        <f aca="false">IF(OR(AO584&lt;&gt;1,G584=""),"",IFERROR(IF(INDEX(L_SrcInterne,MATCH(G584,L_Sources,0))="Oui",1,0),""))</f>
        <v/>
      </c>
      <c r="AT584" s="37" t="str">
        <f aca="false">IF(AO584&lt;&gt;1,"",IFERROR(ROUND(IF(OR(N584="",O584=""),"",IF(O584&lt;N584,"",ROUND(((NETWORKDAYS(N584,O584,JoursFeries)-1)*(HFer-HOuv)+IF(NETWORKDAYS(O584,O584,JoursFeries),MEDIAN(MOD(O584,1),HFer,HOuv),HFer)-IF(NETWORKDAYS(N584,N584,JoursFeries),MEDIAN(MOD(N584,1),HFer,HOuv),HOuv))*24,4)))/HJour,4),""))</f>
        <v/>
      </c>
      <c r="AU584" s="37" t="str">
        <f aca="false">IF(AO584&lt;&gt;1,"",IF(OR(O584="",P584=""),"",IF(P584&lt;O584,"",ROUND(((NETWORKDAYS(O584,P584,JoursFeries)-1)*(HFer-HOuv)+IF(NETWORKDAYS(P584,P584,JoursFeries),MEDIAN(MOD(P584,1),HFer,HOuv),HFer)-IF(NETWORKDAYS(O584,O584,JoursFeries),MEDIAN(MOD(O584,1),HFer,HOuv),HOuv))*24,4))))</f>
        <v/>
      </c>
      <c r="AV584" s="37" t="str">
        <f aca="false">IF(AO584&lt;&gt;1,"",IF(OR(P584="",Q584=""),"",IF(Q584&lt;P584,"",ROUND(((NETWORKDAYS(P584,Q584,JoursFeries)-1)*(HFer-HOuv)+IF(NETWORKDAYS(Q584,Q584,JoursFeries),MEDIAN(MOD(Q584,1),HFer,HOuv),HFer)-IF(NETWORKDAYS(P584,P584,JoursFeries),MEDIAN(MOD(P584,1),HFer,HOuv),HOuv))*24,4))))</f>
        <v/>
      </c>
      <c r="AW584" s="37" t="str">
        <f aca="false">IF(AO584&lt;&gt;1,"",IFERROR(ROUND(IF(OR(P584="",R584=""),"",IF(R584&lt;P584,"",ROUND(((NETWORKDAYS(P584,R584,JoursFeries)-1)*(HFer-HOuv)+IF(NETWORKDAYS(R584,R584,JoursFeries),MEDIAN(MOD(R584,1),HFer,HOuv),HFer)-IF(NETWORKDAYS(P584,P584,JoursFeries),MEDIAN(MOD(P584,1),HFer,HOuv),HOuv))*24,4)))/HJour,4),""))</f>
        <v/>
      </c>
      <c r="AX584" s="37" t="str">
        <f aca="false">IF(AO584&lt;&gt;1,"",IFERROR(ROUND(IF(OR(P584="",S584=""),"",IF(S584&lt;P584,"",ROUND(((NETWORKDAYS(P584,S584,JoursFeries)-1)*(HFer-HOuv)+IF(NETWORKDAYS(S584,S584,JoursFeries),MEDIAN(MOD(S584,1),HFer,HOuv),HFer)-IF(NETWORKDAYS(P584,P584,JoursFeries),MEDIAN(MOD(P584,1),HFer,HOuv),HOuv))*24,4)))/HJour,4),""))</f>
        <v/>
      </c>
      <c r="AY584" s="36" t="str">
        <f aca="false">IF(OR(AO584&lt;&gt;1,AR584=""),"",INDEX(SLA_PEC,AR584))</f>
        <v/>
      </c>
      <c r="AZ584" s="35" t="str">
        <f aca="false">IF(OR(AV584="",AY584=""),"",IF(AV584&lt;=AY584,1,0))</f>
        <v/>
      </c>
      <c r="BA584" s="36" t="str">
        <f aca="false">IF(OR(AO584&lt;&gt;1,AR584=""),"",INDEX(SLA_RES,AR584))</f>
        <v/>
      </c>
      <c r="BB584" s="35" t="str">
        <f aca="false">IF(OR(AW584="",BA584=""),"",IF(AW584&lt;=BA584,1,0))</f>
        <v/>
      </c>
      <c r="BC584" s="38" t="str">
        <f aca="false">IF(OR(BA584="",P584=""),"",WORKDAY(INT(P584),BA584,JoursFeries)+MOD(P584,1))</f>
        <v/>
      </c>
      <c r="BD584" s="39" t="str">
        <f aca="false">IF(AO584&lt;&gt;1,"",IF(OR(AB584&lt;&gt;"",AD584&lt;&gt;""),4,IF(U584&lt;&gt;"",3,IF(T584&lt;&gt;"",2,1))))</f>
        <v/>
      </c>
      <c r="BE584" s="39" t="str">
        <f aca="false">IF(OR(AO584&lt;&gt;1,AR584=""),"",INDEX(NIV_REQ,AR584))</f>
        <v/>
      </c>
      <c r="BF584" s="39" t="str">
        <f aca="false">IF(BE584="","",MAX(BE584,IF(OR(K584="Oui",Z584="Oui"),4,1)))</f>
        <v/>
      </c>
      <c r="BG584" s="35" t="str">
        <f aca="false">IF(OR(BF584="",BD584=""),"",IF(BD584&gt;=BF584,1,0))</f>
        <v/>
      </c>
      <c r="BH584" s="38" t="str">
        <f aca="false">IF(BE584="","",IF(BE584&lt;2,"",IF(BE584=2,IF(AND(T584="",U584=""),"",MIN(T584,U584)),IF(U584="","",U584))))</f>
        <v/>
      </c>
      <c r="BI584" s="37" t="str">
        <f aca="false">IF(BH584="","",IF(OR(O584="",BH584=""),"",IF(BH584&lt;O584,"",ROUND(((NETWORKDAYS(O584,BH584,JoursFeries)-1)*(HFer-HOuv)+IF(NETWORKDAYS(BH584,BH584,JoursFeries),MEDIAN(MOD(BH584,1),HFer,HOuv),HFer)-IF(NETWORKDAYS(O584,O584,JoursFeries),MEDIAN(MOD(O584,1),HFer,HOuv),HOuv))*24,4))))</f>
        <v/>
      </c>
      <c r="BJ584" s="35" t="str">
        <f aca="false">IF(OR(BI584="",AR584=""),"",IF(BI584&lt;=INDEX(DELAI_ESC,AR584),1,0))</f>
        <v/>
      </c>
      <c r="BK584" s="38" t="str">
        <f aca="false">IF(AO584&lt;&gt;1,"",IF(AND(T584="",U584=""),"",MIN(T584,U584)))</f>
        <v/>
      </c>
      <c r="BL584" s="37" t="str">
        <f aca="false">IF(OR(BK584="",R584=""),"",IFERROR(ROUND(IF(OR(BK584="",R584=""),"",IF(R584&lt;BK584,"",ROUND(((NETWORKDAYS(BK584,R584,JoursFeries)-1)*(HFer-HOuv)+IF(NETWORKDAYS(R584,R584,JoursFeries),MEDIAN(MOD(R584,1),HFer,HOuv),HFer)-IF(NETWORKDAYS(BK584,BK584,JoursFeries),MEDIAN(MOD(BK584,1),HFer,HOuv),HOuv))*24,4)))/HJour,4),""))</f>
        <v/>
      </c>
      <c r="BM584" s="35" t="str">
        <f aca="false">IF(OR(AO584&lt;&gt;1,R584=""),"",IF(BD584=1,1,0))</f>
        <v/>
      </c>
      <c r="BN584" s="35" t="str">
        <f aca="false">IF(AO584&lt;&gt;1,"",IF(W584="Oui",1,0))</f>
        <v/>
      </c>
      <c r="BO584" s="35" t="str">
        <f aca="false">IF(AO584&lt;&gt;1,"",IF(X584&lt;&gt;"",1,0))</f>
        <v/>
      </c>
      <c r="BP584" s="35" t="str">
        <f aca="false">IF(AO584&lt;&gt;1,"",IF(Y584="Oui",1,0))</f>
        <v/>
      </c>
      <c r="BQ584" s="35" t="str">
        <f aca="true">IF(OR(AO584&lt;&gt;1,Z584&lt;&gt;"Oui"),"",IF(AB584="",IF(AND(AA584&lt;&gt;"",NOW()&gt;AA584),0,""),IF(AA584="","",IF(AB584&lt;=AA584,1,0))))</f>
        <v/>
      </c>
      <c r="BR584" s="38" t="str">
        <f aca="false">IF(OR(AO584&lt;&gt;1,K584&lt;&gt;"Oui",O584=""),"",IF(AC584="",O584+DORA_H_DET/24,IF(AC584-O584&lt;=DORA_H_DET/24,MIN(AC584+DORA_H_CLA/24,O584+DORA_H_DET/24),AC584+DORA_H_CLA/24)))</f>
        <v/>
      </c>
      <c r="BS584" s="35" t="str">
        <f aca="true">IF(BR584="","",IF(AD584="",IF(NOW()&gt;BR584,0,""),IF(AD584&lt;=BR584,1,0)))</f>
        <v/>
      </c>
      <c r="BT584" s="35" t="str">
        <f aca="true">IF(OR(BR584="",AD584=""),"",IF(AE584="",IF(NOW()&gt;AD584+DORA_H_INT/24,0,""),IF(AE584&lt;=AD584+DORA_H_INT/24,1,0)))</f>
        <v/>
      </c>
      <c r="BU584" s="35" t="str">
        <f aca="true">IF(OR(BR584="",AE584=""),"",IF(AF584="",IF(NOW()&gt;EDATE(AE584,DORA_M_FIN)+1,0,""),IF(AF584&lt;=EDATE(AE584,DORA_M_FIN),1,0)))</f>
        <v/>
      </c>
      <c r="BV584" s="35" t="str">
        <f aca="false">IF(BR584="","",IF(COUNT(BS584:BU584)=0,"",MIN(BS584:BU584)))</f>
        <v/>
      </c>
      <c r="BW584" s="40" t="str">
        <f aca="false">IF(AQ584&lt;&gt;1,"",IF(AND(AG584="",AH584=""),"",N(AG584)-N(AH584)))</f>
        <v/>
      </c>
      <c r="BX584" s="35" t="str">
        <f aca="true">IF(OR(AQ584&lt;&gt;1,AI584&lt;&gt;"Oui",AJ584=""),"",IF(AK584="",IF(NOW()&gt;AJ584+1,0,""),IF(AK584&lt;=AJ584,1,0)))</f>
        <v/>
      </c>
    </row>
    <row r="585" customFormat="false" ht="15" hidden="false" customHeight="false" outlineLevel="0" collapsed="false">
      <c r="B585" s="29"/>
      <c r="C585" s="29"/>
      <c r="D585" s="29"/>
      <c r="E585" s="29"/>
      <c r="F585" s="29"/>
      <c r="G585" s="29"/>
      <c r="H585" s="29"/>
      <c r="I585" s="29"/>
      <c r="J585" s="29"/>
      <c r="K585" s="29"/>
      <c r="L585" s="29"/>
      <c r="M585" s="29"/>
      <c r="N585" s="30"/>
      <c r="O585" s="30"/>
      <c r="P585" s="30"/>
      <c r="Q585" s="30"/>
      <c r="R585" s="30"/>
      <c r="S585" s="30"/>
      <c r="T585" s="30"/>
      <c r="U585" s="30"/>
      <c r="V585" s="31"/>
      <c r="W585" s="29"/>
      <c r="X585" s="29"/>
      <c r="Y585" s="29"/>
      <c r="Z585" s="29"/>
      <c r="AA585" s="30"/>
      <c r="AB585" s="30"/>
      <c r="AC585" s="30"/>
      <c r="AD585" s="30"/>
      <c r="AE585" s="30"/>
      <c r="AF585" s="32"/>
      <c r="AG585" s="33"/>
      <c r="AH585" s="33"/>
      <c r="AI585" s="29"/>
      <c r="AJ585" s="32"/>
      <c r="AK585" s="32"/>
      <c r="AL585" s="29"/>
      <c r="AN585" s="34" t="str">
        <f aca="false">IF($B585="","",IF(OR(C585="",D585="",E585="",G585="",I585="",J585="",L585="",O585="",P585=""),"Champ obligatoire manquant",IF(OR(AND(N585&lt;&gt;"",N585&gt;O585),O585&gt;P585,AND(Q585&lt;&gt;"",Q585&lt;P585),AND(R585&lt;&gt;"",R585&lt;P585),AND(S585&lt;&gt;"",S585&lt;R585),AND(S585&lt;&gt;"",R585=""),AND(T585&lt;&gt;"",T585&lt;O585),AND(U585&lt;&gt;"",U585&lt;O585)),"Chronologie incohérente",IF(AND(OR(L585="Résolu",L585="Clos"),R585=""),"Date de résolution manquante",IF(AND(L585="Clos",S585=""),"Date de clôture manquante",IF(AND(K585="Oui",AC585=""),"Classification DORA manquante","OK"))))))</f>
        <v/>
      </c>
      <c r="AO585" s="35" t="str">
        <f aca="false">IF($B585="","",IF(AND(C585="Incident",L585&lt;&gt;"Annulé"),1,0))</f>
        <v/>
      </c>
      <c r="AP585" s="35" t="str">
        <f aca="false">IF($B585="","",IF(AND(C585="Quasi-incident",L585&lt;&gt;"Annulé"),1,0))</f>
        <v/>
      </c>
      <c r="AQ585" s="35" t="str">
        <f aca="false">IF($B585="","",AO585+AP585)</f>
        <v/>
      </c>
      <c r="AR585" s="36" t="str">
        <f aca="false">IF(OR($B585="",J585=""),"",IFERROR(VALUE(LEFT(J585,1)),""))</f>
        <v/>
      </c>
      <c r="AS585" s="35" t="str">
        <f aca="false">IF(OR(AO585&lt;&gt;1,G585=""),"",IFERROR(IF(INDEX(L_SrcInterne,MATCH(G585,L_Sources,0))="Oui",1,0),""))</f>
        <v/>
      </c>
      <c r="AT585" s="37" t="str">
        <f aca="false">IF(AO585&lt;&gt;1,"",IFERROR(ROUND(IF(OR(N585="",O585=""),"",IF(O585&lt;N585,"",ROUND(((NETWORKDAYS(N585,O585,JoursFeries)-1)*(HFer-HOuv)+IF(NETWORKDAYS(O585,O585,JoursFeries),MEDIAN(MOD(O585,1),HFer,HOuv),HFer)-IF(NETWORKDAYS(N585,N585,JoursFeries),MEDIAN(MOD(N585,1),HFer,HOuv),HOuv))*24,4)))/HJour,4),""))</f>
        <v/>
      </c>
      <c r="AU585" s="37" t="str">
        <f aca="false">IF(AO585&lt;&gt;1,"",IF(OR(O585="",P585=""),"",IF(P585&lt;O585,"",ROUND(((NETWORKDAYS(O585,P585,JoursFeries)-1)*(HFer-HOuv)+IF(NETWORKDAYS(P585,P585,JoursFeries),MEDIAN(MOD(P585,1),HFer,HOuv),HFer)-IF(NETWORKDAYS(O585,O585,JoursFeries),MEDIAN(MOD(O585,1),HFer,HOuv),HOuv))*24,4))))</f>
        <v/>
      </c>
      <c r="AV585" s="37" t="str">
        <f aca="false">IF(AO585&lt;&gt;1,"",IF(OR(P585="",Q585=""),"",IF(Q585&lt;P585,"",ROUND(((NETWORKDAYS(P585,Q585,JoursFeries)-1)*(HFer-HOuv)+IF(NETWORKDAYS(Q585,Q585,JoursFeries),MEDIAN(MOD(Q585,1),HFer,HOuv),HFer)-IF(NETWORKDAYS(P585,P585,JoursFeries),MEDIAN(MOD(P585,1),HFer,HOuv),HOuv))*24,4))))</f>
        <v/>
      </c>
      <c r="AW585" s="37" t="str">
        <f aca="false">IF(AO585&lt;&gt;1,"",IFERROR(ROUND(IF(OR(P585="",R585=""),"",IF(R585&lt;P585,"",ROUND(((NETWORKDAYS(P585,R585,JoursFeries)-1)*(HFer-HOuv)+IF(NETWORKDAYS(R585,R585,JoursFeries),MEDIAN(MOD(R585,1),HFer,HOuv),HFer)-IF(NETWORKDAYS(P585,P585,JoursFeries),MEDIAN(MOD(P585,1),HFer,HOuv),HOuv))*24,4)))/HJour,4),""))</f>
        <v/>
      </c>
      <c r="AX585" s="37" t="str">
        <f aca="false">IF(AO585&lt;&gt;1,"",IFERROR(ROUND(IF(OR(P585="",S585=""),"",IF(S585&lt;P585,"",ROUND(((NETWORKDAYS(P585,S585,JoursFeries)-1)*(HFer-HOuv)+IF(NETWORKDAYS(S585,S585,JoursFeries),MEDIAN(MOD(S585,1),HFer,HOuv),HFer)-IF(NETWORKDAYS(P585,P585,JoursFeries),MEDIAN(MOD(P585,1),HFer,HOuv),HOuv))*24,4)))/HJour,4),""))</f>
        <v/>
      </c>
      <c r="AY585" s="36" t="str">
        <f aca="false">IF(OR(AO585&lt;&gt;1,AR585=""),"",INDEX(SLA_PEC,AR585))</f>
        <v/>
      </c>
      <c r="AZ585" s="35" t="str">
        <f aca="false">IF(OR(AV585="",AY585=""),"",IF(AV585&lt;=AY585,1,0))</f>
        <v/>
      </c>
      <c r="BA585" s="36" t="str">
        <f aca="false">IF(OR(AO585&lt;&gt;1,AR585=""),"",INDEX(SLA_RES,AR585))</f>
        <v/>
      </c>
      <c r="BB585" s="35" t="str">
        <f aca="false">IF(OR(AW585="",BA585=""),"",IF(AW585&lt;=BA585,1,0))</f>
        <v/>
      </c>
      <c r="BC585" s="38" t="str">
        <f aca="false">IF(OR(BA585="",P585=""),"",WORKDAY(INT(P585),BA585,JoursFeries)+MOD(P585,1))</f>
        <v/>
      </c>
      <c r="BD585" s="39" t="str">
        <f aca="false">IF(AO585&lt;&gt;1,"",IF(OR(AB585&lt;&gt;"",AD585&lt;&gt;""),4,IF(U585&lt;&gt;"",3,IF(T585&lt;&gt;"",2,1))))</f>
        <v/>
      </c>
      <c r="BE585" s="39" t="str">
        <f aca="false">IF(OR(AO585&lt;&gt;1,AR585=""),"",INDEX(NIV_REQ,AR585))</f>
        <v/>
      </c>
      <c r="BF585" s="39" t="str">
        <f aca="false">IF(BE585="","",MAX(BE585,IF(OR(K585="Oui",Z585="Oui"),4,1)))</f>
        <v/>
      </c>
      <c r="BG585" s="35" t="str">
        <f aca="false">IF(OR(BF585="",BD585=""),"",IF(BD585&gt;=BF585,1,0))</f>
        <v/>
      </c>
      <c r="BH585" s="38" t="str">
        <f aca="false">IF(BE585="","",IF(BE585&lt;2,"",IF(BE585=2,IF(AND(T585="",U585=""),"",MIN(T585,U585)),IF(U585="","",U585))))</f>
        <v/>
      </c>
      <c r="BI585" s="37" t="str">
        <f aca="false">IF(BH585="","",IF(OR(O585="",BH585=""),"",IF(BH585&lt;O585,"",ROUND(((NETWORKDAYS(O585,BH585,JoursFeries)-1)*(HFer-HOuv)+IF(NETWORKDAYS(BH585,BH585,JoursFeries),MEDIAN(MOD(BH585,1),HFer,HOuv),HFer)-IF(NETWORKDAYS(O585,O585,JoursFeries),MEDIAN(MOD(O585,1),HFer,HOuv),HOuv))*24,4))))</f>
        <v/>
      </c>
      <c r="BJ585" s="35" t="str">
        <f aca="false">IF(OR(BI585="",AR585=""),"",IF(BI585&lt;=INDEX(DELAI_ESC,AR585),1,0))</f>
        <v/>
      </c>
      <c r="BK585" s="38" t="str">
        <f aca="false">IF(AO585&lt;&gt;1,"",IF(AND(T585="",U585=""),"",MIN(T585,U585)))</f>
        <v/>
      </c>
      <c r="BL585" s="37" t="str">
        <f aca="false">IF(OR(BK585="",R585=""),"",IFERROR(ROUND(IF(OR(BK585="",R585=""),"",IF(R585&lt;BK585,"",ROUND(((NETWORKDAYS(BK585,R585,JoursFeries)-1)*(HFer-HOuv)+IF(NETWORKDAYS(R585,R585,JoursFeries),MEDIAN(MOD(R585,1),HFer,HOuv),HFer)-IF(NETWORKDAYS(BK585,BK585,JoursFeries),MEDIAN(MOD(BK585,1),HFer,HOuv),HOuv))*24,4)))/HJour,4),""))</f>
        <v/>
      </c>
      <c r="BM585" s="35" t="str">
        <f aca="false">IF(OR(AO585&lt;&gt;1,R585=""),"",IF(BD585=1,1,0))</f>
        <v/>
      </c>
      <c r="BN585" s="35" t="str">
        <f aca="false">IF(AO585&lt;&gt;1,"",IF(W585="Oui",1,0))</f>
        <v/>
      </c>
      <c r="BO585" s="35" t="str">
        <f aca="false">IF(AO585&lt;&gt;1,"",IF(X585&lt;&gt;"",1,0))</f>
        <v/>
      </c>
      <c r="BP585" s="35" t="str">
        <f aca="false">IF(AO585&lt;&gt;1,"",IF(Y585="Oui",1,0))</f>
        <v/>
      </c>
      <c r="BQ585" s="35" t="str">
        <f aca="true">IF(OR(AO585&lt;&gt;1,Z585&lt;&gt;"Oui"),"",IF(AB585="",IF(AND(AA585&lt;&gt;"",NOW()&gt;AA585),0,""),IF(AA585="","",IF(AB585&lt;=AA585,1,0))))</f>
        <v/>
      </c>
      <c r="BR585" s="38" t="str">
        <f aca="false">IF(OR(AO585&lt;&gt;1,K585&lt;&gt;"Oui",O585=""),"",IF(AC585="",O585+DORA_H_DET/24,IF(AC585-O585&lt;=DORA_H_DET/24,MIN(AC585+DORA_H_CLA/24,O585+DORA_H_DET/24),AC585+DORA_H_CLA/24)))</f>
        <v/>
      </c>
      <c r="BS585" s="35" t="str">
        <f aca="true">IF(BR585="","",IF(AD585="",IF(NOW()&gt;BR585,0,""),IF(AD585&lt;=BR585,1,0)))</f>
        <v/>
      </c>
      <c r="BT585" s="35" t="str">
        <f aca="true">IF(OR(BR585="",AD585=""),"",IF(AE585="",IF(NOW()&gt;AD585+DORA_H_INT/24,0,""),IF(AE585&lt;=AD585+DORA_H_INT/24,1,0)))</f>
        <v/>
      </c>
      <c r="BU585" s="35" t="str">
        <f aca="true">IF(OR(BR585="",AE585=""),"",IF(AF585="",IF(NOW()&gt;EDATE(AE585,DORA_M_FIN)+1,0,""),IF(AF585&lt;=EDATE(AE585,DORA_M_FIN),1,0)))</f>
        <v/>
      </c>
      <c r="BV585" s="35" t="str">
        <f aca="false">IF(BR585="","",IF(COUNT(BS585:BU585)=0,"",MIN(BS585:BU585)))</f>
        <v/>
      </c>
      <c r="BW585" s="40" t="str">
        <f aca="false">IF(AQ585&lt;&gt;1,"",IF(AND(AG585="",AH585=""),"",N(AG585)-N(AH585)))</f>
        <v/>
      </c>
      <c r="BX585" s="35" t="str">
        <f aca="true">IF(OR(AQ585&lt;&gt;1,AI585&lt;&gt;"Oui",AJ585=""),"",IF(AK585="",IF(NOW()&gt;AJ585+1,0,""),IF(AK585&lt;=AJ585,1,0)))</f>
        <v/>
      </c>
    </row>
    <row r="586" customFormat="false" ht="15" hidden="false" customHeight="false" outlineLevel="0" collapsed="false">
      <c r="B586" s="29"/>
      <c r="C586" s="29"/>
      <c r="D586" s="29"/>
      <c r="E586" s="29"/>
      <c r="F586" s="29"/>
      <c r="G586" s="29"/>
      <c r="H586" s="29"/>
      <c r="I586" s="29"/>
      <c r="J586" s="29"/>
      <c r="K586" s="29"/>
      <c r="L586" s="29"/>
      <c r="M586" s="29"/>
      <c r="N586" s="30"/>
      <c r="O586" s="30"/>
      <c r="P586" s="30"/>
      <c r="Q586" s="30"/>
      <c r="R586" s="30"/>
      <c r="S586" s="30"/>
      <c r="T586" s="30"/>
      <c r="U586" s="30"/>
      <c r="V586" s="31"/>
      <c r="W586" s="29"/>
      <c r="X586" s="29"/>
      <c r="Y586" s="29"/>
      <c r="Z586" s="29"/>
      <c r="AA586" s="30"/>
      <c r="AB586" s="30"/>
      <c r="AC586" s="30"/>
      <c r="AD586" s="30"/>
      <c r="AE586" s="30"/>
      <c r="AF586" s="32"/>
      <c r="AG586" s="33"/>
      <c r="AH586" s="33"/>
      <c r="AI586" s="29"/>
      <c r="AJ586" s="32"/>
      <c r="AK586" s="32"/>
      <c r="AL586" s="29"/>
      <c r="AN586" s="34" t="str">
        <f aca="false">IF($B586="","",IF(OR(C586="",D586="",E586="",G586="",I586="",J586="",L586="",O586="",P586=""),"Champ obligatoire manquant",IF(OR(AND(N586&lt;&gt;"",N586&gt;O586),O586&gt;P586,AND(Q586&lt;&gt;"",Q586&lt;P586),AND(R586&lt;&gt;"",R586&lt;P586),AND(S586&lt;&gt;"",S586&lt;R586),AND(S586&lt;&gt;"",R586=""),AND(T586&lt;&gt;"",T586&lt;O586),AND(U586&lt;&gt;"",U586&lt;O586)),"Chronologie incohérente",IF(AND(OR(L586="Résolu",L586="Clos"),R586=""),"Date de résolution manquante",IF(AND(L586="Clos",S586=""),"Date de clôture manquante",IF(AND(K586="Oui",AC586=""),"Classification DORA manquante","OK"))))))</f>
        <v/>
      </c>
      <c r="AO586" s="35" t="str">
        <f aca="false">IF($B586="","",IF(AND(C586="Incident",L586&lt;&gt;"Annulé"),1,0))</f>
        <v/>
      </c>
      <c r="AP586" s="35" t="str">
        <f aca="false">IF($B586="","",IF(AND(C586="Quasi-incident",L586&lt;&gt;"Annulé"),1,0))</f>
        <v/>
      </c>
      <c r="AQ586" s="35" t="str">
        <f aca="false">IF($B586="","",AO586+AP586)</f>
        <v/>
      </c>
      <c r="AR586" s="36" t="str">
        <f aca="false">IF(OR($B586="",J586=""),"",IFERROR(VALUE(LEFT(J586,1)),""))</f>
        <v/>
      </c>
      <c r="AS586" s="35" t="str">
        <f aca="false">IF(OR(AO586&lt;&gt;1,G586=""),"",IFERROR(IF(INDEX(L_SrcInterne,MATCH(G586,L_Sources,0))="Oui",1,0),""))</f>
        <v/>
      </c>
      <c r="AT586" s="37" t="str">
        <f aca="false">IF(AO586&lt;&gt;1,"",IFERROR(ROUND(IF(OR(N586="",O586=""),"",IF(O586&lt;N586,"",ROUND(((NETWORKDAYS(N586,O586,JoursFeries)-1)*(HFer-HOuv)+IF(NETWORKDAYS(O586,O586,JoursFeries),MEDIAN(MOD(O586,1),HFer,HOuv),HFer)-IF(NETWORKDAYS(N586,N586,JoursFeries),MEDIAN(MOD(N586,1),HFer,HOuv),HOuv))*24,4)))/HJour,4),""))</f>
        <v/>
      </c>
      <c r="AU586" s="37" t="str">
        <f aca="false">IF(AO586&lt;&gt;1,"",IF(OR(O586="",P586=""),"",IF(P586&lt;O586,"",ROUND(((NETWORKDAYS(O586,P586,JoursFeries)-1)*(HFer-HOuv)+IF(NETWORKDAYS(P586,P586,JoursFeries),MEDIAN(MOD(P586,1),HFer,HOuv),HFer)-IF(NETWORKDAYS(O586,O586,JoursFeries),MEDIAN(MOD(O586,1),HFer,HOuv),HOuv))*24,4))))</f>
        <v/>
      </c>
      <c r="AV586" s="37" t="str">
        <f aca="false">IF(AO586&lt;&gt;1,"",IF(OR(P586="",Q586=""),"",IF(Q586&lt;P586,"",ROUND(((NETWORKDAYS(P586,Q586,JoursFeries)-1)*(HFer-HOuv)+IF(NETWORKDAYS(Q586,Q586,JoursFeries),MEDIAN(MOD(Q586,1),HFer,HOuv),HFer)-IF(NETWORKDAYS(P586,P586,JoursFeries),MEDIAN(MOD(P586,1),HFer,HOuv),HOuv))*24,4))))</f>
        <v/>
      </c>
      <c r="AW586" s="37" t="str">
        <f aca="false">IF(AO586&lt;&gt;1,"",IFERROR(ROUND(IF(OR(P586="",R586=""),"",IF(R586&lt;P586,"",ROUND(((NETWORKDAYS(P586,R586,JoursFeries)-1)*(HFer-HOuv)+IF(NETWORKDAYS(R586,R586,JoursFeries),MEDIAN(MOD(R586,1),HFer,HOuv),HFer)-IF(NETWORKDAYS(P586,P586,JoursFeries),MEDIAN(MOD(P586,1),HFer,HOuv),HOuv))*24,4)))/HJour,4),""))</f>
        <v/>
      </c>
      <c r="AX586" s="37" t="str">
        <f aca="false">IF(AO586&lt;&gt;1,"",IFERROR(ROUND(IF(OR(P586="",S586=""),"",IF(S586&lt;P586,"",ROUND(((NETWORKDAYS(P586,S586,JoursFeries)-1)*(HFer-HOuv)+IF(NETWORKDAYS(S586,S586,JoursFeries),MEDIAN(MOD(S586,1),HFer,HOuv),HFer)-IF(NETWORKDAYS(P586,P586,JoursFeries),MEDIAN(MOD(P586,1),HFer,HOuv),HOuv))*24,4)))/HJour,4),""))</f>
        <v/>
      </c>
      <c r="AY586" s="36" t="str">
        <f aca="false">IF(OR(AO586&lt;&gt;1,AR586=""),"",INDEX(SLA_PEC,AR586))</f>
        <v/>
      </c>
      <c r="AZ586" s="35" t="str">
        <f aca="false">IF(OR(AV586="",AY586=""),"",IF(AV586&lt;=AY586,1,0))</f>
        <v/>
      </c>
      <c r="BA586" s="36" t="str">
        <f aca="false">IF(OR(AO586&lt;&gt;1,AR586=""),"",INDEX(SLA_RES,AR586))</f>
        <v/>
      </c>
      <c r="BB586" s="35" t="str">
        <f aca="false">IF(OR(AW586="",BA586=""),"",IF(AW586&lt;=BA586,1,0))</f>
        <v/>
      </c>
      <c r="BC586" s="38" t="str">
        <f aca="false">IF(OR(BA586="",P586=""),"",WORKDAY(INT(P586),BA586,JoursFeries)+MOD(P586,1))</f>
        <v/>
      </c>
      <c r="BD586" s="39" t="str">
        <f aca="false">IF(AO586&lt;&gt;1,"",IF(OR(AB586&lt;&gt;"",AD586&lt;&gt;""),4,IF(U586&lt;&gt;"",3,IF(T586&lt;&gt;"",2,1))))</f>
        <v/>
      </c>
      <c r="BE586" s="39" t="str">
        <f aca="false">IF(OR(AO586&lt;&gt;1,AR586=""),"",INDEX(NIV_REQ,AR586))</f>
        <v/>
      </c>
      <c r="BF586" s="39" t="str">
        <f aca="false">IF(BE586="","",MAX(BE586,IF(OR(K586="Oui",Z586="Oui"),4,1)))</f>
        <v/>
      </c>
      <c r="BG586" s="35" t="str">
        <f aca="false">IF(OR(BF586="",BD586=""),"",IF(BD586&gt;=BF586,1,0))</f>
        <v/>
      </c>
      <c r="BH586" s="38" t="str">
        <f aca="false">IF(BE586="","",IF(BE586&lt;2,"",IF(BE586=2,IF(AND(T586="",U586=""),"",MIN(T586,U586)),IF(U586="","",U586))))</f>
        <v/>
      </c>
      <c r="BI586" s="37" t="str">
        <f aca="false">IF(BH586="","",IF(OR(O586="",BH586=""),"",IF(BH586&lt;O586,"",ROUND(((NETWORKDAYS(O586,BH586,JoursFeries)-1)*(HFer-HOuv)+IF(NETWORKDAYS(BH586,BH586,JoursFeries),MEDIAN(MOD(BH586,1),HFer,HOuv),HFer)-IF(NETWORKDAYS(O586,O586,JoursFeries),MEDIAN(MOD(O586,1),HFer,HOuv),HOuv))*24,4))))</f>
        <v/>
      </c>
      <c r="BJ586" s="35" t="str">
        <f aca="false">IF(OR(BI586="",AR586=""),"",IF(BI586&lt;=INDEX(DELAI_ESC,AR586),1,0))</f>
        <v/>
      </c>
      <c r="BK586" s="38" t="str">
        <f aca="false">IF(AO586&lt;&gt;1,"",IF(AND(T586="",U586=""),"",MIN(T586,U586)))</f>
        <v/>
      </c>
      <c r="BL586" s="37" t="str">
        <f aca="false">IF(OR(BK586="",R586=""),"",IFERROR(ROUND(IF(OR(BK586="",R586=""),"",IF(R586&lt;BK586,"",ROUND(((NETWORKDAYS(BK586,R586,JoursFeries)-1)*(HFer-HOuv)+IF(NETWORKDAYS(R586,R586,JoursFeries),MEDIAN(MOD(R586,1),HFer,HOuv),HFer)-IF(NETWORKDAYS(BK586,BK586,JoursFeries),MEDIAN(MOD(BK586,1),HFer,HOuv),HOuv))*24,4)))/HJour,4),""))</f>
        <v/>
      </c>
      <c r="BM586" s="35" t="str">
        <f aca="false">IF(OR(AO586&lt;&gt;1,R586=""),"",IF(BD586=1,1,0))</f>
        <v/>
      </c>
      <c r="BN586" s="35" t="str">
        <f aca="false">IF(AO586&lt;&gt;1,"",IF(W586="Oui",1,0))</f>
        <v/>
      </c>
      <c r="BO586" s="35" t="str">
        <f aca="false">IF(AO586&lt;&gt;1,"",IF(X586&lt;&gt;"",1,0))</f>
        <v/>
      </c>
      <c r="BP586" s="35" t="str">
        <f aca="false">IF(AO586&lt;&gt;1,"",IF(Y586="Oui",1,0))</f>
        <v/>
      </c>
      <c r="BQ586" s="35" t="str">
        <f aca="true">IF(OR(AO586&lt;&gt;1,Z586&lt;&gt;"Oui"),"",IF(AB586="",IF(AND(AA586&lt;&gt;"",NOW()&gt;AA586),0,""),IF(AA586="","",IF(AB586&lt;=AA586,1,0))))</f>
        <v/>
      </c>
      <c r="BR586" s="38" t="str">
        <f aca="false">IF(OR(AO586&lt;&gt;1,K586&lt;&gt;"Oui",O586=""),"",IF(AC586="",O586+DORA_H_DET/24,IF(AC586-O586&lt;=DORA_H_DET/24,MIN(AC586+DORA_H_CLA/24,O586+DORA_H_DET/24),AC586+DORA_H_CLA/24)))</f>
        <v/>
      </c>
      <c r="BS586" s="35" t="str">
        <f aca="true">IF(BR586="","",IF(AD586="",IF(NOW()&gt;BR586,0,""),IF(AD586&lt;=BR586,1,0)))</f>
        <v/>
      </c>
      <c r="BT586" s="35" t="str">
        <f aca="true">IF(OR(BR586="",AD586=""),"",IF(AE586="",IF(NOW()&gt;AD586+DORA_H_INT/24,0,""),IF(AE586&lt;=AD586+DORA_H_INT/24,1,0)))</f>
        <v/>
      </c>
      <c r="BU586" s="35" t="str">
        <f aca="true">IF(OR(BR586="",AE586=""),"",IF(AF586="",IF(NOW()&gt;EDATE(AE586,DORA_M_FIN)+1,0,""),IF(AF586&lt;=EDATE(AE586,DORA_M_FIN),1,0)))</f>
        <v/>
      </c>
      <c r="BV586" s="35" t="str">
        <f aca="false">IF(BR586="","",IF(COUNT(BS586:BU586)=0,"",MIN(BS586:BU586)))</f>
        <v/>
      </c>
      <c r="BW586" s="40" t="str">
        <f aca="false">IF(AQ586&lt;&gt;1,"",IF(AND(AG586="",AH586=""),"",N(AG586)-N(AH586)))</f>
        <v/>
      </c>
      <c r="BX586" s="35" t="str">
        <f aca="true">IF(OR(AQ586&lt;&gt;1,AI586&lt;&gt;"Oui",AJ586=""),"",IF(AK586="",IF(NOW()&gt;AJ586+1,0,""),IF(AK586&lt;=AJ586,1,0)))</f>
        <v/>
      </c>
    </row>
    <row r="587" customFormat="false" ht="15" hidden="false" customHeight="false" outlineLevel="0" collapsed="false">
      <c r="B587" s="29"/>
      <c r="C587" s="29"/>
      <c r="D587" s="29"/>
      <c r="E587" s="29"/>
      <c r="F587" s="29"/>
      <c r="G587" s="29"/>
      <c r="H587" s="29"/>
      <c r="I587" s="29"/>
      <c r="J587" s="29"/>
      <c r="K587" s="29"/>
      <c r="L587" s="29"/>
      <c r="M587" s="29"/>
      <c r="N587" s="30"/>
      <c r="O587" s="30"/>
      <c r="P587" s="30"/>
      <c r="Q587" s="30"/>
      <c r="R587" s="30"/>
      <c r="S587" s="30"/>
      <c r="T587" s="30"/>
      <c r="U587" s="30"/>
      <c r="V587" s="31"/>
      <c r="W587" s="29"/>
      <c r="X587" s="29"/>
      <c r="Y587" s="29"/>
      <c r="Z587" s="29"/>
      <c r="AA587" s="30"/>
      <c r="AB587" s="30"/>
      <c r="AC587" s="30"/>
      <c r="AD587" s="30"/>
      <c r="AE587" s="30"/>
      <c r="AF587" s="32"/>
      <c r="AG587" s="33"/>
      <c r="AH587" s="33"/>
      <c r="AI587" s="29"/>
      <c r="AJ587" s="32"/>
      <c r="AK587" s="32"/>
      <c r="AL587" s="29"/>
      <c r="AN587" s="34" t="str">
        <f aca="false">IF($B587="","",IF(OR(C587="",D587="",E587="",G587="",I587="",J587="",L587="",O587="",P587=""),"Champ obligatoire manquant",IF(OR(AND(N587&lt;&gt;"",N587&gt;O587),O587&gt;P587,AND(Q587&lt;&gt;"",Q587&lt;P587),AND(R587&lt;&gt;"",R587&lt;P587),AND(S587&lt;&gt;"",S587&lt;R587),AND(S587&lt;&gt;"",R587=""),AND(T587&lt;&gt;"",T587&lt;O587),AND(U587&lt;&gt;"",U587&lt;O587)),"Chronologie incohérente",IF(AND(OR(L587="Résolu",L587="Clos"),R587=""),"Date de résolution manquante",IF(AND(L587="Clos",S587=""),"Date de clôture manquante",IF(AND(K587="Oui",AC587=""),"Classification DORA manquante","OK"))))))</f>
        <v/>
      </c>
      <c r="AO587" s="35" t="str">
        <f aca="false">IF($B587="","",IF(AND(C587="Incident",L587&lt;&gt;"Annulé"),1,0))</f>
        <v/>
      </c>
      <c r="AP587" s="35" t="str">
        <f aca="false">IF($B587="","",IF(AND(C587="Quasi-incident",L587&lt;&gt;"Annulé"),1,0))</f>
        <v/>
      </c>
      <c r="AQ587" s="35" t="str">
        <f aca="false">IF($B587="","",AO587+AP587)</f>
        <v/>
      </c>
      <c r="AR587" s="36" t="str">
        <f aca="false">IF(OR($B587="",J587=""),"",IFERROR(VALUE(LEFT(J587,1)),""))</f>
        <v/>
      </c>
      <c r="AS587" s="35" t="str">
        <f aca="false">IF(OR(AO587&lt;&gt;1,G587=""),"",IFERROR(IF(INDEX(L_SrcInterne,MATCH(G587,L_Sources,0))="Oui",1,0),""))</f>
        <v/>
      </c>
      <c r="AT587" s="37" t="str">
        <f aca="false">IF(AO587&lt;&gt;1,"",IFERROR(ROUND(IF(OR(N587="",O587=""),"",IF(O587&lt;N587,"",ROUND(((NETWORKDAYS(N587,O587,JoursFeries)-1)*(HFer-HOuv)+IF(NETWORKDAYS(O587,O587,JoursFeries),MEDIAN(MOD(O587,1),HFer,HOuv),HFer)-IF(NETWORKDAYS(N587,N587,JoursFeries),MEDIAN(MOD(N587,1),HFer,HOuv),HOuv))*24,4)))/HJour,4),""))</f>
        <v/>
      </c>
      <c r="AU587" s="37" t="str">
        <f aca="false">IF(AO587&lt;&gt;1,"",IF(OR(O587="",P587=""),"",IF(P587&lt;O587,"",ROUND(((NETWORKDAYS(O587,P587,JoursFeries)-1)*(HFer-HOuv)+IF(NETWORKDAYS(P587,P587,JoursFeries),MEDIAN(MOD(P587,1),HFer,HOuv),HFer)-IF(NETWORKDAYS(O587,O587,JoursFeries),MEDIAN(MOD(O587,1),HFer,HOuv),HOuv))*24,4))))</f>
        <v/>
      </c>
      <c r="AV587" s="37" t="str">
        <f aca="false">IF(AO587&lt;&gt;1,"",IF(OR(P587="",Q587=""),"",IF(Q587&lt;P587,"",ROUND(((NETWORKDAYS(P587,Q587,JoursFeries)-1)*(HFer-HOuv)+IF(NETWORKDAYS(Q587,Q587,JoursFeries),MEDIAN(MOD(Q587,1),HFer,HOuv),HFer)-IF(NETWORKDAYS(P587,P587,JoursFeries),MEDIAN(MOD(P587,1),HFer,HOuv),HOuv))*24,4))))</f>
        <v/>
      </c>
      <c r="AW587" s="37" t="str">
        <f aca="false">IF(AO587&lt;&gt;1,"",IFERROR(ROUND(IF(OR(P587="",R587=""),"",IF(R587&lt;P587,"",ROUND(((NETWORKDAYS(P587,R587,JoursFeries)-1)*(HFer-HOuv)+IF(NETWORKDAYS(R587,R587,JoursFeries),MEDIAN(MOD(R587,1),HFer,HOuv),HFer)-IF(NETWORKDAYS(P587,P587,JoursFeries),MEDIAN(MOD(P587,1),HFer,HOuv),HOuv))*24,4)))/HJour,4),""))</f>
        <v/>
      </c>
      <c r="AX587" s="37" t="str">
        <f aca="false">IF(AO587&lt;&gt;1,"",IFERROR(ROUND(IF(OR(P587="",S587=""),"",IF(S587&lt;P587,"",ROUND(((NETWORKDAYS(P587,S587,JoursFeries)-1)*(HFer-HOuv)+IF(NETWORKDAYS(S587,S587,JoursFeries),MEDIAN(MOD(S587,1),HFer,HOuv),HFer)-IF(NETWORKDAYS(P587,P587,JoursFeries),MEDIAN(MOD(P587,1),HFer,HOuv),HOuv))*24,4)))/HJour,4),""))</f>
        <v/>
      </c>
      <c r="AY587" s="36" t="str">
        <f aca="false">IF(OR(AO587&lt;&gt;1,AR587=""),"",INDEX(SLA_PEC,AR587))</f>
        <v/>
      </c>
      <c r="AZ587" s="35" t="str">
        <f aca="false">IF(OR(AV587="",AY587=""),"",IF(AV587&lt;=AY587,1,0))</f>
        <v/>
      </c>
      <c r="BA587" s="36" t="str">
        <f aca="false">IF(OR(AO587&lt;&gt;1,AR587=""),"",INDEX(SLA_RES,AR587))</f>
        <v/>
      </c>
      <c r="BB587" s="35" t="str">
        <f aca="false">IF(OR(AW587="",BA587=""),"",IF(AW587&lt;=BA587,1,0))</f>
        <v/>
      </c>
      <c r="BC587" s="38" t="str">
        <f aca="false">IF(OR(BA587="",P587=""),"",WORKDAY(INT(P587),BA587,JoursFeries)+MOD(P587,1))</f>
        <v/>
      </c>
      <c r="BD587" s="39" t="str">
        <f aca="false">IF(AO587&lt;&gt;1,"",IF(OR(AB587&lt;&gt;"",AD587&lt;&gt;""),4,IF(U587&lt;&gt;"",3,IF(T587&lt;&gt;"",2,1))))</f>
        <v/>
      </c>
      <c r="BE587" s="39" t="str">
        <f aca="false">IF(OR(AO587&lt;&gt;1,AR587=""),"",INDEX(NIV_REQ,AR587))</f>
        <v/>
      </c>
      <c r="BF587" s="39" t="str">
        <f aca="false">IF(BE587="","",MAX(BE587,IF(OR(K587="Oui",Z587="Oui"),4,1)))</f>
        <v/>
      </c>
      <c r="BG587" s="35" t="str">
        <f aca="false">IF(OR(BF587="",BD587=""),"",IF(BD587&gt;=BF587,1,0))</f>
        <v/>
      </c>
      <c r="BH587" s="38" t="str">
        <f aca="false">IF(BE587="","",IF(BE587&lt;2,"",IF(BE587=2,IF(AND(T587="",U587=""),"",MIN(T587,U587)),IF(U587="","",U587))))</f>
        <v/>
      </c>
      <c r="BI587" s="37" t="str">
        <f aca="false">IF(BH587="","",IF(OR(O587="",BH587=""),"",IF(BH587&lt;O587,"",ROUND(((NETWORKDAYS(O587,BH587,JoursFeries)-1)*(HFer-HOuv)+IF(NETWORKDAYS(BH587,BH587,JoursFeries),MEDIAN(MOD(BH587,1),HFer,HOuv),HFer)-IF(NETWORKDAYS(O587,O587,JoursFeries),MEDIAN(MOD(O587,1),HFer,HOuv),HOuv))*24,4))))</f>
        <v/>
      </c>
      <c r="BJ587" s="35" t="str">
        <f aca="false">IF(OR(BI587="",AR587=""),"",IF(BI587&lt;=INDEX(DELAI_ESC,AR587),1,0))</f>
        <v/>
      </c>
      <c r="BK587" s="38" t="str">
        <f aca="false">IF(AO587&lt;&gt;1,"",IF(AND(T587="",U587=""),"",MIN(T587,U587)))</f>
        <v/>
      </c>
      <c r="BL587" s="37" t="str">
        <f aca="false">IF(OR(BK587="",R587=""),"",IFERROR(ROUND(IF(OR(BK587="",R587=""),"",IF(R587&lt;BK587,"",ROUND(((NETWORKDAYS(BK587,R587,JoursFeries)-1)*(HFer-HOuv)+IF(NETWORKDAYS(R587,R587,JoursFeries),MEDIAN(MOD(R587,1),HFer,HOuv),HFer)-IF(NETWORKDAYS(BK587,BK587,JoursFeries),MEDIAN(MOD(BK587,1),HFer,HOuv),HOuv))*24,4)))/HJour,4),""))</f>
        <v/>
      </c>
      <c r="BM587" s="35" t="str">
        <f aca="false">IF(OR(AO587&lt;&gt;1,R587=""),"",IF(BD587=1,1,0))</f>
        <v/>
      </c>
      <c r="BN587" s="35" t="str">
        <f aca="false">IF(AO587&lt;&gt;1,"",IF(W587="Oui",1,0))</f>
        <v/>
      </c>
      <c r="BO587" s="35" t="str">
        <f aca="false">IF(AO587&lt;&gt;1,"",IF(X587&lt;&gt;"",1,0))</f>
        <v/>
      </c>
      <c r="BP587" s="35" t="str">
        <f aca="false">IF(AO587&lt;&gt;1,"",IF(Y587="Oui",1,0))</f>
        <v/>
      </c>
      <c r="BQ587" s="35" t="str">
        <f aca="true">IF(OR(AO587&lt;&gt;1,Z587&lt;&gt;"Oui"),"",IF(AB587="",IF(AND(AA587&lt;&gt;"",NOW()&gt;AA587),0,""),IF(AA587="","",IF(AB587&lt;=AA587,1,0))))</f>
        <v/>
      </c>
      <c r="BR587" s="38" t="str">
        <f aca="false">IF(OR(AO587&lt;&gt;1,K587&lt;&gt;"Oui",O587=""),"",IF(AC587="",O587+DORA_H_DET/24,IF(AC587-O587&lt;=DORA_H_DET/24,MIN(AC587+DORA_H_CLA/24,O587+DORA_H_DET/24),AC587+DORA_H_CLA/24)))</f>
        <v/>
      </c>
      <c r="BS587" s="35" t="str">
        <f aca="true">IF(BR587="","",IF(AD587="",IF(NOW()&gt;BR587,0,""),IF(AD587&lt;=BR587,1,0)))</f>
        <v/>
      </c>
      <c r="BT587" s="35" t="str">
        <f aca="true">IF(OR(BR587="",AD587=""),"",IF(AE587="",IF(NOW()&gt;AD587+DORA_H_INT/24,0,""),IF(AE587&lt;=AD587+DORA_H_INT/24,1,0)))</f>
        <v/>
      </c>
      <c r="BU587" s="35" t="str">
        <f aca="true">IF(OR(BR587="",AE587=""),"",IF(AF587="",IF(NOW()&gt;EDATE(AE587,DORA_M_FIN)+1,0,""),IF(AF587&lt;=EDATE(AE587,DORA_M_FIN),1,0)))</f>
        <v/>
      </c>
      <c r="BV587" s="35" t="str">
        <f aca="false">IF(BR587="","",IF(COUNT(BS587:BU587)=0,"",MIN(BS587:BU587)))</f>
        <v/>
      </c>
      <c r="BW587" s="40" t="str">
        <f aca="false">IF(AQ587&lt;&gt;1,"",IF(AND(AG587="",AH587=""),"",N(AG587)-N(AH587)))</f>
        <v/>
      </c>
      <c r="BX587" s="35" t="str">
        <f aca="true">IF(OR(AQ587&lt;&gt;1,AI587&lt;&gt;"Oui",AJ587=""),"",IF(AK587="",IF(NOW()&gt;AJ587+1,0,""),IF(AK587&lt;=AJ587,1,0)))</f>
        <v/>
      </c>
    </row>
    <row r="588" customFormat="false" ht="15" hidden="false" customHeight="false" outlineLevel="0" collapsed="false">
      <c r="B588" s="29"/>
      <c r="C588" s="29"/>
      <c r="D588" s="29"/>
      <c r="E588" s="29"/>
      <c r="F588" s="29"/>
      <c r="G588" s="29"/>
      <c r="H588" s="29"/>
      <c r="I588" s="29"/>
      <c r="J588" s="29"/>
      <c r="K588" s="29"/>
      <c r="L588" s="29"/>
      <c r="M588" s="29"/>
      <c r="N588" s="30"/>
      <c r="O588" s="30"/>
      <c r="P588" s="30"/>
      <c r="Q588" s="30"/>
      <c r="R588" s="30"/>
      <c r="S588" s="30"/>
      <c r="T588" s="30"/>
      <c r="U588" s="30"/>
      <c r="V588" s="31"/>
      <c r="W588" s="29"/>
      <c r="X588" s="29"/>
      <c r="Y588" s="29"/>
      <c r="Z588" s="29"/>
      <c r="AA588" s="30"/>
      <c r="AB588" s="30"/>
      <c r="AC588" s="30"/>
      <c r="AD588" s="30"/>
      <c r="AE588" s="30"/>
      <c r="AF588" s="32"/>
      <c r="AG588" s="33"/>
      <c r="AH588" s="33"/>
      <c r="AI588" s="29"/>
      <c r="AJ588" s="32"/>
      <c r="AK588" s="32"/>
      <c r="AL588" s="29"/>
      <c r="AN588" s="34" t="str">
        <f aca="false">IF($B588="","",IF(OR(C588="",D588="",E588="",G588="",I588="",J588="",L588="",O588="",P588=""),"Champ obligatoire manquant",IF(OR(AND(N588&lt;&gt;"",N588&gt;O588),O588&gt;P588,AND(Q588&lt;&gt;"",Q588&lt;P588),AND(R588&lt;&gt;"",R588&lt;P588),AND(S588&lt;&gt;"",S588&lt;R588),AND(S588&lt;&gt;"",R588=""),AND(T588&lt;&gt;"",T588&lt;O588),AND(U588&lt;&gt;"",U588&lt;O588)),"Chronologie incohérente",IF(AND(OR(L588="Résolu",L588="Clos"),R588=""),"Date de résolution manquante",IF(AND(L588="Clos",S588=""),"Date de clôture manquante",IF(AND(K588="Oui",AC588=""),"Classification DORA manquante","OK"))))))</f>
        <v/>
      </c>
      <c r="AO588" s="35" t="str">
        <f aca="false">IF($B588="","",IF(AND(C588="Incident",L588&lt;&gt;"Annulé"),1,0))</f>
        <v/>
      </c>
      <c r="AP588" s="35" t="str">
        <f aca="false">IF($B588="","",IF(AND(C588="Quasi-incident",L588&lt;&gt;"Annulé"),1,0))</f>
        <v/>
      </c>
      <c r="AQ588" s="35" t="str">
        <f aca="false">IF($B588="","",AO588+AP588)</f>
        <v/>
      </c>
      <c r="AR588" s="36" t="str">
        <f aca="false">IF(OR($B588="",J588=""),"",IFERROR(VALUE(LEFT(J588,1)),""))</f>
        <v/>
      </c>
      <c r="AS588" s="35" t="str">
        <f aca="false">IF(OR(AO588&lt;&gt;1,G588=""),"",IFERROR(IF(INDEX(L_SrcInterne,MATCH(G588,L_Sources,0))="Oui",1,0),""))</f>
        <v/>
      </c>
      <c r="AT588" s="37" t="str">
        <f aca="false">IF(AO588&lt;&gt;1,"",IFERROR(ROUND(IF(OR(N588="",O588=""),"",IF(O588&lt;N588,"",ROUND(((NETWORKDAYS(N588,O588,JoursFeries)-1)*(HFer-HOuv)+IF(NETWORKDAYS(O588,O588,JoursFeries),MEDIAN(MOD(O588,1),HFer,HOuv),HFer)-IF(NETWORKDAYS(N588,N588,JoursFeries),MEDIAN(MOD(N588,1),HFer,HOuv),HOuv))*24,4)))/HJour,4),""))</f>
        <v/>
      </c>
      <c r="AU588" s="37" t="str">
        <f aca="false">IF(AO588&lt;&gt;1,"",IF(OR(O588="",P588=""),"",IF(P588&lt;O588,"",ROUND(((NETWORKDAYS(O588,P588,JoursFeries)-1)*(HFer-HOuv)+IF(NETWORKDAYS(P588,P588,JoursFeries),MEDIAN(MOD(P588,1),HFer,HOuv),HFer)-IF(NETWORKDAYS(O588,O588,JoursFeries),MEDIAN(MOD(O588,1),HFer,HOuv),HOuv))*24,4))))</f>
        <v/>
      </c>
      <c r="AV588" s="37" t="str">
        <f aca="false">IF(AO588&lt;&gt;1,"",IF(OR(P588="",Q588=""),"",IF(Q588&lt;P588,"",ROUND(((NETWORKDAYS(P588,Q588,JoursFeries)-1)*(HFer-HOuv)+IF(NETWORKDAYS(Q588,Q588,JoursFeries),MEDIAN(MOD(Q588,1),HFer,HOuv),HFer)-IF(NETWORKDAYS(P588,P588,JoursFeries),MEDIAN(MOD(P588,1),HFer,HOuv),HOuv))*24,4))))</f>
        <v/>
      </c>
      <c r="AW588" s="37" t="str">
        <f aca="false">IF(AO588&lt;&gt;1,"",IFERROR(ROUND(IF(OR(P588="",R588=""),"",IF(R588&lt;P588,"",ROUND(((NETWORKDAYS(P588,R588,JoursFeries)-1)*(HFer-HOuv)+IF(NETWORKDAYS(R588,R588,JoursFeries),MEDIAN(MOD(R588,1),HFer,HOuv),HFer)-IF(NETWORKDAYS(P588,P588,JoursFeries),MEDIAN(MOD(P588,1),HFer,HOuv),HOuv))*24,4)))/HJour,4),""))</f>
        <v/>
      </c>
      <c r="AX588" s="37" t="str">
        <f aca="false">IF(AO588&lt;&gt;1,"",IFERROR(ROUND(IF(OR(P588="",S588=""),"",IF(S588&lt;P588,"",ROUND(((NETWORKDAYS(P588,S588,JoursFeries)-1)*(HFer-HOuv)+IF(NETWORKDAYS(S588,S588,JoursFeries),MEDIAN(MOD(S588,1),HFer,HOuv),HFer)-IF(NETWORKDAYS(P588,P588,JoursFeries),MEDIAN(MOD(P588,1),HFer,HOuv),HOuv))*24,4)))/HJour,4),""))</f>
        <v/>
      </c>
      <c r="AY588" s="36" t="str">
        <f aca="false">IF(OR(AO588&lt;&gt;1,AR588=""),"",INDEX(SLA_PEC,AR588))</f>
        <v/>
      </c>
      <c r="AZ588" s="35" t="str">
        <f aca="false">IF(OR(AV588="",AY588=""),"",IF(AV588&lt;=AY588,1,0))</f>
        <v/>
      </c>
      <c r="BA588" s="36" t="str">
        <f aca="false">IF(OR(AO588&lt;&gt;1,AR588=""),"",INDEX(SLA_RES,AR588))</f>
        <v/>
      </c>
      <c r="BB588" s="35" t="str">
        <f aca="false">IF(OR(AW588="",BA588=""),"",IF(AW588&lt;=BA588,1,0))</f>
        <v/>
      </c>
      <c r="BC588" s="38" t="str">
        <f aca="false">IF(OR(BA588="",P588=""),"",WORKDAY(INT(P588),BA588,JoursFeries)+MOD(P588,1))</f>
        <v/>
      </c>
      <c r="BD588" s="39" t="str">
        <f aca="false">IF(AO588&lt;&gt;1,"",IF(OR(AB588&lt;&gt;"",AD588&lt;&gt;""),4,IF(U588&lt;&gt;"",3,IF(T588&lt;&gt;"",2,1))))</f>
        <v/>
      </c>
      <c r="BE588" s="39" t="str">
        <f aca="false">IF(OR(AO588&lt;&gt;1,AR588=""),"",INDEX(NIV_REQ,AR588))</f>
        <v/>
      </c>
      <c r="BF588" s="39" t="str">
        <f aca="false">IF(BE588="","",MAX(BE588,IF(OR(K588="Oui",Z588="Oui"),4,1)))</f>
        <v/>
      </c>
      <c r="BG588" s="35" t="str">
        <f aca="false">IF(OR(BF588="",BD588=""),"",IF(BD588&gt;=BF588,1,0))</f>
        <v/>
      </c>
      <c r="BH588" s="38" t="str">
        <f aca="false">IF(BE588="","",IF(BE588&lt;2,"",IF(BE588=2,IF(AND(T588="",U588=""),"",MIN(T588,U588)),IF(U588="","",U588))))</f>
        <v/>
      </c>
      <c r="BI588" s="37" t="str">
        <f aca="false">IF(BH588="","",IF(OR(O588="",BH588=""),"",IF(BH588&lt;O588,"",ROUND(((NETWORKDAYS(O588,BH588,JoursFeries)-1)*(HFer-HOuv)+IF(NETWORKDAYS(BH588,BH588,JoursFeries),MEDIAN(MOD(BH588,1),HFer,HOuv),HFer)-IF(NETWORKDAYS(O588,O588,JoursFeries),MEDIAN(MOD(O588,1),HFer,HOuv),HOuv))*24,4))))</f>
        <v/>
      </c>
      <c r="BJ588" s="35" t="str">
        <f aca="false">IF(OR(BI588="",AR588=""),"",IF(BI588&lt;=INDEX(DELAI_ESC,AR588),1,0))</f>
        <v/>
      </c>
      <c r="BK588" s="38" t="str">
        <f aca="false">IF(AO588&lt;&gt;1,"",IF(AND(T588="",U588=""),"",MIN(T588,U588)))</f>
        <v/>
      </c>
      <c r="BL588" s="37" t="str">
        <f aca="false">IF(OR(BK588="",R588=""),"",IFERROR(ROUND(IF(OR(BK588="",R588=""),"",IF(R588&lt;BK588,"",ROUND(((NETWORKDAYS(BK588,R588,JoursFeries)-1)*(HFer-HOuv)+IF(NETWORKDAYS(R588,R588,JoursFeries),MEDIAN(MOD(R588,1),HFer,HOuv),HFer)-IF(NETWORKDAYS(BK588,BK588,JoursFeries),MEDIAN(MOD(BK588,1),HFer,HOuv),HOuv))*24,4)))/HJour,4),""))</f>
        <v/>
      </c>
      <c r="BM588" s="35" t="str">
        <f aca="false">IF(OR(AO588&lt;&gt;1,R588=""),"",IF(BD588=1,1,0))</f>
        <v/>
      </c>
      <c r="BN588" s="35" t="str">
        <f aca="false">IF(AO588&lt;&gt;1,"",IF(W588="Oui",1,0))</f>
        <v/>
      </c>
      <c r="BO588" s="35" t="str">
        <f aca="false">IF(AO588&lt;&gt;1,"",IF(X588&lt;&gt;"",1,0))</f>
        <v/>
      </c>
      <c r="BP588" s="35" t="str">
        <f aca="false">IF(AO588&lt;&gt;1,"",IF(Y588="Oui",1,0))</f>
        <v/>
      </c>
      <c r="BQ588" s="35" t="str">
        <f aca="true">IF(OR(AO588&lt;&gt;1,Z588&lt;&gt;"Oui"),"",IF(AB588="",IF(AND(AA588&lt;&gt;"",NOW()&gt;AA588),0,""),IF(AA588="","",IF(AB588&lt;=AA588,1,0))))</f>
        <v/>
      </c>
      <c r="BR588" s="38" t="str">
        <f aca="false">IF(OR(AO588&lt;&gt;1,K588&lt;&gt;"Oui",O588=""),"",IF(AC588="",O588+DORA_H_DET/24,IF(AC588-O588&lt;=DORA_H_DET/24,MIN(AC588+DORA_H_CLA/24,O588+DORA_H_DET/24),AC588+DORA_H_CLA/24)))</f>
        <v/>
      </c>
      <c r="BS588" s="35" t="str">
        <f aca="true">IF(BR588="","",IF(AD588="",IF(NOW()&gt;BR588,0,""),IF(AD588&lt;=BR588,1,0)))</f>
        <v/>
      </c>
      <c r="BT588" s="35" t="str">
        <f aca="true">IF(OR(BR588="",AD588=""),"",IF(AE588="",IF(NOW()&gt;AD588+DORA_H_INT/24,0,""),IF(AE588&lt;=AD588+DORA_H_INT/24,1,0)))</f>
        <v/>
      </c>
      <c r="BU588" s="35" t="str">
        <f aca="true">IF(OR(BR588="",AE588=""),"",IF(AF588="",IF(NOW()&gt;EDATE(AE588,DORA_M_FIN)+1,0,""),IF(AF588&lt;=EDATE(AE588,DORA_M_FIN),1,0)))</f>
        <v/>
      </c>
      <c r="BV588" s="35" t="str">
        <f aca="false">IF(BR588="","",IF(COUNT(BS588:BU588)=0,"",MIN(BS588:BU588)))</f>
        <v/>
      </c>
      <c r="BW588" s="40" t="str">
        <f aca="false">IF(AQ588&lt;&gt;1,"",IF(AND(AG588="",AH588=""),"",N(AG588)-N(AH588)))</f>
        <v/>
      </c>
      <c r="BX588" s="35" t="str">
        <f aca="true">IF(OR(AQ588&lt;&gt;1,AI588&lt;&gt;"Oui",AJ588=""),"",IF(AK588="",IF(NOW()&gt;AJ588+1,0,""),IF(AK588&lt;=AJ588,1,0)))</f>
        <v/>
      </c>
    </row>
    <row r="589" customFormat="false" ht="15" hidden="false" customHeight="false" outlineLevel="0" collapsed="false">
      <c r="B589" s="29"/>
      <c r="C589" s="29"/>
      <c r="D589" s="29"/>
      <c r="E589" s="29"/>
      <c r="F589" s="29"/>
      <c r="G589" s="29"/>
      <c r="H589" s="29"/>
      <c r="I589" s="29"/>
      <c r="J589" s="29"/>
      <c r="K589" s="29"/>
      <c r="L589" s="29"/>
      <c r="M589" s="29"/>
      <c r="N589" s="30"/>
      <c r="O589" s="30"/>
      <c r="P589" s="30"/>
      <c r="Q589" s="30"/>
      <c r="R589" s="30"/>
      <c r="S589" s="30"/>
      <c r="T589" s="30"/>
      <c r="U589" s="30"/>
      <c r="V589" s="31"/>
      <c r="W589" s="29"/>
      <c r="X589" s="29"/>
      <c r="Y589" s="29"/>
      <c r="Z589" s="29"/>
      <c r="AA589" s="30"/>
      <c r="AB589" s="30"/>
      <c r="AC589" s="30"/>
      <c r="AD589" s="30"/>
      <c r="AE589" s="30"/>
      <c r="AF589" s="32"/>
      <c r="AG589" s="33"/>
      <c r="AH589" s="33"/>
      <c r="AI589" s="29"/>
      <c r="AJ589" s="32"/>
      <c r="AK589" s="32"/>
      <c r="AL589" s="29"/>
      <c r="AN589" s="34" t="str">
        <f aca="false">IF($B589="","",IF(OR(C589="",D589="",E589="",G589="",I589="",J589="",L589="",O589="",P589=""),"Champ obligatoire manquant",IF(OR(AND(N589&lt;&gt;"",N589&gt;O589),O589&gt;P589,AND(Q589&lt;&gt;"",Q589&lt;P589),AND(R589&lt;&gt;"",R589&lt;P589),AND(S589&lt;&gt;"",S589&lt;R589),AND(S589&lt;&gt;"",R589=""),AND(T589&lt;&gt;"",T589&lt;O589),AND(U589&lt;&gt;"",U589&lt;O589)),"Chronologie incohérente",IF(AND(OR(L589="Résolu",L589="Clos"),R589=""),"Date de résolution manquante",IF(AND(L589="Clos",S589=""),"Date de clôture manquante",IF(AND(K589="Oui",AC589=""),"Classification DORA manquante","OK"))))))</f>
        <v/>
      </c>
      <c r="AO589" s="35" t="str">
        <f aca="false">IF($B589="","",IF(AND(C589="Incident",L589&lt;&gt;"Annulé"),1,0))</f>
        <v/>
      </c>
      <c r="AP589" s="35" t="str">
        <f aca="false">IF($B589="","",IF(AND(C589="Quasi-incident",L589&lt;&gt;"Annulé"),1,0))</f>
        <v/>
      </c>
      <c r="AQ589" s="35" t="str">
        <f aca="false">IF($B589="","",AO589+AP589)</f>
        <v/>
      </c>
      <c r="AR589" s="36" t="str">
        <f aca="false">IF(OR($B589="",J589=""),"",IFERROR(VALUE(LEFT(J589,1)),""))</f>
        <v/>
      </c>
      <c r="AS589" s="35" t="str">
        <f aca="false">IF(OR(AO589&lt;&gt;1,G589=""),"",IFERROR(IF(INDEX(L_SrcInterne,MATCH(G589,L_Sources,0))="Oui",1,0),""))</f>
        <v/>
      </c>
      <c r="AT589" s="37" t="str">
        <f aca="false">IF(AO589&lt;&gt;1,"",IFERROR(ROUND(IF(OR(N589="",O589=""),"",IF(O589&lt;N589,"",ROUND(((NETWORKDAYS(N589,O589,JoursFeries)-1)*(HFer-HOuv)+IF(NETWORKDAYS(O589,O589,JoursFeries),MEDIAN(MOD(O589,1),HFer,HOuv),HFer)-IF(NETWORKDAYS(N589,N589,JoursFeries),MEDIAN(MOD(N589,1),HFer,HOuv),HOuv))*24,4)))/HJour,4),""))</f>
        <v/>
      </c>
      <c r="AU589" s="37" t="str">
        <f aca="false">IF(AO589&lt;&gt;1,"",IF(OR(O589="",P589=""),"",IF(P589&lt;O589,"",ROUND(((NETWORKDAYS(O589,P589,JoursFeries)-1)*(HFer-HOuv)+IF(NETWORKDAYS(P589,P589,JoursFeries),MEDIAN(MOD(P589,1),HFer,HOuv),HFer)-IF(NETWORKDAYS(O589,O589,JoursFeries),MEDIAN(MOD(O589,1),HFer,HOuv),HOuv))*24,4))))</f>
        <v/>
      </c>
      <c r="AV589" s="37" t="str">
        <f aca="false">IF(AO589&lt;&gt;1,"",IF(OR(P589="",Q589=""),"",IF(Q589&lt;P589,"",ROUND(((NETWORKDAYS(P589,Q589,JoursFeries)-1)*(HFer-HOuv)+IF(NETWORKDAYS(Q589,Q589,JoursFeries),MEDIAN(MOD(Q589,1),HFer,HOuv),HFer)-IF(NETWORKDAYS(P589,P589,JoursFeries),MEDIAN(MOD(P589,1),HFer,HOuv),HOuv))*24,4))))</f>
        <v/>
      </c>
      <c r="AW589" s="37" t="str">
        <f aca="false">IF(AO589&lt;&gt;1,"",IFERROR(ROUND(IF(OR(P589="",R589=""),"",IF(R589&lt;P589,"",ROUND(((NETWORKDAYS(P589,R589,JoursFeries)-1)*(HFer-HOuv)+IF(NETWORKDAYS(R589,R589,JoursFeries),MEDIAN(MOD(R589,1),HFer,HOuv),HFer)-IF(NETWORKDAYS(P589,P589,JoursFeries),MEDIAN(MOD(P589,1),HFer,HOuv),HOuv))*24,4)))/HJour,4),""))</f>
        <v/>
      </c>
      <c r="AX589" s="37" t="str">
        <f aca="false">IF(AO589&lt;&gt;1,"",IFERROR(ROUND(IF(OR(P589="",S589=""),"",IF(S589&lt;P589,"",ROUND(((NETWORKDAYS(P589,S589,JoursFeries)-1)*(HFer-HOuv)+IF(NETWORKDAYS(S589,S589,JoursFeries),MEDIAN(MOD(S589,1),HFer,HOuv),HFer)-IF(NETWORKDAYS(P589,P589,JoursFeries),MEDIAN(MOD(P589,1),HFer,HOuv),HOuv))*24,4)))/HJour,4),""))</f>
        <v/>
      </c>
      <c r="AY589" s="36" t="str">
        <f aca="false">IF(OR(AO589&lt;&gt;1,AR589=""),"",INDEX(SLA_PEC,AR589))</f>
        <v/>
      </c>
      <c r="AZ589" s="35" t="str">
        <f aca="false">IF(OR(AV589="",AY589=""),"",IF(AV589&lt;=AY589,1,0))</f>
        <v/>
      </c>
      <c r="BA589" s="36" t="str">
        <f aca="false">IF(OR(AO589&lt;&gt;1,AR589=""),"",INDEX(SLA_RES,AR589))</f>
        <v/>
      </c>
      <c r="BB589" s="35" t="str">
        <f aca="false">IF(OR(AW589="",BA589=""),"",IF(AW589&lt;=BA589,1,0))</f>
        <v/>
      </c>
      <c r="BC589" s="38" t="str">
        <f aca="false">IF(OR(BA589="",P589=""),"",WORKDAY(INT(P589),BA589,JoursFeries)+MOD(P589,1))</f>
        <v/>
      </c>
      <c r="BD589" s="39" t="str">
        <f aca="false">IF(AO589&lt;&gt;1,"",IF(OR(AB589&lt;&gt;"",AD589&lt;&gt;""),4,IF(U589&lt;&gt;"",3,IF(T589&lt;&gt;"",2,1))))</f>
        <v/>
      </c>
      <c r="BE589" s="39" t="str">
        <f aca="false">IF(OR(AO589&lt;&gt;1,AR589=""),"",INDEX(NIV_REQ,AR589))</f>
        <v/>
      </c>
      <c r="BF589" s="39" t="str">
        <f aca="false">IF(BE589="","",MAX(BE589,IF(OR(K589="Oui",Z589="Oui"),4,1)))</f>
        <v/>
      </c>
      <c r="BG589" s="35" t="str">
        <f aca="false">IF(OR(BF589="",BD589=""),"",IF(BD589&gt;=BF589,1,0))</f>
        <v/>
      </c>
      <c r="BH589" s="38" t="str">
        <f aca="false">IF(BE589="","",IF(BE589&lt;2,"",IF(BE589=2,IF(AND(T589="",U589=""),"",MIN(T589,U589)),IF(U589="","",U589))))</f>
        <v/>
      </c>
      <c r="BI589" s="37" t="str">
        <f aca="false">IF(BH589="","",IF(OR(O589="",BH589=""),"",IF(BH589&lt;O589,"",ROUND(((NETWORKDAYS(O589,BH589,JoursFeries)-1)*(HFer-HOuv)+IF(NETWORKDAYS(BH589,BH589,JoursFeries),MEDIAN(MOD(BH589,1),HFer,HOuv),HFer)-IF(NETWORKDAYS(O589,O589,JoursFeries),MEDIAN(MOD(O589,1),HFer,HOuv),HOuv))*24,4))))</f>
        <v/>
      </c>
      <c r="BJ589" s="35" t="str">
        <f aca="false">IF(OR(BI589="",AR589=""),"",IF(BI589&lt;=INDEX(DELAI_ESC,AR589),1,0))</f>
        <v/>
      </c>
      <c r="BK589" s="38" t="str">
        <f aca="false">IF(AO589&lt;&gt;1,"",IF(AND(T589="",U589=""),"",MIN(T589,U589)))</f>
        <v/>
      </c>
      <c r="BL589" s="37" t="str">
        <f aca="false">IF(OR(BK589="",R589=""),"",IFERROR(ROUND(IF(OR(BK589="",R589=""),"",IF(R589&lt;BK589,"",ROUND(((NETWORKDAYS(BK589,R589,JoursFeries)-1)*(HFer-HOuv)+IF(NETWORKDAYS(R589,R589,JoursFeries),MEDIAN(MOD(R589,1),HFer,HOuv),HFer)-IF(NETWORKDAYS(BK589,BK589,JoursFeries),MEDIAN(MOD(BK589,1),HFer,HOuv),HOuv))*24,4)))/HJour,4),""))</f>
        <v/>
      </c>
      <c r="BM589" s="35" t="str">
        <f aca="false">IF(OR(AO589&lt;&gt;1,R589=""),"",IF(BD589=1,1,0))</f>
        <v/>
      </c>
      <c r="BN589" s="35" t="str">
        <f aca="false">IF(AO589&lt;&gt;1,"",IF(W589="Oui",1,0))</f>
        <v/>
      </c>
      <c r="BO589" s="35" t="str">
        <f aca="false">IF(AO589&lt;&gt;1,"",IF(X589&lt;&gt;"",1,0))</f>
        <v/>
      </c>
      <c r="BP589" s="35" t="str">
        <f aca="false">IF(AO589&lt;&gt;1,"",IF(Y589="Oui",1,0))</f>
        <v/>
      </c>
      <c r="BQ589" s="35" t="str">
        <f aca="true">IF(OR(AO589&lt;&gt;1,Z589&lt;&gt;"Oui"),"",IF(AB589="",IF(AND(AA589&lt;&gt;"",NOW()&gt;AA589),0,""),IF(AA589="","",IF(AB589&lt;=AA589,1,0))))</f>
        <v/>
      </c>
      <c r="BR589" s="38" t="str">
        <f aca="false">IF(OR(AO589&lt;&gt;1,K589&lt;&gt;"Oui",O589=""),"",IF(AC589="",O589+DORA_H_DET/24,IF(AC589-O589&lt;=DORA_H_DET/24,MIN(AC589+DORA_H_CLA/24,O589+DORA_H_DET/24),AC589+DORA_H_CLA/24)))</f>
        <v/>
      </c>
      <c r="BS589" s="35" t="str">
        <f aca="true">IF(BR589="","",IF(AD589="",IF(NOW()&gt;BR589,0,""),IF(AD589&lt;=BR589,1,0)))</f>
        <v/>
      </c>
      <c r="BT589" s="35" t="str">
        <f aca="true">IF(OR(BR589="",AD589=""),"",IF(AE589="",IF(NOW()&gt;AD589+DORA_H_INT/24,0,""),IF(AE589&lt;=AD589+DORA_H_INT/24,1,0)))</f>
        <v/>
      </c>
      <c r="BU589" s="35" t="str">
        <f aca="true">IF(OR(BR589="",AE589=""),"",IF(AF589="",IF(NOW()&gt;EDATE(AE589,DORA_M_FIN)+1,0,""),IF(AF589&lt;=EDATE(AE589,DORA_M_FIN),1,0)))</f>
        <v/>
      </c>
      <c r="BV589" s="35" t="str">
        <f aca="false">IF(BR589="","",IF(COUNT(BS589:BU589)=0,"",MIN(BS589:BU589)))</f>
        <v/>
      </c>
      <c r="BW589" s="40" t="str">
        <f aca="false">IF(AQ589&lt;&gt;1,"",IF(AND(AG589="",AH589=""),"",N(AG589)-N(AH589)))</f>
        <v/>
      </c>
      <c r="BX589" s="35" t="str">
        <f aca="true">IF(OR(AQ589&lt;&gt;1,AI589&lt;&gt;"Oui",AJ589=""),"",IF(AK589="",IF(NOW()&gt;AJ589+1,0,""),IF(AK589&lt;=AJ589,1,0)))</f>
        <v/>
      </c>
    </row>
    <row r="590" customFormat="false" ht="15" hidden="false" customHeight="false" outlineLevel="0" collapsed="false">
      <c r="B590" s="29"/>
      <c r="C590" s="29"/>
      <c r="D590" s="29"/>
      <c r="E590" s="29"/>
      <c r="F590" s="29"/>
      <c r="G590" s="29"/>
      <c r="H590" s="29"/>
      <c r="I590" s="29"/>
      <c r="J590" s="29"/>
      <c r="K590" s="29"/>
      <c r="L590" s="29"/>
      <c r="M590" s="29"/>
      <c r="N590" s="30"/>
      <c r="O590" s="30"/>
      <c r="P590" s="30"/>
      <c r="Q590" s="30"/>
      <c r="R590" s="30"/>
      <c r="S590" s="30"/>
      <c r="T590" s="30"/>
      <c r="U590" s="30"/>
      <c r="V590" s="31"/>
      <c r="W590" s="29"/>
      <c r="X590" s="29"/>
      <c r="Y590" s="29"/>
      <c r="Z590" s="29"/>
      <c r="AA590" s="30"/>
      <c r="AB590" s="30"/>
      <c r="AC590" s="30"/>
      <c r="AD590" s="30"/>
      <c r="AE590" s="30"/>
      <c r="AF590" s="32"/>
      <c r="AG590" s="33"/>
      <c r="AH590" s="33"/>
      <c r="AI590" s="29"/>
      <c r="AJ590" s="32"/>
      <c r="AK590" s="32"/>
      <c r="AL590" s="29"/>
      <c r="AN590" s="34" t="str">
        <f aca="false">IF($B590="","",IF(OR(C590="",D590="",E590="",G590="",I590="",J590="",L590="",O590="",P590=""),"Champ obligatoire manquant",IF(OR(AND(N590&lt;&gt;"",N590&gt;O590),O590&gt;P590,AND(Q590&lt;&gt;"",Q590&lt;P590),AND(R590&lt;&gt;"",R590&lt;P590),AND(S590&lt;&gt;"",S590&lt;R590),AND(S590&lt;&gt;"",R590=""),AND(T590&lt;&gt;"",T590&lt;O590),AND(U590&lt;&gt;"",U590&lt;O590)),"Chronologie incohérente",IF(AND(OR(L590="Résolu",L590="Clos"),R590=""),"Date de résolution manquante",IF(AND(L590="Clos",S590=""),"Date de clôture manquante",IF(AND(K590="Oui",AC590=""),"Classification DORA manquante","OK"))))))</f>
        <v/>
      </c>
      <c r="AO590" s="35" t="str">
        <f aca="false">IF($B590="","",IF(AND(C590="Incident",L590&lt;&gt;"Annulé"),1,0))</f>
        <v/>
      </c>
      <c r="AP590" s="35" t="str">
        <f aca="false">IF($B590="","",IF(AND(C590="Quasi-incident",L590&lt;&gt;"Annulé"),1,0))</f>
        <v/>
      </c>
      <c r="AQ590" s="35" t="str">
        <f aca="false">IF($B590="","",AO590+AP590)</f>
        <v/>
      </c>
      <c r="AR590" s="36" t="str">
        <f aca="false">IF(OR($B590="",J590=""),"",IFERROR(VALUE(LEFT(J590,1)),""))</f>
        <v/>
      </c>
      <c r="AS590" s="35" t="str">
        <f aca="false">IF(OR(AO590&lt;&gt;1,G590=""),"",IFERROR(IF(INDEX(L_SrcInterne,MATCH(G590,L_Sources,0))="Oui",1,0),""))</f>
        <v/>
      </c>
      <c r="AT590" s="37" t="str">
        <f aca="false">IF(AO590&lt;&gt;1,"",IFERROR(ROUND(IF(OR(N590="",O590=""),"",IF(O590&lt;N590,"",ROUND(((NETWORKDAYS(N590,O590,JoursFeries)-1)*(HFer-HOuv)+IF(NETWORKDAYS(O590,O590,JoursFeries),MEDIAN(MOD(O590,1),HFer,HOuv),HFer)-IF(NETWORKDAYS(N590,N590,JoursFeries),MEDIAN(MOD(N590,1),HFer,HOuv),HOuv))*24,4)))/HJour,4),""))</f>
        <v/>
      </c>
      <c r="AU590" s="37" t="str">
        <f aca="false">IF(AO590&lt;&gt;1,"",IF(OR(O590="",P590=""),"",IF(P590&lt;O590,"",ROUND(((NETWORKDAYS(O590,P590,JoursFeries)-1)*(HFer-HOuv)+IF(NETWORKDAYS(P590,P590,JoursFeries),MEDIAN(MOD(P590,1),HFer,HOuv),HFer)-IF(NETWORKDAYS(O590,O590,JoursFeries),MEDIAN(MOD(O590,1),HFer,HOuv),HOuv))*24,4))))</f>
        <v/>
      </c>
      <c r="AV590" s="37" t="str">
        <f aca="false">IF(AO590&lt;&gt;1,"",IF(OR(P590="",Q590=""),"",IF(Q590&lt;P590,"",ROUND(((NETWORKDAYS(P590,Q590,JoursFeries)-1)*(HFer-HOuv)+IF(NETWORKDAYS(Q590,Q590,JoursFeries),MEDIAN(MOD(Q590,1),HFer,HOuv),HFer)-IF(NETWORKDAYS(P590,P590,JoursFeries),MEDIAN(MOD(P590,1),HFer,HOuv),HOuv))*24,4))))</f>
        <v/>
      </c>
      <c r="AW590" s="37" t="str">
        <f aca="false">IF(AO590&lt;&gt;1,"",IFERROR(ROUND(IF(OR(P590="",R590=""),"",IF(R590&lt;P590,"",ROUND(((NETWORKDAYS(P590,R590,JoursFeries)-1)*(HFer-HOuv)+IF(NETWORKDAYS(R590,R590,JoursFeries),MEDIAN(MOD(R590,1),HFer,HOuv),HFer)-IF(NETWORKDAYS(P590,P590,JoursFeries),MEDIAN(MOD(P590,1),HFer,HOuv),HOuv))*24,4)))/HJour,4),""))</f>
        <v/>
      </c>
      <c r="AX590" s="37" t="str">
        <f aca="false">IF(AO590&lt;&gt;1,"",IFERROR(ROUND(IF(OR(P590="",S590=""),"",IF(S590&lt;P590,"",ROUND(((NETWORKDAYS(P590,S590,JoursFeries)-1)*(HFer-HOuv)+IF(NETWORKDAYS(S590,S590,JoursFeries),MEDIAN(MOD(S590,1),HFer,HOuv),HFer)-IF(NETWORKDAYS(P590,P590,JoursFeries),MEDIAN(MOD(P590,1),HFer,HOuv),HOuv))*24,4)))/HJour,4),""))</f>
        <v/>
      </c>
      <c r="AY590" s="36" t="str">
        <f aca="false">IF(OR(AO590&lt;&gt;1,AR590=""),"",INDEX(SLA_PEC,AR590))</f>
        <v/>
      </c>
      <c r="AZ590" s="35" t="str">
        <f aca="false">IF(OR(AV590="",AY590=""),"",IF(AV590&lt;=AY590,1,0))</f>
        <v/>
      </c>
      <c r="BA590" s="36" t="str">
        <f aca="false">IF(OR(AO590&lt;&gt;1,AR590=""),"",INDEX(SLA_RES,AR590))</f>
        <v/>
      </c>
      <c r="BB590" s="35" t="str">
        <f aca="false">IF(OR(AW590="",BA590=""),"",IF(AW590&lt;=BA590,1,0))</f>
        <v/>
      </c>
      <c r="BC590" s="38" t="str">
        <f aca="false">IF(OR(BA590="",P590=""),"",WORKDAY(INT(P590),BA590,JoursFeries)+MOD(P590,1))</f>
        <v/>
      </c>
      <c r="BD590" s="39" t="str">
        <f aca="false">IF(AO590&lt;&gt;1,"",IF(OR(AB590&lt;&gt;"",AD590&lt;&gt;""),4,IF(U590&lt;&gt;"",3,IF(T590&lt;&gt;"",2,1))))</f>
        <v/>
      </c>
      <c r="BE590" s="39" t="str">
        <f aca="false">IF(OR(AO590&lt;&gt;1,AR590=""),"",INDEX(NIV_REQ,AR590))</f>
        <v/>
      </c>
      <c r="BF590" s="39" t="str">
        <f aca="false">IF(BE590="","",MAX(BE590,IF(OR(K590="Oui",Z590="Oui"),4,1)))</f>
        <v/>
      </c>
      <c r="BG590" s="35" t="str">
        <f aca="false">IF(OR(BF590="",BD590=""),"",IF(BD590&gt;=BF590,1,0))</f>
        <v/>
      </c>
      <c r="BH590" s="38" t="str">
        <f aca="false">IF(BE590="","",IF(BE590&lt;2,"",IF(BE590=2,IF(AND(T590="",U590=""),"",MIN(T590,U590)),IF(U590="","",U590))))</f>
        <v/>
      </c>
      <c r="BI590" s="37" t="str">
        <f aca="false">IF(BH590="","",IF(OR(O590="",BH590=""),"",IF(BH590&lt;O590,"",ROUND(((NETWORKDAYS(O590,BH590,JoursFeries)-1)*(HFer-HOuv)+IF(NETWORKDAYS(BH590,BH590,JoursFeries),MEDIAN(MOD(BH590,1),HFer,HOuv),HFer)-IF(NETWORKDAYS(O590,O590,JoursFeries),MEDIAN(MOD(O590,1),HFer,HOuv),HOuv))*24,4))))</f>
        <v/>
      </c>
      <c r="BJ590" s="35" t="str">
        <f aca="false">IF(OR(BI590="",AR590=""),"",IF(BI590&lt;=INDEX(DELAI_ESC,AR590),1,0))</f>
        <v/>
      </c>
      <c r="BK590" s="38" t="str">
        <f aca="false">IF(AO590&lt;&gt;1,"",IF(AND(T590="",U590=""),"",MIN(T590,U590)))</f>
        <v/>
      </c>
      <c r="BL590" s="37" t="str">
        <f aca="false">IF(OR(BK590="",R590=""),"",IFERROR(ROUND(IF(OR(BK590="",R590=""),"",IF(R590&lt;BK590,"",ROUND(((NETWORKDAYS(BK590,R590,JoursFeries)-1)*(HFer-HOuv)+IF(NETWORKDAYS(R590,R590,JoursFeries),MEDIAN(MOD(R590,1),HFer,HOuv),HFer)-IF(NETWORKDAYS(BK590,BK590,JoursFeries),MEDIAN(MOD(BK590,1),HFer,HOuv),HOuv))*24,4)))/HJour,4),""))</f>
        <v/>
      </c>
      <c r="BM590" s="35" t="str">
        <f aca="false">IF(OR(AO590&lt;&gt;1,R590=""),"",IF(BD590=1,1,0))</f>
        <v/>
      </c>
      <c r="BN590" s="35" t="str">
        <f aca="false">IF(AO590&lt;&gt;1,"",IF(W590="Oui",1,0))</f>
        <v/>
      </c>
      <c r="BO590" s="35" t="str">
        <f aca="false">IF(AO590&lt;&gt;1,"",IF(X590&lt;&gt;"",1,0))</f>
        <v/>
      </c>
      <c r="BP590" s="35" t="str">
        <f aca="false">IF(AO590&lt;&gt;1,"",IF(Y590="Oui",1,0))</f>
        <v/>
      </c>
      <c r="BQ590" s="35" t="str">
        <f aca="true">IF(OR(AO590&lt;&gt;1,Z590&lt;&gt;"Oui"),"",IF(AB590="",IF(AND(AA590&lt;&gt;"",NOW()&gt;AA590),0,""),IF(AA590="","",IF(AB590&lt;=AA590,1,0))))</f>
        <v/>
      </c>
      <c r="BR590" s="38" t="str">
        <f aca="false">IF(OR(AO590&lt;&gt;1,K590&lt;&gt;"Oui",O590=""),"",IF(AC590="",O590+DORA_H_DET/24,IF(AC590-O590&lt;=DORA_H_DET/24,MIN(AC590+DORA_H_CLA/24,O590+DORA_H_DET/24),AC590+DORA_H_CLA/24)))</f>
        <v/>
      </c>
      <c r="BS590" s="35" t="str">
        <f aca="true">IF(BR590="","",IF(AD590="",IF(NOW()&gt;BR590,0,""),IF(AD590&lt;=BR590,1,0)))</f>
        <v/>
      </c>
      <c r="BT590" s="35" t="str">
        <f aca="true">IF(OR(BR590="",AD590=""),"",IF(AE590="",IF(NOW()&gt;AD590+DORA_H_INT/24,0,""),IF(AE590&lt;=AD590+DORA_H_INT/24,1,0)))</f>
        <v/>
      </c>
      <c r="BU590" s="35" t="str">
        <f aca="true">IF(OR(BR590="",AE590=""),"",IF(AF590="",IF(NOW()&gt;EDATE(AE590,DORA_M_FIN)+1,0,""),IF(AF590&lt;=EDATE(AE590,DORA_M_FIN),1,0)))</f>
        <v/>
      </c>
      <c r="BV590" s="35" t="str">
        <f aca="false">IF(BR590="","",IF(COUNT(BS590:BU590)=0,"",MIN(BS590:BU590)))</f>
        <v/>
      </c>
      <c r="BW590" s="40" t="str">
        <f aca="false">IF(AQ590&lt;&gt;1,"",IF(AND(AG590="",AH590=""),"",N(AG590)-N(AH590)))</f>
        <v/>
      </c>
      <c r="BX590" s="35" t="str">
        <f aca="true">IF(OR(AQ590&lt;&gt;1,AI590&lt;&gt;"Oui",AJ590=""),"",IF(AK590="",IF(NOW()&gt;AJ590+1,0,""),IF(AK590&lt;=AJ590,1,0)))</f>
        <v/>
      </c>
    </row>
    <row r="591" customFormat="false" ht="15" hidden="false" customHeight="false" outlineLevel="0" collapsed="false">
      <c r="B591" s="29"/>
      <c r="C591" s="29"/>
      <c r="D591" s="29"/>
      <c r="E591" s="29"/>
      <c r="F591" s="29"/>
      <c r="G591" s="29"/>
      <c r="H591" s="29"/>
      <c r="I591" s="29"/>
      <c r="J591" s="29"/>
      <c r="K591" s="29"/>
      <c r="L591" s="29"/>
      <c r="M591" s="29"/>
      <c r="N591" s="30"/>
      <c r="O591" s="30"/>
      <c r="P591" s="30"/>
      <c r="Q591" s="30"/>
      <c r="R591" s="30"/>
      <c r="S591" s="30"/>
      <c r="T591" s="30"/>
      <c r="U591" s="30"/>
      <c r="V591" s="31"/>
      <c r="W591" s="29"/>
      <c r="X591" s="29"/>
      <c r="Y591" s="29"/>
      <c r="Z591" s="29"/>
      <c r="AA591" s="30"/>
      <c r="AB591" s="30"/>
      <c r="AC591" s="30"/>
      <c r="AD591" s="30"/>
      <c r="AE591" s="30"/>
      <c r="AF591" s="32"/>
      <c r="AG591" s="33"/>
      <c r="AH591" s="33"/>
      <c r="AI591" s="29"/>
      <c r="AJ591" s="32"/>
      <c r="AK591" s="32"/>
      <c r="AL591" s="29"/>
      <c r="AN591" s="34" t="str">
        <f aca="false">IF($B591="","",IF(OR(C591="",D591="",E591="",G591="",I591="",J591="",L591="",O591="",P591=""),"Champ obligatoire manquant",IF(OR(AND(N591&lt;&gt;"",N591&gt;O591),O591&gt;P591,AND(Q591&lt;&gt;"",Q591&lt;P591),AND(R591&lt;&gt;"",R591&lt;P591),AND(S591&lt;&gt;"",S591&lt;R591),AND(S591&lt;&gt;"",R591=""),AND(T591&lt;&gt;"",T591&lt;O591),AND(U591&lt;&gt;"",U591&lt;O591)),"Chronologie incohérente",IF(AND(OR(L591="Résolu",L591="Clos"),R591=""),"Date de résolution manquante",IF(AND(L591="Clos",S591=""),"Date de clôture manquante",IF(AND(K591="Oui",AC591=""),"Classification DORA manquante","OK"))))))</f>
        <v/>
      </c>
      <c r="AO591" s="35" t="str">
        <f aca="false">IF($B591="","",IF(AND(C591="Incident",L591&lt;&gt;"Annulé"),1,0))</f>
        <v/>
      </c>
      <c r="AP591" s="35" t="str">
        <f aca="false">IF($B591="","",IF(AND(C591="Quasi-incident",L591&lt;&gt;"Annulé"),1,0))</f>
        <v/>
      </c>
      <c r="AQ591" s="35" t="str">
        <f aca="false">IF($B591="","",AO591+AP591)</f>
        <v/>
      </c>
      <c r="AR591" s="36" t="str">
        <f aca="false">IF(OR($B591="",J591=""),"",IFERROR(VALUE(LEFT(J591,1)),""))</f>
        <v/>
      </c>
      <c r="AS591" s="35" t="str">
        <f aca="false">IF(OR(AO591&lt;&gt;1,G591=""),"",IFERROR(IF(INDEX(L_SrcInterne,MATCH(G591,L_Sources,0))="Oui",1,0),""))</f>
        <v/>
      </c>
      <c r="AT591" s="37" t="str">
        <f aca="false">IF(AO591&lt;&gt;1,"",IFERROR(ROUND(IF(OR(N591="",O591=""),"",IF(O591&lt;N591,"",ROUND(((NETWORKDAYS(N591,O591,JoursFeries)-1)*(HFer-HOuv)+IF(NETWORKDAYS(O591,O591,JoursFeries),MEDIAN(MOD(O591,1),HFer,HOuv),HFer)-IF(NETWORKDAYS(N591,N591,JoursFeries),MEDIAN(MOD(N591,1),HFer,HOuv),HOuv))*24,4)))/HJour,4),""))</f>
        <v/>
      </c>
      <c r="AU591" s="37" t="str">
        <f aca="false">IF(AO591&lt;&gt;1,"",IF(OR(O591="",P591=""),"",IF(P591&lt;O591,"",ROUND(((NETWORKDAYS(O591,P591,JoursFeries)-1)*(HFer-HOuv)+IF(NETWORKDAYS(P591,P591,JoursFeries),MEDIAN(MOD(P591,1),HFer,HOuv),HFer)-IF(NETWORKDAYS(O591,O591,JoursFeries),MEDIAN(MOD(O591,1),HFer,HOuv),HOuv))*24,4))))</f>
        <v/>
      </c>
      <c r="AV591" s="37" t="str">
        <f aca="false">IF(AO591&lt;&gt;1,"",IF(OR(P591="",Q591=""),"",IF(Q591&lt;P591,"",ROUND(((NETWORKDAYS(P591,Q591,JoursFeries)-1)*(HFer-HOuv)+IF(NETWORKDAYS(Q591,Q591,JoursFeries),MEDIAN(MOD(Q591,1),HFer,HOuv),HFer)-IF(NETWORKDAYS(P591,P591,JoursFeries),MEDIAN(MOD(P591,1),HFer,HOuv),HOuv))*24,4))))</f>
        <v/>
      </c>
      <c r="AW591" s="37" t="str">
        <f aca="false">IF(AO591&lt;&gt;1,"",IFERROR(ROUND(IF(OR(P591="",R591=""),"",IF(R591&lt;P591,"",ROUND(((NETWORKDAYS(P591,R591,JoursFeries)-1)*(HFer-HOuv)+IF(NETWORKDAYS(R591,R591,JoursFeries),MEDIAN(MOD(R591,1),HFer,HOuv),HFer)-IF(NETWORKDAYS(P591,P591,JoursFeries),MEDIAN(MOD(P591,1),HFer,HOuv),HOuv))*24,4)))/HJour,4),""))</f>
        <v/>
      </c>
      <c r="AX591" s="37" t="str">
        <f aca="false">IF(AO591&lt;&gt;1,"",IFERROR(ROUND(IF(OR(P591="",S591=""),"",IF(S591&lt;P591,"",ROUND(((NETWORKDAYS(P591,S591,JoursFeries)-1)*(HFer-HOuv)+IF(NETWORKDAYS(S591,S591,JoursFeries),MEDIAN(MOD(S591,1),HFer,HOuv),HFer)-IF(NETWORKDAYS(P591,P591,JoursFeries),MEDIAN(MOD(P591,1),HFer,HOuv),HOuv))*24,4)))/HJour,4),""))</f>
        <v/>
      </c>
      <c r="AY591" s="36" t="str">
        <f aca="false">IF(OR(AO591&lt;&gt;1,AR591=""),"",INDEX(SLA_PEC,AR591))</f>
        <v/>
      </c>
      <c r="AZ591" s="35" t="str">
        <f aca="false">IF(OR(AV591="",AY591=""),"",IF(AV591&lt;=AY591,1,0))</f>
        <v/>
      </c>
      <c r="BA591" s="36" t="str">
        <f aca="false">IF(OR(AO591&lt;&gt;1,AR591=""),"",INDEX(SLA_RES,AR591))</f>
        <v/>
      </c>
      <c r="BB591" s="35" t="str">
        <f aca="false">IF(OR(AW591="",BA591=""),"",IF(AW591&lt;=BA591,1,0))</f>
        <v/>
      </c>
      <c r="BC591" s="38" t="str">
        <f aca="false">IF(OR(BA591="",P591=""),"",WORKDAY(INT(P591),BA591,JoursFeries)+MOD(P591,1))</f>
        <v/>
      </c>
      <c r="BD591" s="39" t="str">
        <f aca="false">IF(AO591&lt;&gt;1,"",IF(OR(AB591&lt;&gt;"",AD591&lt;&gt;""),4,IF(U591&lt;&gt;"",3,IF(T591&lt;&gt;"",2,1))))</f>
        <v/>
      </c>
      <c r="BE591" s="39" t="str">
        <f aca="false">IF(OR(AO591&lt;&gt;1,AR591=""),"",INDEX(NIV_REQ,AR591))</f>
        <v/>
      </c>
      <c r="BF591" s="39" t="str">
        <f aca="false">IF(BE591="","",MAX(BE591,IF(OR(K591="Oui",Z591="Oui"),4,1)))</f>
        <v/>
      </c>
      <c r="BG591" s="35" t="str">
        <f aca="false">IF(OR(BF591="",BD591=""),"",IF(BD591&gt;=BF591,1,0))</f>
        <v/>
      </c>
      <c r="BH591" s="38" t="str">
        <f aca="false">IF(BE591="","",IF(BE591&lt;2,"",IF(BE591=2,IF(AND(T591="",U591=""),"",MIN(T591,U591)),IF(U591="","",U591))))</f>
        <v/>
      </c>
      <c r="BI591" s="37" t="str">
        <f aca="false">IF(BH591="","",IF(OR(O591="",BH591=""),"",IF(BH591&lt;O591,"",ROUND(((NETWORKDAYS(O591,BH591,JoursFeries)-1)*(HFer-HOuv)+IF(NETWORKDAYS(BH591,BH591,JoursFeries),MEDIAN(MOD(BH591,1),HFer,HOuv),HFer)-IF(NETWORKDAYS(O591,O591,JoursFeries),MEDIAN(MOD(O591,1),HFer,HOuv),HOuv))*24,4))))</f>
        <v/>
      </c>
      <c r="BJ591" s="35" t="str">
        <f aca="false">IF(OR(BI591="",AR591=""),"",IF(BI591&lt;=INDEX(DELAI_ESC,AR591),1,0))</f>
        <v/>
      </c>
      <c r="BK591" s="38" t="str">
        <f aca="false">IF(AO591&lt;&gt;1,"",IF(AND(T591="",U591=""),"",MIN(T591,U591)))</f>
        <v/>
      </c>
      <c r="BL591" s="37" t="str">
        <f aca="false">IF(OR(BK591="",R591=""),"",IFERROR(ROUND(IF(OR(BK591="",R591=""),"",IF(R591&lt;BK591,"",ROUND(((NETWORKDAYS(BK591,R591,JoursFeries)-1)*(HFer-HOuv)+IF(NETWORKDAYS(R591,R591,JoursFeries),MEDIAN(MOD(R591,1),HFer,HOuv),HFer)-IF(NETWORKDAYS(BK591,BK591,JoursFeries),MEDIAN(MOD(BK591,1),HFer,HOuv),HOuv))*24,4)))/HJour,4),""))</f>
        <v/>
      </c>
      <c r="BM591" s="35" t="str">
        <f aca="false">IF(OR(AO591&lt;&gt;1,R591=""),"",IF(BD591=1,1,0))</f>
        <v/>
      </c>
      <c r="BN591" s="35" t="str">
        <f aca="false">IF(AO591&lt;&gt;1,"",IF(W591="Oui",1,0))</f>
        <v/>
      </c>
      <c r="BO591" s="35" t="str">
        <f aca="false">IF(AO591&lt;&gt;1,"",IF(X591&lt;&gt;"",1,0))</f>
        <v/>
      </c>
      <c r="BP591" s="35" t="str">
        <f aca="false">IF(AO591&lt;&gt;1,"",IF(Y591="Oui",1,0))</f>
        <v/>
      </c>
      <c r="BQ591" s="35" t="str">
        <f aca="true">IF(OR(AO591&lt;&gt;1,Z591&lt;&gt;"Oui"),"",IF(AB591="",IF(AND(AA591&lt;&gt;"",NOW()&gt;AA591),0,""),IF(AA591="","",IF(AB591&lt;=AA591,1,0))))</f>
        <v/>
      </c>
      <c r="BR591" s="38" t="str">
        <f aca="false">IF(OR(AO591&lt;&gt;1,K591&lt;&gt;"Oui",O591=""),"",IF(AC591="",O591+DORA_H_DET/24,IF(AC591-O591&lt;=DORA_H_DET/24,MIN(AC591+DORA_H_CLA/24,O591+DORA_H_DET/24),AC591+DORA_H_CLA/24)))</f>
        <v/>
      </c>
      <c r="BS591" s="35" t="str">
        <f aca="true">IF(BR591="","",IF(AD591="",IF(NOW()&gt;BR591,0,""),IF(AD591&lt;=BR591,1,0)))</f>
        <v/>
      </c>
      <c r="BT591" s="35" t="str">
        <f aca="true">IF(OR(BR591="",AD591=""),"",IF(AE591="",IF(NOW()&gt;AD591+DORA_H_INT/24,0,""),IF(AE591&lt;=AD591+DORA_H_INT/24,1,0)))</f>
        <v/>
      </c>
      <c r="BU591" s="35" t="str">
        <f aca="true">IF(OR(BR591="",AE591=""),"",IF(AF591="",IF(NOW()&gt;EDATE(AE591,DORA_M_FIN)+1,0,""),IF(AF591&lt;=EDATE(AE591,DORA_M_FIN),1,0)))</f>
        <v/>
      </c>
      <c r="BV591" s="35" t="str">
        <f aca="false">IF(BR591="","",IF(COUNT(BS591:BU591)=0,"",MIN(BS591:BU591)))</f>
        <v/>
      </c>
      <c r="BW591" s="40" t="str">
        <f aca="false">IF(AQ591&lt;&gt;1,"",IF(AND(AG591="",AH591=""),"",N(AG591)-N(AH591)))</f>
        <v/>
      </c>
      <c r="BX591" s="35" t="str">
        <f aca="true">IF(OR(AQ591&lt;&gt;1,AI591&lt;&gt;"Oui",AJ591=""),"",IF(AK591="",IF(NOW()&gt;AJ591+1,0,""),IF(AK591&lt;=AJ591,1,0)))</f>
        <v/>
      </c>
    </row>
    <row r="592" customFormat="false" ht="15" hidden="false" customHeight="false" outlineLevel="0" collapsed="false">
      <c r="B592" s="29"/>
      <c r="C592" s="29"/>
      <c r="D592" s="29"/>
      <c r="E592" s="29"/>
      <c r="F592" s="29"/>
      <c r="G592" s="29"/>
      <c r="H592" s="29"/>
      <c r="I592" s="29"/>
      <c r="J592" s="29"/>
      <c r="K592" s="29"/>
      <c r="L592" s="29"/>
      <c r="M592" s="29"/>
      <c r="N592" s="30"/>
      <c r="O592" s="30"/>
      <c r="P592" s="30"/>
      <c r="Q592" s="30"/>
      <c r="R592" s="30"/>
      <c r="S592" s="30"/>
      <c r="T592" s="30"/>
      <c r="U592" s="30"/>
      <c r="V592" s="31"/>
      <c r="W592" s="29"/>
      <c r="X592" s="29"/>
      <c r="Y592" s="29"/>
      <c r="Z592" s="29"/>
      <c r="AA592" s="30"/>
      <c r="AB592" s="30"/>
      <c r="AC592" s="30"/>
      <c r="AD592" s="30"/>
      <c r="AE592" s="30"/>
      <c r="AF592" s="32"/>
      <c r="AG592" s="33"/>
      <c r="AH592" s="33"/>
      <c r="AI592" s="29"/>
      <c r="AJ592" s="32"/>
      <c r="AK592" s="32"/>
      <c r="AL592" s="29"/>
      <c r="AN592" s="34" t="str">
        <f aca="false">IF($B592="","",IF(OR(C592="",D592="",E592="",G592="",I592="",J592="",L592="",O592="",P592=""),"Champ obligatoire manquant",IF(OR(AND(N592&lt;&gt;"",N592&gt;O592),O592&gt;P592,AND(Q592&lt;&gt;"",Q592&lt;P592),AND(R592&lt;&gt;"",R592&lt;P592),AND(S592&lt;&gt;"",S592&lt;R592),AND(S592&lt;&gt;"",R592=""),AND(T592&lt;&gt;"",T592&lt;O592),AND(U592&lt;&gt;"",U592&lt;O592)),"Chronologie incohérente",IF(AND(OR(L592="Résolu",L592="Clos"),R592=""),"Date de résolution manquante",IF(AND(L592="Clos",S592=""),"Date de clôture manquante",IF(AND(K592="Oui",AC592=""),"Classification DORA manquante","OK"))))))</f>
        <v/>
      </c>
      <c r="AO592" s="35" t="str">
        <f aca="false">IF($B592="","",IF(AND(C592="Incident",L592&lt;&gt;"Annulé"),1,0))</f>
        <v/>
      </c>
      <c r="AP592" s="35" t="str">
        <f aca="false">IF($B592="","",IF(AND(C592="Quasi-incident",L592&lt;&gt;"Annulé"),1,0))</f>
        <v/>
      </c>
      <c r="AQ592" s="35" t="str">
        <f aca="false">IF($B592="","",AO592+AP592)</f>
        <v/>
      </c>
      <c r="AR592" s="36" t="str">
        <f aca="false">IF(OR($B592="",J592=""),"",IFERROR(VALUE(LEFT(J592,1)),""))</f>
        <v/>
      </c>
      <c r="AS592" s="35" t="str">
        <f aca="false">IF(OR(AO592&lt;&gt;1,G592=""),"",IFERROR(IF(INDEX(L_SrcInterne,MATCH(G592,L_Sources,0))="Oui",1,0),""))</f>
        <v/>
      </c>
      <c r="AT592" s="37" t="str">
        <f aca="false">IF(AO592&lt;&gt;1,"",IFERROR(ROUND(IF(OR(N592="",O592=""),"",IF(O592&lt;N592,"",ROUND(((NETWORKDAYS(N592,O592,JoursFeries)-1)*(HFer-HOuv)+IF(NETWORKDAYS(O592,O592,JoursFeries),MEDIAN(MOD(O592,1),HFer,HOuv),HFer)-IF(NETWORKDAYS(N592,N592,JoursFeries),MEDIAN(MOD(N592,1),HFer,HOuv),HOuv))*24,4)))/HJour,4),""))</f>
        <v/>
      </c>
      <c r="AU592" s="37" t="str">
        <f aca="false">IF(AO592&lt;&gt;1,"",IF(OR(O592="",P592=""),"",IF(P592&lt;O592,"",ROUND(((NETWORKDAYS(O592,P592,JoursFeries)-1)*(HFer-HOuv)+IF(NETWORKDAYS(P592,P592,JoursFeries),MEDIAN(MOD(P592,1),HFer,HOuv),HFer)-IF(NETWORKDAYS(O592,O592,JoursFeries),MEDIAN(MOD(O592,1),HFer,HOuv),HOuv))*24,4))))</f>
        <v/>
      </c>
      <c r="AV592" s="37" t="str">
        <f aca="false">IF(AO592&lt;&gt;1,"",IF(OR(P592="",Q592=""),"",IF(Q592&lt;P592,"",ROUND(((NETWORKDAYS(P592,Q592,JoursFeries)-1)*(HFer-HOuv)+IF(NETWORKDAYS(Q592,Q592,JoursFeries),MEDIAN(MOD(Q592,1),HFer,HOuv),HFer)-IF(NETWORKDAYS(P592,P592,JoursFeries),MEDIAN(MOD(P592,1),HFer,HOuv),HOuv))*24,4))))</f>
        <v/>
      </c>
      <c r="AW592" s="37" t="str">
        <f aca="false">IF(AO592&lt;&gt;1,"",IFERROR(ROUND(IF(OR(P592="",R592=""),"",IF(R592&lt;P592,"",ROUND(((NETWORKDAYS(P592,R592,JoursFeries)-1)*(HFer-HOuv)+IF(NETWORKDAYS(R592,R592,JoursFeries),MEDIAN(MOD(R592,1),HFer,HOuv),HFer)-IF(NETWORKDAYS(P592,P592,JoursFeries),MEDIAN(MOD(P592,1),HFer,HOuv),HOuv))*24,4)))/HJour,4),""))</f>
        <v/>
      </c>
      <c r="AX592" s="37" t="str">
        <f aca="false">IF(AO592&lt;&gt;1,"",IFERROR(ROUND(IF(OR(P592="",S592=""),"",IF(S592&lt;P592,"",ROUND(((NETWORKDAYS(P592,S592,JoursFeries)-1)*(HFer-HOuv)+IF(NETWORKDAYS(S592,S592,JoursFeries),MEDIAN(MOD(S592,1),HFer,HOuv),HFer)-IF(NETWORKDAYS(P592,P592,JoursFeries),MEDIAN(MOD(P592,1),HFer,HOuv),HOuv))*24,4)))/HJour,4),""))</f>
        <v/>
      </c>
      <c r="AY592" s="36" t="str">
        <f aca="false">IF(OR(AO592&lt;&gt;1,AR592=""),"",INDEX(SLA_PEC,AR592))</f>
        <v/>
      </c>
      <c r="AZ592" s="35" t="str">
        <f aca="false">IF(OR(AV592="",AY592=""),"",IF(AV592&lt;=AY592,1,0))</f>
        <v/>
      </c>
      <c r="BA592" s="36" t="str">
        <f aca="false">IF(OR(AO592&lt;&gt;1,AR592=""),"",INDEX(SLA_RES,AR592))</f>
        <v/>
      </c>
      <c r="BB592" s="35" t="str">
        <f aca="false">IF(OR(AW592="",BA592=""),"",IF(AW592&lt;=BA592,1,0))</f>
        <v/>
      </c>
      <c r="BC592" s="38" t="str">
        <f aca="false">IF(OR(BA592="",P592=""),"",WORKDAY(INT(P592),BA592,JoursFeries)+MOD(P592,1))</f>
        <v/>
      </c>
      <c r="BD592" s="39" t="str">
        <f aca="false">IF(AO592&lt;&gt;1,"",IF(OR(AB592&lt;&gt;"",AD592&lt;&gt;""),4,IF(U592&lt;&gt;"",3,IF(T592&lt;&gt;"",2,1))))</f>
        <v/>
      </c>
      <c r="BE592" s="39" t="str">
        <f aca="false">IF(OR(AO592&lt;&gt;1,AR592=""),"",INDEX(NIV_REQ,AR592))</f>
        <v/>
      </c>
      <c r="BF592" s="39" t="str">
        <f aca="false">IF(BE592="","",MAX(BE592,IF(OR(K592="Oui",Z592="Oui"),4,1)))</f>
        <v/>
      </c>
      <c r="BG592" s="35" t="str">
        <f aca="false">IF(OR(BF592="",BD592=""),"",IF(BD592&gt;=BF592,1,0))</f>
        <v/>
      </c>
      <c r="BH592" s="38" t="str">
        <f aca="false">IF(BE592="","",IF(BE592&lt;2,"",IF(BE592=2,IF(AND(T592="",U592=""),"",MIN(T592,U592)),IF(U592="","",U592))))</f>
        <v/>
      </c>
      <c r="BI592" s="37" t="str">
        <f aca="false">IF(BH592="","",IF(OR(O592="",BH592=""),"",IF(BH592&lt;O592,"",ROUND(((NETWORKDAYS(O592,BH592,JoursFeries)-1)*(HFer-HOuv)+IF(NETWORKDAYS(BH592,BH592,JoursFeries),MEDIAN(MOD(BH592,1),HFer,HOuv),HFer)-IF(NETWORKDAYS(O592,O592,JoursFeries),MEDIAN(MOD(O592,1),HFer,HOuv),HOuv))*24,4))))</f>
        <v/>
      </c>
      <c r="BJ592" s="35" t="str">
        <f aca="false">IF(OR(BI592="",AR592=""),"",IF(BI592&lt;=INDEX(DELAI_ESC,AR592),1,0))</f>
        <v/>
      </c>
      <c r="BK592" s="38" t="str">
        <f aca="false">IF(AO592&lt;&gt;1,"",IF(AND(T592="",U592=""),"",MIN(T592,U592)))</f>
        <v/>
      </c>
      <c r="BL592" s="37" t="str">
        <f aca="false">IF(OR(BK592="",R592=""),"",IFERROR(ROUND(IF(OR(BK592="",R592=""),"",IF(R592&lt;BK592,"",ROUND(((NETWORKDAYS(BK592,R592,JoursFeries)-1)*(HFer-HOuv)+IF(NETWORKDAYS(R592,R592,JoursFeries),MEDIAN(MOD(R592,1),HFer,HOuv),HFer)-IF(NETWORKDAYS(BK592,BK592,JoursFeries),MEDIAN(MOD(BK592,1),HFer,HOuv),HOuv))*24,4)))/HJour,4),""))</f>
        <v/>
      </c>
      <c r="BM592" s="35" t="str">
        <f aca="false">IF(OR(AO592&lt;&gt;1,R592=""),"",IF(BD592=1,1,0))</f>
        <v/>
      </c>
      <c r="BN592" s="35" t="str">
        <f aca="false">IF(AO592&lt;&gt;1,"",IF(W592="Oui",1,0))</f>
        <v/>
      </c>
      <c r="BO592" s="35" t="str">
        <f aca="false">IF(AO592&lt;&gt;1,"",IF(X592&lt;&gt;"",1,0))</f>
        <v/>
      </c>
      <c r="BP592" s="35" t="str">
        <f aca="false">IF(AO592&lt;&gt;1,"",IF(Y592="Oui",1,0))</f>
        <v/>
      </c>
      <c r="BQ592" s="35" t="str">
        <f aca="true">IF(OR(AO592&lt;&gt;1,Z592&lt;&gt;"Oui"),"",IF(AB592="",IF(AND(AA592&lt;&gt;"",NOW()&gt;AA592),0,""),IF(AA592="","",IF(AB592&lt;=AA592,1,0))))</f>
        <v/>
      </c>
      <c r="BR592" s="38" t="str">
        <f aca="false">IF(OR(AO592&lt;&gt;1,K592&lt;&gt;"Oui",O592=""),"",IF(AC592="",O592+DORA_H_DET/24,IF(AC592-O592&lt;=DORA_H_DET/24,MIN(AC592+DORA_H_CLA/24,O592+DORA_H_DET/24),AC592+DORA_H_CLA/24)))</f>
        <v/>
      </c>
      <c r="BS592" s="35" t="str">
        <f aca="true">IF(BR592="","",IF(AD592="",IF(NOW()&gt;BR592,0,""),IF(AD592&lt;=BR592,1,0)))</f>
        <v/>
      </c>
      <c r="BT592" s="35" t="str">
        <f aca="true">IF(OR(BR592="",AD592=""),"",IF(AE592="",IF(NOW()&gt;AD592+DORA_H_INT/24,0,""),IF(AE592&lt;=AD592+DORA_H_INT/24,1,0)))</f>
        <v/>
      </c>
      <c r="BU592" s="35" t="str">
        <f aca="true">IF(OR(BR592="",AE592=""),"",IF(AF592="",IF(NOW()&gt;EDATE(AE592,DORA_M_FIN)+1,0,""),IF(AF592&lt;=EDATE(AE592,DORA_M_FIN),1,0)))</f>
        <v/>
      </c>
      <c r="BV592" s="35" t="str">
        <f aca="false">IF(BR592="","",IF(COUNT(BS592:BU592)=0,"",MIN(BS592:BU592)))</f>
        <v/>
      </c>
      <c r="BW592" s="40" t="str">
        <f aca="false">IF(AQ592&lt;&gt;1,"",IF(AND(AG592="",AH592=""),"",N(AG592)-N(AH592)))</f>
        <v/>
      </c>
      <c r="BX592" s="35" t="str">
        <f aca="true">IF(OR(AQ592&lt;&gt;1,AI592&lt;&gt;"Oui",AJ592=""),"",IF(AK592="",IF(NOW()&gt;AJ592+1,0,""),IF(AK592&lt;=AJ592,1,0)))</f>
        <v/>
      </c>
    </row>
    <row r="593" customFormat="false" ht="15" hidden="false" customHeight="false" outlineLevel="0" collapsed="false">
      <c r="B593" s="29"/>
      <c r="C593" s="29"/>
      <c r="D593" s="29"/>
      <c r="E593" s="29"/>
      <c r="F593" s="29"/>
      <c r="G593" s="29"/>
      <c r="H593" s="29"/>
      <c r="I593" s="29"/>
      <c r="J593" s="29"/>
      <c r="K593" s="29"/>
      <c r="L593" s="29"/>
      <c r="M593" s="29"/>
      <c r="N593" s="30"/>
      <c r="O593" s="30"/>
      <c r="P593" s="30"/>
      <c r="Q593" s="30"/>
      <c r="R593" s="30"/>
      <c r="S593" s="30"/>
      <c r="T593" s="30"/>
      <c r="U593" s="30"/>
      <c r="V593" s="31"/>
      <c r="W593" s="29"/>
      <c r="X593" s="29"/>
      <c r="Y593" s="29"/>
      <c r="Z593" s="29"/>
      <c r="AA593" s="30"/>
      <c r="AB593" s="30"/>
      <c r="AC593" s="30"/>
      <c r="AD593" s="30"/>
      <c r="AE593" s="30"/>
      <c r="AF593" s="32"/>
      <c r="AG593" s="33"/>
      <c r="AH593" s="33"/>
      <c r="AI593" s="29"/>
      <c r="AJ593" s="32"/>
      <c r="AK593" s="32"/>
      <c r="AL593" s="29"/>
      <c r="AN593" s="34" t="str">
        <f aca="false">IF($B593="","",IF(OR(C593="",D593="",E593="",G593="",I593="",J593="",L593="",O593="",P593=""),"Champ obligatoire manquant",IF(OR(AND(N593&lt;&gt;"",N593&gt;O593),O593&gt;P593,AND(Q593&lt;&gt;"",Q593&lt;P593),AND(R593&lt;&gt;"",R593&lt;P593),AND(S593&lt;&gt;"",S593&lt;R593),AND(S593&lt;&gt;"",R593=""),AND(T593&lt;&gt;"",T593&lt;O593),AND(U593&lt;&gt;"",U593&lt;O593)),"Chronologie incohérente",IF(AND(OR(L593="Résolu",L593="Clos"),R593=""),"Date de résolution manquante",IF(AND(L593="Clos",S593=""),"Date de clôture manquante",IF(AND(K593="Oui",AC593=""),"Classification DORA manquante","OK"))))))</f>
        <v/>
      </c>
      <c r="AO593" s="35" t="str">
        <f aca="false">IF($B593="","",IF(AND(C593="Incident",L593&lt;&gt;"Annulé"),1,0))</f>
        <v/>
      </c>
      <c r="AP593" s="35" t="str">
        <f aca="false">IF($B593="","",IF(AND(C593="Quasi-incident",L593&lt;&gt;"Annulé"),1,0))</f>
        <v/>
      </c>
      <c r="AQ593" s="35" t="str">
        <f aca="false">IF($B593="","",AO593+AP593)</f>
        <v/>
      </c>
      <c r="AR593" s="36" t="str">
        <f aca="false">IF(OR($B593="",J593=""),"",IFERROR(VALUE(LEFT(J593,1)),""))</f>
        <v/>
      </c>
      <c r="AS593" s="35" t="str">
        <f aca="false">IF(OR(AO593&lt;&gt;1,G593=""),"",IFERROR(IF(INDEX(L_SrcInterne,MATCH(G593,L_Sources,0))="Oui",1,0),""))</f>
        <v/>
      </c>
      <c r="AT593" s="37" t="str">
        <f aca="false">IF(AO593&lt;&gt;1,"",IFERROR(ROUND(IF(OR(N593="",O593=""),"",IF(O593&lt;N593,"",ROUND(((NETWORKDAYS(N593,O593,JoursFeries)-1)*(HFer-HOuv)+IF(NETWORKDAYS(O593,O593,JoursFeries),MEDIAN(MOD(O593,1),HFer,HOuv),HFer)-IF(NETWORKDAYS(N593,N593,JoursFeries),MEDIAN(MOD(N593,1),HFer,HOuv),HOuv))*24,4)))/HJour,4),""))</f>
        <v/>
      </c>
      <c r="AU593" s="37" t="str">
        <f aca="false">IF(AO593&lt;&gt;1,"",IF(OR(O593="",P593=""),"",IF(P593&lt;O593,"",ROUND(((NETWORKDAYS(O593,P593,JoursFeries)-1)*(HFer-HOuv)+IF(NETWORKDAYS(P593,P593,JoursFeries),MEDIAN(MOD(P593,1),HFer,HOuv),HFer)-IF(NETWORKDAYS(O593,O593,JoursFeries),MEDIAN(MOD(O593,1),HFer,HOuv),HOuv))*24,4))))</f>
        <v/>
      </c>
      <c r="AV593" s="37" t="str">
        <f aca="false">IF(AO593&lt;&gt;1,"",IF(OR(P593="",Q593=""),"",IF(Q593&lt;P593,"",ROUND(((NETWORKDAYS(P593,Q593,JoursFeries)-1)*(HFer-HOuv)+IF(NETWORKDAYS(Q593,Q593,JoursFeries),MEDIAN(MOD(Q593,1),HFer,HOuv),HFer)-IF(NETWORKDAYS(P593,P593,JoursFeries),MEDIAN(MOD(P593,1),HFer,HOuv),HOuv))*24,4))))</f>
        <v/>
      </c>
      <c r="AW593" s="37" t="str">
        <f aca="false">IF(AO593&lt;&gt;1,"",IFERROR(ROUND(IF(OR(P593="",R593=""),"",IF(R593&lt;P593,"",ROUND(((NETWORKDAYS(P593,R593,JoursFeries)-1)*(HFer-HOuv)+IF(NETWORKDAYS(R593,R593,JoursFeries),MEDIAN(MOD(R593,1),HFer,HOuv),HFer)-IF(NETWORKDAYS(P593,P593,JoursFeries),MEDIAN(MOD(P593,1),HFer,HOuv),HOuv))*24,4)))/HJour,4),""))</f>
        <v/>
      </c>
      <c r="AX593" s="37" t="str">
        <f aca="false">IF(AO593&lt;&gt;1,"",IFERROR(ROUND(IF(OR(P593="",S593=""),"",IF(S593&lt;P593,"",ROUND(((NETWORKDAYS(P593,S593,JoursFeries)-1)*(HFer-HOuv)+IF(NETWORKDAYS(S593,S593,JoursFeries),MEDIAN(MOD(S593,1),HFer,HOuv),HFer)-IF(NETWORKDAYS(P593,P593,JoursFeries),MEDIAN(MOD(P593,1),HFer,HOuv),HOuv))*24,4)))/HJour,4),""))</f>
        <v/>
      </c>
      <c r="AY593" s="36" t="str">
        <f aca="false">IF(OR(AO593&lt;&gt;1,AR593=""),"",INDEX(SLA_PEC,AR593))</f>
        <v/>
      </c>
      <c r="AZ593" s="35" t="str">
        <f aca="false">IF(OR(AV593="",AY593=""),"",IF(AV593&lt;=AY593,1,0))</f>
        <v/>
      </c>
      <c r="BA593" s="36" t="str">
        <f aca="false">IF(OR(AO593&lt;&gt;1,AR593=""),"",INDEX(SLA_RES,AR593))</f>
        <v/>
      </c>
      <c r="BB593" s="35" t="str">
        <f aca="false">IF(OR(AW593="",BA593=""),"",IF(AW593&lt;=BA593,1,0))</f>
        <v/>
      </c>
      <c r="BC593" s="38" t="str">
        <f aca="false">IF(OR(BA593="",P593=""),"",WORKDAY(INT(P593),BA593,JoursFeries)+MOD(P593,1))</f>
        <v/>
      </c>
      <c r="BD593" s="39" t="str">
        <f aca="false">IF(AO593&lt;&gt;1,"",IF(OR(AB593&lt;&gt;"",AD593&lt;&gt;""),4,IF(U593&lt;&gt;"",3,IF(T593&lt;&gt;"",2,1))))</f>
        <v/>
      </c>
      <c r="BE593" s="39" t="str">
        <f aca="false">IF(OR(AO593&lt;&gt;1,AR593=""),"",INDEX(NIV_REQ,AR593))</f>
        <v/>
      </c>
      <c r="BF593" s="39" t="str">
        <f aca="false">IF(BE593="","",MAX(BE593,IF(OR(K593="Oui",Z593="Oui"),4,1)))</f>
        <v/>
      </c>
      <c r="BG593" s="35" t="str">
        <f aca="false">IF(OR(BF593="",BD593=""),"",IF(BD593&gt;=BF593,1,0))</f>
        <v/>
      </c>
      <c r="BH593" s="38" t="str">
        <f aca="false">IF(BE593="","",IF(BE593&lt;2,"",IF(BE593=2,IF(AND(T593="",U593=""),"",MIN(T593,U593)),IF(U593="","",U593))))</f>
        <v/>
      </c>
      <c r="BI593" s="37" t="str">
        <f aca="false">IF(BH593="","",IF(OR(O593="",BH593=""),"",IF(BH593&lt;O593,"",ROUND(((NETWORKDAYS(O593,BH593,JoursFeries)-1)*(HFer-HOuv)+IF(NETWORKDAYS(BH593,BH593,JoursFeries),MEDIAN(MOD(BH593,1),HFer,HOuv),HFer)-IF(NETWORKDAYS(O593,O593,JoursFeries),MEDIAN(MOD(O593,1),HFer,HOuv),HOuv))*24,4))))</f>
        <v/>
      </c>
      <c r="BJ593" s="35" t="str">
        <f aca="false">IF(OR(BI593="",AR593=""),"",IF(BI593&lt;=INDEX(DELAI_ESC,AR593),1,0))</f>
        <v/>
      </c>
      <c r="BK593" s="38" t="str">
        <f aca="false">IF(AO593&lt;&gt;1,"",IF(AND(T593="",U593=""),"",MIN(T593,U593)))</f>
        <v/>
      </c>
      <c r="BL593" s="37" t="str">
        <f aca="false">IF(OR(BK593="",R593=""),"",IFERROR(ROUND(IF(OR(BK593="",R593=""),"",IF(R593&lt;BK593,"",ROUND(((NETWORKDAYS(BK593,R593,JoursFeries)-1)*(HFer-HOuv)+IF(NETWORKDAYS(R593,R593,JoursFeries),MEDIAN(MOD(R593,1),HFer,HOuv),HFer)-IF(NETWORKDAYS(BK593,BK593,JoursFeries),MEDIAN(MOD(BK593,1),HFer,HOuv),HOuv))*24,4)))/HJour,4),""))</f>
        <v/>
      </c>
      <c r="BM593" s="35" t="str">
        <f aca="false">IF(OR(AO593&lt;&gt;1,R593=""),"",IF(BD593=1,1,0))</f>
        <v/>
      </c>
      <c r="BN593" s="35" t="str">
        <f aca="false">IF(AO593&lt;&gt;1,"",IF(W593="Oui",1,0))</f>
        <v/>
      </c>
      <c r="BO593" s="35" t="str">
        <f aca="false">IF(AO593&lt;&gt;1,"",IF(X593&lt;&gt;"",1,0))</f>
        <v/>
      </c>
      <c r="BP593" s="35" t="str">
        <f aca="false">IF(AO593&lt;&gt;1,"",IF(Y593="Oui",1,0))</f>
        <v/>
      </c>
      <c r="BQ593" s="35" t="str">
        <f aca="true">IF(OR(AO593&lt;&gt;1,Z593&lt;&gt;"Oui"),"",IF(AB593="",IF(AND(AA593&lt;&gt;"",NOW()&gt;AA593),0,""),IF(AA593="","",IF(AB593&lt;=AA593,1,0))))</f>
        <v/>
      </c>
      <c r="BR593" s="38" t="str">
        <f aca="false">IF(OR(AO593&lt;&gt;1,K593&lt;&gt;"Oui",O593=""),"",IF(AC593="",O593+DORA_H_DET/24,IF(AC593-O593&lt;=DORA_H_DET/24,MIN(AC593+DORA_H_CLA/24,O593+DORA_H_DET/24),AC593+DORA_H_CLA/24)))</f>
        <v/>
      </c>
      <c r="BS593" s="35" t="str">
        <f aca="true">IF(BR593="","",IF(AD593="",IF(NOW()&gt;BR593,0,""),IF(AD593&lt;=BR593,1,0)))</f>
        <v/>
      </c>
      <c r="BT593" s="35" t="str">
        <f aca="true">IF(OR(BR593="",AD593=""),"",IF(AE593="",IF(NOW()&gt;AD593+DORA_H_INT/24,0,""),IF(AE593&lt;=AD593+DORA_H_INT/24,1,0)))</f>
        <v/>
      </c>
      <c r="BU593" s="35" t="str">
        <f aca="true">IF(OR(BR593="",AE593=""),"",IF(AF593="",IF(NOW()&gt;EDATE(AE593,DORA_M_FIN)+1,0,""),IF(AF593&lt;=EDATE(AE593,DORA_M_FIN),1,0)))</f>
        <v/>
      </c>
      <c r="BV593" s="35" t="str">
        <f aca="false">IF(BR593="","",IF(COUNT(BS593:BU593)=0,"",MIN(BS593:BU593)))</f>
        <v/>
      </c>
      <c r="BW593" s="40" t="str">
        <f aca="false">IF(AQ593&lt;&gt;1,"",IF(AND(AG593="",AH593=""),"",N(AG593)-N(AH593)))</f>
        <v/>
      </c>
      <c r="BX593" s="35" t="str">
        <f aca="true">IF(OR(AQ593&lt;&gt;1,AI593&lt;&gt;"Oui",AJ593=""),"",IF(AK593="",IF(NOW()&gt;AJ593+1,0,""),IF(AK593&lt;=AJ593,1,0)))</f>
        <v/>
      </c>
    </row>
    <row r="594" customFormat="false" ht="15" hidden="false" customHeight="false" outlineLevel="0" collapsed="false">
      <c r="B594" s="29"/>
      <c r="C594" s="29"/>
      <c r="D594" s="29"/>
      <c r="E594" s="29"/>
      <c r="F594" s="29"/>
      <c r="G594" s="29"/>
      <c r="H594" s="29"/>
      <c r="I594" s="29"/>
      <c r="J594" s="29"/>
      <c r="K594" s="29"/>
      <c r="L594" s="29"/>
      <c r="M594" s="29"/>
      <c r="N594" s="30"/>
      <c r="O594" s="30"/>
      <c r="P594" s="30"/>
      <c r="Q594" s="30"/>
      <c r="R594" s="30"/>
      <c r="S594" s="30"/>
      <c r="T594" s="30"/>
      <c r="U594" s="30"/>
      <c r="V594" s="31"/>
      <c r="W594" s="29"/>
      <c r="X594" s="29"/>
      <c r="Y594" s="29"/>
      <c r="Z594" s="29"/>
      <c r="AA594" s="30"/>
      <c r="AB594" s="30"/>
      <c r="AC594" s="30"/>
      <c r="AD594" s="30"/>
      <c r="AE594" s="30"/>
      <c r="AF594" s="32"/>
      <c r="AG594" s="33"/>
      <c r="AH594" s="33"/>
      <c r="AI594" s="29"/>
      <c r="AJ594" s="32"/>
      <c r="AK594" s="32"/>
      <c r="AL594" s="29"/>
      <c r="AN594" s="34" t="str">
        <f aca="false">IF($B594="","",IF(OR(C594="",D594="",E594="",G594="",I594="",J594="",L594="",O594="",P594=""),"Champ obligatoire manquant",IF(OR(AND(N594&lt;&gt;"",N594&gt;O594),O594&gt;P594,AND(Q594&lt;&gt;"",Q594&lt;P594),AND(R594&lt;&gt;"",R594&lt;P594),AND(S594&lt;&gt;"",S594&lt;R594),AND(S594&lt;&gt;"",R594=""),AND(T594&lt;&gt;"",T594&lt;O594),AND(U594&lt;&gt;"",U594&lt;O594)),"Chronologie incohérente",IF(AND(OR(L594="Résolu",L594="Clos"),R594=""),"Date de résolution manquante",IF(AND(L594="Clos",S594=""),"Date de clôture manquante",IF(AND(K594="Oui",AC594=""),"Classification DORA manquante","OK"))))))</f>
        <v/>
      </c>
      <c r="AO594" s="35" t="str">
        <f aca="false">IF($B594="","",IF(AND(C594="Incident",L594&lt;&gt;"Annulé"),1,0))</f>
        <v/>
      </c>
      <c r="AP594" s="35" t="str">
        <f aca="false">IF($B594="","",IF(AND(C594="Quasi-incident",L594&lt;&gt;"Annulé"),1,0))</f>
        <v/>
      </c>
      <c r="AQ594" s="35" t="str">
        <f aca="false">IF($B594="","",AO594+AP594)</f>
        <v/>
      </c>
      <c r="AR594" s="36" t="str">
        <f aca="false">IF(OR($B594="",J594=""),"",IFERROR(VALUE(LEFT(J594,1)),""))</f>
        <v/>
      </c>
      <c r="AS594" s="35" t="str">
        <f aca="false">IF(OR(AO594&lt;&gt;1,G594=""),"",IFERROR(IF(INDEX(L_SrcInterne,MATCH(G594,L_Sources,0))="Oui",1,0),""))</f>
        <v/>
      </c>
      <c r="AT594" s="37" t="str">
        <f aca="false">IF(AO594&lt;&gt;1,"",IFERROR(ROUND(IF(OR(N594="",O594=""),"",IF(O594&lt;N594,"",ROUND(((NETWORKDAYS(N594,O594,JoursFeries)-1)*(HFer-HOuv)+IF(NETWORKDAYS(O594,O594,JoursFeries),MEDIAN(MOD(O594,1),HFer,HOuv),HFer)-IF(NETWORKDAYS(N594,N594,JoursFeries),MEDIAN(MOD(N594,1),HFer,HOuv),HOuv))*24,4)))/HJour,4),""))</f>
        <v/>
      </c>
      <c r="AU594" s="37" t="str">
        <f aca="false">IF(AO594&lt;&gt;1,"",IF(OR(O594="",P594=""),"",IF(P594&lt;O594,"",ROUND(((NETWORKDAYS(O594,P594,JoursFeries)-1)*(HFer-HOuv)+IF(NETWORKDAYS(P594,P594,JoursFeries),MEDIAN(MOD(P594,1),HFer,HOuv),HFer)-IF(NETWORKDAYS(O594,O594,JoursFeries),MEDIAN(MOD(O594,1),HFer,HOuv),HOuv))*24,4))))</f>
        <v/>
      </c>
      <c r="AV594" s="37" t="str">
        <f aca="false">IF(AO594&lt;&gt;1,"",IF(OR(P594="",Q594=""),"",IF(Q594&lt;P594,"",ROUND(((NETWORKDAYS(P594,Q594,JoursFeries)-1)*(HFer-HOuv)+IF(NETWORKDAYS(Q594,Q594,JoursFeries),MEDIAN(MOD(Q594,1),HFer,HOuv),HFer)-IF(NETWORKDAYS(P594,P594,JoursFeries),MEDIAN(MOD(P594,1),HFer,HOuv),HOuv))*24,4))))</f>
        <v/>
      </c>
      <c r="AW594" s="37" t="str">
        <f aca="false">IF(AO594&lt;&gt;1,"",IFERROR(ROUND(IF(OR(P594="",R594=""),"",IF(R594&lt;P594,"",ROUND(((NETWORKDAYS(P594,R594,JoursFeries)-1)*(HFer-HOuv)+IF(NETWORKDAYS(R594,R594,JoursFeries),MEDIAN(MOD(R594,1),HFer,HOuv),HFer)-IF(NETWORKDAYS(P594,P594,JoursFeries),MEDIAN(MOD(P594,1),HFer,HOuv),HOuv))*24,4)))/HJour,4),""))</f>
        <v/>
      </c>
      <c r="AX594" s="37" t="str">
        <f aca="false">IF(AO594&lt;&gt;1,"",IFERROR(ROUND(IF(OR(P594="",S594=""),"",IF(S594&lt;P594,"",ROUND(((NETWORKDAYS(P594,S594,JoursFeries)-1)*(HFer-HOuv)+IF(NETWORKDAYS(S594,S594,JoursFeries),MEDIAN(MOD(S594,1),HFer,HOuv),HFer)-IF(NETWORKDAYS(P594,P594,JoursFeries),MEDIAN(MOD(P594,1),HFer,HOuv),HOuv))*24,4)))/HJour,4),""))</f>
        <v/>
      </c>
      <c r="AY594" s="36" t="str">
        <f aca="false">IF(OR(AO594&lt;&gt;1,AR594=""),"",INDEX(SLA_PEC,AR594))</f>
        <v/>
      </c>
      <c r="AZ594" s="35" t="str">
        <f aca="false">IF(OR(AV594="",AY594=""),"",IF(AV594&lt;=AY594,1,0))</f>
        <v/>
      </c>
      <c r="BA594" s="36" t="str">
        <f aca="false">IF(OR(AO594&lt;&gt;1,AR594=""),"",INDEX(SLA_RES,AR594))</f>
        <v/>
      </c>
      <c r="BB594" s="35" t="str">
        <f aca="false">IF(OR(AW594="",BA594=""),"",IF(AW594&lt;=BA594,1,0))</f>
        <v/>
      </c>
      <c r="BC594" s="38" t="str">
        <f aca="false">IF(OR(BA594="",P594=""),"",WORKDAY(INT(P594),BA594,JoursFeries)+MOD(P594,1))</f>
        <v/>
      </c>
      <c r="BD594" s="39" t="str">
        <f aca="false">IF(AO594&lt;&gt;1,"",IF(OR(AB594&lt;&gt;"",AD594&lt;&gt;""),4,IF(U594&lt;&gt;"",3,IF(T594&lt;&gt;"",2,1))))</f>
        <v/>
      </c>
      <c r="BE594" s="39" t="str">
        <f aca="false">IF(OR(AO594&lt;&gt;1,AR594=""),"",INDEX(NIV_REQ,AR594))</f>
        <v/>
      </c>
      <c r="BF594" s="39" t="str">
        <f aca="false">IF(BE594="","",MAX(BE594,IF(OR(K594="Oui",Z594="Oui"),4,1)))</f>
        <v/>
      </c>
      <c r="BG594" s="35" t="str">
        <f aca="false">IF(OR(BF594="",BD594=""),"",IF(BD594&gt;=BF594,1,0))</f>
        <v/>
      </c>
      <c r="BH594" s="38" t="str">
        <f aca="false">IF(BE594="","",IF(BE594&lt;2,"",IF(BE594=2,IF(AND(T594="",U594=""),"",MIN(T594,U594)),IF(U594="","",U594))))</f>
        <v/>
      </c>
      <c r="BI594" s="37" t="str">
        <f aca="false">IF(BH594="","",IF(OR(O594="",BH594=""),"",IF(BH594&lt;O594,"",ROUND(((NETWORKDAYS(O594,BH594,JoursFeries)-1)*(HFer-HOuv)+IF(NETWORKDAYS(BH594,BH594,JoursFeries),MEDIAN(MOD(BH594,1),HFer,HOuv),HFer)-IF(NETWORKDAYS(O594,O594,JoursFeries),MEDIAN(MOD(O594,1),HFer,HOuv),HOuv))*24,4))))</f>
        <v/>
      </c>
      <c r="BJ594" s="35" t="str">
        <f aca="false">IF(OR(BI594="",AR594=""),"",IF(BI594&lt;=INDEX(DELAI_ESC,AR594),1,0))</f>
        <v/>
      </c>
      <c r="BK594" s="38" t="str">
        <f aca="false">IF(AO594&lt;&gt;1,"",IF(AND(T594="",U594=""),"",MIN(T594,U594)))</f>
        <v/>
      </c>
      <c r="BL594" s="37" t="str">
        <f aca="false">IF(OR(BK594="",R594=""),"",IFERROR(ROUND(IF(OR(BK594="",R594=""),"",IF(R594&lt;BK594,"",ROUND(((NETWORKDAYS(BK594,R594,JoursFeries)-1)*(HFer-HOuv)+IF(NETWORKDAYS(R594,R594,JoursFeries),MEDIAN(MOD(R594,1),HFer,HOuv),HFer)-IF(NETWORKDAYS(BK594,BK594,JoursFeries),MEDIAN(MOD(BK594,1),HFer,HOuv),HOuv))*24,4)))/HJour,4),""))</f>
        <v/>
      </c>
      <c r="BM594" s="35" t="str">
        <f aca="false">IF(OR(AO594&lt;&gt;1,R594=""),"",IF(BD594=1,1,0))</f>
        <v/>
      </c>
      <c r="BN594" s="35" t="str">
        <f aca="false">IF(AO594&lt;&gt;1,"",IF(W594="Oui",1,0))</f>
        <v/>
      </c>
      <c r="BO594" s="35" t="str">
        <f aca="false">IF(AO594&lt;&gt;1,"",IF(X594&lt;&gt;"",1,0))</f>
        <v/>
      </c>
      <c r="BP594" s="35" t="str">
        <f aca="false">IF(AO594&lt;&gt;1,"",IF(Y594="Oui",1,0))</f>
        <v/>
      </c>
      <c r="BQ594" s="35" t="str">
        <f aca="true">IF(OR(AO594&lt;&gt;1,Z594&lt;&gt;"Oui"),"",IF(AB594="",IF(AND(AA594&lt;&gt;"",NOW()&gt;AA594),0,""),IF(AA594="","",IF(AB594&lt;=AA594,1,0))))</f>
        <v/>
      </c>
      <c r="BR594" s="38" t="str">
        <f aca="false">IF(OR(AO594&lt;&gt;1,K594&lt;&gt;"Oui",O594=""),"",IF(AC594="",O594+DORA_H_DET/24,IF(AC594-O594&lt;=DORA_H_DET/24,MIN(AC594+DORA_H_CLA/24,O594+DORA_H_DET/24),AC594+DORA_H_CLA/24)))</f>
        <v/>
      </c>
      <c r="BS594" s="35" t="str">
        <f aca="true">IF(BR594="","",IF(AD594="",IF(NOW()&gt;BR594,0,""),IF(AD594&lt;=BR594,1,0)))</f>
        <v/>
      </c>
      <c r="BT594" s="35" t="str">
        <f aca="true">IF(OR(BR594="",AD594=""),"",IF(AE594="",IF(NOW()&gt;AD594+DORA_H_INT/24,0,""),IF(AE594&lt;=AD594+DORA_H_INT/24,1,0)))</f>
        <v/>
      </c>
      <c r="BU594" s="35" t="str">
        <f aca="true">IF(OR(BR594="",AE594=""),"",IF(AF594="",IF(NOW()&gt;EDATE(AE594,DORA_M_FIN)+1,0,""),IF(AF594&lt;=EDATE(AE594,DORA_M_FIN),1,0)))</f>
        <v/>
      </c>
      <c r="BV594" s="35" t="str">
        <f aca="false">IF(BR594="","",IF(COUNT(BS594:BU594)=0,"",MIN(BS594:BU594)))</f>
        <v/>
      </c>
      <c r="BW594" s="40" t="str">
        <f aca="false">IF(AQ594&lt;&gt;1,"",IF(AND(AG594="",AH594=""),"",N(AG594)-N(AH594)))</f>
        <v/>
      </c>
      <c r="BX594" s="35" t="str">
        <f aca="true">IF(OR(AQ594&lt;&gt;1,AI594&lt;&gt;"Oui",AJ594=""),"",IF(AK594="",IF(NOW()&gt;AJ594+1,0,""),IF(AK594&lt;=AJ594,1,0)))</f>
        <v/>
      </c>
    </row>
    <row r="595" customFormat="false" ht="15" hidden="false" customHeight="false" outlineLevel="0" collapsed="false">
      <c r="B595" s="29"/>
      <c r="C595" s="29"/>
      <c r="D595" s="29"/>
      <c r="E595" s="29"/>
      <c r="F595" s="29"/>
      <c r="G595" s="29"/>
      <c r="H595" s="29"/>
      <c r="I595" s="29"/>
      <c r="J595" s="29"/>
      <c r="K595" s="29"/>
      <c r="L595" s="29"/>
      <c r="M595" s="29"/>
      <c r="N595" s="30"/>
      <c r="O595" s="30"/>
      <c r="P595" s="30"/>
      <c r="Q595" s="30"/>
      <c r="R595" s="30"/>
      <c r="S595" s="30"/>
      <c r="T595" s="30"/>
      <c r="U595" s="30"/>
      <c r="V595" s="31"/>
      <c r="W595" s="29"/>
      <c r="X595" s="29"/>
      <c r="Y595" s="29"/>
      <c r="Z595" s="29"/>
      <c r="AA595" s="30"/>
      <c r="AB595" s="30"/>
      <c r="AC595" s="30"/>
      <c r="AD595" s="30"/>
      <c r="AE595" s="30"/>
      <c r="AF595" s="32"/>
      <c r="AG595" s="33"/>
      <c r="AH595" s="33"/>
      <c r="AI595" s="29"/>
      <c r="AJ595" s="32"/>
      <c r="AK595" s="32"/>
      <c r="AL595" s="29"/>
      <c r="AN595" s="34" t="str">
        <f aca="false">IF($B595="","",IF(OR(C595="",D595="",E595="",G595="",I595="",J595="",L595="",O595="",P595=""),"Champ obligatoire manquant",IF(OR(AND(N595&lt;&gt;"",N595&gt;O595),O595&gt;P595,AND(Q595&lt;&gt;"",Q595&lt;P595),AND(R595&lt;&gt;"",R595&lt;P595),AND(S595&lt;&gt;"",S595&lt;R595),AND(S595&lt;&gt;"",R595=""),AND(T595&lt;&gt;"",T595&lt;O595),AND(U595&lt;&gt;"",U595&lt;O595)),"Chronologie incohérente",IF(AND(OR(L595="Résolu",L595="Clos"),R595=""),"Date de résolution manquante",IF(AND(L595="Clos",S595=""),"Date de clôture manquante",IF(AND(K595="Oui",AC595=""),"Classification DORA manquante","OK"))))))</f>
        <v/>
      </c>
      <c r="AO595" s="35" t="str">
        <f aca="false">IF($B595="","",IF(AND(C595="Incident",L595&lt;&gt;"Annulé"),1,0))</f>
        <v/>
      </c>
      <c r="AP595" s="35" t="str">
        <f aca="false">IF($B595="","",IF(AND(C595="Quasi-incident",L595&lt;&gt;"Annulé"),1,0))</f>
        <v/>
      </c>
      <c r="AQ595" s="35" t="str">
        <f aca="false">IF($B595="","",AO595+AP595)</f>
        <v/>
      </c>
      <c r="AR595" s="36" t="str">
        <f aca="false">IF(OR($B595="",J595=""),"",IFERROR(VALUE(LEFT(J595,1)),""))</f>
        <v/>
      </c>
      <c r="AS595" s="35" t="str">
        <f aca="false">IF(OR(AO595&lt;&gt;1,G595=""),"",IFERROR(IF(INDEX(L_SrcInterne,MATCH(G595,L_Sources,0))="Oui",1,0),""))</f>
        <v/>
      </c>
      <c r="AT595" s="37" t="str">
        <f aca="false">IF(AO595&lt;&gt;1,"",IFERROR(ROUND(IF(OR(N595="",O595=""),"",IF(O595&lt;N595,"",ROUND(((NETWORKDAYS(N595,O595,JoursFeries)-1)*(HFer-HOuv)+IF(NETWORKDAYS(O595,O595,JoursFeries),MEDIAN(MOD(O595,1),HFer,HOuv),HFer)-IF(NETWORKDAYS(N595,N595,JoursFeries),MEDIAN(MOD(N595,1),HFer,HOuv),HOuv))*24,4)))/HJour,4),""))</f>
        <v/>
      </c>
      <c r="AU595" s="37" t="str">
        <f aca="false">IF(AO595&lt;&gt;1,"",IF(OR(O595="",P595=""),"",IF(P595&lt;O595,"",ROUND(((NETWORKDAYS(O595,P595,JoursFeries)-1)*(HFer-HOuv)+IF(NETWORKDAYS(P595,P595,JoursFeries),MEDIAN(MOD(P595,1),HFer,HOuv),HFer)-IF(NETWORKDAYS(O595,O595,JoursFeries),MEDIAN(MOD(O595,1),HFer,HOuv),HOuv))*24,4))))</f>
        <v/>
      </c>
      <c r="AV595" s="37" t="str">
        <f aca="false">IF(AO595&lt;&gt;1,"",IF(OR(P595="",Q595=""),"",IF(Q595&lt;P595,"",ROUND(((NETWORKDAYS(P595,Q595,JoursFeries)-1)*(HFer-HOuv)+IF(NETWORKDAYS(Q595,Q595,JoursFeries),MEDIAN(MOD(Q595,1),HFer,HOuv),HFer)-IF(NETWORKDAYS(P595,P595,JoursFeries),MEDIAN(MOD(P595,1),HFer,HOuv),HOuv))*24,4))))</f>
        <v/>
      </c>
      <c r="AW595" s="37" t="str">
        <f aca="false">IF(AO595&lt;&gt;1,"",IFERROR(ROUND(IF(OR(P595="",R595=""),"",IF(R595&lt;P595,"",ROUND(((NETWORKDAYS(P595,R595,JoursFeries)-1)*(HFer-HOuv)+IF(NETWORKDAYS(R595,R595,JoursFeries),MEDIAN(MOD(R595,1),HFer,HOuv),HFer)-IF(NETWORKDAYS(P595,P595,JoursFeries),MEDIAN(MOD(P595,1),HFer,HOuv),HOuv))*24,4)))/HJour,4),""))</f>
        <v/>
      </c>
      <c r="AX595" s="37" t="str">
        <f aca="false">IF(AO595&lt;&gt;1,"",IFERROR(ROUND(IF(OR(P595="",S595=""),"",IF(S595&lt;P595,"",ROUND(((NETWORKDAYS(P595,S595,JoursFeries)-1)*(HFer-HOuv)+IF(NETWORKDAYS(S595,S595,JoursFeries),MEDIAN(MOD(S595,1),HFer,HOuv),HFer)-IF(NETWORKDAYS(P595,P595,JoursFeries),MEDIAN(MOD(P595,1),HFer,HOuv),HOuv))*24,4)))/HJour,4),""))</f>
        <v/>
      </c>
      <c r="AY595" s="36" t="str">
        <f aca="false">IF(OR(AO595&lt;&gt;1,AR595=""),"",INDEX(SLA_PEC,AR595))</f>
        <v/>
      </c>
      <c r="AZ595" s="35" t="str">
        <f aca="false">IF(OR(AV595="",AY595=""),"",IF(AV595&lt;=AY595,1,0))</f>
        <v/>
      </c>
      <c r="BA595" s="36" t="str">
        <f aca="false">IF(OR(AO595&lt;&gt;1,AR595=""),"",INDEX(SLA_RES,AR595))</f>
        <v/>
      </c>
      <c r="BB595" s="35" t="str">
        <f aca="false">IF(OR(AW595="",BA595=""),"",IF(AW595&lt;=BA595,1,0))</f>
        <v/>
      </c>
      <c r="BC595" s="38" t="str">
        <f aca="false">IF(OR(BA595="",P595=""),"",WORKDAY(INT(P595),BA595,JoursFeries)+MOD(P595,1))</f>
        <v/>
      </c>
      <c r="BD595" s="39" t="str">
        <f aca="false">IF(AO595&lt;&gt;1,"",IF(OR(AB595&lt;&gt;"",AD595&lt;&gt;""),4,IF(U595&lt;&gt;"",3,IF(T595&lt;&gt;"",2,1))))</f>
        <v/>
      </c>
      <c r="BE595" s="39" t="str">
        <f aca="false">IF(OR(AO595&lt;&gt;1,AR595=""),"",INDEX(NIV_REQ,AR595))</f>
        <v/>
      </c>
      <c r="BF595" s="39" t="str">
        <f aca="false">IF(BE595="","",MAX(BE595,IF(OR(K595="Oui",Z595="Oui"),4,1)))</f>
        <v/>
      </c>
      <c r="BG595" s="35" t="str">
        <f aca="false">IF(OR(BF595="",BD595=""),"",IF(BD595&gt;=BF595,1,0))</f>
        <v/>
      </c>
      <c r="BH595" s="38" t="str">
        <f aca="false">IF(BE595="","",IF(BE595&lt;2,"",IF(BE595=2,IF(AND(T595="",U595=""),"",MIN(T595,U595)),IF(U595="","",U595))))</f>
        <v/>
      </c>
      <c r="BI595" s="37" t="str">
        <f aca="false">IF(BH595="","",IF(OR(O595="",BH595=""),"",IF(BH595&lt;O595,"",ROUND(((NETWORKDAYS(O595,BH595,JoursFeries)-1)*(HFer-HOuv)+IF(NETWORKDAYS(BH595,BH595,JoursFeries),MEDIAN(MOD(BH595,1),HFer,HOuv),HFer)-IF(NETWORKDAYS(O595,O595,JoursFeries),MEDIAN(MOD(O595,1),HFer,HOuv),HOuv))*24,4))))</f>
        <v/>
      </c>
      <c r="BJ595" s="35" t="str">
        <f aca="false">IF(OR(BI595="",AR595=""),"",IF(BI595&lt;=INDEX(DELAI_ESC,AR595),1,0))</f>
        <v/>
      </c>
      <c r="BK595" s="38" t="str">
        <f aca="false">IF(AO595&lt;&gt;1,"",IF(AND(T595="",U595=""),"",MIN(T595,U595)))</f>
        <v/>
      </c>
      <c r="BL595" s="37" t="str">
        <f aca="false">IF(OR(BK595="",R595=""),"",IFERROR(ROUND(IF(OR(BK595="",R595=""),"",IF(R595&lt;BK595,"",ROUND(((NETWORKDAYS(BK595,R595,JoursFeries)-1)*(HFer-HOuv)+IF(NETWORKDAYS(R595,R595,JoursFeries),MEDIAN(MOD(R595,1),HFer,HOuv),HFer)-IF(NETWORKDAYS(BK595,BK595,JoursFeries),MEDIAN(MOD(BK595,1),HFer,HOuv),HOuv))*24,4)))/HJour,4),""))</f>
        <v/>
      </c>
      <c r="BM595" s="35" t="str">
        <f aca="false">IF(OR(AO595&lt;&gt;1,R595=""),"",IF(BD595=1,1,0))</f>
        <v/>
      </c>
      <c r="BN595" s="35" t="str">
        <f aca="false">IF(AO595&lt;&gt;1,"",IF(W595="Oui",1,0))</f>
        <v/>
      </c>
      <c r="BO595" s="35" t="str">
        <f aca="false">IF(AO595&lt;&gt;1,"",IF(X595&lt;&gt;"",1,0))</f>
        <v/>
      </c>
      <c r="BP595" s="35" t="str">
        <f aca="false">IF(AO595&lt;&gt;1,"",IF(Y595="Oui",1,0))</f>
        <v/>
      </c>
      <c r="BQ595" s="35" t="str">
        <f aca="true">IF(OR(AO595&lt;&gt;1,Z595&lt;&gt;"Oui"),"",IF(AB595="",IF(AND(AA595&lt;&gt;"",NOW()&gt;AA595),0,""),IF(AA595="","",IF(AB595&lt;=AA595,1,0))))</f>
        <v/>
      </c>
      <c r="BR595" s="38" t="str">
        <f aca="false">IF(OR(AO595&lt;&gt;1,K595&lt;&gt;"Oui",O595=""),"",IF(AC595="",O595+DORA_H_DET/24,IF(AC595-O595&lt;=DORA_H_DET/24,MIN(AC595+DORA_H_CLA/24,O595+DORA_H_DET/24),AC595+DORA_H_CLA/24)))</f>
        <v/>
      </c>
      <c r="BS595" s="35" t="str">
        <f aca="true">IF(BR595="","",IF(AD595="",IF(NOW()&gt;BR595,0,""),IF(AD595&lt;=BR595,1,0)))</f>
        <v/>
      </c>
      <c r="BT595" s="35" t="str">
        <f aca="true">IF(OR(BR595="",AD595=""),"",IF(AE595="",IF(NOW()&gt;AD595+DORA_H_INT/24,0,""),IF(AE595&lt;=AD595+DORA_H_INT/24,1,0)))</f>
        <v/>
      </c>
      <c r="BU595" s="35" t="str">
        <f aca="true">IF(OR(BR595="",AE595=""),"",IF(AF595="",IF(NOW()&gt;EDATE(AE595,DORA_M_FIN)+1,0,""),IF(AF595&lt;=EDATE(AE595,DORA_M_FIN),1,0)))</f>
        <v/>
      </c>
      <c r="BV595" s="35" t="str">
        <f aca="false">IF(BR595="","",IF(COUNT(BS595:BU595)=0,"",MIN(BS595:BU595)))</f>
        <v/>
      </c>
      <c r="BW595" s="40" t="str">
        <f aca="false">IF(AQ595&lt;&gt;1,"",IF(AND(AG595="",AH595=""),"",N(AG595)-N(AH595)))</f>
        <v/>
      </c>
      <c r="BX595" s="35" t="str">
        <f aca="true">IF(OR(AQ595&lt;&gt;1,AI595&lt;&gt;"Oui",AJ595=""),"",IF(AK595="",IF(NOW()&gt;AJ595+1,0,""),IF(AK595&lt;=AJ595,1,0)))</f>
        <v/>
      </c>
    </row>
    <row r="596" customFormat="false" ht="15" hidden="false" customHeight="false" outlineLevel="0" collapsed="false">
      <c r="B596" s="29"/>
      <c r="C596" s="29"/>
      <c r="D596" s="29"/>
      <c r="E596" s="29"/>
      <c r="F596" s="29"/>
      <c r="G596" s="29"/>
      <c r="H596" s="29"/>
      <c r="I596" s="29"/>
      <c r="J596" s="29"/>
      <c r="K596" s="29"/>
      <c r="L596" s="29"/>
      <c r="M596" s="29"/>
      <c r="N596" s="30"/>
      <c r="O596" s="30"/>
      <c r="P596" s="30"/>
      <c r="Q596" s="30"/>
      <c r="R596" s="30"/>
      <c r="S596" s="30"/>
      <c r="T596" s="30"/>
      <c r="U596" s="30"/>
      <c r="V596" s="31"/>
      <c r="W596" s="29"/>
      <c r="X596" s="29"/>
      <c r="Y596" s="29"/>
      <c r="Z596" s="29"/>
      <c r="AA596" s="30"/>
      <c r="AB596" s="30"/>
      <c r="AC596" s="30"/>
      <c r="AD596" s="30"/>
      <c r="AE596" s="30"/>
      <c r="AF596" s="32"/>
      <c r="AG596" s="33"/>
      <c r="AH596" s="33"/>
      <c r="AI596" s="29"/>
      <c r="AJ596" s="32"/>
      <c r="AK596" s="32"/>
      <c r="AL596" s="29"/>
      <c r="AN596" s="34" t="str">
        <f aca="false">IF($B596="","",IF(OR(C596="",D596="",E596="",G596="",I596="",J596="",L596="",O596="",P596=""),"Champ obligatoire manquant",IF(OR(AND(N596&lt;&gt;"",N596&gt;O596),O596&gt;P596,AND(Q596&lt;&gt;"",Q596&lt;P596),AND(R596&lt;&gt;"",R596&lt;P596),AND(S596&lt;&gt;"",S596&lt;R596),AND(S596&lt;&gt;"",R596=""),AND(T596&lt;&gt;"",T596&lt;O596),AND(U596&lt;&gt;"",U596&lt;O596)),"Chronologie incohérente",IF(AND(OR(L596="Résolu",L596="Clos"),R596=""),"Date de résolution manquante",IF(AND(L596="Clos",S596=""),"Date de clôture manquante",IF(AND(K596="Oui",AC596=""),"Classification DORA manquante","OK"))))))</f>
        <v/>
      </c>
      <c r="AO596" s="35" t="str">
        <f aca="false">IF($B596="","",IF(AND(C596="Incident",L596&lt;&gt;"Annulé"),1,0))</f>
        <v/>
      </c>
      <c r="AP596" s="35" t="str">
        <f aca="false">IF($B596="","",IF(AND(C596="Quasi-incident",L596&lt;&gt;"Annulé"),1,0))</f>
        <v/>
      </c>
      <c r="AQ596" s="35" t="str">
        <f aca="false">IF($B596="","",AO596+AP596)</f>
        <v/>
      </c>
      <c r="AR596" s="36" t="str">
        <f aca="false">IF(OR($B596="",J596=""),"",IFERROR(VALUE(LEFT(J596,1)),""))</f>
        <v/>
      </c>
      <c r="AS596" s="35" t="str">
        <f aca="false">IF(OR(AO596&lt;&gt;1,G596=""),"",IFERROR(IF(INDEX(L_SrcInterne,MATCH(G596,L_Sources,0))="Oui",1,0),""))</f>
        <v/>
      </c>
      <c r="AT596" s="37" t="str">
        <f aca="false">IF(AO596&lt;&gt;1,"",IFERROR(ROUND(IF(OR(N596="",O596=""),"",IF(O596&lt;N596,"",ROUND(((NETWORKDAYS(N596,O596,JoursFeries)-1)*(HFer-HOuv)+IF(NETWORKDAYS(O596,O596,JoursFeries),MEDIAN(MOD(O596,1),HFer,HOuv),HFer)-IF(NETWORKDAYS(N596,N596,JoursFeries),MEDIAN(MOD(N596,1),HFer,HOuv),HOuv))*24,4)))/HJour,4),""))</f>
        <v/>
      </c>
      <c r="AU596" s="37" t="str">
        <f aca="false">IF(AO596&lt;&gt;1,"",IF(OR(O596="",P596=""),"",IF(P596&lt;O596,"",ROUND(((NETWORKDAYS(O596,P596,JoursFeries)-1)*(HFer-HOuv)+IF(NETWORKDAYS(P596,P596,JoursFeries),MEDIAN(MOD(P596,1),HFer,HOuv),HFer)-IF(NETWORKDAYS(O596,O596,JoursFeries),MEDIAN(MOD(O596,1),HFer,HOuv),HOuv))*24,4))))</f>
        <v/>
      </c>
      <c r="AV596" s="37" t="str">
        <f aca="false">IF(AO596&lt;&gt;1,"",IF(OR(P596="",Q596=""),"",IF(Q596&lt;P596,"",ROUND(((NETWORKDAYS(P596,Q596,JoursFeries)-1)*(HFer-HOuv)+IF(NETWORKDAYS(Q596,Q596,JoursFeries),MEDIAN(MOD(Q596,1),HFer,HOuv),HFer)-IF(NETWORKDAYS(P596,P596,JoursFeries),MEDIAN(MOD(P596,1),HFer,HOuv),HOuv))*24,4))))</f>
        <v/>
      </c>
      <c r="AW596" s="37" t="str">
        <f aca="false">IF(AO596&lt;&gt;1,"",IFERROR(ROUND(IF(OR(P596="",R596=""),"",IF(R596&lt;P596,"",ROUND(((NETWORKDAYS(P596,R596,JoursFeries)-1)*(HFer-HOuv)+IF(NETWORKDAYS(R596,R596,JoursFeries),MEDIAN(MOD(R596,1),HFer,HOuv),HFer)-IF(NETWORKDAYS(P596,P596,JoursFeries),MEDIAN(MOD(P596,1),HFer,HOuv),HOuv))*24,4)))/HJour,4),""))</f>
        <v/>
      </c>
      <c r="AX596" s="37" t="str">
        <f aca="false">IF(AO596&lt;&gt;1,"",IFERROR(ROUND(IF(OR(P596="",S596=""),"",IF(S596&lt;P596,"",ROUND(((NETWORKDAYS(P596,S596,JoursFeries)-1)*(HFer-HOuv)+IF(NETWORKDAYS(S596,S596,JoursFeries),MEDIAN(MOD(S596,1),HFer,HOuv),HFer)-IF(NETWORKDAYS(P596,P596,JoursFeries),MEDIAN(MOD(P596,1),HFer,HOuv),HOuv))*24,4)))/HJour,4),""))</f>
        <v/>
      </c>
      <c r="AY596" s="36" t="str">
        <f aca="false">IF(OR(AO596&lt;&gt;1,AR596=""),"",INDEX(SLA_PEC,AR596))</f>
        <v/>
      </c>
      <c r="AZ596" s="35" t="str">
        <f aca="false">IF(OR(AV596="",AY596=""),"",IF(AV596&lt;=AY596,1,0))</f>
        <v/>
      </c>
      <c r="BA596" s="36" t="str">
        <f aca="false">IF(OR(AO596&lt;&gt;1,AR596=""),"",INDEX(SLA_RES,AR596))</f>
        <v/>
      </c>
      <c r="BB596" s="35" t="str">
        <f aca="false">IF(OR(AW596="",BA596=""),"",IF(AW596&lt;=BA596,1,0))</f>
        <v/>
      </c>
      <c r="BC596" s="38" t="str">
        <f aca="false">IF(OR(BA596="",P596=""),"",WORKDAY(INT(P596),BA596,JoursFeries)+MOD(P596,1))</f>
        <v/>
      </c>
      <c r="BD596" s="39" t="str">
        <f aca="false">IF(AO596&lt;&gt;1,"",IF(OR(AB596&lt;&gt;"",AD596&lt;&gt;""),4,IF(U596&lt;&gt;"",3,IF(T596&lt;&gt;"",2,1))))</f>
        <v/>
      </c>
      <c r="BE596" s="39" t="str">
        <f aca="false">IF(OR(AO596&lt;&gt;1,AR596=""),"",INDEX(NIV_REQ,AR596))</f>
        <v/>
      </c>
      <c r="BF596" s="39" t="str">
        <f aca="false">IF(BE596="","",MAX(BE596,IF(OR(K596="Oui",Z596="Oui"),4,1)))</f>
        <v/>
      </c>
      <c r="BG596" s="35" t="str">
        <f aca="false">IF(OR(BF596="",BD596=""),"",IF(BD596&gt;=BF596,1,0))</f>
        <v/>
      </c>
      <c r="BH596" s="38" t="str">
        <f aca="false">IF(BE596="","",IF(BE596&lt;2,"",IF(BE596=2,IF(AND(T596="",U596=""),"",MIN(T596,U596)),IF(U596="","",U596))))</f>
        <v/>
      </c>
      <c r="BI596" s="37" t="str">
        <f aca="false">IF(BH596="","",IF(OR(O596="",BH596=""),"",IF(BH596&lt;O596,"",ROUND(((NETWORKDAYS(O596,BH596,JoursFeries)-1)*(HFer-HOuv)+IF(NETWORKDAYS(BH596,BH596,JoursFeries),MEDIAN(MOD(BH596,1),HFer,HOuv),HFer)-IF(NETWORKDAYS(O596,O596,JoursFeries),MEDIAN(MOD(O596,1),HFer,HOuv),HOuv))*24,4))))</f>
        <v/>
      </c>
      <c r="BJ596" s="35" t="str">
        <f aca="false">IF(OR(BI596="",AR596=""),"",IF(BI596&lt;=INDEX(DELAI_ESC,AR596),1,0))</f>
        <v/>
      </c>
      <c r="BK596" s="38" t="str">
        <f aca="false">IF(AO596&lt;&gt;1,"",IF(AND(T596="",U596=""),"",MIN(T596,U596)))</f>
        <v/>
      </c>
      <c r="BL596" s="37" t="str">
        <f aca="false">IF(OR(BK596="",R596=""),"",IFERROR(ROUND(IF(OR(BK596="",R596=""),"",IF(R596&lt;BK596,"",ROUND(((NETWORKDAYS(BK596,R596,JoursFeries)-1)*(HFer-HOuv)+IF(NETWORKDAYS(R596,R596,JoursFeries),MEDIAN(MOD(R596,1),HFer,HOuv),HFer)-IF(NETWORKDAYS(BK596,BK596,JoursFeries),MEDIAN(MOD(BK596,1),HFer,HOuv),HOuv))*24,4)))/HJour,4),""))</f>
        <v/>
      </c>
      <c r="BM596" s="35" t="str">
        <f aca="false">IF(OR(AO596&lt;&gt;1,R596=""),"",IF(BD596=1,1,0))</f>
        <v/>
      </c>
      <c r="BN596" s="35" t="str">
        <f aca="false">IF(AO596&lt;&gt;1,"",IF(W596="Oui",1,0))</f>
        <v/>
      </c>
      <c r="BO596" s="35" t="str">
        <f aca="false">IF(AO596&lt;&gt;1,"",IF(X596&lt;&gt;"",1,0))</f>
        <v/>
      </c>
      <c r="BP596" s="35" t="str">
        <f aca="false">IF(AO596&lt;&gt;1,"",IF(Y596="Oui",1,0))</f>
        <v/>
      </c>
      <c r="BQ596" s="35" t="str">
        <f aca="true">IF(OR(AO596&lt;&gt;1,Z596&lt;&gt;"Oui"),"",IF(AB596="",IF(AND(AA596&lt;&gt;"",NOW()&gt;AA596),0,""),IF(AA596="","",IF(AB596&lt;=AA596,1,0))))</f>
        <v/>
      </c>
      <c r="BR596" s="38" t="str">
        <f aca="false">IF(OR(AO596&lt;&gt;1,K596&lt;&gt;"Oui",O596=""),"",IF(AC596="",O596+DORA_H_DET/24,IF(AC596-O596&lt;=DORA_H_DET/24,MIN(AC596+DORA_H_CLA/24,O596+DORA_H_DET/24),AC596+DORA_H_CLA/24)))</f>
        <v/>
      </c>
      <c r="BS596" s="35" t="str">
        <f aca="true">IF(BR596="","",IF(AD596="",IF(NOW()&gt;BR596,0,""),IF(AD596&lt;=BR596,1,0)))</f>
        <v/>
      </c>
      <c r="BT596" s="35" t="str">
        <f aca="true">IF(OR(BR596="",AD596=""),"",IF(AE596="",IF(NOW()&gt;AD596+DORA_H_INT/24,0,""),IF(AE596&lt;=AD596+DORA_H_INT/24,1,0)))</f>
        <v/>
      </c>
      <c r="BU596" s="35" t="str">
        <f aca="true">IF(OR(BR596="",AE596=""),"",IF(AF596="",IF(NOW()&gt;EDATE(AE596,DORA_M_FIN)+1,0,""),IF(AF596&lt;=EDATE(AE596,DORA_M_FIN),1,0)))</f>
        <v/>
      </c>
      <c r="BV596" s="35" t="str">
        <f aca="false">IF(BR596="","",IF(COUNT(BS596:BU596)=0,"",MIN(BS596:BU596)))</f>
        <v/>
      </c>
      <c r="BW596" s="40" t="str">
        <f aca="false">IF(AQ596&lt;&gt;1,"",IF(AND(AG596="",AH596=""),"",N(AG596)-N(AH596)))</f>
        <v/>
      </c>
      <c r="BX596" s="35" t="str">
        <f aca="true">IF(OR(AQ596&lt;&gt;1,AI596&lt;&gt;"Oui",AJ596=""),"",IF(AK596="",IF(NOW()&gt;AJ596+1,0,""),IF(AK596&lt;=AJ596,1,0)))</f>
        <v/>
      </c>
    </row>
    <row r="597" customFormat="false" ht="15" hidden="false" customHeight="false" outlineLevel="0" collapsed="false">
      <c r="B597" s="29"/>
      <c r="C597" s="29"/>
      <c r="D597" s="29"/>
      <c r="E597" s="29"/>
      <c r="F597" s="29"/>
      <c r="G597" s="29"/>
      <c r="H597" s="29"/>
      <c r="I597" s="29"/>
      <c r="J597" s="29"/>
      <c r="K597" s="29"/>
      <c r="L597" s="29"/>
      <c r="M597" s="29"/>
      <c r="N597" s="30"/>
      <c r="O597" s="30"/>
      <c r="P597" s="30"/>
      <c r="Q597" s="30"/>
      <c r="R597" s="30"/>
      <c r="S597" s="30"/>
      <c r="T597" s="30"/>
      <c r="U597" s="30"/>
      <c r="V597" s="31"/>
      <c r="W597" s="29"/>
      <c r="X597" s="29"/>
      <c r="Y597" s="29"/>
      <c r="Z597" s="29"/>
      <c r="AA597" s="30"/>
      <c r="AB597" s="30"/>
      <c r="AC597" s="30"/>
      <c r="AD597" s="30"/>
      <c r="AE597" s="30"/>
      <c r="AF597" s="32"/>
      <c r="AG597" s="33"/>
      <c r="AH597" s="33"/>
      <c r="AI597" s="29"/>
      <c r="AJ597" s="32"/>
      <c r="AK597" s="32"/>
      <c r="AL597" s="29"/>
      <c r="AN597" s="34" t="str">
        <f aca="false">IF($B597="","",IF(OR(C597="",D597="",E597="",G597="",I597="",J597="",L597="",O597="",P597=""),"Champ obligatoire manquant",IF(OR(AND(N597&lt;&gt;"",N597&gt;O597),O597&gt;P597,AND(Q597&lt;&gt;"",Q597&lt;P597),AND(R597&lt;&gt;"",R597&lt;P597),AND(S597&lt;&gt;"",S597&lt;R597),AND(S597&lt;&gt;"",R597=""),AND(T597&lt;&gt;"",T597&lt;O597),AND(U597&lt;&gt;"",U597&lt;O597)),"Chronologie incohérente",IF(AND(OR(L597="Résolu",L597="Clos"),R597=""),"Date de résolution manquante",IF(AND(L597="Clos",S597=""),"Date de clôture manquante",IF(AND(K597="Oui",AC597=""),"Classification DORA manquante","OK"))))))</f>
        <v/>
      </c>
      <c r="AO597" s="35" t="str">
        <f aca="false">IF($B597="","",IF(AND(C597="Incident",L597&lt;&gt;"Annulé"),1,0))</f>
        <v/>
      </c>
      <c r="AP597" s="35" t="str">
        <f aca="false">IF($B597="","",IF(AND(C597="Quasi-incident",L597&lt;&gt;"Annulé"),1,0))</f>
        <v/>
      </c>
      <c r="AQ597" s="35" t="str">
        <f aca="false">IF($B597="","",AO597+AP597)</f>
        <v/>
      </c>
      <c r="AR597" s="36" t="str">
        <f aca="false">IF(OR($B597="",J597=""),"",IFERROR(VALUE(LEFT(J597,1)),""))</f>
        <v/>
      </c>
      <c r="AS597" s="35" t="str">
        <f aca="false">IF(OR(AO597&lt;&gt;1,G597=""),"",IFERROR(IF(INDEX(L_SrcInterne,MATCH(G597,L_Sources,0))="Oui",1,0),""))</f>
        <v/>
      </c>
      <c r="AT597" s="37" t="str">
        <f aca="false">IF(AO597&lt;&gt;1,"",IFERROR(ROUND(IF(OR(N597="",O597=""),"",IF(O597&lt;N597,"",ROUND(((NETWORKDAYS(N597,O597,JoursFeries)-1)*(HFer-HOuv)+IF(NETWORKDAYS(O597,O597,JoursFeries),MEDIAN(MOD(O597,1),HFer,HOuv),HFer)-IF(NETWORKDAYS(N597,N597,JoursFeries),MEDIAN(MOD(N597,1),HFer,HOuv),HOuv))*24,4)))/HJour,4),""))</f>
        <v/>
      </c>
      <c r="AU597" s="37" t="str">
        <f aca="false">IF(AO597&lt;&gt;1,"",IF(OR(O597="",P597=""),"",IF(P597&lt;O597,"",ROUND(((NETWORKDAYS(O597,P597,JoursFeries)-1)*(HFer-HOuv)+IF(NETWORKDAYS(P597,P597,JoursFeries),MEDIAN(MOD(P597,1),HFer,HOuv),HFer)-IF(NETWORKDAYS(O597,O597,JoursFeries),MEDIAN(MOD(O597,1),HFer,HOuv),HOuv))*24,4))))</f>
        <v/>
      </c>
      <c r="AV597" s="37" t="str">
        <f aca="false">IF(AO597&lt;&gt;1,"",IF(OR(P597="",Q597=""),"",IF(Q597&lt;P597,"",ROUND(((NETWORKDAYS(P597,Q597,JoursFeries)-1)*(HFer-HOuv)+IF(NETWORKDAYS(Q597,Q597,JoursFeries),MEDIAN(MOD(Q597,1),HFer,HOuv),HFer)-IF(NETWORKDAYS(P597,P597,JoursFeries),MEDIAN(MOD(P597,1),HFer,HOuv),HOuv))*24,4))))</f>
        <v/>
      </c>
      <c r="AW597" s="37" t="str">
        <f aca="false">IF(AO597&lt;&gt;1,"",IFERROR(ROUND(IF(OR(P597="",R597=""),"",IF(R597&lt;P597,"",ROUND(((NETWORKDAYS(P597,R597,JoursFeries)-1)*(HFer-HOuv)+IF(NETWORKDAYS(R597,R597,JoursFeries),MEDIAN(MOD(R597,1),HFer,HOuv),HFer)-IF(NETWORKDAYS(P597,P597,JoursFeries),MEDIAN(MOD(P597,1),HFer,HOuv),HOuv))*24,4)))/HJour,4),""))</f>
        <v/>
      </c>
      <c r="AX597" s="37" t="str">
        <f aca="false">IF(AO597&lt;&gt;1,"",IFERROR(ROUND(IF(OR(P597="",S597=""),"",IF(S597&lt;P597,"",ROUND(((NETWORKDAYS(P597,S597,JoursFeries)-1)*(HFer-HOuv)+IF(NETWORKDAYS(S597,S597,JoursFeries),MEDIAN(MOD(S597,1),HFer,HOuv),HFer)-IF(NETWORKDAYS(P597,P597,JoursFeries),MEDIAN(MOD(P597,1),HFer,HOuv),HOuv))*24,4)))/HJour,4),""))</f>
        <v/>
      </c>
      <c r="AY597" s="36" t="str">
        <f aca="false">IF(OR(AO597&lt;&gt;1,AR597=""),"",INDEX(SLA_PEC,AR597))</f>
        <v/>
      </c>
      <c r="AZ597" s="35" t="str">
        <f aca="false">IF(OR(AV597="",AY597=""),"",IF(AV597&lt;=AY597,1,0))</f>
        <v/>
      </c>
      <c r="BA597" s="36" t="str">
        <f aca="false">IF(OR(AO597&lt;&gt;1,AR597=""),"",INDEX(SLA_RES,AR597))</f>
        <v/>
      </c>
      <c r="BB597" s="35" t="str">
        <f aca="false">IF(OR(AW597="",BA597=""),"",IF(AW597&lt;=BA597,1,0))</f>
        <v/>
      </c>
      <c r="BC597" s="38" t="str">
        <f aca="false">IF(OR(BA597="",P597=""),"",WORKDAY(INT(P597),BA597,JoursFeries)+MOD(P597,1))</f>
        <v/>
      </c>
      <c r="BD597" s="39" t="str">
        <f aca="false">IF(AO597&lt;&gt;1,"",IF(OR(AB597&lt;&gt;"",AD597&lt;&gt;""),4,IF(U597&lt;&gt;"",3,IF(T597&lt;&gt;"",2,1))))</f>
        <v/>
      </c>
      <c r="BE597" s="39" t="str">
        <f aca="false">IF(OR(AO597&lt;&gt;1,AR597=""),"",INDEX(NIV_REQ,AR597))</f>
        <v/>
      </c>
      <c r="BF597" s="39" t="str">
        <f aca="false">IF(BE597="","",MAX(BE597,IF(OR(K597="Oui",Z597="Oui"),4,1)))</f>
        <v/>
      </c>
      <c r="BG597" s="35" t="str">
        <f aca="false">IF(OR(BF597="",BD597=""),"",IF(BD597&gt;=BF597,1,0))</f>
        <v/>
      </c>
      <c r="BH597" s="38" t="str">
        <f aca="false">IF(BE597="","",IF(BE597&lt;2,"",IF(BE597=2,IF(AND(T597="",U597=""),"",MIN(T597,U597)),IF(U597="","",U597))))</f>
        <v/>
      </c>
      <c r="BI597" s="37" t="str">
        <f aca="false">IF(BH597="","",IF(OR(O597="",BH597=""),"",IF(BH597&lt;O597,"",ROUND(((NETWORKDAYS(O597,BH597,JoursFeries)-1)*(HFer-HOuv)+IF(NETWORKDAYS(BH597,BH597,JoursFeries),MEDIAN(MOD(BH597,1),HFer,HOuv),HFer)-IF(NETWORKDAYS(O597,O597,JoursFeries),MEDIAN(MOD(O597,1),HFer,HOuv),HOuv))*24,4))))</f>
        <v/>
      </c>
      <c r="BJ597" s="35" t="str">
        <f aca="false">IF(OR(BI597="",AR597=""),"",IF(BI597&lt;=INDEX(DELAI_ESC,AR597),1,0))</f>
        <v/>
      </c>
      <c r="BK597" s="38" t="str">
        <f aca="false">IF(AO597&lt;&gt;1,"",IF(AND(T597="",U597=""),"",MIN(T597,U597)))</f>
        <v/>
      </c>
      <c r="BL597" s="37" t="str">
        <f aca="false">IF(OR(BK597="",R597=""),"",IFERROR(ROUND(IF(OR(BK597="",R597=""),"",IF(R597&lt;BK597,"",ROUND(((NETWORKDAYS(BK597,R597,JoursFeries)-1)*(HFer-HOuv)+IF(NETWORKDAYS(R597,R597,JoursFeries),MEDIAN(MOD(R597,1),HFer,HOuv),HFer)-IF(NETWORKDAYS(BK597,BK597,JoursFeries),MEDIAN(MOD(BK597,1),HFer,HOuv),HOuv))*24,4)))/HJour,4),""))</f>
        <v/>
      </c>
      <c r="BM597" s="35" t="str">
        <f aca="false">IF(OR(AO597&lt;&gt;1,R597=""),"",IF(BD597=1,1,0))</f>
        <v/>
      </c>
      <c r="BN597" s="35" t="str">
        <f aca="false">IF(AO597&lt;&gt;1,"",IF(W597="Oui",1,0))</f>
        <v/>
      </c>
      <c r="BO597" s="35" t="str">
        <f aca="false">IF(AO597&lt;&gt;1,"",IF(X597&lt;&gt;"",1,0))</f>
        <v/>
      </c>
      <c r="BP597" s="35" t="str">
        <f aca="false">IF(AO597&lt;&gt;1,"",IF(Y597="Oui",1,0))</f>
        <v/>
      </c>
      <c r="BQ597" s="35" t="str">
        <f aca="true">IF(OR(AO597&lt;&gt;1,Z597&lt;&gt;"Oui"),"",IF(AB597="",IF(AND(AA597&lt;&gt;"",NOW()&gt;AA597),0,""),IF(AA597="","",IF(AB597&lt;=AA597,1,0))))</f>
        <v/>
      </c>
      <c r="BR597" s="38" t="str">
        <f aca="false">IF(OR(AO597&lt;&gt;1,K597&lt;&gt;"Oui",O597=""),"",IF(AC597="",O597+DORA_H_DET/24,IF(AC597-O597&lt;=DORA_H_DET/24,MIN(AC597+DORA_H_CLA/24,O597+DORA_H_DET/24),AC597+DORA_H_CLA/24)))</f>
        <v/>
      </c>
      <c r="BS597" s="35" t="str">
        <f aca="true">IF(BR597="","",IF(AD597="",IF(NOW()&gt;BR597,0,""),IF(AD597&lt;=BR597,1,0)))</f>
        <v/>
      </c>
      <c r="BT597" s="35" t="str">
        <f aca="true">IF(OR(BR597="",AD597=""),"",IF(AE597="",IF(NOW()&gt;AD597+DORA_H_INT/24,0,""),IF(AE597&lt;=AD597+DORA_H_INT/24,1,0)))</f>
        <v/>
      </c>
      <c r="BU597" s="35" t="str">
        <f aca="true">IF(OR(BR597="",AE597=""),"",IF(AF597="",IF(NOW()&gt;EDATE(AE597,DORA_M_FIN)+1,0,""),IF(AF597&lt;=EDATE(AE597,DORA_M_FIN),1,0)))</f>
        <v/>
      </c>
      <c r="BV597" s="35" t="str">
        <f aca="false">IF(BR597="","",IF(COUNT(BS597:BU597)=0,"",MIN(BS597:BU597)))</f>
        <v/>
      </c>
      <c r="BW597" s="40" t="str">
        <f aca="false">IF(AQ597&lt;&gt;1,"",IF(AND(AG597="",AH597=""),"",N(AG597)-N(AH597)))</f>
        <v/>
      </c>
      <c r="BX597" s="35" t="str">
        <f aca="true">IF(OR(AQ597&lt;&gt;1,AI597&lt;&gt;"Oui",AJ597=""),"",IF(AK597="",IF(NOW()&gt;AJ597+1,0,""),IF(AK597&lt;=AJ597,1,0)))</f>
        <v/>
      </c>
    </row>
    <row r="598" customFormat="false" ht="15" hidden="false" customHeight="false" outlineLevel="0" collapsed="false">
      <c r="B598" s="29"/>
      <c r="C598" s="29"/>
      <c r="D598" s="29"/>
      <c r="E598" s="29"/>
      <c r="F598" s="29"/>
      <c r="G598" s="29"/>
      <c r="H598" s="29"/>
      <c r="I598" s="29"/>
      <c r="J598" s="29"/>
      <c r="K598" s="29"/>
      <c r="L598" s="29"/>
      <c r="M598" s="29"/>
      <c r="N598" s="30"/>
      <c r="O598" s="30"/>
      <c r="P598" s="30"/>
      <c r="Q598" s="30"/>
      <c r="R598" s="30"/>
      <c r="S598" s="30"/>
      <c r="T598" s="30"/>
      <c r="U598" s="30"/>
      <c r="V598" s="31"/>
      <c r="W598" s="29"/>
      <c r="X598" s="29"/>
      <c r="Y598" s="29"/>
      <c r="Z598" s="29"/>
      <c r="AA598" s="30"/>
      <c r="AB598" s="30"/>
      <c r="AC598" s="30"/>
      <c r="AD598" s="30"/>
      <c r="AE598" s="30"/>
      <c r="AF598" s="32"/>
      <c r="AG598" s="33"/>
      <c r="AH598" s="33"/>
      <c r="AI598" s="29"/>
      <c r="AJ598" s="32"/>
      <c r="AK598" s="32"/>
      <c r="AL598" s="29"/>
      <c r="AN598" s="34" t="str">
        <f aca="false">IF($B598="","",IF(OR(C598="",D598="",E598="",G598="",I598="",J598="",L598="",O598="",P598=""),"Champ obligatoire manquant",IF(OR(AND(N598&lt;&gt;"",N598&gt;O598),O598&gt;P598,AND(Q598&lt;&gt;"",Q598&lt;P598),AND(R598&lt;&gt;"",R598&lt;P598),AND(S598&lt;&gt;"",S598&lt;R598),AND(S598&lt;&gt;"",R598=""),AND(T598&lt;&gt;"",T598&lt;O598),AND(U598&lt;&gt;"",U598&lt;O598)),"Chronologie incohérente",IF(AND(OR(L598="Résolu",L598="Clos"),R598=""),"Date de résolution manquante",IF(AND(L598="Clos",S598=""),"Date de clôture manquante",IF(AND(K598="Oui",AC598=""),"Classification DORA manquante","OK"))))))</f>
        <v/>
      </c>
      <c r="AO598" s="35" t="str">
        <f aca="false">IF($B598="","",IF(AND(C598="Incident",L598&lt;&gt;"Annulé"),1,0))</f>
        <v/>
      </c>
      <c r="AP598" s="35" t="str">
        <f aca="false">IF($B598="","",IF(AND(C598="Quasi-incident",L598&lt;&gt;"Annulé"),1,0))</f>
        <v/>
      </c>
      <c r="AQ598" s="35" t="str">
        <f aca="false">IF($B598="","",AO598+AP598)</f>
        <v/>
      </c>
      <c r="AR598" s="36" t="str">
        <f aca="false">IF(OR($B598="",J598=""),"",IFERROR(VALUE(LEFT(J598,1)),""))</f>
        <v/>
      </c>
      <c r="AS598" s="35" t="str">
        <f aca="false">IF(OR(AO598&lt;&gt;1,G598=""),"",IFERROR(IF(INDEX(L_SrcInterne,MATCH(G598,L_Sources,0))="Oui",1,0),""))</f>
        <v/>
      </c>
      <c r="AT598" s="37" t="str">
        <f aca="false">IF(AO598&lt;&gt;1,"",IFERROR(ROUND(IF(OR(N598="",O598=""),"",IF(O598&lt;N598,"",ROUND(((NETWORKDAYS(N598,O598,JoursFeries)-1)*(HFer-HOuv)+IF(NETWORKDAYS(O598,O598,JoursFeries),MEDIAN(MOD(O598,1),HFer,HOuv),HFer)-IF(NETWORKDAYS(N598,N598,JoursFeries),MEDIAN(MOD(N598,1),HFer,HOuv),HOuv))*24,4)))/HJour,4),""))</f>
        <v/>
      </c>
      <c r="AU598" s="37" t="str">
        <f aca="false">IF(AO598&lt;&gt;1,"",IF(OR(O598="",P598=""),"",IF(P598&lt;O598,"",ROUND(((NETWORKDAYS(O598,P598,JoursFeries)-1)*(HFer-HOuv)+IF(NETWORKDAYS(P598,P598,JoursFeries),MEDIAN(MOD(P598,1),HFer,HOuv),HFer)-IF(NETWORKDAYS(O598,O598,JoursFeries),MEDIAN(MOD(O598,1),HFer,HOuv),HOuv))*24,4))))</f>
        <v/>
      </c>
      <c r="AV598" s="37" t="str">
        <f aca="false">IF(AO598&lt;&gt;1,"",IF(OR(P598="",Q598=""),"",IF(Q598&lt;P598,"",ROUND(((NETWORKDAYS(P598,Q598,JoursFeries)-1)*(HFer-HOuv)+IF(NETWORKDAYS(Q598,Q598,JoursFeries),MEDIAN(MOD(Q598,1),HFer,HOuv),HFer)-IF(NETWORKDAYS(P598,P598,JoursFeries),MEDIAN(MOD(P598,1),HFer,HOuv),HOuv))*24,4))))</f>
        <v/>
      </c>
      <c r="AW598" s="37" t="str">
        <f aca="false">IF(AO598&lt;&gt;1,"",IFERROR(ROUND(IF(OR(P598="",R598=""),"",IF(R598&lt;P598,"",ROUND(((NETWORKDAYS(P598,R598,JoursFeries)-1)*(HFer-HOuv)+IF(NETWORKDAYS(R598,R598,JoursFeries),MEDIAN(MOD(R598,1),HFer,HOuv),HFer)-IF(NETWORKDAYS(P598,P598,JoursFeries),MEDIAN(MOD(P598,1),HFer,HOuv),HOuv))*24,4)))/HJour,4),""))</f>
        <v/>
      </c>
      <c r="AX598" s="37" t="str">
        <f aca="false">IF(AO598&lt;&gt;1,"",IFERROR(ROUND(IF(OR(P598="",S598=""),"",IF(S598&lt;P598,"",ROUND(((NETWORKDAYS(P598,S598,JoursFeries)-1)*(HFer-HOuv)+IF(NETWORKDAYS(S598,S598,JoursFeries),MEDIAN(MOD(S598,1),HFer,HOuv),HFer)-IF(NETWORKDAYS(P598,P598,JoursFeries),MEDIAN(MOD(P598,1),HFer,HOuv),HOuv))*24,4)))/HJour,4),""))</f>
        <v/>
      </c>
      <c r="AY598" s="36" t="str">
        <f aca="false">IF(OR(AO598&lt;&gt;1,AR598=""),"",INDEX(SLA_PEC,AR598))</f>
        <v/>
      </c>
      <c r="AZ598" s="35" t="str">
        <f aca="false">IF(OR(AV598="",AY598=""),"",IF(AV598&lt;=AY598,1,0))</f>
        <v/>
      </c>
      <c r="BA598" s="36" t="str">
        <f aca="false">IF(OR(AO598&lt;&gt;1,AR598=""),"",INDEX(SLA_RES,AR598))</f>
        <v/>
      </c>
      <c r="BB598" s="35" t="str">
        <f aca="false">IF(OR(AW598="",BA598=""),"",IF(AW598&lt;=BA598,1,0))</f>
        <v/>
      </c>
      <c r="BC598" s="38" t="str">
        <f aca="false">IF(OR(BA598="",P598=""),"",WORKDAY(INT(P598),BA598,JoursFeries)+MOD(P598,1))</f>
        <v/>
      </c>
      <c r="BD598" s="39" t="str">
        <f aca="false">IF(AO598&lt;&gt;1,"",IF(OR(AB598&lt;&gt;"",AD598&lt;&gt;""),4,IF(U598&lt;&gt;"",3,IF(T598&lt;&gt;"",2,1))))</f>
        <v/>
      </c>
      <c r="BE598" s="39" t="str">
        <f aca="false">IF(OR(AO598&lt;&gt;1,AR598=""),"",INDEX(NIV_REQ,AR598))</f>
        <v/>
      </c>
      <c r="BF598" s="39" t="str">
        <f aca="false">IF(BE598="","",MAX(BE598,IF(OR(K598="Oui",Z598="Oui"),4,1)))</f>
        <v/>
      </c>
      <c r="BG598" s="35" t="str">
        <f aca="false">IF(OR(BF598="",BD598=""),"",IF(BD598&gt;=BF598,1,0))</f>
        <v/>
      </c>
      <c r="BH598" s="38" t="str">
        <f aca="false">IF(BE598="","",IF(BE598&lt;2,"",IF(BE598=2,IF(AND(T598="",U598=""),"",MIN(T598,U598)),IF(U598="","",U598))))</f>
        <v/>
      </c>
      <c r="BI598" s="37" t="str">
        <f aca="false">IF(BH598="","",IF(OR(O598="",BH598=""),"",IF(BH598&lt;O598,"",ROUND(((NETWORKDAYS(O598,BH598,JoursFeries)-1)*(HFer-HOuv)+IF(NETWORKDAYS(BH598,BH598,JoursFeries),MEDIAN(MOD(BH598,1),HFer,HOuv),HFer)-IF(NETWORKDAYS(O598,O598,JoursFeries),MEDIAN(MOD(O598,1),HFer,HOuv),HOuv))*24,4))))</f>
        <v/>
      </c>
      <c r="BJ598" s="35" t="str">
        <f aca="false">IF(OR(BI598="",AR598=""),"",IF(BI598&lt;=INDEX(DELAI_ESC,AR598),1,0))</f>
        <v/>
      </c>
      <c r="BK598" s="38" t="str">
        <f aca="false">IF(AO598&lt;&gt;1,"",IF(AND(T598="",U598=""),"",MIN(T598,U598)))</f>
        <v/>
      </c>
      <c r="BL598" s="37" t="str">
        <f aca="false">IF(OR(BK598="",R598=""),"",IFERROR(ROUND(IF(OR(BK598="",R598=""),"",IF(R598&lt;BK598,"",ROUND(((NETWORKDAYS(BK598,R598,JoursFeries)-1)*(HFer-HOuv)+IF(NETWORKDAYS(R598,R598,JoursFeries),MEDIAN(MOD(R598,1),HFer,HOuv),HFer)-IF(NETWORKDAYS(BK598,BK598,JoursFeries),MEDIAN(MOD(BK598,1),HFer,HOuv),HOuv))*24,4)))/HJour,4),""))</f>
        <v/>
      </c>
      <c r="BM598" s="35" t="str">
        <f aca="false">IF(OR(AO598&lt;&gt;1,R598=""),"",IF(BD598=1,1,0))</f>
        <v/>
      </c>
      <c r="BN598" s="35" t="str">
        <f aca="false">IF(AO598&lt;&gt;1,"",IF(W598="Oui",1,0))</f>
        <v/>
      </c>
      <c r="BO598" s="35" t="str">
        <f aca="false">IF(AO598&lt;&gt;1,"",IF(X598&lt;&gt;"",1,0))</f>
        <v/>
      </c>
      <c r="BP598" s="35" t="str">
        <f aca="false">IF(AO598&lt;&gt;1,"",IF(Y598="Oui",1,0))</f>
        <v/>
      </c>
      <c r="BQ598" s="35" t="str">
        <f aca="true">IF(OR(AO598&lt;&gt;1,Z598&lt;&gt;"Oui"),"",IF(AB598="",IF(AND(AA598&lt;&gt;"",NOW()&gt;AA598),0,""),IF(AA598="","",IF(AB598&lt;=AA598,1,0))))</f>
        <v/>
      </c>
      <c r="BR598" s="38" t="str">
        <f aca="false">IF(OR(AO598&lt;&gt;1,K598&lt;&gt;"Oui",O598=""),"",IF(AC598="",O598+DORA_H_DET/24,IF(AC598-O598&lt;=DORA_H_DET/24,MIN(AC598+DORA_H_CLA/24,O598+DORA_H_DET/24),AC598+DORA_H_CLA/24)))</f>
        <v/>
      </c>
      <c r="BS598" s="35" t="str">
        <f aca="true">IF(BR598="","",IF(AD598="",IF(NOW()&gt;BR598,0,""),IF(AD598&lt;=BR598,1,0)))</f>
        <v/>
      </c>
      <c r="BT598" s="35" t="str">
        <f aca="true">IF(OR(BR598="",AD598=""),"",IF(AE598="",IF(NOW()&gt;AD598+DORA_H_INT/24,0,""),IF(AE598&lt;=AD598+DORA_H_INT/24,1,0)))</f>
        <v/>
      </c>
      <c r="BU598" s="35" t="str">
        <f aca="true">IF(OR(BR598="",AE598=""),"",IF(AF598="",IF(NOW()&gt;EDATE(AE598,DORA_M_FIN)+1,0,""),IF(AF598&lt;=EDATE(AE598,DORA_M_FIN),1,0)))</f>
        <v/>
      </c>
      <c r="BV598" s="35" t="str">
        <f aca="false">IF(BR598="","",IF(COUNT(BS598:BU598)=0,"",MIN(BS598:BU598)))</f>
        <v/>
      </c>
      <c r="BW598" s="40" t="str">
        <f aca="false">IF(AQ598&lt;&gt;1,"",IF(AND(AG598="",AH598=""),"",N(AG598)-N(AH598)))</f>
        <v/>
      </c>
      <c r="BX598" s="35" t="str">
        <f aca="true">IF(OR(AQ598&lt;&gt;1,AI598&lt;&gt;"Oui",AJ598=""),"",IF(AK598="",IF(NOW()&gt;AJ598+1,0,""),IF(AK598&lt;=AJ598,1,0)))</f>
        <v/>
      </c>
    </row>
    <row r="599" customFormat="false" ht="15" hidden="false" customHeight="false" outlineLevel="0" collapsed="false">
      <c r="B599" s="29"/>
      <c r="C599" s="29"/>
      <c r="D599" s="29"/>
      <c r="E599" s="29"/>
      <c r="F599" s="29"/>
      <c r="G599" s="29"/>
      <c r="H599" s="29"/>
      <c r="I599" s="29"/>
      <c r="J599" s="29"/>
      <c r="K599" s="29"/>
      <c r="L599" s="29"/>
      <c r="M599" s="29"/>
      <c r="N599" s="30"/>
      <c r="O599" s="30"/>
      <c r="P599" s="30"/>
      <c r="Q599" s="30"/>
      <c r="R599" s="30"/>
      <c r="S599" s="30"/>
      <c r="T599" s="30"/>
      <c r="U599" s="30"/>
      <c r="V599" s="31"/>
      <c r="W599" s="29"/>
      <c r="X599" s="29"/>
      <c r="Y599" s="29"/>
      <c r="Z599" s="29"/>
      <c r="AA599" s="30"/>
      <c r="AB599" s="30"/>
      <c r="AC599" s="30"/>
      <c r="AD599" s="30"/>
      <c r="AE599" s="30"/>
      <c r="AF599" s="32"/>
      <c r="AG599" s="33"/>
      <c r="AH599" s="33"/>
      <c r="AI599" s="29"/>
      <c r="AJ599" s="32"/>
      <c r="AK599" s="32"/>
      <c r="AL599" s="29"/>
      <c r="AN599" s="34" t="str">
        <f aca="false">IF($B599="","",IF(OR(C599="",D599="",E599="",G599="",I599="",J599="",L599="",O599="",P599=""),"Champ obligatoire manquant",IF(OR(AND(N599&lt;&gt;"",N599&gt;O599),O599&gt;P599,AND(Q599&lt;&gt;"",Q599&lt;P599),AND(R599&lt;&gt;"",R599&lt;P599),AND(S599&lt;&gt;"",S599&lt;R599),AND(S599&lt;&gt;"",R599=""),AND(T599&lt;&gt;"",T599&lt;O599),AND(U599&lt;&gt;"",U599&lt;O599)),"Chronologie incohérente",IF(AND(OR(L599="Résolu",L599="Clos"),R599=""),"Date de résolution manquante",IF(AND(L599="Clos",S599=""),"Date de clôture manquante",IF(AND(K599="Oui",AC599=""),"Classification DORA manquante","OK"))))))</f>
        <v/>
      </c>
      <c r="AO599" s="35" t="str">
        <f aca="false">IF($B599="","",IF(AND(C599="Incident",L599&lt;&gt;"Annulé"),1,0))</f>
        <v/>
      </c>
      <c r="AP599" s="35" t="str">
        <f aca="false">IF($B599="","",IF(AND(C599="Quasi-incident",L599&lt;&gt;"Annulé"),1,0))</f>
        <v/>
      </c>
      <c r="AQ599" s="35" t="str">
        <f aca="false">IF($B599="","",AO599+AP599)</f>
        <v/>
      </c>
      <c r="AR599" s="36" t="str">
        <f aca="false">IF(OR($B599="",J599=""),"",IFERROR(VALUE(LEFT(J599,1)),""))</f>
        <v/>
      </c>
      <c r="AS599" s="35" t="str">
        <f aca="false">IF(OR(AO599&lt;&gt;1,G599=""),"",IFERROR(IF(INDEX(L_SrcInterne,MATCH(G599,L_Sources,0))="Oui",1,0),""))</f>
        <v/>
      </c>
      <c r="AT599" s="37" t="str">
        <f aca="false">IF(AO599&lt;&gt;1,"",IFERROR(ROUND(IF(OR(N599="",O599=""),"",IF(O599&lt;N599,"",ROUND(((NETWORKDAYS(N599,O599,JoursFeries)-1)*(HFer-HOuv)+IF(NETWORKDAYS(O599,O599,JoursFeries),MEDIAN(MOD(O599,1),HFer,HOuv),HFer)-IF(NETWORKDAYS(N599,N599,JoursFeries),MEDIAN(MOD(N599,1),HFer,HOuv),HOuv))*24,4)))/HJour,4),""))</f>
        <v/>
      </c>
      <c r="AU599" s="37" t="str">
        <f aca="false">IF(AO599&lt;&gt;1,"",IF(OR(O599="",P599=""),"",IF(P599&lt;O599,"",ROUND(((NETWORKDAYS(O599,P599,JoursFeries)-1)*(HFer-HOuv)+IF(NETWORKDAYS(P599,P599,JoursFeries),MEDIAN(MOD(P599,1),HFer,HOuv),HFer)-IF(NETWORKDAYS(O599,O599,JoursFeries),MEDIAN(MOD(O599,1),HFer,HOuv),HOuv))*24,4))))</f>
        <v/>
      </c>
      <c r="AV599" s="37" t="str">
        <f aca="false">IF(AO599&lt;&gt;1,"",IF(OR(P599="",Q599=""),"",IF(Q599&lt;P599,"",ROUND(((NETWORKDAYS(P599,Q599,JoursFeries)-1)*(HFer-HOuv)+IF(NETWORKDAYS(Q599,Q599,JoursFeries),MEDIAN(MOD(Q599,1),HFer,HOuv),HFer)-IF(NETWORKDAYS(P599,P599,JoursFeries),MEDIAN(MOD(P599,1),HFer,HOuv),HOuv))*24,4))))</f>
        <v/>
      </c>
      <c r="AW599" s="37" t="str">
        <f aca="false">IF(AO599&lt;&gt;1,"",IFERROR(ROUND(IF(OR(P599="",R599=""),"",IF(R599&lt;P599,"",ROUND(((NETWORKDAYS(P599,R599,JoursFeries)-1)*(HFer-HOuv)+IF(NETWORKDAYS(R599,R599,JoursFeries),MEDIAN(MOD(R599,1),HFer,HOuv),HFer)-IF(NETWORKDAYS(P599,P599,JoursFeries),MEDIAN(MOD(P599,1),HFer,HOuv),HOuv))*24,4)))/HJour,4),""))</f>
        <v/>
      </c>
      <c r="AX599" s="37" t="str">
        <f aca="false">IF(AO599&lt;&gt;1,"",IFERROR(ROUND(IF(OR(P599="",S599=""),"",IF(S599&lt;P599,"",ROUND(((NETWORKDAYS(P599,S599,JoursFeries)-1)*(HFer-HOuv)+IF(NETWORKDAYS(S599,S599,JoursFeries),MEDIAN(MOD(S599,1),HFer,HOuv),HFer)-IF(NETWORKDAYS(P599,P599,JoursFeries),MEDIAN(MOD(P599,1),HFer,HOuv),HOuv))*24,4)))/HJour,4),""))</f>
        <v/>
      </c>
      <c r="AY599" s="36" t="str">
        <f aca="false">IF(OR(AO599&lt;&gt;1,AR599=""),"",INDEX(SLA_PEC,AR599))</f>
        <v/>
      </c>
      <c r="AZ599" s="35" t="str">
        <f aca="false">IF(OR(AV599="",AY599=""),"",IF(AV599&lt;=AY599,1,0))</f>
        <v/>
      </c>
      <c r="BA599" s="36" t="str">
        <f aca="false">IF(OR(AO599&lt;&gt;1,AR599=""),"",INDEX(SLA_RES,AR599))</f>
        <v/>
      </c>
      <c r="BB599" s="35" t="str">
        <f aca="false">IF(OR(AW599="",BA599=""),"",IF(AW599&lt;=BA599,1,0))</f>
        <v/>
      </c>
      <c r="BC599" s="38" t="str">
        <f aca="false">IF(OR(BA599="",P599=""),"",WORKDAY(INT(P599),BA599,JoursFeries)+MOD(P599,1))</f>
        <v/>
      </c>
      <c r="BD599" s="39" t="str">
        <f aca="false">IF(AO599&lt;&gt;1,"",IF(OR(AB599&lt;&gt;"",AD599&lt;&gt;""),4,IF(U599&lt;&gt;"",3,IF(T599&lt;&gt;"",2,1))))</f>
        <v/>
      </c>
      <c r="BE599" s="39" t="str">
        <f aca="false">IF(OR(AO599&lt;&gt;1,AR599=""),"",INDEX(NIV_REQ,AR599))</f>
        <v/>
      </c>
      <c r="BF599" s="39" t="str">
        <f aca="false">IF(BE599="","",MAX(BE599,IF(OR(K599="Oui",Z599="Oui"),4,1)))</f>
        <v/>
      </c>
      <c r="BG599" s="35" t="str">
        <f aca="false">IF(OR(BF599="",BD599=""),"",IF(BD599&gt;=BF599,1,0))</f>
        <v/>
      </c>
      <c r="BH599" s="38" t="str">
        <f aca="false">IF(BE599="","",IF(BE599&lt;2,"",IF(BE599=2,IF(AND(T599="",U599=""),"",MIN(T599,U599)),IF(U599="","",U599))))</f>
        <v/>
      </c>
      <c r="BI599" s="37" t="str">
        <f aca="false">IF(BH599="","",IF(OR(O599="",BH599=""),"",IF(BH599&lt;O599,"",ROUND(((NETWORKDAYS(O599,BH599,JoursFeries)-1)*(HFer-HOuv)+IF(NETWORKDAYS(BH599,BH599,JoursFeries),MEDIAN(MOD(BH599,1),HFer,HOuv),HFer)-IF(NETWORKDAYS(O599,O599,JoursFeries),MEDIAN(MOD(O599,1),HFer,HOuv),HOuv))*24,4))))</f>
        <v/>
      </c>
      <c r="BJ599" s="35" t="str">
        <f aca="false">IF(OR(BI599="",AR599=""),"",IF(BI599&lt;=INDEX(DELAI_ESC,AR599),1,0))</f>
        <v/>
      </c>
      <c r="BK599" s="38" t="str">
        <f aca="false">IF(AO599&lt;&gt;1,"",IF(AND(T599="",U599=""),"",MIN(T599,U599)))</f>
        <v/>
      </c>
      <c r="BL599" s="37" t="str">
        <f aca="false">IF(OR(BK599="",R599=""),"",IFERROR(ROUND(IF(OR(BK599="",R599=""),"",IF(R599&lt;BK599,"",ROUND(((NETWORKDAYS(BK599,R599,JoursFeries)-1)*(HFer-HOuv)+IF(NETWORKDAYS(R599,R599,JoursFeries),MEDIAN(MOD(R599,1),HFer,HOuv),HFer)-IF(NETWORKDAYS(BK599,BK599,JoursFeries),MEDIAN(MOD(BK599,1),HFer,HOuv),HOuv))*24,4)))/HJour,4),""))</f>
        <v/>
      </c>
      <c r="BM599" s="35" t="str">
        <f aca="false">IF(OR(AO599&lt;&gt;1,R599=""),"",IF(BD599=1,1,0))</f>
        <v/>
      </c>
      <c r="BN599" s="35" t="str">
        <f aca="false">IF(AO599&lt;&gt;1,"",IF(W599="Oui",1,0))</f>
        <v/>
      </c>
      <c r="BO599" s="35" t="str">
        <f aca="false">IF(AO599&lt;&gt;1,"",IF(X599&lt;&gt;"",1,0))</f>
        <v/>
      </c>
      <c r="BP599" s="35" t="str">
        <f aca="false">IF(AO599&lt;&gt;1,"",IF(Y599="Oui",1,0))</f>
        <v/>
      </c>
      <c r="BQ599" s="35" t="str">
        <f aca="true">IF(OR(AO599&lt;&gt;1,Z599&lt;&gt;"Oui"),"",IF(AB599="",IF(AND(AA599&lt;&gt;"",NOW()&gt;AA599),0,""),IF(AA599="","",IF(AB599&lt;=AA599,1,0))))</f>
        <v/>
      </c>
      <c r="BR599" s="38" t="str">
        <f aca="false">IF(OR(AO599&lt;&gt;1,K599&lt;&gt;"Oui",O599=""),"",IF(AC599="",O599+DORA_H_DET/24,IF(AC599-O599&lt;=DORA_H_DET/24,MIN(AC599+DORA_H_CLA/24,O599+DORA_H_DET/24),AC599+DORA_H_CLA/24)))</f>
        <v/>
      </c>
      <c r="BS599" s="35" t="str">
        <f aca="true">IF(BR599="","",IF(AD599="",IF(NOW()&gt;BR599,0,""),IF(AD599&lt;=BR599,1,0)))</f>
        <v/>
      </c>
      <c r="BT599" s="35" t="str">
        <f aca="true">IF(OR(BR599="",AD599=""),"",IF(AE599="",IF(NOW()&gt;AD599+DORA_H_INT/24,0,""),IF(AE599&lt;=AD599+DORA_H_INT/24,1,0)))</f>
        <v/>
      </c>
      <c r="BU599" s="35" t="str">
        <f aca="true">IF(OR(BR599="",AE599=""),"",IF(AF599="",IF(NOW()&gt;EDATE(AE599,DORA_M_FIN)+1,0,""),IF(AF599&lt;=EDATE(AE599,DORA_M_FIN),1,0)))</f>
        <v/>
      </c>
      <c r="BV599" s="35" t="str">
        <f aca="false">IF(BR599="","",IF(COUNT(BS599:BU599)=0,"",MIN(BS599:BU599)))</f>
        <v/>
      </c>
      <c r="BW599" s="40" t="str">
        <f aca="false">IF(AQ599&lt;&gt;1,"",IF(AND(AG599="",AH599=""),"",N(AG599)-N(AH599)))</f>
        <v/>
      </c>
      <c r="BX599" s="35" t="str">
        <f aca="true">IF(OR(AQ599&lt;&gt;1,AI599&lt;&gt;"Oui",AJ599=""),"",IF(AK599="",IF(NOW()&gt;AJ599+1,0,""),IF(AK599&lt;=AJ599,1,0)))</f>
        <v/>
      </c>
    </row>
    <row r="600" customFormat="false" ht="15" hidden="false" customHeight="false" outlineLevel="0" collapsed="false">
      <c r="B600" s="29"/>
      <c r="C600" s="29"/>
      <c r="D600" s="29"/>
      <c r="E600" s="29"/>
      <c r="F600" s="29"/>
      <c r="G600" s="29"/>
      <c r="H600" s="29"/>
      <c r="I600" s="29"/>
      <c r="J600" s="29"/>
      <c r="K600" s="29"/>
      <c r="L600" s="29"/>
      <c r="M600" s="29"/>
      <c r="N600" s="30"/>
      <c r="O600" s="30"/>
      <c r="P600" s="30"/>
      <c r="Q600" s="30"/>
      <c r="R600" s="30"/>
      <c r="S600" s="30"/>
      <c r="T600" s="30"/>
      <c r="U600" s="30"/>
      <c r="V600" s="31"/>
      <c r="W600" s="29"/>
      <c r="X600" s="29"/>
      <c r="Y600" s="29"/>
      <c r="Z600" s="29"/>
      <c r="AA600" s="30"/>
      <c r="AB600" s="30"/>
      <c r="AC600" s="30"/>
      <c r="AD600" s="30"/>
      <c r="AE600" s="30"/>
      <c r="AF600" s="32"/>
      <c r="AG600" s="33"/>
      <c r="AH600" s="33"/>
      <c r="AI600" s="29"/>
      <c r="AJ600" s="32"/>
      <c r="AK600" s="32"/>
      <c r="AL600" s="29"/>
      <c r="AN600" s="34" t="str">
        <f aca="false">IF($B600="","",IF(OR(C600="",D600="",E600="",G600="",I600="",J600="",L600="",O600="",P600=""),"Champ obligatoire manquant",IF(OR(AND(N600&lt;&gt;"",N600&gt;O600),O600&gt;P600,AND(Q600&lt;&gt;"",Q600&lt;P600),AND(R600&lt;&gt;"",R600&lt;P600),AND(S600&lt;&gt;"",S600&lt;R600),AND(S600&lt;&gt;"",R600=""),AND(T600&lt;&gt;"",T600&lt;O600),AND(U600&lt;&gt;"",U600&lt;O600)),"Chronologie incohérente",IF(AND(OR(L600="Résolu",L600="Clos"),R600=""),"Date de résolution manquante",IF(AND(L600="Clos",S600=""),"Date de clôture manquante",IF(AND(K600="Oui",AC600=""),"Classification DORA manquante","OK"))))))</f>
        <v/>
      </c>
      <c r="AO600" s="35" t="str">
        <f aca="false">IF($B600="","",IF(AND(C600="Incident",L600&lt;&gt;"Annulé"),1,0))</f>
        <v/>
      </c>
      <c r="AP600" s="35" t="str">
        <f aca="false">IF($B600="","",IF(AND(C600="Quasi-incident",L600&lt;&gt;"Annulé"),1,0))</f>
        <v/>
      </c>
      <c r="AQ600" s="35" t="str">
        <f aca="false">IF($B600="","",AO600+AP600)</f>
        <v/>
      </c>
      <c r="AR600" s="36" t="str">
        <f aca="false">IF(OR($B600="",J600=""),"",IFERROR(VALUE(LEFT(J600,1)),""))</f>
        <v/>
      </c>
      <c r="AS600" s="35" t="str">
        <f aca="false">IF(OR(AO600&lt;&gt;1,G600=""),"",IFERROR(IF(INDEX(L_SrcInterne,MATCH(G600,L_Sources,0))="Oui",1,0),""))</f>
        <v/>
      </c>
      <c r="AT600" s="37" t="str">
        <f aca="false">IF(AO600&lt;&gt;1,"",IFERROR(ROUND(IF(OR(N600="",O600=""),"",IF(O600&lt;N600,"",ROUND(((NETWORKDAYS(N600,O600,JoursFeries)-1)*(HFer-HOuv)+IF(NETWORKDAYS(O600,O600,JoursFeries),MEDIAN(MOD(O600,1),HFer,HOuv),HFer)-IF(NETWORKDAYS(N600,N600,JoursFeries),MEDIAN(MOD(N600,1),HFer,HOuv),HOuv))*24,4)))/HJour,4),""))</f>
        <v/>
      </c>
      <c r="AU600" s="37" t="str">
        <f aca="false">IF(AO600&lt;&gt;1,"",IF(OR(O600="",P600=""),"",IF(P600&lt;O600,"",ROUND(((NETWORKDAYS(O600,P600,JoursFeries)-1)*(HFer-HOuv)+IF(NETWORKDAYS(P600,P600,JoursFeries),MEDIAN(MOD(P600,1),HFer,HOuv),HFer)-IF(NETWORKDAYS(O600,O600,JoursFeries),MEDIAN(MOD(O600,1),HFer,HOuv),HOuv))*24,4))))</f>
        <v/>
      </c>
      <c r="AV600" s="37" t="str">
        <f aca="false">IF(AO600&lt;&gt;1,"",IF(OR(P600="",Q600=""),"",IF(Q600&lt;P600,"",ROUND(((NETWORKDAYS(P600,Q600,JoursFeries)-1)*(HFer-HOuv)+IF(NETWORKDAYS(Q600,Q600,JoursFeries),MEDIAN(MOD(Q600,1),HFer,HOuv),HFer)-IF(NETWORKDAYS(P600,P600,JoursFeries),MEDIAN(MOD(P600,1),HFer,HOuv),HOuv))*24,4))))</f>
        <v/>
      </c>
      <c r="AW600" s="37" t="str">
        <f aca="false">IF(AO600&lt;&gt;1,"",IFERROR(ROUND(IF(OR(P600="",R600=""),"",IF(R600&lt;P600,"",ROUND(((NETWORKDAYS(P600,R600,JoursFeries)-1)*(HFer-HOuv)+IF(NETWORKDAYS(R600,R600,JoursFeries),MEDIAN(MOD(R600,1),HFer,HOuv),HFer)-IF(NETWORKDAYS(P600,P600,JoursFeries),MEDIAN(MOD(P600,1),HFer,HOuv),HOuv))*24,4)))/HJour,4),""))</f>
        <v/>
      </c>
      <c r="AX600" s="37" t="str">
        <f aca="false">IF(AO600&lt;&gt;1,"",IFERROR(ROUND(IF(OR(P600="",S600=""),"",IF(S600&lt;P600,"",ROUND(((NETWORKDAYS(P600,S600,JoursFeries)-1)*(HFer-HOuv)+IF(NETWORKDAYS(S600,S600,JoursFeries),MEDIAN(MOD(S600,1),HFer,HOuv),HFer)-IF(NETWORKDAYS(P600,P600,JoursFeries),MEDIAN(MOD(P600,1),HFer,HOuv),HOuv))*24,4)))/HJour,4),""))</f>
        <v/>
      </c>
      <c r="AY600" s="36" t="str">
        <f aca="false">IF(OR(AO600&lt;&gt;1,AR600=""),"",INDEX(SLA_PEC,AR600))</f>
        <v/>
      </c>
      <c r="AZ600" s="35" t="str">
        <f aca="false">IF(OR(AV600="",AY600=""),"",IF(AV600&lt;=AY600,1,0))</f>
        <v/>
      </c>
      <c r="BA600" s="36" t="str">
        <f aca="false">IF(OR(AO600&lt;&gt;1,AR600=""),"",INDEX(SLA_RES,AR600))</f>
        <v/>
      </c>
      <c r="BB600" s="35" t="str">
        <f aca="false">IF(OR(AW600="",BA600=""),"",IF(AW600&lt;=BA600,1,0))</f>
        <v/>
      </c>
      <c r="BC600" s="38" t="str">
        <f aca="false">IF(OR(BA600="",P600=""),"",WORKDAY(INT(P600),BA600,JoursFeries)+MOD(P600,1))</f>
        <v/>
      </c>
      <c r="BD600" s="39" t="str">
        <f aca="false">IF(AO600&lt;&gt;1,"",IF(OR(AB600&lt;&gt;"",AD600&lt;&gt;""),4,IF(U600&lt;&gt;"",3,IF(T600&lt;&gt;"",2,1))))</f>
        <v/>
      </c>
      <c r="BE600" s="39" t="str">
        <f aca="false">IF(OR(AO600&lt;&gt;1,AR600=""),"",INDEX(NIV_REQ,AR600))</f>
        <v/>
      </c>
      <c r="BF600" s="39" t="str">
        <f aca="false">IF(BE600="","",MAX(BE600,IF(OR(K600="Oui",Z600="Oui"),4,1)))</f>
        <v/>
      </c>
      <c r="BG600" s="35" t="str">
        <f aca="false">IF(OR(BF600="",BD600=""),"",IF(BD600&gt;=BF600,1,0))</f>
        <v/>
      </c>
      <c r="BH600" s="38" t="str">
        <f aca="false">IF(BE600="","",IF(BE600&lt;2,"",IF(BE600=2,IF(AND(T600="",U600=""),"",MIN(T600,U600)),IF(U600="","",U600))))</f>
        <v/>
      </c>
      <c r="BI600" s="37" t="str">
        <f aca="false">IF(BH600="","",IF(OR(O600="",BH600=""),"",IF(BH600&lt;O600,"",ROUND(((NETWORKDAYS(O600,BH600,JoursFeries)-1)*(HFer-HOuv)+IF(NETWORKDAYS(BH600,BH600,JoursFeries),MEDIAN(MOD(BH600,1),HFer,HOuv),HFer)-IF(NETWORKDAYS(O600,O600,JoursFeries),MEDIAN(MOD(O600,1),HFer,HOuv),HOuv))*24,4))))</f>
        <v/>
      </c>
      <c r="BJ600" s="35" t="str">
        <f aca="false">IF(OR(BI600="",AR600=""),"",IF(BI600&lt;=INDEX(DELAI_ESC,AR600),1,0))</f>
        <v/>
      </c>
      <c r="BK600" s="38" t="str">
        <f aca="false">IF(AO600&lt;&gt;1,"",IF(AND(T600="",U600=""),"",MIN(T600,U600)))</f>
        <v/>
      </c>
      <c r="BL600" s="37" t="str">
        <f aca="false">IF(OR(BK600="",R600=""),"",IFERROR(ROUND(IF(OR(BK600="",R600=""),"",IF(R600&lt;BK600,"",ROUND(((NETWORKDAYS(BK600,R600,JoursFeries)-1)*(HFer-HOuv)+IF(NETWORKDAYS(R600,R600,JoursFeries),MEDIAN(MOD(R600,1),HFer,HOuv),HFer)-IF(NETWORKDAYS(BK600,BK600,JoursFeries),MEDIAN(MOD(BK600,1),HFer,HOuv),HOuv))*24,4)))/HJour,4),""))</f>
        <v/>
      </c>
      <c r="BM600" s="35" t="str">
        <f aca="false">IF(OR(AO600&lt;&gt;1,R600=""),"",IF(BD600=1,1,0))</f>
        <v/>
      </c>
      <c r="BN600" s="35" t="str">
        <f aca="false">IF(AO600&lt;&gt;1,"",IF(W600="Oui",1,0))</f>
        <v/>
      </c>
      <c r="BO600" s="35" t="str">
        <f aca="false">IF(AO600&lt;&gt;1,"",IF(X600&lt;&gt;"",1,0))</f>
        <v/>
      </c>
      <c r="BP600" s="35" t="str">
        <f aca="false">IF(AO600&lt;&gt;1,"",IF(Y600="Oui",1,0))</f>
        <v/>
      </c>
      <c r="BQ600" s="35" t="str">
        <f aca="true">IF(OR(AO600&lt;&gt;1,Z600&lt;&gt;"Oui"),"",IF(AB600="",IF(AND(AA600&lt;&gt;"",NOW()&gt;AA600),0,""),IF(AA600="","",IF(AB600&lt;=AA600,1,0))))</f>
        <v/>
      </c>
      <c r="BR600" s="38" t="str">
        <f aca="false">IF(OR(AO600&lt;&gt;1,K600&lt;&gt;"Oui",O600=""),"",IF(AC600="",O600+DORA_H_DET/24,IF(AC600-O600&lt;=DORA_H_DET/24,MIN(AC600+DORA_H_CLA/24,O600+DORA_H_DET/24),AC600+DORA_H_CLA/24)))</f>
        <v/>
      </c>
      <c r="BS600" s="35" t="str">
        <f aca="true">IF(BR600="","",IF(AD600="",IF(NOW()&gt;BR600,0,""),IF(AD600&lt;=BR600,1,0)))</f>
        <v/>
      </c>
      <c r="BT600" s="35" t="str">
        <f aca="true">IF(OR(BR600="",AD600=""),"",IF(AE600="",IF(NOW()&gt;AD600+DORA_H_INT/24,0,""),IF(AE600&lt;=AD600+DORA_H_INT/24,1,0)))</f>
        <v/>
      </c>
      <c r="BU600" s="35" t="str">
        <f aca="true">IF(OR(BR600="",AE600=""),"",IF(AF600="",IF(NOW()&gt;EDATE(AE600,DORA_M_FIN)+1,0,""),IF(AF600&lt;=EDATE(AE600,DORA_M_FIN),1,0)))</f>
        <v/>
      </c>
      <c r="BV600" s="35" t="str">
        <f aca="false">IF(BR600="","",IF(COUNT(BS600:BU600)=0,"",MIN(BS600:BU600)))</f>
        <v/>
      </c>
      <c r="BW600" s="40" t="str">
        <f aca="false">IF(AQ600&lt;&gt;1,"",IF(AND(AG600="",AH600=""),"",N(AG600)-N(AH600)))</f>
        <v/>
      </c>
      <c r="BX600" s="35" t="str">
        <f aca="true">IF(OR(AQ600&lt;&gt;1,AI600&lt;&gt;"Oui",AJ600=""),"",IF(AK600="",IF(NOW()&gt;AJ600+1,0,""),IF(AK600&lt;=AJ600,1,0)))</f>
        <v/>
      </c>
    </row>
    <row r="601" customFormat="false" ht="15" hidden="false" customHeight="false" outlineLevel="0" collapsed="false">
      <c r="B601" s="29"/>
      <c r="C601" s="29"/>
      <c r="D601" s="29"/>
      <c r="E601" s="29"/>
      <c r="F601" s="29"/>
      <c r="G601" s="29"/>
      <c r="H601" s="29"/>
      <c r="I601" s="29"/>
      <c r="J601" s="29"/>
      <c r="K601" s="29"/>
      <c r="L601" s="29"/>
      <c r="M601" s="29"/>
      <c r="N601" s="30"/>
      <c r="O601" s="30"/>
      <c r="P601" s="30"/>
      <c r="Q601" s="30"/>
      <c r="R601" s="30"/>
      <c r="S601" s="30"/>
      <c r="T601" s="30"/>
      <c r="U601" s="30"/>
      <c r="V601" s="31"/>
      <c r="W601" s="29"/>
      <c r="X601" s="29"/>
      <c r="Y601" s="29"/>
      <c r="Z601" s="29"/>
      <c r="AA601" s="30"/>
      <c r="AB601" s="30"/>
      <c r="AC601" s="30"/>
      <c r="AD601" s="30"/>
      <c r="AE601" s="30"/>
      <c r="AF601" s="32"/>
      <c r="AG601" s="33"/>
      <c r="AH601" s="33"/>
      <c r="AI601" s="29"/>
      <c r="AJ601" s="32"/>
      <c r="AK601" s="32"/>
      <c r="AL601" s="29"/>
      <c r="AN601" s="34" t="str">
        <f aca="false">IF($B601="","",IF(OR(C601="",D601="",E601="",G601="",I601="",J601="",L601="",O601="",P601=""),"Champ obligatoire manquant",IF(OR(AND(N601&lt;&gt;"",N601&gt;O601),O601&gt;P601,AND(Q601&lt;&gt;"",Q601&lt;P601),AND(R601&lt;&gt;"",R601&lt;P601),AND(S601&lt;&gt;"",S601&lt;R601),AND(S601&lt;&gt;"",R601=""),AND(T601&lt;&gt;"",T601&lt;O601),AND(U601&lt;&gt;"",U601&lt;O601)),"Chronologie incohérente",IF(AND(OR(L601="Résolu",L601="Clos"),R601=""),"Date de résolution manquante",IF(AND(L601="Clos",S601=""),"Date de clôture manquante",IF(AND(K601="Oui",AC601=""),"Classification DORA manquante","OK"))))))</f>
        <v/>
      </c>
      <c r="AO601" s="35" t="str">
        <f aca="false">IF($B601="","",IF(AND(C601="Incident",L601&lt;&gt;"Annulé"),1,0))</f>
        <v/>
      </c>
      <c r="AP601" s="35" t="str">
        <f aca="false">IF($B601="","",IF(AND(C601="Quasi-incident",L601&lt;&gt;"Annulé"),1,0))</f>
        <v/>
      </c>
      <c r="AQ601" s="35" t="str">
        <f aca="false">IF($B601="","",AO601+AP601)</f>
        <v/>
      </c>
      <c r="AR601" s="36" t="str">
        <f aca="false">IF(OR($B601="",J601=""),"",IFERROR(VALUE(LEFT(J601,1)),""))</f>
        <v/>
      </c>
      <c r="AS601" s="35" t="str">
        <f aca="false">IF(OR(AO601&lt;&gt;1,G601=""),"",IFERROR(IF(INDEX(L_SrcInterne,MATCH(G601,L_Sources,0))="Oui",1,0),""))</f>
        <v/>
      </c>
      <c r="AT601" s="37" t="str">
        <f aca="false">IF(AO601&lt;&gt;1,"",IFERROR(ROUND(IF(OR(N601="",O601=""),"",IF(O601&lt;N601,"",ROUND(((NETWORKDAYS(N601,O601,JoursFeries)-1)*(HFer-HOuv)+IF(NETWORKDAYS(O601,O601,JoursFeries),MEDIAN(MOD(O601,1),HFer,HOuv),HFer)-IF(NETWORKDAYS(N601,N601,JoursFeries),MEDIAN(MOD(N601,1),HFer,HOuv),HOuv))*24,4)))/HJour,4),""))</f>
        <v/>
      </c>
      <c r="AU601" s="37" t="str">
        <f aca="false">IF(AO601&lt;&gt;1,"",IF(OR(O601="",P601=""),"",IF(P601&lt;O601,"",ROUND(((NETWORKDAYS(O601,P601,JoursFeries)-1)*(HFer-HOuv)+IF(NETWORKDAYS(P601,P601,JoursFeries),MEDIAN(MOD(P601,1),HFer,HOuv),HFer)-IF(NETWORKDAYS(O601,O601,JoursFeries),MEDIAN(MOD(O601,1),HFer,HOuv),HOuv))*24,4))))</f>
        <v/>
      </c>
      <c r="AV601" s="37" t="str">
        <f aca="false">IF(AO601&lt;&gt;1,"",IF(OR(P601="",Q601=""),"",IF(Q601&lt;P601,"",ROUND(((NETWORKDAYS(P601,Q601,JoursFeries)-1)*(HFer-HOuv)+IF(NETWORKDAYS(Q601,Q601,JoursFeries),MEDIAN(MOD(Q601,1),HFer,HOuv),HFer)-IF(NETWORKDAYS(P601,P601,JoursFeries),MEDIAN(MOD(P601,1),HFer,HOuv),HOuv))*24,4))))</f>
        <v/>
      </c>
      <c r="AW601" s="37" t="str">
        <f aca="false">IF(AO601&lt;&gt;1,"",IFERROR(ROUND(IF(OR(P601="",R601=""),"",IF(R601&lt;P601,"",ROUND(((NETWORKDAYS(P601,R601,JoursFeries)-1)*(HFer-HOuv)+IF(NETWORKDAYS(R601,R601,JoursFeries),MEDIAN(MOD(R601,1),HFer,HOuv),HFer)-IF(NETWORKDAYS(P601,P601,JoursFeries),MEDIAN(MOD(P601,1),HFer,HOuv),HOuv))*24,4)))/HJour,4),""))</f>
        <v/>
      </c>
      <c r="AX601" s="37" t="str">
        <f aca="false">IF(AO601&lt;&gt;1,"",IFERROR(ROUND(IF(OR(P601="",S601=""),"",IF(S601&lt;P601,"",ROUND(((NETWORKDAYS(P601,S601,JoursFeries)-1)*(HFer-HOuv)+IF(NETWORKDAYS(S601,S601,JoursFeries),MEDIAN(MOD(S601,1),HFer,HOuv),HFer)-IF(NETWORKDAYS(P601,P601,JoursFeries),MEDIAN(MOD(P601,1),HFer,HOuv),HOuv))*24,4)))/HJour,4),""))</f>
        <v/>
      </c>
      <c r="AY601" s="36" t="str">
        <f aca="false">IF(OR(AO601&lt;&gt;1,AR601=""),"",INDEX(SLA_PEC,AR601))</f>
        <v/>
      </c>
      <c r="AZ601" s="35" t="str">
        <f aca="false">IF(OR(AV601="",AY601=""),"",IF(AV601&lt;=AY601,1,0))</f>
        <v/>
      </c>
      <c r="BA601" s="36" t="str">
        <f aca="false">IF(OR(AO601&lt;&gt;1,AR601=""),"",INDEX(SLA_RES,AR601))</f>
        <v/>
      </c>
      <c r="BB601" s="35" t="str">
        <f aca="false">IF(OR(AW601="",BA601=""),"",IF(AW601&lt;=BA601,1,0))</f>
        <v/>
      </c>
      <c r="BC601" s="38" t="str">
        <f aca="false">IF(OR(BA601="",P601=""),"",WORKDAY(INT(P601),BA601,JoursFeries)+MOD(P601,1))</f>
        <v/>
      </c>
      <c r="BD601" s="39" t="str">
        <f aca="false">IF(AO601&lt;&gt;1,"",IF(OR(AB601&lt;&gt;"",AD601&lt;&gt;""),4,IF(U601&lt;&gt;"",3,IF(T601&lt;&gt;"",2,1))))</f>
        <v/>
      </c>
      <c r="BE601" s="39" t="str">
        <f aca="false">IF(OR(AO601&lt;&gt;1,AR601=""),"",INDEX(NIV_REQ,AR601))</f>
        <v/>
      </c>
      <c r="BF601" s="39" t="str">
        <f aca="false">IF(BE601="","",MAX(BE601,IF(OR(K601="Oui",Z601="Oui"),4,1)))</f>
        <v/>
      </c>
      <c r="BG601" s="35" t="str">
        <f aca="false">IF(OR(BF601="",BD601=""),"",IF(BD601&gt;=BF601,1,0))</f>
        <v/>
      </c>
      <c r="BH601" s="38" t="str">
        <f aca="false">IF(BE601="","",IF(BE601&lt;2,"",IF(BE601=2,IF(AND(T601="",U601=""),"",MIN(T601,U601)),IF(U601="","",U601))))</f>
        <v/>
      </c>
      <c r="BI601" s="37" t="str">
        <f aca="false">IF(BH601="","",IF(OR(O601="",BH601=""),"",IF(BH601&lt;O601,"",ROUND(((NETWORKDAYS(O601,BH601,JoursFeries)-1)*(HFer-HOuv)+IF(NETWORKDAYS(BH601,BH601,JoursFeries),MEDIAN(MOD(BH601,1),HFer,HOuv),HFer)-IF(NETWORKDAYS(O601,O601,JoursFeries),MEDIAN(MOD(O601,1),HFer,HOuv),HOuv))*24,4))))</f>
        <v/>
      </c>
      <c r="BJ601" s="35" t="str">
        <f aca="false">IF(OR(BI601="",AR601=""),"",IF(BI601&lt;=INDEX(DELAI_ESC,AR601),1,0))</f>
        <v/>
      </c>
      <c r="BK601" s="38" t="str">
        <f aca="false">IF(AO601&lt;&gt;1,"",IF(AND(T601="",U601=""),"",MIN(T601,U601)))</f>
        <v/>
      </c>
      <c r="BL601" s="37" t="str">
        <f aca="false">IF(OR(BK601="",R601=""),"",IFERROR(ROUND(IF(OR(BK601="",R601=""),"",IF(R601&lt;BK601,"",ROUND(((NETWORKDAYS(BK601,R601,JoursFeries)-1)*(HFer-HOuv)+IF(NETWORKDAYS(R601,R601,JoursFeries),MEDIAN(MOD(R601,1),HFer,HOuv),HFer)-IF(NETWORKDAYS(BK601,BK601,JoursFeries),MEDIAN(MOD(BK601,1),HFer,HOuv),HOuv))*24,4)))/HJour,4),""))</f>
        <v/>
      </c>
      <c r="BM601" s="35" t="str">
        <f aca="false">IF(OR(AO601&lt;&gt;1,R601=""),"",IF(BD601=1,1,0))</f>
        <v/>
      </c>
      <c r="BN601" s="35" t="str">
        <f aca="false">IF(AO601&lt;&gt;1,"",IF(W601="Oui",1,0))</f>
        <v/>
      </c>
      <c r="BO601" s="35" t="str">
        <f aca="false">IF(AO601&lt;&gt;1,"",IF(X601&lt;&gt;"",1,0))</f>
        <v/>
      </c>
      <c r="BP601" s="35" t="str">
        <f aca="false">IF(AO601&lt;&gt;1,"",IF(Y601="Oui",1,0))</f>
        <v/>
      </c>
      <c r="BQ601" s="35" t="str">
        <f aca="true">IF(OR(AO601&lt;&gt;1,Z601&lt;&gt;"Oui"),"",IF(AB601="",IF(AND(AA601&lt;&gt;"",NOW()&gt;AA601),0,""),IF(AA601="","",IF(AB601&lt;=AA601,1,0))))</f>
        <v/>
      </c>
      <c r="BR601" s="38" t="str">
        <f aca="false">IF(OR(AO601&lt;&gt;1,K601&lt;&gt;"Oui",O601=""),"",IF(AC601="",O601+DORA_H_DET/24,IF(AC601-O601&lt;=DORA_H_DET/24,MIN(AC601+DORA_H_CLA/24,O601+DORA_H_DET/24),AC601+DORA_H_CLA/24)))</f>
        <v/>
      </c>
      <c r="BS601" s="35" t="str">
        <f aca="true">IF(BR601="","",IF(AD601="",IF(NOW()&gt;BR601,0,""),IF(AD601&lt;=BR601,1,0)))</f>
        <v/>
      </c>
      <c r="BT601" s="35" t="str">
        <f aca="true">IF(OR(BR601="",AD601=""),"",IF(AE601="",IF(NOW()&gt;AD601+DORA_H_INT/24,0,""),IF(AE601&lt;=AD601+DORA_H_INT/24,1,0)))</f>
        <v/>
      </c>
      <c r="BU601" s="35" t="str">
        <f aca="true">IF(OR(BR601="",AE601=""),"",IF(AF601="",IF(NOW()&gt;EDATE(AE601,DORA_M_FIN)+1,0,""),IF(AF601&lt;=EDATE(AE601,DORA_M_FIN),1,0)))</f>
        <v/>
      </c>
      <c r="BV601" s="35" t="str">
        <f aca="false">IF(BR601="","",IF(COUNT(BS601:BU601)=0,"",MIN(BS601:BU601)))</f>
        <v/>
      </c>
      <c r="BW601" s="40" t="str">
        <f aca="false">IF(AQ601&lt;&gt;1,"",IF(AND(AG601="",AH601=""),"",N(AG601)-N(AH601)))</f>
        <v/>
      </c>
      <c r="BX601" s="35" t="str">
        <f aca="true">IF(OR(AQ601&lt;&gt;1,AI601&lt;&gt;"Oui",AJ601=""),"",IF(AK601="",IF(NOW()&gt;AJ601+1,0,""),IF(AK601&lt;=AJ601,1,0)))</f>
        <v/>
      </c>
    </row>
    <row r="602" customFormat="false" ht="15" hidden="false" customHeight="false" outlineLevel="0" collapsed="false">
      <c r="B602" s="29"/>
      <c r="C602" s="29"/>
      <c r="D602" s="29"/>
      <c r="E602" s="29"/>
      <c r="F602" s="29"/>
      <c r="G602" s="29"/>
      <c r="H602" s="29"/>
      <c r="I602" s="29"/>
      <c r="J602" s="29"/>
      <c r="K602" s="29"/>
      <c r="L602" s="29"/>
      <c r="M602" s="29"/>
      <c r="N602" s="30"/>
      <c r="O602" s="30"/>
      <c r="P602" s="30"/>
      <c r="Q602" s="30"/>
      <c r="R602" s="30"/>
      <c r="S602" s="30"/>
      <c r="T602" s="30"/>
      <c r="U602" s="30"/>
      <c r="V602" s="31"/>
      <c r="W602" s="29"/>
      <c r="X602" s="29"/>
      <c r="Y602" s="29"/>
      <c r="Z602" s="29"/>
      <c r="AA602" s="30"/>
      <c r="AB602" s="30"/>
      <c r="AC602" s="30"/>
      <c r="AD602" s="30"/>
      <c r="AE602" s="30"/>
      <c r="AF602" s="32"/>
      <c r="AG602" s="33"/>
      <c r="AH602" s="33"/>
      <c r="AI602" s="29"/>
      <c r="AJ602" s="32"/>
      <c r="AK602" s="32"/>
      <c r="AL602" s="29"/>
      <c r="AN602" s="34" t="str">
        <f aca="false">IF($B602="","",IF(OR(C602="",D602="",E602="",G602="",I602="",J602="",L602="",O602="",P602=""),"Champ obligatoire manquant",IF(OR(AND(N602&lt;&gt;"",N602&gt;O602),O602&gt;P602,AND(Q602&lt;&gt;"",Q602&lt;P602),AND(R602&lt;&gt;"",R602&lt;P602),AND(S602&lt;&gt;"",S602&lt;R602),AND(S602&lt;&gt;"",R602=""),AND(T602&lt;&gt;"",T602&lt;O602),AND(U602&lt;&gt;"",U602&lt;O602)),"Chronologie incohérente",IF(AND(OR(L602="Résolu",L602="Clos"),R602=""),"Date de résolution manquante",IF(AND(L602="Clos",S602=""),"Date de clôture manquante",IF(AND(K602="Oui",AC602=""),"Classification DORA manquante","OK"))))))</f>
        <v/>
      </c>
      <c r="AO602" s="35" t="str">
        <f aca="false">IF($B602="","",IF(AND(C602="Incident",L602&lt;&gt;"Annulé"),1,0))</f>
        <v/>
      </c>
      <c r="AP602" s="35" t="str">
        <f aca="false">IF($B602="","",IF(AND(C602="Quasi-incident",L602&lt;&gt;"Annulé"),1,0))</f>
        <v/>
      </c>
      <c r="AQ602" s="35" t="str">
        <f aca="false">IF($B602="","",AO602+AP602)</f>
        <v/>
      </c>
      <c r="AR602" s="36" t="str">
        <f aca="false">IF(OR($B602="",J602=""),"",IFERROR(VALUE(LEFT(J602,1)),""))</f>
        <v/>
      </c>
      <c r="AS602" s="35" t="str">
        <f aca="false">IF(OR(AO602&lt;&gt;1,G602=""),"",IFERROR(IF(INDEX(L_SrcInterne,MATCH(G602,L_Sources,0))="Oui",1,0),""))</f>
        <v/>
      </c>
      <c r="AT602" s="37" t="str">
        <f aca="false">IF(AO602&lt;&gt;1,"",IFERROR(ROUND(IF(OR(N602="",O602=""),"",IF(O602&lt;N602,"",ROUND(((NETWORKDAYS(N602,O602,JoursFeries)-1)*(HFer-HOuv)+IF(NETWORKDAYS(O602,O602,JoursFeries),MEDIAN(MOD(O602,1),HFer,HOuv),HFer)-IF(NETWORKDAYS(N602,N602,JoursFeries),MEDIAN(MOD(N602,1),HFer,HOuv),HOuv))*24,4)))/HJour,4),""))</f>
        <v/>
      </c>
      <c r="AU602" s="37" t="str">
        <f aca="false">IF(AO602&lt;&gt;1,"",IF(OR(O602="",P602=""),"",IF(P602&lt;O602,"",ROUND(((NETWORKDAYS(O602,P602,JoursFeries)-1)*(HFer-HOuv)+IF(NETWORKDAYS(P602,P602,JoursFeries),MEDIAN(MOD(P602,1),HFer,HOuv),HFer)-IF(NETWORKDAYS(O602,O602,JoursFeries),MEDIAN(MOD(O602,1),HFer,HOuv),HOuv))*24,4))))</f>
        <v/>
      </c>
      <c r="AV602" s="37" t="str">
        <f aca="false">IF(AO602&lt;&gt;1,"",IF(OR(P602="",Q602=""),"",IF(Q602&lt;P602,"",ROUND(((NETWORKDAYS(P602,Q602,JoursFeries)-1)*(HFer-HOuv)+IF(NETWORKDAYS(Q602,Q602,JoursFeries),MEDIAN(MOD(Q602,1),HFer,HOuv),HFer)-IF(NETWORKDAYS(P602,P602,JoursFeries),MEDIAN(MOD(P602,1),HFer,HOuv),HOuv))*24,4))))</f>
        <v/>
      </c>
      <c r="AW602" s="37" t="str">
        <f aca="false">IF(AO602&lt;&gt;1,"",IFERROR(ROUND(IF(OR(P602="",R602=""),"",IF(R602&lt;P602,"",ROUND(((NETWORKDAYS(P602,R602,JoursFeries)-1)*(HFer-HOuv)+IF(NETWORKDAYS(R602,R602,JoursFeries),MEDIAN(MOD(R602,1),HFer,HOuv),HFer)-IF(NETWORKDAYS(P602,P602,JoursFeries),MEDIAN(MOD(P602,1),HFer,HOuv),HOuv))*24,4)))/HJour,4),""))</f>
        <v/>
      </c>
      <c r="AX602" s="37" t="str">
        <f aca="false">IF(AO602&lt;&gt;1,"",IFERROR(ROUND(IF(OR(P602="",S602=""),"",IF(S602&lt;P602,"",ROUND(((NETWORKDAYS(P602,S602,JoursFeries)-1)*(HFer-HOuv)+IF(NETWORKDAYS(S602,S602,JoursFeries),MEDIAN(MOD(S602,1),HFer,HOuv),HFer)-IF(NETWORKDAYS(P602,P602,JoursFeries),MEDIAN(MOD(P602,1),HFer,HOuv),HOuv))*24,4)))/HJour,4),""))</f>
        <v/>
      </c>
      <c r="AY602" s="36" t="str">
        <f aca="false">IF(OR(AO602&lt;&gt;1,AR602=""),"",INDEX(SLA_PEC,AR602))</f>
        <v/>
      </c>
      <c r="AZ602" s="35" t="str">
        <f aca="false">IF(OR(AV602="",AY602=""),"",IF(AV602&lt;=AY602,1,0))</f>
        <v/>
      </c>
      <c r="BA602" s="36" t="str">
        <f aca="false">IF(OR(AO602&lt;&gt;1,AR602=""),"",INDEX(SLA_RES,AR602))</f>
        <v/>
      </c>
      <c r="BB602" s="35" t="str">
        <f aca="false">IF(OR(AW602="",BA602=""),"",IF(AW602&lt;=BA602,1,0))</f>
        <v/>
      </c>
      <c r="BC602" s="38" t="str">
        <f aca="false">IF(OR(BA602="",P602=""),"",WORKDAY(INT(P602),BA602,JoursFeries)+MOD(P602,1))</f>
        <v/>
      </c>
      <c r="BD602" s="39" t="str">
        <f aca="false">IF(AO602&lt;&gt;1,"",IF(OR(AB602&lt;&gt;"",AD602&lt;&gt;""),4,IF(U602&lt;&gt;"",3,IF(T602&lt;&gt;"",2,1))))</f>
        <v/>
      </c>
      <c r="BE602" s="39" t="str">
        <f aca="false">IF(OR(AO602&lt;&gt;1,AR602=""),"",INDEX(NIV_REQ,AR602))</f>
        <v/>
      </c>
      <c r="BF602" s="39" t="str">
        <f aca="false">IF(BE602="","",MAX(BE602,IF(OR(K602="Oui",Z602="Oui"),4,1)))</f>
        <v/>
      </c>
      <c r="BG602" s="35" t="str">
        <f aca="false">IF(OR(BF602="",BD602=""),"",IF(BD602&gt;=BF602,1,0))</f>
        <v/>
      </c>
      <c r="BH602" s="38" t="str">
        <f aca="false">IF(BE602="","",IF(BE602&lt;2,"",IF(BE602=2,IF(AND(T602="",U602=""),"",MIN(T602,U602)),IF(U602="","",U602))))</f>
        <v/>
      </c>
      <c r="BI602" s="37" t="str">
        <f aca="false">IF(BH602="","",IF(OR(O602="",BH602=""),"",IF(BH602&lt;O602,"",ROUND(((NETWORKDAYS(O602,BH602,JoursFeries)-1)*(HFer-HOuv)+IF(NETWORKDAYS(BH602,BH602,JoursFeries),MEDIAN(MOD(BH602,1),HFer,HOuv),HFer)-IF(NETWORKDAYS(O602,O602,JoursFeries),MEDIAN(MOD(O602,1),HFer,HOuv),HOuv))*24,4))))</f>
        <v/>
      </c>
      <c r="BJ602" s="35" t="str">
        <f aca="false">IF(OR(BI602="",AR602=""),"",IF(BI602&lt;=INDEX(DELAI_ESC,AR602),1,0))</f>
        <v/>
      </c>
      <c r="BK602" s="38" t="str">
        <f aca="false">IF(AO602&lt;&gt;1,"",IF(AND(T602="",U602=""),"",MIN(T602,U602)))</f>
        <v/>
      </c>
      <c r="BL602" s="37" t="str">
        <f aca="false">IF(OR(BK602="",R602=""),"",IFERROR(ROUND(IF(OR(BK602="",R602=""),"",IF(R602&lt;BK602,"",ROUND(((NETWORKDAYS(BK602,R602,JoursFeries)-1)*(HFer-HOuv)+IF(NETWORKDAYS(R602,R602,JoursFeries),MEDIAN(MOD(R602,1),HFer,HOuv),HFer)-IF(NETWORKDAYS(BK602,BK602,JoursFeries),MEDIAN(MOD(BK602,1),HFer,HOuv),HOuv))*24,4)))/HJour,4),""))</f>
        <v/>
      </c>
      <c r="BM602" s="35" t="str">
        <f aca="false">IF(OR(AO602&lt;&gt;1,R602=""),"",IF(BD602=1,1,0))</f>
        <v/>
      </c>
      <c r="BN602" s="35" t="str">
        <f aca="false">IF(AO602&lt;&gt;1,"",IF(W602="Oui",1,0))</f>
        <v/>
      </c>
      <c r="BO602" s="35" t="str">
        <f aca="false">IF(AO602&lt;&gt;1,"",IF(X602&lt;&gt;"",1,0))</f>
        <v/>
      </c>
      <c r="BP602" s="35" t="str">
        <f aca="false">IF(AO602&lt;&gt;1,"",IF(Y602="Oui",1,0))</f>
        <v/>
      </c>
      <c r="BQ602" s="35" t="str">
        <f aca="true">IF(OR(AO602&lt;&gt;1,Z602&lt;&gt;"Oui"),"",IF(AB602="",IF(AND(AA602&lt;&gt;"",NOW()&gt;AA602),0,""),IF(AA602="","",IF(AB602&lt;=AA602,1,0))))</f>
        <v/>
      </c>
      <c r="BR602" s="38" t="str">
        <f aca="false">IF(OR(AO602&lt;&gt;1,K602&lt;&gt;"Oui",O602=""),"",IF(AC602="",O602+DORA_H_DET/24,IF(AC602-O602&lt;=DORA_H_DET/24,MIN(AC602+DORA_H_CLA/24,O602+DORA_H_DET/24),AC602+DORA_H_CLA/24)))</f>
        <v/>
      </c>
      <c r="BS602" s="35" t="str">
        <f aca="true">IF(BR602="","",IF(AD602="",IF(NOW()&gt;BR602,0,""),IF(AD602&lt;=BR602,1,0)))</f>
        <v/>
      </c>
      <c r="BT602" s="35" t="str">
        <f aca="true">IF(OR(BR602="",AD602=""),"",IF(AE602="",IF(NOW()&gt;AD602+DORA_H_INT/24,0,""),IF(AE602&lt;=AD602+DORA_H_INT/24,1,0)))</f>
        <v/>
      </c>
      <c r="BU602" s="35" t="str">
        <f aca="true">IF(OR(BR602="",AE602=""),"",IF(AF602="",IF(NOW()&gt;EDATE(AE602,DORA_M_FIN)+1,0,""),IF(AF602&lt;=EDATE(AE602,DORA_M_FIN),1,0)))</f>
        <v/>
      </c>
      <c r="BV602" s="35" t="str">
        <f aca="false">IF(BR602="","",IF(COUNT(BS602:BU602)=0,"",MIN(BS602:BU602)))</f>
        <v/>
      </c>
      <c r="BW602" s="40" t="str">
        <f aca="false">IF(AQ602&lt;&gt;1,"",IF(AND(AG602="",AH602=""),"",N(AG602)-N(AH602)))</f>
        <v/>
      </c>
      <c r="BX602" s="35" t="str">
        <f aca="true">IF(OR(AQ602&lt;&gt;1,AI602&lt;&gt;"Oui",AJ602=""),"",IF(AK602="",IF(NOW()&gt;AJ602+1,0,""),IF(AK602&lt;=AJ602,1,0)))</f>
        <v/>
      </c>
    </row>
    <row r="603" customFormat="false" ht="15" hidden="false" customHeight="false" outlineLevel="0" collapsed="false">
      <c r="B603" s="29"/>
      <c r="C603" s="29"/>
      <c r="D603" s="29"/>
      <c r="E603" s="29"/>
      <c r="F603" s="29"/>
      <c r="G603" s="29"/>
      <c r="H603" s="29"/>
      <c r="I603" s="29"/>
      <c r="J603" s="29"/>
      <c r="K603" s="29"/>
      <c r="L603" s="29"/>
      <c r="M603" s="29"/>
      <c r="N603" s="30"/>
      <c r="O603" s="30"/>
      <c r="P603" s="30"/>
      <c r="Q603" s="30"/>
      <c r="R603" s="30"/>
      <c r="S603" s="30"/>
      <c r="T603" s="30"/>
      <c r="U603" s="30"/>
      <c r="V603" s="31"/>
      <c r="W603" s="29"/>
      <c r="X603" s="29"/>
      <c r="Y603" s="29"/>
      <c r="Z603" s="29"/>
      <c r="AA603" s="30"/>
      <c r="AB603" s="30"/>
      <c r="AC603" s="30"/>
      <c r="AD603" s="30"/>
      <c r="AE603" s="30"/>
      <c r="AF603" s="32"/>
      <c r="AG603" s="33"/>
      <c r="AH603" s="33"/>
      <c r="AI603" s="29"/>
      <c r="AJ603" s="32"/>
      <c r="AK603" s="32"/>
      <c r="AL603" s="29"/>
      <c r="AN603" s="34" t="str">
        <f aca="false">IF($B603="","",IF(OR(C603="",D603="",E603="",G603="",I603="",J603="",L603="",O603="",P603=""),"Champ obligatoire manquant",IF(OR(AND(N603&lt;&gt;"",N603&gt;O603),O603&gt;P603,AND(Q603&lt;&gt;"",Q603&lt;P603),AND(R603&lt;&gt;"",R603&lt;P603),AND(S603&lt;&gt;"",S603&lt;R603),AND(S603&lt;&gt;"",R603=""),AND(T603&lt;&gt;"",T603&lt;O603),AND(U603&lt;&gt;"",U603&lt;O603)),"Chronologie incohérente",IF(AND(OR(L603="Résolu",L603="Clos"),R603=""),"Date de résolution manquante",IF(AND(L603="Clos",S603=""),"Date de clôture manquante",IF(AND(K603="Oui",AC603=""),"Classification DORA manquante","OK"))))))</f>
        <v/>
      </c>
      <c r="AO603" s="35" t="str">
        <f aca="false">IF($B603="","",IF(AND(C603="Incident",L603&lt;&gt;"Annulé"),1,0))</f>
        <v/>
      </c>
      <c r="AP603" s="35" t="str">
        <f aca="false">IF($B603="","",IF(AND(C603="Quasi-incident",L603&lt;&gt;"Annulé"),1,0))</f>
        <v/>
      </c>
      <c r="AQ603" s="35" t="str">
        <f aca="false">IF($B603="","",AO603+AP603)</f>
        <v/>
      </c>
      <c r="AR603" s="36" t="str">
        <f aca="false">IF(OR($B603="",J603=""),"",IFERROR(VALUE(LEFT(J603,1)),""))</f>
        <v/>
      </c>
      <c r="AS603" s="35" t="str">
        <f aca="false">IF(OR(AO603&lt;&gt;1,G603=""),"",IFERROR(IF(INDEX(L_SrcInterne,MATCH(G603,L_Sources,0))="Oui",1,0),""))</f>
        <v/>
      </c>
      <c r="AT603" s="37" t="str">
        <f aca="false">IF(AO603&lt;&gt;1,"",IFERROR(ROUND(IF(OR(N603="",O603=""),"",IF(O603&lt;N603,"",ROUND(((NETWORKDAYS(N603,O603,JoursFeries)-1)*(HFer-HOuv)+IF(NETWORKDAYS(O603,O603,JoursFeries),MEDIAN(MOD(O603,1),HFer,HOuv),HFer)-IF(NETWORKDAYS(N603,N603,JoursFeries),MEDIAN(MOD(N603,1),HFer,HOuv),HOuv))*24,4)))/HJour,4),""))</f>
        <v/>
      </c>
      <c r="AU603" s="37" t="str">
        <f aca="false">IF(AO603&lt;&gt;1,"",IF(OR(O603="",P603=""),"",IF(P603&lt;O603,"",ROUND(((NETWORKDAYS(O603,P603,JoursFeries)-1)*(HFer-HOuv)+IF(NETWORKDAYS(P603,P603,JoursFeries),MEDIAN(MOD(P603,1),HFer,HOuv),HFer)-IF(NETWORKDAYS(O603,O603,JoursFeries),MEDIAN(MOD(O603,1),HFer,HOuv),HOuv))*24,4))))</f>
        <v/>
      </c>
      <c r="AV603" s="37" t="str">
        <f aca="false">IF(AO603&lt;&gt;1,"",IF(OR(P603="",Q603=""),"",IF(Q603&lt;P603,"",ROUND(((NETWORKDAYS(P603,Q603,JoursFeries)-1)*(HFer-HOuv)+IF(NETWORKDAYS(Q603,Q603,JoursFeries),MEDIAN(MOD(Q603,1),HFer,HOuv),HFer)-IF(NETWORKDAYS(P603,P603,JoursFeries),MEDIAN(MOD(P603,1),HFer,HOuv),HOuv))*24,4))))</f>
        <v/>
      </c>
      <c r="AW603" s="37" t="str">
        <f aca="false">IF(AO603&lt;&gt;1,"",IFERROR(ROUND(IF(OR(P603="",R603=""),"",IF(R603&lt;P603,"",ROUND(((NETWORKDAYS(P603,R603,JoursFeries)-1)*(HFer-HOuv)+IF(NETWORKDAYS(R603,R603,JoursFeries),MEDIAN(MOD(R603,1),HFer,HOuv),HFer)-IF(NETWORKDAYS(P603,P603,JoursFeries),MEDIAN(MOD(P603,1),HFer,HOuv),HOuv))*24,4)))/HJour,4),""))</f>
        <v/>
      </c>
      <c r="AX603" s="37" t="str">
        <f aca="false">IF(AO603&lt;&gt;1,"",IFERROR(ROUND(IF(OR(P603="",S603=""),"",IF(S603&lt;P603,"",ROUND(((NETWORKDAYS(P603,S603,JoursFeries)-1)*(HFer-HOuv)+IF(NETWORKDAYS(S603,S603,JoursFeries),MEDIAN(MOD(S603,1),HFer,HOuv),HFer)-IF(NETWORKDAYS(P603,P603,JoursFeries),MEDIAN(MOD(P603,1),HFer,HOuv),HOuv))*24,4)))/HJour,4),""))</f>
        <v/>
      </c>
      <c r="AY603" s="36" t="str">
        <f aca="false">IF(OR(AO603&lt;&gt;1,AR603=""),"",INDEX(SLA_PEC,AR603))</f>
        <v/>
      </c>
      <c r="AZ603" s="35" t="str">
        <f aca="false">IF(OR(AV603="",AY603=""),"",IF(AV603&lt;=AY603,1,0))</f>
        <v/>
      </c>
      <c r="BA603" s="36" t="str">
        <f aca="false">IF(OR(AO603&lt;&gt;1,AR603=""),"",INDEX(SLA_RES,AR603))</f>
        <v/>
      </c>
      <c r="BB603" s="35" t="str">
        <f aca="false">IF(OR(AW603="",BA603=""),"",IF(AW603&lt;=BA603,1,0))</f>
        <v/>
      </c>
      <c r="BC603" s="38" t="str">
        <f aca="false">IF(OR(BA603="",P603=""),"",WORKDAY(INT(P603),BA603,JoursFeries)+MOD(P603,1))</f>
        <v/>
      </c>
      <c r="BD603" s="39" t="str">
        <f aca="false">IF(AO603&lt;&gt;1,"",IF(OR(AB603&lt;&gt;"",AD603&lt;&gt;""),4,IF(U603&lt;&gt;"",3,IF(T603&lt;&gt;"",2,1))))</f>
        <v/>
      </c>
      <c r="BE603" s="39" t="str">
        <f aca="false">IF(OR(AO603&lt;&gt;1,AR603=""),"",INDEX(NIV_REQ,AR603))</f>
        <v/>
      </c>
      <c r="BF603" s="39" t="str">
        <f aca="false">IF(BE603="","",MAX(BE603,IF(OR(K603="Oui",Z603="Oui"),4,1)))</f>
        <v/>
      </c>
      <c r="BG603" s="35" t="str">
        <f aca="false">IF(OR(BF603="",BD603=""),"",IF(BD603&gt;=BF603,1,0))</f>
        <v/>
      </c>
      <c r="BH603" s="38" t="str">
        <f aca="false">IF(BE603="","",IF(BE603&lt;2,"",IF(BE603=2,IF(AND(T603="",U603=""),"",MIN(T603,U603)),IF(U603="","",U603))))</f>
        <v/>
      </c>
      <c r="BI603" s="37" t="str">
        <f aca="false">IF(BH603="","",IF(OR(O603="",BH603=""),"",IF(BH603&lt;O603,"",ROUND(((NETWORKDAYS(O603,BH603,JoursFeries)-1)*(HFer-HOuv)+IF(NETWORKDAYS(BH603,BH603,JoursFeries),MEDIAN(MOD(BH603,1),HFer,HOuv),HFer)-IF(NETWORKDAYS(O603,O603,JoursFeries),MEDIAN(MOD(O603,1),HFer,HOuv),HOuv))*24,4))))</f>
        <v/>
      </c>
      <c r="BJ603" s="35" t="str">
        <f aca="false">IF(OR(BI603="",AR603=""),"",IF(BI603&lt;=INDEX(DELAI_ESC,AR603),1,0))</f>
        <v/>
      </c>
      <c r="BK603" s="38" t="str">
        <f aca="false">IF(AO603&lt;&gt;1,"",IF(AND(T603="",U603=""),"",MIN(T603,U603)))</f>
        <v/>
      </c>
      <c r="BL603" s="37" t="str">
        <f aca="false">IF(OR(BK603="",R603=""),"",IFERROR(ROUND(IF(OR(BK603="",R603=""),"",IF(R603&lt;BK603,"",ROUND(((NETWORKDAYS(BK603,R603,JoursFeries)-1)*(HFer-HOuv)+IF(NETWORKDAYS(R603,R603,JoursFeries),MEDIAN(MOD(R603,1),HFer,HOuv),HFer)-IF(NETWORKDAYS(BK603,BK603,JoursFeries),MEDIAN(MOD(BK603,1),HFer,HOuv),HOuv))*24,4)))/HJour,4),""))</f>
        <v/>
      </c>
      <c r="BM603" s="35" t="str">
        <f aca="false">IF(OR(AO603&lt;&gt;1,R603=""),"",IF(BD603=1,1,0))</f>
        <v/>
      </c>
      <c r="BN603" s="35" t="str">
        <f aca="false">IF(AO603&lt;&gt;1,"",IF(W603="Oui",1,0))</f>
        <v/>
      </c>
      <c r="BO603" s="35" t="str">
        <f aca="false">IF(AO603&lt;&gt;1,"",IF(X603&lt;&gt;"",1,0))</f>
        <v/>
      </c>
      <c r="BP603" s="35" t="str">
        <f aca="false">IF(AO603&lt;&gt;1,"",IF(Y603="Oui",1,0))</f>
        <v/>
      </c>
      <c r="BQ603" s="35" t="str">
        <f aca="true">IF(OR(AO603&lt;&gt;1,Z603&lt;&gt;"Oui"),"",IF(AB603="",IF(AND(AA603&lt;&gt;"",NOW()&gt;AA603),0,""),IF(AA603="","",IF(AB603&lt;=AA603,1,0))))</f>
        <v/>
      </c>
      <c r="BR603" s="38" t="str">
        <f aca="false">IF(OR(AO603&lt;&gt;1,K603&lt;&gt;"Oui",O603=""),"",IF(AC603="",O603+DORA_H_DET/24,IF(AC603-O603&lt;=DORA_H_DET/24,MIN(AC603+DORA_H_CLA/24,O603+DORA_H_DET/24),AC603+DORA_H_CLA/24)))</f>
        <v/>
      </c>
      <c r="BS603" s="35" t="str">
        <f aca="true">IF(BR603="","",IF(AD603="",IF(NOW()&gt;BR603,0,""),IF(AD603&lt;=BR603,1,0)))</f>
        <v/>
      </c>
      <c r="BT603" s="35" t="str">
        <f aca="true">IF(OR(BR603="",AD603=""),"",IF(AE603="",IF(NOW()&gt;AD603+DORA_H_INT/24,0,""),IF(AE603&lt;=AD603+DORA_H_INT/24,1,0)))</f>
        <v/>
      </c>
      <c r="BU603" s="35" t="str">
        <f aca="true">IF(OR(BR603="",AE603=""),"",IF(AF603="",IF(NOW()&gt;EDATE(AE603,DORA_M_FIN)+1,0,""),IF(AF603&lt;=EDATE(AE603,DORA_M_FIN),1,0)))</f>
        <v/>
      </c>
      <c r="BV603" s="35" t="str">
        <f aca="false">IF(BR603="","",IF(COUNT(BS603:BU603)=0,"",MIN(BS603:BU603)))</f>
        <v/>
      </c>
      <c r="BW603" s="40" t="str">
        <f aca="false">IF(AQ603&lt;&gt;1,"",IF(AND(AG603="",AH603=""),"",N(AG603)-N(AH603)))</f>
        <v/>
      </c>
      <c r="BX603" s="35" t="str">
        <f aca="true">IF(OR(AQ603&lt;&gt;1,AI603&lt;&gt;"Oui",AJ603=""),"",IF(AK603="",IF(NOW()&gt;AJ603+1,0,""),IF(AK603&lt;=AJ603,1,0)))</f>
        <v/>
      </c>
    </row>
    <row r="604" customFormat="false" ht="15" hidden="false" customHeight="false" outlineLevel="0" collapsed="false">
      <c r="B604" s="29"/>
      <c r="C604" s="29"/>
      <c r="D604" s="29"/>
      <c r="E604" s="29"/>
      <c r="F604" s="29"/>
      <c r="G604" s="29"/>
      <c r="H604" s="29"/>
      <c r="I604" s="29"/>
      <c r="J604" s="29"/>
      <c r="K604" s="29"/>
      <c r="L604" s="29"/>
      <c r="M604" s="29"/>
      <c r="N604" s="30"/>
      <c r="O604" s="30"/>
      <c r="P604" s="30"/>
      <c r="Q604" s="30"/>
      <c r="R604" s="30"/>
      <c r="S604" s="30"/>
      <c r="T604" s="30"/>
      <c r="U604" s="30"/>
      <c r="V604" s="31"/>
      <c r="W604" s="29"/>
      <c r="X604" s="29"/>
      <c r="Y604" s="29"/>
      <c r="Z604" s="29"/>
      <c r="AA604" s="30"/>
      <c r="AB604" s="30"/>
      <c r="AC604" s="30"/>
      <c r="AD604" s="30"/>
      <c r="AE604" s="30"/>
      <c r="AF604" s="32"/>
      <c r="AG604" s="33"/>
      <c r="AH604" s="33"/>
      <c r="AI604" s="29"/>
      <c r="AJ604" s="32"/>
      <c r="AK604" s="32"/>
      <c r="AL604" s="29"/>
      <c r="AN604" s="34" t="str">
        <f aca="false">IF($B604="","",IF(OR(C604="",D604="",E604="",G604="",I604="",J604="",L604="",O604="",P604=""),"Champ obligatoire manquant",IF(OR(AND(N604&lt;&gt;"",N604&gt;O604),O604&gt;P604,AND(Q604&lt;&gt;"",Q604&lt;P604),AND(R604&lt;&gt;"",R604&lt;P604),AND(S604&lt;&gt;"",S604&lt;R604),AND(S604&lt;&gt;"",R604=""),AND(T604&lt;&gt;"",T604&lt;O604),AND(U604&lt;&gt;"",U604&lt;O604)),"Chronologie incohérente",IF(AND(OR(L604="Résolu",L604="Clos"),R604=""),"Date de résolution manquante",IF(AND(L604="Clos",S604=""),"Date de clôture manquante",IF(AND(K604="Oui",AC604=""),"Classification DORA manquante","OK"))))))</f>
        <v/>
      </c>
      <c r="AO604" s="35" t="str">
        <f aca="false">IF($B604="","",IF(AND(C604="Incident",L604&lt;&gt;"Annulé"),1,0))</f>
        <v/>
      </c>
      <c r="AP604" s="35" t="str">
        <f aca="false">IF($B604="","",IF(AND(C604="Quasi-incident",L604&lt;&gt;"Annulé"),1,0))</f>
        <v/>
      </c>
      <c r="AQ604" s="35" t="str">
        <f aca="false">IF($B604="","",AO604+AP604)</f>
        <v/>
      </c>
      <c r="AR604" s="36" t="str">
        <f aca="false">IF(OR($B604="",J604=""),"",IFERROR(VALUE(LEFT(J604,1)),""))</f>
        <v/>
      </c>
      <c r="AS604" s="35" t="str">
        <f aca="false">IF(OR(AO604&lt;&gt;1,G604=""),"",IFERROR(IF(INDEX(L_SrcInterne,MATCH(G604,L_Sources,0))="Oui",1,0),""))</f>
        <v/>
      </c>
      <c r="AT604" s="37" t="str">
        <f aca="false">IF(AO604&lt;&gt;1,"",IFERROR(ROUND(IF(OR(N604="",O604=""),"",IF(O604&lt;N604,"",ROUND(((NETWORKDAYS(N604,O604,JoursFeries)-1)*(HFer-HOuv)+IF(NETWORKDAYS(O604,O604,JoursFeries),MEDIAN(MOD(O604,1),HFer,HOuv),HFer)-IF(NETWORKDAYS(N604,N604,JoursFeries),MEDIAN(MOD(N604,1),HFer,HOuv),HOuv))*24,4)))/HJour,4),""))</f>
        <v/>
      </c>
      <c r="AU604" s="37" t="str">
        <f aca="false">IF(AO604&lt;&gt;1,"",IF(OR(O604="",P604=""),"",IF(P604&lt;O604,"",ROUND(((NETWORKDAYS(O604,P604,JoursFeries)-1)*(HFer-HOuv)+IF(NETWORKDAYS(P604,P604,JoursFeries),MEDIAN(MOD(P604,1),HFer,HOuv),HFer)-IF(NETWORKDAYS(O604,O604,JoursFeries),MEDIAN(MOD(O604,1),HFer,HOuv),HOuv))*24,4))))</f>
        <v/>
      </c>
      <c r="AV604" s="37" t="str">
        <f aca="false">IF(AO604&lt;&gt;1,"",IF(OR(P604="",Q604=""),"",IF(Q604&lt;P604,"",ROUND(((NETWORKDAYS(P604,Q604,JoursFeries)-1)*(HFer-HOuv)+IF(NETWORKDAYS(Q604,Q604,JoursFeries),MEDIAN(MOD(Q604,1),HFer,HOuv),HFer)-IF(NETWORKDAYS(P604,P604,JoursFeries),MEDIAN(MOD(P604,1),HFer,HOuv),HOuv))*24,4))))</f>
        <v/>
      </c>
      <c r="AW604" s="37" t="str">
        <f aca="false">IF(AO604&lt;&gt;1,"",IFERROR(ROUND(IF(OR(P604="",R604=""),"",IF(R604&lt;P604,"",ROUND(((NETWORKDAYS(P604,R604,JoursFeries)-1)*(HFer-HOuv)+IF(NETWORKDAYS(R604,R604,JoursFeries),MEDIAN(MOD(R604,1),HFer,HOuv),HFer)-IF(NETWORKDAYS(P604,P604,JoursFeries),MEDIAN(MOD(P604,1),HFer,HOuv),HOuv))*24,4)))/HJour,4),""))</f>
        <v/>
      </c>
      <c r="AX604" s="37" t="str">
        <f aca="false">IF(AO604&lt;&gt;1,"",IFERROR(ROUND(IF(OR(P604="",S604=""),"",IF(S604&lt;P604,"",ROUND(((NETWORKDAYS(P604,S604,JoursFeries)-1)*(HFer-HOuv)+IF(NETWORKDAYS(S604,S604,JoursFeries),MEDIAN(MOD(S604,1),HFer,HOuv),HFer)-IF(NETWORKDAYS(P604,P604,JoursFeries),MEDIAN(MOD(P604,1),HFer,HOuv),HOuv))*24,4)))/HJour,4),""))</f>
        <v/>
      </c>
      <c r="AY604" s="36" t="str">
        <f aca="false">IF(OR(AO604&lt;&gt;1,AR604=""),"",INDEX(SLA_PEC,AR604))</f>
        <v/>
      </c>
      <c r="AZ604" s="35" t="str">
        <f aca="false">IF(OR(AV604="",AY604=""),"",IF(AV604&lt;=AY604,1,0))</f>
        <v/>
      </c>
      <c r="BA604" s="36" t="str">
        <f aca="false">IF(OR(AO604&lt;&gt;1,AR604=""),"",INDEX(SLA_RES,AR604))</f>
        <v/>
      </c>
      <c r="BB604" s="35" t="str">
        <f aca="false">IF(OR(AW604="",BA604=""),"",IF(AW604&lt;=BA604,1,0))</f>
        <v/>
      </c>
      <c r="BC604" s="38" t="str">
        <f aca="false">IF(OR(BA604="",P604=""),"",WORKDAY(INT(P604),BA604,JoursFeries)+MOD(P604,1))</f>
        <v/>
      </c>
      <c r="BD604" s="39" t="str">
        <f aca="false">IF(AO604&lt;&gt;1,"",IF(OR(AB604&lt;&gt;"",AD604&lt;&gt;""),4,IF(U604&lt;&gt;"",3,IF(T604&lt;&gt;"",2,1))))</f>
        <v/>
      </c>
      <c r="BE604" s="39" t="str">
        <f aca="false">IF(OR(AO604&lt;&gt;1,AR604=""),"",INDEX(NIV_REQ,AR604))</f>
        <v/>
      </c>
      <c r="BF604" s="39" t="str">
        <f aca="false">IF(BE604="","",MAX(BE604,IF(OR(K604="Oui",Z604="Oui"),4,1)))</f>
        <v/>
      </c>
      <c r="BG604" s="35" t="str">
        <f aca="false">IF(OR(BF604="",BD604=""),"",IF(BD604&gt;=BF604,1,0))</f>
        <v/>
      </c>
      <c r="BH604" s="38" t="str">
        <f aca="false">IF(BE604="","",IF(BE604&lt;2,"",IF(BE604=2,IF(AND(T604="",U604=""),"",MIN(T604,U604)),IF(U604="","",U604))))</f>
        <v/>
      </c>
      <c r="BI604" s="37" t="str">
        <f aca="false">IF(BH604="","",IF(OR(O604="",BH604=""),"",IF(BH604&lt;O604,"",ROUND(((NETWORKDAYS(O604,BH604,JoursFeries)-1)*(HFer-HOuv)+IF(NETWORKDAYS(BH604,BH604,JoursFeries),MEDIAN(MOD(BH604,1),HFer,HOuv),HFer)-IF(NETWORKDAYS(O604,O604,JoursFeries),MEDIAN(MOD(O604,1),HFer,HOuv),HOuv))*24,4))))</f>
        <v/>
      </c>
      <c r="BJ604" s="35" t="str">
        <f aca="false">IF(OR(BI604="",AR604=""),"",IF(BI604&lt;=INDEX(DELAI_ESC,AR604),1,0))</f>
        <v/>
      </c>
      <c r="BK604" s="38" t="str">
        <f aca="false">IF(AO604&lt;&gt;1,"",IF(AND(T604="",U604=""),"",MIN(T604,U604)))</f>
        <v/>
      </c>
      <c r="BL604" s="37" t="str">
        <f aca="false">IF(OR(BK604="",R604=""),"",IFERROR(ROUND(IF(OR(BK604="",R604=""),"",IF(R604&lt;BK604,"",ROUND(((NETWORKDAYS(BK604,R604,JoursFeries)-1)*(HFer-HOuv)+IF(NETWORKDAYS(R604,R604,JoursFeries),MEDIAN(MOD(R604,1),HFer,HOuv),HFer)-IF(NETWORKDAYS(BK604,BK604,JoursFeries),MEDIAN(MOD(BK604,1),HFer,HOuv),HOuv))*24,4)))/HJour,4),""))</f>
        <v/>
      </c>
      <c r="BM604" s="35" t="str">
        <f aca="false">IF(OR(AO604&lt;&gt;1,R604=""),"",IF(BD604=1,1,0))</f>
        <v/>
      </c>
      <c r="BN604" s="35" t="str">
        <f aca="false">IF(AO604&lt;&gt;1,"",IF(W604="Oui",1,0))</f>
        <v/>
      </c>
      <c r="BO604" s="35" t="str">
        <f aca="false">IF(AO604&lt;&gt;1,"",IF(X604&lt;&gt;"",1,0))</f>
        <v/>
      </c>
      <c r="BP604" s="35" t="str">
        <f aca="false">IF(AO604&lt;&gt;1,"",IF(Y604="Oui",1,0))</f>
        <v/>
      </c>
      <c r="BQ604" s="35" t="str">
        <f aca="true">IF(OR(AO604&lt;&gt;1,Z604&lt;&gt;"Oui"),"",IF(AB604="",IF(AND(AA604&lt;&gt;"",NOW()&gt;AA604),0,""),IF(AA604="","",IF(AB604&lt;=AA604,1,0))))</f>
        <v/>
      </c>
      <c r="BR604" s="38" t="str">
        <f aca="false">IF(OR(AO604&lt;&gt;1,K604&lt;&gt;"Oui",O604=""),"",IF(AC604="",O604+DORA_H_DET/24,IF(AC604-O604&lt;=DORA_H_DET/24,MIN(AC604+DORA_H_CLA/24,O604+DORA_H_DET/24),AC604+DORA_H_CLA/24)))</f>
        <v/>
      </c>
      <c r="BS604" s="35" t="str">
        <f aca="true">IF(BR604="","",IF(AD604="",IF(NOW()&gt;BR604,0,""),IF(AD604&lt;=BR604,1,0)))</f>
        <v/>
      </c>
      <c r="BT604" s="35" t="str">
        <f aca="true">IF(OR(BR604="",AD604=""),"",IF(AE604="",IF(NOW()&gt;AD604+DORA_H_INT/24,0,""),IF(AE604&lt;=AD604+DORA_H_INT/24,1,0)))</f>
        <v/>
      </c>
      <c r="BU604" s="35" t="str">
        <f aca="true">IF(OR(BR604="",AE604=""),"",IF(AF604="",IF(NOW()&gt;EDATE(AE604,DORA_M_FIN)+1,0,""),IF(AF604&lt;=EDATE(AE604,DORA_M_FIN),1,0)))</f>
        <v/>
      </c>
      <c r="BV604" s="35" t="str">
        <f aca="false">IF(BR604="","",IF(COUNT(BS604:BU604)=0,"",MIN(BS604:BU604)))</f>
        <v/>
      </c>
      <c r="BW604" s="40" t="str">
        <f aca="false">IF(AQ604&lt;&gt;1,"",IF(AND(AG604="",AH604=""),"",N(AG604)-N(AH604)))</f>
        <v/>
      </c>
      <c r="BX604" s="35" t="str">
        <f aca="true">IF(OR(AQ604&lt;&gt;1,AI604&lt;&gt;"Oui",AJ604=""),"",IF(AK604="",IF(NOW()&gt;AJ604+1,0,""),IF(AK604&lt;=AJ604,1,0)))</f>
        <v/>
      </c>
    </row>
    <row r="605" customFormat="false" ht="15" hidden="false" customHeight="false" outlineLevel="0" collapsed="false">
      <c r="B605" s="29"/>
      <c r="C605" s="29"/>
      <c r="D605" s="29"/>
      <c r="E605" s="29"/>
      <c r="F605" s="29"/>
      <c r="G605" s="29"/>
      <c r="H605" s="29"/>
      <c r="I605" s="29"/>
      <c r="J605" s="29"/>
      <c r="K605" s="29"/>
      <c r="L605" s="29"/>
      <c r="M605" s="29"/>
      <c r="N605" s="30"/>
      <c r="O605" s="30"/>
      <c r="P605" s="30"/>
      <c r="Q605" s="30"/>
      <c r="R605" s="30"/>
      <c r="S605" s="30"/>
      <c r="T605" s="30"/>
      <c r="U605" s="30"/>
      <c r="V605" s="31"/>
      <c r="W605" s="29"/>
      <c r="X605" s="29"/>
      <c r="Y605" s="29"/>
      <c r="Z605" s="29"/>
      <c r="AA605" s="30"/>
      <c r="AB605" s="30"/>
      <c r="AC605" s="30"/>
      <c r="AD605" s="30"/>
      <c r="AE605" s="30"/>
      <c r="AF605" s="32"/>
      <c r="AG605" s="33"/>
      <c r="AH605" s="33"/>
      <c r="AI605" s="29"/>
      <c r="AJ605" s="32"/>
      <c r="AK605" s="32"/>
      <c r="AL605" s="29"/>
      <c r="AN605" s="34" t="str">
        <f aca="false">IF($B605="","",IF(OR(C605="",D605="",E605="",G605="",I605="",J605="",L605="",O605="",P605=""),"Champ obligatoire manquant",IF(OR(AND(N605&lt;&gt;"",N605&gt;O605),O605&gt;P605,AND(Q605&lt;&gt;"",Q605&lt;P605),AND(R605&lt;&gt;"",R605&lt;P605),AND(S605&lt;&gt;"",S605&lt;R605),AND(S605&lt;&gt;"",R605=""),AND(T605&lt;&gt;"",T605&lt;O605),AND(U605&lt;&gt;"",U605&lt;O605)),"Chronologie incohérente",IF(AND(OR(L605="Résolu",L605="Clos"),R605=""),"Date de résolution manquante",IF(AND(L605="Clos",S605=""),"Date de clôture manquante",IF(AND(K605="Oui",AC605=""),"Classification DORA manquante","OK"))))))</f>
        <v/>
      </c>
      <c r="AO605" s="35" t="str">
        <f aca="false">IF($B605="","",IF(AND(C605="Incident",L605&lt;&gt;"Annulé"),1,0))</f>
        <v/>
      </c>
      <c r="AP605" s="35" t="str">
        <f aca="false">IF($B605="","",IF(AND(C605="Quasi-incident",L605&lt;&gt;"Annulé"),1,0))</f>
        <v/>
      </c>
      <c r="AQ605" s="35" t="str">
        <f aca="false">IF($B605="","",AO605+AP605)</f>
        <v/>
      </c>
      <c r="AR605" s="36" t="str">
        <f aca="false">IF(OR($B605="",J605=""),"",IFERROR(VALUE(LEFT(J605,1)),""))</f>
        <v/>
      </c>
      <c r="AS605" s="35" t="str">
        <f aca="false">IF(OR(AO605&lt;&gt;1,G605=""),"",IFERROR(IF(INDEX(L_SrcInterne,MATCH(G605,L_Sources,0))="Oui",1,0),""))</f>
        <v/>
      </c>
      <c r="AT605" s="37" t="str">
        <f aca="false">IF(AO605&lt;&gt;1,"",IFERROR(ROUND(IF(OR(N605="",O605=""),"",IF(O605&lt;N605,"",ROUND(((NETWORKDAYS(N605,O605,JoursFeries)-1)*(HFer-HOuv)+IF(NETWORKDAYS(O605,O605,JoursFeries),MEDIAN(MOD(O605,1),HFer,HOuv),HFer)-IF(NETWORKDAYS(N605,N605,JoursFeries),MEDIAN(MOD(N605,1),HFer,HOuv),HOuv))*24,4)))/HJour,4),""))</f>
        <v/>
      </c>
      <c r="AU605" s="37" t="str">
        <f aca="false">IF(AO605&lt;&gt;1,"",IF(OR(O605="",P605=""),"",IF(P605&lt;O605,"",ROUND(((NETWORKDAYS(O605,P605,JoursFeries)-1)*(HFer-HOuv)+IF(NETWORKDAYS(P605,P605,JoursFeries),MEDIAN(MOD(P605,1),HFer,HOuv),HFer)-IF(NETWORKDAYS(O605,O605,JoursFeries),MEDIAN(MOD(O605,1),HFer,HOuv),HOuv))*24,4))))</f>
        <v/>
      </c>
      <c r="AV605" s="37" t="str">
        <f aca="false">IF(AO605&lt;&gt;1,"",IF(OR(P605="",Q605=""),"",IF(Q605&lt;P605,"",ROUND(((NETWORKDAYS(P605,Q605,JoursFeries)-1)*(HFer-HOuv)+IF(NETWORKDAYS(Q605,Q605,JoursFeries),MEDIAN(MOD(Q605,1),HFer,HOuv),HFer)-IF(NETWORKDAYS(P605,P605,JoursFeries),MEDIAN(MOD(P605,1),HFer,HOuv),HOuv))*24,4))))</f>
        <v/>
      </c>
      <c r="AW605" s="37" t="str">
        <f aca="false">IF(AO605&lt;&gt;1,"",IFERROR(ROUND(IF(OR(P605="",R605=""),"",IF(R605&lt;P605,"",ROUND(((NETWORKDAYS(P605,R605,JoursFeries)-1)*(HFer-HOuv)+IF(NETWORKDAYS(R605,R605,JoursFeries),MEDIAN(MOD(R605,1),HFer,HOuv),HFer)-IF(NETWORKDAYS(P605,P605,JoursFeries),MEDIAN(MOD(P605,1),HFer,HOuv),HOuv))*24,4)))/HJour,4),""))</f>
        <v/>
      </c>
      <c r="AX605" s="37" t="str">
        <f aca="false">IF(AO605&lt;&gt;1,"",IFERROR(ROUND(IF(OR(P605="",S605=""),"",IF(S605&lt;P605,"",ROUND(((NETWORKDAYS(P605,S605,JoursFeries)-1)*(HFer-HOuv)+IF(NETWORKDAYS(S605,S605,JoursFeries),MEDIAN(MOD(S605,1),HFer,HOuv),HFer)-IF(NETWORKDAYS(P605,P605,JoursFeries),MEDIAN(MOD(P605,1),HFer,HOuv),HOuv))*24,4)))/HJour,4),""))</f>
        <v/>
      </c>
      <c r="AY605" s="36" t="str">
        <f aca="false">IF(OR(AO605&lt;&gt;1,AR605=""),"",INDEX(SLA_PEC,AR605))</f>
        <v/>
      </c>
      <c r="AZ605" s="35" t="str">
        <f aca="false">IF(OR(AV605="",AY605=""),"",IF(AV605&lt;=AY605,1,0))</f>
        <v/>
      </c>
      <c r="BA605" s="36" t="str">
        <f aca="false">IF(OR(AO605&lt;&gt;1,AR605=""),"",INDEX(SLA_RES,AR605))</f>
        <v/>
      </c>
      <c r="BB605" s="35" t="str">
        <f aca="false">IF(OR(AW605="",BA605=""),"",IF(AW605&lt;=BA605,1,0))</f>
        <v/>
      </c>
      <c r="BC605" s="38" t="str">
        <f aca="false">IF(OR(BA605="",P605=""),"",WORKDAY(INT(P605),BA605,JoursFeries)+MOD(P605,1))</f>
        <v/>
      </c>
      <c r="BD605" s="39" t="str">
        <f aca="false">IF(AO605&lt;&gt;1,"",IF(OR(AB605&lt;&gt;"",AD605&lt;&gt;""),4,IF(U605&lt;&gt;"",3,IF(T605&lt;&gt;"",2,1))))</f>
        <v/>
      </c>
      <c r="BE605" s="39" t="str">
        <f aca="false">IF(OR(AO605&lt;&gt;1,AR605=""),"",INDEX(NIV_REQ,AR605))</f>
        <v/>
      </c>
      <c r="BF605" s="39" t="str">
        <f aca="false">IF(BE605="","",MAX(BE605,IF(OR(K605="Oui",Z605="Oui"),4,1)))</f>
        <v/>
      </c>
      <c r="BG605" s="35" t="str">
        <f aca="false">IF(OR(BF605="",BD605=""),"",IF(BD605&gt;=BF605,1,0))</f>
        <v/>
      </c>
      <c r="BH605" s="38" t="str">
        <f aca="false">IF(BE605="","",IF(BE605&lt;2,"",IF(BE605=2,IF(AND(T605="",U605=""),"",MIN(T605,U605)),IF(U605="","",U605))))</f>
        <v/>
      </c>
      <c r="BI605" s="37" t="str">
        <f aca="false">IF(BH605="","",IF(OR(O605="",BH605=""),"",IF(BH605&lt;O605,"",ROUND(((NETWORKDAYS(O605,BH605,JoursFeries)-1)*(HFer-HOuv)+IF(NETWORKDAYS(BH605,BH605,JoursFeries),MEDIAN(MOD(BH605,1),HFer,HOuv),HFer)-IF(NETWORKDAYS(O605,O605,JoursFeries),MEDIAN(MOD(O605,1),HFer,HOuv),HOuv))*24,4))))</f>
        <v/>
      </c>
      <c r="BJ605" s="35" t="str">
        <f aca="false">IF(OR(BI605="",AR605=""),"",IF(BI605&lt;=INDEX(DELAI_ESC,AR605),1,0))</f>
        <v/>
      </c>
      <c r="BK605" s="38" t="str">
        <f aca="false">IF(AO605&lt;&gt;1,"",IF(AND(T605="",U605=""),"",MIN(T605,U605)))</f>
        <v/>
      </c>
      <c r="BL605" s="37" t="str">
        <f aca="false">IF(OR(BK605="",R605=""),"",IFERROR(ROUND(IF(OR(BK605="",R605=""),"",IF(R605&lt;BK605,"",ROUND(((NETWORKDAYS(BK605,R605,JoursFeries)-1)*(HFer-HOuv)+IF(NETWORKDAYS(R605,R605,JoursFeries),MEDIAN(MOD(R605,1),HFer,HOuv),HFer)-IF(NETWORKDAYS(BK605,BK605,JoursFeries),MEDIAN(MOD(BK605,1),HFer,HOuv),HOuv))*24,4)))/HJour,4),""))</f>
        <v/>
      </c>
      <c r="BM605" s="35" t="str">
        <f aca="false">IF(OR(AO605&lt;&gt;1,R605=""),"",IF(BD605=1,1,0))</f>
        <v/>
      </c>
      <c r="BN605" s="35" t="str">
        <f aca="false">IF(AO605&lt;&gt;1,"",IF(W605="Oui",1,0))</f>
        <v/>
      </c>
      <c r="BO605" s="35" t="str">
        <f aca="false">IF(AO605&lt;&gt;1,"",IF(X605&lt;&gt;"",1,0))</f>
        <v/>
      </c>
      <c r="BP605" s="35" t="str">
        <f aca="false">IF(AO605&lt;&gt;1,"",IF(Y605="Oui",1,0))</f>
        <v/>
      </c>
      <c r="BQ605" s="35" t="str">
        <f aca="true">IF(OR(AO605&lt;&gt;1,Z605&lt;&gt;"Oui"),"",IF(AB605="",IF(AND(AA605&lt;&gt;"",NOW()&gt;AA605),0,""),IF(AA605="","",IF(AB605&lt;=AA605,1,0))))</f>
        <v/>
      </c>
      <c r="BR605" s="38" t="str">
        <f aca="false">IF(OR(AO605&lt;&gt;1,K605&lt;&gt;"Oui",O605=""),"",IF(AC605="",O605+DORA_H_DET/24,IF(AC605-O605&lt;=DORA_H_DET/24,MIN(AC605+DORA_H_CLA/24,O605+DORA_H_DET/24),AC605+DORA_H_CLA/24)))</f>
        <v/>
      </c>
      <c r="BS605" s="35" t="str">
        <f aca="true">IF(BR605="","",IF(AD605="",IF(NOW()&gt;BR605,0,""),IF(AD605&lt;=BR605,1,0)))</f>
        <v/>
      </c>
      <c r="BT605" s="35" t="str">
        <f aca="true">IF(OR(BR605="",AD605=""),"",IF(AE605="",IF(NOW()&gt;AD605+DORA_H_INT/24,0,""),IF(AE605&lt;=AD605+DORA_H_INT/24,1,0)))</f>
        <v/>
      </c>
      <c r="BU605" s="35" t="str">
        <f aca="true">IF(OR(BR605="",AE605=""),"",IF(AF605="",IF(NOW()&gt;EDATE(AE605,DORA_M_FIN)+1,0,""),IF(AF605&lt;=EDATE(AE605,DORA_M_FIN),1,0)))</f>
        <v/>
      </c>
      <c r="BV605" s="35" t="str">
        <f aca="false">IF(BR605="","",IF(COUNT(BS605:BU605)=0,"",MIN(BS605:BU605)))</f>
        <v/>
      </c>
      <c r="BW605" s="40" t="str">
        <f aca="false">IF(AQ605&lt;&gt;1,"",IF(AND(AG605="",AH605=""),"",N(AG605)-N(AH605)))</f>
        <v/>
      </c>
      <c r="BX605" s="35" t="str">
        <f aca="true">IF(OR(AQ605&lt;&gt;1,AI605&lt;&gt;"Oui",AJ605=""),"",IF(AK605="",IF(NOW()&gt;AJ605+1,0,""),IF(AK605&lt;=AJ605,1,0)))</f>
        <v/>
      </c>
    </row>
    <row r="606" customFormat="false" ht="15" hidden="false" customHeight="false" outlineLevel="0" collapsed="false">
      <c r="B606" s="29"/>
      <c r="C606" s="29"/>
      <c r="D606" s="29"/>
      <c r="E606" s="29"/>
      <c r="F606" s="29"/>
      <c r="G606" s="29"/>
      <c r="H606" s="29"/>
      <c r="I606" s="29"/>
      <c r="J606" s="29"/>
      <c r="K606" s="29"/>
      <c r="L606" s="29"/>
      <c r="M606" s="29"/>
      <c r="N606" s="30"/>
      <c r="O606" s="30"/>
      <c r="P606" s="30"/>
      <c r="Q606" s="30"/>
      <c r="R606" s="30"/>
      <c r="S606" s="30"/>
      <c r="T606" s="30"/>
      <c r="U606" s="30"/>
      <c r="V606" s="31"/>
      <c r="W606" s="29"/>
      <c r="X606" s="29"/>
      <c r="Y606" s="29"/>
      <c r="Z606" s="29"/>
      <c r="AA606" s="30"/>
      <c r="AB606" s="30"/>
      <c r="AC606" s="30"/>
      <c r="AD606" s="30"/>
      <c r="AE606" s="30"/>
      <c r="AF606" s="32"/>
      <c r="AG606" s="33"/>
      <c r="AH606" s="33"/>
      <c r="AI606" s="29"/>
      <c r="AJ606" s="32"/>
      <c r="AK606" s="32"/>
      <c r="AL606" s="29"/>
      <c r="AN606" s="34" t="str">
        <f aca="false">IF($B606="","",IF(OR(C606="",D606="",E606="",G606="",I606="",J606="",L606="",O606="",P606=""),"Champ obligatoire manquant",IF(OR(AND(N606&lt;&gt;"",N606&gt;O606),O606&gt;P606,AND(Q606&lt;&gt;"",Q606&lt;P606),AND(R606&lt;&gt;"",R606&lt;P606),AND(S606&lt;&gt;"",S606&lt;R606),AND(S606&lt;&gt;"",R606=""),AND(T606&lt;&gt;"",T606&lt;O606),AND(U606&lt;&gt;"",U606&lt;O606)),"Chronologie incohérente",IF(AND(OR(L606="Résolu",L606="Clos"),R606=""),"Date de résolution manquante",IF(AND(L606="Clos",S606=""),"Date de clôture manquante",IF(AND(K606="Oui",AC606=""),"Classification DORA manquante","OK"))))))</f>
        <v/>
      </c>
      <c r="AO606" s="35" t="str">
        <f aca="false">IF($B606="","",IF(AND(C606="Incident",L606&lt;&gt;"Annulé"),1,0))</f>
        <v/>
      </c>
      <c r="AP606" s="35" t="str">
        <f aca="false">IF($B606="","",IF(AND(C606="Quasi-incident",L606&lt;&gt;"Annulé"),1,0))</f>
        <v/>
      </c>
      <c r="AQ606" s="35" t="str">
        <f aca="false">IF($B606="","",AO606+AP606)</f>
        <v/>
      </c>
      <c r="AR606" s="36" t="str">
        <f aca="false">IF(OR($B606="",J606=""),"",IFERROR(VALUE(LEFT(J606,1)),""))</f>
        <v/>
      </c>
      <c r="AS606" s="35" t="str">
        <f aca="false">IF(OR(AO606&lt;&gt;1,G606=""),"",IFERROR(IF(INDEX(L_SrcInterne,MATCH(G606,L_Sources,0))="Oui",1,0),""))</f>
        <v/>
      </c>
      <c r="AT606" s="37" t="str">
        <f aca="false">IF(AO606&lt;&gt;1,"",IFERROR(ROUND(IF(OR(N606="",O606=""),"",IF(O606&lt;N606,"",ROUND(((NETWORKDAYS(N606,O606,JoursFeries)-1)*(HFer-HOuv)+IF(NETWORKDAYS(O606,O606,JoursFeries),MEDIAN(MOD(O606,1),HFer,HOuv),HFer)-IF(NETWORKDAYS(N606,N606,JoursFeries),MEDIAN(MOD(N606,1),HFer,HOuv),HOuv))*24,4)))/HJour,4),""))</f>
        <v/>
      </c>
      <c r="AU606" s="37" t="str">
        <f aca="false">IF(AO606&lt;&gt;1,"",IF(OR(O606="",P606=""),"",IF(P606&lt;O606,"",ROUND(((NETWORKDAYS(O606,P606,JoursFeries)-1)*(HFer-HOuv)+IF(NETWORKDAYS(P606,P606,JoursFeries),MEDIAN(MOD(P606,1),HFer,HOuv),HFer)-IF(NETWORKDAYS(O606,O606,JoursFeries),MEDIAN(MOD(O606,1),HFer,HOuv),HOuv))*24,4))))</f>
        <v/>
      </c>
      <c r="AV606" s="37" t="str">
        <f aca="false">IF(AO606&lt;&gt;1,"",IF(OR(P606="",Q606=""),"",IF(Q606&lt;P606,"",ROUND(((NETWORKDAYS(P606,Q606,JoursFeries)-1)*(HFer-HOuv)+IF(NETWORKDAYS(Q606,Q606,JoursFeries),MEDIAN(MOD(Q606,1),HFer,HOuv),HFer)-IF(NETWORKDAYS(P606,P606,JoursFeries),MEDIAN(MOD(P606,1),HFer,HOuv),HOuv))*24,4))))</f>
        <v/>
      </c>
      <c r="AW606" s="37" t="str">
        <f aca="false">IF(AO606&lt;&gt;1,"",IFERROR(ROUND(IF(OR(P606="",R606=""),"",IF(R606&lt;P606,"",ROUND(((NETWORKDAYS(P606,R606,JoursFeries)-1)*(HFer-HOuv)+IF(NETWORKDAYS(R606,R606,JoursFeries),MEDIAN(MOD(R606,1),HFer,HOuv),HFer)-IF(NETWORKDAYS(P606,P606,JoursFeries),MEDIAN(MOD(P606,1),HFer,HOuv),HOuv))*24,4)))/HJour,4),""))</f>
        <v/>
      </c>
      <c r="AX606" s="37" t="str">
        <f aca="false">IF(AO606&lt;&gt;1,"",IFERROR(ROUND(IF(OR(P606="",S606=""),"",IF(S606&lt;P606,"",ROUND(((NETWORKDAYS(P606,S606,JoursFeries)-1)*(HFer-HOuv)+IF(NETWORKDAYS(S606,S606,JoursFeries),MEDIAN(MOD(S606,1),HFer,HOuv),HFer)-IF(NETWORKDAYS(P606,P606,JoursFeries),MEDIAN(MOD(P606,1),HFer,HOuv),HOuv))*24,4)))/HJour,4),""))</f>
        <v/>
      </c>
      <c r="AY606" s="36" t="str">
        <f aca="false">IF(OR(AO606&lt;&gt;1,AR606=""),"",INDEX(SLA_PEC,AR606))</f>
        <v/>
      </c>
      <c r="AZ606" s="35" t="str">
        <f aca="false">IF(OR(AV606="",AY606=""),"",IF(AV606&lt;=AY606,1,0))</f>
        <v/>
      </c>
      <c r="BA606" s="36" t="str">
        <f aca="false">IF(OR(AO606&lt;&gt;1,AR606=""),"",INDEX(SLA_RES,AR606))</f>
        <v/>
      </c>
      <c r="BB606" s="35" t="str">
        <f aca="false">IF(OR(AW606="",BA606=""),"",IF(AW606&lt;=BA606,1,0))</f>
        <v/>
      </c>
      <c r="BC606" s="38" t="str">
        <f aca="false">IF(OR(BA606="",P606=""),"",WORKDAY(INT(P606),BA606,JoursFeries)+MOD(P606,1))</f>
        <v/>
      </c>
      <c r="BD606" s="39" t="str">
        <f aca="false">IF(AO606&lt;&gt;1,"",IF(OR(AB606&lt;&gt;"",AD606&lt;&gt;""),4,IF(U606&lt;&gt;"",3,IF(T606&lt;&gt;"",2,1))))</f>
        <v/>
      </c>
      <c r="BE606" s="39" t="str">
        <f aca="false">IF(OR(AO606&lt;&gt;1,AR606=""),"",INDEX(NIV_REQ,AR606))</f>
        <v/>
      </c>
      <c r="BF606" s="39" t="str">
        <f aca="false">IF(BE606="","",MAX(BE606,IF(OR(K606="Oui",Z606="Oui"),4,1)))</f>
        <v/>
      </c>
      <c r="BG606" s="35" t="str">
        <f aca="false">IF(OR(BF606="",BD606=""),"",IF(BD606&gt;=BF606,1,0))</f>
        <v/>
      </c>
      <c r="BH606" s="38" t="str">
        <f aca="false">IF(BE606="","",IF(BE606&lt;2,"",IF(BE606=2,IF(AND(T606="",U606=""),"",MIN(T606,U606)),IF(U606="","",U606))))</f>
        <v/>
      </c>
      <c r="BI606" s="37" t="str">
        <f aca="false">IF(BH606="","",IF(OR(O606="",BH606=""),"",IF(BH606&lt;O606,"",ROUND(((NETWORKDAYS(O606,BH606,JoursFeries)-1)*(HFer-HOuv)+IF(NETWORKDAYS(BH606,BH606,JoursFeries),MEDIAN(MOD(BH606,1),HFer,HOuv),HFer)-IF(NETWORKDAYS(O606,O606,JoursFeries),MEDIAN(MOD(O606,1),HFer,HOuv),HOuv))*24,4))))</f>
        <v/>
      </c>
      <c r="BJ606" s="35" t="str">
        <f aca="false">IF(OR(BI606="",AR606=""),"",IF(BI606&lt;=INDEX(DELAI_ESC,AR606),1,0))</f>
        <v/>
      </c>
      <c r="BK606" s="38" t="str">
        <f aca="false">IF(AO606&lt;&gt;1,"",IF(AND(T606="",U606=""),"",MIN(T606,U606)))</f>
        <v/>
      </c>
      <c r="BL606" s="37" t="str">
        <f aca="false">IF(OR(BK606="",R606=""),"",IFERROR(ROUND(IF(OR(BK606="",R606=""),"",IF(R606&lt;BK606,"",ROUND(((NETWORKDAYS(BK606,R606,JoursFeries)-1)*(HFer-HOuv)+IF(NETWORKDAYS(R606,R606,JoursFeries),MEDIAN(MOD(R606,1),HFer,HOuv),HFer)-IF(NETWORKDAYS(BK606,BK606,JoursFeries),MEDIAN(MOD(BK606,1),HFer,HOuv),HOuv))*24,4)))/HJour,4),""))</f>
        <v/>
      </c>
      <c r="BM606" s="35" t="str">
        <f aca="false">IF(OR(AO606&lt;&gt;1,R606=""),"",IF(BD606=1,1,0))</f>
        <v/>
      </c>
      <c r="BN606" s="35" t="str">
        <f aca="false">IF(AO606&lt;&gt;1,"",IF(W606="Oui",1,0))</f>
        <v/>
      </c>
      <c r="BO606" s="35" t="str">
        <f aca="false">IF(AO606&lt;&gt;1,"",IF(X606&lt;&gt;"",1,0))</f>
        <v/>
      </c>
      <c r="BP606" s="35" t="str">
        <f aca="false">IF(AO606&lt;&gt;1,"",IF(Y606="Oui",1,0))</f>
        <v/>
      </c>
      <c r="BQ606" s="35" t="str">
        <f aca="true">IF(OR(AO606&lt;&gt;1,Z606&lt;&gt;"Oui"),"",IF(AB606="",IF(AND(AA606&lt;&gt;"",NOW()&gt;AA606),0,""),IF(AA606="","",IF(AB606&lt;=AA606,1,0))))</f>
        <v/>
      </c>
      <c r="BR606" s="38" t="str">
        <f aca="false">IF(OR(AO606&lt;&gt;1,K606&lt;&gt;"Oui",O606=""),"",IF(AC606="",O606+DORA_H_DET/24,IF(AC606-O606&lt;=DORA_H_DET/24,MIN(AC606+DORA_H_CLA/24,O606+DORA_H_DET/24),AC606+DORA_H_CLA/24)))</f>
        <v/>
      </c>
      <c r="BS606" s="35" t="str">
        <f aca="true">IF(BR606="","",IF(AD606="",IF(NOW()&gt;BR606,0,""),IF(AD606&lt;=BR606,1,0)))</f>
        <v/>
      </c>
      <c r="BT606" s="35" t="str">
        <f aca="true">IF(OR(BR606="",AD606=""),"",IF(AE606="",IF(NOW()&gt;AD606+DORA_H_INT/24,0,""),IF(AE606&lt;=AD606+DORA_H_INT/24,1,0)))</f>
        <v/>
      </c>
      <c r="BU606" s="35" t="str">
        <f aca="true">IF(OR(BR606="",AE606=""),"",IF(AF606="",IF(NOW()&gt;EDATE(AE606,DORA_M_FIN)+1,0,""),IF(AF606&lt;=EDATE(AE606,DORA_M_FIN),1,0)))</f>
        <v/>
      </c>
      <c r="BV606" s="35" t="str">
        <f aca="false">IF(BR606="","",IF(COUNT(BS606:BU606)=0,"",MIN(BS606:BU606)))</f>
        <v/>
      </c>
      <c r="BW606" s="40" t="str">
        <f aca="false">IF(AQ606&lt;&gt;1,"",IF(AND(AG606="",AH606=""),"",N(AG606)-N(AH606)))</f>
        <v/>
      </c>
      <c r="BX606" s="35" t="str">
        <f aca="true">IF(OR(AQ606&lt;&gt;1,AI606&lt;&gt;"Oui",AJ606=""),"",IF(AK606="",IF(NOW()&gt;AJ606+1,0,""),IF(AK606&lt;=AJ606,1,0)))</f>
        <v/>
      </c>
    </row>
    <row r="607" customFormat="false" ht="15" hidden="false" customHeight="false" outlineLevel="0" collapsed="false">
      <c r="B607" s="29"/>
      <c r="C607" s="29"/>
      <c r="D607" s="29"/>
      <c r="E607" s="29"/>
      <c r="F607" s="29"/>
      <c r="G607" s="29"/>
      <c r="H607" s="29"/>
      <c r="I607" s="29"/>
      <c r="J607" s="29"/>
      <c r="K607" s="29"/>
      <c r="L607" s="29"/>
      <c r="M607" s="29"/>
      <c r="N607" s="30"/>
      <c r="O607" s="30"/>
      <c r="P607" s="30"/>
      <c r="Q607" s="30"/>
      <c r="R607" s="30"/>
      <c r="S607" s="30"/>
      <c r="T607" s="30"/>
      <c r="U607" s="30"/>
      <c r="V607" s="31"/>
      <c r="W607" s="29"/>
      <c r="X607" s="29"/>
      <c r="Y607" s="29"/>
      <c r="Z607" s="29"/>
      <c r="AA607" s="30"/>
      <c r="AB607" s="30"/>
      <c r="AC607" s="30"/>
      <c r="AD607" s="30"/>
      <c r="AE607" s="30"/>
      <c r="AF607" s="32"/>
      <c r="AG607" s="33"/>
      <c r="AH607" s="33"/>
      <c r="AI607" s="29"/>
      <c r="AJ607" s="32"/>
      <c r="AK607" s="32"/>
      <c r="AL607" s="29"/>
      <c r="AN607" s="34" t="str">
        <f aca="false">IF($B607="","",IF(OR(C607="",D607="",E607="",G607="",I607="",J607="",L607="",O607="",P607=""),"Champ obligatoire manquant",IF(OR(AND(N607&lt;&gt;"",N607&gt;O607),O607&gt;P607,AND(Q607&lt;&gt;"",Q607&lt;P607),AND(R607&lt;&gt;"",R607&lt;P607),AND(S607&lt;&gt;"",S607&lt;R607),AND(S607&lt;&gt;"",R607=""),AND(T607&lt;&gt;"",T607&lt;O607),AND(U607&lt;&gt;"",U607&lt;O607)),"Chronologie incohérente",IF(AND(OR(L607="Résolu",L607="Clos"),R607=""),"Date de résolution manquante",IF(AND(L607="Clos",S607=""),"Date de clôture manquante",IF(AND(K607="Oui",AC607=""),"Classification DORA manquante","OK"))))))</f>
        <v/>
      </c>
      <c r="AO607" s="35" t="str">
        <f aca="false">IF($B607="","",IF(AND(C607="Incident",L607&lt;&gt;"Annulé"),1,0))</f>
        <v/>
      </c>
      <c r="AP607" s="35" t="str">
        <f aca="false">IF($B607="","",IF(AND(C607="Quasi-incident",L607&lt;&gt;"Annulé"),1,0))</f>
        <v/>
      </c>
      <c r="AQ607" s="35" t="str">
        <f aca="false">IF($B607="","",AO607+AP607)</f>
        <v/>
      </c>
      <c r="AR607" s="36" t="str">
        <f aca="false">IF(OR($B607="",J607=""),"",IFERROR(VALUE(LEFT(J607,1)),""))</f>
        <v/>
      </c>
      <c r="AS607" s="35" t="str">
        <f aca="false">IF(OR(AO607&lt;&gt;1,G607=""),"",IFERROR(IF(INDEX(L_SrcInterne,MATCH(G607,L_Sources,0))="Oui",1,0),""))</f>
        <v/>
      </c>
      <c r="AT607" s="37" t="str">
        <f aca="false">IF(AO607&lt;&gt;1,"",IFERROR(ROUND(IF(OR(N607="",O607=""),"",IF(O607&lt;N607,"",ROUND(((NETWORKDAYS(N607,O607,JoursFeries)-1)*(HFer-HOuv)+IF(NETWORKDAYS(O607,O607,JoursFeries),MEDIAN(MOD(O607,1),HFer,HOuv),HFer)-IF(NETWORKDAYS(N607,N607,JoursFeries),MEDIAN(MOD(N607,1),HFer,HOuv),HOuv))*24,4)))/HJour,4),""))</f>
        <v/>
      </c>
      <c r="AU607" s="37" t="str">
        <f aca="false">IF(AO607&lt;&gt;1,"",IF(OR(O607="",P607=""),"",IF(P607&lt;O607,"",ROUND(((NETWORKDAYS(O607,P607,JoursFeries)-1)*(HFer-HOuv)+IF(NETWORKDAYS(P607,P607,JoursFeries),MEDIAN(MOD(P607,1),HFer,HOuv),HFer)-IF(NETWORKDAYS(O607,O607,JoursFeries),MEDIAN(MOD(O607,1),HFer,HOuv),HOuv))*24,4))))</f>
        <v/>
      </c>
      <c r="AV607" s="37" t="str">
        <f aca="false">IF(AO607&lt;&gt;1,"",IF(OR(P607="",Q607=""),"",IF(Q607&lt;P607,"",ROUND(((NETWORKDAYS(P607,Q607,JoursFeries)-1)*(HFer-HOuv)+IF(NETWORKDAYS(Q607,Q607,JoursFeries),MEDIAN(MOD(Q607,1),HFer,HOuv),HFer)-IF(NETWORKDAYS(P607,P607,JoursFeries),MEDIAN(MOD(P607,1),HFer,HOuv),HOuv))*24,4))))</f>
        <v/>
      </c>
      <c r="AW607" s="37" t="str">
        <f aca="false">IF(AO607&lt;&gt;1,"",IFERROR(ROUND(IF(OR(P607="",R607=""),"",IF(R607&lt;P607,"",ROUND(((NETWORKDAYS(P607,R607,JoursFeries)-1)*(HFer-HOuv)+IF(NETWORKDAYS(R607,R607,JoursFeries),MEDIAN(MOD(R607,1),HFer,HOuv),HFer)-IF(NETWORKDAYS(P607,P607,JoursFeries),MEDIAN(MOD(P607,1),HFer,HOuv),HOuv))*24,4)))/HJour,4),""))</f>
        <v/>
      </c>
      <c r="AX607" s="37" t="str">
        <f aca="false">IF(AO607&lt;&gt;1,"",IFERROR(ROUND(IF(OR(P607="",S607=""),"",IF(S607&lt;P607,"",ROUND(((NETWORKDAYS(P607,S607,JoursFeries)-1)*(HFer-HOuv)+IF(NETWORKDAYS(S607,S607,JoursFeries),MEDIAN(MOD(S607,1),HFer,HOuv),HFer)-IF(NETWORKDAYS(P607,P607,JoursFeries),MEDIAN(MOD(P607,1),HFer,HOuv),HOuv))*24,4)))/HJour,4),""))</f>
        <v/>
      </c>
      <c r="AY607" s="36" t="str">
        <f aca="false">IF(OR(AO607&lt;&gt;1,AR607=""),"",INDEX(SLA_PEC,AR607))</f>
        <v/>
      </c>
      <c r="AZ607" s="35" t="str">
        <f aca="false">IF(OR(AV607="",AY607=""),"",IF(AV607&lt;=AY607,1,0))</f>
        <v/>
      </c>
      <c r="BA607" s="36" t="str">
        <f aca="false">IF(OR(AO607&lt;&gt;1,AR607=""),"",INDEX(SLA_RES,AR607))</f>
        <v/>
      </c>
      <c r="BB607" s="35" t="str">
        <f aca="false">IF(OR(AW607="",BA607=""),"",IF(AW607&lt;=BA607,1,0))</f>
        <v/>
      </c>
      <c r="BC607" s="38" t="str">
        <f aca="false">IF(OR(BA607="",P607=""),"",WORKDAY(INT(P607),BA607,JoursFeries)+MOD(P607,1))</f>
        <v/>
      </c>
      <c r="BD607" s="39" t="str">
        <f aca="false">IF(AO607&lt;&gt;1,"",IF(OR(AB607&lt;&gt;"",AD607&lt;&gt;""),4,IF(U607&lt;&gt;"",3,IF(T607&lt;&gt;"",2,1))))</f>
        <v/>
      </c>
      <c r="BE607" s="39" t="str">
        <f aca="false">IF(OR(AO607&lt;&gt;1,AR607=""),"",INDEX(NIV_REQ,AR607))</f>
        <v/>
      </c>
      <c r="BF607" s="39" t="str">
        <f aca="false">IF(BE607="","",MAX(BE607,IF(OR(K607="Oui",Z607="Oui"),4,1)))</f>
        <v/>
      </c>
      <c r="BG607" s="35" t="str">
        <f aca="false">IF(OR(BF607="",BD607=""),"",IF(BD607&gt;=BF607,1,0))</f>
        <v/>
      </c>
      <c r="BH607" s="38" t="str">
        <f aca="false">IF(BE607="","",IF(BE607&lt;2,"",IF(BE607=2,IF(AND(T607="",U607=""),"",MIN(T607,U607)),IF(U607="","",U607))))</f>
        <v/>
      </c>
      <c r="BI607" s="37" t="str">
        <f aca="false">IF(BH607="","",IF(OR(O607="",BH607=""),"",IF(BH607&lt;O607,"",ROUND(((NETWORKDAYS(O607,BH607,JoursFeries)-1)*(HFer-HOuv)+IF(NETWORKDAYS(BH607,BH607,JoursFeries),MEDIAN(MOD(BH607,1),HFer,HOuv),HFer)-IF(NETWORKDAYS(O607,O607,JoursFeries),MEDIAN(MOD(O607,1),HFer,HOuv),HOuv))*24,4))))</f>
        <v/>
      </c>
      <c r="BJ607" s="35" t="str">
        <f aca="false">IF(OR(BI607="",AR607=""),"",IF(BI607&lt;=INDEX(DELAI_ESC,AR607),1,0))</f>
        <v/>
      </c>
      <c r="BK607" s="38" t="str">
        <f aca="false">IF(AO607&lt;&gt;1,"",IF(AND(T607="",U607=""),"",MIN(T607,U607)))</f>
        <v/>
      </c>
      <c r="BL607" s="37" t="str">
        <f aca="false">IF(OR(BK607="",R607=""),"",IFERROR(ROUND(IF(OR(BK607="",R607=""),"",IF(R607&lt;BK607,"",ROUND(((NETWORKDAYS(BK607,R607,JoursFeries)-1)*(HFer-HOuv)+IF(NETWORKDAYS(R607,R607,JoursFeries),MEDIAN(MOD(R607,1),HFer,HOuv),HFer)-IF(NETWORKDAYS(BK607,BK607,JoursFeries),MEDIAN(MOD(BK607,1),HFer,HOuv),HOuv))*24,4)))/HJour,4),""))</f>
        <v/>
      </c>
      <c r="BM607" s="35" t="str">
        <f aca="false">IF(OR(AO607&lt;&gt;1,R607=""),"",IF(BD607=1,1,0))</f>
        <v/>
      </c>
      <c r="BN607" s="35" t="str">
        <f aca="false">IF(AO607&lt;&gt;1,"",IF(W607="Oui",1,0))</f>
        <v/>
      </c>
      <c r="BO607" s="35" t="str">
        <f aca="false">IF(AO607&lt;&gt;1,"",IF(X607&lt;&gt;"",1,0))</f>
        <v/>
      </c>
      <c r="BP607" s="35" t="str">
        <f aca="false">IF(AO607&lt;&gt;1,"",IF(Y607="Oui",1,0))</f>
        <v/>
      </c>
      <c r="BQ607" s="35" t="str">
        <f aca="true">IF(OR(AO607&lt;&gt;1,Z607&lt;&gt;"Oui"),"",IF(AB607="",IF(AND(AA607&lt;&gt;"",NOW()&gt;AA607),0,""),IF(AA607="","",IF(AB607&lt;=AA607,1,0))))</f>
        <v/>
      </c>
      <c r="BR607" s="38" t="str">
        <f aca="false">IF(OR(AO607&lt;&gt;1,K607&lt;&gt;"Oui",O607=""),"",IF(AC607="",O607+DORA_H_DET/24,IF(AC607-O607&lt;=DORA_H_DET/24,MIN(AC607+DORA_H_CLA/24,O607+DORA_H_DET/24),AC607+DORA_H_CLA/24)))</f>
        <v/>
      </c>
      <c r="BS607" s="35" t="str">
        <f aca="true">IF(BR607="","",IF(AD607="",IF(NOW()&gt;BR607,0,""),IF(AD607&lt;=BR607,1,0)))</f>
        <v/>
      </c>
      <c r="BT607" s="35" t="str">
        <f aca="true">IF(OR(BR607="",AD607=""),"",IF(AE607="",IF(NOW()&gt;AD607+DORA_H_INT/24,0,""),IF(AE607&lt;=AD607+DORA_H_INT/24,1,0)))</f>
        <v/>
      </c>
      <c r="BU607" s="35" t="str">
        <f aca="true">IF(OR(BR607="",AE607=""),"",IF(AF607="",IF(NOW()&gt;EDATE(AE607,DORA_M_FIN)+1,0,""),IF(AF607&lt;=EDATE(AE607,DORA_M_FIN),1,0)))</f>
        <v/>
      </c>
      <c r="BV607" s="35" t="str">
        <f aca="false">IF(BR607="","",IF(COUNT(BS607:BU607)=0,"",MIN(BS607:BU607)))</f>
        <v/>
      </c>
      <c r="BW607" s="40" t="str">
        <f aca="false">IF(AQ607&lt;&gt;1,"",IF(AND(AG607="",AH607=""),"",N(AG607)-N(AH607)))</f>
        <v/>
      </c>
      <c r="BX607" s="35" t="str">
        <f aca="true">IF(OR(AQ607&lt;&gt;1,AI607&lt;&gt;"Oui",AJ607=""),"",IF(AK607="",IF(NOW()&gt;AJ607+1,0,""),IF(AK607&lt;=AJ607,1,0)))</f>
        <v/>
      </c>
    </row>
    <row r="608" customFormat="false" ht="15" hidden="false" customHeight="false" outlineLevel="0" collapsed="false">
      <c r="B608" s="29"/>
      <c r="C608" s="29"/>
      <c r="D608" s="29"/>
      <c r="E608" s="29"/>
      <c r="F608" s="29"/>
      <c r="G608" s="29"/>
      <c r="H608" s="29"/>
      <c r="I608" s="29"/>
      <c r="J608" s="29"/>
      <c r="K608" s="29"/>
      <c r="L608" s="29"/>
      <c r="M608" s="29"/>
      <c r="N608" s="30"/>
      <c r="O608" s="30"/>
      <c r="P608" s="30"/>
      <c r="Q608" s="30"/>
      <c r="R608" s="30"/>
      <c r="S608" s="30"/>
      <c r="T608" s="30"/>
      <c r="U608" s="30"/>
      <c r="V608" s="31"/>
      <c r="W608" s="29"/>
      <c r="X608" s="29"/>
      <c r="Y608" s="29"/>
      <c r="Z608" s="29"/>
      <c r="AA608" s="30"/>
      <c r="AB608" s="30"/>
      <c r="AC608" s="30"/>
      <c r="AD608" s="30"/>
      <c r="AE608" s="30"/>
      <c r="AF608" s="32"/>
      <c r="AG608" s="33"/>
      <c r="AH608" s="33"/>
      <c r="AI608" s="29"/>
      <c r="AJ608" s="32"/>
      <c r="AK608" s="32"/>
      <c r="AL608" s="29"/>
      <c r="AN608" s="34" t="str">
        <f aca="false">IF($B608="","",IF(OR(C608="",D608="",E608="",G608="",I608="",J608="",L608="",O608="",P608=""),"Champ obligatoire manquant",IF(OR(AND(N608&lt;&gt;"",N608&gt;O608),O608&gt;P608,AND(Q608&lt;&gt;"",Q608&lt;P608),AND(R608&lt;&gt;"",R608&lt;P608),AND(S608&lt;&gt;"",S608&lt;R608),AND(S608&lt;&gt;"",R608=""),AND(T608&lt;&gt;"",T608&lt;O608),AND(U608&lt;&gt;"",U608&lt;O608)),"Chronologie incohérente",IF(AND(OR(L608="Résolu",L608="Clos"),R608=""),"Date de résolution manquante",IF(AND(L608="Clos",S608=""),"Date de clôture manquante",IF(AND(K608="Oui",AC608=""),"Classification DORA manquante","OK"))))))</f>
        <v/>
      </c>
      <c r="AO608" s="35" t="str">
        <f aca="false">IF($B608="","",IF(AND(C608="Incident",L608&lt;&gt;"Annulé"),1,0))</f>
        <v/>
      </c>
      <c r="AP608" s="35" t="str">
        <f aca="false">IF($B608="","",IF(AND(C608="Quasi-incident",L608&lt;&gt;"Annulé"),1,0))</f>
        <v/>
      </c>
      <c r="AQ608" s="35" t="str">
        <f aca="false">IF($B608="","",AO608+AP608)</f>
        <v/>
      </c>
      <c r="AR608" s="36" t="str">
        <f aca="false">IF(OR($B608="",J608=""),"",IFERROR(VALUE(LEFT(J608,1)),""))</f>
        <v/>
      </c>
      <c r="AS608" s="35" t="str">
        <f aca="false">IF(OR(AO608&lt;&gt;1,G608=""),"",IFERROR(IF(INDEX(L_SrcInterne,MATCH(G608,L_Sources,0))="Oui",1,0),""))</f>
        <v/>
      </c>
      <c r="AT608" s="37" t="str">
        <f aca="false">IF(AO608&lt;&gt;1,"",IFERROR(ROUND(IF(OR(N608="",O608=""),"",IF(O608&lt;N608,"",ROUND(((NETWORKDAYS(N608,O608,JoursFeries)-1)*(HFer-HOuv)+IF(NETWORKDAYS(O608,O608,JoursFeries),MEDIAN(MOD(O608,1),HFer,HOuv),HFer)-IF(NETWORKDAYS(N608,N608,JoursFeries),MEDIAN(MOD(N608,1),HFer,HOuv),HOuv))*24,4)))/HJour,4),""))</f>
        <v/>
      </c>
      <c r="AU608" s="37" t="str">
        <f aca="false">IF(AO608&lt;&gt;1,"",IF(OR(O608="",P608=""),"",IF(P608&lt;O608,"",ROUND(((NETWORKDAYS(O608,P608,JoursFeries)-1)*(HFer-HOuv)+IF(NETWORKDAYS(P608,P608,JoursFeries),MEDIAN(MOD(P608,1),HFer,HOuv),HFer)-IF(NETWORKDAYS(O608,O608,JoursFeries),MEDIAN(MOD(O608,1),HFer,HOuv),HOuv))*24,4))))</f>
        <v/>
      </c>
      <c r="AV608" s="37" t="str">
        <f aca="false">IF(AO608&lt;&gt;1,"",IF(OR(P608="",Q608=""),"",IF(Q608&lt;P608,"",ROUND(((NETWORKDAYS(P608,Q608,JoursFeries)-1)*(HFer-HOuv)+IF(NETWORKDAYS(Q608,Q608,JoursFeries),MEDIAN(MOD(Q608,1),HFer,HOuv),HFer)-IF(NETWORKDAYS(P608,P608,JoursFeries),MEDIAN(MOD(P608,1),HFer,HOuv),HOuv))*24,4))))</f>
        <v/>
      </c>
      <c r="AW608" s="37" t="str">
        <f aca="false">IF(AO608&lt;&gt;1,"",IFERROR(ROUND(IF(OR(P608="",R608=""),"",IF(R608&lt;P608,"",ROUND(((NETWORKDAYS(P608,R608,JoursFeries)-1)*(HFer-HOuv)+IF(NETWORKDAYS(R608,R608,JoursFeries),MEDIAN(MOD(R608,1),HFer,HOuv),HFer)-IF(NETWORKDAYS(P608,P608,JoursFeries),MEDIAN(MOD(P608,1),HFer,HOuv),HOuv))*24,4)))/HJour,4),""))</f>
        <v/>
      </c>
      <c r="AX608" s="37" t="str">
        <f aca="false">IF(AO608&lt;&gt;1,"",IFERROR(ROUND(IF(OR(P608="",S608=""),"",IF(S608&lt;P608,"",ROUND(((NETWORKDAYS(P608,S608,JoursFeries)-1)*(HFer-HOuv)+IF(NETWORKDAYS(S608,S608,JoursFeries),MEDIAN(MOD(S608,1),HFer,HOuv),HFer)-IF(NETWORKDAYS(P608,P608,JoursFeries),MEDIAN(MOD(P608,1),HFer,HOuv),HOuv))*24,4)))/HJour,4),""))</f>
        <v/>
      </c>
      <c r="AY608" s="36" t="str">
        <f aca="false">IF(OR(AO608&lt;&gt;1,AR608=""),"",INDEX(SLA_PEC,AR608))</f>
        <v/>
      </c>
      <c r="AZ608" s="35" t="str">
        <f aca="false">IF(OR(AV608="",AY608=""),"",IF(AV608&lt;=AY608,1,0))</f>
        <v/>
      </c>
      <c r="BA608" s="36" t="str">
        <f aca="false">IF(OR(AO608&lt;&gt;1,AR608=""),"",INDEX(SLA_RES,AR608))</f>
        <v/>
      </c>
      <c r="BB608" s="35" t="str">
        <f aca="false">IF(OR(AW608="",BA608=""),"",IF(AW608&lt;=BA608,1,0))</f>
        <v/>
      </c>
      <c r="BC608" s="38" t="str">
        <f aca="false">IF(OR(BA608="",P608=""),"",WORKDAY(INT(P608),BA608,JoursFeries)+MOD(P608,1))</f>
        <v/>
      </c>
      <c r="BD608" s="39" t="str">
        <f aca="false">IF(AO608&lt;&gt;1,"",IF(OR(AB608&lt;&gt;"",AD608&lt;&gt;""),4,IF(U608&lt;&gt;"",3,IF(T608&lt;&gt;"",2,1))))</f>
        <v/>
      </c>
      <c r="BE608" s="39" t="str">
        <f aca="false">IF(OR(AO608&lt;&gt;1,AR608=""),"",INDEX(NIV_REQ,AR608))</f>
        <v/>
      </c>
      <c r="BF608" s="39" t="str">
        <f aca="false">IF(BE608="","",MAX(BE608,IF(OR(K608="Oui",Z608="Oui"),4,1)))</f>
        <v/>
      </c>
      <c r="BG608" s="35" t="str">
        <f aca="false">IF(OR(BF608="",BD608=""),"",IF(BD608&gt;=BF608,1,0))</f>
        <v/>
      </c>
      <c r="BH608" s="38" t="str">
        <f aca="false">IF(BE608="","",IF(BE608&lt;2,"",IF(BE608=2,IF(AND(T608="",U608=""),"",MIN(T608,U608)),IF(U608="","",U608))))</f>
        <v/>
      </c>
      <c r="BI608" s="37" t="str">
        <f aca="false">IF(BH608="","",IF(OR(O608="",BH608=""),"",IF(BH608&lt;O608,"",ROUND(((NETWORKDAYS(O608,BH608,JoursFeries)-1)*(HFer-HOuv)+IF(NETWORKDAYS(BH608,BH608,JoursFeries),MEDIAN(MOD(BH608,1),HFer,HOuv),HFer)-IF(NETWORKDAYS(O608,O608,JoursFeries),MEDIAN(MOD(O608,1),HFer,HOuv),HOuv))*24,4))))</f>
        <v/>
      </c>
      <c r="BJ608" s="35" t="str">
        <f aca="false">IF(OR(BI608="",AR608=""),"",IF(BI608&lt;=INDEX(DELAI_ESC,AR608),1,0))</f>
        <v/>
      </c>
      <c r="BK608" s="38" t="str">
        <f aca="false">IF(AO608&lt;&gt;1,"",IF(AND(T608="",U608=""),"",MIN(T608,U608)))</f>
        <v/>
      </c>
      <c r="BL608" s="37" t="str">
        <f aca="false">IF(OR(BK608="",R608=""),"",IFERROR(ROUND(IF(OR(BK608="",R608=""),"",IF(R608&lt;BK608,"",ROUND(((NETWORKDAYS(BK608,R608,JoursFeries)-1)*(HFer-HOuv)+IF(NETWORKDAYS(R608,R608,JoursFeries),MEDIAN(MOD(R608,1),HFer,HOuv),HFer)-IF(NETWORKDAYS(BK608,BK608,JoursFeries),MEDIAN(MOD(BK608,1),HFer,HOuv),HOuv))*24,4)))/HJour,4),""))</f>
        <v/>
      </c>
      <c r="BM608" s="35" t="str">
        <f aca="false">IF(OR(AO608&lt;&gt;1,R608=""),"",IF(BD608=1,1,0))</f>
        <v/>
      </c>
      <c r="BN608" s="35" t="str">
        <f aca="false">IF(AO608&lt;&gt;1,"",IF(W608="Oui",1,0))</f>
        <v/>
      </c>
      <c r="BO608" s="35" t="str">
        <f aca="false">IF(AO608&lt;&gt;1,"",IF(X608&lt;&gt;"",1,0))</f>
        <v/>
      </c>
      <c r="BP608" s="35" t="str">
        <f aca="false">IF(AO608&lt;&gt;1,"",IF(Y608="Oui",1,0))</f>
        <v/>
      </c>
      <c r="BQ608" s="35" t="str">
        <f aca="true">IF(OR(AO608&lt;&gt;1,Z608&lt;&gt;"Oui"),"",IF(AB608="",IF(AND(AA608&lt;&gt;"",NOW()&gt;AA608),0,""),IF(AA608="","",IF(AB608&lt;=AA608,1,0))))</f>
        <v/>
      </c>
      <c r="BR608" s="38" t="str">
        <f aca="false">IF(OR(AO608&lt;&gt;1,K608&lt;&gt;"Oui",O608=""),"",IF(AC608="",O608+DORA_H_DET/24,IF(AC608-O608&lt;=DORA_H_DET/24,MIN(AC608+DORA_H_CLA/24,O608+DORA_H_DET/24),AC608+DORA_H_CLA/24)))</f>
        <v/>
      </c>
      <c r="BS608" s="35" t="str">
        <f aca="true">IF(BR608="","",IF(AD608="",IF(NOW()&gt;BR608,0,""),IF(AD608&lt;=BR608,1,0)))</f>
        <v/>
      </c>
      <c r="BT608" s="35" t="str">
        <f aca="true">IF(OR(BR608="",AD608=""),"",IF(AE608="",IF(NOW()&gt;AD608+DORA_H_INT/24,0,""),IF(AE608&lt;=AD608+DORA_H_INT/24,1,0)))</f>
        <v/>
      </c>
      <c r="BU608" s="35" t="str">
        <f aca="true">IF(OR(BR608="",AE608=""),"",IF(AF608="",IF(NOW()&gt;EDATE(AE608,DORA_M_FIN)+1,0,""),IF(AF608&lt;=EDATE(AE608,DORA_M_FIN),1,0)))</f>
        <v/>
      </c>
      <c r="BV608" s="35" t="str">
        <f aca="false">IF(BR608="","",IF(COUNT(BS608:BU608)=0,"",MIN(BS608:BU608)))</f>
        <v/>
      </c>
      <c r="BW608" s="40" t="str">
        <f aca="false">IF(AQ608&lt;&gt;1,"",IF(AND(AG608="",AH608=""),"",N(AG608)-N(AH608)))</f>
        <v/>
      </c>
      <c r="BX608" s="35" t="str">
        <f aca="true">IF(OR(AQ608&lt;&gt;1,AI608&lt;&gt;"Oui",AJ608=""),"",IF(AK608="",IF(NOW()&gt;AJ608+1,0,""),IF(AK608&lt;=AJ608,1,0)))</f>
        <v/>
      </c>
    </row>
    <row r="609" customFormat="false" ht="15" hidden="false" customHeight="false" outlineLevel="0" collapsed="false">
      <c r="B609" s="29"/>
      <c r="C609" s="29"/>
      <c r="D609" s="29"/>
      <c r="E609" s="29"/>
      <c r="F609" s="29"/>
      <c r="G609" s="29"/>
      <c r="H609" s="29"/>
      <c r="I609" s="29"/>
      <c r="J609" s="29"/>
      <c r="K609" s="29"/>
      <c r="L609" s="29"/>
      <c r="M609" s="29"/>
      <c r="N609" s="30"/>
      <c r="O609" s="30"/>
      <c r="P609" s="30"/>
      <c r="Q609" s="30"/>
      <c r="R609" s="30"/>
      <c r="S609" s="30"/>
      <c r="T609" s="30"/>
      <c r="U609" s="30"/>
      <c r="V609" s="31"/>
      <c r="W609" s="29"/>
      <c r="X609" s="29"/>
      <c r="Y609" s="29"/>
      <c r="Z609" s="29"/>
      <c r="AA609" s="30"/>
      <c r="AB609" s="30"/>
      <c r="AC609" s="30"/>
      <c r="AD609" s="30"/>
      <c r="AE609" s="30"/>
      <c r="AF609" s="32"/>
      <c r="AG609" s="33"/>
      <c r="AH609" s="33"/>
      <c r="AI609" s="29"/>
      <c r="AJ609" s="32"/>
      <c r="AK609" s="32"/>
      <c r="AL609" s="29"/>
      <c r="AN609" s="34" t="str">
        <f aca="false">IF($B609="","",IF(OR(C609="",D609="",E609="",G609="",I609="",J609="",L609="",O609="",P609=""),"Champ obligatoire manquant",IF(OR(AND(N609&lt;&gt;"",N609&gt;O609),O609&gt;P609,AND(Q609&lt;&gt;"",Q609&lt;P609),AND(R609&lt;&gt;"",R609&lt;P609),AND(S609&lt;&gt;"",S609&lt;R609),AND(S609&lt;&gt;"",R609=""),AND(T609&lt;&gt;"",T609&lt;O609),AND(U609&lt;&gt;"",U609&lt;O609)),"Chronologie incohérente",IF(AND(OR(L609="Résolu",L609="Clos"),R609=""),"Date de résolution manquante",IF(AND(L609="Clos",S609=""),"Date de clôture manquante",IF(AND(K609="Oui",AC609=""),"Classification DORA manquante","OK"))))))</f>
        <v/>
      </c>
      <c r="AO609" s="35" t="str">
        <f aca="false">IF($B609="","",IF(AND(C609="Incident",L609&lt;&gt;"Annulé"),1,0))</f>
        <v/>
      </c>
      <c r="AP609" s="35" t="str">
        <f aca="false">IF($B609="","",IF(AND(C609="Quasi-incident",L609&lt;&gt;"Annulé"),1,0))</f>
        <v/>
      </c>
      <c r="AQ609" s="35" t="str">
        <f aca="false">IF($B609="","",AO609+AP609)</f>
        <v/>
      </c>
      <c r="AR609" s="36" t="str">
        <f aca="false">IF(OR($B609="",J609=""),"",IFERROR(VALUE(LEFT(J609,1)),""))</f>
        <v/>
      </c>
      <c r="AS609" s="35" t="str">
        <f aca="false">IF(OR(AO609&lt;&gt;1,G609=""),"",IFERROR(IF(INDEX(L_SrcInterne,MATCH(G609,L_Sources,0))="Oui",1,0),""))</f>
        <v/>
      </c>
      <c r="AT609" s="37" t="str">
        <f aca="false">IF(AO609&lt;&gt;1,"",IFERROR(ROUND(IF(OR(N609="",O609=""),"",IF(O609&lt;N609,"",ROUND(((NETWORKDAYS(N609,O609,JoursFeries)-1)*(HFer-HOuv)+IF(NETWORKDAYS(O609,O609,JoursFeries),MEDIAN(MOD(O609,1),HFer,HOuv),HFer)-IF(NETWORKDAYS(N609,N609,JoursFeries),MEDIAN(MOD(N609,1),HFer,HOuv),HOuv))*24,4)))/HJour,4),""))</f>
        <v/>
      </c>
      <c r="AU609" s="37" t="str">
        <f aca="false">IF(AO609&lt;&gt;1,"",IF(OR(O609="",P609=""),"",IF(P609&lt;O609,"",ROUND(((NETWORKDAYS(O609,P609,JoursFeries)-1)*(HFer-HOuv)+IF(NETWORKDAYS(P609,P609,JoursFeries),MEDIAN(MOD(P609,1),HFer,HOuv),HFer)-IF(NETWORKDAYS(O609,O609,JoursFeries),MEDIAN(MOD(O609,1),HFer,HOuv),HOuv))*24,4))))</f>
        <v/>
      </c>
      <c r="AV609" s="37" t="str">
        <f aca="false">IF(AO609&lt;&gt;1,"",IF(OR(P609="",Q609=""),"",IF(Q609&lt;P609,"",ROUND(((NETWORKDAYS(P609,Q609,JoursFeries)-1)*(HFer-HOuv)+IF(NETWORKDAYS(Q609,Q609,JoursFeries),MEDIAN(MOD(Q609,1),HFer,HOuv),HFer)-IF(NETWORKDAYS(P609,P609,JoursFeries),MEDIAN(MOD(P609,1),HFer,HOuv),HOuv))*24,4))))</f>
        <v/>
      </c>
      <c r="AW609" s="37" t="str">
        <f aca="false">IF(AO609&lt;&gt;1,"",IFERROR(ROUND(IF(OR(P609="",R609=""),"",IF(R609&lt;P609,"",ROUND(((NETWORKDAYS(P609,R609,JoursFeries)-1)*(HFer-HOuv)+IF(NETWORKDAYS(R609,R609,JoursFeries),MEDIAN(MOD(R609,1),HFer,HOuv),HFer)-IF(NETWORKDAYS(P609,P609,JoursFeries),MEDIAN(MOD(P609,1),HFer,HOuv),HOuv))*24,4)))/HJour,4),""))</f>
        <v/>
      </c>
      <c r="AX609" s="37" t="str">
        <f aca="false">IF(AO609&lt;&gt;1,"",IFERROR(ROUND(IF(OR(P609="",S609=""),"",IF(S609&lt;P609,"",ROUND(((NETWORKDAYS(P609,S609,JoursFeries)-1)*(HFer-HOuv)+IF(NETWORKDAYS(S609,S609,JoursFeries),MEDIAN(MOD(S609,1),HFer,HOuv),HFer)-IF(NETWORKDAYS(P609,P609,JoursFeries),MEDIAN(MOD(P609,1),HFer,HOuv),HOuv))*24,4)))/HJour,4),""))</f>
        <v/>
      </c>
      <c r="AY609" s="36" t="str">
        <f aca="false">IF(OR(AO609&lt;&gt;1,AR609=""),"",INDEX(SLA_PEC,AR609))</f>
        <v/>
      </c>
      <c r="AZ609" s="35" t="str">
        <f aca="false">IF(OR(AV609="",AY609=""),"",IF(AV609&lt;=AY609,1,0))</f>
        <v/>
      </c>
      <c r="BA609" s="36" t="str">
        <f aca="false">IF(OR(AO609&lt;&gt;1,AR609=""),"",INDEX(SLA_RES,AR609))</f>
        <v/>
      </c>
      <c r="BB609" s="35" t="str">
        <f aca="false">IF(OR(AW609="",BA609=""),"",IF(AW609&lt;=BA609,1,0))</f>
        <v/>
      </c>
      <c r="BC609" s="38" t="str">
        <f aca="false">IF(OR(BA609="",P609=""),"",WORKDAY(INT(P609),BA609,JoursFeries)+MOD(P609,1))</f>
        <v/>
      </c>
      <c r="BD609" s="39" t="str">
        <f aca="false">IF(AO609&lt;&gt;1,"",IF(OR(AB609&lt;&gt;"",AD609&lt;&gt;""),4,IF(U609&lt;&gt;"",3,IF(T609&lt;&gt;"",2,1))))</f>
        <v/>
      </c>
      <c r="BE609" s="39" t="str">
        <f aca="false">IF(OR(AO609&lt;&gt;1,AR609=""),"",INDEX(NIV_REQ,AR609))</f>
        <v/>
      </c>
      <c r="BF609" s="39" t="str">
        <f aca="false">IF(BE609="","",MAX(BE609,IF(OR(K609="Oui",Z609="Oui"),4,1)))</f>
        <v/>
      </c>
      <c r="BG609" s="35" t="str">
        <f aca="false">IF(OR(BF609="",BD609=""),"",IF(BD609&gt;=BF609,1,0))</f>
        <v/>
      </c>
      <c r="BH609" s="38" t="str">
        <f aca="false">IF(BE609="","",IF(BE609&lt;2,"",IF(BE609=2,IF(AND(T609="",U609=""),"",MIN(T609,U609)),IF(U609="","",U609))))</f>
        <v/>
      </c>
      <c r="BI609" s="37" t="str">
        <f aca="false">IF(BH609="","",IF(OR(O609="",BH609=""),"",IF(BH609&lt;O609,"",ROUND(((NETWORKDAYS(O609,BH609,JoursFeries)-1)*(HFer-HOuv)+IF(NETWORKDAYS(BH609,BH609,JoursFeries),MEDIAN(MOD(BH609,1),HFer,HOuv),HFer)-IF(NETWORKDAYS(O609,O609,JoursFeries),MEDIAN(MOD(O609,1),HFer,HOuv),HOuv))*24,4))))</f>
        <v/>
      </c>
      <c r="BJ609" s="35" t="str">
        <f aca="false">IF(OR(BI609="",AR609=""),"",IF(BI609&lt;=INDEX(DELAI_ESC,AR609),1,0))</f>
        <v/>
      </c>
      <c r="BK609" s="38" t="str">
        <f aca="false">IF(AO609&lt;&gt;1,"",IF(AND(T609="",U609=""),"",MIN(T609,U609)))</f>
        <v/>
      </c>
      <c r="BL609" s="37" t="str">
        <f aca="false">IF(OR(BK609="",R609=""),"",IFERROR(ROUND(IF(OR(BK609="",R609=""),"",IF(R609&lt;BK609,"",ROUND(((NETWORKDAYS(BK609,R609,JoursFeries)-1)*(HFer-HOuv)+IF(NETWORKDAYS(R609,R609,JoursFeries),MEDIAN(MOD(R609,1),HFer,HOuv),HFer)-IF(NETWORKDAYS(BK609,BK609,JoursFeries),MEDIAN(MOD(BK609,1),HFer,HOuv),HOuv))*24,4)))/HJour,4),""))</f>
        <v/>
      </c>
      <c r="BM609" s="35" t="str">
        <f aca="false">IF(OR(AO609&lt;&gt;1,R609=""),"",IF(BD609=1,1,0))</f>
        <v/>
      </c>
      <c r="BN609" s="35" t="str">
        <f aca="false">IF(AO609&lt;&gt;1,"",IF(W609="Oui",1,0))</f>
        <v/>
      </c>
      <c r="BO609" s="35" t="str">
        <f aca="false">IF(AO609&lt;&gt;1,"",IF(X609&lt;&gt;"",1,0))</f>
        <v/>
      </c>
      <c r="BP609" s="35" t="str">
        <f aca="false">IF(AO609&lt;&gt;1,"",IF(Y609="Oui",1,0))</f>
        <v/>
      </c>
      <c r="BQ609" s="35" t="str">
        <f aca="true">IF(OR(AO609&lt;&gt;1,Z609&lt;&gt;"Oui"),"",IF(AB609="",IF(AND(AA609&lt;&gt;"",NOW()&gt;AA609),0,""),IF(AA609="","",IF(AB609&lt;=AA609,1,0))))</f>
        <v/>
      </c>
      <c r="BR609" s="38" t="str">
        <f aca="false">IF(OR(AO609&lt;&gt;1,K609&lt;&gt;"Oui",O609=""),"",IF(AC609="",O609+DORA_H_DET/24,IF(AC609-O609&lt;=DORA_H_DET/24,MIN(AC609+DORA_H_CLA/24,O609+DORA_H_DET/24),AC609+DORA_H_CLA/24)))</f>
        <v/>
      </c>
      <c r="BS609" s="35" t="str">
        <f aca="true">IF(BR609="","",IF(AD609="",IF(NOW()&gt;BR609,0,""),IF(AD609&lt;=BR609,1,0)))</f>
        <v/>
      </c>
      <c r="BT609" s="35" t="str">
        <f aca="true">IF(OR(BR609="",AD609=""),"",IF(AE609="",IF(NOW()&gt;AD609+DORA_H_INT/24,0,""),IF(AE609&lt;=AD609+DORA_H_INT/24,1,0)))</f>
        <v/>
      </c>
      <c r="BU609" s="35" t="str">
        <f aca="true">IF(OR(BR609="",AE609=""),"",IF(AF609="",IF(NOW()&gt;EDATE(AE609,DORA_M_FIN)+1,0,""),IF(AF609&lt;=EDATE(AE609,DORA_M_FIN),1,0)))</f>
        <v/>
      </c>
      <c r="BV609" s="35" t="str">
        <f aca="false">IF(BR609="","",IF(COUNT(BS609:BU609)=0,"",MIN(BS609:BU609)))</f>
        <v/>
      </c>
      <c r="BW609" s="40" t="str">
        <f aca="false">IF(AQ609&lt;&gt;1,"",IF(AND(AG609="",AH609=""),"",N(AG609)-N(AH609)))</f>
        <v/>
      </c>
      <c r="BX609" s="35" t="str">
        <f aca="true">IF(OR(AQ609&lt;&gt;1,AI609&lt;&gt;"Oui",AJ609=""),"",IF(AK609="",IF(NOW()&gt;AJ609+1,0,""),IF(AK609&lt;=AJ609,1,0)))</f>
        <v/>
      </c>
    </row>
    <row r="610" customFormat="false" ht="15" hidden="false" customHeight="false" outlineLevel="0" collapsed="false">
      <c r="B610" s="29"/>
      <c r="C610" s="29"/>
      <c r="D610" s="29"/>
      <c r="E610" s="29"/>
      <c r="F610" s="29"/>
      <c r="G610" s="29"/>
      <c r="H610" s="29"/>
      <c r="I610" s="29"/>
      <c r="J610" s="29"/>
      <c r="K610" s="29"/>
      <c r="L610" s="29"/>
      <c r="M610" s="29"/>
      <c r="N610" s="30"/>
      <c r="O610" s="30"/>
      <c r="P610" s="30"/>
      <c r="Q610" s="30"/>
      <c r="R610" s="30"/>
      <c r="S610" s="30"/>
      <c r="T610" s="30"/>
      <c r="U610" s="30"/>
      <c r="V610" s="31"/>
      <c r="W610" s="29"/>
      <c r="X610" s="29"/>
      <c r="Y610" s="29"/>
      <c r="Z610" s="29"/>
      <c r="AA610" s="30"/>
      <c r="AB610" s="30"/>
      <c r="AC610" s="30"/>
      <c r="AD610" s="30"/>
      <c r="AE610" s="30"/>
      <c r="AF610" s="32"/>
      <c r="AG610" s="33"/>
      <c r="AH610" s="33"/>
      <c r="AI610" s="29"/>
      <c r="AJ610" s="32"/>
      <c r="AK610" s="32"/>
      <c r="AL610" s="29"/>
      <c r="AN610" s="34" t="str">
        <f aca="false">IF($B610="","",IF(OR(C610="",D610="",E610="",G610="",I610="",J610="",L610="",O610="",P610=""),"Champ obligatoire manquant",IF(OR(AND(N610&lt;&gt;"",N610&gt;O610),O610&gt;P610,AND(Q610&lt;&gt;"",Q610&lt;P610),AND(R610&lt;&gt;"",R610&lt;P610),AND(S610&lt;&gt;"",S610&lt;R610),AND(S610&lt;&gt;"",R610=""),AND(T610&lt;&gt;"",T610&lt;O610),AND(U610&lt;&gt;"",U610&lt;O610)),"Chronologie incohérente",IF(AND(OR(L610="Résolu",L610="Clos"),R610=""),"Date de résolution manquante",IF(AND(L610="Clos",S610=""),"Date de clôture manquante",IF(AND(K610="Oui",AC610=""),"Classification DORA manquante","OK"))))))</f>
        <v/>
      </c>
      <c r="AO610" s="35" t="str">
        <f aca="false">IF($B610="","",IF(AND(C610="Incident",L610&lt;&gt;"Annulé"),1,0))</f>
        <v/>
      </c>
      <c r="AP610" s="35" t="str">
        <f aca="false">IF($B610="","",IF(AND(C610="Quasi-incident",L610&lt;&gt;"Annulé"),1,0))</f>
        <v/>
      </c>
      <c r="AQ610" s="35" t="str">
        <f aca="false">IF($B610="","",AO610+AP610)</f>
        <v/>
      </c>
      <c r="AR610" s="36" t="str">
        <f aca="false">IF(OR($B610="",J610=""),"",IFERROR(VALUE(LEFT(J610,1)),""))</f>
        <v/>
      </c>
      <c r="AS610" s="35" t="str">
        <f aca="false">IF(OR(AO610&lt;&gt;1,G610=""),"",IFERROR(IF(INDEX(L_SrcInterne,MATCH(G610,L_Sources,0))="Oui",1,0),""))</f>
        <v/>
      </c>
      <c r="AT610" s="37" t="str">
        <f aca="false">IF(AO610&lt;&gt;1,"",IFERROR(ROUND(IF(OR(N610="",O610=""),"",IF(O610&lt;N610,"",ROUND(((NETWORKDAYS(N610,O610,JoursFeries)-1)*(HFer-HOuv)+IF(NETWORKDAYS(O610,O610,JoursFeries),MEDIAN(MOD(O610,1),HFer,HOuv),HFer)-IF(NETWORKDAYS(N610,N610,JoursFeries),MEDIAN(MOD(N610,1),HFer,HOuv),HOuv))*24,4)))/HJour,4),""))</f>
        <v/>
      </c>
      <c r="AU610" s="37" t="str">
        <f aca="false">IF(AO610&lt;&gt;1,"",IF(OR(O610="",P610=""),"",IF(P610&lt;O610,"",ROUND(((NETWORKDAYS(O610,P610,JoursFeries)-1)*(HFer-HOuv)+IF(NETWORKDAYS(P610,P610,JoursFeries),MEDIAN(MOD(P610,1),HFer,HOuv),HFer)-IF(NETWORKDAYS(O610,O610,JoursFeries),MEDIAN(MOD(O610,1),HFer,HOuv),HOuv))*24,4))))</f>
        <v/>
      </c>
      <c r="AV610" s="37" t="str">
        <f aca="false">IF(AO610&lt;&gt;1,"",IF(OR(P610="",Q610=""),"",IF(Q610&lt;P610,"",ROUND(((NETWORKDAYS(P610,Q610,JoursFeries)-1)*(HFer-HOuv)+IF(NETWORKDAYS(Q610,Q610,JoursFeries),MEDIAN(MOD(Q610,1),HFer,HOuv),HFer)-IF(NETWORKDAYS(P610,P610,JoursFeries),MEDIAN(MOD(P610,1),HFer,HOuv),HOuv))*24,4))))</f>
        <v/>
      </c>
      <c r="AW610" s="37" t="str">
        <f aca="false">IF(AO610&lt;&gt;1,"",IFERROR(ROUND(IF(OR(P610="",R610=""),"",IF(R610&lt;P610,"",ROUND(((NETWORKDAYS(P610,R610,JoursFeries)-1)*(HFer-HOuv)+IF(NETWORKDAYS(R610,R610,JoursFeries),MEDIAN(MOD(R610,1),HFer,HOuv),HFer)-IF(NETWORKDAYS(P610,P610,JoursFeries),MEDIAN(MOD(P610,1),HFer,HOuv),HOuv))*24,4)))/HJour,4),""))</f>
        <v/>
      </c>
      <c r="AX610" s="37" t="str">
        <f aca="false">IF(AO610&lt;&gt;1,"",IFERROR(ROUND(IF(OR(P610="",S610=""),"",IF(S610&lt;P610,"",ROUND(((NETWORKDAYS(P610,S610,JoursFeries)-1)*(HFer-HOuv)+IF(NETWORKDAYS(S610,S610,JoursFeries),MEDIAN(MOD(S610,1),HFer,HOuv),HFer)-IF(NETWORKDAYS(P610,P610,JoursFeries),MEDIAN(MOD(P610,1),HFer,HOuv),HOuv))*24,4)))/HJour,4),""))</f>
        <v/>
      </c>
      <c r="AY610" s="36" t="str">
        <f aca="false">IF(OR(AO610&lt;&gt;1,AR610=""),"",INDEX(SLA_PEC,AR610))</f>
        <v/>
      </c>
      <c r="AZ610" s="35" t="str">
        <f aca="false">IF(OR(AV610="",AY610=""),"",IF(AV610&lt;=AY610,1,0))</f>
        <v/>
      </c>
      <c r="BA610" s="36" t="str">
        <f aca="false">IF(OR(AO610&lt;&gt;1,AR610=""),"",INDEX(SLA_RES,AR610))</f>
        <v/>
      </c>
      <c r="BB610" s="35" t="str">
        <f aca="false">IF(OR(AW610="",BA610=""),"",IF(AW610&lt;=BA610,1,0))</f>
        <v/>
      </c>
      <c r="BC610" s="38" t="str">
        <f aca="false">IF(OR(BA610="",P610=""),"",WORKDAY(INT(P610),BA610,JoursFeries)+MOD(P610,1))</f>
        <v/>
      </c>
      <c r="BD610" s="39" t="str">
        <f aca="false">IF(AO610&lt;&gt;1,"",IF(OR(AB610&lt;&gt;"",AD610&lt;&gt;""),4,IF(U610&lt;&gt;"",3,IF(T610&lt;&gt;"",2,1))))</f>
        <v/>
      </c>
      <c r="BE610" s="39" t="str">
        <f aca="false">IF(OR(AO610&lt;&gt;1,AR610=""),"",INDEX(NIV_REQ,AR610))</f>
        <v/>
      </c>
      <c r="BF610" s="39" t="str">
        <f aca="false">IF(BE610="","",MAX(BE610,IF(OR(K610="Oui",Z610="Oui"),4,1)))</f>
        <v/>
      </c>
      <c r="BG610" s="35" t="str">
        <f aca="false">IF(OR(BF610="",BD610=""),"",IF(BD610&gt;=BF610,1,0))</f>
        <v/>
      </c>
      <c r="BH610" s="38" t="str">
        <f aca="false">IF(BE610="","",IF(BE610&lt;2,"",IF(BE610=2,IF(AND(T610="",U610=""),"",MIN(T610,U610)),IF(U610="","",U610))))</f>
        <v/>
      </c>
      <c r="BI610" s="37" t="str">
        <f aca="false">IF(BH610="","",IF(OR(O610="",BH610=""),"",IF(BH610&lt;O610,"",ROUND(((NETWORKDAYS(O610,BH610,JoursFeries)-1)*(HFer-HOuv)+IF(NETWORKDAYS(BH610,BH610,JoursFeries),MEDIAN(MOD(BH610,1),HFer,HOuv),HFer)-IF(NETWORKDAYS(O610,O610,JoursFeries),MEDIAN(MOD(O610,1),HFer,HOuv),HOuv))*24,4))))</f>
        <v/>
      </c>
      <c r="BJ610" s="35" t="str">
        <f aca="false">IF(OR(BI610="",AR610=""),"",IF(BI610&lt;=INDEX(DELAI_ESC,AR610),1,0))</f>
        <v/>
      </c>
      <c r="BK610" s="38" t="str">
        <f aca="false">IF(AO610&lt;&gt;1,"",IF(AND(T610="",U610=""),"",MIN(T610,U610)))</f>
        <v/>
      </c>
      <c r="BL610" s="37" t="str">
        <f aca="false">IF(OR(BK610="",R610=""),"",IFERROR(ROUND(IF(OR(BK610="",R610=""),"",IF(R610&lt;BK610,"",ROUND(((NETWORKDAYS(BK610,R610,JoursFeries)-1)*(HFer-HOuv)+IF(NETWORKDAYS(R610,R610,JoursFeries),MEDIAN(MOD(R610,1),HFer,HOuv),HFer)-IF(NETWORKDAYS(BK610,BK610,JoursFeries),MEDIAN(MOD(BK610,1),HFer,HOuv),HOuv))*24,4)))/HJour,4),""))</f>
        <v/>
      </c>
      <c r="BM610" s="35" t="str">
        <f aca="false">IF(OR(AO610&lt;&gt;1,R610=""),"",IF(BD610=1,1,0))</f>
        <v/>
      </c>
      <c r="BN610" s="35" t="str">
        <f aca="false">IF(AO610&lt;&gt;1,"",IF(W610="Oui",1,0))</f>
        <v/>
      </c>
      <c r="BO610" s="35" t="str">
        <f aca="false">IF(AO610&lt;&gt;1,"",IF(X610&lt;&gt;"",1,0))</f>
        <v/>
      </c>
      <c r="BP610" s="35" t="str">
        <f aca="false">IF(AO610&lt;&gt;1,"",IF(Y610="Oui",1,0))</f>
        <v/>
      </c>
      <c r="BQ610" s="35" t="str">
        <f aca="true">IF(OR(AO610&lt;&gt;1,Z610&lt;&gt;"Oui"),"",IF(AB610="",IF(AND(AA610&lt;&gt;"",NOW()&gt;AA610),0,""),IF(AA610="","",IF(AB610&lt;=AA610,1,0))))</f>
        <v/>
      </c>
      <c r="BR610" s="38" t="str">
        <f aca="false">IF(OR(AO610&lt;&gt;1,K610&lt;&gt;"Oui",O610=""),"",IF(AC610="",O610+DORA_H_DET/24,IF(AC610-O610&lt;=DORA_H_DET/24,MIN(AC610+DORA_H_CLA/24,O610+DORA_H_DET/24),AC610+DORA_H_CLA/24)))</f>
        <v/>
      </c>
      <c r="BS610" s="35" t="str">
        <f aca="true">IF(BR610="","",IF(AD610="",IF(NOW()&gt;BR610,0,""),IF(AD610&lt;=BR610,1,0)))</f>
        <v/>
      </c>
      <c r="BT610" s="35" t="str">
        <f aca="true">IF(OR(BR610="",AD610=""),"",IF(AE610="",IF(NOW()&gt;AD610+DORA_H_INT/24,0,""),IF(AE610&lt;=AD610+DORA_H_INT/24,1,0)))</f>
        <v/>
      </c>
      <c r="BU610" s="35" t="str">
        <f aca="true">IF(OR(BR610="",AE610=""),"",IF(AF610="",IF(NOW()&gt;EDATE(AE610,DORA_M_FIN)+1,0,""),IF(AF610&lt;=EDATE(AE610,DORA_M_FIN),1,0)))</f>
        <v/>
      </c>
      <c r="BV610" s="35" t="str">
        <f aca="false">IF(BR610="","",IF(COUNT(BS610:BU610)=0,"",MIN(BS610:BU610)))</f>
        <v/>
      </c>
      <c r="BW610" s="40" t="str">
        <f aca="false">IF(AQ610&lt;&gt;1,"",IF(AND(AG610="",AH610=""),"",N(AG610)-N(AH610)))</f>
        <v/>
      </c>
      <c r="BX610" s="35" t="str">
        <f aca="true">IF(OR(AQ610&lt;&gt;1,AI610&lt;&gt;"Oui",AJ610=""),"",IF(AK610="",IF(NOW()&gt;AJ610+1,0,""),IF(AK610&lt;=AJ610,1,0)))</f>
        <v/>
      </c>
    </row>
    <row r="611" customFormat="false" ht="15" hidden="false" customHeight="false" outlineLevel="0" collapsed="false">
      <c r="B611" s="29"/>
      <c r="C611" s="29"/>
      <c r="D611" s="29"/>
      <c r="E611" s="29"/>
      <c r="F611" s="29"/>
      <c r="G611" s="29"/>
      <c r="H611" s="29"/>
      <c r="I611" s="29"/>
      <c r="J611" s="29"/>
      <c r="K611" s="29"/>
      <c r="L611" s="29"/>
      <c r="M611" s="29"/>
      <c r="N611" s="30"/>
      <c r="O611" s="30"/>
      <c r="P611" s="30"/>
      <c r="Q611" s="30"/>
      <c r="R611" s="30"/>
      <c r="S611" s="30"/>
      <c r="T611" s="30"/>
      <c r="U611" s="30"/>
      <c r="V611" s="31"/>
      <c r="W611" s="29"/>
      <c r="X611" s="29"/>
      <c r="Y611" s="29"/>
      <c r="Z611" s="29"/>
      <c r="AA611" s="30"/>
      <c r="AB611" s="30"/>
      <c r="AC611" s="30"/>
      <c r="AD611" s="30"/>
      <c r="AE611" s="30"/>
      <c r="AF611" s="32"/>
      <c r="AG611" s="33"/>
      <c r="AH611" s="33"/>
      <c r="AI611" s="29"/>
      <c r="AJ611" s="32"/>
      <c r="AK611" s="32"/>
      <c r="AL611" s="29"/>
      <c r="AN611" s="34" t="str">
        <f aca="false">IF($B611="","",IF(OR(C611="",D611="",E611="",G611="",I611="",J611="",L611="",O611="",P611=""),"Champ obligatoire manquant",IF(OR(AND(N611&lt;&gt;"",N611&gt;O611),O611&gt;P611,AND(Q611&lt;&gt;"",Q611&lt;P611),AND(R611&lt;&gt;"",R611&lt;P611),AND(S611&lt;&gt;"",S611&lt;R611),AND(S611&lt;&gt;"",R611=""),AND(T611&lt;&gt;"",T611&lt;O611),AND(U611&lt;&gt;"",U611&lt;O611)),"Chronologie incohérente",IF(AND(OR(L611="Résolu",L611="Clos"),R611=""),"Date de résolution manquante",IF(AND(L611="Clos",S611=""),"Date de clôture manquante",IF(AND(K611="Oui",AC611=""),"Classification DORA manquante","OK"))))))</f>
        <v/>
      </c>
      <c r="AO611" s="35" t="str">
        <f aca="false">IF($B611="","",IF(AND(C611="Incident",L611&lt;&gt;"Annulé"),1,0))</f>
        <v/>
      </c>
      <c r="AP611" s="35" t="str">
        <f aca="false">IF($B611="","",IF(AND(C611="Quasi-incident",L611&lt;&gt;"Annulé"),1,0))</f>
        <v/>
      </c>
      <c r="AQ611" s="35" t="str">
        <f aca="false">IF($B611="","",AO611+AP611)</f>
        <v/>
      </c>
      <c r="AR611" s="36" t="str">
        <f aca="false">IF(OR($B611="",J611=""),"",IFERROR(VALUE(LEFT(J611,1)),""))</f>
        <v/>
      </c>
      <c r="AS611" s="35" t="str">
        <f aca="false">IF(OR(AO611&lt;&gt;1,G611=""),"",IFERROR(IF(INDEX(L_SrcInterne,MATCH(G611,L_Sources,0))="Oui",1,0),""))</f>
        <v/>
      </c>
      <c r="AT611" s="37" t="str">
        <f aca="false">IF(AO611&lt;&gt;1,"",IFERROR(ROUND(IF(OR(N611="",O611=""),"",IF(O611&lt;N611,"",ROUND(((NETWORKDAYS(N611,O611,JoursFeries)-1)*(HFer-HOuv)+IF(NETWORKDAYS(O611,O611,JoursFeries),MEDIAN(MOD(O611,1),HFer,HOuv),HFer)-IF(NETWORKDAYS(N611,N611,JoursFeries),MEDIAN(MOD(N611,1),HFer,HOuv),HOuv))*24,4)))/HJour,4),""))</f>
        <v/>
      </c>
      <c r="AU611" s="37" t="str">
        <f aca="false">IF(AO611&lt;&gt;1,"",IF(OR(O611="",P611=""),"",IF(P611&lt;O611,"",ROUND(((NETWORKDAYS(O611,P611,JoursFeries)-1)*(HFer-HOuv)+IF(NETWORKDAYS(P611,P611,JoursFeries),MEDIAN(MOD(P611,1),HFer,HOuv),HFer)-IF(NETWORKDAYS(O611,O611,JoursFeries),MEDIAN(MOD(O611,1),HFer,HOuv),HOuv))*24,4))))</f>
        <v/>
      </c>
      <c r="AV611" s="37" t="str">
        <f aca="false">IF(AO611&lt;&gt;1,"",IF(OR(P611="",Q611=""),"",IF(Q611&lt;P611,"",ROUND(((NETWORKDAYS(P611,Q611,JoursFeries)-1)*(HFer-HOuv)+IF(NETWORKDAYS(Q611,Q611,JoursFeries),MEDIAN(MOD(Q611,1),HFer,HOuv),HFer)-IF(NETWORKDAYS(P611,P611,JoursFeries),MEDIAN(MOD(P611,1),HFer,HOuv),HOuv))*24,4))))</f>
        <v/>
      </c>
      <c r="AW611" s="37" t="str">
        <f aca="false">IF(AO611&lt;&gt;1,"",IFERROR(ROUND(IF(OR(P611="",R611=""),"",IF(R611&lt;P611,"",ROUND(((NETWORKDAYS(P611,R611,JoursFeries)-1)*(HFer-HOuv)+IF(NETWORKDAYS(R611,R611,JoursFeries),MEDIAN(MOD(R611,1),HFer,HOuv),HFer)-IF(NETWORKDAYS(P611,P611,JoursFeries),MEDIAN(MOD(P611,1),HFer,HOuv),HOuv))*24,4)))/HJour,4),""))</f>
        <v/>
      </c>
      <c r="AX611" s="37" t="str">
        <f aca="false">IF(AO611&lt;&gt;1,"",IFERROR(ROUND(IF(OR(P611="",S611=""),"",IF(S611&lt;P611,"",ROUND(((NETWORKDAYS(P611,S611,JoursFeries)-1)*(HFer-HOuv)+IF(NETWORKDAYS(S611,S611,JoursFeries),MEDIAN(MOD(S611,1),HFer,HOuv),HFer)-IF(NETWORKDAYS(P611,P611,JoursFeries),MEDIAN(MOD(P611,1),HFer,HOuv),HOuv))*24,4)))/HJour,4),""))</f>
        <v/>
      </c>
      <c r="AY611" s="36" t="str">
        <f aca="false">IF(OR(AO611&lt;&gt;1,AR611=""),"",INDEX(SLA_PEC,AR611))</f>
        <v/>
      </c>
      <c r="AZ611" s="35" t="str">
        <f aca="false">IF(OR(AV611="",AY611=""),"",IF(AV611&lt;=AY611,1,0))</f>
        <v/>
      </c>
      <c r="BA611" s="36" t="str">
        <f aca="false">IF(OR(AO611&lt;&gt;1,AR611=""),"",INDEX(SLA_RES,AR611))</f>
        <v/>
      </c>
      <c r="BB611" s="35" t="str">
        <f aca="false">IF(OR(AW611="",BA611=""),"",IF(AW611&lt;=BA611,1,0))</f>
        <v/>
      </c>
      <c r="BC611" s="38" t="str">
        <f aca="false">IF(OR(BA611="",P611=""),"",WORKDAY(INT(P611),BA611,JoursFeries)+MOD(P611,1))</f>
        <v/>
      </c>
      <c r="BD611" s="39" t="str">
        <f aca="false">IF(AO611&lt;&gt;1,"",IF(OR(AB611&lt;&gt;"",AD611&lt;&gt;""),4,IF(U611&lt;&gt;"",3,IF(T611&lt;&gt;"",2,1))))</f>
        <v/>
      </c>
      <c r="BE611" s="39" t="str">
        <f aca="false">IF(OR(AO611&lt;&gt;1,AR611=""),"",INDEX(NIV_REQ,AR611))</f>
        <v/>
      </c>
      <c r="BF611" s="39" t="str">
        <f aca="false">IF(BE611="","",MAX(BE611,IF(OR(K611="Oui",Z611="Oui"),4,1)))</f>
        <v/>
      </c>
      <c r="BG611" s="35" t="str">
        <f aca="false">IF(OR(BF611="",BD611=""),"",IF(BD611&gt;=BF611,1,0))</f>
        <v/>
      </c>
      <c r="BH611" s="38" t="str">
        <f aca="false">IF(BE611="","",IF(BE611&lt;2,"",IF(BE611=2,IF(AND(T611="",U611=""),"",MIN(T611,U611)),IF(U611="","",U611))))</f>
        <v/>
      </c>
      <c r="BI611" s="37" t="str">
        <f aca="false">IF(BH611="","",IF(OR(O611="",BH611=""),"",IF(BH611&lt;O611,"",ROUND(((NETWORKDAYS(O611,BH611,JoursFeries)-1)*(HFer-HOuv)+IF(NETWORKDAYS(BH611,BH611,JoursFeries),MEDIAN(MOD(BH611,1),HFer,HOuv),HFer)-IF(NETWORKDAYS(O611,O611,JoursFeries),MEDIAN(MOD(O611,1),HFer,HOuv),HOuv))*24,4))))</f>
        <v/>
      </c>
      <c r="BJ611" s="35" t="str">
        <f aca="false">IF(OR(BI611="",AR611=""),"",IF(BI611&lt;=INDEX(DELAI_ESC,AR611),1,0))</f>
        <v/>
      </c>
      <c r="BK611" s="38" t="str">
        <f aca="false">IF(AO611&lt;&gt;1,"",IF(AND(T611="",U611=""),"",MIN(T611,U611)))</f>
        <v/>
      </c>
      <c r="BL611" s="37" t="str">
        <f aca="false">IF(OR(BK611="",R611=""),"",IFERROR(ROUND(IF(OR(BK611="",R611=""),"",IF(R611&lt;BK611,"",ROUND(((NETWORKDAYS(BK611,R611,JoursFeries)-1)*(HFer-HOuv)+IF(NETWORKDAYS(R611,R611,JoursFeries),MEDIAN(MOD(R611,1),HFer,HOuv),HFer)-IF(NETWORKDAYS(BK611,BK611,JoursFeries),MEDIAN(MOD(BK611,1),HFer,HOuv),HOuv))*24,4)))/HJour,4),""))</f>
        <v/>
      </c>
      <c r="BM611" s="35" t="str">
        <f aca="false">IF(OR(AO611&lt;&gt;1,R611=""),"",IF(BD611=1,1,0))</f>
        <v/>
      </c>
      <c r="BN611" s="35" t="str">
        <f aca="false">IF(AO611&lt;&gt;1,"",IF(W611="Oui",1,0))</f>
        <v/>
      </c>
      <c r="BO611" s="35" t="str">
        <f aca="false">IF(AO611&lt;&gt;1,"",IF(X611&lt;&gt;"",1,0))</f>
        <v/>
      </c>
      <c r="BP611" s="35" t="str">
        <f aca="false">IF(AO611&lt;&gt;1,"",IF(Y611="Oui",1,0))</f>
        <v/>
      </c>
      <c r="BQ611" s="35" t="str">
        <f aca="true">IF(OR(AO611&lt;&gt;1,Z611&lt;&gt;"Oui"),"",IF(AB611="",IF(AND(AA611&lt;&gt;"",NOW()&gt;AA611),0,""),IF(AA611="","",IF(AB611&lt;=AA611,1,0))))</f>
        <v/>
      </c>
      <c r="BR611" s="38" t="str">
        <f aca="false">IF(OR(AO611&lt;&gt;1,K611&lt;&gt;"Oui",O611=""),"",IF(AC611="",O611+DORA_H_DET/24,IF(AC611-O611&lt;=DORA_H_DET/24,MIN(AC611+DORA_H_CLA/24,O611+DORA_H_DET/24),AC611+DORA_H_CLA/24)))</f>
        <v/>
      </c>
      <c r="BS611" s="35" t="str">
        <f aca="true">IF(BR611="","",IF(AD611="",IF(NOW()&gt;BR611,0,""),IF(AD611&lt;=BR611,1,0)))</f>
        <v/>
      </c>
      <c r="BT611" s="35" t="str">
        <f aca="true">IF(OR(BR611="",AD611=""),"",IF(AE611="",IF(NOW()&gt;AD611+DORA_H_INT/24,0,""),IF(AE611&lt;=AD611+DORA_H_INT/24,1,0)))</f>
        <v/>
      </c>
      <c r="BU611" s="35" t="str">
        <f aca="true">IF(OR(BR611="",AE611=""),"",IF(AF611="",IF(NOW()&gt;EDATE(AE611,DORA_M_FIN)+1,0,""),IF(AF611&lt;=EDATE(AE611,DORA_M_FIN),1,0)))</f>
        <v/>
      </c>
      <c r="BV611" s="35" t="str">
        <f aca="false">IF(BR611="","",IF(COUNT(BS611:BU611)=0,"",MIN(BS611:BU611)))</f>
        <v/>
      </c>
      <c r="BW611" s="40" t="str">
        <f aca="false">IF(AQ611&lt;&gt;1,"",IF(AND(AG611="",AH611=""),"",N(AG611)-N(AH611)))</f>
        <v/>
      </c>
      <c r="BX611" s="35" t="str">
        <f aca="true">IF(OR(AQ611&lt;&gt;1,AI611&lt;&gt;"Oui",AJ611=""),"",IF(AK611="",IF(NOW()&gt;AJ611+1,0,""),IF(AK611&lt;=AJ611,1,0)))</f>
        <v/>
      </c>
    </row>
    <row r="612" customFormat="false" ht="15" hidden="false" customHeight="false" outlineLevel="0" collapsed="false">
      <c r="B612" s="29"/>
      <c r="C612" s="29"/>
      <c r="D612" s="29"/>
      <c r="E612" s="29"/>
      <c r="F612" s="29"/>
      <c r="G612" s="29"/>
      <c r="H612" s="29"/>
      <c r="I612" s="29"/>
      <c r="J612" s="29"/>
      <c r="K612" s="29"/>
      <c r="L612" s="29"/>
      <c r="M612" s="29"/>
      <c r="N612" s="30"/>
      <c r="O612" s="30"/>
      <c r="P612" s="30"/>
      <c r="Q612" s="30"/>
      <c r="R612" s="30"/>
      <c r="S612" s="30"/>
      <c r="T612" s="30"/>
      <c r="U612" s="30"/>
      <c r="V612" s="31"/>
      <c r="W612" s="29"/>
      <c r="X612" s="29"/>
      <c r="Y612" s="29"/>
      <c r="Z612" s="29"/>
      <c r="AA612" s="30"/>
      <c r="AB612" s="30"/>
      <c r="AC612" s="30"/>
      <c r="AD612" s="30"/>
      <c r="AE612" s="30"/>
      <c r="AF612" s="32"/>
      <c r="AG612" s="33"/>
      <c r="AH612" s="33"/>
      <c r="AI612" s="29"/>
      <c r="AJ612" s="32"/>
      <c r="AK612" s="32"/>
      <c r="AL612" s="29"/>
      <c r="AN612" s="34" t="str">
        <f aca="false">IF($B612="","",IF(OR(C612="",D612="",E612="",G612="",I612="",J612="",L612="",O612="",P612=""),"Champ obligatoire manquant",IF(OR(AND(N612&lt;&gt;"",N612&gt;O612),O612&gt;P612,AND(Q612&lt;&gt;"",Q612&lt;P612),AND(R612&lt;&gt;"",R612&lt;P612),AND(S612&lt;&gt;"",S612&lt;R612),AND(S612&lt;&gt;"",R612=""),AND(T612&lt;&gt;"",T612&lt;O612),AND(U612&lt;&gt;"",U612&lt;O612)),"Chronologie incohérente",IF(AND(OR(L612="Résolu",L612="Clos"),R612=""),"Date de résolution manquante",IF(AND(L612="Clos",S612=""),"Date de clôture manquante",IF(AND(K612="Oui",AC612=""),"Classification DORA manquante","OK"))))))</f>
        <v/>
      </c>
      <c r="AO612" s="35" t="str">
        <f aca="false">IF($B612="","",IF(AND(C612="Incident",L612&lt;&gt;"Annulé"),1,0))</f>
        <v/>
      </c>
      <c r="AP612" s="35" t="str">
        <f aca="false">IF($B612="","",IF(AND(C612="Quasi-incident",L612&lt;&gt;"Annulé"),1,0))</f>
        <v/>
      </c>
      <c r="AQ612" s="35" t="str">
        <f aca="false">IF($B612="","",AO612+AP612)</f>
        <v/>
      </c>
      <c r="AR612" s="36" t="str">
        <f aca="false">IF(OR($B612="",J612=""),"",IFERROR(VALUE(LEFT(J612,1)),""))</f>
        <v/>
      </c>
      <c r="AS612" s="35" t="str">
        <f aca="false">IF(OR(AO612&lt;&gt;1,G612=""),"",IFERROR(IF(INDEX(L_SrcInterne,MATCH(G612,L_Sources,0))="Oui",1,0),""))</f>
        <v/>
      </c>
      <c r="AT612" s="37" t="str">
        <f aca="false">IF(AO612&lt;&gt;1,"",IFERROR(ROUND(IF(OR(N612="",O612=""),"",IF(O612&lt;N612,"",ROUND(((NETWORKDAYS(N612,O612,JoursFeries)-1)*(HFer-HOuv)+IF(NETWORKDAYS(O612,O612,JoursFeries),MEDIAN(MOD(O612,1),HFer,HOuv),HFer)-IF(NETWORKDAYS(N612,N612,JoursFeries),MEDIAN(MOD(N612,1),HFer,HOuv),HOuv))*24,4)))/HJour,4),""))</f>
        <v/>
      </c>
      <c r="AU612" s="37" t="str">
        <f aca="false">IF(AO612&lt;&gt;1,"",IF(OR(O612="",P612=""),"",IF(P612&lt;O612,"",ROUND(((NETWORKDAYS(O612,P612,JoursFeries)-1)*(HFer-HOuv)+IF(NETWORKDAYS(P612,P612,JoursFeries),MEDIAN(MOD(P612,1),HFer,HOuv),HFer)-IF(NETWORKDAYS(O612,O612,JoursFeries),MEDIAN(MOD(O612,1),HFer,HOuv),HOuv))*24,4))))</f>
        <v/>
      </c>
      <c r="AV612" s="37" t="str">
        <f aca="false">IF(AO612&lt;&gt;1,"",IF(OR(P612="",Q612=""),"",IF(Q612&lt;P612,"",ROUND(((NETWORKDAYS(P612,Q612,JoursFeries)-1)*(HFer-HOuv)+IF(NETWORKDAYS(Q612,Q612,JoursFeries),MEDIAN(MOD(Q612,1),HFer,HOuv),HFer)-IF(NETWORKDAYS(P612,P612,JoursFeries),MEDIAN(MOD(P612,1),HFer,HOuv),HOuv))*24,4))))</f>
        <v/>
      </c>
      <c r="AW612" s="37" t="str">
        <f aca="false">IF(AO612&lt;&gt;1,"",IFERROR(ROUND(IF(OR(P612="",R612=""),"",IF(R612&lt;P612,"",ROUND(((NETWORKDAYS(P612,R612,JoursFeries)-1)*(HFer-HOuv)+IF(NETWORKDAYS(R612,R612,JoursFeries),MEDIAN(MOD(R612,1),HFer,HOuv),HFer)-IF(NETWORKDAYS(P612,P612,JoursFeries),MEDIAN(MOD(P612,1),HFer,HOuv),HOuv))*24,4)))/HJour,4),""))</f>
        <v/>
      </c>
      <c r="AX612" s="37" t="str">
        <f aca="false">IF(AO612&lt;&gt;1,"",IFERROR(ROUND(IF(OR(P612="",S612=""),"",IF(S612&lt;P612,"",ROUND(((NETWORKDAYS(P612,S612,JoursFeries)-1)*(HFer-HOuv)+IF(NETWORKDAYS(S612,S612,JoursFeries),MEDIAN(MOD(S612,1),HFer,HOuv),HFer)-IF(NETWORKDAYS(P612,P612,JoursFeries),MEDIAN(MOD(P612,1),HFer,HOuv),HOuv))*24,4)))/HJour,4),""))</f>
        <v/>
      </c>
      <c r="AY612" s="36" t="str">
        <f aca="false">IF(OR(AO612&lt;&gt;1,AR612=""),"",INDEX(SLA_PEC,AR612))</f>
        <v/>
      </c>
      <c r="AZ612" s="35" t="str">
        <f aca="false">IF(OR(AV612="",AY612=""),"",IF(AV612&lt;=AY612,1,0))</f>
        <v/>
      </c>
      <c r="BA612" s="36" t="str">
        <f aca="false">IF(OR(AO612&lt;&gt;1,AR612=""),"",INDEX(SLA_RES,AR612))</f>
        <v/>
      </c>
      <c r="BB612" s="35" t="str">
        <f aca="false">IF(OR(AW612="",BA612=""),"",IF(AW612&lt;=BA612,1,0))</f>
        <v/>
      </c>
      <c r="BC612" s="38" t="str">
        <f aca="false">IF(OR(BA612="",P612=""),"",WORKDAY(INT(P612),BA612,JoursFeries)+MOD(P612,1))</f>
        <v/>
      </c>
      <c r="BD612" s="39" t="str">
        <f aca="false">IF(AO612&lt;&gt;1,"",IF(OR(AB612&lt;&gt;"",AD612&lt;&gt;""),4,IF(U612&lt;&gt;"",3,IF(T612&lt;&gt;"",2,1))))</f>
        <v/>
      </c>
      <c r="BE612" s="39" t="str">
        <f aca="false">IF(OR(AO612&lt;&gt;1,AR612=""),"",INDEX(NIV_REQ,AR612))</f>
        <v/>
      </c>
      <c r="BF612" s="39" t="str">
        <f aca="false">IF(BE612="","",MAX(BE612,IF(OR(K612="Oui",Z612="Oui"),4,1)))</f>
        <v/>
      </c>
      <c r="BG612" s="35" t="str">
        <f aca="false">IF(OR(BF612="",BD612=""),"",IF(BD612&gt;=BF612,1,0))</f>
        <v/>
      </c>
      <c r="BH612" s="38" t="str">
        <f aca="false">IF(BE612="","",IF(BE612&lt;2,"",IF(BE612=2,IF(AND(T612="",U612=""),"",MIN(T612,U612)),IF(U612="","",U612))))</f>
        <v/>
      </c>
      <c r="BI612" s="37" t="str">
        <f aca="false">IF(BH612="","",IF(OR(O612="",BH612=""),"",IF(BH612&lt;O612,"",ROUND(((NETWORKDAYS(O612,BH612,JoursFeries)-1)*(HFer-HOuv)+IF(NETWORKDAYS(BH612,BH612,JoursFeries),MEDIAN(MOD(BH612,1),HFer,HOuv),HFer)-IF(NETWORKDAYS(O612,O612,JoursFeries),MEDIAN(MOD(O612,1),HFer,HOuv),HOuv))*24,4))))</f>
        <v/>
      </c>
      <c r="BJ612" s="35" t="str">
        <f aca="false">IF(OR(BI612="",AR612=""),"",IF(BI612&lt;=INDEX(DELAI_ESC,AR612),1,0))</f>
        <v/>
      </c>
      <c r="BK612" s="38" t="str">
        <f aca="false">IF(AO612&lt;&gt;1,"",IF(AND(T612="",U612=""),"",MIN(T612,U612)))</f>
        <v/>
      </c>
      <c r="BL612" s="37" t="str">
        <f aca="false">IF(OR(BK612="",R612=""),"",IFERROR(ROUND(IF(OR(BK612="",R612=""),"",IF(R612&lt;BK612,"",ROUND(((NETWORKDAYS(BK612,R612,JoursFeries)-1)*(HFer-HOuv)+IF(NETWORKDAYS(R612,R612,JoursFeries),MEDIAN(MOD(R612,1),HFer,HOuv),HFer)-IF(NETWORKDAYS(BK612,BK612,JoursFeries),MEDIAN(MOD(BK612,1),HFer,HOuv),HOuv))*24,4)))/HJour,4),""))</f>
        <v/>
      </c>
      <c r="BM612" s="35" t="str">
        <f aca="false">IF(OR(AO612&lt;&gt;1,R612=""),"",IF(BD612=1,1,0))</f>
        <v/>
      </c>
      <c r="BN612" s="35" t="str">
        <f aca="false">IF(AO612&lt;&gt;1,"",IF(W612="Oui",1,0))</f>
        <v/>
      </c>
      <c r="BO612" s="35" t="str">
        <f aca="false">IF(AO612&lt;&gt;1,"",IF(X612&lt;&gt;"",1,0))</f>
        <v/>
      </c>
      <c r="BP612" s="35" t="str">
        <f aca="false">IF(AO612&lt;&gt;1,"",IF(Y612="Oui",1,0))</f>
        <v/>
      </c>
      <c r="BQ612" s="35" t="str">
        <f aca="true">IF(OR(AO612&lt;&gt;1,Z612&lt;&gt;"Oui"),"",IF(AB612="",IF(AND(AA612&lt;&gt;"",NOW()&gt;AA612),0,""),IF(AA612="","",IF(AB612&lt;=AA612,1,0))))</f>
        <v/>
      </c>
      <c r="BR612" s="38" t="str">
        <f aca="false">IF(OR(AO612&lt;&gt;1,K612&lt;&gt;"Oui",O612=""),"",IF(AC612="",O612+DORA_H_DET/24,IF(AC612-O612&lt;=DORA_H_DET/24,MIN(AC612+DORA_H_CLA/24,O612+DORA_H_DET/24),AC612+DORA_H_CLA/24)))</f>
        <v/>
      </c>
      <c r="BS612" s="35" t="str">
        <f aca="true">IF(BR612="","",IF(AD612="",IF(NOW()&gt;BR612,0,""),IF(AD612&lt;=BR612,1,0)))</f>
        <v/>
      </c>
      <c r="BT612" s="35" t="str">
        <f aca="true">IF(OR(BR612="",AD612=""),"",IF(AE612="",IF(NOW()&gt;AD612+DORA_H_INT/24,0,""),IF(AE612&lt;=AD612+DORA_H_INT/24,1,0)))</f>
        <v/>
      </c>
      <c r="BU612" s="35" t="str">
        <f aca="true">IF(OR(BR612="",AE612=""),"",IF(AF612="",IF(NOW()&gt;EDATE(AE612,DORA_M_FIN)+1,0,""),IF(AF612&lt;=EDATE(AE612,DORA_M_FIN),1,0)))</f>
        <v/>
      </c>
      <c r="BV612" s="35" t="str">
        <f aca="false">IF(BR612="","",IF(COUNT(BS612:BU612)=0,"",MIN(BS612:BU612)))</f>
        <v/>
      </c>
      <c r="BW612" s="40" t="str">
        <f aca="false">IF(AQ612&lt;&gt;1,"",IF(AND(AG612="",AH612=""),"",N(AG612)-N(AH612)))</f>
        <v/>
      </c>
      <c r="BX612" s="35" t="str">
        <f aca="true">IF(OR(AQ612&lt;&gt;1,AI612&lt;&gt;"Oui",AJ612=""),"",IF(AK612="",IF(NOW()&gt;AJ612+1,0,""),IF(AK612&lt;=AJ612,1,0)))</f>
        <v/>
      </c>
    </row>
    <row r="613" customFormat="false" ht="15" hidden="false" customHeight="false" outlineLevel="0" collapsed="false">
      <c r="B613" s="29"/>
      <c r="C613" s="29"/>
      <c r="D613" s="29"/>
      <c r="E613" s="29"/>
      <c r="F613" s="29"/>
      <c r="G613" s="29"/>
      <c r="H613" s="29"/>
      <c r="I613" s="29"/>
      <c r="J613" s="29"/>
      <c r="K613" s="29"/>
      <c r="L613" s="29"/>
      <c r="M613" s="29"/>
      <c r="N613" s="30"/>
      <c r="O613" s="30"/>
      <c r="P613" s="30"/>
      <c r="Q613" s="30"/>
      <c r="R613" s="30"/>
      <c r="S613" s="30"/>
      <c r="T613" s="30"/>
      <c r="U613" s="30"/>
      <c r="V613" s="31"/>
      <c r="W613" s="29"/>
      <c r="X613" s="29"/>
      <c r="Y613" s="29"/>
      <c r="Z613" s="29"/>
      <c r="AA613" s="30"/>
      <c r="AB613" s="30"/>
      <c r="AC613" s="30"/>
      <c r="AD613" s="30"/>
      <c r="AE613" s="30"/>
      <c r="AF613" s="32"/>
      <c r="AG613" s="33"/>
      <c r="AH613" s="33"/>
      <c r="AI613" s="29"/>
      <c r="AJ613" s="32"/>
      <c r="AK613" s="32"/>
      <c r="AL613" s="29"/>
      <c r="AN613" s="34" t="str">
        <f aca="false">IF($B613="","",IF(OR(C613="",D613="",E613="",G613="",I613="",J613="",L613="",O613="",P613=""),"Champ obligatoire manquant",IF(OR(AND(N613&lt;&gt;"",N613&gt;O613),O613&gt;P613,AND(Q613&lt;&gt;"",Q613&lt;P613),AND(R613&lt;&gt;"",R613&lt;P613),AND(S613&lt;&gt;"",S613&lt;R613),AND(S613&lt;&gt;"",R613=""),AND(T613&lt;&gt;"",T613&lt;O613),AND(U613&lt;&gt;"",U613&lt;O613)),"Chronologie incohérente",IF(AND(OR(L613="Résolu",L613="Clos"),R613=""),"Date de résolution manquante",IF(AND(L613="Clos",S613=""),"Date de clôture manquante",IF(AND(K613="Oui",AC613=""),"Classification DORA manquante","OK"))))))</f>
        <v/>
      </c>
      <c r="AO613" s="35" t="str">
        <f aca="false">IF($B613="","",IF(AND(C613="Incident",L613&lt;&gt;"Annulé"),1,0))</f>
        <v/>
      </c>
      <c r="AP613" s="35" t="str">
        <f aca="false">IF($B613="","",IF(AND(C613="Quasi-incident",L613&lt;&gt;"Annulé"),1,0))</f>
        <v/>
      </c>
      <c r="AQ613" s="35" t="str">
        <f aca="false">IF($B613="","",AO613+AP613)</f>
        <v/>
      </c>
      <c r="AR613" s="36" t="str">
        <f aca="false">IF(OR($B613="",J613=""),"",IFERROR(VALUE(LEFT(J613,1)),""))</f>
        <v/>
      </c>
      <c r="AS613" s="35" t="str">
        <f aca="false">IF(OR(AO613&lt;&gt;1,G613=""),"",IFERROR(IF(INDEX(L_SrcInterne,MATCH(G613,L_Sources,0))="Oui",1,0),""))</f>
        <v/>
      </c>
      <c r="AT613" s="37" t="str">
        <f aca="false">IF(AO613&lt;&gt;1,"",IFERROR(ROUND(IF(OR(N613="",O613=""),"",IF(O613&lt;N613,"",ROUND(((NETWORKDAYS(N613,O613,JoursFeries)-1)*(HFer-HOuv)+IF(NETWORKDAYS(O613,O613,JoursFeries),MEDIAN(MOD(O613,1),HFer,HOuv),HFer)-IF(NETWORKDAYS(N613,N613,JoursFeries),MEDIAN(MOD(N613,1),HFer,HOuv),HOuv))*24,4)))/HJour,4),""))</f>
        <v/>
      </c>
      <c r="AU613" s="37" t="str">
        <f aca="false">IF(AO613&lt;&gt;1,"",IF(OR(O613="",P613=""),"",IF(P613&lt;O613,"",ROUND(((NETWORKDAYS(O613,P613,JoursFeries)-1)*(HFer-HOuv)+IF(NETWORKDAYS(P613,P613,JoursFeries),MEDIAN(MOD(P613,1),HFer,HOuv),HFer)-IF(NETWORKDAYS(O613,O613,JoursFeries),MEDIAN(MOD(O613,1),HFer,HOuv),HOuv))*24,4))))</f>
        <v/>
      </c>
      <c r="AV613" s="37" t="str">
        <f aca="false">IF(AO613&lt;&gt;1,"",IF(OR(P613="",Q613=""),"",IF(Q613&lt;P613,"",ROUND(((NETWORKDAYS(P613,Q613,JoursFeries)-1)*(HFer-HOuv)+IF(NETWORKDAYS(Q613,Q613,JoursFeries),MEDIAN(MOD(Q613,1),HFer,HOuv),HFer)-IF(NETWORKDAYS(P613,P613,JoursFeries),MEDIAN(MOD(P613,1),HFer,HOuv),HOuv))*24,4))))</f>
        <v/>
      </c>
      <c r="AW613" s="37" t="str">
        <f aca="false">IF(AO613&lt;&gt;1,"",IFERROR(ROUND(IF(OR(P613="",R613=""),"",IF(R613&lt;P613,"",ROUND(((NETWORKDAYS(P613,R613,JoursFeries)-1)*(HFer-HOuv)+IF(NETWORKDAYS(R613,R613,JoursFeries),MEDIAN(MOD(R613,1),HFer,HOuv),HFer)-IF(NETWORKDAYS(P613,P613,JoursFeries),MEDIAN(MOD(P613,1),HFer,HOuv),HOuv))*24,4)))/HJour,4),""))</f>
        <v/>
      </c>
      <c r="AX613" s="37" t="str">
        <f aca="false">IF(AO613&lt;&gt;1,"",IFERROR(ROUND(IF(OR(P613="",S613=""),"",IF(S613&lt;P613,"",ROUND(((NETWORKDAYS(P613,S613,JoursFeries)-1)*(HFer-HOuv)+IF(NETWORKDAYS(S613,S613,JoursFeries),MEDIAN(MOD(S613,1),HFer,HOuv),HFer)-IF(NETWORKDAYS(P613,P613,JoursFeries),MEDIAN(MOD(P613,1),HFer,HOuv),HOuv))*24,4)))/HJour,4),""))</f>
        <v/>
      </c>
      <c r="AY613" s="36" t="str">
        <f aca="false">IF(OR(AO613&lt;&gt;1,AR613=""),"",INDEX(SLA_PEC,AR613))</f>
        <v/>
      </c>
      <c r="AZ613" s="35" t="str">
        <f aca="false">IF(OR(AV613="",AY613=""),"",IF(AV613&lt;=AY613,1,0))</f>
        <v/>
      </c>
      <c r="BA613" s="36" t="str">
        <f aca="false">IF(OR(AO613&lt;&gt;1,AR613=""),"",INDEX(SLA_RES,AR613))</f>
        <v/>
      </c>
      <c r="BB613" s="35" t="str">
        <f aca="false">IF(OR(AW613="",BA613=""),"",IF(AW613&lt;=BA613,1,0))</f>
        <v/>
      </c>
      <c r="BC613" s="38" t="str">
        <f aca="false">IF(OR(BA613="",P613=""),"",WORKDAY(INT(P613),BA613,JoursFeries)+MOD(P613,1))</f>
        <v/>
      </c>
      <c r="BD613" s="39" t="str">
        <f aca="false">IF(AO613&lt;&gt;1,"",IF(OR(AB613&lt;&gt;"",AD613&lt;&gt;""),4,IF(U613&lt;&gt;"",3,IF(T613&lt;&gt;"",2,1))))</f>
        <v/>
      </c>
      <c r="BE613" s="39" t="str">
        <f aca="false">IF(OR(AO613&lt;&gt;1,AR613=""),"",INDEX(NIV_REQ,AR613))</f>
        <v/>
      </c>
      <c r="BF613" s="39" t="str">
        <f aca="false">IF(BE613="","",MAX(BE613,IF(OR(K613="Oui",Z613="Oui"),4,1)))</f>
        <v/>
      </c>
      <c r="BG613" s="35" t="str">
        <f aca="false">IF(OR(BF613="",BD613=""),"",IF(BD613&gt;=BF613,1,0))</f>
        <v/>
      </c>
      <c r="BH613" s="38" t="str">
        <f aca="false">IF(BE613="","",IF(BE613&lt;2,"",IF(BE613=2,IF(AND(T613="",U613=""),"",MIN(T613,U613)),IF(U613="","",U613))))</f>
        <v/>
      </c>
      <c r="BI613" s="37" t="str">
        <f aca="false">IF(BH613="","",IF(OR(O613="",BH613=""),"",IF(BH613&lt;O613,"",ROUND(((NETWORKDAYS(O613,BH613,JoursFeries)-1)*(HFer-HOuv)+IF(NETWORKDAYS(BH613,BH613,JoursFeries),MEDIAN(MOD(BH613,1),HFer,HOuv),HFer)-IF(NETWORKDAYS(O613,O613,JoursFeries),MEDIAN(MOD(O613,1),HFer,HOuv),HOuv))*24,4))))</f>
        <v/>
      </c>
      <c r="BJ613" s="35" t="str">
        <f aca="false">IF(OR(BI613="",AR613=""),"",IF(BI613&lt;=INDEX(DELAI_ESC,AR613),1,0))</f>
        <v/>
      </c>
      <c r="BK613" s="38" t="str">
        <f aca="false">IF(AO613&lt;&gt;1,"",IF(AND(T613="",U613=""),"",MIN(T613,U613)))</f>
        <v/>
      </c>
      <c r="BL613" s="37" t="str">
        <f aca="false">IF(OR(BK613="",R613=""),"",IFERROR(ROUND(IF(OR(BK613="",R613=""),"",IF(R613&lt;BK613,"",ROUND(((NETWORKDAYS(BK613,R613,JoursFeries)-1)*(HFer-HOuv)+IF(NETWORKDAYS(R613,R613,JoursFeries),MEDIAN(MOD(R613,1),HFer,HOuv),HFer)-IF(NETWORKDAYS(BK613,BK613,JoursFeries),MEDIAN(MOD(BK613,1),HFer,HOuv),HOuv))*24,4)))/HJour,4),""))</f>
        <v/>
      </c>
      <c r="BM613" s="35" t="str">
        <f aca="false">IF(OR(AO613&lt;&gt;1,R613=""),"",IF(BD613=1,1,0))</f>
        <v/>
      </c>
      <c r="BN613" s="35" t="str">
        <f aca="false">IF(AO613&lt;&gt;1,"",IF(W613="Oui",1,0))</f>
        <v/>
      </c>
      <c r="BO613" s="35" t="str">
        <f aca="false">IF(AO613&lt;&gt;1,"",IF(X613&lt;&gt;"",1,0))</f>
        <v/>
      </c>
      <c r="BP613" s="35" t="str">
        <f aca="false">IF(AO613&lt;&gt;1,"",IF(Y613="Oui",1,0))</f>
        <v/>
      </c>
      <c r="BQ613" s="35" t="str">
        <f aca="true">IF(OR(AO613&lt;&gt;1,Z613&lt;&gt;"Oui"),"",IF(AB613="",IF(AND(AA613&lt;&gt;"",NOW()&gt;AA613),0,""),IF(AA613="","",IF(AB613&lt;=AA613,1,0))))</f>
        <v/>
      </c>
      <c r="BR613" s="38" t="str">
        <f aca="false">IF(OR(AO613&lt;&gt;1,K613&lt;&gt;"Oui",O613=""),"",IF(AC613="",O613+DORA_H_DET/24,IF(AC613-O613&lt;=DORA_H_DET/24,MIN(AC613+DORA_H_CLA/24,O613+DORA_H_DET/24),AC613+DORA_H_CLA/24)))</f>
        <v/>
      </c>
      <c r="BS613" s="35" t="str">
        <f aca="true">IF(BR613="","",IF(AD613="",IF(NOW()&gt;BR613,0,""),IF(AD613&lt;=BR613,1,0)))</f>
        <v/>
      </c>
      <c r="BT613" s="35" t="str">
        <f aca="true">IF(OR(BR613="",AD613=""),"",IF(AE613="",IF(NOW()&gt;AD613+DORA_H_INT/24,0,""),IF(AE613&lt;=AD613+DORA_H_INT/24,1,0)))</f>
        <v/>
      </c>
      <c r="BU613" s="35" t="str">
        <f aca="true">IF(OR(BR613="",AE613=""),"",IF(AF613="",IF(NOW()&gt;EDATE(AE613,DORA_M_FIN)+1,0,""),IF(AF613&lt;=EDATE(AE613,DORA_M_FIN),1,0)))</f>
        <v/>
      </c>
      <c r="BV613" s="35" t="str">
        <f aca="false">IF(BR613="","",IF(COUNT(BS613:BU613)=0,"",MIN(BS613:BU613)))</f>
        <v/>
      </c>
      <c r="BW613" s="40" t="str">
        <f aca="false">IF(AQ613&lt;&gt;1,"",IF(AND(AG613="",AH613=""),"",N(AG613)-N(AH613)))</f>
        <v/>
      </c>
      <c r="BX613" s="35" t="str">
        <f aca="true">IF(OR(AQ613&lt;&gt;1,AI613&lt;&gt;"Oui",AJ613=""),"",IF(AK613="",IF(NOW()&gt;AJ613+1,0,""),IF(AK613&lt;=AJ613,1,0)))</f>
        <v/>
      </c>
    </row>
    <row r="614" customFormat="false" ht="15" hidden="false" customHeight="false" outlineLevel="0" collapsed="false">
      <c r="B614" s="29"/>
      <c r="C614" s="29"/>
      <c r="D614" s="29"/>
      <c r="E614" s="29"/>
      <c r="F614" s="29"/>
      <c r="G614" s="29"/>
      <c r="H614" s="29"/>
      <c r="I614" s="29"/>
      <c r="J614" s="29"/>
      <c r="K614" s="29"/>
      <c r="L614" s="29"/>
      <c r="M614" s="29"/>
      <c r="N614" s="30"/>
      <c r="O614" s="30"/>
      <c r="P614" s="30"/>
      <c r="Q614" s="30"/>
      <c r="R614" s="30"/>
      <c r="S614" s="30"/>
      <c r="T614" s="30"/>
      <c r="U614" s="30"/>
      <c r="V614" s="31"/>
      <c r="W614" s="29"/>
      <c r="X614" s="29"/>
      <c r="Y614" s="29"/>
      <c r="Z614" s="29"/>
      <c r="AA614" s="30"/>
      <c r="AB614" s="30"/>
      <c r="AC614" s="30"/>
      <c r="AD614" s="30"/>
      <c r="AE614" s="30"/>
      <c r="AF614" s="32"/>
      <c r="AG614" s="33"/>
      <c r="AH614" s="33"/>
      <c r="AI614" s="29"/>
      <c r="AJ614" s="32"/>
      <c r="AK614" s="32"/>
      <c r="AL614" s="29"/>
      <c r="AN614" s="34" t="str">
        <f aca="false">IF($B614="","",IF(OR(C614="",D614="",E614="",G614="",I614="",J614="",L614="",O614="",P614=""),"Champ obligatoire manquant",IF(OR(AND(N614&lt;&gt;"",N614&gt;O614),O614&gt;P614,AND(Q614&lt;&gt;"",Q614&lt;P614),AND(R614&lt;&gt;"",R614&lt;P614),AND(S614&lt;&gt;"",S614&lt;R614),AND(S614&lt;&gt;"",R614=""),AND(T614&lt;&gt;"",T614&lt;O614),AND(U614&lt;&gt;"",U614&lt;O614)),"Chronologie incohérente",IF(AND(OR(L614="Résolu",L614="Clos"),R614=""),"Date de résolution manquante",IF(AND(L614="Clos",S614=""),"Date de clôture manquante",IF(AND(K614="Oui",AC614=""),"Classification DORA manquante","OK"))))))</f>
        <v/>
      </c>
      <c r="AO614" s="35" t="str">
        <f aca="false">IF($B614="","",IF(AND(C614="Incident",L614&lt;&gt;"Annulé"),1,0))</f>
        <v/>
      </c>
      <c r="AP614" s="35" t="str">
        <f aca="false">IF($B614="","",IF(AND(C614="Quasi-incident",L614&lt;&gt;"Annulé"),1,0))</f>
        <v/>
      </c>
      <c r="AQ614" s="35" t="str">
        <f aca="false">IF($B614="","",AO614+AP614)</f>
        <v/>
      </c>
      <c r="AR614" s="36" t="str">
        <f aca="false">IF(OR($B614="",J614=""),"",IFERROR(VALUE(LEFT(J614,1)),""))</f>
        <v/>
      </c>
      <c r="AS614" s="35" t="str">
        <f aca="false">IF(OR(AO614&lt;&gt;1,G614=""),"",IFERROR(IF(INDEX(L_SrcInterne,MATCH(G614,L_Sources,0))="Oui",1,0),""))</f>
        <v/>
      </c>
      <c r="AT614" s="37" t="str">
        <f aca="false">IF(AO614&lt;&gt;1,"",IFERROR(ROUND(IF(OR(N614="",O614=""),"",IF(O614&lt;N614,"",ROUND(((NETWORKDAYS(N614,O614,JoursFeries)-1)*(HFer-HOuv)+IF(NETWORKDAYS(O614,O614,JoursFeries),MEDIAN(MOD(O614,1),HFer,HOuv),HFer)-IF(NETWORKDAYS(N614,N614,JoursFeries),MEDIAN(MOD(N614,1),HFer,HOuv),HOuv))*24,4)))/HJour,4),""))</f>
        <v/>
      </c>
      <c r="AU614" s="37" t="str">
        <f aca="false">IF(AO614&lt;&gt;1,"",IF(OR(O614="",P614=""),"",IF(P614&lt;O614,"",ROUND(((NETWORKDAYS(O614,P614,JoursFeries)-1)*(HFer-HOuv)+IF(NETWORKDAYS(P614,P614,JoursFeries),MEDIAN(MOD(P614,1),HFer,HOuv),HFer)-IF(NETWORKDAYS(O614,O614,JoursFeries),MEDIAN(MOD(O614,1),HFer,HOuv),HOuv))*24,4))))</f>
        <v/>
      </c>
      <c r="AV614" s="37" t="str">
        <f aca="false">IF(AO614&lt;&gt;1,"",IF(OR(P614="",Q614=""),"",IF(Q614&lt;P614,"",ROUND(((NETWORKDAYS(P614,Q614,JoursFeries)-1)*(HFer-HOuv)+IF(NETWORKDAYS(Q614,Q614,JoursFeries),MEDIAN(MOD(Q614,1),HFer,HOuv),HFer)-IF(NETWORKDAYS(P614,P614,JoursFeries),MEDIAN(MOD(P614,1),HFer,HOuv),HOuv))*24,4))))</f>
        <v/>
      </c>
      <c r="AW614" s="37" t="str">
        <f aca="false">IF(AO614&lt;&gt;1,"",IFERROR(ROUND(IF(OR(P614="",R614=""),"",IF(R614&lt;P614,"",ROUND(((NETWORKDAYS(P614,R614,JoursFeries)-1)*(HFer-HOuv)+IF(NETWORKDAYS(R614,R614,JoursFeries),MEDIAN(MOD(R614,1),HFer,HOuv),HFer)-IF(NETWORKDAYS(P614,P614,JoursFeries),MEDIAN(MOD(P614,1),HFer,HOuv),HOuv))*24,4)))/HJour,4),""))</f>
        <v/>
      </c>
      <c r="AX614" s="37" t="str">
        <f aca="false">IF(AO614&lt;&gt;1,"",IFERROR(ROUND(IF(OR(P614="",S614=""),"",IF(S614&lt;P614,"",ROUND(((NETWORKDAYS(P614,S614,JoursFeries)-1)*(HFer-HOuv)+IF(NETWORKDAYS(S614,S614,JoursFeries),MEDIAN(MOD(S614,1),HFer,HOuv),HFer)-IF(NETWORKDAYS(P614,P614,JoursFeries),MEDIAN(MOD(P614,1),HFer,HOuv),HOuv))*24,4)))/HJour,4),""))</f>
        <v/>
      </c>
      <c r="AY614" s="36" t="str">
        <f aca="false">IF(OR(AO614&lt;&gt;1,AR614=""),"",INDEX(SLA_PEC,AR614))</f>
        <v/>
      </c>
      <c r="AZ614" s="35" t="str">
        <f aca="false">IF(OR(AV614="",AY614=""),"",IF(AV614&lt;=AY614,1,0))</f>
        <v/>
      </c>
      <c r="BA614" s="36" t="str">
        <f aca="false">IF(OR(AO614&lt;&gt;1,AR614=""),"",INDEX(SLA_RES,AR614))</f>
        <v/>
      </c>
      <c r="BB614" s="35" t="str">
        <f aca="false">IF(OR(AW614="",BA614=""),"",IF(AW614&lt;=BA614,1,0))</f>
        <v/>
      </c>
      <c r="BC614" s="38" t="str">
        <f aca="false">IF(OR(BA614="",P614=""),"",WORKDAY(INT(P614),BA614,JoursFeries)+MOD(P614,1))</f>
        <v/>
      </c>
      <c r="BD614" s="39" t="str">
        <f aca="false">IF(AO614&lt;&gt;1,"",IF(OR(AB614&lt;&gt;"",AD614&lt;&gt;""),4,IF(U614&lt;&gt;"",3,IF(T614&lt;&gt;"",2,1))))</f>
        <v/>
      </c>
      <c r="BE614" s="39" t="str">
        <f aca="false">IF(OR(AO614&lt;&gt;1,AR614=""),"",INDEX(NIV_REQ,AR614))</f>
        <v/>
      </c>
      <c r="BF614" s="39" t="str">
        <f aca="false">IF(BE614="","",MAX(BE614,IF(OR(K614="Oui",Z614="Oui"),4,1)))</f>
        <v/>
      </c>
      <c r="BG614" s="35" t="str">
        <f aca="false">IF(OR(BF614="",BD614=""),"",IF(BD614&gt;=BF614,1,0))</f>
        <v/>
      </c>
      <c r="BH614" s="38" t="str">
        <f aca="false">IF(BE614="","",IF(BE614&lt;2,"",IF(BE614=2,IF(AND(T614="",U614=""),"",MIN(T614,U614)),IF(U614="","",U614))))</f>
        <v/>
      </c>
      <c r="BI614" s="37" t="str">
        <f aca="false">IF(BH614="","",IF(OR(O614="",BH614=""),"",IF(BH614&lt;O614,"",ROUND(((NETWORKDAYS(O614,BH614,JoursFeries)-1)*(HFer-HOuv)+IF(NETWORKDAYS(BH614,BH614,JoursFeries),MEDIAN(MOD(BH614,1),HFer,HOuv),HFer)-IF(NETWORKDAYS(O614,O614,JoursFeries),MEDIAN(MOD(O614,1),HFer,HOuv),HOuv))*24,4))))</f>
        <v/>
      </c>
      <c r="BJ614" s="35" t="str">
        <f aca="false">IF(OR(BI614="",AR614=""),"",IF(BI614&lt;=INDEX(DELAI_ESC,AR614),1,0))</f>
        <v/>
      </c>
      <c r="BK614" s="38" t="str">
        <f aca="false">IF(AO614&lt;&gt;1,"",IF(AND(T614="",U614=""),"",MIN(T614,U614)))</f>
        <v/>
      </c>
      <c r="BL614" s="37" t="str">
        <f aca="false">IF(OR(BK614="",R614=""),"",IFERROR(ROUND(IF(OR(BK614="",R614=""),"",IF(R614&lt;BK614,"",ROUND(((NETWORKDAYS(BK614,R614,JoursFeries)-1)*(HFer-HOuv)+IF(NETWORKDAYS(R614,R614,JoursFeries),MEDIAN(MOD(R614,1),HFer,HOuv),HFer)-IF(NETWORKDAYS(BK614,BK614,JoursFeries),MEDIAN(MOD(BK614,1),HFer,HOuv),HOuv))*24,4)))/HJour,4),""))</f>
        <v/>
      </c>
      <c r="BM614" s="35" t="str">
        <f aca="false">IF(OR(AO614&lt;&gt;1,R614=""),"",IF(BD614=1,1,0))</f>
        <v/>
      </c>
      <c r="BN614" s="35" t="str">
        <f aca="false">IF(AO614&lt;&gt;1,"",IF(W614="Oui",1,0))</f>
        <v/>
      </c>
      <c r="BO614" s="35" t="str">
        <f aca="false">IF(AO614&lt;&gt;1,"",IF(X614&lt;&gt;"",1,0))</f>
        <v/>
      </c>
      <c r="BP614" s="35" t="str">
        <f aca="false">IF(AO614&lt;&gt;1,"",IF(Y614="Oui",1,0))</f>
        <v/>
      </c>
      <c r="BQ614" s="35" t="str">
        <f aca="true">IF(OR(AO614&lt;&gt;1,Z614&lt;&gt;"Oui"),"",IF(AB614="",IF(AND(AA614&lt;&gt;"",NOW()&gt;AA614),0,""),IF(AA614="","",IF(AB614&lt;=AA614,1,0))))</f>
        <v/>
      </c>
      <c r="BR614" s="38" t="str">
        <f aca="false">IF(OR(AO614&lt;&gt;1,K614&lt;&gt;"Oui",O614=""),"",IF(AC614="",O614+DORA_H_DET/24,IF(AC614-O614&lt;=DORA_H_DET/24,MIN(AC614+DORA_H_CLA/24,O614+DORA_H_DET/24),AC614+DORA_H_CLA/24)))</f>
        <v/>
      </c>
      <c r="BS614" s="35" t="str">
        <f aca="true">IF(BR614="","",IF(AD614="",IF(NOW()&gt;BR614,0,""),IF(AD614&lt;=BR614,1,0)))</f>
        <v/>
      </c>
      <c r="BT614" s="35" t="str">
        <f aca="true">IF(OR(BR614="",AD614=""),"",IF(AE614="",IF(NOW()&gt;AD614+DORA_H_INT/24,0,""),IF(AE614&lt;=AD614+DORA_H_INT/24,1,0)))</f>
        <v/>
      </c>
      <c r="BU614" s="35" t="str">
        <f aca="true">IF(OR(BR614="",AE614=""),"",IF(AF614="",IF(NOW()&gt;EDATE(AE614,DORA_M_FIN)+1,0,""),IF(AF614&lt;=EDATE(AE614,DORA_M_FIN),1,0)))</f>
        <v/>
      </c>
      <c r="BV614" s="35" t="str">
        <f aca="false">IF(BR614="","",IF(COUNT(BS614:BU614)=0,"",MIN(BS614:BU614)))</f>
        <v/>
      </c>
      <c r="BW614" s="40" t="str">
        <f aca="false">IF(AQ614&lt;&gt;1,"",IF(AND(AG614="",AH614=""),"",N(AG614)-N(AH614)))</f>
        <v/>
      </c>
      <c r="BX614" s="35" t="str">
        <f aca="true">IF(OR(AQ614&lt;&gt;1,AI614&lt;&gt;"Oui",AJ614=""),"",IF(AK614="",IF(NOW()&gt;AJ614+1,0,""),IF(AK614&lt;=AJ614,1,0)))</f>
        <v/>
      </c>
    </row>
    <row r="615" customFormat="false" ht="15" hidden="false" customHeight="false" outlineLevel="0" collapsed="false">
      <c r="B615" s="29"/>
      <c r="C615" s="29"/>
      <c r="D615" s="29"/>
      <c r="E615" s="29"/>
      <c r="F615" s="29"/>
      <c r="G615" s="29"/>
      <c r="H615" s="29"/>
      <c r="I615" s="29"/>
      <c r="J615" s="29"/>
      <c r="K615" s="29"/>
      <c r="L615" s="29"/>
      <c r="M615" s="29"/>
      <c r="N615" s="30"/>
      <c r="O615" s="30"/>
      <c r="P615" s="30"/>
      <c r="Q615" s="30"/>
      <c r="R615" s="30"/>
      <c r="S615" s="30"/>
      <c r="T615" s="30"/>
      <c r="U615" s="30"/>
      <c r="V615" s="31"/>
      <c r="W615" s="29"/>
      <c r="X615" s="29"/>
      <c r="Y615" s="29"/>
      <c r="Z615" s="29"/>
      <c r="AA615" s="30"/>
      <c r="AB615" s="30"/>
      <c r="AC615" s="30"/>
      <c r="AD615" s="30"/>
      <c r="AE615" s="30"/>
      <c r="AF615" s="32"/>
      <c r="AG615" s="33"/>
      <c r="AH615" s="33"/>
      <c r="AI615" s="29"/>
      <c r="AJ615" s="32"/>
      <c r="AK615" s="32"/>
      <c r="AL615" s="29"/>
      <c r="AN615" s="34" t="str">
        <f aca="false">IF($B615="","",IF(OR(C615="",D615="",E615="",G615="",I615="",J615="",L615="",O615="",P615=""),"Champ obligatoire manquant",IF(OR(AND(N615&lt;&gt;"",N615&gt;O615),O615&gt;P615,AND(Q615&lt;&gt;"",Q615&lt;P615),AND(R615&lt;&gt;"",R615&lt;P615),AND(S615&lt;&gt;"",S615&lt;R615),AND(S615&lt;&gt;"",R615=""),AND(T615&lt;&gt;"",T615&lt;O615),AND(U615&lt;&gt;"",U615&lt;O615)),"Chronologie incohérente",IF(AND(OR(L615="Résolu",L615="Clos"),R615=""),"Date de résolution manquante",IF(AND(L615="Clos",S615=""),"Date de clôture manquante",IF(AND(K615="Oui",AC615=""),"Classification DORA manquante","OK"))))))</f>
        <v/>
      </c>
      <c r="AO615" s="35" t="str">
        <f aca="false">IF($B615="","",IF(AND(C615="Incident",L615&lt;&gt;"Annulé"),1,0))</f>
        <v/>
      </c>
      <c r="AP615" s="35" t="str">
        <f aca="false">IF($B615="","",IF(AND(C615="Quasi-incident",L615&lt;&gt;"Annulé"),1,0))</f>
        <v/>
      </c>
      <c r="AQ615" s="35" t="str">
        <f aca="false">IF($B615="","",AO615+AP615)</f>
        <v/>
      </c>
      <c r="AR615" s="36" t="str">
        <f aca="false">IF(OR($B615="",J615=""),"",IFERROR(VALUE(LEFT(J615,1)),""))</f>
        <v/>
      </c>
      <c r="AS615" s="35" t="str">
        <f aca="false">IF(OR(AO615&lt;&gt;1,G615=""),"",IFERROR(IF(INDEX(L_SrcInterne,MATCH(G615,L_Sources,0))="Oui",1,0),""))</f>
        <v/>
      </c>
      <c r="AT615" s="37" t="str">
        <f aca="false">IF(AO615&lt;&gt;1,"",IFERROR(ROUND(IF(OR(N615="",O615=""),"",IF(O615&lt;N615,"",ROUND(((NETWORKDAYS(N615,O615,JoursFeries)-1)*(HFer-HOuv)+IF(NETWORKDAYS(O615,O615,JoursFeries),MEDIAN(MOD(O615,1),HFer,HOuv),HFer)-IF(NETWORKDAYS(N615,N615,JoursFeries),MEDIAN(MOD(N615,1),HFer,HOuv),HOuv))*24,4)))/HJour,4),""))</f>
        <v/>
      </c>
      <c r="AU615" s="37" t="str">
        <f aca="false">IF(AO615&lt;&gt;1,"",IF(OR(O615="",P615=""),"",IF(P615&lt;O615,"",ROUND(((NETWORKDAYS(O615,P615,JoursFeries)-1)*(HFer-HOuv)+IF(NETWORKDAYS(P615,P615,JoursFeries),MEDIAN(MOD(P615,1),HFer,HOuv),HFer)-IF(NETWORKDAYS(O615,O615,JoursFeries),MEDIAN(MOD(O615,1),HFer,HOuv),HOuv))*24,4))))</f>
        <v/>
      </c>
      <c r="AV615" s="37" t="str">
        <f aca="false">IF(AO615&lt;&gt;1,"",IF(OR(P615="",Q615=""),"",IF(Q615&lt;P615,"",ROUND(((NETWORKDAYS(P615,Q615,JoursFeries)-1)*(HFer-HOuv)+IF(NETWORKDAYS(Q615,Q615,JoursFeries),MEDIAN(MOD(Q615,1),HFer,HOuv),HFer)-IF(NETWORKDAYS(P615,P615,JoursFeries),MEDIAN(MOD(P615,1),HFer,HOuv),HOuv))*24,4))))</f>
        <v/>
      </c>
      <c r="AW615" s="37" t="str">
        <f aca="false">IF(AO615&lt;&gt;1,"",IFERROR(ROUND(IF(OR(P615="",R615=""),"",IF(R615&lt;P615,"",ROUND(((NETWORKDAYS(P615,R615,JoursFeries)-1)*(HFer-HOuv)+IF(NETWORKDAYS(R615,R615,JoursFeries),MEDIAN(MOD(R615,1),HFer,HOuv),HFer)-IF(NETWORKDAYS(P615,P615,JoursFeries),MEDIAN(MOD(P615,1),HFer,HOuv),HOuv))*24,4)))/HJour,4),""))</f>
        <v/>
      </c>
      <c r="AX615" s="37" t="str">
        <f aca="false">IF(AO615&lt;&gt;1,"",IFERROR(ROUND(IF(OR(P615="",S615=""),"",IF(S615&lt;P615,"",ROUND(((NETWORKDAYS(P615,S615,JoursFeries)-1)*(HFer-HOuv)+IF(NETWORKDAYS(S615,S615,JoursFeries),MEDIAN(MOD(S615,1),HFer,HOuv),HFer)-IF(NETWORKDAYS(P615,P615,JoursFeries),MEDIAN(MOD(P615,1),HFer,HOuv),HOuv))*24,4)))/HJour,4),""))</f>
        <v/>
      </c>
      <c r="AY615" s="36" t="str">
        <f aca="false">IF(OR(AO615&lt;&gt;1,AR615=""),"",INDEX(SLA_PEC,AR615))</f>
        <v/>
      </c>
      <c r="AZ615" s="35" t="str">
        <f aca="false">IF(OR(AV615="",AY615=""),"",IF(AV615&lt;=AY615,1,0))</f>
        <v/>
      </c>
      <c r="BA615" s="36" t="str">
        <f aca="false">IF(OR(AO615&lt;&gt;1,AR615=""),"",INDEX(SLA_RES,AR615))</f>
        <v/>
      </c>
      <c r="BB615" s="35" t="str">
        <f aca="false">IF(OR(AW615="",BA615=""),"",IF(AW615&lt;=BA615,1,0))</f>
        <v/>
      </c>
      <c r="BC615" s="38" t="str">
        <f aca="false">IF(OR(BA615="",P615=""),"",WORKDAY(INT(P615),BA615,JoursFeries)+MOD(P615,1))</f>
        <v/>
      </c>
      <c r="BD615" s="39" t="str">
        <f aca="false">IF(AO615&lt;&gt;1,"",IF(OR(AB615&lt;&gt;"",AD615&lt;&gt;""),4,IF(U615&lt;&gt;"",3,IF(T615&lt;&gt;"",2,1))))</f>
        <v/>
      </c>
      <c r="BE615" s="39" t="str">
        <f aca="false">IF(OR(AO615&lt;&gt;1,AR615=""),"",INDEX(NIV_REQ,AR615))</f>
        <v/>
      </c>
      <c r="BF615" s="39" t="str">
        <f aca="false">IF(BE615="","",MAX(BE615,IF(OR(K615="Oui",Z615="Oui"),4,1)))</f>
        <v/>
      </c>
      <c r="BG615" s="35" t="str">
        <f aca="false">IF(OR(BF615="",BD615=""),"",IF(BD615&gt;=BF615,1,0))</f>
        <v/>
      </c>
      <c r="BH615" s="38" t="str">
        <f aca="false">IF(BE615="","",IF(BE615&lt;2,"",IF(BE615=2,IF(AND(T615="",U615=""),"",MIN(T615,U615)),IF(U615="","",U615))))</f>
        <v/>
      </c>
      <c r="BI615" s="37" t="str">
        <f aca="false">IF(BH615="","",IF(OR(O615="",BH615=""),"",IF(BH615&lt;O615,"",ROUND(((NETWORKDAYS(O615,BH615,JoursFeries)-1)*(HFer-HOuv)+IF(NETWORKDAYS(BH615,BH615,JoursFeries),MEDIAN(MOD(BH615,1),HFer,HOuv),HFer)-IF(NETWORKDAYS(O615,O615,JoursFeries),MEDIAN(MOD(O615,1),HFer,HOuv),HOuv))*24,4))))</f>
        <v/>
      </c>
      <c r="BJ615" s="35" t="str">
        <f aca="false">IF(OR(BI615="",AR615=""),"",IF(BI615&lt;=INDEX(DELAI_ESC,AR615),1,0))</f>
        <v/>
      </c>
      <c r="BK615" s="38" t="str">
        <f aca="false">IF(AO615&lt;&gt;1,"",IF(AND(T615="",U615=""),"",MIN(T615,U615)))</f>
        <v/>
      </c>
      <c r="BL615" s="37" t="str">
        <f aca="false">IF(OR(BK615="",R615=""),"",IFERROR(ROUND(IF(OR(BK615="",R615=""),"",IF(R615&lt;BK615,"",ROUND(((NETWORKDAYS(BK615,R615,JoursFeries)-1)*(HFer-HOuv)+IF(NETWORKDAYS(R615,R615,JoursFeries),MEDIAN(MOD(R615,1),HFer,HOuv),HFer)-IF(NETWORKDAYS(BK615,BK615,JoursFeries),MEDIAN(MOD(BK615,1),HFer,HOuv),HOuv))*24,4)))/HJour,4),""))</f>
        <v/>
      </c>
      <c r="BM615" s="35" t="str">
        <f aca="false">IF(OR(AO615&lt;&gt;1,R615=""),"",IF(BD615=1,1,0))</f>
        <v/>
      </c>
      <c r="BN615" s="35" t="str">
        <f aca="false">IF(AO615&lt;&gt;1,"",IF(W615="Oui",1,0))</f>
        <v/>
      </c>
      <c r="BO615" s="35" t="str">
        <f aca="false">IF(AO615&lt;&gt;1,"",IF(X615&lt;&gt;"",1,0))</f>
        <v/>
      </c>
      <c r="BP615" s="35" t="str">
        <f aca="false">IF(AO615&lt;&gt;1,"",IF(Y615="Oui",1,0))</f>
        <v/>
      </c>
      <c r="BQ615" s="35" t="str">
        <f aca="true">IF(OR(AO615&lt;&gt;1,Z615&lt;&gt;"Oui"),"",IF(AB615="",IF(AND(AA615&lt;&gt;"",NOW()&gt;AA615),0,""),IF(AA615="","",IF(AB615&lt;=AA615,1,0))))</f>
        <v/>
      </c>
      <c r="BR615" s="38" t="str">
        <f aca="false">IF(OR(AO615&lt;&gt;1,K615&lt;&gt;"Oui",O615=""),"",IF(AC615="",O615+DORA_H_DET/24,IF(AC615-O615&lt;=DORA_H_DET/24,MIN(AC615+DORA_H_CLA/24,O615+DORA_H_DET/24),AC615+DORA_H_CLA/24)))</f>
        <v/>
      </c>
      <c r="BS615" s="35" t="str">
        <f aca="true">IF(BR615="","",IF(AD615="",IF(NOW()&gt;BR615,0,""),IF(AD615&lt;=BR615,1,0)))</f>
        <v/>
      </c>
      <c r="BT615" s="35" t="str">
        <f aca="true">IF(OR(BR615="",AD615=""),"",IF(AE615="",IF(NOW()&gt;AD615+DORA_H_INT/24,0,""),IF(AE615&lt;=AD615+DORA_H_INT/24,1,0)))</f>
        <v/>
      </c>
      <c r="BU615" s="35" t="str">
        <f aca="true">IF(OR(BR615="",AE615=""),"",IF(AF615="",IF(NOW()&gt;EDATE(AE615,DORA_M_FIN)+1,0,""),IF(AF615&lt;=EDATE(AE615,DORA_M_FIN),1,0)))</f>
        <v/>
      </c>
      <c r="BV615" s="35" t="str">
        <f aca="false">IF(BR615="","",IF(COUNT(BS615:BU615)=0,"",MIN(BS615:BU615)))</f>
        <v/>
      </c>
      <c r="BW615" s="40" t="str">
        <f aca="false">IF(AQ615&lt;&gt;1,"",IF(AND(AG615="",AH615=""),"",N(AG615)-N(AH615)))</f>
        <v/>
      </c>
      <c r="BX615" s="35" t="str">
        <f aca="true">IF(OR(AQ615&lt;&gt;1,AI615&lt;&gt;"Oui",AJ615=""),"",IF(AK615="",IF(NOW()&gt;AJ615+1,0,""),IF(AK615&lt;=AJ615,1,0)))</f>
        <v/>
      </c>
    </row>
    <row r="616" customFormat="false" ht="15" hidden="false" customHeight="false" outlineLevel="0" collapsed="false">
      <c r="B616" s="29"/>
      <c r="C616" s="29"/>
      <c r="D616" s="29"/>
      <c r="E616" s="29"/>
      <c r="F616" s="29"/>
      <c r="G616" s="29"/>
      <c r="H616" s="29"/>
      <c r="I616" s="29"/>
      <c r="J616" s="29"/>
      <c r="K616" s="29"/>
      <c r="L616" s="29"/>
      <c r="M616" s="29"/>
      <c r="N616" s="30"/>
      <c r="O616" s="30"/>
      <c r="P616" s="30"/>
      <c r="Q616" s="30"/>
      <c r="R616" s="30"/>
      <c r="S616" s="30"/>
      <c r="T616" s="30"/>
      <c r="U616" s="30"/>
      <c r="V616" s="31"/>
      <c r="W616" s="29"/>
      <c r="X616" s="29"/>
      <c r="Y616" s="29"/>
      <c r="Z616" s="29"/>
      <c r="AA616" s="30"/>
      <c r="AB616" s="30"/>
      <c r="AC616" s="30"/>
      <c r="AD616" s="30"/>
      <c r="AE616" s="30"/>
      <c r="AF616" s="32"/>
      <c r="AG616" s="33"/>
      <c r="AH616" s="33"/>
      <c r="AI616" s="29"/>
      <c r="AJ616" s="32"/>
      <c r="AK616" s="32"/>
      <c r="AL616" s="29"/>
      <c r="AN616" s="34" t="str">
        <f aca="false">IF($B616="","",IF(OR(C616="",D616="",E616="",G616="",I616="",J616="",L616="",O616="",P616=""),"Champ obligatoire manquant",IF(OR(AND(N616&lt;&gt;"",N616&gt;O616),O616&gt;P616,AND(Q616&lt;&gt;"",Q616&lt;P616),AND(R616&lt;&gt;"",R616&lt;P616),AND(S616&lt;&gt;"",S616&lt;R616),AND(S616&lt;&gt;"",R616=""),AND(T616&lt;&gt;"",T616&lt;O616),AND(U616&lt;&gt;"",U616&lt;O616)),"Chronologie incohérente",IF(AND(OR(L616="Résolu",L616="Clos"),R616=""),"Date de résolution manquante",IF(AND(L616="Clos",S616=""),"Date de clôture manquante",IF(AND(K616="Oui",AC616=""),"Classification DORA manquante","OK"))))))</f>
        <v/>
      </c>
      <c r="AO616" s="35" t="str">
        <f aca="false">IF($B616="","",IF(AND(C616="Incident",L616&lt;&gt;"Annulé"),1,0))</f>
        <v/>
      </c>
      <c r="AP616" s="35" t="str">
        <f aca="false">IF($B616="","",IF(AND(C616="Quasi-incident",L616&lt;&gt;"Annulé"),1,0))</f>
        <v/>
      </c>
      <c r="AQ616" s="35" t="str">
        <f aca="false">IF($B616="","",AO616+AP616)</f>
        <v/>
      </c>
      <c r="AR616" s="36" t="str">
        <f aca="false">IF(OR($B616="",J616=""),"",IFERROR(VALUE(LEFT(J616,1)),""))</f>
        <v/>
      </c>
      <c r="AS616" s="35" t="str">
        <f aca="false">IF(OR(AO616&lt;&gt;1,G616=""),"",IFERROR(IF(INDEX(L_SrcInterne,MATCH(G616,L_Sources,0))="Oui",1,0),""))</f>
        <v/>
      </c>
      <c r="AT616" s="37" t="str">
        <f aca="false">IF(AO616&lt;&gt;1,"",IFERROR(ROUND(IF(OR(N616="",O616=""),"",IF(O616&lt;N616,"",ROUND(((NETWORKDAYS(N616,O616,JoursFeries)-1)*(HFer-HOuv)+IF(NETWORKDAYS(O616,O616,JoursFeries),MEDIAN(MOD(O616,1),HFer,HOuv),HFer)-IF(NETWORKDAYS(N616,N616,JoursFeries),MEDIAN(MOD(N616,1),HFer,HOuv),HOuv))*24,4)))/HJour,4),""))</f>
        <v/>
      </c>
      <c r="AU616" s="37" t="str">
        <f aca="false">IF(AO616&lt;&gt;1,"",IF(OR(O616="",P616=""),"",IF(P616&lt;O616,"",ROUND(((NETWORKDAYS(O616,P616,JoursFeries)-1)*(HFer-HOuv)+IF(NETWORKDAYS(P616,P616,JoursFeries),MEDIAN(MOD(P616,1),HFer,HOuv),HFer)-IF(NETWORKDAYS(O616,O616,JoursFeries),MEDIAN(MOD(O616,1),HFer,HOuv),HOuv))*24,4))))</f>
        <v/>
      </c>
      <c r="AV616" s="37" t="str">
        <f aca="false">IF(AO616&lt;&gt;1,"",IF(OR(P616="",Q616=""),"",IF(Q616&lt;P616,"",ROUND(((NETWORKDAYS(P616,Q616,JoursFeries)-1)*(HFer-HOuv)+IF(NETWORKDAYS(Q616,Q616,JoursFeries),MEDIAN(MOD(Q616,1),HFer,HOuv),HFer)-IF(NETWORKDAYS(P616,P616,JoursFeries),MEDIAN(MOD(P616,1),HFer,HOuv),HOuv))*24,4))))</f>
        <v/>
      </c>
      <c r="AW616" s="37" t="str">
        <f aca="false">IF(AO616&lt;&gt;1,"",IFERROR(ROUND(IF(OR(P616="",R616=""),"",IF(R616&lt;P616,"",ROUND(((NETWORKDAYS(P616,R616,JoursFeries)-1)*(HFer-HOuv)+IF(NETWORKDAYS(R616,R616,JoursFeries),MEDIAN(MOD(R616,1),HFer,HOuv),HFer)-IF(NETWORKDAYS(P616,P616,JoursFeries),MEDIAN(MOD(P616,1),HFer,HOuv),HOuv))*24,4)))/HJour,4),""))</f>
        <v/>
      </c>
      <c r="AX616" s="37" t="str">
        <f aca="false">IF(AO616&lt;&gt;1,"",IFERROR(ROUND(IF(OR(P616="",S616=""),"",IF(S616&lt;P616,"",ROUND(((NETWORKDAYS(P616,S616,JoursFeries)-1)*(HFer-HOuv)+IF(NETWORKDAYS(S616,S616,JoursFeries),MEDIAN(MOD(S616,1),HFer,HOuv),HFer)-IF(NETWORKDAYS(P616,P616,JoursFeries),MEDIAN(MOD(P616,1),HFer,HOuv),HOuv))*24,4)))/HJour,4),""))</f>
        <v/>
      </c>
      <c r="AY616" s="36" t="str">
        <f aca="false">IF(OR(AO616&lt;&gt;1,AR616=""),"",INDEX(SLA_PEC,AR616))</f>
        <v/>
      </c>
      <c r="AZ616" s="35" t="str">
        <f aca="false">IF(OR(AV616="",AY616=""),"",IF(AV616&lt;=AY616,1,0))</f>
        <v/>
      </c>
      <c r="BA616" s="36" t="str">
        <f aca="false">IF(OR(AO616&lt;&gt;1,AR616=""),"",INDEX(SLA_RES,AR616))</f>
        <v/>
      </c>
      <c r="BB616" s="35" t="str">
        <f aca="false">IF(OR(AW616="",BA616=""),"",IF(AW616&lt;=BA616,1,0))</f>
        <v/>
      </c>
      <c r="BC616" s="38" t="str">
        <f aca="false">IF(OR(BA616="",P616=""),"",WORKDAY(INT(P616),BA616,JoursFeries)+MOD(P616,1))</f>
        <v/>
      </c>
      <c r="BD616" s="39" t="str">
        <f aca="false">IF(AO616&lt;&gt;1,"",IF(OR(AB616&lt;&gt;"",AD616&lt;&gt;""),4,IF(U616&lt;&gt;"",3,IF(T616&lt;&gt;"",2,1))))</f>
        <v/>
      </c>
      <c r="BE616" s="39" t="str">
        <f aca="false">IF(OR(AO616&lt;&gt;1,AR616=""),"",INDEX(NIV_REQ,AR616))</f>
        <v/>
      </c>
      <c r="BF616" s="39" t="str">
        <f aca="false">IF(BE616="","",MAX(BE616,IF(OR(K616="Oui",Z616="Oui"),4,1)))</f>
        <v/>
      </c>
      <c r="BG616" s="35" t="str">
        <f aca="false">IF(OR(BF616="",BD616=""),"",IF(BD616&gt;=BF616,1,0))</f>
        <v/>
      </c>
      <c r="BH616" s="38" t="str">
        <f aca="false">IF(BE616="","",IF(BE616&lt;2,"",IF(BE616=2,IF(AND(T616="",U616=""),"",MIN(T616,U616)),IF(U616="","",U616))))</f>
        <v/>
      </c>
      <c r="BI616" s="37" t="str">
        <f aca="false">IF(BH616="","",IF(OR(O616="",BH616=""),"",IF(BH616&lt;O616,"",ROUND(((NETWORKDAYS(O616,BH616,JoursFeries)-1)*(HFer-HOuv)+IF(NETWORKDAYS(BH616,BH616,JoursFeries),MEDIAN(MOD(BH616,1),HFer,HOuv),HFer)-IF(NETWORKDAYS(O616,O616,JoursFeries),MEDIAN(MOD(O616,1),HFer,HOuv),HOuv))*24,4))))</f>
        <v/>
      </c>
      <c r="BJ616" s="35" t="str">
        <f aca="false">IF(OR(BI616="",AR616=""),"",IF(BI616&lt;=INDEX(DELAI_ESC,AR616),1,0))</f>
        <v/>
      </c>
      <c r="BK616" s="38" t="str">
        <f aca="false">IF(AO616&lt;&gt;1,"",IF(AND(T616="",U616=""),"",MIN(T616,U616)))</f>
        <v/>
      </c>
      <c r="BL616" s="37" t="str">
        <f aca="false">IF(OR(BK616="",R616=""),"",IFERROR(ROUND(IF(OR(BK616="",R616=""),"",IF(R616&lt;BK616,"",ROUND(((NETWORKDAYS(BK616,R616,JoursFeries)-1)*(HFer-HOuv)+IF(NETWORKDAYS(R616,R616,JoursFeries),MEDIAN(MOD(R616,1),HFer,HOuv),HFer)-IF(NETWORKDAYS(BK616,BK616,JoursFeries),MEDIAN(MOD(BK616,1),HFer,HOuv),HOuv))*24,4)))/HJour,4),""))</f>
        <v/>
      </c>
      <c r="BM616" s="35" t="str">
        <f aca="false">IF(OR(AO616&lt;&gt;1,R616=""),"",IF(BD616=1,1,0))</f>
        <v/>
      </c>
      <c r="BN616" s="35" t="str">
        <f aca="false">IF(AO616&lt;&gt;1,"",IF(W616="Oui",1,0))</f>
        <v/>
      </c>
      <c r="BO616" s="35" t="str">
        <f aca="false">IF(AO616&lt;&gt;1,"",IF(X616&lt;&gt;"",1,0))</f>
        <v/>
      </c>
      <c r="BP616" s="35" t="str">
        <f aca="false">IF(AO616&lt;&gt;1,"",IF(Y616="Oui",1,0))</f>
        <v/>
      </c>
      <c r="BQ616" s="35" t="str">
        <f aca="true">IF(OR(AO616&lt;&gt;1,Z616&lt;&gt;"Oui"),"",IF(AB616="",IF(AND(AA616&lt;&gt;"",NOW()&gt;AA616),0,""),IF(AA616="","",IF(AB616&lt;=AA616,1,0))))</f>
        <v/>
      </c>
      <c r="BR616" s="38" t="str">
        <f aca="false">IF(OR(AO616&lt;&gt;1,K616&lt;&gt;"Oui",O616=""),"",IF(AC616="",O616+DORA_H_DET/24,IF(AC616-O616&lt;=DORA_H_DET/24,MIN(AC616+DORA_H_CLA/24,O616+DORA_H_DET/24),AC616+DORA_H_CLA/24)))</f>
        <v/>
      </c>
      <c r="BS616" s="35" t="str">
        <f aca="true">IF(BR616="","",IF(AD616="",IF(NOW()&gt;BR616,0,""),IF(AD616&lt;=BR616,1,0)))</f>
        <v/>
      </c>
      <c r="BT616" s="35" t="str">
        <f aca="true">IF(OR(BR616="",AD616=""),"",IF(AE616="",IF(NOW()&gt;AD616+DORA_H_INT/24,0,""),IF(AE616&lt;=AD616+DORA_H_INT/24,1,0)))</f>
        <v/>
      </c>
      <c r="BU616" s="35" t="str">
        <f aca="true">IF(OR(BR616="",AE616=""),"",IF(AF616="",IF(NOW()&gt;EDATE(AE616,DORA_M_FIN)+1,0,""),IF(AF616&lt;=EDATE(AE616,DORA_M_FIN),1,0)))</f>
        <v/>
      </c>
      <c r="BV616" s="35" t="str">
        <f aca="false">IF(BR616="","",IF(COUNT(BS616:BU616)=0,"",MIN(BS616:BU616)))</f>
        <v/>
      </c>
      <c r="BW616" s="40" t="str">
        <f aca="false">IF(AQ616&lt;&gt;1,"",IF(AND(AG616="",AH616=""),"",N(AG616)-N(AH616)))</f>
        <v/>
      </c>
      <c r="BX616" s="35" t="str">
        <f aca="true">IF(OR(AQ616&lt;&gt;1,AI616&lt;&gt;"Oui",AJ616=""),"",IF(AK616="",IF(NOW()&gt;AJ616+1,0,""),IF(AK616&lt;=AJ616,1,0)))</f>
        <v/>
      </c>
    </row>
    <row r="617" customFormat="false" ht="15" hidden="false" customHeight="false" outlineLevel="0" collapsed="false">
      <c r="B617" s="29"/>
      <c r="C617" s="29"/>
      <c r="D617" s="29"/>
      <c r="E617" s="29"/>
      <c r="F617" s="29"/>
      <c r="G617" s="29"/>
      <c r="H617" s="29"/>
      <c r="I617" s="29"/>
      <c r="J617" s="29"/>
      <c r="K617" s="29"/>
      <c r="L617" s="29"/>
      <c r="M617" s="29"/>
      <c r="N617" s="30"/>
      <c r="O617" s="30"/>
      <c r="P617" s="30"/>
      <c r="Q617" s="30"/>
      <c r="R617" s="30"/>
      <c r="S617" s="30"/>
      <c r="T617" s="30"/>
      <c r="U617" s="30"/>
      <c r="V617" s="31"/>
      <c r="W617" s="29"/>
      <c r="X617" s="29"/>
      <c r="Y617" s="29"/>
      <c r="Z617" s="29"/>
      <c r="AA617" s="30"/>
      <c r="AB617" s="30"/>
      <c r="AC617" s="30"/>
      <c r="AD617" s="30"/>
      <c r="AE617" s="30"/>
      <c r="AF617" s="32"/>
      <c r="AG617" s="33"/>
      <c r="AH617" s="33"/>
      <c r="AI617" s="29"/>
      <c r="AJ617" s="32"/>
      <c r="AK617" s="32"/>
      <c r="AL617" s="29"/>
      <c r="AN617" s="34" t="str">
        <f aca="false">IF($B617="","",IF(OR(C617="",D617="",E617="",G617="",I617="",J617="",L617="",O617="",P617=""),"Champ obligatoire manquant",IF(OR(AND(N617&lt;&gt;"",N617&gt;O617),O617&gt;P617,AND(Q617&lt;&gt;"",Q617&lt;P617),AND(R617&lt;&gt;"",R617&lt;P617),AND(S617&lt;&gt;"",S617&lt;R617),AND(S617&lt;&gt;"",R617=""),AND(T617&lt;&gt;"",T617&lt;O617),AND(U617&lt;&gt;"",U617&lt;O617)),"Chronologie incohérente",IF(AND(OR(L617="Résolu",L617="Clos"),R617=""),"Date de résolution manquante",IF(AND(L617="Clos",S617=""),"Date de clôture manquante",IF(AND(K617="Oui",AC617=""),"Classification DORA manquante","OK"))))))</f>
        <v/>
      </c>
      <c r="AO617" s="35" t="str">
        <f aca="false">IF($B617="","",IF(AND(C617="Incident",L617&lt;&gt;"Annulé"),1,0))</f>
        <v/>
      </c>
      <c r="AP617" s="35" t="str">
        <f aca="false">IF($B617="","",IF(AND(C617="Quasi-incident",L617&lt;&gt;"Annulé"),1,0))</f>
        <v/>
      </c>
      <c r="AQ617" s="35" t="str">
        <f aca="false">IF($B617="","",AO617+AP617)</f>
        <v/>
      </c>
      <c r="AR617" s="36" t="str">
        <f aca="false">IF(OR($B617="",J617=""),"",IFERROR(VALUE(LEFT(J617,1)),""))</f>
        <v/>
      </c>
      <c r="AS617" s="35" t="str">
        <f aca="false">IF(OR(AO617&lt;&gt;1,G617=""),"",IFERROR(IF(INDEX(L_SrcInterne,MATCH(G617,L_Sources,0))="Oui",1,0),""))</f>
        <v/>
      </c>
      <c r="AT617" s="37" t="str">
        <f aca="false">IF(AO617&lt;&gt;1,"",IFERROR(ROUND(IF(OR(N617="",O617=""),"",IF(O617&lt;N617,"",ROUND(((NETWORKDAYS(N617,O617,JoursFeries)-1)*(HFer-HOuv)+IF(NETWORKDAYS(O617,O617,JoursFeries),MEDIAN(MOD(O617,1),HFer,HOuv),HFer)-IF(NETWORKDAYS(N617,N617,JoursFeries),MEDIAN(MOD(N617,1),HFer,HOuv),HOuv))*24,4)))/HJour,4),""))</f>
        <v/>
      </c>
      <c r="AU617" s="37" t="str">
        <f aca="false">IF(AO617&lt;&gt;1,"",IF(OR(O617="",P617=""),"",IF(P617&lt;O617,"",ROUND(((NETWORKDAYS(O617,P617,JoursFeries)-1)*(HFer-HOuv)+IF(NETWORKDAYS(P617,P617,JoursFeries),MEDIAN(MOD(P617,1),HFer,HOuv),HFer)-IF(NETWORKDAYS(O617,O617,JoursFeries),MEDIAN(MOD(O617,1),HFer,HOuv),HOuv))*24,4))))</f>
        <v/>
      </c>
      <c r="AV617" s="37" t="str">
        <f aca="false">IF(AO617&lt;&gt;1,"",IF(OR(P617="",Q617=""),"",IF(Q617&lt;P617,"",ROUND(((NETWORKDAYS(P617,Q617,JoursFeries)-1)*(HFer-HOuv)+IF(NETWORKDAYS(Q617,Q617,JoursFeries),MEDIAN(MOD(Q617,1),HFer,HOuv),HFer)-IF(NETWORKDAYS(P617,P617,JoursFeries),MEDIAN(MOD(P617,1),HFer,HOuv),HOuv))*24,4))))</f>
        <v/>
      </c>
      <c r="AW617" s="37" t="str">
        <f aca="false">IF(AO617&lt;&gt;1,"",IFERROR(ROUND(IF(OR(P617="",R617=""),"",IF(R617&lt;P617,"",ROUND(((NETWORKDAYS(P617,R617,JoursFeries)-1)*(HFer-HOuv)+IF(NETWORKDAYS(R617,R617,JoursFeries),MEDIAN(MOD(R617,1),HFer,HOuv),HFer)-IF(NETWORKDAYS(P617,P617,JoursFeries),MEDIAN(MOD(P617,1),HFer,HOuv),HOuv))*24,4)))/HJour,4),""))</f>
        <v/>
      </c>
      <c r="AX617" s="37" t="str">
        <f aca="false">IF(AO617&lt;&gt;1,"",IFERROR(ROUND(IF(OR(P617="",S617=""),"",IF(S617&lt;P617,"",ROUND(((NETWORKDAYS(P617,S617,JoursFeries)-1)*(HFer-HOuv)+IF(NETWORKDAYS(S617,S617,JoursFeries),MEDIAN(MOD(S617,1),HFer,HOuv),HFer)-IF(NETWORKDAYS(P617,P617,JoursFeries),MEDIAN(MOD(P617,1),HFer,HOuv),HOuv))*24,4)))/HJour,4),""))</f>
        <v/>
      </c>
      <c r="AY617" s="36" t="str">
        <f aca="false">IF(OR(AO617&lt;&gt;1,AR617=""),"",INDEX(SLA_PEC,AR617))</f>
        <v/>
      </c>
      <c r="AZ617" s="35" t="str">
        <f aca="false">IF(OR(AV617="",AY617=""),"",IF(AV617&lt;=AY617,1,0))</f>
        <v/>
      </c>
      <c r="BA617" s="36" t="str">
        <f aca="false">IF(OR(AO617&lt;&gt;1,AR617=""),"",INDEX(SLA_RES,AR617))</f>
        <v/>
      </c>
      <c r="BB617" s="35" t="str">
        <f aca="false">IF(OR(AW617="",BA617=""),"",IF(AW617&lt;=BA617,1,0))</f>
        <v/>
      </c>
      <c r="BC617" s="38" t="str">
        <f aca="false">IF(OR(BA617="",P617=""),"",WORKDAY(INT(P617),BA617,JoursFeries)+MOD(P617,1))</f>
        <v/>
      </c>
      <c r="BD617" s="39" t="str">
        <f aca="false">IF(AO617&lt;&gt;1,"",IF(OR(AB617&lt;&gt;"",AD617&lt;&gt;""),4,IF(U617&lt;&gt;"",3,IF(T617&lt;&gt;"",2,1))))</f>
        <v/>
      </c>
      <c r="BE617" s="39" t="str">
        <f aca="false">IF(OR(AO617&lt;&gt;1,AR617=""),"",INDEX(NIV_REQ,AR617))</f>
        <v/>
      </c>
      <c r="BF617" s="39" t="str">
        <f aca="false">IF(BE617="","",MAX(BE617,IF(OR(K617="Oui",Z617="Oui"),4,1)))</f>
        <v/>
      </c>
      <c r="BG617" s="35" t="str">
        <f aca="false">IF(OR(BF617="",BD617=""),"",IF(BD617&gt;=BF617,1,0))</f>
        <v/>
      </c>
      <c r="BH617" s="38" t="str">
        <f aca="false">IF(BE617="","",IF(BE617&lt;2,"",IF(BE617=2,IF(AND(T617="",U617=""),"",MIN(T617,U617)),IF(U617="","",U617))))</f>
        <v/>
      </c>
      <c r="BI617" s="37" t="str">
        <f aca="false">IF(BH617="","",IF(OR(O617="",BH617=""),"",IF(BH617&lt;O617,"",ROUND(((NETWORKDAYS(O617,BH617,JoursFeries)-1)*(HFer-HOuv)+IF(NETWORKDAYS(BH617,BH617,JoursFeries),MEDIAN(MOD(BH617,1),HFer,HOuv),HFer)-IF(NETWORKDAYS(O617,O617,JoursFeries),MEDIAN(MOD(O617,1),HFer,HOuv),HOuv))*24,4))))</f>
        <v/>
      </c>
      <c r="BJ617" s="35" t="str">
        <f aca="false">IF(OR(BI617="",AR617=""),"",IF(BI617&lt;=INDEX(DELAI_ESC,AR617),1,0))</f>
        <v/>
      </c>
      <c r="BK617" s="38" t="str">
        <f aca="false">IF(AO617&lt;&gt;1,"",IF(AND(T617="",U617=""),"",MIN(T617,U617)))</f>
        <v/>
      </c>
      <c r="BL617" s="37" t="str">
        <f aca="false">IF(OR(BK617="",R617=""),"",IFERROR(ROUND(IF(OR(BK617="",R617=""),"",IF(R617&lt;BK617,"",ROUND(((NETWORKDAYS(BK617,R617,JoursFeries)-1)*(HFer-HOuv)+IF(NETWORKDAYS(R617,R617,JoursFeries),MEDIAN(MOD(R617,1),HFer,HOuv),HFer)-IF(NETWORKDAYS(BK617,BK617,JoursFeries),MEDIAN(MOD(BK617,1),HFer,HOuv),HOuv))*24,4)))/HJour,4),""))</f>
        <v/>
      </c>
      <c r="BM617" s="35" t="str">
        <f aca="false">IF(OR(AO617&lt;&gt;1,R617=""),"",IF(BD617=1,1,0))</f>
        <v/>
      </c>
      <c r="BN617" s="35" t="str">
        <f aca="false">IF(AO617&lt;&gt;1,"",IF(W617="Oui",1,0))</f>
        <v/>
      </c>
      <c r="BO617" s="35" t="str">
        <f aca="false">IF(AO617&lt;&gt;1,"",IF(X617&lt;&gt;"",1,0))</f>
        <v/>
      </c>
      <c r="BP617" s="35" t="str">
        <f aca="false">IF(AO617&lt;&gt;1,"",IF(Y617="Oui",1,0))</f>
        <v/>
      </c>
      <c r="BQ617" s="35" t="str">
        <f aca="true">IF(OR(AO617&lt;&gt;1,Z617&lt;&gt;"Oui"),"",IF(AB617="",IF(AND(AA617&lt;&gt;"",NOW()&gt;AA617),0,""),IF(AA617="","",IF(AB617&lt;=AA617,1,0))))</f>
        <v/>
      </c>
      <c r="BR617" s="38" t="str">
        <f aca="false">IF(OR(AO617&lt;&gt;1,K617&lt;&gt;"Oui",O617=""),"",IF(AC617="",O617+DORA_H_DET/24,IF(AC617-O617&lt;=DORA_H_DET/24,MIN(AC617+DORA_H_CLA/24,O617+DORA_H_DET/24),AC617+DORA_H_CLA/24)))</f>
        <v/>
      </c>
      <c r="BS617" s="35" t="str">
        <f aca="true">IF(BR617="","",IF(AD617="",IF(NOW()&gt;BR617,0,""),IF(AD617&lt;=BR617,1,0)))</f>
        <v/>
      </c>
      <c r="BT617" s="35" t="str">
        <f aca="true">IF(OR(BR617="",AD617=""),"",IF(AE617="",IF(NOW()&gt;AD617+DORA_H_INT/24,0,""),IF(AE617&lt;=AD617+DORA_H_INT/24,1,0)))</f>
        <v/>
      </c>
      <c r="BU617" s="35" t="str">
        <f aca="true">IF(OR(BR617="",AE617=""),"",IF(AF617="",IF(NOW()&gt;EDATE(AE617,DORA_M_FIN)+1,0,""),IF(AF617&lt;=EDATE(AE617,DORA_M_FIN),1,0)))</f>
        <v/>
      </c>
      <c r="BV617" s="35" t="str">
        <f aca="false">IF(BR617="","",IF(COUNT(BS617:BU617)=0,"",MIN(BS617:BU617)))</f>
        <v/>
      </c>
      <c r="BW617" s="40" t="str">
        <f aca="false">IF(AQ617&lt;&gt;1,"",IF(AND(AG617="",AH617=""),"",N(AG617)-N(AH617)))</f>
        <v/>
      </c>
      <c r="BX617" s="35" t="str">
        <f aca="true">IF(OR(AQ617&lt;&gt;1,AI617&lt;&gt;"Oui",AJ617=""),"",IF(AK617="",IF(NOW()&gt;AJ617+1,0,""),IF(AK617&lt;=AJ617,1,0)))</f>
        <v/>
      </c>
    </row>
    <row r="618" customFormat="false" ht="15" hidden="false" customHeight="false" outlineLevel="0" collapsed="false">
      <c r="B618" s="29"/>
      <c r="C618" s="29"/>
      <c r="D618" s="29"/>
      <c r="E618" s="29"/>
      <c r="F618" s="29"/>
      <c r="G618" s="29"/>
      <c r="H618" s="29"/>
      <c r="I618" s="29"/>
      <c r="J618" s="29"/>
      <c r="K618" s="29"/>
      <c r="L618" s="29"/>
      <c r="M618" s="29"/>
      <c r="N618" s="30"/>
      <c r="O618" s="30"/>
      <c r="P618" s="30"/>
      <c r="Q618" s="30"/>
      <c r="R618" s="30"/>
      <c r="S618" s="30"/>
      <c r="T618" s="30"/>
      <c r="U618" s="30"/>
      <c r="V618" s="31"/>
      <c r="W618" s="29"/>
      <c r="X618" s="29"/>
      <c r="Y618" s="29"/>
      <c r="Z618" s="29"/>
      <c r="AA618" s="30"/>
      <c r="AB618" s="30"/>
      <c r="AC618" s="30"/>
      <c r="AD618" s="30"/>
      <c r="AE618" s="30"/>
      <c r="AF618" s="32"/>
      <c r="AG618" s="33"/>
      <c r="AH618" s="33"/>
      <c r="AI618" s="29"/>
      <c r="AJ618" s="32"/>
      <c r="AK618" s="32"/>
      <c r="AL618" s="29"/>
      <c r="AN618" s="34" t="str">
        <f aca="false">IF($B618="","",IF(OR(C618="",D618="",E618="",G618="",I618="",J618="",L618="",O618="",P618=""),"Champ obligatoire manquant",IF(OR(AND(N618&lt;&gt;"",N618&gt;O618),O618&gt;P618,AND(Q618&lt;&gt;"",Q618&lt;P618),AND(R618&lt;&gt;"",R618&lt;P618),AND(S618&lt;&gt;"",S618&lt;R618),AND(S618&lt;&gt;"",R618=""),AND(T618&lt;&gt;"",T618&lt;O618),AND(U618&lt;&gt;"",U618&lt;O618)),"Chronologie incohérente",IF(AND(OR(L618="Résolu",L618="Clos"),R618=""),"Date de résolution manquante",IF(AND(L618="Clos",S618=""),"Date de clôture manquante",IF(AND(K618="Oui",AC618=""),"Classification DORA manquante","OK"))))))</f>
        <v/>
      </c>
      <c r="AO618" s="35" t="str">
        <f aca="false">IF($B618="","",IF(AND(C618="Incident",L618&lt;&gt;"Annulé"),1,0))</f>
        <v/>
      </c>
      <c r="AP618" s="35" t="str">
        <f aca="false">IF($B618="","",IF(AND(C618="Quasi-incident",L618&lt;&gt;"Annulé"),1,0))</f>
        <v/>
      </c>
      <c r="AQ618" s="35" t="str">
        <f aca="false">IF($B618="","",AO618+AP618)</f>
        <v/>
      </c>
      <c r="AR618" s="36" t="str">
        <f aca="false">IF(OR($B618="",J618=""),"",IFERROR(VALUE(LEFT(J618,1)),""))</f>
        <v/>
      </c>
      <c r="AS618" s="35" t="str">
        <f aca="false">IF(OR(AO618&lt;&gt;1,G618=""),"",IFERROR(IF(INDEX(L_SrcInterne,MATCH(G618,L_Sources,0))="Oui",1,0),""))</f>
        <v/>
      </c>
      <c r="AT618" s="37" t="str">
        <f aca="false">IF(AO618&lt;&gt;1,"",IFERROR(ROUND(IF(OR(N618="",O618=""),"",IF(O618&lt;N618,"",ROUND(((NETWORKDAYS(N618,O618,JoursFeries)-1)*(HFer-HOuv)+IF(NETWORKDAYS(O618,O618,JoursFeries),MEDIAN(MOD(O618,1),HFer,HOuv),HFer)-IF(NETWORKDAYS(N618,N618,JoursFeries),MEDIAN(MOD(N618,1),HFer,HOuv),HOuv))*24,4)))/HJour,4),""))</f>
        <v/>
      </c>
      <c r="AU618" s="37" t="str">
        <f aca="false">IF(AO618&lt;&gt;1,"",IF(OR(O618="",P618=""),"",IF(P618&lt;O618,"",ROUND(((NETWORKDAYS(O618,P618,JoursFeries)-1)*(HFer-HOuv)+IF(NETWORKDAYS(P618,P618,JoursFeries),MEDIAN(MOD(P618,1),HFer,HOuv),HFer)-IF(NETWORKDAYS(O618,O618,JoursFeries),MEDIAN(MOD(O618,1),HFer,HOuv),HOuv))*24,4))))</f>
        <v/>
      </c>
      <c r="AV618" s="37" t="str">
        <f aca="false">IF(AO618&lt;&gt;1,"",IF(OR(P618="",Q618=""),"",IF(Q618&lt;P618,"",ROUND(((NETWORKDAYS(P618,Q618,JoursFeries)-1)*(HFer-HOuv)+IF(NETWORKDAYS(Q618,Q618,JoursFeries),MEDIAN(MOD(Q618,1),HFer,HOuv),HFer)-IF(NETWORKDAYS(P618,P618,JoursFeries),MEDIAN(MOD(P618,1),HFer,HOuv),HOuv))*24,4))))</f>
        <v/>
      </c>
      <c r="AW618" s="37" t="str">
        <f aca="false">IF(AO618&lt;&gt;1,"",IFERROR(ROUND(IF(OR(P618="",R618=""),"",IF(R618&lt;P618,"",ROUND(((NETWORKDAYS(P618,R618,JoursFeries)-1)*(HFer-HOuv)+IF(NETWORKDAYS(R618,R618,JoursFeries),MEDIAN(MOD(R618,1),HFer,HOuv),HFer)-IF(NETWORKDAYS(P618,P618,JoursFeries),MEDIAN(MOD(P618,1),HFer,HOuv),HOuv))*24,4)))/HJour,4),""))</f>
        <v/>
      </c>
      <c r="AX618" s="37" t="str">
        <f aca="false">IF(AO618&lt;&gt;1,"",IFERROR(ROUND(IF(OR(P618="",S618=""),"",IF(S618&lt;P618,"",ROUND(((NETWORKDAYS(P618,S618,JoursFeries)-1)*(HFer-HOuv)+IF(NETWORKDAYS(S618,S618,JoursFeries),MEDIAN(MOD(S618,1),HFer,HOuv),HFer)-IF(NETWORKDAYS(P618,P618,JoursFeries),MEDIAN(MOD(P618,1),HFer,HOuv),HOuv))*24,4)))/HJour,4),""))</f>
        <v/>
      </c>
      <c r="AY618" s="36" t="str">
        <f aca="false">IF(OR(AO618&lt;&gt;1,AR618=""),"",INDEX(SLA_PEC,AR618))</f>
        <v/>
      </c>
      <c r="AZ618" s="35" t="str">
        <f aca="false">IF(OR(AV618="",AY618=""),"",IF(AV618&lt;=AY618,1,0))</f>
        <v/>
      </c>
      <c r="BA618" s="36" t="str">
        <f aca="false">IF(OR(AO618&lt;&gt;1,AR618=""),"",INDEX(SLA_RES,AR618))</f>
        <v/>
      </c>
      <c r="BB618" s="35" t="str">
        <f aca="false">IF(OR(AW618="",BA618=""),"",IF(AW618&lt;=BA618,1,0))</f>
        <v/>
      </c>
      <c r="BC618" s="38" t="str">
        <f aca="false">IF(OR(BA618="",P618=""),"",WORKDAY(INT(P618),BA618,JoursFeries)+MOD(P618,1))</f>
        <v/>
      </c>
      <c r="BD618" s="39" t="str">
        <f aca="false">IF(AO618&lt;&gt;1,"",IF(OR(AB618&lt;&gt;"",AD618&lt;&gt;""),4,IF(U618&lt;&gt;"",3,IF(T618&lt;&gt;"",2,1))))</f>
        <v/>
      </c>
      <c r="BE618" s="39" t="str">
        <f aca="false">IF(OR(AO618&lt;&gt;1,AR618=""),"",INDEX(NIV_REQ,AR618))</f>
        <v/>
      </c>
      <c r="BF618" s="39" t="str">
        <f aca="false">IF(BE618="","",MAX(BE618,IF(OR(K618="Oui",Z618="Oui"),4,1)))</f>
        <v/>
      </c>
      <c r="BG618" s="35" t="str">
        <f aca="false">IF(OR(BF618="",BD618=""),"",IF(BD618&gt;=BF618,1,0))</f>
        <v/>
      </c>
      <c r="BH618" s="38" t="str">
        <f aca="false">IF(BE618="","",IF(BE618&lt;2,"",IF(BE618=2,IF(AND(T618="",U618=""),"",MIN(T618,U618)),IF(U618="","",U618))))</f>
        <v/>
      </c>
      <c r="BI618" s="37" t="str">
        <f aca="false">IF(BH618="","",IF(OR(O618="",BH618=""),"",IF(BH618&lt;O618,"",ROUND(((NETWORKDAYS(O618,BH618,JoursFeries)-1)*(HFer-HOuv)+IF(NETWORKDAYS(BH618,BH618,JoursFeries),MEDIAN(MOD(BH618,1),HFer,HOuv),HFer)-IF(NETWORKDAYS(O618,O618,JoursFeries),MEDIAN(MOD(O618,1),HFer,HOuv),HOuv))*24,4))))</f>
        <v/>
      </c>
      <c r="BJ618" s="35" t="str">
        <f aca="false">IF(OR(BI618="",AR618=""),"",IF(BI618&lt;=INDEX(DELAI_ESC,AR618),1,0))</f>
        <v/>
      </c>
      <c r="BK618" s="38" t="str">
        <f aca="false">IF(AO618&lt;&gt;1,"",IF(AND(T618="",U618=""),"",MIN(T618,U618)))</f>
        <v/>
      </c>
      <c r="BL618" s="37" t="str">
        <f aca="false">IF(OR(BK618="",R618=""),"",IFERROR(ROUND(IF(OR(BK618="",R618=""),"",IF(R618&lt;BK618,"",ROUND(((NETWORKDAYS(BK618,R618,JoursFeries)-1)*(HFer-HOuv)+IF(NETWORKDAYS(R618,R618,JoursFeries),MEDIAN(MOD(R618,1),HFer,HOuv),HFer)-IF(NETWORKDAYS(BK618,BK618,JoursFeries),MEDIAN(MOD(BK618,1),HFer,HOuv),HOuv))*24,4)))/HJour,4),""))</f>
        <v/>
      </c>
      <c r="BM618" s="35" t="str">
        <f aca="false">IF(OR(AO618&lt;&gt;1,R618=""),"",IF(BD618=1,1,0))</f>
        <v/>
      </c>
      <c r="BN618" s="35" t="str">
        <f aca="false">IF(AO618&lt;&gt;1,"",IF(W618="Oui",1,0))</f>
        <v/>
      </c>
      <c r="BO618" s="35" t="str">
        <f aca="false">IF(AO618&lt;&gt;1,"",IF(X618&lt;&gt;"",1,0))</f>
        <v/>
      </c>
      <c r="BP618" s="35" t="str">
        <f aca="false">IF(AO618&lt;&gt;1,"",IF(Y618="Oui",1,0))</f>
        <v/>
      </c>
      <c r="BQ618" s="35" t="str">
        <f aca="true">IF(OR(AO618&lt;&gt;1,Z618&lt;&gt;"Oui"),"",IF(AB618="",IF(AND(AA618&lt;&gt;"",NOW()&gt;AA618),0,""),IF(AA618="","",IF(AB618&lt;=AA618,1,0))))</f>
        <v/>
      </c>
      <c r="BR618" s="38" t="str">
        <f aca="false">IF(OR(AO618&lt;&gt;1,K618&lt;&gt;"Oui",O618=""),"",IF(AC618="",O618+DORA_H_DET/24,IF(AC618-O618&lt;=DORA_H_DET/24,MIN(AC618+DORA_H_CLA/24,O618+DORA_H_DET/24),AC618+DORA_H_CLA/24)))</f>
        <v/>
      </c>
      <c r="BS618" s="35" t="str">
        <f aca="true">IF(BR618="","",IF(AD618="",IF(NOW()&gt;BR618,0,""),IF(AD618&lt;=BR618,1,0)))</f>
        <v/>
      </c>
      <c r="BT618" s="35" t="str">
        <f aca="true">IF(OR(BR618="",AD618=""),"",IF(AE618="",IF(NOW()&gt;AD618+DORA_H_INT/24,0,""),IF(AE618&lt;=AD618+DORA_H_INT/24,1,0)))</f>
        <v/>
      </c>
      <c r="BU618" s="35" t="str">
        <f aca="true">IF(OR(BR618="",AE618=""),"",IF(AF618="",IF(NOW()&gt;EDATE(AE618,DORA_M_FIN)+1,0,""),IF(AF618&lt;=EDATE(AE618,DORA_M_FIN),1,0)))</f>
        <v/>
      </c>
      <c r="BV618" s="35" t="str">
        <f aca="false">IF(BR618="","",IF(COUNT(BS618:BU618)=0,"",MIN(BS618:BU618)))</f>
        <v/>
      </c>
      <c r="BW618" s="40" t="str">
        <f aca="false">IF(AQ618&lt;&gt;1,"",IF(AND(AG618="",AH618=""),"",N(AG618)-N(AH618)))</f>
        <v/>
      </c>
      <c r="BX618" s="35" t="str">
        <f aca="true">IF(OR(AQ618&lt;&gt;1,AI618&lt;&gt;"Oui",AJ618=""),"",IF(AK618="",IF(NOW()&gt;AJ618+1,0,""),IF(AK618&lt;=AJ618,1,0)))</f>
        <v/>
      </c>
    </row>
    <row r="619" customFormat="false" ht="15" hidden="false" customHeight="false" outlineLevel="0" collapsed="false">
      <c r="B619" s="29"/>
      <c r="C619" s="29"/>
      <c r="D619" s="29"/>
      <c r="E619" s="29"/>
      <c r="F619" s="29"/>
      <c r="G619" s="29"/>
      <c r="H619" s="29"/>
      <c r="I619" s="29"/>
      <c r="J619" s="29"/>
      <c r="K619" s="29"/>
      <c r="L619" s="29"/>
      <c r="M619" s="29"/>
      <c r="N619" s="30"/>
      <c r="O619" s="30"/>
      <c r="P619" s="30"/>
      <c r="Q619" s="30"/>
      <c r="R619" s="30"/>
      <c r="S619" s="30"/>
      <c r="T619" s="30"/>
      <c r="U619" s="30"/>
      <c r="V619" s="31"/>
      <c r="W619" s="29"/>
      <c r="X619" s="29"/>
      <c r="Y619" s="29"/>
      <c r="Z619" s="29"/>
      <c r="AA619" s="30"/>
      <c r="AB619" s="30"/>
      <c r="AC619" s="30"/>
      <c r="AD619" s="30"/>
      <c r="AE619" s="30"/>
      <c r="AF619" s="32"/>
      <c r="AG619" s="33"/>
      <c r="AH619" s="33"/>
      <c r="AI619" s="29"/>
      <c r="AJ619" s="32"/>
      <c r="AK619" s="32"/>
      <c r="AL619" s="29"/>
      <c r="AN619" s="34" t="str">
        <f aca="false">IF($B619="","",IF(OR(C619="",D619="",E619="",G619="",I619="",J619="",L619="",O619="",P619=""),"Champ obligatoire manquant",IF(OR(AND(N619&lt;&gt;"",N619&gt;O619),O619&gt;P619,AND(Q619&lt;&gt;"",Q619&lt;P619),AND(R619&lt;&gt;"",R619&lt;P619),AND(S619&lt;&gt;"",S619&lt;R619),AND(S619&lt;&gt;"",R619=""),AND(T619&lt;&gt;"",T619&lt;O619),AND(U619&lt;&gt;"",U619&lt;O619)),"Chronologie incohérente",IF(AND(OR(L619="Résolu",L619="Clos"),R619=""),"Date de résolution manquante",IF(AND(L619="Clos",S619=""),"Date de clôture manquante",IF(AND(K619="Oui",AC619=""),"Classification DORA manquante","OK"))))))</f>
        <v/>
      </c>
      <c r="AO619" s="35" t="str">
        <f aca="false">IF($B619="","",IF(AND(C619="Incident",L619&lt;&gt;"Annulé"),1,0))</f>
        <v/>
      </c>
      <c r="AP619" s="35" t="str">
        <f aca="false">IF($B619="","",IF(AND(C619="Quasi-incident",L619&lt;&gt;"Annulé"),1,0))</f>
        <v/>
      </c>
      <c r="AQ619" s="35" t="str">
        <f aca="false">IF($B619="","",AO619+AP619)</f>
        <v/>
      </c>
      <c r="AR619" s="36" t="str">
        <f aca="false">IF(OR($B619="",J619=""),"",IFERROR(VALUE(LEFT(J619,1)),""))</f>
        <v/>
      </c>
      <c r="AS619" s="35" t="str">
        <f aca="false">IF(OR(AO619&lt;&gt;1,G619=""),"",IFERROR(IF(INDEX(L_SrcInterne,MATCH(G619,L_Sources,0))="Oui",1,0),""))</f>
        <v/>
      </c>
      <c r="AT619" s="37" t="str">
        <f aca="false">IF(AO619&lt;&gt;1,"",IFERROR(ROUND(IF(OR(N619="",O619=""),"",IF(O619&lt;N619,"",ROUND(((NETWORKDAYS(N619,O619,JoursFeries)-1)*(HFer-HOuv)+IF(NETWORKDAYS(O619,O619,JoursFeries),MEDIAN(MOD(O619,1),HFer,HOuv),HFer)-IF(NETWORKDAYS(N619,N619,JoursFeries),MEDIAN(MOD(N619,1),HFer,HOuv),HOuv))*24,4)))/HJour,4),""))</f>
        <v/>
      </c>
      <c r="AU619" s="37" t="str">
        <f aca="false">IF(AO619&lt;&gt;1,"",IF(OR(O619="",P619=""),"",IF(P619&lt;O619,"",ROUND(((NETWORKDAYS(O619,P619,JoursFeries)-1)*(HFer-HOuv)+IF(NETWORKDAYS(P619,P619,JoursFeries),MEDIAN(MOD(P619,1),HFer,HOuv),HFer)-IF(NETWORKDAYS(O619,O619,JoursFeries),MEDIAN(MOD(O619,1),HFer,HOuv),HOuv))*24,4))))</f>
        <v/>
      </c>
      <c r="AV619" s="37" t="str">
        <f aca="false">IF(AO619&lt;&gt;1,"",IF(OR(P619="",Q619=""),"",IF(Q619&lt;P619,"",ROUND(((NETWORKDAYS(P619,Q619,JoursFeries)-1)*(HFer-HOuv)+IF(NETWORKDAYS(Q619,Q619,JoursFeries),MEDIAN(MOD(Q619,1),HFer,HOuv),HFer)-IF(NETWORKDAYS(P619,P619,JoursFeries),MEDIAN(MOD(P619,1),HFer,HOuv),HOuv))*24,4))))</f>
        <v/>
      </c>
      <c r="AW619" s="37" t="str">
        <f aca="false">IF(AO619&lt;&gt;1,"",IFERROR(ROUND(IF(OR(P619="",R619=""),"",IF(R619&lt;P619,"",ROUND(((NETWORKDAYS(P619,R619,JoursFeries)-1)*(HFer-HOuv)+IF(NETWORKDAYS(R619,R619,JoursFeries),MEDIAN(MOD(R619,1),HFer,HOuv),HFer)-IF(NETWORKDAYS(P619,P619,JoursFeries),MEDIAN(MOD(P619,1),HFer,HOuv),HOuv))*24,4)))/HJour,4),""))</f>
        <v/>
      </c>
      <c r="AX619" s="37" t="str">
        <f aca="false">IF(AO619&lt;&gt;1,"",IFERROR(ROUND(IF(OR(P619="",S619=""),"",IF(S619&lt;P619,"",ROUND(((NETWORKDAYS(P619,S619,JoursFeries)-1)*(HFer-HOuv)+IF(NETWORKDAYS(S619,S619,JoursFeries),MEDIAN(MOD(S619,1),HFer,HOuv),HFer)-IF(NETWORKDAYS(P619,P619,JoursFeries),MEDIAN(MOD(P619,1),HFer,HOuv),HOuv))*24,4)))/HJour,4),""))</f>
        <v/>
      </c>
      <c r="AY619" s="36" t="str">
        <f aca="false">IF(OR(AO619&lt;&gt;1,AR619=""),"",INDEX(SLA_PEC,AR619))</f>
        <v/>
      </c>
      <c r="AZ619" s="35" t="str">
        <f aca="false">IF(OR(AV619="",AY619=""),"",IF(AV619&lt;=AY619,1,0))</f>
        <v/>
      </c>
      <c r="BA619" s="36" t="str">
        <f aca="false">IF(OR(AO619&lt;&gt;1,AR619=""),"",INDEX(SLA_RES,AR619))</f>
        <v/>
      </c>
      <c r="BB619" s="35" t="str">
        <f aca="false">IF(OR(AW619="",BA619=""),"",IF(AW619&lt;=BA619,1,0))</f>
        <v/>
      </c>
      <c r="BC619" s="38" t="str">
        <f aca="false">IF(OR(BA619="",P619=""),"",WORKDAY(INT(P619),BA619,JoursFeries)+MOD(P619,1))</f>
        <v/>
      </c>
      <c r="BD619" s="39" t="str">
        <f aca="false">IF(AO619&lt;&gt;1,"",IF(OR(AB619&lt;&gt;"",AD619&lt;&gt;""),4,IF(U619&lt;&gt;"",3,IF(T619&lt;&gt;"",2,1))))</f>
        <v/>
      </c>
      <c r="BE619" s="39" t="str">
        <f aca="false">IF(OR(AO619&lt;&gt;1,AR619=""),"",INDEX(NIV_REQ,AR619))</f>
        <v/>
      </c>
      <c r="BF619" s="39" t="str">
        <f aca="false">IF(BE619="","",MAX(BE619,IF(OR(K619="Oui",Z619="Oui"),4,1)))</f>
        <v/>
      </c>
      <c r="BG619" s="35" t="str">
        <f aca="false">IF(OR(BF619="",BD619=""),"",IF(BD619&gt;=BF619,1,0))</f>
        <v/>
      </c>
      <c r="BH619" s="38" t="str">
        <f aca="false">IF(BE619="","",IF(BE619&lt;2,"",IF(BE619=2,IF(AND(T619="",U619=""),"",MIN(T619,U619)),IF(U619="","",U619))))</f>
        <v/>
      </c>
      <c r="BI619" s="37" t="str">
        <f aca="false">IF(BH619="","",IF(OR(O619="",BH619=""),"",IF(BH619&lt;O619,"",ROUND(((NETWORKDAYS(O619,BH619,JoursFeries)-1)*(HFer-HOuv)+IF(NETWORKDAYS(BH619,BH619,JoursFeries),MEDIAN(MOD(BH619,1),HFer,HOuv),HFer)-IF(NETWORKDAYS(O619,O619,JoursFeries),MEDIAN(MOD(O619,1),HFer,HOuv),HOuv))*24,4))))</f>
        <v/>
      </c>
      <c r="BJ619" s="35" t="str">
        <f aca="false">IF(OR(BI619="",AR619=""),"",IF(BI619&lt;=INDEX(DELAI_ESC,AR619),1,0))</f>
        <v/>
      </c>
      <c r="BK619" s="38" t="str">
        <f aca="false">IF(AO619&lt;&gt;1,"",IF(AND(T619="",U619=""),"",MIN(T619,U619)))</f>
        <v/>
      </c>
      <c r="BL619" s="37" t="str">
        <f aca="false">IF(OR(BK619="",R619=""),"",IFERROR(ROUND(IF(OR(BK619="",R619=""),"",IF(R619&lt;BK619,"",ROUND(((NETWORKDAYS(BK619,R619,JoursFeries)-1)*(HFer-HOuv)+IF(NETWORKDAYS(R619,R619,JoursFeries),MEDIAN(MOD(R619,1),HFer,HOuv),HFer)-IF(NETWORKDAYS(BK619,BK619,JoursFeries),MEDIAN(MOD(BK619,1),HFer,HOuv),HOuv))*24,4)))/HJour,4),""))</f>
        <v/>
      </c>
      <c r="BM619" s="35" t="str">
        <f aca="false">IF(OR(AO619&lt;&gt;1,R619=""),"",IF(BD619=1,1,0))</f>
        <v/>
      </c>
      <c r="BN619" s="35" t="str">
        <f aca="false">IF(AO619&lt;&gt;1,"",IF(W619="Oui",1,0))</f>
        <v/>
      </c>
      <c r="BO619" s="35" t="str">
        <f aca="false">IF(AO619&lt;&gt;1,"",IF(X619&lt;&gt;"",1,0))</f>
        <v/>
      </c>
      <c r="BP619" s="35" t="str">
        <f aca="false">IF(AO619&lt;&gt;1,"",IF(Y619="Oui",1,0))</f>
        <v/>
      </c>
      <c r="BQ619" s="35" t="str">
        <f aca="true">IF(OR(AO619&lt;&gt;1,Z619&lt;&gt;"Oui"),"",IF(AB619="",IF(AND(AA619&lt;&gt;"",NOW()&gt;AA619),0,""),IF(AA619="","",IF(AB619&lt;=AA619,1,0))))</f>
        <v/>
      </c>
      <c r="BR619" s="38" t="str">
        <f aca="false">IF(OR(AO619&lt;&gt;1,K619&lt;&gt;"Oui",O619=""),"",IF(AC619="",O619+DORA_H_DET/24,IF(AC619-O619&lt;=DORA_H_DET/24,MIN(AC619+DORA_H_CLA/24,O619+DORA_H_DET/24),AC619+DORA_H_CLA/24)))</f>
        <v/>
      </c>
      <c r="BS619" s="35" t="str">
        <f aca="true">IF(BR619="","",IF(AD619="",IF(NOW()&gt;BR619,0,""),IF(AD619&lt;=BR619,1,0)))</f>
        <v/>
      </c>
      <c r="BT619" s="35" t="str">
        <f aca="true">IF(OR(BR619="",AD619=""),"",IF(AE619="",IF(NOW()&gt;AD619+DORA_H_INT/24,0,""),IF(AE619&lt;=AD619+DORA_H_INT/24,1,0)))</f>
        <v/>
      </c>
      <c r="BU619" s="35" t="str">
        <f aca="true">IF(OR(BR619="",AE619=""),"",IF(AF619="",IF(NOW()&gt;EDATE(AE619,DORA_M_FIN)+1,0,""),IF(AF619&lt;=EDATE(AE619,DORA_M_FIN),1,0)))</f>
        <v/>
      </c>
      <c r="BV619" s="35" t="str">
        <f aca="false">IF(BR619="","",IF(COUNT(BS619:BU619)=0,"",MIN(BS619:BU619)))</f>
        <v/>
      </c>
      <c r="BW619" s="40" t="str">
        <f aca="false">IF(AQ619&lt;&gt;1,"",IF(AND(AG619="",AH619=""),"",N(AG619)-N(AH619)))</f>
        <v/>
      </c>
      <c r="BX619" s="35" t="str">
        <f aca="true">IF(OR(AQ619&lt;&gt;1,AI619&lt;&gt;"Oui",AJ619=""),"",IF(AK619="",IF(NOW()&gt;AJ619+1,0,""),IF(AK619&lt;=AJ619,1,0)))</f>
        <v/>
      </c>
    </row>
    <row r="620" customFormat="false" ht="15" hidden="false" customHeight="false" outlineLevel="0" collapsed="false">
      <c r="B620" s="29"/>
      <c r="C620" s="29"/>
      <c r="D620" s="29"/>
      <c r="E620" s="29"/>
      <c r="F620" s="29"/>
      <c r="G620" s="29"/>
      <c r="H620" s="29"/>
      <c r="I620" s="29"/>
      <c r="J620" s="29"/>
      <c r="K620" s="29"/>
      <c r="L620" s="29"/>
      <c r="M620" s="29"/>
      <c r="N620" s="30"/>
      <c r="O620" s="30"/>
      <c r="P620" s="30"/>
      <c r="Q620" s="30"/>
      <c r="R620" s="30"/>
      <c r="S620" s="30"/>
      <c r="T620" s="30"/>
      <c r="U620" s="30"/>
      <c r="V620" s="31"/>
      <c r="W620" s="29"/>
      <c r="X620" s="29"/>
      <c r="Y620" s="29"/>
      <c r="Z620" s="29"/>
      <c r="AA620" s="30"/>
      <c r="AB620" s="30"/>
      <c r="AC620" s="30"/>
      <c r="AD620" s="30"/>
      <c r="AE620" s="30"/>
      <c r="AF620" s="32"/>
      <c r="AG620" s="33"/>
      <c r="AH620" s="33"/>
      <c r="AI620" s="29"/>
      <c r="AJ620" s="32"/>
      <c r="AK620" s="32"/>
      <c r="AL620" s="29"/>
      <c r="AN620" s="34" t="str">
        <f aca="false">IF($B620="","",IF(OR(C620="",D620="",E620="",G620="",I620="",J620="",L620="",O620="",P620=""),"Champ obligatoire manquant",IF(OR(AND(N620&lt;&gt;"",N620&gt;O620),O620&gt;P620,AND(Q620&lt;&gt;"",Q620&lt;P620),AND(R620&lt;&gt;"",R620&lt;P620),AND(S620&lt;&gt;"",S620&lt;R620),AND(S620&lt;&gt;"",R620=""),AND(T620&lt;&gt;"",T620&lt;O620),AND(U620&lt;&gt;"",U620&lt;O620)),"Chronologie incohérente",IF(AND(OR(L620="Résolu",L620="Clos"),R620=""),"Date de résolution manquante",IF(AND(L620="Clos",S620=""),"Date de clôture manquante",IF(AND(K620="Oui",AC620=""),"Classification DORA manquante","OK"))))))</f>
        <v/>
      </c>
      <c r="AO620" s="35" t="str">
        <f aca="false">IF($B620="","",IF(AND(C620="Incident",L620&lt;&gt;"Annulé"),1,0))</f>
        <v/>
      </c>
      <c r="AP620" s="35" t="str">
        <f aca="false">IF($B620="","",IF(AND(C620="Quasi-incident",L620&lt;&gt;"Annulé"),1,0))</f>
        <v/>
      </c>
      <c r="AQ620" s="35" t="str">
        <f aca="false">IF($B620="","",AO620+AP620)</f>
        <v/>
      </c>
      <c r="AR620" s="36" t="str">
        <f aca="false">IF(OR($B620="",J620=""),"",IFERROR(VALUE(LEFT(J620,1)),""))</f>
        <v/>
      </c>
      <c r="AS620" s="35" t="str">
        <f aca="false">IF(OR(AO620&lt;&gt;1,G620=""),"",IFERROR(IF(INDEX(L_SrcInterne,MATCH(G620,L_Sources,0))="Oui",1,0),""))</f>
        <v/>
      </c>
      <c r="AT620" s="37" t="str">
        <f aca="false">IF(AO620&lt;&gt;1,"",IFERROR(ROUND(IF(OR(N620="",O620=""),"",IF(O620&lt;N620,"",ROUND(((NETWORKDAYS(N620,O620,JoursFeries)-1)*(HFer-HOuv)+IF(NETWORKDAYS(O620,O620,JoursFeries),MEDIAN(MOD(O620,1),HFer,HOuv),HFer)-IF(NETWORKDAYS(N620,N620,JoursFeries),MEDIAN(MOD(N620,1),HFer,HOuv),HOuv))*24,4)))/HJour,4),""))</f>
        <v/>
      </c>
      <c r="AU620" s="37" t="str">
        <f aca="false">IF(AO620&lt;&gt;1,"",IF(OR(O620="",P620=""),"",IF(P620&lt;O620,"",ROUND(((NETWORKDAYS(O620,P620,JoursFeries)-1)*(HFer-HOuv)+IF(NETWORKDAYS(P620,P620,JoursFeries),MEDIAN(MOD(P620,1),HFer,HOuv),HFer)-IF(NETWORKDAYS(O620,O620,JoursFeries),MEDIAN(MOD(O620,1),HFer,HOuv),HOuv))*24,4))))</f>
        <v/>
      </c>
      <c r="AV620" s="37" t="str">
        <f aca="false">IF(AO620&lt;&gt;1,"",IF(OR(P620="",Q620=""),"",IF(Q620&lt;P620,"",ROUND(((NETWORKDAYS(P620,Q620,JoursFeries)-1)*(HFer-HOuv)+IF(NETWORKDAYS(Q620,Q620,JoursFeries),MEDIAN(MOD(Q620,1),HFer,HOuv),HFer)-IF(NETWORKDAYS(P620,P620,JoursFeries),MEDIAN(MOD(P620,1),HFer,HOuv),HOuv))*24,4))))</f>
        <v/>
      </c>
      <c r="AW620" s="37" t="str">
        <f aca="false">IF(AO620&lt;&gt;1,"",IFERROR(ROUND(IF(OR(P620="",R620=""),"",IF(R620&lt;P620,"",ROUND(((NETWORKDAYS(P620,R620,JoursFeries)-1)*(HFer-HOuv)+IF(NETWORKDAYS(R620,R620,JoursFeries),MEDIAN(MOD(R620,1),HFer,HOuv),HFer)-IF(NETWORKDAYS(P620,P620,JoursFeries),MEDIAN(MOD(P620,1),HFer,HOuv),HOuv))*24,4)))/HJour,4),""))</f>
        <v/>
      </c>
      <c r="AX620" s="37" t="str">
        <f aca="false">IF(AO620&lt;&gt;1,"",IFERROR(ROUND(IF(OR(P620="",S620=""),"",IF(S620&lt;P620,"",ROUND(((NETWORKDAYS(P620,S620,JoursFeries)-1)*(HFer-HOuv)+IF(NETWORKDAYS(S620,S620,JoursFeries),MEDIAN(MOD(S620,1),HFer,HOuv),HFer)-IF(NETWORKDAYS(P620,P620,JoursFeries),MEDIAN(MOD(P620,1),HFer,HOuv),HOuv))*24,4)))/HJour,4),""))</f>
        <v/>
      </c>
      <c r="AY620" s="36" t="str">
        <f aca="false">IF(OR(AO620&lt;&gt;1,AR620=""),"",INDEX(SLA_PEC,AR620))</f>
        <v/>
      </c>
      <c r="AZ620" s="35" t="str">
        <f aca="false">IF(OR(AV620="",AY620=""),"",IF(AV620&lt;=AY620,1,0))</f>
        <v/>
      </c>
      <c r="BA620" s="36" t="str">
        <f aca="false">IF(OR(AO620&lt;&gt;1,AR620=""),"",INDEX(SLA_RES,AR620))</f>
        <v/>
      </c>
      <c r="BB620" s="35" t="str">
        <f aca="false">IF(OR(AW620="",BA620=""),"",IF(AW620&lt;=BA620,1,0))</f>
        <v/>
      </c>
      <c r="BC620" s="38" t="str">
        <f aca="false">IF(OR(BA620="",P620=""),"",WORKDAY(INT(P620),BA620,JoursFeries)+MOD(P620,1))</f>
        <v/>
      </c>
      <c r="BD620" s="39" t="str">
        <f aca="false">IF(AO620&lt;&gt;1,"",IF(OR(AB620&lt;&gt;"",AD620&lt;&gt;""),4,IF(U620&lt;&gt;"",3,IF(T620&lt;&gt;"",2,1))))</f>
        <v/>
      </c>
      <c r="BE620" s="39" t="str">
        <f aca="false">IF(OR(AO620&lt;&gt;1,AR620=""),"",INDEX(NIV_REQ,AR620))</f>
        <v/>
      </c>
      <c r="BF620" s="39" t="str">
        <f aca="false">IF(BE620="","",MAX(BE620,IF(OR(K620="Oui",Z620="Oui"),4,1)))</f>
        <v/>
      </c>
      <c r="BG620" s="35" t="str">
        <f aca="false">IF(OR(BF620="",BD620=""),"",IF(BD620&gt;=BF620,1,0))</f>
        <v/>
      </c>
      <c r="BH620" s="38" t="str">
        <f aca="false">IF(BE620="","",IF(BE620&lt;2,"",IF(BE620=2,IF(AND(T620="",U620=""),"",MIN(T620,U620)),IF(U620="","",U620))))</f>
        <v/>
      </c>
      <c r="BI620" s="37" t="str">
        <f aca="false">IF(BH620="","",IF(OR(O620="",BH620=""),"",IF(BH620&lt;O620,"",ROUND(((NETWORKDAYS(O620,BH620,JoursFeries)-1)*(HFer-HOuv)+IF(NETWORKDAYS(BH620,BH620,JoursFeries),MEDIAN(MOD(BH620,1),HFer,HOuv),HFer)-IF(NETWORKDAYS(O620,O620,JoursFeries),MEDIAN(MOD(O620,1),HFer,HOuv),HOuv))*24,4))))</f>
        <v/>
      </c>
      <c r="BJ620" s="35" t="str">
        <f aca="false">IF(OR(BI620="",AR620=""),"",IF(BI620&lt;=INDEX(DELAI_ESC,AR620),1,0))</f>
        <v/>
      </c>
      <c r="BK620" s="38" t="str">
        <f aca="false">IF(AO620&lt;&gt;1,"",IF(AND(T620="",U620=""),"",MIN(T620,U620)))</f>
        <v/>
      </c>
      <c r="BL620" s="37" t="str">
        <f aca="false">IF(OR(BK620="",R620=""),"",IFERROR(ROUND(IF(OR(BK620="",R620=""),"",IF(R620&lt;BK620,"",ROUND(((NETWORKDAYS(BK620,R620,JoursFeries)-1)*(HFer-HOuv)+IF(NETWORKDAYS(R620,R620,JoursFeries),MEDIAN(MOD(R620,1),HFer,HOuv),HFer)-IF(NETWORKDAYS(BK620,BK620,JoursFeries),MEDIAN(MOD(BK620,1),HFer,HOuv),HOuv))*24,4)))/HJour,4),""))</f>
        <v/>
      </c>
      <c r="BM620" s="35" t="str">
        <f aca="false">IF(OR(AO620&lt;&gt;1,R620=""),"",IF(BD620=1,1,0))</f>
        <v/>
      </c>
      <c r="BN620" s="35" t="str">
        <f aca="false">IF(AO620&lt;&gt;1,"",IF(W620="Oui",1,0))</f>
        <v/>
      </c>
      <c r="BO620" s="35" t="str">
        <f aca="false">IF(AO620&lt;&gt;1,"",IF(X620&lt;&gt;"",1,0))</f>
        <v/>
      </c>
      <c r="BP620" s="35" t="str">
        <f aca="false">IF(AO620&lt;&gt;1,"",IF(Y620="Oui",1,0))</f>
        <v/>
      </c>
      <c r="BQ620" s="35" t="str">
        <f aca="true">IF(OR(AO620&lt;&gt;1,Z620&lt;&gt;"Oui"),"",IF(AB620="",IF(AND(AA620&lt;&gt;"",NOW()&gt;AA620),0,""),IF(AA620="","",IF(AB620&lt;=AA620,1,0))))</f>
        <v/>
      </c>
      <c r="BR620" s="38" t="str">
        <f aca="false">IF(OR(AO620&lt;&gt;1,K620&lt;&gt;"Oui",O620=""),"",IF(AC620="",O620+DORA_H_DET/24,IF(AC620-O620&lt;=DORA_H_DET/24,MIN(AC620+DORA_H_CLA/24,O620+DORA_H_DET/24),AC620+DORA_H_CLA/24)))</f>
        <v/>
      </c>
      <c r="BS620" s="35" t="str">
        <f aca="true">IF(BR620="","",IF(AD620="",IF(NOW()&gt;BR620,0,""),IF(AD620&lt;=BR620,1,0)))</f>
        <v/>
      </c>
      <c r="BT620" s="35" t="str">
        <f aca="true">IF(OR(BR620="",AD620=""),"",IF(AE620="",IF(NOW()&gt;AD620+DORA_H_INT/24,0,""),IF(AE620&lt;=AD620+DORA_H_INT/24,1,0)))</f>
        <v/>
      </c>
      <c r="BU620" s="35" t="str">
        <f aca="true">IF(OR(BR620="",AE620=""),"",IF(AF620="",IF(NOW()&gt;EDATE(AE620,DORA_M_FIN)+1,0,""),IF(AF620&lt;=EDATE(AE620,DORA_M_FIN),1,0)))</f>
        <v/>
      </c>
      <c r="BV620" s="35" t="str">
        <f aca="false">IF(BR620="","",IF(COUNT(BS620:BU620)=0,"",MIN(BS620:BU620)))</f>
        <v/>
      </c>
      <c r="BW620" s="40" t="str">
        <f aca="false">IF(AQ620&lt;&gt;1,"",IF(AND(AG620="",AH620=""),"",N(AG620)-N(AH620)))</f>
        <v/>
      </c>
      <c r="BX620" s="35" t="str">
        <f aca="true">IF(OR(AQ620&lt;&gt;1,AI620&lt;&gt;"Oui",AJ620=""),"",IF(AK620="",IF(NOW()&gt;AJ620+1,0,""),IF(AK620&lt;=AJ620,1,0)))</f>
        <v/>
      </c>
    </row>
    <row r="621" customFormat="false" ht="15" hidden="false" customHeight="false" outlineLevel="0" collapsed="false">
      <c r="B621" s="29"/>
      <c r="C621" s="29"/>
      <c r="D621" s="29"/>
      <c r="E621" s="29"/>
      <c r="F621" s="29"/>
      <c r="G621" s="29"/>
      <c r="H621" s="29"/>
      <c r="I621" s="29"/>
      <c r="J621" s="29"/>
      <c r="K621" s="29"/>
      <c r="L621" s="29"/>
      <c r="M621" s="29"/>
      <c r="N621" s="30"/>
      <c r="O621" s="30"/>
      <c r="P621" s="30"/>
      <c r="Q621" s="30"/>
      <c r="R621" s="30"/>
      <c r="S621" s="30"/>
      <c r="T621" s="30"/>
      <c r="U621" s="30"/>
      <c r="V621" s="31"/>
      <c r="W621" s="29"/>
      <c r="X621" s="29"/>
      <c r="Y621" s="29"/>
      <c r="Z621" s="29"/>
      <c r="AA621" s="30"/>
      <c r="AB621" s="30"/>
      <c r="AC621" s="30"/>
      <c r="AD621" s="30"/>
      <c r="AE621" s="30"/>
      <c r="AF621" s="32"/>
      <c r="AG621" s="33"/>
      <c r="AH621" s="33"/>
      <c r="AI621" s="29"/>
      <c r="AJ621" s="32"/>
      <c r="AK621" s="32"/>
      <c r="AL621" s="29"/>
      <c r="AN621" s="34" t="str">
        <f aca="false">IF($B621="","",IF(OR(C621="",D621="",E621="",G621="",I621="",J621="",L621="",O621="",P621=""),"Champ obligatoire manquant",IF(OR(AND(N621&lt;&gt;"",N621&gt;O621),O621&gt;P621,AND(Q621&lt;&gt;"",Q621&lt;P621),AND(R621&lt;&gt;"",R621&lt;P621),AND(S621&lt;&gt;"",S621&lt;R621),AND(S621&lt;&gt;"",R621=""),AND(T621&lt;&gt;"",T621&lt;O621),AND(U621&lt;&gt;"",U621&lt;O621)),"Chronologie incohérente",IF(AND(OR(L621="Résolu",L621="Clos"),R621=""),"Date de résolution manquante",IF(AND(L621="Clos",S621=""),"Date de clôture manquante",IF(AND(K621="Oui",AC621=""),"Classification DORA manquante","OK"))))))</f>
        <v/>
      </c>
      <c r="AO621" s="35" t="str">
        <f aca="false">IF($B621="","",IF(AND(C621="Incident",L621&lt;&gt;"Annulé"),1,0))</f>
        <v/>
      </c>
      <c r="AP621" s="35" t="str">
        <f aca="false">IF($B621="","",IF(AND(C621="Quasi-incident",L621&lt;&gt;"Annulé"),1,0))</f>
        <v/>
      </c>
      <c r="AQ621" s="35" t="str">
        <f aca="false">IF($B621="","",AO621+AP621)</f>
        <v/>
      </c>
      <c r="AR621" s="36" t="str">
        <f aca="false">IF(OR($B621="",J621=""),"",IFERROR(VALUE(LEFT(J621,1)),""))</f>
        <v/>
      </c>
      <c r="AS621" s="35" t="str">
        <f aca="false">IF(OR(AO621&lt;&gt;1,G621=""),"",IFERROR(IF(INDEX(L_SrcInterne,MATCH(G621,L_Sources,0))="Oui",1,0),""))</f>
        <v/>
      </c>
      <c r="AT621" s="37" t="str">
        <f aca="false">IF(AO621&lt;&gt;1,"",IFERROR(ROUND(IF(OR(N621="",O621=""),"",IF(O621&lt;N621,"",ROUND(((NETWORKDAYS(N621,O621,JoursFeries)-1)*(HFer-HOuv)+IF(NETWORKDAYS(O621,O621,JoursFeries),MEDIAN(MOD(O621,1),HFer,HOuv),HFer)-IF(NETWORKDAYS(N621,N621,JoursFeries),MEDIAN(MOD(N621,1),HFer,HOuv),HOuv))*24,4)))/HJour,4),""))</f>
        <v/>
      </c>
      <c r="AU621" s="37" t="str">
        <f aca="false">IF(AO621&lt;&gt;1,"",IF(OR(O621="",P621=""),"",IF(P621&lt;O621,"",ROUND(((NETWORKDAYS(O621,P621,JoursFeries)-1)*(HFer-HOuv)+IF(NETWORKDAYS(P621,P621,JoursFeries),MEDIAN(MOD(P621,1),HFer,HOuv),HFer)-IF(NETWORKDAYS(O621,O621,JoursFeries),MEDIAN(MOD(O621,1),HFer,HOuv),HOuv))*24,4))))</f>
        <v/>
      </c>
      <c r="AV621" s="37" t="str">
        <f aca="false">IF(AO621&lt;&gt;1,"",IF(OR(P621="",Q621=""),"",IF(Q621&lt;P621,"",ROUND(((NETWORKDAYS(P621,Q621,JoursFeries)-1)*(HFer-HOuv)+IF(NETWORKDAYS(Q621,Q621,JoursFeries),MEDIAN(MOD(Q621,1),HFer,HOuv),HFer)-IF(NETWORKDAYS(P621,P621,JoursFeries),MEDIAN(MOD(P621,1),HFer,HOuv),HOuv))*24,4))))</f>
        <v/>
      </c>
      <c r="AW621" s="37" t="str">
        <f aca="false">IF(AO621&lt;&gt;1,"",IFERROR(ROUND(IF(OR(P621="",R621=""),"",IF(R621&lt;P621,"",ROUND(((NETWORKDAYS(P621,R621,JoursFeries)-1)*(HFer-HOuv)+IF(NETWORKDAYS(R621,R621,JoursFeries),MEDIAN(MOD(R621,1),HFer,HOuv),HFer)-IF(NETWORKDAYS(P621,P621,JoursFeries),MEDIAN(MOD(P621,1),HFer,HOuv),HOuv))*24,4)))/HJour,4),""))</f>
        <v/>
      </c>
      <c r="AX621" s="37" t="str">
        <f aca="false">IF(AO621&lt;&gt;1,"",IFERROR(ROUND(IF(OR(P621="",S621=""),"",IF(S621&lt;P621,"",ROUND(((NETWORKDAYS(P621,S621,JoursFeries)-1)*(HFer-HOuv)+IF(NETWORKDAYS(S621,S621,JoursFeries),MEDIAN(MOD(S621,1),HFer,HOuv),HFer)-IF(NETWORKDAYS(P621,P621,JoursFeries),MEDIAN(MOD(P621,1),HFer,HOuv),HOuv))*24,4)))/HJour,4),""))</f>
        <v/>
      </c>
      <c r="AY621" s="36" t="str">
        <f aca="false">IF(OR(AO621&lt;&gt;1,AR621=""),"",INDEX(SLA_PEC,AR621))</f>
        <v/>
      </c>
      <c r="AZ621" s="35" t="str">
        <f aca="false">IF(OR(AV621="",AY621=""),"",IF(AV621&lt;=AY621,1,0))</f>
        <v/>
      </c>
      <c r="BA621" s="36" t="str">
        <f aca="false">IF(OR(AO621&lt;&gt;1,AR621=""),"",INDEX(SLA_RES,AR621))</f>
        <v/>
      </c>
      <c r="BB621" s="35" t="str">
        <f aca="false">IF(OR(AW621="",BA621=""),"",IF(AW621&lt;=BA621,1,0))</f>
        <v/>
      </c>
      <c r="BC621" s="38" t="str">
        <f aca="false">IF(OR(BA621="",P621=""),"",WORKDAY(INT(P621),BA621,JoursFeries)+MOD(P621,1))</f>
        <v/>
      </c>
      <c r="BD621" s="39" t="str">
        <f aca="false">IF(AO621&lt;&gt;1,"",IF(OR(AB621&lt;&gt;"",AD621&lt;&gt;""),4,IF(U621&lt;&gt;"",3,IF(T621&lt;&gt;"",2,1))))</f>
        <v/>
      </c>
      <c r="BE621" s="39" t="str">
        <f aca="false">IF(OR(AO621&lt;&gt;1,AR621=""),"",INDEX(NIV_REQ,AR621))</f>
        <v/>
      </c>
      <c r="BF621" s="39" t="str">
        <f aca="false">IF(BE621="","",MAX(BE621,IF(OR(K621="Oui",Z621="Oui"),4,1)))</f>
        <v/>
      </c>
      <c r="BG621" s="35" t="str">
        <f aca="false">IF(OR(BF621="",BD621=""),"",IF(BD621&gt;=BF621,1,0))</f>
        <v/>
      </c>
      <c r="BH621" s="38" t="str">
        <f aca="false">IF(BE621="","",IF(BE621&lt;2,"",IF(BE621=2,IF(AND(T621="",U621=""),"",MIN(T621,U621)),IF(U621="","",U621))))</f>
        <v/>
      </c>
      <c r="BI621" s="37" t="str">
        <f aca="false">IF(BH621="","",IF(OR(O621="",BH621=""),"",IF(BH621&lt;O621,"",ROUND(((NETWORKDAYS(O621,BH621,JoursFeries)-1)*(HFer-HOuv)+IF(NETWORKDAYS(BH621,BH621,JoursFeries),MEDIAN(MOD(BH621,1),HFer,HOuv),HFer)-IF(NETWORKDAYS(O621,O621,JoursFeries),MEDIAN(MOD(O621,1),HFer,HOuv),HOuv))*24,4))))</f>
        <v/>
      </c>
      <c r="BJ621" s="35" t="str">
        <f aca="false">IF(OR(BI621="",AR621=""),"",IF(BI621&lt;=INDEX(DELAI_ESC,AR621),1,0))</f>
        <v/>
      </c>
      <c r="BK621" s="38" t="str">
        <f aca="false">IF(AO621&lt;&gt;1,"",IF(AND(T621="",U621=""),"",MIN(T621,U621)))</f>
        <v/>
      </c>
      <c r="BL621" s="37" t="str">
        <f aca="false">IF(OR(BK621="",R621=""),"",IFERROR(ROUND(IF(OR(BK621="",R621=""),"",IF(R621&lt;BK621,"",ROUND(((NETWORKDAYS(BK621,R621,JoursFeries)-1)*(HFer-HOuv)+IF(NETWORKDAYS(R621,R621,JoursFeries),MEDIAN(MOD(R621,1),HFer,HOuv),HFer)-IF(NETWORKDAYS(BK621,BK621,JoursFeries),MEDIAN(MOD(BK621,1),HFer,HOuv),HOuv))*24,4)))/HJour,4),""))</f>
        <v/>
      </c>
      <c r="BM621" s="35" t="str">
        <f aca="false">IF(OR(AO621&lt;&gt;1,R621=""),"",IF(BD621=1,1,0))</f>
        <v/>
      </c>
      <c r="BN621" s="35" t="str">
        <f aca="false">IF(AO621&lt;&gt;1,"",IF(W621="Oui",1,0))</f>
        <v/>
      </c>
      <c r="BO621" s="35" t="str">
        <f aca="false">IF(AO621&lt;&gt;1,"",IF(X621&lt;&gt;"",1,0))</f>
        <v/>
      </c>
      <c r="BP621" s="35" t="str">
        <f aca="false">IF(AO621&lt;&gt;1,"",IF(Y621="Oui",1,0))</f>
        <v/>
      </c>
      <c r="BQ621" s="35" t="str">
        <f aca="true">IF(OR(AO621&lt;&gt;1,Z621&lt;&gt;"Oui"),"",IF(AB621="",IF(AND(AA621&lt;&gt;"",NOW()&gt;AA621),0,""),IF(AA621="","",IF(AB621&lt;=AA621,1,0))))</f>
        <v/>
      </c>
      <c r="BR621" s="38" t="str">
        <f aca="false">IF(OR(AO621&lt;&gt;1,K621&lt;&gt;"Oui",O621=""),"",IF(AC621="",O621+DORA_H_DET/24,IF(AC621-O621&lt;=DORA_H_DET/24,MIN(AC621+DORA_H_CLA/24,O621+DORA_H_DET/24),AC621+DORA_H_CLA/24)))</f>
        <v/>
      </c>
      <c r="BS621" s="35" t="str">
        <f aca="true">IF(BR621="","",IF(AD621="",IF(NOW()&gt;BR621,0,""),IF(AD621&lt;=BR621,1,0)))</f>
        <v/>
      </c>
      <c r="BT621" s="35" t="str">
        <f aca="true">IF(OR(BR621="",AD621=""),"",IF(AE621="",IF(NOW()&gt;AD621+DORA_H_INT/24,0,""),IF(AE621&lt;=AD621+DORA_H_INT/24,1,0)))</f>
        <v/>
      </c>
      <c r="BU621" s="35" t="str">
        <f aca="true">IF(OR(BR621="",AE621=""),"",IF(AF621="",IF(NOW()&gt;EDATE(AE621,DORA_M_FIN)+1,0,""),IF(AF621&lt;=EDATE(AE621,DORA_M_FIN),1,0)))</f>
        <v/>
      </c>
      <c r="BV621" s="35" t="str">
        <f aca="false">IF(BR621="","",IF(COUNT(BS621:BU621)=0,"",MIN(BS621:BU621)))</f>
        <v/>
      </c>
      <c r="BW621" s="40" t="str">
        <f aca="false">IF(AQ621&lt;&gt;1,"",IF(AND(AG621="",AH621=""),"",N(AG621)-N(AH621)))</f>
        <v/>
      </c>
      <c r="BX621" s="35" t="str">
        <f aca="true">IF(OR(AQ621&lt;&gt;1,AI621&lt;&gt;"Oui",AJ621=""),"",IF(AK621="",IF(NOW()&gt;AJ621+1,0,""),IF(AK621&lt;=AJ621,1,0)))</f>
        <v/>
      </c>
    </row>
    <row r="622" customFormat="false" ht="15" hidden="false" customHeight="false" outlineLevel="0" collapsed="false">
      <c r="B622" s="29"/>
      <c r="C622" s="29"/>
      <c r="D622" s="29"/>
      <c r="E622" s="29"/>
      <c r="F622" s="29"/>
      <c r="G622" s="29"/>
      <c r="H622" s="29"/>
      <c r="I622" s="29"/>
      <c r="J622" s="29"/>
      <c r="K622" s="29"/>
      <c r="L622" s="29"/>
      <c r="M622" s="29"/>
      <c r="N622" s="30"/>
      <c r="O622" s="30"/>
      <c r="P622" s="30"/>
      <c r="Q622" s="30"/>
      <c r="R622" s="30"/>
      <c r="S622" s="30"/>
      <c r="T622" s="30"/>
      <c r="U622" s="30"/>
      <c r="V622" s="31"/>
      <c r="W622" s="29"/>
      <c r="X622" s="29"/>
      <c r="Y622" s="29"/>
      <c r="Z622" s="29"/>
      <c r="AA622" s="30"/>
      <c r="AB622" s="30"/>
      <c r="AC622" s="30"/>
      <c r="AD622" s="30"/>
      <c r="AE622" s="30"/>
      <c r="AF622" s="32"/>
      <c r="AG622" s="33"/>
      <c r="AH622" s="33"/>
      <c r="AI622" s="29"/>
      <c r="AJ622" s="32"/>
      <c r="AK622" s="32"/>
      <c r="AL622" s="29"/>
      <c r="AN622" s="34" t="str">
        <f aca="false">IF($B622="","",IF(OR(C622="",D622="",E622="",G622="",I622="",J622="",L622="",O622="",P622=""),"Champ obligatoire manquant",IF(OR(AND(N622&lt;&gt;"",N622&gt;O622),O622&gt;P622,AND(Q622&lt;&gt;"",Q622&lt;P622),AND(R622&lt;&gt;"",R622&lt;P622),AND(S622&lt;&gt;"",S622&lt;R622),AND(S622&lt;&gt;"",R622=""),AND(T622&lt;&gt;"",T622&lt;O622),AND(U622&lt;&gt;"",U622&lt;O622)),"Chronologie incohérente",IF(AND(OR(L622="Résolu",L622="Clos"),R622=""),"Date de résolution manquante",IF(AND(L622="Clos",S622=""),"Date de clôture manquante",IF(AND(K622="Oui",AC622=""),"Classification DORA manquante","OK"))))))</f>
        <v/>
      </c>
      <c r="AO622" s="35" t="str">
        <f aca="false">IF($B622="","",IF(AND(C622="Incident",L622&lt;&gt;"Annulé"),1,0))</f>
        <v/>
      </c>
      <c r="AP622" s="35" t="str">
        <f aca="false">IF($B622="","",IF(AND(C622="Quasi-incident",L622&lt;&gt;"Annulé"),1,0))</f>
        <v/>
      </c>
      <c r="AQ622" s="35" t="str">
        <f aca="false">IF($B622="","",AO622+AP622)</f>
        <v/>
      </c>
      <c r="AR622" s="36" t="str">
        <f aca="false">IF(OR($B622="",J622=""),"",IFERROR(VALUE(LEFT(J622,1)),""))</f>
        <v/>
      </c>
      <c r="AS622" s="35" t="str">
        <f aca="false">IF(OR(AO622&lt;&gt;1,G622=""),"",IFERROR(IF(INDEX(L_SrcInterne,MATCH(G622,L_Sources,0))="Oui",1,0),""))</f>
        <v/>
      </c>
      <c r="AT622" s="37" t="str">
        <f aca="false">IF(AO622&lt;&gt;1,"",IFERROR(ROUND(IF(OR(N622="",O622=""),"",IF(O622&lt;N622,"",ROUND(((NETWORKDAYS(N622,O622,JoursFeries)-1)*(HFer-HOuv)+IF(NETWORKDAYS(O622,O622,JoursFeries),MEDIAN(MOD(O622,1),HFer,HOuv),HFer)-IF(NETWORKDAYS(N622,N622,JoursFeries),MEDIAN(MOD(N622,1),HFer,HOuv),HOuv))*24,4)))/HJour,4),""))</f>
        <v/>
      </c>
      <c r="AU622" s="37" t="str">
        <f aca="false">IF(AO622&lt;&gt;1,"",IF(OR(O622="",P622=""),"",IF(P622&lt;O622,"",ROUND(((NETWORKDAYS(O622,P622,JoursFeries)-1)*(HFer-HOuv)+IF(NETWORKDAYS(P622,P622,JoursFeries),MEDIAN(MOD(P622,1),HFer,HOuv),HFer)-IF(NETWORKDAYS(O622,O622,JoursFeries),MEDIAN(MOD(O622,1),HFer,HOuv),HOuv))*24,4))))</f>
        <v/>
      </c>
      <c r="AV622" s="37" t="str">
        <f aca="false">IF(AO622&lt;&gt;1,"",IF(OR(P622="",Q622=""),"",IF(Q622&lt;P622,"",ROUND(((NETWORKDAYS(P622,Q622,JoursFeries)-1)*(HFer-HOuv)+IF(NETWORKDAYS(Q622,Q622,JoursFeries),MEDIAN(MOD(Q622,1),HFer,HOuv),HFer)-IF(NETWORKDAYS(P622,P622,JoursFeries),MEDIAN(MOD(P622,1),HFer,HOuv),HOuv))*24,4))))</f>
        <v/>
      </c>
      <c r="AW622" s="37" t="str">
        <f aca="false">IF(AO622&lt;&gt;1,"",IFERROR(ROUND(IF(OR(P622="",R622=""),"",IF(R622&lt;P622,"",ROUND(((NETWORKDAYS(P622,R622,JoursFeries)-1)*(HFer-HOuv)+IF(NETWORKDAYS(R622,R622,JoursFeries),MEDIAN(MOD(R622,1),HFer,HOuv),HFer)-IF(NETWORKDAYS(P622,P622,JoursFeries),MEDIAN(MOD(P622,1),HFer,HOuv),HOuv))*24,4)))/HJour,4),""))</f>
        <v/>
      </c>
      <c r="AX622" s="37" t="str">
        <f aca="false">IF(AO622&lt;&gt;1,"",IFERROR(ROUND(IF(OR(P622="",S622=""),"",IF(S622&lt;P622,"",ROUND(((NETWORKDAYS(P622,S622,JoursFeries)-1)*(HFer-HOuv)+IF(NETWORKDAYS(S622,S622,JoursFeries),MEDIAN(MOD(S622,1),HFer,HOuv),HFer)-IF(NETWORKDAYS(P622,P622,JoursFeries),MEDIAN(MOD(P622,1),HFer,HOuv),HOuv))*24,4)))/HJour,4),""))</f>
        <v/>
      </c>
      <c r="AY622" s="36" t="str">
        <f aca="false">IF(OR(AO622&lt;&gt;1,AR622=""),"",INDEX(SLA_PEC,AR622))</f>
        <v/>
      </c>
      <c r="AZ622" s="35" t="str">
        <f aca="false">IF(OR(AV622="",AY622=""),"",IF(AV622&lt;=AY622,1,0))</f>
        <v/>
      </c>
      <c r="BA622" s="36" t="str">
        <f aca="false">IF(OR(AO622&lt;&gt;1,AR622=""),"",INDEX(SLA_RES,AR622))</f>
        <v/>
      </c>
      <c r="BB622" s="35" t="str">
        <f aca="false">IF(OR(AW622="",BA622=""),"",IF(AW622&lt;=BA622,1,0))</f>
        <v/>
      </c>
      <c r="BC622" s="38" t="str">
        <f aca="false">IF(OR(BA622="",P622=""),"",WORKDAY(INT(P622),BA622,JoursFeries)+MOD(P622,1))</f>
        <v/>
      </c>
      <c r="BD622" s="39" t="str">
        <f aca="false">IF(AO622&lt;&gt;1,"",IF(OR(AB622&lt;&gt;"",AD622&lt;&gt;""),4,IF(U622&lt;&gt;"",3,IF(T622&lt;&gt;"",2,1))))</f>
        <v/>
      </c>
      <c r="BE622" s="39" t="str">
        <f aca="false">IF(OR(AO622&lt;&gt;1,AR622=""),"",INDEX(NIV_REQ,AR622))</f>
        <v/>
      </c>
      <c r="BF622" s="39" t="str">
        <f aca="false">IF(BE622="","",MAX(BE622,IF(OR(K622="Oui",Z622="Oui"),4,1)))</f>
        <v/>
      </c>
      <c r="BG622" s="35" t="str">
        <f aca="false">IF(OR(BF622="",BD622=""),"",IF(BD622&gt;=BF622,1,0))</f>
        <v/>
      </c>
      <c r="BH622" s="38" t="str">
        <f aca="false">IF(BE622="","",IF(BE622&lt;2,"",IF(BE622=2,IF(AND(T622="",U622=""),"",MIN(T622,U622)),IF(U622="","",U622))))</f>
        <v/>
      </c>
      <c r="BI622" s="37" t="str">
        <f aca="false">IF(BH622="","",IF(OR(O622="",BH622=""),"",IF(BH622&lt;O622,"",ROUND(((NETWORKDAYS(O622,BH622,JoursFeries)-1)*(HFer-HOuv)+IF(NETWORKDAYS(BH622,BH622,JoursFeries),MEDIAN(MOD(BH622,1),HFer,HOuv),HFer)-IF(NETWORKDAYS(O622,O622,JoursFeries),MEDIAN(MOD(O622,1),HFer,HOuv),HOuv))*24,4))))</f>
        <v/>
      </c>
      <c r="BJ622" s="35" t="str">
        <f aca="false">IF(OR(BI622="",AR622=""),"",IF(BI622&lt;=INDEX(DELAI_ESC,AR622),1,0))</f>
        <v/>
      </c>
      <c r="BK622" s="38" t="str">
        <f aca="false">IF(AO622&lt;&gt;1,"",IF(AND(T622="",U622=""),"",MIN(T622,U622)))</f>
        <v/>
      </c>
      <c r="BL622" s="37" t="str">
        <f aca="false">IF(OR(BK622="",R622=""),"",IFERROR(ROUND(IF(OR(BK622="",R622=""),"",IF(R622&lt;BK622,"",ROUND(((NETWORKDAYS(BK622,R622,JoursFeries)-1)*(HFer-HOuv)+IF(NETWORKDAYS(R622,R622,JoursFeries),MEDIAN(MOD(R622,1),HFer,HOuv),HFer)-IF(NETWORKDAYS(BK622,BK622,JoursFeries),MEDIAN(MOD(BK622,1),HFer,HOuv),HOuv))*24,4)))/HJour,4),""))</f>
        <v/>
      </c>
      <c r="BM622" s="35" t="str">
        <f aca="false">IF(OR(AO622&lt;&gt;1,R622=""),"",IF(BD622=1,1,0))</f>
        <v/>
      </c>
      <c r="BN622" s="35" t="str">
        <f aca="false">IF(AO622&lt;&gt;1,"",IF(W622="Oui",1,0))</f>
        <v/>
      </c>
      <c r="BO622" s="35" t="str">
        <f aca="false">IF(AO622&lt;&gt;1,"",IF(X622&lt;&gt;"",1,0))</f>
        <v/>
      </c>
      <c r="BP622" s="35" t="str">
        <f aca="false">IF(AO622&lt;&gt;1,"",IF(Y622="Oui",1,0))</f>
        <v/>
      </c>
      <c r="BQ622" s="35" t="str">
        <f aca="true">IF(OR(AO622&lt;&gt;1,Z622&lt;&gt;"Oui"),"",IF(AB622="",IF(AND(AA622&lt;&gt;"",NOW()&gt;AA622),0,""),IF(AA622="","",IF(AB622&lt;=AA622,1,0))))</f>
        <v/>
      </c>
      <c r="BR622" s="38" t="str">
        <f aca="false">IF(OR(AO622&lt;&gt;1,K622&lt;&gt;"Oui",O622=""),"",IF(AC622="",O622+DORA_H_DET/24,IF(AC622-O622&lt;=DORA_H_DET/24,MIN(AC622+DORA_H_CLA/24,O622+DORA_H_DET/24),AC622+DORA_H_CLA/24)))</f>
        <v/>
      </c>
      <c r="BS622" s="35" t="str">
        <f aca="true">IF(BR622="","",IF(AD622="",IF(NOW()&gt;BR622,0,""),IF(AD622&lt;=BR622,1,0)))</f>
        <v/>
      </c>
      <c r="BT622" s="35" t="str">
        <f aca="true">IF(OR(BR622="",AD622=""),"",IF(AE622="",IF(NOW()&gt;AD622+DORA_H_INT/24,0,""),IF(AE622&lt;=AD622+DORA_H_INT/24,1,0)))</f>
        <v/>
      </c>
      <c r="BU622" s="35" t="str">
        <f aca="true">IF(OR(BR622="",AE622=""),"",IF(AF622="",IF(NOW()&gt;EDATE(AE622,DORA_M_FIN)+1,0,""),IF(AF622&lt;=EDATE(AE622,DORA_M_FIN),1,0)))</f>
        <v/>
      </c>
      <c r="BV622" s="35" t="str">
        <f aca="false">IF(BR622="","",IF(COUNT(BS622:BU622)=0,"",MIN(BS622:BU622)))</f>
        <v/>
      </c>
      <c r="BW622" s="40" t="str">
        <f aca="false">IF(AQ622&lt;&gt;1,"",IF(AND(AG622="",AH622=""),"",N(AG622)-N(AH622)))</f>
        <v/>
      </c>
      <c r="BX622" s="35" t="str">
        <f aca="true">IF(OR(AQ622&lt;&gt;1,AI622&lt;&gt;"Oui",AJ622=""),"",IF(AK622="",IF(NOW()&gt;AJ622+1,0,""),IF(AK622&lt;=AJ622,1,0)))</f>
        <v/>
      </c>
    </row>
    <row r="623" customFormat="false" ht="15" hidden="false" customHeight="false" outlineLevel="0" collapsed="false">
      <c r="B623" s="29"/>
      <c r="C623" s="29"/>
      <c r="D623" s="29"/>
      <c r="E623" s="29"/>
      <c r="F623" s="29"/>
      <c r="G623" s="29"/>
      <c r="H623" s="29"/>
      <c r="I623" s="29"/>
      <c r="J623" s="29"/>
      <c r="K623" s="29"/>
      <c r="L623" s="29"/>
      <c r="M623" s="29"/>
      <c r="N623" s="30"/>
      <c r="O623" s="30"/>
      <c r="P623" s="30"/>
      <c r="Q623" s="30"/>
      <c r="R623" s="30"/>
      <c r="S623" s="30"/>
      <c r="T623" s="30"/>
      <c r="U623" s="30"/>
      <c r="V623" s="31"/>
      <c r="W623" s="29"/>
      <c r="X623" s="29"/>
      <c r="Y623" s="29"/>
      <c r="Z623" s="29"/>
      <c r="AA623" s="30"/>
      <c r="AB623" s="30"/>
      <c r="AC623" s="30"/>
      <c r="AD623" s="30"/>
      <c r="AE623" s="30"/>
      <c r="AF623" s="32"/>
      <c r="AG623" s="33"/>
      <c r="AH623" s="33"/>
      <c r="AI623" s="29"/>
      <c r="AJ623" s="32"/>
      <c r="AK623" s="32"/>
      <c r="AL623" s="29"/>
      <c r="AN623" s="34" t="str">
        <f aca="false">IF($B623="","",IF(OR(C623="",D623="",E623="",G623="",I623="",J623="",L623="",O623="",P623=""),"Champ obligatoire manquant",IF(OR(AND(N623&lt;&gt;"",N623&gt;O623),O623&gt;P623,AND(Q623&lt;&gt;"",Q623&lt;P623),AND(R623&lt;&gt;"",R623&lt;P623),AND(S623&lt;&gt;"",S623&lt;R623),AND(S623&lt;&gt;"",R623=""),AND(T623&lt;&gt;"",T623&lt;O623),AND(U623&lt;&gt;"",U623&lt;O623)),"Chronologie incohérente",IF(AND(OR(L623="Résolu",L623="Clos"),R623=""),"Date de résolution manquante",IF(AND(L623="Clos",S623=""),"Date de clôture manquante",IF(AND(K623="Oui",AC623=""),"Classification DORA manquante","OK"))))))</f>
        <v/>
      </c>
      <c r="AO623" s="35" t="str">
        <f aca="false">IF($B623="","",IF(AND(C623="Incident",L623&lt;&gt;"Annulé"),1,0))</f>
        <v/>
      </c>
      <c r="AP623" s="35" t="str">
        <f aca="false">IF($B623="","",IF(AND(C623="Quasi-incident",L623&lt;&gt;"Annulé"),1,0))</f>
        <v/>
      </c>
      <c r="AQ623" s="35" t="str">
        <f aca="false">IF($B623="","",AO623+AP623)</f>
        <v/>
      </c>
      <c r="AR623" s="36" t="str">
        <f aca="false">IF(OR($B623="",J623=""),"",IFERROR(VALUE(LEFT(J623,1)),""))</f>
        <v/>
      </c>
      <c r="AS623" s="35" t="str">
        <f aca="false">IF(OR(AO623&lt;&gt;1,G623=""),"",IFERROR(IF(INDEX(L_SrcInterne,MATCH(G623,L_Sources,0))="Oui",1,0),""))</f>
        <v/>
      </c>
      <c r="AT623" s="37" t="str">
        <f aca="false">IF(AO623&lt;&gt;1,"",IFERROR(ROUND(IF(OR(N623="",O623=""),"",IF(O623&lt;N623,"",ROUND(((NETWORKDAYS(N623,O623,JoursFeries)-1)*(HFer-HOuv)+IF(NETWORKDAYS(O623,O623,JoursFeries),MEDIAN(MOD(O623,1),HFer,HOuv),HFer)-IF(NETWORKDAYS(N623,N623,JoursFeries),MEDIAN(MOD(N623,1),HFer,HOuv),HOuv))*24,4)))/HJour,4),""))</f>
        <v/>
      </c>
      <c r="AU623" s="37" t="str">
        <f aca="false">IF(AO623&lt;&gt;1,"",IF(OR(O623="",P623=""),"",IF(P623&lt;O623,"",ROUND(((NETWORKDAYS(O623,P623,JoursFeries)-1)*(HFer-HOuv)+IF(NETWORKDAYS(P623,P623,JoursFeries),MEDIAN(MOD(P623,1),HFer,HOuv),HFer)-IF(NETWORKDAYS(O623,O623,JoursFeries),MEDIAN(MOD(O623,1),HFer,HOuv),HOuv))*24,4))))</f>
        <v/>
      </c>
      <c r="AV623" s="37" t="str">
        <f aca="false">IF(AO623&lt;&gt;1,"",IF(OR(P623="",Q623=""),"",IF(Q623&lt;P623,"",ROUND(((NETWORKDAYS(P623,Q623,JoursFeries)-1)*(HFer-HOuv)+IF(NETWORKDAYS(Q623,Q623,JoursFeries),MEDIAN(MOD(Q623,1),HFer,HOuv),HFer)-IF(NETWORKDAYS(P623,P623,JoursFeries),MEDIAN(MOD(P623,1),HFer,HOuv),HOuv))*24,4))))</f>
        <v/>
      </c>
      <c r="AW623" s="37" t="str">
        <f aca="false">IF(AO623&lt;&gt;1,"",IFERROR(ROUND(IF(OR(P623="",R623=""),"",IF(R623&lt;P623,"",ROUND(((NETWORKDAYS(P623,R623,JoursFeries)-1)*(HFer-HOuv)+IF(NETWORKDAYS(R623,R623,JoursFeries),MEDIAN(MOD(R623,1),HFer,HOuv),HFer)-IF(NETWORKDAYS(P623,P623,JoursFeries),MEDIAN(MOD(P623,1),HFer,HOuv),HOuv))*24,4)))/HJour,4),""))</f>
        <v/>
      </c>
      <c r="AX623" s="37" t="str">
        <f aca="false">IF(AO623&lt;&gt;1,"",IFERROR(ROUND(IF(OR(P623="",S623=""),"",IF(S623&lt;P623,"",ROUND(((NETWORKDAYS(P623,S623,JoursFeries)-1)*(HFer-HOuv)+IF(NETWORKDAYS(S623,S623,JoursFeries),MEDIAN(MOD(S623,1),HFer,HOuv),HFer)-IF(NETWORKDAYS(P623,P623,JoursFeries),MEDIAN(MOD(P623,1),HFer,HOuv),HOuv))*24,4)))/HJour,4),""))</f>
        <v/>
      </c>
      <c r="AY623" s="36" t="str">
        <f aca="false">IF(OR(AO623&lt;&gt;1,AR623=""),"",INDEX(SLA_PEC,AR623))</f>
        <v/>
      </c>
      <c r="AZ623" s="35" t="str">
        <f aca="false">IF(OR(AV623="",AY623=""),"",IF(AV623&lt;=AY623,1,0))</f>
        <v/>
      </c>
      <c r="BA623" s="36" t="str">
        <f aca="false">IF(OR(AO623&lt;&gt;1,AR623=""),"",INDEX(SLA_RES,AR623))</f>
        <v/>
      </c>
      <c r="BB623" s="35" t="str">
        <f aca="false">IF(OR(AW623="",BA623=""),"",IF(AW623&lt;=BA623,1,0))</f>
        <v/>
      </c>
      <c r="BC623" s="38" t="str">
        <f aca="false">IF(OR(BA623="",P623=""),"",WORKDAY(INT(P623),BA623,JoursFeries)+MOD(P623,1))</f>
        <v/>
      </c>
      <c r="BD623" s="39" t="str">
        <f aca="false">IF(AO623&lt;&gt;1,"",IF(OR(AB623&lt;&gt;"",AD623&lt;&gt;""),4,IF(U623&lt;&gt;"",3,IF(T623&lt;&gt;"",2,1))))</f>
        <v/>
      </c>
      <c r="BE623" s="39" t="str">
        <f aca="false">IF(OR(AO623&lt;&gt;1,AR623=""),"",INDEX(NIV_REQ,AR623))</f>
        <v/>
      </c>
      <c r="BF623" s="39" t="str">
        <f aca="false">IF(BE623="","",MAX(BE623,IF(OR(K623="Oui",Z623="Oui"),4,1)))</f>
        <v/>
      </c>
      <c r="BG623" s="35" t="str">
        <f aca="false">IF(OR(BF623="",BD623=""),"",IF(BD623&gt;=BF623,1,0))</f>
        <v/>
      </c>
      <c r="BH623" s="38" t="str">
        <f aca="false">IF(BE623="","",IF(BE623&lt;2,"",IF(BE623=2,IF(AND(T623="",U623=""),"",MIN(T623,U623)),IF(U623="","",U623))))</f>
        <v/>
      </c>
      <c r="BI623" s="37" t="str">
        <f aca="false">IF(BH623="","",IF(OR(O623="",BH623=""),"",IF(BH623&lt;O623,"",ROUND(((NETWORKDAYS(O623,BH623,JoursFeries)-1)*(HFer-HOuv)+IF(NETWORKDAYS(BH623,BH623,JoursFeries),MEDIAN(MOD(BH623,1),HFer,HOuv),HFer)-IF(NETWORKDAYS(O623,O623,JoursFeries),MEDIAN(MOD(O623,1),HFer,HOuv),HOuv))*24,4))))</f>
        <v/>
      </c>
      <c r="BJ623" s="35" t="str">
        <f aca="false">IF(OR(BI623="",AR623=""),"",IF(BI623&lt;=INDEX(DELAI_ESC,AR623),1,0))</f>
        <v/>
      </c>
      <c r="BK623" s="38" t="str">
        <f aca="false">IF(AO623&lt;&gt;1,"",IF(AND(T623="",U623=""),"",MIN(T623,U623)))</f>
        <v/>
      </c>
      <c r="BL623" s="37" t="str">
        <f aca="false">IF(OR(BK623="",R623=""),"",IFERROR(ROUND(IF(OR(BK623="",R623=""),"",IF(R623&lt;BK623,"",ROUND(((NETWORKDAYS(BK623,R623,JoursFeries)-1)*(HFer-HOuv)+IF(NETWORKDAYS(R623,R623,JoursFeries),MEDIAN(MOD(R623,1),HFer,HOuv),HFer)-IF(NETWORKDAYS(BK623,BK623,JoursFeries),MEDIAN(MOD(BK623,1),HFer,HOuv),HOuv))*24,4)))/HJour,4),""))</f>
        <v/>
      </c>
      <c r="BM623" s="35" t="str">
        <f aca="false">IF(OR(AO623&lt;&gt;1,R623=""),"",IF(BD623=1,1,0))</f>
        <v/>
      </c>
      <c r="BN623" s="35" t="str">
        <f aca="false">IF(AO623&lt;&gt;1,"",IF(W623="Oui",1,0))</f>
        <v/>
      </c>
      <c r="BO623" s="35" t="str">
        <f aca="false">IF(AO623&lt;&gt;1,"",IF(X623&lt;&gt;"",1,0))</f>
        <v/>
      </c>
      <c r="BP623" s="35" t="str">
        <f aca="false">IF(AO623&lt;&gt;1,"",IF(Y623="Oui",1,0))</f>
        <v/>
      </c>
      <c r="BQ623" s="35" t="str">
        <f aca="true">IF(OR(AO623&lt;&gt;1,Z623&lt;&gt;"Oui"),"",IF(AB623="",IF(AND(AA623&lt;&gt;"",NOW()&gt;AA623),0,""),IF(AA623="","",IF(AB623&lt;=AA623,1,0))))</f>
        <v/>
      </c>
      <c r="BR623" s="38" t="str">
        <f aca="false">IF(OR(AO623&lt;&gt;1,K623&lt;&gt;"Oui",O623=""),"",IF(AC623="",O623+DORA_H_DET/24,IF(AC623-O623&lt;=DORA_H_DET/24,MIN(AC623+DORA_H_CLA/24,O623+DORA_H_DET/24),AC623+DORA_H_CLA/24)))</f>
        <v/>
      </c>
      <c r="BS623" s="35" t="str">
        <f aca="true">IF(BR623="","",IF(AD623="",IF(NOW()&gt;BR623,0,""),IF(AD623&lt;=BR623,1,0)))</f>
        <v/>
      </c>
      <c r="BT623" s="35" t="str">
        <f aca="true">IF(OR(BR623="",AD623=""),"",IF(AE623="",IF(NOW()&gt;AD623+DORA_H_INT/24,0,""),IF(AE623&lt;=AD623+DORA_H_INT/24,1,0)))</f>
        <v/>
      </c>
      <c r="BU623" s="35" t="str">
        <f aca="true">IF(OR(BR623="",AE623=""),"",IF(AF623="",IF(NOW()&gt;EDATE(AE623,DORA_M_FIN)+1,0,""),IF(AF623&lt;=EDATE(AE623,DORA_M_FIN),1,0)))</f>
        <v/>
      </c>
      <c r="BV623" s="35" t="str">
        <f aca="false">IF(BR623="","",IF(COUNT(BS623:BU623)=0,"",MIN(BS623:BU623)))</f>
        <v/>
      </c>
      <c r="BW623" s="40" t="str">
        <f aca="false">IF(AQ623&lt;&gt;1,"",IF(AND(AG623="",AH623=""),"",N(AG623)-N(AH623)))</f>
        <v/>
      </c>
      <c r="BX623" s="35" t="str">
        <f aca="true">IF(OR(AQ623&lt;&gt;1,AI623&lt;&gt;"Oui",AJ623=""),"",IF(AK623="",IF(NOW()&gt;AJ623+1,0,""),IF(AK623&lt;=AJ623,1,0)))</f>
        <v/>
      </c>
    </row>
    <row r="624" customFormat="false" ht="15" hidden="false" customHeight="false" outlineLevel="0" collapsed="false">
      <c r="B624" s="29"/>
      <c r="C624" s="29"/>
      <c r="D624" s="29"/>
      <c r="E624" s="29"/>
      <c r="F624" s="29"/>
      <c r="G624" s="29"/>
      <c r="H624" s="29"/>
      <c r="I624" s="29"/>
      <c r="J624" s="29"/>
      <c r="K624" s="29"/>
      <c r="L624" s="29"/>
      <c r="M624" s="29"/>
      <c r="N624" s="30"/>
      <c r="O624" s="30"/>
      <c r="P624" s="30"/>
      <c r="Q624" s="30"/>
      <c r="R624" s="30"/>
      <c r="S624" s="30"/>
      <c r="T624" s="30"/>
      <c r="U624" s="30"/>
      <c r="V624" s="31"/>
      <c r="W624" s="29"/>
      <c r="X624" s="29"/>
      <c r="Y624" s="29"/>
      <c r="Z624" s="29"/>
      <c r="AA624" s="30"/>
      <c r="AB624" s="30"/>
      <c r="AC624" s="30"/>
      <c r="AD624" s="30"/>
      <c r="AE624" s="30"/>
      <c r="AF624" s="32"/>
      <c r="AG624" s="33"/>
      <c r="AH624" s="33"/>
      <c r="AI624" s="29"/>
      <c r="AJ624" s="32"/>
      <c r="AK624" s="32"/>
      <c r="AL624" s="29"/>
      <c r="AN624" s="34" t="str">
        <f aca="false">IF($B624="","",IF(OR(C624="",D624="",E624="",G624="",I624="",J624="",L624="",O624="",P624=""),"Champ obligatoire manquant",IF(OR(AND(N624&lt;&gt;"",N624&gt;O624),O624&gt;P624,AND(Q624&lt;&gt;"",Q624&lt;P624),AND(R624&lt;&gt;"",R624&lt;P624),AND(S624&lt;&gt;"",S624&lt;R624),AND(S624&lt;&gt;"",R624=""),AND(T624&lt;&gt;"",T624&lt;O624),AND(U624&lt;&gt;"",U624&lt;O624)),"Chronologie incohérente",IF(AND(OR(L624="Résolu",L624="Clos"),R624=""),"Date de résolution manquante",IF(AND(L624="Clos",S624=""),"Date de clôture manquante",IF(AND(K624="Oui",AC624=""),"Classification DORA manquante","OK"))))))</f>
        <v/>
      </c>
      <c r="AO624" s="35" t="str">
        <f aca="false">IF($B624="","",IF(AND(C624="Incident",L624&lt;&gt;"Annulé"),1,0))</f>
        <v/>
      </c>
      <c r="AP624" s="35" t="str">
        <f aca="false">IF($B624="","",IF(AND(C624="Quasi-incident",L624&lt;&gt;"Annulé"),1,0))</f>
        <v/>
      </c>
      <c r="AQ624" s="35" t="str">
        <f aca="false">IF($B624="","",AO624+AP624)</f>
        <v/>
      </c>
      <c r="AR624" s="36" t="str">
        <f aca="false">IF(OR($B624="",J624=""),"",IFERROR(VALUE(LEFT(J624,1)),""))</f>
        <v/>
      </c>
      <c r="AS624" s="35" t="str">
        <f aca="false">IF(OR(AO624&lt;&gt;1,G624=""),"",IFERROR(IF(INDEX(L_SrcInterne,MATCH(G624,L_Sources,0))="Oui",1,0),""))</f>
        <v/>
      </c>
      <c r="AT624" s="37" t="str">
        <f aca="false">IF(AO624&lt;&gt;1,"",IFERROR(ROUND(IF(OR(N624="",O624=""),"",IF(O624&lt;N624,"",ROUND(((NETWORKDAYS(N624,O624,JoursFeries)-1)*(HFer-HOuv)+IF(NETWORKDAYS(O624,O624,JoursFeries),MEDIAN(MOD(O624,1),HFer,HOuv),HFer)-IF(NETWORKDAYS(N624,N624,JoursFeries),MEDIAN(MOD(N624,1),HFer,HOuv),HOuv))*24,4)))/HJour,4),""))</f>
        <v/>
      </c>
      <c r="AU624" s="37" t="str">
        <f aca="false">IF(AO624&lt;&gt;1,"",IF(OR(O624="",P624=""),"",IF(P624&lt;O624,"",ROUND(((NETWORKDAYS(O624,P624,JoursFeries)-1)*(HFer-HOuv)+IF(NETWORKDAYS(P624,P624,JoursFeries),MEDIAN(MOD(P624,1),HFer,HOuv),HFer)-IF(NETWORKDAYS(O624,O624,JoursFeries),MEDIAN(MOD(O624,1),HFer,HOuv),HOuv))*24,4))))</f>
        <v/>
      </c>
      <c r="AV624" s="37" t="str">
        <f aca="false">IF(AO624&lt;&gt;1,"",IF(OR(P624="",Q624=""),"",IF(Q624&lt;P624,"",ROUND(((NETWORKDAYS(P624,Q624,JoursFeries)-1)*(HFer-HOuv)+IF(NETWORKDAYS(Q624,Q624,JoursFeries),MEDIAN(MOD(Q624,1),HFer,HOuv),HFer)-IF(NETWORKDAYS(P624,P624,JoursFeries),MEDIAN(MOD(P624,1),HFer,HOuv),HOuv))*24,4))))</f>
        <v/>
      </c>
      <c r="AW624" s="37" t="str">
        <f aca="false">IF(AO624&lt;&gt;1,"",IFERROR(ROUND(IF(OR(P624="",R624=""),"",IF(R624&lt;P624,"",ROUND(((NETWORKDAYS(P624,R624,JoursFeries)-1)*(HFer-HOuv)+IF(NETWORKDAYS(R624,R624,JoursFeries),MEDIAN(MOD(R624,1),HFer,HOuv),HFer)-IF(NETWORKDAYS(P624,P624,JoursFeries),MEDIAN(MOD(P624,1),HFer,HOuv),HOuv))*24,4)))/HJour,4),""))</f>
        <v/>
      </c>
      <c r="AX624" s="37" t="str">
        <f aca="false">IF(AO624&lt;&gt;1,"",IFERROR(ROUND(IF(OR(P624="",S624=""),"",IF(S624&lt;P624,"",ROUND(((NETWORKDAYS(P624,S624,JoursFeries)-1)*(HFer-HOuv)+IF(NETWORKDAYS(S624,S624,JoursFeries),MEDIAN(MOD(S624,1),HFer,HOuv),HFer)-IF(NETWORKDAYS(P624,P624,JoursFeries),MEDIAN(MOD(P624,1),HFer,HOuv),HOuv))*24,4)))/HJour,4),""))</f>
        <v/>
      </c>
      <c r="AY624" s="36" t="str">
        <f aca="false">IF(OR(AO624&lt;&gt;1,AR624=""),"",INDEX(SLA_PEC,AR624))</f>
        <v/>
      </c>
      <c r="AZ624" s="35" t="str">
        <f aca="false">IF(OR(AV624="",AY624=""),"",IF(AV624&lt;=AY624,1,0))</f>
        <v/>
      </c>
      <c r="BA624" s="36" t="str">
        <f aca="false">IF(OR(AO624&lt;&gt;1,AR624=""),"",INDEX(SLA_RES,AR624))</f>
        <v/>
      </c>
      <c r="BB624" s="35" t="str">
        <f aca="false">IF(OR(AW624="",BA624=""),"",IF(AW624&lt;=BA624,1,0))</f>
        <v/>
      </c>
      <c r="BC624" s="38" t="str">
        <f aca="false">IF(OR(BA624="",P624=""),"",WORKDAY(INT(P624),BA624,JoursFeries)+MOD(P624,1))</f>
        <v/>
      </c>
      <c r="BD624" s="39" t="str">
        <f aca="false">IF(AO624&lt;&gt;1,"",IF(OR(AB624&lt;&gt;"",AD624&lt;&gt;""),4,IF(U624&lt;&gt;"",3,IF(T624&lt;&gt;"",2,1))))</f>
        <v/>
      </c>
      <c r="BE624" s="39" t="str">
        <f aca="false">IF(OR(AO624&lt;&gt;1,AR624=""),"",INDEX(NIV_REQ,AR624))</f>
        <v/>
      </c>
      <c r="BF624" s="39" t="str">
        <f aca="false">IF(BE624="","",MAX(BE624,IF(OR(K624="Oui",Z624="Oui"),4,1)))</f>
        <v/>
      </c>
      <c r="BG624" s="35" t="str">
        <f aca="false">IF(OR(BF624="",BD624=""),"",IF(BD624&gt;=BF624,1,0))</f>
        <v/>
      </c>
      <c r="BH624" s="38" t="str">
        <f aca="false">IF(BE624="","",IF(BE624&lt;2,"",IF(BE624=2,IF(AND(T624="",U624=""),"",MIN(T624,U624)),IF(U624="","",U624))))</f>
        <v/>
      </c>
      <c r="BI624" s="37" t="str">
        <f aca="false">IF(BH624="","",IF(OR(O624="",BH624=""),"",IF(BH624&lt;O624,"",ROUND(((NETWORKDAYS(O624,BH624,JoursFeries)-1)*(HFer-HOuv)+IF(NETWORKDAYS(BH624,BH624,JoursFeries),MEDIAN(MOD(BH624,1),HFer,HOuv),HFer)-IF(NETWORKDAYS(O624,O624,JoursFeries),MEDIAN(MOD(O624,1),HFer,HOuv),HOuv))*24,4))))</f>
        <v/>
      </c>
      <c r="BJ624" s="35" t="str">
        <f aca="false">IF(OR(BI624="",AR624=""),"",IF(BI624&lt;=INDEX(DELAI_ESC,AR624),1,0))</f>
        <v/>
      </c>
      <c r="BK624" s="38" t="str">
        <f aca="false">IF(AO624&lt;&gt;1,"",IF(AND(T624="",U624=""),"",MIN(T624,U624)))</f>
        <v/>
      </c>
      <c r="BL624" s="37" t="str">
        <f aca="false">IF(OR(BK624="",R624=""),"",IFERROR(ROUND(IF(OR(BK624="",R624=""),"",IF(R624&lt;BK624,"",ROUND(((NETWORKDAYS(BK624,R624,JoursFeries)-1)*(HFer-HOuv)+IF(NETWORKDAYS(R624,R624,JoursFeries),MEDIAN(MOD(R624,1),HFer,HOuv),HFer)-IF(NETWORKDAYS(BK624,BK624,JoursFeries),MEDIAN(MOD(BK624,1),HFer,HOuv),HOuv))*24,4)))/HJour,4),""))</f>
        <v/>
      </c>
      <c r="BM624" s="35" t="str">
        <f aca="false">IF(OR(AO624&lt;&gt;1,R624=""),"",IF(BD624=1,1,0))</f>
        <v/>
      </c>
      <c r="BN624" s="35" t="str">
        <f aca="false">IF(AO624&lt;&gt;1,"",IF(W624="Oui",1,0))</f>
        <v/>
      </c>
      <c r="BO624" s="35" t="str">
        <f aca="false">IF(AO624&lt;&gt;1,"",IF(X624&lt;&gt;"",1,0))</f>
        <v/>
      </c>
      <c r="BP624" s="35" t="str">
        <f aca="false">IF(AO624&lt;&gt;1,"",IF(Y624="Oui",1,0))</f>
        <v/>
      </c>
      <c r="BQ624" s="35" t="str">
        <f aca="true">IF(OR(AO624&lt;&gt;1,Z624&lt;&gt;"Oui"),"",IF(AB624="",IF(AND(AA624&lt;&gt;"",NOW()&gt;AA624),0,""),IF(AA624="","",IF(AB624&lt;=AA624,1,0))))</f>
        <v/>
      </c>
      <c r="BR624" s="38" t="str">
        <f aca="false">IF(OR(AO624&lt;&gt;1,K624&lt;&gt;"Oui",O624=""),"",IF(AC624="",O624+DORA_H_DET/24,IF(AC624-O624&lt;=DORA_H_DET/24,MIN(AC624+DORA_H_CLA/24,O624+DORA_H_DET/24),AC624+DORA_H_CLA/24)))</f>
        <v/>
      </c>
      <c r="BS624" s="35" t="str">
        <f aca="true">IF(BR624="","",IF(AD624="",IF(NOW()&gt;BR624,0,""),IF(AD624&lt;=BR624,1,0)))</f>
        <v/>
      </c>
      <c r="BT624" s="35" t="str">
        <f aca="true">IF(OR(BR624="",AD624=""),"",IF(AE624="",IF(NOW()&gt;AD624+DORA_H_INT/24,0,""),IF(AE624&lt;=AD624+DORA_H_INT/24,1,0)))</f>
        <v/>
      </c>
      <c r="BU624" s="35" t="str">
        <f aca="true">IF(OR(BR624="",AE624=""),"",IF(AF624="",IF(NOW()&gt;EDATE(AE624,DORA_M_FIN)+1,0,""),IF(AF624&lt;=EDATE(AE624,DORA_M_FIN),1,0)))</f>
        <v/>
      </c>
      <c r="BV624" s="35" t="str">
        <f aca="false">IF(BR624="","",IF(COUNT(BS624:BU624)=0,"",MIN(BS624:BU624)))</f>
        <v/>
      </c>
      <c r="BW624" s="40" t="str">
        <f aca="false">IF(AQ624&lt;&gt;1,"",IF(AND(AG624="",AH624=""),"",N(AG624)-N(AH624)))</f>
        <v/>
      </c>
      <c r="BX624" s="35" t="str">
        <f aca="true">IF(OR(AQ624&lt;&gt;1,AI624&lt;&gt;"Oui",AJ624=""),"",IF(AK624="",IF(NOW()&gt;AJ624+1,0,""),IF(AK624&lt;=AJ624,1,0)))</f>
        <v/>
      </c>
    </row>
    <row r="625" customFormat="false" ht="15" hidden="false" customHeight="false" outlineLevel="0" collapsed="false">
      <c r="B625" s="29"/>
      <c r="C625" s="29"/>
      <c r="D625" s="29"/>
      <c r="E625" s="29"/>
      <c r="F625" s="29"/>
      <c r="G625" s="29"/>
      <c r="H625" s="29"/>
      <c r="I625" s="29"/>
      <c r="J625" s="29"/>
      <c r="K625" s="29"/>
      <c r="L625" s="29"/>
      <c r="M625" s="29"/>
      <c r="N625" s="30"/>
      <c r="O625" s="30"/>
      <c r="P625" s="30"/>
      <c r="Q625" s="30"/>
      <c r="R625" s="30"/>
      <c r="S625" s="30"/>
      <c r="T625" s="30"/>
      <c r="U625" s="30"/>
      <c r="V625" s="31"/>
      <c r="W625" s="29"/>
      <c r="X625" s="29"/>
      <c r="Y625" s="29"/>
      <c r="Z625" s="29"/>
      <c r="AA625" s="30"/>
      <c r="AB625" s="30"/>
      <c r="AC625" s="30"/>
      <c r="AD625" s="30"/>
      <c r="AE625" s="30"/>
      <c r="AF625" s="32"/>
      <c r="AG625" s="33"/>
      <c r="AH625" s="33"/>
      <c r="AI625" s="29"/>
      <c r="AJ625" s="32"/>
      <c r="AK625" s="32"/>
      <c r="AL625" s="29"/>
      <c r="AN625" s="34" t="str">
        <f aca="false">IF($B625="","",IF(OR(C625="",D625="",E625="",G625="",I625="",J625="",L625="",O625="",P625=""),"Champ obligatoire manquant",IF(OR(AND(N625&lt;&gt;"",N625&gt;O625),O625&gt;P625,AND(Q625&lt;&gt;"",Q625&lt;P625),AND(R625&lt;&gt;"",R625&lt;P625),AND(S625&lt;&gt;"",S625&lt;R625),AND(S625&lt;&gt;"",R625=""),AND(T625&lt;&gt;"",T625&lt;O625),AND(U625&lt;&gt;"",U625&lt;O625)),"Chronologie incohérente",IF(AND(OR(L625="Résolu",L625="Clos"),R625=""),"Date de résolution manquante",IF(AND(L625="Clos",S625=""),"Date de clôture manquante",IF(AND(K625="Oui",AC625=""),"Classification DORA manquante","OK"))))))</f>
        <v/>
      </c>
      <c r="AO625" s="35" t="str">
        <f aca="false">IF($B625="","",IF(AND(C625="Incident",L625&lt;&gt;"Annulé"),1,0))</f>
        <v/>
      </c>
      <c r="AP625" s="35" t="str">
        <f aca="false">IF($B625="","",IF(AND(C625="Quasi-incident",L625&lt;&gt;"Annulé"),1,0))</f>
        <v/>
      </c>
      <c r="AQ625" s="35" t="str">
        <f aca="false">IF($B625="","",AO625+AP625)</f>
        <v/>
      </c>
      <c r="AR625" s="36" t="str">
        <f aca="false">IF(OR($B625="",J625=""),"",IFERROR(VALUE(LEFT(J625,1)),""))</f>
        <v/>
      </c>
      <c r="AS625" s="35" t="str">
        <f aca="false">IF(OR(AO625&lt;&gt;1,G625=""),"",IFERROR(IF(INDEX(L_SrcInterne,MATCH(G625,L_Sources,0))="Oui",1,0),""))</f>
        <v/>
      </c>
      <c r="AT625" s="37" t="str">
        <f aca="false">IF(AO625&lt;&gt;1,"",IFERROR(ROUND(IF(OR(N625="",O625=""),"",IF(O625&lt;N625,"",ROUND(((NETWORKDAYS(N625,O625,JoursFeries)-1)*(HFer-HOuv)+IF(NETWORKDAYS(O625,O625,JoursFeries),MEDIAN(MOD(O625,1),HFer,HOuv),HFer)-IF(NETWORKDAYS(N625,N625,JoursFeries),MEDIAN(MOD(N625,1),HFer,HOuv),HOuv))*24,4)))/HJour,4),""))</f>
        <v/>
      </c>
      <c r="AU625" s="37" t="str">
        <f aca="false">IF(AO625&lt;&gt;1,"",IF(OR(O625="",P625=""),"",IF(P625&lt;O625,"",ROUND(((NETWORKDAYS(O625,P625,JoursFeries)-1)*(HFer-HOuv)+IF(NETWORKDAYS(P625,P625,JoursFeries),MEDIAN(MOD(P625,1),HFer,HOuv),HFer)-IF(NETWORKDAYS(O625,O625,JoursFeries),MEDIAN(MOD(O625,1),HFer,HOuv),HOuv))*24,4))))</f>
        <v/>
      </c>
      <c r="AV625" s="37" t="str">
        <f aca="false">IF(AO625&lt;&gt;1,"",IF(OR(P625="",Q625=""),"",IF(Q625&lt;P625,"",ROUND(((NETWORKDAYS(P625,Q625,JoursFeries)-1)*(HFer-HOuv)+IF(NETWORKDAYS(Q625,Q625,JoursFeries),MEDIAN(MOD(Q625,1),HFer,HOuv),HFer)-IF(NETWORKDAYS(P625,P625,JoursFeries),MEDIAN(MOD(P625,1),HFer,HOuv),HOuv))*24,4))))</f>
        <v/>
      </c>
      <c r="AW625" s="37" t="str">
        <f aca="false">IF(AO625&lt;&gt;1,"",IFERROR(ROUND(IF(OR(P625="",R625=""),"",IF(R625&lt;P625,"",ROUND(((NETWORKDAYS(P625,R625,JoursFeries)-1)*(HFer-HOuv)+IF(NETWORKDAYS(R625,R625,JoursFeries),MEDIAN(MOD(R625,1),HFer,HOuv),HFer)-IF(NETWORKDAYS(P625,P625,JoursFeries),MEDIAN(MOD(P625,1),HFer,HOuv),HOuv))*24,4)))/HJour,4),""))</f>
        <v/>
      </c>
      <c r="AX625" s="37" t="str">
        <f aca="false">IF(AO625&lt;&gt;1,"",IFERROR(ROUND(IF(OR(P625="",S625=""),"",IF(S625&lt;P625,"",ROUND(((NETWORKDAYS(P625,S625,JoursFeries)-1)*(HFer-HOuv)+IF(NETWORKDAYS(S625,S625,JoursFeries),MEDIAN(MOD(S625,1),HFer,HOuv),HFer)-IF(NETWORKDAYS(P625,P625,JoursFeries),MEDIAN(MOD(P625,1),HFer,HOuv),HOuv))*24,4)))/HJour,4),""))</f>
        <v/>
      </c>
      <c r="AY625" s="36" t="str">
        <f aca="false">IF(OR(AO625&lt;&gt;1,AR625=""),"",INDEX(SLA_PEC,AR625))</f>
        <v/>
      </c>
      <c r="AZ625" s="35" t="str">
        <f aca="false">IF(OR(AV625="",AY625=""),"",IF(AV625&lt;=AY625,1,0))</f>
        <v/>
      </c>
      <c r="BA625" s="36" t="str">
        <f aca="false">IF(OR(AO625&lt;&gt;1,AR625=""),"",INDEX(SLA_RES,AR625))</f>
        <v/>
      </c>
      <c r="BB625" s="35" t="str">
        <f aca="false">IF(OR(AW625="",BA625=""),"",IF(AW625&lt;=BA625,1,0))</f>
        <v/>
      </c>
      <c r="BC625" s="38" t="str">
        <f aca="false">IF(OR(BA625="",P625=""),"",WORKDAY(INT(P625),BA625,JoursFeries)+MOD(P625,1))</f>
        <v/>
      </c>
      <c r="BD625" s="39" t="str">
        <f aca="false">IF(AO625&lt;&gt;1,"",IF(OR(AB625&lt;&gt;"",AD625&lt;&gt;""),4,IF(U625&lt;&gt;"",3,IF(T625&lt;&gt;"",2,1))))</f>
        <v/>
      </c>
      <c r="BE625" s="39" t="str">
        <f aca="false">IF(OR(AO625&lt;&gt;1,AR625=""),"",INDEX(NIV_REQ,AR625))</f>
        <v/>
      </c>
      <c r="BF625" s="39" t="str">
        <f aca="false">IF(BE625="","",MAX(BE625,IF(OR(K625="Oui",Z625="Oui"),4,1)))</f>
        <v/>
      </c>
      <c r="BG625" s="35" t="str">
        <f aca="false">IF(OR(BF625="",BD625=""),"",IF(BD625&gt;=BF625,1,0))</f>
        <v/>
      </c>
      <c r="BH625" s="38" t="str">
        <f aca="false">IF(BE625="","",IF(BE625&lt;2,"",IF(BE625=2,IF(AND(T625="",U625=""),"",MIN(T625,U625)),IF(U625="","",U625))))</f>
        <v/>
      </c>
      <c r="BI625" s="37" t="str">
        <f aca="false">IF(BH625="","",IF(OR(O625="",BH625=""),"",IF(BH625&lt;O625,"",ROUND(((NETWORKDAYS(O625,BH625,JoursFeries)-1)*(HFer-HOuv)+IF(NETWORKDAYS(BH625,BH625,JoursFeries),MEDIAN(MOD(BH625,1),HFer,HOuv),HFer)-IF(NETWORKDAYS(O625,O625,JoursFeries),MEDIAN(MOD(O625,1),HFer,HOuv),HOuv))*24,4))))</f>
        <v/>
      </c>
      <c r="BJ625" s="35" t="str">
        <f aca="false">IF(OR(BI625="",AR625=""),"",IF(BI625&lt;=INDEX(DELAI_ESC,AR625),1,0))</f>
        <v/>
      </c>
      <c r="BK625" s="38" t="str">
        <f aca="false">IF(AO625&lt;&gt;1,"",IF(AND(T625="",U625=""),"",MIN(T625,U625)))</f>
        <v/>
      </c>
      <c r="BL625" s="37" t="str">
        <f aca="false">IF(OR(BK625="",R625=""),"",IFERROR(ROUND(IF(OR(BK625="",R625=""),"",IF(R625&lt;BK625,"",ROUND(((NETWORKDAYS(BK625,R625,JoursFeries)-1)*(HFer-HOuv)+IF(NETWORKDAYS(R625,R625,JoursFeries),MEDIAN(MOD(R625,1),HFer,HOuv),HFer)-IF(NETWORKDAYS(BK625,BK625,JoursFeries),MEDIAN(MOD(BK625,1),HFer,HOuv),HOuv))*24,4)))/HJour,4),""))</f>
        <v/>
      </c>
      <c r="BM625" s="35" t="str">
        <f aca="false">IF(OR(AO625&lt;&gt;1,R625=""),"",IF(BD625=1,1,0))</f>
        <v/>
      </c>
      <c r="BN625" s="35" t="str">
        <f aca="false">IF(AO625&lt;&gt;1,"",IF(W625="Oui",1,0))</f>
        <v/>
      </c>
      <c r="BO625" s="35" t="str">
        <f aca="false">IF(AO625&lt;&gt;1,"",IF(X625&lt;&gt;"",1,0))</f>
        <v/>
      </c>
      <c r="BP625" s="35" t="str">
        <f aca="false">IF(AO625&lt;&gt;1,"",IF(Y625="Oui",1,0))</f>
        <v/>
      </c>
      <c r="BQ625" s="35" t="str">
        <f aca="true">IF(OR(AO625&lt;&gt;1,Z625&lt;&gt;"Oui"),"",IF(AB625="",IF(AND(AA625&lt;&gt;"",NOW()&gt;AA625),0,""),IF(AA625="","",IF(AB625&lt;=AA625,1,0))))</f>
        <v/>
      </c>
      <c r="BR625" s="38" t="str">
        <f aca="false">IF(OR(AO625&lt;&gt;1,K625&lt;&gt;"Oui",O625=""),"",IF(AC625="",O625+DORA_H_DET/24,IF(AC625-O625&lt;=DORA_H_DET/24,MIN(AC625+DORA_H_CLA/24,O625+DORA_H_DET/24),AC625+DORA_H_CLA/24)))</f>
        <v/>
      </c>
      <c r="BS625" s="35" t="str">
        <f aca="true">IF(BR625="","",IF(AD625="",IF(NOW()&gt;BR625,0,""),IF(AD625&lt;=BR625,1,0)))</f>
        <v/>
      </c>
      <c r="BT625" s="35" t="str">
        <f aca="true">IF(OR(BR625="",AD625=""),"",IF(AE625="",IF(NOW()&gt;AD625+DORA_H_INT/24,0,""),IF(AE625&lt;=AD625+DORA_H_INT/24,1,0)))</f>
        <v/>
      </c>
      <c r="BU625" s="35" t="str">
        <f aca="true">IF(OR(BR625="",AE625=""),"",IF(AF625="",IF(NOW()&gt;EDATE(AE625,DORA_M_FIN)+1,0,""),IF(AF625&lt;=EDATE(AE625,DORA_M_FIN),1,0)))</f>
        <v/>
      </c>
      <c r="BV625" s="35" t="str">
        <f aca="false">IF(BR625="","",IF(COUNT(BS625:BU625)=0,"",MIN(BS625:BU625)))</f>
        <v/>
      </c>
      <c r="BW625" s="40" t="str">
        <f aca="false">IF(AQ625&lt;&gt;1,"",IF(AND(AG625="",AH625=""),"",N(AG625)-N(AH625)))</f>
        <v/>
      </c>
      <c r="BX625" s="35" t="str">
        <f aca="true">IF(OR(AQ625&lt;&gt;1,AI625&lt;&gt;"Oui",AJ625=""),"",IF(AK625="",IF(NOW()&gt;AJ625+1,0,""),IF(AK625&lt;=AJ625,1,0)))</f>
        <v/>
      </c>
    </row>
    <row r="626" customFormat="false" ht="15" hidden="false" customHeight="false" outlineLevel="0" collapsed="false">
      <c r="B626" s="29"/>
      <c r="C626" s="29"/>
      <c r="D626" s="29"/>
      <c r="E626" s="29"/>
      <c r="F626" s="29"/>
      <c r="G626" s="29"/>
      <c r="H626" s="29"/>
      <c r="I626" s="29"/>
      <c r="J626" s="29"/>
      <c r="K626" s="29"/>
      <c r="L626" s="29"/>
      <c r="M626" s="29"/>
      <c r="N626" s="30"/>
      <c r="O626" s="30"/>
      <c r="P626" s="30"/>
      <c r="Q626" s="30"/>
      <c r="R626" s="30"/>
      <c r="S626" s="30"/>
      <c r="T626" s="30"/>
      <c r="U626" s="30"/>
      <c r="V626" s="31"/>
      <c r="W626" s="29"/>
      <c r="X626" s="29"/>
      <c r="Y626" s="29"/>
      <c r="Z626" s="29"/>
      <c r="AA626" s="30"/>
      <c r="AB626" s="30"/>
      <c r="AC626" s="30"/>
      <c r="AD626" s="30"/>
      <c r="AE626" s="30"/>
      <c r="AF626" s="32"/>
      <c r="AG626" s="33"/>
      <c r="AH626" s="33"/>
      <c r="AI626" s="29"/>
      <c r="AJ626" s="32"/>
      <c r="AK626" s="32"/>
      <c r="AL626" s="29"/>
      <c r="AN626" s="34" t="str">
        <f aca="false">IF($B626="","",IF(OR(C626="",D626="",E626="",G626="",I626="",J626="",L626="",O626="",P626=""),"Champ obligatoire manquant",IF(OR(AND(N626&lt;&gt;"",N626&gt;O626),O626&gt;P626,AND(Q626&lt;&gt;"",Q626&lt;P626),AND(R626&lt;&gt;"",R626&lt;P626),AND(S626&lt;&gt;"",S626&lt;R626),AND(S626&lt;&gt;"",R626=""),AND(T626&lt;&gt;"",T626&lt;O626),AND(U626&lt;&gt;"",U626&lt;O626)),"Chronologie incohérente",IF(AND(OR(L626="Résolu",L626="Clos"),R626=""),"Date de résolution manquante",IF(AND(L626="Clos",S626=""),"Date de clôture manquante",IF(AND(K626="Oui",AC626=""),"Classification DORA manquante","OK"))))))</f>
        <v/>
      </c>
      <c r="AO626" s="35" t="str">
        <f aca="false">IF($B626="","",IF(AND(C626="Incident",L626&lt;&gt;"Annulé"),1,0))</f>
        <v/>
      </c>
      <c r="AP626" s="35" t="str">
        <f aca="false">IF($B626="","",IF(AND(C626="Quasi-incident",L626&lt;&gt;"Annulé"),1,0))</f>
        <v/>
      </c>
      <c r="AQ626" s="35" t="str">
        <f aca="false">IF($B626="","",AO626+AP626)</f>
        <v/>
      </c>
      <c r="AR626" s="36" t="str">
        <f aca="false">IF(OR($B626="",J626=""),"",IFERROR(VALUE(LEFT(J626,1)),""))</f>
        <v/>
      </c>
      <c r="AS626" s="35" t="str">
        <f aca="false">IF(OR(AO626&lt;&gt;1,G626=""),"",IFERROR(IF(INDEX(L_SrcInterne,MATCH(G626,L_Sources,0))="Oui",1,0),""))</f>
        <v/>
      </c>
      <c r="AT626" s="37" t="str">
        <f aca="false">IF(AO626&lt;&gt;1,"",IFERROR(ROUND(IF(OR(N626="",O626=""),"",IF(O626&lt;N626,"",ROUND(((NETWORKDAYS(N626,O626,JoursFeries)-1)*(HFer-HOuv)+IF(NETWORKDAYS(O626,O626,JoursFeries),MEDIAN(MOD(O626,1),HFer,HOuv),HFer)-IF(NETWORKDAYS(N626,N626,JoursFeries),MEDIAN(MOD(N626,1),HFer,HOuv),HOuv))*24,4)))/HJour,4),""))</f>
        <v/>
      </c>
      <c r="AU626" s="37" t="str">
        <f aca="false">IF(AO626&lt;&gt;1,"",IF(OR(O626="",P626=""),"",IF(P626&lt;O626,"",ROUND(((NETWORKDAYS(O626,P626,JoursFeries)-1)*(HFer-HOuv)+IF(NETWORKDAYS(P626,P626,JoursFeries),MEDIAN(MOD(P626,1),HFer,HOuv),HFer)-IF(NETWORKDAYS(O626,O626,JoursFeries),MEDIAN(MOD(O626,1),HFer,HOuv),HOuv))*24,4))))</f>
        <v/>
      </c>
      <c r="AV626" s="37" t="str">
        <f aca="false">IF(AO626&lt;&gt;1,"",IF(OR(P626="",Q626=""),"",IF(Q626&lt;P626,"",ROUND(((NETWORKDAYS(P626,Q626,JoursFeries)-1)*(HFer-HOuv)+IF(NETWORKDAYS(Q626,Q626,JoursFeries),MEDIAN(MOD(Q626,1),HFer,HOuv),HFer)-IF(NETWORKDAYS(P626,P626,JoursFeries),MEDIAN(MOD(P626,1),HFer,HOuv),HOuv))*24,4))))</f>
        <v/>
      </c>
      <c r="AW626" s="37" t="str">
        <f aca="false">IF(AO626&lt;&gt;1,"",IFERROR(ROUND(IF(OR(P626="",R626=""),"",IF(R626&lt;P626,"",ROUND(((NETWORKDAYS(P626,R626,JoursFeries)-1)*(HFer-HOuv)+IF(NETWORKDAYS(R626,R626,JoursFeries),MEDIAN(MOD(R626,1),HFer,HOuv),HFer)-IF(NETWORKDAYS(P626,P626,JoursFeries),MEDIAN(MOD(P626,1),HFer,HOuv),HOuv))*24,4)))/HJour,4),""))</f>
        <v/>
      </c>
      <c r="AX626" s="37" t="str">
        <f aca="false">IF(AO626&lt;&gt;1,"",IFERROR(ROUND(IF(OR(P626="",S626=""),"",IF(S626&lt;P626,"",ROUND(((NETWORKDAYS(P626,S626,JoursFeries)-1)*(HFer-HOuv)+IF(NETWORKDAYS(S626,S626,JoursFeries),MEDIAN(MOD(S626,1),HFer,HOuv),HFer)-IF(NETWORKDAYS(P626,P626,JoursFeries),MEDIAN(MOD(P626,1),HFer,HOuv),HOuv))*24,4)))/HJour,4),""))</f>
        <v/>
      </c>
      <c r="AY626" s="36" t="str">
        <f aca="false">IF(OR(AO626&lt;&gt;1,AR626=""),"",INDEX(SLA_PEC,AR626))</f>
        <v/>
      </c>
      <c r="AZ626" s="35" t="str">
        <f aca="false">IF(OR(AV626="",AY626=""),"",IF(AV626&lt;=AY626,1,0))</f>
        <v/>
      </c>
      <c r="BA626" s="36" t="str">
        <f aca="false">IF(OR(AO626&lt;&gt;1,AR626=""),"",INDEX(SLA_RES,AR626))</f>
        <v/>
      </c>
      <c r="BB626" s="35" t="str">
        <f aca="false">IF(OR(AW626="",BA626=""),"",IF(AW626&lt;=BA626,1,0))</f>
        <v/>
      </c>
      <c r="BC626" s="38" t="str">
        <f aca="false">IF(OR(BA626="",P626=""),"",WORKDAY(INT(P626),BA626,JoursFeries)+MOD(P626,1))</f>
        <v/>
      </c>
      <c r="BD626" s="39" t="str">
        <f aca="false">IF(AO626&lt;&gt;1,"",IF(OR(AB626&lt;&gt;"",AD626&lt;&gt;""),4,IF(U626&lt;&gt;"",3,IF(T626&lt;&gt;"",2,1))))</f>
        <v/>
      </c>
      <c r="BE626" s="39" t="str">
        <f aca="false">IF(OR(AO626&lt;&gt;1,AR626=""),"",INDEX(NIV_REQ,AR626))</f>
        <v/>
      </c>
      <c r="BF626" s="39" t="str">
        <f aca="false">IF(BE626="","",MAX(BE626,IF(OR(K626="Oui",Z626="Oui"),4,1)))</f>
        <v/>
      </c>
      <c r="BG626" s="35" t="str">
        <f aca="false">IF(OR(BF626="",BD626=""),"",IF(BD626&gt;=BF626,1,0))</f>
        <v/>
      </c>
      <c r="BH626" s="38" t="str">
        <f aca="false">IF(BE626="","",IF(BE626&lt;2,"",IF(BE626=2,IF(AND(T626="",U626=""),"",MIN(T626,U626)),IF(U626="","",U626))))</f>
        <v/>
      </c>
      <c r="BI626" s="37" t="str">
        <f aca="false">IF(BH626="","",IF(OR(O626="",BH626=""),"",IF(BH626&lt;O626,"",ROUND(((NETWORKDAYS(O626,BH626,JoursFeries)-1)*(HFer-HOuv)+IF(NETWORKDAYS(BH626,BH626,JoursFeries),MEDIAN(MOD(BH626,1),HFer,HOuv),HFer)-IF(NETWORKDAYS(O626,O626,JoursFeries),MEDIAN(MOD(O626,1),HFer,HOuv),HOuv))*24,4))))</f>
        <v/>
      </c>
      <c r="BJ626" s="35" t="str">
        <f aca="false">IF(OR(BI626="",AR626=""),"",IF(BI626&lt;=INDEX(DELAI_ESC,AR626),1,0))</f>
        <v/>
      </c>
      <c r="BK626" s="38" t="str">
        <f aca="false">IF(AO626&lt;&gt;1,"",IF(AND(T626="",U626=""),"",MIN(T626,U626)))</f>
        <v/>
      </c>
      <c r="BL626" s="37" t="str">
        <f aca="false">IF(OR(BK626="",R626=""),"",IFERROR(ROUND(IF(OR(BK626="",R626=""),"",IF(R626&lt;BK626,"",ROUND(((NETWORKDAYS(BK626,R626,JoursFeries)-1)*(HFer-HOuv)+IF(NETWORKDAYS(R626,R626,JoursFeries),MEDIAN(MOD(R626,1),HFer,HOuv),HFer)-IF(NETWORKDAYS(BK626,BK626,JoursFeries),MEDIAN(MOD(BK626,1),HFer,HOuv),HOuv))*24,4)))/HJour,4),""))</f>
        <v/>
      </c>
      <c r="BM626" s="35" t="str">
        <f aca="false">IF(OR(AO626&lt;&gt;1,R626=""),"",IF(BD626=1,1,0))</f>
        <v/>
      </c>
      <c r="BN626" s="35" t="str">
        <f aca="false">IF(AO626&lt;&gt;1,"",IF(W626="Oui",1,0))</f>
        <v/>
      </c>
      <c r="BO626" s="35" t="str">
        <f aca="false">IF(AO626&lt;&gt;1,"",IF(X626&lt;&gt;"",1,0))</f>
        <v/>
      </c>
      <c r="BP626" s="35" t="str">
        <f aca="false">IF(AO626&lt;&gt;1,"",IF(Y626="Oui",1,0))</f>
        <v/>
      </c>
      <c r="BQ626" s="35" t="str">
        <f aca="true">IF(OR(AO626&lt;&gt;1,Z626&lt;&gt;"Oui"),"",IF(AB626="",IF(AND(AA626&lt;&gt;"",NOW()&gt;AA626),0,""),IF(AA626="","",IF(AB626&lt;=AA626,1,0))))</f>
        <v/>
      </c>
      <c r="BR626" s="38" t="str">
        <f aca="false">IF(OR(AO626&lt;&gt;1,K626&lt;&gt;"Oui",O626=""),"",IF(AC626="",O626+DORA_H_DET/24,IF(AC626-O626&lt;=DORA_H_DET/24,MIN(AC626+DORA_H_CLA/24,O626+DORA_H_DET/24),AC626+DORA_H_CLA/24)))</f>
        <v/>
      </c>
      <c r="BS626" s="35" t="str">
        <f aca="true">IF(BR626="","",IF(AD626="",IF(NOW()&gt;BR626,0,""),IF(AD626&lt;=BR626,1,0)))</f>
        <v/>
      </c>
      <c r="BT626" s="35" t="str">
        <f aca="true">IF(OR(BR626="",AD626=""),"",IF(AE626="",IF(NOW()&gt;AD626+DORA_H_INT/24,0,""),IF(AE626&lt;=AD626+DORA_H_INT/24,1,0)))</f>
        <v/>
      </c>
      <c r="BU626" s="35" t="str">
        <f aca="true">IF(OR(BR626="",AE626=""),"",IF(AF626="",IF(NOW()&gt;EDATE(AE626,DORA_M_FIN)+1,0,""),IF(AF626&lt;=EDATE(AE626,DORA_M_FIN),1,0)))</f>
        <v/>
      </c>
      <c r="BV626" s="35" t="str">
        <f aca="false">IF(BR626="","",IF(COUNT(BS626:BU626)=0,"",MIN(BS626:BU626)))</f>
        <v/>
      </c>
      <c r="BW626" s="40" t="str">
        <f aca="false">IF(AQ626&lt;&gt;1,"",IF(AND(AG626="",AH626=""),"",N(AG626)-N(AH626)))</f>
        <v/>
      </c>
      <c r="BX626" s="35" t="str">
        <f aca="true">IF(OR(AQ626&lt;&gt;1,AI626&lt;&gt;"Oui",AJ626=""),"",IF(AK626="",IF(NOW()&gt;AJ626+1,0,""),IF(AK626&lt;=AJ626,1,0)))</f>
        <v/>
      </c>
    </row>
    <row r="627" customFormat="false" ht="15" hidden="false" customHeight="false" outlineLevel="0" collapsed="false">
      <c r="B627" s="29"/>
      <c r="C627" s="29"/>
      <c r="D627" s="29"/>
      <c r="E627" s="29"/>
      <c r="F627" s="29"/>
      <c r="G627" s="29"/>
      <c r="H627" s="29"/>
      <c r="I627" s="29"/>
      <c r="J627" s="29"/>
      <c r="K627" s="29"/>
      <c r="L627" s="29"/>
      <c r="M627" s="29"/>
      <c r="N627" s="30"/>
      <c r="O627" s="30"/>
      <c r="P627" s="30"/>
      <c r="Q627" s="30"/>
      <c r="R627" s="30"/>
      <c r="S627" s="30"/>
      <c r="T627" s="30"/>
      <c r="U627" s="30"/>
      <c r="V627" s="31"/>
      <c r="W627" s="29"/>
      <c r="X627" s="29"/>
      <c r="Y627" s="29"/>
      <c r="Z627" s="29"/>
      <c r="AA627" s="30"/>
      <c r="AB627" s="30"/>
      <c r="AC627" s="30"/>
      <c r="AD627" s="30"/>
      <c r="AE627" s="30"/>
      <c r="AF627" s="32"/>
      <c r="AG627" s="33"/>
      <c r="AH627" s="33"/>
      <c r="AI627" s="29"/>
      <c r="AJ627" s="32"/>
      <c r="AK627" s="32"/>
      <c r="AL627" s="29"/>
      <c r="AN627" s="34" t="str">
        <f aca="false">IF($B627="","",IF(OR(C627="",D627="",E627="",G627="",I627="",J627="",L627="",O627="",P627=""),"Champ obligatoire manquant",IF(OR(AND(N627&lt;&gt;"",N627&gt;O627),O627&gt;P627,AND(Q627&lt;&gt;"",Q627&lt;P627),AND(R627&lt;&gt;"",R627&lt;P627),AND(S627&lt;&gt;"",S627&lt;R627),AND(S627&lt;&gt;"",R627=""),AND(T627&lt;&gt;"",T627&lt;O627),AND(U627&lt;&gt;"",U627&lt;O627)),"Chronologie incohérente",IF(AND(OR(L627="Résolu",L627="Clos"),R627=""),"Date de résolution manquante",IF(AND(L627="Clos",S627=""),"Date de clôture manquante",IF(AND(K627="Oui",AC627=""),"Classification DORA manquante","OK"))))))</f>
        <v/>
      </c>
      <c r="AO627" s="35" t="str">
        <f aca="false">IF($B627="","",IF(AND(C627="Incident",L627&lt;&gt;"Annulé"),1,0))</f>
        <v/>
      </c>
      <c r="AP627" s="35" t="str">
        <f aca="false">IF($B627="","",IF(AND(C627="Quasi-incident",L627&lt;&gt;"Annulé"),1,0))</f>
        <v/>
      </c>
      <c r="AQ627" s="35" t="str">
        <f aca="false">IF($B627="","",AO627+AP627)</f>
        <v/>
      </c>
      <c r="AR627" s="36" t="str">
        <f aca="false">IF(OR($B627="",J627=""),"",IFERROR(VALUE(LEFT(J627,1)),""))</f>
        <v/>
      </c>
      <c r="AS627" s="35" t="str">
        <f aca="false">IF(OR(AO627&lt;&gt;1,G627=""),"",IFERROR(IF(INDEX(L_SrcInterne,MATCH(G627,L_Sources,0))="Oui",1,0),""))</f>
        <v/>
      </c>
      <c r="AT627" s="37" t="str">
        <f aca="false">IF(AO627&lt;&gt;1,"",IFERROR(ROUND(IF(OR(N627="",O627=""),"",IF(O627&lt;N627,"",ROUND(((NETWORKDAYS(N627,O627,JoursFeries)-1)*(HFer-HOuv)+IF(NETWORKDAYS(O627,O627,JoursFeries),MEDIAN(MOD(O627,1),HFer,HOuv),HFer)-IF(NETWORKDAYS(N627,N627,JoursFeries),MEDIAN(MOD(N627,1),HFer,HOuv),HOuv))*24,4)))/HJour,4),""))</f>
        <v/>
      </c>
      <c r="AU627" s="37" t="str">
        <f aca="false">IF(AO627&lt;&gt;1,"",IF(OR(O627="",P627=""),"",IF(P627&lt;O627,"",ROUND(((NETWORKDAYS(O627,P627,JoursFeries)-1)*(HFer-HOuv)+IF(NETWORKDAYS(P627,P627,JoursFeries),MEDIAN(MOD(P627,1),HFer,HOuv),HFer)-IF(NETWORKDAYS(O627,O627,JoursFeries),MEDIAN(MOD(O627,1),HFer,HOuv),HOuv))*24,4))))</f>
        <v/>
      </c>
      <c r="AV627" s="37" t="str">
        <f aca="false">IF(AO627&lt;&gt;1,"",IF(OR(P627="",Q627=""),"",IF(Q627&lt;P627,"",ROUND(((NETWORKDAYS(P627,Q627,JoursFeries)-1)*(HFer-HOuv)+IF(NETWORKDAYS(Q627,Q627,JoursFeries),MEDIAN(MOD(Q627,1),HFer,HOuv),HFer)-IF(NETWORKDAYS(P627,P627,JoursFeries),MEDIAN(MOD(P627,1),HFer,HOuv),HOuv))*24,4))))</f>
        <v/>
      </c>
      <c r="AW627" s="37" t="str">
        <f aca="false">IF(AO627&lt;&gt;1,"",IFERROR(ROUND(IF(OR(P627="",R627=""),"",IF(R627&lt;P627,"",ROUND(((NETWORKDAYS(P627,R627,JoursFeries)-1)*(HFer-HOuv)+IF(NETWORKDAYS(R627,R627,JoursFeries),MEDIAN(MOD(R627,1),HFer,HOuv),HFer)-IF(NETWORKDAYS(P627,P627,JoursFeries),MEDIAN(MOD(P627,1),HFer,HOuv),HOuv))*24,4)))/HJour,4),""))</f>
        <v/>
      </c>
      <c r="AX627" s="37" t="str">
        <f aca="false">IF(AO627&lt;&gt;1,"",IFERROR(ROUND(IF(OR(P627="",S627=""),"",IF(S627&lt;P627,"",ROUND(((NETWORKDAYS(P627,S627,JoursFeries)-1)*(HFer-HOuv)+IF(NETWORKDAYS(S627,S627,JoursFeries),MEDIAN(MOD(S627,1),HFer,HOuv),HFer)-IF(NETWORKDAYS(P627,P627,JoursFeries),MEDIAN(MOD(P627,1),HFer,HOuv),HOuv))*24,4)))/HJour,4),""))</f>
        <v/>
      </c>
      <c r="AY627" s="36" t="str">
        <f aca="false">IF(OR(AO627&lt;&gt;1,AR627=""),"",INDEX(SLA_PEC,AR627))</f>
        <v/>
      </c>
      <c r="AZ627" s="35" t="str">
        <f aca="false">IF(OR(AV627="",AY627=""),"",IF(AV627&lt;=AY627,1,0))</f>
        <v/>
      </c>
      <c r="BA627" s="36" t="str">
        <f aca="false">IF(OR(AO627&lt;&gt;1,AR627=""),"",INDEX(SLA_RES,AR627))</f>
        <v/>
      </c>
      <c r="BB627" s="35" t="str">
        <f aca="false">IF(OR(AW627="",BA627=""),"",IF(AW627&lt;=BA627,1,0))</f>
        <v/>
      </c>
      <c r="BC627" s="38" t="str">
        <f aca="false">IF(OR(BA627="",P627=""),"",WORKDAY(INT(P627),BA627,JoursFeries)+MOD(P627,1))</f>
        <v/>
      </c>
      <c r="BD627" s="39" t="str">
        <f aca="false">IF(AO627&lt;&gt;1,"",IF(OR(AB627&lt;&gt;"",AD627&lt;&gt;""),4,IF(U627&lt;&gt;"",3,IF(T627&lt;&gt;"",2,1))))</f>
        <v/>
      </c>
      <c r="BE627" s="39" t="str">
        <f aca="false">IF(OR(AO627&lt;&gt;1,AR627=""),"",INDEX(NIV_REQ,AR627))</f>
        <v/>
      </c>
      <c r="BF627" s="39" t="str">
        <f aca="false">IF(BE627="","",MAX(BE627,IF(OR(K627="Oui",Z627="Oui"),4,1)))</f>
        <v/>
      </c>
      <c r="BG627" s="35" t="str">
        <f aca="false">IF(OR(BF627="",BD627=""),"",IF(BD627&gt;=BF627,1,0))</f>
        <v/>
      </c>
      <c r="BH627" s="38" t="str">
        <f aca="false">IF(BE627="","",IF(BE627&lt;2,"",IF(BE627=2,IF(AND(T627="",U627=""),"",MIN(T627,U627)),IF(U627="","",U627))))</f>
        <v/>
      </c>
      <c r="BI627" s="37" t="str">
        <f aca="false">IF(BH627="","",IF(OR(O627="",BH627=""),"",IF(BH627&lt;O627,"",ROUND(((NETWORKDAYS(O627,BH627,JoursFeries)-1)*(HFer-HOuv)+IF(NETWORKDAYS(BH627,BH627,JoursFeries),MEDIAN(MOD(BH627,1),HFer,HOuv),HFer)-IF(NETWORKDAYS(O627,O627,JoursFeries),MEDIAN(MOD(O627,1),HFer,HOuv),HOuv))*24,4))))</f>
        <v/>
      </c>
      <c r="BJ627" s="35" t="str">
        <f aca="false">IF(OR(BI627="",AR627=""),"",IF(BI627&lt;=INDEX(DELAI_ESC,AR627),1,0))</f>
        <v/>
      </c>
      <c r="BK627" s="38" t="str">
        <f aca="false">IF(AO627&lt;&gt;1,"",IF(AND(T627="",U627=""),"",MIN(T627,U627)))</f>
        <v/>
      </c>
      <c r="BL627" s="37" t="str">
        <f aca="false">IF(OR(BK627="",R627=""),"",IFERROR(ROUND(IF(OR(BK627="",R627=""),"",IF(R627&lt;BK627,"",ROUND(((NETWORKDAYS(BK627,R627,JoursFeries)-1)*(HFer-HOuv)+IF(NETWORKDAYS(R627,R627,JoursFeries),MEDIAN(MOD(R627,1),HFer,HOuv),HFer)-IF(NETWORKDAYS(BK627,BK627,JoursFeries),MEDIAN(MOD(BK627,1),HFer,HOuv),HOuv))*24,4)))/HJour,4),""))</f>
        <v/>
      </c>
      <c r="BM627" s="35" t="str">
        <f aca="false">IF(OR(AO627&lt;&gt;1,R627=""),"",IF(BD627=1,1,0))</f>
        <v/>
      </c>
      <c r="BN627" s="35" t="str">
        <f aca="false">IF(AO627&lt;&gt;1,"",IF(W627="Oui",1,0))</f>
        <v/>
      </c>
      <c r="BO627" s="35" t="str">
        <f aca="false">IF(AO627&lt;&gt;1,"",IF(X627&lt;&gt;"",1,0))</f>
        <v/>
      </c>
      <c r="BP627" s="35" t="str">
        <f aca="false">IF(AO627&lt;&gt;1,"",IF(Y627="Oui",1,0))</f>
        <v/>
      </c>
      <c r="BQ627" s="35" t="str">
        <f aca="true">IF(OR(AO627&lt;&gt;1,Z627&lt;&gt;"Oui"),"",IF(AB627="",IF(AND(AA627&lt;&gt;"",NOW()&gt;AA627),0,""),IF(AA627="","",IF(AB627&lt;=AA627,1,0))))</f>
        <v/>
      </c>
      <c r="BR627" s="38" t="str">
        <f aca="false">IF(OR(AO627&lt;&gt;1,K627&lt;&gt;"Oui",O627=""),"",IF(AC627="",O627+DORA_H_DET/24,IF(AC627-O627&lt;=DORA_H_DET/24,MIN(AC627+DORA_H_CLA/24,O627+DORA_H_DET/24),AC627+DORA_H_CLA/24)))</f>
        <v/>
      </c>
      <c r="BS627" s="35" t="str">
        <f aca="true">IF(BR627="","",IF(AD627="",IF(NOW()&gt;BR627,0,""),IF(AD627&lt;=BR627,1,0)))</f>
        <v/>
      </c>
      <c r="BT627" s="35" t="str">
        <f aca="true">IF(OR(BR627="",AD627=""),"",IF(AE627="",IF(NOW()&gt;AD627+DORA_H_INT/24,0,""),IF(AE627&lt;=AD627+DORA_H_INT/24,1,0)))</f>
        <v/>
      </c>
      <c r="BU627" s="35" t="str">
        <f aca="true">IF(OR(BR627="",AE627=""),"",IF(AF627="",IF(NOW()&gt;EDATE(AE627,DORA_M_FIN)+1,0,""),IF(AF627&lt;=EDATE(AE627,DORA_M_FIN),1,0)))</f>
        <v/>
      </c>
      <c r="BV627" s="35" t="str">
        <f aca="false">IF(BR627="","",IF(COUNT(BS627:BU627)=0,"",MIN(BS627:BU627)))</f>
        <v/>
      </c>
      <c r="BW627" s="40" t="str">
        <f aca="false">IF(AQ627&lt;&gt;1,"",IF(AND(AG627="",AH627=""),"",N(AG627)-N(AH627)))</f>
        <v/>
      </c>
      <c r="BX627" s="35" t="str">
        <f aca="true">IF(OR(AQ627&lt;&gt;1,AI627&lt;&gt;"Oui",AJ627=""),"",IF(AK627="",IF(NOW()&gt;AJ627+1,0,""),IF(AK627&lt;=AJ627,1,0)))</f>
        <v/>
      </c>
    </row>
    <row r="628" customFormat="false" ht="15" hidden="false" customHeight="false" outlineLevel="0" collapsed="false">
      <c r="B628" s="29"/>
      <c r="C628" s="29"/>
      <c r="D628" s="29"/>
      <c r="E628" s="29"/>
      <c r="F628" s="29"/>
      <c r="G628" s="29"/>
      <c r="H628" s="29"/>
      <c r="I628" s="29"/>
      <c r="J628" s="29"/>
      <c r="K628" s="29"/>
      <c r="L628" s="29"/>
      <c r="M628" s="29"/>
      <c r="N628" s="30"/>
      <c r="O628" s="30"/>
      <c r="P628" s="30"/>
      <c r="Q628" s="30"/>
      <c r="R628" s="30"/>
      <c r="S628" s="30"/>
      <c r="T628" s="30"/>
      <c r="U628" s="30"/>
      <c r="V628" s="31"/>
      <c r="W628" s="29"/>
      <c r="X628" s="29"/>
      <c r="Y628" s="29"/>
      <c r="Z628" s="29"/>
      <c r="AA628" s="30"/>
      <c r="AB628" s="30"/>
      <c r="AC628" s="30"/>
      <c r="AD628" s="30"/>
      <c r="AE628" s="30"/>
      <c r="AF628" s="32"/>
      <c r="AG628" s="33"/>
      <c r="AH628" s="33"/>
      <c r="AI628" s="29"/>
      <c r="AJ628" s="32"/>
      <c r="AK628" s="32"/>
      <c r="AL628" s="29"/>
      <c r="AN628" s="34" t="str">
        <f aca="false">IF($B628="","",IF(OR(C628="",D628="",E628="",G628="",I628="",J628="",L628="",O628="",P628=""),"Champ obligatoire manquant",IF(OR(AND(N628&lt;&gt;"",N628&gt;O628),O628&gt;P628,AND(Q628&lt;&gt;"",Q628&lt;P628),AND(R628&lt;&gt;"",R628&lt;P628),AND(S628&lt;&gt;"",S628&lt;R628),AND(S628&lt;&gt;"",R628=""),AND(T628&lt;&gt;"",T628&lt;O628),AND(U628&lt;&gt;"",U628&lt;O628)),"Chronologie incohérente",IF(AND(OR(L628="Résolu",L628="Clos"),R628=""),"Date de résolution manquante",IF(AND(L628="Clos",S628=""),"Date de clôture manquante",IF(AND(K628="Oui",AC628=""),"Classification DORA manquante","OK"))))))</f>
        <v/>
      </c>
      <c r="AO628" s="35" t="str">
        <f aca="false">IF($B628="","",IF(AND(C628="Incident",L628&lt;&gt;"Annulé"),1,0))</f>
        <v/>
      </c>
      <c r="AP628" s="35" t="str">
        <f aca="false">IF($B628="","",IF(AND(C628="Quasi-incident",L628&lt;&gt;"Annulé"),1,0))</f>
        <v/>
      </c>
      <c r="AQ628" s="35" t="str">
        <f aca="false">IF($B628="","",AO628+AP628)</f>
        <v/>
      </c>
      <c r="AR628" s="36" t="str">
        <f aca="false">IF(OR($B628="",J628=""),"",IFERROR(VALUE(LEFT(J628,1)),""))</f>
        <v/>
      </c>
      <c r="AS628" s="35" t="str">
        <f aca="false">IF(OR(AO628&lt;&gt;1,G628=""),"",IFERROR(IF(INDEX(L_SrcInterne,MATCH(G628,L_Sources,0))="Oui",1,0),""))</f>
        <v/>
      </c>
      <c r="AT628" s="37" t="str">
        <f aca="false">IF(AO628&lt;&gt;1,"",IFERROR(ROUND(IF(OR(N628="",O628=""),"",IF(O628&lt;N628,"",ROUND(((NETWORKDAYS(N628,O628,JoursFeries)-1)*(HFer-HOuv)+IF(NETWORKDAYS(O628,O628,JoursFeries),MEDIAN(MOD(O628,1),HFer,HOuv),HFer)-IF(NETWORKDAYS(N628,N628,JoursFeries),MEDIAN(MOD(N628,1),HFer,HOuv),HOuv))*24,4)))/HJour,4),""))</f>
        <v/>
      </c>
      <c r="AU628" s="37" t="str">
        <f aca="false">IF(AO628&lt;&gt;1,"",IF(OR(O628="",P628=""),"",IF(P628&lt;O628,"",ROUND(((NETWORKDAYS(O628,P628,JoursFeries)-1)*(HFer-HOuv)+IF(NETWORKDAYS(P628,P628,JoursFeries),MEDIAN(MOD(P628,1),HFer,HOuv),HFer)-IF(NETWORKDAYS(O628,O628,JoursFeries),MEDIAN(MOD(O628,1),HFer,HOuv),HOuv))*24,4))))</f>
        <v/>
      </c>
      <c r="AV628" s="37" t="str">
        <f aca="false">IF(AO628&lt;&gt;1,"",IF(OR(P628="",Q628=""),"",IF(Q628&lt;P628,"",ROUND(((NETWORKDAYS(P628,Q628,JoursFeries)-1)*(HFer-HOuv)+IF(NETWORKDAYS(Q628,Q628,JoursFeries),MEDIAN(MOD(Q628,1),HFer,HOuv),HFer)-IF(NETWORKDAYS(P628,P628,JoursFeries),MEDIAN(MOD(P628,1),HFer,HOuv),HOuv))*24,4))))</f>
        <v/>
      </c>
      <c r="AW628" s="37" t="str">
        <f aca="false">IF(AO628&lt;&gt;1,"",IFERROR(ROUND(IF(OR(P628="",R628=""),"",IF(R628&lt;P628,"",ROUND(((NETWORKDAYS(P628,R628,JoursFeries)-1)*(HFer-HOuv)+IF(NETWORKDAYS(R628,R628,JoursFeries),MEDIAN(MOD(R628,1),HFer,HOuv),HFer)-IF(NETWORKDAYS(P628,P628,JoursFeries),MEDIAN(MOD(P628,1),HFer,HOuv),HOuv))*24,4)))/HJour,4),""))</f>
        <v/>
      </c>
      <c r="AX628" s="37" t="str">
        <f aca="false">IF(AO628&lt;&gt;1,"",IFERROR(ROUND(IF(OR(P628="",S628=""),"",IF(S628&lt;P628,"",ROUND(((NETWORKDAYS(P628,S628,JoursFeries)-1)*(HFer-HOuv)+IF(NETWORKDAYS(S628,S628,JoursFeries),MEDIAN(MOD(S628,1),HFer,HOuv),HFer)-IF(NETWORKDAYS(P628,P628,JoursFeries),MEDIAN(MOD(P628,1),HFer,HOuv),HOuv))*24,4)))/HJour,4),""))</f>
        <v/>
      </c>
      <c r="AY628" s="36" t="str">
        <f aca="false">IF(OR(AO628&lt;&gt;1,AR628=""),"",INDEX(SLA_PEC,AR628))</f>
        <v/>
      </c>
      <c r="AZ628" s="35" t="str">
        <f aca="false">IF(OR(AV628="",AY628=""),"",IF(AV628&lt;=AY628,1,0))</f>
        <v/>
      </c>
      <c r="BA628" s="36" t="str">
        <f aca="false">IF(OR(AO628&lt;&gt;1,AR628=""),"",INDEX(SLA_RES,AR628))</f>
        <v/>
      </c>
      <c r="BB628" s="35" t="str">
        <f aca="false">IF(OR(AW628="",BA628=""),"",IF(AW628&lt;=BA628,1,0))</f>
        <v/>
      </c>
      <c r="BC628" s="38" t="str">
        <f aca="false">IF(OR(BA628="",P628=""),"",WORKDAY(INT(P628),BA628,JoursFeries)+MOD(P628,1))</f>
        <v/>
      </c>
      <c r="BD628" s="39" t="str">
        <f aca="false">IF(AO628&lt;&gt;1,"",IF(OR(AB628&lt;&gt;"",AD628&lt;&gt;""),4,IF(U628&lt;&gt;"",3,IF(T628&lt;&gt;"",2,1))))</f>
        <v/>
      </c>
      <c r="BE628" s="39" t="str">
        <f aca="false">IF(OR(AO628&lt;&gt;1,AR628=""),"",INDEX(NIV_REQ,AR628))</f>
        <v/>
      </c>
      <c r="BF628" s="39" t="str">
        <f aca="false">IF(BE628="","",MAX(BE628,IF(OR(K628="Oui",Z628="Oui"),4,1)))</f>
        <v/>
      </c>
      <c r="BG628" s="35" t="str">
        <f aca="false">IF(OR(BF628="",BD628=""),"",IF(BD628&gt;=BF628,1,0))</f>
        <v/>
      </c>
      <c r="BH628" s="38" t="str">
        <f aca="false">IF(BE628="","",IF(BE628&lt;2,"",IF(BE628=2,IF(AND(T628="",U628=""),"",MIN(T628,U628)),IF(U628="","",U628))))</f>
        <v/>
      </c>
      <c r="BI628" s="37" t="str">
        <f aca="false">IF(BH628="","",IF(OR(O628="",BH628=""),"",IF(BH628&lt;O628,"",ROUND(((NETWORKDAYS(O628,BH628,JoursFeries)-1)*(HFer-HOuv)+IF(NETWORKDAYS(BH628,BH628,JoursFeries),MEDIAN(MOD(BH628,1),HFer,HOuv),HFer)-IF(NETWORKDAYS(O628,O628,JoursFeries),MEDIAN(MOD(O628,1),HFer,HOuv),HOuv))*24,4))))</f>
        <v/>
      </c>
      <c r="BJ628" s="35" t="str">
        <f aca="false">IF(OR(BI628="",AR628=""),"",IF(BI628&lt;=INDEX(DELAI_ESC,AR628),1,0))</f>
        <v/>
      </c>
      <c r="BK628" s="38" t="str">
        <f aca="false">IF(AO628&lt;&gt;1,"",IF(AND(T628="",U628=""),"",MIN(T628,U628)))</f>
        <v/>
      </c>
      <c r="BL628" s="37" t="str">
        <f aca="false">IF(OR(BK628="",R628=""),"",IFERROR(ROUND(IF(OR(BK628="",R628=""),"",IF(R628&lt;BK628,"",ROUND(((NETWORKDAYS(BK628,R628,JoursFeries)-1)*(HFer-HOuv)+IF(NETWORKDAYS(R628,R628,JoursFeries),MEDIAN(MOD(R628,1),HFer,HOuv),HFer)-IF(NETWORKDAYS(BK628,BK628,JoursFeries),MEDIAN(MOD(BK628,1),HFer,HOuv),HOuv))*24,4)))/HJour,4),""))</f>
        <v/>
      </c>
      <c r="BM628" s="35" t="str">
        <f aca="false">IF(OR(AO628&lt;&gt;1,R628=""),"",IF(BD628=1,1,0))</f>
        <v/>
      </c>
      <c r="BN628" s="35" t="str">
        <f aca="false">IF(AO628&lt;&gt;1,"",IF(W628="Oui",1,0))</f>
        <v/>
      </c>
      <c r="BO628" s="35" t="str">
        <f aca="false">IF(AO628&lt;&gt;1,"",IF(X628&lt;&gt;"",1,0))</f>
        <v/>
      </c>
      <c r="BP628" s="35" t="str">
        <f aca="false">IF(AO628&lt;&gt;1,"",IF(Y628="Oui",1,0))</f>
        <v/>
      </c>
      <c r="BQ628" s="35" t="str">
        <f aca="true">IF(OR(AO628&lt;&gt;1,Z628&lt;&gt;"Oui"),"",IF(AB628="",IF(AND(AA628&lt;&gt;"",NOW()&gt;AA628),0,""),IF(AA628="","",IF(AB628&lt;=AA628,1,0))))</f>
        <v/>
      </c>
      <c r="BR628" s="38" t="str">
        <f aca="false">IF(OR(AO628&lt;&gt;1,K628&lt;&gt;"Oui",O628=""),"",IF(AC628="",O628+DORA_H_DET/24,IF(AC628-O628&lt;=DORA_H_DET/24,MIN(AC628+DORA_H_CLA/24,O628+DORA_H_DET/24),AC628+DORA_H_CLA/24)))</f>
        <v/>
      </c>
      <c r="BS628" s="35" t="str">
        <f aca="true">IF(BR628="","",IF(AD628="",IF(NOW()&gt;BR628,0,""),IF(AD628&lt;=BR628,1,0)))</f>
        <v/>
      </c>
      <c r="BT628" s="35" t="str">
        <f aca="true">IF(OR(BR628="",AD628=""),"",IF(AE628="",IF(NOW()&gt;AD628+DORA_H_INT/24,0,""),IF(AE628&lt;=AD628+DORA_H_INT/24,1,0)))</f>
        <v/>
      </c>
      <c r="BU628" s="35" t="str">
        <f aca="true">IF(OR(BR628="",AE628=""),"",IF(AF628="",IF(NOW()&gt;EDATE(AE628,DORA_M_FIN)+1,0,""),IF(AF628&lt;=EDATE(AE628,DORA_M_FIN),1,0)))</f>
        <v/>
      </c>
      <c r="BV628" s="35" t="str">
        <f aca="false">IF(BR628="","",IF(COUNT(BS628:BU628)=0,"",MIN(BS628:BU628)))</f>
        <v/>
      </c>
      <c r="BW628" s="40" t="str">
        <f aca="false">IF(AQ628&lt;&gt;1,"",IF(AND(AG628="",AH628=""),"",N(AG628)-N(AH628)))</f>
        <v/>
      </c>
      <c r="BX628" s="35" t="str">
        <f aca="true">IF(OR(AQ628&lt;&gt;1,AI628&lt;&gt;"Oui",AJ628=""),"",IF(AK628="",IF(NOW()&gt;AJ628+1,0,""),IF(AK628&lt;=AJ628,1,0)))</f>
        <v/>
      </c>
    </row>
    <row r="629" customFormat="false" ht="15" hidden="false" customHeight="false" outlineLevel="0" collapsed="false">
      <c r="B629" s="29"/>
      <c r="C629" s="29"/>
      <c r="D629" s="29"/>
      <c r="E629" s="29"/>
      <c r="F629" s="29"/>
      <c r="G629" s="29"/>
      <c r="H629" s="29"/>
      <c r="I629" s="29"/>
      <c r="J629" s="29"/>
      <c r="K629" s="29"/>
      <c r="L629" s="29"/>
      <c r="M629" s="29"/>
      <c r="N629" s="30"/>
      <c r="O629" s="30"/>
      <c r="P629" s="30"/>
      <c r="Q629" s="30"/>
      <c r="R629" s="30"/>
      <c r="S629" s="30"/>
      <c r="T629" s="30"/>
      <c r="U629" s="30"/>
      <c r="V629" s="31"/>
      <c r="W629" s="29"/>
      <c r="X629" s="29"/>
      <c r="Y629" s="29"/>
      <c r="Z629" s="29"/>
      <c r="AA629" s="30"/>
      <c r="AB629" s="30"/>
      <c r="AC629" s="30"/>
      <c r="AD629" s="30"/>
      <c r="AE629" s="30"/>
      <c r="AF629" s="32"/>
      <c r="AG629" s="33"/>
      <c r="AH629" s="33"/>
      <c r="AI629" s="29"/>
      <c r="AJ629" s="32"/>
      <c r="AK629" s="32"/>
      <c r="AL629" s="29"/>
      <c r="AN629" s="34" t="str">
        <f aca="false">IF($B629="","",IF(OR(C629="",D629="",E629="",G629="",I629="",J629="",L629="",O629="",P629=""),"Champ obligatoire manquant",IF(OR(AND(N629&lt;&gt;"",N629&gt;O629),O629&gt;P629,AND(Q629&lt;&gt;"",Q629&lt;P629),AND(R629&lt;&gt;"",R629&lt;P629),AND(S629&lt;&gt;"",S629&lt;R629),AND(S629&lt;&gt;"",R629=""),AND(T629&lt;&gt;"",T629&lt;O629),AND(U629&lt;&gt;"",U629&lt;O629)),"Chronologie incohérente",IF(AND(OR(L629="Résolu",L629="Clos"),R629=""),"Date de résolution manquante",IF(AND(L629="Clos",S629=""),"Date de clôture manquante",IF(AND(K629="Oui",AC629=""),"Classification DORA manquante","OK"))))))</f>
        <v/>
      </c>
      <c r="AO629" s="35" t="str">
        <f aca="false">IF($B629="","",IF(AND(C629="Incident",L629&lt;&gt;"Annulé"),1,0))</f>
        <v/>
      </c>
      <c r="AP629" s="35" t="str">
        <f aca="false">IF($B629="","",IF(AND(C629="Quasi-incident",L629&lt;&gt;"Annulé"),1,0))</f>
        <v/>
      </c>
      <c r="AQ629" s="35" t="str">
        <f aca="false">IF($B629="","",AO629+AP629)</f>
        <v/>
      </c>
      <c r="AR629" s="36" t="str">
        <f aca="false">IF(OR($B629="",J629=""),"",IFERROR(VALUE(LEFT(J629,1)),""))</f>
        <v/>
      </c>
      <c r="AS629" s="35" t="str">
        <f aca="false">IF(OR(AO629&lt;&gt;1,G629=""),"",IFERROR(IF(INDEX(L_SrcInterne,MATCH(G629,L_Sources,0))="Oui",1,0),""))</f>
        <v/>
      </c>
      <c r="AT629" s="37" t="str">
        <f aca="false">IF(AO629&lt;&gt;1,"",IFERROR(ROUND(IF(OR(N629="",O629=""),"",IF(O629&lt;N629,"",ROUND(((NETWORKDAYS(N629,O629,JoursFeries)-1)*(HFer-HOuv)+IF(NETWORKDAYS(O629,O629,JoursFeries),MEDIAN(MOD(O629,1),HFer,HOuv),HFer)-IF(NETWORKDAYS(N629,N629,JoursFeries),MEDIAN(MOD(N629,1),HFer,HOuv),HOuv))*24,4)))/HJour,4),""))</f>
        <v/>
      </c>
      <c r="AU629" s="37" t="str">
        <f aca="false">IF(AO629&lt;&gt;1,"",IF(OR(O629="",P629=""),"",IF(P629&lt;O629,"",ROUND(((NETWORKDAYS(O629,P629,JoursFeries)-1)*(HFer-HOuv)+IF(NETWORKDAYS(P629,P629,JoursFeries),MEDIAN(MOD(P629,1),HFer,HOuv),HFer)-IF(NETWORKDAYS(O629,O629,JoursFeries),MEDIAN(MOD(O629,1),HFer,HOuv),HOuv))*24,4))))</f>
        <v/>
      </c>
      <c r="AV629" s="37" t="str">
        <f aca="false">IF(AO629&lt;&gt;1,"",IF(OR(P629="",Q629=""),"",IF(Q629&lt;P629,"",ROUND(((NETWORKDAYS(P629,Q629,JoursFeries)-1)*(HFer-HOuv)+IF(NETWORKDAYS(Q629,Q629,JoursFeries),MEDIAN(MOD(Q629,1),HFer,HOuv),HFer)-IF(NETWORKDAYS(P629,P629,JoursFeries),MEDIAN(MOD(P629,1),HFer,HOuv),HOuv))*24,4))))</f>
        <v/>
      </c>
      <c r="AW629" s="37" t="str">
        <f aca="false">IF(AO629&lt;&gt;1,"",IFERROR(ROUND(IF(OR(P629="",R629=""),"",IF(R629&lt;P629,"",ROUND(((NETWORKDAYS(P629,R629,JoursFeries)-1)*(HFer-HOuv)+IF(NETWORKDAYS(R629,R629,JoursFeries),MEDIAN(MOD(R629,1),HFer,HOuv),HFer)-IF(NETWORKDAYS(P629,P629,JoursFeries),MEDIAN(MOD(P629,1),HFer,HOuv),HOuv))*24,4)))/HJour,4),""))</f>
        <v/>
      </c>
      <c r="AX629" s="37" t="str">
        <f aca="false">IF(AO629&lt;&gt;1,"",IFERROR(ROUND(IF(OR(P629="",S629=""),"",IF(S629&lt;P629,"",ROUND(((NETWORKDAYS(P629,S629,JoursFeries)-1)*(HFer-HOuv)+IF(NETWORKDAYS(S629,S629,JoursFeries),MEDIAN(MOD(S629,1),HFer,HOuv),HFer)-IF(NETWORKDAYS(P629,P629,JoursFeries),MEDIAN(MOD(P629,1),HFer,HOuv),HOuv))*24,4)))/HJour,4),""))</f>
        <v/>
      </c>
      <c r="AY629" s="36" t="str">
        <f aca="false">IF(OR(AO629&lt;&gt;1,AR629=""),"",INDEX(SLA_PEC,AR629))</f>
        <v/>
      </c>
      <c r="AZ629" s="35" t="str">
        <f aca="false">IF(OR(AV629="",AY629=""),"",IF(AV629&lt;=AY629,1,0))</f>
        <v/>
      </c>
      <c r="BA629" s="36" t="str">
        <f aca="false">IF(OR(AO629&lt;&gt;1,AR629=""),"",INDEX(SLA_RES,AR629))</f>
        <v/>
      </c>
      <c r="BB629" s="35" t="str">
        <f aca="false">IF(OR(AW629="",BA629=""),"",IF(AW629&lt;=BA629,1,0))</f>
        <v/>
      </c>
      <c r="BC629" s="38" t="str">
        <f aca="false">IF(OR(BA629="",P629=""),"",WORKDAY(INT(P629),BA629,JoursFeries)+MOD(P629,1))</f>
        <v/>
      </c>
      <c r="BD629" s="39" t="str">
        <f aca="false">IF(AO629&lt;&gt;1,"",IF(OR(AB629&lt;&gt;"",AD629&lt;&gt;""),4,IF(U629&lt;&gt;"",3,IF(T629&lt;&gt;"",2,1))))</f>
        <v/>
      </c>
      <c r="BE629" s="39" t="str">
        <f aca="false">IF(OR(AO629&lt;&gt;1,AR629=""),"",INDEX(NIV_REQ,AR629))</f>
        <v/>
      </c>
      <c r="BF629" s="39" t="str">
        <f aca="false">IF(BE629="","",MAX(BE629,IF(OR(K629="Oui",Z629="Oui"),4,1)))</f>
        <v/>
      </c>
      <c r="BG629" s="35" t="str">
        <f aca="false">IF(OR(BF629="",BD629=""),"",IF(BD629&gt;=BF629,1,0))</f>
        <v/>
      </c>
      <c r="BH629" s="38" t="str">
        <f aca="false">IF(BE629="","",IF(BE629&lt;2,"",IF(BE629=2,IF(AND(T629="",U629=""),"",MIN(T629,U629)),IF(U629="","",U629))))</f>
        <v/>
      </c>
      <c r="BI629" s="37" t="str">
        <f aca="false">IF(BH629="","",IF(OR(O629="",BH629=""),"",IF(BH629&lt;O629,"",ROUND(((NETWORKDAYS(O629,BH629,JoursFeries)-1)*(HFer-HOuv)+IF(NETWORKDAYS(BH629,BH629,JoursFeries),MEDIAN(MOD(BH629,1),HFer,HOuv),HFer)-IF(NETWORKDAYS(O629,O629,JoursFeries),MEDIAN(MOD(O629,1),HFer,HOuv),HOuv))*24,4))))</f>
        <v/>
      </c>
      <c r="BJ629" s="35" t="str">
        <f aca="false">IF(OR(BI629="",AR629=""),"",IF(BI629&lt;=INDEX(DELAI_ESC,AR629),1,0))</f>
        <v/>
      </c>
      <c r="BK629" s="38" t="str">
        <f aca="false">IF(AO629&lt;&gt;1,"",IF(AND(T629="",U629=""),"",MIN(T629,U629)))</f>
        <v/>
      </c>
      <c r="BL629" s="37" t="str">
        <f aca="false">IF(OR(BK629="",R629=""),"",IFERROR(ROUND(IF(OR(BK629="",R629=""),"",IF(R629&lt;BK629,"",ROUND(((NETWORKDAYS(BK629,R629,JoursFeries)-1)*(HFer-HOuv)+IF(NETWORKDAYS(R629,R629,JoursFeries),MEDIAN(MOD(R629,1),HFer,HOuv),HFer)-IF(NETWORKDAYS(BK629,BK629,JoursFeries),MEDIAN(MOD(BK629,1),HFer,HOuv),HOuv))*24,4)))/HJour,4),""))</f>
        <v/>
      </c>
      <c r="BM629" s="35" t="str">
        <f aca="false">IF(OR(AO629&lt;&gt;1,R629=""),"",IF(BD629=1,1,0))</f>
        <v/>
      </c>
      <c r="BN629" s="35" t="str">
        <f aca="false">IF(AO629&lt;&gt;1,"",IF(W629="Oui",1,0))</f>
        <v/>
      </c>
      <c r="BO629" s="35" t="str">
        <f aca="false">IF(AO629&lt;&gt;1,"",IF(X629&lt;&gt;"",1,0))</f>
        <v/>
      </c>
      <c r="BP629" s="35" t="str">
        <f aca="false">IF(AO629&lt;&gt;1,"",IF(Y629="Oui",1,0))</f>
        <v/>
      </c>
      <c r="BQ629" s="35" t="str">
        <f aca="true">IF(OR(AO629&lt;&gt;1,Z629&lt;&gt;"Oui"),"",IF(AB629="",IF(AND(AA629&lt;&gt;"",NOW()&gt;AA629),0,""),IF(AA629="","",IF(AB629&lt;=AA629,1,0))))</f>
        <v/>
      </c>
      <c r="BR629" s="38" t="str">
        <f aca="false">IF(OR(AO629&lt;&gt;1,K629&lt;&gt;"Oui",O629=""),"",IF(AC629="",O629+DORA_H_DET/24,IF(AC629-O629&lt;=DORA_H_DET/24,MIN(AC629+DORA_H_CLA/24,O629+DORA_H_DET/24),AC629+DORA_H_CLA/24)))</f>
        <v/>
      </c>
      <c r="BS629" s="35" t="str">
        <f aca="true">IF(BR629="","",IF(AD629="",IF(NOW()&gt;BR629,0,""),IF(AD629&lt;=BR629,1,0)))</f>
        <v/>
      </c>
      <c r="BT629" s="35" t="str">
        <f aca="true">IF(OR(BR629="",AD629=""),"",IF(AE629="",IF(NOW()&gt;AD629+DORA_H_INT/24,0,""),IF(AE629&lt;=AD629+DORA_H_INT/24,1,0)))</f>
        <v/>
      </c>
      <c r="BU629" s="35" t="str">
        <f aca="true">IF(OR(BR629="",AE629=""),"",IF(AF629="",IF(NOW()&gt;EDATE(AE629,DORA_M_FIN)+1,0,""),IF(AF629&lt;=EDATE(AE629,DORA_M_FIN),1,0)))</f>
        <v/>
      </c>
      <c r="BV629" s="35" t="str">
        <f aca="false">IF(BR629="","",IF(COUNT(BS629:BU629)=0,"",MIN(BS629:BU629)))</f>
        <v/>
      </c>
      <c r="BW629" s="40" t="str">
        <f aca="false">IF(AQ629&lt;&gt;1,"",IF(AND(AG629="",AH629=""),"",N(AG629)-N(AH629)))</f>
        <v/>
      </c>
      <c r="BX629" s="35" t="str">
        <f aca="true">IF(OR(AQ629&lt;&gt;1,AI629&lt;&gt;"Oui",AJ629=""),"",IF(AK629="",IF(NOW()&gt;AJ629+1,0,""),IF(AK629&lt;=AJ629,1,0)))</f>
        <v/>
      </c>
    </row>
    <row r="630" customFormat="false" ht="15" hidden="false" customHeight="false" outlineLevel="0" collapsed="false">
      <c r="B630" s="29"/>
      <c r="C630" s="29"/>
      <c r="D630" s="29"/>
      <c r="E630" s="29"/>
      <c r="F630" s="29"/>
      <c r="G630" s="29"/>
      <c r="H630" s="29"/>
      <c r="I630" s="29"/>
      <c r="J630" s="29"/>
      <c r="K630" s="29"/>
      <c r="L630" s="29"/>
      <c r="M630" s="29"/>
      <c r="N630" s="30"/>
      <c r="O630" s="30"/>
      <c r="P630" s="30"/>
      <c r="Q630" s="30"/>
      <c r="R630" s="30"/>
      <c r="S630" s="30"/>
      <c r="T630" s="30"/>
      <c r="U630" s="30"/>
      <c r="V630" s="31"/>
      <c r="W630" s="29"/>
      <c r="X630" s="29"/>
      <c r="Y630" s="29"/>
      <c r="Z630" s="29"/>
      <c r="AA630" s="30"/>
      <c r="AB630" s="30"/>
      <c r="AC630" s="30"/>
      <c r="AD630" s="30"/>
      <c r="AE630" s="30"/>
      <c r="AF630" s="32"/>
      <c r="AG630" s="33"/>
      <c r="AH630" s="33"/>
      <c r="AI630" s="29"/>
      <c r="AJ630" s="32"/>
      <c r="AK630" s="32"/>
      <c r="AL630" s="29"/>
      <c r="AN630" s="34" t="str">
        <f aca="false">IF($B630="","",IF(OR(C630="",D630="",E630="",G630="",I630="",J630="",L630="",O630="",P630=""),"Champ obligatoire manquant",IF(OR(AND(N630&lt;&gt;"",N630&gt;O630),O630&gt;P630,AND(Q630&lt;&gt;"",Q630&lt;P630),AND(R630&lt;&gt;"",R630&lt;P630),AND(S630&lt;&gt;"",S630&lt;R630),AND(S630&lt;&gt;"",R630=""),AND(T630&lt;&gt;"",T630&lt;O630),AND(U630&lt;&gt;"",U630&lt;O630)),"Chronologie incohérente",IF(AND(OR(L630="Résolu",L630="Clos"),R630=""),"Date de résolution manquante",IF(AND(L630="Clos",S630=""),"Date de clôture manquante",IF(AND(K630="Oui",AC630=""),"Classification DORA manquante","OK"))))))</f>
        <v/>
      </c>
      <c r="AO630" s="35" t="str">
        <f aca="false">IF($B630="","",IF(AND(C630="Incident",L630&lt;&gt;"Annulé"),1,0))</f>
        <v/>
      </c>
      <c r="AP630" s="35" t="str">
        <f aca="false">IF($B630="","",IF(AND(C630="Quasi-incident",L630&lt;&gt;"Annulé"),1,0))</f>
        <v/>
      </c>
      <c r="AQ630" s="35" t="str">
        <f aca="false">IF($B630="","",AO630+AP630)</f>
        <v/>
      </c>
      <c r="AR630" s="36" t="str">
        <f aca="false">IF(OR($B630="",J630=""),"",IFERROR(VALUE(LEFT(J630,1)),""))</f>
        <v/>
      </c>
      <c r="AS630" s="35" t="str">
        <f aca="false">IF(OR(AO630&lt;&gt;1,G630=""),"",IFERROR(IF(INDEX(L_SrcInterne,MATCH(G630,L_Sources,0))="Oui",1,0),""))</f>
        <v/>
      </c>
      <c r="AT630" s="37" t="str">
        <f aca="false">IF(AO630&lt;&gt;1,"",IFERROR(ROUND(IF(OR(N630="",O630=""),"",IF(O630&lt;N630,"",ROUND(((NETWORKDAYS(N630,O630,JoursFeries)-1)*(HFer-HOuv)+IF(NETWORKDAYS(O630,O630,JoursFeries),MEDIAN(MOD(O630,1),HFer,HOuv),HFer)-IF(NETWORKDAYS(N630,N630,JoursFeries),MEDIAN(MOD(N630,1),HFer,HOuv),HOuv))*24,4)))/HJour,4),""))</f>
        <v/>
      </c>
      <c r="AU630" s="37" t="str">
        <f aca="false">IF(AO630&lt;&gt;1,"",IF(OR(O630="",P630=""),"",IF(P630&lt;O630,"",ROUND(((NETWORKDAYS(O630,P630,JoursFeries)-1)*(HFer-HOuv)+IF(NETWORKDAYS(P630,P630,JoursFeries),MEDIAN(MOD(P630,1),HFer,HOuv),HFer)-IF(NETWORKDAYS(O630,O630,JoursFeries),MEDIAN(MOD(O630,1),HFer,HOuv),HOuv))*24,4))))</f>
        <v/>
      </c>
      <c r="AV630" s="37" t="str">
        <f aca="false">IF(AO630&lt;&gt;1,"",IF(OR(P630="",Q630=""),"",IF(Q630&lt;P630,"",ROUND(((NETWORKDAYS(P630,Q630,JoursFeries)-1)*(HFer-HOuv)+IF(NETWORKDAYS(Q630,Q630,JoursFeries),MEDIAN(MOD(Q630,1),HFer,HOuv),HFer)-IF(NETWORKDAYS(P630,P630,JoursFeries),MEDIAN(MOD(P630,1),HFer,HOuv),HOuv))*24,4))))</f>
        <v/>
      </c>
      <c r="AW630" s="37" t="str">
        <f aca="false">IF(AO630&lt;&gt;1,"",IFERROR(ROUND(IF(OR(P630="",R630=""),"",IF(R630&lt;P630,"",ROUND(((NETWORKDAYS(P630,R630,JoursFeries)-1)*(HFer-HOuv)+IF(NETWORKDAYS(R630,R630,JoursFeries),MEDIAN(MOD(R630,1),HFer,HOuv),HFer)-IF(NETWORKDAYS(P630,P630,JoursFeries),MEDIAN(MOD(P630,1),HFer,HOuv),HOuv))*24,4)))/HJour,4),""))</f>
        <v/>
      </c>
      <c r="AX630" s="37" t="str">
        <f aca="false">IF(AO630&lt;&gt;1,"",IFERROR(ROUND(IF(OR(P630="",S630=""),"",IF(S630&lt;P630,"",ROUND(((NETWORKDAYS(P630,S630,JoursFeries)-1)*(HFer-HOuv)+IF(NETWORKDAYS(S630,S630,JoursFeries),MEDIAN(MOD(S630,1),HFer,HOuv),HFer)-IF(NETWORKDAYS(P630,P630,JoursFeries),MEDIAN(MOD(P630,1),HFer,HOuv),HOuv))*24,4)))/HJour,4),""))</f>
        <v/>
      </c>
      <c r="AY630" s="36" t="str">
        <f aca="false">IF(OR(AO630&lt;&gt;1,AR630=""),"",INDEX(SLA_PEC,AR630))</f>
        <v/>
      </c>
      <c r="AZ630" s="35" t="str">
        <f aca="false">IF(OR(AV630="",AY630=""),"",IF(AV630&lt;=AY630,1,0))</f>
        <v/>
      </c>
      <c r="BA630" s="36" t="str">
        <f aca="false">IF(OR(AO630&lt;&gt;1,AR630=""),"",INDEX(SLA_RES,AR630))</f>
        <v/>
      </c>
      <c r="BB630" s="35" t="str">
        <f aca="false">IF(OR(AW630="",BA630=""),"",IF(AW630&lt;=BA630,1,0))</f>
        <v/>
      </c>
      <c r="BC630" s="38" t="str">
        <f aca="false">IF(OR(BA630="",P630=""),"",WORKDAY(INT(P630),BA630,JoursFeries)+MOD(P630,1))</f>
        <v/>
      </c>
      <c r="BD630" s="39" t="str">
        <f aca="false">IF(AO630&lt;&gt;1,"",IF(OR(AB630&lt;&gt;"",AD630&lt;&gt;""),4,IF(U630&lt;&gt;"",3,IF(T630&lt;&gt;"",2,1))))</f>
        <v/>
      </c>
      <c r="BE630" s="39" t="str">
        <f aca="false">IF(OR(AO630&lt;&gt;1,AR630=""),"",INDEX(NIV_REQ,AR630))</f>
        <v/>
      </c>
      <c r="BF630" s="39" t="str">
        <f aca="false">IF(BE630="","",MAX(BE630,IF(OR(K630="Oui",Z630="Oui"),4,1)))</f>
        <v/>
      </c>
      <c r="BG630" s="35" t="str">
        <f aca="false">IF(OR(BF630="",BD630=""),"",IF(BD630&gt;=BF630,1,0))</f>
        <v/>
      </c>
      <c r="BH630" s="38" t="str">
        <f aca="false">IF(BE630="","",IF(BE630&lt;2,"",IF(BE630=2,IF(AND(T630="",U630=""),"",MIN(T630,U630)),IF(U630="","",U630))))</f>
        <v/>
      </c>
      <c r="BI630" s="37" t="str">
        <f aca="false">IF(BH630="","",IF(OR(O630="",BH630=""),"",IF(BH630&lt;O630,"",ROUND(((NETWORKDAYS(O630,BH630,JoursFeries)-1)*(HFer-HOuv)+IF(NETWORKDAYS(BH630,BH630,JoursFeries),MEDIAN(MOD(BH630,1),HFer,HOuv),HFer)-IF(NETWORKDAYS(O630,O630,JoursFeries),MEDIAN(MOD(O630,1),HFer,HOuv),HOuv))*24,4))))</f>
        <v/>
      </c>
      <c r="BJ630" s="35" t="str">
        <f aca="false">IF(OR(BI630="",AR630=""),"",IF(BI630&lt;=INDEX(DELAI_ESC,AR630),1,0))</f>
        <v/>
      </c>
      <c r="BK630" s="38" t="str">
        <f aca="false">IF(AO630&lt;&gt;1,"",IF(AND(T630="",U630=""),"",MIN(T630,U630)))</f>
        <v/>
      </c>
      <c r="BL630" s="37" t="str">
        <f aca="false">IF(OR(BK630="",R630=""),"",IFERROR(ROUND(IF(OR(BK630="",R630=""),"",IF(R630&lt;BK630,"",ROUND(((NETWORKDAYS(BK630,R630,JoursFeries)-1)*(HFer-HOuv)+IF(NETWORKDAYS(R630,R630,JoursFeries),MEDIAN(MOD(R630,1),HFer,HOuv),HFer)-IF(NETWORKDAYS(BK630,BK630,JoursFeries),MEDIAN(MOD(BK630,1),HFer,HOuv),HOuv))*24,4)))/HJour,4),""))</f>
        <v/>
      </c>
      <c r="BM630" s="35" t="str">
        <f aca="false">IF(OR(AO630&lt;&gt;1,R630=""),"",IF(BD630=1,1,0))</f>
        <v/>
      </c>
      <c r="BN630" s="35" t="str">
        <f aca="false">IF(AO630&lt;&gt;1,"",IF(W630="Oui",1,0))</f>
        <v/>
      </c>
      <c r="BO630" s="35" t="str">
        <f aca="false">IF(AO630&lt;&gt;1,"",IF(X630&lt;&gt;"",1,0))</f>
        <v/>
      </c>
      <c r="BP630" s="35" t="str">
        <f aca="false">IF(AO630&lt;&gt;1,"",IF(Y630="Oui",1,0))</f>
        <v/>
      </c>
      <c r="BQ630" s="35" t="str">
        <f aca="true">IF(OR(AO630&lt;&gt;1,Z630&lt;&gt;"Oui"),"",IF(AB630="",IF(AND(AA630&lt;&gt;"",NOW()&gt;AA630),0,""),IF(AA630="","",IF(AB630&lt;=AA630,1,0))))</f>
        <v/>
      </c>
      <c r="BR630" s="38" t="str">
        <f aca="false">IF(OR(AO630&lt;&gt;1,K630&lt;&gt;"Oui",O630=""),"",IF(AC630="",O630+DORA_H_DET/24,IF(AC630-O630&lt;=DORA_H_DET/24,MIN(AC630+DORA_H_CLA/24,O630+DORA_H_DET/24),AC630+DORA_H_CLA/24)))</f>
        <v/>
      </c>
      <c r="BS630" s="35" t="str">
        <f aca="true">IF(BR630="","",IF(AD630="",IF(NOW()&gt;BR630,0,""),IF(AD630&lt;=BR630,1,0)))</f>
        <v/>
      </c>
      <c r="BT630" s="35" t="str">
        <f aca="true">IF(OR(BR630="",AD630=""),"",IF(AE630="",IF(NOW()&gt;AD630+DORA_H_INT/24,0,""),IF(AE630&lt;=AD630+DORA_H_INT/24,1,0)))</f>
        <v/>
      </c>
      <c r="BU630" s="35" t="str">
        <f aca="true">IF(OR(BR630="",AE630=""),"",IF(AF630="",IF(NOW()&gt;EDATE(AE630,DORA_M_FIN)+1,0,""),IF(AF630&lt;=EDATE(AE630,DORA_M_FIN),1,0)))</f>
        <v/>
      </c>
      <c r="BV630" s="35" t="str">
        <f aca="false">IF(BR630="","",IF(COUNT(BS630:BU630)=0,"",MIN(BS630:BU630)))</f>
        <v/>
      </c>
      <c r="BW630" s="40" t="str">
        <f aca="false">IF(AQ630&lt;&gt;1,"",IF(AND(AG630="",AH630=""),"",N(AG630)-N(AH630)))</f>
        <v/>
      </c>
      <c r="BX630" s="35" t="str">
        <f aca="true">IF(OR(AQ630&lt;&gt;1,AI630&lt;&gt;"Oui",AJ630=""),"",IF(AK630="",IF(NOW()&gt;AJ630+1,0,""),IF(AK630&lt;=AJ630,1,0)))</f>
        <v/>
      </c>
    </row>
    <row r="631" customFormat="false" ht="15" hidden="false" customHeight="false" outlineLevel="0" collapsed="false">
      <c r="B631" s="29"/>
      <c r="C631" s="29"/>
      <c r="D631" s="29"/>
      <c r="E631" s="29"/>
      <c r="F631" s="29"/>
      <c r="G631" s="29"/>
      <c r="H631" s="29"/>
      <c r="I631" s="29"/>
      <c r="J631" s="29"/>
      <c r="K631" s="29"/>
      <c r="L631" s="29"/>
      <c r="M631" s="29"/>
      <c r="N631" s="30"/>
      <c r="O631" s="30"/>
      <c r="P631" s="30"/>
      <c r="Q631" s="30"/>
      <c r="R631" s="30"/>
      <c r="S631" s="30"/>
      <c r="T631" s="30"/>
      <c r="U631" s="30"/>
      <c r="V631" s="31"/>
      <c r="W631" s="29"/>
      <c r="X631" s="29"/>
      <c r="Y631" s="29"/>
      <c r="Z631" s="29"/>
      <c r="AA631" s="30"/>
      <c r="AB631" s="30"/>
      <c r="AC631" s="30"/>
      <c r="AD631" s="30"/>
      <c r="AE631" s="30"/>
      <c r="AF631" s="32"/>
      <c r="AG631" s="33"/>
      <c r="AH631" s="33"/>
      <c r="AI631" s="29"/>
      <c r="AJ631" s="32"/>
      <c r="AK631" s="32"/>
      <c r="AL631" s="29"/>
      <c r="AN631" s="34" t="str">
        <f aca="false">IF($B631="","",IF(OR(C631="",D631="",E631="",G631="",I631="",J631="",L631="",O631="",P631=""),"Champ obligatoire manquant",IF(OR(AND(N631&lt;&gt;"",N631&gt;O631),O631&gt;P631,AND(Q631&lt;&gt;"",Q631&lt;P631),AND(R631&lt;&gt;"",R631&lt;P631),AND(S631&lt;&gt;"",S631&lt;R631),AND(S631&lt;&gt;"",R631=""),AND(T631&lt;&gt;"",T631&lt;O631),AND(U631&lt;&gt;"",U631&lt;O631)),"Chronologie incohérente",IF(AND(OR(L631="Résolu",L631="Clos"),R631=""),"Date de résolution manquante",IF(AND(L631="Clos",S631=""),"Date de clôture manquante",IF(AND(K631="Oui",AC631=""),"Classification DORA manquante","OK"))))))</f>
        <v/>
      </c>
      <c r="AO631" s="35" t="str">
        <f aca="false">IF($B631="","",IF(AND(C631="Incident",L631&lt;&gt;"Annulé"),1,0))</f>
        <v/>
      </c>
      <c r="AP631" s="35" t="str">
        <f aca="false">IF($B631="","",IF(AND(C631="Quasi-incident",L631&lt;&gt;"Annulé"),1,0))</f>
        <v/>
      </c>
      <c r="AQ631" s="35" t="str">
        <f aca="false">IF($B631="","",AO631+AP631)</f>
        <v/>
      </c>
      <c r="AR631" s="36" t="str">
        <f aca="false">IF(OR($B631="",J631=""),"",IFERROR(VALUE(LEFT(J631,1)),""))</f>
        <v/>
      </c>
      <c r="AS631" s="35" t="str">
        <f aca="false">IF(OR(AO631&lt;&gt;1,G631=""),"",IFERROR(IF(INDEX(L_SrcInterne,MATCH(G631,L_Sources,0))="Oui",1,0),""))</f>
        <v/>
      </c>
      <c r="AT631" s="37" t="str">
        <f aca="false">IF(AO631&lt;&gt;1,"",IFERROR(ROUND(IF(OR(N631="",O631=""),"",IF(O631&lt;N631,"",ROUND(((NETWORKDAYS(N631,O631,JoursFeries)-1)*(HFer-HOuv)+IF(NETWORKDAYS(O631,O631,JoursFeries),MEDIAN(MOD(O631,1),HFer,HOuv),HFer)-IF(NETWORKDAYS(N631,N631,JoursFeries),MEDIAN(MOD(N631,1),HFer,HOuv),HOuv))*24,4)))/HJour,4),""))</f>
        <v/>
      </c>
      <c r="AU631" s="37" t="str">
        <f aca="false">IF(AO631&lt;&gt;1,"",IF(OR(O631="",P631=""),"",IF(P631&lt;O631,"",ROUND(((NETWORKDAYS(O631,P631,JoursFeries)-1)*(HFer-HOuv)+IF(NETWORKDAYS(P631,P631,JoursFeries),MEDIAN(MOD(P631,1),HFer,HOuv),HFer)-IF(NETWORKDAYS(O631,O631,JoursFeries),MEDIAN(MOD(O631,1),HFer,HOuv),HOuv))*24,4))))</f>
        <v/>
      </c>
      <c r="AV631" s="37" t="str">
        <f aca="false">IF(AO631&lt;&gt;1,"",IF(OR(P631="",Q631=""),"",IF(Q631&lt;P631,"",ROUND(((NETWORKDAYS(P631,Q631,JoursFeries)-1)*(HFer-HOuv)+IF(NETWORKDAYS(Q631,Q631,JoursFeries),MEDIAN(MOD(Q631,1),HFer,HOuv),HFer)-IF(NETWORKDAYS(P631,P631,JoursFeries),MEDIAN(MOD(P631,1),HFer,HOuv),HOuv))*24,4))))</f>
        <v/>
      </c>
      <c r="AW631" s="37" t="str">
        <f aca="false">IF(AO631&lt;&gt;1,"",IFERROR(ROUND(IF(OR(P631="",R631=""),"",IF(R631&lt;P631,"",ROUND(((NETWORKDAYS(P631,R631,JoursFeries)-1)*(HFer-HOuv)+IF(NETWORKDAYS(R631,R631,JoursFeries),MEDIAN(MOD(R631,1),HFer,HOuv),HFer)-IF(NETWORKDAYS(P631,P631,JoursFeries),MEDIAN(MOD(P631,1),HFer,HOuv),HOuv))*24,4)))/HJour,4),""))</f>
        <v/>
      </c>
      <c r="AX631" s="37" t="str">
        <f aca="false">IF(AO631&lt;&gt;1,"",IFERROR(ROUND(IF(OR(P631="",S631=""),"",IF(S631&lt;P631,"",ROUND(((NETWORKDAYS(P631,S631,JoursFeries)-1)*(HFer-HOuv)+IF(NETWORKDAYS(S631,S631,JoursFeries),MEDIAN(MOD(S631,1),HFer,HOuv),HFer)-IF(NETWORKDAYS(P631,P631,JoursFeries),MEDIAN(MOD(P631,1),HFer,HOuv),HOuv))*24,4)))/HJour,4),""))</f>
        <v/>
      </c>
      <c r="AY631" s="36" t="str">
        <f aca="false">IF(OR(AO631&lt;&gt;1,AR631=""),"",INDEX(SLA_PEC,AR631))</f>
        <v/>
      </c>
      <c r="AZ631" s="35" t="str">
        <f aca="false">IF(OR(AV631="",AY631=""),"",IF(AV631&lt;=AY631,1,0))</f>
        <v/>
      </c>
      <c r="BA631" s="36" t="str">
        <f aca="false">IF(OR(AO631&lt;&gt;1,AR631=""),"",INDEX(SLA_RES,AR631))</f>
        <v/>
      </c>
      <c r="BB631" s="35" t="str">
        <f aca="false">IF(OR(AW631="",BA631=""),"",IF(AW631&lt;=BA631,1,0))</f>
        <v/>
      </c>
      <c r="BC631" s="38" t="str">
        <f aca="false">IF(OR(BA631="",P631=""),"",WORKDAY(INT(P631),BA631,JoursFeries)+MOD(P631,1))</f>
        <v/>
      </c>
      <c r="BD631" s="39" t="str">
        <f aca="false">IF(AO631&lt;&gt;1,"",IF(OR(AB631&lt;&gt;"",AD631&lt;&gt;""),4,IF(U631&lt;&gt;"",3,IF(T631&lt;&gt;"",2,1))))</f>
        <v/>
      </c>
      <c r="BE631" s="39" t="str">
        <f aca="false">IF(OR(AO631&lt;&gt;1,AR631=""),"",INDEX(NIV_REQ,AR631))</f>
        <v/>
      </c>
      <c r="BF631" s="39" t="str">
        <f aca="false">IF(BE631="","",MAX(BE631,IF(OR(K631="Oui",Z631="Oui"),4,1)))</f>
        <v/>
      </c>
      <c r="BG631" s="35" t="str">
        <f aca="false">IF(OR(BF631="",BD631=""),"",IF(BD631&gt;=BF631,1,0))</f>
        <v/>
      </c>
      <c r="BH631" s="38" t="str">
        <f aca="false">IF(BE631="","",IF(BE631&lt;2,"",IF(BE631=2,IF(AND(T631="",U631=""),"",MIN(T631,U631)),IF(U631="","",U631))))</f>
        <v/>
      </c>
      <c r="BI631" s="37" t="str">
        <f aca="false">IF(BH631="","",IF(OR(O631="",BH631=""),"",IF(BH631&lt;O631,"",ROUND(((NETWORKDAYS(O631,BH631,JoursFeries)-1)*(HFer-HOuv)+IF(NETWORKDAYS(BH631,BH631,JoursFeries),MEDIAN(MOD(BH631,1),HFer,HOuv),HFer)-IF(NETWORKDAYS(O631,O631,JoursFeries),MEDIAN(MOD(O631,1),HFer,HOuv),HOuv))*24,4))))</f>
        <v/>
      </c>
      <c r="BJ631" s="35" t="str">
        <f aca="false">IF(OR(BI631="",AR631=""),"",IF(BI631&lt;=INDEX(DELAI_ESC,AR631),1,0))</f>
        <v/>
      </c>
      <c r="BK631" s="38" t="str">
        <f aca="false">IF(AO631&lt;&gt;1,"",IF(AND(T631="",U631=""),"",MIN(T631,U631)))</f>
        <v/>
      </c>
      <c r="BL631" s="37" t="str">
        <f aca="false">IF(OR(BK631="",R631=""),"",IFERROR(ROUND(IF(OR(BK631="",R631=""),"",IF(R631&lt;BK631,"",ROUND(((NETWORKDAYS(BK631,R631,JoursFeries)-1)*(HFer-HOuv)+IF(NETWORKDAYS(R631,R631,JoursFeries),MEDIAN(MOD(R631,1),HFer,HOuv),HFer)-IF(NETWORKDAYS(BK631,BK631,JoursFeries),MEDIAN(MOD(BK631,1),HFer,HOuv),HOuv))*24,4)))/HJour,4),""))</f>
        <v/>
      </c>
      <c r="BM631" s="35" t="str">
        <f aca="false">IF(OR(AO631&lt;&gt;1,R631=""),"",IF(BD631=1,1,0))</f>
        <v/>
      </c>
      <c r="BN631" s="35" t="str">
        <f aca="false">IF(AO631&lt;&gt;1,"",IF(W631="Oui",1,0))</f>
        <v/>
      </c>
      <c r="BO631" s="35" t="str">
        <f aca="false">IF(AO631&lt;&gt;1,"",IF(X631&lt;&gt;"",1,0))</f>
        <v/>
      </c>
      <c r="BP631" s="35" t="str">
        <f aca="false">IF(AO631&lt;&gt;1,"",IF(Y631="Oui",1,0))</f>
        <v/>
      </c>
      <c r="BQ631" s="35" t="str">
        <f aca="true">IF(OR(AO631&lt;&gt;1,Z631&lt;&gt;"Oui"),"",IF(AB631="",IF(AND(AA631&lt;&gt;"",NOW()&gt;AA631),0,""),IF(AA631="","",IF(AB631&lt;=AA631,1,0))))</f>
        <v/>
      </c>
      <c r="BR631" s="38" t="str">
        <f aca="false">IF(OR(AO631&lt;&gt;1,K631&lt;&gt;"Oui",O631=""),"",IF(AC631="",O631+DORA_H_DET/24,IF(AC631-O631&lt;=DORA_H_DET/24,MIN(AC631+DORA_H_CLA/24,O631+DORA_H_DET/24),AC631+DORA_H_CLA/24)))</f>
        <v/>
      </c>
      <c r="BS631" s="35" t="str">
        <f aca="true">IF(BR631="","",IF(AD631="",IF(NOW()&gt;BR631,0,""),IF(AD631&lt;=BR631,1,0)))</f>
        <v/>
      </c>
      <c r="BT631" s="35" t="str">
        <f aca="true">IF(OR(BR631="",AD631=""),"",IF(AE631="",IF(NOW()&gt;AD631+DORA_H_INT/24,0,""),IF(AE631&lt;=AD631+DORA_H_INT/24,1,0)))</f>
        <v/>
      </c>
      <c r="BU631" s="35" t="str">
        <f aca="true">IF(OR(BR631="",AE631=""),"",IF(AF631="",IF(NOW()&gt;EDATE(AE631,DORA_M_FIN)+1,0,""),IF(AF631&lt;=EDATE(AE631,DORA_M_FIN),1,0)))</f>
        <v/>
      </c>
      <c r="BV631" s="35" t="str">
        <f aca="false">IF(BR631="","",IF(COUNT(BS631:BU631)=0,"",MIN(BS631:BU631)))</f>
        <v/>
      </c>
      <c r="BW631" s="40" t="str">
        <f aca="false">IF(AQ631&lt;&gt;1,"",IF(AND(AG631="",AH631=""),"",N(AG631)-N(AH631)))</f>
        <v/>
      </c>
      <c r="BX631" s="35" t="str">
        <f aca="true">IF(OR(AQ631&lt;&gt;1,AI631&lt;&gt;"Oui",AJ631=""),"",IF(AK631="",IF(NOW()&gt;AJ631+1,0,""),IF(AK631&lt;=AJ631,1,0)))</f>
        <v/>
      </c>
    </row>
    <row r="632" customFormat="false" ht="15" hidden="false" customHeight="false" outlineLevel="0" collapsed="false">
      <c r="B632" s="29"/>
      <c r="C632" s="29"/>
      <c r="D632" s="29"/>
      <c r="E632" s="29"/>
      <c r="F632" s="29"/>
      <c r="G632" s="29"/>
      <c r="H632" s="29"/>
      <c r="I632" s="29"/>
      <c r="J632" s="29"/>
      <c r="K632" s="29"/>
      <c r="L632" s="29"/>
      <c r="M632" s="29"/>
      <c r="N632" s="30"/>
      <c r="O632" s="30"/>
      <c r="P632" s="30"/>
      <c r="Q632" s="30"/>
      <c r="R632" s="30"/>
      <c r="S632" s="30"/>
      <c r="T632" s="30"/>
      <c r="U632" s="30"/>
      <c r="V632" s="31"/>
      <c r="W632" s="29"/>
      <c r="X632" s="29"/>
      <c r="Y632" s="29"/>
      <c r="Z632" s="29"/>
      <c r="AA632" s="30"/>
      <c r="AB632" s="30"/>
      <c r="AC632" s="30"/>
      <c r="AD632" s="30"/>
      <c r="AE632" s="30"/>
      <c r="AF632" s="32"/>
      <c r="AG632" s="33"/>
      <c r="AH632" s="33"/>
      <c r="AI632" s="29"/>
      <c r="AJ632" s="32"/>
      <c r="AK632" s="32"/>
      <c r="AL632" s="29"/>
      <c r="AN632" s="34" t="str">
        <f aca="false">IF($B632="","",IF(OR(C632="",D632="",E632="",G632="",I632="",J632="",L632="",O632="",P632=""),"Champ obligatoire manquant",IF(OR(AND(N632&lt;&gt;"",N632&gt;O632),O632&gt;P632,AND(Q632&lt;&gt;"",Q632&lt;P632),AND(R632&lt;&gt;"",R632&lt;P632),AND(S632&lt;&gt;"",S632&lt;R632),AND(S632&lt;&gt;"",R632=""),AND(T632&lt;&gt;"",T632&lt;O632),AND(U632&lt;&gt;"",U632&lt;O632)),"Chronologie incohérente",IF(AND(OR(L632="Résolu",L632="Clos"),R632=""),"Date de résolution manquante",IF(AND(L632="Clos",S632=""),"Date de clôture manquante",IF(AND(K632="Oui",AC632=""),"Classification DORA manquante","OK"))))))</f>
        <v/>
      </c>
      <c r="AO632" s="35" t="str">
        <f aca="false">IF($B632="","",IF(AND(C632="Incident",L632&lt;&gt;"Annulé"),1,0))</f>
        <v/>
      </c>
      <c r="AP632" s="35" t="str">
        <f aca="false">IF($B632="","",IF(AND(C632="Quasi-incident",L632&lt;&gt;"Annulé"),1,0))</f>
        <v/>
      </c>
      <c r="AQ632" s="35" t="str">
        <f aca="false">IF($B632="","",AO632+AP632)</f>
        <v/>
      </c>
      <c r="AR632" s="36" t="str">
        <f aca="false">IF(OR($B632="",J632=""),"",IFERROR(VALUE(LEFT(J632,1)),""))</f>
        <v/>
      </c>
      <c r="AS632" s="35" t="str">
        <f aca="false">IF(OR(AO632&lt;&gt;1,G632=""),"",IFERROR(IF(INDEX(L_SrcInterne,MATCH(G632,L_Sources,0))="Oui",1,0),""))</f>
        <v/>
      </c>
      <c r="AT632" s="37" t="str">
        <f aca="false">IF(AO632&lt;&gt;1,"",IFERROR(ROUND(IF(OR(N632="",O632=""),"",IF(O632&lt;N632,"",ROUND(((NETWORKDAYS(N632,O632,JoursFeries)-1)*(HFer-HOuv)+IF(NETWORKDAYS(O632,O632,JoursFeries),MEDIAN(MOD(O632,1),HFer,HOuv),HFer)-IF(NETWORKDAYS(N632,N632,JoursFeries),MEDIAN(MOD(N632,1),HFer,HOuv),HOuv))*24,4)))/HJour,4),""))</f>
        <v/>
      </c>
      <c r="AU632" s="37" t="str">
        <f aca="false">IF(AO632&lt;&gt;1,"",IF(OR(O632="",P632=""),"",IF(P632&lt;O632,"",ROUND(((NETWORKDAYS(O632,P632,JoursFeries)-1)*(HFer-HOuv)+IF(NETWORKDAYS(P632,P632,JoursFeries),MEDIAN(MOD(P632,1),HFer,HOuv),HFer)-IF(NETWORKDAYS(O632,O632,JoursFeries),MEDIAN(MOD(O632,1),HFer,HOuv),HOuv))*24,4))))</f>
        <v/>
      </c>
      <c r="AV632" s="37" t="str">
        <f aca="false">IF(AO632&lt;&gt;1,"",IF(OR(P632="",Q632=""),"",IF(Q632&lt;P632,"",ROUND(((NETWORKDAYS(P632,Q632,JoursFeries)-1)*(HFer-HOuv)+IF(NETWORKDAYS(Q632,Q632,JoursFeries),MEDIAN(MOD(Q632,1),HFer,HOuv),HFer)-IF(NETWORKDAYS(P632,P632,JoursFeries),MEDIAN(MOD(P632,1),HFer,HOuv),HOuv))*24,4))))</f>
        <v/>
      </c>
      <c r="AW632" s="37" t="str">
        <f aca="false">IF(AO632&lt;&gt;1,"",IFERROR(ROUND(IF(OR(P632="",R632=""),"",IF(R632&lt;P632,"",ROUND(((NETWORKDAYS(P632,R632,JoursFeries)-1)*(HFer-HOuv)+IF(NETWORKDAYS(R632,R632,JoursFeries),MEDIAN(MOD(R632,1),HFer,HOuv),HFer)-IF(NETWORKDAYS(P632,P632,JoursFeries),MEDIAN(MOD(P632,1),HFer,HOuv),HOuv))*24,4)))/HJour,4),""))</f>
        <v/>
      </c>
      <c r="AX632" s="37" t="str">
        <f aca="false">IF(AO632&lt;&gt;1,"",IFERROR(ROUND(IF(OR(P632="",S632=""),"",IF(S632&lt;P632,"",ROUND(((NETWORKDAYS(P632,S632,JoursFeries)-1)*(HFer-HOuv)+IF(NETWORKDAYS(S632,S632,JoursFeries),MEDIAN(MOD(S632,1),HFer,HOuv),HFer)-IF(NETWORKDAYS(P632,P632,JoursFeries),MEDIAN(MOD(P632,1),HFer,HOuv),HOuv))*24,4)))/HJour,4),""))</f>
        <v/>
      </c>
      <c r="AY632" s="36" t="str">
        <f aca="false">IF(OR(AO632&lt;&gt;1,AR632=""),"",INDEX(SLA_PEC,AR632))</f>
        <v/>
      </c>
      <c r="AZ632" s="35" t="str">
        <f aca="false">IF(OR(AV632="",AY632=""),"",IF(AV632&lt;=AY632,1,0))</f>
        <v/>
      </c>
      <c r="BA632" s="36" t="str">
        <f aca="false">IF(OR(AO632&lt;&gt;1,AR632=""),"",INDEX(SLA_RES,AR632))</f>
        <v/>
      </c>
      <c r="BB632" s="35" t="str">
        <f aca="false">IF(OR(AW632="",BA632=""),"",IF(AW632&lt;=BA632,1,0))</f>
        <v/>
      </c>
      <c r="BC632" s="38" t="str">
        <f aca="false">IF(OR(BA632="",P632=""),"",WORKDAY(INT(P632),BA632,JoursFeries)+MOD(P632,1))</f>
        <v/>
      </c>
      <c r="BD632" s="39" t="str">
        <f aca="false">IF(AO632&lt;&gt;1,"",IF(OR(AB632&lt;&gt;"",AD632&lt;&gt;""),4,IF(U632&lt;&gt;"",3,IF(T632&lt;&gt;"",2,1))))</f>
        <v/>
      </c>
      <c r="BE632" s="39" t="str">
        <f aca="false">IF(OR(AO632&lt;&gt;1,AR632=""),"",INDEX(NIV_REQ,AR632))</f>
        <v/>
      </c>
      <c r="BF632" s="39" t="str">
        <f aca="false">IF(BE632="","",MAX(BE632,IF(OR(K632="Oui",Z632="Oui"),4,1)))</f>
        <v/>
      </c>
      <c r="BG632" s="35" t="str">
        <f aca="false">IF(OR(BF632="",BD632=""),"",IF(BD632&gt;=BF632,1,0))</f>
        <v/>
      </c>
      <c r="BH632" s="38" t="str">
        <f aca="false">IF(BE632="","",IF(BE632&lt;2,"",IF(BE632=2,IF(AND(T632="",U632=""),"",MIN(T632,U632)),IF(U632="","",U632))))</f>
        <v/>
      </c>
      <c r="BI632" s="37" t="str">
        <f aca="false">IF(BH632="","",IF(OR(O632="",BH632=""),"",IF(BH632&lt;O632,"",ROUND(((NETWORKDAYS(O632,BH632,JoursFeries)-1)*(HFer-HOuv)+IF(NETWORKDAYS(BH632,BH632,JoursFeries),MEDIAN(MOD(BH632,1),HFer,HOuv),HFer)-IF(NETWORKDAYS(O632,O632,JoursFeries),MEDIAN(MOD(O632,1),HFer,HOuv),HOuv))*24,4))))</f>
        <v/>
      </c>
      <c r="BJ632" s="35" t="str">
        <f aca="false">IF(OR(BI632="",AR632=""),"",IF(BI632&lt;=INDEX(DELAI_ESC,AR632),1,0))</f>
        <v/>
      </c>
      <c r="BK632" s="38" t="str">
        <f aca="false">IF(AO632&lt;&gt;1,"",IF(AND(T632="",U632=""),"",MIN(T632,U632)))</f>
        <v/>
      </c>
      <c r="BL632" s="37" t="str">
        <f aca="false">IF(OR(BK632="",R632=""),"",IFERROR(ROUND(IF(OR(BK632="",R632=""),"",IF(R632&lt;BK632,"",ROUND(((NETWORKDAYS(BK632,R632,JoursFeries)-1)*(HFer-HOuv)+IF(NETWORKDAYS(R632,R632,JoursFeries),MEDIAN(MOD(R632,1),HFer,HOuv),HFer)-IF(NETWORKDAYS(BK632,BK632,JoursFeries),MEDIAN(MOD(BK632,1),HFer,HOuv),HOuv))*24,4)))/HJour,4),""))</f>
        <v/>
      </c>
      <c r="BM632" s="35" t="str">
        <f aca="false">IF(OR(AO632&lt;&gt;1,R632=""),"",IF(BD632=1,1,0))</f>
        <v/>
      </c>
      <c r="BN632" s="35" t="str">
        <f aca="false">IF(AO632&lt;&gt;1,"",IF(W632="Oui",1,0))</f>
        <v/>
      </c>
      <c r="BO632" s="35" t="str">
        <f aca="false">IF(AO632&lt;&gt;1,"",IF(X632&lt;&gt;"",1,0))</f>
        <v/>
      </c>
      <c r="BP632" s="35" t="str">
        <f aca="false">IF(AO632&lt;&gt;1,"",IF(Y632="Oui",1,0))</f>
        <v/>
      </c>
      <c r="BQ632" s="35" t="str">
        <f aca="true">IF(OR(AO632&lt;&gt;1,Z632&lt;&gt;"Oui"),"",IF(AB632="",IF(AND(AA632&lt;&gt;"",NOW()&gt;AA632),0,""),IF(AA632="","",IF(AB632&lt;=AA632,1,0))))</f>
        <v/>
      </c>
      <c r="BR632" s="38" t="str">
        <f aca="false">IF(OR(AO632&lt;&gt;1,K632&lt;&gt;"Oui",O632=""),"",IF(AC632="",O632+DORA_H_DET/24,IF(AC632-O632&lt;=DORA_H_DET/24,MIN(AC632+DORA_H_CLA/24,O632+DORA_H_DET/24),AC632+DORA_H_CLA/24)))</f>
        <v/>
      </c>
      <c r="BS632" s="35" t="str">
        <f aca="true">IF(BR632="","",IF(AD632="",IF(NOW()&gt;BR632,0,""),IF(AD632&lt;=BR632,1,0)))</f>
        <v/>
      </c>
      <c r="BT632" s="35" t="str">
        <f aca="true">IF(OR(BR632="",AD632=""),"",IF(AE632="",IF(NOW()&gt;AD632+DORA_H_INT/24,0,""),IF(AE632&lt;=AD632+DORA_H_INT/24,1,0)))</f>
        <v/>
      </c>
      <c r="BU632" s="35" t="str">
        <f aca="true">IF(OR(BR632="",AE632=""),"",IF(AF632="",IF(NOW()&gt;EDATE(AE632,DORA_M_FIN)+1,0,""),IF(AF632&lt;=EDATE(AE632,DORA_M_FIN),1,0)))</f>
        <v/>
      </c>
      <c r="BV632" s="35" t="str">
        <f aca="false">IF(BR632="","",IF(COUNT(BS632:BU632)=0,"",MIN(BS632:BU632)))</f>
        <v/>
      </c>
      <c r="BW632" s="40" t="str">
        <f aca="false">IF(AQ632&lt;&gt;1,"",IF(AND(AG632="",AH632=""),"",N(AG632)-N(AH632)))</f>
        <v/>
      </c>
      <c r="BX632" s="35" t="str">
        <f aca="true">IF(OR(AQ632&lt;&gt;1,AI632&lt;&gt;"Oui",AJ632=""),"",IF(AK632="",IF(NOW()&gt;AJ632+1,0,""),IF(AK632&lt;=AJ632,1,0)))</f>
        <v/>
      </c>
    </row>
    <row r="633" customFormat="false" ht="15" hidden="false" customHeight="false" outlineLevel="0" collapsed="false">
      <c r="B633" s="29"/>
      <c r="C633" s="29"/>
      <c r="D633" s="29"/>
      <c r="E633" s="29"/>
      <c r="F633" s="29"/>
      <c r="G633" s="29"/>
      <c r="H633" s="29"/>
      <c r="I633" s="29"/>
      <c r="J633" s="29"/>
      <c r="K633" s="29"/>
      <c r="L633" s="29"/>
      <c r="M633" s="29"/>
      <c r="N633" s="30"/>
      <c r="O633" s="30"/>
      <c r="P633" s="30"/>
      <c r="Q633" s="30"/>
      <c r="R633" s="30"/>
      <c r="S633" s="30"/>
      <c r="T633" s="30"/>
      <c r="U633" s="30"/>
      <c r="V633" s="31"/>
      <c r="W633" s="29"/>
      <c r="X633" s="29"/>
      <c r="Y633" s="29"/>
      <c r="Z633" s="29"/>
      <c r="AA633" s="30"/>
      <c r="AB633" s="30"/>
      <c r="AC633" s="30"/>
      <c r="AD633" s="30"/>
      <c r="AE633" s="30"/>
      <c r="AF633" s="32"/>
      <c r="AG633" s="33"/>
      <c r="AH633" s="33"/>
      <c r="AI633" s="29"/>
      <c r="AJ633" s="32"/>
      <c r="AK633" s="32"/>
      <c r="AL633" s="29"/>
      <c r="AN633" s="34" t="str">
        <f aca="false">IF($B633="","",IF(OR(C633="",D633="",E633="",G633="",I633="",J633="",L633="",O633="",P633=""),"Champ obligatoire manquant",IF(OR(AND(N633&lt;&gt;"",N633&gt;O633),O633&gt;P633,AND(Q633&lt;&gt;"",Q633&lt;P633),AND(R633&lt;&gt;"",R633&lt;P633),AND(S633&lt;&gt;"",S633&lt;R633),AND(S633&lt;&gt;"",R633=""),AND(T633&lt;&gt;"",T633&lt;O633),AND(U633&lt;&gt;"",U633&lt;O633)),"Chronologie incohérente",IF(AND(OR(L633="Résolu",L633="Clos"),R633=""),"Date de résolution manquante",IF(AND(L633="Clos",S633=""),"Date de clôture manquante",IF(AND(K633="Oui",AC633=""),"Classification DORA manquante","OK"))))))</f>
        <v/>
      </c>
      <c r="AO633" s="35" t="str">
        <f aca="false">IF($B633="","",IF(AND(C633="Incident",L633&lt;&gt;"Annulé"),1,0))</f>
        <v/>
      </c>
      <c r="AP633" s="35" t="str">
        <f aca="false">IF($B633="","",IF(AND(C633="Quasi-incident",L633&lt;&gt;"Annulé"),1,0))</f>
        <v/>
      </c>
      <c r="AQ633" s="35" t="str">
        <f aca="false">IF($B633="","",AO633+AP633)</f>
        <v/>
      </c>
      <c r="AR633" s="36" t="str">
        <f aca="false">IF(OR($B633="",J633=""),"",IFERROR(VALUE(LEFT(J633,1)),""))</f>
        <v/>
      </c>
      <c r="AS633" s="35" t="str">
        <f aca="false">IF(OR(AO633&lt;&gt;1,G633=""),"",IFERROR(IF(INDEX(L_SrcInterne,MATCH(G633,L_Sources,0))="Oui",1,0),""))</f>
        <v/>
      </c>
      <c r="AT633" s="37" t="str">
        <f aca="false">IF(AO633&lt;&gt;1,"",IFERROR(ROUND(IF(OR(N633="",O633=""),"",IF(O633&lt;N633,"",ROUND(((NETWORKDAYS(N633,O633,JoursFeries)-1)*(HFer-HOuv)+IF(NETWORKDAYS(O633,O633,JoursFeries),MEDIAN(MOD(O633,1),HFer,HOuv),HFer)-IF(NETWORKDAYS(N633,N633,JoursFeries),MEDIAN(MOD(N633,1),HFer,HOuv),HOuv))*24,4)))/HJour,4),""))</f>
        <v/>
      </c>
      <c r="AU633" s="37" t="str">
        <f aca="false">IF(AO633&lt;&gt;1,"",IF(OR(O633="",P633=""),"",IF(P633&lt;O633,"",ROUND(((NETWORKDAYS(O633,P633,JoursFeries)-1)*(HFer-HOuv)+IF(NETWORKDAYS(P633,P633,JoursFeries),MEDIAN(MOD(P633,1),HFer,HOuv),HFer)-IF(NETWORKDAYS(O633,O633,JoursFeries),MEDIAN(MOD(O633,1),HFer,HOuv),HOuv))*24,4))))</f>
        <v/>
      </c>
      <c r="AV633" s="37" t="str">
        <f aca="false">IF(AO633&lt;&gt;1,"",IF(OR(P633="",Q633=""),"",IF(Q633&lt;P633,"",ROUND(((NETWORKDAYS(P633,Q633,JoursFeries)-1)*(HFer-HOuv)+IF(NETWORKDAYS(Q633,Q633,JoursFeries),MEDIAN(MOD(Q633,1),HFer,HOuv),HFer)-IF(NETWORKDAYS(P633,P633,JoursFeries),MEDIAN(MOD(P633,1),HFer,HOuv),HOuv))*24,4))))</f>
        <v/>
      </c>
      <c r="AW633" s="37" t="str">
        <f aca="false">IF(AO633&lt;&gt;1,"",IFERROR(ROUND(IF(OR(P633="",R633=""),"",IF(R633&lt;P633,"",ROUND(((NETWORKDAYS(P633,R633,JoursFeries)-1)*(HFer-HOuv)+IF(NETWORKDAYS(R633,R633,JoursFeries),MEDIAN(MOD(R633,1),HFer,HOuv),HFer)-IF(NETWORKDAYS(P633,P633,JoursFeries),MEDIAN(MOD(P633,1),HFer,HOuv),HOuv))*24,4)))/HJour,4),""))</f>
        <v/>
      </c>
      <c r="AX633" s="37" t="str">
        <f aca="false">IF(AO633&lt;&gt;1,"",IFERROR(ROUND(IF(OR(P633="",S633=""),"",IF(S633&lt;P633,"",ROUND(((NETWORKDAYS(P633,S633,JoursFeries)-1)*(HFer-HOuv)+IF(NETWORKDAYS(S633,S633,JoursFeries),MEDIAN(MOD(S633,1),HFer,HOuv),HFer)-IF(NETWORKDAYS(P633,P633,JoursFeries),MEDIAN(MOD(P633,1),HFer,HOuv),HOuv))*24,4)))/HJour,4),""))</f>
        <v/>
      </c>
      <c r="AY633" s="36" t="str">
        <f aca="false">IF(OR(AO633&lt;&gt;1,AR633=""),"",INDEX(SLA_PEC,AR633))</f>
        <v/>
      </c>
      <c r="AZ633" s="35" t="str">
        <f aca="false">IF(OR(AV633="",AY633=""),"",IF(AV633&lt;=AY633,1,0))</f>
        <v/>
      </c>
      <c r="BA633" s="36" t="str">
        <f aca="false">IF(OR(AO633&lt;&gt;1,AR633=""),"",INDEX(SLA_RES,AR633))</f>
        <v/>
      </c>
      <c r="BB633" s="35" t="str">
        <f aca="false">IF(OR(AW633="",BA633=""),"",IF(AW633&lt;=BA633,1,0))</f>
        <v/>
      </c>
      <c r="BC633" s="38" t="str">
        <f aca="false">IF(OR(BA633="",P633=""),"",WORKDAY(INT(P633),BA633,JoursFeries)+MOD(P633,1))</f>
        <v/>
      </c>
      <c r="BD633" s="39" t="str">
        <f aca="false">IF(AO633&lt;&gt;1,"",IF(OR(AB633&lt;&gt;"",AD633&lt;&gt;""),4,IF(U633&lt;&gt;"",3,IF(T633&lt;&gt;"",2,1))))</f>
        <v/>
      </c>
      <c r="BE633" s="39" t="str">
        <f aca="false">IF(OR(AO633&lt;&gt;1,AR633=""),"",INDEX(NIV_REQ,AR633))</f>
        <v/>
      </c>
      <c r="BF633" s="39" t="str">
        <f aca="false">IF(BE633="","",MAX(BE633,IF(OR(K633="Oui",Z633="Oui"),4,1)))</f>
        <v/>
      </c>
      <c r="BG633" s="35" t="str">
        <f aca="false">IF(OR(BF633="",BD633=""),"",IF(BD633&gt;=BF633,1,0))</f>
        <v/>
      </c>
      <c r="BH633" s="38" t="str">
        <f aca="false">IF(BE633="","",IF(BE633&lt;2,"",IF(BE633=2,IF(AND(T633="",U633=""),"",MIN(T633,U633)),IF(U633="","",U633))))</f>
        <v/>
      </c>
      <c r="BI633" s="37" t="str">
        <f aca="false">IF(BH633="","",IF(OR(O633="",BH633=""),"",IF(BH633&lt;O633,"",ROUND(((NETWORKDAYS(O633,BH633,JoursFeries)-1)*(HFer-HOuv)+IF(NETWORKDAYS(BH633,BH633,JoursFeries),MEDIAN(MOD(BH633,1),HFer,HOuv),HFer)-IF(NETWORKDAYS(O633,O633,JoursFeries),MEDIAN(MOD(O633,1),HFer,HOuv),HOuv))*24,4))))</f>
        <v/>
      </c>
      <c r="BJ633" s="35" t="str">
        <f aca="false">IF(OR(BI633="",AR633=""),"",IF(BI633&lt;=INDEX(DELAI_ESC,AR633),1,0))</f>
        <v/>
      </c>
      <c r="BK633" s="38" t="str">
        <f aca="false">IF(AO633&lt;&gt;1,"",IF(AND(T633="",U633=""),"",MIN(T633,U633)))</f>
        <v/>
      </c>
      <c r="BL633" s="37" t="str">
        <f aca="false">IF(OR(BK633="",R633=""),"",IFERROR(ROUND(IF(OR(BK633="",R633=""),"",IF(R633&lt;BK633,"",ROUND(((NETWORKDAYS(BK633,R633,JoursFeries)-1)*(HFer-HOuv)+IF(NETWORKDAYS(R633,R633,JoursFeries),MEDIAN(MOD(R633,1),HFer,HOuv),HFer)-IF(NETWORKDAYS(BK633,BK633,JoursFeries),MEDIAN(MOD(BK633,1),HFer,HOuv),HOuv))*24,4)))/HJour,4),""))</f>
        <v/>
      </c>
      <c r="BM633" s="35" t="str">
        <f aca="false">IF(OR(AO633&lt;&gt;1,R633=""),"",IF(BD633=1,1,0))</f>
        <v/>
      </c>
      <c r="BN633" s="35" t="str">
        <f aca="false">IF(AO633&lt;&gt;1,"",IF(W633="Oui",1,0))</f>
        <v/>
      </c>
      <c r="BO633" s="35" t="str">
        <f aca="false">IF(AO633&lt;&gt;1,"",IF(X633&lt;&gt;"",1,0))</f>
        <v/>
      </c>
      <c r="BP633" s="35" t="str">
        <f aca="false">IF(AO633&lt;&gt;1,"",IF(Y633="Oui",1,0))</f>
        <v/>
      </c>
      <c r="BQ633" s="35" t="str">
        <f aca="true">IF(OR(AO633&lt;&gt;1,Z633&lt;&gt;"Oui"),"",IF(AB633="",IF(AND(AA633&lt;&gt;"",NOW()&gt;AA633),0,""),IF(AA633="","",IF(AB633&lt;=AA633,1,0))))</f>
        <v/>
      </c>
      <c r="BR633" s="38" t="str">
        <f aca="false">IF(OR(AO633&lt;&gt;1,K633&lt;&gt;"Oui",O633=""),"",IF(AC633="",O633+DORA_H_DET/24,IF(AC633-O633&lt;=DORA_H_DET/24,MIN(AC633+DORA_H_CLA/24,O633+DORA_H_DET/24),AC633+DORA_H_CLA/24)))</f>
        <v/>
      </c>
      <c r="BS633" s="35" t="str">
        <f aca="true">IF(BR633="","",IF(AD633="",IF(NOW()&gt;BR633,0,""),IF(AD633&lt;=BR633,1,0)))</f>
        <v/>
      </c>
      <c r="BT633" s="35" t="str">
        <f aca="true">IF(OR(BR633="",AD633=""),"",IF(AE633="",IF(NOW()&gt;AD633+DORA_H_INT/24,0,""),IF(AE633&lt;=AD633+DORA_H_INT/24,1,0)))</f>
        <v/>
      </c>
      <c r="BU633" s="35" t="str">
        <f aca="true">IF(OR(BR633="",AE633=""),"",IF(AF633="",IF(NOW()&gt;EDATE(AE633,DORA_M_FIN)+1,0,""),IF(AF633&lt;=EDATE(AE633,DORA_M_FIN),1,0)))</f>
        <v/>
      </c>
      <c r="BV633" s="35" t="str">
        <f aca="false">IF(BR633="","",IF(COUNT(BS633:BU633)=0,"",MIN(BS633:BU633)))</f>
        <v/>
      </c>
      <c r="BW633" s="40" t="str">
        <f aca="false">IF(AQ633&lt;&gt;1,"",IF(AND(AG633="",AH633=""),"",N(AG633)-N(AH633)))</f>
        <v/>
      </c>
      <c r="BX633" s="35" t="str">
        <f aca="true">IF(OR(AQ633&lt;&gt;1,AI633&lt;&gt;"Oui",AJ633=""),"",IF(AK633="",IF(NOW()&gt;AJ633+1,0,""),IF(AK633&lt;=AJ633,1,0)))</f>
        <v/>
      </c>
    </row>
    <row r="634" customFormat="false" ht="15" hidden="false" customHeight="false" outlineLevel="0" collapsed="false">
      <c r="B634" s="29"/>
      <c r="C634" s="29"/>
      <c r="D634" s="29"/>
      <c r="E634" s="29"/>
      <c r="F634" s="29"/>
      <c r="G634" s="29"/>
      <c r="H634" s="29"/>
      <c r="I634" s="29"/>
      <c r="J634" s="29"/>
      <c r="K634" s="29"/>
      <c r="L634" s="29"/>
      <c r="M634" s="29"/>
      <c r="N634" s="30"/>
      <c r="O634" s="30"/>
      <c r="P634" s="30"/>
      <c r="Q634" s="30"/>
      <c r="R634" s="30"/>
      <c r="S634" s="30"/>
      <c r="T634" s="30"/>
      <c r="U634" s="30"/>
      <c r="V634" s="31"/>
      <c r="W634" s="29"/>
      <c r="X634" s="29"/>
      <c r="Y634" s="29"/>
      <c r="Z634" s="29"/>
      <c r="AA634" s="30"/>
      <c r="AB634" s="30"/>
      <c r="AC634" s="30"/>
      <c r="AD634" s="30"/>
      <c r="AE634" s="30"/>
      <c r="AF634" s="32"/>
      <c r="AG634" s="33"/>
      <c r="AH634" s="33"/>
      <c r="AI634" s="29"/>
      <c r="AJ634" s="32"/>
      <c r="AK634" s="32"/>
      <c r="AL634" s="29"/>
      <c r="AN634" s="34" t="str">
        <f aca="false">IF($B634="","",IF(OR(C634="",D634="",E634="",G634="",I634="",J634="",L634="",O634="",P634=""),"Champ obligatoire manquant",IF(OR(AND(N634&lt;&gt;"",N634&gt;O634),O634&gt;P634,AND(Q634&lt;&gt;"",Q634&lt;P634),AND(R634&lt;&gt;"",R634&lt;P634),AND(S634&lt;&gt;"",S634&lt;R634),AND(S634&lt;&gt;"",R634=""),AND(T634&lt;&gt;"",T634&lt;O634),AND(U634&lt;&gt;"",U634&lt;O634)),"Chronologie incohérente",IF(AND(OR(L634="Résolu",L634="Clos"),R634=""),"Date de résolution manquante",IF(AND(L634="Clos",S634=""),"Date de clôture manquante",IF(AND(K634="Oui",AC634=""),"Classification DORA manquante","OK"))))))</f>
        <v/>
      </c>
      <c r="AO634" s="35" t="str">
        <f aca="false">IF($B634="","",IF(AND(C634="Incident",L634&lt;&gt;"Annulé"),1,0))</f>
        <v/>
      </c>
      <c r="AP634" s="35" t="str">
        <f aca="false">IF($B634="","",IF(AND(C634="Quasi-incident",L634&lt;&gt;"Annulé"),1,0))</f>
        <v/>
      </c>
      <c r="AQ634" s="35" t="str">
        <f aca="false">IF($B634="","",AO634+AP634)</f>
        <v/>
      </c>
      <c r="AR634" s="36" t="str">
        <f aca="false">IF(OR($B634="",J634=""),"",IFERROR(VALUE(LEFT(J634,1)),""))</f>
        <v/>
      </c>
      <c r="AS634" s="35" t="str">
        <f aca="false">IF(OR(AO634&lt;&gt;1,G634=""),"",IFERROR(IF(INDEX(L_SrcInterne,MATCH(G634,L_Sources,0))="Oui",1,0),""))</f>
        <v/>
      </c>
      <c r="AT634" s="37" t="str">
        <f aca="false">IF(AO634&lt;&gt;1,"",IFERROR(ROUND(IF(OR(N634="",O634=""),"",IF(O634&lt;N634,"",ROUND(((NETWORKDAYS(N634,O634,JoursFeries)-1)*(HFer-HOuv)+IF(NETWORKDAYS(O634,O634,JoursFeries),MEDIAN(MOD(O634,1),HFer,HOuv),HFer)-IF(NETWORKDAYS(N634,N634,JoursFeries),MEDIAN(MOD(N634,1),HFer,HOuv),HOuv))*24,4)))/HJour,4),""))</f>
        <v/>
      </c>
      <c r="AU634" s="37" t="str">
        <f aca="false">IF(AO634&lt;&gt;1,"",IF(OR(O634="",P634=""),"",IF(P634&lt;O634,"",ROUND(((NETWORKDAYS(O634,P634,JoursFeries)-1)*(HFer-HOuv)+IF(NETWORKDAYS(P634,P634,JoursFeries),MEDIAN(MOD(P634,1),HFer,HOuv),HFer)-IF(NETWORKDAYS(O634,O634,JoursFeries),MEDIAN(MOD(O634,1),HFer,HOuv),HOuv))*24,4))))</f>
        <v/>
      </c>
      <c r="AV634" s="37" t="str">
        <f aca="false">IF(AO634&lt;&gt;1,"",IF(OR(P634="",Q634=""),"",IF(Q634&lt;P634,"",ROUND(((NETWORKDAYS(P634,Q634,JoursFeries)-1)*(HFer-HOuv)+IF(NETWORKDAYS(Q634,Q634,JoursFeries),MEDIAN(MOD(Q634,1),HFer,HOuv),HFer)-IF(NETWORKDAYS(P634,P634,JoursFeries),MEDIAN(MOD(P634,1),HFer,HOuv),HOuv))*24,4))))</f>
        <v/>
      </c>
      <c r="AW634" s="37" t="str">
        <f aca="false">IF(AO634&lt;&gt;1,"",IFERROR(ROUND(IF(OR(P634="",R634=""),"",IF(R634&lt;P634,"",ROUND(((NETWORKDAYS(P634,R634,JoursFeries)-1)*(HFer-HOuv)+IF(NETWORKDAYS(R634,R634,JoursFeries),MEDIAN(MOD(R634,1),HFer,HOuv),HFer)-IF(NETWORKDAYS(P634,P634,JoursFeries),MEDIAN(MOD(P634,1),HFer,HOuv),HOuv))*24,4)))/HJour,4),""))</f>
        <v/>
      </c>
      <c r="AX634" s="37" t="str">
        <f aca="false">IF(AO634&lt;&gt;1,"",IFERROR(ROUND(IF(OR(P634="",S634=""),"",IF(S634&lt;P634,"",ROUND(((NETWORKDAYS(P634,S634,JoursFeries)-1)*(HFer-HOuv)+IF(NETWORKDAYS(S634,S634,JoursFeries),MEDIAN(MOD(S634,1),HFer,HOuv),HFer)-IF(NETWORKDAYS(P634,P634,JoursFeries),MEDIAN(MOD(P634,1),HFer,HOuv),HOuv))*24,4)))/HJour,4),""))</f>
        <v/>
      </c>
      <c r="AY634" s="36" t="str">
        <f aca="false">IF(OR(AO634&lt;&gt;1,AR634=""),"",INDEX(SLA_PEC,AR634))</f>
        <v/>
      </c>
      <c r="AZ634" s="35" t="str">
        <f aca="false">IF(OR(AV634="",AY634=""),"",IF(AV634&lt;=AY634,1,0))</f>
        <v/>
      </c>
      <c r="BA634" s="36" t="str">
        <f aca="false">IF(OR(AO634&lt;&gt;1,AR634=""),"",INDEX(SLA_RES,AR634))</f>
        <v/>
      </c>
      <c r="BB634" s="35" t="str">
        <f aca="false">IF(OR(AW634="",BA634=""),"",IF(AW634&lt;=BA634,1,0))</f>
        <v/>
      </c>
      <c r="BC634" s="38" t="str">
        <f aca="false">IF(OR(BA634="",P634=""),"",WORKDAY(INT(P634),BA634,JoursFeries)+MOD(P634,1))</f>
        <v/>
      </c>
      <c r="BD634" s="39" t="str">
        <f aca="false">IF(AO634&lt;&gt;1,"",IF(OR(AB634&lt;&gt;"",AD634&lt;&gt;""),4,IF(U634&lt;&gt;"",3,IF(T634&lt;&gt;"",2,1))))</f>
        <v/>
      </c>
      <c r="BE634" s="39" t="str">
        <f aca="false">IF(OR(AO634&lt;&gt;1,AR634=""),"",INDEX(NIV_REQ,AR634))</f>
        <v/>
      </c>
      <c r="BF634" s="39" t="str">
        <f aca="false">IF(BE634="","",MAX(BE634,IF(OR(K634="Oui",Z634="Oui"),4,1)))</f>
        <v/>
      </c>
      <c r="BG634" s="35" t="str">
        <f aca="false">IF(OR(BF634="",BD634=""),"",IF(BD634&gt;=BF634,1,0))</f>
        <v/>
      </c>
      <c r="BH634" s="38" t="str">
        <f aca="false">IF(BE634="","",IF(BE634&lt;2,"",IF(BE634=2,IF(AND(T634="",U634=""),"",MIN(T634,U634)),IF(U634="","",U634))))</f>
        <v/>
      </c>
      <c r="BI634" s="37" t="str">
        <f aca="false">IF(BH634="","",IF(OR(O634="",BH634=""),"",IF(BH634&lt;O634,"",ROUND(((NETWORKDAYS(O634,BH634,JoursFeries)-1)*(HFer-HOuv)+IF(NETWORKDAYS(BH634,BH634,JoursFeries),MEDIAN(MOD(BH634,1),HFer,HOuv),HFer)-IF(NETWORKDAYS(O634,O634,JoursFeries),MEDIAN(MOD(O634,1),HFer,HOuv),HOuv))*24,4))))</f>
        <v/>
      </c>
      <c r="BJ634" s="35" t="str">
        <f aca="false">IF(OR(BI634="",AR634=""),"",IF(BI634&lt;=INDEX(DELAI_ESC,AR634),1,0))</f>
        <v/>
      </c>
      <c r="BK634" s="38" t="str">
        <f aca="false">IF(AO634&lt;&gt;1,"",IF(AND(T634="",U634=""),"",MIN(T634,U634)))</f>
        <v/>
      </c>
      <c r="BL634" s="37" t="str">
        <f aca="false">IF(OR(BK634="",R634=""),"",IFERROR(ROUND(IF(OR(BK634="",R634=""),"",IF(R634&lt;BK634,"",ROUND(((NETWORKDAYS(BK634,R634,JoursFeries)-1)*(HFer-HOuv)+IF(NETWORKDAYS(R634,R634,JoursFeries),MEDIAN(MOD(R634,1),HFer,HOuv),HFer)-IF(NETWORKDAYS(BK634,BK634,JoursFeries),MEDIAN(MOD(BK634,1),HFer,HOuv),HOuv))*24,4)))/HJour,4),""))</f>
        <v/>
      </c>
      <c r="BM634" s="35" t="str">
        <f aca="false">IF(OR(AO634&lt;&gt;1,R634=""),"",IF(BD634=1,1,0))</f>
        <v/>
      </c>
      <c r="BN634" s="35" t="str">
        <f aca="false">IF(AO634&lt;&gt;1,"",IF(W634="Oui",1,0))</f>
        <v/>
      </c>
      <c r="BO634" s="35" t="str">
        <f aca="false">IF(AO634&lt;&gt;1,"",IF(X634&lt;&gt;"",1,0))</f>
        <v/>
      </c>
      <c r="BP634" s="35" t="str">
        <f aca="false">IF(AO634&lt;&gt;1,"",IF(Y634="Oui",1,0))</f>
        <v/>
      </c>
      <c r="BQ634" s="35" t="str">
        <f aca="true">IF(OR(AO634&lt;&gt;1,Z634&lt;&gt;"Oui"),"",IF(AB634="",IF(AND(AA634&lt;&gt;"",NOW()&gt;AA634),0,""),IF(AA634="","",IF(AB634&lt;=AA634,1,0))))</f>
        <v/>
      </c>
      <c r="BR634" s="38" t="str">
        <f aca="false">IF(OR(AO634&lt;&gt;1,K634&lt;&gt;"Oui",O634=""),"",IF(AC634="",O634+DORA_H_DET/24,IF(AC634-O634&lt;=DORA_H_DET/24,MIN(AC634+DORA_H_CLA/24,O634+DORA_H_DET/24),AC634+DORA_H_CLA/24)))</f>
        <v/>
      </c>
      <c r="BS634" s="35" t="str">
        <f aca="true">IF(BR634="","",IF(AD634="",IF(NOW()&gt;BR634,0,""),IF(AD634&lt;=BR634,1,0)))</f>
        <v/>
      </c>
      <c r="BT634" s="35" t="str">
        <f aca="true">IF(OR(BR634="",AD634=""),"",IF(AE634="",IF(NOW()&gt;AD634+DORA_H_INT/24,0,""),IF(AE634&lt;=AD634+DORA_H_INT/24,1,0)))</f>
        <v/>
      </c>
      <c r="BU634" s="35" t="str">
        <f aca="true">IF(OR(BR634="",AE634=""),"",IF(AF634="",IF(NOW()&gt;EDATE(AE634,DORA_M_FIN)+1,0,""),IF(AF634&lt;=EDATE(AE634,DORA_M_FIN),1,0)))</f>
        <v/>
      </c>
      <c r="BV634" s="35" t="str">
        <f aca="false">IF(BR634="","",IF(COUNT(BS634:BU634)=0,"",MIN(BS634:BU634)))</f>
        <v/>
      </c>
      <c r="BW634" s="40" t="str">
        <f aca="false">IF(AQ634&lt;&gt;1,"",IF(AND(AG634="",AH634=""),"",N(AG634)-N(AH634)))</f>
        <v/>
      </c>
      <c r="BX634" s="35" t="str">
        <f aca="true">IF(OR(AQ634&lt;&gt;1,AI634&lt;&gt;"Oui",AJ634=""),"",IF(AK634="",IF(NOW()&gt;AJ634+1,0,""),IF(AK634&lt;=AJ634,1,0)))</f>
        <v/>
      </c>
    </row>
    <row r="635" customFormat="false" ht="15" hidden="false" customHeight="false" outlineLevel="0" collapsed="false">
      <c r="B635" s="29"/>
      <c r="C635" s="29"/>
      <c r="D635" s="29"/>
      <c r="E635" s="29"/>
      <c r="F635" s="29"/>
      <c r="G635" s="29"/>
      <c r="H635" s="29"/>
      <c r="I635" s="29"/>
      <c r="J635" s="29"/>
      <c r="K635" s="29"/>
      <c r="L635" s="29"/>
      <c r="M635" s="29"/>
      <c r="N635" s="30"/>
      <c r="O635" s="30"/>
      <c r="P635" s="30"/>
      <c r="Q635" s="30"/>
      <c r="R635" s="30"/>
      <c r="S635" s="30"/>
      <c r="T635" s="30"/>
      <c r="U635" s="30"/>
      <c r="V635" s="31"/>
      <c r="W635" s="29"/>
      <c r="X635" s="29"/>
      <c r="Y635" s="29"/>
      <c r="Z635" s="29"/>
      <c r="AA635" s="30"/>
      <c r="AB635" s="30"/>
      <c r="AC635" s="30"/>
      <c r="AD635" s="30"/>
      <c r="AE635" s="30"/>
      <c r="AF635" s="32"/>
      <c r="AG635" s="33"/>
      <c r="AH635" s="33"/>
      <c r="AI635" s="29"/>
      <c r="AJ635" s="32"/>
      <c r="AK635" s="32"/>
      <c r="AL635" s="29"/>
      <c r="AN635" s="34" t="str">
        <f aca="false">IF($B635="","",IF(OR(C635="",D635="",E635="",G635="",I635="",J635="",L635="",O635="",P635=""),"Champ obligatoire manquant",IF(OR(AND(N635&lt;&gt;"",N635&gt;O635),O635&gt;P635,AND(Q635&lt;&gt;"",Q635&lt;P635),AND(R635&lt;&gt;"",R635&lt;P635),AND(S635&lt;&gt;"",S635&lt;R635),AND(S635&lt;&gt;"",R635=""),AND(T635&lt;&gt;"",T635&lt;O635),AND(U635&lt;&gt;"",U635&lt;O635)),"Chronologie incohérente",IF(AND(OR(L635="Résolu",L635="Clos"),R635=""),"Date de résolution manquante",IF(AND(L635="Clos",S635=""),"Date de clôture manquante",IF(AND(K635="Oui",AC635=""),"Classification DORA manquante","OK"))))))</f>
        <v/>
      </c>
      <c r="AO635" s="35" t="str">
        <f aca="false">IF($B635="","",IF(AND(C635="Incident",L635&lt;&gt;"Annulé"),1,0))</f>
        <v/>
      </c>
      <c r="AP635" s="35" t="str">
        <f aca="false">IF($B635="","",IF(AND(C635="Quasi-incident",L635&lt;&gt;"Annulé"),1,0))</f>
        <v/>
      </c>
      <c r="AQ635" s="35" t="str">
        <f aca="false">IF($B635="","",AO635+AP635)</f>
        <v/>
      </c>
      <c r="AR635" s="36" t="str">
        <f aca="false">IF(OR($B635="",J635=""),"",IFERROR(VALUE(LEFT(J635,1)),""))</f>
        <v/>
      </c>
      <c r="AS635" s="35" t="str">
        <f aca="false">IF(OR(AO635&lt;&gt;1,G635=""),"",IFERROR(IF(INDEX(L_SrcInterne,MATCH(G635,L_Sources,0))="Oui",1,0),""))</f>
        <v/>
      </c>
      <c r="AT635" s="37" t="str">
        <f aca="false">IF(AO635&lt;&gt;1,"",IFERROR(ROUND(IF(OR(N635="",O635=""),"",IF(O635&lt;N635,"",ROUND(((NETWORKDAYS(N635,O635,JoursFeries)-1)*(HFer-HOuv)+IF(NETWORKDAYS(O635,O635,JoursFeries),MEDIAN(MOD(O635,1),HFer,HOuv),HFer)-IF(NETWORKDAYS(N635,N635,JoursFeries),MEDIAN(MOD(N635,1),HFer,HOuv),HOuv))*24,4)))/HJour,4),""))</f>
        <v/>
      </c>
      <c r="AU635" s="37" t="str">
        <f aca="false">IF(AO635&lt;&gt;1,"",IF(OR(O635="",P635=""),"",IF(P635&lt;O635,"",ROUND(((NETWORKDAYS(O635,P635,JoursFeries)-1)*(HFer-HOuv)+IF(NETWORKDAYS(P635,P635,JoursFeries),MEDIAN(MOD(P635,1),HFer,HOuv),HFer)-IF(NETWORKDAYS(O635,O635,JoursFeries),MEDIAN(MOD(O635,1),HFer,HOuv),HOuv))*24,4))))</f>
        <v/>
      </c>
      <c r="AV635" s="37" t="str">
        <f aca="false">IF(AO635&lt;&gt;1,"",IF(OR(P635="",Q635=""),"",IF(Q635&lt;P635,"",ROUND(((NETWORKDAYS(P635,Q635,JoursFeries)-1)*(HFer-HOuv)+IF(NETWORKDAYS(Q635,Q635,JoursFeries),MEDIAN(MOD(Q635,1),HFer,HOuv),HFer)-IF(NETWORKDAYS(P635,P635,JoursFeries),MEDIAN(MOD(P635,1),HFer,HOuv),HOuv))*24,4))))</f>
        <v/>
      </c>
      <c r="AW635" s="37" t="str">
        <f aca="false">IF(AO635&lt;&gt;1,"",IFERROR(ROUND(IF(OR(P635="",R635=""),"",IF(R635&lt;P635,"",ROUND(((NETWORKDAYS(P635,R635,JoursFeries)-1)*(HFer-HOuv)+IF(NETWORKDAYS(R635,R635,JoursFeries),MEDIAN(MOD(R635,1),HFer,HOuv),HFer)-IF(NETWORKDAYS(P635,P635,JoursFeries),MEDIAN(MOD(P635,1),HFer,HOuv),HOuv))*24,4)))/HJour,4),""))</f>
        <v/>
      </c>
      <c r="AX635" s="37" t="str">
        <f aca="false">IF(AO635&lt;&gt;1,"",IFERROR(ROUND(IF(OR(P635="",S635=""),"",IF(S635&lt;P635,"",ROUND(((NETWORKDAYS(P635,S635,JoursFeries)-1)*(HFer-HOuv)+IF(NETWORKDAYS(S635,S635,JoursFeries),MEDIAN(MOD(S635,1),HFer,HOuv),HFer)-IF(NETWORKDAYS(P635,P635,JoursFeries),MEDIAN(MOD(P635,1),HFer,HOuv),HOuv))*24,4)))/HJour,4),""))</f>
        <v/>
      </c>
      <c r="AY635" s="36" t="str">
        <f aca="false">IF(OR(AO635&lt;&gt;1,AR635=""),"",INDEX(SLA_PEC,AR635))</f>
        <v/>
      </c>
      <c r="AZ635" s="35" t="str">
        <f aca="false">IF(OR(AV635="",AY635=""),"",IF(AV635&lt;=AY635,1,0))</f>
        <v/>
      </c>
      <c r="BA635" s="36" t="str">
        <f aca="false">IF(OR(AO635&lt;&gt;1,AR635=""),"",INDEX(SLA_RES,AR635))</f>
        <v/>
      </c>
      <c r="BB635" s="35" t="str">
        <f aca="false">IF(OR(AW635="",BA635=""),"",IF(AW635&lt;=BA635,1,0))</f>
        <v/>
      </c>
      <c r="BC635" s="38" t="str">
        <f aca="false">IF(OR(BA635="",P635=""),"",WORKDAY(INT(P635),BA635,JoursFeries)+MOD(P635,1))</f>
        <v/>
      </c>
      <c r="BD635" s="39" t="str">
        <f aca="false">IF(AO635&lt;&gt;1,"",IF(OR(AB635&lt;&gt;"",AD635&lt;&gt;""),4,IF(U635&lt;&gt;"",3,IF(T635&lt;&gt;"",2,1))))</f>
        <v/>
      </c>
      <c r="BE635" s="39" t="str">
        <f aca="false">IF(OR(AO635&lt;&gt;1,AR635=""),"",INDEX(NIV_REQ,AR635))</f>
        <v/>
      </c>
      <c r="BF635" s="39" t="str">
        <f aca="false">IF(BE635="","",MAX(BE635,IF(OR(K635="Oui",Z635="Oui"),4,1)))</f>
        <v/>
      </c>
      <c r="BG635" s="35" t="str">
        <f aca="false">IF(OR(BF635="",BD635=""),"",IF(BD635&gt;=BF635,1,0))</f>
        <v/>
      </c>
      <c r="BH635" s="38" t="str">
        <f aca="false">IF(BE635="","",IF(BE635&lt;2,"",IF(BE635=2,IF(AND(T635="",U635=""),"",MIN(T635,U635)),IF(U635="","",U635))))</f>
        <v/>
      </c>
      <c r="BI635" s="37" t="str">
        <f aca="false">IF(BH635="","",IF(OR(O635="",BH635=""),"",IF(BH635&lt;O635,"",ROUND(((NETWORKDAYS(O635,BH635,JoursFeries)-1)*(HFer-HOuv)+IF(NETWORKDAYS(BH635,BH635,JoursFeries),MEDIAN(MOD(BH635,1),HFer,HOuv),HFer)-IF(NETWORKDAYS(O635,O635,JoursFeries),MEDIAN(MOD(O635,1),HFer,HOuv),HOuv))*24,4))))</f>
        <v/>
      </c>
      <c r="BJ635" s="35" t="str">
        <f aca="false">IF(OR(BI635="",AR635=""),"",IF(BI635&lt;=INDEX(DELAI_ESC,AR635),1,0))</f>
        <v/>
      </c>
      <c r="BK635" s="38" t="str">
        <f aca="false">IF(AO635&lt;&gt;1,"",IF(AND(T635="",U635=""),"",MIN(T635,U635)))</f>
        <v/>
      </c>
      <c r="BL635" s="37" t="str">
        <f aca="false">IF(OR(BK635="",R635=""),"",IFERROR(ROUND(IF(OR(BK635="",R635=""),"",IF(R635&lt;BK635,"",ROUND(((NETWORKDAYS(BK635,R635,JoursFeries)-1)*(HFer-HOuv)+IF(NETWORKDAYS(R635,R635,JoursFeries),MEDIAN(MOD(R635,1),HFer,HOuv),HFer)-IF(NETWORKDAYS(BK635,BK635,JoursFeries),MEDIAN(MOD(BK635,1),HFer,HOuv),HOuv))*24,4)))/HJour,4),""))</f>
        <v/>
      </c>
      <c r="BM635" s="35" t="str">
        <f aca="false">IF(OR(AO635&lt;&gt;1,R635=""),"",IF(BD635=1,1,0))</f>
        <v/>
      </c>
      <c r="BN635" s="35" t="str">
        <f aca="false">IF(AO635&lt;&gt;1,"",IF(W635="Oui",1,0))</f>
        <v/>
      </c>
      <c r="BO635" s="35" t="str">
        <f aca="false">IF(AO635&lt;&gt;1,"",IF(X635&lt;&gt;"",1,0))</f>
        <v/>
      </c>
      <c r="BP635" s="35" t="str">
        <f aca="false">IF(AO635&lt;&gt;1,"",IF(Y635="Oui",1,0))</f>
        <v/>
      </c>
      <c r="BQ635" s="35" t="str">
        <f aca="true">IF(OR(AO635&lt;&gt;1,Z635&lt;&gt;"Oui"),"",IF(AB635="",IF(AND(AA635&lt;&gt;"",NOW()&gt;AA635),0,""),IF(AA635="","",IF(AB635&lt;=AA635,1,0))))</f>
        <v/>
      </c>
      <c r="BR635" s="38" t="str">
        <f aca="false">IF(OR(AO635&lt;&gt;1,K635&lt;&gt;"Oui",O635=""),"",IF(AC635="",O635+DORA_H_DET/24,IF(AC635-O635&lt;=DORA_H_DET/24,MIN(AC635+DORA_H_CLA/24,O635+DORA_H_DET/24),AC635+DORA_H_CLA/24)))</f>
        <v/>
      </c>
      <c r="BS635" s="35" t="str">
        <f aca="true">IF(BR635="","",IF(AD635="",IF(NOW()&gt;BR635,0,""),IF(AD635&lt;=BR635,1,0)))</f>
        <v/>
      </c>
      <c r="BT635" s="35" t="str">
        <f aca="true">IF(OR(BR635="",AD635=""),"",IF(AE635="",IF(NOW()&gt;AD635+DORA_H_INT/24,0,""),IF(AE635&lt;=AD635+DORA_H_INT/24,1,0)))</f>
        <v/>
      </c>
      <c r="BU635" s="35" t="str">
        <f aca="true">IF(OR(BR635="",AE635=""),"",IF(AF635="",IF(NOW()&gt;EDATE(AE635,DORA_M_FIN)+1,0,""),IF(AF635&lt;=EDATE(AE635,DORA_M_FIN),1,0)))</f>
        <v/>
      </c>
      <c r="BV635" s="35" t="str">
        <f aca="false">IF(BR635="","",IF(COUNT(BS635:BU635)=0,"",MIN(BS635:BU635)))</f>
        <v/>
      </c>
      <c r="BW635" s="40" t="str">
        <f aca="false">IF(AQ635&lt;&gt;1,"",IF(AND(AG635="",AH635=""),"",N(AG635)-N(AH635)))</f>
        <v/>
      </c>
      <c r="BX635" s="35" t="str">
        <f aca="true">IF(OR(AQ635&lt;&gt;1,AI635&lt;&gt;"Oui",AJ635=""),"",IF(AK635="",IF(NOW()&gt;AJ635+1,0,""),IF(AK635&lt;=AJ635,1,0)))</f>
        <v/>
      </c>
    </row>
    <row r="636" customFormat="false" ht="15" hidden="false" customHeight="false" outlineLevel="0" collapsed="false">
      <c r="B636" s="29"/>
      <c r="C636" s="29"/>
      <c r="D636" s="29"/>
      <c r="E636" s="29"/>
      <c r="F636" s="29"/>
      <c r="G636" s="29"/>
      <c r="H636" s="29"/>
      <c r="I636" s="29"/>
      <c r="J636" s="29"/>
      <c r="K636" s="29"/>
      <c r="L636" s="29"/>
      <c r="M636" s="29"/>
      <c r="N636" s="30"/>
      <c r="O636" s="30"/>
      <c r="P636" s="30"/>
      <c r="Q636" s="30"/>
      <c r="R636" s="30"/>
      <c r="S636" s="30"/>
      <c r="T636" s="30"/>
      <c r="U636" s="30"/>
      <c r="V636" s="31"/>
      <c r="W636" s="29"/>
      <c r="X636" s="29"/>
      <c r="Y636" s="29"/>
      <c r="Z636" s="29"/>
      <c r="AA636" s="30"/>
      <c r="AB636" s="30"/>
      <c r="AC636" s="30"/>
      <c r="AD636" s="30"/>
      <c r="AE636" s="30"/>
      <c r="AF636" s="32"/>
      <c r="AG636" s="33"/>
      <c r="AH636" s="33"/>
      <c r="AI636" s="29"/>
      <c r="AJ636" s="32"/>
      <c r="AK636" s="32"/>
      <c r="AL636" s="29"/>
      <c r="AN636" s="34" t="str">
        <f aca="false">IF($B636="","",IF(OR(C636="",D636="",E636="",G636="",I636="",J636="",L636="",O636="",P636=""),"Champ obligatoire manquant",IF(OR(AND(N636&lt;&gt;"",N636&gt;O636),O636&gt;P636,AND(Q636&lt;&gt;"",Q636&lt;P636),AND(R636&lt;&gt;"",R636&lt;P636),AND(S636&lt;&gt;"",S636&lt;R636),AND(S636&lt;&gt;"",R636=""),AND(T636&lt;&gt;"",T636&lt;O636),AND(U636&lt;&gt;"",U636&lt;O636)),"Chronologie incohérente",IF(AND(OR(L636="Résolu",L636="Clos"),R636=""),"Date de résolution manquante",IF(AND(L636="Clos",S636=""),"Date de clôture manquante",IF(AND(K636="Oui",AC636=""),"Classification DORA manquante","OK"))))))</f>
        <v/>
      </c>
      <c r="AO636" s="35" t="str">
        <f aca="false">IF($B636="","",IF(AND(C636="Incident",L636&lt;&gt;"Annulé"),1,0))</f>
        <v/>
      </c>
      <c r="AP636" s="35" t="str">
        <f aca="false">IF($B636="","",IF(AND(C636="Quasi-incident",L636&lt;&gt;"Annulé"),1,0))</f>
        <v/>
      </c>
      <c r="AQ636" s="35" t="str">
        <f aca="false">IF($B636="","",AO636+AP636)</f>
        <v/>
      </c>
      <c r="AR636" s="36" t="str">
        <f aca="false">IF(OR($B636="",J636=""),"",IFERROR(VALUE(LEFT(J636,1)),""))</f>
        <v/>
      </c>
      <c r="AS636" s="35" t="str">
        <f aca="false">IF(OR(AO636&lt;&gt;1,G636=""),"",IFERROR(IF(INDEX(L_SrcInterne,MATCH(G636,L_Sources,0))="Oui",1,0),""))</f>
        <v/>
      </c>
      <c r="AT636" s="37" t="str">
        <f aca="false">IF(AO636&lt;&gt;1,"",IFERROR(ROUND(IF(OR(N636="",O636=""),"",IF(O636&lt;N636,"",ROUND(((NETWORKDAYS(N636,O636,JoursFeries)-1)*(HFer-HOuv)+IF(NETWORKDAYS(O636,O636,JoursFeries),MEDIAN(MOD(O636,1),HFer,HOuv),HFer)-IF(NETWORKDAYS(N636,N636,JoursFeries),MEDIAN(MOD(N636,1),HFer,HOuv),HOuv))*24,4)))/HJour,4),""))</f>
        <v/>
      </c>
      <c r="AU636" s="37" t="str">
        <f aca="false">IF(AO636&lt;&gt;1,"",IF(OR(O636="",P636=""),"",IF(P636&lt;O636,"",ROUND(((NETWORKDAYS(O636,P636,JoursFeries)-1)*(HFer-HOuv)+IF(NETWORKDAYS(P636,P636,JoursFeries),MEDIAN(MOD(P636,1),HFer,HOuv),HFer)-IF(NETWORKDAYS(O636,O636,JoursFeries),MEDIAN(MOD(O636,1),HFer,HOuv),HOuv))*24,4))))</f>
        <v/>
      </c>
      <c r="AV636" s="37" t="str">
        <f aca="false">IF(AO636&lt;&gt;1,"",IF(OR(P636="",Q636=""),"",IF(Q636&lt;P636,"",ROUND(((NETWORKDAYS(P636,Q636,JoursFeries)-1)*(HFer-HOuv)+IF(NETWORKDAYS(Q636,Q636,JoursFeries),MEDIAN(MOD(Q636,1),HFer,HOuv),HFer)-IF(NETWORKDAYS(P636,P636,JoursFeries),MEDIAN(MOD(P636,1),HFer,HOuv),HOuv))*24,4))))</f>
        <v/>
      </c>
      <c r="AW636" s="37" t="str">
        <f aca="false">IF(AO636&lt;&gt;1,"",IFERROR(ROUND(IF(OR(P636="",R636=""),"",IF(R636&lt;P636,"",ROUND(((NETWORKDAYS(P636,R636,JoursFeries)-1)*(HFer-HOuv)+IF(NETWORKDAYS(R636,R636,JoursFeries),MEDIAN(MOD(R636,1),HFer,HOuv),HFer)-IF(NETWORKDAYS(P636,P636,JoursFeries),MEDIAN(MOD(P636,1),HFer,HOuv),HOuv))*24,4)))/HJour,4),""))</f>
        <v/>
      </c>
      <c r="AX636" s="37" t="str">
        <f aca="false">IF(AO636&lt;&gt;1,"",IFERROR(ROUND(IF(OR(P636="",S636=""),"",IF(S636&lt;P636,"",ROUND(((NETWORKDAYS(P636,S636,JoursFeries)-1)*(HFer-HOuv)+IF(NETWORKDAYS(S636,S636,JoursFeries),MEDIAN(MOD(S636,1),HFer,HOuv),HFer)-IF(NETWORKDAYS(P636,P636,JoursFeries),MEDIAN(MOD(P636,1),HFer,HOuv),HOuv))*24,4)))/HJour,4),""))</f>
        <v/>
      </c>
      <c r="AY636" s="36" t="str">
        <f aca="false">IF(OR(AO636&lt;&gt;1,AR636=""),"",INDEX(SLA_PEC,AR636))</f>
        <v/>
      </c>
      <c r="AZ636" s="35" t="str">
        <f aca="false">IF(OR(AV636="",AY636=""),"",IF(AV636&lt;=AY636,1,0))</f>
        <v/>
      </c>
      <c r="BA636" s="36" t="str">
        <f aca="false">IF(OR(AO636&lt;&gt;1,AR636=""),"",INDEX(SLA_RES,AR636))</f>
        <v/>
      </c>
      <c r="BB636" s="35" t="str">
        <f aca="false">IF(OR(AW636="",BA636=""),"",IF(AW636&lt;=BA636,1,0))</f>
        <v/>
      </c>
      <c r="BC636" s="38" t="str">
        <f aca="false">IF(OR(BA636="",P636=""),"",WORKDAY(INT(P636),BA636,JoursFeries)+MOD(P636,1))</f>
        <v/>
      </c>
      <c r="BD636" s="39" t="str">
        <f aca="false">IF(AO636&lt;&gt;1,"",IF(OR(AB636&lt;&gt;"",AD636&lt;&gt;""),4,IF(U636&lt;&gt;"",3,IF(T636&lt;&gt;"",2,1))))</f>
        <v/>
      </c>
      <c r="BE636" s="39" t="str">
        <f aca="false">IF(OR(AO636&lt;&gt;1,AR636=""),"",INDEX(NIV_REQ,AR636))</f>
        <v/>
      </c>
      <c r="BF636" s="39" t="str">
        <f aca="false">IF(BE636="","",MAX(BE636,IF(OR(K636="Oui",Z636="Oui"),4,1)))</f>
        <v/>
      </c>
      <c r="BG636" s="35" t="str">
        <f aca="false">IF(OR(BF636="",BD636=""),"",IF(BD636&gt;=BF636,1,0))</f>
        <v/>
      </c>
      <c r="BH636" s="38" t="str">
        <f aca="false">IF(BE636="","",IF(BE636&lt;2,"",IF(BE636=2,IF(AND(T636="",U636=""),"",MIN(T636,U636)),IF(U636="","",U636))))</f>
        <v/>
      </c>
      <c r="BI636" s="37" t="str">
        <f aca="false">IF(BH636="","",IF(OR(O636="",BH636=""),"",IF(BH636&lt;O636,"",ROUND(((NETWORKDAYS(O636,BH636,JoursFeries)-1)*(HFer-HOuv)+IF(NETWORKDAYS(BH636,BH636,JoursFeries),MEDIAN(MOD(BH636,1),HFer,HOuv),HFer)-IF(NETWORKDAYS(O636,O636,JoursFeries),MEDIAN(MOD(O636,1),HFer,HOuv),HOuv))*24,4))))</f>
        <v/>
      </c>
      <c r="BJ636" s="35" t="str">
        <f aca="false">IF(OR(BI636="",AR636=""),"",IF(BI636&lt;=INDEX(DELAI_ESC,AR636),1,0))</f>
        <v/>
      </c>
      <c r="BK636" s="38" t="str">
        <f aca="false">IF(AO636&lt;&gt;1,"",IF(AND(T636="",U636=""),"",MIN(T636,U636)))</f>
        <v/>
      </c>
      <c r="BL636" s="37" t="str">
        <f aca="false">IF(OR(BK636="",R636=""),"",IFERROR(ROUND(IF(OR(BK636="",R636=""),"",IF(R636&lt;BK636,"",ROUND(((NETWORKDAYS(BK636,R636,JoursFeries)-1)*(HFer-HOuv)+IF(NETWORKDAYS(R636,R636,JoursFeries),MEDIAN(MOD(R636,1),HFer,HOuv),HFer)-IF(NETWORKDAYS(BK636,BK636,JoursFeries),MEDIAN(MOD(BK636,1),HFer,HOuv),HOuv))*24,4)))/HJour,4),""))</f>
        <v/>
      </c>
      <c r="BM636" s="35" t="str">
        <f aca="false">IF(OR(AO636&lt;&gt;1,R636=""),"",IF(BD636=1,1,0))</f>
        <v/>
      </c>
      <c r="BN636" s="35" t="str">
        <f aca="false">IF(AO636&lt;&gt;1,"",IF(W636="Oui",1,0))</f>
        <v/>
      </c>
      <c r="BO636" s="35" t="str">
        <f aca="false">IF(AO636&lt;&gt;1,"",IF(X636&lt;&gt;"",1,0))</f>
        <v/>
      </c>
      <c r="BP636" s="35" t="str">
        <f aca="false">IF(AO636&lt;&gt;1,"",IF(Y636="Oui",1,0))</f>
        <v/>
      </c>
      <c r="BQ636" s="35" t="str">
        <f aca="true">IF(OR(AO636&lt;&gt;1,Z636&lt;&gt;"Oui"),"",IF(AB636="",IF(AND(AA636&lt;&gt;"",NOW()&gt;AA636),0,""),IF(AA636="","",IF(AB636&lt;=AA636,1,0))))</f>
        <v/>
      </c>
      <c r="BR636" s="38" t="str">
        <f aca="false">IF(OR(AO636&lt;&gt;1,K636&lt;&gt;"Oui",O636=""),"",IF(AC636="",O636+DORA_H_DET/24,IF(AC636-O636&lt;=DORA_H_DET/24,MIN(AC636+DORA_H_CLA/24,O636+DORA_H_DET/24),AC636+DORA_H_CLA/24)))</f>
        <v/>
      </c>
      <c r="BS636" s="35" t="str">
        <f aca="true">IF(BR636="","",IF(AD636="",IF(NOW()&gt;BR636,0,""),IF(AD636&lt;=BR636,1,0)))</f>
        <v/>
      </c>
      <c r="BT636" s="35" t="str">
        <f aca="true">IF(OR(BR636="",AD636=""),"",IF(AE636="",IF(NOW()&gt;AD636+DORA_H_INT/24,0,""),IF(AE636&lt;=AD636+DORA_H_INT/24,1,0)))</f>
        <v/>
      </c>
      <c r="BU636" s="35" t="str">
        <f aca="true">IF(OR(BR636="",AE636=""),"",IF(AF636="",IF(NOW()&gt;EDATE(AE636,DORA_M_FIN)+1,0,""),IF(AF636&lt;=EDATE(AE636,DORA_M_FIN),1,0)))</f>
        <v/>
      </c>
      <c r="BV636" s="35" t="str">
        <f aca="false">IF(BR636="","",IF(COUNT(BS636:BU636)=0,"",MIN(BS636:BU636)))</f>
        <v/>
      </c>
      <c r="BW636" s="40" t="str">
        <f aca="false">IF(AQ636&lt;&gt;1,"",IF(AND(AG636="",AH636=""),"",N(AG636)-N(AH636)))</f>
        <v/>
      </c>
      <c r="BX636" s="35" t="str">
        <f aca="true">IF(OR(AQ636&lt;&gt;1,AI636&lt;&gt;"Oui",AJ636=""),"",IF(AK636="",IF(NOW()&gt;AJ636+1,0,""),IF(AK636&lt;=AJ636,1,0)))</f>
        <v/>
      </c>
    </row>
    <row r="637" customFormat="false" ht="15" hidden="false" customHeight="false" outlineLevel="0" collapsed="false">
      <c r="B637" s="29"/>
      <c r="C637" s="29"/>
      <c r="D637" s="29"/>
      <c r="E637" s="29"/>
      <c r="F637" s="29"/>
      <c r="G637" s="29"/>
      <c r="H637" s="29"/>
      <c r="I637" s="29"/>
      <c r="J637" s="29"/>
      <c r="K637" s="29"/>
      <c r="L637" s="29"/>
      <c r="M637" s="29"/>
      <c r="N637" s="30"/>
      <c r="O637" s="30"/>
      <c r="P637" s="30"/>
      <c r="Q637" s="30"/>
      <c r="R637" s="30"/>
      <c r="S637" s="30"/>
      <c r="T637" s="30"/>
      <c r="U637" s="30"/>
      <c r="V637" s="31"/>
      <c r="W637" s="29"/>
      <c r="X637" s="29"/>
      <c r="Y637" s="29"/>
      <c r="Z637" s="29"/>
      <c r="AA637" s="30"/>
      <c r="AB637" s="30"/>
      <c r="AC637" s="30"/>
      <c r="AD637" s="30"/>
      <c r="AE637" s="30"/>
      <c r="AF637" s="32"/>
      <c r="AG637" s="33"/>
      <c r="AH637" s="33"/>
      <c r="AI637" s="29"/>
      <c r="AJ637" s="32"/>
      <c r="AK637" s="32"/>
      <c r="AL637" s="29"/>
      <c r="AN637" s="34" t="str">
        <f aca="false">IF($B637="","",IF(OR(C637="",D637="",E637="",G637="",I637="",J637="",L637="",O637="",P637=""),"Champ obligatoire manquant",IF(OR(AND(N637&lt;&gt;"",N637&gt;O637),O637&gt;P637,AND(Q637&lt;&gt;"",Q637&lt;P637),AND(R637&lt;&gt;"",R637&lt;P637),AND(S637&lt;&gt;"",S637&lt;R637),AND(S637&lt;&gt;"",R637=""),AND(T637&lt;&gt;"",T637&lt;O637),AND(U637&lt;&gt;"",U637&lt;O637)),"Chronologie incohérente",IF(AND(OR(L637="Résolu",L637="Clos"),R637=""),"Date de résolution manquante",IF(AND(L637="Clos",S637=""),"Date de clôture manquante",IF(AND(K637="Oui",AC637=""),"Classification DORA manquante","OK"))))))</f>
        <v/>
      </c>
      <c r="AO637" s="35" t="str">
        <f aca="false">IF($B637="","",IF(AND(C637="Incident",L637&lt;&gt;"Annulé"),1,0))</f>
        <v/>
      </c>
      <c r="AP637" s="35" t="str">
        <f aca="false">IF($B637="","",IF(AND(C637="Quasi-incident",L637&lt;&gt;"Annulé"),1,0))</f>
        <v/>
      </c>
      <c r="AQ637" s="35" t="str">
        <f aca="false">IF($B637="","",AO637+AP637)</f>
        <v/>
      </c>
      <c r="AR637" s="36" t="str">
        <f aca="false">IF(OR($B637="",J637=""),"",IFERROR(VALUE(LEFT(J637,1)),""))</f>
        <v/>
      </c>
      <c r="AS637" s="35" t="str">
        <f aca="false">IF(OR(AO637&lt;&gt;1,G637=""),"",IFERROR(IF(INDEX(L_SrcInterne,MATCH(G637,L_Sources,0))="Oui",1,0),""))</f>
        <v/>
      </c>
      <c r="AT637" s="37" t="str">
        <f aca="false">IF(AO637&lt;&gt;1,"",IFERROR(ROUND(IF(OR(N637="",O637=""),"",IF(O637&lt;N637,"",ROUND(((NETWORKDAYS(N637,O637,JoursFeries)-1)*(HFer-HOuv)+IF(NETWORKDAYS(O637,O637,JoursFeries),MEDIAN(MOD(O637,1),HFer,HOuv),HFer)-IF(NETWORKDAYS(N637,N637,JoursFeries),MEDIAN(MOD(N637,1),HFer,HOuv),HOuv))*24,4)))/HJour,4),""))</f>
        <v/>
      </c>
      <c r="AU637" s="37" t="str">
        <f aca="false">IF(AO637&lt;&gt;1,"",IF(OR(O637="",P637=""),"",IF(P637&lt;O637,"",ROUND(((NETWORKDAYS(O637,P637,JoursFeries)-1)*(HFer-HOuv)+IF(NETWORKDAYS(P637,P637,JoursFeries),MEDIAN(MOD(P637,1),HFer,HOuv),HFer)-IF(NETWORKDAYS(O637,O637,JoursFeries),MEDIAN(MOD(O637,1),HFer,HOuv),HOuv))*24,4))))</f>
        <v/>
      </c>
      <c r="AV637" s="37" t="str">
        <f aca="false">IF(AO637&lt;&gt;1,"",IF(OR(P637="",Q637=""),"",IF(Q637&lt;P637,"",ROUND(((NETWORKDAYS(P637,Q637,JoursFeries)-1)*(HFer-HOuv)+IF(NETWORKDAYS(Q637,Q637,JoursFeries),MEDIAN(MOD(Q637,1),HFer,HOuv),HFer)-IF(NETWORKDAYS(P637,P637,JoursFeries),MEDIAN(MOD(P637,1),HFer,HOuv),HOuv))*24,4))))</f>
        <v/>
      </c>
      <c r="AW637" s="37" t="str">
        <f aca="false">IF(AO637&lt;&gt;1,"",IFERROR(ROUND(IF(OR(P637="",R637=""),"",IF(R637&lt;P637,"",ROUND(((NETWORKDAYS(P637,R637,JoursFeries)-1)*(HFer-HOuv)+IF(NETWORKDAYS(R637,R637,JoursFeries),MEDIAN(MOD(R637,1),HFer,HOuv),HFer)-IF(NETWORKDAYS(P637,P637,JoursFeries),MEDIAN(MOD(P637,1),HFer,HOuv),HOuv))*24,4)))/HJour,4),""))</f>
        <v/>
      </c>
      <c r="AX637" s="37" t="str">
        <f aca="false">IF(AO637&lt;&gt;1,"",IFERROR(ROUND(IF(OR(P637="",S637=""),"",IF(S637&lt;P637,"",ROUND(((NETWORKDAYS(P637,S637,JoursFeries)-1)*(HFer-HOuv)+IF(NETWORKDAYS(S637,S637,JoursFeries),MEDIAN(MOD(S637,1),HFer,HOuv),HFer)-IF(NETWORKDAYS(P637,P637,JoursFeries),MEDIAN(MOD(P637,1),HFer,HOuv),HOuv))*24,4)))/HJour,4),""))</f>
        <v/>
      </c>
      <c r="AY637" s="36" t="str">
        <f aca="false">IF(OR(AO637&lt;&gt;1,AR637=""),"",INDEX(SLA_PEC,AR637))</f>
        <v/>
      </c>
      <c r="AZ637" s="35" t="str">
        <f aca="false">IF(OR(AV637="",AY637=""),"",IF(AV637&lt;=AY637,1,0))</f>
        <v/>
      </c>
      <c r="BA637" s="36" t="str">
        <f aca="false">IF(OR(AO637&lt;&gt;1,AR637=""),"",INDEX(SLA_RES,AR637))</f>
        <v/>
      </c>
      <c r="BB637" s="35" t="str">
        <f aca="false">IF(OR(AW637="",BA637=""),"",IF(AW637&lt;=BA637,1,0))</f>
        <v/>
      </c>
      <c r="BC637" s="38" t="str">
        <f aca="false">IF(OR(BA637="",P637=""),"",WORKDAY(INT(P637),BA637,JoursFeries)+MOD(P637,1))</f>
        <v/>
      </c>
      <c r="BD637" s="39" t="str">
        <f aca="false">IF(AO637&lt;&gt;1,"",IF(OR(AB637&lt;&gt;"",AD637&lt;&gt;""),4,IF(U637&lt;&gt;"",3,IF(T637&lt;&gt;"",2,1))))</f>
        <v/>
      </c>
      <c r="BE637" s="39" t="str">
        <f aca="false">IF(OR(AO637&lt;&gt;1,AR637=""),"",INDEX(NIV_REQ,AR637))</f>
        <v/>
      </c>
      <c r="BF637" s="39" t="str">
        <f aca="false">IF(BE637="","",MAX(BE637,IF(OR(K637="Oui",Z637="Oui"),4,1)))</f>
        <v/>
      </c>
      <c r="BG637" s="35" t="str">
        <f aca="false">IF(OR(BF637="",BD637=""),"",IF(BD637&gt;=BF637,1,0))</f>
        <v/>
      </c>
      <c r="BH637" s="38" t="str">
        <f aca="false">IF(BE637="","",IF(BE637&lt;2,"",IF(BE637=2,IF(AND(T637="",U637=""),"",MIN(T637,U637)),IF(U637="","",U637))))</f>
        <v/>
      </c>
      <c r="BI637" s="37" t="str">
        <f aca="false">IF(BH637="","",IF(OR(O637="",BH637=""),"",IF(BH637&lt;O637,"",ROUND(((NETWORKDAYS(O637,BH637,JoursFeries)-1)*(HFer-HOuv)+IF(NETWORKDAYS(BH637,BH637,JoursFeries),MEDIAN(MOD(BH637,1),HFer,HOuv),HFer)-IF(NETWORKDAYS(O637,O637,JoursFeries),MEDIAN(MOD(O637,1),HFer,HOuv),HOuv))*24,4))))</f>
        <v/>
      </c>
      <c r="BJ637" s="35" t="str">
        <f aca="false">IF(OR(BI637="",AR637=""),"",IF(BI637&lt;=INDEX(DELAI_ESC,AR637),1,0))</f>
        <v/>
      </c>
      <c r="BK637" s="38" t="str">
        <f aca="false">IF(AO637&lt;&gt;1,"",IF(AND(T637="",U637=""),"",MIN(T637,U637)))</f>
        <v/>
      </c>
      <c r="BL637" s="37" t="str">
        <f aca="false">IF(OR(BK637="",R637=""),"",IFERROR(ROUND(IF(OR(BK637="",R637=""),"",IF(R637&lt;BK637,"",ROUND(((NETWORKDAYS(BK637,R637,JoursFeries)-1)*(HFer-HOuv)+IF(NETWORKDAYS(R637,R637,JoursFeries),MEDIAN(MOD(R637,1),HFer,HOuv),HFer)-IF(NETWORKDAYS(BK637,BK637,JoursFeries),MEDIAN(MOD(BK637,1),HFer,HOuv),HOuv))*24,4)))/HJour,4),""))</f>
        <v/>
      </c>
      <c r="BM637" s="35" t="str">
        <f aca="false">IF(OR(AO637&lt;&gt;1,R637=""),"",IF(BD637=1,1,0))</f>
        <v/>
      </c>
      <c r="BN637" s="35" t="str">
        <f aca="false">IF(AO637&lt;&gt;1,"",IF(W637="Oui",1,0))</f>
        <v/>
      </c>
      <c r="BO637" s="35" t="str">
        <f aca="false">IF(AO637&lt;&gt;1,"",IF(X637&lt;&gt;"",1,0))</f>
        <v/>
      </c>
      <c r="BP637" s="35" t="str">
        <f aca="false">IF(AO637&lt;&gt;1,"",IF(Y637="Oui",1,0))</f>
        <v/>
      </c>
      <c r="BQ637" s="35" t="str">
        <f aca="true">IF(OR(AO637&lt;&gt;1,Z637&lt;&gt;"Oui"),"",IF(AB637="",IF(AND(AA637&lt;&gt;"",NOW()&gt;AA637),0,""),IF(AA637="","",IF(AB637&lt;=AA637,1,0))))</f>
        <v/>
      </c>
      <c r="BR637" s="38" t="str">
        <f aca="false">IF(OR(AO637&lt;&gt;1,K637&lt;&gt;"Oui",O637=""),"",IF(AC637="",O637+DORA_H_DET/24,IF(AC637-O637&lt;=DORA_H_DET/24,MIN(AC637+DORA_H_CLA/24,O637+DORA_H_DET/24),AC637+DORA_H_CLA/24)))</f>
        <v/>
      </c>
      <c r="BS637" s="35" t="str">
        <f aca="true">IF(BR637="","",IF(AD637="",IF(NOW()&gt;BR637,0,""),IF(AD637&lt;=BR637,1,0)))</f>
        <v/>
      </c>
      <c r="BT637" s="35" t="str">
        <f aca="true">IF(OR(BR637="",AD637=""),"",IF(AE637="",IF(NOW()&gt;AD637+DORA_H_INT/24,0,""),IF(AE637&lt;=AD637+DORA_H_INT/24,1,0)))</f>
        <v/>
      </c>
      <c r="BU637" s="35" t="str">
        <f aca="true">IF(OR(BR637="",AE637=""),"",IF(AF637="",IF(NOW()&gt;EDATE(AE637,DORA_M_FIN)+1,0,""),IF(AF637&lt;=EDATE(AE637,DORA_M_FIN),1,0)))</f>
        <v/>
      </c>
      <c r="BV637" s="35" t="str">
        <f aca="false">IF(BR637="","",IF(COUNT(BS637:BU637)=0,"",MIN(BS637:BU637)))</f>
        <v/>
      </c>
      <c r="BW637" s="40" t="str">
        <f aca="false">IF(AQ637&lt;&gt;1,"",IF(AND(AG637="",AH637=""),"",N(AG637)-N(AH637)))</f>
        <v/>
      </c>
      <c r="BX637" s="35" t="str">
        <f aca="true">IF(OR(AQ637&lt;&gt;1,AI637&lt;&gt;"Oui",AJ637=""),"",IF(AK637="",IF(NOW()&gt;AJ637+1,0,""),IF(AK637&lt;=AJ637,1,0)))</f>
        <v/>
      </c>
    </row>
    <row r="638" customFormat="false" ht="15" hidden="false" customHeight="false" outlineLevel="0" collapsed="false">
      <c r="B638" s="29"/>
      <c r="C638" s="29"/>
      <c r="D638" s="29"/>
      <c r="E638" s="29"/>
      <c r="F638" s="29"/>
      <c r="G638" s="29"/>
      <c r="H638" s="29"/>
      <c r="I638" s="29"/>
      <c r="J638" s="29"/>
      <c r="K638" s="29"/>
      <c r="L638" s="29"/>
      <c r="M638" s="29"/>
      <c r="N638" s="30"/>
      <c r="O638" s="30"/>
      <c r="P638" s="30"/>
      <c r="Q638" s="30"/>
      <c r="R638" s="30"/>
      <c r="S638" s="30"/>
      <c r="T638" s="30"/>
      <c r="U638" s="30"/>
      <c r="V638" s="31"/>
      <c r="W638" s="29"/>
      <c r="X638" s="29"/>
      <c r="Y638" s="29"/>
      <c r="Z638" s="29"/>
      <c r="AA638" s="30"/>
      <c r="AB638" s="30"/>
      <c r="AC638" s="30"/>
      <c r="AD638" s="30"/>
      <c r="AE638" s="30"/>
      <c r="AF638" s="32"/>
      <c r="AG638" s="33"/>
      <c r="AH638" s="33"/>
      <c r="AI638" s="29"/>
      <c r="AJ638" s="32"/>
      <c r="AK638" s="32"/>
      <c r="AL638" s="29"/>
      <c r="AN638" s="34" t="str">
        <f aca="false">IF($B638="","",IF(OR(C638="",D638="",E638="",G638="",I638="",J638="",L638="",O638="",P638=""),"Champ obligatoire manquant",IF(OR(AND(N638&lt;&gt;"",N638&gt;O638),O638&gt;P638,AND(Q638&lt;&gt;"",Q638&lt;P638),AND(R638&lt;&gt;"",R638&lt;P638),AND(S638&lt;&gt;"",S638&lt;R638),AND(S638&lt;&gt;"",R638=""),AND(T638&lt;&gt;"",T638&lt;O638),AND(U638&lt;&gt;"",U638&lt;O638)),"Chronologie incohérente",IF(AND(OR(L638="Résolu",L638="Clos"),R638=""),"Date de résolution manquante",IF(AND(L638="Clos",S638=""),"Date de clôture manquante",IF(AND(K638="Oui",AC638=""),"Classification DORA manquante","OK"))))))</f>
        <v/>
      </c>
      <c r="AO638" s="35" t="str">
        <f aca="false">IF($B638="","",IF(AND(C638="Incident",L638&lt;&gt;"Annulé"),1,0))</f>
        <v/>
      </c>
      <c r="AP638" s="35" t="str">
        <f aca="false">IF($B638="","",IF(AND(C638="Quasi-incident",L638&lt;&gt;"Annulé"),1,0))</f>
        <v/>
      </c>
      <c r="AQ638" s="35" t="str">
        <f aca="false">IF($B638="","",AO638+AP638)</f>
        <v/>
      </c>
      <c r="AR638" s="36" t="str">
        <f aca="false">IF(OR($B638="",J638=""),"",IFERROR(VALUE(LEFT(J638,1)),""))</f>
        <v/>
      </c>
      <c r="AS638" s="35" t="str">
        <f aca="false">IF(OR(AO638&lt;&gt;1,G638=""),"",IFERROR(IF(INDEX(L_SrcInterne,MATCH(G638,L_Sources,0))="Oui",1,0),""))</f>
        <v/>
      </c>
      <c r="AT638" s="37" t="str">
        <f aca="false">IF(AO638&lt;&gt;1,"",IFERROR(ROUND(IF(OR(N638="",O638=""),"",IF(O638&lt;N638,"",ROUND(((NETWORKDAYS(N638,O638,JoursFeries)-1)*(HFer-HOuv)+IF(NETWORKDAYS(O638,O638,JoursFeries),MEDIAN(MOD(O638,1),HFer,HOuv),HFer)-IF(NETWORKDAYS(N638,N638,JoursFeries),MEDIAN(MOD(N638,1),HFer,HOuv),HOuv))*24,4)))/HJour,4),""))</f>
        <v/>
      </c>
      <c r="AU638" s="37" t="str">
        <f aca="false">IF(AO638&lt;&gt;1,"",IF(OR(O638="",P638=""),"",IF(P638&lt;O638,"",ROUND(((NETWORKDAYS(O638,P638,JoursFeries)-1)*(HFer-HOuv)+IF(NETWORKDAYS(P638,P638,JoursFeries),MEDIAN(MOD(P638,1),HFer,HOuv),HFer)-IF(NETWORKDAYS(O638,O638,JoursFeries),MEDIAN(MOD(O638,1),HFer,HOuv),HOuv))*24,4))))</f>
        <v/>
      </c>
      <c r="AV638" s="37" t="str">
        <f aca="false">IF(AO638&lt;&gt;1,"",IF(OR(P638="",Q638=""),"",IF(Q638&lt;P638,"",ROUND(((NETWORKDAYS(P638,Q638,JoursFeries)-1)*(HFer-HOuv)+IF(NETWORKDAYS(Q638,Q638,JoursFeries),MEDIAN(MOD(Q638,1),HFer,HOuv),HFer)-IF(NETWORKDAYS(P638,P638,JoursFeries),MEDIAN(MOD(P638,1),HFer,HOuv),HOuv))*24,4))))</f>
        <v/>
      </c>
      <c r="AW638" s="37" t="str">
        <f aca="false">IF(AO638&lt;&gt;1,"",IFERROR(ROUND(IF(OR(P638="",R638=""),"",IF(R638&lt;P638,"",ROUND(((NETWORKDAYS(P638,R638,JoursFeries)-1)*(HFer-HOuv)+IF(NETWORKDAYS(R638,R638,JoursFeries),MEDIAN(MOD(R638,1),HFer,HOuv),HFer)-IF(NETWORKDAYS(P638,P638,JoursFeries),MEDIAN(MOD(P638,1),HFer,HOuv),HOuv))*24,4)))/HJour,4),""))</f>
        <v/>
      </c>
      <c r="AX638" s="37" t="str">
        <f aca="false">IF(AO638&lt;&gt;1,"",IFERROR(ROUND(IF(OR(P638="",S638=""),"",IF(S638&lt;P638,"",ROUND(((NETWORKDAYS(P638,S638,JoursFeries)-1)*(HFer-HOuv)+IF(NETWORKDAYS(S638,S638,JoursFeries),MEDIAN(MOD(S638,1),HFer,HOuv),HFer)-IF(NETWORKDAYS(P638,P638,JoursFeries),MEDIAN(MOD(P638,1),HFer,HOuv),HOuv))*24,4)))/HJour,4),""))</f>
        <v/>
      </c>
      <c r="AY638" s="36" t="str">
        <f aca="false">IF(OR(AO638&lt;&gt;1,AR638=""),"",INDEX(SLA_PEC,AR638))</f>
        <v/>
      </c>
      <c r="AZ638" s="35" t="str">
        <f aca="false">IF(OR(AV638="",AY638=""),"",IF(AV638&lt;=AY638,1,0))</f>
        <v/>
      </c>
      <c r="BA638" s="36" t="str">
        <f aca="false">IF(OR(AO638&lt;&gt;1,AR638=""),"",INDEX(SLA_RES,AR638))</f>
        <v/>
      </c>
      <c r="BB638" s="35" t="str">
        <f aca="false">IF(OR(AW638="",BA638=""),"",IF(AW638&lt;=BA638,1,0))</f>
        <v/>
      </c>
      <c r="BC638" s="38" t="str">
        <f aca="false">IF(OR(BA638="",P638=""),"",WORKDAY(INT(P638),BA638,JoursFeries)+MOD(P638,1))</f>
        <v/>
      </c>
      <c r="BD638" s="39" t="str">
        <f aca="false">IF(AO638&lt;&gt;1,"",IF(OR(AB638&lt;&gt;"",AD638&lt;&gt;""),4,IF(U638&lt;&gt;"",3,IF(T638&lt;&gt;"",2,1))))</f>
        <v/>
      </c>
      <c r="BE638" s="39" t="str">
        <f aca="false">IF(OR(AO638&lt;&gt;1,AR638=""),"",INDEX(NIV_REQ,AR638))</f>
        <v/>
      </c>
      <c r="BF638" s="39" t="str">
        <f aca="false">IF(BE638="","",MAX(BE638,IF(OR(K638="Oui",Z638="Oui"),4,1)))</f>
        <v/>
      </c>
      <c r="BG638" s="35" t="str">
        <f aca="false">IF(OR(BF638="",BD638=""),"",IF(BD638&gt;=BF638,1,0))</f>
        <v/>
      </c>
      <c r="BH638" s="38" t="str">
        <f aca="false">IF(BE638="","",IF(BE638&lt;2,"",IF(BE638=2,IF(AND(T638="",U638=""),"",MIN(T638,U638)),IF(U638="","",U638))))</f>
        <v/>
      </c>
      <c r="BI638" s="37" t="str">
        <f aca="false">IF(BH638="","",IF(OR(O638="",BH638=""),"",IF(BH638&lt;O638,"",ROUND(((NETWORKDAYS(O638,BH638,JoursFeries)-1)*(HFer-HOuv)+IF(NETWORKDAYS(BH638,BH638,JoursFeries),MEDIAN(MOD(BH638,1),HFer,HOuv),HFer)-IF(NETWORKDAYS(O638,O638,JoursFeries),MEDIAN(MOD(O638,1),HFer,HOuv),HOuv))*24,4))))</f>
        <v/>
      </c>
      <c r="BJ638" s="35" t="str">
        <f aca="false">IF(OR(BI638="",AR638=""),"",IF(BI638&lt;=INDEX(DELAI_ESC,AR638),1,0))</f>
        <v/>
      </c>
      <c r="BK638" s="38" t="str">
        <f aca="false">IF(AO638&lt;&gt;1,"",IF(AND(T638="",U638=""),"",MIN(T638,U638)))</f>
        <v/>
      </c>
      <c r="BL638" s="37" t="str">
        <f aca="false">IF(OR(BK638="",R638=""),"",IFERROR(ROUND(IF(OR(BK638="",R638=""),"",IF(R638&lt;BK638,"",ROUND(((NETWORKDAYS(BK638,R638,JoursFeries)-1)*(HFer-HOuv)+IF(NETWORKDAYS(R638,R638,JoursFeries),MEDIAN(MOD(R638,1),HFer,HOuv),HFer)-IF(NETWORKDAYS(BK638,BK638,JoursFeries),MEDIAN(MOD(BK638,1),HFer,HOuv),HOuv))*24,4)))/HJour,4),""))</f>
        <v/>
      </c>
      <c r="BM638" s="35" t="str">
        <f aca="false">IF(OR(AO638&lt;&gt;1,R638=""),"",IF(BD638=1,1,0))</f>
        <v/>
      </c>
      <c r="BN638" s="35" t="str">
        <f aca="false">IF(AO638&lt;&gt;1,"",IF(W638="Oui",1,0))</f>
        <v/>
      </c>
      <c r="BO638" s="35" t="str">
        <f aca="false">IF(AO638&lt;&gt;1,"",IF(X638&lt;&gt;"",1,0))</f>
        <v/>
      </c>
      <c r="BP638" s="35" t="str">
        <f aca="false">IF(AO638&lt;&gt;1,"",IF(Y638="Oui",1,0))</f>
        <v/>
      </c>
      <c r="BQ638" s="35" t="str">
        <f aca="true">IF(OR(AO638&lt;&gt;1,Z638&lt;&gt;"Oui"),"",IF(AB638="",IF(AND(AA638&lt;&gt;"",NOW()&gt;AA638),0,""),IF(AA638="","",IF(AB638&lt;=AA638,1,0))))</f>
        <v/>
      </c>
      <c r="BR638" s="38" t="str">
        <f aca="false">IF(OR(AO638&lt;&gt;1,K638&lt;&gt;"Oui",O638=""),"",IF(AC638="",O638+DORA_H_DET/24,IF(AC638-O638&lt;=DORA_H_DET/24,MIN(AC638+DORA_H_CLA/24,O638+DORA_H_DET/24),AC638+DORA_H_CLA/24)))</f>
        <v/>
      </c>
      <c r="BS638" s="35" t="str">
        <f aca="true">IF(BR638="","",IF(AD638="",IF(NOW()&gt;BR638,0,""),IF(AD638&lt;=BR638,1,0)))</f>
        <v/>
      </c>
      <c r="BT638" s="35" t="str">
        <f aca="true">IF(OR(BR638="",AD638=""),"",IF(AE638="",IF(NOW()&gt;AD638+DORA_H_INT/24,0,""),IF(AE638&lt;=AD638+DORA_H_INT/24,1,0)))</f>
        <v/>
      </c>
      <c r="BU638" s="35" t="str">
        <f aca="true">IF(OR(BR638="",AE638=""),"",IF(AF638="",IF(NOW()&gt;EDATE(AE638,DORA_M_FIN)+1,0,""),IF(AF638&lt;=EDATE(AE638,DORA_M_FIN),1,0)))</f>
        <v/>
      </c>
      <c r="BV638" s="35" t="str">
        <f aca="false">IF(BR638="","",IF(COUNT(BS638:BU638)=0,"",MIN(BS638:BU638)))</f>
        <v/>
      </c>
      <c r="BW638" s="40" t="str">
        <f aca="false">IF(AQ638&lt;&gt;1,"",IF(AND(AG638="",AH638=""),"",N(AG638)-N(AH638)))</f>
        <v/>
      </c>
      <c r="BX638" s="35" t="str">
        <f aca="true">IF(OR(AQ638&lt;&gt;1,AI638&lt;&gt;"Oui",AJ638=""),"",IF(AK638="",IF(NOW()&gt;AJ638+1,0,""),IF(AK638&lt;=AJ638,1,0)))</f>
        <v/>
      </c>
    </row>
    <row r="639" customFormat="false" ht="15" hidden="false" customHeight="false" outlineLevel="0" collapsed="false">
      <c r="B639" s="29"/>
      <c r="C639" s="29"/>
      <c r="D639" s="29"/>
      <c r="E639" s="29"/>
      <c r="F639" s="29"/>
      <c r="G639" s="29"/>
      <c r="H639" s="29"/>
      <c r="I639" s="29"/>
      <c r="J639" s="29"/>
      <c r="K639" s="29"/>
      <c r="L639" s="29"/>
      <c r="M639" s="29"/>
      <c r="N639" s="30"/>
      <c r="O639" s="30"/>
      <c r="P639" s="30"/>
      <c r="Q639" s="30"/>
      <c r="R639" s="30"/>
      <c r="S639" s="30"/>
      <c r="T639" s="30"/>
      <c r="U639" s="30"/>
      <c r="V639" s="31"/>
      <c r="W639" s="29"/>
      <c r="X639" s="29"/>
      <c r="Y639" s="29"/>
      <c r="Z639" s="29"/>
      <c r="AA639" s="30"/>
      <c r="AB639" s="30"/>
      <c r="AC639" s="30"/>
      <c r="AD639" s="30"/>
      <c r="AE639" s="30"/>
      <c r="AF639" s="32"/>
      <c r="AG639" s="33"/>
      <c r="AH639" s="33"/>
      <c r="AI639" s="29"/>
      <c r="AJ639" s="32"/>
      <c r="AK639" s="32"/>
      <c r="AL639" s="29"/>
      <c r="AN639" s="34" t="str">
        <f aca="false">IF($B639="","",IF(OR(C639="",D639="",E639="",G639="",I639="",J639="",L639="",O639="",P639=""),"Champ obligatoire manquant",IF(OR(AND(N639&lt;&gt;"",N639&gt;O639),O639&gt;P639,AND(Q639&lt;&gt;"",Q639&lt;P639),AND(R639&lt;&gt;"",R639&lt;P639),AND(S639&lt;&gt;"",S639&lt;R639),AND(S639&lt;&gt;"",R639=""),AND(T639&lt;&gt;"",T639&lt;O639),AND(U639&lt;&gt;"",U639&lt;O639)),"Chronologie incohérente",IF(AND(OR(L639="Résolu",L639="Clos"),R639=""),"Date de résolution manquante",IF(AND(L639="Clos",S639=""),"Date de clôture manquante",IF(AND(K639="Oui",AC639=""),"Classification DORA manquante","OK"))))))</f>
        <v/>
      </c>
      <c r="AO639" s="35" t="str">
        <f aca="false">IF($B639="","",IF(AND(C639="Incident",L639&lt;&gt;"Annulé"),1,0))</f>
        <v/>
      </c>
      <c r="AP639" s="35" t="str">
        <f aca="false">IF($B639="","",IF(AND(C639="Quasi-incident",L639&lt;&gt;"Annulé"),1,0))</f>
        <v/>
      </c>
      <c r="AQ639" s="35" t="str">
        <f aca="false">IF($B639="","",AO639+AP639)</f>
        <v/>
      </c>
      <c r="AR639" s="36" t="str">
        <f aca="false">IF(OR($B639="",J639=""),"",IFERROR(VALUE(LEFT(J639,1)),""))</f>
        <v/>
      </c>
      <c r="AS639" s="35" t="str">
        <f aca="false">IF(OR(AO639&lt;&gt;1,G639=""),"",IFERROR(IF(INDEX(L_SrcInterne,MATCH(G639,L_Sources,0))="Oui",1,0),""))</f>
        <v/>
      </c>
      <c r="AT639" s="37" t="str">
        <f aca="false">IF(AO639&lt;&gt;1,"",IFERROR(ROUND(IF(OR(N639="",O639=""),"",IF(O639&lt;N639,"",ROUND(((NETWORKDAYS(N639,O639,JoursFeries)-1)*(HFer-HOuv)+IF(NETWORKDAYS(O639,O639,JoursFeries),MEDIAN(MOD(O639,1),HFer,HOuv),HFer)-IF(NETWORKDAYS(N639,N639,JoursFeries),MEDIAN(MOD(N639,1),HFer,HOuv),HOuv))*24,4)))/HJour,4),""))</f>
        <v/>
      </c>
      <c r="AU639" s="37" t="str">
        <f aca="false">IF(AO639&lt;&gt;1,"",IF(OR(O639="",P639=""),"",IF(P639&lt;O639,"",ROUND(((NETWORKDAYS(O639,P639,JoursFeries)-1)*(HFer-HOuv)+IF(NETWORKDAYS(P639,P639,JoursFeries),MEDIAN(MOD(P639,1),HFer,HOuv),HFer)-IF(NETWORKDAYS(O639,O639,JoursFeries),MEDIAN(MOD(O639,1),HFer,HOuv),HOuv))*24,4))))</f>
        <v/>
      </c>
      <c r="AV639" s="37" t="str">
        <f aca="false">IF(AO639&lt;&gt;1,"",IF(OR(P639="",Q639=""),"",IF(Q639&lt;P639,"",ROUND(((NETWORKDAYS(P639,Q639,JoursFeries)-1)*(HFer-HOuv)+IF(NETWORKDAYS(Q639,Q639,JoursFeries),MEDIAN(MOD(Q639,1),HFer,HOuv),HFer)-IF(NETWORKDAYS(P639,P639,JoursFeries),MEDIAN(MOD(P639,1),HFer,HOuv),HOuv))*24,4))))</f>
        <v/>
      </c>
      <c r="AW639" s="37" t="str">
        <f aca="false">IF(AO639&lt;&gt;1,"",IFERROR(ROUND(IF(OR(P639="",R639=""),"",IF(R639&lt;P639,"",ROUND(((NETWORKDAYS(P639,R639,JoursFeries)-1)*(HFer-HOuv)+IF(NETWORKDAYS(R639,R639,JoursFeries),MEDIAN(MOD(R639,1),HFer,HOuv),HFer)-IF(NETWORKDAYS(P639,P639,JoursFeries),MEDIAN(MOD(P639,1),HFer,HOuv),HOuv))*24,4)))/HJour,4),""))</f>
        <v/>
      </c>
      <c r="AX639" s="37" t="str">
        <f aca="false">IF(AO639&lt;&gt;1,"",IFERROR(ROUND(IF(OR(P639="",S639=""),"",IF(S639&lt;P639,"",ROUND(((NETWORKDAYS(P639,S639,JoursFeries)-1)*(HFer-HOuv)+IF(NETWORKDAYS(S639,S639,JoursFeries),MEDIAN(MOD(S639,1),HFer,HOuv),HFer)-IF(NETWORKDAYS(P639,P639,JoursFeries),MEDIAN(MOD(P639,1),HFer,HOuv),HOuv))*24,4)))/HJour,4),""))</f>
        <v/>
      </c>
      <c r="AY639" s="36" t="str">
        <f aca="false">IF(OR(AO639&lt;&gt;1,AR639=""),"",INDEX(SLA_PEC,AR639))</f>
        <v/>
      </c>
      <c r="AZ639" s="35" t="str">
        <f aca="false">IF(OR(AV639="",AY639=""),"",IF(AV639&lt;=AY639,1,0))</f>
        <v/>
      </c>
      <c r="BA639" s="36" t="str">
        <f aca="false">IF(OR(AO639&lt;&gt;1,AR639=""),"",INDEX(SLA_RES,AR639))</f>
        <v/>
      </c>
      <c r="BB639" s="35" t="str">
        <f aca="false">IF(OR(AW639="",BA639=""),"",IF(AW639&lt;=BA639,1,0))</f>
        <v/>
      </c>
      <c r="BC639" s="38" t="str">
        <f aca="false">IF(OR(BA639="",P639=""),"",WORKDAY(INT(P639),BA639,JoursFeries)+MOD(P639,1))</f>
        <v/>
      </c>
      <c r="BD639" s="39" t="str">
        <f aca="false">IF(AO639&lt;&gt;1,"",IF(OR(AB639&lt;&gt;"",AD639&lt;&gt;""),4,IF(U639&lt;&gt;"",3,IF(T639&lt;&gt;"",2,1))))</f>
        <v/>
      </c>
      <c r="BE639" s="39" t="str">
        <f aca="false">IF(OR(AO639&lt;&gt;1,AR639=""),"",INDEX(NIV_REQ,AR639))</f>
        <v/>
      </c>
      <c r="BF639" s="39" t="str">
        <f aca="false">IF(BE639="","",MAX(BE639,IF(OR(K639="Oui",Z639="Oui"),4,1)))</f>
        <v/>
      </c>
      <c r="BG639" s="35" t="str">
        <f aca="false">IF(OR(BF639="",BD639=""),"",IF(BD639&gt;=BF639,1,0))</f>
        <v/>
      </c>
      <c r="BH639" s="38" t="str">
        <f aca="false">IF(BE639="","",IF(BE639&lt;2,"",IF(BE639=2,IF(AND(T639="",U639=""),"",MIN(T639,U639)),IF(U639="","",U639))))</f>
        <v/>
      </c>
      <c r="BI639" s="37" t="str">
        <f aca="false">IF(BH639="","",IF(OR(O639="",BH639=""),"",IF(BH639&lt;O639,"",ROUND(((NETWORKDAYS(O639,BH639,JoursFeries)-1)*(HFer-HOuv)+IF(NETWORKDAYS(BH639,BH639,JoursFeries),MEDIAN(MOD(BH639,1),HFer,HOuv),HFer)-IF(NETWORKDAYS(O639,O639,JoursFeries),MEDIAN(MOD(O639,1),HFer,HOuv),HOuv))*24,4))))</f>
        <v/>
      </c>
      <c r="BJ639" s="35" t="str">
        <f aca="false">IF(OR(BI639="",AR639=""),"",IF(BI639&lt;=INDEX(DELAI_ESC,AR639),1,0))</f>
        <v/>
      </c>
      <c r="BK639" s="38" t="str">
        <f aca="false">IF(AO639&lt;&gt;1,"",IF(AND(T639="",U639=""),"",MIN(T639,U639)))</f>
        <v/>
      </c>
      <c r="BL639" s="37" t="str">
        <f aca="false">IF(OR(BK639="",R639=""),"",IFERROR(ROUND(IF(OR(BK639="",R639=""),"",IF(R639&lt;BK639,"",ROUND(((NETWORKDAYS(BK639,R639,JoursFeries)-1)*(HFer-HOuv)+IF(NETWORKDAYS(R639,R639,JoursFeries),MEDIAN(MOD(R639,1),HFer,HOuv),HFer)-IF(NETWORKDAYS(BK639,BK639,JoursFeries),MEDIAN(MOD(BK639,1),HFer,HOuv),HOuv))*24,4)))/HJour,4),""))</f>
        <v/>
      </c>
      <c r="BM639" s="35" t="str">
        <f aca="false">IF(OR(AO639&lt;&gt;1,R639=""),"",IF(BD639=1,1,0))</f>
        <v/>
      </c>
      <c r="BN639" s="35" t="str">
        <f aca="false">IF(AO639&lt;&gt;1,"",IF(W639="Oui",1,0))</f>
        <v/>
      </c>
      <c r="BO639" s="35" t="str">
        <f aca="false">IF(AO639&lt;&gt;1,"",IF(X639&lt;&gt;"",1,0))</f>
        <v/>
      </c>
      <c r="BP639" s="35" t="str">
        <f aca="false">IF(AO639&lt;&gt;1,"",IF(Y639="Oui",1,0))</f>
        <v/>
      </c>
      <c r="BQ639" s="35" t="str">
        <f aca="true">IF(OR(AO639&lt;&gt;1,Z639&lt;&gt;"Oui"),"",IF(AB639="",IF(AND(AA639&lt;&gt;"",NOW()&gt;AA639),0,""),IF(AA639="","",IF(AB639&lt;=AA639,1,0))))</f>
        <v/>
      </c>
      <c r="BR639" s="38" t="str">
        <f aca="false">IF(OR(AO639&lt;&gt;1,K639&lt;&gt;"Oui",O639=""),"",IF(AC639="",O639+DORA_H_DET/24,IF(AC639-O639&lt;=DORA_H_DET/24,MIN(AC639+DORA_H_CLA/24,O639+DORA_H_DET/24),AC639+DORA_H_CLA/24)))</f>
        <v/>
      </c>
      <c r="BS639" s="35" t="str">
        <f aca="true">IF(BR639="","",IF(AD639="",IF(NOW()&gt;BR639,0,""),IF(AD639&lt;=BR639,1,0)))</f>
        <v/>
      </c>
      <c r="BT639" s="35" t="str">
        <f aca="true">IF(OR(BR639="",AD639=""),"",IF(AE639="",IF(NOW()&gt;AD639+DORA_H_INT/24,0,""),IF(AE639&lt;=AD639+DORA_H_INT/24,1,0)))</f>
        <v/>
      </c>
      <c r="BU639" s="35" t="str">
        <f aca="true">IF(OR(BR639="",AE639=""),"",IF(AF639="",IF(NOW()&gt;EDATE(AE639,DORA_M_FIN)+1,0,""),IF(AF639&lt;=EDATE(AE639,DORA_M_FIN),1,0)))</f>
        <v/>
      </c>
      <c r="BV639" s="35" t="str">
        <f aca="false">IF(BR639="","",IF(COUNT(BS639:BU639)=0,"",MIN(BS639:BU639)))</f>
        <v/>
      </c>
      <c r="BW639" s="40" t="str">
        <f aca="false">IF(AQ639&lt;&gt;1,"",IF(AND(AG639="",AH639=""),"",N(AG639)-N(AH639)))</f>
        <v/>
      </c>
      <c r="BX639" s="35" t="str">
        <f aca="true">IF(OR(AQ639&lt;&gt;1,AI639&lt;&gt;"Oui",AJ639=""),"",IF(AK639="",IF(NOW()&gt;AJ639+1,0,""),IF(AK639&lt;=AJ639,1,0)))</f>
        <v/>
      </c>
    </row>
    <row r="640" customFormat="false" ht="15" hidden="false" customHeight="false" outlineLevel="0" collapsed="false">
      <c r="B640" s="29"/>
      <c r="C640" s="29"/>
      <c r="D640" s="29"/>
      <c r="E640" s="29"/>
      <c r="F640" s="29"/>
      <c r="G640" s="29"/>
      <c r="H640" s="29"/>
      <c r="I640" s="29"/>
      <c r="J640" s="29"/>
      <c r="K640" s="29"/>
      <c r="L640" s="29"/>
      <c r="M640" s="29"/>
      <c r="N640" s="30"/>
      <c r="O640" s="30"/>
      <c r="P640" s="30"/>
      <c r="Q640" s="30"/>
      <c r="R640" s="30"/>
      <c r="S640" s="30"/>
      <c r="T640" s="30"/>
      <c r="U640" s="30"/>
      <c r="V640" s="31"/>
      <c r="W640" s="29"/>
      <c r="X640" s="29"/>
      <c r="Y640" s="29"/>
      <c r="Z640" s="29"/>
      <c r="AA640" s="30"/>
      <c r="AB640" s="30"/>
      <c r="AC640" s="30"/>
      <c r="AD640" s="30"/>
      <c r="AE640" s="30"/>
      <c r="AF640" s="32"/>
      <c r="AG640" s="33"/>
      <c r="AH640" s="33"/>
      <c r="AI640" s="29"/>
      <c r="AJ640" s="32"/>
      <c r="AK640" s="32"/>
      <c r="AL640" s="29"/>
      <c r="AN640" s="34" t="str">
        <f aca="false">IF($B640="","",IF(OR(C640="",D640="",E640="",G640="",I640="",J640="",L640="",O640="",P640=""),"Champ obligatoire manquant",IF(OR(AND(N640&lt;&gt;"",N640&gt;O640),O640&gt;P640,AND(Q640&lt;&gt;"",Q640&lt;P640),AND(R640&lt;&gt;"",R640&lt;P640),AND(S640&lt;&gt;"",S640&lt;R640),AND(S640&lt;&gt;"",R640=""),AND(T640&lt;&gt;"",T640&lt;O640),AND(U640&lt;&gt;"",U640&lt;O640)),"Chronologie incohérente",IF(AND(OR(L640="Résolu",L640="Clos"),R640=""),"Date de résolution manquante",IF(AND(L640="Clos",S640=""),"Date de clôture manquante",IF(AND(K640="Oui",AC640=""),"Classification DORA manquante","OK"))))))</f>
        <v/>
      </c>
      <c r="AO640" s="35" t="str">
        <f aca="false">IF($B640="","",IF(AND(C640="Incident",L640&lt;&gt;"Annulé"),1,0))</f>
        <v/>
      </c>
      <c r="AP640" s="35" t="str">
        <f aca="false">IF($B640="","",IF(AND(C640="Quasi-incident",L640&lt;&gt;"Annulé"),1,0))</f>
        <v/>
      </c>
      <c r="AQ640" s="35" t="str">
        <f aca="false">IF($B640="","",AO640+AP640)</f>
        <v/>
      </c>
      <c r="AR640" s="36" t="str">
        <f aca="false">IF(OR($B640="",J640=""),"",IFERROR(VALUE(LEFT(J640,1)),""))</f>
        <v/>
      </c>
      <c r="AS640" s="35" t="str">
        <f aca="false">IF(OR(AO640&lt;&gt;1,G640=""),"",IFERROR(IF(INDEX(L_SrcInterne,MATCH(G640,L_Sources,0))="Oui",1,0),""))</f>
        <v/>
      </c>
      <c r="AT640" s="37" t="str">
        <f aca="false">IF(AO640&lt;&gt;1,"",IFERROR(ROUND(IF(OR(N640="",O640=""),"",IF(O640&lt;N640,"",ROUND(((NETWORKDAYS(N640,O640,JoursFeries)-1)*(HFer-HOuv)+IF(NETWORKDAYS(O640,O640,JoursFeries),MEDIAN(MOD(O640,1),HFer,HOuv),HFer)-IF(NETWORKDAYS(N640,N640,JoursFeries),MEDIAN(MOD(N640,1),HFer,HOuv),HOuv))*24,4)))/HJour,4),""))</f>
        <v/>
      </c>
      <c r="AU640" s="37" t="str">
        <f aca="false">IF(AO640&lt;&gt;1,"",IF(OR(O640="",P640=""),"",IF(P640&lt;O640,"",ROUND(((NETWORKDAYS(O640,P640,JoursFeries)-1)*(HFer-HOuv)+IF(NETWORKDAYS(P640,P640,JoursFeries),MEDIAN(MOD(P640,1),HFer,HOuv),HFer)-IF(NETWORKDAYS(O640,O640,JoursFeries),MEDIAN(MOD(O640,1),HFer,HOuv),HOuv))*24,4))))</f>
        <v/>
      </c>
      <c r="AV640" s="37" t="str">
        <f aca="false">IF(AO640&lt;&gt;1,"",IF(OR(P640="",Q640=""),"",IF(Q640&lt;P640,"",ROUND(((NETWORKDAYS(P640,Q640,JoursFeries)-1)*(HFer-HOuv)+IF(NETWORKDAYS(Q640,Q640,JoursFeries),MEDIAN(MOD(Q640,1),HFer,HOuv),HFer)-IF(NETWORKDAYS(P640,P640,JoursFeries),MEDIAN(MOD(P640,1),HFer,HOuv),HOuv))*24,4))))</f>
        <v/>
      </c>
      <c r="AW640" s="37" t="str">
        <f aca="false">IF(AO640&lt;&gt;1,"",IFERROR(ROUND(IF(OR(P640="",R640=""),"",IF(R640&lt;P640,"",ROUND(((NETWORKDAYS(P640,R640,JoursFeries)-1)*(HFer-HOuv)+IF(NETWORKDAYS(R640,R640,JoursFeries),MEDIAN(MOD(R640,1),HFer,HOuv),HFer)-IF(NETWORKDAYS(P640,P640,JoursFeries),MEDIAN(MOD(P640,1),HFer,HOuv),HOuv))*24,4)))/HJour,4),""))</f>
        <v/>
      </c>
      <c r="AX640" s="37" t="str">
        <f aca="false">IF(AO640&lt;&gt;1,"",IFERROR(ROUND(IF(OR(P640="",S640=""),"",IF(S640&lt;P640,"",ROUND(((NETWORKDAYS(P640,S640,JoursFeries)-1)*(HFer-HOuv)+IF(NETWORKDAYS(S640,S640,JoursFeries),MEDIAN(MOD(S640,1),HFer,HOuv),HFer)-IF(NETWORKDAYS(P640,P640,JoursFeries),MEDIAN(MOD(P640,1),HFer,HOuv),HOuv))*24,4)))/HJour,4),""))</f>
        <v/>
      </c>
      <c r="AY640" s="36" t="str">
        <f aca="false">IF(OR(AO640&lt;&gt;1,AR640=""),"",INDEX(SLA_PEC,AR640))</f>
        <v/>
      </c>
      <c r="AZ640" s="35" t="str">
        <f aca="false">IF(OR(AV640="",AY640=""),"",IF(AV640&lt;=AY640,1,0))</f>
        <v/>
      </c>
      <c r="BA640" s="36" t="str">
        <f aca="false">IF(OR(AO640&lt;&gt;1,AR640=""),"",INDEX(SLA_RES,AR640))</f>
        <v/>
      </c>
      <c r="BB640" s="35" t="str">
        <f aca="false">IF(OR(AW640="",BA640=""),"",IF(AW640&lt;=BA640,1,0))</f>
        <v/>
      </c>
      <c r="BC640" s="38" t="str">
        <f aca="false">IF(OR(BA640="",P640=""),"",WORKDAY(INT(P640),BA640,JoursFeries)+MOD(P640,1))</f>
        <v/>
      </c>
      <c r="BD640" s="39" t="str">
        <f aca="false">IF(AO640&lt;&gt;1,"",IF(OR(AB640&lt;&gt;"",AD640&lt;&gt;""),4,IF(U640&lt;&gt;"",3,IF(T640&lt;&gt;"",2,1))))</f>
        <v/>
      </c>
      <c r="BE640" s="39" t="str">
        <f aca="false">IF(OR(AO640&lt;&gt;1,AR640=""),"",INDEX(NIV_REQ,AR640))</f>
        <v/>
      </c>
      <c r="BF640" s="39" t="str">
        <f aca="false">IF(BE640="","",MAX(BE640,IF(OR(K640="Oui",Z640="Oui"),4,1)))</f>
        <v/>
      </c>
      <c r="BG640" s="35" t="str">
        <f aca="false">IF(OR(BF640="",BD640=""),"",IF(BD640&gt;=BF640,1,0))</f>
        <v/>
      </c>
      <c r="BH640" s="38" t="str">
        <f aca="false">IF(BE640="","",IF(BE640&lt;2,"",IF(BE640=2,IF(AND(T640="",U640=""),"",MIN(T640,U640)),IF(U640="","",U640))))</f>
        <v/>
      </c>
      <c r="BI640" s="37" t="str">
        <f aca="false">IF(BH640="","",IF(OR(O640="",BH640=""),"",IF(BH640&lt;O640,"",ROUND(((NETWORKDAYS(O640,BH640,JoursFeries)-1)*(HFer-HOuv)+IF(NETWORKDAYS(BH640,BH640,JoursFeries),MEDIAN(MOD(BH640,1),HFer,HOuv),HFer)-IF(NETWORKDAYS(O640,O640,JoursFeries),MEDIAN(MOD(O640,1),HFer,HOuv),HOuv))*24,4))))</f>
        <v/>
      </c>
      <c r="BJ640" s="35" t="str">
        <f aca="false">IF(OR(BI640="",AR640=""),"",IF(BI640&lt;=INDEX(DELAI_ESC,AR640),1,0))</f>
        <v/>
      </c>
      <c r="BK640" s="38" t="str">
        <f aca="false">IF(AO640&lt;&gt;1,"",IF(AND(T640="",U640=""),"",MIN(T640,U640)))</f>
        <v/>
      </c>
      <c r="BL640" s="37" t="str">
        <f aca="false">IF(OR(BK640="",R640=""),"",IFERROR(ROUND(IF(OR(BK640="",R640=""),"",IF(R640&lt;BK640,"",ROUND(((NETWORKDAYS(BK640,R640,JoursFeries)-1)*(HFer-HOuv)+IF(NETWORKDAYS(R640,R640,JoursFeries),MEDIAN(MOD(R640,1),HFer,HOuv),HFer)-IF(NETWORKDAYS(BK640,BK640,JoursFeries),MEDIAN(MOD(BK640,1),HFer,HOuv),HOuv))*24,4)))/HJour,4),""))</f>
        <v/>
      </c>
      <c r="BM640" s="35" t="str">
        <f aca="false">IF(OR(AO640&lt;&gt;1,R640=""),"",IF(BD640=1,1,0))</f>
        <v/>
      </c>
      <c r="BN640" s="35" t="str">
        <f aca="false">IF(AO640&lt;&gt;1,"",IF(W640="Oui",1,0))</f>
        <v/>
      </c>
      <c r="BO640" s="35" t="str">
        <f aca="false">IF(AO640&lt;&gt;1,"",IF(X640&lt;&gt;"",1,0))</f>
        <v/>
      </c>
      <c r="BP640" s="35" t="str">
        <f aca="false">IF(AO640&lt;&gt;1,"",IF(Y640="Oui",1,0))</f>
        <v/>
      </c>
      <c r="BQ640" s="35" t="str">
        <f aca="true">IF(OR(AO640&lt;&gt;1,Z640&lt;&gt;"Oui"),"",IF(AB640="",IF(AND(AA640&lt;&gt;"",NOW()&gt;AA640),0,""),IF(AA640="","",IF(AB640&lt;=AA640,1,0))))</f>
        <v/>
      </c>
      <c r="BR640" s="38" t="str">
        <f aca="false">IF(OR(AO640&lt;&gt;1,K640&lt;&gt;"Oui",O640=""),"",IF(AC640="",O640+DORA_H_DET/24,IF(AC640-O640&lt;=DORA_H_DET/24,MIN(AC640+DORA_H_CLA/24,O640+DORA_H_DET/24),AC640+DORA_H_CLA/24)))</f>
        <v/>
      </c>
      <c r="BS640" s="35" t="str">
        <f aca="true">IF(BR640="","",IF(AD640="",IF(NOW()&gt;BR640,0,""),IF(AD640&lt;=BR640,1,0)))</f>
        <v/>
      </c>
      <c r="BT640" s="35" t="str">
        <f aca="true">IF(OR(BR640="",AD640=""),"",IF(AE640="",IF(NOW()&gt;AD640+DORA_H_INT/24,0,""),IF(AE640&lt;=AD640+DORA_H_INT/24,1,0)))</f>
        <v/>
      </c>
      <c r="BU640" s="35" t="str">
        <f aca="true">IF(OR(BR640="",AE640=""),"",IF(AF640="",IF(NOW()&gt;EDATE(AE640,DORA_M_FIN)+1,0,""),IF(AF640&lt;=EDATE(AE640,DORA_M_FIN),1,0)))</f>
        <v/>
      </c>
      <c r="BV640" s="35" t="str">
        <f aca="false">IF(BR640="","",IF(COUNT(BS640:BU640)=0,"",MIN(BS640:BU640)))</f>
        <v/>
      </c>
      <c r="BW640" s="40" t="str">
        <f aca="false">IF(AQ640&lt;&gt;1,"",IF(AND(AG640="",AH640=""),"",N(AG640)-N(AH640)))</f>
        <v/>
      </c>
      <c r="BX640" s="35" t="str">
        <f aca="true">IF(OR(AQ640&lt;&gt;1,AI640&lt;&gt;"Oui",AJ640=""),"",IF(AK640="",IF(NOW()&gt;AJ640+1,0,""),IF(AK640&lt;=AJ640,1,0)))</f>
        <v/>
      </c>
    </row>
    <row r="641" customFormat="false" ht="15" hidden="false" customHeight="false" outlineLevel="0" collapsed="false">
      <c r="B641" s="29"/>
      <c r="C641" s="29"/>
      <c r="D641" s="29"/>
      <c r="E641" s="29"/>
      <c r="F641" s="29"/>
      <c r="G641" s="29"/>
      <c r="H641" s="29"/>
      <c r="I641" s="29"/>
      <c r="J641" s="29"/>
      <c r="K641" s="29"/>
      <c r="L641" s="29"/>
      <c r="M641" s="29"/>
      <c r="N641" s="30"/>
      <c r="O641" s="30"/>
      <c r="P641" s="30"/>
      <c r="Q641" s="30"/>
      <c r="R641" s="30"/>
      <c r="S641" s="30"/>
      <c r="T641" s="30"/>
      <c r="U641" s="30"/>
      <c r="V641" s="31"/>
      <c r="W641" s="29"/>
      <c r="X641" s="29"/>
      <c r="Y641" s="29"/>
      <c r="Z641" s="29"/>
      <c r="AA641" s="30"/>
      <c r="AB641" s="30"/>
      <c r="AC641" s="30"/>
      <c r="AD641" s="30"/>
      <c r="AE641" s="30"/>
      <c r="AF641" s="32"/>
      <c r="AG641" s="33"/>
      <c r="AH641" s="33"/>
      <c r="AI641" s="29"/>
      <c r="AJ641" s="32"/>
      <c r="AK641" s="32"/>
      <c r="AL641" s="29"/>
      <c r="AN641" s="34" t="str">
        <f aca="false">IF($B641="","",IF(OR(C641="",D641="",E641="",G641="",I641="",J641="",L641="",O641="",P641=""),"Champ obligatoire manquant",IF(OR(AND(N641&lt;&gt;"",N641&gt;O641),O641&gt;P641,AND(Q641&lt;&gt;"",Q641&lt;P641),AND(R641&lt;&gt;"",R641&lt;P641),AND(S641&lt;&gt;"",S641&lt;R641),AND(S641&lt;&gt;"",R641=""),AND(T641&lt;&gt;"",T641&lt;O641),AND(U641&lt;&gt;"",U641&lt;O641)),"Chronologie incohérente",IF(AND(OR(L641="Résolu",L641="Clos"),R641=""),"Date de résolution manquante",IF(AND(L641="Clos",S641=""),"Date de clôture manquante",IF(AND(K641="Oui",AC641=""),"Classification DORA manquante","OK"))))))</f>
        <v/>
      </c>
      <c r="AO641" s="35" t="str">
        <f aca="false">IF($B641="","",IF(AND(C641="Incident",L641&lt;&gt;"Annulé"),1,0))</f>
        <v/>
      </c>
      <c r="AP641" s="35" t="str">
        <f aca="false">IF($B641="","",IF(AND(C641="Quasi-incident",L641&lt;&gt;"Annulé"),1,0))</f>
        <v/>
      </c>
      <c r="AQ641" s="35" t="str">
        <f aca="false">IF($B641="","",AO641+AP641)</f>
        <v/>
      </c>
      <c r="AR641" s="36" t="str">
        <f aca="false">IF(OR($B641="",J641=""),"",IFERROR(VALUE(LEFT(J641,1)),""))</f>
        <v/>
      </c>
      <c r="AS641" s="35" t="str">
        <f aca="false">IF(OR(AO641&lt;&gt;1,G641=""),"",IFERROR(IF(INDEX(L_SrcInterne,MATCH(G641,L_Sources,0))="Oui",1,0),""))</f>
        <v/>
      </c>
      <c r="AT641" s="37" t="str">
        <f aca="false">IF(AO641&lt;&gt;1,"",IFERROR(ROUND(IF(OR(N641="",O641=""),"",IF(O641&lt;N641,"",ROUND(((NETWORKDAYS(N641,O641,JoursFeries)-1)*(HFer-HOuv)+IF(NETWORKDAYS(O641,O641,JoursFeries),MEDIAN(MOD(O641,1),HFer,HOuv),HFer)-IF(NETWORKDAYS(N641,N641,JoursFeries),MEDIAN(MOD(N641,1),HFer,HOuv),HOuv))*24,4)))/HJour,4),""))</f>
        <v/>
      </c>
      <c r="AU641" s="37" t="str">
        <f aca="false">IF(AO641&lt;&gt;1,"",IF(OR(O641="",P641=""),"",IF(P641&lt;O641,"",ROUND(((NETWORKDAYS(O641,P641,JoursFeries)-1)*(HFer-HOuv)+IF(NETWORKDAYS(P641,P641,JoursFeries),MEDIAN(MOD(P641,1),HFer,HOuv),HFer)-IF(NETWORKDAYS(O641,O641,JoursFeries),MEDIAN(MOD(O641,1),HFer,HOuv),HOuv))*24,4))))</f>
        <v/>
      </c>
      <c r="AV641" s="37" t="str">
        <f aca="false">IF(AO641&lt;&gt;1,"",IF(OR(P641="",Q641=""),"",IF(Q641&lt;P641,"",ROUND(((NETWORKDAYS(P641,Q641,JoursFeries)-1)*(HFer-HOuv)+IF(NETWORKDAYS(Q641,Q641,JoursFeries),MEDIAN(MOD(Q641,1),HFer,HOuv),HFer)-IF(NETWORKDAYS(P641,P641,JoursFeries),MEDIAN(MOD(P641,1),HFer,HOuv),HOuv))*24,4))))</f>
        <v/>
      </c>
      <c r="AW641" s="37" t="str">
        <f aca="false">IF(AO641&lt;&gt;1,"",IFERROR(ROUND(IF(OR(P641="",R641=""),"",IF(R641&lt;P641,"",ROUND(((NETWORKDAYS(P641,R641,JoursFeries)-1)*(HFer-HOuv)+IF(NETWORKDAYS(R641,R641,JoursFeries),MEDIAN(MOD(R641,1),HFer,HOuv),HFer)-IF(NETWORKDAYS(P641,P641,JoursFeries),MEDIAN(MOD(P641,1),HFer,HOuv),HOuv))*24,4)))/HJour,4),""))</f>
        <v/>
      </c>
      <c r="AX641" s="37" t="str">
        <f aca="false">IF(AO641&lt;&gt;1,"",IFERROR(ROUND(IF(OR(P641="",S641=""),"",IF(S641&lt;P641,"",ROUND(((NETWORKDAYS(P641,S641,JoursFeries)-1)*(HFer-HOuv)+IF(NETWORKDAYS(S641,S641,JoursFeries),MEDIAN(MOD(S641,1),HFer,HOuv),HFer)-IF(NETWORKDAYS(P641,P641,JoursFeries),MEDIAN(MOD(P641,1),HFer,HOuv),HOuv))*24,4)))/HJour,4),""))</f>
        <v/>
      </c>
      <c r="AY641" s="36" t="str">
        <f aca="false">IF(OR(AO641&lt;&gt;1,AR641=""),"",INDEX(SLA_PEC,AR641))</f>
        <v/>
      </c>
      <c r="AZ641" s="35" t="str">
        <f aca="false">IF(OR(AV641="",AY641=""),"",IF(AV641&lt;=AY641,1,0))</f>
        <v/>
      </c>
      <c r="BA641" s="36" t="str">
        <f aca="false">IF(OR(AO641&lt;&gt;1,AR641=""),"",INDEX(SLA_RES,AR641))</f>
        <v/>
      </c>
      <c r="BB641" s="35" t="str">
        <f aca="false">IF(OR(AW641="",BA641=""),"",IF(AW641&lt;=BA641,1,0))</f>
        <v/>
      </c>
      <c r="BC641" s="38" t="str">
        <f aca="false">IF(OR(BA641="",P641=""),"",WORKDAY(INT(P641),BA641,JoursFeries)+MOD(P641,1))</f>
        <v/>
      </c>
      <c r="BD641" s="39" t="str">
        <f aca="false">IF(AO641&lt;&gt;1,"",IF(OR(AB641&lt;&gt;"",AD641&lt;&gt;""),4,IF(U641&lt;&gt;"",3,IF(T641&lt;&gt;"",2,1))))</f>
        <v/>
      </c>
      <c r="BE641" s="39" t="str">
        <f aca="false">IF(OR(AO641&lt;&gt;1,AR641=""),"",INDEX(NIV_REQ,AR641))</f>
        <v/>
      </c>
      <c r="BF641" s="39" t="str">
        <f aca="false">IF(BE641="","",MAX(BE641,IF(OR(K641="Oui",Z641="Oui"),4,1)))</f>
        <v/>
      </c>
      <c r="BG641" s="35" t="str">
        <f aca="false">IF(OR(BF641="",BD641=""),"",IF(BD641&gt;=BF641,1,0))</f>
        <v/>
      </c>
      <c r="BH641" s="38" t="str">
        <f aca="false">IF(BE641="","",IF(BE641&lt;2,"",IF(BE641=2,IF(AND(T641="",U641=""),"",MIN(T641,U641)),IF(U641="","",U641))))</f>
        <v/>
      </c>
      <c r="BI641" s="37" t="str">
        <f aca="false">IF(BH641="","",IF(OR(O641="",BH641=""),"",IF(BH641&lt;O641,"",ROUND(((NETWORKDAYS(O641,BH641,JoursFeries)-1)*(HFer-HOuv)+IF(NETWORKDAYS(BH641,BH641,JoursFeries),MEDIAN(MOD(BH641,1),HFer,HOuv),HFer)-IF(NETWORKDAYS(O641,O641,JoursFeries),MEDIAN(MOD(O641,1),HFer,HOuv),HOuv))*24,4))))</f>
        <v/>
      </c>
      <c r="BJ641" s="35" t="str">
        <f aca="false">IF(OR(BI641="",AR641=""),"",IF(BI641&lt;=INDEX(DELAI_ESC,AR641),1,0))</f>
        <v/>
      </c>
      <c r="BK641" s="38" t="str">
        <f aca="false">IF(AO641&lt;&gt;1,"",IF(AND(T641="",U641=""),"",MIN(T641,U641)))</f>
        <v/>
      </c>
      <c r="BL641" s="37" t="str">
        <f aca="false">IF(OR(BK641="",R641=""),"",IFERROR(ROUND(IF(OR(BK641="",R641=""),"",IF(R641&lt;BK641,"",ROUND(((NETWORKDAYS(BK641,R641,JoursFeries)-1)*(HFer-HOuv)+IF(NETWORKDAYS(R641,R641,JoursFeries),MEDIAN(MOD(R641,1),HFer,HOuv),HFer)-IF(NETWORKDAYS(BK641,BK641,JoursFeries),MEDIAN(MOD(BK641,1),HFer,HOuv),HOuv))*24,4)))/HJour,4),""))</f>
        <v/>
      </c>
      <c r="BM641" s="35" t="str">
        <f aca="false">IF(OR(AO641&lt;&gt;1,R641=""),"",IF(BD641=1,1,0))</f>
        <v/>
      </c>
      <c r="BN641" s="35" t="str">
        <f aca="false">IF(AO641&lt;&gt;1,"",IF(W641="Oui",1,0))</f>
        <v/>
      </c>
      <c r="BO641" s="35" t="str">
        <f aca="false">IF(AO641&lt;&gt;1,"",IF(X641&lt;&gt;"",1,0))</f>
        <v/>
      </c>
      <c r="BP641" s="35" t="str">
        <f aca="false">IF(AO641&lt;&gt;1,"",IF(Y641="Oui",1,0))</f>
        <v/>
      </c>
      <c r="BQ641" s="35" t="str">
        <f aca="true">IF(OR(AO641&lt;&gt;1,Z641&lt;&gt;"Oui"),"",IF(AB641="",IF(AND(AA641&lt;&gt;"",NOW()&gt;AA641),0,""),IF(AA641="","",IF(AB641&lt;=AA641,1,0))))</f>
        <v/>
      </c>
      <c r="BR641" s="38" t="str">
        <f aca="false">IF(OR(AO641&lt;&gt;1,K641&lt;&gt;"Oui",O641=""),"",IF(AC641="",O641+DORA_H_DET/24,IF(AC641-O641&lt;=DORA_H_DET/24,MIN(AC641+DORA_H_CLA/24,O641+DORA_H_DET/24),AC641+DORA_H_CLA/24)))</f>
        <v/>
      </c>
      <c r="BS641" s="35" t="str">
        <f aca="true">IF(BR641="","",IF(AD641="",IF(NOW()&gt;BR641,0,""),IF(AD641&lt;=BR641,1,0)))</f>
        <v/>
      </c>
      <c r="BT641" s="35" t="str">
        <f aca="true">IF(OR(BR641="",AD641=""),"",IF(AE641="",IF(NOW()&gt;AD641+DORA_H_INT/24,0,""),IF(AE641&lt;=AD641+DORA_H_INT/24,1,0)))</f>
        <v/>
      </c>
      <c r="BU641" s="35" t="str">
        <f aca="true">IF(OR(BR641="",AE641=""),"",IF(AF641="",IF(NOW()&gt;EDATE(AE641,DORA_M_FIN)+1,0,""),IF(AF641&lt;=EDATE(AE641,DORA_M_FIN),1,0)))</f>
        <v/>
      </c>
      <c r="BV641" s="35" t="str">
        <f aca="false">IF(BR641="","",IF(COUNT(BS641:BU641)=0,"",MIN(BS641:BU641)))</f>
        <v/>
      </c>
      <c r="BW641" s="40" t="str">
        <f aca="false">IF(AQ641&lt;&gt;1,"",IF(AND(AG641="",AH641=""),"",N(AG641)-N(AH641)))</f>
        <v/>
      </c>
      <c r="BX641" s="35" t="str">
        <f aca="true">IF(OR(AQ641&lt;&gt;1,AI641&lt;&gt;"Oui",AJ641=""),"",IF(AK641="",IF(NOW()&gt;AJ641+1,0,""),IF(AK641&lt;=AJ641,1,0)))</f>
        <v/>
      </c>
    </row>
    <row r="642" customFormat="false" ht="15" hidden="false" customHeight="false" outlineLevel="0" collapsed="false">
      <c r="B642" s="29"/>
      <c r="C642" s="29"/>
      <c r="D642" s="29"/>
      <c r="E642" s="29"/>
      <c r="F642" s="29"/>
      <c r="G642" s="29"/>
      <c r="H642" s="29"/>
      <c r="I642" s="29"/>
      <c r="J642" s="29"/>
      <c r="K642" s="29"/>
      <c r="L642" s="29"/>
      <c r="M642" s="29"/>
      <c r="N642" s="30"/>
      <c r="O642" s="30"/>
      <c r="P642" s="30"/>
      <c r="Q642" s="30"/>
      <c r="R642" s="30"/>
      <c r="S642" s="30"/>
      <c r="T642" s="30"/>
      <c r="U642" s="30"/>
      <c r="V642" s="31"/>
      <c r="W642" s="29"/>
      <c r="X642" s="29"/>
      <c r="Y642" s="29"/>
      <c r="Z642" s="29"/>
      <c r="AA642" s="30"/>
      <c r="AB642" s="30"/>
      <c r="AC642" s="30"/>
      <c r="AD642" s="30"/>
      <c r="AE642" s="30"/>
      <c r="AF642" s="32"/>
      <c r="AG642" s="33"/>
      <c r="AH642" s="33"/>
      <c r="AI642" s="29"/>
      <c r="AJ642" s="32"/>
      <c r="AK642" s="32"/>
      <c r="AL642" s="29"/>
      <c r="AN642" s="34" t="str">
        <f aca="false">IF($B642="","",IF(OR(C642="",D642="",E642="",G642="",I642="",J642="",L642="",O642="",P642=""),"Champ obligatoire manquant",IF(OR(AND(N642&lt;&gt;"",N642&gt;O642),O642&gt;P642,AND(Q642&lt;&gt;"",Q642&lt;P642),AND(R642&lt;&gt;"",R642&lt;P642),AND(S642&lt;&gt;"",S642&lt;R642),AND(S642&lt;&gt;"",R642=""),AND(T642&lt;&gt;"",T642&lt;O642),AND(U642&lt;&gt;"",U642&lt;O642)),"Chronologie incohérente",IF(AND(OR(L642="Résolu",L642="Clos"),R642=""),"Date de résolution manquante",IF(AND(L642="Clos",S642=""),"Date de clôture manquante",IF(AND(K642="Oui",AC642=""),"Classification DORA manquante","OK"))))))</f>
        <v/>
      </c>
      <c r="AO642" s="35" t="str">
        <f aca="false">IF($B642="","",IF(AND(C642="Incident",L642&lt;&gt;"Annulé"),1,0))</f>
        <v/>
      </c>
      <c r="AP642" s="35" t="str">
        <f aca="false">IF($B642="","",IF(AND(C642="Quasi-incident",L642&lt;&gt;"Annulé"),1,0))</f>
        <v/>
      </c>
      <c r="AQ642" s="35" t="str">
        <f aca="false">IF($B642="","",AO642+AP642)</f>
        <v/>
      </c>
      <c r="AR642" s="36" t="str">
        <f aca="false">IF(OR($B642="",J642=""),"",IFERROR(VALUE(LEFT(J642,1)),""))</f>
        <v/>
      </c>
      <c r="AS642" s="35" t="str">
        <f aca="false">IF(OR(AO642&lt;&gt;1,G642=""),"",IFERROR(IF(INDEX(L_SrcInterne,MATCH(G642,L_Sources,0))="Oui",1,0),""))</f>
        <v/>
      </c>
      <c r="AT642" s="37" t="str">
        <f aca="false">IF(AO642&lt;&gt;1,"",IFERROR(ROUND(IF(OR(N642="",O642=""),"",IF(O642&lt;N642,"",ROUND(((NETWORKDAYS(N642,O642,JoursFeries)-1)*(HFer-HOuv)+IF(NETWORKDAYS(O642,O642,JoursFeries),MEDIAN(MOD(O642,1),HFer,HOuv),HFer)-IF(NETWORKDAYS(N642,N642,JoursFeries),MEDIAN(MOD(N642,1),HFer,HOuv),HOuv))*24,4)))/HJour,4),""))</f>
        <v/>
      </c>
      <c r="AU642" s="37" t="str">
        <f aca="false">IF(AO642&lt;&gt;1,"",IF(OR(O642="",P642=""),"",IF(P642&lt;O642,"",ROUND(((NETWORKDAYS(O642,P642,JoursFeries)-1)*(HFer-HOuv)+IF(NETWORKDAYS(P642,P642,JoursFeries),MEDIAN(MOD(P642,1),HFer,HOuv),HFer)-IF(NETWORKDAYS(O642,O642,JoursFeries),MEDIAN(MOD(O642,1),HFer,HOuv),HOuv))*24,4))))</f>
        <v/>
      </c>
      <c r="AV642" s="37" t="str">
        <f aca="false">IF(AO642&lt;&gt;1,"",IF(OR(P642="",Q642=""),"",IF(Q642&lt;P642,"",ROUND(((NETWORKDAYS(P642,Q642,JoursFeries)-1)*(HFer-HOuv)+IF(NETWORKDAYS(Q642,Q642,JoursFeries),MEDIAN(MOD(Q642,1),HFer,HOuv),HFer)-IF(NETWORKDAYS(P642,P642,JoursFeries),MEDIAN(MOD(P642,1),HFer,HOuv),HOuv))*24,4))))</f>
        <v/>
      </c>
      <c r="AW642" s="37" t="str">
        <f aca="false">IF(AO642&lt;&gt;1,"",IFERROR(ROUND(IF(OR(P642="",R642=""),"",IF(R642&lt;P642,"",ROUND(((NETWORKDAYS(P642,R642,JoursFeries)-1)*(HFer-HOuv)+IF(NETWORKDAYS(R642,R642,JoursFeries),MEDIAN(MOD(R642,1),HFer,HOuv),HFer)-IF(NETWORKDAYS(P642,P642,JoursFeries),MEDIAN(MOD(P642,1),HFer,HOuv),HOuv))*24,4)))/HJour,4),""))</f>
        <v/>
      </c>
      <c r="AX642" s="37" t="str">
        <f aca="false">IF(AO642&lt;&gt;1,"",IFERROR(ROUND(IF(OR(P642="",S642=""),"",IF(S642&lt;P642,"",ROUND(((NETWORKDAYS(P642,S642,JoursFeries)-1)*(HFer-HOuv)+IF(NETWORKDAYS(S642,S642,JoursFeries),MEDIAN(MOD(S642,1),HFer,HOuv),HFer)-IF(NETWORKDAYS(P642,P642,JoursFeries),MEDIAN(MOD(P642,1),HFer,HOuv),HOuv))*24,4)))/HJour,4),""))</f>
        <v/>
      </c>
      <c r="AY642" s="36" t="str">
        <f aca="false">IF(OR(AO642&lt;&gt;1,AR642=""),"",INDEX(SLA_PEC,AR642))</f>
        <v/>
      </c>
      <c r="AZ642" s="35" t="str">
        <f aca="false">IF(OR(AV642="",AY642=""),"",IF(AV642&lt;=AY642,1,0))</f>
        <v/>
      </c>
      <c r="BA642" s="36" t="str">
        <f aca="false">IF(OR(AO642&lt;&gt;1,AR642=""),"",INDEX(SLA_RES,AR642))</f>
        <v/>
      </c>
      <c r="BB642" s="35" t="str">
        <f aca="false">IF(OR(AW642="",BA642=""),"",IF(AW642&lt;=BA642,1,0))</f>
        <v/>
      </c>
      <c r="BC642" s="38" t="str">
        <f aca="false">IF(OR(BA642="",P642=""),"",WORKDAY(INT(P642),BA642,JoursFeries)+MOD(P642,1))</f>
        <v/>
      </c>
      <c r="BD642" s="39" t="str">
        <f aca="false">IF(AO642&lt;&gt;1,"",IF(OR(AB642&lt;&gt;"",AD642&lt;&gt;""),4,IF(U642&lt;&gt;"",3,IF(T642&lt;&gt;"",2,1))))</f>
        <v/>
      </c>
      <c r="BE642" s="39" t="str">
        <f aca="false">IF(OR(AO642&lt;&gt;1,AR642=""),"",INDEX(NIV_REQ,AR642))</f>
        <v/>
      </c>
      <c r="BF642" s="39" t="str">
        <f aca="false">IF(BE642="","",MAX(BE642,IF(OR(K642="Oui",Z642="Oui"),4,1)))</f>
        <v/>
      </c>
      <c r="BG642" s="35" t="str">
        <f aca="false">IF(OR(BF642="",BD642=""),"",IF(BD642&gt;=BF642,1,0))</f>
        <v/>
      </c>
      <c r="BH642" s="38" t="str">
        <f aca="false">IF(BE642="","",IF(BE642&lt;2,"",IF(BE642=2,IF(AND(T642="",U642=""),"",MIN(T642,U642)),IF(U642="","",U642))))</f>
        <v/>
      </c>
      <c r="BI642" s="37" t="str">
        <f aca="false">IF(BH642="","",IF(OR(O642="",BH642=""),"",IF(BH642&lt;O642,"",ROUND(((NETWORKDAYS(O642,BH642,JoursFeries)-1)*(HFer-HOuv)+IF(NETWORKDAYS(BH642,BH642,JoursFeries),MEDIAN(MOD(BH642,1),HFer,HOuv),HFer)-IF(NETWORKDAYS(O642,O642,JoursFeries),MEDIAN(MOD(O642,1),HFer,HOuv),HOuv))*24,4))))</f>
        <v/>
      </c>
      <c r="BJ642" s="35" t="str">
        <f aca="false">IF(OR(BI642="",AR642=""),"",IF(BI642&lt;=INDEX(DELAI_ESC,AR642),1,0))</f>
        <v/>
      </c>
      <c r="BK642" s="38" t="str">
        <f aca="false">IF(AO642&lt;&gt;1,"",IF(AND(T642="",U642=""),"",MIN(T642,U642)))</f>
        <v/>
      </c>
      <c r="BL642" s="37" t="str">
        <f aca="false">IF(OR(BK642="",R642=""),"",IFERROR(ROUND(IF(OR(BK642="",R642=""),"",IF(R642&lt;BK642,"",ROUND(((NETWORKDAYS(BK642,R642,JoursFeries)-1)*(HFer-HOuv)+IF(NETWORKDAYS(R642,R642,JoursFeries),MEDIAN(MOD(R642,1),HFer,HOuv),HFer)-IF(NETWORKDAYS(BK642,BK642,JoursFeries),MEDIAN(MOD(BK642,1),HFer,HOuv),HOuv))*24,4)))/HJour,4),""))</f>
        <v/>
      </c>
      <c r="BM642" s="35" t="str">
        <f aca="false">IF(OR(AO642&lt;&gt;1,R642=""),"",IF(BD642=1,1,0))</f>
        <v/>
      </c>
      <c r="BN642" s="35" t="str">
        <f aca="false">IF(AO642&lt;&gt;1,"",IF(W642="Oui",1,0))</f>
        <v/>
      </c>
      <c r="BO642" s="35" t="str">
        <f aca="false">IF(AO642&lt;&gt;1,"",IF(X642&lt;&gt;"",1,0))</f>
        <v/>
      </c>
      <c r="BP642" s="35" t="str">
        <f aca="false">IF(AO642&lt;&gt;1,"",IF(Y642="Oui",1,0))</f>
        <v/>
      </c>
      <c r="BQ642" s="35" t="str">
        <f aca="true">IF(OR(AO642&lt;&gt;1,Z642&lt;&gt;"Oui"),"",IF(AB642="",IF(AND(AA642&lt;&gt;"",NOW()&gt;AA642),0,""),IF(AA642="","",IF(AB642&lt;=AA642,1,0))))</f>
        <v/>
      </c>
      <c r="BR642" s="38" t="str">
        <f aca="false">IF(OR(AO642&lt;&gt;1,K642&lt;&gt;"Oui",O642=""),"",IF(AC642="",O642+DORA_H_DET/24,IF(AC642-O642&lt;=DORA_H_DET/24,MIN(AC642+DORA_H_CLA/24,O642+DORA_H_DET/24),AC642+DORA_H_CLA/24)))</f>
        <v/>
      </c>
      <c r="BS642" s="35" t="str">
        <f aca="true">IF(BR642="","",IF(AD642="",IF(NOW()&gt;BR642,0,""),IF(AD642&lt;=BR642,1,0)))</f>
        <v/>
      </c>
      <c r="BT642" s="35" t="str">
        <f aca="true">IF(OR(BR642="",AD642=""),"",IF(AE642="",IF(NOW()&gt;AD642+DORA_H_INT/24,0,""),IF(AE642&lt;=AD642+DORA_H_INT/24,1,0)))</f>
        <v/>
      </c>
      <c r="BU642" s="35" t="str">
        <f aca="true">IF(OR(BR642="",AE642=""),"",IF(AF642="",IF(NOW()&gt;EDATE(AE642,DORA_M_FIN)+1,0,""),IF(AF642&lt;=EDATE(AE642,DORA_M_FIN),1,0)))</f>
        <v/>
      </c>
      <c r="BV642" s="35" t="str">
        <f aca="false">IF(BR642="","",IF(COUNT(BS642:BU642)=0,"",MIN(BS642:BU642)))</f>
        <v/>
      </c>
      <c r="BW642" s="40" t="str">
        <f aca="false">IF(AQ642&lt;&gt;1,"",IF(AND(AG642="",AH642=""),"",N(AG642)-N(AH642)))</f>
        <v/>
      </c>
      <c r="BX642" s="35" t="str">
        <f aca="true">IF(OR(AQ642&lt;&gt;1,AI642&lt;&gt;"Oui",AJ642=""),"",IF(AK642="",IF(NOW()&gt;AJ642+1,0,""),IF(AK642&lt;=AJ642,1,0)))</f>
        <v/>
      </c>
    </row>
    <row r="643" customFormat="false" ht="15" hidden="false" customHeight="false" outlineLevel="0" collapsed="false">
      <c r="B643" s="29"/>
      <c r="C643" s="29"/>
      <c r="D643" s="29"/>
      <c r="E643" s="29"/>
      <c r="F643" s="29"/>
      <c r="G643" s="29"/>
      <c r="H643" s="29"/>
      <c r="I643" s="29"/>
      <c r="J643" s="29"/>
      <c r="K643" s="29"/>
      <c r="L643" s="29"/>
      <c r="M643" s="29"/>
      <c r="N643" s="30"/>
      <c r="O643" s="30"/>
      <c r="P643" s="30"/>
      <c r="Q643" s="30"/>
      <c r="R643" s="30"/>
      <c r="S643" s="30"/>
      <c r="T643" s="30"/>
      <c r="U643" s="30"/>
      <c r="V643" s="31"/>
      <c r="W643" s="29"/>
      <c r="X643" s="29"/>
      <c r="Y643" s="29"/>
      <c r="Z643" s="29"/>
      <c r="AA643" s="30"/>
      <c r="AB643" s="30"/>
      <c r="AC643" s="30"/>
      <c r="AD643" s="30"/>
      <c r="AE643" s="30"/>
      <c r="AF643" s="32"/>
      <c r="AG643" s="33"/>
      <c r="AH643" s="33"/>
      <c r="AI643" s="29"/>
      <c r="AJ643" s="32"/>
      <c r="AK643" s="32"/>
      <c r="AL643" s="29"/>
      <c r="AN643" s="34" t="str">
        <f aca="false">IF($B643="","",IF(OR(C643="",D643="",E643="",G643="",I643="",J643="",L643="",O643="",P643=""),"Champ obligatoire manquant",IF(OR(AND(N643&lt;&gt;"",N643&gt;O643),O643&gt;P643,AND(Q643&lt;&gt;"",Q643&lt;P643),AND(R643&lt;&gt;"",R643&lt;P643),AND(S643&lt;&gt;"",S643&lt;R643),AND(S643&lt;&gt;"",R643=""),AND(T643&lt;&gt;"",T643&lt;O643),AND(U643&lt;&gt;"",U643&lt;O643)),"Chronologie incohérente",IF(AND(OR(L643="Résolu",L643="Clos"),R643=""),"Date de résolution manquante",IF(AND(L643="Clos",S643=""),"Date de clôture manquante",IF(AND(K643="Oui",AC643=""),"Classification DORA manquante","OK"))))))</f>
        <v/>
      </c>
      <c r="AO643" s="35" t="str">
        <f aca="false">IF($B643="","",IF(AND(C643="Incident",L643&lt;&gt;"Annulé"),1,0))</f>
        <v/>
      </c>
      <c r="AP643" s="35" t="str">
        <f aca="false">IF($B643="","",IF(AND(C643="Quasi-incident",L643&lt;&gt;"Annulé"),1,0))</f>
        <v/>
      </c>
      <c r="AQ643" s="35" t="str">
        <f aca="false">IF($B643="","",AO643+AP643)</f>
        <v/>
      </c>
      <c r="AR643" s="36" t="str">
        <f aca="false">IF(OR($B643="",J643=""),"",IFERROR(VALUE(LEFT(J643,1)),""))</f>
        <v/>
      </c>
      <c r="AS643" s="35" t="str">
        <f aca="false">IF(OR(AO643&lt;&gt;1,G643=""),"",IFERROR(IF(INDEX(L_SrcInterne,MATCH(G643,L_Sources,0))="Oui",1,0),""))</f>
        <v/>
      </c>
      <c r="AT643" s="37" t="str">
        <f aca="false">IF(AO643&lt;&gt;1,"",IFERROR(ROUND(IF(OR(N643="",O643=""),"",IF(O643&lt;N643,"",ROUND(((NETWORKDAYS(N643,O643,JoursFeries)-1)*(HFer-HOuv)+IF(NETWORKDAYS(O643,O643,JoursFeries),MEDIAN(MOD(O643,1),HFer,HOuv),HFer)-IF(NETWORKDAYS(N643,N643,JoursFeries),MEDIAN(MOD(N643,1),HFer,HOuv),HOuv))*24,4)))/HJour,4),""))</f>
        <v/>
      </c>
      <c r="AU643" s="37" t="str">
        <f aca="false">IF(AO643&lt;&gt;1,"",IF(OR(O643="",P643=""),"",IF(P643&lt;O643,"",ROUND(((NETWORKDAYS(O643,P643,JoursFeries)-1)*(HFer-HOuv)+IF(NETWORKDAYS(P643,P643,JoursFeries),MEDIAN(MOD(P643,1),HFer,HOuv),HFer)-IF(NETWORKDAYS(O643,O643,JoursFeries),MEDIAN(MOD(O643,1),HFer,HOuv),HOuv))*24,4))))</f>
        <v/>
      </c>
      <c r="AV643" s="37" t="str">
        <f aca="false">IF(AO643&lt;&gt;1,"",IF(OR(P643="",Q643=""),"",IF(Q643&lt;P643,"",ROUND(((NETWORKDAYS(P643,Q643,JoursFeries)-1)*(HFer-HOuv)+IF(NETWORKDAYS(Q643,Q643,JoursFeries),MEDIAN(MOD(Q643,1),HFer,HOuv),HFer)-IF(NETWORKDAYS(P643,P643,JoursFeries),MEDIAN(MOD(P643,1),HFer,HOuv),HOuv))*24,4))))</f>
        <v/>
      </c>
      <c r="AW643" s="37" t="str">
        <f aca="false">IF(AO643&lt;&gt;1,"",IFERROR(ROUND(IF(OR(P643="",R643=""),"",IF(R643&lt;P643,"",ROUND(((NETWORKDAYS(P643,R643,JoursFeries)-1)*(HFer-HOuv)+IF(NETWORKDAYS(R643,R643,JoursFeries),MEDIAN(MOD(R643,1),HFer,HOuv),HFer)-IF(NETWORKDAYS(P643,P643,JoursFeries),MEDIAN(MOD(P643,1),HFer,HOuv),HOuv))*24,4)))/HJour,4),""))</f>
        <v/>
      </c>
      <c r="AX643" s="37" t="str">
        <f aca="false">IF(AO643&lt;&gt;1,"",IFERROR(ROUND(IF(OR(P643="",S643=""),"",IF(S643&lt;P643,"",ROUND(((NETWORKDAYS(P643,S643,JoursFeries)-1)*(HFer-HOuv)+IF(NETWORKDAYS(S643,S643,JoursFeries),MEDIAN(MOD(S643,1),HFer,HOuv),HFer)-IF(NETWORKDAYS(P643,P643,JoursFeries),MEDIAN(MOD(P643,1),HFer,HOuv),HOuv))*24,4)))/HJour,4),""))</f>
        <v/>
      </c>
      <c r="AY643" s="36" t="str">
        <f aca="false">IF(OR(AO643&lt;&gt;1,AR643=""),"",INDEX(SLA_PEC,AR643))</f>
        <v/>
      </c>
      <c r="AZ643" s="35" t="str">
        <f aca="false">IF(OR(AV643="",AY643=""),"",IF(AV643&lt;=AY643,1,0))</f>
        <v/>
      </c>
      <c r="BA643" s="36" t="str">
        <f aca="false">IF(OR(AO643&lt;&gt;1,AR643=""),"",INDEX(SLA_RES,AR643))</f>
        <v/>
      </c>
      <c r="BB643" s="35" t="str">
        <f aca="false">IF(OR(AW643="",BA643=""),"",IF(AW643&lt;=BA643,1,0))</f>
        <v/>
      </c>
      <c r="BC643" s="38" t="str">
        <f aca="false">IF(OR(BA643="",P643=""),"",WORKDAY(INT(P643),BA643,JoursFeries)+MOD(P643,1))</f>
        <v/>
      </c>
      <c r="BD643" s="39" t="str">
        <f aca="false">IF(AO643&lt;&gt;1,"",IF(OR(AB643&lt;&gt;"",AD643&lt;&gt;""),4,IF(U643&lt;&gt;"",3,IF(T643&lt;&gt;"",2,1))))</f>
        <v/>
      </c>
      <c r="BE643" s="39" t="str">
        <f aca="false">IF(OR(AO643&lt;&gt;1,AR643=""),"",INDEX(NIV_REQ,AR643))</f>
        <v/>
      </c>
      <c r="BF643" s="39" t="str">
        <f aca="false">IF(BE643="","",MAX(BE643,IF(OR(K643="Oui",Z643="Oui"),4,1)))</f>
        <v/>
      </c>
      <c r="BG643" s="35" t="str">
        <f aca="false">IF(OR(BF643="",BD643=""),"",IF(BD643&gt;=BF643,1,0))</f>
        <v/>
      </c>
      <c r="BH643" s="38" t="str">
        <f aca="false">IF(BE643="","",IF(BE643&lt;2,"",IF(BE643=2,IF(AND(T643="",U643=""),"",MIN(T643,U643)),IF(U643="","",U643))))</f>
        <v/>
      </c>
      <c r="BI643" s="37" t="str">
        <f aca="false">IF(BH643="","",IF(OR(O643="",BH643=""),"",IF(BH643&lt;O643,"",ROUND(((NETWORKDAYS(O643,BH643,JoursFeries)-1)*(HFer-HOuv)+IF(NETWORKDAYS(BH643,BH643,JoursFeries),MEDIAN(MOD(BH643,1),HFer,HOuv),HFer)-IF(NETWORKDAYS(O643,O643,JoursFeries),MEDIAN(MOD(O643,1),HFer,HOuv),HOuv))*24,4))))</f>
        <v/>
      </c>
      <c r="BJ643" s="35" t="str">
        <f aca="false">IF(OR(BI643="",AR643=""),"",IF(BI643&lt;=INDEX(DELAI_ESC,AR643),1,0))</f>
        <v/>
      </c>
      <c r="BK643" s="38" t="str">
        <f aca="false">IF(AO643&lt;&gt;1,"",IF(AND(T643="",U643=""),"",MIN(T643,U643)))</f>
        <v/>
      </c>
      <c r="BL643" s="37" t="str">
        <f aca="false">IF(OR(BK643="",R643=""),"",IFERROR(ROUND(IF(OR(BK643="",R643=""),"",IF(R643&lt;BK643,"",ROUND(((NETWORKDAYS(BK643,R643,JoursFeries)-1)*(HFer-HOuv)+IF(NETWORKDAYS(R643,R643,JoursFeries),MEDIAN(MOD(R643,1),HFer,HOuv),HFer)-IF(NETWORKDAYS(BK643,BK643,JoursFeries),MEDIAN(MOD(BK643,1),HFer,HOuv),HOuv))*24,4)))/HJour,4),""))</f>
        <v/>
      </c>
      <c r="BM643" s="35" t="str">
        <f aca="false">IF(OR(AO643&lt;&gt;1,R643=""),"",IF(BD643=1,1,0))</f>
        <v/>
      </c>
      <c r="BN643" s="35" t="str">
        <f aca="false">IF(AO643&lt;&gt;1,"",IF(W643="Oui",1,0))</f>
        <v/>
      </c>
      <c r="BO643" s="35" t="str">
        <f aca="false">IF(AO643&lt;&gt;1,"",IF(X643&lt;&gt;"",1,0))</f>
        <v/>
      </c>
      <c r="BP643" s="35" t="str">
        <f aca="false">IF(AO643&lt;&gt;1,"",IF(Y643="Oui",1,0))</f>
        <v/>
      </c>
      <c r="BQ643" s="35" t="str">
        <f aca="true">IF(OR(AO643&lt;&gt;1,Z643&lt;&gt;"Oui"),"",IF(AB643="",IF(AND(AA643&lt;&gt;"",NOW()&gt;AA643),0,""),IF(AA643="","",IF(AB643&lt;=AA643,1,0))))</f>
        <v/>
      </c>
      <c r="BR643" s="38" t="str">
        <f aca="false">IF(OR(AO643&lt;&gt;1,K643&lt;&gt;"Oui",O643=""),"",IF(AC643="",O643+DORA_H_DET/24,IF(AC643-O643&lt;=DORA_H_DET/24,MIN(AC643+DORA_H_CLA/24,O643+DORA_H_DET/24),AC643+DORA_H_CLA/24)))</f>
        <v/>
      </c>
      <c r="BS643" s="35" t="str">
        <f aca="true">IF(BR643="","",IF(AD643="",IF(NOW()&gt;BR643,0,""),IF(AD643&lt;=BR643,1,0)))</f>
        <v/>
      </c>
      <c r="BT643" s="35" t="str">
        <f aca="true">IF(OR(BR643="",AD643=""),"",IF(AE643="",IF(NOW()&gt;AD643+DORA_H_INT/24,0,""),IF(AE643&lt;=AD643+DORA_H_INT/24,1,0)))</f>
        <v/>
      </c>
      <c r="BU643" s="35" t="str">
        <f aca="true">IF(OR(BR643="",AE643=""),"",IF(AF643="",IF(NOW()&gt;EDATE(AE643,DORA_M_FIN)+1,0,""),IF(AF643&lt;=EDATE(AE643,DORA_M_FIN),1,0)))</f>
        <v/>
      </c>
      <c r="BV643" s="35" t="str">
        <f aca="false">IF(BR643="","",IF(COUNT(BS643:BU643)=0,"",MIN(BS643:BU643)))</f>
        <v/>
      </c>
      <c r="BW643" s="40" t="str">
        <f aca="false">IF(AQ643&lt;&gt;1,"",IF(AND(AG643="",AH643=""),"",N(AG643)-N(AH643)))</f>
        <v/>
      </c>
      <c r="BX643" s="35" t="str">
        <f aca="true">IF(OR(AQ643&lt;&gt;1,AI643&lt;&gt;"Oui",AJ643=""),"",IF(AK643="",IF(NOW()&gt;AJ643+1,0,""),IF(AK643&lt;=AJ643,1,0)))</f>
        <v/>
      </c>
    </row>
    <row r="644" customFormat="false" ht="15" hidden="false" customHeight="false" outlineLevel="0" collapsed="false">
      <c r="B644" s="29"/>
      <c r="C644" s="29"/>
      <c r="D644" s="29"/>
      <c r="E644" s="29"/>
      <c r="F644" s="29"/>
      <c r="G644" s="29"/>
      <c r="H644" s="29"/>
      <c r="I644" s="29"/>
      <c r="J644" s="29"/>
      <c r="K644" s="29"/>
      <c r="L644" s="29"/>
      <c r="M644" s="29"/>
      <c r="N644" s="30"/>
      <c r="O644" s="30"/>
      <c r="P644" s="30"/>
      <c r="Q644" s="30"/>
      <c r="R644" s="30"/>
      <c r="S644" s="30"/>
      <c r="T644" s="30"/>
      <c r="U644" s="30"/>
      <c r="V644" s="31"/>
      <c r="W644" s="29"/>
      <c r="X644" s="29"/>
      <c r="Y644" s="29"/>
      <c r="Z644" s="29"/>
      <c r="AA644" s="30"/>
      <c r="AB644" s="30"/>
      <c r="AC644" s="30"/>
      <c r="AD644" s="30"/>
      <c r="AE644" s="30"/>
      <c r="AF644" s="32"/>
      <c r="AG644" s="33"/>
      <c r="AH644" s="33"/>
      <c r="AI644" s="29"/>
      <c r="AJ644" s="32"/>
      <c r="AK644" s="32"/>
      <c r="AL644" s="29"/>
      <c r="AN644" s="34" t="str">
        <f aca="false">IF($B644="","",IF(OR(C644="",D644="",E644="",G644="",I644="",J644="",L644="",O644="",P644=""),"Champ obligatoire manquant",IF(OR(AND(N644&lt;&gt;"",N644&gt;O644),O644&gt;P644,AND(Q644&lt;&gt;"",Q644&lt;P644),AND(R644&lt;&gt;"",R644&lt;P644),AND(S644&lt;&gt;"",S644&lt;R644),AND(S644&lt;&gt;"",R644=""),AND(T644&lt;&gt;"",T644&lt;O644),AND(U644&lt;&gt;"",U644&lt;O644)),"Chronologie incohérente",IF(AND(OR(L644="Résolu",L644="Clos"),R644=""),"Date de résolution manquante",IF(AND(L644="Clos",S644=""),"Date de clôture manquante",IF(AND(K644="Oui",AC644=""),"Classification DORA manquante","OK"))))))</f>
        <v/>
      </c>
      <c r="AO644" s="35" t="str">
        <f aca="false">IF($B644="","",IF(AND(C644="Incident",L644&lt;&gt;"Annulé"),1,0))</f>
        <v/>
      </c>
      <c r="AP644" s="35" t="str">
        <f aca="false">IF($B644="","",IF(AND(C644="Quasi-incident",L644&lt;&gt;"Annulé"),1,0))</f>
        <v/>
      </c>
      <c r="AQ644" s="35" t="str">
        <f aca="false">IF($B644="","",AO644+AP644)</f>
        <v/>
      </c>
      <c r="AR644" s="36" t="str">
        <f aca="false">IF(OR($B644="",J644=""),"",IFERROR(VALUE(LEFT(J644,1)),""))</f>
        <v/>
      </c>
      <c r="AS644" s="35" t="str">
        <f aca="false">IF(OR(AO644&lt;&gt;1,G644=""),"",IFERROR(IF(INDEX(L_SrcInterne,MATCH(G644,L_Sources,0))="Oui",1,0),""))</f>
        <v/>
      </c>
      <c r="AT644" s="37" t="str">
        <f aca="false">IF(AO644&lt;&gt;1,"",IFERROR(ROUND(IF(OR(N644="",O644=""),"",IF(O644&lt;N644,"",ROUND(((NETWORKDAYS(N644,O644,JoursFeries)-1)*(HFer-HOuv)+IF(NETWORKDAYS(O644,O644,JoursFeries),MEDIAN(MOD(O644,1),HFer,HOuv),HFer)-IF(NETWORKDAYS(N644,N644,JoursFeries),MEDIAN(MOD(N644,1),HFer,HOuv),HOuv))*24,4)))/HJour,4),""))</f>
        <v/>
      </c>
      <c r="AU644" s="37" t="str">
        <f aca="false">IF(AO644&lt;&gt;1,"",IF(OR(O644="",P644=""),"",IF(P644&lt;O644,"",ROUND(((NETWORKDAYS(O644,P644,JoursFeries)-1)*(HFer-HOuv)+IF(NETWORKDAYS(P644,P644,JoursFeries),MEDIAN(MOD(P644,1),HFer,HOuv),HFer)-IF(NETWORKDAYS(O644,O644,JoursFeries),MEDIAN(MOD(O644,1),HFer,HOuv),HOuv))*24,4))))</f>
        <v/>
      </c>
      <c r="AV644" s="37" t="str">
        <f aca="false">IF(AO644&lt;&gt;1,"",IF(OR(P644="",Q644=""),"",IF(Q644&lt;P644,"",ROUND(((NETWORKDAYS(P644,Q644,JoursFeries)-1)*(HFer-HOuv)+IF(NETWORKDAYS(Q644,Q644,JoursFeries),MEDIAN(MOD(Q644,1),HFer,HOuv),HFer)-IF(NETWORKDAYS(P644,P644,JoursFeries),MEDIAN(MOD(P644,1),HFer,HOuv),HOuv))*24,4))))</f>
        <v/>
      </c>
      <c r="AW644" s="37" t="str">
        <f aca="false">IF(AO644&lt;&gt;1,"",IFERROR(ROUND(IF(OR(P644="",R644=""),"",IF(R644&lt;P644,"",ROUND(((NETWORKDAYS(P644,R644,JoursFeries)-1)*(HFer-HOuv)+IF(NETWORKDAYS(R644,R644,JoursFeries),MEDIAN(MOD(R644,1),HFer,HOuv),HFer)-IF(NETWORKDAYS(P644,P644,JoursFeries),MEDIAN(MOD(P644,1),HFer,HOuv),HOuv))*24,4)))/HJour,4),""))</f>
        <v/>
      </c>
      <c r="AX644" s="37" t="str">
        <f aca="false">IF(AO644&lt;&gt;1,"",IFERROR(ROUND(IF(OR(P644="",S644=""),"",IF(S644&lt;P644,"",ROUND(((NETWORKDAYS(P644,S644,JoursFeries)-1)*(HFer-HOuv)+IF(NETWORKDAYS(S644,S644,JoursFeries),MEDIAN(MOD(S644,1),HFer,HOuv),HFer)-IF(NETWORKDAYS(P644,P644,JoursFeries),MEDIAN(MOD(P644,1),HFer,HOuv),HOuv))*24,4)))/HJour,4),""))</f>
        <v/>
      </c>
      <c r="AY644" s="36" t="str">
        <f aca="false">IF(OR(AO644&lt;&gt;1,AR644=""),"",INDEX(SLA_PEC,AR644))</f>
        <v/>
      </c>
      <c r="AZ644" s="35" t="str">
        <f aca="false">IF(OR(AV644="",AY644=""),"",IF(AV644&lt;=AY644,1,0))</f>
        <v/>
      </c>
      <c r="BA644" s="36" t="str">
        <f aca="false">IF(OR(AO644&lt;&gt;1,AR644=""),"",INDEX(SLA_RES,AR644))</f>
        <v/>
      </c>
      <c r="BB644" s="35" t="str">
        <f aca="false">IF(OR(AW644="",BA644=""),"",IF(AW644&lt;=BA644,1,0))</f>
        <v/>
      </c>
      <c r="BC644" s="38" t="str">
        <f aca="false">IF(OR(BA644="",P644=""),"",WORKDAY(INT(P644),BA644,JoursFeries)+MOD(P644,1))</f>
        <v/>
      </c>
      <c r="BD644" s="39" t="str">
        <f aca="false">IF(AO644&lt;&gt;1,"",IF(OR(AB644&lt;&gt;"",AD644&lt;&gt;""),4,IF(U644&lt;&gt;"",3,IF(T644&lt;&gt;"",2,1))))</f>
        <v/>
      </c>
      <c r="BE644" s="39" t="str">
        <f aca="false">IF(OR(AO644&lt;&gt;1,AR644=""),"",INDEX(NIV_REQ,AR644))</f>
        <v/>
      </c>
      <c r="BF644" s="39" t="str">
        <f aca="false">IF(BE644="","",MAX(BE644,IF(OR(K644="Oui",Z644="Oui"),4,1)))</f>
        <v/>
      </c>
      <c r="BG644" s="35" t="str">
        <f aca="false">IF(OR(BF644="",BD644=""),"",IF(BD644&gt;=BF644,1,0))</f>
        <v/>
      </c>
      <c r="BH644" s="38" t="str">
        <f aca="false">IF(BE644="","",IF(BE644&lt;2,"",IF(BE644=2,IF(AND(T644="",U644=""),"",MIN(T644,U644)),IF(U644="","",U644))))</f>
        <v/>
      </c>
      <c r="BI644" s="37" t="str">
        <f aca="false">IF(BH644="","",IF(OR(O644="",BH644=""),"",IF(BH644&lt;O644,"",ROUND(((NETWORKDAYS(O644,BH644,JoursFeries)-1)*(HFer-HOuv)+IF(NETWORKDAYS(BH644,BH644,JoursFeries),MEDIAN(MOD(BH644,1),HFer,HOuv),HFer)-IF(NETWORKDAYS(O644,O644,JoursFeries),MEDIAN(MOD(O644,1),HFer,HOuv),HOuv))*24,4))))</f>
        <v/>
      </c>
      <c r="BJ644" s="35" t="str">
        <f aca="false">IF(OR(BI644="",AR644=""),"",IF(BI644&lt;=INDEX(DELAI_ESC,AR644),1,0))</f>
        <v/>
      </c>
      <c r="BK644" s="38" t="str">
        <f aca="false">IF(AO644&lt;&gt;1,"",IF(AND(T644="",U644=""),"",MIN(T644,U644)))</f>
        <v/>
      </c>
      <c r="BL644" s="37" t="str">
        <f aca="false">IF(OR(BK644="",R644=""),"",IFERROR(ROUND(IF(OR(BK644="",R644=""),"",IF(R644&lt;BK644,"",ROUND(((NETWORKDAYS(BK644,R644,JoursFeries)-1)*(HFer-HOuv)+IF(NETWORKDAYS(R644,R644,JoursFeries),MEDIAN(MOD(R644,1),HFer,HOuv),HFer)-IF(NETWORKDAYS(BK644,BK644,JoursFeries),MEDIAN(MOD(BK644,1),HFer,HOuv),HOuv))*24,4)))/HJour,4),""))</f>
        <v/>
      </c>
      <c r="BM644" s="35" t="str">
        <f aca="false">IF(OR(AO644&lt;&gt;1,R644=""),"",IF(BD644=1,1,0))</f>
        <v/>
      </c>
      <c r="BN644" s="35" t="str">
        <f aca="false">IF(AO644&lt;&gt;1,"",IF(W644="Oui",1,0))</f>
        <v/>
      </c>
      <c r="BO644" s="35" t="str">
        <f aca="false">IF(AO644&lt;&gt;1,"",IF(X644&lt;&gt;"",1,0))</f>
        <v/>
      </c>
      <c r="BP644" s="35" t="str">
        <f aca="false">IF(AO644&lt;&gt;1,"",IF(Y644="Oui",1,0))</f>
        <v/>
      </c>
      <c r="BQ644" s="35" t="str">
        <f aca="true">IF(OR(AO644&lt;&gt;1,Z644&lt;&gt;"Oui"),"",IF(AB644="",IF(AND(AA644&lt;&gt;"",NOW()&gt;AA644),0,""),IF(AA644="","",IF(AB644&lt;=AA644,1,0))))</f>
        <v/>
      </c>
      <c r="BR644" s="38" t="str">
        <f aca="false">IF(OR(AO644&lt;&gt;1,K644&lt;&gt;"Oui",O644=""),"",IF(AC644="",O644+DORA_H_DET/24,IF(AC644-O644&lt;=DORA_H_DET/24,MIN(AC644+DORA_H_CLA/24,O644+DORA_H_DET/24),AC644+DORA_H_CLA/24)))</f>
        <v/>
      </c>
      <c r="BS644" s="35" t="str">
        <f aca="true">IF(BR644="","",IF(AD644="",IF(NOW()&gt;BR644,0,""),IF(AD644&lt;=BR644,1,0)))</f>
        <v/>
      </c>
      <c r="BT644" s="35" t="str">
        <f aca="true">IF(OR(BR644="",AD644=""),"",IF(AE644="",IF(NOW()&gt;AD644+DORA_H_INT/24,0,""),IF(AE644&lt;=AD644+DORA_H_INT/24,1,0)))</f>
        <v/>
      </c>
      <c r="BU644" s="35" t="str">
        <f aca="true">IF(OR(BR644="",AE644=""),"",IF(AF644="",IF(NOW()&gt;EDATE(AE644,DORA_M_FIN)+1,0,""),IF(AF644&lt;=EDATE(AE644,DORA_M_FIN),1,0)))</f>
        <v/>
      </c>
      <c r="BV644" s="35" t="str">
        <f aca="false">IF(BR644="","",IF(COUNT(BS644:BU644)=0,"",MIN(BS644:BU644)))</f>
        <v/>
      </c>
      <c r="BW644" s="40" t="str">
        <f aca="false">IF(AQ644&lt;&gt;1,"",IF(AND(AG644="",AH644=""),"",N(AG644)-N(AH644)))</f>
        <v/>
      </c>
      <c r="BX644" s="35" t="str">
        <f aca="true">IF(OR(AQ644&lt;&gt;1,AI644&lt;&gt;"Oui",AJ644=""),"",IF(AK644="",IF(NOW()&gt;AJ644+1,0,""),IF(AK644&lt;=AJ644,1,0)))</f>
        <v/>
      </c>
    </row>
    <row r="645" customFormat="false" ht="15" hidden="false" customHeight="false" outlineLevel="0" collapsed="false">
      <c r="B645" s="29"/>
      <c r="C645" s="29"/>
      <c r="D645" s="29"/>
      <c r="E645" s="29"/>
      <c r="F645" s="29"/>
      <c r="G645" s="29"/>
      <c r="H645" s="29"/>
      <c r="I645" s="29"/>
      <c r="J645" s="29"/>
      <c r="K645" s="29"/>
      <c r="L645" s="29"/>
      <c r="M645" s="29"/>
      <c r="N645" s="30"/>
      <c r="O645" s="30"/>
      <c r="P645" s="30"/>
      <c r="Q645" s="30"/>
      <c r="R645" s="30"/>
      <c r="S645" s="30"/>
      <c r="T645" s="30"/>
      <c r="U645" s="30"/>
      <c r="V645" s="31"/>
      <c r="W645" s="29"/>
      <c r="X645" s="29"/>
      <c r="Y645" s="29"/>
      <c r="Z645" s="29"/>
      <c r="AA645" s="30"/>
      <c r="AB645" s="30"/>
      <c r="AC645" s="30"/>
      <c r="AD645" s="30"/>
      <c r="AE645" s="30"/>
      <c r="AF645" s="32"/>
      <c r="AG645" s="33"/>
      <c r="AH645" s="33"/>
      <c r="AI645" s="29"/>
      <c r="AJ645" s="32"/>
      <c r="AK645" s="32"/>
      <c r="AL645" s="29"/>
      <c r="AN645" s="34" t="str">
        <f aca="false">IF($B645="","",IF(OR(C645="",D645="",E645="",G645="",I645="",J645="",L645="",O645="",P645=""),"Champ obligatoire manquant",IF(OR(AND(N645&lt;&gt;"",N645&gt;O645),O645&gt;P645,AND(Q645&lt;&gt;"",Q645&lt;P645),AND(R645&lt;&gt;"",R645&lt;P645),AND(S645&lt;&gt;"",S645&lt;R645),AND(S645&lt;&gt;"",R645=""),AND(T645&lt;&gt;"",T645&lt;O645),AND(U645&lt;&gt;"",U645&lt;O645)),"Chronologie incohérente",IF(AND(OR(L645="Résolu",L645="Clos"),R645=""),"Date de résolution manquante",IF(AND(L645="Clos",S645=""),"Date de clôture manquante",IF(AND(K645="Oui",AC645=""),"Classification DORA manquante","OK"))))))</f>
        <v/>
      </c>
      <c r="AO645" s="35" t="str">
        <f aca="false">IF($B645="","",IF(AND(C645="Incident",L645&lt;&gt;"Annulé"),1,0))</f>
        <v/>
      </c>
      <c r="AP645" s="35" t="str">
        <f aca="false">IF($B645="","",IF(AND(C645="Quasi-incident",L645&lt;&gt;"Annulé"),1,0))</f>
        <v/>
      </c>
      <c r="AQ645" s="35" t="str">
        <f aca="false">IF($B645="","",AO645+AP645)</f>
        <v/>
      </c>
      <c r="AR645" s="36" t="str">
        <f aca="false">IF(OR($B645="",J645=""),"",IFERROR(VALUE(LEFT(J645,1)),""))</f>
        <v/>
      </c>
      <c r="AS645" s="35" t="str">
        <f aca="false">IF(OR(AO645&lt;&gt;1,G645=""),"",IFERROR(IF(INDEX(L_SrcInterne,MATCH(G645,L_Sources,0))="Oui",1,0),""))</f>
        <v/>
      </c>
      <c r="AT645" s="37" t="str">
        <f aca="false">IF(AO645&lt;&gt;1,"",IFERROR(ROUND(IF(OR(N645="",O645=""),"",IF(O645&lt;N645,"",ROUND(((NETWORKDAYS(N645,O645,JoursFeries)-1)*(HFer-HOuv)+IF(NETWORKDAYS(O645,O645,JoursFeries),MEDIAN(MOD(O645,1),HFer,HOuv),HFer)-IF(NETWORKDAYS(N645,N645,JoursFeries),MEDIAN(MOD(N645,1),HFer,HOuv),HOuv))*24,4)))/HJour,4),""))</f>
        <v/>
      </c>
      <c r="AU645" s="37" t="str">
        <f aca="false">IF(AO645&lt;&gt;1,"",IF(OR(O645="",P645=""),"",IF(P645&lt;O645,"",ROUND(((NETWORKDAYS(O645,P645,JoursFeries)-1)*(HFer-HOuv)+IF(NETWORKDAYS(P645,P645,JoursFeries),MEDIAN(MOD(P645,1),HFer,HOuv),HFer)-IF(NETWORKDAYS(O645,O645,JoursFeries),MEDIAN(MOD(O645,1),HFer,HOuv),HOuv))*24,4))))</f>
        <v/>
      </c>
      <c r="AV645" s="37" t="str">
        <f aca="false">IF(AO645&lt;&gt;1,"",IF(OR(P645="",Q645=""),"",IF(Q645&lt;P645,"",ROUND(((NETWORKDAYS(P645,Q645,JoursFeries)-1)*(HFer-HOuv)+IF(NETWORKDAYS(Q645,Q645,JoursFeries),MEDIAN(MOD(Q645,1),HFer,HOuv),HFer)-IF(NETWORKDAYS(P645,P645,JoursFeries),MEDIAN(MOD(P645,1),HFer,HOuv),HOuv))*24,4))))</f>
        <v/>
      </c>
      <c r="AW645" s="37" t="str">
        <f aca="false">IF(AO645&lt;&gt;1,"",IFERROR(ROUND(IF(OR(P645="",R645=""),"",IF(R645&lt;P645,"",ROUND(((NETWORKDAYS(P645,R645,JoursFeries)-1)*(HFer-HOuv)+IF(NETWORKDAYS(R645,R645,JoursFeries),MEDIAN(MOD(R645,1),HFer,HOuv),HFer)-IF(NETWORKDAYS(P645,P645,JoursFeries),MEDIAN(MOD(P645,1),HFer,HOuv),HOuv))*24,4)))/HJour,4),""))</f>
        <v/>
      </c>
      <c r="AX645" s="37" t="str">
        <f aca="false">IF(AO645&lt;&gt;1,"",IFERROR(ROUND(IF(OR(P645="",S645=""),"",IF(S645&lt;P645,"",ROUND(((NETWORKDAYS(P645,S645,JoursFeries)-1)*(HFer-HOuv)+IF(NETWORKDAYS(S645,S645,JoursFeries),MEDIAN(MOD(S645,1),HFer,HOuv),HFer)-IF(NETWORKDAYS(P645,P645,JoursFeries),MEDIAN(MOD(P645,1),HFer,HOuv),HOuv))*24,4)))/HJour,4),""))</f>
        <v/>
      </c>
      <c r="AY645" s="36" t="str">
        <f aca="false">IF(OR(AO645&lt;&gt;1,AR645=""),"",INDEX(SLA_PEC,AR645))</f>
        <v/>
      </c>
      <c r="AZ645" s="35" t="str">
        <f aca="false">IF(OR(AV645="",AY645=""),"",IF(AV645&lt;=AY645,1,0))</f>
        <v/>
      </c>
      <c r="BA645" s="36" t="str">
        <f aca="false">IF(OR(AO645&lt;&gt;1,AR645=""),"",INDEX(SLA_RES,AR645))</f>
        <v/>
      </c>
      <c r="BB645" s="35" t="str">
        <f aca="false">IF(OR(AW645="",BA645=""),"",IF(AW645&lt;=BA645,1,0))</f>
        <v/>
      </c>
      <c r="BC645" s="38" t="str">
        <f aca="false">IF(OR(BA645="",P645=""),"",WORKDAY(INT(P645),BA645,JoursFeries)+MOD(P645,1))</f>
        <v/>
      </c>
      <c r="BD645" s="39" t="str">
        <f aca="false">IF(AO645&lt;&gt;1,"",IF(OR(AB645&lt;&gt;"",AD645&lt;&gt;""),4,IF(U645&lt;&gt;"",3,IF(T645&lt;&gt;"",2,1))))</f>
        <v/>
      </c>
      <c r="BE645" s="39" t="str">
        <f aca="false">IF(OR(AO645&lt;&gt;1,AR645=""),"",INDEX(NIV_REQ,AR645))</f>
        <v/>
      </c>
      <c r="BF645" s="39" t="str">
        <f aca="false">IF(BE645="","",MAX(BE645,IF(OR(K645="Oui",Z645="Oui"),4,1)))</f>
        <v/>
      </c>
      <c r="BG645" s="35" t="str">
        <f aca="false">IF(OR(BF645="",BD645=""),"",IF(BD645&gt;=BF645,1,0))</f>
        <v/>
      </c>
      <c r="BH645" s="38" t="str">
        <f aca="false">IF(BE645="","",IF(BE645&lt;2,"",IF(BE645=2,IF(AND(T645="",U645=""),"",MIN(T645,U645)),IF(U645="","",U645))))</f>
        <v/>
      </c>
      <c r="BI645" s="37" t="str">
        <f aca="false">IF(BH645="","",IF(OR(O645="",BH645=""),"",IF(BH645&lt;O645,"",ROUND(((NETWORKDAYS(O645,BH645,JoursFeries)-1)*(HFer-HOuv)+IF(NETWORKDAYS(BH645,BH645,JoursFeries),MEDIAN(MOD(BH645,1),HFer,HOuv),HFer)-IF(NETWORKDAYS(O645,O645,JoursFeries),MEDIAN(MOD(O645,1),HFer,HOuv),HOuv))*24,4))))</f>
        <v/>
      </c>
      <c r="BJ645" s="35" t="str">
        <f aca="false">IF(OR(BI645="",AR645=""),"",IF(BI645&lt;=INDEX(DELAI_ESC,AR645),1,0))</f>
        <v/>
      </c>
      <c r="BK645" s="38" t="str">
        <f aca="false">IF(AO645&lt;&gt;1,"",IF(AND(T645="",U645=""),"",MIN(T645,U645)))</f>
        <v/>
      </c>
      <c r="BL645" s="37" t="str">
        <f aca="false">IF(OR(BK645="",R645=""),"",IFERROR(ROUND(IF(OR(BK645="",R645=""),"",IF(R645&lt;BK645,"",ROUND(((NETWORKDAYS(BK645,R645,JoursFeries)-1)*(HFer-HOuv)+IF(NETWORKDAYS(R645,R645,JoursFeries),MEDIAN(MOD(R645,1),HFer,HOuv),HFer)-IF(NETWORKDAYS(BK645,BK645,JoursFeries),MEDIAN(MOD(BK645,1),HFer,HOuv),HOuv))*24,4)))/HJour,4),""))</f>
        <v/>
      </c>
      <c r="BM645" s="35" t="str">
        <f aca="false">IF(OR(AO645&lt;&gt;1,R645=""),"",IF(BD645=1,1,0))</f>
        <v/>
      </c>
      <c r="BN645" s="35" t="str">
        <f aca="false">IF(AO645&lt;&gt;1,"",IF(W645="Oui",1,0))</f>
        <v/>
      </c>
      <c r="BO645" s="35" t="str">
        <f aca="false">IF(AO645&lt;&gt;1,"",IF(X645&lt;&gt;"",1,0))</f>
        <v/>
      </c>
      <c r="BP645" s="35" t="str">
        <f aca="false">IF(AO645&lt;&gt;1,"",IF(Y645="Oui",1,0))</f>
        <v/>
      </c>
      <c r="BQ645" s="35" t="str">
        <f aca="true">IF(OR(AO645&lt;&gt;1,Z645&lt;&gt;"Oui"),"",IF(AB645="",IF(AND(AA645&lt;&gt;"",NOW()&gt;AA645),0,""),IF(AA645="","",IF(AB645&lt;=AA645,1,0))))</f>
        <v/>
      </c>
      <c r="BR645" s="38" t="str">
        <f aca="false">IF(OR(AO645&lt;&gt;1,K645&lt;&gt;"Oui",O645=""),"",IF(AC645="",O645+DORA_H_DET/24,IF(AC645-O645&lt;=DORA_H_DET/24,MIN(AC645+DORA_H_CLA/24,O645+DORA_H_DET/24),AC645+DORA_H_CLA/24)))</f>
        <v/>
      </c>
      <c r="BS645" s="35" t="str">
        <f aca="true">IF(BR645="","",IF(AD645="",IF(NOW()&gt;BR645,0,""),IF(AD645&lt;=BR645,1,0)))</f>
        <v/>
      </c>
      <c r="BT645" s="35" t="str">
        <f aca="true">IF(OR(BR645="",AD645=""),"",IF(AE645="",IF(NOW()&gt;AD645+DORA_H_INT/24,0,""),IF(AE645&lt;=AD645+DORA_H_INT/24,1,0)))</f>
        <v/>
      </c>
      <c r="BU645" s="35" t="str">
        <f aca="true">IF(OR(BR645="",AE645=""),"",IF(AF645="",IF(NOW()&gt;EDATE(AE645,DORA_M_FIN)+1,0,""),IF(AF645&lt;=EDATE(AE645,DORA_M_FIN),1,0)))</f>
        <v/>
      </c>
      <c r="BV645" s="35" t="str">
        <f aca="false">IF(BR645="","",IF(COUNT(BS645:BU645)=0,"",MIN(BS645:BU645)))</f>
        <v/>
      </c>
      <c r="BW645" s="40" t="str">
        <f aca="false">IF(AQ645&lt;&gt;1,"",IF(AND(AG645="",AH645=""),"",N(AG645)-N(AH645)))</f>
        <v/>
      </c>
      <c r="BX645" s="35" t="str">
        <f aca="true">IF(OR(AQ645&lt;&gt;1,AI645&lt;&gt;"Oui",AJ645=""),"",IF(AK645="",IF(NOW()&gt;AJ645+1,0,""),IF(AK645&lt;=AJ645,1,0)))</f>
        <v/>
      </c>
    </row>
    <row r="646" customFormat="false" ht="15" hidden="false" customHeight="false" outlineLevel="0" collapsed="false">
      <c r="B646" s="29"/>
      <c r="C646" s="29"/>
      <c r="D646" s="29"/>
      <c r="E646" s="29"/>
      <c r="F646" s="29"/>
      <c r="G646" s="29"/>
      <c r="H646" s="29"/>
      <c r="I646" s="29"/>
      <c r="J646" s="29"/>
      <c r="K646" s="29"/>
      <c r="L646" s="29"/>
      <c r="M646" s="29"/>
      <c r="N646" s="30"/>
      <c r="O646" s="30"/>
      <c r="P646" s="30"/>
      <c r="Q646" s="30"/>
      <c r="R646" s="30"/>
      <c r="S646" s="30"/>
      <c r="T646" s="30"/>
      <c r="U646" s="30"/>
      <c r="V646" s="31"/>
      <c r="W646" s="29"/>
      <c r="X646" s="29"/>
      <c r="Y646" s="29"/>
      <c r="Z646" s="29"/>
      <c r="AA646" s="30"/>
      <c r="AB646" s="30"/>
      <c r="AC646" s="30"/>
      <c r="AD646" s="30"/>
      <c r="AE646" s="30"/>
      <c r="AF646" s="32"/>
      <c r="AG646" s="33"/>
      <c r="AH646" s="33"/>
      <c r="AI646" s="29"/>
      <c r="AJ646" s="32"/>
      <c r="AK646" s="32"/>
      <c r="AL646" s="29"/>
      <c r="AN646" s="34" t="str">
        <f aca="false">IF($B646="","",IF(OR(C646="",D646="",E646="",G646="",I646="",J646="",L646="",O646="",P646=""),"Champ obligatoire manquant",IF(OR(AND(N646&lt;&gt;"",N646&gt;O646),O646&gt;P646,AND(Q646&lt;&gt;"",Q646&lt;P646),AND(R646&lt;&gt;"",R646&lt;P646),AND(S646&lt;&gt;"",S646&lt;R646),AND(S646&lt;&gt;"",R646=""),AND(T646&lt;&gt;"",T646&lt;O646),AND(U646&lt;&gt;"",U646&lt;O646)),"Chronologie incohérente",IF(AND(OR(L646="Résolu",L646="Clos"),R646=""),"Date de résolution manquante",IF(AND(L646="Clos",S646=""),"Date de clôture manquante",IF(AND(K646="Oui",AC646=""),"Classification DORA manquante","OK"))))))</f>
        <v/>
      </c>
      <c r="AO646" s="35" t="str">
        <f aca="false">IF($B646="","",IF(AND(C646="Incident",L646&lt;&gt;"Annulé"),1,0))</f>
        <v/>
      </c>
      <c r="AP646" s="35" t="str">
        <f aca="false">IF($B646="","",IF(AND(C646="Quasi-incident",L646&lt;&gt;"Annulé"),1,0))</f>
        <v/>
      </c>
      <c r="AQ646" s="35" t="str">
        <f aca="false">IF($B646="","",AO646+AP646)</f>
        <v/>
      </c>
      <c r="AR646" s="36" t="str">
        <f aca="false">IF(OR($B646="",J646=""),"",IFERROR(VALUE(LEFT(J646,1)),""))</f>
        <v/>
      </c>
      <c r="AS646" s="35" t="str">
        <f aca="false">IF(OR(AO646&lt;&gt;1,G646=""),"",IFERROR(IF(INDEX(L_SrcInterne,MATCH(G646,L_Sources,0))="Oui",1,0),""))</f>
        <v/>
      </c>
      <c r="AT646" s="37" t="str">
        <f aca="false">IF(AO646&lt;&gt;1,"",IFERROR(ROUND(IF(OR(N646="",O646=""),"",IF(O646&lt;N646,"",ROUND(((NETWORKDAYS(N646,O646,JoursFeries)-1)*(HFer-HOuv)+IF(NETWORKDAYS(O646,O646,JoursFeries),MEDIAN(MOD(O646,1),HFer,HOuv),HFer)-IF(NETWORKDAYS(N646,N646,JoursFeries),MEDIAN(MOD(N646,1),HFer,HOuv),HOuv))*24,4)))/HJour,4),""))</f>
        <v/>
      </c>
      <c r="AU646" s="37" t="str">
        <f aca="false">IF(AO646&lt;&gt;1,"",IF(OR(O646="",P646=""),"",IF(P646&lt;O646,"",ROUND(((NETWORKDAYS(O646,P646,JoursFeries)-1)*(HFer-HOuv)+IF(NETWORKDAYS(P646,P646,JoursFeries),MEDIAN(MOD(P646,1),HFer,HOuv),HFer)-IF(NETWORKDAYS(O646,O646,JoursFeries),MEDIAN(MOD(O646,1),HFer,HOuv),HOuv))*24,4))))</f>
        <v/>
      </c>
      <c r="AV646" s="37" t="str">
        <f aca="false">IF(AO646&lt;&gt;1,"",IF(OR(P646="",Q646=""),"",IF(Q646&lt;P646,"",ROUND(((NETWORKDAYS(P646,Q646,JoursFeries)-1)*(HFer-HOuv)+IF(NETWORKDAYS(Q646,Q646,JoursFeries),MEDIAN(MOD(Q646,1),HFer,HOuv),HFer)-IF(NETWORKDAYS(P646,P646,JoursFeries),MEDIAN(MOD(P646,1),HFer,HOuv),HOuv))*24,4))))</f>
        <v/>
      </c>
      <c r="AW646" s="37" t="str">
        <f aca="false">IF(AO646&lt;&gt;1,"",IFERROR(ROUND(IF(OR(P646="",R646=""),"",IF(R646&lt;P646,"",ROUND(((NETWORKDAYS(P646,R646,JoursFeries)-1)*(HFer-HOuv)+IF(NETWORKDAYS(R646,R646,JoursFeries),MEDIAN(MOD(R646,1),HFer,HOuv),HFer)-IF(NETWORKDAYS(P646,P646,JoursFeries),MEDIAN(MOD(P646,1),HFer,HOuv),HOuv))*24,4)))/HJour,4),""))</f>
        <v/>
      </c>
      <c r="AX646" s="37" t="str">
        <f aca="false">IF(AO646&lt;&gt;1,"",IFERROR(ROUND(IF(OR(P646="",S646=""),"",IF(S646&lt;P646,"",ROUND(((NETWORKDAYS(P646,S646,JoursFeries)-1)*(HFer-HOuv)+IF(NETWORKDAYS(S646,S646,JoursFeries),MEDIAN(MOD(S646,1),HFer,HOuv),HFer)-IF(NETWORKDAYS(P646,P646,JoursFeries),MEDIAN(MOD(P646,1),HFer,HOuv),HOuv))*24,4)))/HJour,4),""))</f>
        <v/>
      </c>
      <c r="AY646" s="36" t="str">
        <f aca="false">IF(OR(AO646&lt;&gt;1,AR646=""),"",INDEX(SLA_PEC,AR646))</f>
        <v/>
      </c>
      <c r="AZ646" s="35" t="str">
        <f aca="false">IF(OR(AV646="",AY646=""),"",IF(AV646&lt;=AY646,1,0))</f>
        <v/>
      </c>
      <c r="BA646" s="36" t="str">
        <f aca="false">IF(OR(AO646&lt;&gt;1,AR646=""),"",INDEX(SLA_RES,AR646))</f>
        <v/>
      </c>
      <c r="BB646" s="35" t="str">
        <f aca="false">IF(OR(AW646="",BA646=""),"",IF(AW646&lt;=BA646,1,0))</f>
        <v/>
      </c>
      <c r="BC646" s="38" t="str">
        <f aca="false">IF(OR(BA646="",P646=""),"",WORKDAY(INT(P646),BA646,JoursFeries)+MOD(P646,1))</f>
        <v/>
      </c>
      <c r="BD646" s="39" t="str">
        <f aca="false">IF(AO646&lt;&gt;1,"",IF(OR(AB646&lt;&gt;"",AD646&lt;&gt;""),4,IF(U646&lt;&gt;"",3,IF(T646&lt;&gt;"",2,1))))</f>
        <v/>
      </c>
      <c r="BE646" s="39" t="str">
        <f aca="false">IF(OR(AO646&lt;&gt;1,AR646=""),"",INDEX(NIV_REQ,AR646))</f>
        <v/>
      </c>
      <c r="BF646" s="39" t="str">
        <f aca="false">IF(BE646="","",MAX(BE646,IF(OR(K646="Oui",Z646="Oui"),4,1)))</f>
        <v/>
      </c>
      <c r="BG646" s="35" t="str">
        <f aca="false">IF(OR(BF646="",BD646=""),"",IF(BD646&gt;=BF646,1,0))</f>
        <v/>
      </c>
      <c r="BH646" s="38" t="str">
        <f aca="false">IF(BE646="","",IF(BE646&lt;2,"",IF(BE646=2,IF(AND(T646="",U646=""),"",MIN(T646,U646)),IF(U646="","",U646))))</f>
        <v/>
      </c>
      <c r="BI646" s="37" t="str">
        <f aca="false">IF(BH646="","",IF(OR(O646="",BH646=""),"",IF(BH646&lt;O646,"",ROUND(((NETWORKDAYS(O646,BH646,JoursFeries)-1)*(HFer-HOuv)+IF(NETWORKDAYS(BH646,BH646,JoursFeries),MEDIAN(MOD(BH646,1),HFer,HOuv),HFer)-IF(NETWORKDAYS(O646,O646,JoursFeries),MEDIAN(MOD(O646,1),HFer,HOuv),HOuv))*24,4))))</f>
        <v/>
      </c>
      <c r="BJ646" s="35" t="str">
        <f aca="false">IF(OR(BI646="",AR646=""),"",IF(BI646&lt;=INDEX(DELAI_ESC,AR646),1,0))</f>
        <v/>
      </c>
      <c r="BK646" s="38" t="str">
        <f aca="false">IF(AO646&lt;&gt;1,"",IF(AND(T646="",U646=""),"",MIN(T646,U646)))</f>
        <v/>
      </c>
      <c r="BL646" s="37" t="str">
        <f aca="false">IF(OR(BK646="",R646=""),"",IFERROR(ROUND(IF(OR(BK646="",R646=""),"",IF(R646&lt;BK646,"",ROUND(((NETWORKDAYS(BK646,R646,JoursFeries)-1)*(HFer-HOuv)+IF(NETWORKDAYS(R646,R646,JoursFeries),MEDIAN(MOD(R646,1),HFer,HOuv),HFer)-IF(NETWORKDAYS(BK646,BK646,JoursFeries),MEDIAN(MOD(BK646,1),HFer,HOuv),HOuv))*24,4)))/HJour,4),""))</f>
        <v/>
      </c>
      <c r="BM646" s="35" t="str">
        <f aca="false">IF(OR(AO646&lt;&gt;1,R646=""),"",IF(BD646=1,1,0))</f>
        <v/>
      </c>
      <c r="BN646" s="35" t="str">
        <f aca="false">IF(AO646&lt;&gt;1,"",IF(W646="Oui",1,0))</f>
        <v/>
      </c>
      <c r="BO646" s="35" t="str">
        <f aca="false">IF(AO646&lt;&gt;1,"",IF(X646&lt;&gt;"",1,0))</f>
        <v/>
      </c>
      <c r="BP646" s="35" t="str">
        <f aca="false">IF(AO646&lt;&gt;1,"",IF(Y646="Oui",1,0))</f>
        <v/>
      </c>
      <c r="BQ646" s="35" t="str">
        <f aca="true">IF(OR(AO646&lt;&gt;1,Z646&lt;&gt;"Oui"),"",IF(AB646="",IF(AND(AA646&lt;&gt;"",NOW()&gt;AA646),0,""),IF(AA646="","",IF(AB646&lt;=AA646,1,0))))</f>
        <v/>
      </c>
      <c r="BR646" s="38" t="str">
        <f aca="false">IF(OR(AO646&lt;&gt;1,K646&lt;&gt;"Oui",O646=""),"",IF(AC646="",O646+DORA_H_DET/24,IF(AC646-O646&lt;=DORA_H_DET/24,MIN(AC646+DORA_H_CLA/24,O646+DORA_H_DET/24),AC646+DORA_H_CLA/24)))</f>
        <v/>
      </c>
      <c r="BS646" s="35" t="str">
        <f aca="true">IF(BR646="","",IF(AD646="",IF(NOW()&gt;BR646,0,""),IF(AD646&lt;=BR646,1,0)))</f>
        <v/>
      </c>
      <c r="BT646" s="35" t="str">
        <f aca="true">IF(OR(BR646="",AD646=""),"",IF(AE646="",IF(NOW()&gt;AD646+DORA_H_INT/24,0,""),IF(AE646&lt;=AD646+DORA_H_INT/24,1,0)))</f>
        <v/>
      </c>
      <c r="BU646" s="35" t="str">
        <f aca="true">IF(OR(BR646="",AE646=""),"",IF(AF646="",IF(NOW()&gt;EDATE(AE646,DORA_M_FIN)+1,0,""),IF(AF646&lt;=EDATE(AE646,DORA_M_FIN),1,0)))</f>
        <v/>
      </c>
      <c r="BV646" s="35" t="str">
        <f aca="false">IF(BR646="","",IF(COUNT(BS646:BU646)=0,"",MIN(BS646:BU646)))</f>
        <v/>
      </c>
      <c r="BW646" s="40" t="str">
        <f aca="false">IF(AQ646&lt;&gt;1,"",IF(AND(AG646="",AH646=""),"",N(AG646)-N(AH646)))</f>
        <v/>
      </c>
      <c r="BX646" s="35" t="str">
        <f aca="true">IF(OR(AQ646&lt;&gt;1,AI646&lt;&gt;"Oui",AJ646=""),"",IF(AK646="",IF(NOW()&gt;AJ646+1,0,""),IF(AK646&lt;=AJ646,1,0)))</f>
        <v/>
      </c>
    </row>
    <row r="647" customFormat="false" ht="15" hidden="false" customHeight="false" outlineLevel="0" collapsed="false">
      <c r="B647" s="29"/>
      <c r="C647" s="29"/>
      <c r="D647" s="29"/>
      <c r="E647" s="29"/>
      <c r="F647" s="29"/>
      <c r="G647" s="29"/>
      <c r="H647" s="29"/>
      <c r="I647" s="29"/>
      <c r="J647" s="29"/>
      <c r="K647" s="29"/>
      <c r="L647" s="29"/>
      <c r="M647" s="29"/>
      <c r="N647" s="30"/>
      <c r="O647" s="30"/>
      <c r="P647" s="30"/>
      <c r="Q647" s="30"/>
      <c r="R647" s="30"/>
      <c r="S647" s="30"/>
      <c r="T647" s="30"/>
      <c r="U647" s="30"/>
      <c r="V647" s="31"/>
      <c r="W647" s="29"/>
      <c r="X647" s="29"/>
      <c r="Y647" s="29"/>
      <c r="Z647" s="29"/>
      <c r="AA647" s="30"/>
      <c r="AB647" s="30"/>
      <c r="AC647" s="30"/>
      <c r="AD647" s="30"/>
      <c r="AE647" s="30"/>
      <c r="AF647" s="32"/>
      <c r="AG647" s="33"/>
      <c r="AH647" s="33"/>
      <c r="AI647" s="29"/>
      <c r="AJ647" s="32"/>
      <c r="AK647" s="32"/>
      <c r="AL647" s="29"/>
      <c r="AN647" s="34" t="str">
        <f aca="false">IF($B647="","",IF(OR(C647="",D647="",E647="",G647="",I647="",J647="",L647="",O647="",P647=""),"Champ obligatoire manquant",IF(OR(AND(N647&lt;&gt;"",N647&gt;O647),O647&gt;P647,AND(Q647&lt;&gt;"",Q647&lt;P647),AND(R647&lt;&gt;"",R647&lt;P647),AND(S647&lt;&gt;"",S647&lt;R647),AND(S647&lt;&gt;"",R647=""),AND(T647&lt;&gt;"",T647&lt;O647),AND(U647&lt;&gt;"",U647&lt;O647)),"Chronologie incohérente",IF(AND(OR(L647="Résolu",L647="Clos"),R647=""),"Date de résolution manquante",IF(AND(L647="Clos",S647=""),"Date de clôture manquante",IF(AND(K647="Oui",AC647=""),"Classification DORA manquante","OK"))))))</f>
        <v/>
      </c>
      <c r="AO647" s="35" t="str">
        <f aca="false">IF($B647="","",IF(AND(C647="Incident",L647&lt;&gt;"Annulé"),1,0))</f>
        <v/>
      </c>
      <c r="AP647" s="35" t="str">
        <f aca="false">IF($B647="","",IF(AND(C647="Quasi-incident",L647&lt;&gt;"Annulé"),1,0))</f>
        <v/>
      </c>
      <c r="AQ647" s="35" t="str">
        <f aca="false">IF($B647="","",AO647+AP647)</f>
        <v/>
      </c>
      <c r="AR647" s="36" t="str">
        <f aca="false">IF(OR($B647="",J647=""),"",IFERROR(VALUE(LEFT(J647,1)),""))</f>
        <v/>
      </c>
      <c r="AS647" s="35" t="str">
        <f aca="false">IF(OR(AO647&lt;&gt;1,G647=""),"",IFERROR(IF(INDEX(L_SrcInterne,MATCH(G647,L_Sources,0))="Oui",1,0),""))</f>
        <v/>
      </c>
      <c r="AT647" s="37" t="str">
        <f aca="false">IF(AO647&lt;&gt;1,"",IFERROR(ROUND(IF(OR(N647="",O647=""),"",IF(O647&lt;N647,"",ROUND(((NETWORKDAYS(N647,O647,JoursFeries)-1)*(HFer-HOuv)+IF(NETWORKDAYS(O647,O647,JoursFeries),MEDIAN(MOD(O647,1),HFer,HOuv),HFer)-IF(NETWORKDAYS(N647,N647,JoursFeries),MEDIAN(MOD(N647,1),HFer,HOuv),HOuv))*24,4)))/HJour,4),""))</f>
        <v/>
      </c>
      <c r="AU647" s="37" t="str">
        <f aca="false">IF(AO647&lt;&gt;1,"",IF(OR(O647="",P647=""),"",IF(P647&lt;O647,"",ROUND(((NETWORKDAYS(O647,P647,JoursFeries)-1)*(HFer-HOuv)+IF(NETWORKDAYS(P647,P647,JoursFeries),MEDIAN(MOD(P647,1),HFer,HOuv),HFer)-IF(NETWORKDAYS(O647,O647,JoursFeries),MEDIAN(MOD(O647,1),HFer,HOuv),HOuv))*24,4))))</f>
        <v/>
      </c>
      <c r="AV647" s="37" t="str">
        <f aca="false">IF(AO647&lt;&gt;1,"",IF(OR(P647="",Q647=""),"",IF(Q647&lt;P647,"",ROUND(((NETWORKDAYS(P647,Q647,JoursFeries)-1)*(HFer-HOuv)+IF(NETWORKDAYS(Q647,Q647,JoursFeries),MEDIAN(MOD(Q647,1),HFer,HOuv),HFer)-IF(NETWORKDAYS(P647,P647,JoursFeries),MEDIAN(MOD(P647,1),HFer,HOuv),HOuv))*24,4))))</f>
        <v/>
      </c>
      <c r="AW647" s="37" t="str">
        <f aca="false">IF(AO647&lt;&gt;1,"",IFERROR(ROUND(IF(OR(P647="",R647=""),"",IF(R647&lt;P647,"",ROUND(((NETWORKDAYS(P647,R647,JoursFeries)-1)*(HFer-HOuv)+IF(NETWORKDAYS(R647,R647,JoursFeries),MEDIAN(MOD(R647,1),HFer,HOuv),HFer)-IF(NETWORKDAYS(P647,P647,JoursFeries),MEDIAN(MOD(P647,1),HFer,HOuv),HOuv))*24,4)))/HJour,4),""))</f>
        <v/>
      </c>
      <c r="AX647" s="37" t="str">
        <f aca="false">IF(AO647&lt;&gt;1,"",IFERROR(ROUND(IF(OR(P647="",S647=""),"",IF(S647&lt;P647,"",ROUND(((NETWORKDAYS(P647,S647,JoursFeries)-1)*(HFer-HOuv)+IF(NETWORKDAYS(S647,S647,JoursFeries),MEDIAN(MOD(S647,1),HFer,HOuv),HFer)-IF(NETWORKDAYS(P647,P647,JoursFeries),MEDIAN(MOD(P647,1),HFer,HOuv),HOuv))*24,4)))/HJour,4),""))</f>
        <v/>
      </c>
      <c r="AY647" s="36" t="str">
        <f aca="false">IF(OR(AO647&lt;&gt;1,AR647=""),"",INDEX(SLA_PEC,AR647))</f>
        <v/>
      </c>
      <c r="AZ647" s="35" t="str">
        <f aca="false">IF(OR(AV647="",AY647=""),"",IF(AV647&lt;=AY647,1,0))</f>
        <v/>
      </c>
      <c r="BA647" s="36" t="str">
        <f aca="false">IF(OR(AO647&lt;&gt;1,AR647=""),"",INDEX(SLA_RES,AR647))</f>
        <v/>
      </c>
      <c r="BB647" s="35" t="str">
        <f aca="false">IF(OR(AW647="",BA647=""),"",IF(AW647&lt;=BA647,1,0))</f>
        <v/>
      </c>
      <c r="BC647" s="38" t="str">
        <f aca="false">IF(OR(BA647="",P647=""),"",WORKDAY(INT(P647),BA647,JoursFeries)+MOD(P647,1))</f>
        <v/>
      </c>
      <c r="BD647" s="39" t="str">
        <f aca="false">IF(AO647&lt;&gt;1,"",IF(OR(AB647&lt;&gt;"",AD647&lt;&gt;""),4,IF(U647&lt;&gt;"",3,IF(T647&lt;&gt;"",2,1))))</f>
        <v/>
      </c>
      <c r="BE647" s="39" t="str">
        <f aca="false">IF(OR(AO647&lt;&gt;1,AR647=""),"",INDEX(NIV_REQ,AR647))</f>
        <v/>
      </c>
      <c r="BF647" s="39" t="str">
        <f aca="false">IF(BE647="","",MAX(BE647,IF(OR(K647="Oui",Z647="Oui"),4,1)))</f>
        <v/>
      </c>
      <c r="BG647" s="35" t="str">
        <f aca="false">IF(OR(BF647="",BD647=""),"",IF(BD647&gt;=BF647,1,0))</f>
        <v/>
      </c>
      <c r="BH647" s="38" t="str">
        <f aca="false">IF(BE647="","",IF(BE647&lt;2,"",IF(BE647=2,IF(AND(T647="",U647=""),"",MIN(T647,U647)),IF(U647="","",U647))))</f>
        <v/>
      </c>
      <c r="BI647" s="37" t="str">
        <f aca="false">IF(BH647="","",IF(OR(O647="",BH647=""),"",IF(BH647&lt;O647,"",ROUND(((NETWORKDAYS(O647,BH647,JoursFeries)-1)*(HFer-HOuv)+IF(NETWORKDAYS(BH647,BH647,JoursFeries),MEDIAN(MOD(BH647,1),HFer,HOuv),HFer)-IF(NETWORKDAYS(O647,O647,JoursFeries),MEDIAN(MOD(O647,1),HFer,HOuv),HOuv))*24,4))))</f>
        <v/>
      </c>
      <c r="BJ647" s="35" t="str">
        <f aca="false">IF(OR(BI647="",AR647=""),"",IF(BI647&lt;=INDEX(DELAI_ESC,AR647),1,0))</f>
        <v/>
      </c>
      <c r="BK647" s="38" t="str">
        <f aca="false">IF(AO647&lt;&gt;1,"",IF(AND(T647="",U647=""),"",MIN(T647,U647)))</f>
        <v/>
      </c>
      <c r="BL647" s="37" t="str">
        <f aca="false">IF(OR(BK647="",R647=""),"",IFERROR(ROUND(IF(OR(BK647="",R647=""),"",IF(R647&lt;BK647,"",ROUND(((NETWORKDAYS(BK647,R647,JoursFeries)-1)*(HFer-HOuv)+IF(NETWORKDAYS(R647,R647,JoursFeries),MEDIAN(MOD(R647,1),HFer,HOuv),HFer)-IF(NETWORKDAYS(BK647,BK647,JoursFeries),MEDIAN(MOD(BK647,1),HFer,HOuv),HOuv))*24,4)))/HJour,4),""))</f>
        <v/>
      </c>
      <c r="BM647" s="35" t="str">
        <f aca="false">IF(OR(AO647&lt;&gt;1,R647=""),"",IF(BD647=1,1,0))</f>
        <v/>
      </c>
      <c r="BN647" s="35" t="str">
        <f aca="false">IF(AO647&lt;&gt;1,"",IF(W647="Oui",1,0))</f>
        <v/>
      </c>
      <c r="BO647" s="35" t="str">
        <f aca="false">IF(AO647&lt;&gt;1,"",IF(X647&lt;&gt;"",1,0))</f>
        <v/>
      </c>
      <c r="BP647" s="35" t="str">
        <f aca="false">IF(AO647&lt;&gt;1,"",IF(Y647="Oui",1,0))</f>
        <v/>
      </c>
      <c r="BQ647" s="35" t="str">
        <f aca="true">IF(OR(AO647&lt;&gt;1,Z647&lt;&gt;"Oui"),"",IF(AB647="",IF(AND(AA647&lt;&gt;"",NOW()&gt;AA647),0,""),IF(AA647="","",IF(AB647&lt;=AA647,1,0))))</f>
        <v/>
      </c>
      <c r="BR647" s="38" t="str">
        <f aca="false">IF(OR(AO647&lt;&gt;1,K647&lt;&gt;"Oui",O647=""),"",IF(AC647="",O647+DORA_H_DET/24,IF(AC647-O647&lt;=DORA_H_DET/24,MIN(AC647+DORA_H_CLA/24,O647+DORA_H_DET/24),AC647+DORA_H_CLA/24)))</f>
        <v/>
      </c>
      <c r="BS647" s="35" t="str">
        <f aca="true">IF(BR647="","",IF(AD647="",IF(NOW()&gt;BR647,0,""),IF(AD647&lt;=BR647,1,0)))</f>
        <v/>
      </c>
      <c r="BT647" s="35" t="str">
        <f aca="true">IF(OR(BR647="",AD647=""),"",IF(AE647="",IF(NOW()&gt;AD647+DORA_H_INT/24,0,""),IF(AE647&lt;=AD647+DORA_H_INT/24,1,0)))</f>
        <v/>
      </c>
      <c r="BU647" s="35" t="str">
        <f aca="true">IF(OR(BR647="",AE647=""),"",IF(AF647="",IF(NOW()&gt;EDATE(AE647,DORA_M_FIN)+1,0,""),IF(AF647&lt;=EDATE(AE647,DORA_M_FIN),1,0)))</f>
        <v/>
      </c>
      <c r="BV647" s="35" t="str">
        <f aca="false">IF(BR647="","",IF(COUNT(BS647:BU647)=0,"",MIN(BS647:BU647)))</f>
        <v/>
      </c>
      <c r="BW647" s="40" t="str">
        <f aca="false">IF(AQ647&lt;&gt;1,"",IF(AND(AG647="",AH647=""),"",N(AG647)-N(AH647)))</f>
        <v/>
      </c>
      <c r="BX647" s="35" t="str">
        <f aca="true">IF(OR(AQ647&lt;&gt;1,AI647&lt;&gt;"Oui",AJ647=""),"",IF(AK647="",IF(NOW()&gt;AJ647+1,0,""),IF(AK647&lt;=AJ647,1,0)))</f>
        <v/>
      </c>
    </row>
    <row r="648" customFormat="false" ht="15" hidden="false" customHeight="false" outlineLevel="0" collapsed="false">
      <c r="B648" s="29"/>
      <c r="C648" s="29"/>
      <c r="D648" s="29"/>
      <c r="E648" s="29"/>
      <c r="F648" s="29"/>
      <c r="G648" s="29"/>
      <c r="H648" s="29"/>
      <c r="I648" s="29"/>
      <c r="J648" s="29"/>
      <c r="K648" s="29"/>
      <c r="L648" s="29"/>
      <c r="M648" s="29"/>
      <c r="N648" s="30"/>
      <c r="O648" s="30"/>
      <c r="P648" s="30"/>
      <c r="Q648" s="30"/>
      <c r="R648" s="30"/>
      <c r="S648" s="30"/>
      <c r="T648" s="30"/>
      <c r="U648" s="30"/>
      <c r="V648" s="31"/>
      <c r="W648" s="29"/>
      <c r="X648" s="29"/>
      <c r="Y648" s="29"/>
      <c r="Z648" s="29"/>
      <c r="AA648" s="30"/>
      <c r="AB648" s="30"/>
      <c r="AC648" s="30"/>
      <c r="AD648" s="30"/>
      <c r="AE648" s="30"/>
      <c r="AF648" s="32"/>
      <c r="AG648" s="33"/>
      <c r="AH648" s="33"/>
      <c r="AI648" s="29"/>
      <c r="AJ648" s="32"/>
      <c r="AK648" s="32"/>
      <c r="AL648" s="29"/>
      <c r="AN648" s="34" t="str">
        <f aca="false">IF($B648="","",IF(OR(C648="",D648="",E648="",G648="",I648="",J648="",L648="",O648="",P648=""),"Champ obligatoire manquant",IF(OR(AND(N648&lt;&gt;"",N648&gt;O648),O648&gt;P648,AND(Q648&lt;&gt;"",Q648&lt;P648),AND(R648&lt;&gt;"",R648&lt;P648),AND(S648&lt;&gt;"",S648&lt;R648),AND(S648&lt;&gt;"",R648=""),AND(T648&lt;&gt;"",T648&lt;O648),AND(U648&lt;&gt;"",U648&lt;O648)),"Chronologie incohérente",IF(AND(OR(L648="Résolu",L648="Clos"),R648=""),"Date de résolution manquante",IF(AND(L648="Clos",S648=""),"Date de clôture manquante",IF(AND(K648="Oui",AC648=""),"Classification DORA manquante","OK"))))))</f>
        <v/>
      </c>
      <c r="AO648" s="35" t="str">
        <f aca="false">IF($B648="","",IF(AND(C648="Incident",L648&lt;&gt;"Annulé"),1,0))</f>
        <v/>
      </c>
      <c r="AP648" s="35" t="str">
        <f aca="false">IF($B648="","",IF(AND(C648="Quasi-incident",L648&lt;&gt;"Annulé"),1,0))</f>
        <v/>
      </c>
      <c r="AQ648" s="35" t="str">
        <f aca="false">IF($B648="","",AO648+AP648)</f>
        <v/>
      </c>
      <c r="AR648" s="36" t="str">
        <f aca="false">IF(OR($B648="",J648=""),"",IFERROR(VALUE(LEFT(J648,1)),""))</f>
        <v/>
      </c>
      <c r="AS648" s="35" t="str">
        <f aca="false">IF(OR(AO648&lt;&gt;1,G648=""),"",IFERROR(IF(INDEX(L_SrcInterne,MATCH(G648,L_Sources,0))="Oui",1,0),""))</f>
        <v/>
      </c>
      <c r="AT648" s="37" t="str">
        <f aca="false">IF(AO648&lt;&gt;1,"",IFERROR(ROUND(IF(OR(N648="",O648=""),"",IF(O648&lt;N648,"",ROUND(((NETWORKDAYS(N648,O648,JoursFeries)-1)*(HFer-HOuv)+IF(NETWORKDAYS(O648,O648,JoursFeries),MEDIAN(MOD(O648,1),HFer,HOuv),HFer)-IF(NETWORKDAYS(N648,N648,JoursFeries),MEDIAN(MOD(N648,1),HFer,HOuv),HOuv))*24,4)))/HJour,4),""))</f>
        <v/>
      </c>
      <c r="AU648" s="37" t="str">
        <f aca="false">IF(AO648&lt;&gt;1,"",IF(OR(O648="",P648=""),"",IF(P648&lt;O648,"",ROUND(((NETWORKDAYS(O648,P648,JoursFeries)-1)*(HFer-HOuv)+IF(NETWORKDAYS(P648,P648,JoursFeries),MEDIAN(MOD(P648,1),HFer,HOuv),HFer)-IF(NETWORKDAYS(O648,O648,JoursFeries),MEDIAN(MOD(O648,1),HFer,HOuv),HOuv))*24,4))))</f>
        <v/>
      </c>
      <c r="AV648" s="37" t="str">
        <f aca="false">IF(AO648&lt;&gt;1,"",IF(OR(P648="",Q648=""),"",IF(Q648&lt;P648,"",ROUND(((NETWORKDAYS(P648,Q648,JoursFeries)-1)*(HFer-HOuv)+IF(NETWORKDAYS(Q648,Q648,JoursFeries),MEDIAN(MOD(Q648,1),HFer,HOuv),HFer)-IF(NETWORKDAYS(P648,P648,JoursFeries),MEDIAN(MOD(P648,1),HFer,HOuv),HOuv))*24,4))))</f>
        <v/>
      </c>
      <c r="AW648" s="37" t="str">
        <f aca="false">IF(AO648&lt;&gt;1,"",IFERROR(ROUND(IF(OR(P648="",R648=""),"",IF(R648&lt;P648,"",ROUND(((NETWORKDAYS(P648,R648,JoursFeries)-1)*(HFer-HOuv)+IF(NETWORKDAYS(R648,R648,JoursFeries),MEDIAN(MOD(R648,1),HFer,HOuv),HFer)-IF(NETWORKDAYS(P648,P648,JoursFeries),MEDIAN(MOD(P648,1),HFer,HOuv),HOuv))*24,4)))/HJour,4),""))</f>
        <v/>
      </c>
      <c r="AX648" s="37" t="str">
        <f aca="false">IF(AO648&lt;&gt;1,"",IFERROR(ROUND(IF(OR(P648="",S648=""),"",IF(S648&lt;P648,"",ROUND(((NETWORKDAYS(P648,S648,JoursFeries)-1)*(HFer-HOuv)+IF(NETWORKDAYS(S648,S648,JoursFeries),MEDIAN(MOD(S648,1),HFer,HOuv),HFer)-IF(NETWORKDAYS(P648,P648,JoursFeries),MEDIAN(MOD(P648,1),HFer,HOuv),HOuv))*24,4)))/HJour,4),""))</f>
        <v/>
      </c>
      <c r="AY648" s="36" t="str">
        <f aca="false">IF(OR(AO648&lt;&gt;1,AR648=""),"",INDEX(SLA_PEC,AR648))</f>
        <v/>
      </c>
      <c r="AZ648" s="35" t="str">
        <f aca="false">IF(OR(AV648="",AY648=""),"",IF(AV648&lt;=AY648,1,0))</f>
        <v/>
      </c>
      <c r="BA648" s="36" t="str">
        <f aca="false">IF(OR(AO648&lt;&gt;1,AR648=""),"",INDEX(SLA_RES,AR648))</f>
        <v/>
      </c>
      <c r="BB648" s="35" t="str">
        <f aca="false">IF(OR(AW648="",BA648=""),"",IF(AW648&lt;=BA648,1,0))</f>
        <v/>
      </c>
      <c r="BC648" s="38" t="str">
        <f aca="false">IF(OR(BA648="",P648=""),"",WORKDAY(INT(P648),BA648,JoursFeries)+MOD(P648,1))</f>
        <v/>
      </c>
      <c r="BD648" s="39" t="str">
        <f aca="false">IF(AO648&lt;&gt;1,"",IF(OR(AB648&lt;&gt;"",AD648&lt;&gt;""),4,IF(U648&lt;&gt;"",3,IF(T648&lt;&gt;"",2,1))))</f>
        <v/>
      </c>
      <c r="BE648" s="39" t="str">
        <f aca="false">IF(OR(AO648&lt;&gt;1,AR648=""),"",INDEX(NIV_REQ,AR648))</f>
        <v/>
      </c>
      <c r="BF648" s="39" t="str">
        <f aca="false">IF(BE648="","",MAX(BE648,IF(OR(K648="Oui",Z648="Oui"),4,1)))</f>
        <v/>
      </c>
      <c r="BG648" s="35" t="str">
        <f aca="false">IF(OR(BF648="",BD648=""),"",IF(BD648&gt;=BF648,1,0))</f>
        <v/>
      </c>
      <c r="BH648" s="38" t="str">
        <f aca="false">IF(BE648="","",IF(BE648&lt;2,"",IF(BE648=2,IF(AND(T648="",U648=""),"",MIN(T648,U648)),IF(U648="","",U648))))</f>
        <v/>
      </c>
      <c r="BI648" s="37" t="str">
        <f aca="false">IF(BH648="","",IF(OR(O648="",BH648=""),"",IF(BH648&lt;O648,"",ROUND(((NETWORKDAYS(O648,BH648,JoursFeries)-1)*(HFer-HOuv)+IF(NETWORKDAYS(BH648,BH648,JoursFeries),MEDIAN(MOD(BH648,1),HFer,HOuv),HFer)-IF(NETWORKDAYS(O648,O648,JoursFeries),MEDIAN(MOD(O648,1),HFer,HOuv),HOuv))*24,4))))</f>
        <v/>
      </c>
      <c r="BJ648" s="35" t="str">
        <f aca="false">IF(OR(BI648="",AR648=""),"",IF(BI648&lt;=INDEX(DELAI_ESC,AR648),1,0))</f>
        <v/>
      </c>
      <c r="BK648" s="38" t="str">
        <f aca="false">IF(AO648&lt;&gt;1,"",IF(AND(T648="",U648=""),"",MIN(T648,U648)))</f>
        <v/>
      </c>
      <c r="BL648" s="37" t="str">
        <f aca="false">IF(OR(BK648="",R648=""),"",IFERROR(ROUND(IF(OR(BK648="",R648=""),"",IF(R648&lt;BK648,"",ROUND(((NETWORKDAYS(BK648,R648,JoursFeries)-1)*(HFer-HOuv)+IF(NETWORKDAYS(R648,R648,JoursFeries),MEDIAN(MOD(R648,1),HFer,HOuv),HFer)-IF(NETWORKDAYS(BK648,BK648,JoursFeries),MEDIAN(MOD(BK648,1),HFer,HOuv),HOuv))*24,4)))/HJour,4),""))</f>
        <v/>
      </c>
      <c r="BM648" s="35" t="str">
        <f aca="false">IF(OR(AO648&lt;&gt;1,R648=""),"",IF(BD648=1,1,0))</f>
        <v/>
      </c>
      <c r="BN648" s="35" t="str">
        <f aca="false">IF(AO648&lt;&gt;1,"",IF(W648="Oui",1,0))</f>
        <v/>
      </c>
      <c r="BO648" s="35" t="str">
        <f aca="false">IF(AO648&lt;&gt;1,"",IF(X648&lt;&gt;"",1,0))</f>
        <v/>
      </c>
      <c r="BP648" s="35" t="str">
        <f aca="false">IF(AO648&lt;&gt;1,"",IF(Y648="Oui",1,0))</f>
        <v/>
      </c>
      <c r="BQ648" s="35" t="str">
        <f aca="true">IF(OR(AO648&lt;&gt;1,Z648&lt;&gt;"Oui"),"",IF(AB648="",IF(AND(AA648&lt;&gt;"",NOW()&gt;AA648),0,""),IF(AA648="","",IF(AB648&lt;=AA648,1,0))))</f>
        <v/>
      </c>
      <c r="BR648" s="38" t="str">
        <f aca="false">IF(OR(AO648&lt;&gt;1,K648&lt;&gt;"Oui",O648=""),"",IF(AC648="",O648+DORA_H_DET/24,IF(AC648-O648&lt;=DORA_H_DET/24,MIN(AC648+DORA_H_CLA/24,O648+DORA_H_DET/24),AC648+DORA_H_CLA/24)))</f>
        <v/>
      </c>
      <c r="BS648" s="35" t="str">
        <f aca="true">IF(BR648="","",IF(AD648="",IF(NOW()&gt;BR648,0,""),IF(AD648&lt;=BR648,1,0)))</f>
        <v/>
      </c>
      <c r="BT648" s="35" t="str">
        <f aca="true">IF(OR(BR648="",AD648=""),"",IF(AE648="",IF(NOW()&gt;AD648+DORA_H_INT/24,0,""),IF(AE648&lt;=AD648+DORA_H_INT/24,1,0)))</f>
        <v/>
      </c>
      <c r="BU648" s="35" t="str">
        <f aca="true">IF(OR(BR648="",AE648=""),"",IF(AF648="",IF(NOW()&gt;EDATE(AE648,DORA_M_FIN)+1,0,""),IF(AF648&lt;=EDATE(AE648,DORA_M_FIN),1,0)))</f>
        <v/>
      </c>
      <c r="BV648" s="35" t="str">
        <f aca="false">IF(BR648="","",IF(COUNT(BS648:BU648)=0,"",MIN(BS648:BU648)))</f>
        <v/>
      </c>
      <c r="BW648" s="40" t="str">
        <f aca="false">IF(AQ648&lt;&gt;1,"",IF(AND(AG648="",AH648=""),"",N(AG648)-N(AH648)))</f>
        <v/>
      </c>
      <c r="BX648" s="35" t="str">
        <f aca="true">IF(OR(AQ648&lt;&gt;1,AI648&lt;&gt;"Oui",AJ648=""),"",IF(AK648="",IF(NOW()&gt;AJ648+1,0,""),IF(AK648&lt;=AJ648,1,0)))</f>
        <v/>
      </c>
    </row>
    <row r="649" customFormat="false" ht="15" hidden="false" customHeight="false" outlineLevel="0" collapsed="false">
      <c r="B649" s="29"/>
      <c r="C649" s="29"/>
      <c r="D649" s="29"/>
      <c r="E649" s="29"/>
      <c r="F649" s="29"/>
      <c r="G649" s="29"/>
      <c r="H649" s="29"/>
      <c r="I649" s="29"/>
      <c r="J649" s="29"/>
      <c r="K649" s="29"/>
      <c r="L649" s="29"/>
      <c r="M649" s="29"/>
      <c r="N649" s="30"/>
      <c r="O649" s="30"/>
      <c r="P649" s="30"/>
      <c r="Q649" s="30"/>
      <c r="R649" s="30"/>
      <c r="S649" s="30"/>
      <c r="T649" s="30"/>
      <c r="U649" s="30"/>
      <c r="V649" s="31"/>
      <c r="W649" s="29"/>
      <c r="X649" s="29"/>
      <c r="Y649" s="29"/>
      <c r="Z649" s="29"/>
      <c r="AA649" s="30"/>
      <c r="AB649" s="30"/>
      <c r="AC649" s="30"/>
      <c r="AD649" s="30"/>
      <c r="AE649" s="30"/>
      <c r="AF649" s="32"/>
      <c r="AG649" s="33"/>
      <c r="AH649" s="33"/>
      <c r="AI649" s="29"/>
      <c r="AJ649" s="32"/>
      <c r="AK649" s="32"/>
      <c r="AL649" s="29"/>
      <c r="AN649" s="34" t="str">
        <f aca="false">IF($B649="","",IF(OR(C649="",D649="",E649="",G649="",I649="",J649="",L649="",O649="",P649=""),"Champ obligatoire manquant",IF(OR(AND(N649&lt;&gt;"",N649&gt;O649),O649&gt;P649,AND(Q649&lt;&gt;"",Q649&lt;P649),AND(R649&lt;&gt;"",R649&lt;P649),AND(S649&lt;&gt;"",S649&lt;R649),AND(S649&lt;&gt;"",R649=""),AND(T649&lt;&gt;"",T649&lt;O649),AND(U649&lt;&gt;"",U649&lt;O649)),"Chronologie incohérente",IF(AND(OR(L649="Résolu",L649="Clos"),R649=""),"Date de résolution manquante",IF(AND(L649="Clos",S649=""),"Date de clôture manquante",IF(AND(K649="Oui",AC649=""),"Classification DORA manquante","OK"))))))</f>
        <v/>
      </c>
      <c r="AO649" s="35" t="str">
        <f aca="false">IF($B649="","",IF(AND(C649="Incident",L649&lt;&gt;"Annulé"),1,0))</f>
        <v/>
      </c>
      <c r="AP649" s="35" t="str">
        <f aca="false">IF($B649="","",IF(AND(C649="Quasi-incident",L649&lt;&gt;"Annulé"),1,0))</f>
        <v/>
      </c>
      <c r="AQ649" s="35" t="str">
        <f aca="false">IF($B649="","",AO649+AP649)</f>
        <v/>
      </c>
      <c r="AR649" s="36" t="str">
        <f aca="false">IF(OR($B649="",J649=""),"",IFERROR(VALUE(LEFT(J649,1)),""))</f>
        <v/>
      </c>
      <c r="AS649" s="35" t="str">
        <f aca="false">IF(OR(AO649&lt;&gt;1,G649=""),"",IFERROR(IF(INDEX(L_SrcInterne,MATCH(G649,L_Sources,0))="Oui",1,0),""))</f>
        <v/>
      </c>
      <c r="AT649" s="37" t="str">
        <f aca="false">IF(AO649&lt;&gt;1,"",IFERROR(ROUND(IF(OR(N649="",O649=""),"",IF(O649&lt;N649,"",ROUND(((NETWORKDAYS(N649,O649,JoursFeries)-1)*(HFer-HOuv)+IF(NETWORKDAYS(O649,O649,JoursFeries),MEDIAN(MOD(O649,1),HFer,HOuv),HFer)-IF(NETWORKDAYS(N649,N649,JoursFeries),MEDIAN(MOD(N649,1),HFer,HOuv),HOuv))*24,4)))/HJour,4),""))</f>
        <v/>
      </c>
      <c r="AU649" s="37" t="str">
        <f aca="false">IF(AO649&lt;&gt;1,"",IF(OR(O649="",P649=""),"",IF(P649&lt;O649,"",ROUND(((NETWORKDAYS(O649,P649,JoursFeries)-1)*(HFer-HOuv)+IF(NETWORKDAYS(P649,P649,JoursFeries),MEDIAN(MOD(P649,1),HFer,HOuv),HFer)-IF(NETWORKDAYS(O649,O649,JoursFeries),MEDIAN(MOD(O649,1),HFer,HOuv),HOuv))*24,4))))</f>
        <v/>
      </c>
      <c r="AV649" s="37" t="str">
        <f aca="false">IF(AO649&lt;&gt;1,"",IF(OR(P649="",Q649=""),"",IF(Q649&lt;P649,"",ROUND(((NETWORKDAYS(P649,Q649,JoursFeries)-1)*(HFer-HOuv)+IF(NETWORKDAYS(Q649,Q649,JoursFeries),MEDIAN(MOD(Q649,1),HFer,HOuv),HFer)-IF(NETWORKDAYS(P649,P649,JoursFeries),MEDIAN(MOD(P649,1),HFer,HOuv),HOuv))*24,4))))</f>
        <v/>
      </c>
      <c r="AW649" s="37" t="str">
        <f aca="false">IF(AO649&lt;&gt;1,"",IFERROR(ROUND(IF(OR(P649="",R649=""),"",IF(R649&lt;P649,"",ROUND(((NETWORKDAYS(P649,R649,JoursFeries)-1)*(HFer-HOuv)+IF(NETWORKDAYS(R649,R649,JoursFeries),MEDIAN(MOD(R649,1),HFer,HOuv),HFer)-IF(NETWORKDAYS(P649,P649,JoursFeries),MEDIAN(MOD(P649,1),HFer,HOuv),HOuv))*24,4)))/HJour,4),""))</f>
        <v/>
      </c>
      <c r="AX649" s="37" t="str">
        <f aca="false">IF(AO649&lt;&gt;1,"",IFERROR(ROUND(IF(OR(P649="",S649=""),"",IF(S649&lt;P649,"",ROUND(((NETWORKDAYS(P649,S649,JoursFeries)-1)*(HFer-HOuv)+IF(NETWORKDAYS(S649,S649,JoursFeries),MEDIAN(MOD(S649,1),HFer,HOuv),HFer)-IF(NETWORKDAYS(P649,P649,JoursFeries),MEDIAN(MOD(P649,1),HFer,HOuv),HOuv))*24,4)))/HJour,4),""))</f>
        <v/>
      </c>
      <c r="AY649" s="36" t="str">
        <f aca="false">IF(OR(AO649&lt;&gt;1,AR649=""),"",INDEX(SLA_PEC,AR649))</f>
        <v/>
      </c>
      <c r="AZ649" s="35" t="str">
        <f aca="false">IF(OR(AV649="",AY649=""),"",IF(AV649&lt;=AY649,1,0))</f>
        <v/>
      </c>
      <c r="BA649" s="36" t="str">
        <f aca="false">IF(OR(AO649&lt;&gt;1,AR649=""),"",INDEX(SLA_RES,AR649))</f>
        <v/>
      </c>
      <c r="BB649" s="35" t="str">
        <f aca="false">IF(OR(AW649="",BA649=""),"",IF(AW649&lt;=BA649,1,0))</f>
        <v/>
      </c>
      <c r="BC649" s="38" t="str">
        <f aca="false">IF(OR(BA649="",P649=""),"",WORKDAY(INT(P649),BA649,JoursFeries)+MOD(P649,1))</f>
        <v/>
      </c>
      <c r="BD649" s="39" t="str">
        <f aca="false">IF(AO649&lt;&gt;1,"",IF(OR(AB649&lt;&gt;"",AD649&lt;&gt;""),4,IF(U649&lt;&gt;"",3,IF(T649&lt;&gt;"",2,1))))</f>
        <v/>
      </c>
      <c r="BE649" s="39" t="str">
        <f aca="false">IF(OR(AO649&lt;&gt;1,AR649=""),"",INDEX(NIV_REQ,AR649))</f>
        <v/>
      </c>
      <c r="BF649" s="39" t="str">
        <f aca="false">IF(BE649="","",MAX(BE649,IF(OR(K649="Oui",Z649="Oui"),4,1)))</f>
        <v/>
      </c>
      <c r="BG649" s="35" t="str">
        <f aca="false">IF(OR(BF649="",BD649=""),"",IF(BD649&gt;=BF649,1,0))</f>
        <v/>
      </c>
      <c r="BH649" s="38" t="str">
        <f aca="false">IF(BE649="","",IF(BE649&lt;2,"",IF(BE649=2,IF(AND(T649="",U649=""),"",MIN(T649,U649)),IF(U649="","",U649))))</f>
        <v/>
      </c>
      <c r="BI649" s="37" t="str">
        <f aca="false">IF(BH649="","",IF(OR(O649="",BH649=""),"",IF(BH649&lt;O649,"",ROUND(((NETWORKDAYS(O649,BH649,JoursFeries)-1)*(HFer-HOuv)+IF(NETWORKDAYS(BH649,BH649,JoursFeries),MEDIAN(MOD(BH649,1),HFer,HOuv),HFer)-IF(NETWORKDAYS(O649,O649,JoursFeries),MEDIAN(MOD(O649,1),HFer,HOuv),HOuv))*24,4))))</f>
        <v/>
      </c>
      <c r="BJ649" s="35" t="str">
        <f aca="false">IF(OR(BI649="",AR649=""),"",IF(BI649&lt;=INDEX(DELAI_ESC,AR649),1,0))</f>
        <v/>
      </c>
      <c r="BK649" s="38" t="str">
        <f aca="false">IF(AO649&lt;&gt;1,"",IF(AND(T649="",U649=""),"",MIN(T649,U649)))</f>
        <v/>
      </c>
      <c r="BL649" s="37" t="str">
        <f aca="false">IF(OR(BK649="",R649=""),"",IFERROR(ROUND(IF(OR(BK649="",R649=""),"",IF(R649&lt;BK649,"",ROUND(((NETWORKDAYS(BK649,R649,JoursFeries)-1)*(HFer-HOuv)+IF(NETWORKDAYS(R649,R649,JoursFeries),MEDIAN(MOD(R649,1),HFer,HOuv),HFer)-IF(NETWORKDAYS(BK649,BK649,JoursFeries),MEDIAN(MOD(BK649,1),HFer,HOuv),HOuv))*24,4)))/HJour,4),""))</f>
        <v/>
      </c>
      <c r="BM649" s="35" t="str">
        <f aca="false">IF(OR(AO649&lt;&gt;1,R649=""),"",IF(BD649=1,1,0))</f>
        <v/>
      </c>
      <c r="BN649" s="35" t="str">
        <f aca="false">IF(AO649&lt;&gt;1,"",IF(W649="Oui",1,0))</f>
        <v/>
      </c>
      <c r="BO649" s="35" t="str">
        <f aca="false">IF(AO649&lt;&gt;1,"",IF(X649&lt;&gt;"",1,0))</f>
        <v/>
      </c>
      <c r="BP649" s="35" t="str">
        <f aca="false">IF(AO649&lt;&gt;1,"",IF(Y649="Oui",1,0))</f>
        <v/>
      </c>
      <c r="BQ649" s="35" t="str">
        <f aca="true">IF(OR(AO649&lt;&gt;1,Z649&lt;&gt;"Oui"),"",IF(AB649="",IF(AND(AA649&lt;&gt;"",NOW()&gt;AA649),0,""),IF(AA649="","",IF(AB649&lt;=AA649,1,0))))</f>
        <v/>
      </c>
      <c r="BR649" s="38" t="str">
        <f aca="false">IF(OR(AO649&lt;&gt;1,K649&lt;&gt;"Oui",O649=""),"",IF(AC649="",O649+DORA_H_DET/24,IF(AC649-O649&lt;=DORA_H_DET/24,MIN(AC649+DORA_H_CLA/24,O649+DORA_H_DET/24),AC649+DORA_H_CLA/24)))</f>
        <v/>
      </c>
      <c r="BS649" s="35" t="str">
        <f aca="true">IF(BR649="","",IF(AD649="",IF(NOW()&gt;BR649,0,""),IF(AD649&lt;=BR649,1,0)))</f>
        <v/>
      </c>
      <c r="BT649" s="35" t="str">
        <f aca="true">IF(OR(BR649="",AD649=""),"",IF(AE649="",IF(NOW()&gt;AD649+DORA_H_INT/24,0,""),IF(AE649&lt;=AD649+DORA_H_INT/24,1,0)))</f>
        <v/>
      </c>
      <c r="BU649" s="35" t="str">
        <f aca="true">IF(OR(BR649="",AE649=""),"",IF(AF649="",IF(NOW()&gt;EDATE(AE649,DORA_M_FIN)+1,0,""),IF(AF649&lt;=EDATE(AE649,DORA_M_FIN),1,0)))</f>
        <v/>
      </c>
      <c r="BV649" s="35" t="str">
        <f aca="false">IF(BR649="","",IF(COUNT(BS649:BU649)=0,"",MIN(BS649:BU649)))</f>
        <v/>
      </c>
      <c r="BW649" s="40" t="str">
        <f aca="false">IF(AQ649&lt;&gt;1,"",IF(AND(AG649="",AH649=""),"",N(AG649)-N(AH649)))</f>
        <v/>
      </c>
      <c r="BX649" s="35" t="str">
        <f aca="true">IF(OR(AQ649&lt;&gt;1,AI649&lt;&gt;"Oui",AJ649=""),"",IF(AK649="",IF(NOW()&gt;AJ649+1,0,""),IF(AK649&lt;=AJ649,1,0)))</f>
        <v/>
      </c>
    </row>
    <row r="650" customFormat="false" ht="15" hidden="false" customHeight="false" outlineLevel="0" collapsed="false">
      <c r="B650" s="29"/>
      <c r="C650" s="29"/>
      <c r="D650" s="29"/>
      <c r="E650" s="29"/>
      <c r="F650" s="29"/>
      <c r="G650" s="29"/>
      <c r="H650" s="29"/>
      <c r="I650" s="29"/>
      <c r="J650" s="29"/>
      <c r="K650" s="29"/>
      <c r="L650" s="29"/>
      <c r="M650" s="29"/>
      <c r="N650" s="30"/>
      <c r="O650" s="30"/>
      <c r="P650" s="30"/>
      <c r="Q650" s="30"/>
      <c r="R650" s="30"/>
      <c r="S650" s="30"/>
      <c r="T650" s="30"/>
      <c r="U650" s="30"/>
      <c r="V650" s="31"/>
      <c r="W650" s="29"/>
      <c r="X650" s="29"/>
      <c r="Y650" s="29"/>
      <c r="Z650" s="29"/>
      <c r="AA650" s="30"/>
      <c r="AB650" s="30"/>
      <c r="AC650" s="30"/>
      <c r="AD650" s="30"/>
      <c r="AE650" s="30"/>
      <c r="AF650" s="32"/>
      <c r="AG650" s="33"/>
      <c r="AH650" s="33"/>
      <c r="AI650" s="29"/>
      <c r="AJ650" s="32"/>
      <c r="AK650" s="32"/>
      <c r="AL650" s="29"/>
      <c r="AN650" s="34" t="str">
        <f aca="false">IF($B650="","",IF(OR(C650="",D650="",E650="",G650="",I650="",J650="",L650="",O650="",P650=""),"Champ obligatoire manquant",IF(OR(AND(N650&lt;&gt;"",N650&gt;O650),O650&gt;P650,AND(Q650&lt;&gt;"",Q650&lt;P650),AND(R650&lt;&gt;"",R650&lt;P650),AND(S650&lt;&gt;"",S650&lt;R650),AND(S650&lt;&gt;"",R650=""),AND(T650&lt;&gt;"",T650&lt;O650),AND(U650&lt;&gt;"",U650&lt;O650)),"Chronologie incohérente",IF(AND(OR(L650="Résolu",L650="Clos"),R650=""),"Date de résolution manquante",IF(AND(L650="Clos",S650=""),"Date de clôture manquante",IF(AND(K650="Oui",AC650=""),"Classification DORA manquante","OK"))))))</f>
        <v/>
      </c>
      <c r="AO650" s="35" t="str">
        <f aca="false">IF($B650="","",IF(AND(C650="Incident",L650&lt;&gt;"Annulé"),1,0))</f>
        <v/>
      </c>
      <c r="AP650" s="35" t="str">
        <f aca="false">IF($B650="","",IF(AND(C650="Quasi-incident",L650&lt;&gt;"Annulé"),1,0))</f>
        <v/>
      </c>
      <c r="AQ650" s="35" t="str">
        <f aca="false">IF($B650="","",AO650+AP650)</f>
        <v/>
      </c>
      <c r="AR650" s="36" t="str">
        <f aca="false">IF(OR($B650="",J650=""),"",IFERROR(VALUE(LEFT(J650,1)),""))</f>
        <v/>
      </c>
      <c r="AS650" s="35" t="str">
        <f aca="false">IF(OR(AO650&lt;&gt;1,G650=""),"",IFERROR(IF(INDEX(L_SrcInterne,MATCH(G650,L_Sources,0))="Oui",1,0),""))</f>
        <v/>
      </c>
      <c r="AT650" s="37" t="str">
        <f aca="false">IF(AO650&lt;&gt;1,"",IFERROR(ROUND(IF(OR(N650="",O650=""),"",IF(O650&lt;N650,"",ROUND(((NETWORKDAYS(N650,O650,JoursFeries)-1)*(HFer-HOuv)+IF(NETWORKDAYS(O650,O650,JoursFeries),MEDIAN(MOD(O650,1),HFer,HOuv),HFer)-IF(NETWORKDAYS(N650,N650,JoursFeries),MEDIAN(MOD(N650,1),HFer,HOuv),HOuv))*24,4)))/HJour,4),""))</f>
        <v/>
      </c>
      <c r="AU650" s="37" t="str">
        <f aca="false">IF(AO650&lt;&gt;1,"",IF(OR(O650="",P650=""),"",IF(P650&lt;O650,"",ROUND(((NETWORKDAYS(O650,P650,JoursFeries)-1)*(HFer-HOuv)+IF(NETWORKDAYS(P650,P650,JoursFeries),MEDIAN(MOD(P650,1),HFer,HOuv),HFer)-IF(NETWORKDAYS(O650,O650,JoursFeries),MEDIAN(MOD(O650,1),HFer,HOuv),HOuv))*24,4))))</f>
        <v/>
      </c>
      <c r="AV650" s="37" t="str">
        <f aca="false">IF(AO650&lt;&gt;1,"",IF(OR(P650="",Q650=""),"",IF(Q650&lt;P650,"",ROUND(((NETWORKDAYS(P650,Q650,JoursFeries)-1)*(HFer-HOuv)+IF(NETWORKDAYS(Q650,Q650,JoursFeries),MEDIAN(MOD(Q650,1),HFer,HOuv),HFer)-IF(NETWORKDAYS(P650,P650,JoursFeries),MEDIAN(MOD(P650,1),HFer,HOuv),HOuv))*24,4))))</f>
        <v/>
      </c>
      <c r="AW650" s="37" t="str">
        <f aca="false">IF(AO650&lt;&gt;1,"",IFERROR(ROUND(IF(OR(P650="",R650=""),"",IF(R650&lt;P650,"",ROUND(((NETWORKDAYS(P650,R650,JoursFeries)-1)*(HFer-HOuv)+IF(NETWORKDAYS(R650,R650,JoursFeries),MEDIAN(MOD(R650,1),HFer,HOuv),HFer)-IF(NETWORKDAYS(P650,P650,JoursFeries),MEDIAN(MOD(P650,1),HFer,HOuv),HOuv))*24,4)))/HJour,4),""))</f>
        <v/>
      </c>
      <c r="AX650" s="37" t="str">
        <f aca="false">IF(AO650&lt;&gt;1,"",IFERROR(ROUND(IF(OR(P650="",S650=""),"",IF(S650&lt;P650,"",ROUND(((NETWORKDAYS(P650,S650,JoursFeries)-1)*(HFer-HOuv)+IF(NETWORKDAYS(S650,S650,JoursFeries),MEDIAN(MOD(S650,1),HFer,HOuv),HFer)-IF(NETWORKDAYS(P650,P650,JoursFeries),MEDIAN(MOD(P650,1),HFer,HOuv),HOuv))*24,4)))/HJour,4),""))</f>
        <v/>
      </c>
      <c r="AY650" s="36" t="str">
        <f aca="false">IF(OR(AO650&lt;&gt;1,AR650=""),"",INDEX(SLA_PEC,AR650))</f>
        <v/>
      </c>
      <c r="AZ650" s="35" t="str">
        <f aca="false">IF(OR(AV650="",AY650=""),"",IF(AV650&lt;=AY650,1,0))</f>
        <v/>
      </c>
      <c r="BA650" s="36" t="str">
        <f aca="false">IF(OR(AO650&lt;&gt;1,AR650=""),"",INDEX(SLA_RES,AR650))</f>
        <v/>
      </c>
      <c r="BB650" s="35" t="str">
        <f aca="false">IF(OR(AW650="",BA650=""),"",IF(AW650&lt;=BA650,1,0))</f>
        <v/>
      </c>
      <c r="BC650" s="38" t="str">
        <f aca="false">IF(OR(BA650="",P650=""),"",WORKDAY(INT(P650),BA650,JoursFeries)+MOD(P650,1))</f>
        <v/>
      </c>
      <c r="BD650" s="39" t="str">
        <f aca="false">IF(AO650&lt;&gt;1,"",IF(OR(AB650&lt;&gt;"",AD650&lt;&gt;""),4,IF(U650&lt;&gt;"",3,IF(T650&lt;&gt;"",2,1))))</f>
        <v/>
      </c>
      <c r="BE650" s="39" t="str">
        <f aca="false">IF(OR(AO650&lt;&gt;1,AR650=""),"",INDEX(NIV_REQ,AR650))</f>
        <v/>
      </c>
      <c r="BF650" s="39" t="str">
        <f aca="false">IF(BE650="","",MAX(BE650,IF(OR(K650="Oui",Z650="Oui"),4,1)))</f>
        <v/>
      </c>
      <c r="BG650" s="35" t="str">
        <f aca="false">IF(OR(BF650="",BD650=""),"",IF(BD650&gt;=BF650,1,0))</f>
        <v/>
      </c>
      <c r="BH650" s="38" t="str">
        <f aca="false">IF(BE650="","",IF(BE650&lt;2,"",IF(BE650=2,IF(AND(T650="",U650=""),"",MIN(T650,U650)),IF(U650="","",U650))))</f>
        <v/>
      </c>
      <c r="BI650" s="37" t="str">
        <f aca="false">IF(BH650="","",IF(OR(O650="",BH650=""),"",IF(BH650&lt;O650,"",ROUND(((NETWORKDAYS(O650,BH650,JoursFeries)-1)*(HFer-HOuv)+IF(NETWORKDAYS(BH650,BH650,JoursFeries),MEDIAN(MOD(BH650,1),HFer,HOuv),HFer)-IF(NETWORKDAYS(O650,O650,JoursFeries),MEDIAN(MOD(O650,1),HFer,HOuv),HOuv))*24,4))))</f>
        <v/>
      </c>
      <c r="BJ650" s="35" t="str">
        <f aca="false">IF(OR(BI650="",AR650=""),"",IF(BI650&lt;=INDEX(DELAI_ESC,AR650),1,0))</f>
        <v/>
      </c>
      <c r="BK650" s="38" t="str">
        <f aca="false">IF(AO650&lt;&gt;1,"",IF(AND(T650="",U650=""),"",MIN(T650,U650)))</f>
        <v/>
      </c>
      <c r="BL650" s="37" t="str">
        <f aca="false">IF(OR(BK650="",R650=""),"",IFERROR(ROUND(IF(OR(BK650="",R650=""),"",IF(R650&lt;BK650,"",ROUND(((NETWORKDAYS(BK650,R650,JoursFeries)-1)*(HFer-HOuv)+IF(NETWORKDAYS(R650,R650,JoursFeries),MEDIAN(MOD(R650,1),HFer,HOuv),HFer)-IF(NETWORKDAYS(BK650,BK650,JoursFeries),MEDIAN(MOD(BK650,1),HFer,HOuv),HOuv))*24,4)))/HJour,4),""))</f>
        <v/>
      </c>
      <c r="BM650" s="35" t="str">
        <f aca="false">IF(OR(AO650&lt;&gt;1,R650=""),"",IF(BD650=1,1,0))</f>
        <v/>
      </c>
      <c r="BN650" s="35" t="str">
        <f aca="false">IF(AO650&lt;&gt;1,"",IF(W650="Oui",1,0))</f>
        <v/>
      </c>
      <c r="BO650" s="35" t="str">
        <f aca="false">IF(AO650&lt;&gt;1,"",IF(X650&lt;&gt;"",1,0))</f>
        <v/>
      </c>
      <c r="BP650" s="35" t="str">
        <f aca="false">IF(AO650&lt;&gt;1,"",IF(Y650="Oui",1,0))</f>
        <v/>
      </c>
      <c r="BQ650" s="35" t="str">
        <f aca="true">IF(OR(AO650&lt;&gt;1,Z650&lt;&gt;"Oui"),"",IF(AB650="",IF(AND(AA650&lt;&gt;"",NOW()&gt;AA650),0,""),IF(AA650="","",IF(AB650&lt;=AA650,1,0))))</f>
        <v/>
      </c>
      <c r="BR650" s="38" t="str">
        <f aca="false">IF(OR(AO650&lt;&gt;1,K650&lt;&gt;"Oui",O650=""),"",IF(AC650="",O650+DORA_H_DET/24,IF(AC650-O650&lt;=DORA_H_DET/24,MIN(AC650+DORA_H_CLA/24,O650+DORA_H_DET/24),AC650+DORA_H_CLA/24)))</f>
        <v/>
      </c>
      <c r="BS650" s="35" t="str">
        <f aca="true">IF(BR650="","",IF(AD650="",IF(NOW()&gt;BR650,0,""),IF(AD650&lt;=BR650,1,0)))</f>
        <v/>
      </c>
      <c r="BT650" s="35" t="str">
        <f aca="true">IF(OR(BR650="",AD650=""),"",IF(AE650="",IF(NOW()&gt;AD650+DORA_H_INT/24,0,""),IF(AE650&lt;=AD650+DORA_H_INT/24,1,0)))</f>
        <v/>
      </c>
      <c r="BU650" s="35" t="str">
        <f aca="true">IF(OR(BR650="",AE650=""),"",IF(AF650="",IF(NOW()&gt;EDATE(AE650,DORA_M_FIN)+1,0,""),IF(AF650&lt;=EDATE(AE650,DORA_M_FIN),1,0)))</f>
        <v/>
      </c>
      <c r="BV650" s="35" t="str">
        <f aca="false">IF(BR650="","",IF(COUNT(BS650:BU650)=0,"",MIN(BS650:BU650)))</f>
        <v/>
      </c>
      <c r="BW650" s="40" t="str">
        <f aca="false">IF(AQ650&lt;&gt;1,"",IF(AND(AG650="",AH650=""),"",N(AG650)-N(AH650)))</f>
        <v/>
      </c>
      <c r="BX650" s="35" t="str">
        <f aca="true">IF(OR(AQ650&lt;&gt;1,AI650&lt;&gt;"Oui",AJ650=""),"",IF(AK650="",IF(NOW()&gt;AJ650+1,0,""),IF(AK650&lt;=AJ650,1,0)))</f>
        <v/>
      </c>
    </row>
    <row r="651" customFormat="false" ht="15" hidden="false" customHeight="false" outlineLevel="0" collapsed="false">
      <c r="B651" s="29"/>
      <c r="C651" s="29"/>
      <c r="D651" s="29"/>
      <c r="E651" s="29"/>
      <c r="F651" s="29"/>
      <c r="G651" s="29"/>
      <c r="H651" s="29"/>
      <c r="I651" s="29"/>
      <c r="J651" s="29"/>
      <c r="K651" s="29"/>
      <c r="L651" s="29"/>
      <c r="M651" s="29"/>
      <c r="N651" s="30"/>
      <c r="O651" s="30"/>
      <c r="P651" s="30"/>
      <c r="Q651" s="30"/>
      <c r="R651" s="30"/>
      <c r="S651" s="30"/>
      <c r="T651" s="30"/>
      <c r="U651" s="30"/>
      <c r="V651" s="31"/>
      <c r="W651" s="29"/>
      <c r="X651" s="29"/>
      <c r="Y651" s="29"/>
      <c r="Z651" s="29"/>
      <c r="AA651" s="30"/>
      <c r="AB651" s="30"/>
      <c r="AC651" s="30"/>
      <c r="AD651" s="30"/>
      <c r="AE651" s="30"/>
      <c r="AF651" s="32"/>
      <c r="AG651" s="33"/>
      <c r="AH651" s="33"/>
      <c r="AI651" s="29"/>
      <c r="AJ651" s="32"/>
      <c r="AK651" s="32"/>
      <c r="AL651" s="29"/>
      <c r="AN651" s="34" t="str">
        <f aca="false">IF($B651="","",IF(OR(C651="",D651="",E651="",G651="",I651="",J651="",L651="",O651="",P651=""),"Champ obligatoire manquant",IF(OR(AND(N651&lt;&gt;"",N651&gt;O651),O651&gt;P651,AND(Q651&lt;&gt;"",Q651&lt;P651),AND(R651&lt;&gt;"",R651&lt;P651),AND(S651&lt;&gt;"",S651&lt;R651),AND(S651&lt;&gt;"",R651=""),AND(T651&lt;&gt;"",T651&lt;O651),AND(U651&lt;&gt;"",U651&lt;O651)),"Chronologie incohérente",IF(AND(OR(L651="Résolu",L651="Clos"),R651=""),"Date de résolution manquante",IF(AND(L651="Clos",S651=""),"Date de clôture manquante",IF(AND(K651="Oui",AC651=""),"Classification DORA manquante","OK"))))))</f>
        <v/>
      </c>
      <c r="AO651" s="35" t="str">
        <f aca="false">IF($B651="","",IF(AND(C651="Incident",L651&lt;&gt;"Annulé"),1,0))</f>
        <v/>
      </c>
      <c r="AP651" s="35" t="str">
        <f aca="false">IF($B651="","",IF(AND(C651="Quasi-incident",L651&lt;&gt;"Annulé"),1,0))</f>
        <v/>
      </c>
      <c r="AQ651" s="35" t="str">
        <f aca="false">IF($B651="","",AO651+AP651)</f>
        <v/>
      </c>
      <c r="AR651" s="36" t="str">
        <f aca="false">IF(OR($B651="",J651=""),"",IFERROR(VALUE(LEFT(J651,1)),""))</f>
        <v/>
      </c>
      <c r="AS651" s="35" t="str">
        <f aca="false">IF(OR(AO651&lt;&gt;1,G651=""),"",IFERROR(IF(INDEX(L_SrcInterne,MATCH(G651,L_Sources,0))="Oui",1,0),""))</f>
        <v/>
      </c>
      <c r="AT651" s="37" t="str">
        <f aca="false">IF(AO651&lt;&gt;1,"",IFERROR(ROUND(IF(OR(N651="",O651=""),"",IF(O651&lt;N651,"",ROUND(((NETWORKDAYS(N651,O651,JoursFeries)-1)*(HFer-HOuv)+IF(NETWORKDAYS(O651,O651,JoursFeries),MEDIAN(MOD(O651,1),HFer,HOuv),HFer)-IF(NETWORKDAYS(N651,N651,JoursFeries),MEDIAN(MOD(N651,1),HFer,HOuv),HOuv))*24,4)))/HJour,4),""))</f>
        <v/>
      </c>
      <c r="AU651" s="37" t="str">
        <f aca="false">IF(AO651&lt;&gt;1,"",IF(OR(O651="",P651=""),"",IF(P651&lt;O651,"",ROUND(((NETWORKDAYS(O651,P651,JoursFeries)-1)*(HFer-HOuv)+IF(NETWORKDAYS(P651,P651,JoursFeries),MEDIAN(MOD(P651,1),HFer,HOuv),HFer)-IF(NETWORKDAYS(O651,O651,JoursFeries),MEDIAN(MOD(O651,1),HFer,HOuv),HOuv))*24,4))))</f>
        <v/>
      </c>
      <c r="AV651" s="37" t="str">
        <f aca="false">IF(AO651&lt;&gt;1,"",IF(OR(P651="",Q651=""),"",IF(Q651&lt;P651,"",ROUND(((NETWORKDAYS(P651,Q651,JoursFeries)-1)*(HFer-HOuv)+IF(NETWORKDAYS(Q651,Q651,JoursFeries),MEDIAN(MOD(Q651,1),HFer,HOuv),HFer)-IF(NETWORKDAYS(P651,P651,JoursFeries),MEDIAN(MOD(P651,1),HFer,HOuv),HOuv))*24,4))))</f>
        <v/>
      </c>
      <c r="AW651" s="37" t="str">
        <f aca="false">IF(AO651&lt;&gt;1,"",IFERROR(ROUND(IF(OR(P651="",R651=""),"",IF(R651&lt;P651,"",ROUND(((NETWORKDAYS(P651,R651,JoursFeries)-1)*(HFer-HOuv)+IF(NETWORKDAYS(R651,R651,JoursFeries),MEDIAN(MOD(R651,1),HFer,HOuv),HFer)-IF(NETWORKDAYS(P651,P651,JoursFeries),MEDIAN(MOD(P651,1),HFer,HOuv),HOuv))*24,4)))/HJour,4),""))</f>
        <v/>
      </c>
      <c r="AX651" s="37" t="str">
        <f aca="false">IF(AO651&lt;&gt;1,"",IFERROR(ROUND(IF(OR(P651="",S651=""),"",IF(S651&lt;P651,"",ROUND(((NETWORKDAYS(P651,S651,JoursFeries)-1)*(HFer-HOuv)+IF(NETWORKDAYS(S651,S651,JoursFeries),MEDIAN(MOD(S651,1),HFer,HOuv),HFer)-IF(NETWORKDAYS(P651,P651,JoursFeries),MEDIAN(MOD(P651,1),HFer,HOuv),HOuv))*24,4)))/HJour,4),""))</f>
        <v/>
      </c>
      <c r="AY651" s="36" t="str">
        <f aca="false">IF(OR(AO651&lt;&gt;1,AR651=""),"",INDEX(SLA_PEC,AR651))</f>
        <v/>
      </c>
      <c r="AZ651" s="35" t="str">
        <f aca="false">IF(OR(AV651="",AY651=""),"",IF(AV651&lt;=AY651,1,0))</f>
        <v/>
      </c>
      <c r="BA651" s="36" t="str">
        <f aca="false">IF(OR(AO651&lt;&gt;1,AR651=""),"",INDEX(SLA_RES,AR651))</f>
        <v/>
      </c>
      <c r="BB651" s="35" t="str">
        <f aca="false">IF(OR(AW651="",BA651=""),"",IF(AW651&lt;=BA651,1,0))</f>
        <v/>
      </c>
      <c r="BC651" s="38" t="str">
        <f aca="false">IF(OR(BA651="",P651=""),"",WORKDAY(INT(P651),BA651,JoursFeries)+MOD(P651,1))</f>
        <v/>
      </c>
      <c r="BD651" s="39" t="str">
        <f aca="false">IF(AO651&lt;&gt;1,"",IF(OR(AB651&lt;&gt;"",AD651&lt;&gt;""),4,IF(U651&lt;&gt;"",3,IF(T651&lt;&gt;"",2,1))))</f>
        <v/>
      </c>
      <c r="BE651" s="39" t="str">
        <f aca="false">IF(OR(AO651&lt;&gt;1,AR651=""),"",INDEX(NIV_REQ,AR651))</f>
        <v/>
      </c>
      <c r="BF651" s="39" t="str">
        <f aca="false">IF(BE651="","",MAX(BE651,IF(OR(K651="Oui",Z651="Oui"),4,1)))</f>
        <v/>
      </c>
      <c r="BG651" s="35" t="str">
        <f aca="false">IF(OR(BF651="",BD651=""),"",IF(BD651&gt;=BF651,1,0))</f>
        <v/>
      </c>
      <c r="BH651" s="38" t="str">
        <f aca="false">IF(BE651="","",IF(BE651&lt;2,"",IF(BE651=2,IF(AND(T651="",U651=""),"",MIN(T651,U651)),IF(U651="","",U651))))</f>
        <v/>
      </c>
      <c r="BI651" s="37" t="str">
        <f aca="false">IF(BH651="","",IF(OR(O651="",BH651=""),"",IF(BH651&lt;O651,"",ROUND(((NETWORKDAYS(O651,BH651,JoursFeries)-1)*(HFer-HOuv)+IF(NETWORKDAYS(BH651,BH651,JoursFeries),MEDIAN(MOD(BH651,1),HFer,HOuv),HFer)-IF(NETWORKDAYS(O651,O651,JoursFeries),MEDIAN(MOD(O651,1),HFer,HOuv),HOuv))*24,4))))</f>
        <v/>
      </c>
      <c r="BJ651" s="35" t="str">
        <f aca="false">IF(OR(BI651="",AR651=""),"",IF(BI651&lt;=INDEX(DELAI_ESC,AR651),1,0))</f>
        <v/>
      </c>
      <c r="BK651" s="38" t="str">
        <f aca="false">IF(AO651&lt;&gt;1,"",IF(AND(T651="",U651=""),"",MIN(T651,U651)))</f>
        <v/>
      </c>
      <c r="BL651" s="37" t="str">
        <f aca="false">IF(OR(BK651="",R651=""),"",IFERROR(ROUND(IF(OR(BK651="",R651=""),"",IF(R651&lt;BK651,"",ROUND(((NETWORKDAYS(BK651,R651,JoursFeries)-1)*(HFer-HOuv)+IF(NETWORKDAYS(R651,R651,JoursFeries),MEDIAN(MOD(R651,1),HFer,HOuv),HFer)-IF(NETWORKDAYS(BK651,BK651,JoursFeries),MEDIAN(MOD(BK651,1),HFer,HOuv),HOuv))*24,4)))/HJour,4),""))</f>
        <v/>
      </c>
      <c r="BM651" s="35" t="str">
        <f aca="false">IF(OR(AO651&lt;&gt;1,R651=""),"",IF(BD651=1,1,0))</f>
        <v/>
      </c>
      <c r="BN651" s="35" t="str">
        <f aca="false">IF(AO651&lt;&gt;1,"",IF(W651="Oui",1,0))</f>
        <v/>
      </c>
      <c r="BO651" s="35" t="str">
        <f aca="false">IF(AO651&lt;&gt;1,"",IF(X651&lt;&gt;"",1,0))</f>
        <v/>
      </c>
      <c r="BP651" s="35" t="str">
        <f aca="false">IF(AO651&lt;&gt;1,"",IF(Y651="Oui",1,0))</f>
        <v/>
      </c>
      <c r="BQ651" s="35" t="str">
        <f aca="true">IF(OR(AO651&lt;&gt;1,Z651&lt;&gt;"Oui"),"",IF(AB651="",IF(AND(AA651&lt;&gt;"",NOW()&gt;AA651),0,""),IF(AA651="","",IF(AB651&lt;=AA651,1,0))))</f>
        <v/>
      </c>
      <c r="BR651" s="38" t="str">
        <f aca="false">IF(OR(AO651&lt;&gt;1,K651&lt;&gt;"Oui",O651=""),"",IF(AC651="",O651+DORA_H_DET/24,IF(AC651-O651&lt;=DORA_H_DET/24,MIN(AC651+DORA_H_CLA/24,O651+DORA_H_DET/24),AC651+DORA_H_CLA/24)))</f>
        <v/>
      </c>
      <c r="BS651" s="35" t="str">
        <f aca="true">IF(BR651="","",IF(AD651="",IF(NOW()&gt;BR651,0,""),IF(AD651&lt;=BR651,1,0)))</f>
        <v/>
      </c>
      <c r="BT651" s="35" t="str">
        <f aca="true">IF(OR(BR651="",AD651=""),"",IF(AE651="",IF(NOW()&gt;AD651+DORA_H_INT/24,0,""),IF(AE651&lt;=AD651+DORA_H_INT/24,1,0)))</f>
        <v/>
      </c>
      <c r="BU651" s="35" t="str">
        <f aca="true">IF(OR(BR651="",AE651=""),"",IF(AF651="",IF(NOW()&gt;EDATE(AE651,DORA_M_FIN)+1,0,""),IF(AF651&lt;=EDATE(AE651,DORA_M_FIN),1,0)))</f>
        <v/>
      </c>
      <c r="BV651" s="35" t="str">
        <f aca="false">IF(BR651="","",IF(COUNT(BS651:BU651)=0,"",MIN(BS651:BU651)))</f>
        <v/>
      </c>
      <c r="BW651" s="40" t="str">
        <f aca="false">IF(AQ651&lt;&gt;1,"",IF(AND(AG651="",AH651=""),"",N(AG651)-N(AH651)))</f>
        <v/>
      </c>
      <c r="BX651" s="35" t="str">
        <f aca="true">IF(OR(AQ651&lt;&gt;1,AI651&lt;&gt;"Oui",AJ651=""),"",IF(AK651="",IF(NOW()&gt;AJ651+1,0,""),IF(AK651&lt;=AJ651,1,0)))</f>
        <v/>
      </c>
    </row>
    <row r="652" customFormat="false" ht="15" hidden="false" customHeight="false" outlineLevel="0" collapsed="false">
      <c r="B652" s="29"/>
      <c r="C652" s="29"/>
      <c r="D652" s="29"/>
      <c r="E652" s="29"/>
      <c r="F652" s="29"/>
      <c r="G652" s="29"/>
      <c r="H652" s="29"/>
      <c r="I652" s="29"/>
      <c r="J652" s="29"/>
      <c r="K652" s="29"/>
      <c r="L652" s="29"/>
      <c r="M652" s="29"/>
      <c r="N652" s="30"/>
      <c r="O652" s="30"/>
      <c r="P652" s="30"/>
      <c r="Q652" s="30"/>
      <c r="R652" s="30"/>
      <c r="S652" s="30"/>
      <c r="T652" s="30"/>
      <c r="U652" s="30"/>
      <c r="V652" s="31"/>
      <c r="W652" s="29"/>
      <c r="X652" s="29"/>
      <c r="Y652" s="29"/>
      <c r="Z652" s="29"/>
      <c r="AA652" s="30"/>
      <c r="AB652" s="30"/>
      <c r="AC652" s="30"/>
      <c r="AD652" s="30"/>
      <c r="AE652" s="30"/>
      <c r="AF652" s="32"/>
      <c r="AG652" s="33"/>
      <c r="AH652" s="33"/>
      <c r="AI652" s="29"/>
      <c r="AJ652" s="32"/>
      <c r="AK652" s="32"/>
      <c r="AL652" s="29"/>
      <c r="AN652" s="34" t="str">
        <f aca="false">IF($B652="","",IF(OR(C652="",D652="",E652="",G652="",I652="",J652="",L652="",O652="",P652=""),"Champ obligatoire manquant",IF(OR(AND(N652&lt;&gt;"",N652&gt;O652),O652&gt;P652,AND(Q652&lt;&gt;"",Q652&lt;P652),AND(R652&lt;&gt;"",R652&lt;P652),AND(S652&lt;&gt;"",S652&lt;R652),AND(S652&lt;&gt;"",R652=""),AND(T652&lt;&gt;"",T652&lt;O652),AND(U652&lt;&gt;"",U652&lt;O652)),"Chronologie incohérente",IF(AND(OR(L652="Résolu",L652="Clos"),R652=""),"Date de résolution manquante",IF(AND(L652="Clos",S652=""),"Date de clôture manquante",IF(AND(K652="Oui",AC652=""),"Classification DORA manquante","OK"))))))</f>
        <v/>
      </c>
      <c r="AO652" s="35" t="str">
        <f aca="false">IF($B652="","",IF(AND(C652="Incident",L652&lt;&gt;"Annulé"),1,0))</f>
        <v/>
      </c>
      <c r="AP652" s="35" t="str">
        <f aca="false">IF($B652="","",IF(AND(C652="Quasi-incident",L652&lt;&gt;"Annulé"),1,0))</f>
        <v/>
      </c>
      <c r="AQ652" s="35" t="str">
        <f aca="false">IF($B652="","",AO652+AP652)</f>
        <v/>
      </c>
      <c r="AR652" s="36" t="str">
        <f aca="false">IF(OR($B652="",J652=""),"",IFERROR(VALUE(LEFT(J652,1)),""))</f>
        <v/>
      </c>
      <c r="AS652" s="35" t="str">
        <f aca="false">IF(OR(AO652&lt;&gt;1,G652=""),"",IFERROR(IF(INDEX(L_SrcInterne,MATCH(G652,L_Sources,0))="Oui",1,0),""))</f>
        <v/>
      </c>
      <c r="AT652" s="37" t="str">
        <f aca="false">IF(AO652&lt;&gt;1,"",IFERROR(ROUND(IF(OR(N652="",O652=""),"",IF(O652&lt;N652,"",ROUND(((NETWORKDAYS(N652,O652,JoursFeries)-1)*(HFer-HOuv)+IF(NETWORKDAYS(O652,O652,JoursFeries),MEDIAN(MOD(O652,1),HFer,HOuv),HFer)-IF(NETWORKDAYS(N652,N652,JoursFeries),MEDIAN(MOD(N652,1),HFer,HOuv),HOuv))*24,4)))/HJour,4),""))</f>
        <v/>
      </c>
      <c r="AU652" s="37" t="str">
        <f aca="false">IF(AO652&lt;&gt;1,"",IF(OR(O652="",P652=""),"",IF(P652&lt;O652,"",ROUND(((NETWORKDAYS(O652,P652,JoursFeries)-1)*(HFer-HOuv)+IF(NETWORKDAYS(P652,P652,JoursFeries),MEDIAN(MOD(P652,1),HFer,HOuv),HFer)-IF(NETWORKDAYS(O652,O652,JoursFeries),MEDIAN(MOD(O652,1),HFer,HOuv),HOuv))*24,4))))</f>
        <v/>
      </c>
      <c r="AV652" s="37" t="str">
        <f aca="false">IF(AO652&lt;&gt;1,"",IF(OR(P652="",Q652=""),"",IF(Q652&lt;P652,"",ROUND(((NETWORKDAYS(P652,Q652,JoursFeries)-1)*(HFer-HOuv)+IF(NETWORKDAYS(Q652,Q652,JoursFeries),MEDIAN(MOD(Q652,1),HFer,HOuv),HFer)-IF(NETWORKDAYS(P652,P652,JoursFeries),MEDIAN(MOD(P652,1),HFer,HOuv),HOuv))*24,4))))</f>
        <v/>
      </c>
      <c r="AW652" s="37" t="str">
        <f aca="false">IF(AO652&lt;&gt;1,"",IFERROR(ROUND(IF(OR(P652="",R652=""),"",IF(R652&lt;P652,"",ROUND(((NETWORKDAYS(P652,R652,JoursFeries)-1)*(HFer-HOuv)+IF(NETWORKDAYS(R652,R652,JoursFeries),MEDIAN(MOD(R652,1),HFer,HOuv),HFer)-IF(NETWORKDAYS(P652,P652,JoursFeries),MEDIAN(MOD(P652,1),HFer,HOuv),HOuv))*24,4)))/HJour,4),""))</f>
        <v/>
      </c>
      <c r="AX652" s="37" t="str">
        <f aca="false">IF(AO652&lt;&gt;1,"",IFERROR(ROUND(IF(OR(P652="",S652=""),"",IF(S652&lt;P652,"",ROUND(((NETWORKDAYS(P652,S652,JoursFeries)-1)*(HFer-HOuv)+IF(NETWORKDAYS(S652,S652,JoursFeries),MEDIAN(MOD(S652,1),HFer,HOuv),HFer)-IF(NETWORKDAYS(P652,P652,JoursFeries),MEDIAN(MOD(P652,1),HFer,HOuv),HOuv))*24,4)))/HJour,4),""))</f>
        <v/>
      </c>
      <c r="AY652" s="36" t="str">
        <f aca="false">IF(OR(AO652&lt;&gt;1,AR652=""),"",INDEX(SLA_PEC,AR652))</f>
        <v/>
      </c>
      <c r="AZ652" s="35" t="str">
        <f aca="false">IF(OR(AV652="",AY652=""),"",IF(AV652&lt;=AY652,1,0))</f>
        <v/>
      </c>
      <c r="BA652" s="36" t="str">
        <f aca="false">IF(OR(AO652&lt;&gt;1,AR652=""),"",INDEX(SLA_RES,AR652))</f>
        <v/>
      </c>
      <c r="BB652" s="35" t="str">
        <f aca="false">IF(OR(AW652="",BA652=""),"",IF(AW652&lt;=BA652,1,0))</f>
        <v/>
      </c>
      <c r="BC652" s="38" t="str">
        <f aca="false">IF(OR(BA652="",P652=""),"",WORKDAY(INT(P652),BA652,JoursFeries)+MOD(P652,1))</f>
        <v/>
      </c>
      <c r="BD652" s="39" t="str">
        <f aca="false">IF(AO652&lt;&gt;1,"",IF(OR(AB652&lt;&gt;"",AD652&lt;&gt;""),4,IF(U652&lt;&gt;"",3,IF(T652&lt;&gt;"",2,1))))</f>
        <v/>
      </c>
      <c r="BE652" s="39" t="str">
        <f aca="false">IF(OR(AO652&lt;&gt;1,AR652=""),"",INDEX(NIV_REQ,AR652))</f>
        <v/>
      </c>
      <c r="BF652" s="39" t="str">
        <f aca="false">IF(BE652="","",MAX(BE652,IF(OR(K652="Oui",Z652="Oui"),4,1)))</f>
        <v/>
      </c>
      <c r="BG652" s="35" t="str">
        <f aca="false">IF(OR(BF652="",BD652=""),"",IF(BD652&gt;=BF652,1,0))</f>
        <v/>
      </c>
      <c r="BH652" s="38" t="str">
        <f aca="false">IF(BE652="","",IF(BE652&lt;2,"",IF(BE652=2,IF(AND(T652="",U652=""),"",MIN(T652,U652)),IF(U652="","",U652))))</f>
        <v/>
      </c>
      <c r="BI652" s="37" t="str">
        <f aca="false">IF(BH652="","",IF(OR(O652="",BH652=""),"",IF(BH652&lt;O652,"",ROUND(((NETWORKDAYS(O652,BH652,JoursFeries)-1)*(HFer-HOuv)+IF(NETWORKDAYS(BH652,BH652,JoursFeries),MEDIAN(MOD(BH652,1),HFer,HOuv),HFer)-IF(NETWORKDAYS(O652,O652,JoursFeries),MEDIAN(MOD(O652,1),HFer,HOuv),HOuv))*24,4))))</f>
        <v/>
      </c>
      <c r="BJ652" s="35" t="str">
        <f aca="false">IF(OR(BI652="",AR652=""),"",IF(BI652&lt;=INDEX(DELAI_ESC,AR652),1,0))</f>
        <v/>
      </c>
      <c r="BK652" s="38" t="str">
        <f aca="false">IF(AO652&lt;&gt;1,"",IF(AND(T652="",U652=""),"",MIN(T652,U652)))</f>
        <v/>
      </c>
      <c r="BL652" s="37" t="str">
        <f aca="false">IF(OR(BK652="",R652=""),"",IFERROR(ROUND(IF(OR(BK652="",R652=""),"",IF(R652&lt;BK652,"",ROUND(((NETWORKDAYS(BK652,R652,JoursFeries)-1)*(HFer-HOuv)+IF(NETWORKDAYS(R652,R652,JoursFeries),MEDIAN(MOD(R652,1),HFer,HOuv),HFer)-IF(NETWORKDAYS(BK652,BK652,JoursFeries),MEDIAN(MOD(BK652,1),HFer,HOuv),HOuv))*24,4)))/HJour,4),""))</f>
        <v/>
      </c>
      <c r="BM652" s="35" t="str">
        <f aca="false">IF(OR(AO652&lt;&gt;1,R652=""),"",IF(BD652=1,1,0))</f>
        <v/>
      </c>
      <c r="BN652" s="35" t="str">
        <f aca="false">IF(AO652&lt;&gt;1,"",IF(W652="Oui",1,0))</f>
        <v/>
      </c>
      <c r="BO652" s="35" t="str">
        <f aca="false">IF(AO652&lt;&gt;1,"",IF(X652&lt;&gt;"",1,0))</f>
        <v/>
      </c>
      <c r="BP652" s="35" t="str">
        <f aca="false">IF(AO652&lt;&gt;1,"",IF(Y652="Oui",1,0))</f>
        <v/>
      </c>
      <c r="BQ652" s="35" t="str">
        <f aca="true">IF(OR(AO652&lt;&gt;1,Z652&lt;&gt;"Oui"),"",IF(AB652="",IF(AND(AA652&lt;&gt;"",NOW()&gt;AA652),0,""),IF(AA652="","",IF(AB652&lt;=AA652,1,0))))</f>
        <v/>
      </c>
      <c r="BR652" s="38" t="str">
        <f aca="false">IF(OR(AO652&lt;&gt;1,K652&lt;&gt;"Oui",O652=""),"",IF(AC652="",O652+DORA_H_DET/24,IF(AC652-O652&lt;=DORA_H_DET/24,MIN(AC652+DORA_H_CLA/24,O652+DORA_H_DET/24),AC652+DORA_H_CLA/24)))</f>
        <v/>
      </c>
      <c r="BS652" s="35" t="str">
        <f aca="true">IF(BR652="","",IF(AD652="",IF(NOW()&gt;BR652,0,""),IF(AD652&lt;=BR652,1,0)))</f>
        <v/>
      </c>
      <c r="BT652" s="35" t="str">
        <f aca="true">IF(OR(BR652="",AD652=""),"",IF(AE652="",IF(NOW()&gt;AD652+DORA_H_INT/24,0,""),IF(AE652&lt;=AD652+DORA_H_INT/24,1,0)))</f>
        <v/>
      </c>
      <c r="BU652" s="35" t="str">
        <f aca="true">IF(OR(BR652="",AE652=""),"",IF(AF652="",IF(NOW()&gt;EDATE(AE652,DORA_M_FIN)+1,0,""),IF(AF652&lt;=EDATE(AE652,DORA_M_FIN),1,0)))</f>
        <v/>
      </c>
      <c r="BV652" s="35" t="str">
        <f aca="false">IF(BR652="","",IF(COUNT(BS652:BU652)=0,"",MIN(BS652:BU652)))</f>
        <v/>
      </c>
      <c r="BW652" s="40" t="str">
        <f aca="false">IF(AQ652&lt;&gt;1,"",IF(AND(AG652="",AH652=""),"",N(AG652)-N(AH652)))</f>
        <v/>
      </c>
      <c r="BX652" s="35" t="str">
        <f aca="true">IF(OR(AQ652&lt;&gt;1,AI652&lt;&gt;"Oui",AJ652=""),"",IF(AK652="",IF(NOW()&gt;AJ652+1,0,""),IF(AK652&lt;=AJ652,1,0)))</f>
        <v/>
      </c>
    </row>
    <row r="653" customFormat="false" ht="15" hidden="false" customHeight="false" outlineLevel="0" collapsed="false">
      <c r="B653" s="29"/>
      <c r="C653" s="29"/>
      <c r="D653" s="29"/>
      <c r="E653" s="29"/>
      <c r="F653" s="29"/>
      <c r="G653" s="29"/>
      <c r="H653" s="29"/>
      <c r="I653" s="29"/>
      <c r="J653" s="29"/>
      <c r="K653" s="29"/>
      <c r="L653" s="29"/>
      <c r="M653" s="29"/>
      <c r="N653" s="30"/>
      <c r="O653" s="30"/>
      <c r="P653" s="30"/>
      <c r="Q653" s="30"/>
      <c r="R653" s="30"/>
      <c r="S653" s="30"/>
      <c r="T653" s="30"/>
      <c r="U653" s="30"/>
      <c r="V653" s="31"/>
      <c r="W653" s="29"/>
      <c r="X653" s="29"/>
      <c r="Y653" s="29"/>
      <c r="Z653" s="29"/>
      <c r="AA653" s="30"/>
      <c r="AB653" s="30"/>
      <c r="AC653" s="30"/>
      <c r="AD653" s="30"/>
      <c r="AE653" s="30"/>
      <c r="AF653" s="32"/>
      <c r="AG653" s="33"/>
      <c r="AH653" s="33"/>
      <c r="AI653" s="29"/>
      <c r="AJ653" s="32"/>
      <c r="AK653" s="32"/>
      <c r="AL653" s="29"/>
      <c r="AN653" s="34" t="str">
        <f aca="false">IF($B653="","",IF(OR(C653="",D653="",E653="",G653="",I653="",J653="",L653="",O653="",P653=""),"Champ obligatoire manquant",IF(OR(AND(N653&lt;&gt;"",N653&gt;O653),O653&gt;P653,AND(Q653&lt;&gt;"",Q653&lt;P653),AND(R653&lt;&gt;"",R653&lt;P653),AND(S653&lt;&gt;"",S653&lt;R653),AND(S653&lt;&gt;"",R653=""),AND(T653&lt;&gt;"",T653&lt;O653),AND(U653&lt;&gt;"",U653&lt;O653)),"Chronologie incohérente",IF(AND(OR(L653="Résolu",L653="Clos"),R653=""),"Date de résolution manquante",IF(AND(L653="Clos",S653=""),"Date de clôture manquante",IF(AND(K653="Oui",AC653=""),"Classification DORA manquante","OK"))))))</f>
        <v/>
      </c>
      <c r="AO653" s="35" t="str">
        <f aca="false">IF($B653="","",IF(AND(C653="Incident",L653&lt;&gt;"Annulé"),1,0))</f>
        <v/>
      </c>
      <c r="AP653" s="35" t="str">
        <f aca="false">IF($B653="","",IF(AND(C653="Quasi-incident",L653&lt;&gt;"Annulé"),1,0))</f>
        <v/>
      </c>
      <c r="AQ653" s="35" t="str">
        <f aca="false">IF($B653="","",AO653+AP653)</f>
        <v/>
      </c>
      <c r="AR653" s="36" t="str">
        <f aca="false">IF(OR($B653="",J653=""),"",IFERROR(VALUE(LEFT(J653,1)),""))</f>
        <v/>
      </c>
      <c r="AS653" s="35" t="str">
        <f aca="false">IF(OR(AO653&lt;&gt;1,G653=""),"",IFERROR(IF(INDEX(L_SrcInterne,MATCH(G653,L_Sources,0))="Oui",1,0),""))</f>
        <v/>
      </c>
      <c r="AT653" s="37" t="str">
        <f aca="false">IF(AO653&lt;&gt;1,"",IFERROR(ROUND(IF(OR(N653="",O653=""),"",IF(O653&lt;N653,"",ROUND(((NETWORKDAYS(N653,O653,JoursFeries)-1)*(HFer-HOuv)+IF(NETWORKDAYS(O653,O653,JoursFeries),MEDIAN(MOD(O653,1),HFer,HOuv),HFer)-IF(NETWORKDAYS(N653,N653,JoursFeries),MEDIAN(MOD(N653,1),HFer,HOuv),HOuv))*24,4)))/HJour,4),""))</f>
        <v/>
      </c>
      <c r="AU653" s="37" t="str">
        <f aca="false">IF(AO653&lt;&gt;1,"",IF(OR(O653="",P653=""),"",IF(P653&lt;O653,"",ROUND(((NETWORKDAYS(O653,P653,JoursFeries)-1)*(HFer-HOuv)+IF(NETWORKDAYS(P653,P653,JoursFeries),MEDIAN(MOD(P653,1),HFer,HOuv),HFer)-IF(NETWORKDAYS(O653,O653,JoursFeries),MEDIAN(MOD(O653,1),HFer,HOuv),HOuv))*24,4))))</f>
        <v/>
      </c>
      <c r="AV653" s="37" t="str">
        <f aca="false">IF(AO653&lt;&gt;1,"",IF(OR(P653="",Q653=""),"",IF(Q653&lt;P653,"",ROUND(((NETWORKDAYS(P653,Q653,JoursFeries)-1)*(HFer-HOuv)+IF(NETWORKDAYS(Q653,Q653,JoursFeries),MEDIAN(MOD(Q653,1),HFer,HOuv),HFer)-IF(NETWORKDAYS(P653,P653,JoursFeries),MEDIAN(MOD(P653,1),HFer,HOuv),HOuv))*24,4))))</f>
        <v/>
      </c>
      <c r="AW653" s="37" t="str">
        <f aca="false">IF(AO653&lt;&gt;1,"",IFERROR(ROUND(IF(OR(P653="",R653=""),"",IF(R653&lt;P653,"",ROUND(((NETWORKDAYS(P653,R653,JoursFeries)-1)*(HFer-HOuv)+IF(NETWORKDAYS(R653,R653,JoursFeries),MEDIAN(MOD(R653,1),HFer,HOuv),HFer)-IF(NETWORKDAYS(P653,P653,JoursFeries),MEDIAN(MOD(P653,1),HFer,HOuv),HOuv))*24,4)))/HJour,4),""))</f>
        <v/>
      </c>
      <c r="AX653" s="37" t="str">
        <f aca="false">IF(AO653&lt;&gt;1,"",IFERROR(ROUND(IF(OR(P653="",S653=""),"",IF(S653&lt;P653,"",ROUND(((NETWORKDAYS(P653,S653,JoursFeries)-1)*(HFer-HOuv)+IF(NETWORKDAYS(S653,S653,JoursFeries),MEDIAN(MOD(S653,1),HFer,HOuv),HFer)-IF(NETWORKDAYS(P653,P653,JoursFeries),MEDIAN(MOD(P653,1),HFer,HOuv),HOuv))*24,4)))/HJour,4),""))</f>
        <v/>
      </c>
      <c r="AY653" s="36" t="str">
        <f aca="false">IF(OR(AO653&lt;&gt;1,AR653=""),"",INDEX(SLA_PEC,AR653))</f>
        <v/>
      </c>
      <c r="AZ653" s="35" t="str">
        <f aca="false">IF(OR(AV653="",AY653=""),"",IF(AV653&lt;=AY653,1,0))</f>
        <v/>
      </c>
      <c r="BA653" s="36" t="str">
        <f aca="false">IF(OR(AO653&lt;&gt;1,AR653=""),"",INDEX(SLA_RES,AR653))</f>
        <v/>
      </c>
      <c r="BB653" s="35" t="str">
        <f aca="false">IF(OR(AW653="",BA653=""),"",IF(AW653&lt;=BA653,1,0))</f>
        <v/>
      </c>
      <c r="BC653" s="38" t="str">
        <f aca="false">IF(OR(BA653="",P653=""),"",WORKDAY(INT(P653),BA653,JoursFeries)+MOD(P653,1))</f>
        <v/>
      </c>
      <c r="BD653" s="39" t="str">
        <f aca="false">IF(AO653&lt;&gt;1,"",IF(OR(AB653&lt;&gt;"",AD653&lt;&gt;""),4,IF(U653&lt;&gt;"",3,IF(T653&lt;&gt;"",2,1))))</f>
        <v/>
      </c>
      <c r="BE653" s="39" t="str">
        <f aca="false">IF(OR(AO653&lt;&gt;1,AR653=""),"",INDEX(NIV_REQ,AR653))</f>
        <v/>
      </c>
      <c r="BF653" s="39" t="str">
        <f aca="false">IF(BE653="","",MAX(BE653,IF(OR(K653="Oui",Z653="Oui"),4,1)))</f>
        <v/>
      </c>
      <c r="BG653" s="35" t="str">
        <f aca="false">IF(OR(BF653="",BD653=""),"",IF(BD653&gt;=BF653,1,0))</f>
        <v/>
      </c>
      <c r="BH653" s="38" t="str">
        <f aca="false">IF(BE653="","",IF(BE653&lt;2,"",IF(BE653=2,IF(AND(T653="",U653=""),"",MIN(T653,U653)),IF(U653="","",U653))))</f>
        <v/>
      </c>
      <c r="BI653" s="37" t="str">
        <f aca="false">IF(BH653="","",IF(OR(O653="",BH653=""),"",IF(BH653&lt;O653,"",ROUND(((NETWORKDAYS(O653,BH653,JoursFeries)-1)*(HFer-HOuv)+IF(NETWORKDAYS(BH653,BH653,JoursFeries),MEDIAN(MOD(BH653,1),HFer,HOuv),HFer)-IF(NETWORKDAYS(O653,O653,JoursFeries),MEDIAN(MOD(O653,1),HFer,HOuv),HOuv))*24,4))))</f>
        <v/>
      </c>
      <c r="BJ653" s="35" t="str">
        <f aca="false">IF(OR(BI653="",AR653=""),"",IF(BI653&lt;=INDEX(DELAI_ESC,AR653),1,0))</f>
        <v/>
      </c>
      <c r="BK653" s="38" t="str">
        <f aca="false">IF(AO653&lt;&gt;1,"",IF(AND(T653="",U653=""),"",MIN(T653,U653)))</f>
        <v/>
      </c>
      <c r="BL653" s="37" t="str">
        <f aca="false">IF(OR(BK653="",R653=""),"",IFERROR(ROUND(IF(OR(BK653="",R653=""),"",IF(R653&lt;BK653,"",ROUND(((NETWORKDAYS(BK653,R653,JoursFeries)-1)*(HFer-HOuv)+IF(NETWORKDAYS(R653,R653,JoursFeries),MEDIAN(MOD(R653,1),HFer,HOuv),HFer)-IF(NETWORKDAYS(BK653,BK653,JoursFeries),MEDIAN(MOD(BK653,1),HFer,HOuv),HOuv))*24,4)))/HJour,4),""))</f>
        <v/>
      </c>
      <c r="BM653" s="35" t="str">
        <f aca="false">IF(OR(AO653&lt;&gt;1,R653=""),"",IF(BD653=1,1,0))</f>
        <v/>
      </c>
      <c r="BN653" s="35" t="str">
        <f aca="false">IF(AO653&lt;&gt;1,"",IF(W653="Oui",1,0))</f>
        <v/>
      </c>
      <c r="BO653" s="35" t="str">
        <f aca="false">IF(AO653&lt;&gt;1,"",IF(X653&lt;&gt;"",1,0))</f>
        <v/>
      </c>
      <c r="BP653" s="35" t="str">
        <f aca="false">IF(AO653&lt;&gt;1,"",IF(Y653="Oui",1,0))</f>
        <v/>
      </c>
      <c r="BQ653" s="35" t="str">
        <f aca="true">IF(OR(AO653&lt;&gt;1,Z653&lt;&gt;"Oui"),"",IF(AB653="",IF(AND(AA653&lt;&gt;"",NOW()&gt;AA653),0,""),IF(AA653="","",IF(AB653&lt;=AA653,1,0))))</f>
        <v/>
      </c>
      <c r="BR653" s="38" t="str">
        <f aca="false">IF(OR(AO653&lt;&gt;1,K653&lt;&gt;"Oui",O653=""),"",IF(AC653="",O653+DORA_H_DET/24,IF(AC653-O653&lt;=DORA_H_DET/24,MIN(AC653+DORA_H_CLA/24,O653+DORA_H_DET/24),AC653+DORA_H_CLA/24)))</f>
        <v/>
      </c>
      <c r="BS653" s="35" t="str">
        <f aca="true">IF(BR653="","",IF(AD653="",IF(NOW()&gt;BR653,0,""),IF(AD653&lt;=BR653,1,0)))</f>
        <v/>
      </c>
      <c r="BT653" s="35" t="str">
        <f aca="true">IF(OR(BR653="",AD653=""),"",IF(AE653="",IF(NOW()&gt;AD653+DORA_H_INT/24,0,""),IF(AE653&lt;=AD653+DORA_H_INT/24,1,0)))</f>
        <v/>
      </c>
      <c r="BU653" s="35" t="str">
        <f aca="true">IF(OR(BR653="",AE653=""),"",IF(AF653="",IF(NOW()&gt;EDATE(AE653,DORA_M_FIN)+1,0,""),IF(AF653&lt;=EDATE(AE653,DORA_M_FIN),1,0)))</f>
        <v/>
      </c>
      <c r="BV653" s="35" t="str">
        <f aca="false">IF(BR653="","",IF(COUNT(BS653:BU653)=0,"",MIN(BS653:BU653)))</f>
        <v/>
      </c>
      <c r="BW653" s="40" t="str">
        <f aca="false">IF(AQ653&lt;&gt;1,"",IF(AND(AG653="",AH653=""),"",N(AG653)-N(AH653)))</f>
        <v/>
      </c>
      <c r="BX653" s="35" t="str">
        <f aca="true">IF(OR(AQ653&lt;&gt;1,AI653&lt;&gt;"Oui",AJ653=""),"",IF(AK653="",IF(NOW()&gt;AJ653+1,0,""),IF(AK653&lt;=AJ653,1,0)))</f>
        <v/>
      </c>
    </row>
    <row r="654" customFormat="false" ht="15" hidden="false" customHeight="false" outlineLevel="0" collapsed="false">
      <c r="B654" s="29"/>
      <c r="C654" s="29"/>
      <c r="D654" s="29"/>
      <c r="E654" s="29"/>
      <c r="F654" s="29"/>
      <c r="G654" s="29"/>
      <c r="H654" s="29"/>
      <c r="I654" s="29"/>
      <c r="J654" s="29"/>
      <c r="K654" s="29"/>
      <c r="L654" s="29"/>
      <c r="M654" s="29"/>
      <c r="N654" s="30"/>
      <c r="O654" s="30"/>
      <c r="P654" s="30"/>
      <c r="Q654" s="30"/>
      <c r="R654" s="30"/>
      <c r="S654" s="30"/>
      <c r="T654" s="30"/>
      <c r="U654" s="30"/>
      <c r="V654" s="31"/>
      <c r="W654" s="29"/>
      <c r="X654" s="29"/>
      <c r="Y654" s="29"/>
      <c r="Z654" s="29"/>
      <c r="AA654" s="30"/>
      <c r="AB654" s="30"/>
      <c r="AC654" s="30"/>
      <c r="AD654" s="30"/>
      <c r="AE654" s="30"/>
      <c r="AF654" s="32"/>
      <c r="AG654" s="33"/>
      <c r="AH654" s="33"/>
      <c r="AI654" s="29"/>
      <c r="AJ654" s="32"/>
      <c r="AK654" s="32"/>
      <c r="AL654" s="29"/>
      <c r="AN654" s="34" t="str">
        <f aca="false">IF($B654="","",IF(OR(C654="",D654="",E654="",G654="",I654="",J654="",L654="",O654="",P654=""),"Champ obligatoire manquant",IF(OR(AND(N654&lt;&gt;"",N654&gt;O654),O654&gt;P654,AND(Q654&lt;&gt;"",Q654&lt;P654),AND(R654&lt;&gt;"",R654&lt;P654),AND(S654&lt;&gt;"",S654&lt;R654),AND(S654&lt;&gt;"",R654=""),AND(T654&lt;&gt;"",T654&lt;O654),AND(U654&lt;&gt;"",U654&lt;O654)),"Chronologie incohérente",IF(AND(OR(L654="Résolu",L654="Clos"),R654=""),"Date de résolution manquante",IF(AND(L654="Clos",S654=""),"Date de clôture manquante",IF(AND(K654="Oui",AC654=""),"Classification DORA manquante","OK"))))))</f>
        <v/>
      </c>
      <c r="AO654" s="35" t="str">
        <f aca="false">IF($B654="","",IF(AND(C654="Incident",L654&lt;&gt;"Annulé"),1,0))</f>
        <v/>
      </c>
      <c r="AP654" s="35" t="str">
        <f aca="false">IF($B654="","",IF(AND(C654="Quasi-incident",L654&lt;&gt;"Annulé"),1,0))</f>
        <v/>
      </c>
      <c r="AQ654" s="35" t="str">
        <f aca="false">IF($B654="","",AO654+AP654)</f>
        <v/>
      </c>
      <c r="AR654" s="36" t="str">
        <f aca="false">IF(OR($B654="",J654=""),"",IFERROR(VALUE(LEFT(J654,1)),""))</f>
        <v/>
      </c>
      <c r="AS654" s="35" t="str">
        <f aca="false">IF(OR(AO654&lt;&gt;1,G654=""),"",IFERROR(IF(INDEX(L_SrcInterne,MATCH(G654,L_Sources,0))="Oui",1,0),""))</f>
        <v/>
      </c>
      <c r="AT654" s="37" t="str">
        <f aca="false">IF(AO654&lt;&gt;1,"",IFERROR(ROUND(IF(OR(N654="",O654=""),"",IF(O654&lt;N654,"",ROUND(((NETWORKDAYS(N654,O654,JoursFeries)-1)*(HFer-HOuv)+IF(NETWORKDAYS(O654,O654,JoursFeries),MEDIAN(MOD(O654,1),HFer,HOuv),HFer)-IF(NETWORKDAYS(N654,N654,JoursFeries),MEDIAN(MOD(N654,1),HFer,HOuv),HOuv))*24,4)))/HJour,4),""))</f>
        <v/>
      </c>
      <c r="AU654" s="37" t="str">
        <f aca="false">IF(AO654&lt;&gt;1,"",IF(OR(O654="",P654=""),"",IF(P654&lt;O654,"",ROUND(((NETWORKDAYS(O654,P654,JoursFeries)-1)*(HFer-HOuv)+IF(NETWORKDAYS(P654,P654,JoursFeries),MEDIAN(MOD(P654,1),HFer,HOuv),HFer)-IF(NETWORKDAYS(O654,O654,JoursFeries),MEDIAN(MOD(O654,1),HFer,HOuv),HOuv))*24,4))))</f>
        <v/>
      </c>
      <c r="AV654" s="37" t="str">
        <f aca="false">IF(AO654&lt;&gt;1,"",IF(OR(P654="",Q654=""),"",IF(Q654&lt;P654,"",ROUND(((NETWORKDAYS(P654,Q654,JoursFeries)-1)*(HFer-HOuv)+IF(NETWORKDAYS(Q654,Q654,JoursFeries),MEDIAN(MOD(Q654,1),HFer,HOuv),HFer)-IF(NETWORKDAYS(P654,P654,JoursFeries),MEDIAN(MOD(P654,1),HFer,HOuv),HOuv))*24,4))))</f>
        <v/>
      </c>
      <c r="AW654" s="37" t="str">
        <f aca="false">IF(AO654&lt;&gt;1,"",IFERROR(ROUND(IF(OR(P654="",R654=""),"",IF(R654&lt;P654,"",ROUND(((NETWORKDAYS(P654,R654,JoursFeries)-1)*(HFer-HOuv)+IF(NETWORKDAYS(R654,R654,JoursFeries),MEDIAN(MOD(R654,1),HFer,HOuv),HFer)-IF(NETWORKDAYS(P654,P654,JoursFeries),MEDIAN(MOD(P654,1),HFer,HOuv),HOuv))*24,4)))/HJour,4),""))</f>
        <v/>
      </c>
      <c r="AX654" s="37" t="str">
        <f aca="false">IF(AO654&lt;&gt;1,"",IFERROR(ROUND(IF(OR(P654="",S654=""),"",IF(S654&lt;P654,"",ROUND(((NETWORKDAYS(P654,S654,JoursFeries)-1)*(HFer-HOuv)+IF(NETWORKDAYS(S654,S654,JoursFeries),MEDIAN(MOD(S654,1),HFer,HOuv),HFer)-IF(NETWORKDAYS(P654,P654,JoursFeries),MEDIAN(MOD(P654,1),HFer,HOuv),HOuv))*24,4)))/HJour,4),""))</f>
        <v/>
      </c>
      <c r="AY654" s="36" t="str">
        <f aca="false">IF(OR(AO654&lt;&gt;1,AR654=""),"",INDEX(SLA_PEC,AR654))</f>
        <v/>
      </c>
      <c r="AZ654" s="35" t="str">
        <f aca="false">IF(OR(AV654="",AY654=""),"",IF(AV654&lt;=AY654,1,0))</f>
        <v/>
      </c>
      <c r="BA654" s="36" t="str">
        <f aca="false">IF(OR(AO654&lt;&gt;1,AR654=""),"",INDEX(SLA_RES,AR654))</f>
        <v/>
      </c>
      <c r="BB654" s="35" t="str">
        <f aca="false">IF(OR(AW654="",BA654=""),"",IF(AW654&lt;=BA654,1,0))</f>
        <v/>
      </c>
      <c r="BC654" s="38" t="str">
        <f aca="false">IF(OR(BA654="",P654=""),"",WORKDAY(INT(P654),BA654,JoursFeries)+MOD(P654,1))</f>
        <v/>
      </c>
      <c r="BD654" s="39" t="str">
        <f aca="false">IF(AO654&lt;&gt;1,"",IF(OR(AB654&lt;&gt;"",AD654&lt;&gt;""),4,IF(U654&lt;&gt;"",3,IF(T654&lt;&gt;"",2,1))))</f>
        <v/>
      </c>
      <c r="BE654" s="39" t="str">
        <f aca="false">IF(OR(AO654&lt;&gt;1,AR654=""),"",INDEX(NIV_REQ,AR654))</f>
        <v/>
      </c>
      <c r="BF654" s="39" t="str">
        <f aca="false">IF(BE654="","",MAX(BE654,IF(OR(K654="Oui",Z654="Oui"),4,1)))</f>
        <v/>
      </c>
      <c r="BG654" s="35" t="str">
        <f aca="false">IF(OR(BF654="",BD654=""),"",IF(BD654&gt;=BF654,1,0))</f>
        <v/>
      </c>
      <c r="BH654" s="38" t="str">
        <f aca="false">IF(BE654="","",IF(BE654&lt;2,"",IF(BE654=2,IF(AND(T654="",U654=""),"",MIN(T654,U654)),IF(U654="","",U654))))</f>
        <v/>
      </c>
      <c r="BI654" s="37" t="str">
        <f aca="false">IF(BH654="","",IF(OR(O654="",BH654=""),"",IF(BH654&lt;O654,"",ROUND(((NETWORKDAYS(O654,BH654,JoursFeries)-1)*(HFer-HOuv)+IF(NETWORKDAYS(BH654,BH654,JoursFeries),MEDIAN(MOD(BH654,1),HFer,HOuv),HFer)-IF(NETWORKDAYS(O654,O654,JoursFeries),MEDIAN(MOD(O654,1),HFer,HOuv),HOuv))*24,4))))</f>
        <v/>
      </c>
      <c r="BJ654" s="35" t="str">
        <f aca="false">IF(OR(BI654="",AR654=""),"",IF(BI654&lt;=INDEX(DELAI_ESC,AR654),1,0))</f>
        <v/>
      </c>
      <c r="BK654" s="38" t="str">
        <f aca="false">IF(AO654&lt;&gt;1,"",IF(AND(T654="",U654=""),"",MIN(T654,U654)))</f>
        <v/>
      </c>
      <c r="BL654" s="37" t="str">
        <f aca="false">IF(OR(BK654="",R654=""),"",IFERROR(ROUND(IF(OR(BK654="",R654=""),"",IF(R654&lt;BK654,"",ROUND(((NETWORKDAYS(BK654,R654,JoursFeries)-1)*(HFer-HOuv)+IF(NETWORKDAYS(R654,R654,JoursFeries),MEDIAN(MOD(R654,1),HFer,HOuv),HFer)-IF(NETWORKDAYS(BK654,BK654,JoursFeries),MEDIAN(MOD(BK654,1),HFer,HOuv),HOuv))*24,4)))/HJour,4),""))</f>
        <v/>
      </c>
      <c r="BM654" s="35" t="str">
        <f aca="false">IF(OR(AO654&lt;&gt;1,R654=""),"",IF(BD654=1,1,0))</f>
        <v/>
      </c>
      <c r="BN654" s="35" t="str">
        <f aca="false">IF(AO654&lt;&gt;1,"",IF(W654="Oui",1,0))</f>
        <v/>
      </c>
      <c r="BO654" s="35" t="str">
        <f aca="false">IF(AO654&lt;&gt;1,"",IF(X654&lt;&gt;"",1,0))</f>
        <v/>
      </c>
      <c r="BP654" s="35" t="str">
        <f aca="false">IF(AO654&lt;&gt;1,"",IF(Y654="Oui",1,0))</f>
        <v/>
      </c>
      <c r="BQ654" s="35" t="str">
        <f aca="true">IF(OR(AO654&lt;&gt;1,Z654&lt;&gt;"Oui"),"",IF(AB654="",IF(AND(AA654&lt;&gt;"",NOW()&gt;AA654),0,""),IF(AA654="","",IF(AB654&lt;=AA654,1,0))))</f>
        <v/>
      </c>
      <c r="BR654" s="38" t="str">
        <f aca="false">IF(OR(AO654&lt;&gt;1,K654&lt;&gt;"Oui",O654=""),"",IF(AC654="",O654+DORA_H_DET/24,IF(AC654-O654&lt;=DORA_H_DET/24,MIN(AC654+DORA_H_CLA/24,O654+DORA_H_DET/24),AC654+DORA_H_CLA/24)))</f>
        <v/>
      </c>
      <c r="BS654" s="35" t="str">
        <f aca="true">IF(BR654="","",IF(AD654="",IF(NOW()&gt;BR654,0,""),IF(AD654&lt;=BR654,1,0)))</f>
        <v/>
      </c>
      <c r="BT654" s="35" t="str">
        <f aca="true">IF(OR(BR654="",AD654=""),"",IF(AE654="",IF(NOW()&gt;AD654+DORA_H_INT/24,0,""),IF(AE654&lt;=AD654+DORA_H_INT/24,1,0)))</f>
        <v/>
      </c>
      <c r="BU654" s="35" t="str">
        <f aca="true">IF(OR(BR654="",AE654=""),"",IF(AF654="",IF(NOW()&gt;EDATE(AE654,DORA_M_FIN)+1,0,""),IF(AF654&lt;=EDATE(AE654,DORA_M_FIN),1,0)))</f>
        <v/>
      </c>
      <c r="BV654" s="35" t="str">
        <f aca="false">IF(BR654="","",IF(COUNT(BS654:BU654)=0,"",MIN(BS654:BU654)))</f>
        <v/>
      </c>
      <c r="BW654" s="40" t="str">
        <f aca="false">IF(AQ654&lt;&gt;1,"",IF(AND(AG654="",AH654=""),"",N(AG654)-N(AH654)))</f>
        <v/>
      </c>
      <c r="BX654" s="35" t="str">
        <f aca="true">IF(OR(AQ654&lt;&gt;1,AI654&lt;&gt;"Oui",AJ654=""),"",IF(AK654="",IF(NOW()&gt;AJ654+1,0,""),IF(AK654&lt;=AJ654,1,0)))</f>
        <v/>
      </c>
    </row>
    <row r="655" customFormat="false" ht="15" hidden="false" customHeight="false" outlineLevel="0" collapsed="false">
      <c r="B655" s="29"/>
      <c r="C655" s="29"/>
      <c r="D655" s="29"/>
      <c r="E655" s="29"/>
      <c r="F655" s="29"/>
      <c r="G655" s="29"/>
      <c r="H655" s="29"/>
      <c r="I655" s="29"/>
      <c r="J655" s="29"/>
      <c r="K655" s="29"/>
      <c r="L655" s="29"/>
      <c r="M655" s="29"/>
      <c r="N655" s="30"/>
      <c r="O655" s="30"/>
      <c r="P655" s="30"/>
      <c r="Q655" s="30"/>
      <c r="R655" s="30"/>
      <c r="S655" s="30"/>
      <c r="T655" s="30"/>
      <c r="U655" s="30"/>
      <c r="V655" s="31"/>
      <c r="W655" s="29"/>
      <c r="X655" s="29"/>
      <c r="Y655" s="29"/>
      <c r="Z655" s="29"/>
      <c r="AA655" s="30"/>
      <c r="AB655" s="30"/>
      <c r="AC655" s="30"/>
      <c r="AD655" s="30"/>
      <c r="AE655" s="30"/>
      <c r="AF655" s="32"/>
      <c r="AG655" s="33"/>
      <c r="AH655" s="33"/>
      <c r="AI655" s="29"/>
      <c r="AJ655" s="32"/>
      <c r="AK655" s="32"/>
      <c r="AL655" s="29"/>
      <c r="AN655" s="34" t="str">
        <f aca="false">IF($B655="","",IF(OR(C655="",D655="",E655="",G655="",I655="",J655="",L655="",O655="",P655=""),"Champ obligatoire manquant",IF(OR(AND(N655&lt;&gt;"",N655&gt;O655),O655&gt;P655,AND(Q655&lt;&gt;"",Q655&lt;P655),AND(R655&lt;&gt;"",R655&lt;P655),AND(S655&lt;&gt;"",S655&lt;R655),AND(S655&lt;&gt;"",R655=""),AND(T655&lt;&gt;"",T655&lt;O655),AND(U655&lt;&gt;"",U655&lt;O655)),"Chronologie incohérente",IF(AND(OR(L655="Résolu",L655="Clos"),R655=""),"Date de résolution manquante",IF(AND(L655="Clos",S655=""),"Date de clôture manquante",IF(AND(K655="Oui",AC655=""),"Classification DORA manquante","OK"))))))</f>
        <v/>
      </c>
      <c r="AO655" s="35" t="str">
        <f aca="false">IF($B655="","",IF(AND(C655="Incident",L655&lt;&gt;"Annulé"),1,0))</f>
        <v/>
      </c>
      <c r="AP655" s="35" t="str">
        <f aca="false">IF($B655="","",IF(AND(C655="Quasi-incident",L655&lt;&gt;"Annulé"),1,0))</f>
        <v/>
      </c>
      <c r="AQ655" s="35" t="str">
        <f aca="false">IF($B655="","",AO655+AP655)</f>
        <v/>
      </c>
      <c r="AR655" s="36" t="str">
        <f aca="false">IF(OR($B655="",J655=""),"",IFERROR(VALUE(LEFT(J655,1)),""))</f>
        <v/>
      </c>
      <c r="AS655" s="35" t="str">
        <f aca="false">IF(OR(AO655&lt;&gt;1,G655=""),"",IFERROR(IF(INDEX(L_SrcInterne,MATCH(G655,L_Sources,0))="Oui",1,0),""))</f>
        <v/>
      </c>
      <c r="AT655" s="37" t="str">
        <f aca="false">IF(AO655&lt;&gt;1,"",IFERROR(ROUND(IF(OR(N655="",O655=""),"",IF(O655&lt;N655,"",ROUND(((NETWORKDAYS(N655,O655,JoursFeries)-1)*(HFer-HOuv)+IF(NETWORKDAYS(O655,O655,JoursFeries),MEDIAN(MOD(O655,1),HFer,HOuv),HFer)-IF(NETWORKDAYS(N655,N655,JoursFeries),MEDIAN(MOD(N655,1),HFer,HOuv),HOuv))*24,4)))/HJour,4),""))</f>
        <v/>
      </c>
      <c r="AU655" s="37" t="str">
        <f aca="false">IF(AO655&lt;&gt;1,"",IF(OR(O655="",P655=""),"",IF(P655&lt;O655,"",ROUND(((NETWORKDAYS(O655,P655,JoursFeries)-1)*(HFer-HOuv)+IF(NETWORKDAYS(P655,P655,JoursFeries),MEDIAN(MOD(P655,1),HFer,HOuv),HFer)-IF(NETWORKDAYS(O655,O655,JoursFeries),MEDIAN(MOD(O655,1),HFer,HOuv),HOuv))*24,4))))</f>
        <v/>
      </c>
      <c r="AV655" s="37" t="str">
        <f aca="false">IF(AO655&lt;&gt;1,"",IF(OR(P655="",Q655=""),"",IF(Q655&lt;P655,"",ROUND(((NETWORKDAYS(P655,Q655,JoursFeries)-1)*(HFer-HOuv)+IF(NETWORKDAYS(Q655,Q655,JoursFeries),MEDIAN(MOD(Q655,1),HFer,HOuv),HFer)-IF(NETWORKDAYS(P655,P655,JoursFeries),MEDIAN(MOD(P655,1),HFer,HOuv),HOuv))*24,4))))</f>
        <v/>
      </c>
      <c r="AW655" s="37" t="str">
        <f aca="false">IF(AO655&lt;&gt;1,"",IFERROR(ROUND(IF(OR(P655="",R655=""),"",IF(R655&lt;P655,"",ROUND(((NETWORKDAYS(P655,R655,JoursFeries)-1)*(HFer-HOuv)+IF(NETWORKDAYS(R655,R655,JoursFeries),MEDIAN(MOD(R655,1),HFer,HOuv),HFer)-IF(NETWORKDAYS(P655,P655,JoursFeries),MEDIAN(MOD(P655,1),HFer,HOuv),HOuv))*24,4)))/HJour,4),""))</f>
        <v/>
      </c>
      <c r="AX655" s="37" t="str">
        <f aca="false">IF(AO655&lt;&gt;1,"",IFERROR(ROUND(IF(OR(P655="",S655=""),"",IF(S655&lt;P655,"",ROUND(((NETWORKDAYS(P655,S655,JoursFeries)-1)*(HFer-HOuv)+IF(NETWORKDAYS(S655,S655,JoursFeries),MEDIAN(MOD(S655,1),HFer,HOuv),HFer)-IF(NETWORKDAYS(P655,P655,JoursFeries),MEDIAN(MOD(P655,1),HFer,HOuv),HOuv))*24,4)))/HJour,4),""))</f>
        <v/>
      </c>
      <c r="AY655" s="36" t="str">
        <f aca="false">IF(OR(AO655&lt;&gt;1,AR655=""),"",INDEX(SLA_PEC,AR655))</f>
        <v/>
      </c>
      <c r="AZ655" s="35" t="str">
        <f aca="false">IF(OR(AV655="",AY655=""),"",IF(AV655&lt;=AY655,1,0))</f>
        <v/>
      </c>
      <c r="BA655" s="36" t="str">
        <f aca="false">IF(OR(AO655&lt;&gt;1,AR655=""),"",INDEX(SLA_RES,AR655))</f>
        <v/>
      </c>
      <c r="BB655" s="35" t="str">
        <f aca="false">IF(OR(AW655="",BA655=""),"",IF(AW655&lt;=BA655,1,0))</f>
        <v/>
      </c>
      <c r="BC655" s="38" t="str">
        <f aca="false">IF(OR(BA655="",P655=""),"",WORKDAY(INT(P655),BA655,JoursFeries)+MOD(P655,1))</f>
        <v/>
      </c>
      <c r="BD655" s="39" t="str">
        <f aca="false">IF(AO655&lt;&gt;1,"",IF(OR(AB655&lt;&gt;"",AD655&lt;&gt;""),4,IF(U655&lt;&gt;"",3,IF(T655&lt;&gt;"",2,1))))</f>
        <v/>
      </c>
      <c r="BE655" s="39" t="str">
        <f aca="false">IF(OR(AO655&lt;&gt;1,AR655=""),"",INDEX(NIV_REQ,AR655))</f>
        <v/>
      </c>
      <c r="BF655" s="39" t="str">
        <f aca="false">IF(BE655="","",MAX(BE655,IF(OR(K655="Oui",Z655="Oui"),4,1)))</f>
        <v/>
      </c>
      <c r="BG655" s="35" t="str">
        <f aca="false">IF(OR(BF655="",BD655=""),"",IF(BD655&gt;=BF655,1,0))</f>
        <v/>
      </c>
      <c r="BH655" s="38" t="str">
        <f aca="false">IF(BE655="","",IF(BE655&lt;2,"",IF(BE655=2,IF(AND(T655="",U655=""),"",MIN(T655,U655)),IF(U655="","",U655))))</f>
        <v/>
      </c>
      <c r="BI655" s="37" t="str">
        <f aca="false">IF(BH655="","",IF(OR(O655="",BH655=""),"",IF(BH655&lt;O655,"",ROUND(((NETWORKDAYS(O655,BH655,JoursFeries)-1)*(HFer-HOuv)+IF(NETWORKDAYS(BH655,BH655,JoursFeries),MEDIAN(MOD(BH655,1),HFer,HOuv),HFer)-IF(NETWORKDAYS(O655,O655,JoursFeries),MEDIAN(MOD(O655,1),HFer,HOuv),HOuv))*24,4))))</f>
        <v/>
      </c>
      <c r="BJ655" s="35" t="str">
        <f aca="false">IF(OR(BI655="",AR655=""),"",IF(BI655&lt;=INDEX(DELAI_ESC,AR655),1,0))</f>
        <v/>
      </c>
      <c r="BK655" s="38" t="str">
        <f aca="false">IF(AO655&lt;&gt;1,"",IF(AND(T655="",U655=""),"",MIN(T655,U655)))</f>
        <v/>
      </c>
      <c r="BL655" s="37" t="str">
        <f aca="false">IF(OR(BK655="",R655=""),"",IFERROR(ROUND(IF(OR(BK655="",R655=""),"",IF(R655&lt;BK655,"",ROUND(((NETWORKDAYS(BK655,R655,JoursFeries)-1)*(HFer-HOuv)+IF(NETWORKDAYS(R655,R655,JoursFeries),MEDIAN(MOD(R655,1),HFer,HOuv),HFer)-IF(NETWORKDAYS(BK655,BK655,JoursFeries),MEDIAN(MOD(BK655,1),HFer,HOuv),HOuv))*24,4)))/HJour,4),""))</f>
        <v/>
      </c>
      <c r="BM655" s="35" t="str">
        <f aca="false">IF(OR(AO655&lt;&gt;1,R655=""),"",IF(BD655=1,1,0))</f>
        <v/>
      </c>
      <c r="BN655" s="35" t="str">
        <f aca="false">IF(AO655&lt;&gt;1,"",IF(W655="Oui",1,0))</f>
        <v/>
      </c>
      <c r="BO655" s="35" t="str">
        <f aca="false">IF(AO655&lt;&gt;1,"",IF(X655&lt;&gt;"",1,0))</f>
        <v/>
      </c>
      <c r="BP655" s="35" t="str">
        <f aca="false">IF(AO655&lt;&gt;1,"",IF(Y655="Oui",1,0))</f>
        <v/>
      </c>
      <c r="BQ655" s="35" t="str">
        <f aca="true">IF(OR(AO655&lt;&gt;1,Z655&lt;&gt;"Oui"),"",IF(AB655="",IF(AND(AA655&lt;&gt;"",NOW()&gt;AA655),0,""),IF(AA655="","",IF(AB655&lt;=AA655,1,0))))</f>
        <v/>
      </c>
      <c r="BR655" s="38" t="str">
        <f aca="false">IF(OR(AO655&lt;&gt;1,K655&lt;&gt;"Oui",O655=""),"",IF(AC655="",O655+DORA_H_DET/24,IF(AC655-O655&lt;=DORA_H_DET/24,MIN(AC655+DORA_H_CLA/24,O655+DORA_H_DET/24),AC655+DORA_H_CLA/24)))</f>
        <v/>
      </c>
      <c r="BS655" s="35" t="str">
        <f aca="true">IF(BR655="","",IF(AD655="",IF(NOW()&gt;BR655,0,""),IF(AD655&lt;=BR655,1,0)))</f>
        <v/>
      </c>
      <c r="BT655" s="35" t="str">
        <f aca="true">IF(OR(BR655="",AD655=""),"",IF(AE655="",IF(NOW()&gt;AD655+DORA_H_INT/24,0,""),IF(AE655&lt;=AD655+DORA_H_INT/24,1,0)))</f>
        <v/>
      </c>
      <c r="BU655" s="35" t="str">
        <f aca="true">IF(OR(BR655="",AE655=""),"",IF(AF655="",IF(NOW()&gt;EDATE(AE655,DORA_M_FIN)+1,0,""),IF(AF655&lt;=EDATE(AE655,DORA_M_FIN),1,0)))</f>
        <v/>
      </c>
      <c r="BV655" s="35" t="str">
        <f aca="false">IF(BR655="","",IF(COUNT(BS655:BU655)=0,"",MIN(BS655:BU655)))</f>
        <v/>
      </c>
      <c r="BW655" s="40" t="str">
        <f aca="false">IF(AQ655&lt;&gt;1,"",IF(AND(AG655="",AH655=""),"",N(AG655)-N(AH655)))</f>
        <v/>
      </c>
      <c r="BX655" s="35" t="str">
        <f aca="true">IF(OR(AQ655&lt;&gt;1,AI655&lt;&gt;"Oui",AJ655=""),"",IF(AK655="",IF(NOW()&gt;AJ655+1,0,""),IF(AK655&lt;=AJ655,1,0)))</f>
        <v/>
      </c>
    </row>
    <row r="656" customFormat="false" ht="15" hidden="false" customHeight="false" outlineLevel="0" collapsed="false">
      <c r="B656" s="29"/>
      <c r="C656" s="29"/>
      <c r="D656" s="29"/>
      <c r="E656" s="29"/>
      <c r="F656" s="29"/>
      <c r="G656" s="29"/>
      <c r="H656" s="29"/>
      <c r="I656" s="29"/>
      <c r="J656" s="29"/>
      <c r="K656" s="29"/>
      <c r="L656" s="29"/>
      <c r="M656" s="29"/>
      <c r="N656" s="30"/>
      <c r="O656" s="30"/>
      <c r="P656" s="30"/>
      <c r="Q656" s="30"/>
      <c r="R656" s="30"/>
      <c r="S656" s="30"/>
      <c r="T656" s="30"/>
      <c r="U656" s="30"/>
      <c r="V656" s="31"/>
      <c r="W656" s="29"/>
      <c r="X656" s="29"/>
      <c r="Y656" s="29"/>
      <c r="Z656" s="29"/>
      <c r="AA656" s="30"/>
      <c r="AB656" s="30"/>
      <c r="AC656" s="30"/>
      <c r="AD656" s="30"/>
      <c r="AE656" s="30"/>
      <c r="AF656" s="32"/>
      <c r="AG656" s="33"/>
      <c r="AH656" s="33"/>
      <c r="AI656" s="29"/>
      <c r="AJ656" s="32"/>
      <c r="AK656" s="32"/>
      <c r="AL656" s="29"/>
      <c r="AN656" s="34" t="str">
        <f aca="false">IF($B656="","",IF(OR(C656="",D656="",E656="",G656="",I656="",J656="",L656="",O656="",P656=""),"Champ obligatoire manquant",IF(OR(AND(N656&lt;&gt;"",N656&gt;O656),O656&gt;P656,AND(Q656&lt;&gt;"",Q656&lt;P656),AND(R656&lt;&gt;"",R656&lt;P656),AND(S656&lt;&gt;"",S656&lt;R656),AND(S656&lt;&gt;"",R656=""),AND(T656&lt;&gt;"",T656&lt;O656),AND(U656&lt;&gt;"",U656&lt;O656)),"Chronologie incohérente",IF(AND(OR(L656="Résolu",L656="Clos"),R656=""),"Date de résolution manquante",IF(AND(L656="Clos",S656=""),"Date de clôture manquante",IF(AND(K656="Oui",AC656=""),"Classification DORA manquante","OK"))))))</f>
        <v/>
      </c>
      <c r="AO656" s="35" t="str">
        <f aca="false">IF($B656="","",IF(AND(C656="Incident",L656&lt;&gt;"Annulé"),1,0))</f>
        <v/>
      </c>
      <c r="AP656" s="35" t="str">
        <f aca="false">IF($B656="","",IF(AND(C656="Quasi-incident",L656&lt;&gt;"Annulé"),1,0))</f>
        <v/>
      </c>
      <c r="AQ656" s="35" t="str">
        <f aca="false">IF($B656="","",AO656+AP656)</f>
        <v/>
      </c>
      <c r="AR656" s="36" t="str">
        <f aca="false">IF(OR($B656="",J656=""),"",IFERROR(VALUE(LEFT(J656,1)),""))</f>
        <v/>
      </c>
      <c r="AS656" s="35" t="str">
        <f aca="false">IF(OR(AO656&lt;&gt;1,G656=""),"",IFERROR(IF(INDEX(L_SrcInterne,MATCH(G656,L_Sources,0))="Oui",1,0),""))</f>
        <v/>
      </c>
      <c r="AT656" s="37" t="str">
        <f aca="false">IF(AO656&lt;&gt;1,"",IFERROR(ROUND(IF(OR(N656="",O656=""),"",IF(O656&lt;N656,"",ROUND(((NETWORKDAYS(N656,O656,JoursFeries)-1)*(HFer-HOuv)+IF(NETWORKDAYS(O656,O656,JoursFeries),MEDIAN(MOD(O656,1),HFer,HOuv),HFer)-IF(NETWORKDAYS(N656,N656,JoursFeries),MEDIAN(MOD(N656,1),HFer,HOuv),HOuv))*24,4)))/HJour,4),""))</f>
        <v/>
      </c>
      <c r="AU656" s="37" t="str">
        <f aca="false">IF(AO656&lt;&gt;1,"",IF(OR(O656="",P656=""),"",IF(P656&lt;O656,"",ROUND(((NETWORKDAYS(O656,P656,JoursFeries)-1)*(HFer-HOuv)+IF(NETWORKDAYS(P656,P656,JoursFeries),MEDIAN(MOD(P656,1),HFer,HOuv),HFer)-IF(NETWORKDAYS(O656,O656,JoursFeries),MEDIAN(MOD(O656,1),HFer,HOuv),HOuv))*24,4))))</f>
        <v/>
      </c>
      <c r="AV656" s="37" t="str">
        <f aca="false">IF(AO656&lt;&gt;1,"",IF(OR(P656="",Q656=""),"",IF(Q656&lt;P656,"",ROUND(((NETWORKDAYS(P656,Q656,JoursFeries)-1)*(HFer-HOuv)+IF(NETWORKDAYS(Q656,Q656,JoursFeries),MEDIAN(MOD(Q656,1),HFer,HOuv),HFer)-IF(NETWORKDAYS(P656,P656,JoursFeries),MEDIAN(MOD(P656,1),HFer,HOuv),HOuv))*24,4))))</f>
        <v/>
      </c>
      <c r="AW656" s="37" t="str">
        <f aca="false">IF(AO656&lt;&gt;1,"",IFERROR(ROUND(IF(OR(P656="",R656=""),"",IF(R656&lt;P656,"",ROUND(((NETWORKDAYS(P656,R656,JoursFeries)-1)*(HFer-HOuv)+IF(NETWORKDAYS(R656,R656,JoursFeries),MEDIAN(MOD(R656,1),HFer,HOuv),HFer)-IF(NETWORKDAYS(P656,P656,JoursFeries),MEDIAN(MOD(P656,1),HFer,HOuv),HOuv))*24,4)))/HJour,4),""))</f>
        <v/>
      </c>
      <c r="AX656" s="37" t="str">
        <f aca="false">IF(AO656&lt;&gt;1,"",IFERROR(ROUND(IF(OR(P656="",S656=""),"",IF(S656&lt;P656,"",ROUND(((NETWORKDAYS(P656,S656,JoursFeries)-1)*(HFer-HOuv)+IF(NETWORKDAYS(S656,S656,JoursFeries),MEDIAN(MOD(S656,1),HFer,HOuv),HFer)-IF(NETWORKDAYS(P656,P656,JoursFeries),MEDIAN(MOD(P656,1),HFer,HOuv),HOuv))*24,4)))/HJour,4),""))</f>
        <v/>
      </c>
      <c r="AY656" s="36" t="str">
        <f aca="false">IF(OR(AO656&lt;&gt;1,AR656=""),"",INDEX(SLA_PEC,AR656))</f>
        <v/>
      </c>
      <c r="AZ656" s="35" t="str">
        <f aca="false">IF(OR(AV656="",AY656=""),"",IF(AV656&lt;=AY656,1,0))</f>
        <v/>
      </c>
      <c r="BA656" s="36" t="str">
        <f aca="false">IF(OR(AO656&lt;&gt;1,AR656=""),"",INDEX(SLA_RES,AR656))</f>
        <v/>
      </c>
      <c r="BB656" s="35" t="str">
        <f aca="false">IF(OR(AW656="",BA656=""),"",IF(AW656&lt;=BA656,1,0))</f>
        <v/>
      </c>
      <c r="BC656" s="38" t="str">
        <f aca="false">IF(OR(BA656="",P656=""),"",WORKDAY(INT(P656),BA656,JoursFeries)+MOD(P656,1))</f>
        <v/>
      </c>
      <c r="BD656" s="39" t="str">
        <f aca="false">IF(AO656&lt;&gt;1,"",IF(OR(AB656&lt;&gt;"",AD656&lt;&gt;""),4,IF(U656&lt;&gt;"",3,IF(T656&lt;&gt;"",2,1))))</f>
        <v/>
      </c>
      <c r="BE656" s="39" t="str">
        <f aca="false">IF(OR(AO656&lt;&gt;1,AR656=""),"",INDEX(NIV_REQ,AR656))</f>
        <v/>
      </c>
      <c r="BF656" s="39" t="str">
        <f aca="false">IF(BE656="","",MAX(BE656,IF(OR(K656="Oui",Z656="Oui"),4,1)))</f>
        <v/>
      </c>
      <c r="BG656" s="35" t="str">
        <f aca="false">IF(OR(BF656="",BD656=""),"",IF(BD656&gt;=BF656,1,0))</f>
        <v/>
      </c>
      <c r="BH656" s="38" t="str">
        <f aca="false">IF(BE656="","",IF(BE656&lt;2,"",IF(BE656=2,IF(AND(T656="",U656=""),"",MIN(T656,U656)),IF(U656="","",U656))))</f>
        <v/>
      </c>
      <c r="BI656" s="37" t="str">
        <f aca="false">IF(BH656="","",IF(OR(O656="",BH656=""),"",IF(BH656&lt;O656,"",ROUND(((NETWORKDAYS(O656,BH656,JoursFeries)-1)*(HFer-HOuv)+IF(NETWORKDAYS(BH656,BH656,JoursFeries),MEDIAN(MOD(BH656,1),HFer,HOuv),HFer)-IF(NETWORKDAYS(O656,O656,JoursFeries),MEDIAN(MOD(O656,1),HFer,HOuv),HOuv))*24,4))))</f>
        <v/>
      </c>
      <c r="BJ656" s="35" t="str">
        <f aca="false">IF(OR(BI656="",AR656=""),"",IF(BI656&lt;=INDEX(DELAI_ESC,AR656),1,0))</f>
        <v/>
      </c>
      <c r="BK656" s="38" t="str">
        <f aca="false">IF(AO656&lt;&gt;1,"",IF(AND(T656="",U656=""),"",MIN(T656,U656)))</f>
        <v/>
      </c>
      <c r="BL656" s="37" t="str">
        <f aca="false">IF(OR(BK656="",R656=""),"",IFERROR(ROUND(IF(OR(BK656="",R656=""),"",IF(R656&lt;BK656,"",ROUND(((NETWORKDAYS(BK656,R656,JoursFeries)-1)*(HFer-HOuv)+IF(NETWORKDAYS(R656,R656,JoursFeries),MEDIAN(MOD(R656,1),HFer,HOuv),HFer)-IF(NETWORKDAYS(BK656,BK656,JoursFeries),MEDIAN(MOD(BK656,1),HFer,HOuv),HOuv))*24,4)))/HJour,4),""))</f>
        <v/>
      </c>
      <c r="BM656" s="35" t="str">
        <f aca="false">IF(OR(AO656&lt;&gt;1,R656=""),"",IF(BD656=1,1,0))</f>
        <v/>
      </c>
      <c r="BN656" s="35" t="str">
        <f aca="false">IF(AO656&lt;&gt;1,"",IF(W656="Oui",1,0))</f>
        <v/>
      </c>
      <c r="BO656" s="35" t="str">
        <f aca="false">IF(AO656&lt;&gt;1,"",IF(X656&lt;&gt;"",1,0))</f>
        <v/>
      </c>
      <c r="BP656" s="35" t="str">
        <f aca="false">IF(AO656&lt;&gt;1,"",IF(Y656="Oui",1,0))</f>
        <v/>
      </c>
      <c r="BQ656" s="35" t="str">
        <f aca="true">IF(OR(AO656&lt;&gt;1,Z656&lt;&gt;"Oui"),"",IF(AB656="",IF(AND(AA656&lt;&gt;"",NOW()&gt;AA656),0,""),IF(AA656="","",IF(AB656&lt;=AA656,1,0))))</f>
        <v/>
      </c>
      <c r="BR656" s="38" t="str">
        <f aca="false">IF(OR(AO656&lt;&gt;1,K656&lt;&gt;"Oui",O656=""),"",IF(AC656="",O656+DORA_H_DET/24,IF(AC656-O656&lt;=DORA_H_DET/24,MIN(AC656+DORA_H_CLA/24,O656+DORA_H_DET/24),AC656+DORA_H_CLA/24)))</f>
        <v/>
      </c>
      <c r="BS656" s="35" t="str">
        <f aca="true">IF(BR656="","",IF(AD656="",IF(NOW()&gt;BR656,0,""),IF(AD656&lt;=BR656,1,0)))</f>
        <v/>
      </c>
      <c r="BT656" s="35" t="str">
        <f aca="true">IF(OR(BR656="",AD656=""),"",IF(AE656="",IF(NOW()&gt;AD656+DORA_H_INT/24,0,""),IF(AE656&lt;=AD656+DORA_H_INT/24,1,0)))</f>
        <v/>
      </c>
      <c r="BU656" s="35" t="str">
        <f aca="true">IF(OR(BR656="",AE656=""),"",IF(AF656="",IF(NOW()&gt;EDATE(AE656,DORA_M_FIN)+1,0,""),IF(AF656&lt;=EDATE(AE656,DORA_M_FIN),1,0)))</f>
        <v/>
      </c>
      <c r="BV656" s="35" t="str">
        <f aca="false">IF(BR656="","",IF(COUNT(BS656:BU656)=0,"",MIN(BS656:BU656)))</f>
        <v/>
      </c>
      <c r="BW656" s="40" t="str">
        <f aca="false">IF(AQ656&lt;&gt;1,"",IF(AND(AG656="",AH656=""),"",N(AG656)-N(AH656)))</f>
        <v/>
      </c>
      <c r="BX656" s="35" t="str">
        <f aca="true">IF(OR(AQ656&lt;&gt;1,AI656&lt;&gt;"Oui",AJ656=""),"",IF(AK656="",IF(NOW()&gt;AJ656+1,0,""),IF(AK656&lt;=AJ656,1,0)))</f>
        <v/>
      </c>
    </row>
    <row r="657" customFormat="false" ht="15" hidden="false" customHeight="false" outlineLevel="0" collapsed="false">
      <c r="B657" s="29"/>
      <c r="C657" s="29"/>
      <c r="D657" s="29"/>
      <c r="E657" s="29"/>
      <c r="F657" s="29"/>
      <c r="G657" s="29"/>
      <c r="H657" s="29"/>
      <c r="I657" s="29"/>
      <c r="J657" s="29"/>
      <c r="K657" s="29"/>
      <c r="L657" s="29"/>
      <c r="M657" s="29"/>
      <c r="N657" s="30"/>
      <c r="O657" s="30"/>
      <c r="P657" s="30"/>
      <c r="Q657" s="30"/>
      <c r="R657" s="30"/>
      <c r="S657" s="30"/>
      <c r="T657" s="30"/>
      <c r="U657" s="30"/>
      <c r="V657" s="31"/>
      <c r="W657" s="29"/>
      <c r="X657" s="29"/>
      <c r="Y657" s="29"/>
      <c r="Z657" s="29"/>
      <c r="AA657" s="30"/>
      <c r="AB657" s="30"/>
      <c r="AC657" s="30"/>
      <c r="AD657" s="30"/>
      <c r="AE657" s="30"/>
      <c r="AF657" s="32"/>
      <c r="AG657" s="33"/>
      <c r="AH657" s="33"/>
      <c r="AI657" s="29"/>
      <c r="AJ657" s="32"/>
      <c r="AK657" s="32"/>
      <c r="AL657" s="29"/>
      <c r="AN657" s="34" t="str">
        <f aca="false">IF($B657="","",IF(OR(C657="",D657="",E657="",G657="",I657="",J657="",L657="",O657="",P657=""),"Champ obligatoire manquant",IF(OR(AND(N657&lt;&gt;"",N657&gt;O657),O657&gt;P657,AND(Q657&lt;&gt;"",Q657&lt;P657),AND(R657&lt;&gt;"",R657&lt;P657),AND(S657&lt;&gt;"",S657&lt;R657),AND(S657&lt;&gt;"",R657=""),AND(T657&lt;&gt;"",T657&lt;O657),AND(U657&lt;&gt;"",U657&lt;O657)),"Chronologie incohérente",IF(AND(OR(L657="Résolu",L657="Clos"),R657=""),"Date de résolution manquante",IF(AND(L657="Clos",S657=""),"Date de clôture manquante",IF(AND(K657="Oui",AC657=""),"Classification DORA manquante","OK"))))))</f>
        <v/>
      </c>
      <c r="AO657" s="35" t="str">
        <f aca="false">IF($B657="","",IF(AND(C657="Incident",L657&lt;&gt;"Annulé"),1,0))</f>
        <v/>
      </c>
      <c r="AP657" s="35" t="str">
        <f aca="false">IF($B657="","",IF(AND(C657="Quasi-incident",L657&lt;&gt;"Annulé"),1,0))</f>
        <v/>
      </c>
      <c r="AQ657" s="35" t="str">
        <f aca="false">IF($B657="","",AO657+AP657)</f>
        <v/>
      </c>
      <c r="AR657" s="36" t="str">
        <f aca="false">IF(OR($B657="",J657=""),"",IFERROR(VALUE(LEFT(J657,1)),""))</f>
        <v/>
      </c>
      <c r="AS657" s="35" t="str">
        <f aca="false">IF(OR(AO657&lt;&gt;1,G657=""),"",IFERROR(IF(INDEX(L_SrcInterne,MATCH(G657,L_Sources,0))="Oui",1,0),""))</f>
        <v/>
      </c>
      <c r="AT657" s="37" t="str">
        <f aca="false">IF(AO657&lt;&gt;1,"",IFERROR(ROUND(IF(OR(N657="",O657=""),"",IF(O657&lt;N657,"",ROUND(((NETWORKDAYS(N657,O657,JoursFeries)-1)*(HFer-HOuv)+IF(NETWORKDAYS(O657,O657,JoursFeries),MEDIAN(MOD(O657,1),HFer,HOuv),HFer)-IF(NETWORKDAYS(N657,N657,JoursFeries),MEDIAN(MOD(N657,1),HFer,HOuv),HOuv))*24,4)))/HJour,4),""))</f>
        <v/>
      </c>
      <c r="AU657" s="37" t="str">
        <f aca="false">IF(AO657&lt;&gt;1,"",IF(OR(O657="",P657=""),"",IF(P657&lt;O657,"",ROUND(((NETWORKDAYS(O657,P657,JoursFeries)-1)*(HFer-HOuv)+IF(NETWORKDAYS(P657,P657,JoursFeries),MEDIAN(MOD(P657,1),HFer,HOuv),HFer)-IF(NETWORKDAYS(O657,O657,JoursFeries),MEDIAN(MOD(O657,1),HFer,HOuv),HOuv))*24,4))))</f>
        <v/>
      </c>
      <c r="AV657" s="37" t="str">
        <f aca="false">IF(AO657&lt;&gt;1,"",IF(OR(P657="",Q657=""),"",IF(Q657&lt;P657,"",ROUND(((NETWORKDAYS(P657,Q657,JoursFeries)-1)*(HFer-HOuv)+IF(NETWORKDAYS(Q657,Q657,JoursFeries),MEDIAN(MOD(Q657,1),HFer,HOuv),HFer)-IF(NETWORKDAYS(P657,P657,JoursFeries),MEDIAN(MOD(P657,1),HFer,HOuv),HOuv))*24,4))))</f>
        <v/>
      </c>
      <c r="AW657" s="37" t="str">
        <f aca="false">IF(AO657&lt;&gt;1,"",IFERROR(ROUND(IF(OR(P657="",R657=""),"",IF(R657&lt;P657,"",ROUND(((NETWORKDAYS(P657,R657,JoursFeries)-1)*(HFer-HOuv)+IF(NETWORKDAYS(R657,R657,JoursFeries),MEDIAN(MOD(R657,1),HFer,HOuv),HFer)-IF(NETWORKDAYS(P657,P657,JoursFeries),MEDIAN(MOD(P657,1),HFer,HOuv),HOuv))*24,4)))/HJour,4),""))</f>
        <v/>
      </c>
      <c r="AX657" s="37" t="str">
        <f aca="false">IF(AO657&lt;&gt;1,"",IFERROR(ROUND(IF(OR(P657="",S657=""),"",IF(S657&lt;P657,"",ROUND(((NETWORKDAYS(P657,S657,JoursFeries)-1)*(HFer-HOuv)+IF(NETWORKDAYS(S657,S657,JoursFeries),MEDIAN(MOD(S657,1),HFer,HOuv),HFer)-IF(NETWORKDAYS(P657,P657,JoursFeries),MEDIAN(MOD(P657,1),HFer,HOuv),HOuv))*24,4)))/HJour,4),""))</f>
        <v/>
      </c>
      <c r="AY657" s="36" t="str">
        <f aca="false">IF(OR(AO657&lt;&gt;1,AR657=""),"",INDEX(SLA_PEC,AR657))</f>
        <v/>
      </c>
      <c r="AZ657" s="35" t="str">
        <f aca="false">IF(OR(AV657="",AY657=""),"",IF(AV657&lt;=AY657,1,0))</f>
        <v/>
      </c>
      <c r="BA657" s="36" t="str">
        <f aca="false">IF(OR(AO657&lt;&gt;1,AR657=""),"",INDEX(SLA_RES,AR657))</f>
        <v/>
      </c>
      <c r="BB657" s="35" t="str">
        <f aca="false">IF(OR(AW657="",BA657=""),"",IF(AW657&lt;=BA657,1,0))</f>
        <v/>
      </c>
      <c r="BC657" s="38" t="str">
        <f aca="false">IF(OR(BA657="",P657=""),"",WORKDAY(INT(P657),BA657,JoursFeries)+MOD(P657,1))</f>
        <v/>
      </c>
      <c r="BD657" s="39" t="str">
        <f aca="false">IF(AO657&lt;&gt;1,"",IF(OR(AB657&lt;&gt;"",AD657&lt;&gt;""),4,IF(U657&lt;&gt;"",3,IF(T657&lt;&gt;"",2,1))))</f>
        <v/>
      </c>
      <c r="BE657" s="39" t="str">
        <f aca="false">IF(OR(AO657&lt;&gt;1,AR657=""),"",INDEX(NIV_REQ,AR657))</f>
        <v/>
      </c>
      <c r="BF657" s="39" t="str">
        <f aca="false">IF(BE657="","",MAX(BE657,IF(OR(K657="Oui",Z657="Oui"),4,1)))</f>
        <v/>
      </c>
      <c r="BG657" s="35" t="str">
        <f aca="false">IF(OR(BF657="",BD657=""),"",IF(BD657&gt;=BF657,1,0))</f>
        <v/>
      </c>
      <c r="BH657" s="38" t="str">
        <f aca="false">IF(BE657="","",IF(BE657&lt;2,"",IF(BE657=2,IF(AND(T657="",U657=""),"",MIN(T657,U657)),IF(U657="","",U657))))</f>
        <v/>
      </c>
      <c r="BI657" s="37" t="str">
        <f aca="false">IF(BH657="","",IF(OR(O657="",BH657=""),"",IF(BH657&lt;O657,"",ROUND(((NETWORKDAYS(O657,BH657,JoursFeries)-1)*(HFer-HOuv)+IF(NETWORKDAYS(BH657,BH657,JoursFeries),MEDIAN(MOD(BH657,1),HFer,HOuv),HFer)-IF(NETWORKDAYS(O657,O657,JoursFeries),MEDIAN(MOD(O657,1),HFer,HOuv),HOuv))*24,4))))</f>
        <v/>
      </c>
      <c r="BJ657" s="35" t="str">
        <f aca="false">IF(OR(BI657="",AR657=""),"",IF(BI657&lt;=INDEX(DELAI_ESC,AR657),1,0))</f>
        <v/>
      </c>
      <c r="BK657" s="38" t="str">
        <f aca="false">IF(AO657&lt;&gt;1,"",IF(AND(T657="",U657=""),"",MIN(T657,U657)))</f>
        <v/>
      </c>
      <c r="BL657" s="37" t="str">
        <f aca="false">IF(OR(BK657="",R657=""),"",IFERROR(ROUND(IF(OR(BK657="",R657=""),"",IF(R657&lt;BK657,"",ROUND(((NETWORKDAYS(BK657,R657,JoursFeries)-1)*(HFer-HOuv)+IF(NETWORKDAYS(R657,R657,JoursFeries),MEDIAN(MOD(R657,1),HFer,HOuv),HFer)-IF(NETWORKDAYS(BK657,BK657,JoursFeries),MEDIAN(MOD(BK657,1),HFer,HOuv),HOuv))*24,4)))/HJour,4),""))</f>
        <v/>
      </c>
      <c r="BM657" s="35" t="str">
        <f aca="false">IF(OR(AO657&lt;&gt;1,R657=""),"",IF(BD657=1,1,0))</f>
        <v/>
      </c>
      <c r="BN657" s="35" t="str">
        <f aca="false">IF(AO657&lt;&gt;1,"",IF(W657="Oui",1,0))</f>
        <v/>
      </c>
      <c r="BO657" s="35" t="str">
        <f aca="false">IF(AO657&lt;&gt;1,"",IF(X657&lt;&gt;"",1,0))</f>
        <v/>
      </c>
      <c r="BP657" s="35" t="str">
        <f aca="false">IF(AO657&lt;&gt;1,"",IF(Y657="Oui",1,0))</f>
        <v/>
      </c>
      <c r="BQ657" s="35" t="str">
        <f aca="true">IF(OR(AO657&lt;&gt;1,Z657&lt;&gt;"Oui"),"",IF(AB657="",IF(AND(AA657&lt;&gt;"",NOW()&gt;AA657),0,""),IF(AA657="","",IF(AB657&lt;=AA657,1,0))))</f>
        <v/>
      </c>
      <c r="BR657" s="38" t="str">
        <f aca="false">IF(OR(AO657&lt;&gt;1,K657&lt;&gt;"Oui",O657=""),"",IF(AC657="",O657+DORA_H_DET/24,IF(AC657-O657&lt;=DORA_H_DET/24,MIN(AC657+DORA_H_CLA/24,O657+DORA_H_DET/24),AC657+DORA_H_CLA/24)))</f>
        <v/>
      </c>
      <c r="BS657" s="35" t="str">
        <f aca="true">IF(BR657="","",IF(AD657="",IF(NOW()&gt;BR657,0,""),IF(AD657&lt;=BR657,1,0)))</f>
        <v/>
      </c>
      <c r="BT657" s="35" t="str">
        <f aca="true">IF(OR(BR657="",AD657=""),"",IF(AE657="",IF(NOW()&gt;AD657+DORA_H_INT/24,0,""),IF(AE657&lt;=AD657+DORA_H_INT/24,1,0)))</f>
        <v/>
      </c>
      <c r="BU657" s="35" t="str">
        <f aca="true">IF(OR(BR657="",AE657=""),"",IF(AF657="",IF(NOW()&gt;EDATE(AE657,DORA_M_FIN)+1,0,""),IF(AF657&lt;=EDATE(AE657,DORA_M_FIN),1,0)))</f>
        <v/>
      </c>
      <c r="BV657" s="35" t="str">
        <f aca="false">IF(BR657="","",IF(COUNT(BS657:BU657)=0,"",MIN(BS657:BU657)))</f>
        <v/>
      </c>
      <c r="BW657" s="40" t="str">
        <f aca="false">IF(AQ657&lt;&gt;1,"",IF(AND(AG657="",AH657=""),"",N(AG657)-N(AH657)))</f>
        <v/>
      </c>
      <c r="BX657" s="35" t="str">
        <f aca="true">IF(OR(AQ657&lt;&gt;1,AI657&lt;&gt;"Oui",AJ657=""),"",IF(AK657="",IF(NOW()&gt;AJ657+1,0,""),IF(AK657&lt;=AJ657,1,0)))</f>
        <v/>
      </c>
    </row>
    <row r="658" customFormat="false" ht="15" hidden="false" customHeight="false" outlineLevel="0" collapsed="false">
      <c r="B658" s="29"/>
      <c r="C658" s="29"/>
      <c r="D658" s="29"/>
      <c r="E658" s="29"/>
      <c r="F658" s="29"/>
      <c r="G658" s="29"/>
      <c r="H658" s="29"/>
      <c r="I658" s="29"/>
      <c r="J658" s="29"/>
      <c r="K658" s="29"/>
      <c r="L658" s="29"/>
      <c r="M658" s="29"/>
      <c r="N658" s="30"/>
      <c r="O658" s="30"/>
      <c r="P658" s="30"/>
      <c r="Q658" s="30"/>
      <c r="R658" s="30"/>
      <c r="S658" s="30"/>
      <c r="T658" s="30"/>
      <c r="U658" s="30"/>
      <c r="V658" s="31"/>
      <c r="W658" s="29"/>
      <c r="X658" s="29"/>
      <c r="Y658" s="29"/>
      <c r="Z658" s="29"/>
      <c r="AA658" s="30"/>
      <c r="AB658" s="30"/>
      <c r="AC658" s="30"/>
      <c r="AD658" s="30"/>
      <c r="AE658" s="30"/>
      <c r="AF658" s="32"/>
      <c r="AG658" s="33"/>
      <c r="AH658" s="33"/>
      <c r="AI658" s="29"/>
      <c r="AJ658" s="32"/>
      <c r="AK658" s="32"/>
      <c r="AL658" s="29"/>
      <c r="AN658" s="34" t="str">
        <f aca="false">IF($B658="","",IF(OR(C658="",D658="",E658="",G658="",I658="",J658="",L658="",O658="",P658=""),"Champ obligatoire manquant",IF(OR(AND(N658&lt;&gt;"",N658&gt;O658),O658&gt;P658,AND(Q658&lt;&gt;"",Q658&lt;P658),AND(R658&lt;&gt;"",R658&lt;P658),AND(S658&lt;&gt;"",S658&lt;R658),AND(S658&lt;&gt;"",R658=""),AND(T658&lt;&gt;"",T658&lt;O658),AND(U658&lt;&gt;"",U658&lt;O658)),"Chronologie incohérente",IF(AND(OR(L658="Résolu",L658="Clos"),R658=""),"Date de résolution manquante",IF(AND(L658="Clos",S658=""),"Date de clôture manquante",IF(AND(K658="Oui",AC658=""),"Classification DORA manquante","OK"))))))</f>
        <v/>
      </c>
      <c r="AO658" s="35" t="str">
        <f aca="false">IF($B658="","",IF(AND(C658="Incident",L658&lt;&gt;"Annulé"),1,0))</f>
        <v/>
      </c>
      <c r="AP658" s="35" t="str">
        <f aca="false">IF($B658="","",IF(AND(C658="Quasi-incident",L658&lt;&gt;"Annulé"),1,0))</f>
        <v/>
      </c>
      <c r="AQ658" s="35" t="str">
        <f aca="false">IF($B658="","",AO658+AP658)</f>
        <v/>
      </c>
      <c r="AR658" s="36" t="str">
        <f aca="false">IF(OR($B658="",J658=""),"",IFERROR(VALUE(LEFT(J658,1)),""))</f>
        <v/>
      </c>
      <c r="AS658" s="35" t="str">
        <f aca="false">IF(OR(AO658&lt;&gt;1,G658=""),"",IFERROR(IF(INDEX(L_SrcInterne,MATCH(G658,L_Sources,0))="Oui",1,0),""))</f>
        <v/>
      </c>
      <c r="AT658" s="37" t="str">
        <f aca="false">IF(AO658&lt;&gt;1,"",IFERROR(ROUND(IF(OR(N658="",O658=""),"",IF(O658&lt;N658,"",ROUND(((NETWORKDAYS(N658,O658,JoursFeries)-1)*(HFer-HOuv)+IF(NETWORKDAYS(O658,O658,JoursFeries),MEDIAN(MOD(O658,1),HFer,HOuv),HFer)-IF(NETWORKDAYS(N658,N658,JoursFeries),MEDIAN(MOD(N658,1),HFer,HOuv),HOuv))*24,4)))/HJour,4),""))</f>
        <v/>
      </c>
      <c r="AU658" s="37" t="str">
        <f aca="false">IF(AO658&lt;&gt;1,"",IF(OR(O658="",P658=""),"",IF(P658&lt;O658,"",ROUND(((NETWORKDAYS(O658,P658,JoursFeries)-1)*(HFer-HOuv)+IF(NETWORKDAYS(P658,P658,JoursFeries),MEDIAN(MOD(P658,1),HFer,HOuv),HFer)-IF(NETWORKDAYS(O658,O658,JoursFeries),MEDIAN(MOD(O658,1),HFer,HOuv),HOuv))*24,4))))</f>
        <v/>
      </c>
      <c r="AV658" s="37" t="str">
        <f aca="false">IF(AO658&lt;&gt;1,"",IF(OR(P658="",Q658=""),"",IF(Q658&lt;P658,"",ROUND(((NETWORKDAYS(P658,Q658,JoursFeries)-1)*(HFer-HOuv)+IF(NETWORKDAYS(Q658,Q658,JoursFeries),MEDIAN(MOD(Q658,1),HFer,HOuv),HFer)-IF(NETWORKDAYS(P658,P658,JoursFeries),MEDIAN(MOD(P658,1),HFer,HOuv),HOuv))*24,4))))</f>
        <v/>
      </c>
      <c r="AW658" s="37" t="str">
        <f aca="false">IF(AO658&lt;&gt;1,"",IFERROR(ROUND(IF(OR(P658="",R658=""),"",IF(R658&lt;P658,"",ROUND(((NETWORKDAYS(P658,R658,JoursFeries)-1)*(HFer-HOuv)+IF(NETWORKDAYS(R658,R658,JoursFeries),MEDIAN(MOD(R658,1),HFer,HOuv),HFer)-IF(NETWORKDAYS(P658,P658,JoursFeries),MEDIAN(MOD(P658,1),HFer,HOuv),HOuv))*24,4)))/HJour,4),""))</f>
        <v/>
      </c>
      <c r="AX658" s="37" t="str">
        <f aca="false">IF(AO658&lt;&gt;1,"",IFERROR(ROUND(IF(OR(P658="",S658=""),"",IF(S658&lt;P658,"",ROUND(((NETWORKDAYS(P658,S658,JoursFeries)-1)*(HFer-HOuv)+IF(NETWORKDAYS(S658,S658,JoursFeries),MEDIAN(MOD(S658,1),HFer,HOuv),HFer)-IF(NETWORKDAYS(P658,P658,JoursFeries),MEDIAN(MOD(P658,1),HFer,HOuv),HOuv))*24,4)))/HJour,4),""))</f>
        <v/>
      </c>
      <c r="AY658" s="36" t="str">
        <f aca="false">IF(OR(AO658&lt;&gt;1,AR658=""),"",INDEX(SLA_PEC,AR658))</f>
        <v/>
      </c>
      <c r="AZ658" s="35" t="str">
        <f aca="false">IF(OR(AV658="",AY658=""),"",IF(AV658&lt;=AY658,1,0))</f>
        <v/>
      </c>
      <c r="BA658" s="36" t="str">
        <f aca="false">IF(OR(AO658&lt;&gt;1,AR658=""),"",INDEX(SLA_RES,AR658))</f>
        <v/>
      </c>
      <c r="BB658" s="35" t="str">
        <f aca="false">IF(OR(AW658="",BA658=""),"",IF(AW658&lt;=BA658,1,0))</f>
        <v/>
      </c>
      <c r="BC658" s="38" t="str">
        <f aca="false">IF(OR(BA658="",P658=""),"",WORKDAY(INT(P658),BA658,JoursFeries)+MOD(P658,1))</f>
        <v/>
      </c>
      <c r="BD658" s="39" t="str">
        <f aca="false">IF(AO658&lt;&gt;1,"",IF(OR(AB658&lt;&gt;"",AD658&lt;&gt;""),4,IF(U658&lt;&gt;"",3,IF(T658&lt;&gt;"",2,1))))</f>
        <v/>
      </c>
      <c r="BE658" s="39" t="str">
        <f aca="false">IF(OR(AO658&lt;&gt;1,AR658=""),"",INDEX(NIV_REQ,AR658))</f>
        <v/>
      </c>
      <c r="BF658" s="39" t="str">
        <f aca="false">IF(BE658="","",MAX(BE658,IF(OR(K658="Oui",Z658="Oui"),4,1)))</f>
        <v/>
      </c>
      <c r="BG658" s="35" t="str">
        <f aca="false">IF(OR(BF658="",BD658=""),"",IF(BD658&gt;=BF658,1,0))</f>
        <v/>
      </c>
      <c r="BH658" s="38" t="str">
        <f aca="false">IF(BE658="","",IF(BE658&lt;2,"",IF(BE658=2,IF(AND(T658="",U658=""),"",MIN(T658,U658)),IF(U658="","",U658))))</f>
        <v/>
      </c>
      <c r="BI658" s="37" t="str">
        <f aca="false">IF(BH658="","",IF(OR(O658="",BH658=""),"",IF(BH658&lt;O658,"",ROUND(((NETWORKDAYS(O658,BH658,JoursFeries)-1)*(HFer-HOuv)+IF(NETWORKDAYS(BH658,BH658,JoursFeries),MEDIAN(MOD(BH658,1),HFer,HOuv),HFer)-IF(NETWORKDAYS(O658,O658,JoursFeries),MEDIAN(MOD(O658,1),HFer,HOuv),HOuv))*24,4))))</f>
        <v/>
      </c>
      <c r="BJ658" s="35" t="str">
        <f aca="false">IF(OR(BI658="",AR658=""),"",IF(BI658&lt;=INDEX(DELAI_ESC,AR658),1,0))</f>
        <v/>
      </c>
      <c r="BK658" s="38" t="str">
        <f aca="false">IF(AO658&lt;&gt;1,"",IF(AND(T658="",U658=""),"",MIN(T658,U658)))</f>
        <v/>
      </c>
      <c r="BL658" s="37" t="str">
        <f aca="false">IF(OR(BK658="",R658=""),"",IFERROR(ROUND(IF(OR(BK658="",R658=""),"",IF(R658&lt;BK658,"",ROUND(((NETWORKDAYS(BK658,R658,JoursFeries)-1)*(HFer-HOuv)+IF(NETWORKDAYS(R658,R658,JoursFeries),MEDIAN(MOD(R658,1),HFer,HOuv),HFer)-IF(NETWORKDAYS(BK658,BK658,JoursFeries),MEDIAN(MOD(BK658,1),HFer,HOuv),HOuv))*24,4)))/HJour,4),""))</f>
        <v/>
      </c>
      <c r="BM658" s="35" t="str">
        <f aca="false">IF(OR(AO658&lt;&gt;1,R658=""),"",IF(BD658=1,1,0))</f>
        <v/>
      </c>
      <c r="BN658" s="35" t="str">
        <f aca="false">IF(AO658&lt;&gt;1,"",IF(W658="Oui",1,0))</f>
        <v/>
      </c>
      <c r="BO658" s="35" t="str">
        <f aca="false">IF(AO658&lt;&gt;1,"",IF(X658&lt;&gt;"",1,0))</f>
        <v/>
      </c>
      <c r="BP658" s="35" t="str">
        <f aca="false">IF(AO658&lt;&gt;1,"",IF(Y658="Oui",1,0))</f>
        <v/>
      </c>
      <c r="BQ658" s="35" t="str">
        <f aca="true">IF(OR(AO658&lt;&gt;1,Z658&lt;&gt;"Oui"),"",IF(AB658="",IF(AND(AA658&lt;&gt;"",NOW()&gt;AA658),0,""),IF(AA658="","",IF(AB658&lt;=AA658,1,0))))</f>
        <v/>
      </c>
      <c r="BR658" s="38" t="str">
        <f aca="false">IF(OR(AO658&lt;&gt;1,K658&lt;&gt;"Oui",O658=""),"",IF(AC658="",O658+DORA_H_DET/24,IF(AC658-O658&lt;=DORA_H_DET/24,MIN(AC658+DORA_H_CLA/24,O658+DORA_H_DET/24),AC658+DORA_H_CLA/24)))</f>
        <v/>
      </c>
      <c r="BS658" s="35" t="str">
        <f aca="true">IF(BR658="","",IF(AD658="",IF(NOW()&gt;BR658,0,""),IF(AD658&lt;=BR658,1,0)))</f>
        <v/>
      </c>
      <c r="BT658" s="35" t="str">
        <f aca="true">IF(OR(BR658="",AD658=""),"",IF(AE658="",IF(NOW()&gt;AD658+DORA_H_INT/24,0,""),IF(AE658&lt;=AD658+DORA_H_INT/24,1,0)))</f>
        <v/>
      </c>
      <c r="BU658" s="35" t="str">
        <f aca="true">IF(OR(BR658="",AE658=""),"",IF(AF658="",IF(NOW()&gt;EDATE(AE658,DORA_M_FIN)+1,0,""),IF(AF658&lt;=EDATE(AE658,DORA_M_FIN),1,0)))</f>
        <v/>
      </c>
      <c r="BV658" s="35" t="str">
        <f aca="false">IF(BR658="","",IF(COUNT(BS658:BU658)=0,"",MIN(BS658:BU658)))</f>
        <v/>
      </c>
      <c r="BW658" s="40" t="str">
        <f aca="false">IF(AQ658&lt;&gt;1,"",IF(AND(AG658="",AH658=""),"",N(AG658)-N(AH658)))</f>
        <v/>
      </c>
      <c r="BX658" s="35" t="str">
        <f aca="true">IF(OR(AQ658&lt;&gt;1,AI658&lt;&gt;"Oui",AJ658=""),"",IF(AK658="",IF(NOW()&gt;AJ658+1,0,""),IF(AK658&lt;=AJ658,1,0)))</f>
        <v/>
      </c>
    </row>
    <row r="659" customFormat="false" ht="15" hidden="false" customHeight="false" outlineLevel="0" collapsed="false">
      <c r="B659" s="29"/>
      <c r="C659" s="29"/>
      <c r="D659" s="29"/>
      <c r="E659" s="29"/>
      <c r="F659" s="29"/>
      <c r="G659" s="29"/>
      <c r="H659" s="29"/>
      <c r="I659" s="29"/>
      <c r="J659" s="29"/>
      <c r="K659" s="29"/>
      <c r="L659" s="29"/>
      <c r="M659" s="29"/>
      <c r="N659" s="30"/>
      <c r="O659" s="30"/>
      <c r="P659" s="30"/>
      <c r="Q659" s="30"/>
      <c r="R659" s="30"/>
      <c r="S659" s="30"/>
      <c r="T659" s="30"/>
      <c r="U659" s="30"/>
      <c r="V659" s="31"/>
      <c r="W659" s="29"/>
      <c r="X659" s="29"/>
      <c r="Y659" s="29"/>
      <c r="Z659" s="29"/>
      <c r="AA659" s="30"/>
      <c r="AB659" s="30"/>
      <c r="AC659" s="30"/>
      <c r="AD659" s="30"/>
      <c r="AE659" s="30"/>
      <c r="AF659" s="32"/>
      <c r="AG659" s="33"/>
      <c r="AH659" s="33"/>
      <c r="AI659" s="29"/>
      <c r="AJ659" s="32"/>
      <c r="AK659" s="32"/>
      <c r="AL659" s="29"/>
      <c r="AN659" s="34" t="str">
        <f aca="false">IF($B659="","",IF(OR(C659="",D659="",E659="",G659="",I659="",J659="",L659="",O659="",P659=""),"Champ obligatoire manquant",IF(OR(AND(N659&lt;&gt;"",N659&gt;O659),O659&gt;P659,AND(Q659&lt;&gt;"",Q659&lt;P659),AND(R659&lt;&gt;"",R659&lt;P659),AND(S659&lt;&gt;"",S659&lt;R659),AND(S659&lt;&gt;"",R659=""),AND(T659&lt;&gt;"",T659&lt;O659),AND(U659&lt;&gt;"",U659&lt;O659)),"Chronologie incohérente",IF(AND(OR(L659="Résolu",L659="Clos"),R659=""),"Date de résolution manquante",IF(AND(L659="Clos",S659=""),"Date de clôture manquante",IF(AND(K659="Oui",AC659=""),"Classification DORA manquante","OK"))))))</f>
        <v/>
      </c>
      <c r="AO659" s="35" t="str">
        <f aca="false">IF($B659="","",IF(AND(C659="Incident",L659&lt;&gt;"Annulé"),1,0))</f>
        <v/>
      </c>
      <c r="AP659" s="35" t="str">
        <f aca="false">IF($B659="","",IF(AND(C659="Quasi-incident",L659&lt;&gt;"Annulé"),1,0))</f>
        <v/>
      </c>
      <c r="AQ659" s="35" t="str">
        <f aca="false">IF($B659="","",AO659+AP659)</f>
        <v/>
      </c>
      <c r="AR659" s="36" t="str">
        <f aca="false">IF(OR($B659="",J659=""),"",IFERROR(VALUE(LEFT(J659,1)),""))</f>
        <v/>
      </c>
      <c r="AS659" s="35" t="str">
        <f aca="false">IF(OR(AO659&lt;&gt;1,G659=""),"",IFERROR(IF(INDEX(L_SrcInterne,MATCH(G659,L_Sources,0))="Oui",1,0),""))</f>
        <v/>
      </c>
      <c r="AT659" s="37" t="str">
        <f aca="false">IF(AO659&lt;&gt;1,"",IFERROR(ROUND(IF(OR(N659="",O659=""),"",IF(O659&lt;N659,"",ROUND(((NETWORKDAYS(N659,O659,JoursFeries)-1)*(HFer-HOuv)+IF(NETWORKDAYS(O659,O659,JoursFeries),MEDIAN(MOD(O659,1),HFer,HOuv),HFer)-IF(NETWORKDAYS(N659,N659,JoursFeries),MEDIAN(MOD(N659,1),HFer,HOuv),HOuv))*24,4)))/HJour,4),""))</f>
        <v/>
      </c>
      <c r="AU659" s="37" t="str">
        <f aca="false">IF(AO659&lt;&gt;1,"",IF(OR(O659="",P659=""),"",IF(P659&lt;O659,"",ROUND(((NETWORKDAYS(O659,P659,JoursFeries)-1)*(HFer-HOuv)+IF(NETWORKDAYS(P659,P659,JoursFeries),MEDIAN(MOD(P659,1),HFer,HOuv),HFer)-IF(NETWORKDAYS(O659,O659,JoursFeries),MEDIAN(MOD(O659,1),HFer,HOuv),HOuv))*24,4))))</f>
        <v/>
      </c>
      <c r="AV659" s="37" t="str">
        <f aca="false">IF(AO659&lt;&gt;1,"",IF(OR(P659="",Q659=""),"",IF(Q659&lt;P659,"",ROUND(((NETWORKDAYS(P659,Q659,JoursFeries)-1)*(HFer-HOuv)+IF(NETWORKDAYS(Q659,Q659,JoursFeries),MEDIAN(MOD(Q659,1),HFer,HOuv),HFer)-IF(NETWORKDAYS(P659,P659,JoursFeries),MEDIAN(MOD(P659,1),HFer,HOuv),HOuv))*24,4))))</f>
        <v/>
      </c>
      <c r="AW659" s="37" t="str">
        <f aca="false">IF(AO659&lt;&gt;1,"",IFERROR(ROUND(IF(OR(P659="",R659=""),"",IF(R659&lt;P659,"",ROUND(((NETWORKDAYS(P659,R659,JoursFeries)-1)*(HFer-HOuv)+IF(NETWORKDAYS(R659,R659,JoursFeries),MEDIAN(MOD(R659,1),HFer,HOuv),HFer)-IF(NETWORKDAYS(P659,P659,JoursFeries),MEDIAN(MOD(P659,1),HFer,HOuv),HOuv))*24,4)))/HJour,4),""))</f>
        <v/>
      </c>
      <c r="AX659" s="37" t="str">
        <f aca="false">IF(AO659&lt;&gt;1,"",IFERROR(ROUND(IF(OR(P659="",S659=""),"",IF(S659&lt;P659,"",ROUND(((NETWORKDAYS(P659,S659,JoursFeries)-1)*(HFer-HOuv)+IF(NETWORKDAYS(S659,S659,JoursFeries),MEDIAN(MOD(S659,1),HFer,HOuv),HFer)-IF(NETWORKDAYS(P659,P659,JoursFeries),MEDIAN(MOD(P659,1),HFer,HOuv),HOuv))*24,4)))/HJour,4),""))</f>
        <v/>
      </c>
      <c r="AY659" s="36" t="str">
        <f aca="false">IF(OR(AO659&lt;&gt;1,AR659=""),"",INDEX(SLA_PEC,AR659))</f>
        <v/>
      </c>
      <c r="AZ659" s="35" t="str">
        <f aca="false">IF(OR(AV659="",AY659=""),"",IF(AV659&lt;=AY659,1,0))</f>
        <v/>
      </c>
      <c r="BA659" s="36" t="str">
        <f aca="false">IF(OR(AO659&lt;&gt;1,AR659=""),"",INDEX(SLA_RES,AR659))</f>
        <v/>
      </c>
      <c r="BB659" s="35" t="str">
        <f aca="false">IF(OR(AW659="",BA659=""),"",IF(AW659&lt;=BA659,1,0))</f>
        <v/>
      </c>
      <c r="BC659" s="38" t="str">
        <f aca="false">IF(OR(BA659="",P659=""),"",WORKDAY(INT(P659),BA659,JoursFeries)+MOD(P659,1))</f>
        <v/>
      </c>
      <c r="BD659" s="39" t="str">
        <f aca="false">IF(AO659&lt;&gt;1,"",IF(OR(AB659&lt;&gt;"",AD659&lt;&gt;""),4,IF(U659&lt;&gt;"",3,IF(T659&lt;&gt;"",2,1))))</f>
        <v/>
      </c>
      <c r="BE659" s="39" t="str">
        <f aca="false">IF(OR(AO659&lt;&gt;1,AR659=""),"",INDEX(NIV_REQ,AR659))</f>
        <v/>
      </c>
      <c r="BF659" s="39" t="str">
        <f aca="false">IF(BE659="","",MAX(BE659,IF(OR(K659="Oui",Z659="Oui"),4,1)))</f>
        <v/>
      </c>
      <c r="BG659" s="35" t="str">
        <f aca="false">IF(OR(BF659="",BD659=""),"",IF(BD659&gt;=BF659,1,0))</f>
        <v/>
      </c>
      <c r="BH659" s="38" t="str">
        <f aca="false">IF(BE659="","",IF(BE659&lt;2,"",IF(BE659=2,IF(AND(T659="",U659=""),"",MIN(T659,U659)),IF(U659="","",U659))))</f>
        <v/>
      </c>
      <c r="BI659" s="37" t="str">
        <f aca="false">IF(BH659="","",IF(OR(O659="",BH659=""),"",IF(BH659&lt;O659,"",ROUND(((NETWORKDAYS(O659,BH659,JoursFeries)-1)*(HFer-HOuv)+IF(NETWORKDAYS(BH659,BH659,JoursFeries),MEDIAN(MOD(BH659,1),HFer,HOuv),HFer)-IF(NETWORKDAYS(O659,O659,JoursFeries),MEDIAN(MOD(O659,1),HFer,HOuv),HOuv))*24,4))))</f>
        <v/>
      </c>
      <c r="BJ659" s="35" t="str">
        <f aca="false">IF(OR(BI659="",AR659=""),"",IF(BI659&lt;=INDEX(DELAI_ESC,AR659),1,0))</f>
        <v/>
      </c>
      <c r="BK659" s="38" t="str">
        <f aca="false">IF(AO659&lt;&gt;1,"",IF(AND(T659="",U659=""),"",MIN(T659,U659)))</f>
        <v/>
      </c>
      <c r="BL659" s="37" t="str">
        <f aca="false">IF(OR(BK659="",R659=""),"",IFERROR(ROUND(IF(OR(BK659="",R659=""),"",IF(R659&lt;BK659,"",ROUND(((NETWORKDAYS(BK659,R659,JoursFeries)-1)*(HFer-HOuv)+IF(NETWORKDAYS(R659,R659,JoursFeries),MEDIAN(MOD(R659,1),HFer,HOuv),HFer)-IF(NETWORKDAYS(BK659,BK659,JoursFeries),MEDIAN(MOD(BK659,1),HFer,HOuv),HOuv))*24,4)))/HJour,4),""))</f>
        <v/>
      </c>
      <c r="BM659" s="35" t="str">
        <f aca="false">IF(OR(AO659&lt;&gt;1,R659=""),"",IF(BD659=1,1,0))</f>
        <v/>
      </c>
      <c r="BN659" s="35" t="str">
        <f aca="false">IF(AO659&lt;&gt;1,"",IF(W659="Oui",1,0))</f>
        <v/>
      </c>
      <c r="BO659" s="35" t="str">
        <f aca="false">IF(AO659&lt;&gt;1,"",IF(X659&lt;&gt;"",1,0))</f>
        <v/>
      </c>
      <c r="BP659" s="35" t="str">
        <f aca="false">IF(AO659&lt;&gt;1,"",IF(Y659="Oui",1,0))</f>
        <v/>
      </c>
      <c r="BQ659" s="35" t="str">
        <f aca="true">IF(OR(AO659&lt;&gt;1,Z659&lt;&gt;"Oui"),"",IF(AB659="",IF(AND(AA659&lt;&gt;"",NOW()&gt;AA659),0,""),IF(AA659="","",IF(AB659&lt;=AA659,1,0))))</f>
        <v/>
      </c>
      <c r="BR659" s="38" t="str">
        <f aca="false">IF(OR(AO659&lt;&gt;1,K659&lt;&gt;"Oui",O659=""),"",IF(AC659="",O659+DORA_H_DET/24,IF(AC659-O659&lt;=DORA_H_DET/24,MIN(AC659+DORA_H_CLA/24,O659+DORA_H_DET/24),AC659+DORA_H_CLA/24)))</f>
        <v/>
      </c>
      <c r="BS659" s="35" t="str">
        <f aca="true">IF(BR659="","",IF(AD659="",IF(NOW()&gt;BR659,0,""),IF(AD659&lt;=BR659,1,0)))</f>
        <v/>
      </c>
      <c r="BT659" s="35" t="str">
        <f aca="true">IF(OR(BR659="",AD659=""),"",IF(AE659="",IF(NOW()&gt;AD659+DORA_H_INT/24,0,""),IF(AE659&lt;=AD659+DORA_H_INT/24,1,0)))</f>
        <v/>
      </c>
      <c r="BU659" s="35" t="str">
        <f aca="true">IF(OR(BR659="",AE659=""),"",IF(AF659="",IF(NOW()&gt;EDATE(AE659,DORA_M_FIN)+1,0,""),IF(AF659&lt;=EDATE(AE659,DORA_M_FIN),1,0)))</f>
        <v/>
      </c>
      <c r="BV659" s="35" t="str">
        <f aca="false">IF(BR659="","",IF(COUNT(BS659:BU659)=0,"",MIN(BS659:BU659)))</f>
        <v/>
      </c>
      <c r="BW659" s="40" t="str">
        <f aca="false">IF(AQ659&lt;&gt;1,"",IF(AND(AG659="",AH659=""),"",N(AG659)-N(AH659)))</f>
        <v/>
      </c>
      <c r="BX659" s="35" t="str">
        <f aca="true">IF(OR(AQ659&lt;&gt;1,AI659&lt;&gt;"Oui",AJ659=""),"",IF(AK659="",IF(NOW()&gt;AJ659+1,0,""),IF(AK659&lt;=AJ659,1,0)))</f>
        <v/>
      </c>
    </row>
    <row r="660" customFormat="false" ht="15" hidden="false" customHeight="false" outlineLevel="0" collapsed="false">
      <c r="B660" s="29"/>
      <c r="C660" s="29"/>
      <c r="D660" s="29"/>
      <c r="E660" s="29"/>
      <c r="F660" s="29"/>
      <c r="G660" s="29"/>
      <c r="H660" s="29"/>
      <c r="I660" s="29"/>
      <c r="J660" s="29"/>
      <c r="K660" s="29"/>
      <c r="L660" s="29"/>
      <c r="M660" s="29"/>
      <c r="N660" s="30"/>
      <c r="O660" s="30"/>
      <c r="P660" s="30"/>
      <c r="Q660" s="30"/>
      <c r="R660" s="30"/>
      <c r="S660" s="30"/>
      <c r="T660" s="30"/>
      <c r="U660" s="30"/>
      <c r="V660" s="31"/>
      <c r="W660" s="29"/>
      <c r="X660" s="29"/>
      <c r="Y660" s="29"/>
      <c r="Z660" s="29"/>
      <c r="AA660" s="30"/>
      <c r="AB660" s="30"/>
      <c r="AC660" s="30"/>
      <c r="AD660" s="30"/>
      <c r="AE660" s="30"/>
      <c r="AF660" s="32"/>
      <c r="AG660" s="33"/>
      <c r="AH660" s="33"/>
      <c r="AI660" s="29"/>
      <c r="AJ660" s="32"/>
      <c r="AK660" s="32"/>
      <c r="AL660" s="29"/>
      <c r="AN660" s="34" t="str">
        <f aca="false">IF($B660="","",IF(OR(C660="",D660="",E660="",G660="",I660="",J660="",L660="",O660="",P660=""),"Champ obligatoire manquant",IF(OR(AND(N660&lt;&gt;"",N660&gt;O660),O660&gt;P660,AND(Q660&lt;&gt;"",Q660&lt;P660),AND(R660&lt;&gt;"",R660&lt;P660),AND(S660&lt;&gt;"",S660&lt;R660),AND(S660&lt;&gt;"",R660=""),AND(T660&lt;&gt;"",T660&lt;O660),AND(U660&lt;&gt;"",U660&lt;O660)),"Chronologie incohérente",IF(AND(OR(L660="Résolu",L660="Clos"),R660=""),"Date de résolution manquante",IF(AND(L660="Clos",S660=""),"Date de clôture manquante",IF(AND(K660="Oui",AC660=""),"Classification DORA manquante","OK"))))))</f>
        <v/>
      </c>
      <c r="AO660" s="35" t="str">
        <f aca="false">IF($B660="","",IF(AND(C660="Incident",L660&lt;&gt;"Annulé"),1,0))</f>
        <v/>
      </c>
      <c r="AP660" s="35" t="str">
        <f aca="false">IF($B660="","",IF(AND(C660="Quasi-incident",L660&lt;&gt;"Annulé"),1,0))</f>
        <v/>
      </c>
      <c r="AQ660" s="35" t="str">
        <f aca="false">IF($B660="","",AO660+AP660)</f>
        <v/>
      </c>
      <c r="AR660" s="36" t="str">
        <f aca="false">IF(OR($B660="",J660=""),"",IFERROR(VALUE(LEFT(J660,1)),""))</f>
        <v/>
      </c>
      <c r="AS660" s="35" t="str">
        <f aca="false">IF(OR(AO660&lt;&gt;1,G660=""),"",IFERROR(IF(INDEX(L_SrcInterne,MATCH(G660,L_Sources,0))="Oui",1,0),""))</f>
        <v/>
      </c>
      <c r="AT660" s="37" t="str">
        <f aca="false">IF(AO660&lt;&gt;1,"",IFERROR(ROUND(IF(OR(N660="",O660=""),"",IF(O660&lt;N660,"",ROUND(((NETWORKDAYS(N660,O660,JoursFeries)-1)*(HFer-HOuv)+IF(NETWORKDAYS(O660,O660,JoursFeries),MEDIAN(MOD(O660,1),HFer,HOuv),HFer)-IF(NETWORKDAYS(N660,N660,JoursFeries),MEDIAN(MOD(N660,1),HFer,HOuv),HOuv))*24,4)))/HJour,4),""))</f>
        <v/>
      </c>
      <c r="AU660" s="37" t="str">
        <f aca="false">IF(AO660&lt;&gt;1,"",IF(OR(O660="",P660=""),"",IF(P660&lt;O660,"",ROUND(((NETWORKDAYS(O660,P660,JoursFeries)-1)*(HFer-HOuv)+IF(NETWORKDAYS(P660,P660,JoursFeries),MEDIAN(MOD(P660,1),HFer,HOuv),HFer)-IF(NETWORKDAYS(O660,O660,JoursFeries),MEDIAN(MOD(O660,1),HFer,HOuv),HOuv))*24,4))))</f>
        <v/>
      </c>
      <c r="AV660" s="37" t="str">
        <f aca="false">IF(AO660&lt;&gt;1,"",IF(OR(P660="",Q660=""),"",IF(Q660&lt;P660,"",ROUND(((NETWORKDAYS(P660,Q660,JoursFeries)-1)*(HFer-HOuv)+IF(NETWORKDAYS(Q660,Q660,JoursFeries),MEDIAN(MOD(Q660,1),HFer,HOuv),HFer)-IF(NETWORKDAYS(P660,P660,JoursFeries),MEDIAN(MOD(P660,1),HFer,HOuv),HOuv))*24,4))))</f>
        <v/>
      </c>
      <c r="AW660" s="37" t="str">
        <f aca="false">IF(AO660&lt;&gt;1,"",IFERROR(ROUND(IF(OR(P660="",R660=""),"",IF(R660&lt;P660,"",ROUND(((NETWORKDAYS(P660,R660,JoursFeries)-1)*(HFer-HOuv)+IF(NETWORKDAYS(R660,R660,JoursFeries),MEDIAN(MOD(R660,1),HFer,HOuv),HFer)-IF(NETWORKDAYS(P660,P660,JoursFeries),MEDIAN(MOD(P660,1),HFer,HOuv),HOuv))*24,4)))/HJour,4),""))</f>
        <v/>
      </c>
      <c r="AX660" s="37" t="str">
        <f aca="false">IF(AO660&lt;&gt;1,"",IFERROR(ROUND(IF(OR(P660="",S660=""),"",IF(S660&lt;P660,"",ROUND(((NETWORKDAYS(P660,S660,JoursFeries)-1)*(HFer-HOuv)+IF(NETWORKDAYS(S660,S660,JoursFeries),MEDIAN(MOD(S660,1),HFer,HOuv),HFer)-IF(NETWORKDAYS(P660,P660,JoursFeries),MEDIAN(MOD(P660,1),HFer,HOuv),HOuv))*24,4)))/HJour,4),""))</f>
        <v/>
      </c>
      <c r="AY660" s="36" t="str">
        <f aca="false">IF(OR(AO660&lt;&gt;1,AR660=""),"",INDEX(SLA_PEC,AR660))</f>
        <v/>
      </c>
      <c r="AZ660" s="35" t="str">
        <f aca="false">IF(OR(AV660="",AY660=""),"",IF(AV660&lt;=AY660,1,0))</f>
        <v/>
      </c>
      <c r="BA660" s="36" t="str">
        <f aca="false">IF(OR(AO660&lt;&gt;1,AR660=""),"",INDEX(SLA_RES,AR660))</f>
        <v/>
      </c>
      <c r="BB660" s="35" t="str">
        <f aca="false">IF(OR(AW660="",BA660=""),"",IF(AW660&lt;=BA660,1,0))</f>
        <v/>
      </c>
      <c r="BC660" s="38" t="str">
        <f aca="false">IF(OR(BA660="",P660=""),"",WORKDAY(INT(P660),BA660,JoursFeries)+MOD(P660,1))</f>
        <v/>
      </c>
      <c r="BD660" s="39" t="str">
        <f aca="false">IF(AO660&lt;&gt;1,"",IF(OR(AB660&lt;&gt;"",AD660&lt;&gt;""),4,IF(U660&lt;&gt;"",3,IF(T660&lt;&gt;"",2,1))))</f>
        <v/>
      </c>
      <c r="BE660" s="39" t="str">
        <f aca="false">IF(OR(AO660&lt;&gt;1,AR660=""),"",INDEX(NIV_REQ,AR660))</f>
        <v/>
      </c>
      <c r="BF660" s="39" t="str">
        <f aca="false">IF(BE660="","",MAX(BE660,IF(OR(K660="Oui",Z660="Oui"),4,1)))</f>
        <v/>
      </c>
      <c r="BG660" s="35" t="str">
        <f aca="false">IF(OR(BF660="",BD660=""),"",IF(BD660&gt;=BF660,1,0))</f>
        <v/>
      </c>
      <c r="BH660" s="38" t="str">
        <f aca="false">IF(BE660="","",IF(BE660&lt;2,"",IF(BE660=2,IF(AND(T660="",U660=""),"",MIN(T660,U660)),IF(U660="","",U660))))</f>
        <v/>
      </c>
      <c r="BI660" s="37" t="str">
        <f aca="false">IF(BH660="","",IF(OR(O660="",BH660=""),"",IF(BH660&lt;O660,"",ROUND(((NETWORKDAYS(O660,BH660,JoursFeries)-1)*(HFer-HOuv)+IF(NETWORKDAYS(BH660,BH660,JoursFeries),MEDIAN(MOD(BH660,1),HFer,HOuv),HFer)-IF(NETWORKDAYS(O660,O660,JoursFeries),MEDIAN(MOD(O660,1),HFer,HOuv),HOuv))*24,4))))</f>
        <v/>
      </c>
      <c r="BJ660" s="35" t="str">
        <f aca="false">IF(OR(BI660="",AR660=""),"",IF(BI660&lt;=INDEX(DELAI_ESC,AR660),1,0))</f>
        <v/>
      </c>
      <c r="BK660" s="38" t="str">
        <f aca="false">IF(AO660&lt;&gt;1,"",IF(AND(T660="",U660=""),"",MIN(T660,U660)))</f>
        <v/>
      </c>
      <c r="BL660" s="37" t="str">
        <f aca="false">IF(OR(BK660="",R660=""),"",IFERROR(ROUND(IF(OR(BK660="",R660=""),"",IF(R660&lt;BK660,"",ROUND(((NETWORKDAYS(BK660,R660,JoursFeries)-1)*(HFer-HOuv)+IF(NETWORKDAYS(R660,R660,JoursFeries),MEDIAN(MOD(R660,1),HFer,HOuv),HFer)-IF(NETWORKDAYS(BK660,BK660,JoursFeries),MEDIAN(MOD(BK660,1),HFer,HOuv),HOuv))*24,4)))/HJour,4),""))</f>
        <v/>
      </c>
      <c r="BM660" s="35" t="str">
        <f aca="false">IF(OR(AO660&lt;&gt;1,R660=""),"",IF(BD660=1,1,0))</f>
        <v/>
      </c>
      <c r="BN660" s="35" t="str">
        <f aca="false">IF(AO660&lt;&gt;1,"",IF(W660="Oui",1,0))</f>
        <v/>
      </c>
      <c r="BO660" s="35" t="str">
        <f aca="false">IF(AO660&lt;&gt;1,"",IF(X660&lt;&gt;"",1,0))</f>
        <v/>
      </c>
      <c r="BP660" s="35" t="str">
        <f aca="false">IF(AO660&lt;&gt;1,"",IF(Y660="Oui",1,0))</f>
        <v/>
      </c>
      <c r="BQ660" s="35" t="str">
        <f aca="true">IF(OR(AO660&lt;&gt;1,Z660&lt;&gt;"Oui"),"",IF(AB660="",IF(AND(AA660&lt;&gt;"",NOW()&gt;AA660),0,""),IF(AA660="","",IF(AB660&lt;=AA660,1,0))))</f>
        <v/>
      </c>
      <c r="BR660" s="38" t="str">
        <f aca="false">IF(OR(AO660&lt;&gt;1,K660&lt;&gt;"Oui",O660=""),"",IF(AC660="",O660+DORA_H_DET/24,IF(AC660-O660&lt;=DORA_H_DET/24,MIN(AC660+DORA_H_CLA/24,O660+DORA_H_DET/24),AC660+DORA_H_CLA/24)))</f>
        <v/>
      </c>
      <c r="BS660" s="35" t="str">
        <f aca="true">IF(BR660="","",IF(AD660="",IF(NOW()&gt;BR660,0,""),IF(AD660&lt;=BR660,1,0)))</f>
        <v/>
      </c>
      <c r="BT660" s="35" t="str">
        <f aca="true">IF(OR(BR660="",AD660=""),"",IF(AE660="",IF(NOW()&gt;AD660+DORA_H_INT/24,0,""),IF(AE660&lt;=AD660+DORA_H_INT/24,1,0)))</f>
        <v/>
      </c>
      <c r="BU660" s="35" t="str">
        <f aca="true">IF(OR(BR660="",AE660=""),"",IF(AF660="",IF(NOW()&gt;EDATE(AE660,DORA_M_FIN)+1,0,""),IF(AF660&lt;=EDATE(AE660,DORA_M_FIN),1,0)))</f>
        <v/>
      </c>
      <c r="BV660" s="35" t="str">
        <f aca="false">IF(BR660="","",IF(COUNT(BS660:BU660)=0,"",MIN(BS660:BU660)))</f>
        <v/>
      </c>
      <c r="BW660" s="40" t="str">
        <f aca="false">IF(AQ660&lt;&gt;1,"",IF(AND(AG660="",AH660=""),"",N(AG660)-N(AH660)))</f>
        <v/>
      </c>
      <c r="BX660" s="35" t="str">
        <f aca="true">IF(OR(AQ660&lt;&gt;1,AI660&lt;&gt;"Oui",AJ660=""),"",IF(AK660="",IF(NOW()&gt;AJ660+1,0,""),IF(AK660&lt;=AJ660,1,0)))</f>
        <v/>
      </c>
    </row>
    <row r="661" customFormat="false" ht="15" hidden="false" customHeight="false" outlineLevel="0" collapsed="false">
      <c r="B661" s="29"/>
      <c r="C661" s="29"/>
      <c r="D661" s="29"/>
      <c r="E661" s="29"/>
      <c r="F661" s="29"/>
      <c r="G661" s="29"/>
      <c r="H661" s="29"/>
      <c r="I661" s="29"/>
      <c r="J661" s="29"/>
      <c r="K661" s="29"/>
      <c r="L661" s="29"/>
      <c r="M661" s="29"/>
      <c r="N661" s="30"/>
      <c r="O661" s="30"/>
      <c r="P661" s="30"/>
      <c r="Q661" s="30"/>
      <c r="R661" s="30"/>
      <c r="S661" s="30"/>
      <c r="T661" s="30"/>
      <c r="U661" s="30"/>
      <c r="V661" s="31"/>
      <c r="W661" s="29"/>
      <c r="X661" s="29"/>
      <c r="Y661" s="29"/>
      <c r="Z661" s="29"/>
      <c r="AA661" s="30"/>
      <c r="AB661" s="30"/>
      <c r="AC661" s="30"/>
      <c r="AD661" s="30"/>
      <c r="AE661" s="30"/>
      <c r="AF661" s="32"/>
      <c r="AG661" s="33"/>
      <c r="AH661" s="33"/>
      <c r="AI661" s="29"/>
      <c r="AJ661" s="32"/>
      <c r="AK661" s="32"/>
      <c r="AL661" s="29"/>
      <c r="AN661" s="34" t="str">
        <f aca="false">IF($B661="","",IF(OR(C661="",D661="",E661="",G661="",I661="",J661="",L661="",O661="",P661=""),"Champ obligatoire manquant",IF(OR(AND(N661&lt;&gt;"",N661&gt;O661),O661&gt;P661,AND(Q661&lt;&gt;"",Q661&lt;P661),AND(R661&lt;&gt;"",R661&lt;P661),AND(S661&lt;&gt;"",S661&lt;R661),AND(S661&lt;&gt;"",R661=""),AND(T661&lt;&gt;"",T661&lt;O661),AND(U661&lt;&gt;"",U661&lt;O661)),"Chronologie incohérente",IF(AND(OR(L661="Résolu",L661="Clos"),R661=""),"Date de résolution manquante",IF(AND(L661="Clos",S661=""),"Date de clôture manquante",IF(AND(K661="Oui",AC661=""),"Classification DORA manquante","OK"))))))</f>
        <v/>
      </c>
      <c r="AO661" s="35" t="str">
        <f aca="false">IF($B661="","",IF(AND(C661="Incident",L661&lt;&gt;"Annulé"),1,0))</f>
        <v/>
      </c>
      <c r="AP661" s="35" t="str">
        <f aca="false">IF($B661="","",IF(AND(C661="Quasi-incident",L661&lt;&gt;"Annulé"),1,0))</f>
        <v/>
      </c>
      <c r="AQ661" s="35" t="str">
        <f aca="false">IF($B661="","",AO661+AP661)</f>
        <v/>
      </c>
      <c r="AR661" s="36" t="str">
        <f aca="false">IF(OR($B661="",J661=""),"",IFERROR(VALUE(LEFT(J661,1)),""))</f>
        <v/>
      </c>
      <c r="AS661" s="35" t="str">
        <f aca="false">IF(OR(AO661&lt;&gt;1,G661=""),"",IFERROR(IF(INDEX(L_SrcInterne,MATCH(G661,L_Sources,0))="Oui",1,0),""))</f>
        <v/>
      </c>
      <c r="AT661" s="37" t="str">
        <f aca="false">IF(AO661&lt;&gt;1,"",IFERROR(ROUND(IF(OR(N661="",O661=""),"",IF(O661&lt;N661,"",ROUND(((NETWORKDAYS(N661,O661,JoursFeries)-1)*(HFer-HOuv)+IF(NETWORKDAYS(O661,O661,JoursFeries),MEDIAN(MOD(O661,1),HFer,HOuv),HFer)-IF(NETWORKDAYS(N661,N661,JoursFeries),MEDIAN(MOD(N661,1),HFer,HOuv),HOuv))*24,4)))/HJour,4),""))</f>
        <v/>
      </c>
      <c r="AU661" s="37" t="str">
        <f aca="false">IF(AO661&lt;&gt;1,"",IF(OR(O661="",P661=""),"",IF(P661&lt;O661,"",ROUND(((NETWORKDAYS(O661,P661,JoursFeries)-1)*(HFer-HOuv)+IF(NETWORKDAYS(P661,P661,JoursFeries),MEDIAN(MOD(P661,1),HFer,HOuv),HFer)-IF(NETWORKDAYS(O661,O661,JoursFeries),MEDIAN(MOD(O661,1),HFer,HOuv),HOuv))*24,4))))</f>
        <v/>
      </c>
      <c r="AV661" s="37" t="str">
        <f aca="false">IF(AO661&lt;&gt;1,"",IF(OR(P661="",Q661=""),"",IF(Q661&lt;P661,"",ROUND(((NETWORKDAYS(P661,Q661,JoursFeries)-1)*(HFer-HOuv)+IF(NETWORKDAYS(Q661,Q661,JoursFeries),MEDIAN(MOD(Q661,1),HFer,HOuv),HFer)-IF(NETWORKDAYS(P661,P661,JoursFeries),MEDIAN(MOD(P661,1),HFer,HOuv),HOuv))*24,4))))</f>
        <v/>
      </c>
      <c r="AW661" s="37" t="str">
        <f aca="false">IF(AO661&lt;&gt;1,"",IFERROR(ROUND(IF(OR(P661="",R661=""),"",IF(R661&lt;P661,"",ROUND(((NETWORKDAYS(P661,R661,JoursFeries)-1)*(HFer-HOuv)+IF(NETWORKDAYS(R661,R661,JoursFeries),MEDIAN(MOD(R661,1),HFer,HOuv),HFer)-IF(NETWORKDAYS(P661,P661,JoursFeries),MEDIAN(MOD(P661,1),HFer,HOuv),HOuv))*24,4)))/HJour,4),""))</f>
        <v/>
      </c>
      <c r="AX661" s="37" t="str">
        <f aca="false">IF(AO661&lt;&gt;1,"",IFERROR(ROUND(IF(OR(P661="",S661=""),"",IF(S661&lt;P661,"",ROUND(((NETWORKDAYS(P661,S661,JoursFeries)-1)*(HFer-HOuv)+IF(NETWORKDAYS(S661,S661,JoursFeries),MEDIAN(MOD(S661,1),HFer,HOuv),HFer)-IF(NETWORKDAYS(P661,P661,JoursFeries),MEDIAN(MOD(P661,1),HFer,HOuv),HOuv))*24,4)))/HJour,4),""))</f>
        <v/>
      </c>
      <c r="AY661" s="36" t="str">
        <f aca="false">IF(OR(AO661&lt;&gt;1,AR661=""),"",INDEX(SLA_PEC,AR661))</f>
        <v/>
      </c>
      <c r="AZ661" s="35" t="str">
        <f aca="false">IF(OR(AV661="",AY661=""),"",IF(AV661&lt;=AY661,1,0))</f>
        <v/>
      </c>
      <c r="BA661" s="36" t="str">
        <f aca="false">IF(OR(AO661&lt;&gt;1,AR661=""),"",INDEX(SLA_RES,AR661))</f>
        <v/>
      </c>
      <c r="BB661" s="35" t="str">
        <f aca="false">IF(OR(AW661="",BA661=""),"",IF(AW661&lt;=BA661,1,0))</f>
        <v/>
      </c>
      <c r="BC661" s="38" t="str">
        <f aca="false">IF(OR(BA661="",P661=""),"",WORKDAY(INT(P661),BA661,JoursFeries)+MOD(P661,1))</f>
        <v/>
      </c>
      <c r="BD661" s="39" t="str">
        <f aca="false">IF(AO661&lt;&gt;1,"",IF(OR(AB661&lt;&gt;"",AD661&lt;&gt;""),4,IF(U661&lt;&gt;"",3,IF(T661&lt;&gt;"",2,1))))</f>
        <v/>
      </c>
      <c r="BE661" s="39" t="str">
        <f aca="false">IF(OR(AO661&lt;&gt;1,AR661=""),"",INDEX(NIV_REQ,AR661))</f>
        <v/>
      </c>
      <c r="BF661" s="39" t="str">
        <f aca="false">IF(BE661="","",MAX(BE661,IF(OR(K661="Oui",Z661="Oui"),4,1)))</f>
        <v/>
      </c>
      <c r="BG661" s="35" t="str">
        <f aca="false">IF(OR(BF661="",BD661=""),"",IF(BD661&gt;=BF661,1,0))</f>
        <v/>
      </c>
      <c r="BH661" s="38" t="str">
        <f aca="false">IF(BE661="","",IF(BE661&lt;2,"",IF(BE661=2,IF(AND(T661="",U661=""),"",MIN(T661,U661)),IF(U661="","",U661))))</f>
        <v/>
      </c>
      <c r="BI661" s="37" t="str">
        <f aca="false">IF(BH661="","",IF(OR(O661="",BH661=""),"",IF(BH661&lt;O661,"",ROUND(((NETWORKDAYS(O661,BH661,JoursFeries)-1)*(HFer-HOuv)+IF(NETWORKDAYS(BH661,BH661,JoursFeries),MEDIAN(MOD(BH661,1),HFer,HOuv),HFer)-IF(NETWORKDAYS(O661,O661,JoursFeries),MEDIAN(MOD(O661,1),HFer,HOuv),HOuv))*24,4))))</f>
        <v/>
      </c>
      <c r="BJ661" s="35" t="str">
        <f aca="false">IF(OR(BI661="",AR661=""),"",IF(BI661&lt;=INDEX(DELAI_ESC,AR661),1,0))</f>
        <v/>
      </c>
      <c r="BK661" s="38" t="str">
        <f aca="false">IF(AO661&lt;&gt;1,"",IF(AND(T661="",U661=""),"",MIN(T661,U661)))</f>
        <v/>
      </c>
      <c r="BL661" s="37" t="str">
        <f aca="false">IF(OR(BK661="",R661=""),"",IFERROR(ROUND(IF(OR(BK661="",R661=""),"",IF(R661&lt;BK661,"",ROUND(((NETWORKDAYS(BK661,R661,JoursFeries)-1)*(HFer-HOuv)+IF(NETWORKDAYS(R661,R661,JoursFeries),MEDIAN(MOD(R661,1),HFer,HOuv),HFer)-IF(NETWORKDAYS(BK661,BK661,JoursFeries),MEDIAN(MOD(BK661,1),HFer,HOuv),HOuv))*24,4)))/HJour,4),""))</f>
        <v/>
      </c>
      <c r="BM661" s="35" t="str">
        <f aca="false">IF(OR(AO661&lt;&gt;1,R661=""),"",IF(BD661=1,1,0))</f>
        <v/>
      </c>
      <c r="BN661" s="35" t="str">
        <f aca="false">IF(AO661&lt;&gt;1,"",IF(W661="Oui",1,0))</f>
        <v/>
      </c>
      <c r="BO661" s="35" t="str">
        <f aca="false">IF(AO661&lt;&gt;1,"",IF(X661&lt;&gt;"",1,0))</f>
        <v/>
      </c>
      <c r="BP661" s="35" t="str">
        <f aca="false">IF(AO661&lt;&gt;1,"",IF(Y661="Oui",1,0))</f>
        <v/>
      </c>
      <c r="BQ661" s="35" t="str">
        <f aca="true">IF(OR(AO661&lt;&gt;1,Z661&lt;&gt;"Oui"),"",IF(AB661="",IF(AND(AA661&lt;&gt;"",NOW()&gt;AA661),0,""),IF(AA661="","",IF(AB661&lt;=AA661,1,0))))</f>
        <v/>
      </c>
      <c r="BR661" s="38" t="str">
        <f aca="false">IF(OR(AO661&lt;&gt;1,K661&lt;&gt;"Oui",O661=""),"",IF(AC661="",O661+DORA_H_DET/24,IF(AC661-O661&lt;=DORA_H_DET/24,MIN(AC661+DORA_H_CLA/24,O661+DORA_H_DET/24),AC661+DORA_H_CLA/24)))</f>
        <v/>
      </c>
      <c r="BS661" s="35" t="str">
        <f aca="true">IF(BR661="","",IF(AD661="",IF(NOW()&gt;BR661,0,""),IF(AD661&lt;=BR661,1,0)))</f>
        <v/>
      </c>
      <c r="BT661" s="35" t="str">
        <f aca="true">IF(OR(BR661="",AD661=""),"",IF(AE661="",IF(NOW()&gt;AD661+DORA_H_INT/24,0,""),IF(AE661&lt;=AD661+DORA_H_INT/24,1,0)))</f>
        <v/>
      </c>
      <c r="BU661" s="35" t="str">
        <f aca="true">IF(OR(BR661="",AE661=""),"",IF(AF661="",IF(NOW()&gt;EDATE(AE661,DORA_M_FIN)+1,0,""),IF(AF661&lt;=EDATE(AE661,DORA_M_FIN),1,0)))</f>
        <v/>
      </c>
      <c r="BV661" s="35" t="str">
        <f aca="false">IF(BR661="","",IF(COUNT(BS661:BU661)=0,"",MIN(BS661:BU661)))</f>
        <v/>
      </c>
      <c r="BW661" s="40" t="str">
        <f aca="false">IF(AQ661&lt;&gt;1,"",IF(AND(AG661="",AH661=""),"",N(AG661)-N(AH661)))</f>
        <v/>
      </c>
      <c r="BX661" s="35" t="str">
        <f aca="true">IF(OR(AQ661&lt;&gt;1,AI661&lt;&gt;"Oui",AJ661=""),"",IF(AK661="",IF(NOW()&gt;AJ661+1,0,""),IF(AK661&lt;=AJ661,1,0)))</f>
        <v/>
      </c>
    </row>
    <row r="662" customFormat="false" ht="15" hidden="false" customHeight="false" outlineLevel="0" collapsed="false">
      <c r="B662" s="29"/>
      <c r="C662" s="29"/>
      <c r="D662" s="29"/>
      <c r="E662" s="29"/>
      <c r="F662" s="29"/>
      <c r="G662" s="29"/>
      <c r="H662" s="29"/>
      <c r="I662" s="29"/>
      <c r="J662" s="29"/>
      <c r="K662" s="29"/>
      <c r="L662" s="29"/>
      <c r="M662" s="29"/>
      <c r="N662" s="30"/>
      <c r="O662" s="30"/>
      <c r="P662" s="30"/>
      <c r="Q662" s="30"/>
      <c r="R662" s="30"/>
      <c r="S662" s="30"/>
      <c r="T662" s="30"/>
      <c r="U662" s="30"/>
      <c r="V662" s="31"/>
      <c r="W662" s="29"/>
      <c r="X662" s="29"/>
      <c r="Y662" s="29"/>
      <c r="Z662" s="29"/>
      <c r="AA662" s="30"/>
      <c r="AB662" s="30"/>
      <c r="AC662" s="30"/>
      <c r="AD662" s="30"/>
      <c r="AE662" s="30"/>
      <c r="AF662" s="32"/>
      <c r="AG662" s="33"/>
      <c r="AH662" s="33"/>
      <c r="AI662" s="29"/>
      <c r="AJ662" s="32"/>
      <c r="AK662" s="32"/>
      <c r="AL662" s="29"/>
      <c r="AN662" s="34" t="str">
        <f aca="false">IF($B662="","",IF(OR(C662="",D662="",E662="",G662="",I662="",J662="",L662="",O662="",P662=""),"Champ obligatoire manquant",IF(OR(AND(N662&lt;&gt;"",N662&gt;O662),O662&gt;P662,AND(Q662&lt;&gt;"",Q662&lt;P662),AND(R662&lt;&gt;"",R662&lt;P662),AND(S662&lt;&gt;"",S662&lt;R662),AND(S662&lt;&gt;"",R662=""),AND(T662&lt;&gt;"",T662&lt;O662),AND(U662&lt;&gt;"",U662&lt;O662)),"Chronologie incohérente",IF(AND(OR(L662="Résolu",L662="Clos"),R662=""),"Date de résolution manquante",IF(AND(L662="Clos",S662=""),"Date de clôture manquante",IF(AND(K662="Oui",AC662=""),"Classification DORA manquante","OK"))))))</f>
        <v/>
      </c>
      <c r="AO662" s="35" t="str">
        <f aca="false">IF($B662="","",IF(AND(C662="Incident",L662&lt;&gt;"Annulé"),1,0))</f>
        <v/>
      </c>
      <c r="AP662" s="35" t="str">
        <f aca="false">IF($B662="","",IF(AND(C662="Quasi-incident",L662&lt;&gt;"Annulé"),1,0))</f>
        <v/>
      </c>
      <c r="AQ662" s="35" t="str">
        <f aca="false">IF($B662="","",AO662+AP662)</f>
        <v/>
      </c>
      <c r="AR662" s="36" t="str">
        <f aca="false">IF(OR($B662="",J662=""),"",IFERROR(VALUE(LEFT(J662,1)),""))</f>
        <v/>
      </c>
      <c r="AS662" s="35" t="str">
        <f aca="false">IF(OR(AO662&lt;&gt;1,G662=""),"",IFERROR(IF(INDEX(L_SrcInterne,MATCH(G662,L_Sources,0))="Oui",1,0),""))</f>
        <v/>
      </c>
      <c r="AT662" s="37" t="str">
        <f aca="false">IF(AO662&lt;&gt;1,"",IFERROR(ROUND(IF(OR(N662="",O662=""),"",IF(O662&lt;N662,"",ROUND(((NETWORKDAYS(N662,O662,JoursFeries)-1)*(HFer-HOuv)+IF(NETWORKDAYS(O662,O662,JoursFeries),MEDIAN(MOD(O662,1),HFer,HOuv),HFer)-IF(NETWORKDAYS(N662,N662,JoursFeries),MEDIAN(MOD(N662,1),HFer,HOuv),HOuv))*24,4)))/HJour,4),""))</f>
        <v/>
      </c>
      <c r="AU662" s="37" t="str">
        <f aca="false">IF(AO662&lt;&gt;1,"",IF(OR(O662="",P662=""),"",IF(P662&lt;O662,"",ROUND(((NETWORKDAYS(O662,P662,JoursFeries)-1)*(HFer-HOuv)+IF(NETWORKDAYS(P662,P662,JoursFeries),MEDIAN(MOD(P662,1),HFer,HOuv),HFer)-IF(NETWORKDAYS(O662,O662,JoursFeries),MEDIAN(MOD(O662,1),HFer,HOuv),HOuv))*24,4))))</f>
        <v/>
      </c>
      <c r="AV662" s="37" t="str">
        <f aca="false">IF(AO662&lt;&gt;1,"",IF(OR(P662="",Q662=""),"",IF(Q662&lt;P662,"",ROUND(((NETWORKDAYS(P662,Q662,JoursFeries)-1)*(HFer-HOuv)+IF(NETWORKDAYS(Q662,Q662,JoursFeries),MEDIAN(MOD(Q662,1),HFer,HOuv),HFer)-IF(NETWORKDAYS(P662,P662,JoursFeries),MEDIAN(MOD(P662,1),HFer,HOuv),HOuv))*24,4))))</f>
        <v/>
      </c>
      <c r="AW662" s="37" t="str">
        <f aca="false">IF(AO662&lt;&gt;1,"",IFERROR(ROUND(IF(OR(P662="",R662=""),"",IF(R662&lt;P662,"",ROUND(((NETWORKDAYS(P662,R662,JoursFeries)-1)*(HFer-HOuv)+IF(NETWORKDAYS(R662,R662,JoursFeries),MEDIAN(MOD(R662,1),HFer,HOuv),HFer)-IF(NETWORKDAYS(P662,P662,JoursFeries),MEDIAN(MOD(P662,1),HFer,HOuv),HOuv))*24,4)))/HJour,4),""))</f>
        <v/>
      </c>
      <c r="AX662" s="37" t="str">
        <f aca="false">IF(AO662&lt;&gt;1,"",IFERROR(ROUND(IF(OR(P662="",S662=""),"",IF(S662&lt;P662,"",ROUND(((NETWORKDAYS(P662,S662,JoursFeries)-1)*(HFer-HOuv)+IF(NETWORKDAYS(S662,S662,JoursFeries),MEDIAN(MOD(S662,1),HFer,HOuv),HFer)-IF(NETWORKDAYS(P662,P662,JoursFeries),MEDIAN(MOD(P662,1),HFer,HOuv),HOuv))*24,4)))/HJour,4),""))</f>
        <v/>
      </c>
      <c r="AY662" s="36" t="str">
        <f aca="false">IF(OR(AO662&lt;&gt;1,AR662=""),"",INDEX(SLA_PEC,AR662))</f>
        <v/>
      </c>
      <c r="AZ662" s="35" t="str">
        <f aca="false">IF(OR(AV662="",AY662=""),"",IF(AV662&lt;=AY662,1,0))</f>
        <v/>
      </c>
      <c r="BA662" s="36" t="str">
        <f aca="false">IF(OR(AO662&lt;&gt;1,AR662=""),"",INDEX(SLA_RES,AR662))</f>
        <v/>
      </c>
      <c r="BB662" s="35" t="str">
        <f aca="false">IF(OR(AW662="",BA662=""),"",IF(AW662&lt;=BA662,1,0))</f>
        <v/>
      </c>
      <c r="BC662" s="38" t="str">
        <f aca="false">IF(OR(BA662="",P662=""),"",WORKDAY(INT(P662),BA662,JoursFeries)+MOD(P662,1))</f>
        <v/>
      </c>
      <c r="BD662" s="39" t="str">
        <f aca="false">IF(AO662&lt;&gt;1,"",IF(OR(AB662&lt;&gt;"",AD662&lt;&gt;""),4,IF(U662&lt;&gt;"",3,IF(T662&lt;&gt;"",2,1))))</f>
        <v/>
      </c>
      <c r="BE662" s="39" t="str">
        <f aca="false">IF(OR(AO662&lt;&gt;1,AR662=""),"",INDEX(NIV_REQ,AR662))</f>
        <v/>
      </c>
      <c r="BF662" s="39" t="str">
        <f aca="false">IF(BE662="","",MAX(BE662,IF(OR(K662="Oui",Z662="Oui"),4,1)))</f>
        <v/>
      </c>
      <c r="BG662" s="35" t="str">
        <f aca="false">IF(OR(BF662="",BD662=""),"",IF(BD662&gt;=BF662,1,0))</f>
        <v/>
      </c>
      <c r="BH662" s="38" t="str">
        <f aca="false">IF(BE662="","",IF(BE662&lt;2,"",IF(BE662=2,IF(AND(T662="",U662=""),"",MIN(T662,U662)),IF(U662="","",U662))))</f>
        <v/>
      </c>
      <c r="BI662" s="37" t="str">
        <f aca="false">IF(BH662="","",IF(OR(O662="",BH662=""),"",IF(BH662&lt;O662,"",ROUND(((NETWORKDAYS(O662,BH662,JoursFeries)-1)*(HFer-HOuv)+IF(NETWORKDAYS(BH662,BH662,JoursFeries),MEDIAN(MOD(BH662,1),HFer,HOuv),HFer)-IF(NETWORKDAYS(O662,O662,JoursFeries),MEDIAN(MOD(O662,1),HFer,HOuv),HOuv))*24,4))))</f>
        <v/>
      </c>
      <c r="BJ662" s="35" t="str">
        <f aca="false">IF(OR(BI662="",AR662=""),"",IF(BI662&lt;=INDEX(DELAI_ESC,AR662),1,0))</f>
        <v/>
      </c>
      <c r="BK662" s="38" t="str">
        <f aca="false">IF(AO662&lt;&gt;1,"",IF(AND(T662="",U662=""),"",MIN(T662,U662)))</f>
        <v/>
      </c>
      <c r="BL662" s="37" t="str">
        <f aca="false">IF(OR(BK662="",R662=""),"",IFERROR(ROUND(IF(OR(BK662="",R662=""),"",IF(R662&lt;BK662,"",ROUND(((NETWORKDAYS(BK662,R662,JoursFeries)-1)*(HFer-HOuv)+IF(NETWORKDAYS(R662,R662,JoursFeries),MEDIAN(MOD(R662,1),HFer,HOuv),HFer)-IF(NETWORKDAYS(BK662,BK662,JoursFeries),MEDIAN(MOD(BK662,1),HFer,HOuv),HOuv))*24,4)))/HJour,4),""))</f>
        <v/>
      </c>
      <c r="BM662" s="35" t="str">
        <f aca="false">IF(OR(AO662&lt;&gt;1,R662=""),"",IF(BD662=1,1,0))</f>
        <v/>
      </c>
      <c r="BN662" s="35" t="str">
        <f aca="false">IF(AO662&lt;&gt;1,"",IF(W662="Oui",1,0))</f>
        <v/>
      </c>
      <c r="BO662" s="35" t="str">
        <f aca="false">IF(AO662&lt;&gt;1,"",IF(X662&lt;&gt;"",1,0))</f>
        <v/>
      </c>
      <c r="BP662" s="35" t="str">
        <f aca="false">IF(AO662&lt;&gt;1,"",IF(Y662="Oui",1,0))</f>
        <v/>
      </c>
      <c r="BQ662" s="35" t="str">
        <f aca="true">IF(OR(AO662&lt;&gt;1,Z662&lt;&gt;"Oui"),"",IF(AB662="",IF(AND(AA662&lt;&gt;"",NOW()&gt;AA662),0,""),IF(AA662="","",IF(AB662&lt;=AA662,1,0))))</f>
        <v/>
      </c>
      <c r="BR662" s="38" t="str">
        <f aca="false">IF(OR(AO662&lt;&gt;1,K662&lt;&gt;"Oui",O662=""),"",IF(AC662="",O662+DORA_H_DET/24,IF(AC662-O662&lt;=DORA_H_DET/24,MIN(AC662+DORA_H_CLA/24,O662+DORA_H_DET/24),AC662+DORA_H_CLA/24)))</f>
        <v/>
      </c>
      <c r="BS662" s="35" t="str">
        <f aca="true">IF(BR662="","",IF(AD662="",IF(NOW()&gt;BR662,0,""),IF(AD662&lt;=BR662,1,0)))</f>
        <v/>
      </c>
      <c r="BT662" s="35" t="str">
        <f aca="true">IF(OR(BR662="",AD662=""),"",IF(AE662="",IF(NOW()&gt;AD662+DORA_H_INT/24,0,""),IF(AE662&lt;=AD662+DORA_H_INT/24,1,0)))</f>
        <v/>
      </c>
      <c r="BU662" s="35" t="str">
        <f aca="true">IF(OR(BR662="",AE662=""),"",IF(AF662="",IF(NOW()&gt;EDATE(AE662,DORA_M_FIN)+1,0,""),IF(AF662&lt;=EDATE(AE662,DORA_M_FIN),1,0)))</f>
        <v/>
      </c>
      <c r="BV662" s="35" t="str">
        <f aca="false">IF(BR662="","",IF(COUNT(BS662:BU662)=0,"",MIN(BS662:BU662)))</f>
        <v/>
      </c>
      <c r="BW662" s="40" t="str">
        <f aca="false">IF(AQ662&lt;&gt;1,"",IF(AND(AG662="",AH662=""),"",N(AG662)-N(AH662)))</f>
        <v/>
      </c>
      <c r="BX662" s="35" t="str">
        <f aca="true">IF(OR(AQ662&lt;&gt;1,AI662&lt;&gt;"Oui",AJ662=""),"",IF(AK662="",IF(NOW()&gt;AJ662+1,0,""),IF(AK662&lt;=AJ662,1,0)))</f>
        <v/>
      </c>
    </row>
    <row r="663" customFormat="false" ht="15" hidden="false" customHeight="false" outlineLevel="0" collapsed="false">
      <c r="B663" s="29"/>
      <c r="C663" s="29"/>
      <c r="D663" s="29"/>
      <c r="E663" s="29"/>
      <c r="F663" s="29"/>
      <c r="G663" s="29"/>
      <c r="H663" s="29"/>
      <c r="I663" s="29"/>
      <c r="J663" s="29"/>
      <c r="K663" s="29"/>
      <c r="L663" s="29"/>
      <c r="M663" s="29"/>
      <c r="N663" s="30"/>
      <c r="O663" s="30"/>
      <c r="P663" s="30"/>
      <c r="Q663" s="30"/>
      <c r="R663" s="30"/>
      <c r="S663" s="30"/>
      <c r="T663" s="30"/>
      <c r="U663" s="30"/>
      <c r="V663" s="31"/>
      <c r="W663" s="29"/>
      <c r="X663" s="29"/>
      <c r="Y663" s="29"/>
      <c r="Z663" s="29"/>
      <c r="AA663" s="30"/>
      <c r="AB663" s="30"/>
      <c r="AC663" s="30"/>
      <c r="AD663" s="30"/>
      <c r="AE663" s="30"/>
      <c r="AF663" s="32"/>
      <c r="AG663" s="33"/>
      <c r="AH663" s="33"/>
      <c r="AI663" s="29"/>
      <c r="AJ663" s="32"/>
      <c r="AK663" s="32"/>
      <c r="AL663" s="29"/>
      <c r="AN663" s="34" t="str">
        <f aca="false">IF($B663="","",IF(OR(C663="",D663="",E663="",G663="",I663="",J663="",L663="",O663="",P663=""),"Champ obligatoire manquant",IF(OR(AND(N663&lt;&gt;"",N663&gt;O663),O663&gt;P663,AND(Q663&lt;&gt;"",Q663&lt;P663),AND(R663&lt;&gt;"",R663&lt;P663),AND(S663&lt;&gt;"",S663&lt;R663),AND(S663&lt;&gt;"",R663=""),AND(T663&lt;&gt;"",T663&lt;O663),AND(U663&lt;&gt;"",U663&lt;O663)),"Chronologie incohérente",IF(AND(OR(L663="Résolu",L663="Clos"),R663=""),"Date de résolution manquante",IF(AND(L663="Clos",S663=""),"Date de clôture manquante",IF(AND(K663="Oui",AC663=""),"Classification DORA manquante","OK"))))))</f>
        <v/>
      </c>
      <c r="AO663" s="35" t="str">
        <f aca="false">IF($B663="","",IF(AND(C663="Incident",L663&lt;&gt;"Annulé"),1,0))</f>
        <v/>
      </c>
      <c r="AP663" s="35" t="str">
        <f aca="false">IF($B663="","",IF(AND(C663="Quasi-incident",L663&lt;&gt;"Annulé"),1,0))</f>
        <v/>
      </c>
      <c r="AQ663" s="35" t="str">
        <f aca="false">IF($B663="","",AO663+AP663)</f>
        <v/>
      </c>
      <c r="AR663" s="36" t="str">
        <f aca="false">IF(OR($B663="",J663=""),"",IFERROR(VALUE(LEFT(J663,1)),""))</f>
        <v/>
      </c>
      <c r="AS663" s="35" t="str">
        <f aca="false">IF(OR(AO663&lt;&gt;1,G663=""),"",IFERROR(IF(INDEX(L_SrcInterne,MATCH(G663,L_Sources,0))="Oui",1,0),""))</f>
        <v/>
      </c>
      <c r="AT663" s="37" t="str">
        <f aca="false">IF(AO663&lt;&gt;1,"",IFERROR(ROUND(IF(OR(N663="",O663=""),"",IF(O663&lt;N663,"",ROUND(((NETWORKDAYS(N663,O663,JoursFeries)-1)*(HFer-HOuv)+IF(NETWORKDAYS(O663,O663,JoursFeries),MEDIAN(MOD(O663,1),HFer,HOuv),HFer)-IF(NETWORKDAYS(N663,N663,JoursFeries),MEDIAN(MOD(N663,1),HFer,HOuv),HOuv))*24,4)))/HJour,4),""))</f>
        <v/>
      </c>
      <c r="AU663" s="37" t="str">
        <f aca="false">IF(AO663&lt;&gt;1,"",IF(OR(O663="",P663=""),"",IF(P663&lt;O663,"",ROUND(((NETWORKDAYS(O663,P663,JoursFeries)-1)*(HFer-HOuv)+IF(NETWORKDAYS(P663,P663,JoursFeries),MEDIAN(MOD(P663,1),HFer,HOuv),HFer)-IF(NETWORKDAYS(O663,O663,JoursFeries),MEDIAN(MOD(O663,1),HFer,HOuv),HOuv))*24,4))))</f>
        <v/>
      </c>
      <c r="AV663" s="37" t="str">
        <f aca="false">IF(AO663&lt;&gt;1,"",IF(OR(P663="",Q663=""),"",IF(Q663&lt;P663,"",ROUND(((NETWORKDAYS(P663,Q663,JoursFeries)-1)*(HFer-HOuv)+IF(NETWORKDAYS(Q663,Q663,JoursFeries),MEDIAN(MOD(Q663,1),HFer,HOuv),HFer)-IF(NETWORKDAYS(P663,P663,JoursFeries),MEDIAN(MOD(P663,1),HFer,HOuv),HOuv))*24,4))))</f>
        <v/>
      </c>
      <c r="AW663" s="37" t="str">
        <f aca="false">IF(AO663&lt;&gt;1,"",IFERROR(ROUND(IF(OR(P663="",R663=""),"",IF(R663&lt;P663,"",ROUND(((NETWORKDAYS(P663,R663,JoursFeries)-1)*(HFer-HOuv)+IF(NETWORKDAYS(R663,R663,JoursFeries),MEDIAN(MOD(R663,1),HFer,HOuv),HFer)-IF(NETWORKDAYS(P663,P663,JoursFeries),MEDIAN(MOD(P663,1),HFer,HOuv),HOuv))*24,4)))/HJour,4),""))</f>
        <v/>
      </c>
      <c r="AX663" s="37" t="str">
        <f aca="false">IF(AO663&lt;&gt;1,"",IFERROR(ROUND(IF(OR(P663="",S663=""),"",IF(S663&lt;P663,"",ROUND(((NETWORKDAYS(P663,S663,JoursFeries)-1)*(HFer-HOuv)+IF(NETWORKDAYS(S663,S663,JoursFeries),MEDIAN(MOD(S663,1),HFer,HOuv),HFer)-IF(NETWORKDAYS(P663,P663,JoursFeries),MEDIAN(MOD(P663,1),HFer,HOuv),HOuv))*24,4)))/HJour,4),""))</f>
        <v/>
      </c>
      <c r="AY663" s="36" t="str">
        <f aca="false">IF(OR(AO663&lt;&gt;1,AR663=""),"",INDEX(SLA_PEC,AR663))</f>
        <v/>
      </c>
      <c r="AZ663" s="35" t="str">
        <f aca="false">IF(OR(AV663="",AY663=""),"",IF(AV663&lt;=AY663,1,0))</f>
        <v/>
      </c>
      <c r="BA663" s="36" t="str">
        <f aca="false">IF(OR(AO663&lt;&gt;1,AR663=""),"",INDEX(SLA_RES,AR663))</f>
        <v/>
      </c>
      <c r="BB663" s="35" t="str">
        <f aca="false">IF(OR(AW663="",BA663=""),"",IF(AW663&lt;=BA663,1,0))</f>
        <v/>
      </c>
      <c r="BC663" s="38" t="str">
        <f aca="false">IF(OR(BA663="",P663=""),"",WORKDAY(INT(P663),BA663,JoursFeries)+MOD(P663,1))</f>
        <v/>
      </c>
      <c r="BD663" s="39" t="str">
        <f aca="false">IF(AO663&lt;&gt;1,"",IF(OR(AB663&lt;&gt;"",AD663&lt;&gt;""),4,IF(U663&lt;&gt;"",3,IF(T663&lt;&gt;"",2,1))))</f>
        <v/>
      </c>
      <c r="BE663" s="39" t="str">
        <f aca="false">IF(OR(AO663&lt;&gt;1,AR663=""),"",INDEX(NIV_REQ,AR663))</f>
        <v/>
      </c>
      <c r="BF663" s="39" t="str">
        <f aca="false">IF(BE663="","",MAX(BE663,IF(OR(K663="Oui",Z663="Oui"),4,1)))</f>
        <v/>
      </c>
      <c r="BG663" s="35" t="str">
        <f aca="false">IF(OR(BF663="",BD663=""),"",IF(BD663&gt;=BF663,1,0))</f>
        <v/>
      </c>
      <c r="BH663" s="38" t="str">
        <f aca="false">IF(BE663="","",IF(BE663&lt;2,"",IF(BE663=2,IF(AND(T663="",U663=""),"",MIN(T663,U663)),IF(U663="","",U663))))</f>
        <v/>
      </c>
      <c r="BI663" s="37" t="str">
        <f aca="false">IF(BH663="","",IF(OR(O663="",BH663=""),"",IF(BH663&lt;O663,"",ROUND(((NETWORKDAYS(O663,BH663,JoursFeries)-1)*(HFer-HOuv)+IF(NETWORKDAYS(BH663,BH663,JoursFeries),MEDIAN(MOD(BH663,1),HFer,HOuv),HFer)-IF(NETWORKDAYS(O663,O663,JoursFeries),MEDIAN(MOD(O663,1),HFer,HOuv),HOuv))*24,4))))</f>
        <v/>
      </c>
      <c r="BJ663" s="35" t="str">
        <f aca="false">IF(OR(BI663="",AR663=""),"",IF(BI663&lt;=INDEX(DELAI_ESC,AR663),1,0))</f>
        <v/>
      </c>
      <c r="BK663" s="38" t="str">
        <f aca="false">IF(AO663&lt;&gt;1,"",IF(AND(T663="",U663=""),"",MIN(T663,U663)))</f>
        <v/>
      </c>
      <c r="BL663" s="37" t="str">
        <f aca="false">IF(OR(BK663="",R663=""),"",IFERROR(ROUND(IF(OR(BK663="",R663=""),"",IF(R663&lt;BK663,"",ROUND(((NETWORKDAYS(BK663,R663,JoursFeries)-1)*(HFer-HOuv)+IF(NETWORKDAYS(R663,R663,JoursFeries),MEDIAN(MOD(R663,1),HFer,HOuv),HFer)-IF(NETWORKDAYS(BK663,BK663,JoursFeries),MEDIAN(MOD(BK663,1),HFer,HOuv),HOuv))*24,4)))/HJour,4),""))</f>
        <v/>
      </c>
      <c r="BM663" s="35" t="str">
        <f aca="false">IF(OR(AO663&lt;&gt;1,R663=""),"",IF(BD663=1,1,0))</f>
        <v/>
      </c>
      <c r="BN663" s="35" t="str">
        <f aca="false">IF(AO663&lt;&gt;1,"",IF(W663="Oui",1,0))</f>
        <v/>
      </c>
      <c r="BO663" s="35" t="str">
        <f aca="false">IF(AO663&lt;&gt;1,"",IF(X663&lt;&gt;"",1,0))</f>
        <v/>
      </c>
      <c r="BP663" s="35" t="str">
        <f aca="false">IF(AO663&lt;&gt;1,"",IF(Y663="Oui",1,0))</f>
        <v/>
      </c>
      <c r="BQ663" s="35" t="str">
        <f aca="true">IF(OR(AO663&lt;&gt;1,Z663&lt;&gt;"Oui"),"",IF(AB663="",IF(AND(AA663&lt;&gt;"",NOW()&gt;AA663),0,""),IF(AA663="","",IF(AB663&lt;=AA663,1,0))))</f>
        <v/>
      </c>
      <c r="BR663" s="38" t="str">
        <f aca="false">IF(OR(AO663&lt;&gt;1,K663&lt;&gt;"Oui",O663=""),"",IF(AC663="",O663+DORA_H_DET/24,IF(AC663-O663&lt;=DORA_H_DET/24,MIN(AC663+DORA_H_CLA/24,O663+DORA_H_DET/24),AC663+DORA_H_CLA/24)))</f>
        <v/>
      </c>
      <c r="BS663" s="35" t="str">
        <f aca="true">IF(BR663="","",IF(AD663="",IF(NOW()&gt;BR663,0,""),IF(AD663&lt;=BR663,1,0)))</f>
        <v/>
      </c>
      <c r="BT663" s="35" t="str">
        <f aca="true">IF(OR(BR663="",AD663=""),"",IF(AE663="",IF(NOW()&gt;AD663+DORA_H_INT/24,0,""),IF(AE663&lt;=AD663+DORA_H_INT/24,1,0)))</f>
        <v/>
      </c>
      <c r="BU663" s="35" t="str">
        <f aca="true">IF(OR(BR663="",AE663=""),"",IF(AF663="",IF(NOW()&gt;EDATE(AE663,DORA_M_FIN)+1,0,""),IF(AF663&lt;=EDATE(AE663,DORA_M_FIN),1,0)))</f>
        <v/>
      </c>
      <c r="BV663" s="35" t="str">
        <f aca="false">IF(BR663="","",IF(COUNT(BS663:BU663)=0,"",MIN(BS663:BU663)))</f>
        <v/>
      </c>
      <c r="BW663" s="40" t="str">
        <f aca="false">IF(AQ663&lt;&gt;1,"",IF(AND(AG663="",AH663=""),"",N(AG663)-N(AH663)))</f>
        <v/>
      </c>
      <c r="BX663" s="35" t="str">
        <f aca="true">IF(OR(AQ663&lt;&gt;1,AI663&lt;&gt;"Oui",AJ663=""),"",IF(AK663="",IF(NOW()&gt;AJ663+1,0,""),IF(AK663&lt;=AJ663,1,0)))</f>
        <v/>
      </c>
    </row>
    <row r="664" customFormat="false" ht="15" hidden="false" customHeight="false" outlineLevel="0" collapsed="false">
      <c r="B664" s="29"/>
      <c r="C664" s="29"/>
      <c r="D664" s="29"/>
      <c r="E664" s="29"/>
      <c r="F664" s="29"/>
      <c r="G664" s="29"/>
      <c r="H664" s="29"/>
      <c r="I664" s="29"/>
      <c r="J664" s="29"/>
      <c r="K664" s="29"/>
      <c r="L664" s="29"/>
      <c r="M664" s="29"/>
      <c r="N664" s="30"/>
      <c r="O664" s="30"/>
      <c r="P664" s="30"/>
      <c r="Q664" s="30"/>
      <c r="R664" s="30"/>
      <c r="S664" s="30"/>
      <c r="T664" s="30"/>
      <c r="U664" s="30"/>
      <c r="V664" s="31"/>
      <c r="W664" s="29"/>
      <c r="X664" s="29"/>
      <c r="Y664" s="29"/>
      <c r="Z664" s="29"/>
      <c r="AA664" s="30"/>
      <c r="AB664" s="30"/>
      <c r="AC664" s="30"/>
      <c r="AD664" s="30"/>
      <c r="AE664" s="30"/>
      <c r="AF664" s="32"/>
      <c r="AG664" s="33"/>
      <c r="AH664" s="33"/>
      <c r="AI664" s="29"/>
      <c r="AJ664" s="32"/>
      <c r="AK664" s="32"/>
      <c r="AL664" s="29"/>
      <c r="AN664" s="34" t="str">
        <f aca="false">IF($B664="","",IF(OR(C664="",D664="",E664="",G664="",I664="",J664="",L664="",O664="",P664=""),"Champ obligatoire manquant",IF(OR(AND(N664&lt;&gt;"",N664&gt;O664),O664&gt;P664,AND(Q664&lt;&gt;"",Q664&lt;P664),AND(R664&lt;&gt;"",R664&lt;P664),AND(S664&lt;&gt;"",S664&lt;R664),AND(S664&lt;&gt;"",R664=""),AND(T664&lt;&gt;"",T664&lt;O664),AND(U664&lt;&gt;"",U664&lt;O664)),"Chronologie incohérente",IF(AND(OR(L664="Résolu",L664="Clos"),R664=""),"Date de résolution manquante",IF(AND(L664="Clos",S664=""),"Date de clôture manquante",IF(AND(K664="Oui",AC664=""),"Classification DORA manquante","OK"))))))</f>
        <v/>
      </c>
      <c r="AO664" s="35" t="str">
        <f aca="false">IF($B664="","",IF(AND(C664="Incident",L664&lt;&gt;"Annulé"),1,0))</f>
        <v/>
      </c>
      <c r="AP664" s="35" t="str">
        <f aca="false">IF($B664="","",IF(AND(C664="Quasi-incident",L664&lt;&gt;"Annulé"),1,0))</f>
        <v/>
      </c>
      <c r="AQ664" s="35" t="str">
        <f aca="false">IF($B664="","",AO664+AP664)</f>
        <v/>
      </c>
      <c r="AR664" s="36" t="str">
        <f aca="false">IF(OR($B664="",J664=""),"",IFERROR(VALUE(LEFT(J664,1)),""))</f>
        <v/>
      </c>
      <c r="AS664" s="35" t="str">
        <f aca="false">IF(OR(AO664&lt;&gt;1,G664=""),"",IFERROR(IF(INDEX(L_SrcInterne,MATCH(G664,L_Sources,0))="Oui",1,0),""))</f>
        <v/>
      </c>
      <c r="AT664" s="37" t="str">
        <f aca="false">IF(AO664&lt;&gt;1,"",IFERROR(ROUND(IF(OR(N664="",O664=""),"",IF(O664&lt;N664,"",ROUND(((NETWORKDAYS(N664,O664,JoursFeries)-1)*(HFer-HOuv)+IF(NETWORKDAYS(O664,O664,JoursFeries),MEDIAN(MOD(O664,1),HFer,HOuv),HFer)-IF(NETWORKDAYS(N664,N664,JoursFeries),MEDIAN(MOD(N664,1),HFer,HOuv),HOuv))*24,4)))/HJour,4),""))</f>
        <v/>
      </c>
      <c r="AU664" s="37" t="str">
        <f aca="false">IF(AO664&lt;&gt;1,"",IF(OR(O664="",P664=""),"",IF(P664&lt;O664,"",ROUND(((NETWORKDAYS(O664,P664,JoursFeries)-1)*(HFer-HOuv)+IF(NETWORKDAYS(P664,P664,JoursFeries),MEDIAN(MOD(P664,1),HFer,HOuv),HFer)-IF(NETWORKDAYS(O664,O664,JoursFeries),MEDIAN(MOD(O664,1),HFer,HOuv),HOuv))*24,4))))</f>
        <v/>
      </c>
      <c r="AV664" s="37" t="str">
        <f aca="false">IF(AO664&lt;&gt;1,"",IF(OR(P664="",Q664=""),"",IF(Q664&lt;P664,"",ROUND(((NETWORKDAYS(P664,Q664,JoursFeries)-1)*(HFer-HOuv)+IF(NETWORKDAYS(Q664,Q664,JoursFeries),MEDIAN(MOD(Q664,1),HFer,HOuv),HFer)-IF(NETWORKDAYS(P664,P664,JoursFeries),MEDIAN(MOD(P664,1),HFer,HOuv),HOuv))*24,4))))</f>
        <v/>
      </c>
      <c r="AW664" s="37" t="str">
        <f aca="false">IF(AO664&lt;&gt;1,"",IFERROR(ROUND(IF(OR(P664="",R664=""),"",IF(R664&lt;P664,"",ROUND(((NETWORKDAYS(P664,R664,JoursFeries)-1)*(HFer-HOuv)+IF(NETWORKDAYS(R664,R664,JoursFeries),MEDIAN(MOD(R664,1),HFer,HOuv),HFer)-IF(NETWORKDAYS(P664,P664,JoursFeries),MEDIAN(MOD(P664,1),HFer,HOuv),HOuv))*24,4)))/HJour,4),""))</f>
        <v/>
      </c>
      <c r="AX664" s="37" t="str">
        <f aca="false">IF(AO664&lt;&gt;1,"",IFERROR(ROUND(IF(OR(P664="",S664=""),"",IF(S664&lt;P664,"",ROUND(((NETWORKDAYS(P664,S664,JoursFeries)-1)*(HFer-HOuv)+IF(NETWORKDAYS(S664,S664,JoursFeries),MEDIAN(MOD(S664,1),HFer,HOuv),HFer)-IF(NETWORKDAYS(P664,P664,JoursFeries),MEDIAN(MOD(P664,1),HFer,HOuv),HOuv))*24,4)))/HJour,4),""))</f>
        <v/>
      </c>
      <c r="AY664" s="36" t="str">
        <f aca="false">IF(OR(AO664&lt;&gt;1,AR664=""),"",INDEX(SLA_PEC,AR664))</f>
        <v/>
      </c>
      <c r="AZ664" s="35" t="str">
        <f aca="false">IF(OR(AV664="",AY664=""),"",IF(AV664&lt;=AY664,1,0))</f>
        <v/>
      </c>
      <c r="BA664" s="36" t="str">
        <f aca="false">IF(OR(AO664&lt;&gt;1,AR664=""),"",INDEX(SLA_RES,AR664))</f>
        <v/>
      </c>
      <c r="BB664" s="35" t="str">
        <f aca="false">IF(OR(AW664="",BA664=""),"",IF(AW664&lt;=BA664,1,0))</f>
        <v/>
      </c>
      <c r="BC664" s="38" t="str">
        <f aca="false">IF(OR(BA664="",P664=""),"",WORKDAY(INT(P664),BA664,JoursFeries)+MOD(P664,1))</f>
        <v/>
      </c>
      <c r="BD664" s="39" t="str">
        <f aca="false">IF(AO664&lt;&gt;1,"",IF(OR(AB664&lt;&gt;"",AD664&lt;&gt;""),4,IF(U664&lt;&gt;"",3,IF(T664&lt;&gt;"",2,1))))</f>
        <v/>
      </c>
      <c r="BE664" s="39" t="str">
        <f aca="false">IF(OR(AO664&lt;&gt;1,AR664=""),"",INDEX(NIV_REQ,AR664))</f>
        <v/>
      </c>
      <c r="BF664" s="39" t="str">
        <f aca="false">IF(BE664="","",MAX(BE664,IF(OR(K664="Oui",Z664="Oui"),4,1)))</f>
        <v/>
      </c>
      <c r="BG664" s="35" t="str">
        <f aca="false">IF(OR(BF664="",BD664=""),"",IF(BD664&gt;=BF664,1,0))</f>
        <v/>
      </c>
      <c r="BH664" s="38" t="str">
        <f aca="false">IF(BE664="","",IF(BE664&lt;2,"",IF(BE664=2,IF(AND(T664="",U664=""),"",MIN(T664,U664)),IF(U664="","",U664))))</f>
        <v/>
      </c>
      <c r="BI664" s="37" t="str">
        <f aca="false">IF(BH664="","",IF(OR(O664="",BH664=""),"",IF(BH664&lt;O664,"",ROUND(((NETWORKDAYS(O664,BH664,JoursFeries)-1)*(HFer-HOuv)+IF(NETWORKDAYS(BH664,BH664,JoursFeries),MEDIAN(MOD(BH664,1),HFer,HOuv),HFer)-IF(NETWORKDAYS(O664,O664,JoursFeries),MEDIAN(MOD(O664,1),HFer,HOuv),HOuv))*24,4))))</f>
        <v/>
      </c>
      <c r="BJ664" s="35" t="str">
        <f aca="false">IF(OR(BI664="",AR664=""),"",IF(BI664&lt;=INDEX(DELAI_ESC,AR664),1,0))</f>
        <v/>
      </c>
      <c r="BK664" s="38" t="str">
        <f aca="false">IF(AO664&lt;&gt;1,"",IF(AND(T664="",U664=""),"",MIN(T664,U664)))</f>
        <v/>
      </c>
      <c r="BL664" s="37" t="str">
        <f aca="false">IF(OR(BK664="",R664=""),"",IFERROR(ROUND(IF(OR(BK664="",R664=""),"",IF(R664&lt;BK664,"",ROUND(((NETWORKDAYS(BK664,R664,JoursFeries)-1)*(HFer-HOuv)+IF(NETWORKDAYS(R664,R664,JoursFeries),MEDIAN(MOD(R664,1),HFer,HOuv),HFer)-IF(NETWORKDAYS(BK664,BK664,JoursFeries),MEDIAN(MOD(BK664,1),HFer,HOuv),HOuv))*24,4)))/HJour,4),""))</f>
        <v/>
      </c>
      <c r="BM664" s="35" t="str">
        <f aca="false">IF(OR(AO664&lt;&gt;1,R664=""),"",IF(BD664=1,1,0))</f>
        <v/>
      </c>
      <c r="BN664" s="35" t="str">
        <f aca="false">IF(AO664&lt;&gt;1,"",IF(W664="Oui",1,0))</f>
        <v/>
      </c>
      <c r="BO664" s="35" t="str">
        <f aca="false">IF(AO664&lt;&gt;1,"",IF(X664&lt;&gt;"",1,0))</f>
        <v/>
      </c>
      <c r="BP664" s="35" t="str">
        <f aca="false">IF(AO664&lt;&gt;1,"",IF(Y664="Oui",1,0))</f>
        <v/>
      </c>
      <c r="BQ664" s="35" t="str">
        <f aca="true">IF(OR(AO664&lt;&gt;1,Z664&lt;&gt;"Oui"),"",IF(AB664="",IF(AND(AA664&lt;&gt;"",NOW()&gt;AA664),0,""),IF(AA664="","",IF(AB664&lt;=AA664,1,0))))</f>
        <v/>
      </c>
      <c r="BR664" s="38" t="str">
        <f aca="false">IF(OR(AO664&lt;&gt;1,K664&lt;&gt;"Oui",O664=""),"",IF(AC664="",O664+DORA_H_DET/24,IF(AC664-O664&lt;=DORA_H_DET/24,MIN(AC664+DORA_H_CLA/24,O664+DORA_H_DET/24),AC664+DORA_H_CLA/24)))</f>
        <v/>
      </c>
      <c r="BS664" s="35" t="str">
        <f aca="true">IF(BR664="","",IF(AD664="",IF(NOW()&gt;BR664,0,""),IF(AD664&lt;=BR664,1,0)))</f>
        <v/>
      </c>
      <c r="BT664" s="35" t="str">
        <f aca="true">IF(OR(BR664="",AD664=""),"",IF(AE664="",IF(NOW()&gt;AD664+DORA_H_INT/24,0,""),IF(AE664&lt;=AD664+DORA_H_INT/24,1,0)))</f>
        <v/>
      </c>
      <c r="BU664" s="35" t="str">
        <f aca="true">IF(OR(BR664="",AE664=""),"",IF(AF664="",IF(NOW()&gt;EDATE(AE664,DORA_M_FIN)+1,0,""),IF(AF664&lt;=EDATE(AE664,DORA_M_FIN),1,0)))</f>
        <v/>
      </c>
      <c r="BV664" s="35" t="str">
        <f aca="false">IF(BR664="","",IF(COUNT(BS664:BU664)=0,"",MIN(BS664:BU664)))</f>
        <v/>
      </c>
      <c r="BW664" s="40" t="str">
        <f aca="false">IF(AQ664&lt;&gt;1,"",IF(AND(AG664="",AH664=""),"",N(AG664)-N(AH664)))</f>
        <v/>
      </c>
      <c r="BX664" s="35" t="str">
        <f aca="true">IF(OR(AQ664&lt;&gt;1,AI664&lt;&gt;"Oui",AJ664=""),"",IF(AK664="",IF(NOW()&gt;AJ664+1,0,""),IF(AK664&lt;=AJ664,1,0)))</f>
        <v/>
      </c>
    </row>
    <row r="665" customFormat="false" ht="15" hidden="false" customHeight="false" outlineLevel="0" collapsed="false">
      <c r="B665" s="29"/>
      <c r="C665" s="29"/>
      <c r="D665" s="29"/>
      <c r="E665" s="29"/>
      <c r="F665" s="29"/>
      <c r="G665" s="29"/>
      <c r="H665" s="29"/>
      <c r="I665" s="29"/>
      <c r="J665" s="29"/>
      <c r="K665" s="29"/>
      <c r="L665" s="29"/>
      <c r="M665" s="29"/>
      <c r="N665" s="30"/>
      <c r="O665" s="30"/>
      <c r="P665" s="30"/>
      <c r="Q665" s="30"/>
      <c r="R665" s="30"/>
      <c r="S665" s="30"/>
      <c r="T665" s="30"/>
      <c r="U665" s="30"/>
      <c r="V665" s="31"/>
      <c r="W665" s="29"/>
      <c r="X665" s="29"/>
      <c r="Y665" s="29"/>
      <c r="Z665" s="29"/>
      <c r="AA665" s="30"/>
      <c r="AB665" s="30"/>
      <c r="AC665" s="30"/>
      <c r="AD665" s="30"/>
      <c r="AE665" s="30"/>
      <c r="AF665" s="32"/>
      <c r="AG665" s="33"/>
      <c r="AH665" s="33"/>
      <c r="AI665" s="29"/>
      <c r="AJ665" s="32"/>
      <c r="AK665" s="32"/>
      <c r="AL665" s="29"/>
      <c r="AN665" s="34" t="str">
        <f aca="false">IF($B665="","",IF(OR(C665="",D665="",E665="",G665="",I665="",J665="",L665="",O665="",P665=""),"Champ obligatoire manquant",IF(OR(AND(N665&lt;&gt;"",N665&gt;O665),O665&gt;P665,AND(Q665&lt;&gt;"",Q665&lt;P665),AND(R665&lt;&gt;"",R665&lt;P665),AND(S665&lt;&gt;"",S665&lt;R665),AND(S665&lt;&gt;"",R665=""),AND(T665&lt;&gt;"",T665&lt;O665),AND(U665&lt;&gt;"",U665&lt;O665)),"Chronologie incohérente",IF(AND(OR(L665="Résolu",L665="Clos"),R665=""),"Date de résolution manquante",IF(AND(L665="Clos",S665=""),"Date de clôture manquante",IF(AND(K665="Oui",AC665=""),"Classification DORA manquante","OK"))))))</f>
        <v/>
      </c>
      <c r="AO665" s="35" t="str">
        <f aca="false">IF($B665="","",IF(AND(C665="Incident",L665&lt;&gt;"Annulé"),1,0))</f>
        <v/>
      </c>
      <c r="AP665" s="35" t="str">
        <f aca="false">IF($B665="","",IF(AND(C665="Quasi-incident",L665&lt;&gt;"Annulé"),1,0))</f>
        <v/>
      </c>
      <c r="AQ665" s="35" t="str">
        <f aca="false">IF($B665="","",AO665+AP665)</f>
        <v/>
      </c>
      <c r="AR665" s="36" t="str">
        <f aca="false">IF(OR($B665="",J665=""),"",IFERROR(VALUE(LEFT(J665,1)),""))</f>
        <v/>
      </c>
      <c r="AS665" s="35" t="str">
        <f aca="false">IF(OR(AO665&lt;&gt;1,G665=""),"",IFERROR(IF(INDEX(L_SrcInterne,MATCH(G665,L_Sources,0))="Oui",1,0),""))</f>
        <v/>
      </c>
      <c r="AT665" s="37" t="str">
        <f aca="false">IF(AO665&lt;&gt;1,"",IFERROR(ROUND(IF(OR(N665="",O665=""),"",IF(O665&lt;N665,"",ROUND(((NETWORKDAYS(N665,O665,JoursFeries)-1)*(HFer-HOuv)+IF(NETWORKDAYS(O665,O665,JoursFeries),MEDIAN(MOD(O665,1),HFer,HOuv),HFer)-IF(NETWORKDAYS(N665,N665,JoursFeries),MEDIAN(MOD(N665,1),HFer,HOuv),HOuv))*24,4)))/HJour,4),""))</f>
        <v/>
      </c>
      <c r="AU665" s="37" t="str">
        <f aca="false">IF(AO665&lt;&gt;1,"",IF(OR(O665="",P665=""),"",IF(P665&lt;O665,"",ROUND(((NETWORKDAYS(O665,P665,JoursFeries)-1)*(HFer-HOuv)+IF(NETWORKDAYS(P665,P665,JoursFeries),MEDIAN(MOD(P665,1),HFer,HOuv),HFer)-IF(NETWORKDAYS(O665,O665,JoursFeries),MEDIAN(MOD(O665,1),HFer,HOuv),HOuv))*24,4))))</f>
        <v/>
      </c>
      <c r="AV665" s="37" t="str">
        <f aca="false">IF(AO665&lt;&gt;1,"",IF(OR(P665="",Q665=""),"",IF(Q665&lt;P665,"",ROUND(((NETWORKDAYS(P665,Q665,JoursFeries)-1)*(HFer-HOuv)+IF(NETWORKDAYS(Q665,Q665,JoursFeries),MEDIAN(MOD(Q665,1),HFer,HOuv),HFer)-IF(NETWORKDAYS(P665,P665,JoursFeries),MEDIAN(MOD(P665,1),HFer,HOuv),HOuv))*24,4))))</f>
        <v/>
      </c>
      <c r="AW665" s="37" t="str">
        <f aca="false">IF(AO665&lt;&gt;1,"",IFERROR(ROUND(IF(OR(P665="",R665=""),"",IF(R665&lt;P665,"",ROUND(((NETWORKDAYS(P665,R665,JoursFeries)-1)*(HFer-HOuv)+IF(NETWORKDAYS(R665,R665,JoursFeries),MEDIAN(MOD(R665,1),HFer,HOuv),HFer)-IF(NETWORKDAYS(P665,P665,JoursFeries),MEDIAN(MOD(P665,1),HFer,HOuv),HOuv))*24,4)))/HJour,4),""))</f>
        <v/>
      </c>
      <c r="AX665" s="37" t="str">
        <f aca="false">IF(AO665&lt;&gt;1,"",IFERROR(ROUND(IF(OR(P665="",S665=""),"",IF(S665&lt;P665,"",ROUND(((NETWORKDAYS(P665,S665,JoursFeries)-1)*(HFer-HOuv)+IF(NETWORKDAYS(S665,S665,JoursFeries),MEDIAN(MOD(S665,1),HFer,HOuv),HFer)-IF(NETWORKDAYS(P665,P665,JoursFeries),MEDIAN(MOD(P665,1),HFer,HOuv),HOuv))*24,4)))/HJour,4),""))</f>
        <v/>
      </c>
      <c r="AY665" s="36" t="str">
        <f aca="false">IF(OR(AO665&lt;&gt;1,AR665=""),"",INDEX(SLA_PEC,AR665))</f>
        <v/>
      </c>
      <c r="AZ665" s="35" t="str">
        <f aca="false">IF(OR(AV665="",AY665=""),"",IF(AV665&lt;=AY665,1,0))</f>
        <v/>
      </c>
      <c r="BA665" s="36" t="str">
        <f aca="false">IF(OR(AO665&lt;&gt;1,AR665=""),"",INDEX(SLA_RES,AR665))</f>
        <v/>
      </c>
      <c r="BB665" s="35" t="str">
        <f aca="false">IF(OR(AW665="",BA665=""),"",IF(AW665&lt;=BA665,1,0))</f>
        <v/>
      </c>
      <c r="BC665" s="38" t="str">
        <f aca="false">IF(OR(BA665="",P665=""),"",WORKDAY(INT(P665),BA665,JoursFeries)+MOD(P665,1))</f>
        <v/>
      </c>
      <c r="BD665" s="39" t="str">
        <f aca="false">IF(AO665&lt;&gt;1,"",IF(OR(AB665&lt;&gt;"",AD665&lt;&gt;""),4,IF(U665&lt;&gt;"",3,IF(T665&lt;&gt;"",2,1))))</f>
        <v/>
      </c>
      <c r="BE665" s="39" t="str">
        <f aca="false">IF(OR(AO665&lt;&gt;1,AR665=""),"",INDEX(NIV_REQ,AR665))</f>
        <v/>
      </c>
      <c r="BF665" s="39" t="str">
        <f aca="false">IF(BE665="","",MAX(BE665,IF(OR(K665="Oui",Z665="Oui"),4,1)))</f>
        <v/>
      </c>
      <c r="BG665" s="35" t="str">
        <f aca="false">IF(OR(BF665="",BD665=""),"",IF(BD665&gt;=BF665,1,0))</f>
        <v/>
      </c>
      <c r="BH665" s="38" t="str">
        <f aca="false">IF(BE665="","",IF(BE665&lt;2,"",IF(BE665=2,IF(AND(T665="",U665=""),"",MIN(T665,U665)),IF(U665="","",U665))))</f>
        <v/>
      </c>
      <c r="BI665" s="37" t="str">
        <f aca="false">IF(BH665="","",IF(OR(O665="",BH665=""),"",IF(BH665&lt;O665,"",ROUND(((NETWORKDAYS(O665,BH665,JoursFeries)-1)*(HFer-HOuv)+IF(NETWORKDAYS(BH665,BH665,JoursFeries),MEDIAN(MOD(BH665,1),HFer,HOuv),HFer)-IF(NETWORKDAYS(O665,O665,JoursFeries),MEDIAN(MOD(O665,1),HFer,HOuv),HOuv))*24,4))))</f>
        <v/>
      </c>
      <c r="BJ665" s="35" t="str">
        <f aca="false">IF(OR(BI665="",AR665=""),"",IF(BI665&lt;=INDEX(DELAI_ESC,AR665),1,0))</f>
        <v/>
      </c>
      <c r="BK665" s="38" t="str">
        <f aca="false">IF(AO665&lt;&gt;1,"",IF(AND(T665="",U665=""),"",MIN(T665,U665)))</f>
        <v/>
      </c>
      <c r="BL665" s="37" t="str">
        <f aca="false">IF(OR(BK665="",R665=""),"",IFERROR(ROUND(IF(OR(BK665="",R665=""),"",IF(R665&lt;BK665,"",ROUND(((NETWORKDAYS(BK665,R665,JoursFeries)-1)*(HFer-HOuv)+IF(NETWORKDAYS(R665,R665,JoursFeries),MEDIAN(MOD(R665,1),HFer,HOuv),HFer)-IF(NETWORKDAYS(BK665,BK665,JoursFeries),MEDIAN(MOD(BK665,1),HFer,HOuv),HOuv))*24,4)))/HJour,4),""))</f>
        <v/>
      </c>
      <c r="BM665" s="35" t="str">
        <f aca="false">IF(OR(AO665&lt;&gt;1,R665=""),"",IF(BD665=1,1,0))</f>
        <v/>
      </c>
      <c r="BN665" s="35" t="str">
        <f aca="false">IF(AO665&lt;&gt;1,"",IF(W665="Oui",1,0))</f>
        <v/>
      </c>
      <c r="BO665" s="35" t="str">
        <f aca="false">IF(AO665&lt;&gt;1,"",IF(X665&lt;&gt;"",1,0))</f>
        <v/>
      </c>
      <c r="BP665" s="35" t="str">
        <f aca="false">IF(AO665&lt;&gt;1,"",IF(Y665="Oui",1,0))</f>
        <v/>
      </c>
      <c r="BQ665" s="35" t="str">
        <f aca="true">IF(OR(AO665&lt;&gt;1,Z665&lt;&gt;"Oui"),"",IF(AB665="",IF(AND(AA665&lt;&gt;"",NOW()&gt;AA665),0,""),IF(AA665="","",IF(AB665&lt;=AA665,1,0))))</f>
        <v/>
      </c>
      <c r="BR665" s="38" t="str">
        <f aca="false">IF(OR(AO665&lt;&gt;1,K665&lt;&gt;"Oui",O665=""),"",IF(AC665="",O665+DORA_H_DET/24,IF(AC665-O665&lt;=DORA_H_DET/24,MIN(AC665+DORA_H_CLA/24,O665+DORA_H_DET/24),AC665+DORA_H_CLA/24)))</f>
        <v/>
      </c>
      <c r="BS665" s="35" t="str">
        <f aca="true">IF(BR665="","",IF(AD665="",IF(NOW()&gt;BR665,0,""),IF(AD665&lt;=BR665,1,0)))</f>
        <v/>
      </c>
      <c r="BT665" s="35" t="str">
        <f aca="true">IF(OR(BR665="",AD665=""),"",IF(AE665="",IF(NOW()&gt;AD665+DORA_H_INT/24,0,""),IF(AE665&lt;=AD665+DORA_H_INT/24,1,0)))</f>
        <v/>
      </c>
      <c r="BU665" s="35" t="str">
        <f aca="true">IF(OR(BR665="",AE665=""),"",IF(AF665="",IF(NOW()&gt;EDATE(AE665,DORA_M_FIN)+1,0,""),IF(AF665&lt;=EDATE(AE665,DORA_M_FIN),1,0)))</f>
        <v/>
      </c>
      <c r="BV665" s="35" t="str">
        <f aca="false">IF(BR665="","",IF(COUNT(BS665:BU665)=0,"",MIN(BS665:BU665)))</f>
        <v/>
      </c>
      <c r="BW665" s="40" t="str">
        <f aca="false">IF(AQ665&lt;&gt;1,"",IF(AND(AG665="",AH665=""),"",N(AG665)-N(AH665)))</f>
        <v/>
      </c>
      <c r="BX665" s="35" t="str">
        <f aca="true">IF(OR(AQ665&lt;&gt;1,AI665&lt;&gt;"Oui",AJ665=""),"",IF(AK665="",IF(NOW()&gt;AJ665+1,0,""),IF(AK665&lt;=AJ665,1,0)))</f>
        <v/>
      </c>
    </row>
    <row r="666" customFormat="false" ht="15" hidden="false" customHeight="false" outlineLevel="0" collapsed="false">
      <c r="B666" s="29"/>
      <c r="C666" s="29"/>
      <c r="D666" s="29"/>
      <c r="E666" s="29"/>
      <c r="F666" s="29"/>
      <c r="G666" s="29"/>
      <c r="H666" s="29"/>
      <c r="I666" s="29"/>
      <c r="J666" s="29"/>
      <c r="K666" s="29"/>
      <c r="L666" s="29"/>
      <c r="M666" s="29"/>
      <c r="N666" s="30"/>
      <c r="O666" s="30"/>
      <c r="P666" s="30"/>
      <c r="Q666" s="30"/>
      <c r="R666" s="30"/>
      <c r="S666" s="30"/>
      <c r="T666" s="30"/>
      <c r="U666" s="30"/>
      <c r="V666" s="31"/>
      <c r="W666" s="29"/>
      <c r="X666" s="29"/>
      <c r="Y666" s="29"/>
      <c r="Z666" s="29"/>
      <c r="AA666" s="30"/>
      <c r="AB666" s="30"/>
      <c r="AC666" s="30"/>
      <c r="AD666" s="30"/>
      <c r="AE666" s="30"/>
      <c r="AF666" s="32"/>
      <c r="AG666" s="33"/>
      <c r="AH666" s="33"/>
      <c r="AI666" s="29"/>
      <c r="AJ666" s="32"/>
      <c r="AK666" s="32"/>
      <c r="AL666" s="29"/>
      <c r="AN666" s="34" t="str">
        <f aca="false">IF($B666="","",IF(OR(C666="",D666="",E666="",G666="",I666="",J666="",L666="",O666="",P666=""),"Champ obligatoire manquant",IF(OR(AND(N666&lt;&gt;"",N666&gt;O666),O666&gt;P666,AND(Q666&lt;&gt;"",Q666&lt;P666),AND(R666&lt;&gt;"",R666&lt;P666),AND(S666&lt;&gt;"",S666&lt;R666),AND(S666&lt;&gt;"",R666=""),AND(T666&lt;&gt;"",T666&lt;O666),AND(U666&lt;&gt;"",U666&lt;O666)),"Chronologie incohérente",IF(AND(OR(L666="Résolu",L666="Clos"),R666=""),"Date de résolution manquante",IF(AND(L666="Clos",S666=""),"Date de clôture manquante",IF(AND(K666="Oui",AC666=""),"Classification DORA manquante","OK"))))))</f>
        <v/>
      </c>
      <c r="AO666" s="35" t="str">
        <f aca="false">IF($B666="","",IF(AND(C666="Incident",L666&lt;&gt;"Annulé"),1,0))</f>
        <v/>
      </c>
      <c r="AP666" s="35" t="str">
        <f aca="false">IF($B666="","",IF(AND(C666="Quasi-incident",L666&lt;&gt;"Annulé"),1,0))</f>
        <v/>
      </c>
      <c r="AQ666" s="35" t="str">
        <f aca="false">IF($B666="","",AO666+AP666)</f>
        <v/>
      </c>
      <c r="AR666" s="36" t="str">
        <f aca="false">IF(OR($B666="",J666=""),"",IFERROR(VALUE(LEFT(J666,1)),""))</f>
        <v/>
      </c>
      <c r="AS666" s="35" t="str">
        <f aca="false">IF(OR(AO666&lt;&gt;1,G666=""),"",IFERROR(IF(INDEX(L_SrcInterne,MATCH(G666,L_Sources,0))="Oui",1,0),""))</f>
        <v/>
      </c>
      <c r="AT666" s="37" t="str">
        <f aca="false">IF(AO666&lt;&gt;1,"",IFERROR(ROUND(IF(OR(N666="",O666=""),"",IF(O666&lt;N666,"",ROUND(((NETWORKDAYS(N666,O666,JoursFeries)-1)*(HFer-HOuv)+IF(NETWORKDAYS(O666,O666,JoursFeries),MEDIAN(MOD(O666,1),HFer,HOuv),HFer)-IF(NETWORKDAYS(N666,N666,JoursFeries),MEDIAN(MOD(N666,1),HFer,HOuv),HOuv))*24,4)))/HJour,4),""))</f>
        <v/>
      </c>
      <c r="AU666" s="37" t="str">
        <f aca="false">IF(AO666&lt;&gt;1,"",IF(OR(O666="",P666=""),"",IF(P666&lt;O666,"",ROUND(((NETWORKDAYS(O666,P666,JoursFeries)-1)*(HFer-HOuv)+IF(NETWORKDAYS(P666,P666,JoursFeries),MEDIAN(MOD(P666,1),HFer,HOuv),HFer)-IF(NETWORKDAYS(O666,O666,JoursFeries),MEDIAN(MOD(O666,1),HFer,HOuv),HOuv))*24,4))))</f>
        <v/>
      </c>
      <c r="AV666" s="37" t="str">
        <f aca="false">IF(AO666&lt;&gt;1,"",IF(OR(P666="",Q666=""),"",IF(Q666&lt;P666,"",ROUND(((NETWORKDAYS(P666,Q666,JoursFeries)-1)*(HFer-HOuv)+IF(NETWORKDAYS(Q666,Q666,JoursFeries),MEDIAN(MOD(Q666,1),HFer,HOuv),HFer)-IF(NETWORKDAYS(P666,P666,JoursFeries),MEDIAN(MOD(P666,1),HFer,HOuv),HOuv))*24,4))))</f>
        <v/>
      </c>
      <c r="AW666" s="37" t="str">
        <f aca="false">IF(AO666&lt;&gt;1,"",IFERROR(ROUND(IF(OR(P666="",R666=""),"",IF(R666&lt;P666,"",ROUND(((NETWORKDAYS(P666,R666,JoursFeries)-1)*(HFer-HOuv)+IF(NETWORKDAYS(R666,R666,JoursFeries),MEDIAN(MOD(R666,1),HFer,HOuv),HFer)-IF(NETWORKDAYS(P666,P666,JoursFeries),MEDIAN(MOD(P666,1),HFer,HOuv),HOuv))*24,4)))/HJour,4),""))</f>
        <v/>
      </c>
      <c r="AX666" s="37" t="str">
        <f aca="false">IF(AO666&lt;&gt;1,"",IFERROR(ROUND(IF(OR(P666="",S666=""),"",IF(S666&lt;P666,"",ROUND(((NETWORKDAYS(P666,S666,JoursFeries)-1)*(HFer-HOuv)+IF(NETWORKDAYS(S666,S666,JoursFeries),MEDIAN(MOD(S666,1),HFer,HOuv),HFer)-IF(NETWORKDAYS(P666,P666,JoursFeries),MEDIAN(MOD(P666,1),HFer,HOuv),HOuv))*24,4)))/HJour,4),""))</f>
        <v/>
      </c>
      <c r="AY666" s="36" t="str">
        <f aca="false">IF(OR(AO666&lt;&gt;1,AR666=""),"",INDEX(SLA_PEC,AR666))</f>
        <v/>
      </c>
      <c r="AZ666" s="35" t="str">
        <f aca="false">IF(OR(AV666="",AY666=""),"",IF(AV666&lt;=AY666,1,0))</f>
        <v/>
      </c>
      <c r="BA666" s="36" t="str">
        <f aca="false">IF(OR(AO666&lt;&gt;1,AR666=""),"",INDEX(SLA_RES,AR666))</f>
        <v/>
      </c>
      <c r="BB666" s="35" t="str">
        <f aca="false">IF(OR(AW666="",BA666=""),"",IF(AW666&lt;=BA666,1,0))</f>
        <v/>
      </c>
      <c r="BC666" s="38" t="str">
        <f aca="false">IF(OR(BA666="",P666=""),"",WORKDAY(INT(P666),BA666,JoursFeries)+MOD(P666,1))</f>
        <v/>
      </c>
      <c r="BD666" s="39" t="str">
        <f aca="false">IF(AO666&lt;&gt;1,"",IF(OR(AB666&lt;&gt;"",AD666&lt;&gt;""),4,IF(U666&lt;&gt;"",3,IF(T666&lt;&gt;"",2,1))))</f>
        <v/>
      </c>
      <c r="BE666" s="39" t="str">
        <f aca="false">IF(OR(AO666&lt;&gt;1,AR666=""),"",INDEX(NIV_REQ,AR666))</f>
        <v/>
      </c>
      <c r="BF666" s="39" t="str">
        <f aca="false">IF(BE666="","",MAX(BE666,IF(OR(K666="Oui",Z666="Oui"),4,1)))</f>
        <v/>
      </c>
      <c r="BG666" s="35" t="str">
        <f aca="false">IF(OR(BF666="",BD666=""),"",IF(BD666&gt;=BF666,1,0))</f>
        <v/>
      </c>
      <c r="BH666" s="38" t="str">
        <f aca="false">IF(BE666="","",IF(BE666&lt;2,"",IF(BE666=2,IF(AND(T666="",U666=""),"",MIN(T666,U666)),IF(U666="","",U666))))</f>
        <v/>
      </c>
      <c r="BI666" s="37" t="str">
        <f aca="false">IF(BH666="","",IF(OR(O666="",BH666=""),"",IF(BH666&lt;O666,"",ROUND(((NETWORKDAYS(O666,BH666,JoursFeries)-1)*(HFer-HOuv)+IF(NETWORKDAYS(BH666,BH666,JoursFeries),MEDIAN(MOD(BH666,1),HFer,HOuv),HFer)-IF(NETWORKDAYS(O666,O666,JoursFeries),MEDIAN(MOD(O666,1),HFer,HOuv),HOuv))*24,4))))</f>
        <v/>
      </c>
      <c r="BJ666" s="35" t="str">
        <f aca="false">IF(OR(BI666="",AR666=""),"",IF(BI666&lt;=INDEX(DELAI_ESC,AR666),1,0))</f>
        <v/>
      </c>
      <c r="BK666" s="38" t="str">
        <f aca="false">IF(AO666&lt;&gt;1,"",IF(AND(T666="",U666=""),"",MIN(T666,U666)))</f>
        <v/>
      </c>
      <c r="BL666" s="37" t="str">
        <f aca="false">IF(OR(BK666="",R666=""),"",IFERROR(ROUND(IF(OR(BK666="",R666=""),"",IF(R666&lt;BK666,"",ROUND(((NETWORKDAYS(BK666,R666,JoursFeries)-1)*(HFer-HOuv)+IF(NETWORKDAYS(R666,R666,JoursFeries),MEDIAN(MOD(R666,1),HFer,HOuv),HFer)-IF(NETWORKDAYS(BK666,BK666,JoursFeries),MEDIAN(MOD(BK666,1),HFer,HOuv),HOuv))*24,4)))/HJour,4),""))</f>
        <v/>
      </c>
      <c r="BM666" s="35" t="str">
        <f aca="false">IF(OR(AO666&lt;&gt;1,R666=""),"",IF(BD666=1,1,0))</f>
        <v/>
      </c>
      <c r="BN666" s="35" t="str">
        <f aca="false">IF(AO666&lt;&gt;1,"",IF(W666="Oui",1,0))</f>
        <v/>
      </c>
      <c r="BO666" s="35" t="str">
        <f aca="false">IF(AO666&lt;&gt;1,"",IF(X666&lt;&gt;"",1,0))</f>
        <v/>
      </c>
      <c r="BP666" s="35" t="str">
        <f aca="false">IF(AO666&lt;&gt;1,"",IF(Y666="Oui",1,0))</f>
        <v/>
      </c>
      <c r="BQ666" s="35" t="str">
        <f aca="true">IF(OR(AO666&lt;&gt;1,Z666&lt;&gt;"Oui"),"",IF(AB666="",IF(AND(AA666&lt;&gt;"",NOW()&gt;AA666),0,""),IF(AA666="","",IF(AB666&lt;=AA666,1,0))))</f>
        <v/>
      </c>
      <c r="BR666" s="38" t="str">
        <f aca="false">IF(OR(AO666&lt;&gt;1,K666&lt;&gt;"Oui",O666=""),"",IF(AC666="",O666+DORA_H_DET/24,IF(AC666-O666&lt;=DORA_H_DET/24,MIN(AC666+DORA_H_CLA/24,O666+DORA_H_DET/24),AC666+DORA_H_CLA/24)))</f>
        <v/>
      </c>
      <c r="BS666" s="35" t="str">
        <f aca="true">IF(BR666="","",IF(AD666="",IF(NOW()&gt;BR666,0,""),IF(AD666&lt;=BR666,1,0)))</f>
        <v/>
      </c>
      <c r="BT666" s="35" t="str">
        <f aca="true">IF(OR(BR666="",AD666=""),"",IF(AE666="",IF(NOW()&gt;AD666+DORA_H_INT/24,0,""),IF(AE666&lt;=AD666+DORA_H_INT/24,1,0)))</f>
        <v/>
      </c>
      <c r="BU666" s="35" t="str">
        <f aca="true">IF(OR(BR666="",AE666=""),"",IF(AF666="",IF(NOW()&gt;EDATE(AE666,DORA_M_FIN)+1,0,""),IF(AF666&lt;=EDATE(AE666,DORA_M_FIN),1,0)))</f>
        <v/>
      </c>
      <c r="BV666" s="35" t="str">
        <f aca="false">IF(BR666="","",IF(COUNT(BS666:BU666)=0,"",MIN(BS666:BU666)))</f>
        <v/>
      </c>
      <c r="BW666" s="40" t="str">
        <f aca="false">IF(AQ666&lt;&gt;1,"",IF(AND(AG666="",AH666=""),"",N(AG666)-N(AH666)))</f>
        <v/>
      </c>
      <c r="BX666" s="35" t="str">
        <f aca="true">IF(OR(AQ666&lt;&gt;1,AI666&lt;&gt;"Oui",AJ666=""),"",IF(AK666="",IF(NOW()&gt;AJ666+1,0,""),IF(AK666&lt;=AJ666,1,0)))</f>
        <v/>
      </c>
    </row>
    <row r="667" customFormat="false" ht="15" hidden="false" customHeight="false" outlineLevel="0" collapsed="false">
      <c r="B667" s="29"/>
      <c r="C667" s="29"/>
      <c r="D667" s="29"/>
      <c r="E667" s="29"/>
      <c r="F667" s="29"/>
      <c r="G667" s="29"/>
      <c r="H667" s="29"/>
      <c r="I667" s="29"/>
      <c r="J667" s="29"/>
      <c r="K667" s="29"/>
      <c r="L667" s="29"/>
      <c r="M667" s="29"/>
      <c r="N667" s="30"/>
      <c r="O667" s="30"/>
      <c r="P667" s="30"/>
      <c r="Q667" s="30"/>
      <c r="R667" s="30"/>
      <c r="S667" s="30"/>
      <c r="T667" s="30"/>
      <c r="U667" s="30"/>
      <c r="V667" s="31"/>
      <c r="W667" s="29"/>
      <c r="X667" s="29"/>
      <c r="Y667" s="29"/>
      <c r="Z667" s="29"/>
      <c r="AA667" s="30"/>
      <c r="AB667" s="30"/>
      <c r="AC667" s="30"/>
      <c r="AD667" s="30"/>
      <c r="AE667" s="30"/>
      <c r="AF667" s="32"/>
      <c r="AG667" s="33"/>
      <c r="AH667" s="33"/>
      <c r="AI667" s="29"/>
      <c r="AJ667" s="32"/>
      <c r="AK667" s="32"/>
      <c r="AL667" s="29"/>
      <c r="AN667" s="34" t="str">
        <f aca="false">IF($B667="","",IF(OR(C667="",D667="",E667="",G667="",I667="",J667="",L667="",O667="",P667=""),"Champ obligatoire manquant",IF(OR(AND(N667&lt;&gt;"",N667&gt;O667),O667&gt;P667,AND(Q667&lt;&gt;"",Q667&lt;P667),AND(R667&lt;&gt;"",R667&lt;P667),AND(S667&lt;&gt;"",S667&lt;R667),AND(S667&lt;&gt;"",R667=""),AND(T667&lt;&gt;"",T667&lt;O667),AND(U667&lt;&gt;"",U667&lt;O667)),"Chronologie incohérente",IF(AND(OR(L667="Résolu",L667="Clos"),R667=""),"Date de résolution manquante",IF(AND(L667="Clos",S667=""),"Date de clôture manquante",IF(AND(K667="Oui",AC667=""),"Classification DORA manquante","OK"))))))</f>
        <v/>
      </c>
      <c r="AO667" s="35" t="str">
        <f aca="false">IF($B667="","",IF(AND(C667="Incident",L667&lt;&gt;"Annulé"),1,0))</f>
        <v/>
      </c>
      <c r="AP667" s="35" t="str">
        <f aca="false">IF($B667="","",IF(AND(C667="Quasi-incident",L667&lt;&gt;"Annulé"),1,0))</f>
        <v/>
      </c>
      <c r="AQ667" s="35" t="str">
        <f aca="false">IF($B667="","",AO667+AP667)</f>
        <v/>
      </c>
      <c r="AR667" s="36" t="str">
        <f aca="false">IF(OR($B667="",J667=""),"",IFERROR(VALUE(LEFT(J667,1)),""))</f>
        <v/>
      </c>
      <c r="AS667" s="35" t="str">
        <f aca="false">IF(OR(AO667&lt;&gt;1,G667=""),"",IFERROR(IF(INDEX(L_SrcInterne,MATCH(G667,L_Sources,0))="Oui",1,0),""))</f>
        <v/>
      </c>
      <c r="AT667" s="37" t="str">
        <f aca="false">IF(AO667&lt;&gt;1,"",IFERROR(ROUND(IF(OR(N667="",O667=""),"",IF(O667&lt;N667,"",ROUND(((NETWORKDAYS(N667,O667,JoursFeries)-1)*(HFer-HOuv)+IF(NETWORKDAYS(O667,O667,JoursFeries),MEDIAN(MOD(O667,1),HFer,HOuv),HFer)-IF(NETWORKDAYS(N667,N667,JoursFeries),MEDIAN(MOD(N667,1),HFer,HOuv),HOuv))*24,4)))/HJour,4),""))</f>
        <v/>
      </c>
      <c r="AU667" s="37" t="str">
        <f aca="false">IF(AO667&lt;&gt;1,"",IF(OR(O667="",P667=""),"",IF(P667&lt;O667,"",ROUND(((NETWORKDAYS(O667,P667,JoursFeries)-1)*(HFer-HOuv)+IF(NETWORKDAYS(P667,P667,JoursFeries),MEDIAN(MOD(P667,1),HFer,HOuv),HFer)-IF(NETWORKDAYS(O667,O667,JoursFeries),MEDIAN(MOD(O667,1),HFer,HOuv),HOuv))*24,4))))</f>
        <v/>
      </c>
      <c r="AV667" s="37" t="str">
        <f aca="false">IF(AO667&lt;&gt;1,"",IF(OR(P667="",Q667=""),"",IF(Q667&lt;P667,"",ROUND(((NETWORKDAYS(P667,Q667,JoursFeries)-1)*(HFer-HOuv)+IF(NETWORKDAYS(Q667,Q667,JoursFeries),MEDIAN(MOD(Q667,1),HFer,HOuv),HFer)-IF(NETWORKDAYS(P667,P667,JoursFeries),MEDIAN(MOD(P667,1),HFer,HOuv),HOuv))*24,4))))</f>
        <v/>
      </c>
      <c r="AW667" s="37" t="str">
        <f aca="false">IF(AO667&lt;&gt;1,"",IFERROR(ROUND(IF(OR(P667="",R667=""),"",IF(R667&lt;P667,"",ROUND(((NETWORKDAYS(P667,R667,JoursFeries)-1)*(HFer-HOuv)+IF(NETWORKDAYS(R667,R667,JoursFeries),MEDIAN(MOD(R667,1),HFer,HOuv),HFer)-IF(NETWORKDAYS(P667,P667,JoursFeries),MEDIAN(MOD(P667,1),HFer,HOuv),HOuv))*24,4)))/HJour,4),""))</f>
        <v/>
      </c>
      <c r="AX667" s="37" t="str">
        <f aca="false">IF(AO667&lt;&gt;1,"",IFERROR(ROUND(IF(OR(P667="",S667=""),"",IF(S667&lt;P667,"",ROUND(((NETWORKDAYS(P667,S667,JoursFeries)-1)*(HFer-HOuv)+IF(NETWORKDAYS(S667,S667,JoursFeries),MEDIAN(MOD(S667,1),HFer,HOuv),HFer)-IF(NETWORKDAYS(P667,P667,JoursFeries),MEDIAN(MOD(P667,1),HFer,HOuv),HOuv))*24,4)))/HJour,4),""))</f>
        <v/>
      </c>
      <c r="AY667" s="36" t="str">
        <f aca="false">IF(OR(AO667&lt;&gt;1,AR667=""),"",INDEX(SLA_PEC,AR667))</f>
        <v/>
      </c>
      <c r="AZ667" s="35" t="str">
        <f aca="false">IF(OR(AV667="",AY667=""),"",IF(AV667&lt;=AY667,1,0))</f>
        <v/>
      </c>
      <c r="BA667" s="36" t="str">
        <f aca="false">IF(OR(AO667&lt;&gt;1,AR667=""),"",INDEX(SLA_RES,AR667))</f>
        <v/>
      </c>
      <c r="BB667" s="35" t="str">
        <f aca="false">IF(OR(AW667="",BA667=""),"",IF(AW667&lt;=BA667,1,0))</f>
        <v/>
      </c>
      <c r="BC667" s="38" t="str">
        <f aca="false">IF(OR(BA667="",P667=""),"",WORKDAY(INT(P667),BA667,JoursFeries)+MOD(P667,1))</f>
        <v/>
      </c>
      <c r="BD667" s="39" t="str">
        <f aca="false">IF(AO667&lt;&gt;1,"",IF(OR(AB667&lt;&gt;"",AD667&lt;&gt;""),4,IF(U667&lt;&gt;"",3,IF(T667&lt;&gt;"",2,1))))</f>
        <v/>
      </c>
      <c r="BE667" s="39" t="str">
        <f aca="false">IF(OR(AO667&lt;&gt;1,AR667=""),"",INDEX(NIV_REQ,AR667))</f>
        <v/>
      </c>
      <c r="BF667" s="39" t="str">
        <f aca="false">IF(BE667="","",MAX(BE667,IF(OR(K667="Oui",Z667="Oui"),4,1)))</f>
        <v/>
      </c>
      <c r="BG667" s="35" t="str">
        <f aca="false">IF(OR(BF667="",BD667=""),"",IF(BD667&gt;=BF667,1,0))</f>
        <v/>
      </c>
      <c r="BH667" s="38" t="str">
        <f aca="false">IF(BE667="","",IF(BE667&lt;2,"",IF(BE667=2,IF(AND(T667="",U667=""),"",MIN(T667,U667)),IF(U667="","",U667))))</f>
        <v/>
      </c>
      <c r="BI667" s="37" t="str">
        <f aca="false">IF(BH667="","",IF(OR(O667="",BH667=""),"",IF(BH667&lt;O667,"",ROUND(((NETWORKDAYS(O667,BH667,JoursFeries)-1)*(HFer-HOuv)+IF(NETWORKDAYS(BH667,BH667,JoursFeries),MEDIAN(MOD(BH667,1),HFer,HOuv),HFer)-IF(NETWORKDAYS(O667,O667,JoursFeries),MEDIAN(MOD(O667,1),HFer,HOuv),HOuv))*24,4))))</f>
        <v/>
      </c>
      <c r="BJ667" s="35" t="str">
        <f aca="false">IF(OR(BI667="",AR667=""),"",IF(BI667&lt;=INDEX(DELAI_ESC,AR667),1,0))</f>
        <v/>
      </c>
      <c r="BK667" s="38" t="str">
        <f aca="false">IF(AO667&lt;&gt;1,"",IF(AND(T667="",U667=""),"",MIN(T667,U667)))</f>
        <v/>
      </c>
      <c r="BL667" s="37" t="str">
        <f aca="false">IF(OR(BK667="",R667=""),"",IFERROR(ROUND(IF(OR(BK667="",R667=""),"",IF(R667&lt;BK667,"",ROUND(((NETWORKDAYS(BK667,R667,JoursFeries)-1)*(HFer-HOuv)+IF(NETWORKDAYS(R667,R667,JoursFeries),MEDIAN(MOD(R667,1),HFer,HOuv),HFer)-IF(NETWORKDAYS(BK667,BK667,JoursFeries),MEDIAN(MOD(BK667,1),HFer,HOuv),HOuv))*24,4)))/HJour,4),""))</f>
        <v/>
      </c>
      <c r="BM667" s="35" t="str">
        <f aca="false">IF(OR(AO667&lt;&gt;1,R667=""),"",IF(BD667=1,1,0))</f>
        <v/>
      </c>
      <c r="BN667" s="35" t="str">
        <f aca="false">IF(AO667&lt;&gt;1,"",IF(W667="Oui",1,0))</f>
        <v/>
      </c>
      <c r="BO667" s="35" t="str">
        <f aca="false">IF(AO667&lt;&gt;1,"",IF(X667&lt;&gt;"",1,0))</f>
        <v/>
      </c>
      <c r="BP667" s="35" t="str">
        <f aca="false">IF(AO667&lt;&gt;1,"",IF(Y667="Oui",1,0))</f>
        <v/>
      </c>
      <c r="BQ667" s="35" t="str">
        <f aca="true">IF(OR(AO667&lt;&gt;1,Z667&lt;&gt;"Oui"),"",IF(AB667="",IF(AND(AA667&lt;&gt;"",NOW()&gt;AA667),0,""),IF(AA667="","",IF(AB667&lt;=AA667,1,0))))</f>
        <v/>
      </c>
      <c r="BR667" s="38" t="str">
        <f aca="false">IF(OR(AO667&lt;&gt;1,K667&lt;&gt;"Oui",O667=""),"",IF(AC667="",O667+DORA_H_DET/24,IF(AC667-O667&lt;=DORA_H_DET/24,MIN(AC667+DORA_H_CLA/24,O667+DORA_H_DET/24),AC667+DORA_H_CLA/24)))</f>
        <v/>
      </c>
      <c r="BS667" s="35" t="str">
        <f aca="true">IF(BR667="","",IF(AD667="",IF(NOW()&gt;BR667,0,""),IF(AD667&lt;=BR667,1,0)))</f>
        <v/>
      </c>
      <c r="BT667" s="35" t="str">
        <f aca="true">IF(OR(BR667="",AD667=""),"",IF(AE667="",IF(NOW()&gt;AD667+DORA_H_INT/24,0,""),IF(AE667&lt;=AD667+DORA_H_INT/24,1,0)))</f>
        <v/>
      </c>
      <c r="BU667" s="35" t="str">
        <f aca="true">IF(OR(BR667="",AE667=""),"",IF(AF667="",IF(NOW()&gt;EDATE(AE667,DORA_M_FIN)+1,0,""),IF(AF667&lt;=EDATE(AE667,DORA_M_FIN),1,0)))</f>
        <v/>
      </c>
      <c r="BV667" s="35" t="str">
        <f aca="false">IF(BR667="","",IF(COUNT(BS667:BU667)=0,"",MIN(BS667:BU667)))</f>
        <v/>
      </c>
      <c r="BW667" s="40" t="str">
        <f aca="false">IF(AQ667&lt;&gt;1,"",IF(AND(AG667="",AH667=""),"",N(AG667)-N(AH667)))</f>
        <v/>
      </c>
      <c r="BX667" s="35" t="str">
        <f aca="true">IF(OR(AQ667&lt;&gt;1,AI667&lt;&gt;"Oui",AJ667=""),"",IF(AK667="",IF(NOW()&gt;AJ667+1,0,""),IF(AK667&lt;=AJ667,1,0)))</f>
        <v/>
      </c>
    </row>
    <row r="668" customFormat="false" ht="15" hidden="false" customHeight="false" outlineLevel="0" collapsed="false">
      <c r="B668" s="29"/>
      <c r="C668" s="29"/>
      <c r="D668" s="29"/>
      <c r="E668" s="29"/>
      <c r="F668" s="29"/>
      <c r="G668" s="29"/>
      <c r="H668" s="29"/>
      <c r="I668" s="29"/>
      <c r="J668" s="29"/>
      <c r="K668" s="29"/>
      <c r="L668" s="29"/>
      <c r="M668" s="29"/>
      <c r="N668" s="30"/>
      <c r="O668" s="30"/>
      <c r="P668" s="30"/>
      <c r="Q668" s="30"/>
      <c r="R668" s="30"/>
      <c r="S668" s="30"/>
      <c r="T668" s="30"/>
      <c r="U668" s="30"/>
      <c r="V668" s="31"/>
      <c r="W668" s="29"/>
      <c r="X668" s="29"/>
      <c r="Y668" s="29"/>
      <c r="Z668" s="29"/>
      <c r="AA668" s="30"/>
      <c r="AB668" s="30"/>
      <c r="AC668" s="30"/>
      <c r="AD668" s="30"/>
      <c r="AE668" s="30"/>
      <c r="AF668" s="32"/>
      <c r="AG668" s="33"/>
      <c r="AH668" s="33"/>
      <c r="AI668" s="29"/>
      <c r="AJ668" s="32"/>
      <c r="AK668" s="32"/>
      <c r="AL668" s="29"/>
      <c r="AN668" s="34" t="str">
        <f aca="false">IF($B668="","",IF(OR(C668="",D668="",E668="",G668="",I668="",J668="",L668="",O668="",P668=""),"Champ obligatoire manquant",IF(OR(AND(N668&lt;&gt;"",N668&gt;O668),O668&gt;P668,AND(Q668&lt;&gt;"",Q668&lt;P668),AND(R668&lt;&gt;"",R668&lt;P668),AND(S668&lt;&gt;"",S668&lt;R668),AND(S668&lt;&gt;"",R668=""),AND(T668&lt;&gt;"",T668&lt;O668),AND(U668&lt;&gt;"",U668&lt;O668)),"Chronologie incohérente",IF(AND(OR(L668="Résolu",L668="Clos"),R668=""),"Date de résolution manquante",IF(AND(L668="Clos",S668=""),"Date de clôture manquante",IF(AND(K668="Oui",AC668=""),"Classification DORA manquante","OK"))))))</f>
        <v/>
      </c>
      <c r="AO668" s="35" t="str">
        <f aca="false">IF($B668="","",IF(AND(C668="Incident",L668&lt;&gt;"Annulé"),1,0))</f>
        <v/>
      </c>
      <c r="AP668" s="35" t="str">
        <f aca="false">IF($B668="","",IF(AND(C668="Quasi-incident",L668&lt;&gt;"Annulé"),1,0))</f>
        <v/>
      </c>
      <c r="AQ668" s="35" t="str">
        <f aca="false">IF($B668="","",AO668+AP668)</f>
        <v/>
      </c>
      <c r="AR668" s="36" t="str">
        <f aca="false">IF(OR($B668="",J668=""),"",IFERROR(VALUE(LEFT(J668,1)),""))</f>
        <v/>
      </c>
      <c r="AS668" s="35" t="str">
        <f aca="false">IF(OR(AO668&lt;&gt;1,G668=""),"",IFERROR(IF(INDEX(L_SrcInterne,MATCH(G668,L_Sources,0))="Oui",1,0),""))</f>
        <v/>
      </c>
      <c r="AT668" s="37" t="str">
        <f aca="false">IF(AO668&lt;&gt;1,"",IFERROR(ROUND(IF(OR(N668="",O668=""),"",IF(O668&lt;N668,"",ROUND(((NETWORKDAYS(N668,O668,JoursFeries)-1)*(HFer-HOuv)+IF(NETWORKDAYS(O668,O668,JoursFeries),MEDIAN(MOD(O668,1),HFer,HOuv),HFer)-IF(NETWORKDAYS(N668,N668,JoursFeries),MEDIAN(MOD(N668,1),HFer,HOuv),HOuv))*24,4)))/HJour,4),""))</f>
        <v/>
      </c>
      <c r="AU668" s="37" t="str">
        <f aca="false">IF(AO668&lt;&gt;1,"",IF(OR(O668="",P668=""),"",IF(P668&lt;O668,"",ROUND(((NETWORKDAYS(O668,P668,JoursFeries)-1)*(HFer-HOuv)+IF(NETWORKDAYS(P668,P668,JoursFeries),MEDIAN(MOD(P668,1),HFer,HOuv),HFer)-IF(NETWORKDAYS(O668,O668,JoursFeries),MEDIAN(MOD(O668,1),HFer,HOuv),HOuv))*24,4))))</f>
        <v/>
      </c>
      <c r="AV668" s="37" t="str">
        <f aca="false">IF(AO668&lt;&gt;1,"",IF(OR(P668="",Q668=""),"",IF(Q668&lt;P668,"",ROUND(((NETWORKDAYS(P668,Q668,JoursFeries)-1)*(HFer-HOuv)+IF(NETWORKDAYS(Q668,Q668,JoursFeries),MEDIAN(MOD(Q668,1),HFer,HOuv),HFer)-IF(NETWORKDAYS(P668,P668,JoursFeries),MEDIAN(MOD(P668,1),HFer,HOuv),HOuv))*24,4))))</f>
        <v/>
      </c>
      <c r="AW668" s="37" t="str">
        <f aca="false">IF(AO668&lt;&gt;1,"",IFERROR(ROUND(IF(OR(P668="",R668=""),"",IF(R668&lt;P668,"",ROUND(((NETWORKDAYS(P668,R668,JoursFeries)-1)*(HFer-HOuv)+IF(NETWORKDAYS(R668,R668,JoursFeries),MEDIAN(MOD(R668,1),HFer,HOuv),HFer)-IF(NETWORKDAYS(P668,P668,JoursFeries),MEDIAN(MOD(P668,1),HFer,HOuv),HOuv))*24,4)))/HJour,4),""))</f>
        <v/>
      </c>
      <c r="AX668" s="37" t="str">
        <f aca="false">IF(AO668&lt;&gt;1,"",IFERROR(ROUND(IF(OR(P668="",S668=""),"",IF(S668&lt;P668,"",ROUND(((NETWORKDAYS(P668,S668,JoursFeries)-1)*(HFer-HOuv)+IF(NETWORKDAYS(S668,S668,JoursFeries),MEDIAN(MOD(S668,1),HFer,HOuv),HFer)-IF(NETWORKDAYS(P668,P668,JoursFeries),MEDIAN(MOD(P668,1),HFer,HOuv),HOuv))*24,4)))/HJour,4),""))</f>
        <v/>
      </c>
      <c r="AY668" s="36" t="str">
        <f aca="false">IF(OR(AO668&lt;&gt;1,AR668=""),"",INDEX(SLA_PEC,AR668))</f>
        <v/>
      </c>
      <c r="AZ668" s="35" t="str">
        <f aca="false">IF(OR(AV668="",AY668=""),"",IF(AV668&lt;=AY668,1,0))</f>
        <v/>
      </c>
      <c r="BA668" s="36" t="str">
        <f aca="false">IF(OR(AO668&lt;&gt;1,AR668=""),"",INDEX(SLA_RES,AR668))</f>
        <v/>
      </c>
      <c r="BB668" s="35" t="str">
        <f aca="false">IF(OR(AW668="",BA668=""),"",IF(AW668&lt;=BA668,1,0))</f>
        <v/>
      </c>
      <c r="BC668" s="38" t="str">
        <f aca="false">IF(OR(BA668="",P668=""),"",WORKDAY(INT(P668),BA668,JoursFeries)+MOD(P668,1))</f>
        <v/>
      </c>
      <c r="BD668" s="39" t="str">
        <f aca="false">IF(AO668&lt;&gt;1,"",IF(OR(AB668&lt;&gt;"",AD668&lt;&gt;""),4,IF(U668&lt;&gt;"",3,IF(T668&lt;&gt;"",2,1))))</f>
        <v/>
      </c>
      <c r="BE668" s="39" t="str">
        <f aca="false">IF(OR(AO668&lt;&gt;1,AR668=""),"",INDEX(NIV_REQ,AR668))</f>
        <v/>
      </c>
      <c r="BF668" s="39" t="str">
        <f aca="false">IF(BE668="","",MAX(BE668,IF(OR(K668="Oui",Z668="Oui"),4,1)))</f>
        <v/>
      </c>
      <c r="BG668" s="35" t="str">
        <f aca="false">IF(OR(BF668="",BD668=""),"",IF(BD668&gt;=BF668,1,0))</f>
        <v/>
      </c>
      <c r="BH668" s="38" t="str">
        <f aca="false">IF(BE668="","",IF(BE668&lt;2,"",IF(BE668=2,IF(AND(T668="",U668=""),"",MIN(T668,U668)),IF(U668="","",U668))))</f>
        <v/>
      </c>
      <c r="BI668" s="37" t="str">
        <f aca="false">IF(BH668="","",IF(OR(O668="",BH668=""),"",IF(BH668&lt;O668,"",ROUND(((NETWORKDAYS(O668,BH668,JoursFeries)-1)*(HFer-HOuv)+IF(NETWORKDAYS(BH668,BH668,JoursFeries),MEDIAN(MOD(BH668,1),HFer,HOuv),HFer)-IF(NETWORKDAYS(O668,O668,JoursFeries),MEDIAN(MOD(O668,1),HFer,HOuv),HOuv))*24,4))))</f>
        <v/>
      </c>
      <c r="BJ668" s="35" t="str">
        <f aca="false">IF(OR(BI668="",AR668=""),"",IF(BI668&lt;=INDEX(DELAI_ESC,AR668),1,0))</f>
        <v/>
      </c>
      <c r="BK668" s="38" t="str">
        <f aca="false">IF(AO668&lt;&gt;1,"",IF(AND(T668="",U668=""),"",MIN(T668,U668)))</f>
        <v/>
      </c>
      <c r="BL668" s="37" t="str">
        <f aca="false">IF(OR(BK668="",R668=""),"",IFERROR(ROUND(IF(OR(BK668="",R668=""),"",IF(R668&lt;BK668,"",ROUND(((NETWORKDAYS(BK668,R668,JoursFeries)-1)*(HFer-HOuv)+IF(NETWORKDAYS(R668,R668,JoursFeries),MEDIAN(MOD(R668,1),HFer,HOuv),HFer)-IF(NETWORKDAYS(BK668,BK668,JoursFeries),MEDIAN(MOD(BK668,1),HFer,HOuv),HOuv))*24,4)))/HJour,4),""))</f>
        <v/>
      </c>
      <c r="BM668" s="35" t="str">
        <f aca="false">IF(OR(AO668&lt;&gt;1,R668=""),"",IF(BD668=1,1,0))</f>
        <v/>
      </c>
      <c r="BN668" s="35" t="str">
        <f aca="false">IF(AO668&lt;&gt;1,"",IF(W668="Oui",1,0))</f>
        <v/>
      </c>
      <c r="BO668" s="35" t="str">
        <f aca="false">IF(AO668&lt;&gt;1,"",IF(X668&lt;&gt;"",1,0))</f>
        <v/>
      </c>
      <c r="BP668" s="35" t="str">
        <f aca="false">IF(AO668&lt;&gt;1,"",IF(Y668="Oui",1,0))</f>
        <v/>
      </c>
      <c r="BQ668" s="35" t="str">
        <f aca="true">IF(OR(AO668&lt;&gt;1,Z668&lt;&gt;"Oui"),"",IF(AB668="",IF(AND(AA668&lt;&gt;"",NOW()&gt;AA668),0,""),IF(AA668="","",IF(AB668&lt;=AA668,1,0))))</f>
        <v/>
      </c>
      <c r="BR668" s="38" t="str">
        <f aca="false">IF(OR(AO668&lt;&gt;1,K668&lt;&gt;"Oui",O668=""),"",IF(AC668="",O668+DORA_H_DET/24,IF(AC668-O668&lt;=DORA_H_DET/24,MIN(AC668+DORA_H_CLA/24,O668+DORA_H_DET/24),AC668+DORA_H_CLA/24)))</f>
        <v/>
      </c>
      <c r="BS668" s="35" t="str">
        <f aca="true">IF(BR668="","",IF(AD668="",IF(NOW()&gt;BR668,0,""),IF(AD668&lt;=BR668,1,0)))</f>
        <v/>
      </c>
      <c r="BT668" s="35" t="str">
        <f aca="true">IF(OR(BR668="",AD668=""),"",IF(AE668="",IF(NOW()&gt;AD668+DORA_H_INT/24,0,""),IF(AE668&lt;=AD668+DORA_H_INT/24,1,0)))</f>
        <v/>
      </c>
      <c r="BU668" s="35" t="str">
        <f aca="true">IF(OR(BR668="",AE668=""),"",IF(AF668="",IF(NOW()&gt;EDATE(AE668,DORA_M_FIN)+1,0,""),IF(AF668&lt;=EDATE(AE668,DORA_M_FIN),1,0)))</f>
        <v/>
      </c>
      <c r="BV668" s="35" t="str">
        <f aca="false">IF(BR668="","",IF(COUNT(BS668:BU668)=0,"",MIN(BS668:BU668)))</f>
        <v/>
      </c>
      <c r="BW668" s="40" t="str">
        <f aca="false">IF(AQ668&lt;&gt;1,"",IF(AND(AG668="",AH668=""),"",N(AG668)-N(AH668)))</f>
        <v/>
      </c>
      <c r="BX668" s="35" t="str">
        <f aca="true">IF(OR(AQ668&lt;&gt;1,AI668&lt;&gt;"Oui",AJ668=""),"",IF(AK668="",IF(NOW()&gt;AJ668+1,0,""),IF(AK668&lt;=AJ668,1,0)))</f>
        <v/>
      </c>
    </row>
    <row r="669" customFormat="false" ht="15" hidden="false" customHeight="false" outlineLevel="0" collapsed="false">
      <c r="B669" s="29"/>
      <c r="C669" s="29"/>
      <c r="D669" s="29"/>
      <c r="E669" s="29"/>
      <c r="F669" s="29"/>
      <c r="G669" s="29"/>
      <c r="H669" s="29"/>
      <c r="I669" s="29"/>
      <c r="J669" s="29"/>
      <c r="K669" s="29"/>
      <c r="L669" s="29"/>
      <c r="M669" s="29"/>
      <c r="N669" s="30"/>
      <c r="O669" s="30"/>
      <c r="P669" s="30"/>
      <c r="Q669" s="30"/>
      <c r="R669" s="30"/>
      <c r="S669" s="30"/>
      <c r="T669" s="30"/>
      <c r="U669" s="30"/>
      <c r="V669" s="31"/>
      <c r="W669" s="29"/>
      <c r="X669" s="29"/>
      <c r="Y669" s="29"/>
      <c r="Z669" s="29"/>
      <c r="AA669" s="30"/>
      <c r="AB669" s="30"/>
      <c r="AC669" s="30"/>
      <c r="AD669" s="30"/>
      <c r="AE669" s="30"/>
      <c r="AF669" s="32"/>
      <c r="AG669" s="33"/>
      <c r="AH669" s="33"/>
      <c r="AI669" s="29"/>
      <c r="AJ669" s="32"/>
      <c r="AK669" s="32"/>
      <c r="AL669" s="29"/>
      <c r="AN669" s="34" t="str">
        <f aca="false">IF($B669="","",IF(OR(C669="",D669="",E669="",G669="",I669="",J669="",L669="",O669="",P669=""),"Champ obligatoire manquant",IF(OR(AND(N669&lt;&gt;"",N669&gt;O669),O669&gt;P669,AND(Q669&lt;&gt;"",Q669&lt;P669),AND(R669&lt;&gt;"",R669&lt;P669),AND(S669&lt;&gt;"",S669&lt;R669),AND(S669&lt;&gt;"",R669=""),AND(T669&lt;&gt;"",T669&lt;O669),AND(U669&lt;&gt;"",U669&lt;O669)),"Chronologie incohérente",IF(AND(OR(L669="Résolu",L669="Clos"),R669=""),"Date de résolution manquante",IF(AND(L669="Clos",S669=""),"Date de clôture manquante",IF(AND(K669="Oui",AC669=""),"Classification DORA manquante","OK"))))))</f>
        <v/>
      </c>
      <c r="AO669" s="35" t="str">
        <f aca="false">IF($B669="","",IF(AND(C669="Incident",L669&lt;&gt;"Annulé"),1,0))</f>
        <v/>
      </c>
      <c r="AP669" s="35" t="str">
        <f aca="false">IF($B669="","",IF(AND(C669="Quasi-incident",L669&lt;&gt;"Annulé"),1,0))</f>
        <v/>
      </c>
      <c r="AQ669" s="35" t="str">
        <f aca="false">IF($B669="","",AO669+AP669)</f>
        <v/>
      </c>
      <c r="AR669" s="36" t="str">
        <f aca="false">IF(OR($B669="",J669=""),"",IFERROR(VALUE(LEFT(J669,1)),""))</f>
        <v/>
      </c>
      <c r="AS669" s="35" t="str">
        <f aca="false">IF(OR(AO669&lt;&gt;1,G669=""),"",IFERROR(IF(INDEX(L_SrcInterne,MATCH(G669,L_Sources,0))="Oui",1,0),""))</f>
        <v/>
      </c>
      <c r="AT669" s="37" t="str">
        <f aca="false">IF(AO669&lt;&gt;1,"",IFERROR(ROUND(IF(OR(N669="",O669=""),"",IF(O669&lt;N669,"",ROUND(((NETWORKDAYS(N669,O669,JoursFeries)-1)*(HFer-HOuv)+IF(NETWORKDAYS(O669,O669,JoursFeries),MEDIAN(MOD(O669,1),HFer,HOuv),HFer)-IF(NETWORKDAYS(N669,N669,JoursFeries),MEDIAN(MOD(N669,1),HFer,HOuv),HOuv))*24,4)))/HJour,4),""))</f>
        <v/>
      </c>
      <c r="AU669" s="37" t="str">
        <f aca="false">IF(AO669&lt;&gt;1,"",IF(OR(O669="",P669=""),"",IF(P669&lt;O669,"",ROUND(((NETWORKDAYS(O669,P669,JoursFeries)-1)*(HFer-HOuv)+IF(NETWORKDAYS(P669,P669,JoursFeries),MEDIAN(MOD(P669,1),HFer,HOuv),HFer)-IF(NETWORKDAYS(O669,O669,JoursFeries),MEDIAN(MOD(O669,1),HFer,HOuv),HOuv))*24,4))))</f>
        <v/>
      </c>
      <c r="AV669" s="37" t="str">
        <f aca="false">IF(AO669&lt;&gt;1,"",IF(OR(P669="",Q669=""),"",IF(Q669&lt;P669,"",ROUND(((NETWORKDAYS(P669,Q669,JoursFeries)-1)*(HFer-HOuv)+IF(NETWORKDAYS(Q669,Q669,JoursFeries),MEDIAN(MOD(Q669,1),HFer,HOuv),HFer)-IF(NETWORKDAYS(P669,P669,JoursFeries),MEDIAN(MOD(P669,1),HFer,HOuv),HOuv))*24,4))))</f>
        <v/>
      </c>
      <c r="AW669" s="37" t="str">
        <f aca="false">IF(AO669&lt;&gt;1,"",IFERROR(ROUND(IF(OR(P669="",R669=""),"",IF(R669&lt;P669,"",ROUND(((NETWORKDAYS(P669,R669,JoursFeries)-1)*(HFer-HOuv)+IF(NETWORKDAYS(R669,R669,JoursFeries),MEDIAN(MOD(R669,1),HFer,HOuv),HFer)-IF(NETWORKDAYS(P669,P669,JoursFeries),MEDIAN(MOD(P669,1),HFer,HOuv),HOuv))*24,4)))/HJour,4),""))</f>
        <v/>
      </c>
      <c r="AX669" s="37" t="str">
        <f aca="false">IF(AO669&lt;&gt;1,"",IFERROR(ROUND(IF(OR(P669="",S669=""),"",IF(S669&lt;P669,"",ROUND(((NETWORKDAYS(P669,S669,JoursFeries)-1)*(HFer-HOuv)+IF(NETWORKDAYS(S669,S669,JoursFeries),MEDIAN(MOD(S669,1),HFer,HOuv),HFer)-IF(NETWORKDAYS(P669,P669,JoursFeries),MEDIAN(MOD(P669,1),HFer,HOuv),HOuv))*24,4)))/HJour,4),""))</f>
        <v/>
      </c>
      <c r="AY669" s="36" t="str">
        <f aca="false">IF(OR(AO669&lt;&gt;1,AR669=""),"",INDEX(SLA_PEC,AR669))</f>
        <v/>
      </c>
      <c r="AZ669" s="35" t="str">
        <f aca="false">IF(OR(AV669="",AY669=""),"",IF(AV669&lt;=AY669,1,0))</f>
        <v/>
      </c>
      <c r="BA669" s="36" t="str">
        <f aca="false">IF(OR(AO669&lt;&gt;1,AR669=""),"",INDEX(SLA_RES,AR669))</f>
        <v/>
      </c>
      <c r="BB669" s="35" t="str">
        <f aca="false">IF(OR(AW669="",BA669=""),"",IF(AW669&lt;=BA669,1,0))</f>
        <v/>
      </c>
      <c r="BC669" s="38" t="str">
        <f aca="false">IF(OR(BA669="",P669=""),"",WORKDAY(INT(P669),BA669,JoursFeries)+MOD(P669,1))</f>
        <v/>
      </c>
      <c r="BD669" s="39" t="str">
        <f aca="false">IF(AO669&lt;&gt;1,"",IF(OR(AB669&lt;&gt;"",AD669&lt;&gt;""),4,IF(U669&lt;&gt;"",3,IF(T669&lt;&gt;"",2,1))))</f>
        <v/>
      </c>
      <c r="BE669" s="39" t="str">
        <f aca="false">IF(OR(AO669&lt;&gt;1,AR669=""),"",INDEX(NIV_REQ,AR669))</f>
        <v/>
      </c>
      <c r="BF669" s="39" t="str">
        <f aca="false">IF(BE669="","",MAX(BE669,IF(OR(K669="Oui",Z669="Oui"),4,1)))</f>
        <v/>
      </c>
      <c r="BG669" s="35" t="str">
        <f aca="false">IF(OR(BF669="",BD669=""),"",IF(BD669&gt;=BF669,1,0))</f>
        <v/>
      </c>
      <c r="BH669" s="38" t="str">
        <f aca="false">IF(BE669="","",IF(BE669&lt;2,"",IF(BE669=2,IF(AND(T669="",U669=""),"",MIN(T669,U669)),IF(U669="","",U669))))</f>
        <v/>
      </c>
      <c r="BI669" s="37" t="str">
        <f aca="false">IF(BH669="","",IF(OR(O669="",BH669=""),"",IF(BH669&lt;O669,"",ROUND(((NETWORKDAYS(O669,BH669,JoursFeries)-1)*(HFer-HOuv)+IF(NETWORKDAYS(BH669,BH669,JoursFeries),MEDIAN(MOD(BH669,1),HFer,HOuv),HFer)-IF(NETWORKDAYS(O669,O669,JoursFeries),MEDIAN(MOD(O669,1),HFer,HOuv),HOuv))*24,4))))</f>
        <v/>
      </c>
      <c r="BJ669" s="35" t="str">
        <f aca="false">IF(OR(BI669="",AR669=""),"",IF(BI669&lt;=INDEX(DELAI_ESC,AR669),1,0))</f>
        <v/>
      </c>
      <c r="BK669" s="38" t="str">
        <f aca="false">IF(AO669&lt;&gt;1,"",IF(AND(T669="",U669=""),"",MIN(T669,U669)))</f>
        <v/>
      </c>
      <c r="BL669" s="37" t="str">
        <f aca="false">IF(OR(BK669="",R669=""),"",IFERROR(ROUND(IF(OR(BK669="",R669=""),"",IF(R669&lt;BK669,"",ROUND(((NETWORKDAYS(BK669,R669,JoursFeries)-1)*(HFer-HOuv)+IF(NETWORKDAYS(R669,R669,JoursFeries),MEDIAN(MOD(R669,1),HFer,HOuv),HFer)-IF(NETWORKDAYS(BK669,BK669,JoursFeries),MEDIAN(MOD(BK669,1),HFer,HOuv),HOuv))*24,4)))/HJour,4),""))</f>
        <v/>
      </c>
      <c r="BM669" s="35" t="str">
        <f aca="false">IF(OR(AO669&lt;&gt;1,R669=""),"",IF(BD669=1,1,0))</f>
        <v/>
      </c>
      <c r="BN669" s="35" t="str">
        <f aca="false">IF(AO669&lt;&gt;1,"",IF(W669="Oui",1,0))</f>
        <v/>
      </c>
      <c r="BO669" s="35" t="str">
        <f aca="false">IF(AO669&lt;&gt;1,"",IF(X669&lt;&gt;"",1,0))</f>
        <v/>
      </c>
      <c r="BP669" s="35" t="str">
        <f aca="false">IF(AO669&lt;&gt;1,"",IF(Y669="Oui",1,0))</f>
        <v/>
      </c>
      <c r="BQ669" s="35" t="str">
        <f aca="true">IF(OR(AO669&lt;&gt;1,Z669&lt;&gt;"Oui"),"",IF(AB669="",IF(AND(AA669&lt;&gt;"",NOW()&gt;AA669),0,""),IF(AA669="","",IF(AB669&lt;=AA669,1,0))))</f>
        <v/>
      </c>
      <c r="BR669" s="38" t="str">
        <f aca="false">IF(OR(AO669&lt;&gt;1,K669&lt;&gt;"Oui",O669=""),"",IF(AC669="",O669+DORA_H_DET/24,IF(AC669-O669&lt;=DORA_H_DET/24,MIN(AC669+DORA_H_CLA/24,O669+DORA_H_DET/24),AC669+DORA_H_CLA/24)))</f>
        <v/>
      </c>
      <c r="BS669" s="35" t="str">
        <f aca="true">IF(BR669="","",IF(AD669="",IF(NOW()&gt;BR669,0,""),IF(AD669&lt;=BR669,1,0)))</f>
        <v/>
      </c>
      <c r="BT669" s="35" t="str">
        <f aca="true">IF(OR(BR669="",AD669=""),"",IF(AE669="",IF(NOW()&gt;AD669+DORA_H_INT/24,0,""),IF(AE669&lt;=AD669+DORA_H_INT/24,1,0)))</f>
        <v/>
      </c>
      <c r="BU669" s="35" t="str">
        <f aca="true">IF(OR(BR669="",AE669=""),"",IF(AF669="",IF(NOW()&gt;EDATE(AE669,DORA_M_FIN)+1,0,""),IF(AF669&lt;=EDATE(AE669,DORA_M_FIN),1,0)))</f>
        <v/>
      </c>
      <c r="BV669" s="35" t="str">
        <f aca="false">IF(BR669="","",IF(COUNT(BS669:BU669)=0,"",MIN(BS669:BU669)))</f>
        <v/>
      </c>
      <c r="BW669" s="40" t="str">
        <f aca="false">IF(AQ669&lt;&gt;1,"",IF(AND(AG669="",AH669=""),"",N(AG669)-N(AH669)))</f>
        <v/>
      </c>
      <c r="BX669" s="35" t="str">
        <f aca="true">IF(OR(AQ669&lt;&gt;1,AI669&lt;&gt;"Oui",AJ669=""),"",IF(AK669="",IF(NOW()&gt;AJ669+1,0,""),IF(AK669&lt;=AJ669,1,0)))</f>
        <v/>
      </c>
    </row>
    <row r="670" customFormat="false" ht="15" hidden="false" customHeight="false" outlineLevel="0" collapsed="false">
      <c r="B670" s="29"/>
      <c r="C670" s="29"/>
      <c r="D670" s="29"/>
      <c r="E670" s="29"/>
      <c r="F670" s="29"/>
      <c r="G670" s="29"/>
      <c r="H670" s="29"/>
      <c r="I670" s="29"/>
      <c r="J670" s="29"/>
      <c r="K670" s="29"/>
      <c r="L670" s="29"/>
      <c r="M670" s="29"/>
      <c r="N670" s="30"/>
      <c r="O670" s="30"/>
      <c r="P670" s="30"/>
      <c r="Q670" s="30"/>
      <c r="R670" s="30"/>
      <c r="S670" s="30"/>
      <c r="T670" s="30"/>
      <c r="U670" s="30"/>
      <c r="V670" s="31"/>
      <c r="W670" s="29"/>
      <c r="X670" s="29"/>
      <c r="Y670" s="29"/>
      <c r="Z670" s="29"/>
      <c r="AA670" s="30"/>
      <c r="AB670" s="30"/>
      <c r="AC670" s="30"/>
      <c r="AD670" s="30"/>
      <c r="AE670" s="30"/>
      <c r="AF670" s="32"/>
      <c r="AG670" s="33"/>
      <c r="AH670" s="33"/>
      <c r="AI670" s="29"/>
      <c r="AJ670" s="32"/>
      <c r="AK670" s="32"/>
      <c r="AL670" s="29"/>
      <c r="AN670" s="34" t="str">
        <f aca="false">IF($B670="","",IF(OR(C670="",D670="",E670="",G670="",I670="",J670="",L670="",O670="",P670=""),"Champ obligatoire manquant",IF(OR(AND(N670&lt;&gt;"",N670&gt;O670),O670&gt;P670,AND(Q670&lt;&gt;"",Q670&lt;P670),AND(R670&lt;&gt;"",R670&lt;P670),AND(S670&lt;&gt;"",S670&lt;R670),AND(S670&lt;&gt;"",R670=""),AND(T670&lt;&gt;"",T670&lt;O670),AND(U670&lt;&gt;"",U670&lt;O670)),"Chronologie incohérente",IF(AND(OR(L670="Résolu",L670="Clos"),R670=""),"Date de résolution manquante",IF(AND(L670="Clos",S670=""),"Date de clôture manquante",IF(AND(K670="Oui",AC670=""),"Classification DORA manquante","OK"))))))</f>
        <v/>
      </c>
      <c r="AO670" s="35" t="str">
        <f aca="false">IF($B670="","",IF(AND(C670="Incident",L670&lt;&gt;"Annulé"),1,0))</f>
        <v/>
      </c>
      <c r="AP670" s="35" t="str">
        <f aca="false">IF($B670="","",IF(AND(C670="Quasi-incident",L670&lt;&gt;"Annulé"),1,0))</f>
        <v/>
      </c>
      <c r="AQ670" s="35" t="str">
        <f aca="false">IF($B670="","",AO670+AP670)</f>
        <v/>
      </c>
      <c r="AR670" s="36" t="str">
        <f aca="false">IF(OR($B670="",J670=""),"",IFERROR(VALUE(LEFT(J670,1)),""))</f>
        <v/>
      </c>
      <c r="AS670" s="35" t="str">
        <f aca="false">IF(OR(AO670&lt;&gt;1,G670=""),"",IFERROR(IF(INDEX(L_SrcInterne,MATCH(G670,L_Sources,0))="Oui",1,0),""))</f>
        <v/>
      </c>
      <c r="AT670" s="37" t="str">
        <f aca="false">IF(AO670&lt;&gt;1,"",IFERROR(ROUND(IF(OR(N670="",O670=""),"",IF(O670&lt;N670,"",ROUND(((NETWORKDAYS(N670,O670,JoursFeries)-1)*(HFer-HOuv)+IF(NETWORKDAYS(O670,O670,JoursFeries),MEDIAN(MOD(O670,1),HFer,HOuv),HFer)-IF(NETWORKDAYS(N670,N670,JoursFeries),MEDIAN(MOD(N670,1),HFer,HOuv),HOuv))*24,4)))/HJour,4),""))</f>
        <v/>
      </c>
      <c r="AU670" s="37" t="str">
        <f aca="false">IF(AO670&lt;&gt;1,"",IF(OR(O670="",P670=""),"",IF(P670&lt;O670,"",ROUND(((NETWORKDAYS(O670,P670,JoursFeries)-1)*(HFer-HOuv)+IF(NETWORKDAYS(P670,P670,JoursFeries),MEDIAN(MOD(P670,1),HFer,HOuv),HFer)-IF(NETWORKDAYS(O670,O670,JoursFeries),MEDIAN(MOD(O670,1),HFer,HOuv),HOuv))*24,4))))</f>
        <v/>
      </c>
      <c r="AV670" s="37" t="str">
        <f aca="false">IF(AO670&lt;&gt;1,"",IF(OR(P670="",Q670=""),"",IF(Q670&lt;P670,"",ROUND(((NETWORKDAYS(P670,Q670,JoursFeries)-1)*(HFer-HOuv)+IF(NETWORKDAYS(Q670,Q670,JoursFeries),MEDIAN(MOD(Q670,1),HFer,HOuv),HFer)-IF(NETWORKDAYS(P670,P670,JoursFeries),MEDIAN(MOD(P670,1),HFer,HOuv),HOuv))*24,4))))</f>
        <v/>
      </c>
      <c r="AW670" s="37" t="str">
        <f aca="false">IF(AO670&lt;&gt;1,"",IFERROR(ROUND(IF(OR(P670="",R670=""),"",IF(R670&lt;P670,"",ROUND(((NETWORKDAYS(P670,R670,JoursFeries)-1)*(HFer-HOuv)+IF(NETWORKDAYS(R670,R670,JoursFeries),MEDIAN(MOD(R670,1),HFer,HOuv),HFer)-IF(NETWORKDAYS(P670,P670,JoursFeries),MEDIAN(MOD(P670,1),HFer,HOuv),HOuv))*24,4)))/HJour,4),""))</f>
        <v/>
      </c>
      <c r="AX670" s="37" t="str">
        <f aca="false">IF(AO670&lt;&gt;1,"",IFERROR(ROUND(IF(OR(P670="",S670=""),"",IF(S670&lt;P670,"",ROUND(((NETWORKDAYS(P670,S670,JoursFeries)-1)*(HFer-HOuv)+IF(NETWORKDAYS(S670,S670,JoursFeries),MEDIAN(MOD(S670,1),HFer,HOuv),HFer)-IF(NETWORKDAYS(P670,P670,JoursFeries),MEDIAN(MOD(P670,1),HFer,HOuv),HOuv))*24,4)))/HJour,4),""))</f>
        <v/>
      </c>
      <c r="AY670" s="36" t="str">
        <f aca="false">IF(OR(AO670&lt;&gt;1,AR670=""),"",INDEX(SLA_PEC,AR670))</f>
        <v/>
      </c>
      <c r="AZ670" s="35" t="str">
        <f aca="false">IF(OR(AV670="",AY670=""),"",IF(AV670&lt;=AY670,1,0))</f>
        <v/>
      </c>
      <c r="BA670" s="36" t="str">
        <f aca="false">IF(OR(AO670&lt;&gt;1,AR670=""),"",INDEX(SLA_RES,AR670))</f>
        <v/>
      </c>
      <c r="BB670" s="35" t="str">
        <f aca="false">IF(OR(AW670="",BA670=""),"",IF(AW670&lt;=BA670,1,0))</f>
        <v/>
      </c>
      <c r="BC670" s="38" t="str">
        <f aca="false">IF(OR(BA670="",P670=""),"",WORKDAY(INT(P670),BA670,JoursFeries)+MOD(P670,1))</f>
        <v/>
      </c>
      <c r="BD670" s="39" t="str">
        <f aca="false">IF(AO670&lt;&gt;1,"",IF(OR(AB670&lt;&gt;"",AD670&lt;&gt;""),4,IF(U670&lt;&gt;"",3,IF(T670&lt;&gt;"",2,1))))</f>
        <v/>
      </c>
      <c r="BE670" s="39" t="str">
        <f aca="false">IF(OR(AO670&lt;&gt;1,AR670=""),"",INDEX(NIV_REQ,AR670))</f>
        <v/>
      </c>
      <c r="BF670" s="39" t="str">
        <f aca="false">IF(BE670="","",MAX(BE670,IF(OR(K670="Oui",Z670="Oui"),4,1)))</f>
        <v/>
      </c>
      <c r="BG670" s="35" t="str">
        <f aca="false">IF(OR(BF670="",BD670=""),"",IF(BD670&gt;=BF670,1,0))</f>
        <v/>
      </c>
      <c r="BH670" s="38" t="str">
        <f aca="false">IF(BE670="","",IF(BE670&lt;2,"",IF(BE670=2,IF(AND(T670="",U670=""),"",MIN(T670,U670)),IF(U670="","",U670))))</f>
        <v/>
      </c>
      <c r="BI670" s="37" t="str">
        <f aca="false">IF(BH670="","",IF(OR(O670="",BH670=""),"",IF(BH670&lt;O670,"",ROUND(((NETWORKDAYS(O670,BH670,JoursFeries)-1)*(HFer-HOuv)+IF(NETWORKDAYS(BH670,BH670,JoursFeries),MEDIAN(MOD(BH670,1),HFer,HOuv),HFer)-IF(NETWORKDAYS(O670,O670,JoursFeries),MEDIAN(MOD(O670,1),HFer,HOuv),HOuv))*24,4))))</f>
        <v/>
      </c>
      <c r="BJ670" s="35" t="str">
        <f aca="false">IF(OR(BI670="",AR670=""),"",IF(BI670&lt;=INDEX(DELAI_ESC,AR670),1,0))</f>
        <v/>
      </c>
      <c r="BK670" s="38" t="str">
        <f aca="false">IF(AO670&lt;&gt;1,"",IF(AND(T670="",U670=""),"",MIN(T670,U670)))</f>
        <v/>
      </c>
      <c r="BL670" s="37" t="str">
        <f aca="false">IF(OR(BK670="",R670=""),"",IFERROR(ROUND(IF(OR(BK670="",R670=""),"",IF(R670&lt;BK670,"",ROUND(((NETWORKDAYS(BK670,R670,JoursFeries)-1)*(HFer-HOuv)+IF(NETWORKDAYS(R670,R670,JoursFeries),MEDIAN(MOD(R670,1),HFer,HOuv),HFer)-IF(NETWORKDAYS(BK670,BK670,JoursFeries),MEDIAN(MOD(BK670,1),HFer,HOuv),HOuv))*24,4)))/HJour,4),""))</f>
        <v/>
      </c>
      <c r="BM670" s="35" t="str">
        <f aca="false">IF(OR(AO670&lt;&gt;1,R670=""),"",IF(BD670=1,1,0))</f>
        <v/>
      </c>
      <c r="BN670" s="35" t="str">
        <f aca="false">IF(AO670&lt;&gt;1,"",IF(W670="Oui",1,0))</f>
        <v/>
      </c>
      <c r="BO670" s="35" t="str">
        <f aca="false">IF(AO670&lt;&gt;1,"",IF(X670&lt;&gt;"",1,0))</f>
        <v/>
      </c>
      <c r="BP670" s="35" t="str">
        <f aca="false">IF(AO670&lt;&gt;1,"",IF(Y670="Oui",1,0))</f>
        <v/>
      </c>
      <c r="BQ670" s="35" t="str">
        <f aca="true">IF(OR(AO670&lt;&gt;1,Z670&lt;&gt;"Oui"),"",IF(AB670="",IF(AND(AA670&lt;&gt;"",NOW()&gt;AA670),0,""),IF(AA670="","",IF(AB670&lt;=AA670,1,0))))</f>
        <v/>
      </c>
      <c r="BR670" s="38" t="str">
        <f aca="false">IF(OR(AO670&lt;&gt;1,K670&lt;&gt;"Oui",O670=""),"",IF(AC670="",O670+DORA_H_DET/24,IF(AC670-O670&lt;=DORA_H_DET/24,MIN(AC670+DORA_H_CLA/24,O670+DORA_H_DET/24),AC670+DORA_H_CLA/24)))</f>
        <v/>
      </c>
      <c r="BS670" s="35" t="str">
        <f aca="true">IF(BR670="","",IF(AD670="",IF(NOW()&gt;BR670,0,""),IF(AD670&lt;=BR670,1,0)))</f>
        <v/>
      </c>
      <c r="BT670" s="35" t="str">
        <f aca="true">IF(OR(BR670="",AD670=""),"",IF(AE670="",IF(NOW()&gt;AD670+DORA_H_INT/24,0,""),IF(AE670&lt;=AD670+DORA_H_INT/24,1,0)))</f>
        <v/>
      </c>
      <c r="BU670" s="35" t="str">
        <f aca="true">IF(OR(BR670="",AE670=""),"",IF(AF670="",IF(NOW()&gt;EDATE(AE670,DORA_M_FIN)+1,0,""),IF(AF670&lt;=EDATE(AE670,DORA_M_FIN),1,0)))</f>
        <v/>
      </c>
      <c r="BV670" s="35" t="str">
        <f aca="false">IF(BR670="","",IF(COUNT(BS670:BU670)=0,"",MIN(BS670:BU670)))</f>
        <v/>
      </c>
      <c r="BW670" s="40" t="str">
        <f aca="false">IF(AQ670&lt;&gt;1,"",IF(AND(AG670="",AH670=""),"",N(AG670)-N(AH670)))</f>
        <v/>
      </c>
      <c r="BX670" s="35" t="str">
        <f aca="true">IF(OR(AQ670&lt;&gt;1,AI670&lt;&gt;"Oui",AJ670=""),"",IF(AK670="",IF(NOW()&gt;AJ670+1,0,""),IF(AK670&lt;=AJ670,1,0)))</f>
        <v/>
      </c>
    </row>
    <row r="671" customFormat="false" ht="15" hidden="false" customHeight="false" outlineLevel="0" collapsed="false">
      <c r="B671" s="29"/>
      <c r="C671" s="29"/>
      <c r="D671" s="29"/>
      <c r="E671" s="29"/>
      <c r="F671" s="29"/>
      <c r="G671" s="29"/>
      <c r="H671" s="29"/>
      <c r="I671" s="29"/>
      <c r="J671" s="29"/>
      <c r="K671" s="29"/>
      <c r="L671" s="29"/>
      <c r="M671" s="29"/>
      <c r="N671" s="30"/>
      <c r="O671" s="30"/>
      <c r="P671" s="30"/>
      <c r="Q671" s="30"/>
      <c r="R671" s="30"/>
      <c r="S671" s="30"/>
      <c r="T671" s="30"/>
      <c r="U671" s="30"/>
      <c r="V671" s="31"/>
      <c r="W671" s="29"/>
      <c r="X671" s="29"/>
      <c r="Y671" s="29"/>
      <c r="Z671" s="29"/>
      <c r="AA671" s="30"/>
      <c r="AB671" s="30"/>
      <c r="AC671" s="30"/>
      <c r="AD671" s="30"/>
      <c r="AE671" s="30"/>
      <c r="AF671" s="32"/>
      <c r="AG671" s="33"/>
      <c r="AH671" s="33"/>
      <c r="AI671" s="29"/>
      <c r="AJ671" s="32"/>
      <c r="AK671" s="32"/>
      <c r="AL671" s="29"/>
      <c r="AN671" s="34" t="str">
        <f aca="false">IF($B671="","",IF(OR(C671="",D671="",E671="",G671="",I671="",J671="",L671="",O671="",P671=""),"Champ obligatoire manquant",IF(OR(AND(N671&lt;&gt;"",N671&gt;O671),O671&gt;P671,AND(Q671&lt;&gt;"",Q671&lt;P671),AND(R671&lt;&gt;"",R671&lt;P671),AND(S671&lt;&gt;"",S671&lt;R671),AND(S671&lt;&gt;"",R671=""),AND(T671&lt;&gt;"",T671&lt;O671),AND(U671&lt;&gt;"",U671&lt;O671)),"Chronologie incohérente",IF(AND(OR(L671="Résolu",L671="Clos"),R671=""),"Date de résolution manquante",IF(AND(L671="Clos",S671=""),"Date de clôture manquante",IF(AND(K671="Oui",AC671=""),"Classification DORA manquante","OK"))))))</f>
        <v/>
      </c>
      <c r="AO671" s="35" t="str">
        <f aca="false">IF($B671="","",IF(AND(C671="Incident",L671&lt;&gt;"Annulé"),1,0))</f>
        <v/>
      </c>
      <c r="AP671" s="35" t="str">
        <f aca="false">IF($B671="","",IF(AND(C671="Quasi-incident",L671&lt;&gt;"Annulé"),1,0))</f>
        <v/>
      </c>
      <c r="AQ671" s="35" t="str">
        <f aca="false">IF($B671="","",AO671+AP671)</f>
        <v/>
      </c>
      <c r="AR671" s="36" t="str">
        <f aca="false">IF(OR($B671="",J671=""),"",IFERROR(VALUE(LEFT(J671,1)),""))</f>
        <v/>
      </c>
      <c r="AS671" s="35" t="str">
        <f aca="false">IF(OR(AO671&lt;&gt;1,G671=""),"",IFERROR(IF(INDEX(L_SrcInterne,MATCH(G671,L_Sources,0))="Oui",1,0),""))</f>
        <v/>
      </c>
      <c r="AT671" s="37" t="str">
        <f aca="false">IF(AO671&lt;&gt;1,"",IFERROR(ROUND(IF(OR(N671="",O671=""),"",IF(O671&lt;N671,"",ROUND(((NETWORKDAYS(N671,O671,JoursFeries)-1)*(HFer-HOuv)+IF(NETWORKDAYS(O671,O671,JoursFeries),MEDIAN(MOD(O671,1),HFer,HOuv),HFer)-IF(NETWORKDAYS(N671,N671,JoursFeries),MEDIAN(MOD(N671,1),HFer,HOuv),HOuv))*24,4)))/HJour,4),""))</f>
        <v/>
      </c>
      <c r="AU671" s="37" t="str">
        <f aca="false">IF(AO671&lt;&gt;1,"",IF(OR(O671="",P671=""),"",IF(P671&lt;O671,"",ROUND(((NETWORKDAYS(O671,P671,JoursFeries)-1)*(HFer-HOuv)+IF(NETWORKDAYS(P671,P671,JoursFeries),MEDIAN(MOD(P671,1),HFer,HOuv),HFer)-IF(NETWORKDAYS(O671,O671,JoursFeries),MEDIAN(MOD(O671,1),HFer,HOuv),HOuv))*24,4))))</f>
        <v/>
      </c>
      <c r="AV671" s="37" t="str">
        <f aca="false">IF(AO671&lt;&gt;1,"",IF(OR(P671="",Q671=""),"",IF(Q671&lt;P671,"",ROUND(((NETWORKDAYS(P671,Q671,JoursFeries)-1)*(HFer-HOuv)+IF(NETWORKDAYS(Q671,Q671,JoursFeries),MEDIAN(MOD(Q671,1),HFer,HOuv),HFer)-IF(NETWORKDAYS(P671,P671,JoursFeries),MEDIAN(MOD(P671,1),HFer,HOuv),HOuv))*24,4))))</f>
        <v/>
      </c>
      <c r="AW671" s="37" t="str">
        <f aca="false">IF(AO671&lt;&gt;1,"",IFERROR(ROUND(IF(OR(P671="",R671=""),"",IF(R671&lt;P671,"",ROUND(((NETWORKDAYS(P671,R671,JoursFeries)-1)*(HFer-HOuv)+IF(NETWORKDAYS(R671,R671,JoursFeries),MEDIAN(MOD(R671,1),HFer,HOuv),HFer)-IF(NETWORKDAYS(P671,P671,JoursFeries),MEDIAN(MOD(P671,1),HFer,HOuv),HOuv))*24,4)))/HJour,4),""))</f>
        <v/>
      </c>
      <c r="AX671" s="37" t="str">
        <f aca="false">IF(AO671&lt;&gt;1,"",IFERROR(ROUND(IF(OR(P671="",S671=""),"",IF(S671&lt;P671,"",ROUND(((NETWORKDAYS(P671,S671,JoursFeries)-1)*(HFer-HOuv)+IF(NETWORKDAYS(S671,S671,JoursFeries),MEDIAN(MOD(S671,1),HFer,HOuv),HFer)-IF(NETWORKDAYS(P671,P671,JoursFeries),MEDIAN(MOD(P671,1),HFer,HOuv),HOuv))*24,4)))/HJour,4),""))</f>
        <v/>
      </c>
      <c r="AY671" s="36" t="str">
        <f aca="false">IF(OR(AO671&lt;&gt;1,AR671=""),"",INDEX(SLA_PEC,AR671))</f>
        <v/>
      </c>
      <c r="AZ671" s="35" t="str">
        <f aca="false">IF(OR(AV671="",AY671=""),"",IF(AV671&lt;=AY671,1,0))</f>
        <v/>
      </c>
      <c r="BA671" s="36" t="str">
        <f aca="false">IF(OR(AO671&lt;&gt;1,AR671=""),"",INDEX(SLA_RES,AR671))</f>
        <v/>
      </c>
      <c r="BB671" s="35" t="str">
        <f aca="false">IF(OR(AW671="",BA671=""),"",IF(AW671&lt;=BA671,1,0))</f>
        <v/>
      </c>
      <c r="BC671" s="38" t="str">
        <f aca="false">IF(OR(BA671="",P671=""),"",WORKDAY(INT(P671),BA671,JoursFeries)+MOD(P671,1))</f>
        <v/>
      </c>
      <c r="BD671" s="39" t="str">
        <f aca="false">IF(AO671&lt;&gt;1,"",IF(OR(AB671&lt;&gt;"",AD671&lt;&gt;""),4,IF(U671&lt;&gt;"",3,IF(T671&lt;&gt;"",2,1))))</f>
        <v/>
      </c>
      <c r="BE671" s="39" t="str">
        <f aca="false">IF(OR(AO671&lt;&gt;1,AR671=""),"",INDEX(NIV_REQ,AR671))</f>
        <v/>
      </c>
      <c r="BF671" s="39" t="str">
        <f aca="false">IF(BE671="","",MAX(BE671,IF(OR(K671="Oui",Z671="Oui"),4,1)))</f>
        <v/>
      </c>
      <c r="BG671" s="35" t="str">
        <f aca="false">IF(OR(BF671="",BD671=""),"",IF(BD671&gt;=BF671,1,0))</f>
        <v/>
      </c>
      <c r="BH671" s="38" t="str">
        <f aca="false">IF(BE671="","",IF(BE671&lt;2,"",IF(BE671=2,IF(AND(T671="",U671=""),"",MIN(T671,U671)),IF(U671="","",U671))))</f>
        <v/>
      </c>
      <c r="BI671" s="37" t="str">
        <f aca="false">IF(BH671="","",IF(OR(O671="",BH671=""),"",IF(BH671&lt;O671,"",ROUND(((NETWORKDAYS(O671,BH671,JoursFeries)-1)*(HFer-HOuv)+IF(NETWORKDAYS(BH671,BH671,JoursFeries),MEDIAN(MOD(BH671,1),HFer,HOuv),HFer)-IF(NETWORKDAYS(O671,O671,JoursFeries),MEDIAN(MOD(O671,1),HFer,HOuv),HOuv))*24,4))))</f>
        <v/>
      </c>
      <c r="BJ671" s="35" t="str">
        <f aca="false">IF(OR(BI671="",AR671=""),"",IF(BI671&lt;=INDEX(DELAI_ESC,AR671),1,0))</f>
        <v/>
      </c>
      <c r="BK671" s="38" t="str">
        <f aca="false">IF(AO671&lt;&gt;1,"",IF(AND(T671="",U671=""),"",MIN(T671,U671)))</f>
        <v/>
      </c>
      <c r="BL671" s="37" t="str">
        <f aca="false">IF(OR(BK671="",R671=""),"",IFERROR(ROUND(IF(OR(BK671="",R671=""),"",IF(R671&lt;BK671,"",ROUND(((NETWORKDAYS(BK671,R671,JoursFeries)-1)*(HFer-HOuv)+IF(NETWORKDAYS(R671,R671,JoursFeries),MEDIAN(MOD(R671,1),HFer,HOuv),HFer)-IF(NETWORKDAYS(BK671,BK671,JoursFeries),MEDIAN(MOD(BK671,1),HFer,HOuv),HOuv))*24,4)))/HJour,4),""))</f>
        <v/>
      </c>
      <c r="BM671" s="35" t="str">
        <f aca="false">IF(OR(AO671&lt;&gt;1,R671=""),"",IF(BD671=1,1,0))</f>
        <v/>
      </c>
      <c r="BN671" s="35" t="str">
        <f aca="false">IF(AO671&lt;&gt;1,"",IF(W671="Oui",1,0))</f>
        <v/>
      </c>
      <c r="BO671" s="35" t="str">
        <f aca="false">IF(AO671&lt;&gt;1,"",IF(X671&lt;&gt;"",1,0))</f>
        <v/>
      </c>
      <c r="BP671" s="35" t="str">
        <f aca="false">IF(AO671&lt;&gt;1,"",IF(Y671="Oui",1,0))</f>
        <v/>
      </c>
      <c r="BQ671" s="35" t="str">
        <f aca="true">IF(OR(AO671&lt;&gt;1,Z671&lt;&gt;"Oui"),"",IF(AB671="",IF(AND(AA671&lt;&gt;"",NOW()&gt;AA671),0,""),IF(AA671="","",IF(AB671&lt;=AA671,1,0))))</f>
        <v/>
      </c>
      <c r="BR671" s="38" t="str">
        <f aca="false">IF(OR(AO671&lt;&gt;1,K671&lt;&gt;"Oui",O671=""),"",IF(AC671="",O671+DORA_H_DET/24,IF(AC671-O671&lt;=DORA_H_DET/24,MIN(AC671+DORA_H_CLA/24,O671+DORA_H_DET/24),AC671+DORA_H_CLA/24)))</f>
        <v/>
      </c>
      <c r="BS671" s="35" t="str">
        <f aca="true">IF(BR671="","",IF(AD671="",IF(NOW()&gt;BR671,0,""),IF(AD671&lt;=BR671,1,0)))</f>
        <v/>
      </c>
      <c r="BT671" s="35" t="str">
        <f aca="true">IF(OR(BR671="",AD671=""),"",IF(AE671="",IF(NOW()&gt;AD671+DORA_H_INT/24,0,""),IF(AE671&lt;=AD671+DORA_H_INT/24,1,0)))</f>
        <v/>
      </c>
      <c r="BU671" s="35" t="str">
        <f aca="true">IF(OR(BR671="",AE671=""),"",IF(AF671="",IF(NOW()&gt;EDATE(AE671,DORA_M_FIN)+1,0,""),IF(AF671&lt;=EDATE(AE671,DORA_M_FIN),1,0)))</f>
        <v/>
      </c>
      <c r="BV671" s="35" t="str">
        <f aca="false">IF(BR671="","",IF(COUNT(BS671:BU671)=0,"",MIN(BS671:BU671)))</f>
        <v/>
      </c>
      <c r="BW671" s="40" t="str">
        <f aca="false">IF(AQ671&lt;&gt;1,"",IF(AND(AG671="",AH671=""),"",N(AG671)-N(AH671)))</f>
        <v/>
      </c>
      <c r="BX671" s="35" t="str">
        <f aca="true">IF(OR(AQ671&lt;&gt;1,AI671&lt;&gt;"Oui",AJ671=""),"",IF(AK671="",IF(NOW()&gt;AJ671+1,0,""),IF(AK671&lt;=AJ671,1,0)))</f>
        <v/>
      </c>
    </row>
    <row r="672" customFormat="false" ht="15" hidden="false" customHeight="false" outlineLevel="0" collapsed="false">
      <c r="B672" s="29"/>
      <c r="C672" s="29"/>
      <c r="D672" s="29"/>
      <c r="E672" s="29"/>
      <c r="F672" s="29"/>
      <c r="G672" s="29"/>
      <c r="H672" s="29"/>
      <c r="I672" s="29"/>
      <c r="J672" s="29"/>
      <c r="K672" s="29"/>
      <c r="L672" s="29"/>
      <c r="M672" s="29"/>
      <c r="N672" s="30"/>
      <c r="O672" s="30"/>
      <c r="P672" s="30"/>
      <c r="Q672" s="30"/>
      <c r="R672" s="30"/>
      <c r="S672" s="30"/>
      <c r="T672" s="30"/>
      <c r="U672" s="30"/>
      <c r="V672" s="31"/>
      <c r="W672" s="29"/>
      <c r="X672" s="29"/>
      <c r="Y672" s="29"/>
      <c r="Z672" s="29"/>
      <c r="AA672" s="30"/>
      <c r="AB672" s="30"/>
      <c r="AC672" s="30"/>
      <c r="AD672" s="30"/>
      <c r="AE672" s="30"/>
      <c r="AF672" s="32"/>
      <c r="AG672" s="33"/>
      <c r="AH672" s="33"/>
      <c r="AI672" s="29"/>
      <c r="AJ672" s="32"/>
      <c r="AK672" s="32"/>
      <c r="AL672" s="29"/>
      <c r="AN672" s="34" t="str">
        <f aca="false">IF($B672="","",IF(OR(C672="",D672="",E672="",G672="",I672="",J672="",L672="",O672="",P672=""),"Champ obligatoire manquant",IF(OR(AND(N672&lt;&gt;"",N672&gt;O672),O672&gt;P672,AND(Q672&lt;&gt;"",Q672&lt;P672),AND(R672&lt;&gt;"",R672&lt;P672),AND(S672&lt;&gt;"",S672&lt;R672),AND(S672&lt;&gt;"",R672=""),AND(T672&lt;&gt;"",T672&lt;O672),AND(U672&lt;&gt;"",U672&lt;O672)),"Chronologie incohérente",IF(AND(OR(L672="Résolu",L672="Clos"),R672=""),"Date de résolution manquante",IF(AND(L672="Clos",S672=""),"Date de clôture manquante",IF(AND(K672="Oui",AC672=""),"Classification DORA manquante","OK"))))))</f>
        <v/>
      </c>
      <c r="AO672" s="35" t="str">
        <f aca="false">IF($B672="","",IF(AND(C672="Incident",L672&lt;&gt;"Annulé"),1,0))</f>
        <v/>
      </c>
      <c r="AP672" s="35" t="str">
        <f aca="false">IF($B672="","",IF(AND(C672="Quasi-incident",L672&lt;&gt;"Annulé"),1,0))</f>
        <v/>
      </c>
      <c r="AQ672" s="35" t="str">
        <f aca="false">IF($B672="","",AO672+AP672)</f>
        <v/>
      </c>
      <c r="AR672" s="36" t="str">
        <f aca="false">IF(OR($B672="",J672=""),"",IFERROR(VALUE(LEFT(J672,1)),""))</f>
        <v/>
      </c>
      <c r="AS672" s="35" t="str">
        <f aca="false">IF(OR(AO672&lt;&gt;1,G672=""),"",IFERROR(IF(INDEX(L_SrcInterne,MATCH(G672,L_Sources,0))="Oui",1,0),""))</f>
        <v/>
      </c>
      <c r="AT672" s="37" t="str">
        <f aca="false">IF(AO672&lt;&gt;1,"",IFERROR(ROUND(IF(OR(N672="",O672=""),"",IF(O672&lt;N672,"",ROUND(((NETWORKDAYS(N672,O672,JoursFeries)-1)*(HFer-HOuv)+IF(NETWORKDAYS(O672,O672,JoursFeries),MEDIAN(MOD(O672,1),HFer,HOuv),HFer)-IF(NETWORKDAYS(N672,N672,JoursFeries),MEDIAN(MOD(N672,1),HFer,HOuv),HOuv))*24,4)))/HJour,4),""))</f>
        <v/>
      </c>
      <c r="AU672" s="37" t="str">
        <f aca="false">IF(AO672&lt;&gt;1,"",IF(OR(O672="",P672=""),"",IF(P672&lt;O672,"",ROUND(((NETWORKDAYS(O672,P672,JoursFeries)-1)*(HFer-HOuv)+IF(NETWORKDAYS(P672,P672,JoursFeries),MEDIAN(MOD(P672,1),HFer,HOuv),HFer)-IF(NETWORKDAYS(O672,O672,JoursFeries),MEDIAN(MOD(O672,1),HFer,HOuv),HOuv))*24,4))))</f>
        <v/>
      </c>
      <c r="AV672" s="37" t="str">
        <f aca="false">IF(AO672&lt;&gt;1,"",IF(OR(P672="",Q672=""),"",IF(Q672&lt;P672,"",ROUND(((NETWORKDAYS(P672,Q672,JoursFeries)-1)*(HFer-HOuv)+IF(NETWORKDAYS(Q672,Q672,JoursFeries),MEDIAN(MOD(Q672,1),HFer,HOuv),HFer)-IF(NETWORKDAYS(P672,P672,JoursFeries),MEDIAN(MOD(P672,1),HFer,HOuv),HOuv))*24,4))))</f>
        <v/>
      </c>
      <c r="AW672" s="37" t="str">
        <f aca="false">IF(AO672&lt;&gt;1,"",IFERROR(ROUND(IF(OR(P672="",R672=""),"",IF(R672&lt;P672,"",ROUND(((NETWORKDAYS(P672,R672,JoursFeries)-1)*(HFer-HOuv)+IF(NETWORKDAYS(R672,R672,JoursFeries),MEDIAN(MOD(R672,1),HFer,HOuv),HFer)-IF(NETWORKDAYS(P672,P672,JoursFeries),MEDIAN(MOD(P672,1),HFer,HOuv),HOuv))*24,4)))/HJour,4),""))</f>
        <v/>
      </c>
      <c r="AX672" s="37" t="str">
        <f aca="false">IF(AO672&lt;&gt;1,"",IFERROR(ROUND(IF(OR(P672="",S672=""),"",IF(S672&lt;P672,"",ROUND(((NETWORKDAYS(P672,S672,JoursFeries)-1)*(HFer-HOuv)+IF(NETWORKDAYS(S672,S672,JoursFeries),MEDIAN(MOD(S672,1),HFer,HOuv),HFer)-IF(NETWORKDAYS(P672,P672,JoursFeries),MEDIAN(MOD(P672,1),HFer,HOuv),HOuv))*24,4)))/HJour,4),""))</f>
        <v/>
      </c>
      <c r="AY672" s="36" t="str">
        <f aca="false">IF(OR(AO672&lt;&gt;1,AR672=""),"",INDEX(SLA_PEC,AR672))</f>
        <v/>
      </c>
      <c r="AZ672" s="35" t="str">
        <f aca="false">IF(OR(AV672="",AY672=""),"",IF(AV672&lt;=AY672,1,0))</f>
        <v/>
      </c>
      <c r="BA672" s="36" t="str">
        <f aca="false">IF(OR(AO672&lt;&gt;1,AR672=""),"",INDEX(SLA_RES,AR672))</f>
        <v/>
      </c>
      <c r="BB672" s="35" t="str">
        <f aca="false">IF(OR(AW672="",BA672=""),"",IF(AW672&lt;=BA672,1,0))</f>
        <v/>
      </c>
      <c r="BC672" s="38" t="str">
        <f aca="false">IF(OR(BA672="",P672=""),"",WORKDAY(INT(P672),BA672,JoursFeries)+MOD(P672,1))</f>
        <v/>
      </c>
      <c r="BD672" s="39" t="str">
        <f aca="false">IF(AO672&lt;&gt;1,"",IF(OR(AB672&lt;&gt;"",AD672&lt;&gt;""),4,IF(U672&lt;&gt;"",3,IF(T672&lt;&gt;"",2,1))))</f>
        <v/>
      </c>
      <c r="BE672" s="39" t="str">
        <f aca="false">IF(OR(AO672&lt;&gt;1,AR672=""),"",INDEX(NIV_REQ,AR672))</f>
        <v/>
      </c>
      <c r="BF672" s="39" t="str">
        <f aca="false">IF(BE672="","",MAX(BE672,IF(OR(K672="Oui",Z672="Oui"),4,1)))</f>
        <v/>
      </c>
      <c r="BG672" s="35" t="str">
        <f aca="false">IF(OR(BF672="",BD672=""),"",IF(BD672&gt;=BF672,1,0))</f>
        <v/>
      </c>
      <c r="BH672" s="38" t="str">
        <f aca="false">IF(BE672="","",IF(BE672&lt;2,"",IF(BE672=2,IF(AND(T672="",U672=""),"",MIN(T672,U672)),IF(U672="","",U672))))</f>
        <v/>
      </c>
      <c r="BI672" s="37" t="str">
        <f aca="false">IF(BH672="","",IF(OR(O672="",BH672=""),"",IF(BH672&lt;O672,"",ROUND(((NETWORKDAYS(O672,BH672,JoursFeries)-1)*(HFer-HOuv)+IF(NETWORKDAYS(BH672,BH672,JoursFeries),MEDIAN(MOD(BH672,1),HFer,HOuv),HFer)-IF(NETWORKDAYS(O672,O672,JoursFeries),MEDIAN(MOD(O672,1),HFer,HOuv),HOuv))*24,4))))</f>
        <v/>
      </c>
      <c r="BJ672" s="35" t="str">
        <f aca="false">IF(OR(BI672="",AR672=""),"",IF(BI672&lt;=INDEX(DELAI_ESC,AR672),1,0))</f>
        <v/>
      </c>
      <c r="BK672" s="38" t="str">
        <f aca="false">IF(AO672&lt;&gt;1,"",IF(AND(T672="",U672=""),"",MIN(T672,U672)))</f>
        <v/>
      </c>
      <c r="BL672" s="37" t="str">
        <f aca="false">IF(OR(BK672="",R672=""),"",IFERROR(ROUND(IF(OR(BK672="",R672=""),"",IF(R672&lt;BK672,"",ROUND(((NETWORKDAYS(BK672,R672,JoursFeries)-1)*(HFer-HOuv)+IF(NETWORKDAYS(R672,R672,JoursFeries),MEDIAN(MOD(R672,1),HFer,HOuv),HFer)-IF(NETWORKDAYS(BK672,BK672,JoursFeries),MEDIAN(MOD(BK672,1),HFer,HOuv),HOuv))*24,4)))/HJour,4),""))</f>
        <v/>
      </c>
      <c r="BM672" s="35" t="str">
        <f aca="false">IF(OR(AO672&lt;&gt;1,R672=""),"",IF(BD672=1,1,0))</f>
        <v/>
      </c>
      <c r="BN672" s="35" t="str">
        <f aca="false">IF(AO672&lt;&gt;1,"",IF(W672="Oui",1,0))</f>
        <v/>
      </c>
      <c r="BO672" s="35" t="str">
        <f aca="false">IF(AO672&lt;&gt;1,"",IF(X672&lt;&gt;"",1,0))</f>
        <v/>
      </c>
      <c r="BP672" s="35" t="str">
        <f aca="false">IF(AO672&lt;&gt;1,"",IF(Y672="Oui",1,0))</f>
        <v/>
      </c>
      <c r="BQ672" s="35" t="str">
        <f aca="true">IF(OR(AO672&lt;&gt;1,Z672&lt;&gt;"Oui"),"",IF(AB672="",IF(AND(AA672&lt;&gt;"",NOW()&gt;AA672),0,""),IF(AA672="","",IF(AB672&lt;=AA672,1,0))))</f>
        <v/>
      </c>
      <c r="BR672" s="38" t="str">
        <f aca="false">IF(OR(AO672&lt;&gt;1,K672&lt;&gt;"Oui",O672=""),"",IF(AC672="",O672+DORA_H_DET/24,IF(AC672-O672&lt;=DORA_H_DET/24,MIN(AC672+DORA_H_CLA/24,O672+DORA_H_DET/24),AC672+DORA_H_CLA/24)))</f>
        <v/>
      </c>
      <c r="BS672" s="35" t="str">
        <f aca="true">IF(BR672="","",IF(AD672="",IF(NOW()&gt;BR672,0,""),IF(AD672&lt;=BR672,1,0)))</f>
        <v/>
      </c>
      <c r="BT672" s="35" t="str">
        <f aca="true">IF(OR(BR672="",AD672=""),"",IF(AE672="",IF(NOW()&gt;AD672+DORA_H_INT/24,0,""),IF(AE672&lt;=AD672+DORA_H_INT/24,1,0)))</f>
        <v/>
      </c>
      <c r="BU672" s="35" t="str">
        <f aca="true">IF(OR(BR672="",AE672=""),"",IF(AF672="",IF(NOW()&gt;EDATE(AE672,DORA_M_FIN)+1,0,""),IF(AF672&lt;=EDATE(AE672,DORA_M_FIN),1,0)))</f>
        <v/>
      </c>
      <c r="BV672" s="35" t="str">
        <f aca="false">IF(BR672="","",IF(COUNT(BS672:BU672)=0,"",MIN(BS672:BU672)))</f>
        <v/>
      </c>
      <c r="BW672" s="40" t="str">
        <f aca="false">IF(AQ672&lt;&gt;1,"",IF(AND(AG672="",AH672=""),"",N(AG672)-N(AH672)))</f>
        <v/>
      </c>
      <c r="BX672" s="35" t="str">
        <f aca="true">IF(OR(AQ672&lt;&gt;1,AI672&lt;&gt;"Oui",AJ672=""),"",IF(AK672="",IF(NOW()&gt;AJ672+1,0,""),IF(AK672&lt;=AJ672,1,0)))</f>
        <v/>
      </c>
    </row>
    <row r="673" customFormat="false" ht="15" hidden="false" customHeight="false" outlineLevel="0" collapsed="false">
      <c r="B673" s="29"/>
      <c r="C673" s="29"/>
      <c r="D673" s="29"/>
      <c r="E673" s="29"/>
      <c r="F673" s="29"/>
      <c r="G673" s="29"/>
      <c r="H673" s="29"/>
      <c r="I673" s="29"/>
      <c r="J673" s="29"/>
      <c r="K673" s="29"/>
      <c r="L673" s="29"/>
      <c r="M673" s="29"/>
      <c r="N673" s="30"/>
      <c r="O673" s="30"/>
      <c r="P673" s="30"/>
      <c r="Q673" s="30"/>
      <c r="R673" s="30"/>
      <c r="S673" s="30"/>
      <c r="T673" s="30"/>
      <c r="U673" s="30"/>
      <c r="V673" s="31"/>
      <c r="W673" s="29"/>
      <c r="X673" s="29"/>
      <c r="Y673" s="29"/>
      <c r="Z673" s="29"/>
      <c r="AA673" s="30"/>
      <c r="AB673" s="30"/>
      <c r="AC673" s="30"/>
      <c r="AD673" s="30"/>
      <c r="AE673" s="30"/>
      <c r="AF673" s="32"/>
      <c r="AG673" s="33"/>
      <c r="AH673" s="33"/>
      <c r="AI673" s="29"/>
      <c r="AJ673" s="32"/>
      <c r="AK673" s="32"/>
      <c r="AL673" s="29"/>
      <c r="AN673" s="34" t="str">
        <f aca="false">IF($B673="","",IF(OR(C673="",D673="",E673="",G673="",I673="",J673="",L673="",O673="",P673=""),"Champ obligatoire manquant",IF(OR(AND(N673&lt;&gt;"",N673&gt;O673),O673&gt;P673,AND(Q673&lt;&gt;"",Q673&lt;P673),AND(R673&lt;&gt;"",R673&lt;P673),AND(S673&lt;&gt;"",S673&lt;R673),AND(S673&lt;&gt;"",R673=""),AND(T673&lt;&gt;"",T673&lt;O673),AND(U673&lt;&gt;"",U673&lt;O673)),"Chronologie incohérente",IF(AND(OR(L673="Résolu",L673="Clos"),R673=""),"Date de résolution manquante",IF(AND(L673="Clos",S673=""),"Date de clôture manquante",IF(AND(K673="Oui",AC673=""),"Classification DORA manquante","OK"))))))</f>
        <v/>
      </c>
      <c r="AO673" s="35" t="str">
        <f aca="false">IF($B673="","",IF(AND(C673="Incident",L673&lt;&gt;"Annulé"),1,0))</f>
        <v/>
      </c>
      <c r="AP673" s="35" t="str">
        <f aca="false">IF($B673="","",IF(AND(C673="Quasi-incident",L673&lt;&gt;"Annulé"),1,0))</f>
        <v/>
      </c>
      <c r="AQ673" s="35" t="str">
        <f aca="false">IF($B673="","",AO673+AP673)</f>
        <v/>
      </c>
      <c r="AR673" s="36" t="str">
        <f aca="false">IF(OR($B673="",J673=""),"",IFERROR(VALUE(LEFT(J673,1)),""))</f>
        <v/>
      </c>
      <c r="AS673" s="35" t="str">
        <f aca="false">IF(OR(AO673&lt;&gt;1,G673=""),"",IFERROR(IF(INDEX(L_SrcInterne,MATCH(G673,L_Sources,0))="Oui",1,0),""))</f>
        <v/>
      </c>
      <c r="AT673" s="37" t="str">
        <f aca="false">IF(AO673&lt;&gt;1,"",IFERROR(ROUND(IF(OR(N673="",O673=""),"",IF(O673&lt;N673,"",ROUND(((NETWORKDAYS(N673,O673,JoursFeries)-1)*(HFer-HOuv)+IF(NETWORKDAYS(O673,O673,JoursFeries),MEDIAN(MOD(O673,1),HFer,HOuv),HFer)-IF(NETWORKDAYS(N673,N673,JoursFeries),MEDIAN(MOD(N673,1),HFer,HOuv),HOuv))*24,4)))/HJour,4),""))</f>
        <v/>
      </c>
      <c r="AU673" s="37" t="str">
        <f aca="false">IF(AO673&lt;&gt;1,"",IF(OR(O673="",P673=""),"",IF(P673&lt;O673,"",ROUND(((NETWORKDAYS(O673,P673,JoursFeries)-1)*(HFer-HOuv)+IF(NETWORKDAYS(P673,P673,JoursFeries),MEDIAN(MOD(P673,1),HFer,HOuv),HFer)-IF(NETWORKDAYS(O673,O673,JoursFeries),MEDIAN(MOD(O673,1),HFer,HOuv),HOuv))*24,4))))</f>
        <v/>
      </c>
      <c r="AV673" s="37" t="str">
        <f aca="false">IF(AO673&lt;&gt;1,"",IF(OR(P673="",Q673=""),"",IF(Q673&lt;P673,"",ROUND(((NETWORKDAYS(P673,Q673,JoursFeries)-1)*(HFer-HOuv)+IF(NETWORKDAYS(Q673,Q673,JoursFeries),MEDIAN(MOD(Q673,1),HFer,HOuv),HFer)-IF(NETWORKDAYS(P673,P673,JoursFeries),MEDIAN(MOD(P673,1),HFer,HOuv),HOuv))*24,4))))</f>
        <v/>
      </c>
      <c r="AW673" s="37" t="str">
        <f aca="false">IF(AO673&lt;&gt;1,"",IFERROR(ROUND(IF(OR(P673="",R673=""),"",IF(R673&lt;P673,"",ROUND(((NETWORKDAYS(P673,R673,JoursFeries)-1)*(HFer-HOuv)+IF(NETWORKDAYS(R673,R673,JoursFeries),MEDIAN(MOD(R673,1),HFer,HOuv),HFer)-IF(NETWORKDAYS(P673,P673,JoursFeries),MEDIAN(MOD(P673,1),HFer,HOuv),HOuv))*24,4)))/HJour,4),""))</f>
        <v/>
      </c>
      <c r="AX673" s="37" t="str">
        <f aca="false">IF(AO673&lt;&gt;1,"",IFERROR(ROUND(IF(OR(P673="",S673=""),"",IF(S673&lt;P673,"",ROUND(((NETWORKDAYS(P673,S673,JoursFeries)-1)*(HFer-HOuv)+IF(NETWORKDAYS(S673,S673,JoursFeries),MEDIAN(MOD(S673,1),HFer,HOuv),HFer)-IF(NETWORKDAYS(P673,P673,JoursFeries),MEDIAN(MOD(P673,1),HFer,HOuv),HOuv))*24,4)))/HJour,4),""))</f>
        <v/>
      </c>
      <c r="AY673" s="36" t="str">
        <f aca="false">IF(OR(AO673&lt;&gt;1,AR673=""),"",INDEX(SLA_PEC,AR673))</f>
        <v/>
      </c>
      <c r="AZ673" s="35" t="str">
        <f aca="false">IF(OR(AV673="",AY673=""),"",IF(AV673&lt;=AY673,1,0))</f>
        <v/>
      </c>
      <c r="BA673" s="36" t="str">
        <f aca="false">IF(OR(AO673&lt;&gt;1,AR673=""),"",INDEX(SLA_RES,AR673))</f>
        <v/>
      </c>
      <c r="BB673" s="35" t="str">
        <f aca="false">IF(OR(AW673="",BA673=""),"",IF(AW673&lt;=BA673,1,0))</f>
        <v/>
      </c>
      <c r="BC673" s="38" t="str">
        <f aca="false">IF(OR(BA673="",P673=""),"",WORKDAY(INT(P673),BA673,JoursFeries)+MOD(P673,1))</f>
        <v/>
      </c>
      <c r="BD673" s="39" t="str">
        <f aca="false">IF(AO673&lt;&gt;1,"",IF(OR(AB673&lt;&gt;"",AD673&lt;&gt;""),4,IF(U673&lt;&gt;"",3,IF(T673&lt;&gt;"",2,1))))</f>
        <v/>
      </c>
      <c r="BE673" s="39" t="str">
        <f aca="false">IF(OR(AO673&lt;&gt;1,AR673=""),"",INDEX(NIV_REQ,AR673))</f>
        <v/>
      </c>
      <c r="BF673" s="39" t="str">
        <f aca="false">IF(BE673="","",MAX(BE673,IF(OR(K673="Oui",Z673="Oui"),4,1)))</f>
        <v/>
      </c>
      <c r="BG673" s="35" t="str">
        <f aca="false">IF(OR(BF673="",BD673=""),"",IF(BD673&gt;=BF673,1,0))</f>
        <v/>
      </c>
      <c r="BH673" s="38" t="str">
        <f aca="false">IF(BE673="","",IF(BE673&lt;2,"",IF(BE673=2,IF(AND(T673="",U673=""),"",MIN(T673,U673)),IF(U673="","",U673))))</f>
        <v/>
      </c>
      <c r="BI673" s="37" t="str">
        <f aca="false">IF(BH673="","",IF(OR(O673="",BH673=""),"",IF(BH673&lt;O673,"",ROUND(((NETWORKDAYS(O673,BH673,JoursFeries)-1)*(HFer-HOuv)+IF(NETWORKDAYS(BH673,BH673,JoursFeries),MEDIAN(MOD(BH673,1),HFer,HOuv),HFer)-IF(NETWORKDAYS(O673,O673,JoursFeries),MEDIAN(MOD(O673,1),HFer,HOuv),HOuv))*24,4))))</f>
        <v/>
      </c>
      <c r="BJ673" s="35" t="str">
        <f aca="false">IF(OR(BI673="",AR673=""),"",IF(BI673&lt;=INDEX(DELAI_ESC,AR673),1,0))</f>
        <v/>
      </c>
      <c r="BK673" s="38" t="str">
        <f aca="false">IF(AO673&lt;&gt;1,"",IF(AND(T673="",U673=""),"",MIN(T673,U673)))</f>
        <v/>
      </c>
      <c r="BL673" s="37" t="str">
        <f aca="false">IF(OR(BK673="",R673=""),"",IFERROR(ROUND(IF(OR(BK673="",R673=""),"",IF(R673&lt;BK673,"",ROUND(((NETWORKDAYS(BK673,R673,JoursFeries)-1)*(HFer-HOuv)+IF(NETWORKDAYS(R673,R673,JoursFeries),MEDIAN(MOD(R673,1),HFer,HOuv),HFer)-IF(NETWORKDAYS(BK673,BK673,JoursFeries),MEDIAN(MOD(BK673,1),HFer,HOuv),HOuv))*24,4)))/HJour,4),""))</f>
        <v/>
      </c>
      <c r="BM673" s="35" t="str">
        <f aca="false">IF(OR(AO673&lt;&gt;1,R673=""),"",IF(BD673=1,1,0))</f>
        <v/>
      </c>
      <c r="BN673" s="35" t="str">
        <f aca="false">IF(AO673&lt;&gt;1,"",IF(W673="Oui",1,0))</f>
        <v/>
      </c>
      <c r="BO673" s="35" t="str">
        <f aca="false">IF(AO673&lt;&gt;1,"",IF(X673&lt;&gt;"",1,0))</f>
        <v/>
      </c>
      <c r="BP673" s="35" t="str">
        <f aca="false">IF(AO673&lt;&gt;1,"",IF(Y673="Oui",1,0))</f>
        <v/>
      </c>
      <c r="BQ673" s="35" t="str">
        <f aca="true">IF(OR(AO673&lt;&gt;1,Z673&lt;&gt;"Oui"),"",IF(AB673="",IF(AND(AA673&lt;&gt;"",NOW()&gt;AA673),0,""),IF(AA673="","",IF(AB673&lt;=AA673,1,0))))</f>
        <v/>
      </c>
      <c r="BR673" s="38" t="str">
        <f aca="false">IF(OR(AO673&lt;&gt;1,K673&lt;&gt;"Oui",O673=""),"",IF(AC673="",O673+DORA_H_DET/24,IF(AC673-O673&lt;=DORA_H_DET/24,MIN(AC673+DORA_H_CLA/24,O673+DORA_H_DET/24),AC673+DORA_H_CLA/24)))</f>
        <v/>
      </c>
      <c r="BS673" s="35" t="str">
        <f aca="true">IF(BR673="","",IF(AD673="",IF(NOW()&gt;BR673,0,""),IF(AD673&lt;=BR673,1,0)))</f>
        <v/>
      </c>
      <c r="BT673" s="35" t="str">
        <f aca="true">IF(OR(BR673="",AD673=""),"",IF(AE673="",IF(NOW()&gt;AD673+DORA_H_INT/24,0,""),IF(AE673&lt;=AD673+DORA_H_INT/24,1,0)))</f>
        <v/>
      </c>
      <c r="BU673" s="35" t="str">
        <f aca="true">IF(OR(BR673="",AE673=""),"",IF(AF673="",IF(NOW()&gt;EDATE(AE673,DORA_M_FIN)+1,0,""),IF(AF673&lt;=EDATE(AE673,DORA_M_FIN),1,0)))</f>
        <v/>
      </c>
      <c r="BV673" s="35" t="str">
        <f aca="false">IF(BR673="","",IF(COUNT(BS673:BU673)=0,"",MIN(BS673:BU673)))</f>
        <v/>
      </c>
      <c r="BW673" s="40" t="str">
        <f aca="false">IF(AQ673&lt;&gt;1,"",IF(AND(AG673="",AH673=""),"",N(AG673)-N(AH673)))</f>
        <v/>
      </c>
      <c r="BX673" s="35" t="str">
        <f aca="true">IF(OR(AQ673&lt;&gt;1,AI673&lt;&gt;"Oui",AJ673=""),"",IF(AK673="",IF(NOW()&gt;AJ673+1,0,""),IF(AK673&lt;=AJ673,1,0)))</f>
        <v/>
      </c>
    </row>
    <row r="674" customFormat="false" ht="15" hidden="false" customHeight="false" outlineLevel="0" collapsed="false">
      <c r="B674" s="29"/>
      <c r="C674" s="29"/>
      <c r="D674" s="29"/>
      <c r="E674" s="29"/>
      <c r="F674" s="29"/>
      <c r="G674" s="29"/>
      <c r="H674" s="29"/>
      <c r="I674" s="29"/>
      <c r="J674" s="29"/>
      <c r="K674" s="29"/>
      <c r="L674" s="29"/>
      <c r="M674" s="29"/>
      <c r="N674" s="30"/>
      <c r="O674" s="30"/>
      <c r="P674" s="30"/>
      <c r="Q674" s="30"/>
      <c r="R674" s="30"/>
      <c r="S674" s="30"/>
      <c r="T674" s="30"/>
      <c r="U674" s="30"/>
      <c r="V674" s="31"/>
      <c r="W674" s="29"/>
      <c r="X674" s="29"/>
      <c r="Y674" s="29"/>
      <c r="Z674" s="29"/>
      <c r="AA674" s="30"/>
      <c r="AB674" s="30"/>
      <c r="AC674" s="30"/>
      <c r="AD674" s="30"/>
      <c r="AE674" s="30"/>
      <c r="AF674" s="32"/>
      <c r="AG674" s="33"/>
      <c r="AH674" s="33"/>
      <c r="AI674" s="29"/>
      <c r="AJ674" s="32"/>
      <c r="AK674" s="32"/>
      <c r="AL674" s="29"/>
      <c r="AN674" s="34" t="str">
        <f aca="false">IF($B674="","",IF(OR(C674="",D674="",E674="",G674="",I674="",J674="",L674="",O674="",P674=""),"Champ obligatoire manquant",IF(OR(AND(N674&lt;&gt;"",N674&gt;O674),O674&gt;P674,AND(Q674&lt;&gt;"",Q674&lt;P674),AND(R674&lt;&gt;"",R674&lt;P674),AND(S674&lt;&gt;"",S674&lt;R674),AND(S674&lt;&gt;"",R674=""),AND(T674&lt;&gt;"",T674&lt;O674),AND(U674&lt;&gt;"",U674&lt;O674)),"Chronologie incohérente",IF(AND(OR(L674="Résolu",L674="Clos"),R674=""),"Date de résolution manquante",IF(AND(L674="Clos",S674=""),"Date de clôture manquante",IF(AND(K674="Oui",AC674=""),"Classification DORA manquante","OK"))))))</f>
        <v/>
      </c>
      <c r="AO674" s="35" t="str">
        <f aca="false">IF($B674="","",IF(AND(C674="Incident",L674&lt;&gt;"Annulé"),1,0))</f>
        <v/>
      </c>
      <c r="AP674" s="35" t="str">
        <f aca="false">IF($B674="","",IF(AND(C674="Quasi-incident",L674&lt;&gt;"Annulé"),1,0))</f>
        <v/>
      </c>
      <c r="AQ674" s="35" t="str">
        <f aca="false">IF($B674="","",AO674+AP674)</f>
        <v/>
      </c>
      <c r="AR674" s="36" t="str">
        <f aca="false">IF(OR($B674="",J674=""),"",IFERROR(VALUE(LEFT(J674,1)),""))</f>
        <v/>
      </c>
      <c r="AS674" s="35" t="str">
        <f aca="false">IF(OR(AO674&lt;&gt;1,G674=""),"",IFERROR(IF(INDEX(L_SrcInterne,MATCH(G674,L_Sources,0))="Oui",1,0),""))</f>
        <v/>
      </c>
      <c r="AT674" s="37" t="str">
        <f aca="false">IF(AO674&lt;&gt;1,"",IFERROR(ROUND(IF(OR(N674="",O674=""),"",IF(O674&lt;N674,"",ROUND(((NETWORKDAYS(N674,O674,JoursFeries)-1)*(HFer-HOuv)+IF(NETWORKDAYS(O674,O674,JoursFeries),MEDIAN(MOD(O674,1),HFer,HOuv),HFer)-IF(NETWORKDAYS(N674,N674,JoursFeries),MEDIAN(MOD(N674,1),HFer,HOuv),HOuv))*24,4)))/HJour,4),""))</f>
        <v/>
      </c>
      <c r="AU674" s="37" t="str">
        <f aca="false">IF(AO674&lt;&gt;1,"",IF(OR(O674="",P674=""),"",IF(P674&lt;O674,"",ROUND(((NETWORKDAYS(O674,P674,JoursFeries)-1)*(HFer-HOuv)+IF(NETWORKDAYS(P674,P674,JoursFeries),MEDIAN(MOD(P674,1),HFer,HOuv),HFer)-IF(NETWORKDAYS(O674,O674,JoursFeries),MEDIAN(MOD(O674,1),HFer,HOuv),HOuv))*24,4))))</f>
        <v/>
      </c>
      <c r="AV674" s="37" t="str">
        <f aca="false">IF(AO674&lt;&gt;1,"",IF(OR(P674="",Q674=""),"",IF(Q674&lt;P674,"",ROUND(((NETWORKDAYS(P674,Q674,JoursFeries)-1)*(HFer-HOuv)+IF(NETWORKDAYS(Q674,Q674,JoursFeries),MEDIAN(MOD(Q674,1),HFer,HOuv),HFer)-IF(NETWORKDAYS(P674,P674,JoursFeries),MEDIAN(MOD(P674,1),HFer,HOuv),HOuv))*24,4))))</f>
        <v/>
      </c>
      <c r="AW674" s="37" t="str">
        <f aca="false">IF(AO674&lt;&gt;1,"",IFERROR(ROUND(IF(OR(P674="",R674=""),"",IF(R674&lt;P674,"",ROUND(((NETWORKDAYS(P674,R674,JoursFeries)-1)*(HFer-HOuv)+IF(NETWORKDAYS(R674,R674,JoursFeries),MEDIAN(MOD(R674,1),HFer,HOuv),HFer)-IF(NETWORKDAYS(P674,P674,JoursFeries),MEDIAN(MOD(P674,1),HFer,HOuv),HOuv))*24,4)))/HJour,4),""))</f>
        <v/>
      </c>
      <c r="AX674" s="37" t="str">
        <f aca="false">IF(AO674&lt;&gt;1,"",IFERROR(ROUND(IF(OR(P674="",S674=""),"",IF(S674&lt;P674,"",ROUND(((NETWORKDAYS(P674,S674,JoursFeries)-1)*(HFer-HOuv)+IF(NETWORKDAYS(S674,S674,JoursFeries),MEDIAN(MOD(S674,1),HFer,HOuv),HFer)-IF(NETWORKDAYS(P674,P674,JoursFeries),MEDIAN(MOD(P674,1),HFer,HOuv),HOuv))*24,4)))/HJour,4),""))</f>
        <v/>
      </c>
      <c r="AY674" s="36" t="str">
        <f aca="false">IF(OR(AO674&lt;&gt;1,AR674=""),"",INDEX(SLA_PEC,AR674))</f>
        <v/>
      </c>
      <c r="AZ674" s="35" t="str">
        <f aca="false">IF(OR(AV674="",AY674=""),"",IF(AV674&lt;=AY674,1,0))</f>
        <v/>
      </c>
      <c r="BA674" s="36" t="str">
        <f aca="false">IF(OR(AO674&lt;&gt;1,AR674=""),"",INDEX(SLA_RES,AR674))</f>
        <v/>
      </c>
      <c r="BB674" s="35" t="str">
        <f aca="false">IF(OR(AW674="",BA674=""),"",IF(AW674&lt;=BA674,1,0))</f>
        <v/>
      </c>
      <c r="BC674" s="38" t="str">
        <f aca="false">IF(OR(BA674="",P674=""),"",WORKDAY(INT(P674),BA674,JoursFeries)+MOD(P674,1))</f>
        <v/>
      </c>
      <c r="BD674" s="39" t="str">
        <f aca="false">IF(AO674&lt;&gt;1,"",IF(OR(AB674&lt;&gt;"",AD674&lt;&gt;""),4,IF(U674&lt;&gt;"",3,IF(T674&lt;&gt;"",2,1))))</f>
        <v/>
      </c>
      <c r="BE674" s="39" t="str">
        <f aca="false">IF(OR(AO674&lt;&gt;1,AR674=""),"",INDEX(NIV_REQ,AR674))</f>
        <v/>
      </c>
      <c r="BF674" s="39" t="str">
        <f aca="false">IF(BE674="","",MAX(BE674,IF(OR(K674="Oui",Z674="Oui"),4,1)))</f>
        <v/>
      </c>
      <c r="BG674" s="35" t="str">
        <f aca="false">IF(OR(BF674="",BD674=""),"",IF(BD674&gt;=BF674,1,0))</f>
        <v/>
      </c>
      <c r="BH674" s="38" t="str">
        <f aca="false">IF(BE674="","",IF(BE674&lt;2,"",IF(BE674=2,IF(AND(T674="",U674=""),"",MIN(T674,U674)),IF(U674="","",U674))))</f>
        <v/>
      </c>
      <c r="BI674" s="37" t="str">
        <f aca="false">IF(BH674="","",IF(OR(O674="",BH674=""),"",IF(BH674&lt;O674,"",ROUND(((NETWORKDAYS(O674,BH674,JoursFeries)-1)*(HFer-HOuv)+IF(NETWORKDAYS(BH674,BH674,JoursFeries),MEDIAN(MOD(BH674,1),HFer,HOuv),HFer)-IF(NETWORKDAYS(O674,O674,JoursFeries),MEDIAN(MOD(O674,1),HFer,HOuv),HOuv))*24,4))))</f>
        <v/>
      </c>
      <c r="BJ674" s="35" t="str">
        <f aca="false">IF(OR(BI674="",AR674=""),"",IF(BI674&lt;=INDEX(DELAI_ESC,AR674),1,0))</f>
        <v/>
      </c>
      <c r="BK674" s="38" t="str">
        <f aca="false">IF(AO674&lt;&gt;1,"",IF(AND(T674="",U674=""),"",MIN(T674,U674)))</f>
        <v/>
      </c>
      <c r="BL674" s="37" t="str">
        <f aca="false">IF(OR(BK674="",R674=""),"",IFERROR(ROUND(IF(OR(BK674="",R674=""),"",IF(R674&lt;BK674,"",ROUND(((NETWORKDAYS(BK674,R674,JoursFeries)-1)*(HFer-HOuv)+IF(NETWORKDAYS(R674,R674,JoursFeries),MEDIAN(MOD(R674,1),HFer,HOuv),HFer)-IF(NETWORKDAYS(BK674,BK674,JoursFeries),MEDIAN(MOD(BK674,1),HFer,HOuv),HOuv))*24,4)))/HJour,4),""))</f>
        <v/>
      </c>
      <c r="BM674" s="35" t="str">
        <f aca="false">IF(OR(AO674&lt;&gt;1,R674=""),"",IF(BD674=1,1,0))</f>
        <v/>
      </c>
      <c r="BN674" s="35" t="str">
        <f aca="false">IF(AO674&lt;&gt;1,"",IF(W674="Oui",1,0))</f>
        <v/>
      </c>
      <c r="BO674" s="35" t="str">
        <f aca="false">IF(AO674&lt;&gt;1,"",IF(X674&lt;&gt;"",1,0))</f>
        <v/>
      </c>
      <c r="BP674" s="35" t="str">
        <f aca="false">IF(AO674&lt;&gt;1,"",IF(Y674="Oui",1,0))</f>
        <v/>
      </c>
      <c r="BQ674" s="35" t="str">
        <f aca="true">IF(OR(AO674&lt;&gt;1,Z674&lt;&gt;"Oui"),"",IF(AB674="",IF(AND(AA674&lt;&gt;"",NOW()&gt;AA674),0,""),IF(AA674="","",IF(AB674&lt;=AA674,1,0))))</f>
        <v/>
      </c>
      <c r="BR674" s="38" t="str">
        <f aca="false">IF(OR(AO674&lt;&gt;1,K674&lt;&gt;"Oui",O674=""),"",IF(AC674="",O674+DORA_H_DET/24,IF(AC674-O674&lt;=DORA_H_DET/24,MIN(AC674+DORA_H_CLA/24,O674+DORA_H_DET/24),AC674+DORA_H_CLA/24)))</f>
        <v/>
      </c>
      <c r="BS674" s="35" t="str">
        <f aca="true">IF(BR674="","",IF(AD674="",IF(NOW()&gt;BR674,0,""),IF(AD674&lt;=BR674,1,0)))</f>
        <v/>
      </c>
      <c r="BT674" s="35" t="str">
        <f aca="true">IF(OR(BR674="",AD674=""),"",IF(AE674="",IF(NOW()&gt;AD674+DORA_H_INT/24,0,""),IF(AE674&lt;=AD674+DORA_H_INT/24,1,0)))</f>
        <v/>
      </c>
      <c r="BU674" s="35" t="str">
        <f aca="true">IF(OR(BR674="",AE674=""),"",IF(AF674="",IF(NOW()&gt;EDATE(AE674,DORA_M_FIN)+1,0,""),IF(AF674&lt;=EDATE(AE674,DORA_M_FIN),1,0)))</f>
        <v/>
      </c>
      <c r="BV674" s="35" t="str">
        <f aca="false">IF(BR674="","",IF(COUNT(BS674:BU674)=0,"",MIN(BS674:BU674)))</f>
        <v/>
      </c>
      <c r="BW674" s="40" t="str">
        <f aca="false">IF(AQ674&lt;&gt;1,"",IF(AND(AG674="",AH674=""),"",N(AG674)-N(AH674)))</f>
        <v/>
      </c>
      <c r="BX674" s="35" t="str">
        <f aca="true">IF(OR(AQ674&lt;&gt;1,AI674&lt;&gt;"Oui",AJ674=""),"",IF(AK674="",IF(NOW()&gt;AJ674+1,0,""),IF(AK674&lt;=AJ674,1,0)))</f>
        <v/>
      </c>
    </row>
    <row r="675" customFormat="false" ht="15" hidden="false" customHeight="false" outlineLevel="0" collapsed="false">
      <c r="B675" s="29"/>
      <c r="C675" s="29"/>
      <c r="D675" s="29"/>
      <c r="E675" s="29"/>
      <c r="F675" s="29"/>
      <c r="G675" s="29"/>
      <c r="H675" s="29"/>
      <c r="I675" s="29"/>
      <c r="J675" s="29"/>
      <c r="K675" s="29"/>
      <c r="L675" s="29"/>
      <c r="M675" s="29"/>
      <c r="N675" s="30"/>
      <c r="O675" s="30"/>
      <c r="P675" s="30"/>
      <c r="Q675" s="30"/>
      <c r="R675" s="30"/>
      <c r="S675" s="30"/>
      <c r="T675" s="30"/>
      <c r="U675" s="30"/>
      <c r="V675" s="31"/>
      <c r="W675" s="29"/>
      <c r="X675" s="29"/>
      <c r="Y675" s="29"/>
      <c r="Z675" s="29"/>
      <c r="AA675" s="30"/>
      <c r="AB675" s="30"/>
      <c r="AC675" s="30"/>
      <c r="AD675" s="30"/>
      <c r="AE675" s="30"/>
      <c r="AF675" s="32"/>
      <c r="AG675" s="33"/>
      <c r="AH675" s="33"/>
      <c r="AI675" s="29"/>
      <c r="AJ675" s="32"/>
      <c r="AK675" s="32"/>
      <c r="AL675" s="29"/>
      <c r="AN675" s="34" t="str">
        <f aca="false">IF($B675="","",IF(OR(C675="",D675="",E675="",G675="",I675="",J675="",L675="",O675="",P675=""),"Champ obligatoire manquant",IF(OR(AND(N675&lt;&gt;"",N675&gt;O675),O675&gt;P675,AND(Q675&lt;&gt;"",Q675&lt;P675),AND(R675&lt;&gt;"",R675&lt;P675),AND(S675&lt;&gt;"",S675&lt;R675),AND(S675&lt;&gt;"",R675=""),AND(T675&lt;&gt;"",T675&lt;O675),AND(U675&lt;&gt;"",U675&lt;O675)),"Chronologie incohérente",IF(AND(OR(L675="Résolu",L675="Clos"),R675=""),"Date de résolution manquante",IF(AND(L675="Clos",S675=""),"Date de clôture manquante",IF(AND(K675="Oui",AC675=""),"Classification DORA manquante","OK"))))))</f>
        <v/>
      </c>
      <c r="AO675" s="35" t="str">
        <f aca="false">IF($B675="","",IF(AND(C675="Incident",L675&lt;&gt;"Annulé"),1,0))</f>
        <v/>
      </c>
      <c r="AP675" s="35" t="str">
        <f aca="false">IF($B675="","",IF(AND(C675="Quasi-incident",L675&lt;&gt;"Annulé"),1,0))</f>
        <v/>
      </c>
      <c r="AQ675" s="35" t="str">
        <f aca="false">IF($B675="","",AO675+AP675)</f>
        <v/>
      </c>
      <c r="AR675" s="36" t="str">
        <f aca="false">IF(OR($B675="",J675=""),"",IFERROR(VALUE(LEFT(J675,1)),""))</f>
        <v/>
      </c>
      <c r="AS675" s="35" t="str">
        <f aca="false">IF(OR(AO675&lt;&gt;1,G675=""),"",IFERROR(IF(INDEX(L_SrcInterne,MATCH(G675,L_Sources,0))="Oui",1,0),""))</f>
        <v/>
      </c>
      <c r="AT675" s="37" t="str">
        <f aca="false">IF(AO675&lt;&gt;1,"",IFERROR(ROUND(IF(OR(N675="",O675=""),"",IF(O675&lt;N675,"",ROUND(((NETWORKDAYS(N675,O675,JoursFeries)-1)*(HFer-HOuv)+IF(NETWORKDAYS(O675,O675,JoursFeries),MEDIAN(MOD(O675,1),HFer,HOuv),HFer)-IF(NETWORKDAYS(N675,N675,JoursFeries),MEDIAN(MOD(N675,1),HFer,HOuv),HOuv))*24,4)))/HJour,4),""))</f>
        <v/>
      </c>
      <c r="AU675" s="37" t="str">
        <f aca="false">IF(AO675&lt;&gt;1,"",IF(OR(O675="",P675=""),"",IF(P675&lt;O675,"",ROUND(((NETWORKDAYS(O675,P675,JoursFeries)-1)*(HFer-HOuv)+IF(NETWORKDAYS(P675,P675,JoursFeries),MEDIAN(MOD(P675,1),HFer,HOuv),HFer)-IF(NETWORKDAYS(O675,O675,JoursFeries),MEDIAN(MOD(O675,1),HFer,HOuv),HOuv))*24,4))))</f>
        <v/>
      </c>
      <c r="AV675" s="37" t="str">
        <f aca="false">IF(AO675&lt;&gt;1,"",IF(OR(P675="",Q675=""),"",IF(Q675&lt;P675,"",ROUND(((NETWORKDAYS(P675,Q675,JoursFeries)-1)*(HFer-HOuv)+IF(NETWORKDAYS(Q675,Q675,JoursFeries),MEDIAN(MOD(Q675,1),HFer,HOuv),HFer)-IF(NETWORKDAYS(P675,P675,JoursFeries),MEDIAN(MOD(P675,1),HFer,HOuv),HOuv))*24,4))))</f>
        <v/>
      </c>
      <c r="AW675" s="37" t="str">
        <f aca="false">IF(AO675&lt;&gt;1,"",IFERROR(ROUND(IF(OR(P675="",R675=""),"",IF(R675&lt;P675,"",ROUND(((NETWORKDAYS(P675,R675,JoursFeries)-1)*(HFer-HOuv)+IF(NETWORKDAYS(R675,R675,JoursFeries),MEDIAN(MOD(R675,1),HFer,HOuv),HFer)-IF(NETWORKDAYS(P675,P675,JoursFeries),MEDIAN(MOD(P675,1),HFer,HOuv),HOuv))*24,4)))/HJour,4),""))</f>
        <v/>
      </c>
      <c r="AX675" s="37" t="str">
        <f aca="false">IF(AO675&lt;&gt;1,"",IFERROR(ROUND(IF(OR(P675="",S675=""),"",IF(S675&lt;P675,"",ROUND(((NETWORKDAYS(P675,S675,JoursFeries)-1)*(HFer-HOuv)+IF(NETWORKDAYS(S675,S675,JoursFeries),MEDIAN(MOD(S675,1),HFer,HOuv),HFer)-IF(NETWORKDAYS(P675,P675,JoursFeries),MEDIAN(MOD(P675,1),HFer,HOuv),HOuv))*24,4)))/HJour,4),""))</f>
        <v/>
      </c>
      <c r="AY675" s="36" t="str">
        <f aca="false">IF(OR(AO675&lt;&gt;1,AR675=""),"",INDEX(SLA_PEC,AR675))</f>
        <v/>
      </c>
      <c r="AZ675" s="35" t="str">
        <f aca="false">IF(OR(AV675="",AY675=""),"",IF(AV675&lt;=AY675,1,0))</f>
        <v/>
      </c>
      <c r="BA675" s="36" t="str">
        <f aca="false">IF(OR(AO675&lt;&gt;1,AR675=""),"",INDEX(SLA_RES,AR675))</f>
        <v/>
      </c>
      <c r="BB675" s="35" t="str">
        <f aca="false">IF(OR(AW675="",BA675=""),"",IF(AW675&lt;=BA675,1,0))</f>
        <v/>
      </c>
      <c r="BC675" s="38" t="str">
        <f aca="false">IF(OR(BA675="",P675=""),"",WORKDAY(INT(P675),BA675,JoursFeries)+MOD(P675,1))</f>
        <v/>
      </c>
      <c r="BD675" s="39" t="str">
        <f aca="false">IF(AO675&lt;&gt;1,"",IF(OR(AB675&lt;&gt;"",AD675&lt;&gt;""),4,IF(U675&lt;&gt;"",3,IF(T675&lt;&gt;"",2,1))))</f>
        <v/>
      </c>
      <c r="BE675" s="39" t="str">
        <f aca="false">IF(OR(AO675&lt;&gt;1,AR675=""),"",INDEX(NIV_REQ,AR675))</f>
        <v/>
      </c>
      <c r="BF675" s="39" t="str">
        <f aca="false">IF(BE675="","",MAX(BE675,IF(OR(K675="Oui",Z675="Oui"),4,1)))</f>
        <v/>
      </c>
      <c r="BG675" s="35" t="str">
        <f aca="false">IF(OR(BF675="",BD675=""),"",IF(BD675&gt;=BF675,1,0))</f>
        <v/>
      </c>
      <c r="BH675" s="38" t="str">
        <f aca="false">IF(BE675="","",IF(BE675&lt;2,"",IF(BE675=2,IF(AND(T675="",U675=""),"",MIN(T675,U675)),IF(U675="","",U675))))</f>
        <v/>
      </c>
      <c r="BI675" s="37" t="str">
        <f aca="false">IF(BH675="","",IF(OR(O675="",BH675=""),"",IF(BH675&lt;O675,"",ROUND(((NETWORKDAYS(O675,BH675,JoursFeries)-1)*(HFer-HOuv)+IF(NETWORKDAYS(BH675,BH675,JoursFeries),MEDIAN(MOD(BH675,1),HFer,HOuv),HFer)-IF(NETWORKDAYS(O675,O675,JoursFeries),MEDIAN(MOD(O675,1),HFer,HOuv),HOuv))*24,4))))</f>
        <v/>
      </c>
      <c r="BJ675" s="35" t="str">
        <f aca="false">IF(OR(BI675="",AR675=""),"",IF(BI675&lt;=INDEX(DELAI_ESC,AR675),1,0))</f>
        <v/>
      </c>
      <c r="BK675" s="38" t="str">
        <f aca="false">IF(AO675&lt;&gt;1,"",IF(AND(T675="",U675=""),"",MIN(T675,U675)))</f>
        <v/>
      </c>
      <c r="BL675" s="37" t="str">
        <f aca="false">IF(OR(BK675="",R675=""),"",IFERROR(ROUND(IF(OR(BK675="",R675=""),"",IF(R675&lt;BK675,"",ROUND(((NETWORKDAYS(BK675,R675,JoursFeries)-1)*(HFer-HOuv)+IF(NETWORKDAYS(R675,R675,JoursFeries),MEDIAN(MOD(R675,1),HFer,HOuv),HFer)-IF(NETWORKDAYS(BK675,BK675,JoursFeries),MEDIAN(MOD(BK675,1),HFer,HOuv),HOuv))*24,4)))/HJour,4),""))</f>
        <v/>
      </c>
      <c r="BM675" s="35" t="str">
        <f aca="false">IF(OR(AO675&lt;&gt;1,R675=""),"",IF(BD675=1,1,0))</f>
        <v/>
      </c>
      <c r="BN675" s="35" t="str">
        <f aca="false">IF(AO675&lt;&gt;1,"",IF(W675="Oui",1,0))</f>
        <v/>
      </c>
      <c r="BO675" s="35" t="str">
        <f aca="false">IF(AO675&lt;&gt;1,"",IF(X675&lt;&gt;"",1,0))</f>
        <v/>
      </c>
      <c r="BP675" s="35" t="str">
        <f aca="false">IF(AO675&lt;&gt;1,"",IF(Y675="Oui",1,0))</f>
        <v/>
      </c>
      <c r="BQ675" s="35" t="str">
        <f aca="true">IF(OR(AO675&lt;&gt;1,Z675&lt;&gt;"Oui"),"",IF(AB675="",IF(AND(AA675&lt;&gt;"",NOW()&gt;AA675),0,""),IF(AA675="","",IF(AB675&lt;=AA675,1,0))))</f>
        <v/>
      </c>
      <c r="BR675" s="38" t="str">
        <f aca="false">IF(OR(AO675&lt;&gt;1,K675&lt;&gt;"Oui",O675=""),"",IF(AC675="",O675+DORA_H_DET/24,IF(AC675-O675&lt;=DORA_H_DET/24,MIN(AC675+DORA_H_CLA/24,O675+DORA_H_DET/24),AC675+DORA_H_CLA/24)))</f>
        <v/>
      </c>
      <c r="BS675" s="35" t="str">
        <f aca="true">IF(BR675="","",IF(AD675="",IF(NOW()&gt;BR675,0,""),IF(AD675&lt;=BR675,1,0)))</f>
        <v/>
      </c>
      <c r="BT675" s="35" t="str">
        <f aca="true">IF(OR(BR675="",AD675=""),"",IF(AE675="",IF(NOW()&gt;AD675+DORA_H_INT/24,0,""),IF(AE675&lt;=AD675+DORA_H_INT/24,1,0)))</f>
        <v/>
      </c>
      <c r="BU675" s="35" t="str">
        <f aca="true">IF(OR(BR675="",AE675=""),"",IF(AF675="",IF(NOW()&gt;EDATE(AE675,DORA_M_FIN)+1,0,""),IF(AF675&lt;=EDATE(AE675,DORA_M_FIN),1,0)))</f>
        <v/>
      </c>
      <c r="BV675" s="35" t="str">
        <f aca="false">IF(BR675="","",IF(COUNT(BS675:BU675)=0,"",MIN(BS675:BU675)))</f>
        <v/>
      </c>
      <c r="BW675" s="40" t="str">
        <f aca="false">IF(AQ675&lt;&gt;1,"",IF(AND(AG675="",AH675=""),"",N(AG675)-N(AH675)))</f>
        <v/>
      </c>
      <c r="BX675" s="35" t="str">
        <f aca="true">IF(OR(AQ675&lt;&gt;1,AI675&lt;&gt;"Oui",AJ675=""),"",IF(AK675="",IF(NOW()&gt;AJ675+1,0,""),IF(AK675&lt;=AJ675,1,0)))</f>
        <v/>
      </c>
    </row>
    <row r="676" customFormat="false" ht="15" hidden="false" customHeight="false" outlineLevel="0" collapsed="false">
      <c r="B676" s="29"/>
      <c r="C676" s="29"/>
      <c r="D676" s="29"/>
      <c r="E676" s="29"/>
      <c r="F676" s="29"/>
      <c r="G676" s="29"/>
      <c r="H676" s="29"/>
      <c r="I676" s="29"/>
      <c r="J676" s="29"/>
      <c r="K676" s="29"/>
      <c r="L676" s="29"/>
      <c r="M676" s="29"/>
      <c r="N676" s="30"/>
      <c r="O676" s="30"/>
      <c r="P676" s="30"/>
      <c r="Q676" s="30"/>
      <c r="R676" s="30"/>
      <c r="S676" s="30"/>
      <c r="T676" s="30"/>
      <c r="U676" s="30"/>
      <c r="V676" s="31"/>
      <c r="W676" s="29"/>
      <c r="X676" s="29"/>
      <c r="Y676" s="29"/>
      <c r="Z676" s="29"/>
      <c r="AA676" s="30"/>
      <c r="AB676" s="30"/>
      <c r="AC676" s="30"/>
      <c r="AD676" s="30"/>
      <c r="AE676" s="30"/>
      <c r="AF676" s="32"/>
      <c r="AG676" s="33"/>
      <c r="AH676" s="33"/>
      <c r="AI676" s="29"/>
      <c r="AJ676" s="32"/>
      <c r="AK676" s="32"/>
      <c r="AL676" s="29"/>
      <c r="AN676" s="34" t="str">
        <f aca="false">IF($B676="","",IF(OR(C676="",D676="",E676="",G676="",I676="",J676="",L676="",O676="",P676=""),"Champ obligatoire manquant",IF(OR(AND(N676&lt;&gt;"",N676&gt;O676),O676&gt;P676,AND(Q676&lt;&gt;"",Q676&lt;P676),AND(R676&lt;&gt;"",R676&lt;P676),AND(S676&lt;&gt;"",S676&lt;R676),AND(S676&lt;&gt;"",R676=""),AND(T676&lt;&gt;"",T676&lt;O676),AND(U676&lt;&gt;"",U676&lt;O676)),"Chronologie incohérente",IF(AND(OR(L676="Résolu",L676="Clos"),R676=""),"Date de résolution manquante",IF(AND(L676="Clos",S676=""),"Date de clôture manquante",IF(AND(K676="Oui",AC676=""),"Classification DORA manquante","OK"))))))</f>
        <v/>
      </c>
      <c r="AO676" s="35" t="str">
        <f aca="false">IF($B676="","",IF(AND(C676="Incident",L676&lt;&gt;"Annulé"),1,0))</f>
        <v/>
      </c>
      <c r="AP676" s="35" t="str">
        <f aca="false">IF($B676="","",IF(AND(C676="Quasi-incident",L676&lt;&gt;"Annulé"),1,0))</f>
        <v/>
      </c>
      <c r="AQ676" s="35" t="str">
        <f aca="false">IF($B676="","",AO676+AP676)</f>
        <v/>
      </c>
      <c r="AR676" s="36" t="str">
        <f aca="false">IF(OR($B676="",J676=""),"",IFERROR(VALUE(LEFT(J676,1)),""))</f>
        <v/>
      </c>
      <c r="AS676" s="35" t="str">
        <f aca="false">IF(OR(AO676&lt;&gt;1,G676=""),"",IFERROR(IF(INDEX(L_SrcInterne,MATCH(G676,L_Sources,0))="Oui",1,0),""))</f>
        <v/>
      </c>
      <c r="AT676" s="37" t="str">
        <f aca="false">IF(AO676&lt;&gt;1,"",IFERROR(ROUND(IF(OR(N676="",O676=""),"",IF(O676&lt;N676,"",ROUND(((NETWORKDAYS(N676,O676,JoursFeries)-1)*(HFer-HOuv)+IF(NETWORKDAYS(O676,O676,JoursFeries),MEDIAN(MOD(O676,1),HFer,HOuv),HFer)-IF(NETWORKDAYS(N676,N676,JoursFeries),MEDIAN(MOD(N676,1),HFer,HOuv),HOuv))*24,4)))/HJour,4),""))</f>
        <v/>
      </c>
      <c r="AU676" s="37" t="str">
        <f aca="false">IF(AO676&lt;&gt;1,"",IF(OR(O676="",P676=""),"",IF(P676&lt;O676,"",ROUND(((NETWORKDAYS(O676,P676,JoursFeries)-1)*(HFer-HOuv)+IF(NETWORKDAYS(P676,P676,JoursFeries),MEDIAN(MOD(P676,1),HFer,HOuv),HFer)-IF(NETWORKDAYS(O676,O676,JoursFeries),MEDIAN(MOD(O676,1),HFer,HOuv),HOuv))*24,4))))</f>
        <v/>
      </c>
      <c r="AV676" s="37" t="str">
        <f aca="false">IF(AO676&lt;&gt;1,"",IF(OR(P676="",Q676=""),"",IF(Q676&lt;P676,"",ROUND(((NETWORKDAYS(P676,Q676,JoursFeries)-1)*(HFer-HOuv)+IF(NETWORKDAYS(Q676,Q676,JoursFeries),MEDIAN(MOD(Q676,1),HFer,HOuv),HFer)-IF(NETWORKDAYS(P676,P676,JoursFeries),MEDIAN(MOD(P676,1),HFer,HOuv),HOuv))*24,4))))</f>
        <v/>
      </c>
      <c r="AW676" s="37" t="str">
        <f aca="false">IF(AO676&lt;&gt;1,"",IFERROR(ROUND(IF(OR(P676="",R676=""),"",IF(R676&lt;P676,"",ROUND(((NETWORKDAYS(P676,R676,JoursFeries)-1)*(HFer-HOuv)+IF(NETWORKDAYS(R676,R676,JoursFeries),MEDIAN(MOD(R676,1),HFer,HOuv),HFer)-IF(NETWORKDAYS(P676,P676,JoursFeries),MEDIAN(MOD(P676,1),HFer,HOuv),HOuv))*24,4)))/HJour,4),""))</f>
        <v/>
      </c>
      <c r="AX676" s="37" t="str">
        <f aca="false">IF(AO676&lt;&gt;1,"",IFERROR(ROUND(IF(OR(P676="",S676=""),"",IF(S676&lt;P676,"",ROUND(((NETWORKDAYS(P676,S676,JoursFeries)-1)*(HFer-HOuv)+IF(NETWORKDAYS(S676,S676,JoursFeries),MEDIAN(MOD(S676,1),HFer,HOuv),HFer)-IF(NETWORKDAYS(P676,P676,JoursFeries),MEDIAN(MOD(P676,1),HFer,HOuv),HOuv))*24,4)))/HJour,4),""))</f>
        <v/>
      </c>
      <c r="AY676" s="36" t="str">
        <f aca="false">IF(OR(AO676&lt;&gt;1,AR676=""),"",INDEX(SLA_PEC,AR676))</f>
        <v/>
      </c>
      <c r="AZ676" s="35" t="str">
        <f aca="false">IF(OR(AV676="",AY676=""),"",IF(AV676&lt;=AY676,1,0))</f>
        <v/>
      </c>
      <c r="BA676" s="36" t="str">
        <f aca="false">IF(OR(AO676&lt;&gt;1,AR676=""),"",INDEX(SLA_RES,AR676))</f>
        <v/>
      </c>
      <c r="BB676" s="35" t="str">
        <f aca="false">IF(OR(AW676="",BA676=""),"",IF(AW676&lt;=BA676,1,0))</f>
        <v/>
      </c>
      <c r="BC676" s="38" t="str">
        <f aca="false">IF(OR(BA676="",P676=""),"",WORKDAY(INT(P676),BA676,JoursFeries)+MOD(P676,1))</f>
        <v/>
      </c>
      <c r="BD676" s="39" t="str">
        <f aca="false">IF(AO676&lt;&gt;1,"",IF(OR(AB676&lt;&gt;"",AD676&lt;&gt;""),4,IF(U676&lt;&gt;"",3,IF(T676&lt;&gt;"",2,1))))</f>
        <v/>
      </c>
      <c r="BE676" s="39" t="str">
        <f aca="false">IF(OR(AO676&lt;&gt;1,AR676=""),"",INDEX(NIV_REQ,AR676))</f>
        <v/>
      </c>
      <c r="BF676" s="39" t="str">
        <f aca="false">IF(BE676="","",MAX(BE676,IF(OR(K676="Oui",Z676="Oui"),4,1)))</f>
        <v/>
      </c>
      <c r="BG676" s="35" t="str">
        <f aca="false">IF(OR(BF676="",BD676=""),"",IF(BD676&gt;=BF676,1,0))</f>
        <v/>
      </c>
      <c r="BH676" s="38" t="str">
        <f aca="false">IF(BE676="","",IF(BE676&lt;2,"",IF(BE676=2,IF(AND(T676="",U676=""),"",MIN(T676,U676)),IF(U676="","",U676))))</f>
        <v/>
      </c>
      <c r="BI676" s="37" t="str">
        <f aca="false">IF(BH676="","",IF(OR(O676="",BH676=""),"",IF(BH676&lt;O676,"",ROUND(((NETWORKDAYS(O676,BH676,JoursFeries)-1)*(HFer-HOuv)+IF(NETWORKDAYS(BH676,BH676,JoursFeries),MEDIAN(MOD(BH676,1),HFer,HOuv),HFer)-IF(NETWORKDAYS(O676,O676,JoursFeries),MEDIAN(MOD(O676,1),HFer,HOuv),HOuv))*24,4))))</f>
        <v/>
      </c>
      <c r="BJ676" s="35" t="str">
        <f aca="false">IF(OR(BI676="",AR676=""),"",IF(BI676&lt;=INDEX(DELAI_ESC,AR676),1,0))</f>
        <v/>
      </c>
      <c r="BK676" s="38" t="str">
        <f aca="false">IF(AO676&lt;&gt;1,"",IF(AND(T676="",U676=""),"",MIN(T676,U676)))</f>
        <v/>
      </c>
      <c r="BL676" s="37" t="str">
        <f aca="false">IF(OR(BK676="",R676=""),"",IFERROR(ROUND(IF(OR(BK676="",R676=""),"",IF(R676&lt;BK676,"",ROUND(((NETWORKDAYS(BK676,R676,JoursFeries)-1)*(HFer-HOuv)+IF(NETWORKDAYS(R676,R676,JoursFeries),MEDIAN(MOD(R676,1),HFer,HOuv),HFer)-IF(NETWORKDAYS(BK676,BK676,JoursFeries),MEDIAN(MOD(BK676,1),HFer,HOuv),HOuv))*24,4)))/HJour,4),""))</f>
        <v/>
      </c>
      <c r="BM676" s="35" t="str">
        <f aca="false">IF(OR(AO676&lt;&gt;1,R676=""),"",IF(BD676=1,1,0))</f>
        <v/>
      </c>
      <c r="BN676" s="35" t="str">
        <f aca="false">IF(AO676&lt;&gt;1,"",IF(W676="Oui",1,0))</f>
        <v/>
      </c>
      <c r="BO676" s="35" t="str">
        <f aca="false">IF(AO676&lt;&gt;1,"",IF(X676&lt;&gt;"",1,0))</f>
        <v/>
      </c>
      <c r="BP676" s="35" t="str">
        <f aca="false">IF(AO676&lt;&gt;1,"",IF(Y676="Oui",1,0))</f>
        <v/>
      </c>
      <c r="BQ676" s="35" t="str">
        <f aca="true">IF(OR(AO676&lt;&gt;1,Z676&lt;&gt;"Oui"),"",IF(AB676="",IF(AND(AA676&lt;&gt;"",NOW()&gt;AA676),0,""),IF(AA676="","",IF(AB676&lt;=AA676,1,0))))</f>
        <v/>
      </c>
      <c r="BR676" s="38" t="str">
        <f aca="false">IF(OR(AO676&lt;&gt;1,K676&lt;&gt;"Oui",O676=""),"",IF(AC676="",O676+DORA_H_DET/24,IF(AC676-O676&lt;=DORA_H_DET/24,MIN(AC676+DORA_H_CLA/24,O676+DORA_H_DET/24),AC676+DORA_H_CLA/24)))</f>
        <v/>
      </c>
      <c r="BS676" s="35" t="str">
        <f aca="true">IF(BR676="","",IF(AD676="",IF(NOW()&gt;BR676,0,""),IF(AD676&lt;=BR676,1,0)))</f>
        <v/>
      </c>
      <c r="BT676" s="35" t="str">
        <f aca="true">IF(OR(BR676="",AD676=""),"",IF(AE676="",IF(NOW()&gt;AD676+DORA_H_INT/24,0,""),IF(AE676&lt;=AD676+DORA_H_INT/24,1,0)))</f>
        <v/>
      </c>
      <c r="BU676" s="35" t="str">
        <f aca="true">IF(OR(BR676="",AE676=""),"",IF(AF676="",IF(NOW()&gt;EDATE(AE676,DORA_M_FIN)+1,0,""),IF(AF676&lt;=EDATE(AE676,DORA_M_FIN),1,0)))</f>
        <v/>
      </c>
      <c r="BV676" s="35" t="str">
        <f aca="false">IF(BR676="","",IF(COUNT(BS676:BU676)=0,"",MIN(BS676:BU676)))</f>
        <v/>
      </c>
      <c r="BW676" s="40" t="str">
        <f aca="false">IF(AQ676&lt;&gt;1,"",IF(AND(AG676="",AH676=""),"",N(AG676)-N(AH676)))</f>
        <v/>
      </c>
      <c r="BX676" s="35" t="str">
        <f aca="true">IF(OR(AQ676&lt;&gt;1,AI676&lt;&gt;"Oui",AJ676=""),"",IF(AK676="",IF(NOW()&gt;AJ676+1,0,""),IF(AK676&lt;=AJ676,1,0)))</f>
        <v/>
      </c>
    </row>
    <row r="677" customFormat="false" ht="15" hidden="false" customHeight="false" outlineLevel="0" collapsed="false">
      <c r="B677" s="29"/>
      <c r="C677" s="29"/>
      <c r="D677" s="29"/>
      <c r="E677" s="29"/>
      <c r="F677" s="29"/>
      <c r="G677" s="29"/>
      <c r="H677" s="29"/>
      <c r="I677" s="29"/>
      <c r="J677" s="29"/>
      <c r="K677" s="29"/>
      <c r="L677" s="29"/>
      <c r="M677" s="29"/>
      <c r="N677" s="30"/>
      <c r="O677" s="30"/>
      <c r="P677" s="30"/>
      <c r="Q677" s="30"/>
      <c r="R677" s="30"/>
      <c r="S677" s="30"/>
      <c r="T677" s="30"/>
      <c r="U677" s="30"/>
      <c r="V677" s="31"/>
      <c r="W677" s="29"/>
      <c r="X677" s="29"/>
      <c r="Y677" s="29"/>
      <c r="Z677" s="29"/>
      <c r="AA677" s="30"/>
      <c r="AB677" s="30"/>
      <c r="AC677" s="30"/>
      <c r="AD677" s="30"/>
      <c r="AE677" s="30"/>
      <c r="AF677" s="32"/>
      <c r="AG677" s="33"/>
      <c r="AH677" s="33"/>
      <c r="AI677" s="29"/>
      <c r="AJ677" s="32"/>
      <c r="AK677" s="32"/>
      <c r="AL677" s="29"/>
      <c r="AN677" s="34" t="str">
        <f aca="false">IF($B677="","",IF(OR(C677="",D677="",E677="",G677="",I677="",J677="",L677="",O677="",P677=""),"Champ obligatoire manquant",IF(OR(AND(N677&lt;&gt;"",N677&gt;O677),O677&gt;P677,AND(Q677&lt;&gt;"",Q677&lt;P677),AND(R677&lt;&gt;"",R677&lt;P677),AND(S677&lt;&gt;"",S677&lt;R677),AND(S677&lt;&gt;"",R677=""),AND(T677&lt;&gt;"",T677&lt;O677),AND(U677&lt;&gt;"",U677&lt;O677)),"Chronologie incohérente",IF(AND(OR(L677="Résolu",L677="Clos"),R677=""),"Date de résolution manquante",IF(AND(L677="Clos",S677=""),"Date de clôture manquante",IF(AND(K677="Oui",AC677=""),"Classification DORA manquante","OK"))))))</f>
        <v/>
      </c>
      <c r="AO677" s="35" t="str">
        <f aca="false">IF($B677="","",IF(AND(C677="Incident",L677&lt;&gt;"Annulé"),1,0))</f>
        <v/>
      </c>
      <c r="AP677" s="35" t="str">
        <f aca="false">IF($B677="","",IF(AND(C677="Quasi-incident",L677&lt;&gt;"Annulé"),1,0))</f>
        <v/>
      </c>
      <c r="AQ677" s="35" t="str">
        <f aca="false">IF($B677="","",AO677+AP677)</f>
        <v/>
      </c>
      <c r="AR677" s="36" t="str">
        <f aca="false">IF(OR($B677="",J677=""),"",IFERROR(VALUE(LEFT(J677,1)),""))</f>
        <v/>
      </c>
      <c r="AS677" s="35" t="str">
        <f aca="false">IF(OR(AO677&lt;&gt;1,G677=""),"",IFERROR(IF(INDEX(L_SrcInterne,MATCH(G677,L_Sources,0))="Oui",1,0),""))</f>
        <v/>
      </c>
      <c r="AT677" s="37" t="str">
        <f aca="false">IF(AO677&lt;&gt;1,"",IFERROR(ROUND(IF(OR(N677="",O677=""),"",IF(O677&lt;N677,"",ROUND(((NETWORKDAYS(N677,O677,JoursFeries)-1)*(HFer-HOuv)+IF(NETWORKDAYS(O677,O677,JoursFeries),MEDIAN(MOD(O677,1),HFer,HOuv),HFer)-IF(NETWORKDAYS(N677,N677,JoursFeries),MEDIAN(MOD(N677,1),HFer,HOuv),HOuv))*24,4)))/HJour,4),""))</f>
        <v/>
      </c>
      <c r="AU677" s="37" t="str">
        <f aca="false">IF(AO677&lt;&gt;1,"",IF(OR(O677="",P677=""),"",IF(P677&lt;O677,"",ROUND(((NETWORKDAYS(O677,P677,JoursFeries)-1)*(HFer-HOuv)+IF(NETWORKDAYS(P677,P677,JoursFeries),MEDIAN(MOD(P677,1),HFer,HOuv),HFer)-IF(NETWORKDAYS(O677,O677,JoursFeries),MEDIAN(MOD(O677,1),HFer,HOuv),HOuv))*24,4))))</f>
        <v/>
      </c>
      <c r="AV677" s="37" t="str">
        <f aca="false">IF(AO677&lt;&gt;1,"",IF(OR(P677="",Q677=""),"",IF(Q677&lt;P677,"",ROUND(((NETWORKDAYS(P677,Q677,JoursFeries)-1)*(HFer-HOuv)+IF(NETWORKDAYS(Q677,Q677,JoursFeries),MEDIAN(MOD(Q677,1),HFer,HOuv),HFer)-IF(NETWORKDAYS(P677,P677,JoursFeries),MEDIAN(MOD(P677,1),HFer,HOuv),HOuv))*24,4))))</f>
        <v/>
      </c>
      <c r="AW677" s="37" t="str">
        <f aca="false">IF(AO677&lt;&gt;1,"",IFERROR(ROUND(IF(OR(P677="",R677=""),"",IF(R677&lt;P677,"",ROUND(((NETWORKDAYS(P677,R677,JoursFeries)-1)*(HFer-HOuv)+IF(NETWORKDAYS(R677,R677,JoursFeries),MEDIAN(MOD(R677,1),HFer,HOuv),HFer)-IF(NETWORKDAYS(P677,P677,JoursFeries),MEDIAN(MOD(P677,1),HFer,HOuv),HOuv))*24,4)))/HJour,4),""))</f>
        <v/>
      </c>
      <c r="AX677" s="37" t="str">
        <f aca="false">IF(AO677&lt;&gt;1,"",IFERROR(ROUND(IF(OR(P677="",S677=""),"",IF(S677&lt;P677,"",ROUND(((NETWORKDAYS(P677,S677,JoursFeries)-1)*(HFer-HOuv)+IF(NETWORKDAYS(S677,S677,JoursFeries),MEDIAN(MOD(S677,1),HFer,HOuv),HFer)-IF(NETWORKDAYS(P677,P677,JoursFeries),MEDIAN(MOD(P677,1),HFer,HOuv),HOuv))*24,4)))/HJour,4),""))</f>
        <v/>
      </c>
      <c r="AY677" s="36" t="str">
        <f aca="false">IF(OR(AO677&lt;&gt;1,AR677=""),"",INDEX(SLA_PEC,AR677))</f>
        <v/>
      </c>
      <c r="AZ677" s="35" t="str">
        <f aca="false">IF(OR(AV677="",AY677=""),"",IF(AV677&lt;=AY677,1,0))</f>
        <v/>
      </c>
      <c r="BA677" s="36" t="str">
        <f aca="false">IF(OR(AO677&lt;&gt;1,AR677=""),"",INDEX(SLA_RES,AR677))</f>
        <v/>
      </c>
      <c r="BB677" s="35" t="str">
        <f aca="false">IF(OR(AW677="",BA677=""),"",IF(AW677&lt;=BA677,1,0))</f>
        <v/>
      </c>
      <c r="BC677" s="38" t="str">
        <f aca="false">IF(OR(BA677="",P677=""),"",WORKDAY(INT(P677),BA677,JoursFeries)+MOD(P677,1))</f>
        <v/>
      </c>
      <c r="BD677" s="39" t="str">
        <f aca="false">IF(AO677&lt;&gt;1,"",IF(OR(AB677&lt;&gt;"",AD677&lt;&gt;""),4,IF(U677&lt;&gt;"",3,IF(T677&lt;&gt;"",2,1))))</f>
        <v/>
      </c>
      <c r="BE677" s="39" t="str">
        <f aca="false">IF(OR(AO677&lt;&gt;1,AR677=""),"",INDEX(NIV_REQ,AR677))</f>
        <v/>
      </c>
      <c r="BF677" s="39" t="str">
        <f aca="false">IF(BE677="","",MAX(BE677,IF(OR(K677="Oui",Z677="Oui"),4,1)))</f>
        <v/>
      </c>
      <c r="BG677" s="35" t="str">
        <f aca="false">IF(OR(BF677="",BD677=""),"",IF(BD677&gt;=BF677,1,0))</f>
        <v/>
      </c>
      <c r="BH677" s="38" t="str">
        <f aca="false">IF(BE677="","",IF(BE677&lt;2,"",IF(BE677=2,IF(AND(T677="",U677=""),"",MIN(T677,U677)),IF(U677="","",U677))))</f>
        <v/>
      </c>
      <c r="BI677" s="37" t="str">
        <f aca="false">IF(BH677="","",IF(OR(O677="",BH677=""),"",IF(BH677&lt;O677,"",ROUND(((NETWORKDAYS(O677,BH677,JoursFeries)-1)*(HFer-HOuv)+IF(NETWORKDAYS(BH677,BH677,JoursFeries),MEDIAN(MOD(BH677,1),HFer,HOuv),HFer)-IF(NETWORKDAYS(O677,O677,JoursFeries),MEDIAN(MOD(O677,1),HFer,HOuv),HOuv))*24,4))))</f>
        <v/>
      </c>
      <c r="BJ677" s="35" t="str">
        <f aca="false">IF(OR(BI677="",AR677=""),"",IF(BI677&lt;=INDEX(DELAI_ESC,AR677),1,0))</f>
        <v/>
      </c>
      <c r="BK677" s="38" t="str">
        <f aca="false">IF(AO677&lt;&gt;1,"",IF(AND(T677="",U677=""),"",MIN(T677,U677)))</f>
        <v/>
      </c>
      <c r="BL677" s="37" t="str">
        <f aca="false">IF(OR(BK677="",R677=""),"",IFERROR(ROUND(IF(OR(BK677="",R677=""),"",IF(R677&lt;BK677,"",ROUND(((NETWORKDAYS(BK677,R677,JoursFeries)-1)*(HFer-HOuv)+IF(NETWORKDAYS(R677,R677,JoursFeries),MEDIAN(MOD(R677,1),HFer,HOuv),HFer)-IF(NETWORKDAYS(BK677,BK677,JoursFeries),MEDIAN(MOD(BK677,1),HFer,HOuv),HOuv))*24,4)))/HJour,4),""))</f>
        <v/>
      </c>
      <c r="BM677" s="35" t="str">
        <f aca="false">IF(OR(AO677&lt;&gt;1,R677=""),"",IF(BD677=1,1,0))</f>
        <v/>
      </c>
      <c r="BN677" s="35" t="str">
        <f aca="false">IF(AO677&lt;&gt;1,"",IF(W677="Oui",1,0))</f>
        <v/>
      </c>
      <c r="BO677" s="35" t="str">
        <f aca="false">IF(AO677&lt;&gt;1,"",IF(X677&lt;&gt;"",1,0))</f>
        <v/>
      </c>
      <c r="BP677" s="35" t="str">
        <f aca="false">IF(AO677&lt;&gt;1,"",IF(Y677="Oui",1,0))</f>
        <v/>
      </c>
      <c r="BQ677" s="35" t="str">
        <f aca="true">IF(OR(AO677&lt;&gt;1,Z677&lt;&gt;"Oui"),"",IF(AB677="",IF(AND(AA677&lt;&gt;"",NOW()&gt;AA677),0,""),IF(AA677="","",IF(AB677&lt;=AA677,1,0))))</f>
        <v/>
      </c>
      <c r="BR677" s="38" t="str">
        <f aca="false">IF(OR(AO677&lt;&gt;1,K677&lt;&gt;"Oui",O677=""),"",IF(AC677="",O677+DORA_H_DET/24,IF(AC677-O677&lt;=DORA_H_DET/24,MIN(AC677+DORA_H_CLA/24,O677+DORA_H_DET/24),AC677+DORA_H_CLA/24)))</f>
        <v/>
      </c>
      <c r="BS677" s="35" t="str">
        <f aca="true">IF(BR677="","",IF(AD677="",IF(NOW()&gt;BR677,0,""),IF(AD677&lt;=BR677,1,0)))</f>
        <v/>
      </c>
      <c r="BT677" s="35" t="str">
        <f aca="true">IF(OR(BR677="",AD677=""),"",IF(AE677="",IF(NOW()&gt;AD677+DORA_H_INT/24,0,""),IF(AE677&lt;=AD677+DORA_H_INT/24,1,0)))</f>
        <v/>
      </c>
      <c r="BU677" s="35" t="str">
        <f aca="true">IF(OR(BR677="",AE677=""),"",IF(AF677="",IF(NOW()&gt;EDATE(AE677,DORA_M_FIN)+1,0,""),IF(AF677&lt;=EDATE(AE677,DORA_M_FIN),1,0)))</f>
        <v/>
      </c>
      <c r="BV677" s="35" t="str">
        <f aca="false">IF(BR677="","",IF(COUNT(BS677:BU677)=0,"",MIN(BS677:BU677)))</f>
        <v/>
      </c>
      <c r="BW677" s="40" t="str">
        <f aca="false">IF(AQ677&lt;&gt;1,"",IF(AND(AG677="",AH677=""),"",N(AG677)-N(AH677)))</f>
        <v/>
      </c>
      <c r="BX677" s="35" t="str">
        <f aca="true">IF(OR(AQ677&lt;&gt;1,AI677&lt;&gt;"Oui",AJ677=""),"",IF(AK677="",IF(NOW()&gt;AJ677+1,0,""),IF(AK677&lt;=AJ677,1,0)))</f>
        <v/>
      </c>
    </row>
    <row r="678" customFormat="false" ht="15" hidden="false" customHeight="false" outlineLevel="0" collapsed="false">
      <c r="B678" s="29"/>
      <c r="C678" s="29"/>
      <c r="D678" s="29"/>
      <c r="E678" s="29"/>
      <c r="F678" s="29"/>
      <c r="G678" s="29"/>
      <c r="H678" s="29"/>
      <c r="I678" s="29"/>
      <c r="J678" s="29"/>
      <c r="K678" s="29"/>
      <c r="L678" s="29"/>
      <c r="M678" s="29"/>
      <c r="N678" s="30"/>
      <c r="O678" s="30"/>
      <c r="P678" s="30"/>
      <c r="Q678" s="30"/>
      <c r="R678" s="30"/>
      <c r="S678" s="30"/>
      <c r="T678" s="30"/>
      <c r="U678" s="30"/>
      <c r="V678" s="31"/>
      <c r="W678" s="29"/>
      <c r="X678" s="29"/>
      <c r="Y678" s="29"/>
      <c r="Z678" s="29"/>
      <c r="AA678" s="30"/>
      <c r="AB678" s="30"/>
      <c r="AC678" s="30"/>
      <c r="AD678" s="30"/>
      <c r="AE678" s="30"/>
      <c r="AF678" s="32"/>
      <c r="AG678" s="33"/>
      <c r="AH678" s="33"/>
      <c r="AI678" s="29"/>
      <c r="AJ678" s="32"/>
      <c r="AK678" s="32"/>
      <c r="AL678" s="29"/>
      <c r="AN678" s="34" t="str">
        <f aca="false">IF($B678="","",IF(OR(C678="",D678="",E678="",G678="",I678="",J678="",L678="",O678="",P678=""),"Champ obligatoire manquant",IF(OR(AND(N678&lt;&gt;"",N678&gt;O678),O678&gt;P678,AND(Q678&lt;&gt;"",Q678&lt;P678),AND(R678&lt;&gt;"",R678&lt;P678),AND(S678&lt;&gt;"",S678&lt;R678),AND(S678&lt;&gt;"",R678=""),AND(T678&lt;&gt;"",T678&lt;O678),AND(U678&lt;&gt;"",U678&lt;O678)),"Chronologie incohérente",IF(AND(OR(L678="Résolu",L678="Clos"),R678=""),"Date de résolution manquante",IF(AND(L678="Clos",S678=""),"Date de clôture manquante",IF(AND(K678="Oui",AC678=""),"Classification DORA manquante","OK"))))))</f>
        <v/>
      </c>
      <c r="AO678" s="35" t="str">
        <f aca="false">IF($B678="","",IF(AND(C678="Incident",L678&lt;&gt;"Annulé"),1,0))</f>
        <v/>
      </c>
      <c r="AP678" s="35" t="str">
        <f aca="false">IF($B678="","",IF(AND(C678="Quasi-incident",L678&lt;&gt;"Annulé"),1,0))</f>
        <v/>
      </c>
      <c r="AQ678" s="35" t="str">
        <f aca="false">IF($B678="","",AO678+AP678)</f>
        <v/>
      </c>
      <c r="AR678" s="36" t="str">
        <f aca="false">IF(OR($B678="",J678=""),"",IFERROR(VALUE(LEFT(J678,1)),""))</f>
        <v/>
      </c>
      <c r="AS678" s="35" t="str">
        <f aca="false">IF(OR(AO678&lt;&gt;1,G678=""),"",IFERROR(IF(INDEX(L_SrcInterne,MATCH(G678,L_Sources,0))="Oui",1,0),""))</f>
        <v/>
      </c>
      <c r="AT678" s="37" t="str">
        <f aca="false">IF(AO678&lt;&gt;1,"",IFERROR(ROUND(IF(OR(N678="",O678=""),"",IF(O678&lt;N678,"",ROUND(((NETWORKDAYS(N678,O678,JoursFeries)-1)*(HFer-HOuv)+IF(NETWORKDAYS(O678,O678,JoursFeries),MEDIAN(MOD(O678,1),HFer,HOuv),HFer)-IF(NETWORKDAYS(N678,N678,JoursFeries),MEDIAN(MOD(N678,1),HFer,HOuv),HOuv))*24,4)))/HJour,4),""))</f>
        <v/>
      </c>
      <c r="AU678" s="37" t="str">
        <f aca="false">IF(AO678&lt;&gt;1,"",IF(OR(O678="",P678=""),"",IF(P678&lt;O678,"",ROUND(((NETWORKDAYS(O678,P678,JoursFeries)-1)*(HFer-HOuv)+IF(NETWORKDAYS(P678,P678,JoursFeries),MEDIAN(MOD(P678,1),HFer,HOuv),HFer)-IF(NETWORKDAYS(O678,O678,JoursFeries),MEDIAN(MOD(O678,1),HFer,HOuv),HOuv))*24,4))))</f>
        <v/>
      </c>
      <c r="AV678" s="37" t="str">
        <f aca="false">IF(AO678&lt;&gt;1,"",IF(OR(P678="",Q678=""),"",IF(Q678&lt;P678,"",ROUND(((NETWORKDAYS(P678,Q678,JoursFeries)-1)*(HFer-HOuv)+IF(NETWORKDAYS(Q678,Q678,JoursFeries),MEDIAN(MOD(Q678,1),HFer,HOuv),HFer)-IF(NETWORKDAYS(P678,P678,JoursFeries),MEDIAN(MOD(P678,1),HFer,HOuv),HOuv))*24,4))))</f>
        <v/>
      </c>
      <c r="AW678" s="37" t="str">
        <f aca="false">IF(AO678&lt;&gt;1,"",IFERROR(ROUND(IF(OR(P678="",R678=""),"",IF(R678&lt;P678,"",ROUND(((NETWORKDAYS(P678,R678,JoursFeries)-1)*(HFer-HOuv)+IF(NETWORKDAYS(R678,R678,JoursFeries),MEDIAN(MOD(R678,1),HFer,HOuv),HFer)-IF(NETWORKDAYS(P678,P678,JoursFeries),MEDIAN(MOD(P678,1),HFer,HOuv),HOuv))*24,4)))/HJour,4),""))</f>
        <v/>
      </c>
      <c r="AX678" s="37" t="str">
        <f aca="false">IF(AO678&lt;&gt;1,"",IFERROR(ROUND(IF(OR(P678="",S678=""),"",IF(S678&lt;P678,"",ROUND(((NETWORKDAYS(P678,S678,JoursFeries)-1)*(HFer-HOuv)+IF(NETWORKDAYS(S678,S678,JoursFeries),MEDIAN(MOD(S678,1),HFer,HOuv),HFer)-IF(NETWORKDAYS(P678,P678,JoursFeries),MEDIAN(MOD(P678,1),HFer,HOuv),HOuv))*24,4)))/HJour,4),""))</f>
        <v/>
      </c>
      <c r="AY678" s="36" t="str">
        <f aca="false">IF(OR(AO678&lt;&gt;1,AR678=""),"",INDEX(SLA_PEC,AR678))</f>
        <v/>
      </c>
      <c r="AZ678" s="35" t="str">
        <f aca="false">IF(OR(AV678="",AY678=""),"",IF(AV678&lt;=AY678,1,0))</f>
        <v/>
      </c>
      <c r="BA678" s="36" t="str">
        <f aca="false">IF(OR(AO678&lt;&gt;1,AR678=""),"",INDEX(SLA_RES,AR678))</f>
        <v/>
      </c>
      <c r="BB678" s="35" t="str">
        <f aca="false">IF(OR(AW678="",BA678=""),"",IF(AW678&lt;=BA678,1,0))</f>
        <v/>
      </c>
      <c r="BC678" s="38" t="str">
        <f aca="false">IF(OR(BA678="",P678=""),"",WORKDAY(INT(P678),BA678,JoursFeries)+MOD(P678,1))</f>
        <v/>
      </c>
      <c r="BD678" s="39" t="str">
        <f aca="false">IF(AO678&lt;&gt;1,"",IF(OR(AB678&lt;&gt;"",AD678&lt;&gt;""),4,IF(U678&lt;&gt;"",3,IF(T678&lt;&gt;"",2,1))))</f>
        <v/>
      </c>
      <c r="BE678" s="39" t="str">
        <f aca="false">IF(OR(AO678&lt;&gt;1,AR678=""),"",INDEX(NIV_REQ,AR678))</f>
        <v/>
      </c>
      <c r="BF678" s="39" t="str">
        <f aca="false">IF(BE678="","",MAX(BE678,IF(OR(K678="Oui",Z678="Oui"),4,1)))</f>
        <v/>
      </c>
      <c r="BG678" s="35" t="str">
        <f aca="false">IF(OR(BF678="",BD678=""),"",IF(BD678&gt;=BF678,1,0))</f>
        <v/>
      </c>
      <c r="BH678" s="38" t="str">
        <f aca="false">IF(BE678="","",IF(BE678&lt;2,"",IF(BE678=2,IF(AND(T678="",U678=""),"",MIN(T678,U678)),IF(U678="","",U678))))</f>
        <v/>
      </c>
      <c r="BI678" s="37" t="str">
        <f aca="false">IF(BH678="","",IF(OR(O678="",BH678=""),"",IF(BH678&lt;O678,"",ROUND(((NETWORKDAYS(O678,BH678,JoursFeries)-1)*(HFer-HOuv)+IF(NETWORKDAYS(BH678,BH678,JoursFeries),MEDIAN(MOD(BH678,1),HFer,HOuv),HFer)-IF(NETWORKDAYS(O678,O678,JoursFeries),MEDIAN(MOD(O678,1),HFer,HOuv),HOuv))*24,4))))</f>
        <v/>
      </c>
      <c r="BJ678" s="35" t="str">
        <f aca="false">IF(OR(BI678="",AR678=""),"",IF(BI678&lt;=INDEX(DELAI_ESC,AR678),1,0))</f>
        <v/>
      </c>
      <c r="BK678" s="38" t="str">
        <f aca="false">IF(AO678&lt;&gt;1,"",IF(AND(T678="",U678=""),"",MIN(T678,U678)))</f>
        <v/>
      </c>
      <c r="BL678" s="37" t="str">
        <f aca="false">IF(OR(BK678="",R678=""),"",IFERROR(ROUND(IF(OR(BK678="",R678=""),"",IF(R678&lt;BK678,"",ROUND(((NETWORKDAYS(BK678,R678,JoursFeries)-1)*(HFer-HOuv)+IF(NETWORKDAYS(R678,R678,JoursFeries),MEDIAN(MOD(R678,1),HFer,HOuv),HFer)-IF(NETWORKDAYS(BK678,BK678,JoursFeries),MEDIAN(MOD(BK678,1),HFer,HOuv),HOuv))*24,4)))/HJour,4),""))</f>
        <v/>
      </c>
      <c r="BM678" s="35" t="str">
        <f aca="false">IF(OR(AO678&lt;&gt;1,R678=""),"",IF(BD678=1,1,0))</f>
        <v/>
      </c>
      <c r="BN678" s="35" t="str">
        <f aca="false">IF(AO678&lt;&gt;1,"",IF(W678="Oui",1,0))</f>
        <v/>
      </c>
      <c r="BO678" s="35" t="str">
        <f aca="false">IF(AO678&lt;&gt;1,"",IF(X678&lt;&gt;"",1,0))</f>
        <v/>
      </c>
      <c r="BP678" s="35" t="str">
        <f aca="false">IF(AO678&lt;&gt;1,"",IF(Y678="Oui",1,0))</f>
        <v/>
      </c>
      <c r="BQ678" s="35" t="str">
        <f aca="true">IF(OR(AO678&lt;&gt;1,Z678&lt;&gt;"Oui"),"",IF(AB678="",IF(AND(AA678&lt;&gt;"",NOW()&gt;AA678),0,""),IF(AA678="","",IF(AB678&lt;=AA678,1,0))))</f>
        <v/>
      </c>
      <c r="BR678" s="38" t="str">
        <f aca="false">IF(OR(AO678&lt;&gt;1,K678&lt;&gt;"Oui",O678=""),"",IF(AC678="",O678+DORA_H_DET/24,IF(AC678-O678&lt;=DORA_H_DET/24,MIN(AC678+DORA_H_CLA/24,O678+DORA_H_DET/24),AC678+DORA_H_CLA/24)))</f>
        <v/>
      </c>
      <c r="BS678" s="35" t="str">
        <f aca="true">IF(BR678="","",IF(AD678="",IF(NOW()&gt;BR678,0,""),IF(AD678&lt;=BR678,1,0)))</f>
        <v/>
      </c>
      <c r="BT678" s="35" t="str">
        <f aca="true">IF(OR(BR678="",AD678=""),"",IF(AE678="",IF(NOW()&gt;AD678+DORA_H_INT/24,0,""),IF(AE678&lt;=AD678+DORA_H_INT/24,1,0)))</f>
        <v/>
      </c>
      <c r="BU678" s="35" t="str">
        <f aca="true">IF(OR(BR678="",AE678=""),"",IF(AF678="",IF(NOW()&gt;EDATE(AE678,DORA_M_FIN)+1,0,""),IF(AF678&lt;=EDATE(AE678,DORA_M_FIN),1,0)))</f>
        <v/>
      </c>
      <c r="BV678" s="35" t="str">
        <f aca="false">IF(BR678="","",IF(COUNT(BS678:BU678)=0,"",MIN(BS678:BU678)))</f>
        <v/>
      </c>
      <c r="BW678" s="40" t="str">
        <f aca="false">IF(AQ678&lt;&gt;1,"",IF(AND(AG678="",AH678=""),"",N(AG678)-N(AH678)))</f>
        <v/>
      </c>
      <c r="BX678" s="35" t="str">
        <f aca="true">IF(OR(AQ678&lt;&gt;1,AI678&lt;&gt;"Oui",AJ678=""),"",IF(AK678="",IF(NOW()&gt;AJ678+1,0,""),IF(AK678&lt;=AJ678,1,0)))</f>
        <v/>
      </c>
    </row>
    <row r="679" customFormat="false" ht="15" hidden="false" customHeight="false" outlineLevel="0" collapsed="false">
      <c r="B679" s="29"/>
      <c r="C679" s="29"/>
      <c r="D679" s="29"/>
      <c r="E679" s="29"/>
      <c r="F679" s="29"/>
      <c r="G679" s="29"/>
      <c r="H679" s="29"/>
      <c r="I679" s="29"/>
      <c r="J679" s="29"/>
      <c r="K679" s="29"/>
      <c r="L679" s="29"/>
      <c r="M679" s="29"/>
      <c r="N679" s="30"/>
      <c r="O679" s="30"/>
      <c r="P679" s="30"/>
      <c r="Q679" s="30"/>
      <c r="R679" s="30"/>
      <c r="S679" s="30"/>
      <c r="T679" s="30"/>
      <c r="U679" s="30"/>
      <c r="V679" s="31"/>
      <c r="W679" s="29"/>
      <c r="X679" s="29"/>
      <c r="Y679" s="29"/>
      <c r="Z679" s="29"/>
      <c r="AA679" s="30"/>
      <c r="AB679" s="30"/>
      <c r="AC679" s="30"/>
      <c r="AD679" s="30"/>
      <c r="AE679" s="30"/>
      <c r="AF679" s="32"/>
      <c r="AG679" s="33"/>
      <c r="AH679" s="33"/>
      <c r="AI679" s="29"/>
      <c r="AJ679" s="32"/>
      <c r="AK679" s="32"/>
      <c r="AL679" s="29"/>
      <c r="AN679" s="34" t="str">
        <f aca="false">IF($B679="","",IF(OR(C679="",D679="",E679="",G679="",I679="",J679="",L679="",O679="",P679=""),"Champ obligatoire manquant",IF(OR(AND(N679&lt;&gt;"",N679&gt;O679),O679&gt;P679,AND(Q679&lt;&gt;"",Q679&lt;P679),AND(R679&lt;&gt;"",R679&lt;P679),AND(S679&lt;&gt;"",S679&lt;R679),AND(S679&lt;&gt;"",R679=""),AND(T679&lt;&gt;"",T679&lt;O679),AND(U679&lt;&gt;"",U679&lt;O679)),"Chronologie incohérente",IF(AND(OR(L679="Résolu",L679="Clos"),R679=""),"Date de résolution manquante",IF(AND(L679="Clos",S679=""),"Date de clôture manquante",IF(AND(K679="Oui",AC679=""),"Classification DORA manquante","OK"))))))</f>
        <v/>
      </c>
      <c r="AO679" s="35" t="str">
        <f aca="false">IF($B679="","",IF(AND(C679="Incident",L679&lt;&gt;"Annulé"),1,0))</f>
        <v/>
      </c>
      <c r="AP679" s="35" t="str">
        <f aca="false">IF($B679="","",IF(AND(C679="Quasi-incident",L679&lt;&gt;"Annulé"),1,0))</f>
        <v/>
      </c>
      <c r="AQ679" s="35" t="str">
        <f aca="false">IF($B679="","",AO679+AP679)</f>
        <v/>
      </c>
      <c r="AR679" s="36" t="str">
        <f aca="false">IF(OR($B679="",J679=""),"",IFERROR(VALUE(LEFT(J679,1)),""))</f>
        <v/>
      </c>
      <c r="AS679" s="35" t="str">
        <f aca="false">IF(OR(AO679&lt;&gt;1,G679=""),"",IFERROR(IF(INDEX(L_SrcInterne,MATCH(G679,L_Sources,0))="Oui",1,0),""))</f>
        <v/>
      </c>
      <c r="AT679" s="37" t="str">
        <f aca="false">IF(AO679&lt;&gt;1,"",IFERROR(ROUND(IF(OR(N679="",O679=""),"",IF(O679&lt;N679,"",ROUND(((NETWORKDAYS(N679,O679,JoursFeries)-1)*(HFer-HOuv)+IF(NETWORKDAYS(O679,O679,JoursFeries),MEDIAN(MOD(O679,1),HFer,HOuv),HFer)-IF(NETWORKDAYS(N679,N679,JoursFeries),MEDIAN(MOD(N679,1),HFer,HOuv),HOuv))*24,4)))/HJour,4),""))</f>
        <v/>
      </c>
      <c r="AU679" s="37" t="str">
        <f aca="false">IF(AO679&lt;&gt;1,"",IF(OR(O679="",P679=""),"",IF(P679&lt;O679,"",ROUND(((NETWORKDAYS(O679,P679,JoursFeries)-1)*(HFer-HOuv)+IF(NETWORKDAYS(P679,P679,JoursFeries),MEDIAN(MOD(P679,1),HFer,HOuv),HFer)-IF(NETWORKDAYS(O679,O679,JoursFeries),MEDIAN(MOD(O679,1),HFer,HOuv),HOuv))*24,4))))</f>
        <v/>
      </c>
      <c r="AV679" s="37" t="str">
        <f aca="false">IF(AO679&lt;&gt;1,"",IF(OR(P679="",Q679=""),"",IF(Q679&lt;P679,"",ROUND(((NETWORKDAYS(P679,Q679,JoursFeries)-1)*(HFer-HOuv)+IF(NETWORKDAYS(Q679,Q679,JoursFeries),MEDIAN(MOD(Q679,1),HFer,HOuv),HFer)-IF(NETWORKDAYS(P679,P679,JoursFeries),MEDIAN(MOD(P679,1),HFer,HOuv),HOuv))*24,4))))</f>
        <v/>
      </c>
      <c r="AW679" s="37" t="str">
        <f aca="false">IF(AO679&lt;&gt;1,"",IFERROR(ROUND(IF(OR(P679="",R679=""),"",IF(R679&lt;P679,"",ROUND(((NETWORKDAYS(P679,R679,JoursFeries)-1)*(HFer-HOuv)+IF(NETWORKDAYS(R679,R679,JoursFeries),MEDIAN(MOD(R679,1),HFer,HOuv),HFer)-IF(NETWORKDAYS(P679,P679,JoursFeries),MEDIAN(MOD(P679,1),HFer,HOuv),HOuv))*24,4)))/HJour,4),""))</f>
        <v/>
      </c>
      <c r="AX679" s="37" t="str">
        <f aca="false">IF(AO679&lt;&gt;1,"",IFERROR(ROUND(IF(OR(P679="",S679=""),"",IF(S679&lt;P679,"",ROUND(((NETWORKDAYS(P679,S679,JoursFeries)-1)*(HFer-HOuv)+IF(NETWORKDAYS(S679,S679,JoursFeries),MEDIAN(MOD(S679,1),HFer,HOuv),HFer)-IF(NETWORKDAYS(P679,P679,JoursFeries),MEDIAN(MOD(P679,1),HFer,HOuv),HOuv))*24,4)))/HJour,4),""))</f>
        <v/>
      </c>
      <c r="AY679" s="36" t="str">
        <f aca="false">IF(OR(AO679&lt;&gt;1,AR679=""),"",INDEX(SLA_PEC,AR679))</f>
        <v/>
      </c>
      <c r="AZ679" s="35" t="str">
        <f aca="false">IF(OR(AV679="",AY679=""),"",IF(AV679&lt;=AY679,1,0))</f>
        <v/>
      </c>
      <c r="BA679" s="36" t="str">
        <f aca="false">IF(OR(AO679&lt;&gt;1,AR679=""),"",INDEX(SLA_RES,AR679))</f>
        <v/>
      </c>
      <c r="BB679" s="35" t="str">
        <f aca="false">IF(OR(AW679="",BA679=""),"",IF(AW679&lt;=BA679,1,0))</f>
        <v/>
      </c>
      <c r="BC679" s="38" t="str">
        <f aca="false">IF(OR(BA679="",P679=""),"",WORKDAY(INT(P679),BA679,JoursFeries)+MOD(P679,1))</f>
        <v/>
      </c>
      <c r="BD679" s="39" t="str">
        <f aca="false">IF(AO679&lt;&gt;1,"",IF(OR(AB679&lt;&gt;"",AD679&lt;&gt;""),4,IF(U679&lt;&gt;"",3,IF(T679&lt;&gt;"",2,1))))</f>
        <v/>
      </c>
      <c r="BE679" s="39" t="str">
        <f aca="false">IF(OR(AO679&lt;&gt;1,AR679=""),"",INDEX(NIV_REQ,AR679))</f>
        <v/>
      </c>
      <c r="BF679" s="39" t="str">
        <f aca="false">IF(BE679="","",MAX(BE679,IF(OR(K679="Oui",Z679="Oui"),4,1)))</f>
        <v/>
      </c>
      <c r="BG679" s="35" t="str">
        <f aca="false">IF(OR(BF679="",BD679=""),"",IF(BD679&gt;=BF679,1,0))</f>
        <v/>
      </c>
      <c r="BH679" s="38" t="str">
        <f aca="false">IF(BE679="","",IF(BE679&lt;2,"",IF(BE679=2,IF(AND(T679="",U679=""),"",MIN(T679,U679)),IF(U679="","",U679))))</f>
        <v/>
      </c>
      <c r="BI679" s="37" t="str">
        <f aca="false">IF(BH679="","",IF(OR(O679="",BH679=""),"",IF(BH679&lt;O679,"",ROUND(((NETWORKDAYS(O679,BH679,JoursFeries)-1)*(HFer-HOuv)+IF(NETWORKDAYS(BH679,BH679,JoursFeries),MEDIAN(MOD(BH679,1),HFer,HOuv),HFer)-IF(NETWORKDAYS(O679,O679,JoursFeries),MEDIAN(MOD(O679,1),HFer,HOuv),HOuv))*24,4))))</f>
        <v/>
      </c>
      <c r="BJ679" s="35" t="str">
        <f aca="false">IF(OR(BI679="",AR679=""),"",IF(BI679&lt;=INDEX(DELAI_ESC,AR679),1,0))</f>
        <v/>
      </c>
      <c r="BK679" s="38" t="str">
        <f aca="false">IF(AO679&lt;&gt;1,"",IF(AND(T679="",U679=""),"",MIN(T679,U679)))</f>
        <v/>
      </c>
      <c r="BL679" s="37" t="str">
        <f aca="false">IF(OR(BK679="",R679=""),"",IFERROR(ROUND(IF(OR(BK679="",R679=""),"",IF(R679&lt;BK679,"",ROUND(((NETWORKDAYS(BK679,R679,JoursFeries)-1)*(HFer-HOuv)+IF(NETWORKDAYS(R679,R679,JoursFeries),MEDIAN(MOD(R679,1),HFer,HOuv),HFer)-IF(NETWORKDAYS(BK679,BK679,JoursFeries),MEDIAN(MOD(BK679,1),HFer,HOuv),HOuv))*24,4)))/HJour,4),""))</f>
        <v/>
      </c>
      <c r="BM679" s="35" t="str">
        <f aca="false">IF(OR(AO679&lt;&gt;1,R679=""),"",IF(BD679=1,1,0))</f>
        <v/>
      </c>
      <c r="BN679" s="35" t="str">
        <f aca="false">IF(AO679&lt;&gt;1,"",IF(W679="Oui",1,0))</f>
        <v/>
      </c>
      <c r="BO679" s="35" t="str">
        <f aca="false">IF(AO679&lt;&gt;1,"",IF(X679&lt;&gt;"",1,0))</f>
        <v/>
      </c>
      <c r="BP679" s="35" t="str">
        <f aca="false">IF(AO679&lt;&gt;1,"",IF(Y679="Oui",1,0))</f>
        <v/>
      </c>
      <c r="BQ679" s="35" t="str">
        <f aca="true">IF(OR(AO679&lt;&gt;1,Z679&lt;&gt;"Oui"),"",IF(AB679="",IF(AND(AA679&lt;&gt;"",NOW()&gt;AA679),0,""),IF(AA679="","",IF(AB679&lt;=AA679,1,0))))</f>
        <v/>
      </c>
      <c r="BR679" s="38" t="str">
        <f aca="false">IF(OR(AO679&lt;&gt;1,K679&lt;&gt;"Oui",O679=""),"",IF(AC679="",O679+DORA_H_DET/24,IF(AC679-O679&lt;=DORA_H_DET/24,MIN(AC679+DORA_H_CLA/24,O679+DORA_H_DET/24),AC679+DORA_H_CLA/24)))</f>
        <v/>
      </c>
      <c r="BS679" s="35" t="str">
        <f aca="true">IF(BR679="","",IF(AD679="",IF(NOW()&gt;BR679,0,""),IF(AD679&lt;=BR679,1,0)))</f>
        <v/>
      </c>
      <c r="BT679" s="35" t="str">
        <f aca="true">IF(OR(BR679="",AD679=""),"",IF(AE679="",IF(NOW()&gt;AD679+DORA_H_INT/24,0,""),IF(AE679&lt;=AD679+DORA_H_INT/24,1,0)))</f>
        <v/>
      </c>
      <c r="BU679" s="35" t="str">
        <f aca="true">IF(OR(BR679="",AE679=""),"",IF(AF679="",IF(NOW()&gt;EDATE(AE679,DORA_M_FIN)+1,0,""),IF(AF679&lt;=EDATE(AE679,DORA_M_FIN),1,0)))</f>
        <v/>
      </c>
      <c r="BV679" s="35" t="str">
        <f aca="false">IF(BR679="","",IF(COUNT(BS679:BU679)=0,"",MIN(BS679:BU679)))</f>
        <v/>
      </c>
      <c r="BW679" s="40" t="str">
        <f aca="false">IF(AQ679&lt;&gt;1,"",IF(AND(AG679="",AH679=""),"",N(AG679)-N(AH679)))</f>
        <v/>
      </c>
      <c r="BX679" s="35" t="str">
        <f aca="true">IF(OR(AQ679&lt;&gt;1,AI679&lt;&gt;"Oui",AJ679=""),"",IF(AK679="",IF(NOW()&gt;AJ679+1,0,""),IF(AK679&lt;=AJ679,1,0)))</f>
        <v/>
      </c>
    </row>
    <row r="680" customFormat="false" ht="15" hidden="false" customHeight="false" outlineLevel="0" collapsed="false">
      <c r="B680" s="29"/>
      <c r="C680" s="29"/>
      <c r="D680" s="29"/>
      <c r="E680" s="29"/>
      <c r="F680" s="29"/>
      <c r="G680" s="29"/>
      <c r="H680" s="29"/>
      <c r="I680" s="29"/>
      <c r="J680" s="29"/>
      <c r="K680" s="29"/>
      <c r="L680" s="29"/>
      <c r="M680" s="29"/>
      <c r="N680" s="30"/>
      <c r="O680" s="30"/>
      <c r="P680" s="30"/>
      <c r="Q680" s="30"/>
      <c r="R680" s="30"/>
      <c r="S680" s="30"/>
      <c r="T680" s="30"/>
      <c r="U680" s="30"/>
      <c r="V680" s="31"/>
      <c r="W680" s="29"/>
      <c r="X680" s="29"/>
      <c r="Y680" s="29"/>
      <c r="Z680" s="29"/>
      <c r="AA680" s="30"/>
      <c r="AB680" s="30"/>
      <c r="AC680" s="30"/>
      <c r="AD680" s="30"/>
      <c r="AE680" s="30"/>
      <c r="AF680" s="32"/>
      <c r="AG680" s="33"/>
      <c r="AH680" s="33"/>
      <c r="AI680" s="29"/>
      <c r="AJ680" s="32"/>
      <c r="AK680" s="32"/>
      <c r="AL680" s="29"/>
      <c r="AN680" s="34" t="str">
        <f aca="false">IF($B680="","",IF(OR(C680="",D680="",E680="",G680="",I680="",J680="",L680="",O680="",P680=""),"Champ obligatoire manquant",IF(OR(AND(N680&lt;&gt;"",N680&gt;O680),O680&gt;P680,AND(Q680&lt;&gt;"",Q680&lt;P680),AND(R680&lt;&gt;"",R680&lt;P680),AND(S680&lt;&gt;"",S680&lt;R680),AND(S680&lt;&gt;"",R680=""),AND(T680&lt;&gt;"",T680&lt;O680),AND(U680&lt;&gt;"",U680&lt;O680)),"Chronologie incohérente",IF(AND(OR(L680="Résolu",L680="Clos"),R680=""),"Date de résolution manquante",IF(AND(L680="Clos",S680=""),"Date de clôture manquante",IF(AND(K680="Oui",AC680=""),"Classification DORA manquante","OK"))))))</f>
        <v/>
      </c>
      <c r="AO680" s="35" t="str">
        <f aca="false">IF($B680="","",IF(AND(C680="Incident",L680&lt;&gt;"Annulé"),1,0))</f>
        <v/>
      </c>
      <c r="AP680" s="35" t="str">
        <f aca="false">IF($B680="","",IF(AND(C680="Quasi-incident",L680&lt;&gt;"Annulé"),1,0))</f>
        <v/>
      </c>
      <c r="AQ680" s="35" t="str">
        <f aca="false">IF($B680="","",AO680+AP680)</f>
        <v/>
      </c>
      <c r="AR680" s="36" t="str">
        <f aca="false">IF(OR($B680="",J680=""),"",IFERROR(VALUE(LEFT(J680,1)),""))</f>
        <v/>
      </c>
      <c r="AS680" s="35" t="str">
        <f aca="false">IF(OR(AO680&lt;&gt;1,G680=""),"",IFERROR(IF(INDEX(L_SrcInterne,MATCH(G680,L_Sources,0))="Oui",1,0),""))</f>
        <v/>
      </c>
      <c r="AT680" s="37" t="str">
        <f aca="false">IF(AO680&lt;&gt;1,"",IFERROR(ROUND(IF(OR(N680="",O680=""),"",IF(O680&lt;N680,"",ROUND(((NETWORKDAYS(N680,O680,JoursFeries)-1)*(HFer-HOuv)+IF(NETWORKDAYS(O680,O680,JoursFeries),MEDIAN(MOD(O680,1),HFer,HOuv),HFer)-IF(NETWORKDAYS(N680,N680,JoursFeries),MEDIAN(MOD(N680,1),HFer,HOuv),HOuv))*24,4)))/HJour,4),""))</f>
        <v/>
      </c>
      <c r="AU680" s="37" t="str">
        <f aca="false">IF(AO680&lt;&gt;1,"",IF(OR(O680="",P680=""),"",IF(P680&lt;O680,"",ROUND(((NETWORKDAYS(O680,P680,JoursFeries)-1)*(HFer-HOuv)+IF(NETWORKDAYS(P680,P680,JoursFeries),MEDIAN(MOD(P680,1),HFer,HOuv),HFer)-IF(NETWORKDAYS(O680,O680,JoursFeries),MEDIAN(MOD(O680,1),HFer,HOuv),HOuv))*24,4))))</f>
        <v/>
      </c>
      <c r="AV680" s="37" t="str">
        <f aca="false">IF(AO680&lt;&gt;1,"",IF(OR(P680="",Q680=""),"",IF(Q680&lt;P680,"",ROUND(((NETWORKDAYS(P680,Q680,JoursFeries)-1)*(HFer-HOuv)+IF(NETWORKDAYS(Q680,Q680,JoursFeries),MEDIAN(MOD(Q680,1),HFer,HOuv),HFer)-IF(NETWORKDAYS(P680,P680,JoursFeries),MEDIAN(MOD(P680,1),HFer,HOuv),HOuv))*24,4))))</f>
        <v/>
      </c>
      <c r="AW680" s="37" t="str">
        <f aca="false">IF(AO680&lt;&gt;1,"",IFERROR(ROUND(IF(OR(P680="",R680=""),"",IF(R680&lt;P680,"",ROUND(((NETWORKDAYS(P680,R680,JoursFeries)-1)*(HFer-HOuv)+IF(NETWORKDAYS(R680,R680,JoursFeries),MEDIAN(MOD(R680,1),HFer,HOuv),HFer)-IF(NETWORKDAYS(P680,P680,JoursFeries),MEDIAN(MOD(P680,1),HFer,HOuv),HOuv))*24,4)))/HJour,4),""))</f>
        <v/>
      </c>
      <c r="AX680" s="37" t="str">
        <f aca="false">IF(AO680&lt;&gt;1,"",IFERROR(ROUND(IF(OR(P680="",S680=""),"",IF(S680&lt;P680,"",ROUND(((NETWORKDAYS(P680,S680,JoursFeries)-1)*(HFer-HOuv)+IF(NETWORKDAYS(S680,S680,JoursFeries),MEDIAN(MOD(S680,1),HFer,HOuv),HFer)-IF(NETWORKDAYS(P680,P680,JoursFeries),MEDIAN(MOD(P680,1),HFer,HOuv),HOuv))*24,4)))/HJour,4),""))</f>
        <v/>
      </c>
      <c r="AY680" s="36" t="str">
        <f aca="false">IF(OR(AO680&lt;&gt;1,AR680=""),"",INDEX(SLA_PEC,AR680))</f>
        <v/>
      </c>
      <c r="AZ680" s="35" t="str">
        <f aca="false">IF(OR(AV680="",AY680=""),"",IF(AV680&lt;=AY680,1,0))</f>
        <v/>
      </c>
      <c r="BA680" s="36" t="str">
        <f aca="false">IF(OR(AO680&lt;&gt;1,AR680=""),"",INDEX(SLA_RES,AR680))</f>
        <v/>
      </c>
      <c r="BB680" s="35" t="str">
        <f aca="false">IF(OR(AW680="",BA680=""),"",IF(AW680&lt;=BA680,1,0))</f>
        <v/>
      </c>
      <c r="BC680" s="38" t="str">
        <f aca="false">IF(OR(BA680="",P680=""),"",WORKDAY(INT(P680),BA680,JoursFeries)+MOD(P680,1))</f>
        <v/>
      </c>
      <c r="BD680" s="39" t="str">
        <f aca="false">IF(AO680&lt;&gt;1,"",IF(OR(AB680&lt;&gt;"",AD680&lt;&gt;""),4,IF(U680&lt;&gt;"",3,IF(T680&lt;&gt;"",2,1))))</f>
        <v/>
      </c>
      <c r="BE680" s="39" t="str">
        <f aca="false">IF(OR(AO680&lt;&gt;1,AR680=""),"",INDEX(NIV_REQ,AR680))</f>
        <v/>
      </c>
      <c r="BF680" s="39" t="str">
        <f aca="false">IF(BE680="","",MAX(BE680,IF(OR(K680="Oui",Z680="Oui"),4,1)))</f>
        <v/>
      </c>
      <c r="BG680" s="35" t="str">
        <f aca="false">IF(OR(BF680="",BD680=""),"",IF(BD680&gt;=BF680,1,0))</f>
        <v/>
      </c>
      <c r="BH680" s="38" t="str">
        <f aca="false">IF(BE680="","",IF(BE680&lt;2,"",IF(BE680=2,IF(AND(T680="",U680=""),"",MIN(T680,U680)),IF(U680="","",U680))))</f>
        <v/>
      </c>
      <c r="BI680" s="37" t="str">
        <f aca="false">IF(BH680="","",IF(OR(O680="",BH680=""),"",IF(BH680&lt;O680,"",ROUND(((NETWORKDAYS(O680,BH680,JoursFeries)-1)*(HFer-HOuv)+IF(NETWORKDAYS(BH680,BH680,JoursFeries),MEDIAN(MOD(BH680,1),HFer,HOuv),HFer)-IF(NETWORKDAYS(O680,O680,JoursFeries),MEDIAN(MOD(O680,1),HFer,HOuv),HOuv))*24,4))))</f>
        <v/>
      </c>
      <c r="BJ680" s="35" t="str">
        <f aca="false">IF(OR(BI680="",AR680=""),"",IF(BI680&lt;=INDEX(DELAI_ESC,AR680),1,0))</f>
        <v/>
      </c>
      <c r="BK680" s="38" t="str">
        <f aca="false">IF(AO680&lt;&gt;1,"",IF(AND(T680="",U680=""),"",MIN(T680,U680)))</f>
        <v/>
      </c>
      <c r="BL680" s="37" t="str">
        <f aca="false">IF(OR(BK680="",R680=""),"",IFERROR(ROUND(IF(OR(BK680="",R680=""),"",IF(R680&lt;BK680,"",ROUND(((NETWORKDAYS(BK680,R680,JoursFeries)-1)*(HFer-HOuv)+IF(NETWORKDAYS(R680,R680,JoursFeries),MEDIAN(MOD(R680,1),HFer,HOuv),HFer)-IF(NETWORKDAYS(BK680,BK680,JoursFeries),MEDIAN(MOD(BK680,1),HFer,HOuv),HOuv))*24,4)))/HJour,4),""))</f>
        <v/>
      </c>
      <c r="BM680" s="35" t="str">
        <f aca="false">IF(OR(AO680&lt;&gt;1,R680=""),"",IF(BD680=1,1,0))</f>
        <v/>
      </c>
      <c r="BN680" s="35" t="str">
        <f aca="false">IF(AO680&lt;&gt;1,"",IF(W680="Oui",1,0))</f>
        <v/>
      </c>
      <c r="BO680" s="35" t="str">
        <f aca="false">IF(AO680&lt;&gt;1,"",IF(X680&lt;&gt;"",1,0))</f>
        <v/>
      </c>
      <c r="BP680" s="35" t="str">
        <f aca="false">IF(AO680&lt;&gt;1,"",IF(Y680="Oui",1,0))</f>
        <v/>
      </c>
      <c r="BQ680" s="35" t="str">
        <f aca="true">IF(OR(AO680&lt;&gt;1,Z680&lt;&gt;"Oui"),"",IF(AB680="",IF(AND(AA680&lt;&gt;"",NOW()&gt;AA680),0,""),IF(AA680="","",IF(AB680&lt;=AA680,1,0))))</f>
        <v/>
      </c>
      <c r="BR680" s="38" t="str">
        <f aca="false">IF(OR(AO680&lt;&gt;1,K680&lt;&gt;"Oui",O680=""),"",IF(AC680="",O680+DORA_H_DET/24,IF(AC680-O680&lt;=DORA_H_DET/24,MIN(AC680+DORA_H_CLA/24,O680+DORA_H_DET/24),AC680+DORA_H_CLA/24)))</f>
        <v/>
      </c>
      <c r="BS680" s="35" t="str">
        <f aca="true">IF(BR680="","",IF(AD680="",IF(NOW()&gt;BR680,0,""),IF(AD680&lt;=BR680,1,0)))</f>
        <v/>
      </c>
      <c r="BT680" s="35" t="str">
        <f aca="true">IF(OR(BR680="",AD680=""),"",IF(AE680="",IF(NOW()&gt;AD680+DORA_H_INT/24,0,""),IF(AE680&lt;=AD680+DORA_H_INT/24,1,0)))</f>
        <v/>
      </c>
      <c r="BU680" s="35" t="str">
        <f aca="true">IF(OR(BR680="",AE680=""),"",IF(AF680="",IF(NOW()&gt;EDATE(AE680,DORA_M_FIN)+1,0,""),IF(AF680&lt;=EDATE(AE680,DORA_M_FIN),1,0)))</f>
        <v/>
      </c>
      <c r="BV680" s="35" t="str">
        <f aca="false">IF(BR680="","",IF(COUNT(BS680:BU680)=0,"",MIN(BS680:BU680)))</f>
        <v/>
      </c>
      <c r="BW680" s="40" t="str">
        <f aca="false">IF(AQ680&lt;&gt;1,"",IF(AND(AG680="",AH680=""),"",N(AG680)-N(AH680)))</f>
        <v/>
      </c>
      <c r="BX680" s="35" t="str">
        <f aca="true">IF(OR(AQ680&lt;&gt;1,AI680&lt;&gt;"Oui",AJ680=""),"",IF(AK680="",IF(NOW()&gt;AJ680+1,0,""),IF(AK680&lt;=AJ680,1,0)))</f>
        <v/>
      </c>
    </row>
    <row r="681" customFormat="false" ht="15" hidden="false" customHeight="false" outlineLevel="0" collapsed="false">
      <c r="B681" s="29"/>
      <c r="C681" s="29"/>
      <c r="D681" s="29"/>
      <c r="E681" s="29"/>
      <c r="F681" s="29"/>
      <c r="G681" s="29"/>
      <c r="H681" s="29"/>
      <c r="I681" s="29"/>
      <c r="J681" s="29"/>
      <c r="K681" s="29"/>
      <c r="L681" s="29"/>
      <c r="M681" s="29"/>
      <c r="N681" s="30"/>
      <c r="O681" s="30"/>
      <c r="P681" s="30"/>
      <c r="Q681" s="30"/>
      <c r="R681" s="30"/>
      <c r="S681" s="30"/>
      <c r="T681" s="30"/>
      <c r="U681" s="30"/>
      <c r="V681" s="31"/>
      <c r="W681" s="29"/>
      <c r="X681" s="29"/>
      <c r="Y681" s="29"/>
      <c r="Z681" s="29"/>
      <c r="AA681" s="30"/>
      <c r="AB681" s="30"/>
      <c r="AC681" s="30"/>
      <c r="AD681" s="30"/>
      <c r="AE681" s="30"/>
      <c r="AF681" s="32"/>
      <c r="AG681" s="33"/>
      <c r="AH681" s="33"/>
      <c r="AI681" s="29"/>
      <c r="AJ681" s="32"/>
      <c r="AK681" s="32"/>
      <c r="AL681" s="29"/>
      <c r="AN681" s="34" t="str">
        <f aca="false">IF($B681="","",IF(OR(C681="",D681="",E681="",G681="",I681="",J681="",L681="",O681="",P681=""),"Champ obligatoire manquant",IF(OR(AND(N681&lt;&gt;"",N681&gt;O681),O681&gt;P681,AND(Q681&lt;&gt;"",Q681&lt;P681),AND(R681&lt;&gt;"",R681&lt;P681),AND(S681&lt;&gt;"",S681&lt;R681),AND(S681&lt;&gt;"",R681=""),AND(T681&lt;&gt;"",T681&lt;O681),AND(U681&lt;&gt;"",U681&lt;O681)),"Chronologie incohérente",IF(AND(OR(L681="Résolu",L681="Clos"),R681=""),"Date de résolution manquante",IF(AND(L681="Clos",S681=""),"Date de clôture manquante",IF(AND(K681="Oui",AC681=""),"Classification DORA manquante","OK"))))))</f>
        <v/>
      </c>
      <c r="AO681" s="35" t="str">
        <f aca="false">IF($B681="","",IF(AND(C681="Incident",L681&lt;&gt;"Annulé"),1,0))</f>
        <v/>
      </c>
      <c r="AP681" s="35" t="str">
        <f aca="false">IF($B681="","",IF(AND(C681="Quasi-incident",L681&lt;&gt;"Annulé"),1,0))</f>
        <v/>
      </c>
      <c r="AQ681" s="35" t="str">
        <f aca="false">IF($B681="","",AO681+AP681)</f>
        <v/>
      </c>
      <c r="AR681" s="36" t="str">
        <f aca="false">IF(OR($B681="",J681=""),"",IFERROR(VALUE(LEFT(J681,1)),""))</f>
        <v/>
      </c>
      <c r="AS681" s="35" t="str">
        <f aca="false">IF(OR(AO681&lt;&gt;1,G681=""),"",IFERROR(IF(INDEX(L_SrcInterne,MATCH(G681,L_Sources,0))="Oui",1,0),""))</f>
        <v/>
      </c>
      <c r="AT681" s="37" t="str">
        <f aca="false">IF(AO681&lt;&gt;1,"",IFERROR(ROUND(IF(OR(N681="",O681=""),"",IF(O681&lt;N681,"",ROUND(((NETWORKDAYS(N681,O681,JoursFeries)-1)*(HFer-HOuv)+IF(NETWORKDAYS(O681,O681,JoursFeries),MEDIAN(MOD(O681,1),HFer,HOuv),HFer)-IF(NETWORKDAYS(N681,N681,JoursFeries),MEDIAN(MOD(N681,1),HFer,HOuv),HOuv))*24,4)))/HJour,4),""))</f>
        <v/>
      </c>
      <c r="AU681" s="37" t="str">
        <f aca="false">IF(AO681&lt;&gt;1,"",IF(OR(O681="",P681=""),"",IF(P681&lt;O681,"",ROUND(((NETWORKDAYS(O681,P681,JoursFeries)-1)*(HFer-HOuv)+IF(NETWORKDAYS(P681,P681,JoursFeries),MEDIAN(MOD(P681,1),HFer,HOuv),HFer)-IF(NETWORKDAYS(O681,O681,JoursFeries),MEDIAN(MOD(O681,1),HFer,HOuv),HOuv))*24,4))))</f>
        <v/>
      </c>
      <c r="AV681" s="37" t="str">
        <f aca="false">IF(AO681&lt;&gt;1,"",IF(OR(P681="",Q681=""),"",IF(Q681&lt;P681,"",ROUND(((NETWORKDAYS(P681,Q681,JoursFeries)-1)*(HFer-HOuv)+IF(NETWORKDAYS(Q681,Q681,JoursFeries),MEDIAN(MOD(Q681,1),HFer,HOuv),HFer)-IF(NETWORKDAYS(P681,P681,JoursFeries),MEDIAN(MOD(P681,1),HFer,HOuv),HOuv))*24,4))))</f>
        <v/>
      </c>
      <c r="AW681" s="37" t="str">
        <f aca="false">IF(AO681&lt;&gt;1,"",IFERROR(ROUND(IF(OR(P681="",R681=""),"",IF(R681&lt;P681,"",ROUND(((NETWORKDAYS(P681,R681,JoursFeries)-1)*(HFer-HOuv)+IF(NETWORKDAYS(R681,R681,JoursFeries),MEDIAN(MOD(R681,1),HFer,HOuv),HFer)-IF(NETWORKDAYS(P681,P681,JoursFeries),MEDIAN(MOD(P681,1),HFer,HOuv),HOuv))*24,4)))/HJour,4),""))</f>
        <v/>
      </c>
      <c r="AX681" s="37" t="str">
        <f aca="false">IF(AO681&lt;&gt;1,"",IFERROR(ROUND(IF(OR(P681="",S681=""),"",IF(S681&lt;P681,"",ROUND(((NETWORKDAYS(P681,S681,JoursFeries)-1)*(HFer-HOuv)+IF(NETWORKDAYS(S681,S681,JoursFeries),MEDIAN(MOD(S681,1),HFer,HOuv),HFer)-IF(NETWORKDAYS(P681,P681,JoursFeries),MEDIAN(MOD(P681,1),HFer,HOuv),HOuv))*24,4)))/HJour,4),""))</f>
        <v/>
      </c>
      <c r="AY681" s="36" t="str">
        <f aca="false">IF(OR(AO681&lt;&gt;1,AR681=""),"",INDEX(SLA_PEC,AR681))</f>
        <v/>
      </c>
      <c r="AZ681" s="35" t="str">
        <f aca="false">IF(OR(AV681="",AY681=""),"",IF(AV681&lt;=AY681,1,0))</f>
        <v/>
      </c>
      <c r="BA681" s="36" t="str">
        <f aca="false">IF(OR(AO681&lt;&gt;1,AR681=""),"",INDEX(SLA_RES,AR681))</f>
        <v/>
      </c>
      <c r="BB681" s="35" t="str">
        <f aca="false">IF(OR(AW681="",BA681=""),"",IF(AW681&lt;=BA681,1,0))</f>
        <v/>
      </c>
      <c r="BC681" s="38" t="str">
        <f aca="false">IF(OR(BA681="",P681=""),"",WORKDAY(INT(P681),BA681,JoursFeries)+MOD(P681,1))</f>
        <v/>
      </c>
      <c r="BD681" s="39" t="str">
        <f aca="false">IF(AO681&lt;&gt;1,"",IF(OR(AB681&lt;&gt;"",AD681&lt;&gt;""),4,IF(U681&lt;&gt;"",3,IF(T681&lt;&gt;"",2,1))))</f>
        <v/>
      </c>
      <c r="BE681" s="39" t="str">
        <f aca="false">IF(OR(AO681&lt;&gt;1,AR681=""),"",INDEX(NIV_REQ,AR681))</f>
        <v/>
      </c>
      <c r="BF681" s="39" t="str">
        <f aca="false">IF(BE681="","",MAX(BE681,IF(OR(K681="Oui",Z681="Oui"),4,1)))</f>
        <v/>
      </c>
      <c r="BG681" s="35" t="str">
        <f aca="false">IF(OR(BF681="",BD681=""),"",IF(BD681&gt;=BF681,1,0))</f>
        <v/>
      </c>
      <c r="BH681" s="38" t="str">
        <f aca="false">IF(BE681="","",IF(BE681&lt;2,"",IF(BE681=2,IF(AND(T681="",U681=""),"",MIN(T681,U681)),IF(U681="","",U681))))</f>
        <v/>
      </c>
      <c r="BI681" s="37" t="str">
        <f aca="false">IF(BH681="","",IF(OR(O681="",BH681=""),"",IF(BH681&lt;O681,"",ROUND(((NETWORKDAYS(O681,BH681,JoursFeries)-1)*(HFer-HOuv)+IF(NETWORKDAYS(BH681,BH681,JoursFeries),MEDIAN(MOD(BH681,1),HFer,HOuv),HFer)-IF(NETWORKDAYS(O681,O681,JoursFeries),MEDIAN(MOD(O681,1),HFer,HOuv),HOuv))*24,4))))</f>
        <v/>
      </c>
      <c r="BJ681" s="35" t="str">
        <f aca="false">IF(OR(BI681="",AR681=""),"",IF(BI681&lt;=INDEX(DELAI_ESC,AR681),1,0))</f>
        <v/>
      </c>
      <c r="BK681" s="38" t="str">
        <f aca="false">IF(AO681&lt;&gt;1,"",IF(AND(T681="",U681=""),"",MIN(T681,U681)))</f>
        <v/>
      </c>
      <c r="BL681" s="37" t="str">
        <f aca="false">IF(OR(BK681="",R681=""),"",IFERROR(ROUND(IF(OR(BK681="",R681=""),"",IF(R681&lt;BK681,"",ROUND(((NETWORKDAYS(BK681,R681,JoursFeries)-1)*(HFer-HOuv)+IF(NETWORKDAYS(R681,R681,JoursFeries),MEDIAN(MOD(R681,1),HFer,HOuv),HFer)-IF(NETWORKDAYS(BK681,BK681,JoursFeries),MEDIAN(MOD(BK681,1),HFer,HOuv),HOuv))*24,4)))/HJour,4),""))</f>
        <v/>
      </c>
      <c r="BM681" s="35" t="str">
        <f aca="false">IF(OR(AO681&lt;&gt;1,R681=""),"",IF(BD681=1,1,0))</f>
        <v/>
      </c>
      <c r="BN681" s="35" t="str">
        <f aca="false">IF(AO681&lt;&gt;1,"",IF(W681="Oui",1,0))</f>
        <v/>
      </c>
      <c r="BO681" s="35" t="str">
        <f aca="false">IF(AO681&lt;&gt;1,"",IF(X681&lt;&gt;"",1,0))</f>
        <v/>
      </c>
      <c r="BP681" s="35" t="str">
        <f aca="false">IF(AO681&lt;&gt;1,"",IF(Y681="Oui",1,0))</f>
        <v/>
      </c>
      <c r="BQ681" s="35" t="str">
        <f aca="true">IF(OR(AO681&lt;&gt;1,Z681&lt;&gt;"Oui"),"",IF(AB681="",IF(AND(AA681&lt;&gt;"",NOW()&gt;AA681),0,""),IF(AA681="","",IF(AB681&lt;=AA681,1,0))))</f>
        <v/>
      </c>
      <c r="BR681" s="38" t="str">
        <f aca="false">IF(OR(AO681&lt;&gt;1,K681&lt;&gt;"Oui",O681=""),"",IF(AC681="",O681+DORA_H_DET/24,IF(AC681-O681&lt;=DORA_H_DET/24,MIN(AC681+DORA_H_CLA/24,O681+DORA_H_DET/24),AC681+DORA_H_CLA/24)))</f>
        <v/>
      </c>
      <c r="BS681" s="35" t="str">
        <f aca="true">IF(BR681="","",IF(AD681="",IF(NOW()&gt;BR681,0,""),IF(AD681&lt;=BR681,1,0)))</f>
        <v/>
      </c>
      <c r="BT681" s="35" t="str">
        <f aca="true">IF(OR(BR681="",AD681=""),"",IF(AE681="",IF(NOW()&gt;AD681+DORA_H_INT/24,0,""),IF(AE681&lt;=AD681+DORA_H_INT/24,1,0)))</f>
        <v/>
      </c>
      <c r="BU681" s="35" t="str">
        <f aca="true">IF(OR(BR681="",AE681=""),"",IF(AF681="",IF(NOW()&gt;EDATE(AE681,DORA_M_FIN)+1,0,""),IF(AF681&lt;=EDATE(AE681,DORA_M_FIN),1,0)))</f>
        <v/>
      </c>
      <c r="BV681" s="35" t="str">
        <f aca="false">IF(BR681="","",IF(COUNT(BS681:BU681)=0,"",MIN(BS681:BU681)))</f>
        <v/>
      </c>
      <c r="BW681" s="40" t="str">
        <f aca="false">IF(AQ681&lt;&gt;1,"",IF(AND(AG681="",AH681=""),"",N(AG681)-N(AH681)))</f>
        <v/>
      </c>
      <c r="BX681" s="35" t="str">
        <f aca="true">IF(OR(AQ681&lt;&gt;1,AI681&lt;&gt;"Oui",AJ681=""),"",IF(AK681="",IF(NOW()&gt;AJ681+1,0,""),IF(AK681&lt;=AJ681,1,0)))</f>
        <v/>
      </c>
    </row>
    <row r="682" customFormat="false" ht="15" hidden="false" customHeight="false" outlineLevel="0" collapsed="false">
      <c r="B682" s="29"/>
      <c r="C682" s="29"/>
      <c r="D682" s="29"/>
      <c r="E682" s="29"/>
      <c r="F682" s="29"/>
      <c r="G682" s="29"/>
      <c r="H682" s="29"/>
      <c r="I682" s="29"/>
      <c r="J682" s="29"/>
      <c r="K682" s="29"/>
      <c r="L682" s="29"/>
      <c r="M682" s="29"/>
      <c r="N682" s="30"/>
      <c r="O682" s="30"/>
      <c r="P682" s="30"/>
      <c r="Q682" s="30"/>
      <c r="R682" s="30"/>
      <c r="S682" s="30"/>
      <c r="T682" s="30"/>
      <c r="U682" s="30"/>
      <c r="V682" s="31"/>
      <c r="W682" s="29"/>
      <c r="X682" s="29"/>
      <c r="Y682" s="29"/>
      <c r="Z682" s="29"/>
      <c r="AA682" s="30"/>
      <c r="AB682" s="30"/>
      <c r="AC682" s="30"/>
      <c r="AD682" s="30"/>
      <c r="AE682" s="30"/>
      <c r="AF682" s="32"/>
      <c r="AG682" s="33"/>
      <c r="AH682" s="33"/>
      <c r="AI682" s="29"/>
      <c r="AJ682" s="32"/>
      <c r="AK682" s="32"/>
      <c r="AL682" s="29"/>
      <c r="AN682" s="34" t="str">
        <f aca="false">IF($B682="","",IF(OR(C682="",D682="",E682="",G682="",I682="",J682="",L682="",O682="",P682=""),"Champ obligatoire manquant",IF(OR(AND(N682&lt;&gt;"",N682&gt;O682),O682&gt;P682,AND(Q682&lt;&gt;"",Q682&lt;P682),AND(R682&lt;&gt;"",R682&lt;P682),AND(S682&lt;&gt;"",S682&lt;R682),AND(S682&lt;&gt;"",R682=""),AND(T682&lt;&gt;"",T682&lt;O682),AND(U682&lt;&gt;"",U682&lt;O682)),"Chronologie incohérente",IF(AND(OR(L682="Résolu",L682="Clos"),R682=""),"Date de résolution manquante",IF(AND(L682="Clos",S682=""),"Date de clôture manquante",IF(AND(K682="Oui",AC682=""),"Classification DORA manquante","OK"))))))</f>
        <v/>
      </c>
      <c r="AO682" s="35" t="str">
        <f aca="false">IF($B682="","",IF(AND(C682="Incident",L682&lt;&gt;"Annulé"),1,0))</f>
        <v/>
      </c>
      <c r="AP682" s="35" t="str">
        <f aca="false">IF($B682="","",IF(AND(C682="Quasi-incident",L682&lt;&gt;"Annulé"),1,0))</f>
        <v/>
      </c>
      <c r="AQ682" s="35" t="str">
        <f aca="false">IF($B682="","",AO682+AP682)</f>
        <v/>
      </c>
      <c r="AR682" s="36" t="str">
        <f aca="false">IF(OR($B682="",J682=""),"",IFERROR(VALUE(LEFT(J682,1)),""))</f>
        <v/>
      </c>
      <c r="AS682" s="35" t="str">
        <f aca="false">IF(OR(AO682&lt;&gt;1,G682=""),"",IFERROR(IF(INDEX(L_SrcInterne,MATCH(G682,L_Sources,0))="Oui",1,0),""))</f>
        <v/>
      </c>
      <c r="AT682" s="37" t="str">
        <f aca="false">IF(AO682&lt;&gt;1,"",IFERROR(ROUND(IF(OR(N682="",O682=""),"",IF(O682&lt;N682,"",ROUND(((NETWORKDAYS(N682,O682,JoursFeries)-1)*(HFer-HOuv)+IF(NETWORKDAYS(O682,O682,JoursFeries),MEDIAN(MOD(O682,1),HFer,HOuv),HFer)-IF(NETWORKDAYS(N682,N682,JoursFeries),MEDIAN(MOD(N682,1),HFer,HOuv),HOuv))*24,4)))/HJour,4),""))</f>
        <v/>
      </c>
      <c r="AU682" s="37" t="str">
        <f aca="false">IF(AO682&lt;&gt;1,"",IF(OR(O682="",P682=""),"",IF(P682&lt;O682,"",ROUND(((NETWORKDAYS(O682,P682,JoursFeries)-1)*(HFer-HOuv)+IF(NETWORKDAYS(P682,P682,JoursFeries),MEDIAN(MOD(P682,1),HFer,HOuv),HFer)-IF(NETWORKDAYS(O682,O682,JoursFeries),MEDIAN(MOD(O682,1),HFer,HOuv),HOuv))*24,4))))</f>
        <v/>
      </c>
      <c r="AV682" s="37" t="str">
        <f aca="false">IF(AO682&lt;&gt;1,"",IF(OR(P682="",Q682=""),"",IF(Q682&lt;P682,"",ROUND(((NETWORKDAYS(P682,Q682,JoursFeries)-1)*(HFer-HOuv)+IF(NETWORKDAYS(Q682,Q682,JoursFeries),MEDIAN(MOD(Q682,1),HFer,HOuv),HFer)-IF(NETWORKDAYS(P682,P682,JoursFeries),MEDIAN(MOD(P682,1),HFer,HOuv),HOuv))*24,4))))</f>
        <v/>
      </c>
      <c r="AW682" s="37" t="str">
        <f aca="false">IF(AO682&lt;&gt;1,"",IFERROR(ROUND(IF(OR(P682="",R682=""),"",IF(R682&lt;P682,"",ROUND(((NETWORKDAYS(P682,R682,JoursFeries)-1)*(HFer-HOuv)+IF(NETWORKDAYS(R682,R682,JoursFeries),MEDIAN(MOD(R682,1),HFer,HOuv),HFer)-IF(NETWORKDAYS(P682,P682,JoursFeries),MEDIAN(MOD(P682,1),HFer,HOuv),HOuv))*24,4)))/HJour,4),""))</f>
        <v/>
      </c>
      <c r="AX682" s="37" t="str">
        <f aca="false">IF(AO682&lt;&gt;1,"",IFERROR(ROUND(IF(OR(P682="",S682=""),"",IF(S682&lt;P682,"",ROUND(((NETWORKDAYS(P682,S682,JoursFeries)-1)*(HFer-HOuv)+IF(NETWORKDAYS(S682,S682,JoursFeries),MEDIAN(MOD(S682,1),HFer,HOuv),HFer)-IF(NETWORKDAYS(P682,P682,JoursFeries),MEDIAN(MOD(P682,1),HFer,HOuv),HOuv))*24,4)))/HJour,4),""))</f>
        <v/>
      </c>
      <c r="AY682" s="36" t="str">
        <f aca="false">IF(OR(AO682&lt;&gt;1,AR682=""),"",INDEX(SLA_PEC,AR682))</f>
        <v/>
      </c>
      <c r="AZ682" s="35" t="str">
        <f aca="false">IF(OR(AV682="",AY682=""),"",IF(AV682&lt;=AY682,1,0))</f>
        <v/>
      </c>
      <c r="BA682" s="36" t="str">
        <f aca="false">IF(OR(AO682&lt;&gt;1,AR682=""),"",INDEX(SLA_RES,AR682))</f>
        <v/>
      </c>
      <c r="BB682" s="35" t="str">
        <f aca="false">IF(OR(AW682="",BA682=""),"",IF(AW682&lt;=BA682,1,0))</f>
        <v/>
      </c>
      <c r="BC682" s="38" t="str">
        <f aca="false">IF(OR(BA682="",P682=""),"",WORKDAY(INT(P682),BA682,JoursFeries)+MOD(P682,1))</f>
        <v/>
      </c>
      <c r="BD682" s="39" t="str">
        <f aca="false">IF(AO682&lt;&gt;1,"",IF(OR(AB682&lt;&gt;"",AD682&lt;&gt;""),4,IF(U682&lt;&gt;"",3,IF(T682&lt;&gt;"",2,1))))</f>
        <v/>
      </c>
      <c r="BE682" s="39" t="str">
        <f aca="false">IF(OR(AO682&lt;&gt;1,AR682=""),"",INDEX(NIV_REQ,AR682))</f>
        <v/>
      </c>
      <c r="BF682" s="39" t="str">
        <f aca="false">IF(BE682="","",MAX(BE682,IF(OR(K682="Oui",Z682="Oui"),4,1)))</f>
        <v/>
      </c>
      <c r="BG682" s="35" t="str">
        <f aca="false">IF(OR(BF682="",BD682=""),"",IF(BD682&gt;=BF682,1,0))</f>
        <v/>
      </c>
      <c r="BH682" s="38" t="str">
        <f aca="false">IF(BE682="","",IF(BE682&lt;2,"",IF(BE682=2,IF(AND(T682="",U682=""),"",MIN(T682,U682)),IF(U682="","",U682))))</f>
        <v/>
      </c>
      <c r="BI682" s="37" t="str">
        <f aca="false">IF(BH682="","",IF(OR(O682="",BH682=""),"",IF(BH682&lt;O682,"",ROUND(((NETWORKDAYS(O682,BH682,JoursFeries)-1)*(HFer-HOuv)+IF(NETWORKDAYS(BH682,BH682,JoursFeries),MEDIAN(MOD(BH682,1),HFer,HOuv),HFer)-IF(NETWORKDAYS(O682,O682,JoursFeries),MEDIAN(MOD(O682,1),HFer,HOuv),HOuv))*24,4))))</f>
        <v/>
      </c>
      <c r="BJ682" s="35" t="str">
        <f aca="false">IF(OR(BI682="",AR682=""),"",IF(BI682&lt;=INDEX(DELAI_ESC,AR682),1,0))</f>
        <v/>
      </c>
      <c r="BK682" s="38" t="str">
        <f aca="false">IF(AO682&lt;&gt;1,"",IF(AND(T682="",U682=""),"",MIN(T682,U682)))</f>
        <v/>
      </c>
      <c r="BL682" s="37" t="str">
        <f aca="false">IF(OR(BK682="",R682=""),"",IFERROR(ROUND(IF(OR(BK682="",R682=""),"",IF(R682&lt;BK682,"",ROUND(((NETWORKDAYS(BK682,R682,JoursFeries)-1)*(HFer-HOuv)+IF(NETWORKDAYS(R682,R682,JoursFeries),MEDIAN(MOD(R682,1),HFer,HOuv),HFer)-IF(NETWORKDAYS(BK682,BK682,JoursFeries),MEDIAN(MOD(BK682,1),HFer,HOuv),HOuv))*24,4)))/HJour,4),""))</f>
        <v/>
      </c>
      <c r="BM682" s="35" t="str">
        <f aca="false">IF(OR(AO682&lt;&gt;1,R682=""),"",IF(BD682=1,1,0))</f>
        <v/>
      </c>
      <c r="BN682" s="35" t="str">
        <f aca="false">IF(AO682&lt;&gt;1,"",IF(W682="Oui",1,0))</f>
        <v/>
      </c>
      <c r="BO682" s="35" t="str">
        <f aca="false">IF(AO682&lt;&gt;1,"",IF(X682&lt;&gt;"",1,0))</f>
        <v/>
      </c>
      <c r="BP682" s="35" t="str">
        <f aca="false">IF(AO682&lt;&gt;1,"",IF(Y682="Oui",1,0))</f>
        <v/>
      </c>
      <c r="BQ682" s="35" t="str">
        <f aca="true">IF(OR(AO682&lt;&gt;1,Z682&lt;&gt;"Oui"),"",IF(AB682="",IF(AND(AA682&lt;&gt;"",NOW()&gt;AA682),0,""),IF(AA682="","",IF(AB682&lt;=AA682,1,0))))</f>
        <v/>
      </c>
      <c r="BR682" s="38" t="str">
        <f aca="false">IF(OR(AO682&lt;&gt;1,K682&lt;&gt;"Oui",O682=""),"",IF(AC682="",O682+DORA_H_DET/24,IF(AC682-O682&lt;=DORA_H_DET/24,MIN(AC682+DORA_H_CLA/24,O682+DORA_H_DET/24),AC682+DORA_H_CLA/24)))</f>
        <v/>
      </c>
      <c r="BS682" s="35" t="str">
        <f aca="true">IF(BR682="","",IF(AD682="",IF(NOW()&gt;BR682,0,""),IF(AD682&lt;=BR682,1,0)))</f>
        <v/>
      </c>
      <c r="BT682" s="35" t="str">
        <f aca="true">IF(OR(BR682="",AD682=""),"",IF(AE682="",IF(NOW()&gt;AD682+DORA_H_INT/24,0,""),IF(AE682&lt;=AD682+DORA_H_INT/24,1,0)))</f>
        <v/>
      </c>
      <c r="BU682" s="35" t="str">
        <f aca="true">IF(OR(BR682="",AE682=""),"",IF(AF682="",IF(NOW()&gt;EDATE(AE682,DORA_M_FIN)+1,0,""),IF(AF682&lt;=EDATE(AE682,DORA_M_FIN),1,0)))</f>
        <v/>
      </c>
      <c r="BV682" s="35" t="str">
        <f aca="false">IF(BR682="","",IF(COUNT(BS682:BU682)=0,"",MIN(BS682:BU682)))</f>
        <v/>
      </c>
      <c r="BW682" s="40" t="str">
        <f aca="false">IF(AQ682&lt;&gt;1,"",IF(AND(AG682="",AH682=""),"",N(AG682)-N(AH682)))</f>
        <v/>
      </c>
      <c r="BX682" s="35" t="str">
        <f aca="true">IF(OR(AQ682&lt;&gt;1,AI682&lt;&gt;"Oui",AJ682=""),"",IF(AK682="",IF(NOW()&gt;AJ682+1,0,""),IF(AK682&lt;=AJ682,1,0)))</f>
        <v/>
      </c>
    </row>
    <row r="683" customFormat="false" ht="15" hidden="false" customHeight="false" outlineLevel="0" collapsed="false">
      <c r="B683" s="29"/>
      <c r="C683" s="29"/>
      <c r="D683" s="29"/>
      <c r="E683" s="29"/>
      <c r="F683" s="29"/>
      <c r="G683" s="29"/>
      <c r="H683" s="29"/>
      <c r="I683" s="29"/>
      <c r="J683" s="29"/>
      <c r="K683" s="29"/>
      <c r="L683" s="29"/>
      <c r="M683" s="29"/>
      <c r="N683" s="30"/>
      <c r="O683" s="30"/>
      <c r="P683" s="30"/>
      <c r="Q683" s="30"/>
      <c r="R683" s="30"/>
      <c r="S683" s="30"/>
      <c r="T683" s="30"/>
      <c r="U683" s="30"/>
      <c r="V683" s="31"/>
      <c r="W683" s="29"/>
      <c r="X683" s="29"/>
      <c r="Y683" s="29"/>
      <c r="Z683" s="29"/>
      <c r="AA683" s="30"/>
      <c r="AB683" s="30"/>
      <c r="AC683" s="30"/>
      <c r="AD683" s="30"/>
      <c r="AE683" s="30"/>
      <c r="AF683" s="32"/>
      <c r="AG683" s="33"/>
      <c r="AH683" s="33"/>
      <c r="AI683" s="29"/>
      <c r="AJ683" s="32"/>
      <c r="AK683" s="32"/>
      <c r="AL683" s="29"/>
      <c r="AN683" s="34" t="str">
        <f aca="false">IF($B683="","",IF(OR(C683="",D683="",E683="",G683="",I683="",J683="",L683="",O683="",P683=""),"Champ obligatoire manquant",IF(OR(AND(N683&lt;&gt;"",N683&gt;O683),O683&gt;P683,AND(Q683&lt;&gt;"",Q683&lt;P683),AND(R683&lt;&gt;"",R683&lt;P683),AND(S683&lt;&gt;"",S683&lt;R683),AND(S683&lt;&gt;"",R683=""),AND(T683&lt;&gt;"",T683&lt;O683),AND(U683&lt;&gt;"",U683&lt;O683)),"Chronologie incohérente",IF(AND(OR(L683="Résolu",L683="Clos"),R683=""),"Date de résolution manquante",IF(AND(L683="Clos",S683=""),"Date de clôture manquante",IF(AND(K683="Oui",AC683=""),"Classification DORA manquante","OK"))))))</f>
        <v/>
      </c>
      <c r="AO683" s="35" t="str">
        <f aca="false">IF($B683="","",IF(AND(C683="Incident",L683&lt;&gt;"Annulé"),1,0))</f>
        <v/>
      </c>
      <c r="AP683" s="35" t="str">
        <f aca="false">IF($B683="","",IF(AND(C683="Quasi-incident",L683&lt;&gt;"Annulé"),1,0))</f>
        <v/>
      </c>
      <c r="AQ683" s="35" t="str">
        <f aca="false">IF($B683="","",AO683+AP683)</f>
        <v/>
      </c>
      <c r="AR683" s="36" t="str">
        <f aca="false">IF(OR($B683="",J683=""),"",IFERROR(VALUE(LEFT(J683,1)),""))</f>
        <v/>
      </c>
      <c r="AS683" s="35" t="str">
        <f aca="false">IF(OR(AO683&lt;&gt;1,G683=""),"",IFERROR(IF(INDEX(L_SrcInterne,MATCH(G683,L_Sources,0))="Oui",1,0),""))</f>
        <v/>
      </c>
      <c r="AT683" s="37" t="str">
        <f aca="false">IF(AO683&lt;&gt;1,"",IFERROR(ROUND(IF(OR(N683="",O683=""),"",IF(O683&lt;N683,"",ROUND(((NETWORKDAYS(N683,O683,JoursFeries)-1)*(HFer-HOuv)+IF(NETWORKDAYS(O683,O683,JoursFeries),MEDIAN(MOD(O683,1),HFer,HOuv),HFer)-IF(NETWORKDAYS(N683,N683,JoursFeries),MEDIAN(MOD(N683,1),HFer,HOuv),HOuv))*24,4)))/HJour,4),""))</f>
        <v/>
      </c>
      <c r="AU683" s="37" t="str">
        <f aca="false">IF(AO683&lt;&gt;1,"",IF(OR(O683="",P683=""),"",IF(P683&lt;O683,"",ROUND(((NETWORKDAYS(O683,P683,JoursFeries)-1)*(HFer-HOuv)+IF(NETWORKDAYS(P683,P683,JoursFeries),MEDIAN(MOD(P683,1),HFer,HOuv),HFer)-IF(NETWORKDAYS(O683,O683,JoursFeries),MEDIAN(MOD(O683,1),HFer,HOuv),HOuv))*24,4))))</f>
        <v/>
      </c>
      <c r="AV683" s="37" t="str">
        <f aca="false">IF(AO683&lt;&gt;1,"",IF(OR(P683="",Q683=""),"",IF(Q683&lt;P683,"",ROUND(((NETWORKDAYS(P683,Q683,JoursFeries)-1)*(HFer-HOuv)+IF(NETWORKDAYS(Q683,Q683,JoursFeries),MEDIAN(MOD(Q683,1),HFer,HOuv),HFer)-IF(NETWORKDAYS(P683,P683,JoursFeries),MEDIAN(MOD(P683,1),HFer,HOuv),HOuv))*24,4))))</f>
        <v/>
      </c>
      <c r="AW683" s="37" t="str">
        <f aca="false">IF(AO683&lt;&gt;1,"",IFERROR(ROUND(IF(OR(P683="",R683=""),"",IF(R683&lt;P683,"",ROUND(((NETWORKDAYS(P683,R683,JoursFeries)-1)*(HFer-HOuv)+IF(NETWORKDAYS(R683,R683,JoursFeries),MEDIAN(MOD(R683,1),HFer,HOuv),HFer)-IF(NETWORKDAYS(P683,P683,JoursFeries),MEDIAN(MOD(P683,1),HFer,HOuv),HOuv))*24,4)))/HJour,4),""))</f>
        <v/>
      </c>
      <c r="AX683" s="37" t="str">
        <f aca="false">IF(AO683&lt;&gt;1,"",IFERROR(ROUND(IF(OR(P683="",S683=""),"",IF(S683&lt;P683,"",ROUND(((NETWORKDAYS(P683,S683,JoursFeries)-1)*(HFer-HOuv)+IF(NETWORKDAYS(S683,S683,JoursFeries),MEDIAN(MOD(S683,1),HFer,HOuv),HFer)-IF(NETWORKDAYS(P683,P683,JoursFeries),MEDIAN(MOD(P683,1),HFer,HOuv),HOuv))*24,4)))/HJour,4),""))</f>
        <v/>
      </c>
      <c r="AY683" s="36" t="str">
        <f aca="false">IF(OR(AO683&lt;&gt;1,AR683=""),"",INDEX(SLA_PEC,AR683))</f>
        <v/>
      </c>
      <c r="AZ683" s="35" t="str">
        <f aca="false">IF(OR(AV683="",AY683=""),"",IF(AV683&lt;=AY683,1,0))</f>
        <v/>
      </c>
      <c r="BA683" s="36" t="str">
        <f aca="false">IF(OR(AO683&lt;&gt;1,AR683=""),"",INDEX(SLA_RES,AR683))</f>
        <v/>
      </c>
      <c r="BB683" s="35" t="str">
        <f aca="false">IF(OR(AW683="",BA683=""),"",IF(AW683&lt;=BA683,1,0))</f>
        <v/>
      </c>
      <c r="BC683" s="38" t="str">
        <f aca="false">IF(OR(BA683="",P683=""),"",WORKDAY(INT(P683),BA683,JoursFeries)+MOD(P683,1))</f>
        <v/>
      </c>
      <c r="BD683" s="39" t="str">
        <f aca="false">IF(AO683&lt;&gt;1,"",IF(OR(AB683&lt;&gt;"",AD683&lt;&gt;""),4,IF(U683&lt;&gt;"",3,IF(T683&lt;&gt;"",2,1))))</f>
        <v/>
      </c>
      <c r="BE683" s="39" t="str">
        <f aca="false">IF(OR(AO683&lt;&gt;1,AR683=""),"",INDEX(NIV_REQ,AR683))</f>
        <v/>
      </c>
      <c r="BF683" s="39" t="str">
        <f aca="false">IF(BE683="","",MAX(BE683,IF(OR(K683="Oui",Z683="Oui"),4,1)))</f>
        <v/>
      </c>
      <c r="BG683" s="35" t="str">
        <f aca="false">IF(OR(BF683="",BD683=""),"",IF(BD683&gt;=BF683,1,0))</f>
        <v/>
      </c>
      <c r="BH683" s="38" t="str">
        <f aca="false">IF(BE683="","",IF(BE683&lt;2,"",IF(BE683=2,IF(AND(T683="",U683=""),"",MIN(T683,U683)),IF(U683="","",U683))))</f>
        <v/>
      </c>
      <c r="BI683" s="37" t="str">
        <f aca="false">IF(BH683="","",IF(OR(O683="",BH683=""),"",IF(BH683&lt;O683,"",ROUND(((NETWORKDAYS(O683,BH683,JoursFeries)-1)*(HFer-HOuv)+IF(NETWORKDAYS(BH683,BH683,JoursFeries),MEDIAN(MOD(BH683,1),HFer,HOuv),HFer)-IF(NETWORKDAYS(O683,O683,JoursFeries),MEDIAN(MOD(O683,1),HFer,HOuv),HOuv))*24,4))))</f>
        <v/>
      </c>
      <c r="BJ683" s="35" t="str">
        <f aca="false">IF(OR(BI683="",AR683=""),"",IF(BI683&lt;=INDEX(DELAI_ESC,AR683),1,0))</f>
        <v/>
      </c>
      <c r="BK683" s="38" t="str">
        <f aca="false">IF(AO683&lt;&gt;1,"",IF(AND(T683="",U683=""),"",MIN(T683,U683)))</f>
        <v/>
      </c>
      <c r="BL683" s="37" t="str">
        <f aca="false">IF(OR(BK683="",R683=""),"",IFERROR(ROUND(IF(OR(BK683="",R683=""),"",IF(R683&lt;BK683,"",ROUND(((NETWORKDAYS(BK683,R683,JoursFeries)-1)*(HFer-HOuv)+IF(NETWORKDAYS(R683,R683,JoursFeries),MEDIAN(MOD(R683,1),HFer,HOuv),HFer)-IF(NETWORKDAYS(BK683,BK683,JoursFeries),MEDIAN(MOD(BK683,1),HFer,HOuv),HOuv))*24,4)))/HJour,4),""))</f>
        <v/>
      </c>
      <c r="BM683" s="35" t="str">
        <f aca="false">IF(OR(AO683&lt;&gt;1,R683=""),"",IF(BD683=1,1,0))</f>
        <v/>
      </c>
      <c r="BN683" s="35" t="str">
        <f aca="false">IF(AO683&lt;&gt;1,"",IF(W683="Oui",1,0))</f>
        <v/>
      </c>
      <c r="BO683" s="35" t="str">
        <f aca="false">IF(AO683&lt;&gt;1,"",IF(X683&lt;&gt;"",1,0))</f>
        <v/>
      </c>
      <c r="BP683" s="35" t="str">
        <f aca="false">IF(AO683&lt;&gt;1,"",IF(Y683="Oui",1,0))</f>
        <v/>
      </c>
      <c r="BQ683" s="35" t="str">
        <f aca="true">IF(OR(AO683&lt;&gt;1,Z683&lt;&gt;"Oui"),"",IF(AB683="",IF(AND(AA683&lt;&gt;"",NOW()&gt;AA683),0,""),IF(AA683="","",IF(AB683&lt;=AA683,1,0))))</f>
        <v/>
      </c>
      <c r="BR683" s="38" t="str">
        <f aca="false">IF(OR(AO683&lt;&gt;1,K683&lt;&gt;"Oui",O683=""),"",IF(AC683="",O683+DORA_H_DET/24,IF(AC683-O683&lt;=DORA_H_DET/24,MIN(AC683+DORA_H_CLA/24,O683+DORA_H_DET/24),AC683+DORA_H_CLA/24)))</f>
        <v/>
      </c>
      <c r="BS683" s="35" t="str">
        <f aca="true">IF(BR683="","",IF(AD683="",IF(NOW()&gt;BR683,0,""),IF(AD683&lt;=BR683,1,0)))</f>
        <v/>
      </c>
      <c r="BT683" s="35" t="str">
        <f aca="true">IF(OR(BR683="",AD683=""),"",IF(AE683="",IF(NOW()&gt;AD683+DORA_H_INT/24,0,""),IF(AE683&lt;=AD683+DORA_H_INT/24,1,0)))</f>
        <v/>
      </c>
      <c r="BU683" s="35" t="str">
        <f aca="true">IF(OR(BR683="",AE683=""),"",IF(AF683="",IF(NOW()&gt;EDATE(AE683,DORA_M_FIN)+1,0,""),IF(AF683&lt;=EDATE(AE683,DORA_M_FIN),1,0)))</f>
        <v/>
      </c>
      <c r="BV683" s="35" t="str">
        <f aca="false">IF(BR683="","",IF(COUNT(BS683:BU683)=0,"",MIN(BS683:BU683)))</f>
        <v/>
      </c>
      <c r="BW683" s="40" t="str">
        <f aca="false">IF(AQ683&lt;&gt;1,"",IF(AND(AG683="",AH683=""),"",N(AG683)-N(AH683)))</f>
        <v/>
      </c>
      <c r="BX683" s="35" t="str">
        <f aca="true">IF(OR(AQ683&lt;&gt;1,AI683&lt;&gt;"Oui",AJ683=""),"",IF(AK683="",IF(NOW()&gt;AJ683+1,0,""),IF(AK683&lt;=AJ683,1,0)))</f>
        <v/>
      </c>
    </row>
    <row r="684" customFormat="false" ht="15" hidden="false" customHeight="false" outlineLevel="0" collapsed="false">
      <c r="B684" s="29"/>
      <c r="C684" s="29"/>
      <c r="D684" s="29"/>
      <c r="E684" s="29"/>
      <c r="F684" s="29"/>
      <c r="G684" s="29"/>
      <c r="H684" s="29"/>
      <c r="I684" s="29"/>
      <c r="J684" s="29"/>
      <c r="K684" s="29"/>
      <c r="L684" s="29"/>
      <c r="M684" s="29"/>
      <c r="N684" s="30"/>
      <c r="O684" s="30"/>
      <c r="P684" s="30"/>
      <c r="Q684" s="30"/>
      <c r="R684" s="30"/>
      <c r="S684" s="30"/>
      <c r="T684" s="30"/>
      <c r="U684" s="30"/>
      <c r="V684" s="31"/>
      <c r="W684" s="29"/>
      <c r="X684" s="29"/>
      <c r="Y684" s="29"/>
      <c r="Z684" s="29"/>
      <c r="AA684" s="30"/>
      <c r="AB684" s="30"/>
      <c r="AC684" s="30"/>
      <c r="AD684" s="30"/>
      <c r="AE684" s="30"/>
      <c r="AF684" s="32"/>
      <c r="AG684" s="33"/>
      <c r="AH684" s="33"/>
      <c r="AI684" s="29"/>
      <c r="AJ684" s="32"/>
      <c r="AK684" s="32"/>
      <c r="AL684" s="29"/>
      <c r="AN684" s="34" t="str">
        <f aca="false">IF($B684="","",IF(OR(C684="",D684="",E684="",G684="",I684="",J684="",L684="",O684="",P684=""),"Champ obligatoire manquant",IF(OR(AND(N684&lt;&gt;"",N684&gt;O684),O684&gt;P684,AND(Q684&lt;&gt;"",Q684&lt;P684),AND(R684&lt;&gt;"",R684&lt;P684),AND(S684&lt;&gt;"",S684&lt;R684),AND(S684&lt;&gt;"",R684=""),AND(T684&lt;&gt;"",T684&lt;O684),AND(U684&lt;&gt;"",U684&lt;O684)),"Chronologie incohérente",IF(AND(OR(L684="Résolu",L684="Clos"),R684=""),"Date de résolution manquante",IF(AND(L684="Clos",S684=""),"Date de clôture manquante",IF(AND(K684="Oui",AC684=""),"Classification DORA manquante","OK"))))))</f>
        <v/>
      </c>
      <c r="AO684" s="35" t="str">
        <f aca="false">IF($B684="","",IF(AND(C684="Incident",L684&lt;&gt;"Annulé"),1,0))</f>
        <v/>
      </c>
      <c r="AP684" s="35" t="str">
        <f aca="false">IF($B684="","",IF(AND(C684="Quasi-incident",L684&lt;&gt;"Annulé"),1,0))</f>
        <v/>
      </c>
      <c r="AQ684" s="35" t="str">
        <f aca="false">IF($B684="","",AO684+AP684)</f>
        <v/>
      </c>
      <c r="AR684" s="36" t="str">
        <f aca="false">IF(OR($B684="",J684=""),"",IFERROR(VALUE(LEFT(J684,1)),""))</f>
        <v/>
      </c>
      <c r="AS684" s="35" t="str">
        <f aca="false">IF(OR(AO684&lt;&gt;1,G684=""),"",IFERROR(IF(INDEX(L_SrcInterne,MATCH(G684,L_Sources,0))="Oui",1,0),""))</f>
        <v/>
      </c>
      <c r="AT684" s="37" t="str">
        <f aca="false">IF(AO684&lt;&gt;1,"",IFERROR(ROUND(IF(OR(N684="",O684=""),"",IF(O684&lt;N684,"",ROUND(((NETWORKDAYS(N684,O684,JoursFeries)-1)*(HFer-HOuv)+IF(NETWORKDAYS(O684,O684,JoursFeries),MEDIAN(MOD(O684,1),HFer,HOuv),HFer)-IF(NETWORKDAYS(N684,N684,JoursFeries),MEDIAN(MOD(N684,1),HFer,HOuv),HOuv))*24,4)))/HJour,4),""))</f>
        <v/>
      </c>
      <c r="AU684" s="37" t="str">
        <f aca="false">IF(AO684&lt;&gt;1,"",IF(OR(O684="",P684=""),"",IF(P684&lt;O684,"",ROUND(((NETWORKDAYS(O684,P684,JoursFeries)-1)*(HFer-HOuv)+IF(NETWORKDAYS(P684,P684,JoursFeries),MEDIAN(MOD(P684,1),HFer,HOuv),HFer)-IF(NETWORKDAYS(O684,O684,JoursFeries),MEDIAN(MOD(O684,1),HFer,HOuv),HOuv))*24,4))))</f>
        <v/>
      </c>
      <c r="AV684" s="37" t="str">
        <f aca="false">IF(AO684&lt;&gt;1,"",IF(OR(P684="",Q684=""),"",IF(Q684&lt;P684,"",ROUND(((NETWORKDAYS(P684,Q684,JoursFeries)-1)*(HFer-HOuv)+IF(NETWORKDAYS(Q684,Q684,JoursFeries),MEDIAN(MOD(Q684,1),HFer,HOuv),HFer)-IF(NETWORKDAYS(P684,P684,JoursFeries),MEDIAN(MOD(P684,1),HFer,HOuv),HOuv))*24,4))))</f>
        <v/>
      </c>
      <c r="AW684" s="37" t="str">
        <f aca="false">IF(AO684&lt;&gt;1,"",IFERROR(ROUND(IF(OR(P684="",R684=""),"",IF(R684&lt;P684,"",ROUND(((NETWORKDAYS(P684,R684,JoursFeries)-1)*(HFer-HOuv)+IF(NETWORKDAYS(R684,R684,JoursFeries),MEDIAN(MOD(R684,1),HFer,HOuv),HFer)-IF(NETWORKDAYS(P684,P684,JoursFeries),MEDIAN(MOD(P684,1),HFer,HOuv),HOuv))*24,4)))/HJour,4),""))</f>
        <v/>
      </c>
      <c r="AX684" s="37" t="str">
        <f aca="false">IF(AO684&lt;&gt;1,"",IFERROR(ROUND(IF(OR(P684="",S684=""),"",IF(S684&lt;P684,"",ROUND(((NETWORKDAYS(P684,S684,JoursFeries)-1)*(HFer-HOuv)+IF(NETWORKDAYS(S684,S684,JoursFeries),MEDIAN(MOD(S684,1),HFer,HOuv),HFer)-IF(NETWORKDAYS(P684,P684,JoursFeries),MEDIAN(MOD(P684,1),HFer,HOuv),HOuv))*24,4)))/HJour,4),""))</f>
        <v/>
      </c>
      <c r="AY684" s="36" t="str">
        <f aca="false">IF(OR(AO684&lt;&gt;1,AR684=""),"",INDEX(SLA_PEC,AR684))</f>
        <v/>
      </c>
      <c r="AZ684" s="35" t="str">
        <f aca="false">IF(OR(AV684="",AY684=""),"",IF(AV684&lt;=AY684,1,0))</f>
        <v/>
      </c>
      <c r="BA684" s="36" t="str">
        <f aca="false">IF(OR(AO684&lt;&gt;1,AR684=""),"",INDEX(SLA_RES,AR684))</f>
        <v/>
      </c>
      <c r="BB684" s="35" t="str">
        <f aca="false">IF(OR(AW684="",BA684=""),"",IF(AW684&lt;=BA684,1,0))</f>
        <v/>
      </c>
      <c r="BC684" s="38" t="str">
        <f aca="false">IF(OR(BA684="",P684=""),"",WORKDAY(INT(P684),BA684,JoursFeries)+MOD(P684,1))</f>
        <v/>
      </c>
      <c r="BD684" s="39" t="str">
        <f aca="false">IF(AO684&lt;&gt;1,"",IF(OR(AB684&lt;&gt;"",AD684&lt;&gt;""),4,IF(U684&lt;&gt;"",3,IF(T684&lt;&gt;"",2,1))))</f>
        <v/>
      </c>
      <c r="BE684" s="39" t="str">
        <f aca="false">IF(OR(AO684&lt;&gt;1,AR684=""),"",INDEX(NIV_REQ,AR684))</f>
        <v/>
      </c>
      <c r="BF684" s="39" t="str">
        <f aca="false">IF(BE684="","",MAX(BE684,IF(OR(K684="Oui",Z684="Oui"),4,1)))</f>
        <v/>
      </c>
      <c r="BG684" s="35" t="str">
        <f aca="false">IF(OR(BF684="",BD684=""),"",IF(BD684&gt;=BF684,1,0))</f>
        <v/>
      </c>
      <c r="BH684" s="38" t="str">
        <f aca="false">IF(BE684="","",IF(BE684&lt;2,"",IF(BE684=2,IF(AND(T684="",U684=""),"",MIN(T684,U684)),IF(U684="","",U684))))</f>
        <v/>
      </c>
      <c r="BI684" s="37" t="str">
        <f aca="false">IF(BH684="","",IF(OR(O684="",BH684=""),"",IF(BH684&lt;O684,"",ROUND(((NETWORKDAYS(O684,BH684,JoursFeries)-1)*(HFer-HOuv)+IF(NETWORKDAYS(BH684,BH684,JoursFeries),MEDIAN(MOD(BH684,1),HFer,HOuv),HFer)-IF(NETWORKDAYS(O684,O684,JoursFeries),MEDIAN(MOD(O684,1),HFer,HOuv),HOuv))*24,4))))</f>
        <v/>
      </c>
      <c r="BJ684" s="35" t="str">
        <f aca="false">IF(OR(BI684="",AR684=""),"",IF(BI684&lt;=INDEX(DELAI_ESC,AR684),1,0))</f>
        <v/>
      </c>
      <c r="BK684" s="38" t="str">
        <f aca="false">IF(AO684&lt;&gt;1,"",IF(AND(T684="",U684=""),"",MIN(T684,U684)))</f>
        <v/>
      </c>
      <c r="BL684" s="37" t="str">
        <f aca="false">IF(OR(BK684="",R684=""),"",IFERROR(ROUND(IF(OR(BK684="",R684=""),"",IF(R684&lt;BK684,"",ROUND(((NETWORKDAYS(BK684,R684,JoursFeries)-1)*(HFer-HOuv)+IF(NETWORKDAYS(R684,R684,JoursFeries),MEDIAN(MOD(R684,1),HFer,HOuv),HFer)-IF(NETWORKDAYS(BK684,BK684,JoursFeries),MEDIAN(MOD(BK684,1),HFer,HOuv),HOuv))*24,4)))/HJour,4),""))</f>
        <v/>
      </c>
      <c r="BM684" s="35" t="str">
        <f aca="false">IF(OR(AO684&lt;&gt;1,R684=""),"",IF(BD684=1,1,0))</f>
        <v/>
      </c>
      <c r="BN684" s="35" t="str">
        <f aca="false">IF(AO684&lt;&gt;1,"",IF(W684="Oui",1,0))</f>
        <v/>
      </c>
      <c r="BO684" s="35" t="str">
        <f aca="false">IF(AO684&lt;&gt;1,"",IF(X684&lt;&gt;"",1,0))</f>
        <v/>
      </c>
      <c r="BP684" s="35" t="str">
        <f aca="false">IF(AO684&lt;&gt;1,"",IF(Y684="Oui",1,0))</f>
        <v/>
      </c>
      <c r="BQ684" s="35" t="str">
        <f aca="true">IF(OR(AO684&lt;&gt;1,Z684&lt;&gt;"Oui"),"",IF(AB684="",IF(AND(AA684&lt;&gt;"",NOW()&gt;AA684),0,""),IF(AA684="","",IF(AB684&lt;=AA684,1,0))))</f>
        <v/>
      </c>
      <c r="BR684" s="38" t="str">
        <f aca="false">IF(OR(AO684&lt;&gt;1,K684&lt;&gt;"Oui",O684=""),"",IF(AC684="",O684+DORA_H_DET/24,IF(AC684-O684&lt;=DORA_H_DET/24,MIN(AC684+DORA_H_CLA/24,O684+DORA_H_DET/24),AC684+DORA_H_CLA/24)))</f>
        <v/>
      </c>
      <c r="BS684" s="35" t="str">
        <f aca="true">IF(BR684="","",IF(AD684="",IF(NOW()&gt;BR684,0,""),IF(AD684&lt;=BR684,1,0)))</f>
        <v/>
      </c>
      <c r="BT684" s="35" t="str">
        <f aca="true">IF(OR(BR684="",AD684=""),"",IF(AE684="",IF(NOW()&gt;AD684+DORA_H_INT/24,0,""),IF(AE684&lt;=AD684+DORA_H_INT/24,1,0)))</f>
        <v/>
      </c>
      <c r="BU684" s="35" t="str">
        <f aca="true">IF(OR(BR684="",AE684=""),"",IF(AF684="",IF(NOW()&gt;EDATE(AE684,DORA_M_FIN)+1,0,""),IF(AF684&lt;=EDATE(AE684,DORA_M_FIN),1,0)))</f>
        <v/>
      </c>
      <c r="BV684" s="35" t="str">
        <f aca="false">IF(BR684="","",IF(COUNT(BS684:BU684)=0,"",MIN(BS684:BU684)))</f>
        <v/>
      </c>
      <c r="BW684" s="40" t="str">
        <f aca="false">IF(AQ684&lt;&gt;1,"",IF(AND(AG684="",AH684=""),"",N(AG684)-N(AH684)))</f>
        <v/>
      </c>
      <c r="BX684" s="35" t="str">
        <f aca="true">IF(OR(AQ684&lt;&gt;1,AI684&lt;&gt;"Oui",AJ684=""),"",IF(AK684="",IF(NOW()&gt;AJ684+1,0,""),IF(AK684&lt;=AJ684,1,0)))</f>
        <v/>
      </c>
    </row>
    <row r="685" customFormat="false" ht="15" hidden="false" customHeight="false" outlineLevel="0" collapsed="false">
      <c r="B685" s="29"/>
      <c r="C685" s="29"/>
      <c r="D685" s="29"/>
      <c r="E685" s="29"/>
      <c r="F685" s="29"/>
      <c r="G685" s="29"/>
      <c r="H685" s="29"/>
      <c r="I685" s="29"/>
      <c r="J685" s="29"/>
      <c r="K685" s="29"/>
      <c r="L685" s="29"/>
      <c r="M685" s="29"/>
      <c r="N685" s="30"/>
      <c r="O685" s="30"/>
      <c r="P685" s="30"/>
      <c r="Q685" s="30"/>
      <c r="R685" s="30"/>
      <c r="S685" s="30"/>
      <c r="T685" s="30"/>
      <c r="U685" s="30"/>
      <c r="V685" s="31"/>
      <c r="W685" s="29"/>
      <c r="X685" s="29"/>
      <c r="Y685" s="29"/>
      <c r="Z685" s="29"/>
      <c r="AA685" s="30"/>
      <c r="AB685" s="30"/>
      <c r="AC685" s="30"/>
      <c r="AD685" s="30"/>
      <c r="AE685" s="30"/>
      <c r="AF685" s="32"/>
      <c r="AG685" s="33"/>
      <c r="AH685" s="33"/>
      <c r="AI685" s="29"/>
      <c r="AJ685" s="32"/>
      <c r="AK685" s="32"/>
      <c r="AL685" s="29"/>
      <c r="AN685" s="34" t="str">
        <f aca="false">IF($B685="","",IF(OR(C685="",D685="",E685="",G685="",I685="",J685="",L685="",O685="",P685=""),"Champ obligatoire manquant",IF(OR(AND(N685&lt;&gt;"",N685&gt;O685),O685&gt;P685,AND(Q685&lt;&gt;"",Q685&lt;P685),AND(R685&lt;&gt;"",R685&lt;P685),AND(S685&lt;&gt;"",S685&lt;R685),AND(S685&lt;&gt;"",R685=""),AND(T685&lt;&gt;"",T685&lt;O685),AND(U685&lt;&gt;"",U685&lt;O685)),"Chronologie incohérente",IF(AND(OR(L685="Résolu",L685="Clos"),R685=""),"Date de résolution manquante",IF(AND(L685="Clos",S685=""),"Date de clôture manquante",IF(AND(K685="Oui",AC685=""),"Classification DORA manquante","OK"))))))</f>
        <v/>
      </c>
      <c r="AO685" s="35" t="str">
        <f aca="false">IF($B685="","",IF(AND(C685="Incident",L685&lt;&gt;"Annulé"),1,0))</f>
        <v/>
      </c>
      <c r="AP685" s="35" t="str">
        <f aca="false">IF($B685="","",IF(AND(C685="Quasi-incident",L685&lt;&gt;"Annulé"),1,0))</f>
        <v/>
      </c>
      <c r="AQ685" s="35" t="str">
        <f aca="false">IF($B685="","",AO685+AP685)</f>
        <v/>
      </c>
      <c r="AR685" s="36" t="str">
        <f aca="false">IF(OR($B685="",J685=""),"",IFERROR(VALUE(LEFT(J685,1)),""))</f>
        <v/>
      </c>
      <c r="AS685" s="35" t="str">
        <f aca="false">IF(OR(AO685&lt;&gt;1,G685=""),"",IFERROR(IF(INDEX(L_SrcInterne,MATCH(G685,L_Sources,0))="Oui",1,0),""))</f>
        <v/>
      </c>
      <c r="AT685" s="37" t="str">
        <f aca="false">IF(AO685&lt;&gt;1,"",IFERROR(ROUND(IF(OR(N685="",O685=""),"",IF(O685&lt;N685,"",ROUND(((NETWORKDAYS(N685,O685,JoursFeries)-1)*(HFer-HOuv)+IF(NETWORKDAYS(O685,O685,JoursFeries),MEDIAN(MOD(O685,1),HFer,HOuv),HFer)-IF(NETWORKDAYS(N685,N685,JoursFeries),MEDIAN(MOD(N685,1),HFer,HOuv),HOuv))*24,4)))/HJour,4),""))</f>
        <v/>
      </c>
      <c r="AU685" s="37" t="str">
        <f aca="false">IF(AO685&lt;&gt;1,"",IF(OR(O685="",P685=""),"",IF(P685&lt;O685,"",ROUND(((NETWORKDAYS(O685,P685,JoursFeries)-1)*(HFer-HOuv)+IF(NETWORKDAYS(P685,P685,JoursFeries),MEDIAN(MOD(P685,1),HFer,HOuv),HFer)-IF(NETWORKDAYS(O685,O685,JoursFeries),MEDIAN(MOD(O685,1),HFer,HOuv),HOuv))*24,4))))</f>
        <v/>
      </c>
      <c r="AV685" s="37" t="str">
        <f aca="false">IF(AO685&lt;&gt;1,"",IF(OR(P685="",Q685=""),"",IF(Q685&lt;P685,"",ROUND(((NETWORKDAYS(P685,Q685,JoursFeries)-1)*(HFer-HOuv)+IF(NETWORKDAYS(Q685,Q685,JoursFeries),MEDIAN(MOD(Q685,1),HFer,HOuv),HFer)-IF(NETWORKDAYS(P685,P685,JoursFeries),MEDIAN(MOD(P685,1),HFer,HOuv),HOuv))*24,4))))</f>
        <v/>
      </c>
      <c r="AW685" s="37" t="str">
        <f aca="false">IF(AO685&lt;&gt;1,"",IFERROR(ROUND(IF(OR(P685="",R685=""),"",IF(R685&lt;P685,"",ROUND(((NETWORKDAYS(P685,R685,JoursFeries)-1)*(HFer-HOuv)+IF(NETWORKDAYS(R685,R685,JoursFeries),MEDIAN(MOD(R685,1),HFer,HOuv),HFer)-IF(NETWORKDAYS(P685,P685,JoursFeries),MEDIAN(MOD(P685,1),HFer,HOuv),HOuv))*24,4)))/HJour,4),""))</f>
        <v/>
      </c>
      <c r="AX685" s="37" t="str">
        <f aca="false">IF(AO685&lt;&gt;1,"",IFERROR(ROUND(IF(OR(P685="",S685=""),"",IF(S685&lt;P685,"",ROUND(((NETWORKDAYS(P685,S685,JoursFeries)-1)*(HFer-HOuv)+IF(NETWORKDAYS(S685,S685,JoursFeries),MEDIAN(MOD(S685,1),HFer,HOuv),HFer)-IF(NETWORKDAYS(P685,P685,JoursFeries),MEDIAN(MOD(P685,1),HFer,HOuv),HOuv))*24,4)))/HJour,4),""))</f>
        <v/>
      </c>
      <c r="AY685" s="36" t="str">
        <f aca="false">IF(OR(AO685&lt;&gt;1,AR685=""),"",INDEX(SLA_PEC,AR685))</f>
        <v/>
      </c>
      <c r="AZ685" s="35" t="str">
        <f aca="false">IF(OR(AV685="",AY685=""),"",IF(AV685&lt;=AY685,1,0))</f>
        <v/>
      </c>
      <c r="BA685" s="36" t="str">
        <f aca="false">IF(OR(AO685&lt;&gt;1,AR685=""),"",INDEX(SLA_RES,AR685))</f>
        <v/>
      </c>
      <c r="BB685" s="35" t="str">
        <f aca="false">IF(OR(AW685="",BA685=""),"",IF(AW685&lt;=BA685,1,0))</f>
        <v/>
      </c>
      <c r="BC685" s="38" t="str">
        <f aca="false">IF(OR(BA685="",P685=""),"",WORKDAY(INT(P685),BA685,JoursFeries)+MOD(P685,1))</f>
        <v/>
      </c>
      <c r="BD685" s="39" t="str">
        <f aca="false">IF(AO685&lt;&gt;1,"",IF(OR(AB685&lt;&gt;"",AD685&lt;&gt;""),4,IF(U685&lt;&gt;"",3,IF(T685&lt;&gt;"",2,1))))</f>
        <v/>
      </c>
      <c r="BE685" s="39" t="str">
        <f aca="false">IF(OR(AO685&lt;&gt;1,AR685=""),"",INDEX(NIV_REQ,AR685))</f>
        <v/>
      </c>
      <c r="BF685" s="39" t="str">
        <f aca="false">IF(BE685="","",MAX(BE685,IF(OR(K685="Oui",Z685="Oui"),4,1)))</f>
        <v/>
      </c>
      <c r="BG685" s="35" t="str">
        <f aca="false">IF(OR(BF685="",BD685=""),"",IF(BD685&gt;=BF685,1,0))</f>
        <v/>
      </c>
      <c r="BH685" s="38" t="str">
        <f aca="false">IF(BE685="","",IF(BE685&lt;2,"",IF(BE685=2,IF(AND(T685="",U685=""),"",MIN(T685,U685)),IF(U685="","",U685))))</f>
        <v/>
      </c>
      <c r="BI685" s="37" t="str">
        <f aca="false">IF(BH685="","",IF(OR(O685="",BH685=""),"",IF(BH685&lt;O685,"",ROUND(((NETWORKDAYS(O685,BH685,JoursFeries)-1)*(HFer-HOuv)+IF(NETWORKDAYS(BH685,BH685,JoursFeries),MEDIAN(MOD(BH685,1),HFer,HOuv),HFer)-IF(NETWORKDAYS(O685,O685,JoursFeries),MEDIAN(MOD(O685,1),HFer,HOuv),HOuv))*24,4))))</f>
        <v/>
      </c>
      <c r="BJ685" s="35" t="str">
        <f aca="false">IF(OR(BI685="",AR685=""),"",IF(BI685&lt;=INDEX(DELAI_ESC,AR685),1,0))</f>
        <v/>
      </c>
      <c r="BK685" s="38" t="str">
        <f aca="false">IF(AO685&lt;&gt;1,"",IF(AND(T685="",U685=""),"",MIN(T685,U685)))</f>
        <v/>
      </c>
      <c r="BL685" s="37" t="str">
        <f aca="false">IF(OR(BK685="",R685=""),"",IFERROR(ROUND(IF(OR(BK685="",R685=""),"",IF(R685&lt;BK685,"",ROUND(((NETWORKDAYS(BK685,R685,JoursFeries)-1)*(HFer-HOuv)+IF(NETWORKDAYS(R685,R685,JoursFeries),MEDIAN(MOD(R685,1),HFer,HOuv),HFer)-IF(NETWORKDAYS(BK685,BK685,JoursFeries),MEDIAN(MOD(BK685,1),HFer,HOuv),HOuv))*24,4)))/HJour,4),""))</f>
        <v/>
      </c>
      <c r="BM685" s="35" t="str">
        <f aca="false">IF(OR(AO685&lt;&gt;1,R685=""),"",IF(BD685=1,1,0))</f>
        <v/>
      </c>
      <c r="BN685" s="35" t="str">
        <f aca="false">IF(AO685&lt;&gt;1,"",IF(W685="Oui",1,0))</f>
        <v/>
      </c>
      <c r="BO685" s="35" t="str">
        <f aca="false">IF(AO685&lt;&gt;1,"",IF(X685&lt;&gt;"",1,0))</f>
        <v/>
      </c>
      <c r="BP685" s="35" t="str">
        <f aca="false">IF(AO685&lt;&gt;1,"",IF(Y685="Oui",1,0))</f>
        <v/>
      </c>
      <c r="BQ685" s="35" t="str">
        <f aca="true">IF(OR(AO685&lt;&gt;1,Z685&lt;&gt;"Oui"),"",IF(AB685="",IF(AND(AA685&lt;&gt;"",NOW()&gt;AA685),0,""),IF(AA685="","",IF(AB685&lt;=AA685,1,0))))</f>
        <v/>
      </c>
      <c r="BR685" s="38" t="str">
        <f aca="false">IF(OR(AO685&lt;&gt;1,K685&lt;&gt;"Oui",O685=""),"",IF(AC685="",O685+DORA_H_DET/24,IF(AC685-O685&lt;=DORA_H_DET/24,MIN(AC685+DORA_H_CLA/24,O685+DORA_H_DET/24),AC685+DORA_H_CLA/24)))</f>
        <v/>
      </c>
      <c r="BS685" s="35" t="str">
        <f aca="true">IF(BR685="","",IF(AD685="",IF(NOW()&gt;BR685,0,""),IF(AD685&lt;=BR685,1,0)))</f>
        <v/>
      </c>
      <c r="BT685" s="35" t="str">
        <f aca="true">IF(OR(BR685="",AD685=""),"",IF(AE685="",IF(NOW()&gt;AD685+DORA_H_INT/24,0,""),IF(AE685&lt;=AD685+DORA_H_INT/24,1,0)))</f>
        <v/>
      </c>
      <c r="BU685" s="35" t="str">
        <f aca="true">IF(OR(BR685="",AE685=""),"",IF(AF685="",IF(NOW()&gt;EDATE(AE685,DORA_M_FIN)+1,0,""),IF(AF685&lt;=EDATE(AE685,DORA_M_FIN),1,0)))</f>
        <v/>
      </c>
      <c r="BV685" s="35" t="str">
        <f aca="false">IF(BR685="","",IF(COUNT(BS685:BU685)=0,"",MIN(BS685:BU685)))</f>
        <v/>
      </c>
      <c r="BW685" s="40" t="str">
        <f aca="false">IF(AQ685&lt;&gt;1,"",IF(AND(AG685="",AH685=""),"",N(AG685)-N(AH685)))</f>
        <v/>
      </c>
      <c r="BX685" s="35" t="str">
        <f aca="true">IF(OR(AQ685&lt;&gt;1,AI685&lt;&gt;"Oui",AJ685=""),"",IF(AK685="",IF(NOW()&gt;AJ685+1,0,""),IF(AK685&lt;=AJ685,1,0)))</f>
        <v/>
      </c>
    </row>
    <row r="686" customFormat="false" ht="15" hidden="false" customHeight="false" outlineLevel="0" collapsed="false">
      <c r="B686" s="29"/>
      <c r="C686" s="29"/>
      <c r="D686" s="29"/>
      <c r="E686" s="29"/>
      <c r="F686" s="29"/>
      <c r="G686" s="29"/>
      <c r="H686" s="29"/>
      <c r="I686" s="29"/>
      <c r="J686" s="29"/>
      <c r="K686" s="29"/>
      <c r="L686" s="29"/>
      <c r="M686" s="29"/>
      <c r="N686" s="30"/>
      <c r="O686" s="30"/>
      <c r="P686" s="30"/>
      <c r="Q686" s="30"/>
      <c r="R686" s="30"/>
      <c r="S686" s="30"/>
      <c r="T686" s="30"/>
      <c r="U686" s="30"/>
      <c r="V686" s="31"/>
      <c r="W686" s="29"/>
      <c r="X686" s="29"/>
      <c r="Y686" s="29"/>
      <c r="Z686" s="29"/>
      <c r="AA686" s="30"/>
      <c r="AB686" s="30"/>
      <c r="AC686" s="30"/>
      <c r="AD686" s="30"/>
      <c r="AE686" s="30"/>
      <c r="AF686" s="32"/>
      <c r="AG686" s="33"/>
      <c r="AH686" s="33"/>
      <c r="AI686" s="29"/>
      <c r="AJ686" s="32"/>
      <c r="AK686" s="32"/>
      <c r="AL686" s="29"/>
      <c r="AN686" s="34" t="str">
        <f aca="false">IF($B686="","",IF(OR(C686="",D686="",E686="",G686="",I686="",J686="",L686="",O686="",P686=""),"Champ obligatoire manquant",IF(OR(AND(N686&lt;&gt;"",N686&gt;O686),O686&gt;P686,AND(Q686&lt;&gt;"",Q686&lt;P686),AND(R686&lt;&gt;"",R686&lt;P686),AND(S686&lt;&gt;"",S686&lt;R686),AND(S686&lt;&gt;"",R686=""),AND(T686&lt;&gt;"",T686&lt;O686),AND(U686&lt;&gt;"",U686&lt;O686)),"Chronologie incohérente",IF(AND(OR(L686="Résolu",L686="Clos"),R686=""),"Date de résolution manquante",IF(AND(L686="Clos",S686=""),"Date de clôture manquante",IF(AND(K686="Oui",AC686=""),"Classification DORA manquante","OK"))))))</f>
        <v/>
      </c>
      <c r="AO686" s="35" t="str">
        <f aca="false">IF($B686="","",IF(AND(C686="Incident",L686&lt;&gt;"Annulé"),1,0))</f>
        <v/>
      </c>
      <c r="AP686" s="35" t="str">
        <f aca="false">IF($B686="","",IF(AND(C686="Quasi-incident",L686&lt;&gt;"Annulé"),1,0))</f>
        <v/>
      </c>
      <c r="AQ686" s="35" t="str">
        <f aca="false">IF($B686="","",AO686+AP686)</f>
        <v/>
      </c>
      <c r="AR686" s="36" t="str">
        <f aca="false">IF(OR($B686="",J686=""),"",IFERROR(VALUE(LEFT(J686,1)),""))</f>
        <v/>
      </c>
      <c r="AS686" s="35" t="str">
        <f aca="false">IF(OR(AO686&lt;&gt;1,G686=""),"",IFERROR(IF(INDEX(L_SrcInterne,MATCH(G686,L_Sources,0))="Oui",1,0),""))</f>
        <v/>
      </c>
      <c r="AT686" s="37" t="str">
        <f aca="false">IF(AO686&lt;&gt;1,"",IFERROR(ROUND(IF(OR(N686="",O686=""),"",IF(O686&lt;N686,"",ROUND(((NETWORKDAYS(N686,O686,JoursFeries)-1)*(HFer-HOuv)+IF(NETWORKDAYS(O686,O686,JoursFeries),MEDIAN(MOD(O686,1),HFer,HOuv),HFer)-IF(NETWORKDAYS(N686,N686,JoursFeries),MEDIAN(MOD(N686,1),HFer,HOuv),HOuv))*24,4)))/HJour,4),""))</f>
        <v/>
      </c>
      <c r="AU686" s="37" t="str">
        <f aca="false">IF(AO686&lt;&gt;1,"",IF(OR(O686="",P686=""),"",IF(P686&lt;O686,"",ROUND(((NETWORKDAYS(O686,P686,JoursFeries)-1)*(HFer-HOuv)+IF(NETWORKDAYS(P686,P686,JoursFeries),MEDIAN(MOD(P686,1),HFer,HOuv),HFer)-IF(NETWORKDAYS(O686,O686,JoursFeries),MEDIAN(MOD(O686,1),HFer,HOuv),HOuv))*24,4))))</f>
        <v/>
      </c>
      <c r="AV686" s="37" t="str">
        <f aca="false">IF(AO686&lt;&gt;1,"",IF(OR(P686="",Q686=""),"",IF(Q686&lt;P686,"",ROUND(((NETWORKDAYS(P686,Q686,JoursFeries)-1)*(HFer-HOuv)+IF(NETWORKDAYS(Q686,Q686,JoursFeries),MEDIAN(MOD(Q686,1),HFer,HOuv),HFer)-IF(NETWORKDAYS(P686,P686,JoursFeries),MEDIAN(MOD(P686,1),HFer,HOuv),HOuv))*24,4))))</f>
        <v/>
      </c>
      <c r="AW686" s="37" t="str">
        <f aca="false">IF(AO686&lt;&gt;1,"",IFERROR(ROUND(IF(OR(P686="",R686=""),"",IF(R686&lt;P686,"",ROUND(((NETWORKDAYS(P686,R686,JoursFeries)-1)*(HFer-HOuv)+IF(NETWORKDAYS(R686,R686,JoursFeries),MEDIAN(MOD(R686,1),HFer,HOuv),HFer)-IF(NETWORKDAYS(P686,P686,JoursFeries),MEDIAN(MOD(P686,1),HFer,HOuv),HOuv))*24,4)))/HJour,4),""))</f>
        <v/>
      </c>
      <c r="AX686" s="37" t="str">
        <f aca="false">IF(AO686&lt;&gt;1,"",IFERROR(ROUND(IF(OR(P686="",S686=""),"",IF(S686&lt;P686,"",ROUND(((NETWORKDAYS(P686,S686,JoursFeries)-1)*(HFer-HOuv)+IF(NETWORKDAYS(S686,S686,JoursFeries),MEDIAN(MOD(S686,1),HFer,HOuv),HFer)-IF(NETWORKDAYS(P686,P686,JoursFeries),MEDIAN(MOD(P686,1),HFer,HOuv),HOuv))*24,4)))/HJour,4),""))</f>
        <v/>
      </c>
      <c r="AY686" s="36" t="str">
        <f aca="false">IF(OR(AO686&lt;&gt;1,AR686=""),"",INDEX(SLA_PEC,AR686))</f>
        <v/>
      </c>
      <c r="AZ686" s="35" t="str">
        <f aca="false">IF(OR(AV686="",AY686=""),"",IF(AV686&lt;=AY686,1,0))</f>
        <v/>
      </c>
      <c r="BA686" s="36" t="str">
        <f aca="false">IF(OR(AO686&lt;&gt;1,AR686=""),"",INDEX(SLA_RES,AR686))</f>
        <v/>
      </c>
      <c r="BB686" s="35" t="str">
        <f aca="false">IF(OR(AW686="",BA686=""),"",IF(AW686&lt;=BA686,1,0))</f>
        <v/>
      </c>
      <c r="BC686" s="38" t="str">
        <f aca="false">IF(OR(BA686="",P686=""),"",WORKDAY(INT(P686),BA686,JoursFeries)+MOD(P686,1))</f>
        <v/>
      </c>
      <c r="BD686" s="39" t="str">
        <f aca="false">IF(AO686&lt;&gt;1,"",IF(OR(AB686&lt;&gt;"",AD686&lt;&gt;""),4,IF(U686&lt;&gt;"",3,IF(T686&lt;&gt;"",2,1))))</f>
        <v/>
      </c>
      <c r="BE686" s="39" t="str">
        <f aca="false">IF(OR(AO686&lt;&gt;1,AR686=""),"",INDEX(NIV_REQ,AR686))</f>
        <v/>
      </c>
      <c r="BF686" s="39" t="str">
        <f aca="false">IF(BE686="","",MAX(BE686,IF(OR(K686="Oui",Z686="Oui"),4,1)))</f>
        <v/>
      </c>
      <c r="BG686" s="35" t="str">
        <f aca="false">IF(OR(BF686="",BD686=""),"",IF(BD686&gt;=BF686,1,0))</f>
        <v/>
      </c>
      <c r="BH686" s="38" t="str">
        <f aca="false">IF(BE686="","",IF(BE686&lt;2,"",IF(BE686=2,IF(AND(T686="",U686=""),"",MIN(T686,U686)),IF(U686="","",U686))))</f>
        <v/>
      </c>
      <c r="BI686" s="37" t="str">
        <f aca="false">IF(BH686="","",IF(OR(O686="",BH686=""),"",IF(BH686&lt;O686,"",ROUND(((NETWORKDAYS(O686,BH686,JoursFeries)-1)*(HFer-HOuv)+IF(NETWORKDAYS(BH686,BH686,JoursFeries),MEDIAN(MOD(BH686,1),HFer,HOuv),HFer)-IF(NETWORKDAYS(O686,O686,JoursFeries),MEDIAN(MOD(O686,1),HFer,HOuv),HOuv))*24,4))))</f>
        <v/>
      </c>
      <c r="BJ686" s="35" t="str">
        <f aca="false">IF(OR(BI686="",AR686=""),"",IF(BI686&lt;=INDEX(DELAI_ESC,AR686),1,0))</f>
        <v/>
      </c>
      <c r="BK686" s="38" t="str">
        <f aca="false">IF(AO686&lt;&gt;1,"",IF(AND(T686="",U686=""),"",MIN(T686,U686)))</f>
        <v/>
      </c>
      <c r="BL686" s="37" t="str">
        <f aca="false">IF(OR(BK686="",R686=""),"",IFERROR(ROUND(IF(OR(BK686="",R686=""),"",IF(R686&lt;BK686,"",ROUND(((NETWORKDAYS(BK686,R686,JoursFeries)-1)*(HFer-HOuv)+IF(NETWORKDAYS(R686,R686,JoursFeries),MEDIAN(MOD(R686,1),HFer,HOuv),HFer)-IF(NETWORKDAYS(BK686,BK686,JoursFeries),MEDIAN(MOD(BK686,1),HFer,HOuv),HOuv))*24,4)))/HJour,4),""))</f>
        <v/>
      </c>
      <c r="BM686" s="35" t="str">
        <f aca="false">IF(OR(AO686&lt;&gt;1,R686=""),"",IF(BD686=1,1,0))</f>
        <v/>
      </c>
      <c r="BN686" s="35" t="str">
        <f aca="false">IF(AO686&lt;&gt;1,"",IF(W686="Oui",1,0))</f>
        <v/>
      </c>
      <c r="BO686" s="35" t="str">
        <f aca="false">IF(AO686&lt;&gt;1,"",IF(X686&lt;&gt;"",1,0))</f>
        <v/>
      </c>
      <c r="BP686" s="35" t="str">
        <f aca="false">IF(AO686&lt;&gt;1,"",IF(Y686="Oui",1,0))</f>
        <v/>
      </c>
      <c r="BQ686" s="35" t="str">
        <f aca="true">IF(OR(AO686&lt;&gt;1,Z686&lt;&gt;"Oui"),"",IF(AB686="",IF(AND(AA686&lt;&gt;"",NOW()&gt;AA686),0,""),IF(AA686="","",IF(AB686&lt;=AA686,1,0))))</f>
        <v/>
      </c>
      <c r="BR686" s="38" t="str">
        <f aca="false">IF(OR(AO686&lt;&gt;1,K686&lt;&gt;"Oui",O686=""),"",IF(AC686="",O686+DORA_H_DET/24,IF(AC686-O686&lt;=DORA_H_DET/24,MIN(AC686+DORA_H_CLA/24,O686+DORA_H_DET/24),AC686+DORA_H_CLA/24)))</f>
        <v/>
      </c>
      <c r="BS686" s="35" t="str">
        <f aca="true">IF(BR686="","",IF(AD686="",IF(NOW()&gt;BR686,0,""),IF(AD686&lt;=BR686,1,0)))</f>
        <v/>
      </c>
      <c r="BT686" s="35" t="str">
        <f aca="true">IF(OR(BR686="",AD686=""),"",IF(AE686="",IF(NOW()&gt;AD686+DORA_H_INT/24,0,""),IF(AE686&lt;=AD686+DORA_H_INT/24,1,0)))</f>
        <v/>
      </c>
      <c r="BU686" s="35" t="str">
        <f aca="true">IF(OR(BR686="",AE686=""),"",IF(AF686="",IF(NOW()&gt;EDATE(AE686,DORA_M_FIN)+1,0,""),IF(AF686&lt;=EDATE(AE686,DORA_M_FIN),1,0)))</f>
        <v/>
      </c>
      <c r="BV686" s="35" t="str">
        <f aca="false">IF(BR686="","",IF(COUNT(BS686:BU686)=0,"",MIN(BS686:BU686)))</f>
        <v/>
      </c>
      <c r="BW686" s="40" t="str">
        <f aca="false">IF(AQ686&lt;&gt;1,"",IF(AND(AG686="",AH686=""),"",N(AG686)-N(AH686)))</f>
        <v/>
      </c>
      <c r="BX686" s="35" t="str">
        <f aca="true">IF(OR(AQ686&lt;&gt;1,AI686&lt;&gt;"Oui",AJ686=""),"",IF(AK686="",IF(NOW()&gt;AJ686+1,0,""),IF(AK686&lt;=AJ686,1,0)))</f>
        <v/>
      </c>
    </row>
    <row r="687" customFormat="false" ht="15" hidden="false" customHeight="false" outlineLevel="0" collapsed="false">
      <c r="B687" s="29"/>
      <c r="C687" s="29"/>
      <c r="D687" s="29"/>
      <c r="E687" s="29"/>
      <c r="F687" s="29"/>
      <c r="G687" s="29"/>
      <c r="H687" s="29"/>
      <c r="I687" s="29"/>
      <c r="J687" s="29"/>
      <c r="K687" s="29"/>
      <c r="L687" s="29"/>
      <c r="M687" s="29"/>
      <c r="N687" s="30"/>
      <c r="O687" s="30"/>
      <c r="P687" s="30"/>
      <c r="Q687" s="30"/>
      <c r="R687" s="30"/>
      <c r="S687" s="30"/>
      <c r="T687" s="30"/>
      <c r="U687" s="30"/>
      <c r="V687" s="31"/>
      <c r="W687" s="29"/>
      <c r="X687" s="29"/>
      <c r="Y687" s="29"/>
      <c r="Z687" s="29"/>
      <c r="AA687" s="30"/>
      <c r="AB687" s="30"/>
      <c r="AC687" s="30"/>
      <c r="AD687" s="30"/>
      <c r="AE687" s="30"/>
      <c r="AF687" s="32"/>
      <c r="AG687" s="33"/>
      <c r="AH687" s="33"/>
      <c r="AI687" s="29"/>
      <c r="AJ687" s="32"/>
      <c r="AK687" s="32"/>
      <c r="AL687" s="29"/>
      <c r="AN687" s="34" t="str">
        <f aca="false">IF($B687="","",IF(OR(C687="",D687="",E687="",G687="",I687="",J687="",L687="",O687="",P687=""),"Champ obligatoire manquant",IF(OR(AND(N687&lt;&gt;"",N687&gt;O687),O687&gt;P687,AND(Q687&lt;&gt;"",Q687&lt;P687),AND(R687&lt;&gt;"",R687&lt;P687),AND(S687&lt;&gt;"",S687&lt;R687),AND(S687&lt;&gt;"",R687=""),AND(T687&lt;&gt;"",T687&lt;O687),AND(U687&lt;&gt;"",U687&lt;O687)),"Chronologie incohérente",IF(AND(OR(L687="Résolu",L687="Clos"),R687=""),"Date de résolution manquante",IF(AND(L687="Clos",S687=""),"Date de clôture manquante",IF(AND(K687="Oui",AC687=""),"Classification DORA manquante","OK"))))))</f>
        <v/>
      </c>
      <c r="AO687" s="35" t="str">
        <f aca="false">IF($B687="","",IF(AND(C687="Incident",L687&lt;&gt;"Annulé"),1,0))</f>
        <v/>
      </c>
      <c r="AP687" s="35" t="str">
        <f aca="false">IF($B687="","",IF(AND(C687="Quasi-incident",L687&lt;&gt;"Annulé"),1,0))</f>
        <v/>
      </c>
      <c r="AQ687" s="35" t="str">
        <f aca="false">IF($B687="","",AO687+AP687)</f>
        <v/>
      </c>
      <c r="AR687" s="36" t="str">
        <f aca="false">IF(OR($B687="",J687=""),"",IFERROR(VALUE(LEFT(J687,1)),""))</f>
        <v/>
      </c>
      <c r="AS687" s="35" t="str">
        <f aca="false">IF(OR(AO687&lt;&gt;1,G687=""),"",IFERROR(IF(INDEX(L_SrcInterne,MATCH(G687,L_Sources,0))="Oui",1,0),""))</f>
        <v/>
      </c>
      <c r="AT687" s="37" t="str">
        <f aca="false">IF(AO687&lt;&gt;1,"",IFERROR(ROUND(IF(OR(N687="",O687=""),"",IF(O687&lt;N687,"",ROUND(((NETWORKDAYS(N687,O687,JoursFeries)-1)*(HFer-HOuv)+IF(NETWORKDAYS(O687,O687,JoursFeries),MEDIAN(MOD(O687,1),HFer,HOuv),HFer)-IF(NETWORKDAYS(N687,N687,JoursFeries),MEDIAN(MOD(N687,1),HFer,HOuv),HOuv))*24,4)))/HJour,4),""))</f>
        <v/>
      </c>
      <c r="AU687" s="37" t="str">
        <f aca="false">IF(AO687&lt;&gt;1,"",IF(OR(O687="",P687=""),"",IF(P687&lt;O687,"",ROUND(((NETWORKDAYS(O687,P687,JoursFeries)-1)*(HFer-HOuv)+IF(NETWORKDAYS(P687,P687,JoursFeries),MEDIAN(MOD(P687,1),HFer,HOuv),HFer)-IF(NETWORKDAYS(O687,O687,JoursFeries),MEDIAN(MOD(O687,1),HFer,HOuv),HOuv))*24,4))))</f>
        <v/>
      </c>
      <c r="AV687" s="37" t="str">
        <f aca="false">IF(AO687&lt;&gt;1,"",IF(OR(P687="",Q687=""),"",IF(Q687&lt;P687,"",ROUND(((NETWORKDAYS(P687,Q687,JoursFeries)-1)*(HFer-HOuv)+IF(NETWORKDAYS(Q687,Q687,JoursFeries),MEDIAN(MOD(Q687,1),HFer,HOuv),HFer)-IF(NETWORKDAYS(P687,P687,JoursFeries),MEDIAN(MOD(P687,1),HFer,HOuv),HOuv))*24,4))))</f>
        <v/>
      </c>
      <c r="AW687" s="37" t="str">
        <f aca="false">IF(AO687&lt;&gt;1,"",IFERROR(ROUND(IF(OR(P687="",R687=""),"",IF(R687&lt;P687,"",ROUND(((NETWORKDAYS(P687,R687,JoursFeries)-1)*(HFer-HOuv)+IF(NETWORKDAYS(R687,R687,JoursFeries),MEDIAN(MOD(R687,1),HFer,HOuv),HFer)-IF(NETWORKDAYS(P687,P687,JoursFeries),MEDIAN(MOD(P687,1),HFer,HOuv),HOuv))*24,4)))/HJour,4),""))</f>
        <v/>
      </c>
      <c r="AX687" s="37" t="str">
        <f aca="false">IF(AO687&lt;&gt;1,"",IFERROR(ROUND(IF(OR(P687="",S687=""),"",IF(S687&lt;P687,"",ROUND(((NETWORKDAYS(P687,S687,JoursFeries)-1)*(HFer-HOuv)+IF(NETWORKDAYS(S687,S687,JoursFeries),MEDIAN(MOD(S687,1),HFer,HOuv),HFer)-IF(NETWORKDAYS(P687,P687,JoursFeries),MEDIAN(MOD(P687,1),HFer,HOuv),HOuv))*24,4)))/HJour,4),""))</f>
        <v/>
      </c>
      <c r="AY687" s="36" t="str">
        <f aca="false">IF(OR(AO687&lt;&gt;1,AR687=""),"",INDEX(SLA_PEC,AR687))</f>
        <v/>
      </c>
      <c r="AZ687" s="35" t="str">
        <f aca="false">IF(OR(AV687="",AY687=""),"",IF(AV687&lt;=AY687,1,0))</f>
        <v/>
      </c>
      <c r="BA687" s="36" t="str">
        <f aca="false">IF(OR(AO687&lt;&gt;1,AR687=""),"",INDEX(SLA_RES,AR687))</f>
        <v/>
      </c>
      <c r="BB687" s="35" t="str">
        <f aca="false">IF(OR(AW687="",BA687=""),"",IF(AW687&lt;=BA687,1,0))</f>
        <v/>
      </c>
      <c r="BC687" s="38" t="str">
        <f aca="false">IF(OR(BA687="",P687=""),"",WORKDAY(INT(P687),BA687,JoursFeries)+MOD(P687,1))</f>
        <v/>
      </c>
      <c r="BD687" s="39" t="str">
        <f aca="false">IF(AO687&lt;&gt;1,"",IF(OR(AB687&lt;&gt;"",AD687&lt;&gt;""),4,IF(U687&lt;&gt;"",3,IF(T687&lt;&gt;"",2,1))))</f>
        <v/>
      </c>
      <c r="BE687" s="39" t="str">
        <f aca="false">IF(OR(AO687&lt;&gt;1,AR687=""),"",INDEX(NIV_REQ,AR687))</f>
        <v/>
      </c>
      <c r="BF687" s="39" t="str">
        <f aca="false">IF(BE687="","",MAX(BE687,IF(OR(K687="Oui",Z687="Oui"),4,1)))</f>
        <v/>
      </c>
      <c r="BG687" s="35" t="str">
        <f aca="false">IF(OR(BF687="",BD687=""),"",IF(BD687&gt;=BF687,1,0))</f>
        <v/>
      </c>
      <c r="BH687" s="38" t="str">
        <f aca="false">IF(BE687="","",IF(BE687&lt;2,"",IF(BE687=2,IF(AND(T687="",U687=""),"",MIN(T687,U687)),IF(U687="","",U687))))</f>
        <v/>
      </c>
      <c r="BI687" s="37" t="str">
        <f aca="false">IF(BH687="","",IF(OR(O687="",BH687=""),"",IF(BH687&lt;O687,"",ROUND(((NETWORKDAYS(O687,BH687,JoursFeries)-1)*(HFer-HOuv)+IF(NETWORKDAYS(BH687,BH687,JoursFeries),MEDIAN(MOD(BH687,1),HFer,HOuv),HFer)-IF(NETWORKDAYS(O687,O687,JoursFeries),MEDIAN(MOD(O687,1),HFer,HOuv),HOuv))*24,4))))</f>
        <v/>
      </c>
      <c r="BJ687" s="35" t="str">
        <f aca="false">IF(OR(BI687="",AR687=""),"",IF(BI687&lt;=INDEX(DELAI_ESC,AR687),1,0))</f>
        <v/>
      </c>
      <c r="BK687" s="38" t="str">
        <f aca="false">IF(AO687&lt;&gt;1,"",IF(AND(T687="",U687=""),"",MIN(T687,U687)))</f>
        <v/>
      </c>
      <c r="BL687" s="37" t="str">
        <f aca="false">IF(OR(BK687="",R687=""),"",IFERROR(ROUND(IF(OR(BK687="",R687=""),"",IF(R687&lt;BK687,"",ROUND(((NETWORKDAYS(BK687,R687,JoursFeries)-1)*(HFer-HOuv)+IF(NETWORKDAYS(R687,R687,JoursFeries),MEDIAN(MOD(R687,1),HFer,HOuv),HFer)-IF(NETWORKDAYS(BK687,BK687,JoursFeries),MEDIAN(MOD(BK687,1),HFer,HOuv),HOuv))*24,4)))/HJour,4),""))</f>
        <v/>
      </c>
      <c r="BM687" s="35" t="str">
        <f aca="false">IF(OR(AO687&lt;&gt;1,R687=""),"",IF(BD687=1,1,0))</f>
        <v/>
      </c>
      <c r="BN687" s="35" t="str">
        <f aca="false">IF(AO687&lt;&gt;1,"",IF(W687="Oui",1,0))</f>
        <v/>
      </c>
      <c r="BO687" s="35" t="str">
        <f aca="false">IF(AO687&lt;&gt;1,"",IF(X687&lt;&gt;"",1,0))</f>
        <v/>
      </c>
      <c r="BP687" s="35" t="str">
        <f aca="false">IF(AO687&lt;&gt;1,"",IF(Y687="Oui",1,0))</f>
        <v/>
      </c>
      <c r="BQ687" s="35" t="str">
        <f aca="true">IF(OR(AO687&lt;&gt;1,Z687&lt;&gt;"Oui"),"",IF(AB687="",IF(AND(AA687&lt;&gt;"",NOW()&gt;AA687),0,""),IF(AA687="","",IF(AB687&lt;=AA687,1,0))))</f>
        <v/>
      </c>
      <c r="BR687" s="38" t="str">
        <f aca="false">IF(OR(AO687&lt;&gt;1,K687&lt;&gt;"Oui",O687=""),"",IF(AC687="",O687+DORA_H_DET/24,IF(AC687-O687&lt;=DORA_H_DET/24,MIN(AC687+DORA_H_CLA/24,O687+DORA_H_DET/24),AC687+DORA_H_CLA/24)))</f>
        <v/>
      </c>
      <c r="BS687" s="35" t="str">
        <f aca="true">IF(BR687="","",IF(AD687="",IF(NOW()&gt;BR687,0,""),IF(AD687&lt;=BR687,1,0)))</f>
        <v/>
      </c>
      <c r="BT687" s="35" t="str">
        <f aca="true">IF(OR(BR687="",AD687=""),"",IF(AE687="",IF(NOW()&gt;AD687+DORA_H_INT/24,0,""),IF(AE687&lt;=AD687+DORA_H_INT/24,1,0)))</f>
        <v/>
      </c>
      <c r="BU687" s="35" t="str">
        <f aca="true">IF(OR(BR687="",AE687=""),"",IF(AF687="",IF(NOW()&gt;EDATE(AE687,DORA_M_FIN)+1,0,""),IF(AF687&lt;=EDATE(AE687,DORA_M_FIN),1,0)))</f>
        <v/>
      </c>
      <c r="BV687" s="35" t="str">
        <f aca="false">IF(BR687="","",IF(COUNT(BS687:BU687)=0,"",MIN(BS687:BU687)))</f>
        <v/>
      </c>
      <c r="BW687" s="40" t="str">
        <f aca="false">IF(AQ687&lt;&gt;1,"",IF(AND(AG687="",AH687=""),"",N(AG687)-N(AH687)))</f>
        <v/>
      </c>
      <c r="BX687" s="35" t="str">
        <f aca="true">IF(OR(AQ687&lt;&gt;1,AI687&lt;&gt;"Oui",AJ687=""),"",IF(AK687="",IF(NOW()&gt;AJ687+1,0,""),IF(AK687&lt;=AJ687,1,0)))</f>
        <v/>
      </c>
    </row>
    <row r="688" customFormat="false" ht="15" hidden="false" customHeight="false" outlineLevel="0" collapsed="false">
      <c r="B688" s="29"/>
      <c r="C688" s="29"/>
      <c r="D688" s="29"/>
      <c r="E688" s="29"/>
      <c r="F688" s="29"/>
      <c r="G688" s="29"/>
      <c r="H688" s="29"/>
      <c r="I688" s="29"/>
      <c r="J688" s="29"/>
      <c r="K688" s="29"/>
      <c r="L688" s="29"/>
      <c r="M688" s="29"/>
      <c r="N688" s="30"/>
      <c r="O688" s="30"/>
      <c r="P688" s="30"/>
      <c r="Q688" s="30"/>
      <c r="R688" s="30"/>
      <c r="S688" s="30"/>
      <c r="T688" s="30"/>
      <c r="U688" s="30"/>
      <c r="V688" s="31"/>
      <c r="W688" s="29"/>
      <c r="X688" s="29"/>
      <c r="Y688" s="29"/>
      <c r="Z688" s="29"/>
      <c r="AA688" s="30"/>
      <c r="AB688" s="30"/>
      <c r="AC688" s="30"/>
      <c r="AD688" s="30"/>
      <c r="AE688" s="30"/>
      <c r="AF688" s="32"/>
      <c r="AG688" s="33"/>
      <c r="AH688" s="33"/>
      <c r="AI688" s="29"/>
      <c r="AJ688" s="32"/>
      <c r="AK688" s="32"/>
      <c r="AL688" s="29"/>
      <c r="AN688" s="34" t="str">
        <f aca="false">IF($B688="","",IF(OR(C688="",D688="",E688="",G688="",I688="",J688="",L688="",O688="",P688=""),"Champ obligatoire manquant",IF(OR(AND(N688&lt;&gt;"",N688&gt;O688),O688&gt;P688,AND(Q688&lt;&gt;"",Q688&lt;P688),AND(R688&lt;&gt;"",R688&lt;P688),AND(S688&lt;&gt;"",S688&lt;R688),AND(S688&lt;&gt;"",R688=""),AND(T688&lt;&gt;"",T688&lt;O688),AND(U688&lt;&gt;"",U688&lt;O688)),"Chronologie incohérente",IF(AND(OR(L688="Résolu",L688="Clos"),R688=""),"Date de résolution manquante",IF(AND(L688="Clos",S688=""),"Date de clôture manquante",IF(AND(K688="Oui",AC688=""),"Classification DORA manquante","OK"))))))</f>
        <v/>
      </c>
      <c r="AO688" s="35" t="str">
        <f aca="false">IF($B688="","",IF(AND(C688="Incident",L688&lt;&gt;"Annulé"),1,0))</f>
        <v/>
      </c>
      <c r="AP688" s="35" t="str">
        <f aca="false">IF($B688="","",IF(AND(C688="Quasi-incident",L688&lt;&gt;"Annulé"),1,0))</f>
        <v/>
      </c>
      <c r="AQ688" s="35" t="str">
        <f aca="false">IF($B688="","",AO688+AP688)</f>
        <v/>
      </c>
      <c r="AR688" s="36" t="str">
        <f aca="false">IF(OR($B688="",J688=""),"",IFERROR(VALUE(LEFT(J688,1)),""))</f>
        <v/>
      </c>
      <c r="AS688" s="35" t="str">
        <f aca="false">IF(OR(AO688&lt;&gt;1,G688=""),"",IFERROR(IF(INDEX(L_SrcInterne,MATCH(G688,L_Sources,0))="Oui",1,0),""))</f>
        <v/>
      </c>
      <c r="AT688" s="37" t="str">
        <f aca="false">IF(AO688&lt;&gt;1,"",IFERROR(ROUND(IF(OR(N688="",O688=""),"",IF(O688&lt;N688,"",ROUND(((NETWORKDAYS(N688,O688,JoursFeries)-1)*(HFer-HOuv)+IF(NETWORKDAYS(O688,O688,JoursFeries),MEDIAN(MOD(O688,1),HFer,HOuv),HFer)-IF(NETWORKDAYS(N688,N688,JoursFeries),MEDIAN(MOD(N688,1),HFer,HOuv),HOuv))*24,4)))/HJour,4),""))</f>
        <v/>
      </c>
      <c r="AU688" s="37" t="str">
        <f aca="false">IF(AO688&lt;&gt;1,"",IF(OR(O688="",P688=""),"",IF(P688&lt;O688,"",ROUND(((NETWORKDAYS(O688,P688,JoursFeries)-1)*(HFer-HOuv)+IF(NETWORKDAYS(P688,P688,JoursFeries),MEDIAN(MOD(P688,1),HFer,HOuv),HFer)-IF(NETWORKDAYS(O688,O688,JoursFeries),MEDIAN(MOD(O688,1),HFer,HOuv),HOuv))*24,4))))</f>
        <v/>
      </c>
      <c r="AV688" s="37" t="str">
        <f aca="false">IF(AO688&lt;&gt;1,"",IF(OR(P688="",Q688=""),"",IF(Q688&lt;P688,"",ROUND(((NETWORKDAYS(P688,Q688,JoursFeries)-1)*(HFer-HOuv)+IF(NETWORKDAYS(Q688,Q688,JoursFeries),MEDIAN(MOD(Q688,1),HFer,HOuv),HFer)-IF(NETWORKDAYS(P688,P688,JoursFeries),MEDIAN(MOD(P688,1),HFer,HOuv),HOuv))*24,4))))</f>
        <v/>
      </c>
      <c r="AW688" s="37" t="str">
        <f aca="false">IF(AO688&lt;&gt;1,"",IFERROR(ROUND(IF(OR(P688="",R688=""),"",IF(R688&lt;P688,"",ROUND(((NETWORKDAYS(P688,R688,JoursFeries)-1)*(HFer-HOuv)+IF(NETWORKDAYS(R688,R688,JoursFeries),MEDIAN(MOD(R688,1),HFer,HOuv),HFer)-IF(NETWORKDAYS(P688,P688,JoursFeries),MEDIAN(MOD(P688,1),HFer,HOuv),HOuv))*24,4)))/HJour,4),""))</f>
        <v/>
      </c>
      <c r="AX688" s="37" t="str">
        <f aca="false">IF(AO688&lt;&gt;1,"",IFERROR(ROUND(IF(OR(P688="",S688=""),"",IF(S688&lt;P688,"",ROUND(((NETWORKDAYS(P688,S688,JoursFeries)-1)*(HFer-HOuv)+IF(NETWORKDAYS(S688,S688,JoursFeries),MEDIAN(MOD(S688,1),HFer,HOuv),HFer)-IF(NETWORKDAYS(P688,P688,JoursFeries),MEDIAN(MOD(P688,1),HFer,HOuv),HOuv))*24,4)))/HJour,4),""))</f>
        <v/>
      </c>
      <c r="AY688" s="36" t="str">
        <f aca="false">IF(OR(AO688&lt;&gt;1,AR688=""),"",INDEX(SLA_PEC,AR688))</f>
        <v/>
      </c>
      <c r="AZ688" s="35" t="str">
        <f aca="false">IF(OR(AV688="",AY688=""),"",IF(AV688&lt;=AY688,1,0))</f>
        <v/>
      </c>
      <c r="BA688" s="36" t="str">
        <f aca="false">IF(OR(AO688&lt;&gt;1,AR688=""),"",INDEX(SLA_RES,AR688))</f>
        <v/>
      </c>
      <c r="BB688" s="35" t="str">
        <f aca="false">IF(OR(AW688="",BA688=""),"",IF(AW688&lt;=BA688,1,0))</f>
        <v/>
      </c>
      <c r="BC688" s="38" t="str">
        <f aca="false">IF(OR(BA688="",P688=""),"",WORKDAY(INT(P688),BA688,JoursFeries)+MOD(P688,1))</f>
        <v/>
      </c>
      <c r="BD688" s="39" t="str">
        <f aca="false">IF(AO688&lt;&gt;1,"",IF(OR(AB688&lt;&gt;"",AD688&lt;&gt;""),4,IF(U688&lt;&gt;"",3,IF(T688&lt;&gt;"",2,1))))</f>
        <v/>
      </c>
      <c r="BE688" s="39" t="str">
        <f aca="false">IF(OR(AO688&lt;&gt;1,AR688=""),"",INDEX(NIV_REQ,AR688))</f>
        <v/>
      </c>
      <c r="BF688" s="39" t="str">
        <f aca="false">IF(BE688="","",MAX(BE688,IF(OR(K688="Oui",Z688="Oui"),4,1)))</f>
        <v/>
      </c>
      <c r="BG688" s="35" t="str">
        <f aca="false">IF(OR(BF688="",BD688=""),"",IF(BD688&gt;=BF688,1,0))</f>
        <v/>
      </c>
      <c r="BH688" s="38" t="str">
        <f aca="false">IF(BE688="","",IF(BE688&lt;2,"",IF(BE688=2,IF(AND(T688="",U688=""),"",MIN(T688,U688)),IF(U688="","",U688))))</f>
        <v/>
      </c>
      <c r="BI688" s="37" t="str">
        <f aca="false">IF(BH688="","",IF(OR(O688="",BH688=""),"",IF(BH688&lt;O688,"",ROUND(((NETWORKDAYS(O688,BH688,JoursFeries)-1)*(HFer-HOuv)+IF(NETWORKDAYS(BH688,BH688,JoursFeries),MEDIAN(MOD(BH688,1),HFer,HOuv),HFer)-IF(NETWORKDAYS(O688,O688,JoursFeries),MEDIAN(MOD(O688,1),HFer,HOuv),HOuv))*24,4))))</f>
        <v/>
      </c>
      <c r="BJ688" s="35" t="str">
        <f aca="false">IF(OR(BI688="",AR688=""),"",IF(BI688&lt;=INDEX(DELAI_ESC,AR688),1,0))</f>
        <v/>
      </c>
      <c r="BK688" s="38" t="str">
        <f aca="false">IF(AO688&lt;&gt;1,"",IF(AND(T688="",U688=""),"",MIN(T688,U688)))</f>
        <v/>
      </c>
      <c r="BL688" s="37" t="str">
        <f aca="false">IF(OR(BK688="",R688=""),"",IFERROR(ROUND(IF(OR(BK688="",R688=""),"",IF(R688&lt;BK688,"",ROUND(((NETWORKDAYS(BK688,R688,JoursFeries)-1)*(HFer-HOuv)+IF(NETWORKDAYS(R688,R688,JoursFeries),MEDIAN(MOD(R688,1),HFer,HOuv),HFer)-IF(NETWORKDAYS(BK688,BK688,JoursFeries),MEDIAN(MOD(BK688,1),HFer,HOuv),HOuv))*24,4)))/HJour,4),""))</f>
        <v/>
      </c>
      <c r="BM688" s="35" t="str">
        <f aca="false">IF(OR(AO688&lt;&gt;1,R688=""),"",IF(BD688=1,1,0))</f>
        <v/>
      </c>
      <c r="BN688" s="35" t="str">
        <f aca="false">IF(AO688&lt;&gt;1,"",IF(W688="Oui",1,0))</f>
        <v/>
      </c>
      <c r="BO688" s="35" t="str">
        <f aca="false">IF(AO688&lt;&gt;1,"",IF(X688&lt;&gt;"",1,0))</f>
        <v/>
      </c>
      <c r="BP688" s="35" t="str">
        <f aca="false">IF(AO688&lt;&gt;1,"",IF(Y688="Oui",1,0))</f>
        <v/>
      </c>
      <c r="BQ688" s="35" t="str">
        <f aca="true">IF(OR(AO688&lt;&gt;1,Z688&lt;&gt;"Oui"),"",IF(AB688="",IF(AND(AA688&lt;&gt;"",NOW()&gt;AA688),0,""),IF(AA688="","",IF(AB688&lt;=AA688,1,0))))</f>
        <v/>
      </c>
      <c r="BR688" s="38" t="str">
        <f aca="false">IF(OR(AO688&lt;&gt;1,K688&lt;&gt;"Oui",O688=""),"",IF(AC688="",O688+DORA_H_DET/24,IF(AC688-O688&lt;=DORA_H_DET/24,MIN(AC688+DORA_H_CLA/24,O688+DORA_H_DET/24),AC688+DORA_H_CLA/24)))</f>
        <v/>
      </c>
      <c r="BS688" s="35" t="str">
        <f aca="true">IF(BR688="","",IF(AD688="",IF(NOW()&gt;BR688,0,""),IF(AD688&lt;=BR688,1,0)))</f>
        <v/>
      </c>
      <c r="BT688" s="35" t="str">
        <f aca="true">IF(OR(BR688="",AD688=""),"",IF(AE688="",IF(NOW()&gt;AD688+DORA_H_INT/24,0,""),IF(AE688&lt;=AD688+DORA_H_INT/24,1,0)))</f>
        <v/>
      </c>
      <c r="BU688" s="35" t="str">
        <f aca="true">IF(OR(BR688="",AE688=""),"",IF(AF688="",IF(NOW()&gt;EDATE(AE688,DORA_M_FIN)+1,0,""),IF(AF688&lt;=EDATE(AE688,DORA_M_FIN),1,0)))</f>
        <v/>
      </c>
      <c r="BV688" s="35" t="str">
        <f aca="false">IF(BR688="","",IF(COUNT(BS688:BU688)=0,"",MIN(BS688:BU688)))</f>
        <v/>
      </c>
      <c r="BW688" s="40" t="str">
        <f aca="false">IF(AQ688&lt;&gt;1,"",IF(AND(AG688="",AH688=""),"",N(AG688)-N(AH688)))</f>
        <v/>
      </c>
      <c r="BX688" s="35" t="str">
        <f aca="true">IF(OR(AQ688&lt;&gt;1,AI688&lt;&gt;"Oui",AJ688=""),"",IF(AK688="",IF(NOW()&gt;AJ688+1,0,""),IF(AK688&lt;=AJ688,1,0)))</f>
        <v/>
      </c>
    </row>
    <row r="689" customFormat="false" ht="15" hidden="false" customHeight="false" outlineLevel="0" collapsed="false">
      <c r="B689" s="29"/>
      <c r="C689" s="29"/>
      <c r="D689" s="29"/>
      <c r="E689" s="29"/>
      <c r="F689" s="29"/>
      <c r="G689" s="29"/>
      <c r="H689" s="29"/>
      <c r="I689" s="29"/>
      <c r="J689" s="29"/>
      <c r="K689" s="29"/>
      <c r="L689" s="29"/>
      <c r="M689" s="29"/>
      <c r="N689" s="30"/>
      <c r="O689" s="30"/>
      <c r="P689" s="30"/>
      <c r="Q689" s="30"/>
      <c r="R689" s="30"/>
      <c r="S689" s="30"/>
      <c r="T689" s="30"/>
      <c r="U689" s="30"/>
      <c r="V689" s="31"/>
      <c r="W689" s="29"/>
      <c r="X689" s="29"/>
      <c r="Y689" s="29"/>
      <c r="Z689" s="29"/>
      <c r="AA689" s="30"/>
      <c r="AB689" s="30"/>
      <c r="AC689" s="30"/>
      <c r="AD689" s="30"/>
      <c r="AE689" s="30"/>
      <c r="AF689" s="32"/>
      <c r="AG689" s="33"/>
      <c r="AH689" s="33"/>
      <c r="AI689" s="29"/>
      <c r="AJ689" s="32"/>
      <c r="AK689" s="32"/>
      <c r="AL689" s="29"/>
      <c r="AN689" s="34" t="str">
        <f aca="false">IF($B689="","",IF(OR(C689="",D689="",E689="",G689="",I689="",J689="",L689="",O689="",P689=""),"Champ obligatoire manquant",IF(OR(AND(N689&lt;&gt;"",N689&gt;O689),O689&gt;P689,AND(Q689&lt;&gt;"",Q689&lt;P689),AND(R689&lt;&gt;"",R689&lt;P689),AND(S689&lt;&gt;"",S689&lt;R689),AND(S689&lt;&gt;"",R689=""),AND(T689&lt;&gt;"",T689&lt;O689),AND(U689&lt;&gt;"",U689&lt;O689)),"Chronologie incohérente",IF(AND(OR(L689="Résolu",L689="Clos"),R689=""),"Date de résolution manquante",IF(AND(L689="Clos",S689=""),"Date de clôture manquante",IF(AND(K689="Oui",AC689=""),"Classification DORA manquante","OK"))))))</f>
        <v/>
      </c>
      <c r="AO689" s="35" t="str">
        <f aca="false">IF($B689="","",IF(AND(C689="Incident",L689&lt;&gt;"Annulé"),1,0))</f>
        <v/>
      </c>
      <c r="AP689" s="35" t="str">
        <f aca="false">IF($B689="","",IF(AND(C689="Quasi-incident",L689&lt;&gt;"Annulé"),1,0))</f>
        <v/>
      </c>
      <c r="AQ689" s="35" t="str">
        <f aca="false">IF($B689="","",AO689+AP689)</f>
        <v/>
      </c>
      <c r="AR689" s="36" t="str">
        <f aca="false">IF(OR($B689="",J689=""),"",IFERROR(VALUE(LEFT(J689,1)),""))</f>
        <v/>
      </c>
      <c r="AS689" s="35" t="str">
        <f aca="false">IF(OR(AO689&lt;&gt;1,G689=""),"",IFERROR(IF(INDEX(L_SrcInterne,MATCH(G689,L_Sources,0))="Oui",1,0),""))</f>
        <v/>
      </c>
      <c r="AT689" s="37" t="str">
        <f aca="false">IF(AO689&lt;&gt;1,"",IFERROR(ROUND(IF(OR(N689="",O689=""),"",IF(O689&lt;N689,"",ROUND(((NETWORKDAYS(N689,O689,JoursFeries)-1)*(HFer-HOuv)+IF(NETWORKDAYS(O689,O689,JoursFeries),MEDIAN(MOD(O689,1),HFer,HOuv),HFer)-IF(NETWORKDAYS(N689,N689,JoursFeries),MEDIAN(MOD(N689,1),HFer,HOuv),HOuv))*24,4)))/HJour,4),""))</f>
        <v/>
      </c>
      <c r="AU689" s="37" t="str">
        <f aca="false">IF(AO689&lt;&gt;1,"",IF(OR(O689="",P689=""),"",IF(P689&lt;O689,"",ROUND(((NETWORKDAYS(O689,P689,JoursFeries)-1)*(HFer-HOuv)+IF(NETWORKDAYS(P689,P689,JoursFeries),MEDIAN(MOD(P689,1),HFer,HOuv),HFer)-IF(NETWORKDAYS(O689,O689,JoursFeries),MEDIAN(MOD(O689,1),HFer,HOuv),HOuv))*24,4))))</f>
        <v/>
      </c>
      <c r="AV689" s="37" t="str">
        <f aca="false">IF(AO689&lt;&gt;1,"",IF(OR(P689="",Q689=""),"",IF(Q689&lt;P689,"",ROUND(((NETWORKDAYS(P689,Q689,JoursFeries)-1)*(HFer-HOuv)+IF(NETWORKDAYS(Q689,Q689,JoursFeries),MEDIAN(MOD(Q689,1),HFer,HOuv),HFer)-IF(NETWORKDAYS(P689,P689,JoursFeries),MEDIAN(MOD(P689,1),HFer,HOuv),HOuv))*24,4))))</f>
        <v/>
      </c>
      <c r="AW689" s="37" t="str">
        <f aca="false">IF(AO689&lt;&gt;1,"",IFERROR(ROUND(IF(OR(P689="",R689=""),"",IF(R689&lt;P689,"",ROUND(((NETWORKDAYS(P689,R689,JoursFeries)-1)*(HFer-HOuv)+IF(NETWORKDAYS(R689,R689,JoursFeries),MEDIAN(MOD(R689,1),HFer,HOuv),HFer)-IF(NETWORKDAYS(P689,P689,JoursFeries),MEDIAN(MOD(P689,1),HFer,HOuv),HOuv))*24,4)))/HJour,4),""))</f>
        <v/>
      </c>
      <c r="AX689" s="37" t="str">
        <f aca="false">IF(AO689&lt;&gt;1,"",IFERROR(ROUND(IF(OR(P689="",S689=""),"",IF(S689&lt;P689,"",ROUND(((NETWORKDAYS(P689,S689,JoursFeries)-1)*(HFer-HOuv)+IF(NETWORKDAYS(S689,S689,JoursFeries),MEDIAN(MOD(S689,1),HFer,HOuv),HFer)-IF(NETWORKDAYS(P689,P689,JoursFeries),MEDIAN(MOD(P689,1),HFer,HOuv),HOuv))*24,4)))/HJour,4),""))</f>
        <v/>
      </c>
      <c r="AY689" s="36" t="str">
        <f aca="false">IF(OR(AO689&lt;&gt;1,AR689=""),"",INDEX(SLA_PEC,AR689))</f>
        <v/>
      </c>
      <c r="AZ689" s="35" t="str">
        <f aca="false">IF(OR(AV689="",AY689=""),"",IF(AV689&lt;=AY689,1,0))</f>
        <v/>
      </c>
      <c r="BA689" s="36" t="str">
        <f aca="false">IF(OR(AO689&lt;&gt;1,AR689=""),"",INDEX(SLA_RES,AR689))</f>
        <v/>
      </c>
      <c r="BB689" s="35" t="str">
        <f aca="false">IF(OR(AW689="",BA689=""),"",IF(AW689&lt;=BA689,1,0))</f>
        <v/>
      </c>
      <c r="BC689" s="38" t="str">
        <f aca="false">IF(OR(BA689="",P689=""),"",WORKDAY(INT(P689),BA689,JoursFeries)+MOD(P689,1))</f>
        <v/>
      </c>
      <c r="BD689" s="39" t="str">
        <f aca="false">IF(AO689&lt;&gt;1,"",IF(OR(AB689&lt;&gt;"",AD689&lt;&gt;""),4,IF(U689&lt;&gt;"",3,IF(T689&lt;&gt;"",2,1))))</f>
        <v/>
      </c>
      <c r="BE689" s="39" t="str">
        <f aca="false">IF(OR(AO689&lt;&gt;1,AR689=""),"",INDEX(NIV_REQ,AR689))</f>
        <v/>
      </c>
      <c r="BF689" s="39" t="str">
        <f aca="false">IF(BE689="","",MAX(BE689,IF(OR(K689="Oui",Z689="Oui"),4,1)))</f>
        <v/>
      </c>
      <c r="BG689" s="35" t="str">
        <f aca="false">IF(OR(BF689="",BD689=""),"",IF(BD689&gt;=BF689,1,0))</f>
        <v/>
      </c>
      <c r="BH689" s="38" t="str">
        <f aca="false">IF(BE689="","",IF(BE689&lt;2,"",IF(BE689=2,IF(AND(T689="",U689=""),"",MIN(T689,U689)),IF(U689="","",U689))))</f>
        <v/>
      </c>
      <c r="BI689" s="37" t="str">
        <f aca="false">IF(BH689="","",IF(OR(O689="",BH689=""),"",IF(BH689&lt;O689,"",ROUND(((NETWORKDAYS(O689,BH689,JoursFeries)-1)*(HFer-HOuv)+IF(NETWORKDAYS(BH689,BH689,JoursFeries),MEDIAN(MOD(BH689,1),HFer,HOuv),HFer)-IF(NETWORKDAYS(O689,O689,JoursFeries),MEDIAN(MOD(O689,1),HFer,HOuv),HOuv))*24,4))))</f>
        <v/>
      </c>
      <c r="BJ689" s="35" t="str">
        <f aca="false">IF(OR(BI689="",AR689=""),"",IF(BI689&lt;=INDEX(DELAI_ESC,AR689),1,0))</f>
        <v/>
      </c>
      <c r="BK689" s="38" t="str">
        <f aca="false">IF(AO689&lt;&gt;1,"",IF(AND(T689="",U689=""),"",MIN(T689,U689)))</f>
        <v/>
      </c>
      <c r="BL689" s="37" t="str">
        <f aca="false">IF(OR(BK689="",R689=""),"",IFERROR(ROUND(IF(OR(BK689="",R689=""),"",IF(R689&lt;BK689,"",ROUND(((NETWORKDAYS(BK689,R689,JoursFeries)-1)*(HFer-HOuv)+IF(NETWORKDAYS(R689,R689,JoursFeries),MEDIAN(MOD(R689,1),HFer,HOuv),HFer)-IF(NETWORKDAYS(BK689,BK689,JoursFeries),MEDIAN(MOD(BK689,1),HFer,HOuv),HOuv))*24,4)))/HJour,4),""))</f>
        <v/>
      </c>
      <c r="BM689" s="35" t="str">
        <f aca="false">IF(OR(AO689&lt;&gt;1,R689=""),"",IF(BD689=1,1,0))</f>
        <v/>
      </c>
      <c r="BN689" s="35" t="str">
        <f aca="false">IF(AO689&lt;&gt;1,"",IF(W689="Oui",1,0))</f>
        <v/>
      </c>
      <c r="BO689" s="35" t="str">
        <f aca="false">IF(AO689&lt;&gt;1,"",IF(X689&lt;&gt;"",1,0))</f>
        <v/>
      </c>
      <c r="BP689" s="35" t="str">
        <f aca="false">IF(AO689&lt;&gt;1,"",IF(Y689="Oui",1,0))</f>
        <v/>
      </c>
      <c r="BQ689" s="35" t="str">
        <f aca="true">IF(OR(AO689&lt;&gt;1,Z689&lt;&gt;"Oui"),"",IF(AB689="",IF(AND(AA689&lt;&gt;"",NOW()&gt;AA689),0,""),IF(AA689="","",IF(AB689&lt;=AA689,1,0))))</f>
        <v/>
      </c>
      <c r="BR689" s="38" t="str">
        <f aca="false">IF(OR(AO689&lt;&gt;1,K689&lt;&gt;"Oui",O689=""),"",IF(AC689="",O689+DORA_H_DET/24,IF(AC689-O689&lt;=DORA_H_DET/24,MIN(AC689+DORA_H_CLA/24,O689+DORA_H_DET/24),AC689+DORA_H_CLA/24)))</f>
        <v/>
      </c>
      <c r="BS689" s="35" t="str">
        <f aca="true">IF(BR689="","",IF(AD689="",IF(NOW()&gt;BR689,0,""),IF(AD689&lt;=BR689,1,0)))</f>
        <v/>
      </c>
      <c r="BT689" s="35" t="str">
        <f aca="true">IF(OR(BR689="",AD689=""),"",IF(AE689="",IF(NOW()&gt;AD689+DORA_H_INT/24,0,""),IF(AE689&lt;=AD689+DORA_H_INT/24,1,0)))</f>
        <v/>
      </c>
      <c r="BU689" s="35" t="str">
        <f aca="true">IF(OR(BR689="",AE689=""),"",IF(AF689="",IF(NOW()&gt;EDATE(AE689,DORA_M_FIN)+1,0,""),IF(AF689&lt;=EDATE(AE689,DORA_M_FIN),1,0)))</f>
        <v/>
      </c>
      <c r="BV689" s="35" t="str">
        <f aca="false">IF(BR689="","",IF(COUNT(BS689:BU689)=0,"",MIN(BS689:BU689)))</f>
        <v/>
      </c>
      <c r="BW689" s="40" t="str">
        <f aca="false">IF(AQ689&lt;&gt;1,"",IF(AND(AG689="",AH689=""),"",N(AG689)-N(AH689)))</f>
        <v/>
      </c>
      <c r="BX689" s="35" t="str">
        <f aca="true">IF(OR(AQ689&lt;&gt;1,AI689&lt;&gt;"Oui",AJ689=""),"",IF(AK689="",IF(NOW()&gt;AJ689+1,0,""),IF(AK689&lt;=AJ689,1,0)))</f>
        <v/>
      </c>
    </row>
    <row r="690" customFormat="false" ht="15" hidden="false" customHeight="false" outlineLevel="0" collapsed="false">
      <c r="B690" s="29"/>
      <c r="C690" s="29"/>
      <c r="D690" s="29"/>
      <c r="E690" s="29"/>
      <c r="F690" s="29"/>
      <c r="G690" s="29"/>
      <c r="H690" s="29"/>
      <c r="I690" s="29"/>
      <c r="J690" s="29"/>
      <c r="K690" s="29"/>
      <c r="L690" s="29"/>
      <c r="M690" s="29"/>
      <c r="N690" s="30"/>
      <c r="O690" s="30"/>
      <c r="P690" s="30"/>
      <c r="Q690" s="30"/>
      <c r="R690" s="30"/>
      <c r="S690" s="30"/>
      <c r="T690" s="30"/>
      <c r="U690" s="30"/>
      <c r="V690" s="31"/>
      <c r="W690" s="29"/>
      <c r="X690" s="29"/>
      <c r="Y690" s="29"/>
      <c r="Z690" s="29"/>
      <c r="AA690" s="30"/>
      <c r="AB690" s="30"/>
      <c r="AC690" s="30"/>
      <c r="AD690" s="30"/>
      <c r="AE690" s="30"/>
      <c r="AF690" s="32"/>
      <c r="AG690" s="33"/>
      <c r="AH690" s="33"/>
      <c r="AI690" s="29"/>
      <c r="AJ690" s="32"/>
      <c r="AK690" s="32"/>
      <c r="AL690" s="29"/>
      <c r="AN690" s="34" t="str">
        <f aca="false">IF($B690="","",IF(OR(C690="",D690="",E690="",G690="",I690="",J690="",L690="",O690="",P690=""),"Champ obligatoire manquant",IF(OR(AND(N690&lt;&gt;"",N690&gt;O690),O690&gt;P690,AND(Q690&lt;&gt;"",Q690&lt;P690),AND(R690&lt;&gt;"",R690&lt;P690),AND(S690&lt;&gt;"",S690&lt;R690),AND(S690&lt;&gt;"",R690=""),AND(T690&lt;&gt;"",T690&lt;O690),AND(U690&lt;&gt;"",U690&lt;O690)),"Chronologie incohérente",IF(AND(OR(L690="Résolu",L690="Clos"),R690=""),"Date de résolution manquante",IF(AND(L690="Clos",S690=""),"Date de clôture manquante",IF(AND(K690="Oui",AC690=""),"Classification DORA manquante","OK"))))))</f>
        <v/>
      </c>
      <c r="AO690" s="35" t="str">
        <f aca="false">IF($B690="","",IF(AND(C690="Incident",L690&lt;&gt;"Annulé"),1,0))</f>
        <v/>
      </c>
      <c r="AP690" s="35" t="str">
        <f aca="false">IF($B690="","",IF(AND(C690="Quasi-incident",L690&lt;&gt;"Annulé"),1,0))</f>
        <v/>
      </c>
      <c r="AQ690" s="35" t="str">
        <f aca="false">IF($B690="","",AO690+AP690)</f>
        <v/>
      </c>
      <c r="AR690" s="36" t="str">
        <f aca="false">IF(OR($B690="",J690=""),"",IFERROR(VALUE(LEFT(J690,1)),""))</f>
        <v/>
      </c>
      <c r="AS690" s="35" t="str">
        <f aca="false">IF(OR(AO690&lt;&gt;1,G690=""),"",IFERROR(IF(INDEX(L_SrcInterne,MATCH(G690,L_Sources,0))="Oui",1,0),""))</f>
        <v/>
      </c>
      <c r="AT690" s="37" t="str">
        <f aca="false">IF(AO690&lt;&gt;1,"",IFERROR(ROUND(IF(OR(N690="",O690=""),"",IF(O690&lt;N690,"",ROUND(((NETWORKDAYS(N690,O690,JoursFeries)-1)*(HFer-HOuv)+IF(NETWORKDAYS(O690,O690,JoursFeries),MEDIAN(MOD(O690,1),HFer,HOuv),HFer)-IF(NETWORKDAYS(N690,N690,JoursFeries),MEDIAN(MOD(N690,1),HFer,HOuv),HOuv))*24,4)))/HJour,4),""))</f>
        <v/>
      </c>
      <c r="AU690" s="37" t="str">
        <f aca="false">IF(AO690&lt;&gt;1,"",IF(OR(O690="",P690=""),"",IF(P690&lt;O690,"",ROUND(((NETWORKDAYS(O690,P690,JoursFeries)-1)*(HFer-HOuv)+IF(NETWORKDAYS(P690,P690,JoursFeries),MEDIAN(MOD(P690,1),HFer,HOuv),HFer)-IF(NETWORKDAYS(O690,O690,JoursFeries),MEDIAN(MOD(O690,1),HFer,HOuv),HOuv))*24,4))))</f>
        <v/>
      </c>
      <c r="AV690" s="37" t="str">
        <f aca="false">IF(AO690&lt;&gt;1,"",IF(OR(P690="",Q690=""),"",IF(Q690&lt;P690,"",ROUND(((NETWORKDAYS(P690,Q690,JoursFeries)-1)*(HFer-HOuv)+IF(NETWORKDAYS(Q690,Q690,JoursFeries),MEDIAN(MOD(Q690,1),HFer,HOuv),HFer)-IF(NETWORKDAYS(P690,P690,JoursFeries),MEDIAN(MOD(P690,1),HFer,HOuv),HOuv))*24,4))))</f>
        <v/>
      </c>
      <c r="AW690" s="37" t="str">
        <f aca="false">IF(AO690&lt;&gt;1,"",IFERROR(ROUND(IF(OR(P690="",R690=""),"",IF(R690&lt;P690,"",ROUND(((NETWORKDAYS(P690,R690,JoursFeries)-1)*(HFer-HOuv)+IF(NETWORKDAYS(R690,R690,JoursFeries),MEDIAN(MOD(R690,1),HFer,HOuv),HFer)-IF(NETWORKDAYS(P690,P690,JoursFeries),MEDIAN(MOD(P690,1),HFer,HOuv),HOuv))*24,4)))/HJour,4),""))</f>
        <v/>
      </c>
      <c r="AX690" s="37" t="str">
        <f aca="false">IF(AO690&lt;&gt;1,"",IFERROR(ROUND(IF(OR(P690="",S690=""),"",IF(S690&lt;P690,"",ROUND(((NETWORKDAYS(P690,S690,JoursFeries)-1)*(HFer-HOuv)+IF(NETWORKDAYS(S690,S690,JoursFeries),MEDIAN(MOD(S690,1),HFer,HOuv),HFer)-IF(NETWORKDAYS(P690,P690,JoursFeries),MEDIAN(MOD(P690,1),HFer,HOuv),HOuv))*24,4)))/HJour,4),""))</f>
        <v/>
      </c>
      <c r="AY690" s="36" t="str">
        <f aca="false">IF(OR(AO690&lt;&gt;1,AR690=""),"",INDEX(SLA_PEC,AR690))</f>
        <v/>
      </c>
      <c r="AZ690" s="35" t="str">
        <f aca="false">IF(OR(AV690="",AY690=""),"",IF(AV690&lt;=AY690,1,0))</f>
        <v/>
      </c>
      <c r="BA690" s="36" t="str">
        <f aca="false">IF(OR(AO690&lt;&gt;1,AR690=""),"",INDEX(SLA_RES,AR690))</f>
        <v/>
      </c>
      <c r="BB690" s="35" t="str">
        <f aca="false">IF(OR(AW690="",BA690=""),"",IF(AW690&lt;=BA690,1,0))</f>
        <v/>
      </c>
      <c r="BC690" s="38" t="str">
        <f aca="false">IF(OR(BA690="",P690=""),"",WORKDAY(INT(P690),BA690,JoursFeries)+MOD(P690,1))</f>
        <v/>
      </c>
      <c r="BD690" s="39" t="str">
        <f aca="false">IF(AO690&lt;&gt;1,"",IF(OR(AB690&lt;&gt;"",AD690&lt;&gt;""),4,IF(U690&lt;&gt;"",3,IF(T690&lt;&gt;"",2,1))))</f>
        <v/>
      </c>
      <c r="BE690" s="39" t="str">
        <f aca="false">IF(OR(AO690&lt;&gt;1,AR690=""),"",INDEX(NIV_REQ,AR690))</f>
        <v/>
      </c>
      <c r="BF690" s="39" t="str">
        <f aca="false">IF(BE690="","",MAX(BE690,IF(OR(K690="Oui",Z690="Oui"),4,1)))</f>
        <v/>
      </c>
      <c r="BG690" s="35" t="str">
        <f aca="false">IF(OR(BF690="",BD690=""),"",IF(BD690&gt;=BF690,1,0))</f>
        <v/>
      </c>
      <c r="BH690" s="38" t="str">
        <f aca="false">IF(BE690="","",IF(BE690&lt;2,"",IF(BE690=2,IF(AND(T690="",U690=""),"",MIN(T690,U690)),IF(U690="","",U690))))</f>
        <v/>
      </c>
      <c r="BI690" s="37" t="str">
        <f aca="false">IF(BH690="","",IF(OR(O690="",BH690=""),"",IF(BH690&lt;O690,"",ROUND(((NETWORKDAYS(O690,BH690,JoursFeries)-1)*(HFer-HOuv)+IF(NETWORKDAYS(BH690,BH690,JoursFeries),MEDIAN(MOD(BH690,1),HFer,HOuv),HFer)-IF(NETWORKDAYS(O690,O690,JoursFeries),MEDIAN(MOD(O690,1),HFer,HOuv),HOuv))*24,4))))</f>
        <v/>
      </c>
      <c r="BJ690" s="35" t="str">
        <f aca="false">IF(OR(BI690="",AR690=""),"",IF(BI690&lt;=INDEX(DELAI_ESC,AR690),1,0))</f>
        <v/>
      </c>
      <c r="BK690" s="38" t="str">
        <f aca="false">IF(AO690&lt;&gt;1,"",IF(AND(T690="",U690=""),"",MIN(T690,U690)))</f>
        <v/>
      </c>
      <c r="BL690" s="37" t="str">
        <f aca="false">IF(OR(BK690="",R690=""),"",IFERROR(ROUND(IF(OR(BK690="",R690=""),"",IF(R690&lt;BK690,"",ROUND(((NETWORKDAYS(BK690,R690,JoursFeries)-1)*(HFer-HOuv)+IF(NETWORKDAYS(R690,R690,JoursFeries),MEDIAN(MOD(R690,1),HFer,HOuv),HFer)-IF(NETWORKDAYS(BK690,BK690,JoursFeries),MEDIAN(MOD(BK690,1),HFer,HOuv),HOuv))*24,4)))/HJour,4),""))</f>
        <v/>
      </c>
      <c r="BM690" s="35" t="str">
        <f aca="false">IF(OR(AO690&lt;&gt;1,R690=""),"",IF(BD690=1,1,0))</f>
        <v/>
      </c>
      <c r="BN690" s="35" t="str">
        <f aca="false">IF(AO690&lt;&gt;1,"",IF(W690="Oui",1,0))</f>
        <v/>
      </c>
      <c r="BO690" s="35" t="str">
        <f aca="false">IF(AO690&lt;&gt;1,"",IF(X690&lt;&gt;"",1,0))</f>
        <v/>
      </c>
      <c r="BP690" s="35" t="str">
        <f aca="false">IF(AO690&lt;&gt;1,"",IF(Y690="Oui",1,0))</f>
        <v/>
      </c>
      <c r="BQ690" s="35" t="str">
        <f aca="true">IF(OR(AO690&lt;&gt;1,Z690&lt;&gt;"Oui"),"",IF(AB690="",IF(AND(AA690&lt;&gt;"",NOW()&gt;AA690),0,""),IF(AA690="","",IF(AB690&lt;=AA690,1,0))))</f>
        <v/>
      </c>
      <c r="BR690" s="38" t="str">
        <f aca="false">IF(OR(AO690&lt;&gt;1,K690&lt;&gt;"Oui",O690=""),"",IF(AC690="",O690+DORA_H_DET/24,IF(AC690-O690&lt;=DORA_H_DET/24,MIN(AC690+DORA_H_CLA/24,O690+DORA_H_DET/24),AC690+DORA_H_CLA/24)))</f>
        <v/>
      </c>
      <c r="BS690" s="35" t="str">
        <f aca="true">IF(BR690="","",IF(AD690="",IF(NOW()&gt;BR690,0,""),IF(AD690&lt;=BR690,1,0)))</f>
        <v/>
      </c>
      <c r="BT690" s="35" t="str">
        <f aca="true">IF(OR(BR690="",AD690=""),"",IF(AE690="",IF(NOW()&gt;AD690+DORA_H_INT/24,0,""),IF(AE690&lt;=AD690+DORA_H_INT/24,1,0)))</f>
        <v/>
      </c>
      <c r="BU690" s="35" t="str">
        <f aca="true">IF(OR(BR690="",AE690=""),"",IF(AF690="",IF(NOW()&gt;EDATE(AE690,DORA_M_FIN)+1,0,""),IF(AF690&lt;=EDATE(AE690,DORA_M_FIN),1,0)))</f>
        <v/>
      </c>
      <c r="BV690" s="35" t="str">
        <f aca="false">IF(BR690="","",IF(COUNT(BS690:BU690)=0,"",MIN(BS690:BU690)))</f>
        <v/>
      </c>
      <c r="BW690" s="40" t="str">
        <f aca="false">IF(AQ690&lt;&gt;1,"",IF(AND(AG690="",AH690=""),"",N(AG690)-N(AH690)))</f>
        <v/>
      </c>
      <c r="BX690" s="35" t="str">
        <f aca="true">IF(OR(AQ690&lt;&gt;1,AI690&lt;&gt;"Oui",AJ690=""),"",IF(AK690="",IF(NOW()&gt;AJ690+1,0,""),IF(AK690&lt;=AJ690,1,0)))</f>
        <v/>
      </c>
    </row>
    <row r="691" customFormat="false" ht="15" hidden="false" customHeight="false" outlineLevel="0" collapsed="false">
      <c r="B691" s="29"/>
      <c r="C691" s="29"/>
      <c r="D691" s="29"/>
      <c r="E691" s="29"/>
      <c r="F691" s="29"/>
      <c r="G691" s="29"/>
      <c r="H691" s="29"/>
      <c r="I691" s="29"/>
      <c r="J691" s="29"/>
      <c r="K691" s="29"/>
      <c r="L691" s="29"/>
      <c r="M691" s="29"/>
      <c r="N691" s="30"/>
      <c r="O691" s="30"/>
      <c r="P691" s="30"/>
      <c r="Q691" s="30"/>
      <c r="R691" s="30"/>
      <c r="S691" s="30"/>
      <c r="T691" s="30"/>
      <c r="U691" s="30"/>
      <c r="V691" s="31"/>
      <c r="W691" s="29"/>
      <c r="X691" s="29"/>
      <c r="Y691" s="29"/>
      <c r="Z691" s="29"/>
      <c r="AA691" s="30"/>
      <c r="AB691" s="30"/>
      <c r="AC691" s="30"/>
      <c r="AD691" s="30"/>
      <c r="AE691" s="30"/>
      <c r="AF691" s="32"/>
      <c r="AG691" s="33"/>
      <c r="AH691" s="33"/>
      <c r="AI691" s="29"/>
      <c r="AJ691" s="32"/>
      <c r="AK691" s="32"/>
      <c r="AL691" s="29"/>
      <c r="AN691" s="34" t="str">
        <f aca="false">IF($B691="","",IF(OR(C691="",D691="",E691="",G691="",I691="",J691="",L691="",O691="",P691=""),"Champ obligatoire manquant",IF(OR(AND(N691&lt;&gt;"",N691&gt;O691),O691&gt;P691,AND(Q691&lt;&gt;"",Q691&lt;P691),AND(R691&lt;&gt;"",R691&lt;P691),AND(S691&lt;&gt;"",S691&lt;R691),AND(S691&lt;&gt;"",R691=""),AND(T691&lt;&gt;"",T691&lt;O691),AND(U691&lt;&gt;"",U691&lt;O691)),"Chronologie incohérente",IF(AND(OR(L691="Résolu",L691="Clos"),R691=""),"Date de résolution manquante",IF(AND(L691="Clos",S691=""),"Date de clôture manquante",IF(AND(K691="Oui",AC691=""),"Classification DORA manquante","OK"))))))</f>
        <v/>
      </c>
      <c r="AO691" s="35" t="str">
        <f aca="false">IF($B691="","",IF(AND(C691="Incident",L691&lt;&gt;"Annulé"),1,0))</f>
        <v/>
      </c>
      <c r="AP691" s="35" t="str">
        <f aca="false">IF($B691="","",IF(AND(C691="Quasi-incident",L691&lt;&gt;"Annulé"),1,0))</f>
        <v/>
      </c>
      <c r="AQ691" s="35" t="str">
        <f aca="false">IF($B691="","",AO691+AP691)</f>
        <v/>
      </c>
      <c r="AR691" s="36" t="str">
        <f aca="false">IF(OR($B691="",J691=""),"",IFERROR(VALUE(LEFT(J691,1)),""))</f>
        <v/>
      </c>
      <c r="AS691" s="35" t="str">
        <f aca="false">IF(OR(AO691&lt;&gt;1,G691=""),"",IFERROR(IF(INDEX(L_SrcInterne,MATCH(G691,L_Sources,0))="Oui",1,0),""))</f>
        <v/>
      </c>
      <c r="AT691" s="37" t="str">
        <f aca="false">IF(AO691&lt;&gt;1,"",IFERROR(ROUND(IF(OR(N691="",O691=""),"",IF(O691&lt;N691,"",ROUND(((NETWORKDAYS(N691,O691,JoursFeries)-1)*(HFer-HOuv)+IF(NETWORKDAYS(O691,O691,JoursFeries),MEDIAN(MOD(O691,1),HFer,HOuv),HFer)-IF(NETWORKDAYS(N691,N691,JoursFeries),MEDIAN(MOD(N691,1),HFer,HOuv),HOuv))*24,4)))/HJour,4),""))</f>
        <v/>
      </c>
      <c r="AU691" s="37" t="str">
        <f aca="false">IF(AO691&lt;&gt;1,"",IF(OR(O691="",P691=""),"",IF(P691&lt;O691,"",ROUND(((NETWORKDAYS(O691,P691,JoursFeries)-1)*(HFer-HOuv)+IF(NETWORKDAYS(P691,P691,JoursFeries),MEDIAN(MOD(P691,1),HFer,HOuv),HFer)-IF(NETWORKDAYS(O691,O691,JoursFeries),MEDIAN(MOD(O691,1),HFer,HOuv),HOuv))*24,4))))</f>
        <v/>
      </c>
      <c r="AV691" s="37" t="str">
        <f aca="false">IF(AO691&lt;&gt;1,"",IF(OR(P691="",Q691=""),"",IF(Q691&lt;P691,"",ROUND(((NETWORKDAYS(P691,Q691,JoursFeries)-1)*(HFer-HOuv)+IF(NETWORKDAYS(Q691,Q691,JoursFeries),MEDIAN(MOD(Q691,1),HFer,HOuv),HFer)-IF(NETWORKDAYS(P691,P691,JoursFeries),MEDIAN(MOD(P691,1),HFer,HOuv),HOuv))*24,4))))</f>
        <v/>
      </c>
      <c r="AW691" s="37" t="str">
        <f aca="false">IF(AO691&lt;&gt;1,"",IFERROR(ROUND(IF(OR(P691="",R691=""),"",IF(R691&lt;P691,"",ROUND(((NETWORKDAYS(P691,R691,JoursFeries)-1)*(HFer-HOuv)+IF(NETWORKDAYS(R691,R691,JoursFeries),MEDIAN(MOD(R691,1),HFer,HOuv),HFer)-IF(NETWORKDAYS(P691,P691,JoursFeries),MEDIAN(MOD(P691,1),HFer,HOuv),HOuv))*24,4)))/HJour,4),""))</f>
        <v/>
      </c>
      <c r="AX691" s="37" t="str">
        <f aca="false">IF(AO691&lt;&gt;1,"",IFERROR(ROUND(IF(OR(P691="",S691=""),"",IF(S691&lt;P691,"",ROUND(((NETWORKDAYS(P691,S691,JoursFeries)-1)*(HFer-HOuv)+IF(NETWORKDAYS(S691,S691,JoursFeries),MEDIAN(MOD(S691,1),HFer,HOuv),HFer)-IF(NETWORKDAYS(P691,P691,JoursFeries),MEDIAN(MOD(P691,1),HFer,HOuv),HOuv))*24,4)))/HJour,4),""))</f>
        <v/>
      </c>
      <c r="AY691" s="36" t="str">
        <f aca="false">IF(OR(AO691&lt;&gt;1,AR691=""),"",INDEX(SLA_PEC,AR691))</f>
        <v/>
      </c>
      <c r="AZ691" s="35" t="str">
        <f aca="false">IF(OR(AV691="",AY691=""),"",IF(AV691&lt;=AY691,1,0))</f>
        <v/>
      </c>
      <c r="BA691" s="36" t="str">
        <f aca="false">IF(OR(AO691&lt;&gt;1,AR691=""),"",INDEX(SLA_RES,AR691))</f>
        <v/>
      </c>
      <c r="BB691" s="35" t="str">
        <f aca="false">IF(OR(AW691="",BA691=""),"",IF(AW691&lt;=BA691,1,0))</f>
        <v/>
      </c>
      <c r="BC691" s="38" t="str">
        <f aca="false">IF(OR(BA691="",P691=""),"",WORKDAY(INT(P691),BA691,JoursFeries)+MOD(P691,1))</f>
        <v/>
      </c>
      <c r="BD691" s="39" t="str">
        <f aca="false">IF(AO691&lt;&gt;1,"",IF(OR(AB691&lt;&gt;"",AD691&lt;&gt;""),4,IF(U691&lt;&gt;"",3,IF(T691&lt;&gt;"",2,1))))</f>
        <v/>
      </c>
      <c r="BE691" s="39" t="str">
        <f aca="false">IF(OR(AO691&lt;&gt;1,AR691=""),"",INDEX(NIV_REQ,AR691))</f>
        <v/>
      </c>
      <c r="BF691" s="39" t="str">
        <f aca="false">IF(BE691="","",MAX(BE691,IF(OR(K691="Oui",Z691="Oui"),4,1)))</f>
        <v/>
      </c>
      <c r="BG691" s="35" t="str">
        <f aca="false">IF(OR(BF691="",BD691=""),"",IF(BD691&gt;=BF691,1,0))</f>
        <v/>
      </c>
      <c r="BH691" s="38" t="str">
        <f aca="false">IF(BE691="","",IF(BE691&lt;2,"",IF(BE691=2,IF(AND(T691="",U691=""),"",MIN(T691,U691)),IF(U691="","",U691))))</f>
        <v/>
      </c>
      <c r="BI691" s="37" t="str">
        <f aca="false">IF(BH691="","",IF(OR(O691="",BH691=""),"",IF(BH691&lt;O691,"",ROUND(((NETWORKDAYS(O691,BH691,JoursFeries)-1)*(HFer-HOuv)+IF(NETWORKDAYS(BH691,BH691,JoursFeries),MEDIAN(MOD(BH691,1),HFer,HOuv),HFer)-IF(NETWORKDAYS(O691,O691,JoursFeries),MEDIAN(MOD(O691,1),HFer,HOuv),HOuv))*24,4))))</f>
        <v/>
      </c>
      <c r="BJ691" s="35" t="str">
        <f aca="false">IF(OR(BI691="",AR691=""),"",IF(BI691&lt;=INDEX(DELAI_ESC,AR691),1,0))</f>
        <v/>
      </c>
      <c r="BK691" s="38" t="str">
        <f aca="false">IF(AO691&lt;&gt;1,"",IF(AND(T691="",U691=""),"",MIN(T691,U691)))</f>
        <v/>
      </c>
      <c r="BL691" s="37" t="str">
        <f aca="false">IF(OR(BK691="",R691=""),"",IFERROR(ROUND(IF(OR(BK691="",R691=""),"",IF(R691&lt;BK691,"",ROUND(((NETWORKDAYS(BK691,R691,JoursFeries)-1)*(HFer-HOuv)+IF(NETWORKDAYS(R691,R691,JoursFeries),MEDIAN(MOD(R691,1),HFer,HOuv),HFer)-IF(NETWORKDAYS(BK691,BK691,JoursFeries),MEDIAN(MOD(BK691,1),HFer,HOuv),HOuv))*24,4)))/HJour,4),""))</f>
        <v/>
      </c>
      <c r="BM691" s="35" t="str">
        <f aca="false">IF(OR(AO691&lt;&gt;1,R691=""),"",IF(BD691=1,1,0))</f>
        <v/>
      </c>
      <c r="BN691" s="35" t="str">
        <f aca="false">IF(AO691&lt;&gt;1,"",IF(W691="Oui",1,0))</f>
        <v/>
      </c>
      <c r="BO691" s="35" t="str">
        <f aca="false">IF(AO691&lt;&gt;1,"",IF(X691&lt;&gt;"",1,0))</f>
        <v/>
      </c>
      <c r="BP691" s="35" t="str">
        <f aca="false">IF(AO691&lt;&gt;1,"",IF(Y691="Oui",1,0))</f>
        <v/>
      </c>
      <c r="BQ691" s="35" t="str">
        <f aca="true">IF(OR(AO691&lt;&gt;1,Z691&lt;&gt;"Oui"),"",IF(AB691="",IF(AND(AA691&lt;&gt;"",NOW()&gt;AA691),0,""),IF(AA691="","",IF(AB691&lt;=AA691,1,0))))</f>
        <v/>
      </c>
      <c r="BR691" s="38" t="str">
        <f aca="false">IF(OR(AO691&lt;&gt;1,K691&lt;&gt;"Oui",O691=""),"",IF(AC691="",O691+DORA_H_DET/24,IF(AC691-O691&lt;=DORA_H_DET/24,MIN(AC691+DORA_H_CLA/24,O691+DORA_H_DET/24),AC691+DORA_H_CLA/24)))</f>
        <v/>
      </c>
      <c r="BS691" s="35" t="str">
        <f aca="true">IF(BR691="","",IF(AD691="",IF(NOW()&gt;BR691,0,""),IF(AD691&lt;=BR691,1,0)))</f>
        <v/>
      </c>
      <c r="BT691" s="35" t="str">
        <f aca="true">IF(OR(BR691="",AD691=""),"",IF(AE691="",IF(NOW()&gt;AD691+DORA_H_INT/24,0,""),IF(AE691&lt;=AD691+DORA_H_INT/24,1,0)))</f>
        <v/>
      </c>
      <c r="BU691" s="35" t="str">
        <f aca="true">IF(OR(BR691="",AE691=""),"",IF(AF691="",IF(NOW()&gt;EDATE(AE691,DORA_M_FIN)+1,0,""),IF(AF691&lt;=EDATE(AE691,DORA_M_FIN),1,0)))</f>
        <v/>
      </c>
      <c r="BV691" s="35" t="str">
        <f aca="false">IF(BR691="","",IF(COUNT(BS691:BU691)=0,"",MIN(BS691:BU691)))</f>
        <v/>
      </c>
      <c r="BW691" s="40" t="str">
        <f aca="false">IF(AQ691&lt;&gt;1,"",IF(AND(AG691="",AH691=""),"",N(AG691)-N(AH691)))</f>
        <v/>
      </c>
      <c r="BX691" s="35" t="str">
        <f aca="true">IF(OR(AQ691&lt;&gt;1,AI691&lt;&gt;"Oui",AJ691=""),"",IF(AK691="",IF(NOW()&gt;AJ691+1,0,""),IF(AK691&lt;=AJ691,1,0)))</f>
        <v/>
      </c>
    </row>
    <row r="692" customFormat="false" ht="15" hidden="false" customHeight="false" outlineLevel="0" collapsed="false">
      <c r="B692" s="29"/>
      <c r="C692" s="29"/>
      <c r="D692" s="29"/>
      <c r="E692" s="29"/>
      <c r="F692" s="29"/>
      <c r="G692" s="29"/>
      <c r="H692" s="29"/>
      <c r="I692" s="29"/>
      <c r="J692" s="29"/>
      <c r="K692" s="29"/>
      <c r="L692" s="29"/>
      <c r="M692" s="29"/>
      <c r="N692" s="30"/>
      <c r="O692" s="30"/>
      <c r="P692" s="30"/>
      <c r="Q692" s="30"/>
      <c r="R692" s="30"/>
      <c r="S692" s="30"/>
      <c r="T692" s="30"/>
      <c r="U692" s="30"/>
      <c r="V692" s="31"/>
      <c r="W692" s="29"/>
      <c r="X692" s="29"/>
      <c r="Y692" s="29"/>
      <c r="Z692" s="29"/>
      <c r="AA692" s="30"/>
      <c r="AB692" s="30"/>
      <c r="AC692" s="30"/>
      <c r="AD692" s="30"/>
      <c r="AE692" s="30"/>
      <c r="AF692" s="32"/>
      <c r="AG692" s="33"/>
      <c r="AH692" s="33"/>
      <c r="AI692" s="29"/>
      <c r="AJ692" s="32"/>
      <c r="AK692" s="32"/>
      <c r="AL692" s="29"/>
      <c r="AN692" s="34" t="str">
        <f aca="false">IF($B692="","",IF(OR(C692="",D692="",E692="",G692="",I692="",J692="",L692="",O692="",P692=""),"Champ obligatoire manquant",IF(OR(AND(N692&lt;&gt;"",N692&gt;O692),O692&gt;P692,AND(Q692&lt;&gt;"",Q692&lt;P692),AND(R692&lt;&gt;"",R692&lt;P692),AND(S692&lt;&gt;"",S692&lt;R692),AND(S692&lt;&gt;"",R692=""),AND(T692&lt;&gt;"",T692&lt;O692),AND(U692&lt;&gt;"",U692&lt;O692)),"Chronologie incohérente",IF(AND(OR(L692="Résolu",L692="Clos"),R692=""),"Date de résolution manquante",IF(AND(L692="Clos",S692=""),"Date de clôture manquante",IF(AND(K692="Oui",AC692=""),"Classification DORA manquante","OK"))))))</f>
        <v/>
      </c>
      <c r="AO692" s="35" t="str">
        <f aca="false">IF($B692="","",IF(AND(C692="Incident",L692&lt;&gt;"Annulé"),1,0))</f>
        <v/>
      </c>
      <c r="AP692" s="35" t="str">
        <f aca="false">IF($B692="","",IF(AND(C692="Quasi-incident",L692&lt;&gt;"Annulé"),1,0))</f>
        <v/>
      </c>
      <c r="AQ692" s="35" t="str">
        <f aca="false">IF($B692="","",AO692+AP692)</f>
        <v/>
      </c>
      <c r="AR692" s="36" t="str">
        <f aca="false">IF(OR($B692="",J692=""),"",IFERROR(VALUE(LEFT(J692,1)),""))</f>
        <v/>
      </c>
      <c r="AS692" s="35" t="str">
        <f aca="false">IF(OR(AO692&lt;&gt;1,G692=""),"",IFERROR(IF(INDEX(L_SrcInterne,MATCH(G692,L_Sources,0))="Oui",1,0),""))</f>
        <v/>
      </c>
      <c r="AT692" s="37" t="str">
        <f aca="false">IF(AO692&lt;&gt;1,"",IFERROR(ROUND(IF(OR(N692="",O692=""),"",IF(O692&lt;N692,"",ROUND(((NETWORKDAYS(N692,O692,JoursFeries)-1)*(HFer-HOuv)+IF(NETWORKDAYS(O692,O692,JoursFeries),MEDIAN(MOD(O692,1),HFer,HOuv),HFer)-IF(NETWORKDAYS(N692,N692,JoursFeries),MEDIAN(MOD(N692,1),HFer,HOuv),HOuv))*24,4)))/HJour,4),""))</f>
        <v/>
      </c>
      <c r="AU692" s="37" t="str">
        <f aca="false">IF(AO692&lt;&gt;1,"",IF(OR(O692="",P692=""),"",IF(P692&lt;O692,"",ROUND(((NETWORKDAYS(O692,P692,JoursFeries)-1)*(HFer-HOuv)+IF(NETWORKDAYS(P692,P692,JoursFeries),MEDIAN(MOD(P692,1),HFer,HOuv),HFer)-IF(NETWORKDAYS(O692,O692,JoursFeries),MEDIAN(MOD(O692,1),HFer,HOuv),HOuv))*24,4))))</f>
        <v/>
      </c>
      <c r="AV692" s="37" t="str">
        <f aca="false">IF(AO692&lt;&gt;1,"",IF(OR(P692="",Q692=""),"",IF(Q692&lt;P692,"",ROUND(((NETWORKDAYS(P692,Q692,JoursFeries)-1)*(HFer-HOuv)+IF(NETWORKDAYS(Q692,Q692,JoursFeries),MEDIAN(MOD(Q692,1),HFer,HOuv),HFer)-IF(NETWORKDAYS(P692,P692,JoursFeries),MEDIAN(MOD(P692,1),HFer,HOuv),HOuv))*24,4))))</f>
        <v/>
      </c>
      <c r="AW692" s="37" t="str">
        <f aca="false">IF(AO692&lt;&gt;1,"",IFERROR(ROUND(IF(OR(P692="",R692=""),"",IF(R692&lt;P692,"",ROUND(((NETWORKDAYS(P692,R692,JoursFeries)-1)*(HFer-HOuv)+IF(NETWORKDAYS(R692,R692,JoursFeries),MEDIAN(MOD(R692,1),HFer,HOuv),HFer)-IF(NETWORKDAYS(P692,P692,JoursFeries),MEDIAN(MOD(P692,1),HFer,HOuv),HOuv))*24,4)))/HJour,4),""))</f>
        <v/>
      </c>
      <c r="AX692" s="37" t="str">
        <f aca="false">IF(AO692&lt;&gt;1,"",IFERROR(ROUND(IF(OR(P692="",S692=""),"",IF(S692&lt;P692,"",ROUND(((NETWORKDAYS(P692,S692,JoursFeries)-1)*(HFer-HOuv)+IF(NETWORKDAYS(S692,S692,JoursFeries),MEDIAN(MOD(S692,1),HFer,HOuv),HFer)-IF(NETWORKDAYS(P692,P692,JoursFeries),MEDIAN(MOD(P692,1),HFer,HOuv),HOuv))*24,4)))/HJour,4),""))</f>
        <v/>
      </c>
      <c r="AY692" s="36" t="str">
        <f aca="false">IF(OR(AO692&lt;&gt;1,AR692=""),"",INDEX(SLA_PEC,AR692))</f>
        <v/>
      </c>
      <c r="AZ692" s="35" t="str">
        <f aca="false">IF(OR(AV692="",AY692=""),"",IF(AV692&lt;=AY692,1,0))</f>
        <v/>
      </c>
      <c r="BA692" s="36" t="str">
        <f aca="false">IF(OR(AO692&lt;&gt;1,AR692=""),"",INDEX(SLA_RES,AR692))</f>
        <v/>
      </c>
      <c r="BB692" s="35" t="str">
        <f aca="false">IF(OR(AW692="",BA692=""),"",IF(AW692&lt;=BA692,1,0))</f>
        <v/>
      </c>
      <c r="BC692" s="38" t="str">
        <f aca="false">IF(OR(BA692="",P692=""),"",WORKDAY(INT(P692),BA692,JoursFeries)+MOD(P692,1))</f>
        <v/>
      </c>
      <c r="BD692" s="39" t="str">
        <f aca="false">IF(AO692&lt;&gt;1,"",IF(OR(AB692&lt;&gt;"",AD692&lt;&gt;""),4,IF(U692&lt;&gt;"",3,IF(T692&lt;&gt;"",2,1))))</f>
        <v/>
      </c>
      <c r="BE692" s="39" t="str">
        <f aca="false">IF(OR(AO692&lt;&gt;1,AR692=""),"",INDEX(NIV_REQ,AR692))</f>
        <v/>
      </c>
      <c r="BF692" s="39" t="str">
        <f aca="false">IF(BE692="","",MAX(BE692,IF(OR(K692="Oui",Z692="Oui"),4,1)))</f>
        <v/>
      </c>
      <c r="BG692" s="35" t="str">
        <f aca="false">IF(OR(BF692="",BD692=""),"",IF(BD692&gt;=BF692,1,0))</f>
        <v/>
      </c>
      <c r="BH692" s="38" t="str">
        <f aca="false">IF(BE692="","",IF(BE692&lt;2,"",IF(BE692=2,IF(AND(T692="",U692=""),"",MIN(T692,U692)),IF(U692="","",U692))))</f>
        <v/>
      </c>
      <c r="BI692" s="37" t="str">
        <f aca="false">IF(BH692="","",IF(OR(O692="",BH692=""),"",IF(BH692&lt;O692,"",ROUND(((NETWORKDAYS(O692,BH692,JoursFeries)-1)*(HFer-HOuv)+IF(NETWORKDAYS(BH692,BH692,JoursFeries),MEDIAN(MOD(BH692,1),HFer,HOuv),HFer)-IF(NETWORKDAYS(O692,O692,JoursFeries),MEDIAN(MOD(O692,1),HFer,HOuv),HOuv))*24,4))))</f>
        <v/>
      </c>
      <c r="BJ692" s="35" t="str">
        <f aca="false">IF(OR(BI692="",AR692=""),"",IF(BI692&lt;=INDEX(DELAI_ESC,AR692),1,0))</f>
        <v/>
      </c>
      <c r="BK692" s="38" t="str">
        <f aca="false">IF(AO692&lt;&gt;1,"",IF(AND(T692="",U692=""),"",MIN(T692,U692)))</f>
        <v/>
      </c>
      <c r="BL692" s="37" t="str">
        <f aca="false">IF(OR(BK692="",R692=""),"",IFERROR(ROUND(IF(OR(BK692="",R692=""),"",IF(R692&lt;BK692,"",ROUND(((NETWORKDAYS(BK692,R692,JoursFeries)-1)*(HFer-HOuv)+IF(NETWORKDAYS(R692,R692,JoursFeries),MEDIAN(MOD(R692,1),HFer,HOuv),HFer)-IF(NETWORKDAYS(BK692,BK692,JoursFeries),MEDIAN(MOD(BK692,1),HFer,HOuv),HOuv))*24,4)))/HJour,4),""))</f>
        <v/>
      </c>
      <c r="BM692" s="35" t="str">
        <f aca="false">IF(OR(AO692&lt;&gt;1,R692=""),"",IF(BD692=1,1,0))</f>
        <v/>
      </c>
      <c r="BN692" s="35" t="str">
        <f aca="false">IF(AO692&lt;&gt;1,"",IF(W692="Oui",1,0))</f>
        <v/>
      </c>
      <c r="BO692" s="35" t="str">
        <f aca="false">IF(AO692&lt;&gt;1,"",IF(X692&lt;&gt;"",1,0))</f>
        <v/>
      </c>
      <c r="BP692" s="35" t="str">
        <f aca="false">IF(AO692&lt;&gt;1,"",IF(Y692="Oui",1,0))</f>
        <v/>
      </c>
      <c r="BQ692" s="35" t="str">
        <f aca="true">IF(OR(AO692&lt;&gt;1,Z692&lt;&gt;"Oui"),"",IF(AB692="",IF(AND(AA692&lt;&gt;"",NOW()&gt;AA692),0,""),IF(AA692="","",IF(AB692&lt;=AA692,1,0))))</f>
        <v/>
      </c>
      <c r="BR692" s="38" t="str">
        <f aca="false">IF(OR(AO692&lt;&gt;1,K692&lt;&gt;"Oui",O692=""),"",IF(AC692="",O692+DORA_H_DET/24,IF(AC692-O692&lt;=DORA_H_DET/24,MIN(AC692+DORA_H_CLA/24,O692+DORA_H_DET/24),AC692+DORA_H_CLA/24)))</f>
        <v/>
      </c>
      <c r="BS692" s="35" t="str">
        <f aca="true">IF(BR692="","",IF(AD692="",IF(NOW()&gt;BR692,0,""),IF(AD692&lt;=BR692,1,0)))</f>
        <v/>
      </c>
      <c r="BT692" s="35" t="str">
        <f aca="true">IF(OR(BR692="",AD692=""),"",IF(AE692="",IF(NOW()&gt;AD692+DORA_H_INT/24,0,""),IF(AE692&lt;=AD692+DORA_H_INT/24,1,0)))</f>
        <v/>
      </c>
      <c r="BU692" s="35" t="str">
        <f aca="true">IF(OR(BR692="",AE692=""),"",IF(AF692="",IF(NOW()&gt;EDATE(AE692,DORA_M_FIN)+1,0,""),IF(AF692&lt;=EDATE(AE692,DORA_M_FIN),1,0)))</f>
        <v/>
      </c>
      <c r="BV692" s="35" t="str">
        <f aca="false">IF(BR692="","",IF(COUNT(BS692:BU692)=0,"",MIN(BS692:BU692)))</f>
        <v/>
      </c>
      <c r="BW692" s="40" t="str">
        <f aca="false">IF(AQ692&lt;&gt;1,"",IF(AND(AG692="",AH692=""),"",N(AG692)-N(AH692)))</f>
        <v/>
      </c>
      <c r="BX692" s="35" t="str">
        <f aca="true">IF(OR(AQ692&lt;&gt;1,AI692&lt;&gt;"Oui",AJ692=""),"",IF(AK692="",IF(NOW()&gt;AJ692+1,0,""),IF(AK692&lt;=AJ692,1,0)))</f>
        <v/>
      </c>
    </row>
    <row r="693" customFormat="false" ht="15" hidden="false" customHeight="false" outlineLevel="0" collapsed="false">
      <c r="B693" s="29"/>
      <c r="C693" s="29"/>
      <c r="D693" s="29"/>
      <c r="E693" s="29"/>
      <c r="F693" s="29"/>
      <c r="G693" s="29"/>
      <c r="H693" s="29"/>
      <c r="I693" s="29"/>
      <c r="J693" s="29"/>
      <c r="K693" s="29"/>
      <c r="L693" s="29"/>
      <c r="M693" s="29"/>
      <c r="N693" s="30"/>
      <c r="O693" s="30"/>
      <c r="P693" s="30"/>
      <c r="Q693" s="30"/>
      <c r="R693" s="30"/>
      <c r="S693" s="30"/>
      <c r="T693" s="30"/>
      <c r="U693" s="30"/>
      <c r="V693" s="31"/>
      <c r="W693" s="29"/>
      <c r="X693" s="29"/>
      <c r="Y693" s="29"/>
      <c r="Z693" s="29"/>
      <c r="AA693" s="30"/>
      <c r="AB693" s="30"/>
      <c r="AC693" s="30"/>
      <c r="AD693" s="30"/>
      <c r="AE693" s="30"/>
      <c r="AF693" s="32"/>
      <c r="AG693" s="33"/>
      <c r="AH693" s="33"/>
      <c r="AI693" s="29"/>
      <c r="AJ693" s="32"/>
      <c r="AK693" s="32"/>
      <c r="AL693" s="29"/>
      <c r="AN693" s="34" t="str">
        <f aca="false">IF($B693="","",IF(OR(C693="",D693="",E693="",G693="",I693="",J693="",L693="",O693="",P693=""),"Champ obligatoire manquant",IF(OR(AND(N693&lt;&gt;"",N693&gt;O693),O693&gt;P693,AND(Q693&lt;&gt;"",Q693&lt;P693),AND(R693&lt;&gt;"",R693&lt;P693),AND(S693&lt;&gt;"",S693&lt;R693),AND(S693&lt;&gt;"",R693=""),AND(T693&lt;&gt;"",T693&lt;O693),AND(U693&lt;&gt;"",U693&lt;O693)),"Chronologie incohérente",IF(AND(OR(L693="Résolu",L693="Clos"),R693=""),"Date de résolution manquante",IF(AND(L693="Clos",S693=""),"Date de clôture manquante",IF(AND(K693="Oui",AC693=""),"Classification DORA manquante","OK"))))))</f>
        <v/>
      </c>
      <c r="AO693" s="35" t="str">
        <f aca="false">IF($B693="","",IF(AND(C693="Incident",L693&lt;&gt;"Annulé"),1,0))</f>
        <v/>
      </c>
      <c r="AP693" s="35" t="str">
        <f aca="false">IF($B693="","",IF(AND(C693="Quasi-incident",L693&lt;&gt;"Annulé"),1,0))</f>
        <v/>
      </c>
      <c r="AQ693" s="35" t="str">
        <f aca="false">IF($B693="","",AO693+AP693)</f>
        <v/>
      </c>
      <c r="AR693" s="36" t="str">
        <f aca="false">IF(OR($B693="",J693=""),"",IFERROR(VALUE(LEFT(J693,1)),""))</f>
        <v/>
      </c>
      <c r="AS693" s="35" t="str">
        <f aca="false">IF(OR(AO693&lt;&gt;1,G693=""),"",IFERROR(IF(INDEX(L_SrcInterne,MATCH(G693,L_Sources,0))="Oui",1,0),""))</f>
        <v/>
      </c>
      <c r="AT693" s="37" t="str">
        <f aca="false">IF(AO693&lt;&gt;1,"",IFERROR(ROUND(IF(OR(N693="",O693=""),"",IF(O693&lt;N693,"",ROUND(((NETWORKDAYS(N693,O693,JoursFeries)-1)*(HFer-HOuv)+IF(NETWORKDAYS(O693,O693,JoursFeries),MEDIAN(MOD(O693,1),HFer,HOuv),HFer)-IF(NETWORKDAYS(N693,N693,JoursFeries),MEDIAN(MOD(N693,1),HFer,HOuv),HOuv))*24,4)))/HJour,4),""))</f>
        <v/>
      </c>
      <c r="AU693" s="37" t="str">
        <f aca="false">IF(AO693&lt;&gt;1,"",IF(OR(O693="",P693=""),"",IF(P693&lt;O693,"",ROUND(((NETWORKDAYS(O693,P693,JoursFeries)-1)*(HFer-HOuv)+IF(NETWORKDAYS(P693,P693,JoursFeries),MEDIAN(MOD(P693,1),HFer,HOuv),HFer)-IF(NETWORKDAYS(O693,O693,JoursFeries),MEDIAN(MOD(O693,1),HFer,HOuv),HOuv))*24,4))))</f>
        <v/>
      </c>
      <c r="AV693" s="37" t="str">
        <f aca="false">IF(AO693&lt;&gt;1,"",IF(OR(P693="",Q693=""),"",IF(Q693&lt;P693,"",ROUND(((NETWORKDAYS(P693,Q693,JoursFeries)-1)*(HFer-HOuv)+IF(NETWORKDAYS(Q693,Q693,JoursFeries),MEDIAN(MOD(Q693,1),HFer,HOuv),HFer)-IF(NETWORKDAYS(P693,P693,JoursFeries),MEDIAN(MOD(P693,1),HFer,HOuv),HOuv))*24,4))))</f>
        <v/>
      </c>
      <c r="AW693" s="37" t="str">
        <f aca="false">IF(AO693&lt;&gt;1,"",IFERROR(ROUND(IF(OR(P693="",R693=""),"",IF(R693&lt;P693,"",ROUND(((NETWORKDAYS(P693,R693,JoursFeries)-1)*(HFer-HOuv)+IF(NETWORKDAYS(R693,R693,JoursFeries),MEDIAN(MOD(R693,1),HFer,HOuv),HFer)-IF(NETWORKDAYS(P693,P693,JoursFeries),MEDIAN(MOD(P693,1),HFer,HOuv),HOuv))*24,4)))/HJour,4),""))</f>
        <v/>
      </c>
      <c r="AX693" s="37" t="str">
        <f aca="false">IF(AO693&lt;&gt;1,"",IFERROR(ROUND(IF(OR(P693="",S693=""),"",IF(S693&lt;P693,"",ROUND(((NETWORKDAYS(P693,S693,JoursFeries)-1)*(HFer-HOuv)+IF(NETWORKDAYS(S693,S693,JoursFeries),MEDIAN(MOD(S693,1),HFer,HOuv),HFer)-IF(NETWORKDAYS(P693,P693,JoursFeries),MEDIAN(MOD(P693,1),HFer,HOuv),HOuv))*24,4)))/HJour,4),""))</f>
        <v/>
      </c>
      <c r="AY693" s="36" t="str">
        <f aca="false">IF(OR(AO693&lt;&gt;1,AR693=""),"",INDEX(SLA_PEC,AR693))</f>
        <v/>
      </c>
      <c r="AZ693" s="35" t="str">
        <f aca="false">IF(OR(AV693="",AY693=""),"",IF(AV693&lt;=AY693,1,0))</f>
        <v/>
      </c>
      <c r="BA693" s="36" t="str">
        <f aca="false">IF(OR(AO693&lt;&gt;1,AR693=""),"",INDEX(SLA_RES,AR693))</f>
        <v/>
      </c>
      <c r="BB693" s="35" t="str">
        <f aca="false">IF(OR(AW693="",BA693=""),"",IF(AW693&lt;=BA693,1,0))</f>
        <v/>
      </c>
      <c r="BC693" s="38" t="str">
        <f aca="false">IF(OR(BA693="",P693=""),"",WORKDAY(INT(P693),BA693,JoursFeries)+MOD(P693,1))</f>
        <v/>
      </c>
      <c r="BD693" s="39" t="str">
        <f aca="false">IF(AO693&lt;&gt;1,"",IF(OR(AB693&lt;&gt;"",AD693&lt;&gt;""),4,IF(U693&lt;&gt;"",3,IF(T693&lt;&gt;"",2,1))))</f>
        <v/>
      </c>
      <c r="BE693" s="39" t="str">
        <f aca="false">IF(OR(AO693&lt;&gt;1,AR693=""),"",INDEX(NIV_REQ,AR693))</f>
        <v/>
      </c>
      <c r="BF693" s="39" t="str">
        <f aca="false">IF(BE693="","",MAX(BE693,IF(OR(K693="Oui",Z693="Oui"),4,1)))</f>
        <v/>
      </c>
      <c r="BG693" s="35" t="str">
        <f aca="false">IF(OR(BF693="",BD693=""),"",IF(BD693&gt;=BF693,1,0))</f>
        <v/>
      </c>
      <c r="BH693" s="38" t="str">
        <f aca="false">IF(BE693="","",IF(BE693&lt;2,"",IF(BE693=2,IF(AND(T693="",U693=""),"",MIN(T693,U693)),IF(U693="","",U693))))</f>
        <v/>
      </c>
      <c r="BI693" s="37" t="str">
        <f aca="false">IF(BH693="","",IF(OR(O693="",BH693=""),"",IF(BH693&lt;O693,"",ROUND(((NETWORKDAYS(O693,BH693,JoursFeries)-1)*(HFer-HOuv)+IF(NETWORKDAYS(BH693,BH693,JoursFeries),MEDIAN(MOD(BH693,1),HFer,HOuv),HFer)-IF(NETWORKDAYS(O693,O693,JoursFeries),MEDIAN(MOD(O693,1),HFer,HOuv),HOuv))*24,4))))</f>
        <v/>
      </c>
      <c r="BJ693" s="35" t="str">
        <f aca="false">IF(OR(BI693="",AR693=""),"",IF(BI693&lt;=INDEX(DELAI_ESC,AR693),1,0))</f>
        <v/>
      </c>
      <c r="BK693" s="38" t="str">
        <f aca="false">IF(AO693&lt;&gt;1,"",IF(AND(T693="",U693=""),"",MIN(T693,U693)))</f>
        <v/>
      </c>
      <c r="BL693" s="37" t="str">
        <f aca="false">IF(OR(BK693="",R693=""),"",IFERROR(ROUND(IF(OR(BK693="",R693=""),"",IF(R693&lt;BK693,"",ROUND(((NETWORKDAYS(BK693,R693,JoursFeries)-1)*(HFer-HOuv)+IF(NETWORKDAYS(R693,R693,JoursFeries),MEDIAN(MOD(R693,1),HFer,HOuv),HFer)-IF(NETWORKDAYS(BK693,BK693,JoursFeries),MEDIAN(MOD(BK693,1),HFer,HOuv),HOuv))*24,4)))/HJour,4),""))</f>
        <v/>
      </c>
      <c r="BM693" s="35" t="str">
        <f aca="false">IF(OR(AO693&lt;&gt;1,R693=""),"",IF(BD693=1,1,0))</f>
        <v/>
      </c>
      <c r="BN693" s="35" t="str">
        <f aca="false">IF(AO693&lt;&gt;1,"",IF(W693="Oui",1,0))</f>
        <v/>
      </c>
      <c r="BO693" s="35" t="str">
        <f aca="false">IF(AO693&lt;&gt;1,"",IF(X693&lt;&gt;"",1,0))</f>
        <v/>
      </c>
      <c r="BP693" s="35" t="str">
        <f aca="false">IF(AO693&lt;&gt;1,"",IF(Y693="Oui",1,0))</f>
        <v/>
      </c>
      <c r="BQ693" s="35" t="str">
        <f aca="true">IF(OR(AO693&lt;&gt;1,Z693&lt;&gt;"Oui"),"",IF(AB693="",IF(AND(AA693&lt;&gt;"",NOW()&gt;AA693),0,""),IF(AA693="","",IF(AB693&lt;=AA693,1,0))))</f>
        <v/>
      </c>
      <c r="BR693" s="38" t="str">
        <f aca="false">IF(OR(AO693&lt;&gt;1,K693&lt;&gt;"Oui",O693=""),"",IF(AC693="",O693+DORA_H_DET/24,IF(AC693-O693&lt;=DORA_H_DET/24,MIN(AC693+DORA_H_CLA/24,O693+DORA_H_DET/24),AC693+DORA_H_CLA/24)))</f>
        <v/>
      </c>
      <c r="BS693" s="35" t="str">
        <f aca="true">IF(BR693="","",IF(AD693="",IF(NOW()&gt;BR693,0,""),IF(AD693&lt;=BR693,1,0)))</f>
        <v/>
      </c>
      <c r="BT693" s="35" t="str">
        <f aca="true">IF(OR(BR693="",AD693=""),"",IF(AE693="",IF(NOW()&gt;AD693+DORA_H_INT/24,0,""),IF(AE693&lt;=AD693+DORA_H_INT/24,1,0)))</f>
        <v/>
      </c>
      <c r="BU693" s="35" t="str">
        <f aca="true">IF(OR(BR693="",AE693=""),"",IF(AF693="",IF(NOW()&gt;EDATE(AE693,DORA_M_FIN)+1,0,""),IF(AF693&lt;=EDATE(AE693,DORA_M_FIN),1,0)))</f>
        <v/>
      </c>
      <c r="BV693" s="35" t="str">
        <f aca="false">IF(BR693="","",IF(COUNT(BS693:BU693)=0,"",MIN(BS693:BU693)))</f>
        <v/>
      </c>
      <c r="BW693" s="40" t="str">
        <f aca="false">IF(AQ693&lt;&gt;1,"",IF(AND(AG693="",AH693=""),"",N(AG693)-N(AH693)))</f>
        <v/>
      </c>
      <c r="BX693" s="35" t="str">
        <f aca="true">IF(OR(AQ693&lt;&gt;1,AI693&lt;&gt;"Oui",AJ693=""),"",IF(AK693="",IF(NOW()&gt;AJ693+1,0,""),IF(AK693&lt;=AJ693,1,0)))</f>
        <v/>
      </c>
    </row>
    <row r="694" customFormat="false" ht="15" hidden="false" customHeight="false" outlineLevel="0" collapsed="false">
      <c r="B694" s="29"/>
      <c r="C694" s="29"/>
      <c r="D694" s="29"/>
      <c r="E694" s="29"/>
      <c r="F694" s="29"/>
      <c r="G694" s="29"/>
      <c r="H694" s="29"/>
      <c r="I694" s="29"/>
      <c r="J694" s="29"/>
      <c r="K694" s="29"/>
      <c r="L694" s="29"/>
      <c r="M694" s="29"/>
      <c r="N694" s="30"/>
      <c r="O694" s="30"/>
      <c r="P694" s="30"/>
      <c r="Q694" s="30"/>
      <c r="R694" s="30"/>
      <c r="S694" s="30"/>
      <c r="T694" s="30"/>
      <c r="U694" s="30"/>
      <c r="V694" s="31"/>
      <c r="W694" s="29"/>
      <c r="X694" s="29"/>
      <c r="Y694" s="29"/>
      <c r="Z694" s="29"/>
      <c r="AA694" s="30"/>
      <c r="AB694" s="30"/>
      <c r="AC694" s="30"/>
      <c r="AD694" s="30"/>
      <c r="AE694" s="30"/>
      <c r="AF694" s="32"/>
      <c r="AG694" s="33"/>
      <c r="AH694" s="33"/>
      <c r="AI694" s="29"/>
      <c r="AJ694" s="32"/>
      <c r="AK694" s="32"/>
      <c r="AL694" s="29"/>
      <c r="AN694" s="34" t="str">
        <f aca="false">IF($B694="","",IF(OR(C694="",D694="",E694="",G694="",I694="",J694="",L694="",O694="",P694=""),"Champ obligatoire manquant",IF(OR(AND(N694&lt;&gt;"",N694&gt;O694),O694&gt;P694,AND(Q694&lt;&gt;"",Q694&lt;P694),AND(R694&lt;&gt;"",R694&lt;P694),AND(S694&lt;&gt;"",S694&lt;R694),AND(S694&lt;&gt;"",R694=""),AND(T694&lt;&gt;"",T694&lt;O694),AND(U694&lt;&gt;"",U694&lt;O694)),"Chronologie incohérente",IF(AND(OR(L694="Résolu",L694="Clos"),R694=""),"Date de résolution manquante",IF(AND(L694="Clos",S694=""),"Date de clôture manquante",IF(AND(K694="Oui",AC694=""),"Classification DORA manquante","OK"))))))</f>
        <v/>
      </c>
      <c r="AO694" s="35" t="str">
        <f aca="false">IF($B694="","",IF(AND(C694="Incident",L694&lt;&gt;"Annulé"),1,0))</f>
        <v/>
      </c>
      <c r="AP694" s="35" t="str">
        <f aca="false">IF($B694="","",IF(AND(C694="Quasi-incident",L694&lt;&gt;"Annulé"),1,0))</f>
        <v/>
      </c>
      <c r="AQ694" s="35" t="str">
        <f aca="false">IF($B694="","",AO694+AP694)</f>
        <v/>
      </c>
      <c r="AR694" s="36" t="str">
        <f aca="false">IF(OR($B694="",J694=""),"",IFERROR(VALUE(LEFT(J694,1)),""))</f>
        <v/>
      </c>
      <c r="AS694" s="35" t="str">
        <f aca="false">IF(OR(AO694&lt;&gt;1,G694=""),"",IFERROR(IF(INDEX(L_SrcInterne,MATCH(G694,L_Sources,0))="Oui",1,0),""))</f>
        <v/>
      </c>
      <c r="AT694" s="37" t="str">
        <f aca="false">IF(AO694&lt;&gt;1,"",IFERROR(ROUND(IF(OR(N694="",O694=""),"",IF(O694&lt;N694,"",ROUND(((NETWORKDAYS(N694,O694,JoursFeries)-1)*(HFer-HOuv)+IF(NETWORKDAYS(O694,O694,JoursFeries),MEDIAN(MOD(O694,1),HFer,HOuv),HFer)-IF(NETWORKDAYS(N694,N694,JoursFeries),MEDIAN(MOD(N694,1),HFer,HOuv),HOuv))*24,4)))/HJour,4),""))</f>
        <v/>
      </c>
      <c r="AU694" s="37" t="str">
        <f aca="false">IF(AO694&lt;&gt;1,"",IF(OR(O694="",P694=""),"",IF(P694&lt;O694,"",ROUND(((NETWORKDAYS(O694,P694,JoursFeries)-1)*(HFer-HOuv)+IF(NETWORKDAYS(P694,P694,JoursFeries),MEDIAN(MOD(P694,1),HFer,HOuv),HFer)-IF(NETWORKDAYS(O694,O694,JoursFeries),MEDIAN(MOD(O694,1),HFer,HOuv),HOuv))*24,4))))</f>
        <v/>
      </c>
      <c r="AV694" s="37" t="str">
        <f aca="false">IF(AO694&lt;&gt;1,"",IF(OR(P694="",Q694=""),"",IF(Q694&lt;P694,"",ROUND(((NETWORKDAYS(P694,Q694,JoursFeries)-1)*(HFer-HOuv)+IF(NETWORKDAYS(Q694,Q694,JoursFeries),MEDIAN(MOD(Q694,1),HFer,HOuv),HFer)-IF(NETWORKDAYS(P694,P694,JoursFeries),MEDIAN(MOD(P694,1),HFer,HOuv),HOuv))*24,4))))</f>
        <v/>
      </c>
      <c r="AW694" s="37" t="str">
        <f aca="false">IF(AO694&lt;&gt;1,"",IFERROR(ROUND(IF(OR(P694="",R694=""),"",IF(R694&lt;P694,"",ROUND(((NETWORKDAYS(P694,R694,JoursFeries)-1)*(HFer-HOuv)+IF(NETWORKDAYS(R694,R694,JoursFeries),MEDIAN(MOD(R694,1),HFer,HOuv),HFer)-IF(NETWORKDAYS(P694,P694,JoursFeries),MEDIAN(MOD(P694,1),HFer,HOuv),HOuv))*24,4)))/HJour,4),""))</f>
        <v/>
      </c>
      <c r="AX694" s="37" t="str">
        <f aca="false">IF(AO694&lt;&gt;1,"",IFERROR(ROUND(IF(OR(P694="",S694=""),"",IF(S694&lt;P694,"",ROUND(((NETWORKDAYS(P694,S694,JoursFeries)-1)*(HFer-HOuv)+IF(NETWORKDAYS(S694,S694,JoursFeries),MEDIAN(MOD(S694,1),HFer,HOuv),HFer)-IF(NETWORKDAYS(P694,P694,JoursFeries),MEDIAN(MOD(P694,1),HFer,HOuv),HOuv))*24,4)))/HJour,4),""))</f>
        <v/>
      </c>
      <c r="AY694" s="36" t="str">
        <f aca="false">IF(OR(AO694&lt;&gt;1,AR694=""),"",INDEX(SLA_PEC,AR694))</f>
        <v/>
      </c>
      <c r="AZ694" s="35" t="str">
        <f aca="false">IF(OR(AV694="",AY694=""),"",IF(AV694&lt;=AY694,1,0))</f>
        <v/>
      </c>
      <c r="BA694" s="36" t="str">
        <f aca="false">IF(OR(AO694&lt;&gt;1,AR694=""),"",INDEX(SLA_RES,AR694))</f>
        <v/>
      </c>
      <c r="BB694" s="35" t="str">
        <f aca="false">IF(OR(AW694="",BA694=""),"",IF(AW694&lt;=BA694,1,0))</f>
        <v/>
      </c>
      <c r="BC694" s="38" t="str">
        <f aca="false">IF(OR(BA694="",P694=""),"",WORKDAY(INT(P694),BA694,JoursFeries)+MOD(P694,1))</f>
        <v/>
      </c>
      <c r="BD694" s="39" t="str">
        <f aca="false">IF(AO694&lt;&gt;1,"",IF(OR(AB694&lt;&gt;"",AD694&lt;&gt;""),4,IF(U694&lt;&gt;"",3,IF(T694&lt;&gt;"",2,1))))</f>
        <v/>
      </c>
      <c r="BE694" s="39" t="str">
        <f aca="false">IF(OR(AO694&lt;&gt;1,AR694=""),"",INDEX(NIV_REQ,AR694))</f>
        <v/>
      </c>
      <c r="BF694" s="39" t="str">
        <f aca="false">IF(BE694="","",MAX(BE694,IF(OR(K694="Oui",Z694="Oui"),4,1)))</f>
        <v/>
      </c>
      <c r="BG694" s="35" t="str">
        <f aca="false">IF(OR(BF694="",BD694=""),"",IF(BD694&gt;=BF694,1,0))</f>
        <v/>
      </c>
      <c r="BH694" s="38" t="str">
        <f aca="false">IF(BE694="","",IF(BE694&lt;2,"",IF(BE694=2,IF(AND(T694="",U694=""),"",MIN(T694,U694)),IF(U694="","",U694))))</f>
        <v/>
      </c>
      <c r="BI694" s="37" t="str">
        <f aca="false">IF(BH694="","",IF(OR(O694="",BH694=""),"",IF(BH694&lt;O694,"",ROUND(((NETWORKDAYS(O694,BH694,JoursFeries)-1)*(HFer-HOuv)+IF(NETWORKDAYS(BH694,BH694,JoursFeries),MEDIAN(MOD(BH694,1),HFer,HOuv),HFer)-IF(NETWORKDAYS(O694,O694,JoursFeries),MEDIAN(MOD(O694,1),HFer,HOuv),HOuv))*24,4))))</f>
        <v/>
      </c>
      <c r="BJ694" s="35" t="str">
        <f aca="false">IF(OR(BI694="",AR694=""),"",IF(BI694&lt;=INDEX(DELAI_ESC,AR694),1,0))</f>
        <v/>
      </c>
      <c r="BK694" s="38" t="str">
        <f aca="false">IF(AO694&lt;&gt;1,"",IF(AND(T694="",U694=""),"",MIN(T694,U694)))</f>
        <v/>
      </c>
      <c r="BL694" s="37" t="str">
        <f aca="false">IF(OR(BK694="",R694=""),"",IFERROR(ROUND(IF(OR(BK694="",R694=""),"",IF(R694&lt;BK694,"",ROUND(((NETWORKDAYS(BK694,R694,JoursFeries)-1)*(HFer-HOuv)+IF(NETWORKDAYS(R694,R694,JoursFeries),MEDIAN(MOD(R694,1),HFer,HOuv),HFer)-IF(NETWORKDAYS(BK694,BK694,JoursFeries),MEDIAN(MOD(BK694,1),HFer,HOuv),HOuv))*24,4)))/HJour,4),""))</f>
        <v/>
      </c>
      <c r="BM694" s="35" t="str">
        <f aca="false">IF(OR(AO694&lt;&gt;1,R694=""),"",IF(BD694=1,1,0))</f>
        <v/>
      </c>
      <c r="BN694" s="35" t="str">
        <f aca="false">IF(AO694&lt;&gt;1,"",IF(W694="Oui",1,0))</f>
        <v/>
      </c>
      <c r="BO694" s="35" t="str">
        <f aca="false">IF(AO694&lt;&gt;1,"",IF(X694&lt;&gt;"",1,0))</f>
        <v/>
      </c>
      <c r="BP694" s="35" t="str">
        <f aca="false">IF(AO694&lt;&gt;1,"",IF(Y694="Oui",1,0))</f>
        <v/>
      </c>
      <c r="BQ694" s="35" t="str">
        <f aca="true">IF(OR(AO694&lt;&gt;1,Z694&lt;&gt;"Oui"),"",IF(AB694="",IF(AND(AA694&lt;&gt;"",NOW()&gt;AA694),0,""),IF(AA694="","",IF(AB694&lt;=AA694,1,0))))</f>
        <v/>
      </c>
      <c r="BR694" s="38" t="str">
        <f aca="false">IF(OR(AO694&lt;&gt;1,K694&lt;&gt;"Oui",O694=""),"",IF(AC694="",O694+DORA_H_DET/24,IF(AC694-O694&lt;=DORA_H_DET/24,MIN(AC694+DORA_H_CLA/24,O694+DORA_H_DET/24),AC694+DORA_H_CLA/24)))</f>
        <v/>
      </c>
      <c r="BS694" s="35" t="str">
        <f aca="true">IF(BR694="","",IF(AD694="",IF(NOW()&gt;BR694,0,""),IF(AD694&lt;=BR694,1,0)))</f>
        <v/>
      </c>
      <c r="BT694" s="35" t="str">
        <f aca="true">IF(OR(BR694="",AD694=""),"",IF(AE694="",IF(NOW()&gt;AD694+DORA_H_INT/24,0,""),IF(AE694&lt;=AD694+DORA_H_INT/24,1,0)))</f>
        <v/>
      </c>
      <c r="BU694" s="35" t="str">
        <f aca="true">IF(OR(BR694="",AE694=""),"",IF(AF694="",IF(NOW()&gt;EDATE(AE694,DORA_M_FIN)+1,0,""),IF(AF694&lt;=EDATE(AE694,DORA_M_FIN),1,0)))</f>
        <v/>
      </c>
      <c r="BV694" s="35" t="str">
        <f aca="false">IF(BR694="","",IF(COUNT(BS694:BU694)=0,"",MIN(BS694:BU694)))</f>
        <v/>
      </c>
      <c r="BW694" s="40" t="str">
        <f aca="false">IF(AQ694&lt;&gt;1,"",IF(AND(AG694="",AH694=""),"",N(AG694)-N(AH694)))</f>
        <v/>
      </c>
      <c r="BX694" s="35" t="str">
        <f aca="true">IF(OR(AQ694&lt;&gt;1,AI694&lt;&gt;"Oui",AJ694=""),"",IF(AK694="",IF(NOW()&gt;AJ694+1,0,""),IF(AK694&lt;=AJ694,1,0)))</f>
        <v/>
      </c>
    </row>
    <row r="695" customFormat="false" ht="15" hidden="false" customHeight="false" outlineLevel="0" collapsed="false">
      <c r="B695" s="29"/>
      <c r="C695" s="29"/>
      <c r="D695" s="29"/>
      <c r="E695" s="29"/>
      <c r="F695" s="29"/>
      <c r="G695" s="29"/>
      <c r="H695" s="29"/>
      <c r="I695" s="29"/>
      <c r="J695" s="29"/>
      <c r="K695" s="29"/>
      <c r="L695" s="29"/>
      <c r="M695" s="29"/>
      <c r="N695" s="30"/>
      <c r="O695" s="30"/>
      <c r="P695" s="30"/>
      <c r="Q695" s="30"/>
      <c r="R695" s="30"/>
      <c r="S695" s="30"/>
      <c r="T695" s="30"/>
      <c r="U695" s="30"/>
      <c r="V695" s="31"/>
      <c r="W695" s="29"/>
      <c r="X695" s="29"/>
      <c r="Y695" s="29"/>
      <c r="Z695" s="29"/>
      <c r="AA695" s="30"/>
      <c r="AB695" s="30"/>
      <c r="AC695" s="30"/>
      <c r="AD695" s="30"/>
      <c r="AE695" s="30"/>
      <c r="AF695" s="32"/>
      <c r="AG695" s="33"/>
      <c r="AH695" s="33"/>
      <c r="AI695" s="29"/>
      <c r="AJ695" s="32"/>
      <c r="AK695" s="32"/>
      <c r="AL695" s="29"/>
      <c r="AN695" s="34" t="str">
        <f aca="false">IF($B695="","",IF(OR(C695="",D695="",E695="",G695="",I695="",J695="",L695="",O695="",P695=""),"Champ obligatoire manquant",IF(OR(AND(N695&lt;&gt;"",N695&gt;O695),O695&gt;P695,AND(Q695&lt;&gt;"",Q695&lt;P695),AND(R695&lt;&gt;"",R695&lt;P695),AND(S695&lt;&gt;"",S695&lt;R695),AND(S695&lt;&gt;"",R695=""),AND(T695&lt;&gt;"",T695&lt;O695),AND(U695&lt;&gt;"",U695&lt;O695)),"Chronologie incohérente",IF(AND(OR(L695="Résolu",L695="Clos"),R695=""),"Date de résolution manquante",IF(AND(L695="Clos",S695=""),"Date de clôture manquante",IF(AND(K695="Oui",AC695=""),"Classification DORA manquante","OK"))))))</f>
        <v/>
      </c>
      <c r="AO695" s="35" t="str">
        <f aca="false">IF($B695="","",IF(AND(C695="Incident",L695&lt;&gt;"Annulé"),1,0))</f>
        <v/>
      </c>
      <c r="AP695" s="35" t="str">
        <f aca="false">IF($B695="","",IF(AND(C695="Quasi-incident",L695&lt;&gt;"Annulé"),1,0))</f>
        <v/>
      </c>
      <c r="AQ695" s="35" t="str">
        <f aca="false">IF($B695="","",AO695+AP695)</f>
        <v/>
      </c>
      <c r="AR695" s="36" t="str">
        <f aca="false">IF(OR($B695="",J695=""),"",IFERROR(VALUE(LEFT(J695,1)),""))</f>
        <v/>
      </c>
      <c r="AS695" s="35" t="str">
        <f aca="false">IF(OR(AO695&lt;&gt;1,G695=""),"",IFERROR(IF(INDEX(L_SrcInterne,MATCH(G695,L_Sources,0))="Oui",1,0),""))</f>
        <v/>
      </c>
      <c r="AT695" s="37" t="str">
        <f aca="false">IF(AO695&lt;&gt;1,"",IFERROR(ROUND(IF(OR(N695="",O695=""),"",IF(O695&lt;N695,"",ROUND(((NETWORKDAYS(N695,O695,JoursFeries)-1)*(HFer-HOuv)+IF(NETWORKDAYS(O695,O695,JoursFeries),MEDIAN(MOD(O695,1),HFer,HOuv),HFer)-IF(NETWORKDAYS(N695,N695,JoursFeries),MEDIAN(MOD(N695,1),HFer,HOuv),HOuv))*24,4)))/HJour,4),""))</f>
        <v/>
      </c>
      <c r="AU695" s="37" t="str">
        <f aca="false">IF(AO695&lt;&gt;1,"",IF(OR(O695="",P695=""),"",IF(P695&lt;O695,"",ROUND(((NETWORKDAYS(O695,P695,JoursFeries)-1)*(HFer-HOuv)+IF(NETWORKDAYS(P695,P695,JoursFeries),MEDIAN(MOD(P695,1),HFer,HOuv),HFer)-IF(NETWORKDAYS(O695,O695,JoursFeries),MEDIAN(MOD(O695,1),HFer,HOuv),HOuv))*24,4))))</f>
        <v/>
      </c>
      <c r="AV695" s="37" t="str">
        <f aca="false">IF(AO695&lt;&gt;1,"",IF(OR(P695="",Q695=""),"",IF(Q695&lt;P695,"",ROUND(((NETWORKDAYS(P695,Q695,JoursFeries)-1)*(HFer-HOuv)+IF(NETWORKDAYS(Q695,Q695,JoursFeries),MEDIAN(MOD(Q695,1),HFer,HOuv),HFer)-IF(NETWORKDAYS(P695,P695,JoursFeries),MEDIAN(MOD(P695,1),HFer,HOuv),HOuv))*24,4))))</f>
        <v/>
      </c>
      <c r="AW695" s="37" t="str">
        <f aca="false">IF(AO695&lt;&gt;1,"",IFERROR(ROUND(IF(OR(P695="",R695=""),"",IF(R695&lt;P695,"",ROUND(((NETWORKDAYS(P695,R695,JoursFeries)-1)*(HFer-HOuv)+IF(NETWORKDAYS(R695,R695,JoursFeries),MEDIAN(MOD(R695,1),HFer,HOuv),HFer)-IF(NETWORKDAYS(P695,P695,JoursFeries),MEDIAN(MOD(P695,1),HFer,HOuv),HOuv))*24,4)))/HJour,4),""))</f>
        <v/>
      </c>
      <c r="AX695" s="37" t="str">
        <f aca="false">IF(AO695&lt;&gt;1,"",IFERROR(ROUND(IF(OR(P695="",S695=""),"",IF(S695&lt;P695,"",ROUND(((NETWORKDAYS(P695,S695,JoursFeries)-1)*(HFer-HOuv)+IF(NETWORKDAYS(S695,S695,JoursFeries),MEDIAN(MOD(S695,1),HFer,HOuv),HFer)-IF(NETWORKDAYS(P695,P695,JoursFeries),MEDIAN(MOD(P695,1),HFer,HOuv),HOuv))*24,4)))/HJour,4),""))</f>
        <v/>
      </c>
      <c r="AY695" s="36" t="str">
        <f aca="false">IF(OR(AO695&lt;&gt;1,AR695=""),"",INDEX(SLA_PEC,AR695))</f>
        <v/>
      </c>
      <c r="AZ695" s="35" t="str">
        <f aca="false">IF(OR(AV695="",AY695=""),"",IF(AV695&lt;=AY695,1,0))</f>
        <v/>
      </c>
      <c r="BA695" s="36" t="str">
        <f aca="false">IF(OR(AO695&lt;&gt;1,AR695=""),"",INDEX(SLA_RES,AR695))</f>
        <v/>
      </c>
      <c r="BB695" s="35" t="str">
        <f aca="false">IF(OR(AW695="",BA695=""),"",IF(AW695&lt;=BA695,1,0))</f>
        <v/>
      </c>
      <c r="BC695" s="38" t="str">
        <f aca="false">IF(OR(BA695="",P695=""),"",WORKDAY(INT(P695),BA695,JoursFeries)+MOD(P695,1))</f>
        <v/>
      </c>
      <c r="BD695" s="39" t="str">
        <f aca="false">IF(AO695&lt;&gt;1,"",IF(OR(AB695&lt;&gt;"",AD695&lt;&gt;""),4,IF(U695&lt;&gt;"",3,IF(T695&lt;&gt;"",2,1))))</f>
        <v/>
      </c>
      <c r="BE695" s="39" t="str">
        <f aca="false">IF(OR(AO695&lt;&gt;1,AR695=""),"",INDEX(NIV_REQ,AR695))</f>
        <v/>
      </c>
      <c r="BF695" s="39" t="str">
        <f aca="false">IF(BE695="","",MAX(BE695,IF(OR(K695="Oui",Z695="Oui"),4,1)))</f>
        <v/>
      </c>
      <c r="BG695" s="35" t="str">
        <f aca="false">IF(OR(BF695="",BD695=""),"",IF(BD695&gt;=BF695,1,0))</f>
        <v/>
      </c>
      <c r="BH695" s="38" t="str">
        <f aca="false">IF(BE695="","",IF(BE695&lt;2,"",IF(BE695=2,IF(AND(T695="",U695=""),"",MIN(T695,U695)),IF(U695="","",U695))))</f>
        <v/>
      </c>
      <c r="BI695" s="37" t="str">
        <f aca="false">IF(BH695="","",IF(OR(O695="",BH695=""),"",IF(BH695&lt;O695,"",ROUND(((NETWORKDAYS(O695,BH695,JoursFeries)-1)*(HFer-HOuv)+IF(NETWORKDAYS(BH695,BH695,JoursFeries),MEDIAN(MOD(BH695,1),HFer,HOuv),HFer)-IF(NETWORKDAYS(O695,O695,JoursFeries),MEDIAN(MOD(O695,1),HFer,HOuv),HOuv))*24,4))))</f>
        <v/>
      </c>
      <c r="BJ695" s="35" t="str">
        <f aca="false">IF(OR(BI695="",AR695=""),"",IF(BI695&lt;=INDEX(DELAI_ESC,AR695),1,0))</f>
        <v/>
      </c>
      <c r="BK695" s="38" t="str">
        <f aca="false">IF(AO695&lt;&gt;1,"",IF(AND(T695="",U695=""),"",MIN(T695,U695)))</f>
        <v/>
      </c>
      <c r="BL695" s="37" t="str">
        <f aca="false">IF(OR(BK695="",R695=""),"",IFERROR(ROUND(IF(OR(BK695="",R695=""),"",IF(R695&lt;BK695,"",ROUND(((NETWORKDAYS(BK695,R695,JoursFeries)-1)*(HFer-HOuv)+IF(NETWORKDAYS(R695,R695,JoursFeries),MEDIAN(MOD(R695,1),HFer,HOuv),HFer)-IF(NETWORKDAYS(BK695,BK695,JoursFeries),MEDIAN(MOD(BK695,1),HFer,HOuv),HOuv))*24,4)))/HJour,4),""))</f>
        <v/>
      </c>
      <c r="BM695" s="35" t="str">
        <f aca="false">IF(OR(AO695&lt;&gt;1,R695=""),"",IF(BD695=1,1,0))</f>
        <v/>
      </c>
      <c r="BN695" s="35" t="str">
        <f aca="false">IF(AO695&lt;&gt;1,"",IF(W695="Oui",1,0))</f>
        <v/>
      </c>
      <c r="BO695" s="35" t="str">
        <f aca="false">IF(AO695&lt;&gt;1,"",IF(X695&lt;&gt;"",1,0))</f>
        <v/>
      </c>
      <c r="BP695" s="35" t="str">
        <f aca="false">IF(AO695&lt;&gt;1,"",IF(Y695="Oui",1,0))</f>
        <v/>
      </c>
      <c r="BQ695" s="35" t="str">
        <f aca="true">IF(OR(AO695&lt;&gt;1,Z695&lt;&gt;"Oui"),"",IF(AB695="",IF(AND(AA695&lt;&gt;"",NOW()&gt;AA695),0,""),IF(AA695="","",IF(AB695&lt;=AA695,1,0))))</f>
        <v/>
      </c>
      <c r="BR695" s="38" t="str">
        <f aca="false">IF(OR(AO695&lt;&gt;1,K695&lt;&gt;"Oui",O695=""),"",IF(AC695="",O695+DORA_H_DET/24,IF(AC695-O695&lt;=DORA_H_DET/24,MIN(AC695+DORA_H_CLA/24,O695+DORA_H_DET/24),AC695+DORA_H_CLA/24)))</f>
        <v/>
      </c>
      <c r="BS695" s="35" t="str">
        <f aca="true">IF(BR695="","",IF(AD695="",IF(NOW()&gt;BR695,0,""),IF(AD695&lt;=BR695,1,0)))</f>
        <v/>
      </c>
      <c r="BT695" s="35" t="str">
        <f aca="true">IF(OR(BR695="",AD695=""),"",IF(AE695="",IF(NOW()&gt;AD695+DORA_H_INT/24,0,""),IF(AE695&lt;=AD695+DORA_H_INT/24,1,0)))</f>
        <v/>
      </c>
      <c r="BU695" s="35" t="str">
        <f aca="true">IF(OR(BR695="",AE695=""),"",IF(AF695="",IF(NOW()&gt;EDATE(AE695,DORA_M_FIN)+1,0,""),IF(AF695&lt;=EDATE(AE695,DORA_M_FIN),1,0)))</f>
        <v/>
      </c>
      <c r="BV695" s="35" t="str">
        <f aca="false">IF(BR695="","",IF(COUNT(BS695:BU695)=0,"",MIN(BS695:BU695)))</f>
        <v/>
      </c>
      <c r="BW695" s="40" t="str">
        <f aca="false">IF(AQ695&lt;&gt;1,"",IF(AND(AG695="",AH695=""),"",N(AG695)-N(AH695)))</f>
        <v/>
      </c>
      <c r="BX695" s="35" t="str">
        <f aca="true">IF(OR(AQ695&lt;&gt;1,AI695&lt;&gt;"Oui",AJ695=""),"",IF(AK695="",IF(NOW()&gt;AJ695+1,0,""),IF(AK695&lt;=AJ695,1,0)))</f>
        <v/>
      </c>
    </row>
    <row r="696" customFormat="false" ht="15" hidden="false" customHeight="false" outlineLevel="0" collapsed="false">
      <c r="B696" s="29"/>
      <c r="C696" s="29"/>
      <c r="D696" s="29"/>
      <c r="E696" s="29"/>
      <c r="F696" s="29"/>
      <c r="G696" s="29"/>
      <c r="H696" s="29"/>
      <c r="I696" s="29"/>
      <c r="J696" s="29"/>
      <c r="K696" s="29"/>
      <c r="L696" s="29"/>
      <c r="M696" s="29"/>
      <c r="N696" s="30"/>
      <c r="O696" s="30"/>
      <c r="P696" s="30"/>
      <c r="Q696" s="30"/>
      <c r="R696" s="30"/>
      <c r="S696" s="30"/>
      <c r="T696" s="30"/>
      <c r="U696" s="30"/>
      <c r="V696" s="31"/>
      <c r="W696" s="29"/>
      <c r="X696" s="29"/>
      <c r="Y696" s="29"/>
      <c r="Z696" s="29"/>
      <c r="AA696" s="30"/>
      <c r="AB696" s="30"/>
      <c r="AC696" s="30"/>
      <c r="AD696" s="30"/>
      <c r="AE696" s="30"/>
      <c r="AF696" s="32"/>
      <c r="AG696" s="33"/>
      <c r="AH696" s="33"/>
      <c r="AI696" s="29"/>
      <c r="AJ696" s="32"/>
      <c r="AK696" s="32"/>
      <c r="AL696" s="29"/>
      <c r="AN696" s="34" t="str">
        <f aca="false">IF($B696="","",IF(OR(C696="",D696="",E696="",G696="",I696="",J696="",L696="",O696="",P696=""),"Champ obligatoire manquant",IF(OR(AND(N696&lt;&gt;"",N696&gt;O696),O696&gt;P696,AND(Q696&lt;&gt;"",Q696&lt;P696),AND(R696&lt;&gt;"",R696&lt;P696),AND(S696&lt;&gt;"",S696&lt;R696),AND(S696&lt;&gt;"",R696=""),AND(T696&lt;&gt;"",T696&lt;O696),AND(U696&lt;&gt;"",U696&lt;O696)),"Chronologie incohérente",IF(AND(OR(L696="Résolu",L696="Clos"),R696=""),"Date de résolution manquante",IF(AND(L696="Clos",S696=""),"Date de clôture manquante",IF(AND(K696="Oui",AC696=""),"Classification DORA manquante","OK"))))))</f>
        <v/>
      </c>
      <c r="AO696" s="35" t="str">
        <f aca="false">IF($B696="","",IF(AND(C696="Incident",L696&lt;&gt;"Annulé"),1,0))</f>
        <v/>
      </c>
      <c r="AP696" s="35" t="str">
        <f aca="false">IF($B696="","",IF(AND(C696="Quasi-incident",L696&lt;&gt;"Annulé"),1,0))</f>
        <v/>
      </c>
      <c r="AQ696" s="35" t="str">
        <f aca="false">IF($B696="","",AO696+AP696)</f>
        <v/>
      </c>
      <c r="AR696" s="36" t="str">
        <f aca="false">IF(OR($B696="",J696=""),"",IFERROR(VALUE(LEFT(J696,1)),""))</f>
        <v/>
      </c>
      <c r="AS696" s="35" t="str">
        <f aca="false">IF(OR(AO696&lt;&gt;1,G696=""),"",IFERROR(IF(INDEX(L_SrcInterne,MATCH(G696,L_Sources,0))="Oui",1,0),""))</f>
        <v/>
      </c>
      <c r="AT696" s="37" t="str">
        <f aca="false">IF(AO696&lt;&gt;1,"",IFERROR(ROUND(IF(OR(N696="",O696=""),"",IF(O696&lt;N696,"",ROUND(((NETWORKDAYS(N696,O696,JoursFeries)-1)*(HFer-HOuv)+IF(NETWORKDAYS(O696,O696,JoursFeries),MEDIAN(MOD(O696,1),HFer,HOuv),HFer)-IF(NETWORKDAYS(N696,N696,JoursFeries),MEDIAN(MOD(N696,1),HFer,HOuv),HOuv))*24,4)))/HJour,4),""))</f>
        <v/>
      </c>
      <c r="AU696" s="37" t="str">
        <f aca="false">IF(AO696&lt;&gt;1,"",IF(OR(O696="",P696=""),"",IF(P696&lt;O696,"",ROUND(((NETWORKDAYS(O696,P696,JoursFeries)-1)*(HFer-HOuv)+IF(NETWORKDAYS(P696,P696,JoursFeries),MEDIAN(MOD(P696,1),HFer,HOuv),HFer)-IF(NETWORKDAYS(O696,O696,JoursFeries),MEDIAN(MOD(O696,1),HFer,HOuv),HOuv))*24,4))))</f>
        <v/>
      </c>
      <c r="AV696" s="37" t="str">
        <f aca="false">IF(AO696&lt;&gt;1,"",IF(OR(P696="",Q696=""),"",IF(Q696&lt;P696,"",ROUND(((NETWORKDAYS(P696,Q696,JoursFeries)-1)*(HFer-HOuv)+IF(NETWORKDAYS(Q696,Q696,JoursFeries),MEDIAN(MOD(Q696,1),HFer,HOuv),HFer)-IF(NETWORKDAYS(P696,P696,JoursFeries),MEDIAN(MOD(P696,1),HFer,HOuv),HOuv))*24,4))))</f>
        <v/>
      </c>
      <c r="AW696" s="37" t="str">
        <f aca="false">IF(AO696&lt;&gt;1,"",IFERROR(ROUND(IF(OR(P696="",R696=""),"",IF(R696&lt;P696,"",ROUND(((NETWORKDAYS(P696,R696,JoursFeries)-1)*(HFer-HOuv)+IF(NETWORKDAYS(R696,R696,JoursFeries),MEDIAN(MOD(R696,1),HFer,HOuv),HFer)-IF(NETWORKDAYS(P696,P696,JoursFeries),MEDIAN(MOD(P696,1),HFer,HOuv),HOuv))*24,4)))/HJour,4),""))</f>
        <v/>
      </c>
      <c r="AX696" s="37" t="str">
        <f aca="false">IF(AO696&lt;&gt;1,"",IFERROR(ROUND(IF(OR(P696="",S696=""),"",IF(S696&lt;P696,"",ROUND(((NETWORKDAYS(P696,S696,JoursFeries)-1)*(HFer-HOuv)+IF(NETWORKDAYS(S696,S696,JoursFeries),MEDIAN(MOD(S696,1),HFer,HOuv),HFer)-IF(NETWORKDAYS(P696,P696,JoursFeries),MEDIAN(MOD(P696,1),HFer,HOuv),HOuv))*24,4)))/HJour,4),""))</f>
        <v/>
      </c>
      <c r="AY696" s="36" t="str">
        <f aca="false">IF(OR(AO696&lt;&gt;1,AR696=""),"",INDEX(SLA_PEC,AR696))</f>
        <v/>
      </c>
      <c r="AZ696" s="35" t="str">
        <f aca="false">IF(OR(AV696="",AY696=""),"",IF(AV696&lt;=AY696,1,0))</f>
        <v/>
      </c>
      <c r="BA696" s="36" t="str">
        <f aca="false">IF(OR(AO696&lt;&gt;1,AR696=""),"",INDEX(SLA_RES,AR696))</f>
        <v/>
      </c>
      <c r="BB696" s="35" t="str">
        <f aca="false">IF(OR(AW696="",BA696=""),"",IF(AW696&lt;=BA696,1,0))</f>
        <v/>
      </c>
      <c r="BC696" s="38" t="str">
        <f aca="false">IF(OR(BA696="",P696=""),"",WORKDAY(INT(P696),BA696,JoursFeries)+MOD(P696,1))</f>
        <v/>
      </c>
      <c r="BD696" s="39" t="str">
        <f aca="false">IF(AO696&lt;&gt;1,"",IF(OR(AB696&lt;&gt;"",AD696&lt;&gt;""),4,IF(U696&lt;&gt;"",3,IF(T696&lt;&gt;"",2,1))))</f>
        <v/>
      </c>
      <c r="BE696" s="39" t="str">
        <f aca="false">IF(OR(AO696&lt;&gt;1,AR696=""),"",INDEX(NIV_REQ,AR696))</f>
        <v/>
      </c>
      <c r="BF696" s="39" t="str">
        <f aca="false">IF(BE696="","",MAX(BE696,IF(OR(K696="Oui",Z696="Oui"),4,1)))</f>
        <v/>
      </c>
      <c r="BG696" s="35" t="str">
        <f aca="false">IF(OR(BF696="",BD696=""),"",IF(BD696&gt;=BF696,1,0))</f>
        <v/>
      </c>
      <c r="BH696" s="38" t="str">
        <f aca="false">IF(BE696="","",IF(BE696&lt;2,"",IF(BE696=2,IF(AND(T696="",U696=""),"",MIN(T696,U696)),IF(U696="","",U696))))</f>
        <v/>
      </c>
      <c r="BI696" s="37" t="str">
        <f aca="false">IF(BH696="","",IF(OR(O696="",BH696=""),"",IF(BH696&lt;O696,"",ROUND(((NETWORKDAYS(O696,BH696,JoursFeries)-1)*(HFer-HOuv)+IF(NETWORKDAYS(BH696,BH696,JoursFeries),MEDIAN(MOD(BH696,1),HFer,HOuv),HFer)-IF(NETWORKDAYS(O696,O696,JoursFeries),MEDIAN(MOD(O696,1),HFer,HOuv),HOuv))*24,4))))</f>
        <v/>
      </c>
      <c r="BJ696" s="35" t="str">
        <f aca="false">IF(OR(BI696="",AR696=""),"",IF(BI696&lt;=INDEX(DELAI_ESC,AR696),1,0))</f>
        <v/>
      </c>
      <c r="BK696" s="38" t="str">
        <f aca="false">IF(AO696&lt;&gt;1,"",IF(AND(T696="",U696=""),"",MIN(T696,U696)))</f>
        <v/>
      </c>
      <c r="BL696" s="37" t="str">
        <f aca="false">IF(OR(BK696="",R696=""),"",IFERROR(ROUND(IF(OR(BK696="",R696=""),"",IF(R696&lt;BK696,"",ROUND(((NETWORKDAYS(BK696,R696,JoursFeries)-1)*(HFer-HOuv)+IF(NETWORKDAYS(R696,R696,JoursFeries),MEDIAN(MOD(R696,1),HFer,HOuv),HFer)-IF(NETWORKDAYS(BK696,BK696,JoursFeries),MEDIAN(MOD(BK696,1),HFer,HOuv),HOuv))*24,4)))/HJour,4),""))</f>
        <v/>
      </c>
      <c r="BM696" s="35" t="str">
        <f aca="false">IF(OR(AO696&lt;&gt;1,R696=""),"",IF(BD696=1,1,0))</f>
        <v/>
      </c>
      <c r="BN696" s="35" t="str">
        <f aca="false">IF(AO696&lt;&gt;1,"",IF(W696="Oui",1,0))</f>
        <v/>
      </c>
      <c r="BO696" s="35" t="str">
        <f aca="false">IF(AO696&lt;&gt;1,"",IF(X696&lt;&gt;"",1,0))</f>
        <v/>
      </c>
      <c r="BP696" s="35" t="str">
        <f aca="false">IF(AO696&lt;&gt;1,"",IF(Y696="Oui",1,0))</f>
        <v/>
      </c>
      <c r="BQ696" s="35" t="str">
        <f aca="true">IF(OR(AO696&lt;&gt;1,Z696&lt;&gt;"Oui"),"",IF(AB696="",IF(AND(AA696&lt;&gt;"",NOW()&gt;AA696),0,""),IF(AA696="","",IF(AB696&lt;=AA696,1,0))))</f>
        <v/>
      </c>
      <c r="BR696" s="38" t="str">
        <f aca="false">IF(OR(AO696&lt;&gt;1,K696&lt;&gt;"Oui",O696=""),"",IF(AC696="",O696+DORA_H_DET/24,IF(AC696-O696&lt;=DORA_H_DET/24,MIN(AC696+DORA_H_CLA/24,O696+DORA_H_DET/24),AC696+DORA_H_CLA/24)))</f>
        <v/>
      </c>
      <c r="BS696" s="35" t="str">
        <f aca="true">IF(BR696="","",IF(AD696="",IF(NOW()&gt;BR696,0,""),IF(AD696&lt;=BR696,1,0)))</f>
        <v/>
      </c>
      <c r="BT696" s="35" t="str">
        <f aca="true">IF(OR(BR696="",AD696=""),"",IF(AE696="",IF(NOW()&gt;AD696+DORA_H_INT/24,0,""),IF(AE696&lt;=AD696+DORA_H_INT/24,1,0)))</f>
        <v/>
      </c>
      <c r="BU696" s="35" t="str">
        <f aca="true">IF(OR(BR696="",AE696=""),"",IF(AF696="",IF(NOW()&gt;EDATE(AE696,DORA_M_FIN)+1,0,""),IF(AF696&lt;=EDATE(AE696,DORA_M_FIN),1,0)))</f>
        <v/>
      </c>
      <c r="BV696" s="35" t="str">
        <f aca="false">IF(BR696="","",IF(COUNT(BS696:BU696)=0,"",MIN(BS696:BU696)))</f>
        <v/>
      </c>
      <c r="BW696" s="40" t="str">
        <f aca="false">IF(AQ696&lt;&gt;1,"",IF(AND(AG696="",AH696=""),"",N(AG696)-N(AH696)))</f>
        <v/>
      </c>
      <c r="BX696" s="35" t="str">
        <f aca="true">IF(OR(AQ696&lt;&gt;1,AI696&lt;&gt;"Oui",AJ696=""),"",IF(AK696="",IF(NOW()&gt;AJ696+1,0,""),IF(AK696&lt;=AJ696,1,0)))</f>
        <v/>
      </c>
    </row>
    <row r="697" customFormat="false" ht="15" hidden="false" customHeight="false" outlineLevel="0" collapsed="false">
      <c r="B697" s="29"/>
      <c r="C697" s="29"/>
      <c r="D697" s="29"/>
      <c r="E697" s="29"/>
      <c r="F697" s="29"/>
      <c r="G697" s="29"/>
      <c r="H697" s="29"/>
      <c r="I697" s="29"/>
      <c r="J697" s="29"/>
      <c r="K697" s="29"/>
      <c r="L697" s="29"/>
      <c r="M697" s="29"/>
      <c r="N697" s="30"/>
      <c r="O697" s="30"/>
      <c r="P697" s="30"/>
      <c r="Q697" s="30"/>
      <c r="R697" s="30"/>
      <c r="S697" s="30"/>
      <c r="T697" s="30"/>
      <c r="U697" s="30"/>
      <c r="V697" s="31"/>
      <c r="W697" s="29"/>
      <c r="X697" s="29"/>
      <c r="Y697" s="29"/>
      <c r="Z697" s="29"/>
      <c r="AA697" s="30"/>
      <c r="AB697" s="30"/>
      <c r="AC697" s="30"/>
      <c r="AD697" s="30"/>
      <c r="AE697" s="30"/>
      <c r="AF697" s="32"/>
      <c r="AG697" s="33"/>
      <c r="AH697" s="33"/>
      <c r="AI697" s="29"/>
      <c r="AJ697" s="32"/>
      <c r="AK697" s="32"/>
      <c r="AL697" s="29"/>
      <c r="AN697" s="34" t="str">
        <f aca="false">IF($B697="","",IF(OR(C697="",D697="",E697="",G697="",I697="",J697="",L697="",O697="",P697=""),"Champ obligatoire manquant",IF(OR(AND(N697&lt;&gt;"",N697&gt;O697),O697&gt;P697,AND(Q697&lt;&gt;"",Q697&lt;P697),AND(R697&lt;&gt;"",R697&lt;P697),AND(S697&lt;&gt;"",S697&lt;R697),AND(S697&lt;&gt;"",R697=""),AND(T697&lt;&gt;"",T697&lt;O697),AND(U697&lt;&gt;"",U697&lt;O697)),"Chronologie incohérente",IF(AND(OR(L697="Résolu",L697="Clos"),R697=""),"Date de résolution manquante",IF(AND(L697="Clos",S697=""),"Date de clôture manquante",IF(AND(K697="Oui",AC697=""),"Classification DORA manquante","OK"))))))</f>
        <v/>
      </c>
      <c r="AO697" s="35" t="str">
        <f aca="false">IF($B697="","",IF(AND(C697="Incident",L697&lt;&gt;"Annulé"),1,0))</f>
        <v/>
      </c>
      <c r="AP697" s="35" t="str">
        <f aca="false">IF($B697="","",IF(AND(C697="Quasi-incident",L697&lt;&gt;"Annulé"),1,0))</f>
        <v/>
      </c>
      <c r="AQ697" s="35" t="str">
        <f aca="false">IF($B697="","",AO697+AP697)</f>
        <v/>
      </c>
      <c r="AR697" s="36" t="str">
        <f aca="false">IF(OR($B697="",J697=""),"",IFERROR(VALUE(LEFT(J697,1)),""))</f>
        <v/>
      </c>
      <c r="AS697" s="35" t="str">
        <f aca="false">IF(OR(AO697&lt;&gt;1,G697=""),"",IFERROR(IF(INDEX(L_SrcInterne,MATCH(G697,L_Sources,0))="Oui",1,0),""))</f>
        <v/>
      </c>
      <c r="AT697" s="37" t="str">
        <f aca="false">IF(AO697&lt;&gt;1,"",IFERROR(ROUND(IF(OR(N697="",O697=""),"",IF(O697&lt;N697,"",ROUND(((NETWORKDAYS(N697,O697,JoursFeries)-1)*(HFer-HOuv)+IF(NETWORKDAYS(O697,O697,JoursFeries),MEDIAN(MOD(O697,1),HFer,HOuv),HFer)-IF(NETWORKDAYS(N697,N697,JoursFeries),MEDIAN(MOD(N697,1),HFer,HOuv),HOuv))*24,4)))/HJour,4),""))</f>
        <v/>
      </c>
      <c r="AU697" s="37" t="str">
        <f aca="false">IF(AO697&lt;&gt;1,"",IF(OR(O697="",P697=""),"",IF(P697&lt;O697,"",ROUND(((NETWORKDAYS(O697,P697,JoursFeries)-1)*(HFer-HOuv)+IF(NETWORKDAYS(P697,P697,JoursFeries),MEDIAN(MOD(P697,1),HFer,HOuv),HFer)-IF(NETWORKDAYS(O697,O697,JoursFeries),MEDIAN(MOD(O697,1),HFer,HOuv),HOuv))*24,4))))</f>
        <v/>
      </c>
      <c r="AV697" s="37" t="str">
        <f aca="false">IF(AO697&lt;&gt;1,"",IF(OR(P697="",Q697=""),"",IF(Q697&lt;P697,"",ROUND(((NETWORKDAYS(P697,Q697,JoursFeries)-1)*(HFer-HOuv)+IF(NETWORKDAYS(Q697,Q697,JoursFeries),MEDIAN(MOD(Q697,1),HFer,HOuv),HFer)-IF(NETWORKDAYS(P697,P697,JoursFeries),MEDIAN(MOD(P697,1),HFer,HOuv),HOuv))*24,4))))</f>
        <v/>
      </c>
      <c r="AW697" s="37" t="str">
        <f aca="false">IF(AO697&lt;&gt;1,"",IFERROR(ROUND(IF(OR(P697="",R697=""),"",IF(R697&lt;P697,"",ROUND(((NETWORKDAYS(P697,R697,JoursFeries)-1)*(HFer-HOuv)+IF(NETWORKDAYS(R697,R697,JoursFeries),MEDIAN(MOD(R697,1),HFer,HOuv),HFer)-IF(NETWORKDAYS(P697,P697,JoursFeries),MEDIAN(MOD(P697,1),HFer,HOuv),HOuv))*24,4)))/HJour,4),""))</f>
        <v/>
      </c>
      <c r="AX697" s="37" t="str">
        <f aca="false">IF(AO697&lt;&gt;1,"",IFERROR(ROUND(IF(OR(P697="",S697=""),"",IF(S697&lt;P697,"",ROUND(((NETWORKDAYS(P697,S697,JoursFeries)-1)*(HFer-HOuv)+IF(NETWORKDAYS(S697,S697,JoursFeries),MEDIAN(MOD(S697,1),HFer,HOuv),HFer)-IF(NETWORKDAYS(P697,P697,JoursFeries),MEDIAN(MOD(P697,1),HFer,HOuv),HOuv))*24,4)))/HJour,4),""))</f>
        <v/>
      </c>
      <c r="AY697" s="36" t="str">
        <f aca="false">IF(OR(AO697&lt;&gt;1,AR697=""),"",INDEX(SLA_PEC,AR697))</f>
        <v/>
      </c>
      <c r="AZ697" s="35" t="str">
        <f aca="false">IF(OR(AV697="",AY697=""),"",IF(AV697&lt;=AY697,1,0))</f>
        <v/>
      </c>
      <c r="BA697" s="36" t="str">
        <f aca="false">IF(OR(AO697&lt;&gt;1,AR697=""),"",INDEX(SLA_RES,AR697))</f>
        <v/>
      </c>
      <c r="BB697" s="35" t="str">
        <f aca="false">IF(OR(AW697="",BA697=""),"",IF(AW697&lt;=BA697,1,0))</f>
        <v/>
      </c>
      <c r="BC697" s="38" t="str">
        <f aca="false">IF(OR(BA697="",P697=""),"",WORKDAY(INT(P697),BA697,JoursFeries)+MOD(P697,1))</f>
        <v/>
      </c>
      <c r="BD697" s="39" t="str">
        <f aca="false">IF(AO697&lt;&gt;1,"",IF(OR(AB697&lt;&gt;"",AD697&lt;&gt;""),4,IF(U697&lt;&gt;"",3,IF(T697&lt;&gt;"",2,1))))</f>
        <v/>
      </c>
      <c r="BE697" s="39" t="str">
        <f aca="false">IF(OR(AO697&lt;&gt;1,AR697=""),"",INDEX(NIV_REQ,AR697))</f>
        <v/>
      </c>
      <c r="BF697" s="39" t="str">
        <f aca="false">IF(BE697="","",MAX(BE697,IF(OR(K697="Oui",Z697="Oui"),4,1)))</f>
        <v/>
      </c>
      <c r="BG697" s="35" t="str">
        <f aca="false">IF(OR(BF697="",BD697=""),"",IF(BD697&gt;=BF697,1,0))</f>
        <v/>
      </c>
      <c r="BH697" s="38" t="str">
        <f aca="false">IF(BE697="","",IF(BE697&lt;2,"",IF(BE697=2,IF(AND(T697="",U697=""),"",MIN(T697,U697)),IF(U697="","",U697))))</f>
        <v/>
      </c>
      <c r="BI697" s="37" t="str">
        <f aca="false">IF(BH697="","",IF(OR(O697="",BH697=""),"",IF(BH697&lt;O697,"",ROUND(((NETWORKDAYS(O697,BH697,JoursFeries)-1)*(HFer-HOuv)+IF(NETWORKDAYS(BH697,BH697,JoursFeries),MEDIAN(MOD(BH697,1),HFer,HOuv),HFer)-IF(NETWORKDAYS(O697,O697,JoursFeries),MEDIAN(MOD(O697,1),HFer,HOuv),HOuv))*24,4))))</f>
        <v/>
      </c>
      <c r="BJ697" s="35" t="str">
        <f aca="false">IF(OR(BI697="",AR697=""),"",IF(BI697&lt;=INDEX(DELAI_ESC,AR697),1,0))</f>
        <v/>
      </c>
      <c r="BK697" s="38" t="str">
        <f aca="false">IF(AO697&lt;&gt;1,"",IF(AND(T697="",U697=""),"",MIN(T697,U697)))</f>
        <v/>
      </c>
      <c r="BL697" s="37" t="str">
        <f aca="false">IF(OR(BK697="",R697=""),"",IFERROR(ROUND(IF(OR(BK697="",R697=""),"",IF(R697&lt;BK697,"",ROUND(((NETWORKDAYS(BK697,R697,JoursFeries)-1)*(HFer-HOuv)+IF(NETWORKDAYS(R697,R697,JoursFeries),MEDIAN(MOD(R697,1),HFer,HOuv),HFer)-IF(NETWORKDAYS(BK697,BK697,JoursFeries),MEDIAN(MOD(BK697,1),HFer,HOuv),HOuv))*24,4)))/HJour,4),""))</f>
        <v/>
      </c>
      <c r="BM697" s="35" t="str">
        <f aca="false">IF(OR(AO697&lt;&gt;1,R697=""),"",IF(BD697=1,1,0))</f>
        <v/>
      </c>
      <c r="BN697" s="35" t="str">
        <f aca="false">IF(AO697&lt;&gt;1,"",IF(W697="Oui",1,0))</f>
        <v/>
      </c>
      <c r="BO697" s="35" t="str">
        <f aca="false">IF(AO697&lt;&gt;1,"",IF(X697&lt;&gt;"",1,0))</f>
        <v/>
      </c>
      <c r="BP697" s="35" t="str">
        <f aca="false">IF(AO697&lt;&gt;1,"",IF(Y697="Oui",1,0))</f>
        <v/>
      </c>
      <c r="BQ697" s="35" t="str">
        <f aca="true">IF(OR(AO697&lt;&gt;1,Z697&lt;&gt;"Oui"),"",IF(AB697="",IF(AND(AA697&lt;&gt;"",NOW()&gt;AA697),0,""),IF(AA697="","",IF(AB697&lt;=AA697,1,0))))</f>
        <v/>
      </c>
      <c r="BR697" s="38" t="str">
        <f aca="false">IF(OR(AO697&lt;&gt;1,K697&lt;&gt;"Oui",O697=""),"",IF(AC697="",O697+DORA_H_DET/24,IF(AC697-O697&lt;=DORA_H_DET/24,MIN(AC697+DORA_H_CLA/24,O697+DORA_H_DET/24),AC697+DORA_H_CLA/24)))</f>
        <v/>
      </c>
      <c r="BS697" s="35" t="str">
        <f aca="true">IF(BR697="","",IF(AD697="",IF(NOW()&gt;BR697,0,""),IF(AD697&lt;=BR697,1,0)))</f>
        <v/>
      </c>
      <c r="BT697" s="35" t="str">
        <f aca="true">IF(OR(BR697="",AD697=""),"",IF(AE697="",IF(NOW()&gt;AD697+DORA_H_INT/24,0,""),IF(AE697&lt;=AD697+DORA_H_INT/24,1,0)))</f>
        <v/>
      </c>
      <c r="BU697" s="35" t="str">
        <f aca="true">IF(OR(BR697="",AE697=""),"",IF(AF697="",IF(NOW()&gt;EDATE(AE697,DORA_M_FIN)+1,0,""),IF(AF697&lt;=EDATE(AE697,DORA_M_FIN),1,0)))</f>
        <v/>
      </c>
      <c r="BV697" s="35" t="str">
        <f aca="false">IF(BR697="","",IF(COUNT(BS697:BU697)=0,"",MIN(BS697:BU697)))</f>
        <v/>
      </c>
      <c r="BW697" s="40" t="str">
        <f aca="false">IF(AQ697&lt;&gt;1,"",IF(AND(AG697="",AH697=""),"",N(AG697)-N(AH697)))</f>
        <v/>
      </c>
      <c r="BX697" s="35" t="str">
        <f aca="true">IF(OR(AQ697&lt;&gt;1,AI697&lt;&gt;"Oui",AJ697=""),"",IF(AK697="",IF(NOW()&gt;AJ697+1,0,""),IF(AK697&lt;=AJ697,1,0)))</f>
        <v/>
      </c>
    </row>
    <row r="698" customFormat="false" ht="15" hidden="false" customHeight="false" outlineLevel="0" collapsed="false">
      <c r="B698" s="29"/>
      <c r="C698" s="29"/>
      <c r="D698" s="29"/>
      <c r="E698" s="29"/>
      <c r="F698" s="29"/>
      <c r="G698" s="29"/>
      <c r="H698" s="29"/>
      <c r="I698" s="29"/>
      <c r="J698" s="29"/>
      <c r="K698" s="29"/>
      <c r="L698" s="29"/>
      <c r="M698" s="29"/>
      <c r="N698" s="30"/>
      <c r="O698" s="30"/>
      <c r="P698" s="30"/>
      <c r="Q698" s="30"/>
      <c r="R698" s="30"/>
      <c r="S698" s="30"/>
      <c r="T698" s="30"/>
      <c r="U698" s="30"/>
      <c r="V698" s="31"/>
      <c r="W698" s="29"/>
      <c r="X698" s="29"/>
      <c r="Y698" s="29"/>
      <c r="Z698" s="29"/>
      <c r="AA698" s="30"/>
      <c r="AB698" s="30"/>
      <c r="AC698" s="30"/>
      <c r="AD698" s="30"/>
      <c r="AE698" s="30"/>
      <c r="AF698" s="32"/>
      <c r="AG698" s="33"/>
      <c r="AH698" s="33"/>
      <c r="AI698" s="29"/>
      <c r="AJ698" s="32"/>
      <c r="AK698" s="32"/>
      <c r="AL698" s="29"/>
      <c r="AN698" s="34" t="str">
        <f aca="false">IF($B698="","",IF(OR(C698="",D698="",E698="",G698="",I698="",J698="",L698="",O698="",P698=""),"Champ obligatoire manquant",IF(OR(AND(N698&lt;&gt;"",N698&gt;O698),O698&gt;P698,AND(Q698&lt;&gt;"",Q698&lt;P698),AND(R698&lt;&gt;"",R698&lt;P698),AND(S698&lt;&gt;"",S698&lt;R698),AND(S698&lt;&gt;"",R698=""),AND(T698&lt;&gt;"",T698&lt;O698),AND(U698&lt;&gt;"",U698&lt;O698)),"Chronologie incohérente",IF(AND(OR(L698="Résolu",L698="Clos"),R698=""),"Date de résolution manquante",IF(AND(L698="Clos",S698=""),"Date de clôture manquante",IF(AND(K698="Oui",AC698=""),"Classification DORA manquante","OK"))))))</f>
        <v/>
      </c>
      <c r="AO698" s="35" t="str">
        <f aca="false">IF($B698="","",IF(AND(C698="Incident",L698&lt;&gt;"Annulé"),1,0))</f>
        <v/>
      </c>
      <c r="AP698" s="35" t="str">
        <f aca="false">IF($B698="","",IF(AND(C698="Quasi-incident",L698&lt;&gt;"Annulé"),1,0))</f>
        <v/>
      </c>
      <c r="AQ698" s="35" t="str">
        <f aca="false">IF($B698="","",AO698+AP698)</f>
        <v/>
      </c>
      <c r="AR698" s="36" t="str">
        <f aca="false">IF(OR($B698="",J698=""),"",IFERROR(VALUE(LEFT(J698,1)),""))</f>
        <v/>
      </c>
      <c r="AS698" s="35" t="str">
        <f aca="false">IF(OR(AO698&lt;&gt;1,G698=""),"",IFERROR(IF(INDEX(L_SrcInterne,MATCH(G698,L_Sources,0))="Oui",1,0),""))</f>
        <v/>
      </c>
      <c r="AT698" s="37" t="str">
        <f aca="false">IF(AO698&lt;&gt;1,"",IFERROR(ROUND(IF(OR(N698="",O698=""),"",IF(O698&lt;N698,"",ROUND(((NETWORKDAYS(N698,O698,JoursFeries)-1)*(HFer-HOuv)+IF(NETWORKDAYS(O698,O698,JoursFeries),MEDIAN(MOD(O698,1),HFer,HOuv),HFer)-IF(NETWORKDAYS(N698,N698,JoursFeries),MEDIAN(MOD(N698,1),HFer,HOuv),HOuv))*24,4)))/HJour,4),""))</f>
        <v/>
      </c>
      <c r="AU698" s="37" t="str">
        <f aca="false">IF(AO698&lt;&gt;1,"",IF(OR(O698="",P698=""),"",IF(P698&lt;O698,"",ROUND(((NETWORKDAYS(O698,P698,JoursFeries)-1)*(HFer-HOuv)+IF(NETWORKDAYS(P698,P698,JoursFeries),MEDIAN(MOD(P698,1),HFer,HOuv),HFer)-IF(NETWORKDAYS(O698,O698,JoursFeries),MEDIAN(MOD(O698,1),HFer,HOuv),HOuv))*24,4))))</f>
        <v/>
      </c>
      <c r="AV698" s="37" t="str">
        <f aca="false">IF(AO698&lt;&gt;1,"",IF(OR(P698="",Q698=""),"",IF(Q698&lt;P698,"",ROUND(((NETWORKDAYS(P698,Q698,JoursFeries)-1)*(HFer-HOuv)+IF(NETWORKDAYS(Q698,Q698,JoursFeries),MEDIAN(MOD(Q698,1),HFer,HOuv),HFer)-IF(NETWORKDAYS(P698,P698,JoursFeries),MEDIAN(MOD(P698,1),HFer,HOuv),HOuv))*24,4))))</f>
        <v/>
      </c>
      <c r="AW698" s="37" t="str">
        <f aca="false">IF(AO698&lt;&gt;1,"",IFERROR(ROUND(IF(OR(P698="",R698=""),"",IF(R698&lt;P698,"",ROUND(((NETWORKDAYS(P698,R698,JoursFeries)-1)*(HFer-HOuv)+IF(NETWORKDAYS(R698,R698,JoursFeries),MEDIAN(MOD(R698,1),HFer,HOuv),HFer)-IF(NETWORKDAYS(P698,P698,JoursFeries),MEDIAN(MOD(P698,1),HFer,HOuv),HOuv))*24,4)))/HJour,4),""))</f>
        <v/>
      </c>
      <c r="AX698" s="37" t="str">
        <f aca="false">IF(AO698&lt;&gt;1,"",IFERROR(ROUND(IF(OR(P698="",S698=""),"",IF(S698&lt;P698,"",ROUND(((NETWORKDAYS(P698,S698,JoursFeries)-1)*(HFer-HOuv)+IF(NETWORKDAYS(S698,S698,JoursFeries),MEDIAN(MOD(S698,1),HFer,HOuv),HFer)-IF(NETWORKDAYS(P698,P698,JoursFeries),MEDIAN(MOD(P698,1),HFer,HOuv),HOuv))*24,4)))/HJour,4),""))</f>
        <v/>
      </c>
      <c r="AY698" s="36" t="str">
        <f aca="false">IF(OR(AO698&lt;&gt;1,AR698=""),"",INDEX(SLA_PEC,AR698))</f>
        <v/>
      </c>
      <c r="AZ698" s="35" t="str">
        <f aca="false">IF(OR(AV698="",AY698=""),"",IF(AV698&lt;=AY698,1,0))</f>
        <v/>
      </c>
      <c r="BA698" s="36" t="str">
        <f aca="false">IF(OR(AO698&lt;&gt;1,AR698=""),"",INDEX(SLA_RES,AR698))</f>
        <v/>
      </c>
      <c r="BB698" s="35" t="str">
        <f aca="false">IF(OR(AW698="",BA698=""),"",IF(AW698&lt;=BA698,1,0))</f>
        <v/>
      </c>
      <c r="BC698" s="38" t="str">
        <f aca="false">IF(OR(BA698="",P698=""),"",WORKDAY(INT(P698),BA698,JoursFeries)+MOD(P698,1))</f>
        <v/>
      </c>
      <c r="BD698" s="39" t="str">
        <f aca="false">IF(AO698&lt;&gt;1,"",IF(OR(AB698&lt;&gt;"",AD698&lt;&gt;""),4,IF(U698&lt;&gt;"",3,IF(T698&lt;&gt;"",2,1))))</f>
        <v/>
      </c>
      <c r="BE698" s="39" t="str">
        <f aca="false">IF(OR(AO698&lt;&gt;1,AR698=""),"",INDEX(NIV_REQ,AR698))</f>
        <v/>
      </c>
      <c r="BF698" s="39" t="str">
        <f aca="false">IF(BE698="","",MAX(BE698,IF(OR(K698="Oui",Z698="Oui"),4,1)))</f>
        <v/>
      </c>
      <c r="BG698" s="35" t="str">
        <f aca="false">IF(OR(BF698="",BD698=""),"",IF(BD698&gt;=BF698,1,0))</f>
        <v/>
      </c>
      <c r="BH698" s="38" t="str">
        <f aca="false">IF(BE698="","",IF(BE698&lt;2,"",IF(BE698=2,IF(AND(T698="",U698=""),"",MIN(T698,U698)),IF(U698="","",U698))))</f>
        <v/>
      </c>
      <c r="BI698" s="37" t="str">
        <f aca="false">IF(BH698="","",IF(OR(O698="",BH698=""),"",IF(BH698&lt;O698,"",ROUND(((NETWORKDAYS(O698,BH698,JoursFeries)-1)*(HFer-HOuv)+IF(NETWORKDAYS(BH698,BH698,JoursFeries),MEDIAN(MOD(BH698,1),HFer,HOuv),HFer)-IF(NETWORKDAYS(O698,O698,JoursFeries),MEDIAN(MOD(O698,1),HFer,HOuv),HOuv))*24,4))))</f>
        <v/>
      </c>
      <c r="BJ698" s="35" t="str">
        <f aca="false">IF(OR(BI698="",AR698=""),"",IF(BI698&lt;=INDEX(DELAI_ESC,AR698),1,0))</f>
        <v/>
      </c>
      <c r="BK698" s="38" t="str">
        <f aca="false">IF(AO698&lt;&gt;1,"",IF(AND(T698="",U698=""),"",MIN(T698,U698)))</f>
        <v/>
      </c>
      <c r="BL698" s="37" t="str">
        <f aca="false">IF(OR(BK698="",R698=""),"",IFERROR(ROUND(IF(OR(BK698="",R698=""),"",IF(R698&lt;BK698,"",ROUND(((NETWORKDAYS(BK698,R698,JoursFeries)-1)*(HFer-HOuv)+IF(NETWORKDAYS(R698,R698,JoursFeries),MEDIAN(MOD(R698,1),HFer,HOuv),HFer)-IF(NETWORKDAYS(BK698,BK698,JoursFeries),MEDIAN(MOD(BK698,1),HFer,HOuv),HOuv))*24,4)))/HJour,4),""))</f>
        <v/>
      </c>
      <c r="BM698" s="35" t="str">
        <f aca="false">IF(OR(AO698&lt;&gt;1,R698=""),"",IF(BD698=1,1,0))</f>
        <v/>
      </c>
      <c r="BN698" s="35" t="str">
        <f aca="false">IF(AO698&lt;&gt;1,"",IF(W698="Oui",1,0))</f>
        <v/>
      </c>
      <c r="BO698" s="35" t="str">
        <f aca="false">IF(AO698&lt;&gt;1,"",IF(X698&lt;&gt;"",1,0))</f>
        <v/>
      </c>
      <c r="BP698" s="35" t="str">
        <f aca="false">IF(AO698&lt;&gt;1,"",IF(Y698="Oui",1,0))</f>
        <v/>
      </c>
      <c r="BQ698" s="35" t="str">
        <f aca="true">IF(OR(AO698&lt;&gt;1,Z698&lt;&gt;"Oui"),"",IF(AB698="",IF(AND(AA698&lt;&gt;"",NOW()&gt;AA698),0,""),IF(AA698="","",IF(AB698&lt;=AA698,1,0))))</f>
        <v/>
      </c>
      <c r="BR698" s="38" t="str">
        <f aca="false">IF(OR(AO698&lt;&gt;1,K698&lt;&gt;"Oui",O698=""),"",IF(AC698="",O698+DORA_H_DET/24,IF(AC698-O698&lt;=DORA_H_DET/24,MIN(AC698+DORA_H_CLA/24,O698+DORA_H_DET/24),AC698+DORA_H_CLA/24)))</f>
        <v/>
      </c>
      <c r="BS698" s="35" t="str">
        <f aca="true">IF(BR698="","",IF(AD698="",IF(NOW()&gt;BR698,0,""),IF(AD698&lt;=BR698,1,0)))</f>
        <v/>
      </c>
      <c r="BT698" s="35" t="str">
        <f aca="true">IF(OR(BR698="",AD698=""),"",IF(AE698="",IF(NOW()&gt;AD698+DORA_H_INT/24,0,""),IF(AE698&lt;=AD698+DORA_H_INT/24,1,0)))</f>
        <v/>
      </c>
      <c r="BU698" s="35" t="str">
        <f aca="true">IF(OR(BR698="",AE698=""),"",IF(AF698="",IF(NOW()&gt;EDATE(AE698,DORA_M_FIN)+1,0,""),IF(AF698&lt;=EDATE(AE698,DORA_M_FIN),1,0)))</f>
        <v/>
      </c>
      <c r="BV698" s="35" t="str">
        <f aca="false">IF(BR698="","",IF(COUNT(BS698:BU698)=0,"",MIN(BS698:BU698)))</f>
        <v/>
      </c>
      <c r="BW698" s="40" t="str">
        <f aca="false">IF(AQ698&lt;&gt;1,"",IF(AND(AG698="",AH698=""),"",N(AG698)-N(AH698)))</f>
        <v/>
      </c>
      <c r="BX698" s="35" t="str">
        <f aca="true">IF(OR(AQ698&lt;&gt;1,AI698&lt;&gt;"Oui",AJ698=""),"",IF(AK698="",IF(NOW()&gt;AJ698+1,0,""),IF(AK698&lt;=AJ698,1,0)))</f>
        <v/>
      </c>
    </row>
    <row r="699" customFormat="false" ht="15" hidden="false" customHeight="false" outlineLevel="0" collapsed="false">
      <c r="B699" s="29"/>
      <c r="C699" s="29"/>
      <c r="D699" s="29"/>
      <c r="E699" s="29"/>
      <c r="F699" s="29"/>
      <c r="G699" s="29"/>
      <c r="H699" s="29"/>
      <c r="I699" s="29"/>
      <c r="J699" s="29"/>
      <c r="K699" s="29"/>
      <c r="L699" s="29"/>
      <c r="M699" s="29"/>
      <c r="N699" s="30"/>
      <c r="O699" s="30"/>
      <c r="P699" s="30"/>
      <c r="Q699" s="30"/>
      <c r="R699" s="30"/>
      <c r="S699" s="30"/>
      <c r="T699" s="30"/>
      <c r="U699" s="30"/>
      <c r="V699" s="31"/>
      <c r="W699" s="29"/>
      <c r="X699" s="29"/>
      <c r="Y699" s="29"/>
      <c r="Z699" s="29"/>
      <c r="AA699" s="30"/>
      <c r="AB699" s="30"/>
      <c r="AC699" s="30"/>
      <c r="AD699" s="30"/>
      <c r="AE699" s="30"/>
      <c r="AF699" s="32"/>
      <c r="AG699" s="33"/>
      <c r="AH699" s="33"/>
      <c r="AI699" s="29"/>
      <c r="AJ699" s="32"/>
      <c r="AK699" s="32"/>
      <c r="AL699" s="29"/>
      <c r="AN699" s="34" t="str">
        <f aca="false">IF($B699="","",IF(OR(C699="",D699="",E699="",G699="",I699="",J699="",L699="",O699="",P699=""),"Champ obligatoire manquant",IF(OR(AND(N699&lt;&gt;"",N699&gt;O699),O699&gt;P699,AND(Q699&lt;&gt;"",Q699&lt;P699),AND(R699&lt;&gt;"",R699&lt;P699),AND(S699&lt;&gt;"",S699&lt;R699),AND(S699&lt;&gt;"",R699=""),AND(T699&lt;&gt;"",T699&lt;O699),AND(U699&lt;&gt;"",U699&lt;O699)),"Chronologie incohérente",IF(AND(OR(L699="Résolu",L699="Clos"),R699=""),"Date de résolution manquante",IF(AND(L699="Clos",S699=""),"Date de clôture manquante",IF(AND(K699="Oui",AC699=""),"Classification DORA manquante","OK"))))))</f>
        <v/>
      </c>
      <c r="AO699" s="35" t="str">
        <f aca="false">IF($B699="","",IF(AND(C699="Incident",L699&lt;&gt;"Annulé"),1,0))</f>
        <v/>
      </c>
      <c r="AP699" s="35" t="str">
        <f aca="false">IF($B699="","",IF(AND(C699="Quasi-incident",L699&lt;&gt;"Annulé"),1,0))</f>
        <v/>
      </c>
      <c r="AQ699" s="35" t="str">
        <f aca="false">IF($B699="","",AO699+AP699)</f>
        <v/>
      </c>
      <c r="AR699" s="36" t="str">
        <f aca="false">IF(OR($B699="",J699=""),"",IFERROR(VALUE(LEFT(J699,1)),""))</f>
        <v/>
      </c>
      <c r="AS699" s="35" t="str">
        <f aca="false">IF(OR(AO699&lt;&gt;1,G699=""),"",IFERROR(IF(INDEX(L_SrcInterne,MATCH(G699,L_Sources,0))="Oui",1,0),""))</f>
        <v/>
      </c>
      <c r="AT699" s="37" t="str">
        <f aca="false">IF(AO699&lt;&gt;1,"",IFERROR(ROUND(IF(OR(N699="",O699=""),"",IF(O699&lt;N699,"",ROUND(((NETWORKDAYS(N699,O699,JoursFeries)-1)*(HFer-HOuv)+IF(NETWORKDAYS(O699,O699,JoursFeries),MEDIAN(MOD(O699,1),HFer,HOuv),HFer)-IF(NETWORKDAYS(N699,N699,JoursFeries),MEDIAN(MOD(N699,1),HFer,HOuv),HOuv))*24,4)))/HJour,4),""))</f>
        <v/>
      </c>
      <c r="AU699" s="37" t="str">
        <f aca="false">IF(AO699&lt;&gt;1,"",IF(OR(O699="",P699=""),"",IF(P699&lt;O699,"",ROUND(((NETWORKDAYS(O699,P699,JoursFeries)-1)*(HFer-HOuv)+IF(NETWORKDAYS(P699,P699,JoursFeries),MEDIAN(MOD(P699,1),HFer,HOuv),HFer)-IF(NETWORKDAYS(O699,O699,JoursFeries),MEDIAN(MOD(O699,1),HFer,HOuv),HOuv))*24,4))))</f>
        <v/>
      </c>
      <c r="AV699" s="37" t="str">
        <f aca="false">IF(AO699&lt;&gt;1,"",IF(OR(P699="",Q699=""),"",IF(Q699&lt;P699,"",ROUND(((NETWORKDAYS(P699,Q699,JoursFeries)-1)*(HFer-HOuv)+IF(NETWORKDAYS(Q699,Q699,JoursFeries),MEDIAN(MOD(Q699,1),HFer,HOuv),HFer)-IF(NETWORKDAYS(P699,P699,JoursFeries),MEDIAN(MOD(P699,1),HFer,HOuv),HOuv))*24,4))))</f>
        <v/>
      </c>
      <c r="AW699" s="37" t="str">
        <f aca="false">IF(AO699&lt;&gt;1,"",IFERROR(ROUND(IF(OR(P699="",R699=""),"",IF(R699&lt;P699,"",ROUND(((NETWORKDAYS(P699,R699,JoursFeries)-1)*(HFer-HOuv)+IF(NETWORKDAYS(R699,R699,JoursFeries),MEDIAN(MOD(R699,1),HFer,HOuv),HFer)-IF(NETWORKDAYS(P699,P699,JoursFeries),MEDIAN(MOD(P699,1),HFer,HOuv),HOuv))*24,4)))/HJour,4),""))</f>
        <v/>
      </c>
      <c r="AX699" s="37" t="str">
        <f aca="false">IF(AO699&lt;&gt;1,"",IFERROR(ROUND(IF(OR(P699="",S699=""),"",IF(S699&lt;P699,"",ROUND(((NETWORKDAYS(P699,S699,JoursFeries)-1)*(HFer-HOuv)+IF(NETWORKDAYS(S699,S699,JoursFeries),MEDIAN(MOD(S699,1),HFer,HOuv),HFer)-IF(NETWORKDAYS(P699,P699,JoursFeries),MEDIAN(MOD(P699,1),HFer,HOuv),HOuv))*24,4)))/HJour,4),""))</f>
        <v/>
      </c>
      <c r="AY699" s="36" t="str">
        <f aca="false">IF(OR(AO699&lt;&gt;1,AR699=""),"",INDEX(SLA_PEC,AR699))</f>
        <v/>
      </c>
      <c r="AZ699" s="35" t="str">
        <f aca="false">IF(OR(AV699="",AY699=""),"",IF(AV699&lt;=AY699,1,0))</f>
        <v/>
      </c>
      <c r="BA699" s="36" t="str">
        <f aca="false">IF(OR(AO699&lt;&gt;1,AR699=""),"",INDEX(SLA_RES,AR699))</f>
        <v/>
      </c>
      <c r="BB699" s="35" t="str">
        <f aca="false">IF(OR(AW699="",BA699=""),"",IF(AW699&lt;=BA699,1,0))</f>
        <v/>
      </c>
      <c r="BC699" s="38" t="str">
        <f aca="false">IF(OR(BA699="",P699=""),"",WORKDAY(INT(P699),BA699,JoursFeries)+MOD(P699,1))</f>
        <v/>
      </c>
      <c r="BD699" s="39" t="str">
        <f aca="false">IF(AO699&lt;&gt;1,"",IF(OR(AB699&lt;&gt;"",AD699&lt;&gt;""),4,IF(U699&lt;&gt;"",3,IF(T699&lt;&gt;"",2,1))))</f>
        <v/>
      </c>
      <c r="BE699" s="39" t="str">
        <f aca="false">IF(OR(AO699&lt;&gt;1,AR699=""),"",INDEX(NIV_REQ,AR699))</f>
        <v/>
      </c>
      <c r="BF699" s="39" t="str">
        <f aca="false">IF(BE699="","",MAX(BE699,IF(OR(K699="Oui",Z699="Oui"),4,1)))</f>
        <v/>
      </c>
      <c r="BG699" s="35" t="str">
        <f aca="false">IF(OR(BF699="",BD699=""),"",IF(BD699&gt;=BF699,1,0))</f>
        <v/>
      </c>
      <c r="BH699" s="38" t="str">
        <f aca="false">IF(BE699="","",IF(BE699&lt;2,"",IF(BE699=2,IF(AND(T699="",U699=""),"",MIN(T699,U699)),IF(U699="","",U699))))</f>
        <v/>
      </c>
      <c r="BI699" s="37" t="str">
        <f aca="false">IF(BH699="","",IF(OR(O699="",BH699=""),"",IF(BH699&lt;O699,"",ROUND(((NETWORKDAYS(O699,BH699,JoursFeries)-1)*(HFer-HOuv)+IF(NETWORKDAYS(BH699,BH699,JoursFeries),MEDIAN(MOD(BH699,1),HFer,HOuv),HFer)-IF(NETWORKDAYS(O699,O699,JoursFeries),MEDIAN(MOD(O699,1),HFer,HOuv),HOuv))*24,4))))</f>
        <v/>
      </c>
      <c r="BJ699" s="35" t="str">
        <f aca="false">IF(OR(BI699="",AR699=""),"",IF(BI699&lt;=INDEX(DELAI_ESC,AR699),1,0))</f>
        <v/>
      </c>
      <c r="BK699" s="38" t="str">
        <f aca="false">IF(AO699&lt;&gt;1,"",IF(AND(T699="",U699=""),"",MIN(T699,U699)))</f>
        <v/>
      </c>
      <c r="BL699" s="37" t="str">
        <f aca="false">IF(OR(BK699="",R699=""),"",IFERROR(ROUND(IF(OR(BK699="",R699=""),"",IF(R699&lt;BK699,"",ROUND(((NETWORKDAYS(BK699,R699,JoursFeries)-1)*(HFer-HOuv)+IF(NETWORKDAYS(R699,R699,JoursFeries),MEDIAN(MOD(R699,1),HFer,HOuv),HFer)-IF(NETWORKDAYS(BK699,BK699,JoursFeries),MEDIAN(MOD(BK699,1),HFer,HOuv),HOuv))*24,4)))/HJour,4),""))</f>
        <v/>
      </c>
      <c r="BM699" s="35" t="str">
        <f aca="false">IF(OR(AO699&lt;&gt;1,R699=""),"",IF(BD699=1,1,0))</f>
        <v/>
      </c>
      <c r="BN699" s="35" t="str">
        <f aca="false">IF(AO699&lt;&gt;1,"",IF(W699="Oui",1,0))</f>
        <v/>
      </c>
      <c r="BO699" s="35" t="str">
        <f aca="false">IF(AO699&lt;&gt;1,"",IF(X699&lt;&gt;"",1,0))</f>
        <v/>
      </c>
      <c r="BP699" s="35" t="str">
        <f aca="false">IF(AO699&lt;&gt;1,"",IF(Y699="Oui",1,0))</f>
        <v/>
      </c>
      <c r="BQ699" s="35" t="str">
        <f aca="true">IF(OR(AO699&lt;&gt;1,Z699&lt;&gt;"Oui"),"",IF(AB699="",IF(AND(AA699&lt;&gt;"",NOW()&gt;AA699),0,""),IF(AA699="","",IF(AB699&lt;=AA699,1,0))))</f>
        <v/>
      </c>
      <c r="BR699" s="38" t="str">
        <f aca="false">IF(OR(AO699&lt;&gt;1,K699&lt;&gt;"Oui",O699=""),"",IF(AC699="",O699+DORA_H_DET/24,IF(AC699-O699&lt;=DORA_H_DET/24,MIN(AC699+DORA_H_CLA/24,O699+DORA_H_DET/24),AC699+DORA_H_CLA/24)))</f>
        <v/>
      </c>
      <c r="BS699" s="35" t="str">
        <f aca="true">IF(BR699="","",IF(AD699="",IF(NOW()&gt;BR699,0,""),IF(AD699&lt;=BR699,1,0)))</f>
        <v/>
      </c>
      <c r="BT699" s="35" t="str">
        <f aca="true">IF(OR(BR699="",AD699=""),"",IF(AE699="",IF(NOW()&gt;AD699+DORA_H_INT/24,0,""),IF(AE699&lt;=AD699+DORA_H_INT/24,1,0)))</f>
        <v/>
      </c>
      <c r="BU699" s="35" t="str">
        <f aca="true">IF(OR(BR699="",AE699=""),"",IF(AF699="",IF(NOW()&gt;EDATE(AE699,DORA_M_FIN)+1,0,""),IF(AF699&lt;=EDATE(AE699,DORA_M_FIN),1,0)))</f>
        <v/>
      </c>
      <c r="BV699" s="35" t="str">
        <f aca="false">IF(BR699="","",IF(COUNT(BS699:BU699)=0,"",MIN(BS699:BU699)))</f>
        <v/>
      </c>
      <c r="BW699" s="40" t="str">
        <f aca="false">IF(AQ699&lt;&gt;1,"",IF(AND(AG699="",AH699=""),"",N(AG699)-N(AH699)))</f>
        <v/>
      </c>
      <c r="BX699" s="35" t="str">
        <f aca="true">IF(OR(AQ699&lt;&gt;1,AI699&lt;&gt;"Oui",AJ699=""),"",IF(AK699="",IF(NOW()&gt;AJ699+1,0,""),IF(AK699&lt;=AJ699,1,0)))</f>
        <v/>
      </c>
    </row>
    <row r="700" customFormat="false" ht="15" hidden="false" customHeight="false" outlineLevel="0" collapsed="false">
      <c r="B700" s="29"/>
      <c r="C700" s="29"/>
      <c r="D700" s="29"/>
      <c r="E700" s="29"/>
      <c r="F700" s="29"/>
      <c r="G700" s="29"/>
      <c r="H700" s="29"/>
      <c r="I700" s="29"/>
      <c r="J700" s="29"/>
      <c r="K700" s="29"/>
      <c r="L700" s="29"/>
      <c r="M700" s="29"/>
      <c r="N700" s="30"/>
      <c r="O700" s="30"/>
      <c r="P700" s="30"/>
      <c r="Q700" s="30"/>
      <c r="R700" s="30"/>
      <c r="S700" s="30"/>
      <c r="T700" s="30"/>
      <c r="U700" s="30"/>
      <c r="V700" s="31"/>
      <c r="W700" s="29"/>
      <c r="X700" s="29"/>
      <c r="Y700" s="29"/>
      <c r="Z700" s="29"/>
      <c r="AA700" s="30"/>
      <c r="AB700" s="30"/>
      <c r="AC700" s="30"/>
      <c r="AD700" s="30"/>
      <c r="AE700" s="30"/>
      <c r="AF700" s="32"/>
      <c r="AG700" s="33"/>
      <c r="AH700" s="33"/>
      <c r="AI700" s="29"/>
      <c r="AJ700" s="32"/>
      <c r="AK700" s="32"/>
      <c r="AL700" s="29"/>
      <c r="AN700" s="34" t="str">
        <f aca="false">IF($B700="","",IF(OR(C700="",D700="",E700="",G700="",I700="",J700="",L700="",O700="",P700=""),"Champ obligatoire manquant",IF(OR(AND(N700&lt;&gt;"",N700&gt;O700),O700&gt;P700,AND(Q700&lt;&gt;"",Q700&lt;P700),AND(R700&lt;&gt;"",R700&lt;P700),AND(S700&lt;&gt;"",S700&lt;R700),AND(S700&lt;&gt;"",R700=""),AND(T700&lt;&gt;"",T700&lt;O700),AND(U700&lt;&gt;"",U700&lt;O700)),"Chronologie incohérente",IF(AND(OR(L700="Résolu",L700="Clos"),R700=""),"Date de résolution manquante",IF(AND(L700="Clos",S700=""),"Date de clôture manquante",IF(AND(K700="Oui",AC700=""),"Classification DORA manquante","OK"))))))</f>
        <v/>
      </c>
      <c r="AO700" s="35" t="str">
        <f aca="false">IF($B700="","",IF(AND(C700="Incident",L700&lt;&gt;"Annulé"),1,0))</f>
        <v/>
      </c>
      <c r="AP700" s="35" t="str">
        <f aca="false">IF($B700="","",IF(AND(C700="Quasi-incident",L700&lt;&gt;"Annulé"),1,0))</f>
        <v/>
      </c>
      <c r="AQ700" s="35" t="str">
        <f aca="false">IF($B700="","",AO700+AP700)</f>
        <v/>
      </c>
      <c r="AR700" s="36" t="str">
        <f aca="false">IF(OR($B700="",J700=""),"",IFERROR(VALUE(LEFT(J700,1)),""))</f>
        <v/>
      </c>
      <c r="AS700" s="35" t="str">
        <f aca="false">IF(OR(AO700&lt;&gt;1,G700=""),"",IFERROR(IF(INDEX(L_SrcInterne,MATCH(G700,L_Sources,0))="Oui",1,0),""))</f>
        <v/>
      </c>
      <c r="AT700" s="37" t="str">
        <f aca="false">IF(AO700&lt;&gt;1,"",IFERROR(ROUND(IF(OR(N700="",O700=""),"",IF(O700&lt;N700,"",ROUND(((NETWORKDAYS(N700,O700,JoursFeries)-1)*(HFer-HOuv)+IF(NETWORKDAYS(O700,O700,JoursFeries),MEDIAN(MOD(O700,1),HFer,HOuv),HFer)-IF(NETWORKDAYS(N700,N700,JoursFeries),MEDIAN(MOD(N700,1),HFer,HOuv),HOuv))*24,4)))/HJour,4),""))</f>
        <v/>
      </c>
      <c r="AU700" s="37" t="str">
        <f aca="false">IF(AO700&lt;&gt;1,"",IF(OR(O700="",P700=""),"",IF(P700&lt;O700,"",ROUND(((NETWORKDAYS(O700,P700,JoursFeries)-1)*(HFer-HOuv)+IF(NETWORKDAYS(P700,P700,JoursFeries),MEDIAN(MOD(P700,1),HFer,HOuv),HFer)-IF(NETWORKDAYS(O700,O700,JoursFeries),MEDIAN(MOD(O700,1),HFer,HOuv),HOuv))*24,4))))</f>
        <v/>
      </c>
      <c r="AV700" s="37" t="str">
        <f aca="false">IF(AO700&lt;&gt;1,"",IF(OR(P700="",Q700=""),"",IF(Q700&lt;P700,"",ROUND(((NETWORKDAYS(P700,Q700,JoursFeries)-1)*(HFer-HOuv)+IF(NETWORKDAYS(Q700,Q700,JoursFeries),MEDIAN(MOD(Q700,1),HFer,HOuv),HFer)-IF(NETWORKDAYS(P700,P700,JoursFeries),MEDIAN(MOD(P700,1),HFer,HOuv),HOuv))*24,4))))</f>
        <v/>
      </c>
      <c r="AW700" s="37" t="str">
        <f aca="false">IF(AO700&lt;&gt;1,"",IFERROR(ROUND(IF(OR(P700="",R700=""),"",IF(R700&lt;P700,"",ROUND(((NETWORKDAYS(P700,R700,JoursFeries)-1)*(HFer-HOuv)+IF(NETWORKDAYS(R700,R700,JoursFeries),MEDIAN(MOD(R700,1),HFer,HOuv),HFer)-IF(NETWORKDAYS(P700,P700,JoursFeries),MEDIAN(MOD(P700,1),HFer,HOuv),HOuv))*24,4)))/HJour,4),""))</f>
        <v/>
      </c>
      <c r="AX700" s="37" t="str">
        <f aca="false">IF(AO700&lt;&gt;1,"",IFERROR(ROUND(IF(OR(P700="",S700=""),"",IF(S700&lt;P700,"",ROUND(((NETWORKDAYS(P700,S700,JoursFeries)-1)*(HFer-HOuv)+IF(NETWORKDAYS(S700,S700,JoursFeries),MEDIAN(MOD(S700,1),HFer,HOuv),HFer)-IF(NETWORKDAYS(P700,P700,JoursFeries),MEDIAN(MOD(P700,1),HFer,HOuv),HOuv))*24,4)))/HJour,4),""))</f>
        <v/>
      </c>
      <c r="AY700" s="36" t="str">
        <f aca="false">IF(OR(AO700&lt;&gt;1,AR700=""),"",INDEX(SLA_PEC,AR700))</f>
        <v/>
      </c>
      <c r="AZ700" s="35" t="str">
        <f aca="false">IF(OR(AV700="",AY700=""),"",IF(AV700&lt;=AY700,1,0))</f>
        <v/>
      </c>
      <c r="BA700" s="36" t="str">
        <f aca="false">IF(OR(AO700&lt;&gt;1,AR700=""),"",INDEX(SLA_RES,AR700))</f>
        <v/>
      </c>
      <c r="BB700" s="35" t="str">
        <f aca="false">IF(OR(AW700="",BA700=""),"",IF(AW700&lt;=BA700,1,0))</f>
        <v/>
      </c>
      <c r="BC700" s="38" t="str">
        <f aca="false">IF(OR(BA700="",P700=""),"",WORKDAY(INT(P700),BA700,JoursFeries)+MOD(P700,1))</f>
        <v/>
      </c>
      <c r="BD700" s="39" t="str">
        <f aca="false">IF(AO700&lt;&gt;1,"",IF(OR(AB700&lt;&gt;"",AD700&lt;&gt;""),4,IF(U700&lt;&gt;"",3,IF(T700&lt;&gt;"",2,1))))</f>
        <v/>
      </c>
      <c r="BE700" s="39" t="str">
        <f aca="false">IF(OR(AO700&lt;&gt;1,AR700=""),"",INDEX(NIV_REQ,AR700))</f>
        <v/>
      </c>
      <c r="BF700" s="39" t="str">
        <f aca="false">IF(BE700="","",MAX(BE700,IF(OR(K700="Oui",Z700="Oui"),4,1)))</f>
        <v/>
      </c>
      <c r="BG700" s="35" t="str">
        <f aca="false">IF(OR(BF700="",BD700=""),"",IF(BD700&gt;=BF700,1,0))</f>
        <v/>
      </c>
      <c r="BH700" s="38" t="str">
        <f aca="false">IF(BE700="","",IF(BE700&lt;2,"",IF(BE700=2,IF(AND(T700="",U700=""),"",MIN(T700,U700)),IF(U700="","",U700))))</f>
        <v/>
      </c>
      <c r="BI700" s="37" t="str">
        <f aca="false">IF(BH700="","",IF(OR(O700="",BH700=""),"",IF(BH700&lt;O700,"",ROUND(((NETWORKDAYS(O700,BH700,JoursFeries)-1)*(HFer-HOuv)+IF(NETWORKDAYS(BH700,BH700,JoursFeries),MEDIAN(MOD(BH700,1),HFer,HOuv),HFer)-IF(NETWORKDAYS(O700,O700,JoursFeries),MEDIAN(MOD(O700,1),HFer,HOuv),HOuv))*24,4))))</f>
        <v/>
      </c>
      <c r="BJ700" s="35" t="str">
        <f aca="false">IF(OR(BI700="",AR700=""),"",IF(BI700&lt;=INDEX(DELAI_ESC,AR700),1,0))</f>
        <v/>
      </c>
      <c r="BK700" s="38" t="str">
        <f aca="false">IF(AO700&lt;&gt;1,"",IF(AND(T700="",U700=""),"",MIN(T700,U700)))</f>
        <v/>
      </c>
      <c r="BL700" s="37" t="str">
        <f aca="false">IF(OR(BK700="",R700=""),"",IFERROR(ROUND(IF(OR(BK700="",R700=""),"",IF(R700&lt;BK700,"",ROUND(((NETWORKDAYS(BK700,R700,JoursFeries)-1)*(HFer-HOuv)+IF(NETWORKDAYS(R700,R700,JoursFeries),MEDIAN(MOD(R700,1),HFer,HOuv),HFer)-IF(NETWORKDAYS(BK700,BK700,JoursFeries),MEDIAN(MOD(BK700,1),HFer,HOuv),HOuv))*24,4)))/HJour,4),""))</f>
        <v/>
      </c>
      <c r="BM700" s="35" t="str">
        <f aca="false">IF(OR(AO700&lt;&gt;1,R700=""),"",IF(BD700=1,1,0))</f>
        <v/>
      </c>
      <c r="BN700" s="35" t="str">
        <f aca="false">IF(AO700&lt;&gt;1,"",IF(W700="Oui",1,0))</f>
        <v/>
      </c>
      <c r="BO700" s="35" t="str">
        <f aca="false">IF(AO700&lt;&gt;1,"",IF(X700&lt;&gt;"",1,0))</f>
        <v/>
      </c>
      <c r="BP700" s="35" t="str">
        <f aca="false">IF(AO700&lt;&gt;1,"",IF(Y700="Oui",1,0))</f>
        <v/>
      </c>
      <c r="BQ700" s="35" t="str">
        <f aca="true">IF(OR(AO700&lt;&gt;1,Z700&lt;&gt;"Oui"),"",IF(AB700="",IF(AND(AA700&lt;&gt;"",NOW()&gt;AA700),0,""),IF(AA700="","",IF(AB700&lt;=AA700,1,0))))</f>
        <v/>
      </c>
      <c r="BR700" s="38" t="str">
        <f aca="false">IF(OR(AO700&lt;&gt;1,K700&lt;&gt;"Oui",O700=""),"",IF(AC700="",O700+DORA_H_DET/24,IF(AC700-O700&lt;=DORA_H_DET/24,MIN(AC700+DORA_H_CLA/24,O700+DORA_H_DET/24),AC700+DORA_H_CLA/24)))</f>
        <v/>
      </c>
      <c r="BS700" s="35" t="str">
        <f aca="true">IF(BR700="","",IF(AD700="",IF(NOW()&gt;BR700,0,""),IF(AD700&lt;=BR700,1,0)))</f>
        <v/>
      </c>
      <c r="BT700" s="35" t="str">
        <f aca="true">IF(OR(BR700="",AD700=""),"",IF(AE700="",IF(NOW()&gt;AD700+DORA_H_INT/24,0,""),IF(AE700&lt;=AD700+DORA_H_INT/24,1,0)))</f>
        <v/>
      </c>
      <c r="BU700" s="35" t="str">
        <f aca="true">IF(OR(BR700="",AE700=""),"",IF(AF700="",IF(NOW()&gt;EDATE(AE700,DORA_M_FIN)+1,0,""),IF(AF700&lt;=EDATE(AE700,DORA_M_FIN),1,0)))</f>
        <v/>
      </c>
      <c r="BV700" s="35" t="str">
        <f aca="false">IF(BR700="","",IF(COUNT(BS700:BU700)=0,"",MIN(BS700:BU700)))</f>
        <v/>
      </c>
      <c r="BW700" s="40" t="str">
        <f aca="false">IF(AQ700&lt;&gt;1,"",IF(AND(AG700="",AH700=""),"",N(AG700)-N(AH700)))</f>
        <v/>
      </c>
      <c r="BX700" s="35" t="str">
        <f aca="true">IF(OR(AQ700&lt;&gt;1,AI700&lt;&gt;"Oui",AJ700=""),"",IF(AK700="",IF(NOW()&gt;AJ700+1,0,""),IF(AK700&lt;=AJ700,1,0)))</f>
        <v/>
      </c>
    </row>
    <row r="701" customFormat="false" ht="15" hidden="false" customHeight="false" outlineLevel="0" collapsed="false">
      <c r="B701" s="29"/>
      <c r="C701" s="29"/>
      <c r="D701" s="29"/>
      <c r="E701" s="29"/>
      <c r="F701" s="29"/>
      <c r="G701" s="29"/>
      <c r="H701" s="29"/>
      <c r="I701" s="29"/>
      <c r="J701" s="29"/>
      <c r="K701" s="29"/>
      <c r="L701" s="29"/>
      <c r="M701" s="29"/>
      <c r="N701" s="30"/>
      <c r="O701" s="30"/>
      <c r="P701" s="30"/>
      <c r="Q701" s="30"/>
      <c r="R701" s="30"/>
      <c r="S701" s="30"/>
      <c r="T701" s="30"/>
      <c r="U701" s="30"/>
      <c r="V701" s="31"/>
      <c r="W701" s="29"/>
      <c r="X701" s="29"/>
      <c r="Y701" s="29"/>
      <c r="Z701" s="29"/>
      <c r="AA701" s="30"/>
      <c r="AB701" s="30"/>
      <c r="AC701" s="30"/>
      <c r="AD701" s="30"/>
      <c r="AE701" s="30"/>
      <c r="AF701" s="32"/>
      <c r="AG701" s="33"/>
      <c r="AH701" s="33"/>
      <c r="AI701" s="29"/>
      <c r="AJ701" s="32"/>
      <c r="AK701" s="32"/>
      <c r="AL701" s="29"/>
      <c r="AN701" s="34" t="str">
        <f aca="false">IF($B701="","",IF(OR(C701="",D701="",E701="",G701="",I701="",J701="",L701="",O701="",P701=""),"Champ obligatoire manquant",IF(OR(AND(N701&lt;&gt;"",N701&gt;O701),O701&gt;P701,AND(Q701&lt;&gt;"",Q701&lt;P701),AND(R701&lt;&gt;"",R701&lt;P701),AND(S701&lt;&gt;"",S701&lt;R701),AND(S701&lt;&gt;"",R701=""),AND(T701&lt;&gt;"",T701&lt;O701),AND(U701&lt;&gt;"",U701&lt;O701)),"Chronologie incohérente",IF(AND(OR(L701="Résolu",L701="Clos"),R701=""),"Date de résolution manquante",IF(AND(L701="Clos",S701=""),"Date de clôture manquante",IF(AND(K701="Oui",AC701=""),"Classification DORA manquante","OK"))))))</f>
        <v/>
      </c>
      <c r="AO701" s="35" t="str">
        <f aca="false">IF($B701="","",IF(AND(C701="Incident",L701&lt;&gt;"Annulé"),1,0))</f>
        <v/>
      </c>
      <c r="AP701" s="35" t="str">
        <f aca="false">IF($B701="","",IF(AND(C701="Quasi-incident",L701&lt;&gt;"Annulé"),1,0))</f>
        <v/>
      </c>
      <c r="AQ701" s="35" t="str">
        <f aca="false">IF($B701="","",AO701+AP701)</f>
        <v/>
      </c>
      <c r="AR701" s="36" t="str">
        <f aca="false">IF(OR($B701="",J701=""),"",IFERROR(VALUE(LEFT(J701,1)),""))</f>
        <v/>
      </c>
      <c r="AS701" s="35" t="str">
        <f aca="false">IF(OR(AO701&lt;&gt;1,G701=""),"",IFERROR(IF(INDEX(L_SrcInterne,MATCH(G701,L_Sources,0))="Oui",1,0),""))</f>
        <v/>
      </c>
      <c r="AT701" s="37" t="str">
        <f aca="false">IF(AO701&lt;&gt;1,"",IFERROR(ROUND(IF(OR(N701="",O701=""),"",IF(O701&lt;N701,"",ROUND(((NETWORKDAYS(N701,O701,JoursFeries)-1)*(HFer-HOuv)+IF(NETWORKDAYS(O701,O701,JoursFeries),MEDIAN(MOD(O701,1),HFer,HOuv),HFer)-IF(NETWORKDAYS(N701,N701,JoursFeries),MEDIAN(MOD(N701,1),HFer,HOuv),HOuv))*24,4)))/HJour,4),""))</f>
        <v/>
      </c>
      <c r="AU701" s="37" t="str">
        <f aca="false">IF(AO701&lt;&gt;1,"",IF(OR(O701="",P701=""),"",IF(P701&lt;O701,"",ROUND(((NETWORKDAYS(O701,P701,JoursFeries)-1)*(HFer-HOuv)+IF(NETWORKDAYS(P701,P701,JoursFeries),MEDIAN(MOD(P701,1),HFer,HOuv),HFer)-IF(NETWORKDAYS(O701,O701,JoursFeries),MEDIAN(MOD(O701,1),HFer,HOuv),HOuv))*24,4))))</f>
        <v/>
      </c>
      <c r="AV701" s="37" t="str">
        <f aca="false">IF(AO701&lt;&gt;1,"",IF(OR(P701="",Q701=""),"",IF(Q701&lt;P701,"",ROUND(((NETWORKDAYS(P701,Q701,JoursFeries)-1)*(HFer-HOuv)+IF(NETWORKDAYS(Q701,Q701,JoursFeries),MEDIAN(MOD(Q701,1),HFer,HOuv),HFer)-IF(NETWORKDAYS(P701,P701,JoursFeries),MEDIAN(MOD(P701,1),HFer,HOuv),HOuv))*24,4))))</f>
        <v/>
      </c>
      <c r="AW701" s="37" t="str">
        <f aca="false">IF(AO701&lt;&gt;1,"",IFERROR(ROUND(IF(OR(P701="",R701=""),"",IF(R701&lt;P701,"",ROUND(((NETWORKDAYS(P701,R701,JoursFeries)-1)*(HFer-HOuv)+IF(NETWORKDAYS(R701,R701,JoursFeries),MEDIAN(MOD(R701,1),HFer,HOuv),HFer)-IF(NETWORKDAYS(P701,P701,JoursFeries),MEDIAN(MOD(P701,1),HFer,HOuv),HOuv))*24,4)))/HJour,4),""))</f>
        <v/>
      </c>
      <c r="AX701" s="37" t="str">
        <f aca="false">IF(AO701&lt;&gt;1,"",IFERROR(ROUND(IF(OR(P701="",S701=""),"",IF(S701&lt;P701,"",ROUND(((NETWORKDAYS(P701,S701,JoursFeries)-1)*(HFer-HOuv)+IF(NETWORKDAYS(S701,S701,JoursFeries),MEDIAN(MOD(S701,1),HFer,HOuv),HFer)-IF(NETWORKDAYS(P701,P701,JoursFeries),MEDIAN(MOD(P701,1),HFer,HOuv),HOuv))*24,4)))/HJour,4),""))</f>
        <v/>
      </c>
      <c r="AY701" s="36" t="str">
        <f aca="false">IF(OR(AO701&lt;&gt;1,AR701=""),"",INDEX(SLA_PEC,AR701))</f>
        <v/>
      </c>
      <c r="AZ701" s="35" t="str">
        <f aca="false">IF(OR(AV701="",AY701=""),"",IF(AV701&lt;=AY701,1,0))</f>
        <v/>
      </c>
      <c r="BA701" s="36" t="str">
        <f aca="false">IF(OR(AO701&lt;&gt;1,AR701=""),"",INDEX(SLA_RES,AR701))</f>
        <v/>
      </c>
      <c r="BB701" s="35" t="str">
        <f aca="false">IF(OR(AW701="",BA701=""),"",IF(AW701&lt;=BA701,1,0))</f>
        <v/>
      </c>
      <c r="BC701" s="38" t="str">
        <f aca="false">IF(OR(BA701="",P701=""),"",WORKDAY(INT(P701),BA701,JoursFeries)+MOD(P701,1))</f>
        <v/>
      </c>
      <c r="BD701" s="39" t="str">
        <f aca="false">IF(AO701&lt;&gt;1,"",IF(OR(AB701&lt;&gt;"",AD701&lt;&gt;""),4,IF(U701&lt;&gt;"",3,IF(T701&lt;&gt;"",2,1))))</f>
        <v/>
      </c>
      <c r="BE701" s="39" t="str">
        <f aca="false">IF(OR(AO701&lt;&gt;1,AR701=""),"",INDEX(NIV_REQ,AR701))</f>
        <v/>
      </c>
      <c r="BF701" s="39" t="str">
        <f aca="false">IF(BE701="","",MAX(BE701,IF(OR(K701="Oui",Z701="Oui"),4,1)))</f>
        <v/>
      </c>
      <c r="BG701" s="35" t="str">
        <f aca="false">IF(OR(BF701="",BD701=""),"",IF(BD701&gt;=BF701,1,0))</f>
        <v/>
      </c>
      <c r="BH701" s="38" t="str">
        <f aca="false">IF(BE701="","",IF(BE701&lt;2,"",IF(BE701=2,IF(AND(T701="",U701=""),"",MIN(T701,U701)),IF(U701="","",U701))))</f>
        <v/>
      </c>
      <c r="BI701" s="37" t="str">
        <f aca="false">IF(BH701="","",IF(OR(O701="",BH701=""),"",IF(BH701&lt;O701,"",ROUND(((NETWORKDAYS(O701,BH701,JoursFeries)-1)*(HFer-HOuv)+IF(NETWORKDAYS(BH701,BH701,JoursFeries),MEDIAN(MOD(BH701,1),HFer,HOuv),HFer)-IF(NETWORKDAYS(O701,O701,JoursFeries),MEDIAN(MOD(O701,1),HFer,HOuv),HOuv))*24,4))))</f>
        <v/>
      </c>
      <c r="BJ701" s="35" t="str">
        <f aca="false">IF(OR(BI701="",AR701=""),"",IF(BI701&lt;=INDEX(DELAI_ESC,AR701),1,0))</f>
        <v/>
      </c>
      <c r="BK701" s="38" t="str">
        <f aca="false">IF(AO701&lt;&gt;1,"",IF(AND(T701="",U701=""),"",MIN(T701,U701)))</f>
        <v/>
      </c>
      <c r="BL701" s="37" t="str">
        <f aca="false">IF(OR(BK701="",R701=""),"",IFERROR(ROUND(IF(OR(BK701="",R701=""),"",IF(R701&lt;BK701,"",ROUND(((NETWORKDAYS(BK701,R701,JoursFeries)-1)*(HFer-HOuv)+IF(NETWORKDAYS(R701,R701,JoursFeries),MEDIAN(MOD(R701,1),HFer,HOuv),HFer)-IF(NETWORKDAYS(BK701,BK701,JoursFeries),MEDIAN(MOD(BK701,1),HFer,HOuv),HOuv))*24,4)))/HJour,4),""))</f>
        <v/>
      </c>
      <c r="BM701" s="35" t="str">
        <f aca="false">IF(OR(AO701&lt;&gt;1,R701=""),"",IF(BD701=1,1,0))</f>
        <v/>
      </c>
      <c r="BN701" s="35" t="str">
        <f aca="false">IF(AO701&lt;&gt;1,"",IF(W701="Oui",1,0))</f>
        <v/>
      </c>
      <c r="BO701" s="35" t="str">
        <f aca="false">IF(AO701&lt;&gt;1,"",IF(X701&lt;&gt;"",1,0))</f>
        <v/>
      </c>
      <c r="BP701" s="35" t="str">
        <f aca="false">IF(AO701&lt;&gt;1,"",IF(Y701="Oui",1,0))</f>
        <v/>
      </c>
      <c r="BQ701" s="35" t="str">
        <f aca="true">IF(OR(AO701&lt;&gt;1,Z701&lt;&gt;"Oui"),"",IF(AB701="",IF(AND(AA701&lt;&gt;"",NOW()&gt;AA701),0,""),IF(AA701="","",IF(AB701&lt;=AA701,1,0))))</f>
        <v/>
      </c>
      <c r="BR701" s="38" t="str">
        <f aca="false">IF(OR(AO701&lt;&gt;1,K701&lt;&gt;"Oui",O701=""),"",IF(AC701="",O701+DORA_H_DET/24,IF(AC701-O701&lt;=DORA_H_DET/24,MIN(AC701+DORA_H_CLA/24,O701+DORA_H_DET/24),AC701+DORA_H_CLA/24)))</f>
        <v/>
      </c>
      <c r="BS701" s="35" t="str">
        <f aca="true">IF(BR701="","",IF(AD701="",IF(NOW()&gt;BR701,0,""),IF(AD701&lt;=BR701,1,0)))</f>
        <v/>
      </c>
      <c r="BT701" s="35" t="str">
        <f aca="true">IF(OR(BR701="",AD701=""),"",IF(AE701="",IF(NOW()&gt;AD701+DORA_H_INT/24,0,""),IF(AE701&lt;=AD701+DORA_H_INT/24,1,0)))</f>
        <v/>
      </c>
      <c r="BU701" s="35" t="str">
        <f aca="true">IF(OR(BR701="",AE701=""),"",IF(AF701="",IF(NOW()&gt;EDATE(AE701,DORA_M_FIN)+1,0,""),IF(AF701&lt;=EDATE(AE701,DORA_M_FIN),1,0)))</f>
        <v/>
      </c>
      <c r="BV701" s="35" t="str">
        <f aca="false">IF(BR701="","",IF(COUNT(BS701:BU701)=0,"",MIN(BS701:BU701)))</f>
        <v/>
      </c>
      <c r="BW701" s="40" t="str">
        <f aca="false">IF(AQ701&lt;&gt;1,"",IF(AND(AG701="",AH701=""),"",N(AG701)-N(AH701)))</f>
        <v/>
      </c>
      <c r="BX701" s="35" t="str">
        <f aca="true">IF(OR(AQ701&lt;&gt;1,AI701&lt;&gt;"Oui",AJ701=""),"",IF(AK701="",IF(NOW()&gt;AJ701+1,0,""),IF(AK701&lt;=AJ701,1,0)))</f>
        <v/>
      </c>
    </row>
    <row r="702" customFormat="false" ht="15" hidden="false" customHeight="false" outlineLevel="0" collapsed="false">
      <c r="B702" s="29"/>
      <c r="C702" s="29"/>
      <c r="D702" s="29"/>
      <c r="E702" s="29"/>
      <c r="F702" s="29"/>
      <c r="G702" s="29"/>
      <c r="H702" s="29"/>
      <c r="I702" s="29"/>
      <c r="J702" s="29"/>
      <c r="K702" s="29"/>
      <c r="L702" s="29"/>
      <c r="M702" s="29"/>
      <c r="N702" s="30"/>
      <c r="O702" s="30"/>
      <c r="P702" s="30"/>
      <c r="Q702" s="30"/>
      <c r="R702" s="30"/>
      <c r="S702" s="30"/>
      <c r="T702" s="30"/>
      <c r="U702" s="30"/>
      <c r="V702" s="31"/>
      <c r="W702" s="29"/>
      <c r="X702" s="29"/>
      <c r="Y702" s="29"/>
      <c r="Z702" s="29"/>
      <c r="AA702" s="30"/>
      <c r="AB702" s="30"/>
      <c r="AC702" s="30"/>
      <c r="AD702" s="30"/>
      <c r="AE702" s="30"/>
      <c r="AF702" s="32"/>
      <c r="AG702" s="33"/>
      <c r="AH702" s="33"/>
      <c r="AI702" s="29"/>
      <c r="AJ702" s="32"/>
      <c r="AK702" s="32"/>
      <c r="AL702" s="29"/>
      <c r="AN702" s="34" t="str">
        <f aca="false">IF($B702="","",IF(OR(C702="",D702="",E702="",G702="",I702="",J702="",L702="",O702="",P702=""),"Champ obligatoire manquant",IF(OR(AND(N702&lt;&gt;"",N702&gt;O702),O702&gt;P702,AND(Q702&lt;&gt;"",Q702&lt;P702),AND(R702&lt;&gt;"",R702&lt;P702),AND(S702&lt;&gt;"",S702&lt;R702),AND(S702&lt;&gt;"",R702=""),AND(T702&lt;&gt;"",T702&lt;O702),AND(U702&lt;&gt;"",U702&lt;O702)),"Chronologie incohérente",IF(AND(OR(L702="Résolu",L702="Clos"),R702=""),"Date de résolution manquante",IF(AND(L702="Clos",S702=""),"Date de clôture manquante",IF(AND(K702="Oui",AC702=""),"Classification DORA manquante","OK"))))))</f>
        <v/>
      </c>
      <c r="AO702" s="35" t="str">
        <f aca="false">IF($B702="","",IF(AND(C702="Incident",L702&lt;&gt;"Annulé"),1,0))</f>
        <v/>
      </c>
      <c r="AP702" s="35" t="str">
        <f aca="false">IF($B702="","",IF(AND(C702="Quasi-incident",L702&lt;&gt;"Annulé"),1,0))</f>
        <v/>
      </c>
      <c r="AQ702" s="35" t="str">
        <f aca="false">IF($B702="","",AO702+AP702)</f>
        <v/>
      </c>
      <c r="AR702" s="36" t="str">
        <f aca="false">IF(OR($B702="",J702=""),"",IFERROR(VALUE(LEFT(J702,1)),""))</f>
        <v/>
      </c>
      <c r="AS702" s="35" t="str">
        <f aca="false">IF(OR(AO702&lt;&gt;1,G702=""),"",IFERROR(IF(INDEX(L_SrcInterne,MATCH(G702,L_Sources,0))="Oui",1,0),""))</f>
        <v/>
      </c>
      <c r="AT702" s="37" t="str">
        <f aca="false">IF(AO702&lt;&gt;1,"",IFERROR(ROUND(IF(OR(N702="",O702=""),"",IF(O702&lt;N702,"",ROUND(((NETWORKDAYS(N702,O702,JoursFeries)-1)*(HFer-HOuv)+IF(NETWORKDAYS(O702,O702,JoursFeries),MEDIAN(MOD(O702,1),HFer,HOuv),HFer)-IF(NETWORKDAYS(N702,N702,JoursFeries),MEDIAN(MOD(N702,1),HFer,HOuv),HOuv))*24,4)))/HJour,4),""))</f>
        <v/>
      </c>
      <c r="AU702" s="37" t="str">
        <f aca="false">IF(AO702&lt;&gt;1,"",IF(OR(O702="",P702=""),"",IF(P702&lt;O702,"",ROUND(((NETWORKDAYS(O702,P702,JoursFeries)-1)*(HFer-HOuv)+IF(NETWORKDAYS(P702,P702,JoursFeries),MEDIAN(MOD(P702,1),HFer,HOuv),HFer)-IF(NETWORKDAYS(O702,O702,JoursFeries),MEDIAN(MOD(O702,1),HFer,HOuv),HOuv))*24,4))))</f>
        <v/>
      </c>
      <c r="AV702" s="37" t="str">
        <f aca="false">IF(AO702&lt;&gt;1,"",IF(OR(P702="",Q702=""),"",IF(Q702&lt;P702,"",ROUND(((NETWORKDAYS(P702,Q702,JoursFeries)-1)*(HFer-HOuv)+IF(NETWORKDAYS(Q702,Q702,JoursFeries),MEDIAN(MOD(Q702,1),HFer,HOuv),HFer)-IF(NETWORKDAYS(P702,P702,JoursFeries),MEDIAN(MOD(P702,1),HFer,HOuv),HOuv))*24,4))))</f>
        <v/>
      </c>
      <c r="AW702" s="37" t="str">
        <f aca="false">IF(AO702&lt;&gt;1,"",IFERROR(ROUND(IF(OR(P702="",R702=""),"",IF(R702&lt;P702,"",ROUND(((NETWORKDAYS(P702,R702,JoursFeries)-1)*(HFer-HOuv)+IF(NETWORKDAYS(R702,R702,JoursFeries),MEDIAN(MOD(R702,1),HFer,HOuv),HFer)-IF(NETWORKDAYS(P702,P702,JoursFeries),MEDIAN(MOD(P702,1),HFer,HOuv),HOuv))*24,4)))/HJour,4),""))</f>
        <v/>
      </c>
      <c r="AX702" s="37" t="str">
        <f aca="false">IF(AO702&lt;&gt;1,"",IFERROR(ROUND(IF(OR(P702="",S702=""),"",IF(S702&lt;P702,"",ROUND(((NETWORKDAYS(P702,S702,JoursFeries)-1)*(HFer-HOuv)+IF(NETWORKDAYS(S702,S702,JoursFeries),MEDIAN(MOD(S702,1),HFer,HOuv),HFer)-IF(NETWORKDAYS(P702,P702,JoursFeries),MEDIAN(MOD(P702,1),HFer,HOuv),HOuv))*24,4)))/HJour,4),""))</f>
        <v/>
      </c>
      <c r="AY702" s="36" t="str">
        <f aca="false">IF(OR(AO702&lt;&gt;1,AR702=""),"",INDEX(SLA_PEC,AR702))</f>
        <v/>
      </c>
      <c r="AZ702" s="35" t="str">
        <f aca="false">IF(OR(AV702="",AY702=""),"",IF(AV702&lt;=AY702,1,0))</f>
        <v/>
      </c>
      <c r="BA702" s="36" t="str">
        <f aca="false">IF(OR(AO702&lt;&gt;1,AR702=""),"",INDEX(SLA_RES,AR702))</f>
        <v/>
      </c>
      <c r="BB702" s="35" t="str">
        <f aca="false">IF(OR(AW702="",BA702=""),"",IF(AW702&lt;=BA702,1,0))</f>
        <v/>
      </c>
      <c r="BC702" s="38" t="str">
        <f aca="false">IF(OR(BA702="",P702=""),"",WORKDAY(INT(P702),BA702,JoursFeries)+MOD(P702,1))</f>
        <v/>
      </c>
      <c r="BD702" s="39" t="str">
        <f aca="false">IF(AO702&lt;&gt;1,"",IF(OR(AB702&lt;&gt;"",AD702&lt;&gt;""),4,IF(U702&lt;&gt;"",3,IF(T702&lt;&gt;"",2,1))))</f>
        <v/>
      </c>
      <c r="BE702" s="39" t="str">
        <f aca="false">IF(OR(AO702&lt;&gt;1,AR702=""),"",INDEX(NIV_REQ,AR702))</f>
        <v/>
      </c>
      <c r="BF702" s="39" t="str">
        <f aca="false">IF(BE702="","",MAX(BE702,IF(OR(K702="Oui",Z702="Oui"),4,1)))</f>
        <v/>
      </c>
      <c r="BG702" s="35" t="str">
        <f aca="false">IF(OR(BF702="",BD702=""),"",IF(BD702&gt;=BF702,1,0))</f>
        <v/>
      </c>
      <c r="BH702" s="38" t="str">
        <f aca="false">IF(BE702="","",IF(BE702&lt;2,"",IF(BE702=2,IF(AND(T702="",U702=""),"",MIN(T702,U702)),IF(U702="","",U702))))</f>
        <v/>
      </c>
      <c r="BI702" s="37" t="str">
        <f aca="false">IF(BH702="","",IF(OR(O702="",BH702=""),"",IF(BH702&lt;O702,"",ROUND(((NETWORKDAYS(O702,BH702,JoursFeries)-1)*(HFer-HOuv)+IF(NETWORKDAYS(BH702,BH702,JoursFeries),MEDIAN(MOD(BH702,1),HFer,HOuv),HFer)-IF(NETWORKDAYS(O702,O702,JoursFeries),MEDIAN(MOD(O702,1),HFer,HOuv),HOuv))*24,4))))</f>
        <v/>
      </c>
      <c r="BJ702" s="35" t="str">
        <f aca="false">IF(OR(BI702="",AR702=""),"",IF(BI702&lt;=INDEX(DELAI_ESC,AR702),1,0))</f>
        <v/>
      </c>
      <c r="BK702" s="38" t="str">
        <f aca="false">IF(AO702&lt;&gt;1,"",IF(AND(T702="",U702=""),"",MIN(T702,U702)))</f>
        <v/>
      </c>
      <c r="BL702" s="37" t="str">
        <f aca="false">IF(OR(BK702="",R702=""),"",IFERROR(ROUND(IF(OR(BK702="",R702=""),"",IF(R702&lt;BK702,"",ROUND(((NETWORKDAYS(BK702,R702,JoursFeries)-1)*(HFer-HOuv)+IF(NETWORKDAYS(R702,R702,JoursFeries),MEDIAN(MOD(R702,1),HFer,HOuv),HFer)-IF(NETWORKDAYS(BK702,BK702,JoursFeries),MEDIAN(MOD(BK702,1),HFer,HOuv),HOuv))*24,4)))/HJour,4),""))</f>
        <v/>
      </c>
      <c r="BM702" s="35" t="str">
        <f aca="false">IF(OR(AO702&lt;&gt;1,R702=""),"",IF(BD702=1,1,0))</f>
        <v/>
      </c>
      <c r="BN702" s="35" t="str">
        <f aca="false">IF(AO702&lt;&gt;1,"",IF(W702="Oui",1,0))</f>
        <v/>
      </c>
      <c r="BO702" s="35" t="str">
        <f aca="false">IF(AO702&lt;&gt;1,"",IF(X702&lt;&gt;"",1,0))</f>
        <v/>
      </c>
      <c r="BP702" s="35" t="str">
        <f aca="false">IF(AO702&lt;&gt;1,"",IF(Y702="Oui",1,0))</f>
        <v/>
      </c>
      <c r="BQ702" s="35" t="str">
        <f aca="true">IF(OR(AO702&lt;&gt;1,Z702&lt;&gt;"Oui"),"",IF(AB702="",IF(AND(AA702&lt;&gt;"",NOW()&gt;AA702),0,""),IF(AA702="","",IF(AB702&lt;=AA702,1,0))))</f>
        <v/>
      </c>
      <c r="BR702" s="38" t="str">
        <f aca="false">IF(OR(AO702&lt;&gt;1,K702&lt;&gt;"Oui",O702=""),"",IF(AC702="",O702+DORA_H_DET/24,IF(AC702-O702&lt;=DORA_H_DET/24,MIN(AC702+DORA_H_CLA/24,O702+DORA_H_DET/24),AC702+DORA_H_CLA/24)))</f>
        <v/>
      </c>
      <c r="BS702" s="35" t="str">
        <f aca="true">IF(BR702="","",IF(AD702="",IF(NOW()&gt;BR702,0,""),IF(AD702&lt;=BR702,1,0)))</f>
        <v/>
      </c>
      <c r="BT702" s="35" t="str">
        <f aca="true">IF(OR(BR702="",AD702=""),"",IF(AE702="",IF(NOW()&gt;AD702+DORA_H_INT/24,0,""),IF(AE702&lt;=AD702+DORA_H_INT/24,1,0)))</f>
        <v/>
      </c>
      <c r="BU702" s="35" t="str">
        <f aca="true">IF(OR(BR702="",AE702=""),"",IF(AF702="",IF(NOW()&gt;EDATE(AE702,DORA_M_FIN)+1,0,""),IF(AF702&lt;=EDATE(AE702,DORA_M_FIN),1,0)))</f>
        <v/>
      </c>
      <c r="BV702" s="35" t="str">
        <f aca="false">IF(BR702="","",IF(COUNT(BS702:BU702)=0,"",MIN(BS702:BU702)))</f>
        <v/>
      </c>
      <c r="BW702" s="40" t="str">
        <f aca="false">IF(AQ702&lt;&gt;1,"",IF(AND(AG702="",AH702=""),"",N(AG702)-N(AH702)))</f>
        <v/>
      </c>
      <c r="BX702" s="35" t="str">
        <f aca="true">IF(OR(AQ702&lt;&gt;1,AI702&lt;&gt;"Oui",AJ702=""),"",IF(AK702="",IF(NOW()&gt;AJ702+1,0,""),IF(AK702&lt;=AJ702,1,0)))</f>
        <v/>
      </c>
    </row>
    <row r="703" customFormat="false" ht="15" hidden="false" customHeight="false" outlineLevel="0" collapsed="false">
      <c r="B703" s="29"/>
      <c r="C703" s="29"/>
      <c r="D703" s="29"/>
      <c r="E703" s="29"/>
      <c r="F703" s="29"/>
      <c r="G703" s="29"/>
      <c r="H703" s="29"/>
      <c r="I703" s="29"/>
      <c r="J703" s="29"/>
      <c r="K703" s="29"/>
      <c r="L703" s="29"/>
      <c r="M703" s="29"/>
      <c r="N703" s="30"/>
      <c r="O703" s="30"/>
      <c r="P703" s="30"/>
      <c r="Q703" s="30"/>
      <c r="R703" s="30"/>
      <c r="S703" s="30"/>
      <c r="T703" s="30"/>
      <c r="U703" s="30"/>
      <c r="V703" s="31"/>
      <c r="W703" s="29"/>
      <c r="X703" s="29"/>
      <c r="Y703" s="29"/>
      <c r="Z703" s="29"/>
      <c r="AA703" s="30"/>
      <c r="AB703" s="30"/>
      <c r="AC703" s="30"/>
      <c r="AD703" s="30"/>
      <c r="AE703" s="30"/>
      <c r="AF703" s="32"/>
      <c r="AG703" s="33"/>
      <c r="AH703" s="33"/>
      <c r="AI703" s="29"/>
      <c r="AJ703" s="32"/>
      <c r="AK703" s="32"/>
      <c r="AL703" s="29"/>
      <c r="AN703" s="34" t="str">
        <f aca="false">IF($B703="","",IF(OR(C703="",D703="",E703="",G703="",I703="",J703="",L703="",O703="",P703=""),"Champ obligatoire manquant",IF(OR(AND(N703&lt;&gt;"",N703&gt;O703),O703&gt;P703,AND(Q703&lt;&gt;"",Q703&lt;P703),AND(R703&lt;&gt;"",R703&lt;P703),AND(S703&lt;&gt;"",S703&lt;R703),AND(S703&lt;&gt;"",R703=""),AND(T703&lt;&gt;"",T703&lt;O703),AND(U703&lt;&gt;"",U703&lt;O703)),"Chronologie incohérente",IF(AND(OR(L703="Résolu",L703="Clos"),R703=""),"Date de résolution manquante",IF(AND(L703="Clos",S703=""),"Date de clôture manquante",IF(AND(K703="Oui",AC703=""),"Classification DORA manquante","OK"))))))</f>
        <v/>
      </c>
      <c r="AO703" s="35" t="str">
        <f aca="false">IF($B703="","",IF(AND(C703="Incident",L703&lt;&gt;"Annulé"),1,0))</f>
        <v/>
      </c>
      <c r="AP703" s="35" t="str">
        <f aca="false">IF($B703="","",IF(AND(C703="Quasi-incident",L703&lt;&gt;"Annulé"),1,0))</f>
        <v/>
      </c>
      <c r="AQ703" s="35" t="str">
        <f aca="false">IF($B703="","",AO703+AP703)</f>
        <v/>
      </c>
      <c r="AR703" s="36" t="str">
        <f aca="false">IF(OR($B703="",J703=""),"",IFERROR(VALUE(LEFT(J703,1)),""))</f>
        <v/>
      </c>
      <c r="AS703" s="35" t="str">
        <f aca="false">IF(OR(AO703&lt;&gt;1,G703=""),"",IFERROR(IF(INDEX(L_SrcInterne,MATCH(G703,L_Sources,0))="Oui",1,0),""))</f>
        <v/>
      </c>
      <c r="AT703" s="37" t="str">
        <f aca="false">IF(AO703&lt;&gt;1,"",IFERROR(ROUND(IF(OR(N703="",O703=""),"",IF(O703&lt;N703,"",ROUND(((NETWORKDAYS(N703,O703,JoursFeries)-1)*(HFer-HOuv)+IF(NETWORKDAYS(O703,O703,JoursFeries),MEDIAN(MOD(O703,1),HFer,HOuv),HFer)-IF(NETWORKDAYS(N703,N703,JoursFeries),MEDIAN(MOD(N703,1),HFer,HOuv),HOuv))*24,4)))/HJour,4),""))</f>
        <v/>
      </c>
      <c r="AU703" s="37" t="str">
        <f aca="false">IF(AO703&lt;&gt;1,"",IF(OR(O703="",P703=""),"",IF(P703&lt;O703,"",ROUND(((NETWORKDAYS(O703,P703,JoursFeries)-1)*(HFer-HOuv)+IF(NETWORKDAYS(P703,P703,JoursFeries),MEDIAN(MOD(P703,1),HFer,HOuv),HFer)-IF(NETWORKDAYS(O703,O703,JoursFeries),MEDIAN(MOD(O703,1),HFer,HOuv),HOuv))*24,4))))</f>
        <v/>
      </c>
      <c r="AV703" s="37" t="str">
        <f aca="false">IF(AO703&lt;&gt;1,"",IF(OR(P703="",Q703=""),"",IF(Q703&lt;P703,"",ROUND(((NETWORKDAYS(P703,Q703,JoursFeries)-1)*(HFer-HOuv)+IF(NETWORKDAYS(Q703,Q703,JoursFeries),MEDIAN(MOD(Q703,1),HFer,HOuv),HFer)-IF(NETWORKDAYS(P703,P703,JoursFeries),MEDIAN(MOD(P703,1),HFer,HOuv),HOuv))*24,4))))</f>
        <v/>
      </c>
      <c r="AW703" s="37" t="str">
        <f aca="false">IF(AO703&lt;&gt;1,"",IFERROR(ROUND(IF(OR(P703="",R703=""),"",IF(R703&lt;P703,"",ROUND(((NETWORKDAYS(P703,R703,JoursFeries)-1)*(HFer-HOuv)+IF(NETWORKDAYS(R703,R703,JoursFeries),MEDIAN(MOD(R703,1),HFer,HOuv),HFer)-IF(NETWORKDAYS(P703,P703,JoursFeries),MEDIAN(MOD(P703,1),HFer,HOuv),HOuv))*24,4)))/HJour,4),""))</f>
        <v/>
      </c>
      <c r="AX703" s="37" t="str">
        <f aca="false">IF(AO703&lt;&gt;1,"",IFERROR(ROUND(IF(OR(P703="",S703=""),"",IF(S703&lt;P703,"",ROUND(((NETWORKDAYS(P703,S703,JoursFeries)-1)*(HFer-HOuv)+IF(NETWORKDAYS(S703,S703,JoursFeries),MEDIAN(MOD(S703,1),HFer,HOuv),HFer)-IF(NETWORKDAYS(P703,P703,JoursFeries),MEDIAN(MOD(P703,1),HFer,HOuv),HOuv))*24,4)))/HJour,4),""))</f>
        <v/>
      </c>
      <c r="AY703" s="36" t="str">
        <f aca="false">IF(OR(AO703&lt;&gt;1,AR703=""),"",INDEX(SLA_PEC,AR703))</f>
        <v/>
      </c>
      <c r="AZ703" s="35" t="str">
        <f aca="false">IF(OR(AV703="",AY703=""),"",IF(AV703&lt;=AY703,1,0))</f>
        <v/>
      </c>
      <c r="BA703" s="36" t="str">
        <f aca="false">IF(OR(AO703&lt;&gt;1,AR703=""),"",INDEX(SLA_RES,AR703))</f>
        <v/>
      </c>
      <c r="BB703" s="35" t="str">
        <f aca="false">IF(OR(AW703="",BA703=""),"",IF(AW703&lt;=BA703,1,0))</f>
        <v/>
      </c>
      <c r="BC703" s="38" t="str">
        <f aca="false">IF(OR(BA703="",P703=""),"",WORKDAY(INT(P703),BA703,JoursFeries)+MOD(P703,1))</f>
        <v/>
      </c>
      <c r="BD703" s="39" t="str">
        <f aca="false">IF(AO703&lt;&gt;1,"",IF(OR(AB703&lt;&gt;"",AD703&lt;&gt;""),4,IF(U703&lt;&gt;"",3,IF(T703&lt;&gt;"",2,1))))</f>
        <v/>
      </c>
      <c r="BE703" s="39" t="str">
        <f aca="false">IF(OR(AO703&lt;&gt;1,AR703=""),"",INDEX(NIV_REQ,AR703))</f>
        <v/>
      </c>
      <c r="BF703" s="39" t="str">
        <f aca="false">IF(BE703="","",MAX(BE703,IF(OR(K703="Oui",Z703="Oui"),4,1)))</f>
        <v/>
      </c>
      <c r="BG703" s="35" t="str">
        <f aca="false">IF(OR(BF703="",BD703=""),"",IF(BD703&gt;=BF703,1,0))</f>
        <v/>
      </c>
      <c r="BH703" s="38" t="str">
        <f aca="false">IF(BE703="","",IF(BE703&lt;2,"",IF(BE703=2,IF(AND(T703="",U703=""),"",MIN(T703,U703)),IF(U703="","",U703))))</f>
        <v/>
      </c>
      <c r="BI703" s="37" t="str">
        <f aca="false">IF(BH703="","",IF(OR(O703="",BH703=""),"",IF(BH703&lt;O703,"",ROUND(((NETWORKDAYS(O703,BH703,JoursFeries)-1)*(HFer-HOuv)+IF(NETWORKDAYS(BH703,BH703,JoursFeries),MEDIAN(MOD(BH703,1),HFer,HOuv),HFer)-IF(NETWORKDAYS(O703,O703,JoursFeries),MEDIAN(MOD(O703,1),HFer,HOuv),HOuv))*24,4))))</f>
        <v/>
      </c>
      <c r="BJ703" s="35" t="str">
        <f aca="false">IF(OR(BI703="",AR703=""),"",IF(BI703&lt;=INDEX(DELAI_ESC,AR703),1,0))</f>
        <v/>
      </c>
      <c r="BK703" s="38" t="str">
        <f aca="false">IF(AO703&lt;&gt;1,"",IF(AND(T703="",U703=""),"",MIN(T703,U703)))</f>
        <v/>
      </c>
      <c r="BL703" s="37" t="str">
        <f aca="false">IF(OR(BK703="",R703=""),"",IFERROR(ROUND(IF(OR(BK703="",R703=""),"",IF(R703&lt;BK703,"",ROUND(((NETWORKDAYS(BK703,R703,JoursFeries)-1)*(HFer-HOuv)+IF(NETWORKDAYS(R703,R703,JoursFeries),MEDIAN(MOD(R703,1),HFer,HOuv),HFer)-IF(NETWORKDAYS(BK703,BK703,JoursFeries),MEDIAN(MOD(BK703,1),HFer,HOuv),HOuv))*24,4)))/HJour,4),""))</f>
        <v/>
      </c>
      <c r="BM703" s="35" t="str">
        <f aca="false">IF(OR(AO703&lt;&gt;1,R703=""),"",IF(BD703=1,1,0))</f>
        <v/>
      </c>
      <c r="BN703" s="35" t="str">
        <f aca="false">IF(AO703&lt;&gt;1,"",IF(W703="Oui",1,0))</f>
        <v/>
      </c>
      <c r="BO703" s="35" t="str">
        <f aca="false">IF(AO703&lt;&gt;1,"",IF(X703&lt;&gt;"",1,0))</f>
        <v/>
      </c>
      <c r="BP703" s="35" t="str">
        <f aca="false">IF(AO703&lt;&gt;1,"",IF(Y703="Oui",1,0))</f>
        <v/>
      </c>
      <c r="BQ703" s="35" t="str">
        <f aca="true">IF(OR(AO703&lt;&gt;1,Z703&lt;&gt;"Oui"),"",IF(AB703="",IF(AND(AA703&lt;&gt;"",NOW()&gt;AA703),0,""),IF(AA703="","",IF(AB703&lt;=AA703,1,0))))</f>
        <v/>
      </c>
      <c r="BR703" s="38" t="str">
        <f aca="false">IF(OR(AO703&lt;&gt;1,K703&lt;&gt;"Oui",O703=""),"",IF(AC703="",O703+DORA_H_DET/24,IF(AC703-O703&lt;=DORA_H_DET/24,MIN(AC703+DORA_H_CLA/24,O703+DORA_H_DET/24),AC703+DORA_H_CLA/24)))</f>
        <v/>
      </c>
      <c r="BS703" s="35" t="str">
        <f aca="true">IF(BR703="","",IF(AD703="",IF(NOW()&gt;BR703,0,""),IF(AD703&lt;=BR703,1,0)))</f>
        <v/>
      </c>
      <c r="BT703" s="35" t="str">
        <f aca="true">IF(OR(BR703="",AD703=""),"",IF(AE703="",IF(NOW()&gt;AD703+DORA_H_INT/24,0,""),IF(AE703&lt;=AD703+DORA_H_INT/24,1,0)))</f>
        <v/>
      </c>
      <c r="BU703" s="35" t="str">
        <f aca="true">IF(OR(BR703="",AE703=""),"",IF(AF703="",IF(NOW()&gt;EDATE(AE703,DORA_M_FIN)+1,0,""),IF(AF703&lt;=EDATE(AE703,DORA_M_FIN),1,0)))</f>
        <v/>
      </c>
      <c r="BV703" s="35" t="str">
        <f aca="false">IF(BR703="","",IF(COUNT(BS703:BU703)=0,"",MIN(BS703:BU703)))</f>
        <v/>
      </c>
      <c r="BW703" s="40" t="str">
        <f aca="false">IF(AQ703&lt;&gt;1,"",IF(AND(AG703="",AH703=""),"",N(AG703)-N(AH703)))</f>
        <v/>
      </c>
      <c r="BX703" s="35" t="str">
        <f aca="true">IF(OR(AQ703&lt;&gt;1,AI703&lt;&gt;"Oui",AJ703=""),"",IF(AK703="",IF(NOW()&gt;AJ703+1,0,""),IF(AK703&lt;=AJ703,1,0)))</f>
        <v/>
      </c>
    </row>
    <row r="704" customFormat="false" ht="15" hidden="false" customHeight="false" outlineLevel="0" collapsed="false">
      <c r="B704" s="29"/>
      <c r="C704" s="29"/>
      <c r="D704" s="29"/>
      <c r="E704" s="29"/>
      <c r="F704" s="29"/>
      <c r="G704" s="29"/>
      <c r="H704" s="29"/>
      <c r="I704" s="29"/>
      <c r="J704" s="29"/>
      <c r="K704" s="29"/>
      <c r="L704" s="29"/>
      <c r="M704" s="29"/>
      <c r="N704" s="30"/>
      <c r="O704" s="30"/>
      <c r="P704" s="30"/>
      <c r="Q704" s="30"/>
      <c r="R704" s="30"/>
      <c r="S704" s="30"/>
      <c r="T704" s="30"/>
      <c r="U704" s="30"/>
      <c r="V704" s="31"/>
      <c r="W704" s="29"/>
      <c r="X704" s="29"/>
      <c r="Y704" s="29"/>
      <c r="Z704" s="29"/>
      <c r="AA704" s="30"/>
      <c r="AB704" s="30"/>
      <c r="AC704" s="30"/>
      <c r="AD704" s="30"/>
      <c r="AE704" s="30"/>
      <c r="AF704" s="32"/>
      <c r="AG704" s="33"/>
      <c r="AH704" s="33"/>
      <c r="AI704" s="29"/>
      <c r="AJ704" s="32"/>
      <c r="AK704" s="32"/>
      <c r="AL704" s="29"/>
      <c r="AN704" s="34" t="str">
        <f aca="false">IF($B704="","",IF(OR(C704="",D704="",E704="",G704="",I704="",J704="",L704="",O704="",P704=""),"Champ obligatoire manquant",IF(OR(AND(N704&lt;&gt;"",N704&gt;O704),O704&gt;P704,AND(Q704&lt;&gt;"",Q704&lt;P704),AND(R704&lt;&gt;"",R704&lt;P704),AND(S704&lt;&gt;"",S704&lt;R704),AND(S704&lt;&gt;"",R704=""),AND(T704&lt;&gt;"",T704&lt;O704),AND(U704&lt;&gt;"",U704&lt;O704)),"Chronologie incohérente",IF(AND(OR(L704="Résolu",L704="Clos"),R704=""),"Date de résolution manquante",IF(AND(L704="Clos",S704=""),"Date de clôture manquante",IF(AND(K704="Oui",AC704=""),"Classification DORA manquante","OK"))))))</f>
        <v/>
      </c>
      <c r="AO704" s="35" t="str">
        <f aca="false">IF($B704="","",IF(AND(C704="Incident",L704&lt;&gt;"Annulé"),1,0))</f>
        <v/>
      </c>
      <c r="AP704" s="35" t="str">
        <f aca="false">IF($B704="","",IF(AND(C704="Quasi-incident",L704&lt;&gt;"Annulé"),1,0))</f>
        <v/>
      </c>
      <c r="AQ704" s="35" t="str">
        <f aca="false">IF($B704="","",AO704+AP704)</f>
        <v/>
      </c>
      <c r="AR704" s="36" t="str">
        <f aca="false">IF(OR($B704="",J704=""),"",IFERROR(VALUE(LEFT(J704,1)),""))</f>
        <v/>
      </c>
      <c r="AS704" s="35" t="str">
        <f aca="false">IF(OR(AO704&lt;&gt;1,G704=""),"",IFERROR(IF(INDEX(L_SrcInterne,MATCH(G704,L_Sources,0))="Oui",1,0),""))</f>
        <v/>
      </c>
      <c r="AT704" s="37" t="str">
        <f aca="false">IF(AO704&lt;&gt;1,"",IFERROR(ROUND(IF(OR(N704="",O704=""),"",IF(O704&lt;N704,"",ROUND(((NETWORKDAYS(N704,O704,JoursFeries)-1)*(HFer-HOuv)+IF(NETWORKDAYS(O704,O704,JoursFeries),MEDIAN(MOD(O704,1),HFer,HOuv),HFer)-IF(NETWORKDAYS(N704,N704,JoursFeries),MEDIAN(MOD(N704,1),HFer,HOuv),HOuv))*24,4)))/HJour,4),""))</f>
        <v/>
      </c>
      <c r="AU704" s="37" t="str">
        <f aca="false">IF(AO704&lt;&gt;1,"",IF(OR(O704="",P704=""),"",IF(P704&lt;O704,"",ROUND(((NETWORKDAYS(O704,P704,JoursFeries)-1)*(HFer-HOuv)+IF(NETWORKDAYS(P704,P704,JoursFeries),MEDIAN(MOD(P704,1),HFer,HOuv),HFer)-IF(NETWORKDAYS(O704,O704,JoursFeries),MEDIAN(MOD(O704,1),HFer,HOuv),HOuv))*24,4))))</f>
        <v/>
      </c>
      <c r="AV704" s="37" t="str">
        <f aca="false">IF(AO704&lt;&gt;1,"",IF(OR(P704="",Q704=""),"",IF(Q704&lt;P704,"",ROUND(((NETWORKDAYS(P704,Q704,JoursFeries)-1)*(HFer-HOuv)+IF(NETWORKDAYS(Q704,Q704,JoursFeries),MEDIAN(MOD(Q704,1),HFer,HOuv),HFer)-IF(NETWORKDAYS(P704,P704,JoursFeries),MEDIAN(MOD(P704,1),HFer,HOuv),HOuv))*24,4))))</f>
        <v/>
      </c>
      <c r="AW704" s="37" t="str">
        <f aca="false">IF(AO704&lt;&gt;1,"",IFERROR(ROUND(IF(OR(P704="",R704=""),"",IF(R704&lt;P704,"",ROUND(((NETWORKDAYS(P704,R704,JoursFeries)-1)*(HFer-HOuv)+IF(NETWORKDAYS(R704,R704,JoursFeries),MEDIAN(MOD(R704,1),HFer,HOuv),HFer)-IF(NETWORKDAYS(P704,P704,JoursFeries),MEDIAN(MOD(P704,1),HFer,HOuv),HOuv))*24,4)))/HJour,4),""))</f>
        <v/>
      </c>
      <c r="AX704" s="37" t="str">
        <f aca="false">IF(AO704&lt;&gt;1,"",IFERROR(ROUND(IF(OR(P704="",S704=""),"",IF(S704&lt;P704,"",ROUND(((NETWORKDAYS(P704,S704,JoursFeries)-1)*(HFer-HOuv)+IF(NETWORKDAYS(S704,S704,JoursFeries),MEDIAN(MOD(S704,1),HFer,HOuv),HFer)-IF(NETWORKDAYS(P704,P704,JoursFeries),MEDIAN(MOD(P704,1),HFer,HOuv),HOuv))*24,4)))/HJour,4),""))</f>
        <v/>
      </c>
      <c r="AY704" s="36" t="str">
        <f aca="false">IF(OR(AO704&lt;&gt;1,AR704=""),"",INDEX(SLA_PEC,AR704))</f>
        <v/>
      </c>
      <c r="AZ704" s="35" t="str">
        <f aca="false">IF(OR(AV704="",AY704=""),"",IF(AV704&lt;=AY704,1,0))</f>
        <v/>
      </c>
      <c r="BA704" s="36" t="str">
        <f aca="false">IF(OR(AO704&lt;&gt;1,AR704=""),"",INDEX(SLA_RES,AR704))</f>
        <v/>
      </c>
      <c r="BB704" s="35" t="str">
        <f aca="false">IF(OR(AW704="",BA704=""),"",IF(AW704&lt;=BA704,1,0))</f>
        <v/>
      </c>
      <c r="BC704" s="38" t="str">
        <f aca="false">IF(OR(BA704="",P704=""),"",WORKDAY(INT(P704),BA704,JoursFeries)+MOD(P704,1))</f>
        <v/>
      </c>
      <c r="BD704" s="39" t="str">
        <f aca="false">IF(AO704&lt;&gt;1,"",IF(OR(AB704&lt;&gt;"",AD704&lt;&gt;""),4,IF(U704&lt;&gt;"",3,IF(T704&lt;&gt;"",2,1))))</f>
        <v/>
      </c>
      <c r="BE704" s="39" t="str">
        <f aca="false">IF(OR(AO704&lt;&gt;1,AR704=""),"",INDEX(NIV_REQ,AR704))</f>
        <v/>
      </c>
      <c r="BF704" s="39" t="str">
        <f aca="false">IF(BE704="","",MAX(BE704,IF(OR(K704="Oui",Z704="Oui"),4,1)))</f>
        <v/>
      </c>
      <c r="BG704" s="35" t="str">
        <f aca="false">IF(OR(BF704="",BD704=""),"",IF(BD704&gt;=BF704,1,0))</f>
        <v/>
      </c>
      <c r="BH704" s="38" t="str">
        <f aca="false">IF(BE704="","",IF(BE704&lt;2,"",IF(BE704=2,IF(AND(T704="",U704=""),"",MIN(T704,U704)),IF(U704="","",U704))))</f>
        <v/>
      </c>
      <c r="BI704" s="37" t="str">
        <f aca="false">IF(BH704="","",IF(OR(O704="",BH704=""),"",IF(BH704&lt;O704,"",ROUND(((NETWORKDAYS(O704,BH704,JoursFeries)-1)*(HFer-HOuv)+IF(NETWORKDAYS(BH704,BH704,JoursFeries),MEDIAN(MOD(BH704,1),HFer,HOuv),HFer)-IF(NETWORKDAYS(O704,O704,JoursFeries),MEDIAN(MOD(O704,1),HFer,HOuv),HOuv))*24,4))))</f>
        <v/>
      </c>
      <c r="BJ704" s="35" t="str">
        <f aca="false">IF(OR(BI704="",AR704=""),"",IF(BI704&lt;=INDEX(DELAI_ESC,AR704),1,0))</f>
        <v/>
      </c>
      <c r="BK704" s="38" t="str">
        <f aca="false">IF(AO704&lt;&gt;1,"",IF(AND(T704="",U704=""),"",MIN(T704,U704)))</f>
        <v/>
      </c>
      <c r="BL704" s="37" t="str">
        <f aca="false">IF(OR(BK704="",R704=""),"",IFERROR(ROUND(IF(OR(BK704="",R704=""),"",IF(R704&lt;BK704,"",ROUND(((NETWORKDAYS(BK704,R704,JoursFeries)-1)*(HFer-HOuv)+IF(NETWORKDAYS(R704,R704,JoursFeries),MEDIAN(MOD(R704,1),HFer,HOuv),HFer)-IF(NETWORKDAYS(BK704,BK704,JoursFeries),MEDIAN(MOD(BK704,1),HFer,HOuv),HOuv))*24,4)))/HJour,4),""))</f>
        <v/>
      </c>
      <c r="BM704" s="35" t="str">
        <f aca="false">IF(OR(AO704&lt;&gt;1,R704=""),"",IF(BD704=1,1,0))</f>
        <v/>
      </c>
      <c r="BN704" s="35" t="str">
        <f aca="false">IF(AO704&lt;&gt;1,"",IF(W704="Oui",1,0))</f>
        <v/>
      </c>
      <c r="BO704" s="35" t="str">
        <f aca="false">IF(AO704&lt;&gt;1,"",IF(X704&lt;&gt;"",1,0))</f>
        <v/>
      </c>
      <c r="BP704" s="35" t="str">
        <f aca="false">IF(AO704&lt;&gt;1,"",IF(Y704="Oui",1,0))</f>
        <v/>
      </c>
      <c r="BQ704" s="35" t="str">
        <f aca="true">IF(OR(AO704&lt;&gt;1,Z704&lt;&gt;"Oui"),"",IF(AB704="",IF(AND(AA704&lt;&gt;"",NOW()&gt;AA704),0,""),IF(AA704="","",IF(AB704&lt;=AA704,1,0))))</f>
        <v/>
      </c>
      <c r="BR704" s="38" t="str">
        <f aca="false">IF(OR(AO704&lt;&gt;1,K704&lt;&gt;"Oui",O704=""),"",IF(AC704="",O704+DORA_H_DET/24,IF(AC704-O704&lt;=DORA_H_DET/24,MIN(AC704+DORA_H_CLA/24,O704+DORA_H_DET/24),AC704+DORA_H_CLA/24)))</f>
        <v/>
      </c>
      <c r="BS704" s="35" t="str">
        <f aca="true">IF(BR704="","",IF(AD704="",IF(NOW()&gt;BR704,0,""),IF(AD704&lt;=BR704,1,0)))</f>
        <v/>
      </c>
      <c r="BT704" s="35" t="str">
        <f aca="true">IF(OR(BR704="",AD704=""),"",IF(AE704="",IF(NOW()&gt;AD704+DORA_H_INT/24,0,""),IF(AE704&lt;=AD704+DORA_H_INT/24,1,0)))</f>
        <v/>
      </c>
      <c r="BU704" s="35" t="str">
        <f aca="true">IF(OR(BR704="",AE704=""),"",IF(AF704="",IF(NOW()&gt;EDATE(AE704,DORA_M_FIN)+1,0,""),IF(AF704&lt;=EDATE(AE704,DORA_M_FIN),1,0)))</f>
        <v/>
      </c>
      <c r="BV704" s="35" t="str">
        <f aca="false">IF(BR704="","",IF(COUNT(BS704:BU704)=0,"",MIN(BS704:BU704)))</f>
        <v/>
      </c>
      <c r="BW704" s="40" t="str">
        <f aca="false">IF(AQ704&lt;&gt;1,"",IF(AND(AG704="",AH704=""),"",N(AG704)-N(AH704)))</f>
        <v/>
      </c>
      <c r="BX704" s="35" t="str">
        <f aca="true">IF(OR(AQ704&lt;&gt;1,AI704&lt;&gt;"Oui",AJ704=""),"",IF(AK704="",IF(NOW()&gt;AJ704+1,0,""),IF(AK704&lt;=AJ704,1,0)))</f>
        <v/>
      </c>
    </row>
    <row r="705" customFormat="false" ht="15" hidden="false" customHeight="false" outlineLevel="0" collapsed="false">
      <c r="B705" s="29"/>
      <c r="C705" s="29"/>
      <c r="D705" s="29"/>
      <c r="E705" s="29"/>
      <c r="F705" s="29"/>
      <c r="G705" s="29"/>
      <c r="H705" s="29"/>
      <c r="I705" s="29"/>
      <c r="J705" s="29"/>
      <c r="K705" s="29"/>
      <c r="L705" s="29"/>
      <c r="M705" s="29"/>
      <c r="N705" s="30"/>
      <c r="O705" s="30"/>
      <c r="P705" s="30"/>
      <c r="Q705" s="30"/>
      <c r="R705" s="30"/>
      <c r="S705" s="30"/>
      <c r="T705" s="30"/>
      <c r="U705" s="30"/>
      <c r="V705" s="31"/>
      <c r="W705" s="29"/>
      <c r="X705" s="29"/>
      <c r="Y705" s="29"/>
      <c r="Z705" s="29"/>
      <c r="AA705" s="30"/>
      <c r="AB705" s="30"/>
      <c r="AC705" s="30"/>
      <c r="AD705" s="30"/>
      <c r="AE705" s="30"/>
      <c r="AF705" s="32"/>
      <c r="AG705" s="33"/>
      <c r="AH705" s="33"/>
      <c r="AI705" s="29"/>
      <c r="AJ705" s="32"/>
      <c r="AK705" s="32"/>
      <c r="AL705" s="29"/>
      <c r="AN705" s="34" t="str">
        <f aca="false">IF($B705="","",IF(OR(C705="",D705="",E705="",G705="",I705="",J705="",L705="",O705="",P705=""),"Champ obligatoire manquant",IF(OR(AND(N705&lt;&gt;"",N705&gt;O705),O705&gt;P705,AND(Q705&lt;&gt;"",Q705&lt;P705),AND(R705&lt;&gt;"",R705&lt;P705),AND(S705&lt;&gt;"",S705&lt;R705),AND(S705&lt;&gt;"",R705=""),AND(T705&lt;&gt;"",T705&lt;O705),AND(U705&lt;&gt;"",U705&lt;O705)),"Chronologie incohérente",IF(AND(OR(L705="Résolu",L705="Clos"),R705=""),"Date de résolution manquante",IF(AND(L705="Clos",S705=""),"Date de clôture manquante",IF(AND(K705="Oui",AC705=""),"Classification DORA manquante","OK"))))))</f>
        <v/>
      </c>
      <c r="AO705" s="35" t="str">
        <f aca="false">IF($B705="","",IF(AND(C705="Incident",L705&lt;&gt;"Annulé"),1,0))</f>
        <v/>
      </c>
      <c r="AP705" s="35" t="str">
        <f aca="false">IF($B705="","",IF(AND(C705="Quasi-incident",L705&lt;&gt;"Annulé"),1,0))</f>
        <v/>
      </c>
      <c r="AQ705" s="35" t="str">
        <f aca="false">IF($B705="","",AO705+AP705)</f>
        <v/>
      </c>
      <c r="AR705" s="36" t="str">
        <f aca="false">IF(OR($B705="",J705=""),"",IFERROR(VALUE(LEFT(J705,1)),""))</f>
        <v/>
      </c>
      <c r="AS705" s="35" t="str">
        <f aca="false">IF(OR(AO705&lt;&gt;1,G705=""),"",IFERROR(IF(INDEX(L_SrcInterne,MATCH(G705,L_Sources,0))="Oui",1,0),""))</f>
        <v/>
      </c>
      <c r="AT705" s="37" t="str">
        <f aca="false">IF(AO705&lt;&gt;1,"",IFERROR(ROUND(IF(OR(N705="",O705=""),"",IF(O705&lt;N705,"",ROUND(((NETWORKDAYS(N705,O705,JoursFeries)-1)*(HFer-HOuv)+IF(NETWORKDAYS(O705,O705,JoursFeries),MEDIAN(MOD(O705,1),HFer,HOuv),HFer)-IF(NETWORKDAYS(N705,N705,JoursFeries),MEDIAN(MOD(N705,1),HFer,HOuv),HOuv))*24,4)))/HJour,4),""))</f>
        <v/>
      </c>
      <c r="AU705" s="37" t="str">
        <f aca="false">IF(AO705&lt;&gt;1,"",IF(OR(O705="",P705=""),"",IF(P705&lt;O705,"",ROUND(((NETWORKDAYS(O705,P705,JoursFeries)-1)*(HFer-HOuv)+IF(NETWORKDAYS(P705,P705,JoursFeries),MEDIAN(MOD(P705,1),HFer,HOuv),HFer)-IF(NETWORKDAYS(O705,O705,JoursFeries),MEDIAN(MOD(O705,1),HFer,HOuv),HOuv))*24,4))))</f>
        <v/>
      </c>
      <c r="AV705" s="37" t="str">
        <f aca="false">IF(AO705&lt;&gt;1,"",IF(OR(P705="",Q705=""),"",IF(Q705&lt;P705,"",ROUND(((NETWORKDAYS(P705,Q705,JoursFeries)-1)*(HFer-HOuv)+IF(NETWORKDAYS(Q705,Q705,JoursFeries),MEDIAN(MOD(Q705,1),HFer,HOuv),HFer)-IF(NETWORKDAYS(P705,P705,JoursFeries),MEDIAN(MOD(P705,1),HFer,HOuv),HOuv))*24,4))))</f>
        <v/>
      </c>
      <c r="AW705" s="37" t="str">
        <f aca="false">IF(AO705&lt;&gt;1,"",IFERROR(ROUND(IF(OR(P705="",R705=""),"",IF(R705&lt;P705,"",ROUND(((NETWORKDAYS(P705,R705,JoursFeries)-1)*(HFer-HOuv)+IF(NETWORKDAYS(R705,R705,JoursFeries),MEDIAN(MOD(R705,1),HFer,HOuv),HFer)-IF(NETWORKDAYS(P705,P705,JoursFeries),MEDIAN(MOD(P705,1),HFer,HOuv),HOuv))*24,4)))/HJour,4),""))</f>
        <v/>
      </c>
      <c r="AX705" s="37" t="str">
        <f aca="false">IF(AO705&lt;&gt;1,"",IFERROR(ROUND(IF(OR(P705="",S705=""),"",IF(S705&lt;P705,"",ROUND(((NETWORKDAYS(P705,S705,JoursFeries)-1)*(HFer-HOuv)+IF(NETWORKDAYS(S705,S705,JoursFeries),MEDIAN(MOD(S705,1),HFer,HOuv),HFer)-IF(NETWORKDAYS(P705,P705,JoursFeries),MEDIAN(MOD(P705,1),HFer,HOuv),HOuv))*24,4)))/HJour,4),""))</f>
        <v/>
      </c>
      <c r="AY705" s="36" t="str">
        <f aca="false">IF(OR(AO705&lt;&gt;1,AR705=""),"",INDEX(SLA_PEC,AR705))</f>
        <v/>
      </c>
      <c r="AZ705" s="35" t="str">
        <f aca="false">IF(OR(AV705="",AY705=""),"",IF(AV705&lt;=AY705,1,0))</f>
        <v/>
      </c>
      <c r="BA705" s="36" t="str">
        <f aca="false">IF(OR(AO705&lt;&gt;1,AR705=""),"",INDEX(SLA_RES,AR705))</f>
        <v/>
      </c>
      <c r="BB705" s="35" t="str">
        <f aca="false">IF(OR(AW705="",BA705=""),"",IF(AW705&lt;=BA705,1,0))</f>
        <v/>
      </c>
      <c r="BC705" s="38" t="str">
        <f aca="false">IF(OR(BA705="",P705=""),"",WORKDAY(INT(P705),BA705,JoursFeries)+MOD(P705,1))</f>
        <v/>
      </c>
      <c r="BD705" s="39" t="str">
        <f aca="false">IF(AO705&lt;&gt;1,"",IF(OR(AB705&lt;&gt;"",AD705&lt;&gt;""),4,IF(U705&lt;&gt;"",3,IF(T705&lt;&gt;"",2,1))))</f>
        <v/>
      </c>
      <c r="BE705" s="39" t="str">
        <f aca="false">IF(OR(AO705&lt;&gt;1,AR705=""),"",INDEX(NIV_REQ,AR705))</f>
        <v/>
      </c>
      <c r="BF705" s="39" t="str">
        <f aca="false">IF(BE705="","",MAX(BE705,IF(OR(K705="Oui",Z705="Oui"),4,1)))</f>
        <v/>
      </c>
      <c r="BG705" s="35" t="str">
        <f aca="false">IF(OR(BF705="",BD705=""),"",IF(BD705&gt;=BF705,1,0))</f>
        <v/>
      </c>
      <c r="BH705" s="38" t="str">
        <f aca="false">IF(BE705="","",IF(BE705&lt;2,"",IF(BE705=2,IF(AND(T705="",U705=""),"",MIN(T705,U705)),IF(U705="","",U705))))</f>
        <v/>
      </c>
      <c r="BI705" s="37" t="str">
        <f aca="false">IF(BH705="","",IF(OR(O705="",BH705=""),"",IF(BH705&lt;O705,"",ROUND(((NETWORKDAYS(O705,BH705,JoursFeries)-1)*(HFer-HOuv)+IF(NETWORKDAYS(BH705,BH705,JoursFeries),MEDIAN(MOD(BH705,1),HFer,HOuv),HFer)-IF(NETWORKDAYS(O705,O705,JoursFeries),MEDIAN(MOD(O705,1),HFer,HOuv),HOuv))*24,4))))</f>
        <v/>
      </c>
      <c r="BJ705" s="35" t="str">
        <f aca="false">IF(OR(BI705="",AR705=""),"",IF(BI705&lt;=INDEX(DELAI_ESC,AR705),1,0))</f>
        <v/>
      </c>
      <c r="BK705" s="38" t="str">
        <f aca="false">IF(AO705&lt;&gt;1,"",IF(AND(T705="",U705=""),"",MIN(T705,U705)))</f>
        <v/>
      </c>
      <c r="BL705" s="37" t="str">
        <f aca="false">IF(OR(BK705="",R705=""),"",IFERROR(ROUND(IF(OR(BK705="",R705=""),"",IF(R705&lt;BK705,"",ROUND(((NETWORKDAYS(BK705,R705,JoursFeries)-1)*(HFer-HOuv)+IF(NETWORKDAYS(R705,R705,JoursFeries),MEDIAN(MOD(R705,1),HFer,HOuv),HFer)-IF(NETWORKDAYS(BK705,BK705,JoursFeries),MEDIAN(MOD(BK705,1),HFer,HOuv),HOuv))*24,4)))/HJour,4),""))</f>
        <v/>
      </c>
      <c r="BM705" s="35" t="str">
        <f aca="false">IF(OR(AO705&lt;&gt;1,R705=""),"",IF(BD705=1,1,0))</f>
        <v/>
      </c>
      <c r="BN705" s="35" t="str">
        <f aca="false">IF(AO705&lt;&gt;1,"",IF(W705="Oui",1,0))</f>
        <v/>
      </c>
      <c r="BO705" s="35" t="str">
        <f aca="false">IF(AO705&lt;&gt;1,"",IF(X705&lt;&gt;"",1,0))</f>
        <v/>
      </c>
      <c r="BP705" s="35" t="str">
        <f aca="false">IF(AO705&lt;&gt;1,"",IF(Y705="Oui",1,0))</f>
        <v/>
      </c>
      <c r="BQ705" s="35" t="str">
        <f aca="true">IF(OR(AO705&lt;&gt;1,Z705&lt;&gt;"Oui"),"",IF(AB705="",IF(AND(AA705&lt;&gt;"",NOW()&gt;AA705),0,""),IF(AA705="","",IF(AB705&lt;=AA705,1,0))))</f>
        <v/>
      </c>
      <c r="BR705" s="38" t="str">
        <f aca="false">IF(OR(AO705&lt;&gt;1,K705&lt;&gt;"Oui",O705=""),"",IF(AC705="",O705+DORA_H_DET/24,IF(AC705-O705&lt;=DORA_H_DET/24,MIN(AC705+DORA_H_CLA/24,O705+DORA_H_DET/24),AC705+DORA_H_CLA/24)))</f>
        <v/>
      </c>
      <c r="BS705" s="35" t="str">
        <f aca="true">IF(BR705="","",IF(AD705="",IF(NOW()&gt;BR705,0,""),IF(AD705&lt;=BR705,1,0)))</f>
        <v/>
      </c>
      <c r="BT705" s="35" t="str">
        <f aca="true">IF(OR(BR705="",AD705=""),"",IF(AE705="",IF(NOW()&gt;AD705+DORA_H_INT/24,0,""),IF(AE705&lt;=AD705+DORA_H_INT/24,1,0)))</f>
        <v/>
      </c>
      <c r="BU705" s="35" t="str">
        <f aca="true">IF(OR(BR705="",AE705=""),"",IF(AF705="",IF(NOW()&gt;EDATE(AE705,DORA_M_FIN)+1,0,""),IF(AF705&lt;=EDATE(AE705,DORA_M_FIN),1,0)))</f>
        <v/>
      </c>
      <c r="BV705" s="35" t="str">
        <f aca="false">IF(BR705="","",IF(COUNT(BS705:BU705)=0,"",MIN(BS705:BU705)))</f>
        <v/>
      </c>
      <c r="BW705" s="40" t="str">
        <f aca="false">IF(AQ705&lt;&gt;1,"",IF(AND(AG705="",AH705=""),"",N(AG705)-N(AH705)))</f>
        <v/>
      </c>
      <c r="BX705" s="35" t="str">
        <f aca="true">IF(OR(AQ705&lt;&gt;1,AI705&lt;&gt;"Oui",AJ705=""),"",IF(AK705="",IF(NOW()&gt;AJ705+1,0,""),IF(AK705&lt;=AJ705,1,0)))</f>
        <v/>
      </c>
    </row>
    <row r="706" customFormat="false" ht="15" hidden="false" customHeight="false" outlineLevel="0" collapsed="false">
      <c r="B706" s="29"/>
      <c r="C706" s="29"/>
      <c r="D706" s="29"/>
      <c r="E706" s="29"/>
      <c r="F706" s="29"/>
      <c r="G706" s="29"/>
      <c r="H706" s="29"/>
      <c r="I706" s="29"/>
      <c r="J706" s="29"/>
      <c r="K706" s="29"/>
      <c r="L706" s="29"/>
      <c r="M706" s="29"/>
      <c r="N706" s="30"/>
      <c r="O706" s="30"/>
      <c r="P706" s="30"/>
      <c r="Q706" s="30"/>
      <c r="R706" s="30"/>
      <c r="S706" s="30"/>
      <c r="T706" s="30"/>
      <c r="U706" s="30"/>
      <c r="V706" s="31"/>
      <c r="W706" s="29"/>
      <c r="X706" s="29"/>
      <c r="Y706" s="29"/>
      <c r="Z706" s="29"/>
      <c r="AA706" s="30"/>
      <c r="AB706" s="30"/>
      <c r="AC706" s="30"/>
      <c r="AD706" s="30"/>
      <c r="AE706" s="30"/>
      <c r="AF706" s="32"/>
      <c r="AG706" s="33"/>
      <c r="AH706" s="33"/>
      <c r="AI706" s="29"/>
      <c r="AJ706" s="32"/>
      <c r="AK706" s="32"/>
      <c r="AL706" s="29"/>
      <c r="AN706" s="34" t="str">
        <f aca="false">IF($B706="","",IF(OR(C706="",D706="",E706="",G706="",I706="",J706="",L706="",O706="",P706=""),"Champ obligatoire manquant",IF(OR(AND(N706&lt;&gt;"",N706&gt;O706),O706&gt;P706,AND(Q706&lt;&gt;"",Q706&lt;P706),AND(R706&lt;&gt;"",R706&lt;P706),AND(S706&lt;&gt;"",S706&lt;R706),AND(S706&lt;&gt;"",R706=""),AND(T706&lt;&gt;"",T706&lt;O706),AND(U706&lt;&gt;"",U706&lt;O706)),"Chronologie incohérente",IF(AND(OR(L706="Résolu",L706="Clos"),R706=""),"Date de résolution manquante",IF(AND(L706="Clos",S706=""),"Date de clôture manquante",IF(AND(K706="Oui",AC706=""),"Classification DORA manquante","OK"))))))</f>
        <v/>
      </c>
      <c r="AO706" s="35" t="str">
        <f aca="false">IF($B706="","",IF(AND(C706="Incident",L706&lt;&gt;"Annulé"),1,0))</f>
        <v/>
      </c>
      <c r="AP706" s="35" t="str">
        <f aca="false">IF($B706="","",IF(AND(C706="Quasi-incident",L706&lt;&gt;"Annulé"),1,0))</f>
        <v/>
      </c>
      <c r="AQ706" s="35" t="str">
        <f aca="false">IF($B706="","",AO706+AP706)</f>
        <v/>
      </c>
      <c r="AR706" s="36" t="str">
        <f aca="false">IF(OR($B706="",J706=""),"",IFERROR(VALUE(LEFT(J706,1)),""))</f>
        <v/>
      </c>
      <c r="AS706" s="35" t="str">
        <f aca="false">IF(OR(AO706&lt;&gt;1,G706=""),"",IFERROR(IF(INDEX(L_SrcInterne,MATCH(G706,L_Sources,0))="Oui",1,0),""))</f>
        <v/>
      </c>
      <c r="AT706" s="37" t="str">
        <f aca="false">IF(AO706&lt;&gt;1,"",IFERROR(ROUND(IF(OR(N706="",O706=""),"",IF(O706&lt;N706,"",ROUND(((NETWORKDAYS(N706,O706,JoursFeries)-1)*(HFer-HOuv)+IF(NETWORKDAYS(O706,O706,JoursFeries),MEDIAN(MOD(O706,1),HFer,HOuv),HFer)-IF(NETWORKDAYS(N706,N706,JoursFeries),MEDIAN(MOD(N706,1),HFer,HOuv),HOuv))*24,4)))/HJour,4),""))</f>
        <v/>
      </c>
      <c r="AU706" s="37" t="str">
        <f aca="false">IF(AO706&lt;&gt;1,"",IF(OR(O706="",P706=""),"",IF(P706&lt;O706,"",ROUND(((NETWORKDAYS(O706,P706,JoursFeries)-1)*(HFer-HOuv)+IF(NETWORKDAYS(P706,P706,JoursFeries),MEDIAN(MOD(P706,1),HFer,HOuv),HFer)-IF(NETWORKDAYS(O706,O706,JoursFeries),MEDIAN(MOD(O706,1),HFer,HOuv),HOuv))*24,4))))</f>
        <v/>
      </c>
      <c r="AV706" s="37" t="str">
        <f aca="false">IF(AO706&lt;&gt;1,"",IF(OR(P706="",Q706=""),"",IF(Q706&lt;P706,"",ROUND(((NETWORKDAYS(P706,Q706,JoursFeries)-1)*(HFer-HOuv)+IF(NETWORKDAYS(Q706,Q706,JoursFeries),MEDIAN(MOD(Q706,1),HFer,HOuv),HFer)-IF(NETWORKDAYS(P706,P706,JoursFeries),MEDIAN(MOD(P706,1),HFer,HOuv),HOuv))*24,4))))</f>
        <v/>
      </c>
      <c r="AW706" s="37" t="str">
        <f aca="false">IF(AO706&lt;&gt;1,"",IFERROR(ROUND(IF(OR(P706="",R706=""),"",IF(R706&lt;P706,"",ROUND(((NETWORKDAYS(P706,R706,JoursFeries)-1)*(HFer-HOuv)+IF(NETWORKDAYS(R706,R706,JoursFeries),MEDIAN(MOD(R706,1),HFer,HOuv),HFer)-IF(NETWORKDAYS(P706,P706,JoursFeries),MEDIAN(MOD(P706,1),HFer,HOuv),HOuv))*24,4)))/HJour,4),""))</f>
        <v/>
      </c>
      <c r="AX706" s="37" t="str">
        <f aca="false">IF(AO706&lt;&gt;1,"",IFERROR(ROUND(IF(OR(P706="",S706=""),"",IF(S706&lt;P706,"",ROUND(((NETWORKDAYS(P706,S706,JoursFeries)-1)*(HFer-HOuv)+IF(NETWORKDAYS(S706,S706,JoursFeries),MEDIAN(MOD(S706,1),HFer,HOuv),HFer)-IF(NETWORKDAYS(P706,P706,JoursFeries),MEDIAN(MOD(P706,1),HFer,HOuv),HOuv))*24,4)))/HJour,4),""))</f>
        <v/>
      </c>
      <c r="AY706" s="36" t="str">
        <f aca="false">IF(OR(AO706&lt;&gt;1,AR706=""),"",INDEX(SLA_PEC,AR706))</f>
        <v/>
      </c>
      <c r="AZ706" s="35" t="str">
        <f aca="false">IF(OR(AV706="",AY706=""),"",IF(AV706&lt;=AY706,1,0))</f>
        <v/>
      </c>
      <c r="BA706" s="36" t="str">
        <f aca="false">IF(OR(AO706&lt;&gt;1,AR706=""),"",INDEX(SLA_RES,AR706))</f>
        <v/>
      </c>
      <c r="BB706" s="35" t="str">
        <f aca="false">IF(OR(AW706="",BA706=""),"",IF(AW706&lt;=BA706,1,0))</f>
        <v/>
      </c>
      <c r="BC706" s="38" t="str">
        <f aca="false">IF(OR(BA706="",P706=""),"",WORKDAY(INT(P706),BA706,JoursFeries)+MOD(P706,1))</f>
        <v/>
      </c>
      <c r="BD706" s="39" t="str">
        <f aca="false">IF(AO706&lt;&gt;1,"",IF(OR(AB706&lt;&gt;"",AD706&lt;&gt;""),4,IF(U706&lt;&gt;"",3,IF(T706&lt;&gt;"",2,1))))</f>
        <v/>
      </c>
      <c r="BE706" s="39" t="str">
        <f aca="false">IF(OR(AO706&lt;&gt;1,AR706=""),"",INDEX(NIV_REQ,AR706))</f>
        <v/>
      </c>
      <c r="BF706" s="39" t="str">
        <f aca="false">IF(BE706="","",MAX(BE706,IF(OR(K706="Oui",Z706="Oui"),4,1)))</f>
        <v/>
      </c>
      <c r="BG706" s="35" t="str">
        <f aca="false">IF(OR(BF706="",BD706=""),"",IF(BD706&gt;=BF706,1,0))</f>
        <v/>
      </c>
      <c r="BH706" s="38" t="str">
        <f aca="false">IF(BE706="","",IF(BE706&lt;2,"",IF(BE706=2,IF(AND(T706="",U706=""),"",MIN(T706,U706)),IF(U706="","",U706))))</f>
        <v/>
      </c>
      <c r="BI706" s="37" t="str">
        <f aca="false">IF(BH706="","",IF(OR(O706="",BH706=""),"",IF(BH706&lt;O706,"",ROUND(((NETWORKDAYS(O706,BH706,JoursFeries)-1)*(HFer-HOuv)+IF(NETWORKDAYS(BH706,BH706,JoursFeries),MEDIAN(MOD(BH706,1),HFer,HOuv),HFer)-IF(NETWORKDAYS(O706,O706,JoursFeries),MEDIAN(MOD(O706,1),HFer,HOuv),HOuv))*24,4))))</f>
        <v/>
      </c>
      <c r="BJ706" s="35" t="str">
        <f aca="false">IF(OR(BI706="",AR706=""),"",IF(BI706&lt;=INDEX(DELAI_ESC,AR706),1,0))</f>
        <v/>
      </c>
      <c r="BK706" s="38" t="str">
        <f aca="false">IF(AO706&lt;&gt;1,"",IF(AND(T706="",U706=""),"",MIN(T706,U706)))</f>
        <v/>
      </c>
      <c r="BL706" s="37" t="str">
        <f aca="false">IF(OR(BK706="",R706=""),"",IFERROR(ROUND(IF(OR(BK706="",R706=""),"",IF(R706&lt;BK706,"",ROUND(((NETWORKDAYS(BK706,R706,JoursFeries)-1)*(HFer-HOuv)+IF(NETWORKDAYS(R706,R706,JoursFeries),MEDIAN(MOD(R706,1),HFer,HOuv),HFer)-IF(NETWORKDAYS(BK706,BK706,JoursFeries),MEDIAN(MOD(BK706,1),HFer,HOuv),HOuv))*24,4)))/HJour,4),""))</f>
        <v/>
      </c>
      <c r="BM706" s="35" t="str">
        <f aca="false">IF(OR(AO706&lt;&gt;1,R706=""),"",IF(BD706=1,1,0))</f>
        <v/>
      </c>
      <c r="BN706" s="35" t="str">
        <f aca="false">IF(AO706&lt;&gt;1,"",IF(W706="Oui",1,0))</f>
        <v/>
      </c>
      <c r="BO706" s="35" t="str">
        <f aca="false">IF(AO706&lt;&gt;1,"",IF(X706&lt;&gt;"",1,0))</f>
        <v/>
      </c>
      <c r="BP706" s="35" t="str">
        <f aca="false">IF(AO706&lt;&gt;1,"",IF(Y706="Oui",1,0))</f>
        <v/>
      </c>
      <c r="BQ706" s="35" t="str">
        <f aca="true">IF(OR(AO706&lt;&gt;1,Z706&lt;&gt;"Oui"),"",IF(AB706="",IF(AND(AA706&lt;&gt;"",NOW()&gt;AA706),0,""),IF(AA706="","",IF(AB706&lt;=AA706,1,0))))</f>
        <v/>
      </c>
      <c r="BR706" s="38" t="str">
        <f aca="false">IF(OR(AO706&lt;&gt;1,K706&lt;&gt;"Oui",O706=""),"",IF(AC706="",O706+DORA_H_DET/24,IF(AC706-O706&lt;=DORA_H_DET/24,MIN(AC706+DORA_H_CLA/24,O706+DORA_H_DET/24),AC706+DORA_H_CLA/24)))</f>
        <v/>
      </c>
      <c r="BS706" s="35" t="str">
        <f aca="true">IF(BR706="","",IF(AD706="",IF(NOW()&gt;BR706,0,""),IF(AD706&lt;=BR706,1,0)))</f>
        <v/>
      </c>
      <c r="BT706" s="35" t="str">
        <f aca="true">IF(OR(BR706="",AD706=""),"",IF(AE706="",IF(NOW()&gt;AD706+DORA_H_INT/24,0,""),IF(AE706&lt;=AD706+DORA_H_INT/24,1,0)))</f>
        <v/>
      </c>
      <c r="BU706" s="35" t="str">
        <f aca="true">IF(OR(BR706="",AE706=""),"",IF(AF706="",IF(NOW()&gt;EDATE(AE706,DORA_M_FIN)+1,0,""),IF(AF706&lt;=EDATE(AE706,DORA_M_FIN),1,0)))</f>
        <v/>
      </c>
      <c r="BV706" s="35" t="str">
        <f aca="false">IF(BR706="","",IF(COUNT(BS706:BU706)=0,"",MIN(BS706:BU706)))</f>
        <v/>
      </c>
      <c r="BW706" s="40" t="str">
        <f aca="false">IF(AQ706&lt;&gt;1,"",IF(AND(AG706="",AH706=""),"",N(AG706)-N(AH706)))</f>
        <v/>
      </c>
      <c r="BX706" s="35" t="str">
        <f aca="true">IF(OR(AQ706&lt;&gt;1,AI706&lt;&gt;"Oui",AJ706=""),"",IF(AK706="",IF(NOW()&gt;AJ706+1,0,""),IF(AK706&lt;=AJ706,1,0)))</f>
        <v/>
      </c>
    </row>
    <row r="707" customFormat="false" ht="15" hidden="false" customHeight="false" outlineLevel="0" collapsed="false">
      <c r="B707" s="29"/>
      <c r="C707" s="29"/>
      <c r="D707" s="29"/>
      <c r="E707" s="29"/>
      <c r="F707" s="29"/>
      <c r="G707" s="29"/>
      <c r="H707" s="29"/>
      <c r="I707" s="29"/>
      <c r="J707" s="29"/>
      <c r="K707" s="29"/>
      <c r="L707" s="29"/>
      <c r="M707" s="29"/>
      <c r="N707" s="30"/>
      <c r="O707" s="30"/>
      <c r="P707" s="30"/>
      <c r="Q707" s="30"/>
      <c r="R707" s="30"/>
      <c r="S707" s="30"/>
      <c r="T707" s="30"/>
      <c r="U707" s="30"/>
      <c r="V707" s="31"/>
      <c r="W707" s="29"/>
      <c r="X707" s="29"/>
      <c r="Y707" s="29"/>
      <c r="Z707" s="29"/>
      <c r="AA707" s="30"/>
      <c r="AB707" s="30"/>
      <c r="AC707" s="30"/>
      <c r="AD707" s="30"/>
      <c r="AE707" s="30"/>
      <c r="AF707" s="32"/>
      <c r="AG707" s="33"/>
      <c r="AH707" s="33"/>
      <c r="AI707" s="29"/>
      <c r="AJ707" s="32"/>
      <c r="AK707" s="32"/>
      <c r="AL707" s="29"/>
      <c r="AN707" s="34" t="str">
        <f aca="false">IF($B707="","",IF(OR(C707="",D707="",E707="",G707="",I707="",J707="",L707="",O707="",P707=""),"Champ obligatoire manquant",IF(OR(AND(N707&lt;&gt;"",N707&gt;O707),O707&gt;P707,AND(Q707&lt;&gt;"",Q707&lt;P707),AND(R707&lt;&gt;"",R707&lt;P707),AND(S707&lt;&gt;"",S707&lt;R707),AND(S707&lt;&gt;"",R707=""),AND(T707&lt;&gt;"",T707&lt;O707),AND(U707&lt;&gt;"",U707&lt;O707)),"Chronologie incohérente",IF(AND(OR(L707="Résolu",L707="Clos"),R707=""),"Date de résolution manquante",IF(AND(L707="Clos",S707=""),"Date de clôture manquante",IF(AND(K707="Oui",AC707=""),"Classification DORA manquante","OK"))))))</f>
        <v/>
      </c>
      <c r="AO707" s="35" t="str">
        <f aca="false">IF($B707="","",IF(AND(C707="Incident",L707&lt;&gt;"Annulé"),1,0))</f>
        <v/>
      </c>
      <c r="AP707" s="35" t="str">
        <f aca="false">IF($B707="","",IF(AND(C707="Quasi-incident",L707&lt;&gt;"Annulé"),1,0))</f>
        <v/>
      </c>
      <c r="AQ707" s="35" t="str">
        <f aca="false">IF($B707="","",AO707+AP707)</f>
        <v/>
      </c>
      <c r="AR707" s="36" t="str">
        <f aca="false">IF(OR($B707="",J707=""),"",IFERROR(VALUE(LEFT(J707,1)),""))</f>
        <v/>
      </c>
      <c r="AS707" s="35" t="str">
        <f aca="false">IF(OR(AO707&lt;&gt;1,G707=""),"",IFERROR(IF(INDEX(L_SrcInterne,MATCH(G707,L_Sources,0))="Oui",1,0),""))</f>
        <v/>
      </c>
      <c r="AT707" s="37" t="str">
        <f aca="false">IF(AO707&lt;&gt;1,"",IFERROR(ROUND(IF(OR(N707="",O707=""),"",IF(O707&lt;N707,"",ROUND(((NETWORKDAYS(N707,O707,JoursFeries)-1)*(HFer-HOuv)+IF(NETWORKDAYS(O707,O707,JoursFeries),MEDIAN(MOD(O707,1),HFer,HOuv),HFer)-IF(NETWORKDAYS(N707,N707,JoursFeries),MEDIAN(MOD(N707,1),HFer,HOuv),HOuv))*24,4)))/HJour,4),""))</f>
        <v/>
      </c>
      <c r="AU707" s="37" t="str">
        <f aca="false">IF(AO707&lt;&gt;1,"",IF(OR(O707="",P707=""),"",IF(P707&lt;O707,"",ROUND(((NETWORKDAYS(O707,P707,JoursFeries)-1)*(HFer-HOuv)+IF(NETWORKDAYS(P707,P707,JoursFeries),MEDIAN(MOD(P707,1),HFer,HOuv),HFer)-IF(NETWORKDAYS(O707,O707,JoursFeries),MEDIAN(MOD(O707,1),HFer,HOuv),HOuv))*24,4))))</f>
        <v/>
      </c>
      <c r="AV707" s="37" t="str">
        <f aca="false">IF(AO707&lt;&gt;1,"",IF(OR(P707="",Q707=""),"",IF(Q707&lt;P707,"",ROUND(((NETWORKDAYS(P707,Q707,JoursFeries)-1)*(HFer-HOuv)+IF(NETWORKDAYS(Q707,Q707,JoursFeries),MEDIAN(MOD(Q707,1),HFer,HOuv),HFer)-IF(NETWORKDAYS(P707,P707,JoursFeries),MEDIAN(MOD(P707,1),HFer,HOuv),HOuv))*24,4))))</f>
        <v/>
      </c>
      <c r="AW707" s="37" t="str">
        <f aca="false">IF(AO707&lt;&gt;1,"",IFERROR(ROUND(IF(OR(P707="",R707=""),"",IF(R707&lt;P707,"",ROUND(((NETWORKDAYS(P707,R707,JoursFeries)-1)*(HFer-HOuv)+IF(NETWORKDAYS(R707,R707,JoursFeries),MEDIAN(MOD(R707,1),HFer,HOuv),HFer)-IF(NETWORKDAYS(P707,P707,JoursFeries),MEDIAN(MOD(P707,1),HFer,HOuv),HOuv))*24,4)))/HJour,4),""))</f>
        <v/>
      </c>
      <c r="AX707" s="37" t="str">
        <f aca="false">IF(AO707&lt;&gt;1,"",IFERROR(ROUND(IF(OR(P707="",S707=""),"",IF(S707&lt;P707,"",ROUND(((NETWORKDAYS(P707,S707,JoursFeries)-1)*(HFer-HOuv)+IF(NETWORKDAYS(S707,S707,JoursFeries),MEDIAN(MOD(S707,1),HFer,HOuv),HFer)-IF(NETWORKDAYS(P707,P707,JoursFeries),MEDIAN(MOD(P707,1),HFer,HOuv),HOuv))*24,4)))/HJour,4),""))</f>
        <v/>
      </c>
      <c r="AY707" s="36" t="str">
        <f aca="false">IF(OR(AO707&lt;&gt;1,AR707=""),"",INDEX(SLA_PEC,AR707))</f>
        <v/>
      </c>
      <c r="AZ707" s="35" t="str">
        <f aca="false">IF(OR(AV707="",AY707=""),"",IF(AV707&lt;=AY707,1,0))</f>
        <v/>
      </c>
      <c r="BA707" s="36" t="str">
        <f aca="false">IF(OR(AO707&lt;&gt;1,AR707=""),"",INDEX(SLA_RES,AR707))</f>
        <v/>
      </c>
      <c r="BB707" s="35" t="str">
        <f aca="false">IF(OR(AW707="",BA707=""),"",IF(AW707&lt;=BA707,1,0))</f>
        <v/>
      </c>
      <c r="BC707" s="38" t="str">
        <f aca="false">IF(OR(BA707="",P707=""),"",WORKDAY(INT(P707),BA707,JoursFeries)+MOD(P707,1))</f>
        <v/>
      </c>
      <c r="BD707" s="39" t="str">
        <f aca="false">IF(AO707&lt;&gt;1,"",IF(OR(AB707&lt;&gt;"",AD707&lt;&gt;""),4,IF(U707&lt;&gt;"",3,IF(T707&lt;&gt;"",2,1))))</f>
        <v/>
      </c>
      <c r="BE707" s="39" t="str">
        <f aca="false">IF(OR(AO707&lt;&gt;1,AR707=""),"",INDEX(NIV_REQ,AR707))</f>
        <v/>
      </c>
      <c r="BF707" s="39" t="str">
        <f aca="false">IF(BE707="","",MAX(BE707,IF(OR(K707="Oui",Z707="Oui"),4,1)))</f>
        <v/>
      </c>
      <c r="BG707" s="35" t="str">
        <f aca="false">IF(OR(BF707="",BD707=""),"",IF(BD707&gt;=BF707,1,0))</f>
        <v/>
      </c>
      <c r="BH707" s="38" t="str">
        <f aca="false">IF(BE707="","",IF(BE707&lt;2,"",IF(BE707=2,IF(AND(T707="",U707=""),"",MIN(T707,U707)),IF(U707="","",U707))))</f>
        <v/>
      </c>
      <c r="BI707" s="37" t="str">
        <f aca="false">IF(BH707="","",IF(OR(O707="",BH707=""),"",IF(BH707&lt;O707,"",ROUND(((NETWORKDAYS(O707,BH707,JoursFeries)-1)*(HFer-HOuv)+IF(NETWORKDAYS(BH707,BH707,JoursFeries),MEDIAN(MOD(BH707,1),HFer,HOuv),HFer)-IF(NETWORKDAYS(O707,O707,JoursFeries),MEDIAN(MOD(O707,1),HFer,HOuv),HOuv))*24,4))))</f>
        <v/>
      </c>
      <c r="BJ707" s="35" t="str">
        <f aca="false">IF(OR(BI707="",AR707=""),"",IF(BI707&lt;=INDEX(DELAI_ESC,AR707),1,0))</f>
        <v/>
      </c>
      <c r="BK707" s="38" t="str">
        <f aca="false">IF(AO707&lt;&gt;1,"",IF(AND(T707="",U707=""),"",MIN(T707,U707)))</f>
        <v/>
      </c>
      <c r="BL707" s="37" t="str">
        <f aca="false">IF(OR(BK707="",R707=""),"",IFERROR(ROUND(IF(OR(BK707="",R707=""),"",IF(R707&lt;BK707,"",ROUND(((NETWORKDAYS(BK707,R707,JoursFeries)-1)*(HFer-HOuv)+IF(NETWORKDAYS(R707,R707,JoursFeries),MEDIAN(MOD(R707,1),HFer,HOuv),HFer)-IF(NETWORKDAYS(BK707,BK707,JoursFeries),MEDIAN(MOD(BK707,1),HFer,HOuv),HOuv))*24,4)))/HJour,4),""))</f>
        <v/>
      </c>
      <c r="BM707" s="35" t="str">
        <f aca="false">IF(OR(AO707&lt;&gt;1,R707=""),"",IF(BD707=1,1,0))</f>
        <v/>
      </c>
      <c r="BN707" s="35" t="str">
        <f aca="false">IF(AO707&lt;&gt;1,"",IF(W707="Oui",1,0))</f>
        <v/>
      </c>
      <c r="BO707" s="35" t="str">
        <f aca="false">IF(AO707&lt;&gt;1,"",IF(X707&lt;&gt;"",1,0))</f>
        <v/>
      </c>
      <c r="BP707" s="35" t="str">
        <f aca="false">IF(AO707&lt;&gt;1,"",IF(Y707="Oui",1,0))</f>
        <v/>
      </c>
      <c r="BQ707" s="35" t="str">
        <f aca="true">IF(OR(AO707&lt;&gt;1,Z707&lt;&gt;"Oui"),"",IF(AB707="",IF(AND(AA707&lt;&gt;"",NOW()&gt;AA707),0,""),IF(AA707="","",IF(AB707&lt;=AA707,1,0))))</f>
        <v/>
      </c>
      <c r="BR707" s="38" t="str">
        <f aca="false">IF(OR(AO707&lt;&gt;1,K707&lt;&gt;"Oui",O707=""),"",IF(AC707="",O707+DORA_H_DET/24,IF(AC707-O707&lt;=DORA_H_DET/24,MIN(AC707+DORA_H_CLA/24,O707+DORA_H_DET/24),AC707+DORA_H_CLA/24)))</f>
        <v/>
      </c>
      <c r="BS707" s="35" t="str">
        <f aca="true">IF(BR707="","",IF(AD707="",IF(NOW()&gt;BR707,0,""),IF(AD707&lt;=BR707,1,0)))</f>
        <v/>
      </c>
      <c r="BT707" s="35" t="str">
        <f aca="true">IF(OR(BR707="",AD707=""),"",IF(AE707="",IF(NOW()&gt;AD707+DORA_H_INT/24,0,""),IF(AE707&lt;=AD707+DORA_H_INT/24,1,0)))</f>
        <v/>
      </c>
      <c r="BU707" s="35" t="str">
        <f aca="true">IF(OR(BR707="",AE707=""),"",IF(AF707="",IF(NOW()&gt;EDATE(AE707,DORA_M_FIN)+1,0,""),IF(AF707&lt;=EDATE(AE707,DORA_M_FIN),1,0)))</f>
        <v/>
      </c>
      <c r="BV707" s="35" t="str">
        <f aca="false">IF(BR707="","",IF(COUNT(BS707:BU707)=0,"",MIN(BS707:BU707)))</f>
        <v/>
      </c>
      <c r="BW707" s="40" t="str">
        <f aca="false">IF(AQ707&lt;&gt;1,"",IF(AND(AG707="",AH707=""),"",N(AG707)-N(AH707)))</f>
        <v/>
      </c>
      <c r="BX707" s="35" t="str">
        <f aca="true">IF(OR(AQ707&lt;&gt;1,AI707&lt;&gt;"Oui",AJ707=""),"",IF(AK707="",IF(NOW()&gt;AJ707+1,0,""),IF(AK707&lt;=AJ707,1,0)))</f>
        <v/>
      </c>
    </row>
    <row r="708" customFormat="false" ht="15" hidden="false" customHeight="false" outlineLevel="0" collapsed="false">
      <c r="B708" s="29"/>
      <c r="C708" s="29"/>
      <c r="D708" s="29"/>
      <c r="E708" s="29"/>
      <c r="F708" s="29"/>
      <c r="G708" s="29"/>
      <c r="H708" s="29"/>
      <c r="I708" s="29"/>
      <c r="J708" s="29"/>
      <c r="K708" s="29"/>
      <c r="L708" s="29"/>
      <c r="M708" s="29"/>
      <c r="N708" s="30"/>
      <c r="O708" s="30"/>
      <c r="P708" s="30"/>
      <c r="Q708" s="30"/>
      <c r="R708" s="30"/>
      <c r="S708" s="30"/>
      <c r="T708" s="30"/>
      <c r="U708" s="30"/>
      <c r="V708" s="31"/>
      <c r="W708" s="29"/>
      <c r="X708" s="29"/>
      <c r="Y708" s="29"/>
      <c r="Z708" s="29"/>
      <c r="AA708" s="30"/>
      <c r="AB708" s="30"/>
      <c r="AC708" s="30"/>
      <c r="AD708" s="30"/>
      <c r="AE708" s="30"/>
      <c r="AF708" s="32"/>
      <c r="AG708" s="33"/>
      <c r="AH708" s="33"/>
      <c r="AI708" s="29"/>
      <c r="AJ708" s="32"/>
      <c r="AK708" s="32"/>
      <c r="AL708" s="29"/>
      <c r="AN708" s="34" t="str">
        <f aca="false">IF($B708="","",IF(OR(C708="",D708="",E708="",G708="",I708="",J708="",L708="",O708="",P708=""),"Champ obligatoire manquant",IF(OR(AND(N708&lt;&gt;"",N708&gt;O708),O708&gt;P708,AND(Q708&lt;&gt;"",Q708&lt;P708),AND(R708&lt;&gt;"",R708&lt;P708),AND(S708&lt;&gt;"",S708&lt;R708),AND(S708&lt;&gt;"",R708=""),AND(T708&lt;&gt;"",T708&lt;O708),AND(U708&lt;&gt;"",U708&lt;O708)),"Chronologie incohérente",IF(AND(OR(L708="Résolu",L708="Clos"),R708=""),"Date de résolution manquante",IF(AND(L708="Clos",S708=""),"Date de clôture manquante",IF(AND(K708="Oui",AC708=""),"Classification DORA manquante","OK"))))))</f>
        <v/>
      </c>
      <c r="AO708" s="35" t="str">
        <f aca="false">IF($B708="","",IF(AND(C708="Incident",L708&lt;&gt;"Annulé"),1,0))</f>
        <v/>
      </c>
      <c r="AP708" s="35" t="str">
        <f aca="false">IF($B708="","",IF(AND(C708="Quasi-incident",L708&lt;&gt;"Annulé"),1,0))</f>
        <v/>
      </c>
      <c r="AQ708" s="35" t="str">
        <f aca="false">IF($B708="","",AO708+AP708)</f>
        <v/>
      </c>
      <c r="AR708" s="36" t="str">
        <f aca="false">IF(OR($B708="",J708=""),"",IFERROR(VALUE(LEFT(J708,1)),""))</f>
        <v/>
      </c>
      <c r="AS708" s="35" t="str">
        <f aca="false">IF(OR(AO708&lt;&gt;1,G708=""),"",IFERROR(IF(INDEX(L_SrcInterne,MATCH(G708,L_Sources,0))="Oui",1,0),""))</f>
        <v/>
      </c>
      <c r="AT708" s="37" t="str">
        <f aca="false">IF(AO708&lt;&gt;1,"",IFERROR(ROUND(IF(OR(N708="",O708=""),"",IF(O708&lt;N708,"",ROUND(((NETWORKDAYS(N708,O708,JoursFeries)-1)*(HFer-HOuv)+IF(NETWORKDAYS(O708,O708,JoursFeries),MEDIAN(MOD(O708,1),HFer,HOuv),HFer)-IF(NETWORKDAYS(N708,N708,JoursFeries),MEDIAN(MOD(N708,1),HFer,HOuv),HOuv))*24,4)))/HJour,4),""))</f>
        <v/>
      </c>
      <c r="AU708" s="37" t="str">
        <f aca="false">IF(AO708&lt;&gt;1,"",IF(OR(O708="",P708=""),"",IF(P708&lt;O708,"",ROUND(((NETWORKDAYS(O708,P708,JoursFeries)-1)*(HFer-HOuv)+IF(NETWORKDAYS(P708,P708,JoursFeries),MEDIAN(MOD(P708,1),HFer,HOuv),HFer)-IF(NETWORKDAYS(O708,O708,JoursFeries),MEDIAN(MOD(O708,1),HFer,HOuv),HOuv))*24,4))))</f>
        <v/>
      </c>
      <c r="AV708" s="37" t="str">
        <f aca="false">IF(AO708&lt;&gt;1,"",IF(OR(P708="",Q708=""),"",IF(Q708&lt;P708,"",ROUND(((NETWORKDAYS(P708,Q708,JoursFeries)-1)*(HFer-HOuv)+IF(NETWORKDAYS(Q708,Q708,JoursFeries),MEDIAN(MOD(Q708,1),HFer,HOuv),HFer)-IF(NETWORKDAYS(P708,P708,JoursFeries),MEDIAN(MOD(P708,1),HFer,HOuv),HOuv))*24,4))))</f>
        <v/>
      </c>
      <c r="AW708" s="37" t="str">
        <f aca="false">IF(AO708&lt;&gt;1,"",IFERROR(ROUND(IF(OR(P708="",R708=""),"",IF(R708&lt;P708,"",ROUND(((NETWORKDAYS(P708,R708,JoursFeries)-1)*(HFer-HOuv)+IF(NETWORKDAYS(R708,R708,JoursFeries),MEDIAN(MOD(R708,1),HFer,HOuv),HFer)-IF(NETWORKDAYS(P708,P708,JoursFeries),MEDIAN(MOD(P708,1),HFer,HOuv),HOuv))*24,4)))/HJour,4),""))</f>
        <v/>
      </c>
      <c r="AX708" s="37" t="str">
        <f aca="false">IF(AO708&lt;&gt;1,"",IFERROR(ROUND(IF(OR(P708="",S708=""),"",IF(S708&lt;P708,"",ROUND(((NETWORKDAYS(P708,S708,JoursFeries)-1)*(HFer-HOuv)+IF(NETWORKDAYS(S708,S708,JoursFeries),MEDIAN(MOD(S708,1),HFer,HOuv),HFer)-IF(NETWORKDAYS(P708,P708,JoursFeries),MEDIAN(MOD(P708,1),HFer,HOuv),HOuv))*24,4)))/HJour,4),""))</f>
        <v/>
      </c>
      <c r="AY708" s="36" t="str">
        <f aca="false">IF(OR(AO708&lt;&gt;1,AR708=""),"",INDEX(SLA_PEC,AR708))</f>
        <v/>
      </c>
      <c r="AZ708" s="35" t="str">
        <f aca="false">IF(OR(AV708="",AY708=""),"",IF(AV708&lt;=AY708,1,0))</f>
        <v/>
      </c>
      <c r="BA708" s="36" t="str">
        <f aca="false">IF(OR(AO708&lt;&gt;1,AR708=""),"",INDEX(SLA_RES,AR708))</f>
        <v/>
      </c>
      <c r="BB708" s="35" t="str">
        <f aca="false">IF(OR(AW708="",BA708=""),"",IF(AW708&lt;=BA708,1,0))</f>
        <v/>
      </c>
      <c r="BC708" s="38" t="str">
        <f aca="false">IF(OR(BA708="",P708=""),"",WORKDAY(INT(P708),BA708,JoursFeries)+MOD(P708,1))</f>
        <v/>
      </c>
      <c r="BD708" s="39" t="str">
        <f aca="false">IF(AO708&lt;&gt;1,"",IF(OR(AB708&lt;&gt;"",AD708&lt;&gt;""),4,IF(U708&lt;&gt;"",3,IF(T708&lt;&gt;"",2,1))))</f>
        <v/>
      </c>
      <c r="BE708" s="39" t="str">
        <f aca="false">IF(OR(AO708&lt;&gt;1,AR708=""),"",INDEX(NIV_REQ,AR708))</f>
        <v/>
      </c>
      <c r="BF708" s="39" t="str">
        <f aca="false">IF(BE708="","",MAX(BE708,IF(OR(K708="Oui",Z708="Oui"),4,1)))</f>
        <v/>
      </c>
      <c r="BG708" s="35" t="str">
        <f aca="false">IF(OR(BF708="",BD708=""),"",IF(BD708&gt;=BF708,1,0))</f>
        <v/>
      </c>
      <c r="BH708" s="38" t="str">
        <f aca="false">IF(BE708="","",IF(BE708&lt;2,"",IF(BE708=2,IF(AND(T708="",U708=""),"",MIN(T708,U708)),IF(U708="","",U708))))</f>
        <v/>
      </c>
      <c r="BI708" s="37" t="str">
        <f aca="false">IF(BH708="","",IF(OR(O708="",BH708=""),"",IF(BH708&lt;O708,"",ROUND(((NETWORKDAYS(O708,BH708,JoursFeries)-1)*(HFer-HOuv)+IF(NETWORKDAYS(BH708,BH708,JoursFeries),MEDIAN(MOD(BH708,1),HFer,HOuv),HFer)-IF(NETWORKDAYS(O708,O708,JoursFeries),MEDIAN(MOD(O708,1),HFer,HOuv),HOuv))*24,4))))</f>
        <v/>
      </c>
      <c r="BJ708" s="35" t="str">
        <f aca="false">IF(OR(BI708="",AR708=""),"",IF(BI708&lt;=INDEX(DELAI_ESC,AR708),1,0))</f>
        <v/>
      </c>
      <c r="BK708" s="38" t="str">
        <f aca="false">IF(AO708&lt;&gt;1,"",IF(AND(T708="",U708=""),"",MIN(T708,U708)))</f>
        <v/>
      </c>
      <c r="BL708" s="37" t="str">
        <f aca="false">IF(OR(BK708="",R708=""),"",IFERROR(ROUND(IF(OR(BK708="",R708=""),"",IF(R708&lt;BK708,"",ROUND(((NETWORKDAYS(BK708,R708,JoursFeries)-1)*(HFer-HOuv)+IF(NETWORKDAYS(R708,R708,JoursFeries),MEDIAN(MOD(R708,1),HFer,HOuv),HFer)-IF(NETWORKDAYS(BK708,BK708,JoursFeries),MEDIAN(MOD(BK708,1),HFer,HOuv),HOuv))*24,4)))/HJour,4),""))</f>
        <v/>
      </c>
      <c r="BM708" s="35" t="str">
        <f aca="false">IF(OR(AO708&lt;&gt;1,R708=""),"",IF(BD708=1,1,0))</f>
        <v/>
      </c>
      <c r="BN708" s="35" t="str">
        <f aca="false">IF(AO708&lt;&gt;1,"",IF(W708="Oui",1,0))</f>
        <v/>
      </c>
      <c r="BO708" s="35" t="str">
        <f aca="false">IF(AO708&lt;&gt;1,"",IF(X708&lt;&gt;"",1,0))</f>
        <v/>
      </c>
      <c r="BP708" s="35" t="str">
        <f aca="false">IF(AO708&lt;&gt;1,"",IF(Y708="Oui",1,0))</f>
        <v/>
      </c>
      <c r="BQ708" s="35" t="str">
        <f aca="true">IF(OR(AO708&lt;&gt;1,Z708&lt;&gt;"Oui"),"",IF(AB708="",IF(AND(AA708&lt;&gt;"",NOW()&gt;AA708),0,""),IF(AA708="","",IF(AB708&lt;=AA708,1,0))))</f>
        <v/>
      </c>
      <c r="BR708" s="38" t="str">
        <f aca="false">IF(OR(AO708&lt;&gt;1,K708&lt;&gt;"Oui",O708=""),"",IF(AC708="",O708+DORA_H_DET/24,IF(AC708-O708&lt;=DORA_H_DET/24,MIN(AC708+DORA_H_CLA/24,O708+DORA_H_DET/24),AC708+DORA_H_CLA/24)))</f>
        <v/>
      </c>
      <c r="BS708" s="35" t="str">
        <f aca="true">IF(BR708="","",IF(AD708="",IF(NOW()&gt;BR708,0,""),IF(AD708&lt;=BR708,1,0)))</f>
        <v/>
      </c>
      <c r="BT708" s="35" t="str">
        <f aca="true">IF(OR(BR708="",AD708=""),"",IF(AE708="",IF(NOW()&gt;AD708+DORA_H_INT/24,0,""),IF(AE708&lt;=AD708+DORA_H_INT/24,1,0)))</f>
        <v/>
      </c>
      <c r="BU708" s="35" t="str">
        <f aca="true">IF(OR(BR708="",AE708=""),"",IF(AF708="",IF(NOW()&gt;EDATE(AE708,DORA_M_FIN)+1,0,""),IF(AF708&lt;=EDATE(AE708,DORA_M_FIN),1,0)))</f>
        <v/>
      </c>
      <c r="BV708" s="35" t="str">
        <f aca="false">IF(BR708="","",IF(COUNT(BS708:BU708)=0,"",MIN(BS708:BU708)))</f>
        <v/>
      </c>
      <c r="BW708" s="40" t="str">
        <f aca="false">IF(AQ708&lt;&gt;1,"",IF(AND(AG708="",AH708=""),"",N(AG708)-N(AH708)))</f>
        <v/>
      </c>
      <c r="BX708" s="35" t="str">
        <f aca="true">IF(OR(AQ708&lt;&gt;1,AI708&lt;&gt;"Oui",AJ708=""),"",IF(AK708="",IF(NOW()&gt;AJ708+1,0,""),IF(AK708&lt;=AJ708,1,0)))</f>
        <v/>
      </c>
    </row>
    <row r="709" customFormat="false" ht="15" hidden="false" customHeight="false" outlineLevel="0" collapsed="false">
      <c r="B709" s="29"/>
      <c r="C709" s="29"/>
      <c r="D709" s="29"/>
      <c r="E709" s="29"/>
      <c r="F709" s="29"/>
      <c r="G709" s="29"/>
      <c r="H709" s="29"/>
      <c r="I709" s="29"/>
      <c r="J709" s="29"/>
      <c r="K709" s="29"/>
      <c r="L709" s="29"/>
      <c r="M709" s="29"/>
      <c r="N709" s="30"/>
      <c r="O709" s="30"/>
      <c r="P709" s="30"/>
      <c r="Q709" s="30"/>
      <c r="R709" s="30"/>
      <c r="S709" s="30"/>
      <c r="T709" s="30"/>
      <c r="U709" s="30"/>
      <c r="V709" s="31"/>
      <c r="W709" s="29"/>
      <c r="X709" s="29"/>
      <c r="Y709" s="29"/>
      <c r="Z709" s="29"/>
      <c r="AA709" s="30"/>
      <c r="AB709" s="30"/>
      <c r="AC709" s="30"/>
      <c r="AD709" s="30"/>
      <c r="AE709" s="30"/>
      <c r="AF709" s="32"/>
      <c r="AG709" s="33"/>
      <c r="AH709" s="33"/>
      <c r="AI709" s="29"/>
      <c r="AJ709" s="32"/>
      <c r="AK709" s="32"/>
      <c r="AL709" s="29"/>
      <c r="AN709" s="34" t="str">
        <f aca="false">IF($B709="","",IF(OR(C709="",D709="",E709="",G709="",I709="",J709="",L709="",O709="",P709=""),"Champ obligatoire manquant",IF(OR(AND(N709&lt;&gt;"",N709&gt;O709),O709&gt;P709,AND(Q709&lt;&gt;"",Q709&lt;P709),AND(R709&lt;&gt;"",R709&lt;P709),AND(S709&lt;&gt;"",S709&lt;R709),AND(S709&lt;&gt;"",R709=""),AND(T709&lt;&gt;"",T709&lt;O709),AND(U709&lt;&gt;"",U709&lt;O709)),"Chronologie incohérente",IF(AND(OR(L709="Résolu",L709="Clos"),R709=""),"Date de résolution manquante",IF(AND(L709="Clos",S709=""),"Date de clôture manquante",IF(AND(K709="Oui",AC709=""),"Classification DORA manquante","OK"))))))</f>
        <v/>
      </c>
      <c r="AO709" s="35" t="str">
        <f aca="false">IF($B709="","",IF(AND(C709="Incident",L709&lt;&gt;"Annulé"),1,0))</f>
        <v/>
      </c>
      <c r="AP709" s="35" t="str">
        <f aca="false">IF($B709="","",IF(AND(C709="Quasi-incident",L709&lt;&gt;"Annulé"),1,0))</f>
        <v/>
      </c>
      <c r="AQ709" s="35" t="str">
        <f aca="false">IF($B709="","",AO709+AP709)</f>
        <v/>
      </c>
      <c r="AR709" s="36" t="str">
        <f aca="false">IF(OR($B709="",J709=""),"",IFERROR(VALUE(LEFT(J709,1)),""))</f>
        <v/>
      </c>
      <c r="AS709" s="35" t="str">
        <f aca="false">IF(OR(AO709&lt;&gt;1,G709=""),"",IFERROR(IF(INDEX(L_SrcInterne,MATCH(G709,L_Sources,0))="Oui",1,0),""))</f>
        <v/>
      </c>
      <c r="AT709" s="37" t="str">
        <f aca="false">IF(AO709&lt;&gt;1,"",IFERROR(ROUND(IF(OR(N709="",O709=""),"",IF(O709&lt;N709,"",ROUND(((NETWORKDAYS(N709,O709,JoursFeries)-1)*(HFer-HOuv)+IF(NETWORKDAYS(O709,O709,JoursFeries),MEDIAN(MOD(O709,1),HFer,HOuv),HFer)-IF(NETWORKDAYS(N709,N709,JoursFeries),MEDIAN(MOD(N709,1),HFer,HOuv),HOuv))*24,4)))/HJour,4),""))</f>
        <v/>
      </c>
      <c r="AU709" s="37" t="str">
        <f aca="false">IF(AO709&lt;&gt;1,"",IF(OR(O709="",P709=""),"",IF(P709&lt;O709,"",ROUND(((NETWORKDAYS(O709,P709,JoursFeries)-1)*(HFer-HOuv)+IF(NETWORKDAYS(P709,P709,JoursFeries),MEDIAN(MOD(P709,1),HFer,HOuv),HFer)-IF(NETWORKDAYS(O709,O709,JoursFeries),MEDIAN(MOD(O709,1),HFer,HOuv),HOuv))*24,4))))</f>
        <v/>
      </c>
      <c r="AV709" s="37" t="str">
        <f aca="false">IF(AO709&lt;&gt;1,"",IF(OR(P709="",Q709=""),"",IF(Q709&lt;P709,"",ROUND(((NETWORKDAYS(P709,Q709,JoursFeries)-1)*(HFer-HOuv)+IF(NETWORKDAYS(Q709,Q709,JoursFeries),MEDIAN(MOD(Q709,1),HFer,HOuv),HFer)-IF(NETWORKDAYS(P709,P709,JoursFeries),MEDIAN(MOD(P709,1),HFer,HOuv),HOuv))*24,4))))</f>
        <v/>
      </c>
      <c r="AW709" s="37" t="str">
        <f aca="false">IF(AO709&lt;&gt;1,"",IFERROR(ROUND(IF(OR(P709="",R709=""),"",IF(R709&lt;P709,"",ROUND(((NETWORKDAYS(P709,R709,JoursFeries)-1)*(HFer-HOuv)+IF(NETWORKDAYS(R709,R709,JoursFeries),MEDIAN(MOD(R709,1),HFer,HOuv),HFer)-IF(NETWORKDAYS(P709,P709,JoursFeries),MEDIAN(MOD(P709,1),HFer,HOuv),HOuv))*24,4)))/HJour,4),""))</f>
        <v/>
      </c>
      <c r="AX709" s="37" t="str">
        <f aca="false">IF(AO709&lt;&gt;1,"",IFERROR(ROUND(IF(OR(P709="",S709=""),"",IF(S709&lt;P709,"",ROUND(((NETWORKDAYS(P709,S709,JoursFeries)-1)*(HFer-HOuv)+IF(NETWORKDAYS(S709,S709,JoursFeries),MEDIAN(MOD(S709,1),HFer,HOuv),HFer)-IF(NETWORKDAYS(P709,P709,JoursFeries),MEDIAN(MOD(P709,1),HFer,HOuv),HOuv))*24,4)))/HJour,4),""))</f>
        <v/>
      </c>
      <c r="AY709" s="36" t="str">
        <f aca="false">IF(OR(AO709&lt;&gt;1,AR709=""),"",INDEX(SLA_PEC,AR709))</f>
        <v/>
      </c>
      <c r="AZ709" s="35" t="str">
        <f aca="false">IF(OR(AV709="",AY709=""),"",IF(AV709&lt;=AY709,1,0))</f>
        <v/>
      </c>
      <c r="BA709" s="36" t="str">
        <f aca="false">IF(OR(AO709&lt;&gt;1,AR709=""),"",INDEX(SLA_RES,AR709))</f>
        <v/>
      </c>
      <c r="BB709" s="35" t="str">
        <f aca="false">IF(OR(AW709="",BA709=""),"",IF(AW709&lt;=BA709,1,0))</f>
        <v/>
      </c>
      <c r="BC709" s="38" t="str">
        <f aca="false">IF(OR(BA709="",P709=""),"",WORKDAY(INT(P709),BA709,JoursFeries)+MOD(P709,1))</f>
        <v/>
      </c>
      <c r="BD709" s="39" t="str">
        <f aca="false">IF(AO709&lt;&gt;1,"",IF(OR(AB709&lt;&gt;"",AD709&lt;&gt;""),4,IF(U709&lt;&gt;"",3,IF(T709&lt;&gt;"",2,1))))</f>
        <v/>
      </c>
      <c r="BE709" s="39" t="str">
        <f aca="false">IF(OR(AO709&lt;&gt;1,AR709=""),"",INDEX(NIV_REQ,AR709))</f>
        <v/>
      </c>
      <c r="BF709" s="39" t="str">
        <f aca="false">IF(BE709="","",MAX(BE709,IF(OR(K709="Oui",Z709="Oui"),4,1)))</f>
        <v/>
      </c>
      <c r="BG709" s="35" t="str">
        <f aca="false">IF(OR(BF709="",BD709=""),"",IF(BD709&gt;=BF709,1,0))</f>
        <v/>
      </c>
      <c r="BH709" s="38" t="str">
        <f aca="false">IF(BE709="","",IF(BE709&lt;2,"",IF(BE709=2,IF(AND(T709="",U709=""),"",MIN(T709,U709)),IF(U709="","",U709))))</f>
        <v/>
      </c>
      <c r="BI709" s="37" t="str">
        <f aca="false">IF(BH709="","",IF(OR(O709="",BH709=""),"",IF(BH709&lt;O709,"",ROUND(((NETWORKDAYS(O709,BH709,JoursFeries)-1)*(HFer-HOuv)+IF(NETWORKDAYS(BH709,BH709,JoursFeries),MEDIAN(MOD(BH709,1),HFer,HOuv),HFer)-IF(NETWORKDAYS(O709,O709,JoursFeries),MEDIAN(MOD(O709,1),HFer,HOuv),HOuv))*24,4))))</f>
        <v/>
      </c>
      <c r="BJ709" s="35" t="str">
        <f aca="false">IF(OR(BI709="",AR709=""),"",IF(BI709&lt;=INDEX(DELAI_ESC,AR709),1,0))</f>
        <v/>
      </c>
      <c r="BK709" s="38" t="str">
        <f aca="false">IF(AO709&lt;&gt;1,"",IF(AND(T709="",U709=""),"",MIN(T709,U709)))</f>
        <v/>
      </c>
      <c r="BL709" s="37" t="str">
        <f aca="false">IF(OR(BK709="",R709=""),"",IFERROR(ROUND(IF(OR(BK709="",R709=""),"",IF(R709&lt;BK709,"",ROUND(((NETWORKDAYS(BK709,R709,JoursFeries)-1)*(HFer-HOuv)+IF(NETWORKDAYS(R709,R709,JoursFeries),MEDIAN(MOD(R709,1),HFer,HOuv),HFer)-IF(NETWORKDAYS(BK709,BK709,JoursFeries),MEDIAN(MOD(BK709,1),HFer,HOuv),HOuv))*24,4)))/HJour,4),""))</f>
        <v/>
      </c>
      <c r="BM709" s="35" t="str">
        <f aca="false">IF(OR(AO709&lt;&gt;1,R709=""),"",IF(BD709=1,1,0))</f>
        <v/>
      </c>
      <c r="BN709" s="35" t="str">
        <f aca="false">IF(AO709&lt;&gt;1,"",IF(W709="Oui",1,0))</f>
        <v/>
      </c>
      <c r="BO709" s="35" t="str">
        <f aca="false">IF(AO709&lt;&gt;1,"",IF(X709&lt;&gt;"",1,0))</f>
        <v/>
      </c>
      <c r="BP709" s="35" t="str">
        <f aca="false">IF(AO709&lt;&gt;1,"",IF(Y709="Oui",1,0))</f>
        <v/>
      </c>
      <c r="BQ709" s="35" t="str">
        <f aca="true">IF(OR(AO709&lt;&gt;1,Z709&lt;&gt;"Oui"),"",IF(AB709="",IF(AND(AA709&lt;&gt;"",NOW()&gt;AA709),0,""),IF(AA709="","",IF(AB709&lt;=AA709,1,0))))</f>
        <v/>
      </c>
      <c r="BR709" s="38" t="str">
        <f aca="false">IF(OR(AO709&lt;&gt;1,K709&lt;&gt;"Oui",O709=""),"",IF(AC709="",O709+DORA_H_DET/24,IF(AC709-O709&lt;=DORA_H_DET/24,MIN(AC709+DORA_H_CLA/24,O709+DORA_H_DET/24),AC709+DORA_H_CLA/24)))</f>
        <v/>
      </c>
      <c r="BS709" s="35" t="str">
        <f aca="true">IF(BR709="","",IF(AD709="",IF(NOW()&gt;BR709,0,""),IF(AD709&lt;=BR709,1,0)))</f>
        <v/>
      </c>
      <c r="BT709" s="35" t="str">
        <f aca="true">IF(OR(BR709="",AD709=""),"",IF(AE709="",IF(NOW()&gt;AD709+DORA_H_INT/24,0,""),IF(AE709&lt;=AD709+DORA_H_INT/24,1,0)))</f>
        <v/>
      </c>
      <c r="BU709" s="35" t="str">
        <f aca="true">IF(OR(BR709="",AE709=""),"",IF(AF709="",IF(NOW()&gt;EDATE(AE709,DORA_M_FIN)+1,0,""),IF(AF709&lt;=EDATE(AE709,DORA_M_FIN),1,0)))</f>
        <v/>
      </c>
      <c r="BV709" s="35" t="str">
        <f aca="false">IF(BR709="","",IF(COUNT(BS709:BU709)=0,"",MIN(BS709:BU709)))</f>
        <v/>
      </c>
      <c r="BW709" s="40" t="str">
        <f aca="false">IF(AQ709&lt;&gt;1,"",IF(AND(AG709="",AH709=""),"",N(AG709)-N(AH709)))</f>
        <v/>
      </c>
      <c r="BX709" s="35" t="str">
        <f aca="true">IF(OR(AQ709&lt;&gt;1,AI709&lt;&gt;"Oui",AJ709=""),"",IF(AK709="",IF(NOW()&gt;AJ709+1,0,""),IF(AK709&lt;=AJ709,1,0)))</f>
        <v/>
      </c>
    </row>
    <row r="710" customFormat="false" ht="15" hidden="false" customHeight="false" outlineLevel="0" collapsed="false">
      <c r="B710" s="29"/>
      <c r="C710" s="29"/>
      <c r="D710" s="29"/>
      <c r="E710" s="29"/>
      <c r="F710" s="29"/>
      <c r="G710" s="29"/>
      <c r="H710" s="29"/>
      <c r="I710" s="29"/>
      <c r="J710" s="29"/>
      <c r="K710" s="29"/>
      <c r="L710" s="29"/>
      <c r="M710" s="29"/>
      <c r="N710" s="30"/>
      <c r="O710" s="30"/>
      <c r="P710" s="30"/>
      <c r="Q710" s="30"/>
      <c r="R710" s="30"/>
      <c r="S710" s="30"/>
      <c r="T710" s="30"/>
      <c r="U710" s="30"/>
      <c r="V710" s="31"/>
      <c r="W710" s="29"/>
      <c r="X710" s="29"/>
      <c r="Y710" s="29"/>
      <c r="Z710" s="29"/>
      <c r="AA710" s="30"/>
      <c r="AB710" s="30"/>
      <c r="AC710" s="30"/>
      <c r="AD710" s="30"/>
      <c r="AE710" s="30"/>
      <c r="AF710" s="32"/>
      <c r="AG710" s="33"/>
      <c r="AH710" s="33"/>
      <c r="AI710" s="29"/>
      <c r="AJ710" s="32"/>
      <c r="AK710" s="32"/>
      <c r="AL710" s="29"/>
      <c r="AN710" s="34" t="str">
        <f aca="false">IF($B710="","",IF(OR(C710="",D710="",E710="",G710="",I710="",J710="",L710="",O710="",P710=""),"Champ obligatoire manquant",IF(OR(AND(N710&lt;&gt;"",N710&gt;O710),O710&gt;P710,AND(Q710&lt;&gt;"",Q710&lt;P710),AND(R710&lt;&gt;"",R710&lt;P710),AND(S710&lt;&gt;"",S710&lt;R710),AND(S710&lt;&gt;"",R710=""),AND(T710&lt;&gt;"",T710&lt;O710),AND(U710&lt;&gt;"",U710&lt;O710)),"Chronologie incohérente",IF(AND(OR(L710="Résolu",L710="Clos"),R710=""),"Date de résolution manquante",IF(AND(L710="Clos",S710=""),"Date de clôture manquante",IF(AND(K710="Oui",AC710=""),"Classification DORA manquante","OK"))))))</f>
        <v/>
      </c>
      <c r="AO710" s="35" t="str">
        <f aca="false">IF($B710="","",IF(AND(C710="Incident",L710&lt;&gt;"Annulé"),1,0))</f>
        <v/>
      </c>
      <c r="AP710" s="35" t="str">
        <f aca="false">IF($B710="","",IF(AND(C710="Quasi-incident",L710&lt;&gt;"Annulé"),1,0))</f>
        <v/>
      </c>
      <c r="AQ710" s="35" t="str">
        <f aca="false">IF($B710="","",AO710+AP710)</f>
        <v/>
      </c>
      <c r="AR710" s="36" t="str">
        <f aca="false">IF(OR($B710="",J710=""),"",IFERROR(VALUE(LEFT(J710,1)),""))</f>
        <v/>
      </c>
      <c r="AS710" s="35" t="str">
        <f aca="false">IF(OR(AO710&lt;&gt;1,G710=""),"",IFERROR(IF(INDEX(L_SrcInterne,MATCH(G710,L_Sources,0))="Oui",1,0),""))</f>
        <v/>
      </c>
      <c r="AT710" s="37" t="str">
        <f aca="false">IF(AO710&lt;&gt;1,"",IFERROR(ROUND(IF(OR(N710="",O710=""),"",IF(O710&lt;N710,"",ROUND(((NETWORKDAYS(N710,O710,JoursFeries)-1)*(HFer-HOuv)+IF(NETWORKDAYS(O710,O710,JoursFeries),MEDIAN(MOD(O710,1),HFer,HOuv),HFer)-IF(NETWORKDAYS(N710,N710,JoursFeries),MEDIAN(MOD(N710,1),HFer,HOuv),HOuv))*24,4)))/HJour,4),""))</f>
        <v/>
      </c>
      <c r="AU710" s="37" t="str">
        <f aca="false">IF(AO710&lt;&gt;1,"",IF(OR(O710="",P710=""),"",IF(P710&lt;O710,"",ROUND(((NETWORKDAYS(O710,P710,JoursFeries)-1)*(HFer-HOuv)+IF(NETWORKDAYS(P710,P710,JoursFeries),MEDIAN(MOD(P710,1),HFer,HOuv),HFer)-IF(NETWORKDAYS(O710,O710,JoursFeries),MEDIAN(MOD(O710,1),HFer,HOuv),HOuv))*24,4))))</f>
        <v/>
      </c>
      <c r="AV710" s="37" t="str">
        <f aca="false">IF(AO710&lt;&gt;1,"",IF(OR(P710="",Q710=""),"",IF(Q710&lt;P710,"",ROUND(((NETWORKDAYS(P710,Q710,JoursFeries)-1)*(HFer-HOuv)+IF(NETWORKDAYS(Q710,Q710,JoursFeries),MEDIAN(MOD(Q710,1),HFer,HOuv),HFer)-IF(NETWORKDAYS(P710,P710,JoursFeries),MEDIAN(MOD(P710,1),HFer,HOuv),HOuv))*24,4))))</f>
        <v/>
      </c>
      <c r="AW710" s="37" t="str">
        <f aca="false">IF(AO710&lt;&gt;1,"",IFERROR(ROUND(IF(OR(P710="",R710=""),"",IF(R710&lt;P710,"",ROUND(((NETWORKDAYS(P710,R710,JoursFeries)-1)*(HFer-HOuv)+IF(NETWORKDAYS(R710,R710,JoursFeries),MEDIAN(MOD(R710,1),HFer,HOuv),HFer)-IF(NETWORKDAYS(P710,P710,JoursFeries),MEDIAN(MOD(P710,1),HFer,HOuv),HOuv))*24,4)))/HJour,4),""))</f>
        <v/>
      </c>
      <c r="AX710" s="37" t="str">
        <f aca="false">IF(AO710&lt;&gt;1,"",IFERROR(ROUND(IF(OR(P710="",S710=""),"",IF(S710&lt;P710,"",ROUND(((NETWORKDAYS(P710,S710,JoursFeries)-1)*(HFer-HOuv)+IF(NETWORKDAYS(S710,S710,JoursFeries),MEDIAN(MOD(S710,1),HFer,HOuv),HFer)-IF(NETWORKDAYS(P710,P710,JoursFeries),MEDIAN(MOD(P710,1),HFer,HOuv),HOuv))*24,4)))/HJour,4),""))</f>
        <v/>
      </c>
      <c r="AY710" s="36" t="str">
        <f aca="false">IF(OR(AO710&lt;&gt;1,AR710=""),"",INDEX(SLA_PEC,AR710))</f>
        <v/>
      </c>
      <c r="AZ710" s="35" t="str">
        <f aca="false">IF(OR(AV710="",AY710=""),"",IF(AV710&lt;=AY710,1,0))</f>
        <v/>
      </c>
      <c r="BA710" s="36" t="str">
        <f aca="false">IF(OR(AO710&lt;&gt;1,AR710=""),"",INDEX(SLA_RES,AR710))</f>
        <v/>
      </c>
      <c r="BB710" s="35" t="str">
        <f aca="false">IF(OR(AW710="",BA710=""),"",IF(AW710&lt;=BA710,1,0))</f>
        <v/>
      </c>
      <c r="BC710" s="38" t="str">
        <f aca="false">IF(OR(BA710="",P710=""),"",WORKDAY(INT(P710),BA710,JoursFeries)+MOD(P710,1))</f>
        <v/>
      </c>
      <c r="BD710" s="39" t="str">
        <f aca="false">IF(AO710&lt;&gt;1,"",IF(OR(AB710&lt;&gt;"",AD710&lt;&gt;""),4,IF(U710&lt;&gt;"",3,IF(T710&lt;&gt;"",2,1))))</f>
        <v/>
      </c>
      <c r="BE710" s="39" t="str">
        <f aca="false">IF(OR(AO710&lt;&gt;1,AR710=""),"",INDEX(NIV_REQ,AR710))</f>
        <v/>
      </c>
      <c r="BF710" s="39" t="str">
        <f aca="false">IF(BE710="","",MAX(BE710,IF(OR(K710="Oui",Z710="Oui"),4,1)))</f>
        <v/>
      </c>
      <c r="BG710" s="35" t="str">
        <f aca="false">IF(OR(BF710="",BD710=""),"",IF(BD710&gt;=BF710,1,0))</f>
        <v/>
      </c>
      <c r="BH710" s="38" t="str">
        <f aca="false">IF(BE710="","",IF(BE710&lt;2,"",IF(BE710=2,IF(AND(T710="",U710=""),"",MIN(T710,U710)),IF(U710="","",U710))))</f>
        <v/>
      </c>
      <c r="BI710" s="37" t="str">
        <f aca="false">IF(BH710="","",IF(OR(O710="",BH710=""),"",IF(BH710&lt;O710,"",ROUND(((NETWORKDAYS(O710,BH710,JoursFeries)-1)*(HFer-HOuv)+IF(NETWORKDAYS(BH710,BH710,JoursFeries),MEDIAN(MOD(BH710,1),HFer,HOuv),HFer)-IF(NETWORKDAYS(O710,O710,JoursFeries),MEDIAN(MOD(O710,1),HFer,HOuv),HOuv))*24,4))))</f>
        <v/>
      </c>
      <c r="BJ710" s="35" t="str">
        <f aca="false">IF(OR(BI710="",AR710=""),"",IF(BI710&lt;=INDEX(DELAI_ESC,AR710),1,0))</f>
        <v/>
      </c>
      <c r="BK710" s="38" t="str">
        <f aca="false">IF(AO710&lt;&gt;1,"",IF(AND(T710="",U710=""),"",MIN(T710,U710)))</f>
        <v/>
      </c>
      <c r="BL710" s="37" t="str">
        <f aca="false">IF(OR(BK710="",R710=""),"",IFERROR(ROUND(IF(OR(BK710="",R710=""),"",IF(R710&lt;BK710,"",ROUND(((NETWORKDAYS(BK710,R710,JoursFeries)-1)*(HFer-HOuv)+IF(NETWORKDAYS(R710,R710,JoursFeries),MEDIAN(MOD(R710,1),HFer,HOuv),HFer)-IF(NETWORKDAYS(BK710,BK710,JoursFeries),MEDIAN(MOD(BK710,1),HFer,HOuv),HOuv))*24,4)))/HJour,4),""))</f>
        <v/>
      </c>
      <c r="BM710" s="35" t="str">
        <f aca="false">IF(OR(AO710&lt;&gt;1,R710=""),"",IF(BD710=1,1,0))</f>
        <v/>
      </c>
      <c r="BN710" s="35" t="str">
        <f aca="false">IF(AO710&lt;&gt;1,"",IF(W710="Oui",1,0))</f>
        <v/>
      </c>
      <c r="BO710" s="35" t="str">
        <f aca="false">IF(AO710&lt;&gt;1,"",IF(X710&lt;&gt;"",1,0))</f>
        <v/>
      </c>
      <c r="BP710" s="35" t="str">
        <f aca="false">IF(AO710&lt;&gt;1,"",IF(Y710="Oui",1,0))</f>
        <v/>
      </c>
      <c r="BQ710" s="35" t="str">
        <f aca="true">IF(OR(AO710&lt;&gt;1,Z710&lt;&gt;"Oui"),"",IF(AB710="",IF(AND(AA710&lt;&gt;"",NOW()&gt;AA710),0,""),IF(AA710="","",IF(AB710&lt;=AA710,1,0))))</f>
        <v/>
      </c>
      <c r="BR710" s="38" t="str">
        <f aca="false">IF(OR(AO710&lt;&gt;1,K710&lt;&gt;"Oui",O710=""),"",IF(AC710="",O710+DORA_H_DET/24,IF(AC710-O710&lt;=DORA_H_DET/24,MIN(AC710+DORA_H_CLA/24,O710+DORA_H_DET/24),AC710+DORA_H_CLA/24)))</f>
        <v/>
      </c>
      <c r="BS710" s="35" t="str">
        <f aca="true">IF(BR710="","",IF(AD710="",IF(NOW()&gt;BR710,0,""),IF(AD710&lt;=BR710,1,0)))</f>
        <v/>
      </c>
      <c r="BT710" s="35" t="str">
        <f aca="true">IF(OR(BR710="",AD710=""),"",IF(AE710="",IF(NOW()&gt;AD710+DORA_H_INT/24,0,""),IF(AE710&lt;=AD710+DORA_H_INT/24,1,0)))</f>
        <v/>
      </c>
      <c r="BU710" s="35" t="str">
        <f aca="true">IF(OR(BR710="",AE710=""),"",IF(AF710="",IF(NOW()&gt;EDATE(AE710,DORA_M_FIN)+1,0,""),IF(AF710&lt;=EDATE(AE710,DORA_M_FIN),1,0)))</f>
        <v/>
      </c>
      <c r="BV710" s="35" t="str">
        <f aca="false">IF(BR710="","",IF(COUNT(BS710:BU710)=0,"",MIN(BS710:BU710)))</f>
        <v/>
      </c>
      <c r="BW710" s="40" t="str">
        <f aca="false">IF(AQ710&lt;&gt;1,"",IF(AND(AG710="",AH710=""),"",N(AG710)-N(AH710)))</f>
        <v/>
      </c>
      <c r="BX710" s="35" t="str">
        <f aca="true">IF(OR(AQ710&lt;&gt;1,AI710&lt;&gt;"Oui",AJ710=""),"",IF(AK710="",IF(NOW()&gt;AJ710+1,0,""),IF(AK710&lt;=AJ710,1,0)))</f>
        <v/>
      </c>
    </row>
    <row r="711" customFormat="false" ht="15" hidden="false" customHeight="false" outlineLevel="0" collapsed="false">
      <c r="B711" s="29"/>
      <c r="C711" s="29"/>
      <c r="D711" s="29"/>
      <c r="E711" s="29"/>
      <c r="F711" s="29"/>
      <c r="G711" s="29"/>
      <c r="H711" s="29"/>
      <c r="I711" s="29"/>
      <c r="J711" s="29"/>
      <c r="K711" s="29"/>
      <c r="L711" s="29"/>
      <c r="M711" s="29"/>
      <c r="N711" s="30"/>
      <c r="O711" s="30"/>
      <c r="P711" s="30"/>
      <c r="Q711" s="30"/>
      <c r="R711" s="30"/>
      <c r="S711" s="30"/>
      <c r="T711" s="30"/>
      <c r="U711" s="30"/>
      <c r="V711" s="31"/>
      <c r="W711" s="29"/>
      <c r="X711" s="29"/>
      <c r="Y711" s="29"/>
      <c r="Z711" s="29"/>
      <c r="AA711" s="30"/>
      <c r="AB711" s="30"/>
      <c r="AC711" s="30"/>
      <c r="AD711" s="30"/>
      <c r="AE711" s="30"/>
      <c r="AF711" s="32"/>
      <c r="AG711" s="33"/>
      <c r="AH711" s="33"/>
      <c r="AI711" s="29"/>
      <c r="AJ711" s="32"/>
      <c r="AK711" s="32"/>
      <c r="AL711" s="29"/>
      <c r="AN711" s="34" t="str">
        <f aca="false">IF($B711="","",IF(OR(C711="",D711="",E711="",G711="",I711="",J711="",L711="",O711="",P711=""),"Champ obligatoire manquant",IF(OR(AND(N711&lt;&gt;"",N711&gt;O711),O711&gt;P711,AND(Q711&lt;&gt;"",Q711&lt;P711),AND(R711&lt;&gt;"",R711&lt;P711),AND(S711&lt;&gt;"",S711&lt;R711),AND(S711&lt;&gt;"",R711=""),AND(T711&lt;&gt;"",T711&lt;O711),AND(U711&lt;&gt;"",U711&lt;O711)),"Chronologie incohérente",IF(AND(OR(L711="Résolu",L711="Clos"),R711=""),"Date de résolution manquante",IF(AND(L711="Clos",S711=""),"Date de clôture manquante",IF(AND(K711="Oui",AC711=""),"Classification DORA manquante","OK"))))))</f>
        <v/>
      </c>
      <c r="AO711" s="35" t="str">
        <f aca="false">IF($B711="","",IF(AND(C711="Incident",L711&lt;&gt;"Annulé"),1,0))</f>
        <v/>
      </c>
      <c r="AP711" s="35" t="str">
        <f aca="false">IF($B711="","",IF(AND(C711="Quasi-incident",L711&lt;&gt;"Annulé"),1,0))</f>
        <v/>
      </c>
      <c r="AQ711" s="35" t="str">
        <f aca="false">IF($B711="","",AO711+AP711)</f>
        <v/>
      </c>
      <c r="AR711" s="36" t="str">
        <f aca="false">IF(OR($B711="",J711=""),"",IFERROR(VALUE(LEFT(J711,1)),""))</f>
        <v/>
      </c>
      <c r="AS711" s="35" t="str">
        <f aca="false">IF(OR(AO711&lt;&gt;1,G711=""),"",IFERROR(IF(INDEX(L_SrcInterne,MATCH(G711,L_Sources,0))="Oui",1,0),""))</f>
        <v/>
      </c>
      <c r="AT711" s="37" t="str">
        <f aca="false">IF(AO711&lt;&gt;1,"",IFERROR(ROUND(IF(OR(N711="",O711=""),"",IF(O711&lt;N711,"",ROUND(((NETWORKDAYS(N711,O711,JoursFeries)-1)*(HFer-HOuv)+IF(NETWORKDAYS(O711,O711,JoursFeries),MEDIAN(MOD(O711,1),HFer,HOuv),HFer)-IF(NETWORKDAYS(N711,N711,JoursFeries),MEDIAN(MOD(N711,1),HFer,HOuv),HOuv))*24,4)))/HJour,4),""))</f>
        <v/>
      </c>
      <c r="AU711" s="37" t="str">
        <f aca="false">IF(AO711&lt;&gt;1,"",IF(OR(O711="",P711=""),"",IF(P711&lt;O711,"",ROUND(((NETWORKDAYS(O711,P711,JoursFeries)-1)*(HFer-HOuv)+IF(NETWORKDAYS(P711,P711,JoursFeries),MEDIAN(MOD(P711,1),HFer,HOuv),HFer)-IF(NETWORKDAYS(O711,O711,JoursFeries),MEDIAN(MOD(O711,1),HFer,HOuv),HOuv))*24,4))))</f>
        <v/>
      </c>
      <c r="AV711" s="37" t="str">
        <f aca="false">IF(AO711&lt;&gt;1,"",IF(OR(P711="",Q711=""),"",IF(Q711&lt;P711,"",ROUND(((NETWORKDAYS(P711,Q711,JoursFeries)-1)*(HFer-HOuv)+IF(NETWORKDAYS(Q711,Q711,JoursFeries),MEDIAN(MOD(Q711,1),HFer,HOuv),HFer)-IF(NETWORKDAYS(P711,P711,JoursFeries),MEDIAN(MOD(P711,1),HFer,HOuv),HOuv))*24,4))))</f>
        <v/>
      </c>
      <c r="AW711" s="37" t="str">
        <f aca="false">IF(AO711&lt;&gt;1,"",IFERROR(ROUND(IF(OR(P711="",R711=""),"",IF(R711&lt;P711,"",ROUND(((NETWORKDAYS(P711,R711,JoursFeries)-1)*(HFer-HOuv)+IF(NETWORKDAYS(R711,R711,JoursFeries),MEDIAN(MOD(R711,1),HFer,HOuv),HFer)-IF(NETWORKDAYS(P711,P711,JoursFeries),MEDIAN(MOD(P711,1),HFer,HOuv),HOuv))*24,4)))/HJour,4),""))</f>
        <v/>
      </c>
      <c r="AX711" s="37" t="str">
        <f aca="false">IF(AO711&lt;&gt;1,"",IFERROR(ROUND(IF(OR(P711="",S711=""),"",IF(S711&lt;P711,"",ROUND(((NETWORKDAYS(P711,S711,JoursFeries)-1)*(HFer-HOuv)+IF(NETWORKDAYS(S711,S711,JoursFeries),MEDIAN(MOD(S711,1),HFer,HOuv),HFer)-IF(NETWORKDAYS(P711,P711,JoursFeries),MEDIAN(MOD(P711,1),HFer,HOuv),HOuv))*24,4)))/HJour,4),""))</f>
        <v/>
      </c>
      <c r="AY711" s="36" t="str">
        <f aca="false">IF(OR(AO711&lt;&gt;1,AR711=""),"",INDEX(SLA_PEC,AR711))</f>
        <v/>
      </c>
      <c r="AZ711" s="35" t="str">
        <f aca="false">IF(OR(AV711="",AY711=""),"",IF(AV711&lt;=AY711,1,0))</f>
        <v/>
      </c>
      <c r="BA711" s="36" t="str">
        <f aca="false">IF(OR(AO711&lt;&gt;1,AR711=""),"",INDEX(SLA_RES,AR711))</f>
        <v/>
      </c>
      <c r="BB711" s="35" t="str">
        <f aca="false">IF(OR(AW711="",BA711=""),"",IF(AW711&lt;=BA711,1,0))</f>
        <v/>
      </c>
      <c r="BC711" s="38" t="str">
        <f aca="false">IF(OR(BA711="",P711=""),"",WORKDAY(INT(P711),BA711,JoursFeries)+MOD(P711,1))</f>
        <v/>
      </c>
      <c r="BD711" s="39" t="str">
        <f aca="false">IF(AO711&lt;&gt;1,"",IF(OR(AB711&lt;&gt;"",AD711&lt;&gt;""),4,IF(U711&lt;&gt;"",3,IF(T711&lt;&gt;"",2,1))))</f>
        <v/>
      </c>
      <c r="BE711" s="39" t="str">
        <f aca="false">IF(OR(AO711&lt;&gt;1,AR711=""),"",INDEX(NIV_REQ,AR711))</f>
        <v/>
      </c>
      <c r="BF711" s="39" t="str">
        <f aca="false">IF(BE711="","",MAX(BE711,IF(OR(K711="Oui",Z711="Oui"),4,1)))</f>
        <v/>
      </c>
      <c r="BG711" s="35" t="str">
        <f aca="false">IF(OR(BF711="",BD711=""),"",IF(BD711&gt;=BF711,1,0))</f>
        <v/>
      </c>
      <c r="BH711" s="38" t="str">
        <f aca="false">IF(BE711="","",IF(BE711&lt;2,"",IF(BE711=2,IF(AND(T711="",U711=""),"",MIN(T711,U711)),IF(U711="","",U711))))</f>
        <v/>
      </c>
      <c r="BI711" s="37" t="str">
        <f aca="false">IF(BH711="","",IF(OR(O711="",BH711=""),"",IF(BH711&lt;O711,"",ROUND(((NETWORKDAYS(O711,BH711,JoursFeries)-1)*(HFer-HOuv)+IF(NETWORKDAYS(BH711,BH711,JoursFeries),MEDIAN(MOD(BH711,1),HFer,HOuv),HFer)-IF(NETWORKDAYS(O711,O711,JoursFeries),MEDIAN(MOD(O711,1),HFer,HOuv),HOuv))*24,4))))</f>
        <v/>
      </c>
      <c r="BJ711" s="35" t="str">
        <f aca="false">IF(OR(BI711="",AR711=""),"",IF(BI711&lt;=INDEX(DELAI_ESC,AR711),1,0))</f>
        <v/>
      </c>
      <c r="BK711" s="38" t="str">
        <f aca="false">IF(AO711&lt;&gt;1,"",IF(AND(T711="",U711=""),"",MIN(T711,U711)))</f>
        <v/>
      </c>
      <c r="BL711" s="37" t="str">
        <f aca="false">IF(OR(BK711="",R711=""),"",IFERROR(ROUND(IF(OR(BK711="",R711=""),"",IF(R711&lt;BK711,"",ROUND(((NETWORKDAYS(BK711,R711,JoursFeries)-1)*(HFer-HOuv)+IF(NETWORKDAYS(R711,R711,JoursFeries),MEDIAN(MOD(R711,1),HFer,HOuv),HFer)-IF(NETWORKDAYS(BK711,BK711,JoursFeries),MEDIAN(MOD(BK711,1),HFer,HOuv),HOuv))*24,4)))/HJour,4),""))</f>
        <v/>
      </c>
      <c r="BM711" s="35" t="str">
        <f aca="false">IF(OR(AO711&lt;&gt;1,R711=""),"",IF(BD711=1,1,0))</f>
        <v/>
      </c>
      <c r="BN711" s="35" t="str">
        <f aca="false">IF(AO711&lt;&gt;1,"",IF(W711="Oui",1,0))</f>
        <v/>
      </c>
      <c r="BO711" s="35" t="str">
        <f aca="false">IF(AO711&lt;&gt;1,"",IF(X711&lt;&gt;"",1,0))</f>
        <v/>
      </c>
      <c r="BP711" s="35" t="str">
        <f aca="false">IF(AO711&lt;&gt;1,"",IF(Y711="Oui",1,0))</f>
        <v/>
      </c>
      <c r="BQ711" s="35" t="str">
        <f aca="true">IF(OR(AO711&lt;&gt;1,Z711&lt;&gt;"Oui"),"",IF(AB711="",IF(AND(AA711&lt;&gt;"",NOW()&gt;AA711),0,""),IF(AA711="","",IF(AB711&lt;=AA711,1,0))))</f>
        <v/>
      </c>
      <c r="BR711" s="38" t="str">
        <f aca="false">IF(OR(AO711&lt;&gt;1,K711&lt;&gt;"Oui",O711=""),"",IF(AC711="",O711+DORA_H_DET/24,IF(AC711-O711&lt;=DORA_H_DET/24,MIN(AC711+DORA_H_CLA/24,O711+DORA_H_DET/24),AC711+DORA_H_CLA/24)))</f>
        <v/>
      </c>
      <c r="BS711" s="35" t="str">
        <f aca="true">IF(BR711="","",IF(AD711="",IF(NOW()&gt;BR711,0,""),IF(AD711&lt;=BR711,1,0)))</f>
        <v/>
      </c>
      <c r="BT711" s="35" t="str">
        <f aca="true">IF(OR(BR711="",AD711=""),"",IF(AE711="",IF(NOW()&gt;AD711+DORA_H_INT/24,0,""),IF(AE711&lt;=AD711+DORA_H_INT/24,1,0)))</f>
        <v/>
      </c>
      <c r="BU711" s="35" t="str">
        <f aca="true">IF(OR(BR711="",AE711=""),"",IF(AF711="",IF(NOW()&gt;EDATE(AE711,DORA_M_FIN)+1,0,""),IF(AF711&lt;=EDATE(AE711,DORA_M_FIN),1,0)))</f>
        <v/>
      </c>
      <c r="BV711" s="35" t="str">
        <f aca="false">IF(BR711="","",IF(COUNT(BS711:BU711)=0,"",MIN(BS711:BU711)))</f>
        <v/>
      </c>
      <c r="BW711" s="40" t="str">
        <f aca="false">IF(AQ711&lt;&gt;1,"",IF(AND(AG711="",AH711=""),"",N(AG711)-N(AH711)))</f>
        <v/>
      </c>
      <c r="BX711" s="35" t="str">
        <f aca="true">IF(OR(AQ711&lt;&gt;1,AI711&lt;&gt;"Oui",AJ711=""),"",IF(AK711="",IF(NOW()&gt;AJ711+1,0,""),IF(AK711&lt;=AJ711,1,0)))</f>
        <v/>
      </c>
    </row>
    <row r="712" customFormat="false" ht="15" hidden="false" customHeight="false" outlineLevel="0" collapsed="false">
      <c r="B712" s="29"/>
      <c r="C712" s="29"/>
      <c r="D712" s="29"/>
      <c r="E712" s="29"/>
      <c r="F712" s="29"/>
      <c r="G712" s="29"/>
      <c r="H712" s="29"/>
      <c r="I712" s="29"/>
      <c r="J712" s="29"/>
      <c r="K712" s="29"/>
      <c r="L712" s="29"/>
      <c r="M712" s="29"/>
      <c r="N712" s="30"/>
      <c r="O712" s="30"/>
      <c r="P712" s="30"/>
      <c r="Q712" s="30"/>
      <c r="R712" s="30"/>
      <c r="S712" s="30"/>
      <c r="T712" s="30"/>
      <c r="U712" s="30"/>
      <c r="V712" s="31"/>
      <c r="W712" s="29"/>
      <c r="X712" s="29"/>
      <c r="Y712" s="29"/>
      <c r="Z712" s="29"/>
      <c r="AA712" s="30"/>
      <c r="AB712" s="30"/>
      <c r="AC712" s="30"/>
      <c r="AD712" s="30"/>
      <c r="AE712" s="30"/>
      <c r="AF712" s="32"/>
      <c r="AG712" s="33"/>
      <c r="AH712" s="33"/>
      <c r="AI712" s="29"/>
      <c r="AJ712" s="32"/>
      <c r="AK712" s="32"/>
      <c r="AL712" s="29"/>
      <c r="AN712" s="34" t="str">
        <f aca="false">IF($B712="","",IF(OR(C712="",D712="",E712="",G712="",I712="",J712="",L712="",O712="",P712=""),"Champ obligatoire manquant",IF(OR(AND(N712&lt;&gt;"",N712&gt;O712),O712&gt;P712,AND(Q712&lt;&gt;"",Q712&lt;P712),AND(R712&lt;&gt;"",R712&lt;P712),AND(S712&lt;&gt;"",S712&lt;R712),AND(S712&lt;&gt;"",R712=""),AND(T712&lt;&gt;"",T712&lt;O712),AND(U712&lt;&gt;"",U712&lt;O712)),"Chronologie incohérente",IF(AND(OR(L712="Résolu",L712="Clos"),R712=""),"Date de résolution manquante",IF(AND(L712="Clos",S712=""),"Date de clôture manquante",IF(AND(K712="Oui",AC712=""),"Classification DORA manquante","OK"))))))</f>
        <v/>
      </c>
      <c r="AO712" s="35" t="str">
        <f aca="false">IF($B712="","",IF(AND(C712="Incident",L712&lt;&gt;"Annulé"),1,0))</f>
        <v/>
      </c>
      <c r="AP712" s="35" t="str">
        <f aca="false">IF($B712="","",IF(AND(C712="Quasi-incident",L712&lt;&gt;"Annulé"),1,0))</f>
        <v/>
      </c>
      <c r="AQ712" s="35" t="str">
        <f aca="false">IF($B712="","",AO712+AP712)</f>
        <v/>
      </c>
      <c r="AR712" s="36" t="str">
        <f aca="false">IF(OR($B712="",J712=""),"",IFERROR(VALUE(LEFT(J712,1)),""))</f>
        <v/>
      </c>
      <c r="AS712" s="35" t="str">
        <f aca="false">IF(OR(AO712&lt;&gt;1,G712=""),"",IFERROR(IF(INDEX(L_SrcInterne,MATCH(G712,L_Sources,0))="Oui",1,0),""))</f>
        <v/>
      </c>
      <c r="AT712" s="37" t="str">
        <f aca="false">IF(AO712&lt;&gt;1,"",IFERROR(ROUND(IF(OR(N712="",O712=""),"",IF(O712&lt;N712,"",ROUND(((NETWORKDAYS(N712,O712,JoursFeries)-1)*(HFer-HOuv)+IF(NETWORKDAYS(O712,O712,JoursFeries),MEDIAN(MOD(O712,1),HFer,HOuv),HFer)-IF(NETWORKDAYS(N712,N712,JoursFeries),MEDIAN(MOD(N712,1),HFer,HOuv),HOuv))*24,4)))/HJour,4),""))</f>
        <v/>
      </c>
      <c r="AU712" s="37" t="str">
        <f aca="false">IF(AO712&lt;&gt;1,"",IF(OR(O712="",P712=""),"",IF(P712&lt;O712,"",ROUND(((NETWORKDAYS(O712,P712,JoursFeries)-1)*(HFer-HOuv)+IF(NETWORKDAYS(P712,P712,JoursFeries),MEDIAN(MOD(P712,1),HFer,HOuv),HFer)-IF(NETWORKDAYS(O712,O712,JoursFeries),MEDIAN(MOD(O712,1),HFer,HOuv),HOuv))*24,4))))</f>
        <v/>
      </c>
      <c r="AV712" s="37" t="str">
        <f aca="false">IF(AO712&lt;&gt;1,"",IF(OR(P712="",Q712=""),"",IF(Q712&lt;P712,"",ROUND(((NETWORKDAYS(P712,Q712,JoursFeries)-1)*(HFer-HOuv)+IF(NETWORKDAYS(Q712,Q712,JoursFeries),MEDIAN(MOD(Q712,1),HFer,HOuv),HFer)-IF(NETWORKDAYS(P712,P712,JoursFeries),MEDIAN(MOD(P712,1),HFer,HOuv),HOuv))*24,4))))</f>
        <v/>
      </c>
      <c r="AW712" s="37" t="str">
        <f aca="false">IF(AO712&lt;&gt;1,"",IFERROR(ROUND(IF(OR(P712="",R712=""),"",IF(R712&lt;P712,"",ROUND(((NETWORKDAYS(P712,R712,JoursFeries)-1)*(HFer-HOuv)+IF(NETWORKDAYS(R712,R712,JoursFeries),MEDIAN(MOD(R712,1),HFer,HOuv),HFer)-IF(NETWORKDAYS(P712,P712,JoursFeries),MEDIAN(MOD(P712,1),HFer,HOuv),HOuv))*24,4)))/HJour,4),""))</f>
        <v/>
      </c>
      <c r="AX712" s="37" t="str">
        <f aca="false">IF(AO712&lt;&gt;1,"",IFERROR(ROUND(IF(OR(P712="",S712=""),"",IF(S712&lt;P712,"",ROUND(((NETWORKDAYS(P712,S712,JoursFeries)-1)*(HFer-HOuv)+IF(NETWORKDAYS(S712,S712,JoursFeries),MEDIAN(MOD(S712,1),HFer,HOuv),HFer)-IF(NETWORKDAYS(P712,P712,JoursFeries),MEDIAN(MOD(P712,1),HFer,HOuv),HOuv))*24,4)))/HJour,4),""))</f>
        <v/>
      </c>
      <c r="AY712" s="36" t="str">
        <f aca="false">IF(OR(AO712&lt;&gt;1,AR712=""),"",INDEX(SLA_PEC,AR712))</f>
        <v/>
      </c>
      <c r="AZ712" s="35" t="str">
        <f aca="false">IF(OR(AV712="",AY712=""),"",IF(AV712&lt;=AY712,1,0))</f>
        <v/>
      </c>
      <c r="BA712" s="36" t="str">
        <f aca="false">IF(OR(AO712&lt;&gt;1,AR712=""),"",INDEX(SLA_RES,AR712))</f>
        <v/>
      </c>
      <c r="BB712" s="35" t="str">
        <f aca="false">IF(OR(AW712="",BA712=""),"",IF(AW712&lt;=BA712,1,0))</f>
        <v/>
      </c>
      <c r="BC712" s="38" t="str">
        <f aca="false">IF(OR(BA712="",P712=""),"",WORKDAY(INT(P712),BA712,JoursFeries)+MOD(P712,1))</f>
        <v/>
      </c>
      <c r="BD712" s="39" t="str">
        <f aca="false">IF(AO712&lt;&gt;1,"",IF(OR(AB712&lt;&gt;"",AD712&lt;&gt;""),4,IF(U712&lt;&gt;"",3,IF(T712&lt;&gt;"",2,1))))</f>
        <v/>
      </c>
      <c r="BE712" s="39" t="str">
        <f aca="false">IF(OR(AO712&lt;&gt;1,AR712=""),"",INDEX(NIV_REQ,AR712))</f>
        <v/>
      </c>
      <c r="BF712" s="39" t="str">
        <f aca="false">IF(BE712="","",MAX(BE712,IF(OR(K712="Oui",Z712="Oui"),4,1)))</f>
        <v/>
      </c>
      <c r="BG712" s="35" t="str">
        <f aca="false">IF(OR(BF712="",BD712=""),"",IF(BD712&gt;=BF712,1,0))</f>
        <v/>
      </c>
      <c r="BH712" s="38" t="str">
        <f aca="false">IF(BE712="","",IF(BE712&lt;2,"",IF(BE712=2,IF(AND(T712="",U712=""),"",MIN(T712,U712)),IF(U712="","",U712))))</f>
        <v/>
      </c>
      <c r="BI712" s="37" t="str">
        <f aca="false">IF(BH712="","",IF(OR(O712="",BH712=""),"",IF(BH712&lt;O712,"",ROUND(((NETWORKDAYS(O712,BH712,JoursFeries)-1)*(HFer-HOuv)+IF(NETWORKDAYS(BH712,BH712,JoursFeries),MEDIAN(MOD(BH712,1),HFer,HOuv),HFer)-IF(NETWORKDAYS(O712,O712,JoursFeries),MEDIAN(MOD(O712,1),HFer,HOuv),HOuv))*24,4))))</f>
        <v/>
      </c>
      <c r="BJ712" s="35" t="str">
        <f aca="false">IF(OR(BI712="",AR712=""),"",IF(BI712&lt;=INDEX(DELAI_ESC,AR712),1,0))</f>
        <v/>
      </c>
      <c r="BK712" s="38" t="str">
        <f aca="false">IF(AO712&lt;&gt;1,"",IF(AND(T712="",U712=""),"",MIN(T712,U712)))</f>
        <v/>
      </c>
      <c r="BL712" s="37" t="str">
        <f aca="false">IF(OR(BK712="",R712=""),"",IFERROR(ROUND(IF(OR(BK712="",R712=""),"",IF(R712&lt;BK712,"",ROUND(((NETWORKDAYS(BK712,R712,JoursFeries)-1)*(HFer-HOuv)+IF(NETWORKDAYS(R712,R712,JoursFeries),MEDIAN(MOD(R712,1),HFer,HOuv),HFer)-IF(NETWORKDAYS(BK712,BK712,JoursFeries),MEDIAN(MOD(BK712,1),HFer,HOuv),HOuv))*24,4)))/HJour,4),""))</f>
        <v/>
      </c>
      <c r="BM712" s="35" t="str">
        <f aca="false">IF(OR(AO712&lt;&gt;1,R712=""),"",IF(BD712=1,1,0))</f>
        <v/>
      </c>
      <c r="BN712" s="35" t="str">
        <f aca="false">IF(AO712&lt;&gt;1,"",IF(W712="Oui",1,0))</f>
        <v/>
      </c>
      <c r="BO712" s="35" t="str">
        <f aca="false">IF(AO712&lt;&gt;1,"",IF(X712&lt;&gt;"",1,0))</f>
        <v/>
      </c>
      <c r="BP712" s="35" t="str">
        <f aca="false">IF(AO712&lt;&gt;1,"",IF(Y712="Oui",1,0))</f>
        <v/>
      </c>
      <c r="BQ712" s="35" t="str">
        <f aca="true">IF(OR(AO712&lt;&gt;1,Z712&lt;&gt;"Oui"),"",IF(AB712="",IF(AND(AA712&lt;&gt;"",NOW()&gt;AA712),0,""),IF(AA712="","",IF(AB712&lt;=AA712,1,0))))</f>
        <v/>
      </c>
      <c r="BR712" s="38" t="str">
        <f aca="false">IF(OR(AO712&lt;&gt;1,K712&lt;&gt;"Oui",O712=""),"",IF(AC712="",O712+DORA_H_DET/24,IF(AC712-O712&lt;=DORA_H_DET/24,MIN(AC712+DORA_H_CLA/24,O712+DORA_H_DET/24),AC712+DORA_H_CLA/24)))</f>
        <v/>
      </c>
      <c r="BS712" s="35" t="str">
        <f aca="true">IF(BR712="","",IF(AD712="",IF(NOW()&gt;BR712,0,""),IF(AD712&lt;=BR712,1,0)))</f>
        <v/>
      </c>
      <c r="BT712" s="35" t="str">
        <f aca="true">IF(OR(BR712="",AD712=""),"",IF(AE712="",IF(NOW()&gt;AD712+DORA_H_INT/24,0,""),IF(AE712&lt;=AD712+DORA_H_INT/24,1,0)))</f>
        <v/>
      </c>
      <c r="BU712" s="35" t="str">
        <f aca="true">IF(OR(BR712="",AE712=""),"",IF(AF712="",IF(NOW()&gt;EDATE(AE712,DORA_M_FIN)+1,0,""),IF(AF712&lt;=EDATE(AE712,DORA_M_FIN),1,0)))</f>
        <v/>
      </c>
      <c r="BV712" s="35" t="str">
        <f aca="false">IF(BR712="","",IF(COUNT(BS712:BU712)=0,"",MIN(BS712:BU712)))</f>
        <v/>
      </c>
      <c r="BW712" s="40" t="str">
        <f aca="false">IF(AQ712&lt;&gt;1,"",IF(AND(AG712="",AH712=""),"",N(AG712)-N(AH712)))</f>
        <v/>
      </c>
      <c r="BX712" s="35" t="str">
        <f aca="true">IF(OR(AQ712&lt;&gt;1,AI712&lt;&gt;"Oui",AJ712=""),"",IF(AK712="",IF(NOW()&gt;AJ712+1,0,""),IF(AK712&lt;=AJ712,1,0)))</f>
        <v/>
      </c>
    </row>
    <row r="713" customFormat="false" ht="15" hidden="false" customHeight="false" outlineLevel="0" collapsed="false">
      <c r="B713" s="29"/>
      <c r="C713" s="29"/>
      <c r="D713" s="29"/>
      <c r="E713" s="29"/>
      <c r="F713" s="29"/>
      <c r="G713" s="29"/>
      <c r="H713" s="29"/>
      <c r="I713" s="29"/>
      <c r="J713" s="29"/>
      <c r="K713" s="29"/>
      <c r="L713" s="29"/>
      <c r="M713" s="29"/>
      <c r="N713" s="30"/>
      <c r="O713" s="30"/>
      <c r="P713" s="30"/>
      <c r="Q713" s="30"/>
      <c r="R713" s="30"/>
      <c r="S713" s="30"/>
      <c r="T713" s="30"/>
      <c r="U713" s="30"/>
      <c r="V713" s="31"/>
      <c r="W713" s="29"/>
      <c r="X713" s="29"/>
      <c r="Y713" s="29"/>
      <c r="Z713" s="29"/>
      <c r="AA713" s="30"/>
      <c r="AB713" s="30"/>
      <c r="AC713" s="30"/>
      <c r="AD713" s="30"/>
      <c r="AE713" s="30"/>
      <c r="AF713" s="32"/>
      <c r="AG713" s="33"/>
      <c r="AH713" s="33"/>
      <c r="AI713" s="29"/>
      <c r="AJ713" s="32"/>
      <c r="AK713" s="32"/>
      <c r="AL713" s="29"/>
      <c r="AN713" s="34" t="str">
        <f aca="false">IF($B713="","",IF(OR(C713="",D713="",E713="",G713="",I713="",J713="",L713="",O713="",P713=""),"Champ obligatoire manquant",IF(OR(AND(N713&lt;&gt;"",N713&gt;O713),O713&gt;P713,AND(Q713&lt;&gt;"",Q713&lt;P713),AND(R713&lt;&gt;"",R713&lt;P713),AND(S713&lt;&gt;"",S713&lt;R713),AND(S713&lt;&gt;"",R713=""),AND(T713&lt;&gt;"",T713&lt;O713),AND(U713&lt;&gt;"",U713&lt;O713)),"Chronologie incohérente",IF(AND(OR(L713="Résolu",L713="Clos"),R713=""),"Date de résolution manquante",IF(AND(L713="Clos",S713=""),"Date de clôture manquante",IF(AND(K713="Oui",AC713=""),"Classification DORA manquante","OK"))))))</f>
        <v/>
      </c>
      <c r="AO713" s="35" t="str">
        <f aca="false">IF($B713="","",IF(AND(C713="Incident",L713&lt;&gt;"Annulé"),1,0))</f>
        <v/>
      </c>
      <c r="AP713" s="35" t="str">
        <f aca="false">IF($B713="","",IF(AND(C713="Quasi-incident",L713&lt;&gt;"Annulé"),1,0))</f>
        <v/>
      </c>
      <c r="AQ713" s="35" t="str">
        <f aca="false">IF($B713="","",AO713+AP713)</f>
        <v/>
      </c>
      <c r="AR713" s="36" t="str">
        <f aca="false">IF(OR($B713="",J713=""),"",IFERROR(VALUE(LEFT(J713,1)),""))</f>
        <v/>
      </c>
      <c r="AS713" s="35" t="str">
        <f aca="false">IF(OR(AO713&lt;&gt;1,G713=""),"",IFERROR(IF(INDEX(L_SrcInterne,MATCH(G713,L_Sources,0))="Oui",1,0),""))</f>
        <v/>
      </c>
      <c r="AT713" s="37" t="str">
        <f aca="false">IF(AO713&lt;&gt;1,"",IFERROR(ROUND(IF(OR(N713="",O713=""),"",IF(O713&lt;N713,"",ROUND(((NETWORKDAYS(N713,O713,JoursFeries)-1)*(HFer-HOuv)+IF(NETWORKDAYS(O713,O713,JoursFeries),MEDIAN(MOD(O713,1),HFer,HOuv),HFer)-IF(NETWORKDAYS(N713,N713,JoursFeries),MEDIAN(MOD(N713,1),HFer,HOuv),HOuv))*24,4)))/HJour,4),""))</f>
        <v/>
      </c>
      <c r="AU713" s="37" t="str">
        <f aca="false">IF(AO713&lt;&gt;1,"",IF(OR(O713="",P713=""),"",IF(P713&lt;O713,"",ROUND(((NETWORKDAYS(O713,P713,JoursFeries)-1)*(HFer-HOuv)+IF(NETWORKDAYS(P713,P713,JoursFeries),MEDIAN(MOD(P713,1),HFer,HOuv),HFer)-IF(NETWORKDAYS(O713,O713,JoursFeries),MEDIAN(MOD(O713,1),HFer,HOuv),HOuv))*24,4))))</f>
        <v/>
      </c>
      <c r="AV713" s="37" t="str">
        <f aca="false">IF(AO713&lt;&gt;1,"",IF(OR(P713="",Q713=""),"",IF(Q713&lt;P713,"",ROUND(((NETWORKDAYS(P713,Q713,JoursFeries)-1)*(HFer-HOuv)+IF(NETWORKDAYS(Q713,Q713,JoursFeries),MEDIAN(MOD(Q713,1),HFer,HOuv),HFer)-IF(NETWORKDAYS(P713,P713,JoursFeries),MEDIAN(MOD(P713,1),HFer,HOuv),HOuv))*24,4))))</f>
        <v/>
      </c>
      <c r="AW713" s="37" t="str">
        <f aca="false">IF(AO713&lt;&gt;1,"",IFERROR(ROUND(IF(OR(P713="",R713=""),"",IF(R713&lt;P713,"",ROUND(((NETWORKDAYS(P713,R713,JoursFeries)-1)*(HFer-HOuv)+IF(NETWORKDAYS(R713,R713,JoursFeries),MEDIAN(MOD(R713,1),HFer,HOuv),HFer)-IF(NETWORKDAYS(P713,P713,JoursFeries),MEDIAN(MOD(P713,1),HFer,HOuv),HOuv))*24,4)))/HJour,4),""))</f>
        <v/>
      </c>
      <c r="AX713" s="37" t="str">
        <f aca="false">IF(AO713&lt;&gt;1,"",IFERROR(ROUND(IF(OR(P713="",S713=""),"",IF(S713&lt;P713,"",ROUND(((NETWORKDAYS(P713,S713,JoursFeries)-1)*(HFer-HOuv)+IF(NETWORKDAYS(S713,S713,JoursFeries),MEDIAN(MOD(S713,1),HFer,HOuv),HFer)-IF(NETWORKDAYS(P713,P713,JoursFeries),MEDIAN(MOD(P713,1),HFer,HOuv),HOuv))*24,4)))/HJour,4),""))</f>
        <v/>
      </c>
      <c r="AY713" s="36" t="str">
        <f aca="false">IF(OR(AO713&lt;&gt;1,AR713=""),"",INDEX(SLA_PEC,AR713))</f>
        <v/>
      </c>
      <c r="AZ713" s="35" t="str">
        <f aca="false">IF(OR(AV713="",AY713=""),"",IF(AV713&lt;=AY713,1,0))</f>
        <v/>
      </c>
      <c r="BA713" s="36" t="str">
        <f aca="false">IF(OR(AO713&lt;&gt;1,AR713=""),"",INDEX(SLA_RES,AR713))</f>
        <v/>
      </c>
      <c r="BB713" s="35" t="str">
        <f aca="false">IF(OR(AW713="",BA713=""),"",IF(AW713&lt;=BA713,1,0))</f>
        <v/>
      </c>
      <c r="BC713" s="38" t="str">
        <f aca="false">IF(OR(BA713="",P713=""),"",WORKDAY(INT(P713),BA713,JoursFeries)+MOD(P713,1))</f>
        <v/>
      </c>
      <c r="BD713" s="39" t="str">
        <f aca="false">IF(AO713&lt;&gt;1,"",IF(OR(AB713&lt;&gt;"",AD713&lt;&gt;""),4,IF(U713&lt;&gt;"",3,IF(T713&lt;&gt;"",2,1))))</f>
        <v/>
      </c>
      <c r="BE713" s="39" t="str">
        <f aca="false">IF(OR(AO713&lt;&gt;1,AR713=""),"",INDEX(NIV_REQ,AR713))</f>
        <v/>
      </c>
      <c r="BF713" s="39" t="str">
        <f aca="false">IF(BE713="","",MAX(BE713,IF(OR(K713="Oui",Z713="Oui"),4,1)))</f>
        <v/>
      </c>
      <c r="BG713" s="35" t="str">
        <f aca="false">IF(OR(BF713="",BD713=""),"",IF(BD713&gt;=BF713,1,0))</f>
        <v/>
      </c>
      <c r="BH713" s="38" t="str">
        <f aca="false">IF(BE713="","",IF(BE713&lt;2,"",IF(BE713=2,IF(AND(T713="",U713=""),"",MIN(T713,U713)),IF(U713="","",U713))))</f>
        <v/>
      </c>
      <c r="BI713" s="37" t="str">
        <f aca="false">IF(BH713="","",IF(OR(O713="",BH713=""),"",IF(BH713&lt;O713,"",ROUND(((NETWORKDAYS(O713,BH713,JoursFeries)-1)*(HFer-HOuv)+IF(NETWORKDAYS(BH713,BH713,JoursFeries),MEDIAN(MOD(BH713,1),HFer,HOuv),HFer)-IF(NETWORKDAYS(O713,O713,JoursFeries),MEDIAN(MOD(O713,1),HFer,HOuv),HOuv))*24,4))))</f>
        <v/>
      </c>
      <c r="BJ713" s="35" t="str">
        <f aca="false">IF(OR(BI713="",AR713=""),"",IF(BI713&lt;=INDEX(DELAI_ESC,AR713),1,0))</f>
        <v/>
      </c>
      <c r="BK713" s="38" t="str">
        <f aca="false">IF(AO713&lt;&gt;1,"",IF(AND(T713="",U713=""),"",MIN(T713,U713)))</f>
        <v/>
      </c>
      <c r="BL713" s="37" t="str">
        <f aca="false">IF(OR(BK713="",R713=""),"",IFERROR(ROUND(IF(OR(BK713="",R713=""),"",IF(R713&lt;BK713,"",ROUND(((NETWORKDAYS(BK713,R713,JoursFeries)-1)*(HFer-HOuv)+IF(NETWORKDAYS(R713,R713,JoursFeries),MEDIAN(MOD(R713,1),HFer,HOuv),HFer)-IF(NETWORKDAYS(BK713,BK713,JoursFeries),MEDIAN(MOD(BK713,1),HFer,HOuv),HOuv))*24,4)))/HJour,4),""))</f>
        <v/>
      </c>
      <c r="BM713" s="35" t="str">
        <f aca="false">IF(OR(AO713&lt;&gt;1,R713=""),"",IF(BD713=1,1,0))</f>
        <v/>
      </c>
      <c r="BN713" s="35" t="str">
        <f aca="false">IF(AO713&lt;&gt;1,"",IF(W713="Oui",1,0))</f>
        <v/>
      </c>
      <c r="BO713" s="35" t="str">
        <f aca="false">IF(AO713&lt;&gt;1,"",IF(X713&lt;&gt;"",1,0))</f>
        <v/>
      </c>
      <c r="BP713" s="35" t="str">
        <f aca="false">IF(AO713&lt;&gt;1,"",IF(Y713="Oui",1,0))</f>
        <v/>
      </c>
      <c r="BQ713" s="35" t="str">
        <f aca="true">IF(OR(AO713&lt;&gt;1,Z713&lt;&gt;"Oui"),"",IF(AB713="",IF(AND(AA713&lt;&gt;"",NOW()&gt;AA713),0,""),IF(AA713="","",IF(AB713&lt;=AA713,1,0))))</f>
        <v/>
      </c>
      <c r="BR713" s="38" t="str">
        <f aca="false">IF(OR(AO713&lt;&gt;1,K713&lt;&gt;"Oui",O713=""),"",IF(AC713="",O713+DORA_H_DET/24,IF(AC713-O713&lt;=DORA_H_DET/24,MIN(AC713+DORA_H_CLA/24,O713+DORA_H_DET/24),AC713+DORA_H_CLA/24)))</f>
        <v/>
      </c>
      <c r="BS713" s="35" t="str">
        <f aca="true">IF(BR713="","",IF(AD713="",IF(NOW()&gt;BR713,0,""),IF(AD713&lt;=BR713,1,0)))</f>
        <v/>
      </c>
      <c r="BT713" s="35" t="str">
        <f aca="true">IF(OR(BR713="",AD713=""),"",IF(AE713="",IF(NOW()&gt;AD713+DORA_H_INT/24,0,""),IF(AE713&lt;=AD713+DORA_H_INT/24,1,0)))</f>
        <v/>
      </c>
      <c r="BU713" s="35" t="str">
        <f aca="true">IF(OR(BR713="",AE713=""),"",IF(AF713="",IF(NOW()&gt;EDATE(AE713,DORA_M_FIN)+1,0,""),IF(AF713&lt;=EDATE(AE713,DORA_M_FIN),1,0)))</f>
        <v/>
      </c>
      <c r="BV713" s="35" t="str">
        <f aca="false">IF(BR713="","",IF(COUNT(BS713:BU713)=0,"",MIN(BS713:BU713)))</f>
        <v/>
      </c>
      <c r="BW713" s="40" t="str">
        <f aca="false">IF(AQ713&lt;&gt;1,"",IF(AND(AG713="",AH713=""),"",N(AG713)-N(AH713)))</f>
        <v/>
      </c>
      <c r="BX713" s="35" t="str">
        <f aca="true">IF(OR(AQ713&lt;&gt;1,AI713&lt;&gt;"Oui",AJ713=""),"",IF(AK713="",IF(NOW()&gt;AJ713+1,0,""),IF(AK713&lt;=AJ713,1,0)))</f>
        <v/>
      </c>
    </row>
    <row r="714" customFormat="false" ht="15" hidden="false" customHeight="false" outlineLevel="0" collapsed="false">
      <c r="B714" s="29"/>
      <c r="C714" s="29"/>
      <c r="D714" s="29"/>
      <c r="E714" s="29"/>
      <c r="F714" s="29"/>
      <c r="G714" s="29"/>
      <c r="H714" s="29"/>
      <c r="I714" s="29"/>
      <c r="J714" s="29"/>
      <c r="K714" s="29"/>
      <c r="L714" s="29"/>
      <c r="M714" s="29"/>
      <c r="N714" s="30"/>
      <c r="O714" s="30"/>
      <c r="P714" s="30"/>
      <c r="Q714" s="30"/>
      <c r="R714" s="30"/>
      <c r="S714" s="30"/>
      <c r="T714" s="30"/>
      <c r="U714" s="30"/>
      <c r="V714" s="31"/>
      <c r="W714" s="29"/>
      <c r="X714" s="29"/>
      <c r="Y714" s="29"/>
      <c r="Z714" s="29"/>
      <c r="AA714" s="30"/>
      <c r="AB714" s="30"/>
      <c r="AC714" s="30"/>
      <c r="AD714" s="30"/>
      <c r="AE714" s="30"/>
      <c r="AF714" s="32"/>
      <c r="AG714" s="33"/>
      <c r="AH714" s="33"/>
      <c r="AI714" s="29"/>
      <c r="AJ714" s="32"/>
      <c r="AK714" s="32"/>
      <c r="AL714" s="29"/>
      <c r="AN714" s="34" t="str">
        <f aca="false">IF($B714="","",IF(OR(C714="",D714="",E714="",G714="",I714="",J714="",L714="",O714="",P714=""),"Champ obligatoire manquant",IF(OR(AND(N714&lt;&gt;"",N714&gt;O714),O714&gt;P714,AND(Q714&lt;&gt;"",Q714&lt;P714),AND(R714&lt;&gt;"",R714&lt;P714),AND(S714&lt;&gt;"",S714&lt;R714),AND(S714&lt;&gt;"",R714=""),AND(T714&lt;&gt;"",T714&lt;O714),AND(U714&lt;&gt;"",U714&lt;O714)),"Chronologie incohérente",IF(AND(OR(L714="Résolu",L714="Clos"),R714=""),"Date de résolution manquante",IF(AND(L714="Clos",S714=""),"Date de clôture manquante",IF(AND(K714="Oui",AC714=""),"Classification DORA manquante","OK"))))))</f>
        <v/>
      </c>
      <c r="AO714" s="35" t="str">
        <f aca="false">IF($B714="","",IF(AND(C714="Incident",L714&lt;&gt;"Annulé"),1,0))</f>
        <v/>
      </c>
      <c r="AP714" s="35" t="str">
        <f aca="false">IF($B714="","",IF(AND(C714="Quasi-incident",L714&lt;&gt;"Annulé"),1,0))</f>
        <v/>
      </c>
      <c r="AQ714" s="35" t="str">
        <f aca="false">IF($B714="","",AO714+AP714)</f>
        <v/>
      </c>
      <c r="AR714" s="36" t="str">
        <f aca="false">IF(OR($B714="",J714=""),"",IFERROR(VALUE(LEFT(J714,1)),""))</f>
        <v/>
      </c>
      <c r="AS714" s="35" t="str">
        <f aca="false">IF(OR(AO714&lt;&gt;1,G714=""),"",IFERROR(IF(INDEX(L_SrcInterne,MATCH(G714,L_Sources,0))="Oui",1,0),""))</f>
        <v/>
      </c>
      <c r="AT714" s="37" t="str">
        <f aca="false">IF(AO714&lt;&gt;1,"",IFERROR(ROUND(IF(OR(N714="",O714=""),"",IF(O714&lt;N714,"",ROUND(((NETWORKDAYS(N714,O714,JoursFeries)-1)*(HFer-HOuv)+IF(NETWORKDAYS(O714,O714,JoursFeries),MEDIAN(MOD(O714,1),HFer,HOuv),HFer)-IF(NETWORKDAYS(N714,N714,JoursFeries),MEDIAN(MOD(N714,1),HFer,HOuv),HOuv))*24,4)))/HJour,4),""))</f>
        <v/>
      </c>
      <c r="AU714" s="37" t="str">
        <f aca="false">IF(AO714&lt;&gt;1,"",IF(OR(O714="",P714=""),"",IF(P714&lt;O714,"",ROUND(((NETWORKDAYS(O714,P714,JoursFeries)-1)*(HFer-HOuv)+IF(NETWORKDAYS(P714,P714,JoursFeries),MEDIAN(MOD(P714,1),HFer,HOuv),HFer)-IF(NETWORKDAYS(O714,O714,JoursFeries),MEDIAN(MOD(O714,1),HFer,HOuv),HOuv))*24,4))))</f>
        <v/>
      </c>
      <c r="AV714" s="37" t="str">
        <f aca="false">IF(AO714&lt;&gt;1,"",IF(OR(P714="",Q714=""),"",IF(Q714&lt;P714,"",ROUND(((NETWORKDAYS(P714,Q714,JoursFeries)-1)*(HFer-HOuv)+IF(NETWORKDAYS(Q714,Q714,JoursFeries),MEDIAN(MOD(Q714,1),HFer,HOuv),HFer)-IF(NETWORKDAYS(P714,P714,JoursFeries),MEDIAN(MOD(P714,1),HFer,HOuv),HOuv))*24,4))))</f>
        <v/>
      </c>
      <c r="AW714" s="37" t="str">
        <f aca="false">IF(AO714&lt;&gt;1,"",IFERROR(ROUND(IF(OR(P714="",R714=""),"",IF(R714&lt;P714,"",ROUND(((NETWORKDAYS(P714,R714,JoursFeries)-1)*(HFer-HOuv)+IF(NETWORKDAYS(R714,R714,JoursFeries),MEDIAN(MOD(R714,1),HFer,HOuv),HFer)-IF(NETWORKDAYS(P714,P714,JoursFeries),MEDIAN(MOD(P714,1),HFer,HOuv),HOuv))*24,4)))/HJour,4),""))</f>
        <v/>
      </c>
      <c r="AX714" s="37" t="str">
        <f aca="false">IF(AO714&lt;&gt;1,"",IFERROR(ROUND(IF(OR(P714="",S714=""),"",IF(S714&lt;P714,"",ROUND(((NETWORKDAYS(P714,S714,JoursFeries)-1)*(HFer-HOuv)+IF(NETWORKDAYS(S714,S714,JoursFeries),MEDIAN(MOD(S714,1),HFer,HOuv),HFer)-IF(NETWORKDAYS(P714,P714,JoursFeries),MEDIAN(MOD(P714,1),HFer,HOuv),HOuv))*24,4)))/HJour,4),""))</f>
        <v/>
      </c>
      <c r="AY714" s="36" t="str">
        <f aca="false">IF(OR(AO714&lt;&gt;1,AR714=""),"",INDEX(SLA_PEC,AR714))</f>
        <v/>
      </c>
      <c r="AZ714" s="35" t="str">
        <f aca="false">IF(OR(AV714="",AY714=""),"",IF(AV714&lt;=AY714,1,0))</f>
        <v/>
      </c>
      <c r="BA714" s="36" t="str">
        <f aca="false">IF(OR(AO714&lt;&gt;1,AR714=""),"",INDEX(SLA_RES,AR714))</f>
        <v/>
      </c>
      <c r="BB714" s="35" t="str">
        <f aca="false">IF(OR(AW714="",BA714=""),"",IF(AW714&lt;=BA714,1,0))</f>
        <v/>
      </c>
      <c r="BC714" s="38" t="str">
        <f aca="false">IF(OR(BA714="",P714=""),"",WORKDAY(INT(P714),BA714,JoursFeries)+MOD(P714,1))</f>
        <v/>
      </c>
      <c r="BD714" s="39" t="str">
        <f aca="false">IF(AO714&lt;&gt;1,"",IF(OR(AB714&lt;&gt;"",AD714&lt;&gt;""),4,IF(U714&lt;&gt;"",3,IF(T714&lt;&gt;"",2,1))))</f>
        <v/>
      </c>
      <c r="BE714" s="39" t="str">
        <f aca="false">IF(OR(AO714&lt;&gt;1,AR714=""),"",INDEX(NIV_REQ,AR714))</f>
        <v/>
      </c>
      <c r="BF714" s="39" t="str">
        <f aca="false">IF(BE714="","",MAX(BE714,IF(OR(K714="Oui",Z714="Oui"),4,1)))</f>
        <v/>
      </c>
      <c r="BG714" s="35" t="str">
        <f aca="false">IF(OR(BF714="",BD714=""),"",IF(BD714&gt;=BF714,1,0))</f>
        <v/>
      </c>
      <c r="BH714" s="38" t="str">
        <f aca="false">IF(BE714="","",IF(BE714&lt;2,"",IF(BE714=2,IF(AND(T714="",U714=""),"",MIN(T714,U714)),IF(U714="","",U714))))</f>
        <v/>
      </c>
      <c r="BI714" s="37" t="str">
        <f aca="false">IF(BH714="","",IF(OR(O714="",BH714=""),"",IF(BH714&lt;O714,"",ROUND(((NETWORKDAYS(O714,BH714,JoursFeries)-1)*(HFer-HOuv)+IF(NETWORKDAYS(BH714,BH714,JoursFeries),MEDIAN(MOD(BH714,1),HFer,HOuv),HFer)-IF(NETWORKDAYS(O714,O714,JoursFeries),MEDIAN(MOD(O714,1),HFer,HOuv),HOuv))*24,4))))</f>
        <v/>
      </c>
      <c r="BJ714" s="35" t="str">
        <f aca="false">IF(OR(BI714="",AR714=""),"",IF(BI714&lt;=INDEX(DELAI_ESC,AR714),1,0))</f>
        <v/>
      </c>
      <c r="BK714" s="38" t="str">
        <f aca="false">IF(AO714&lt;&gt;1,"",IF(AND(T714="",U714=""),"",MIN(T714,U714)))</f>
        <v/>
      </c>
      <c r="BL714" s="37" t="str">
        <f aca="false">IF(OR(BK714="",R714=""),"",IFERROR(ROUND(IF(OR(BK714="",R714=""),"",IF(R714&lt;BK714,"",ROUND(((NETWORKDAYS(BK714,R714,JoursFeries)-1)*(HFer-HOuv)+IF(NETWORKDAYS(R714,R714,JoursFeries),MEDIAN(MOD(R714,1),HFer,HOuv),HFer)-IF(NETWORKDAYS(BK714,BK714,JoursFeries),MEDIAN(MOD(BK714,1),HFer,HOuv),HOuv))*24,4)))/HJour,4),""))</f>
        <v/>
      </c>
      <c r="BM714" s="35" t="str">
        <f aca="false">IF(OR(AO714&lt;&gt;1,R714=""),"",IF(BD714=1,1,0))</f>
        <v/>
      </c>
      <c r="BN714" s="35" t="str">
        <f aca="false">IF(AO714&lt;&gt;1,"",IF(W714="Oui",1,0))</f>
        <v/>
      </c>
      <c r="BO714" s="35" t="str">
        <f aca="false">IF(AO714&lt;&gt;1,"",IF(X714&lt;&gt;"",1,0))</f>
        <v/>
      </c>
      <c r="BP714" s="35" t="str">
        <f aca="false">IF(AO714&lt;&gt;1,"",IF(Y714="Oui",1,0))</f>
        <v/>
      </c>
      <c r="BQ714" s="35" t="str">
        <f aca="true">IF(OR(AO714&lt;&gt;1,Z714&lt;&gt;"Oui"),"",IF(AB714="",IF(AND(AA714&lt;&gt;"",NOW()&gt;AA714),0,""),IF(AA714="","",IF(AB714&lt;=AA714,1,0))))</f>
        <v/>
      </c>
      <c r="BR714" s="38" t="str">
        <f aca="false">IF(OR(AO714&lt;&gt;1,K714&lt;&gt;"Oui",O714=""),"",IF(AC714="",O714+DORA_H_DET/24,IF(AC714-O714&lt;=DORA_H_DET/24,MIN(AC714+DORA_H_CLA/24,O714+DORA_H_DET/24),AC714+DORA_H_CLA/24)))</f>
        <v/>
      </c>
      <c r="BS714" s="35" t="str">
        <f aca="true">IF(BR714="","",IF(AD714="",IF(NOW()&gt;BR714,0,""),IF(AD714&lt;=BR714,1,0)))</f>
        <v/>
      </c>
      <c r="BT714" s="35" t="str">
        <f aca="true">IF(OR(BR714="",AD714=""),"",IF(AE714="",IF(NOW()&gt;AD714+DORA_H_INT/24,0,""),IF(AE714&lt;=AD714+DORA_H_INT/24,1,0)))</f>
        <v/>
      </c>
      <c r="BU714" s="35" t="str">
        <f aca="true">IF(OR(BR714="",AE714=""),"",IF(AF714="",IF(NOW()&gt;EDATE(AE714,DORA_M_FIN)+1,0,""),IF(AF714&lt;=EDATE(AE714,DORA_M_FIN),1,0)))</f>
        <v/>
      </c>
      <c r="BV714" s="35" t="str">
        <f aca="false">IF(BR714="","",IF(COUNT(BS714:BU714)=0,"",MIN(BS714:BU714)))</f>
        <v/>
      </c>
      <c r="BW714" s="40" t="str">
        <f aca="false">IF(AQ714&lt;&gt;1,"",IF(AND(AG714="",AH714=""),"",N(AG714)-N(AH714)))</f>
        <v/>
      </c>
      <c r="BX714" s="35" t="str">
        <f aca="true">IF(OR(AQ714&lt;&gt;1,AI714&lt;&gt;"Oui",AJ714=""),"",IF(AK714="",IF(NOW()&gt;AJ714+1,0,""),IF(AK714&lt;=AJ714,1,0)))</f>
        <v/>
      </c>
    </row>
    <row r="715" customFormat="false" ht="15" hidden="false" customHeight="false" outlineLevel="0" collapsed="false">
      <c r="B715" s="29"/>
      <c r="C715" s="29"/>
      <c r="D715" s="29"/>
      <c r="E715" s="29"/>
      <c r="F715" s="29"/>
      <c r="G715" s="29"/>
      <c r="H715" s="29"/>
      <c r="I715" s="29"/>
      <c r="J715" s="29"/>
      <c r="K715" s="29"/>
      <c r="L715" s="29"/>
      <c r="M715" s="29"/>
      <c r="N715" s="30"/>
      <c r="O715" s="30"/>
      <c r="P715" s="30"/>
      <c r="Q715" s="30"/>
      <c r="R715" s="30"/>
      <c r="S715" s="30"/>
      <c r="T715" s="30"/>
      <c r="U715" s="30"/>
      <c r="V715" s="31"/>
      <c r="W715" s="29"/>
      <c r="X715" s="29"/>
      <c r="Y715" s="29"/>
      <c r="Z715" s="29"/>
      <c r="AA715" s="30"/>
      <c r="AB715" s="30"/>
      <c r="AC715" s="30"/>
      <c r="AD715" s="30"/>
      <c r="AE715" s="30"/>
      <c r="AF715" s="32"/>
      <c r="AG715" s="33"/>
      <c r="AH715" s="33"/>
      <c r="AI715" s="29"/>
      <c r="AJ715" s="32"/>
      <c r="AK715" s="32"/>
      <c r="AL715" s="29"/>
      <c r="AN715" s="34" t="str">
        <f aca="false">IF($B715="","",IF(OR(C715="",D715="",E715="",G715="",I715="",J715="",L715="",O715="",P715=""),"Champ obligatoire manquant",IF(OR(AND(N715&lt;&gt;"",N715&gt;O715),O715&gt;P715,AND(Q715&lt;&gt;"",Q715&lt;P715),AND(R715&lt;&gt;"",R715&lt;P715),AND(S715&lt;&gt;"",S715&lt;R715),AND(S715&lt;&gt;"",R715=""),AND(T715&lt;&gt;"",T715&lt;O715),AND(U715&lt;&gt;"",U715&lt;O715)),"Chronologie incohérente",IF(AND(OR(L715="Résolu",L715="Clos"),R715=""),"Date de résolution manquante",IF(AND(L715="Clos",S715=""),"Date de clôture manquante",IF(AND(K715="Oui",AC715=""),"Classification DORA manquante","OK"))))))</f>
        <v/>
      </c>
      <c r="AO715" s="35" t="str">
        <f aca="false">IF($B715="","",IF(AND(C715="Incident",L715&lt;&gt;"Annulé"),1,0))</f>
        <v/>
      </c>
      <c r="AP715" s="35" t="str">
        <f aca="false">IF($B715="","",IF(AND(C715="Quasi-incident",L715&lt;&gt;"Annulé"),1,0))</f>
        <v/>
      </c>
      <c r="AQ715" s="35" t="str">
        <f aca="false">IF($B715="","",AO715+AP715)</f>
        <v/>
      </c>
      <c r="AR715" s="36" t="str">
        <f aca="false">IF(OR($B715="",J715=""),"",IFERROR(VALUE(LEFT(J715,1)),""))</f>
        <v/>
      </c>
      <c r="AS715" s="35" t="str">
        <f aca="false">IF(OR(AO715&lt;&gt;1,G715=""),"",IFERROR(IF(INDEX(L_SrcInterne,MATCH(G715,L_Sources,0))="Oui",1,0),""))</f>
        <v/>
      </c>
      <c r="AT715" s="37" t="str">
        <f aca="false">IF(AO715&lt;&gt;1,"",IFERROR(ROUND(IF(OR(N715="",O715=""),"",IF(O715&lt;N715,"",ROUND(((NETWORKDAYS(N715,O715,JoursFeries)-1)*(HFer-HOuv)+IF(NETWORKDAYS(O715,O715,JoursFeries),MEDIAN(MOD(O715,1),HFer,HOuv),HFer)-IF(NETWORKDAYS(N715,N715,JoursFeries),MEDIAN(MOD(N715,1),HFer,HOuv),HOuv))*24,4)))/HJour,4),""))</f>
        <v/>
      </c>
      <c r="AU715" s="37" t="str">
        <f aca="false">IF(AO715&lt;&gt;1,"",IF(OR(O715="",P715=""),"",IF(P715&lt;O715,"",ROUND(((NETWORKDAYS(O715,P715,JoursFeries)-1)*(HFer-HOuv)+IF(NETWORKDAYS(P715,P715,JoursFeries),MEDIAN(MOD(P715,1),HFer,HOuv),HFer)-IF(NETWORKDAYS(O715,O715,JoursFeries),MEDIAN(MOD(O715,1),HFer,HOuv),HOuv))*24,4))))</f>
        <v/>
      </c>
      <c r="AV715" s="37" t="str">
        <f aca="false">IF(AO715&lt;&gt;1,"",IF(OR(P715="",Q715=""),"",IF(Q715&lt;P715,"",ROUND(((NETWORKDAYS(P715,Q715,JoursFeries)-1)*(HFer-HOuv)+IF(NETWORKDAYS(Q715,Q715,JoursFeries),MEDIAN(MOD(Q715,1),HFer,HOuv),HFer)-IF(NETWORKDAYS(P715,P715,JoursFeries),MEDIAN(MOD(P715,1),HFer,HOuv),HOuv))*24,4))))</f>
        <v/>
      </c>
      <c r="AW715" s="37" t="str">
        <f aca="false">IF(AO715&lt;&gt;1,"",IFERROR(ROUND(IF(OR(P715="",R715=""),"",IF(R715&lt;P715,"",ROUND(((NETWORKDAYS(P715,R715,JoursFeries)-1)*(HFer-HOuv)+IF(NETWORKDAYS(R715,R715,JoursFeries),MEDIAN(MOD(R715,1),HFer,HOuv),HFer)-IF(NETWORKDAYS(P715,P715,JoursFeries),MEDIAN(MOD(P715,1),HFer,HOuv),HOuv))*24,4)))/HJour,4),""))</f>
        <v/>
      </c>
      <c r="AX715" s="37" t="str">
        <f aca="false">IF(AO715&lt;&gt;1,"",IFERROR(ROUND(IF(OR(P715="",S715=""),"",IF(S715&lt;P715,"",ROUND(((NETWORKDAYS(P715,S715,JoursFeries)-1)*(HFer-HOuv)+IF(NETWORKDAYS(S715,S715,JoursFeries),MEDIAN(MOD(S715,1),HFer,HOuv),HFer)-IF(NETWORKDAYS(P715,P715,JoursFeries),MEDIAN(MOD(P715,1),HFer,HOuv),HOuv))*24,4)))/HJour,4),""))</f>
        <v/>
      </c>
      <c r="AY715" s="36" t="str">
        <f aca="false">IF(OR(AO715&lt;&gt;1,AR715=""),"",INDEX(SLA_PEC,AR715))</f>
        <v/>
      </c>
      <c r="AZ715" s="35" t="str">
        <f aca="false">IF(OR(AV715="",AY715=""),"",IF(AV715&lt;=AY715,1,0))</f>
        <v/>
      </c>
      <c r="BA715" s="36" t="str">
        <f aca="false">IF(OR(AO715&lt;&gt;1,AR715=""),"",INDEX(SLA_RES,AR715))</f>
        <v/>
      </c>
      <c r="BB715" s="35" t="str">
        <f aca="false">IF(OR(AW715="",BA715=""),"",IF(AW715&lt;=BA715,1,0))</f>
        <v/>
      </c>
      <c r="BC715" s="38" t="str">
        <f aca="false">IF(OR(BA715="",P715=""),"",WORKDAY(INT(P715),BA715,JoursFeries)+MOD(P715,1))</f>
        <v/>
      </c>
      <c r="BD715" s="39" t="str">
        <f aca="false">IF(AO715&lt;&gt;1,"",IF(OR(AB715&lt;&gt;"",AD715&lt;&gt;""),4,IF(U715&lt;&gt;"",3,IF(T715&lt;&gt;"",2,1))))</f>
        <v/>
      </c>
      <c r="BE715" s="39" t="str">
        <f aca="false">IF(OR(AO715&lt;&gt;1,AR715=""),"",INDEX(NIV_REQ,AR715))</f>
        <v/>
      </c>
      <c r="BF715" s="39" t="str">
        <f aca="false">IF(BE715="","",MAX(BE715,IF(OR(K715="Oui",Z715="Oui"),4,1)))</f>
        <v/>
      </c>
      <c r="BG715" s="35" t="str">
        <f aca="false">IF(OR(BF715="",BD715=""),"",IF(BD715&gt;=BF715,1,0))</f>
        <v/>
      </c>
      <c r="BH715" s="38" t="str">
        <f aca="false">IF(BE715="","",IF(BE715&lt;2,"",IF(BE715=2,IF(AND(T715="",U715=""),"",MIN(T715,U715)),IF(U715="","",U715))))</f>
        <v/>
      </c>
      <c r="BI715" s="37" t="str">
        <f aca="false">IF(BH715="","",IF(OR(O715="",BH715=""),"",IF(BH715&lt;O715,"",ROUND(((NETWORKDAYS(O715,BH715,JoursFeries)-1)*(HFer-HOuv)+IF(NETWORKDAYS(BH715,BH715,JoursFeries),MEDIAN(MOD(BH715,1),HFer,HOuv),HFer)-IF(NETWORKDAYS(O715,O715,JoursFeries),MEDIAN(MOD(O715,1),HFer,HOuv),HOuv))*24,4))))</f>
        <v/>
      </c>
      <c r="BJ715" s="35" t="str">
        <f aca="false">IF(OR(BI715="",AR715=""),"",IF(BI715&lt;=INDEX(DELAI_ESC,AR715),1,0))</f>
        <v/>
      </c>
      <c r="BK715" s="38" t="str">
        <f aca="false">IF(AO715&lt;&gt;1,"",IF(AND(T715="",U715=""),"",MIN(T715,U715)))</f>
        <v/>
      </c>
      <c r="BL715" s="37" t="str">
        <f aca="false">IF(OR(BK715="",R715=""),"",IFERROR(ROUND(IF(OR(BK715="",R715=""),"",IF(R715&lt;BK715,"",ROUND(((NETWORKDAYS(BK715,R715,JoursFeries)-1)*(HFer-HOuv)+IF(NETWORKDAYS(R715,R715,JoursFeries),MEDIAN(MOD(R715,1),HFer,HOuv),HFer)-IF(NETWORKDAYS(BK715,BK715,JoursFeries),MEDIAN(MOD(BK715,1),HFer,HOuv),HOuv))*24,4)))/HJour,4),""))</f>
        <v/>
      </c>
      <c r="BM715" s="35" t="str">
        <f aca="false">IF(OR(AO715&lt;&gt;1,R715=""),"",IF(BD715=1,1,0))</f>
        <v/>
      </c>
      <c r="BN715" s="35" t="str">
        <f aca="false">IF(AO715&lt;&gt;1,"",IF(W715="Oui",1,0))</f>
        <v/>
      </c>
      <c r="BO715" s="35" t="str">
        <f aca="false">IF(AO715&lt;&gt;1,"",IF(X715&lt;&gt;"",1,0))</f>
        <v/>
      </c>
      <c r="BP715" s="35" t="str">
        <f aca="false">IF(AO715&lt;&gt;1,"",IF(Y715="Oui",1,0))</f>
        <v/>
      </c>
      <c r="BQ715" s="35" t="str">
        <f aca="true">IF(OR(AO715&lt;&gt;1,Z715&lt;&gt;"Oui"),"",IF(AB715="",IF(AND(AA715&lt;&gt;"",NOW()&gt;AA715),0,""),IF(AA715="","",IF(AB715&lt;=AA715,1,0))))</f>
        <v/>
      </c>
      <c r="BR715" s="38" t="str">
        <f aca="false">IF(OR(AO715&lt;&gt;1,K715&lt;&gt;"Oui",O715=""),"",IF(AC715="",O715+DORA_H_DET/24,IF(AC715-O715&lt;=DORA_H_DET/24,MIN(AC715+DORA_H_CLA/24,O715+DORA_H_DET/24),AC715+DORA_H_CLA/24)))</f>
        <v/>
      </c>
      <c r="BS715" s="35" t="str">
        <f aca="true">IF(BR715="","",IF(AD715="",IF(NOW()&gt;BR715,0,""),IF(AD715&lt;=BR715,1,0)))</f>
        <v/>
      </c>
      <c r="BT715" s="35" t="str">
        <f aca="true">IF(OR(BR715="",AD715=""),"",IF(AE715="",IF(NOW()&gt;AD715+DORA_H_INT/24,0,""),IF(AE715&lt;=AD715+DORA_H_INT/24,1,0)))</f>
        <v/>
      </c>
      <c r="BU715" s="35" t="str">
        <f aca="true">IF(OR(BR715="",AE715=""),"",IF(AF715="",IF(NOW()&gt;EDATE(AE715,DORA_M_FIN)+1,0,""),IF(AF715&lt;=EDATE(AE715,DORA_M_FIN),1,0)))</f>
        <v/>
      </c>
      <c r="BV715" s="35" t="str">
        <f aca="false">IF(BR715="","",IF(COUNT(BS715:BU715)=0,"",MIN(BS715:BU715)))</f>
        <v/>
      </c>
      <c r="BW715" s="40" t="str">
        <f aca="false">IF(AQ715&lt;&gt;1,"",IF(AND(AG715="",AH715=""),"",N(AG715)-N(AH715)))</f>
        <v/>
      </c>
      <c r="BX715" s="35" t="str">
        <f aca="true">IF(OR(AQ715&lt;&gt;1,AI715&lt;&gt;"Oui",AJ715=""),"",IF(AK715="",IF(NOW()&gt;AJ715+1,0,""),IF(AK715&lt;=AJ715,1,0)))</f>
        <v/>
      </c>
    </row>
    <row r="716" customFormat="false" ht="15" hidden="false" customHeight="false" outlineLevel="0" collapsed="false">
      <c r="B716" s="29"/>
      <c r="C716" s="29"/>
      <c r="D716" s="29"/>
      <c r="E716" s="29"/>
      <c r="F716" s="29"/>
      <c r="G716" s="29"/>
      <c r="H716" s="29"/>
      <c r="I716" s="29"/>
      <c r="J716" s="29"/>
      <c r="K716" s="29"/>
      <c r="L716" s="29"/>
      <c r="M716" s="29"/>
      <c r="N716" s="30"/>
      <c r="O716" s="30"/>
      <c r="P716" s="30"/>
      <c r="Q716" s="30"/>
      <c r="R716" s="30"/>
      <c r="S716" s="30"/>
      <c r="T716" s="30"/>
      <c r="U716" s="30"/>
      <c r="V716" s="31"/>
      <c r="W716" s="29"/>
      <c r="X716" s="29"/>
      <c r="Y716" s="29"/>
      <c r="Z716" s="29"/>
      <c r="AA716" s="30"/>
      <c r="AB716" s="30"/>
      <c r="AC716" s="30"/>
      <c r="AD716" s="30"/>
      <c r="AE716" s="30"/>
      <c r="AF716" s="32"/>
      <c r="AG716" s="33"/>
      <c r="AH716" s="33"/>
      <c r="AI716" s="29"/>
      <c r="AJ716" s="32"/>
      <c r="AK716" s="32"/>
      <c r="AL716" s="29"/>
      <c r="AN716" s="34" t="str">
        <f aca="false">IF($B716="","",IF(OR(C716="",D716="",E716="",G716="",I716="",J716="",L716="",O716="",P716=""),"Champ obligatoire manquant",IF(OR(AND(N716&lt;&gt;"",N716&gt;O716),O716&gt;P716,AND(Q716&lt;&gt;"",Q716&lt;P716),AND(R716&lt;&gt;"",R716&lt;P716),AND(S716&lt;&gt;"",S716&lt;R716),AND(S716&lt;&gt;"",R716=""),AND(T716&lt;&gt;"",T716&lt;O716),AND(U716&lt;&gt;"",U716&lt;O716)),"Chronologie incohérente",IF(AND(OR(L716="Résolu",L716="Clos"),R716=""),"Date de résolution manquante",IF(AND(L716="Clos",S716=""),"Date de clôture manquante",IF(AND(K716="Oui",AC716=""),"Classification DORA manquante","OK"))))))</f>
        <v/>
      </c>
      <c r="AO716" s="35" t="str">
        <f aca="false">IF($B716="","",IF(AND(C716="Incident",L716&lt;&gt;"Annulé"),1,0))</f>
        <v/>
      </c>
      <c r="AP716" s="35" t="str">
        <f aca="false">IF($B716="","",IF(AND(C716="Quasi-incident",L716&lt;&gt;"Annulé"),1,0))</f>
        <v/>
      </c>
      <c r="AQ716" s="35" t="str">
        <f aca="false">IF($B716="","",AO716+AP716)</f>
        <v/>
      </c>
      <c r="AR716" s="36" t="str">
        <f aca="false">IF(OR($B716="",J716=""),"",IFERROR(VALUE(LEFT(J716,1)),""))</f>
        <v/>
      </c>
      <c r="AS716" s="35" t="str">
        <f aca="false">IF(OR(AO716&lt;&gt;1,G716=""),"",IFERROR(IF(INDEX(L_SrcInterne,MATCH(G716,L_Sources,0))="Oui",1,0),""))</f>
        <v/>
      </c>
      <c r="AT716" s="37" t="str">
        <f aca="false">IF(AO716&lt;&gt;1,"",IFERROR(ROUND(IF(OR(N716="",O716=""),"",IF(O716&lt;N716,"",ROUND(((NETWORKDAYS(N716,O716,JoursFeries)-1)*(HFer-HOuv)+IF(NETWORKDAYS(O716,O716,JoursFeries),MEDIAN(MOD(O716,1),HFer,HOuv),HFer)-IF(NETWORKDAYS(N716,N716,JoursFeries),MEDIAN(MOD(N716,1),HFer,HOuv),HOuv))*24,4)))/HJour,4),""))</f>
        <v/>
      </c>
      <c r="AU716" s="37" t="str">
        <f aca="false">IF(AO716&lt;&gt;1,"",IF(OR(O716="",P716=""),"",IF(P716&lt;O716,"",ROUND(((NETWORKDAYS(O716,P716,JoursFeries)-1)*(HFer-HOuv)+IF(NETWORKDAYS(P716,P716,JoursFeries),MEDIAN(MOD(P716,1),HFer,HOuv),HFer)-IF(NETWORKDAYS(O716,O716,JoursFeries),MEDIAN(MOD(O716,1),HFer,HOuv),HOuv))*24,4))))</f>
        <v/>
      </c>
      <c r="AV716" s="37" t="str">
        <f aca="false">IF(AO716&lt;&gt;1,"",IF(OR(P716="",Q716=""),"",IF(Q716&lt;P716,"",ROUND(((NETWORKDAYS(P716,Q716,JoursFeries)-1)*(HFer-HOuv)+IF(NETWORKDAYS(Q716,Q716,JoursFeries),MEDIAN(MOD(Q716,1),HFer,HOuv),HFer)-IF(NETWORKDAYS(P716,P716,JoursFeries),MEDIAN(MOD(P716,1),HFer,HOuv),HOuv))*24,4))))</f>
        <v/>
      </c>
      <c r="AW716" s="37" t="str">
        <f aca="false">IF(AO716&lt;&gt;1,"",IFERROR(ROUND(IF(OR(P716="",R716=""),"",IF(R716&lt;P716,"",ROUND(((NETWORKDAYS(P716,R716,JoursFeries)-1)*(HFer-HOuv)+IF(NETWORKDAYS(R716,R716,JoursFeries),MEDIAN(MOD(R716,1),HFer,HOuv),HFer)-IF(NETWORKDAYS(P716,P716,JoursFeries),MEDIAN(MOD(P716,1),HFer,HOuv),HOuv))*24,4)))/HJour,4),""))</f>
        <v/>
      </c>
      <c r="AX716" s="37" t="str">
        <f aca="false">IF(AO716&lt;&gt;1,"",IFERROR(ROUND(IF(OR(P716="",S716=""),"",IF(S716&lt;P716,"",ROUND(((NETWORKDAYS(P716,S716,JoursFeries)-1)*(HFer-HOuv)+IF(NETWORKDAYS(S716,S716,JoursFeries),MEDIAN(MOD(S716,1),HFer,HOuv),HFer)-IF(NETWORKDAYS(P716,P716,JoursFeries),MEDIAN(MOD(P716,1),HFer,HOuv),HOuv))*24,4)))/HJour,4),""))</f>
        <v/>
      </c>
      <c r="AY716" s="36" t="str">
        <f aca="false">IF(OR(AO716&lt;&gt;1,AR716=""),"",INDEX(SLA_PEC,AR716))</f>
        <v/>
      </c>
      <c r="AZ716" s="35" t="str">
        <f aca="false">IF(OR(AV716="",AY716=""),"",IF(AV716&lt;=AY716,1,0))</f>
        <v/>
      </c>
      <c r="BA716" s="36" t="str">
        <f aca="false">IF(OR(AO716&lt;&gt;1,AR716=""),"",INDEX(SLA_RES,AR716))</f>
        <v/>
      </c>
      <c r="BB716" s="35" t="str">
        <f aca="false">IF(OR(AW716="",BA716=""),"",IF(AW716&lt;=BA716,1,0))</f>
        <v/>
      </c>
      <c r="BC716" s="38" t="str">
        <f aca="false">IF(OR(BA716="",P716=""),"",WORKDAY(INT(P716),BA716,JoursFeries)+MOD(P716,1))</f>
        <v/>
      </c>
      <c r="BD716" s="39" t="str">
        <f aca="false">IF(AO716&lt;&gt;1,"",IF(OR(AB716&lt;&gt;"",AD716&lt;&gt;""),4,IF(U716&lt;&gt;"",3,IF(T716&lt;&gt;"",2,1))))</f>
        <v/>
      </c>
      <c r="BE716" s="39" t="str">
        <f aca="false">IF(OR(AO716&lt;&gt;1,AR716=""),"",INDEX(NIV_REQ,AR716))</f>
        <v/>
      </c>
      <c r="BF716" s="39" t="str">
        <f aca="false">IF(BE716="","",MAX(BE716,IF(OR(K716="Oui",Z716="Oui"),4,1)))</f>
        <v/>
      </c>
      <c r="BG716" s="35" t="str">
        <f aca="false">IF(OR(BF716="",BD716=""),"",IF(BD716&gt;=BF716,1,0))</f>
        <v/>
      </c>
      <c r="BH716" s="38" t="str">
        <f aca="false">IF(BE716="","",IF(BE716&lt;2,"",IF(BE716=2,IF(AND(T716="",U716=""),"",MIN(T716,U716)),IF(U716="","",U716))))</f>
        <v/>
      </c>
      <c r="BI716" s="37" t="str">
        <f aca="false">IF(BH716="","",IF(OR(O716="",BH716=""),"",IF(BH716&lt;O716,"",ROUND(((NETWORKDAYS(O716,BH716,JoursFeries)-1)*(HFer-HOuv)+IF(NETWORKDAYS(BH716,BH716,JoursFeries),MEDIAN(MOD(BH716,1),HFer,HOuv),HFer)-IF(NETWORKDAYS(O716,O716,JoursFeries),MEDIAN(MOD(O716,1),HFer,HOuv),HOuv))*24,4))))</f>
        <v/>
      </c>
      <c r="BJ716" s="35" t="str">
        <f aca="false">IF(OR(BI716="",AR716=""),"",IF(BI716&lt;=INDEX(DELAI_ESC,AR716),1,0))</f>
        <v/>
      </c>
      <c r="BK716" s="38" t="str">
        <f aca="false">IF(AO716&lt;&gt;1,"",IF(AND(T716="",U716=""),"",MIN(T716,U716)))</f>
        <v/>
      </c>
      <c r="BL716" s="37" t="str">
        <f aca="false">IF(OR(BK716="",R716=""),"",IFERROR(ROUND(IF(OR(BK716="",R716=""),"",IF(R716&lt;BK716,"",ROUND(((NETWORKDAYS(BK716,R716,JoursFeries)-1)*(HFer-HOuv)+IF(NETWORKDAYS(R716,R716,JoursFeries),MEDIAN(MOD(R716,1),HFer,HOuv),HFer)-IF(NETWORKDAYS(BK716,BK716,JoursFeries),MEDIAN(MOD(BK716,1),HFer,HOuv),HOuv))*24,4)))/HJour,4),""))</f>
        <v/>
      </c>
      <c r="BM716" s="35" t="str">
        <f aca="false">IF(OR(AO716&lt;&gt;1,R716=""),"",IF(BD716=1,1,0))</f>
        <v/>
      </c>
      <c r="BN716" s="35" t="str">
        <f aca="false">IF(AO716&lt;&gt;1,"",IF(W716="Oui",1,0))</f>
        <v/>
      </c>
      <c r="BO716" s="35" t="str">
        <f aca="false">IF(AO716&lt;&gt;1,"",IF(X716&lt;&gt;"",1,0))</f>
        <v/>
      </c>
      <c r="BP716" s="35" t="str">
        <f aca="false">IF(AO716&lt;&gt;1,"",IF(Y716="Oui",1,0))</f>
        <v/>
      </c>
      <c r="BQ716" s="35" t="str">
        <f aca="true">IF(OR(AO716&lt;&gt;1,Z716&lt;&gt;"Oui"),"",IF(AB716="",IF(AND(AA716&lt;&gt;"",NOW()&gt;AA716),0,""),IF(AA716="","",IF(AB716&lt;=AA716,1,0))))</f>
        <v/>
      </c>
      <c r="BR716" s="38" t="str">
        <f aca="false">IF(OR(AO716&lt;&gt;1,K716&lt;&gt;"Oui",O716=""),"",IF(AC716="",O716+DORA_H_DET/24,IF(AC716-O716&lt;=DORA_H_DET/24,MIN(AC716+DORA_H_CLA/24,O716+DORA_H_DET/24),AC716+DORA_H_CLA/24)))</f>
        <v/>
      </c>
      <c r="BS716" s="35" t="str">
        <f aca="true">IF(BR716="","",IF(AD716="",IF(NOW()&gt;BR716,0,""),IF(AD716&lt;=BR716,1,0)))</f>
        <v/>
      </c>
      <c r="BT716" s="35" t="str">
        <f aca="true">IF(OR(BR716="",AD716=""),"",IF(AE716="",IF(NOW()&gt;AD716+DORA_H_INT/24,0,""),IF(AE716&lt;=AD716+DORA_H_INT/24,1,0)))</f>
        <v/>
      </c>
      <c r="BU716" s="35" t="str">
        <f aca="true">IF(OR(BR716="",AE716=""),"",IF(AF716="",IF(NOW()&gt;EDATE(AE716,DORA_M_FIN)+1,0,""),IF(AF716&lt;=EDATE(AE716,DORA_M_FIN),1,0)))</f>
        <v/>
      </c>
      <c r="BV716" s="35" t="str">
        <f aca="false">IF(BR716="","",IF(COUNT(BS716:BU716)=0,"",MIN(BS716:BU716)))</f>
        <v/>
      </c>
      <c r="BW716" s="40" t="str">
        <f aca="false">IF(AQ716&lt;&gt;1,"",IF(AND(AG716="",AH716=""),"",N(AG716)-N(AH716)))</f>
        <v/>
      </c>
      <c r="BX716" s="35" t="str">
        <f aca="true">IF(OR(AQ716&lt;&gt;1,AI716&lt;&gt;"Oui",AJ716=""),"",IF(AK716="",IF(NOW()&gt;AJ716+1,0,""),IF(AK716&lt;=AJ716,1,0)))</f>
        <v/>
      </c>
    </row>
    <row r="717" customFormat="false" ht="15" hidden="false" customHeight="false" outlineLevel="0" collapsed="false">
      <c r="B717" s="29"/>
      <c r="C717" s="29"/>
      <c r="D717" s="29"/>
      <c r="E717" s="29"/>
      <c r="F717" s="29"/>
      <c r="G717" s="29"/>
      <c r="H717" s="29"/>
      <c r="I717" s="29"/>
      <c r="J717" s="29"/>
      <c r="K717" s="29"/>
      <c r="L717" s="29"/>
      <c r="M717" s="29"/>
      <c r="N717" s="30"/>
      <c r="O717" s="30"/>
      <c r="P717" s="30"/>
      <c r="Q717" s="30"/>
      <c r="R717" s="30"/>
      <c r="S717" s="30"/>
      <c r="T717" s="30"/>
      <c r="U717" s="30"/>
      <c r="V717" s="31"/>
      <c r="W717" s="29"/>
      <c r="X717" s="29"/>
      <c r="Y717" s="29"/>
      <c r="Z717" s="29"/>
      <c r="AA717" s="30"/>
      <c r="AB717" s="30"/>
      <c r="AC717" s="30"/>
      <c r="AD717" s="30"/>
      <c r="AE717" s="30"/>
      <c r="AF717" s="32"/>
      <c r="AG717" s="33"/>
      <c r="AH717" s="33"/>
      <c r="AI717" s="29"/>
      <c r="AJ717" s="32"/>
      <c r="AK717" s="32"/>
      <c r="AL717" s="29"/>
      <c r="AN717" s="34" t="str">
        <f aca="false">IF($B717="","",IF(OR(C717="",D717="",E717="",G717="",I717="",J717="",L717="",O717="",P717=""),"Champ obligatoire manquant",IF(OR(AND(N717&lt;&gt;"",N717&gt;O717),O717&gt;P717,AND(Q717&lt;&gt;"",Q717&lt;P717),AND(R717&lt;&gt;"",R717&lt;P717),AND(S717&lt;&gt;"",S717&lt;R717),AND(S717&lt;&gt;"",R717=""),AND(T717&lt;&gt;"",T717&lt;O717),AND(U717&lt;&gt;"",U717&lt;O717)),"Chronologie incohérente",IF(AND(OR(L717="Résolu",L717="Clos"),R717=""),"Date de résolution manquante",IF(AND(L717="Clos",S717=""),"Date de clôture manquante",IF(AND(K717="Oui",AC717=""),"Classification DORA manquante","OK"))))))</f>
        <v/>
      </c>
      <c r="AO717" s="35" t="str">
        <f aca="false">IF($B717="","",IF(AND(C717="Incident",L717&lt;&gt;"Annulé"),1,0))</f>
        <v/>
      </c>
      <c r="AP717" s="35" t="str">
        <f aca="false">IF($B717="","",IF(AND(C717="Quasi-incident",L717&lt;&gt;"Annulé"),1,0))</f>
        <v/>
      </c>
      <c r="AQ717" s="35" t="str">
        <f aca="false">IF($B717="","",AO717+AP717)</f>
        <v/>
      </c>
      <c r="AR717" s="36" t="str">
        <f aca="false">IF(OR($B717="",J717=""),"",IFERROR(VALUE(LEFT(J717,1)),""))</f>
        <v/>
      </c>
      <c r="AS717" s="35" t="str">
        <f aca="false">IF(OR(AO717&lt;&gt;1,G717=""),"",IFERROR(IF(INDEX(L_SrcInterne,MATCH(G717,L_Sources,0))="Oui",1,0),""))</f>
        <v/>
      </c>
      <c r="AT717" s="37" t="str">
        <f aca="false">IF(AO717&lt;&gt;1,"",IFERROR(ROUND(IF(OR(N717="",O717=""),"",IF(O717&lt;N717,"",ROUND(((NETWORKDAYS(N717,O717,JoursFeries)-1)*(HFer-HOuv)+IF(NETWORKDAYS(O717,O717,JoursFeries),MEDIAN(MOD(O717,1),HFer,HOuv),HFer)-IF(NETWORKDAYS(N717,N717,JoursFeries),MEDIAN(MOD(N717,1),HFer,HOuv),HOuv))*24,4)))/HJour,4),""))</f>
        <v/>
      </c>
      <c r="AU717" s="37" t="str">
        <f aca="false">IF(AO717&lt;&gt;1,"",IF(OR(O717="",P717=""),"",IF(P717&lt;O717,"",ROUND(((NETWORKDAYS(O717,P717,JoursFeries)-1)*(HFer-HOuv)+IF(NETWORKDAYS(P717,P717,JoursFeries),MEDIAN(MOD(P717,1),HFer,HOuv),HFer)-IF(NETWORKDAYS(O717,O717,JoursFeries),MEDIAN(MOD(O717,1),HFer,HOuv),HOuv))*24,4))))</f>
        <v/>
      </c>
      <c r="AV717" s="37" t="str">
        <f aca="false">IF(AO717&lt;&gt;1,"",IF(OR(P717="",Q717=""),"",IF(Q717&lt;P717,"",ROUND(((NETWORKDAYS(P717,Q717,JoursFeries)-1)*(HFer-HOuv)+IF(NETWORKDAYS(Q717,Q717,JoursFeries),MEDIAN(MOD(Q717,1),HFer,HOuv),HFer)-IF(NETWORKDAYS(P717,P717,JoursFeries),MEDIAN(MOD(P717,1),HFer,HOuv),HOuv))*24,4))))</f>
        <v/>
      </c>
      <c r="AW717" s="37" t="str">
        <f aca="false">IF(AO717&lt;&gt;1,"",IFERROR(ROUND(IF(OR(P717="",R717=""),"",IF(R717&lt;P717,"",ROUND(((NETWORKDAYS(P717,R717,JoursFeries)-1)*(HFer-HOuv)+IF(NETWORKDAYS(R717,R717,JoursFeries),MEDIAN(MOD(R717,1),HFer,HOuv),HFer)-IF(NETWORKDAYS(P717,P717,JoursFeries),MEDIAN(MOD(P717,1),HFer,HOuv),HOuv))*24,4)))/HJour,4),""))</f>
        <v/>
      </c>
      <c r="AX717" s="37" t="str">
        <f aca="false">IF(AO717&lt;&gt;1,"",IFERROR(ROUND(IF(OR(P717="",S717=""),"",IF(S717&lt;P717,"",ROUND(((NETWORKDAYS(P717,S717,JoursFeries)-1)*(HFer-HOuv)+IF(NETWORKDAYS(S717,S717,JoursFeries),MEDIAN(MOD(S717,1),HFer,HOuv),HFer)-IF(NETWORKDAYS(P717,P717,JoursFeries),MEDIAN(MOD(P717,1),HFer,HOuv),HOuv))*24,4)))/HJour,4),""))</f>
        <v/>
      </c>
      <c r="AY717" s="36" t="str">
        <f aca="false">IF(OR(AO717&lt;&gt;1,AR717=""),"",INDEX(SLA_PEC,AR717))</f>
        <v/>
      </c>
      <c r="AZ717" s="35" t="str">
        <f aca="false">IF(OR(AV717="",AY717=""),"",IF(AV717&lt;=AY717,1,0))</f>
        <v/>
      </c>
      <c r="BA717" s="36" t="str">
        <f aca="false">IF(OR(AO717&lt;&gt;1,AR717=""),"",INDEX(SLA_RES,AR717))</f>
        <v/>
      </c>
      <c r="BB717" s="35" t="str">
        <f aca="false">IF(OR(AW717="",BA717=""),"",IF(AW717&lt;=BA717,1,0))</f>
        <v/>
      </c>
      <c r="BC717" s="38" t="str">
        <f aca="false">IF(OR(BA717="",P717=""),"",WORKDAY(INT(P717),BA717,JoursFeries)+MOD(P717,1))</f>
        <v/>
      </c>
      <c r="BD717" s="39" t="str">
        <f aca="false">IF(AO717&lt;&gt;1,"",IF(OR(AB717&lt;&gt;"",AD717&lt;&gt;""),4,IF(U717&lt;&gt;"",3,IF(T717&lt;&gt;"",2,1))))</f>
        <v/>
      </c>
      <c r="BE717" s="39" t="str">
        <f aca="false">IF(OR(AO717&lt;&gt;1,AR717=""),"",INDEX(NIV_REQ,AR717))</f>
        <v/>
      </c>
      <c r="BF717" s="39" t="str">
        <f aca="false">IF(BE717="","",MAX(BE717,IF(OR(K717="Oui",Z717="Oui"),4,1)))</f>
        <v/>
      </c>
      <c r="BG717" s="35" t="str">
        <f aca="false">IF(OR(BF717="",BD717=""),"",IF(BD717&gt;=BF717,1,0))</f>
        <v/>
      </c>
      <c r="BH717" s="38" t="str">
        <f aca="false">IF(BE717="","",IF(BE717&lt;2,"",IF(BE717=2,IF(AND(T717="",U717=""),"",MIN(T717,U717)),IF(U717="","",U717))))</f>
        <v/>
      </c>
      <c r="BI717" s="37" t="str">
        <f aca="false">IF(BH717="","",IF(OR(O717="",BH717=""),"",IF(BH717&lt;O717,"",ROUND(((NETWORKDAYS(O717,BH717,JoursFeries)-1)*(HFer-HOuv)+IF(NETWORKDAYS(BH717,BH717,JoursFeries),MEDIAN(MOD(BH717,1),HFer,HOuv),HFer)-IF(NETWORKDAYS(O717,O717,JoursFeries),MEDIAN(MOD(O717,1),HFer,HOuv),HOuv))*24,4))))</f>
        <v/>
      </c>
      <c r="BJ717" s="35" t="str">
        <f aca="false">IF(OR(BI717="",AR717=""),"",IF(BI717&lt;=INDEX(DELAI_ESC,AR717),1,0))</f>
        <v/>
      </c>
      <c r="BK717" s="38" t="str">
        <f aca="false">IF(AO717&lt;&gt;1,"",IF(AND(T717="",U717=""),"",MIN(T717,U717)))</f>
        <v/>
      </c>
      <c r="BL717" s="37" t="str">
        <f aca="false">IF(OR(BK717="",R717=""),"",IFERROR(ROUND(IF(OR(BK717="",R717=""),"",IF(R717&lt;BK717,"",ROUND(((NETWORKDAYS(BK717,R717,JoursFeries)-1)*(HFer-HOuv)+IF(NETWORKDAYS(R717,R717,JoursFeries),MEDIAN(MOD(R717,1),HFer,HOuv),HFer)-IF(NETWORKDAYS(BK717,BK717,JoursFeries),MEDIAN(MOD(BK717,1),HFer,HOuv),HOuv))*24,4)))/HJour,4),""))</f>
        <v/>
      </c>
      <c r="BM717" s="35" t="str">
        <f aca="false">IF(OR(AO717&lt;&gt;1,R717=""),"",IF(BD717=1,1,0))</f>
        <v/>
      </c>
      <c r="BN717" s="35" t="str">
        <f aca="false">IF(AO717&lt;&gt;1,"",IF(W717="Oui",1,0))</f>
        <v/>
      </c>
      <c r="BO717" s="35" t="str">
        <f aca="false">IF(AO717&lt;&gt;1,"",IF(X717&lt;&gt;"",1,0))</f>
        <v/>
      </c>
      <c r="BP717" s="35" t="str">
        <f aca="false">IF(AO717&lt;&gt;1,"",IF(Y717="Oui",1,0))</f>
        <v/>
      </c>
      <c r="BQ717" s="35" t="str">
        <f aca="true">IF(OR(AO717&lt;&gt;1,Z717&lt;&gt;"Oui"),"",IF(AB717="",IF(AND(AA717&lt;&gt;"",NOW()&gt;AA717),0,""),IF(AA717="","",IF(AB717&lt;=AA717,1,0))))</f>
        <v/>
      </c>
      <c r="BR717" s="38" t="str">
        <f aca="false">IF(OR(AO717&lt;&gt;1,K717&lt;&gt;"Oui",O717=""),"",IF(AC717="",O717+DORA_H_DET/24,IF(AC717-O717&lt;=DORA_H_DET/24,MIN(AC717+DORA_H_CLA/24,O717+DORA_H_DET/24),AC717+DORA_H_CLA/24)))</f>
        <v/>
      </c>
      <c r="BS717" s="35" t="str">
        <f aca="true">IF(BR717="","",IF(AD717="",IF(NOW()&gt;BR717,0,""),IF(AD717&lt;=BR717,1,0)))</f>
        <v/>
      </c>
      <c r="BT717" s="35" t="str">
        <f aca="true">IF(OR(BR717="",AD717=""),"",IF(AE717="",IF(NOW()&gt;AD717+DORA_H_INT/24,0,""),IF(AE717&lt;=AD717+DORA_H_INT/24,1,0)))</f>
        <v/>
      </c>
      <c r="BU717" s="35" t="str">
        <f aca="true">IF(OR(BR717="",AE717=""),"",IF(AF717="",IF(NOW()&gt;EDATE(AE717,DORA_M_FIN)+1,0,""),IF(AF717&lt;=EDATE(AE717,DORA_M_FIN),1,0)))</f>
        <v/>
      </c>
      <c r="BV717" s="35" t="str">
        <f aca="false">IF(BR717="","",IF(COUNT(BS717:BU717)=0,"",MIN(BS717:BU717)))</f>
        <v/>
      </c>
      <c r="BW717" s="40" t="str">
        <f aca="false">IF(AQ717&lt;&gt;1,"",IF(AND(AG717="",AH717=""),"",N(AG717)-N(AH717)))</f>
        <v/>
      </c>
      <c r="BX717" s="35" t="str">
        <f aca="true">IF(OR(AQ717&lt;&gt;1,AI717&lt;&gt;"Oui",AJ717=""),"",IF(AK717="",IF(NOW()&gt;AJ717+1,0,""),IF(AK717&lt;=AJ717,1,0)))</f>
        <v/>
      </c>
    </row>
    <row r="718" customFormat="false" ht="15" hidden="false" customHeight="false" outlineLevel="0" collapsed="false">
      <c r="B718" s="29"/>
      <c r="C718" s="29"/>
      <c r="D718" s="29"/>
      <c r="E718" s="29"/>
      <c r="F718" s="29"/>
      <c r="G718" s="29"/>
      <c r="H718" s="29"/>
      <c r="I718" s="29"/>
      <c r="J718" s="29"/>
      <c r="K718" s="29"/>
      <c r="L718" s="29"/>
      <c r="M718" s="29"/>
      <c r="N718" s="30"/>
      <c r="O718" s="30"/>
      <c r="P718" s="30"/>
      <c r="Q718" s="30"/>
      <c r="R718" s="30"/>
      <c r="S718" s="30"/>
      <c r="T718" s="30"/>
      <c r="U718" s="30"/>
      <c r="V718" s="31"/>
      <c r="W718" s="29"/>
      <c r="X718" s="29"/>
      <c r="Y718" s="29"/>
      <c r="Z718" s="29"/>
      <c r="AA718" s="30"/>
      <c r="AB718" s="30"/>
      <c r="AC718" s="30"/>
      <c r="AD718" s="30"/>
      <c r="AE718" s="30"/>
      <c r="AF718" s="32"/>
      <c r="AG718" s="33"/>
      <c r="AH718" s="33"/>
      <c r="AI718" s="29"/>
      <c r="AJ718" s="32"/>
      <c r="AK718" s="32"/>
      <c r="AL718" s="29"/>
      <c r="AN718" s="34" t="str">
        <f aca="false">IF($B718="","",IF(OR(C718="",D718="",E718="",G718="",I718="",J718="",L718="",O718="",P718=""),"Champ obligatoire manquant",IF(OR(AND(N718&lt;&gt;"",N718&gt;O718),O718&gt;P718,AND(Q718&lt;&gt;"",Q718&lt;P718),AND(R718&lt;&gt;"",R718&lt;P718),AND(S718&lt;&gt;"",S718&lt;R718),AND(S718&lt;&gt;"",R718=""),AND(T718&lt;&gt;"",T718&lt;O718),AND(U718&lt;&gt;"",U718&lt;O718)),"Chronologie incohérente",IF(AND(OR(L718="Résolu",L718="Clos"),R718=""),"Date de résolution manquante",IF(AND(L718="Clos",S718=""),"Date de clôture manquante",IF(AND(K718="Oui",AC718=""),"Classification DORA manquante","OK"))))))</f>
        <v/>
      </c>
      <c r="AO718" s="35" t="str">
        <f aca="false">IF($B718="","",IF(AND(C718="Incident",L718&lt;&gt;"Annulé"),1,0))</f>
        <v/>
      </c>
      <c r="AP718" s="35" t="str">
        <f aca="false">IF($B718="","",IF(AND(C718="Quasi-incident",L718&lt;&gt;"Annulé"),1,0))</f>
        <v/>
      </c>
      <c r="AQ718" s="35" t="str">
        <f aca="false">IF($B718="","",AO718+AP718)</f>
        <v/>
      </c>
      <c r="AR718" s="36" t="str">
        <f aca="false">IF(OR($B718="",J718=""),"",IFERROR(VALUE(LEFT(J718,1)),""))</f>
        <v/>
      </c>
      <c r="AS718" s="35" t="str">
        <f aca="false">IF(OR(AO718&lt;&gt;1,G718=""),"",IFERROR(IF(INDEX(L_SrcInterne,MATCH(G718,L_Sources,0))="Oui",1,0),""))</f>
        <v/>
      </c>
      <c r="AT718" s="37" t="str">
        <f aca="false">IF(AO718&lt;&gt;1,"",IFERROR(ROUND(IF(OR(N718="",O718=""),"",IF(O718&lt;N718,"",ROUND(((NETWORKDAYS(N718,O718,JoursFeries)-1)*(HFer-HOuv)+IF(NETWORKDAYS(O718,O718,JoursFeries),MEDIAN(MOD(O718,1),HFer,HOuv),HFer)-IF(NETWORKDAYS(N718,N718,JoursFeries),MEDIAN(MOD(N718,1),HFer,HOuv),HOuv))*24,4)))/HJour,4),""))</f>
        <v/>
      </c>
      <c r="AU718" s="37" t="str">
        <f aca="false">IF(AO718&lt;&gt;1,"",IF(OR(O718="",P718=""),"",IF(P718&lt;O718,"",ROUND(((NETWORKDAYS(O718,P718,JoursFeries)-1)*(HFer-HOuv)+IF(NETWORKDAYS(P718,P718,JoursFeries),MEDIAN(MOD(P718,1),HFer,HOuv),HFer)-IF(NETWORKDAYS(O718,O718,JoursFeries),MEDIAN(MOD(O718,1),HFer,HOuv),HOuv))*24,4))))</f>
        <v/>
      </c>
      <c r="AV718" s="37" t="str">
        <f aca="false">IF(AO718&lt;&gt;1,"",IF(OR(P718="",Q718=""),"",IF(Q718&lt;P718,"",ROUND(((NETWORKDAYS(P718,Q718,JoursFeries)-1)*(HFer-HOuv)+IF(NETWORKDAYS(Q718,Q718,JoursFeries),MEDIAN(MOD(Q718,1),HFer,HOuv),HFer)-IF(NETWORKDAYS(P718,P718,JoursFeries),MEDIAN(MOD(P718,1),HFer,HOuv),HOuv))*24,4))))</f>
        <v/>
      </c>
      <c r="AW718" s="37" t="str">
        <f aca="false">IF(AO718&lt;&gt;1,"",IFERROR(ROUND(IF(OR(P718="",R718=""),"",IF(R718&lt;P718,"",ROUND(((NETWORKDAYS(P718,R718,JoursFeries)-1)*(HFer-HOuv)+IF(NETWORKDAYS(R718,R718,JoursFeries),MEDIAN(MOD(R718,1),HFer,HOuv),HFer)-IF(NETWORKDAYS(P718,P718,JoursFeries),MEDIAN(MOD(P718,1),HFer,HOuv),HOuv))*24,4)))/HJour,4),""))</f>
        <v/>
      </c>
      <c r="AX718" s="37" t="str">
        <f aca="false">IF(AO718&lt;&gt;1,"",IFERROR(ROUND(IF(OR(P718="",S718=""),"",IF(S718&lt;P718,"",ROUND(((NETWORKDAYS(P718,S718,JoursFeries)-1)*(HFer-HOuv)+IF(NETWORKDAYS(S718,S718,JoursFeries),MEDIAN(MOD(S718,1),HFer,HOuv),HFer)-IF(NETWORKDAYS(P718,P718,JoursFeries),MEDIAN(MOD(P718,1),HFer,HOuv),HOuv))*24,4)))/HJour,4),""))</f>
        <v/>
      </c>
      <c r="AY718" s="36" t="str">
        <f aca="false">IF(OR(AO718&lt;&gt;1,AR718=""),"",INDEX(SLA_PEC,AR718))</f>
        <v/>
      </c>
      <c r="AZ718" s="35" t="str">
        <f aca="false">IF(OR(AV718="",AY718=""),"",IF(AV718&lt;=AY718,1,0))</f>
        <v/>
      </c>
      <c r="BA718" s="36" t="str">
        <f aca="false">IF(OR(AO718&lt;&gt;1,AR718=""),"",INDEX(SLA_RES,AR718))</f>
        <v/>
      </c>
      <c r="BB718" s="35" t="str">
        <f aca="false">IF(OR(AW718="",BA718=""),"",IF(AW718&lt;=BA718,1,0))</f>
        <v/>
      </c>
      <c r="BC718" s="38" t="str">
        <f aca="false">IF(OR(BA718="",P718=""),"",WORKDAY(INT(P718),BA718,JoursFeries)+MOD(P718,1))</f>
        <v/>
      </c>
      <c r="BD718" s="39" t="str">
        <f aca="false">IF(AO718&lt;&gt;1,"",IF(OR(AB718&lt;&gt;"",AD718&lt;&gt;""),4,IF(U718&lt;&gt;"",3,IF(T718&lt;&gt;"",2,1))))</f>
        <v/>
      </c>
      <c r="BE718" s="39" t="str">
        <f aca="false">IF(OR(AO718&lt;&gt;1,AR718=""),"",INDEX(NIV_REQ,AR718))</f>
        <v/>
      </c>
      <c r="BF718" s="39" t="str">
        <f aca="false">IF(BE718="","",MAX(BE718,IF(OR(K718="Oui",Z718="Oui"),4,1)))</f>
        <v/>
      </c>
      <c r="BG718" s="35" t="str">
        <f aca="false">IF(OR(BF718="",BD718=""),"",IF(BD718&gt;=BF718,1,0))</f>
        <v/>
      </c>
      <c r="BH718" s="38" t="str">
        <f aca="false">IF(BE718="","",IF(BE718&lt;2,"",IF(BE718=2,IF(AND(T718="",U718=""),"",MIN(T718,U718)),IF(U718="","",U718))))</f>
        <v/>
      </c>
      <c r="BI718" s="37" t="str">
        <f aca="false">IF(BH718="","",IF(OR(O718="",BH718=""),"",IF(BH718&lt;O718,"",ROUND(((NETWORKDAYS(O718,BH718,JoursFeries)-1)*(HFer-HOuv)+IF(NETWORKDAYS(BH718,BH718,JoursFeries),MEDIAN(MOD(BH718,1),HFer,HOuv),HFer)-IF(NETWORKDAYS(O718,O718,JoursFeries),MEDIAN(MOD(O718,1),HFer,HOuv),HOuv))*24,4))))</f>
        <v/>
      </c>
      <c r="BJ718" s="35" t="str">
        <f aca="false">IF(OR(BI718="",AR718=""),"",IF(BI718&lt;=INDEX(DELAI_ESC,AR718),1,0))</f>
        <v/>
      </c>
      <c r="BK718" s="38" t="str">
        <f aca="false">IF(AO718&lt;&gt;1,"",IF(AND(T718="",U718=""),"",MIN(T718,U718)))</f>
        <v/>
      </c>
      <c r="BL718" s="37" t="str">
        <f aca="false">IF(OR(BK718="",R718=""),"",IFERROR(ROUND(IF(OR(BK718="",R718=""),"",IF(R718&lt;BK718,"",ROUND(((NETWORKDAYS(BK718,R718,JoursFeries)-1)*(HFer-HOuv)+IF(NETWORKDAYS(R718,R718,JoursFeries),MEDIAN(MOD(R718,1),HFer,HOuv),HFer)-IF(NETWORKDAYS(BK718,BK718,JoursFeries),MEDIAN(MOD(BK718,1),HFer,HOuv),HOuv))*24,4)))/HJour,4),""))</f>
        <v/>
      </c>
      <c r="BM718" s="35" t="str">
        <f aca="false">IF(OR(AO718&lt;&gt;1,R718=""),"",IF(BD718=1,1,0))</f>
        <v/>
      </c>
      <c r="BN718" s="35" t="str">
        <f aca="false">IF(AO718&lt;&gt;1,"",IF(W718="Oui",1,0))</f>
        <v/>
      </c>
      <c r="BO718" s="35" t="str">
        <f aca="false">IF(AO718&lt;&gt;1,"",IF(X718&lt;&gt;"",1,0))</f>
        <v/>
      </c>
      <c r="BP718" s="35" t="str">
        <f aca="false">IF(AO718&lt;&gt;1,"",IF(Y718="Oui",1,0))</f>
        <v/>
      </c>
      <c r="BQ718" s="35" t="str">
        <f aca="true">IF(OR(AO718&lt;&gt;1,Z718&lt;&gt;"Oui"),"",IF(AB718="",IF(AND(AA718&lt;&gt;"",NOW()&gt;AA718),0,""),IF(AA718="","",IF(AB718&lt;=AA718,1,0))))</f>
        <v/>
      </c>
      <c r="BR718" s="38" t="str">
        <f aca="false">IF(OR(AO718&lt;&gt;1,K718&lt;&gt;"Oui",O718=""),"",IF(AC718="",O718+DORA_H_DET/24,IF(AC718-O718&lt;=DORA_H_DET/24,MIN(AC718+DORA_H_CLA/24,O718+DORA_H_DET/24),AC718+DORA_H_CLA/24)))</f>
        <v/>
      </c>
      <c r="BS718" s="35" t="str">
        <f aca="true">IF(BR718="","",IF(AD718="",IF(NOW()&gt;BR718,0,""),IF(AD718&lt;=BR718,1,0)))</f>
        <v/>
      </c>
      <c r="BT718" s="35" t="str">
        <f aca="true">IF(OR(BR718="",AD718=""),"",IF(AE718="",IF(NOW()&gt;AD718+DORA_H_INT/24,0,""),IF(AE718&lt;=AD718+DORA_H_INT/24,1,0)))</f>
        <v/>
      </c>
      <c r="BU718" s="35" t="str">
        <f aca="true">IF(OR(BR718="",AE718=""),"",IF(AF718="",IF(NOW()&gt;EDATE(AE718,DORA_M_FIN)+1,0,""),IF(AF718&lt;=EDATE(AE718,DORA_M_FIN),1,0)))</f>
        <v/>
      </c>
      <c r="BV718" s="35" t="str">
        <f aca="false">IF(BR718="","",IF(COUNT(BS718:BU718)=0,"",MIN(BS718:BU718)))</f>
        <v/>
      </c>
      <c r="BW718" s="40" t="str">
        <f aca="false">IF(AQ718&lt;&gt;1,"",IF(AND(AG718="",AH718=""),"",N(AG718)-N(AH718)))</f>
        <v/>
      </c>
      <c r="BX718" s="35" t="str">
        <f aca="true">IF(OR(AQ718&lt;&gt;1,AI718&lt;&gt;"Oui",AJ718=""),"",IF(AK718="",IF(NOW()&gt;AJ718+1,0,""),IF(AK718&lt;=AJ718,1,0)))</f>
        <v/>
      </c>
    </row>
    <row r="719" customFormat="false" ht="15" hidden="false" customHeight="false" outlineLevel="0" collapsed="false">
      <c r="B719" s="29"/>
      <c r="C719" s="29"/>
      <c r="D719" s="29"/>
      <c r="E719" s="29"/>
      <c r="F719" s="29"/>
      <c r="G719" s="29"/>
      <c r="H719" s="29"/>
      <c r="I719" s="29"/>
      <c r="J719" s="29"/>
      <c r="K719" s="29"/>
      <c r="L719" s="29"/>
      <c r="M719" s="29"/>
      <c r="N719" s="30"/>
      <c r="O719" s="30"/>
      <c r="P719" s="30"/>
      <c r="Q719" s="30"/>
      <c r="R719" s="30"/>
      <c r="S719" s="30"/>
      <c r="T719" s="30"/>
      <c r="U719" s="30"/>
      <c r="V719" s="31"/>
      <c r="W719" s="29"/>
      <c r="X719" s="29"/>
      <c r="Y719" s="29"/>
      <c r="Z719" s="29"/>
      <c r="AA719" s="30"/>
      <c r="AB719" s="30"/>
      <c r="AC719" s="30"/>
      <c r="AD719" s="30"/>
      <c r="AE719" s="30"/>
      <c r="AF719" s="32"/>
      <c r="AG719" s="33"/>
      <c r="AH719" s="33"/>
      <c r="AI719" s="29"/>
      <c r="AJ719" s="32"/>
      <c r="AK719" s="32"/>
      <c r="AL719" s="29"/>
      <c r="AN719" s="34" t="str">
        <f aca="false">IF($B719="","",IF(OR(C719="",D719="",E719="",G719="",I719="",J719="",L719="",O719="",P719=""),"Champ obligatoire manquant",IF(OR(AND(N719&lt;&gt;"",N719&gt;O719),O719&gt;P719,AND(Q719&lt;&gt;"",Q719&lt;P719),AND(R719&lt;&gt;"",R719&lt;P719),AND(S719&lt;&gt;"",S719&lt;R719),AND(S719&lt;&gt;"",R719=""),AND(T719&lt;&gt;"",T719&lt;O719),AND(U719&lt;&gt;"",U719&lt;O719)),"Chronologie incohérente",IF(AND(OR(L719="Résolu",L719="Clos"),R719=""),"Date de résolution manquante",IF(AND(L719="Clos",S719=""),"Date de clôture manquante",IF(AND(K719="Oui",AC719=""),"Classification DORA manquante","OK"))))))</f>
        <v/>
      </c>
      <c r="AO719" s="35" t="str">
        <f aca="false">IF($B719="","",IF(AND(C719="Incident",L719&lt;&gt;"Annulé"),1,0))</f>
        <v/>
      </c>
      <c r="AP719" s="35" t="str">
        <f aca="false">IF($B719="","",IF(AND(C719="Quasi-incident",L719&lt;&gt;"Annulé"),1,0))</f>
        <v/>
      </c>
      <c r="AQ719" s="35" t="str">
        <f aca="false">IF($B719="","",AO719+AP719)</f>
        <v/>
      </c>
      <c r="AR719" s="36" t="str">
        <f aca="false">IF(OR($B719="",J719=""),"",IFERROR(VALUE(LEFT(J719,1)),""))</f>
        <v/>
      </c>
      <c r="AS719" s="35" t="str">
        <f aca="false">IF(OR(AO719&lt;&gt;1,G719=""),"",IFERROR(IF(INDEX(L_SrcInterne,MATCH(G719,L_Sources,0))="Oui",1,0),""))</f>
        <v/>
      </c>
      <c r="AT719" s="37" t="str">
        <f aca="false">IF(AO719&lt;&gt;1,"",IFERROR(ROUND(IF(OR(N719="",O719=""),"",IF(O719&lt;N719,"",ROUND(((NETWORKDAYS(N719,O719,JoursFeries)-1)*(HFer-HOuv)+IF(NETWORKDAYS(O719,O719,JoursFeries),MEDIAN(MOD(O719,1),HFer,HOuv),HFer)-IF(NETWORKDAYS(N719,N719,JoursFeries),MEDIAN(MOD(N719,1),HFer,HOuv),HOuv))*24,4)))/HJour,4),""))</f>
        <v/>
      </c>
      <c r="AU719" s="37" t="str">
        <f aca="false">IF(AO719&lt;&gt;1,"",IF(OR(O719="",P719=""),"",IF(P719&lt;O719,"",ROUND(((NETWORKDAYS(O719,P719,JoursFeries)-1)*(HFer-HOuv)+IF(NETWORKDAYS(P719,P719,JoursFeries),MEDIAN(MOD(P719,1),HFer,HOuv),HFer)-IF(NETWORKDAYS(O719,O719,JoursFeries),MEDIAN(MOD(O719,1),HFer,HOuv),HOuv))*24,4))))</f>
        <v/>
      </c>
      <c r="AV719" s="37" t="str">
        <f aca="false">IF(AO719&lt;&gt;1,"",IF(OR(P719="",Q719=""),"",IF(Q719&lt;P719,"",ROUND(((NETWORKDAYS(P719,Q719,JoursFeries)-1)*(HFer-HOuv)+IF(NETWORKDAYS(Q719,Q719,JoursFeries),MEDIAN(MOD(Q719,1),HFer,HOuv),HFer)-IF(NETWORKDAYS(P719,P719,JoursFeries),MEDIAN(MOD(P719,1),HFer,HOuv),HOuv))*24,4))))</f>
        <v/>
      </c>
      <c r="AW719" s="37" t="str">
        <f aca="false">IF(AO719&lt;&gt;1,"",IFERROR(ROUND(IF(OR(P719="",R719=""),"",IF(R719&lt;P719,"",ROUND(((NETWORKDAYS(P719,R719,JoursFeries)-1)*(HFer-HOuv)+IF(NETWORKDAYS(R719,R719,JoursFeries),MEDIAN(MOD(R719,1),HFer,HOuv),HFer)-IF(NETWORKDAYS(P719,P719,JoursFeries),MEDIAN(MOD(P719,1),HFer,HOuv),HOuv))*24,4)))/HJour,4),""))</f>
        <v/>
      </c>
      <c r="AX719" s="37" t="str">
        <f aca="false">IF(AO719&lt;&gt;1,"",IFERROR(ROUND(IF(OR(P719="",S719=""),"",IF(S719&lt;P719,"",ROUND(((NETWORKDAYS(P719,S719,JoursFeries)-1)*(HFer-HOuv)+IF(NETWORKDAYS(S719,S719,JoursFeries),MEDIAN(MOD(S719,1),HFer,HOuv),HFer)-IF(NETWORKDAYS(P719,P719,JoursFeries),MEDIAN(MOD(P719,1),HFer,HOuv),HOuv))*24,4)))/HJour,4),""))</f>
        <v/>
      </c>
      <c r="AY719" s="36" t="str">
        <f aca="false">IF(OR(AO719&lt;&gt;1,AR719=""),"",INDEX(SLA_PEC,AR719))</f>
        <v/>
      </c>
      <c r="AZ719" s="35" t="str">
        <f aca="false">IF(OR(AV719="",AY719=""),"",IF(AV719&lt;=AY719,1,0))</f>
        <v/>
      </c>
      <c r="BA719" s="36" t="str">
        <f aca="false">IF(OR(AO719&lt;&gt;1,AR719=""),"",INDEX(SLA_RES,AR719))</f>
        <v/>
      </c>
      <c r="BB719" s="35" t="str">
        <f aca="false">IF(OR(AW719="",BA719=""),"",IF(AW719&lt;=BA719,1,0))</f>
        <v/>
      </c>
      <c r="BC719" s="38" t="str">
        <f aca="false">IF(OR(BA719="",P719=""),"",WORKDAY(INT(P719),BA719,JoursFeries)+MOD(P719,1))</f>
        <v/>
      </c>
      <c r="BD719" s="39" t="str">
        <f aca="false">IF(AO719&lt;&gt;1,"",IF(OR(AB719&lt;&gt;"",AD719&lt;&gt;""),4,IF(U719&lt;&gt;"",3,IF(T719&lt;&gt;"",2,1))))</f>
        <v/>
      </c>
      <c r="BE719" s="39" t="str">
        <f aca="false">IF(OR(AO719&lt;&gt;1,AR719=""),"",INDEX(NIV_REQ,AR719))</f>
        <v/>
      </c>
      <c r="BF719" s="39" t="str">
        <f aca="false">IF(BE719="","",MAX(BE719,IF(OR(K719="Oui",Z719="Oui"),4,1)))</f>
        <v/>
      </c>
      <c r="BG719" s="35" t="str">
        <f aca="false">IF(OR(BF719="",BD719=""),"",IF(BD719&gt;=BF719,1,0))</f>
        <v/>
      </c>
      <c r="BH719" s="38" t="str">
        <f aca="false">IF(BE719="","",IF(BE719&lt;2,"",IF(BE719=2,IF(AND(T719="",U719=""),"",MIN(T719,U719)),IF(U719="","",U719))))</f>
        <v/>
      </c>
      <c r="BI719" s="37" t="str">
        <f aca="false">IF(BH719="","",IF(OR(O719="",BH719=""),"",IF(BH719&lt;O719,"",ROUND(((NETWORKDAYS(O719,BH719,JoursFeries)-1)*(HFer-HOuv)+IF(NETWORKDAYS(BH719,BH719,JoursFeries),MEDIAN(MOD(BH719,1),HFer,HOuv),HFer)-IF(NETWORKDAYS(O719,O719,JoursFeries),MEDIAN(MOD(O719,1),HFer,HOuv),HOuv))*24,4))))</f>
        <v/>
      </c>
      <c r="BJ719" s="35" t="str">
        <f aca="false">IF(OR(BI719="",AR719=""),"",IF(BI719&lt;=INDEX(DELAI_ESC,AR719),1,0))</f>
        <v/>
      </c>
      <c r="BK719" s="38" t="str">
        <f aca="false">IF(AO719&lt;&gt;1,"",IF(AND(T719="",U719=""),"",MIN(T719,U719)))</f>
        <v/>
      </c>
      <c r="BL719" s="37" t="str">
        <f aca="false">IF(OR(BK719="",R719=""),"",IFERROR(ROUND(IF(OR(BK719="",R719=""),"",IF(R719&lt;BK719,"",ROUND(((NETWORKDAYS(BK719,R719,JoursFeries)-1)*(HFer-HOuv)+IF(NETWORKDAYS(R719,R719,JoursFeries),MEDIAN(MOD(R719,1),HFer,HOuv),HFer)-IF(NETWORKDAYS(BK719,BK719,JoursFeries),MEDIAN(MOD(BK719,1),HFer,HOuv),HOuv))*24,4)))/HJour,4),""))</f>
        <v/>
      </c>
      <c r="BM719" s="35" t="str">
        <f aca="false">IF(OR(AO719&lt;&gt;1,R719=""),"",IF(BD719=1,1,0))</f>
        <v/>
      </c>
      <c r="BN719" s="35" t="str">
        <f aca="false">IF(AO719&lt;&gt;1,"",IF(W719="Oui",1,0))</f>
        <v/>
      </c>
      <c r="BO719" s="35" t="str">
        <f aca="false">IF(AO719&lt;&gt;1,"",IF(X719&lt;&gt;"",1,0))</f>
        <v/>
      </c>
      <c r="BP719" s="35" t="str">
        <f aca="false">IF(AO719&lt;&gt;1,"",IF(Y719="Oui",1,0))</f>
        <v/>
      </c>
      <c r="BQ719" s="35" t="str">
        <f aca="true">IF(OR(AO719&lt;&gt;1,Z719&lt;&gt;"Oui"),"",IF(AB719="",IF(AND(AA719&lt;&gt;"",NOW()&gt;AA719),0,""),IF(AA719="","",IF(AB719&lt;=AA719,1,0))))</f>
        <v/>
      </c>
      <c r="BR719" s="38" t="str">
        <f aca="false">IF(OR(AO719&lt;&gt;1,K719&lt;&gt;"Oui",O719=""),"",IF(AC719="",O719+DORA_H_DET/24,IF(AC719-O719&lt;=DORA_H_DET/24,MIN(AC719+DORA_H_CLA/24,O719+DORA_H_DET/24),AC719+DORA_H_CLA/24)))</f>
        <v/>
      </c>
      <c r="BS719" s="35" t="str">
        <f aca="true">IF(BR719="","",IF(AD719="",IF(NOW()&gt;BR719,0,""),IF(AD719&lt;=BR719,1,0)))</f>
        <v/>
      </c>
      <c r="BT719" s="35" t="str">
        <f aca="true">IF(OR(BR719="",AD719=""),"",IF(AE719="",IF(NOW()&gt;AD719+DORA_H_INT/24,0,""),IF(AE719&lt;=AD719+DORA_H_INT/24,1,0)))</f>
        <v/>
      </c>
      <c r="BU719" s="35" t="str">
        <f aca="true">IF(OR(BR719="",AE719=""),"",IF(AF719="",IF(NOW()&gt;EDATE(AE719,DORA_M_FIN)+1,0,""),IF(AF719&lt;=EDATE(AE719,DORA_M_FIN),1,0)))</f>
        <v/>
      </c>
      <c r="BV719" s="35" t="str">
        <f aca="false">IF(BR719="","",IF(COUNT(BS719:BU719)=0,"",MIN(BS719:BU719)))</f>
        <v/>
      </c>
      <c r="BW719" s="40" t="str">
        <f aca="false">IF(AQ719&lt;&gt;1,"",IF(AND(AG719="",AH719=""),"",N(AG719)-N(AH719)))</f>
        <v/>
      </c>
      <c r="BX719" s="35" t="str">
        <f aca="true">IF(OR(AQ719&lt;&gt;1,AI719&lt;&gt;"Oui",AJ719=""),"",IF(AK719="",IF(NOW()&gt;AJ719+1,0,""),IF(AK719&lt;=AJ719,1,0)))</f>
        <v/>
      </c>
    </row>
    <row r="720" customFormat="false" ht="15" hidden="false" customHeight="false" outlineLevel="0" collapsed="false">
      <c r="B720" s="29"/>
      <c r="C720" s="29"/>
      <c r="D720" s="29"/>
      <c r="E720" s="29"/>
      <c r="F720" s="29"/>
      <c r="G720" s="29"/>
      <c r="H720" s="29"/>
      <c r="I720" s="29"/>
      <c r="J720" s="29"/>
      <c r="K720" s="29"/>
      <c r="L720" s="29"/>
      <c r="M720" s="29"/>
      <c r="N720" s="30"/>
      <c r="O720" s="30"/>
      <c r="P720" s="30"/>
      <c r="Q720" s="30"/>
      <c r="R720" s="30"/>
      <c r="S720" s="30"/>
      <c r="T720" s="30"/>
      <c r="U720" s="30"/>
      <c r="V720" s="31"/>
      <c r="W720" s="29"/>
      <c r="X720" s="29"/>
      <c r="Y720" s="29"/>
      <c r="Z720" s="29"/>
      <c r="AA720" s="30"/>
      <c r="AB720" s="30"/>
      <c r="AC720" s="30"/>
      <c r="AD720" s="30"/>
      <c r="AE720" s="30"/>
      <c r="AF720" s="32"/>
      <c r="AG720" s="33"/>
      <c r="AH720" s="33"/>
      <c r="AI720" s="29"/>
      <c r="AJ720" s="32"/>
      <c r="AK720" s="32"/>
      <c r="AL720" s="29"/>
      <c r="AN720" s="34" t="str">
        <f aca="false">IF($B720="","",IF(OR(C720="",D720="",E720="",G720="",I720="",J720="",L720="",O720="",P720=""),"Champ obligatoire manquant",IF(OR(AND(N720&lt;&gt;"",N720&gt;O720),O720&gt;P720,AND(Q720&lt;&gt;"",Q720&lt;P720),AND(R720&lt;&gt;"",R720&lt;P720),AND(S720&lt;&gt;"",S720&lt;R720),AND(S720&lt;&gt;"",R720=""),AND(T720&lt;&gt;"",T720&lt;O720),AND(U720&lt;&gt;"",U720&lt;O720)),"Chronologie incohérente",IF(AND(OR(L720="Résolu",L720="Clos"),R720=""),"Date de résolution manquante",IF(AND(L720="Clos",S720=""),"Date de clôture manquante",IF(AND(K720="Oui",AC720=""),"Classification DORA manquante","OK"))))))</f>
        <v/>
      </c>
      <c r="AO720" s="35" t="str">
        <f aca="false">IF($B720="","",IF(AND(C720="Incident",L720&lt;&gt;"Annulé"),1,0))</f>
        <v/>
      </c>
      <c r="AP720" s="35" t="str">
        <f aca="false">IF($B720="","",IF(AND(C720="Quasi-incident",L720&lt;&gt;"Annulé"),1,0))</f>
        <v/>
      </c>
      <c r="AQ720" s="35" t="str">
        <f aca="false">IF($B720="","",AO720+AP720)</f>
        <v/>
      </c>
      <c r="AR720" s="36" t="str">
        <f aca="false">IF(OR($B720="",J720=""),"",IFERROR(VALUE(LEFT(J720,1)),""))</f>
        <v/>
      </c>
      <c r="AS720" s="35" t="str">
        <f aca="false">IF(OR(AO720&lt;&gt;1,G720=""),"",IFERROR(IF(INDEX(L_SrcInterne,MATCH(G720,L_Sources,0))="Oui",1,0),""))</f>
        <v/>
      </c>
      <c r="AT720" s="37" t="str">
        <f aca="false">IF(AO720&lt;&gt;1,"",IFERROR(ROUND(IF(OR(N720="",O720=""),"",IF(O720&lt;N720,"",ROUND(((NETWORKDAYS(N720,O720,JoursFeries)-1)*(HFer-HOuv)+IF(NETWORKDAYS(O720,O720,JoursFeries),MEDIAN(MOD(O720,1),HFer,HOuv),HFer)-IF(NETWORKDAYS(N720,N720,JoursFeries),MEDIAN(MOD(N720,1),HFer,HOuv),HOuv))*24,4)))/HJour,4),""))</f>
        <v/>
      </c>
      <c r="AU720" s="37" t="str">
        <f aca="false">IF(AO720&lt;&gt;1,"",IF(OR(O720="",P720=""),"",IF(P720&lt;O720,"",ROUND(((NETWORKDAYS(O720,P720,JoursFeries)-1)*(HFer-HOuv)+IF(NETWORKDAYS(P720,P720,JoursFeries),MEDIAN(MOD(P720,1),HFer,HOuv),HFer)-IF(NETWORKDAYS(O720,O720,JoursFeries),MEDIAN(MOD(O720,1),HFer,HOuv),HOuv))*24,4))))</f>
        <v/>
      </c>
      <c r="AV720" s="37" t="str">
        <f aca="false">IF(AO720&lt;&gt;1,"",IF(OR(P720="",Q720=""),"",IF(Q720&lt;P720,"",ROUND(((NETWORKDAYS(P720,Q720,JoursFeries)-1)*(HFer-HOuv)+IF(NETWORKDAYS(Q720,Q720,JoursFeries),MEDIAN(MOD(Q720,1),HFer,HOuv),HFer)-IF(NETWORKDAYS(P720,P720,JoursFeries),MEDIAN(MOD(P720,1),HFer,HOuv),HOuv))*24,4))))</f>
        <v/>
      </c>
      <c r="AW720" s="37" t="str">
        <f aca="false">IF(AO720&lt;&gt;1,"",IFERROR(ROUND(IF(OR(P720="",R720=""),"",IF(R720&lt;P720,"",ROUND(((NETWORKDAYS(P720,R720,JoursFeries)-1)*(HFer-HOuv)+IF(NETWORKDAYS(R720,R720,JoursFeries),MEDIAN(MOD(R720,1),HFer,HOuv),HFer)-IF(NETWORKDAYS(P720,P720,JoursFeries),MEDIAN(MOD(P720,1),HFer,HOuv),HOuv))*24,4)))/HJour,4),""))</f>
        <v/>
      </c>
      <c r="AX720" s="37" t="str">
        <f aca="false">IF(AO720&lt;&gt;1,"",IFERROR(ROUND(IF(OR(P720="",S720=""),"",IF(S720&lt;P720,"",ROUND(((NETWORKDAYS(P720,S720,JoursFeries)-1)*(HFer-HOuv)+IF(NETWORKDAYS(S720,S720,JoursFeries),MEDIAN(MOD(S720,1),HFer,HOuv),HFer)-IF(NETWORKDAYS(P720,P720,JoursFeries),MEDIAN(MOD(P720,1),HFer,HOuv),HOuv))*24,4)))/HJour,4),""))</f>
        <v/>
      </c>
      <c r="AY720" s="36" t="str">
        <f aca="false">IF(OR(AO720&lt;&gt;1,AR720=""),"",INDEX(SLA_PEC,AR720))</f>
        <v/>
      </c>
      <c r="AZ720" s="35" t="str">
        <f aca="false">IF(OR(AV720="",AY720=""),"",IF(AV720&lt;=AY720,1,0))</f>
        <v/>
      </c>
      <c r="BA720" s="36" t="str">
        <f aca="false">IF(OR(AO720&lt;&gt;1,AR720=""),"",INDEX(SLA_RES,AR720))</f>
        <v/>
      </c>
      <c r="BB720" s="35" t="str">
        <f aca="false">IF(OR(AW720="",BA720=""),"",IF(AW720&lt;=BA720,1,0))</f>
        <v/>
      </c>
      <c r="BC720" s="38" t="str">
        <f aca="false">IF(OR(BA720="",P720=""),"",WORKDAY(INT(P720),BA720,JoursFeries)+MOD(P720,1))</f>
        <v/>
      </c>
      <c r="BD720" s="39" t="str">
        <f aca="false">IF(AO720&lt;&gt;1,"",IF(OR(AB720&lt;&gt;"",AD720&lt;&gt;""),4,IF(U720&lt;&gt;"",3,IF(T720&lt;&gt;"",2,1))))</f>
        <v/>
      </c>
      <c r="BE720" s="39" t="str">
        <f aca="false">IF(OR(AO720&lt;&gt;1,AR720=""),"",INDEX(NIV_REQ,AR720))</f>
        <v/>
      </c>
      <c r="BF720" s="39" t="str">
        <f aca="false">IF(BE720="","",MAX(BE720,IF(OR(K720="Oui",Z720="Oui"),4,1)))</f>
        <v/>
      </c>
      <c r="BG720" s="35" t="str">
        <f aca="false">IF(OR(BF720="",BD720=""),"",IF(BD720&gt;=BF720,1,0))</f>
        <v/>
      </c>
      <c r="BH720" s="38" t="str">
        <f aca="false">IF(BE720="","",IF(BE720&lt;2,"",IF(BE720=2,IF(AND(T720="",U720=""),"",MIN(T720,U720)),IF(U720="","",U720))))</f>
        <v/>
      </c>
      <c r="BI720" s="37" t="str">
        <f aca="false">IF(BH720="","",IF(OR(O720="",BH720=""),"",IF(BH720&lt;O720,"",ROUND(((NETWORKDAYS(O720,BH720,JoursFeries)-1)*(HFer-HOuv)+IF(NETWORKDAYS(BH720,BH720,JoursFeries),MEDIAN(MOD(BH720,1),HFer,HOuv),HFer)-IF(NETWORKDAYS(O720,O720,JoursFeries),MEDIAN(MOD(O720,1),HFer,HOuv),HOuv))*24,4))))</f>
        <v/>
      </c>
      <c r="BJ720" s="35" t="str">
        <f aca="false">IF(OR(BI720="",AR720=""),"",IF(BI720&lt;=INDEX(DELAI_ESC,AR720),1,0))</f>
        <v/>
      </c>
      <c r="BK720" s="38" t="str">
        <f aca="false">IF(AO720&lt;&gt;1,"",IF(AND(T720="",U720=""),"",MIN(T720,U720)))</f>
        <v/>
      </c>
      <c r="BL720" s="37" t="str">
        <f aca="false">IF(OR(BK720="",R720=""),"",IFERROR(ROUND(IF(OR(BK720="",R720=""),"",IF(R720&lt;BK720,"",ROUND(((NETWORKDAYS(BK720,R720,JoursFeries)-1)*(HFer-HOuv)+IF(NETWORKDAYS(R720,R720,JoursFeries),MEDIAN(MOD(R720,1),HFer,HOuv),HFer)-IF(NETWORKDAYS(BK720,BK720,JoursFeries),MEDIAN(MOD(BK720,1),HFer,HOuv),HOuv))*24,4)))/HJour,4),""))</f>
        <v/>
      </c>
      <c r="BM720" s="35" t="str">
        <f aca="false">IF(OR(AO720&lt;&gt;1,R720=""),"",IF(BD720=1,1,0))</f>
        <v/>
      </c>
      <c r="BN720" s="35" t="str">
        <f aca="false">IF(AO720&lt;&gt;1,"",IF(W720="Oui",1,0))</f>
        <v/>
      </c>
      <c r="BO720" s="35" t="str">
        <f aca="false">IF(AO720&lt;&gt;1,"",IF(X720&lt;&gt;"",1,0))</f>
        <v/>
      </c>
      <c r="BP720" s="35" t="str">
        <f aca="false">IF(AO720&lt;&gt;1,"",IF(Y720="Oui",1,0))</f>
        <v/>
      </c>
      <c r="BQ720" s="35" t="str">
        <f aca="true">IF(OR(AO720&lt;&gt;1,Z720&lt;&gt;"Oui"),"",IF(AB720="",IF(AND(AA720&lt;&gt;"",NOW()&gt;AA720),0,""),IF(AA720="","",IF(AB720&lt;=AA720,1,0))))</f>
        <v/>
      </c>
      <c r="BR720" s="38" t="str">
        <f aca="false">IF(OR(AO720&lt;&gt;1,K720&lt;&gt;"Oui",O720=""),"",IF(AC720="",O720+DORA_H_DET/24,IF(AC720-O720&lt;=DORA_H_DET/24,MIN(AC720+DORA_H_CLA/24,O720+DORA_H_DET/24),AC720+DORA_H_CLA/24)))</f>
        <v/>
      </c>
      <c r="BS720" s="35" t="str">
        <f aca="true">IF(BR720="","",IF(AD720="",IF(NOW()&gt;BR720,0,""),IF(AD720&lt;=BR720,1,0)))</f>
        <v/>
      </c>
      <c r="BT720" s="35" t="str">
        <f aca="true">IF(OR(BR720="",AD720=""),"",IF(AE720="",IF(NOW()&gt;AD720+DORA_H_INT/24,0,""),IF(AE720&lt;=AD720+DORA_H_INT/24,1,0)))</f>
        <v/>
      </c>
      <c r="BU720" s="35" t="str">
        <f aca="true">IF(OR(BR720="",AE720=""),"",IF(AF720="",IF(NOW()&gt;EDATE(AE720,DORA_M_FIN)+1,0,""),IF(AF720&lt;=EDATE(AE720,DORA_M_FIN),1,0)))</f>
        <v/>
      </c>
      <c r="BV720" s="35" t="str">
        <f aca="false">IF(BR720="","",IF(COUNT(BS720:BU720)=0,"",MIN(BS720:BU720)))</f>
        <v/>
      </c>
      <c r="BW720" s="40" t="str">
        <f aca="false">IF(AQ720&lt;&gt;1,"",IF(AND(AG720="",AH720=""),"",N(AG720)-N(AH720)))</f>
        <v/>
      </c>
      <c r="BX720" s="35" t="str">
        <f aca="true">IF(OR(AQ720&lt;&gt;1,AI720&lt;&gt;"Oui",AJ720=""),"",IF(AK720="",IF(NOW()&gt;AJ720+1,0,""),IF(AK720&lt;=AJ720,1,0)))</f>
        <v/>
      </c>
    </row>
    <row r="721" customFormat="false" ht="15" hidden="false" customHeight="false" outlineLevel="0" collapsed="false">
      <c r="B721" s="29"/>
      <c r="C721" s="29"/>
      <c r="D721" s="29"/>
      <c r="E721" s="29"/>
      <c r="F721" s="29"/>
      <c r="G721" s="29"/>
      <c r="H721" s="29"/>
      <c r="I721" s="29"/>
      <c r="J721" s="29"/>
      <c r="K721" s="29"/>
      <c r="L721" s="29"/>
      <c r="M721" s="29"/>
      <c r="N721" s="30"/>
      <c r="O721" s="30"/>
      <c r="P721" s="30"/>
      <c r="Q721" s="30"/>
      <c r="R721" s="30"/>
      <c r="S721" s="30"/>
      <c r="T721" s="30"/>
      <c r="U721" s="30"/>
      <c r="V721" s="31"/>
      <c r="W721" s="29"/>
      <c r="X721" s="29"/>
      <c r="Y721" s="29"/>
      <c r="Z721" s="29"/>
      <c r="AA721" s="30"/>
      <c r="AB721" s="30"/>
      <c r="AC721" s="30"/>
      <c r="AD721" s="30"/>
      <c r="AE721" s="30"/>
      <c r="AF721" s="32"/>
      <c r="AG721" s="33"/>
      <c r="AH721" s="33"/>
      <c r="AI721" s="29"/>
      <c r="AJ721" s="32"/>
      <c r="AK721" s="32"/>
      <c r="AL721" s="29"/>
      <c r="AN721" s="34" t="str">
        <f aca="false">IF($B721="","",IF(OR(C721="",D721="",E721="",G721="",I721="",J721="",L721="",O721="",P721=""),"Champ obligatoire manquant",IF(OR(AND(N721&lt;&gt;"",N721&gt;O721),O721&gt;P721,AND(Q721&lt;&gt;"",Q721&lt;P721),AND(R721&lt;&gt;"",R721&lt;P721),AND(S721&lt;&gt;"",S721&lt;R721),AND(S721&lt;&gt;"",R721=""),AND(T721&lt;&gt;"",T721&lt;O721),AND(U721&lt;&gt;"",U721&lt;O721)),"Chronologie incohérente",IF(AND(OR(L721="Résolu",L721="Clos"),R721=""),"Date de résolution manquante",IF(AND(L721="Clos",S721=""),"Date de clôture manquante",IF(AND(K721="Oui",AC721=""),"Classification DORA manquante","OK"))))))</f>
        <v/>
      </c>
      <c r="AO721" s="35" t="str">
        <f aca="false">IF($B721="","",IF(AND(C721="Incident",L721&lt;&gt;"Annulé"),1,0))</f>
        <v/>
      </c>
      <c r="AP721" s="35" t="str">
        <f aca="false">IF($B721="","",IF(AND(C721="Quasi-incident",L721&lt;&gt;"Annulé"),1,0))</f>
        <v/>
      </c>
      <c r="AQ721" s="35" t="str">
        <f aca="false">IF($B721="","",AO721+AP721)</f>
        <v/>
      </c>
      <c r="AR721" s="36" t="str">
        <f aca="false">IF(OR($B721="",J721=""),"",IFERROR(VALUE(LEFT(J721,1)),""))</f>
        <v/>
      </c>
      <c r="AS721" s="35" t="str">
        <f aca="false">IF(OR(AO721&lt;&gt;1,G721=""),"",IFERROR(IF(INDEX(L_SrcInterne,MATCH(G721,L_Sources,0))="Oui",1,0),""))</f>
        <v/>
      </c>
      <c r="AT721" s="37" t="str">
        <f aca="false">IF(AO721&lt;&gt;1,"",IFERROR(ROUND(IF(OR(N721="",O721=""),"",IF(O721&lt;N721,"",ROUND(((NETWORKDAYS(N721,O721,JoursFeries)-1)*(HFer-HOuv)+IF(NETWORKDAYS(O721,O721,JoursFeries),MEDIAN(MOD(O721,1),HFer,HOuv),HFer)-IF(NETWORKDAYS(N721,N721,JoursFeries),MEDIAN(MOD(N721,1),HFer,HOuv),HOuv))*24,4)))/HJour,4),""))</f>
        <v/>
      </c>
      <c r="AU721" s="37" t="str">
        <f aca="false">IF(AO721&lt;&gt;1,"",IF(OR(O721="",P721=""),"",IF(P721&lt;O721,"",ROUND(((NETWORKDAYS(O721,P721,JoursFeries)-1)*(HFer-HOuv)+IF(NETWORKDAYS(P721,P721,JoursFeries),MEDIAN(MOD(P721,1),HFer,HOuv),HFer)-IF(NETWORKDAYS(O721,O721,JoursFeries),MEDIAN(MOD(O721,1),HFer,HOuv),HOuv))*24,4))))</f>
        <v/>
      </c>
      <c r="AV721" s="37" t="str">
        <f aca="false">IF(AO721&lt;&gt;1,"",IF(OR(P721="",Q721=""),"",IF(Q721&lt;P721,"",ROUND(((NETWORKDAYS(P721,Q721,JoursFeries)-1)*(HFer-HOuv)+IF(NETWORKDAYS(Q721,Q721,JoursFeries),MEDIAN(MOD(Q721,1),HFer,HOuv),HFer)-IF(NETWORKDAYS(P721,P721,JoursFeries),MEDIAN(MOD(P721,1),HFer,HOuv),HOuv))*24,4))))</f>
        <v/>
      </c>
      <c r="AW721" s="37" t="str">
        <f aca="false">IF(AO721&lt;&gt;1,"",IFERROR(ROUND(IF(OR(P721="",R721=""),"",IF(R721&lt;P721,"",ROUND(((NETWORKDAYS(P721,R721,JoursFeries)-1)*(HFer-HOuv)+IF(NETWORKDAYS(R721,R721,JoursFeries),MEDIAN(MOD(R721,1),HFer,HOuv),HFer)-IF(NETWORKDAYS(P721,P721,JoursFeries),MEDIAN(MOD(P721,1),HFer,HOuv),HOuv))*24,4)))/HJour,4),""))</f>
        <v/>
      </c>
      <c r="AX721" s="37" t="str">
        <f aca="false">IF(AO721&lt;&gt;1,"",IFERROR(ROUND(IF(OR(P721="",S721=""),"",IF(S721&lt;P721,"",ROUND(((NETWORKDAYS(P721,S721,JoursFeries)-1)*(HFer-HOuv)+IF(NETWORKDAYS(S721,S721,JoursFeries),MEDIAN(MOD(S721,1),HFer,HOuv),HFer)-IF(NETWORKDAYS(P721,P721,JoursFeries),MEDIAN(MOD(P721,1),HFer,HOuv),HOuv))*24,4)))/HJour,4),""))</f>
        <v/>
      </c>
      <c r="AY721" s="36" t="str">
        <f aca="false">IF(OR(AO721&lt;&gt;1,AR721=""),"",INDEX(SLA_PEC,AR721))</f>
        <v/>
      </c>
      <c r="AZ721" s="35" t="str">
        <f aca="false">IF(OR(AV721="",AY721=""),"",IF(AV721&lt;=AY721,1,0))</f>
        <v/>
      </c>
      <c r="BA721" s="36" t="str">
        <f aca="false">IF(OR(AO721&lt;&gt;1,AR721=""),"",INDEX(SLA_RES,AR721))</f>
        <v/>
      </c>
      <c r="BB721" s="35" t="str">
        <f aca="false">IF(OR(AW721="",BA721=""),"",IF(AW721&lt;=BA721,1,0))</f>
        <v/>
      </c>
      <c r="BC721" s="38" t="str">
        <f aca="false">IF(OR(BA721="",P721=""),"",WORKDAY(INT(P721),BA721,JoursFeries)+MOD(P721,1))</f>
        <v/>
      </c>
      <c r="BD721" s="39" t="str">
        <f aca="false">IF(AO721&lt;&gt;1,"",IF(OR(AB721&lt;&gt;"",AD721&lt;&gt;""),4,IF(U721&lt;&gt;"",3,IF(T721&lt;&gt;"",2,1))))</f>
        <v/>
      </c>
      <c r="BE721" s="39" t="str">
        <f aca="false">IF(OR(AO721&lt;&gt;1,AR721=""),"",INDEX(NIV_REQ,AR721))</f>
        <v/>
      </c>
      <c r="BF721" s="39" t="str">
        <f aca="false">IF(BE721="","",MAX(BE721,IF(OR(K721="Oui",Z721="Oui"),4,1)))</f>
        <v/>
      </c>
      <c r="BG721" s="35" t="str">
        <f aca="false">IF(OR(BF721="",BD721=""),"",IF(BD721&gt;=BF721,1,0))</f>
        <v/>
      </c>
      <c r="BH721" s="38" t="str">
        <f aca="false">IF(BE721="","",IF(BE721&lt;2,"",IF(BE721=2,IF(AND(T721="",U721=""),"",MIN(T721,U721)),IF(U721="","",U721))))</f>
        <v/>
      </c>
      <c r="BI721" s="37" t="str">
        <f aca="false">IF(BH721="","",IF(OR(O721="",BH721=""),"",IF(BH721&lt;O721,"",ROUND(((NETWORKDAYS(O721,BH721,JoursFeries)-1)*(HFer-HOuv)+IF(NETWORKDAYS(BH721,BH721,JoursFeries),MEDIAN(MOD(BH721,1),HFer,HOuv),HFer)-IF(NETWORKDAYS(O721,O721,JoursFeries),MEDIAN(MOD(O721,1),HFer,HOuv),HOuv))*24,4))))</f>
        <v/>
      </c>
      <c r="BJ721" s="35" t="str">
        <f aca="false">IF(OR(BI721="",AR721=""),"",IF(BI721&lt;=INDEX(DELAI_ESC,AR721),1,0))</f>
        <v/>
      </c>
      <c r="BK721" s="38" t="str">
        <f aca="false">IF(AO721&lt;&gt;1,"",IF(AND(T721="",U721=""),"",MIN(T721,U721)))</f>
        <v/>
      </c>
      <c r="BL721" s="37" t="str">
        <f aca="false">IF(OR(BK721="",R721=""),"",IFERROR(ROUND(IF(OR(BK721="",R721=""),"",IF(R721&lt;BK721,"",ROUND(((NETWORKDAYS(BK721,R721,JoursFeries)-1)*(HFer-HOuv)+IF(NETWORKDAYS(R721,R721,JoursFeries),MEDIAN(MOD(R721,1),HFer,HOuv),HFer)-IF(NETWORKDAYS(BK721,BK721,JoursFeries),MEDIAN(MOD(BK721,1),HFer,HOuv),HOuv))*24,4)))/HJour,4),""))</f>
        <v/>
      </c>
      <c r="BM721" s="35" t="str">
        <f aca="false">IF(OR(AO721&lt;&gt;1,R721=""),"",IF(BD721=1,1,0))</f>
        <v/>
      </c>
      <c r="BN721" s="35" t="str">
        <f aca="false">IF(AO721&lt;&gt;1,"",IF(W721="Oui",1,0))</f>
        <v/>
      </c>
      <c r="BO721" s="35" t="str">
        <f aca="false">IF(AO721&lt;&gt;1,"",IF(X721&lt;&gt;"",1,0))</f>
        <v/>
      </c>
      <c r="BP721" s="35" t="str">
        <f aca="false">IF(AO721&lt;&gt;1,"",IF(Y721="Oui",1,0))</f>
        <v/>
      </c>
      <c r="BQ721" s="35" t="str">
        <f aca="true">IF(OR(AO721&lt;&gt;1,Z721&lt;&gt;"Oui"),"",IF(AB721="",IF(AND(AA721&lt;&gt;"",NOW()&gt;AA721),0,""),IF(AA721="","",IF(AB721&lt;=AA721,1,0))))</f>
        <v/>
      </c>
      <c r="BR721" s="38" t="str">
        <f aca="false">IF(OR(AO721&lt;&gt;1,K721&lt;&gt;"Oui",O721=""),"",IF(AC721="",O721+DORA_H_DET/24,IF(AC721-O721&lt;=DORA_H_DET/24,MIN(AC721+DORA_H_CLA/24,O721+DORA_H_DET/24),AC721+DORA_H_CLA/24)))</f>
        <v/>
      </c>
      <c r="BS721" s="35" t="str">
        <f aca="true">IF(BR721="","",IF(AD721="",IF(NOW()&gt;BR721,0,""),IF(AD721&lt;=BR721,1,0)))</f>
        <v/>
      </c>
      <c r="BT721" s="35" t="str">
        <f aca="true">IF(OR(BR721="",AD721=""),"",IF(AE721="",IF(NOW()&gt;AD721+DORA_H_INT/24,0,""),IF(AE721&lt;=AD721+DORA_H_INT/24,1,0)))</f>
        <v/>
      </c>
      <c r="BU721" s="35" t="str">
        <f aca="true">IF(OR(BR721="",AE721=""),"",IF(AF721="",IF(NOW()&gt;EDATE(AE721,DORA_M_FIN)+1,0,""),IF(AF721&lt;=EDATE(AE721,DORA_M_FIN),1,0)))</f>
        <v/>
      </c>
      <c r="BV721" s="35" t="str">
        <f aca="false">IF(BR721="","",IF(COUNT(BS721:BU721)=0,"",MIN(BS721:BU721)))</f>
        <v/>
      </c>
      <c r="BW721" s="40" t="str">
        <f aca="false">IF(AQ721&lt;&gt;1,"",IF(AND(AG721="",AH721=""),"",N(AG721)-N(AH721)))</f>
        <v/>
      </c>
      <c r="BX721" s="35" t="str">
        <f aca="true">IF(OR(AQ721&lt;&gt;1,AI721&lt;&gt;"Oui",AJ721=""),"",IF(AK721="",IF(NOW()&gt;AJ721+1,0,""),IF(AK721&lt;=AJ721,1,0)))</f>
        <v/>
      </c>
    </row>
    <row r="722" customFormat="false" ht="15" hidden="false" customHeight="false" outlineLevel="0" collapsed="false">
      <c r="B722" s="29"/>
      <c r="C722" s="29"/>
      <c r="D722" s="29"/>
      <c r="E722" s="29"/>
      <c r="F722" s="29"/>
      <c r="G722" s="29"/>
      <c r="H722" s="29"/>
      <c r="I722" s="29"/>
      <c r="J722" s="29"/>
      <c r="K722" s="29"/>
      <c r="L722" s="29"/>
      <c r="M722" s="29"/>
      <c r="N722" s="30"/>
      <c r="O722" s="30"/>
      <c r="P722" s="30"/>
      <c r="Q722" s="30"/>
      <c r="R722" s="30"/>
      <c r="S722" s="30"/>
      <c r="T722" s="30"/>
      <c r="U722" s="30"/>
      <c r="V722" s="31"/>
      <c r="W722" s="29"/>
      <c r="X722" s="29"/>
      <c r="Y722" s="29"/>
      <c r="Z722" s="29"/>
      <c r="AA722" s="30"/>
      <c r="AB722" s="30"/>
      <c r="AC722" s="30"/>
      <c r="AD722" s="30"/>
      <c r="AE722" s="30"/>
      <c r="AF722" s="32"/>
      <c r="AG722" s="33"/>
      <c r="AH722" s="33"/>
      <c r="AI722" s="29"/>
      <c r="AJ722" s="32"/>
      <c r="AK722" s="32"/>
      <c r="AL722" s="29"/>
      <c r="AN722" s="34" t="str">
        <f aca="false">IF($B722="","",IF(OR(C722="",D722="",E722="",G722="",I722="",J722="",L722="",O722="",P722=""),"Champ obligatoire manquant",IF(OR(AND(N722&lt;&gt;"",N722&gt;O722),O722&gt;P722,AND(Q722&lt;&gt;"",Q722&lt;P722),AND(R722&lt;&gt;"",R722&lt;P722),AND(S722&lt;&gt;"",S722&lt;R722),AND(S722&lt;&gt;"",R722=""),AND(T722&lt;&gt;"",T722&lt;O722),AND(U722&lt;&gt;"",U722&lt;O722)),"Chronologie incohérente",IF(AND(OR(L722="Résolu",L722="Clos"),R722=""),"Date de résolution manquante",IF(AND(L722="Clos",S722=""),"Date de clôture manquante",IF(AND(K722="Oui",AC722=""),"Classification DORA manquante","OK"))))))</f>
        <v/>
      </c>
      <c r="AO722" s="35" t="str">
        <f aca="false">IF($B722="","",IF(AND(C722="Incident",L722&lt;&gt;"Annulé"),1,0))</f>
        <v/>
      </c>
      <c r="AP722" s="35" t="str">
        <f aca="false">IF($B722="","",IF(AND(C722="Quasi-incident",L722&lt;&gt;"Annulé"),1,0))</f>
        <v/>
      </c>
      <c r="AQ722" s="35" t="str">
        <f aca="false">IF($B722="","",AO722+AP722)</f>
        <v/>
      </c>
      <c r="AR722" s="36" t="str">
        <f aca="false">IF(OR($B722="",J722=""),"",IFERROR(VALUE(LEFT(J722,1)),""))</f>
        <v/>
      </c>
      <c r="AS722" s="35" t="str">
        <f aca="false">IF(OR(AO722&lt;&gt;1,G722=""),"",IFERROR(IF(INDEX(L_SrcInterne,MATCH(G722,L_Sources,0))="Oui",1,0),""))</f>
        <v/>
      </c>
      <c r="AT722" s="37" t="str">
        <f aca="false">IF(AO722&lt;&gt;1,"",IFERROR(ROUND(IF(OR(N722="",O722=""),"",IF(O722&lt;N722,"",ROUND(((NETWORKDAYS(N722,O722,JoursFeries)-1)*(HFer-HOuv)+IF(NETWORKDAYS(O722,O722,JoursFeries),MEDIAN(MOD(O722,1),HFer,HOuv),HFer)-IF(NETWORKDAYS(N722,N722,JoursFeries),MEDIAN(MOD(N722,1),HFer,HOuv),HOuv))*24,4)))/HJour,4),""))</f>
        <v/>
      </c>
      <c r="AU722" s="37" t="str">
        <f aca="false">IF(AO722&lt;&gt;1,"",IF(OR(O722="",P722=""),"",IF(P722&lt;O722,"",ROUND(((NETWORKDAYS(O722,P722,JoursFeries)-1)*(HFer-HOuv)+IF(NETWORKDAYS(P722,P722,JoursFeries),MEDIAN(MOD(P722,1),HFer,HOuv),HFer)-IF(NETWORKDAYS(O722,O722,JoursFeries),MEDIAN(MOD(O722,1),HFer,HOuv),HOuv))*24,4))))</f>
        <v/>
      </c>
      <c r="AV722" s="37" t="str">
        <f aca="false">IF(AO722&lt;&gt;1,"",IF(OR(P722="",Q722=""),"",IF(Q722&lt;P722,"",ROUND(((NETWORKDAYS(P722,Q722,JoursFeries)-1)*(HFer-HOuv)+IF(NETWORKDAYS(Q722,Q722,JoursFeries),MEDIAN(MOD(Q722,1),HFer,HOuv),HFer)-IF(NETWORKDAYS(P722,P722,JoursFeries),MEDIAN(MOD(P722,1),HFer,HOuv),HOuv))*24,4))))</f>
        <v/>
      </c>
      <c r="AW722" s="37" t="str">
        <f aca="false">IF(AO722&lt;&gt;1,"",IFERROR(ROUND(IF(OR(P722="",R722=""),"",IF(R722&lt;P722,"",ROUND(((NETWORKDAYS(P722,R722,JoursFeries)-1)*(HFer-HOuv)+IF(NETWORKDAYS(R722,R722,JoursFeries),MEDIAN(MOD(R722,1),HFer,HOuv),HFer)-IF(NETWORKDAYS(P722,P722,JoursFeries),MEDIAN(MOD(P722,1),HFer,HOuv),HOuv))*24,4)))/HJour,4),""))</f>
        <v/>
      </c>
      <c r="AX722" s="37" t="str">
        <f aca="false">IF(AO722&lt;&gt;1,"",IFERROR(ROUND(IF(OR(P722="",S722=""),"",IF(S722&lt;P722,"",ROUND(((NETWORKDAYS(P722,S722,JoursFeries)-1)*(HFer-HOuv)+IF(NETWORKDAYS(S722,S722,JoursFeries),MEDIAN(MOD(S722,1),HFer,HOuv),HFer)-IF(NETWORKDAYS(P722,P722,JoursFeries),MEDIAN(MOD(P722,1),HFer,HOuv),HOuv))*24,4)))/HJour,4),""))</f>
        <v/>
      </c>
      <c r="AY722" s="36" t="str">
        <f aca="false">IF(OR(AO722&lt;&gt;1,AR722=""),"",INDEX(SLA_PEC,AR722))</f>
        <v/>
      </c>
      <c r="AZ722" s="35" t="str">
        <f aca="false">IF(OR(AV722="",AY722=""),"",IF(AV722&lt;=AY722,1,0))</f>
        <v/>
      </c>
      <c r="BA722" s="36" t="str">
        <f aca="false">IF(OR(AO722&lt;&gt;1,AR722=""),"",INDEX(SLA_RES,AR722))</f>
        <v/>
      </c>
      <c r="BB722" s="35" t="str">
        <f aca="false">IF(OR(AW722="",BA722=""),"",IF(AW722&lt;=BA722,1,0))</f>
        <v/>
      </c>
      <c r="BC722" s="38" t="str">
        <f aca="false">IF(OR(BA722="",P722=""),"",WORKDAY(INT(P722),BA722,JoursFeries)+MOD(P722,1))</f>
        <v/>
      </c>
      <c r="BD722" s="39" t="str">
        <f aca="false">IF(AO722&lt;&gt;1,"",IF(OR(AB722&lt;&gt;"",AD722&lt;&gt;""),4,IF(U722&lt;&gt;"",3,IF(T722&lt;&gt;"",2,1))))</f>
        <v/>
      </c>
      <c r="BE722" s="39" t="str">
        <f aca="false">IF(OR(AO722&lt;&gt;1,AR722=""),"",INDEX(NIV_REQ,AR722))</f>
        <v/>
      </c>
      <c r="BF722" s="39" t="str">
        <f aca="false">IF(BE722="","",MAX(BE722,IF(OR(K722="Oui",Z722="Oui"),4,1)))</f>
        <v/>
      </c>
      <c r="BG722" s="35" t="str">
        <f aca="false">IF(OR(BF722="",BD722=""),"",IF(BD722&gt;=BF722,1,0))</f>
        <v/>
      </c>
      <c r="BH722" s="38" t="str">
        <f aca="false">IF(BE722="","",IF(BE722&lt;2,"",IF(BE722=2,IF(AND(T722="",U722=""),"",MIN(T722,U722)),IF(U722="","",U722))))</f>
        <v/>
      </c>
      <c r="BI722" s="37" t="str">
        <f aca="false">IF(BH722="","",IF(OR(O722="",BH722=""),"",IF(BH722&lt;O722,"",ROUND(((NETWORKDAYS(O722,BH722,JoursFeries)-1)*(HFer-HOuv)+IF(NETWORKDAYS(BH722,BH722,JoursFeries),MEDIAN(MOD(BH722,1),HFer,HOuv),HFer)-IF(NETWORKDAYS(O722,O722,JoursFeries),MEDIAN(MOD(O722,1),HFer,HOuv),HOuv))*24,4))))</f>
        <v/>
      </c>
      <c r="BJ722" s="35" t="str">
        <f aca="false">IF(OR(BI722="",AR722=""),"",IF(BI722&lt;=INDEX(DELAI_ESC,AR722),1,0))</f>
        <v/>
      </c>
      <c r="BK722" s="38" t="str">
        <f aca="false">IF(AO722&lt;&gt;1,"",IF(AND(T722="",U722=""),"",MIN(T722,U722)))</f>
        <v/>
      </c>
      <c r="BL722" s="37" t="str">
        <f aca="false">IF(OR(BK722="",R722=""),"",IFERROR(ROUND(IF(OR(BK722="",R722=""),"",IF(R722&lt;BK722,"",ROUND(((NETWORKDAYS(BK722,R722,JoursFeries)-1)*(HFer-HOuv)+IF(NETWORKDAYS(R722,R722,JoursFeries),MEDIAN(MOD(R722,1),HFer,HOuv),HFer)-IF(NETWORKDAYS(BK722,BK722,JoursFeries),MEDIAN(MOD(BK722,1),HFer,HOuv),HOuv))*24,4)))/HJour,4),""))</f>
        <v/>
      </c>
      <c r="BM722" s="35" t="str">
        <f aca="false">IF(OR(AO722&lt;&gt;1,R722=""),"",IF(BD722=1,1,0))</f>
        <v/>
      </c>
      <c r="BN722" s="35" t="str">
        <f aca="false">IF(AO722&lt;&gt;1,"",IF(W722="Oui",1,0))</f>
        <v/>
      </c>
      <c r="BO722" s="35" t="str">
        <f aca="false">IF(AO722&lt;&gt;1,"",IF(X722&lt;&gt;"",1,0))</f>
        <v/>
      </c>
      <c r="BP722" s="35" t="str">
        <f aca="false">IF(AO722&lt;&gt;1,"",IF(Y722="Oui",1,0))</f>
        <v/>
      </c>
      <c r="BQ722" s="35" t="str">
        <f aca="true">IF(OR(AO722&lt;&gt;1,Z722&lt;&gt;"Oui"),"",IF(AB722="",IF(AND(AA722&lt;&gt;"",NOW()&gt;AA722),0,""),IF(AA722="","",IF(AB722&lt;=AA722,1,0))))</f>
        <v/>
      </c>
      <c r="BR722" s="38" t="str">
        <f aca="false">IF(OR(AO722&lt;&gt;1,K722&lt;&gt;"Oui",O722=""),"",IF(AC722="",O722+DORA_H_DET/24,IF(AC722-O722&lt;=DORA_H_DET/24,MIN(AC722+DORA_H_CLA/24,O722+DORA_H_DET/24),AC722+DORA_H_CLA/24)))</f>
        <v/>
      </c>
      <c r="BS722" s="35" t="str">
        <f aca="true">IF(BR722="","",IF(AD722="",IF(NOW()&gt;BR722,0,""),IF(AD722&lt;=BR722,1,0)))</f>
        <v/>
      </c>
      <c r="BT722" s="35" t="str">
        <f aca="true">IF(OR(BR722="",AD722=""),"",IF(AE722="",IF(NOW()&gt;AD722+DORA_H_INT/24,0,""),IF(AE722&lt;=AD722+DORA_H_INT/24,1,0)))</f>
        <v/>
      </c>
      <c r="BU722" s="35" t="str">
        <f aca="true">IF(OR(BR722="",AE722=""),"",IF(AF722="",IF(NOW()&gt;EDATE(AE722,DORA_M_FIN)+1,0,""),IF(AF722&lt;=EDATE(AE722,DORA_M_FIN),1,0)))</f>
        <v/>
      </c>
      <c r="BV722" s="35" t="str">
        <f aca="false">IF(BR722="","",IF(COUNT(BS722:BU722)=0,"",MIN(BS722:BU722)))</f>
        <v/>
      </c>
      <c r="BW722" s="40" t="str">
        <f aca="false">IF(AQ722&lt;&gt;1,"",IF(AND(AG722="",AH722=""),"",N(AG722)-N(AH722)))</f>
        <v/>
      </c>
      <c r="BX722" s="35" t="str">
        <f aca="true">IF(OR(AQ722&lt;&gt;1,AI722&lt;&gt;"Oui",AJ722=""),"",IF(AK722="",IF(NOW()&gt;AJ722+1,0,""),IF(AK722&lt;=AJ722,1,0)))</f>
        <v/>
      </c>
    </row>
    <row r="723" customFormat="false" ht="15" hidden="false" customHeight="false" outlineLevel="0" collapsed="false">
      <c r="B723" s="29"/>
      <c r="C723" s="29"/>
      <c r="D723" s="29"/>
      <c r="E723" s="29"/>
      <c r="F723" s="29"/>
      <c r="G723" s="29"/>
      <c r="H723" s="29"/>
      <c r="I723" s="29"/>
      <c r="J723" s="29"/>
      <c r="K723" s="29"/>
      <c r="L723" s="29"/>
      <c r="M723" s="29"/>
      <c r="N723" s="30"/>
      <c r="O723" s="30"/>
      <c r="P723" s="30"/>
      <c r="Q723" s="30"/>
      <c r="R723" s="30"/>
      <c r="S723" s="30"/>
      <c r="T723" s="30"/>
      <c r="U723" s="30"/>
      <c r="V723" s="31"/>
      <c r="W723" s="29"/>
      <c r="X723" s="29"/>
      <c r="Y723" s="29"/>
      <c r="Z723" s="29"/>
      <c r="AA723" s="30"/>
      <c r="AB723" s="30"/>
      <c r="AC723" s="30"/>
      <c r="AD723" s="30"/>
      <c r="AE723" s="30"/>
      <c r="AF723" s="32"/>
      <c r="AG723" s="33"/>
      <c r="AH723" s="33"/>
      <c r="AI723" s="29"/>
      <c r="AJ723" s="32"/>
      <c r="AK723" s="32"/>
      <c r="AL723" s="29"/>
      <c r="AN723" s="34" t="str">
        <f aca="false">IF($B723="","",IF(OR(C723="",D723="",E723="",G723="",I723="",J723="",L723="",O723="",P723=""),"Champ obligatoire manquant",IF(OR(AND(N723&lt;&gt;"",N723&gt;O723),O723&gt;P723,AND(Q723&lt;&gt;"",Q723&lt;P723),AND(R723&lt;&gt;"",R723&lt;P723),AND(S723&lt;&gt;"",S723&lt;R723),AND(S723&lt;&gt;"",R723=""),AND(T723&lt;&gt;"",T723&lt;O723),AND(U723&lt;&gt;"",U723&lt;O723)),"Chronologie incohérente",IF(AND(OR(L723="Résolu",L723="Clos"),R723=""),"Date de résolution manquante",IF(AND(L723="Clos",S723=""),"Date de clôture manquante",IF(AND(K723="Oui",AC723=""),"Classification DORA manquante","OK"))))))</f>
        <v/>
      </c>
      <c r="AO723" s="35" t="str">
        <f aca="false">IF($B723="","",IF(AND(C723="Incident",L723&lt;&gt;"Annulé"),1,0))</f>
        <v/>
      </c>
      <c r="AP723" s="35" t="str">
        <f aca="false">IF($B723="","",IF(AND(C723="Quasi-incident",L723&lt;&gt;"Annulé"),1,0))</f>
        <v/>
      </c>
      <c r="AQ723" s="35" t="str">
        <f aca="false">IF($B723="","",AO723+AP723)</f>
        <v/>
      </c>
      <c r="AR723" s="36" t="str">
        <f aca="false">IF(OR($B723="",J723=""),"",IFERROR(VALUE(LEFT(J723,1)),""))</f>
        <v/>
      </c>
      <c r="AS723" s="35" t="str">
        <f aca="false">IF(OR(AO723&lt;&gt;1,G723=""),"",IFERROR(IF(INDEX(L_SrcInterne,MATCH(G723,L_Sources,0))="Oui",1,0),""))</f>
        <v/>
      </c>
      <c r="AT723" s="37" t="str">
        <f aca="false">IF(AO723&lt;&gt;1,"",IFERROR(ROUND(IF(OR(N723="",O723=""),"",IF(O723&lt;N723,"",ROUND(((NETWORKDAYS(N723,O723,JoursFeries)-1)*(HFer-HOuv)+IF(NETWORKDAYS(O723,O723,JoursFeries),MEDIAN(MOD(O723,1),HFer,HOuv),HFer)-IF(NETWORKDAYS(N723,N723,JoursFeries),MEDIAN(MOD(N723,1),HFer,HOuv),HOuv))*24,4)))/HJour,4),""))</f>
        <v/>
      </c>
      <c r="AU723" s="37" t="str">
        <f aca="false">IF(AO723&lt;&gt;1,"",IF(OR(O723="",P723=""),"",IF(P723&lt;O723,"",ROUND(((NETWORKDAYS(O723,P723,JoursFeries)-1)*(HFer-HOuv)+IF(NETWORKDAYS(P723,P723,JoursFeries),MEDIAN(MOD(P723,1),HFer,HOuv),HFer)-IF(NETWORKDAYS(O723,O723,JoursFeries),MEDIAN(MOD(O723,1),HFer,HOuv),HOuv))*24,4))))</f>
        <v/>
      </c>
      <c r="AV723" s="37" t="str">
        <f aca="false">IF(AO723&lt;&gt;1,"",IF(OR(P723="",Q723=""),"",IF(Q723&lt;P723,"",ROUND(((NETWORKDAYS(P723,Q723,JoursFeries)-1)*(HFer-HOuv)+IF(NETWORKDAYS(Q723,Q723,JoursFeries),MEDIAN(MOD(Q723,1),HFer,HOuv),HFer)-IF(NETWORKDAYS(P723,P723,JoursFeries),MEDIAN(MOD(P723,1),HFer,HOuv),HOuv))*24,4))))</f>
        <v/>
      </c>
      <c r="AW723" s="37" t="str">
        <f aca="false">IF(AO723&lt;&gt;1,"",IFERROR(ROUND(IF(OR(P723="",R723=""),"",IF(R723&lt;P723,"",ROUND(((NETWORKDAYS(P723,R723,JoursFeries)-1)*(HFer-HOuv)+IF(NETWORKDAYS(R723,R723,JoursFeries),MEDIAN(MOD(R723,1),HFer,HOuv),HFer)-IF(NETWORKDAYS(P723,P723,JoursFeries),MEDIAN(MOD(P723,1),HFer,HOuv),HOuv))*24,4)))/HJour,4),""))</f>
        <v/>
      </c>
      <c r="AX723" s="37" t="str">
        <f aca="false">IF(AO723&lt;&gt;1,"",IFERROR(ROUND(IF(OR(P723="",S723=""),"",IF(S723&lt;P723,"",ROUND(((NETWORKDAYS(P723,S723,JoursFeries)-1)*(HFer-HOuv)+IF(NETWORKDAYS(S723,S723,JoursFeries),MEDIAN(MOD(S723,1),HFer,HOuv),HFer)-IF(NETWORKDAYS(P723,P723,JoursFeries),MEDIAN(MOD(P723,1),HFer,HOuv),HOuv))*24,4)))/HJour,4),""))</f>
        <v/>
      </c>
      <c r="AY723" s="36" t="str">
        <f aca="false">IF(OR(AO723&lt;&gt;1,AR723=""),"",INDEX(SLA_PEC,AR723))</f>
        <v/>
      </c>
      <c r="AZ723" s="35" t="str">
        <f aca="false">IF(OR(AV723="",AY723=""),"",IF(AV723&lt;=AY723,1,0))</f>
        <v/>
      </c>
      <c r="BA723" s="36" t="str">
        <f aca="false">IF(OR(AO723&lt;&gt;1,AR723=""),"",INDEX(SLA_RES,AR723))</f>
        <v/>
      </c>
      <c r="BB723" s="35" t="str">
        <f aca="false">IF(OR(AW723="",BA723=""),"",IF(AW723&lt;=BA723,1,0))</f>
        <v/>
      </c>
      <c r="BC723" s="38" t="str">
        <f aca="false">IF(OR(BA723="",P723=""),"",WORKDAY(INT(P723),BA723,JoursFeries)+MOD(P723,1))</f>
        <v/>
      </c>
      <c r="BD723" s="39" t="str">
        <f aca="false">IF(AO723&lt;&gt;1,"",IF(OR(AB723&lt;&gt;"",AD723&lt;&gt;""),4,IF(U723&lt;&gt;"",3,IF(T723&lt;&gt;"",2,1))))</f>
        <v/>
      </c>
      <c r="BE723" s="39" t="str">
        <f aca="false">IF(OR(AO723&lt;&gt;1,AR723=""),"",INDEX(NIV_REQ,AR723))</f>
        <v/>
      </c>
      <c r="BF723" s="39" t="str">
        <f aca="false">IF(BE723="","",MAX(BE723,IF(OR(K723="Oui",Z723="Oui"),4,1)))</f>
        <v/>
      </c>
      <c r="BG723" s="35" t="str">
        <f aca="false">IF(OR(BF723="",BD723=""),"",IF(BD723&gt;=BF723,1,0))</f>
        <v/>
      </c>
      <c r="BH723" s="38" t="str">
        <f aca="false">IF(BE723="","",IF(BE723&lt;2,"",IF(BE723=2,IF(AND(T723="",U723=""),"",MIN(T723,U723)),IF(U723="","",U723))))</f>
        <v/>
      </c>
      <c r="BI723" s="37" t="str">
        <f aca="false">IF(BH723="","",IF(OR(O723="",BH723=""),"",IF(BH723&lt;O723,"",ROUND(((NETWORKDAYS(O723,BH723,JoursFeries)-1)*(HFer-HOuv)+IF(NETWORKDAYS(BH723,BH723,JoursFeries),MEDIAN(MOD(BH723,1),HFer,HOuv),HFer)-IF(NETWORKDAYS(O723,O723,JoursFeries),MEDIAN(MOD(O723,1),HFer,HOuv),HOuv))*24,4))))</f>
        <v/>
      </c>
      <c r="BJ723" s="35" t="str">
        <f aca="false">IF(OR(BI723="",AR723=""),"",IF(BI723&lt;=INDEX(DELAI_ESC,AR723),1,0))</f>
        <v/>
      </c>
      <c r="BK723" s="38" t="str">
        <f aca="false">IF(AO723&lt;&gt;1,"",IF(AND(T723="",U723=""),"",MIN(T723,U723)))</f>
        <v/>
      </c>
      <c r="BL723" s="37" t="str">
        <f aca="false">IF(OR(BK723="",R723=""),"",IFERROR(ROUND(IF(OR(BK723="",R723=""),"",IF(R723&lt;BK723,"",ROUND(((NETWORKDAYS(BK723,R723,JoursFeries)-1)*(HFer-HOuv)+IF(NETWORKDAYS(R723,R723,JoursFeries),MEDIAN(MOD(R723,1),HFer,HOuv),HFer)-IF(NETWORKDAYS(BK723,BK723,JoursFeries),MEDIAN(MOD(BK723,1),HFer,HOuv),HOuv))*24,4)))/HJour,4),""))</f>
        <v/>
      </c>
      <c r="BM723" s="35" t="str">
        <f aca="false">IF(OR(AO723&lt;&gt;1,R723=""),"",IF(BD723=1,1,0))</f>
        <v/>
      </c>
      <c r="BN723" s="35" t="str">
        <f aca="false">IF(AO723&lt;&gt;1,"",IF(W723="Oui",1,0))</f>
        <v/>
      </c>
      <c r="BO723" s="35" t="str">
        <f aca="false">IF(AO723&lt;&gt;1,"",IF(X723&lt;&gt;"",1,0))</f>
        <v/>
      </c>
      <c r="BP723" s="35" t="str">
        <f aca="false">IF(AO723&lt;&gt;1,"",IF(Y723="Oui",1,0))</f>
        <v/>
      </c>
      <c r="BQ723" s="35" t="str">
        <f aca="true">IF(OR(AO723&lt;&gt;1,Z723&lt;&gt;"Oui"),"",IF(AB723="",IF(AND(AA723&lt;&gt;"",NOW()&gt;AA723),0,""),IF(AA723="","",IF(AB723&lt;=AA723,1,0))))</f>
        <v/>
      </c>
      <c r="BR723" s="38" t="str">
        <f aca="false">IF(OR(AO723&lt;&gt;1,K723&lt;&gt;"Oui",O723=""),"",IF(AC723="",O723+DORA_H_DET/24,IF(AC723-O723&lt;=DORA_H_DET/24,MIN(AC723+DORA_H_CLA/24,O723+DORA_H_DET/24),AC723+DORA_H_CLA/24)))</f>
        <v/>
      </c>
      <c r="BS723" s="35" t="str">
        <f aca="true">IF(BR723="","",IF(AD723="",IF(NOW()&gt;BR723,0,""),IF(AD723&lt;=BR723,1,0)))</f>
        <v/>
      </c>
      <c r="BT723" s="35" t="str">
        <f aca="true">IF(OR(BR723="",AD723=""),"",IF(AE723="",IF(NOW()&gt;AD723+DORA_H_INT/24,0,""),IF(AE723&lt;=AD723+DORA_H_INT/24,1,0)))</f>
        <v/>
      </c>
      <c r="BU723" s="35" t="str">
        <f aca="true">IF(OR(BR723="",AE723=""),"",IF(AF723="",IF(NOW()&gt;EDATE(AE723,DORA_M_FIN)+1,0,""),IF(AF723&lt;=EDATE(AE723,DORA_M_FIN),1,0)))</f>
        <v/>
      </c>
      <c r="BV723" s="35" t="str">
        <f aca="false">IF(BR723="","",IF(COUNT(BS723:BU723)=0,"",MIN(BS723:BU723)))</f>
        <v/>
      </c>
      <c r="BW723" s="40" t="str">
        <f aca="false">IF(AQ723&lt;&gt;1,"",IF(AND(AG723="",AH723=""),"",N(AG723)-N(AH723)))</f>
        <v/>
      </c>
      <c r="BX723" s="35" t="str">
        <f aca="true">IF(OR(AQ723&lt;&gt;1,AI723&lt;&gt;"Oui",AJ723=""),"",IF(AK723="",IF(NOW()&gt;AJ723+1,0,""),IF(AK723&lt;=AJ723,1,0)))</f>
        <v/>
      </c>
    </row>
    <row r="724" customFormat="false" ht="15" hidden="false" customHeight="false" outlineLevel="0" collapsed="false">
      <c r="B724" s="29"/>
      <c r="C724" s="29"/>
      <c r="D724" s="29"/>
      <c r="E724" s="29"/>
      <c r="F724" s="29"/>
      <c r="G724" s="29"/>
      <c r="H724" s="29"/>
      <c r="I724" s="29"/>
      <c r="J724" s="29"/>
      <c r="K724" s="29"/>
      <c r="L724" s="29"/>
      <c r="M724" s="29"/>
      <c r="N724" s="30"/>
      <c r="O724" s="30"/>
      <c r="P724" s="30"/>
      <c r="Q724" s="30"/>
      <c r="R724" s="30"/>
      <c r="S724" s="30"/>
      <c r="T724" s="30"/>
      <c r="U724" s="30"/>
      <c r="V724" s="31"/>
      <c r="W724" s="29"/>
      <c r="X724" s="29"/>
      <c r="Y724" s="29"/>
      <c r="Z724" s="29"/>
      <c r="AA724" s="30"/>
      <c r="AB724" s="30"/>
      <c r="AC724" s="30"/>
      <c r="AD724" s="30"/>
      <c r="AE724" s="30"/>
      <c r="AF724" s="32"/>
      <c r="AG724" s="33"/>
      <c r="AH724" s="33"/>
      <c r="AI724" s="29"/>
      <c r="AJ724" s="32"/>
      <c r="AK724" s="32"/>
      <c r="AL724" s="29"/>
      <c r="AN724" s="34" t="str">
        <f aca="false">IF($B724="","",IF(OR(C724="",D724="",E724="",G724="",I724="",J724="",L724="",O724="",P724=""),"Champ obligatoire manquant",IF(OR(AND(N724&lt;&gt;"",N724&gt;O724),O724&gt;P724,AND(Q724&lt;&gt;"",Q724&lt;P724),AND(R724&lt;&gt;"",R724&lt;P724),AND(S724&lt;&gt;"",S724&lt;R724),AND(S724&lt;&gt;"",R724=""),AND(T724&lt;&gt;"",T724&lt;O724),AND(U724&lt;&gt;"",U724&lt;O724)),"Chronologie incohérente",IF(AND(OR(L724="Résolu",L724="Clos"),R724=""),"Date de résolution manquante",IF(AND(L724="Clos",S724=""),"Date de clôture manquante",IF(AND(K724="Oui",AC724=""),"Classification DORA manquante","OK"))))))</f>
        <v/>
      </c>
      <c r="AO724" s="35" t="str">
        <f aca="false">IF($B724="","",IF(AND(C724="Incident",L724&lt;&gt;"Annulé"),1,0))</f>
        <v/>
      </c>
      <c r="AP724" s="35" t="str">
        <f aca="false">IF($B724="","",IF(AND(C724="Quasi-incident",L724&lt;&gt;"Annulé"),1,0))</f>
        <v/>
      </c>
      <c r="AQ724" s="35" t="str">
        <f aca="false">IF($B724="","",AO724+AP724)</f>
        <v/>
      </c>
      <c r="AR724" s="36" t="str">
        <f aca="false">IF(OR($B724="",J724=""),"",IFERROR(VALUE(LEFT(J724,1)),""))</f>
        <v/>
      </c>
      <c r="AS724" s="35" t="str">
        <f aca="false">IF(OR(AO724&lt;&gt;1,G724=""),"",IFERROR(IF(INDEX(L_SrcInterne,MATCH(G724,L_Sources,0))="Oui",1,0),""))</f>
        <v/>
      </c>
      <c r="AT724" s="37" t="str">
        <f aca="false">IF(AO724&lt;&gt;1,"",IFERROR(ROUND(IF(OR(N724="",O724=""),"",IF(O724&lt;N724,"",ROUND(((NETWORKDAYS(N724,O724,JoursFeries)-1)*(HFer-HOuv)+IF(NETWORKDAYS(O724,O724,JoursFeries),MEDIAN(MOD(O724,1),HFer,HOuv),HFer)-IF(NETWORKDAYS(N724,N724,JoursFeries),MEDIAN(MOD(N724,1),HFer,HOuv),HOuv))*24,4)))/HJour,4),""))</f>
        <v/>
      </c>
      <c r="AU724" s="37" t="str">
        <f aca="false">IF(AO724&lt;&gt;1,"",IF(OR(O724="",P724=""),"",IF(P724&lt;O724,"",ROUND(((NETWORKDAYS(O724,P724,JoursFeries)-1)*(HFer-HOuv)+IF(NETWORKDAYS(P724,P724,JoursFeries),MEDIAN(MOD(P724,1),HFer,HOuv),HFer)-IF(NETWORKDAYS(O724,O724,JoursFeries),MEDIAN(MOD(O724,1),HFer,HOuv),HOuv))*24,4))))</f>
        <v/>
      </c>
      <c r="AV724" s="37" t="str">
        <f aca="false">IF(AO724&lt;&gt;1,"",IF(OR(P724="",Q724=""),"",IF(Q724&lt;P724,"",ROUND(((NETWORKDAYS(P724,Q724,JoursFeries)-1)*(HFer-HOuv)+IF(NETWORKDAYS(Q724,Q724,JoursFeries),MEDIAN(MOD(Q724,1),HFer,HOuv),HFer)-IF(NETWORKDAYS(P724,P724,JoursFeries),MEDIAN(MOD(P724,1),HFer,HOuv),HOuv))*24,4))))</f>
        <v/>
      </c>
      <c r="AW724" s="37" t="str">
        <f aca="false">IF(AO724&lt;&gt;1,"",IFERROR(ROUND(IF(OR(P724="",R724=""),"",IF(R724&lt;P724,"",ROUND(((NETWORKDAYS(P724,R724,JoursFeries)-1)*(HFer-HOuv)+IF(NETWORKDAYS(R724,R724,JoursFeries),MEDIAN(MOD(R724,1),HFer,HOuv),HFer)-IF(NETWORKDAYS(P724,P724,JoursFeries),MEDIAN(MOD(P724,1),HFer,HOuv),HOuv))*24,4)))/HJour,4),""))</f>
        <v/>
      </c>
      <c r="AX724" s="37" t="str">
        <f aca="false">IF(AO724&lt;&gt;1,"",IFERROR(ROUND(IF(OR(P724="",S724=""),"",IF(S724&lt;P724,"",ROUND(((NETWORKDAYS(P724,S724,JoursFeries)-1)*(HFer-HOuv)+IF(NETWORKDAYS(S724,S724,JoursFeries),MEDIAN(MOD(S724,1),HFer,HOuv),HFer)-IF(NETWORKDAYS(P724,P724,JoursFeries),MEDIAN(MOD(P724,1),HFer,HOuv),HOuv))*24,4)))/HJour,4),""))</f>
        <v/>
      </c>
      <c r="AY724" s="36" t="str">
        <f aca="false">IF(OR(AO724&lt;&gt;1,AR724=""),"",INDEX(SLA_PEC,AR724))</f>
        <v/>
      </c>
      <c r="AZ724" s="35" t="str">
        <f aca="false">IF(OR(AV724="",AY724=""),"",IF(AV724&lt;=AY724,1,0))</f>
        <v/>
      </c>
      <c r="BA724" s="36" t="str">
        <f aca="false">IF(OR(AO724&lt;&gt;1,AR724=""),"",INDEX(SLA_RES,AR724))</f>
        <v/>
      </c>
      <c r="BB724" s="35" t="str">
        <f aca="false">IF(OR(AW724="",BA724=""),"",IF(AW724&lt;=BA724,1,0))</f>
        <v/>
      </c>
      <c r="BC724" s="38" t="str">
        <f aca="false">IF(OR(BA724="",P724=""),"",WORKDAY(INT(P724),BA724,JoursFeries)+MOD(P724,1))</f>
        <v/>
      </c>
      <c r="BD724" s="39" t="str">
        <f aca="false">IF(AO724&lt;&gt;1,"",IF(OR(AB724&lt;&gt;"",AD724&lt;&gt;""),4,IF(U724&lt;&gt;"",3,IF(T724&lt;&gt;"",2,1))))</f>
        <v/>
      </c>
      <c r="BE724" s="39" t="str">
        <f aca="false">IF(OR(AO724&lt;&gt;1,AR724=""),"",INDEX(NIV_REQ,AR724))</f>
        <v/>
      </c>
      <c r="BF724" s="39" t="str">
        <f aca="false">IF(BE724="","",MAX(BE724,IF(OR(K724="Oui",Z724="Oui"),4,1)))</f>
        <v/>
      </c>
      <c r="BG724" s="35" t="str">
        <f aca="false">IF(OR(BF724="",BD724=""),"",IF(BD724&gt;=BF724,1,0))</f>
        <v/>
      </c>
      <c r="BH724" s="38" t="str">
        <f aca="false">IF(BE724="","",IF(BE724&lt;2,"",IF(BE724=2,IF(AND(T724="",U724=""),"",MIN(T724,U724)),IF(U724="","",U724))))</f>
        <v/>
      </c>
      <c r="BI724" s="37" t="str">
        <f aca="false">IF(BH724="","",IF(OR(O724="",BH724=""),"",IF(BH724&lt;O724,"",ROUND(((NETWORKDAYS(O724,BH724,JoursFeries)-1)*(HFer-HOuv)+IF(NETWORKDAYS(BH724,BH724,JoursFeries),MEDIAN(MOD(BH724,1),HFer,HOuv),HFer)-IF(NETWORKDAYS(O724,O724,JoursFeries),MEDIAN(MOD(O724,1),HFer,HOuv),HOuv))*24,4))))</f>
        <v/>
      </c>
      <c r="BJ724" s="35" t="str">
        <f aca="false">IF(OR(BI724="",AR724=""),"",IF(BI724&lt;=INDEX(DELAI_ESC,AR724),1,0))</f>
        <v/>
      </c>
      <c r="BK724" s="38" t="str">
        <f aca="false">IF(AO724&lt;&gt;1,"",IF(AND(T724="",U724=""),"",MIN(T724,U724)))</f>
        <v/>
      </c>
      <c r="BL724" s="37" t="str">
        <f aca="false">IF(OR(BK724="",R724=""),"",IFERROR(ROUND(IF(OR(BK724="",R724=""),"",IF(R724&lt;BK724,"",ROUND(((NETWORKDAYS(BK724,R724,JoursFeries)-1)*(HFer-HOuv)+IF(NETWORKDAYS(R724,R724,JoursFeries),MEDIAN(MOD(R724,1),HFer,HOuv),HFer)-IF(NETWORKDAYS(BK724,BK724,JoursFeries),MEDIAN(MOD(BK724,1),HFer,HOuv),HOuv))*24,4)))/HJour,4),""))</f>
        <v/>
      </c>
      <c r="BM724" s="35" t="str">
        <f aca="false">IF(OR(AO724&lt;&gt;1,R724=""),"",IF(BD724=1,1,0))</f>
        <v/>
      </c>
      <c r="BN724" s="35" t="str">
        <f aca="false">IF(AO724&lt;&gt;1,"",IF(W724="Oui",1,0))</f>
        <v/>
      </c>
      <c r="BO724" s="35" t="str">
        <f aca="false">IF(AO724&lt;&gt;1,"",IF(X724&lt;&gt;"",1,0))</f>
        <v/>
      </c>
      <c r="BP724" s="35" t="str">
        <f aca="false">IF(AO724&lt;&gt;1,"",IF(Y724="Oui",1,0))</f>
        <v/>
      </c>
      <c r="BQ724" s="35" t="str">
        <f aca="true">IF(OR(AO724&lt;&gt;1,Z724&lt;&gt;"Oui"),"",IF(AB724="",IF(AND(AA724&lt;&gt;"",NOW()&gt;AA724),0,""),IF(AA724="","",IF(AB724&lt;=AA724,1,0))))</f>
        <v/>
      </c>
      <c r="BR724" s="38" t="str">
        <f aca="false">IF(OR(AO724&lt;&gt;1,K724&lt;&gt;"Oui",O724=""),"",IF(AC724="",O724+DORA_H_DET/24,IF(AC724-O724&lt;=DORA_H_DET/24,MIN(AC724+DORA_H_CLA/24,O724+DORA_H_DET/24),AC724+DORA_H_CLA/24)))</f>
        <v/>
      </c>
      <c r="BS724" s="35" t="str">
        <f aca="true">IF(BR724="","",IF(AD724="",IF(NOW()&gt;BR724,0,""),IF(AD724&lt;=BR724,1,0)))</f>
        <v/>
      </c>
      <c r="BT724" s="35" t="str">
        <f aca="true">IF(OR(BR724="",AD724=""),"",IF(AE724="",IF(NOW()&gt;AD724+DORA_H_INT/24,0,""),IF(AE724&lt;=AD724+DORA_H_INT/24,1,0)))</f>
        <v/>
      </c>
      <c r="BU724" s="35" t="str">
        <f aca="true">IF(OR(BR724="",AE724=""),"",IF(AF724="",IF(NOW()&gt;EDATE(AE724,DORA_M_FIN)+1,0,""),IF(AF724&lt;=EDATE(AE724,DORA_M_FIN),1,0)))</f>
        <v/>
      </c>
      <c r="BV724" s="35" t="str">
        <f aca="false">IF(BR724="","",IF(COUNT(BS724:BU724)=0,"",MIN(BS724:BU724)))</f>
        <v/>
      </c>
      <c r="BW724" s="40" t="str">
        <f aca="false">IF(AQ724&lt;&gt;1,"",IF(AND(AG724="",AH724=""),"",N(AG724)-N(AH724)))</f>
        <v/>
      </c>
      <c r="BX724" s="35" t="str">
        <f aca="true">IF(OR(AQ724&lt;&gt;1,AI724&lt;&gt;"Oui",AJ724=""),"",IF(AK724="",IF(NOW()&gt;AJ724+1,0,""),IF(AK724&lt;=AJ724,1,0)))</f>
        <v/>
      </c>
    </row>
    <row r="725" customFormat="false" ht="15" hidden="false" customHeight="false" outlineLevel="0" collapsed="false">
      <c r="B725" s="29"/>
      <c r="C725" s="29"/>
      <c r="D725" s="29"/>
      <c r="E725" s="29"/>
      <c r="F725" s="29"/>
      <c r="G725" s="29"/>
      <c r="H725" s="29"/>
      <c r="I725" s="29"/>
      <c r="J725" s="29"/>
      <c r="K725" s="29"/>
      <c r="L725" s="29"/>
      <c r="M725" s="29"/>
      <c r="N725" s="30"/>
      <c r="O725" s="30"/>
      <c r="P725" s="30"/>
      <c r="Q725" s="30"/>
      <c r="R725" s="30"/>
      <c r="S725" s="30"/>
      <c r="T725" s="30"/>
      <c r="U725" s="30"/>
      <c r="V725" s="31"/>
      <c r="W725" s="29"/>
      <c r="X725" s="29"/>
      <c r="Y725" s="29"/>
      <c r="Z725" s="29"/>
      <c r="AA725" s="30"/>
      <c r="AB725" s="30"/>
      <c r="AC725" s="30"/>
      <c r="AD725" s="30"/>
      <c r="AE725" s="30"/>
      <c r="AF725" s="32"/>
      <c r="AG725" s="33"/>
      <c r="AH725" s="33"/>
      <c r="AI725" s="29"/>
      <c r="AJ725" s="32"/>
      <c r="AK725" s="32"/>
      <c r="AL725" s="29"/>
      <c r="AN725" s="34" t="str">
        <f aca="false">IF($B725="","",IF(OR(C725="",D725="",E725="",G725="",I725="",J725="",L725="",O725="",P725=""),"Champ obligatoire manquant",IF(OR(AND(N725&lt;&gt;"",N725&gt;O725),O725&gt;P725,AND(Q725&lt;&gt;"",Q725&lt;P725),AND(R725&lt;&gt;"",R725&lt;P725),AND(S725&lt;&gt;"",S725&lt;R725),AND(S725&lt;&gt;"",R725=""),AND(T725&lt;&gt;"",T725&lt;O725),AND(U725&lt;&gt;"",U725&lt;O725)),"Chronologie incohérente",IF(AND(OR(L725="Résolu",L725="Clos"),R725=""),"Date de résolution manquante",IF(AND(L725="Clos",S725=""),"Date de clôture manquante",IF(AND(K725="Oui",AC725=""),"Classification DORA manquante","OK"))))))</f>
        <v/>
      </c>
      <c r="AO725" s="35" t="str">
        <f aca="false">IF($B725="","",IF(AND(C725="Incident",L725&lt;&gt;"Annulé"),1,0))</f>
        <v/>
      </c>
      <c r="AP725" s="35" t="str">
        <f aca="false">IF($B725="","",IF(AND(C725="Quasi-incident",L725&lt;&gt;"Annulé"),1,0))</f>
        <v/>
      </c>
      <c r="AQ725" s="35" t="str">
        <f aca="false">IF($B725="","",AO725+AP725)</f>
        <v/>
      </c>
      <c r="AR725" s="36" t="str">
        <f aca="false">IF(OR($B725="",J725=""),"",IFERROR(VALUE(LEFT(J725,1)),""))</f>
        <v/>
      </c>
      <c r="AS725" s="35" t="str">
        <f aca="false">IF(OR(AO725&lt;&gt;1,G725=""),"",IFERROR(IF(INDEX(L_SrcInterne,MATCH(G725,L_Sources,0))="Oui",1,0),""))</f>
        <v/>
      </c>
      <c r="AT725" s="37" t="str">
        <f aca="false">IF(AO725&lt;&gt;1,"",IFERROR(ROUND(IF(OR(N725="",O725=""),"",IF(O725&lt;N725,"",ROUND(((NETWORKDAYS(N725,O725,JoursFeries)-1)*(HFer-HOuv)+IF(NETWORKDAYS(O725,O725,JoursFeries),MEDIAN(MOD(O725,1),HFer,HOuv),HFer)-IF(NETWORKDAYS(N725,N725,JoursFeries),MEDIAN(MOD(N725,1),HFer,HOuv),HOuv))*24,4)))/HJour,4),""))</f>
        <v/>
      </c>
      <c r="AU725" s="37" t="str">
        <f aca="false">IF(AO725&lt;&gt;1,"",IF(OR(O725="",P725=""),"",IF(P725&lt;O725,"",ROUND(((NETWORKDAYS(O725,P725,JoursFeries)-1)*(HFer-HOuv)+IF(NETWORKDAYS(P725,P725,JoursFeries),MEDIAN(MOD(P725,1),HFer,HOuv),HFer)-IF(NETWORKDAYS(O725,O725,JoursFeries),MEDIAN(MOD(O725,1),HFer,HOuv),HOuv))*24,4))))</f>
        <v/>
      </c>
      <c r="AV725" s="37" t="str">
        <f aca="false">IF(AO725&lt;&gt;1,"",IF(OR(P725="",Q725=""),"",IF(Q725&lt;P725,"",ROUND(((NETWORKDAYS(P725,Q725,JoursFeries)-1)*(HFer-HOuv)+IF(NETWORKDAYS(Q725,Q725,JoursFeries),MEDIAN(MOD(Q725,1),HFer,HOuv),HFer)-IF(NETWORKDAYS(P725,P725,JoursFeries),MEDIAN(MOD(P725,1),HFer,HOuv),HOuv))*24,4))))</f>
        <v/>
      </c>
      <c r="AW725" s="37" t="str">
        <f aca="false">IF(AO725&lt;&gt;1,"",IFERROR(ROUND(IF(OR(P725="",R725=""),"",IF(R725&lt;P725,"",ROUND(((NETWORKDAYS(P725,R725,JoursFeries)-1)*(HFer-HOuv)+IF(NETWORKDAYS(R725,R725,JoursFeries),MEDIAN(MOD(R725,1),HFer,HOuv),HFer)-IF(NETWORKDAYS(P725,P725,JoursFeries),MEDIAN(MOD(P725,1),HFer,HOuv),HOuv))*24,4)))/HJour,4),""))</f>
        <v/>
      </c>
      <c r="AX725" s="37" t="str">
        <f aca="false">IF(AO725&lt;&gt;1,"",IFERROR(ROUND(IF(OR(P725="",S725=""),"",IF(S725&lt;P725,"",ROUND(((NETWORKDAYS(P725,S725,JoursFeries)-1)*(HFer-HOuv)+IF(NETWORKDAYS(S725,S725,JoursFeries),MEDIAN(MOD(S725,1),HFer,HOuv),HFer)-IF(NETWORKDAYS(P725,P725,JoursFeries),MEDIAN(MOD(P725,1),HFer,HOuv),HOuv))*24,4)))/HJour,4),""))</f>
        <v/>
      </c>
      <c r="AY725" s="36" t="str">
        <f aca="false">IF(OR(AO725&lt;&gt;1,AR725=""),"",INDEX(SLA_PEC,AR725))</f>
        <v/>
      </c>
      <c r="AZ725" s="35" t="str">
        <f aca="false">IF(OR(AV725="",AY725=""),"",IF(AV725&lt;=AY725,1,0))</f>
        <v/>
      </c>
      <c r="BA725" s="36" t="str">
        <f aca="false">IF(OR(AO725&lt;&gt;1,AR725=""),"",INDEX(SLA_RES,AR725))</f>
        <v/>
      </c>
      <c r="BB725" s="35" t="str">
        <f aca="false">IF(OR(AW725="",BA725=""),"",IF(AW725&lt;=BA725,1,0))</f>
        <v/>
      </c>
      <c r="BC725" s="38" t="str">
        <f aca="false">IF(OR(BA725="",P725=""),"",WORKDAY(INT(P725),BA725,JoursFeries)+MOD(P725,1))</f>
        <v/>
      </c>
      <c r="BD725" s="39" t="str">
        <f aca="false">IF(AO725&lt;&gt;1,"",IF(OR(AB725&lt;&gt;"",AD725&lt;&gt;""),4,IF(U725&lt;&gt;"",3,IF(T725&lt;&gt;"",2,1))))</f>
        <v/>
      </c>
      <c r="BE725" s="39" t="str">
        <f aca="false">IF(OR(AO725&lt;&gt;1,AR725=""),"",INDEX(NIV_REQ,AR725))</f>
        <v/>
      </c>
      <c r="BF725" s="39" t="str">
        <f aca="false">IF(BE725="","",MAX(BE725,IF(OR(K725="Oui",Z725="Oui"),4,1)))</f>
        <v/>
      </c>
      <c r="BG725" s="35" t="str">
        <f aca="false">IF(OR(BF725="",BD725=""),"",IF(BD725&gt;=BF725,1,0))</f>
        <v/>
      </c>
      <c r="BH725" s="38" t="str">
        <f aca="false">IF(BE725="","",IF(BE725&lt;2,"",IF(BE725=2,IF(AND(T725="",U725=""),"",MIN(T725,U725)),IF(U725="","",U725))))</f>
        <v/>
      </c>
      <c r="BI725" s="37" t="str">
        <f aca="false">IF(BH725="","",IF(OR(O725="",BH725=""),"",IF(BH725&lt;O725,"",ROUND(((NETWORKDAYS(O725,BH725,JoursFeries)-1)*(HFer-HOuv)+IF(NETWORKDAYS(BH725,BH725,JoursFeries),MEDIAN(MOD(BH725,1),HFer,HOuv),HFer)-IF(NETWORKDAYS(O725,O725,JoursFeries),MEDIAN(MOD(O725,1),HFer,HOuv),HOuv))*24,4))))</f>
        <v/>
      </c>
      <c r="BJ725" s="35" t="str">
        <f aca="false">IF(OR(BI725="",AR725=""),"",IF(BI725&lt;=INDEX(DELAI_ESC,AR725),1,0))</f>
        <v/>
      </c>
      <c r="BK725" s="38" t="str">
        <f aca="false">IF(AO725&lt;&gt;1,"",IF(AND(T725="",U725=""),"",MIN(T725,U725)))</f>
        <v/>
      </c>
      <c r="BL725" s="37" t="str">
        <f aca="false">IF(OR(BK725="",R725=""),"",IFERROR(ROUND(IF(OR(BK725="",R725=""),"",IF(R725&lt;BK725,"",ROUND(((NETWORKDAYS(BK725,R725,JoursFeries)-1)*(HFer-HOuv)+IF(NETWORKDAYS(R725,R725,JoursFeries),MEDIAN(MOD(R725,1),HFer,HOuv),HFer)-IF(NETWORKDAYS(BK725,BK725,JoursFeries),MEDIAN(MOD(BK725,1),HFer,HOuv),HOuv))*24,4)))/HJour,4),""))</f>
        <v/>
      </c>
      <c r="BM725" s="35" t="str">
        <f aca="false">IF(OR(AO725&lt;&gt;1,R725=""),"",IF(BD725=1,1,0))</f>
        <v/>
      </c>
      <c r="BN725" s="35" t="str">
        <f aca="false">IF(AO725&lt;&gt;1,"",IF(W725="Oui",1,0))</f>
        <v/>
      </c>
      <c r="BO725" s="35" t="str">
        <f aca="false">IF(AO725&lt;&gt;1,"",IF(X725&lt;&gt;"",1,0))</f>
        <v/>
      </c>
      <c r="BP725" s="35" t="str">
        <f aca="false">IF(AO725&lt;&gt;1,"",IF(Y725="Oui",1,0))</f>
        <v/>
      </c>
      <c r="BQ725" s="35" t="str">
        <f aca="true">IF(OR(AO725&lt;&gt;1,Z725&lt;&gt;"Oui"),"",IF(AB725="",IF(AND(AA725&lt;&gt;"",NOW()&gt;AA725),0,""),IF(AA725="","",IF(AB725&lt;=AA725,1,0))))</f>
        <v/>
      </c>
      <c r="BR725" s="38" t="str">
        <f aca="false">IF(OR(AO725&lt;&gt;1,K725&lt;&gt;"Oui",O725=""),"",IF(AC725="",O725+DORA_H_DET/24,IF(AC725-O725&lt;=DORA_H_DET/24,MIN(AC725+DORA_H_CLA/24,O725+DORA_H_DET/24),AC725+DORA_H_CLA/24)))</f>
        <v/>
      </c>
      <c r="BS725" s="35" t="str">
        <f aca="true">IF(BR725="","",IF(AD725="",IF(NOW()&gt;BR725,0,""),IF(AD725&lt;=BR725,1,0)))</f>
        <v/>
      </c>
      <c r="BT725" s="35" t="str">
        <f aca="true">IF(OR(BR725="",AD725=""),"",IF(AE725="",IF(NOW()&gt;AD725+DORA_H_INT/24,0,""),IF(AE725&lt;=AD725+DORA_H_INT/24,1,0)))</f>
        <v/>
      </c>
      <c r="BU725" s="35" t="str">
        <f aca="true">IF(OR(BR725="",AE725=""),"",IF(AF725="",IF(NOW()&gt;EDATE(AE725,DORA_M_FIN)+1,0,""),IF(AF725&lt;=EDATE(AE725,DORA_M_FIN),1,0)))</f>
        <v/>
      </c>
      <c r="BV725" s="35" t="str">
        <f aca="false">IF(BR725="","",IF(COUNT(BS725:BU725)=0,"",MIN(BS725:BU725)))</f>
        <v/>
      </c>
      <c r="BW725" s="40" t="str">
        <f aca="false">IF(AQ725&lt;&gt;1,"",IF(AND(AG725="",AH725=""),"",N(AG725)-N(AH725)))</f>
        <v/>
      </c>
      <c r="BX725" s="35" t="str">
        <f aca="true">IF(OR(AQ725&lt;&gt;1,AI725&lt;&gt;"Oui",AJ725=""),"",IF(AK725="",IF(NOW()&gt;AJ725+1,0,""),IF(AK725&lt;=AJ725,1,0)))</f>
        <v/>
      </c>
    </row>
    <row r="726" customFormat="false" ht="15" hidden="false" customHeight="false" outlineLevel="0" collapsed="false">
      <c r="B726" s="29"/>
      <c r="C726" s="29"/>
      <c r="D726" s="29"/>
      <c r="E726" s="29"/>
      <c r="F726" s="29"/>
      <c r="G726" s="29"/>
      <c r="H726" s="29"/>
      <c r="I726" s="29"/>
      <c r="J726" s="29"/>
      <c r="K726" s="29"/>
      <c r="L726" s="29"/>
      <c r="M726" s="29"/>
      <c r="N726" s="30"/>
      <c r="O726" s="30"/>
      <c r="P726" s="30"/>
      <c r="Q726" s="30"/>
      <c r="R726" s="30"/>
      <c r="S726" s="30"/>
      <c r="T726" s="30"/>
      <c r="U726" s="30"/>
      <c r="V726" s="31"/>
      <c r="W726" s="29"/>
      <c r="X726" s="29"/>
      <c r="Y726" s="29"/>
      <c r="Z726" s="29"/>
      <c r="AA726" s="30"/>
      <c r="AB726" s="30"/>
      <c r="AC726" s="30"/>
      <c r="AD726" s="30"/>
      <c r="AE726" s="30"/>
      <c r="AF726" s="32"/>
      <c r="AG726" s="33"/>
      <c r="AH726" s="33"/>
      <c r="AI726" s="29"/>
      <c r="AJ726" s="32"/>
      <c r="AK726" s="32"/>
      <c r="AL726" s="29"/>
      <c r="AN726" s="34" t="str">
        <f aca="false">IF($B726="","",IF(OR(C726="",D726="",E726="",G726="",I726="",J726="",L726="",O726="",P726=""),"Champ obligatoire manquant",IF(OR(AND(N726&lt;&gt;"",N726&gt;O726),O726&gt;P726,AND(Q726&lt;&gt;"",Q726&lt;P726),AND(R726&lt;&gt;"",R726&lt;P726),AND(S726&lt;&gt;"",S726&lt;R726),AND(S726&lt;&gt;"",R726=""),AND(T726&lt;&gt;"",T726&lt;O726),AND(U726&lt;&gt;"",U726&lt;O726)),"Chronologie incohérente",IF(AND(OR(L726="Résolu",L726="Clos"),R726=""),"Date de résolution manquante",IF(AND(L726="Clos",S726=""),"Date de clôture manquante",IF(AND(K726="Oui",AC726=""),"Classification DORA manquante","OK"))))))</f>
        <v/>
      </c>
      <c r="AO726" s="35" t="str">
        <f aca="false">IF($B726="","",IF(AND(C726="Incident",L726&lt;&gt;"Annulé"),1,0))</f>
        <v/>
      </c>
      <c r="AP726" s="35" t="str">
        <f aca="false">IF($B726="","",IF(AND(C726="Quasi-incident",L726&lt;&gt;"Annulé"),1,0))</f>
        <v/>
      </c>
      <c r="AQ726" s="35" t="str">
        <f aca="false">IF($B726="","",AO726+AP726)</f>
        <v/>
      </c>
      <c r="AR726" s="36" t="str">
        <f aca="false">IF(OR($B726="",J726=""),"",IFERROR(VALUE(LEFT(J726,1)),""))</f>
        <v/>
      </c>
      <c r="AS726" s="35" t="str">
        <f aca="false">IF(OR(AO726&lt;&gt;1,G726=""),"",IFERROR(IF(INDEX(L_SrcInterne,MATCH(G726,L_Sources,0))="Oui",1,0),""))</f>
        <v/>
      </c>
      <c r="AT726" s="37" t="str">
        <f aca="false">IF(AO726&lt;&gt;1,"",IFERROR(ROUND(IF(OR(N726="",O726=""),"",IF(O726&lt;N726,"",ROUND(((NETWORKDAYS(N726,O726,JoursFeries)-1)*(HFer-HOuv)+IF(NETWORKDAYS(O726,O726,JoursFeries),MEDIAN(MOD(O726,1),HFer,HOuv),HFer)-IF(NETWORKDAYS(N726,N726,JoursFeries),MEDIAN(MOD(N726,1),HFer,HOuv),HOuv))*24,4)))/HJour,4),""))</f>
        <v/>
      </c>
      <c r="AU726" s="37" t="str">
        <f aca="false">IF(AO726&lt;&gt;1,"",IF(OR(O726="",P726=""),"",IF(P726&lt;O726,"",ROUND(((NETWORKDAYS(O726,P726,JoursFeries)-1)*(HFer-HOuv)+IF(NETWORKDAYS(P726,P726,JoursFeries),MEDIAN(MOD(P726,1),HFer,HOuv),HFer)-IF(NETWORKDAYS(O726,O726,JoursFeries),MEDIAN(MOD(O726,1),HFer,HOuv),HOuv))*24,4))))</f>
        <v/>
      </c>
      <c r="AV726" s="37" t="str">
        <f aca="false">IF(AO726&lt;&gt;1,"",IF(OR(P726="",Q726=""),"",IF(Q726&lt;P726,"",ROUND(((NETWORKDAYS(P726,Q726,JoursFeries)-1)*(HFer-HOuv)+IF(NETWORKDAYS(Q726,Q726,JoursFeries),MEDIAN(MOD(Q726,1),HFer,HOuv),HFer)-IF(NETWORKDAYS(P726,P726,JoursFeries),MEDIAN(MOD(P726,1),HFer,HOuv),HOuv))*24,4))))</f>
        <v/>
      </c>
      <c r="AW726" s="37" t="str">
        <f aca="false">IF(AO726&lt;&gt;1,"",IFERROR(ROUND(IF(OR(P726="",R726=""),"",IF(R726&lt;P726,"",ROUND(((NETWORKDAYS(P726,R726,JoursFeries)-1)*(HFer-HOuv)+IF(NETWORKDAYS(R726,R726,JoursFeries),MEDIAN(MOD(R726,1),HFer,HOuv),HFer)-IF(NETWORKDAYS(P726,P726,JoursFeries),MEDIAN(MOD(P726,1),HFer,HOuv),HOuv))*24,4)))/HJour,4),""))</f>
        <v/>
      </c>
      <c r="AX726" s="37" t="str">
        <f aca="false">IF(AO726&lt;&gt;1,"",IFERROR(ROUND(IF(OR(P726="",S726=""),"",IF(S726&lt;P726,"",ROUND(((NETWORKDAYS(P726,S726,JoursFeries)-1)*(HFer-HOuv)+IF(NETWORKDAYS(S726,S726,JoursFeries),MEDIAN(MOD(S726,1),HFer,HOuv),HFer)-IF(NETWORKDAYS(P726,P726,JoursFeries),MEDIAN(MOD(P726,1),HFer,HOuv),HOuv))*24,4)))/HJour,4),""))</f>
        <v/>
      </c>
      <c r="AY726" s="36" t="str">
        <f aca="false">IF(OR(AO726&lt;&gt;1,AR726=""),"",INDEX(SLA_PEC,AR726))</f>
        <v/>
      </c>
      <c r="AZ726" s="35" t="str">
        <f aca="false">IF(OR(AV726="",AY726=""),"",IF(AV726&lt;=AY726,1,0))</f>
        <v/>
      </c>
      <c r="BA726" s="36" t="str">
        <f aca="false">IF(OR(AO726&lt;&gt;1,AR726=""),"",INDEX(SLA_RES,AR726))</f>
        <v/>
      </c>
      <c r="BB726" s="35" t="str">
        <f aca="false">IF(OR(AW726="",BA726=""),"",IF(AW726&lt;=BA726,1,0))</f>
        <v/>
      </c>
      <c r="BC726" s="38" t="str">
        <f aca="false">IF(OR(BA726="",P726=""),"",WORKDAY(INT(P726),BA726,JoursFeries)+MOD(P726,1))</f>
        <v/>
      </c>
      <c r="BD726" s="39" t="str">
        <f aca="false">IF(AO726&lt;&gt;1,"",IF(OR(AB726&lt;&gt;"",AD726&lt;&gt;""),4,IF(U726&lt;&gt;"",3,IF(T726&lt;&gt;"",2,1))))</f>
        <v/>
      </c>
      <c r="BE726" s="39" t="str">
        <f aca="false">IF(OR(AO726&lt;&gt;1,AR726=""),"",INDEX(NIV_REQ,AR726))</f>
        <v/>
      </c>
      <c r="BF726" s="39" t="str">
        <f aca="false">IF(BE726="","",MAX(BE726,IF(OR(K726="Oui",Z726="Oui"),4,1)))</f>
        <v/>
      </c>
      <c r="BG726" s="35" t="str">
        <f aca="false">IF(OR(BF726="",BD726=""),"",IF(BD726&gt;=BF726,1,0))</f>
        <v/>
      </c>
      <c r="BH726" s="38" t="str">
        <f aca="false">IF(BE726="","",IF(BE726&lt;2,"",IF(BE726=2,IF(AND(T726="",U726=""),"",MIN(T726,U726)),IF(U726="","",U726))))</f>
        <v/>
      </c>
      <c r="BI726" s="37" t="str">
        <f aca="false">IF(BH726="","",IF(OR(O726="",BH726=""),"",IF(BH726&lt;O726,"",ROUND(((NETWORKDAYS(O726,BH726,JoursFeries)-1)*(HFer-HOuv)+IF(NETWORKDAYS(BH726,BH726,JoursFeries),MEDIAN(MOD(BH726,1),HFer,HOuv),HFer)-IF(NETWORKDAYS(O726,O726,JoursFeries),MEDIAN(MOD(O726,1),HFer,HOuv),HOuv))*24,4))))</f>
        <v/>
      </c>
      <c r="BJ726" s="35" t="str">
        <f aca="false">IF(OR(BI726="",AR726=""),"",IF(BI726&lt;=INDEX(DELAI_ESC,AR726),1,0))</f>
        <v/>
      </c>
      <c r="BK726" s="38" t="str">
        <f aca="false">IF(AO726&lt;&gt;1,"",IF(AND(T726="",U726=""),"",MIN(T726,U726)))</f>
        <v/>
      </c>
      <c r="BL726" s="37" t="str">
        <f aca="false">IF(OR(BK726="",R726=""),"",IFERROR(ROUND(IF(OR(BK726="",R726=""),"",IF(R726&lt;BK726,"",ROUND(((NETWORKDAYS(BK726,R726,JoursFeries)-1)*(HFer-HOuv)+IF(NETWORKDAYS(R726,R726,JoursFeries),MEDIAN(MOD(R726,1),HFer,HOuv),HFer)-IF(NETWORKDAYS(BK726,BK726,JoursFeries),MEDIAN(MOD(BK726,1),HFer,HOuv),HOuv))*24,4)))/HJour,4),""))</f>
        <v/>
      </c>
      <c r="BM726" s="35" t="str">
        <f aca="false">IF(OR(AO726&lt;&gt;1,R726=""),"",IF(BD726=1,1,0))</f>
        <v/>
      </c>
      <c r="BN726" s="35" t="str">
        <f aca="false">IF(AO726&lt;&gt;1,"",IF(W726="Oui",1,0))</f>
        <v/>
      </c>
      <c r="BO726" s="35" t="str">
        <f aca="false">IF(AO726&lt;&gt;1,"",IF(X726&lt;&gt;"",1,0))</f>
        <v/>
      </c>
      <c r="BP726" s="35" t="str">
        <f aca="false">IF(AO726&lt;&gt;1,"",IF(Y726="Oui",1,0))</f>
        <v/>
      </c>
      <c r="BQ726" s="35" t="str">
        <f aca="true">IF(OR(AO726&lt;&gt;1,Z726&lt;&gt;"Oui"),"",IF(AB726="",IF(AND(AA726&lt;&gt;"",NOW()&gt;AA726),0,""),IF(AA726="","",IF(AB726&lt;=AA726,1,0))))</f>
        <v/>
      </c>
      <c r="BR726" s="38" t="str">
        <f aca="false">IF(OR(AO726&lt;&gt;1,K726&lt;&gt;"Oui",O726=""),"",IF(AC726="",O726+DORA_H_DET/24,IF(AC726-O726&lt;=DORA_H_DET/24,MIN(AC726+DORA_H_CLA/24,O726+DORA_H_DET/24),AC726+DORA_H_CLA/24)))</f>
        <v/>
      </c>
      <c r="BS726" s="35" t="str">
        <f aca="true">IF(BR726="","",IF(AD726="",IF(NOW()&gt;BR726,0,""),IF(AD726&lt;=BR726,1,0)))</f>
        <v/>
      </c>
      <c r="BT726" s="35" t="str">
        <f aca="true">IF(OR(BR726="",AD726=""),"",IF(AE726="",IF(NOW()&gt;AD726+DORA_H_INT/24,0,""),IF(AE726&lt;=AD726+DORA_H_INT/24,1,0)))</f>
        <v/>
      </c>
      <c r="BU726" s="35" t="str">
        <f aca="true">IF(OR(BR726="",AE726=""),"",IF(AF726="",IF(NOW()&gt;EDATE(AE726,DORA_M_FIN)+1,0,""),IF(AF726&lt;=EDATE(AE726,DORA_M_FIN),1,0)))</f>
        <v/>
      </c>
      <c r="BV726" s="35" t="str">
        <f aca="false">IF(BR726="","",IF(COUNT(BS726:BU726)=0,"",MIN(BS726:BU726)))</f>
        <v/>
      </c>
      <c r="BW726" s="40" t="str">
        <f aca="false">IF(AQ726&lt;&gt;1,"",IF(AND(AG726="",AH726=""),"",N(AG726)-N(AH726)))</f>
        <v/>
      </c>
      <c r="BX726" s="35" t="str">
        <f aca="true">IF(OR(AQ726&lt;&gt;1,AI726&lt;&gt;"Oui",AJ726=""),"",IF(AK726="",IF(NOW()&gt;AJ726+1,0,""),IF(AK726&lt;=AJ726,1,0)))</f>
        <v/>
      </c>
    </row>
    <row r="727" customFormat="false" ht="15" hidden="false" customHeight="false" outlineLevel="0" collapsed="false">
      <c r="B727" s="29"/>
      <c r="C727" s="29"/>
      <c r="D727" s="29"/>
      <c r="E727" s="29"/>
      <c r="F727" s="29"/>
      <c r="G727" s="29"/>
      <c r="H727" s="29"/>
      <c r="I727" s="29"/>
      <c r="J727" s="29"/>
      <c r="K727" s="29"/>
      <c r="L727" s="29"/>
      <c r="M727" s="29"/>
      <c r="N727" s="30"/>
      <c r="O727" s="30"/>
      <c r="P727" s="30"/>
      <c r="Q727" s="30"/>
      <c r="R727" s="30"/>
      <c r="S727" s="30"/>
      <c r="T727" s="30"/>
      <c r="U727" s="30"/>
      <c r="V727" s="31"/>
      <c r="W727" s="29"/>
      <c r="X727" s="29"/>
      <c r="Y727" s="29"/>
      <c r="Z727" s="29"/>
      <c r="AA727" s="30"/>
      <c r="AB727" s="30"/>
      <c r="AC727" s="30"/>
      <c r="AD727" s="30"/>
      <c r="AE727" s="30"/>
      <c r="AF727" s="32"/>
      <c r="AG727" s="33"/>
      <c r="AH727" s="33"/>
      <c r="AI727" s="29"/>
      <c r="AJ727" s="32"/>
      <c r="AK727" s="32"/>
      <c r="AL727" s="29"/>
      <c r="AN727" s="34" t="str">
        <f aca="false">IF($B727="","",IF(OR(C727="",D727="",E727="",G727="",I727="",J727="",L727="",O727="",P727=""),"Champ obligatoire manquant",IF(OR(AND(N727&lt;&gt;"",N727&gt;O727),O727&gt;P727,AND(Q727&lt;&gt;"",Q727&lt;P727),AND(R727&lt;&gt;"",R727&lt;P727),AND(S727&lt;&gt;"",S727&lt;R727),AND(S727&lt;&gt;"",R727=""),AND(T727&lt;&gt;"",T727&lt;O727),AND(U727&lt;&gt;"",U727&lt;O727)),"Chronologie incohérente",IF(AND(OR(L727="Résolu",L727="Clos"),R727=""),"Date de résolution manquante",IF(AND(L727="Clos",S727=""),"Date de clôture manquante",IF(AND(K727="Oui",AC727=""),"Classification DORA manquante","OK"))))))</f>
        <v/>
      </c>
      <c r="AO727" s="35" t="str">
        <f aca="false">IF($B727="","",IF(AND(C727="Incident",L727&lt;&gt;"Annulé"),1,0))</f>
        <v/>
      </c>
      <c r="AP727" s="35" t="str">
        <f aca="false">IF($B727="","",IF(AND(C727="Quasi-incident",L727&lt;&gt;"Annulé"),1,0))</f>
        <v/>
      </c>
      <c r="AQ727" s="35" t="str">
        <f aca="false">IF($B727="","",AO727+AP727)</f>
        <v/>
      </c>
      <c r="AR727" s="36" t="str">
        <f aca="false">IF(OR($B727="",J727=""),"",IFERROR(VALUE(LEFT(J727,1)),""))</f>
        <v/>
      </c>
      <c r="AS727" s="35" t="str">
        <f aca="false">IF(OR(AO727&lt;&gt;1,G727=""),"",IFERROR(IF(INDEX(L_SrcInterne,MATCH(G727,L_Sources,0))="Oui",1,0),""))</f>
        <v/>
      </c>
      <c r="AT727" s="37" t="str">
        <f aca="false">IF(AO727&lt;&gt;1,"",IFERROR(ROUND(IF(OR(N727="",O727=""),"",IF(O727&lt;N727,"",ROUND(((NETWORKDAYS(N727,O727,JoursFeries)-1)*(HFer-HOuv)+IF(NETWORKDAYS(O727,O727,JoursFeries),MEDIAN(MOD(O727,1),HFer,HOuv),HFer)-IF(NETWORKDAYS(N727,N727,JoursFeries),MEDIAN(MOD(N727,1),HFer,HOuv),HOuv))*24,4)))/HJour,4),""))</f>
        <v/>
      </c>
      <c r="AU727" s="37" t="str">
        <f aca="false">IF(AO727&lt;&gt;1,"",IF(OR(O727="",P727=""),"",IF(P727&lt;O727,"",ROUND(((NETWORKDAYS(O727,P727,JoursFeries)-1)*(HFer-HOuv)+IF(NETWORKDAYS(P727,P727,JoursFeries),MEDIAN(MOD(P727,1),HFer,HOuv),HFer)-IF(NETWORKDAYS(O727,O727,JoursFeries),MEDIAN(MOD(O727,1),HFer,HOuv),HOuv))*24,4))))</f>
        <v/>
      </c>
      <c r="AV727" s="37" t="str">
        <f aca="false">IF(AO727&lt;&gt;1,"",IF(OR(P727="",Q727=""),"",IF(Q727&lt;P727,"",ROUND(((NETWORKDAYS(P727,Q727,JoursFeries)-1)*(HFer-HOuv)+IF(NETWORKDAYS(Q727,Q727,JoursFeries),MEDIAN(MOD(Q727,1),HFer,HOuv),HFer)-IF(NETWORKDAYS(P727,P727,JoursFeries),MEDIAN(MOD(P727,1),HFer,HOuv),HOuv))*24,4))))</f>
        <v/>
      </c>
      <c r="AW727" s="37" t="str">
        <f aca="false">IF(AO727&lt;&gt;1,"",IFERROR(ROUND(IF(OR(P727="",R727=""),"",IF(R727&lt;P727,"",ROUND(((NETWORKDAYS(P727,R727,JoursFeries)-1)*(HFer-HOuv)+IF(NETWORKDAYS(R727,R727,JoursFeries),MEDIAN(MOD(R727,1),HFer,HOuv),HFer)-IF(NETWORKDAYS(P727,P727,JoursFeries),MEDIAN(MOD(P727,1),HFer,HOuv),HOuv))*24,4)))/HJour,4),""))</f>
        <v/>
      </c>
      <c r="AX727" s="37" t="str">
        <f aca="false">IF(AO727&lt;&gt;1,"",IFERROR(ROUND(IF(OR(P727="",S727=""),"",IF(S727&lt;P727,"",ROUND(((NETWORKDAYS(P727,S727,JoursFeries)-1)*(HFer-HOuv)+IF(NETWORKDAYS(S727,S727,JoursFeries),MEDIAN(MOD(S727,1),HFer,HOuv),HFer)-IF(NETWORKDAYS(P727,P727,JoursFeries),MEDIAN(MOD(P727,1),HFer,HOuv),HOuv))*24,4)))/HJour,4),""))</f>
        <v/>
      </c>
      <c r="AY727" s="36" t="str">
        <f aca="false">IF(OR(AO727&lt;&gt;1,AR727=""),"",INDEX(SLA_PEC,AR727))</f>
        <v/>
      </c>
      <c r="AZ727" s="35" t="str">
        <f aca="false">IF(OR(AV727="",AY727=""),"",IF(AV727&lt;=AY727,1,0))</f>
        <v/>
      </c>
      <c r="BA727" s="36" t="str">
        <f aca="false">IF(OR(AO727&lt;&gt;1,AR727=""),"",INDEX(SLA_RES,AR727))</f>
        <v/>
      </c>
      <c r="BB727" s="35" t="str">
        <f aca="false">IF(OR(AW727="",BA727=""),"",IF(AW727&lt;=BA727,1,0))</f>
        <v/>
      </c>
      <c r="BC727" s="38" t="str">
        <f aca="false">IF(OR(BA727="",P727=""),"",WORKDAY(INT(P727),BA727,JoursFeries)+MOD(P727,1))</f>
        <v/>
      </c>
      <c r="BD727" s="39" t="str">
        <f aca="false">IF(AO727&lt;&gt;1,"",IF(OR(AB727&lt;&gt;"",AD727&lt;&gt;""),4,IF(U727&lt;&gt;"",3,IF(T727&lt;&gt;"",2,1))))</f>
        <v/>
      </c>
      <c r="BE727" s="39" t="str">
        <f aca="false">IF(OR(AO727&lt;&gt;1,AR727=""),"",INDEX(NIV_REQ,AR727))</f>
        <v/>
      </c>
      <c r="BF727" s="39" t="str">
        <f aca="false">IF(BE727="","",MAX(BE727,IF(OR(K727="Oui",Z727="Oui"),4,1)))</f>
        <v/>
      </c>
      <c r="BG727" s="35" t="str">
        <f aca="false">IF(OR(BF727="",BD727=""),"",IF(BD727&gt;=BF727,1,0))</f>
        <v/>
      </c>
      <c r="BH727" s="38" t="str">
        <f aca="false">IF(BE727="","",IF(BE727&lt;2,"",IF(BE727=2,IF(AND(T727="",U727=""),"",MIN(T727,U727)),IF(U727="","",U727))))</f>
        <v/>
      </c>
      <c r="BI727" s="37" t="str">
        <f aca="false">IF(BH727="","",IF(OR(O727="",BH727=""),"",IF(BH727&lt;O727,"",ROUND(((NETWORKDAYS(O727,BH727,JoursFeries)-1)*(HFer-HOuv)+IF(NETWORKDAYS(BH727,BH727,JoursFeries),MEDIAN(MOD(BH727,1),HFer,HOuv),HFer)-IF(NETWORKDAYS(O727,O727,JoursFeries),MEDIAN(MOD(O727,1),HFer,HOuv),HOuv))*24,4))))</f>
        <v/>
      </c>
      <c r="BJ727" s="35" t="str">
        <f aca="false">IF(OR(BI727="",AR727=""),"",IF(BI727&lt;=INDEX(DELAI_ESC,AR727),1,0))</f>
        <v/>
      </c>
      <c r="BK727" s="38" t="str">
        <f aca="false">IF(AO727&lt;&gt;1,"",IF(AND(T727="",U727=""),"",MIN(T727,U727)))</f>
        <v/>
      </c>
      <c r="BL727" s="37" t="str">
        <f aca="false">IF(OR(BK727="",R727=""),"",IFERROR(ROUND(IF(OR(BK727="",R727=""),"",IF(R727&lt;BK727,"",ROUND(((NETWORKDAYS(BK727,R727,JoursFeries)-1)*(HFer-HOuv)+IF(NETWORKDAYS(R727,R727,JoursFeries),MEDIAN(MOD(R727,1),HFer,HOuv),HFer)-IF(NETWORKDAYS(BK727,BK727,JoursFeries),MEDIAN(MOD(BK727,1),HFer,HOuv),HOuv))*24,4)))/HJour,4),""))</f>
        <v/>
      </c>
      <c r="BM727" s="35" t="str">
        <f aca="false">IF(OR(AO727&lt;&gt;1,R727=""),"",IF(BD727=1,1,0))</f>
        <v/>
      </c>
      <c r="BN727" s="35" t="str">
        <f aca="false">IF(AO727&lt;&gt;1,"",IF(W727="Oui",1,0))</f>
        <v/>
      </c>
      <c r="BO727" s="35" t="str">
        <f aca="false">IF(AO727&lt;&gt;1,"",IF(X727&lt;&gt;"",1,0))</f>
        <v/>
      </c>
      <c r="BP727" s="35" t="str">
        <f aca="false">IF(AO727&lt;&gt;1,"",IF(Y727="Oui",1,0))</f>
        <v/>
      </c>
      <c r="BQ727" s="35" t="str">
        <f aca="true">IF(OR(AO727&lt;&gt;1,Z727&lt;&gt;"Oui"),"",IF(AB727="",IF(AND(AA727&lt;&gt;"",NOW()&gt;AA727),0,""),IF(AA727="","",IF(AB727&lt;=AA727,1,0))))</f>
        <v/>
      </c>
      <c r="BR727" s="38" t="str">
        <f aca="false">IF(OR(AO727&lt;&gt;1,K727&lt;&gt;"Oui",O727=""),"",IF(AC727="",O727+DORA_H_DET/24,IF(AC727-O727&lt;=DORA_H_DET/24,MIN(AC727+DORA_H_CLA/24,O727+DORA_H_DET/24),AC727+DORA_H_CLA/24)))</f>
        <v/>
      </c>
      <c r="BS727" s="35" t="str">
        <f aca="true">IF(BR727="","",IF(AD727="",IF(NOW()&gt;BR727,0,""),IF(AD727&lt;=BR727,1,0)))</f>
        <v/>
      </c>
      <c r="BT727" s="35" t="str">
        <f aca="true">IF(OR(BR727="",AD727=""),"",IF(AE727="",IF(NOW()&gt;AD727+DORA_H_INT/24,0,""),IF(AE727&lt;=AD727+DORA_H_INT/24,1,0)))</f>
        <v/>
      </c>
      <c r="BU727" s="35" t="str">
        <f aca="true">IF(OR(BR727="",AE727=""),"",IF(AF727="",IF(NOW()&gt;EDATE(AE727,DORA_M_FIN)+1,0,""),IF(AF727&lt;=EDATE(AE727,DORA_M_FIN),1,0)))</f>
        <v/>
      </c>
      <c r="BV727" s="35" t="str">
        <f aca="false">IF(BR727="","",IF(COUNT(BS727:BU727)=0,"",MIN(BS727:BU727)))</f>
        <v/>
      </c>
      <c r="BW727" s="40" t="str">
        <f aca="false">IF(AQ727&lt;&gt;1,"",IF(AND(AG727="",AH727=""),"",N(AG727)-N(AH727)))</f>
        <v/>
      </c>
      <c r="BX727" s="35" t="str">
        <f aca="true">IF(OR(AQ727&lt;&gt;1,AI727&lt;&gt;"Oui",AJ727=""),"",IF(AK727="",IF(NOW()&gt;AJ727+1,0,""),IF(AK727&lt;=AJ727,1,0)))</f>
        <v/>
      </c>
    </row>
    <row r="728" customFormat="false" ht="15" hidden="false" customHeight="false" outlineLevel="0" collapsed="false">
      <c r="B728" s="29"/>
      <c r="C728" s="29"/>
      <c r="D728" s="29"/>
      <c r="E728" s="29"/>
      <c r="F728" s="29"/>
      <c r="G728" s="29"/>
      <c r="H728" s="29"/>
      <c r="I728" s="29"/>
      <c r="J728" s="29"/>
      <c r="K728" s="29"/>
      <c r="L728" s="29"/>
      <c r="M728" s="29"/>
      <c r="N728" s="30"/>
      <c r="O728" s="30"/>
      <c r="P728" s="30"/>
      <c r="Q728" s="30"/>
      <c r="R728" s="30"/>
      <c r="S728" s="30"/>
      <c r="T728" s="30"/>
      <c r="U728" s="30"/>
      <c r="V728" s="31"/>
      <c r="W728" s="29"/>
      <c r="X728" s="29"/>
      <c r="Y728" s="29"/>
      <c r="Z728" s="29"/>
      <c r="AA728" s="30"/>
      <c r="AB728" s="30"/>
      <c r="AC728" s="30"/>
      <c r="AD728" s="30"/>
      <c r="AE728" s="30"/>
      <c r="AF728" s="32"/>
      <c r="AG728" s="33"/>
      <c r="AH728" s="33"/>
      <c r="AI728" s="29"/>
      <c r="AJ728" s="32"/>
      <c r="AK728" s="32"/>
      <c r="AL728" s="29"/>
      <c r="AN728" s="34" t="str">
        <f aca="false">IF($B728="","",IF(OR(C728="",D728="",E728="",G728="",I728="",J728="",L728="",O728="",P728=""),"Champ obligatoire manquant",IF(OR(AND(N728&lt;&gt;"",N728&gt;O728),O728&gt;P728,AND(Q728&lt;&gt;"",Q728&lt;P728),AND(R728&lt;&gt;"",R728&lt;P728),AND(S728&lt;&gt;"",S728&lt;R728),AND(S728&lt;&gt;"",R728=""),AND(T728&lt;&gt;"",T728&lt;O728),AND(U728&lt;&gt;"",U728&lt;O728)),"Chronologie incohérente",IF(AND(OR(L728="Résolu",L728="Clos"),R728=""),"Date de résolution manquante",IF(AND(L728="Clos",S728=""),"Date de clôture manquante",IF(AND(K728="Oui",AC728=""),"Classification DORA manquante","OK"))))))</f>
        <v/>
      </c>
      <c r="AO728" s="35" t="str">
        <f aca="false">IF($B728="","",IF(AND(C728="Incident",L728&lt;&gt;"Annulé"),1,0))</f>
        <v/>
      </c>
      <c r="AP728" s="35" t="str">
        <f aca="false">IF($B728="","",IF(AND(C728="Quasi-incident",L728&lt;&gt;"Annulé"),1,0))</f>
        <v/>
      </c>
      <c r="AQ728" s="35" t="str">
        <f aca="false">IF($B728="","",AO728+AP728)</f>
        <v/>
      </c>
      <c r="AR728" s="36" t="str">
        <f aca="false">IF(OR($B728="",J728=""),"",IFERROR(VALUE(LEFT(J728,1)),""))</f>
        <v/>
      </c>
      <c r="AS728" s="35" t="str">
        <f aca="false">IF(OR(AO728&lt;&gt;1,G728=""),"",IFERROR(IF(INDEX(L_SrcInterne,MATCH(G728,L_Sources,0))="Oui",1,0),""))</f>
        <v/>
      </c>
      <c r="AT728" s="37" t="str">
        <f aca="false">IF(AO728&lt;&gt;1,"",IFERROR(ROUND(IF(OR(N728="",O728=""),"",IF(O728&lt;N728,"",ROUND(((NETWORKDAYS(N728,O728,JoursFeries)-1)*(HFer-HOuv)+IF(NETWORKDAYS(O728,O728,JoursFeries),MEDIAN(MOD(O728,1),HFer,HOuv),HFer)-IF(NETWORKDAYS(N728,N728,JoursFeries),MEDIAN(MOD(N728,1),HFer,HOuv),HOuv))*24,4)))/HJour,4),""))</f>
        <v/>
      </c>
      <c r="AU728" s="37" t="str">
        <f aca="false">IF(AO728&lt;&gt;1,"",IF(OR(O728="",P728=""),"",IF(P728&lt;O728,"",ROUND(((NETWORKDAYS(O728,P728,JoursFeries)-1)*(HFer-HOuv)+IF(NETWORKDAYS(P728,P728,JoursFeries),MEDIAN(MOD(P728,1),HFer,HOuv),HFer)-IF(NETWORKDAYS(O728,O728,JoursFeries),MEDIAN(MOD(O728,1),HFer,HOuv),HOuv))*24,4))))</f>
        <v/>
      </c>
      <c r="AV728" s="37" t="str">
        <f aca="false">IF(AO728&lt;&gt;1,"",IF(OR(P728="",Q728=""),"",IF(Q728&lt;P728,"",ROUND(((NETWORKDAYS(P728,Q728,JoursFeries)-1)*(HFer-HOuv)+IF(NETWORKDAYS(Q728,Q728,JoursFeries),MEDIAN(MOD(Q728,1),HFer,HOuv),HFer)-IF(NETWORKDAYS(P728,P728,JoursFeries),MEDIAN(MOD(P728,1),HFer,HOuv),HOuv))*24,4))))</f>
        <v/>
      </c>
      <c r="AW728" s="37" t="str">
        <f aca="false">IF(AO728&lt;&gt;1,"",IFERROR(ROUND(IF(OR(P728="",R728=""),"",IF(R728&lt;P728,"",ROUND(((NETWORKDAYS(P728,R728,JoursFeries)-1)*(HFer-HOuv)+IF(NETWORKDAYS(R728,R728,JoursFeries),MEDIAN(MOD(R728,1),HFer,HOuv),HFer)-IF(NETWORKDAYS(P728,P728,JoursFeries),MEDIAN(MOD(P728,1),HFer,HOuv),HOuv))*24,4)))/HJour,4),""))</f>
        <v/>
      </c>
      <c r="AX728" s="37" t="str">
        <f aca="false">IF(AO728&lt;&gt;1,"",IFERROR(ROUND(IF(OR(P728="",S728=""),"",IF(S728&lt;P728,"",ROUND(((NETWORKDAYS(P728,S728,JoursFeries)-1)*(HFer-HOuv)+IF(NETWORKDAYS(S728,S728,JoursFeries),MEDIAN(MOD(S728,1),HFer,HOuv),HFer)-IF(NETWORKDAYS(P728,P728,JoursFeries),MEDIAN(MOD(P728,1),HFer,HOuv),HOuv))*24,4)))/HJour,4),""))</f>
        <v/>
      </c>
      <c r="AY728" s="36" t="str">
        <f aca="false">IF(OR(AO728&lt;&gt;1,AR728=""),"",INDEX(SLA_PEC,AR728))</f>
        <v/>
      </c>
      <c r="AZ728" s="35" t="str">
        <f aca="false">IF(OR(AV728="",AY728=""),"",IF(AV728&lt;=AY728,1,0))</f>
        <v/>
      </c>
      <c r="BA728" s="36" t="str">
        <f aca="false">IF(OR(AO728&lt;&gt;1,AR728=""),"",INDEX(SLA_RES,AR728))</f>
        <v/>
      </c>
      <c r="BB728" s="35" t="str">
        <f aca="false">IF(OR(AW728="",BA728=""),"",IF(AW728&lt;=BA728,1,0))</f>
        <v/>
      </c>
      <c r="BC728" s="38" t="str">
        <f aca="false">IF(OR(BA728="",P728=""),"",WORKDAY(INT(P728),BA728,JoursFeries)+MOD(P728,1))</f>
        <v/>
      </c>
      <c r="BD728" s="39" t="str">
        <f aca="false">IF(AO728&lt;&gt;1,"",IF(OR(AB728&lt;&gt;"",AD728&lt;&gt;""),4,IF(U728&lt;&gt;"",3,IF(T728&lt;&gt;"",2,1))))</f>
        <v/>
      </c>
      <c r="BE728" s="39" t="str">
        <f aca="false">IF(OR(AO728&lt;&gt;1,AR728=""),"",INDEX(NIV_REQ,AR728))</f>
        <v/>
      </c>
      <c r="BF728" s="39" t="str">
        <f aca="false">IF(BE728="","",MAX(BE728,IF(OR(K728="Oui",Z728="Oui"),4,1)))</f>
        <v/>
      </c>
      <c r="BG728" s="35" t="str">
        <f aca="false">IF(OR(BF728="",BD728=""),"",IF(BD728&gt;=BF728,1,0))</f>
        <v/>
      </c>
      <c r="BH728" s="38" t="str">
        <f aca="false">IF(BE728="","",IF(BE728&lt;2,"",IF(BE728=2,IF(AND(T728="",U728=""),"",MIN(T728,U728)),IF(U728="","",U728))))</f>
        <v/>
      </c>
      <c r="BI728" s="37" t="str">
        <f aca="false">IF(BH728="","",IF(OR(O728="",BH728=""),"",IF(BH728&lt;O728,"",ROUND(((NETWORKDAYS(O728,BH728,JoursFeries)-1)*(HFer-HOuv)+IF(NETWORKDAYS(BH728,BH728,JoursFeries),MEDIAN(MOD(BH728,1),HFer,HOuv),HFer)-IF(NETWORKDAYS(O728,O728,JoursFeries),MEDIAN(MOD(O728,1),HFer,HOuv),HOuv))*24,4))))</f>
        <v/>
      </c>
      <c r="BJ728" s="35" t="str">
        <f aca="false">IF(OR(BI728="",AR728=""),"",IF(BI728&lt;=INDEX(DELAI_ESC,AR728),1,0))</f>
        <v/>
      </c>
      <c r="BK728" s="38" t="str">
        <f aca="false">IF(AO728&lt;&gt;1,"",IF(AND(T728="",U728=""),"",MIN(T728,U728)))</f>
        <v/>
      </c>
      <c r="BL728" s="37" t="str">
        <f aca="false">IF(OR(BK728="",R728=""),"",IFERROR(ROUND(IF(OR(BK728="",R728=""),"",IF(R728&lt;BK728,"",ROUND(((NETWORKDAYS(BK728,R728,JoursFeries)-1)*(HFer-HOuv)+IF(NETWORKDAYS(R728,R728,JoursFeries),MEDIAN(MOD(R728,1),HFer,HOuv),HFer)-IF(NETWORKDAYS(BK728,BK728,JoursFeries),MEDIAN(MOD(BK728,1),HFer,HOuv),HOuv))*24,4)))/HJour,4),""))</f>
        <v/>
      </c>
      <c r="BM728" s="35" t="str">
        <f aca="false">IF(OR(AO728&lt;&gt;1,R728=""),"",IF(BD728=1,1,0))</f>
        <v/>
      </c>
      <c r="BN728" s="35" t="str">
        <f aca="false">IF(AO728&lt;&gt;1,"",IF(W728="Oui",1,0))</f>
        <v/>
      </c>
      <c r="BO728" s="35" t="str">
        <f aca="false">IF(AO728&lt;&gt;1,"",IF(X728&lt;&gt;"",1,0))</f>
        <v/>
      </c>
      <c r="BP728" s="35" t="str">
        <f aca="false">IF(AO728&lt;&gt;1,"",IF(Y728="Oui",1,0))</f>
        <v/>
      </c>
      <c r="BQ728" s="35" t="str">
        <f aca="true">IF(OR(AO728&lt;&gt;1,Z728&lt;&gt;"Oui"),"",IF(AB728="",IF(AND(AA728&lt;&gt;"",NOW()&gt;AA728),0,""),IF(AA728="","",IF(AB728&lt;=AA728,1,0))))</f>
        <v/>
      </c>
      <c r="BR728" s="38" t="str">
        <f aca="false">IF(OR(AO728&lt;&gt;1,K728&lt;&gt;"Oui",O728=""),"",IF(AC728="",O728+DORA_H_DET/24,IF(AC728-O728&lt;=DORA_H_DET/24,MIN(AC728+DORA_H_CLA/24,O728+DORA_H_DET/24),AC728+DORA_H_CLA/24)))</f>
        <v/>
      </c>
      <c r="BS728" s="35" t="str">
        <f aca="true">IF(BR728="","",IF(AD728="",IF(NOW()&gt;BR728,0,""),IF(AD728&lt;=BR728,1,0)))</f>
        <v/>
      </c>
      <c r="BT728" s="35" t="str">
        <f aca="true">IF(OR(BR728="",AD728=""),"",IF(AE728="",IF(NOW()&gt;AD728+DORA_H_INT/24,0,""),IF(AE728&lt;=AD728+DORA_H_INT/24,1,0)))</f>
        <v/>
      </c>
      <c r="BU728" s="35" t="str">
        <f aca="true">IF(OR(BR728="",AE728=""),"",IF(AF728="",IF(NOW()&gt;EDATE(AE728,DORA_M_FIN)+1,0,""),IF(AF728&lt;=EDATE(AE728,DORA_M_FIN),1,0)))</f>
        <v/>
      </c>
      <c r="BV728" s="35" t="str">
        <f aca="false">IF(BR728="","",IF(COUNT(BS728:BU728)=0,"",MIN(BS728:BU728)))</f>
        <v/>
      </c>
      <c r="BW728" s="40" t="str">
        <f aca="false">IF(AQ728&lt;&gt;1,"",IF(AND(AG728="",AH728=""),"",N(AG728)-N(AH728)))</f>
        <v/>
      </c>
      <c r="BX728" s="35" t="str">
        <f aca="true">IF(OR(AQ728&lt;&gt;1,AI728&lt;&gt;"Oui",AJ728=""),"",IF(AK728="",IF(NOW()&gt;AJ728+1,0,""),IF(AK728&lt;=AJ728,1,0)))</f>
        <v/>
      </c>
    </row>
    <row r="729" customFormat="false" ht="15" hidden="false" customHeight="false" outlineLevel="0" collapsed="false">
      <c r="B729" s="29"/>
      <c r="C729" s="29"/>
      <c r="D729" s="29"/>
      <c r="E729" s="29"/>
      <c r="F729" s="29"/>
      <c r="G729" s="29"/>
      <c r="H729" s="29"/>
      <c r="I729" s="29"/>
      <c r="J729" s="29"/>
      <c r="K729" s="29"/>
      <c r="L729" s="29"/>
      <c r="M729" s="29"/>
      <c r="N729" s="30"/>
      <c r="O729" s="30"/>
      <c r="P729" s="30"/>
      <c r="Q729" s="30"/>
      <c r="R729" s="30"/>
      <c r="S729" s="30"/>
      <c r="T729" s="30"/>
      <c r="U729" s="30"/>
      <c r="V729" s="31"/>
      <c r="W729" s="29"/>
      <c r="X729" s="29"/>
      <c r="Y729" s="29"/>
      <c r="Z729" s="29"/>
      <c r="AA729" s="30"/>
      <c r="AB729" s="30"/>
      <c r="AC729" s="30"/>
      <c r="AD729" s="30"/>
      <c r="AE729" s="30"/>
      <c r="AF729" s="32"/>
      <c r="AG729" s="33"/>
      <c r="AH729" s="33"/>
      <c r="AI729" s="29"/>
      <c r="AJ729" s="32"/>
      <c r="AK729" s="32"/>
      <c r="AL729" s="29"/>
      <c r="AN729" s="34" t="str">
        <f aca="false">IF($B729="","",IF(OR(C729="",D729="",E729="",G729="",I729="",J729="",L729="",O729="",P729=""),"Champ obligatoire manquant",IF(OR(AND(N729&lt;&gt;"",N729&gt;O729),O729&gt;P729,AND(Q729&lt;&gt;"",Q729&lt;P729),AND(R729&lt;&gt;"",R729&lt;P729),AND(S729&lt;&gt;"",S729&lt;R729),AND(S729&lt;&gt;"",R729=""),AND(T729&lt;&gt;"",T729&lt;O729),AND(U729&lt;&gt;"",U729&lt;O729)),"Chronologie incohérente",IF(AND(OR(L729="Résolu",L729="Clos"),R729=""),"Date de résolution manquante",IF(AND(L729="Clos",S729=""),"Date de clôture manquante",IF(AND(K729="Oui",AC729=""),"Classification DORA manquante","OK"))))))</f>
        <v/>
      </c>
      <c r="AO729" s="35" t="str">
        <f aca="false">IF($B729="","",IF(AND(C729="Incident",L729&lt;&gt;"Annulé"),1,0))</f>
        <v/>
      </c>
      <c r="AP729" s="35" t="str">
        <f aca="false">IF($B729="","",IF(AND(C729="Quasi-incident",L729&lt;&gt;"Annulé"),1,0))</f>
        <v/>
      </c>
      <c r="AQ729" s="35" t="str">
        <f aca="false">IF($B729="","",AO729+AP729)</f>
        <v/>
      </c>
      <c r="AR729" s="36" t="str">
        <f aca="false">IF(OR($B729="",J729=""),"",IFERROR(VALUE(LEFT(J729,1)),""))</f>
        <v/>
      </c>
      <c r="AS729" s="35" t="str">
        <f aca="false">IF(OR(AO729&lt;&gt;1,G729=""),"",IFERROR(IF(INDEX(L_SrcInterne,MATCH(G729,L_Sources,0))="Oui",1,0),""))</f>
        <v/>
      </c>
      <c r="AT729" s="37" t="str">
        <f aca="false">IF(AO729&lt;&gt;1,"",IFERROR(ROUND(IF(OR(N729="",O729=""),"",IF(O729&lt;N729,"",ROUND(((NETWORKDAYS(N729,O729,JoursFeries)-1)*(HFer-HOuv)+IF(NETWORKDAYS(O729,O729,JoursFeries),MEDIAN(MOD(O729,1),HFer,HOuv),HFer)-IF(NETWORKDAYS(N729,N729,JoursFeries),MEDIAN(MOD(N729,1),HFer,HOuv),HOuv))*24,4)))/HJour,4),""))</f>
        <v/>
      </c>
      <c r="AU729" s="37" t="str">
        <f aca="false">IF(AO729&lt;&gt;1,"",IF(OR(O729="",P729=""),"",IF(P729&lt;O729,"",ROUND(((NETWORKDAYS(O729,P729,JoursFeries)-1)*(HFer-HOuv)+IF(NETWORKDAYS(P729,P729,JoursFeries),MEDIAN(MOD(P729,1),HFer,HOuv),HFer)-IF(NETWORKDAYS(O729,O729,JoursFeries),MEDIAN(MOD(O729,1),HFer,HOuv),HOuv))*24,4))))</f>
        <v/>
      </c>
      <c r="AV729" s="37" t="str">
        <f aca="false">IF(AO729&lt;&gt;1,"",IF(OR(P729="",Q729=""),"",IF(Q729&lt;P729,"",ROUND(((NETWORKDAYS(P729,Q729,JoursFeries)-1)*(HFer-HOuv)+IF(NETWORKDAYS(Q729,Q729,JoursFeries),MEDIAN(MOD(Q729,1),HFer,HOuv),HFer)-IF(NETWORKDAYS(P729,P729,JoursFeries),MEDIAN(MOD(P729,1),HFer,HOuv),HOuv))*24,4))))</f>
        <v/>
      </c>
      <c r="AW729" s="37" t="str">
        <f aca="false">IF(AO729&lt;&gt;1,"",IFERROR(ROUND(IF(OR(P729="",R729=""),"",IF(R729&lt;P729,"",ROUND(((NETWORKDAYS(P729,R729,JoursFeries)-1)*(HFer-HOuv)+IF(NETWORKDAYS(R729,R729,JoursFeries),MEDIAN(MOD(R729,1),HFer,HOuv),HFer)-IF(NETWORKDAYS(P729,P729,JoursFeries),MEDIAN(MOD(P729,1),HFer,HOuv),HOuv))*24,4)))/HJour,4),""))</f>
        <v/>
      </c>
      <c r="AX729" s="37" t="str">
        <f aca="false">IF(AO729&lt;&gt;1,"",IFERROR(ROUND(IF(OR(P729="",S729=""),"",IF(S729&lt;P729,"",ROUND(((NETWORKDAYS(P729,S729,JoursFeries)-1)*(HFer-HOuv)+IF(NETWORKDAYS(S729,S729,JoursFeries),MEDIAN(MOD(S729,1),HFer,HOuv),HFer)-IF(NETWORKDAYS(P729,P729,JoursFeries),MEDIAN(MOD(P729,1),HFer,HOuv),HOuv))*24,4)))/HJour,4),""))</f>
        <v/>
      </c>
      <c r="AY729" s="36" t="str">
        <f aca="false">IF(OR(AO729&lt;&gt;1,AR729=""),"",INDEX(SLA_PEC,AR729))</f>
        <v/>
      </c>
      <c r="AZ729" s="35" t="str">
        <f aca="false">IF(OR(AV729="",AY729=""),"",IF(AV729&lt;=AY729,1,0))</f>
        <v/>
      </c>
      <c r="BA729" s="36" t="str">
        <f aca="false">IF(OR(AO729&lt;&gt;1,AR729=""),"",INDEX(SLA_RES,AR729))</f>
        <v/>
      </c>
      <c r="BB729" s="35" t="str">
        <f aca="false">IF(OR(AW729="",BA729=""),"",IF(AW729&lt;=BA729,1,0))</f>
        <v/>
      </c>
      <c r="BC729" s="38" t="str">
        <f aca="false">IF(OR(BA729="",P729=""),"",WORKDAY(INT(P729),BA729,JoursFeries)+MOD(P729,1))</f>
        <v/>
      </c>
      <c r="BD729" s="39" t="str">
        <f aca="false">IF(AO729&lt;&gt;1,"",IF(OR(AB729&lt;&gt;"",AD729&lt;&gt;""),4,IF(U729&lt;&gt;"",3,IF(T729&lt;&gt;"",2,1))))</f>
        <v/>
      </c>
      <c r="BE729" s="39" t="str">
        <f aca="false">IF(OR(AO729&lt;&gt;1,AR729=""),"",INDEX(NIV_REQ,AR729))</f>
        <v/>
      </c>
      <c r="BF729" s="39" t="str">
        <f aca="false">IF(BE729="","",MAX(BE729,IF(OR(K729="Oui",Z729="Oui"),4,1)))</f>
        <v/>
      </c>
      <c r="BG729" s="35" t="str">
        <f aca="false">IF(OR(BF729="",BD729=""),"",IF(BD729&gt;=BF729,1,0))</f>
        <v/>
      </c>
      <c r="BH729" s="38" t="str">
        <f aca="false">IF(BE729="","",IF(BE729&lt;2,"",IF(BE729=2,IF(AND(T729="",U729=""),"",MIN(T729,U729)),IF(U729="","",U729))))</f>
        <v/>
      </c>
      <c r="BI729" s="37" t="str">
        <f aca="false">IF(BH729="","",IF(OR(O729="",BH729=""),"",IF(BH729&lt;O729,"",ROUND(((NETWORKDAYS(O729,BH729,JoursFeries)-1)*(HFer-HOuv)+IF(NETWORKDAYS(BH729,BH729,JoursFeries),MEDIAN(MOD(BH729,1),HFer,HOuv),HFer)-IF(NETWORKDAYS(O729,O729,JoursFeries),MEDIAN(MOD(O729,1),HFer,HOuv),HOuv))*24,4))))</f>
        <v/>
      </c>
      <c r="BJ729" s="35" t="str">
        <f aca="false">IF(OR(BI729="",AR729=""),"",IF(BI729&lt;=INDEX(DELAI_ESC,AR729),1,0))</f>
        <v/>
      </c>
      <c r="BK729" s="38" t="str">
        <f aca="false">IF(AO729&lt;&gt;1,"",IF(AND(T729="",U729=""),"",MIN(T729,U729)))</f>
        <v/>
      </c>
      <c r="BL729" s="37" t="str">
        <f aca="false">IF(OR(BK729="",R729=""),"",IFERROR(ROUND(IF(OR(BK729="",R729=""),"",IF(R729&lt;BK729,"",ROUND(((NETWORKDAYS(BK729,R729,JoursFeries)-1)*(HFer-HOuv)+IF(NETWORKDAYS(R729,R729,JoursFeries),MEDIAN(MOD(R729,1),HFer,HOuv),HFer)-IF(NETWORKDAYS(BK729,BK729,JoursFeries),MEDIAN(MOD(BK729,1),HFer,HOuv),HOuv))*24,4)))/HJour,4),""))</f>
        <v/>
      </c>
      <c r="BM729" s="35" t="str">
        <f aca="false">IF(OR(AO729&lt;&gt;1,R729=""),"",IF(BD729=1,1,0))</f>
        <v/>
      </c>
      <c r="BN729" s="35" t="str">
        <f aca="false">IF(AO729&lt;&gt;1,"",IF(W729="Oui",1,0))</f>
        <v/>
      </c>
      <c r="BO729" s="35" t="str">
        <f aca="false">IF(AO729&lt;&gt;1,"",IF(X729&lt;&gt;"",1,0))</f>
        <v/>
      </c>
      <c r="BP729" s="35" t="str">
        <f aca="false">IF(AO729&lt;&gt;1,"",IF(Y729="Oui",1,0))</f>
        <v/>
      </c>
      <c r="BQ729" s="35" t="str">
        <f aca="true">IF(OR(AO729&lt;&gt;1,Z729&lt;&gt;"Oui"),"",IF(AB729="",IF(AND(AA729&lt;&gt;"",NOW()&gt;AA729),0,""),IF(AA729="","",IF(AB729&lt;=AA729,1,0))))</f>
        <v/>
      </c>
      <c r="BR729" s="38" t="str">
        <f aca="false">IF(OR(AO729&lt;&gt;1,K729&lt;&gt;"Oui",O729=""),"",IF(AC729="",O729+DORA_H_DET/24,IF(AC729-O729&lt;=DORA_H_DET/24,MIN(AC729+DORA_H_CLA/24,O729+DORA_H_DET/24),AC729+DORA_H_CLA/24)))</f>
        <v/>
      </c>
      <c r="BS729" s="35" t="str">
        <f aca="true">IF(BR729="","",IF(AD729="",IF(NOW()&gt;BR729,0,""),IF(AD729&lt;=BR729,1,0)))</f>
        <v/>
      </c>
      <c r="BT729" s="35" t="str">
        <f aca="true">IF(OR(BR729="",AD729=""),"",IF(AE729="",IF(NOW()&gt;AD729+DORA_H_INT/24,0,""),IF(AE729&lt;=AD729+DORA_H_INT/24,1,0)))</f>
        <v/>
      </c>
      <c r="BU729" s="35" t="str">
        <f aca="true">IF(OR(BR729="",AE729=""),"",IF(AF729="",IF(NOW()&gt;EDATE(AE729,DORA_M_FIN)+1,0,""),IF(AF729&lt;=EDATE(AE729,DORA_M_FIN),1,0)))</f>
        <v/>
      </c>
      <c r="BV729" s="35" t="str">
        <f aca="false">IF(BR729="","",IF(COUNT(BS729:BU729)=0,"",MIN(BS729:BU729)))</f>
        <v/>
      </c>
      <c r="BW729" s="40" t="str">
        <f aca="false">IF(AQ729&lt;&gt;1,"",IF(AND(AG729="",AH729=""),"",N(AG729)-N(AH729)))</f>
        <v/>
      </c>
      <c r="BX729" s="35" t="str">
        <f aca="true">IF(OR(AQ729&lt;&gt;1,AI729&lt;&gt;"Oui",AJ729=""),"",IF(AK729="",IF(NOW()&gt;AJ729+1,0,""),IF(AK729&lt;=AJ729,1,0)))</f>
        <v/>
      </c>
    </row>
    <row r="730" customFormat="false" ht="15" hidden="false" customHeight="false" outlineLevel="0" collapsed="false">
      <c r="B730" s="29"/>
      <c r="C730" s="29"/>
      <c r="D730" s="29"/>
      <c r="E730" s="29"/>
      <c r="F730" s="29"/>
      <c r="G730" s="29"/>
      <c r="H730" s="29"/>
      <c r="I730" s="29"/>
      <c r="J730" s="29"/>
      <c r="K730" s="29"/>
      <c r="L730" s="29"/>
      <c r="M730" s="29"/>
      <c r="N730" s="30"/>
      <c r="O730" s="30"/>
      <c r="P730" s="30"/>
      <c r="Q730" s="30"/>
      <c r="R730" s="30"/>
      <c r="S730" s="30"/>
      <c r="T730" s="30"/>
      <c r="U730" s="30"/>
      <c r="V730" s="31"/>
      <c r="W730" s="29"/>
      <c r="X730" s="29"/>
      <c r="Y730" s="29"/>
      <c r="Z730" s="29"/>
      <c r="AA730" s="30"/>
      <c r="AB730" s="30"/>
      <c r="AC730" s="30"/>
      <c r="AD730" s="30"/>
      <c r="AE730" s="30"/>
      <c r="AF730" s="32"/>
      <c r="AG730" s="33"/>
      <c r="AH730" s="33"/>
      <c r="AI730" s="29"/>
      <c r="AJ730" s="32"/>
      <c r="AK730" s="32"/>
      <c r="AL730" s="29"/>
      <c r="AN730" s="34" t="str">
        <f aca="false">IF($B730="","",IF(OR(C730="",D730="",E730="",G730="",I730="",J730="",L730="",O730="",P730=""),"Champ obligatoire manquant",IF(OR(AND(N730&lt;&gt;"",N730&gt;O730),O730&gt;P730,AND(Q730&lt;&gt;"",Q730&lt;P730),AND(R730&lt;&gt;"",R730&lt;P730),AND(S730&lt;&gt;"",S730&lt;R730),AND(S730&lt;&gt;"",R730=""),AND(T730&lt;&gt;"",T730&lt;O730),AND(U730&lt;&gt;"",U730&lt;O730)),"Chronologie incohérente",IF(AND(OR(L730="Résolu",L730="Clos"),R730=""),"Date de résolution manquante",IF(AND(L730="Clos",S730=""),"Date de clôture manquante",IF(AND(K730="Oui",AC730=""),"Classification DORA manquante","OK"))))))</f>
        <v/>
      </c>
      <c r="AO730" s="35" t="str">
        <f aca="false">IF($B730="","",IF(AND(C730="Incident",L730&lt;&gt;"Annulé"),1,0))</f>
        <v/>
      </c>
      <c r="AP730" s="35" t="str">
        <f aca="false">IF($B730="","",IF(AND(C730="Quasi-incident",L730&lt;&gt;"Annulé"),1,0))</f>
        <v/>
      </c>
      <c r="AQ730" s="35" t="str">
        <f aca="false">IF($B730="","",AO730+AP730)</f>
        <v/>
      </c>
      <c r="AR730" s="36" t="str">
        <f aca="false">IF(OR($B730="",J730=""),"",IFERROR(VALUE(LEFT(J730,1)),""))</f>
        <v/>
      </c>
      <c r="AS730" s="35" t="str">
        <f aca="false">IF(OR(AO730&lt;&gt;1,G730=""),"",IFERROR(IF(INDEX(L_SrcInterne,MATCH(G730,L_Sources,0))="Oui",1,0),""))</f>
        <v/>
      </c>
      <c r="AT730" s="37" t="str">
        <f aca="false">IF(AO730&lt;&gt;1,"",IFERROR(ROUND(IF(OR(N730="",O730=""),"",IF(O730&lt;N730,"",ROUND(((NETWORKDAYS(N730,O730,JoursFeries)-1)*(HFer-HOuv)+IF(NETWORKDAYS(O730,O730,JoursFeries),MEDIAN(MOD(O730,1),HFer,HOuv),HFer)-IF(NETWORKDAYS(N730,N730,JoursFeries),MEDIAN(MOD(N730,1),HFer,HOuv),HOuv))*24,4)))/HJour,4),""))</f>
        <v/>
      </c>
      <c r="AU730" s="37" t="str">
        <f aca="false">IF(AO730&lt;&gt;1,"",IF(OR(O730="",P730=""),"",IF(P730&lt;O730,"",ROUND(((NETWORKDAYS(O730,P730,JoursFeries)-1)*(HFer-HOuv)+IF(NETWORKDAYS(P730,P730,JoursFeries),MEDIAN(MOD(P730,1),HFer,HOuv),HFer)-IF(NETWORKDAYS(O730,O730,JoursFeries),MEDIAN(MOD(O730,1),HFer,HOuv),HOuv))*24,4))))</f>
        <v/>
      </c>
      <c r="AV730" s="37" t="str">
        <f aca="false">IF(AO730&lt;&gt;1,"",IF(OR(P730="",Q730=""),"",IF(Q730&lt;P730,"",ROUND(((NETWORKDAYS(P730,Q730,JoursFeries)-1)*(HFer-HOuv)+IF(NETWORKDAYS(Q730,Q730,JoursFeries),MEDIAN(MOD(Q730,1),HFer,HOuv),HFer)-IF(NETWORKDAYS(P730,P730,JoursFeries),MEDIAN(MOD(P730,1),HFer,HOuv),HOuv))*24,4))))</f>
        <v/>
      </c>
      <c r="AW730" s="37" t="str">
        <f aca="false">IF(AO730&lt;&gt;1,"",IFERROR(ROUND(IF(OR(P730="",R730=""),"",IF(R730&lt;P730,"",ROUND(((NETWORKDAYS(P730,R730,JoursFeries)-1)*(HFer-HOuv)+IF(NETWORKDAYS(R730,R730,JoursFeries),MEDIAN(MOD(R730,1),HFer,HOuv),HFer)-IF(NETWORKDAYS(P730,P730,JoursFeries),MEDIAN(MOD(P730,1),HFer,HOuv),HOuv))*24,4)))/HJour,4),""))</f>
        <v/>
      </c>
      <c r="AX730" s="37" t="str">
        <f aca="false">IF(AO730&lt;&gt;1,"",IFERROR(ROUND(IF(OR(P730="",S730=""),"",IF(S730&lt;P730,"",ROUND(((NETWORKDAYS(P730,S730,JoursFeries)-1)*(HFer-HOuv)+IF(NETWORKDAYS(S730,S730,JoursFeries),MEDIAN(MOD(S730,1),HFer,HOuv),HFer)-IF(NETWORKDAYS(P730,P730,JoursFeries),MEDIAN(MOD(P730,1),HFer,HOuv),HOuv))*24,4)))/HJour,4),""))</f>
        <v/>
      </c>
      <c r="AY730" s="36" t="str">
        <f aca="false">IF(OR(AO730&lt;&gt;1,AR730=""),"",INDEX(SLA_PEC,AR730))</f>
        <v/>
      </c>
      <c r="AZ730" s="35" t="str">
        <f aca="false">IF(OR(AV730="",AY730=""),"",IF(AV730&lt;=AY730,1,0))</f>
        <v/>
      </c>
      <c r="BA730" s="36" t="str">
        <f aca="false">IF(OR(AO730&lt;&gt;1,AR730=""),"",INDEX(SLA_RES,AR730))</f>
        <v/>
      </c>
      <c r="BB730" s="35" t="str">
        <f aca="false">IF(OR(AW730="",BA730=""),"",IF(AW730&lt;=BA730,1,0))</f>
        <v/>
      </c>
      <c r="BC730" s="38" t="str">
        <f aca="false">IF(OR(BA730="",P730=""),"",WORKDAY(INT(P730),BA730,JoursFeries)+MOD(P730,1))</f>
        <v/>
      </c>
      <c r="BD730" s="39" t="str">
        <f aca="false">IF(AO730&lt;&gt;1,"",IF(OR(AB730&lt;&gt;"",AD730&lt;&gt;""),4,IF(U730&lt;&gt;"",3,IF(T730&lt;&gt;"",2,1))))</f>
        <v/>
      </c>
      <c r="BE730" s="39" t="str">
        <f aca="false">IF(OR(AO730&lt;&gt;1,AR730=""),"",INDEX(NIV_REQ,AR730))</f>
        <v/>
      </c>
      <c r="BF730" s="39" t="str">
        <f aca="false">IF(BE730="","",MAX(BE730,IF(OR(K730="Oui",Z730="Oui"),4,1)))</f>
        <v/>
      </c>
      <c r="BG730" s="35" t="str">
        <f aca="false">IF(OR(BF730="",BD730=""),"",IF(BD730&gt;=BF730,1,0))</f>
        <v/>
      </c>
      <c r="BH730" s="38" t="str">
        <f aca="false">IF(BE730="","",IF(BE730&lt;2,"",IF(BE730=2,IF(AND(T730="",U730=""),"",MIN(T730,U730)),IF(U730="","",U730))))</f>
        <v/>
      </c>
      <c r="BI730" s="37" t="str">
        <f aca="false">IF(BH730="","",IF(OR(O730="",BH730=""),"",IF(BH730&lt;O730,"",ROUND(((NETWORKDAYS(O730,BH730,JoursFeries)-1)*(HFer-HOuv)+IF(NETWORKDAYS(BH730,BH730,JoursFeries),MEDIAN(MOD(BH730,1),HFer,HOuv),HFer)-IF(NETWORKDAYS(O730,O730,JoursFeries),MEDIAN(MOD(O730,1),HFer,HOuv),HOuv))*24,4))))</f>
        <v/>
      </c>
      <c r="BJ730" s="35" t="str">
        <f aca="false">IF(OR(BI730="",AR730=""),"",IF(BI730&lt;=INDEX(DELAI_ESC,AR730),1,0))</f>
        <v/>
      </c>
      <c r="BK730" s="38" t="str">
        <f aca="false">IF(AO730&lt;&gt;1,"",IF(AND(T730="",U730=""),"",MIN(T730,U730)))</f>
        <v/>
      </c>
      <c r="BL730" s="37" t="str">
        <f aca="false">IF(OR(BK730="",R730=""),"",IFERROR(ROUND(IF(OR(BK730="",R730=""),"",IF(R730&lt;BK730,"",ROUND(((NETWORKDAYS(BK730,R730,JoursFeries)-1)*(HFer-HOuv)+IF(NETWORKDAYS(R730,R730,JoursFeries),MEDIAN(MOD(R730,1),HFer,HOuv),HFer)-IF(NETWORKDAYS(BK730,BK730,JoursFeries),MEDIAN(MOD(BK730,1),HFer,HOuv),HOuv))*24,4)))/HJour,4),""))</f>
        <v/>
      </c>
      <c r="BM730" s="35" t="str">
        <f aca="false">IF(OR(AO730&lt;&gt;1,R730=""),"",IF(BD730=1,1,0))</f>
        <v/>
      </c>
      <c r="BN730" s="35" t="str">
        <f aca="false">IF(AO730&lt;&gt;1,"",IF(W730="Oui",1,0))</f>
        <v/>
      </c>
      <c r="BO730" s="35" t="str">
        <f aca="false">IF(AO730&lt;&gt;1,"",IF(X730&lt;&gt;"",1,0))</f>
        <v/>
      </c>
      <c r="BP730" s="35" t="str">
        <f aca="false">IF(AO730&lt;&gt;1,"",IF(Y730="Oui",1,0))</f>
        <v/>
      </c>
      <c r="BQ730" s="35" t="str">
        <f aca="true">IF(OR(AO730&lt;&gt;1,Z730&lt;&gt;"Oui"),"",IF(AB730="",IF(AND(AA730&lt;&gt;"",NOW()&gt;AA730),0,""),IF(AA730="","",IF(AB730&lt;=AA730,1,0))))</f>
        <v/>
      </c>
      <c r="BR730" s="38" t="str">
        <f aca="false">IF(OR(AO730&lt;&gt;1,K730&lt;&gt;"Oui",O730=""),"",IF(AC730="",O730+DORA_H_DET/24,IF(AC730-O730&lt;=DORA_H_DET/24,MIN(AC730+DORA_H_CLA/24,O730+DORA_H_DET/24),AC730+DORA_H_CLA/24)))</f>
        <v/>
      </c>
      <c r="BS730" s="35" t="str">
        <f aca="true">IF(BR730="","",IF(AD730="",IF(NOW()&gt;BR730,0,""),IF(AD730&lt;=BR730,1,0)))</f>
        <v/>
      </c>
      <c r="BT730" s="35" t="str">
        <f aca="true">IF(OR(BR730="",AD730=""),"",IF(AE730="",IF(NOW()&gt;AD730+DORA_H_INT/24,0,""),IF(AE730&lt;=AD730+DORA_H_INT/24,1,0)))</f>
        <v/>
      </c>
      <c r="BU730" s="35" t="str">
        <f aca="true">IF(OR(BR730="",AE730=""),"",IF(AF730="",IF(NOW()&gt;EDATE(AE730,DORA_M_FIN)+1,0,""),IF(AF730&lt;=EDATE(AE730,DORA_M_FIN),1,0)))</f>
        <v/>
      </c>
      <c r="BV730" s="35" t="str">
        <f aca="false">IF(BR730="","",IF(COUNT(BS730:BU730)=0,"",MIN(BS730:BU730)))</f>
        <v/>
      </c>
      <c r="BW730" s="40" t="str">
        <f aca="false">IF(AQ730&lt;&gt;1,"",IF(AND(AG730="",AH730=""),"",N(AG730)-N(AH730)))</f>
        <v/>
      </c>
      <c r="BX730" s="35" t="str">
        <f aca="true">IF(OR(AQ730&lt;&gt;1,AI730&lt;&gt;"Oui",AJ730=""),"",IF(AK730="",IF(NOW()&gt;AJ730+1,0,""),IF(AK730&lt;=AJ730,1,0)))</f>
        <v/>
      </c>
    </row>
    <row r="731" customFormat="false" ht="15" hidden="false" customHeight="false" outlineLevel="0" collapsed="false">
      <c r="B731" s="29"/>
      <c r="C731" s="29"/>
      <c r="D731" s="29"/>
      <c r="E731" s="29"/>
      <c r="F731" s="29"/>
      <c r="G731" s="29"/>
      <c r="H731" s="29"/>
      <c r="I731" s="29"/>
      <c r="J731" s="29"/>
      <c r="K731" s="29"/>
      <c r="L731" s="29"/>
      <c r="M731" s="29"/>
      <c r="N731" s="30"/>
      <c r="O731" s="30"/>
      <c r="P731" s="30"/>
      <c r="Q731" s="30"/>
      <c r="R731" s="30"/>
      <c r="S731" s="30"/>
      <c r="T731" s="30"/>
      <c r="U731" s="30"/>
      <c r="V731" s="31"/>
      <c r="W731" s="29"/>
      <c r="X731" s="29"/>
      <c r="Y731" s="29"/>
      <c r="Z731" s="29"/>
      <c r="AA731" s="30"/>
      <c r="AB731" s="30"/>
      <c r="AC731" s="30"/>
      <c r="AD731" s="30"/>
      <c r="AE731" s="30"/>
      <c r="AF731" s="32"/>
      <c r="AG731" s="33"/>
      <c r="AH731" s="33"/>
      <c r="AI731" s="29"/>
      <c r="AJ731" s="32"/>
      <c r="AK731" s="32"/>
      <c r="AL731" s="29"/>
      <c r="AN731" s="34" t="str">
        <f aca="false">IF($B731="","",IF(OR(C731="",D731="",E731="",G731="",I731="",J731="",L731="",O731="",P731=""),"Champ obligatoire manquant",IF(OR(AND(N731&lt;&gt;"",N731&gt;O731),O731&gt;P731,AND(Q731&lt;&gt;"",Q731&lt;P731),AND(R731&lt;&gt;"",R731&lt;P731),AND(S731&lt;&gt;"",S731&lt;R731),AND(S731&lt;&gt;"",R731=""),AND(T731&lt;&gt;"",T731&lt;O731),AND(U731&lt;&gt;"",U731&lt;O731)),"Chronologie incohérente",IF(AND(OR(L731="Résolu",L731="Clos"),R731=""),"Date de résolution manquante",IF(AND(L731="Clos",S731=""),"Date de clôture manquante",IF(AND(K731="Oui",AC731=""),"Classification DORA manquante","OK"))))))</f>
        <v/>
      </c>
      <c r="AO731" s="35" t="str">
        <f aca="false">IF($B731="","",IF(AND(C731="Incident",L731&lt;&gt;"Annulé"),1,0))</f>
        <v/>
      </c>
      <c r="AP731" s="35" t="str">
        <f aca="false">IF($B731="","",IF(AND(C731="Quasi-incident",L731&lt;&gt;"Annulé"),1,0))</f>
        <v/>
      </c>
      <c r="AQ731" s="35" t="str">
        <f aca="false">IF($B731="","",AO731+AP731)</f>
        <v/>
      </c>
      <c r="AR731" s="36" t="str">
        <f aca="false">IF(OR($B731="",J731=""),"",IFERROR(VALUE(LEFT(J731,1)),""))</f>
        <v/>
      </c>
      <c r="AS731" s="35" t="str">
        <f aca="false">IF(OR(AO731&lt;&gt;1,G731=""),"",IFERROR(IF(INDEX(L_SrcInterne,MATCH(G731,L_Sources,0))="Oui",1,0),""))</f>
        <v/>
      </c>
      <c r="AT731" s="37" t="str">
        <f aca="false">IF(AO731&lt;&gt;1,"",IFERROR(ROUND(IF(OR(N731="",O731=""),"",IF(O731&lt;N731,"",ROUND(((NETWORKDAYS(N731,O731,JoursFeries)-1)*(HFer-HOuv)+IF(NETWORKDAYS(O731,O731,JoursFeries),MEDIAN(MOD(O731,1),HFer,HOuv),HFer)-IF(NETWORKDAYS(N731,N731,JoursFeries),MEDIAN(MOD(N731,1),HFer,HOuv),HOuv))*24,4)))/HJour,4),""))</f>
        <v/>
      </c>
      <c r="AU731" s="37" t="str">
        <f aca="false">IF(AO731&lt;&gt;1,"",IF(OR(O731="",P731=""),"",IF(P731&lt;O731,"",ROUND(((NETWORKDAYS(O731,P731,JoursFeries)-1)*(HFer-HOuv)+IF(NETWORKDAYS(P731,P731,JoursFeries),MEDIAN(MOD(P731,1),HFer,HOuv),HFer)-IF(NETWORKDAYS(O731,O731,JoursFeries),MEDIAN(MOD(O731,1),HFer,HOuv),HOuv))*24,4))))</f>
        <v/>
      </c>
      <c r="AV731" s="37" t="str">
        <f aca="false">IF(AO731&lt;&gt;1,"",IF(OR(P731="",Q731=""),"",IF(Q731&lt;P731,"",ROUND(((NETWORKDAYS(P731,Q731,JoursFeries)-1)*(HFer-HOuv)+IF(NETWORKDAYS(Q731,Q731,JoursFeries),MEDIAN(MOD(Q731,1),HFer,HOuv),HFer)-IF(NETWORKDAYS(P731,P731,JoursFeries),MEDIAN(MOD(P731,1),HFer,HOuv),HOuv))*24,4))))</f>
        <v/>
      </c>
      <c r="AW731" s="37" t="str">
        <f aca="false">IF(AO731&lt;&gt;1,"",IFERROR(ROUND(IF(OR(P731="",R731=""),"",IF(R731&lt;P731,"",ROUND(((NETWORKDAYS(P731,R731,JoursFeries)-1)*(HFer-HOuv)+IF(NETWORKDAYS(R731,R731,JoursFeries),MEDIAN(MOD(R731,1),HFer,HOuv),HFer)-IF(NETWORKDAYS(P731,P731,JoursFeries),MEDIAN(MOD(P731,1),HFer,HOuv),HOuv))*24,4)))/HJour,4),""))</f>
        <v/>
      </c>
      <c r="AX731" s="37" t="str">
        <f aca="false">IF(AO731&lt;&gt;1,"",IFERROR(ROUND(IF(OR(P731="",S731=""),"",IF(S731&lt;P731,"",ROUND(((NETWORKDAYS(P731,S731,JoursFeries)-1)*(HFer-HOuv)+IF(NETWORKDAYS(S731,S731,JoursFeries),MEDIAN(MOD(S731,1),HFer,HOuv),HFer)-IF(NETWORKDAYS(P731,P731,JoursFeries),MEDIAN(MOD(P731,1),HFer,HOuv),HOuv))*24,4)))/HJour,4),""))</f>
        <v/>
      </c>
      <c r="AY731" s="36" t="str">
        <f aca="false">IF(OR(AO731&lt;&gt;1,AR731=""),"",INDEX(SLA_PEC,AR731))</f>
        <v/>
      </c>
      <c r="AZ731" s="35" t="str">
        <f aca="false">IF(OR(AV731="",AY731=""),"",IF(AV731&lt;=AY731,1,0))</f>
        <v/>
      </c>
      <c r="BA731" s="36" t="str">
        <f aca="false">IF(OR(AO731&lt;&gt;1,AR731=""),"",INDEX(SLA_RES,AR731))</f>
        <v/>
      </c>
      <c r="BB731" s="35" t="str">
        <f aca="false">IF(OR(AW731="",BA731=""),"",IF(AW731&lt;=BA731,1,0))</f>
        <v/>
      </c>
      <c r="BC731" s="38" t="str">
        <f aca="false">IF(OR(BA731="",P731=""),"",WORKDAY(INT(P731),BA731,JoursFeries)+MOD(P731,1))</f>
        <v/>
      </c>
      <c r="BD731" s="39" t="str">
        <f aca="false">IF(AO731&lt;&gt;1,"",IF(OR(AB731&lt;&gt;"",AD731&lt;&gt;""),4,IF(U731&lt;&gt;"",3,IF(T731&lt;&gt;"",2,1))))</f>
        <v/>
      </c>
      <c r="BE731" s="39" t="str">
        <f aca="false">IF(OR(AO731&lt;&gt;1,AR731=""),"",INDEX(NIV_REQ,AR731))</f>
        <v/>
      </c>
      <c r="BF731" s="39" t="str">
        <f aca="false">IF(BE731="","",MAX(BE731,IF(OR(K731="Oui",Z731="Oui"),4,1)))</f>
        <v/>
      </c>
      <c r="BG731" s="35" t="str">
        <f aca="false">IF(OR(BF731="",BD731=""),"",IF(BD731&gt;=BF731,1,0))</f>
        <v/>
      </c>
      <c r="BH731" s="38" t="str">
        <f aca="false">IF(BE731="","",IF(BE731&lt;2,"",IF(BE731=2,IF(AND(T731="",U731=""),"",MIN(T731,U731)),IF(U731="","",U731))))</f>
        <v/>
      </c>
      <c r="BI731" s="37" t="str">
        <f aca="false">IF(BH731="","",IF(OR(O731="",BH731=""),"",IF(BH731&lt;O731,"",ROUND(((NETWORKDAYS(O731,BH731,JoursFeries)-1)*(HFer-HOuv)+IF(NETWORKDAYS(BH731,BH731,JoursFeries),MEDIAN(MOD(BH731,1),HFer,HOuv),HFer)-IF(NETWORKDAYS(O731,O731,JoursFeries),MEDIAN(MOD(O731,1),HFer,HOuv),HOuv))*24,4))))</f>
        <v/>
      </c>
      <c r="BJ731" s="35" t="str">
        <f aca="false">IF(OR(BI731="",AR731=""),"",IF(BI731&lt;=INDEX(DELAI_ESC,AR731),1,0))</f>
        <v/>
      </c>
      <c r="BK731" s="38" t="str">
        <f aca="false">IF(AO731&lt;&gt;1,"",IF(AND(T731="",U731=""),"",MIN(T731,U731)))</f>
        <v/>
      </c>
      <c r="BL731" s="37" t="str">
        <f aca="false">IF(OR(BK731="",R731=""),"",IFERROR(ROUND(IF(OR(BK731="",R731=""),"",IF(R731&lt;BK731,"",ROUND(((NETWORKDAYS(BK731,R731,JoursFeries)-1)*(HFer-HOuv)+IF(NETWORKDAYS(R731,R731,JoursFeries),MEDIAN(MOD(R731,1),HFer,HOuv),HFer)-IF(NETWORKDAYS(BK731,BK731,JoursFeries),MEDIAN(MOD(BK731,1),HFer,HOuv),HOuv))*24,4)))/HJour,4),""))</f>
        <v/>
      </c>
      <c r="BM731" s="35" t="str">
        <f aca="false">IF(OR(AO731&lt;&gt;1,R731=""),"",IF(BD731=1,1,0))</f>
        <v/>
      </c>
      <c r="BN731" s="35" t="str">
        <f aca="false">IF(AO731&lt;&gt;1,"",IF(W731="Oui",1,0))</f>
        <v/>
      </c>
      <c r="BO731" s="35" t="str">
        <f aca="false">IF(AO731&lt;&gt;1,"",IF(X731&lt;&gt;"",1,0))</f>
        <v/>
      </c>
      <c r="BP731" s="35" t="str">
        <f aca="false">IF(AO731&lt;&gt;1,"",IF(Y731="Oui",1,0))</f>
        <v/>
      </c>
      <c r="BQ731" s="35" t="str">
        <f aca="true">IF(OR(AO731&lt;&gt;1,Z731&lt;&gt;"Oui"),"",IF(AB731="",IF(AND(AA731&lt;&gt;"",NOW()&gt;AA731),0,""),IF(AA731="","",IF(AB731&lt;=AA731,1,0))))</f>
        <v/>
      </c>
      <c r="BR731" s="38" t="str">
        <f aca="false">IF(OR(AO731&lt;&gt;1,K731&lt;&gt;"Oui",O731=""),"",IF(AC731="",O731+DORA_H_DET/24,IF(AC731-O731&lt;=DORA_H_DET/24,MIN(AC731+DORA_H_CLA/24,O731+DORA_H_DET/24),AC731+DORA_H_CLA/24)))</f>
        <v/>
      </c>
      <c r="BS731" s="35" t="str">
        <f aca="true">IF(BR731="","",IF(AD731="",IF(NOW()&gt;BR731,0,""),IF(AD731&lt;=BR731,1,0)))</f>
        <v/>
      </c>
      <c r="BT731" s="35" t="str">
        <f aca="true">IF(OR(BR731="",AD731=""),"",IF(AE731="",IF(NOW()&gt;AD731+DORA_H_INT/24,0,""),IF(AE731&lt;=AD731+DORA_H_INT/24,1,0)))</f>
        <v/>
      </c>
      <c r="BU731" s="35" t="str">
        <f aca="true">IF(OR(BR731="",AE731=""),"",IF(AF731="",IF(NOW()&gt;EDATE(AE731,DORA_M_FIN)+1,0,""),IF(AF731&lt;=EDATE(AE731,DORA_M_FIN),1,0)))</f>
        <v/>
      </c>
      <c r="BV731" s="35" t="str">
        <f aca="false">IF(BR731="","",IF(COUNT(BS731:BU731)=0,"",MIN(BS731:BU731)))</f>
        <v/>
      </c>
      <c r="BW731" s="40" t="str">
        <f aca="false">IF(AQ731&lt;&gt;1,"",IF(AND(AG731="",AH731=""),"",N(AG731)-N(AH731)))</f>
        <v/>
      </c>
      <c r="BX731" s="35" t="str">
        <f aca="true">IF(OR(AQ731&lt;&gt;1,AI731&lt;&gt;"Oui",AJ731=""),"",IF(AK731="",IF(NOW()&gt;AJ731+1,0,""),IF(AK731&lt;=AJ731,1,0)))</f>
        <v/>
      </c>
    </row>
    <row r="732" customFormat="false" ht="15" hidden="false" customHeight="false" outlineLevel="0" collapsed="false">
      <c r="B732" s="29"/>
      <c r="C732" s="29"/>
      <c r="D732" s="29"/>
      <c r="E732" s="29"/>
      <c r="F732" s="29"/>
      <c r="G732" s="29"/>
      <c r="H732" s="29"/>
      <c r="I732" s="29"/>
      <c r="J732" s="29"/>
      <c r="K732" s="29"/>
      <c r="L732" s="29"/>
      <c r="M732" s="29"/>
      <c r="N732" s="30"/>
      <c r="O732" s="30"/>
      <c r="P732" s="30"/>
      <c r="Q732" s="30"/>
      <c r="R732" s="30"/>
      <c r="S732" s="30"/>
      <c r="T732" s="30"/>
      <c r="U732" s="30"/>
      <c r="V732" s="31"/>
      <c r="W732" s="29"/>
      <c r="X732" s="29"/>
      <c r="Y732" s="29"/>
      <c r="Z732" s="29"/>
      <c r="AA732" s="30"/>
      <c r="AB732" s="30"/>
      <c r="AC732" s="30"/>
      <c r="AD732" s="30"/>
      <c r="AE732" s="30"/>
      <c r="AF732" s="32"/>
      <c r="AG732" s="33"/>
      <c r="AH732" s="33"/>
      <c r="AI732" s="29"/>
      <c r="AJ732" s="32"/>
      <c r="AK732" s="32"/>
      <c r="AL732" s="29"/>
      <c r="AN732" s="34" t="str">
        <f aca="false">IF($B732="","",IF(OR(C732="",D732="",E732="",G732="",I732="",J732="",L732="",O732="",P732=""),"Champ obligatoire manquant",IF(OR(AND(N732&lt;&gt;"",N732&gt;O732),O732&gt;P732,AND(Q732&lt;&gt;"",Q732&lt;P732),AND(R732&lt;&gt;"",R732&lt;P732),AND(S732&lt;&gt;"",S732&lt;R732),AND(S732&lt;&gt;"",R732=""),AND(T732&lt;&gt;"",T732&lt;O732),AND(U732&lt;&gt;"",U732&lt;O732)),"Chronologie incohérente",IF(AND(OR(L732="Résolu",L732="Clos"),R732=""),"Date de résolution manquante",IF(AND(L732="Clos",S732=""),"Date de clôture manquante",IF(AND(K732="Oui",AC732=""),"Classification DORA manquante","OK"))))))</f>
        <v/>
      </c>
      <c r="AO732" s="35" t="str">
        <f aca="false">IF($B732="","",IF(AND(C732="Incident",L732&lt;&gt;"Annulé"),1,0))</f>
        <v/>
      </c>
      <c r="AP732" s="35" t="str">
        <f aca="false">IF($B732="","",IF(AND(C732="Quasi-incident",L732&lt;&gt;"Annulé"),1,0))</f>
        <v/>
      </c>
      <c r="AQ732" s="35" t="str">
        <f aca="false">IF($B732="","",AO732+AP732)</f>
        <v/>
      </c>
      <c r="AR732" s="36" t="str">
        <f aca="false">IF(OR($B732="",J732=""),"",IFERROR(VALUE(LEFT(J732,1)),""))</f>
        <v/>
      </c>
      <c r="AS732" s="35" t="str">
        <f aca="false">IF(OR(AO732&lt;&gt;1,G732=""),"",IFERROR(IF(INDEX(L_SrcInterne,MATCH(G732,L_Sources,0))="Oui",1,0),""))</f>
        <v/>
      </c>
      <c r="AT732" s="37" t="str">
        <f aca="false">IF(AO732&lt;&gt;1,"",IFERROR(ROUND(IF(OR(N732="",O732=""),"",IF(O732&lt;N732,"",ROUND(((NETWORKDAYS(N732,O732,JoursFeries)-1)*(HFer-HOuv)+IF(NETWORKDAYS(O732,O732,JoursFeries),MEDIAN(MOD(O732,1),HFer,HOuv),HFer)-IF(NETWORKDAYS(N732,N732,JoursFeries),MEDIAN(MOD(N732,1),HFer,HOuv),HOuv))*24,4)))/HJour,4),""))</f>
        <v/>
      </c>
      <c r="AU732" s="37" t="str">
        <f aca="false">IF(AO732&lt;&gt;1,"",IF(OR(O732="",P732=""),"",IF(P732&lt;O732,"",ROUND(((NETWORKDAYS(O732,P732,JoursFeries)-1)*(HFer-HOuv)+IF(NETWORKDAYS(P732,P732,JoursFeries),MEDIAN(MOD(P732,1),HFer,HOuv),HFer)-IF(NETWORKDAYS(O732,O732,JoursFeries),MEDIAN(MOD(O732,1),HFer,HOuv),HOuv))*24,4))))</f>
        <v/>
      </c>
      <c r="AV732" s="37" t="str">
        <f aca="false">IF(AO732&lt;&gt;1,"",IF(OR(P732="",Q732=""),"",IF(Q732&lt;P732,"",ROUND(((NETWORKDAYS(P732,Q732,JoursFeries)-1)*(HFer-HOuv)+IF(NETWORKDAYS(Q732,Q732,JoursFeries),MEDIAN(MOD(Q732,1),HFer,HOuv),HFer)-IF(NETWORKDAYS(P732,P732,JoursFeries),MEDIAN(MOD(P732,1),HFer,HOuv),HOuv))*24,4))))</f>
        <v/>
      </c>
      <c r="AW732" s="37" t="str">
        <f aca="false">IF(AO732&lt;&gt;1,"",IFERROR(ROUND(IF(OR(P732="",R732=""),"",IF(R732&lt;P732,"",ROUND(((NETWORKDAYS(P732,R732,JoursFeries)-1)*(HFer-HOuv)+IF(NETWORKDAYS(R732,R732,JoursFeries),MEDIAN(MOD(R732,1),HFer,HOuv),HFer)-IF(NETWORKDAYS(P732,P732,JoursFeries),MEDIAN(MOD(P732,1),HFer,HOuv),HOuv))*24,4)))/HJour,4),""))</f>
        <v/>
      </c>
      <c r="AX732" s="37" t="str">
        <f aca="false">IF(AO732&lt;&gt;1,"",IFERROR(ROUND(IF(OR(P732="",S732=""),"",IF(S732&lt;P732,"",ROUND(((NETWORKDAYS(P732,S732,JoursFeries)-1)*(HFer-HOuv)+IF(NETWORKDAYS(S732,S732,JoursFeries),MEDIAN(MOD(S732,1),HFer,HOuv),HFer)-IF(NETWORKDAYS(P732,P732,JoursFeries),MEDIAN(MOD(P732,1),HFer,HOuv),HOuv))*24,4)))/HJour,4),""))</f>
        <v/>
      </c>
      <c r="AY732" s="36" t="str">
        <f aca="false">IF(OR(AO732&lt;&gt;1,AR732=""),"",INDEX(SLA_PEC,AR732))</f>
        <v/>
      </c>
      <c r="AZ732" s="35" t="str">
        <f aca="false">IF(OR(AV732="",AY732=""),"",IF(AV732&lt;=AY732,1,0))</f>
        <v/>
      </c>
      <c r="BA732" s="36" t="str">
        <f aca="false">IF(OR(AO732&lt;&gt;1,AR732=""),"",INDEX(SLA_RES,AR732))</f>
        <v/>
      </c>
      <c r="BB732" s="35" t="str">
        <f aca="false">IF(OR(AW732="",BA732=""),"",IF(AW732&lt;=BA732,1,0))</f>
        <v/>
      </c>
      <c r="BC732" s="38" t="str">
        <f aca="false">IF(OR(BA732="",P732=""),"",WORKDAY(INT(P732),BA732,JoursFeries)+MOD(P732,1))</f>
        <v/>
      </c>
      <c r="BD732" s="39" t="str">
        <f aca="false">IF(AO732&lt;&gt;1,"",IF(OR(AB732&lt;&gt;"",AD732&lt;&gt;""),4,IF(U732&lt;&gt;"",3,IF(T732&lt;&gt;"",2,1))))</f>
        <v/>
      </c>
      <c r="BE732" s="39" t="str">
        <f aca="false">IF(OR(AO732&lt;&gt;1,AR732=""),"",INDEX(NIV_REQ,AR732))</f>
        <v/>
      </c>
      <c r="BF732" s="39" t="str">
        <f aca="false">IF(BE732="","",MAX(BE732,IF(OR(K732="Oui",Z732="Oui"),4,1)))</f>
        <v/>
      </c>
      <c r="BG732" s="35" t="str">
        <f aca="false">IF(OR(BF732="",BD732=""),"",IF(BD732&gt;=BF732,1,0))</f>
        <v/>
      </c>
      <c r="BH732" s="38" t="str">
        <f aca="false">IF(BE732="","",IF(BE732&lt;2,"",IF(BE732=2,IF(AND(T732="",U732=""),"",MIN(T732,U732)),IF(U732="","",U732))))</f>
        <v/>
      </c>
      <c r="BI732" s="37" t="str">
        <f aca="false">IF(BH732="","",IF(OR(O732="",BH732=""),"",IF(BH732&lt;O732,"",ROUND(((NETWORKDAYS(O732,BH732,JoursFeries)-1)*(HFer-HOuv)+IF(NETWORKDAYS(BH732,BH732,JoursFeries),MEDIAN(MOD(BH732,1),HFer,HOuv),HFer)-IF(NETWORKDAYS(O732,O732,JoursFeries),MEDIAN(MOD(O732,1),HFer,HOuv),HOuv))*24,4))))</f>
        <v/>
      </c>
      <c r="BJ732" s="35" t="str">
        <f aca="false">IF(OR(BI732="",AR732=""),"",IF(BI732&lt;=INDEX(DELAI_ESC,AR732),1,0))</f>
        <v/>
      </c>
      <c r="BK732" s="38" t="str">
        <f aca="false">IF(AO732&lt;&gt;1,"",IF(AND(T732="",U732=""),"",MIN(T732,U732)))</f>
        <v/>
      </c>
      <c r="BL732" s="37" t="str">
        <f aca="false">IF(OR(BK732="",R732=""),"",IFERROR(ROUND(IF(OR(BK732="",R732=""),"",IF(R732&lt;BK732,"",ROUND(((NETWORKDAYS(BK732,R732,JoursFeries)-1)*(HFer-HOuv)+IF(NETWORKDAYS(R732,R732,JoursFeries),MEDIAN(MOD(R732,1),HFer,HOuv),HFer)-IF(NETWORKDAYS(BK732,BK732,JoursFeries),MEDIAN(MOD(BK732,1),HFer,HOuv),HOuv))*24,4)))/HJour,4),""))</f>
        <v/>
      </c>
      <c r="BM732" s="35" t="str">
        <f aca="false">IF(OR(AO732&lt;&gt;1,R732=""),"",IF(BD732=1,1,0))</f>
        <v/>
      </c>
      <c r="BN732" s="35" t="str">
        <f aca="false">IF(AO732&lt;&gt;1,"",IF(W732="Oui",1,0))</f>
        <v/>
      </c>
      <c r="BO732" s="35" t="str">
        <f aca="false">IF(AO732&lt;&gt;1,"",IF(X732&lt;&gt;"",1,0))</f>
        <v/>
      </c>
      <c r="BP732" s="35" t="str">
        <f aca="false">IF(AO732&lt;&gt;1,"",IF(Y732="Oui",1,0))</f>
        <v/>
      </c>
      <c r="BQ732" s="35" t="str">
        <f aca="true">IF(OR(AO732&lt;&gt;1,Z732&lt;&gt;"Oui"),"",IF(AB732="",IF(AND(AA732&lt;&gt;"",NOW()&gt;AA732),0,""),IF(AA732="","",IF(AB732&lt;=AA732,1,0))))</f>
        <v/>
      </c>
      <c r="BR732" s="38" t="str">
        <f aca="false">IF(OR(AO732&lt;&gt;1,K732&lt;&gt;"Oui",O732=""),"",IF(AC732="",O732+DORA_H_DET/24,IF(AC732-O732&lt;=DORA_H_DET/24,MIN(AC732+DORA_H_CLA/24,O732+DORA_H_DET/24),AC732+DORA_H_CLA/24)))</f>
        <v/>
      </c>
      <c r="BS732" s="35" t="str">
        <f aca="true">IF(BR732="","",IF(AD732="",IF(NOW()&gt;BR732,0,""),IF(AD732&lt;=BR732,1,0)))</f>
        <v/>
      </c>
      <c r="BT732" s="35" t="str">
        <f aca="true">IF(OR(BR732="",AD732=""),"",IF(AE732="",IF(NOW()&gt;AD732+DORA_H_INT/24,0,""),IF(AE732&lt;=AD732+DORA_H_INT/24,1,0)))</f>
        <v/>
      </c>
      <c r="BU732" s="35" t="str">
        <f aca="true">IF(OR(BR732="",AE732=""),"",IF(AF732="",IF(NOW()&gt;EDATE(AE732,DORA_M_FIN)+1,0,""),IF(AF732&lt;=EDATE(AE732,DORA_M_FIN),1,0)))</f>
        <v/>
      </c>
      <c r="BV732" s="35" t="str">
        <f aca="false">IF(BR732="","",IF(COUNT(BS732:BU732)=0,"",MIN(BS732:BU732)))</f>
        <v/>
      </c>
      <c r="BW732" s="40" t="str">
        <f aca="false">IF(AQ732&lt;&gt;1,"",IF(AND(AG732="",AH732=""),"",N(AG732)-N(AH732)))</f>
        <v/>
      </c>
      <c r="BX732" s="35" t="str">
        <f aca="true">IF(OR(AQ732&lt;&gt;1,AI732&lt;&gt;"Oui",AJ732=""),"",IF(AK732="",IF(NOW()&gt;AJ732+1,0,""),IF(AK732&lt;=AJ732,1,0)))</f>
        <v/>
      </c>
    </row>
    <row r="733" customFormat="false" ht="15" hidden="false" customHeight="false" outlineLevel="0" collapsed="false">
      <c r="B733" s="29"/>
      <c r="C733" s="29"/>
      <c r="D733" s="29"/>
      <c r="E733" s="29"/>
      <c r="F733" s="29"/>
      <c r="G733" s="29"/>
      <c r="H733" s="29"/>
      <c r="I733" s="29"/>
      <c r="J733" s="29"/>
      <c r="K733" s="29"/>
      <c r="L733" s="29"/>
      <c r="M733" s="29"/>
      <c r="N733" s="30"/>
      <c r="O733" s="30"/>
      <c r="P733" s="30"/>
      <c r="Q733" s="30"/>
      <c r="R733" s="30"/>
      <c r="S733" s="30"/>
      <c r="T733" s="30"/>
      <c r="U733" s="30"/>
      <c r="V733" s="31"/>
      <c r="W733" s="29"/>
      <c r="X733" s="29"/>
      <c r="Y733" s="29"/>
      <c r="Z733" s="29"/>
      <c r="AA733" s="30"/>
      <c r="AB733" s="30"/>
      <c r="AC733" s="30"/>
      <c r="AD733" s="30"/>
      <c r="AE733" s="30"/>
      <c r="AF733" s="32"/>
      <c r="AG733" s="33"/>
      <c r="AH733" s="33"/>
      <c r="AI733" s="29"/>
      <c r="AJ733" s="32"/>
      <c r="AK733" s="32"/>
      <c r="AL733" s="29"/>
      <c r="AN733" s="34" t="str">
        <f aca="false">IF($B733="","",IF(OR(C733="",D733="",E733="",G733="",I733="",J733="",L733="",O733="",P733=""),"Champ obligatoire manquant",IF(OR(AND(N733&lt;&gt;"",N733&gt;O733),O733&gt;P733,AND(Q733&lt;&gt;"",Q733&lt;P733),AND(R733&lt;&gt;"",R733&lt;P733),AND(S733&lt;&gt;"",S733&lt;R733),AND(S733&lt;&gt;"",R733=""),AND(T733&lt;&gt;"",T733&lt;O733),AND(U733&lt;&gt;"",U733&lt;O733)),"Chronologie incohérente",IF(AND(OR(L733="Résolu",L733="Clos"),R733=""),"Date de résolution manquante",IF(AND(L733="Clos",S733=""),"Date de clôture manquante",IF(AND(K733="Oui",AC733=""),"Classification DORA manquante","OK"))))))</f>
        <v/>
      </c>
      <c r="AO733" s="35" t="str">
        <f aca="false">IF($B733="","",IF(AND(C733="Incident",L733&lt;&gt;"Annulé"),1,0))</f>
        <v/>
      </c>
      <c r="AP733" s="35" t="str">
        <f aca="false">IF($B733="","",IF(AND(C733="Quasi-incident",L733&lt;&gt;"Annulé"),1,0))</f>
        <v/>
      </c>
      <c r="AQ733" s="35" t="str">
        <f aca="false">IF($B733="","",AO733+AP733)</f>
        <v/>
      </c>
      <c r="AR733" s="36" t="str">
        <f aca="false">IF(OR($B733="",J733=""),"",IFERROR(VALUE(LEFT(J733,1)),""))</f>
        <v/>
      </c>
      <c r="AS733" s="35" t="str">
        <f aca="false">IF(OR(AO733&lt;&gt;1,G733=""),"",IFERROR(IF(INDEX(L_SrcInterne,MATCH(G733,L_Sources,0))="Oui",1,0),""))</f>
        <v/>
      </c>
      <c r="AT733" s="37" t="str">
        <f aca="false">IF(AO733&lt;&gt;1,"",IFERROR(ROUND(IF(OR(N733="",O733=""),"",IF(O733&lt;N733,"",ROUND(((NETWORKDAYS(N733,O733,JoursFeries)-1)*(HFer-HOuv)+IF(NETWORKDAYS(O733,O733,JoursFeries),MEDIAN(MOD(O733,1),HFer,HOuv),HFer)-IF(NETWORKDAYS(N733,N733,JoursFeries),MEDIAN(MOD(N733,1),HFer,HOuv),HOuv))*24,4)))/HJour,4),""))</f>
        <v/>
      </c>
      <c r="AU733" s="37" t="str">
        <f aca="false">IF(AO733&lt;&gt;1,"",IF(OR(O733="",P733=""),"",IF(P733&lt;O733,"",ROUND(((NETWORKDAYS(O733,P733,JoursFeries)-1)*(HFer-HOuv)+IF(NETWORKDAYS(P733,P733,JoursFeries),MEDIAN(MOD(P733,1),HFer,HOuv),HFer)-IF(NETWORKDAYS(O733,O733,JoursFeries),MEDIAN(MOD(O733,1),HFer,HOuv),HOuv))*24,4))))</f>
        <v/>
      </c>
      <c r="AV733" s="37" t="str">
        <f aca="false">IF(AO733&lt;&gt;1,"",IF(OR(P733="",Q733=""),"",IF(Q733&lt;P733,"",ROUND(((NETWORKDAYS(P733,Q733,JoursFeries)-1)*(HFer-HOuv)+IF(NETWORKDAYS(Q733,Q733,JoursFeries),MEDIAN(MOD(Q733,1),HFer,HOuv),HFer)-IF(NETWORKDAYS(P733,P733,JoursFeries),MEDIAN(MOD(P733,1),HFer,HOuv),HOuv))*24,4))))</f>
        <v/>
      </c>
      <c r="AW733" s="37" t="str">
        <f aca="false">IF(AO733&lt;&gt;1,"",IFERROR(ROUND(IF(OR(P733="",R733=""),"",IF(R733&lt;P733,"",ROUND(((NETWORKDAYS(P733,R733,JoursFeries)-1)*(HFer-HOuv)+IF(NETWORKDAYS(R733,R733,JoursFeries),MEDIAN(MOD(R733,1),HFer,HOuv),HFer)-IF(NETWORKDAYS(P733,P733,JoursFeries),MEDIAN(MOD(P733,1),HFer,HOuv),HOuv))*24,4)))/HJour,4),""))</f>
        <v/>
      </c>
      <c r="AX733" s="37" t="str">
        <f aca="false">IF(AO733&lt;&gt;1,"",IFERROR(ROUND(IF(OR(P733="",S733=""),"",IF(S733&lt;P733,"",ROUND(((NETWORKDAYS(P733,S733,JoursFeries)-1)*(HFer-HOuv)+IF(NETWORKDAYS(S733,S733,JoursFeries),MEDIAN(MOD(S733,1),HFer,HOuv),HFer)-IF(NETWORKDAYS(P733,P733,JoursFeries),MEDIAN(MOD(P733,1),HFer,HOuv),HOuv))*24,4)))/HJour,4),""))</f>
        <v/>
      </c>
      <c r="AY733" s="36" t="str">
        <f aca="false">IF(OR(AO733&lt;&gt;1,AR733=""),"",INDEX(SLA_PEC,AR733))</f>
        <v/>
      </c>
      <c r="AZ733" s="35" t="str">
        <f aca="false">IF(OR(AV733="",AY733=""),"",IF(AV733&lt;=AY733,1,0))</f>
        <v/>
      </c>
      <c r="BA733" s="36" t="str">
        <f aca="false">IF(OR(AO733&lt;&gt;1,AR733=""),"",INDEX(SLA_RES,AR733))</f>
        <v/>
      </c>
      <c r="BB733" s="35" t="str">
        <f aca="false">IF(OR(AW733="",BA733=""),"",IF(AW733&lt;=BA733,1,0))</f>
        <v/>
      </c>
      <c r="BC733" s="38" t="str">
        <f aca="false">IF(OR(BA733="",P733=""),"",WORKDAY(INT(P733),BA733,JoursFeries)+MOD(P733,1))</f>
        <v/>
      </c>
      <c r="BD733" s="39" t="str">
        <f aca="false">IF(AO733&lt;&gt;1,"",IF(OR(AB733&lt;&gt;"",AD733&lt;&gt;""),4,IF(U733&lt;&gt;"",3,IF(T733&lt;&gt;"",2,1))))</f>
        <v/>
      </c>
      <c r="BE733" s="39" t="str">
        <f aca="false">IF(OR(AO733&lt;&gt;1,AR733=""),"",INDEX(NIV_REQ,AR733))</f>
        <v/>
      </c>
      <c r="BF733" s="39" t="str">
        <f aca="false">IF(BE733="","",MAX(BE733,IF(OR(K733="Oui",Z733="Oui"),4,1)))</f>
        <v/>
      </c>
      <c r="BG733" s="35" t="str">
        <f aca="false">IF(OR(BF733="",BD733=""),"",IF(BD733&gt;=BF733,1,0))</f>
        <v/>
      </c>
      <c r="BH733" s="38" t="str">
        <f aca="false">IF(BE733="","",IF(BE733&lt;2,"",IF(BE733=2,IF(AND(T733="",U733=""),"",MIN(T733,U733)),IF(U733="","",U733))))</f>
        <v/>
      </c>
      <c r="BI733" s="37" t="str">
        <f aca="false">IF(BH733="","",IF(OR(O733="",BH733=""),"",IF(BH733&lt;O733,"",ROUND(((NETWORKDAYS(O733,BH733,JoursFeries)-1)*(HFer-HOuv)+IF(NETWORKDAYS(BH733,BH733,JoursFeries),MEDIAN(MOD(BH733,1),HFer,HOuv),HFer)-IF(NETWORKDAYS(O733,O733,JoursFeries),MEDIAN(MOD(O733,1),HFer,HOuv),HOuv))*24,4))))</f>
        <v/>
      </c>
      <c r="BJ733" s="35" t="str">
        <f aca="false">IF(OR(BI733="",AR733=""),"",IF(BI733&lt;=INDEX(DELAI_ESC,AR733),1,0))</f>
        <v/>
      </c>
      <c r="BK733" s="38" t="str">
        <f aca="false">IF(AO733&lt;&gt;1,"",IF(AND(T733="",U733=""),"",MIN(T733,U733)))</f>
        <v/>
      </c>
      <c r="BL733" s="37" t="str">
        <f aca="false">IF(OR(BK733="",R733=""),"",IFERROR(ROUND(IF(OR(BK733="",R733=""),"",IF(R733&lt;BK733,"",ROUND(((NETWORKDAYS(BK733,R733,JoursFeries)-1)*(HFer-HOuv)+IF(NETWORKDAYS(R733,R733,JoursFeries),MEDIAN(MOD(R733,1),HFer,HOuv),HFer)-IF(NETWORKDAYS(BK733,BK733,JoursFeries),MEDIAN(MOD(BK733,1),HFer,HOuv),HOuv))*24,4)))/HJour,4),""))</f>
        <v/>
      </c>
      <c r="BM733" s="35" t="str">
        <f aca="false">IF(OR(AO733&lt;&gt;1,R733=""),"",IF(BD733=1,1,0))</f>
        <v/>
      </c>
      <c r="BN733" s="35" t="str">
        <f aca="false">IF(AO733&lt;&gt;1,"",IF(W733="Oui",1,0))</f>
        <v/>
      </c>
      <c r="BO733" s="35" t="str">
        <f aca="false">IF(AO733&lt;&gt;1,"",IF(X733&lt;&gt;"",1,0))</f>
        <v/>
      </c>
      <c r="BP733" s="35" t="str">
        <f aca="false">IF(AO733&lt;&gt;1,"",IF(Y733="Oui",1,0))</f>
        <v/>
      </c>
      <c r="BQ733" s="35" t="str">
        <f aca="true">IF(OR(AO733&lt;&gt;1,Z733&lt;&gt;"Oui"),"",IF(AB733="",IF(AND(AA733&lt;&gt;"",NOW()&gt;AA733),0,""),IF(AA733="","",IF(AB733&lt;=AA733,1,0))))</f>
        <v/>
      </c>
      <c r="BR733" s="38" t="str">
        <f aca="false">IF(OR(AO733&lt;&gt;1,K733&lt;&gt;"Oui",O733=""),"",IF(AC733="",O733+DORA_H_DET/24,IF(AC733-O733&lt;=DORA_H_DET/24,MIN(AC733+DORA_H_CLA/24,O733+DORA_H_DET/24),AC733+DORA_H_CLA/24)))</f>
        <v/>
      </c>
      <c r="BS733" s="35" t="str">
        <f aca="true">IF(BR733="","",IF(AD733="",IF(NOW()&gt;BR733,0,""),IF(AD733&lt;=BR733,1,0)))</f>
        <v/>
      </c>
      <c r="BT733" s="35" t="str">
        <f aca="true">IF(OR(BR733="",AD733=""),"",IF(AE733="",IF(NOW()&gt;AD733+DORA_H_INT/24,0,""),IF(AE733&lt;=AD733+DORA_H_INT/24,1,0)))</f>
        <v/>
      </c>
      <c r="BU733" s="35" t="str">
        <f aca="true">IF(OR(BR733="",AE733=""),"",IF(AF733="",IF(NOW()&gt;EDATE(AE733,DORA_M_FIN)+1,0,""),IF(AF733&lt;=EDATE(AE733,DORA_M_FIN),1,0)))</f>
        <v/>
      </c>
      <c r="BV733" s="35" t="str">
        <f aca="false">IF(BR733="","",IF(COUNT(BS733:BU733)=0,"",MIN(BS733:BU733)))</f>
        <v/>
      </c>
      <c r="BW733" s="40" t="str">
        <f aca="false">IF(AQ733&lt;&gt;1,"",IF(AND(AG733="",AH733=""),"",N(AG733)-N(AH733)))</f>
        <v/>
      </c>
      <c r="BX733" s="35" t="str">
        <f aca="true">IF(OR(AQ733&lt;&gt;1,AI733&lt;&gt;"Oui",AJ733=""),"",IF(AK733="",IF(NOW()&gt;AJ733+1,0,""),IF(AK733&lt;=AJ733,1,0)))</f>
        <v/>
      </c>
    </row>
    <row r="734" customFormat="false" ht="15" hidden="false" customHeight="false" outlineLevel="0" collapsed="false">
      <c r="B734" s="29"/>
      <c r="C734" s="29"/>
      <c r="D734" s="29"/>
      <c r="E734" s="29"/>
      <c r="F734" s="29"/>
      <c r="G734" s="29"/>
      <c r="H734" s="29"/>
      <c r="I734" s="29"/>
      <c r="J734" s="29"/>
      <c r="K734" s="29"/>
      <c r="L734" s="29"/>
      <c r="M734" s="29"/>
      <c r="N734" s="30"/>
      <c r="O734" s="30"/>
      <c r="P734" s="30"/>
      <c r="Q734" s="30"/>
      <c r="R734" s="30"/>
      <c r="S734" s="30"/>
      <c r="T734" s="30"/>
      <c r="U734" s="30"/>
      <c r="V734" s="31"/>
      <c r="W734" s="29"/>
      <c r="X734" s="29"/>
      <c r="Y734" s="29"/>
      <c r="Z734" s="29"/>
      <c r="AA734" s="30"/>
      <c r="AB734" s="30"/>
      <c r="AC734" s="30"/>
      <c r="AD734" s="30"/>
      <c r="AE734" s="30"/>
      <c r="AF734" s="32"/>
      <c r="AG734" s="33"/>
      <c r="AH734" s="33"/>
      <c r="AI734" s="29"/>
      <c r="AJ734" s="32"/>
      <c r="AK734" s="32"/>
      <c r="AL734" s="29"/>
      <c r="AN734" s="34" t="str">
        <f aca="false">IF($B734="","",IF(OR(C734="",D734="",E734="",G734="",I734="",J734="",L734="",O734="",P734=""),"Champ obligatoire manquant",IF(OR(AND(N734&lt;&gt;"",N734&gt;O734),O734&gt;P734,AND(Q734&lt;&gt;"",Q734&lt;P734),AND(R734&lt;&gt;"",R734&lt;P734),AND(S734&lt;&gt;"",S734&lt;R734),AND(S734&lt;&gt;"",R734=""),AND(T734&lt;&gt;"",T734&lt;O734),AND(U734&lt;&gt;"",U734&lt;O734)),"Chronologie incohérente",IF(AND(OR(L734="Résolu",L734="Clos"),R734=""),"Date de résolution manquante",IF(AND(L734="Clos",S734=""),"Date de clôture manquante",IF(AND(K734="Oui",AC734=""),"Classification DORA manquante","OK"))))))</f>
        <v/>
      </c>
      <c r="AO734" s="35" t="str">
        <f aca="false">IF($B734="","",IF(AND(C734="Incident",L734&lt;&gt;"Annulé"),1,0))</f>
        <v/>
      </c>
      <c r="AP734" s="35" t="str">
        <f aca="false">IF($B734="","",IF(AND(C734="Quasi-incident",L734&lt;&gt;"Annulé"),1,0))</f>
        <v/>
      </c>
      <c r="AQ734" s="35" t="str">
        <f aca="false">IF($B734="","",AO734+AP734)</f>
        <v/>
      </c>
      <c r="AR734" s="36" t="str">
        <f aca="false">IF(OR($B734="",J734=""),"",IFERROR(VALUE(LEFT(J734,1)),""))</f>
        <v/>
      </c>
      <c r="AS734" s="35" t="str">
        <f aca="false">IF(OR(AO734&lt;&gt;1,G734=""),"",IFERROR(IF(INDEX(L_SrcInterne,MATCH(G734,L_Sources,0))="Oui",1,0),""))</f>
        <v/>
      </c>
      <c r="AT734" s="37" t="str">
        <f aca="false">IF(AO734&lt;&gt;1,"",IFERROR(ROUND(IF(OR(N734="",O734=""),"",IF(O734&lt;N734,"",ROUND(((NETWORKDAYS(N734,O734,JoursFeries)-1)*(HFer-HOuv)+IF(NETWORKDAYS(O734,O734,JoursFeries),MEDIAN(MOD(O734,1),HFer,HOuv),HFer)-IF(NETWORKDAYS(N734,N734,JoursFeries),MEDIAN(MOD(N734,1),HFer,HOuv),HOuv))*24,4)))/HJour,4),""))</f>
        <v/>
      </c>
      <c r="AU734" s="37" t="str">
        <f aca="false">IF(AO734&lt;&gt;1,"",IF(OR(O734="",P734=""),"",IF(P734&lt;O734,"",ROUND(((NETWORKDAYS(O734,P734,JoursFeries)-1)*(HFer-HOuv)+IF(NETWORKDAYS(P734,P734,JoursFeries),MEDIAN(MOD(P734,1),HFer,HOuv),HFer)-IF(NETWORKDAYS(O734,O734,JoursFeries),MEDIAN(MOD(O734,1),HFer,HOuv),HOuv))*24,4))))</f>
        <v/>
      </c>
      <c r="AV734" s="37" t="str">
        <f aca="false">IF(AO734&lt;&gt;1,"",IF(OR(P734="",Q734=""),"",IF(Q734&lt;P734,"",ROUND(((NETWORKDAYS(P734,Q734,JoursFeries)-1)*(HFer-HOuv)+IF(NETWORKDAYS(Q734,Q734,JoursFeries),MEDIAN(MOD(Q734,1),HFer,HOuv),HFer)-IF(NETWORKDAYS(P734,P734,JoursFeries),MEDIAN(MOD(P734,1),HFer,HOuv),HOuv))*24,4))))</f>
        <v/>
      </c>
      <c r="AW734" s="37" t="str">
        <f aca="false">IF(AO734&lt;&gt;1,"",IFERROR(ROUND(IF(OR(P734="",R734=""),"",IF(R734&lt;P734,"",ROUND(((NETWORKDAYS(P734,R734,JoursFeries)-1)*(HFer-HOuv)+IF(NETWORKDAYS(R734,R734,JoursFeries),MEDIAN(MOD(R734,1),HFer,HOuv),HFer)-IF(NETWORKDAYS(P734,P734,JoursFeries),MEDIAN(MOD(P734,1),HFer,HOuv),HOuv))*24,4)))/HJour,4),""))</f>
        <v/>
      </c>
      <c r="AX734" s="37" t="str">
        <f aca="false">IF(AO734&lt;&gt;1,"",IFERROR(ROUND(IF(OR(P734="",S734=""),"",IF(S734&lt;P734,"",ROUND(((NETWORKDAYS(P734,S734,JoursFeries)-1)*(HFer-HOuv)+IF(NETWORKDAYS(S734,S734,JoursFeries),MEDIAN(MOD(S734,1),HFer,HOuv),HFer)-IF(NETWORKDAYS(P734,P734,JoursFeries),MEDIAN(MOD(P734,1),HFer,HOuv),HOuv))*24,4)))/HJour,4),""))</f>
        <v/>
      </c>
      <c r="AY734" s="36" t="str">
        <f aca="false">IF(OR(AO734&lt;&gt;1,AR734=""),"",INDEX(SLA_PEC,AR734))</f>
        <v/>
      </c>
      <c r="AZ734" s="35" t="str">
        <f aca="false">IF(OR(AV734="",AY734=""),"",IF(AV734&lt;=AY734,1,0))</f>
        <v/>
      </c>
      <c r="BA734" s="36" t="str">
        <f aca="false">IF(OR(AO734&lt;&gt;1,AR734=""),"",INDEX(SLA_RES,AR734))</f>
        <v/>
      </c>
      <c r="BB734" s="35" t="str">
        <f aca="false">IF(OR(AW734="",BA734=""),"",IF(AW734&lt;=BA734,1,0))</f>
        <v/>
      </c>
      <c r="BC734" s="38" t="str">
        <f aca="false">IF(OR(BA734="",P734=""),"",WORKDAY(INT(P734),BA734,JoursFeries)+MOD(P734,1))</f>
        <v/>
      </c>
      <c r="BD734" s="39" t="str">
        <f aca="false">IF(AO734&lt;&gt;1,"",IF(OR(AB734&lt;&gt;"",AD734&lt;&gt;""),4,IF(U734&lt;&gt;"",3,IF(T734&lt;&gt;"",2,1))))</f>
        <v/>
      </c>
      <c r="BE734" s="39" t="str">
        <f aca="false">IF(OR(AO734&lt;&gt;1,AR734=""),"",INDEX(NIV_REQ,AR734))</f>
        <v/>
      </c>
      <c r="BF734" s="39" t="str">
        <f aca="false">IF(BE734="","",MAX(BE734,IF(OR(K734="Oui",Z734="Oui"),4,1)))</f>
        <v/>
      </c>
      <c r="BG734" s="35" t="str">
        <f aca="false">IF(OR(BF734="",BD734=""),"",IF(BD734&gt;=BF734,1,0))</f>
        <v/>
      </c>
      <c r="BH734" s="38" t="str">
        <f aca="false">IF(BE734="","",IF(BE734&lt;2,"",IF(BE734=2,IF(AND(T734="",U734=""),"",MIN(T734,U734)),IF(U734="","",U734))))</f>
        <v/>
      </c>
      <c r="BI734" s="37" t="str">
        <f aca="false">IF(BH734="","",IF(OR(O734="",BH734=""),"",IF(BH734&lt;O734,"",ROUND(((NETWORKDAYS(O734,BH734,JoursFeries)-1)*(HFer-HOuv)+IF(NETWORKDAYS(BH734,BH734,JoursFeries),MEDIAN(MOD(BH734,1),HFer,HOuv),HFer)-IF(NETWORKDAYS(O734,O734,JoursFeries),MEDIAN(MOD(O734,1),HFer,HOuv),HOuv))*24,4))))</f>
        <v/>
      </c>
      <c r="BJ734" s="35" t="str">
        <f aca="false">IF(OR(BI734="",AR734=""),"",IF(BI734&lt;=INDEX(DELAI_ESC,AR734),1,0))</f>
        <v/>
      </c>
      <c r="BK734" s="38" t="str">
        <f aca="false">IF(AO734&lt;&gt;1,"",IF(AND(T734="",U734=""),"",MIN(T734,U734)))</f>
        <v/>
      </c>
      <c r="BL734" s="37" t="str">
        <f aca="false">IF(OR(BK734="",R734=""),"",IFERROR(ROUND(IF(OR(BK734="",R734=""),"",IF(R734&lt;BK734,"",ROUND(((NETWORKDAYS(BK734,R734,JoursFeries)-1)*(HFer-HOuv)+IF(NETWORKDAYS(R734,R734,JoursFeries),MEDIAN(MOD(R734,1),HFer,HOuv),HFer)-IF(NETWORKDAYS(BK734,BK734,JoursFeries),MEDIAN(MOD(BK734,1),HFer,HOuv),HOuv))*24,4)))/HJour,4),""))</f>
        <v/>
      </c>
      <c r="BM734" s="35" t="str">
        <f aca="false">IF(OR(AO734&lt;&gt;1,R734=""),"",IF(BD734=1,1,0))</f>
        <v/>
      </c>
      <c r="BN734" s="35" t="str">
        <f aca="false">IF(AO734&lt;&gt;1,"",IF(W734="Oui",1,0))</f>
        <v/>
      </c>
      <c r="BO734" s="35" t="str">
        <f aca="false">IF(AO734&lt;&gt;1,"",IF(X734&lt;&gt;"",1,0))</f>
        <v/>
      </c>
      <c r="BP734" s="35" t="str">
        <f aca="false">IF(AO734&lt;&gt;1,"",IF(Y734="Oui",1,0))</f>
        <v/>
      </c>
      <c r="BQ734" s="35" t="str">
        <f aca="true">IF(OR(AO734&lt;&gt;1,Z734&lt;&gt;"Oui"),"",IF(AB734="",IF(AND(AA734&lt;&gt;"",NOW()&gt;AA734),0,""),IF(AA734="","",IF(AB734&lt;=AA734,1,0))))</f>
        <v/>
      </c>
      <c r="BR734" s="38" t="str">
        <f aca="false">IF(OR(AO734&lt;&gt;1,K734&lt;&gt;"Oui",O734=""),"",IF(AC734="",O734+DORA_H_DET/24,IF(AC734-O734&lt;=DORA_H_DET/24,MIN(AC734+DORA_H_CLA/24,O734+DORA_H_DET/24),AC734+DORA_H_CLA/24)))</f>
        <v/>
      </c>
      <c r="BS734" s="35" t="str">
        <f aca="true">IF(BR734="","",IF(AD734="",IF(NOW()&gt;BR734,0,""),IF(AD734&lt;=BR734,1,0)))</f>
        <v/>
      </c>
      <c r="BT734" s="35" t="str">
        <f aca="true">IF(OR(BR734="",AD734=""),"",IF(AE734="",IF(NOW()&gt;AD734+DORA_H_INT/24,0,""),IF(AE734&lt;=AD734+DORA_H_INT/24,1,0)))</f>
        <v/>
      </c>
      <c r="BU734" s="35" t="str">
        <f aca="true">IF(OR(BR734="",AE734=""),"",IF(AF734="",IF(NOW()&gt;EDATE(AE734,DORA_M_FIN)+1,0,""),IF(AF734&lt;=EDATE(AE734,DORA_M_FIN),1,0)))</f>
        <v/>
      </c>
      <c r="BV734" s="35" t="str">
        <f aca="false">IF(BR734="","",IF(COUNT(BS734:BU734)=0,"",MIN(BS734:BU734)))</f>
        <v/>
      </c>
      <c r="BW734" s="40" t="str">
        <f aca="false">IF(AQ734&lt;&gt;1,"",IF(AND(AG734="",AH734=""),"",N(AG734)-N(AH734)))</f>
        <v/>
      </c>
      <c r="BX734" s="35" t="str">
        <f aca="true">IF(OR(AQ734&lt;&gt;1,AI734&lt;&gt;"Oui",AJ734=""),"",IF(AK734="",IF(NOW()&gt;AJ734+1,0,""),IF(AK734&lt;=AJ734,1,0)))</f>
        <v/>
      </c>
    </row>
    <row r="735" customFormat="false" ht="15" hidden="false" customHeight="false" outlineLevel="0" collapsed="false">
      <c r="B735" s="29"/>
      <c r="C735" s="29"/>
      <c r="D735" s="29"/>
      <c r="E735" s="29"/>
      <c r="F735" s="29"/>
      <c r="G735" s="29"/>
      <c r="H735" s="29"/>
      <c r="I735" s="29"/>
      <c r="J735" s="29"/>
      <c r="K735" s="29"/>
      <c r="L735" s="29"/>
      <c r="M735" s="29"/>
      <c r="N735" s="30"/>
      <c r="O735" s="30"/>
      <c r="P735" s="30"/>
      <c r="Q735" s="30"/>
      <c r="R735" s="30"/>
      <c r="S735" s="30"/>
      <c r="T735" s="30"/>
      <c r="U735" s="30"/>
      <c r="V735" s="31"/>
      <c r="W735" s="29"/>
      <c r="X735" s="29"/>
      <c r="Y735" s="29"/>
      <c r="Z735" s="29"/>
      <c r="AA735" s="30"/>
      <c r="AB735" s="30"/>
      <c r="AC735" s="30"/>
      <c r="AD735" s="30"/>
      <c r="AE735" s="30"/>
      <c r="AF735" s="32"/>
      <c r="AG735" s="33"/>
      <c r="AH735" s="33"/>
      <c r="AI735" s="29"/>
      <c r="AJ735" s="32"/>
      <c r="AK735" s="32"/>
      <c r="AL735" s="29"/>
      <c r="AN735" s="34" t="str">
        <f aca="false">IF($B735="","",IF(OR(C735="",D735="",E735="",G735="",I735="",J735="",L735="",O735="",P735=""),"Champ obligatoire manquant",IF(OR(AND(N735&lt;&gt;"",N735&gt;O735),O735&gt;P735,AND(Q735&lt;&gt;"",Q735&lt;P735),AND(R735&lt;&gt;"",R735&lt;P735),AND(S735&lt;&gt;"",S735&lt;R735),AND(S735&lt;&gt;"",R735=""),AND(T735&lt;&gt;"",T735&lt;O735),AND(U735&lt;&gt;"",U735&lt;O735)),"Chronologie incohérente",IF(AND(OR(L735="Résolu",L735="Clos"),R735=""),"Date de résolution manquante",IF(AND(L735="Clos",S735=""),"Date de clôture manquante",IF(AND(K735="Oui",AC735=""),"Classification DORA manquante","OK"))))))</f>
        <v/>
      </c>
      <c r="AO735" s="35" t="str">
        <f aca="false">IF($B735="","",IF(AND(C735="Incident",L735&lt;&gt;"Annulé"),1,0))</f>
        <v/>
      </c>
      <c r="AP735" s="35" t="str">
        <f aca="false">IF($B735="","",IF(AND(C735="Quasi-incident",L735&lt;&gt;"Annulé"),1,0))</f>
        <v/>
      </c>
      <c r="AQ735" s="35" t="str">
        <f aca="false">IF($B735="","",AO735+AP735)</f>
        <v/>
      </c>
      <c r="AR735" s="36" t="str">
        <f aca="false">IF(OR($B735="",J735=""),"",IFERROR(VALUE(LEFT(J735,1)),""))</f>
        <v/>
      </c>
      <c r="AS735" s="35" t="str">
        <f aca="false">IF(OR(AO735&lt;&gt;1,G735=""),"",IFERROR(IF(INDEX(L_SrcInterne,MATCH(G735,L_Sources,0))="Oui",1,0),""))</f>
        <v/>
      </c>
      <c r="AT735" s="37" t="str">
        <f aca="false">IF(AO735&lt;&gt;1,"",IFERROR(ROUND(IF(OR(N735="",O735=""),"",IF(O735&lt;N735,"",ROUND(((NETWORKDAYS(N735,O735,JoursFeries)-1)*(HFer-HOuv)+IF(NETWORKDAYS(O735,O735,JoursFeries),MEDIAN(MOD(O735,1),HFer,HOuv),HFer)-IF(NETWORKDAYS(N735,N735,JoursFeries),MEDIAN(MOD(N735,1),HFer,HOuv),HOuv))*24,4)))/HJour,4),""))</f>
        <v/>
      </c>
      <c r="AU735" s="37" t="str">
        <f aca="false">IF(AO735&lt;&gt;1,"",IF(OR(O735="",P735=""),"",IF(P735&lt;O735,"",ROUND(((NETWORKDAYS(O735,P735,JoursFeries)-1)*(HFer-HOuv)+IF(NETWORKDAYS(P735,P735,JoursFeries),MEDIAN(MOD(P735,1),HFer,HOuv),HFer)-IF(NETWORKDAYS(O735,O735,JoursFeries),MEDIAN(MOD(O735,1),HFer,HOuv),HOuv))*24,4))))</f>
        <v/>
      </c>
      <c r="AV735" s="37" t="str">
        <f aca="false">IF(AO735&lt;&gt;1,"",IF(OR(P735="",Q735=""),"",IF(Q735&lt;P735,"",ROUND(((NETWORKDAYS(P735,Q735,JoursFeries)-1)*(HFer-HOuv)+IF(NETWORKDAYS(Q735,Q735,JoursFeries),MEDIAN(MOD(Q735,1),HFer,HOuv),HFer)-IF(NETWORKDAYS(P735,P735,JoursFeries),MEDIAN(MOD(P735,1),HFer,HOuv),HOuv))*24,4))))</f>
        <v/>
      </c>
      <c r="AW735" s="37" t="str">
        <f aca="false">IF(AO735&lt;&gt;1,"",IFERROR(ROUND(IF(OR(P735="",R735=""),"",IF(R735&lt;P735,"",ROUND(((NETWORKDAYS(P735,R735,JoursFeries)-1)*(HFer-HOuv)+IF(NETWORKDAYS(R735,R735,JoursFeries),MEDIAN(MOD(R735,1),HFer,HOuv),HFer)-IF(NETWORKDAYS(P735,P735,JoursFeries),MEDIAN(MOD(P735,1),HFer,HOuv),HOuv))*24,4)))/HJour,4),""))</f>
        <v/>
      </c>
      <c r="AX735" s="37" t="str">
        <f aca="false">IF(AO735&lt;&gt;1,"",IFERROR(ROUND(IF(OR(P735="",S735=""),"",IF(S735&lt;P735,"",ROUND(((NETWORKDAYS(P735,S735,JoursFeries)-1)*(HFer-HOuv)+IF(NETWORKDAYS(S735,S735,JoursFeries),MEDIAN(MOD(S735,1),HFer,HOuv),HFer)-IF(NETWORKDAYS(P735,P735,JoursFeries),MEDIAN(MOD(P735,1),HFer,HOuv),HOuv))*24,4)))/HJour,4),""))</f>
        <v/>
      </c>
      <c r="AY735" s="36" t="str">
        <f aca="false">IF(OR(AO735&lt;&gt;1,AR735=""),"",INDEX(SLA_PEC,AR735))</f>
        <v/>
      </c>
      <c r="AZ735" s="35" t="str">
        <f aca="false">IF(OR(AV735="",AY735=""),"",IF(AV735&lt;=AY735,1,0))</f>
        <v/>
      </c>
      <c r="BA735" s="36" t="str">
        <f aca="false">IF(OR(AO735&lt;&gt;1,AR735=""),"",INDEX(SLA_RES,AR735))</f>
        <v/>
      </c>
      <c r="BB735" s="35" t="str">
        <f aca="false">IF(OR(AW735="",BA735=""),"",IF(AW735&lt;=BA735,1,0))</f>
        <v/>
      </c>
      <c r="BC735" s="38" t="str">
        <f aca="false">IF(OR(BA735="",P735=""),"",WORKDAY(INT(P735),BA735,JoursFeries)+MOD(P735,1))</f>
        <v/>
      </c>
      <c r="BD735" s="39" t="str">
        <f aca="false">IF(AO735&lt;&gt;1,"",IF(OR(AB735&lt;&gt;"",AD735&lt;&gt;""),4,IF(U735&lt;&gt;"",3,IF(T735&lt;&gt;"",2,1))))</f>
        <v/>
      </c>
      <c r="BE735" s="39" t="str">
        <f aca="false">IF(OR(AO735&lt;&gt;1,AR735=""),"",INDEX(NIV_REQ,AR735))</f>
        <v/>
      </c>
      <c r="BF735" s="39" t="str">
        <f aca="false">IF(BE735="","",MAX(BE735,IF(OR(K735="Oui",Z735="Oui"),4,1)))</f>
        <v/>
      </c>
      <c r="BG735" s="35" t="str">
        <f aca="false">IF(OR(BF735="",BD735=""),"",IF(BD735&gt;=BF735,1,0))</f>
        <v/>
      </c>
      <c r="BH735" s="38" t="str">
        <f aca="false">IF(BE735="","",IF(BE735&lt;2,"",IF(BE735=2,IF(AND(T735="",U735=""),"",MIN(T735,U735)),IF(U735="","",U735))))</f>
        <v/>
      </c>
      <c r="BI735" s="37" t="str">
        <f aca="false">IF(BH735="","",IF(OR(O735="",BH735=""),"",IF(BH735&lt;O735,"",ROUND(((NETWORKDAYS(O735,BH735,JoursFeries)-1)*(HFer-HOuv)+IF(NETWORKDAYS(BH735,BH735,JoursFeries),MEDIAN(MOD(BH735,1),HFer,HOuv),HFer)-IF(NETWORKDAYS(O735,O735,JoursFeries),MEDIAN(MOD(O735,1),HFer,HOuv),HOuv))*24,4))))</f>
        <v/>
      </c>
      <c r="BJ735" s="35" t="str">
        <f aca="false">IF(OR(BI735="",AR735=""),"",IF(BI735&lt;=INDEX(DELAI_ESC,AR735),1,0))</f>
        <v/>
      </c>
      <c r="BK735" s="38" t="str">
        <f aca="false">IF(AO735&lt;&gt;1,"",IF(AND(T735="",U735=""),"",MIN(T735,U735)))</f>
        <v/>
      </c>
      <c r="BL735" s="37" t="str">
        <f aca="false">IF(OR(BK735="",R735=""),"",IFERROR(ROUND(IF(OR(BK735="",R735=""),"",IF(R735&lt;BK735,"",ROUND(((NETWORKDAYS(BK735,R735,JoursFeries)-1)*(HFer-HOuv)+IF(NETWORKDAYS(R735,R735,JoursFeries),MEDIAN(MOD(R735,1),HFer,HOuv),HFer)-IF(NETWORKDAYS(BK735,BK735,JoursFeries),MEDIAN(MOD(BK735,1),HFer,HOuv),HOuv))*24,4)))/HJour,4),""))</f>
        <v/>
      </c>
      <c r="BM735" s="35" t="str">
        <f aca="false">IF(OR(AO735&lt;&gt;1,R735=""),"",IF(BD735=1,1,0))</f>
        <v/>
      </c>
      <c r="BN735" s="35" t="str">
        <f aca="false">IF(AO735&lt;&gt;1,"",IF(W735="Oui",1,0))</f>
        <v/>
      </c>
      <c r="BO735" s="35" t="str">
        <f aca="false">IF(AO735&lt;&gt;1,"",IF(X735&lt;&gt;"",1,0))</f>
        <v/>
      </c>
      <c r="BP735" s="35" t="str">
        <f aca="false">IF(AO735&lt;&gt;1,"",IF(Y735="Oui",1,0))</f>
        <v/>
      </c>
      <c r="BQ735" s="35" t="str">
        <f aca="true">IF(OR(AO735&lt;&gt;1,Z735&lt;&gt;"Oui"),"",IF(AB735="",IF(AND(AA735&lt;&gt;"",NOW()&gt;AA735),0,""),IF(AA735="","",IF(AB735&lt;=AA735,1,0))))</f>
        <v/>
      </c>
      <c r="BR735" s="38" t="str">
        <f aca="false">IF(OR(AO735&lt;&gt;1,K735&lt;&gt;"Oui",O735=""),"",IF(AC735="",O735+DORA_H_DET/24,IF(AC735-O735&lt;=DORA_H_DET/24,MIN(AC735+DORA_H_CLA/24,O735+DORA_H_DET/24),AC735+DORA_H_CLA/24)))</f>
        <v/>
      </c>
      <c r="BS735" s="35" t="str">
        <f aca="true">IF(BR735="","",IF(AD735="",IF(NOW()&gt;BR735,0,""),IF(AD735&lt;=BR735,1,0)))</f>
        <v/>
      </c>
      <c r="BT735" s="35" t="str">
        <f aca="true">IF(OR(BR735="",AD735=""),"",IF(AE735="",IF(NOW()&gt;AD735+DORA_H_INT/24,0,""),IF(AE735&lt;=AD735+DORA_H_INT/24,1,0)))</f>
        <v/>
      </c>
      <c r="BU735" s="35" t="str">
        <f aca="true">IF(OR(BR735="",AE735=""),"",IF(AF735="",IF(NOW()&gt;EDATE(AE735,DORA_M_FIN)+1,0,""),IF(AF735&lt;=EDATE(AE735,DORA_M_FIN),1,0)))</f>
        <v/>
      </c>
      <c r="BV735" s="35" t="str">
        <f aca="false">IF(BR735="","",IF(COUNT(BS735:BU735)=0,"",MIN(BS735:BU735)))</f>
        <v/>
      </c>
      <c r="BW735" s="40" t="str">
        <f aca="false">IF(AQ735&lt;&gt;1,"",IF(AND(AG735="",AH735=""),"",N(AG735)-N(AH735)))</f>
        <v/>
      </c>
      <c r="BX735" s="35" t="str">
        <f aca="true">IF(OR(AQ735&lt;&gt;1,AI735&lt;&gt;"Oui",AJ735=""),"",IF(AK735="",IF(NOW()&gt;AJ735+1,0,""),IF(AK735&lt;=AJ735,1,0)))</f>
        <v/>
      </c>
    </row>
    <row r="736" customFormat="false" ht="15" hidden="false" customHeight="false" outlineLevel="0" collapsed="false">
      <c r="B736" s="29"/>
      <c r="C736" s="29"/>
      <c r="D736" s="29"/>
      <c r="E736" s="29"/>
      <c r="F736" s="29"/>
      <c r="G736" s="29"/>
      <c r="H736" s="29"/>
      <c r="I736" s="29"/>
      <c r="J736" s="29"/>
      <c r="K736" s="29"/>
      <c r="L736" s="29"/>
      <c r="M736" s="29"/>
      <c r="N736" s="30"/>
      <c r="O736" s="30"/>
      <c r="P736" s="30"/>
      <c r="Q736" s="30"/>
      <c r="R736" s="30"/>
      <c r="S736" s="30"/>
      <c r="T736" s="30"/>
      <c r="U736" s="30"/>
      <c r="V736" s="31"/>
      <c r="W736" s="29"/>
      <c r="X736" s="29"/>
      <c r="Y736" s="29"/>
      <c r="Z736" s="29"/>
      <c r="AA736" s="30"/>
      <c r="AB736" s="30"/>
      <c r="AC736" s="30"/>
      <c r="AD736" s="30"/>
      <c r="AE736" s="30"/>
      <c r="AF736" s="32"/>
      <c r="AG736" s="33"/>
      <c r="AH736" s="33"/>
      <c r="AI736" s="29"/>
      <c r="AJ736" s="32"/>
      <c r="AK736" s="32"/>
      <c r="AL736" s="29"/>
      <c r="AN736" s="34" t="str">
        <f aca="false">IF($B736="","",IF(OR(C736="",D736="",E736="",G736="",I736="",J736="",L736="",O736="",P736=""),"Champ obligatoire manquant",IF(OR(AND(N736&lt;&gt;"",N736&gt;O736),O736&gt;P736,AND(Q736&lt;&gt;"",Q736&lt;P736),AND(R736&lt;&gt;"",R736&lt;P736),AND(S736&lt;&gt;"",S736&lt;R736),AND(S736&lt;&gt;"",R736=""),AND(T736&lt;&gt;"",T736&lt;O736),AND(U736&lt;&gt;"",U736&lt;O736)),"Chronologie incohérente",IF(AND(OR(L736="Résolu",L736="Clos"),R736=""),"Date de résolution manquante",IF(AND(L736="Clos",S736=""),"Date de clôture manquante",IF(AND(K736="Oui",AC736=""),"Classification DORA manquante","OK"))))))</f>
        <v/>
      </c>
      <c r="AO736" s="35" t="str">
        <f aca="false">IF($B736="","",IF(AND(C736="Incident",L736&lt;&gt;"Annulé"),1,0))</f>
        <v/>
      </c>
      <c r="AP736" s="35" t="str">
        <f aca="false">IF($B736="","",IF(AND(C736="Quasi-incident",L736&lt;&gt;"Annulé"),1,0))</f>
        <v/>
      </c>
      <c r="AQ736" s="35" t="str">
        <f aca="false">IF($B736="","",AO736+AP736)</f>
        <v/>
      </c>
      <c r="AR736" s="36" t="str">
        <f aca="false">IF(OR($B736="",J736=""),"",IFERROR(VALUE(LEFT(J736,1)),""))</f>
        <v/>
      </c>
      <c r="AS736" s="35" t="str">
        <f aca="false">IF(OR(AO736&lt;&gt;1,G736=""),"",IFERROR(IF(INDEX(L_SrcInterne,MATCH(G736,L_Sources,0))="Oui",1,0),""))</f>
        <v/>
      </c>
      <c r="AT736" s="37" t="str">
        <f aca="false">IF(AO736&lt;&gt;1,"",IFERROR(ROUND(IF(OR(N736="",O736=""),"",IF(O736&lt;N736,"",ROUND(((NETWORKDAYS(N736,O736,JoursFeries)-1)*(HFer-HOuv)+IF(NETWORKDAYS(O736,O736,JoursFeries),MEDIAN(MOD(O736,1),HFer,HOuv),HFer)-IF(NETWORKDAYS(N736,N736,JoursFeries),MEDIAN(MOD(N736,1),HFer,HOuv),HOuv))*24,4)))/HJour,4),""))</f>
        <v/>
      </c>
      <c r="AU736" s="37" t="str">
        <f aca="false">IF(AO736&lt;&gt;1,"",IF(OR(O736="",P736=""),"",IF(P736&lt;O736,"",ROUND(((NETWORKDAYS(O736,P736,JoursFeries)-1)*(HFer-HOuv)+IF(NETWORKDAYS(P736,P736,JoursFeries),MEDIAN(MOD(P736,1),HFer,HOuv),HFer)-IF(NETWORKDAYS(O736,O736,JoursFeries),MEDIAN(MOD(O736,1),HFer,HOuv),HOuv))*24,4))))</f>
        <v/>
      </c>
      <c r="AV736" s="37" t="str">
        <f aca="false">IF(AO736&lt;&gt;1,"",IF(OR(P736="",Q736=""),"",IF(Q736&lt;P736,"",ROUND(((NETWORKDAYS(P736,Q736,JoursFeries)-1)*(HFer-HOuv)+IF(NETWORKDAYS(Q736,Q736,JoursFeries),MEDIAN(MOD(Q736,1),HFer,HOuv),HFer)-IF(NETWORKDAYS(P736,P736,JoursFeries),MEDIAN(MOD(P736,1),HFer,HOuv),HOuv))*24,4))))</f>
        <v/>
      </c>
      <c r="AW736" s="37" t="str">
        <f aca="false">IF(AO736&lt;&gt;1,"",IFERROR(ROUND(IF(OR(P736="",R736=""),"",IF(R736&lt;P736,"",ROUND(((NETWORKDAYS(P736,R736,JoursFeries)-1)*(HFer-HOuv)+IF(NETWORKDAYS(R736,R736,JoursFeries),MEDIAN(MOD(R736,1),HFer,HOuv),HFer)-IF(NETWORKDAYS(P736,P736,JoursFeries),MEDIAN(MOD(P736,1),HFer,HOuv),HOuv))*24,4)))/HJour,4),""))</f>
        <v/>
      </c>
      <c r="AX736" s="37" t="str">
        <f aca="false">IF(AO736&lt;&gt;1,"",IFERROR(ROUND(IF(OR(P736="",S736=""),"",IF(S736&lt;P736,"",ROUND(((NETWORKDAYS(P736,S736,JoursFeries)-1)*(HFer-HOuv)+IF(NETWORKDAYS(S736,S736,JoursFeries),MEDIAN(MOD(S736,1),HFer,HOuv),HFer)-IF(NETWORKDAYS(P736,P736,JoursFeries),MEDIAN(MOD(P736,1),HFer,HOuv),HOuv))*24,4)))/HJour,4),""))</f>
        <v/>
      </c>
      <c r="AY736" s="36" t="str">
        <f aca="false">IF(OR(AO736&lt;&gt;1,AR736=""),"",INDEX(SLA_PEC,AR736))</f>
        <v/>
      </c>
      <c r="AZ736" s="35" t="str">
        <f aca="false">IF(OR(AV736="",AY736=""),"",IF(AV736&lt;=AY736,1,0))</f>
        <v/>
      </c>
      <c r="BA736" s="36" t="str">
        <f aca="false">IF(OR(AO736&lt;&gt;1,AR736=""),"",INDEX(SLA_RES,AR736))</f>
        <v/>
      </c>
      <c r="BB736" s="35" t="str">
        <f aca="false">IF(OR(AW736="",BA736=""),"",IF(AW736&lt;=BA736,1,0))</f>
        <v/>
      </c>
      <c r="BC736" s="38" t="str">
        <f aca="false">IF(OR(BA736="",P736=""),"",WORKDAY(INT(P736),BA736,JoursFeries)+MOD(P736,1))</f>
        <v/>
      </c>
      <c r="BD736" s="39" t="str">
        <f aca="false">IF(AO736&lt;&gt;1,"",IF(OR(AB736&lt;&gt;"",AD736&lt;&gt;""),4,IF(U736&lt;&gt;"",3,IF(T736&lt;&gt;"",2,1))))</f>
        <v/>
      </c>
      <c r="BE736" s="39" t="str">
        <f aca="false">IF(OR(AO736&lt;&gt;1,AR736=""),"",INDEX(NIV_REQ,AR736))</f>
        <v/>
      </c>
      <c r="BF736" s="39" t="str">
        <f aca="false">IF(BE736="","",MAX(BE736,IF(OR(K736="Oui",Z736="Oui"),4,1)))</f>
        <v/>
      </c>
      <c r="BG736" s="35" t="str">
        <f aca="false">IF(OR(BF736="",BD736=""),"",IF(BD736&gt;=BF736,1,0))</f>
        <v/>
      </c>
      <c r="BH736" s="38" t="str">
        <f aca="false">IF(BE736="","",IF(BE736&lt;2,"",IF(BE736=2,IF(AND(T736="",U736=""),"",MIN(T736,U736)),IF(U736="","",U736))))</f>
        <v/>
      </c>
      <c r="BI736" s="37" t="str">
        <f aca="false">IF(BH736="","",IF(OR(O736="",BH736=""),"",IF(BH736&lt;O736,"",ROUND(((NETWORKDAYS(O736,BH736,JoursFeries)-1)*(HFer-HOuv)+IF(NETWORKDAYS(BH736,BH736,JoursFeries),MEDIAN(MOD(BH736,1),HFer,HOuv),HFer)-IF(NETWORKDAYS(O736,O736,JoursFeries),MEDIAN(MOD(O736,1),HFer,HOuv),HOuv))*24,4))))</f>
        <v/>
      </c>
      <c r="BJ736" s="35" t="str">
        <f aca="false">IF(OR(BI736="",AR736=""),"",IF(BI736&lt;=INDEX(DELAI_ESC,AR736),1,0))</f>
        <v/>
      </c>
      <c r="BK736" s="38" t="str">
        <f aca="false">IF(AO736&lt;&gt;1,"",IF(AND(T736="",U736=""),"",MIN(T736,U736)))</f>
        <v/>
      </c>
      <c r="BL736" s="37" t="str">
        <f aca="false">IF(OR(BK736="",R736=""),"",IFERROR(ROUND(IF(OR(BK736="",R736=""),"",IF(R736&lt;BK736,"",ROUND(((NETWORKDAYS(BK736,R736,JoursFeries)-1)*(HFer-HOuv)+IF(NETWORKDAYS(R736,R736,JoursFeries),MEDIAN(MOD(R736,1),HFer,HOuv),HFer)-IF(NETWORKDAYS(BK736,BK736,JoursFeries),MEDIAN(MOD(BK736,1),HFer,HOuv),HOuv))*24,4)))/HJour,4),""))</f>
        <v/>
      </c>
      <c r="BM736" s="35" t="str">
        <f aca="false">IF(OR(AO736&lt;&gt;1,R736=""),"",IF(BD736=1,1,0))</f>
        <v/>
      </c>
      <c r="BN736" s="35" t="str">
        <f aca="false">IF(AO736&lt;&gt;1,"",IF(W736="Oui",1,0))</f>
        <v/>
      </c>
      <c r="BO736" s="35" t="str">
        <f aca="false">IF(AO736&lt;&gt;1,"",IF(X736&lt;&gt;"",1,0))</f>
        <v/>
      </c>
      <c r="BP736" s="35" t="str">
        <f aca="false">IF(AO736&lt;&gt;1,"",IF(Y736="Oui",1,0))</f>
        <v/>
      </c>
      <c r="BQ736" s="35" t="str">
        <f aca="true">IF(OR(AO736&lt;&gt;1,Z736&lt;&gt;"Oui"),"",IF(AB736="",IF(AND(AA736&lt;&gt;"",NOW()&gt;AA736),0,""),IF(AA736="","",IF(AB736&lt;=AA736,1,0))))</f>
        <v/>
      </c>
      <c r="BR736" s="38" t="str">
        <f aca="false">IF(OR(AO736&lt;&gt;1,K736&lt;&gt;"Oui",O736=""),"",IF(AC736="",O736+DORA_H_DET/24,IF(AC736-O736&lt;=DORA_H_DET/24,MIN(AC736+DORA_H_CLA/24,O736+DORA_H_DET/24),AC736+DORA_H_CLA/24)))</f>
        <v/>
      </c>
      <c r="BS736" s="35" t="str">
        <f aca="true">IF(BR736="","",IF(AD736="",IF(NOW()&gt;BR736,0,""),IF(AD736&lt;=BR736,1,0)))</f>
        <v/>
      </c>
      <c r="BT736" s="35" t="str">
        <f aca="true">IF(OR(BR736="",AD736=""),"",IF(AE736="",IF(NOW()&gt;AD736+DORA_H_INT/24,0,""),IF(AE736&lt;=AD736+DORA_H_INT/24,1,0)))</f>
        <v/>
      </c>
      <c r="BU736" s="35" t="str">
        <f aca="true">IF(OR(BR736="",AE736=""),"",IF(AF736="",IF(NOW()&gt;EDATE(AE736,DORA_M_FIN)+1,0,""),IF(AF736&lt;=EDATE(AE736,DORA_M_FIN),1,0)))</f>
        <v/>
      </c>
      <c r="BV736" s="35" t="str">
        <f aca="false">IF(BR736="","",IF(COUNT(BS736:BU736)=0,"",MIN(BS736:BU736)))</f>
        <v/>
      </c>
      <c r="BW736" s="40" t="str">
        <f aca="false">IF(AQ736&lt;&gt;1,"",IF(AND(AG736="",AH736=""),"",N(AG736)-N(AH736)))</f>
        <v/>
      </c>
      <c r="BX736" s="35" t="str">
        <f aca="true">IF(OR(AQ736&lt;&gt;1,AI736&lt;&gt;"Oui",AJ736=""),"",IF(AK736="",IF(NOW()&gt;AJ736+1,0,""),IF(AK736&lt;=AJ736,1,0)))</f>
        <v/>
      </c>
    </row>
    <row r="737" customFormat="false" ht="15" hidden="false" customHeight="false" outlineLevel="0" collapsed="false">
      <c r="B737" s="29"/>
      <c r="C737" s="29"/>
      <c r="D737" s="29"/>
      <c r="E737" s="29"/>
      <c r="F737" s="29"/>
      <c r="G737" s="29"/>
      <c r="H737" s="29"/>
      <c r="I737" s="29"/>
      <c r="J737" s="29"/>
      <c r="K737" s="29"/>
      <c r="L737" s="29"/>
      <c r="M737" s="29"/>
      <c r="N737" s="30"/>
      <c r="O737" s="30"/>
      <c r="P737" s="30"/>
      <c r="Q737" s="30"/>
      <c r="R737" s="30"/>
      <c r="S737" s="30"/>
      <c r="T737" s="30"/>
      <c r="U737" s="30"/>
      <c r="V737" s="31"/>
      <c r="W737" s="29"/>
      <c r="X737" s="29"/>
      <c r="Y737" s="29"/>
      <c r="Z737" s="29"/>
      <c r="AA737" s="30"/>
      <c r="AB737" s="30"/>
      <c r="AC737" s="30"/>
      <c r="AD737" s="30"/>
      <c r="AE737" s="30"/>
      <c r="AF737" s="32"/>
      <c r="AG737" s="33"/>
      <c r="AH737" s="33"/>
      <c r="AI737" s="29"/>
      <c r="AJ737" s="32"/>
      <c r="AK737" s="32"/>
      <c r="AL737" s="29"/>
      <c r="AN737" s="34" t="str">
        <f aca="false">IF($B737="","",IF(OR(C737="",D737="",E737="",G737="",I737="",J737="",L737="",O737="",P737=""),"Champ obligatoire manquant",IF(OR(AND(N737&lt;&gt;"",N737&gt;O737),O737&gt;P737,AND(Q737&lt;&gt;"",Q737&lt;P737),AND(R737&lt;&gt;"",R737&lt;P737),AND(S737&lt;&gt;"",S737&lt;R737),AND(S737&lt;&gt;"",R737=""),AND(T737&lt;&gt;"",T737&lt;O737),AND(U737&lt;&gt;"",U737&lt;O737)),"Chronologie incohérente",IF(AND(OR(L737="Résolu",L737="Clos"),R737=""),"Date de résolution manquante",IF(AND(L737="Clos",S737=""),"Date de clôture manquante",IF(AND(K737="Oui",AC737=""),"Classification DORA manquante","OK"))))))</f>
        <v/>
      </c>
      <c r="AO737" s="35" t="str">
        <f aca="false">IF($B737="","",IF(AND(C737="Incident",L737&lt;&gt;"Annulé"),1,0))</f>
        <v/>
      </c>
      <c r="AP737" s="35" t="str">
        <f aca="false">IF($B737="","",IF(AND(C737="Quasi-incident",L737&lt;&gt;"Annulé"),1,0))</f>
        <v/>
      </c>
      <c r="AQ737" s="35" t="str">
        <f aca="false">IF($B737="","",AO737+AP737)</f>
        <v/>
      </c>
      <c r="AR737" s="36" t="str">
        <f aca="false">IF(OR($B737="",J737=""),"",IFERROR(VALUE(LEFT(J737,1)),""))</f>
        <v/>
      </c>
      <c r="AS737" s="35" t="str">
        <f aca="false">IF(OR(AO737&lt;&gt;1,G737=""),"",IFERROR(IF(INDEX(L_SrcInterne,MATCH(G737,L_Sources,0))="Oui",1,0),""))</f>
        <v/>
      </c>
      <c r="AT737" s="37" t="str">
        <f aca="false">IF(AO737&lt;&gt;1,"",IFERROR(ROUND(IF(OR(N737="",O737=""),"",IF(O737&lt;N737,"",ROUND(((NETWORKDAYS(N737,O737,JoursFeries)-1)*(HFer-HOuv)+IF(NETWORKDAYS(O737,O737,JoursFeries),MEDIAN(MOD(O737,1),HFer,HOuv),HFer)-IF(NETWORKDAYS(N737,N737,JoursFeries),MEDIAN(MOD(N737,1),HFer,HOuv),HOuv))*24,4)))/HJour,4),""))</f>
        <v/>
      </c>
      <c r="AU737" s="37" t="str">
        <f aca="false">IF(AO737&lt;&gt;1,"",IF(OR(O737="",P737=""),"",IF(P737&lt;O737,"",ROUND(((NETWORKDAYS(O737,P737,JoursFeries)-1)*(HFer-HOuv)+IF(NETWORKDAYS(P737,P737,JoursFeries),MEDIAN(MOD(P737,1),HFer,HOuv),HFer)-IF(NETWORKDAYS(O737,O737,JoursFeries),MEDIAN(MOD(O737,1),HFer,HOuv),HOuv))*24,4))))</f>
        <v/>
      </c>
      <c r="AV737" s="37" t="str">
        <f aca="false">IF(AO737&lt;&gt;1,"",IF(OR(P737="",Q737=""),"",IF(Q737&lt;P737,"",ROUND(((NETWORKDAYS(P737,Q737,JoursFeries)-1)*(HFer-HOuv)+IF(NETWORKDAYS(Q737,Q737,JoursFeries),MEDIAN(MOD(Q737,1),HFer,HOuv),HFer)-IF(NETWORKDAYS(P737,P737,JoursFeries),MEDIAN(MOD(P737,1),HFer,HOuv),HOuv))*24,4))))</f>
        <v/>
      </c>
      <c r="AW737" s="37" t="str">
        <f aca="false">IF(AO737&lt;&gt;1,"",IFERROR(ROUND(IF(OR(P737="",R737=""),"",IF(R737&lt;P737,"",ROUND(((NETWORKDAYS(P737,R737,JoursFeries)-1)*(HFer-HOuv)+IF(NETWORKDAYS(R737,R737,JoursFeries),MEDIAN(MOD(R737,1),HFer,HOuv),HFer)-IF(NETWORKDAYS(P737,P737,JoursFeries),MEDIAN(MOD(P737,1),HFer,HOuv),HOuv))*24,4)))/HJour,4),""))</f>
        <v/>
      </c>
      <c r="AX737" s="37" t="str">
        <f aca="false">IF(AO737&lt;&gt;1,"",IFERROR(ROUND(IF(OR(P737="",S737=""),"",IF(S737&lt;P737,"",ROUND(((NETWORKDAYS(P737,S737,JoursFeries)-1)*(HFer-HOuv)+IF(NETWORKDAYS(S737,S737,JoursFeries),MEDIAN(MOD(S737,1),HFer,HOuv),HFer)-IF(NETWORKDAYS(P737,P737,JoursFeries),MEDIAN(MOD(P737,1),HFer,HOuv),HOuv))*24,4)))/HJour,4),""))</f>
        <v/>
      </c>
      <c r="AY737" s="36" t="str">
        <f aca="false">IF(OR(AO737&lt;&gt;1,AR737=""),"",INDEX(SLA_PEC,AR737))</f>
        <v/>
      </c>
      <c r="AZ737" s="35" t="str">
        <f aca="false">IF(OR(AV737="",AY737=""),"",IF(AV737&lt;=AY737,1,0))</f>
        <v/>
      </c>
      <c r="BA737" s="36" t="str">
        <f aca="false">IF(OR(AO737&lt;&gt;1,AR737=""),"",INDEX(SLA_RES,AR737))</f>
        <v/>
      </c>
      <c r="BB737" s="35" t="str">
        <f aca="false">IF(OR(AW737="",BA737=""),"",IF(AW737&lt;=BA737,1,0))</f>
        <v/>
      </c>
      <c r="BC737" s="38" t="str">
        <f aca="false">IF(OR(BA737="",P737=""),"",WORKDAY(INT(P737),BA737,JoursFeries)+MOD(P737,1))</f>
        <v/>
      </c>
      <c r="BD737" s="39" t="str">
        <f aca="false">IF(AO737&lt;&gt;1,"",IF(OR(AB737&lt;&gt;"",AD737&lt;&gt;""),4,IF(U737&lt;&gt;"",3,IF(T737&lt;&gt;"",2,1))))</f>
        <v/>
      </c>
      <c r="BE737" s="39" t="str">
        <f aca="false">IF(OR(AO737&lt;&gt;1,AR737=""),"",INDEX(NIV_REQ,AR737))</f>
        <v/>
      </c>
      <c r="BF737" s="39" t="str">
        <f aca="false">IF(BE737="","",MAX(BE737,IF(OR(K737="Oui",Z737="Oui"),4,1)))</f>
        <v/>
      </c>
      <c r="BG737" s="35" t="str">
        <f aca="false">IF(OR(BF737="",BD737=""),"",IF(BD737&gt;=BF737,1,0))</f>
        <v/>
      </c>
      <c r="BH737" s="38" t="str">
        <f aca="false">IF(BE737="","",IF(BE737&lt;2,"",IF(BE737=2,IF(AND(T737="",U737=""),"",MIN(T737,U737)),IF(U737="","",U737))))</f>
        <v/>
      </c>
      <c r="BI737" s="37" t="str">
        <f aca="false">IF(BH737="","",IF(OR(O737="",BH737=""),"",IF(BH737&lt;O737,"",ROUND(((NETWORKDAYS(O737,BH737,JoursFeries)-1)*(HFer-HOuv)+IF(NETWORKDAYS(BH737,BH737,JoursFeries),MEDIAN(MOD(BH737,1),HFer,HOuv),HFer)-IF(NETWORKDAYS(O737,O737,JoursFeries),MEDIAN(MOD(O737,1),HFer,HOuv),HOuv))*24,4))))</f>
        <v/>
      </c>
      <c r="BJ737" s="35" t="str">
        <f aca="false">IF(OR(BI737="",AR737=""),"",IF(BI737&lt;=INDEX(DELAI_ESC,AR737),1,0))</f>
        <v/>
      </c>
      <c r="BK737" s="38" t="str">
        <f aca="false">IF(AO737&lt;&gt;1,"",IF(AND(T737="",U737=""),"",MIN(T737,U737)))</f>
        <v/>
      </c>
      <c r="BL737" s="37" t="str">
        <f aca="false">IF(OR(BK737="",R737=""),"",IFERROR(ROUND(IF(OR(BK737="",R737=""),"",IF(R737&lt;BK737,"",ROUND(((NETWORKDAYS(BK737,R737,JoursFeries)-1)*(HFer-HOuv)+IF(NETWORKDAYS(R737,R737,JoursFeries),MEDIAN(MOD(R737,1),HFer,HOuv),HFer)-IF(NETWORKDAYS(BK737,BK737,JoursFeries),MEDIAN(MOD(BK737,1),HFer,HOuv),HOuv))*24,4)))/HJour,4),""))</f>
        <v/>
      </c>
      <c r="BM737" s="35" t="str">
        <f aca="false">IF(OR(AO737&lt;&gt;1,R737=""),"",IF(BD737=1,1,0))</f>
        <v/>
      </c>
      <c r="BN737" s="35" t="str">
        <f aca="false">IF(AO737&lt;&gt;1,"",IF(W737="Oui",1,0))</f>
        <v/>
      </c>
      <c r="BO737" s="35" t="str">
        <f aca="false">IF(AO737&lt;&gt;1,"",IF(X737&lt;&gt;"",1,0))</f>
        <v/>
      </c>
      <c r="BP737" s="35" t="str">
        <f aca="false">IF(AO737&lt;&gt;1,"",IF(Y737="Oui",1,0))</f>
        <v/>
      </c>
      <c r="BQ737" s="35" t="str">
        <f aca="true">IF(OR(AO737&lt;&gt;1,Z737&lt;&gt;"Oui"),"",IF(AB737="",IF(AND(AA737&lt;&gt;"",NOW()&gt;AA737),0,""),IF(AA737="","",IF(AB737&lt;=AA737,1,0))))</f>
        <v/>
      </c>
      <c r="BR737" s="38" t="str">
        <f aca="false">IF(OR(AO737&lt;&gt;1,K737&lt;&gt;"Oui",O737=""),"",IF(AC737="",O737+DORA_H_DET/24,IF(AC737-O737&lt;=DORA_H_DET/24,MIN(AC737+DORA_H_CLA/24,O737+DORA_H_DET/24),AC737+DORA_H_CLA/24)))</f>
        <v/>
      </c>
      <c r="BS737" s="35" t="str">
        <f aca="true">IF(BR737="","",IF(AD737="",IF(NOW()&gt;BR737,0,""),IF(AD737&lt;=BR737,1,0)))</f>
        <v/>
      </c>
      <c r="BT737" s="35" t="str">
        <f aca="true">IF(OR(BR737="",AD737=""),"",IF(AE737="",IF(NOW()&gt;AD737+DORA_H_INT/24,0,""),IF(AE737&lt;=AD737+DORA_H_INT/24,1,0)))</f>
        <v/>
      </c>
      <c r="BU737" s="35" t="str">
        <f aca="true">IF(OR(BR737="",AE737=""),"",IF(AF737="",IF(NOW()&gt;EDATE(AE737,DORA_M_FIN)+1,0,""),IF(AF737&lt;=EDATE(AE737,DORA_M_FIN),1,0)))</f>
        <v/>
      </c>
      <c r="BV737" s="35" t="str">
        <f aca="false">IF(BR737="","",IF(COUNT(BS737:BU737)=0,"",MIN(BS737:BU737)))</f>
        <v/>
      </c>
      <c r="BW737" s="40" t="str">
        <f aca="false">IF(AQ737&lt;&gt;1,"",IF(AND(AG737="",AH737=""),"",N(AG737)-N(AH737)))</f>
        <v/>
      </c>
      <c r="BX737" s="35" t="str">
        <f aca="true">IF(OR(AQ737&lt;&gt;1,AI737&lt;&gt;"Oui",AJ737=""),"",IF(AK737="",IF(NOW()&gt;AJ737+1,0,""),IF(AK737&lt;=AJ737,1,0)))</f>
        <v/>
      </c>
    </row>
    <row r="738" customFormat="false" ht="15" hidden="false" customHeight="false" outlineLevel="0" collapsed="false">
      <c r="B738" s="29"/>
      <c r="C738" s="29"/>
      <c r="D738" s="29"/>
      <c r="E738" s="29"/>
      <c r="F738" s="29"/>
      <c r="G738" s="29"/>
      <c r="H738" s="29"/>
      <c r="I738" s="29"/>
      <c r="J738" s="29"/>
      <c r="K738" s="29"/>
      <c r="L738" s="29"/>
      <c r="M738" s="29"/>
      <c r="N738" s="30"/>
      <c r="O738" s="30"/>
      <c r="P738" s="30"/>
      <c r="Q738" s="30"/>
      <c r="R738" s="30"/>
      <c r="S738" s="30"/>
      <c r="T738" s="30"/>
      <c r="U738" s="30"/>
      <c r="V738" s="31"/>
      <c r="W738" s="29"/>
      <c r="X738" s="29"/>
      <c r="Y738" s="29"/>
      <c r="Z738" s="29"/>
      <c r="AA738" s="30"/>
      <c r="AB738" s="30"/>
      <c r="AC738" s="30"/>
      <c r="AD738" s="30"/>
      <c r="AE738" s="30"/>
      <c r="AF738" s="32"/>
      <c r="AG738" s="33"/>
      <c r="AH738" s="33"/>
      <c r="AI738" s="29"/>
      <c r="AJ738" s="32"/>
      <c r="AK738" s="32"/>
      <c r="AL738" s="29"/>
      <c r="AN738" s="34" t="str">
        <f aca="false">IF($B738="","",IF(OR(C738="",D738="",E738="",G738="",I738="",J738="",L738="",O738="",P738=""),"Champ obligatoire manquant",IF(OR(AND(N738&lt;&gt;"",N738&gt;O738),O738&gt;P738,AND(Q738&lt;&gt;"",Q738&lt;P738),AND(R738&lt;&gt;"",R738&lt;P738),AND(S738&lt;&gt;"",S738&lt;R738),AND(S738&lt;&gt;"",R738=""),AND(T738&lt;&gt;"",T738&lt;O738),AND(U738&lt;&gt;"",U738&lt;O738)),"Chronologie incohérente",IF(AND(OR(L738="Résolu",L738="Clos"),R738=""),"Date de résolution manquante",IF(AND(L738="Clos",S738=""),"Date de clôture manquante",IF(AND(K738="Oui",AC738=""),"Classification DORA manquante","OK"))))))</f>
        <v/>
      </c>
      <c r="AO738" s="35" t="str">
        <f aca="false">IF($B738="","",IF(AND(C738="Incident",L738&lt;&gt;"Annulé"),1,0))</f>
        <v/>
      </c>
      <c r="AP738" s="35" t="str">
        <f aca="false">IF($B738="","",IF(AND(C738="Quasi-incident",L738&lt;&gt;"Annulé"),1,0))</f>
        <v/>
      </c>
      <c r="AQ738" s="35" t="str">
        <f aca="false">IF($B738="","",AO738+AP738)</f>
        <v/>
      </c>
      <c r="AR738" s="36" t="str">
        <f aca="false">IF(OR($B738="",J738=""),"",IFERROR(VALUE(LEFT(J738,1)),""))</f>
        <v/>
      </c>
      <c r="AS738" s="35" t="str">
        <f aca="false">IF(OR(AO738&lt;&gt;1,G738=""),"",IFERROR(IF(INDEX(L_SrcInterne,MATCH(G738,L_Sources,0))="Oui",1,0),""))</f>
        <v/>
      </c>
      <c r="AT738" s="37" t="str">
        <f aca="false">IF(AO738&lt;&gt;1,"",IFERROR(ROUND(IF(OR(N738="",O738=""),"",IF(O738&lt;N738,"",ROUND(((NETWORKDAYS(N738,O738,JoursFeries)-1)*(HFer-HOuv)+IF(NETWORKDAYS(O738,O738,JoursFeries),MEDIAN(MOD(O738,1),HFer,HOuv),HFer)-IF(NETWORKDAYS(N738,N738,JoursFeries),MEDIAN(MOD(N738,1),HFer,HOuv),HOuv))*24,4)))/HJour,4),""))</f>
        <v/>
      </c>
      <c r="AU738" s="37" t="str">
        <f aca="false">IF(AO738&lt;&gt;1,"",IF(OR(O738="",P738=""),"",IF(P738&lt;O738,"",ROUND(((NETWORKDAYS(O738,P738,JoursFeries)-1)*(HFer-HOuv)+IF(NETWORKDAYS(P738,P738,JoursFeries),MEDIAN(MOD(P738,1),HFer,HOuv),HFer)-IF(NETWORKDAYS(O738,O738,JoursFeries),MEDIAN(MOD(O738,1),HFer,HOuv),HOuv))*24,4))))</f>
        <v/>
      </c>
      <c r="AV738" s="37" t="str">
        <f aca="false">IF(AO738&lt;&gt;1,"",IF(OR(P738="",Q738=""),"",IF(Q738&lt;P738,"",ROUND(((NETWORKDAYS(P738,Q738,JoursFeries)-1)*(HFer-HOuv)+IF(NETWORKDAYS(Q738,Q738,JoursFeries),MEDIAN(MOD(Q738,1),HFer,HOuv),HFer)-IF(NETWORKDAYS(P738,P738,JoursFeries),MEDIAN(MOD(P738,1),HFer,HOuv),HOuv))*24,4))))</f>
        <v/>
      </c>
      <c r="AW738" s="37" t="str">
        <f aca="false">IF(AO738&lt;&gt;1,"",IFERROR(ROUND(IF(OR(P738="",R738=""),"",IF(R738&lt;P738,"",ROUND(((NETWORKDAYS(P738,R738,JoursFeries)-1)*(HFer-HOuv)+IF(NETWORKDAYS(R738,R738,JoursFeries),MEDIAN(MOD(R738,1),HFer,HOuv),HFer)-IF(NETWORKDAYS(P738,P738,JoursFeries),MEDIAN(MOD(P738,1),HFer,HOuv),HOuv))*24,4)))/HJour,4),""))</f>
        <v/>
      </c>
      <c r="AX738" s="37" t="str">
        <f aca="false">IF(AO738&lt;&gt;1,"",IFERROR(ROUND(IF(OR(P738="",S738=""),"",IF(S738&lt;P738,"",ROUND(((NETWORKDAYS(P738,S738,JoursFeries)-1)*(HFer-HOuv)+IF(NETWORKDAYS(S738,S738,JoursFeries),MEDIAN(MOD(S738,1),HFer,HOuv),HFer)-IF(NETWORKDAYS(P738,P738,JoursFeries),MEDIAN(MOD(P738,1),HFer,HOuv),HOuv))*24,4)))/HJour,4),""))</f>
        <v/>
      </c>
      <c r="AY738" s="36" t="str">
        <f aca="false">IF(OR(AO738&lt;&gt;1,AR738=""),"",INDEX(SLA_PEC,AR738))</f>
        <v/>
      </c>
      <c r="AZ738" s="35" t="str">
        <f aca="false">IF(OR(AV738="",AY738=""),"",IF(AV738&lt;=AY738,1,0))</f>
        <v/>
      </c>
      <c r="BA738" s="36" t="str">
        <f aca="false">IF(OR(AO738&lt;&gt;1,AR738=""),"",INDEX(SLA_RES,AR738))</f>
        <v/>
      </c>
      <c r="BB738" s="35" t="str">
        <f aca="false">IF(OR(AW738="",BA738=""),"",IF(AW738&lt;=BA738,1,0))</f>
        <v/>
      </c>
      <c r="BC738" s="38" t="str">
        <f aca="false">IF(OR(BA738="",P738=""),"",WORKDAY(INT(P738),BA738,JoursFeries)+MOD(P738,1))</f>
        <v/>
      </c>
      <c r="BD738" s="39" t="str">
        <f aca="false">IF(AO738&lt;&gt;1,"",IF(OR(AB738&lt;&gt;"",AD738&lt;&gt;""),4,IF(U738&lt;&gt;"",3,IF(T738&lt;&gt;"",2,1))))</f>
        <v/>
      </c>
      <c r="BE738" s="39" t="str">
        <f aca="false">IF(OR(AO738&lt;&gt;1,AR738=""),"",INDEX(NIV_REQ,AR738))</f>
        <v/>
      </c>
      <c r="BF738" s="39" t="str">
        <f aca="false">IF(BE738="","",MAX(BE738,IF(OR(K738="Oui",Z738="Oui"),4,1)))</f>
        <v/>
      </c>
      <c r="BG738" s="35" t="str">
        <f aca="false">IF(OR(BF738="",BD738=""),"",IF(BD738&gt;=BF738,1,0))</f>
        <v/>
      </c>
      <c r="BH738" s="38" t="str">
        <f aca="false">IF(BE738="","",IF(BE738&lt;2,"",IF(BE738=2,IF(AND(T738="",U738=""),"",MIN(T738,U738)),IF(U738="","",U738))))</f>
        <v/>
      </c>
      <c r="BI738" s="37" t="str">
        <f aca="false">IF(BH738="","",IF(OR(O738="",BH738=""),"",IF(BH738&lt;O738,"",ROUND(((NETWORKDAYS(O738,BH738,JoursFeries)-1)*(HFer-HOuv)+IF(NETWORKDAYS(BH738,BH738,JoursFeries),MEDIAN(MOD(BH738,1),HFer,HOuv),HFer)-IF(NETWORKDAYS(O738,O738,JoursFeries),MEDIAN(MOD(O738,1),HFer,HOuv),HOuv))*24,4))))</f>
        <v/>
      </c>
      <c r="BJ738" s="35" t="str">
        <f aca="false">IF(OR(BI738="",AR738=""),"",IF(BI738&lt;=INDEX(DELAI_ESC,AR738),1,0))</f>
        <v/>
      </c>
      <c r="BK738" s="38" t="str">
        <f aca="false">IF(AO738&lt;&gt;1,"",IF(AND(T738="",U738=""),"",MIN(T738,U738)))</f>
        <v/>
      </c>
      <c r="BL738" s="37" t="str">
        <f aca="false">IF(OR(BK738="",R738=""),"",IFERROR(ROUND(IF(OR(BK738="",R738=""),"",IF(R738&lt;BK738,"",ROUND(((NETWORKDAYS(BK738,R738,JoursFeries)-1)*(HFer-HOuv)+IF(NETWORKDAYS(R738,R738,JoursFeries),MEDIAN(MOD(R738,1),HFer,HOuv),HFer)-IF(NETWORKDAYS(BK738,BK738,JoursFeries),MEDIAN(MOD(BK738,1),HFer,HOuv),HOuv))*24,4)))/HJour,4),""))</f>
        <v/>
      </c>
      <c r="BM738" s="35" t="str">
        <f aca="false">IF(OR(AO738&lt;&gt;1,R738=""),"",IF(BD738=1,1,0))</f>
        <v/>
      </c>
      <c r="BN738" s="35" t="str">
        <f aca="false">IF(AO738&lt;&gt;1,"",IF(W738="Oui",1,0))</f>
        <v/>
      </c>
      <c r="BO738" s="35" t="str">
        <f aca="false">IF(AO738&lt;&gt;1,"",IF(X738&lt;&gt;"",1,0))</f>
        <v/>
      </c>
      <c r="BP738" s="35" t="str">
        <f aca="false">IF(AO738&lt;&gt;1,"",IF(Y738="Oui",1,0))</f>
        <v/>
      </c>
      <c r="BQ738" s="35" t="str">
        <f aca="true">IF(OR(AO738&lt;&gt;1,Z738&lt;&gt;"Oui"),"",IF(AB738="",IF(AND(AA738&lt;&gt;"",NOW()&gt;AA738),0,""),IF(AA738="","",IF(AB738&lt;=AA738,1,0))))</f>
        <v/>
      </c>
      <c r="BR738" s="38" t="str">
        <f aca="false">IF(OR(AO738&lt;&gt;1,K738&lt;&gt;"Oui",O738=""),"",IF(AC738="",O738+DORA_H_DET/24,IF(AC738-O738&lt;=DORA_H_DET/24,MIN(AC738+DORA_H_CLA/24,O738+DORA_H_DET/24),AC738+DORA_H_CLA/24)))</f>
        <v/>
      </c>
      <c r="BS738" s="35" t="str">
        <f aca="true">IF(BR738="","",IF(AD738="",IF(NOW()&gt;BR738,0,""),IF(AD738&lt;=BR738,1,0)))</f>
        <v/>
      </c>
      <c r="BT738" s="35" t="str">
        <f aca="true">IF(OR(BR738="",AD738=""),"",IF(AE738="",IF(NOW()&gt;AD738+DORA_H_INT/24,0,""),IF(AE738&lt;=AD738+DORA_H_INT/24,1,0)))</f>
        <v/>
      </c>
      <c r="BU738" s="35" t="str">
        <f aca="true">IF(OR(BR738="",AE738=""),"",IF(AF738="",IF(NOW()&gt;EDATE(AE738,DORA_M_FIN)+1,0,""),IF(AF738&lt;=EDATE(AE738,DORA_M_FIN),1,0)))</f>
        <v/>
      </c>
      <c r="BV738" s="35" t="str">
        <f aca="false">IF(BR738="","",IF(COUNT(BS738:BU738)=0,"",MIN(BS738:BU738)))</f>
        <v/>
      </c>
      <c r="BW738" s="40" t="str">
        <f aca="false">IF(AQ738&lt;&gt;1,"",IF(AND(AG738="",AH738=""),"",N(AG738)-N(AH738)))</f>
        <v/>
      </c>
      <c r="BX738" s="35" t="str">
        <f aca="true">IF(OR(AQ738&lt;&gt;1,AI738&lt;&gt;"Oui",AJ738=""),"",IF(AK738="",IF(NOW()&gt;AJ738+1,0,""),IF(AK738&lt;=AJ738,1,0)))</f>
        <v/>
      </c>
    </row>
    <row r="739" customFormat="false" ht="15" hidden="false" customHeight="false" outlineLevel="0" collapsed="false">
      <c r="B739" s="29"/>
      <c r="C739" s="29"/>
      <c r="D739" s="29"/>
      <c r="E739" s="29"/>
      <c r="F739" s="29"/>
      <c r="G739" s="29"/>
      <c r="H739" s="29"/>
      <c r="I739" s="29"/>
      <c r="J739" s="29"/>
      <c r="K739" s="29"/>
      <c r="L739" s="29"/>
      <c r="M739" s="29"/>
      <c r="N739" s="30"/>
      <c r="O739" s="30"/>
      <c r="P739" s="30"/>
      <c r="Q739" s="30"/>
      <c r="R739" s="30"/>
      <c r="S739" s="30"/>
      <c r="T739" s="30"/>
      <c r="U739" s="30"/>
      <c r="V739" s="31"/>
      <c r="W739" s="29"/>
      <c r="X739" s="29"/>
      <c r="Y739" s="29"/>
      <c r="Z739" s="29"/>
      <c r="AA739" s="30"/>
      <c r="AB739" s="30"/>
      <c r="AC739" s="30"/>
      <c r="AD739" s="30"/>
      <c r="AE739" s="30"/>
      <c r="AF739" s="32"/>
      <c r="AG739" s="33"/>
      <c r="AH739" s="33"/>
      <c r="AI739" s="29"/>
      <c r="AJ739" s="32"/>
      <c r="AK739" s="32"/>
      <c r="AL739" s="29"/>
      <c r="AN739" s="34" t="str">
        <f aca="false">IF($B739="","",IF(OR(C739="",D739="",E739="",G739="",I739="",J739="",L739="",O739="",P739=""),"Champ obligatoire manquant",IF(OR(AND(N739&lt;&gt;"",N739&gt;O739),O739&gt;P739,AND(Q739&lt;&gt;"",Q739&lt;P739),AND(R739&lt;&gt;"",R739&lt;P739),AND(S739&lt;&gt;"",S739&lt;R739),AND(S739&lt;&gt;"",R739=""),AND(T739&lt;&gt;"",T739&lt;O739),AND(U739&lt;&gt;"",U739&lt;O739)),"Chronologie incohérente",IF(AND(OR(L739="Résolu",L739="Clos"),R739=""),"Date de résolution manquante",IF(AND(L739="Clos",S739=""),"Date de clôture manquante",IF(AND(K739="Oui",AC739=""),"Classification DORA manquante","OK"))))))</f>
        <v/>
      </c>
      <c r="AO739" s="35" t="str">
        <f aca="false">IF($B739="","",IF(AND(C739="Incident",L739&lt;&gt;"Annulé"),1,0))</f>
        <v/>
      </c>
      <c r="AP739" s="35" t="str">
        <f aca="false">IF($B739="","",IF(AND(C739="Quasi-incident",L739&lt;&gt;"Annulé"),1,0))</f>
        <v/>
      </c>
      <c r="AQ739" s="35" t="str">
        <f aca="false">IF($B739="","",AO739+AP739)</f>
        <v/>
      </c>
      <c r="AR739" s="36" t="str">
        <f aca="false">IF(OR($B739="",J739=""),"",IFERROR(VALUE(LEFT(J739,1)),""))</f>
        <v/>
      </c>
      <c r="AS739" s="35" t="str">
        <f aca="false">IF(OR(AO739&lt;&gt;1,G739=""),"",IFERROR(IF(INDEX(L_SrcInterne,MATCH(G739,L_Sources,0))="Oui",1,0),""))</f>
        <v/>
      </c>
      <c r="AT739" s="37" t="str">
        <f aca="false">IF(AO739&lt;&gt;1,"",IFERROR(ROUND(IF(OR(N739="",O739=""),"",IF(O739&lt;N739,"",ROUND(((NETWORKDAYS(N739,O739,JoursFeries)-1)*(HFer-HOuv)+IF(NETWORKDAYS(O739,O739,JoursFeries),MEDIAN(MOD(O739,1),HFer,HOuv),HFer)-IF(NETWORKDAYS(N739,N739,JoursFeries),MEDIAN(MOD(N739,1),HFer,HOuv),HOuv))*24,4)))/HJour,4),""))</f>
        <v/>
      </c>
      <c r="AU739" s="37" t="str">
        <f aca="false">IF(AO739&lt;&gt;1,"",IF(OR(O739="",P739=""),"",IF(P739&lt;O739,"",ROUND(((NETWORKDAYS(O739,P739,JoursFeries)-1)*(HFer-HOuv)+IF(NETWORKDAYS(P739,P739,JoursFeries),MEDIAN(MOD(P739,1),HFer,HOuv),HFer)-IF(NETWORKDAYS(O739,O739,JoursFeries),MEDIAN(MOD(O739,1),HFer,HOuv),HOuv))*24,4))))</f>
        <v/>
      </c>
      <c r="AV739" s="37" t="str">
        <f aca="false">IF(AO739&lt;&gt;1,"",IF(OR(P739="",Q739=""),"",IF(Q739&lt;P739,"",ROUND(((NETWORKDAYS(P739,Q739,JoursFeries)-1)*(HFer-HOuv)+IF(NETWORKDAYS(Q739,Q739,JoursFeries),MEDIAN(MOD(Q739,1),HFer,HOuv),HFer)-IF(NETWORKDAYS(P739,P739,JoursFeries),MEDIAN(MOD(P739,1),HFer,HOuv),HOuv))*24,4))))</f>
        <v/>
      </c>
      <c r="AW739" s="37" t="str">
        <f aca="false">IF(AO739&lt;&gt;1,"",IFERROR(ROUND(IF(OR(P739="",R739=""),"",IF(R739&lt;P739,"",ROUND(((NETWORKDAYS(P739,R739,JoursFeries)-1)*(HFer-HOuv)+IF(NETWORKDAYS(R739,R739,JoursFeries),MEDIAN(MOD(R739,1),HFer,HOuv),HFer)-IF(NETWORKDAYS(P739,P739,JoursFeries),MEDIAN(MOD(P739,1),HFer,HOuv),HOuv))*24,4)))/HJour,4),""))</f>
        <v/>
      </c>
      <c r="AX739" s="37" t="str">
        <f aca="false">IF(AO739&lt;&gt;1,"",IFERROR(ROUND(IF(OR(P739="",S739=""),"",IF(S739&lt;P739,"",ROUND(((NETWORKDAYS(P739,S739,JoursFeries)-1)*(HFer-HOuv)+IF(NETWORKDAYS(S739,S739,JoursFeries),MEDIAN(MOD(S739,1),HFer,HOuv),HFer)-IF(NETWORKDAYS(P739,P739,JoursFeries),MEDIAN(MOD(P739,1),HFer,HOuv),HOuv))*24,4)))/HJour,4),""))</f>
        <v/>
      </c>
      <c r="AY739" s="36" t="str">
        <f aca="false">IF(OR(AO739&lt;&gt;1,AR739=""),"",INDEX(SLA_PEC,AR739))</f>
        <v/>
      </c>
      <c r="AZ739" s="35" t="str">
        <f aca="false">IF(OR(AV739="",AY739=""),"",IF(AV739&lt;=AY739,1,0))</f>
        <v/>
      </c>
      <c r="BA739" s="36" t="str">
        <f aca="false">IF(OR(AO739&lt;&gt;1,AR739=""),"",INDEX(SLA_RES,AR739))</f>
        <v/>
      </c>
      <c r="BB739" s="35" t="str">
        <f aca="false">IF(OR(AW739="",BA739=""),"",IF(AW739&lt;=BA739,1,0))</f>
        <v/>
      </c>
      <c r="BC739" s="38" t="str">
        <f aca="false">IF(OR(BA739="",P739=""),"",WORKDAY(INT(P739),BA739,JoursFeries)+MOD(P739,1))</f>
        <v/>
      </c>
      <c r="BD739" s="39" t="str">
        <f aca="false">IF(AO739&lt;&gt;1,"",IF(OR(AB739&lt;&gt;"",AD739&lt;&gt;""),4,IF(U739&lt;&gt;"",3,IF(T739&lt;&gt;"",2,1))))</f>
        <v/>
      </c>
      <c r="BE739" s="39" t="str">
        <f aca="false">IF(OR(AO739&lt;&gt;1,AR739=""),"",INDEX(NIV_REQ,AR739))</f>
        <v/>
      </c>
      <c r="BF739" s="39" t="str">
        <f aca="false">IF(BE739="","",MAX(BE739,IF(OR(K739="Oui",Z739="Oui"),4,1)))</f>
        <v/>
      </c>
      <c r="BG739" s="35" t="str">
        <f aca="false">IF(OR(BF739="",BD739=""),"",IF(BD739&gt;=BF739,1,0))</f>
        <v/>
      </c>
      <c r="BH739" s="38" t="str">
        <f aca="false">IF(BE739="","",IF(BE739&lt;2,"",IF(BE739=2,IF(AND(T739="",U739=""),"",MIN(T739,U739)),IF(U739="","",U739))))</f>
        <v/>
      </c>
      <c r="BI739" s="37" t="str">
        <f aca="false">IF(BH739="","",IF(OR(O739="",BH739=""),"",IF(BH739&lt;O739,"",ROUND(((NETWORKDAYS(O739,BH739,JoursFeries)-1)*(HFer-HOuv)+IF(NETWORKDAYS(BH739,BH739,JoursFeries),MEDIAN(MOD(BH739,1),HFer,HOuv),HFer)-IF(NETWORKDAYS(O739,O739,JoursFeries),MEDIAN(MOD(O739,1),HFer,HOuv),HOuv))*24,4))))</f>
        <v/>
      </c>
      <c r="BJ739" s="35" t="str">
        <f aca="false">IF(OR(BI739="",AR739=""),"",IF(BI739&lt;=INDEX(DELAI_ESC,AR739),1,0))</f>
        <v/>
      </c>
      <c r="BK739" s="38" t="str">
        <f aca="false">IF(AO739&lt;&gt;1,"",IF(AND(T739="",U739=""),"",MIN(T739,U739)))</f>
        <v/>
      </c>
      <c r="BL739" s="37" t="str">
        <f aca="false">IF(OR(BK739="",R739=""),"",IFERROR(ROUND(IF(OR(BK739="",R739=""),"",IF(R739&lt;BK739,"",ROUND(((NETWORKDAYS(BK739,R739,JoursFeries)-1)*(HFer-HOuv)+IF(NETWORKDAYS(R739,R739,JoursFeries),MEDIAN(MOD(R739,1),HFer,HOuv),HFer)-IF(NETWORKDAYS(BK739,BK739,JoursFeries),MEDIAN(MOD(BK739,1),HFer,HOuv),HOuv))*24,4)))/HJour,4),""))</f>
        <v/>
      </c>
      <c r="BM739" s="35" t="str">
        <f aca="false">IF(OR(AO739&lt;&gt;1,R739=""),"",IF(BD739=1,1,0))</f>
        <v/>
      </c>
      <c r="BN739" s="35" t="str">
        <f aca="false">IF(AO739&lt;&gt;1,"",IF(W739="Oui",1,0))</f>
        <v/>
      </c>
      <c r="BO739" s="35" t="str">
        <f aca="false">IF(AO739&lt;&gt;1,"",IF(X739&lt;&gt;"",1,0))</f>
        <v/>
      </c>
      <c r="BP739" s="35" t="str">
        <f aca="false">IF(AO739&lt;&gt;1,"",IF(Y739="Oui",1,0))</f>
        <v/>
      </c>
      <c r="BQ739" s="35" t="str">
        <f aca="true">IF(OR(AO739&lt;&gt;1,Z739&lt;&gt;"Oui"),"",IF(AB739="",IF(AND(AA739&lt;&gt;"",NOW()&gt;AA739),0,""),IF(AA739="","",IF(AB739&lt;=AA739,1,0))))</f>
        <v/>
      </c>
      <c r="BR739" s="38" t="str">
        <f aca="false">IF(OR(AO739&lt;&gt;1,K739&lt;&gt;"Oui",O739=""),"",IF(AC739="",O739+DORA_H_DET/24,IF(AC739-O739&lt;=DORA_H_DET/24,MIN(AC739+DORA_H_CLA/24,O739+DORA_H_DET/24),AC739+DORA_H_CLA/24)))</f>
        <v/>
      </c>
      <c r="BS739" s="35" t="str">
        <f aca="true">IF(BR739="","",IF(AD739="",IF(NOW()&gt;BR739,0,""),IF(AD739&lt;=BR739,1,0)))</f>
        <v/>
      </c>
      <c r="BT739" s="35" t="str">
        <f aca="true">IF(OR(BR739="",AD739=""),"",IF(AE739="",IF(NOW()&gt;AD739+DORA_H_INT/24,0,""),IF(AE739&lt;=AD739+DORA_H_INT/24,1,0)))</f>
        <v/>
      </c>
      <c r="BU739" s="35" t="str">
        <f aca="true">IF(OR(BR739="",AE739=""),"",IF(AF739="",IF(NOW()&gt;EDATE(AE739,DORA_M_FIN)+1,0,""),IF(AF739&lt;=EDATE(AE739,DORA_M_FIN),1,0)))</f>
        <v/>
      </c>
      <c r="BV739" s="35" t="str">
        <f aca="false">IF(BR739="","",IF(COUNT(BS739:BU739)=0,"",MIN(BS739:BU739)))</f>
        <v/>
      </c>
      <c r="BW739" s="40" t="str">
        <f aca="false">IF(AQ739&lt;&gt;1,"",IF(AND(AG739="",AH739=""),"",N(AG739)-N(AH739)))</f>
        <v/>
      </c>
      <c r="BX739" s="35" t="str">
        <f aca="true">IF(OR(AQ739&lt;&gt;1,AI739&lt;&gt;"Oui",AJ739=""),"",IF(AK739="",IF(NOW()&gt;AJ739+1,0,""),IF(AK739&lt;=AJ739,1,0)))</f>
        <v/>
      </c>
    </row>
    <row r="740" customFormat="false" ht="15" hidden="false" customHeight="false" outlineLevel="0" collapsed="false">
      <c r="B740" s="29"/>
      <c r="C740" s="29"/>
      <c r="D740" s="29"/>
      <c r="E740" s="29"/>
      <c r="F740" s="29"/>
      <c r="G740" s="29"/>
      <c r="H740" s="29"/>
      <c r="I740" s="29"/>
      <c r="J740" s="29"/>
      <c r="K740" s="29"/>
      <c r="L740" s="29"/>
      <c r="M740" s="29"/>
      <c r="N740" s="30"/>
      <c r="O740" s="30"/>
      <c r="P740" s="30"/>
      <c r="Q740" s="30"/>
      <c r="R740" s="30"/>
      <c r="S740" s="30"/>
      <c r="T740" s="30"/>
      <c r="U740" s="30"/>
      <c r="V740" s="31"/>
      <c r="W740" s="29"/>
      <c r="X740" s="29"/>
      <c r="Y740" s="29"/>
      <c r="Z740" s="29"/>
      <c r="AA740" s="30"/>
      <c r="AB740" s="30"/>
      <c r="AC740" s="30"/>
      <c r="AD740" s="30"/>
      <c r="AE740" s="30"/>
      <c r="AF740" s="32"/>
      <c r="AG740" s="33"/>
      <c r="AH740" s="33"/>
      <c r="AI740" s="29"/>
      <c r="AJ740" s="32"/>
      <c r="AK740" s="32"/>
      <c r="AL740" s="29"/>
      <c r="AN740" s="34" t="str">
        <f aca="false">IF($B740="","",IF(OR(C740="",D740="",E740="",G740="",I740="",J740="",L740="",O740="",P740=""),"Champ obligatoire manquant",IF(OR(AND(N740&lt;&gt;"",N740&gt;O740),O740&gt;P740,AND(Q740&lt;&gt;"",Q740&lt;P740),AND(R740&lt;&gt;"",R740&lt;P740),AND(S740&lt;&gt;"",S740&lt;R740),AND(S740&lt;&gt;"",R740=""),AND(T740&lt;&gt;"",T740&lt;O740),AND(U740&lt;&gt;"",U740&lt;O740)),"Chronologie incohérente",IF(AND(OR(L740="Résolu",L740="Clos"),R740=""),"Date de résolution manquante",IF(AND(L740="Clos",S740=""),"Date de clôture manquante",IF(AND(K740="Oui",AC740=""),"Classification DORA manquante","OK"))))))</f>
        <v/>
      </c>
      <c r="AO740" s="35" t="str">
        <f aca="false">IF($B740="","",IF(AND(C740="Incident",L740&lt;&gt;"Annulé"),1,0))</f>
        <v/>
      </c>
      <c r="AP740" s="35" t="str">
        <f aca="false">IF($B740="","",IF(AND(C740="Quasi-incident",L740&lt;&gt;"Annulé"),1,0))</f>
        <v/>
      </c>
      <c r="AQ740" s="35" t="str">
        <f aca="false">IF($B740="","",AO740+AP740)</f>
        <v/>
      </c>
      <c r="AR740" s="36" t="str">
        <f aca="false">IF(OR($B740="",J740=""),"",IFERROR(VALUE(LEFT(J740,1)),""))</f>
        <v/>
      </c>
      <c r="AS740" s="35" t="str">
        <f aca="false">IF(OR(AO740&lt;&gt;1,G740=""),"",IFERROR(IF(INDEX(L_SrcInterne,MATCH(G740,L_Sources,0))="Oui",1,0),""))</f>
        <v/>
      </c>
      <c r="AT740" s="37" t="str">
        <f aca="false">IF(AO740&lt;&gt;1,"",IFERROR(ROUND(IF(OR(N740="",O740=""),"",IF(O740&lt;N740,"",ROUND(((NETWORKDAYS(N740,O740,JoursFeries)-1)*(HFer-HOuv)+IF(NETWORKDAYS(O740,O740,JoursFeries),MEDIAN(MOD(O740,1),HFer,HOuv),HFer)-IF(NETWORKDAYS(N740,N740,JoursFeries),MEDIAN(MOD(N740,1),HFer,HOuv),HOuv))*24,4)))/HJour,4),""))</f>
        <v/>
      </c>
      <c r="AU740" s="37" t="str">
        <f aca="false">IF(AO740&lt;&gt;1,"",IF(OR(O740="",P740=""),"",IF(P740&lt;O740,"",ROUND(((NETWORKDAYS(O740,P740,JoursFeries)-1)*(HFer-HOuv)+IF(NETWORKDAYS(P740,P740,JoursFeries),MEDIAN(MOD(P740,1),HFer,HOuv),HFer)-IF(NETWORKDAYS(O740,O740,JoursFeries),MEDIAN(MOD(O740,1),HFer,HOuv),HOuv))*24,4))))</f>
        <v/>
      </c>
      <c r="AV740" s="37" t="str">
        <f aca="false">IF(AO740&lt;&gt;1,"",IF(OR(P740="",Q740=""),"",IF(Q740&lt;P740,"",ROUND(((NETWORKDAYS(P740,Q740,JoursFeries)-1)*(HFer-HOuv)+IF(NETWORKDAYS(Q740,Q740,JoursFeries),MEDIAN(MOD(Q740,1),HFer,HOuv),HFer)-IF(NETWORKDAYS(P740,P740,JoursFeries),MEDIAN(MOD(P740,1),HFer,HOuv),HOuv))*24,4))))</f>
        <v/>
      </c>
      <c r="AW740" s="37" t="str">
        <f aca="false">IF(AO740&lt;&gt;1,"",IFERROR(ROUND(IF(OR(P740="",R740=""),"",IF(R740&lt;P740,"",ROUND(((NETWORKDAYS(P740,R740,JoursFeries)-1)*(HFer-HOuv)+IF(NETWORKDAYS(R740,R740,JoursFeries),MEDIAN(MOD(R740,1),HFer,HOuv),HFer)-IF(NETWORKDAYS(P740,P740,JoursFeries),MEDIAN(MOD(P740,1),HFer,HOuv),HOuv))*24,4)))/HJour,4),""))</f>
        <v/>
      </c>
      <c r="AX740" s="37" t="str">
        <f aca="false">IF(AO740&lt;&gt;1,"",IFERROR(ROUND(IF(OR(P740="",S740=""),"",IF(S740&lt;P740,"",ROUND(((NETWORKDAYS(P740,S740,JoursFeries)-1)*(HFer-HOuv)+IF(NETWORKDAYS(S740,S740,JoursFeries),MEDIAN(MOD(S740,1),HFer,HOuv),HFer)-IF(NETWORKDAYS(P740,P740,JoursFeries),MEDIAN(MOD(P740,1),HFer,HOuv),HOuv))*24,4)))/HJour,4),""))</f>
        <v/>
      </c>
      <c r="AY740" s="36" t="str">
        <f aca="false">IF(OR(AO740&lt;&gt;1,AR740=""),"",INDEX(SLA_PEC,AR740))</f>
        <v/>
      </c>
      <c r="AZ740" s="35" t="str">
        <f aca="false">IF(OR(AV740="",AY740=""),"",IF(AV740&lt;=AY740,1,0))</f>
        <v/>
      </c>
      <c r="BA740" s="36" t="str">
        <f aca="false">IF(OR(AO740&lt;&gt;1,AR740=""),"",INDEX(SLA_RES,AR740))</f>
        <v/>
      </c>
      <c r="BB740" s="35" t="str">
        <f aca="false">IF(OR(AW740="",BA740=""),"",IF(AW740&lt;=BA740,1,0))</f>
        <v/>
      </c>
      <c r="BC740" s="38" t="str">
        <f aca="false">IF(OR(BA740="",P740=""),"",WORKDAY(INT(P740),BA740,JoursFeries)+MOD(P740,1))</f>
        <v/>
      </c>
      <c r="BD740" s="39" t="str">
        <f aca="false">IF(AO740&lt;&gt;1,"",IF(OR(AB740&lt;&gt;"",AD740&lt;&gt;""),4,IF(U740&lt;&gt;"",3,IF(T740&lt;&gt;"",2,1))))</f>
        <v/>
      </c>
      <c r="BE740" s="39" t="str">
        <f aca="false">IF(OR(AO740&lt;&gt;1,AR740=""),"",INDEX(NIV_REQ,AR740))</f>
        <v/>
      </c>
      <c r="BF740" s="39" t="str">
        <f aca="false">IF(BE740="","",MAX(BE740,IF(OR(K740="Oui",Z740="Oui"),4,1)))</f>
        <v/>
      </c>
      <c r="BG740" s="35" t="str">
        <f aca="false">IF(OR(BF740="",BD740=""),"",IF(BD740&gt;=BF740,1,0))</f>
        <v/>
      </c>
      <c r="BH740" s="38" t="str">
        <f aca="false">IF(BE740="","",IF(BE740&lt;2,"",IF(BE740=2,IF(AND(T740="",U740=""),"",MIN(T740,U740)),IF(U740="","",U740))))</f>
        <v/>
      </c>
      <c r="BI740" s="37" t="str">
        <f aca="false">IF(BH740="","",IF(OR(O740="",BH740=""),"",IF(BH740&lt;O740,"",ROUND(((NETWORKDAYS(O740,BH740,JoursFeries)-1)*(HFer-HOuv)+IF(NETWORKDAYS(BH740,BH740,JoursFeries),MEDIAN(MOD(BH740,1),HFer,HOuv),HFer)-IF(NETWORKDAYS(O740,O740,JoursFeries),MEDIAN(MOD(O740,1),HFer,HOuv),HOuv))*24,4))))</f>
        <v/>
      </c>
      <c r="BJ740" s="35" t="str">
        <f aca="false">IF(OR(BI740="",AR740=""),"",IF(BI740&lt;=INDEX(DELAI_ESC,AR740),1,0))</f>
        <v/>
      </c>
      <c r="BK740" s="38" t="str">
        <f aca="false">IF(AO740&lt;&gt;1,"",IF(AND(T740="",U740=""),"",MIN(T740,U740)))</f>
        <v/>
      </c>
      <c r="BL740" s="37" t="str">
        <f aca="false">IF(OR(BK740="",R740=""),"",IFERROR(ROUND(IF(OR(BK740="",R740=""),"",IF(R740&lt;BK740,"",ROUND(((NETWORKDAYS(BK740,R740,JoursFeries)-1)*(HFer-HOuv)+IF(NETWORKDAYS(R740,R740,JoursFeries),MEDIAN(MOD(R740,1),HFer,HOuv),HFer)-IF(NETWORKDAYS(BK740,BK740,JoursFeries),MEDIAN(MOD(BK740,1),HFer,HOuv),HOuv))*24,4)))/HJour,4),""))</f>
        <v/>
      </c>
      <c r="BM740" s="35" t="str">
        <f aca="false">IF(OR(AO740&lt;&gt;1,R740=""),"",IF(BD740=1,1,0))</f>
        <v/>
      </c>
      <c r="BN740" s="35" t="str">
        <f aca="false">IF(AO740&lt;&gt;1,"",IF(W740="Oui",1,0))</f>
        <v/>
      </c>
      <c r="BO740" s="35" t="str">
        <f aca="false">IF(AO740&lt;&gt;1,"",IF(X740&lt;&gt;"",1,0))</f>
        <v/>
      </c>
      <c r="BP740" s="35" t="str">
        <f aca="false">IF(AO740&lt;&gt;1,"",IF(Y740="Oui",1,0))</f>
        <v/>
      </c>
      <c r="BQ740" s="35" t="str">
        <f aca="true">IF(OR(AO740&lt;&gt;1,Z740&lt;&gt;"Oui"),"",IF(AB740="",IF(AND(AA740&lt;&gt;"",NOW()&gt;AA740),0,""),IF(AA740="","",IF(AB740&lt;=AA740,1,0))))</f>
        <v/>
      </c>
      <c r="BR740" s="38" t="str">
        <f aca="false">IF(OR(AO740&lt;&gt;1,K740&lt;&gt;"Oui",O740=""),"",IF(AC740="",O740+DORA_H_DET/24,IF(AC740-O740&lt;=DORA_H_DET/24,MIN(AC740+DORA_H_CLA/24,O740+DORA_H_DET/24),AC740+DORA_H_CLA/24)))</f>
        <v/>
      </c>
      <c r="BS740" s="35" t="str">
        <f aca="true">IF(BR740="","",IF(AD740="",IF(NOW()&gt;BR740,0,""),IF(AD740&lt;=BR740,1,0)))</f>
        <v/>
      </c>
      <c r="BT740" s="35" t="str">
        <f aca="true">IF(OR(BR740="",AD740=""),"",IF(AE740="",IF(NOW()&gt;AD740+DORA_H_INT/24,0,""),IF(AE740&lt;=AD740+DORA_H_INT/24,1,0)))</f>
        <v/>
      </c>
      <c r="BU740" s="35" t="str">
        <f aca="true">IF(OR(BR740="",AE740=""),"",IF(AF740="",IF(NOW()&gt;EDATE(AE740,DORA_M_FIN)+1,0,""),IF(AF740&lt;=EDATE(AE740,DORA_M_FIN),1,0)))</f>
        <v/>
      </c>
      <c r="BV740" s="35" t="str">
        <f aca="false">IF(BR740="","",IF(COUNT(BS740:BU740)=0,"",MIN(BS740:BU740)))</f>
        <v/>
      </c>
      <c r="BW740" s="40" t="str">
        <f aca="false">IF(AQ740&lt;&gt;1,"",IF(AND(AG740="",AH740=""),"",N(AG740)-N(AH740)))</f>
        <v/>
      </c>
      <c r="BX740" s="35" t="str">
        <f aca="true">IF(OR(AQ740&lt;&gt;1,AI740&lt;&gt;"Oui",AJ740=""),"",IF(AK740="",IF(NOW()&gt;AJ740+1,0,""),IF(AK740&lt;=AJ740,1,0)))</f>
        <v/>
      </c>
    </row>
    <row r="741" customFormat="false" ht="15" hidden="false" customHeight="false" outlineLevel="0" collapsed="false">
      <c r="B741" s="29"/>
      <c r="C741" s="29"/>
      <c r="D741" s="29"/>
      <c r="E741" s="29"/>
      <c r="F741" s="29"/>
      <c r="G741" s="29"/>
      <c r="H741" s="29"/>
      <c r="I741" s="29"/>
      <c r="J741" s="29"/>
      <c r="K741" s="29"/>
      <c r="L741" s="29"/>
      <c r="M741" s="29"/>
      <c r="N741" s="30"/>
      <c r="O741" s="30"/>
      <c r="P741" s="30"/>
      <c r="Q741" s="30"/>
      <c r="R741" s="30"/>
      <c r="S741" s="30"/>
      <c r="T741" s="30"/>
      <c r="U741" s="30"/>
      <c r="V741" s="31"/>
      <c r="W741" s="29"/>
      <c r="X741" s="29"/>
      <c r="Y741" s="29"/>
      <c r="Z741" s="29"/>
      <c r="AA741" s="30"/>
      <c r="AB741" s="30"/>
      <c r="AC741" s="30"/>
      <c r="AD741" s="30"/>
      <c r="AE741" s="30"/>
      <c r="AF741" s="32"/>
      <c r="AG741" s="33"/>
      <c r="AH741" s="33"/>
      <c r="AI741" s="29"/>
      <c r="AJ741" s="32"/>
      <c r="AK741" s="32"/>
      <c r="AL741" s="29"/>
      <c r="AN741" s="34" t="str">
        <f aca="false">IF($B741="","",IF(OR(C741="",D741="",E741="",G741="",I741="",J741="",L741="",O741="",P741=""),"Champ obligatoire manquant",IF(OR(AND(N741&lt;&gt;"",N741&gt;O741),O741&gt;P741,AND(Q741&lt;&gt;"",Q741&lt;P741),AND(R741&lt;&gt;"",R741&lt;P741),AND(S741&lt;&gt;"",S741&lt;R741),AND(S741&lt;&gt;"",R741=""),AND(T741&lt;&gt;"",T741&lt;O741),AND(U741&lt;&gt;"",U741&lt;O741)),"Chronologie incohérente",IF(AND(OR(L741="Résolu",L741="Clos"),R741=""),"Date de résolution manquante",IF(AND(L741="Clos",S741=""),"Date de clôture manquante",IF(AND(K741="Oui",AC741=""),"Classification DORA manquante","OK"))))))</f>
        <v/>
      </c>
      <c r="AO741" s="35" t="str">
        <f aca="false">IF($B741="","",IF(AND(C741="Incident",L741&lt;&gt;"Annulé"),1,0))</f>
        <v/>
      </c>
      <c r="AP741" s="35" t="str">
        <f aca="false">IF($B741="","",IF(AND(C741="Quasi-incident",L741&lt;&gt;"Annulé"),1,0))</f>
        <v/>
      </c>
      <c r="AQ741" s="35" t="str">
        <f aca="false">IF($B741="","",AO741+AP741)</f>
        <v/>
      </c>
      <c r="AR741" s="36" t="str">
        <f aca="false">IF(OR($B741="",J741=""),"",IFERROR(VALUE(LEFT(J741,1)),""))</f>
        <v/>
      </c>
      <c r="AS741" s="35" t="str">
        <f aca="false">IF(OR(AO741&lt;&gt;1,G741=""),"",IFERROR(IF(INDEX(L_SrcInterne,MATCH(G741,L_Sources,0))="Oui",1,0),""))</f>
        <v/>
      </c>
      <c r="AT741" s="37" t="str">
        <f aca="false">IF(AO741&lt;&gt;1,"",IFERROR(ROUND(IF(OR(N741="",O741=""),"",IF(O741&lt;N741,"",ROUND(((NETWORKDAYS(N741,O741,JoursFeries)-1)*(HFer-HOuv)+IF(NETWORKDAYS(O741,O741,JoursFeries),MEDIAN(MOD(O741,1),HFer,HOuv),HFer)-IF(NETWORKDAYS(N741,N741,JoursFeries),MEDIAN(MOD(N741,1),HFer,HOuv),HOuv))*24,4)))/HJour,4),""))</f>
        <v/>
      </c>
      <c r="AU741" s="37" t="str">
        <f aca="false">IF(AO741&lt;&gt;1,"",IF(OR(O741="",P741=""),"",IF(P741&lt;O741,"",ROUND(((NETWORKDAYS(O741,P741,JoursFeries)-1)*(HFer-HOuv)+IF(NETWORKDAYS(P741,P741,JoursFeries),MEDIAN(MOD(P741,1),HFer,HOuv),HFer)-IF(NETWORKDAYS(O741,O741,JoursFeries),MEDIAN(MOD(O741,1),HFer,HOuv),HOuv))*24,4))))</f>
        <v/>
      </c>
      <c r="AV741" s="37" t="str">
        <f aca="false">IF(AO741&lt;&gt;1,"",IF(OR(P741="",Q741=""),"",IF(Q741&lt;P741,"",ROUND(((NETWORKDAYS(P741,Q741,JoursFeries)-1)*(HFer-HOuv)+IF(NETWORKDAYS(Q741,Q741,JoursFeries),MEDIAN(MOD(Q741,1),HFer,HOuv),HFer)-IF(NETWORKDAYS(P741,P741,JoursFeries),MEDIAN(MOD(P741,1),HFer,HOuv),HOuv))*24,4))))</f>
        <v/>
      </c>
      <c r="AW741" s="37" t="str">
        <f aca="false">IF(AO741&lt;&gt;1,"",IFERROR(ROUND(IF(OR(P741="",R741=""),"",IF(R741&lt;P741,"",ROUND(((NETWORKDAYS(P741,R741,JoursFeries)-1)*(HFer-HOuv)+IF(NETWORKDAYS(R741,R741,JoursFeries),MEDIAN(MOD(R741,1),HFer,HOuv),HFer)-IF(NETWORKDAYS(P741,P741,JoursFeries),MEDIAN(MOD(P741,1),HFer,HOuv),HOuv))*24,4)))/HJour,4),""))</f>
        <v/>
      </c>
      <c r="AX741" s="37" t="str">
        <f aca="false">IF(AO741&lt;&gt;1,"",IFERROR(ROUND(IF(OR(P741="",S741=""),"",IF(S741&lt;P741,"",ROUND(((NETWORKDAYS(P741,S741,JoursFeries)-1)*(HFer-HOuv)+IF(NETWORKDAYS(S741,S741,JoursFeries),MEDIAN(MOD(S741,1),HFer,HOuv),HFer)-IF(NETWORKDAYS(P741,P741,JoursFeries),MEDIAN(MOD(P741,1),HFer,HOuv),HOuv))*24,4)))/HJour,4),""))</f>
        <v/>
      </c>
      <c r="AY741" s="36" t="str">
        <f aca="false">IF(OR(AO741&lt;&gt;1,AR741=""),"",INDEX(SLA_PEC,AR741))</f>
        <v/>
      </c>
      <c r="AZ741" s="35" t="str">
        <f aca="false">IF(OR(AV741="",AY741=""),"",IF(AV741&lt;=AY741,1,0))</f>
        <v/>
      </c>
      <c r="BA741" s="36" t="str">
        <f aca="false">IF(OR(AO741&lt;&gt;1,AR741=""),"",INDEX(SLA_RES,AR741))</f>
        <v/>
      </c>
      <c r="BB741" s="35" t="str">
        <f aca="false">IF(OR(AW741="",BA741=""),"",IF(AW741&lt;=BA741,1,0))</f>
        <v/>
      </c>
      <c r="BC741" s="38" t="str">
        <f aca="false">IF(OR(BA741="",P741=""),"",WORKDAY(INT(P741),BA741,JoursFeries)+MOD(P741,1))</f>
        <v/>
      </c>
      <c r="BD741" s="39" t="str">
        <f aca="false">IF(AO741&lt;&gt;1,"",IF(OR(AB741&lt;&gt;"",AD741&lt;&gt;""),4,IF(U741&lt;&gt;"",3,IF(T741&lt;&gt;"",2,1))))</f>
        <v/>
      </c>
      <c r="BE741" s="39" t="str">
        <f aca="false">IF(OR(AO741&lt;&gt;1,AR741=""),"",INDEX(NIV_REQ,AR741))</f>
        <v/>
      </c>
      <c r="BF741" s="39" t="str">
        <f aca="false">IF(BE741="","",MAX(BE741,IF(OR(K741="Oui",Z741="Oui"),4,1)))</f>
        <v/>
      </c>
      <c r="BG741" s="35" t="str">
        <f aca="false">IF(OR(BF741="",BD741=""),"",IF(BD741&gt;=BF741,1,0))</f>
        <v/>
      </c>
      <c r="BH741" s="38" t="str">
        <f aca="false">IF(BE741="","",IF(BE741&lt;2,"",IF(BE741=2,IF(AND(T741="",U741=""),"",MIN(T741,U741)),IF(U741="","",U741))))</f>
        <v/>
      </c>
      <c r="BI741" s="37" t="str">
        <f aca="false">IF(BH741="","",IF(OR(O741="",BH741=""),"",IF(BH741&lt;O741,"",ROUND(((NETWORKDAYS(O741,BH741,JoursFeries)-1)*(HFer-HOuv)+IF(NETWORKDAYS(BH741,BH741,JoursFeries),MEDIAN(MOD(BH741,1),HFer,HOuv),HFer)-IF(NETWORKDAYS(O741,O741,JoursFeries),MEDIAN(MOD(O741,1),HFer,HOuv),HOuv))*24,4))))</f>
        <v/>
      </c>
      <c r="BJ741" s="35" t="str">
        <f aca="false">IF(OR(BI741="",AR741=""),"",IF(BI741&lt;=INDEX(DELAI_ESC,AR741),1,0))</f>
        <v/>
      </c>
      <c r="BK741" s="38" t="str">
        <f aca="false">IF(AO741&lt;&gt;1,"",IF(AND(T741="",U741=""),"",MIN(T741,U741)))</f>
        <v/>
      </c>
      <c r="BL741" s="37" t="str">
        <f aca="false">IF(OR(BK741="",R741=""),"",IFERROR(ROUND(IF(OR(BK741="",R741=""),"",IF(R741&lt;BK741,"",ROUND(((NETWORKDAYS(BK741,R741,JoursFeries)-1)*(HFer-HOuv)+IF(NETWORKDAYS(R741,R741,JoursFeries),MEDIAN(MOD(R741,1),HFer,HOuv),HFer)-IF(NETWORKDAYS(BK741,BK741,JoursFeries),MEDIAN(MOD(BK741,1),HFer,HOuv),HOuv))*24,4)))/HJour,4),""))</f>
        <v/>
      </c>
      <c r="BM741" s="35" t="str">
        <f aca="false">IF(OR(AO741&lt;&gt;1,R741=""),"",IF(BD741=1,1,0))</f>
        <v/>
      </c>
      <c r="BN741" s="35" t="str">
        <f aca="false">IF(AO741&lt;&gt;1,"",IF(W741="Oui",1,0))</f>
        <v/>
      </c>
      <c r="BO741" s="35" t="str">
        <f aca="false">IF(AO741&lt;&gt;1,"",IF(X741&lt;&gt;"",1,0))</f>
        <v/>
      </c>
      <c r="BP741" s="35" t="str">
        <f aca="false">IF(AO741&lt;&gt;1,"",IF(Y741="Oui",1,0))</f>
        <v/>
      </c>
      <c r="BQ741" s="35" t="str">
        <f aca="true">IF(OR(AO741&lt;&gt;1,Z741&lt;&gt;"Oui"),"",IF(AB741="",IF(AND(AA741&lt;&gt;"",NOW()&gt;AA741),0,""),IF(AA741="","",IF(AB741&lt;=AA741,1,0))))</f>
        <v/>
      </c>
      <c r="BR741" s="38" t="str">
        <f aca="false">IF(OR(AO741&lt;&gt;1,K741&lt;&gt;"Oui",O741=""),"",IF(AC741="",O741+DORA_H_DET/24,IF(AC741-O741&lt;=DORA_H_DET/24,MIN(AC741+DORA_H_CLA/24,O741+DORA_H_DET/24),AC741+DORA_H_CLA/24)))</f>
        <v/>
      </c>
      <c r="BS741" s="35" t="str">
        <f aca="true">IF(BR741="","",IF(AD741="",IF(NOW()&gt;BR741,0,""),IF(AD741&lt;=BR741,1,0)))</f>
        <v/>
      </c>
      <c r="BT741" s="35" t="str">
        <f aca="true">IF(OR(BR741="",AD741=""),"",IF(AE741="",IF(NOW()&gt;AD741+DORA_H_INT/24,0,""),IF(AE741&lt;=AD741+DORA_H_INT/24,1,0)))</f>
        <v/>
      </c>
      <c r="BU741" s="35" t="str">
        <f aca="true">IF(OR(BR741="",AE741=""),"",IF(AF741="",IF(NOW()&gt;EDATE(AE741,DORA_M_FIN)+1,0,""),IF(AF741&lt;=EDATE(AE741,DORA_M_FIN),1,0)))</f>
        <v/>
      </c>
      <c r="BV741" s="35" t="str">
        <f aca="false">IF(BR741="","",IF(COUNT(BS741:BU741)=0,"",MIN(BS741:BU741)))</f>
        <v/>
      </c>
      <c r="BW741" s="40" t="str">
        <f aca="false">IF(AQ741&lt;&gt;1,"",IF(AND(AG741="",AH741=""),"",N(AG741)-N(AH741)))</f>
        <v/>
      </c>
      <c r="BX741" s="35" t="str">
        <f aca="true">IF(OR(AQ741&lt;&gt;1,AI741&lt;&gt;"Oui",AJ741=""),"",IF(AK741="",IF(NOW()&gt;AJ741+1,0,""),IF(AK741&lt;=AJ741,1,0)))</f>
        <v/>
      </c>
    </row>
    <row r="742" customFormat="false" ht="15" hidden="false" customHeight="false" outlineLevel="0" collapsed="false">
      <c r="B742" s="29"/>
      <c r="C742" s="29"/>
      <c r="D742" s="29"/>
      <c r="E742" s="29"/>
      <c r="F742" s="29"/>
      <c r="G742" s="29"/>
      <c r="H742" s="29"/>
      <c r="I742" s="29"/>
      <c r="J742" s="29"/>
      <c r="K742" s="29"/>
      <c r="L742" s="29"/>
      <c r="M742" s="29"/>
      <c r="N742" s="30"/>
      <c r="O742" s="30"/>
      <c r="P742" s="30"/>
      <c r="Q742" s="30"/>
      <c r="R742" s="30"/>
      <c r="S742" s="30"/>
      <c r="T742" s="30"/>
      <c r="U742" s="30"/>
      <c r="V742" s="31"/>
      <c r="W742" s="29"/>
      <c r="X742" s="29"/>
      <c r="Y742" s="29"/>
      <c r="Z742" s="29"/>
      <c r="AA742" s="30"/>
      <c r="AB742" s="30"/>
      <c r="AC742" s="30"/>
      <c r="AD742" s="30"/>
      <c r="AE742" s="30"/>
      <c r="AF742" s="32"/>
      <c r="AG742" s="33"/>
      <c r="AH742" s="33"/>
      <c r="AI742" s="29"/>
      <c r="AJ742" s="32"/>
      <c r="AK742" s="32"/>
      <c r="AL742" s="29"/>
      <c r="AN742" s="34" t="str">
        <f aca="false">IF($B742="","",IF(OR(C742="",D742="",E742="",G742="",I742="",J742="",L742="",O742="",P742=""),"Champ obligatoire manquant",IF(OR(AND(N742&lt;&gt;"",N742&gt;O742),O742&gt;P742,AND(Q742&lt;&gt;"",Q742&lt;P742),AND(R742&lt;&gt;"",R742&lt;P742),AND(S742&lt;&gt;"",S742&lt;R742),AND(S742&lt;&gt;"",R742=""),AND(T742&lt;&gt;"",T742&lt;O742),AND(U742&lt;&gt;"",U742&lt;O742)),"Chronologie incohérente",IF(AND(OR(L742="Résolu",L742="Clos"),R742=""),"Date de résolution manquante",IF(AND(L742="Clos",S742=""),"Date de clôture manquante",IF(AND(K742="Oui",AC742=""),"Classification DORA manquante","OK"))))))</f>
        <v/>
      </c>
      <c r="AO742" s="35" t="str">
        <f aca="false">IF($B742="","",IF(AND(C742="Incident",L742&lt;&gt;"Annulé"),1,0))</f>
        <v/>
      </c>
      <c r="AP742" s="35" t="str">
        <f aca="false">IF($B742="","",IF(AND(C742="Quasi-incident",L742&lt;&gt;"Annulé"),1,0))</f>
        <v/>
      </c>
      <c r="AQ742" s="35" t="str">
        <f aca="false">IF($B742="","",AO742+AP742)</f>
        <v/>
      </c>
      <c r="AR742" s="36" t="str">
        <f aca="false">IF(OR($B742="",J742=""),"",IFERROR(VALUE(LEFT(J742,1)),""))</f>
        <v/>
      </c>
      <c r="AS742" s="35" t="str">
        <f aca="false">IF(OR(AO742&lt;&gt;1,G742=""),"",IFERROR(IF(INDEX(L_SrcInterne,MATCH(G742,L_Sources,0))="Oui",1,0),""))</f>
        <v/>
      </c>
      <c r="AT742" s="37" t="str">
        <f aca="false">IF(AO742&lt;&gt;1,"",IFERROR(ROUND(IF(OR(N742="",O742=""),"",IF(O742&lt;N742,"",ROUND(((NETWORKDAYS(N742,O742,JoursFeries)-1)*(HFer-HOuv)+IF(NETWORKDAYS(O742,O742,JoursFeries),MEDIAN(MOD(O742,1),HFer,HOuv),HFer)-IF(NETWORKDAYS(N742,N742,JoursFeries),MEDIAN(MOD(N742,1),HFer,HOuv),HOuv))*24,4)))/HJour,4),""))</f>
        <v/>
      </c>
      <c r="AU742" s="37" t="str">
        <f aca="false">IF(AO742&lt;&gt;1,"",IF(OR(O742="",P742=""),"",IF(P742&lt;O742,"",ROUND(((NETWORKDAYS(O742,P742,JoursFeries)-1)*(HFer-HOuv)+IF(NETWORKDAYS(P742,P742,JoursFeries),MEDIAN(MOD(P742,1),HFer,HOuv),HFer)-IF(NETWORKDAYS(O742,O742,JoursFeries),MEDIAN(MOD(O742,1),HFer,HOuv),HOuv))*24,4))))</f>
        <v/>
      </c>
      <c r="AV742" s="37" t="str">
        <f aca="false">IF(AO742&lt;&gt;1,"",IF(OR(P742="",Q742=""),"",IF(Q742&lt;P742,"",ROUND(((NETWORKDAYS(P742,Q742,JoursFeries)-1)*(HFer-HOuv)+IF(NETWORKDAYS(Q742,Q742,JoursFeries),MEDIAN(MOD(Q742,1),HFer,HOuv),HFer)-IF(NETWORKDAYS(P742,P742,JoursFeries),MEDIAN(MOD(P742,1),HFer,HOuv),HOuv))*24,4))))</f>
        <v/>
      </c>
      <c r="AW742" s="37" t="str">
        <f aca="false">IF(AO742&lt;&gt;1,"",IFERROR(ROUND(IF(OR(P742="",R742=""),"",IF(R742&lt;P742,"",ROUND(((NETWORKDAYS(P742,R742,JoursFeries)-1)*(HFer-HOuv)+IF(NETWORKDAYS(R742,R742,JoursFeries),MEDIAN(MOD(R742,1),HFer,HOuv),HFer)-IF(NETWORKDAYS(P742,P742,JoursFeries),MEDIAN(MOD(P742,1),HFer,HOuv),HOuv))*24,4)))/HJour,4),""))</f>
        <v/>
      </c>
      <c r="AX742" s="37" t="str">
        <f aca="false">IF(AO742&lt;&gt;1,"",IFERROR(ROUND(IF(OR(P742="",S742=""),"",IF(S742&lt;P742,"",ROUND(((NETWORKDAYS(P742,S742,JoursFeries)-1)*(HFer-HOuv)+IF(NETWORKDAYS(S742,S742,JoursFeries),MEDIAN(MOD(S742,1),HFer,HOuv),HFer)-IF(NETWORKDAYS(P742,P742,JoursFeries),MEDIAN(MOD(P742,1),HFer,HOuv),HOuv))*24,4)))/HJour,4),""))</f>
        <v/>
      </c>
      <c r="AY742" s="36" t="str">
        <f aca="false">IF(OR(AO742&lt;&gt;1,AR742=""),"",INDEX(SLA_PEC,AR742))</f>
        <v/>
      </c>
      <c r="AZ742" s="35" t="str">
        <f aca="false">IF(OR(AV742="",AY742=""),"",IF(AV742&lt;=AY742,1,0))</f>
        <v/>
      </c>
      <c r="BA742" s="36" t="str">
        <f aca="false">IF(OR(AO742&lt;&gt;1,AR742=""),"",INDEX(SLA_RES,AR742))</f>
        <v/>
      </c>
      <c r="BB742" s="35" t="str">
        <f aca="false">IF(OR(AW742="",BA742=""),"",IF(AW742&lt;=BA742,1,0))</f>
        <v/>
      </c>
      <c r="BC742" s="38" t="str">
        <f aca="false">IF(OR(BA742="",P742=""),"",WORKDAY(INT(P742),BA742,JoursFeries)+MOD(P742,1))</f>
        <v/>
      </c>
      <c r="BD742" s="39" t="str">
        <f aca="false">IF(AO742&lt;&gt;1,"",IF(OR(AB742&lt;&gt;"",AD742&lt;&gt;""),4,IF(U742&lt;&gt;"",3,IF(T742&lt;&gt;"",2,1))))</f>
        <v/>
      </c>
      <c r="BE742" s="39" t="str">
        <f aca="false">IF(OR(AO742&lt;&gt;1,AR742=""),"",INDEX(NIV_REQ,AR742))</f>
        <v/>
      </c>
      <c r="BF742" s="39" t="str">
        <f aca="false">IF(BE742="","",MAX(BE742,IF(OR(K742="Oui",Z742="Oui"),4,1)))</f>
        <v/>
      </c>
      <c r="BG742" s="35" t="str">
        <f aca="false">IF(OR(BF742="",BD742=""),"",IF(BD742&gt;=BF742,1,0))</f>
        <v/>
      </c>
      <c r="BH742" s="38" t="str">
        <f aca="false">IF(BE742="","",IF(BE742&lt;2,"",IF(BE742=2,IF(AND(T742="",U742=""),"",MIN(T742,U742)),IF(U742="","",U742))))</f>
        <v/>
      </c>
      <c r="BI742" s="37" t="str">
        <f aca="false">IF(BH742="","",IF(OR(O742="",BH742=""),"",IF(BH742&lt;O742,"",ROUND(((NETWORKDAYS(O742,BH742,JoursFeries)-1)*(HFer-HOuv)+IF(NETWORKDAYS(BH742,BH742,JoursFeries),MEDIAN(MOD(BH742,1),HFer,HOuv),HFer)-IF(NETWORKDAYS(O742,O742,JoursFeries),MEDIAN(MOD(O742,1),HFer,HOuv),HOuv))*24,4))))</f>
        <v/>
      </c>
      <c r="BJ742" s="35" t="str">
        <f aca="false">IF(OR(BI742="",AR742=""),"",IF(BI742&lt;=INDEX(DELAI_ESC,AR742),1,0))</f>
        <v/>
      </c>
      <c r="BK742" s="38" t="str">
        <f aca="false">IF(AO742&lt;&gt;1,"",IF(AND(T742="",U742=""),"",MIN(T742,U742)))</f>
        <v/>
      </c>
      <c r="BL742" s="37" t="str">
        <f aca="false">IF(OR(BK742="",R742=""),"",IFERROR(ROUND(IF(OR(BK742="",R742=""),"",IF(R742&lt;BK742,"",ROUND(((NETWORKDAYS(BK742,R742,JoursFeries)-1)*(HFer-HOuv)+IF(NETWORKDAYS(R742,R742,JoursFeries),MEDIAN(MOD(R742,1),HFer,HOuv),HFer)-IF(NETWORKDAYS(BK742,BK742,JoursFeries),MEDIAN(MOD(BK742,1),HFer,HOuv),HOuv))*24,4)))/HJour,4),""))</f>
        <v/>
      </c>
      <c r="BM742" s="35" t="str">
        <f aca="false">IF(OR(AO742&lt;&gt;1,R742=""),"",IF(BD742=1,1,0))</f>
        <v/>
      </c>
      <c r="BN742" s="35" t="str">
        <f aca="false">IF(AO742&lt;&gt;1,"",IF(W742="Oui",1,0))</f>
        <v/>
      </c>
      <c r="BO742" s="35" t="str">
        <f aca="false">IF(AO742&lt;&gt;1,"",IF(X742&lt;&gt;"",1,0))</f>
        <v/>
      </c>
      <c r="BP742" s="35" t="str">
        <f aca="false">IF(AO742&lt;&gt;1,"",IF(Y742="Oui",1,0))</f>
        <v/>
      </c>
      <c r="BQ742" s="35" t="str">
        <f aca="true">IF(OR(AO742&lt;&gt;1,Z742&lt;&gt;"Oui"),"",IF(AB742="",IF(AND(AA742&lt;&gt;"",NOW()&gt;AA742),0,""),IF(AA742="","",IF(AB742&lt;=AA742,1,0))))</f>
        <v/>
      </c>
      <c r="BR742" s="38" t="str">
        <f aca="false">IF(OR(AO742&lt;&gt;1,K742&lt;&gt;"Oui",O742=""),"",IF(AC742="",O742+DORA_H_DET/24,IF(AC742-O742&lt;=DORA_H_DET/24,MIN(AC742+DORA_H_CLA/24,O742+DORA_H_DET/24),AC742+DORA_H_CLA/24)))</f>
        <v/>
      </c>
      <c r="BS742" s="35" t="str">
        <f aca="true">IF(BR742="","",IF(AD742="",IF(NOW()&gt;BR742,0,""),IF(AD742&lt;=BR742,1,0)))</f>
        <v/>
      </c>
      <c r="BT742" s="35" t="str">
        <f aca="true">IF(OR(BR742="",AD742=""),"",IF(AE742="",IF(NOW()&gt;AD742+DORA_H_INT/24,0,""),IF(AE742&lt;=AD742+DORA_H_INT/24,1,0)))</f>
        <v/>
      </c>
      <c r="BU742" s="35" t="str">
        <f aca="true">IF(OR(BR742="",AE742=""),"",IF(AF742="",IF(NOW()&gt;EDATE(AE742,DORA_M_FIN)+1,0,""),IF(AF742&lt;=EDATE(AE742,DORA_M_FIN),1,0)))</f>
        <v/>
      </c>
      <c r="BV742" s="35" t="str">
        <f aca="false">IF(BR742="","",IF(COUNT(BS742:BU742)=0,"",MIN(BS742:BU742)))</f>
        <v/>
      </c>
      <c r="BW742" s="40" t="str">
        <f aca="false">IF(AQ742&lt;&gt;1,"",IF(AND(AG742="",AH742=""),"",N(AG742)-N(AH742)))</f>
        <v/>
      </c>
      <c r="BX742" s="35" t="str">
        <f aca="true">IF(OR(AQ742&lt;&gt;1,AI742&lt;&gt;"Oui",AJ742=""),"",IF(AK742="",IF(NOW()&gt;AJ742+1,0,""),IF(AK742&lt;=AJ742,1,0)))</f>
        <v/>
      </c>
    </row>
    <row r="743" customFormat="false" ht="15" hidden="false" customHeight="false" outlineLevel="0" collapsed="false">
      <c r="B743" s="29"/>
      <c r="C743" s="29"/>
      <c r="D743" s="29"/>
      <c r="E743" s="29"/>
      <c r="F743" s="29"/>
      <c r="G743" s="29"/>
      <c r="H743" s="29"/>
      <c r="I743" s="29"/>
      <c r="J743" s="29"/>
      <c r="K743" s="29"/>
      <c r="L743" s="29"/>
      <c r="M743" s="29"/>
      <c r="N743" s="30"/>
      <c r="O743" s="30"/>
      <c r="P743" s="30"/>
      <c r="Q743" s="30"/>
      <c r="R743" s="30"/>
      <c r="S743" s="30"/>
      <c r="T743" s="30"/>
      <c r="U743" s="30"/>
      <c r="V743" s="31"/>
      <c r="W743" s="29"/>
      <c r="X743" s="29"/>
      <c r="Y743" s="29"/>
      <c r="Z743" s="29"/>
      <c r="AA743" s="30"/>
      <c r="AB743" s="30"/>
      <c r="AC743" s="30"/>
      <c r="AD743" s="30"/>
      <c r="AE743" s="30"/>
      <c r="AF743" s="32"/>
      <c r="AG743" s="33"/>
      <c r="AH743" s="33"/>
      <c r="AI743" s="29"/>
      <c r="AJ743" s="32"/>
      <c r="AK743" s="32"/>
      <c r="AL743" s="29"/>
      <c r="AN743" s="34" t="str">
        <f aca="false">IF($B743="","",IF(OR(C743="",D743="",E743="",G743="",I743="",J743="",L743="",O743="",P743=""),"Champ obligatoire manquant",IF(OR(AND(N743&lt;&gt;"",N743&gt;O743),O743&gt;P743,AND(Q743&lt;&gt;"",Q743&lt;P743),AND(R743&lt;&gt;"",R743&lt;P743),AND(S743&lt;&gt;"",S743&lt;R743),AND(S743&lt;&gt;"",R743=""),AND(T743&lt;&gt;"",T743&lt;O743),AND(U743&lt;&gt;"",U743&lt;O743)),"Chronologie incohérente",IF(AND(OR(L743="Résolu",L743="Clos"),R743=""),"Date de résolution manquante",IF(AND(L743="Clos",S743=""),"Date de clôture manquante",IF(AND(K743="Oui",AC743=""),"Classification DORA manquante","OK"))))))</f>
        <v/>
      </c>
      <c r="AO743" s="35" t="str">
        <f aca="false">IF($B743="","",IF(AND(C743="Incident",L743&lt;&gt;"Annulé"),1,0))</f>
        <v/>
      </c>
      <c r="AP743" s="35" t="str">
        <f aca="false">IF($B743="","",IF(AND(C743="Quasi-incident",L743&lt;&gt;"Annulé"),1,0))</f>
        <v/>
      </c>
      <c r="AQ743" s="35" t="str">
        <f aca="false">IF($B743="","",AO743+AP743)</f>
        <v/>
      </c>
      <c r="AR743" s="36" t="str">
        <f aca="false">IF(OR($B743="",J743=""),"",IFERROR(VALUE(LEFT(J743,1)),""))</f>
        <v/>
      </c>
      <c r="AS743" s="35" t="str">
        <f aca="false">IF(OR(AO743&lt;&gt;1,G743=""),"",IFERROR(IF(INDEX(L_SrcInterne,MATCH(G743,L_Sources,0))="Oui",1,0),""))</f>
        <v/>
      </c>
      <c r="AT743" s="37" t="str">
        <f aca="false">IF(AO743&lt;&gt;1,"",IFERROR(ROUND(IF(OR(N743="",O743=""),"",IF(O743&lt;N743,"",ROUND(((NETWORKDAYS(N743,O743,JoursFeries)-1)*(HFer-HOuv)+IF(NETWORKDAYS(O743,O743,JoursFeries),MEDIAN(MOD(O743,1),HFer,HOuv),HFer)-IF(NETWORKDAYS(N743,N743,JoursFeries),MEDIAN(MOD(N743,1),HFer,HOuv),HOuv))*24,4)))/HJour,4),""))</f>
        <v/>
      </c>
      <c r="AU743" s="37" t="str">
        <f aca="false">IF(AO743&lt;&gt;1,"",IF(OR(O743="",P743=""),"",IF(P743&lt;O743,"",ROUND(((NETWORKDAYS(O743,P743,JoursFeries)-1)*(HFer-HOuv)+IF(NETWORKDAYS(P743,P743,JoursFeries),MEDIAN(MOD(P743,1),HFer,HOuv),HFer)-IF(NETWORKDAYS(O743,O743,JoursFeries),MEDIAN(MOD(O743,1),HFer,HOuv),HOuv))*24,4))))</f>
        <v/>
      </c>
      <c r="AV743" s="37" t="str">
        <f aca="false">IF(AO743&lt;&gt;1,"",IF(OR(P743="",Q743=""),"",IF(Q743&lt;P743,"",ROUND(((NETWORKDAYS(P743,Q743,JoursFeries)-1)*(HFer-HOuv)+IF(NETWORKDAYS(Q743,Q743,JoursFeries),MEDIAN(MOD(Q743,1),HFer,HOuv),HFer)-IF(NETWORKDAYS(P743,P743,JoursFeries),MEDIAN(MOD(P743,1),HFer,HOuv),HOuv))*24,4))))</f>
        <v/>
      </c>
      <c r="AW743" s="37" t="str">
        <f aca="false">IF(AO743&lt;&gt;1,"",IFERROR(ROUND(IF(OR(P743="",R743=""),"",IF(R743&lt;P743,"",ROUND(((NETWORKDAYS(P743,R743,JoursFeries)-1)*(HFer-HOuv)+IF(NETWORKDAYS(R743,R743,JoursFeries),MEDIAN(MOD(R743,1),HFer,HOuv),HFer)-IF(NETWORKDAYS(P743,P743,JoursFeries),MEDIAN(MOD(P743,1),HFer,HOuv),HOuv))*24,4)))/HJour,4),""))</f>
        <v/>
      </c>
      <c r="AX743" s="37" t="str">
        <f aca="false">IF(AO743&lt;&gt;1,"",IFERROR(ROUND(IF(OR(P743="",S743=""),"",IF(S743&lt;P743,"",ROUND(((NETWORKDAYS(P743,S743,JoursFeries)-1)*(HFer-HOuv)+IF(NETWORKDAYS(S743,S743,JoursFeries),MEDIAN(MOD(S743,1),HFer,HOuv),HFer)-IF(NETWORKDAYS(P743,P743,JoursFeries),MEDIAN(MOD(P743,1),HFer,HOuv),HOuv))*24,4)))/HJour,4),""))</f>
        <v/>
      </c>
      <c r="AY743" s="36" t="str">
        <f aca="false">IF(OR(AO743&lt;&gt;1,AR743=""),"",INDEX(SLA_PEC,AR743))</f>
        <v/>
      </c>
      <c r="AZ743" s="35" t="str">
        <f aca="false">IF(OR(AV743="",AY743=""),"",IF(AV743&lt;=AY743,1,0))</f>
        <v/>
      </c>
      <c r="BA743" s="36" t="str">
        <f aca="false">IF(OR(AO743&lt;&gt;1,AR743=""),"",INDEX(SLA_RES,AR743))</f>
        <v/>
      </c>
      <c r="BB743" s="35" t="str">
        <f aca="false">IF(OR(AW743="",BA743=""),"",IF(AW743&lt;=BA743,1,0))</f>
        <v/>
      </c>
      <c r="BC743" s="38" t="str">
        <f aca="false">IF(OR(BA743="",P743=""),"",WORKDAY(INT(P743),BA743,JoursFeries)+MOD(P743,1))</f>
        <v/>
      </c>
      <c r="BD743" s="39" t="str">
        <f aca="false">IF(AO743&lt;&gt;1,"",IF(OR(AB743&lt;&gt;"",AD743&lt;&gt;""),4,IF(U743&lt;&gt;"",3,IF(T743&lt;&gt;"",2,1))))</f>
        <v/>
      </c>
      <c r="BE743" s="39" t="str">
        <f aca="false">IF(OR(AO743&lt;&gt;1,AR743=""),"",INDEX(NIV_REQ,AR743))</f>
        <v/>
      </c>
      <c r="BF743" s="39" t="str">
        <f aca="false">IF(BE743="","",MAX(BE743,IF(OR(K743="Oui",Z743="Oui"),4,1)))</f>
        <v/>
      </c>
      <c r="BG743" s="35" t="str">
        <f aca="false">IF(OR(BF743="",BD743=""),"",IF(BD743&gt;=BF743,1,0))</f>
        <v/>
      </c>
      <c r="BH743" s="38" t="str">
        <f aca="false">IF(BE743="","",IF(BE743&lt;2,"",IF(BE743=2,IF(AND(T743="",U743=""),"",MIN(T743,U743)),IF(U743="","",U743))))</f>
        <v/>
      </c>
      <c r="BI743" s="37" t="str">
        <f aca="false">IF(BH743="","",IF(OR(O743="",BH743=""),"",IF(BH743&lt;O743,"",ROUND(((NETWORKDAYS(O743,BH743,JoursFeries)-1)*(HFer-HOuv)+IF(NETWORKDAYS(BH743,BH743,JoursFeries),MEDIAN(MOD(BH743,1),HFer,HOuv),HFer)-IF(NETWORKDAYS(O743,O743,JoursFeries),MEDIAN(MOD(O743,1),HFer,HOuv),HOuv))*24,4))))</f>
        <v/>
      </c>
      <c r="BJ743" s="35" t="str">
        <f aca="false">IF(OR(BI743="",AR743=""),"",IF(BI743&lt;=INDEX(DELAI_ESC,AR743),1,0))</f>
        <v/>
      </c>
      <c r="BK743" s="38" t="str">
        <f aca="false">IF(AO743&lt;&gt;1,"",IF(AND(T743="",U743=""),"",MIN(T743,U743)))</f>
        <v/>
      </c>
      <c r="BL743" s="37" t="str">
        <f aca="false">IF(OR(BK743="",R743=""),"",IFERROR(ROUND(IF(OR(BK743="",R743=""),"",IF(R743&lt;BK743,"",ROUND(((NETWORKDAYS(BK743,R743,JoursFeries)-1)*(HFer-HOuv)+IF(NETWORKDAYS(R743,R743,JoursFeries),MEDIAN(MOD(R743,1),HFer,HOuv),HFer)-IF(NETWORKDAYS(BK743,BK743,JoursFeries),MEDIAN(MOD(BK743,1),HFer,HOuv),HOuv))*24,4)))/HJour,4),""))</f>
        <v/>
      </c>
      <c r="BM743" s="35" t="str">
        <f aca="false">IF(OR(AO743&lt;&gt;1,R743=""),"",IF(BD743=1,1,0))</f>
        <v/>
      </c>
      <c r="BN743" s="35" t="str">
        <f aca="false">IF(AO743&lt;&gt;1,"",IF(W743="Oui",1,0))</f>
        <v/>
      </c>
      <c r="BO743" s="35" t="str">
        <f aca="false">IF(AO743&lt;&gt;1,"",IF(X743&lt;&gt;"",1,0))</f>
        <v/>
      </c>
      <c r="BP743" s="35" t="str">
        <f aca="false">IF(AO743&lt;&gt;1,"",IF(Y743="Oui",1,0))</f>
        <v/>
      </c>
      <c r="BQ743" s="35" t="str">
        <f aca="true">IF(OR(AO743&lt;&gt;1,Z743&lt;&gt;"Oui"),"",IF(AB743="",IF(AND(AA743&lt;&gt;"",NOW()&gt;AA743),0,""),IF(AA743="","",IF(AB743&lt;=AA743,1,0))))</f>
        <v/>
      </c>
      <c r="BR743" s="38" t="str">
        <f aca="false">IF(OR(AO743&lt;&gt;1,K743&lt;&gt;"Oui",O743=""),"",IF(AC743="",O743+DORA_H_DET/24,IF(AC743-O743&lt;=DORA_H_DET/24,MIN(AC743+DORA_H_CLA/24,O743+DORA_H_DET/24),AC743+DORA_H_CLA/24)))</f>
        <v/>
      </c>
      <c r="BS743" s="35" t="str">
        <f aca="true">IF(BR743="","",IF(AD743="",IF(NOW()&gt;BR743,0,""),IF(AD743&lt;=BR743,1,0)))</f>
        <v/>
      </c>
      <c r="BT743" s="35" t="str">
        <f aca="true">IF(OR(BR743="",AD743=""),"",IF(AE743="",IF(NOW()&gt;AD743+DORA_H_INT/24,0,""),IF(AE743&lt;=AD743+DORA_H_INT/24,1,0)))</f>
        <v/>
      </c>
      <c r="BU743" s="35" t="str">
        <f aca="true">IF(OR(BR743="",AE743=""),"",IF(AF743="",IF(NOW()&gt;EDATE(AE743,DORA_M_FIN)+1,0,""),IF(AF743&lt;=EDATE(AE743,DORA_M_FIN),1,0)))</f>
        <v/>
      </c>
      <c r="BV743" s="35" t="str">
        <f aca="false">IF(BR743="","",IF(COUNT(BS743:BU743)=0,"",MIN(BS743:BU743)))</f>
        <v/>
      </c>
      <c r="BW743" s="40" t="str">
        <f aca="false">IF(AQ743&lt;&gt;1,"",IF(AND(AG743="",AH743=""),"",N(AG743)-N(AH743)))</f>
        <v/>
      </c>
      <c r="BX743" s="35" t="str">
        <f aca="true">IF(OR(AQ743&lt;&gt;1,AI743&lt;&gt;"Oui",AJ743=""),"",IF(AK743="",IF(NOW()&gt;AJ743+1,0,""),IF(AK743&lt;=AJ743,1,0)))</f>
        <v/>
      </c>
    </row>
    <row r="744" customFormat="false" ht="15" hidden="false" customHeight="false" outlineLevel="0" collapsed="false">
      <c r="B744" s="29"/>
      <c r="C744" s="29"/>
      <c r="D744" s="29"/>
      <c r="E744" s="29"/>
      <c r="F744" s="29"/>
      <c r="G744" s="29"/>
      <c r="H744" s="29"/>
      <c r="I744" s="29"/>
      <c r="J744" s="29"/>
      <c r="K744" s="29"/>
      <c r="L744" s="29"/>
      <c r="M744" s="29"/>
      <c r="N744" s="30"/>
      <c r="O744" s="30"/>
      <c r="P744" s="30"/>
      <c r="Q744" s="30"/>
      <c r="R744" s="30"/>
      <c r="S744" s="30"/>
      <c r="T744" s="30"/>
      <c r="U744" s="30"/>
      <c r="V744" s="31"/>
      <c r="W744" s="29"/>
      <c r="X744" s="29"/>
      <c r="Y744" s="29"/>
      <c r="Z744" s="29"/>
      <c r="AA744" s="30"/>
      <c r="AB744" s="30"/>
      <c r="AC744" s="30"/>
      <c r="AD744" s="30"/>
      <c r="AE744" s="30"/>
      <c r="AF744" s="32"/>
      <c r="AG744" s="33"/>
      <c r="AH744" s="33"/>
      <c r="AI744" s="29"/>
      <c r="AJ744" s="32"/>
      <c r="AK744" s="32"/>
      <c r="AL744" s="29"/>
      <c r="AN744" s="34" t="str">
        <f aca="false">IF($B744="","",IF(OR(C744="",D744="",E744="",G744="",I744="",J744="",L744="",O744="",P744=""),"Champ obligatoire manquant",IF(OR(AND(N744&lt;&gt;"",N744&gt;O744),O744&gt;P744,AND(Q744&lt;&gt;"",Q744&lt;P744),AND(R744&lt;&gt;"",R744&lt;P744),AND(S744&lt;&gt;"",S744&lt;R744),AND(S744&lt;&gt;"",R744=""),AND(T744&lt;&gt;"",T744&lt;O744),AND(U744&lt;&gt;"",U744&lt;O744)),"Chronologie incohérente",IF(AND(OR(L744="Résolu",L744="Clos"),R744=""),"Date de résolution manquante",IF(AND(L744="Clos",S744=""),"Date de clôture manquante",IF(AND(K744="Oui",AC744=""),"Classification DORA manquante","OK"))))))</f>
        <v/>
      </c>
      <c r="AO744" s="35" t="str">
        <f aca="false">IF($B744="","",IF(AND(C744="Incident",L744&lt;&gt;"Annulé"),1,0))</f>
        <v/>
      </c>
      <c r="AP744" s="35" t="str">
        <f aca="false">IF($B744="","",IF(AND(C744="Quasi-incident",L744&lt;&gt;"Annulé"),1,0))</f>
        <v/>
      </c>
      <c r="AQ744" s="35" t="str">
        <f aca="false">IF($B744="","",AO744+AP744)</f>
        <v/>
      </c>
      <c r="AR744" s="36" t="str">
        <f aca="false">IF(OR($B744="",J744=""),"",IFERROR(VALUE(LEFT(J744,1)),""))</f>
        <v/>
      </c>
      <c r="AS744" s="35" t="str">
        <f aca="false">IF(OR(AO744&lt;&gt;1,G744=""),"",IFERROR(IF(INDEX(L_SrcInterne,MATCH(G744,L_Sources,0))="Oui",1,0),""))</f>
        <v/>
      </c>
      <c r="AT744" s="37" t="str">
        <f aca="false">IF(AO744&lt;&gt;1,"",IFERROR(ROUND(IF(OR(N744="",O744=""),"",IF(O744&lt;N744,"",ROUND(((NETWORKDAYS(N744,O744,JoursFeries)-1)*(HFer-HOuv)+IF(NETWORKDAYS(O744,O744,JoursFeries),MEDIAN(MOD(O744,1),HFer,HOuv),HFer)-IF(NETWORKDAYS(N744,N744,JoursFeries),MEDIAN(MOD(N744,1),HFer,HOuv),HOuv))*24,4)))/HJour,4),""))</f>
        <v/>
      </c>
      <c r="AU744" s="37" t="str">
        <f aca="false">IF(AO744&lt;&gt;1,"",IF(OR(O744="",P744=""),"",IF(P744&lt;O744,"",ROUND(((NETWORKDAYS(O744,P744,JoursFeries)-1)*(HFer-HOuv)+IF(NETWORKDAYS(P744,P744,JoursFeries),MEDIAN(MOD(P744,1),HFer,HOuv),HFer)-IF(NETWORKDAYS(O744,O744,JoursFeries),MEDIAN(MOD(O744,1),HFer,HOuv),HOuv))*24,4))))</f>
        <v/>
      </c>
      <c r="AV744" s="37" t="str">
        <f aca="false">IF(AO744&lt;&gt;1,"",IF(OR(P744="",Q744=""),"",IF(Q744&lt;P744,"",ROUND(((NETWORKDAYS(P744,Q744,JoursFeries)-1)*(HFer-HOuv)+IF(NETWORKDAYS(Q744,Q744,JoursFeries),MEDIAN(MOD(Q744,1),HFer,HOuv),HFer)-IF(NETWORKDAYS(P744,P744,JoursFeries),MEDIAN(MOD(P744,1),HFer,HOuv),HOuv))*24,4))))</f>
        <v/>
      </c>
      <c r="AW744" s="37" t="str">
        <f aca="false">IF(AO744&lt;&gt;1,"",IFERROR(ROUND(IF(OR(P744="",R744=""),"",IF(R744&lt;P744,"",ROUND(((NETWORKDAYS(P744,R744,JoursFeries)-1)*(HFer-HOuv)+IF(NETWORKDAYS(R744,R744,JoursFeries),MEDIAN(MOD(R744,1),HFer,HOuv),HFer)-IF(NETWORKDAYS(P744,P744,JoursFeries),MEDIAN(MOD(P744,1),HFer,HOuv),HOuv))*24,4)))/HJour,4),""))</f>
        <v/>
      </c>
      <c r="AX744" s="37" t="str">
        <f aca="false">IF(AO744&lt;&gt;1,"",IFERROR(ROUND(IF(OR(P744="",S744=""),"",IF(S744&lt;P744,"",ROUND(((NETWORKDAYS(P744,S744,JoursFeries)-1)*(HFer-HOuv)+IF(NETWORKDAYS(S744,S744,JoursFeries),MEDIAN(MOD(S744,1),HFer,HOuv),HFer)-IF(NETWORKDAYS(P744,P744,JoursFeries),MEDIAN(MOD(P744,1),HFer,HOuv),HOuv))*24,4)))/HJour,4),""))</f>
        <v/>
      </c>
      <c r="AY744" s="36" t="str">
        <f aca="false">IF(OR(AO744&lt;&gt;1,AR744=""),"",INDEX(SLA_PEC,AR744))</f>
        <v/>
      </c>
      <c r="AZ744" s="35" t="str">
        <f aca="false">IF(OR(AV744="",AY744=""),"",IF(AV744&lt;=AY744,1,0))</f>
        <v/>
      </c>
      <c r="BA744" s="36" t="str">
        <f aca="false">IF(OR(AO744&lt;&gt;1,AR744=""),"",INDEX(SLA_RES,AR744))</f>
        <v/>
      </c>
      <c r="BB744" s="35" t="str">
        <f aca="false">IF(OR(AW744="",BA744=""),"",IF(AW744&lt;=BA744,1,0))</f>
        <v/>
      </c>
      <c r="BC744" s="38" t="str">
        <f aca="false">IF(OR(BA744="",P744=""),"",WORKDAY(INT(P744),BA744,JoursFeries)+MOD(P744,1))</f>
        <v/>
      </c>
      <c r="BD744" s="39" t="str">
        <f aca="false">IF(AO744&lt;&gt;1,"",IF(OR(AB744&lt;&gt;"",AD744&lt;&gt;""),4,IF(U744&lt;&gt;"",3,IF(T744&lt;&gt;"",2,1))))</f>
        <v/>
      </c>
      <c r="BE744" s="39" t="str">
        <f aca="false">IF(OR(AO744&lt;&gt;1,AR744=""),"",INDEX(NIV_REQ,AR744))</f>
        <v/>
      </c>
      <c r="BF744" s="39" t="str">
        <f aca="false">IF(BE744="","",MAX(BE744,IF(OR(K744="Oui",Z744="Oui"),4,1)))</f>
        <v/>
      </c>
      <c r="BG744" s="35" t="str">
        <f aca="false">IF(OR(BF744="",BD744=""),"",IF(BD744&gt;=BF744,1,0))</f>
        <v/>
      </c>
      <c r="BH744" s="38" t="str">
        <f aca="false">IF(BE744="","",IF(BE744&lt;2,"",IF(BE744=2,IF(AND(T744="",U744=""),"",MIN(T744,U744)),IF(U744="","",U744))))</f>
        <v/>
      </c>
      <c r="BI744" s="37" t="str">
        <f aca="false">IF(BH744="","",IF(OR(O744="",BH744=""),"",IF(BH744&lt;O744,"",ROUND(((NETWORKDAYS(O744,BH744,JoursFeries)-1)*(HFer-HOuv)+IF(NETWORKDAYS(BH744,BH744,JoursFeries),MEDIAN(MOD(BH744,1),HFer,HOuv),HFer)-IF(NETWORKDAYS(O744,O744,JoursFeries),MEDIAN(MOD(O744,1),HFer,HOuv),HOuv))*24,4))))</f>
        <v/>
      </c>
      <c r="BJ744" s="35" t="str">
        <f aca="false">IF(OR(BI744="",AR744=""),"",IF(BI744&lt;=INDEX(DELAI_ESC,AR744),1,0))</f>
        <v/>
      </c>
      <c r="BK744" s="38" t="str">
        <f aca="false">IF(AO744&lt;&gt;1,"",IF(AND(T744="",U744=""),"",MIN(T744,U744)))</f>
        <v/>
      </c>
      <c r="BL744" s="37" t="str">
        <f aca="false">IF(OR(BK744="",R744=""),"",IFERROR(ROUND(IF(OR(BK744="",R744=""),"",IF(R744&lt;BK744,"",ROUND(((NETWORKDAYS(BK744,R744,JoursFeries)-1)*(HFer-HOuv)+IF(NETWORKDAYS(R744,R744,JoursFeries),MEDIAN(MOD(R744,1),HFer,HOuv),HFer)-IF(NETWORKDAYS(BK744,BK744,JoursFeries),MEDIAN(MOD(BK744,1),HFer,HOuv),HOuv))*24,4)))/HJour,4),""))</f>
        <v/>
      </c>
      <c r="BM744" s="35" t="str">
        <f aca="false">IF(OR(AO744&lt;&gt;1,R744=""),"",IF(BD744=1,1,0))</f>
        <v/>
      </c>
      <c r="BN744" s="35" t="str">
        <f aca="false">IF(AO744&lt;&gt;1,"",IF(W744="Oui",1,0))</f>
        <v/>
      </c>
      <c r="BO744" s="35" t="str">
        <f aca="false">IF(AO744&lt;&gt;1,"",IF(X744&lt;&gt;"",1,0))</f>
        <v/>
      </c>
      <c r="BP744" s="35" t="str">
        <f aca="false">IF(AO744&lt;&gt;1,"",IF(Y744="Oui",1,0))</f>
        <v/>
      </c>
      <c r="BQ744" s="35" t="str">
        <f aca="true">IF(OR(AO744&lt;&gt;1,Z744&lt;&gt;"Oui"),"",IF(AB744="",IF(AND(AA744&lt;&gt;"",NOW()&gt;AA744),0,""),IF(AA744="","",IF(AB744&lt;=AA744,1,0))))</f>
        <v/>
      </c>
      <c r="BR744" s="38" t="str">
        <f aca="false">IF(OR(AO744&lt;&gt;1,K744&lt;&gt;"Oui",O744=""),"",IF(AC744="",O744+DORA_H_DET/24,IF(AC744-O744&lt;=DORA_H_DET/24,MIN(AC744+DORA_H_CLA/24,O744+DORA_H_DET/24),AC744+DORA_H_CLA/24)))</f>
        <v/>
      </c>
      <c r="BS744" s="35" t="str">
        <f aca="true">IF(BR744="","",IF(AD744="",IF(NOW()&gt;BR744,0,""),IF(AD744&lt;=BR744,1,0)))</f>
        <v/>
      </c>
      <c r="BT744" s="35" t="str">
        <f aca="true">IF(OR(BR744="",AD744=""),"",IF(AE744="",IF(NOW()&gt;AD744+DORA_H_INT/24,0,""),IF(AE744&lt;=AD744+DORA_H_INT/24,1,0)))</f>
        <v/>
      </c>
      <c r="BU744" s="35" t="str">
        <f aca="true">IF(OR(BR744="",AE744=""),"",IF(AF744="",IF(NOW()&gt;EDATE(AE744,DORA_M_FIN)+1,0,""),IF(AF744&lt;=EDATE(AE744,DORA_M_FIN),1,0)))</f>
        <v/>
      </c>
      <c r="BV744" s="35" t="str">
        <f aca="false">IF(BR744="","",IF(COUNT(BS744:BU744)=0,"",MIN(BS744:BU744)))</f>
        <v/>
      </c>
      <c r="BW744" s="40" t="str">
        <f aca="false">IF(AQ744&lt;&gt;1,"",IF(AND(AG744="",AH744=""),"",N(AG744)-N(AH744)))</f>
        <v/>
      </c>
      <c r="BX744" s="35" t="str">
        <f aca="true">IF(OR(AQ744&lt;&gt;1,AI744&lt;&gt;"Oui",AJ744=""),"",IF(AK744="",IF(NOW()&gt;AJ744+1,0,""),IF(AK744&lt;=AJ744,1,0)))</f>
        <v/>
      </c>
    </row>
    <row r="745" customFormat="false" ht="15" hidden="false" customHeight="false" outlineLevel="0" collapsed="false">
      <c r="B745" s="29"/>
      <c r="C745" s="29"/>
      <c r="D745" s="29"/>
      <c r="E745" s="29"/>
      <c r="F745" s="29"/>
      <c r="G745" s="29"/>
      <c r="H745" s="29"/>
      <c r="I745" s="29"/>
      <c r="J745" s="29"/>
      <c r="K745" s="29"/>
      <c r="L745" s="29"/>
      <c r="M745" s="29"/>
      <c r="N745" s="30"/>
      <c r="O745" s="30"/>
      <c r="P745" s="30"/>
      <c r="Q745" s="30"/>
      <c r="R745" s="30"/>
      <c r="S745" s="30"/>
      <c r="T745" s="30"/>
      <c r="U745" s="30"/>
      <c r="V745" s="31"/>
      <c r="W745" s="29"/>
      <c r="X745" s="29"/>
      <c r="Y745" s="29"/>
      <c r="Z745" s="29"/>
      <c r="AA745" s="30"/>
      <c r="AB745" s="30"/>
      <c r="AC745" s="30"/>
      <c r="AD745" s="30"/>
      <c r="AE745" s="30"/>
      <c r="AF745" s="32"/>
      <c r="AG745" s="33"/>
      <c r="AH745" s="33"/>
      <c r="AI745" s="29"/>
      <c r="AJ745" s="32"/>
      <c r="AK745" s="32"/>
      <c r="AL745" s="29"/>
      <c r="AN745" s="34" t="str">
        <f aca="false">IF($B745="","",IF(OR(C745="",D745="",E745="",G745="",I745="",J745="",L745="",O745="",P745=""),"Champ obligatoire manquant",IF(OR(AND(N745&lt;&gt;"",N745&gt;O745),O745&gt;P745,AND(Q745&lt;&gt;"",Q745&lt;P745),AND(R745&lt;&gt;"",R745&lt;P745),AND(S745&lt;&gt;"",S745&lt;R745),AND(S745&lt;&gt;"",R745=""),AND(T745&lt;&gt;"",T745&lt;O745),AND(U745&lt;&gt;"",U745&lt;O745)),"Chronologie incohérente",IF(AND(OR(L745="Résolu",L745="Clos"),R745=""),"Date de résolution manquante",IF(AND(L745="Clos",S745=""),"Date de clôture manquante",IF(AND(K745="Oui",AC745=""),"Classification DORA manquante","OK"))))))</f>
        <v/>
      </c>
      <c r="AO745" s="35" t="str">
        <f aca="false">IF($B745="","",IF(AND(C745="Incident",L745&lt;&gt;"Annulé"),1,0))</f>
        <v/>
      </c>
      <c r="AP745" s="35" t="str">
        <f aca="false">IF($B745="","",IF(AND(C745="Quasi-incident",L745&lt;&gt;"Annulé"),1,0))</f>
        <v/>
      </c>
      <c r="AQ745" s="35" t="str">
        <f aca="false">IF($B745="","",AO745+AP745)</f>
        <v/>
      </c>
      <c r="AR745" s="36" t="str">
        <f aca="false">IF(OR($B745="",J745=""),"",IFERROR(VALUE(LEFT(J745,1)),""))</f>
        <v/>
      </c>
      <c r="AS745" s="35" t="str">
        <f aca="false">IF(OR(AO745&lt;&gt;1,G745=""),"",IFERROR(IF(INDEX(L_SrcInterne,MATCH(G745,L_Sources,0))="Oui",1,0),""))</f>
        <v/>
      </c>
      <c r="AT745" s="37" t="str">
        <f aca="false">IF(AO745&lt;&gt;1,"",IFERROR(ROUND(IF(OR(N745="",O745=""),"",IF(O745&lt;N745,"",ROUND(((NETWORKDAYS(N745,O745,JoursFeries)-1)*(HFer-HOuv)+IF(NETWORKDAYS(O745,O745,JoursFeries),MEDIAN(MOD(O745,1),HFer,HOuv),HFer)-IF(NETWORKDAYS(N745,N745,JoursFeries),MEDIAN(MOD(N745,1),HFer,HOuv),HOuv))*24,4)))/HJour,4),""))</f>
        <v/>
      </c>
      <c r="AU745" s="37" t="str">
        <f aca="false">IF(AO745&lt;&gt;1,"",IF(OR(O745="",P745=""),"",IF(P745&lt;O745,"",ROUND(((NETWORKDAYS(O745,P745,JoursFeries)-1)*(HFer-HOuv)+IF(NETWORKDAYS(P745,P745,JoursFeries),MEDIAN(MOD(P745,1),HFer,HOuv),HFer)-IF(NETWORKDAYS(O745,O745,JoursFeries),MEDIAN(MOD(O745,1),HFer,HOuv),HOuv))*24,4))))</f>
        <v/>
      </c>
      <c r="AV745" s="37" t="str">
        <f aca="false">IF(AO745&lt;&gt;1,"",IF(OR(P745="",Q745=""),"",IF(Q745&lt;P745,"",ROUND(((NETWORKDAYS(P745,Q745,JoursFeries)-1)*(HFer-HOuv)+IF(NETWORKDAYS(Q745,Q745,JoursFeries),MEDIAN(MOD(Q745,1),HFer,HOuv),HFer)-IF(NETWORKDAYS(P745,P745,JoursFeries),MEDIAN(MOD(P745,1),HFer,HOuv),HOuv))*24,4))))</f>
        <v/>
      </c>
      <c r="AW745" s="37" t="str">
        <f aca="false">IF(AO745&lt;&gt;1,"",IFERROR(ROUND(IF(OR(P745="",R745=""),"",IF(R745&lt;P745,"",ROUND(((NETWORKDAYS(P745,R745,JoursFeries)-1)*(HFer-HOuv)+IF(NETWORKDAYS(R745,R745,JoursFeries),MEDIAN(MOD(R745,1),HFer,HOuv),HFer)-IF(NETWORKDAYS(P745,P745,JoursFeries),MEDIAN(MOD(P745,1),HFer,HOuv),HOuv))*24,4)))/HJour,4),""))</f>
        <v/>
      </c>
      <c r="AX745" s="37" t="str">
        <f aca="false">IF(AO745&lt;&gt;1,"",IFERROR(ROUND(IF(OR(P745="",S745=""),"",IF(S745&lt;P745,"",ROUND(((NETWORKDAYS(P745,S745,JoursFeries)-1)*(HFer-HOuv)+IF(NETWORKDAYS(S745,S745,JoursFeries),MEDIAN(MOD(S745,1),HFer,HOuv),HFer)-IF(NETWORKDAYS(P745,P745,JoursFeries),MEDIAN(MOD(P745,1),HFer,HOuv),HOuv))*24,4)))/HJour,4),""))</f>
        <v/>
      </c>
      <c r="AY745" s="36" t="str">
        <f aca="false">IF(OR(AO745&lt;&gt;1,AR745=""),"",INDEX(SLA_PEC,AR745))</f>
        <v/>
      </c>
      <c r="AZ745" s="35" t="str">
        <f aca="false">IF(OR(AV745="",AY745=""),"",IF(AV745&lt;=AY745,1,0))</f>
        <v/>
      </c>
      <c r="BA745" s="36" t="str">
        <f aca="false">IF(OR(AO745&lt;&gt;1,AR745=""),"",INDEX(SLA_RES,AR745))</f>
        <v/>
      </c>
      <c r="BB745" s="35" t="str">
        <f aca="false">IF(OR(AW745="",BA745=""),"",IF(AW745&lt;=BA745,1,0))</f>
        <v/>
      </c>
      <c r="BC745" s="38" t="str">
        <f aca="false">IF(OR(BA745="",P745=""),"",WORKDAY(INT(P745),BA745,JoursFeries)+MOD(P745,1))</f>
        <v/>
      </c>
      <c r="BD745" s="39" t="str">
        <f aca="false">IF(AO745&lt;&gt;1,"",IF(OR(AB745&lt;&gt;"",AD745&lt;&gt;""),4,IF(U745&lt;&gt;"",3,IF(T745&lt;&gt;"",2,1))))</f>
        <v/>
      </c>
      <c r="BE745" s="39" t="str">
        <f aca="false">IF(OR(AO745&lt;&gt;1,AR745=""),"",INDEX(NIV_REQ,AR745))</f>
        <v/>
      </c>
      <c r="BF745" s="39" t="str">
        <f aca="false">IF(BE745="","",MAX(BE745,IF(OR(K745="Oui",Z745="Oui"),4,1)))</f>
        <v/>
      </c>
      <c r="BG745" s="35" t="str">
        <f aca="false">IF(OR(BF745="",BD745=""),"",IF(BD745&gt;=BF745,1,0))</f>
        <v/>
      </c>
      <c r="BH745" s="38" t="str">
        <f aca="false">IF(BE745="","",IF(BE745&lt;2,"",IF(BE745=2,IF(AND(T745="",U745=""),"",MIN(T745,U745)),IF(U745="","",U745))))</f>
        <v/>
      </c>
      <c r="BI745" s="37" t="str">
        <f aca="false">IF(BH745="","",IF(OR(O745="",BH745=""),"",IF(BH745&lt;O745,"",ROUND(((NETWORKDAYS(O745,BH745,JoursFeries)-1)*(HFer-HOuv)+IF(NETWORKDAYS(BH745,BH745,JoursFeries),MEDIAN(MOD(BH745,1),HFer,HOuv),HFer)-IF(NETWORKDAYS(O745,O745,JoursFeries),MEDIAN(MOD(O745,1),HFer,HOuv),HOuv))*24,4))))</f>
        <v/>
      </c>
      <c r="BJ745" s="35" t="str">
        <f aca="false">IF(OR(BI745="",AR745=""),"",IF(BI745&lt;=INDEX(DELAI_ESC,AR745),1,0))</f>
        <v/>
      </c>
      <c r="BK745" s="38" t="str">
        <f aca="false">IF(AO745&lt;&gt;1,"",IF(AND(T745="",U745=""),"",MIN(T745,U745)))</f>
        <v/>
      </c>
      <c r="BL745" s="37" t="str">
        <f aca="false">IF(OR(BK745="",R745=""),"",IFERROR(ROUND(IF(OR(BK745="",R745=""),"",IF(R745&lt;BK745,"",ROUND(((NETWORKDAYS(BK745,R745,JoursFeries)-1)*(HFer-HOuv)+IF(NETWORKDAYS(R745,R745,JoursFeries),MEDIAN(MOD(R745,1),HFer,HOuv),HFer)-IF(NETWORKDAYS(BK745,BK745,JoursFeries),MEDIAN(MOD(BK745,1),HFer,HOuv),HOuv))*24,4)))/HJour,4),""))</f>
        <v/>
      </c>
      <c r="BM745" s="35" t="str">
        <f aca="false">IF(OR(AO745&lt;&gt;1,R745=""),"",IF(BD745=1,1,0))</f>
        <v/>
      </c>
      <c r="BN745" s="35" t="str">
        <f aca="false">IF(AO745&lt;&gt;1,"",IF(W745="Oui",1,0))</f>
        <v/>
      </c>
      <c r="BO745" s="35" t="str">
        <f aca="false">IF(AO745&lt;&gt;1,"",IF(X745&lt;&gt;"",1,0))</f>
        <v/>
      </c>
      <c r="BP745" s="35" t="str">
        <f aca="false">IF(AO745&lt;&gt;1,"",IF(Y745="Oui",1,0))</f>
        <v/>
      </c>
      <c r="BQ745" s="35" t="str">
        <f aca="true">IF(OR(AO745&lt;&gt;1,Z745&lt;&gt;"Oui"),"",IF(AB745="",IF(AND(AA745&lt;&gt;"",NOW()&gt;AA745),0,""),IF(AA745="","",IF(AB745&lt;=AA745,1,0))))</f>
        <v/>
      </c>
      <c r="BR745" s="38" t="str">
        <f aca="false">IF(OR(AO745&lt;&gt;1,K745&lt;&gt;"Oui",O745=""),"",IF(AC745="",O745+DORA_H_DET/24,IF(AC745-O745&lt;=DORA_H_DET/24,MIN(AC745+DORA_H_CLA/24,O745+DORA_H_DET/24),AC745+DORA_H_CLA/24)))</f>
        <v/>
      </c>
      <c r="BS745" s="35" t="str">
        <f aca="true">IF(BR745="","",IF(AD745="",IF(NOW()&gt;BR745,0,""),IF(AD745&lt;=BR745,1,0)))</f>
        <v/>
      </c>
      <c r="BT745" s="35" t="str">
        <f aca="true">IF(OR(BR745="",AD745=""),"",IF(AE745="",IF(NOW()&gt;AD745+DORA_H_INT/24,0,""),IF(AE745&lt;=AD745+DORA_H_INT/24,1,0)))</f>
        <v/>
      </c>
      <c r="BU745" s="35" t="str">
        <f aca="true">IF(OR(BR745="",AE745=""),"",IF(AF745="",IF(NOW()&gt;EDATE(AE745,DORA_M_FIN)+1,0,""),IF(AF745&lt;=EDATE(AE745,DORA_M_FIN),1,0)))</f>
        <v/>
      </c>
      <c r="BV745" s="35" t="str">
        <f aca="false">IF(BR745="","",IF(COUNT(BS745:BU745)=0,"",MIN(BS745:BU745)))</f>
        <v/>
      </c>
      <c r="BW745" s="40" t="str">
        <f aca="false">IF(AQ745&lt;&gt;1,"",IF(AND(AG745="",AH745=""),"",N(AG745)-N(AH745)))</f>
        <v/>
      </c>
      <c r="BX745" s="35" t="str">
        <f aca="true">IF(OR(AQ745&lt;&gt;1,AI745&lt;&gt;"Oui",AJ745=""),"",IF(AK745="",IF(NOW()&gt;AJ745+1,0,""),IF(AK745&lt;=AJ745,1,0)))</f>
        <v/>
      </c>
    </row>
    <row r="746" customFormat="false" ht="15" hidden="false" customHeight="false" outlineLevel="0" collapsed="false">
      <c r="B746" s="29"/>
      <c r="C746" s="29"/>
      <c r="D746" s="29"/>
      <c r="E746" s="29"/>
      <c r="F746" s="29"/>
      <c r="G746" s="29"/>
      <c r="H746" s="29"/>
      <c r="I746" s="29"/>
      <c r="J746" s="29"/>
      <c r="K746" s="29"/>
      <c r="L746" s="29"/>
      <c r="M746" s="29"/>
      <c r="N746" s="30"/>
      <c r="O746" s="30"/>
      <c r="P746" s="30"/>
      <c r="Q746" s="30"/>
      <c r="R746" s="30"/>
      <c r="S746" s="30"/>
      <c r="T746" s="30"/>
      <c r="U746" s="30"/>
      <c r="V746" s="31"/>
      <c r="W746" s="29"/>
      <c r="X746" s="29"/>
      <c r="Y746" s="29"/>
      <c r="Z746" s="29"/>
      <c r="AA746" s="30"/>
      <c r="AB746" s="30"/>
      <c r="AC746" s="30"/>
      <c r="AD746" s="30"/>
      <c r="AE746" s="30"/>
      <c r="AF746" s="32"/>
      <c r="AG746" s="33"/>
      <c r="AH746" s="33"/>
      <c r="AI746" s="29"/>
      <c r="AJ746" s="32"/>
      <c r="AK746" s="32"/>
      <c r="AL746" s="29"/>
      <c r="AN746" s="34" t="str">
        <f aca="false">IF($B746="","",IF(OR(C746="",D746="",E746="",G746="",I746="",J746="",L746="",O746="",P746=""),"Champ obligatoire manquant",IF(OR(AND(N746&lt;&gt;"",N746&gt;O746),O746&gt;P746,AND(Q746&lt;&gt;"",Q746&lt;P746),AND(R746&lt;&gt;"",R746&lt;P746),AND(S746&lt;&gt;"",S746&lt;R746),AND(S746&lt;&gt;"",R746=""),AND(T746&lt;&gt;"",T746&lt;O746),AND(U746&lt;&gt;"",U746&lt;O746)),"Chronologie incohérente",IF(AND(OR(L746="Résolu",L746="Clos"),R746=""),"Date de résolution manquante",IF(AND(L746="Clos",S746=""),"Date de clôture manquante",IF(AND(K746="Oui",AC746=""),"Classification DORA manquante","OK"))))))</f>
        <v/>
      </c>
      <c r="AO746" s="35" t="str">
        <f aca="false">IF($B746="","",IF(AND(C746="Incident",L746&lt;&gt;"Annulé"),1,0))</f>
        <v/>
      </c>
      <c r="AP746" s="35" t="str">
        <f aca="false">IF($B746="","",IF(AND(C746="Quasi-incident",L746&lt;&gt;"Annulé"),1,0))</f>
        <v/>
      </c>
      <c r="AQ746" s="35" t="str">
        <f aca="false">IF($B746="","",AO746+AP746)</f>
        <v/>
      </c>
      <c r="AR746" s="36" t="str">
        <f aca="false">IF(OR($B746="",J746=""),"",IFERROR(VALUE(LEFT(J746,1)),""))</f>
        <v/>
      </c>
      <c r="AS746" s="35" t="str">
        <f aca="false">IF(OR(AO746&lt;&gt;1,G746=""),"",IFERROR(IF(INDEX(L_SrcInterne,MATCH(G746,L_Sources,0))="Oui",1,0),""))</f>
        <v/>
      </c>
      <c r="AT746" s="37" t="str">
        <f aca="false">IF(AO746&lt;&gt;1,"",IFERROR(ROUND(IF(OR(N746="",O746=""),"",IF(O746&lt;N746,"",ROUND(((NETWORKDAYS(N746,O746,JoursFeries)-1)*(HFer-HOuv)+IF(NETWORKDAYS(O746,O746,JoursFeries),MEDIAN(MOD(O746,1),HFer,HOuv),HFer)-IF(NETWORKDAYS(N746,N746,JoursFeries),MEDIAN(MOD(N746,1),HFer,HOuv),HOuv))*24,4)))/HJour,4),""))</f>
        <v/>
      </c>
      <c r="AU746" s="37" t="str">
        <f aca="false">IF(AO746&lt;&gt;1,"",IF(OR(O746="",P746=""),"",IF(P746&lt;O746,"",ROUND(((NETWORKDAYS(O746,P746,JoursFeries)-1)*(HFer-HOuv)+IF(NETWORKDAYS(P746,P746,JoursFeries),MEDIAN(MOD(P746,1),HFer,HOuv),HFer)-IF(NETWORKDAYS(O746,O746,JoursFeries),MEDIAN(MOD(O746,1),HFer,HOuv),HOuv))*24,4))))</f>
        <v/>
      </c>
      <c r="AV746" s="37" t="str">
        <f aca="false">IF(AO746&lt;&gt;1,"",IF(OR(P746="",Q746=""),"",IF(Q746&lt;P746,"",ROUND(((NETWORKDAYS(P746,Q746,JoursFeries)-1)*(HFer-HOuv)+IF(NETWORKDAYS(Q746,Q746,JoursFeries),MEDIAN(MOD(Q746,1),HFer,HOuv),HFer)-IF(NETWORKDAYS(P746,P746,JoursFeries),MEDIAN(MOD(P746,1),HFer,HOuv),HOuv))*24,4))))</f>
        <v/>
      </c>
      <c r="AW746" s="37" t="str">
        <f aca="false">IF(AO746&lt;&gt;1,"",IFERROR(ROUND(IF(OR(P746="",R746=""),"",IF(R746&lt;P746,"",ROUND(((NETWORKDAYS(P746,R746,JoursFeries)-1)*(HFer-HOuv)+IF(NETWORKDAYS(R746,R746,JoursFeries),MEDIAN(MOD(R746,1),HFer,HOuv),HFer)-IF(NETWORKDAYS(P746,P746,JoursFeries),MEDIAN(MOD(P746,1),HFer,HOuv),HOuv))*24,4)))/HJour,4),""))</f>
        <v/>
      </c>
      <c r="AX746" s="37" t="str">
        <f aca="false">IF(AO746&lt;&gt;1,"",IFERROR(ROUND(IF(OR(P746="",S746=""),"",IF(S746&lt;P746,"",ROUND(((NETWORKDAYS(P746,S746,JoursFeries)-1)*(HFer-HOuv)+IF(NETWORKDAYS(S746,S746,JoursFeries),MEDIAN(MOD(S746,1),HFer,HOuv),HFer)-IF(NETWORKDAYS(P746,P746,JoursFeries),MEDIAN(MOD(P746,1),HFer,HOuv),HOuv))*24,4)))/HJour,4),""))</f>
        <v/>
      </c>
      <c r="AY746" s="36" t="str">
        <f aca="false">IF(OR(AO746&lt;&gt;1,AR746=""),"",INDEX(SLA_PEC,AR746))</f>
        <v/>
      </c>
      <c r="AZ746" s="35" t="str">
        <f aca="false">IF(OR(AV746="",AY746=""),"",IF(AV746&lt;=AY746,1,0))</f>
        <v/>
      </c>
      <c r="BA746" s="36" t="str">
        <f aca="false">IF(OR(AO746&lt;&gt;1,AR746=""),"",INDEX(SLA_RES,AR746))</f>
        <v/>
      </c>
      <c r="BB746" s="35" t="str">
        <f aca="false">IF(OR(AW746="",BA746=""),"",IF(AW746&lt;=BA746,1,0))</f>
        <v/>
      </c>
      <c r="BC746" s="38" t="str">
        <f aca="false">IF(OR(BA746="",P746=""),"",WORKDAY(INT(P746),BA746,JoursFeries)+MOD(P746,1))</f>
        <v/>
      </c>
      <c r="BD746" s="39" t="str">
        <f aca="false">IF(AO746&lt;&gt;1,"",IF(OR(AB746&lt;&gt;"",AD746&lt;&gt;""),4,IF(U746&lt;&gt;"",3,IF(T746&lt;&gt;"",2,1))))</f>
        <v/>
      </c>
      <c r="BE746" s="39" t="str">
        <f aca="false">IF(OR(AO746&lt;&gt;1,AR746=""),"",INDEX(NIV_REQ,AR746))</f>
        <v/>
      </c>
      <c r="BF746" s="39" t="str">
        <f aca="false">IF(BE746="","",MAX(BE746,IF(OR(K746="Oui",Z746="Oui"),4,1)))</f>
        <v/>
      </c>
      <c r="BG746" s="35" t="str">
        <f aca="false">IF(OR(BF746="",BD746=""),"",IF(BD746&gt;=BF746,1,0))</f>
        <v/>
      </c>
      <c r="BH746" s="38" t="str">
        <f aca="false">IF(BE746="","",IF(BE746&lt;2,"",IF(BE746=2,IF(AND(T746="",U746=""),"",MIN(T746,U746)),IF(U746="","",U746))))</f>
        <v/>
      </c>
      <c r="BI746" s="37" t="str">
        <f aca="false">IF(BH746="","",IF(OR(O746="",BH746=""),"",IF(BH746&lt;O746,"",ROUND(((NETWORKDAYS(O746,BH746,JoursFeries)-1)*(HFer-HOuv)+IF(NETWORKDAYS(BH746,BH746,JoursFeries),MEDIAN(MOD(BH746,1),HFer,HOuv),HFer)-IF(NETWORKDAYS(O746,O746,JoursFeries),MEDIAN(MOD(O746,1),HFer,HOuv),HOuv))*24,4))))</f>
        <v/>
      </c>
      <c r="BJ746" s="35" t="str">
        <f aca="false">IF(OR(BI746="",AR746=""),"",IF(BI746&lt;=INDEX(DELAI_ESC,AR746),1,0))</f>
        <v/>
      </c>
      <c r="BK746" s="38" t="str">
        <f aca="false">IF(AO746&lt;&gt;1,"",IF(AND(T746="",U746=""),"",MIN(T746,U746)))</f>
        <v/>
      </c>
      <c r="BL746" s="37" t="str">
        <f aca="false">IF(OR(BK746="",R746=""),"",IFERROR(ROUND(IF(OR(BK746="",R746=""),"",IF(R746&lt;BK746,"",ROUND(((NETWORKDAYS(BK746,R746,JoursFeries)-1)*(HFer-HOuv)+IF(NETWORKDAYS(R746,R746,JoursFeries),MEDIAN(MOD(R746,1),HFer,HOuv),HFer)-IF(NETWORKDAYS(BK746,BK746,JoursFeries),MEDIAN(MOD(BK746,1),HFer,HOuv),HOuv))*24,4)))/HJour,4),""))</f>
        <v/>
      </c>
      <c r="BM746" s="35" t="str">
        <f aca="false">IF(OR(AO746&lt;&gt;1,R746=""),"",IF(BD746=1,1,0))</f>
        <v/>
      </c>
      <c r="BN746" s="35" t="str">
        <f aca="false">IF(AO746&lt;&gt;1,"",IF(W746="Oui",1,0))</f>
        <v/>
      </c>
      <c r="BO746" s="35" t="str">
        <f aca="false">IF(AO746&lt;&gt;1,"",IF(X746&lt;&gt;"",1,0))</f>
        <v/>
      </c>
      <c r="BP746" s="35" t="str">
        <f aca="false">IF(AO746&lt;&gt;1,"",IF(Y746="Oui",1,0))</f>
        <v/>
      </c>
      <c r="BQ746" s="35" t="str">
        <f aca="true">IF(OR(AO746&lt;&gt;1,Z746&lt;&gt;"Oui"),"",IF(AB746="",IF(AND(AA746&lt;&gt;"",NOW()&gt;AA746),0,""),IF(AA746="","",IF(AB746&lt;=AA746,1,0))))</f>
        <v/>
      </c>
      <c r="BR746" s="38" t="str">
        <f aca="false">IF(OR(AO746&lt;&gt;1,K746&lt;&gt;"Oui",O746=""),"",IF(AC746="",O746+DORA_H_DET/24,IF(AC746-O746&lt;=DORA_H_DET/24,MIN(AC746+DORA_H_CLA/24,O746+DORA_H_DET/24),AC746+DORA_H_CLA/24)))</f>
        <v/>
      </c>
      <c r="BS746" s="35" t="str">
        <f aca="true">IF(BR746="","",IF(AD746="",IF(NOW()&gt;BR746,0,""),IF(AD746&lt;=BR746,1,0)))</f>
        <v/>
      </c>
      <c r="BT746" s="35" t="str">
        <f aca="true">IF(OR(BR746="",AD746=""),"",IF(AE746="",IF(NOW()&gt;AD746+DORA_H_INT/24,0,""),IF(AE746&lt;=AD746+DORA_H_INT/24,1,0)))</f>
        <v/>
      </c>
      <c r="BU746" s="35" t="str">
        <f aca="true">IF(OR(BR746="",AE746=""),"",IF(AF746="",IF(NOW()&gt;EDATE(AE746,DORA_M_FIN)+1,0,""),IF(AF746&lt;=EDATE(AE746,DORA_M_FIN),1,0)))</f>
        <v/>
      </c>
      <c r="BV746" s="35" t="str">
        <f aca="false">IF(BR746="","",IF(COUNT(BS746:BU746)=0,"",MIN(BS746:BU746)))</f>
        <v/>
      </c>
      <c r="BW746" s="40" t="str">
        <f aca="false">IF(AQ746&lt;&gt;1,"",IF(AND(AG746="",AH746=""),"",N(AG746)-N(AH746)))</f>
        <v/>
      </c>
      <c r="BX746" s="35" t="str">
        <f aca="true">IF(OR(AQ746&lt;&gt;1,AI746&lt;&gt;"Oui",AJ746=""),"",IF(AK746="",IF(NOW()&gt;AJ746+1,0,""),IF(AK746&lt;=AJ746,1,0)))</f>
        <v/>
      </c>
    </row>
    <row r="747" customFormat="false" ht="15" hidden="false" customHeight="false" outlineLevel="0" collapsed="false">
      <c r="B747" s="29"/>
      <c r="C747" s="29"/>
      <c r="D747" s="29"/>
      <c r="E747" s="29"/>
      <c r="F747" s="29"/>
      <c r="G747" s="29"/>
      <c r="H747" s="29"/>
      <c r="I747" s="29"/>
      <c r="J747" s="29"/>
      <c r="K747" s="29"/>
      <c r="L747" s="29"/>
      <c r="M747" s="29"/>
      <c r="N747" s="30"/>
      <c r="O747" s="30"/>
      <c r="P747" s="30"/>
      <c r="Q747" s="30"/>
      <c r="R747" s="30"/>
      <c r="S747" s="30"/>
      <c r="T747" s="30"/>
      <c r="U747" s="30"/>
      <c r="V747" s="31"/>
      <c r="W747" s="29"/>
      <c r="X747" s="29"/>
      <c r="Y747" s="29"/>
      <c r="Z747" s="29"/>
      <c r="AA747" s="30"/>
      <c r="AB747" s="30"/>
      <c r="AC747" s="30"/>
      <c r="AD747" s="30"/>
      <c r="AE747" s="30"/>
      <c r="AF747" s="32"/>
      <c r="AG747" s="33"/>
      <c r="AH747" s="33"/>
      <c r="AI747" s="29"/>
      <c r="AJ747" s="32"/>
      <c r="AK747" s="32"/>
      <c r="AL747" s="29"/>
      <c r="AN747" s="34" t="str">
        <f aca="false">IF($B747="","",IF(OR(C747="",D747="",E747="",G747="",I747="",J747="",L747="",O747="",P747=""),"Champ obligatoire manquant",IF(OR(AND(N747&lt;&gt;"",N747&gt;O747),O747&gt;P747,AND(Q747&lt;&gt;"",Q747&lt;P747),AND(R747&lt;&gt;"",R747&lt;P747),AND(S747&lt;&gt;"",S747&lt;R747),AND(S747&lt;&gt;"",R747=""),AND(T747&lt;&gt;"",T747&lt;O747),AND(U747&lt;&gt;"",U747&lt;O747)),"Chronologie incohérente",IF(AND(OR(L747="Résolu",L747="Clos"),R747=""),"Date de résolution manquante",IF(AND(L747="Clos",S747=""),"Date de clôture manquante",IF(AND(K747="Oui",AC747=""),"Classification DORA manquante","OK"))))))</f>
        <v/>
      </c>
      <c r="AO747" s="35" t="str">
        <f aca="false">IF($B747="","",IF(AND(C747="Incident",L747&lt;&gt;"Annulé"),1,0))</f>
        <v/>
      </c>
      <c r="AP747" s="35" t="str">
        <f aca="false">IF($B747="","",IF(AND(C747="Quasi-incident",L747&lt;&gt;"Annulé"),1,0))</f>
        <v/>
      </c>
      <c r="AQ747" s="35" t="str">
        <f aca="false">IF($B747="","",AO747+AP747)</f>
        <v/>
      </c>
      <c r="AR747" s="36" t="str">
        <f aca="false">IF(OR($B747="",J747=""),"",IFERROR(VALUE(LEFT(J747,1)),""))</f>
        <v/>
      </c>
      <c r="AS747" s="35" t="str">
        <f aca="false">IF(OR(AO747&lt;&gt;1,G747=""),"",IFERROR(IF(INDEX(L_SrcInterne,MATCH(G747,L_Sources,0))="Oui",1,0),""))</f>
        <v/>
      </c>
      <c r="AT747" s="37" t="str">
        <f aca="false">IF(AO747&lt;&gt;1,"",IFERROR(ROUND(IF(OR(N747="",O747=""),"",IF(O747&lt;N747,"",ROUND(((NETWORKDAYS(N747,O747,JoursFeries)-1)*(HFer-HOuv)+IF(NETWORKDAYS(O747,O747,JoursFeries),MEDIAN(MOD(O747,1),HFer,HOuv),HFer)-IF(NETWORKDAYS(N747,N747,JoursFeries),MEDIAN(MOD(N747,1),HFer,HOuv),HOuv))*24,4)))/HJour,4),""))</f>
        <v/>
      </c>
      <c r="AU747" s="37" t="str">
        <f aca="false">IF(AO747&lt;&gt;1,"",IF(OR(O747="",P747=""),"",IF(P747&lt;O747,"",ROUND(((NETWORKDAYS(O747,P747,JoursFeries)-1)*(HFer-HOuv)+IF(NETWORKDAYS(P747,P747,JoursFeries),MEDIAN(MOD(P747,1),HFer,HOuv),HFer)-IF(NETWORKDAYS(O747,O747,JoursFeries),MEDIAN(MOD(O747,1),HFer,HOuv),HOuv))*24,4))))</f>
        <v/>
      </c>
      <c r="AV747" s="37" t="str">
        <f aca="false">IF(AO747&lt;&gt;1,"",IF(OR(P747="",Q747=""),"",IF(Q747&lt;P747,"",ROUND(((NETWORKDAYS(P747,Q747,JoursFeries)-1)*(HFer-HOuv)+IF(NETWORKDAYS(Q747,Q747,JoursFeries),MEDIAN(MOD(Q747,1),HFer,HOuv),HFer)-IF(NETWORKDAYS(P747,P747,JoursFeries),MEDIAN(MOD(P747,1),HFer,HOuv),HOuv))*24,4))))</f>
        <v/>
      </c>
      <c r="AW747" s="37" t="str">
        <f aca="false">IF(AO747&lt;&gt;1,"",IFERROR(ROUND(IF(OR(P747="",R747=""),"",IF(R747&lt;P747,"",ROUND(((NETWORKDAYS(P747,R747,JoursFeries)-1)*(HFer-HOuv)+IF(NETWORKDAYS(R747,R747,JoursFeries),MEDIAN(MOD(R747,1),HFer,HOuv),HFer)-IF(NETWORKDAYS(P747,P747,JoursFeries),MEDIAN(MOD(P747,1),HFer,HOuv),HOuv))*24,4)))/HJour,4),""))</f>
        <v/>
      </c>
      <c r="AX747" s="37" t="str">
        <f aca="false">IF(AO747&lt;&gt;1,"",IFERROR(ROUND(IF(OR(P747="",S747=""),"",IF(S747&lt;P747,"",ROUND(((NETWORKDAYS(P747,S747,JoursFeries)-1)*(HFer-HOuv)+IF(NETWORKDAYS(S747,S747,JoursFeries),MEDIAN(MOD(S747,1),HFer,HOuv),HFer)-IF(NETWORKDAYS(P747,P747,JoursFeries),MEDIAN(MOD(P747,1),HFer,HOuv),HOuv))*24,4)))/HJour,4),""))</f>
        <v/>
      </c>
      <c r="AY747" s="36" t="str">
        <f aca="false">IF(OR(AO747&lt;&gt;1,AR747=""),"",INDEX(SLA_PEC,AR747))</f>
        <v/>
      </c>
      <c r="AZ747" s="35" t="str">
        <f aca="false">IF(OR(AV747="",AY747=""),"",IF(AV747&lt;=AY747,1,0))</f>
        <v/>
      </c>
      <c r="BA747" s="36" t="str">
        <f aca="false">IF(OR(AO747&lt;&gt;1,AR747=""),"",INDEX(SLA_RES,AR747))</f>
        <v/>
      </c>
      <c r="BB747" s="35" t="str">
        <f aca="false">IF(OR(AW747="",BA747=""),"",IF(AW747&lt;=BA747,1,0))</f>
        <v/>
      </c>
      <c r="BC747" s="38" t="str">
        <f aca="false">IF(OR(BA747="",P747=""),"",WORKDAY(INT(P747),BA747,JoursFeries)+MOD(P747,1))</f>
        <v/>
      </c>
      <c r="BD747" s="39" t="str">
        <f aca="false">IF(AO747&lt;&gt;1,"",IF(OR(AB747&lt;&gt;"",AD747&lt;&gt;""),4,IF(U747&lt;&gt;"",3,IF(T747&lt;&gt;"",2,1))))</f>
        <v/>
      </c>
      <c r="BE747" s="39" t="str">
        <f aca="false">IF(OR(AO747&lt;&gt;1,AR747=""),"",INDEX(NIV_REQ,AR747))</f>
        <v/>
      </c>
      <c r="BF747" s="39" t="str">
        <f aca="false">IF(BE747="","",MAX(BE747,IF(OR(K747="Oui",Z747="Oui"),4,1)))</f>
        <v/>
      </c>
      <c r="BG747" s="35" t="str">
        <f aca="false">IF(OR(BF747="",BD747=""),"",IF(BD747&gt;=BF747,1,0))</f>
        <v/>
      </c>
      <c r="BH747" s="38" t="str">
        <f aca="false">IF(BE747="","",IF(BE747&lt;2,"",IF(BE747=2,IF(AND(T747="",U747=""),"",MIN(T747,U747)),IF(U747="","",U747))))</f>
        <v/>
      </c>
      <c r="BI747" s="37" t="str">
        <f aca="false">IF(BH747="","",IF(OR(O747="",BH747=""),"",IF(BH747&lt;O747,"",ROUND(((NETWORKDAYS(O747,BH747,JoursFeries)-1)*(HFer-HOuv)+IF(NETWORKDAYS(BH747,BH747,JoursFeries),MEDIAN(MOD(BH747,1),HFer,HOuv),HFer)-IF(NETWORKDAYS(O747,O747,JoursFeries),MEDIAN(MOD(O747,1),HFer,HOuv),HOuv))*24,4))))</f>
        <v/>
      </c>
      <c r="BJ747" s="35" t="str">
        <f aca="false">IF(OR(BI747="",AR747=""),"",IF(BI747&lt;=INDEX(DELAI_ESC,AR747),1,0))</f>
        <v/>
      </c>
      <c r="BK747" s="38" t="str">
        <f aca="false">IF(AO747&lt;&gt;1,"",IF(AND(T747="",U747=""),"",MIN(T747,U747)))</f>
        <v/>
      </c>
      <c r="BL747" s="37" t="str">
        <f aca="false">IF(OR(BK747="",R747=""),"",IFERROR(ROUND(IF(OR(BK747="",R747=""),"",IF(R747&lt;BK747,"",ROUND(((NETWORKDAYS(BK747,R747,JoursFeries)-1)*(HFer-HOuv)+IF(NETWORKDAYS(R747,R747,JoursFeries),MEDIAN(MOD(R747,1),HFer,HOuv),HFer)-IF(NETWORKDAYS(BK747,BK747,JoursFeries),MEDIAN(MOD(BK747,1),HFer,HOuv),HOuv))*24,4)))/HJour,4),""))</f>
        <v/>
      </c>
      <c r="BM747" s="35" t="str">
        <f aca="false">IF(OR(AO747&lt;&gt;1,R747=""),"",IF(BD747=1,1,0))</f>
        <v/>
      </c>
      <c r="BN747" s="35" t="str">
        <f aca="false">IF(AO747&lt;&gt;1,"",IF(W747="Oui",1,0))</f>
        <v/>
      </c>
      <c r="BO747" s="35" t="str">
        <f aca="false">IF(AO747&lt;&gt;1,"",IF(X747&lt;&gt;"",1,0))</f>
        <v/>
      </c>
      <c r="BP747" s="35" t="str">
        <f aca="false">IF(AO747&lt;&gt;1,"",IF(Y747="Oui",1,0))</f>
        <v/>
      </c>
      <c r="BQ747" s="35" t="str">
        <f aca="true">IF(OR(AO747&lt;&gt;1,Z747&lt;&gt;"Oui"),"",IF(AB747="",IF(AND(AA747&lt;&gt;"",NOW()&gt;AA747),0,""),IF(AA747="","",IF(AB747&lt;=AA747,1,0))))</f>
        <v/>
      </c>
      <c r="BR747" s="38" t="str">
        <f aca="false">IF(OR(AO747&lt;&gt;1,K747&lt;&gt;"Oui",O747=""),"",IF(AC747="",O747+DORA_H_DET/24,IF(AC747-O747&lt;=DORA_H_DET/24,MIN(AC747+DORA_H_CLA/24,O747+DORA_H_DET/24),AC747+DORA_H_CLA/24)))</f>
        <v/>
      </c>
      <c r="BS747" s="35" t="str">
        <f aca="true">IF(BR747="","",IF(AD747="",IF(NOW()&gt;BR747,0,""),IF(AD747&lt;=BR747,1,0)))</f>
        <v/>
      </c>
      <c r="BT747" s="35" t="str">
        <f aca="true">IF(OR(BR747="",AD747=""),"",IF(AE747="",IF(NOW()&gt;AD747+DORA_H_INT/24,0,""),IF(AE747&lt;=AD747+DORA_H_INT/24,1,0)))</f>
        <v/>
      </c>
      <c r="BU747" s="35" t="str">
        <f aca="true">IF(OR(BR747="",AE747=""),"",IF(AF747="",IF(NOW()&gt;EDATE(AE747,DORA_M_FIN)+1,0,""),IF(AF747&lt;=EDATE(AE747,DORA_M_FIN),1,0)))</f>
        <v/>
      </c>
      <c r="BV747" s="35" t="str">
        <f aca="false">IF(BR747="","",IF(COUNT(BS747:BU747)=0,"",MIN(BS747:BU747)))</f>
        <v/>
      </c>
      <c r="BW747" s="40" t="str">
        <f aca="false">IF(AQ747&lt;&gt;1,"",IF(AND(AG747="",AH747=""),"",N(AG747)-N(AH747)))</f>
        <v/>
      </c>
      <c r="BX747" s="35" t="str">
        <f aca="true">IF(OR(AQ747&lt;&gt;1,AI747&lt;&gt;"Oui",AJ747=""),"",IF(AK747="",IF(NOW()&gt;AJ747+1,0,""),IF(AK747&lt;=AJ747,1,0)))</f>
        <v/>
      </c>
    </row>
    <row r="748" customFormat="false" ht="15" hidden="false" customHeight="false" outlineLevel="0" collapsed="false">
      <c r="B748" s="29"/>
      <c r="C748" s="29"/>
      <c r="D748" s="29"/>
      <c r="E748" s="29"/>
      <c r="F748" s="29"/>
      <c r="G748" s="29"/>
      <c r="H748" s="29"/>
      <c r="I748" s="29"/>
      <c r="J748" s="29"/>
      <c r="K748" s="29"/>
      <c r="L748" s="29"/>
      <c r="M748" s="29"/>
      <c r="N748" s="30"/>
      <c r="O748" s="30"/>
      <c r="P748" s="30"/>
      <c r="Q748" s="30"/>
      <c r="R748" s="30"/>
      <c r="S748" s="30"/>
      <c r="T748" s="30"/>
      <c r="U748" s="30"/>
      <c r="V748" s="31"/>
      <c r="W748" s="29"/>
      <c r="X748" s="29"/>
      <c r="Y748" s="29"/>
      <c r="Z748" s="29"/>
      <c r="AA748" s="30"/>
      <c r="AB748" s="30"/>
      <c r="AC748" s="30"/>
      <c r="AD748" s="30"/>
      <c r="AE748" s="30"/>
      <c r="AF748" s="32"/>
      <c r="AG748" s="33"/>
      <c r="AH748" s="33"/>
      <c r="AI748" s="29"/>
      <c r="AJ748" s="32"/>
      <c r="AK748" s="32"/>
      <c r="AL748" s="29"/>
      <c r="AN748" s="34" t="str">
        <f aca="false">IF($B748="","",IF(OR(C748="",D748="",E748="",G748="",I748="",J748="",L748="",O748="",P748=""),"Champ obligatoire manquant",IF(OR(AND(N748&lt;&gt;"",N748&gt;O748),O748&gt;P748,AND(Q748&lt;&gt;"",Q748&lt;P748),AND(R748&lt;&gt;"",R748&lt;P748),AND(S748&lt;&gt;"",S748&lt;R748),AND(S748&lt;&gt;"",R748=""),AND(T748&lt;&gt;"",T748&lt;O748),AND(U748&lt;&gt;"",U748&lt;O748)),"Chronologie incohérente",IF(AND(OR(L748="Résolu",L748="Clos"),R748=""),"Date de résolution manquante",IF(AND(L748="Clos",S748=""),"Date de clôture manquante",IF(AND(K748="Oui",AC748=""),"Classification DORA manquante","OK"))))))</f>
        <v/>
      </c>
      <c r="AO748" s="35" t="str">
        <f aca="false">IF($B748="","",IF(AND(C748="Incident",L748&lt;&gt;"Annulé"),1,0))</f>
        <v/>
      </c>
      <c r="AP748" s="35" t="str">
        <f aca="false">IF($B748="","",IF(AND(C748="Quasi-incident",L748&lt;&gt;"Annulé"),1,0))</f>
        <v/>
      </c>
      <c r="AQ748" s="35" t="str">
        <f aca="false">IF($B748="","",AO748+AP748)</f>
        <v/>
      </c>
      <c r="AR748" s="36" t="str">
        <f aca="false">IF(OR($B748="",J748=""),"",IFERROR(VALUE(LEFT(J748,1)),""))</f>
        <v/>
      </c>
      <c r="AS748" s="35" t="str">
        <f aca="false">IF(OR(AO748&lt;&gt;1,G748=""),"",IFERROR(IF(INDEX(L_SrcInterne,MATCH(G748,L_Sources,0))="Oui",1,0),""))</f>
        <v/>
      </c>
      <c r="AT748" s="37" t="str">
        <f aca="false">IF(AO748&lt;&gt;1,"",IFERROR(ROUND(IF(OR(N748="",O748=""),"",IF(O748&lt;N748,"",ROUND(((NETWORKDAYS(N748,O748,JoursFeries)-1)*(HFer-HOuv)+IF(NETWORKDAYS(O748,O748,JoursFeries),MEDIAN(MOD(O748,1),HFer,HOuv),HFer)-IF(NETWORKDAYS(N748,N748,JoursFeries),MEDIAN(MOD(N748,1),HFer,HOuv),HOuv))*24,4)))/HJour,4),""))</f>
        <v/>
      </c>
      <c r="AU748" s="37" t="str">
        <f aca="false">IF(AO748&lt;&gt;1,"",IF(OR(O748="",P748=""),"",IF(P748&lt;O748,"",ROUND(((NETWORKDAYS(O748,P748,JoursFeries)-1)*(HFer-HOuv)+IF(NETWORKDAYS(P748,P748,JoursFeries),MEDIAN(MOD(P748,1),HFer,HOuv),HFer)-IF(NETWORKDAYS(O748,O748,JoursFeries),MEDIAN(MOD(O748,1),HFer,HOuv),HOuv))*24,4))))</f>
        <v/>
      </c>
      <c r="AV748" s="37" t="str">
        <f aca="false">IF(AO748&lt;&gt;1,"",IF(OR(P748="",Q748=""),"",IF(Q748&lt;P748,"",ROUND(((NETWORKDAYS(P748,Q748,JoursFeries)-1)*(HFer-HOuv)+IF(NETWORKDAYS(Q748,Q748,JoursFeries),MEDIAN(MOD(Q748,1),HFer,HOuv),HFer)-IF(NETWORKDAYS(P748,P748,JoursFeries),MEDIAN(MOD(P748,1),HFer,HOuv),HOuv))*24,4))))</f>
        <v/>
      </c>
      <c r="AW748" s="37" t="str">
        <f aca="false">IF(AO748&lt;&gt;1,"",IFERROR(ROUND(IF(OR(P748="",R748=""),"",IF(R748&lt;P748,"",ROUND(((NETWORKDAYS(P748,R748,JoursFeries)-1)*(HFer-HOuv)+IF(NETWORKDAYS(R748,R748,JoursFeries),MEDIAN(MOD(R748,1),HFer,HOuv),HFer)-IF(NETWORKDAYS(P748,P748,JoursFeries),MEDIAN(MOD(P748,1),HFer,HOuv),HOuv))*24,4)))/HJour,4),""))</f>
        <v/>
      </c>
      <c r="AX748" s="37" t="str">
        <f aca="false">IF(AO748&lt;&gt;1,"",IFERROR(ROUND(IF(OR(P748="",S748=""),"",IF(S748&lt;P748,"",ROUND(((NETWORKDAYS(P748,S748,JoursFeries)-1)*(HFer-HOuv)+IF(NETWORKDAYS(S748,S748,JoursFeries),MEDIAN(MOD(S748,1),HFer,HOuv),HFer)-IF(NETWORKDAYS(P748,P748,JoursFeries),MEDIAN(MOD(P748,1),HFer,HOuv),HOuv))*24,4)))/HJour,4),""))</f>
        <v/>
      </c>
      <c r="AY748" s="36" t="str">
        <f aca="false">IF(OR(AO748&lt;&gt;1,AR748=""),"",INDEX(SLA_PEC,AR748))</f>
        <v/>
      </c>
      <c r="AZ748" s="35" t="str">
        <f aca="false">IF(OR(AV748="",AY748=""),"",IF(AV748&lt;=AY748,1,0))</f>
        <v/>
      </c>
      <c r="BA748" s="36" t="str">
        <f aca="false">IF(OR(AO748&lt;&gt;1,AR748=""),"",INDEX(SLA_RES,AR748))</f>
        <v/>
      </c>
      <c r="BB748" s="35" t="str">
        <f aca="false">IF(OR(AW748="",BA748=""),"",IF(AW748&lt;=BA748,1,0))</f>
        <v/>
      </c>
      <c r="BC748" s="38" t="str">
        <f aca="false">IF(OR(BA748="",P748=""),"",WORKDAY(INT(P748),BA748,JoursFeries)+MOD(P748,1))</f>
        <v/>
      </c>
      <c r="BD748" s="39" t="str">
        <f aca="false">IF(AO748&lt;&gt;1,"",IF(OR(AB748&lt;&gt;"",AD748&lt;&gt;""),4,IF(U748&lt;&gt;"",3,IF(T748&lt;&gt;"",2,1))))</f>
        <v/>
      </c>
      <c r="BE748" s="39" t="str">
        <f aca="false">IF(OR(AO748&lt;&gt;1,AR748=""),"",INDEX(NIV_REQ,AR748))</f>
        <v/>
      </c>
      <c r="BF748" s="39" t="str">
        <f aca="false">IF(BE748="","",MAX(BE748,IF(OR(K748="Oui",Z748="Oui"),4,1)))</f>
        <v/>
      </c>
      <c r="BG748" s="35" t="str">
        <f aca="false">IF(OR(BF748="",BD748=""),"",IF(BD748&gt;=BF748,1,0))</f>
        <v/>
      </c>
      <c r="BH748" s="38" t="str">
        <f aca="false">IF(BE748="","",IF(BE748&lt;2,"",IF(BE748=2,IF(AND(T748="",U748=""),"",MIN(T748,U748)),IF(U748="","",U748))))</f>
        <v/>
      </c>
      <c r="BI748" s="37" t="str">
        <f aca="false">IF(BH748="","",IF(OR(O748="",BH748=""),"",IF(BH748&lt;O748,"",ROUND(((NETWORKDAYS(O748,BH748,JoursFeries)-1)*(HFer-HOuv)+IF(NETWORKDAYS(BH748,BH748,JoursFeries),MEDIAN(MOD(BH748,1),HFer,HOuv),HFer)-IF(NETWORKDAYS(O748,O748,JoursFeries),MEDIAN(MOD(O748,1),HFer,HOuv),HOuv))*24,4))))</f>
        <v/>
      </c>
      <c r="BJ748" s="35" t="str">
        <f aca="false">IF(OR(BI748="",AR748=""),"",IF(BI748&lt;=INDEX(DELAI_ESC,AR748),1,0))</f>
        <v/>
      </c>
      <c r="BK748" s="38" t="str">
        <f aca="false">IF(AO748&lt;&gt;1,"",IF(AND(T748="",U748=""),"",MIN(T748,U748)))</f>
        <v/>
      </c>
      <c r="BL748" s="37" t="str">
        <f aca="false">IF(OR(BK748="",R748=""),"",IFERROR(ROUND(IF(OR(BK748="",R748=""),"",IF(R748&lt;BK748,"",ROUND(((NETWORKDAYS(BK748,R748,JoursFeries)-1)*(HFer-HOuv)+IF(NETWORKDAYS(R748,R748,JoursFeries),MEDIAN(MOD(R748,1),HFer,HOuv),HFer)-IF(NETWORKDAYS(BK748,BK748,JoursFeries),MEDIAN(MOD(BK748,1),HFer,HOuv),HOuv))*24,4)))/HJour,4),""))</f>
        <v/>
      </c>
      <c r="BM748" s="35" t="str">
        <f aca="false">IF(OR(AO748&lt;&gt;1,R748=""),"",IF(BD748=1,1,0))</f>
        <v/>
      </c>
      <c r="BN748" s="35" t="str">
        <f aca="false">IF(AO748&lt;&gt;1,"",IF(W748="Oui",1,0))</f>
        <v/>
      </c>
      <c r="BO748" s="35" t="str">
        <f aca="false">IF(AO748&lt;&gt;1,"",IF(X748&lt;&gt;"",1,0))</f>
        <v/>
      </c>
      <c r="BP748" s="35" t="str">
        <f aca="false">IF(AO748&lt;&gt;1,"",IF(Y748="Oui",1,0))</f>
        <v/>
      </c>
      <c r="BQ748" s="35" t="str">
        <f aca="true">IF(OR(AO748&lt;&gt;1,Z748&lt;&gt;"Oui"),"",IF(AB748="",IF(AND(AA748&lt;&gt;"",NOW()&gt;AA748),0,""),IF(AA748="","",IF(AB748&lt;=AA748,1,0))))</f>
        <v/>
      </c>
      <c r="BR748" s="38" t="str">
        <f aca="false">IF(OR(AO748&lt;&gt;1,K748&lt;&gt;"Oui",O748=""),"",IF(AC748="",O748+DORA_H_DET/24,IF(AC748-O748&lt;=DORA_H_DET/24,MIN(AC748+DORA_H_CLA/24,O748+DORA_H_DET/24),AC748+DORA_H_CLA/24)))</f>
        <v/>
      </c>
      <c r="BS748" s="35" t="str">
        <f aca="true">IF(BR748="","",IF(AD748="",IF(NOW()&gt;BR748,0,""),IF(AD748&lt;=BR748,1,0)))</f>
        <v/>
      </c>
      <c r="BT748" s="35" t="str">
        <f aca="true">IF(OR(BR748="",AD748=""),"",IF(AE748="",IF(NOW()&gt;AD748+DORA_H_INT/24,0,""),IF(AE748&lt;=AD748+DORA_H_INT/24,1,0)))</f>
        <v/>
      </c>
      <c r="BU748" s="35" t="str">
        <f aca="true">IF(OR(BR748="",AE748=""),"",IF(AF748="",IF(NOW()&gt;EDATE(AE748,DORA_M_FIN)+1,0,""),IF(AF748&lt;=EDATE(AE748,DORA_M_FIN),1,0)))</f>
        <v/>
      </c>
      <c r="BV748" s="35" t="str">
        <f aca="false">IF(BR748="","",IF(COUNT(BS748:BU748)=0,"",MIN(BS748:BU748)))</f>
        <v/>
      </c>
      <c r="BW748" s="40" t="str">
        <f aca="false">IF(AQ748&lt;&gt;1,"",IF(AND(AG748="",AH748=""),"",N(AG748)-N(AH748)))</f>
        <v/>
      </c>
      <c r="BX748" s="35" t="str">
        <f aca="true">IF(OR(AQ748&lt;&gt;1,AI748&lt;&gt;"Oui",AJ748=""),"",IF(AK748="",IF(NOW()&gt;AJ748+1,0,""),IF(AK748&lt;=AJ748,1,0)))</f>
        <v/>
      </c>
    </row>
    <row r="749" customFormat="false" ht="15" hidden="false" customHeight="false" outlineLevel="0" collapsed="false">
      <c r="B749" s="29"/>
      <c r="C749" s="29"/>
      <c r="D749" s="29"/>
      <c r="E749" s="29"/>
      <c r="F749" s="29"/>
      <c r="G749" s="29"/>
      <c r="H749" s="29"/>
      <c r="I749" s="29"/>
      <c r="J749" s="29"/>
      <c r="K749" s="29"/>
      <c r="L749" s="29"/>
      <c r="M749" s="29"/>
      <c r="N749" s="30"/>
      <c r="O749" s="30"/>
      <c r="P749" s="30"/>
      <c r="Q749" s="30"/>
      <c r="R749" s="30"/>
      <c r="S749" s="30"/>
      <c r="T749" s="30"/>
      <c r="U749" s="30"/>
      <c r="V749" s="31"/>
      <c r="W749" s="29"/>
      <c r="X749" s="29"/>
      <c r="Y749" s="29"/>
      <c r="Z749" s="29"/>
      <c r="AA749" s="30"/>
      <c r="AB749" s="30"/>
      <c r="AC749" s="30"/>
      <c r="AD749" s="30"/>
      <c r="AE749" s="30"/>
      <c r="AF749" s="32"/>
      <c r="AG749" s="33"/>
      <c r="AH749" s="33"/>
      <c r="AI749" s="29"/>
      <c r="AJ749" s="32"/>
      <c r="AK749" s="32"/>
      <c r="AL749" s="29"/>
      <c r="AN749" s="34" t="str">
        <f aca="false">IF($B749="","",IF(OR(C749="",D749="",E749="",G749="",I749="",J749="",L749="",O749="",P749=""),"Champ obligatoire manquant",IF(OR(AND(N749&lt;&gt;"",N749&gt;O749),O749&gt;P749,AND(Q749&lt;&gt;"",Q749&lt;P749),AND(R749&lt;&gt;"",R749&lt;P749),AND(S749&lt;&gt;"",S749&lt;R749),AND(S749&lt;&gt;"",R749=""),AND(T749&lt;&gt;"",T749&lt;O749),AND(U749&lt;&gt;"",U749&lt;O749)),"Chronologie incohérente",IF(AND(OR(L749="Résolu",L749="Clos"),R749=""),"Date de résolution manquante",IF(AND(L749="Clos",S749=""),"Date de clôture manquante",IF(AND(K749="Oui",AC749=""),"Classification DORA manquante","OK"))))))</f>
        <v/>
      </c>
      <c r="AO749" s="35" t="str">
        <f aca="false">IF($B749="","",IF(AND(C749="Incident",L749&lt;&gt;"Annulé"),1,0))</f>
        <v/>
      </c>
      <c r="AP749" s="35" t="str">
        <f aca="false">IF($B749="","",IF(AND(C749="Quasi-incident",L749&lt;&gt;"Annulé"),1,0))</f>
        <v/>
      </c>
      <c r="AQ749" s="35" t="str">
        <f aca="false">IF($B749="","",AO749+AP749)</f>
        <v/>
      </c>
      <c r="AR749" s="36" t="str">
        <f aca="false">IF(OR($B749="",J749=""),"",IFERROR(VALUE(LEFT(J749,1)),""))</f>
        <v/>
      </c>
      <c r="AS749" s="35" t="str">
        <f aca="false">IF(OR(AO749&lt;&gt;1,G749=""),"",IFERROR(IF(INDEX(L_SrcInterne,MATCH(G749,L_Sources,0))="Oui",1,0),""))</f>
        <v/>
      </c>
      <c r="AT749" s="37" t="str">
        <f aca="false">IF(AO749&lt;&gt;1,"",IFERROR(ROUND(IF(OR(N749="",O749=""),"",IF(O749&lt;N749,"",ROUND(((NETWORKDAYS(N749,O749,JoursFeries)-1)*(HFer-HOuv)+IF(NETWORKDAYS(O749,O749,JoursFeries),MEDIAN(MOD(O749,1),HFer,HOuv),HFer)-IF(NETWORKDAYS(N749,N749,JoursFeries),MEDIAN(MOD(N749,1),HFer,HOuv),HOuv))*24,4)))/HJour,4),""))</f>
        <v/>
      </c>
      <c r="AU749" s="37" t="str">
        <f aca="false">IF(AO749&lt;&gt;1,"",IF(OR(O749="",P749=""),"",IF(P749&lt;O749,"",ROUND(((NETWORKDAYS(O749,P749,JoursFeries)-1)*(HFer-HOuv)+IF(NETWORKDAYS(P749,P749,JoursFeries),MEDIAN(MOD(P749,1),HFer,HOuv),HFer)-IF(NETWORKDAYS(O749,O749,JoursFeries),MEDIAN(MOD(O749,1),HFer,HOuv),HOuv))*24,4))))</f>
        <v/>
      </c>
      <c r="AV749" s="37" t="str">
        <f aca="false">IF(AO749&lt;&gt;1,"",IF(OR(P749="",Q749=""),"",IF(Q749&lt;P749,"",ROUND(((NETWORKDAYS(P749,Q749,JoursFeries)-1)*(HFer-HOuv)+IF(NETWORKDAYS(Q749,Q749,JoursFeries),MEDIAN(MOD(Q749,1),HFer,HOuv),HFer)-IF(NETWORKDAYS(P749,P749,JoursFeries),MEDIAN(MOD(P749,1),HFer,HOuv),HOuv))*24,4))))</f>
        <v/>
      </c>
      <c r="AW749" s="37" t="str">
        <f aca="false">IF(AO749&lt;&gt;1,"",IFERROR(ROUND(IF(OR(P749="",R749=""),"",IF(R749&lt;P749,"",ROUND(((NETWORKDAYS(P749,R749,JoursFeries)-1)*(HFer-HOuv)+IF(NETWORKDAYS(R749,R749,JoursFeries),MEDIAN(MOD(R749,1),HFer,HOuv),HFer)-IF(NETWORKDAYS(P749,P749,JoursFeries),MEDIAN(MOD(P749,1),HFer,HOuv),HOuv))*24,4)))/HJour,4),""))</f>
        <v/>
      </c>
      <c r="AX749" s="37" t="str">
        <f aca="false">IF(AO749&lt;&gt;1,"",IFERROR(ROUND(IF(OR(P749="",S749=""),"",IF(S749&lt;P749,"",ROUND(((NETWORKDAYS(P749,S749,JoursFeries)-1)*(HFer-HOuv)+IF(NETWORKDAYS(S749,S749,JoursFeries),MEDIAN(MOD(S749,1),HFer,HOuv),HFer)-IF(NETWORKDAYS(P749,P749,JoursFeries),MEDIAN(MOD(P749,1),HFer,HOuv),HOuv))*24,4)))/HJour,4),""))</f>
        <v/>
      </c>
      <c r="AY749" s="36" t="str">
        <f aca="false">IF(OR(AO749&lt;&gt;1,AR749=""),"",INDEX(SLA_PEC,AR749))</f>
        <v/>
      </c>
      <c r="AZ749" s="35" t="str">
        <f aca="false">IF(OR(AV749="",AY749=""),"",IF(AV749&lt;=AY749,1,0))</f>
        <v/>
      </c>
      <c r="BA749" s="36" t="str">
        <f aca="false">IF(OR(AO749&lt;&gt;1,AR749=""),"",INDEX(SLA_RES,AR749))</f>
        <v/>
      </c>
      <c r="BB749" s="35" t="str">
        <f aca="false">IF(OR(AW749="",BA749=""),"",IF(AW749&lt;=BA749,1,0))</f>
        <v/>
      </c>
      <c r="BC749" s="38" t="str">
        <f aca="false">IF(OR(BA749="",P749=""),"",WORKDAY(INT(P749),BA749,JoursFeries)+MOD(P749,1))</f>
        <v/>
      </c>
      <c r="BD749" s="39" t="str">
        <f aca="false">IF(AO749&lt;&gt;1,"",IF(OR(AB749&lt;&gt;"",AD749&lt;&gt;""),4,IF(U749&lt;&gt;"",3,IF(T749&lt;&gt;"",2,1))))</f>
        <v/>
      </c>
      <c r="BE749" s="39" t="str">
        <f aca="false">IF(OR(AO749&lt;&gt;1,AR749=""),"",INDEX(NIV_REQ,AR749))</f>
        <v/>
      </c>
      <c r="BF749" s="39" t="str">
        <f aca="false">IF(BE749="","",MAX(BE749,IF(OR(K749="Oui",Z749="Oui"),4,1)))</f>
        <v/>
      </c>
      <c r="BG749" s="35" t="str">
        <f aca="false">IF(OR(BF749="",BD749=""),"",IF(BD749&gt;=BF749,1,0))</f>
        <v/>
      </c>
      <c r="BH749" s="38" t="str">
        <f aca="false">IF(BE749="","",IF(BE749&lt;2,"",IF(BE749=2,IF(AND(T749="",U749=""),"",MIN(T749,U749)),IF(U749="","",U749))))</f>
        <v/>
      </c>
      <c r="BI749" s="37" t="str">
        <f aca="false">IF(BH749="","",IF(OR(O749="",BH749=""),"",IF(BH749&lt;O749,"",ROUND(((NETWORKDAYS(O749,BH749,JoursFeries)-1)*(HFer-HOuv)+IF(NETWORKDAYS(BH749,BH749,JoursFeries),MEDIAN(MOD(BH749,1),HFer,HOuv),HFer)-IF(NETWORKDAYS(O749,O749,JoursFeries),MEDIAN(MOD(O749,1),HFer,HOuv),HOuv))*24,4))))</f>
        <v/>
      </c>
      <c r="BJ749" s="35" t="str">
        <f aca="false">IF(OR(BI749="",AR749=""),"",IF(BI749&lt;=INDEX(DELAI_ESC,AR749),1,0))</f>
        <v/>
      </c>
      <c r="BK749" s="38" t="str">
        <f aca="false">IF(AO749&lt;&gt;1,"",IF(AND(T749="",U749=""),"",MIN(T749,U749)))</f>
        <v/>
      </c>
      <c r="BL749" s="37" t="str">
        <f aca="false">IF(OR(BK749="",R749=""),"",IFERROR(ROUND(IF(OR(BK749="",R749=""),"",IF(R749&lt;BK749,"",ROUND(((NETWORKDAYS(BK749,R749,JoursFeries)-1)*(HFer-HOuv)+IF(NETWORKDAYS(R749,R749,JoursFeries),MEDIAN(MOD(R749,1),HFer,HOuv),HFer)-IF(NETWORKDAYS(BK749,BK749,JoursFeries),MEDIAN(MOD(BK749,1),HFer,HOuv),HOuv))*24,4)))/HJour,4),""))</f>
        <v/>
      </c>
      <c r="BM749" s="35" t="str">
        <f aca="false">IF(OR(AO749&lt;&gt;1,R749=""),"",IF(BD749=1,1,0))</f>
        <v/>
      </c>
      <c r="BN749" s="35" t="str">
        <f aca="false">IF(AO749&lt;&gt;1,"",IF(W749="Oui",1,0))</f>
        <v/>
      </c>
      <c r="BO749" s="35" t="str">
        <f aca="false">IF(AO749&lt;&gt;1,"",IF(X749&lt;&gt;"",1,0))</f>
        <v/>
      </c>
      <c r="BP749" s="35" t="str">
        <f aca="false">IF(AO749&lt;&gt;1,"",IF(Y749="Oui",1,0))</f>
        <v/>
      </c>
      <c r="BQ749" s="35" t="str">
        <f aca="true">IF(OR(AO749&lt;&gt;1,Z749&lt;&gt;"Oui"),"",IF(AB749="",IF(AND(AA749&lt;&gt;"",NOW()&gt;AA749),0,""),IF(AA749="","",IF(AB749&lt;=AA749,1,0))))</f>
        <v/>
      </c>
      <c r="BR749" s="38" t="str">
        <f aca="false">IF(OR(AO749&lt;&gt;1,K749&lt;&gt;"Oui",O749=""),"",IF(AC749="",O749+DORA_H_DET/24,IF(AC749-O749&lt;=DORA_H_DET/24,MIN(AC749+DORA_H_CLA/24,O749+DORA_H_DET/24),AC749+DORA_H_CLA/24)))</f>
        <v/>
      </c>
      <c r="BS749" s="35" t="str">
        <f aca="true">IF(BR749="","",IF(AD749="",IF(NOW()&gt;BR749,0,""),IF(AD749&lt;=BR749,1,0)))</f>
        <v/>
      </c>
      <c r="BT749" s="35" t="str">
        <f aca="true">IF(OR(BR749="",AD749=""),"",IF(AE749="",IF(NOW()&gt;AD749+DORA_H_INT/24,0,""),IF(AE749&lt;=AD749+DORA_H_INT/24,1,0)))</f>
        <v/>
      </c>
      <c r="BU749" s="35" t="str">
        <f aca="true">IF(OR(BR749="",AE749=""),"",IF(AF749="",IF(NOW()&gt;EDATE(AE749,DORA_M_FIN)+1,0,""),IF(AF749&lt;=EDATE(AE749,DORA_M_FIN),1,0)))</f>
        <v/>
      </c>
      <c r="BV749" s="35" t="str">
        <f aca="false">IF(BR749="","",IF(COUNT(BS749:BU749)=0,"",MIN(BS749:BU749)))</f>
        <v/>
      </c>
      <c r="BW749" s="40" t="str">
        <f aca="false">IF(AQ749&lt;&gt;1,"",IF(AND(AG749="",AH749=""),"",N(AG749)-N(AH749)))</f>
        <v/>
      </c>
      <c r="BX749" s="35" t="str">
        <f aca="true">IF(OR(AQ749&lt;&gt;1,AI749&lt;&gt;"Oui",AJ749=""),"",IF(AK749="",IF(NOW()&gt;AJ749+1,0,""),IF(AK749&lt;=AJ749,1,0)))</f>
        <v/>
      </c>
    </row>
    <row r="750" customFormat="false" ht="15" hidden="false" customHeight="false" outlineLevel="0" collapsed="false">
      <c r="B750" s="29"/>
      <c r="C750" s="29"/>
      <c r="D750" s="29"/>
      <c r="E750" s="29"/>
      <c r="F750" s="29"/>
      <c r="G750" s="29"/>
      <c r="H750" s="29"/>
      <c r="I750" s="29"/>
      <c r="J750" s="29"/>
      <c r="K750" s="29"/>
      <c r="L750" s="29"/>
      <c r="M750" s="29"/>
      <c r="N750" s="30"/>
      <c r="O750" s="30"/>
      <c r="P750" s="30"/>
      <c r="Q750" s="30"/>
      <c r="R750" s="30"/>
      <c r="S750" s="30"/>
      <c r="T750" s="30"/>
      <c r="U750" s="30"/>
      <c r="V750" s="31"/>
      <c r="W750" s="29"/>
      <c r="X750" s="29"/>
      <c r="Y750" s="29"/>
      <c r="Z750" s="29"/>
      <c r="AA750" s="30"/>
      <c r="AB750" s="30"/>
      <c r="AC750" s="30"/>
      <c r="AD750" s="30"/>
      <c r="AE750" s="30"/>
      <c r="AF750" s="32"/>
      <c r="AG750" s="33"/>
      <c r="AH750" s="33"/>
      <c r="AI750" s="29"/>
      <c r="AJ750" s="32"/>
      <c r="AK750" s="32"/>
      <c r="AL750" s="29"/>
      <c r="AN750" s="34" t="str">
        <f aca="false">IF($B750="","",IF(OR(C750="",D750="",E750="",G750="",I750="",J750="",L750="",O750="",P750=""),"Champ obligatoire manquant",IF(OR(AND(N750&lt;&gt;"",N750&gt;O750),O750&gt;P750,AND(Q750&lt;&gt;"",Q750&lt;P750),AND(R750&lt;&gt;"",R750&lt;P750),AND(S750&lt;&gt;"",S750&lt;R750),AND(S750&lt;&gt;"",R750=""),AND(T750&lt;&gt;"",T750&lt;O750),AND(U750&lt;&gt;"",U750&lt;O750)),"Chronologie incohérente",IF(AND(OR(L750="Résolu",L750="Clos"),R750=""),"Date de résolution manquante",IF(AND(L750="Clos",S750=""),"Date de clôture manquante",IF(AND(K750="Oui",AC750=""),"Classification DORA manquante","OK"))))))</f>
        <v/>
      </c>
      <c r="AO750" s="35" t="str">
        <f aca="false">IF($B750="","",IF(AND(C750="Incident",L750&lt;&gt;"Annulé"),1,0))</f>
        <v/>
      </c>
      <c r="AP750" s="35" t="str">
        <f aca="false">IF($B750="","",IF(AND(C750="Quasi-incident",L750&lt;&gt;"Annulé"),1,0))</f>
        <v/>
      </c>
      <c r="AQ750" s="35" t="str">
        <f aca="false">IF($B750="","",AO750+AP750)</f>
        <v/>
      </c>
      <c r="AR750" s="36" t="str">
        <f aca="false">IF(OR($B750="",J750=""),"",IFERROR(VALUE(LEFT(J750,1)),""))</f>
        <v/>
      </c>
      <c r="AS750" s="35" t="str">
        <f aca="false">IF(OR(AO750&lt;&gt;1,G750=""),"",IFERROR(IF(INDEX(L_SrcInterne,MATCH(G750,L_Sources,0))="Oui",1,0),""))</f>
        <v/>
      </c>
      <c r="AT750" s="37" t="str">
        <f aca="false">IF(AO750&lt;&gt;1,"",IFERROR(ROUND(IF(OR(N750="",O750=""),"",IF(O750&lt;N750,"",ROUND(((NETWORKDAYS(N750,O750,JoursFeries)-1)*(HFer-HOuv)+IF(NETWORKDAYS(O750,O750,JoursFeries),MEDIAN(MOD(O750,1),HFer,HOuv),HFer)-IF(NETWORKDAYS(N750,N750,JoursFeries),MEDIAN(MOD(N750,1),HFer,HOuv),HOuv))*24,4)))/HJour,4),""))</f>
        <v/>
      </c>
      <c r="AU750" s="37" t="str">
        <f aca="false">IF(AO750&lt;&gt;1,"",IF(OR(O750="",P750=""),"",IF(P750&lt;O750,"",ROUND(((NETWORKDAYS(O750,P750,JoursFeries)-1)*(HFer-HOuv)+IF(NETWORKDAYS(P750,P750,JoursFeries),MEDIAN(MOD(P750,1),HFer,HOuv),HFer)-IF(NETWORKDAYS(O750,O750,JoursFeries),MEDIAN(MOD(O750,1),HFer,HOuv),HOuv))*24,4))))</f>
        <v/>
      </c>
      <c r="AV750" s="37" t="str">
        <f aca="false">IF(AO750&lt;&gt;1,"",IF(OR(P750="",Q750=""),"",IF(Q750&lt;P750,"",ROUND(((NETWORKDAYS(P750,Q750,JoursFeries)-1)*(HFer-HOuv)+IF(NETWORKDAYS(Q750,Q750,JoursFeries),MEDIAN(MOD(Q750,1),HFer,HOuv),HFer)-IF(NETWORKDAYS(P750,P750,JoursFeries),MEDIAN(MOD(P750,1),HFer,HOuv),HOuv))*24,4))))</f>
        <v/>
      </c>
      <c r="AW750" s="37" t="str">
        <f aca="false">IF(AO750&lt;&gt;1,"",IFERROR(ROUND(IF(OR(P750="",R750=""),"",IF(R750&lt;P750,"",ROUND(((NETWORKDAYS(P750,R750,JoursFeries)-1)*(HFer-HOuv)+IF(NETWORKDAYS(R750,R750,JoursFeries),MEDIAN(MOD(R750,1),HFer,HOuv),HFer)-IF(NETWORKDAYS(P750,P750,JoursFeries),MEDIAN(MOD(P750,1),HFer,HOuv),HOuv))*24,4)))/HJour,4),""))</f>
        <v/>
      </c>
      <c r="AX750" s="37" t="str">
        <f aca="false">IF(AO750&lt;&gt;1,"",IFERROR(ROUND(IF(OR(P750="",S750=""),"",IF(S750&lt;P750,"",ROUND(((NETWORKDAYS(P750,S750,JoursFeries)-1)*(HFer-HOuv)+IF(NETWORKDAYS(S750,S750,JoursFeries),MEDIAN(MOD(S750,1),HFer,HOuv),HFer)-IF(NETWORKDAYS(P750,P750,JoursFeries),MEDIAN(MOD(P750,1),HFer,HOuv),HOuv))*24,4)))/HJour,4),""))</f>
        <v/>
      </c>
      <c r="AY750" s="36" t="str">
        <f aca="false">IF(OR(AO750&lt;&gt;1,AR750=""),"",INDEX(SLA_PEC,AR750))</f>
        <v/>
      </c>
      <c r="AZ750" s="35" t="str">
        <f aca="false">IF(OR(AV750="",AY750=""),"",IF(AV750&lt;=AY750,1,0))</f>
        <v/>
      </c>
      <c r="BA750" s="36" t="str">
        <f aca="false">IF(OR(AO750&lt;&gt;1,AR750=""),"",INDEX(SLA_RES,AR750))</f>
        <v/>
      </c>
      <c r="BB750" s="35" t="str">
        <f aca="false">IF(OR(AW750="",BA750=""),"",IF(AW750&lt;=BA750,1,0))</f>
        <v/>
      </c>
      <c r="BC750" s="38" t="str">
        <f aca="false">IF(OR(BA750="",P750=""),"",WORKDAY(INT(P750),BA750,JoursFeries)+MOD(P750,1))</f>
        <v/>
      </c>
      <c r="BD750" s="39" t="str">
        <f aca="false">IF(AO750&lt;&gt;1,"",IF(OR(AB750&lt;&gt;"",AD750&lt;&gt;""),4,IF(U750&lt;&gt;"",3,IF(T750&lt;&gt;"",2,1))))</f>
        <v/>
      </c>
      <c r="BE750" s="39" t="str">
        <f aca="false">IF(OR(AO750&lt;&gt;1,AR750=""),"",INDEX(NIV_REQ,AR750))</f>
        <v/>
      </c>
      <c r="BF750" s="39" t="str">
        <f aca="false">IF(BE750="","",MAX(BE750,IF(OR(K750="Oui",Z750="Oui"),4,1)))</f>
        <v/>
      </c>
      <c r="BG750" s="35" t="str">
        <f aca="false">IF(OR(BF750="",BD750=""),"",IF(BD750&gt;=BF750,1,0))</f>
        <v/>
      </c>
      <c r="BH750" s="38" t="str">
        <f aca="false">IF(BE750="","",IF(BE750&lt;2,"",IF(BE750=2,IF(AND(T750="",U750=""),"",MIN(T750,U750)),IF(U750="","",U750))))</f>
        <v/>
      </c>
      <c r="BI750" s="37" t="str">
        <f aca="false">IF(BH750="","",IF(OR(O750="",BH750=""),"",IF(BH750&lt;O750,"",ROUND(((NETWORKDAYS(O750,BH750,JoursFeries)-1)*(HFer-HOuv)+IF(NETWORKDAYS(BH750,BH750,JoursFeries),MEDIAN(MOD(BH750,1),HFer,HOuv),HFer)-IF(NETWORKDAYS(O750,O750,JoursFeries),MEDIAN(MOD(O750,1),HFer,HOuv),HOuv))*24,4))))</f>
        <v/>
      </c>
      <c r="BJ750" s="35" t="str">
        <f aca="false">IF(OR(BI750="",AR750=""),"",IF(BI750&lt;=INDEX(DELAI_ESC,AR750),1,0))</f>
        <v/>
      </c>
      <c r="BK750" s="38" t="str">
        <f aca="false">IF(AO750&lt;&gt;1,"",IF(AND(T750="",U750=""),"",MIN(T750,U750)))</f>
        <v/>
      </c>
      <c r="BL750" s="37" t="str">
        <f aca="false">IF(OR(BK750="",R750=""),"",IFERROR(ROUND(IF(OR(BK750="",R750=""),"",IF(R750&lt;BK750,"",ROUND(((NETWORKDAYS(BK750,R750,JoursFeries)-1)*(HFer-HOuv)+IF(NETWORKDAYS(R750,R750,JoursFeries),MEDIAN(MOD(R750,1),HFer,HOuv),HFer)-IF(NETWORKDAYS(BK750,BK750,JoursFeries),MEDIAN(MOD(BK750,1),HFer,HOuv),HOuv))*24,4)))/HJour,4),""))</f>
        <v/>
      </c>
      <c r="BM750" s="35" t="str">
        <f aca="false">IF(OR(AO750&lt;&gt;1,R750=""),"",IF(BD750=1,1,0))</f>
        <v/>
      </c>
      <c r="BN750" s="35" t="str">
        <f aca="false">IF(AO750&lt;&gt;1,"",IF(W750="Oui",1,0))</f>
        <v/>
      </c>
      <c r="BO750" s="35" t="str">
        <f aca="false">IF(AO750&lt;&gt;1,"",IF(X750&lt;&gt;"",1,0))</f>
        <v/>
      </c>
      <c r="BP750" s="35" t="str">
        <f aca="false">IF(AO750&lt;&gt;1,"",IF(Y750="Oui",1,0))</f>
        <v/>
      </c>
      <c r="BQ750" s="35" t="str">
        <f aca="true">IF(OR(AO750&lt;&gt;1,Z750&lt;&gt;"Oui"),"",IF(AB750="",IF(AND(AA750&lt;&gt;"",NOW()&gt;AA750),0,""),IF(AA750="","",IF(AB750&lt;=AA750,1,0))))</f>
        <v/>
      </c>
      <c r="BR750" s="38" t="str">
        <f aca="false">IF(OR(AO750&lt;&gt;1,K750&lt;&gt;"Oui",O750=""),"",IF(AC750="",O750+DORA_H_DET/24,IF(AC750-O750&lt;=DORA_H_DET/24,MIN(AC750+DORA_H_CLA/24,O750+DORA_H_DET/24),AC750+DORA_H_CLA/24)))</f>
        <v/>
      </c>
      <c r="BS750" s="35" t="str">
        <f aca="true">IF(BR750="","",IF(AD750="",IF(NOW()&gt;BR750,0,""),IF(AD750&lt;=BR750,1,0)))</f>
        <v/>
      </c>
      <c r="BT750" s="35" t="str">
        <f aca="true">IF(OR(BR750="",AD750=""),"",IF(AE750="",IF(NOW()&gt;AD750+DORA_H_INT/24,0,""),IF(AE750&lt;=AD750+DORA_H_INT/24,1,0)))</f>
        <v/>
      </c>
      <c r="BU750" s="35" t="str">
        <f aca="true">IF(OR(BR750="",AE750=""),"",IF(AF750="",IF(NOW()&gt;EDATE(AE750,DORA_M_FIN)+1,0,""),IF(AF750&lt;=EDATE(AE750,DORA_M_FIN),1,0)))</f>
        <v/>
      </c>
      <c r="BV750" s="35" t="str">
        <f aca="false">IF(BR750="","",IF(COUNT(BS750:BU750)=0,"",MIN(BS750:BU750)))</f>
        <v/>
      </c>
      <c r="BW750" s="40" t="str">
        <f aca="false">IF(AQ750&lt;&gt;1,"",IF(AND(AG750="",AH750=""),"",N(AG750)-N(AH750)))</f>
        <v/>
      </c>
      <c r="BX750" s="35" t="str">
        <f aca="true">IF(OR(AQ750&lt;&gt;1,AI750&lt;&gt;"Oui",AJ750=""),"",IF(AK750="",IF(NOW()&gt;AJ750+1,0,""),IF(AK750&lt;=AJ750,1,0)))</f>
        <v/>
      </c>
    </row>
    <row r="751" customFormat="false" ht="15" hidden="false" customHeight="false" outlineLevel="0" collapsed="false">
      <c r="B751" s="29"/>
      <c r="C751" s="29"/>
      <c r="D751" s="29"/>
      <c r="E751" s="29"/>
      <c r="F751" s="29"/>
      <c r="G751" s="29"/>
      <c r="H751" s="29"/>
      <c r="I751" s="29"/>
      <c r="J751" s="29"/>
      <c r="K751" s="29"/>
      <c r="L751" s="29"/>
      <c r="M751" s="29"/>
      <c r="N751" s="30"/>
      <c r="O751" s="30"/>
      <c r="P751" s="30"/>
      <c r="Q751" s="30"/>
      <c r="R751" s="30"/>
      <c r="S751" s="30"/>
      <c r="T751" s="30"/>
      <c r="U751" s="30"/>
      <c r="V751" s="31"/>
      <c r="W751" s="29"/>
      <c r="X751" s="29"/>
      <c r="Y751" s="29"/>
      <c r="Z751" s="29"/>
      <c r="AA751" s="30"/>
      <c r="AB751" s="30"/>
      <c r="AC751" s="30"/>
      <c r="AD751" s="30"/>
      <c r="AE751" s="30"/>
      <c r="AF751" s="32"/>
      <c r="AG751" s="33"/>
      <c r="AH751" s="33"/>
      <c r="AI751" s="29"/>
      <c r="AJ751" s="32"/>
      <c r="AK751" s="32"/>
      <c r="AL751" s="29"/>
      <c r="AN751" s="34" t="str">
        <f aca="false">IF($B751="","",IF(OR(C751="",D751="",E751="",G751="",I751="",J751="",L751="",O751="",P751=""),"Champ obligatoire manquant",IF(OR(AND(N751&lt;&gt;"",N751&gt;O751),O751&gt;P751,AND(Q751&lt;&gt;"",Q751&lt;P751),AND(R751&lt;&gt;"",R751&lt;P751),AND(S751&lt;&gt;"",S751&lt;R751),AND(S751&lt;&gt;"",R751=""),AND(T751&lt;&gt;"",T751&lt;O751),AND(U751&lt;&gt;"",U751&lt;O751)),"Chronologie incohérente",IF(AND(OR(L751="Résolu",L751="Clos"),R751=""),"Date de résolution manquante",IF(AND(L751="Clos",S751=""),"Date de clôture manquante",IF(AND(K751="Oui",AC751=""),"Classification DORA manquante","OK"))))))</f>
        <v/>
      </c>
      <c r="AO751" s="35" t="str">
        <f aca="false">IF($B751="","",IF(AND(C751="Incident",L751&lt;&gt;"Annulé"),1,0))</f>
        <v/>
      </c>
      <c r="AP751" s="35" t="str">
        <f aca="false">IF($B751="","",IF(AND(C751="Quasi-incident",L751&lt;&gt;"Annulé"),1,0))</f>
        <v/>
      </c>
      <c r="AQ751" s="35" t="str">
        <f aca="false">IF($B751="","",AO751+AP751)</f>
        <v/>
      </c>
      <c r="AR751" s="36" t="str">
        <f aca="false">IF(OR($B751="",J751=""),"",IFERROR(VALUE(LEFT(J751,1)),""))</f>
        <v/>
      </c>
      <c r="AS751" s="35" t="str">
        <f aca="false">IF(OR(AO751&lt;&gt;1,G751=""),"",IFERROR(IF(INDEX(L_SrcInterne,MATCH(G751,L_Sources,0))="Oui",1,0),""))</f>
        <v/>
      </c>
      <c r="AT751" s="37" t="str">
        <f aca="false">IF(AO751&lt;&gt;1,"",IFERROR(ROUND(IF(OR(N751="",O751=""),"",IF(O751&lt;N751,"",ROUND(((NETWORKDAYS(N751,O751,JoursFeries)-1)*(HFer-HOuv)+IF(NETWORKDAYS(O751,O751,JoursFeries),MEDIAN(MOD(O751,1),HFer,HOuv),HFer)-IF(NETWORKDAYS(N751,N751,JoursFeries),MEDIAN(MOD(N751,1),HFer,HOuv),HOuv))*24,4)))/HJour,4),""))</f>
        <v/>
      </c>
      <c r="AU751" s="37" t="str">
        <f aca="false">IF(AO751&lt;&gt;1,"",IF(OR(O751="",P751=""),"",IF(P751&lt;O751,"",ROUND(((NETWORKDAYS(O751,P751,JoursFeries)-1)*(HFer-HOuv)+IF(NETWORKDAYS(P751,P751,JoursFeries),MEDIAN(MOD(P751,1),HFer,HOuv),HFer)-IF(NETWORKDAYS(O751,O751,JoursFeries),MEDIAN(MOD(O751,1),HFer,HOuv),HOuv))*24,4))))</f>
        <v/>
      </c>
      <c r="AV751" s="37" t="str">
        <f aca="false">IF(AO751&lt;&gt;1,"",IF(OR(P751="",Q751=""),"",IF(Q751&lt;P751,"",ROUND(((NETWORKDAYS(P751,Q751,JoursFeries)-1)*(HFer-HOuv)+IF(NETWORKDAYS(Q751,Q751,JoursFeries),MEDIAN(MOD(Q751,1),HFer,HOuv),HFer)-IF(NETWORKDAYS(P751,P751,JoursFeries),MEDIAN(MOD(P751,1),HFer,HOuv),HOuv))*24,4))))</f>
        <v/>
      </c>
      <c r="AW751" s="37" t="str">
        <f aca="false">IF(AO751&lt;&gt;1,"",IFERROR(ROUND(IF(OR(P751="",R751=""),"",IF(R751&lt;P751,"",ROUND(((NETWORKDAYS(P751,R751,JoursFeries)-1)*(HFer-HOuv)+IF(NETWORKDAYS(R751,R751,JoursFeries),MEDIAN(MOD(R751,1),HFer,HOuv),HFer)-IF(NETWORKDAYS(P751,P751,JoursFeries),MEDIAN(MOD(P751,1),HFer,HOuv),HOuv))*24,4)))/HJour,4),""))</f>
        <v/>
      </c>
      <c r="AX751" s="37" t="str">
        <f aca="false">IF(AO751&lt;&gt;1,"",IFERROR(ROUND(IF(OR(P751="",S751=""),"",IF(S751&lt;P751,"",ROUND(((NETWORKDAYS(P751,S751,JoursFeries)-1)*(HFer-HOuv)+IF(NETWORKDAYS(S751,S751,JoursFeries),MEDIAN(MOD(S751,1),HFer,HOuv),HFer)-IF(NETWORKDAYS(P751,P751,JoursFeries),MEDIAN(MOD(P751,1),HFer,HOuv),HOuv))*24,4)))/HJour,4),""))</f>
        <v/>
      </c>
      <c r="AY751" s="36" t="str">
        <f aca="false">IF(OR(AO751&lt;&gt;1,AR751=""),"",INDEX(SLA_PEC,AR751))</f>
        <v/>
      </c>
      <c r="AZ751" s="35" t="str">
        <f aca="false">IF(OR(AV751="",AY751=""),"",IF(AV751&lt;=AY751,1,0))</f>
        <v/>
      </c>
      <c r="BA751" s="36" t="str">
        <f aca="false">IF(OR(AO751&lt;&gt;1,AR751=""),"",INDEX(SLA_RES,AR751))</f>
        <v/>
      </c>
      <c r="BB751" s="35" t="str">
        <f aca="false">IF(OR(AW751="",BA751=""),"",IF(AW751&lt;=BA751,1,0))</f>
        <v/>
      </c>
      <c r="BC751" s="38" t="str">
        <f aca="false">IF(OR(BA751="",P751=""),"",WORKDAY(INT(P751),BA751,JoursFeries)+MOD(P751,1))</f>
        <v/>
      </c>
      <c r="BD751" s="39" t="str">
        <f aca="false">IF(AO751&lt;&gt;1,"",IF(OR(AB751&lt;&gt;"",AD751&lt;&gt;""),4,IF(U751&lt;&gt;"",3,IF(T751&lt;&gt;"",2,1))))</f>
        <v/>
      </c>
      <c r="BE751" s="39" t="str">
        <f aca="false">IF(OR(AO751&lt;&gt;1,AR751=""),"",INDEX(NIV_REQ,AR751))</f>
        <v/>
      </c>
      <c r="BF751" s="39" t="str">
        <f aca="false">IF(BE751="","",MAX(BE751,IF(OR(K751="Oui",Z751="Oui"),4,1)))</f>
        <v/>
      </c>
      <c r="BG751" s="35" t="str">
        <f aca="false">IF(OR(BF751="",BD751=""),"",IF(BD751&gt;=BF751,1,0))</f>
        <v/>
      </c>
      <c r="BH751" s="38" t="str">
        <f aca="false">IF(BE751="","",IF(BE751&lt;2,"",IF(BE751=2,IF(AND(T751="",U751=""),"",MIN(T751,U751)),IF(U751="","",U751))))</f>
        <v/>
      </c>
      <c r="BI751" s="37" t="str">
        <f aca="false">IF(BH751="","",IF(OR(O751="",BH751=""),"",IF(BH751&lt;O751,"",ROUND(((NETWORKDAYS(O751,BH751,JoursFeries)-1)*(HFer-HOuv)+IF(NETWORKDAYS(BH751,BH751,JoursFeries),MEDIAN(MOD(BH751,1),HFer,HOuv),HFer)-IF(NETWORKDAYS(O751,O751,JoursFeries),MEDIAN(MOD(O751,1),HFer,HOuv),HOuv))*24,4))))</f>
        <v/>
      </c>
      <c r="BJ751" s="35" t="str">
        <f aca="false">IF(OR(BI751="",AR751=""),"",IF(BI751&lt;=INDEX(DELAI_ESC,AR751),1,0))</f>
        <v/>
      </c>
      <c r="BK751" s="38" t="str">
        <f aca="false">IF(AO751&lt;&gt;1,"",IF(AND(T751="",U751=""),"",MIN(T751,U751)))</f>
        <v/>
      </c>
      <c r="BL751" s="37" t="str">
        <f aca="false">IF(OR(BK751="",R751=""),"",IFERROR(ROUND(IF(OR(BK751="",R751=""),"",IF(R751&lt;BK751,"",ROUND(((NETWORKDAYS(BK751,R751,JoursFeries)-1)*(HFer-HOuv)+IF(NETWORKDAYS(R751,R751,JoursFeries),MEDIAN(MOD(R751,1),HFer,HOuv),HFer)-IF(NETWORKDAYS(BK751,BK751,JoursFeries),MEDIAN(MOD(BK751,1),HFer,HOuv),HOuv))*24,4)))/HJour,4),""))</f>
        <v/>
      </c>
      <c r="BM751" s="35" t="str">
        <f aca="false">IF(OR(AO751&lt;&gt;1,R751=""),"",IF(BD751=1,1,0))</f>
        <v/>
      </c>
      <c r="BN751" s="35" t="str">
        <f aca="false">IF(AO751&lt;&gt;1,"",IF(W751="Oui",1,0))</f>
        <v/>
      </c>
      <c r="BO751" s="35" t="str">
        <f aca="false">IF(AO751&lt;&gt;1,"",IF(X751&lt;&gt;"",1,0))</f>
        <v/>
      </c>
      <c r="BP751" s="35" t="str">
        <f aca="false">IF(AO751&lt;&gt;1,"",IF(Y751="Oui",1,0))</f>
        <v/>
      </c>
      <c r="BQ751" s="35" t="str">
        <f aca="true">IF(OR(AO751&lt;&gt;1,Z751&lt;&gt;"Oui"),"",IF(AB751="",IF(AND(AA751&lt;&gt;"",NOW()&gt;AA751),0,""),IF(AA751="","",IF(AB751&lt;=AA751,1,0))))</f>
        <v/>
      </c>
      <c r="BR751" s="38" t="str">
        <f aca="false">IF(OR(AO751&lt;&gt;1,K751&lt;&gt;"Oui",O751=""),"",IF(AC751="",O751+DORA_H_DET/24,IF(AC751-O751&lt;=DORA_H_DET/24,MIN(AC751+DORA_H_CLA/24,O751+DORA_H_DET/24),AC751+DORA_H_CLA/24)))</f>
        <v/>
      </c>
      <c r="BS751" s="35" t="str">
        <f aca="true">IF(BR751="","",IF(AD751="",IF(NOW()&gt;BR751,0,""),IF(AD751&lt;=BR751,1,0)))</f>
        <v/>
      </c>
      <c r="BT751" s="35" t="str">
        <f aca="true">IF(OR(BR751="",AD751=""),"",IF(AE751="",IF(NOW()&gt;AD751+DORA_H_INT/24,0,""),IF(AE751&lt;=AD751+DORA_H_INT/24,1,0)))</f>
        <v/>
      </c>
      <c r="BU751" s="35" t="str">
        <f aca="true">IF(OR(BR751="",AE751=""),"",IF(AF751="",IF(NOW()&gt;EDATE(AE751,DORA_M_FIN)+1,0,""),IF(AF751&lt;=EDATE(AE751,DORA_M_FIN),1,0)))</f>
        <v/>
      </c>
      <c r="BV751" s="35" t="str">
        <f aca="false">IF(BR751="","",IF(COUNT(BS751:BU751)=0,"",MIN(BS751:BU751)))</f>
        <v/>
      </c>
      <c r="BW751" s="40" t="str">
        <f aca="false">IF(AQ751&lt;&gt;1,"",IF(AND(AG751="",AH751=""),"",N(AG751)-N(AH751)))</f>
        <v/>
      </c>
      <c r="BX751" s="35" t="str">
        <f aca="true">IF(OR(AQ751&lt;&gt;1,AI751&lt;&gt;"Oui",AJ751=""),"",IF(AK751="",IF(NOW()&gt;AJ751+1,0,""),IF(AK751&lt;=AJ751,1,0)))</f>
        <v/>
      </c>
    </row>
    <row r="752" customFormat="false" ht="15" hidden="false" customHeight="false" outlineLevel="0" collapsed="false">
      <c r="B752" s="29"/>
      <c r="C752" s="29"/>
      <c r="D752" s="29"/>
      <c r="E752" s="29"/>
      <c r="F752" s="29"/>
      <c r="G752" s="29"/>
      <c r="H752" s="29"/>
      <c r="I752" s="29"/>
      <c r="J752" s="29"/>
      <c r="K752" s="29"/>
      <c r="L752" s="29"/>
      <c r="M752" s="29"/>
      <c r="N752" s="30"/>
      <c r="O752" s="30"/>
      <c r="P752" s="30"/>
      <c r="Q752" s="30"/>
      <c r="R752" s="30"/>
      <c r="S752" s="30"/>
      <c r="T752" s="30"/>
      <c r="U752" s="30"/>
      <c r="V752" s="31"/>
      <c r="W752" s="29"/>
      <c r="X752" s="29"/>
      <c r="Y752" s="29"/>
      <c r="Z752" s="29"/>
      <c r="AA752" s="30"/>
      <c r="AB752" s="30"/>
      <c r="AC752" s="30"/>
      <c r="AD752" s="30"/>
      <c r="AE752" s="30"/>
      <c r="AF752" s="32"/>
      <c r="AG752" s="33"/>
      <c r="AH752" s="33"/>
      <c r="AI752" s="29"/>
      <c r="AJ752" s="32"/>
      <c r="AK752" s="32"/>
      <c r="AL752" s="29"/>
      <c r="AN752" s="34" t="str">
        <f aca="false">IF($B752="","",IF(OR(C752="",D752="",E752="",G752="",I752="",J752="",L752="",O752="",P752=""),"Champ obligatoire manquant",IF(OR(AND(N752&lt;&gt;"",N752&gt;O752),O752&gt;P752,AND(Q752&lt;&gt;"",Q752&lt;P752),AND(R752&lt;&gt;"",R752&lt;P752),AND(S752&lt;&gt;"",S752&lt;R752),AND(S752&lt;&gt;"",R752=""),AND(T752&lt;&gt;"",T752&lt;O752),AND(U752&lt;&gt;"",U752&lt;O752)),"Chronologie incohérente",IF(AND(OR(L752="Résolu",L752="Clos"),R752=""),"Date de résolution manquante",IF(AND(L752="Clos",S752=""),"Date de clôture manquante",IF(AND(K752="Oui",AC752=""),"Classification DORA manquante","OK"))))))</f>
        <v/>
      </c>
      <c r="AO752" s="35" t="str">
        <f aca="false">IF($B752="","",IF(AND(C752="Incident",L752&lt;&gt;"Annulé"),1,0))</f>
        <v/>
      </c>
      <c r="AP752" s="35" t="str">
        <f aca="false">IF($B752="","",IF(AND(C752="Quasi-incident",L752&lt;&gt;"Annulé"),1,0))</f>
        <v/>
      </c>
      <c r="AQ752" s="35" t="str">
        <f aca="false">IF($B752="","",AO752+AP752)</f>
        <v/>
      </c>
      <c r="AR752" s="36" t="str">
        <f aca="false">IF(OR($B752="",J752=""),"",IFERROR(VALUE(LEFT(J752,1)),""))</f>
        <v/>
      </c>
      <c r="AS752" s="35" t="str">
        <f aca="false">IF(OR(AO752&lt;&gt;1,G752=""),"",IFERROR(IF(INDEX(L_SrcInterne,MATCH(G752,L_Sources,0))="Oui",1,0),""))</f>
        <v/>
      </c>
      <c r="AT752" s="37" t="str">
        <f aca="false">IF(AO752&lt;&gt;1,"",IFERROR(ROUND(IF(OR(N752="",O752=""),"",IF(O752&lt;N752,"",ROUND(((NETWORKDAYS(N752,O752,JoursFeries)-1)*(HFer-HOuv)+IF(NETWORKDAYS(O752,O752,JoursFeries),MEDIAN(MOD(O752,1),HFer,HOuv),HFer)-IF(NETWORKDAYS(N752,N752,JoursFeries),MEDIAN(MOD(N752,1),HFer,HOuv),HOuv))*24,4)))/HJour,4),""))</f>
        <v/>
      </c>
      <c r="AU752" s="37" t="str">
        <f aca="false">IF(AO752&lt;&gt;1,"",IF(OR(O752="",P752=""),"",IF(P752&lt;O752,"",ROUND(((NETWORKDAYS(O752,P752,JoursFeries)-1)*(HFer-HOuv)+IF(NETWORKDAYS(P752,P752,JoursFeries),MEDIAN(MOD(P752,1),HFer,HOuv),HFer)-IF(NETWORKDAYS(O752,O752,JoursFeries),MEDIAN(MOD(O752,1),HFer,HOuv),HOuv))*24,4))))</f>
        <v/>
      </c>
      <c r="AV752" s="37" t="str">
        <f aca="false">IF(AO752&lt;&gt;1,"",IF(OR(P752="",Q752=""),"",IF(Q752&lt;P752,"",ROUND(((NETWORKDAYS(P752,Q752,JoursFeries)-1)*(HFer-HOuv)+IF(NETWORKDAYS(Q752,Q752,JoursFeries),MEDIAN(MOD(Q752,1),HFer,HOuv),HFer)-IF(NETWORKDAYS(P752,P752,JoursFeries),MEDIAN(MOD(P752,1),HFer,HOuv),HOuv))*24,4))))</f>
        <v/>
      </c>
      <c r="AW752" s="37" t="str">
        <f aca="false">IF(AO752&lt;&gt;1,"",IFERROR(ROUND(IF(OR(P752="",R752=""),"",IF(R752&lt;P752,"",ROUND(((NETWORKDAYS(P752,R752,JoursFeries)-1)*(HFer-HOuv)+IF(NETWORKDAYS(R752,R752,JoursFeries),MEDIAN(MOD(R752,1),HFer,HOuv),HFer)-IF(NETWORKDAYS(P752,P752,JoursFeries),MEDIAN(MOD(P752,1),HFer,HOuv),HOuv))*24,4)))/HJour,4),""))</f>
        <v/>
      </c>
      <c r="AX752" s="37" t="str">
        <f aca="false">IF(AO752&lt;&gt;1,"",IFERROR(ROUND(IF(OR(P752="",S752=""),"",IF(S752&lt;P752,"",ROUND(((NETWORKDAYS(P752,S752,JoursFeries)-1)*(HFer-HOuv)+IF(NETWORKDAYS(S752,S752,JoursFeries),MEDIAN(MOD(S752,1),HFer,HOuv),HFer)-IF(NETWORKDAYS(P752,P752,JoursFeries),MEDIAN(MOD(P752,1),HFer,HOuv),HOuv))*24,4)))/HJour,4),""))</f>
        <v/>
      </c>
      <c r="AY752" s="36" t="str">
        <f aca="false">IF(OR(AO752&lt;&gt;1,AR752=""),"",INDEX(SLA_PEC,AR752))</f>
        <v/>
      </c>
      <c r="AZ752" s="35" t="str">
        <f aca="false">IF(OR(AV752="",AY752=""),"",IF(AV752&lt;=AY752,1,0))</f>
        <v/>
      </c>
      <c r="BA752" s="36" t="str">
        <f aca="false">IF(OR(AO752&lt;&gt;1,AR752=""),"",INDEX(SLA_RES,AR752))</f>
        <v/>
      </c>
      <c r="BB752" s="35" t="str">
        <f aca="false">IF(OR(AW752="",BA752=""),"",IF(AW752&lt;=BA752,1,0))</f>
        <v/>
      </c>
      <c r="BC752" s="38" t="str">
        <f aca="false">IF(OR(BA752="",P752=""),"",WORKDAY(INT(P752),BA752,JoursFeries)+MOD(P752,1))</f>
        <v/>
      </c>
      <c r="BD752" s="39" t="str">
        <f aca="false">IF(AO752&lt;&gt;1,"",IF(OR(AB752&lt;&gt;"",AD752&lt;&gt;""),4,IF(U752&lt;&gt;"",3,IF(T752&lt;&gt;"",2,1))))</f>
        <v/>
      </c>
      <c r="BE752" s="39" t="str">
        <f aca="false">IF(OR(AO752&lt;&gt;1,AR752=""),"",INDEX(NIV_REQ,AR752))</f>
        <v/>
      </c>
      <c r="BF752" s="39" t="str">
        <f aca="false">IF(BE752="","",MAX(BE752,IF(OR(K752="Oui",Z752="Oui"),4,1)))</f>
        <v/>
      </c>
      <c r="BG752" s="35" t="str">
        <f aca="false">IF(OR(BF752="",BD752=""),"",IF(BD752&gt;=BF752,1,0))</f>
        <v/>
      </c>
      <c r="BH752" s="38" t="str">
        <f aca="false">IF(BE752="","",IF(BE752&lt;2,"",IF(BE752=2,IF(AND(T752="",U752=""),"",MIN(T752,U752)),IF(U752="","",U752))))</f>
        <v/>
      </c>
      <c r="BI752" s="37" t="str">
        <f aca="false">IF(BH752="","",IF(OR(O752="",BH752=""),"",IF(BH752&lt;O752,"",ROUND(((NETWORKDAYS(O752,BH752,JoursFeries)-1)*(HFer-HOuv)+IF(NETWORKDAYS(BH752,BH752,JoursFeries),MEDIAN(MOD(BH752,1),HFer,HOuv),HFer)-IF(NETWORKDAYS(O752,O752,JoursFeries),MEDIAN(MOD(O752,1),HFer,HOuv),HOuv))*24,4))))</f>
        <v/>
      </c>
      <c r="BJ752" s="35" t="str">
        <f aca="false">IF(OR(BI752="",AR752=""),"",IF(BI752&lt;=INDEX(DELAI_ESC,AR752),1,0))</f>
        <v/>
      </c>
      <c r="BK752" s="38" t="str">
        <f aca="false">IF(AO752&lt;&gt;1,"",IF(AND(T752="",U752=""),"",MIN(T752,U752)))</f>
        <v/>
      </c>
      <c r="BL752" s="37" t="str">
        <f aca="false">IF(OR(BK752="",R752=""),"",IFERROR(ROUND(IF(OR(BK752="",R752=""),"",IF(R752&lt;BK752,"",ROUND(((NETWORKDAYS(BK752,R752,JoursFeries)-1)*(HFer-HOuv)+IF(NETWORKDAYS(R752,R752,JoursFeries),MEDIAN(MOD(R752,1),HFer,HOuv),HFer)-IF(NETWORKDAYS(BK752,BK752,JoursFeries),MEDIAN(MOD(BK752,1),HFer,HOuv),HOuv))*24,4)))/HJour,4),""))</f>
        <v/>
      </c>
      <c r="BM752" s="35" t="str">
        <f aca="false">IF(OR(AO752&lt;&gt;1,R752=""),"",IF(BD752=1,1,0))</f>
        <v/>
      </c>
      <c r="BN752" s="35" t="str">
        <f aca="false">IF(AO752&lt;&gt;1,"",IF(W752="Oui",1,0))</f>
        <v/>
      </c>
      <c r="BO752" s="35" t="str">
        <f aca="false">IF(AO752&lt;&gt;1,"",IF(X752&lt;&gt;"",1,0))</f>
        <v/>
      </c>
      <c r="BP752" s="35" t="str">
        <f aca="false">IF(AO752&lt;&gt;1,"",IF(Y752="Oui",1,0))</f>
        <v/>
      </c>
      <c r="BQ752" s="35" t="str">
        <f aca="true">IF(OR(AO752&lt;&gt;1,Z752&lt;&gt;"Oui"),"",IF(AB752="",IF(AND(AA752&lt;&gt;"",NOW()&gt;AA752),0,""),IF(AA752="","",IF(AB752&lt;=AA752,1,0))))</f>
        <v/>
      </c>
      <c r="BR752" s="38" t="str">
        <f aca="false">IF(OR(AO752&lt;&gt;1,K752&lt;&gt;"Oui",O752=""),"",IF(AC752="",O752+DORA_H_DET/24,IF(AC752-O752&lt;=DORA_H_DET/24,MIN(AC752+DORA_H_CLA/24,O752+DORA_H_DET/24),AC752+DORA_H_CLA/24)))</f>
        <v/>
      </c>
      <c r="BS752" s="35" t="str">
        <f aca="true">IF(BR752="","",IF(AD752="",IF(NOW()&gt;BR752,0,""),IF(AD752&lt;=BR752,1,0)))</f>
        <v/>
      </c>
      <c r="BT752" s="35" t="str">
        <f aca="true">IF(OR(BR752="",AD752=""),"",IF(AE752="",IF(NOW()&gt;AD752+DORA_H_INT/24,0,""),IF(AE752&lt;=AD752+DORA_H_INT/24,1,0)))</f>
        <v/>
      </c>
      <c r="BU752" s="35" t="str">
        <f aca="true">IF(OR(BR752="",AE752=""),"",IF(AF752="",IF(NOW()&gt;EDATE(AE752,DORA_M_FIN)+1,0,""),IF(AF752&lt;=EDATE(AE752,DORA_M_FIN),1,0)))</f>
        <v/>
      </c>
      <c r="BV752" s="35" t="str">
        <f aca="false">IF(BR752="","",IF(COUNT(BS752:BU752)=0,"",MIN(BS752:BU752)))</f>
        <v/>
      </c>
      <c r="BW752" s="40" t="str">
        <f aca="false">IF(AQ752&lt;&gt;1,"",IF(AND(AG752="",AH752=""),"",N(AG752)-N(AH752)))</f>
        <v/>
      </c>
      <c r="BX752" s="35" t="str">
        <f aca="true">IF(OR(AQ752&lt;&gt;1,AI752&lt;&gt;"Oui",AJ752=""),"",IF(AK752="",IF(NOW()&gt;AJ752+1,0,""),IF(AK752&lt;=AJ752,1,0)))</f>
        <v/>
      </c>
    </row>
    <row r="753" customFormat="false" ht="15" hidden="false" customHeight="false" outlineLevel="0" collapsed="false">
      <c r="B753" s="29"/>
      <c r="C753" s="29"/>
      <c r="D753" s="29"/>
      <c r="E753" s="29"/>
      <c r="F753" s="29"/>
      <c r="G753" s="29"/>
      <c r="H753" s="29"/>
      <c r="I753" s="29"/>
      <c r="J753" s="29"/>
      <c r="K753" s="29"/>
      <c r="L753" s="29"/>
      <c r="M753" s="29"/>
      <c r="N753" s="30"/>
      <c r="O753" s="30"/>
      <c r="P753" s="30"/>
      <c r="Q753" s="30"/>
      <c r="R753" s="30"/>
      <c r="S753" s="30"/>
      <c r="T753" s="30"/>
      <c r="U753" s="30"/>
      <c r="V753" s="31"/>
      <c r="W753" s="29"/>
      <c r="X753" s="29"/>
      <c r="Y753" s="29"/>
      <c r="Z753" s="29"/>
      <c r="AA753" s="30"/>
      <c r="AB753" s="30"/>
      <c r="AC753" s="30"/>
      <c r="AD753" s="30"/>
      <c r="AE753" s="30"/>
      <c r="AF753" s="32"/>
      <c r="AG753" s="33"/>
      <c r="AH753" s="33"/>
      <c r="AI753" s="29"/>
      <c r="AJ753" s="32"/>
      <c r="AK753" s="32"/>
      <c r="AL753" s="29"/>
      <c r="AN753" s="34" t="str">
        <f aca="false">IF($B753="","",IF(OR(C753="",D753="",E753="",G753="",I753="",J753="",L753="",O753="",P753=""),"Champ obligatoire manquant",IF(OR(AND(N753&lt;&gt;"",N753&gt;O753),O753&gt;P753,AND(Q753&lt;&gt;"",Q753&lt;P753),AND(R753&lt;&gt;"",R753&lt;P753),AND(S753&lt;&gt;"",S753&lt;R753),AND(S753&lt;&gt;"",R753=""),AND(T753&lt;&gt;"",T753&lt;O753),AND(U753&lt;&gt;"",U753&lt;O753)),"Chronologie incohérente",IF(AND(OR(L753="Résolu",L753="Clos"),R753=""),"Date de résolution manquante",IF(AND(L753="Clos",S753=""),"Date de clôture manquante",IF(AND(K753="Oui",AC753=""),"Classification DORA manquante","OK"))))))</f>
        <v/>
      </c>
      <c r="AO753" s="35" t="str">
        <f aca="false">IF($B753="","",IF(AND(C753="Incident",L753&lt;&gt;"Annulé"),1,0))</f>
        <v/>
      </c>
      <c r="AP753" s="35" t="str">
        <f aca="false">IF($B753="","",IF(AND(C753="Quasi-incident",L753&lt;&gt;"Annulé"),1,0))</f>
        <v/>
      </c>
      <c r="AQ753" s="35" t="str">
        <f aca="false">IF($B753="","",AO753+AP753)</f>
        <v/>
      </c>
      <c r="AR753" s="36" t="str">
        <f aca="false">IF(OR($B753="",J753=""),"",IFERROR(VALUE(LEFT(J753,1)),""))</f>
        <v/>
      </c>
      <c r="AS753" s="35" t="str">
        <f aca="false">IF(OR(AO753&lt;&gt;1,G753=""),"",IFERROR(IF(INDEX(L_SrcInterne,MATCH(G753,L_Sources,0))="Oui",1,0),""))</f>
        <v/>
      </c>
      <c r="AT753" s="37" t="str">
        <f aca="false">IF(AO753&lt;&gt;1,"",IFERROR(ROUND(IF(OR(N753="",O753=""),"",IF(O753&lt;N753,"",ROUND(((NETWORKDAYS(N753,O753,JoursFeries)-1)*(HFer-HOuv)+IF(NETWORKDAYS(O753,O753,JoursFeries),MEDIAN(MOD(O753,1),HFer,HOuv),HFer)-IF(NETWORKDAYS(N753,N753,JoursFeries),MEDIAN(MOD(N753,1),HFer,HOuv),HOuv))*24,4)))/HJour,4),""))</f>
        <v/>
      </c>
      <c r="AU753" s="37" t="str">
        <f aca="false">IF(AO753&lt;&gt;1,"",IF(OR(O753="",P753=""),"",IF(P753&lt;O753,"",ROUND(((NETWORKDAYS(O753,P753,JoursFeries)-1)*(HFer-HOuv)+IF(NETWORKDAYS(P753,P753,JoursFeries),MEDIAN(MOD(P753,1),HFer,HOuv),HFer)-IF(NETWORKDAYS(O753,O753,JoursFeries),MEDIAN(MOD(O753,1),HFer,HOuv),HOuv))*24,4))))</f>
        <v/>
      </c>
      <c r="AV753" s="37" t="str">
        <f aca="false">IF(AO753&lt;&gt;1,"",IF(OR(P753="",Q753=""),"",IF(Q753&lt;P753,"",ROUND(((NETWORKDAYS(P753,Q753,JoursFeries)-1)*(HFer-HOuv)+IF(NETWORKDAYS(Q753,Q753,JoursFeries),MEDIAN(MOD(Q753,1),HFer,HOuv),HFer)-IF(NETWORKDAYS(P753,P753,JoursFeries),MEDIAN(MOD(P753,1),HFer,HOuv),HOuv))*24,4))))</f>
        <v/>
      </c>
      <c r="AW753" s="37" t="str">
        <f aca="false">IF(AO753&lt;&gt;1,"",IFERROR(ROUND(IF(OR(P753="",R753=""),"",IF(R753&lt;P753,"",ROUND(((NETWORKDAYS(P753,R753,JoursFeries)-1)*(HFer-HOuv)+IF(NETWORKDAYS(R753,R753,JoursFeries),MEDIAN(MOD(R753,1),HFer,HOuv),HFer)-IF(NETWORKDAYS(P753,P753,JoursFeries),MEDIAN(MOD(P753,1),HFer,HOuv),HOuv))*24,4)))/HJour,4),""))</f>
        <v/>
      </c>
      <c r="AX753" s="37" t="str">
        <f aca="false">IF(AO753&lt;&gt;1,"",IFERROR(ROUND(IF(OR(P753="",S753=""),"",IF(S753&lt;P753,"",ROUND(((NETWORKDAYS(P753,S753,JoursFeries)-1)*(HFer-HOuv)+IF(NETWORKDAYS(S753,S753,JoursFeries),MEDIAN(MOD(S753,1),HFer,HOuv),HFer)-IF(NETWORKDAYS(P753,P753,JoursFeries),MEDIAN(MOD(P753,1),HFer,HOuv),HOuv))*24,4)))/HJour,4),""))</f>
        <v/>
      </c>
      <c r="AY753" s="36" t="str">
        <f aca="false">IF(OR(AO753&lt;&gt;1,AR753=""),"",INDEX(SLA_PEC,AR753))</f>
        <v/>
      </c>
      <c r="AZ753" s="35" t="str">
        <f aca="false">IF(OR(AV753="",AY753=""),"",IF(AV753&lt;=AY753,1,0))</f>
        <v/>
      </c>
      <c r="BA753" s="36" t="str">
        <f aca="false">IF(OR(AO753&lt;&gt;1,AR753=""),"",INDEX(SLA_RES,AR753))</f>
        <v/>
      </c>
      <c r="BB753" s="35" t="str">
        <f aca="false">IF(OR(AW753="",BA753=""),"",IF(AW753&lt;=BA753,1,0))</f>
        <v/>
      </c>
      <c r="BC753" s="38" t="str">
        <f aca="false">IF(OR(BA753="",P753=""),"",WORKDAY(INT(P753),BA753,JoursFeries)+MOD(P753,1))</f>
        <v/>
      </c>
      <c r="BD753" s="39" t="str">
        <f aca="false">IF(AO753&lt;&gt;1,"",IF(OR(AB753&lt;&gt;"",AD753&lt;&gt;""),4,IF(U753&lt;&gt;"",3,IF(T753&lt;&gt;"",2,1))))</f>
        <v/>
      </c>
      <c r="BE753" s="39" t="str">
        <f aca="false">IF(OR(AO753&lt;&gt;1,AR753=""),"",INDEX(NIV_REQ,AR753))</f>
        <v/>
      </c>
      <c r="BF753" s="39" t="str">
        <f aca="false">IF(BE753="","",MAX(BE753,IF(OR(K753="Oui",Z753="Oui"),4,1)))</f>
        <v/>
      </c>
      <c r="BG753" s="35" t="str">
        <f aca="false">IF(OR(BF753="",BD753=""),"",IF(BD753&gt;=BF753,1,0))</f>
        <v/>
      </c>
      <c r="BH753" s="38" t="str">
        <f aca="false">IF(BE753="","",IF(BE753&lt;2,"",IF(BE753=2,IF(AND(T753="",U753=""),"",MIN(T753,U753)),IF(U753="","",U753))))</f>
        <v/>
      </c>
      <c r="BI753" s="37" t="str">
        <f aca="false">IF(BH753="","",IF(OR(O753="",BH753=""),"",IF(BH753&lt;O753,"",ROUND(((NETWORKDAYS(O753,BH753,JoursFeries)-1)*(HFer-HOuv)+IF(NETWORKDAYS(BH753,BH753,JoursFeries),MEDIAN(MOD(BH753,1),HFer,HOuv),HFer)-IF(NETWORKDAYS(O753,O753,JoursFeries),MEDIAN(MOD(O753,1),HFer,HOuv),HOuv))*24,4))))</f>
        <v/>
      </c>
      <c r="BJ753" s="35" t="str">
        <f aca="false">IF(OR(BI753="",AR753=""),"",IF(BI753&lt;=INDEX(DELAI_ESC,AR753),1,0))</f>
        <v/>
      </c>
      <c r="BK753" s="38" t="str">
        <f aca="false">IF(AO753&lt;&gt;1,"",IF(AND(T753="",U753=""),"",MIN(T753,U753)))</f>
        <v/>
      </c>
      <c r="BL753" s="37" t="str">
        <f aca="false">IF(OR(BK753="",R753=""),"",IFERROR(ROUND(IF(OR(BK753="",R753=""),"",IF(R753&lt;BK753,"",ROUND(((NETWORKDAYS(BK753,R753,JoursFeries)-1)*(HFer-HOuv)+IF(NETWORKDAYS(R753,R753,JoursFeries),MEDIAN(MOD(R753,1),HFer,HOuv),HFer)-IF(NETWORKDAYS(BK753,BK753,JoursFeries),MEDIAN(MOD(BK753,1),HFer,HOuv),HOuv))*24,4)))/HJour,4),""))</f>
        <v/>
      </c>
      <c r="BM753" s="35" t="str">
        <f aca="false">IF(OR(AO753&lt;&gt;1,R753=""),"",IF(BD753=1,1,0))</f>
        <v/>
      </c>
      <c r="BN753" s="35" t="str">
        <f aca="false">IF(AO753&lt;&gt;1,"",IF(W753="Oui",1,0))</f>
        <v/>
      </c>
      <c r="BO753" s="35" t="str">
        <f aca="false">IF(AO753&lt;&gt;1,"",IF(X753&lt;&gt;"",1,0))</f>
        <v/>
      </c>
      <c r="BP753" s="35" t="str">
        <f aca="false">IF(AO753&lt;&gt;1,"",IF(Y753="Oui",1,0))</f>
        <v/>
      </c>
      <c r="BQ753" s="35" t="str">
        <f aca="true">IF(OR(AO753&lt;&gt;1,Z753&lt;&gt;"Oui"),"",IF(AB753="",IF(AND(AA753&lt;&gt;"",NOW()&gt;AA753),0,""),IF(AA753="","",IF(AB753&lt;=AA753,1,0))))</f>
        <v/>
      </c>
      <c r="BR753" s="38" t="str">
        <f aca="false">IF(OR(AO753&lt;&gt;1,K753&lt;&gt;"Oui",O753=""),"",IF(AC753="",O753+DORA_H_DET/24,IF(AC753-O753&lt;=DORA_H_DET/24,MIN(AC753+DORA_H_CLA/24,O753+DORA_H_DET/24),AC753+DORA_H_CLA/24)))</f>
        <v/>
      </c>
      <c r="BS753" s="35" t="str">
        <f aca="true">IF(BR753="","",IF(AD753="",IF(NOW()&gt;BR753,0,""),IF(AD753&lt;=BR753,1,0)))</f>
        <v/>
      </c>
      <c r="BT753" s="35" t="str">
        <f aca="true">IF(OR(BR753="",AD753=""),"",IF(AE753="",IF(NOW()&gt;AD753+DORA_H_INT/24,0,""),IF(AE753&lt;=AD753+DORA_H_INT/24,1,0)))</f>
        <v/>
      </c>
      <c r="BU753" s="35" t="str">
        <f aca="true">IF(OR(BR753="",AE753=""),"",IF(AF753="",IF(NOW()&gt;EDATE(AE753,DORA_M_FIN)+1,0,""),IF(AF753&lt;=EDATE(AE753,DORA_M_FIN),1,0)))</f>
        <v/>
      </c>
      <c r="BV753" s="35" t="str">
        <f aca="false">IF(BR753="","",IF(COUNT(BS753:BU753)=0,"",MIN(BS753:BU753)))</f>
        <v/>
      </c>
      <c r="BW753" s="40" t="str">
        <f aca="false">IF(AQ753&lt;&gt;1,"",IF(AND(AG753="",AH753=""),"",N(AG753)-N(AH753)))</f>
        <v/>
      </c>
      <c r="BX753" s="35" t="str">
        <f aca="true">IF(OR(AQ753&lt;&gt;1,AI753&lt;&gt;"Oui",AJ753=""),"",IF(AK753="",IF(NOW()&gt;AJ753+1,0,""),IF(AK753&lt;=AJ753,1,0)))</f>
        <v/>
      </c>
    </row>
    <row r="754" customFormat="false" ht="15" hidden="false" customHeight="false" outlineLevel="0" collapsed="false">
      <c r="B754" s="29"/>
      <c r="C754" s="29"/>
      <c r="D754" s="29"/>
      <c r="E754" s="29"/>
      <c r="F754" s="29"/>
      <c r="G754" s="29"/>
      <c r="H754" s="29"/>
      <c r="I754" s="29"/>
      <c r="J754" s="29"/>
      <c r="K754" s="29"/>
      <c r="L754" s="29"/>
      <c r="M754" s="29"/>
      <c r="N754" s="30"/>
      <c r="O754" s="30"/>
      <c r="P754" s="30"/>
      <c r="Q754" s="30"/>
      <c r="R754" s="30"/>
      <c r="S754" s="30"/>
      <c r="T754" s="30"/>
      <c r="U754" s="30"/>
      <c r="V754" s="31"/>
      <c r="W754" s="29"/>
      <c r="X754" s="29"/>
      <c r="Y754" s="29"/>
      <c r="Z754" s="29"/>
      <c r="AA754" s="30"/>
      <c r="AB754" s="30"/>
      <c r="AC754" s="30"/>
      <c r="AD754" s="30"/>
      <c r="AE754" s="30"/>
      <c r="AF754" s="32"/>
      <c r="AG754" s="33"/>
      <c r="AH754" s="33"/>
      <c r="AI754" s="29"/>
      <c r="AJ754" s="32"/>
      <c r="AK754" s="32"/>
      <c r="AL754" s="29"/>
      <c r="AN754" s="34" t="str">
        <f aca="false">IF($B754="","",IF(OR(C754="",D754="",E754="",G754="",I754="",J754="",L754="",O754="",P754=""),"Champ obligatoire manquant",IF(OR(AND(N754&lt;&gt;"",N754&gt;O754),O754&gt;P754,AND(Q754&lt;&gt;"",Q754&lt;P754),AND(R754&lt;&gt;"",R754&lt;P754),AND(S754&lt;&gt;"",S754&lt;R754),AND(S754&lt;&gt;"",R754=""),AND(T754&lt;&gt;"",T754&lt;O754),AND(U754&lt;&gt;"",U754&lt;O754)),"Chronologie incohérente",IF(AND(OR(L754="Résolu",L754="Clos"),R754=""),"Date de résolution manquante",IF(AND(L754="Clos",S754=""),"Date de clôture manquante",IF(AND(K754="Oui",AC754=""),"Classification DORA manquante","OK"))))))</f>
        <v/>
      </c>
      <c r="AO754" s="35" t="str">
        <f aca="false">IF($B754="","",IF(AND(C754="Incident",L754&lt;&gt;"Annulé"),1,0))</f>
        <v/>
      </c>
      <c r="AP754" s="35" t="str">
        <f aca="false">IF($B754="","",IF(AND(C754="Quasi-incident",L754&lt;&gt;"Annulé"),1,0))</f>
        <v/>
      </c>
      <c r="AQ754" s="35" t="str">
        <f aca="false">IF($B754="","",AO754+AP754)</f>
        <v/>
      </c>
      <c r="AR754" s="36" t="str">
        <f aca="false">IF(OR($B754="",J754=""),"",IFERROR(VALUE(LEFT(J754,1)),""))</f>
        <v/>
      </c>
      <c r="AS754" s="35" t="str">
        <f aca="false">IF(OR(AO754&lt;&gt;1,G754=""),"",IFERROR(IF(INDEX(L_SrcInterne,MATCH(G754,L_Sources,0))="Oui",1,0),""))</f>
        <v/>
      </c>
      <c r="AT754" s="37" t="str">
        <f aca="false">IF(AO754&lt;&gt;1,"",IFERROR(ROUND(IF(OR(N754="",O754=""),"",IF(O754&lt;N754,"",ROUND(((NETWORKDAYS(N754,O754,JoursFeries)-1)*(HFer-HOuv)+IF(NETWORKDAYS(O754,O754,JoursFeries),MEDIAN(MOD(O754,1),HFer,HOuv),HFer)-IF(NETWORKDAYS(N754,N754,JoursFeries),MEDIAN(MOD(N754,1),HFer,HOuv),HOuv))*24,4)))/HJour,4),""))</f>
        <v/>
      </c>
      <c r="AU754" s="37" t="str">
        <f aca="false">IF(AO754&lt;&gt;1,"",IF(OR(O754="",P754=""),"",IF(P754&lt;O754,"",ROUND(((NETWORKDAYS(O754,P754,JoursFeries)-1)*(HFer-HOuv)+IF(NETWORKDAYS(P754,P754,JoursFeries),MEDIAN(MOD(P754,1),HFer,HOuv),HFer)-IF(NETWORKDAYS(O754,O754,JoursFeries),MEDIAN(MOD(O754,1),HFer,HOuv),HOuv))*24,4))))</f>
        <v/>
      </c>
      <c r="AV754" s="37" t="str">
        <f aca="false">IF(AO754&lt;&gt;1,"",IF(OR(P754="",Q754=""),"",IF(Q754&lt;P754,"",ROUND(((NETWORKDAYS(P754,Q754,JoursFeries)-1)*(HFer-HOuv)+IF(NETWORKDAYS(Q754,Q754,JoursFeries),MEDIAN(MOD(Q754,1),HFer,HOuv),HFer)-IF(NETWORKDAYS(P754,P754,JoursFeries),MEDIAN(MOD(P754,1),HFer,HOuv),HOuv))*24,4))))</f>
        <v/>
      </c>
      <c r="AW754" s="37" t="str">
        <f aca="false">IF(AO754&lt;&gt;1,"",IFERROR(ROUND(IF(OR(P754="",R754=""),"",IF(R754&lt;P754,"",ROUND(((NETWORKDAYS(P754,R754,JoursFeries)-1)*(HFer-HOuv)+IF(NETWORKDAYS(R754,R754,JoursFeries),MEDIAN(MOD(R754,1),HFer,HOuv),HFer)-IF(NETWORKDAYS(P754,P754,JoursFeries),MEDIAN(MOD(P754,1),HFer,HOuv),HOuv))*24,4)))/HJour,4),""))</f>
        <v/>
      </c>
      <c r="AX754" s="37" t="str">
        <f aca="false">IF(AO754&lt;&gt;1,"",IFERROR(ROUND(IF(OR(P754="",S754=""),"",IF(S754&lt;P754,"",ROUND(((NETWORKDAYS(P754,S754,JoursFeries)-1)*(HFer-HOuv)+IF(NETWORKDAYS(S754,S754,JoursFeries),MEDIAN(MOD(S754,1),HFer,HOuv),HFer)-IF(NETWORKDAYS(P754,P754,JoursFeries),MEDIAN(MOD(P754,1),HFer,HOuv),HOuv))*24,4)))/HJour,4),""))</f>
        <v/>
      </c>
      <c r="AY754" s="36" t="str">
        <f aca="false">IF(OR(AO754&lt;&gt;1,AR754=""),"",INDEX(SLA_PEC,AR754))</f>
        <v/>
      </c>
      <c r="AZ754" s="35" t="str">
        <f aca="false">IF(OR(AV754="",AY754=""),"",IF(AV754&lt;=AY754,1,0))</f>
        <v/>
      </c>
      <c r="BA754" s="36" t="str">
        <f aca="false">IF(OR(AO754&lt;&gt;1,AR754=""),"",INDEX(SLA_RES,AR754))</f>
        <v/>
      </c>
      <c r="BB754" s="35" t="str">
        <f aca="false">IF(OR(AW754="",BA754=""),"",IF(AW754&lt;=BA754,1,0))</f>
        <v/>
      </c>
      <c r="BC754" s="38" t="str">
        <f aca="false">IF(OR(BA754="",P754=""),"",WORKDAY(INT(P754),BA754,JoursFeries)+MOD(P754,1))</f>
        <v/>
      </c>
      <c r="BD754" s="39" t="str">
        <f aca="false">IF(AO754&lt;&gt;1,"",IF(OR(AB754&lt;&gt;"",AD754&lt;&gt;""),4,IF(U754&lt;&gt;"",3,IF(T754&lt;&gt;"",2,1))))</f>
        <v/>
      </c>
      <c r="BE754" s="39" t="str">
        <f aca="false">IF(OR(AO754&lt;&gt;1,AR754=""),"",INDEX(NIV_REQ,AR754))</f>
        <v/>
      </c>
      <c r="BF754" s="39" t="str">
        <f aca="false">IF(BE754="","",MAX(BE754,IF(OR(K754="Oui",Z754="Oui"),4,1)))</f>
        <v/>
      </c>
      <c r="BG754" s="35" t="str">
        <f aca="false">IF(OR(BF754="",BD754=""),"",IF(BD754&gt;=BF754,1,0))</f>
        <v/>
      </c>
      <c r="BH754" s="38" t="str">
        <f aca="false">IF(BE754="","",IF(BE754&lt;2,"",IF(BE754=2,IF(AND(T754="",U754=""),"",MIN(T754,U754)),IF(U754="","",U754))))</f>
        <v/>
      </c>
      <c r="BI754" s="37" t="str">
        <f aca="false">IF(BH754="","",IF(OR(O754="",BH754=""),"",IF(BH754&lt;O754,"",ROUND(((NETWORKDAYS(O754,BH754,JoursFeries)-1)*(HFer-HOuv)+IF(NETWORKDAYS(BH754,BH754,JoursFeries),MEDIAN(MOD(BH754,1),HFer,HOuv),HFer)-IF(NETWORKDAYS(O754,O754,JoursFeries),MEDIAN(MOD(O754,1),HFer,HOuv),HOuv))*24,4))))</f>
        <v/>
      </c>
      <c r="BJ754" s="35" t="str">
        <f aca="false">IF(OR(BI754="",AR754=""),"",IF(BI754&lt;=INDEX(DELAI_ESC,AR754),1,0))</f>
        <v/>
      </c>
      <c r="BK754" s="38" t="str">
        <f aca="false">IF(AO754&lt;&gt;1,"",IF(AND(T754="",U754=""),"",MIN(T754,U754)))</f>
        <v/>
      </c>
      <c r="BL754" s="37" t="str">
        <f aca="false">IF(OR(BK754="",R754=""),"",IFERROR(ROUND(IF(OR(BK754="",R754=""),"",IF(R754&lt;BK754,"",ROUND(((NETWORKDAYS(BK754,R754,JoursFeries)-1)*(HFer-HOuv)+IF(NETWORKDAYS(R754,R754,JoursFeries),MEDIAN(MOD(R754,1),HFer,HOuv),HFer)-IF(NETWORKDAYS(BK754,BK754,JoursFeries),MEDIAN(MOD(BK754,1),HFer,HOuv),HOuv))*24,4)))/HJour,4),""))</f>
        <v/>
      </c>
      <c r="BM754" s="35" t="str">
        <f aca="false">IF(OR(AO754&lt;&gt;1,R754=""),"",IF(BD754=1,1,0))</f>
        <v/>
      </c>
      <c r="BN754" s="35" t="str">
        <f aca="false">IF(AO754&lt;&gt;1,"",IF(W754="Oui",1,0))</f>
        <v/>
      </c>
      <c r="BO754" s="35" t="str">
        <f aca="false">IF(AO754&lt;&gt;1,"",IF(X754&lt;&gt;"",1,0))</f>
        <v/>
      </c>
      <c r="BP754" s="35" t="str">
        <f aca="false">IF(AO754&lt;&gt;1,"",IF(Y754="Oui",1,0))</f>
        <v/>
      </c>
      <c r="BQ754" s="35" t="str">
        <f aca="true">IF(OR(AO754&lt;&gt;1,Z754&lt;&gt;"Oui"),"",IF(AB754="",IF(AND(AA754&lt;&gt;"",NOW()&gt;AA754),0,""),IF(AA754="","",IF(AB754&lt;=AA754,1,0))))</f>
        <v/>
      </c>
      <c r="BR754" s="38" t="str">
        <f aca="false">IF(OR(AO754&lt;&gt;1,K754&lt;&gt;"Oui",O754=""),"",IF(AC754="",O754+DORA_H_DET/24,IF(AC754-O754&lt;=DORA_H_DET/24,MIN(AC754+DORA_H_CLA/24,O754+DORA_H_DET/24),AC754+DORA_H_CLA/24)))</f>
        <v/>
      </c>
      <c r="BS754" s="35" t="str">
        <f aca="true">IF(BR754="","",IF(AD754="",IF(NOW()&gt;BR754,0,""),IF(AD754&lt;=BR754,1,0)))</f>
        <v/>
      </c>
      <c r="BT754" s="35" t="str">
        <f aca="true">IF(OR(BR754="",AD754=""),"",IF(AE754="",IF(NOW()&gt;AD754+DORA_H_INT/24,0,""),IF(AE754&lt;=AD754+DORA_H_INT/24,1,0)))</f>
        <v/>
      </c>
      <c r="BU754" s="35" t="str">
        <f aca="true">IF(OR(BR754="",AE754=""),"",IF(AF754="",IF(NOW()&gt;EDATE(AE754,DORA_M_FIN)+1,0,""),IF(AF754&lt;=EDATE(AE754,DORA_M_FIN),1,0)))</f>
        <v/>
      </c>
      <c r="BV754" s="35" t="str">
        <f aca="false">IF(BR754="","",IF(COUNT(BS754:BU754)=0,"",MIN(BS754:BU754)))</f>
        <v/>
      </c>
      <c r="BW754" s="40" t="str">
        <f aca="false">IF(AQ754&lt;&gt;1,"",IF(AND(AG754="",AH754=""),"",N(AG754)-N(AH754)))</f>
        <v/>
      </c>
      <c r="BX754" s="35" t="str">
        <f aca="true">IF(OR(AQ754&lt;&gt;1,AI754&lt;&gt;"Oui",AJ754=""),"",IF(AK754="",IF(NOW()&gt;AJ754+1,0,""),IF(AK754&lt;=AJ754,1,0)))</f>
        <v/>
      </c>
    </row>
    <row r="755" customFormat="false" ht="15" hidden="false" customHeight="false" outlineLevel="0" collapsed="false">
      <c r="B755" s="29"/>
      <c r="C755" s="29"/>
      <c r="D755" s="29"/>
      <c r="E755" s="29"/>
      <c r="F755" s="29"/>
      <c r="G755" s="29"/>
      <c r="H755" s="29"/>
      <c r="I755" s="29"/>
      <c r="J755" s="29"/>
      <c r="K755" s="29"/>
      <c r="L755" s="29"/>
      <c r="M755" s="29"/>
      <c r="N755" s="30"/>
      <c r="O755" s="30"/>
      <c r="P755" s="30"/>
      <c r="Q755" s="30"/>
      <c r="R755" s="30"/>
      <c r="S755" s="30"/>
      <c r="T755" s="30"/>
      <c r="U755" s="30"/>
      <c r="V755" s="31"/>
      <c r="W755" s="29"/>
      <c r="X755" s="29"/>
      <c r="Y755" s="29"/>
      <c r="Z755" s="29"/>
      <c r="AA755" s="30"/>
      <c r="AB755" s="30"/>
      <c r="AC755" s="30"/>
      <c r="AD755" s="30"/>
      <c r="AE755" s="30"/>
      <c r="AF755" s="32"/>
      <c r="AG755" s="33"/>
      <c r="AH755" s="33"/>
      <c r="AI755" s="29"/>
      <c r="AJ755" s="32"/>
      <c r="AK755" s="32"/>
      <c r="AL755" s="29"/>
      <c r="AN755" s="34" t="str">
        <f aca="false">IF($B755="","",IF(OR(C755="",D755="",E755="",G755="",I755="",J755="",L755="",O755="",P755=""),"Champ obligatoire manquant",IF(OR(AND(N755&lt;&gt;"",N755&gt;O755),O755&gt;P755,AND(Q755&lt;&gt;"",Q755&lt;P755),AND(R755&lt;&gt;"",R755&lt;P755),AND(S755&lt;&gt;"",S755&lt;R755),AND(S755&lt;&gt;"",R755=""),AND(T755&lt;&gt;"",T755&lt;O755),AND(U755&lt;&gt;"",U755&lt;O755)),"Chronologie incohérente",IF(AND(OR(L755="Résolu",L755="Clos"),R755=""),"Date de résolution manquante",IF(AND(L755="Clos",S755=""),"Date de clôture manquante",IF(AND(K755="Oui",AC755=""),"Classification DORA manquante","OK"))))))</f>
        <v/>
      </c>
      <c r="AO755" s="35" t="str">
        <f aca="false">IF($B755="","",IF(AND(C755="Incident",L755&lt;&gt;"Annulé"),1,0))</f>
        <v/>
      </c>
      <c r="AP755" s="35" t="str">
        <f aca="false">IF($B755="","",IF(AND(C755="Quasi-incident",L755&lt;&gt;"Annulé"),1,0))</f>
        <v/>
      </c>
      <c r="AQ755" s="35" t="str">
        <f aca="false">IF($B755="","",AO755+AP755)</f>
        <v/>
      </c>
      <c r="AR755" s="36" t="str">
        <f aca="false">IF(OR($B755="",J755=""),"",IFERROR(VALUE(LEFT(J755,1)),""))</f>
        <v/>
      </c>
      <c r="AS755" s="35" t="str">
        <f aca="false">IF(OR(AO755&lt;&gt;1,G755=""),"",IFERROR(IF(INDEX(L_SrcInterne,MATCH(G755,L_Sources,0))="Oui",1,0),""))</f>
        <v/>
      </c>
      <c r="AT755" s="37" t="str">
        <f aca="false">IF(AO755&lt;&gt;1,"",IFERROR(ROUND(IF(OR(N755="",O755=""),"",IF(O755&lt;N755,"",ROUND(((NETWORKDAYS(N755,O755,JoursFeries)-1)*(HFer-HOuv)+IF(NETWORKDAYS(O755,O755,JoursFeries),MEDIAN(MOD(O755,1),HFer,HOuv),HFer)-IF(NETWORKDAYS(N755,N755,JoursFeries),MEDIAN(MOD(N755,1),HFer,HOuv),HOuv))*24,4)))/HJour,4),""))</f>
        <v/>
      </c>
      <c r="AU755" s="37" t="str">
        <f aca="false">IF(AO755&lt;&gt;1,"",IF(OR(O755="",P755=""),"",IF(P755&lt;O755,"",ROUND(((NETWORKDAYS(O755,P755,JoursFeries)-1)*(HFer-HOuv)+IF(NETWORKDAYS(P755,P755,JoursFeries),MEDIAN(MOD(P755,1),HFer,HOuv),HFer)-IF(NETWORKDAYS(O755,O755,JoursFeries),MEDIAN(MOD(O755,1),HFer,HOuv),HOuv))*24,4))))</f>
        <v/>
      </c>
      <c r="AV755" s="37" t="str">
        <f aca="false">IF(AO755&lt;&gt;1,"",IF(OR(P755="",Q755=""),"",IF(Q755&lt;P755,"",ROUND(((NETWORKDAYS(P755,Q755,JoursFeries)-1)*(HFer-HOuv)+IF(NETWORKDAYS(Q755,Q755,JoursFeries),MEDIAN(MOD(Q755,1),HFer,HOuv),HFer)-IF(NETWORKDAYS(P755,P755,JoursFeries),MEDIAN(MOD(P755,1),HFer,HOuv),HOuv))*24,4))))</f>
        <v/>
      </c>
      <c r="AW755" s="37" t="str">
        <f aca="false">IF(AO755&lt;&gt;1,"",IFERROR(ROUND(IF(OR(P755="",R755=""),"",IF(R755&lt;P755,"",ROUND(((NETWORKDAYS(P755,R755,JoursFeries)-1)*(HFer-HOuv)+IF(NETWORKDAYS(R755,R755,JoursFeries),MEDIAN(MOD(R755,1),HFer,HOuv),HFer)-IF(NETWORKDAYS(P755,P755,JoursFeries),MEDIAN(MOD(P755,1),HFer,HOuv),HOuv))*24,4)))/HJour,4),""))</f>
        <v/>
      </c>
      <c r="AX755" s="37" t="str">
        <f aca="false">IF(AO755&lt;&gt;1,"",IFERROR(ROUND(IF(OR(P755="",S755=""),"",IF(S755&lt;P755,"",ROUND(((NETWORKDAYS(P755,S755,JoursFeries)-1)*(HFer-HOuv)+IF(NETWORKDAYS(S755,S755,JoursFeries),MEDIAN(MOD(S755,1),HFer,HOuv),HFer)-IF(NETWORKDAYS(P755,P755,JoursFeries),MEDIAN(MOD(P755,1),HFer,HOuv),HOuv))*24,4)))/HJour,4),""))</f>
        <v/>
      </c>
      <c r="AY755" s="36" t="str">
        <f aca="false">IF(OR(AO755&lt;&gt;1,AR755=""),"",INDEX(SLA_PEC,AR755))</f>
        <v/>
      </c>
      <c r="AZ755" s="35" t="str">
        <f aca="false">IF(OR(AV755="",AY755=""),"",IF(AV755&lt;=AY755,1,0))</f>
        <v/>
      </c>
      <c r="BA755" s="36" t="str">
        <f aca="false">IF(OR(AO755&lt;&gt;1,AR755=""),"",INDEX(SLA_RES,AR755))</f>
        <v/>
      </c>
      <c r="BB755" s="35" t="str">
        <f aca="false">IF(OR(AW755="",BA755=""),"",IF(AW755&lt;=BA755,1,0))</f>
        <v/>
      </c>
      <c r="BC755" s="38" t="str">
        <f aca="false">IF(OR(BA755="",P755=""),"",WORKDAY(INT(P755),BA755,JoursFeries)+MOD(P755,1))</f>
        <v/>
      </c>
      <c r="BD755" s="39" t="str">
        <f aca="false">IF(AO755&lt;&gt;1,"",IF(OR(AB755&lt;&gt;"",AD755&lt;&gt;""),4,IF(U755&lt;&gt;"",3,IF(T755&lt;&gt;"",2,1))))</f>
        <v/>
      </c>
      <c r="BE755" s="39" t="str">
        <f aca="false">IF(OR(AO755&lt;&gt;1,AR755=""),"",INDEX(NIV_REQ,AR755))</f>
        <v/>
      </c>
      <c r="BF755" s="39" t="str">
        <f aca="false">IF(BE755="","",MAX(BE755,IF(OR(K755="Oui",Z755="Oui"),4,1)))</f>
        <v/>
      </c>
      <c r="BG755" s="35" t="str">
        <f aca="false">IF(OR(BF755="",BD755=""),"",IF(BD755&gt;=BF755,1,0))</f>
        <v/>
      </c>
      <c r="BH755" s="38" t="str">
        <f aca="false">IF(BE755="","",IF(BE755&lt;2,"",IF(BE755=2,IF(AND(T755="",U755=""),"",MIN(T755,U755)),IF(U755="","",U755))))</f>
        <v/>
      </c>
      <c r="BI755" s="37" t="str">
        <f aca="false">IF(BH755="","",IF(OR(O755="",BH755=""),"",IF(BH755&lt;O755,"",ROUND(((NETWORKDAYS(O755,BH755,JoursFeries)-1)*(HFer-HOuv)+IF(NETWORKDAYS(BH755,BH755,JoursFeries),MEDIAN(MOD(BH755,1),HFer,HOuv),HFer)-IF(NETWORKDAYS(O755,O755,JoursFeries),MEDIAN(MOD(O755,1),HFer,HOuv),HOuv))*24,4))))</f>
        <v/>
      </c>
      <c r="BJ755" s="35" t="str">
        <f aca="false">IF(OR(BI755="",AR755=""),"",IF(BI755&lt;=INDEX(DELAI_ESC,AR755),1,0))</f>
        <v/>
      </c>
      <c r="BK755" s="38" t="str">
        <f aca="false">IF(AO755&lt;&gt;1,"",IF(AND(T755="",U755=""),"",MIN(T755,U755)))</f>
        <v/>
      </c>
      <c r="BL755" s="37" t="str">
        <f aca="false">IF(OR(BK755="",R755=""),"",IFERROR(ROUND(IF(OR(BK755="",R755=""),"",IF(R755&lt;BK755,"",ROUND(((NETWORKDAYS(BK755,R755,JoursFeries)-1)*(HFer-HOuv)+IF(NETWORKDAYS(R755,R755,JoursFeries),MEDIAN(MOD(R755,1),HFer,HOuv),HFer)-IF(NETWORKDAYS(BK755,BK755,JoursFeries),MEDIAN(MOD(BK755,1),HFer,HOuv),HOuv))*24,4)))/HJour,4),""))</f>
        <v/>
      </c>
      <c r="BM755" s="35" t="str">
        <f aca="false">IF(OR(AO755&lt;&gt;1,R755=""),"",IF(BD755=1,1,0))</f>
        <v/>
      </c>
      <c r="BN755" s="35" t="str">
        <f aca="false">IF(AO755&lt;&gt;1,"",IF(W755="Oui",1,0))</f>
        <v/>
      </c>
      <c r="BO755" s="35" t="str">
        <f aca="false">IF(AO755&lt;&gt;1,"",IF(X755&lt;&gt;"",1,0))</f>
        <v/>
      </c>
      <c r="BP755" s="35" t="str">
        <f aca="false">IF(AO755&lt;&gt;1,"",IF(Y755="Oui",1,0))</f>
        <v/>
      </c>
      <c r="BQ755" s="35" t="str">
        <f aca="true">IF(OR(AO755&lt;&gt;1,Z755&lt;&gt;"Oui"),"",IF(AB755="",IF(AND(AA755&lt;&gt;"",NOW()&gt;AA755),0,""),IF(AA755="","",IF(AB755&lt;=AA755,1,0))))</f>
        <v/>
      </c>
      <c r="BR755" s="38" t="str">
        <f aca="false">IF(OR(AO755&lt;&gt;1,K755&lt;&gt;"Oui",O755=""),"",IF(AC755="",O755+DORA_H_DET/24,IF(AC755-O755&lt;=DORA_H_DET/24,MIN(AC755+DORA_H_CLA/24,O755+DORA_H_DET/24),AC755+DORA_H_CLA/24)))</f>
        <v/>
      </c>
      <c r="BS755" s="35" t="str">
        <f aca="true">IF(BR755="","",IF(AD755="",IF(NOW()&gt;BR755,0,""),IF(AD755&lt;=BR755,1,0)))</f>
        <v/>
      </c>
      <c r="BT755" s="35" t="str">
        <f aca="true">IF(OR(BR755="",AD755=""),"",IF(AE755="",IF(NOW()&gt;AD755+DORA_H_INT/24,0,""),IF(AE755&lt;=AD755+DORA_H_INT/24,1,0)))</f>
        <v/>
      </c>
      <c r="BU755" s="35" t="str">
        <f aca="true">IF(OR(BR755="",AE755=""),"",IF(AF755="",IF(NOW()&gt;EDATE(AE755,DORA_M_FIN)+1,0,""),IF(AF755&lt;=EDATE(AE755,DORA_M_FIN),1,0)))</f>
        <v/>
      </c>
      <c r="BV755" s="35" t="str">
        <f aca="false">IF(BR755="","",IF(COUNT(BS755:BU755)=0,"",MIN(BS755:BU755)))</f>
        <v/>
      </c>
      <c r="BW755" s="40" t="str">
        <f aca="false">IF(AQ755&lt;&gt;1,"",IF(AND(AG755="",AH755=""),"",N(AG755)-N(AH755)))</f>
        <v/>
      </c>
      <c r="BX755" s="35" t="str">
        <f aca="true">IF(OR(AQ755&lt;&gt;1,AI755&lt;&gt;"Oui",AJ755=""),"",IF(AK755="",IF(NOW()&gt;AJ755+1,0,""),IF(AK755&lt;=AJ755,1,0)))</f>
        <v/>
      </c>
    </row>
    <row r="756" customFormat="false" ht="15" hidden="false" customHeight="false" outlineLevel="0" collapsed="false">
      <c r="B756" s="29"/>
      <c r="C756" s="29"/>
      <c r="D756" s="29"/>
      <c r="E756" s="29"/>
      <c r="F756" s="29"/>
      <c r="G756" s="29"/>
      <c r="H756" s="29"/>
      <c r="I756" s="29"/>
      <c r="J756" s="29"/>
      <c r="K756" s="29"/>
      <c r="L756" s="29"/>
      <c r="M756" s="29"/>
      <c r="N756" s="30"/>
      <c r="O756" s="30"/>
      <c r="P756" s="30"/>
      <c r="Q756" s="30"/>
      <c r="R756" s="30"/>
      <c r="S756" s="30"/>
      <c r="T756" s="30"/>
      <c r="U756" s="30"/>
      <c r="V756" s="31"/>
      <c r="W756" s="29"/>
      <c r="X756" s="29"/>
      <c r="Y756" s="29"/>
      <c r="Z756" s="29"/>
      <c r="AA756" s="30"/>
      <c r="AB756" s="30"/>
      <c r="AC756" s="30"/>
      <c r="AD756" s="30"/>
      <c r="AE756" s="30"/>
      <c r="AF756" s="32"/>
      <c r="AG756" s="33"/>
      <c r="AH756" s="33"/>
      <c r="AI756" s="29"/>
      <c r="AJ756" s="32"/>
      <c r="AK756" s="32"/>
      <c r="AL756" s="29"/>
      <c r="AN756" s="34" t="str">
        <f aca="false">IF($B756="","",IF(OR(C756="",D756="",E756="",G756="",I756="",J756="",L756="",O756="",P756=""),"Champ obligatoire manquant",IF(OR(AND(N756&lt;&gt;"",N756&gt;O756),O756&gt;P756,AND(Q756&lt;&gt;"",Q756&lt;P756),AND(R756&lt;&gt;"",R756&lt;P756),AND(S756&lt;&gt;"",S756&lt;R756),AND(S756&lt;&gt;"",R756=""),AND(T756&lt;&gt;"",T756&lt;O756),AND(U756&lt;&gt;"",U756&lt;O756)),"Chronologie incohérente",IF(AND(OR(L756="Résolu",L756="Clos"),R756=""),"Date de résolution manquante",IF(AND(L756="Clos",S756=""),"Date de clôture manquante",IF(AND(K756="Oui",AC756=""),"Classification DORA manquante","OK"))))))</f>
        <v/>
      </c>
      <c r="AO756" s="35" t="str">
        <f aca="false">IF($B756="","",IF(AND(C756="Incident",L756&lt;&gt;"Annulé"),1,0))</f>
        <v/>
      </c>
      <c r="AP756" s="35" t="str">
        <f aca="false">IF($B756="","",IF(AND(C756="Quasi-incident",L756&lt;&gt;"Annulé"),1,0))</f>
        <v/>
      </c>
      <c r="AQ756" s="35" t="str">
        <f aca="false">IF($B756="","",AO756+AP756)</f>
        <v/>
      </c>
      <c r="AR756" s="36" t="str">
        <f aca="false">IF(OR($B756="",J756=""),"",IFERROR(VALUE(LEFT(J756,1)),""))</f>
        <v/>
      </c>
      <c r="AS756" s="35" t="str">
        <f aca="false">IF(OR(AO756&lt;&gt;1,G756=""),"",IFERROR(IF(INDEX(L_SrcInterne,MATCH(G756,L_Sources,0))="Oui",1,0),""))</f>
        <v/>
      </c>
      <c r="AT756" s="37" t="str">
        <f aca="false">IF(AO756&lt;&gt;1,"",IFERROR(ROUND(IF(OR(N756="",O756=""),"",IF(O756&lt;N756,"",ROUND(((NETWORKDAYS(N756,O756,JoursFeries)-1)*(HFer-HOuv)+IF(NETWORKDAYS(O756,O756,JoursFeries),MEDIAN(MOD(O756,1),HFer,HOuv),HFer)-IF(NETWORKDAYS(N756,N756,JoursFeries),MEDIAN(MOD(N756,1),HFer,HOuv),HOuv))*24,4)))/HJour,4),""))</f>
        <v/>
      </c>
      <c r="AU756" s="37" t="str">
        <f aca="false">IF(AO756&lt;&gt;1,"",IF(OR(O756="",P756=""),"",IF(P756&lt;O756,"",ROUND(((NETWORKDAYS(O756,P756,JoursFeries)-1)*(HFer-HOuv)+IF(NETWORKDAYS(P756,P756,JoursFeries),MEDIAN(MOD(P756,1),HFer,HOuv),HFer)-IF(NETWORKDAYS(O756,O756,JoursFeries),MEDIAN(MOD(O756,1),HFer,HOuv),HOuv))*24,4))))</f>
        <v/>
      </c>
      <c r="AV756" s="37" t="str">
        <f aca="false">IF(AO756&lt;&gt;1,"",IF(OR(P756="",Q756=""),"",IF(Q756&lt;P756,"",ROUND(((NETWORKDAYS(P756,Q756,JoursFeries)-1)*(HFer-HOuv)+IF(NETWORKDAYS(Q756,Q756,JoursFeries),MEDIAN(MOD(Q756,1),HFer,HOuv),HFer)-IF(NETWORKDAYS(P756,P756,JoursFeries),MEDIAN(MOD(P756,1),HFer,HOuv),HOuv))*24,4))))</f>
        <v/>
      </c>
      <c r="AW756" s="37" t="str">
        <f aca="false">IF(AO756&lt;&gt;1,"",IFERROR(ROUND(IF(OR(P756="",R756=""),"",IF(R756&lt;P756,"",ROUND(((NETWORKDAYS(P756,R756,JoursFeries)-1)*(HFer-HOuv)+IF(NETWORKDAYS(R756,R756,JoursFeries),MEDIAN(MOD(R756,1),HFer,HOuv),HFer)-IF(NETWORKDAYS(P756,P756,JoursFeries),MEDIAN(MOD(P756,1),HFer,HOuv),HOuv))*24,4)))/HJour,4),""))</f>
        <v/>
      </c>
      <c r="AX756" s="37" t="str">
        <f aca="false">IF(AO756&lt;&gt;1,"",IFERROR(ROUND(IF(OR(P756="",S756=""),"",IF(S756&lt;P756,"",ROUND(((NETWORKDAYS(P756,S756,JoursFeries)-1)*(HFer-HOuv)+IF(NETWORKDAYS(S756,S756,JoursFeries),MEDIAN(MOD(S756,1),HFer,HOuv),HFer)-IF(NETWORKDAYS(P756,P756,JoursFeries),MEDIAN(MOD(P756,1),HFer,HOuv),HOuv))*24,4)))/HJour,4),""))</f>
        <v/>
      </c>
      <c r="AY756" s="36" t="str">
        <f aca="false">IF(OR(AO756&lt;&gt;1,AR756=""),"",INDEX(SLA_PEC,AR756))</f>
        <v/>
      </c>
      <c r="AZ756" s="35" t="str">
        <f aca="false">IF(OR(AV756="",AY756=""),"",IF(AV756&lt;=AY756,1,0))</f>
        <v/>
      </c>
      <c r="BA756" s="36" t="str">
        <f aca="false">IF(OR(AO756&lt;&gt;1,AR756=""),"",INDEX(SLA_RES,AR756))</f>
        <v/>
      </c>
      <c r="BB756" s="35" t="str">
        <f aca="false">IF(OR(AW756="",BA756=""),"",IF(AW756&lt;=BA756,1,0))</f>
        <v/>
      </c>
      <c r="BC756" s="38" t="str">
        <f aca="false">IF(OR(BA756="",P756=""),"",WORKDAY(INT(P756),BA756,JoursFeries)+MOD(P756,1))</f>
        <v/>
      </c>
      <c r="BD756" s="39" t="str">
        <f aca="false">IF(AO756&lt;&gt;1,"",IF(OR(AB756&lt;&gt;"",AD756&lt;&gt;""),4,IF(U756&lt;&gt;"",3,IF(T756&lt;&gt;"",2,1))))</f>
        <v/>
      </c>
      <c r="BE756" s="39" t="str">
        <f aca="false">IF(OR(AO756&lt;&gt;1,AR756=""),"",INDEX(NIV_REQ,AR756))</f>
        <v/>
      </c>
      <c r="BF756" s="39" t="str">
        <f aca="false">IF(BE756="","",MAX(BE756,IF(OR(K756="Oui",Z756="Oui"),4,1)))</f>
        <v/>
      </c>
      <c r="BG756" s="35" t="str">
        <f aca="false">IF(OR(BF756="",BD756=""),"",IF(BD756&gt;=BF756,1,0))</f>
        <v/>
      </c>
      <c r="BH756" s="38" t="str">
        <f aca="false">IF(BE756="","",IF(BE756&lt;2,"",IF(BE756=2,IF(AND(T756="",U756=""),"",MIN(T756,U756)),IF(U756="","",U756))))</f>
        <v/>
      </c>
      <c r="BI756" s="37" t="str">
        <f aca="false">IF(BH756="","",IF(OR(O756="",BH756=""),"",IF(BH756&lt;O756,"",ROUND(((NETWORKDAYS(O756,BH756,JoursFeries)-1)*(HFer-HOuv)+IF(NETWORKDAYS(BH756,BH756,JoursFeries),MEDIAN(MOD(BH756,1),HFer,HOuv),HFer)-IF(NETWORKDAYS(O756,O756,JoursFeries),MEDIAN(MOD(O756,1),HFer,HOuv),HOuv))*24,4))))</f>
        <v/>
      </c>
      <c r="BJ756" s="35" t="str">
        <f aca="false">IF(OR(BI756="",AR756=""),"",IF(BI756&lt;=INDEX(DELAI_ESC,AR756),1,0))</f>
        <v/>
      </c>
      <c r="BK756" s="38" t="str">
        <f aca="false">IF(AO756&lt;&gt;1,"",IF(AND(T756="",U756=""),"",MIN(T756,U756)))</f>
        <v/>
      </c>
      <c r="BL756" s="37" t="str">
        <f aca="false">IF(OR(BK756="",R756=""),"",IFERROR(ROUND(IF(OR(BK756="",R756=""),"",IF(R756&lt;BK756,"",ROUND(((NETWORKDAYS(BK756,R756,JoursFeries)-1)*(HFer-HOuv)+IF(NETWORKDAYS(R756,R756,JoursFeries),MEDIAN(MOD(R756,1),HFer,HOuv),HFer)-IF(NETWORKDAYS(BK756,BK756,JoursFeries),MEDIAN(MOD(BK756,1),HFer,HOuv),HOuv))*24,4)))/HJour,4),""))</f>
        <v/>
      </c>
      <c r="BM756" s="35" t="str">
        <f aca="false">IF(OR(AO756&lt;&gt;1,R756=""),"",IF(BD756=1,1,0))</f>
        <v/>
      </c>
      <c r="BN756" s="35" t="str">
        <f aca="false">IF(AO756&lt;&gt;1,"",IF(W756="Oui",1,0))</f>
        <v/>
      </c>
      <c r="BO756" s="35" t="str">
        <f aca="false">IF(AO756&lt;&gt;1,"",IF(X756&lt;&gt;"",1,0))</f>
        <v/>
      </c>
      <c r="BP756" s="35" t="str">
        <f aca="false">IF(AO756&lt;&gt;1,"",IF(Y756="Oui",1,0))</f>
        <v/>
      </c>
      <c r="BQ756" s="35" t="str">
        <f aca="true">IF(OR(AO756&lt;&gt;1,Z756&lt;&gt;"Oui"),"",IF(AB756="",IF(AND(AA756&lt;&gt;"",NOW()&gt;AA756),0,""),IF(AA756="","",IF(AB756&lt;=AA756,1,0))))</f>
        <v/>
      </c>
      <c r="BR756" s="38" t="str">
        <f aca="false">IF(OR(AO756&lt;&gt;1,K756&lt;&gt;"Oui",O756=""),"",IF(AC756="",O756+DORA_H_DET/24,IF(AC756-O756&lt;=DORA_H_DET/24,MIN(AC756+DORA_H_CLA/24,O756+DORA_H_DET/24),AC756+DORA_H_CLA/24)))</f>
        <v/>
      </c>
      <c r="BS756" s="35" t="str">
        <f aca="true">IF(BR756="","",IF(AD756="",IF(NOW()&gt;BR756,0,""),IF(AD756&lt;=BR756,1,0)))</f>
        <v/>
      </c>
      <c r="BT756" s="35" t="str">
        <f aca="true">IF(OR(BR756="",AD756=""),"",IF(AE756="",IF(NOW()&gt;AD756+DORA_H_INT/24,0,""),IF(AE756&lt;=AD756+DORA_H_INT/24,1,0)))</f>
        <v/>
      </c>
      <c r="BU756" s="35" t="str">
        <f aca="true">IF(OR(BR756="",AE756=""),"",IF(AF756="",IF(NOW()&gt;EDATE(AE756,DORA_M_FIN)+1,0,""),IF(AF756&lt;=EDATE(AE756,DORA_M_FIN),1,0)))</f>
        <v/>
      </c>
      <c r="BV756" s="35" t="str">
        <f aca="false">IF(BR756="","",IF(COUNT(BS756:BU756)=0,"",MIN(BS756:BU756)))</f>
        <v/>
      </c>
      <c r="BW756" s="40" t="str">
        <f aca="false">IF(AQ756&lt;&gt;1,"",IF(AND(AG756="",AH756=""),"",N(AG756)-N(AH756)))</f>
        <v/>
      </c>
      <c r="BX756" s="35" t="str">
        <f aca="true">IF(OR(AQ756&lt;&gt;1,AI756&lt;&gt;"Oui",AJ756=""),"",IF(AK756="",IF(NOW()&gt;AJ756+1,0,""),IF(AK756&lt;=AJ756,1,0)))</f>
        <v/>
      </c>
    </row>
    <row r="757" customFormat="false" ht="15" hidden="false" customHeight="false" outlineLevel="0" collapsed="false">
      <c r="B757" s="29"/>
      <c r="C757" s="29"/>
      <c r="D757" s="29"/>
      <c r="E757" s="29"/>
      <c r="F757" s="29"/>
      <c r="G757" s="29"/>
      <c r="H757" s="29"/>
      <c r="I757" s="29"/>
      <c r="J757" s="29"/>
      <c r="K757" s="29"/>
      <c r="L757" s="29"/>
      <c r="M757" s="29"/>
      <c r="N757" s="30"/>
      <c r="O757" s="30"/>
      <c r="P757" s="30"/>
      <c r="Q757" s="30"/>
      <c r="R757" s="30"/>
      <c r="S757" s="30"/>
      <c r="T757" s="30"/>
      <c r="U757" s="30"/>
      <c r="V757" s="31"/>
      <c r="W757" s="29"/>
      <c r="X757" s="29"/>
      <c r="Y757" s="29"/>
      <c r="Z757" s="29"/>
      <c r="AA757" s="30"/>
      <c r="AB757" s="30"/>
      <c r="AC757" s="30"/>
      <c r="AD757" s="30"/>
      <c r="AE757" s="30"/>
      <c r="AF757" s="32"/>
      <c r="AG757" s="33"/>
      <c r="AH757" s="33"/>
      <c r="AI757" s="29"/>
      <c r="AJ757" s="32"/>
      <c r="AK757" s="32"/>
      <c r="AL757" s="29"/>
      <c r="AN757" s="34" t="str">
        <f aca="false">IF($B757="","",IF(OR(C757="",D757="",E757="",G757="",I757="",J757="",L757="",O757="",P757=""),"Champ obligatoire manquant",IF(OR(AND(N757&lt;&gt;"",N757&gt;O757),O757&gt;P757,AND(Q757&lt;&gt;"",Q757&lt;P757),AND(R757&lt;&gt;"",R757&lt;P757),AND(S757&lt;&gt;"",S757&lt;R757),AND(S757&lt;&gt;"",R757=""),AND(T757&lt;&gt;"",T757&lt;O757),AND(U757&lt;&gt;"",U757&lt;O757)),"Chronologie incohérente",IF(AND(OR(L757="Résolu",L757="Clos"),R757=""),"Date de résolution manquante",IF(AND(L757="Clos",S757=""),"Date de clôture manquante",IF(AND(K757="Oui",AC757=""),"Classification DORA manquante","OK"))))))</f>
        <v/>
      </c>
      <c r="AO757" s="35" t="str">
        <f aca="false">IF($B757="","",IF(AND(C757="Incident",L757&lt;&gt;"Annulé"),1,0))</f>
        <v/>
      </c>
      <c r="AP757" s="35" t="str">
        <f aca="false">IF($B757="","",IF(AND(C757="Quasi-incident",L757&lt;&gt;"Annulé"),1,0))</f>
        <v/>
      </c>
      <c r="AQ757" s="35" t="str">
        <f aca="false">IF($B757="","",AO757+AP757)</f>
        <v/>
      </c>
      <c r="AR757" s="36" t="str">
        <f aca="false">IF(OR($B757="",J757=""),"",IFERROR(VALUE(LEFT(J757,1)),""))</f>
        <v/>
      </c>
      <c r="AS757" s="35" t="str">
        <f aca="false">IF(OR(AO757&lt;&gt;1,G757=""),"",IFERROR(IF(INDEX(L_SrcInterne,MATCH(G757,L_Sources,0))="Oui",1,0),""))</f>
        <v/>
      </c>
      <c r="AT757" s="37" t="str">
        <f aca="false">IF(AO757&lt;&gt;1,"",IFERROR(ROUND(IF(OR(N757="",O757=""),"",IF(O757&lt;N757,"",ROUND(((NETWORKDAYS(N757,O757,JoursFeries)-1)*(HFer-HOuv)+IF(NETWORKDAYS(O757,O757,JoursFeries),MEDIAN(MOD(O757,1),HFer,HOuv),HFer)-IF(NETWORKDAYS(N757,N757,JoursFeries),MEDIAN(MOD(N757,1),HFer,HOuv),HOuv))*24,4)))/HJour,4),""))</f>
        <v/>
      </c>
      <c r="AU757" s="37" t="str">
        <f aca="false">IF(AO757&lt;&gt;1,"",IF(OR(O757="",P757=""),"",IF(P757&lt;O757,"",ROUND(((NETWORKDAYS(O757,P757,JoursFeries)-1)*(HFer-HOuv)+IF(NETWORKDAYS(P757,P757,JoursFeries),MEDIAN(MOD(P757,1),HFer,HOuv),HFer)-IF(NETWORKDAYS(O757,O757,JoursFeries),MEDIAN(MOD(O757,1),HFer,HOuv),HOuv))*24,4))))</f>
        <v/>
      </c>
      <c r="AV757" s="37" t="str">
        <f aca="false">IF(AO757&lt;&gt;1,"",IF(OR(P757="",Q757=""),"",IF(Q757&lt;P757,"",ROUND(((NETWORKDAYS(P757,Q757,JoursFeries)-1)*(HFer-HOuv)+IF(NETWORKDAYS(Q757,Q757,JoursFeries),MEDIAN(MOD(Q757,1),HFer,HOuv),HFer)-IF(NETWORKDAYS(P757,P757,JoursFeries),MEDIAN(MOD(P757,1),HFer,HOuv),HOuv))*24,4))))</f>
        <v/>
      </c>
      <c r="AW757" s="37" t="str">
        <f aca="false">IF(AO757&lt;&gt;1,"",IFERROR(ROUND(IF(OR(P757="",R757=""),"",IF(R757&lt;P757,"",ROUND(((NETWORKDAYS(P757,R757,JoursFeries)-1)*(HFer-HOuv)+IF(NETWORKDAYS(R757,R757,JoursFeries),MEDIAN(MOD(R757,1),HFer,HOuv),HFer)-IF(NETWORKDAYS(P757,P757,JoursFeries),MEDIAN(MOD(P757,1),HFer,HOuv),HOuv))*24,4)))/HJour,4),""))</f>
        <v/>
      </c>
      <c r="AX757" s="37" t="str">
        <f aca="false">IF(AO757&lt;&gt;1,"",IFERROR(ROUND(IF(OR(P757="",S757=""),"",IF(S757&lt;P757,"",ROUND(((NETWORKDAYS(P757,S757,JoursFeries)-1)*(HFer-HOuv)+IF(NETWORKDAYS(S757,S757,JoursFeries),MEDIAN(MOD(S757,1),HFer,HOuv),HFer)-IF(NETWORKDAYS(P757,P757,JoursFeries),MEDIAN(MOD(P757,1),HFer,HOuv),HOuv))*24,4)))/HJour,4),""))</f>
        <v/>
      </c>
      <c r="AY757" s="36" t="str">
        <f aca="false">IF(OR(AO757&lt;&gt;1,AR757=""),"",INDEX(SLA_PEC,AR757))</f>
        <v/>
      </c>
      <c r="AZ757" s="35" t="str">
        <f aca="false">IF(OR(AV757="",AY757=""),"",IF(AV757&lt;=AY757,1,0))</f>
        <v/>
      </c>
      <c r="BA757" s="36" t="str">
        <f aca="false">IF(OR(AO757&lt;&gt;1,AR757=""),"",INDEX(SLA_RES,AR757))</f>
        <v/>
      </c>
      <c r="BB757" s="35" t="str">
        <f aca="false">IF(OR(AW757="",BA757=""),"",IF(AW757&lt;=BA757,1,0))</f>
        <v/>
      </c>
      <c r="BC757" s="38" t="str">
        <f aca="false">IF(OR(BA757="",P757=""),"",WORKDAY(INT(P757),BA757,JoursFeries)+MOD(P757,1))</f>
        <v/>
      </c>
      <c r="BD757" s="39" t="str">
        <f aca="false">IF(AO757&lt;&gt;1,"",IF(OR(AB757&lt;&gt;"",AD757&lt;&gt;""),4,IF(U757&lt;&gt;"",3,IF(T757&lt;&gt;"",2,1))))</f>
        <v/>
      </c>
      <c r="BE757" s="39" t="str">
        <f aca="false">IF(OR(AO757&lt;&gt;1,AR757=""),"",INDEX(NIV_REQ,AR757))</f>
        <v/>
      </c>
      <c r="BF757" s="39" t="str">
        <f aca="false">IF(BE757="","",MAX(BE757,IF(OR(K757="Oui",Z757="Oui"),4,1)))</f>
        <v/>
      </c>
      <c r="BG757" s="35" t="str">
        <f aca="false">IF(OR(BF757="",BD757=""),"",IF(BD757&gt;=BF757,1,0))</f>
        <v/>
      </c>
      <c r="BH757" s="38" t="str">
        <f aca="false">IF(BE757="","",IF(BE757&lt;2,"",IF(BE757=2,IF(AND(T757="",U757=""),"",MIN(T757,U757)),IF(U757="","",U757))))</f>
        <v/>
      </c>
      <c r="BI757" s="37" t="str">
        <f aca="false">IF(BH757="","",IF(OR(O757="",BH757=""),"",IF(BH757&lt;O757,"",ROUND(((NETWORKDAYS(O757,BH757,JoursFeries)-1)*(HFer-HOuv)+IF(NETWORKDAYS(BH757,BH757,JoursFeries),MEDIAN(MOD(BH757,1),HFer,HOuv),HFer)-IF(NETWORKDAYS(O757,O757,JoursFeries),MEDIAN(MOD(O757,1),HFer,HOuv),HOuv))*24,4))))</f>
        <v/>
      </c>
      <c r="BJ757" s="35" t="str">
        <f aca="false">IF(OR(BI757="",AR757=""),"",IF(BI757&lt;=INDEX(DELAI_ESC,AR757),1,0))</f>
        <v/>
      </c>
      <c r="BK757" s="38" t="str">
        <f aca="false">IF(AO757&lt;&gt;1,"",IF(AND(T757="",U757=""),"",MIN(T757,U757)))</f>
        <v/>
      </c>
      <c r="BL757" s="37" t="str">
        <f aca="false">IF(OR(BK757="",R757=""),"",IFERROR(ROUND(IF(OR(BK757="",R757=""),"",IF(R757&lt;BK757,"",ROUND(((NETWORKDAYS(BK757,R757,JoursFeries)-1)*(HFer-HOuv)+IF(NETWORKDAYS(R757,R757,JoursFeries),MEDIAN(MOD(R757,1),HFer,HOuv),HFer)-IF(NETWORKDAYS(BK757,BK757,JoursFeries),MEDIAN(MOD(BK757,1),HFer,HOuv),HOuv))*24,4)))/HJour,4),""))</f>
        <v/>
      </c>
      <c r="BM757" s="35" t="str">
        <f aca="false">IF(OR(AO757&lt;&gt;1,R757=""),"",IF(BD757=1,1,0))</f>
        <v/>
      </c>
      <c r="BN757" s="35" t="str">
        <f aca="false">IF(AO757&lt;&gt;1,"",IF(W757="Oui",1,0))</f>
        <v/>
      </c>
      <c r="BO757" s="35" t="str">
        <f aca="false">IF(AO757&lt;&gt;1,"",IF(X757&lt;&gt;"",1,0))</f>
        <v/>
      </c>
      <c r="BP757" s="35" t="str">
        <f aca="false">IF(AO757&lt;&gt;1,"",IF(Y757="Oui",1,0))</f>
        <v/>
      </c>
      <c r="BQ757" s="35" t="str">
        <f aca="true">IF(OR(AO757&lt;&gt;1,Z757&lt;&gt;"Oui"),"",IF(AB757="",IF(AND(AA757&lt;&gt;"",NOW()&gt;AA757),0,""),IF(AA757="","",IF(AB757&lt;=AA757,1,0))))</f>
        <v/>
      </c>
      <c r="BR757" s="38" t="str">
        <f aca="false">IF(OR(AO757&lt;&gt;1,K757&lt;&gt;"Oui",O757=""),"",IF(AC757="",O757+DORA_H_DET/24,IF(AC757-O757&lt;=DORA_H_DET/24,MIN(AC757+DORA_H_CLA/24,O757+DORA_H_DET/24),AC757+DORA_H_CLA/24)))</f>
        <v/>
      </c>
      <c r="BS757" s="35" t="str">
        <f aca="true">IF(BR757="","",IF(AD757="",IF(NOW()&gt;BR757,0,""),IF(AD757&lt;=BR757,1,0)))</f>
        <v/>
      </c>
      <c r="BT757" s="35" t="str">
        <f aca="true">IF(OR(BR757="",AD757=""),"",IF(AE757="",IF(NOW()&gt;AD757+DORA_H_INT/24,0,""),IF(AE757&lt;=AD757+DORA_H_INT/24,1,0)))</f>
        <v/>
      </c>
      <c r="BU757" s="35" t="str">
        <f aca="true">IF(OR(BR757="",AE757=""),"",IF(AF757="",IF(NOW()&gt;EDATE(AE757,DORA_M_FIN)+1,0,""),IF(AF757&lt;=EDATE(AE757,DORA_M_FIN),1,0)))</f>
        <v/>
      </c>
      <c r="BV757" s="35" t="str">
        <f aca="false">IF(BR757="","",IF(COUNT(BS757:BU757)=0,"",MIN(BS757:BU757)))</f>
        <v/>
      </c>
      <c r="BW757" s="40" t="str">
        <f aca="false">IF(AQ757&lt;&gt;1,"",IF(AND(AG757="",AH757=""),"",N(AG757)-N(AH757)))</f>
        <v/>
      </c>
      <c r="BX757" s="35" t="str">
        <f aca="true">IF(OR(AQ757&lt;&gt;1,AI757&lt;&gt;"Oui",AJ757=""),"",IF(AK757="",IF(NOW()&gt;AJ757+1,0,""),IF(AK757&lt;=AJ757,1,0)))</f>
        <v/>
      </c>
    </row>
    <row r="758" customFormat="false" ht="15" hidden="false" customHeight="false" outlineLevel="0" collapsed="false">
      <c r="B758" s="29"/>
      <c r="C758" s="29"/>
      <c r="D758" s="29"/>
      <c r="E758" s="29"/>
      <c r="F758" s="29"/>
      <c r="G758" s="29"/>
      <c r="H758" s="29"/>
      <c r="I758" s="29"/>
      <c r="J758" s="29"/>
      <c r="K758" s="29"/>
      <c r="L758" s="29"/>
      <c r="M758" s="29"/>
      <c r="N758" s="30"/>
      <c r="O758" s="30"/>
      <c r="P758" s="30"/>
      <c r="Q758" s="30"/>
      <c r="R758" s="30"/>
      <c r="S758" s="30"/>
      <c r="T758" s="30"/>
      <c r="U758" s="30"/>
      <c r="V758" s="31"/>
      <c r="W758" s="29"/>
      <c r="X758" s="29"/>
      <c r="Y758" s="29"/>
      <c r="Z758" s="29"/>
      <c r="AA758" s="30"/>
      <c r="AB758" s="30"/>
      <c r="AC758" s="30"/>
      <c r="AD758" s="30"/>
      <c r="AE758" s="30"/>
      <c r="AF758" s="32"/>
      <c r="AG758" s="33"/>
      <c r="AH758" s="33"/>
      <c r="AI758" s="29"/>
      <c r="AJ758" s="32"/>
      <c r="AK758" s="32"/>
      <c r="AL758" s="29"/>
      <c r="AN758" s="34" t="str">
        <f aca="false">IF($B758="","",IF(OR(C758="",D758="",E758="",G758="",I758="",J758="",L758="",O758="",P758=""),"Champ obligatoire manquant",IF(OR(AND(N758&lt;&gt;"",N758&gt;O758),O758&gt;P758,AND(Q758&lt;&gt;"",Q758&lt;P758),AND(R758&lt;&gt;"",R758&lt;P758),AND(S758&lt;&gt;"",S758&lt;R758),AND(S758&lt;&gt;"",R758=""),AND(T758&lt;&gt;"",T758&lt;O758),AND(U758&lt;&gt;"",U758&lt;O758)),"Chronologie incohérente",IF(AND(OR(L758="Résolu",L758="Clos"),R758=""),"Date de résolution manquante",IF(AND(L758="Clos",S758=""),"Date de clôture manquante",IF(AND(K758="Oui",AC758=""),"Classification DORA manquante","OK"))))))</f>
        <v/>
      </c>
      <c r="AO758" s="35" t="str">
        <f aca="false">IF($B758="","",IF(AND(C758="Incident",L758&lt;&gt;"Annulé"),1,0))</f>
        <v/>
      </c>
      <c r="AP758" s="35" t="str">
        <f aca="false">IF($B758="","",IF(AND(C758="Quasi-incident",L758&lt;&gt;"Annulé"),1,0))</f>
        <v/>
      </c>
      <c r="AQ758" s="35" t="str">
        <f aca="false">IF($B758="","",AO758+AP758)</f>
        <v/>
      </c>
      <c r="AR758" s="36" t="str">
        <f aca="false">IF(OR($B758="",J758=""),"",IFERROR(VALUE(LEFT(J758,1)),""))</f>
        <v/>
      </c>
      <c r="AS758" s="35" t="str">
        <f aca="false">IF(OR(AO758&lt;&gt;1,G758=""),"",IFERROR(IF(INDEX(L_SrcInterne,MATCH(G758,L_Sources,0))="Oui",1,0),""))</f>
        <v/>
      </c>
      <c r="AT758" s="37" t="str">
        <f aca="false">IF(AO758&lt;&gt;1,"",IFERROR(ROUND(IF(OR(N758="",O758=""),"",IF(O758&lt;N758,"",ROUND(((NETWORKDAYS(N758,O758,JoursFeries)-1)*(HFer-HOuv)+IF(NETWORKDAYS(O758,O758,JoursFeries),MEDIAN(MOD(O758,1),HFer,HOuv),HFer)-IF(NETWORKDAYS(N758,N758,JoursFeries),MEDIAN(MOD(N758,1),HFer,HOuv),HOuv))*24,4)))/HJour,4),""))</f>
        <v/>
      </c>
      <c r="AU758" s="37" t="str">
        <f aca="false">IF(AO758&lt;&gt;1,"",IF(OR(O758="",P758=""),"",IF(P758&lt;O758,"",ROUND(((NETWORKDAYS(O758,P758,JoursFeries)-1)*(HFer-HOuv)+IF(NETWORKDAYS(P758,P758,JoursFeries),MEDIAN(MOD(P758,1),HFer,HOuv),HFer)-IF(NETWORKDAYS(O758,O758,JoursFeries),MEDIAN(MOD(O758,1),HFer,HOuv),HOuv))*24,4))))</f>
        <v/>
      </c>
      <c r="AV758" s="37" t="str">
        <f aca="false">IF(AO758&lt;&gt;1,"",IF(OR(P758="",Q758=""),"",IF(Q758&lt;P758,"",ROUND(((NETWORKDAYS(P758,Q758,JoursFeries)-1)*(HFer-HOuv)+IF(NETWORKDAYS(Q758,Q758,JoursFeries),MEDIAN(MOD(Q758,1),HFer,HOuv),HFer)-IF(NETWORKDAYS(P758,P758,JoursFeries),MEDIAN(MOD(P758,1),HFer,HOuv),HOuv))*24,4))))</f>
        <v/>
      </c>
      <c r="AW758" s="37" t="str">
        <f aca="false">IF(AO758&lt;&gt;1,"",IFERROR(ROUND(IF(OR(P758="",R758=""),"",IF(R758&lt;P758,"",ROUND(((NETWORKDAYS(P758,R758,JoursFeries)-1)*(HFer-HOuv)+IF(NETWORKDAYS(R758,R758,JoursFeries),MEDIAN(MOD(R758,1),HFer,HOuv),HFer)-IF(NETWORKDAYS(P758,P758,JoursFeries),MEDIAN(MOD(P758,1),HFer,HOuv),HOuv))*24,4)))/HJour,4),""))</f>
        <v/>
      </c>
      <c r="AX758" s="37" t="str">
        <f aca="false">IF(AO758&lt;&gt;1,"",IFERROR(ROUND(IF(OR(P758="",S758=""),"",IF(S758&lt;P758,"",ROUND(((NETWORKDAYS(P758,S758,JoursFeries)-1)*(HFer-HOuv)+IF(NETWORKDAYS(S758,S758,JoursFeries),MEDIAN(MOD(S758,1),HFer,HOuv),HFer)-IF(NETWORKDAYS(P758,P758,JoursFeries),MEDIAN(MOD(P758,1),HFer,HOuv),HOuv))*24,4)))/HJour,4),""))</f>
        <v/>
      </c>
      <c r="AY758" s="36" t="str">
        <f aca="false">IF(OR(AO758&lt;&gt;1,AR758=""),"",INDEX(SLA_PEC,AR758))</f>
        <v/>
      </c>
      <c r="AZ758" s="35" t="str">
        <f aca="false">IF(OR(AV758="",AY758=""),"",IF(AV758&lt;=AY758,1,0))</f>
        <v/>
      </c>
      <c r="BA758" s="36" t="str">
        <f aca="false">IF(OR(AO758&lt;&gt;1,AR758=""),"",INDEX(SLA_RES,AR758))</f>
        <v/>
      </c>
      <c r="BB758" s="35" t="str">
        <f aca="false">IF(OR(AW758="",BA758=""),"",IF(AW758&lt;=BA758,1,0))</f>
        <v/>
      </c>
      <c r="BC758" s="38" t="str">
        <f aca="false">IF(OR(BA758="",P758=""),"",WORKDAY(INT(P758),BA758,JoursFeries)+MOD(P758,1))</f>
        <v/>
      </c>
      <c r="BD758" s="39" t="str">
        <f aca="false">IF(AO758&lt;&gt;1,"",IF(OR(AB758&lt;&gt;"",AD758&lt;&gt;""),4,IF(U758&lt;&gt;"",3,IF(T758&lt;&gt;"",2,1))))</f>
        <v/>
      </c>
      <c r="BE758" s="39" t="str">
        <f aca="false">IF(OR(AO758&lt;&gt;1,AR758=""),"",INDEX(NIV_REQ,AR758))</f>
        <v/>
      </c>
      <c r="BF758" s="39" t="str">
        <f aca="false">IF(BE758="","",MAX(BE758,IF(OR(K758="Oui",Z758="Oui"),4,1)))</f>
        <v/>
      </c>
      <c r="BG758" s="35" t="str">
        <f aca="false">IF(OR(BF758="",BD758=""),"",IF(BD758&gt;=BF758,1,0))</f>
        <v/>
      </c>
      <c r="BH758" s="38" t="str">
        <f aca="false">IF(BE758="","",IF(BE758&lt;2,"",IF(BE758=2,IF(AND(T758="",U758=""),"",MIN(T758,U758)),IF(U758="","",U758))))</f>
        <v/>
      </c>
      <c r="BI758" s="37" t="str">
        <f aca="false">IF(BH758="","",IF(OR(O758="",BH758=""),"",IF(BH758&lt;O758,"",ROUND(((NETWORKDAYS(O758,BH758,JoursFeries)-1)*(HFer-HOuv)+IF(NETWORKDAYS(BH758,BH758,JoursFeries),MEDIAN(MOD(BH758,1),HFer,HOuv),HFer)-IF(NETWORKDAYS(O758,O758,JoursFeries),MEDIAN(MOD(O758,1),HFer,HOuv),HOuv))*24,4))))</f>
        <v/>
      </c>
      <c r="BJ758" s="35" t="str">
        <f aca="false">IF(OR(BI758="",AR758=""),"",IF(BI758&lt;=INDEX(DELAI_ESC,AR758),1,0))</f>
        <v/>
      </c>
      <c r="BK758" s="38" t="str">
        <f aca="false">IF(AO758&lt;&gt;1,"",IF(AND(T758="",U758=""),"",MIN(T758,U758)))</f>
        <v/>
      </c>
      <c r="BL758" s="37" t="str">
        <f aca="false">IF(OR(BK758="",R758=""),"",IFERROR(ROUND(IF(OR(BK758="",R758=""),"",IF(R758&lt;BK758,"",ROUND(((NETWORKDAYS(BK758,R758,JoursFeries)-1)*(HFer-HOuv)+IF(NETWORKDAYS(R758,R758,JoursFeries),MEDIAN(MOD(R758,1),HFer,HOuv),HFer)-IF(NETWORKDAYS(BK758,BK758,JoursFeries),MEDIAN(MOD(BK758,1),HFer,HOuv),HOuv))*24,4)))/HJour,4),""))</f>
        <v/>
      </c>
      <c r="BM758" s="35" t="str">
        <f aca="false">IF(OR(AO758&lt;&gt;1,R758=""),"",IF(BD758=1,1,0))</f>
        <v/>
      </c>
      <c r="BN758" s="35" t="str">
        <f aca="false">IF(AO758&lt;&gt;1,"",IF(W758="Oui",1,0))</f>
        <v/>
      </c>
      <c r="BO758" s="35" t="str">
        <f aca="false">IF(AO758&lt;&gt;1,"",IF(X758&lt;&gt;"",1,0))</f>
        <v/>
      </c>
      <c r="BP758" s="35" t="str">
        <f aca="false">IF(AO758&lt;&gt;1,"",IF(Y758="Oui",1,0))</f>
        <v/>
      </c>
      <c r="BQ758" s="35" t="str">
        <f aca="true">IF(OR(AO758&lt;&gt;1,Z758&lt;&gt;"Oui"),"",IF(AB758="",IF(AND(AA758&lt;&gt;"",NOW()&gt;AA758),0,""),IF(AA758="","",IF(AB758&lt;=AA758,1,0))))</f>
        <v/>
      </c>
      <c r="BR758" s="38" t="str">
        <f aca="false">IF(OR(AO758&lt;&gt;1,K758&lt;&gt;"Oui",O758=""),"",IF(AC758="",O758+DORA_H_DET/24,IF(AC758-O758&lt;=DORA_H_DET/24,MIN(AC758+DORA_H_CLA/24,O758+DORA_H_DET/24),AC758+DORA_H_CLA/24)))</f>
        <v/>
      </c>
      <c r="BS758" s="35" t="str">
        <f aca="true">IF(BR758="","",IF(AD758="",IF(NOW()&gt;BR758,0,""),IF(AD758&lt;=BR758,1,0)))</f>
        <v/>
      </c>
      <c r="BT758" s="35" t="str">
        <f aca="true">IF(OR(BR758="",AD758=""),"",IF(AE758="",IF(NOW()&gt;AD758+DORA_H_INT/24,0,""),IF(AE758&lt;=AD758+DORA_H_INT/24,1,0)))</f>
        <v/>
      </c>
      <c r="BU758" s="35" t="str">
        <f aca="true">IF(OR(BR758="",AE758=""),"",IF(AF758="",IF(NOW()&gt;EDATE(AE758,DORA_M_FIN)+1,0,""),IF(AF758&lt;=EDATE(AE758,DORA_M_FIN),1,0)))</f>
        <v/>
      </c>
      <c r="BV758" s="35" t="str">
        <f aca="false">IF(BR758="","",IF(COUNT(BS758:BU758)=0,"",MIN(BS758:BU758)))</f>
        <v/>
      </c>
      <c r="BW758" s="40" t="str">
        <f aca="false">IF(AQ758&lt;&gt;1,"",IF(AND(AG758="",AH758=""),"",N(AG758)-N(AH758)))</f>
        <v/>
      </c>
      <c r="BX758" s="35" t="str">
        <f aca="true">IF(OR(AQ758&lt;&gt;1,AI758&lt;&gt;"Oui",AJ758=""),"",IF(AK758="",IF(NOW()&gt;AJ758+1,0,""),IF(AK758&lt;=AJ758,1,0)))</f>
        <v/>
      </c>
    </row>
    <row r="759" customFormat="false" ht="15" hidden="false" customHeight="false" outlineLevel="0" collapsed="false">
      <c r="B759" s="29"/>
      <c r="C759" s="29"/>
      <c r="D759" s="29"/>
      <c r="E759" s="29"/>
      <c r="F759" s="29"/>
      <c r="G759" s="29"/>
      <c r="H759" s="29"/>
      <c r="I759" s="29"/>
      <c r="J759" s="29"/>
      <c r="K759" s="29"/>
      <c r="L759" s="29"/>
      <c r="M759" s="29"/>
      <c r="N759" s="30"/>
      <c r="O759" s="30"/>
      <c r="P759" s="30"/>
      <c r="Q759" s="30"/>
      <c r="R759" s="30"/>
      <c r="S759" s="30"/>
      <c r="T759" s="30"/>
      <c r="U759" s="30"/>
      <c r="V759" s="31"/>
      <c r="W759" s="29"/>
      <c r="X759" s="29"/>
      <c r="Y759" s="29"/>
      <c r="Z759" s="29"/>
      <c r="AA759" s="30"/>
      <c r="AB759" s="30"/>
      <c r="AC759" s="30"/>
      <c r="AD759" s="30"/>
      <c r="AE759" s="30"/>
      <c r="AF759" s="32"/>
      <c r="AG759" s="33"/>
      <c r="AH759" s="33"/>
      <c r="AI759" s="29"/>
      <c r="AJ759" s="32"/>
      <c r="AK759" s="32"/>
      <c r="AL759" s="29"/>
      <c r="AN759" s="34" t="str">
        <f aca="false">IF($B759="","",IF(OR(C759="",D759="",E759="",G759="",I759="",J759="",L759="",O759="",P759=""),"Champ obligatoire manquant",IF(OR(AND(N759&lt;&gt;"",N759&gt;O759),O759&gt;P759,AND(Q759&lt;&gt;"",Q759&lt;P759),AND(R759&lt;&gt;"",R759&lt;P759),AND(S759&lt;&gt;"",S759&lt;R759),AND(S759&lt;&gt;"",R759=""),AND(T759&lt;&gt;"",T759&lt;O759),AND(U759&lt;&gt;"",U759&lt;O759)),"Chronologie incohérente",IF(AND(OR(L759="Résolu",L759="Clos"),R759=""),"Date de résolution manquante",IF(AND(L759="Clos",S759=""),"Date de clôture manquante",IF(AND(K759="Oui",AC759=""),"Classification DORA manquante","OK"))))))</f>
        <v/>
      </c>
      <c r="AO759" s="35" t="str">
        <f aca="false">IF($B759="","",IF(AND(C759="Incident",L759&lt;&gt;"Annulé"),1,0))</f>
        <v/>
      </c>
      <c r="AP759" s="35" t="str">
        <f aca="false">IF($B759="","",IF(AND(C759="Quasi-incident",L759&lt;&gt;"Annulé"),1,0))</f>
        <v/>
      </c>
      <c r="AQ759" s="35" t="str">
        <f aca="false">IF($B759="","",AO759+AP759)</f>
        <v/>
      </c>
      <c r="AR759" s="36" t="str">
        <f aca="false">IF(OR($B759="",J759=""),"",IFERROR(VALUE(LEFT(J759,1)),""))</f>
        <v/>
      </c>
      <c r="AS759" s="35" t="str">
        <f aca="false">IF(OR(AO759&lt;&gt;1,G759=""),"",IFERROR(IF(INDEX(L_SrcInterne,MATCH(G759,L_Sources,0))="Oui",1,0),""))</f>
        <v/>
      </c>
      <c r="AT759" s="37" t="str">
        <f aca="false">IF(AO759&lt;&gt;1,"",IFERROR(ROUND(IF(OR(N759="",O759=""),"",IF(O759&lt;N759,"",ROUND(((NETWORKDAYS(N759,O759,JoursFeries)-1)*(HFer-HOuv)+IF(NETWORKDAYS(O759,O759,JoursFeries),MEDIAN(MOD(O759,1),HFer,HOuv),HFer)-IF(NETWORKDAYS(N759,N759,JoursFeries),MEDIAN(MOD(N759,1),HFer,HOuv),HOuv))*24,4)))/HJour,4),""))</f>
        <v/>
      </c>
      <c r="AU759" s="37" t="str">
        <f aca="false">IF(AO759&lt;&gt;1,"",IF(OR(O759="",P759=""),"",IF(P759&lt;O759,"",ROUND(((NETWORKDAYS(O759,P759,JoursFeries)-1)*(HFer-HOuv)+IF(NETWORKDAYS(P759,P759,JoursFeries),MEDIAN(MOD(P759,1),HFer,HOuv),HFer)-IF(NETWORKDAYS(O759,O759,JoursFeries),MEDIAN(MOD(O759,1),HFer,HOuv),HOuv))*24,4))))</f>
        <v/>
      </c>
      <c r="AV759" s="37" t="str">
        <f aca="false">IF(AO759&lt;&gt;1,"",IF(OR(P759="",Q759=""),"",IF(Q759&lt;P759,"",ROUND(((NETWORKDAYS(P759,Q759,JoursFeries)-1)*(HFer-HOuv)+IF(NETWORKDAYS(Q759,Q759,JoursFeries),MEDIAN(MOD(Q759,1),HFer,HOuv),HFer)-IF(NETWORKDAYS(P759,P759,JoursFeries),MEDIAN(MOD(P759,1),HFer,HOuv),HOuv))*24,4))))</f>
        <v/>
      </c>
      <c r="AW759" s="37" t="str">
        <f aca="false">IF(AO759&lt;&gt;1,"",IFERROR(ROUND(IF(OR(P759="",R759=""),"",IF(R759&lt;P759,"",ROUND(((NETWORKDAYS(P759,R759,JoursFeries)-1)*(HFer-HOuv)+IF(NETWORKDAYS(R759,R759,JoursFeries),MEDIAN(MOD(R759,1),HFer,HOuv),HFer)-IF(NETWORKDAYS(P759,P759,JoursFeries),MEDIAN(MOD(P759,1),HFer,HOuv),HOuv))*24,4)))/HJour,4),""))</f>
        <v/>
      </c>
      <c r="AX759" s="37" t="str">
        <f aca="false">IF(AO759&lt;&gt;1,"",IFERROR(ROUND(IF(OR(P759="",S759=""),"",IF(S759&lt;P759,"",ROUND(((NETWORKDAYS(P759,S759,JoursFeries)-1)*(HFer-HOuv)+IF(NETWORKDAYS(S759,S759,JoursFeries),MEDIAN(MOD(S759,1),HFer,HOuv),HFer)-IF(NETWORKDAYS(P759,P759,JoursFeries),MEDIAN(MOD(P759,1),HFer,HOuv),HOuv))*24,4)))/HJour,4),""))</f>
        <v/>
      </c>
      <c r="AY759" s="36" t="str">
        <f aca="false">IF(OR(AO759&lt;&gt;1,AR759=""),"",INDEX(SLA_PEC,AR759))</f>
        <v/>
      </c>
      <c r="AZ759" s="35" t="str">
        <f aca="false">IF(OR(AV759="",AY759=""),"",IF(AV759&lt;=AY759,1,0))</f>
        <v/>
      </c>
      <c r="BA759" s="36" t="str">
        <f aca="false">IF(OR(AO759&lt;&gt;1,AR759=""),"",INDEX(SLA_RES,AR759))</f>
        <v/>
      </c>
      <c r="BB759" s="35" t="str">
        <f aca="false">IF(OR(AW759="",BA759=""),"",IF(AW759&lt;=BA759,1,0))</f>
        <v/>
      </c>
      <c r="BC759" s="38" t="str">
        <f aca="false">IF(OR(BA759="",P759=""),"",WORKDAY(INT(P759),BA759,JoursFeries)+MOD(P759,1))</f>
        <v/>
      </c>
      <c r="BD759" s="39" t="str">
        <f aca="false">IF(AO759&lt;&gt;1,"",IF(OR(AB759&lt;&gt;"",AD759&lt;&gt;""),4,IF(U759&lt;&gt;"",3,IF(T759&lt;&gt;"",2,1))))</f>
        <v/>
      </c>
      <c r="BE759" s="39" t="str">
        <f aca="false">IF(OR(AO759&lt;&gt;1,AR759=""),"",INDEX(NIV_REQ,AR759))</f>
        <v/>
      </c>
      <c r="BF759" s="39" t="str">
        <f aca="false">IF(BE759="","",MAX(BE759,IF(OR(K759="Oui",Z759="Oui"),4,1)))</f>
        <v/>
      </c>
      <c r="BG759" s="35" t="str">
        <f aca="false">IF(OR(BF759="",BD759=""),"",IF(BD759&gt;=BF759,1,0))</f>
        <v/>
      </c>
      <c r="BH759" s="38" t="str">
        <f aca="false">IF(BE759="","",IF(BE759&lt;2,"",IF(BE759=2,IF(AND(T759="",U759=""),"",MIN(T759,U759)),IF(U759="","",U759))))</f>
        <v/>
      </c>
      <c r="BI759" s="37" t="str">
        <f aca="false">IF(BH759="","",IF(OR(O759="",BH759=""),"",IF(BH759&lt;O759,"",ROUND(((NETWORKDAYS(O759,BH759,JoursFeries)-1)*(HFer-HOuv)+IF(NETWORKDAYS(BH759,BH759,JoursFeries),MEDIAN(MOD(BH759,1),HFer,HOuv),HFer)-IF(NETWORKDAYS(O759,O759,JoursFeries),MEDIAN(MOD(O759,1),HFer,HOuv),HOuv))*24,4))))</f>
        <v/>
      </c>
      <c r="BJ759" s="35" t="str">
        <f aca="false">IF(OR(BI759="",AR759=""),"",IF(BI759&lt;=INDEX(DELAI_ESC,AR759),1,0))</f>
        <v/>
      </c>
      <c r="BK759" s="38" t="str">
        <f aca="false">IF(AO759&lt;&gt;1,"",IF(AND(T759="",U759=""),"",MIN(T759,U759)))</f>
        <v/>
      </c>
      <c r="BL759" s="37" t="str">
        <f aca="false">IF(OR(BK759="",R759=""),"",IFERROR(ROUND(IF(OR(BK759="",R759=""),"",IF(R759&lt;BK759,"",ROUND(((NETWORKDAYS(BK759,R759,JoursFeries)-1)*(HFer-HOuv)+IF(NETWORKDAYS(R759,R759,JoursFeries),MEDIAN(MOD(R759,1),HFer,HOuv),HFer)-IF(NETWORKDAYS(BK759,BK759,JoursFeries),MEDIAN(MOD(BK759,1),HFer,HOuv),HOuv))*24,4)))/HJour,4),""))</f>
        <v/>
      </c>
      <c r="BM759" s="35" t="str">
        <f aca="false">IF(OR(AO759&lt;&gt;1,R759=""),"",IF(BD759=1,1,0))</f>
        <v/>
      </c>
      <c r="BN759" s="35" t="str">
        <f aca="false">IF(AO759&lt;&gt;1,"",IF(W759="Oui",1,0))</f>
        <v/>
      </c>
      <c r="BO759" s="35" t="str">
        <f aca="false">IF(AO759&lt;&gt;1,"",IF(X759&lt;&gt;"",1,0))</f>
        <v/>
      </c>
      <c r="BP759" s="35" t="str">
        <f aca="false">IF(AO759&lt;&gt;1,"",IF(Y759="Oui",1,0))</f>
        <v/>
      </c>
      <c r="BQ759" s="35" t="str">
        <f aca="true">IF(OR(AO759&lt;&gt;1,Z759&lt;&gt;"Oui"),"",IF(AB759="",IF(AND(AA759&lt;&gt;"",NOW()&gt;AA759),0,""),IF(AA759="","",IF(AB759&lt;=AA759,1,0))))</f>
        <v/>
      </c>
      <c r="BR759" s="38" t="str">
        <f aca="false">IF(OR(AO759&lt;&gt;1,K759&lt;&gt;"Oui",O759=""),"",IF(AC759="",O759+DORA_H_DET/24,IF(AC759-O759&lt;=DORA_H_DET/24,MIN(AC759+DORA_H_CLA/24,O759+DORA_H_DET/24),AC759+DORA_H_CLA/24)))</f>
        <v/>
      </c>
      <c r="BS759" s="35" t="str">
        <f aca="true">IF(BR759="","",IF(AD759="",IF(NOW()&gt;BR759,0,""),IF(AD759&lt;=BR759,1,0)))</f>
        <v/>
      </c>
      <c r="BT759" s="35" t="str">
        <f aca="true">IF(OR(BR759="",AD759=""),"",IF(AE759="",IF(NOW()&gt;AD759+DORA_H_INT/24,0,""),IF(AE759&lt;=AD759+DORA_H_INT/24,1,0)))</f>
        <v/>
      </c>
      <c r="BU759" s="35" t="str">
        <f aca="true">IF(OR(BR759="",AE759=""),"",IF(AF759="",IF(NOW()&gt;EDATE(AE759,DORA_M_FIN)+1,0,""),IF(AF759&lt;=EDATE(AE759,DORA_M_FIN),1,0)))</f>
        <v/>
      </c>
      <c r="BV759" s="35" t="str">
        <f aca="false">IF(BR759="","",IF(COUNT(BS759:BU759)=0,"",MIN(BS759:BU759)))</f>
        <v/>
      </c>
      <c r="BW759" s="40" t="str">
        <f aca="false">IF(AQ759&lt;&gt;1,"",IF(AND(AG759="",AH759=""),"",N(AG759)-N(AH759)))</f>
        <v/>
      </c>
      <c r="BX759" s="35" t="str">
        <f aca="true">IF(OR(AQ759&lt;&gt;1,AI759&lt;&gt;"Oui",AJ759=""),"",IF(AK759="",IF(NOW()&gt;AJ759+1,0,""),IF(AK759&lt;=AJ759,1,0)))</f>
        <v/>
      </c>
    </row>
    <row r="760" customFormat="false" ht="15" hidden="false" customHeight="false" outlineLevel="0" collapsed="false">
      <c r="B760" s="29"/>
      <c r="C760" s="29"/>
      <c r="D760" s="29"/>
      <c r="E760" s="29"/>
      <c r="F760" s="29"/>
      <c r="G760" s="29"/>
      <c r="H760" s="29"/>
      <c r="I760" s="29"/>
      <c r="J760" s="29"/>
      <c r="K760" s="29"/>
      <c r="L760" s="29"/>
      <c r="M760" s="29"/>
      <c r="N760" s="30"/>
      <c r="O760" s="30"/>
      <c r="P760" s="30"/>
      <c r="Q760" s="30"/>
      <c r="R760" s="30"/>
      <c r="S760" s="30"/>
      <c r="T760" s="30"/>
      <c r="U760" s="30"/>
      <c r="V760" s="31"/>
      <c r="W760" s="29"/>
      <c r="X760" s="29"/>
      <c r="Y760" s="29"/>
      <c r="Z760" s="29"/>
      <c r="AA760" s="30"/>
      <c r="AB760" s="30"/>
      <c r="AC760" s="30"/>
      <c r="AD760" s="30"/>
      <c r="AE760" s="30"/>
      <c r="AF760" s="32"/>
      <c r="AG760" s="33"/>
      <c r="AH760" s="33"/>
      <c r="AI760" s="29"/>
      <c r="AJ760" s="32"/>
      <c r="AK760" s="32"/>
      <c r="AL760" s="29"/>
      <c r="AN760" s="34" t="str">
        <f aca="false">IF($B760="","",IF(OR(C760="",D760="",E760="",G760="",I760="",J760="",L760="",O760="",P760=""),"Champ obligatoire manquant",IF(OR(AND(N760&lt;&gt;"",N760&gt;O760),O760&gt;P760,AND(Q760&lt;&gt;"",Q760&lt;P760),AND(R760&lt;&gt;"",R760&lt;P760),AND(S760&lt;&gt;"",S760&lt;R760),AND(S760&lt;&gt;"",R760=""),AND(T760&lt;&gt;"",T760&lt;O760),AND(U760&lt;&gt;"",U760&lt;O760)),"Chronologie incohérente",IF(AND(OR(L760="Résolu",L760="Clos"),R760=""),"Date de résolution manquante",IF(AND(L760="Clos",S760=""),"Date de clôture manquante",IF(AND(K760="Oui",AC760=""),"Classification DORA manquante","OK"))))))</f>
        <v/>
      </c>
      <c r="AO760" s="35" t="str">
        <f aca="false">IF($B760="","",IF(AND(C760="Incident",L760&lt;&gt;"Annulé"),1,0))</f>
        <v/>
      </c>
      <c r="AP760" s="35" t="str">
        <f aca="false">IF($B760="","",IF(AND(C760="Quasi-incident",L760&lt;&gt;"Annulé"),1,0))</f>
        <v/>
      </c>
      <c r="AQ760" s="35" t="str">
        <f aca="false">IF($B760="","",AO760+AP760)</f>
        <v/>
      </c>
      <c r="AR760" s="36" t="str">
        <f aca="false">IF(OR($B760="",J760=""),"",IFERROR(VALUE(LEFT(J760,1)),""))</f>
        <v/>
      </c>
      <c r="AS760" s="35" t="str">
        <f aca="false">IF(OR(AO760&lt;&gt;1,G760=""),"",IFERROR(IF(INDEX(L_SrcInterne,MATCH(G760,L_Sources,0))="Oui",1,0),""))</f>
        <v/>
      </c>
      <c r="AT760" s="37" t="str">
        <f aca="false">IF(AO760&lt;&gt;1,"",IFERROR(ROUND(IF(OR(N760="",O760=""),"",IF(O760&lt;N760,"",ROUND(((NETWORKDAYS(N760,O760,JoursFeries)-1)*(HFer-HOuv)+IF(NETWORKDAYS(O760,O760,JoursFeries),MEDIAN(MOD(O760,1),HFer,HOuv),HFer)-IF(NETWORKDAYS(N760,N760,JoursFeries),MEDIAN(MOD(N760,1),HFer,HOuv),HOuv))*24,4)))/HJour,4),""))</f>
        <v/>
      </c>
      <c r="AU760" s="37" t="str">
        <f aca="false">IF(AO760&lt;&gt;1,"",IF(OR(O760="",P760=""),"",IF(P760&lt;O760,"",ROUND(((NETWORKDAYS(O760,P760,JoursFeries)-1)*(HFer-HOuv)+IF(NETWORKDAYS(P760,P760,JoursFeries),MEDIAN(MOD(P760,1),HFer,HOuv),HFer)-IF(NETWORKDAYS(O760,O760,JoursFeries),MEDIAN(MOD(O760,1),HFer,HOuv),HOuv))*24,4))))</f>
        <v/>
      </c>
      <c r="AV760" s="37" t="str">
        <f aca="false">IF(AO760&lt;&gt;1,"",IF(OR(P760="",Q760=""),"",IF(Q760&lt;P760,"",ROUND(((NETWORKDAYS(P760,Q760,JoursFeries)-1)*(HFer-HOuv)+IF(NETWORKDAYS(Q760,Q760,JoursFeries),MEDIAN(MOD(Q760,1),HFer,HOuv),HFer)-IF(NETWORKDAYS(P760,P760,JoursFeries),MEDIAN(MOD(P760,1),HFer,HOuv),HOuv))*24,4))))</f>
        <v/>
      </c>
      <c r="AW760" s="37" t="str">
        <f aca="false">IF(AO760&lt;&gt;1,"",IFERROR(ROUND(IF(OR(P760="",R760=""),"",IF(R760&lt;P760,"",ROUND(((NETWORKDAYS(P760,R760,JoursFeries)-1)*(HFer-HOuv)+IF(NETWORKDAYS(R760,R760,JoursFeries),MEDIAN(MOD(R760,1),HFer,HOuv),HFer)-IF(NETWORKDAYS(P760,P760,JoursFeries),MEDIAN(MOD(P760,1),HFer,HOuv),HOuv))*24,4)))/HJour,4),""))</f>
        <v/>
      </c>
      <c r="AX760" s="37" t="str">
        <f aca="false">IF(AO760&lt;&gt;1,"",IFERROR(ROUND(IF(OR(P760="",S760=""),"",IF(S760&lt;P760,"",ROUND(((NETWORKDAYS(P760,S760,JoursFeries)-1)*(HFer-HOuv)+IF(NETWORKDAYS(S760,S760,JoursFeries),MEDIAN(MOD(S760,1),HFer,HOuv),HFer)-IF(NETWORKDAYS(P760,P760,JoursFeries),MEDIAN(MOD(P760,1),HFer,HOuv),HOuv))*24,4)))/HJour,4),""))</f>
        <v/>
      </c>
      <c r="AY760" s="36" t="str">
        <f aca="false">IF(OR(AO760&lt;&gt;1,AR760=""),"",INDEX(SLA_PEC,AR760))</f>
        <v/>
      </c>
      <c r="AZ760" s="35" t="str">
        <f aca="false">IF(OR(AV760="",AY760=""),"",IF(AV760&lt;=AY760,1,0))</f>
        <v/>
      </c>
      <c r="BA760" s="36" t="str">
        <f aca="false">IF(OR(AO760&lt;&gt;1,AR760=""),"",INDEX(SLA_RES,AR760))</f>
        <v/>
      </c>
      <c r="BB760" s="35" t="str">
        <f aca="false">IF(OR(AW760="",BA760=""),"",IF(AW760&lt;=BA760,1,0))</f>
        <v/>
      </c>
      <c r="BC760" s="38" t="str">
        <f aca="false">IF(OR(BA760="",P760=""),"",WORKDAY(INT(P760),BA760,JoursFeries)+MOD(P760,1))</f>
        <v/>
      </c>
      <c r="BD760" s="39" t="str">
        <f aca="false">IF(AO760&lt;&gt;1,"",IF(OR(AB760&lt;&gt;"",AD760&lt;&gt;""),4,IF(U760&lt;&gt;"",3,IF(T760&lt;&gt;"",2,1))))</f>
        <v/>
      </c>
      <c r="BE760" s="39" t="str">
        <f aca="false">IF(OR(AO760&lt;&gt;1,AR760=""),"",INDEX(NIV_REQ,AR760))</f>
        <v/>
      </c>
      <c r="BF760" s="39" t="str">
        <f aca="false">IF(BE760="","",MAX(BE760,IF(OR(K760="Oui",Z760="Oui"),4,1)))</f>
        <v/>
      </c>
      <c r="BG760" s="35" t="str">
        <f aca="false">IF(OR(BF760="",BD760=""),"",IF(BD760&gt;=BF760,1,0))</f>
        <v/>
      </c>
      <c r="BH760" s="38" t="str">
        <f aca="false">IF(BE760="","",IF(BE760&lt;2,"",IF(BE760=2,IF(AND(T760="",U760=""),"",MIN(T760,U760)),IF(U760="","",U760))))</f>
        <v/>
      </c>
      <c r="BI760" s="37" t="str">
        <f aca="false">IF(BH760="","",IF(OR(O760="",BH760=""),"",IF(BH760&lt;O760,"",ROUND(((NETWORKDAYS(O760,BH760,JoursFeries)-1)*(HFer-HOuv)+IF(NETWORKDAYS(BH760,BH760,JoursFeries),MEDIAN(MOD(BH760,1),HFer,HOuv),HFer)-IF(NETWORKDAYS(O760,O760,JoursFeries),MEDIAN(MOD(O760,1),HFer,HOuv),HOuv))*24,4))))</f>
        <v/>
      </c>
      <c r="BJ760" s="35" t="str">
        <f aca="false">IF(OR(BI760="",AR760=""),"",IF(BI760&lt;=INDEX(DELAI_ESC,AR760),1,0))</f>
        <v/>
      </c>
      <c r="BK760" s="38" t="str">
        <f aca="false">IF(AO760&lt;&gt;1,"",IF(AND(T760="",U760=""),"",MIN(T760,U760)))</f>
        <v/>
      </c>
      <c r="BL760" s="37" t="str">
        <f aca="false">IF(OR(BK760="",R760=""),"",IFERROR(ROUND(IF(OR(BK760="",R760=""),"",IF(R760&lt;BK760,"",ROUND(((NETWORKDAYS(BK760,R760,JoursFeries)-1)*(HFer-HOuv)+IF(NETWORKDAYS(R760,R760,JoursFeries),MEDIAN(MOD(R760,1),HFer,HOuv),HFer)-IF(NETWORKDAYS(BK760,BK760,JoursFeries),MEDIAN(MOD(BK760,1),HFer,HOuv),HOuv))*24,4)))/HJour,4),""))</f>
        <v/>
      </c>
      <c r="BM760" s="35" t="str">
        <f aca="false">IF(OR(AO760&lt;&gt;1,R760=""),"",IF(BD760=1,1,0))</f>
        <v/>
      </c>
      <c r="BN760" s="35" t="str">
        <f aca="false">IF(AO760&lt;&gt;1,"",IF(W760="Oui",1,0))</f>
        <v/>
      </c>
      <c r="BO760" s="35" t="str">
        <f aca="false">IF(AO760&lt;&gt;1,"",IF(X760&lt;&gt;"",1,0))</f>
        <v/>
      </c>
      <c r="BP760" s="35" t="str">
        <f aca="false">IF(AO760&lt;&gt;1,"",IF(Y760="Oui",1,0))</f>
        <v/>
      </c>
      <c r="BQ760" s="35" t="str">
        <f aca="true">IF(OR(AO760&lt;&gt;1,Z760&lt;&gt;"Oui"),"",IF(AB760="",IF(AND(AA760&lt;&gt;"",NOW()&gt;AA760),0,""),IF(AA760="","",IF(AB760&lt;=AA760,1,0))))</f>
        <v/>
      </c>
      <c r="BR760" s="38" t="str">
        <f aca="false">IF(OR(AO760&lt;&gt;1,K760&lt;&gt;"Oui",O760=""),"",IF(AC760="",O760+DORA_H_DET/24,IF(AC760-O760&lt;=DORA_H_DET/24,MIN(AC760+DORA_H_CLA/24,O760+DORA_H_DET/24),AC760+DORA_H_CLA/24)))</f>
        <v/>
      </c>
      <c r="BS760" s="35" t="str">
        <f aca="true">IF(BR760="","",IF(AD760="",IF(NOW()&gt;BR760,0,""),IF(AD760&lt;=BR760,1,0)))</f>
        <v/>
      </c>
      <c r="BT760" s="35" t="str">
        <f aca="true">IF(OR(BR760="",AD760=""),"",IF(AE760="",IF(NOW()&gt;AD760+DORA_H_INT/24,0,""),IF(AE760&lt;=AD760+DORA_H_INT/24,1,0)))</f>
        <v/>
      </c>
      <c r="BU760" s="35" t="str">
        <f aca="true">IF(OR(BR760="",AE760=""),"",IF(AF760="",IF(NOW()&gt;EDATE(AE760,DORA_M_FIN)+1,0,""),IF(AF760&lt;=EDATE(AE760,DORA_M_FIN),1,0)))</f>
        <v/>
      </c>
      <c r="BV760" s="35" t="str">
        <f aca="false">IF(BR760="","",IF(COUNT(BS760:BU760)=0,"",MIN(BS760:BU760)))</f>
        <v/>
      </c>
      <c r="BW760" s="40" t="str">
        <f aca="false">IF(AQ760&lt;&gt;1,"",IF(AND(AG760="",AH760=""),"",N(AG760)-N(AH760)))</f>
        <v/>
      </c>
      <c r="BX760" s="35" t="str">
        <f aca="true">IF(OR(AQ760&lt;&gt;1,AI760&lt;&gt;"Oui",AJ760=""),"",IF(AK760="",IF(NOW()&gt;AJ760+1,0,""),IF(AK760&lt;=AJ760,1,0)))</f>
        <v/>
      </c>
    </row>
    <row r="761" customFormat="false" ht="15" hidden="false" customHeight="false" outlineLevel="0" collapsed="false">
      <c r="B761" s="29"/>
      <c r="C761" s="29"/>
      <c r="D761" s="29"/>
      <c r="E761" s="29"/>
      <c r="F761" s="29"/>
      <c r="G761" s="29"/>
      <c r="H761" s="29"/>
      <c r="I761" s="29"/>
      <c r="J761" s="29"/>
      <c r="K761" s="29"/>
      <c r="L761" s="29"/>
      <c r="M761" s="29"/>
      <c r="N761" s="30"/>
      <c r="O761" s="30"/>
      <c r="P761" s="30"/>
      <c r="Q761" s="30"/>
      <c r="R761" s="30"/>
      <c r="S761" s="30"/>
      <c r="T761" s="30"/>
      <c r="U761" s="30"/>
      <c r="V761" s="31"/>
      <c r="W761" s="29"/>
      <c r="X761" s="29"/>
      <c r="Y761" s="29"/>
      <c r="Z761" s="29"/>
      <c r="AA761" s="30"/>
      <c r="AB761" s="30"/>
      <c r="AC761" s="30"/>
      <c r="AD761" s="30"/>
      <c r="AE761" s="30"/>
      <c r="AF761" s="32"/>
      <c r="AG761" s="33"/>
      <c r="AH761" s="33"/>
      <c r="AI761" s="29"/>
      <c r="AJ761" s="32"/>
      <c r="AK761" s="32"/>
      <c r="AL761" s="29"/>
      <c r="AN761" s="34" t="str">
        <f aca="false">IF($B761="","",IF(OR(C761="",D761="",E761="",G761="",I761="",J761="",L761="",O761="",P761=""),"Champ obligatoire manquant",IF(OR(AND(N761&lt;&gt;"",N761&gt;O761),O761&gt;P761,AND(Q761&lt;&gt;"",Q761&lt;P761),AND(R761&lt;&gt;"",R761&lt;P761),AND(S761&lt;&gt;"",S761&lt;R761),AND(S761&lt;&gt;"",R761=""),AND(T761&lt;&gt;"",T761&lt;O761),AND(U761&lt;&gt;"",U761&lt;O761)),"Chronologie incohérente",IF(AND(OR(L761="Résolu",L761="Clos"),R761=""),"Date de résolution manquante",IF(AND(L761="Clos",S761=""),"Date de clôture manquante",IF(AND(K761="Oui",AC761=""),"Classification DORA manquante","OK"))))))</f>
        <v/>
      </c>
      <c r="AO761" s="35" t="str">
        <f aca="false">IF($B761="","",IF(AND(C761="Incident",L761&lt;&gt;"Annulé"),1,0))</f>
        <v/>
      </c>
      <c r="AP761" s="35" t="str">
        <f aca="false">IF($B761="","",IF(AND(C761="Quasi-incident",L761&lt;&gt;"Annulé"),1,0))</f>
        <v/>
      </c>
      <c r="AQ761" s="35" t="str">
        <f aca="false">IF($B761="","",AO761+AP761)</f>
        <v/>
      </c>
      <c r="AR761" s="36" t="str">
        <f aca="false">IF(OR($B761="",J761=""),"",IFERROR(VALUE(LEFT(J761,1)),""))</f>
        <v/>
      </c>
      <c r="AS761" s="35" t="str">
        <f aca="false">IF(OR(AO761&lt;&gt;1,G761=""),"",IFERROR(IF(INDEX(L_SrcInterne,MATCH(G761,L_Sources,0))="Oui",1,0),""))</f>
        <v/>
      </c>
      <c r="AT761" s="37" t="str">
        <f aca="false">IF(AO761&lt;&gt;1,"",IFERROR(ROUND(IF(OR(N761="",O761=""),"",IF(O761&lt;N761,"",ROUND(((NETWORKDAYS(N761,O761,JoursFeries)-1)*(HFer-HOuv)+IF(NETWORKDAYS(O761,O761,JoursFeries),MEDIAN(MOD(O761,1),HFer,HOuv),HFer)-IF(NETWORKDAYS(N761,N761,JoursFeries),MEDIAN(MOD(N761,1),HFer,HOuv),HOuv))*24,4)))/HJour,4),""))</f>
        <v/>
      </c>
      <c r="AU761" s="37" t="str">
        <f aca="false">IF(AO761&lt;&gt;1,"",IF(OR(O761="",P761=""),"",IF(P761&lt;O761,"",ROUND(((NETWORKDAYS(O761,P761,JoursFeries)-1)*(HFer-HOuv)+IF(NETWORKDAYS(P761,P761,JoursFeries),MEDIAN(MOD(P761,1),HFer,HOuv),HFer)-IF(NETWORKDAYS(O761,O761,JoursFeries),MEDIAN(MOD(O761,1),HFer,HOuv),HOuv))*24,4))))</f>
        <v/>
      </c>
      <c r="AV761" s="37" t="str">
        <f aca="false">IF(AO761&lt;&gt;1,"",IF(OR(P761="",Q761=""),"",IF(Q761&lt;P761,"",ROUND(((NETWORKDAYS(P761,Q761,JoursFeries)-1)*(HFer-HOuv)+IF(NETWORKDAYS(Q761,Q761,JoursFeries),MEDIAN(MOD(Q761,1),HFer,HOuv),HFer)-IF(NETWORKDAYS(P761,P761,JoursFeries),MEDIAN(MOD(P761,1),HFer,HOuv),HOuv))*24,4))))</f>
        <v/>
      </c>
      <c r="AW761" s="37" t="str">
        <f aca="false">IF(AO761&lt;&gt;1,"",IFERROR(ROUND(IF(OR(P761="",R761=""),"",IF(R761&lt;P761,"",ROUND(((NETWORKDAYS(P761,R761,JoursFeries)-1)*(HFer-HOuv)+IF(NETWORKDAYS(R761,R761,JoursFeries),MEDIAN(MOD(R761,1),HFer,HOuv),HFer)-IF(NETWORKDAYS(P761,P761,JoursFeries),MEDIAN(MOD(P761,1),HFer,HOuv),HOuv))*24,4)))/HJour,4),""))</f>
        <v/>
      </c>
      <c r="AX761" s="37" t="str">
        <f aca="false">IF(AO761&lt;&gt;1,"",IFERROR(ROUND(IF(OR(P761="",S761=""),"",IF(S761&lt;P761,"",ROUND(((NETWORKDAYS(P761,S761,JoursFeries)-1)*(HFer-HOuv)+IF(NETWORKDAYS(S761,S761,JoursFeries),MEDIAN(MOD(S761,1),HFer,HOuv),HFer)-IF(NETWORKDAYS(P761,P761,JoursFeries),MEDIAN(MOD(P761,1),HFer,HOuv),HOuv))*24,4)))/HJour,4),""))</f>
        <v/>
      </c>
      <c r="AY761" s="36" t="str">
        <f aca="false">IF(OR(AO761&lt;&gt;1,AR761=""),"",INDEX(SLA_PEC,AR761))</f>
        <v/>
      </c>
      <c r="AZ761" s="35" t="str">
        <f aca="false">IF(OR(AV761="",AY761=""),"",IF(AV761&lt;=AY761,1,0))</f>
        <v/>
      </c>
      <c r="BA761" s="36" t="str">
        <f aca="false">IF(OR(AO761&lt;&gt;1,AR761=""),"",INDEX(SLA_RES,AR761))</f>
        <v/>
      </c>
      <c r="BB761" s="35" t="str">
        <f aca="false">IF(OR(AW761="",BA761=""),"",IF(AW761&lt;=BA761,1,0))</f>
        <v/>
      </c>
      <c r="BC761" s="38" t="str">
        <f aca="false">IF(OR(BA761="",P761=""),"",WORKDAY(INT(P761),BA761,JoursFeries)+MOD(P761,1))</f>
        <v/>
      </c>
      <c r="BD761" s="39" t="str">
        <f aca="false">IF(AO761&lt;&gt;1,"",IF(OR(AB761&lt;&gt;"",AD761&lt;&gt;""),4,IF(U761&lt;&gt;"",3,IF(T761&lt;&gt;"",2,1))))</f>
        <v/>
      </c>
      <c r="BE761" s="39" t="str">
        <f aca="false">IF(OR(AO761&lt;&gt;1,AR761=""),"",INDEX(NIV_REQ,AR761))</f>
        <v/>
      </c>
      <c r="BF761" s="39" t="str">
        <f aca="false">IF(BE761="","",MAX(BE761,IF(OR(K761="Oui",Z761="Oui"),4,1)))</f>
        <v/>
      </c>
      <c r="BG761" s="35" t="str">
        <f aca="false">IF(OR(BF761="",BD761=""),"",IF(BD761&gt;=BF761,1,0))</f>
        <v/>
      </c>
      <c r="BH761" s="38" t="str">
        <f aca="false">IF(BE761="","",IF(BE761&lt;2,"",IF(BE761=2,IF(AND(T761="",U761=""),"",MIN(T761,U761)),IF(U761="","",U761))))</f>
        <v/>
      </c>
      <c r="BI761" s="37" t="str">
        <f aca="false">IF(BH761="","",IF(OR(O761="",BH761=""),"",IF(BH761&lt;O761,"",ROUND(((NETWORKDAYS(O761,BH761,JoursFeries)-1)*(HFer-HOuv)+IF(NETWORKDAYS(BH761,BH761,JoursFeries),MEDIAN(MOD(BH761,1),HFer,HOuv),HFer)-IF(NETWORKDAYS(O761,O761,JoursFeries),MEDIAN(MOD(O761,1),HFer,HOuv),HOuv))*24,4))))</f>
        <v/>
      </c>
      <c r="BJ761" s="35" t="str">
        <f aca="false">IF(OR(BI761="",AR761=""),"",IF(BI761&lt;=INDEX(DELAI_ESC,AR761),1,0))</f>
        <v/>
      </c>
      <c r="BK761" s="38" t="str">
        <f aca="false">IF(AO761&lt;&gt;1,"",IF(AND(T761="",U761=""),"",MIN(T761,U761)))</f>
        <v/>
      </c>
      <c r="BL761" s="37" t="str">
        <f aca="false">IF(OR(BK761="",R761=""),"",IFERROR(ROUND(IF(OR(BK761="",R761=""),"",IF(R761&lt;BK761,"",ROUND(((NETWORKDAYS(BK761,R761,JoursFeries)-1)*(HFer-HOuv)+IF(NETWORKDAYS(R761,R761,JoursFeries),MEDIAN(MOD(R761,1),HFer,HOuv),HFer)-IF(NETWORKDAYS(BK761,BK761,JoursFeries),MEDIAN(MOD(BK761,1),HFer,HOuv),HOuv))*24,4)))/HJour,4),""))</f>
        <v/>
      </c>
      <c r="BM761" s="35" t="str">
        <f aca="false">IF(OR(AO761&lt;&gt;1,R761=""),"",IF(BD761=1,1,0))</f>
        <v/>
      </c>
      <c r="BN761" s="35" t="str">
        <f aca="false">IF(AO761&lt;&gt;1,"",IF(W761="Oui",1,0))</f>
        <v/>
      </c>
      <c r="BO761" s="35" t="str">
        <f aca="false">IF(AO761&lt;&gt;1,"",IF(X761&lt;&gt;"",1,0))</f>
        <v/>
      </c>
      <c r="BP761" s="35" t="str">
        <f aca="false">IF(AO761&lt;&gt;1,"",IF(Y761="Oui",1,0))</f>
        <v/>
      </c>
      <c r="BQ761" s="35" t="str">
        <f aca="true">IF(OR(AO761&lt;&gt;1,Z761&lt;&gt;"Oui"),"",IF(AB761="",IF(AND(AA761&lt;&gt;"",NOW()&gt;AA761),0,""),IF(AA761="","",IF(AB761&lt;=AA761,1,0))))</f>
        <v/>
      </c>
      <c r="BR761" s="38" t="str">
        <f aca="false">IF(OR(AO761&lt;&gt;1,K761&lt;&gt;"Oui",O761=""),"",IF(AC761="",O761+DORA_H_DET/24,IF(AC761-O761&lt;=DORA_H_DET/24,MIN(AC761+DORA_H_CLA/24,O761+DORA_H_DET/24),AC761+DORA_H_CLA/24)))</f>
        <v/>
      </c>
      <c r="BS761" s="35" t="str">
        <f aca="true">IF(BR761="","",IF(AD761="",IF(NOW()&gt;BR761,0,""),IF(AD761&lt;=BR761,1,0)))</f>
        <v/>
      </c>
      <c r="BT761" s="35" t="str">
        <f aca="true">IF(OR(BR761="",AD761=""),"",IF(AE761="",IF(NOW()&gt;AD761+DORA_H_INT/24,0,""),IF(AE761&lt;=AD761+DORA_H_INT/24,1,0)))</f>
        <v/>
      </c>
      <c r="BU761" s="35" t="str">
        <f aca="true">IF(OR(BR761="",AE761=""),"",IF(AF761="",IF(NOW()&gt;EDATE(AE761,DORA_M_FIN)+1,0,""),IF(AF761&lt;=EDATE(AE761,DORA_M_FIN),1,0)))</f>
        <v/>
      </c>
      <c r="BV761" s="35" t="str">
        <f aca="false">IF(BR761="","",IF(COUNT(BS761:BU761)=0,"",MIN(BS761:BU761)))</f>
        <v/>
      </c>
      <c r="BW761" s="40" t="str">
        <f aca="false">IF(AQ761&lt;&gt;1,"",IF(AND(AG761="",AH761=""),"",N(AG761)-N(AH761)))</f>
        <v/>
      </c>
      <c r="BX761" s="35" t="str">
        <f aca="true">IF(OR(AQ761&lt;&gt;1,AI761&lt;&gt;"Oui",AJ761=""),"",IF(AK761="",IF(NOW()&gt;AJ761+1,0,""),IF(AK761&lt;=AJ761,1,0)))</f>
        <v/>
      </c>
    </row>
    <row r="762" customFormat="false" ht="15" hidden="false" customHeight="false" outlineLevel="0" collapsed="false">
      <c r="B762" s="29"/>
      <c r="C762" s="29"/>
      <c r="D762" s="29"/>
      <c r="E762" s="29"/>
      <c r="F762" s="29"/>
      <c r="G762" s="29"/>
      <c r="H762" s="29"/>
      <c r="I762" s="29"/>
      <c r="J762" s="29"/>
      <c r="K762" s="29"/>
      <c r="L762" s="29"/>
      <c r="M762" s="29"/>
      <c r="N762" s="30"/>
      <c r="O762" s="30"/>
      <c r="P762" s="30"/>
      <c r="Q762" s="30"/>
      <c r="R762" s="30"/>
      <c r="S762" s="30"/>
      <c r="T762" s="30"/>
      <c r="U762" s="30"/>
      <c r="V762" s="31"/>
      <c r="W762" s="29"/>
      <c r="X762" s="29"/>
      <c r="Y762" s="29"/>
      <c r="Z762" s="29"/>
      <c r="AA762" s="30"/>
      <c r="AB762" s="30"/>
      <c r="AC762" s="30"/>
      <c r="AD762" s="30"/>
      <c r="AE762" s="30"/>
      <c r="AF762" s="32"/>
      <c r="AG762" s="33"/>
      <c r="AH762" s="33"/>
      <c r="AI762" s="29"/>
      <c r="AJ762" s="32"/>
      <c r="AK762" s="32"/>
      <c r="AL762" s="29"/>
      <c r="AN762" s="34" t="str">
        <f aca="false">IF($B762="","",IF(OR(C762="",D762="",E762="",G762="",I762="",J762="",L762="",O762="",P762=""),"Champ obligatoire manquant",IF(OR(AND(N762&lt;&gt;"",N762&gt;O762),O762&gt;P762,AND(Q762&lt;&gt;"",Q762&lt;P762),AND(R762&lt;&gt;"",R762&lt;P762),AND(S762&lt;&gt;"",S762&lt;R762),AND(S762&lt;&gt;"",R762=""),AND(T762&lt;&gt;"",T762&lt;O762),AND(U762&lt;&gt;"",U762&lt;O762)),"Chronologie incohérente",IF(AND(OR(L762="Résolu",L762="Clos"),R762=""),"Date de résolution manquante",IF(AND(L762="Clos",S762=""),"Date de clôture manquante",IF(AND(K762="Oui",AC762=""),"Classification DORA manquante","OK"))))))</f>
        <v/>
      </c>
      <c r="AO762" s="35" t="str">
        <f aca="false">IF($B762="","",IF(AND(C762="Incident",L762&lt;&gt;"Annulé"),1,0))</f>
        <v/>
      </c>
      <c r="AP762" s="35" t="str">
        <f aca="false">IF($B762="","",IF(AND(C762="Quasi-incident",L762&lt;&gt;"Annulé"),1,0))</f>
        <v/>
      </c>
      <c r="AQ762" s="35" t="str">
        <f aca="false">IF($B762="","",AO762+AP762)</f>
        <v/>
      </c>
      <c r="AR762" s="36" t="str">
        <f aca="false">IF(OR($B762="",J762=""),"",IFERROR(VALUE(LEFT(J762,1)),""))</f>
        <v/>
      </c>
      <c r="AS762" s="35" t="str">
        <f aca="false">IF(OR(AO762&lt;&gt;1,G762=""),"",IFERROR(IF(INDEX(L_SrcInterne,MATCH(G762,L_Sources,0))="Oui",1,0),""))</f>
        <v/>
      </c>
      <c r="AT762" s="37" t="str">
        <f aca="false">IF(AO762&lt;&gt;1,"",IFERROR(ROUND(IF(OR(N762="",O762=""),"",IF(O762&lt;N762,"",ROUND(((NETWORKDAYS(N762,O762,JoursFeries)-1)*(HFer-HOuv)+IF(NETWORKDAYS(O762,O762,JoursFeries),MEDIAN(MOD(O762,1),HFer,HOuv),HFer)-IF(NETWORKDAYS(N762,N762,JoursFeries),MEDIAN(MOD(N762,1),HFer,HOuv),HOuv))*24,4)))/HJour,4),""))</f>
        <v/>
      </c>
      <c r="AU762" s="37" t="str">
        <f aca="false">IF(AO762&lt;&gt;1,"",IF(OR(O762="",P762=""),"",IF(P762&lt;O762,"",ROUND(((NETWORKDAYS(O762,P762,JoursFeries)-1)*(HFer-HOuv)+IF(NETWORKDAYS(P762,P762,JoursFeries),MEDIAN(MOD(P762,1),HFer,HOuv),HFer)-IF(NETWORKDAYS(O762,O762,JoursFeries),MEDIAN(MOD(O762,1),HFer,HOuv),HOuv))*24,4))))</f>
        <v/>
      </c>
      <c r="AV762" s="37" t="str">
        <f aca="false">IF(AO762&lt;&gt;1,"",IF(OR(P762="",Q762=""),"",IF(Q762&lt;P762,"",ROUND(((NETWORKDAYS(P762,Q762,JoursFeries)-1)*(HFer-HOuv)+IF(NETWORKDAYS(Q762,Q762,JoursFeries),MEDIAN(MOD(Q762,1),HFer,HOuv),HFer)-IF(NETWORKDAYS(P762,P762,JoursFeries),MEDIAN(MOD(P762,1),HFer,HOuv),HOuv))*24,4))))</f>
        <v/>
      </c>
      <c r="AW762" s="37" t="str">
        <f aca="false">IF(AO762&lt;&gt;1,"",IFERROR(ROUND(IF(OR(P762="",R762=""),"",IF(R762&lt;P762,"",ROUND(((NETWORKDAYS(P762,R762,JoursFeries)-1)*(HFer-HOuv)+IF(NETWORKDAYS(R762,R762,JoursFeries),MEDIAN(MOD(R762,1),HFer,HOuv),HFer)-IF(NETWORKDAYS(P762,P762,JoursFeries),MEDIAN(MOD(P762,1),HFer,HOuv),HOuv))*24,4)))/HJour,4),""))</f>
        <v/>
      </c>
      <c r="AX762" s="37" t="str">
        <f aca="false">IF(AO762&lt;&gt;1,"",IFERROR(ROUND(IF(OR(P762="",S762=""),"",IF(S762&lt;P762,"",ROUND(((NETWORKDAYS(P762,S762,JoursFeries)-1)*(HFer-HOuv)+IF(NETWORKDAYS(S762,S762,JoursFeries),MEDIAN(MOD(S762,1),HFer,HOuv),HFer)-IF(NETWORKDAYS(P762,P762,JoursFeries),MEDIAN(MOD(P762,1),HFer,HOuv),HOuv))*24,4)))/HJour,4),""))</f>
        <v/>
      </c>
      <c r="AY762" s="36" t="str">
        <f aca="false">IF(OR(AO762&lt;&gt;1,AR762=""),"",INDEX(SLA_PEC,AR762))</f>
        <v/>
      </c>
      <c r="AZ762" s="35" t="str">
        <f aca="false">IF(OR(AV762="",AY762=""),"",IF(AV762&lt;=AY762,1,0))</f>
        <v/>
      </c>
      <c r="BA762" s="36" t="str">
        <f aca="false">IF(OR(AO762&lt;&gt;1,AR762=""),"",INDEX(SLA_RES,AR762))</f>
        <v/>
      </c>
      <c r="BB762" s="35" t="str">
        <f aca="false">IF(OR(AW762="",BA762=""),"",IF(AW762&lt;=BA762,1,0))</f>
        <v/>
      </c>
      <c r="BC762" s="38" t="str">
        <f aca="false">IF(OR(BA762="",P762=""),"",WORKDAY(INT(P762),BA762,JoursFeries)+MOD(P762,1))</f>
        <v/>
      </c>
      <c r="BD762" s="39" t="str">
        <f aca="false">IF(AO762&lt;&gt;1,"",IF(OR(AB762&lt;&gt;"",AD762&lt;&gt;""),4,IF(U762&lt;&gt;"",3,IF(T762&lt;&gt;"",2,1))))</f>
        <v/>
      </c>
      <c r="BE762" s="39" t="str">
        <f aca="false">IF(OR(AO762&lt;&gt;1,AR762=""),"",INDEX(NIV_REQ,AR762))</f>
        <v/>
      </c>
      <c r="BF762" s="39" t="str">
        <f aca="false">IF(BE762="","",MAX(BE762,IF(OR(K762="Oui",Z762="Oui"),4,1)))</f>
        <v/>
      </c>
      <c r="BG762" s="35" t="str">
        <f aca="false">IF(OR(BF762="",BD762=""),"",IF(BD762&gt;=BF762,1,0))</f>
        <v/>
      </c>
      <c r="BH762" s="38" t="str">
        <f aca="false">IF(BE762="","",IF(BE762&lt;2,"",IF(BE762=2,IF(AND(T762="",U762=""),"",MIN(T762,U762)),IF(U762="","",U762))))</f>
        <v/>
      </c>
      <c r="BI762" s="37" t="str">
        <f aca="false">IF(BH762="","",IF(OR(O762="",BH762=""),"",IF(BH762&lt;O762,"",ROUND(((NETWORKDAYS(O762,BH762,JoursFeries)-1)*(HFer-HOuv)+IF(NETWORKDAYS(BH762,BH762,JoursFeries),MEDIAN(MOD(BH762,1),HFer,HOuv),HFer)-IF(NETWORKDAYS(O762,O762,JoursFeries),MEDIAN(MOD(O762,1),HFer,HOuv),HOuv))*24,4))))</f>
        <v/>
      </c>
      <c r="BJ762" s="35" t="str">
        <f aca="false">IF(OR(BI762="",AR762=""),"",IF(BI762&lt;=INDEX(DELAI_ESC,AR762),1,0))</f>
        <v/>
      </c>
      <c r="BK762" s="38" t="str">
        <f aca="false">IF(AO762&lt;&gt;1,"",IF(AND(T762="",U762=""),"",MIN(T762,U762)))</f>
        <v/>
      </c>
      <c r="BL762" s="37" t="str">
        <f aca="false">IF(OR(BK762="",R762=""),"",IFERROR(ROUND(IF(OR(BK762="",R762=""),"",IF(R762&lt;BK762,"",ROUND(((NETWORKDAYS(BK762,R762,JoursFeries)-1)*(HFer-HOuv)+IF(NETWORKDAYS(R762,R762,JoursFeries),MEDIAN(MOD(R762,1),HFer,HOuv),HFer)-IF(NETWORKDAYS(BK762,BK762,JoursFeries),MEDIAN(MOD(BK762,1),HFer,HOuv),HOuv))*24,4)))/HJour,4),""))</f>
        <v/>
      </c>
      <c r="BM762" s="35" t="str">
        <f aca="false">IF(OR(AO762&lt;&gt;1,R762=""),"",IF(BD762=1,1,0))</f>
        <v/>
      </c>
      <c r="BN762" s="35" t="str">
        <f aca="false">IF(AO762&lt;&gt;1,"",IF(W762="Oui",1,0))</f>
        <v/>
      </c>
      <c r="BO762" s="35" t="str">
        <f aca="false">IF(AO762&lt;&gt;1,"",IF(X762&lt;&gt;"",1,0))</f>
        <v/>
      </c>
      <c r="BP762" s="35" t="str">
        <f aca="false">IF(AO762&lt;&gt;1,"",IF(Y762="Oui",1,0))</f>
        <v/>
      </c>
      <c r="BQ762" s="35" t="str">
        <f aca="true">IF(OR(AO762&lt;&gt;1,Z762&lt;&gt;"Oui"),"",IF(AB762="",IF(AND(AA762&lt;&gt;"",NOW()&gt;AA762),0,""),IF(AA762="","",IF(AB762&lt;=AA762,1,0))))</f>
        <v/>
      </c>
      <c r="BR762" s="38" t="str">
        <f aca="false">IF(OR(AO762&lt;&gt;1,K762&lt;&gt;"Oui",O762=""),"",IF(AC762="",O762+DORA_H_DET/24,IF(AC762-O762&lt;=DORA_H_DET/24,MIN(AC762+DORA_H_CLA/24,O762+DORA_H_DET/24),AC762+DORA_H_CLA/24)))</f>
        <v/>
      </c>
      <c r="BS762" s="35" t="str">
        <f aca="true">IF(BR762="","",IF(AD762="",IF(NOW()&gt;BR762,0,""),IF(AD762&lt;=BR762,1,0)))</f>
        <v/>
      </c>
      <c r="BT762" s="35" t="str">
        <f aca="true">IF(OR(BR762="",AD762=""),"",IF(AE762="",IF(NOW()&gt;AD762+DORA_H_INT/24,0,""),IF(AE762&lt;=AD762+DORA_H_INT/24,1,0)))</f>
        <v/>
      </c>
      <c r="BU762" s="35" t="str">
        <f aca="true">IF(OR(BR762="",AE762=""),"",IF(AF762="",IF(NOW()&gt;EDATE(AE762,DORA_M_FIN)+1,0,""),IF(AF762&lt;=EDATE(AE762,DORA_M_FIN),1,0)))</f>
        <v/>
      </c>
      <c r="BV762" s="35" t="str">
        <f aca="false">IF(BR762="","",IF(COUNT(BS762:BU762)=0,"",MIN(BS762:BU762)))</f>
        <v/>
      </c>
      <c r="BW762" s="40" t="str">
        <f aca="false">IF(AQ762&lt;&gt;1,"",IF(AND(AG762="",AH762=""),"",N(AG762)-N(AH762)))</f>
        <v/>
      </c>
      <c r="BX762" s="35" t="str">
        <f aca="true">IF(OR(AQ762&lt;&gt;1,AI762&lt;&gt;"Oui",AJ762=""),"",IF(AK762="",IF(NOW()&gt;AJ762+1,0,""),IF(AK762&lt;=AJ762,1,0)))</f>
        <v/>
      </c>
    </row>
    <row r="763" customFormat="false" ht="15" hidden="false" customHeight="false" outlineLevel="0" collapsed="false">
      <c r="B763" s="29"/>
      <c r="C763" s="29"/>
      <c r="D763" s="29"/>
      <c r="E763" s="29"/>
      <c r="F763" s="29"/>
      <c r="G763" s="29"/>
      <c r="H763" s="29"/>
      <c r="I763" s="29"/>
      <c r="J763" s="29"/>
      <c r="K763" s="29"/>
      <c r="L763" s="29"/>
      <c r="M763" s="29"/>
      <c r="N763" s="30"/>
      <c r="O763" s="30"/>
      <c r="P763" s="30"/>
      <c r="Q763" s="30"/>
      <c r="R763" s="30"/>
      <c r="S763" s="30"/>
      <c r="T763" s="30"/>
      <c r="U763" s="30"/>
      <c r="V763" s="31"/>
      <c r="W763" s="29"/>
      <c r="X763" s="29"/>
      <c r="Y763" s="29"/>
      <c r="Z763" s="29"/>
      <c r="AA763" s="30"/>
      <c r="AB763" s="30"/>
      <c r="AC763" s="30"/>
      <c r="AD763" s="30"/>
      <c r="AE763" s="30"/>
      <c r="AF763" s="32"/>
      <c r="AG763" s="33"/>
      <c r="AH763" s="33"/>
      <c r="AI763" s="29"/>
      <c r="AJ763" s="32"/>
      <c r="AK763" s="32"/>
      <c r="AL763" s="29"/>
      <c r="AN763" s="34" t="str">
        <f aca="false">IF($B763="","",IF(OR(C763="",D763="",E763="",G763="",I763="",J763="",L763="",O763="",P763=""),"Champ obligatoire manquant",IF(OR(AND(N763&lt;&gt;"",N763&gt;O763),O763&gt;P763,AND(Q763&lt;&gt;"",Q763&lt;P763),AND(R763&lt;&gt;"",R763&lt;P763),AND(S763&lt;&gt;"",S763&lt;R763),AND(S763&lt;&gt;"",R763=""),AND(T763&lt;&gt;"",T763&lt;O763),AND(U763&lt;&gt;"",U763&lt;O763)),"Chronologie incohérente",IF(AND(OR(L763="Résolu",L763="Clos"),R763=""),"Date de résolution manquante",IF(AND(L763="Clos",S763=""),"Date de clôture manquante",IF(AND(K763="Oui",AC763=""),"Classification DORA manquante","OK"))))))</f>
        <v/>
      </c>
      <c r="AO763" s="35" t="str">
        <f aca="false">IF($B763="","",IF(AND(C763="Incident",L763&lt;&gt;"Annulé"),1,0))</f>
        <v/>
      </c>
      <c r="AP763" s="35" t="str">
        <f aca="false">IF($B763="","",IF(AND(C763="Quasi-incident",L763&lt;&gt;"Annulé"),1,0))</f>
        <v/>
      </c>
      <c r="AQ763" s="35" t="str">
        <f aca="false">IF($B763="","",AO763+AP763)</f>
        <v/>
      </c>
      <c r="AR763" s="36" t="str">
        <f aca="false">IF(OR($B763="",J763=""),"",IFERROR(VALUE(LEFT(J763,1)),""))</f>
        <v/>
      </c>
      <c r="AS763" s="35" t="str">
        <f aca="false">IF(OR(AO763&lt;&gt;1,G763=""),"",IFERROR(IF(INDEX(L_SrcInterne,MATCH(G763,L_Sources,0))="Oui",1,0),""))</f>
        <v/>
      </c>
      <c r="AT763" s="37" t="str">
        <f aca="false">IF(AO763&lt;&gt;1,"",IFERROR(ROUND(IF(OR(N763="",O763=""),"",IF(O763&lt;N763,"",ROUND(((NETWORKDAYS(N763,O763,JoursFeries)-1)*(HFer-HOuv)+IF(NETWORKDAYS(O763,O763,JoursFeries),MEDIAN(MOD(O763,1),HFer,HOuv),HFer)-IF(NETWORKDAYS(N763,N763,JoursFeries),MEDIAN(MOD(N763,1),HFer,HOuv),HOuv))*24,4)))/HJour,4),""))</f>
        <v/>
      </c>
      <c r="AU763" s="37" t="str">
        <f aca="false">IF(AO763&lt;&gt;1,"",IF(OR(O763="",P763=""),"",IF(P763&lt;O763,"",ROUND(((NETWORKDAYS(O763,P763,JoursFeries)-1)*(HFer-HOuv)+IF(NETWORKDAYS(P763,P763,JoursFeries),MEDIAN(MOD(P763,1),HFer,HOuv),HFer)-IF(NETWORKDAYS(O763,O763,JoursFeries),MEDIAN(MOD(O763,1),HFer,HOuv),HOuv))*24,4))))</f>
        <v/>
      </c>
      <c r="AV763" s="37" t="str">
        <f aca="false">IF(AO763&lt;&gt;1,"",IF(OR(P763="",Q763=""),"",IF(Q763&lt;P763,"",ROUND(((NETWORKDAYS(P763,Q763,JoursFeries)-1)*(HFer-HOuv)+IF(NETWORKDAYS(Q763,Q763,JoursFeries),MEDIAN(MOD(Q763,1),HFer,HOuv),HFer)-IF(NETWORKDAYS(P763,P763,JoursFeries),MEDIAN(MOD(P763,1),HFer,HOuv),HOuv))*24,4))))</f>
        <v/>
      </c>
      <c r="AW763" s="37" t="str">
        <f aca="false">IF(AO763&lt;&gt;1,"",IFERROR(ROUND(IF(OR(P763="",R763=""),"",IF(R763&lt;P763,"",ROUND(((NETWORKDAYS(P763,R763,JoursFeries)-1)*(HFer-HOuv)+IF(NETWORKDAYS(R763,R763,JoursFeries),MEDIAN(MOD(R763,1),HFer,HOuv),HFer)-IF(NETWORKDAYS(P763,P763,JoursFeries),MEDIAN(MOD(P763,1),HFer,HOuv),HOuv))*24,4)))/HJour,4),""))</f>
        <v/>
      </c>
      <c r="AX763" s="37" t="str">
        <f aca="false">IF(AO763&lt;&gt;1,"",IFERROR(ROUND(IF(OR(P763="",S763=""),"",IF(S763&lt;P763,"",ROUND(((NETWORKDAYS(P763,S763,JoursFeries)-1)*(HFer-HOuv)+IF(NETWORKDAYS(S763,S763,JoursFeries),MEDIAN(MOD(S763,1),HFer,HOuv),HFer)-IF(NETWORKDAYS(P763,P763,JoursFeries),MEDIAN(MOD(P763,1),HFer,HOuv),HOuv))*24,4)))/HJour,4),""))</f>
        <v/>
      </c>
      <c r="AY763" s="36" t="str">
        <f aca="false">IF(OR(AO763&lt;&gt;1,AR763=""),"",INDEX(SLA_PEC,AR763))</f>
        <v/>
      </c>
      <c r="AZ763" s="35" t="str">
        <f aca="false">IF(OR(AV763="",AY763=""),"",IF(AV763&lt;=AY763,1,0))</f>
        <v/>
      </c>
      <c r="BA763" s="36" t="str">
        <f aca="false">IF(OR(AO763&lt;&gt;1,AR763=""),"",INDEX(SLA_RES,AR763))</f>
        <v/>
      </c>
      <c r="BB763" s="35" t="str">
        <f aca="false">IF(OR(AW763="",BA763=""),"",IF(AW763&lt;=BA763,1,0))</f>
        <v/>
      </c>
      <c r="BC763" s="38" t="str">
        <f aca="false">IF(OR(BA763="",P763=""),"",WORKDAY(INT(P763),BA763,JoursFeries)+MOD(P763,1))</f>
        <v/>
      </c>
      <c r="BD763" s="39" t="str">
        <f aca="false">IF(AO763&lt;&gt;1,"",IF(OR(AB763&lt;&gt;"",AD763&lt;&gt;""),4,IF(U763&lt;&gt;"",3,IF(T763&lt;&gt;"",2,1))))</f>
        <v/>
      </c>
      <c r="BE763" s="39" t="str">
        <f aca="false">IF(OR(AO763&lt;&gt;1,AR763=""),"",INDEX(NIV_REQ,AR763))</f>
        <v/>
      </c>
      <c r="BF763" s="39" t="str">
        <f aca="false">IF(BE763="","",MAX(BE763,IF(OR(K763="Oui",Z763="Oui"),4,1)))</f>
        <v/>
      </c>
      <c r="BG763" s="35" t="str">
        <f aca="false">IF(OR(BF763="",BD763=""),"",IF(BD763&gt;=BF763,1,0))</f>
        <v/>
      </c>
      <c r="BH763" s="38" t="str">
        <f aca="false">IF(BE763="","",IF(BE763&lt;2,"",IF(BE763=2,IF(AND(T763="",U763=""),"",MIN(T763,U763)),IF(U763="","",U763))))</f>
        <v/>
      </c>
      <c r="BI763" s="37" t="str">
        <f aca="false">IF(BH763="","",IF(OR(O763="",BH763=""),"",IF(BH763&lt;O763,"",ROUND(((NETWORKDAYS(O763,BH763,JoursFeries)-1)*(HFer-HOuv)+IF(NETWORKDAYS(BH763,BH763,JoursFeries),MEDIAN(MOD(BH763,1),HFer,HOuv),HFer)-IF(NETWORKDAYS(O763,O763,JoursFeries),MEDIAN(MOD(O763,1),HFer,HOuv),HOuv))*24,4))))</f>
        <v/>
      </c>
      <c r="BJ763" s="35" t="str">
        <f aca="false">IF(OR(BI763="",AR763=""),"",IF(BI763&lt;=INDEX(DELAI_ESC,AR763),1,0))</f>
        <v/>
      </c>
      <c r="BK763" s="38" t="str">
        <f aca="false">IF(AO763&lt;&gt;1,"",IF(AND(T763="",U763=""),"",MIN(T763,U763)))</f>
        <v/>
      </c>
      <c r="BL763" s="37" t="str">
        <f aca="false">IF(OR(BK763="",R763=""),"",IFERROR(ROUND(IF(OR(BK763="",R763=""),"",IF(R763&lt;BK763,"",ROUND(((NETWORKDAYS(BK763,R763,JoursFeries)-1)*(HFer-HOuv)+IF(NETWORKDAYS(R763,R763,JoursFeries),MEDIAN(MOD(R763,1),HFer,HOuv),HFer)-IF(NETWORKDAYS(BK763,BK763,JoursFeries),MEDIAN(MOD(BK763,1),HFer,HOuv),HOuv))*24,4)))/HJour,4),""))</f>
        <v/>
      </c>
      <c r="BM763" s="35" t="str">
        <f aca="false">IF(OR(AO763&lt;&gt;1,R763=""),"",IF(BD763=1,1,0))</f>
        <v/>
      </c>
      <c r="BN763" s="35" t="str">
        <f aca="false">IF(AO763&lt;&gt;1,"",IF(W763="Oui",1,0))</f>
        <v/>
      </c>
      <c r="BO763" s="35" t="str">
        <f aca="false">IF(AO763&lt;&gt;1,"",IF(X763&lt;&gt;"",1,0))</f>
        <v/>
      </c>
      <c r="BP763" s="35" t="str">
        <f aca="false">IF(AO763&lt;&gt;1,"",IF(Y763="Oui",1,0))</f>
        <v/>
      </c>
      <c r="BQ763" s="35" t="str">
        <f aca="true">IF(OR(AO763&lt;&gt;1,Z763&lt;&gt;"Oui"),"",IF(AB763="",IF(AND(AA763&lt;&gt;"",NOW()&gt;AA763),0,""),IF(AA763="","",IF(AB763&lt;=AA763,1,0))))</f>
        <v/>
      </c>
      <c r="BR763" s="38" t="str">
        <f aca="false">IF(OR(AO763&lt;&gt;1,K763&lt;&gt;"Oui",O763=""),"",IF(AC763="",O763+DORA_H_DET/24,IF(AC763-O763&lt;=DORA_H_DET/24,MIN(AC763+DORA_H_CLA/24,O763+DORA_H_DET/24),AC763+DORA_H_CLA/24)))</f>
        <v/>
      </c>
      <c r="BS763" s="35" t="str">
        <f aca="true">IF(BR763="","",IF(AD763="",IF(NOW()&gt;BR763,0,""),IF(AD763&lt;=BR763,1,0)))</f>
        <v/>
      </c>
      <c r="BT763" s="35" t="str">
        <f aca="true">IF(OR(BR763="",AD763=""),"",IF(AE763="",IF(NOW()&gt;AD763+DORA_H_INT/24,0,""),IF(AE763&lt;=AD763+DORA_H_INT/24,1,0)))</f>
        <v/>
      </c>
      <c r="BU763" s="35" t="str">
        <f aca="true">IF(OR(BR763="",AE763=""),"",IF(AF763="",IF(NOW()&gt;EDATE(AE763,DORA_M_FIN)+1,0,""),IF(AF763&lt;=EDATE(AE763,DORA_M_FIN),1,0)))</f>
        <v/>
      </c>
      <c r="BV763" s="35" t="str">
        <f aca="false">IF(BR763="","",IF(COUNT(BS763:BU763)=0,"",MIN(BS763:BU763)))</f>
        <v/>
      </c>
      <c r="BW763" s="40" t="str">
        <f aca="false">IF(AQ763&lt;&gt;1,"",IF(AND(AG763="",AH763=""),"",N(AG763)-N(AH763)))</f>
        <v/>
      </c>
      <c r="BX763" s="35" t="str">
        <f aca="true">IF(OR(AQ763&lt;&gt;1,AI763&lt;&gt;"Oui",AJ763=""),"",IF(AK763="",IF(NOW()&gt;AJ763+1,0,""),IF(AK763&lt;=AJ763,1,0)))</f>
        <v/>
      </c>
    </row>
    <row r="764" customFormat="false" ht="15" hidden="false" customHeight="false" outlineLevel="0" collapsed="false">
      <c r="B764" s="29"/>
      <c r="C764" s="29"/>
      <c r="D764" s="29"/>
      <c r="E764" s="29"/>
      <c r="F764" s="29"/>
      <c r="G764" s="29"/>
      <c r="H764" s="29"/>
      <c r="I764" s="29"/>
      <c r="J764" s="29"/>
      <c r="K764" s="29"/>
      <c r="L764" s="29"/>
      <c r="M764" s="29"/>
      <c r="N764" s="30"/>
      <c r="O764" s="30"/>
      <c r="P764" s="30"/>
      <c r="Q764" s="30"/>
      <c r="R764" s="30"/>
      <c r="S764" s="30"/>
      <c r="T764" s="30"/>
      <c r="U764" s="30"/>
      <c r="V764" s="31"/>
      <c r="W764" s="29"/>
      <c r="X764" s="29"/>
      <c r="Y764" s="29"/>
      <c r="Z764" s="29"/>
      <c r="AA764" s="30"/>
      <c r="AB764" s="30"/>
      <c r="AC764" s="30"/>
      <c r="AD764" s="30"/>
      <c r="AE764" s="30"/>
      <c r="AF764" s="32"/>
      <c r="AG764" s="33"/>
      <c r="AH764" s="33"/>
      <c r="AI764" s="29"/>
      <c r="AJ764" s="32"/>
      <c r="AK764" s="32"/>
      <c r="AL764" s="29"/>
      <c r="AN764" s="34" t="str">
        <f aca="false">IF($B764="","",IF(OR(C764="",D764="",E764="",G764="",I764="",J764="",L764="",O764="",P764=""),"Champ obligatoire manquant",IF(OR(AND(N764&lt;&gt;"",N764&gt;O764),O764&gt;P764,AND(Q764&lt;&gt;"",Q764&lt;P764),AND(R764&lt;&gt;"",R764&lt;P764),AND(S764&lt;&gt;"",S764&lt;R764),AND(S764&lt;&gt;"",R764=""),AND(T764&lt;&gt;"",T764&lt;O764),AND(U764&lt;&gt;"",U764&lt;O764)),"Chronologie incohérente",IF(AND(OR(L764="Résolu",L764="Clos"),R764=""),"Date de résolution manquante",IF(AND(L764="Clos",S764=""),"Date de clôture manquante",IF(AND(K764="Oui",AC764=""),"Classification DORA manquante","OK"))))))</f>
        <v/>
      </c>
      <c r="AO764" s="35" t="str">
        <f aca="false">IF($B764="","",IF(AND(C764="Incident",L764&lt;&gt;"Annulé"),1,0))</f>
        <v/>
      </c>
      <c r="AP764" s="35" t="str">
        <f aca="false">IF($B764="","",IF(AND(C764="Quasi-incident",L764&lt;&gt;"Annulé"),1,0))</f>
        <v/>
      </c>
      <c r="AQ764" s="35" t="str">
        <f aca="false">IF($B764="","",AO764+AP764)</f>
        <v/>
      </c>
      <c r="AR764" s="36" t="str">
        <f aca="false">IF(OR($B764="",J764=""),"",IFERROR(VALUE(LEFT(J764,1)),""))</f>
        <v/>
      </c>
      <c r="AS764" s="35" t="str">
        <f aca="false">IF(OR(AO764&lt;&gt;1,G764=""),"",IFERROR(IF(INDEX(L_SrcInterne,MATCH(G764,L_Sources,0))="Oui",1,0),""))</f>
        <v/>
      </c>
      <c r="AT764" s="37" t="str">
        <f aca="false">IF(AO764&lt;&gt;1,"",IFERROR(ROUND(IF(OR(N764="",O764=""),"",IF(O764&lt;N764,"",ROUND(((NETWORKDAYS(N764,O764,JoursFeries)-1)*(HFer-HOuv)+IF(NETWORKDAYS(O764,O764,JoursFeries),MEDIAN(MOD(O764,1),HFer,HOuv),HFer)-IF(NETWORKDAYS(N764,N764,JoursFeries),MEDIAN(MOD(N764,1),HFer,HOuv),HOuv))*24,4)))/HJour,4),""))</f>
        <v/>
      </c>
      <c r="AU764" s="37" t="str">
        <f aca="false">IF(AO764&lt;&gt;1,"",IF(OR(O764="",P764=""),"",IF(P764&lt;O764,"",ROUND(((NETWORKDAYS(O764,P764,JoursFeries)-1)*(HFer-HOuv)+IF(NETWORKDAYS(P764,P764,JoursFeries),MEDIAN(MOD(P764,1),HFer,HOuv),HFer)-IF(NETWORKDAYS(O764,O764,JoursFeries),MEDIAN(MOD(O764,1),HFer,HOuv),HOuv))*24,4))))</f>
        <v/>
      </c>
      <c r="AV764" s="37" t="str">
        <f aca="false">IF(AO764&lt;&gt;1,"",IF(OR(P764="",Q764=""),"",IF(Q764&lt;P764,"",ROUND(((NETWORKDAYS(P764,Q764,JoursFeries)-1)*(HFer-HOuv)+IF(NETWORKDAYS(Q764,Q764,JoursFeries),MEDIAN(MOD(Q764,1),HFer,HOuv),HFer)-IF(NETWORKDAYS(P764,P764,JoursFeries),MEDIAN(MOD(P764,1),HFer,HOuv),HOuv))*24,4))))</f>
        <v/>
      </c>
      <c r="AW764" s="37" t="str">
        <f aca="false">IF(AO764&lt;&gt;1,"",IFERROR(ROUND(IF(OR(P764="",R764=""),"",IF(R764&lt;P764,"",ROUND(((NETWORKDAYS(P764,R764,JoursFeries)-1)*(HFer-HOuv)+IF(NETWORKDAYS(R764,R764,JoursFeries),MEDIAN(MOD(R764,1),HFer,HOuv),HFer)-IF(NETWORKDAYS(P764,P764,JoursFeries),MEDIAN(MOD(P764,1),HFer,HOuv),HOuv))*24,4)))/HJour,4),""))</f>
        <v/>
      </c>
      <c r="AX764" s="37" t="str">
        <f aca="false">IF(AO764&lt;&gt;1,"",IFERROR(ROUND(IF(OR(P764="",S764=""),"",IF(S764&lt;P764,"",ROUND(((NETWORKDAYS(P764,S764,JoursFeries)-1)*(HFer-HOuv)+IF(NETWORKDAYS(S764,S764,JoursFeries),MEDIAN(MOD(S764,1),HFer,HOuv),HFer)-IF(NETWORKDAYS(P764,P764,JoursFeries),MEDIAN(MOD(P764,1),HFer,HOuv),HOuv))*24,4)))/HJour,4),""))</f>
        <v/>
      </c>
      <c r="AY764" s="36" t="str">
        <f aca="false">IF(OR(AO764&lt;&gt;1,AR764=""),"",INDEX(SLA_PEC,AR764))</f>
        <v/>
      </c>
      <c r="AZ764" s="35" t="str">
        <f aca="false">IF(OR(AV764="",AY764=""),"",IF(AV764&lt;=AY764,1,0))</f>
        <v/>
      </c>
      <c r="BA764" s="36" t="str">
        <f aca="false">IF(OR(AO764&lt;&gt;1,AR764=""),"",INDEX(SLA_RES,AR764))</f>
        <v/>
      </c>
      <c r="BB764" s="35" t="str">
        <f aca="false">IF(OR(AW764="",BA764=""),"",IF(AW764&lt;=BA764,1,0))</f>
        <v/>
      </c>
      <c r="BC764" s="38" t="str">
        <f aca="false">IF(OR(BA764="",P764=""),"",WORKDAY(INT(P764),BA764,JoursFeries)+MOD(P764,1))</f>
        <v/>
      </c>
      <c r="BD764" s="39" t="str">
        <f aca="false">IF(AO764&lt;&gt;1,"",IF(OR(AB764&lt;&gt;"",AD764&lt;&gt;""),4,IF(U764&lt;&gt;"",3,IF(T764&lt;&gt;"",2,1))))</f>
        <v/>
      </c>
      <c r="BE764" s="39" t="str">
        <f aca="false">IF(OR(AO764&lt;&gt;1,AR764=""),"",INDEX(NIV_REQ,AR764))</f>
        <v/>
      </c>
      <c r="BF764" s="39" t="str">
        <f aca="false">IF(BE764="","",MAX(BE764,IF(OR(K764="Oui",Z764="Oui"),4,1)))</f>
        <v/>
      </c>
      <c r="BG764" s="35" t="str">
        <f aca="false">IF(OR(BF764="",BD764=""),"",IF(BD764&gt;=BF764,1,0))</f>
        <v/>
      </c>
      <c r="BH764" s="38" t="str">
        <f aca="false">IF(BE764="","",IF(BE764&lt;2,"",IF(BE764=2,IF(AND(T764="",U764=""),"",MIN(T764,U764)),IF(U764="","",U764))))</f>
        <v/>
      </c>
      <c r="BI764" s="37" t="str">
        <f aca="false">IF(BH764="","",IF(OR(O764="",BH764=""),"",IF(BH764&lt;O764,"",ROUND(((NETWORKDAYS(O764,BH764,JoursFeries)-1)*(HFer-HOuv)+IF(NETWORKDAYS(BH764,BH764,JoursFeries),MEDIAN(MOD(BH764,1),HFer,HOuv),HFer)-IF(NETWORKDAYS(O764,O764,JoursFeries),MEDIAN(MOD(O764,1),HFer,HOuv),HOuv))*24,4))))</f>
        <v/>
      </c>
      <c r="BJ764" s="35" t="str">
        <f aca="false">IF(OR(BI764="",AR764=""),"",IF(BI764&lt;=INDEX(DELAI_ESC,AR764),1,0))</f>
        <v/>
      </c>
      <c r="BK764" s="38" t="str">
        <f aca="false">IF(AO764&lt;&gt;1,"",IF(AND(T764="",U764=""),"",MIN(T764,U764)))</f>
        <v/>
      </c>
      <c r="BL764" s="37" t="str">
        <f aca="false">IF(OR(BK764="",R764=""),"",IFERROR(ROUND(IF(OR(BK764="",R764=""),"",IF(R764&lt;BK764,"",ROUND(((NETWORKDAYS(BK764,R764,JoursFeries)-1)*(HFer-HOuv)+IF(NETWORKDAYS(R764,R764,JoursFeries),MEDIAN(MOD(R764,1),HFer,HOuv),HFer)-IF(NETWORKDAYS(BK764,BK764,JoursFeries),MEDIAN(MOD(BK764,1),HFer,HOuv),HOuv))*24,4)))/HJour,4),""))</f>
        <v/>
      </c>
      <c r="BM764" s="35" t="str">
        <f aca="false">IF(OR(AO764&lt;&gt;1,R764=""),"",IF(BD764=1,1,0))</f>
        <v/>
      </c>
      <c r="BN764" s="35" t="str">
        <f aca="false">IF(AO764&lt;&gt;1,"",IF(W764="Oui",1,0))</f>
        <v/>
      </c>
      <c r="BO764" s="35" t="str">
        <f aca="false">IF(AO764&lt;&gt;1,"",IF(X764&lt;&gt;"",1,0))</f>
        <v/>
      </c>
      <c r="BP764" s="35" t="str">
        <f aca="false">IF(AO764&lt;&gt;1,"",IF(Y764="Oui",1,0))</f>
        <v/>
      </c>
      <c r="BQ764" s="35" t="str">
        <f aca="true">IF(OR(AO764&lt;&gt;1,Z764&lt;&gt;"Oui"),"",IF(AB764="",IF(AND(AA764&lt;&gt;"",NOW()&gt;AA764),0,""),IF(AA764="","",IF(AB764&lt;=AA764,1,0))))</f>
        <v/>
      </c>
      <c r="BR764" s="38" t="str">
        <f aca="false">IF(OR(AO764&lt;&gt;1,K764&lt;&gt;"Oui",O764=""),"",IF(AC764="",O764+DORA_H_DET/24,IF(AC764-O764&lt;=DORA_H_DET/24,MIN(AC764+DORA_H_CLA/24,O764+DORA_H_DET/24),AC764+DORA_H_CLA/24)))</f>
        <v/>
      </c>
      <c r="BS764" s="35" t="str">
        <f aca="true">IF(BR764="","",IF(AD764="",IF(NOW()&gt;BR764,0,""),IF(AD764&lt;=BR764,1,0)))</f>
        <v/>
      </c>
      <c r="BT764" s="35" t="str">
        <f aca="true">IF(OR(BR764="",AD764=""),"",IF(AE764="",IF(NOW()&gt;AD764+DORA_H_INT/24,0,""),IF(AE764&lt;=AD764+DORA_H_INT/24,1,0)))</f>
        <v/>
      </c>
      <c r="BU764" s="35" t="str">
        <f aca="true">IF(OR(BR764="",AE764=""),"",IF(AF764="",IF(NOW()&gt;EDATE(AE764,DORA_M_FIN)+1,0,""),IF(AF764&lt;=EDATE(AE764,DORA_M_FIN),1,0)))</f>
        <v/>
      </c>
      <c r="BV764" s="35" t="str">
        <f aca="false">IF(BR764="","",IF(COUNT(BS764:BU764)=0,"",MIN(BS764:BU764)))</f>
        <v/>
      </c>
      <c r="BW764" s="40" t="str">
        <f aca="false">IF(AQ764&lt;&gt;1,"",IF(AND(AG764="",AH764=""),"",N(AG764)-N(AH764)))</f>
        <v/>
      </c>
      <c r="BX764" s="35" t="str">
        <f aca="true">IF(OR(AQ764&lt;&gt;1,AI764&lt;&gt;"Oui",AJ764=""),"",IF(AK764="",IF(NOW()&gt;AJ764+1,0,""),IF(AK764&lt;=AJ764,1,0)))</f>
        <v/>
      </c>
    </row>
    <row r="765" customFormat="false" ht="15" hidden="false" customHeight="false" outlineLevel="0" collapsed="false">
      <c r="B765" s="29"/>
      <c r="C765" s="29"/>
      <c r="D765" s="29"/>
      <c r="E765" s="29"/>
      <c r="F765" s="29"/>
      <c r="G765" s="29"/>
      <c r="H765" s="29"/>
      <c r="I765" s="29"/>
      <c r="J765" s="29"/>
      <c r="K765" s="29"/>
      <c r="L765" s="29"/>
      <c r="M765" s="29"/>
      <c r="N765" s="30"/>
      <c r="O765" s="30"/>
      <c r="P765" s="30"/>
      <c r="Q765" s="30"/>
      <c r="R765" s="30"/>
      <c r="S765" s="30"/>
      <c r="T765" s="30"/>
      <c r="U765" s="30"/>
      <c r="V765" s="31"/>
      <c r="W765" s="29"/>
      <c r="X765" s="29"/>
      <c r="Y765" s="29"/>
      <c r="Z765" s="29"/>
      <c r="AA765" s="30"/>
      <c r="AB765" s="30"/>
      <c r="AC765" s="30"/>
      <c r="AD765" s="30"/>
      <c r="AE765" s="30"/>
      <c r="AF765" s="32"/>
      <c r="AG765" s="33"/>
      <c r="AH765" s="33"/>
      <c r="AI765" s="29"/>
      <c r="AJ765" s="32"/>
      <c r="AK765" s="32"/>
      <c r="AL765" s="29"/>
      <c r="AN765" s="34" t="str">
        <f aca="false">IF($B765="","",IF(OR(C765="",D765="",E765="",G765="",I765="",J765="",L765="",O765="",P765=""),"Champ obligatoire manquant",IF(OR(AND(N765&lt;&gt;"",N765&gt;O765),O765&gt;P765,AND(Q765&lt;&gt;"",Q765&lt;P765),AND(R765&lt;&gt;"",R765&lt;P765),AND(S765&lt;&gt;"",S765&lt;R765),AND(S765&lt;&gt;"",R765=""),AND(T765&lt;&gt;"",T765&lt;O765),AND(U765&lt;&gt;"",U765&lt;O765)),"Chronologie incohérente",IF(AND(OR(L765="Résolu",L765="Clos"),R765=""),"Date de résolution manquante",IF(AND(L765="Clos",S765=""),"Date de clôture manquante",IF(AND(K765="Oui",AC765=""),"Classification DORA manquante","OK"))))))</f>
        <v/>
      </c>
      <c r="AO765" s="35" t="str">
        <f aca="false">IF($B765="","",IF(AND(C765="Incident",L765&lt;&gt;"Annulé"),1,0))</f>
        <v/>
      </c>
      <c r="AP765" s="35" t="str">
        <f aca="false">IF($B765="","",IF(AND(C765="Quasi-incident",L765&lt;&gt;"Annulé"),1,0))</f>
        <v/>
      </c>
      <c r="AQ765" s="35" t="str">
        <f aca="false">IF($B765="","",AO765+AP765)</f>
        <v/>
      </c>
      <c r="AR765" s="36" t="str">
        <f aca="false">IF(OR($B765="",J765=""),"",IFERROR(VALUE(LEFT(J765,1)),""))</f>
        <v/>
      </c>
      <c r="AS765" s="35" t="str">
        <f aca="false">IF(OR(AO765&lt;&gt;1,G765=""),"",IFERROR(IF(INDEX(L_SrcInterne,MATCH(G765,L_Sources,0))="Oui",1,0),""))</f>
        <v/>
      </c>
      <c r="AT765" s="37" t="str">
        <f aca="false">IF(AO765&lt;&gt;1,"",IFERROR(ROUND(IF(OR(N765="",O765=""),"",IF(O765&lt;N765,"",ROUND(((NETWORKDAYS(N765,O765,JoursFeries)-1)*(HFer-HOuv)+IF(NETWORKDAYS(O765,O765,JoursFeries),MEDIAN(MOD(O765,1),HFer,HOuv),HFer)-IF(NETWORKDAYS(N765,N765,JoursFeries),MEDIAN(MOD(N765,1),HFer,HOuv),HOuv))*24,4)))/HJour,4),""))</f>
        <v/>
      </c>
      <c r="AU765" s="37" t="str">
        <f aca="false">IF(AO765&lt;&gt;1,"",IF(OR(O765="",P765=""),"",IF(P765&lt;O765,"",ROUND(((NETWORKDAYS(O765,P765,JoursFeries)-1)*(HFer-HOuv)+IF(NETWORKDAYS(P765,P765,JoursFeries),MEDIAN(MOD(P765,1),HFer,HOuv),HFer)-IF(NETWORKDAYS(O765,O765,JoursFeries),MEDIAN(MOD(O765,1),HFer,HOuv),HOuv))*24,4))))</f>
        <v/>
      </c>
      <c r="AV765" s="37" t="str">
        <f aca="false">IF(AO765&lt;&gt;1,"",IF(OR(P765="",Q765=""),"",IF(Q765&lt;P765,"",ROUND(((NETWORKDAYS(P765,Q765,JoursFeries)-1)*(HFer-HOuv)+IF(NETWORKDAYS(Q765,Q765,JoursFeries),MEDIAN(MOD(Q765,1),HFer,HOuv),HFer)-IF(NETWORKDAYS(P765,P765,JoursFeries),MEDIAN(MOD(P765,1),HFer,HOuv),HOuv))*24,4))))</f>
        <v/>
      </c>
      <c r="AW765" s="37" t="str">
        <f aca="false">IF(AO765&lt;&gt;1,"",IFERROR(ROUND(IF(OR(P765="",R765=""),"",IF(R765&lt;P765,"",ROUND(((NETWORKDAYS(P765,R765,JoursFeries)-1)*(HFer-HOuv)+IF(NETWORKDAYS(R765,R765,JoursFeries),MEDIAN(MOD(R765,1),HFer,HOuv),HFer)-IF(NETWORKDAYS(P765,P765,JoursFeries),MEDIAN(MOD(P765,1),HFer,HOuv),HOuv))*24,4)))/HJour,4),""))</f>
        <v/>
      </c>
      <c r="AX765" s="37" t="str">
        <f aca="false">IF(AO765&lt;&gt;1,"",IFERROR(ROUND(IF(OR(P765="",S765=""),"",IF(S765&lt;P765,"",ROUND(((NETWORKDAYS(P765,S765,JoursFeries)-1)*(HFer-HOuv)+IF(NETWORKDAYS(S765,S765,JoursFeries),MEDIAN(MOD(S765,1),HFer,HOuv),HFer)-IF(NETWORKDAYS(P765,P765,JoursFeries),MEDIAN(MOD(P765,1),HFer,HOuv),HOuv))*24,4)))/HJour,4),""))</f>
        <v/>
      </c>
      <c r="AY765" s="36" t="str">
        <f aca="false">IF(OR(AO765&lt;&gt;1,AR765=""),"",INDEX(SLA_PEC,AR765))</f>
        <v/>
      </c>
      <c r="AZ765" s="35" t="str">
        <f aca="false">IF(OR(AV765="",AY765=""),"",IF(AV765&lt;=AY765,1,0))</f>
        <v/>
      </c>
      <c r="BA765" s="36" t="str">
        <f aca="false">IF(OR(AO765&lt;&gt;1,AR765=""),"",INDEX(SLA_RES,AR765))</f>
        <v/>
      </c>
      <c r="BB765" s="35" t="str">
        <f aca="false">IF(OR(AW765="",BA765=""),"",IF(AW765&lt;=BA765,1,0))</f>
        <v/>
      </c>
      <c r="BC765" s="38" t="str">
        <f aca="false">IF(OR(BA765="",P765=""),"",WORKDAY(INT(P765),BA765,JoursFeries)+MOD(P765,1))</f>
        <v/>
      </c>
      <c r="BD765" s="39" t="str">
        <f aca="false">IF(AO765&lt;&gt;1,"",IF(OR(AB765&lt;&gt;"",AD765&lt;&gt;""),4,IF(U765&lt;&gt;"",3,IF(T765&lt;&gt;"",2,1))))</f>
        <v/>
      </c>
      <c r="BE765" s="39" t="str">
        <f aca="false">IF(OR(AO765&lt;&gt;1,AR765=""),"",INDEX(NIV_REQ,AR765))</f>
        <v/>
      </c>
      <c r="BF765" s="39" t="str">
        <f aca="false">IF(BE765="","",MAX(BE765,IF(OR(K765="Oui",Z765="Oui"),4,1)))</f>
        <v/>
      </c>
      <c r="BG765" s="35" t="str">
        <f aca="false">IF(OR(BF765="",BD765=""),"",IF(BD765&gt;=BF765,1,0))</f>
        <v/>
      </c>
      <c r="BH765" s="38" t="str">
        <f aca="false">IF(BE765="","",IF(BE765&lt;2,"",IF(BE765=2,IF(AND(T765="",U765=""),"",MIN(T765,U765)),IF(U765="","",U765))))</f>
        <v/>
      </c>
      <c r="BI765" s="37" t="str">
        <f aca="false">IF(BH765="","",IF(OR(O765="",BH765=""),"",IF(BH765&lt;O765,"",ROUND(((NETWORKDAYS(O765,BH765,JoursFeries)-1)*(HFer-HOuv)+IF(NETWORKDAYS(BH765,BH765,JoursFeries),MEDIAN(MOD(BH765,1),HFer,HOuv),HFer)-IF(NETWORKDAYS(O765,O765,JoursFeries),MEDIAN(MOD(O765,1),HFer,HOuv),HOuv))*24,4))))</f>
        <v/>
      </c>
      <c r="BJ765" s="35" t="str">
        <f aca="false">IF(OR(BI765="",AR765=""),"",IF(BI765&lt;=INDEX(DELAI_ESC,AR765),1,0))</f>
        <v/>
      </c>
      <c r="BK765" s="38" t="str">
        <f aca="false">IF(AO765&lt;&gt;1,"",IF(AND(T765="",U765=""),"",MIN(T765,U765)))</f>
        <v/>
      </c>
      <c r="BL765" s="37" t="str">
        <f aca="false">IF(OR(BK765="",R765=""),"",IFERROR(ROUND(IF(OR(BK765="",R765=""),"",IF(R765&lt;BK765,"",ROUND(((NETWORKDAYS(BK765,R765,JoursFeries)-1)*(HFer-HOuv)+IF(NETWORKDAYS(R765,R765,JoursFeries),MEDIAN(MOD(R765,1),HFer,HOuv),HFer)-IF(NETWORKDAYS(BK765,BK765,JoursFeries),MEDIAN(MOD(BK765,1),HFer,HOuv),HOuv))*24,4)))/HJour,4),""))</f>
        <v/>
      </c>
      <c r="BM765" s="35" t="str">
        <f aca="false">IF(OR(AO765&lt;&gt;1,R765=""),"",IF(BD765=1,1,0))</f>
        <v/>
      </c>
      <c r="BN765" s="35" t="str">
        <f aca="false">IF(AO765&lt;&gt;1,"",IF(W765="Oui",1,0))</f>
        <v/>
      </c>
      <c r="BO765" s="35" t="str">
        <f aca="false">IF(AO765&lt;&gt;1,"",IF(X765&lt;&gt;"",1,0))</f>
        <v/>
      </c>
      <c r="BP765" s="35" t="str">
        <f aca="false">IF(AO765&lt;&gt;1,"",IF(Y765="Oui",1,0))</f>
        <v/>
      </c>
      <c r="BQ765" s="35" t="str">
        <f aca="true">IF(OR(AO765&lt;&gt;1,Z765&lt;&gt;"Oui"),"",IF(AB765="",IF(AND(AA765&lt;&gt;"",NOW()&gt;AA765),0,""),IF(AA765="","",IF(AB765&lt;=AA765,1,0))))</f>
        <v/>
      </c>
      <c r="BR765" s="38" t="str">
        <f aca="false">IF(OR(AO765&lt;&gt;1,K765&lt;&gt;"Oui",O765=""),"",IF(AC765="",O765+DORA_H_DET/24,IF(AC765-O765&lt;=DORA_H_DET/24,MIN(AC765+DORA_H_CLA/24,O765+DORA_H_DET/24),AC765+DORA_H_CLA/24)))</f>
        <v/>
      </c>
      <c r="BS765" s="35" t="str">
        <f aca="true">IF(BR765="","",IF(AD765="",IF(NOW()&gt;BR765,0,""),IF(AD765&lt;=BR765,1,0)))</f>
        <v/>
      </c>
      <c r="BT765" s="35" t="str">
        <f aca="true">IF(OR(BR765="",AD765=""),"",IF(AE765="",IF(NOW()&gt;AD765+DORA_H_INT/24,0,""),IF(AE765&lt;=AD765+DORA_H_INT/24,1,0)))</f>
        <v/>
      </c>
      <c r="BU765" s="35" t="str">
        <f aca="true">IF(OR(BR765="",AE765=""),"",IF(AF765="",IF(NOW()&gt;EDATE(AE765,DORA_M_FIN)+1,0,""),IF(AF765&lt;=EDATE(AE765,DORA_M_FIN),1,0)))</f>
        <v/>
      </c>
      <c r="BV765" s="35" t="str">
        <f aca="false">IF(BR765="","",IF(COUNT(BS765:BU765)=0,"",MIN(BS765:BU765)))</f>
        <v/>
      </c>
      <c r="BW765" s="40" t="str">
        <f aca="false">IF(AQ765&lt;&gt;1,"",IF(AND(AG765="",AH765=""),"",N(AG765)-N(AH765)))</f>
        <v/>
      </c>
      <c r="BX765" s="35" t="str">
        <f aca="true">IF(OR(AQ765&lt;&gt;1,AI765&lt;&gt;"Oui",AJ765=""),"",IF(AK765="",IF(NOW()&gt;AJ765+1,0,""),IF(AK765&lt;=AJ765,1,0)))</f>
        <v/>
      </c>
    </row>
    <row r="766" customFormat="false" ht="15" hidden="false" customHeight="false" outlineLevel="0" collapsed="false">
      <c r="B766" s="29"/>
      <c r="C766" s="29"/>
      <c r="D766" s="29"/>
      <c r="E766" s="29"/>
      <c r="F766" s="29"/>
      <c r="G766" s="29"/>
      <c r="H766" s="29"/>
      <c r="I766" s="29"/>
      <c r="J766" s="29"/>
      <c r="K766" s="29"/>
      <c r="L766" s="29"/>
      <c r="M766" s="29"/>
      <c r="N766" s="30"/>
      <c r="O766" s="30"/>
      <c r="P766" s="30"/>
      <c r="Q766" s="30"/>
      <c r="R766" s="30"/>
      <c r="S766" s="30"/>
      <c r="T766" s="30"/>
      <c r="U766" s="30"/>
      <c r="V766" s="31"/>
      <c r="W766" s="29"/>
      <c r="X766" s="29"/>
      <c r="Y766" s="29"/>
      <c r="Z766" s="29"/>
      <c r="AA766" s="30"/>
      <c r="AB766" s="30"/>
      <c r="AC766" s="30"/>
      <c r="AD766" s="30"/>
      <c r="AE766" s="30"/>
      <c r="AF766" s="32"/>
      <c r="AG766" s="33"/>
      <c r="AH766" s="33"/>
      <c r="AI766" s="29"/>
      <c r="AJ766" s="32"/>
      <c r="AK766" s="32"/>
      <c r="AL766" s="29"/>
      <c r="AN766" s="34" t="str">
        <f aca="false">IF($B766="","",IF(OR(C766="",D766="",E766="",G766="",I766="",J766="",L766="",O766="",P766=""),"Champ obligatoire manquant",IF(OR(AND(N766&lt;&gt;"",N766&gt;O766),O766&gt;P766,AND(Q766&lt;&gt;"",Q766&lt;P766),AND(R766&lt;&gt;"",R766&lt;P766),AND(S766&lt;&gt;"",S766&lt;R766),AND(S766&lt;&gt;"",R766=""),AND(T766&lt;&gt;"",T766&lt;O766),AND(U766&lt;&gt;"",U766&lt;O766)),"Chronologie incohérente",IF(AND(OR(L766="Résolu",L766="Clos"),R766=""),"Date de résolution manquante",IF(AND(L766="Clos",S766=""),"Date de clôture manquante",IF(AND(K766="Oui",AC766=""),"Classification DORA manquante","OK"))))))</f>
        <v/>
      </c>
      <c r="AO766" s="35" t="str">
        <f aca="false">IF($B766="","",IF(AND(C766="Incident",L766&lt;&gt;"Annulé"),1,0))</f>
        <v/>
      </c>
      <c r="AP766" s="35" t="str">
        <f aca="false">IF($B766="","",IF(AND(C766="Quasi-incident",L766&lt;&gt;"Annulé"),1,0))</f>
        <v/>
      </c>
      <c r="AQ766" s="35" t="str">
        <f aca="false">IF($B766="","",AO766+AP766)</f>
        <v/>
      </c>
      <c r="AR766" s="36" t="str">
        <f aca="false">IF(OR($B766="",J766=""),"",IFERROR(VALUE(LEFT(J766,1)),""))</f>
        <v/>
      </c>
      <c r="AS766" s="35" t="str">
        <f aca="false">IF(OR(AO766&lt;&gt;1,G766=""),"",IFERROR(IF(INDEX(L_SrcInterne,MATCH(G766,L_Sources,0))="Oui",1,0),""))</f>
        <v/>
      </c>
      <c r="AT766" s="37" t="str">
        <f aca="false">IF(AO766&lt;&gt;1,"",IFERROR(ROUND(IF(OR(N766="",O766=""),"",IF(O766&lt;N766,"",ROUND(((NETWORKDAYS(N766,O766,JoursFeries)-1)*(HFer-HOuv)+IF(NETWORKDAYS(O766,O766,JoursFeries),MEDIAN(MOD(O766,1),HFer,HOuv),HFer)-IF(NETWORKDAYS(N766,N766,JoursFeries),MEDIAN(MOD(N766,1),HFer,HOuv),HOuv))*24,4)))/HJour,4),""))</f>
        <v/>
      </c>
      <c r="AU766" s="37" t="str">
        <f aca="false">IF(AO766&lt;&gt;1,"",IF(OR(O766="",P766=""),"",IF(P766&lt;O766,"",ROUND(((NETWORKDAYS(O766,P766,JoursFeries)-1)*(HFer-HOuv)+IF(NETWORKDAYS(P766,P766,JoursFeries),MEDIAN(MOD(P766,1),HFer,HOuv),HFer)-IF(NETWORKDAYS(O766,O766,JoursFeries),MEDIAN(MOD(O766,1),HFer,HOuv),HOuv))*24,4))))</f>
        <v/>
      </c>
      <c r="AV766" s="37" t="str">
        <f aca="false">IF(AO766&lt;&gt;1,"",IF(OR(P766="",Q766=""),"",IF(Q766&lt;P766,"",ROUND(((NETWORKDAYS(P766,Q766,JoursFeries)-1)*(HFer-HOuv)+IF(NETWORKDAYS(Q766,Q766,JoursFeries),MEDIAN(MOD(Q766,1),HFer,HOuv),HFer)-IF(NETWORKDAYS(P766,P766,JoursFeries),MEDIAN(MOD(P766,1),HFer,HOuv),HOuv))*24,4))))</f>
        <v/>
      </c>
      <c r="AW766" s="37" t="str">
        <f aca="false">IF(AO766&lt;&gt;1,"",IFERROR(ROUND(IF(OR(P766="",R766=""),"",IF(R766&lt;P766,"",ROUND(((NETWORKDAYS(P766,R766,JoursFeries)-1)*(HFer-HOuv)+IF(NETWORKDAYS(R766,R766,JoursFeries),MEDIAN(MOD(R766,1),HFer,HOuv),HFer)-IF(NETWORKDAYS(P766,P766,JoursFeries),MEDIAN(MOD(P766,1),HFer,HOuv),HOuv))*24,4)))/HJour,4),""))</f>
        <v/>
      </c>
      <c r="AX766" s="37" t="str">
        <f aca="false">IF(AO766&lt;&gt;1,"",IFERROR(ROUND(IF(OR(P766="",S766=""),"",IF(S766&lt;P766,"",ROUND(((NETWORKDAYS(P766,S766,JoursFeries)-1)*(HFer-HOuv)+IF(NETWORKDAYS(S766,S766,JoursFeries),MEDIAN(MOD(S766,1),HFer,HOuv),HFer)-IF(NETWORKDAYS(P766,P766,JoursFeries),MEDIAN(MOD(P766,1),HFer,HOuv),HOuv))*24,4)))/HJour,4),""))</f>
        <v/>
      </c>
      <c r="AY766" s="36" t="str">
        <f aca="false">IF(OR(AO766&lt;&gt;1,AR766=""),"",INDEX(SLA_PEC,AR766))</f>
        <v/>
      </c>
      <c r="AZ766" s="35" t="str">
        <f aca="false">IF(OR(AV766="",AY766=""),"",IF(AV766&lt;=AY766,1,0))</f>
        <v/>
      </c>
      <c r="BA766" s="36" t="str">
        <f aca="false">IF(OR(AO766&lt;&gt;1,AR766=""),"",INDEX(SLA_RES,AR766))</f>
        <v/>
      </c>
      <c r="BB766" s="35" t="str">
        <f aca="false">IF(OR(AW766="",BA766=""),"",IF(AW766&lt;=BA766,1,0))</f>
        <v/>
      </c>
      <c r="BC766" s="38" t="str">
        <f aca="false">IF(OR(BA766="",P766=""),"",WORKDAY(INT(P766),BA766,JoursFeries)+MOD(P766,1))</f>
        <v/>
      </c>
      <c r="BD766" s="39" t="str">
        <f aca="false">IF(AO766&lt;&gt;1,"",IF(OR(AB766&lt;&gt;"",AD766&lt;&gt;""),4,IF(U766&lt;&gt;"",3,IF(T766&lt;&gt;"",2,1))))</f>
        <v/>
      </c>
      <c r="BE766" s="39" t="str">
        <f aca="false">IF(OR(AO766&lt;&gt;1,AR766=""),"",INDEX(NIV_REQ,AR766))</f>
        <v/>
      </c>
      <c r="BF766" s="39" t="str">
        <f aca="false">IF(BE766="","",MAX(BE766,IF(OR(K766="Oui",Z766="Oui"),4,1)))</f>
        <v/>
      </c>
      <c r="BG766" s="35" t="str">
        <f aca="false">IF(OR(BF766="",BD766=""),"",IF(BD766&gt;=BF766,1,0))</f>
        <v/>
      </c>
      <c r="BH766" s="38" t="str">
        <f aca="false">IF(BE766="","",IF(BE766&lt;2,"",IF(BE766=2,IF(AND(T766="",U766=""),"",MIN(T766,U766)),IF(U766="","",U766))))</f>
        <v/>
      </c>
      <c r="BI766" s="37" t="str">
        <f aca="false">IF(BH766="","",IF(OR(O766="",BH766=""),"",IF(BH766&lt;O766,"",ROUND(((NETWORKDAYS(O766,BH766,JoursFeries)-1)*(HFer-HOuv)+IF(NETWORKDAYS(BH766,BH766,JoursFeries),MEDIAN(MOD(BH766,1),HFer,HOuv),HFer)-IF(NETWORKDAYS(O766,O766,JoursFeries),MEDIAN(MOD(O766,1),HFer,HOuv),HOuv))*24,4))))</f>
        <v/>
      </c>
      <c r="BJ766" s="35" t="str">
        <f aca="false">IF(OR(BI766="",AR766=""),"",IF(BI766&lt;=INDEX(DELAI_ESC,AR766),1,0))</f>
        <v/>
      </c>
      <c r="BK766" s="38" t="str">
        <f aca="false">IF(AO766&lt;&gt;1,"",IF(AND(T766="",U766=""),"",MIN(T766,U766)))</f>
        <v/>
      </c>
      <c r="BL766" s="37" t="str">
        <f aca="false">IF(OR(BK766="",R766=""),"",IFERROR(ROUND(IF(OR(BK766="",R766=""),"",IF(R766&lt;BK766,"",ROUND(((NETWORKDAYS(BK766,R766,JoursFeries)-1)*(HFer-HOuv)+IF(NETWORKDAYS(R766,R766,JoursFeries),MEDIAN(MOD(R766,1),HFer,HOuv),HFer)-IF(NETWORKDAYS(BK766,BK766,JoursFeries),MEDIAN(MOD(BK766,1),HFer,HOuv),HOuv))*24,4)))/HJour,4),""))</f>
        <v/>
      </c>
      <c r="BM766" s="35" t="str">
        <f aca="false">IF(OR(AO766&lt;&gt;1,R766=""),"",IF(BD766=1,1,0))</f>
        <v/>
      </c>
      <c r="BN766" s="35" t="str">
        <f aca="false">IF(AO766&lt;&gt;1,"",IF(W766="Oui",1,0))</f>
        <v/>
      </c>
      <c r="BO766" s="35" t="str">
        <f aca="false">IF(AO766&lt;&gt;1,"",IF(X766&lt;&gt;"",1,0))</f>
        <v/>
      </c>
      <c r="BP766" s="35" t="str">
        <f aca="false">IF(AO766&lt;&gt;1,"",IF(Y766="Oui",1,0))</f>
        <v/>
      </c>
      <c r="BQ766" s="35" t="str">
        <f aca="true">IF(OR(AO766&lt;&gt;1,Z766&lt;&gt;"Oui"),"",IF(AB766="",IF(AND(AA766&lt;&gt;"",NOW()&gt;AA766),0,""),IF(AA766="","",IF(AB766&lt;=AA766,1,0))))</f>
        <v/>
      </c>
      <c r="BR766" s="38" t="str">
        <f aca="false">IF(OR(AO766&lt;&gt;1,K766&lt;&gt;"Oui",O766=""),"",IF(AC766="",O766+DORA_H_DET/24,IF(AC766-O766&lt;=DORA_H_DET/24,MIN(AC766+DORA_H_CLA/24,O766+DORA_H_DET/24),AC766+DORA_H_CLA/24)))</f>
        <v/>
      </c>
      <c r="BS766" s="35" t="str">
        <f aca="true">IF(BR766="","",IF(AD766="",IF(NOW()&gt;BR766,0,""),IF(AD766&lt;=BR766,1,0)))</f>
        <v/>
      </c>
      <c r="BT766" s="35" t="str">
        <f aca="true">IF(OR(BR766="",AD766=""),"",IF(AE766="",IF(NOW()&gt;AD766+DORA_H_INT/24,0,""),IF(AE766&lt;=AD766+DORA_H_INT/24,1,0)))</f>
        <v/>
      </c>
      <c r="BU766" s="35" t="str">
        <f aca="true">IF(OR(BR766="",AE766=""),"",IF(AF766="",IF(NOW()&gt;EDATE(AE766,DORA_M_FIN)+1,0,""),IF(AF766&lt;=EDATE(AE766,DORA_M_FIN),1,0)))</f>
        <v/>
      </c>
      <c r="BV766" s="35" t="str">
        <f aca="false">IF(BR766="","",IF(COUNT(BS766:BU766)=0,"",MIN(BS766:BU766)))</f>
        <v/>
      </c>
      <c r="BW766" s="40" t="str">
        <f aca="false">IF(AQ766&lt;&gt;1,"",IF(AND(AG766="",AH766=""),"",N(AG766)-N(AH766)))</f>
        <v/>
      </c>
      <c r="BX766" s="35" t="str">
        <f aca="true">IF(OR(AQ766&lt;&gt;1,AI766&lt;&gt;"Oui",AJ766=""),"",IF(AK766="",IF(NOW()&gt;AJ766+1,0,""),IF(AK766&lt;=AJ766,1,0)))</f>
        <v/>
      </c>
    </row>
    <row r="767" customFormat="false" ht="15" hidden="false" customHeight="false" outlineLevel="0" collapsed="false">
      <c r="B767" s="29"/>
      <c r="C767" s="29"/>
      <c r="D767" s="29"/>
      <c r="E767" s="29"/>
      <c r="F767" s="29"/>
      <c r="G767" s="29"/>
      <c r="H767" s="29"/>
      <c r="I767" s="29"/>
      <c r="J767" s="29"/>
      <c r="K767" s="29"/>
      <c r="L767" s="29"/>
      <c r="M767" s="29"/>
      <c r="N767" s="30"/>
      <c r="O767" s="30"/>
      <c r="P767" s="30"/>
      <c r="Q767" s="30"/>
      <c r="R767" s="30"/>
      <c r="S767" s="30"/>
      <c r="T767" s="30"/>
      <c r="U767" s="30"/>
      <c r="V767" s="31"/>
      <c r="W767" s="29"/>
      <c r="X767" s="29"/>
      <c r="Y767" s="29"/>
      <c r="Z767" s="29"/>
      <c r="AA767" s="30"/>
      <c r="AB767" s="30"/>
      <c r="AC767" s="30"/>
      <c r="AD767" s="30"/>
      <c r="AE767" s="30"/>
      <c r="AF767" s="32"/>
      <c r="AG767" s="33"/>
      <c r="AH767" s="33"/>
      <c r="AI767" s="29"/>
      <c r="AJ767" s="32"/>
      <c r="AK767" s="32"/>
      <c r="AL767" s="29"/>
      <c r="AN767" s="34" t="str">
        <f aca="false">IF($B767="","",IF(OR(C767="",D767="",E767="",G767="",I767="",J767="",L767="",O767="",P767=""),"Champ obligatoire manquant",IF(OR(AND(N767&lt;&gt;"",N767&gt;O767),O767&gt;P767,AND(Q767&lt;&gt;"",Q767&lt;P767),AND(R767&lt;&gt;"",R767&lt;P767),AND(S767&lt;&gt;"",S767&lt;R767),AND(S767&lt;&gt;"",R767=""),AND(T767&lt;&gt;"",T767&lt;O767),AND(U767&lt;&gt;"",U767&lt;O767)),"Chronologie incohérente",IF(AND(OR(L767="Résolu",L767="Clos"),R767=""),"Date de résolution manquante",IF(AND(L767="Clos",S767=""),"Date de clôture manquante",IF(AND(K767="Oui",AC767=""),"Classification DORA manquante","OK"))))))</f>
        <v/>
      </c>
      <c r="AO767" s="35" t="str">
        <f aca="false">IF($B767="","",IF(AND(C767="Incident",L767&lt;&gt;"Annulé"),1,0))</f>
        <v/>
      </c>
      <c r="AP767" s="35" t="str">
        <f aca="false">IF($B767="","",IF(AND(C767="Quasi-incident",L767&lt;&gt;"Annulé"),1,0))</f>
        <v/>
      </c>
      <c r="AQ767" s="35" t="str">
        <f aca="false">IF($B767="","",AO767+AP767)</f>
        <v/>
      </c>
      <c r="AR767" s="36" t="str">
        <f aca="false">IF(OR($B767="",J767=""),"",IFERROR(VALUE(LEFT(J767,1)),""))</f>
        <v/>
      </c>
      <c r="AS767" s="35" t="str">
        <f aca="false">IF(OR(AO767&lt;&gt;1,G767=""),"",IFERROR(IF(INDEX(L_SrcInterne,MATCH(G767,L_Sources,0))="Oui",1,0),""))</f>
        <v/>
      </c>
      <c r="AT767" s="37" t="str">
        <f aca="false">IF(AO767&lt;&gt;1,"",IFERROR(ROUND(IF(OR(N767="",O767=""),"",IF(O767&lt;N767,"",ROUND(((NETWORKDAYS(N767,O767,JoursFeries)-1)*(HFer-HOuv)+IF(NETWORKDAYS(O767,O767,JoursFeries),MEDIAN(MOD(O767,1),HFer,HOuv),HFer)-IF(NETWORKDAYS(N767,N767,JoursFeries),MEDIAN(MOD(N767,1),HFer,HOuv),HOuv))*24,4)))/HJour,4),""))</f>
        <v/>
      </c>
      <c r="AU767" s="37" t="str">
        <f aca="false">IF(AO767&lt;&gt;1,"",IF(OR(O767="",P767=""),"",IF(P767&lt;O767,"",ROUND(((NETWORKDAYS(O767,P767,JoursFeries)-1)*(HFer-HOuv)+IF(NETWORKDAYS(P767,P767,JoursFeries),MEDIAN(MOD(P767,1),HFer,HOuv),HFer)-IF(NETWORKDAYS(O767,O767,JoursFeries),MEDIAN(MOD(O767,1),HFer,HOuv),HOuv))*24,4))))</f>
        <v/>
      </c>
      <c r="AV767" s="37" t="str">
        <f aca="false">IF(AO767&lt;&gt;1,"",IF(OR(P767="",Q767=""),"",IF(Q767&lt;P767,"",ROUND(((NETWORKDAYS(P767,Q767,JoursFeries)-1)*(HFer-HOuv)+IF(NETWORKDAYS(Q767,Q767,JoursFeries),MEDIAN(MOD(Q767,1),HFer,HOuv),HFer)-IF(NETWORKDAYS(P767,P767,JoursFeries),MEDIAN(MOD(P767,1),HFer,HOuv),HOuv))*24,4))))</f>
        <v/>
      </c>
      <c r="AW767" s="37" t="str">
        <f aca="false">IF(AO767&lt;&gt;1,"",IFERROR(ROUND(IF(OR(P767="",R767=""),"",IF(R767&lt;P767,"",ROUND(((NETWORKDAYS(P767,R767,JoursFeries)-1)*(HFer-HOuv)+IF(NETWORKDAYS(R767,R767,JoursFeries),MEDIAN(MOD(R767,1),HFer,HOuv),HFer)-IF(NETWORKDAYS(P767,P767,JoursFeries),MEDIAN(MOD(P767,1),HFer,HOuv),HOuv))*24,4)))/HJour,4),""))</f>
        <v/>
      </c>
      <c r="AX767" s="37" t="str">
        <f aca="false">IF(AO767&lt;&gt;1,"",IFERROR(ROUND(IF(OR(P767="",S767=""),"",IF(S767&lt;P767,"",ROUND(((NETWORKDAYS(P767,S767,JoursFeries)-1)*(HFer-HOuv)+IF(NETWORKDAYS(S767,S767,JoursFeries),MEDIAN(MOD(S767,1),HFer,HOuv),HFer)-IF(NETWORKDAYS(P767,P767,JoursFeries),MEDIAN(MOD(P767,1),HFer,HOuv),HOuv))*24,4)))/HJour,4),""))</f>
        <v/>
      </c>
      <c r="AY767" s="36" t="str">
        <f aca="false">IF(OR(AO767&lt;&gt;1,AR767=""),"",INDEX(SLA_PEC,AR767))</f>
        <v/>
      </c>
      <c r="AZ767" s="35" t="str">
        <f aca="false">IF(OR(AV767="",AY767=""),"",IF(AV767&lt;=AY767,1,0))</f>
        <v/>
      </c>
      <c r="BA767" s="36" t="str">
        <f aca="false">IF(OR(AO767&lt;&gt;1,AR767=""),"",INDEX(SLA_RES,AR767))</f>
        <v/>
      </c>
      <c r="BB767" s="35" t="str">
        <f aca="false">IF(OR(AW767="",BA767=""),"",IF(AW767&lt;=BA767,1,0))</f>
        <v/>
      </c>
      <c r="BC767" s="38" t="str">
        <f aca="false">IF(OR(BA767="",P767=""),"",WORKDAY(INT(P767),BA767,JoursFeries)+MOD(P767,1))</f>
        <v/>
      </c>
      <c r="BD767" s="39" t="str">
        <f aca="false">IF(AO767&lt;&gt;1,"",IF(OR(AB767&lt;&gt;"",AD767&lt;&gt;""),4,IF(U767&lt;&gt;"",3,IF(T767&lt;&gt;"",2,1))))</f>
        <v/>
      </c>
      <c r="BE767" s="39" t="str">
        <f aca="false">IF(OR(AO767&lt;&gt;1,AR767=""),"",INDEX(NIV_REQ,AR767))</f>
        <v/>
      </c>
      <c r="BF767" s="39" t="str">
        <f aca="false">IF(BE767="","",MAX(BE767,IF(OR(K767="Oui",Z767="Oui"),4,1)))</f>
        <v/>
      </c>
      <c r="BG767" s="35" t="str">
        <f aca="false">IF(OR(BF767="",BD767=""),"",IF(BD767&gt;=BF767,1,0))</f>
        <v/>
      </c>
      <c r="BH767" s="38" t="str">
        <f aca="false">IF(BE767="","",IF(BE767&lt;2,"",IF(BE767=2,IF(AND(T767="",U767=""),"",MIN(T767,U767)),IF(U767="","",U767))))</f>
        <v/>
      </c>
      <c r="BI767" s="37" t="str">
        <f aca="false">IF(BH767="","",IF(OR(O767="",BH767=""),"",IF(BH767&lt;O767,"",ROUND(((NETWORKDAYS(O767,BH767,JoursFeries)-1)*(HFer-HOuv)+IF(NETWORKDAYS(BH767,BH767,JoursFeries),MEDIAN(MOD(BH767,1),HFer,HOuv),HFer)-IF(NETWORKDAYS(O767,O767,JoursFeries),MEDIAN(MOD(O767,1),HFer,HOuv),HOuv))*24,4))))</f>
        <v/>
      </c>
      <c r="BJ767" s="35" t="str">
        <f aca="false">IF(OR(BI767="",AR767=""),"",IF(BI767&lt;=INDEX(DELAI_ESC,AR767),1,0))</f>
        <v/>
      </c>
      <c r="BK767" s="38" t="str">
        <f aca="false">IF(AO767&lt;&gt;1,"",IF(AND(T767="",U767=""),"",MIN(T767,U767)))</f>
        <v/>
      </c>
      <c r="BL767" s="37" t="str">
        <f aca="false">IF(OR(BK767="",R767=""),"",IFERROR(ROUND(IF(OR(BK767="",R767=""),"",IF(R767&lt;BK767,"",ROUND(((NETWORKDAYS(BK767,R767,JoursFeries)-1)*(HFer-HOuv)+IF(NETWORKDAYS(R767,R767,JoursFeries),MEDIAN(MOD(R767,1),HFer,HOuv),HFer)-IF(NETWORKDAYS(BK767,BK767,JoursFeries),MEDIAN(MOD(BK767,1),HFer,HOuv),HOuv))*24,4)))/HJour,4),""))</f>
        <v/>
      </c>
      <c r="BM767" s="35" t="str">
        <f aca="false">IF(OR(AO767&lt;&gt;1,R767=""),"",IF(BD767=1,1,0))</f>
        <v/>
      </c>
      <c r="BN767" s="35" t="str">
        <f aca="false">IF(AO767&lt;&gt;1,"",IF(W767="Oui",1,0))</f>
        <v/>
      </c>
      <c r="BO767" s="35" t="str">
        <f aca="false">IF(AO767&lt;&gt;1,"",IF(X767&lt;&gt;"",1,0))</f>
        <v/>
      </c>
      <c r="BP767" s="35" t="str">
        <f aca="false">IF(AO767&lt;&gt;1,"",IF(Y767="Oui",1,0))</f>
        <v/>
      </c>
      <c r="BQ767" s="35" t="str">
        <f aca="true">IF(OR(AO767&lt;&gt;1,Z767&lt;&gt;"Oui"),"",IF(AB767="",IF(AND(AA767&lt;&gt;"",NOW()&gt;AA767),0,""),IF(AA767="","",IF(AB767&lt;=AA767,1,0))))</f>
        <v/>
      </c>
      <c r="BR767" s="38" t="str">
        <f aca="false">IF(OR(AO767&lt;&gt;1,K767&lt;&gt;"Oui",O767=""),"",IF(AC767="",O767+DORA_H_DET/24,IF(AC767-O767&lt;=DORA_H_DET/24,MIN(AC767+DORA_H_CLA/24,O767+DORA_H_DET/24),AC767+DORA_H_CLA/24)))</f>
        <v/>
      </c>
      <c r="BS767" s="35" t="str">
        <f aca="true">IF(BR767="","",IF(AD767="",IF(NOW()&gt;BR767,0,""),IF(AD767&lt;=BR767,1,0)))</f>
        <v/>
      </c>
      <c r="BT767" s="35" t="str">
        <f aca="true">IF(OR(BR767="",AD767=""),"",IF(AE767="",IF(NOW()&gt;AD767+DORA_H_INT/24,0,""),IF(AE767&lt;=AD767+DORA_H_INT/24,1,0)))</f>
        <v/>
      </c>
      <c r="BU767" s="35" t="str">
        <f aca="true">IF(OR(BR767="",AE767=""),"",IF(AF767="",IF(NOW()&gt;EDATE(AE767,DORA_M_FIN)+1,0,""),IF(AF767&lt;=EDATE(AE767,DORA_M_FIN),1,0)))</f>
        <v/>
      </c>
      <c r="BV767" s="35" t="str">
        <f aca="false">IF(BR767="","",IF(COUNT(BS767:BU767)=0,"",MIN(BS767:BU767)))</f>
        <v/>
      </c>
      <c r="BW767" s="40" t="str">
        <f aca="false">IF(AQ767&lt;&gt;1,"",IF(AND(AG767="",AH767=""),"",N(AG767)-N(AH767)))</f>
        <v/>
      </c>
      <c r="BX767" s="35" t="str">
        <f aca="true">IF(OR(AQ767&lt;&gt;1,AI767&lt;&gt;"Oui",AJ767=""),"",IF(AK767="",IF(NOW()&gt;AJ767+1,0,""),IF(AK767&lt;=AJ767,1,0)))</f>
        <v/>
      </c>
    </row>
    <row r="768" customFormat="false" ht="15" hidden="false" customHeight="false" outlineLevel="0" collapsed="false">
      <c r="B768" s="29"/>
      <c r="C768" s="29"/>
      <c r="D768" s="29"/>
      <c r="E768" s="29"/>
      <c r="F768" s="29"/>
      <c r="G768" s="29"/>
      <c r="H768" s="29"/>
      <c r="I768" s="29"/>
      <c r="J768" s="29"/>
      <c r="K768" s="29"/>
      <c r="L768" s="29"/>
      <c r="M768" s="29"/>
      <c r="N768" s="30"/>
      <c r="O768" s="30"/>
      <c r="P768" s="30"/>
      <c r="Q768" s="30"/>
      <c r="R768" s="30"/>
      <c r="S768" s="30"/>
      <c r="T768" s="30"/>
      <c r="U768" s="30"/>
      <c r="V768" s="31"/>
      <c r="W768" s="29"/>
      <c r="X768" s="29"/>
      <c r="Y768" s="29"/>
      <c r="Z768" s="29"/>
      <c r="AA768" s="30"/>
      <c r="AB768" s="30"/>
      <c r="AC768" s="30"/>
      <c r="AD768" s="30"/>
      <c r="AE768" s="30"/>
      <c r="AF768" s="32"/>
      <c r="AG768" s="33"/>
      <c r="AH768" s="33"/>
      <c r="AI768" s="29"/>
      <c r="AJ768" s="32"/>
      <c r="AK768" s="32"/>
      <c r="AL768" s="29"/>
      <c r="AN768" s="34" t="str">
        <f aca="false">IF($B768="","",IF(OR(C768="",D768="",E768="",G768="",I768="",J768="",L768="",O768="",P768=""),"Champ obligatoire manquant",IF(OR(AND(N768&lt;&gt;"",N768&gt;O768),O768&gt;P768,AND(Q768&lt;&gt;"",Q768&lt;P768),AND(R768&lt;&gt;"",R768&lt;P768),AND(S768&lt;&gt;"",S768&lt;R768),AND(S768&lt;&gt;"",R768=""),AND(T768&lt;&gt;"",T768&lt;O768),AND(U768&lt;&gt;"",U768&lt;O768)),"Chronologie incohérente",IF(AND(OR(L768="Résolu",L768="Clos"),R768=""),"Date de résolution manquante",IF(AND(L768="Clos",S768=""),"Date de clôture manquante",IF(AND(K768="Oui",AC768=""),"Classification DORA manquante","OK"))))))</f>
        <v/>
      </c>
      <c r="AO768" s="35" t="str">
        <f aca="false">IF($B768="","",IF(AND(C768="Incident",L768&lt;&gt;"Annulé"),1,0))</f>
        <v/>
      </c>
      <c r="AP768" s="35" t="str">
        <f aca="false">IF($B768="","",IF(AND(C768="Quasi-incident",L768&lt;&gt;"Annulé"),1,0))</f>
        <v/>
      </c>
      <c r="AQ768" s="35" t="str">
        <f aca="false">IF($B768="","",AO768+AP768)</f>
        <v/>
      </c>
      <c r="AR768" s="36" t="str">
        <f aca="false">IF(OR($B768="",J768=""),"",IFERROR(VALUE(LEFT(J768,1)),""))</f>
        <v/>
      </c>
      <c r="AS768" s="35" t="str">
        <f aca="false">IF(OR(AO768&lt;&gt;1,G768=""),"",IFERROR(IF(INDEX(L_SrcInterne,MATCH(G768,L_Sources,0))="Oui",1,0),""))</f>
        <v/>
      </c>
      <c r="AT768" s="37" t="str">
        <f aca="false">IF(AO768&lt;&gt;1,"",IFERROR(ROUND(IF(OR(N768="",O768=""),"",IF(O768&lt;N768,"",ROUND(((NETWORKDAYS(N768,O768,JoursFeries)-1)*(HFer-HOuv)+IF(NETWORKDAYS(O768,O768,JoursFeries),MEDIAN(MOD(O768,1),HFer,HOuv),HFer)-IF(NETWORKDAYS(N768,N768,JoursFeries),MEDIAN(MOD(N768,1),HFer,HOuv),HOuv))*24,4)))/HJour,4),""))</f>
        <v/>
      </c>
      <c r="AU768" s="37" t="str">
        <f aca="false">IF(AO768&lt;&gt;1,"",IF(OR(O768="",P768=""),"",IF(P768&lt;O768,"",ROUND(((NETWORKDAYS(O768,P768,JoursFeries)-1)*(HFer-HOuv)+IF(NETWORKDAYS(P768,P768,JoursFeries),MEDIAN(MOD(P768,1),HFer,HOuv),HFer)-IF(NETWORKDAYS(O768,O768,JoursFeries),MEDIAN(MOD(O768,1),HFer,HOuv),HOuv))*24,4))))</f>
        <v/>
      </c>
      <c r="AV768" s="37" t="str">
        <f aca="false">IF(AO768&lt;&gt;1,"",IF(OR(P768="",Q768=""),"",IF(Q768&lt;P768,"",ROUND(((NETWORKDAYS(P768,Q768,JoursFeries)-1)*(HFer-HOuv)+IF(NETWORKDAYS(Q768,Q768,JoursFeries),MEDIAN(MOD(Q768,1),HFer,HOuv),HFer)-IF(NETWORKDAYS(P768,P768,JoursFeries),MEDIAN(MOD(P768,1),HFer,HOuv),HOuv))*24,4))))</f>
        <v/>
      </c>
      <c r="AW768" s="37" t="str">
        <f aca="false">IF(AO768&lt;&gt;1,"",IFERROR(ROUND(IF(OR(P768="",R768=""),"",IF(R768&lt;P768,"",ROUND(((NETWORKDAYS(P768,R768,JoursFeries)-1)*(HFer-HOuv)+IF(NETWORKDAYS(R768,R768,JoursFeries),MEDIAN(MOD(R768,1),HFer,HOuv),HFer)-IF(NETWORKDAYS(P768,P768,JoursFeries),MEDIAN(MOD(P768,1),HFer,HOuv),HOuv))*24,4)))/HJour,4),""))</f>
        <v/>
      </c>
      <c r="AX768" s="37" t="str">
        <f aca="false">IF(AO768&lt;&gt;1,"",IFERROR(ROUND(IF(OR(P768="",S768=""),"",IF(S768&lt;P768,"",ROUND(((NETWORKDAYS(P768,S768,JoursFeries)-1)*(HFer-HOuv)+IF(NETWORKDAYS(S768,S768,JoursFeries),MEDIAN(MOD(S768,1),HFer,HOuv),HFer)-IF(NETWORKDAYS(P768,P768,JoursFeries),MEDIAN(MOD(P768,1),HFer,HOuv),HOuv))*24,4)))/HJour,4),""))</f>
        <v/>
      </c>
      <c r="AY768" s="36" t="str">
        <f aca="false">IF(OR(AO768&lt;&gt;1,AR768=""),"",INDEX(SLA_PEC,AR768))</f>
        <v/>
      </c>
      <c r="AZ768" s="35" t="str">
        <f aca="false">IF(OR(AV768="",AY768=""),"",IF(AV768&lt;=AY768,1,0))</f>
        <v/>
      </c>
      <c r="BA768" s="36" t="str">
        <f aca="false">IF(OR(AO768&lt;&gt;1,AR768=""),"",INDEX(SLA_RES,AR768))</f>
        <v/>
      </c>
      <c r="BB768" s="35" t="str">
        <f aca="false">IF(OR(AW768="",BA768=""),"",IF(AW768&lt;=BA768,1,0))</f>
        <v/>
      </c>
      <c r="BC768" s="38" t="str">
        <f aca="false">IF(OR(BA768="",P768=""),"",WORKDAY(INT(P768),BA768,JoursFeries)+MOD(P768,1))</f>
        <v/>
      </c>
      <c r="BD768" s="39" t="str">
        <f aca="false">IF(AO768&lt;&gt;1,"",IF(OR(AB768&lt;&gt;"",AD768&lt;&gt;""),4,IF(U768&lt;&gt;"",3,IF(T768&lt;&gt;"",2,1))))</f>
        <v/>
      </c>
      <c r="BE768" s="39" t="str">
        <f aca="false">IF(OR(AO768&lt;&gt;1,AR768=""),"",INDEX(NIV_REQ,AR768))</f>
        <v/>
      </c>
      <c r="BF768" s="39" t="str">
        <f aca="false">IF(BE768="","",MAX(BE768,IF(OR(K768="Oui",Z768="Oui"),4,1)))</f>
        <v/>
      </c>
      <c r="BG768" s="35" t="str">
        <f aca="false">IF(OR(BF768="",BD768=""),"",IF(BD768&gt;=BF768,1,0))</f>
        <v/>
      </c>
      <c r="BH768" s="38" t="str">
        <f aca="false">IF(BE768="","",IF(BE768&lt;2,"",IF(BE768=2,IF(AND(T768="",U768=""),"",MIN(T768,U768)),IF(U768="","",U768))))</f>
        <v/>
      </c>
      <c r="BI768" s="37" t="str">
        <f aca="false">IF(BH768="","",IF(OR(O768="",BH768=""),"",IF(BH768&lt;O768,"",ROUND(((NETWORKDAYS(O768,BH768,JoursFeries)-1)*(HFer-HOuv)+IF(NETWORKDAYS(BH768,BH768,JoursFeries),MEDIAN(MOD(BH768,1),HFer,HOuv),HFer)-IF(NETWORKDAYS(O768,O768,JoursFeries),MEDIAN(MOD(O768,1),HFer,HOuv),HOuv))*24,4))))</f>
        <v/>
      </c>
      <c r="BJ768" s="35" t="str">
        <f aca="false">IF(OR(BI768="",AR768=""),"",IF(BI768&lt;=INDEX(DELAI_ESC,AR768),1,0))</f>
        <v/>
      </c>
      <c r="BK768" s="38" t="str">
        <f aca="false">IF(AO768&lt;&gt;1,"",IF(AND(T768="",U768=""),"",MIN(T768,U768)))</f>
        <v/>
      </c>
      <c r="BL768" s="37" t="str">
        <f aca="false">IF(OR(BK768="",R768=""),"",IFERROR(ROUND(IF(OR(BK768="",R768=""),"",IF(R768&lt;BK768,"",ROUND(((NETWORKDAYS(BK768,R768,JoursFeries)-1)*(HFer-HOuv)+IF(NETWORKDAYS(R768,R768,JoursFeries),MEDIAN(MOD(R768,1),HFer,HOuv),HFer)-IF(NETWORKDAYS(BK768,BK768,JoursFeries),MEDIAN(MOD(BK768,1),HFer,HOuv),HOuv))*24,4)))/HJour,4),""))</f>
        <v/>
      </c>
      <c r="BM768" s="35" t="str">
        <f aca="false">IF(OR(AO768&lt;&gt;1,R768=""),"",IF(BD768=1,1,0))</f>
        <v/>
      </c>
      <c r="BN768" s="35" t="str">
        <f aca="false">IF(AO768&lt;&gt;1,"",IF(W768="Oui",1,0))</f>
        <v/>
      </c>
      <c r="BO768" s="35" t="str">
        <f aca="false">IF(AO768&lt;&gt;1,"",IF(X768&lt;&gt;"",1,0))</f>
        <v/>
      </c>
      <c r="BP768" s="35" t="str">
        <f aca="false">IF(AO768&lt;&gt;1,"",IF(Y768="Oui",1,0))</f>
        <v/>
      </c>
      <c r="BQ768" s="35" t="str">
        <f aca="true">IF(OR(AO768&lt;&gt;1,Z768&lt;&gt;"Oui"),"",IF(AB768="",IF(AND(AA768&lt;&gt;"",NOW()&gt;AA768),0,""),IF(AA768="","",IF(AB768&lt;=AA768,1,0))))</f>
        <v/>
      </c>
      <c r="BR768" s="38" t="str">
        <f aca="false">IF(OR(AO768&lt;&gt;1,K768&lt;&gt;"Oui",O768=""),"",IF(AC768="",O768+DORA_H_DET/24,IF(AC768-O768&lt;=DORA_H_DET/24,MIN(AC768+DORA_H_CLA/24,O768+DORA_H_DET/24),AC768+DORA_H_CLA/24)))</f>
        <v/>
      </c>
      <c r="BS768" s="35" t="str">
        <f aca="true">IF(BR768="","",IF(AD768="",IF(NOW()&gt;BR768,0,""),IF(AD768&lt;=BR768,1,0)))</f>
        <v/>
      </c>
      <c r="BT768" s="35" t="str">
        <f aca="true">IF(OR(BR768="",AD768=""),"",IF(AE768="",IF(NOW()&gt;AD768+DORA_H_INT/24,0,""),IF(AE768&lt;=AD768+DORA_H_INT/24,1,0)))</f>
        <v/>
      </c>
      <c r="BU768" s="35" t="str">
        <f aca="true">IF(OR(BR768="",AE768=""),"",IF(AF768="",IF(NOW()&gt;EDATE(AE768,DORA_M_FIN)+1,0,""),IF(AF768&lt;=EDATE(AE768,DORA_M_FIN),1,0)))</f>
        <v/>
      </c>
      <c r="BV768" s="35" t="str">
        <f aca="false">IF(BR768="","",IF(COUNT(BS768:BU768)=0,"",MIN(BS768:BU768)))</f>
        <v/>
      </c>
      <c r="BW768" s="40" t="str">
        <f aca="false">IF(AQ768&lt;&gt;1,"",IF(AND(AG768="",AH768=""),"",N(AG768)-N(AH768)))</f>
        <v/>
      </c>
      <c r="BX768" s="35" t="str">
        <f aca="true">IF(OR(AQ768&lt;&gt;1,AI768&lt;&gt;"Oui",AJ768=""),"",IF(AK768="",IF(NOW()&gt;AJ768+1,0,""),IF(AK768&lt;=AJ768,1,0)))</f>
        <v/>
      </c>
    </row>
    <row r="769" customFormat="false" ht="15" hidden="false" customHeight="false" outlineLevel="0" collapsed="false">
      <c r="B769" s="29"/>
      <c r="C769" s="29"/>
      <c r="D769" s="29"/>
      <c r="E769" s="29"/>
      <c r="F769" s="29"/>
      <c r="G769" s="29"/>
      <c r="H769" s="29"/>
      <c r="I769" s="29"/>
      <c r="J769" s="29"/>
      <c r="K769" s="29"/>
      <c r="L769" s="29"/>
      <c r="M769" s="29"/>
      <c r="N769" s="30"/>
      <c r="O769" s="30"/>
      <c r="P769" s="30"/>
      <c r="Q769" s="30"/>
      <c r="R769" s="30"/>
      <c r="S769" s="30"/>
      <c r="T769" s="30"/>
      <c r="U769" s="30"/>
      <c r="V769" s="31"/>
      <c r="W769" s="29"/>
      <c r="X769" s="29"/>
      <c r="Y769" s="29"/>
      <c r="Z769" s="29"/>
      <c r="AA769" s="30"/>
      <c r="AB769" s="30"/>
      <c r="AC769" s="30"/>
      <c r="AD769" s="30"/>
      <c r="AE769" s="30"/>
      <c r="AF769" s="32"/>
      <c r="AG769" s="33"/>
      <c r="AH769" s="33"/>
      <c r="AI769" s="29"/>
      <c r="AJ769" s="32"/>
      <c r="AK769" s="32"/>
      <c r="AL769" s="29"/>
      <c r="AN769" s="34" t="str">
        <f aca="false">IF($B769="","",IF(OR(C769="",D769="",E769="",G769="",I769="",J769="",L769="",O769="",P769=""),"Champ obligatoire manquant",IF(OR(AND(N769&lt;&gt;"",N769&gt;O769),O769&gt;P769,AND(Q769&lt;&gt;"",Q769&lt;P769),AND(R769&lt;&gt;"",R769&lt;P769),AND(S769&lt;&gt;"",S769&lt;R769),AND(S769&lt;&gt;"",R769=""),AND(T769&lt;&gt;"",T769&lt;O769),AND(U769&lt;&gt;"",U769&lt;O769)),"Chronologie incohérente",IF(AND(OR(L769="Résolu",L769="Clos"),R769=""),"Date de résolution manquante",IF(AND(L769="Clos",S769=""),"Date de clôture manquante",IF(AND(K769="Oui",AC769=""),"Classification DORA manquante","OK"))))))</f>
        <v/>
      </c>
      <c r="AO769" s="35" t="str">
        <f aca="false">IF($B769="","",IF(AND(C769="Incident",L769&lt;&gt;"Annulé"),1,0))</f>
        <v/>
      </c>
      <c r="AP769" s="35" t="str">
        <f aca="false">IF($B769="","",IF(AND(C769="Quasi-incident",L769&lt;&gt;"Annulé"),1,0))</f>
        <v/>
      </c>
      <c r="AQ769" s="35" t="str">
        <f aca="false">IF($B769="","",AO769+AP769)</f>
        <v/>
      </c>
      <c r="AR769" s="36" t="str">
        <f aca="false">IF(OR($B769="",J769=""),"",IFERROR(VALUE(LEFT(J769,1)),""))</f>
        <v/>
      </c>
      <c r="AS769" s="35" t="str">
        <f aca="false">IF(OR(AO769&lt;&gt;1,G769=""),"",IFERROR(IF(INDEX(L_SrcInterne,MATCH(G769,L_Sources,0))="Oui",1,0),""))</f>
        <v/>
      </c>
      <c r="AT769" s="37" t="str">
        <f aca="false">IF(AO769&lt;&gt;1,"",IFERROR(ROUND(IF(OR(N769="",O769=""),"",IF(O769&lt;N769,"",ROUND(((NETWORKDAYS(N769,O769,JoursFeries)-1)*(HFer-HOuv)+IF(NETWORKDAYS(O769,O769,JoursFeries),MEDIAN(MOD(O769,1),HFer,HOuv),HFer)-IF(NETWORKDAYS(N769,N769,JoursFeries),MEDIAN(MOD(N769,1),HFer,HOuv),HOuv))*24,4)))/HJour,4),""))</f>
        <v/>
      </c>
      <c r="AU769" s="37" t="str">
        <f aca="false">IF(AO769&lt;&gt;1,"",IF(OR(O769="",P769=""),"",IF(P769&lt;O769,"",ROUND(((NETWORKDAYS(O769,P769,JoursFeries)-1)*(HFer-HOuv)+IF(NETWORKDAYS(P769,P769,JoursFeries),MEDIAN(MOD(P769,1),HFer,HOuv),HFer)-IF(NETWORKDAYS(O769,O769,JoursFeries),MEDIAN(MOD(O769,1),HFer,HOuv),HOuv))*24,4))))</f>
        <v/>
      </c>
      <c r="AV769" s="37" t="str">
        <f aca="false">IF(AO769&lt;&gt;1,"",IF(OR(P769="",Q769=""),"",IF(Q769&lt;P769,"",ROUND(((NETWORKDAYS(P769,Q769,JoursFeries)-1)*(HFer-HOuv)+IF(NETWORKDAYS(Q769,Q769,JoursFeries),MEDIAN(MOD(Q769,1),HFer,HOuv),HFer)-IF(NETWORKDAYS(P769,P769,JoursFeries),MEDIAN(MOD(P769,1),HFer,HOuv),HOuv))*24,4))))</f>
        <v/>
      </c>
      <c r="AW769" s="37" t="str">
        <f aca="false">IF(AO769&lt;&gt;1,"",IFERROR(ROUND(IF(OR(P769="",R769=""),"",IF(R769&lt;P769,"",ROUND(((NETWORKDAYS(P769,R769,JoursFeries)-1)*(HFer-HOuv)+IF(NETWORKDAYS(R769,R769,JoursFeries),MEDIAN(MOD(R769,1),HFer,HOuv),HFer)-IF(NETWORKDAYS(P769,P769,JoursFeries),MEDIAN(MOD(P769,1),HFer,HOuv),HOuv))*24,4)))/HJour,4),""))</f>
        <v/>
      </c>
      <c r="AX769" s="37" t="str">
        <f aca="false">IF(AO769&lt;&gt;1,"",IFERROR(ROUND(IF(OR(P769="",S769=""),"",IF(S769&lt;P769,"",ROUND(((NETWORKDAYS(P769,S769,JoursFeries)-1)*(HFer-HOuv)+IF(NETWORKDAYS(S769,S769,JoursFeries),MEDIAN(MOD(S769,1),HFer,HOuv),HFer)-IF(NETWORKDAYS(P769,P769,JoursFeries),MEDIAN(MOD(P769,1),HFer,HOuv),HOuv))*24,4)))/HJour,4),""))</f>
        <v/>
      </c>
      <c r="AY769" s="36" t="str">
        <f aca="false">IF(OR(AO769&lt;&gt;1,AR769=""),"",INDEX(SLA_PEC,AR769))</f>
        <v/>
      </c>
      <c r="AZ769" s="35" t="str">
        <f aca="false">IF(OR(AV769="",AY769=""),"",IF(AV769&lt;=AY769,1,0))</f>
        <v/>
      </c>
      <c r="BA769" s="36" t="str">
        <f aca="false">IF(OR(AO769&lt;&gt;1,AR769=""),"",INDEX(SLA_RES,AR769))</f>
        <v/>
      </c>
      <c r="BB769" s="35" t="str">
        <f aca="false">IF(OR(AW769="",BA769=""),"",IF(AW769&lt;=BA769,1,0))</f>
        <v/>
      </c>
      <c r="BC769" s="38" t="str">
        <f aca="false">IF(OR(BA769="",P769=""),"",WORKDAY(INT(P769),BA769,JoursFeries)+MOD(P769,1))</f>
        <v/>
      </c>
      <c r="BD769" s="39" t="str">
        <f aca="false">IF(AO769&lt;&gt;1,"",IF(OR(AB769&lt;&gt;"",AD769&lt;&gt;""),4,IF(U769&lt;&gt;"",3,IF(T769&lt;&gt;"",2,1))))</f>
        <v/>
      </c>
      <c r="BE769" s="39" t="str">
        <f aca="false">IF(OR(AO769&lt;&gt;1,AR769=""),"",INDEX(NIV_REQ,AR769))</f>
        <v/>
      </c>
      <c r="BF769" s="39" t="str">
        <f aca="false">IF(BE769="","",MAX(BE769,IF(OR(K769="Oui",Z769="Oui"),4,1)))</f>
        <v/>
      </c>
      <c r="BG769" s="35" t="str">
        <f aca="false">IF(OR(BF769="",BD769=""),"",IF(BD769&gt;=BF769,1,0))</f>
        <v/>
      </c>
      <c r="BH769" s="38" t="str">
        <f aca="false">IF(BE769="","",IF(BE769&lt;2,"",IF(BE769=2,IF(AND(T769="",U769=""),"",MIN(T769,U769)),IF(U769="","",U769))))</f>
        <v/>
      </c>
      <c r="BI769" s="37" t="str">
        <f aca="false">IF(BH769="","",IF(OR(O769="",BH769=""),"",IF(BH769&lt;O769,"",ROUND(((NETWORKDAYS(O769,BH769,JoursFeries)-1)*(HFer-HOuv)+IF(NETWORKDAYS(BH769,BH769,JoursFeries),MEDIAN(MOD(BH769,1),HFer,HOuv),HFer)-IF(NETWORKDAYS(O769,O769,JoursFeries),MEDIAN(MOD(O769,1),HFer,HOuv),HOuv))*24,4))))</f>
        <v/>
      </c>
      <c r="BJ769" s="35" t="str">
        <f aca="false">IF(OR(BI769="",AR769=""),"",IF(BI769&lt;=INDEX(DELAI_ESC,AR769),1,0))</f>
        <v/>
      </c>
      <c r="BK769" s="38" t="str">
        <f aca="false">IF(AO769&lt;&gt;1,"",IF(AND(T769="",U769=""),"",MIN(T769,U769)))</f>
        <v/>
      </c>
      <c r="BL769" s="37" t="str">
        <f aca="false">IF(OR(BK769="",R769=""),"",IFERROR(ROUND(IF(OR(BK769="",R769=""),"",IF(R769&lt;BK769,"",ROUND(((NETWORKDAYS(BK769,R769,JoursFeries)-1)*(HFer-HOuv)+IF(NETWORKDAYS(R769,R769,JoursFeries),MEDIAN(MOD(R769,1),HFer,HOuv),HFer)-IF(NETWORKDAYS(BK769,BK769,JoursFeries),MEDIAN(MOD(BK769,1),HFer,HOuv),HOuv))*24,4)))/HJour,4),""))</f>
        <v/>
      </c>
      <c r="BM769" s="35" t="str">
        <f aca="false">IF(OR(AO769&lt;&gt;1,R769=""),"",IF(BD769=1,1,0))</f>
        <v/>
      </c>
      <c r="BN769" s="35" t="str">
        <f aca="false">IF(AO769&lt;&gt;1,"",IF(W769="Oui",1,0))</f>
        <v/>
      </c>
      <c r="BO769" s="35" t="str">
        <f aca="false">IF(AO769&lt;&gt;1,"",IF(X769&lt;&gt;"",1,0))</f>
        <v/>
      </c>
      <c r="BP769" s="35" t="str">
        <f aca="false">IF(AO769&lt;&gt;1,"",IF(Y769="Oui",1,0))</f>
        <v/>
      </c>
      <c r="BQ769" s="35" t="str">
        <f aca="true">IF(OR(AO769&lt;&gt;1,Z769&lt;&gt;"Oui"),"",IF(AB769="",IF(AND(AA769&lt;&gt;"",NOW()&gt;AA769),0,""),IF(AA769="","",IF(AB769&lt;=AA769,1,0))))</f>
        <v/>
      </c>
      <c r="BR769" s="38" t="str">
        <f aca="false">IF(OR(AO769&lt;&gt;1,K769&lt;&gt;"Oui",O769=""),"",IF(AC769="",O769+DORA_H_DET/24,IF(AC769-O769&lt;=DORA_H_DET/24,MIN(AC769+DORA_H_CLA/24,O769+DORA_H_DET/24),AC769+DORA_H_CLA/24)))</f>
        <v/>
      </c>
      <c r="BS769" s="35" t="str">
        <f aca="true">IF(BR769="","",IF(AD769="",IF(NOW()&gt;BR769,0,""),IF(AD769&lt;=BR769,1,0)))</f>
        <v/>
      </c>
      <c r="BT769" s="35" t="str">
        <f aca="true">IF(OR(BR769="",AD769=""),"",IF(AE769="",IF(NOW()&gt;AD769+DORA_H_INT/24,0,""),IF(AE769&lt;=AD769+DORA_H_INT/24,1,0)))</f>
        <v/>
      </c>
      <c r="BU769" s="35" t="str">
        <f aca="true">IF(OR(BR769="",AE769=""),"",IF(AF769="",IF(NOW()&gt;EDATE(AE769,DORA_M_FIN)+1,0,""),IF(AF769&lt;=EDATE(AE769,DORA_M_FIN),1,0)))</f>
        <v/>
      </c>
      <c r="BV769" s="35" t="str">
        <f aca="false">IF(BR769="","",IF(COUNT(BS769:BU769)=0,"",MIN(BS769:BU769)))</f>
        <v/>
      </c>
      <c r="BW769" s="40" t="str">
        <f aca="false">IF(AQ769&lt;&gt;1,"",IF(AND(AG769="",AH769=""),"",N(AG769)-N(AH769)))</f>
        <v/>
      </c>
      <c r="BX769" s="35" t="str">
        <f aca="true">IF(OR(AQ769&lt;&gt;1,AI769&lt;&gt;"Oui",AJ769=""),"",IF(AK769="",IF(NOW()&gt;AJ769+1,0,""),IF(AK769&lt;=AJ769,1,0)))</f>
        <v/>
      </c>
    </row>
    <row r="770" customFormat="false" ht="15" hidden="false" customHeight="false" outlineLevel="0" collapsed="false">
      <c r="B770" s="29"/>
      <c r="C770" s="29"/>
      <c r="D770" s="29"/>
      <c r="E770" s="29"/>
      <c r="F770" s="29"/>
      <c r="G770" s="29"/>
      <c r="H770" s="29"/>
      <c r="I770" s="29"/>
      <c r="J770" s="29"/>
      <c r="K770" s="29"/>
      <c r="L770" s="29"/>
      <c r="M770" s="29"/>
      <c r="N770" s="30"/>
      <c r="O770" s="30"/>
      <c r="P770" s="30"/>
      <c r="Q770" s="30"/>
      <c r="R770" s="30"/>
      <c r="S770" s="30"/>
      <c r="T770" s="30"/>
      <c r="U770" s="30"/>
      <c r="V770" s="31"/>
      <c r="W770" s="29"/>
      <c r="X770" s="29"/>
      <c r="Y770" s="29"/>
      <c r="Z770" s="29"/>
      <c r="AA770" s="30"/>
      <c r="AB770" s="30"/>
      <c r="AC770" s="30"/>
      <c r="AD770" s="30"/>
      <c r="AE770" s="30"/>
      <c r="AF770" s="32"/>
      <c r="AG770" s="33"/>
      <c r="AH770" s="33"/>
      <c r="AI770" s="29"/>
      <c r="AJ770" s="32"/>
      <c r="AK770" s="32"/>
      <c r="AL770" s="29"/>
      <c r="AN770" s="34" t="str">
        <f aca="false">IF($B770="","",IF(OR(C770="",D770="",E770="",G770="",I770="",J770="",L770="",O770="",P770=""),"Champ obligatoire manquant",IF(OR(AND(N770&lt;&gt;"",N770&gt;O770),O770&gt;P770,AND(Q770&lt;&gt;"",Q770&lt;P770),AND(R770&lt;&gt;"",R770&lt;P770),AND(S770&lt;&gt;"",S770&lt;R770),AND(S770&lt;&gt;"",R770=""),AND(T770&lt;&gt;"",T770&lt;O770),AND(U770&lt;&gt;"",U770&lt;O770)),"Chronologie incohérente",IF(AND(OR(L770="Résolu",L770="Clos"),R770=""),"Date de résolution manquante",IF(AND(L770="Clos",S770=""),"Date de clôture manquante",IF(AND(K770="Oui",AC770=""),"Classification DORA manquante","OK"))))))</f>
        <v/>
      </c>
      <c r="AO770" s="35" t="str">
        <f aca="false">IF($B770="","",IF(AND(C770="Incident",L770&lt;&gt;"Annulé"),1,0))</f>
        <v/>
      </c>
      <c r="AP770" s="35" t="str">
        <f aca="false">IF($B770="","",IF(AND(C770="Quasi-incident",L770&lt;&gt;"Annulé"),1,0))</f>
        <v/>
      </c>
      <c r="AQ770" s="35" t="str">
        <f aca="false">IF($B770="","",AO770+AP770)</f>
        <v/>
      </c>
      <c r="AR770" s="36" t="str">
        <f aca="false">IF(OR($B770="",J770=""),"",IFERROR(VALUE(LEFT(J770,1)),""))</f>
        <v/>
      </c>
      <c r="AS770" s="35" t="str">
        <f aca="false">IF(OR(AO770&lt;&gt;1,G770=""),"",IFERROR(IF(INDEX(L_SrcInterne,MATCH(G770,L_Sources,0))="Oui",1,0),""))</f>
        <v/>
      </c>
      <c r="AT770" s="37" t="str">
        <f aca="false">IF(AO770&lt;&gt;1,"",IFERROR(ROUND(IF(OR(N770="",O770=""),"",IF(O770&lt;N770,"",ROUND(((NETWORKDAYS(N770,O770,JoursFeries)-1)*(HFer-HOuv)+IF(NETWORKDAYS(O770,O770,JoursFeries),MEDIAN(MOD(O770,1),HFer,HOuv),HFer)-IF(NETWORKDAYS(N770,N770,JoursFeries),MEDIAN(MOD(N770,1),HFer,HOuv),HOuv))*24,4)))/HJour,4),""))</f>
        <v/>
      </c>
      <c r="AU770" s="37" t="str">
        <f aca="false">IF(AO770&lt;&gt;1,"",IF(OR(O770="",P770=""),"",IF(P770&lt;O770,"",ROUND(((NETWORKDAYS(O770,P770,JoursFeries)-1)*(HFer-HOuv)+IF(NETWORKDAYS(P770,P770,JoursFeries),MEDIAN(MOD(P770,1),HFer,HOuv),HFer)-IF(NETWORKDAYS(O770,O770,JoursFeries),MEDIAN(MOD(O770,1),HFer,HOuv),HOuv))*24,4))))</f>
        <v/>
      </c>
      <c r="AV770" s="37" t="str">
        <f aca="false">IF(AO770&lt;&gt;1,"",IF(OR(P770="",Q770=""),"",IF(Q770&lt;P770,"",ROUND(((NETWORKDAYS(P770,Q770,JoursFeries)-1)*(HFer-HOuv)+IF(NETWORKDAYS(Q770,Q770,JoursFeries),MEDIAN(MOD(Q770,1),HFer,HOuv),HFer)-IF(NETWORKDAYS(P770,P770,JoursFeries),MEDIAN(MOD(P770,1),HFer,HOuv),HOuv))*24,4))))</f>
        <v/>
      </c>
      <c r="AW770" s="37" t="str">
        <f aca="false">IF(AO770&lt;&gt;1,"",IFERROR(ROUND(IF(OR(P770="",R770=""),"",IF(R770&lt;P770,"",ROUND(((NETWORKDAYS(P770,R770,JoursFeries)-1)*(HFer-HOuv)+IF(NETWORKDAYS(R770,R770,JoursFeries),MEDIAN(MOD(R770,1),HFer,HOuv),HFer)-IF(NETWORKDAYS(P770,P770,JoursFeries),MEDIAN(MOD(P770,1),HFer,HOuv),HOuv))*24,4)))/HJour,4),""))</f>
        <v/>
      </c>
      <c r="AX770" s="37" t="str">
        <f aca="false">IF(AO770&lt;&gt;1,"",IFERROR(ROUND(IF(OR(P770="",S770=""),"",IF(S770&lt;P770,"",ROUND(((NETWORKDAYS(P770,S770,JoursFeries)-1)*(HFer-HOuv)+IF(NETWORKDAYS(S770,S770,JoursFeries),MEDIAN(MOD(S770,1),HFer,HOuv),HFer)-IF(NETWORKDAYS(P770,P770,JoursFeries),MEDIAN(MOD(P770,1),HFer,HOuv),HOuv))*24,4)))/HJour,4),""))</f>
        <v/>
      </c>
      <c r="AY770" s="36" t="str">
        <f aca="false">IF(OR(AO770&lt;&gt;1,AR770=""),"",INDEX(SLA_PEC,AR770))</f>
        <v/>
      </c>
      <c r="AZ770" s="35" t="str">
        <f aca="false">IF(OR(AV770="",AY770=""),"",IF(AV770&lt;=AY770,1,0))</f>
        <v/>
      </c>
      <c r="BA770" s="36" t="str">
        <f aca="false">IF(OR(AO770&lt;&gt;1,AR770=""),"",INDEX(SLA_RES,AR770))</f>
        <v/>
      </c>
      <c r="BB770" s="35" t="str">
        <f aca="false">IF(OR(AW770="",BA770=""),"",IF(AW770&lt;=BA770,1,0))</f>
        <v/>
      </c>
      <c r="BC770" s="38" t="str">
        <f aca="false">IF(OR(BA770="",P770=""),"",WORKDAY(INT(P770),BA770,JoursFeries)+MOD(P770,1))</f>
        <v/>
      </c>
      <c r="BD770" s="39" t="str">
        <f aca="false">IF(AO770&lt;&gt;1,"",IF(OR(AB770&lt;&gt;"",AD770&lt;&gt;""),4,IF(U770&lt;&gt;"",3,IF(T770&lt;&gt;"",2,1))))</f>
        <v/>
      </c>
      <c r="BE770" s="39" t="str">
        <f aca="false">IF(OR(AO770&lt;&gt;1,AR770=""),"",INDEX(NIV_REQ,AR770))</f>
        <v/>
      </c>
      <c r="BF770" s="39" t="str">
        <f aca="false">IF(BE770="","",MAX(BE770,IF(OR(K770="Oui",Z770="Oui"),4,1)))</f>
        <v/>
      </c>
      <c r="BG770" s="35" t="str">
        <f aca="false">IF(OR(BF770="",BD770=""),"",IF(BD770&gt;=BF770,1,0))</f>
        <v/>
      </c>
      <c r="BH770" s="38" t="str">
        <f aca="false">IF(BE770="","",IF(BE770&lt;2,"",IF(BE770=2,IF(AND(T770="",U770=""),"",MIN(T770,U770)),IF(U770="","",U770))))</f>
        <v/>
      </c>
      <c r="BI770" s="37" t="str">
        <f aca="false">IF(BH770="","",IF(OR(O770="",BH770=""),"",IF(BH770&lt;O770,"",ROUND(((NETWORKDAYS(O770,BH770,JoursFeries)-1)*(HFer-HOuv)+IF(NETWORKDAYS(BH770,BH770,JoursFeries),MEDIAN(MOD(BH770,1),HFer,HOuv),HFer)-IF(NETWORKDAYS(O770,O770,JoursFeries),MEDIAN(MOD(O770,1),HFer,HOuv),HOuv))*24,4))))</f>
        <v/>
      </c>
      <c r="BJ770" s="35" t="str">
        <f aca="false">IF(OR(BI770="",AR770=""),"",IF(BI770&lt;=INDEX(DELAI_ESC,AR770),1,0))</f>
        <v/>
      </c>
      <c r="BK770" s="38" t="str">
        <f aca="false">IF(AO770&lt;&gt;1,"",IF(AND(T770="",U770=""),"",MIN(T770,U770)))</f>
        <v/>
      </c>
      <c r="BL770" s="37" t="str">
        <f aca="false">IF(OR(BK770="",R770=""),"",IFERROR(ROUND(IF(OR(BK770="",R770=""),"",IF(R770&lt;BK770,"",ROUND(((NETWORKDAYS(BK770,R770,JoursFeries)-1)*(HFer-HOuv)+IF(NETWORKDAYS(R770,R770,JoursFeries),MEDIAN(MOD(R770,1),HFer,HOuv),HFer)-IF(NETWORKDAYS(BK770,BK770,JoursFeries),MEDIAN(MOD(BK770,1),HFer,HOuv),HOuv))*24,4)))/HJour,4),""))</f>
        <v/>
      </c>
      <c r="BM770" s="35" t="str">
        <f aca="false">IF(OR(AO770&lt;&gt;1,R770=""),"",IF(BD770=1,1,0))</f>
        <v/>
      </c>
      <c r="BN770" s="35" t="str">
        <f aca="false">IF(AO770&lt;&gt;1,"",IF(W770="Oui",1,0))</f>
        <v/>
      </c>
      <c r="BO770" s="35" t="str">
        <f aca="false">IF(AO770&lt;&gt;1,"",IF(X770&lt;&gt;"",1,0))</f>
        <v/>
      </c>
      <c r="BP770" s="35" t="str">
        <f aca="false">IF(AO770&lt;&gt;1,"",IF(Y770="Oui",1,0))</f>
        <v/>
      </c>
      <c r="BQ770" s="35" t="str">
        <f aca="true">IF(OR(AO770&lt;&gt;1,Z770&lt;&gt;"Oui"),"",IF(AB770="",IF(AND(AA770&lt;&gt;"",NOW()&gt;AA770),0,""),IF(AA770="","",IF(AB770&lt;=AA770,1,0))))</f>
        <v/>
      </c>
      <c r="BR770" s="38" t="str">
        <f aca="false">IF(OR(AO770&lt;&gt;1,K770&lt;&gt;"Oui",O770=""),"",IF(AC770="",O770+DORA_H_DET/24,IF(AC770-O770&lt;=DORA_H_DET/24,MIN(AC770+DORA_H_CLA/24,O770+DORA_H_DET/24),AC770+DORA_H_CLA/24)))</f>
        <v/>
      </c>
      <c r="BS770" s="35" t="str">
        <f aca="true">IF(BR770="","",IF(AD770="",IF(NOW()&gt;BR770,0,""),IF(AD770&lt;=BR770,1,0)))</f>
        <v/>
      </c>
      <c r="BT770" s="35" t="str">
        <f aca="true">IF(OR(BR770="",AD770=""),"",IF(AE770="",IF(NOW()&gt;AD770+DORA_H_INT/24,0,""),IF(AE770&lt;=AD770+DORA_H_INT/24,1,0)))</f>
        <v/>
      </c>
      <c r="BU770" s="35" t="str">
        <f aca="true">IF(OR(BR770="",AE770=""),"",IF(AF770="",IF(NOW()&gt;EDATE(AE770,DORA_M_FIN)+1,0,""),IF(AF770&lt;=EDATE(AE770,DORA_M_FIN),1,0)))</f>
        <v/>
      </c>
      <c r="BV770" s="35" t="str">
        <f aca="false">IF(BR770="","",IF(COUNT(BS770:BU770)=0,"",MIN(BS770:BU770)))</f>
        <v/>
      </c>
      <c r="BW770" s="40" t="str">
        <f aca="false">IF(AQ770&lt;&gt;1,"",IF(AND(AG770="",AH770=""),"",N(AG770)-N(AH770)))</f>
        <v/>
      </c>
      <c r="BX770" s="35" t="str">
        <f aca="true">IF(OR(AQ770&lt;&gt;1,AI770&lt;&gt;"Oui",AJ770=""),"",IF(AK770="",IF(NOW()&gt;AJ770+1,0,""),IF(AK770&lt;=AJ770,1,0)))</f>
        <v/>
      </c>
    </row>
    <row r="771" customFormat="false" ht="15" hidden="false" customHeight="false" outlineLevel="0" collapsed="false">
      <c r="B771" s="29"/>
      <c r="C771" s="29"/>
      <c r="D771" s="29"/>
      <c r="E771" s="29"/>
      <c r="F771" s="29"/>
      <c r="G771" s="29"/>
      <c r="H771" s="29"/>
      <c r="I771" s="29"/>
      <c r="J771" s="29"/>
      <c r="K771" s="29"/>
      <c r="L771" s="29"/>
      <c r="M771" s="29"/>
      <c r="N771" s="30"/>
      <c r="O771" s="30"/>
      <c r="P771" s="30"/>
      <c r="Q771" s="30"/>
      <c r="R771" s="30"/>
      <c r="S771" s="30"/>
      <c r="T771" s="30"/>
      <c r="U771" s="30"/>
      <c r="V771" s="31"/>
      <c r="W771" s="29"/>
      <c r="X771" s="29"/>
      <c r="Y771" s="29"/>
      <c r="Z771" s="29"/>
      <c r="AA771" s="30"/>
      <c r="AB771" s="30"/>
      <c r="AC771" s="30"/>
      <c r="AD771" s="30"/>
      <c r="AE771" s="30"/>
      <c r="AF771" s="32"/>
      <c r="AG771" s="33"/>
      <c r="AH771" s="33"/>
      <c r="AI771" s="29"/>
      <c r="AJ771" s="32"/>
      <c r="AK771" s="32"/>
      <c r="AL771" s="29"/>
      <c r="AN771" s="34" t="str">
        <f aca="false">IF($B771="","",IF(OR(C771="",D771="",E771="",G771="",I771="",J771="",L771="",O771="",P771=""),"Champ obligatoire manquant",IF(OR(AND(N771&lt;&gt;"",N771&gt;O771),O771&gt;P771,AND(Q771&lt;&gt;"",Q771&lt;P771),AND(R771&lt;&gt;"",R771&lt;P771),AND(S771&lt;&gt;"",S771&lt;R771),AND(S771&lt;&gt;"",R771=""),AND(T771&lt;&gt;"",T771&lt;O771),AND(U771&lt;&gt;"",U771&lt;O771)),"Chronologie incohérente",IF(AND(OR(L771="Résolu",L771="Clos"),R771=""),"Date de résolution manquante",IF(AND(L771="Clos",S771=""),"Date de clôture manquante",IF(AND(K771="Oui",AC771=""),"Classification DORA manquante","OK"))))))</f>
        <v/>
      </c>
      <c r="AO771" s="35" t="str">
        <f aca="false">IF($B771="","",IF(AND(C771="Incident",L771&lt;&gt;"Annulé"),1,0))</f>
        <v/>
      </c>
      <c r="AP771" s="35" t="str">
        <f aca="false">IF($B771="","",IF(AND(C771="Quasi-incident",L771&lt;&gt;"Annulé"),1,0))</f>
        <v/>
      </c>
      <c r="AQ771" s="35" t="str">
        <f aca="false">IF($B771="","",AO771+AP771)</f>
        <v/>
      </c>
      <c r="AR771" s="36" t="str">
        <f aca="false">IF(OR($B771="",J771=""),"",IFERROR(VALUE(LEFT(J771,1)),""))</f>
        <v/>
      </c>
      <c r="AS771" s="35" t="str">
        <f aca="false">IF(OR(AO771&lt;&gt;1,G771=""),"",IFERROR(IF(INDEX(L_SrcInterne,MATCH(G771,L_Sources,0))="Oui",1,0),""))</f>
        <v/>
      </c>
      <c r="AT771" s="37" t="str">
        <f aca="false">IF(AO771&lt;&gt;1,"",IFERROR(ROUND(IF(OR(N771="",O771=""),"",IF(O771&lt;N771,"",ROUND(((NETWORKDAYS(N771,O771,JoursFeries)-1)*(HFer-HOuv)+IF(NETWORKDAYS(O771,O771,JoursFeries),MEDIAN(MOD(O771,1),HFer,HOuv),HFer)-IF(NETWORKDAYS(N771,N771,JoursFeries),MEDIAN(MOD(N771,1),HFer,HOuv),HOuv))*24,4)))/HJour,4),""))</f>
        <v/>
      </c>
      <c r="AU771" s="37" t="str">
        <f aca="false">IF(AO771&lt;&gt;1,"",IF(OR(O771="",P771=""),"",IF(P771&lt;O771,"",ROUND(((NETWORKDAYS(O771,P771,JoursFeries)-1)*(HFer-HOuv)+IF(NETWORKDAYS(P771,P771,JoursFeries),MEDIAN(MOD(P771,1),HFer,HOuv),HFer)-IF(NETWORKDAYS(O771,O771,JoursFeries),MEDIAN(MOD(O771,1),HFer,HOuv),HOuv))*24,4))))</f>
        <v/>
      </c>
      <c r="AV771" s="37" t="str">
        <f aca="false">IF(AO771&lt;&gt;1,"",IF(OR(P771="",Q771=""),"",IF(Q771&lt;P771,"",ROUND(((NETWORKDAYS(P771,Q771,JoursFeries)-1)*(HFer-HOuv)+IF(NETWORKDAYS(Q771,Q771,JoursFeries),MEDIAN(MOD(Q771,1),HFer,HOuv),HFer)-IF(NETWORKDAYS(P771,P771,JoursFeries),MEDIAN(MOD(P771,1),HFer,HOuv),HOuv))*24,4))))</f>
        <v/>
      </c>
      <c r="AW771" s="37" t="str">
        <f aca="false">IF(AO771&lt;&gt;1,"",IFERROR(ROUND(IF(OR(P771="",R771=""),"",IF(R771&lt;P771,"",ROUND(((NETWORKDAYS(P771,R771,JoursFeries)-1)*(HFer-HOuv)+IF(NETWORKDAYS(R771,R771,JoursFeries),MEDIAN(MOD(R771,1),HFer,HOuv),HFer)-IF(NETWORKDAYS(P771,P771,JoursFeries),MEDIAN(MOD(P771,1),HFer,HOuv),HOuv))*24,4)))/HJour,4),""))</f>
        <v/>
      </c>
      <c r="AX771" s="37" t="str">
        <f aca="false">IF(AO771&lt;&gt;1,"",IFERROR(ROUND(IF(OR(P771="",S771=""),"",IF(S771&lt;P771,"",ROUND(((NETWORKDAYS(P771,S771,JoursFeries)-1)*(HFer-HOuv)+IF(NETWORKDAYS(S771,S771,JoursFeries),MEDIAN(MOD(S771,1),HFer,HOuv),HFer)-IF(NETWORKDAYS(P771,P771,JoursFeries),MEDIAN(MOD(P771,1),HFer,HOuv),HOuv))*24,4)))/HJour,4),""))</f>
        <v/>
      </c>
      <c r="AY771" s="36" t="str">
        <f aca="false">IF(OR(AO771&lt;&gt;1,AR771=""),"",INDEX(SLA_PEC,AR771))</f>
        <v/>
      </c>
      <c r="AZ771" s="35" t="str">
        <f aca="false">IF(OR(AV771="",AY771=""),"",IF(AV771&lt;=AY771,1,0))</f>
        <v/>
      </c>
      <c r="BA771" s="36" t="str">
        <f aca="false">IF(OR(AO771&lt;&gt;1,AR771=""),"",INDEX(SLA_RES,AR771))</f>
        <v/>
      </c>
      <c r="BB771" s="35" t="str">
        <f aca="false">IF(OR(AW771="",BA771=""),"",IF(AW771&lt;=BA771,1,0))</f>
        <v/>
      </c>
      <c r="BC771" s="38" t="str">
        <f aca="false">IF(OR(BA771="",P771=""),"",WORKDAY(INT(P771),BA771,JoursFeries)+MOD(P771,1))</f>
        <v/>
      </c>
      <c r="BD771" s="39" t="str">
        <f aca="false">IF(AO771&lt;&gt;1,"",IF(OR(AB771&lt;&gt;"",AD771&lt;&gt;""),4,IF(U771&lt;&gt;"",3,IF(T771&lt;&gt;"",2,1))))</f>
        <v/>
      </c>
      <c r="BE771" s="39" t="str">
        <f aca="false">IF(OR(AO771&lt;&gt;1,AR771=""),"",INDEX(NIV_REQ,AR771))</f>
        <v/>
      </c>
      <c r="BF771" s="39" t="str">
        <f aca="false">IF(BE771="","",MAX(BE771,IF(OR(K771="Oui",Z771="Oui"),4,1)))</f>
        <v/>
      </c>
      <c r="BG771" s="35" t="str">
        <f aca="false">IF(OR(BF771="",BD771=""),"",IF(BD771&gt;=BF771,1,0))</f>
        <v/>
      </c>
      <c r="BH771" s="38" t="str">
        <f aca="false">IF(BE771="","",IF(BE771&lt;2,"",IF(BE771=2,IF(AND(T771="",U771=""),"",MIN(T771,U771)),IF(U771="","",U771))))</f>
        <v/>
      </c>
      <c r="BI771" s="37" t="str">
        <f aca="false">IF(BH771="","",IF(OR(O771="",BH771=""),"",IF(BH771&lt;O771,"",ROUND(((NETWORKDAYS(O771,BH771,JoursFeries)-1)*(HFer-HOuv)+IF(NETWORKDAYS(BH771,BH771,JoursFeries),MEDIAN(MOD(BH771,1),HFer,HOuv),HFer)-IF(NETWORKDAYS(O771,O771,JoursFeries),MEDIAN(MOD(O771,1),HFer,HOuv),HOuv))*24,4))))</f>
        <v/>
      </c>
      <c r="BJ771" s="35" t="str">
        <f aca="false">IF(OR(BI771="",AR771=""),"",IF(BI771&lt;=INDEX(DELAI_ESC,AR771),1,0))</f>
        <v/>
      </c>
      <c r="BK771" s="38" t="str">
        <f aca="false">IF(AO771&lt;&gt;1,"",IF(AND(T771="",U771=""),"",MIN(T771,U771)))</f>
        <v/>
      </c>
      <c r="BL771" s="37" t="str">
        <f aca="false">IF(OR(BK771="",R771=""),"",IFERROR(ROUND(IF(OR(BK771="",R771=""),"",IF(R771&lt;BK771,"",ROUND(((NETWORKDAYS(BK771,R771,JoursFeries)-1)*(HFer-HOuv)+IF(NETWORKDAYS(R771,R771,JoursFeries),MEDIAN(MOD(R771,1),HFer,HOuv),HFer)-IF(NETWORKDAYS(BK771,BK771,JoursFeries),MEDIAN(MOD(BK771,1),HFer,HOuv),HOuv))*24,4)))/HJour,4),""))</f>
        <v/>
      </c>
      <c r="BM771" s="35" t="str">
        <f aca="false">IF(OR(AO771&lt;&gt;1,R771=""),"",IF(BD771=1,1,0))</f>
        <v/>
      </c>
      <c r="BN771" s="35" t="str">
        <f aca="false">IF(AO771&lt;&gt;1,"",IF(W771="Oui",1,0))</f>
        <v/>
      </c>
      <c r="BO771" s="35" t="str">
        <f aca="false">IF(AO771&lt;&gt;1,"",IF(X771&lt;&gt;"",1,0))</f>
        <v/>
      </c>
      <c r="BP771" s="35" t="str">
        <f aca="false">IF(AO771&lt;&gt;1,"",IF(Y771="Oui",1,0))</f>
        <v/>
      </c>
      <c r="BQ771" s="35" t="str">
        <f aca="true">IF(OR(AO771&lt;&gt;1,Z771&lt;&gt;"Oui"),"",IF(AB771="",IF(AND(AA771&lt;&gt;"",NOW()&gt;AA771),0,""),IF(AA771="","",IF(AB771&lt;=AA771,1,0))))</f>
        <v/>
      </c>
      <c r="BR771" s="38" t="str">
        <f aca="false">IF(OR(AO771&lt;&gt;1,K771&lt;&gt;"Oui",O771=""),"",IF(AC771="",O771+DORA_H_DET/24,IF(AC771-O771&lt;=DORA_H_DET/24,MIN(AC771+DORA_H_CLA/24,O771+DORA_H_DET/24),AC771+DORA_H_CLA/24)))</f>
        <v/>
      </c>
      <c r="BS771" s="35" t="str">
        <f aca="true">IF(BR771="","",IF(AD771="",IF(NOW()&gt;BR771,0,""),IF(AD771&lt;=BR771,1,0)))</f>
        <v/>
      </c>
      <c r="BT771" s="35" t="str">
        <f aca="true">IF(OR(BR771="",AD771=""),"",IF(AE771="",IF(NOW()&gt;AD771+DORA_H_INT/24,0,""),IF(AE771&lt;=AD771+DORA_H_INT/24,1,0)))</f>
        <v/>
      </c>
      <c r="BU771" s="35" t="str">
        <f aca="true">IF(OR(BR771="",AE771=""),"",IF(AF771="",IF(NOW()&gt;EDATE(AE771,DORA_M_FIN)+1,0,""),IF(AF771&lt;=EDATE(AE771,DORA_M_FIN),1,0)))</f>
        <v/>
      </c>
      <c r="BV771" s="35" t="str">
        <f aca="false">IF(BR771="","",IF(COUNT(BS771:BU771)=0,"",MIN(BS771:BU771)))</f>
        <v/>
      </c>
      <c r="BW771" s="40" t="str">
        <f aca="false">IF(AQ771&lt;&gt;1,"",IF(AND(AG771="",AH771=""),"",N(AG771)-N(AH771)))</f>
        <v/>
      </c>
      <c r="BX771" s="35" t="str">
        <f aca="true">IF(OR(AQ771&lt;&gt;1,AI771&lt;&gt;"Oui",AJ771=""),"",IF(AK771="",IF(NOW()&gt;AJ771+1,0,""),IF(AK771&lt;=AJ771,1,0)))</f>
        <v/>
      </c>
    </row>
    <row r="772" customFormat="false" ht="15" hidden="false" customHeight="false" outlineLevel="0" collapsed="false">
      <c r="B772" s="29"/>
      <c r="C772" s="29"/>
      <c r="D772" s="29"/>
      <c r="E772" s="29"/>
      <c r="F772" s="29"/>
      <c r="G772" s="29"/>
      <c r="H772" s="29"/>
      <c r="I772" s="29"/>
      <c r="J772" s="29"/>
      <c r="K772" s="29"/>
      <c r="L772" s="29"/>
      <c r="M772" s="29"/>
      <c r="N772" s="30"/>
      <c r="O772" s="30"/>
      <c r="P772" s="30"/>
      <c r="Q772" s="30"/>
      <c r="R772" s="30"/>
      <c r="S772" s="30"/>
      <c r="T772" s="30"/>
      <c r="U772" s="30"/>
      <c r="V772" s="31"/>
      <c r="W772" s="29"/>
      <c r="X772" s="29"/>
      <c r="Y772" s="29"/>
      <c r="Z772" s="29"/>
      <c r="AA772" s="30"/>
      <c r="AB772" s="30"/>
      <c r="AC772" s="30"/>
      <c r="AD772" s="30"/>
      <c r="AE772" s="30"/>
      <c r="AF772" s="32"/>
      <c r="AG772" s="33"/>
      <c r="AH772" s="33"/>
      <c r="AI772" s="29"/>
      <c r="AJ772" s="32"/>
      <c r="AK772" s="32"/>
      <c r="AL772" s="29"/>
      <c r="AN772" s="34" t="str">
        <f aca="false">IF($B772="","",IF(OR(C772="",D772="",E772="",G772="",I772="",J772="",L772="",O772="",P772=""),"Champ obligatoire manquant",IF(OR(AND(N772&lt;&gt;"",N772&gt;O772),O772&gt;P772,AND(Q772&lt;&gt;"",Q772&lt;P772),AND(R772&lt;&gt;"",R772&lt;P772),AND(S772&lt;&gt;"",S772&lt;R772),AND(S772&lt;&gt;"",R772=""),AND(T772&lt;&gt;"",T772&lt;O772),AND(U772&lt;&gt;"",U772&lt;O772)),"Chronologie incohérente",IF(AND(OR(L772="Résolu",L772="Clos"),R772=""),"Date de résolution manquante",IF(AND(L772="Clos",S772=""),"Date de clôture manquante",IF(AND(K772="Oui",AC772=""),"Classification DORA manquante","OK"))))))</f>
        <v/>
      </c>
      <c r="AO772" s="35" t="str">
        <f aca="false">IF($B772="","",IF(AND(C772="Incident",L772&lt;&gt;"Annulé"),1,0))</f>
        <v/>
      </c>
      <c r="AP772" s="35" t="str">
        <f aca="false">IF($B772="","",IF(AND(C772="Quasi-incident",L772&lt;&gt;"Annulé"),1,0))</f>
        <v/>
      </c>
      <c r="AQ772" s="35" t="str">
        <f aca="false">IF($B772="","",AO772+AP772)</f>
        <v/>
      </c>
      <c r="AR772" s="36" t="str">
        <f aca="false">IF(OR($B772="",J772=""),"",IFERROR(VALUE(LEFT(J772,1)),""))</f>
        <v/>
      </c>
      <c r="AS772" s="35" t="str">
        <f aca="false">IF(OR(AO772&lt;&gt;1,G772=""),"",IFERROR(IF(INDEX(L_SrcInterne,MATCH(G772,L_Sources,0))="Oui",1,0),""))</f>
        <v/>
      </c>
      <c r="AT772" s="37" t="str">
        <f aca="false">IF(AO772&lt;&gt;1,"",IFERROR(ROUND(IF(OR(N772="",O772=""),"",IF(O772&lt;N772,"",ROUND(((NETWORKDAYS(N772,O772,JoursFeries)-1)*(HFer-HOuv)+IF(NETWORKDAYS(O772,O772,JoursFeries),MEDIAN(MOD(O772,1),HFer,HOuv),HFer)-IF(NETWORKDAYS(N772,N772,JoursFeries),MEDIAN(MOD(N772,1),HFer,HOuv),HOuv))*24,4)))/HJour,4),""))</f>
        <v/>
      </c>
      <c r="AU772" s="37" t="str">
        <f aca="false">IF(AO772&lt;&gt;1,"",IF(OR(O772="",P772=""),"",IF(P772&lt;O772,"",ROUND(((NETWORKDAYS(O772,P772,JoursFeries)-1)*(HFer-HOuv)+IF(NETWORKDAYS(P772,P772,JoursFeries),MEDIAN(MOD(P772,1),HFer,HOuv),HFer)-IF(NETWORKDAYS(O772,O772,JoursFeries),MEDIAN(MOD(O772,1),HFer,HOuv),HOuv))*24,4))))</f>
        <v/>
      </c>
      <c r="AV772" s="37" t="str">
        <f aca="false">IF(AO772&lt;&gt;1,"",IF(OR(P772="",Q772=""),"",IF(Q772&lt;P772,"",ROUND(((NETWORKDAYS(P772,Q772,JoursFeries)-1)*(HFer-HOuv)+IF(NETWORKDAYS(Q772,Q772,JoursFeries),MEDIAN(MOD(Q772,1),HFer,HOuv),HFer)-IF(NETWORKDAYS(P772,P772,JoursFeries),MEDIAN(MOD(P772,1),HFer,HOuv),HOuv))*24,4))))</f>
        <v/>
      </c>
      <c r="AW772" s="37" t="str">
        <f aca="false">IF(AO772&lt;&gt;1,"",IFERROR(ROUND(IF(OR(P772="",R772=""),"",IF(R772&lt;P772,"",ROUND(((NETWORKDAYS(P772,R772,JoursFeries)-1)*(HFer-HOuv)+IF(NETWORKDAYS(R772,R772,JoursFeries),MEDIAN(MOD(R772,1),HFer,HOuv),HFer)-IF(NETWORKDAYS(P772,P772,JoursFeries),MEDIAN(MOD(P772,1),HFer,HOuv),HOuv))*24,4)))/HJour,4),""))</f>
        <v/>
      </c>
      <c r="AX772" s="37" t="str">
        <f aca="false">IF(AO772&lt;&gt;1,"",IFERROR(ROUND(IF(OR(P772="",S772=""),"",IF(S772&lt;P772,"",ROUND(((NETWORKDAYS(P772,S772,JoursFeries)-1)*(HFer-HOuv)+IF(NETWORKDAYS(S772,S772,JoursFeries),MEDIAN(MOD(S772,1),HFer,HOuv),HFer)-IF(NETWORKDAYS(P772,P772,JoursFeries),MEDIAN(MOD(P772,1),HFer,HOuv),HOuv))*24,4)))/HJour,4),""))</f>
        <v/>
      </c>
      <c r="AY772" s="36" t="str">
        <f aca="false">IF(OR(AO772&lt;&gt;1,AR772=""),"",INDEX(SLA_PEC,AR772))</f>
        <v/>
      </c>
      <c r="AZ772" s="35" t="str">
        <f aca="false">IF(OR(AV772="",AY772=""),"",IF(AV772&lt;=AY772,1,0))</f>
        <v/>
      </c>
      <c r="BA772" s="36" t="str">
        <f aca="false">IF(OR(AO772&lt;&gt;1,AR772=""),"",INDEX(SLA_RES,AR772))</f>
        <v/>
      </c>
      <c r="BB772" s="35" t="str">
        <f aca="false">IF(OR(AW772="",BA772=""),"",IF(AW772&lt;=BA772,1,0))</f>
        <v/>
      </c>
      <c r="BC772" s="38" t="str">
        <f aca="false">IF(OR(BA772="",P772=""),"",WORKDAY(INT(P772),BA772,JoursFeries)+MOD(P772,1))</f>
        <v/>
      </c>
      <c r="BD772" s="39" t="str">
        <f aca="false">IF(AO772&lt;&gt;1,"",IF(OR(AB772&lt;&gt;"",AD772&lt;&gt;""),4,IF(U772&lt;&gt;"",3,IF(T772&lt;&gt;"",2,1))))</f>
        <v/>
      </c>
      <c r="BE772" s="39" t="str">
        <f aca="false">IF(OR(AO772&lt;&gt;1,AR772=""),"",INDEX(NIV_REQ,AR772))</f>
        <v/>
      </c>
      <c r="BF772" s="39" t="str">
        <f aca="false">IF(BE772="","",MAX(BE772,IF(OR(K772="Oui",Z772="Oui"),4,1)))</f>
        <v/>
      </c>
      <c r="BG772" s="35" t="str">
        <f aca="false">IF(OR(BF772="",BD772=""),"",IF(BD772&gt;=BF772,1,0))</f>
        <v/>
      </c>
      <c r="BH772" s="38" t="str">
        <f aca="false">IF(BE772="","",IF(BE772&lt;2,"",IF(BE772=2,IF(AND(T772="",U772=""),"",MIN(T772,U772)),IF(U772="","",U772))))</f>
        <v/>
      </c>
      <c r="BI772" s="37" t="str">
        <f aca="false">IF(BH772="","",IF(OR(O772="",BH772=""),"",IF(BH772&lt;O772,"",ROUND(((NETWORKDAYS(O772,BH772,JoursFeries)-1)*(HFer-HOuv)+IF(NETWORKDAYS(BH772,BH772,JoursFeries),MEDIAN(MOD(BH772,1),HFer,HOuv),HFer)-IF(NETWORKDAYS(O772,O772,JoursFeries),MEDIAN(MOD(O772,1),HFer,HOuv),HOuv))*24,4))))</f>
        <v/>
      </c>
      <c r="BJ772" s="35" t="str">
        <f aca="false">IF(OR(BI772="",AR772=""),"",IF(BI772&lt;=INDEX(DELAI_ESC,AR772),1,0))</f>
        <v/>
      </c>
      <c r="BK772" s="38" t="str">
        <f aca="false">IF(AO772&lt;&gt;1,"",IF(AND(T772="",U772=""),"",MIN(T772,U772)))</f>
        <v/>
      </c>
      <c r="BL772" s="37" t="str">
        <f aca="false">IF(OR(BK772="",R772=""),"",IFERROR(ROUND(IF(OR(BK772="",R772=""),"",IF(R772&lt;BK772,"",ROUND(((NETWORKDAYS(BK772,R772,JoursFeries)-1)*(HFer-HOuv)+IF(NETWORKDAYS(R772,R772,JoursFeries),MEDIAN(MOD(R772,1),HFer,HOuv),HFer)-IF(NETWORKDAYS(BK772,BK772,JoursFeries),MEDIAN(MOD(BK772,1),HFer,HOuv),HOuv))*24,4)))/HJour,4),""))</f>
        <v/>
      </c>
      <c r="BM772" s="35" t="str">
        <f aca="false">IF(OR(AO772&lt;&gt;1,R772=""),"",IF(BD772=1,1,0))</f>
        <v/>
      </c>
      <c r="BN772" s="35" t="str">
        <f aca="false">IF(AO772&lt;&gt;1,"",IF(W772="Oui",1,0))</f>
        <v/>
      </c>
      <c r="BO772" s="35" t="str">
        <f aca="false">IF(AO772&lt;&gt;1,"",IF(X772&lt;&gt;"",1,0))</f>
        <v/>
      </c>
      <c r="BP772" s="35" t="str">
        <f aca="false">IF(AO772&lt;&gt;1,"",IF(Y772="Oui",1,0))</f>
        <v/>
      </c>
      <c r="BQ772" s="35" t="str">
        <f aca="true">IF(OR(AO772&lt;&gt;1,Z772&lt;&gt;"Oui"),"",IF(AB772="",IF(AND(AA772&lt;&gt;"",NOW()&gt;AA772),0,""),IF(AA772="","",IF(AB772&lt;=AA772,1,0))))</f>
        <v/>
      </c>
      <c r="BR772" s="38" t="str">
        <f aca="false">IF(OR(AO772&lt;&gt;1,K772&lt;&gt;"Oui",O772=""),"",IF(AC772="",O772+DORA_H_DET/24,IF(AC772-O772&lt;=DORA_H_DET/24,MIN(AC772+DORA_H_CLA/24,O772+DORA_H_DET/24),AC772+DORA_H_CLA/24)))</f>
        <v/>
      </c>
      <c r="BS772" s="35" t="str">
        <f aca="true">IF(BR772="","",IF(AD772="",IF(NOW()&gt;BR772,0,""),IF(AD772&lt;=BR772,1,0)))</f>
        <v/>
      </c>
      <c r="BT772" s="35" t="str">
        <f aca="true">IF(OR(BR772="",AD772=""),"",IF(AE772="",IF(NOW()&gt;AD772+DORA_H_INT/24,0,""),IF(AE772&lt;=AD772+DORA_H_INT/24,1,0)))</f>
        <v/>
      </c>
      <c r="BU772" s="35" t="str">
        <f aca="true">IF(OR(BR772="",AE772=""),"",IF(AF772="",IF(NOW()&gt;EDATE(AE772,DORA_M_FIN)+1,0,""),IF(AF772&lt;=EDATE(AE772,DORA_M_FIN),1,0)))</f>
        <v/>
      </c>
      <c r="BV772" s="35" t="str">
        <f aca="false">IF(BR772="","",IF(COUNT(BS772:BU772)=0,"",MIN(BS772:BU772)))</f>
        <v/>
      </c>
      <c r="BW772" s="40" t="str">
        <f aca="false">IF(AQ772&lt;&gt;1,"",IF(AND(AG772="",AH772=""),"",N(AG772)-N(AH772)))</f>
        <v/>
      </c>
      <c r="BX772" s="35" t="str">
        <f aca="true">IF(OR(AQ772&lt;&gt;1,AI772&lt;&gt;"Oui",AJ772=""),"",IF(AK772="",IF(NOW()&gt;AJ772+1,0,""),IF(AK772&lt;=AJ772,1,0)))</f>
        <v/>
      </c>
    </row>
    <row r="773" customFormat="false" ht="15" hidden="false" customHeight="false" outlineLevel="0" collapsed="false">
      <c r="B773" s="29"/>
      <c r="C773" s="29"/>
      <c r="D773" s="29"/>
      <c r="E773" s="29"/>
      <c r="F773" s="29"/>
      <c r="G773" s="29"/>
      <c r="H773" s="29"/>
      <c r="I773" s="29"/>
      <c r="J773" s="29"/>
      <c r="K773" s="29"/>
      <c r="L773" s="29"/>
      <c r="M773" s="29"/>
      <c r="N773" s="30"/>
      <c r="O773" s="30"/>
      <c r="P773" s="30"/>
      <c r="Q773" s="30"/>
      <c r="R773" s="30"/>
      <c r="S773" s="30"/>
      <c r="T773" s="30"/>
      <c r="U773" s="30"/>
      <c r="V773" s="31"/>
      <c r="W773" s="29"/>
      <c r="X773" s="29"/>
      <c r="Y773" s="29"/>
      <c r="Z773" s="29"/>
      <c r="AA773" s="30"/>
      <c r="AB773" s="30"/>
      <c r="AC773" s="30"/>
      <c r="AD773" s="30"/>
      <c r="AE773" s="30"/>
      <c r="AF773" s="32"/>
      <c r="AG773" s="33"/>
      <c r="AH773" s="33"/>
      <c r="AI773" s="29"/>
      <c r="AJ773" s="32"/>
      <c r="AK773" s="32"/>
      <c r="AL773" s="29"/>
      <c r="AN773" s="34" t="str">
        <f aca="false">IF($B773="","",IF(OR(C773="",D773="",E773="",G773="",I773="",J773="",L773="",O773="",P773=""),"Champ obligatoire manquant",IF(OR(AND(N773&lt;&gt;"",N773&gt;O773),O773&gt;P773,AND(Q773&lt;&gt;"",Q773&lt;P773),AND(R773&lt;&gt;"",R773&lt;P773),AND(S773&lt;&gt;"",S773&lt;R773),AND(S773&lt;&gt;"",R773=""),AND(T773&lt;&gt;"",T773&lt;O773),AND(U773&lt;&gt;"",U773&lt;O773)),"Chronologie incohérente",IF(AND(OR(L773="Résolu",L773="Clos"),R773=""),"Date de résolution manquante",IF(AND(L773="Clos",S773=""),"Date de clôture manquante",IF(AND(K773="Oui",AC773=""),"Classification DORA manquante","OK"))))))</f>
        <v/>
      </c>
      <c r="AO773" s="35" t="str">
        <f aca="false">IF($B773="","",IF(AND(C773="Incident",L773&lt;&gt;"Annulé"),1,0))</f>
        <v/>
      </c>
      <c r="AP773" s="35" t="str">
        <f aca="false">IF($B773="","",IF(AND(C773="Quasi-incident",L773&lt;&gt;"Annulé"),1,0))</f>
        <v/>
      </c>
      <c r="AQ773" s="35" t="str">
        <f aca="false">IF($B773="","",AO773+AP773)</f>
        <v/>
      </c>
      <c r="AR773" s="36" t="str">
        <f aca="false">IF(OR($B773="",J773=""),"",IFERROR(VALUE(LEFT(J773,1)),""))</f>
        <v/>
      </c>
      <c r="AS773" s="35" t="str">
        <f aca="false">IF(OR(AO773&lt;&gt;1,G773=""),"",IFERROR(IF(INDEX(L_SrcInterne,MATCH(G773,L_Sources,0))="Oui",1,0),""))</f>
        <v/>
      </c>
      <c r="AT773" s="37" t="str">
        <f aca="false">IF(AO773&lt;&gt;1,"",IFERROR(ROUND(IF(OR(N773="",O773=""),"",IF(O773&lt;N773,"",ROUND(((NETWORKDAYS(N773,O773,JoursFeries)-1)*(HFer-HOuv)+IF(NETWORKDAYS(O773,O773,JoursFeries),MEDIAN(MOD(O773,1),HFer,HOuv),HFer)-IF(NETWORKDAYS(N773,N773,JoursFeries),MEDIAN(MOD(N773,1),HFer,HOuv),HOuv))*24,4)))/HJour,4),""))</f>
        <v/>
      </c>
      <c r="AU773" s="37" t="str">
        <f aca="false">IF(AO773&lt;&gt;1,"",IF(OR(O773="",P773=""),"",IF(P773&lt;O773,"",ROUND(((NETWORKDAYS(O773,P773,JoursFeries)-1)*(HFer-HOuv)+IF(NETWORKDAYS(P773,P773,JoursFeries),MEDIAN(MOD(P773,1),HFer,HOuv),HFer)-IF(NETWORKDAYS(O773,O773,JoursFeries),MEDIAN(MOD(O773,1),HFer,HOuv),HOuv))*24,4))))</f>
        <v/>
      </c>
      <c r="AV773" s="37" t="str">
        <f aca="false">IF(AO773&lt;&gt;1,"",IF(OR(P773="",Q773=""),"",IF(Q773&lt;P773,"",ROUND(((NETWORKDAYS(P773,Q773,JoursFeries)-1)*(HFer-HOuv)+IF(NETWORKDAYS(Q773,Q773,JoursFeries),MEDIAN(MOD(Q773,1),HFer,HOuv),HFer)-IF(NETWORKDAYS(P773,P773,JoursFeries),MEDIAN(MOD(P773,1),HFer,HOuv),HOuv))*24,4))))</f>
        <v/>
      </c>
      <c r="AW773" s="37" t="str">
        <f aca="false">IF(AO773&lt;&gt;1,"",IFERROR(ROUND(IF(OR(P773="",R773=""),"",IF(R773&lt;P773,"",ROUND(((NETWORKDAYS(P773,R773,JoursFeries)-1)*(HFer-HOuv)+IF(NETWORKDAYS(R773,R773,JoursFeries),MEDIAN(MOD(R773,1),HFer,HOuv),HFer)-IF(NETWORKDAYS(P773,P773,JoursFeries),MEDIAN(MOD(P773,1),HFer,HOuv),HOuv))*24,4)))/HJour,4),""))</f>
        <v/>
      </c>
      <c r="AX773" s="37" t="str">
        <f aca="false">IF(AO773&lt;&gt;1,"",IFERROR(ROUND(IF(OR(P773="",S773=""),"",IF(S773&lt;P773,"",ROUND(((NETWORKDAYS(P773,S773,JoursFeries)-1)*(HFer-HOuv)+IF(NETWORKDAYS(S773,S773,JoursFeries),MEDIAN(MOD(S773,1),HFer,HOuv),HFer)-IF(NETWORKDAYS(P773,P773,JoursFeries),MEDIAN(MOD(P773,1),HFer,HOuv),HOuv))*24,4)))/HJour,4),""))</f>
        <v/>
      </c>
      <c r="AY773" s="36" t="str">
        <f aca="false">IF(OR(AO773&lt;&gt;1,AR773=""),"",INDEX(SLA_PEC,AR773))</f>
        <v/>
      </c>
      <c r="AZ773" s="35" t="str">
        <f aca="false">IF(OR(AV773="",AY773=""),"",IF(AV773&lt;=AY773,1,0))</f>
        <v/>
      </c>
      <c r="BA773" s="36" t="str">
        <f aca="false">IF(OR(AO773&lt;&gt;1,AR773=""),"",INDEX(SLA_RES,AR773))</f>
        <v/>
      </c>
      <c r="BB773" s="35" t="str">
        <f aca="false">IF(OR(AW773="",BA773=""),"",IF(AW773&lt;=BA773,1,0))</f>
        <v/>
      </c>
      <c r="BC773" s="38" t="str">
        <f aca="false">IF(OR(BA773="",P773=""),"",WORKDAY(INT(P773),BA773,JoursFeries)+MOD(P773,1))</f>
        <v/>
      </c>
      <c r="BD773" s="39" t="str">
        <f aca="false">IF(AO773&lt;&gt;1,"",IF(OR(AB773&lt;&gt;"",AD773&lt;&gt;""),4,IF(U773&lt;&gt;"",3,IF(T773&lt;&gt;"",2,1))))</f>
        <v/>
      </c>
      <c r="BE773" s="39" t="str">
        <f aca="false">IF(OR(AO773&lt;&gt;1,AR773=""),"",INDEX(NIV_REQ,AR773))</f>
        <v/>
      </c>
      <c r="BF773" s="39" t="str">
        <f aca="false">IF(BE773="","",MAX(BE773,IF(OR(K773="Oui",Z773="Oui"),4,1)))</f>
        <v/>
      </c>
      <c r="BG773" s="35" t="str">
        <f aca="false">IF(OR(BF773="",BD773=""),"",IF(BD773&gt;=BF773,1,0))</f>
        <v/>
      </c>
      <c r="BH773" s="38" t="str">
        <f aca="false">IF(BE773="","",IF(BE773&lt;2,"",IF(BE773=2,IF(AND(T773="",U773=""),"",MIN(T773,U773)),IF(U773="","",U773))))</f>
        <v/>
      </c>
      <c r="BI773" s="37" t="str">
        <f aca="false">IF(BH773="","",IF(OR(O773="",BH773=""),"",IF(BH773&lt;O773,"",ROUND(((NETWORKDAYS(O773,BH773,JoursFeries)-1)*(HFer-HOuv)+IF(NETWORKDAYS(BH773,BH773,JoursFeries),MEDIAN(MOD(BH773,1),HFer,HOuv),HFer)-IF(NETWORKDAYS(O773,O773,JoursFeries),MEDIAN(MOD(O773,1),HFer,HOuv),HOuv))*24,4))))</f>
        <v/>
      </c>
      <c r="BJ773" s="35" t="str">
        <f aca="false">IF(OR(BI773="",AR773=""),"",IF(BI773&lt;=INDEX(DELAI_ESC,AR773),1,0))</f>
        <v/>
      </c>
      <c r="BK773" s="38" t="str">
        <f aca="false">IF(AO773&lt;&gt;1,"",IF(AND(T773="",U773=""),"",MIN(T773,U773)))</f>
        <v/>
      </c>
      <c r="BL773" s="37" t="str">
        <f aca="false">IF(OR(BK773="",R773=""),"",IFERROR(ROUND(IF(OR(BK773="",R773=""),"",IF(R773&lt;BK773,"",ROUND(((NETWORKDAYS(BK773,R773,JoursFeries)-1)*(HFer-HOuv)+IF(NETWORKDAYS(R773,R773,JoursFeries),MEDIAN(MOD(R773,1),HFer,HOuv),HFer)-IF(NETWORKDAYS(BK773,BK773,JoursFeries),MEDIAN(MOD(BK773,1),HFer,HOuv),HOuv))*24,4)))/HJour,4),""))</f>
        <v/>
      </c>
      <c r="BM773" s="35" t="str">
        <f aca="false">IF(OR(AO773&lt;&gt;1,R773=""),"",IF(BD773=1,1,0))</f>
        <v/>
      </c>
      <c r="BN773" s="35" t="str">
        <f aca="false">IF(AO773&lt;&gt;1,"",IF(W773="Oui",1,0))</f>
        <v/>
      </c>
      <c r="BO773" s="35" t="str">
        <f aca="false">IF(AO773&lt;&gt;1,"",IF(X773&lt;&gt;"",1,0))</f>
        <v/>
      </c>
      <c r="BP773" s="35" t="str">
        <f aca="false">IF(AO773&lt;&gt;1,"",IF(Y773="Oui",1,0))</f>
        <v/>
      </c>
      <c r="BQ773" s="35" t="str">
        <f aca="true">IF(OR(AO773&lt;&gt;1,Z773&lt;&gt;"Oui"),"",IF(AB773="",IF(AND(AA773&lt;&gt;"",NOW()&gt;AA773),0,""),IF(AA773="","",IF(AB773&lt;=AA773,1,0))))</f>
        <v/>
      </c>
      <c r="BR773" s="38" t="str">
        <f aca="false">IF(OR(AO773&lt;&gt;1,K773&lt;&gt;"Oui",O773=""),"",IF(AC773="",O773+DORA_H_DET/24,IF(AC773-O773&lt;=DORA_H_DET/24,MIN(AC773+DORA_H_CLA/24,O773+DORA_H_DET/24),AC773+DORA_H_CLA/24)))</f>
        <v/>
      </c>
      <c r="BS773" s="35" t="str">
        <f aca="true">IF(BR773="","",IF(AD773="",IF(NOW()&gt;BR773,0,""),IF(AD773&lt;=BR773,1,0)))</f>
        <v/>
      </c>
      <c r="BT773" s="35" t="str">
        <f aca="true">IF(OR(BR773="",AD773=""),"",IF(AE773="",IF(NOW()&gt;AD773+DORA_H_INT/24,0,""),IF(AE773&lt;=AD773+DORA_H_INT/24,1,0)))</f>
        <v/>
      </c>
      <c r="BU773" s="35" t="str">
        <f aca="true">IF(OR(BR773="",AE773=""),"",IF(AF773="",IF(NOW()&gt;EDATE(AE773,DORA_M_FIN)+1,0,""),IF(AF773&lt;=EDATE(AE773,DORA_M_FIN),1,0)))</f>
        <v/>
      </c>
      <c r="BV773" s="35" t="str">
        <f aca="false">IF(BR773="","",IF(COUNT(BS773:BU773)=0,"",MIN(BS773:BU773)))</f>
        <v/>
      </c>
      <c r="BW773" s="40" t="str">
        <f aca="false">IF(AQ773&lt;&gt;1,"",IF(AND(AG773="",AH773=""),"",N(AG773)-N(AH773)))</f>
        <v/>
      </c>
      <c r="BX773" s="35" t="str">
        <f aca="true">IF(OR(AQ773&lt;&gt;1,AI773&lt;&gt;"Oui",AJ773=""),"",IF(AK773="",IF(NOW()&gt;AJ773+1,0,""),IF(AK773&lt;=AJ773,1,0)))</f>
        <v/>
      </c>
    </row>
    <row r="774" customFormat="false" ht="15" hidden="false" customHeight="false" outlineLevel="0" collapsed="false">
      <c r="B774" s="29"/>
      <c r="C774" s="29"/>
      <c r="D774" s="29"/>
      <c r="E774" s="29"/>
      <c r="F774" s="29"/>
      <c r="G774" s="29"/>
      <c r="H774" s="29"/>
      <c r="I774" s="29"/>
      <c r="J774" s="29"/>
      <c r="K774" s="29"/>
      <c r="L774" s="29"/>
      <c r="M774" s="29"/>
      <c r="N774" s="30"/>
      <c r="O774" s="30"/>
      <c r="P774" s="30"/>
      <c r="Q774" s="30"/>
      <c r="R774" s="30"/>
      <c r="S774" s="30"/>
      <c r="T774" s="30"/>
      <c r="U774" s="30"/>
      <c r="V774" s="31"/>
      <c r="W774" s="29"/>
      <c r="X774" s="29"/>
      <c r="Y774" s="29"/>
      <c r="Z774" s="29"/>
      <c r="AA774" s="30"/>
      <c r="AB774" s="30"/>
      <c r="AC774" s="30"/>
      <c r="AD774" s="30"/>
      <c r="AE774" s="30"/>
      <c r="AF774" s="32"/>
      <c r="AG774" s="33"/>
      <c r="AH774" s="33"/>
      <c r="AI774" s="29"/>
      <c r="AJ774" s="32"/>
      <c r="AK774" s="32"/>
      <c r="AL774" s="29"/>
      <c r="AN774" s="34" t="str">
        <f aca="false">IF($B774="","",IF(OR(C774="",D774="",E774="",G774="",I774="",J774="",L774="",O774="",P774=""),"Champ obligatoire manquant",IF(OR(AND(N774&lt;&gt;"",N774&gt;O774),O774&gt;P774,AND(Q774&lt;&gt;"",Q774&lt;P774),AND(R774&lt;&gt;"",R774&lt;P774),AND(S774&lt;&gt;"",S774&lt;R774),AND(S774&lt;&gt;"",R774=""),AND(T774&lt;&gt;"",T774&lt;O774),AND(U774&lt;&gt;"",U774&lt;O774)),"Chronologie incohérente",IF(AND(OR(L774="Résolu",L774="Clos"),R774=""),"Date de résolution manquante",IF(AND(L774="Clos",S774=""),"Date de clôture manquante",IF(AND(K774="Oui",AC774=""),"Classification DORA manquante","OK"))))))</f>
        <v/>
      </c>
      <c r="AO774" s="35" t="str">
        <f aca="false">IF($B774="","",IF(AND(C774="Incident",L774&lt;&gt;"Annulé"),1,0))</f>
        <v/>
      </c>
      <c r="AP774" s="35" t="str">
        <f aca="false">IF($B774="","",IF(AND(C774="Quasi-incident",L774&lt;&gt;"Annulé"),1,0))</f>
        <v/>
      </c>
      <c r="AQ774" s="35" t="str">
        <f aca="false">IF($B774="","",AO774+AP774)</f>
        <v/>
      </c>
      <c r="AR774" s="36" t="str">
        <f aca="false">IF(OR($B774="",J774=""),"",IFERROR(VALUE(LEFT(J774,1)),""))</f>
        <v/>
      </c>
      <c r="AS774" s="35" t="str">
        <f aca="false">IF(OR(AO774&lt;&gt;1,G774=""),"",IFERROR(IF(INDEX(L_SrcInterne,MATCH(G774,L_Sources,0))="Oui",1,0),""))</f>
        <v/>
      </c>
      <c r="AT774" s="37" t="str">
        <f aca="false">IF(AO774&lt;&gt;1,"",IFERROR(ROUND(IF(OR(N774="",O774=""),"",IF(O774&lt;N774,"",ROUND(((NETWORKDAYS(N774,O774,JoursFeries)-1)*(HFer-HOuv)+IF(NETWORKDAYS(O774,O774,JoursFeries),MEDIAN(MOD(O774,1),HFer,HOuv),HFer)-IF(NETWORKDAYS(N774,N774,JoursFeries),MEDIAN(MOD(N774,1),HFer,HOuv),HOuv))*24,4)))/HJour,4),""))</f>
        <v/>
      </c>
      <c r="AU774" s="37" t="str">
        <f aca="false">IF(AO774&lt;&gt;1,"",IF(OR(O774="",P774=""),"",IF(P774&lt;O774,"",ROUND(((NETWORKDAYS(O774,P774,JoursFeries)-1)*(HFer-HOuv)+IF(NETWORKDAYS(P774,P774,JoursFeries),MEDIAN(MOD(P774,1),HFer,HOuv),HFer)-IF(NETWORKDAYS(O774,O774,JoursFeries),MEDIAN(MOD(O774,1),HFer,HOuv),HOuv))*24,4))))</f>
        <v/>
      </c>
      <c r="AV774" s="37" t="str">
        <f aca="false">IF(AO774&lt;&gt;1,"",IF(OR(P774="",Q774=""),"",IF(Q774&lt;P774,"",ROUND(((NETWORKDAYS(P774,Q774,JoursFeries)-1)*(HFer-HOuv)+IF(NETWORKDAYS(Q774,Q774,JoursFeries),MEDIAN(MOD(Q774,1),HFer,HOuv),HFer)-IF(NETWORKDAYS(P774,P774,JoursFeries),MEDIAN(MOD(P774,1),HFer,HOuv),HOuv))*24,4))))</f>
        <v/>
      </c>
      <c r="AW774" s="37" t="str">
        <f aca="false">IF(AO774&lt;&gt;1,"",IFERROR(ROUND(IF(OR(P774="",R774=""),"",IF(R774&lt;P774,"",ROUND(((NETWORKDAYS(P774,R774,JoursFeries)-1)*(HFer-HOuv)+IF(NETWORKDAYS(R774,R774,JoursFeries),MEDIAN(MOD(R774,1),HFer,HOuv),HFer)-IF(NETWORKDAYS(P774,P774,JoursFeries),MEDIAN(MOD(P774,1),HFer,HOuv),HOuv))*24,4)))/HJour,4),""))</f>
        <v/>
      </c>
      <c r="AX774" s="37" t="str">
        <f aca="false">IF(AO774&lt;&gt;1,"",IFERROR(ROUND(IF(OR(P774="",S774=""),"",IF(S774&lt;P774,"",ROUND(((NETWORKDAYS(P774,S774,JoursFeries)-1)*(HFer-HOuv)+IF(NETWORKDAYS(S774,S774,JoursFeries),MEDIAN(MOD(S774,1),HFer,HOuv),HFer)-IF(NETWORKDAYS(P774,P774,JoursFeries),MEDIAN(MOD(P774,1),HFer,HOuv),HOuv))*24,4)))/HJour,4),""))</f>
        <v/>
      </c>
      <c r="AY774" s="36" t="str">
        <f aca="false">IF(OR(AO774&lt;&gt;1,AR774=""),"",INDEX(SLA_PEC,AR774))</f>
        <v/>
      </c>
      <c r="AZ774" s="35" t="str">
        <f aca="false">IF(OR(AV774="",AY774=""),"",IF(AV774&lt;=AY774,1,0))</f>
        <v/>
      </c>
      <c r="BA774" s="36" t="str">
        <f aca="false">IF(OR(AO774&lt;&gt;1,AR774=""),"",INDEX(SLA_RES,AR774))</f>
        <v/>
      </c>
      <c r="BB774" s="35" t="str">
        <f aca="false">IF(OR(AW774="",BA774=""),"",IF(AW774&lt;=BA774,1,0))</f>
        <v/>
      </c>
      <c r="BC774" s="38" t="str">
        <f aca="false">IF(OR(BA774="",P774=""),"",WORKDAY(INT(P774),BA774,JoursFeries)+MOD(P774,1))</f>
        <v/>
      </c>
      <c r="BD774" s="39" t="str">
        <f aca="false">IF(AO774&lt;&gt;1,"",IF(OR(AB774&lt;&gt;"",AD774&lt;&gt;""),4,IF(U774&lt;&gt;"",3,IF(T774&lt;&gt;"",2,1))))</f>
        <v/>
      </c>
      <c r="BE774" s="39" t="str">
        <f aca="false">IF(OR(AO774&lt;&gt;1,AR774=""),"",INDEX(NIV_REQ,AR774))</f>
        <v/>
      </c>
      <c r="BF774" s="39" t="str">
        <f aca="false">IF(BE774="","",MAX(BE774,IF(OR(K774="Oui",Z774="Oui"),4,1)))</f>
        <v/>
      </c>
      <c r="BG774" s="35" t="str">
        <f aca="false">IF(OR(BF774="",BD774=""),"",IF(BD774&gt;=BF774,1,0))</f>
        <v/>
      </c>
      <c r="BH774" s="38" t="str">
        <f aca="false">IF(BE774="","",IF(BE774&lt;2,"",IF(BE774=2,IF(AND(T774="",U774=""),"",MIN(T774,U774)),IF(U774="","",U774))))</f>
        <v/>
      </c>
      <c r="BI774" s="37" t="str">
        <f aca="false">IF(BH774="","",IF(OR(O774="",BH774=""),"",IF(BH774&lt;O774,"",ROUND(((NETWORKDAYS(O774,BH774,JoursFeries)-1)*(HFer-HOuv)+IF(NETWORKDAYS(BH774,BH774,JoursFeries),MEDIAN(MOD(BH774,1),HFer,HOuv),HFer)-IF(NETWORKDAYS(O774,O774,JoursFeries),MEDIAN(MOD(O774,1),HFer,HOuv),HOuv))*24,4))))</f>
        <v/>
      </c>
      <c r="BJ774" s="35" t="str">
        <f aca="false">IF(OR(BI774="",AR774=""),"",IF(BI774&lt;=INDEX(DELAI_ESC,AR774),1,0))</f>
        <v/>
      </c>
      <c r="BK774" s="38" t="str">
        <f aca="false">IF(AO774&lt;&gt;1,"",IF(AND(T774="",U774=""),"",MIN(T774,U774)))</f>
        <v/>
      </c>
      <c r="BL774" s="37" t="str">
        <f aca="false">IF(OR(BK774="",R774=""),"",IFERROR(ROUND(IF(OR(BK774="",R774=""),"",IF(R774&lt;BK774,"",ROUND(((NETWORKDAYS(BK774,R774,JoursFeries)-1)*(HFer-HOuv)+IF(NETWORKDAYS(R774,R774,JoursFeries),MEDIAN(MOD(R774,1),HFer,HOuv),HFer)-IF(NETWORKDAYS(BK774,BK774,JoursFeries),MEDIAN(MOD(BK774,1),HFer,HOuv),HOuv))*24,4)))/HJour,4),""))</f>
        <v/>
      </c>
      <c r="BM774" s="35" t="str">
        <f aca="false">IF(OR(AO774&lt;&gt;1,R774=""),"",IF(BD774=1,1,0))</f>
        <v/>
      </c>
      <c r="BN774" s="35" t="str">
        <f aca="false">IF(AO774&lt;&gt;1,"",IF(W774="Oui",1,0))</f>
        <v/>
      </c>
      <c r="BO774" s="35" t="str">
        <f aca="false">IF(AO774&lt;&gt;1,"",IF(X774&lt;&gt;"",1,0))</f>
        <v/>
      </c>
      <c r="BP774" s="35" t="str">
        <f aca="false">IF(AO774&lt;&gt;1,"",IF(Y774="Oui",1,0))</f>
        <v/>
      </c>
      <c r="BQ774" s="35" t="str">
        <f aca="true">IF(OR(AO774&lt;&gt;1,Z774&lt;&gt;"Oui"),"",IF(AB774="",IF(AND(AA774&lt;&gt;"",NOW()&gt;AA774),0,""),IF(AA774="","",IF(AB774&lt;=AA774,1,0))))</f>
        <v/>
      </c>
      <c r="BR774" s="38" t="str">
        <f aca="false">IF(OR(AO774&lt;&gt;1,K774&lt;&gt;"Oui",O774=""),"",IF(AC774="",O774+DORA_H_DET/24,IF(AC774-O774&lt;=DORA_H_DET/24,MIN(AC774+DORA_H_CLA/24,O774+DORA_H_DET/24),AC774+DORA_H_CLA/24)))</f>
        <v/>
      </c>
      <c r="BS774" s="35" t="str">
        <f aca="true">IF(BR774="","",IF(AD774="",IF(NOW()&gt;BR774,0,""),IF(AD774&lt;=BR774,1,0)))</f>
        <v/>
      </c>
      <c r="BT774" s="35" t="str">
        <f aca="true">IF(OR(BR774="",AD774=""),"",IF(AE774="",IF(NOW()&gt;AD774+DORA_H_INT/24,0,""),IF(AE774&lt;=AD774+DORA_H_INT/24,1,0)))</f>
        <v/>
      </c>
      <c r="BU774" s="35" t="str">
        <f aca="true">IF(OR(BR774="",AE774=""),"",IF(AF774="",IF(NOW()&gt;EDATE(AE774,DORA_M_FIN)+1,0,""),IF(AF774&lt;=EDATE(AE774,DORA_M_FIN),1,0)))</f>
        <v/>
      </c>
      <c r="BV774" s="35" t="str">
        <f aca="false">IF(BR774="","",IF(COUNT(BS774:BU774)=0,"",MIN(BS774:BU774)))</f>
        <v/>
      </c>
      <c r="BW774" s="40" t="str">
        <f aca="false">IF(AQ774&lt;&gt;1,"",IF(AND(AG774="",AH774=""),"",N(AG774)-N(AH774)))</f>
        <v/>
      </c>
      <c r="BX774" s="35" t="str">
        <f aca="true">IF(OR(AQ774&lt;&gt;1,AI774&lt;&gt;"Oui",AJ774=""),"",IF(AK774="",IF(NOW()&gt;AJ774+1,0,""),IF(AK774&lt;=AJ774,1,0)))</f>
        <v/>
      </c>
    </row>
    <row r="775" customFormat="false" ht="15" hidden="false" customHeight="false" outlineLevel="0" collapsed="false">
      <c r="B775" s="29"/>
      <c r="C775" s="29"/>
      <c r="D775" s="29"/>
      <c r="E775" s="29"/>
      <c r="F775" s="29"/>
      <c r="G775" s="29"/>
      <c r="H775" s="29"/>
      <c r="I775" s="29"/>
      <c r="J775" s="29"/>
      <c r="K775" s="29"/>
      <c r="L775" s="29"/>
      <c r="M775" s="29"/>
      <c r="N775" s="30"/>
      <c r="O775" s="30"/>
      <c r="P775" s="30"/>
      <c r="Q775" s="30"/>
      <c r="R775" s="30"/>
      <c r="S775" s="30"/>
      <c r="T775" s="30"/>
      <c r="U775" s="30"/>
      <c r="V775" s="31"/>
      <c r="W775" s="29"/>
      <c r="X775" s="29"/>
      <c r="Y775" s="29"/>
      <c r="Z775" s="29"/>
      <c r="AA775" s="30"/>
      <c r="AB775" s="30"/>
      <c r="AC775" s="30"/>
      <c r="AD775" s="30"/>
      <c r="AE775" s="30"/>
      <c r="AF775" s="32"/>
      <c r="AG775" s="33"/>
      <c r="AH775" s="33"/>
      <c r="AI775" s="29"/>
      <c r="AJ775" s="32"/>
      <c r="AK775" s="32"/>
      <c r="AL775" s="29"/>
      <c r="AN775" s="34" t="str">
        <f aca="false">IF($B775="","",IF(OR(C775="",D775="",E775="",G775="",I775="",J775="",L775="",O775="",P775=""),"Champ obligatoire manquant",IF(OR(AND(N775&lt;&gt;"",N775&gt;O775),O775&gt;P775,AND(Q775&lt;&gt;"",Q775&lt;P775),AND(R775&lt;&gt;"",R775&lt;P775),AND(S775&lt;&gt;"",S775&lt;R775),AND(S775&lt;&gt;"",R775=""),AND(T775&lt;&gt;"",T775&lt;O775),AND(U775&lt;&gt;"",U775&lt;O775)),"Chronologie incohérente",IF(AND(OR(L775="Résolu",L775="Clos"),R775=""),"Date de résolution manquante",IF(AND(L775="Clos",S775=""),"Date de clôture manquante",IF(AND(K775="Oui",AC775=""),"Classification DORA manquante","OK"))))))</f>
        <v/>
      </c>
      <c r="AO775" s="35" t="str">
        <f aca="false">IF($B775="","",IF(AND(C775="Incident",L775&lt;&gt;"Annulé"),1,0))</f>
        <v/>
      </c>
      <c r="AP775" s="35" t="str">
        <f aca="false">IF($B775="","",IF(AND(C775="Quasi-incident",L775&lt;&gt;"Annulé"),1,0))</f>
        <v/>
      </c>
      <c r="AQ775" s="35" t="str">
        <f aca="false">IF($B775="","",AO775+AP775)</f>
        <v/>
      </c>
      <c r="AR775" s="36" t="str">
        <f aca="false">IF(OR($B775="",J775=""),"",IFERROR(VALUE(LEFT(J775,1)),""))</f>
        <v/>
      </c>
      <c r="AS775" s="35" t="str">
        <f aca="false">IF(OR(AO775&lt;&gt;1,G775=""),"",IFERROR(IF(INDEX(L_SrcInterne,MATCH(G775,L_Sources,0))="Oui",1,0),""))</f>
        <v/>
      </c>
      <c r="AT775" s="37" t="str">
        <f aca="false">IF(AO775&lt;&gt;1,"",IFERROR(ROUND(IF(OR(N775="",O775=""),"",IF(O775&lt;N775,"",ROUND(((NETWORKDAYS(N775,O775,JoursFeries)-1)*(HFer-HOuv)+IF(NETWORKDAYS(O775,O775,JoursFeries),MEDIAN(MOD(O775,1),HFer,HOuv),HFer)-IF(NETWORKDAYS(N775,N775,JoursFeries),MEDIAN(MOD(N775,1),HFer,HOuv),HOuv))*24,4)))/HJour,4),""))</f>
        <v/>
      </c>
      <c r="AU775" s="37" t="str">
        <f aca="false">IF(AO775&lt;&gt;1,"",IF(OR(O775="",P775=""),"",IF(P775&lt;O775,"",ROUND(((NETWORKDAYS(O775,P775,JoursFeries)-1)*(HFer-HOuv)+IF(NETWORKDAYS(P775,P775,JoursFeries),MEDIAN(MOD(P775,1),HFer,HOuv),HFer)-IF(NETWORKDAYS(O775,O775,JoursFeries),MEDIAN(MOD(O775,1),HFer,HOuv),HOuv))*24,4))))</f>
        <v/>
      </c>
      <c r="AV775" s="37" t="str">
        <f aca="false">IF(AO775&lt;&gt;1,"",IF(OR(P775="",Q775=""),"",IF(Q775&lt;P775,"",ROUND(((NETWORKDAYS(P775,Q775,JoursFeries)-1)*(HFer-HOuv)+IF(NETWORKDAYS(Q775,Q775,JoursFeries),MEDIAN(MOD(Q775,1),HFer,HOuv),HFer)-IF(NETWORKDAYS(P775,P775,JoursFeries),MEDIAN(MOD(P775,1),HFer,HOuv),HOuv))*24,4))))</f>
        <v/>
      </c>
      <c r="AW775" s="37" t="str">
        <f aca="false">IF(AO775&lt;&gt;1,"",IFERROR(ROUND(IF(OR(P775="",R775=""),"",IF(R775&lt;P775,"",ROUND(((NETWORKDAYS(P775,R775,JoursFeries)-1)*(HFer-HOuv)+IF(NETWORKDAYS(R775,R775,JoursFeries),MEDIAN(MOD(R775,1),HFer,HOuv),HFer)-IF(NETWORKDAYS(P775,P775,JoursFeries),MEDIAN(MOD(P775,1),HFer,HOuv),HOuv))*24,4)))/HJour,4),""))</f>
        <v/>
      </c>
      <c r="AX775" s="37" t="str">
        <f aca="false">IF(AO775&lt;&gt;1,"",IFERROR(ROUND(IF(OR(P775="",S775=""),"",IF(S775&lt;P775,"",ROUND(((NETWORKDAYS(P775,S775,JoursFeries)-1)*(HFer-HOuv)+IF(NETWORKDAYS(S775,S775,JoursFeries),MEDIAN(MOD(S775,1),HFer,HOuv),HFer)-IF(NETWORKDAYS(P775,P775,JoursFeries),MEDIAN(MOD(P775,1),HFer,HOuv),HOuv))*24,4)))/HJour,4),""))</f>
        <v/>
      </c>
      <c r="AY775" s="36" t="str">
        <f aca="false">IF(OR(AO775&lt;&gt;1,AR775=""),"",INDEX(SLA_PEC,AR775))</f>
        <v/>
      </c>
      <c r="AZ775" s="35" t="str">
        <f aca="false">IF(OR(AV775="",AY775=""),"",IF(AV775&lt;=AY775,1,0))</f>
        <v/>
      </c>
      <c r="BA775" s="36" t="str">
        <f aca="false">IF(OR(AO775&lt;&gt;1,AR775=""),"",INDEX(SLA_RES,AR775))</f>
        <v/>
      </c>
      <c r="BB775" s="35" t="str">
        <f aca="false">IF(OR(AW775="",BA775=""),"",IF(AW775&lt;=BA775,1,0))</f>
        <v/>
      </c>
      <c r="BC775" s="38" t="str">
        <f aca="false">IF(OR(BA775="",P775=""),"",WORKDAY(INT(P775),BA775,JoursFeries)+MOD(P775,1))</f>
        <v/>
      </c>
      <c r="BD775" s="39" t="str">
        <f aca="false">IF(AO775&lt;&gt;1,"",IF(OR(AB775&lt;&gt;"",AD775&lt;&gt;""),4,IF(U775&lt;&gt;"",3,IF(T775&lt;&gt;"",2,1))))</f>
        <v/>
      </c>
      <c r="BE775" s="39" t="str">
        <f aca="false">IF(OR(AO775&lt;&gt;1,AR775=""),"",INDEX(NIV_REQ,AR775))</f>
        <v/>
      </c>
      <c r="BF775" s="39" t="str">
        <f aca="false">IF(BE775="","",MAX(BE775,IF(OR(K775="Oui",Z775="Oui"),4,1)))</f>
        <v/>
      </c>
      <c r="BG775" s="35" t="str">
        <f aca="false">IF(OR(BF775="",BD775=""),"",IF(BD775&gt;=BF775,1,0))</f>
        <v/>
      </c>
      <c r="BH775" s="38" t="str">
        <f aca="false">IF(BE775="","",IF(BE775&lt;2,"",IF(BE775=2,IF(AND(T775="",U775=""),"",MIN(T775,U775)),IF(U775="","",U775))))</f>
        <v/>
      </c>
      <c r="BI775" s="37" t="str">
        <f aca="false">IF(BH775="","",IF(OR(O775="",BH775=""),"",IF(BH775&lt;O775,"",ROUND(((NETWORKDAYS(O775,BH775,JoursFeries)-1)*(HFer-HOuv)+IF(NETWORKDAYS(BH775,BH775,JoursFeries),MEDIAN(MOD(BH775,1),HFer,HOuv),HFer)-IF(NETWORKDAYS(O775,O775,JoursFeries),MEDIAN(MOD(O775,1),HFer,HOuv),HOuv))*24,4))))</f>
        <v/>
      </c>
      <c r="BJ775" s="35" t="str">
        <f aca="false">IF(OR(BI775="",AR775=""),"",IF(BI775&lt;=INDEX(DELAI_ESC,AR775),1,0))</f>
        <v/>
      </c>
      <c r="BK775" s="38" t="str">
        <f aca="false">IF(AO775&lt;&gt;1,"",IF(AND(T775="",U775=""),"",MIN(T775,U775)))</f>
        <v/>
      </c>
      <c r="BL775" s="37" t="str">
        <f aca="false">IF(OR(BK775="",R775=""),"",IFERROR(ROUND(IF(OR(BK775="",R775=""),"",IF(R775&lt;BK775,"",ROUND(((NETWORKDAYS(BK775,R775,JoursFeries)-1)*(HFer-HOuv)+IF(NETWORKDAYS(R775,R775,JoursFeries),MEDIAN(MOD(R775,1),HFer,HOuv),HFer)-IF(NETWORKDAYS(BK775,BK775,JoursFeries),MEDIAN(MOD(BK775,1),HFer,HOuv),HOuv))*24,4)))/HJour,4),""))</f>
        <v/>
      </c>
      <c r="BM775" s="35" t="str">
        <f aca="false">IF(OR(AO775&lt;&gt;1,R775=""),"",IF(BD775=1,1,0))</f>
        <v/>
      </c>
      <c r="BN775" s="35" t="str">
        <f aca="false">IF(AO775&lt;&gt;1,"",IF(W775="Oui",1,0))</f>
        <v/>
      </c>
      <c r="BO775" s="35" t="str">
        <f aca="false">IF(AO775&lt;&gt;1,"",IF(X775&lt;&gt;"",1,0))</f>
        <v/>
      </c>
      <c r="BP775" s="35" t="str">
        <f aca="false">IF(AO775&lt;&gt;1,"",IF(Y775="Oui",1,0))</f>
        <v/>
      </c>
      <c r="BQ775" s="35" t="str">
        <f aca="true">IF(OR(AO775&lt;&gt;1,Z775&lt;&gt;"Oui"),"",IF(AB775="",IF(AND(AA775&lt;&gt;"",NOW()&gt;AA775),0,""),IF(AA775="","",IF(AB775&lt;=AA775,1,0))))</f>
        <v/>
      </c>
      <c r="BR775" s="38" t="str">
        <f aca="false">IF(OR(AO775&lt;&gt;1,K775&lt;&gt;"Oui",O775=""),"",IF(AC775="",O775+DORA_H_DET/24,IF(AC775-O775&lt;=DORA_H_DET/24,MIN(AC775+DORA_H_CLA/24,O775+DORA_H_DET/24),AC775+DORA_H_CLA/24)))</f>
        <v/>
      </c>
      <c r="BS775" s="35" t="str">
        <f aca="true">IF(BR775="","",IF(AD775="",IF(NOW()&gt;BR775,0,""),IF(AD775&lt;=BR775,1,0)))</f>
        <v/>
      </c>
      <c r="BT775" s="35" t="str">
        <f aca="true">IF(OR(BR775="",AD775=""),"",IF(AE775="",IF(NOW()&gt;AD775+DORA_H_INT/24,0,""),IF(AE775&lt;=AD775+DORA_H_INT/24,1,0)))</f>
        <v/>
      </c>
      <c r="BU775" s="35" t="str">
        <f aca="true">IF(OR(BR775="",AE775=""),"",IF(AF775="",IF(NOW()&gt;EDATE(AE775,DORA_M_FIN)+1,0,""),IF(AF775&lt;=EDATE(AE775,DORA_M_FIN),1,0)))</f>
        <v/>
      </c>
      <c r="BV775" s="35" t="str">
        <f aca="false">IF(BR775="","",IF(COUNT(BS775:BU775)=0,"",MIN(BS775:BU775)))</f>
        <v/>
      </c>
      <c r="BW775" s="40" t="str">
        <f aca="false">IF(AQ775&lt;&gt;1,"",IF(AND(AG775="",AH775=""),"",N(AG775)-N(AH775)))</f>
        <v/>
      </c>
      <c r="BX775" s="35" t="str">
        <f aca="true">IF(OR(AQ775&lt;&gt;1,AI775&lt;&gt;"Oui",AJ775=""),"",IF(AK775="",IF(NOW()&gt;AJ775+1,0,""),IF(AK775&lt;=AJ775,1,0)))</f>
        <v/>
      </c>
    </row>
    <row r="776" customFormat="false" ht="15" hidden="false" customHeight="false" outlineLevel="0" collapsed="false">
      <c r="B776" s="29"/>
      <c r="C776" s="29"/>
      <c r="D776" s="29"/>
      <c r="E776" s="29"/>
      <c r="F776" s="29"/>
      <c r="G776" s="29"/>
      <c r="H776" s="29"/>
      <c r="I776" s="29"/>
      <c r="J776" s="29"/>
      <c r="K776" s="29"/>
      <c r="L776" s="29"/>
      <c r="M776" s="29"/>
      <c r="N776" s="30"/>
      <c r="O776" s="30"/>
      <c r="P776" s="30"/>
      <c r="Q776" s="30"/>
      <c r="R776" s="30"/>
      <c r="S776" s="30"/>
      <c r="T776" s="30"/>
      <c r="U776" s="30"/>
      <c r="V776" s="31"/>
      <c r="W776" s="29"/>
      <c r="X776" s="29"/>
      <c r="Y776" s="29"/>
      <c r="Z776" s="29"/>
      <c r="AA776" s="30"/>
      <c r="AB776" s="30"/>
      <c r="AC776" s="30"/>
      <c r="AD776" s="30"/>
      <c r="AE776" s="30"/>
      <c r="AF776" s="32"/>
      <c r="AG776" s="33"/>
      <c r="AH776" s="33"/>
      <c r="AI776" s="29"/>
      <c r="AJ776" s="32"/>
      <c r="AK776" s="32"/>
      <c r="AL776" s="29"/>
      <c r="AN776" s="34" t="str">
        <f aca="false">IF($B776="","",IF(OR(C776="",D776="",E776="",G776="",I776="",J776="",L776="",O776="",P776=""),"Champ obligatoire manquant",IF(OR(AND(N776&lt;&gt;"",N776&gt;O776),O776&gt;P776,AND(Q776&lt;&gt;"",Q776&lt;P776),AND(R776&lt;&gt;"",R776&lt;P776),AND(S776&lt;&gt;"",S776&lt;R776),AND(S776&lt;&gt;"",R776=""),AND(T776&lt;&gt;"",T776&lt;O776),AND(U776&lt;&gt;"",U776&lt;O776)),"Chronologie incohérente",IF(AND(OR(L776="Résolu",L776="Clos"),R776=""),"Date de résolution manquante",IF(AND(L776="Clos",S776=""),"Date de clôture manquante",IF(AND(K776="Oui",AC776=""),"Classification DORA manquante","OK"))))))</f>
        <v/>
      </c>
      <c r="AO776" s="35" t="str">
        <f aca="false">IF($B776="","",IF(AND(C776="Incident",L776&lt;&gt;"Annulé"),1,0))</f>
        <v/>
      </c>
      <c r="AP776" s="35" t="str">
        <f aca="false">IF($B776="","",IF(AND(C776="Quasi-incident",L776&lt;&gt;"Annulé"),1,0))</f>
        <v/>
      </c>
      <c r="AQ776" s="35" t="str">
        <f aca="false">IF($B776="","",AO776+AP776)</f>
        <v/>
      </c>
      <c r="AR776" s="36" t="str">
        <f aca="false">IF(OR($B776="",J776=""),"",IFERROR(VALUE(LEFT(J776,1)),""))</f>
        <v/>
      </c>
      <c r="AS776" s="35" t="str">
        <f aca="false">IF(OR(AO776&lt;&gt;1,G776=""),"",IFERROR(IF(INDEX(L_SrcInterne,MATCH(G776,L_Sources,0))="Oui",1,0),""))</f>
        <v/>
      </c>
      <c r="AT776" s="37" t="str">
        <f aca="false">IF(AO776&lt;&gt;1,"",IFERROR(ROUND(IF(OR(N776="",O776=""),"",IF(O776&lt;N776,"",ROUND(((NETWORKDAYS(N776,O776,JoursFeries)-1)*(HFer-HOuv)+IF(NETWORKDAYS(O776,O776,JoursFeries),MEDIAN(MOD(O776,1),HFer,HOuv),HFer)-IF(NETWORKDAYS(N776,N776,JoursFeries),MEDIAN(MOD(N776,1),HFer,HOuv),HOuv))*24,4)))/HJour,4),""))</f>
        <v/>
      </c>
      <c r="AU776" s="37" t="str">
        <f aca="false">IF(AO776&lt;&gt;1,"",IF(OR(O776="",P776=""),"",IF(P776&lt;O776,"",ROUND(((NETWORKDAYS(O776,P776,JoursFeries)-1)*(HFer-HOuv)+IF(NETWORKDAYS(P776,P776,JoursFeries),MEDIAN(MOD(P776,1),HFer,HOuv),HFer)-IF(NETWORKDAYS(O776,O776,JoursFeries),MEDIAN(MOD(O776,1),HFer,HOuv),HOuv))*24,4))))</f>
        <v/>
      </c>
      <c r="AV776" s="37" t="str">
        <f aca="false">IF(AO776&lt;&gt;1,"",IF(OR(P776="",Q776=""),"",IF(Q776&lt;P776,"",ROUND(((NETWORKDAYS(P776,Q776,JoursFeries)-1)*(HFer-HOuv)+IF(NETWORKDAYS(Q776,Q776,JoursFeries),MEDIAN(MOD(Q776,1),HFer,HOuv),HFer)-IF(NETWORKDAYS(P776,P776,JoursFeries),MEDIAN(MOD(P776,1),HFer,HOuv),HOuv))*24,4))))</f>
        <v/>
      </c>
      <c r="AW776" s="37" t="str">
        <f aca="false">IF(AO776&lt;&gt;1,"",IFERROR(ROUND(IF(OR(P776="",R776=""),"",IF(R776&lt;P776,"",ROUND(((NETWORKDAYS(P776,R776,JoursFeries)-1)*(HFer-HOuv)+IF(NETWORKDAYS(R776,R776,JoursFeries),MEDIAN(MOD(R776,1),HFer,HOuv),HFer)-IF(NETWORKDAYS(P776,P776,JoursFeries),MEDIAN(MOD(P776,1),HFer,HOuv),HOuv))*24,4)))/HJour,4),""))</f>
        <v/>
      </c>
      <c r="AX776" s="37" t="str">
        <f aca="false">IF(AO776&lt;&gt;1,"",IFERROR(ROUND(IF(OR(P776="",S776=""),"",IF(S776&lt;P776,"",ROUND(((NETWORKDAYS(P776,S776,JoursFeries)-1)*(HFer-HOuv)+IF(NETWORKDAYS(S776,S776,JoursFeries),MEDIAN(MOD(S776,1),HFer,HOuv),HFer)-IF(NETWORKDAYS(P776,P776,JoursFeries),MEDIAN(MOD(P776,1),HFer,HOuv),HOuv))*24,4)))/HJour,4),""))</f>
        <v/>
      </c>
      <c r="AY776" s="36" t="str">
        <f aca="false">IF(OR(AO776&lt;&gt;1,AR776=""),"",INDEX(SLA_PEC,AR776))</f>
        <v/>
      </c>
      <c r="AZ776" s="35" t="str">
        <f aca="false">IF(OR(AV776="",AY776=""),"",IF(AV776&lt;=AY776,1,0))</f>
        <v/>
      </c>
      <c r="BA776" s="36" t="str">
        <f aca="false">IF(OR(AO776&lt;&gt;1,AR776=""),"",INDEX(SLA_RES,AR776))</f>
        <v/>
      </c>
      <c r="BB776" s="35" t="str">
        <f aca="false">IF(OR(AW776="",BA776=""),"",IF(AW776&lt;=BA776,1,0))</f>
        <v/>
      </c>
      <c r="BC776" s="38" t="str">
        <f aca="false">IF(OR(BA776="",P776=""),"",WORKDAY(INT(P776),BA776,JoursFeries)+MOD(P776,1))</f>
        <v/>
      </c>
      <c r="BD776" s="39" t="str">
        <f aca="false">IF(AO776&lt;&gt;1,"",IF(OR(AB776&lt;&gt;"",AD776&lt;&gt;""),4,IF(U776&lt;&gt;"",3,IF(T776&lt;&gt;"",2,1))))</f>
        <v/>
      </c>
      <c r="BE776" s="39" t="str">
        <f aca="false">IF(OR(AO776&lt;&gt;1,AR776=""),"",INDEX(NIV_REQ,AR776))</f>
        <v/>
      </c>
      <c r="BF776" s="39" t="str">
        <f aca="false">IF(BE776="","",MAX(BE776,IF(OR(K776="Oui",Z776="Oui"),4,1)))</f>
        <v/>
      </c>
      <c r="BG776" s="35" t="str">
        <f aca="false">IF(OR(BF776="",BD776=""),"",IF(BD776&gt;=BF776,1,0))</f>
        <v/>
      </c>
      <c r="BH776" s="38" t="str">
        <f aca="false">IF(BE776="","",IF(BE776&lt;2,"",IF(BE776=2,IF(AND(T776="",U776=""),"",MIN(T776,U776)),IF(U776="","",U776))))</f>
        <v/>
      </c>
      <c r="BI776" s="37" t="str">
        <f aca="false">IF(BH776="","",IF(OR(O776="",BH776=""),"",IF(BH776&lt;O776,"",ROUND(((NETWORKDAYS(O776,BH776,JoursFeries)-1)*(HFer-HOuv)+IF(NETWORKDAYS(BH776,BH776,JoursFeries),MEDIAN(MOD(BH776,1),HFer,HOuv),HFer)-IF(NETWORKDAYS(O776,O776,JoursFeries),MEDIAN(MOD(O776,1),HFer,HOuv),HOuv))*24,4))))</f>
        <v/>
      </c>
      <c r="BJ776" s="35" t="str">
        <f aca="false">IF(OR(BI776="",AR776=""),"",IF(BI776&lt;=INDEX(DELAI_ESC,AR776),1,0))</f>
        <v/>
      </c>
      <c r="BK776" s="38" t="str">
        <f aca="false">IF(AO776&lt;&gt;1,"",IF(AND(T776="",U776=""),"",MIN(T776,U776)))</f>
        <v/>
      </c>
      <c r="BL776" s="37" t="str">
        <f aca="false">IF(OR(BK776="",R776=""),"",IFERROR(ROUND(IF(OR(BK776="",R776=""),"",IF(R776&lt;BK776,"",ROUND(((NETWORKDAYS(BK776,R776,JoursFeries)-1)*(HFer-HOuv)+IF(NETWORKDAYS(R776,R776,JoursFeries),MEDIAN(MOD(R776,1),HFer,HOuv),HFer)-IF(NETWORKDAYS(BK776,BK776,JoursFeries),MEDIAN(MOD(BK776,1),HFer,HOuv),HOuv))*24,4)))/HJour,4),""))</f>
        <v/>
      </c>
      <c r="BM776" s="35" t="str">
        <f aca="false">IF(OR(AO776&lt;&gt;1,R776=""),"",IF(BD776=1,1,0))</f>
        <v/>
      </c>
      <c r="BN776" s="35" t="str">
        <f aca="false">IF(AO776&lt;&gt;1,"",IF(W776="Oui",1,0))</f>
        <v/>
      </c>
      <c r="BO776" s="35" t="str">
        <f aca="false">IF(AO776&lt;&gt;1,"",IF(X776&lt;&gt;"",1,0))</f>
        <v/>
      </c>
      <c r="BP776" s="35" t="str">
        <f aca="false">IF(AO776&lt;&gt;1,"",IF(Y776="Oui",1,0))</f>
        <v/>
      </c>
      <c r="BQ776" s="35" t="str">
        <f aca="true">IF(OR(AO776&lt;&gt;1,Z776&lt;&gt;"Oui"),"",IF(AB776="",IF(AND(AA776&lt;&gt;"",NOW()&gt;AA776),0,""),IF(AA776="","",IF(AB776&lt;=AA776,1,0))))</f>
        <v/>
      </c>
      <c r="BR776" s="38" t="str">
        <f aca="false">IF(OR(AO776&lt;&gt;1,K776&lt;&gt;"Oui",O776=""),"",IF(AC776="",O776+DORA_H_DET/24,IF(AC776-O776&lt;=DORA_H_DET/24,MIN(AC776+DORA_H_CLA/24,O776+DORA_H_DET/24),AC776+DORA_H_CLA/24)))</f>
        <v/>
      </c>
      <c r="BS776" s="35" t="str">
        <f aca="true">IF(BR776="","",IF(AD776="",IF(NOW()&gt;BR776,0,""),IF(AD776&lt;=BR776,1,0)))</f>
        <v/>
      </c>
      <c r="BT776" s="35" t="str">
        <f aca="true">IF(OR(BR776="",AD776=""),"",IF(AE776="",IF(NOW()&gt;AD776+DORA_H_INT/24,0,""),IF(AE776&lt;=AD776+DORA_H_INT/24,1,0)))</f>
        <v/>
      </c>
      <c r="BU776" s="35" t="str">
        <f aca="true">IF(OR(BR776="",AE776=""),"",IF(AF776="",IF(NOW()&gt;EDATE(AE776,DORA_M_FIN)+1,0,""),IF(AF776&lt;=EDATE(AE776,DORA_M_FIN),1,0)))</f>
        <v/>
      </c>
      <c r="BV776" s="35" t="str">
        <f aca="false">IF(BR776="","",IF(COUNT(BS776:BU776)=0,"",MIN(BS776:BU776)))</f>
        <v/>
      </c>
      <c r="BW776" s="40" t="str">
        <f aca="false">IF(AQ776&lt;&gt;1,"",IF(AND(AG776="",AH776=""),"",N(AG776)-N(AH776)))</f>
        <v/>
      </c>
      <c r="BX776" s="35" t="str">
        <f aca="true">IF(OR(AQ776&lt;&gt;1,AI776&lt;&gt;"Oui",AJ776=""),"",IF(AK776="",IF(NOW()&gt;AJ776+1,0,""),IF(AK776&lt;=AJ776,1,0)))</f>
        <v/>
      </c>
    </row>
    <row r="777" customFormat="false" ht="15" hidden="false" customHeight="false" outlineLevel="0" collapsed="false">
      <c r="B777" s="29"/>
      <c r="C777" s="29"/>
      <c r="D777" s="29"/>
      <c r="E777" s="29"/>
      <c r="F777" s="29"/>
      <c r="G777" s="29"/>
      <c r="H777" s="29"/>
      <c r="I777" s="29"/>
      <c r="J777" s="29"/>
      <c r="K777" s="29"/>
      <c r="L777" s="29"/>
      <c r="M777" s="29"/>
      <c r="N777" s="30"/>
      <c r="O777" s="30"/>
      <c r="P777" s="30"/>
      <c r="Q777" s="30"/>
      <c r="R777" s="30"/>
      <c r="S777" s="30"/>
      <c r="T777" s="30"/>
      <c r="U777" s="30"/>
      <c r="V777" s="31"/>
      <c r="W777" s="29"/>
      <c r="X777" s="29"/>
      <c r="Y777" s="29"/>
      <c r="Z777" s="29"/>
      <c r="AA777" s="30"/>
      <c r="AB777" s="30"/>
      <c r="AC777" s="30"/>
      <c r="AD777" s="30"/>
      <c r="AE777" s="30"/>
      <c r="AF777" s="32"/>
      <c r="AG777" s="33"/>
      <c r="AH777" s="33"/>
      <c r="AI777" s="29"/>
      <c r="AJ777" s="32"/>
      <c r="AK777" s="32"/>
      <c r="AL777" s="29"/>
      <c r="AN777" s="34" t="str">
        <f aca="false">IF($B777="","",IF(OR(C777="",D777="",E777="",G777="",I777="",J777="",L777="",O777="",P777=""),"Champ obligatoire manquant",IF(OR(AND(N777&lt;&gt;"",N777&gt;O777),O777&gt;P777,AND(Q777&lt;&gt;"",Q777&lt;P777),AND(R777&lt;&gt;"",R777&lt;P777),AND(S777&lt;&gt;"",S777&lt;R777),AND(S777&lt;&gt;"",R777=""),AND(T777&lt;&gt;"",T777&lt;O777),AND(U777&lt;&gt;"",U777&lt;O777)),"Chronologie incohérente",IF(AND(OR(L777="Résolu",L777="Clos"),R777=""),"Date de résolution manquante",IF(AND(L777="Clos",S777=""),"Date de clôture manquante",IF(AND(K777="Oui",AC777=""),"Classification DORA manquante","OK"))))))</f>
        <v/>
      </c>
      <c r="AO777" s="35" t="str">
        <f aca="false">IF($B777="","",IF(AND(C777="Incident",L777&lt;&gt;"Annulé"),1,0))</f>
        <v/>
      </c>
      <c r="AP777" s="35" t="str">
        <f aca="false">IF($B777="","",IF(AND(C777="Quasi-incident",L777&lt;&gt;"Annulé"),1,0))</f>
        <v/>
      </c>
      <c r="AQ777" s="35" t="str">
        <f aca="false">IF($B777="","",AO777+AP777)</f>
        <v/>
      </c>
      <c r="AR777" s="36" t="str">
        <f aca="false">IF(OR($B777="",J777=""),"",IFERROR(VALUE(LEFT(J777,1)),""))</f>
        <v/>
      </c>
      <c r="AS777" s="35" t="str">
        <f aca="false">IF(OR(AO777&lt;&gt;1,G777=""),"",IFERROR(IF(INDEX(L_SrcInterne,MATCH(G777,L_Sources,0))="Oui",1,0),""))</f>
        <v/>
      </c>
      <c r="AT777" s="37" t="str">
        <f aca="false">IF(AO777&lt;&gt;1,"",IFERROR(ROUND(IF(OR(N777="",O777=""),"",IF(O777&lt;N777,"",ROUND(((NETWORKDAYS(N777,O777,JoursFeries)-1)*(HFer-HOuv)+IF(NETWORKDAYS(O777,O777,JoursFeries),MEDIAN(MOD(O777,1),HFer,HOuv),HFer)-IF(NETWORKDAYS(N777,N777,JoursFeries),MEDIAN(MOD(N777,1),HFer,HOuv),HOuv))*24,4)))/HJour,4),""))</f>
        <v/>
      </c>
      <c r="AU777" s="37" t="str">
        <f aca="false">IF(AO777&lt;&gt;1,"",IF(OR(O777="",P777=""),"",IF(P777&lt;O777,"",ROUND(((NETWORKDAYS(O777,P777,JoursFeries)-1)*(HFer-HOuv)+IF(NETWORKDAYS(P777,P777,JoursFeries),MEDIAN(MOD(P777,1),HFer,HOuv),HFer)-IF(NETWORKDAYS(O777,O777,JoursFeries),MEDIAN(MOD(O777,1),HFer,HOuv),HOuv))*24,4))))</f>
        <v/>
      </c>
      <c r="AV777" s="37" t="str">
        <f aca="false">IF(AO777&lt;&gt;1,"",IF(OR(P777="",Q777=""),"",IF(Q777&lt;P777,"",ROUND(((NETWORKDAYS(P777,Q777,JoursFeries)-1)*(HFer-HOuv)+IF(NETWORKDAYS(Q777,Q777,JoursFeries),MEDIAN(MOD(Q777,1),HFer,HOuv),HFer)-IF(NETWORKDAYS(P777,P777,JoursFeries),MEDIAN(MOD(P777,1),HFer,HOuv),HOuv))*24,4))))</f>
        <v/>
      </c>
      <c r="AW777" s="37" t="str">
        <f aca="false">IF(AO777&lt;&gt;1,"",IFERROR(ROUND(IF(OR(P777="",R777=""),"",IF(R777&lt;P777,"",ROUND(((NETWORKDAYS(P777,R777,JoursFeries)-1)*(HFer-HOuv)+IF(NETWORKDAYS(R777,R777,JoursFeries),MEDIAN(MOD(R777,1),HFer,HOuv),HFer)-IF(NETWORKDAYS(P777,P777,JoursFeries),MEDIAN(MOD(P777,1),HFer,HOuv),HOuv))*24,4)))/HJour,4),""))</f>
        <v/>
      </c>
      <c r="AX777" s="37" t="str">
        <f aca="false">IF(AO777&lt;&gt;1,"",IFERROR(ROUND(IF(OR(P777="",S777=""),"",IF(S777&lt;P777,"",ROUND(((NETWORKDAYS(P777,S777,JoursFeries)-1)*(HFer-HOuv)+IF(NETWORKDAYS(S777,S777,JoursFeries),MEDIAN(MOD(S777,1),HFer,HOuv),HFer)-IF(NETWORKDAYS(P777,P777,JoursFeries),MEDIAN(MOD(P777,1),HFer,HOuv),HOuv))*24,4)))/HJour,4),""))</f>
        <v/>
      </c>
      <c r="AY777" s="36" t="str">
        <f aca="false">IF(OR(AO777&lt;&gt;1,AR777=""),"",INDEX(SLA_PEC,AR777))</f>
        <v/>
      </c>
      <c r="AZ777" s="35" t="str">
        <f aca="false">IF(OR(AV777="",AY777=""),"",IF(AV777&lt;=AY777,1,0))</f>
        <v/>
      </c>
      <c r="BA777" s="36" t="str">
        <f aca="false">IF(OR(AO777&lt;&gt;1,AR777=""),"",INDEX(SLA_RES,AR777))</f>
        <v/>
      </c>
      <c r="BB777" s="35" t="str">
        <f aca="false">IF(OR(AW777="",BA777=""),"",IF(AW777&lt;=BA777,1,0))</f>
        <v/>
      </c>
      <c r="BC777" s="38" t="str">
        <f aca="false">IF(OR(BA777="",P777=""),"",WORKDAY(INT(P777),BA777,JoursFeries)+MOD(P777,1))</f>
        <v/>
      </c>
      <c r="BD777" s="39" t="str">
        <f aca="false">IF(AO777&lt;&gt;1,"",IF(OR(AB777&lt;&gt;"",AD777&lt;&gt;""),4,IF(U777&lt;&gt;"",3,IF(T777&lt;&gt;"",2,1))))</f>
        <v/>
      </c>
      <c r="BE777" s="39" t="str">
        <f aca="false">IF(OR(AO777&lt;&gt;1,AR777=""),"",INDEX(NIV_REQ,AR777))</f>
        <v/>
      </c>
      <c r="BF777" s="39" t="str">
        <f aca="false">IF(BE777="","",MAX(BE777,IF(OR(K777="Oui",Z777="Oui"),4,1)))</f>
        <v/>
      </c>
      <c r="BG777" s="35" t="str">
        <f aca="false">IF(OR(BF777="",BD777=""),"",IF(BD777&gt;=BF777,1,0))</f>
        <v/>
      </c>
      <c r="BH777" s="38" t="str">
        <f aca="false">IF(BE777="","",IF(BE777&lt;2,"",IF(BE777=2,IF(AND(T777="",U777=""),"",MIN(T777,U777)),IF(U777="","",U777))))</f>
        <v/>
      </c>
      <c r="BI777" s="37" t="str">
        <f aca="false">IF(BH777="","",IF(OR(O777="",BH777=""),"",IF(BH777&lt;O777,"",ROUND(((NETWORKDAYS(O777,BH777,JoursFeries)-1)*(HFer-HOuv)+IF(NETWORKDAYS(BH777,BH777,JoursFeries),MEDIAN(MOD(BH777,1),HFer,HOuv),HFer)-IF(NETWORKDAYS(O777,O777,JoursFeries),MEDIAN(MOD(O777,1),HFer,HOuv),HOuv))*24,4))))</f>
        <v/>
      </c>
      <c r="BJ777" s="35" t="str">
        <f aca="false">IF(OR(BI777="",AR777=""),"",IF(BI777&lt;=INDEX(DELAI_ESC,AR777),1,0))</f>
        <v/>
      </c>
      <c r="BK777" s="38" t="str">
        <f aca="false">IF(AO777&lt;&gt;1,"",IF(AND(T777="",U777=""),"",MIN(T777,U777)))</f>
        <v/>
      </c>
      <c r="BL777" s="37" t="str">
        <f aca="false">IF(OR(BK777="",R777=""),"",IFERROR(ROUND(IF(OR(BK777="",R777=""),"",IF(R777&lt;BK777,"",ROUND(((NETWORKDAYS(BK777,R777,JoursFeries)-1)*(HFer-HOuv)+IF(NETWORKDAYS(R777,R777,JoursFeries),MEDIAN(MOD(R777,1),HFer,HOuv),HFer)-IF(NETWORKDAYS(BK777,BK777,JoursFeries),MEDIAN(MOD(BK777,1),HFer,HOuv),HOuv))*24,4)))/HJour,4),""))</f>
        <v/>
      </c>
      <c r="BM777" s="35" t="str">
        <f aca="false">IF(OR(AO777&lt;&gt;1,R777=""),"",IF(BD777=1,1,0))</f>
        <v/>
      </c>
      <c r="BN777" s="35" t="str">
        <f aca="false">IF(AO777&lt;&gt;1,"",IF(W777="Oui",1,0))</f>
        <v/>
      </c>
      <c r="BO777" s="35" t="str">
        <f aca="false">IF(AO777&lt;&gt;1,"",IF(X777&lt;&gt;"",1,0))</f>
        <v/>
      </c>
      <c r="BP777" s="35" t="str">
        <f aca="false">IF(AO777&lt;&gt;1,"",IF(Y777="Oui",1,0))</f>
        <v/>
      </c>
      <c r="BQ777" s="35" t="str">
        <f aca="true">IF(OR(AO777&lt;&gt;1,Z777&lt;&gt;"Oui"),"",IF(AB777="",IF(AND(AA777&lt;&gt;"",NOW()&gt;AA777),0,""),IF(AA777="","",IF(AB777&lt;=AA777,1,0))))</f>
        <v/>
      </c>
      <c r="BR777" s="38" t="str">
        <f aca="false">IF(OR(AO777&lt;&gt;1,K777&lt;&gt;"Oui",O777=""),"",IF(AC777="",O777+DORA_H_DET/24,IF(AC777-O777&lt;=DORA_H_DET/24,MIN(AC777+DORA_H_CLA/24,O777+DORA_H_DET/24),AC777+DORA_H_CLA/24)))</f>
        <v/>
      </c>
      <c r="BS777" s="35" t="str">
        <f aca="true">IF(BR777="","",IF(AD777="",IF(NOW()&gt;BR777,0,""),IF(AD777&lt;=BR777,1,0)))</f>
        <v/>
      </c>
      <c r="BT777" s="35" t="str">
        <f aca="true">IF(OR(BR777="",AD777=""),"",IF(AE777="",IF(NOW()&gt;AD777+DORA_H_INT/24,0,""),IF(AE777&lt;=AD777+DORA_H_INT/24,1,0)))</f>
        <v/>
      </c>
      <c r="BU777" s="35" t="str">
        <f aca="true">IF(OR(BR777="",AE777=""),"",IF(AF777="",IF(NOW()&gt;EDATE(AE777,DORA_M_FIN)+1,0,""),IF(AF777&lt;=EDATE(AE777,DORA_M_FIN),1,0)))</f>
        <v/>
      </c>
      <c r="BV777" s="35" t="str">
        <f aca="false">IF(BR777="","",IF(COUNT(BS777:BU777)=0,"",MIN(BS777:BU777)))</f>
        <v/>
      </c>
      <c r="BW777" s="40" t="str">
        <f aca="false">IF(AQ777&lt;&gt;1,"",IF(AND(AG777="",AH777=""),"",N(AG777)-N(AH777)))</f>
        <v/>
      </c>
      <c r="BX777" s="35" t="str">
        <f aca="true">IF(OR(AQ777&lt;&gt;1,AI777&lt;&gt;"Oui",AJ777=""),"",IF(AK777="",IF(NOW()&gt;AJ777+1,0,""),IF(AK777&lt;=AJ777,1,0)))</f>
        <v/>
      </c>
    </row>
    <row r="778" customFormat="false" ht="15" hidden="false" customHeight="false" outlineLevel="0" collapsed="false">
      <c r="B778" s="29"/>
      <c r="C778" s="29"/>
      <c r="D778" s="29"/>
      <c r="E778" s="29"/>
      <c r="F778" s="29"/>
      <c r="G778" s="29"/>
      <c r="H778" s="29"/>
      <c r="I778" s="29"/>
      <c r="J778" s="29"/>
      <c r="K778" s="29"/>
      <c r="L778" s="29"/>
      <c r="M778" s="29"/>
      <c r="N778" s="30"/>
      <c r="O778" s="30"/>
      <c r="P778" s="30"/>
      <c r="Q778" s="30"/>
      <c r="R778" s="30"/>
      <c r="S778" s="30"/>
      <c r="T778" s="30"/>
      <c r="U778" s="30"/>
      <c r="V778" s="31"/>
      <c r="W778" s="29"/>
      <c r="X778" s="29"/>
      <c r="Y778" s="29"/>
      <c r="Z778" s="29"/>
      <c r="AA778" s="30"/>
      <c r="AB778" s="30"/>
      <c r="AC778" s="30"/>
      <c r="AD778" s="30"/>
      <c r="AE778" s="30"/>
      <c r="AF778" s="32"/>
      <c r="AG778" s="33"/>
      <c r="AH778" s="33"/>
      <c r="AI778" s="29"/>
      <c r="AJ778" s="32"/>
      <c r="AK778" s="32"/>
      <c r="AL778" s="29"/>
      <c r="AN778" s="34" t="str">
        <f aca="false">IF($B778="","",IF(OR(C778="",D778="",E778="",G778="",I778="",J778="",L778="",O778="",P778=""),"Champ obligatoire manquant",IF(OR(AND(N778&lt;&gt;"",N778&gt;O778),O778&gt;P778,AND(Q778&lt;&gt;"",Q778&lt;P778),AND(R778&lt;&gt;"",R778&lt;P778),AND(S778&lt;&gt;"",S778&lt;R778),AND(S778&lt;&gt;"",R778=""),AND(T778&lt;&gt;"",T778&lt;O778),AND(U778&lt;&gt;"",U778&lt;O778)),"Chronologie incohérente",IF(AND(OR(L778="Résolu",L778="Clos"),R778=""),"Date de résolution manquante",IF(AND(L778="Clos",S778=""),"Date de clôture manquante",IF(AND(K778="Oui",AC778=""),"Classification DORA manquante","OK"))))))</f>
        <v/>
      </c>
      <c r="AO778" s="35" t="str">
        <f aca="false">IF($B778="","",IF(AND(C778="Incident",L778&lt;&gt;"Annulé"),1,0))</f>
        <v/>
      </c>
      <c r="AP778" s="35" t="str">
        <f aca="false">IF($B778="","",IF(AND(C778="Quasi-incident",L778&lt;&gt;"Annulé"),1,0))</f>
        <v/>
      </c>
      <c r="AQ778" s="35" t="str">
        <f aca="false">IF($B778="","",AO778+AP778)</f>
        <v/>
      </c>
      <c r="AR778" s="36" t="str">
        <f aca="false">IF(OR($B778="",J778=""),"",IFERROR(VALUE(LEFT(J778,1)),""))</f>
        <v/>
      </c>
      <c r="AS778" s="35" t="str">
        <f aca="false">IF(OR(AO778&lt;&gt;1,G778=""),"",IFERROR(IF(INDEX(L_SrcInterne,MATCH(G778,L_Sources,0))="Oui",1,0),""))</f>
        <v/>
      </c>
      <c r="AT778" s="37" t="str">
        <f aca="false">IF(AO778&lt;&gt;1,"",IFERROR(ROUND(IF(OR(N778="",O778=""),"",IF(O778&lt;N778,"",ROUND(((NETWORKDAYS(N778,O778,JoursFeries)-1)*(HFer-HOuv)+IF(NETWORKDAYS(O778,O778,JoursFeries),MEDIAN(MOD(O778,1),HFer,HOuv),HFer)-IF(NETWORKDAYS(N778,N778,JoursFeries),MEDIAN(MOD(N778,1),HFer,HOuv),HOuv))*24,4)))/HJour,4),""))</f>
        <v/>
      </c>
      <c r="AU778" s="37" t="str">
        <f aca="false">IF(AO778&lt;&gt;1,"",IF(OR(O778="",P778=""),"",IF(P778&lt;O778,"",ROUND(((NETWORKDAYS(O778,P778,JoursFeries)-1)*(HFer-HOuv)+IF(NETWORKDAYS(P778,P778,JoursFeries),MEDIAN(MOD(P778,1),HFer,HOuv),HFer)-IF(NETWORKDAYS(O778,O778,JoursFeries),MEDIAN(MOD(O778,1),HFer,HOuv),HOuv))*24,4))))</f>
        <v/>
      </c>
      <c r="AV778" s="37" t="str">
        <f aca="false">IF(AO778&lt;&gt;1,"",IF(OR(P778="",Q778=""),"",IF(Q778&lt;P778,"",ROUND(((NETWORKDAYS(P778,Q778,JoursFeries)-1)*(HFer-HOuv)+IF(NETWORKDAYS(Q778,Q778,JoursFeries),MEDIAN(MOD(Q778,1),HFer,HOuv),HFer)-IF(NETWORKDAYS(P778,P778,JoursFeries),MEDIAN(MOD(P778,1),HFer,HOuv),HOuv))*24,4))))</f>
        <v/>
      </c>
      <c r="AW778" s="37" t="str">
        <f aca="false">IF(AO778&lt;&gt;1,"",IFERROR(ROUND(IF(OR(P778="",R778=""),"",IF(R778&lt;P778,"",ROUND(((NETWORKDAYS(P778,R778,JoursFeries)-1)*(HFer-HOuv)+IF(NETWORKDAYS(R778,R778,JoursFeries),MEDIAN(MOD(R778,1),HFer,HOuv),HFer)-IF(NETWORKDAYS(P778,P778,JoursFeries),MEDIAN(MOD(P778,1),HFer,HOuv),HOuv))*24,4)))/HJour,4),""))</f>
        <v/>
      </c>
      <c r="AX778" s="37" t="str">
        <f aca="false">IF(AO778&lt;&gt;1,"",IFERROR(ROUND(IF(OR(P778="",S778=""),"",IF(S778&lt;P778,"",ROUND(((NETWORKDAYS(P778,S778,JoursFeries)-1)*(HFer-HOuv)+IF(NETWORKDAYS(S778,S778,JoursFeries),MEDIAN(MOD(S778,1),HFer,HOuv),HFer)-IF(NETWORKDAYS(P778,P778,JoursFeries),MEDIAN(MOD(P778,1),HFer,HOuv),HOuv))*24,4)))/HJour,4),""))</f>
        <v/>
      </c>
      <c r="AY778" s="36" t="str">
        <f aca="false">IF(OR(AO778&lt;&gt;1,AR778=""),"",INDEX(SLA_PEC,AR778))</f>
        <v/>
      </c>
      <c r="AZ778" s="35" t="str">
        <f aca="false">IF(OR(AV778="",AY778=""),"",IF(AV778&lt;=AY778,1,0))</f>
        <v/>
      </c>
      <c r="BA778" s="36" t="str">
        <f aca="false">IF(OR(AO778&lt;&gt;1,AR778=""),"",INDEX(SLA_RES,AR778))</f>
        <v/>
      </c>
      <c r="BB778" s="35" t="str">
        <f aca="false">IF(OR(AW778="",BA778=""),"",IF(AW778&lt;=BA778,1,0))</f>
        <v/>
      </c>
      <c r="BC778" s="38" t="str">
        <f aca="false">IF(OR(BA778="",P778=""),"",WORKDAY(INT(P778),BA778,JoursFeries)+MOD(P778,1))</f>
        <v/>
      </c>
      <c r="BD778" s="39" t="str">
        <f aca="false">IF(AO778&lt;&gt;1,"",IF(OR(AB778&lt;&gt;"",AD778&lt;&gt;""),4,IF(U778&lt;&gt;"",3,IF(T778&lt;&gt;"",2,1))))</f>
        <v/>
      </c>
      <c r="BE778" s="39" t="str">
        <f aca="false">IF(OR(AO778&lt;&gt;1,AR778=""),"",INDEX(NIV_REQ,AR778))</f>
        <v/>
      </c>
      <c r="BF778" s="39" t="str">
        <f aca="false">IF(BE778="","",MAX(BE778,IF(OR(K778="Oui",Z778="Oui"),4,1)))</f>
        <v/>
      </c>
      <c r="BG778" s="35" t="str">
        <f aca="false">IF(OR(BF778="",BD778=""),"",IF(BD778&gt;=BF778,1,0))</f>
        <v/>
      </c>
      <c r="BH778" s="38" t="str">
        <f aca="false">IF(BE778="","",IF(BE778&lt;2,"",IF(BE778=2,IF(AND(T778="",U778=""),"",MIN(T778,U778)),IF(U778="","",U778))))</f>
        <v/>
      </c>
      <c r="BI778" s="37" t="str">
        <f aca="false">IF(BH778="","",IF(OR(O778="",BH778=""),"",IF(BH778&lt;O778,"",ROUND(((NETWORKDAYS(O778,BH778,JoursFeries)-1)*(HFer-HOuv)+IF(NETWORKDAYS(BH778,BH778,JoursFeries),MEDIAN(MOD(BH778,1),HFer,HOuv),HFer)-IF(NETWORKDAYS(O778,O778,JoursFeries),MEDIAN(MOD(O778,1),HFer,HOuv),HOuv))*24,4))))</f>
        <v/>
      </c>
      <c r="BJ778" s="35" t="str">
        <f aca="false">IF(OR(BI778="",AR778=""),"",IF(BI778&lt;=INDEX(DELAI_ESC,AR778),1,0))</f>
        <v/>
      </c>
      <c r="BK778" s="38" t="str">
        <f aca="false">IF(AO778&lt;&gt;1,"",IF(AND(T778="",U778=""),"",MIN(T778,U778)))</f>
        <v/>
      </c>
      <c r="BL778" s="37" t="str">
        <f aca="false">IF(OR(BK778="",R778=""),"",IFERROR(ROUND(IF(OR(BK778="",R778=""),"",IF(R778&lt;BK778,"",ROUND(((NETWORKDAYS(BK778,R778,JoursFeries)-1)*(HFer-HOuv)+IF(NETWORKDAYS(R778,R778,JoursFeries),MEDIAN(MOD(R778,1),HFer,HOuv),HFer)-IF(NETWORKDAYS(BK778,BK778,JoursFeries),MEDIAN(MOD(BK778,1),HFer,HOuv),HOuv))*24,4)))/HJour,4),""))</f>
        <v/>
      </c>
      <c r="BM778" s="35" t="str">
        <f aca="false">IF(OR(AO778&lt;&gt;1,R778=""),"",IF(BD778=1,1,0))</f>
        <v/>
      </c>
      <c r="BN778" s="35" t="str">
        <f aca="false">IF(AO778&lt;&gt;1,"",IF(W778="Oui",1,0))</f>
        <v/>
      </c>
      <c r="BO778" s="35" t="str">
        <f aca="false">IF(AO778&lt;&gt;1,"",IF(X778&lt;&gt;"",1,0))</f>
        <v/>
      </c>
      <c r="BP778" s="35" t="str">
        <f aca="false">IF(AO778&lt;&gt;1,"",IF(Y778="Oui",1,0))</f>
        <v/>
      </c>
      <c r="BQ778" s="35" t="str">
        <f aca="true">IF(OR(AO778&lt;&gt;1,Z778&lt;&gt;"Oui"),"",IF(AB778="",IF(AND(AA778&lt;&gt;"",NOW()&gt;AA778),0,""),IF(AA778="","",IF(AB778&lt;=AA778,1,0))))</f>
        <v/>
      </c>
      <c r="BR778" s="38" t="str">
        <f aca="false">IF(OR(AO778&lt;&gt;1,K778&lt;&gt;"Oui",O778=""),"",IF(AC778="",O778+DORA_H_DET/24,IF(AC778-O778&lt;=DORA_H_DET/24,MIN(AC778+DORA_H_CLA/24,O778+DORA_H_DET/24),AC778+DORA_H_CLA/24)))</f>
        <v/>
      </c>
      <c r="BS778" s="35" t="str">
        <f aca="true">IF(BR778="","",IF(AD778="",IF(NOW()&gt;BR778,0,""),IF(AD778&lt;=BR778,1,0)))</f>
        <v/>
      </c>
      <c r="BT778" s="35" t="str">
        <f aca="true">IF(OR(BR778="",AD778=""),"",IF(AE778="",IF(NOW()&gt;AD778+DORA_H_INT/24,0,""),IF(AE778&lt;=AD778+DORA_H_INT/24,1,0)))</f>
        <v/>
      </c>
      <c r="BU778" s="35" t="str">
        <f aca="true">IF(OR(BR778="",AE778=""),"",IF(AF778="",IF(NOW()&gt;EDATE(AE778,DORA_M_FIN)+1,0,""),IF(AF778&lt;=EDATE(AE778,DORA_M_FIN),1,0)))</f>
        <v/>
      </c>
      <c r="BV778" s="35" t="str">
        <f aca="false">IF(BR778="","",IF(COUNT(BS778:BU778)=0,"",MIN(BS778:BU778)))</f>
        <v/>
      </c>
      <c r="BW778" s="40" t="str">
        <f aca="false">IF(AQ778&lt;&gt;1,"",IF(AND(AG778="",AH778=""),"",N(AG778)-N(AH778)))</f>
        <v/>
      </c>
      <c r="BX778" s="35" t="str">
        <f aca="true">IF(OR(AQ778&lt;&gt;1,AI778&lt;&gt;"Oui",AJ778=""),"",IF(AK778="",IF(NOW()&gt;AJ778+1,0,""),IF(AK778&lt;=AJ778,1,0)))</f>
        <v/>
      </c>
    </row>
    <row r="779" customFormat="false" ht="15" hidden="false" customHeight="false" outlineLevel="0" collapsed="false">
      <c r="B779" s="29"/>
      <c r="C779" s="29"/>
      <c r="D779" s="29"/>
      <c r="E779" s="29"/>
      <c r="F779" s="29"/>
      <c r="G779" s="29"/>
      <c r="H779" s="29"/>
      <c r="I779" s="29"/>
      <c r="J779" s="29"/>
      <c r="K779" s="29"/>
      <c r="L779" s="29"/>
      <c r="M779" s="29"/>
      <c r="N779" s="30"/>
      <c r="O779" s="30"/>
      <c r="P779" s="30"/>
      <c r="Q779" s="30"/>
      <c r="R779" s="30"/>
      <c r="S779" s="30"/>
      <c r="T779" s="30"/>
      <c r="U779" s="30"/>
      <c r="V779" s="31"/>
      <c r="W779" s="29"/>
      <c r="X779" s="29"/>
      <c r="Y779" s="29"/>
      <c r="Z779" s="29"/>
      <c r="AA779" s="30"/>
      <c r="AB779" s="30"/>
      <c r="AC779" s="30"/>
      <c r="AD779" s="30"/>
      <c r="AE779" s="30"/>
      <c r="AF779" s="32"/>
      <c r="AG779" s="33"/>
      <c r="AH779" s="33"/>
      <c r="AI779" s="29"/>
      <c r="AJ779" s="32"/>
      <c r="AK779" s="32"/>
      <c r="AL779" s="29"/>
      <c r="AN779" s="34" t="str">
        <f aca="false">IF($B779="","",IF(OR(C779="",D779="",E779="",G779="",I779="",J779="",L779="",O779="",P779=""),"Champ obligatoire manquant",IF(OR(AND(N779&lt;&gt;"",N779&gt;O779),O779&gt;P779,AND(Q779&lt;&gt;"",Q779&lt;P779),AND(R779&lt;&gt;"",R779&lt;P779),AND(S779&lt;&gt;"",S779&lt;R779),AND(S779&lt;&gt;"",R779=""),AND(T779&lt;&gt;"",T779&lt;O779),AND(U779&lt;&gt;"",U779&lt;O779)),"Chronologie incohérente",IF(AND(OR(L779="Résolu",L779="Clos"),R779=""),"Date de résolution manquante",IF(AND(L779="Clos",S779=""),"Date de clôture manquante",IF(AND(K779="Oui",AC779=""),"Classification DORA manquante","OK"))))))</f>
        <v/>
      </c>
      <c r="AO779" s="35" t="str">
        <f aca="false">IF($B779="","",IF(AND(C779="Incident",L779&lt;&gt;"Annulé"),1,0))</f>
        <v/>
      </c>
      <c r="AP779" s="35" t="str">
        <f aca="false">IF($B779="","",IF(AND(C779="Quasi-incident",L779&lt;&gt;"Annulé"),1,0))</f>
        <v/>
      </c>
      <c r="AQ779" s="35" t="str">
        <f aca="false">IF($B779="","",AO779+AP779)</f>
        <v/>
      </c>
      <c r="AR779" s="36" t="str">
        <f aca="false">IF(OR($B779="",J779=""),"",IFERROR(VALUE(LEFT(J779,1)),""))</f>
        <v/>
      </c>
      <c r="AS779" s="35" t="str">
        <f aca="false">IF(OR(AO779&lt;&gt;1,G779=""),"",IFERROR(IF(INDEX(L_SrcInterne,MATCH(G779,L_Sources,0))="Oui",1,0),""))</f>
        <v/>
      </c>
      <c r="AT779" s="37" t="str">
        <f aca="false">IF(AO779&lt;&gt;1,"",IFERROR(ROUND(IF(OR(N779="",O779=""),"",IF(O779&lt;N779,"",ROUND(((NETWORKDAYS(N779,O779,JoursFeries)-1)*(HFer-HOuv)+IF(NETWORKDAYS(O779,O779,JoursFeries),MEDIAN(MOD(O779,1),HFer,HOuv),HFer)-IF(NETWORKDAYS(N779,N779,JoursFeries),MEDIAN(MOD(N779,1),HFer,HOuv),HOuv))*24,4)))/HJour,4),""))</f>
        <v/>
      </c>
      <c r="AU779" s="37" t="str">
        <f aca="false">IF(AO779&lt;&gt;1,"",IF(OR(O779="",P779=""),"",IF(P779&lt;O779,"",ROUND(((NETWORKDAYS(O779,P779,JoursFeries)-1)*(HFer-HOuv)+IF(NETWORKDAYS(P779,P779,JoursFeries),MEDIAN(MOD(P779,1),HFer,HOuv),HFer)-IF(NETWORKDAYS(O779,O779,JoursFeries),MEDIAN(MOD(O779,1),HFer,HOuv),HOuv))*24,4))))</f>
        <v/>
      </c>
      <c r="AV779" s="37" t="str">
        <f aca="false">IF(AO779&lt;&gt;1,"",IF(OR(P779="",Q779=""),"",IF(Q779&lt;P779,"",ROUND(((NETWORKDAYS(P779,Q779,JoursFeries)-1)*(HFer-HOuv)+IF(NETWORKDAYS(Q779,Q779,JoursFeries),MEDIAN(MOD(Q779,1),HFer,HOuv),HFer)-IF(NETWORKDAYS(P779,P779,JoursFeries),MEDIAN(MOD(P779,1),HFer,HOuv),HOuv))*24,4))))</f>
        <v/>
      </c>
      <c r="AW779" s="37" t="str">
        <f aca="false">IF(AO779&lt;&gt;1,"",IFERROR(ROUND(IF(OR(P779="",R779=""),"",IF(R779&lt;P779,"",ROUND(((NETWORKDAYS(P779,R779,JoursFeries)-1)*(HFer-HOuv)+IF(NETWORKDAYS(R779,R779,JoursFeries),MEDIAN(MOD(R779,1),HFer,HOuv),HFer)-IF(NETWORKDAYS(P779,P779,JoursFeries),MEDIAN(MOD(P779,1),HFer,HOuv),HOuv))*24,4)))/HJour,4),""))</f>
        <v/>
      </c>
      <c r="AX779" s="37" t="str">
        <f aca="false">IF(AO779&lt;&gt;1,"",IFERROR(ROUND(IF(OR(P779="",S779=""),"",IF(S779&lt;P779,"",ROUND(((NETWORKDAYS(P779,S779,JoursFeries)-1)*(HFer-HOuv)+IF(NETWORKDAYS(S779,S779,JoursFeries),MEDIAN(MOD(S779,1),HFer,HOuv),HFer)-IF(NETWORKDAYS(P779,P779,JoursFeries),MEDIAN(MOD(P779,1),HFer,HOuv),HOuv))*24,4)))/HJour,4),""))</f>
        <v/>
      </c>
      <c r="AY779" s="36" t="str">
        <f aca="false">IF(OR(AO779&lt;&gt;1,AR779=""),"",INDEX(SLA_PEC,AR779))</f>
        <v/>
      </c>
      <c r="AZ779" s="35" t="str">
        <f aca="false">IF(OR(AV779="",AY779=""),"",IF(AV779&lt;=AY779,1,0))</f>
        <v/>
      </c>
      <c r="BA779" s="36" t="str">
        <f aca="false">IF(OR(AO779&lt;&gt;1,AR779=""),"",INDEX(SLA_RES,AR779))</f>
        <v/>
      </c>
      <c r="BB779" s="35" t="str">
        <f aca="false">IF(OR(AW779="",BA779=""),"",IF(AW779&lt;=BA779,1,0))</f>
        <v/>
      </c>
      <c r="BC779" s="38" t="str">
        <f aca="false">IF(OR(BA779="",P779=""),"",WORKDAY(INT(P779),BA779,JoursFeries)+MOD(P779,1))</f>
        <v/>
      </c>
      <c r="BD779" s="39" t="str">
        <f aca="false">IF(AO779&lt;&gt;1,"",IF(OR(AB779&lt;&gt;"",AD779&lt;&gt;""),4,IF(U779&lt;&gt;"",3,IF(T779&lt;&gt;"",2,1))))</f>
        <v/>
      </c>
      <c r="BE779" s="39" t="str">
        <f aca="false">IF(OR(AO779&lt;&gt;1,AR779=""),"",INDEX(NIV_REQ,AR779))</f>
        <v/>
      </c>
      <c r="BF779" s="39" t="str">
        <f aca="false">IF(BE779="","",MAX(BE779,IF(OR(K779="Oui",Z779="Oui"),4,1)))</f>
        <v/>
      </c>
      <c r="BG779" s="35" t="str">
        <f aca="false">IF(OR(BF779="",BD779=""),"",IF(BD779&gt;=BF779,1,0))</f>
        <v/>
      </c>
      <c r="BH779" s="38" t="str">
        <f aca="false">IF(BE779="","",IF(BE779&lt;2,"",IF(BE779=2,IF(AND(T779="",U779=""),"",MIN(T779,U779)),IF(U779="","",U779))))</f>
        <v/>
      </c>
      <c r="BI779" s="37" t="str">
        <f aca="false">IF(BH779="","",IF(OR(O779="",BH779=""),"",IF(BH779&lt;O779,"",ROUND(((NETWORKDAYS(O779,BH779,JoursFeries)-1)*(HFer-HOuv)+IF(NETWORKDAYS(BH779,BH779,JoursFeries),MEDIAN(MOD(BH779,1),HFer,HOuv),HFer)-IF(NETWORKDAYS(O779,O779,JoursFeries),MEDIAN(MOD(O779,1),HFer,HOuv),HOuv))*24,4))))</f>
        <v/>
      </c>
      <c r="BJ779" s="35" t="str">
        <f aca="false">IF(OR(BI779="",AR779=""),"",IF(BI779&lt;=INDEX(DELAI_ESC,AR779),1,0))</f>
        <v/>
      </c>
      <c r="BK779" s="38" t="str">
        <f aca="false">IF(AO779&lt;&gt;1,"",IF(AND(T779="",U779=""),"",MIN(T779,U779)))</f>
        <v/>
      </c>
      <c r="BL779" s="37" t="str">
        <f aca="false">IF(OR(BK779="",R779=""),"",IFERROR(ROUND(IF(OR(BK779="",R779=""),"",IF(R779&lt;BK779,"",ROUND(((NETWORKDAYS(BK779,R779,JoursFeries)-1)*(HFer-HOuv)+IF(NETWORKDAYS(R779,R779,JoursFeries),MEDIAN(MOD(R779,1),HFer,HOuv),HFer)-IF(NETWORKDAYS(BK779,BK779,JoursFeries),MEDIAN(MOD(BK779,1),HFer,HOuv),HOuv))*24,4)))/HJour,4),""))</f>
        <v/>
      </c>
      <c r="BM779" s="35" t="str">
        <f aca="false">IF(OR(AO779&lt;&gt;1,R779=""),"",IF(BD779=1,1,0))</f>
        <v/>
      </c>
      <c r="BN779" s="35" t="str">
        <f aca="false">IF(AO779&lt;&gt;1,"",IF(W779="Oui",1,0))</f>
        <v/>
      </c>
      <c r="BO779" s="35" t="str">
        <f aca="false">IF(AO779&lt;&gt;1,"",IF(X779&lt;&gt;"",1,0))</f>
        <v/>
      </c>
      <c r="BP779" s="35" t="str">
        <f aca="false">IF(AO779&lt;&gt;1,"",IF(Y779="Oui",1,0))</f>
        <v/>
      </c>
      <c r="BQ779" s="35" t="str">
        <f aca="true">IF(OR(AO779&lt;&gt;1,Z779&lt;&gt;"Oui"),"",IF(AB779="",IF(AND(AA779&lt;&gt;"",NOW()&gt;AA779),0,""),IF(AA779="","",IF(AB779&lt;=AA779,1,0))))</f>
        <v/>
      </c>
      <c r="BR779" s="38" t="str">
        <f aca="false">IF(OR(AO779&lt;&gt;1,K779&lt;&gt;"Oui",O779=""),"",IF(AC779="",O779+DORA_H_DET/24,IF(AC779-O779&lt;=DORA_H_DET/24,MIN(AC779+DORA_H_CLA/24,O779+DORA_H_DET/24),AC779+DORA_H_CLA/24)))</f>
        <v/>
      </c>
      <c r="BS779" s="35" t="str">
        <f aca="true">IF(BR779="","",IF(AD779="",IF(NOW()&gt;BR779,0,""),IF(AD779&lt;=BR779,1,0)))</f>
        <v/>
      </c>
      <c r="BT779" s="35" t="str">
        <f aca="true">IF(OR(BR779="",AD779=""),"",IF(AE779="",IF(NOW()&gt;AD779+DORA_H_INT/24,0,""),IF(AE779&lt;=AD779+DORA_H_INT/24,1,0)))</f>
        <v/>
      </c>
      <c r="BU779" s="35" t="str">
        <f aca="true">IF(OR(BR779="",AE779=""),"",IF(AF779="",IF(NOW()&gt;EDATE(AE779,DORA_M_FIN)+1,0,""),IF(AF779&lt;=EDATE(AE779,DORA_M_FIN),1,0)))</f>
        <v/>
      </c>
      <c r="BV779" s="35" t="str">
        <f aca="false">IF(BR779="","",IF(COUNT(BS779:BU779)=0,"",MIN(BS779:BU779)))</f>
        <v/>
      </c>
      <c r="BW779" s="40" t="str">
        <f aca="false">IF(AQ779&lt;&gt;1,"",IF(AND(AG779="",AH779=""),"",N(AG779)-N(AH779)))</f>
        <v/>
      </c>
      <c r="BX779" s="35" t="str">
        <f aca="true">IF(OR(AQ779&lt;&gt;1,AI779&lt;&gt;"Oui",AJ779=""),"",IF(AK779="",IF(NOW()&gt;AJ779+1,0,""),IF(AK779&lt;=AJ779,1,0)))</f>
        <v/>
      </c>
    </row>
    <row r="780" customFormat="false" ht="15" hidden="false" customHeight="false" outlineLevel="0" collapsed="false">
      <c r="B780" s="29"/>
      <c r="C780" s="29"/>
      <c r="D780" s="29"/>
      <c r="E780" s="29"/>
      <c r="F780" s="29"/>
      <c r="G780" s="29"/>
      <c r="H780" s="29"/>
      <c r="I780" s="29"/>
      <c r="J780" s="29"/>
      <c r="K780" s="29"/>
      <c r="L780" s="29"/>
      <c r="M780" s="29"/>
      <c r="N780" s="30"/>
      <c r="O780" s="30"/>
      <c r="P780" s="30"/>
      <c r="Q780" s="30"/>
      <c r="R780" s="30"/>
      <c r="S780" s="30"/>
      <c r="T780" s="30"/>
      <c r="U780" s="30"/>
      <c r="V780" s="31"/>
      <c r="W780" s="29"/>
      <c r="X780" s="29"/>
      <c r="Y780" s="29"/>
      <c r="Z780" s="29"/>
      <c r="AA780" s="30"/>
      <c r="AB780" s="30"/>
      <c r="AC780" s="30"/>
      <c r="AD780" s="30"/>
      <c r="AE780" s="30"/>
      <c r="AF780" s="32"/>
      <c r="AG780" s="33"/>
      <c r="AH780" s="33"/>
      <c r="AI780" s="29"/>
      <c r="AJ780" s="32"/>
      <c r="AK780" s="32"/>
      <c r="AL780" s="29"/>
      <c r="AN780" s="34" t="str">
        <f aca="false">IF($B780="","",IF(OR(C780="",D780="",E780="",G780="",I780="",J780="",L780="",O780="",P780=""),"Champ obligatoire manquant",IF(OR(AND(N780&lt;&gt;"",N780&gt;O780),O780&gt;P780,AND(Q780&lt;&gt;"",Q780&lt;P780),AND(R780&lt;&gt;"",R780&lt;P780),AND(S780&lt;&gt;"",S780&lt;R780),AND(S780&lt;&gt;"",R780=""),AND(T780&lt;&gt;"",T780&lt;O780),AND(U780&lt;&gt;"",U780&lt;O780)),"Chronologie incohérente",IF(AND(OR(L780="Résolu",L780="Clos"),R780=""),"Date de résolution manquante",IF(AND(L780="Clos",S780=""),"Date de clôture manquante",IF(AND(K780="Oui",AC780=""),"Classification DORA manquante","OK"))))))</f>
        <v/>
      </c>
      <c r="AO780" s="35" t="str">
        <f aca="false">IF($B780="","",IF(AND(C780="Incident",L780&lt;&gt;"Annulé"),1,0))</f>
        <v/>
      </c>
      <c r="AP780" s="35" t="str">
        <f aca="false">IF($B780="","",IF(AND(C780="Quasi-incident",L780&lt;&gt;"Annulé"),1,0))</f>
        <v/>
      </c>
      <c r="AQ780" s="35" t="str">
        <f aca="false">IF($B780="","",AO780+AP780)</f>
        <v/>
      </c>
      <c r="AR780" s="36" t="str">
        <f aca="false">IF(OR($B780="",J780=""),"",IFERROR(VALUE(LEFT(J780,1)),""))</f>
        <v/>
      </c>
      <c r="AS780" s="35" t="str">
        <f aca="false">IF(OR(AO780&lt;&gt;1,G780=""),"",IFERROR(IF(INDEX(L_SrcInterne,MATCH(G780,L_Sources,0))="Oui",1,0),""))</f>
        <v/>
      </c>
      <c r="AT780" s="37" t="str">
        <f aca="false">IF(AO780&lt;&gt;1,"",IFERROR(ROUND(IF(OR(N780="",O780=""),"",IF(O780&lt;N780,"",ROUND(((NETWORKDAYS(N780,O780,JoursFeries)-1)*(HFer-HOuv)+IF(NETWORKDAYS(O780,O780,JoursFeries),MEDIAN(MOD(O780,1),HFer,HOuv),HFer)-IF(NETWORKDAYS(N780,N780,JoursFeries),MEDIAN(MOD(N780,1),HFer,HOuv),HOuv))*24,4)))/HJour,4),""))</f>
        <v/>
      </c>
      <c r="AU780" s="37" t="str">
        <f aca="false">IF(AO780&lt;&gt;1,"",IF(OR(O780="",P780=""),"",IF(P780&lt;O780,"",ROUND(((NETWORKDAYS(O780,P780,JoursFeries)-1)*(HFer-HOuv)+IF(NETWORKDAYS(P780,P780,JoursFeries),MEDIAN(MOD(P780,1),HFer,HOuv),HFer)-IF(NETWORKDAYS(O780,O780,JoursFeries),MEDIAN(MOD(O780,1),HFer,HOuv),HOuv))*24,4))))</f>
        <v/>
      </c>
      <c r="AV780" s="37" t="str">
        <f aca="false">IF(AO780&lt;&gt;1,"",IF(OR(P780="",Q780=""),"",IF(Q780&lt;P780,"",ROUND(((NETWORKDAYS(P780,Q780,JoursFeries)-1)*(HFer-HOuv)+IF(NETWORKDAYS(Q780,Q780,JoursFeries),MEDIAN(MOD(Q780,1),HFer,HOuv),HFer)-IF(NETWORKDAYS(P780,P780,JoursFeries),MEDIAN(MOD(P780,1),HFer,HOuv),HOuv))*24,4))))</f>
        <v/>
      </c>
      <c r="AW780" s="37" t="str">
        <f aca="false">IF(AO780&lt;&gt;1,"",IFERROR(ROUND(IF(OR(P780="",R780=""),"",IF(R780&lt;P780,"",ROUND(((NETWORKDAYS(P780,R780,JoursFeries)-1)*(HFer-HOuv)+IF(NETWORKDAYS(R780,R780,JoursFeries),MEDIAN(MOD(R780,1),HFer,HOuv),HFer)-IF(NETWORKDAYS(P780,P780,JoursFeries),MEDIAN(MOD(P780,1),HFer,HOuv),HOuv))*24,4)))/HJour,4),""))</f>
        <v/>
      </c>
      <c r="AX780" s="37" t="str">
        <f aca="false">IF(AO780&lt;&gt;1,"",IFERROR(ROUND(IF(OR(P780="",S780=""),"",IF(S780&lt;P780,"",ROUND(((NETWORKDAYS(P780,S780,JoursFeries)-1)*(HFer-HOuv)+IF(NETWORKDAYS(S780,S780,JoursFeries),MEDIAN(MOD(S780,1),HFer,HOuv),HFer)-IF(NETWORKDAYS(P780,P780,JoursFeries),MEDIAN(MOD(P780,1),HFer,HOuv),HOuv))*24,4)))/HJour,4),""))</f>
        <v/>
      </c>
      <c r="AY780" s="36" t="str">
        <f aca="false">IF(OR(AO780&lt;&gt;1,AR780=""),"",INDEX(SLA_PEC,AR780))</f>
        <v/>
      </c>
      <c r="AZ780" s="35" t="str">
        <f aca="false">IF(OR(AV780="",AY780=""),"",IF(AV780&lt;=AY780,1,0))</f>
        <v/>
      </c>
      <c r="BA780" s="36" t="str">
        <f aca="false">IF(OR(AO780&lt;&gt;1,AR780=""),"",INDEX(SLA_RES,AR780))</f>
        <v/>
      </c>
      <c r="BB780" s="35" t="str">
        <f aca="false">IF(OR(AW780="",BA780=""),"",IF(AW780&lt;=BA780,1,0))</f>
        <v/>
      </c>
      <c r="BC780" s="38" t="str">
        <f aca="false">IF(OR(BA780="",P780=""),"",WORKDAY(INT(P780),BA780,JoursFeries)+MOD(P780,1))</f>
        <v/>
      </c>
      <c r="BD780" s="39" t="str">
        <f aca="false">IF(AO780&lt;&gt;1,"",IF(OR(AB780&lt;&gt;"",AD780&lt;&gt;""),4,IF(U780&lt;&gt;"",3,IF(T780&lt;&gt;"",2,1))))</f>
        <v/>
      </c>
      <c r="BE780" s="39" t="str">
        <f aca="false">IF(OR(AO780&lt;&gt;1,AR780=""),"",INDEX(NIV_REQ,AR780))</f>
        <v/>
      </c>
      <c r="BF780" s="39" t="str">
        <f aca="false">IF(BE780="","",MAX(BE780,IF(OR(K780="Oui",Z780="Oui"),4,1)))</f>
        <v/>
      </c>
      <c r="BG780" s="35" t="str">
        <f aca="false">IF(OR(BF780="",BD780=""),"",IF(BD780&gt;=BF780,1,0))</f>
        <v/>
      </c>
      <c r="BH780" s="38" t="str">
        <f aca="false">IF(BE780="","",IF(BE780&lt;2,"",IF(BE780=2,IF(AND(T780="",U780=""),"",MIN(T780,U780)),IF(U780="","",U780))))</f>
        <v/>
      </c>
      <c r="BI780" s="37" t="str">
        <f aca="false">IF(BH780="","",IF(OR(O780="",BH780=""),"",IF(BH780&lt;O780,"",ROUND(((NETWORKDAYS(O780,BH780,JoursFeries)-1)*(HFer-HOuv)+IF(NETWORKDAYS(BH780,BH780,JoursFeries),MEDIAN(MOD(BH780,1),HFer,HOuv),HFer)-IF(NETWORKDAYS(O780,O780,JoursFeries),MEDIAN(MOD(O780,1),HFer,HOuv),HOuv))*24,4))))</f>
        <v/>
      </c>
      <c r="BJ780" s="35" t="str">
        <f aca="false">IF(OR(BI780="",AR780=""),"",IF(BI780&lt;=INDEX(DELAI_ESC,AR780),1,0))</f>
        <v/>
      </c>
      <c r="BK780" s="38" t="str">
        <f aca="false">IF(AO780&lt;&gt;1,"",IF(AND(T780="",U780=""),"",MIN(T780,U780)))</f>
        <v/>
      </c>
      <c r="BL780" s="37" t="str">
        <f aca="false">IF(OR(BK780="",R780=""),"",IFERROR(ROUND(IF(OR(BK780="",R780=""),"",IF(R780&lt;BK780,"",ROUND(((NETWORKDAYS(BK780,R780,JoursFeries)-1)*(HFer-HOuv)+IF(NETWORKDAYS(R780,R780,JoursFeries),MEDIAN(MOD(R780,1),HFer,HOuv),HFer)-IF(NETWORKDAYS(BK780,BK780,JoursFeries),MEDIAN(MOD(BK780,1),HFer,HOuv),HOuv))*24,4)))/HJour,4),""))</f>
        <v/>
      </c>
      <c r="BM780" s="35" t="str">
        <f aca="false">IF(OR(AO780&lt;&gt;1,R780=""),"",IF(BD780=1,1,0))</f>
        <v/>
      </c>
      <c r="BN780" s="35" t="str">
        <f aca="false">IF(AO780&lt;&gt;1,"",IF(W780="Oui",1,0))</f>
        <v/>
      </c>
      <c r="BO780" s="35" t="str">
        <f aca="false">IF(AO780&lt;&gt;1,"",IF(X780&lt;&gt;"",1,0))</f>
        <v/>
      </c>
      <c r="BP780" s="35" t="str">
        <f aca="false">IF(AO780&lt;&gt;1,"",IF(Y780="Oui",1,0))</f>
        <v/>
      </c>
      <c r="BQ780" s="35" t="str">
        <f aca="true">IF(OR(AO780&lt;&gt;1,Z780&lt;&gt;"Oui"),"",IF(AB780="",IF(AND(AA780&lt;&gt;"",NOW()&gt;AA780),0,""),IF(AA780="","",IF(AB780&lt;=AA780,1,0))))</f>
        <v/>
      </c>
      <c r="BR780" s="38" t="str">
        <f aca="false">IF(OR(AO780&lt;&gt;1,K780&lt;&gt;"Oui",O780=""),"",IF(AC780="",O780+DORA_H_DET/24,IF(AC780-O780&lt;=DORA_H_DET/24,MIN(AC780+DORA_H_CLA/24,O780+DORA_H_DET/24),AC780+DORA_H_CLA/24)))</f>
        <v/>
      </c>
      <c r="BS780" s="35" t="str">
        <f aca="true">IF(BR780="","",IF(AD780="",IF(NOW()&gt;BR780,0,""),IF(AD780&lt;=BR780,1,0)))</f>
        <v/>
      </c>
      <c r="BT780" s="35" t="str">
        <f aca="true">IF(OR(BR780="",AD780=""),"",IF(AE780="",IF(NOW()&gt;AD780+DORA_H_INT/24,0,""),IF(AE780&lt;=AD780+DORA_H_INT/24,1,0)))</f>
        <v/>
      </c>
      <c r="BU780" s="35" t="str">
        <f aca="true">IF(OR(BR780="",AE780=""),"",IF(AF780="",IF(NOW()&gt;EDATE(AE780,DORA_M_FIN)+1,0,""),IF(AF780&lt;=EDATE(AE780,DORA_M_FIN),1,0)))</f>
        <v/>
      </c>
      <c r="BV780" s="35" t="str">
        <f aca="false">IF(BR780="","",IF(COUNT(BS780:BU780)=0,"",MIN(BS780:BU780)))</f>
        <v/>
      </c>
      <c r="BW780" s="40" t="str">
        <f aca="false">IF(AQ780&lt;&gt;1,"",IF(AND(AG780="",AH780=""),"",N(AG780)-N(AH780)))</f>
        <v/>
      </c>
      <c r="BX780" s="35" t="str">
        <f aca="true">IF(OR(AQ780&lt;&gt;1,AI780&lt;&gt;"Oui",AJ780=""),"",IF(AK780="",IF(NOW()&gt;AJ780+1,0,""),IF(AK780&lt;=AJ780,1,0)))</f>
        <v/>
      </c>
    </row>
    <row r="781" customFormat="false" ht="15" hidden="false" customHeight="false" outlineLevel="0" collapsed="false">
      <c r="B781" s="29"/>
      <c r="C781" s="29"/>
      <c r="D781" s="29"/>
      <c r="E781" s="29"/>
      <c r="F781" s="29"/>
      <c r="G781" s="29"/>
      <c r="H781" s="29"/>
      <c r="I781" s="29"/>
      <c r="J781" s="29"/>
      <c r="K781" s="29"/>
      <c r="L781" s="29"/>
      <c r="M781" s="29"/>
      <c r="N781" s="30"/>
      <c r="O781" s="30"/>
      <c r="P781" s="30"/>
      <c r="Q781" s="30"/>
      <c r="R781" s="30"/>
      <c r="S781" s="30"/>
      <c r="T781" s="30"/>
      <c r="U781" s="30"/>
      <c r="V781" s="31"/>
      <c r="W781" s="29"/>
      <c r="X781" s="29"/>
      <c r="Y781" s="29"/>
      <c r="Z781" s="29"/>
      <c r="AA781" s="30"/>
      <c r="AB781" s="30"/>
      <c r="AC781" s="30"/>
      <c r="AD781" s="30"/>
      <c r="AE781" s="30"/>
      <c r="AF781" s="32"/>
      <c r="AG781" s="33"/>
      <c r="AH781" s="33"/>
      <c r="AI781" s="29"/>
      <c r="AJ781" s="32"/>
      <c r="AK781" s="32"/>
      <c r="AL781" s="29"/>
      <c r="AN781" s="34" t="str">
        <f aca="false">IF($B781="","",IF(OR(C781="",D781="",E781="",G781="",I781="",J781="",L781="",O781="",P781=""),"Champ obligatoire manquant",IF(OR(AND(N781&lt;&gt;"",N781&gt;O781),O781&gt;P781,AND(Q781&lt;&gt;"",Q781&lt;P781),AND(R781&lt;&gt;"",R781&lt;P781),AND(S781&lt;&gt;"",S781&lt;R781),AND(S781&lt;&gt;"",R781=""),AND(T781&lt;&gt;"",T781&lt;O781),AND(U781&lt;&gt;"",U781&lt;O781)),"Chronologie incohérente",IF(AND(OR(L781="Résolu",L781="Clos"),R781=""),"Date de résolution manquante",IF(AND(L781="Clos",S781=""),"Date de clôture manquante",IF(AND(K781="Oui",AC781=""),"Classification DORA manquante","OK"))))))</f>
        <v/>
      </c>
      <c r="AO781" s="35" t="str">
        <f aca="false">IF($B781="","",IF(AND(C781="Incident",L781&lt;&gt;"Annulé"),1,0))</f>
        <v/>
      </c>
      <c r="AP781" s="35" t="str">
        <f aca="false">IF($B781="","",IF(AND(C781="Quasi-incident",L781&lt;&gt;"Annulé"),1,0))</f>
        <v/>
      </c>
      <c r="AQ781" s="35" t="str">
        <f aca="false">IF($B781="","",AO781+AP781)</f>
        <v/>
      </c>
      <c r="AR781" s="36" t="str">
        <f aca="false">IF(OR($B781="",J781=""),"",IFERROR(VALUE(LEFT(J781,1)),""))</f>
        <v/>
      </c>
      <c r="AS781" s="35" t="str">
        <f aca="false">IF(OR(AO781&lt;&gt;1,G781=""),"",IFERROR(IF(INDEX(L_SrcInterne,MATCH(G781,L_Sources,0))="Oui",1,0),""))</f>
        <v/>
      </c>
      <c r="AT781" s="37" t="str">
        <f aca="false">IF(AO781&lt;&gt;1,"",IFERROR(ROUND(IF(OR(N781="",O781=""),"",IF(O781&lt;N781,"",ROUND(((NETWORKDAYS(N781,O781,JoursFeries)-1)*(HFer-HOuv)+IF(NETWORKDAYS(O781,O781,JoursFeries),MEDIAN(MOD(O781,1),HFer,HOuv),HFer)-IF(NETWORKDAYS(N781,N781,JoursFeries),MEDIAN(MOD(N781,1),HFer,HOuv),HOuv))*24,4)))/HJour,4),""))</f>
        <v/>
      </c>
      <c r="AU781" s="37" t="str">
        <f aca="false">IF(AO781&lt;&gt;1,"",IF(OR(O781="",P781=""),"",IF(P781&lt;O781,"",ROUND(((NETWORKDAYS(O781,P781,JoursFeries)-1)*(HFer-HOuv)+IF(NETWORKDAYS(P781,P781,JoursFeries),MEDIAN(MOD(P781,1),HFer,HOuv),HFer)-IF(NETWORKDAYS(O781,O781,JoursFeries),MEDIAN(MOD(O781,1),HFer,HOuv),HOuv))*24,4))))</f>
        <v/>
      </c>
      <c r="AV781" s="37" t="str">
        <f aca="false">IF(AO781&lt;&gt;1,"",IF(OR(P781="",Q781=""),"",IF(Q781&lt;P781,"",ROUND(((NETWORKDAYS(P781,Q781,JoursFeries)-1)*(HFer-HOuv)+IF(NETWORKDAYS(Q781,Q781,JoursFeries),MEDIAN(MOD(Q781,1),HFer,HOuv),HFer)-IF(NETWORKDAYS(P781,P781,JoursFeries),MEDIAN(MOD(P781,1),HFer,HOuv),HOuv))*24,4))))</f>
        <v/>
      </c>
      <c r="AW781" s="37" t="str">
        <f aca="false">IF(AO781&lt;&gt;1,"",IFERROR(ROUND(IF(OR(P781="",R781=""),"",IF(R781&lt;P781,"",ROUND(((NETWORKDAYS(P781,R781,JoursFeries)-1)*(HFer-HOuv)+IF(NETWORKDAYS(R781,R781,JoursFeries),MEDIAN(MOD(R781,1),HFer,HOuv),HFer)-IF(NETWORKDAYS(P781,P781,JoursFeries),MEDIAN(MOD(P781,1),HFer,HOuv),HOuv))*24,4)))/HJour,4),""))</f>
        <v/>
      </c>
      <c r="AX781" s="37" t="str">
        <f aca="false">IF(AO781&lt;&gt;1,"",IFERROR(ROUND(IF(OR(P781="",S781=""),"",IF(S781&lt;P781,"",ROUND(((NETWORKDAYS(P781,S781,JoursFeries)-1)*(HFer-HOuv)+IF(NETWORKDAYS(S781,S781,JoursFeries),MEDIAN(MOD(S781,1),HFer,HOuv),HFer)-IF(NETWORKDAYS(P781,P781,JoursFeries),MEDIAN(MOD(P781,1),HFer,HOuv),HOuv))*24,4)))/HJour,4),""))</f>
        <v/>
      </c>
      <c r="AY781" s="36" t="str">
        <f aca="false">IF(OR(AO781&lt;&gt;1,AR781=""),"",INDEX(SLA_PEC,AR781))</f>
        <v/>
      </c>
      <c r="AZ781" s="35" t="str">
        <f aca="false">IF(OR(AV781="",AY781=""),"",IF(AV781&lt;=AY781,1,0))</f>
        <v/>
      </c>
      <c r="BA781" s="36" t="str">
        <f aca="false">IF(OR(AO781&lt;&gt;1,AR781=""),"",INDEX(SLA_RES,AR781))</f>
        <v/>
      </c>
      <c r="BB781" s="35" t="str">
        <f aca="false">IF(OR(AW781="",BA781=""),"",IF(AW781&lt;=BA781,1,0))</f>
        <v/>
      </c>
      <c r="BC781" s="38" t="str">
        <f aca="false">IF(OR(BA781="",P781=""),"",WORKDAY(INT(P781),BA781,JoursFeries)+MOD(P781,1))</f>
        <v/>
      </c>
      <c r="BD781" s="39" t="str">
        <f aca="false">IF(AO781&lt;&gt;1,"",IF(OR(AB781&lt;&gt;"",AD781&lt;&gt;""),4,IF(U781&lt;&gt;"",3,IF(T781&lt;&gt;"",2,1))))</f>
        <v/>
      </c>
      <c r="BE781" s="39" t="str">
        <f aca="false">IF(OR(AO781&lt;&gt;1,AR781=""),"",INDEX(NIV_REQ,AR781))</f>
        <v/>
      </c>
      <c r="BF781" s="39" t="str">
        <f aca="false">IF(BE781="","",MAX(BE781,IF(OR(K781="Oui",Z781="Oui"),4,1)))</f>
        <v/>
      </c>
      <c r="BG781" s="35" t="str">
        <f aca="false">IF(OR(BF781="",BD781=""),"",IF(BD781&gt;=BF781,1,0))</f>
        <v/>
      </c>
      <c r="BH781" s="38" t="str">
        <f aca="false">IF(BE781="","",IF(BE781&lt;2,"",IF(BE781=2,IF(AND(T781="",U781=""),"",MIN(T781,U781)),IF(U781="","",U781))))</f>
        <v/>
      </c>
      <c r="BI781" s="37" t="str">
        <f aca="false">IF(BH781="","",IF(OR(O781="",BH781=""),"",IF(BH781&lt;O781,"",ROUND(((NETWORKDAYS(O781,BH781,JoursFeries)-1)*(HFer-HOuv)+IF(NETWORKDAYS(BH781,BH781,JoursFeries),MEDIAN(MOD(BH781,1),HFer,HOuv),HFer)-IF(NETWORKDAYS(O781,O781,JoursFeries),MEDIAN(MOD(O781,1),HFer,HOuv),HOuv))*24,4))))</f>
        <v/>
      </c>
      <c r="BJ781" s="35" t="str">
        <f aca="false">IF(OR(BI781="",AR781=""),"",IF(BI781&lt;=INDEX(DELAI_ESC,AR781),1,0))</f>
        <v/>
      </c>
      <c r="BK781" s="38" t="str">
        <f aca="false">IF(AO781&lt;&gt;1,"",IF(AND(T781="",U781=""),"",MIN(T781,U781)))</f>
        <v/>
      </c>
      <c r="BL781" s="37" t="str">
        <f aca="false">IF(OR(BK781="",R781=""),"",IFERROR(ROUND(IF(OR(BK781="",R781=""),"",IF(R781&lt;BK781,"",ROUND(((NETWORKDAYS(BK781,R781,JoursFeries)-1)*(HFer-HOuv)+IF(NETWORKDAYS(R781,R781,JoursFeries),MEDIAN(MOD(R781,1),HFer,HOuv),HFer)-IF(NETWORKDAYS(BK781,BK781,JoursFeries),MEDIAN(MOD(BK781,1),HFer,HOuv),HOuv))*24,4)))/HJour,4),""))</f>
        <v/>
      </c>
      <c r="BM781" s="35" t="str">
        <f aca="false">IF(OR(AO781&lt;&gt;1,R781=""),"",IF(BD781=1,1,0))</f>
        <v/>
      </c>
      <c r="BN781" s="35" t="str">
        <f aca="false">IF(AO781&lt;&gt;1,"",IF(W781="Oui",1,0))</f>
        <v/>
      </c>
      <c r="BO781" s="35" t="str">
        <f aca="false">IF(AO781&lt;&gt;1,"",IF(X781&lt;&gt;"",1,0))</f>
        <v/>
      </c>
      <c r="BP781" s="35" t="str">
        <f aca="false">IF(AO781&lt;&gt;1,"",IF(Y781="Oui",1,0))</f>
        <v/>
      </c>
      <c r="BQ781" s="35" t="str">
        <f aca="true">IF(OR(AO781&lt;&gt;1,Z781&lt;&gt;"Oui"),"",IF(AB781="",IF(AND(AA781&lt;&gt;"",NOW()&gt;AA781),0,""),IF(AA781="","",IF(AB781&lt;=AA781,1,0))))</f>
        <v/>
      </c>
      <c r="BR781" s="38" t="str">
        <f aca="false">IF(OR(AO781&lt;&gt;1,K781&lt;&gt;"Oui",O781=""),"",IF(AC781="",O781+DORA_H_DET/24,IF(AC781-O781&lt;=DORA_H_DET/24,MIN(AC781+DORA_H_CLA/24,O781+DORA_H_DET/24),AC781+DORA_H_CLA/24)))</f>
        <v/>
      </c>
      <c r="BS781" s="35" t="str">
        <f aca="true">IF(BR781="","",IF(AD781="",IF(NOW()&gt;BR781,0,""),IF(AD781&lt;=BR781,1,0)))</f>
        <v/>
      </c>
      <c r="BT781" s="35" t="str">
        <f aca="true">IF(OR(BR781="",AD781=""),"",IF(AE781="",IF(NOW()&gt;AD781+DORA_H_INT/24,0,""),IF(AE781&lt;=AD781+DORA_H_INT/24,1,0)))</f>
        <v/>
      </c>
      <c r="BU781" s="35" t="str">
        <f aca="true">IF(OR(BR781="",AE781=""),"",IF(AF781="",IF(NOW()&gt;EDATE(AE781,DORA_M_FIN)+1,0,""),IF(AF781&lt;=EDATE(AE781,DORA_M_FIN),1,0)))</f>
        <v/>
      </c>
      <c r="BV781" s="35" t="str">
        <f aca="false">IF(BR781="","",IF(COUNT(BS781:BU781)=0,"",MIN(BS781:BU781)))</f>
        <v/>
      </c>
      <c r="BW781" s="40" t="str">
        <f aca="false">IF(AQ781&lt;&gt;1,"",IF(AND(AG781="",AH781=""),"",N(AG781)-N(AH781)))</f>
        <v/>
      </c>
      <c r="BX781" s="35" t="str">
        <f aca="true">IF(OR(AQ781&lt;&gt;1,AI781&lt;&gt;"Oui",AJ781=""),"",IF(AK781="",IF(NOW()&gt;AJ781+1,0,""),IF(AK781&lt;=AJ781,1,0)))</f>
        <v/>
      </c>
    </row>
    <row r="782" customFormat="false" ht="15" hidden="false" customHeight="false" outlineLevel="0" collapsed="false">
      <c r="B782" s="29"/>
      <c r="C782" s="29"/>
      <c r="D782" s="29"/>
      <c r="E782" s="29"/>
      <c r="F782" s="29"/>
      <c r="G782" s="29"/>
      <c r="H782" s="29"/>
      <c r="I782" s="29"/>
      <c r="J782" s="29"/>
      <c r="K782" s="29"/>
      <c r="L782" s="29"/>
      <c r="M782" s="29"/>
      <c r="N782" s="30"/>
      <c r="O782" s="30"/>
      <c r="P782" s="30"/>
      <c r="Q782" s="30"/>
      <c r="R782" s="30"/>
      <c r="S782" s="30"/>
      <c r="T782" s="30"/>
      <c r="U782" s="30"/>
      <c r="V782" s="31"/>
      <c r="W782" s="29"/>
      <c r="X782" s="29"/>
      <c r="Y782" s="29"/>
      <c r="Z782" s="29"/>
      <c r="AA782" s="30"/>
      <c r="AB782" s="30"/>
      <c r="AC782" s="30"/>
      <c r="AD782" s="30"/>
      <c r="AE782" s="30"/>
      <c r="AF782" s="32"/>
      <c r="AG782" s="33"/>
      <c r="AH782" s="33"/>
      <c r="AI782" s="29"/>
      <c r="AJ782" s="32"/>
      <c r="AK782" s="32"/>
      <c r="AL782" s="29"/>
      <c r="AN782" s="34" t="str">
        <f aca="false">IF($B782="","",IF(OR(C782="",D782="",E782="",G782="",I782="",J782="",L782="",O782="",P782=""),"Champ obligatoire manquant",IF(OR(AND(N782&lt;&gt;"",N782&gt;O782),O782&gt;P782,AND(Q782&lt;&gt;"",Q782&lt;P782),AND(R782&lt;&gt;"",R782&lt;P782),AND(S782&lt;&gt;"",S782&lt;R782),AND(S782&lt;&gt;"",R782=""),AND(T782&lt;&gt;"",T782&lt;O782),AND(U782&lt;&gt;"",U782&lt;O782)),"Chronologie incohérente",IF(AND(OR(L782="Résolu",L782="Clos"),R782=""),"Date de résolution manquante",IF(AND(L782="Clos",S782=""),"Date de clôture manquante",IF(AND(K782="Oui",AC782=""),"Classification DORA manquante","OK"))))))</f>
        <v/>
      </c>
      <c r="AO782" s="35" t="str">
        <f aca="false">IF($B782="","",IF(AND(C782="Incident",L782&lt;&gt;"Annulé"),1,0))</f>
        <v/>
      </c>
      <c r="AP782" s="35" t="str">
        <f aca="false">IF($B782="","",IF(AND(C782="Quasi-incident",L782&lt;&gt;"Annulé"),1,0))</f>
        <v/>
      </c>
      <c r="AQ782" s="35" t="str">
        <f aca="false">IF($B782="","",AO782+AP782)</f>
        <v/>
      </c>
      <c r="AR782" s="36" t="str">
        <f aca="false">IF(OR($B782="",J782=""),"",IFERROR(VALUE(LEFT(J782,1)),""))</f>
        <v/>
      </c>
      <c r="AS782" s="35" t="str">
        <f aca="false">IF(OR(AO782&lt;&gt;1,G782=""),"",IFERROR(IF(INDEX(L_SrcInterne,MATCH(G782,L_Sources,0))="Oui",1,0),""))</f>
        <v/>
      </c>
      <c r="AT782" s="37" t="str">
        <f aca="false">IF(AO782&lt;&gt;1,"",IFERROR(ROUND(IF(OR(N782="",O782=""),"",IF(O782&lt;N782,"",ROUND(((NETWORKDAYS(N782,O782,JoursFeries)-1)*(HFer-HOuv)+IF(NETWORKDAYS(O782,O782,JoursFeries),MEDIAN(MOD(O782,1),HFer,HOuv),HFer)-IF(NETWORKDAYS(N782,N782,JoursFeries),MEDIAN(MOD(N782,1),HFer,HOuv),HOuv))*24,4)))/HJour,4),""))</f>
        <v/>
      </c>
      <c r="AU782" s="37" t="str">
        <f aca="false">IF(AO782&lt;&gt;1,"",IF(OR(O782="",P782=""),"",IF(P782&lt;O782,"",ROUND(((NETWORKDAYS(O782,P782,JoursFeries)-1)*(HFer-HOuv)+IF(NETWORKDAYS(P782,P782,JoursFeries),MEDIAN(MOD(P782,1),HFer,HOuv),HFer)-IF(NETWORKDAYS(O782,O782,JoursFeries),MEDIAN(MOD(O782,1),HFer,HOuv),HOuv))*24,4))))</f>
        <v/>
      </c>
      <c r="AV782" s="37" t="str">
        <f aca="false">IF(AO782&lt;&gt;1,"",IF(OR(P782="",Q782=""),"",IF(Q782&lt;P782,"",ROUND(((NETWORKDAYS(P782,Q782,JoursFeries)-1)*(HFer-HOuv)+IF(NETWORKDAYS(Q782,Q782,JoursFeries),MEDIAN(MOD(Q782,1),HFer,HOuv),HFer)-IF(NETWORKDAYS(P782,P782,JoursFeries),MEDIAN(MOD(P782,1),HFer,HOuv),HOuv))*24,4))))</f>
        <v/>
      </c>
      <c r="AW782" s="37" t="str">
        <f aca="false">IF(AO782&lt;&gt;1,"",IFERROR(ROUND(IF(OR(P782="",R782=""),"",IF(R782&lt;P782,"",ROUND(((NETWORKDAYS(P782,R782,JoursFeries)-1)*(HFer-HOuv)+IF(NETWORKDAYS(R782,R782,JoursFeries),MEDIAN(MOD(R782,1),HFer,HOuv),HFer)-IF(NETWORKDAYS(P782,P782,JoursFeries),MEDIAN(MOD(P782,1),HFer,HOuv),HOuv))*24,4)))/HJour,4),""))</f>
        <v/>
      </c>
      <c r="AX782" s="37" t="str">
        <f aca="false">IF(AO782&lt;&gt;1,"",IFERROR(ROUND(IF(OR(P782="",S782=""),"",IF(S782&lt;P782,"",ROUND(((NETWORKDAYS(P782,S782,JoursFeries)-1)*(HFer-HOuv)+IF(NETWORKDAYS(S782,S782,JoursFeries),MEDIAN(MOD(S782,1),HFer,HOuv),HFer)-IF(NETWORKDAYS(P782,P782,JoursFeries),MEDIAN(MOD(P782,1),HFer,HOuv),HOuv))*24,4)))/HJour,4),""))</f>
        <v/>
      </c>
      <c r="AY782" s="36" t="str">
        <f aca="false">IF(OR(AO782&lt;&gt;1,AR782=""),"",INDEX(SLA_PEC,AR782))</f>
        <v/>
      </c>
      <c r="AZ782" s="35" t="str">
        <f aca="false">IF(OR(AV782="",AY782=""),"",IF(AV782&lt;=AY782,1,0))</f>
        <v/>
      </c>
      <c r="BA782" s="36" t="str">
        <f aca="false">IF(OR(AO782&lt;&gt;1,AR782=""),"",INDEX(SLA_RES,AR782))</f>
        <v/>
      </c>
      <c r="BB782" s="35" t="str">
        <f aca="false">IF(OR(AW782="",BA782=""),"",IF(AW782&lt;=BA782,1,0))</f>
        <v/>
      </c>
      <c r="BC782" s="38" t="str">
        <f aca="false">IF(OR(BA782="",P782=""),"",WORKDAY(INT(P782),BA782,JoursFeries)+MOD(P782,1))</f>
        <v/>
      </c>
      <c r="BD782" s="39" t="str">
        <f aca="false">IF(AO782&lt;&gt;1,"",IF(OR(AB782&lt;&gt;"",AD782&lt;&gt;""),4,IF(U782&lt;&gt;"",3,IF(T782&lt;&gt;"",2,1))))</f>
        <v/>
      </c>
      <c r="BE782" s="39" t="str">
        <f aca="false">IF(OR(AO782&lt;&gt;1,AR782=""),"",INDEX(NIV_REQ,AR782))</f>
        <v/>
      </c>
      <c r="BF782" s="39" t="str">
        <f aca="false">IF(BE782="","",MAX(BE782,IF(OR(K782="Oui",Z782="Oui"),4,1)))</f>
        <v/>
      </c>
      <c r="BG782" s="35" t="str">
        <f aca="false">IF(OR(BF782="",BD782=""),"",IF(BD782&gt;=BF782,1,0))</f>
        <v/>
      </c>
      <c r="BH782" s="38" t="str">
        <f aca="false">IF(BE782="","",IF(BE782&lt;2,"",IF(BE782=2,IF(AND(T782="",U782=""),"",MIN(T782,U782)),IF(U782="","",U782))))</f>
        <v/>
      </c>
      <c r="BI782" s="37" t="str">
        <f aca="false">IF(BH782="","",IF(OR(O782="",BH782=""),"",IF(BH782&lt;O782,"",ROUND(((NETWORKDAYS(O782,BH782,JoursFeries)-1)*(HFer-HOuv)+IF(NETWORKDAYS(BH782,BH782,JoursFeries),MEDIAN(MOD(BH782,1),HFer,HOuv),HFer)-IF(NETWORKDAYS(O782,O782,JoursFeries),MEDIAN(MOD(O782,1),HFer,HOuv),HOuv))*24,4))))</f>
        <v/>
      </c>
      <c r="BJ782" s="35" t="str">
        <f aca="false">IF(OR(BI782="",AR782=""),"",IF(BI782&lt;=INDEX(DELAI_ESC,AR782),1,0))</f>
        <v/>
      </c>
      <c r="BK782" s="38" t="str">
        <f aca="false">IF(AO782&lt;&gt;1,"",IF(AND(T782="",U782=""),"",MIN(T782,U782)))</f>
        <v/>
      </c>
      <c r="BL782" s="37" t="str">
        <f aca="false">IF(OR(BK782="",R782=""),"",IFERROR(ROUND(IF(OR(BK782="",R782=""),"",IF(R782&lt;BK782,"",ROUND(((NETWORKDAYS(BK782,R782,JoursFeries)-1)*(HFer-HOuv)+IF(NETWORKDAYS(R782,R782,JoursFeries),MEDIAN(MOD(R782,1),HFer,HOuv),HFer)-IF(NETWORKDAYS(BK782,BK782,JoursFeries),MEDIAN(MOD(BK782,1),HFer,HOuv),HOuv))*24,4)))/HJour,4),""))</f>
        <v/>
      </c>
      <c r="BM782" s="35" t="str">
        <f aca="false">IF(OR(AO782&lt;&gt;1,R782=""),"",IF(BD782=1,1,0))</f>
        <v/>
      </c>
      <c r="BN782" s="35" t="str">
        <f aca="false">IF(AO782&lt;&gt;1,"",IF(W782="Oui",1,0))</f>
        <v/>
      </c>
      <c r="BO782" s="35" t="str">
        <f aca="false">IF(AO782&lt;&gt;1,"",IF(X782&lt;&gt;"",1,0))</f>
        <v/>
      </c>
      <c r="BP782" s="35" t="str">
        <f aca="false">IF(AO782&lt;&gt;1,"",IF(Y782="Oui",1,0))</f>
        <v/>
      </c>
      <c r="BQ782" s="35" t="str">
        <f aca="true">IF(OR(AO782&lt;&gt;1,Z782&lt;&gt;"Oui"),"",IF(AB782="",IF(AND(AA782&lt;&gt;"",NOW()&gt;AA782),0,""),IF(AA782="","",IF(AB782&lt;=AA782,1,0))))</f>
        <v/>
      </c>
      <c r="BR782" s="38" t="str">
        <f aca="false">IF(OR(AO782&lt;&gt;1,K782&lt;&gt;"Oui",O782=""),"",IF(AC782="",O782+DORA_H_DET/24,IF(AC782-O782&lt;=DORA_H_DET/24,MIN(AC782+DORA_H_CLA/24,O782+DORA_H_DET/24),AC782+DORA_H_CLA/24)))</f>
        <v/>
      </c>
      <c r="BS782" s="35" t="str">
        <f aca="true">IF(BR782="","",IF(AD782="",IF(NOW()&gt;BR782,0,""),IF(AD782&lt;=BR782,1,0)))</f>
        <v/>
      </c>
      <c r="BT782" s="35" t="str">
        <f aca="true">IF(OR(BR782="",AD782=""),"",IF(AE782="",IF(NOW()&gt;AD782+DORA_H_INT/24,0,""),IF(AE782&lt;=AD782+DORA_H_INT/24,1,0)))</f>
        <v/>
      </c>
      <c r="BU782" s="35" t="str">
        <f aca="true">IF(OR(BR782="",AE782=""),"",IF(AF782="",IF(NOW()&gt;EDATE(AE782,DORA_M_FIN)+1,0,""),IF(AF782&lt;=EDATE(AE782,DORA_M_FIN),1,0)))</f>
        <v/>
      </c>
      <c r="BV782" s="35" t="str">
        <f aca="false">IF(BR782="","",IF(COUNT(BS782:BU782)=0,"",MIN(BS782:BU782)))</f>
        <v/>
      </c>
      <c r="BW782" s="40" t="str">
        <f aca="false">IF(AQ782&lt;&gt;1,"",IF(AND(AG782="",AH782=""),"",N(AG782)-N(AH782)))</f>
        <v/>
      </c>
      <c r="BX782" s="35" t="str">
        <f aca="true">IF(OR(AQ782&lt;&gt;1,AI782&lt;&gt;"Oui",AJ782=""),"",IF(AK782="",IF(NOW()&gt;AJ782+1,0,""),IF(AK782&lt;=AJ782,1,0)))</f>
        <v/>
      </c>
    </row>
    <row r="783" customFormat="false" ht="15" hidden="false" customHeight="false" outlineLevel="0" collapsed="false">
      <c r="B783" s="29"/>
      <c r="C783" s="29"/>
      <c r="D783" s="29"/>
      <c r="E783" s="29"/>
      <c r="F783" s="29"/>
      <c r="G783" s="29"/>
      <c r="H783" s="29"/>
      <c r="I783" s="29"/>
      <c r="J783" s="29"/>
      <c r="K783" s="29"/>
      <c r="L783" s="29"/>
      <c r="M783" s="29"/>
      <c r="N783" s="30"/>
      <c r="O783" s="30"/>
      <c r="P783" s="30"/>
      <c r="Q783" s="30"/>
      <c r="R783" s="30"/>
      <c r="S783" s="30"/>
      <c r="T783" s="30"/>
      <c r="U783" s="30"/>
      <c r="V783" s="31"/>
      <c r="W783" s="29"/>
      <c r="X783" s="29"/>
      <c r="Y783" s="29"/>
      <c r="Z783" s="29"/>
      <c r="AA783" s="30"/>
      <c r="AB783" s="30"/>
      <c r="AC783" s="30"/>
      <c r="AD783" s="30"/>
      <c r="AE783" s="30"/>
      <c r="AF783" s="32"/>
      <c r="AG783" s="33"/>
      <c r="AH783" s="33"/>
      <c r="AI783" s="29"/>
      <c r="AJ783" s="32"/>
      <c r="AK783" s="32"/>
      <c r="AL783" s="29"/>
      <c r="AN783" s="34" t="str">
        <f aca="false">IF($B783="","",IF(OR(C783="",D783="",E783="",G783="",I783="",J783="",L783="",O783="",P783=""),"Champ obligatoire manquant",IF(OR(AND(N783&lt;&gt;"",N783&gt;O783),O783&gt;P783,AND(Q783&lt;&gt;"",Q783&lt;P783),AND(R783&lt;&gt;"",R783&lt;P783),AND(S783&lt;&gt;"",S783&lt;R783),AND(S783&lt;&gt;"",R783=""),AND(T783&lt;&gt;"",T783&lt;O783),AND(U783&lt;&gt;"",U783&lt;O783)),"Chronologie incohérente",IF(AND(OR(L783="Résolu",L783="Clos"),R783=""),"Date de résolution manquante",IF(AND(L783="Clos",S783=""),"Date de clôture manquante",IF(AND(K783="Oui",AC783=""),"Classification DORA manquante","OK"))))))</f>
        <v/>
      </c>
      <c r="AO783" s="35" t="str">
        <f aca="false">IF($B783="","",IF(AND(C783="Incident",L783&lt;&gt;"Annulé"),1,0))</f>
        <v/>
      </c>
      <c r="AP783" s="35" t="str">
        <f aca="false">IF($B783="","",IF(AND(C783="Quasi-incident",L783&lt;&gt;"Annulé"),1,0))</f>
        <v/>
      </c>
      <c r="AQ783" s="35" t="str">
        <f aca="false">IF($B783="","",AO783+AP783)</f>
        <v/>
      </c>
      <c r="AR783" s="36" t="str">
        <f aca="false">IF(OR($B783="",J783=""),"",IFERROR(VALUE(LEFT(J783,1)),""))</f>
        <v/>
      </c>
      <c r="AS783" s="35" t="str">
        <f aca="false">IF(OR(AO783&lt;&gt;1,G783=""),"",IFERROR(IF(INDEX(L_SrcInterne,MATCH(G783,L_Sources,0))="Oui",1,0),""))</f>
        <v/>
      </c>
      <c r="AT783" s="37" t="str">
        <f aca="false">IF(AO783&lt;&gt;1,"",IFERROR(ROUND(IF(OR(N783="",O783=""),"",IF(O783&lt;N783,"",ROUND(((NETWORKDAYS(N783,O783,JoursFeries)-1)*(HFer-HOuv)+IF(NETWORKDAYS(O783,O783,JoursFeries),MEDIAN(MOD(O783,1),HFer,HOuv),HFer)-IF(NETWORKDAYS(N783,N783,JoursFeries),MEDIAN(MOD(N783,1),HFer,HOuv),HOuv))*24,4)))/HJour,4),""))</f>
        <v/>
      </c>
      <c r="AU783" s="37" t="str">
        <f aca="false">IF(AO783&lt;&gt;1,"",IF(OR(O783="",P783=""),"",IF(P783&lt;O783,"",ROUND(((NETWORKDAYS(O783,P783,JoursFeries)-1)*(HFer-HOuv)+IF(NETWORKDAYS(P783,P783,JoursFeries),MEDIAN(MOD(P783,1),HFer,HOuv),HFer)-IF(NETWORKDAYS(O783,O783,JoursFeries),MEDIAN(MOD(O783,1),HFer,HOuv),HOuv))*24,4))))</f>
        <v/>
      </c>
      <c r="AV783" s="37" t="str">
        <f aca="false">IF(AO783&lt;&gt;1,"",IF(OR(P783="",Q783=""),"",IF(Q783&lt;P783,"",ROUND(((NETWORKDAYS(P783,Q783,JoursFeries)-1)*(HFer-HOuv)+IF(NETWORKDAYS(Q783,Q783,JoursFeries),MEDIAN(MOD(Q783,1),HFer,HOuv),HFer)-IF(NETWORKDAYS(P783,P783,JoursFeries),MEDIAN(MOD(P783,1),HFer,HOuv),HOuv))*24,4))))</f>
        <v/>
      </c>
      <c r="AW783" s="37" t="str">
        <f aca="false">IF(AO783&lt;&gt;1,"",IFERROR(ROUND(IF(OR(P783="",R783=""),"",IF(R783&lt;P783,"",ROUND(((NETWORKDAYS(P783,R783,JoursFeries)-1)*(HFer-HOuv)+IF(NETWORKDAYS(R783,R783,JoursFeries),MEDIAN(MOD(R783,1),HFer,HOuv),HFer)-IF(NETWORKDAYS(P783,P783,JoursFeries),MEDIAN(MOD(P783,1),HFer,HOuv),HOuv))*24,4)))/HJour,4),""))</f>
        <v/>
      </c>
      <c r="AX783" s="37" t="str">
        <f aca="false">IF(AO783&lt;&gt;1,"",IFERROR(ROUND(IF(OR(P783="",S783=""),"",IF(S783&lt;P783,"",ROUND(((NETWORKDAYS(P783,S783,JoursFeries)-1)*(HFer-HOuv)+IF(NETWORKDAYS(S783,S783,JoursFeries),MEDIAN(MOD(S783,1),HFer,HOuv),HFer)-IF(NETWORKDAYS(P783,P783,JoursFeries),MEDIAN(MOD(P783,1),HFer,HOuv),HOuv))*24,4)))/HJour,4),""))</f>
        <v/>
      </c>
      <c r="AY783" s="36" t="str">
        <f aca="false">IF(OR(AO783&lt;&gt;1,AR783=""),"",INDEX(SLA_PEC,AR783))</f>
        <v/>
      </c>
      <c r="AZ783" s="35" t="str">
        <f aca="false">IF(OR(AV783="",AY783=""),"",IF(AV783&lt;=AY783,1,0))</f>
        <v/>
      </c>
      <c r="BA783" s="36" t="str">
        <f aca="false">IF(OR(AO783&lt;&gt;1,AR783=""),"",INDEX(SLA_RES,AR783))</f>
        <v/>
      </c>
      <c r="BB783" s="35" t="str">
        <f aca="false">IF(OR(AW783="",BA783=""),"",IF(AW783&lt;=BA783,1,0))</f>
        <v/>
      </c>
      <c r="BC783" s="38" t="str">
        <f aca="false">IF(OR(BA783="",P783=""),"",WORKDAY(INT(P783),BA783,JoursFeries)+MOD(P783,1))</f>
        <v/>
      </c>
      <c r="BD783" s="39" t="str">
        <f aca="false">IF(AO783&lt;&gt;1,"",IF(OR(AB783&lt;&gt;"",AD783&lt;&gt;""),4,IF(U783&lt;&gt;"",3,IF(T783&lt;&gt;"",2,1))))</f>
        <v/>
      </c>
      <c r="BE783" s="39" t="str">
        <f aca="false">IF(OR(AO783&lt;&gt;1,AR783=""),"",INDEX(NIV_REQ,AR783))</f>
        <v/>
      </c>
      <c r="BF783" s="39" t="str">
        <f aca="false">IF(BE783="","",MAX(BE783,IF(OR(K783="Oui",Z783="Oui"),4,1)))</f>
        <v/>
      </c>
      <c r="BG783" s="35" t="str">
        <f aca="false">IF(OR(BF783="",BD783=""),"",IF(BD783&gt;=BF783,1,0))</f>
        <v/>
      </c>
      <c r="BH783" s="38" t="str">
        <f aca="false">IF(BE783="","",IF(BE783&lt;2,"",IF(BE783=2,IF(AND(T783="",U783=""),"",MIN(T783,U783)),IF(U783="","",U783))))</f>
        <v/>
      </c>
      <c r="BI783" s="37" t="str">
        <f aca="false">IF(BH783="","",IF(OR(O783="",BH783=""),"",IF(BH783&lt;O783,"",ROUND(((NETWORKDAYS(O783,BH783,JoursFeries)-1)*(HFer-HOuv)+IF(NETWORKDAYS(BH783,BH783,JoursFeries),MEDIAN(MOD(BH783,1),HFer,HOuv),HFer)-IF(NETWORKDAYS(O783,O783,JoursFeries),MEDIAN(MOD(O783,1),HFer,HOuv),HOuv))*24,4))))</f>
        <v/>
      </c>
      <c r="BJ783" s="35" t="str">
        <f aca="false">IF(OR(BI783="",AR783=""),"",IF(BI783&lt;=INDEX(DELAI_ESC,AR783),1,0))</f>
        <v/>
      </c>
      <c r="BK783" s="38" t="str">
        <f aca="false">IF(AO783&lt;&gt;1,"",IF(AND(T783="",U783=""),"",MIN(T783,U783)))</f>
        <v/>
      </c>
      <c r="BL783" s="37" t="str">
        <f aca="false">IF(OR(BK783="",R783=""),"",IFERROR(ROUND(IF(OR(BK783="",R783=""),"",IF(R783&lt;BK783,"",ROUND(((NETWORKDAYS(BK783,R783,JoursFeries)-1)*(HFer-HOuv)+IF(NETWORKDAYS(R783,R783,JoursFeries),MEDIAN(MOD(R783,1),HFer,HOuv),HFer)-IF(NETWORKDAYS(BK783,BK783,JoursFeries),MEDIAN(MOD(BK783,1),HFer,HOuv),HOuv))*24,4)))/HJour,4),""))</f>
        <v/>
      </c>
      <c r="BM783" s="35" t="str">
        <f aca="false">IF(OR(AO783&lt;&gt;1,R783=""),"",IF(BD783=1,1,0))</f>
        <v/>
      </c>
      <c r="BN783" s="35" t="str">
        <f aca="false">IF(AO783&lt;&gt;1,"",IF(W783="Oui",1,0))</f>
        <v/>
      </c>
      <c r="BO783" s="35" t="str">
        <f aca="false">IF(AO783&lt;&gt;1,"",IF(X783&lt;&gt;"",1,0))</f>
        <v/>
      </c>
      <c r="BP783" s="35" t="str">
        <f aca="false">IF(AO783&lt;&gt;1,"",IF(Y783="Oui",1,0))</f>
        <v/>
      </c>
      <c r="BQ783" s="35" t="str">
        <f aca="true">IF(OR(AO783&lt;&gt;1,Z783&lt;&gt;"Oui"),"",IF(AB783="",IF(AND(AA783&lt;&gt;"",NOW()&gt;AA783),0,""),IF(AA783="","",IF(AB783&lt;=AA783,1,0))))</f>
        <v/>
      </c>
      <c r="BR783" s="38" t="str">
        <f aca="false">IF(OR(AO783&lt;&gt;1,K783&lt;&gt;"Oui",O783=""),"",IF(AC783="",O783+DORA_H_DET/24,IF(AC783-O783&lt;=DORA_H_DET/24,MIN(AC783+DORA_H_CLA/24,O783+DORA_H_DET/24),AC783+DORA_H_CLA/24)))</f>
        <v/>
      </c>
      <c r="BS783" s="35" t="str">
        <f aca="true">IF(BR783="","",IF(AD783="",IF(NOW()&gt;BR783,0,""),IF(AD783&lt;=BR783,1,0)))</f>
        <v/>
      </c>
      <c r="BT783" s="35" t="str">
        <f aca="true">IF(OR(BR783="",AD783=""),"",IF(AE783="",IF(NOW()&gt;AD783+DORA_H_INT/24,0,""),IF(AE783&lt;=AD783+DORA_H_INT/24,1,0)))</f>
        <v/>
      </c>
      <c r="BU783" s="35" t="str">
        <f aca="true">IF(OR(BR783="",AE783=""),"",IF(AF783="",IF(NOW()&gt;EDATE(AE783,DORA_M_FIN)+1,0,""),IF(AF783&lt;=EDATE(AE783,DORA_M_FIN),1,0)))</f>
        <v/>
      </c>
      <c r="BV783" s="35" t="str">
        <f aca="false">IF(BR783="","",IF(COUNT(BS783:BU783)=0,"",MIN(BS783:BU783)))</f>
        <v/>
      </c>
      <c r="BW783" s="40" t="str">
        <f aca="false">IF(AQ783&lt;&gt;1,"",IF(AND(AG783="",AH783=""),"",N(AG783)-N(AH783)))</f>
        <v/>
      </c>
      <c r="BX783" s="35" t="str">
        <f aca="true">IF(OR(AQ783&lt;&gt;1,AI783&lt;&gt;"Oui",AJ783=""),"",IF(AK783="",IF(NOW()&gt;AJ783+1,0,""),IF(AK783&lt;=AJ783,1,0)))</f>
        <v/>
      </c>
    </row>
    <row r="784" customFormat="false" ht="15" hidden="false" customHeight="false" outlineLevel="0" collapsed="false">
      <c r="B784" s="29"/>
      <c r="C784" s="29"/>
      <c r="D784" s="29"/>
      <c r="E784" s="29"/>
      <c r="F784" s="29"/>
      <c r="G784" s="29"/>
      <c r="H784" s="29"/>
      <c r="I784" s="29"/>
      <c r="J784" s="29"/>
      <c r="K784" s="29"/>
      <c r="L784" s="29"/>
      <c r="M784" s="29"/>
      <c r="N784" s="30"/>
      <c r="O784" s="30"/>
      <c r="P784" s="30"/>
      <c r="Q784" s="30"/>
      <c r="R784" s="30"/>
      <c r="S784" s="30"/>
      <c r="T784" s="30"/>
      <c r="U784" s="30"/>
      <c r="V784" s="31"/>
      <c r="W784" s="29"/>
      <c r="X784" s="29"/>
      <c r="Y784" s="29"/>
      <c r="Z784" s="29"/>
      <c r="AA784" s="30"/>
      <c r="AB784" s="30"/>
      <c r="AC784" s="30"/>
      <c r="AD784" s="30"/>
      <c r="AE784" s="30"/>
      <c r="AF784" s="32"/>
      <c r="AG784" s="33"/>
      <c r="AH784" s="33"/>
      <c r="AI784" s="29"/>
      <c r="AJ784" s="32"/>
      <c r="AK784" s="32"/>
      <c r="AL784" s="29"/>
      <c r="AN784" s="34" t="str">
        <f aca="false">IF($B784="","",IF(OR(C784="",D784="",E784="",G784="",I784="",J784="",L784="",O784="",P784=""),"Champ obligatoire manquant",IF(OR(AND(N784&lt;&gt;"",N784&gt;O784),O784&gt;P784,AND(Q784&lt;&gt;"",Q784&lt;P784),AND(R784&lt;&gt;"",R784&lt;P784),AND(S784&lt;&gt;"",S784&lt;R784),AND(S784&lt;&gt;"",R784=""),AND(T784&lt;&gt;"",T784&lt;O784),AND(U784&lt;&gt;"",U784&lt;O784)),"Chronologie incohérente",IF(AND(OR(L784="Résolu",L784="Clos"),R784=""),"Date de résolution manquante",IF(AND(L784="Clos",S784=""),"Date de clôture manquante",IF(AND(K784="Oui",AC784=""),"Classification DORA manquante","OK"))))))</f>
        <v/>
      </c>
      <c r="AO784" s="35" t="str">
        <f aca="false">IF($B784="","",IF(AND(C784="Incident",L784&lt;&gt;"Annulé"),1,0))</f>
        <v/>
      </c>
      <c r="AP784" s="35" t="str">
        <f aca="false">IF($B784="","",IF(AND(C784="Quasi-incident",L784&lt;&gt;"Annulé"),1,0))</f>
        <v/>
      </c>
      <c r="AQ784" s="35" t="str">
        <f aca="false">IF($B784="","",AO784+AP784)</f>
        <v/>
      </c>
      <c r="AR784" s="36" t="str">
        <f aca="false">IF(OR($B784="",J784=""),"",IFERROR(VALUE(LEFT(J784,1)),""))</f>
        <v/>
      </c>
      <c r="AS784" s="35" t="str">
        <f aca="false">IF(OR(AO784&lt;&gt;1,G784=""),"",IFERROR(IF(INDEX(L_SrcInterne,MATCH(G784,L_Sources,0))="Oui",1,0),""))</f>
        <v/>
      </c>
      <c r="AT784" s="37" t="str">
        <f aca="false">IF(AO784&lt;&gt;1,"",IFERROR(ROUND(IF(OR(N784="",O784=""),"",IF(O784&lt;N784,"",ROUND(((NETWORKDAYS(N784,O784,JoursFeries)-1)*(HFer-HOuv)+IF(NETWORKDAYS(O784,O784,JoursFeries),MEDIAN(MOD(O784,1),HFer,HOuv),HFer)-IF(NETWORKDAYS(N784,N784,JoursFeries),MEDIAN(MOD(N784,1),HFer,HOuv),HOuv))*24,4)))/HJour,4),""))</f>
        <v/>
      </c>
      <c r="AU784" s="37" t="str">
        <f aca="false">IF(AO784&lt;&gt;1,"",IF(OR(O784="",P784=""),"",IF(P784&lt;O784,"",ROUND(((NETWORKDAYS(O784,P784,JoursFeries)-1)*(HFer-HOuv)+IF(NETWORKDAYS(P784,P784,JoursFeries),MEDIAN(MOD(P784,1),HFer,HOuv),HFer)-IF(NETWORKDAYS(O784,O784,JoursFeries),MEDIAN(MOD(O784,1),HFer,HOuv),HOuv))*24,4))))</f>
        <v/>
      </c>
      <c r="AV784" s="37" t="str">
        <f aca="false">IF(AO784&lt;&gt;1,"",IF(OR(P784="",Q784=""),"",IF(Q784&lt;P784,"",ROUND(((NETWORKDAYS(P784,Q784,JoursFeries)-1)*(HFer-HOuv)+IF(NETWORKDAYS(Q784,Q784,JoursFeries),MEDIAN(MOD(Q784,1),HFer,HOuv),HFer)-IF(NETWORKDAYS(P784,P784,JoursFeries),MEDIAN(MOD(P784,1),HFer,HOuv),HOuv))*24,4))))</f>
        <v/>
      </c>
      <c r="AW784" s="37" t="str">
        <f aca="false">IF(AO784&lt;&gt;1,"",IFERROR(ROUND(IF(OR(P784="",R784=""),"",IF(R784&lt;P784,"",ROUND(((NETWORKDAYS(P784,R784,JoursFeries)-1)*(HFer-HOuv)+IF(NETWORKDAYS(R784,R784,JoursFeries),MEDIAN(MOD(R784,1),HFer,HOuv),HFer)-IF(NETWORKDAYS(P784,P784,JoursFeries),MEDIAN(MOD(P784,1),HFer,HOuv),HOuv))*24,4)))/HJour,4),""))</f>
        <v/>
      </c>
      <c r="AX784" s="37" t="str">
        <f aca="false">IF(AO784&lt;&gt;1,"",IFERROR(ROUND(IF(OR(P784="",S784=""),"",IF(S784&lt;P784,"",ROUND(((NETWORKDAYS(P784,S784,JoursFeries)-1)*(HFer-HOuv)+IF(NETWORKDAYS(S784,S784,JoursFeries),MEDIAN(MOD(S784,1),HFer,HOuv),HFer)-IF(NETWORKDAYS(P784,P784,JoursFeries),MEDIAN(MOD(P784,1),HFer,HOuv),HOuv))*24,4)))/HJour,4),""))</f>
        <v/>
      </c>
      <c r="AY784" s="36" t="str">
        <f aca="false">IF(OR(AO784&lt;&gt;1,AR784=""),"",INDEX(SLA_PEC,AR784))</f>
        <v/>
      </c>
      <c r="AZ784" s="35" t="str">
        <f aca="false">IF(OR(AV784="",AY784=""),"",IF(AV784&lt;=AY784,1,0))</f>
        <v/>
      </c>
      <c r="BA784" s="36" t="str">
        <f aca="false">IF(OR(AO784&lt;&gt;1,AR784=""),"",INDEX(SLA_RES,AR784))</f>
        <v/>
      </c>
      <c r="BB784" s="35" t="str">
        <f aca="false">IF(OR(AW784="",BA784=""),"",IF(AW784&lt;=BA784,1,0))</f>
        <v/>
      </c>
      <c r="BC784" s="38" t="str">
        <f aca="false">IF(OR(BA784="",P784=""),"",WORKDAY(INT(P784),BA784,JoursFeries)+MOD(P784,1))</f>
        <v/>
      </c>
      <c r="BD784" s="39" t="str">
        <f aca="false">IF(AO784&lt;&gt;1,"",IF(OR(AB784&lt;&gt;"",AD784&lt;&gt;""),4,IF(U784&lt;&gt;"",3,IF(T784&lt;&gt;"",2,1))))</f>
        <v/>
      </c>
      <c r="BE784" s="39" t="str">
        <f aca="false">IF(OR(AO784&lt;&gt;1,AR784=""),"",INDEX(NIV_REQ,AR784))</f>
        <v/>
      </c>
      <c r="BF784" s="39" t="str">
        <f aca="false">IF(BE784="","",MAX(BE784,IF(OR(K784="Oui",Z784="Oui"),4,1)))</f>
        <v/>
      </c>
      <c r="BG784" s="35" t="str">
        <f aca="false">IF(OR(BF784="",BD784=""),"",IF(BD784&gt;=BF784,1,0))</f>
        <v/>
      </c>
      <c r="BH784" s="38" t="str">
        <f aca="false">IF(BE784="","",IF(BE784&lt;2,"",IF(BE784=2,IF(AND(T784="",U784=""),"",MIN(T784,U784)),IF(U784="","",U784))))</f>
        <v/>
      </c>
      <c r="BI784" s="37" t="str">
        <f aca="false">IF(BH784="","",IF(OR(O784="",BH784=""),"",IF(BH784&lt;O784,"",ROUND(((NETWORKDAYS(O784,BH784,JoursFeries)-1)*(HFer-HOuv)+IF(NETWORKDAYS(BH784,BH784,JoursFeries),MEDIAN(MOD(BH784,1),HFer,HOuv),HFer)-IF(NETWORKDAYS(O784,O784,JoursFeries),MEDIAN(MOD(O784,1),HFer,HOuv),HOuv))*24,4))))</f>
        <v/>
      </c>
      <c r="BJ784" s="35" t="str">
        <f aca="false">IF(OR(BI784="",AR784=""),"",IF(BI784&lt;=INDEX(DELAI_ESC,AR784),1,0))</f>
        <v/>
      </c>
      <c r="BK784" s="38" t="str">
        <f aca="false">IF(AO784&lt;&gt;1,"",IF(AND(T784="",U784=""),"",MIN(T784,U784)))</f>
        <v/>
      </c>
      <c r="BL784" s="37" t="str">
        <f aca="false">IF(OR(BK784="",R784=""),"",IFERROR(ROUND(IF(OR(BK784="",R784=""),"",IF(R784&lt;BK784,"",ROUND(((NETWORKDAYS(BK784,R784,JoursFeries)-1)*(HFer-HOuv)+IF(NETWORKDAYS(R784,R784,JoursFeries),MEDIAN(MOD(R784,1),HFer,HOuv),HFer)-IF(NETWORKDAYS(BK784,BK784,JoursFeries),MEDIAN(MOD(BK784,1),HFer,HOuv),HOuv))*24,4)))/HJour,4),""))</f>
        <v/>
      </c>
      <c r="BM784" s="35" t="str">
        <f aca="false">IF(OR(AO784&lt;&gt;1,R784=""),"",IF(BD784=1,1,0))</f>
        <v/>
      </c>
      <c r="BN784" s="35" t="str">
        <f aca="false">IF(AO784&lt;&gt;1,"",IF(W784="Oui",1,0))</f>
        <v/>
      </c>
      <c r="BO784" s="35" t="str">
        <f aca="false">IF(AO784&lt;&gt;1,"",IF(X784&lt;&gt;"",1,0))</f>
        <v/>
      </c>
      <c r="BP784" s="35" t="str">
        <f aca="false">IF(AO784&lt;&gt;1,"",IF(Y784="Oui",1,0))</f>
        <v/>
      </c>
      <c r="BQ784" s="35" t="str">
        <f aca="true">IF(OR(AO784&lt;&gt;1,Z784&lt;&gt;"Oui"),"",IF(AB784="",IF(AND(AA784&lt;&gt;"",NOW()&gt;AA784),0,""),IF(AA784="","",IF(AB784&lt;=AA784,1,0))))</f>
        <v/>
      </c>
      <c r="BR784" s="38" t="str">
        <f aca="false">IF(OR(AO784&lt;&gt;1,K784&lt;&gt;"Oui",O784=""),"",IF(AC784="",O784+DORA_H_DET/24,IF(AC784-O784&lt;=DORA_H_DET/24,MIN(AC784+DORA_H_CLA/24,O784+DORA_H_DET/24),AC784+DORA_H_CLA/24)))</f>
        <v/>
      </c>
      <c r="BS784" s="35" t="str">
        <f aca="true">IF(BR784="","",IF(AD784="",IF(NOW()&gt;BR784,0,""),IF(AD784&lt;=BR784,1,0)))</f>
        <v/>
      </c>
      <c r="BT784" s="35" t="str">
        <f aca="true">IF(OR(BR784="",AD784=""),"",IF(AE784="",IF(NOW()&gt;AD784+DORA_H_INT/24,0,""),IF(AE784&lt;=AD784+DORA_H_INT/24,1,0)))</f>
        <v/>
      </c>
      <c r="BU784" s="35" t="str">
        <f aca="true">IF(OR(BR784="",AE784=""),"",IF(AF784="",IF(NOW()&gt;EDATE(AE784,DORA_M_FIN)+1,0,""),IF(AF784&lt;=EDATE(AE784,DORA_M_FIN),1,0)))</f>
        <v/>
      </c>
      <c r="BV784" s="35" t="str">
        <f aca="false">IF(BR784="","",IF(COUNT(BS784:BU784)=0,"",MIN(BS784:BU784)))</f>
        <v/>
      </c>
      <c r="BW784" s="40" t="str">
        <f aca="false">IF(AQ784&lt;&gt;1,"",IF(AND(AG784="",AH784=""),"",N(AG784)-N(AH784)))</f>
        <v/>
      </c>
      <c r="BX784" s="35" t="str">
        <f aca="true">IF(OR(AQ784&lt;&gt;1,AI784&lt;&gt;"Oui",AJ784=""),"",IF(AK784="",IF(NOW()&gt;AJ784+1,0,""),IF(AK784&lt;=AJ784,1,0)))</f>
        <v/>
      </c>
    </row>
    <row r="785" customFormat="false" ht="15" hidden="false" customHeight="false" outlineLevel="0" collapsed="false">
      <c r="B785" s="29"/>
      <c r="C785" s="29"/>
      <c r="D785" s="29"/>
      <c r="E785" s="29"/>
      <c r="F785" s="29"/>
      <c r="G785" s="29"/>
      <c r="H785" s="29"/>
      <c r="I785" s="29"/>
      <c r="J785" s="29"/>
      <c r="K785" s="29"/>
      <c r="L785" s="29"/>
      <c r="M785" s="29"/>
      <c r="N785" s="30"/>
      <c r="O785" s="30"/>
      <c r="P785" s="30"/>
      <c r="Q785" s="30"/>
      <c r="R785" s="30"/>
      <c r="S785" s="30"/>
      <c r="T785" s="30"/>
      <c r="U785" s="30"/>
      <c r="V785" s="31"/>
      <c r="W785" s="29"/>
      <c r="X785" s="29"/>
      <c r="Y785" s="29"/>
      <c r="Z785" s="29"/>
      <c r="AA785" s="30"/>
      <c r="AB785" s="30"/>
      <c r="AC785" s="30"/>
      <c r="AD785" s="30"/>
      <c r="AE785" s="30"/>
      <c r="AF785" s="32"/>
      <c r="AG785" s="33"/>
      <c r="AH785" s="33"/>
      <c r="AI785" s="29"/>
      <c r="AJ785" s="32"/>
      <c r="AK785" s="32"/>
      <c r="AL785" s="29"/>
      <c r="AN785" s="34" t="str">
        <f aca="false">IF($B785="","",IF(OR(C785="",D785="",E785="",G785="",I785="",J785="",L785="",O785="",P785=""),"Champ obligatoire manquant",IF(OR(AND(N785&lt;&gt;"",N785&gt;O785),O785&gt;P785,AND(Q785&lt;&gt;"",Q785&lt;P785),AND(R785&lt;&gt;"",R785&lt;P785),AND(S785&lt;&gt;"",S785&lt;R785),AND(S785&lt;&gt;"",R785=""),AND(T785&lt;&gt;"",T785&lt;O785),AND(U785&lt;&gt;"",U785&lt;O785)),"Chronologie incohérente",IF(AND(OR(L785="Résolu",L785="Clos"),R785=""),"Date de résolution manquante",IF(AND(L785="Clos",S785=""),"Date de clôture manquante",IF(AND(K785="Oui",AC785=""),"Classification DORA manquante","OK"))))))</f>
        <v/>
      </c>
      <c r="AO785" s="35" t="str">
        <f aca="false">IF($B785="","",IF(AND(C785="Incident",L785&lt;&gt;"Annulé"),1,0))</f>
        <v/>
      </c>
      <c r="AP785" s="35" t="str">
        <f aca="false">IF($B785="","",IF(AND(C785="Quasi-incident",L785&lt;&gt;"Annulé"),1,0))</f>
        <v/>
      </c>
      <c r="AQ785" s="35" t="str">
        <f aca="false">IF($B785="","",AO785+AP785)</f>
        <v/>
      </c>
      <c r="AR785" s="36" t="str">
        <f aca="false">IF(OR($B785="",J785=""),"",IFERROR(VALUE(LEFT(J785,1)),""))</f>
        <v/>
      </c>
      <c r="AS785" s="35" t="str">
        <f aca="false">IF(OR(AO785&lt;&gt;1,G785=""),"",IFERROR(IF(INDEX(L_SrcInterne,MATCH(G785,L_Sources,0))="Oui",1,0),""))</f>
        <v/>
      </c>
      <c r="AT785" s="37" t="str">
        <f aca="false">IF(AO785&lt;&gt;1,"",IFERROR(ROUND(IF(OR(N785="",O785=""),"",IF(O785&lt;N785,"",ROUND(((NETWORKDAYS(N785,O785,JoursFeries)-1)*(HFer-HOuv)+IF(NETWORKDAYS(O785,O785,JoursFeries),MEDIAN(MOD(O785,1),HFer,HOuv),HFer)-IF(NETWORKDAYS(N785,N785,JoursFeries),MEDIAN(MOD(N785,1),HFer,HOuv),HOuv))*24,4)))/HJour,4),""))</f>
        <v/>
      </c>
      <c r="AU785" s="37" t="str">
        <f aca="false">IF(AO785&lt;&gt;1,"",IF(OR(O785="",P785=""),"",IF(P785&lt;O785,"",ROUND(((NETWORKDAYS(O785,P785,JoursFeries)-1)*(HFer-HOuv)+IF(NETWORKDAYS(P785,P785,JoursFeries),MEDIAN(MOD(P785,1),HFer,HOuv),HFer)-IF(NETWORKDAYS(O785,O785,JoursFeries),MEDIAN(MOD(O785,1),HFer,HOuv),HOuv))*24,4))))</f>
        <v/>
      </c>
      <c r="AV785" s="37" t="str">
        <f aca="false">IF(AO785&lt;&gt;1,"",IF(OR(P785="",Q785=""),"",IF(Q785&lt;P785,"",ROUND(((NETWORKDAYS(P785,Q785,JoursFeries)-1)*(HFer-HOuv)+IF(NETWORKDAYS(Q785,Q785,JoursFeries),MEDIAN(MOD(Q785,1),HFer,HOuv),HFer)-IF(NETWORKDAYS(P785,P785,JoursFeries),MEDIAN(MOD(P785,1),HFer,HOuv),HOuv))*24,4))))</f>
        <v/>
      </c>
      <c r="AW785" s="37" t="str">
        <f aca="false">IF(AO785&lt;&gt;1,"",IFERROR(ROUND(IF(OR(P785="",R785=""),"",IF(R785&lt;P785,"",ROUND(((NETWORKDAYS(P785,R785,JoursFeries)-1)*(HFer-HOuv)+IF(NETWORKDAYS(R785,R785,JoursFeries),MEDIAN(MOD(R785,1),HFer,HOuv),HFer)-IF(NETWORKDAYS(P785,P785,JoursFeries),MEDIAN(MOD(P785,1),HFer,HOuv),HOuv))*24,4)))/HJour,4),""))</f>
        <v/>
      </c>
      <c r="AX785" s="37" t="str">
        <f aca="false">IF(AO785&lt;&gt;1,"",IFERROR(ROUND(IF(OR(P785="",S785=""),"",IF(S785&lt;P785,"",ROUND(((NETWORKDAYS(P785,S785,JoursFeries)-1)*(HFer-HOuv)+IF(NETWORKDAYS(S785,S785,JoursFeries),MEDIAN(MOD(S785,1),HFer,HOuv),HFer)-IF(NETWORKDAYS(P785,P785,JoursFeries),MEDIAN(MOD(P785,1),HFer,HOuv),HOuv))*24,4)))/HJour,4),""))</f>
        <v/>
      </c>
      <c r="AY785" s="36" t="str">
        <f aca="false">IF(OR(AO785&lt;&gt;1,AR785=""),"",INDEX(SLA_PEC,AR785))</f>
        <v/>
      </c>
      <c r="AZ785" s="35" t="str">
        <f aca="false">IF(OR(AV785="",AY785=""),"",IF(AV785&lt;=AY785,1,0))</f>
        <v/>
      </c>
      <c r="BA785" s="36" t="str">
        <f aca="false">IF(OR(AO785&lt;&gt;1,AR785=""),"",INDEX(SLA_RES,AR785))</f>
        <v/>
      </c>
      <c r="BB785" s="35" t="str">
        <f aca="false">IF(OR(AW785="",BA785=""),"",IF(AW785&lt;=BA785,1,0))</f>
        <v/>
      </c>
      <c r="BC785" s="38" t="str">
        <f aca="false">IF(OR(BA785="",P785=""),"",WORKDAY(INT(P785),BA785,JoursFeries)+MOD(P785,1))</f>
        <v/>
      </c>
      <c r="BD785" s="39" t="str">
        <f aca="false">IF(AO785&lt;&gt;1,"",IF(OR(AB785&lt;&gt;"",AD785&lt;&gt;""),4,IF(U785&lt;&gt;"",3,IF(T785&lt;&gt;"",2,1))))</f>
        <v/>
      </c>
      <c r="BE785" s="39" t="str">
        <f aca="false">IF(OR(AO785&lt;&gt;1,AR785=""),"",INDEX(NIV_REQ,AR785))</f>
        <v/>
      </c>
      <c r="BF785" s="39" t="str">
        <f aca="false">IF(BE785="","",MAX(BE785,IF(OR(K785="Oui",Z785="Oui"),4,1)))</f>
        <v/>
      </c>
      <c r="BG785" s="35" t="str">
        <f aca="false">IF(OR(BF785="",BD785=""),"",IF(BD785&gt;=BF785,1,0))</f>
        <v/>
      </c>
      <c r="BH785" s="38" t="str">
        <f aca="false">IF(BE785="","",IF(BE785&lt;2,"",IF(BE785=2,IF(AND(T785="",U785=""),"",MIN(T785,U785)),IF(U785="","",U785))))</f>
        <v/>
      </c>
      <c r="BI785" s="37" t="str">
        <f aca="false">IF(BH785="","",IF(OR(O785="",BH785=""),"",IF(BH785&lt;O785,"",ROUND(((NETWORKDAYS(O785,BH785,JoursFeries)-1)*(HFer-HOuv)+IF(NETWORKDAYS(BH785,BH785,JoursFeries),MEDIAN(MOD(BH785,1),HFer,HOuv),HFer)-IF(NETWORKDAYS(O785,O785,JoursFeries),MEDIAN(MOD(O785,1),HFer,HOuv),HOuv))*24,4))))</f>
        <v/>
      </c>
      <c r="BJ785" s="35" t="str">
        <f aca="false">IF(OR(BI785="",AR785=""),"",IF(BI785&lt;=INDEX(DELAI_ESC,AR785),1,0))</f>
        <v/>
      </c>
      <c r="BK785" s="38" t="str">
        <f aca="false">IF(AO785&lt;&gt;1,"",IF(AND(T785="",U785=""),"",MIN(T785,U785)))</f>
        <v/>
      </c>
      <c r="BL785" s="37" t="str">
        <f aca="false">IF(OR(BK785="",R785=""),"",IFERROR(ROUND(IF(OR(BK785="",R785=""),"",IF(R785&lt;BK785,"",ROUND(((NETWORKDAYS(BK785,R785,JoursFeries)-1)*(HFer-HOuv)+IF(NETWORKDAYS(R785,R785,JoursFeries),MEDIAN(MOD(R785,1),HFer,HOuv),HFer)-IF(NETWORKDAYS(BK785,BK785,JoursFeries),MEDIAN(MOD(BK785,1),HFer,HOuv),HOuv))*24,4)))/HJour,4),""))</f>
        <v/>
      </c>
      <c r="BM785" s="35" t="str">
        <f aca="false">IF(OR(AO785&lt;&gt;1,R785=""),"",IF(BD785=1,1,0))</f>
        <v/>
      </c>
      <c r="BN785" s="35" t="str">
        <f aca="false">IF(AO785&lt;&gt;1,"",IF(W785="Oui",1,0))</f>
        <v/>
      </c>
      <c r="BO785" s="35" t="str">
        <f aca="false">IF(AO785&lt;&gt;1,"",IF(X785&lt;&gt;"",1,0))</f>
        <v/>
      </c>
      <c r="BP785" s="35" t="str">
        <f aca="false">IF(AO785&lt;&gt;1,"",IF(Y785="Oui",1,0))</f>
        <v/>
      </c>
      <c r="BQ785" s="35" t="str">
        <f aca="true">IF(OR(AO785&lt;&gt;1,Z785&lt;&gt;"Oui"),"",IF(AB785="",IF(AND(AA785&lt;&gt;"",NOW()&gt;AA785),0,""),IF(AA785="","",IF(AB785&lt;=AA785,1,0))))</f>
        <v/>
      </c>
      <c r="BR785" s="38" t="str">
        <f aca="false">IF(OR(AO785&lt;&gt;1,K785&lt;&gt;"Oui",O785=""),"",IF(AC785="",O785+DORA_H_DET/24,IF(AC785-O785&lt;=DORA_H_DET/24,MIN(AC785+DORA_H_CLA/24,O785+DORA_H_DET/24),AC785+DORA_H_CLA/24)))</f>
        <v/>
      </c>
      <c r="BS785" s="35" t="str">
        <f aca="true">IF(BR785="","",IF(AD785="",IF(NOW()&gt;BR785,0,""),IF(AD785&lt;=BR785,1,0)))</f>
        <v/>
      </c>
      <c r="BT785" s="35" t="str">
        <f aca="true">IF(OR(BR785="",AD785=""),"",IF(AE785="",IF(NOW()&gt;AD785+DORA_H_INT/24,0,""),IF(AE785&lt;=AD785+DORA_H_INT/24,1,0)))</f>
        <v/>
      </c>
      <c r="BU785" s="35" t="str">
        <f aca="true">IF(OR(BR785="",AE785=""),"",IF(AF785="",IF(NOW()&gt;EDATE(AE785,DORA_M_FIN)+1,0,""),IF(AF785&lt;=EDATE(AE785,DORA_M_FIN),1,0)))</f>
        <v/>
      </c>
      <c r="BV785" s="35" t="str">
        <f aca="false">IF(BR785="","",IF(COUNT(BS785:BU785)=0,"",MIN(BS785:BU785)))</f>
        <v/>
      </c>
      <c r="BW785" s="40" t="str">
        <f aca="false">IF(AQ785&lt;&gt;1,"",IF(AND(AG785="",AH785=""),"",N(AG785)-N(AH785)))</f>
        <v/>
      </c>
      <c r="BX785" s="35" t="str">
        <f aca="true">IF(OR(AQ785&lt;&gt;1,AI785&lt;&gt;"Oui",AJ785=""),"",IF(AK785="",IF(NOW()&gt;AJ785+1,0,""),IF(AK785&lt;=AJ785,1,0)))</f>
        <v/>
      </c>
    </row>
    <row r="786" customFormat="false" ht="15" hidden="false" customHeight="false" outlineLevel="0" collapsed="false">
      <c r="B786" s="29"/>
      <c r="C786" s="29"/>
      <c r="D786" s="29"/>
      <c r="E786" s="29"/>
      <c r="F786" s="29"/>
      <c r="G786" s="29"/>
      <c r="H786" s="29"/>
      <c r="I786" s="29"/>
      <c r="J786" s="29"/>
      <c r="K786" s="29"/>
      <c r="L786" s="29"/>
      <c r="M786" s="29"/>
      <c r="N786" s="30"/>
      <c r="O786" s="30"/>
      <c r="P786" s="30"/>
      <c r="Q786" s="30"/>
      <c r="R786" s="30"/>
      <c r="S786" s="30"/>
      <c r="T786" s="30"/>
      <c r="U786" s="30"/>
      <c r="V786" s="31"/>
      <c r="W786" s="29"/>
      <c r="X786" s="29"/>
      <c r="Y786" s="29"/>
      <c r="Z786" s="29"/>
      <c r="AA786" s="30"/>
      <c r="AB786" s="30"/>
      <c r="AC786" s="30"/>
      <c r="AD786" s="30"/>
      <c r="AE786" s="30"/>
      <c r="AF786" s="32"/>
      <c r="AG786" s="33"/>
      <c r="AH786" s="33"/>
      <c r="AI786" s="29"/>
      <c r="AJ786" s="32"/>
      <c r="AK786" s="32"/>
      <c r="AL786" s="29"/>
      <c r="AN786" s="34" t="str">
        <f aca="false">IF($B786="","",IF(OR(C786="",D786="",E786="",G786="",I786="",J786="",L786="",O786="",P786=""),"Champ obligatoire manquant",IF(OR(AND(N786&lt;&gt;"",N786&gt;O786),O786&gt;P786,AND(Q786&lt;&gt;"",Q786&lt;P786),AND(R786&lt;&gt;"",R786&lt;P786),AND(S786&lt;&gt;"",S786&lt;R786),AND(S786&lt;&gt;"",R786=""),AND(T786&lt;&gt;"",T786&lt;O786),AND(U786&lt;&gt;"",U786&lt;O786)),"Chronologie incohérente",IF(AND(OR(L786="Résolu",L786="Clos"),R786=""),"Date de résolution manquante",IF(AND(L786="Clos",S786=""),"Date de clôture manquante",IF(AND(K786="Oui",AC786=""),"Classification DORA manquante","OK"))))))</f>
        <v/>
      </c>
      <c r="AO786" s="35" t="str">
        <f aca="false">IF($B786="","",IF(AND(C786="Incident",L786&lt;&gt;"Annulé"),1,0))</f>
        <v/>
      </c>
      <c r="AP786" s="35" t="str">
        <f aca="false">IF($B786="","",IF(AND(C786="Quasi-incident",L786&lt;&gt;"Annulé"),1,0))</f>
        <v/>
      </c>
      <c r="AQ786" s="35" t="str">
        <f aca="false">IF($B786="","",AO786+AP786)</f>
        <v/>
      </c>
      <c r="AR786" s="36" t="str">
        <f aca="false">IF(OR($B786="",J786=""),"",IFERROR(VALUE(LEFT(J786,1)),""))</f>
        <v/>
      </c>
      <c r="AS786" s="35" t="str">
        <f aca="false">IF(OR(AO786&lt;&gt;1,G786=""),"",IFERROR(IF(INDEX(L_SrcInterne,MATCH(G786,L_Sources,0))="Oui",1,0),""))</f>
        <v/>
      </c>
      <c r="AT786" s="37" t="str">
        <f aca="false">IF(AO786&lt;&gt;1,"",IFERROR(ROUND(IF(OR(N786="",O786=""),"",IF(O786&lt;N786,"",ROUND(((NETWORKDAYS(N786,O786,JoursFeries)-1)*(HFer-HOuv)+IF(NETWORKDAYS(O786,O786,JoursFeries),MEDIAN(MOD(O786,1),HFer,HOuv),HFer)-IF(NETWORKDAYS(N786,N786,JoursFeries),MEDIAN(MOD(N786,1),HFer,HOuv),HOuv))*24,4)))/HJour,4),""))</f>
        <v/>
      </c>
      <c r="AU786" s="37" t="str">
        <f aca="false">IF(AO786&lt;&gt;1,"",IF(OR(O786="",P786=""),"",IF(P786&lt;O786,"",ROUND(((NETWORKDAYS(O786,P786,JoursFeries)-1)*(HFer-HOuv)+IF(NETWORKDAYS(P786,P786,JoursFeries),MEDIAN(MOD(P786,1),HFer,HOuv),HFer)-IF(NETWORKDAYS(O786,O786,JoursFeries),MEDIAN(MOD(O786,1),HFer,HOuv),HOuv))*24,4))))</f>
        <v/>
      </c>
      <c r="AV786" s="37" t="str">
        <f aca="false">IF(AO786&lt;&gt;1,"",IF(OR(P786="",Q786=""),"",IF(Q786&lt;P786,"",ROUND(((NETWORKDAYS(P786,Q786,JoursFeries)-1)*(HFer-HOuv)+IF(NETWORKDAYS(Q786,Q786,JoursFeries),MEDIAN(MOD(Q786,1),HFer,HOuv),HFer)-IF(NETWORKDAYS(P786,P786,JoursFeries),MEDIAN(MOD(P786,1),HFer,HOuv),HOuv))*24,4))))</f>
        <v/>
      </c>
      <c r="AW786" s="37" t="str">
        <f aca="false">IF(AO786&lt;&gt;1,"",IFERROR(ROUND(IF(OR(P786="",R786=""),"",IF(R786&lt;P786,"",ROUND(((NETWORKDAYS(P786,R786,JoursFeries)-1)*(HFer-HOuv)+IF(NETWORKDAYS(R786,R786,JoursFeries),MEDIAN(MOD(R786,1),HFer,HOuv),HFer)-IF(NETWORKDAYS(P786,P786,JoursFeries),MEDIAN(MOD(P786,1),HFer,HOuv),HOuv))*24,4)))/HJour,4),""))</f>
        <v/>
      </c>
      <c r="AX786" s="37" t="str">
        <f aca="false">IF(AO786&lt;&gt;1,"",IFERROR(ROUND(IF(OR(P786="",S786=""),"",IF(S786&lt;P786,"",ROUND(((NETWORKDAYS(P786,S786,JoursFeries)-1)*(HFer-HOuv)+IF(NETWORKDAYS(S786,S786,JoursFeries),MEDIAN(MOD(S786,1),HFer,HOuv),HFer)-IF(NETWORKDAYS(P786,P786,JoursFeries),MEDIAN(MOD(P786,1),HFer,HOuv),HOuv))*24,4)))/HJour,4),""))</f>
        <v/>
      </c>
      <c r="AY786" s="36" t="str">
        <f aca="false">IF(OR(AO786&lt;&gt;1,AR786=""),"",INDEX(SLA_PEC,AR786))</f>
        <v/>
      </c>
      <c r="AZ786" s="35" t="str">
        <f aca="false">IF(OR(AV786="",AY786=""),"",IF(AV786&lt;=AY786,1,0))</f>
        <v/>
      </c>
      <c r="BA786" s="36" t="str">
        <f aca="false">IF(OR(AO786&lt;&gt;1,AR786=""),"",INDEX(SLA_RES,AR786))</f>
        <v/>
      </c>
      <c r="BB786" s="35" t="str">
        <f aca="false">IF(OR(AW786="",BA786=""),"",IF(AW786&lt;=BA786,1,0))</f>
        <v/>
      </c>
      <c r="BC786" s="38" t="str">
        <f aca="false">IF(OR(BA786="",P786=""),"",WORKDAY(INT(P786),BA786,JoursFeries)+MOD(P786,1))</f>
        <v/>
      </c>
      <c r="BD786" s="39" t="str">
        <f aca="false">IF(AO786&lt;&gt;1,"",IF(OR(AB786&lt;&gt;"",AD786&lt;&gt;""),4,IF(U786&lt;&gt;"",3,IF(T786&lt;&gt;"",2,1))))</f>
        <v/>
      </c>
      <c r="BE786" s="39" t="str">
        <f aca="false">IF(OR(AO786&lt;&gt;1,AR786=""),"",INDEX(NIV_REQ,AR786))</f>
        <v/>
      </c>
      <c r="BF786" s="39" t="str">
        <f aca="false">IF(BE786="","",MAX(BE786,IF(OR(K786="Oui",Z786="Oui"),4,1)))</f>
        <v/>
      </c>
      <c r="BG786" s="35" t="str">
        <f aca="false">IF(OR(BF786="",BD786=""),"",IF(BD786&gt;=BF786,1,0))</f>
        <v/>
      </c>
      <c r="BH786" s="38" t="str">
        <f aca="false">IF(BE786="","",IF(BE786&lt;2,"",IF(BE786=2,IF(AND(T786="",U786=""),"",MIN(T786,U786)),IF(U786="","",U786))))</f>
        <v/>
      </c>
      <c r="BI786" s="37" t="str">
        <f aca="false">IF(BH786="","",IF(OR(O786="",BH786=""),"",IF(BH786&lt;O786,"",ROUND(((NETWORKDAYS(O786,BH786,JoursFeries)-1)*(HFer-HOuv)+IF(NETWORKDAYS(BH786,BH786,JoursFeries),MEDIAN(MOD(BH786,1),HFer,HOuv),HFer)-IF(NETWORKDAYS(O786,O786,JoursFeries),MEDIAN(MOD(O786,1),HFer,HOuv),HOuv))*24,4))))</f>
        <v/>
      </c>
      <c r="BJ786" s="35" t="str">
        <f aca="false">IF(OR(BI786="",AR786=""),"",IF(BI786&lt;=INDEX(DELAI_ESC,AR786),1,0))</f>
        <v/>
      </c>
      <c r="BK786" s="38" t="str">
        <f aca="false">IF(AO786&lt;&gt;1,"",IF(AND(T786="",U786=""),"",MIN(T786,U786)))</f>
        <v/>
      </c>
      <c r="BL786" s="37" t="str">
        <f aca="false">IF(OR(BK786="",R786=""),"",IFERROR(ROUND(IF(OR(BK786="",R786=""),"",IF(R786&lt;BK786,"",ROUND(((NETWORKDAYS(BK786,R786,JoursFeries)-1)*(HFer-HOuv)+IF(NETWORKDAYS(R786,R786,JoursFeries),MEDIAN(MOD(R786,1),HFer,HOuv),HFer)-IF(NETWORKDAYS(BK786,BK786,JoursFeries),MEDIAN(MOD(BK786,1),HFer,HOuv),HOuv))*24,4)))/HJour,4),""))</f>
        <v/>
      </c>
      <c r="BM786" s="35" t="str">
        <f aca="false">IF(OR(AO786&lt;&gt;1,R786=""),"",IF(BD786=1,1,0))</f>
        <v/>
      </c>
      <c r="BN786" s="35" t="str">
        <f aca="false">IF(AO786&lt;&gt;1,"",IF(W786="Oui",1,0))</f>
        <v/>
      </c>
      <c r="BO786" s="35" t="str">
        <f aca="false">IF(AO786&lt;&gt;1,"",IF(X786&lt;&gt;"",1,0))</f>
        <v/>
      </c>
      <c r="BP786" s="35" t="str">
        <f aca="false">IF(AO786&lt;&gt;1,"",IF(Y786="Oui",1,0))</f>
        <v/>
      </c>
      <c r="BQ786" s="35" t="str">
        <f aca="true">IF(OR(AO786&lt;&gt;1,Z786&lt;&gt;"Oui"),"",IF(AB786="",IF(AND(AA786&lt;&gt;"",NOW()&gt;AA786),0,""),IF(AA786="","",IF(AB786&lt;=AA786,1,0))))</f>
        <v/>
      </c>
      <c r="BR786" s="38" t="str">
        <f aca="false">IF(OR(AO786&lt;&gt;1,K786&lt;&gt;"Oui",O786=""),"",IF(AC786="",O786+DORA_H_DET/24,IF(AC786-O786&lt;=DORA_H_DET/24,MIN(AC786+DORA_H_CLA/24,O786+DORA_H_DET/24),AC786+DORA_H_CLA/24)))</f>
        <v/>
      </c>
      <c r="BS786" s="35" t="str">
        <f aca="true">IF(BR786="","",IF(AD786="",IF(NOW()&gt;BR786,0,""),IF(AD786&lt;=BR786,1,0)))</f>
        <v/>
      </c>
      <c r="BT786" s="35" t="str">
        <f aca="true">IF(OR(BR786="",AD786=""),"",IF(AE786="",IF(NOW()&gt;AD786+DORA_H_INT/24,0,""),IF(AE786&lt;=AD786+DORA_H_INT/24,1,0)))</f>
        <v/>
      </c>
      <c r="BU786" s="35" t="str">
        <f aca="true">IF(OR(BR786="",AE786=""),"",IF(AF786="",IF(NOW()&gt;EDATE(AE786,DORA_M_FIN)+1,0,""),IF(AF786&lt;=EDATE(AE786,DORA_M_FIN),1,0)))</f>
        <v/>
      </c>
      <c r="BV786" s="35" t="str">
        <f aca="false">IF(BR786="","",IF(COUNT(BS786:BU786)=0,"",MIN(BS786:BU786)))</f>
        <v/>
      </c>
      <c r="BW786" s="40" t="str">
        <f aca="false">IF(AQ786&lt;&gt;1,"",IF(AND(AG786="",AH786=""),"",N(AG786)-N(AH786)))</f>
        <v/>
      </c>
      <c r="BX786" s="35" t="str">
        <f aca="true">IF(OR(AQ786&lt;&gt;1,AI786&lt;&gt;"Oui",AJ786=""),"",IF(AK786="",IF(NOW()&gt;AJ786+1,0,""),IF(AK786&lt;=AJ786,1,0)))</f>
        <v/>
      </c>
    </row>
    <row r="787" customFormat="false" ht="15" hidden="false" customHeight="false" outlineLevel="0" collapsed="false">
      <c r="B787" s="29"/>
      <c r="C787" s="29"/>
      <c r="D787" s="29"/>
      <c r="E787" s="29"/>
      <c r="F787" s="29"/>
      <c r="G787" s="29"/>
      <c r="H787" s="29"/>
      <c r="I787" s="29"/>
      <c r="J787" s="29"/>
      <c r="K787" s="29"/>
      <c r="L787" s="29"/>
      <c r="M787" s="29"/>
      <c r="N787" s="30"/>
      <c r="O787" s="30"/>
      <c r="P787" s="30"/>
      <c r="Q787" s="30"/>
      <c r="R787" s="30"/>
      <c r="S787" s="30"/>
      <c r="T787" s="30"/>
      <c r="U787" s="30"/>
      <c r="V787" s="31"/>
      <c r="W787" s="29"/>
      <c r="X787" s="29"/>
      <c r="Y787" s="29"/>
      <c r="Z787" s="29"/>
      <c r="AA787" s="30"/>
      <c r="AB787" s="30"/>
      <c r="AC787" s="30"/>
      <c r="AD787" s="30"/>
      <c r="AE787" s="30"/>
      <c r="AF787" s="32"/>
      <c r="AG787" s="33"/>
      <c r="AH787" s="33"/>
      <c r="AI787" s="29"/>
      <c r="AJ787" s="32"/>
      <c r="AK787" s="32"/>
      <c r="AL787" s="29"/>
      <c r="AN787" s="34" t="str">
        <f aca="false">IF($B787="","",IF(OR(C787="",D787="",E787="",G787="",I787="",J787="",L787="",O787="",P787=""),"Champ obligatoire manquant",IF(OR(AND(N787&lt;&gt;"",N787&gt;O787),O787&gt;P787,AND(Q787&lt;&gt;"",Q787&lt;P787),AND(R787&lt;&gt;"",R787&lt;P787),AND(S787&lt;&gt;"",S787&lt;R787),AND(S787&lt;&gt;"",R787=""),AND(T787&lt;&gt;"",T787&lt;O787),AND(U787&lt;&gt;"",U787&lt;O787)),"Chronologie incohérente",IF(AND(OR(L787="Résolu",L787="Clos"),R787=""),"Date de résolution manquante",IF(AND(L787="Clos",S787=""),"Date de clôture manquante",IF(AND(K787="Oui",AC787=""),"Classification DORA manquante","OK"))))))</f>
        <v/>
      </c>
      <c r="AO787" s="35" t="str">
        <f aca="false">IF($B787="","",IF(AND(C787="Incident",L787&lt;&gt;"Annulé"),1,0))</f>
        <v/>
      </c>
      <c r="AP787" s="35" t="str">
        <f aca="false">IF($B787="","",IF(AND(C787="Quasi-incident",L787&lt;&gt;"Annulé"),1,0))</f>
        <v/>
      </c>
      <c r="AQ787" s="35" t="str">
        <f aca="false">IF($B787="","",AO787+AP787)</f>
        <v/>
      </c>
      <c r="AR787" s="36" t="str">
        <f aca="false">IF(OR($B787="",J787=""),"",IFERROR(VALUE(LEFT(J787,1)),""))</f>
        <v/>
      </c>
      <c r="AS787" s="35" t="str">
        <f aca="false">IF(OR(AO787&lt;&gt;1,G787=""),"",IFERROR(IF(INDEX(L_SrcInterne,MATCH(G787,L_Sources,0))="Oui",1,0),""))</f>
        <v/>
      </c>
      <c r="AT787" s="37" t="str">
        <f aca="false">IF(AO787&lt;&gt;1,"",IFERROR(ROUND(IF(OR(N787="",O787=""),"",IF(O787&lt;N787,"",ROUND(((NETWORKDAYS(N787,O787,JoursFeries)-1)*(HFer-HOuv)+IF(NETWORKDAYS(O787,O787,JoursFeries),MEDIAN(MOD(O787,1),HFer,HOuv),HFer)-IF(NETWORKDAYS(N787,N787,JoursFeries),MEDIAN(MOD(N787,1),HFer,HOuv),HOuv))*24,4)))/HJour,4),""))</f>
        <v/>
      </c>
      <c r="AU787" s="37" t="str">
        <f aca="false">IF(AO787&lt;&gt;1,"",IF(OR(O787="",P787=""),"",IF(P787&lt;O787,"",ROUND(((NETWORKDAYS(O787,P787,JoursFeries)-1)*(HFer-HOuv)+IF(NETWORKDAYS(P787,P787,JoursFeries),MEDIAN(MOD(P787,1),HFer,HOuv),HFer)-IF(NETWORKDAYS(O787,O787,JoursFeries),MEDIAN(MOD(O787,1),HFer,HOuv),HOuv))*24,4))))</f>
        <v/>
      </c>
      <c r="AV787" s="37" t="str">
        <f aca="false">IF(AO787&lt;&gt;1,"",IF(OR(P787="",Q787=""),"",IF(Q787&lt;P787,"",ROUND(((NETWORKDAYS(P787,Q787,JoursFeries)-1)*(HFer-HOuv)+IF(NETWORKDAYS(Q787,Q787,JoursFeries),MEDIAN(MOD(Q787,1),HFer,HOuv),HFer)-IF(NETWORKDAYS(P787,P787,JoursFeries),MEDIAN(MOD(P787,1),HFer,HOuv),HOuv))*24,4))))</f>
        <v/>
      </c>
      <c r="AW787" s="37" t="str">
        <f aca="false">IF(AO787&lt;&gt;1,"",IFERROR(ROUND(IF(OR(P787="",R787=""),"",IF(R787&lt;P787,"",ROUND(((NETWORKDAYS(P787,R787,JoursFeries)-1)*(HFer-HOuv)+IF(NETWORKDAYS(R787,R787,JoursFeries),MEDIAN(MOD(R787,1),HFer,HOuv),HFer)-IF(NETWORKDAYS(P787,P787,JoursFeries),MEDIAN(MOD(P787,1),HFer,HOuv),HOuv))*24,4)))/HJour,4),""))</f>
        <v/>
      </c>
      <c r="AX787" s="37" t="str">
        <f aca="false">IF(AO787&lt;&gt;1,"",IFERROR(ROUND(IF(OR(P787="",S787=""),"",IF(S787&lt;P787,"",ROUND(((NETWORKDAYS(P787,S787,JoursFeries)-1)*(HFer-HOuv)+IF(NETWORKDAYS(S787,S787,JoursFeries),MEDIAN(MOD(S787,1),HFer,HOuv),HFer)-IF(NETWORKDAYS(P787,P787,JoursFeries),MEDIAN(MOD(P787,1),HFer,HOuv),HOuv))*24,4)))/HJour,4),""))</f>
        <v/>
      </c>
      <c r="AY787" s="36" t="str">
        <f aca="false">IF(OR(AO787&lt;&gt;1,AR787=""),"",INDEX(SLA_PEC,AR787))</f>
        <v/>
      </c>
      <c r="AZ787" s="35" t="str">
        <f aca="false">IF(OR(AV787="",AY787=""),"",IF(AV787&lt;=AY787,1,0))</f>
        <v/>
      </c>
      <c r="BA787" s="36" t="str">
        <f aca="false">IF(OR(AO787&lt;&gt;1,AR787=""),"",INDEX(SLA_RES,AR787))</f>
        <v/>
      </c>
      <c r="BB787" s="35" t="str">
        <f aca="false">IF(OR(AW787="",BA787=""),"",IF(AW787&lt;=BA787,1,0))</f>
        <v/>
      </c>
      <c r="BC787" s="38" t="str">
        <f aca="false">IF(OR(BA787="",P787=""),"",WORKDAY(INT(P787),BA787,JoursFeries)+MOD(P787,1))</f>
        <v/>
      </c>
      <c r="BD787" s="39" t="str">
        <f aca="false">IF(AO787&lt;&gt;1,"",IF(OR(AB787&lt;&gt;"",AD787&lt;&gt;""),4,IF(U787&lt;&gt;"",3,IF(T787&lt;&gt;"",2,1))))</f>
        <v/>
      </c>
      <c r="BE787" s="39" t="str">
        <f aca="false">IF(OR(AO787&lt;&gt;1,AR787=""),"",INDEX(NIV_REQ,AR787))</f>
        <v/>
      </c>
      <c r="BF787" s="39" t="str">
        <f aca="false">IF(BE787="","",MAX(BE787,IF(OR(K787="Oui",Z787="Oui"),4,1)))</f>
        <v/>
      </c>
      <c r="BG787" s="35" t="str">
        <f aca="false">IF(OR(BF787="",BD787=""),"",IF(BD787&gt;=BF787,1,0))</f>
        <v/>
      </c>
      <c r="BH787" s="38" t="str">
        <f aca="false">IF(BE787="","",IF(BE787&lt;2,"",IF(BE787=2,IF(AND(T787="",U787=""),"",MIN(T787,U787)),IF(U787="","",U787))))</f>
        <v/>
      </c>
      <c r="BI787" s="37" t="str">
        <f aca="false">IF(BH787="","",IF(OR(O787="",BH787=""),"",IF(BH787&lt;O787,"",ROUND(((NETWORKDAYS(O787,BH787,JoursFeries)-1)*(HFer-HOuv)+IF(NETWORKDAYS(BH787,BH787,JoursFeries),MEDIAN(MOD(BH787,1),HFer,HOuv),HFer)-IF(NETWORKDAYS(O787,O787,JoursFeries),MEDIAN(MOD(O787,1),HFer,HOuv),HOuv))*24,4))))</f>
        <v/>
      </c>
      <c r="BJ787" s="35" t="str">
        <f aca="false">IF(OR(BI787="",AR787=""),"",IF(BI787&lt;=INDEX(DELAI_ESC,AR787),1,0))</f>
        <v/>
      </c>
      <c r="BK787" s="38" t="str">
        <f aca="false">IF(AO787&lt;&gt;1,"",IF(AND(T787="",U787=""),"",MIN(T787,U787)))</f>
        <v/>
      </c>
      <c r="BL787" s="37" t="str">
        <f aca="false">IF(OR(BK787="",R787=""),"",IFERROR(ROUND(IF(OR(BK787="",R787=""),"",IF(R787&lt;BK787,"",ROUND(((NETWORKDAYS(BK787,R787,JoursFeries)-1)*(HFer-HOuv)+IF(NETWORKDAYS(R787,R787,JoursFeries),MEDIAN(MOD(R787,1),HFer,HOuv),HFer)-IF(NETWORKDAYS(BK787,BK787,JoursFeries),MEDIAN(MOD(BK787,1),HFer,HOuv),HOuv))*24,4)))/HJour,4),""))</f>
        <v/>
      </c>
      <c r="BM787" s="35" t="str">
        <f aca="false">IF(OR(AO787&lt;&gt;1,R787=""),"",IF(BD787=1,1,0))</f>
        <v/>
      </c>
      <c r="BN787" s="35" t="str">
        <f aca="false">IF(AO787&lt;&gt;1,"",IF(W787="Oui",1,0))</f>
        <v/>
      </c>
      <c r="BO787" s="35" t="str">
        <f aca="false">IF(AO787&lt;&gt;1,"",IF(X787&lt;&gt;"",1,0))</f>
        <v/>
      </c>
      <c r="BP787" s="35" t="str">
        <f aca="false">IF(AO787&lt;&gt;1,"",IF(Y787="Oui",1,0))</f>
        <v/>
      </c>
      <c r="BQ787" s="35" t="str">
        <f aca="true">IF(OR(AO787&lt;&gt;1,Z787&lt;&gt;"Oui"),"",IF(AB787="",IF(AND(AA787&lt;&gt;"",NOW()&gt;AA787),0,""),IF(AA787="","",IF(AB787&lt;=AA787,1,0))))</f>
        <v/>
      </c>
      <c r="BR787" s="38" t="str">
        <f aca="false">IF(OR(AO787&lt;&gt;1,K787&lt;&gt;"Oui",O787=""),"",IF(AC787="",O787+DORA_H_DET/24,IF(AC787-O787&lt;=DORA_H_DET/24,MIN(AC787+DORA_H_CLA/24,O787+DORA_H_DET/24),AC787+DORA_H_CLA/24)))</f>
        <v/>
      </c>
      <c r="BS787" s="35" t="str">
        <f aca="true">IF(BR787="","",IF(AD787="",IF(NOW()&gt;BR787,0,""),IF(AD787&lt;=BR787,1,0)))</f>
        <v/>
      </c>
      <c r="BT787" s="35" t="str">
        <f aca="true">IF(OR(BR787="",AD787=""),"",IF(AE787="",IF(NOW()&gt;AD787+DORA_H_INT/24,0,""),IF(AE787&lt;=AD787+DORA_H_INT/24,1,0)))</f>
        <v/>
      </c>
      <c r="BU787" s="35" t="str">
        <f aca="true">IF(OR(BR787="",AE787=""),"",IF(AF787="",IF(NOW()&gt;EDATE(AE787,DORA_M_FIN)+1,0,""),IF(AF787&lt;=EDATE(AE787,DORA_M_FIN),1,0)))</f>
        <v/>
      </c>
      <c r="BV787" s="35" t="str">
        <f aca="false">IF(BR787="","",IF(COUNT(BS787:BU787)=0,"",MIN(BS787:BU787)))</f>
        <v/>
      </c>
      <c r="BW787" s="40" t="str">
        <f aca="false">IF(AQ787&lt;&gt;1,"",IF(AND(AG787="",AH787=""),"",N(AG787)-N(AH787)))</f>
        <v/>
      </c>
      <c r="BX787" s="35" t="str">
        <f aca="true">IF(OR(AQ787&lt;&gt;1,AI787&lt;&gt;"Oui",AJ787=""),"",IF(AK787="",IF(NOW()&gt;AJ787+1,0,""),IF(AK787&lt;=AJ787,1,0)))</f>
        <v/>
      </c>
    </row>
    <row r="788" customFormat="false" ht="15" hidden="false" customHeight="false" outlineLevel="0" collapsed="false">
      <c r="B788" s="29"/>
      <c r="C788" s="29"/>
      <c r="D788" s="29"/>
      <c r="E788" s="29"/>
      <c r="F788" s="29"/>
      <c r="G788" s="29"/>
      <c r="H788" s="29"/>
      <c r="I788" s="29"/>
      <c r="J788" s="29"/>
      <c r="K788" s="29"/>
      <c r="L788" s="29"/>
      <c r="M788" s="29"/>
      <c r="N788" s="30"/>
      <c r="O788" s="30"/>
      <c r="P788" s="30"/>
      <c r="Q788" s="30"/>
      <c r="R788" s="30"/>
      <c r="S788" s="30"/>
      <c r="T788" s="30"/>
      <c r="U788" s="30"/>
      <c r="V788" s="31"/>
      <c r="W788" s="29"/>
      <c r="X788" s="29"/>
      <c r="Y788" s="29"/>
      <c r="Z788" s="29"/>
      <c r="AA788" s="30"/>
      <c r="AB788" s="30"/>
      <c r="AC788" s="30"/>
      <c r="AD788" s="30"/>
      <c r="AE788" s="30"/>
      <c r="AF788" s="32"/>
      <c r="AG788" s="33"/>
      <c r="AH788" s="33"/>
      <c r="AI788" s="29"/>
      <c r="AJ788" s="32"/>
      <c r="AK788" s="32"/>
      <c r="AL788" s="29"/>
      <c r="AN788" s="34" t="str">
        <f aca="false">IF($B788="","",IF(OR(C788="",D788="",E788="",G788="",I788="",J788="",L788="",O788="",P788=""),"Champ obligatoire manquant",IF(OR(AND(N788&lt;&gt;"",N788&gt;O788),O788&gt;P788,AND(Q788&lt;&gt;"",Q788&lt;P788),AND(R788&lt;&gt;"",R788&lt;P788),AND(S788&lt;&gt;"",S788&lt;R788),AND(S788&lt;&gt;"",R788=""),AND(T788&lt;&gt;"",T788&lt;O788),AND(U788&lt;&gt;"",U788&lt;O788)),"Chronologie incohérente",IF(AND(OR(L788="Résolu",L788="Clos"),R788=""),"Date de résolution manquante",IF(AND(L788="Clos",S788=""),"Date de clôture manquante",IF(AND(K788="Oui",AC788=""),"Classification DORA manquante","OK"))))))</f>
        <v/>
      </c>
      <c r="AO788" s="35" t="str">
        <f aca="false">IF($B788="","",IF(AND(C788="Incident",L788&lt;&gt;"Annulé"),1,0))</f>
        <v/>
      </c>
      <c r="AP788" s="35" t="str">
        <f aca="false">IF($B788="","",IF(AND(C788="Quasi-incident",L788&lt;&gt;"Annulé"),1,0))</f>
        <v/>
      </c>
      <c r="AQ788" s="35" t="str">
        <f aca="false">IF($B788="","",AO788+AP788)</f>
        <v/>
      </c>
      <c r="AR788" s="36" t="str">
        <f aca="false">IF(OR($B788="",J788=""),"",IFERROR(VALUE(LEFT(J788,1)),""))</f>
        <v/>
      </c>
      <c r="AS788" s="35" t="str">
        <f aca="false">IF(OR(AO788&lt;&gt;1,G788=""),"",IFERROR(IF(INDEX(L_SrcInterne,MATCH(G788,L_Sources,0))="Oui",1,0),""))</f>
        <v/>
      </c>
      <c r="AT788" s="37" t="str">
        <f aca="false">IF(AO788&lt;&gt;1,"",IFERROR(ROUND(IF(OR(N788="",O788=""),"",IF(O788&lt;N788,"",ROUND(((NETWORKDAYS(N788,O788,JoursFeries)-1)*(HFer-HOuv)+IF(NETWORKDAYS(O788,O788,JoursFeries),MEDIAN(MOD(O788,1),HFer,HOuv),HFer)-IF(NETWORKDAYS(N788,N788,JoursFeries),MEDIAN(MOD(N788,1),HFer,HOuv),HOuv))*24,4)))/HJour,4),""))</f>
        <v/>
      </c>
      <c r="AU788" s="37" t="str">
        <f aca="false">IF(AO788&lt;&gt;1,"",IF(OR(O788="",P788=""),"",IF(P788&lt;O788,"",ROUND(((NETWORKDAYS(O788,P788,JoursFeries)-1)*(HFer-HOuv)+IF(NETWORKDAYS(P788,P788,JoursFeries),MEDIAN(MOD(P788,1),HFer,HOuv),HFer)-IF(NETWORKDAYS(O788,O788,JoursFeries),MEDIAN(MOD(O788,1),HFer,HOuv),HOuv))*24,4))))</f>
        <v/>
      </c>
      <c r="AV788" s="37" t="str">
        <f aca="false">IF(AO788&lt;&gt;1,"",IF(OR(P788="",Q788=""),"",IF(Q788&lt;P788,"",ROUND(((NETWORKDAYS(P788,Q788,JoursFeries)-1)*(HFer-HOuv)+IF(NETWORKDAYS(Q788,Q788,JoursFeries),MEDIAN(MOD(Q788,1),HFer,HOuv),HFer)-IF(NETWORKDAYS(P788,P788,JoursFeries),MEDIAN(MOD(P788,1),HFer,HOuv),HOuv))*24,4))))</f>
        <v/>
      </c>
      <c r="AW788" s="37" t="str">
        <f aca="false">IF(AO788&lt;&gt;1,"",IFERROR(ROUND(IF(OR(P788="",R788=""),"",IF(R788&lt;P788,"",ROUND(((NETWORKDAYS(P788,R788,JoursFeries)-1)*(HFer-HOuv)+IF(NETWORKDAYS(R788,R788,JoursFeries),MEDIAN(MOD(R788,1),HFer,HOuv),HFer)-IF(NETWORKDAYS(P788,P788,JoursFeries),MEDIAN(MOD(P788,1),HFer,HOuv),HOuv))*24,4)))/HJour,4),""))</f>
        <v/>
      </c>
      <c r="AX788" s="37" t="str">
        <f aca="false">IF(AO788&lt;&gt;1,"",IFERROR(ROUND(IF(OR(P788="",S788=""),"",IF(S788&lt;P788,"",ROUND(((NETWORKDAYS(P788,S788,JoursFeries)-1)*(HFer-HOuv)+IF(NETWORKDAYS(S788,S788,JoursFeries),MEDIAN(MOD(S788,1),HFer,HOuv),HFer)-IF(NETWORKDAYS(P788,P788,JoursFeries),MEDIAN(MOD(P788,1),HFer,HOuv),HOuv))*24,4)))/HJour,4),""))</f>
        <v/>
      </c>
      <c r="AY788" s="36" t="str">
        <f aca="false">IF(OR(AO788&lt;&gt;1,AR788=""),"",INDEX(SLA_PEC,AR788))</f>
        <v/>
      </c>
      <c r="AZ788" s="35" t="str">
        <f aca="false">IF(OR(AV788="",AY788=""),"",IF(AV788&lt;=AY788,1,0))</f>
        <v/>
      </c>
      <c r="BA788" s="36" t="str">
        <f aca="false">IF(OR(AO788&lt;&gt;1,AR788=""),"",INDEX(SLA_RES,AR788))</f>
        <v/>
      </c>
      <c r="BB788" s="35" t="str">
        <f aca="false">IF(OR(AW788="",BA788=""),"",IF(AW788&lt;=BA788,1,0))</f>
        <v/>
      </c>
      <c r="BC788" s="38" t="str">
        <f aca="false">IF(OR(BA788="",P788=""),"",WORKDAY(INT(P788),BA788,JoursFeries)+MOD(P788,1))</f>
        <v/>
      </c>
      <c r="BD788" s="39" t="str">
        <f aca="false">IF(AO788&lt;&gt;1,"",IF(OR(AB788&lt;&gt;"",AD788&lt;&gt;""),4,IF(U788&lt;&gt;"",3,IF(T788&lt;&gt;"",2,1))))</f>
        <v/>
      </c>
      <c r="BE788" s="39" t="str">
        <f aca="false">IF(OR(AO788&lt;&gt;1,AR788=""),"",INDEX(NIV_REQ,AR788))</f>
        <v/>
      </c>
      <c r="BF788" s="39" t="str">
        <f aca="false">IF(BE788="","",MAX(BE788,IF(OR(K788="Oui",Z788="Oui"),4,1)))</f>
        <v/>
      </c>
      <c r="BG788" s="35" t="str">
        <f aca="false">IF(OR(BF788="",BD788=""),"",IF(BD788&gt;=BF788,1,0))</f>
        <v/>
      </c>
      <c r="BH788" s="38" t="str">
        <f aca="false">IF(BE788="","",IF(BE788&lt;2,"",IF(BE788=2,IF(AND(T788="",U788=""),"",MIN(T788,U788)),IF(U788="","",U788))))</f>
        <v/>
      </c>
      <c r="BI788" s="37" t="str">
        <f aca="false">IF(BH788="","",IF(OR(O788="",BH788=""),"",IF(BH788&lt;O788,"",ROUND(((NETWORKDAYS(O788,BH788,JoursFeries)-1)*(HFer-HOuv)+IF(NETWORKDAYS(BH788,BH788,JoursFeries),MEDIAN(MOD(BH788,1),HFer,HOuv),HFer)-IF(NETWORKDAYS(O788,O788,JoursFeries),MEDIAN(MOD(O788,1),HFer,HOuv),HOuv))*24,4))))</f>
        <v/>
      </c>
      <c r="BJ788" s="35" t="str">
        <f aca="false">IF(OR(BI788="",AR788=""),"",IF(BI788&lt;=INDEX(DELAI_ESC,AR788),1,0))</f>
        <v/>
      </c>
      <c r="BK788" s="38" t="str">
        <f aca="false">IF(AO788&lt;&gt;1,"",IF(AND(T788="",U788=""),"",MIN(T788,U788)))</f>
        <v/>
      </c>
      <c r="BL788" s="37" t="str">
        <f aca="false">IF(OR(BK788="",R788=""),"",IFERROR(ROUND(IF(OR(BK788="",R788=""),"",IF(R788&lt;BK788,"",ROUND(((NETWORKDAYS(BK788,R788,JoursFeries)-1)*(HFer-HOuv)+IF(NETWORKDAYS(R788,R788,JoursFeries),MEDIAN(MOD(R788,1),HFer,HOuv),HFer)-IF(NETWORKDAYS(BK788,BK788,JoursFeries),MEDIAN(MOD(BK788,1),HFer,HOuv),HOuv))*24,4)))/HJour,4),""))</f>
        <v/>
      </c>
      <c r="BM788" s="35" t="str">
        <f aca="false">IF(OR(AO788&lt;&gt;1,R788=""),"",IF(BD788=1,1,0))</f>
        <v/>
      </c>
      <c r="BN788" s="35" t="str">
        <f aca="false">IF(AO788&lt;&gt;1,"",IF(W788="Oui",1,0))</f>
        <v/>
      </c>
      <c r="BO788" s="35" t="str">
        <f aca="false">IF(AO788&lt;&gt;1,"",IF(X788&lt;&gt;"",1,0))</f>
        <v/>
      </c>
      <c r="BP788" s="35" t="str">
        <f aca="false">IF(AO788&lt;&gt;1,"",IF(Y788="Oui",1,0))</f>
        <v/>
      </c>
      <c r="BQ788" s="35" t="str">
        <f aca="true">IF(OR(AO788&lt;&gt;1,Z788&lt;&gt;"Oui"),"",IF(AB788="",IF(AND(AA788&lt;&gt;"",NOW()&gt;AA788),0,""),IF(AA788="","",IF(AB788&lt;=AA788,1,0))))</f>
        <v/>
      </c>
      <c r="BR788" s="38" t="str">
        <f aca="false">IF(OR(AO788&lt;&gt;1,K788&lt;&gt;"Oui",O788=""),"",IF(AC788="",O788+DORA_H_DET/24,IF(AC788-O788&lt;=DORA_H_DET/24,MIN(AC788+DORA_H_CLA/24,O788+DORA_H_DET/24),AC788+DORA_H_CLA/24)))</f>
        <v/>
      </c>
      <c r="BS788" s="35" t="str">
        <f aca="true">IF(BR788="","",IF(AD788="",IF(NOW()&gt;BR788,0,""),IF(AD788&lt;=BR788,1,0)))</f>
        <v/>
      </c>
      <c r="BT788" s="35" t="str">
        <f aca="true">IF(OR(BR788="",AD788=""),"",IF(AE788="",IF(NOW()&gt;AD788+DORA_H_INT/24,0,""),IF(AE788&lt;=AD788+DORA_H_INT/24,1,0)))</f>
        <v/>
      </c>
      <c r="BU788" s="35" t="str">
        <f aca="true">IF(OR(BR788="",AE788=""),"",IF(AF788="",IF(NOW()&gt;EDATE(AE788,DORA_M_FIN)+1,0,""),IF(AF788&lt;=EDATE(AE788,DORA_M_FIN),1,0)))</f>
        <v/>
      </c>
      <c r="BV788" s="35" t="str">
        <f aca="false">IF(BR788="","",IF(COUNT(BS788:BU788)=0,"",MIN(BS788:BU788)))</f>
        <v/>
      </c>
      <c r="BW788" s="40" t="str">
        <f aca="false">IF(AQ788&lt;&gt;1,"",IF(AND(AG788="",AH788=""),"",N(AG788)-N(AH788)))</f>
        <v/>
      </c>
      <c r="BX788" s="35" t="str">
        <f aca="true">IF(OR(AQ788&lt;&gt;1,AI788&lt;&gt;"Oui",AJ788=""),"",IF(AK788="",IF(NOW()&gt;AJ788+1,0,""),IF(AK788&lt;=AJ788,1,0)))</f>
        <v/>
      </c>
    </row>
    <row r="789" customFormat="false" ht="15" hidden="false" customHeight="false" outlineLevel="0" collapsed="false">
      <c r="B789" s="29"/>
      <c r="C789" s="29"/>
      <c r="D789" s="29"/>
      <c r="E789" s="29"/>
      <c r="F789" s="29"/>
      <c r="G789" s="29"/>
      <c r="H789" s="29"/>
      <c r="I789" s="29"/>
      <c r="J789" s="29"/>
      <c r="K789" s="29"/>
      <c r="L789" s="29"/>
      <c r="M789" s="29"/>
      <c r="N789" s="30"/>
      <c r="O789" s="30"/>
      <c r="P789" s="30"/>
      <c r="Q789" s="30"/>
      <c r="R789" s="30"/>
      <c r="S789" s="30"/>
      <c r="T789" s="30"/>
      <c r="U789" s="30"/>
      <c r="V789" s="31"/>
      <c r="W789" s="29"/>
      <c r="X789" s="29"/>
      <c r="Y789" s="29"/>
      <c r="Z789" s="29"/>
      <c r="AA789" s="30"/>
      <c r="AB789" s="30"/>
      <c r="AC789" s="30"/>
      <c r="AD789" s="30"/>
      <c r="AE789" s="30"/>
      <c r="AF789" s="32"/>
      <c r="AG789" s="33"/>
      <c r="AH789" s="33"/>
      <c r="AI789" s="29"/>
      <c r="AJ789" s="32"/>
      <c r="AK789" s="32"/>
      <c r="AL789" s="29"/>
      <c r="AN789" s="34" t="str">
        <f aca="false">IF($B789="","",IF(OR(C789="",D789="",E789="",G789="",I789="",J789="",L789="",O789="",P789=""),"Champ obligatoire manquant",IF(OR(AND(N789&lt;&gt;"",N789&gt;O789),O789&gt;P789,AND(Q789&lt;&gt;"",Q789&lt;P789),AND(R789&lt;&gt;"",R789&lt;P789),AND(S789&lt;&gt;"",S789&lt;R789),AND(S789&lt;&gt;"",R789=""),AND(T789&lt;&gt;"",T789&lt;O789),AND(U789&lt;&gt;"",U789&lt;O789)),"Chronologie incohérente",IF(AND(OR(L789="Résolu",L789="Clos"),R789=""),"Date de résolution manquante",IF(AND(L789="Clos",S789=""),"Date de clôture manquante",IF(AND(K789="Oui",AC789=""),"Classification DORA manquante","OK"))))))</f>
        <v/>
      </c>
      <c r="AO789" s="35" t="str">
        <f aca="false">IF($B789="","",IF(AND(C789="Incident",L789&lt;&gt;"Annulé"),1,0))</f>
        <v/>
      </c>
      <c r="AP789" s="35" t="str">
        <f aca="false">IF($B789="","",IF(AND(C789="Quasi-incident",L789&lt;&gt;"Annulé"),1,0))</f>
        <v/>
      </c>
      <c r="AQ789" s="35" t="str">
        <f aca="false">IF($B789="","",AO789+AP789)</f>
        <v/>
      </c>
      <c r="AR789" s="36" t="str">
        <f aca="false">IF(OR($B789="",J789=""),"",IFERROR(VALUE(LEFT(J789,1)),""))</f>
        <v/>
      </c>
      <c r="AS789" s="35" t="str">
        <f aca="false">IF(OR(AO789&lt;&gt;1,G789=""),"",IFERROR(IF(INDEX(L_SrcInterne,MATCH(G789,L_Sources,0))="Oui",1,0),""))</f>
        <v/>
      </c>
      <c r="AT789" s="37" t="str">
        <f aca="false">IF(AO789&lt;&gt;1,"",IFERROR(ROUND(IF(OR(N789="",O789=""),"",IF(O789&lt;N789,"",ROUND(((NETWORKDAYS(N789,O789,JoursFeries)-1)*(HFer-HOuv)+IF(NETWORKDAYS(O789,O789,JoursFeries),MEDIAN(MOD(O789,1),HFer,HOuv),HFer)-IF(NETWORKDAYS(N789,N789,JoursFeries),MEDIAN(MOD(N789,1),HFer,HOuv),HOuv))*24,4)))/HJour,4),""))</f>
        <v/>
      </c>
      <c r="AU789" s="37" t="str">
        <f aca="false">IF(AO789&lt;&gt;1,"",IF(OR(O789="",P789=""),"",IF(P789&lt;O789,"",ROUND(((NETWORKDAYS(O789,P789,JoursFeries)-1)*(HFer-HOuv)+IF(NETWORKDAYS(P789,P789,JoursFeries),MEDIAN(MOD(P789,1),HFer,HOuv),HFer)-IF(NETWORKDAYS(O789,O789,JoursFeries),MEDIAN(MOD(O789,1),HFer,HOuv),HOuv))*24,4))))</f>
        <v/>
      </c>
      <c r="AV789" s="37" t="str">
        <f aca="false">IF(AO789&lt;&gt;1,"",IF(OR(P789="",Q789=""),"",IF(Q789&lt;P789,"",ROUND(((NETWORKDAYS(P789,Q789,JoursFeries)-1)*(HFer-HOuv)+IF(NETWORKDAYS(Q789,Q789,JoursFeries),MEDIAN(MOD(Q789,1),HFer,HOuv),HFer)-IF(NETWORKDAYS(P789,P789,JoursFeries),MEDIAN(MOD(P789,1),HFer,HOuv),HOuv))*24,4))))</f>
        <v/>
      </c>
      <c r="AW789" s="37" t="str">
        <f aca="false">IF(AO789&lt;&gt;1,"",IFERROR(ROUND(IF(OR(P789="",R789=""),"",IF(R789&lt;P789,"",ROUND(((NETWORKDAYS(P789,R789,JoursFeries)-1)*(HFer-HOuv)+IF(NETWORKDAYS(R789,R789,JoursFeries),MEDIAN(MOD(R789,1),HFer,HOuv),HFer)-IF(NETWORKDAYS(P789,P789,JoursFeries),MEDIAN(MOD(P789,1),HFer,HOuv),HOuv))*24,4)))/HJour,4),""))</f>
        <v/>
      </c>
      <c r="AX789" s="37" t="str">
        <f aca="false">IF(AO789&lt;&gt;1,"",IFERROR(ROUND(IF(OR(P789="",S789=""),"",IF(S789&lt;P789,"",ROUND(((NETWORKDAYS(P789,S789,JoursFeries)-1)*(HFer-HOuv)+IF(NETWORKDAYS(S789,S789,JoursFeries),MEDIAN(MOD(S789,1),HFer,HOuv),HFer)-IF(NETWORKDAYS(P789,P789,JoursFeries),MEDIAN(MOD(P789,1),HFer,HOuv),HOuv))*24,4)))/HJour,4),""))</f>
        <v/>
      </c>
      <c r="AY789" s="36" t="str">
        <f aca="false">IF(OR(AO789&lt;&gt;1,AR789=""),"",INDEX(SLA_PEC,AR789))</f>
        <v/>
      </c>
      <c r="AZ789" s="35" t="str">
        <f aca="false">IF(OR(AV789="",AY789=""),"",IF(AV789&lt;=AY789,1,0))</f>
        <v/>
      </c>
      <c r="BA789" s="36" t="str">
        <f aca="false">IF(OR(AO789&lt;&gt;1,AR789=""),"",INDEX(SLA_RES,AR789))</f>
        <v/>
      </c>
      <c r="BB789" s="35" t="str">
        <f aca="false">IF(OR(AW789="",BA789=""),"",IF(AW789&lt;=BA789,1,0))</f>
        <v/>
      </c>
      <c r="BC789" s="38" t="str">
        <f aca="false">IF(OR(BA789="",P789=""),"",WORKDAY(INT(P789),BA789,JoursFeries)+MOD(P789,1))</f>
        <v/>
      </c>
      <c r="BD789" s="39" t="str">
        <f aca="false">IF(AO789&lt;&gt;1,"",IF(OR(AB789&lt;&gt;"",AD789&lt;&gt;""),4,IF(U789&lt;&gt;"",3,IF(T789&lt;&gt;"",2,1))))</f>
        <v/>
      </c>
      <c r="BE789" s="39" t="str">
        <f aca="false">IF(OR(AO789&lt;&gt;1,AR789=""),"",INDEX(NIV_REQ,AR789))</f>
        <v/>
      </c>
      <c r="BF789" s="39" t="str">
        <f aca="false">IF(BE789="","",MAX(BE789,IF(OR(K789="Oui",Z789="Oui"),4,1)))</f>
        <v/>
      </c>
      <c r="BG789" s="35" t="str">
        <f aca="false">IF(OR(BF789="",BD789=""),"",IF(BD789&gt;=BF789,1,0))</f>
        <v/>
      </c>
      <c r="BH789" s="38" t="str">
        <f aca="false">IF(BE789="","",IF(BE789&lt;2,"",IF(BE789=2,IF(AND(T789="",U789=""),"",MIN(T789,U789)),IF(U789="","",U789))))</f>
        <v/>
      </c>
      <c r="BI789" s="37" t="str">
        <f aca="false">IF(BH789="","",IF(OR(O789="",BH789=""),"",IF(BH789&lt;O789,"",ROUND(((NETWORKDAYS(O789,BH789,JoursFeries)-1)*(HFer-HOuv)+IF(NETWORKDAYS(BH789,BH789,JoursFeries),MEDIAN(MOD(BH789,1),HFer,HOuv),HFer)-IF(NETWORKDAYS(O789,O789,JoursFeries),MEDIAN(MOD(O789,1),HFer,HOuv),HOuv))*24,4))))</f>
        <v/>
      </c>
      <c r="BJ789" s="35" t="str">
        <f aca="false">IF(OR(BI789="",AR789=""),"",IF(BI789&lt;=INDEX(DELAI_ESC,AR789),1,0))</f>
        <v/>
      </c>
      <c r="BK789" s="38" t="str">
        <f aca="false">IF(AO789&lt;&gt;1,"",IF(AND(T789="",U789=""),"",MIN(T789,U789)))</f>
        <v/>
      </c>
      <c r="BL789" s="37" t="str">
        <f aca="false">IF(OR(BK789="",R789=""),"",IFERROR(ROUND(IF(OR(BK789="",R789=""),"",IF(R789&lt;BK789,"",ROUND(((NETWORKDAYS(BK789,R789,JoursFeries)-1)*(HFer-HOuv)+IF(NETWORKDAYS(R789,R789,JoursFeries),MEDIAN(MOD(R789,1),HFer,HOuv),HFer)-IF(NETWORKDAYS(BK789,BK789,JoursFeries),MEDIAN(MOD(BK789,1),HFer,HOuv),HOuv))*24,4)))/HJour,4),""))</f>
        <v/>
      </c>
      <c r="BM789" s="35" t="str">
        <f aca="false">IF(OR(AO789&lt;&gt;1,R789=""),"",IF(BD789=1,1,0))</f>
        <v/>
      </c>
      <c r="BN789" s="35" t="str">
        <f aca="false">IF(AO789&lt;&gt;1,"",IF(W789="Oui",1,0))</f>
        <v/>
      </c>
      <c r="BO789" s="35" t="str">
        <f aca="false">IF(AO789&lt;&gt;1,"",IF(X789&lt;&gt;"",1,0))</f>
        <v/>
      </c>
      <c r="BP789" s="35" t="str">
        <f aca="false">IF(AO789&lt;&gt;1,"",IF(Y789="Oui",1,0))</f>
        <v/>
      </c>
      <c r="BQ789" s="35" t="str">
        <f aca="true">IF(OR(AO789&lt;&gt;1,Z789&lt;&gt;"Oui"),"",IF(AB789="",IF(AND(AA789&lt;&gt;"",NOW()&gt;AA789),0,""),IF(AA789="","",IF(AB789&lt;=AA789,1,0))))</f>
        <v/>
      </c>
      <c r="BR789" s="38" t="str">
        <f aca="false">IF(OR(AO789&lt;&gt;1,K789&lt;&gt;"Oui",O789=""),"",IF(AC789="",O789+DORA_H_DET/24,IF(AC789-O789&lt;=DORA_H_DET/24,MIN(AC789+DORA_H_CLA/24,O789+DORA_H_DET/24),AC789+DORA_H_CLA/24)))</f>
        <v/>
      </c>
      <c r="BS789" s="35" t="str">
        <f aca="true">IF(BR789="","",IF(AD789="",IF(NOW()&gt;BR789,0,""),IF(AD789&lt;=BR789,1,0)))</f>
        <v/>
      </c>
      <c r="BT789" s="35" t="str">
        <f aca="true">IF(OR(BR789="",AD789=""),"",IF(AE789="",IF(NOW()&gt;AD789+DORA_H_INT/24,0,""),IF(AE789&lt;=AD789+DORA_H_INT/24,1,0)))</f>
        <v/>
      </c>
      <c r="BU789" s="35" t="str">
        <f aca="true">IF(OR(BR789="",AE789=""),"",IF(AF789="",IF(NOW()&gt;EDATE(AE789,DORA_M_FIN)+1,0,""),IF(AF789&lt;=EDATE(AE789,DORA_M_FIN),1,0)))</f>
        <v/>
      </c>
      <c r="BV789" s="35" t="str">
        <f aca="false">IF(BR789="","",IF(COUNT(BS789:BU789)=0,"",MIN(BS789:BU789)))</f>
        <v/>
      </c>
      <c r="BW789" s="40" t="str">
        <f aca="false">IF(AQ789&lt;&gt;1,"",IF(AND(AG789="",AH789=""),"",N(AG789)-N(AH789)))</f>
        <v/>
      </c>
      <c r="BX789" s="35" t="str">
        <f aca="true">IF(OR(AQ789&lt;&gt;1,AI789&lt;&gt;"Oui",AJ789=""),"",IF(AK789="",IF(NOW()&gt;AJ789+1,0,""),IF(AK789&lt;=AJ789,1,0)))</f>
        <v/>
      </c>
    </row>
    <row r="790" customFormat="false" ht="15" hidden="false" customHeight="false" outlineLevel="0" collapsed="false">
      <c r="B790" s="29"/>
      <c r="C790" s="29"/>
      <c r="D790" s="29"/>
      <c r="E790" s="29"/>
      <c r="F790" s="29"/>
      <c r="G790" s="29"/>
      <c r="H790" s="29"/>
      <c r="I790" s="29"/>
      <c r="J790" s="29"/>
      <c r="K790" s="29"/>
      <c r="L790" s="29"/>
      <c r="M790" s="29"/>
      <c r="N790" s="30"/>
      <c r="O790" s="30"/>
      <c r="P790" s="30"/>
      <c r="Q790" s="30"/>
      <c r="R790" s="30"/>
      <c r="S790" s="30"/>
      <c r="T790" s="30"/>
      <c r="U790" s="30"/>
      <c r="V790" s="31"/>
      <c r="W790" s="29"/>
      <c r="X790" s="29"/>
      <c r="Y790" s="29"/>
      <c r="Z790" s="29"/>
      <c r="AA790" s="30"/>
      <c r="AB790" s="30"/>
      <c r="AC790" s="30"/>
      <c r="AD790" s="30"/>
      <c r="AE790" s="30"/>
      <c r="AF790" s="32"/>
      <c r="AG790" s="33"/>
      <c r="AH790" s="33"/>
      <c r="AI790" s="29"/>
      <c r="AJ790" s="32"/>
      <c r="AK790" s="32"/>
      <c r="AL790" s="29"/>
      <c r="AN790" s="34" t="str">
        <f aca="false">IF($B790="","",IF(OR(C790="",D790="",E790="",G790="",I790="",J790="",L790="",O790="",P790=""),"Champ obligatoire manquant",IF(OR(AND(N790&lt;&gt;"",N790&gt;O790),O790&gt;P790,AND(Q790&lt;&gt;"",Q790&lt;P790),AND(R790&lt;&gt;"",R790&lt;P790),AND(S790&lt;&gt;"",S790&lt;R790),AND(S790&lt;&gt;"",R790=""),AND(T790&lt;&gt;"",T790&lt;O790),AND(U790&lt;&gt;"",U790&lt;O790)),"Chronologie incohérente",IF(AND(OR(L790="Résolu",L790="Clos"),R790=""),"Date de résolution manquante",IF(AND(L790="Clos",S790=""),"Date de clôture manquante",IF(AND(K790="Oui",AC790=""),"Classification DORA manquante","OK"))))))</f>
        <v/>
      </c>
      <c r="AO790" s="35" t="str">
        <f aca="false">IF($B790="","",IF(AND(C790="Incident",L790&lt;&gt;"Annulé"),1,0))</f>
        <v/>
      </c>
      <c r="AP790" s="35" t="str">
        <f aca="false">IF($B790="","",IF(AND(C790="Quasi-incident",L790&lt;&gt;"Annulé"),1,0))</f>
        <v/>
      </c>
      <c r="AQ790" s="35" t="str">
        <f aca="false">IF($B790="","",AO790+AP790)</f>
        <v/>
      </c>
      <c r="AR790" s="36" t="str">
        <f aca="false">IF(OR($B790="",J790=""),"",IFERROR(VALUE(LEFT(J790,1)),""))</f>
        <v/>
      </c>
      <c r="AS790" s="35" t="str">
        <f aca="false">IF(OR(AO790&lt;&gt;1,G790=""),"",IFERROR(IF(INDEX(L_SrcInterne,MATCH(G790,L_Sources,0))="Oui",1,0),""))</f>
        <v/>
      </c>
      <c r="AT790" s="37" t="str">
        <f aca="false">IF(AO790&lt;&gt;1,"",IFERROR(ROUND(IF(OR(N790="",O790=""),"",IF(O790&lt;N790,"",ROUND(((NETWORKDAYS(N790,O790,JoursFeries)-1)*(HFer-HOuv)+IF(NETWORKDAYS(O790,O790,JoursFeries),MEDIAN(MOD(O790,1),HFer,HOuv),HFer)-IF(NETWORKDAYS(N790,N790,JoursFeries),MEDIAN(MOD(N790,1),HFer,HOuv),HOuv))*24,4)))/HJour,4),""))</f>
        <v/>
      </c>
      <c r="AU790" s="37" t="str">
        <f aca="false">IF(AO790&lt;&gt;1,"",IF(OR(O790="",P790=""),"",IF(P790&lt;O790,"",ROUND(((NETWORKDAYS(O790,P790,JoursFeries)-1)*(HFer-HOuv)+IF(NETWORKDAYS(P790,P790,JoursFeries),MEDIAN(MOD(P790,1),HFer,HOuv),HFer)-IF(NETWORKDAYS(O790,O790,JoursFeries),MEDIAN(MOD(O790,1),HFer,HOuv),HOuv))*24,4))))</f>
        <v/>
      </c>
      <c r="AV790" s="37" t="str">
        <f aca="false">IF(AO790&lt;&gt;1,"",IF(OR(P790="",Q790=""),"",IF(Q790&lt;P790,"",ROUND(((NETWORKDAYS(P790,Q790,JoursFeries)-1)*(HFer-HOuv)+IF(NETWORKDAYS(Q790,Q790,JoursFeries),MEDIAN(MOD(Q790,1),HFer,HOuv),HFer)-IF(NETWORKDAYS(P790,P790,JoursFeries),MEDIAN(MOD(P790,1),HFer,HOuv),HOuv))*24,4))))</f>
        <v/>
      </c>
      <c r="AW790" s="37" t="str">
        <f aca="false">IF(AO790&lt;&gt;1,"",IFERROR(ROUND(IF(OR(P790="",R790=""),"",IF(R790&lt;P790,"",ROUND(((NETWORKDAYS(P790,R790,JoursFeries)-1)*(HFer-HOuv)+IF(NETWORKDAYS(R790,R790,JoursFeries),MEDIAN(MOD(R790,1),HFer,HOuv),HFer)-IF(NETWORKDAYS(P790,P790,JoursFeries),MEDIAN(MOD(P790,1),HFer,HOuv),HOuv))*24,4)))/HJour,4),""))</f>
        <v/>
      </c>
      <c r="AX790" s="37" t="str">
        <f aca="false">IF(AO790&lt;&gt;1,"",IFERROR(ROUND(IF(OR(P790="",S790=""),"",IF(S790&lt;P790,"",ROUND(((NETWORKDAYS(P790,S790,JoursFeries)-1)*(HFer-HOuv)+IF(NETWORKDAYS(S790,S790,JoursFeries),MEDIAN(MOD(S790,1),HFer,HOuv),HFer)-IF(NETWORKDAYS(P790,P790,JoursFeries),MEDIAN(MOD(P790,1),HFer,HOuv),HOuv))*24,4)))/HJour,4),""))</f>
        <v/>
      </c>
      <c r="AY790" s="36" t="str">
        <f aca="false">IF(OR(AO790&lt;&gt;1,AR790=""),"",INDEX(SLA_PEC,AR790))</f>
        <v/>
      </c>
      <c r="AZ790" s="35" t="str">
        <f aca="false">IF(OR(AV790="",AY790=""),"",IF(AV790&lt;=AY790,1,0))</f>
        <v/>
      </c>
      <c r="BA790" s="36" t="str">
        <f aca="false">IF(OR(AO790&lt;&gt;1,AR790=""),"",INDEX(SLA_RES,AR790))</f>
        <v/>
      </c>
      <c r="BB790" s="35" t="str">
        <f aca="false">IF(OR(AW790="",BA790=""),"",IF(AW790&lt;=BA790,1,0))</f>
        <v/>
      </c>
      <c r="BC790" s="38" t="str">
        <f aca="false">IF(OR(BA790="",P790=""),"",WORKDAY(INT(P790),BA790,JoursFeries)+MOD(P790,1))</f>
        <v/>
      </c>
      <c r="BD790" s="39" t="str">
        <f aca="false">IF(AO790&lt;&gt;1,"",IF(OR(AB790&lt;&gt;"",AD790&lt;&gt;""),4,IF(U790&lt;&gt;"",3,IF(T790&lt;&gt;"",2,1))))</f>
        <v/>
      </c>
      <c r="BE790" s="39" t="str">
        <f aca="false">IF(OR(AO790&lt;&gt;1,AR790=""),"",INDEX(NIV_REQ,AR790))</f>
        <v/>
      </c>
      <c r="BF790" s="39" t="str">
        <f aca="false">IF(BE790="","",MAX(BE790,IF(OR(K790="Oui",Z790="Oui"),4,1)))</f>
        <v/>
      </c>
      <c r="BG790" s="35" t="str">
        <f aca="false">IF(OR(BF790="",BD790=""),"",IF(BD790&gt;=BF790,1,0))</f>
        <v/>
      </c>
      <c r="BH790" s="38" t="str">
        <f aca="false">IF(BE790="","",IF(BE790&lt;2,"",IF(BE790=2,IF(AND(T790="",U790=""),"",MIN(T790,U790)),IF(U790="","",U790))))</f>
        <v/>
      </c>
      <c r="BI790" s="37" t="str">
        <f aca="false">IF(BH790="","",IF(OR(O790="",BH790=""),"",IF(BH790&lt;O790,"",ROUND(((NETWORKDAYS(O790,BH790,JoursFeries)-1)*(HFer-HOuv)+IF(NETWORKDAYS(BH790,BH790,JoursFeries),MEDIAN(MOD(BH790,1),HFer,HOuv),HFer)-IF(NETWORKDAYS(O790,O790,JoursFeries),MEDIAN(MOD(O790,1),HFer,HOuv),HOuv))*24,4))))</f>
        <v/>
      </c>
      <c r="BJ790" s="35" t="str">
        <f aca="false">IF(OR(BI790="",AR790=""),"",IF(BI790&lt;=INDEX(DELAI_ESC,AR790),1,0))</f>
        <v/>
      </c>
      <c r="BK790" s="38" t="str">
        <f aca="false">IF(AO790&lt;&gt;1,"",IF(AND(T790="",U790=""),"",MIN(T790,U790)))</f>
        <v/>
      </c>
      <c r="BL790" s="37" t="str">
        <f aca="false">IF(OR(BK790="",R790=""),"",IFERROR(ROUND(IF(OR(BK790="",R790=""),"",IF(R790&lt;BK790,"",ROUND(((NETWORKDAYS(BK790,R790,JoursFeries)-1)*(HFer-HOuv)+IF(NETWORKDAYS(R790,R790,JoursFeries),MEDIAN(MOD(R790,1),HFer,HOuv),HFer)-IF(NETWORKDAYS(BK790,BK790,JoursFeries),MEDIAN(MOD(BK790,1),HFer,HOuv),HOuv))*24,4)))/HJour,4),""))</f>
        <v/>
      </c>
      <c r="BM790" s="35" t="str">
        <f aca="false">IF(OR(AO790&lt;&gt;1,R790=""),"",IF(BD790=1,1,0))</f>
        <v/>
      </c>
      <c r="BN790" s="35" t="str">
        <f aca="false">IF(AO790&lt;&gt;1,"",IF(W790="Oui",1,0))</f>
        <v/>
      </c>
      <c r="BO790" s="35" t="str">
        <f aca="false">IF(AO790&lt;&gt;1,"",IF(X790&lt;&gt;"",1,0))</f>
        <v/>
      </c>
      <c r="BP790" s="35" t="str">
        <f aca="false">IF(AO790&lt;&gt;1,"",IF(Y790="Oui",1,0))</f>
        <v/>
      </c>
      <c r="BQ790" s="35" t="str">
        <f aca="true">IF(OR(AO790&lt;&gt;1,Z790&lt;&gt;"Oui"),"",IF(AB790="",IF(AND(AA790&lt;&gt;"",NOW()&gt;AA790),0,""),IF(AA790="","",IF(AB790&lt;=AA790,1,0))))</f>
        <v/>
      </c>
      <c r="BR790" s="38" t="str">
        <f aca="false">IF(OR(AO790&lt;&gt;1,K790&lt;&gt;"Oui",O790=""),"",IF(AC790="",O790+DORA_H_DET/24,IF(AC790-O790&lt;=DORA_H_DET/24,MIN(AC790+DORA_H_CLA/24,O790+DORA_H_DET/24),AC790+DORA_H_CLA/24)))</f>
        <v/>
      </c>
      <c r="BS790" s="35" t="str">
        <f aca="true">IF(BR790="","",IF(AD790="",IF(NOW()&gt;BR790,0,""),IF(AD790&lt;=BR790,1,0)))</f>
        <v/>
      </c>
      <c r="BT790" s="35" t="str">
        <f aca="true">IF(OR(BR790="",AD790=""),"",IF(AE790="",IF(NOW()&gt;AD790+DORA_H_INT/24,0,""),IF(AE790&lt;=AD790+DORA_H_INT/24,1,0)))</f>
        <v/>
      </c>
      <c r="BU790" s="35" t="str">
        <f aca="true">IF(OR(BR790="",AE790=""),"",IF(AF790="",IF(NOW()&gt;EDATE(AE790,DORA_M_FIN)+1,0,""),IF(AF790&lt;=EDATE(AE790,DORA_M_FIN),1,0)))</f>
        <v/>
      </c>
      <c r="BV790" s="35" t="str">
        <f aca="false">IF(BR790="","",IF(COUNT(BS790:BU790)=0,"",MIN(BS790:BU790)))</f>
        <v/>
      </c>
      <c r="BW790" s="40" t="str">
        <f aca="false">IF(AQ790&lt;&gt;1,"",IF(AND(AG790="",AH790=""),"",N(AG790)-N(AH790)))</f>
        <v/>
      </c>
      <c r="BX790" s="35" t="str">
        <f aca="true">IF(OR(AQ790&lt;&gt;1,AI790&lt;&gt;"Oui",AJ790=""),"",IF(AK790="",IF(NOW()&gt;AJ790+1,0,""),IF(AK790&lt;=AJ790,1,0)))</f>
        <v/>
      </c>
    </row>
    <row r="791" customFormat="false" ht="15" hidden="false" customHeight="false" outlineLevel="0" collapsed="false">
      <c r="B791" s="29"/>
      <c r="C791" s="29"/>
      <c r="D791" s="29"/>
      <c r="E791" s="29"/>
      <c r="F791" s="29"/>
      <c r="G791" s="29"/>
      <c r="H791" s="29"/>
      <c r="I791" s="29"/>
      <c r="J791" s="29"/>
      <c r="K791" s="29"/>
      <c r="L791" s="29"/>
      <c r="M791" s="29"/>
      <c r="N791" s="30"/>
      <c r="O791" s="30"/>
      <c r="P791" s="30"/>
      <c r="Q791" s="30"/>
      <c r="R791" s="30"/>
      <c r="S791" s="30"/>
      <c r="T791" s="30"/>
      <c r="U791" s="30"/>
      <c r="V791" s="31"/>
      <c r="W791" s="29"/>
      <c r="X791" s="29"/>
      <c r="Y791" s="29"/>
      <c r="Z791" s="29"/>
      <c r="AA791" s="30"/>
      <c r="AB791" s="30"/>
      <c r="AC791" s="30"/>
      <c r="AD791" s="30"/>
      <c r="AE791" s="30"/>
      <c r="AF791" s="32"/>
      <c r="AG791" s="33"/>
      <c r="AH791" s="33"/>
      <c r="AI791" s="29"/>
      <c r="AJ791" s="32"/>
      <c r="AK791" s="32"/>
      <c r="AL791" s="29"/>
      <c r="AN791" s="34" t="str">
        <f aca="false">IF($B791="","",IF(OR(C791="",D791="",E791="",G791="",I791="",J791="",L791="",O791="",P791=""),"Champ obligatoire manquant",IF(OR(AND(N791&lt;&gt;"",N791&gt;O791),O791&gt;P791,AND(Q791&lt;&gt;"",Q791&lt;P791),AND(R791&lt;&gt;"",R791&lt;P791),AND(S791&lt;&gt;"",S791&lt;R791),AND(S791&lt;&gt;"",R791=""),AND(T791&lt;&gt;"",T791&lt;O791),AND(U791&lt;&gt;"",U791&lt;O791)),"Chronologie incohérente",IF(AND(OR(L791="Résolu",L791="Clos"),R791=""),"Date de résolution manquante",IF(AND(L791="Clos",S791=""),"Date de clôture manquante",IF(AND(K791="Oui",AC791=""),"Classification DORA manquante","OK"))))))</f>
        <v/>
      </c>
      <c r="AO791" s="35" t="str">
        <f aca="false">IF($B791="","",IF(AND(C791="Incident",L791&lt;&gt;"Annulé"),1,0))</f>
        <v/>
      </c>
      <c r="AP791" s="35" t="str">
        <f aca="false">IF($B791="","",IF(AND(C791="Quasi-incident",L791&lt;&gt;"Annulé"),1,0))</f>
        <v/>
      </c>
      <c r="AQ791" s="35" t="str">
        <f aca="false">IF($B791="","",AO791+AP791)</f>
        <v/>
      </c>
      <c r="AR791" s="36" t="str">
        <f aca="false">IF(OR($B791="",J791=""),"",IFERROR(VALUE(LEFT(J791,1)),""))</f>
        <v/>
      </c>
      <c r="AS791" s="35" t="str">
        <f aca="false">IF(OR(AO791&lt;&gt;1,G791=""),"",IFERROR(IF(INDEX(L_SrcInterne,MATCH(G791,L_Sources,0))="Oui",1,0),""))</f>
        <v/>
      </c>
      <c r="AT791" s="37" t="str">
        <f aca="false">IF(AO791&lt;&gt;1,"",IFERROR(ROUND(IF(OR(N791="",O791=""),"",IF(O791&lt;N791,"",ROUND(((NETWORKDAYS(N791,O791,JoursFeries)-1)*(HFer-HOuv)+IF(NETWORKDAYS(O791,O791,JoursFeries),MEDIAN(MOD(O791,1),HFer,HOuv),HFer)-IF(NETWORKDAYS(N791,N791,JoursFeries),MEDIAN(MOD(N791,1),HFer,HOuv),HOuv))*24,4)))/HJour,4),""))</f>
        <v/>
      </c>
      <c r="AU791" s="37" t="str">
        <f aca="false">IF(AO791&lt;&gt;1,"",IF(OR(O791="",P791=""),"",IF(P791&lt;O791,"",ROUND(((NETWORKDAYS(O791,P791,JoursFeries)-1)*(HFer-HOuv)+IF(NETWORKDAYS(P791,P791,JoursFeries),MEDIAN(MOD(P791,1),HFer,HOuv),HFer)-IF(NETWORKDAYS(O791,O791,JoursFeries),MEDIAN(MOD(O791,1),HFer,HOuv),HOuv))*24,4))))</f>
        <v/>
      </c>
      <c r="AV791" s="37" t="str">
        <f aca="false">IF(AO791&lt;&gt;1,"",IF(OR(P791="",Q791=""),"",IF(Q791&lt;P791,"",ROUND(((NETWORKDAYS(P791,Q791,JoursFeries)-1)*(HFer-HOuv)+IF(NETWORKDAYS(Q791,Q791,JoursFeries),MEDIAN(MOD(Q791,1),HFer,HOuv),HFer)-IF(NETWORKDAYS(P791,P791,JoursFeries),MEDIAN(MOD(P791,1),HFer,HOuv),HOuv))*24,4))))</f>
        <v/>
      </c>
      <c r="AW791" s="37" t="str">
        <f aca="false">IF(AO791&lt;&gt;1,"",IFERROR(ROUND(IF(OR(P791="",R791=""),"",IF(R791&lt;P791,"",ROUND(((NETWORKDAYS(P791,R791,JoursFeries)-1)*(HFer-HOuv)+IF(NETWORKDAYS(R791,R791,JoursFeries),MEDIAN(MOD(R791,1),HFer,HOuv),HFer)-IF(NETWORKDAYS(P791,P791,JoursFeries),MEDIAN(MOD(P791,1),HFer,HOuv),HOuv))*24,4)))/HJour,4),""))</f>
        <v/>
      </c>
      <c r="AX791" s="37" t="str">
        <f aca="false">IF(AO791&lt;&gt;1,"",IFERROR(ROUND(IF(OR(P791="",S791=""),"",IF(S791&lt;P791,"",ROUND(((NETWORKDAYS(P791,S791,JoursFeries)-1)*(HFer-HOuv)+IF(NETWORKDAYS(S791,S791,JoursFeries),MEDIAN(MOD(S791,1),HFer,HOuv),HFer)-IF(NETWORKDAYS(P791,P791,JoursFeries),MEDIAN(MOD(P791,1),HFer,HOuv),HOuv))*24,4)))/HJour,4),""))</f>
        <v/>
      </c>
      <c r="AY791" s="36" t="str">
        <f aca="false">IF(OR(AO791&lt;&gt;1,AR791=""),"",INDEX(SLA_PEC,AR791))</f>
        <v/>
      </c>
      <c r="AZ791" s="35" t="str">
        <f aca="false">IF(OR(AV791="",AY791=""),"",IF(AV791&lt;=AY791,1,0))</f>
        <v/>
      </c>
      <c r="BA791" s="36" t="str">
        <f aca="false">IF(OR(AO791&lt;&gt;1,AR791=""),"",INDEX(SLA_RES,AR791))</f>
        <v/>
      </c>
      <c r="BB791" s="35" t="str">
        <f aca="false">IF(OR(AW791="",BA791=""),"",IF(AW791&lt;=BA791,1,0))</f>
        <v/>
      </c>
      <c r="BC791" s="38" t="str">
        <f aca="false">IF(OR(BA791="",P791=""),"",WORKDAY(INT(P791),BA791,JoursFeries)+MOD(P791,1))</f>
        <v/>
      </c>
      <c r="BD791" s="39" t="str">
        <f aca="false">IF(AO791&lt;&gt;1,"",IF(OR(AB791&lt;&gt;"",AD791&lt;&gt;""),4,IF(U791&lt;&gt;"",3,IF(T791&lt;&gt;"",2,1))))</f>
        <v/>
      </c>
      <c r="BE791" s="39" t="str">
        <f aca="false">IF(OR(AO791&lt;&gt;1,AR791=""),"",INDEX(NIV_REQ,AR791))</f>
        <v/>
      </c>
      <c r="BF791" s="39" t="str">
        <f aca="false">IF(BE791="","",MAX(BE791,IF(OR(K791="Oui",Z791="Oui"),4,1)))</f>
        <v/>
      </c>
      <c r="BG791" s="35" t="str">
        <f aca="false">IF(OR(BF791="",BD791=""),"",IF(BD791&gt;=BF791,1,0))</f>
        <v/>
      </c>
      <c r="BH791" s="38" t="str">
        <f aca="false">IF(BE791="","",IF(BE791&lt;2,"",IF(BE791=2,IF(AND(T791="",U791=""),"",MIN(T791,U791)),IF(U791="","",U791))))</f>
        <v/>
      </c>
      <c r="BI791" s="37" t="str">
        <f aca="false">IF(BH791="","",IF(OR(O791="",BH791=""),"",IF(BH791&lt;O791,"",ROUND(((NETWORKDAYS(O791,BH791,JoursFeries)-1)*(HFer-HOuv)+IF(NETWORKDAYS(BH791,BH791,JoursFeries),MEDIAN(MOD(BH791,1),HFer,HOuv),HFer)-IF(NETWORKDAYS(O791,O791,JoursFeries),MEDIAN(MOD(O791,1),HFer,HOuv),HOuv))*24,4))))</f>
        <v/>
      </c>
      <c r="BJ791" s="35" t="str">
        <f aca="false">IF(OR(BI791="",AR791=""),"",IF(BI791&lt;=INDEX(DELAI_ESC,AR791),1,0))</f>
        <v/>
      </c>
      <c r="BK791" s="38" t="str">
        <f aca="false">IF(AO791&lt;&gt;1,"",IF(AND(T791="",U791=""),"",MIN(T791,U791)))</f>
        <v/>
      </c>
      <c r="BL791" s="37" t="str">
        <f aca="false">IF(OR(BK791="",R791=""),"",IFERROR(ROUND(IF(OR(BK791="",R791=""),"",IF(R791&lt;BK791,"",ROUND(((NETWORKDAYS(BK791,R791,JoursFeries)-1)*(HFer-HOuv)+IF(NETWORKDAYS(R791,R791,JoursFeries),MEDIAN(MOD(R791,1),HFer,HOuv),HFer)-IF(NETWORKDAYS(BK791,BK791,JoursFeries),MEDIAN(MOD(BK791,1),HFer,HOuv),HOuv))*24,4)))/HJour,4),""))</f>
        <v/>
      </c>
      <c r="BM791" s="35" t="str">
        <f aca="false">IF(OR(AO791&lt;&gt;1,R791=""),"",IF(BD791=1,1,0))</f>
        <v/>
      </c>
      <c r="BN791" s="35" t="str">
        <f aca="false">IF(AO791&lt;&gt;1,"",IF(W791="Oui",1,0))</f>
        <v/>
      </c>
      <c r="BO791" s="35" t="str">
        <f aca="false">IF(AO791&lt;&gt;1,"",IF(X791&lt;&gt;"",1,0))</f>
        <v/>
      </c>
      <c r="BP791" s="35" t="str">
        <f aca="false">IF(AO791&lt;&gt;1,"",IF(Y791="Oui",1,0))</f>
        <v/>
      </c>
      <c r="BQ791" s="35" t="str">
        <f aca="true">IF(OR(AO791&lt;&gt;1,Z791&lt;&gt;"Oui"),"",IF(AB791="",IF(AND(AA791&lt;&gt;"",NOW()&gt;AA791),0,""),IF(AA791="","",IF(AB791&lt;=AA791,1,0))))</f>
        <v/>
      </c>
      <c r="BR791" s="38" t="str">
        <f aca="false">IF(OR(AO791&lt;&gt;1,K791&lt;&gt;"Oui",O791=""),"",IF(AC791="",O791+DORA_H_DET/24,IF(AC791-O791&lt;=DORA_H_DET/24,MIN(AC791+DORA_H_CLA/24,O791+DORA_H_DET/24),AC791+DORA_H_CLA/24)))</f>
        <v/>
      </c>
      <c r="BS791" s="35" t="str">
        <f aca="true">IF(BR791="","",IF(AD791="",IF(NOW()&gt;BR791,0,""),IF(AD791&lt;=BR791,1,0)))</f>
        <v/>
      </c>
      <c r="BT791" s="35" t="str">
        <f aca="true">IF(OR(BR791="",AD791=""),"",IF(AE791="",IF(NOW()&gt;AD791+DORA_H_INT/24,0,""),IF(AE791&lt;=AD791+DORA_H_INT/24,1,0)))</f>
        <v/>
      </c>
      <c r="BU791" s="35" t="str">
        <f aca="true">IF(OR(BR791="",AE791=""),"",IF(AF791="",IF(NOW()&gt;EDATE(AE791,DORA_M_FIN)+1,0,""),IF(AF791&lt;=EDATE(AE791,DORA_M_FIN),1,0)))</f>
        <v/>
      </c>
      <c r="BV791" s="35" t="str">
        <f aca="false">IF(BR791="","",IF(COUNT(BS791:BU791)=0,"",MIN(BS791:BU791)))</f>
        <v/>
      </c>
      <c r="BW791" s="40" t="str">
        <f aca="false">IF(AQ791&lt;&gt;1,"",IF(AND(AG791="",AH791=""),"",N(AG791)-N(AH791)))</f>
        <v/>
      </c>
      <c r="BX791" s="35" t="str">
        <f aca="true">IF(OR(AQ791&lt;&gt;1,AI791&lt;&gt;"Oui",AJ791=""),"",IF(AK791="",IF(NOW()&gt;AJ791+1,0,""),IF(AK791&lt;=AJ791,1,0)))</f>
        <v/>
      </c>
    </row>
    <row r="792" customFormat="false" ht="15" hidden="false" customHeight="false" outlineLevel="0" collapsed="false">
      <c r="B792" s="29"/>
      <c r="C792" s="29"/>
      <c r="D792" s="29"/>
      <c r="E792" s="29"/>
      <c r="F792" s="29"/>
      <c r="G792" s="29"/>
      <c r="H792" s="29"/>
      <c r="I792" s="29"/>
      <c r="J792" s="29"/>
      <c r="K792" s="29"/>
      <c r="L792" s="29"/>
      <c r="M792" s="29"/>
      <c r="N792" s="30"/>
      <c r="O792" s="30"/>
      <c r="P792" s="30"/>
      <c r="Q792" s="30"/>
      <c r="R792" s="30"/>
      <c r="S792" s="30"/>
      <c r="T792" s="30"/>
      <c r="U792" s="30"/>
      <c r="V792" s="31"/>
      <c r="W792" s="29"/>
      <c r="X792" s="29"/>
      <c r="Y792" s="29"/>
      <c r="Z792" s="29"/>
      <c r="AA792" s="30"/>
      <c r="AB792" s="30"/>
      <c r="AC792" s="30"/>
      <c r="AD792" s="30"/>
      <c r="AE792" s="30"/>
      <c r="AF792" s="32"/>
      <c r="AG792" s="33"/>
      <c r="AH792" s="33"/>
      <c r="AI792" s="29"/>
      <c r="AJ792" s="32"/>
      <c r="AK792" s="32"/>
      <c r="AL792" s="29"/>
      <c r="AN792" s="34" t="str">
        <f aca="false">IF($B792="","",IF(OR(C792="",D792="",E792="",G792="",I792="",J792="",L792="",O792="",P792=""),"Champ obligatoire manquant",IF(OR(AND(N792&lt;&gt;"",N792&gt;O792),O792&gt;P792,AND(Q792&lt;&gt;"",Q792&lt;P792),AND(R792&lt;&gt;"",R792&lt;P792),AND(S792&lt;&gt;"",S792&lt;R792),AND(S792&lt;&gt;"",R792=""),AND(T792&lt;&gt;"",T792&lt;O792),AND(U792&lt;&gt;"",U792&lt;O792)),"Chronologie incohérente",IF(AND(OR(L792="Résolu",L792="Clos"),R792=""),"Date de résolution manquante",IF(AND(L792="Clos",S792=""),"Date de clôture manquante",IF(AND(K792="Oui",AC792=""),"Classification DORA manquante","OK"))))))</f>
        <v/>
      </c>
      <c r="AO792" s="35" t="str">
        <f aca="false">IF($B792="","",IF(AND(C792="Incident",L792&lt;&gt;"Annulé"),1,0))</f>
        <v/>
      </c>
      <c r="AP792" s="35" t="str">
        <f aca="false">IF($B792="","",IF(AND(C792="Quasi-incident",L792&lt;&gt;"Annulé"),1,0))</f>
        <v/>
      </c>
      <c r="AQ792" s="35" t="str">
        <f aca="false">IF($B792="","",AO792+AP792)</f>
        <v/>
      </c>
      <c r="AR792" s="36" t="str">
        <f aca="false">IF(OR($B792="",J792=""),"",IFERROR(VALUE(LEFT(J792,1)),""))</f>
        <v/>
      </c>
      <c r="AS792" s="35" t="str">
        <f aca="false">IF(OR(AO792&lt;&gt;1,G792=""),"",IFERROR(IF(INDEX(L_SrcInterne,MATCH(G792,L_Sources,0))="Oui",1,0),""))</f>
        <v/>
      </c>
      <c r="AT792" s="37" t="str">
        <f aca="false">IF(AO792&lt;&gt;1,"",IFERROR(ROUND(IF(OR(N792="",O792=""),"",IF(O792&lt;N792,"",ROUND(((NETWORKDAYS(N792,O792,JoursFeries)-1)*(HFer-HOuv)+IF(NETWORKDAYS(O792,O792,JoursFeries),MEDIAN(MOD(O792,1),HFer,HOuv),HFer)-IF(NETWORKDAYS(N792,N792,JoursFeries),MEDIAN(MOD(N792,1),HFer,HOuv),HOuv))*24,4)))/HJour,4),""))</f>
        <v/>
      </c>
      <c r="AU792" s="37" t="str">
        <f aca="false">IF(AO792&lt;&gt;1,"",IF(OR(O792="",P792=""),"",IF(P792&lt;O792,"",ROUND(((NETWORKDAYS(O792,P792,JoursFeries)-1)*(HFer-HOuv)+IF(NETWORKDAYS(P792,P792,JoursFeries),MEDIAN(MOD(P792,1),HFer,HOuv),HFer)-IF(NETWORKDAYS(O792,O792,JoursFeries),MEDIAN(MOD(O792,1),HFer,HOuv),HOuv))*24,4))))</f>
        <v/>
      </c>
      <c r="AV792" s="37" t="str">
        <f aca="false">IF(AO792&lt;&gt;1,"",IF(OR(P792="",Q792=""),"",IF(Q792&lt;P792,"",ROUND(((NETWORKDAYS(P792,Q792,JoursFeries)-1)*(HFer-HOuv)+IF(NETWORKDAYS(Q792,Q792,JoursFeries),MEDIAN(MOD(Q792,1),HFer,HOuv),HFer)-IF(NETWORKDAYS(P792,P792,JoursFeries),MEDIAN(MOD(P792,1),HFer,HOuv),HOuv))*24,4))))</f>
        <v/>
      </c>
      <c r="AW792" s="37" t="str">
        <f aca="false">IF(AO792&lt;&gt;1,"",IFERROR(ROUND(IF(OR(P792="",R792=""),"",IF(R792&lt;P792,"",ROUND(((NETWORKDAYS(P792,R792,JoursFeries)-1)*(HFer-HOuv)+IF(NETWORKDAYS(R792,R792,JoursFeries),MEDIAN(MOD(R792,1),HFer,HOuv),HFer)-IF(NETWORKDAYS(P792,P792,JoursFeries),MEDIAN(MOD(P792,1),HFer,HOuv),HOuv))*24,4)))/HJour,4),""))</f>
        <v/>
      </c>
      <c r="AX792" s="37" t="str">
        <f aca="false">IF(AO792&lt;&gt;1,"",IFERROR(ROUND(IF(OR(P792="",S792=""),"",IF(S792&lt;P792,"",ROUND(((NETWORKDAYS(P792,S792,JoursFeries)-1)*(HFer-HOuv)+IF(NETWORKDAYS(S792,S792,JoursFeries),MEDIAN(MOD(S792,1),HFer,HOuv),HFer)-IF(NETWORKDAYS(P792,P792,JoursFeries),MEDIAN(MOD(P792,1),HFer,HOuv),HOuv))*24,4)))/HJour,4),""))</f>
        <v/>
      </c>
      <c r="AY792" s="36" t="str">
        <f aca="false">IF(OR(AO792&lt;&gt;1,AR792=""),"",INDEX(SLA_PEC,AR792))</f>
        <v/>
      </c>
      <c r="AZ792" s="35" t="str">
        <f aca="false">IF(OR(AV792="",AY792=""),"",IF(AV792&lt;=AY792,1,0))</f>
        <v/>
      </c>
      <c r="BA792" s="36" t="str">
        <f aca="false">IF(OR(AO792&lt;&gt;1,AR792=""),"",INDEX(SLA_RES,AR792))</f>
        <v/>
      </c>
      <c r="BB792" s="35" t="str">
        <f aca="false">IF(OR(AW792="",BA792=""),"",IF(AW792&lt;=BA792,1,0))</f>
        <v/>
      </c>
      <c r="BC792" s="38" t="str">
        <f aca="false">IF(OR(BA792="",P792=""),"",WORKDAY(INT(P792),BA792,JoursFeries)+MOD(P792,1))</f>
        <v/>
      </c>
      <c r="BD792" s="39" t="str">
        <f aca="false">IF(AO792&lt;&gt;1,"",IF(OR(AB792&lt;&gt;"",AD792&lt;&gt;""),4,IF(U792&lt;&gt;"",3,IF(T792&lt;&gt;"",2,1))))</f>
        <v/>
      </c>
      <c r="BE792" s="39" t="str">
        <f aca="false">IF(OR(AO792&lt;&gt;1,AR792=""),"",INDEX(NIV_REQ,AR792))</f>
        <v/>
      </c>
      <c r="BF792" s="39" t="str">
        <f aca="false">IF(BE792="","",MAX(BE792,IF(OR(K792="Oui",Z792="Oui"),4,1)))</f>
        <v/>
      </c>
      <c r="BG792" s="35" t="str">
        <f aca="false">IF(OR(BF792="",BD792=""),"",IF(BD792&gt;=BF792,1,0))</f>
        <v/>
      </c>
      <c r="BH792" s="38" t="str">
        <f aca="false">IF(BE792="","",IF(BE792&lt;2,"",IF(BE792=2,IF(AND(T792="",U792=""),"",MIN(T792,U792)),IF(U792="","",U792))))</f>
        <v/>
      </c>
      <c r="BI792" s="37" t="str">
        <f aca="false">IF(BH792="","",IF(OR(O792="",BH792=""),"",IF(BH792&lt;O792,"",ROUND(((NETWORKDAYS(O792,BH792,JoursFeries)-1)*(HFer-HOuv)+IF(NETWORKDAYS(BH792,BH792,JoursFeries),MEDIAN(MOD(BH792,1),HFer,HOuv),HFer)-IF(NETWORKDAYS(O792,O792,JoursFeries),MEDIAN(MOD(O792,1),HFer,HOuv),HOuv))*24,4))))</f>
        <v/>
      </c>
      <c r="BJ792" s="35" t="str">
        <f aca="false">IF(OR(BI792="",AR792=""),"",IF(BI792&lt;=INDEX(DELAI_ESC,AR792),1,0))</f>
        <v/>
      </c>
      <c r="BK792" s="38" t="str">
        <f aca="false">IF(AO792&lt;&gt;1,"",IF(AND(T792="",U792=""),"",MIN(T792,U792)))</f>
        <v/>
      </c>
      <c r="BL792" s="37" t="str">
        <f aca="false">IF(OR(BK792="",R792=""),"",IFERROR(ROUND(IF(OR(BK792="",R792=""),"",IF(R792&lt;BK792,"",ROUND(((NETWORKDAYS(BK792,R792,JoursFeries)-1)*(HFer-HOuv)+IF(NETWORKDAYS(R792,R792,JoursFeries),MEDIAN(MOD(R792,1),HFer,HOuv),HFer)-IF(NETWORKDAYS(BK792,BK792,JoursFeries),MEDIAN(MOD(BK792,1),HFer,HOuv),HOuv))*24,4)))/HJour,4),""))</f>
        <v/>
      </c>
      <c r="BM792" s="35" t="str">
        <f aca="false">IF(OR(AO792&lt;&gt;1,R792=""),"",IF(BD792=1,1,0))</f>
        <v/>
      </c>
      <c r="BN792" s="35" t="str">
        <f aca="false">IF(AO792&lt;&gt;1,"",IF(W792="Oui",1,0))</f>
        <v/>
      </c>
      <c r="BO792" s="35" t="str">
        <f aca="false">IF(AO792&lt;&gt;1,"",IF(X792&lt;&gt;"",1,0))</f>
        <v/>
      </c>
      <c r="BP792" s="35" t="str">
        <f aca="false">IF(AO792&lt;&gt;1,"",IF(Y792="Oui",1,0))</f>
        <v/>
      </c>
      <c r="BQ792" s="35" t="str">
        <f aca="true">IF(OR(AO792&lt;&gt;1,Z792&lt;&gt;"Oui"),"",IF(AB792="",IF(AND(AA792&lt;&gt;"",NOW()&gt;AA792),0,""),IF(AA792="","",IF(AB792&lt;=AA792,1,0))))</f>
        <v/>
      </c>
      <c r="BR792" s="38" t="str">
        <f aca="false">IF(OR(AO792&lt;&gt;1,K792&lt;&gt;"Oui",O792=""),"",IF(AC792="",O792+DORA_H_DET/24,IF(AC792-O792&lt;=DORA_H_DET/24,MIN(AC792+DORA_H_CLA/24,O792+DORA_H_DET/24),AC792+DORA_H_CLA/24)))</f>
        <v/>
      </c>
      <c r="BS792" s="35" t="str">
        <f aca="true">IF(BR792="","",IF(AD792="",IF(NOW()&gt;BR792,0,""),IF(AD792&lt;=BR792,1,0)))</f>
        <v/>
      </c>
      <c r="BT792" s="35" t="str">
        <f aca="true">IF(OR(BR792="",AD792=""),"",IF(AE792="",IF(NOW()&gt;AD792+DORA_H_INT/24,0,""),IF(AE792&lt;=AD792+DORA_H_INT/24,1,0)))</f>
        <v/>
      </c>
      <c r="BU792" s="35" t="str">
        <f aca="true">IF(OR(BR792="",AE792=""),"",IF(AF792="",IF(NOW()&gt;EDATE(AE792,DORA_M_FIN)+1,0,""),IF(AF792&lt;=EDATE(AE792,DORA_M_FIN),1,0)))</f>
        <v/>
      </c>
      <c r="BV792" s="35" t="str">
        <f aca="false">IF(BR792="","",IF(COUNT(BS792:BU792)=0,"",MIN(BS792:BU792)))</f>
        <v/>
      </c>
      <c r="BW792" s="40" t="str">
        <f aca="false">IF(AQ792&lt;&gt;1,"",IF(AND(AG792="",AH792=""),"",N(AG792)-N(AH792)))</f>
        <v/>
      </c>
      <c r="BX792" s="35" t="str">
        <f aca="true">IF(OR(AQ792&lt;&gt;1,AI792&lt;&gt;"Oui",AJ792=""),"",IF(AK792="",IF(NOW()&gt;AJ792+1,0,""),IF(AK792&lt;=AJ792,1,0)))</f>
        <v/>
      </c>
    </row>
    <row r="793" customFormat="false" ht="15" hidden="false" customHeight="false" outlineLevel="0" collapsed="false">
      <c r="B793" s="29"/>
      <c r="C793" s="29"/>
      <c r="D793" s="29"/>
      <c r="E793" s="29"/>
      <c r="F793" s="29"/>
      <c r="G793" s="29"/>
      <c r="H793" s="29"/>
      <c r="I793" s="29"/>
      <c r="J793" s="29"/>
      <c r="K793" s="29"/>
      <c r="L793" s="29"/>
      <c r="M793" s="29"/>
      <c r="N793" s="30"/>
      <c r="O793" s="30"/>
      <c r="P793" s="30"/>
      <c r="Q793" s="30"/>
      <c r="R793" s="30"/>
      <c r="S793" s="30"/>
      <c r="T793" s="30"/>
      <c r="U793" s="30"/>
      <c r="V793" s="31"/>
      <c r="W793" s="29"/>
      <c r="X793" s="29"/>
      <c r="Y793" s="29"/>
      <c r="Z793" s="29"/>
      <c r="AA793" s="30"/>
      <c r="AB793" s="30"/>
      <c r="AC793" s="30"/>
      <c r="AD793" s="30"/>
      <c r="AE793" s="30"/>
      <c r="AF793" s="32"/>
      <c r="AG793" s="33"/>
      <c r="AH793" s="33"/>
      <c r="AI793" s="29"/>
      <c r="AJ793" s="32"/>
      <c r="AK793" s="32"/>
      <c r="AL793" s="29"/>
      <c r="AN793" s="34" t="str">
        <f aca="false">IF($B793="","",IF(OR(C793="",D793="",E793="",G793="",I793="",J793="",L793="",O793="",P793=""),"Champ obligatoire manquant",IF(OR(AND(N793&lt;&gt;"",N793&gt;O793),O793&gt;P793,AND(Q793&lt;&gt;"",Q793&lt;P793),AND(R793&lt;&gt;"",R793&lt;P793),AND(S793&lt;&gt;"",S793&lt;R793),AND(S793&lt;&gt;"",R793=""),AND(T793&lt;&gt;"",T793&lt;O793),AND(U793&lt;&gt;"",U793&lt;O793)),"Chronologie incohérente",IF(AND(OR(L793="Résolu",L793="Clos"),R793=""),"Date de résolution manquante",IF(AND(L793="Clos",S793=""),"Date de clôture manquante",IF(AND(K793="Oui",AC793=""),"Classification DORA manquante","OK"))))))</f>
        <v/>
      </c>
      <c r="AO793" s="35" t="str">
        <f aca="false">IF($B793="","",IF(AND(C793="Incident",L793&lt;&gt;"Annulé"),1,0))</f>
        <v/>
      </c>
      <c r="AP793" s="35" t="str">
        <f aca="false">IF($B793="","",IF(AND(C793="Quasi-incident",L793&lt;&gt;"Annulé"),1,0))</f>
        <v/>
      </c>
      <c r="AQ793" s="35" t="str">
        <f aca="false">IF($B793="","",AO793+AP793)</f>
        <v/>
      </c>
      <c r="AR793" s="36" t="str">
        <f aca="false">IF(OR($B793="",J793=""),"",IFERROR(VALUE(LEFT(J793,1)),""))</f>
        <v/>
      </c>
      <c r="AS793" s="35" t="str">
        <f aca="false">IF(OR(AO793&lt;&gt;1,G793=""),"",IFERROR(IF(INDEX(L_SrcInterne,MATCH(G793,L_Sources,0))="Oui",1,0),""))</f>
        <v/>
      </c>
      <c r="AT793" s="37" t="str">
        <f aca="false">IF(AO793&lt;&gt;1,"",IFERROR(ROUND(IF(OR(N793="",O793=""),"",IF(O793&lt;N793,"",ROUND(((NETWORKDAYS(N793,O793,JoursFeries)-1)*(HFer-HOuv)+IF(NETWORKDAYS(O793,O793,JoursFeries),MEDIAN(MOD(O793,1),HFer,HOuv),HFer)-IF(NETWORKDAYS(N793,N793,JoursFeries),MEDIAN(MOD(N793,1),HFer,HOuv),HOuv))*24,4)))/HJour,4),""))</f>
        <v/>
      </c>
      <c r="AU793" s="37" t="str">
        <f aca="false">IF(AO793&lt;&gt;1,"",IF(OR(O793="",P793=""),"",IF(P793&lt;O793,"",ROUND(((NETWORKDAYS(O793,P793,JoursFeries)-1)*(HFer-HOuv)+IF(NETWORKDAYS(P793,P793,JoursFeries),MEDIAN(MOD(P793,1),HFer,HOuv),HFer)-IF(NETWORKDAYS(O793,O793,JoursFeries),MEDIAN(MOD(O793,1),HFer,HOuv),HOuv))*24,4))))</f>
        <v/>
      </c>
      <c r="AV793" s="37" t="str">
        <f aca="false">IF(AO793&lt;&gt;1,"",IF(OR(P793="",Q793=""),"",IF(Q793&lt;P793,"",ROUND(((NETWORKDAYS(P793,Q793,JoursFeries)-1)*(HFer-HOuv)+IF(NETWORKDAYS(Q793,Q793,JoursFeries),MEDIAN(MOD(Q793,1),HFer,HOuv),HFer)-IF(NETWORKDAYS(P793,P793,JoursFeries),MEDIAN(MOD(P793,1),HFer,HOuv),HOuv))*24,4))))</f>
        <v/>
      </c>
      <c r="AW793" s="37" t="str">
        <f aca="false">IF(AO793&lt;&gt;1,"",IFERROR(ROUND(IF(OR(P793="",R793=""),"",IF(R793&lt;P793,"",ROUND(((NETWORKDAYS(P793,R793,JoursFeries)-1)*(HFer-HOuv)+IF(NETWORKDAYS(R793,R793,JoursFeries),MEDIAN(MOD(R793,1),HFer,HOuv),HFer)-IF(NETWORKDAYS(P793,P793,JoursFeries),MEDIAN(MOD(P793,1),HFer,HOuv),HOuv))*24,4)))/HJour,4),""))</f>
        <v/>
      </c>
      <c r="AX793" s="37" t="str">
        <f aca="false">IF(AO793&lt;&gt;1,"",IFERROR(ROUND(IF(OR(P793="",S793=""),"",IF(S793&lt;P793,"",ROUND(((NETWORKDAYS(P793,S793,JoursFeries)-1)*(HFer-HOuv)+IF(NETWORKDAYS(S793,S793,JoursFeries),MEDIAN(MOD(S793,1),HFer,HOuv),HFer)-IF(NETWORKDAYS(P793,P793,JoursFeries),MEDIAN(MOD(P793,1),HFer,HOuv),HOuv))*24,4)))/HJour,4),""))</f>
        <v/>
      </c>
      <c r="AY793" s="36" t="str">
        <f aca="false">IF(OR(AO793&lt;&gt;1,AR793=""),"",INDEX(SLA_PEC,AR793))</f>
        <v/>
      </c>
      <c r="AZ793" s="35" t="str">
        <f aca="false">IF(OR(AV793="",AY793=""),"",IF(AV793&lt;=AY793,1,0))</f>
        <v/>
      </c>
      <c r="BA793" s="36" t="str">
        <f aca="false">IF(OR(AO793&lt;&gt;1,AR793=""),"",INDEX(SLA_RES,AR793))</f>
        <v/>
      </c>
      <c r="BB793" s="35" t="str">
        <f aca="false">IF(OR(AW793="",BA793=""),"",IF(AW793&lt;=BA793,1,0))</f>
        <v/>
      </c>
      <c r="BC793" s="38" t="str">
        <f aca="false">IF(OR(BA793="",P793=""),"",WORKDAY(INT(P793),BA793,JoursFeries)+MOD(P793,1))</f>
        <v/>
      </c>
      <c r="BD793" s="39" t="str">
        <f aca="false">IF(AO793&lt;&gt;1,"",IF(OR(AB793&lt;&gt;"",AD793&lt;&gt;""),4,IF(U793&lt;&gt;"",3,IF(T793&lt;&gt;"",2,1))))</f>
        <v/>
      </c>
      <c r="BE793" s="39" t="str">
        <f aca="false">IF(OR(AO793&lt;&gt;1,AR793=""),"",INDEX(NIV_REQ,AR793))</f>
        <v/>
      </c>
      <c r="BF793" s="39" t="str">
        <f aca="false">IF(BE793="","",MAX(BE793,IF(OR(K793="Oui",Z793="Oui"),4,1)))</f>
        <v/>
      </c>
      <c r="BG793" s="35" t="str">
        <f aca="false">IF(OR(BF793="",BD793=""),"",IF(BD793&gt;=BF793,1,0))</f>
        <v/>
      </c>
      <c r="BH793" s="38" t="str">
        <f aca="false">IF(BE793="","",IF(BE793&lt;2,"",IF(BE793=2,IF(AND(T793="",U793=""),"",MIN(T793,U793)),IF(U793="","",U793))))</f>
        <v/>
      </c>
      <c r="BI793" s="37" t="str">
        <f aca="false">IF(BH793="","",IF(OR(O793="",BH793=""),"",IF(BH793&lt;O793,"",ROUND(((NETWORKDAYS(O793,BH793,JoursFeries)-1)*(HFer-HOuv)+IF(NETWORKDAYS(BH793,BH793,JoursFeries),MEDIAN(MOD(BH793,1),HFer,HOuv),HFer)-IF(NETWORKDAYS(O793,O793,JoursFeries),MEDIAN(MOD(O793,1),HFer,HOuv),HOuv))*24,4))))</f>
        <v/>
      </c>
      <c r="BJ793" s="35" t="str">
        <f aca="false">IF(OR(BI793="",AR793=""),"",IF(BI793&lt;=INDEX(DELAI_ESC,AR793),1,0))</f>
        <v/>
      </c>
      <c r="BK793" s="38" t="str">
        <f aca="false">IF(AO793&lt;&gt;1,"",IF(AND(T793="",U793=""),"",MIN(T793,U793)))</f>
        <v/>
      </c>
      <c r="BL793" s="37" t="str">
        <f aca="false">IF(OR(BK793="",R793=""),"",IFERROR(ROUND(IF(OR(BK793="",R793=""),"",IF(R793&lt;BK793,"",ROUND(((NETWORKDAYS(BK793,R793,JoursFeries)-1)*(HFer-HOuv)+IF(NETWORKDAYS(R793,R793,JoursFeries),MEDIAN(MOD(R793,1),HFer,HOuv),HFer)-IF(NETWORKDAYS(BK793,BK793,JoursFeries),MEDIAN(MOD(BK793,1),HFer,HOuv),HOuv))*24,4)))/HJour,4),""))</f>
        <v/>
      </c>
      <c r="BM793" s="35" t="str">
        <f aca="false">IF(OR(AO793&lt;&gt;1,R793=""),"",IF(BD793=1,1,0))</f>
        <v/>
      </c>
      <c r="BN793" s="35" t="str">
        <f aca="false">IF(AO793&lt;&gt;1,"",IF(W793="Oui",1,0))</f>
        <v/>
      </c>
      <c r="BO793" s="35" t="str">
        <f aca="false">IF(AO793&lt;&gt;1,"",IF(X793&lt;&gt;"",1,0))</f>
        <v/>
      </c>
      <c r="BP793" s="35" t="str">
        <f aca="false">IF(AO793&lt;&gt;1,"",IF(Y793="Oui",1,0))</f>
        <v/>
      </c>
      <c r="BQ793" s="35" t="str">
        <f aca="true">IF(OR(AO793&lt;&gt;1,Z793&lt;&gt;"Oui"),"",IF(AB793="",IF(AND(AA793&lt;&gt;"",NOW()&gt;AA793),0,""),IF(AA793="","",IF(AB793&lt;=AA793,1,0))))</f>
        <v/>
      </c>
      <c r="BR793" s="38" t="str">
        <f aca="false">IF(OR(AO793&lt;&gt;1,K793&lt;&gt;"Oui",O793=""),"",IF(AC793="",O793+DORA_H_DET/24,IF(AC793-O793&lt;=DORA_H_DET/24,MIN(AC793+DORA_H_CLA/24,O793+DORA_H_DET/24),AC793+DORA_H_CLA/24)))</f>
        <v/>
      </c>
      <c r="BS793" s="35" t="str">
        <f aca="true">IF(BR793="","",IF(AD793="",IF(NOW()&gt;BR793,0,""),IF(AD793&lt;=BR793,1,0)))</f>
        <v/>
      </c>
      <c r="BT793" s="35" t="str">
        <f aca="true">IF(OR(BR793="",AD793=""),"",IF(AE793="",IF(NOW()&gt;AD793+DORA_H_INT/24,0,""),IF(AE793&lt;=AD793+DORA_H_INT/24,1,0)))</f>
        <v/>
      </c>
      <c r="BU793" s="35" t="str">
        <f aca="true">IF(OR(BR793="",AE793=""),"",IF(AF793="",IF(NOW()&gt;EDATE(AE793,DORA_M_FIN)+1,0,""),IF(AF793&lt;=EDATE(AE793,DORA_M_FIN),1,0)))</f>
        <v/>
      </c>
      <c r="BV793" s="35" t="str">
        <f aca="false">IF(BR793="","",IF(COUNT(BS793:BU793)=0,"",MIN(BS793:BU793)))</f>
        <v/>
      </c>
      <c r="BW793" s="40" t="str">
        <f aca="false">IF(AQ793&lt;&gt;1,"",IF(AND(AG793="",AH793=""),"",N(AG793)-N(AH793)))</f>
        <v/>
      </c>
      <c r="BX793" s="35" t="str">
        <f aca="true">IF(OR(AQ793&lt;&gt;1,AI793&lt;&gt;"Oui",AJ793=""),"",IF(AK793="",IF(NOW()&gt;AJ793+1,0,""),IF(AK793&lt;=AJ793,1,0)))</f>
        <v/>
      </c>
    </row>
    <row r="794" customFormat="false" ht="15" hidden="false" customHeight="false" outlineLevel="0" collapsed="false">
      <c r="B794" s="29"/>
      <c r="C794" s="29"/>
      <c r="D794" s="29"/>
      <c r="E794" s="29"/>
      <c r="F794" s="29"/>
      <c r="G794" s="29"/>
      <c r="H794" s="29"/>
      <c r="I794" s="29"/>
      <c r="J794" s="29"/>
      <c r="K794" s="29"/>
      <c r="L794" s="29"/>
      <c r="M794" s="29"/>
      <c r="N794" s="30"/>
      <c r="O794" s="30"/>
      <c r="P794" s="30"/>
      <c r="Q794" s="30"/>
      <c r="R794" s="30"/>
      <c r="S794" s="30"/>
      <c r="T794" s="30"/>
      <c r="U794" s="30"/>
      <c r="V794" s="31"/>
      <c r="W794" s="29"/>
      <c r="X794" s="29"/>
      <c r="Y794" s="29"/>
      <c r="Z794" s="29"/>
      <c r="AA794" s="30"/>
      <c r="AB794" s="30"/>
      <c r="AC794" s="30"/>
      <c r="AD794" s="30"/>
      <c r="AE794" s="30"/>
      <c r="AF794" s="32"/>
      <c r="AG794" s="33"/>
      <c r="AH794" s="33"/>
      <c r="AI794" s="29"/>
      <c r="AJ794" s="32"/>
      <c r="AK794" s="32"/>
      <c r="AL794" s="29"/>
      <c r="AN794" s="34" t="str">
        <f aca="false">IF($B794="","",IF(OR(C794="",D794="",E794="",G794="",I794="",J794="",L794="",O794="",P794=""),"Champ obligatoire manquant",IF(OR(AND(N794&lt;&gt;"",N794&gt;O794),O794&gt;P794,AND(Q794&lt;&gt;"",Q794&lt;P794),AND(R794&lt;&gt;"",R794&lt;P794),AND(S794&lt;&gt;"",S794&lt;R794),AND(S794&lt;&gt;"",R794=""),AND(T794&lt;&gt;"",T794&lt;O794),AND(U794&lt;&gt;"",U794&lt;O794)),"Chronologie incohérente",IF(AND(OR(L794="Résolu",L794="Clos"),R794=""),"Date de résolution manquante",IF(AND(L794="Clos",S794=""),"Date de clôture manquante",IF(AND(K794="Oui",AC794=""),"Classification DORA manquante","OK"))))))</f>
        <v/>
      </c>
      <c r="AO794" s="35" t="str">
        <f aca="false">IF($B794="","",IF(AND(C794="Incident",L794&lt;&gt;"Annulé"),1,0))</f>
        <v/>
      </c>
      <c r="AP794" s="35" t="str">
        <f aca="false">IF($B794="","",IF(AND(C794="Quasi-incident",L794&lt;&gt;"Annulé"),1,0))</f>
        <v/>
      </c>
      <c r="AQ794" s="35" t="str">
        <f aca="false">IF($B794="","",AO794+AP794)</f>
        <v/>
      </c>
      <c r="AR794" s="36" t="str">
        <f aca="false">IF(OR($B794="",J794=""),"",IFERROR(VALUE(LEFT(J794,1)),""))</f>
        <v/>
      </c>
      <c r="AS794" s="35" t="str">
        <f aca="false">IF(OR(AO794&lt;&gt;1,G794=""),"",IFERROR(IF(INDEX(L_SrcInterne,MATCH(G794,L_Sources,0))="Oui",1,0),""))</f>
        <v/>
      </c>
      <c r="AT794" s="37" t="str">
        <f aca="false">IF(AO794&lt;&gt;1,"",IFERROR(ROUND(IF(OR(N794="",O794=""),"",IF(O794&lt;N794,"",ROUND(((NETWORKDAYS(N794,O794,JoursFeries)-1)*(HFer-HOuv)+IF(NETWORKDAYS(O794,O794,JoursFeries),MEDIAN(MOD(O794,1),HFer,HOuv),HFer)-IF(NETWORKDAYS(N794,N794,JoursFeries),MEDIAN(MOD(N794,1),HFer,HOuv),HOuv))*24,4)))/HJour,4),""))</f>
        <v/>
      </c>
      <c r="AU794" s="37" t="str">
        <f aca="false">IF(AO794&lt;&gt;1,"",IF(OR(O794="",P794=""),"",IF(P794&lt;O794,"",ROUND(((NETWORKDAYS(O794,P794,JoursFeries)-1)*(HFer-HOuv)+IF(NETWORKDAYS(P794,P794,JoursFeries),MEDIAN(MOD(P794,1),HFer,HOuv),HFer)-IF(NETWORKDAYS(O794,O794,JoursFeries),MEDIAN(MOD(O794,1),HFer,HOuv),HOuv))*24,4))))</f>
        <v/>
      </c>
      <c r="AV794" s="37" t="str">
        <f aca="false">IF(AO794&lt;&gt;1,"",IF(OR(P794="",Q794=""),"",IF(Q794&lt;P794,"",ROUND(((NETWORKDAYS(P794,Q794,JoursFeries)-1)*(HFer-HOuv)+IF(NETWORKDAYS(Q794,Q794,JoursFeries),MEDIAN(MOD(Q794,1),HFer,HOuv),HFer)-IF(NETWORKDAYS(P794,P794,JoursFeries),MEDIAN(MOD(P794,1),HFer,HOuv),HOuv))*24,4))))</f>
        <v/>
      </c>
      <c r="AW794" s="37" t="str">
        <f aca="false">IF(AO794&lt;&gt;1,"",IFERROR(ROUND(IF(OR(P794="",R794=""),"",IF(R794&lt;P794,"",ROUND(((NETWORKDAYS(P794,R794,JoursFeries)-1)*(HFer-HOuv)+IF(NETWORKDAYS(R794,R794,JoursFeries),MEDIAN(MOD(R794,1),HFer,HOuv),HFer)-IF(NETWORKDAYS(P794,P794,JoursFeries),MEDIAN(MOD(P794,1),HFer,HOuv),HOuv))*24,4)))/HJour,4),""))</f>
        <v/>
      </c>
      <c r="AX794" s="37" t="str">
        <f aca="false">IF(AO794&lt;&gt;1,"",IFERROR(ROUND(IF(OR(P794="",S794=""),"",IF(S794&lt;P794,"",ROUND(((NETWORKDAYS(P794,S794,JoursFeries)-1)*(HFer-HOuv)+IF(NETWORKDAYS(S794,S794,JoursFeries),MEDIAN(MOD(S794,1),HFer,HOuv),HFer)-IF(NETWORKDAYS(P794,P794,JoursFeries),MEDIAN(MOD(P794,1),HFer,HOuv),HOuv))*24,4)))/HJour,4),""))</f>
        <v/>
      </c>
      <c r="AY794" s="36" t="str">
        <f aca="false">IF(OR(AO794&lt;&gt;1,AR794=""),"",INDEX(SLA_PEC,AR794))</f>
        <v/>
      </c>
      <c r="AZ794" s="35" t="str">
        <f aca="false">IF(OR(AV794="",AY794=""),"",IF(AV794&lt;=AY794,1,0))</f>
        <v/>
      </c>
      <c r="BA794" s="36" t="str">
        <f aca="false">IF(OR(AO794&lt;&gt;1,AR794=""),"",INDEX(SLA_RES,AR794))</f>
        <v/>
      </c>
      <c r="BB794" s="35" t="str">
        <f aca="false">IF(OR(AW794="",BA794=""),"",IF(AW794&lt;=BA794,1,0))</f>
        <v/>
      </c>
      <c r="BC794" s="38" t="str">
        <f aca="false">IF(OR(BA794="",P794=""),"",WORKDAY(INT(P794),BA794,JoursFeries)+MOD(P794,1))</f>
        <v/>
      </c>
      <c r="BD794" s="39" t="str">
        <f aca="false">IF(AO794&lt;&gt;1,"",IF(OR(AB794&lt;&gt;"",AD794&lt;&gt;""),4,IF(U794&lt;&gt;"",3,IF(T794&lt;&gt;"",2,1))))</f>
        <v/>
      </c>
      <c r="BE794" s="39" t="str">
        <f aca="false">IF(OR(AO794&lt;&gt;1,AR794=""),"",INDEX(NIV_REQ,AR794))</f>
        <v/>
      </c>
      <c r="BF794" s="39" t="str">
        <f aca="false">IF(BE794="","",MAX(BE794,IF(OR(K794="Oui",Z794="Oui"),4,1)))</f>
        <v/>
      </c>
      <c r="BG794" s="35" t="str">
        <f aca="false">IF(OR(BF794="",BD794=""),"",IF(BD794&gt;=BF794,1,0))</f>
        <v/>
      </c>
      <c r="BH794" s="38" t="str">
        <f aca="false">IF(BE794="","",IF(BE794&lt;2,"",IF(BE794=2,IF(AND(T794="",U794=""),"",MIN(T794,U794)),IF(U794="","",U794))))</f>
        <v/>
      </c>
      <c r="BI794" s="37" t="str">
        <f aca="false">IF(BH794="","",IF(OR(O794="",BH794=""),"",IF(BH794&lt;O794,"",ROUND(((NETWORKDAYS(O794,BH794,JoursFeries)-1)*(HFer-HOuv)+IF(NETWORKDAYS(BH794,BH794,JoursFeries),MEDIAN(MOD(BH794,1),HFer,HOuv),HFer)-IF(NETWORKDAYS(O794,O794,JoursFeries),MEDIAN(MOD(O794,1),HFer,HOuv),HOuv))*24,4))))</f>
        <v/>
      </c>
      <c r="BJ794" s="35" t="str">
        <f aca="false">IF(OR(BI794="",AR794=""),"",IF(BI794&lt;=INDEX(DELAI_ESC,AR794),1,0))</f>
        <v/>
      </c>
      <c r="BK794" s="38" t="str">
        <f aca="false">IF(AO794&lt;&gt;1,"",IF(AND(T794="",U794=""),"",MIN(T794,U794)))</f>
        <v/>
      </c>
      <c r="BL794" s="37" t="str">
        <f aca="false">IF(OR(BK794="",R794=""),"",IFERROR(ROUND(IF(OR(BK794="",R794=""),"",IF(R794&lt;BK794,"",ROUND(((NETWORKDAYS(BK794,R794,JoursFeries)-1)*(HFer-HOuv)+IF(NETWORKDAYS(R794,R794,JoursFeries),MEDIAN(MOD(R794,1),HFer,HOuv),HFer)-IF(NETWORKDAYS(BK794,BK794,JoursFeries),MEDIAN(MOD(BK794,1),HFer,HOuv),HOuv))*24,4)))/HJour,4),""))</f>
        <v/>
      </c>
      <c r="BM794" s="35" t="str">
        <f aca="false">IF(OR(AO794&lt;&gt;1,R794=""),"",IF(BD794=1,1,0))</f>
        <v/>
      </c>
      <c r="BN794" s="35" t="str">
        <f aca="false">IF(AO794&lt;&gt;1,"",IF(W794="Oui",1,0))</f>
        <v/>
      </c>
      <c r="BO794" s="35" t="str">
        <f aca="false">IF(AO794&lt;&gt;1,"",IF(X794&lt;&gt;"",1,0))</f>
        <v/>
      </c>
      <c r="BP794" s="35" t="str">
        <f aca="false">IF(AO794&lt;&gt;1,"",IF(Y794="Oui",1,0))</f>
        <v/>
      </c>
      <c r="BQ794" s="35" t="str">
        <f aca="true">IF(OR(AO794&lt;&gt;1,Z794&lt;&gt;"Oui"),"",IF(AB794="",IF(AND(AA794&lt;&gt;"",NOW()&gt;AA794),0,""),IF(AA794="","",IF(AB794&lt;=AA794,1,0))))</f>
        <v/>
      </c>
      <c r="BR794" s="38" t="str">
        <f aca="false">IF(OR(AO794&lt;&gt;1,K794&lt;&gt;"Oui",O794=""),"",IF(AC794="",O794+DORA_H_DET/24,IF(AC794-O794&lt;=DORA_H_DET/24,MIN(AC794+DORA_H_CLA/24,O794+DORA_H_DET/24),AC794+DORA_H_CLA/24)))</f>
        <v/>
      </c>
      <c r="BS794" s="35" t="str">
        <f aca="true">IF(BR794="","",IF(AD794="",IF(NOW()&gt;BR794,0,""),IF(AD794&lt;=BR794,1,0)))</f>
        <v/>
      </c>
      <c r="BT794" s="35" t="str">
        <f aca="true">IF(OR(BR794="",AD794=""),"",IF(AE794="",IF(NOW()&gt;AD794+DORA_H_INT/24,0,""),IF(AE794&lt;=AD794+DORA_H_INT/24,1,0)))</f>
        <v/>
      </c>
      <c r="BU794" s="35" t="str">
        <f aca="true">IF(OR(BR794="",AE794=""),"",IF(AF794="",IF(NOW()&gt;EDATE(AE794,DORA_M_FIN)+1,0,""),IF(AF794&lt;=EDATE(AE794,DORA_M_FIN),1,0)))</f>
        <v/>
      </c>
      <c r="BV794" s="35" t="str">
        <f aca="false">IF(BR794="","",IF(COUNT(BS794:BU794)=0,"",MIN(BS794:BU794)))</f>
        <v/>
      </c>
      <c r="BW794" s="40" t="str">
        <f aca="false">IF(AQ794&lt;&gt;1,"",IF(AND(AG794="",AH794=""),"",N(AG794)-N(AH794)))</f>
        <v/>
      </c>
      <c r="BX794" s="35" t="str">
        <f aca="true">IF(OR(AQ794&lt;&gt;1,AI794&lt;&gt;"Oui",AJ794=""),"",IF(AK794="",IF(NOW()&gt;AJ794+1,0,""),IF(AK794&lt;=AJ794,1,0)))</f>
        <v/>
      </c>
    </row>
    <row r="795" customFormat="false" ht="15" hidden="false" customHeight="false" outlineLevel="0" collapsed="false">
      <c r="B795" s="29"/>
      <c r="C795" s="29"/>
      <c r="D795" s="29"/>
      <c r="E795" s="29"/>
      <c r="F795" s="29"/>
      <c r="G795" s="29"/>
      <c r="H795" s="29"/>
      <c r="I795" s="29"/>
      <c r="J795" s="29"/>
      <c r="K795" s="29"/>
      <c r="L795" s="29"/>
      <c r="M795" s="29"/>
      <c r="N795" s="30"/>
      <c r="O795" s="30"/>
      <c r="P795" s="30"/>
      <c r="Q795" s="30"/>
      <c r="R795" s="30"/>
      <c r="S795" s="30"/>
      <c r="T795" s="30"/>
      <c r="U795" s="30"/>
      <c r="V795" s="31"/>
      <c r="W795" s="29"/>
      <c r="X795" s="29"/>
      <c r="Y795" s="29"/>
      <c r="Z795" s="29"/>
      <c r="AA795" s="30"/>
      <c r="AB795" s="30"/>
      <c r="AC795" s="30"/>
      <c r="AD795" s="30"/>
      <c r="AE795" s="30"/>
      <c r="AF795" s="32"/>
      <c r="AG795" s="33"/>
      <c r="AH795" s="33"/>
      <c r="AI795" s="29"/>
      <c r="AJ795" s="32"/>
      <c r="AK795" s="32"/>
      <c r="AL795" s="29"/>
      <c r="AN795" s="34" t="str">
        <f aca="false">IF($B795="","",IF(OR(C795="",D795="",E795="",G795="",I795="",J795="",L795="",O795="",P795=""),"Champ obligatoire manquant",IF(OR(AND(N795&lt;&gt;"",N795&gt;O795),O795&gt;P795,AND(Q795&lt;&gt;"",Q795&lt;P795),AND(R795&lt;&gt;"",R795&lt;P795),AND(S795&lt;&gt;"",S795&lt;R795),AND(S795&lt;&gt;"",R795=""),AND(T795&lt;&gt;"",T795&lt;O795),AND(U795&lt;&gt;"",U795&lt;O795)),"Chronologie incohérente",IF(AND(OR(L795="Résolu",L795="Clos"),R795=""),"Date de résolution manquante",IF(AND(L795="Clos",S795=""),"Date de clôture manquante",IF(AND(K795="Oui",AC795=""),"Classification DORA manquante","OK"))))))</f>
        <v/>
      </c>
      <c r="AO795" s="35" t="str">
        <f aca="false">IF($B795="","",IF(AND(C795="Incident",L795&lt;&gt;"Annulé"),1,0))</f>
        <v/>
      </c>
      <c r="AP795" s="35" t="str">
        <f aca="false">IF($B795="","",IF(AND(C795="Quasi-incident",L795&lt;&gt;"Annulé"),1,0))</f>
        <v/>
      </c>
      <c r="AQ795" s="35" t="str">
        <f aca="false">IF($B795="","",AO795+AP795)</f>
        <v/>
      </c>
      <c r="AR795" s="36" t="str">
        <f aca="false">IF(OR($B795="",J795=""),"",IFERROR(VALUE(LEFT(J795,1)),""))</f>
        <v/>
      </c>
      <c r="AS795" s="35" t="str">
        <f aca="false">IF(OR(AO795&lt;&gt;1,G795=""),"",IFERROR(IF(INDEX(L_SrcInterne,MATCH(G795,L_Sources,0))="Oui",1,0),""))</f>
        <v/>
      </c>
      <c r="AT795" s="37" t="str">
        <f aca="false">IF(AO795&lt;&gt;1,"",IFERROR(ROUND(IF(OR(N795="",O795=""),"",IF(O795&lt;N795,"",ROUND(((NETWORKDAYS(N795,O795,JoursFeries)-1)*(HFer-HOuv)+IF(NETWORKDAYS(O795,O795,JoursFeries),MEDIAN(MOD(O795,1),HFer,HOuv),HFer)-IF(NETWORKDAYS(N795,N795,JoursFeries),MEDIAN(MOD(N795,1),HFer,HOuv),HOuv))*24,4)))/HJour,4),""))</f>
        <v/>
      </c>
      <c r="AU795" s="37" t="str">
        <f aca="false">IF(AO795&lt;&gt;1,"",IF(OR(O795="",P795=""),"",IF(P795&lt;O795,"",ROUND(((NETWORKDAYS(O795,P795,JoursFeries)-1)*(HFer-HOuv)+IF(NETWORKDAYS(P795,P795,JoursFeries),MEDIAN(MOD(P795,1),HFer,HOuv),HFer)-IF(NETWORKDAYS(O795,O795,JoursFeries),MEDIAN(MOD(O795,1),HFer,HOuv),HOuv))*24,4))))</f>
        <v/>
      </c>
      <c r="AV795" s="37" t="str">
        <f aca="false">IF(AO795&lt;&gt;1,"",IF(OR(P795="",Q795=""),"",IF(Q795&lt;P795,"",ROUND(((NETWORKDAYS(P795,Q795,JoursFeries)-1)*(HFer-HOuv)+IF(NETWORKDAYS(Q795,Q795,JoursFeries),MEDIAN(MOD(Q795,1),HFer,HOuv),HFer)-IF(NETWORKDAYS(P795,P795,JoursFeries),MEDIAN(MOD(P795,1),HFer,HOuv),HOuv))*24,4))))</f>
        <v/>
      </c>
      <c r="AW795" s="37" t="str">
        <f aca="false">IF(AO795&lt;&gt;1,"",IFERROR(ROUND(IF(OR(P795="",R795=""),"",IF(R795&lt;P795,"",ROUND(((NETWORKDAYS(P795,R795,JoursFeries)-1)*(HFer-HOuv)+IF(NETWORKDAYS(R795,R795,JoursFeries),MEDIAN(MOD(R795,1),HFer,HOuv),HFer)-IF(NETWORKDAYS(P795,P795,JoursFeries),MEDIAN(MOD(P795,1),HFer,HOuv),HOuv))*24,4)))/HJour,4),""))</f>
        <v/>
      </c>
      <c r="AX795" s="37" t="str">
        <f aca="false">IF(AO795&lt;&gt;1,"",IFERROR(ROUND(IF(OR(P795="",S795=""),"",IF(S795&lt;P795,"",ROUND(((NETWORKDAYS(P795,S795,JoursFeries)-1)*(HFer-HOuv)+IF(NETWORKDAYS(S795,S795,JoursFeries),MEDIAN(MOD(S795,1),HFer,HOuv),HFer)-IF(NETWORKDAYS(P795,P795,JoursFeries),MEDIAN(MOD(P795,1),HFer,HOuv),HOuv))*24,4)))/HJour,4),""))</f>
        <v/>
      </c>
      <c r="AY795" s="36" t="str">
        <f aca="false">IF(OR(AO795&lt;&gt;1,AR795=""),"",INDEX(SLA_PEC,AR795))</f>
        <v/>
      </c>
      <c r="AZ795" s="35" t="str">
        <f aca="false">IF(OR(AV795="",AY795=""),"",IF(AV795&lt;=AY795,1,0))</f>
        <v/>
      </c>
      <c r="BA795" s="36" t="str">
        <f aca="false">IF(OR(AO795&lt;&gt;1,AR795=""),"",INDEX(SLA_RES,AR795))</f>
        <v/>
      </c>
      <c r="BB795" s="35" t="str">
        <f aca="false">IF(OR(AW795="",BA795=""),"",IF(AW795&lt;=BA795,1,0))</f>
        <v/>
      </c>
      <c r="BC795" s="38" t="str">
        <f aca="false">IF(OR(BA795="",P795=""),"",WORKDAY(INT(P795),BA795,JoursFeries)+MOD(P795,1))</f>
        <v/>
      </c>
      <c r="BD795" s="39" t="str">
        <f aca="false">IF(AO795&lt;&gt;1,"",IF(OR(AB795&lt;&gt;"",AD795&lt;&gt;""),4,IF(U795&lt;&gt;"",3,IF(T795&lt;&gt;"",2,1))))</f>
        <v/>
      </c>
      <c r="BE795" s="39" t="str">
        <f aca="false">IF(OR(AO795&lt;&gt;1,AR795=""),"",INDEX(NIV_REQ,AR795))</f>
        <v/>
      </c>
      <c r="BF795" s="39" t="str">
        <f aca="false">IF(BE795="","",MAX(BE795,IF(OR(K795="Oui",Z795="Oui"),4,1)))</f>
        <v/>
      </c>
      <c r="BG795" s="35" t="str">
        <f aca="false">IF(OR(BF795="",BD795=""),"",IF(BD795&gt;=BF795,1,0))</f>
        <v/>
      </c>
      <c r="BH795" s="38" t="str">
        <f aca="false">IF(BE795="","",IF(BE795&lt;2,"",IF(BE795=2,IF(AND(T795="",U795=""),"",MIN(T795,U795)),IF(U795="","",U795))))</f>
        <v/>
      </c>
      <c r="BI795" s="37" t="str">
        <f aca="false">IF(BH795="","",IF(OR(O795="",BH795=""),"",IF(BH795&lt;O795,"",ROUND(((NETWORKDAYS(O795,BH795,JoursFeries)-1)*(HFer-HOuv)+IF(NETWORKDAYS(BH795,BH795,JoursFeries),MEDIAN(MOD(BH795,1),HFer,HOuv),HFer)-IF(NETWORKDAYS(O795,O795,JoursFeries),MEDIAN(MOD(O795,1),HFer,HOuv),HOuv))*24,4))))</f>
        <v/>
      </c>
      <c r="BJ795" s="35" t="str">
        <f aca="false">IF(OR(BI795="",AR795=""),"",IF(BI795&lt;=INDEX(DELAI_ESC,AR795),1,0))</f>
        <v/>
      </c>
      <c r="BK795" s="38" t="str">
        <f aca="false">IF(AO795&lt;&gt;1,"",IF(AND(T795="",U795=""),"",MIN(T795,U795)))</f>
        <v/>
      </c>
      <c r="BL795" s="37" t="str">
        <f aca="false">IF(OR(BK795="",R795=""),"",IFERROR(ROUND(IF(OR(BK795="",R795=""),"",IF(R795&lt;BK795,"",ROUND(((NETWORKDAYS(BK795,R795,JoursFeries)-1)*(HFer-HOuv)+IF(NETWORKDAYS(R795,R795,JoursFeries),MEDIAN(MOD(R795,1),HFer,HOuv),HFer)-IF(NETWORKDAYS(BK795,BK795,JoursFeries),MEDIAN(MOD(BK795,1),HFer,HOuv),HOuv))*24,4)))/HJour,4),""))</f>
        <v/>
      </c>
      <c r="BM795" s="35" t="str">
        <f aca="false">IF(OR(AO795&lt;&gt;1,R795=""),"",IF(BD795=1,1,0))</f>
        <v/>
      </c>
      <c r="BN795" s="35" t="str">
        <f aca="false">IF(AO795&lt;&gt;1,"",IF(W795="Oui",1,0))</f>
        <v/>
      </c>
      <c r="BO795" s="35" t="str">
        <f aca="false">IF(AO795&lt;&gt;1,"",IF(X795&lt;&gt;"",1,0))</f>
        <v/>
      </c>
      <c r="BP795" s="35" t="str">
        <f aca="false">IF(AO795&lt;&gt;1,"",IF(Y795="Oui",1,0))</f>
        <v/>
      </c>
      <c r="BQ795" s="35" t="str">
        <f aca="true">IF(OR(AO795&lt;&gt;1,Z795&lt;&gt;"Oui"),"",IF(AB795="",IF(AND(AA795&lt;&gt;"",NOW()&gt;AA795),0,""),IF(AA795="","",IF(AB795&lt;=AA795,1,0))))</f>
        <v/>
      </c>
      <c r="BR795" s="38" t="str">
        <f aca="false">IF(OR(AO795&lt;&gt;1,K795&lt;&gt;"Oui",O795=""),"",IF(AC795="",O795+DORA_H_DET/24,IF(AC795-O795&lt;=DORA_H_DET/24,MIN(AC795+DORA_H_CLA/24,O795+DORA_H_DET/24),AC795+DORA_H_CLA/24)))</f>
        <v/>
      </c>
      <c r="BS795" s="35" t="str">
        <f aca="true">IF(BR795="","",IF(AD795="",IF(NOW()&gt;BR795,0,""),IF(AD795&lt;=BR795,1,0)))</f>
        <v/>
      </c>
      <c r="BT795" s="35" t="str">
        <f aca="true">IF(OR(BR795="",AD795=""),"",IF(AE795="",IF(NOW()&gt;AD795+DORA_H_INT/24,0,""),IF(AE795&lt;=AD795+DORA_H_INT/24,1,0)))</f>
        <v/>
      </c>
      <c r="BU795" s="35" t="str">
        <f aca="true">IF(OR(BR795="",AE795=""),"",IF(AF795="",IF(NOW()&gt;EDATE(AE795,DORA_M_FIN)+1,0,""),IF(AF795&lt;=EDATE(AE795,DORA_M_FIN),1,0)))</f>
        <v/>
      </c>
      <c r="BV795" s="35" t="str">
        <f aca="false">IF(BR795="","",IF(COUNT(BS795:BU795)=0,"",MIN(BS795:BU795)))</f>
        <v/>
      </c>
      <c r="BW795" s="40" t="str">
        <f aca="false">IF(AQ795&lt;&gt;1,"",IF(AND(AG795="",AH795=""),"",N(AG795)-N(AH795)))</f>
        <v/>
      </c>
      <c r="BX795" s="35" t="str">
        <f aca="true">IF(OR(AQ795&lt;&gt;1,AI795&lt;&gt;"Oui",AJ795=""),"",IF(AK795="",IF(NOW()&gt;AJ795+1,0,""),IF(AK795&lt;=AJ795,1,0)))</f>
        <v/>
      </c>
    </row>
    <row r="796" customFormat="false" ht="15" hidden="false" customHeight="false" outlineLevel="0" collapsed="false">
      <c r="B796" s="29"/>
      <c r="C796" s="29"/>
      <c r="D796" s="29"/>
      <c r="E796" s="29"/>
      <c r="F796" s="29"/>
      <c r="G796" s="29"/>
      <c r="H796" s="29"/>
      <c r="I796" s="29"/>
      <c r="J796" s="29"/>
      <c r="K796" s="29"/>
      <c r="L796" s="29"/>
      <c r="M796" s="29"/>
      <c r="N796" s="30"/>
      <c r="O796" s="30"/>
      <c r="P796" s="30"/>
      <c r="Q796" s="30"/>
      <c r="R796" s="30"/>
      <c r="S796" s="30"/>
      <c r="T796" s="30"/>
      <c r="U796" s="30"/>
      <c r="V796" s="31"/>
      <c r="W796" s="29"/>
      <c r="X796" s="29"/>
      <c r="Y796" s="29"/>
      <c r="Z796" s="29"/>
      <c r="AA796" s="30"/>
      <c r="AB796" s="30"/>
      <c r="AC796" s="30"/>
      <c r="AD796" s="30"/>
      <c r="AE796" s="30"/>
      <c r="AF796" s="32"/>
      <c r="AG796" s="33"/>
      <c r="AH796" s="33"/>
      <c r="AI796" s="29"/>
      <c r="AJ796" s="32"/>
      <c r="AK796" s="32"/>
      <c r="AL796" s="29"/>
      <c r="AN796" s="34" t="str">
        <f aca="false">IF($B796="","",IF(OR(C796="",D796="",E796="",G796="",I796="",J796="",L796="",O796="",P796=""),"Champ obligatoire manquant",IF(OR(AND(N796&lt;&gt;"",N796&gt;O796),O796&gt;P796,AND(Q796&lt;&gt;"",Q796&lt;P796),AND(R796&lt;&gt;"",R796&lt;P796),AND(S796&lt;&gt;"",S796&lt;R796),AND(S796&lt;&gt;"",R796=""),AND(T796&lt;&gt;"",T796&lt;O796),AND(U796&lt;&gt;"",U796&lt;O796)),"Chronologie incohérente",IF(AND(OR(L796="Résolu",L796="Clos"),R796=""),"Date de résolution manquante",IF(AND(L796="Clos",S796=""),"Date de clôture manquante",IF(AND(K796="Oui",AC796=""),"Classification DORA manquante","OK"))))))</f>
        <v/>
      </c>
      <c r="AO796" s="35" t="str">
        <f aca="false">IF($B796="","",IF(AND(C796="Incident",L796&lt;&gt;"Annulé"),1,0))</f>
        <v/>
      </c>
      <c r="AP796" s="35" t="str">
        <f aca="false">IF($B796="","",IF(AND(C796="Quasi-incident",L796&lt;&gt;"Annulé"),1,0))</f>
        <v/>
      </c>
      <c r="AQ796" s="35" t="str">
        <f aca="false">IF($B796="","",AO796+AP796)</f>
        <v/>
      </c>
      <c r="AR796" s="36" t="str">
        <f aca="false">IF(OR($B796="",J796=""),"",IFERROR(VALUE(LEFT(J796,1)),""))</f>
        <v/>
      </c>
      <c r="AS796" s="35" t="str">
        <f aca="false">IF(OR(AO796&lt;&gt;1,G796=""),"",IFERROR(IF(INDEX(L_SrcInterne,MATCH(G796,L_Sources,0))="Oui",1,0),""))</f>
        <v/>
      </c>
      <c r="AT796" s="37" t="str">
        <f aca="false">IF(AO796&lt;&gt;1,"",IFERROR(ROUND(IF(OR(N796="",O796=""),"",IF(O796&lt;N796,"",ROUND(((NETWORKDAYS(N796,O796,JoursFeries)-1)*(HFer-HOuv)+IF(NETWORKDAYS(O796,O796,JoursFeries),MEDIAN(MOD(O796,1),HFer,HOuv),HFer)-IF(NETWORKDAYS(N796,N796,JoursFeries),MEDIAN(MOD(N796,1),HFer,HOuv),HOuv))*24,4)))/HJour,4),""))</f>
        <v/>
      </c>
      <c r="AU796" s="37" t="str">
        <f aca="false">IF(AO796&lt;&gt;1,"",IF(OR(O796="",P796=""),"",IF(P796&lt;O796,"",ROUND(((NETWORKDAYS(O796,P796,JoursFeries)-1)*(HFer-HOuv)+IF(NETWORKDAYS(P796,P796,JoursFeries),MEDIAN(MOD(P796,1),HFer,HOuv),HFer)-IF(NETWORKDAYS(O796,O796,JoursFeries),MEDIAN(MOD(O796,1),HFer,HOuv),HOuv))*24,4))))</f>
        <v/>
      </c>
      <c r="AV796" s="37" t="str">
        <f aca="false">IF(AO796&lt;&gt;1,"",IF(OR(P796="",Q796=""),"",IF(Q796&lt;P796,"",ROUND(((NETWORKDAYS(P796,Q796,JoursFeries)-1)*(HFer-HOuv)+IF(NETWORKDAYS(Q796,Q796,JoursFeries),MEDIAN(MOD(Q796,1),HFer,HOuv),HFer)-IF(NETWORKDAYS(P796,P796,JoursFeries),MEDIAN(MOD(P796,1),HFer,HOuv),HOuv))*24,4))))</f>
        <v/>
      </c>
      <c r="AW796" s="37" t="str">
        <f aca="false">IF(AO796&lt;&gt;1,"",IFERROR(ROUND(IF(OR(P796="",R796=""),"",IF(R796&lt;P796,"",ROUND(((NETWORKDAYS(P796,R796,JoursFeries)-1)*(HFer-HOuv)+IF(NETWORKDAYS(R796,R796,JoursFeries),MEDIAN(MOD(R796,1),HFer,HOuv),HFer)-IF(NETWORKDAYS(P796,P796,JoursFeries),MEDIAN(MOD(P796,1),HFer,HOuv),HOuv))*24,4)))/HJour,4),""))</f>
        <v/>
      </c>
      <c r="AX796" s="37" t="str">
        <f aca="false">IF(AO796&lt;&gt;1,"",IFERROR(ROUND(IF(OR(P796="",S796=""),"",IF(S796&lt;P796,"",ROUND(((NETWORKDAYS(P796,S796,JoursFeries)-1)*(HFer-HOuv)+IF(NETWORKDAYS(S796,S796,JoursFeries),MEDIAN(MOD(S796,1),HFer,HOuv),HFer)-IF(NETWORKDAYS(P796,P796,JoursFeries),MEDIAN(MOD(P796,1),HFer,HOuv),HOuv))*24,4)))/HJour,4),""))</f>
        <v/>
      </c>
      <c r="AY796" s="36" t="str">
        <f aca="false">IF(OR(AO796&lt;&gt;1,AR796=""),"",INDEX(SLA_PEC,AR796))</f>
        <v/>
      </c>
      <c r="AZ796" s="35" t="str">
        <f aca="false">IF(OR(AV796="",AY796=""),"",IF(AV796&lt;=AY796,1,0))</f>
        <v/>
      </c>
      <c r="BA796" s="36" t="str">
        <f aca="false">IF(OR(AO796&lt;&gt;1,AR796=""),"",INDEX(SLA_RES,AR796))</f>
        <v/>
      </c>
      <c r="BB796" s="35" t="str">
        <f aca="false">IF(OR(AW796="",BA796=""),"",IF(AW796&lt;=BA796,1,0))</f>
        <v/>
      </c>
      <c r="BC796" s="38" t="str">
        <f aca="false">IF(OR(BA796="",P796=""),"",WORKDAY(INT(P796),BA796,JoursFeries)+MOD(P796,1))</f>
        <v/>
      </c>
      <c r="BD796" s="39" t="str">
        <f aca="false">IF(AO796&lt;&gt;1,"",IF(OR(AB796&lt;&gt;"",AD796&lt;&gt;""),4,IF(U796&lt;&gt;"",3,IF(T796&lt;&gt;"",2,1))))</f>
        <v/>
      </c>
      <c r="BE796" s="39" t="str">
        <f aca="false">IF(OR(AO796&lt;&gt;1,AR796=""),"",INDEX(NIV_REQ,AR796))</f>
        <v/>
      </c>
      <c r="BF796" s="39" t="str">
        <f aca="false">IF(BE796="","",MAX(BE796,IF(OR(K796="Oui",Z796="Oui"),4,1)))</f>
        <v/>
      </c>
      <c r="BG796" s="35" t="str">
        <f aca="false">IF(OR(BF796="",BD796=""),"",IF(BD796&gt;=BF796,1,0))</f>
        <v/>
      </c>
      <c r="BH796" s="38" t="str">
        <f aca="false">IF(BE796="","",IF(BE796&lt;2,"",IF(BE796=2,IF(AND(T796="",U796=""),"",MIN(T796,U796)),IF(U796="","",U796))))</f>
        <v/>
      </c>
      <c r="BI796" s="37" t="str">
        <f aca="false">IF(BH796="","",IF(OR(O796="",BH796=""),"",IF(BH796&lt;O796,"",ROUND(((NETWORKDAYS(O796,BH796,JoursFeries)-1)*(HFer-HOuv)+IF(NETWORKDAYS(BH796,BH796,JoursFeries),MEDIAN(MOD(BH796,1),HFer,HOuv),HFer)-IF(NETWORKDAYS(O796,O796,JoursFeries),MEDIAN(MOD(O796,1),HFer,HOuv),HOuv))*24,4))))</f>
        <v/>
      </c>
      <c r="BJ796" s="35" t="str">
        <f aca="false">IF(OR(BI796="",AR796=""),"",IF(BI796&lt;=INDEX(DELAI_ESC,AR796),1,0))</f>
        <v/>
      </c>
      <c r="BK796" s="38" t="str">
        <f aca="false">IF(AO796&lt;&gt;1,"",IF(AND(T796="",U796=""),"",MIN(T796,U796)))</f>
        <v/>
      </c>
      <c r="BL796" s="37" t="str">
        <f aca="false">IF(OR(BK796="",R796=""),"",IFERROR(ROUND(IF(OR(BK796="",R796=""),"",IF(R796&lt;BK796,"",ROUND(((NETWORKDAYS(BK796,R796,JoursFeries)-1)*(HFer-HOuv)+IF(NETWORKDAYS(R796,R796,JoursFeries),MEDIAN(MOD(R796,1),HFer,HOuv),HFer)-IF(NETWORKDAYS(BK796,BK796,JoursFeries),MEDIAN(MOD(BK796,1),HFer,HOuv),HOuv))*24,4)))/HJour,4),""))</f>
        <v/>
      </c>
      <c r="BM796" s="35" t="str">
        <f aca="false">IF(OR(AO796&lt;&gt;1,R796=""),"",IF(BD796=1,1,0))</f>
        <v/>
      </c>
      <c r="BN796" s="35" t="str">
        <f aca="false">IF(AO796&lt;&gt;1,"",IF(W796="Oui",1,0))</f>
        <v/>
      </c>
      <c r="BO796" s="35" t="str">
        <f aca="false">IF(AO796&lt;&gt;1,"",IF(X796&lt;&gt;"",1,0))</f>
        <v/>
      </c>
      <c r="BP796" s="35" t="str">
        <f aca="false">IF(AO796&lt;&gt;1,"",IF(Y796="Oui",1,0))</f>
        <v/>
      </c>
      <c r="BQ796" s="35" t="str">
        <f aca="true">IF(OR(AO796&lt;&gt;1,Z796&lt;&gt;"Oui"),"",IF(AB796="",IF(AND(AA796&lt;&gt;"",NOW()&gt;AA796),0,""),IF(AA796="","",IF(AB796&lt;=AA796,1,0))))</f>
        <v/>
      </c>
      <c r="BR796" s="38" t="str">
        <f aca="false">IF(OR(AO796&lt;&gt;1,K796&lt;&gt;"Oui",O796=""),"",IF(AC796="",O796+DORA_H_DET/24,IF(AC796-O796&lt;=DORA_H_DET/24,MIN(AC796+DORA_H_CLA/24,O796+DORA_H_DET/24),AC796+DORA_H_CLA/24)))</f>
        <v/>
      </c>
      <c r="BS796" s="35" t="str">
        <f aca="true">IF(BR796="","",IF(AD796="",IF(NOW()&gt;BR796,0,""),IF(AD796&lt;=BR796,1,0)))</f>
        <v/>
      </c>
      <c r="BT796" s="35" t="str">
        <f aca="true">IF(OR(BR796="",AD796=""),"",IF(AE796="",IF(NOW()&gt;AD796+DORA_H_INT/24,0,""),IF(AE796&lt;=AD796+DORA_H_INT/24,1,0)))</f>
        <v/>
      </c>
      <c r="BU796" s="35" t="str">
        <f aca="true">IF(OR(BR796="",AE796=""),"",IF(AF796="",IF(NOW()&gt;EDATE(AE796,DORA_M_FIN)+1,0,""),IF(AF796&lt;=EDATE(AE796,DORA_M_FIN),1,0)))</f>
        <v/>
      </c>
      <c r="BV796" s="35" t="str">
        <f aca="false">IF(BR796="","",IF(COUNT(BS796:BU796)=0,"",MIN(BS796:BU796)))</f>
        <v/>
      </c>
      <c r="BW796" s="40" t="str">
        <f aca="false">IF(AQ796&lt;&gt;1,"",IF(AND(AG796="",AH796=""),"",N(AG796)-N(AH796)))</f>
        <v/>
      </c>
      <c r="BX796" s="35" t="str">
        <f aca="true">IF(OR(AQ796&lt;&gt;1,AI796&lt;&gt;"Oui",AJ796=""),"",IF(AK796="",IF(NOW()&gt;AJ796+1,0,""),IF(AK796&lt;=AJ796,1,0)))</f>
        <v/>
      </c>
    </row>
    <row r="797" customFormat="false" ht="15" hidden="false" customHeight="false" outlineLevel="0" collapsed="false">
      <c r="B797" s="29"/>
      <c r="C797" s="29"/>
      <c r="D797" s="29"/>
      <c r="E797" s="29"/>
      <c r="F797" s="29"/>
      <c r="G797" s="29"/>
      <c r="H797" s="29"/>
      <c r="I797" s="29"/>
      <c r="J797" s="29"/>
      <c r="K797" s="29"/>
      <c r="L797" s="29"/>
      <c r="M797" s="29"/>
      <c r="N797" s="30"/>
      <c r="O797" s="30"/>
      <c r="P797" s="30"/>
      <c r="Q797" s="30"/>
      <c r="R797" s="30"/>
      <c r="S797" s="30"/>
      <c r="T797" s="30"/>
      <c r="U797" s="30"/>
      <c r="V797" s="31"/>
      <c r="W797" s="29"/>
      <c r="X797" s="29"/>
      <c r="Y797" s="29"/>
      <c r="Z797" s="29"/>
      <c r="AA797" s="30"/>
      <c r="AB797" s="30"/>
      <c r="AC797" s="30"/>
      <c r="AD797" s="30"/>
      <c r="AE797" s="30"/>
      <c r="AF797" s="32"/>
      <c r="AG797" s="33"/>
      <c r="AH797" s="33"/>
      <c r="AI797" s="29"/>
      <c r="AJ797" s="32"/>
      <c r="AK797" s="32"/>
      <c r="AL797" s="29"/>
      <c r="AN797" s="34" t="str">
        <f aca="false">IF($B797="","",IF(OR(C797="",D797="",E797="",G797="",I797="",J797="",L797="",O797="",P797=""),"Champ obligatoire manquant",IF(OR(AND(N797&lt;&gt;"",N797&gt;O797),O797&gt;P797,AND(Q797&lt;&gt;"",Q797&lt;P797),AND(R797&lt;&gt;"",R797&lt;P797),AND(S797&lt;&gt;"",S797&lt;R797),AND(S797&lt;&gt;"",R797=""),AND(T797&lt;&gt;"",T797&lt;O797),AND(U797&lt;&gt;"",U797&lt;O797)),"Chronologie incohérente",IF(AND(OR(L797="Résolu",L797="Clos"),R797=""),"Date de résolution manquante",IF(AND(L797="Clos",S797=""),"Date de clôture manquante",IF(AND(K797="Oui",AC797=""),"Classification DORA manquante","OK"))))))</f>
        <v/>
      </c>
      <c r="AO797" s="35" t="str">
        <f aca="false">IF($B797="","",IF(AND(C797="Incident",L797&lt;&gt;"Annulé"),1,0))</f>
        <v/>
      </c>
      <c r="AP797" s="35" t="str">
        <f aca="false">IF($B797="","",IF(AND(C797="Quasi-incident",L797&lt;&gt;"Annulé"),1,0))</f>
        <v/>
      </c>
      <c r="AQ797" s="35" t="str">
        <f aca="false">IF($B797="","",AO797+AP797)</f>
        <v/>
      </c>
      <c r="AR797" s="36" t="str">
        <f aca="false">IF(OR($B797="",J797=""),"",IFERROR(VALUE(LEFT(J797,1)),""))</f>
        <v/>
      </c>
      <c r="AS797" s="35" t="str">
        <f aca="false">IF(OR(AO797&lt;&gt;1,G797=""),"",IFERROR(IF(INDEX(L_SrcInterne,MATCH(G797,L_Sources,0))="Oui",1,0),""))</f>
        <v/>
      </c>
      <c r="AT797" s="37" t="str">
        <f aca="false">IF(AO797&lt;&gt;1,"",IFERROR(ROUND(IF(OR(N797="",O797=""),"",IF(O797&lt;N797,"",ROUND(((NETWORKDAYS(N797,O797,JoursFeries)-1)*(HFer-HOuv)+IF(NETWORKDAYS(O797,O797,JoursFeries),MEDIAN(MOD(O797,1),HFer,HOuv),HFer)-IF(NETWORKDAYS(N797,N797,JoursFeries),MEDIAN(MOD(N797,1),HFer,HOuv),HOuv))*24,4)))/HJour,4),""))</f>
        <v/>
      </c>
      <c r="AU797" s="37" t="str">
        <f aca="false">IF(AO797&lt;&gt;1,"",IF(OR(O797="",P797=""),"",IF(P797&lt;O797,"",ROUND(((NETWORKDAYS(O797,P797,JoursFeries)-1)*(HFer-HOuv)+IF(NETWORKDAYS(P797,P797,JoursFeries),MEDIAN(MOD(P797,1),HFer,HOuv),HFer)-IF(NETWORKDAYS(O797,O797,JoursFeries),MEDIAN(MOD(O797,1),HFer,HOuv),HOuv))*24,4))))</f>
        <v/>
      </c>
      <c r="AV797" s="37" t="str">
        <f aca="false">IF(AO797&lt;&gt;1,"",IF(OR(P797="",Q797=""),"",IF(Q797&lt;P797,"",ROUND(((NETWORKDAYS(P797,Q797,JoursFeries)-1)*(HFer-HOuv)+IF(NETWORKDAYS(Q797,Q797,JoursFeries),MEDIAN(MOD(Q797,1),HFer,HOuv),HFer)-IF(NETWORKDAYS(P797,P797,JoursFeries),MEDIAN(MOD(P797,1),HFer,HOuv),HOuv))*24,4))))</f>
        <v/>
      </c>
      <c r="AW797" s="37" t="str">
        <f aca="false">IF(AO797&lt;&gt;1,"",IFERROR(ROUND(IF(OR(P797="",R797=""),"",IF(R797&lt;P797,"",ROUND(((NETWORKDAYS(P797,R797,JoursFeries)-1)*(HFer-HOuv)+IF(NETWORKDAYS(R797,R797,JoursFeries),MEDIAN(MOD(R797,1),HFer,HOuv),HFer)-IF(NETWORKDAYS(P797,P797,JoursFeries),MEDIAN(MOD(P797,1),HFer,HOuv),HOuv))*24,4)))/HJour,4),""))</f>
        <v/>
      </c>
      <c r="AX797" s="37" t="str">
        <f aca="false">IF(AO797&lt;&gt;1,"",IFERROR(ROUND(IF(OR(P797="",S797=""),"",IF(S797&lt;P797,"",ROUND(((NETWORKDAYS(P797,S797,JoursFeries)-1)*(HFer-HOuv)+IF(NETWORKDAYS(S797,S797,JoursFeries),MEDIAN(MOD(S797,1),HFer,HOuv),HFer)-IF(NETWORKDAYS(P797,P797,JoursFeries),MEDIAN(MOD(P797,1),HFer,HOuv),HOuv))*24,4)))/HJour,4),""))</f>
        <v/>
      </c>
      <c r="AY797" s="36" t="str">
        <f aca="false">IF(OR(AO797&lt;&gt;1,AR797=""),"",INDEX(SLA_PEC,AR797))</f>
        <v/>
      </c>
      <c r="AZ797" s="35" t="str">
        <f aca="false">IF(OR(AV797="",AY797=""),"",IF(AV797&lt;=AY797,1,0))</f>
        <v/>
      </c>
      <c r="BA797" s="36" t="str">
        <f aca="false">IF(OR(AO797&lt;&gt;1,AR797=""),"",INDEX(SLA_RES,AR797))</f>
        <v/>
      </c>
      <c r="BB797" s="35" t="str">
        <f aca="false">IF(OR(AW797="",BA797=""),"",IF(AW797&lt;=BA797,1,0))</f>
        <v/>
      </c>
      <c r="BC797" s="38" t="str">
        <f aca="false">IF(OR(BA797="",P797=""),"",WORKDAY(INT(P797),BA797,JoursFeries)+MOD(P797,1))</f>
        <v/>
      </c>
      <c r="BD797" s="39" t="str">
        <f aca="false">IF(AO797&lt;&gt;1,"",IF(OR(AB797&lt;&gt;"",AD797&lt;&gt;""),4,IF(U797&lt;&gt;"",3,IF(T797&lt;&gt;"",2,1))))</f>
        <v/>
      </c>
      <c r="BE797" s="39" t="str">
        <f aca="false">IF(OR(AO797&lt;&gt;1,AR797=""),"",INDEX(NIV_REQ,AR797))</f>
        <v/>
      </c>
      <c r="BF797" s="39" t="str">
        <f aca="false">IF(BE797="","",MAX(BE797,IF(OR(K797="Oui",Z797="Oui"),4,1)))</f>
        <v/>
      </c>
      <c r="BG797" s="35" t="str">
        <f aca="false">IF(OR(BF797="",BD797=""),"",IF(BD797&gt;=BF797,1,0))</f>
        <v/>
      </c>
      <c r="BH797" s="38" t="str">
        <f aca="false">IF(BE797="","",IF(BE797&lt;2,"",IF(BE797=2,IF(AND(T797="",U797=""),"",MIN(T797,U797)),IF(U797="","",U797))))</f>
        <v/>
      </c>
      <c r="BI797" s="37" t="str">
        <f aca="false">IF(BH797="","",IF(OR(O797="",BH797=""),"",IF(BH797&lt;O797,"",ROUND(((NETWORKDAYS(O797,BH797,JoursFeries)-1)*(HFer-HOuv)+IF(NETWORKDAYS(BH797,BH797,JoursFeries),MEDIAN(MOD(BH797,1),HFer,HOuv),HFer)-IF(NETWORKDAYS(O797,O797,JoursFeries),MEDIAN(MOD(O797,1),HFer,HOuv),HOuv))*24,4))))</f>
        <v/>
      </c>
      <c r="BJ797" s="35" t="str">
        <f aca="false">IF(OR(BI797="",AR797=""),"",IF(BI797&lt;=INDEX(DELAI_ESC,AR797),1,0))</f>
        <v/>
      </c>
      <c r="BK797" s="38" t="str">
        <f aca="false">IF(AO797&lt;&gt;1,"",IF(AND(T797="",U797=""),"",MIN(T797,U797)))</f>
        <v/>
      </c>
      <c r="BL797" s="37" t="str">
        <f aca="false">IF(OR(BK797="",R797=""),"",IFERROR(ROUND(IF(OR(BK797="",R797=""),"",IF(R797&lt;BK797,"",ROUND(((NETWORKDAYS(BK797,R797,JoursFeries)-1)*(HFer-HOuv)+IF(NETWORKDAYS(R797,R797,JoursFeries),MEDIAN(MOD(R797,1),HFer,HOuv),HFer)-IF(NETWORKDAYS(BK797,BK797,JoursFeries),MEDIAN(MOD(BK797,1),HFer,HOuv),HOuv))*24,4)))/HJour,4),""))</f>
        <v/>
      </c>
      <c r="BM797" s="35" t="str">
        <f aca="false">IF(OR(AO797&lt;&gt;1,R797=""),"",IF(BD797=1,1,0))</f>
        <v/>
      </c>
      <c r="BN797" s="35" t="str">
        <f aca="false">IF(AO797&lt;&gt;1,"",IF(W797="Oui",1,0))</f>
        <v/>
      </c>
      <c r="BO797" s="35" t="str">
        <f aca="false">IF(AO797&lt;&gt;1,"",IF(X797&lt;&gt;"",1,0))</f>
        <v/>
      </c>
      <c r="BP797" s="35" t="str">
        <f aca="false">IF(AO797&lt;&gt;1,"",IF(Y797="Oui",1,0))</f>
        <v/>
      </c>
      <c r="BQ797" s="35" t="str">
        <f aca="true">IF(OR(AO797&lt;&gt;1,Z797&lt;&gt;"Oui"),"",IF(AB797="",IF(AND(AA797&lt;&gt;"",NOW()&gt;AA797),0,""),IF(AA797="","",IF(AB797&lt;=AA797,1,0))))</f>
        <v/>
      </c>
      <c r="BR797" s="38" t="str">
        <f aca="false">IF(OR(AO797&lt;&gt;1,K797&lt;&gt;"Oui",O797=""),"",IF(AC797="",O797+DORA_H_DET/24,IF(AC797-O797&lt;=DORA_H_DET/24,MIN(AC797+DORA_H_CLA/24,O797+DORA_H_DET/24),AC797+DORA_H_CLA/24)))</f>
        <v/>
      </c>
      <c r="BS797" s="35" t="str">
        <f aca="true">IF(BR797="","",IF(AD797="",IF(NOW()&gt;BR797,0,""),IF(AD797&lt;=BR797,1,0)))</f>
        <v/>
      </c>
      <c r="BT797" s="35" t="str">
        <f aca="true">IF(OR(BR797="",AD797=""),"",IF(AE797="",IF(NOW()&gt;AD797+DORA_H_INT/24,0,""),IF(AE797&lt;=AD797+DORA_H_INT/24,1,0)))</f>
        <v/>
      </c>
      <c r="BU797" s="35" t="str">
        <f aca="true">IF(OR(BR797="",AE797=""),"",IF(AF797="",IF(NOW()&gt;EDATE(AE797,DORA_M_FIN)+1,0,""),IF(AF797&lt;=EDATE(AE797,DORA_M_FIN),1,0)))</f>
        <v/>
      </c>
      <c r="BV797" s="35" t="str">
        <f aca="false">IF(BR797="","",IF(COUNT(BS797:BU797)=0,"",MIN(BS797:BU797)))</f>
        <v/>
      </c>
      <c r="BW797" s="40" t="str">
        <f aca="false">IF(AQ797&lt;&gt;1,"",IF(AND(AG797="",AH797=""),"",N(AG797)-N(AH797)))</f>
        <v/>
      </c>
      <c r="BX797" s="35" t="str">
        <f aca="true">IF(OR(AQ797&lt;&gt;1,AI797&lt;&gt;"Oui",AJ797=""),"",IF(AK797="",IF(NOW()&gt;AJ797+1,0,""),IF(AK797&lt;=AJ797,1,0)))</f>
        <v/>
      </c>
    </row>
    <row r="798" customFormat="false" ht="15" hidden="false" customHeight="false" outlineLevel="0" collapsed="false">
      <c r="B798" s="29"/>
      <c r="C798" s="29"/>
      <c r="D798" s="29"/>
      <c r="E798" s="29"/>
      <c r="F798" s="29"/>
      <c r="G798" s="29"/>
      <c r="H798" s="29"/>
      <c r="I798" s="29"/>
      <c r="J798" s="29"/>
      <c r="K798" s="29"/>
      <c r="L798" s="29"/>
      <c r="M798" s="29"/>
      <c r="N798" s="30"/>
      <c r="O798" s="30"/>
      <c r="P798" s="30"/>
      <c r="Q798" s="30"/>
      <c r="R798" s="30"/>
      <c r="S798" s="30"/>
      <c r="T798" s="30"/>
      <c r="U798" s="30"/>
      <c r="V798" s="31"/>
      <c r="W798" s="29"/>
      <c r="X798" s="29"/>
      <c r="Y798" s="29"/>
      <c r="Z798" s="29"/>
      <c r="AA798" s="30"/>
      <c r="AB798" s="30"/>
      <c r="AC798" s="30"/>
      <c r="AD798" s="30"/>
      <c r="AE798" s="30"/>
      <c r="AF798" s="32"/>
      <c r="AG798" s="33"/>
      <c r="AH798" s="33"/>
      <c r="AI798" s="29"/>
      <c r="AJ798" s="32"/>
      <c r="AK798" s="32"/>
      <c r="AL798" s="29"/>
      <c r="AN798" s="34" t="str">
        <f aca="false">IF($B798="","",IF(OR(C798="",D798="",E798="",G798="",I798="",J798="",L798="",O798="",P798=""),"Champ obligatoire manquant",IF(OR(AND(N798&lt;&gt;"",N798&gt;O798),O798&gt;P798,AND(Q798&lt;&gt;"",Q798&lt;P798),AND(R798&lt;&gt;"",R798&lt;P798),AND(S798&lt;&gt;"",S798&lt;R798),AND(S798&lt;&gt;"",R798=""),AND(T798&lt;&gt;"",T798&lt;O798),AND(U798&lt;&gt;"",U798&lt;O798)),"Chronologie incohérente",IF(AND(OR(L798="Résolu",L798="Clos"),R798=""),"Date de résolution manquante",IF(AND(L798="Clos",S798=""),"Date de clôture manquante",IF(AND(K798="Oui",AC798=""),"Classification DORA manquante","OK"))))))</f>
        <v/>
      </c>
      <c r="AO798" s="35" t="str">
        <f aca="false">IF($B798="","",IF(AND(C798="Incident",L798&lt;&gt;"Annulé"),1,0))</f>
        <v/>
      </c>
      <c r="AP798" s="35" t="str">
        <f aca="false">IF($B798="","",IF(AND(C798="Quasi-incident",L798&lt;&gt;"Annulé"),1,0))</f>
        <v/>
      </c>
      <c r="AQ798" s="35" t="str">
        <f aca="false">IF($B798="","",AO798+AP798)</f>
        <v/>
      </c>
      <c r="AR798" s="36" t="str">
        <f aca="false">IF(OR($B798="",J798=""),"",IFERROR(VALUE(LEFT(J798,1)),""))</f>
        <v/>
      </c>
      <c r="AS798" s="35" t="str">
        <f aca="false">IF(OR(AO798&lt;&gt;1,G798=""),"",IFERROR(IF(INDEX(L_SrcInterne,MATCH(G798,L_Sources,0))="Oui",1,0),""))</f>
        <v/>
      </c>
      <c r="AT798" s="37" t="str">
        <f aca="false">IF(AO798&lt;&gt;1,"",IFERROR(ROUND(IF(OR(N798="",O798=""),"",IF(O798&lt;N798,"",ROUND(((NETWORKDAYS(N798,O798,JoursFeries)-1)*(HFer-HOuv)+IF(NETWORKDAYS(O798,O798,JoursFeries),MEDIAN(MOD(O798,1),HFer,HOuv),HFer)-IF(NETWORKDAYS(N798,N798,JoursFeries),MEDIAN(MOD(N798,1),HFer,HOuv),HOuv))*24,4)))/HJour,4),""))</f>
        <v/>
      </c>
      <c r="AU798" s="37" t="str">
        <f aca="false">IF(AO798&lt;&gt;1,"",IF(OR(O798="",P798=""),"",IF(P798&lt;O798,"",ROUND(((NETWORKDAYS(O798,P798,JoursFeries)-1)*(HFer-HOuv)+IF(NETWORKDAYS(P798,P798,JoursFeries),MEDIAN(MOD(P798,1),HFer,HOuv),HFer)-IF(NETWORKDAYS(O798,O798,JoursFeries),MEDIAN(MOD(O798,1),HFer,HOuv),HOuv))*24,4))))</f>
        <v/>
      </c>
      <c r="AV798" s="37" t="str">
        <f aca="false">IF(AO798&lt;&gt;1,"",IF(OR(P798="",Q798=""),"",IF(Q798&lt;P798,"",ROUND(((NETWORKDAYS(P798,Q798,JoursFeries)-1)*(HFer-HOuv)+IF(NETWORKDAYS(Q798,Q798,JoursFeries),MEDIAN(MOD(Q798,1),HFer,HOuv),HFer)-IF(NETWORKDAYS(P798,P798,JoursFeries),MEDIAN(MOD(P798,1),HFer,HOuv),HOuv))*24,4))))</f>
        <v/>
      </c>
      <c r="AW798" s="37" t="str">
        <f aca="false">IF(AO798&lt;&gt;1,"",IFERROR(ROUND(IF(OR(P798="",R798=""),"",IF(R798&lt;P798,"",ROUND(((NETWORKDAYS(P798,R798,JoursFeries)-1)*(HFer-HOuv)+IF(NETWORKDAYS(R798,R798,JoursFeries),MEDIAN(MOD(R798,1),HFer,HOuv),HFer)-IF(NETWORKDAYS(P798,P798,JoursFeries),MEDIAN(MOD(P798,1),HFer,HOuv),HOuv))*24,4)))/HJour,4),""))</f>
        <v/>
      </c>
      <c r="AX798" s="37" t="str">
        <f aca="false">IF(AO798&lt;&gt;1,"",IFERROR(ROUND(IF(OR(P798="",S798=""),"",IF(S798&lt;P798,"",ROUND(((NETWORKDAYS(P798,S798,JoursFeries)-1)*(HFer-HOuv)+IF(NETWORKDAYS(S798,S798,JoursFeries),MEDIAN(MOD(S798,1),HFer,HOuv),HFer)-IF(NETWORKDAYS(P798,P798,JoursFeries),MEDIAN(MOD(P798,1),HFer,HOuv),HOuv))*24,4)))/HJour,4),""))</f>
        <v/>
      </c>
      <c r="AY798" s="36" t="str">
        <f aca="false">IF(OR(AO798&lt;&gt;1,AR798=""),"",INDEX(SLA_PEC,AR798))</f>
        <v/>
      </c>
      <c r="AZ798" s="35" t="str">
        <f aca="false">IF(OR(AV798="",AY798=""),"",IF(AV798&lt;=AY798,1,0))</f>
        <v/>
      </c>
      <c r="BA798" s="36" t="str">
        <f aca="false">IF(OR(AO798&lt;&gt;1,AR798=""),"",INDEX(SLA_RES,AR798))</f>
        <v/>
      </c>
      <c r="BB798" s="35" t="str">
        <f aca="false">IF(OR(AW798="",BA798=""),"",IF(AW798&lt;=BA798,1,0))</f>
        <v/>
      </c>
      <c r="BC798" s="38" t="str">
        <f aca="false">IF(OR(BA798="",P798=""),"",WORKDAY(INT(P798),BA798,JoursFeries)+MOD(P798,1))</f>
        <v/>
      </c>
      <c r="BD798" s="39" t="str">
        <f aca="false">IF(AO798&lt;&gt;1,"",IF(OR(AB798&lt;&gt;"",AD798&lt;&gt;""),4,IF(U798&lt;&gt;"",3,IF(T798&lt;&gt;"",2,1))))</f>
        <v/>
      </c>
      <c r="BE798" s="39" t="str">
        <f aca="false">IF(OR(AO798&lt;&gt;1,AR798=""),"",INDEX(NIV_REQ,AR798))</f>
        <v/>
      </c>
      <c r="BF798" s="39" t="str">
        <f aca="false">IF(BE798="","",MAX(BE798,IF(OR(K798="Oui",Z798="Oui"),4,1)))</f>
        <v/>
      </c>
      <c r="BG798" s="35" t="str">
        <f aca="false">IF(OR(BF798="",BD798=""),"",IF(BD798&gt;=BF798,1,0))</f>
        <v/>
      </c>
      <c r="BH798" s="38" t="str">
        <f aca="false">IF(BE798="","",IF(BE798&lt;2,"",IF(BE798=2,IF(AND(T798="",U798=""),"",MIN(T798,U798)),IF(U798="","",U798))))</f>
        <v/>
      </c>
      <c r="BI798" s="37" t="str">
        <f aca="false">IF(BH798="","",IF(OR(O798="",BH798=""),"",IF(BH798&lt;O798,"",ROUND(((NETWORKDAYS(O798,BH798,JoursFeries)-1)*(HFer-HOuv)+IF(NETWORKDAYS(BH798,BH798,JoursFeries),MEDIAN(MOD(BH798,1),HFer,HOuv),HFer)-IF(NETWORKDAYS(O798,O798,JoursFeries),MEDIAN(MOD(O798,1),HFer,HOuv),HOuv))*24,4))))</f>
        <v/>
      </c>
      <c r="BJ798" s="35" t="str">
        <f aca="false">IF(OR(BI798="",AR798=""),"",IF(BI798&lt;=INDEX(DELAI_ESC,AR798),1,0))</f>
        <v/>
      </c>
      <c r="BK798" s="38" t="str">
        <f aca="false">IF(AO798&lt;&gt;1,"",IF(AND(T798="",U798=""),"",MIN(T798,U798)))</f>
        <v/>
      </c>
      <c r="BL798" s="37" t="str">
        <f aca="false">IF(OR(BK798="",R798=""),"",IFERROR(ROUND(IF(OR(BK798="",R798=""),"",IF(R798&lt;BK798,"",ROUND(((NETWORKDAYS(BK798,R798,JoursFeries)-1)*(HFer-HOuv)+IF(NETWORKDAYS(R798,R798,JoursFeries),MEDIAN(MOD(R798,1),HFer,HOuv),HFer)-IF(NETWORKDAYS(BK798,BK798,JoursFeries),MEDIAN(MOD(BK798,1),HFer,HOuv),HOuv))*24,4)))/HJour,4),""))</f>
        <v/>
      </c>
      <c r="BM798" s="35" t="str">
        <f aca="false">IF(OR(AO798&lt;&gt;1,R798=""),"",IF(BD798=1,1,0))</f>
        <v/>
      </c>
      <c r="BN798" s="35" t="str">
        <f aca="false">IF(AO798&lt;&gt;1,"",IF(W798="Oui",1,0))</f>
        <v/>
      </c>
      <c r="BO798" s="35" t="str">
        <f aca="false">IF(AO798&lt;&gt;1,"",IF(X798&lt;&gt;"",1,0))</f>
        <v/>
      </c>
      <c r="BP798" s="35" t="str">
        <f aca="false">IF(AO798&lt;&gt;1,"",IF(Y798="Oui",1,0))</f>
        <v/>
      </c>
      <c r="BQ798" s="35" t="str">
        <f aca="true">IF(OR(AO798&lt;&gt;1,Z798&lt;&gt;"Oui"),"",IF(AB798="",IF(AND(AA798&lt;&gt;"",NOW()&gt;AA798),0,""),IF(AA798="","",IF(AB798&lt;=AA798,1,0))))</f>
        <v/>
      </c>
      <c r="BR798" s="38" t="str">
        <f aca="false">IF(OR(AO798&lt;&gt;1,K798&lt;&gt;"Oui",O798=""),"",IF(AC798="",O798+DORA_H_DET/24,IF(AC798-O798&lt;=DORA_H_DET/24,MIN(AC798+DORA_H_CLA/24,O798+DORA_H_DET/24),AC798+DORA_H_CLA/24)))</f>
        <v/>
      </c>
      <c r="BS798" s="35" t="str">
        <f aca="true">IF(BR798="","",IF(AD798="",IF(NOW()&gt;BR798,0,""),IF(AD798&lt;=BR798,1,0)))</f>
        <v/>
      </c>
      <c r="BT798" s="35" t="str">
        <f aca="true">IF(OR(BR798="",AD798=""),"",IF(AE798="",IF(NOW()&gt;AD798+DORA_H_INT/24,0,""),IF(AE798&lt;=AD798+DORA_H_INT/24,1,0)))</f>
        <v/>
      </c>
      <c r="BU798" s="35" t="str">
        <f aca="true">IF(OR(BR798="",AE798=""),"",IF(AF798="",IF(NOW()&gt;EDATE(AE798,DORA_M_FIN)+1,0,""),IF(AF798&lt;=EDATE(AE798,DORA_M_FIN),1,0)))</f>
        <v/>
      </c>
      <c r="BV798" s="35" t="str">
        <f aca="false">IF(BR798="","",IF(COUNT(BS798:BU798)=0,"",MIN(BS798:BU798)))</f>
        <v/>
      </c>
      <c r="BW798" s="40" t="str">
        <f aca="false">IF(AQ798&lt;&gt;1,"",IF(AND(AG798="",AH798=""),"",N(AG798)-N(AH798)))</f>
        <v/>
      </c>
      <c r="BX798" s="35" t="str">
        <f aca="true">IF(OR(AQ798&lt;&gt;1,AI798&lt;&gt;"Oui",AJ798=""),"",IF(AK798="",IF(NOW()&gt;AJ798+1,0,""),IF(AK798&lt;=AJ798,1,0)))</f>
        <v/>
      </c>
    </row>
    <row r="799" customFormat="false" ht="15" hidden="false" customHeight="false" outlineLevel="0" collapsed="false">
      <c r="B799" s="29"/>
      <c r="C799" s="29"/>
      <c r="D799" s="29"/>
      <c r="E799" s="29"/>
      <c r="F799" s="29"/>
      <c r="G799" s="29"/>
      <c r="H799" s="29"/>
      <c r="I799" s="29"/>
      <c r="J799" s="29"/>
      <c r="K799" s="29"/>
      <c r="L799" s="29"/>
      <c r="M799" s="29"/>
      <c r="N799" s="30"/>
      <c r="O799" s="30"/>
      <c r="P799" s="30"/>
      <c r="Q799" s="30"/>
      <c r="R799" s="30"/>
      <c r="S799" s="30"/>
      <c r="T799" s="30"/>
      <c r="U799" s="30"/>
      <c r="V799" s="31"/>
      <c r="W799" s="29"/>
      <c r="X799" s="29"/>
      <c r="Y799" s="29"/>
      <c r="Z799" s="29"/>
      <c r="AA799" s="30"/>
      <c r="AB799" s="30"/>
      <c r="AC799" s="30"/>
      <c r="AD799" s="30"/>
      <c r="AE799" s="30"/>
      <c r="AF799" s="32"/>
      <c r="AG799" s="33"/>
      <c r="AH799" s="33"/>
      <c r="AI799" s="29"/>
      <c r="AJ799" s="32"/>
      <c r="AK799" s="32"/>
      <c r="AL799" s="29"/>
      <c r="AN799" s="34" t="str">
        <f aca="false">IF($B799="","",IF(OR(C799="",D799="",E799="",G799="",I799="",J799="",L799="",O799="",P799=""),"Champ obligatoire manquant",IF(OR(AND(N799&lt;&gt;"",N799&gt;O799),O799&gt;P799,AND(Q799&lt;&gt;"",Q799&lt;P799),AND(R799&lt;&gt;"",R799&lt;P799),AND(S799&lt;&gt;"",S799&lt;R799),AND(S799&lt;&gt;"",R799=""),AND(T799&lt;&gt;"",T799&lt;O799),AND(U799&lt;&gt;"",U799&lt;O799)),"Chronologie incohérente",IF(AND(OR(L799="Résolu",L799="Clos"),R799=""),"Date de résolution manquante",IF(AND(L799="Clos",S799=""),"Date de clôture manquante",IF(AND(K799="Oui",AC799=""),"Classification DORA manquante","OK"))))))</f>
        <v/>
      </c>
      <c r="AO799" s="35" t="str">
        <f aca="false">IF($B799="","",IF(AND(C799="Incident",L799&lt;&gt;"Annulé"),1,0))</f>
        <v/>
      </c>
      <c r="AP799" s="35" t="str">
        <f aca="false">IF($B799="","",IF(AND(C799="Quasi-incident",L799&lt;&gt;"Annulé"),1,0))</f>
        <v/>
      </c>
      <c r="AQ799" s="35" t="str">
        <f aca="false">IF($B799="","",AO799+AP799)</f>
        <v/>
      </c>
      <c r="AR799" s="36" t="str">
        <f aca="false">IF(OR($B799="",J799=""),"",IFERROR(VALUE(LEFT(J799,1)),""))</f>
        <v/>
      </c>
      <c r="AS799" s="35" t="str">
        <f aca="false">IF(OR(AO799&lt;&gt;1,G799=""),"",IFERROR(IF(INDEX(L_SrcInterne,MATCH(G799,L_Sources,0))="Oui",1,0),""))</f>
        <v/>
      </c>
      <c r="AT799" s="37" t="str">
        <f aca="false">IF(AO799&lt;&gt;1,"",IFERROR(ROUND(IF(OR(N799="",O799=""),"",IF(O799&lt;N799,"",ROUND(((NETWORKDAYS(N799,O799,JoursFeries)-1)*(HFer-HOuv)+IF(NETWORKDAYS(O799,O799,JoursFeries),MEDIAN(MOD(O799,1),HFer,HOuv),HFer)-IF(NETWORKDAYS(N799,N799,JoursFeries),MEDIAN(MOD(N799,1),HFer,HOuv),HOuv))*24,4)))/HJour,4),""))</f>
        <v/>
      </c>
      <c r="AU799" s="37" t="str">
        <f aca="false">IF(AO799&lt;&gt;1,"",IF(OR(O799="",P799=""),"",IF(P799&lt;O799,"",ROUND(((NETWORKDAYS(O799,P799,JoursFeries)-1)*(HFer-HOuv)+IF(NETWORKDAYS(P799,P799,JoursFeries),MEDIAN(MOD(P799,1),HFer,HOuv),HFer)-IF(NETWORKDAYS(O799,O799,JoursFeries),MEDIAN(MOD(O799,1),HFer,HOuv),HOuv))*24,4))))</f>
        <v/>
      </c>
      <c r="AV799" s="37" t="str">
        <f aca="false">IF(AO799&lt;&gt;1,"",IF(OR(P799="",Q799=""),"",IF(Q799&lt;P799,"",ROUND(((NETWORKDAYS(P799,Q799,JoursFeries)-1)*(HFer-HOuv)+IF(NETWORKDAYS(Q799,Q799,JoursFeries),MEDIAN(MOD(Q799,1),HFer,HOuv),HFer)-IF(NETWORKDAYS(P799,P799,JoursFeries),MEDIAN(MOD(P799,1),HFer,HOuv),HOuv))*24,4))))</f>
        <v/>
      </c>
      <c r="AW799" s="37" t="str">
        <f aca="false">IF(AO799&lt;&gt;1,"",IFERROR(ROUND(IF(OR(P799="",R799=""),"",IF(R799&lt;P799,"",ROUND(((NETWORKDAYS(P799,R799,JoursFeries)-1)*(HFer-HOuv)+IF(NETWORKDAYS(R799,R799,JoursFeries),MEDIAN(MOD(R799,1),HFer,HOuv),HFer)-IF(NETWORKDAYS(P799,P799,JoursFeries),MEDIAN(MOD(P799,1),HFer,HOuv),HOuv))*24,4)))/HJour,4),""))</f>
        <v/>
      </c>
      <c r="AX799" s="37" t="str">
        <f aca="false">IF(AO799&lt;&gt;1,"",IFERROR(ROUND(IF(OR(P799="",S799=""),"",IF(S799&lt;P799,"",ROUND(((NETWORKDAYS(P799,S799,JoursFeries)-1)*(HFer-HOuv)+IF(NETWORKDAYS(S799,S799,JoursFeries),MEDIAN(MOD(S799,1),HFer,HOuv),HFer)-IF(NETWORKDAYS(P799,P799,JoursFeries),MEDIAN(MOD(P799,1),HFer,HOuv),HOuv))*24,4)))/HJour,4),""))</f>
        <v/>
      </c>
      <c r="AY799" s="36" t="str">
        <f aca="false">IF(OR(AO799&lt;&gt;1,AR799=""),"",INDEX(SLA_PEC,AR799))</f>
        <v/>
      </c>
      <c r="AZ799" s="35" t="str">
        <f aca="false">IF(OR(AV799="",AY799=""),"",IF(AV799&lt;=AY799,1,0))</f>
        <v/>
      </c>
      <c r="BA799" s="36" t="str">
        <f aca="false">IF(OR(AO799&lt;&gt;1,AR799=""),"",INDEX(SLA_RES,AR799))</f>
        <v/>
      </c>
      <c r="BB799" s="35" t="str">
        <f aca="false">IF(OR(AW799="",BA799=""),"",IF(AW799&lt;=BA799,1,0))</f>
        <v/>
      </c>
      <c r="BC799" s="38" t="str">
        <f aca="false">IF(OR(BA799="",P799=""),"",WORKDAY(INT(P799),BA799,JoursFeries)+MOD(P799,1))</f>
        <v/>
      </c>
      <c r="BD799" s="39" t="str">
        <f aca="false">IF(AO799&lt;&gt;1,"",IF(OR(AB799&lt;&gt;"",AD799&lt;&gt;""),4,IF(U799&lt;&gt;"",3,IF(T799&lt;&gt;"",2,1))))</f>
        <v/>
      </c>
      <c r="BE799" s="39" t="str">
        <f aca="false">IF(OR(AO799&lt;&gt;1,AR799=""),"",INDEX(NIV_REQ,AR799))</f>
        <v/>
      </c>
      <c r="BF799" s="39" t="str">
        <f aca="false">IF(BE799="","",MAX(BE799,IF(OR(K799="Oui",Z799="Oui"),4,1)))</f>
        <v/>
      </c>
      <c r="BG799" s="35" t="str">
        <f aca="false">IF(OR(BF799="",BD799=""),"",IF(BD799&gt;=BF799,1,0))</f>
        <v/>
      </c>
      <c r="BH799" s="38" t="str">
        <f aca="false">IF(BE799="","",IF(BE799&lt;2,"",IF(BE799=2,IF(AND(T799="",U799=""),"",MIN(T799,U799)),IF(U799="","",U799))))</f>
        <v/>
      </c>
      <c r="BI799" s="37" t="str">
        <f aca="false">IF(BH799="","",IF(OR(O799="",BH799=""),"",IF(BH799&lt;O799,"",ROUND(((NETWORKDAYS(O799,BH799,JoursFeries)-1)*(HFer-HOuv)+IF(NETWORKDAYS(BH799,BH799,JoursFeries),MEDIAN(MOD(BH799,1),HFer,HOuv),HFer)-IF(NETWORKDAYS(O799,O799,JoursFeries),MEDIAN(MOD(O799,1),HFer,HOuv),HOuv))*24,4))))</f>
        <v/>
      </c>
      <c r="BJ799" s="35" t="str">
        <f aca="false">IF(OR(BI799="",AR799=""),"",IF(BI799&lt;=INDEX(DELAI_ESC,AR799),1,0))</f>
        <v/>
      </c>
      <c r="BK799" s="38" t="str">
        <f aca="false">IF(AO799&lt;&gt;1,"",IF(AND(T799="",U799=""),"",MIN(T799,U799)))</f>
        <v/>
      </c>
      <c r="BL799" s="37" t="str">
        <f aca="false">IF(OR(BK799="",R799=""),"",IFERROR(ROUND(IF(OR(BK799="",R799=""),"",IF(R799&lt;BK799,"",ROUND(((NETWORKDAYS(BK799,R799,JoursFeries)-1)*(HFer-HOuv)+IF(NETWORKDAYS(R799,R799,JoursFeries),MEDIAN(MOD(R799,1),HFer,HOuv),HFer)-IF(NETWORKDAYS(BK799,BK799,JoursFeries),MEDIAN(MOD(BK799,1),HFer,HOuv),HOuv))*24,4)))/HJour,4),""))</f>
        <v/>
      </c>
      <c r="BM799" s="35" t="str">
        <f aca="false">IF(OR(AO799&lt;&gt;1,R799=""),"",IF(BD799=1,1,0))</f>
        <v/>
      </c>
      <c r="BN799" s="35" t="str">
        <f aca="false">IF(AO799&lt;&gt;1,"",IF(W799="Oui",1,0))</f>
        <v/>
      </c>
      <c r="BO799" s="35" t="str">
        <f aca="false">IF(AO799&lt;&gt;1,"",IF(X799&lt;&gt;"",1,0))</f>
        <v/>
      </c>
      <c r="BP799" s="35" t="str">
        <f aca="false">IF(AO799&lt;&gt;1,"",IF(Y799="Oui",1,0))</f>
        <v/>
      </c>
      <c r="BQ799" s="35" t="str">
        <f aca="true">IF(OR(AO799&lt;&gt;1,Z799&lt;&gt;"Oui"),"",IF(AB799="",IF(AND(AA799&lt;&gt;"",NOW()&gt;AA799),0,""),IF(AA799="","",IF(AB799&lt;=AA799,1,0))))</f>
        <v/>
      </c>
      <c r="BR799" s="38" t="str">
        <f aca="false">IF(OR(AO799&lt;&gt;1,K799&lt;&gt;"Oui",O799=""),"",IF(AC799="",O799+DORA_H_DET/24,IF(AC799-O799&lt;=DORA_H_DET/24,MIN(AC799+DORA_H_CLA/24,O799+DORA_H_DET/24),AC799+DORA_H_CLA/24)))</f>
        <v/>
      </c>
      <c r="BS799" s="35" t="str">
        <f aca="true">IF(BR799="","",IF(AD799="",IF(NOW()&gt;BR799,0,""),IF(AD799&lt;=BR799,1,0)))</f>
        <v/>
      </c>
      <c r="BT799" s="35" t="str">
        <f aca="true">IF(OR(BR799="",AD799=""),"",IF(AE799="",IF(NOW()&gt;AD799+DORA_H_INT/24,0,""),IF(AE799&lt;=AD799+DORA_H_INT/24,1,0)))</f>
        <v/>
      </c>
      <c r="BU799" s="35" t="str">
        <f aca="true">IF(OR(BR799="",AE799=""),"",IF(AF799="",IF(NOW()&gt;EDATE(AE799,DORA_M_FIN)+1,0,""),IF(AF799&lt;=EDATE(AE799,DORA_M_FIN),1,0)))</f>
        <v/>
      </c>
      <c r="BV799" s="35" t="str">
        <f aca="false">IF(BR799="","",IF(COUNT(BS799:BU799)=0,"",MIN(BS799:BU799)))</f>
        <v/>
      </c>
      <c r="BW799" s="40" t="str">
        <f aca="false">IF(AQ799&lt;&gt;1,"",IF(AND(AG799="",AH799=""),"",N(AG799)-N(AH799)))</f>
        <v/>
      </c>
      <c r="BX799" s="35" t="str">
        <f aca="true">IF(OR(AQ799&lt;&gt;1,AI799&lt;&gt;"Oui",AJ799=""),"",IF(AK799="",IF(NOW()&gt;AJ799+1,0,""),IF(AK799&lt;=AJ799,1,0)))</f>
        <v/>
      </c>
    </row>
    <row r="800" customFormat="false" ht="15" hidden="false" customHeight="false" outlineLevel="0" collapsed="false">
      <c r="B800" s="29"/>
      <c r="C800" s="29"/>
      <c r="D800" s="29"/>
      <c r="E800" s="29"/>
      <c r="F800" s="29"/>
      <c r="G800" s="29"/>
      <c r="H800" s="29"/>
      <c r="I800" s="29"/>
      <c r="J800" s="29"/>
      <c r="K800" s="29"/>
      <c r="L800" s="29"/>
      <c r="M800" s="29"/>
      <c r="N800" s="30"/>
      <c r="O800" s="30"/>
      <c r="P800" s="30"/>
      <c r="Q800" s="30"/>
      <c r="R800" s="30"/>
      <c r="S800" s="30"/>
      <c r="T800" s="30"/>
      <c r="U800" s="30"/>
      <c r="V800" s="31"/>
      <c r="W800" s="29"/>
      <c r="X800" s="29"/>
      <c r="Y800" s="29"/>
      <c r="Z800" s="29"/>
      <c r="AA800" s="30"/>
      <c r="AB800" s="30"/>
      <c r="AC800" s="30"/>
      <c r="AD800" s="30"/>
      <c r="AE800" s="30"/>
      <c r="AF800" s="32"/>
      <c r="AG800" s="33"/>
      <c r="AH800" s="33"/>
      <c r="AI800" s="29"/>
      <c r="AJ800" s="32"/>
      <c r="AK800" s="32"/>
      <c r="AL800" s="29"/>
      <c r="AN800" s="34" t="str">
        <f aca="false">IF($B800="","",IF(OR(C800="",D800="",E800="",G800="",I800="",J800="",L800="",O800="",P800=""),"Champ obligatoire manquant",IF(OR(AND(N800&lt;&gt;"",N800&gt;O800),O800&gt;P800,AND(Q800&lt;&gt;"",Q800&lt;P800),AND(R800&lt;&gt;"",R800&lt;P800),AND(S800&lt;&gt;"",S800&lt;R800),AND(S800&lt;&gt;"",R800=""),AND(T800&lt;&gt;"",T800&lt;O800),AND(U800&lt;&gt;"",U800&lt;O800)),"Chronologie incohérente",IF(AND(OR(L800="Résolu",L800="Clos"),R800=""),"Date de résolution manquante",IF(AND(L800="Clos",S800=""),"Date de clôture manquante",IF(AND(K800="Oui",AC800=""),"Classification DORA manquante","OK"))))))</f>
        <v/>
      </c>
      <c r="AO800" s="35" t="str">
        <f aca="false">IF($B800="","",IF(AND(C800="Incident",L800&lt;&gt;"Annulé"),1,0))</f>
        <v/>
      </c>
      <c r="AP800" s="35" t="str">
        <f aca="false">IF($B800="","",IF(AND(C800="Quasi-incident",L800&lt;&gt;"Annulé"),1,0))</f>
        <v/>
      </c>
      <c r="AQ800" s="35" t="str">
        <f aca="false">IF($B800="","",AO800+AP800)</f>
        <v/>
      </c>
      <c r="AR800" s="36" t="str">
        <f aca="false">IF(OR($B800="",J800=""),"",IFERROR(VALUE(LEFT(J800,1)),""))</f>
        <v/>
      </c>
      <c r="AS800" s="35" t="str">
        <f aca="false">IF(OR(AO800&lt;&gt;1,G800=""),"",IFERROR(IF(INDEX(L_SrcInterne,MATCH(G800,L_Sources,0))="Oui",1,0),""))</f>
        <v/>
      </c>
      <c r="AT800" s="37" t="str">
        <f aca="false">IF(AO800&lt;&gt;1,"",IFERROR(ROUND(IF(OR(N800="",O800=""),"",IF(O800&lt;N800,"",ROUND(((NETWORKDAYS(N800,O800,JoursFeries)-1)*(HFer-HOuv)+IF(NETWORKDAYS(O800,O800,JoursFeries),MEDIAN(MOD(O800,1),HFer,HOuv),HFer)-IF(NETWORKDAYS(N800,N800,JoursFeries),MEDIAN(MOD(N800,1),HFer,HOuv),HOuv))*24,4)))/HJour,4),""))</f>
        <v/>
      </c>
      <c r="AU800" s="37" t="str">
        <f aca="false">IF(AO800&lt;&gt;1,"",IF(OR(O800="",P800=""),"",IF(P800&lt;O800,"",ROUND(((NETWORKDAYS(O800,P800,JoursFeries)-1)*(HFer-HOuv)+IF(NETWORKDAYS(P800,P800,JoursFeries),MEDIAN(MOD(P800,1),HFer,HOuv),HFer)-IF(NETWORKDAYS(O800,O800,JoursFeries),MEDIAN(MOD(O800,1),HFer,HOuv),HOuv))*24,4))))</f>
        <v/>
      </c>
      <c r="AV800" s="37" t="str">
        <f aca="false">IF(AO800&lt;&gt;1,"",IF(OR(P800="",Q800=""),"",IF(Q800&lt;P800,"",ROUND(((NETWORKDAYS(P800,Q800,JoursFeries)-1)*(HFer-HOuv)+IF(NETWORKDAYS(Q800,Q800,JoursFeries),MEDIAN(MOD(Q800,1),HFer,HOuv),HFer)-IF(NETWORKDAYS(P800,P800,JoursFeries),MEDIAN(MOD(P800,1),HFer,HOuv),HOuv))*24,4))))</f>
        <v/>
      </c>
      <c r="AW800" s="37" t="str">
        <f aca="false">IF(AO800&lt;&gt;1,"",IFERROR(ROUND(IF(OR(P800="",R800=""),"",IF(R800&lt;P800,"",ROUND(((NETWORKDAYS(P800,R800,JoursFeries)-1)*(HFer-HOuv)+IF(NETWORKDAYS(R800,R800,JoursFeries),MEDIAN(MOD(R800,1),HFer,HOuv),HFer)-IF(NETWORKDAYS(P800,P800,JoursFeries),MEDIAN(MOD(P800,1),HFer,HOuv),HOuv))*24,4)))/HJour,4),""))</f>
        <v/>
      </c>
      <c r="AX800" s="37" t="str">
        <f aca="false">IF(AO800&lt;&gt;1,"",IFERROR(ROUND(IF(OR(P800="",S800=""),"",IF(S800&lt;P800,"",ROUND(((NETWORKDAYS(P800,S800,JoursFeries)-1)*(HFer-HOuv)+IF(NETWORKDAYS(S800,S800,JoursFeries),MEDIAN(MOD(S800,1),HFer,HOuv),HFer)-IF(NETWORKDAYS(P800,P800,JoursFeries),MEDIAN(MOD(P800,1),HFer,HOuv),HOuv))*24,4)))/HJour,4),""))</f>
        <v/>
      </c>
      <c r="AY800" s="36" t="str">
        <f aca="false">IF(OR(AO800&lt;&gt;1,AR800=""),"",INDEX(SLA_PEC,AR800))</f>
        <v/>
      </c>
      <c r="AZ800" s="35" t="str">
        <f aca="false">IF(OR(AV800="",AY800=""),"",IF(AV800&lt;=AY800,1,0))</f>
        <v/>
      </c>
      <c r="BA800" s="36" t="str">
        <f aca="false">IF(OR(AO800&lt;&gt;1,AR800=""),"",INDEX(SLA_RES,AR800))</f>
        <v/>
      </c>
      <c r="BB800" s="35" t="str">
        <f aca="false">IF(OR(AW800="",BA800=""),"",IF(AW800&lt;=BA800,1,0))</f>
        <v/>
      </c>
      <c r="BC800" s="38" t="str">
        <f aca="false">IF(OR(BA800="",P800=""),"",WORKDAY(INT(P800),BA800,JoursFeries)+MOD(P800,1))</f>
        <v/>
      </c>
      <c r="BD800" s="39" t="str">
        <f aca="false">IF(AO800&lt;&gt;1,"",IF(OR(AB800&lt;&gt;"",AD800&lt;&gt;""),4,IF(U800&lt;&gt;"",3,IF(T800&lt;&gt;"",2,1))))</f>
        <v/>
      </c>
      <c r="BE800" s="39" t="str">
        <f aca="false">IF(OR(AO800&lt;&gt;1,AR800=""),"",INDEX(NIV_REQ,AR800))</f>
        <v/>
      </c>
      <c r="BF800" s="39" t="str">
        <f aca="false">IF(BE800="","",MAX(BE800,IF(OR(K800="Oui",Z800="Oui"),4,1)))</f>
        <v/>
      </c>
      <c r="BG800" s="35" t="str">
        <f aca="false">IF(OR(BF800="",BD800=""),"",IF(BD800&gt;=BF800,1,0))</f>
        <v/>
      </c>
      <c r="BH800" s="38" t="str">
        <f aca="false">IF(BE800="","",IF(BE800&lt;2,"",IF(BE800=2,IF(AND(T800="",U800=""),"",MIN(T800,U800)),IF(U800="","",U800))))</f>
        <v/>
      </c>
      <c r="BI800" s="37" t="str">
        <f aca="false">IF(BH800="","",IF(OR(O800="",BH800=""),"",IF(BH800&lt;O800,"",ROUND(((NETWORKDAYS(O800,BH800,JoursFeries)-1)*(HFer-HOuv)+IF(NETWORKDAYS(BH800,BH800,JoursFeries),MEDIAN(MOD(BH800,1),HFer,HOuv),HFer)-IF(NETWORKDAYS(O800,O800,JoursFeries),MEDIAN(MOD(O800,1),HFer,HOuv),HOuv))*24,4))))</f>
        <v/>
      </c>
      <c r="BJ800" s="35" t="str">
        <f aca="false">IF(OR(BI800="",AR800=""),"",IF(BI800&lt;=INDEX(DELAI_ESC,AR800),1,0))</f>
        <v/>
      </c>
      <c r="BK800" s="38" t="str">
        <f aca="false">IF(AO800&lt;&gt;1,"",IF(AND(T800="",U800=""),"",MIN(T800,U800)))</f>
        <v/>
      </c>
      <c r="BL800" s="37" t="str">
        <f aca="false">IF(OR(BK800="",R800=""),"",IFERROR(ROUND(IF(OR(BK800="",R800=""),"",IF(R800&lt;BK800,"",ROUND(((NETWORKDAYS(BK800,R800,JoursFeries)-1)*(HFer-HOuv)+IF(NETWORKDAYS(R800,R800,JoursFeries),MEDIAN(MOD(R800,1),HFer,HOuv),HFer)-IF(NETWORKDAYS(BK800,BK800,JoursFeries),MEDIAN(MOD(BK800,1),HFer,HOuv),HOuv))*24,4)))/HJour,4),""))</f>
        <v/>
      </c>
      <c r="BM800" s="35" t="str">
        <f aca="false">IF(OR(AO800&lt;&gt;1,R800=""),"",IF(BD800=1,1,0))</f>
        <v/>
      </c>
      <c r="BN800" s="35" t="str">
        <f aca="false">IF(AO800&lt;&gt;1,"",IF(W800="Oui",1,0))</f>
        <v/>
      </c>
      <c r="BO800" s="35" t="str">
        <f aca="false">IF(AO800&lt;&gt;1,"",IF(X800&lt;&gt;"",1,0))</f>
        <v/>
      </c>
      <c r="BP800" s="35" t="str">
        <f aca="false">IF(AO800&lt;&gt;1,"",IF(Y800="Oui",1,0))</f>
        <v/>
      </c>
      <c r="BQ800" s="35" t="str">
        <f aca="true">IF(OR(AO800&lt;&gt;1,Z800&lt;&gt;"Oui"),"",IF(AB800="",IF(AND(AA800&lt;&gt;"",NOW()&gt;AA800),0,""),IF(AA800="","",IF(AB800&lt;=AA800,1,0))))</f>
        <v/>
      </c>
      <c r="BR800" s="38" t="str">
        <f aca="false">IF(OR(AO800&lt;&gt;1,K800&lt;&gt;"Oui",O800=""),"",IF(AC800="",O800+DORA_H_DET/24,IF(AC800-O800&lt;=DORA_H_DET/24,MIN(AC800+DORA_H_CLA/24,O800+DORA_H_DET/24),AC800+DORA_H_CLA/24)))</f>
        <v/>
      </c>
      <c r="BS800" s="35" t="str">
        <f aca="true">IF(BR800="","",IF(AD800="",IF(NOW()&gt;BR800,0,""),IF(AD800&lt;=BR800,1,0)))</f>
        <v/>
      </c>
      <c r="BT800" s="35" t="str">
        <f aca="true">IF(OR(BR800="",AD800=""),"",IF(AE800="",IF(NOW()&gt;AD800+DORA_H_INT/24,0,""),IF(AE800&lt;=AD800+DORA_H_INT/24,1,0)))</f>
        <v/>
      </c>
      <c r="BU800" s="35" t="str">
        <f aca="true">IF(OR(BR800="",AE800=""),"",IF(AF800="",IF(NOW()&gt;EDATE(AE800,DORA_M_FIN)+1,0,""),IF(AF800&lt;=EDATE(AE800,DORA_M_FIN),1,0)))</f>
        <v/>
      </c>
      <c r="BV800" s="35" t="str">
        <f aca="false">IF(BR800="","",IF(COUNT(BS800:BU800)=0,"",MIN(BS800:BU800)))</f>
        <v/>
      </c>
      <c r="BW800" s="40" t="str">
        <f aca="false">IF(AQ800&lt;&gt;1,"",IF(AND(AG800="",AH800=""),"",N(AG800)-N(AH800)))</f>
        <v/>
      </c>
      <c r="BX800" s="35" t="str">
        <f aca="true">IF(OR(AQ800&lt;&gt;1,AI800&lt;&gt;"Oui",AJ800=""),"",IF(AK800="",IF(NOW()&gt;AJ800+1,0,""),IF(AK800&lt;=AJ800,1,0)))</f>
        <v/>
      </c>
    </row>
    <row r="801" customFormat="false" ht="15" hidden="false" customHeight="false" outlineLevel="0" collapsed="false">
      <c r="B801" s="29"/>
      <c r="C801" s="29"/>
      <c r="D801" s="29"/>
      <c r="E801" s="29"/>
      <c r="F801" s="29"/>
      <c r="G801" s="29"/>
      <c r="H801" s="29"/>
      <c r="I801" s="29"/>
      <c r="J801" s="29"/>
      <c r="K801" s="29"/>
      <c r="L801" s="29"/>
      <c r="M801" s="29"/>
      <c r="N801" s="30"/>
      <c r="O801" s="30"/>
      <c r="P801" s="30"/>
      <c r="Q801" s="30"/>
      <c r="R801" s="30"/>
      <c r="S801" s="30"/>
      <c r="T801" s="30"/>
      <c r="U801" s="30"/>
      <c r="V801" s="31"/>
      <c r="W801" s="29"/>
      <c r="X801" s="29"/>
      <c r="Y801" s="29"/>
      <c r="Z801" s="29"/>
      <c r="AA801" s="30"/>
      <c r="AB801" s="30"/>
      <c r="AC801" s="30"/>
      <c r="AD801" s="30"/>
      <c r="AE801" s="30"/>
      <c r="AF801" s="32"/>
      <c r="AG801" s="33"/>
      <c r="AH801" s="33"/>
      <c r="AI801" s="29"/>
      <c r="AJ801" s="32"/>
      <c r="AK801" s="32"/>
      <c r="AL801" s="29"/>
      <c r="AN801" s="34" t="str">
        <f aca="false">IF($B801="","",IF(OR(C801="",D801="",E801="",G801="",I801="",J801="",L801="",O801="",P801=""),"Champ obligatoire manquant",IF(OR(AND(N801&lt;&gt;"",N801&gt;O801),O801&gt;P801,AND(Q801&lt;&gt;"",Q801&lt;P801),AND(R801&lt;&gt;"",R801&lt;P801),AND(S801&lt;&gt;"",S801&lt;R801),AND(S801&lt;&gt;"",R801=""),AND(T801&lt;&gt;"",T801&lt;O801),AND(U801&lt;&gt;"",U801&lt;O801)),"Chronologie incohérente",IF(AND(OR(L801="Résolu",L801="Clos"),R801=""),"Date de résolution manquante",IF(AND(L801="Clos",S801=""),"Date de clôture manquante",IF(AND(K801="Oui",AC801=""),"Classification DORA manquante","OK"))))))</f>
        <v/>
      </c>
      <c r="AO801" s="35" t="str">
        <f aca="false">IF($B801="","",IF(AND(C801="Incident",L801&lt;&gt;"Annulé"),1,0))</f>
        <v/>
      </c>
      <c r="AP801" s="35" t="str">
        <f aca="false">IF($B801="","",IF(AND(C801="Quasi-incident",L801&lt;&gt;"Annulé"),1,0))</f>
        <v/>
      </c>
      <c r="AQ801" s="35" t="str">
        <f aca="false">IF($B801="","",AO801+AP801)</f>
        <v/>
      </c>
      <c r="AR801" s="36" t="str">
        <f aca="false">IF(OR($B801="",J801=""),"",IFERROR(VALUE(LEFT(J801,1)),""))</f>
        <v/>
      </c>
      <c r="AS801" s="35" t="str">
        <f aca="false">IF(OR(AO801&lt;&gt;1,G801=""),"",IFERROR(IF(INDEX(L_SrcInterne,MATCH(G801,L_Sources,0))="Oui",1,0),""))</f>
        <v/>
      </c>
      <c r="AT801" s="37" t="str">
        <f aca="false">IF(AO801&lt;&gt;1,"",IFERROR(ROUND(IF(OR(N801="",O801=""),"",IF(O801&lt;N801,"",ROUND(((NETWORKDAYS(N801,O801,JoursFeries)-1)*(HFer-HOuv)+IF(NETWORKDAYS(O801,O801,JoursFeries),MEDIAN(MOD(O801,1),HFer,HOuv),HFer)-IF(NETWORKDAYS(N801,N801,JoursFeries),MEDIAN(MOD(N801,1),HFer,HOuv),HOuv))*24,4)))/HJour,4),""))</f>
        <v/>
      </c>
      <c r="AU801" s="37" t="str">
        <f aca="false">IF(AO801&lt;&gt;1,"",IF(OR(O801="",P801=""),"",IF(P801&lt;O801,"",ROUND(((NETWORKDAYS(O801,P801,JoursFeries)-1)*(HFer-HOuv)+IF(NETWORKDAYS(P801,P801,JoursFeries),MEDIAN(MOD(P801,1),HFer,HOuv),HFer)-IF(NETWORKDAYS(O801,O801,JoursFeries),MEDIAN(MOD(O801,1),HFer,HOuv),HOuv))*24,4))))</f>
        <v/>
      </c>
      <c r="AV801" s="37" t="str">
        <f aca="false">IF(AO801&lt;&gt;1,"",IF(OR(P801="",Q801=""),"",IF(Q801&lt;P801,"",ROUND(((NETWORKDAYS(P801,Q801,JoursFeries)-1)*(HFer-HOuv)+IF(NETWORKDAYS(Q801,Q801,JoursFeries),MEDIAN(MOD(Q801,1),HFer,HOuv),HFer)-IF(NETWORKDAYS(P801,P801,JoursFeries),MEDIAN(MOD(P801,1),HFer,HOuv),HOuv))*24,4))))</f>
        <v/>
      </c>
      <c r="AW801" s="37" t="str">
        <f aca="false">IF(AO801&lt;&gt;1,"",IFERROR(ROUND(IF(OR(P801="",R801=""),"",IF(R801&lt;P801,"",ROUND(((NETWORKDAYS(P801,R801,JoursFeries)-1)*(HFer-HOuv)+IF(NETWORKDAYS(R801,R801,JoursFeries),MEDIAN(MOD(R801,1),HFer,HOuv),HFer)-IF(NETWORKDAYS(P801,P801,JoursFeries),MEDIAN(MOD(P801,1),HFer,HOuv),HOuv))*24,4)))/HJour,4),""))</f>
        <v/>
      </c>
      <c r="AX801" s="37" t="str">
        <f aca="false">IF(AO801&lt;&gt;1,"",IFERROR(ROUND(IF(OR(P801="",S801=""),"",IF(S801&lt;P801,"",ROUND(((NETWORKDAYS(P801,S801,JoursFeries)-1)*(HFer-HOuv)+IF(NETWORKDAYS(S801,S801,JoursFeries),MEDIAN(MOD(S801,1),HFer,HOuv),HFer)-IF(NETWORKDAYS(P801,P801,JoursFeries),MEDIAN(MOD(P801,1),HFer,HOuv),HOuv))*24,4)))/HJour,4),""))</f>
        <v/>
      </c>
      <c r="AY801" s="36" t="str">
        <f aca="false">IF(OR(AO801&lt;&gt;1,AR801=""),"",INDEX(SLA_PEC,AR801))</f>
        <v/>
      </c>
      <c r="AZ801" s="35" t="str">
        <f aca="false">IF(OR(AV801="",AY801=""),"",IF(AV801&lt;=AY801,1,0))</f>
        <v/>
      </c>
      <c r="BA801" s="36" t="str">
        <f aca="false">IF(OR(AO801&lt;&gt;1,AR801=""),"",INDEX(SLA_RES,AR801))</f>
        <v/>
      </c>
      <c r="BB801" s="35" t="str">
        <f aca="false">IF(OR(AW801="",BA801=""),"",IF(AW801&lt;=BA801,1,0))</f>
        <v/>
      </c>
      <c r="BC801" s="38" t="str">
        <f aca="false">IF(OR(BA801="",P801=""),"",WORKDAY(INT(P801),BA801,JoursFeries)+MOD(P801,1))</f>
        <v/>
      </c>
      <c r="BD801" s="39" t="str">
        <f aca="false">IF(AO801&lt;&gt;1,"",IF(OR(AB801&lt;&gt;"",AD801&lt;&gt;""),4,IF(U801&lt;&gt;"",3,IF(T801&lt;&gt;"",2,1))))</f>
        <v/>
      </c>
      <c r="BE801" s="39" t="str">
        <f aca="false">IF(OR(AO801&lt;&gt;1,AR801=""),"",INDEX(NIV_REQ,AR801))</f>
        <v/>
      </c>
      <c r="BF801" s="39" t="str">
        <f aca="false">IF(BE801="","",MAX(BE801,IF(OR(K801="Oui",Z801="Oui"),4,1)))</f>
        <v/>
      </c>
      <c r="BG801" s="35" t="str">
        <f aca="false">IF(OR(BF801="",BD801=""),"",IF(BD801&gt;=BF801,1,0))</f>
        <v/>
      </c>
      <c r="BH801" s="38" t="str">
        <f aca="false">IF(BE801="","",IF(BE801&lt;2,"",IF(BE801=2,IF(AND(T801="",U801=""),"",MIN(T801,U801)),IF(U801="","",U801))))</f>
        <v/>
      </c>
      <c r="BI801" s="37" t="str">
        <f aca="false">IF(BH801="","",IF(OR(O801="",BH801=""),"",IF(BH801&lt;O801,"",ROUND(((NETWORKDAYS(O801,BH801,JoursFeries)-1)*(HFer-HOuv)+IF(NETWORKDAYS(BH801,BH801,JoursFeries),MEDIAN(MOD(BH801,1),HFer,HOuv),HFer)-IF(NETWORKDAYS(O801,O801,JoursFeries),MEDIAN(MOD(O801,1),HFer,HOuv),HOuv))*24,4))))</f>
        <v/>
      </c>
      <c r="BJ801" s="35" t="str">
        <f aca="false">IF(OR(BI801="",AR801=""),"",IF(BI801&lt;=INDEX(DELAI_ESC,AR801),1,0))</f>
        <v/>
      </c>
      <c r="BK801" s="38" t="str">
        <f aca="false">IF(AO801&lt;&gt;1,"",IF(AND(T801="",U801=""),"",MIN(T801,U801)))</f>
        <v/>
      </c>
      <c r="BL801" s="37" t="str">
        <f aca="false">IF(OR(BK801="",R801=""),"",IFERROR(ROUND(IF(OR(BK801="",R801=""),"",IF(R801&lt;BK801,"",ROUND(((NETWORKDAYS(BK801,R801,JoursFeries)-1)*(HFer-HOuv)+IF(NETWORKDAYS(R801,R801,JoursFeries),MEDIAN(MOD(R801,1),HFer,HOuv),HFer)-IF(NETWORKDAYS(BK801,BK801,JoursFeries),MEDIAN(MOD(BK801,1),HFer,HOuv),HOuv))*24,4)))/HJour,4),""))</f>
        <v/>
      </c>
      <c r="BM801" s="35" t="str">
        <f aca="false">IF(OR(AO801&lt;&gt;1,R801=""),"",IF(BD801=1,1,0))</f>
        <v/>
      </c>
      <c r="BN801" s="35" t="str">
        <f aca="false">IF(AO801&lt;&gt;1,"",IF(W801="Oui",1,0))</f>
        <v/>
      </c>
      <c r="BO801" s="35" t="str">
        <f aca="false">IF(AO801&lt;&gt;1,"",IF(X801&lt;&gt;"",1,0))</f>
        <v/>
      </c>
      <c r="BP801" s="35" t="str">
        <f aca="false">IF(AO801&lt;&gt;1,"",IF(Y801="Oui",1,0))</f>
        <v/>
      </c>
      <c r="BQ801" s="35" t="str">
        <f aca="true">IF(OR(AO801&lt;&gt;1,Z801&lt;&gt;"Oui"),"",IF(AB801="",IF(AND(AA801&lt;&gt;"",NOW()&gt;AA801),0,""),IF(AA801="","",IF(AB801&lt;=AA801,1,0))))</f>
        <v/>
      </c>
      <c r="BR801" s="38" t="str">
        <f aca="false">IF(OR(AO801&lt;&gt;1,K801&lt;&gt;"Oui",O801=""),"",IF(AC801="",O801+DORA_H_DET/24,IF(AC801-O801&lt;=DORA_H_DET/24,MIN(AC801+DORA_H_CLA/24,O801+DORA_H_DET/24),AC801+DORA_H_CLA/24)))</f>
        <v/>
      </c>
      <c r="BS801" s="35" t="str">
        <f aca="true">IF(BR801="","",IF(AD801="",IF(NOW()&gt;BR801,0,""),IF(AD801&lt;=BR801,1,0)))</f>
        <v/>
      </c>
      <c r="BT801" s="35" t="str">
        <f aca="true">IF(OR(BR801="",AD801=""),"",IF(AE801="",IF(NOW()&gt;AD801+DORA_H_INT/24,0,""),IF(AE801&lt;=AD801+DORA_H_INT/24,1,0)))</f>
        <v/>
      </c>
      <c r="BU801" s="35" t="str">
        <f aca="true">IF(OR(BR801="",AE801=""),"",IF(AF801="",IF(NOW()&gt;EDATE(AE801,DORA_M_FIN)+1,0,""),IF(AF801&lt;=EDATE(AE801,DORA_M_FIN),1,0)))</f>
        <v/>
      </c>
      <c r="BV801" s="35" t="str">
        <f aca="false">IF(BR801="","",IF(COUNT(BS801:BU801)=0,"",MIN(BS801:BU801)))</f>
        <v/>
      </c>
      <c r="BW801" s="40" t="str">
        <f aca="false">IF(AQ801&lt;&gt;1,"",IF(AND(AG801="",AH801=""),"",N(AG801)-N(AH801)))</f>
        <v/>
      </c>
      <c r="BX801" s="35" t="str">
        <f aca="true">IF(OR(AQ801&lt;&gt;1,AI801&lt;&gt;"Oui",AJ801=""),"",IF(AK801="",IF(NOW()&gt;AJ801+1,0,""),IF(AK801&lt;=AJ801,1,0)))</f>
        <v/>
      </c>
    </row>
    <row r="802" customFormat="false" ht="15" hidden="false" customHeight="false" outlineLevel="0" collapsed="false">
      <c r="B802" s="29"/>
      <c r="C802" s="29"/>
      <c r="D802" s="29"/>
      <c r="E802" s="29"/>
      <c r="F802" s="29"/>
      <c r="G802" s="29"/>
      <c r="H802" s="29"/>
      <c r="I802" s="29"/>
      <c r="J802" s="29"/>
      <c r="K802" s="29"/>
      <c r="L802" s="29"/>
      <c r="M802" s="29"/>
      <c r="N802" s="30"/>
      <c r="O802" s="30"/>
      <c r="P802" s="30"/>
      <c r="Q802" s="30"/>
      <c r="R802" s="30"/>
      <c r="S802" s="30"/>
      <c r="T802" s="30"/>
      <c r="U802" s="30"/>
      <c r="V802" s="31"/>
      <c r="W802" s="29"/>
      <c r="X802" s="29"/>
      <c r="Y802" s="29"/>
      <c r="Z802" s="29"/>
      <c r="AA802" s="30"/>
      <c r="AB802" s="30"/>
      <c r="AC802" s="30"/>
      <c r="AD802" s="30"/>
      <c r="AE802" s="30"/>
      <c r="AF802" s="32"/>
      <c r="AG802" s="33"/>
      <c r="AH802" s="33"/>
      <c r="AI802" s="29"/>
      <c r="AJ802" s="32"/>
      <c r="AK802" s="32"/>
      <c r="AL802" s="29"/>
      <c r="AN802" s="34" t="str">
        <f aca="false">IF($B802="","",IF(OR(C802="",D802="",E802="",G802="",I802="",J802="",L802="",O802="",P802=""),"Champ obligatoire manquant",IF(OR(AND(N802&lt;&gt;"",N802&gt;O802),O802&gt;P802,AND(Q802&lt;&gt;"",Q802&lt;P802),AND(R802&lt;&gt;"",R802&lt;P802),AND(S802&lt;&gt;"",S802&lt;R802),AND(S802&lt;&gt;"",R802=""),AND(T802&lt;&gt;"",T802&lt;O802),AND(U802&lt;&gt;"",U802&lt;O802)),"Chronologie incohérente",IF(AND(OR(L802="Résolu",L802="Clos"),R802=""),"Date de résolution manquante",IF(AND(L802="Clos",S802=""),"Date de clôture manquante",IF(AND(K802="Oui",AC802=""),"Classification DORA manquante","OK"))))))</f>
        <v/>
      </c>
      <c r="AO802" s="35" t="str">
        <f aca="false">IF($B802="","",IF(AND(C802="Incident",L802&lt;&gt;"Annulé"),1,0))</f>
        <v/>
      </c>
      <c r="AP802" s="35" t="str">
        <f aca="false">IF($B802="","",IF(AND(C802="Quasi-incident",L802&lt;&gt;"Annulé"),1,0))</f>
        <v/>
      </c>
      <c r="AQ802" s="35" t="str">
        <f aca="false">IF($B802="","",AO802+AP802)</f>
        <v/>
      </c>
      <c r="AR802" s="36" t="str">
        <f aca="false">IF(OR($B802="",J802=""),"",IFERROR(VALUE(LEFT(J802,1)),""))</f>
        <v/>
      </c>
      <c r="AS802" s="35" t="str">
        <f aca="false">IF(OR(AO802&lt;&gt;1,G802=""),"",IFERROR(IF(INDEX(L_SrcInterne,MATCH(G802,L_Sources,0))="Oui",1,0),""))</f>
        <v/>
      </c>
      <c r="AT802" s="37" t="str">
        <f aca="false">IF(AO802&lt;&gt;1,"",IFERROR(ROUND(IF(OR(N802="",O802=""),"",IF(O802&lt;N802,"",ROUND(((NETWORKDAYS(N802,O802,JoursFeries)-1)*(HFer-HOuv)+IF(NETWORKDAYS(O802,O802,JoursFeries),MEDIAN(MOD(O802,1),HFer,HOuv),HFer)-IF(NETWORKDAYS(N802,N802,JoursFeries),MEDIAN(MOD(N802,1),HFer,HOuv),HOuv))*24,4)))/HJour,4),""))</f>
        <v/>
      </c>
      <c r="AU802" s="37" t="str">
        <f aca="false">IF(AO802&lt;&gt;1,"",IF(OR(O802="",P802=""),"",IF(P802&lt;O802,"",ROUND(((NETWORKDAYS(O802,P802,JoursFeries)-1)*(HFer-HOuv)+IF(NETWORKDAYS(P802,P802,JoursFeries),MEDIAN(MOD(P802,1),HFer,HOuv),HFer)-IF(NETWORKDAYS(O802,O802,JoursFeries),MEDIAN(MOD(O802,1),HFer,HOuv),HOuv))*24,4))))</f>
        <v/>
      </c>
      <c r="AV802" s="37" t="str">
        <f aca="false">IF(AO802&lt;&gt;1,"",IF(OR(P802="",Q802=""),"",IF(Q802&lt;P802,"",ROUND(((NETWORKDAYS(P802,Q802,JoursFeries)-1)*(HFer-HOuv)+IF(NETWORKDAYS(Q802,Q802,JoursFeries),MEDIAN(MOD(Q802,1),HFer,HOuv),HFer)-IF(NETWORKDAYS(P802,P802,JoursFeries),MEDIAN(MOD(P802,1),HFer,HOuv),HOuv))*24,4))))</f>
        <v/>
      </c>
      <c r="AW802" s="37" t="str">
        <f aca="false">IF(AO802&lt;&gt;1,"",IFERROR(ROUND(IF(OR(P802="",R802=""),"",IF(R802&lt;P802,"",ROUND(((NETWORKDAYS(P802,R802,JoursFeries)-1)*(HFer-HOuv)+IF(NETWORKDAYS(R802,R802,JoursFeries),MEDIAN(MOD(R802,1),HFer,HOuv),HFer)-IF(NETWORKDAYS(P802,P802,JoursFeries),MEDIAN(MOD(P802,1),HFer,HOuv),HOuv))*24,4)))/HJour,4),""))</f>
        <v/>
      </c>
      <c r="AX802" s="37" t="str">
        <f aca="false">IF(AO802&lt;&gt;1,"",IFERROR(ROUND(IF(OR(P802="",S802=""),"",IF(S802&lt;P802,"",ROUND(((NETWORKDAYS(P802,S802,JoursFeries)-1)*(HFer-HOuv)+IF(NETWORKDAYS(S802,S802,JoursFeries),MEDIAN(MOD(S802,1),HFer,HOuv),HFer)-IF(NETWORKDAYS(P802,P802,JoursFeries),MEDIAN(MOD(P802,1),HFer,HOuv),HOuv))*24,4)))/HJour,4),""))</f>
        <v/>
      </c>
      <c r="AY802" s="36" t="str">
        <f aca="false">IF(OR(AO802&lt;&gt;1,AR802=""),"",INDEX(SLA_PEC,AR802))</f>
        <v/>
      </c>
      <c r="AZ802" s="35" t="str">
        <f aca="false">IF(OR(AV802="",AY802=""),"",IF(AV802&lt;=AY802,1,0))</f>
        <v/>
      </c>
      <c r="BA802" s="36" t="str">
        <f aca="false">IF(OR(AO802&lt;&gt;1,AR802=""),"",INDEX(SLA_RES,AR802))</f>
        <v/>
      </c>
      <c r="BB802" s="35" t="str">
        <f aca="false">IF(OR(AW802="",BA802=""),"",IF(AW802&lt;=BA802,1,0))</f>
        <v/>
      </c>
      <c r="BC802" s="38" t="str">
        <f aca="false">IF(OR(BA802="",P802=""),"",WORKDAY(INT(P802),BA802,JoursFeries)+MOD(P802,1))</f>
        <v/>
      </c>
      <c r="BD802" s="39" t="str">
        <f aca="false">IF(AO802&lt;&gt;1,"",IF(OR(AB802&lt;&gt;"",AD802&lt;&gt;""),4,IF(U802&lt;&gt;"",3,IF(T802&lt;&gt;"",2,1))))</f>
        <v/>
      </c>
      <c r="BE802" s="39" t="str">
        <f aca="false">IF(OR(AO802&lt;&gt;1,AR802=""),"",INDEX(NIV_REQ,AR802))</f>
        <v/>
      </c>
      <c r="BF802" s="39" t="str">
        <f aca="false">IF(BE802="","",MAX(BE802,IF(OR(K802="Oui",Z802="Oui"),4,1)))</f>
        <v/>
      </c>
      <c r="BG802" s="35" t="str">
        <f aca="false">IF(OR(BF802="",BD802=""),"",IF(BD802&gt;=BF802,1,0))</f>
        <v/>
      </c>
      <c r="BH802" s="38" t="str">
        <f aca="false">IF(BE802="","",IF(BE802&lt;2,"",IF(BE802=2,IF(AND(T802="",U802=""),"",MIN(T802,U802)),IF(U802="","",U802))))</f>
        <v/>
      </c>
      <c r="BI802" s="37" t="str">
        <f aca="false">IF(BH802="","",IF(OR(O802="",BH802=""),"",IF(BH802&lt;O802,"",ROUND(((NETWORKDAYS(O802,BH802,JoursFeries)-1)*(HFer-HOuv)+IF(NETWORKDAYS(BH802,BH802,JoursFeries),MEDIAN(MOD(BH802,1),HFer,HOuv),HFer)-IF(NETWORKDAYS(O802,O802,JoursFeries),MEDIAN(MOD(O802,1),HFer,HOuv),HOuv))*24,4))))</f>
        <v/>
      </c>
      <c r="BJ802" s="35" t="str">
        <f aca="false">IF(OR(BI802="",AR802=""),"",IF(BI802&lt;=INDEX(DELAI_ESC,AR802),1,0))</f>
        <v/>
      </c>
      <c r="BK802" s="38" t="str">
        <f aca="false">IF(AO802&lt;&gt;1,"",IF(AND(T802="",U802=""),"",MIN(T802,U802)))</f>
        <v/>
      </c>
      <c r="BL802" s="37" t="str">
        <f aca="false">IF(OR(BK802="",R802=""),"",IFERROR(ROUND(IF(OR(BK802="",R802=""),"",IF(R802&lt;BK802,"",ROUND(((NETWORKDAYS(BK802,R802,JoursFeries)-1)*(HFer-HOuv)+IF(NETWORKDAYS(R802,R802,JoursFeries),MEDIAN(MOD(R802,1),HFer,HOuv),HFer)-IF(NETWORKDAYS(BK802,BK802,JoursFeries),MEDIAN(MOD(BK802,1),HFer,HOuv),HOuv))*24,4)))/HJour,4),""))</f>
        <v/>
      </c>
      <c r="BM802" s="35" t="str">
        <f aca="false">IF(OR(AO802&lt;&gt;1,R802=""),"",IF(BD802=1,1,0))</f>
        <v/>
      </c>
      <c r="BN802" s="35" t="str">
        <f aca="false">IF(AO802&lt;&gt;1,"",IF(W802="Oui",1,0))</f>
        <v/>
      </c>
      <c r="BO802" s="35" t="str">
        <f aca="false">IF(AO802&lt;&gt;1,"",IF(X802&lt;&gt;"",1,0))</f>
        <v/>
      </c>
      <c r="BP802" s="35" t="str">
        <f aca="false">IF(AO802&lt;&gt;1,"",IF(Y802="Oui",1,0))</f>
        <v/>
      </c>
      <c r="BQ802" s="35" t="str">
        <f aca="true">IF(OR(AO802&lt;&gt;1,Z802&lt;&gt;"Oui"),"",IF(AB802="",IF(AND(AA802&lt;&gt;"",NOW()&gt;AA802),0,""),IF(AA802="","",IF(AB802&lt;=AA802,1,0))))</f>
        <v/>
      </c>
      <c r="BR802" s="38" t="str">
        <f aca="false">IF(OR(AO802&lt;&gt;1,K802&lt;&gt;"Oui",O802=""),"",IF(AC802="",O802+DORA_H_DET/24,IF(AC802-O802&lt;=DORA_H_DET/24,MIN(AC802+DORA_H_CLA/24,O802+DORA_H_DET/24),AC802+DORA_H_CLA/24)))</f>
        <v/>
      </c>
      <c r="BS802" s="35" t="str">
        <f aca="true">IF(BR802="","",IF(AD802="",IF(NOW()&gt;BR802,0,""),IF(AD802&lt;=BR802,1,0)))</f>
        <v/>
      </c>
      <c r="BT802" s="35" t="str">
        <f aca="true">IF(OR(BR802="",AD802=""),"",IF(AE802="",IF(NOW()&gt;AD802+DORA_H_INT/24,0,""),IF(AE802&lt;=AD802+DORA_H_INT/24,1,0)))</f>
        <v/>
      </c>
      <c r="BU802" s="35" t="str">
        <f aca="true">IF(OR(BR802="",AE802=""),"",IF(AF802="",IF(NOW()&gt;EDATE(AE802,DORA_M_FIN)+1,0,""),IF(AF802&lt;=EDATE(AE802,DORA_M_FIN),1,0)))</f>
        <v/>
      </c>
      <c r="BV802" s="35" t="str">
        <f aca="false">IF(BR802="","",IF(COUNT(BS802:BU802)=0,"",MIN(BS802:BU802)))</f>
        <v/>
      </c>
      <c r="BW802" s="40" t="str">
        <f aca="false">IF(AQ802&lt;&gt;1,"",IF(AND(AG802="",AH802=""),"",N(AG802)-N(AH802)))</f>
        <v/>
      </c>
      <c r="BX802" s="35" t="str">
        <f aca="true">IF(OR(AQ802&lt;&gt;1,AI802&lt;&gt;"Oui",AJ802=""),"",IF(AK802="",IF(NOW()&gt;AJ802+1,0,""),IF(AK802&lt;=AJ802,1,0)))</f>
        <v/>
      </c>
    </row>
    <row r="803" customFormat="false" ht="15" hidden="false" customHeight="false" outlineLevel="0" collapsed="false">
      <c r="B803" s="29"/>
      <c r="C803" s="29"/>
      <c r="D803" s="29"/>
      <c r="E803" s="29"/>
      <c r="F803" s="29"/>
      <c r="G803" s="29"/>
      <c r="H803" s="29"/>
      <c r="I803" s="29"/>
      <c r="J803" s="29"/>
      <c r="K803" s="29"/>
      <c r="L803" s="29"/>
      <c r="M803" s="29"/>
      <c r="N803" s="30"/>
      <c r="O803" s="30"/>
      <c r="P803" s="30"/>
      <c r="Q803" s="30"/>
      <c r="R803" s="30"/>
      <c r="S803" s="30"/>
      <c r="T803" s="30"/>
      <c r="U803" s="30"/>
      <c r="V803" s="31"/>
      <c r="W803" s="29"/>
      <c r="X803" s="29"/>
      <c r="Y803" s="29"/>
      <c r="Z803" s="29"/>
      <c r="AA803" s="30"/>
      <c r="AB803" s="30"/>
      <c r="AC803" s="30"/>
      <c r="AD803" s="30"/>
      <c r="AE803" s="30"/>
      <c r="AF803" s="32"/>
      <c r="AG803" s="33"/>
      <c r="AH803" s="33"/>
      <c r="AI803" s="29"/>
      <c r="AJ803" s="32"/>
      <c r="AK803" s="32"/>
      <c r="AL803" s="29"/>
      <c r="AN803" s="34" t="str">
        <f aca="false">IF($B803="","",IF(OR(C803="",D803="",E803="",G803="",I803="",J803="",L803="",O803="",P803=""),"Champ obligatoire manquant",IF(OR(AND(N803&lt;&gt;"",N803&gt;O803),O803&gt;P803,AND(Q803&lt;&gt;"",Q803&lt;P803),AND(R803&lt;&gt;"",R803&lt;P803),AND(S803&lt;&gt;"",S803&lt;R803),AND(S803&lt;&gt;"",R803=""),AND(T803&lt;&gt;"",T803&lt;O803),AND(U803&lt;&gt;"",U803&lt;O803)),"Chronologie incohérente",IF(AND(OR(L803="Résolu",L803="Clos"),R803=""),"Date de résolution manquante",IF(AND(L803="Clos",S803=""),"Date de clôture manquante",IF(AND(K803="Oui",AC803=""),"Classification DORA manquante","OK"))))))</f>
        <v/>
      </c>
      <c r="AO803" s="35" t="str">
        <f aca="false">IF($B803="","",IF(AND(C803="Incident",L803&lt;&gt;"Annulé"),1,0))</f>
        <v/>
      </c>
      <c r="AP803" s="35" t="str">
        <f aca="false">IF($B803="","",IF(AND(C803="Quasi-incident",L803&lt;&gt;"Annulé"),1,0))</f>
        <v/>
      </c>
      <c r="AQ803" s="35" t="str">
        <f aca="false">IF($B803="","",AO803+AP803)</f>
        <v/>
      </c>
      <c r="AR803" s="36" t="str">
        <f aca="false">IF(OR($B803="",J803=""),"",IFERROR(VALUE(LEFT(J803,1)),""))</f>
        <v/>
      </c>
      <c r="AS803" s="35" t="str">
        <f aca="false">IF(OR(AO803&lt;&gt;1,G803=""),"",IFERROR(IF(INDEX(L_SrcInterne,MATCH(G803,L_Sources,0))="Oui",1,0),""))</f>
        <v/>
      </c>
      <c r="AT803" s="37" t="str">
        <f aca="false">IF(AO803&lt;&gt;1,"",IFERROR(ROUND(IF(OR(N803="",O803=""),"",IF(O803&lt;N803,"",ROUND(((NETWORKDAYS(N803,O803,JoursFeries)-1)*(HFer-HOuv)+IF(NETWORKDAYS(O803,O803,JoursFeries),MEDIAN(MOD(O803,1),HFer,HOuv),HFer)-IF(NETWORKDAYS(N803,N803,JoursFeries),MEDIAN(MOD(N803,1),HFer,HOuv),HOuv))*24,4)))/HJour,4),""))</f>
        <v/>
      </c>
      <c r="AU803" s="37" t="str">
        <f aca="false">IF(AO803&lt;&gt;1,"",IF(OR(O803="",P803=""),"",IF(P803&lt;O803,"",ROUND(((NETWORKDAYS(O803,P803,JoursFeries)-1)*(HFer-HOuv)+IF(NETWORKDAYS(P803,P803,JoursFeries),MEDIAN(MOD(P803,1),HFer,HOuv),HFer)-IF(NETWORKDAYS(O803,O803,JoursFeries),MEDIAN(MOD(O803,1),HFer,HOuv),HOuv))*24,4))))</f>
        <v/>
      </c>
      <c r="AV803" s="37" t="str">
        <f aca="false">IF(AO803&lt;&gt;1,"",IF(OR(P803="",Q803=""),"",IF(Q803&lt;P803,"",ROUND(((NETWORKDAYS(P803,Q803,JoursFeries)-1)*(HFer-HOuv)+IF(NETWORKDAYS(Q803,Q803,JoursFeries),MEDIAN(MOD(Q803,1),HFer,HOuv),HFer)-IF(NETWORKDAYS(P803,P803,JoursFeries),MEDIAN(MOD(P803,1),HFer,HOuv),HOuv))*24,4))))</f>
        <v/>
      </c>
      <c r="AW803" s="37" t="str">
        <f aca="false">IF(AO803&lt;&gt;1,"",IFERROR(ROUND(IF(OR(P803="",R803=""),"",IF(R803&lt;P803,"",ROUND(((NETWORKDAYS(P803,R803,JoursFeries)-1)*(HFer-HOuv)+IF(NETWORKDAYS(R803,R803,JoursFeries),MEDIAN(MOD(R803,1),HFer,HOuv),HFer)-IF(NETWORKDAYS(P803,P803,JoursFeries),MEDIAN(MOD(P803,1),HFer,HOuv),HOuv))*24,4)))/HJour,4),""))</f>
        <v/>
      </c>
      <c r="AX803" s="37" t="str">
        <f aca="false">IF(AO803&lt;&gt;1,"",IFERROR(ROUND(IF(OR(P803="",S803=""),"",IF(S803&lt;P803,"",ROUND(((NETWORKDAYS(P803,S803,JoursFeries)-1)*(HFer-HOuv)+IF(NETWORKDAYS(S803,S803,JoursFeries),MEDIAN(MOD(S803,1),HFer,HOuv),HFer)-IF(NETWORKDAYS(P803,P803,JoursFeries),MEDIAN(MOD(P803,1),HFer,HOuv),HOuv))*24,4)))/HJour,4),""))</f>
        <v/>
      </c>
      <c r="AY803" s="36" t="str">
        <f aca="false">IF(OR(AO803&lt;&gt;1,AR803=""),"",INDEX(SLA_PEC,AR803))</f>
        <v/>
      </c>
      <c r="AZ803" s="35" t="str">
        <f aca="false">IF(OR(AV803="",AY803=""),"",IF(AV803&lt;=AY803,1,0))</f>
        <v/>
      </c>
      <c r="BA803" s="36" t="str">
        <f aca="false">IF(OR(AO803&lt;&gt;1,AR803=""),"",INDEX(SLA_RES,AR803))</f>
        <v/>
      </c>
      <c r="BB803" s="35" t="str">
        <f aca="false">IF(OR(AW803="",BA803=""),"",IF(AW803&lt;=BA803,1,0))</f>
        <v/>
      </c>
      <c r="BC803" s="38" t="str">
        <f aca="false">IF(OR(BA803="",P803=""),"",WORKDAY(INT(P803),BA803,JoursFeries)+MOD(P803,1))</f>
        <v/>
      </c>
      <c r="BD803" s="39" t="str">
        <f aca="false">IF(AO803&lt;&gt;1,"",IF(OR(AB803&lt;&gt;"",AD803&lt;&gt;""),4,IF(U803&lt;&gt;"",3,IF(T803&lt;&gt;"",2,1))))</f>
        <v/>
      </c>
      <c r="BE803" s="39" t="str">
        <f aca="false">IF(OR(AO803&lt;&gt;1,AR803=""),"",INDEX(NIV_REQ,AR803))</f>
        <v/>
      </c>
      <c r="BF803" s="39" t="str">
        <f aca="false">IF(BE803="","",MAX(BE803,IF(OR(K803="Oui",Z803="Oui"),4,1)))</f>
        <v/>
      </c>
      <c r="BG803" s="35" t="str">
        <f aca="false">IF(OR(BF803="",BD803=""),"",IF(BD803&gt;=BF803,1,0))</f>
        <v/>
      </c>
      <c r="BH803" s="38" t="str">
        <f aca="false">IF(BE803="","",IF(BE803&lt;2,"",IF(BE803=2,IF(AND(T803="",U803=""),"",MIN(T803,U803)),IF(U803="","",U803))))</f>
        <v/>
      </c>
      <c r="BI803" s="37" t="str">
        <f aca="false">IF(BH803="","",IF(OR(O803="",BH803=""),"",IF(BH803&lt;O803,"",ROUND(((NETWORKDAYS(O803,BH803,JoursFeries)-1)*(HFer-HOuv)+IF(NETWORKDAYS(BH803,BH803,JoursFeries),MEDIAN(MOD(BH803,1),HFer,HOuv),HFer)-IF(NETWORKDAYS(O803,O803,JoursFeries),MEDIAN(MOD(O803,1),HFer,HOuv),HOuv))*24,4))))</f>
        <v/>
      </c>
      <c r="BJ803" s="35" t="str">
        <f aca="false">IF(OR(BI803="",AR803=""),"",IF(BI803&lt;=INDEX(DELAI_ESC,AR803),1,0))</f>
        <v/>
      </c>
      <c r="BK803" s="38" t="str">
        <f aca="false">IF(AO803&lt;&gt;1,"",IF(AND(T803="",U803=""),"",MIN(T803,U803)))</f>
        <v/>
      </c>
      <c r="BL803" s="37" t="str">
        <f aca="false">IF(OR(BK803="",R803=""),"",IFERROR(ROUND(IF(OR(BK803="",R803=""),"",IF(R803&lt;BK803,"",ROUND(((NETWORKDAYS(BK803,R803,JoursFeries)-1)*(HFer-HOuv)+IF(NETWORKDAYS(R803,R803,JoursFeries),MEDIAN(MOD(R803,1),HFer,HOuv),HFer)-IF(NETWORKDAYS(BK803,BK803,JoursFeries),MEDIAN(MOD(BK803,1),HFer,HOuv),HOuv))*24,4)))/HJour,4),""))</f>
        <v/>
      </c>
      <c r="BM803" s="35" t="str">
        <f aca="false">IF(OR(AO803&lt;&gt;1,R803=""),"",IF(BD803=1,1,0))</f>
        <v/>
      </c>
      <c r="BN803" s="35" t="str">
        <f aca="false">IF(AO803&lt;&gt;1,"",IF(W803="Oui",1,0))</f>
        <v/>
      </c>
      <c r="BO803" s="35" t="str">
        <f aca="false">IF(AO803&lt;&gt;1,"",IF(X803&lt;&gt;"",1,0))</f>
        <v/>
      </c>
      <c r="BP803" s="35" t="str">
        <f aca="false">IF(AO803&lt;&gt;1,"",IF(Y803="Oui",1,0))</f>
        <v/>
      </c>
      <c r="BQ803" s="35" t="str">
        <f aca="true">IF(OR(AO803&lt;&gt;1,Z803&lt;&gt;"Oui"),"",IF(AB803="",IF(AND(AA803&lt;&gt;"",NOW()&gt;AA803),0,""),IF(AA803="","",IF(AB803&lt;=AA803,1,0))))</f>
        <v/>
      </c>
      <c r="BR803" s="38" t="str">
        <f aca="false">IF(OR(AO803&lt;&gt;1,K803&lt;&gt;"Oui",O803=""),"",IF(AC803="",O803+DORA_H_DET/24,IF(AC803-O803&lt;=DORA_H_DET/24,MIN(AC803+DORA_H_CLA/24,O803+DORA_H_DET/24),AC803+DORA_H_CLA/24)))</f>
        <v/>
      </c>
      <c r="BS803" s="35" t="str">
        <f aca="true">IF(BR803="","",IF(AD803="",IF(NOW()&gt;BR803,0,""),IF(AD803&lt;=BR803,1,0)))</f>
        <v/>
      </c>
      <c r="BT803" s="35" t="str">
        <f aca="true">IF(OR(BR803="",AD803=""),"",IF(AE803="",IF(NOW()&gt;AD803+DORA_H_INT/24,0,""),IF(AE803&lt;=AD803+DORA_H_INT/24,1,0)))</f>
        <v/>
      </c>
      <c r="BU803" s="35" t="str">
        <f aca="true">IF(OR(BR803="",AE803=""),"",IF(AF803="",IF(NOW()&gt;EDATE(AE803,DORA_M_FIN)+1,0,""),IF(AF803&lt;=EDATE(AE803,DORA_M_FIN),1,0)))</f>
        <v/>
      </c>
      <c r="BV803" s="35" t="str">
        <f aca="false">IF(BR803="","",IF(COUNT(BS803:BU803)=0,"",MIN(BS803:BU803)))</f>
        <v/>
      </c>
      <c r="BW803" s="40" t="str">
        <f aca="false">IF(AQ803&lt;&gt;1,"",IF(AND(AG803="",AH803=""),"",N(AG803)-N(AH803)))</f>
        <v/>
      </c>
      <c r="BX803" s="35" t="str">
        <f aca="true">IF(OR(AQ803&lt;&gt;1,AI803&lt;&gt;"Oui",AJ803=""),"",IF(AK803="",IF(NOW()&gt;AJ803+1,0,""),IF(AK803&lt;=AJ803,1,0)))</f>
        <v/>
      </c>
    </row>
    <row r="804" customFormat="false" ht="15" hidden="false" customHeight="false" outlineLevel="0" collapsed="false">
      <c r="B804" s="29"/>
      <c r="C804" s="29"/>
      <c r="D804" s="29"/>
      <c r="E804" s="29"/>
      <c r="F804" s="29"/>
      <c r="G804" s="29"/>
      <c r="H804" s="29"/>
      <c r="I804" s="29"/>
      <c r="J804" s="29"/>
      <c r="K804" s="29"/>
      <c r="L804" s="29"/>
      <c r="M804" s="29"/>
      <c r="N804" s="30"/>
      <c r="O804" s="30"/>
      <c r="P804" s="30"/>
      <c r="Q804" s="30"/>
      <c r="R804" s="30"/>
      <c r="S804" s="30"/>
      <c r="T804" s="30"/>
      <c r="U804" s="30"/>
      <c r="V804" s="31"/>
      <c r="W804" s="29"/>
      <c r="X804" s="29"/>
      <c r="Y804" s="29"/>
      <c r="Z804" s="29"/>
      <c r="AA804" s="30"/>
      <c r="AB804" s="30"/>
      <c r="AC804" s="30"/>
      <c r="AD804" s="30"/>
      <c r="AE804" s="30"/>
      <c r="AF804" s="32"/>
      <c r="AG804" s="33"/>
      <c r="AH804" s="33"/>
      <c r="AI804" s="29"/>
      <c r="AJ804" s="32"/>
      <c r="AK804" s="32"/>
      <c r="AL804" s="29"/>
      <c r="AN804" s="34" t="str">
        <f aca="false">IF($B804="","",IF(OR(C804="",D804="",E804="",G804="",I804="",J804="",L804="",O804="",P804=""),"Champ obligatoire manquant",IF(OR(AND(N804&lt;&gt;"",N804&gt;O804),O804&gt;P804,AND(Q804&lt;&gt;"",Q804&lt;P804),AND(R804&lt;&gt;"",R804&lt;P804),AND(S804&lt;&gt;"",S804&lt;R804),AND(S804&lt;&gt;"",R804=""),AND(T804&lt;&gt;"",T804&lt;O804),AND(U804&lt;&gt;"",U804&lt;O804)),"Chronologie incohérente",IF(AND(OR(L804="Résolu",L804="Clos"),R804=""),"Date de résolution manquante",IF(AND(L804="Clos",S804=""),"Date de clôture manquante",IF(AND(K804="Oui",AC804=""),"Classification DORA manquante","OK"))))))</f>
        <v/>
      </c>
      <c r="AO804" s="35" t="str">
        <f aca="false">IF($B804="","",IF(AND(C804="Incident",L804&lt;&gt;"Annulé"),1,0))</f>
        <v/>
      </c>
      <c r="AP804" s="35" t="str">
        <f aca="false">IF($B804="","",IF(AND(C804="Quasi-incident",L804&lt;&gt;"Annulé"),1,0))</f>
        <v/>
      </c>
      <c r="AQ804" s="35" t="str">
        <f aca="false">IF($B804="","",AO804+AP804)</f>
        <v/>
      </c>
      <c r="AR804" s="36" t="str">
        <f aca="false">IF(OR($B804="",J804=""),"",IFERROR(VALUE(LEFT(J804,1)),""))</f>
        <v/>
      </c>
      <c r="AS804" s="35" t="str">
        <f aca="false">IF(OR(AO804&lt;&gt;1,G804=""),"",IFERROR(IF(INDEX(L_SrcInterne,MATCH(G804,L_Sources,0))="Oui",1,0),""))</f>
        <v/>
      </c>
      <c r="AT804" s="37" t="str">
        <f aca="false">IF(AO804&lt;&gt;1,"",IFERROR(ROUND(IF(OR(N804="",O804=""),"",IF(O804&lt;N804,"",ROUND(((NETWORKDAYS(N804,O804,JoursFeries)-1)*(HFer-HOuv)+IF(NETWORKDAYS(O804,O804,JoursFeries),MEDIAN(MOD(O804,1),HFer,HOuv),HFer)-IF(NETWORKDAYS(N804,N804,JoursFeries),MEDIAN(MOD(N804,1),HFer,HOuv),HOuv))*24,4)))/HJour,4),""))</f>
        <v/>
      </c>
      <c r="AU804" s="37" t="str">
        <f aca="false">IF(AO804&lt;&gt;1,"",IF(OR(O804="",P804=""),"",IF(P804&lt;O804,"",ROUND(((NETWORKDAYS(O804,P804,JoursFeries)-1)*(HFer-HOuv)+IF(NETWORKDAYS(P804,P804,JoursFeries),MEDIAN(MOD(P804,1),HFer,HOuv),HFer)-IF(NETWORKDAYS(O804,O804,JoursFeries),MEDIAN(MOD(O804,1),HFer,HOuv),HOuv))*24,4))))</f>
        <v/>
      </c>
      <c r="AV804" s="37" t="str">
        <f aca="false">IF(AO804&lt;&gt;1,"",IF(OR(P804="",Q804=""),"",IF(Q804&lt;P804,"",ROUND(((NETWORKDAYS(P804,Q804,JoursFeries)-1)*(HFer-HOuv)+IF(NETWORKDAYS(Q804,Q804,JoursFeries),MEDIAN(MOD(Q804,1),HFer,HOuv),HFer)-IF(NETWORKDAYS(P804,P804,JoursFeries),MEDIAN(MOD(P804,1),HFer,HOuv),HOuv))*24,4))))</f>
        <v/>
      </c>
      <c r="AW804" s="37" t="str">
        <f aca="false">IF(AO804&lt;&gt;1,"",IFERROR(ROUND(IF(OR(P804="",R804=""),"",IF(R804&lt;P804,"",ROUND(((NETWORKDAYS(P804,R804,JoursFeries)-1)*(HFer-HOuv)+IF(NETWORKDAYS(R804,R804,JoursFeries),MEDIAN(MOD(R804,1),HFer,HOuv),HFer)-IF(NETWORKDAYS(P804,P804,JoursFeries),MEDIAN(MOD(P804,1),HFer,HOuv),HOuv))*24,4)))/HJour,4),""))</f>
        <v/>
      </c>
      <c r="AX804" s="37" t="str">
        <f aca="false">IF(AO804&lt;&gt;1,"",IFERROR(ROUND(IF(OR(P804="",S804=""),"",IF(S804&lt;P804,"",ROUND(((NETWORKDAYS(P804,S804,JoursFeries)-1)*(HFer-HOuv)+IF(NETWORKDAYS(S804,S804,JoursFeries),MEDIAN(MOD(S804,1),HFer,HOuv),HFer)-IF(NETWORKDAYS(P804,P804,JoursFeries),MEDIAN(MOD(P804,1),HFer,HOuv),HOuv))*24,4)))/HJour,4),""))</f>
        <v/>
      </c>
      <c r="AY804" s="36" t="str">
        <f aca="false">IF(OR(AO804&lt;&gt;1,AR804=""),"",INDEX(SLA_PEC,AR804))</f>
        <v/>
      </c>
      <c r="AZ804" s="35" t="str">
        <f aca="false">IF(OR(AV804="",AY804=""),"",IF(AV804&lt;=AY804,1,0))</f>
        <v/>
      </c>
      <c r="BA804" s="36" t="str">
        <f aca="false">IF(OR(AO804&lt;&gt;1,AR804=""),"",INDEX(SLA_RES,AR804))</f>
        <v/>
      </c>
      <c r="BB804" s="35" t="str">
        <f aca="false">IF(OR(AW804="",BA804=""),"",IF(AW804&lt;=BA804,1,0))</f>
        <v/>
      </c>
      <c r="BC804" s="38" t="str">
        <f aca="false">IF(OR(BA804="",P804=""),"",WORKDAY(INT(P804),BA804,JoursFeries)+MOD(P804,1))</f>
        <v/>
      </c>
      <c r="BD804" s="39" t="str">
        <f aca="false">IF(AO804&lt;&gt;1,"",IF(OR(AB804&lt;&gt;"",AD804&lt;&gt;""),4,IF(U804&lt;&gt;"",3,IF(T804&lt;&gt;"",2,1))))</f>
        <v/>
      </c>
      <c r="BE804" s="39" t="str">
        <f aca="false">IF(OR(AO804&lt;&gt;1,AR804=""),"",INDEX(NIV_REQ,AR804))</f>
        <v/>
      </c>
      <c r="BF804" s="39" t="str">
        <f aca="false">IF(BE804="","",MAX(BE804,IF(OR(K804="Oui",Z804="Oui"),4,1)))</f>
        <v/>
      </c>
      <c r="BG804" s="35" t="str">
        <f aca="false">IF(OR(BF804="",BD804=""),"",IF(BD804&gt;=BF804,1,0))</f>
        <v/>
      </c>
      <c r="BH804" s="38" t="str">
        <f aca="false">IF(BE804="","",IF(BE804&lt;2,"",IF(BE804=2,IF(AND(T804="",U804=""),"",MIN(T804,U804)),IF(U804="","",U804))))</f>
        <v/>
      </c>
      <c r="BI804" s="37" t="str">
        <f aca="false">IF(BH804="","",IF(OR(O804="",BH804=""),"",IF(BH804&lt;O804,"",ROUND(((NETWORKDAYS(O804,BH804,JoursFeries)-1)*(HFer-HOuv)+IF(NETWORKDAYS(BH804,BH804,JoursFeries),MEDIAN(MOD(BH804,1),HFer,HOuv),HFer)-IF(NETWORKDAYS(O804,O804,JoursFeries),MEDIAN(MOD(O804,1),HFer,HOuv),HOuv))*24,4))))</f>
        <v/>
      </c>
      <c r="BJ804" s="35" t="str">
        <f aca="false">IF(OR(BI804="",AR804=""),"",IF(BI804&lt;=INDEX(DELAI_ESC,AR804),1,0))</f>
        <v/>
      </c>
      <c r="BK804" s="38" t="str">
        <f aca="false">IF(AO804&lt;&gt;1,"",IF(AND(T804="",U804=""),"",MIN(T804,U804)))</f>
        <v/>
      </c>
      <c r="BL804" s="37" t="str">
        <f aca="false">IF(OR(BK804="",R804=""),"",IFERROR(ROUND(IF(OR(BK804="",R804=""),"",IF(R804&lt;BK804,"",ROUND(((NETWORKDAYS(BK804,R804,JoursFeries)-1)*(HFer-HOuv)+IF(NETWORKDAYS(R804,R804,JoursFeries),MEDIAN(MOD(R804,1),HFer,HOuv),HFer)-IF(NETWORKDAYS(BK804,BK804,JoursFeries),MEDIAN(MOD(BK804,1),HFer,HOuv),HOuv))*24,4)))/HJour,4),""))</f>
        <v/>
      </c>
      <c r="BM804" s="35" t="str">
        <f aca="false">IF(OR(AO804&lt;&gt;1,R804=""),"",IF(BD804=1,1,0))</f>
        <v/>
      </c>
      <c r="BN804" s="35" t="str">
        <f aca="false">IF(AO804&lt;&gt;1,"",IF(W804="Oui",1,0))</f>
        <v/>
      </c>
      <c r="BO804" s="35" t="str">
        <f aca="false">IF(AO804&lt;&gt;1,"",IF(X804&lt;&gt;"",1,0))</f>
        <v/>
      </c>
      <c r="BP804" s="35" t="str">
        <f aca="false">IF(AO804&lt;&gt;1,"",IF(Y804="Oui",1,0))</f>
        <v/>
      </c>
      <c r="BQ804" s="35" t="str">
        <f aca="true">IF(OR(AO804&lt;&gt;1,Z804&lt;&gt;"Oui"),"",IF(AB804="",IF(AND(AA804&lt;&gt;"",NOW()&gt;AA804),0,""),IF(AA804="","",IF(AB804&lt;=AA804,1,0))))</f>
        <v/>
      </c>
      <c r="BR804" s="38" t="str">
        <f aca="false">IF(OR(AO804&lt;&gt;1,K804&lt;&gt;"Oui",O804=""),"",IF(AC804="",O804+DORA_H_DET/24,IF(AC804-O804&lt;=DORA_H_DET/24,MIN(AC804+DORA_H_CLA/24,O804+DORA_H_DET/24),AC804+DORA_H_CLA/24)))</f>
        <v/>
      </c>
      <c r="BS804" s="35" t="str">
        <f aca="true">IF(BR804="","",IF(AD804="",IF(NOW()&gt;BR804,0,""),IF(AD804&lt;=BR804,1,0)))</f>
        <v/>
      </c>
      <c r="BT804" s="35" t="str">
        <f aca="true">IF(OR(BR804="",AD804=""),"",IF(AE804="",IF(NOW()&gt;AD804+DORA_H_INT/24,0,""),IF(AE804&lt;=AD804+DORA_H_INT/24,1,0)))</f>
        <v/>
      </c>
      <c r="BU804" s="35" t="str">
        <f aca="true">IF(OR(BR804="",AE804=""),"",IF(AF804="",IF(NOW()&gt;EDATE(AE804,DORA_M_FIN)+1,0,""),IF(AF804&lt;=EDATE(AE804,DORA_M_FIN),1,0)))</f>
        <v/>
      </c>
      <c r="BV804" s="35" t="str">
        <f aca="false">IF(BR804="","",IF(COUNT(BS804:BU804)=0,"",MIN(BS804:BU804)))</f>
        <v/>
      </c>
      <c r="BW804" s="40" t="str">
        <f aca="false">IF(AQ804&lt;&gt;1,"",IF(AND(AG804="",AH804=""),"",N(AG804)-N(AH804)))</f>
        <v/>
      </c>
      <c r="BX804" s="35" t="str">
        <f aca="true">IF(OR(AQ804&lt;&gt;1,AI804&lt;&gt;"Oui",AJ804=""),"",IF(AK804="",IF(NOW()&gt;AJ804+1,0,""),IF(AK804&lt;=AJ804,1,0)))</f>
        <v/>
      </c>
    </row>
    <row r="805" customFormat="false" ht="15" hidden="false" customHeight="false" outlineLevel="0" collapsed="false">
      <c r="B805" s="29"/>
      <c r="C805" s="29"/>
      <c r="D805" s="29"/>
      <c r="E805" s="29"/>
      <c r="F805" s="29"/>
      <c r="G805" s="29"/>
      <c r="H805" s="29"/>
      <c r="I805" s="29"/>
      <c r="J805" s="29"/>
      <c r="K805" s="29"/>
      <c r="L805" s="29"/>
      <c r="M805" s="29"/>
      <c r="N805" s="30"/>
      <c r="O805" s="30"/>
      <c r="P805" s="30"/>
      <c r="Q805" s="30"/>
      <c r="R805" s="30"/>
      <c r="S805" s="30"/>
      <c r="T805" s="30"/>
      <c r="U805" s="30"/>
      <c r="V805" s="31"/>
      <c r="W805" s="29"/>
      <c r="X805" s="29"/>
      <c r="Y805" s="29"/>
      <c r="Z805" s="29"/>
      <c r="AA805" s="30"/>
      <c r="AB805" s="30"/>
      <c r="AC805" s="30"/>
      <c r="AD805" s="30"/>
      <c r="AE805" s="30"/>
      <c r="AF805" s="32"/>
      <c r="AG805" s="33"/>
      <c r="AH805" s="33"/>
      <c r="AI805" s="29"/>
      <c r="AJ805" s="32"/>
      <c r="AK805" s="32"/>
      <c r="AL805" s="29"/>
      <c r="AN805" s="34" t="str">
        <f aca="false">IF($B805="","",IF(OR(C805="",D805="",E805="",G805="",I805="",J805="",L805="",O805="",P805=""),"Champ obligatoire manquant",IF(OR(AND(N805&lt;&gt;"",N805&gt;O805),O805&gt;P805,AND(Q805&lt;&gt;"",Q805&lt;P805),AND(R805&lt;&gt;"",R805&lt;P805),AND(S805&lt;&gt;"",S805&lt;R805),AND(S805&lt;&gt;"",R805=""),AND(T805&lt;&gt;"",T805&lt;O805),AND(U805&lt;&gt;"",U805&lt;O805)),"Chronologie incohérente",IF(AND(OR(L805="Résolu",L805="Clos"),R805=""),"Date de résolution manquante",IF(AND(L805="Clos",S805=""),"Date de clôture manquante",IF(AND(K805="Oui",AC805=""),"Classification DORA manquante","OK"))))))</f>
        <v/>
      </c>
      <c r="AO805" s="35" t="str">
        <f aca="false">IF($B805="","",IF(AND(C805="Incident",L805&lt;&gt;"Annulé"),1,0))</f>
        <v/>
      </c>
      <c r="AP805" s="35" t="str">
        <f aca="false">IF($B805="","",IF(AND(C805="Quasi-incident",L805&lt;&gt;"Annulé"),1,0))</f>
        <v/>
      </c>
      <c r="AQ805" s="35" t="str">
        <f aca="false">IF($B805="","",AO805+AP805)</f>
        <v/>
      </c>
      <c r="AR805" s="36" t="str">
        <f aca="false">IF(OR($B805="",J805=""),"",IFERROR(VALUE(LEFT(J805,1)),""))</f>
        <v/>
      </c>
      <c r="AS805" s="35" t="str">
        <f aca="false">IF(OR(AO805&lt;&gt;1,G805=""),"",IFERROR(IF(INDEX(L_SrcInterne,MATCH(G805,L_Sources,0))="Oui",1,0),""))</f>
        <v/>
      </c>
      <c r="AT805" s="37" t="str">
        <f aca="false">IF(AO805&lt;&gt;1,"",IFERROR(ROUND(IF(OR(N805="",O805=""),"",IF(O805&lt;N805,"",ROUND(((NETWORKDAYS(N805,O805,JoursFeries)-1)*(HFer-HOuv)+IF(NETWORKDAYS(O805,O805,JoursFeries),MEDIAN(MOD(O805,1),HFer,HOuv),HFer)-IF(NETWORKDAYS(N805,N805,JoursFeries),MEDIAN(MOD(N805,1),HFer,HOuv),HOuv))*24,4)))/HJour,4),""))</f>
        <v/>
      </c>
      <c r="AU805" s="37" t="str">
        <f aca="false">IF(AO805&lt;&gt;1,"",IF(OR(O805="",P805=""),"",IF(P805&lt;O805,"",ROUND(((NETWORKDAYS(O805,P805,JoursFeries)-1)*(HFer-HOuv)+IF(NETWORKDAYS(P805,P805,JoursFeries),MEDIAN(MOD(P805,1),HFer,HOuv),HFer)-IF(NETWORKDAYS(O805,O805,JoursFeries),MEDIAN(MOD(O805,1),HFer,HOuv),HOuv))*24,4))))</f>
        <v/>
      </c>
      <c r="AV805" s="37" t="str">
        <f aca="false">IF(AO805&lt;&gt;1,"",IF(OR(P805="",Q805=""),"",IF(Q805&lt;P805,"",ROUND(((NETWORKDAYS(P805,Q805,JoursFeries)-1)*(HFer-HOuv)+IF(NETWORKDAYS(Q805,Q805,JoursFeries),MEDIAN(MOD(Q805,1),HFer,HOuv),HFer)-IF(NETWORKDAYS(P805,P805,JoursFeries),MEDIAN(MOD(P805,1),HFer,HOuv),HOuv))*24,4))))</f>
        <v/>
      </c>
      <c r="AW805" s="37" t="str">
        <f aca="false">IF(AO805&lt;&gt;1,"",IFERROR(ROUND(IF(OR(P805="",R805=""),"",IF(R805&lt;P805,"",ROUND(((NETWORKDAYS(P805,R805,JoursFeries)-1)*(HFer-HOuv)+IF(NETWORKDAYS(R805,R805,JoursFeries),MEDIAN(MOD(R805,1),HFer,HOuv),HFer)-IF(NETWORKDAYS(P805,P805,JoursFeries),MEDIAN(MOD(P805,1),HFer,HOuv),HOuv))*24,4)))/HJour,4),""))</f>
        <v/>
      </c>
      <c r="AX805" s="37" t="str">
        <f aca="false">IF(AO805&lt;&gt;1,"",IFERROR(ROUND(IF(OR(P805="",S805=""),"",IF(S805&lt;P805,"",ROUND(((NETWORKDAYS(P805,S805,JoursFeries)-1)*(HFer-HOuv)+IF(NETWORKDAYS(S805,S805,JoursFeries),MEDIAN(MOD(S805,1),HFer,HOuv),HFer)-IF(NETWORKDAYS(P805,P805,JoursFeries),MEDIAN(MOD(P805,1),HFer,HOuv),HOuv))*24,4)))/HJour,4),""))</f>
        <v/>
      </c>
      <c r="AY805" s="36" t="str">
        <f aca="false">IF(OR(AO805&lt;&gt;1,AR805=""),"",INDEX(SLA_PEC,AR805))</f>
        <v/>
      </c>
      <c r="AZ805" s="35" t="str">
        <f aca="false">IF(OR(AV805="",AY805=""),"",IF(AV805&lt;=AY805,1,0))</f>
        <v/>
      </c>
      <c r="BA805" s="36" t="str">
        <f aca="false">IF(OR(AO805&lt;&gt;1,AR805=""),"",INDEX(SLA_RES,AR805))</f>
        <v/>
      </c>
      <c r="BB805" s="35" t="str">
        <f aca="false">IF(OR(AW805="",BA805=""),"",IF(AW805&lt;=BA805,1,0))</f>
        <v/>
      </c>
      <c r="BC805" s="38" t="str">
        <f aca="false">IF(OR(BA805="",P805=""),"",WORKDAY(INT(P805),BA805,JoursFeries)+MOD(P805,1))</f>
        <v/>
      </c>
      <c r="BD805" s="39" t="str">
        <f aca="false">IF(AO805&lt;&gt;1,"",IF(OR(AB805&lt;&gt;"",AD805&lt;&gt;""),4,IF(U805&lt;&gt;"",3,IF(T805&lt;&gt;"",2,1))))</f>
        <v/>
      </c>
      <c r="BE805" s="39" t="str">
        <f aca="false">IF(OR(AO805&lt;&gt;1,AR805=""),"",INDEX(NIV_REQ,AR805))</f>
        <v/>
      </c>
      <c r="BF805" s="39" t="str">
        <f aca="false">IF(BE805="","",MAX(BE805,IF(OR(K805="Oui",Z805="Oui"),4,1)))</f>
        <v/>
      </c>
      <c r="BG805" s="35" t="str">
        <f aca="false">IF(OR(BF805="",BD805=""),"",IF(BD805&gt;=BF805,1,0))</f>
        <v/>
      </c>
      <c r="BH805" s="38" t="str">
        <f aca="false">IF(BE805="","",IF(BE805&lt;2,"",IF(BE805=2,IF(AND(T805="",U805=""),"",MIN(T805,U805)),IF(U805="","",U805))))</f>
        <v/>
      </c>
      <c r="BI805" s="37" t="str">
        <f aca="false">IF(BH805="","",IF(OR(O805="",BH805=""),"",IF(BH805&lt;O805,"",ROUND(((NETWORKDAYS(O805,BH805,JoursFeries)-1)*(HFer-HOuv)+IF(NETWORKDAYS(BH805,BH805,JoursFeries),MEDIAN(MOD(BH805,1),HFer,HOuv),HFer)-IF(NETWORKDAYS(O805,O805,JoursFeries),MEDIAN(MOD(O805,1),HFer,HOuv),HOuv))*24,4))))</f>
        <v/>
      </c>
      <c r="BJ805" s="35" t="str">
        <f aca="false">IF(OR(BI805="",AR805=""),"",IF(BI805&lt;=INDEX(DELAI_ESC,AR805),1,0))</f>
        <v/>
      </c>
      <c r="BK805" s="38" t="str">
        <f aca="false">IF(AO805&lt;&gt;1,"",IF(AND(T805="",U805=""),"",MIN(T805,U805)))</f>
        <v/>
      </c>
      <c r="BL805" s="37" t="str">
        <f aca="false">IF(OR(BK805="",R805=""),"",IFERROR(ROUND(IF(OR(BK805="",R805=""),"",IF(R805&lt;BK805,"",ROUND(((NETWORKDAYS(BK805,R805,JoursFeries)-1)*(HFer-HOuv)+IF(NETWORKDAYS(R805,R805,JoursFeries),MEDIAN(MOD(R805,1),HFer,HOuv),HFer)-IF(NETWORKDAYS(BK805,BK805,JoursFeries),MEDIAN(MOD(BK805,1),HFer,HOuv),HOuv))*24,4)))/HJour,4),""))</f>
        <v/>
      </c>
      <c r="BM805" s="35" t="str">
        <f aca="false">IF(OR(AO805&lt;&gt;1,R805=""),"",IF(BD805=1,1,0))</f>
        <v/>
      </c>
      <c r="BN805" s="35" t="str">
        <f aca="false">IF(AO805&lt;&gt;1,"",IF(W805="Oui",1,0))</f>
        <v/>
      </c>
      <c r="BO805" s="35" t="str">
        <f aca="false">IF(AO805&lt;&gt;1,"",IF(X805&lt;&gt;"",1,0))</f>
        <v/>
      </c>
      <c r="BP805" s="35" t="str">
        <f aca="false">IF(AO805&lt;&gt;1,"",IF(Y805="Oui",1,0))</f>
        <v/>
      </c>
      <c r="BQ805" s="35" t="str">
        <f aca="true">IF(OR(AO805&lt;&gt;1,Z805&lt;&gt;"Oui"),"",IF(AB805="",IF(AND(AA805&lt;&gt;"",NOW()&gt;AA805),0,""),IF(AA805="","",IF(AB805&lt;=AA805,1,0))))</f>
        <v/>
      </c>
      <c r="BR805" s="38" t="str">
        <f aca="false">IF(OR(AO805&lt;&gt;1,K805&lt;&gt;"Oui",O805=""),"",IF(AC805="",O805+DORA_H_DET/24,IF(AC805-O805&lt;=DORA_H_DET/24,MIN(AC805+DORA_H_CLA/24,O805+DORA_H_DET/24),AC805+DORA_H_CLA/24)))</f>
        <v/>
      </c>
      <c r="BS805" s="35" t="str">
        <f aca="true">IF(BR805="","",IF(AD805="",IF(NOW()&gt;BR805,0,""),IF(AD805&lt;=BR805,1,0)))</f>
        <v/>
      </c>
      <c r="BT805" s="35" t="str">
        <f aca="true">IF(OR(BR805="",AD805=""),"",IF(AE805="",IF(NOW()&gt;AD805+DORA_H_INT/24,0,""),IF(AE805&lt;=AD805+DORA_H_INT/24,1,0)))</f>
        <v/>
      </c>
      <c r="BU805" s="35" t="str">
        <f aca="true">IF(OR(BR805="",AE805=""),"",IF(AF805="",IF(NOW()&gt;EDATE(AE805,DORA_M_FIN)+1,0,""),IF(AF805&lt;=EDATE(AE805,DORA_M_FIN),1,0)))</f>
        <v/>
      </c>
      <c r="BV805" s="35" t="str">
        <f aca="false">IF(BR805="","",IF(COUNT(BS805:BU805)=0,"",MIN(BS805:BU805)))</f>
        <v/>
      </c>
      <c r="BW805" s="40" t="str">
        <f aca="false">IF(AQ805&lt;&gt;1,"",IF(AND(AG805="",AH805=""),"",N(AG805)-N(AH805)))</f>
        <v/>
      </c>
      <c r="BX805" s="35" t="str">
        <f aca="true">IF(OR(AQ805&lt;&gt;1,AI805&lt;&gt;"Oui",AJ805=""),"",IF(AK805="",IF(NOW()&gt;AJ805+1,0,""),IF(AK805&lt;=AJ805,1,0)))</f>
        <v/>
      </c>
    </row>
    <row r="806" customFormat="false" ht="15" hidden="false" customHeight="false" outlineLevel="0" collapsed="false">
      <c r="B806" s="29"/>
      <c r="C806" s="29"/>
      <c r="D806" s="29"/>
      <c r="E806" s="29"/>
      <c r="F806" s="29"/>
      <c r="G806" s="29"/>
      <c r="H806" s="29"/>
      <c r="I806" s="29"/>
      <c r="J806" s="29"/>
      <c r="K806" s="29"/>
      <c r="L806" s="29"/>
      <c r="M806" s="29"/>
      <c r="N806" s="30"/>
      <c r="O806" s="30"/>
      <c r="P806" s="30"/>
      <c r="Q806" s="30"/>
      <c r="R806" s="30"/>
      <c r="S806" s="30"/>
      <c r="T806" s="30"/>
      <c r="U806" s="30"/>
      <c r="V806" s="31"/>
      <c r="W806" s="29"/>
      <c r="X806" s="29"/>
      <c r="Y806" s="29"/>
      <c r="Z806" s="29"/>
      <c r="AA806" s="30"/>
      <c r="AB806" s="30"/>
      <c r="AC806" s="30"/>
      <c r="AD806" s="30"/>
      <c r="AE806" s="30"/>
      <c r="AF806" s="32"/>
      <c r="AG806" s="33"/>
      <c r="AH806" s="33"/>
      <c r="AI806" s="29"/>
      <c r="AJ806" s="32"/>
      <c r="AK806" s="32"/>
      <c r="AL806" s="29"/>
      <c r="AN806" s="34" t="str">
        <f aca="false">IF($B806="","",IF(OR(C806="",D806="",E806="",G806="",I806="",J806="",L806="",O806="",P806=""),"Champ obligatoire manquant",IF(OR(AND(N806&lt;&gt;"",N806&gt;O806),O806&gt;P806,AND(Q806&lt;&gt;"",Q806&lt;P806),AND(R806&lt;&gt;"",R806&lt;P806),AND(S806&lt;&gt;"",S806&lt;R806),AND(S806&lt;&gt;"",R806=""),AND(T806&lt;&gt;"",T806&lt;O806),AND(U806&lt;&gt;"",U806&lt;O806)),"Chronologie incohérente",IF(AND(OR(L806="Résolu",L806="Clos"),R806=""),"Date de résolution manquante",IF(AND(L806="Clos",S806=""),"Date de clôture manquante",IF(AND(K806="Oui",AC806=""),"Classification DORA manquante","OK"))))))</f>
        <v/>
      </c>
      <c r="AO806" s="35" t="str">
        <f aca="false">IF($B806="","",IF(AND(C806="Incident",L806&lt;&gt;"Annulé"),1,0))</f>
        <v/>
      </c>
      <c r="AP806" s="35" t="str">
        <f aca="false">IF($B806="","",IF(AND(C806="Quasi-incident",L806&lt;&gt;"Annulé"),1,0))</f>
        <v/>
      </c>
      <c r="AQ806" s="35" t="str">
        <f aca="false">IF($B806="","",AO806+AP806)</f>
        <v/>
      </c>
      <c r="AR806" s="36" t="str">
        <f aca="false">IF(OR($B806="",J806=""),"",IFERROR(VALUE(LEFT(J806,1)),""))</f>
        <v/>
      </c>
      <c r="AS806" s="35" t="str">
        <f aca="false">IF(OR(AO806&lt;&gt;1,G806=""),"",IFERROR(IF(INDEX(L_SrcInterne,MATCH(G806,L_Sources,0))="Oui",1,0),""))</f>
        <v/>
      </c>
      <c r="AT806" s="37" t="str">
        <f aca="false">IF(AO806&lt;&gt;1,"",IFERROR(ROUND(IF(OR(N806="",O806=""),"",IF(O806&lt;N806,"",ROUND(((NETWORKDAYS(N806,O806,JoursFeries)-1)*(HFer-HOuv)+IF(NETWORKDAYS(O806,O806,JoursFeries),MEDIAN(MOD(O806,1),HFer,HOuv),HFer)-IF(NETWORKDAYS(N806,N806,JoursFeries),MEDIAN(MOD(N806,1),HFer,HOuv),HOuv))*24,4)))/HJour,4),""))</f>
        <v/>
      </c>
      <c r="AU806" s="37" t="str">
        <f aca="false">IF(AO806&lt;&gt;1,"",IF(OR(O806="",P806=""),"",IF(P806&lt;O806,"",ROUND(((NETWORKDAYS(O806,P806,JoursFeries)-1)*(HFer-HOuv)+IF(NETWORKDAYS(P806,P806,JoursFeries),MEDIAN(MOD(P806,1),HFer,HOuv),HFer)-IF(NETWORKDAYS(O806,O806,JoursFeries),MEDIAN(MOD(O806,1),HFer,HOuv),HOuv))*24,4))))</f>
        <v/>
      </c>
      <c r="AV806" s="37" t="str">
        <f aca="false">IF(AO806&lt;&gt;1,"",IF(OR(P806="",Q806=""),"",IF(Q806&lt;P806,"",ROUND(((NETWORKDAYS(P806,Q806,JoursFeries)-1)*(HFer-HOuv)+IF(NETWORKDAYS(Q806,Q806,JoursFeries),MEDIAN(MOD(Q806,1),HFer,HOuv),HFer)-IF(NETWORKDAYS(P806,P806,JoursFeries),MEDIAN(MOD(P806,1),HFer,HOuv),HOuv))*24,4))))</f>
        <v/>
      </c>
      <c r="AW806" s="37" t="str">
        <f aca="false">IF(AO806&lt;&gt;1,"",IFERROR(ROUND(IF(OR(P806="",R806=""),"",IF(R806&lt;P806,"",ROUND(((NETWORKDAYS(P806,R806,JoursFeries)-1)*(HFer-HOuv)+IF(NETWORKDAYS(R806,R806,JoursFeries),MEDIAN(MOD(R806,1),HFer,HOuv),HFer)-IF(NETWORKDAYS(P806,P806,JoursFeries),MEDIAN(MOD(P806,1),HFer,HOuv),HOuv))*24,4)))/HJour,4),""))</f>
        <v/>
      </c>
      <c r="AX806" s="37" t="str">
        <f aca="false">IF(AO806&lt;&gt;1,"",IFERROR(ROUND(IF(OR(P806="",S806=""),"",IF(S806&lt;P806,"",ROUND(((NETWORKDAYS(P806,S806,JoursFeries)-1)*(HFer-HOuv)+IF(NETWORKDAYS(S806,S806,JoursFeries),MEDIAN(MOD(S806,1),HFer,HOuv),HFer)-IF(NETWORKDAYS(P806,P806,JoursFeries),MEDIAN(MOD(P806,1),HFer,HOuv),HOuv))*24,4)))/HJour,4),""))</f>
        <v/>
      </c>
      <c r="AY806" s="36" t="str">
        <f aca="false">IF(OR(AO806&lt;&gt;1,AR806=""),"",INDEX(SLA_PEC,AR806))</f>
        <v/>
      </c>
      <c r="AZ806" s="35" t="str">
        <f aca="false">IF(OR(AV806="",AY806=""),"",IF(AV806&lt;=AY806,1,0))</f>
        <v/>
      </c>
      <c r="BA806" s="36" t="str">
        <f aca="false">IF(OR(AO806&lt;&gt;1,AR806=""),"",INDEX(SLA_RES,AR806))</f>
        <v/>
      </c>
      <c r="BB806" s="35" t="str">
        <f aca="false">IF(OR(AW806="",BA806=""),"",IF(AW806&lt;=BA806,1,0))</f>
        <v/>
      </c>
      <c r="BC806" s="38" t="str">
        <f aca="false">IF(OR(BA806="",P806=""),"",WORKDAY(INT(P806),BA806,JoursFeries)+MOD(P806,1))</f>
        <v/>
      </c>
      <c r="BD806" s="39" t="str">
        <f aca="false">IF(AO806&lt;&gt;1,"",IF(OR(AB806&lt;&gt;"",AD806&lt;&gt;""),4,IF(U806&lt;&gt;"",3,IF(T806&lt;&gt;"",2,1))))</f>
        <v/>
      </c>
      <c r="BE806" s="39" t="str">
        <f aca="false">IF(OR(AO806&lt;&gt;1,AR806=""),"",INDEX(NIV_REQ,AR806))</f>
        <v/>
      </c>
      <c r="BF806" s="39" t="str">
        <f aca="false">IF(BE806="","",MAX(BE806,IF(OR(K806="Oui",Z806="Oui"),4,1)))</f>
        <v/>
      </c>
      <c r="BG806" s="35" t="str">
        <f aca="false">IF(OR(BF806="",BD806=""),"",IF(BD806&gt;=BF806,1,0))</f>
        <v/>
      </c>
      <c r="BH806" s="38" t="str">
        <f aca="false">IF(BE806="","",IF(BE806&lt;2,"",IF(BE806=2,IF(AND(T806="",U806=""),"",MIN(T806,U806)),IF(U806="","",U806))))</f>
        <v/>
      </c>
      <c r="BI806" s="37" t="str">
        <f aca="false">IF(BH806="","",IF(OR(O806="",BH806=""),"",IF(BH806&lt;O806,"",ROUND(((NETWORKDAYS(O806,BH806,JoursFeries)-1)*(HFer-HOuv)+IF(NETWORKDAYS(BH806,BH806,JoursFeries),MEDIAN(MOD(BH806,1),HFer,HOuv),HFer)-IF(NETWORKDAYS(O806,O806,JoursFeries),MEDIAN(MOD(O806,1),HFer,HOuv),HOuv))*24,4))))</f>
        <v/>
      </c>
      <c r="BJ806" s="35" t="str">
        <f aca="false">IF(OR(BI806="",AR806=""),"",IF(BI806&lt;=INDEX(DELAI_ESC,AR806),1,0))</f>
        <v/>
      </c>
      <c r="BK806" s="38" t="str">
        <f aca="false">IF(AO806&lt;&gt;1,"",IF(AND(T806="",U806=""),"",MIN(T806,U806)))</f>
        <v/>
      </c>
      <c r="BL806" s="37" t="str">
        <f aca="false">IF(OR(BK806="",R806=""),"",IFERROR(ROUND(IF(OR(BK806="",R806=""),"",IF(R806&lt;BK806,"",ROUND(((NETWORKDAYS(BK806,R806,JoursFeries)-1)*(HFer-HOuv)+IF(NETWORKDAYS(R806,R806,JoursFeries),MEDIAN(MOD(R806,1),HFer,HOuv),HFer)-IF(NETWORKDAYS(BK806,BK806,JoursFeries),MEDIAN(MOD(BK806,1),HFer,HOuv),HOuv))*24,4)))/HJour,4),""))</f>
        <v/>
      </c>
      <c r="BM806" s="35" t="str">
        <f aca="false">IF(OR(AO806&lt;&gt;1,R806=""),"",IF(BD806=1,1,0))</f>
        <v/>
      </c>
      <c r="BN806" s="35" t="str">
        <f aca="false">IF(AO806&lt;&gt;1,"",IF(W806="Oui",1,0))</f>
        <v/>
      </c>
      <c r="BO806" s="35" t="str">
        <f aca="false">IF(AO806&lt;&gt;1,"",IF(X806&lt;&gt;"",1,0))</f>
        <v/>
      </c>
      <c r="BP806" s="35" t="str">
        <f aca="false">IF(AO806&lt;&gt;1,"",IF(Y806="Oui",1,0))</f>
        <v/>
      </c>
      <c r="BQ806" s="35" t="str">
        <f aca="true">IF(OR(AO806&lt;&gt;1,Z806&lt;&gt;"Oui"),"",IF(AB806="",IF(AND(AA806&lt;&gt;"",NOW()&gt;AA806),0,""),IF(AA806="","",IF(AB806&lt;=AA806,1,0))))</f>
        <v/>
      </c>
      <c r="BR806" s="38" t="str">
        <f aca="false">IF(OR(AO806&lt;&gt;1,K806&lt;&gt;"Oui",O806=""),"",IF(AC806="",O806+DORA_H_DET/24,IF(AC806-O806&lt;=DORA_H_DET/24,MIN(AC806+DORA_H_CLA/24,O806+DORA_H_DET/24),AC806+DORA_H_CLA/24)))</f>
        <v/>
      </c>
      <c r="BS806" s="35" t="str">
        <f aca="true">IF(BR806="","",IF(AD806="",IF(NOW()&gt;BR806,0,""),IF(AD806&lt;=BR806,1,0)))</f>
        <v/>
      </c>
      <c r="BT806" s="35" t="str">
        <f aca="true">IF(OR(BR806="",AD806=""),"",IF(AE806="",IF(NOW()&gt;AD806+DORA_H_INT/24,0,""),IF(AE806&lt;=AD806+DORA_H_INT/24,1,0)))</f>
        <v/>
      </c>
      <c r="BU806" s="35" t="str">
        <f aca="true">IF(OR(BR806="",AE806=""),"",IF(AF806="",IF(NOW()&gt;EDATE(AE806,DORA_M_FIN)+1,0,""),IF(AF806&lt;=EDATE(AE806,DORA_M_FIN),1,0)))</f>
        <v/>
      </c>
      <c r="BV806" s="35" t="str">
        <f aca="false">IF(BR806="","",IF(COUNT(BS806:BU806)=0,"",MIN(BS806:BU806)))</f>
        <v/>
      </c>
      <c r="BW806" s="40" t="str">
        <f aca="false">IF(AQ806&lt;&gt;1,"",IF(AND(AG806="",AH806=""),"",N(AG806)-N(AH806)))</f>
        <v/>
      </c>
      <c r="BX806" s="35" t="str">
        <f aca="true">IF(OR(AQ806&lt;&gt;1,AI806&lt;&gt;"Oui",AJ806=""),"",IF(AK806="",IF(NOW()&gt;AJ806+1,0,""),IF(AK806&lt;=AJ806,1,0)))</f>
        <v/>
      </c>
    </row>
    <row r="807" customFormat="false" ht="15" hidden="false" customHeight="false" outlineLevel="0" collapsed="false">
      <c r="B807" s="29"/>
      <c r="C807" s="29"/>
      <c r="D807" s="29"/>
      <c r="E807" s="29"/>
      <c r="F807" s="29"/>
      <c r="G807" s="29"/>
      <c r="H807" s="29"/>
      <c r="I807" s="29"/>
      <c r="J807" s="29"/>
      <c r="K807" s="29"/>
      <c r="L807" s="29"/>
      <c r="M807" s="29"/>
      <c r="N807" s="30"/>
      <c r="O807" s="30"/>
      <c r="P807" s="30"/>
      <c r="Q807" s="30"/>
      <c r="R807" s="30"/>
      <c r="S807" s="30"/>
      <c r="T807" s="30"/>
      <c r="U807" s="30"/>
      <c r="V807" s="31"/>
      <c r="W807" s="29"/>
      <c r="X807" s="29"/>
      <c r="Y807" s="29"/>
      <c r="Z807" s="29"/>
      <c r="AA807" s="30"/>
      <c r="AB807" s="30"/>
      <c r="AC807" s="30"/>
      <c r="AD807" s="30"/>
      <c r="AE807" s="30"/>
      <c r="AF807" s="32"/>
      <c r="AG807" s="33"/>
      <c r="AH807" s="33"/>
      <c r="AI807" s="29"/>
      <c r="AJ807" s="32"/>
      <c r="AK807" s="32"/>
      <c r="AL807" s="29"/>
      <c r="AN807" s="34" t="str">
        <f aca="false">IF($B807="","",IF(OR(C807="",D807="",E807="",G807="",I807="",J807="",L807="",O807="",P807=""),"Champ obligatoire manquant",IF(OR(AND(N807&lt;&gt;"",N807&gt;O807),O807&gt;P807,AND(Q807&lt;&gt;"",Q807&lt;P807),AND(R807&lt;&gt;"",R807&lt;P807),AND(S807&lt;&gt;"",S807&lt;R807),AND(S807&lt;&gt;"",R807=""),AND(T807&lt;&gt;"",T807&lt;O807),AND(U807&lt;&gt;"",U807&lt;O807)),"Chronologie incohérente",IF(AND(OR(L807="Résolu",L807="Clos"),R807=""),"Date de résolution manquante",IF(AND(L807="Clos",S807=""),"Date de clôture manquante",IF(AND(K807="Oui",AC807=""),"Classification DORA manquante","OK"))))))</f>
        <v/>
      </c>
      <c r="AO807" s="35" t="str">
        <f aca="false">IF($B807="","",IF(AND(C807="Incident",L807&lt;&gt;"Annulé"),1,0))</f>
        <v/>
      </c>
      <c r="AP807" s="35" t="str">
        <f aca="false">IF($B807="","",IF(AND(C807="Quasi-incident",L807&lt;&gt;"Annulé"),1,0))</f>
        <v/>
      </c>
      <c r="AQ807" s="35" t="str">
        <f aca="false">IF($B807="","",AO807+AP807)</f>
        <v/>
      </c>
      <c r="AR807" s="36" t="str">
        <f aca="false">IF(OR($B807="",J807=""),"",IFERROR(VALUE(LEFT(J807,1)),""))</f>
        <v/>
      </c>
      <c r="AS807" s="35" t="str">
        <f aca="false">IF(OR(AO807&lt;&gt;1,G807=""),"",IFERROR(IF(INDEX(L_SrcInterne,MATCH(G807,L_Sources,0))="Oui",1,0),""))</f>
        <v/>
      </c>
      <c r="AT807" s="37" t="str">
        <f aca="false">IF(AO807&lt;&gt;1,"",IFERROR(ROUND(IF(OR(N807="",O807=""),"",IF(O807&lt;N807,"",ROUND(((NETWORKDAYS(N807,O807,JoursFeries)-1)*(HFer-HOuv)+IF(NETWORKDAYS(O807,O807,JoursFeries),MEDIAN(MOD(O807,1),HFer,HOuv),HFer)-IF(NETWORKDAYS(N807,N807,JoursFeries),MEDIAN(MOD(N807,1),HFer,HOuv),HOuv))*24,4)))/HJour,4),""))</f>
        <v/>
      </c>
      <c r="AU807" s="37" t="str">
        <f aca="false">IF(AO807&lt;&gt;1,"",IF(OR(O807="",P807=""),"",IF(P807&lt;O807,"",ROUND(((NETWORKDAYS(O807,P807,JoursFeries)-1)*(HFer-HOuv)+IF(NETWORKDAYS(P807,P807,JoursFeries),MEDIAN(MOD(P807,1),HFer,HOuv),HFer)-IF(NETWORKDAYS(O807,O807,JoursFeries),MEDIAN(MOD(O807,1),HFer,HOuv),HOuv))*24,4))))</f>
        <v/>
      </c>
      <c r="AV807" s="37" t="str">
        <f aca="false">IF(AO807&lt;&gt;1,"",IF(OR(P807="",Q807=""),"",IF(Q807&lt;P807,"",ROUND(((NETWORKDAYS(P807,Q807,JoursFeries)-1)*(HFer-HOuv)+IF(NETWORKDAYS(Q807,Q807,JoursFeries),MEDIAN(MOD(Q807,1),HFer,HOuv),HFer)-IF(NETWORKDAYS(P807,P807,JoursFeries),MEDIAN(MOD(P807,1),HFer,HOuv),HOuv))*24,4))))</f>
        <v/>
      </c>
      <c r="AW807" s="37" t="str">
        <f aca="false">IF(AO807&lt;&gt;1,"",IFERROR(ROUND(IF(OR(P807="",R807=""),"",IF(R807&lt;P807,"",ROUND(((NETWORKDAYS(P807,R807,JoursFeries)-1)*(HFer-HOuv)+IF(NETWORKDAYS(R807,R807,JoursFeries),MEDIAN(MOD(R807,1),HFer,HOuv),HFer)-IF(NETWORKDAYS(P807,P807,JoursFeries),MEDIAN(MOD(P807,1),HFer,HOuv),HOuv))*24,4)))/HJour,4),""))</f>
        <v/>
      </c>
      <c r="AX807" s="37" t="str">
        <f aca="false">IF(AO807&lt;&gt;1,"",IFERROR(ROUND(IF(OR(P807="",S807=""),"",IF(S807&lt;P807,"",ROUND(((NETWORKDAYS(P807,S807,JoursFeries)-1)*(HFer-HOuv)+IF(NETWORKDAYS(S807,S807,JoursFeries),MEDIAN(MOD(S807,1),HFer,HOuv),HFer)-IF(NETWORKDAYS(P807,P807,JoursFeries),MEDIAN(MOD(P807,1),HFer,HOuv),HOuv))*24,4)))/HJour,4),""))</f>
        <v/>
      </c>
      <c r="AY807" s="36" t="str">
        <f aca="false">IF(OR(AO807&lt;&gt;1,AR807=""),"",INDEX(SLA_PEC,AR807))</f>
        <v/>
      </c>
      <c r="AZ807" s="35" t="str">
        <f aca="false">IF(OR(AV807="",AY807=""),"",IF(AV807&lt;=AY807,1,0))</f>
        <v/>
      </c>
      <c r="BA807" s="36" t="str">
        <f aca="false">IF(OR(AO807&lt;&gt;1,AR807=""),"",INDEX(SLA_RES,AR807))</f>
        <v/>
      </c>
      <c r="BB807" s="35" t="str">
        <f aca="false">IF(OR(AW807="",BA807=""),"",IF(AW807&lt;=BA807,1,0))</f>
        <v/>
      </c>
      <c r="BC807" s="38" t="str">
        <f aca="false">IF(OR(BA807="",P807=""),"",WORKDAY(INT(P807),BA807,JoursFeries)+MOD(P807,1))</f>
        <v/>
      </c>
      <c r="BD807" s="39" t="str">
        <f aca="false">IF(AO807&lt;&gt;1,"",IF(OR(AB807&lt;&gt;"",AD807&lt;&gt;""),4,IF(U807&lt;&gt;"",3,IF(T807&lt;&gt;"",2,1))))</f>
        <v/>
      </c>
      <c r="BE807" s="39" t="str">
        <f aca="false">IF(OR(AO807&lt;&gt;1,AR807=""),"",INDEX(NIV_REQ,AR807))</f>
        <v/>
      </c>
      <c r="BF807" s="39" t="str">
        <f aca="false">IF(BE807="","",MAX(BE807,IF(OR(K807="Oui",Z807="Oui"),4,1)))</f>
        <v/>
      </c>
      <c r="BG807" s="35" t="str">
        <f aca="false">IF(OR(BF807="",BD807=""),"",IF(BD807&gt;=BF807,1,0))</f>
        <v/>
      </c>
      <c r="BH807" s="38" t="str">
        <f aca="false">IF(BE807="","",IF(BE807&lt;2,"",IF(BE807=2,IF(AND(T807="",U807=""),"",MIN(T807,U807)),IF(U807="","",U807))))</f>
        <v/>
      </c>
      <c r="BI807" s="37" t="str">
        <f aca="false">IF(BH807="","",IF(OR(O807="",BH807=""),"",IF(BH807&lt;O807,"",ROUND(((NETWORKDAYS(O807,BH807,JoursFeries)-1)*(HFer-HOuv)+IF(NETWORKDAYS(BH807,BH807,JoursFeries),MEDIAN(MOD(BH807,1),HFer,HOuv),HFer)-IF(NETWORKDAYS(O807,O807,JoursFeries),MEDIAN(MOD(O807,1),HFer,HOuv),HOuv))*24,4))))</f>
        <v/>
      </c>
      <c r="BJ807" s="35" t="str">
        <f aca="false">IF(OR(BI807="",AR807=""),"",IF(BI807&lt;=INDEX(DELAI_ESC,AR807),1,0))</f>
        <v/>
      </c>
      <c r="BK807" s="38" t="str">
        <f aca="false">IF(AO807&lt;&gt;1,"",IF(AND(T807="",U807=""),"",MIN(T807,U807)))</f>
        <v/>
      </c>
      <c r="BL807" s="37" t="str">
        <f aca="false">IF(OR(BK807="",R807=""),"",IFERROR(ROUND(IF(OR(BK807="",R807=""),"",IF(R807&lt;BK807,"",ROUND(((NETWORKDAYS(BK807,R807,JoursFeries)-1)*(HFer-HOuv)+IF(NETWORKDAYS(R807,R807,JoursFeries),MEDIAN(MOD(R807,1),HFer,HOuv),HFer)-IF(NETWORKDAYS(BK807,BK807,JoursFeries),MEDIAN(MOD(BK807,1),HFer,HOuv),HOuv))*24,4)))/HJour,4),""))</f>
        <v/>
      </c>
      <c r="BM807" s="35" t="str">
        <f aca="false">IF(OR(AO807&lt;&gt;1,R807=""),"",IF(BD807=1,1,0))</f>
        <v/>
      </c>
      <c r="BN807" s="35" t="str">
        <f aca="false">IF(AO807&lt;&gt;1,"",IF(W807="Oui",1,0))</f>
        <v/>
      </c>
      <c r="BO807" s="35" t="str">
        <f aca="false">IF(AO807&lt;&gt;1,"",IF(X807&lt;&gt;"",1,0))</f>
        <v/>
      </c>
      <c r="BP807" s="35" t="str">
        <f aca="false">IF(AO807&lt;&gt;1,"",IF(Y807="Oui",1,0))</f>
        <v/>
      </c>
      <c r="BQ807" s="35" t="str">
        <f aca="true">IF(OR(AO807&lt;&gt;1,Z807&lt;&gt;"Oui"),"",IF(AB807="",IF(AND(AA807&lt;&gt;"",NOW()&gt;AA807),0,""),IF(AA807="","",IF(AB807&lt;=AA807,1,0))))</f>
        <v/>
      </c>
      <c r="BR807" s="38" t="str">
        <f aca="false">IF(OR(AO807&lt;&gt;1,K807&lt;&gt;"Oui",O807=""),"",IF(AC807="",O807+DORA_H_DET/24,IF(AC807-O807&lt;=DORA_H_DET/24,MIN(AC807+DORA_H_CLA/24,O807+DORA_H_DET/24),AC807+DORA_H_CLA/24)))</f>
        <v/>
      </c>
      <c r="BS807" s="35" t="str">
        <f aca="true">IF(BR807="","",IF(AD807="",IF(NOW()&gt;BR807,0,""),IF(AD807&lt;=BR807,1,0)))</f>
        <v/>
      </c>
      <c r="BT807" s="35" t="str">
        <f aca="true">IF(OR(BR807="",AD807=""),"",IF(AE807="",IF(NOW()&gt;AD807+DORA_H_INT/24,0,""),IF(AE807&lt;=AD807+DORA_H_INT/24,1,0)))</f>
        <v/>
      </c>
      <c r="BU807" s="35" t="str">
        <f aca="true">IF(OR(BR807="",AE807=""),"",IF(AF807="",IF(NOW()&gt;EDATE(AE807,DORA_M_FIN)+1,0,""),IF(AF807&lt;=EDATE(AE807,DORA_M_FIN),1,0)))</f>
        <v/>
      </c>
      <c r="BV807" s="35" t="str">
        <f aca="false">IF(BR807="","",IF(COUNT(BS807:BU807)=0,"",MIN(BS807:BU807)))</f>
        <v/>
      </c>
      <c r="BW807" s="40" t="str">
        <f aca="false">IF(AQ807&lt;&gt;1,"",IF(AND(AG807="",AH807=""),"",N(AG807)-N(AH807)))</f>
        <v/>
      </c>
      <c r="BX807" s="35" t="str">
        <f aca="true">IF(OR(AQ807&lt;&gt;1,AI807&lt;&gt;"Oui",AJ807=""),"",IF(AK807="",IF(NOW()&gt;AJ807+1,0,""),IF(AK807&lt;=AJ807,1,0)))</f>
        <v/>
      </c>
    </row>
    <row r="808" customFormat="false" ht="15" hidden="false" customHeight="false" outlineLevel="0" collapsed="false">
      <c r="B808" s="29"/>
      <c r="C808" s="29"/>
      <c r="D808" s="29"/>
      <c r="E808" s="29"/>
      <c r="F808" s="29"/>
      <c r="G808" s="29"/>
      <c r="H808" s="29"/>
      <c r="I808" s="29"/>
      <c r="J808" s="29"/>
      <c r="K808" s="29"/>
      <c r="L808" s="29"/>
      <c r="M808" s="29"/>
      <c r="N808" s="30"/>
      <c r="O808" s="30"/>
      <c r="P808" s="30"/>
      <c r="Q808" s="30"/>
      <c r="R808" s="30"/>
      <c r="S808" s="30"/>
      <c r="T808" s="30"/>
      <c r="U808" s="30"/>
      <c r="V808" s="31"/>
      <c r="W808" s="29"/>
      <c r="X808" s="29"/>
      <c r="Y808" s="29"/>
      <c r="Z808" s="29"/>
      <c r="AA808" s="30"/>
      <c r="AB808" s="30"/>
      <c r="AC808" s="30"/>
      <c r="AD808" s="30"/>
      <c r="AE808" s="30"/>
      <c r="AF808" s="32"/>
      <c r="AG808" s="33"/>
      <c r="AH808" s="33"/>
      <c r="AI808" s="29"/>
      <c r="AJ808" s="32"/>
      <c r="AK808" s="32"/>
      <c r="AL808" s="29"/>
      <c r="AN808" s="34" t="str">
        <f aca="false">IF($B808="","",IF(OR(C808="",D808="",E808="",G808="",I808="",J808="",L808="",O808="",P808=""),"Champ obligatoire manquant",IF(OR(AND(N808&lt;&gt;"",N808&gt;O808),O808&gt;P808,AND(Q808&lt;&gt;"",Q808&lt;P808),AND(R808&lt;&gt;"",R808&lt;P808),AND(S808&lt;&gt;"",S808&lt;R808),AND(S808&lt;&gt;"",R808=""),AND(T808&lt;&gt;"",T808&lt;O808),AND(U808&lt;&gt;"",U808&lt;O808)),"Chronologie incohérente",IF(AND(OR(L808="Résolu",L808="Clos"),R808=""),"Date de résolution manquante",IF(AND(L808="Clos",S808=""),"Date de clôture manquante",IF(AND(K808="Oui",AC808=""),"Classification DORA manquante","OK"))))))</f>
        <v/>
      </c>
      <c r="AO808" s="35" t="str">
        <f aca="false">IF($B808="","",IF(AND(C808="Incident",L808&lt;&gt;"Annulé"),1,0))</f>
        <v/>
      </c>
      <c r="AP808" s="35" t="str">
        <f aca="false">IF($B808="","",IF(AND(C808="Quasi-incident",L808&lt;&gt;"Annulé"),1,0))</f>
        <v/>
      </c>
      <c r="AQ808" s="35" t="str">
        <f aca="false">IF($B808="","",AO808+AP808)</f>
        <v/>
      </c>
      <c r="AR808" s="36" t="str">
        <f aca="false">IF(OR($B808="",J808=""),"",IFERROR(VALUE(LEFT(J808,1)),""))</f>
        <v/>
      </c>
      <c r="AS808" s="35" t="str">
        <f aca="false">IF(OR(AO808&lt;&gt;1,G808=""),"",IFERROR(IF(INDEX(L_SrcInterne,MATCH(G808,L_Sources,0))="Oui",1,0),""))</f>
        <v/>
      </c>
      <c r="AT808" s="37" t="str">
        <f aca="false">IF(AO808&lt;&gt;1,"",IFERROR(ROUND(IF(OR(N808="",O808=""),"",IF(O808&lt;N808,"",ROUND(((NETWORKDAYS(N808,O808,JoursFeries)-1)*(HFer-HOuv)+IF(NETWORKDAYS(O808,O808,JoursFeries),MEDIAN(MOD(O808,1),HFer,HOuv),HFer)-IF(NETWORKDAYS(N808,N808,JoursFeries),MEDIAN(MOD(N808,1),HFer,HOuv),HOuv))*24,4)))/HJour,4),""))</f>
        <v/>
      </c>
      <c r="AU808" s="37" t="str">
        <f aca="false">IF(AO808&lt;&gt;1,"",IF(OR(O808="",P808=""),"",IF(P808&lt;O808,"",ROUND(((NETWORKDAYS(O808,P808,JoursFeries)-1)*(HFer-HOuv)+IF(NETWORKDAYS(P808,P808,JoursFeries),MEDIAN(MOD(P808,1),HFer,HOuv),HFer)-IF(NETWORKDAYS(O808,O808,JoursFeries),MEDIAN(MOD(O808,1),HFer,HOuv),HOuv))*24,4))))</f>
        <v/>
      </c>
      <c r="AV808" s="37" t="str">
        <f aca="false">IF(AO808&lt;&gt;1,"",IF(OR(P808="",Q808=""),"",IF(Q808&lt;P808,"",ROUND(((NETWORKDAYS(P808,Q808,JoursFeries)-1)*(HFer-HOuv)+IF(NETWORKDAYS(Q808,Q808,JoursFeries),MEDIAN(MOD(Q808,1),HFer,HOuv),HFer)-IF(NETWORKDAYS(P808,P808,JoursFeries),MEDIAN(MOD(P808,1),HFer,HOuv),HOuv))*24,4))))</f>
        <v/>
      </c>
      <c r="AW808" s="37" t="str">
        <f aca="false">IF(AO808&lt;&gt;1,"",IFERROR(ROUND(IF(OR(P808="",R808=""),"",IF(R808&lt;P808,"",ROUND(((NETWORKDAYS(P808,R808,JoursFeries)-1)*(HFer-HOuv)+IF(NETWORKDAYS(R808,R808,JoursFeries),MEDIAN(MOD(R808,1),HFer,HOuv),HFer)-IF(NETWORKDAYS(P808,P808,JoursFeries),MEDIAN(MOD(P808,1),HFer,HOuv),HOuv))*24,4)))/HJour,4),""))</f>
        <v/>
      </c>
      <c r="AX808" s="37" t="str">
        <f aca="false">IF(AO808&lt;&gt;1,"",IFERROR(ROUND(IF(OR(P808="",S808=""),"",IF(S808&lt;P808,"",ROUND(((NETWORKDAYS(P808,S808,JoursFeries)-1)*(HFer-HOuv)+IF(NETWORKDAYS(S808,S808,JoursFeries),MEDIAN(MOD(S808,1),HFer,HOuv),HFer)-IF(NETWORKDAYS(P808,P808,JoursFeries),MEDIAN(MOD(P808,1),HFer,HOuv),HOuv))*24,4)))/HJour,4),""))</f>
        <v/>
      </c>
      <c r="AY808" s="36" t="str">
        <f aca="false">IF(OR(AO808&lt;&gt;1,AR808=""),"",INDEX(SLA_PEC,AR808))</f>
        <v/>
      </c>
      <c r="AZ808" s="35" t="str">
        <f aca="false">IF(OR(AV808="",AY808=""),"",IF(AV808&lt;=AY808,1,0))</f>
        <v/>
      </c>
      <c r="BA808" s="36" t="str">
        <f aca="false">IF(OR(AO808&lt;&gt;1,AR808=""),"",INDEX(SLA_RES,AR808))</f>
        <v/>
      </c>
      <c r="BB808" s="35" t="str">
        <f aca="false">IF(OR(AW808="",BA808=""),"",IF(AW808&lt;=BA808,1,0))</f>
        <v/>
      </c>
      <c r="BC808" s="38" t="str">
        <f aca="false">IF(OR(BA808="",P808=""),"",WORKDAY(INT(P808),BA808,JoursFeries)+MOD(P808,1))</f>
        <v/>
      </c>
      <c r="BD808" s="39" t="str">
        <f aca="false">IF(AO808&lt;&gt;1,"",IF(OR(AB808&lt;&gt;"",AD808&lt;&gt;""),4,IF(U808&lt;&gt;"",3,IF(T808&lt;&gt;"",2,1))))</f>
        <v/>
      </c>
      <c r="BE808" s="39" t="str">
        <f aca="false">IF(OR(AO808&lt;&gt;1,AR808=""),"",INDEX(NIV_REQ,AR808))</f>
        <v/>
      </c>
      <c r="BF808" s="39" t="str">
        <f aca="false">IF(BE808="","",MAX(BE808,IF(OR(K808="Oui",Z808="Oui"),4,1)))</f>
        <v/>
      </c>
      <c r="BG808" s="35" t="str">
        <f aca="false">IF(OR(BF808="",BD808=""),"",IF(BD808&gt;=BF808,1,0))</f>
        <v/>
      </c>
      <c r="BH808" s="38" t="str">
        <f aca="false">IF(BE808="","",IF(BE808&lt;2,"",IF(BE808=2,IF(AND(T808="",U808=""),"",MIN(T808,U808)),IF(U808="","",U808))))</f>
        <v/>
      </c>
      <c r="BI808" s="37" t="str">
        <f aca="false">IF(BH808="","",IF(OR(O808="",BH808=""),"",IF(BH808&lt;O808,"",ROUND(((NETWORKDAYS(O808,BH808,JoursFeries)-1)*(HFer-HOuv)+IF(NETWORKDAYS(BH808,BH808,JoursFeries),MEDIAN(MOD(BH808,1),HFer,HOuv),HFer)-IF(NETWORKDAYS(O808,O808,JoursFeries),MEDIAN(MOD(O808,1),HFer,HOuv),HOuv))*24,4))))</f>
        <v/>
      </c>
      <c r="BJ808" s="35" t="str">
        <f aca="false">IF(OR(BI808="",AR808=""),"",IF(BI808&lt;=INDEX(DELAI_ESC,AR808),1,0))</f>
        <v/>
      </c>
      <c r="BK808" s="38" t="str">
        <f aca="false">IF(AO808&lt;&gt;1,"",IF(AND(T808="",U808=""),"",MIN(T808,U808)))</f>
        <v/>
      </c>
      <c r="BL808" s="37" t="str">
        <f aca="false">IF(OR(BK808="",R808=""),"",IFERROR(ROUND(IF(OR(BK808="",R808=""),"",IF(R808&lt;BK808,"",ROUND(((NETWORKDAYS(BK808,R808,JoursFeries)-1)*(HFer-HOuv)+IF(NETWORKDAYS(R808,R808,JoursFeries),MEDIAN(MOD(R808,1),HFer,HOuv),HFer)-IF(NETWORKDAYS(BK808,BK808,JoursFeries),MEDIAN(MOD(BK808,1),HFer,HOuv),HOuv))*24,4)))/HJour,4),""))</f>
        <v/>
      </c>
      <c r="BM808" s="35" t="str">
        <f aca="false">IF(OR(AO808&lt;&gt;1,R808=""),"",IF(BD808=1,1,0))</f>
        <v/>
      </c>
      <c r="BN808" s="35" t="str">
        <f aca="false">IF(AO808&lt;&gt;1,"",IF(W808="Oui",1,0))</f>
        <v/>
      </c>
      <c r="BO808" s="35" t="str">
        <f aca="false">IF(AO808&lt;&gt;1,"",IF(X808&lt;&gt;"",1,0))</f>
        <v/>
      </c>
      <c r="BP808" s="35" t="str">
        <f aca="false">IF(AO808&lt;&gt;1,"",IF(Y808="Oui",1,0))</f>
        <v/>
      </c>
      <c r="BQ808" s="35" t="str">
        <f aca="true">IF(OR(AO808&lt;&gt;1,Z808&lt;&gt;"Oui"),"",IF(AB808="",IF(AND(AA808&lt;&gt;"",NOW()&gt;AA808),0,""),IF(AA808="","",IF(AB808&lt;=AA808,1,0))))</f>
        <v/>
      </c>
      <c r="BR808" s="38" t="str">
        <f aca="false">IF(OR(AO808&lt;&gt;1,K808&lt;&gt;"Oui",O808=""),"",IF(AC808="",O808+DORA_H_DET/24,IF(AC808-O808&lt;=DORA_H_DET/24,MIN(AC808+DORA_H_CLA/24,O808+DORA_H_DET/24),AC808+DORA_H_CLA/24)))</f>
        <v/>
      </c>
      <c r="BS808" s="35" t="str">
        <f aca="true">IF(BR808="","",IF(AD808="",IF(NOW()&gt;BR808,0,""),IF(AD808&lt;=BR808,1,0)))</f>
        <v/>
      </c>
      <c r="BT808" s="35" t="str">
        <f aca="true">IF(OR(BR808="",AD808=""),"",IF(AE808="",IF(NOW()&gt;AD808+DORA_H_INT/24,0,""),IF(AE808&lt;=AD808+DORA_H_INT/24,1,0)))</f>
        <v/>
      </c>
      <c r="BU808" s="35" t="str">
        <f aca="true">IF(OR(BR808="",AE808=""),"",IF(AF808="",IF(NOW()&gt;EDATE(AE808,DORA_M_FIN)+1,0,""),IF(AF808&lt;=EDATE(AE808,DORA_M_FIN),1,0)))</f>
        <v/>
      </c>
      <c r="BV808" s="35" t="str">
        <f aca="false">IF(BR808="","",IF(COUNT(BS808:BU808)=0,"",MIN(BS808:BU808)))</f>
        <v/>
      </c>
      <c r="BW808" s="40" t="str">
        <f aca="false">IF(AQ808&lt;&gt;1,"",IF(AND(AG808="",AH808=""),"",N(AG808)-N(AH808)))</f>
        <v/>
      </c>
      <c r="BX808" s="35" t="str">
        <f aca="true">IF(OR(AQ808&lt;&gt;1,AI808&lt;&gt;"Oui",AJ808=""),"",IF(AK808="",IF(NOW()&gt;AJ808+1,0,""),IF(AK808&lt;=AJ808,1,0)))</f>
        <v/>
      </c>
    </row>
    <row r="809" customFormat="false" ht="15" hidden="false" customHeight="false" outlineLevel="0" collapsed="false">
      <c r="B809" s="29"/>
      <c r="C809" s="29"/>
      <c r="D809" s="29"/>
      <c r="E809" s="29"/>
      <c r="F809" s="29"/>
      <c r="G809" s="29"/>
      <c r="H809" s="29"/>
      <c r="I809" s="29"/>
      <c r="J809" s="29"/>
      <c r="K809" s="29"/>
      <c r="L809" s="29"/>
      <c r="M809" s="29"/>
      <c r="N809" s="30"/>
      <c r="O809" s="30"/>
      <c r="P809" s="30"/>
      <c r="Q809" s="30"/>
      <c r="R809" s="30"/>
      <c r="S809" s="30"/>
      <c r="T809" s="30"/>
      <c r="U809" s="30"/>
      <c r="V809" s="31"/>
      <c r="W809" s="29"/>
      <c r="X809" s="29"/>
      <c r="Y809" s="29"/>
      <c r="Z809" s="29"/>
      <c r="AA809" s="30"/>
      <c r="AB809" s="30"/>
      <c r="AC809" s="30"/>
      <c r="AD809" s="30"/>
      <c r="AE809" s="30"/>
      <c r="AF809" s="32"/>
      <c r="AG809" s="33"/>
      <c r="AH809" s="33"/>
      <c r="AI809" s="29"/>
      <c r="AJ809" s="32"/>
      <c r="AK809" s="32"/>
      <c r="AL809" s="29"/>
      <c r="AN809" s="34" t="str">
        <f aca="false">IF($B809="","",IF(OR(C809="",D809="",E809="",G809="",I809="",J809="",L809="",O809="",P809=""),"Champ obligatoire manquant",IF(OR(AND(N809&lt;&gt;"",N809&gt;O809),O809&gt;P809,AND(Q809&lt;&gt;"",Q809&lt;P809),AND(R809&lt;&gt;"",R809&lt;P809),AND(S809&lt;&gt;"",S809&lt;R809),AND(S809&lt;&gt;"",R809=""),AND(T809&lt;&gt;"",T809&lt;O809),AND(U809&lt;&gt;"",U809&lt;O809)),"Chronologie incohérente",IF(AND(OR(L809="Résolu",L809="Clos"),R809=""),"Date de résolution manquante",IF(AND(L809="Clos",S809=""),"Date de clôture manquante",IF(AND(K809="Oui",AC809=""),"Classification DORA manquante","OK"))))))</f>
        <v/>
      </c>
      <c r="AO809" s="35" t="str">
        <f aca="false">IF($B809="","",IF(AND(C809="Incident",L809&lt;&gt;"Annulé"),1,0))</f>
        <v/>
      </c>
      <c r="AP809" s="35" t="str">
        <f aca="false">IF($B809="","",IF(AND(C809="Quasi-incident",L809&lt;&gt;"Annulé"),1,0))</f>
        <v/>
      </c>
      <c r="AQ809" s="35" t="str">
        <f aca="false">IF($B809="","",AO809+AP809)</f>
        <v/>
      </c>
      <c r="AR809" s="36" t="str">
        <f aca="false">IF(OR($B809="",J809=""),"",IFERROR(VALUE(LEFT(J809,1)),""))</f>
        <v/>
      </c>
      <c r="AS809" s="35" t="str">
        <f aca="false">IF(OR(AO809&lt;&gt;1,G809=""),"",IFERROR(IF(INDEX(L_SrcInterne,MATCH(G809,L_Sources,0))="Oui",1,0),""))</f>
        <v/>
      </c>
      <c r="AT809" s="37" t="str">
        <f aca="false">IF(AO809&lt;&gt;1,"",IFERROR(ROUND(IF(OR(N809="",O809=""),"",IF(O809&lt;N809,"",ROUND(((NETWORKDAYS(N809,O809,JoursFeries)-1)*(HFer-HOuv)+IF(NETWORKDAYS(O809,O809,JoursFeries),MEDIAN(MOD(O809,1),HFer,HOuv),HFer)-IF(NETWORKDAYS(N809,N809,JoursFeries),MEDIAN(MOD(N809,1),HFer,HOuv),HOuv))*24,4)))/HJour,4),""))</f>
        <v/>
      </c>
      <c r="AU809" s="37" t="str">
        <f aca="false">IF(AO809&lt;&gt;1,"",IF(OR(O809="",P809=""),"",IF(P809&lt;O809,"",ROUND(((NETWORKDAYS(O809,P809,JoursFeries)-1)*(HFer-HOuv)+IF(NETWORKDAYS(P809,P809,JoursFeries),MEDIAN(MOD(P809,1),HFer,HOuv),HFer)-IF(NETWORKDAYS(O809,O809,JoursFeries),MEDIAN(MOD(O809,1),HFer,HOuv),HOuv))*24,4))))</f>
        <v/>
      </c>
      <c r="AV809" s="37" t="str">
        <f aca="false">IF(AO809&lt;&gt;1,"",IF(OR(P809="",Q809=""),"",IF(Q809&lt;P809,"",ROUND(((NETWORKDAYS(P809,Q809,JoursFeries)-1)*(HFer-HOuv)+IF(NETWORKDAYS(Q809,Q809,JoursFeries),MEDIAN(MOD(Q809,1),HFer,HOuv),HFer)-IF(NETWORKDAYS(P809,P809,JoursFeries),MEDIAN(MOD(P809,1),HFer,HOuv),HOuv))*24,4))))</f>
        <v/>
      </c>
      <c r="AW809" s="37" t="str">
        <f aca="false">IF(AO809&lt;&gt;1,"",IFERROR(ROUND(IF(OR(P809="",R809=""),"",IF(R809&lt;P809,"",ROUND(((NETWORKDAYS(P809,R809,JoursFeries)-1)*(HFer-HOuv)+IF(NETWORKDAYS(R809,R809,JoursFeries),MEDIAN(MOD(R809,1),HFer,HOuv),HFer)-IF(NETWORKDAYS(P809,P809,JoursFeries),MEDIAN(MOD(P809,1),HFer,HOuv),HOuv))*24,4)))/HJour,4),""))</f>
        <v/>
      </c>
      <c r="AX809" s="37" t="str">
        <f aca="false">IF(AO809&lt;&gt;1,"",IFERROR(ROUND(IF(OR(P809="",S809=""),"",IF(S809&lt;P809,"",ROUND(((NETWORKDAYS(P809,S809,JoursFeries)-1)*(HFer-HOuv)+IF(NETWORKDAYS(S809,S809,JoursFeries),MEDIAN(MOD(S809,1),HFer,HOuv),HFer)-IF(NETWORKDAYS(P809,P809,JoursFeries),MEDIAN(MOD(P809,1),HFer,HOuv),HOuv))*24,4)))/HJour,4),""))</f>
        <v/>
      </c>
      <c r="AY809" s="36" t="str">
        <f aca="false">IF(OR(AO809&lt;&gt;1,AR809=""),"",INDEX(SLA_PEC,AR809))</f>
        <v/>
      </c>
      <c r="AZ809" s="35" t="str">
        <f aca="false">IF(OR(AV809="",AY809=""),"",IF(AV809&lt;=AY809,1,0))</f>
        <v/>
      </c>
      <c r="BA809" s="36" t="str">
        <f aca="false">IF(OR(AO809&lt;&gt;1,AR809=""),"",INDEX(SLA_RES,AR809))</f>
        <v/>
      </c>
      <c r="BB809" s="35" t="str">
        <f aca="false">IF(OR(AW809="",BA809=""),"",IF(AW809&lt;=BA809,1,0))</f>
        <v/>
      </c>
      <c r="BC809" s="38" t="str">
        <f aca="false">IF(OR(BA809="",P809=""),"",WORKDAY(INT(P809),BA809,JoursFeries)+MOD(P809,1))</f>
        <v/>
      </c>
      <c r="BD809" s="39" t="str">
        <f aca="false">IF(AO809&lt;&gt;1,"",IF(OR(AB809&lt;&gt;"",AD809&lt;&gt;""),4,IF(U809&lt;&gt;"",3,IF(T809&lt;&gt;"",2,1))))</f>
        <v/>
      </c>
      <c r="BE809" s="39" t="str">
        <f aca="false">IF(OR(AO809&lt;&gt;1,AR809=""),"",INDEX(NIV_REQ,AR809))</f>
        <v/>
      </c>
      <c r="BF809" s="39" t="str">
        <f aca="false">IF(BE809="","",MAX(BE809,IF(OR(K809="Oui",Z809="Oui"),4,1)))</f>
        <v/>
      </c>
      <c r="BG809" s="35" t="str">
        <f aca="false">IF(OR(BF809="",BD809=""),"",IF(BD809&gt;=BF809,1,0))</f>
        <v/>
      </c>
      <c r="BH809" s="38" t="str">
        <f aca="false">IF(BE809="","",IF(BE809&lt;2,"",IF(BE809=2,IF(AND(T809="",U809=""),"",MIN(T809,U809)),IF(U809="","",U809))))</f>
        <v/>
      </c>
      <c r="BI809" s="37" t="str">
        <f aca="false">IF(BH809="","",IF(OR(O809="",BH809=""),"",IF(BH809&lt;O809,"",ROUND(((NETWORKDAYS(O809,BH809,JoursFeries)-1)*(HFer-HOuv)+IF(NETWORKDAYS(BH809,BH809,JoursFeries),MEDIAN(MOD(BH809,1),HFer,HOuv),HFer)-IF(NETWORKDAYS(O809,O809,JoursFeries),MEDIAN(MOD(O809,1),HFer,HOuv),HOuv))*24,4))))</f>
        <v/>
      </c>
      <c r="BJ809" s="35" t="str">
        <f aca="false">IF(OR(BI809="",AR809=""),"",IF(BI809&lt;=INDEX(DELAI_ESC,AR809),1,0))</f>
        <v/>
      </c>
      <c r="BK809" s="38" t="str">
        <f aca="false">IF(AO809&lt;&gt;1,"",IF(AND(T809="",U809=""),"",MIN(T809,U809)))</f>
        <v/>
      </c>
      <c r="BL809" s="37" t="str">
        <f aca="false">IF(OR(BK809="",R809=""),"",IFERROR(ROUND(IF(OR(BK809="",R809=""),"",IF(R809&lt;BK809,"",ROUND(((NETWORKDAYS(BK809,R809,JoursFeries)-1)*(HFer-HOuv)+IF(NETWORKDAYS(R809,R809,JoursFeries),MEDIAN(MOD(R809,1),HFer,HOuv),HFer)-IF(NETWORKDAYS(BK809,BK809,JoursFeries),MEDIAN(MOD(BK809,1),HFer,HOuv),HOuv))*24,4)))/HJour,4),""))</f>
        <v/>
      </c>
      <c r="BM809" s="35" t="str">
        <f aca="false">IF(OR(AO809&lt;&gt;1,R809=""),"",IF(BD809=1,1,0))</f>
        <v/>
      </c>
      <c r="BN809" s="35" t="str">
        <f aca="false">IF(AO809&lt;&gt;1,"",IF(W809="Oui",1,0))</f>
        <v/>
      </c>
      <c r="BO809" s="35" t="str">
        <f aca="false">IF(AO809&lt;&gt;1,"",IF(X809&lt;&gt;"",1,0))</f>
        <v/>
      </c>
      <c r="BP809" s="35" t="str">
        <f aca="false">IF(AO809&lt;&gt;1,"",IF(Y809="Oui",1,0))</f>
        <v/>
      </c>
      <c r="BQ809" s="35" t="str">
        <f aca="true">IF(OR(AO809&lt;&gt;1,Z809&lt;&gt;"Oui"),"",IF(AB809="",IF(AND(AA809&lt;&gt;"",NOW()&gt;AA809),0,""),IF(AA809="","",IF(AB809&lt;=AA809,1,0))))</f>
        <v/>
      </c>
      <c r="BR809" s="38" t="str">
        <f aca="false">IF(OR(AO809&lt;&gt;1,K809&lt;&gt;"Oui",O809=""),"",IF(AC809="",O809+DORA_H_DET/24,IF(AC809-O809&lt;=DORA_H_DET/24,MIN(AC809+DORA_H_CLA/24,O809+DORA_H_DET/24),AC809+DORA_H_CLA/24)))</f>
        <v/>
      </c>
      <c r="BS809" s="35" t="str">
        <f aca="true">IF(BR809="","",IF(AD809="",IF(NOW()&gt;BR809,0,""),IF(AD809&lt;=BR809,1,0)))</f>
        <v/>
      </c>
      <c r="BT809" s="35" t="str">
        <f aca="true">IF(OR(BR809="",AD809=""),"",IF(AE809="",IF(NOW()&gt;AD809+DORA_H_INT/24,0,""),IF(AE809&lt;=AD809+DORA_H_INT/24,1,0)))</f>
        <v/>
      </c>
      <c r="BU809" s="35" t="str">
        <f aca="true">IF(OR(BR809="",AE809=""),"",IF(AF809="",IF(NOW()&gt;EDATE(AE809,DORA_M_FIN)+1,0,""),IF(AF809&lt;=EDATE(AE809,DORA_M_FIN),1,0)))</f>
        <v/>
      </c>
      <c r="BV809" s="35" t="str">
        <f aca="false">IF(BR809="","",IF(COUNT(BS809:BU809)=0,"",MIN(BS809:BU809)))</f>
        <v/>
      </c>
      <c r="BW809" s="40" t="str">
        <f aca="false">IF(AQ809&lt;&gt;1,"",IF(AND(AG809="",AH809=""),"",N(AG809)-N(AH809)))</f>
        <v/>
      </c>
      <c r="BX809" s="35" t="str">
        <f aca="true">IF(OR(AQ809&lt;&gt;1,AI809&lt;&gt;"Oui",AJ809=""),"",IF(AK809="",IF(NOW()&gt;AJ809+1,0,""),IF(AK809&lt;=AJ809,1,0)))</f>
        <v/>
      </c>
    </row>
    <row r="810" customFormat="false" ht="15" hidden="false" customHeight="false" outlineLevel="0" collapsed="false">
      <c r="B810" s="29"/>
      <c r="C810" s="29"/>
      <c r="D810" s="29"/>
      <c r="E810" s="29"/>
      <c r="F810" s="29"/>
      <c r="G810" s="29"/>
      <c r="H810" s="29"/>
      <c r="I810" s="29"/>
      <c r="J810" s="29"/>
      <c r="K810" s="29"/>
      <c r="L810" s="29"/>
      <c r="M810" s="29"/>
      <c r="N810" s="30"/>
      <c r="O810" s="30"/>
      <c r="P810" s="30"/>
      <c r="Q810" s="30"/>
      <c r="R810" s="30"/>
      <c r="S810" s="30"/>
      <c r="T810" s="30"/>
      <c r="U810" s="30"/>
      <c r="V810" s="31"/>
      <c r="W810" s="29"/>
      <c r="X810" s="29"/>
      <c r="Y810" s="29"/>
      <c r="Z810" s="29"/>
      <c r="AA810" s="30"/>
      <c r="AB810" s="30"/>
      <c r="AC810" s="30"/>
      <c r="AD810" s="30"/>
      <c r="AE810" s="30"/>
      <c r="AF810" s="32"/>
      <c r="AG810" s="33"/>
      <c r="AH810" s="33"/>
      <c r="AI810" s="29"/>
      <c r="AJ810" s="32"/>
      <c r="AK810" s="32"/>
      <c r="AL810" s="29"/>
      <c r="AN810" s="34" t="str">
        <f aca="false">IF($B810="","",IF(OR(C810="",D810="",E810="",G810="",I810="",J810="",L810="",O810="",P810=""),"Champ obligatoire manquant",IF(OR(AND(N810&lt;&gt;"",N810&gt;O810),O810&gt;P810,AND(Q810&lt;&gt;"",Q810&lt;P810),AND(R810&lt;&gt;"",R810&lt;P810),AND(S810&lt;&gt;"",S810&lt;R810),AND(S810&lt;&gt;"",R810=""),AND(T810&lt;&gt;"",T810&lt;O810),AND(U810&lt;&gt;"",U810&lt;O810)),"Chronologie incohérente",IF(AND(OR(L810="Résolu",L810="Clos"),R810=""),"Date de résolution manquante",IF(AND(L810="Clos",S810=""),"Date de clôture manquante",IF(AND(K810="Oui",AC810=""),"Classification DORA manquante","OK"))))))</f>
        <v/>
      </c>
      <c r="AO810" s="35" t="str">
        <f aca="false">IF($B810="","",IF(AND(C810="Incident",L810&lt;&gt;"Annulé"),1,0))</f>
        <v/>
      </c>
      <c r="AP810" s="35" t="str">
        <f aca="false">IF($B810="","",IF(AND(C810="Quasi-incident",L810&lt;&gt;"Annulé"),1,0))</f>
        <v/>
      </c>
      <c r="AQ810" s="35" t="str">
        <f aca="false">IF($B810="","",AO810+AP810)</f>
        <v/>
      </c>
      <c r="AR810" s="36" t="str">
        <f aca="false">IF(OR($B810="",J810=""),"",IFERROR(VALUE(LEFT(J810,1)),""))</f>
        <v/>
      </c>
      <c r="AS810" s="35" t="str">
        <f aca="false">IF(OR(AO810&lt;&gt;1,G810=""),"",IFERROR(IF(INDEX(L_SrcInterne,MATCH(G810,L_Sources,0))="Oui",1,0),""))</f>
        <v/>
      </c>
      <c r="AT810" s="37" t="str">
        <f aca="false">IF(AO810&lt;&gt;1,"",IFERROR(ROUND(IF(OR(N810="",O810=""),"",IF(O810&lt;N810,"",ROUND(((NETWORKDAYS(N810,O810,JoursFeries)-1)*(HFer-HOuv)+IF(NETWORKDAYS(O810,O810,JoursFeries),MEDIAN(MOD(O810,1),HFer,HOuv),HFer)-IF(NETWORKDAYS(N810,N810,JoursFeries),MEDIAN(MOD(N810,1),HFer,HOuv),HOuv))*24,4)))/HJour,4),""))</f>
        <v/>
      </c>
      <c r="AU810" s="37" t="str">
        <f aca="false">IF(AO810&lt;&gt;1,"",IF(OR(O810="",P810=""),"",IF(P810&lt;O810,"",ROUND(((NETWORKDAYS(O810,P810,JoursFeries)-1)*(HFer-HOuv)+IF(NETWORKDAYS(P810,P810,JoursFeries),MEDIAN(MOD(P810,1),HFer,HOuv),HFer)-IF(NETWORKDAYS(O810,O810,JoursFeries),MEDIAN(MOD(O810,1),HFer,HOuv),HOuv))*24,4))))</f>
        <v/>
      </c>
      <c r="AV810" s="37" t="str">
        <f aca="false">IF(AO810&lt;&gt;1,"",IF(OR(P810="",Q810=""),"",IF(Q810&lt;P810,"",ROUND(((NETWORKDAYS(P810,Q810,JoursFeries)-1)*(HFer-HOuv)+IF(NETWORKDAYS(Q810,Q810,JoursFeries),MEDIAN(MOD(Q810,1),HFer,HOuv),HFer)-IF(NETWORKDAYS(P810,P810,JoursFeries),MEDIAN(MOD(P810,1),HFer,HOuv),HOuv))*24,4))))</f>
        <v/>
      </c>
      <c r="AW810" s="37" t="str">
        <f aca="false">IF(AO810&lt;&gt;1,"",IFERROR(ROUND(IF(OR(P810="",R810=""),"",IF(R810&lt;P810,"",ROUND(((NETWORKDAYS(P810,R810,JoursFeries)-1)*(HFer-HOuv)+IF(NETWORKDAYS(R810,R810,JoursFeries),MEDIAN(MOD(R810,1),HFer,HOuv),HFer)-IF(NETWORKDAYS(P810,P810,JoursFeries),MEDIAN(MOD(P810,1),HFer,HOuv),HOuv))*24,4)))/HJour,4),""))</f>
        <v/>
      </c>
      <c r="AX810" s="37" t="str">
        <f aca="false">IF(AO810&lt;&gt;1,"",IFERROR(ROUND(IF(OR(P810="",S810=""),"",IF(S810&lt;P810,"",ROUND(((NETWORKDAYS(P810,S810,JoursFeries)-1)*(HFer-HOuv)+IF(NETWORKDAYS(S810,S810,JoursFeries),MEDIAN(MOD(S810,1),HFer,HOuv),HFer)-IF(NETWORKDAYS(P810,P810,JoursFeries),MEDIAN(MOD(P810,1),HFer,HOuv),HOuv))*24,4)))/HJour,4),""))</f>
        <v/>
      </c>
      <c r="AY810" s="36" t="str">
        <f aca="false">IF(OR(AO810&lt;&gt;1,AR810=""),"",INDEX(SLA_PEC,AR810))</f>
        <v/>
      </c>
      <c r="AZ810" s="35" t="str">
        <f aca="false">IF(OR(AV810="",AY810=""),"",IF(AV810&lt;=AY810,1,0))</f>
        <v/>
      </c>
      <c r="BA810" s="36" t="str">
        <f aca="false">IF(OR(AO810&lt;&gt;1,AR810=""),"",INDEX(SLA_RES,AR810))</f>
        <v/>
      </c>
      <c r="BB810" s="35" t="str">
        <f aca="false">IF(OR(AW810="",BA810=""),"",IF(AW810&lt;=BA810,1,0))</f>
        <v/>
      </c>
      <c r="BC810" s="38" t="str">
        <f aca="false">IF(OR(BA810="",P810=""),"",WORKDAY(INT(P810),BA810,JoursFeries)+MOD(P810,1))</f>
        <v/>
      </c>
      <c r="BD810" s="39" t="str">
        <f aca="false">IF(AO810&lt;&gt;1,"",IF(OR(AB810&lt;&gt;"",AD810&lt;&gt;""),4,IF(U810&lt;&gt;"",3,IF(T810&lt;&gt;"",2,1))))</f>
        <v/>
      </c>
      <c r="BE810" s="39" t="str">
        <f aca="false">IF(OR(AO810&lt;&gt;1,AR810=""),"",INDEX(NIV_REQ,AR810))</f>
        <v/>
      </c>
      <c r="BF810" s="39" t="str">
        <f aca="false">IF(BE810="","",MAX(BE810,IF(OR(K810="Oui",Z810="Oui"),4,1)))</f>
        <v/>
      </c>
      <c r="BG810" s="35" t="str">
        <f aca="false">IF(OR(BF810="",BD810=""),"",IF(BD810&gt;=BF810,1,0))</f>
        <v/>
      </c>
      <c r="BH810" s="38" t="str">
        <f aca="false">IF(BE810="","",IF(BE810&lt;2,"",IF(BE810=2,IF(AND(T810="",U810=""),"",MIN(T810,U810)),IF(U810="","",U810))))</f>
        <v/>
      </c>
      <c r="BI810" s="37" t="str">
        <f aca="false">IF(BH810="","",IF(OR(O810="",BH810=""),"",IF(BH810&lt;O810,"",ROUND(((NETWORKDAYS(O810,BH810,JoursFeries)-1)*(HFer-HOuv)+IF(NETWORKDAYS(BH810,BH810,JoursFeries),MEDIAN(MOD(BH810,1),HFer,HOuv),HFer)-IF(NETWORKDAYS(O810,O810,JoursFeries),MEDIAN(MOD(O810,1),HFer,HOuv),HOuv))*24,4))))</f>
        <v/>
      </c>
      <c r="BJ810" s="35" t="str">
        <f aca="false">IF(OR(BI810="",AR810=""),"",IF(BI810&lt;=INDEX(DELAI_ESC,AR810),1,0))</f>
        <v/>
      </c>
      <c r="BK810" s="38" t="str">
        <f aca="false">IF(AO810&lt;&gt;1,"",IF(AND(T810="",U810=""),"",MIN(T810,U810)))</f>
        <v/>
      </c>
      <c r="BL810" s="37" t="str">
        <f aca="false">IF(OR(BK810="",R810=""),"",IFERROR(ROUND(IF(OR(BK810="",R810=""),"",IF(R810&lt;BK810,"",ROUND(((NETWORKDAYS(BK810,R810,JoursFeries)-1)*(HFer-HOuv)+IF(NETWORKDAYS(R810,R810,JoursFeries),MEDIAN(MOD(R810,1),HFer,HOuv),HFer)-IF(NETWORKDAYS(BK810,BK810,JoursFeries),MEDIAN(MOD(BK810,1),HFer,HOuv),HOuv))*24,4)))/HJour,4),""))</f>
        <v/>
      </c>
      <c r="BM810" s="35" t="str">
        <f aca="false">IF(OR(AO810&lt;&gt;1,R810=""),"",IF(BD810=1,1,0))</f>
        <v/>
      </c>
      <c r="BN810" s="35" t="str">
        <f aca="false">IF(AO810&lt;&gt;1,"",IF(W810="Oui",1,0))</f>
        <v/>
      </c>
      <c r="BO810" s="35" t="str">
        <f aca="false">IF(AO810&lt;&gt;1,"",IF(X810&lt;&gt;"",1,0))</f>
        <v/>
      </c>
      <c r="BP810" s="35" t="str">
        <f aca="false">IF(AO810&lt;&gt;1,"",IF(Y810="Oui",1,0))</f>
        <v/>
      </c>
      <c r="BQ810" s="35" t="str">
        <f aca="true">IF(OR(AO810&lt;&gt;1,Z810&lt;&gt;"Oui"),"",IF(AB810="",IF(AND(AA810&lt;&gt;"",NOW()&gt;AA810),0,""),IF(AA810="","",IF(AB810&lt;=AA810,1,0))))</f>
        <v/>
      </c>
      <c r="BR810" s="38" t="str">
        <f aca="false">IF(OR(AO810&lt;&gt;1,K810&lt;&gt;"Oui",O810=""),"",IF(AC810="",O810+DORA_H_DET/24,IF(AC810-O810&lt;=DORA_H_DET/24,MIN(AC810+DORA_H_CLA/24,O810+DORA_H_DET/24),AC810+DORA_H_CLA/24)))</f>
        <v/>
      </c>
      <c r="BS810" s="35" t="str">
        <f aca="true">IF(BR810="","",IF(AD810="",IF(NOW()&gt;BR810,0,""),IF(AD810&lt;=BR810,1,0)))</f>
        <v/>
      </c>
      <c r="BT810" s="35" t="str">
        <f aca="true">IF(OR(BR810="",AD810=""),"",IF(AE810="",IF(NOW()&gt;AD810+DORA_H_INT/24,0,""),IF(AE810&lt;=AD810+DORA_H_INT/24,1,0)))</f>
        <v/>
      </c>
      <c r="BU810" s="35" t="str">
        <f aca="true">IF(OR(BR810="",AE810=""),"",IF(AF810="",IF(NOW()&gt;EDATE(AE810,DORA_M_FIN)+1,0,""),IF(AF810&lt;=EDATE(AE810,DORA_M_FIN),1,0)))</f>
        <v/>
      </c>
      <c r="BV810" s="35" t="str">
        <f aca="false">IF(BR810="","",IF(COUNT(BS810:BU810)=0,"",MIN(BS810:BU810)))</f>
        <v/>
      </c>
      <c r="BW810" s="40" t="str">
        <f aca="false">IF(AQ810&lt;&gt;1,"",IF(AND(AG810="",AH810=""),"",N(AG810)-N(AH810)))</f>
        <v/>
      </c>
      <c r="BX810" s="35" t="str">
        <f aca="true">IF(OR(AQ810&lt;&gt;1,AI810&lt;&gt;"Oui",AJ810=""),"",IF(AK810="",IF(NOW()&gt;AJ810+1,0,""),IF(AK810&lt;=AJ810,1,0)))</f>
        <v/>
      </c>
    </row>
    <row r="811" customFormat="false" ht="15" hidden="false" customHeight="false" outlineLevel="0" collapsed="false">
      <c r="B811" s="29"/>
      <c r="C811" s="29"/>
      <c r="D811" s="29"/>
      <c r="E811" s="29"/>
      <c r="F811" s="29"/>
      <c r="G811" s="29"/>
      <c r="H811" s="29"/>
      <c r="I811" s="29"/>
      <c r="J811" s="29"/>
      <c r="K811" s="29"/>
      <c r="L811" s="29"/>
      <c r="M811" s="29"/>
      <c r="N811" s="30"/>
      <c r="O811" s="30"/>
      <c r="P811" s="30"/>
      <c r="Q811" s="30"/>
      <c r="R811" s="30"/>
      <c r="S811" s="30"/>
      <c r="T811" s="30"/>
      <c r="U811" s="30"/>
      <c r="V811" s="31"/>
      <c r="W811" s="29"/>
      <c r="X811" s="29"/>
      <c r="Y811" s="29"/>
      <c r="Z811" s="29"/>
      <c r="AA811" s="30"/>
      <c r="AB811" s="30"/>
      <c r="AC811" s="30"/>
      <c r="AD811" s="30"/>
      <c r="AE811" s="30"/>
      <c r="AF811" s="32"/>
      <c r="AG811" s="33"/>
      <c r="AH811" s="33"/>
      <c r="AI811" s="29"/>
      <c r="AJ811" s="32"/>
      <c r="AK811" s="32"/>
      <c r="AL811" s="29"/>
      <c r="AN811" s="34" t="str">
        <f aca="false">IF($B811="","",IF(OR(C811="",D811="",E811="",G811="",I811="",J811="",L811="",O811="",P811=""),"Champ obligatoire manquant",IF(OR(AND(N811&lt;&gt;"",N811&gt;O811),O811&gt;P811,AND(Q811&lt;&gt;"",Q811&lt;P811),AND(R811&lt;&gt;"",R811&lt;P811),AND(S811&lt;&gt;"",S811&lt;R811),AND(S811&lt;&gt;"",R811=""),AND(T811&lt;&gt;"",T811&lt;O811),AND(U811&lt;&gt;"",U811&lt;O811)),"Chronologie incohérente",IF(AND(OR(L811="Résolu",L811="Clos"),R811=""),"Date de résolution manquante",IF(AND(L811="Clos",S811=""),"Date de clôture manquante",IF(AND(K811="Oui",AC811=""),"Classification DORA manquante","OK"))))))</f>
        <v/>
      </c>
      <c r="AO811" s="35" t="str">
        <f aca="false">IF($B811="","",IF(AND(C811="Incident",L811&lt;&gt;"Annulé"),1,0))</f>
        <v/>
      </c>
      <c r="AP811" s="35" t="str">
        <f aca="false">IF($B811="","",IF(AND(C811="Quasi-incident",L811&lt;&gt;"Annulé"),1,0))</f>
        <v/>
      </c>
      <c r="AQ811" s="35" t="str">
        <f aca="false">IF($B811="","",AO811+AP811)</f>
        <v/>
      </c>
      <c r="AR811" s="36" t="str">
        <f aca="false">IF(OR($B811="",J811=""),"",IFERROR(VALUE(LEFT(J811,1)),""))</f>
        <v/>
      </c>
      <c r="AS811" s="35" t="str">
        <f aca="false">IF(OR(AO811&lt;&gt;1,G811=""),"",IFERROR(IF(INDEX(L_SrcInterne,MATCH(G811,L_Sources,0))="Oui",1,0),""))</f>
        <v/>
      </c>
      <c r="AT811" s="37" t="str">
        <f aca="false">IF(AO811&lt;&gt;1,"",IFERROR(ROUND(IF(OR(N811="",O811=""),"",IF(O811&lt;N811,"",ROUND(((NETWORKDAYS(N811,O811,JoursFeries)-1)*(HFer-HOuv)+IF(NETWORKDAYS(O811,O811,JoursFeries),MEDIAN(MOD(O811,1),HFer,HOuv),HFer)-IF(NETWORKDAYS(N811,N811,JoursFeries),MEDIAN(MOD(N811,1),HFer,HOuv),HOuv))*24,4)))/HJour,4),""))</f>
        <v/>
      </c>
      <c r="AU811" s="37" t="str">
        <f aca="false">IF(AO811&lt;&gt;1,"",IF(OR(O811="",P811=""),"",IF(P811&lt;O811,"",ROUND(((NETWORKDAYS(O811,P811,JoursFeries)-1)*(HFer-HOuv)+IF(NETWORKDAYS(P811,P811,JoursFeries),MEDIAN(MOD(P811,1),HFer,HOuv),HFer)-IF(NETWORKDAYS(O811,O811,JoursFeries),MEDIAN(MOD(O811,1),HFer,HOuv),HOuv))*24,4))))</f>
        <v/>
      </c>
      <c r="AV811" s="37" t="str">
        <f aca="false">IF(AO811&lt;&gt;1,"",IF(OR(P811="",Q811=""),"",IF(Q811&lt;P811,"",ROUND(((NETWORKDAYS(P811,Q811,JoursFeries)-1)*(HFer-HOuv)+IF(NETWORKDAYS(Q811,Q811,JoursFeries),MEDIAN(MOD(Q811,1),HFer,HOuv),HFer)-IF(NETWORKDAYS(P811,P811,JoursFeries),MEDIAN(MOD(P811,1),HFer,HOuv),HOuv))*24,4))))</f>
        <v/>
      </c>
      <c r="AW811" s="37" t="str">
        <f aca="false">IF(AO811&lt;&gt;1,"",IFERROR(ROUND(IF(OR(P811="",R811=""),"",IF(R811&lt;P811,"",ROUND(((NETWORKDAYS(P811,R811,JoursFeries)-1)*(HFer-HOuv)+IF(NETWORKDAYS(R811,R811,JoursFeries),MEDIAN(MOD(R811,1),HFer,HOuv),HFer)-IF(NETWORKDAYS(P811,P811,JoursFeries),MEDIAN(MOD(P811,1),HFer,HOuv),HOuv))*24,4)))/HJour,4),""))</f>
        <v/>
      </c>
      <c r="AX811" s="37" t="str">
        <f aca="false">IF(AO811&lt;&gt;1,"",IFERROR(ROUND(IF(OR(P811="",S811=""),"",IF(S811&lt;P811,"",ROUND(((NETWORKDAYS(P811,S811,JoursFeries)-1)*(HFer-HOuv)+IF(NETWORKDAYS(S811,S811,JoursFeries),MEDIAN(MOD(S811,1),HFer,HOuv),HFer)-IF(NETWORKDAYS(P811,P811,JoursFeries),MEDIAN(MOD(P811,1),HFer,HOuv),HOuv))*24,4)))/HJour,4),""))</f>
        <v/>
      </c>
      <c r="AY811" s="36" t="str">
        <f aca="false">IF(OR(AO811&lt;&gt;1,AR811=""),"",INDEX(SLA_PEC,AR811))</f>
        <v/>
      </c>
      <c r="AZ811" s="35" t="str">
        <f aca="false">IF(OR(AV811="",AY811=""),"",IF(AV811&lt;=AY811,1,0))</f>
        <v/>
      </c>
      <c r="BA811" s="36" t="str">
        <f aca="false">IF(OR(AO811&lt;&gt;1,AR811=""),"",INDEX(SLA_RES,AR811))</f>
        <v/>
      </c>
      <c r="BB811" s="35" t="str">
        <f aca="false">IF(OR(AW811="",BA811=""),"",IF(AW811&lt;=BA811,1,0))</f>
        <v/>
      </c>
      <c r="BC811" s="38" t="str">
        <f aca="false">IF(OR(BA811="",P811=""),"",WORKDAY(INT(P811),BA811,JoursFeries)+MOD(P811,1))</f>
        <v/>
      </c>
      <c r="BD811" s="39" t="str">
        <f aca="false">IF(AO811&lt;&gt;1,"",IF(OR(AB811&lt;&gt;"",AD811&lt;&gt;""),4,IF(U811&lt;&gt;"",3,IF(T811&lt;&gt;"",2,1))))</f>
        <v/>
      </c>
      <c r="BE811" s="39" t="str">
        <f aca="false">IF(OR(AO811&lt;&gt;1,AR811=""),"",INDEX(NIV_REQ,AR811))</f>
        <v/>
      </c>
      <c r="BF811" s="39" t="str">
        <f aca="false">IF(BE811="","",MAX(BE811,IF(OR(K811="Oui",Z811="Oui"),4,1)))</f>
        <v/>
      </c>
      <c r="BG811" s="35" t="str">
        <f aca="false">IF(OR(BF811="",BD811=""),"",IF(BD811&gt;=BF811,1,0))</f>
        <v/>
      </c>
      <c r="BH811" s="38" t="str">
        <f aca="false">IF(BE811="","",IF(BE811&lt;2,"",IF(BE811=2,IF(AND(T811="",U811=""),"",MIN(T811,U811)),IF(U811="","",U811))))</f>
        <v/>
      </c>
      <c r="BI811" s="37" t="str">
        <f aca="false">IF(BH811="","",IF(OR(O811="",BH811=""),"",IF(BH811&lt;O811,"",ROUND(((NETWORKDAYS(O811,BH811,JoursFeries)-1)*(HFer-HOuv)+IF(NETWORKDAYS(BH811,BH811,JoursFeries),MEDIAN(MOD(BH811,1),HFer,HOuv),HFer)-IF(NETWORKDAYS(O811,O811,JoursFeries),MEDIAN(MOD(O811,1),HFer,HOuv),HOuv))*24,4))))</f>
        <v/>
      </c>
      <c r="BJ811" s="35" t="str">
        <f aca="false">IF(OR(BI811="",AR811=""),"",IF(BI811&lt;=INDEX(DELAI_ESC,AR811),1,0))</f>
        <v/>
      </c>
      <c r="BK811" s="38" t="str">
        <f aca="false">IF(AO811&lt;&gt;1,"",IF(AND(T811="",U811=""),"",MIN(T811,U811)))</f>
        <v/>
      </c>
      <c r="BL811" s="37" t="str">
        <f aca="false">IF(OR(BK811="",R811=""),"",IFERROR(ROUND(IF(OR(BK811="",R811=""),"",IF(R811&lt;BK811,"",ROUND(((NETWORKDAYS(BK811,R811,JoursFeries)-1)*(HFer-HOuv)+IF(NETWORKDAYS(R811,R811,JoursFeries),MEDIAN(MOD(R811,1),HFer,HOuv),HFer)-IF(NETWORKDAYS(BK811,BK811,JoursFeries),MEDIAN(MOD(BK811,1),HFer,HOuv),HOuv))*24,4)))/HJour,4),""))</f>
        <v/>
      </c>
      <c r="BM811" s="35" t="str">
        <f aca="false">IF(OR(AO811&lt;&gt;1,R811=""),"",IF(BD811=1,1,0))</f>
        <v/>
      </c>
      <c r="BN811" s="35" t="str">
        <f aca="false">IF(AO811&lt;&gt;1,"",IF(W811="Oui",1,0))</f>
        <v/>
      </c>
      <c r="BO811" s="35" t="str">
        <f aca="false">IF(AO811&lt;&gt;1,"",IF(X811&lt;&gt;"",1,0))</f>
        <v/>
      </c>
      <c r="BP811" s="35" t="str">
        <f aca="false">IF(AO811&lt;&gt;1,"",IF(Y811="Oui",1,0))</f>
        <v/>
      </c>
      <c r="BQ811" s="35" t="str">
        <f aca="true">IF(OR(AO811&lt;&gt;1,Z811&lt;&gt;"Oui"),"",IF(AB811="",IF(AND(AA811&lt;&gt;"",NOW()&gt;AA811),0,""),IF(AA811="","",IF(AB811&lt;=AA811,1,0))))</f>
        <v/>
      </c>
      <c r="BR811" s="38" t="str">
        <f aca="false">IF(OR(AO811&lt;&gt;1,K811&lt;&gt;"Oui",O811=""),"",IF(AC811="",O811+DORA_H_DET/24,IF(AC811-O811&lt;=DORA_H_DET/24,MIN(AC811+DORA_H_CLA/24,O811+DORA_H_DET/24),AC811+DORA_H_CLA/24)))</f>
        <v/>
      </c>
      <c r="BS811" s="35" t="str">
        <f aca="true">IF(BR811="","",IF(AD811="",IF(NOW()&gt;BR811,0,""),IF(AD811&lt;=BR811,1,0)))</f>
        <v/>
      </c>
      <c r="BT811" s="35" t="str">
        <f aca="true">IF(OR(BR811="",AD811=""),"",IF(AE811="",IF(NOW()&gt;AD811+DORA_H_INT/24,0,""),IF(AE811&lt;=AD811+DORA_H_INT/24,1,0)))</f>
        <v/>
      </c>
      <c r="BU811" s="35" t="str">
        <f aca="true">IF(OR(BR811="",AE811=""),"",IF(AF811="",IF(NOW()&gt;EDATE(AE811,DORA_M_FIN)+1,0,""),IF(AF811&lt;=EDATE(AE811,DORA_M_FIN),1,0)))</f>
        <v/>
      </c>
      <c r="BV811" s="35" t="str">
        <f aca="false">IF(BR811="","",IF(COUNT(BS811:BU811)=0,"",MIN(BS811:BU811)))</f>
        <v/>
      </c>
      <c r="BW811" s="40" t="str">
        <f aca="false">IF(AQ811&lt;&gt;1,"",IF(AND(AG811="",AH811=""),"",N(AG811)-N(AH811)))</f>
        <v/>
      </c>
      <c r="BX811" s="35" t="str">
        <f aca="true">IF(OR(AQ811&lt;&gt;1,AI811&lt;&gt;"Oui",AJ811=""),"",IF(AK811="",IF(NOW()&gt;AJ811+1,0,""),IF(AK811&lt;=AJ811,1,0)))</f>
        <v/>
      </c>
    </row>
    <row r="812" customFormat="false" ht="15" hidden="false" customHeight="false" outlineLevel="0" collapsed="false">
      <c r="B812" s="29"/>
      <c r="C812" s="29"/>
      <c r="D812" s="29"/>
      <c r="E812" s="29"/>
      <c r="F812" s="29"/>
      <c r="G812" s="29"/>
      <c r="H812" s="29"/>
      <c r="I812" s="29"/>
      <c r="J812" s="29"/>
      <c r="K812" s="29"/>
      <c r="L812" s="29"/>
      <c r="M812" s="29"/>
      <c r="N812" s="30"/>
      <c r="O812" s="30"/>
      <c r="P812" s="30"/>
      <c r="Q812" s="30"/>
      <c r="R812" s="30"/>
      <c r="S812" s="30"/>
      <c r="T812" s="30"/>
      <c r="U812" s="30"/>
      <c r="V812" s="31"/>
      <c r="W812" s="29"/>
      <c r="X812" s="29"/>
      <c r="Y812" s="29"/>
      <c r="Z812" s="29"/>
      <c r="AA812" s="30"/>
      <c r="AB812" s="30"/>
      <c r="AC812" s="30"/>
      <c r="AD812" s="30"/>
      <c r="AE812" s="30"/>
      <c r="AF812" s="32"/>
      <c r="AG812" s="33"/>
      <c r="AH812" s="33"/>
      <c r="AI812" s="29"/>
      <c r="AJ812" s="32"/>
      <c r="AK812" s="32"/>
      <c r="AL812" s="29"/>
      <c r="AN812" s="34" t="str">
        <f aca="false">IF($B812="","",IF(OR(C812="",D812="",E812="",G812="",I812="",J812="",L812="",O812="",P812=""),"Champ obligatoire manquant",IF(OR(AND(N812&lt;&gt;"",N812&gt;O812),O812&gt;P812,AND(Q812&lt;&gt;"",Q812&lt;P812),AND(R812&lt;&gt;"",R812&lt;P812),AND(S812&lt;&gt;"",S812&lt;R812),AND(S812&lt;&gt;"",R812=""),AND(T812&lt;&gt;"",T812&lt;O812),AND(U812&lt;&gt;"",U812&lt;O812)),"Chronologie incohérente",IF(AND(OR(L812="Résolu",L812="Clos"),R812=""),"Date de résolution manquante",IF(AND(L812="Clos",S812=""),"Date de clôture manquante",IF(AND(K812="Oui",AC812=""),"Classification DORA manquante","OK"))))))</f>
        <v/>
      </c>
      <c r="AO812" s="35" t="str">
        <f aca="false">IF($B812="","",IF(AND(C812="Incident",L812&lt;&gt;"Annulé"),1,0))</f>
        <v/>
      </c>
      <c r="AP812" s="35" t="str">
        <f aca="false">IF($B812="","",IF(AND(C812="Quasi-incident",L812&lt;&gt;"Annulé"),1,0))</f>
        <v/>
      </c>
      <c r="AQ812" s="35" t="str">
        <f aca="false">IF($B812="","",AO812+AP812)</f>
        <v/>
      </c>
      <c r="AR812" s="36" t="str">
        <f aca="false">IF(OR($B812="",J812=""),"",IFERROR(VALUE(LEFT(J812,1)),""))</f>
        <v/>
      </c>
      <c r="AS812" s="35" t="str">
        <f aca="false">IF(OR(AO812&lt;&gt;1,G812=""),"",IFERROR(IF(INDEX(L_SrcInterne,MATCH(G812,L_Sources,0))="Oui",1,0),""))</f>
        <v/>
      </c>
      <c r="AT812" s="37" t="str">
        <f aca="false">IF(AO812&lt;&gt;1,"",IFERROR(ROUND(IF(OR(N812="",O812=""),"",IF(O812&lt;N812,"",ROUND(((NETWORKDAYS(N812,O812,JoursFeries)-1)*(HFer-HOuv)+IF(NETWORKDAYS(O812,O812,JoursFeries),MEDIAN(MOD(O812,1),HFer,HOuv),HFer)-IF(NETWORKDAYS(N812,N812,JoursFeries),MEDIAN(MOD(N812,1),HFer,HOuv),HOuv))*24,4)))/HJour,4),""))</f>
        <v/>
      </c>
      <c r="AU812" s="37" t="str">
        <f aca="false">IF(AO812&lt;&gt;1,"",IF(OR(O812="",P812=""),"",IF(P812&lt;O812,"",ROUND(((NETWORKDAYS(O812,P812,JoursFeries)-1)*(HFer-HOuv)+IF(NETWORKDAYS(P812,P812,JoursFeries),MEDIAN(MOD(P812,1),HFer,HOuv),HFer)-IF(NETWORKDAYS(O812,O812,JoursFeries),MEDIAN(MOD(O812,1),HFer,HOuv),HOuv))*24,4))))</f>
        <v/>
      </c>
      <c r="AV812" s="37" t="str">
        <f aca="false">IF(AO812&lt;&gt;1,"",IF(OR(P812="",Q812=""),"",IF(Q812&lt;P812,"",ROUND(((NETWORKDAYS(P812,Q812,JoursFeries)-1)*(HFer-HOuv)+IF(NETWORKDAYS(Q812,Q812,JoursFeries),MEDIAN(MOD(Q812,1),HFer,HOuv),HFer)-IF(NETWORKDAYS(P812,P812,JoursFeries),MEDIAN(MOD(P812,1),HFer,HOuv),HOuv))*24,4))))</f>
        <v/>
      </c>
      <c r="AW812" s="37" t="str">
        <f aca="false">IF(AO812&lt;&gt;1,"",IFERROR(ROUND(IF(OR(P812="",R812=""),"",IF(R812&lt;P812,"",ROUND(((NETWORKDAYS(P812,R812,JoursFeries)-1)*(HFer-HOuv)+IF(NETWORKDAYS(R812,R812,JoursFeries),MEDIAN(MOD(R812,1),HFer,HOuv),HFer)-IF(NETWORKDAYS(P812,P812,JoursFeries),MEDIAN(MOD(P812,1),HFer,HOuv),HOuv))*24,4)))/HJour,4),""))</f>
        <v/>
      </c>
      <c r="AX812" s="37" t="str">
        <f aca="false">IF(AO812&lt;&gt;1,"",IFERROR(ROUND(IF(OR(P812="",S812=""),"",IF(S812&lt;P812,"",ROUND(((NETWORKDAYS(P812,S812,JoursFeries)-1)*(HFer-HOuv)+IF(NETWORKDAYS(S812,S812,JoursFeries),MEDIAN(MOD(S812,1),HFer,HOuv),HFer)-IF(NETWORKDAYS(P812,P812,JoursFeries),MEDIAN(MOD(P812,1),HFer,HOuv),HOuv))*24,4)))/HJour,4),""))</f>
        <v/>
      </c>
      <c r="AY812" s="36" t="str">
        <f aca="false">IF(OR(AO812&lt;&gt;1,AR812=""),"",INDEX(SLA_PEC,AR812))</f>
        <v/>
      </c>
      <c r="AZ812" s="35" t="str">
        <f aca="false">IF(OR(AV812="",AY812=""),"",IF(AV812&lt;=AY812,1,0))</f>
        <v/>
      </c>
      <c r="BA812" s="36" t="str">
        <f aca="false">IF(OR(AO812&lt;&gt;1,AR812=""),"",INDEX(SLA_RES,AR812))</f>
        <v/>
      </c>
      <c r="BB812" s="35" t="str">
        <f aca="false">IF(OR(AW812="",BA812=""),"",IF(AW812&lt;=BA812,1,0))</f>
        <v/>
      </c>
      <c r="BC812" s="38" t="str">
        <f aca="false">IF(OR(BA812="",P812=""),"",WORKDAY(INT(P812),BA812,JoursFeries)+MOD(P812,1))</f>
        <v/>
      </c>
      <c r="BD812" s="39" t="str">
        <f aca="false">IF(AO812&lt;&gt;1,"",IF(OR(AB812&lt;&gt;"",AD812&lt;&gt;""),4,IF(U812&lt;&gt;"",3,IF(T812&lt;&gt;"",2,1))))</f>
        <v/>
      </c>
      <c r="BE812" s="39" t="str">
        <f aca="false">IF(OR(AO812&lt;&gt;1,AR812=""),"",INDEX(NIV_REQ,AR812))</f>
        <v/>
      </c>
      <c r="BF812" s="39" t="str">
        <f aca="false">IF(BE812="","",MAX(BE812,IF(OR(K812="Oui",Z812="Oui"),4,1)))</f>
        <v/>
      </c>
      <c r="BG812" s="35" t="str">
        <f aca="false">IF(OR(BF812="",BD812=""),"",IF(BD812&gt;=BF812,1,0))</f>
        <v/>
      </c>
      <c r="BH812" s="38" t="str">
        <f aca="false">IF(BE812="","",IF(BE812&lt;2,"",IF(BE812=2,IF(AND(T812="",U812=""),"",MIN(T812,U812)),IF(U812="","",U812))))</f>
        <v/>
      </c>
      <c r="BI812" s="37" t="str">
        <f aca="false">IF(BH812="","",IF(OR(O812="",BH812=""),"",IF(BH812&lt;O812,"",ROUND(((NETWORKDAYS(O812,BH812,JoursFeries)-1)*(HFer-HOuv)+IF(NETWORKDAYS(BH812,BH812,JoursFeries),MEDIAN(MOD(BH812,1),HFer,HOuv),HFer)-IF(NETWORKDAYS(O812,O812,JoursFeries),MEDIAN(MOD(O812,1),HFer,HOuv),HOuv))*24,4))))</f>
        <v/>
      </c>
      <c r="BJ812" s="35" t="str">
        <f aca="false">IF(OR(BI812="",AR812=""),"",IF(BI812&lt;=INDEX(DELAI_ESC,AR812),1,0))</f>
        <v/>
      </c>
      <c r="BK812" s="38" t="str">
        <f aca="false">IF(AO812&lt;&gt;1,"",IF(AND(T812="",U812=""),"",MIN(T812,U812)))</f>
        <v/>
      </c>
      <c r="BL812" s="37" t="str">
        <f aca="false">IF(OR(BK812="",R812=""),"",IFERROR(ROUND(IF(OR(BK812="",R812=""),"",IF(R812&lt;BK812,"",ROUND(((NETWORKDAYS(BK812,R812,JoursFeries)-1)*(HFer-HOuv)+IF(NETWORKDAYS(R812,R812,JoursFeries),MEDIAN(MOD(R812,1),HFer,HOuv),HFer)-IF(NETWORKDAYS(BK812,BK812,JoursFeries),MEDIAN(MOD(BK812,1),HFer,HOuv),HOuv))*24,4)))/HJour,4),""))</f>
        <v/>
      </c>
      <c r="BM812" s="35" t="str">
        <f aca="false">IF(OR(AO812&lt;&gt;1,R812=""),"",IF(BD812=1,1,0))</f>
        <v/>
      </c>
      <c r="BN812" s="35" t="str">
        <f aca="false">IF(AO812&lt;&gt;1,"",IF(W812="Oui",1,0))</f>
        <v/>
      </c>
      <c r="BO812" s="35" t="str">
        <f aca="false">IF(AO812&lt;&gt;1,"",IF(X812&lt;&gt;"",1,0))</f>
        <v/>
      </c>
      <c r="BP812" s="35" t="str">
        <f aca="false">IF(AO812&lt;&gt;1,"",IF(Y812="Oui",1,0))</f>
        <v/>
      </c>
      <c r="BQ812" s="35" t="str">
        <f aca="true">IF(OR(AO812&lt;&gt;1,Z812&lt;&gt;"Oui"),"",IF(AB812="",IF(AND(AA812&lt;&gt;"",NOW()&gt;AA812),0,""),IF(AA812="","",IF(AB812&lt;=AA812,1,0))))</f>
        <v/>
      </c>
      <c r="BR812" s="38" t="str">
        <f aca="false">IF(OR(AO812&lt;&gt;1,K812&lt;&gt;"Oui",O812=""),"",IF(AC812="",O812+DORA_H_DET/24,IF(AC812-O812&lt;=DORA_H_DET/24,MIN(AC812+DORA_H_CLA/24,O812+DORA_H_DET/24),AC812+DORA_H_CLA/24)))</f>
        <v/>
      </c>
      <c r="BS812" s="35" t="str">
        <f aca="true">IF(BR812="","",IF(AD812="",IF(NOW()&gt;BR812,0,""),IF(AD812&lt;=BR812,1,0)))</f>
        <v/>
      </c>
      <c r="BT812" s="35" t="str">
        <f aca="true">IF(OR(BR812="",AD812=""),"",IF(AE812="",IF(NOW()&gt;AD812+DORA_H_INT/24,0,""),IF(AE812&lt;=AD812+DORA_H_INT/24,1,0)))</f>
        <v/>
      </c>
      <c r="BU812" s="35" t="str">
        <f aca="true">IF(OR(BR812="",AE812=""),"",IF(AF812="",IF(NOW()&gt;EDATE(AE812,DORA_M_FIN)+1,0,""),IF(AF812&lt;=EDATE(AE812,DORA_M_FIN),1,0)))</f>
        <v/>
      </c>
      <c r="BV812" s="35" t="str">
        <f aca="false">IF(BR812="","",IF(COUNT(BS812:BU812)=0,"",MIN(BS812:BU812)))</f>
        <v/>
      </c>
      <c r="BW812" s="40" t="str">
        <f aca="false">IF(AQ812&lt;&gt;1,"",IF(AND(AG812="",AH812=""),"",N(AG812)-N(AH812)))</f>
        <v/>
      </c>
      <c r="BX812" s="35" t="str">
        <f aca="true">IF(OR(AQ812&lt;&gt;1,AI812&lt;&gt;"Oui",AJ812=""),"",IF(AK812="",IF(NOW()&gt;AJ812+1,0,""),IF(AK812&lt;=AJ812,1,0)))</f>
        <v/>
      </c>
    </row>
    <row r="813" customFormat="false" ht="15" hidden="false" customHeight="false" outlineLevel="0" collapsed="false">
      <c r="B813" s="29"/>
      <c r="C813" s="29"/>
      <c r="D813" s="29"/>
      <c r="E813" s="29"/>
      <c r="F813" s="29"/>
      <c r="G813" s="29"/>
      <c r="H813" s="29"/>
      <c r="I813" s="29"/>
      <c r="J813" s="29"/>
      <c r="K813" s="29"/>
      <c r="L813" s="29"/>
      <c r="M813" s="29"/>
      <c r="N813" s="30"/>
      <c r="O813" s="30"/>
      <c r="P813" s="30"/>
      <c r="Q813" s="30"/>
      <c r="R813" s="30"/>
      <c r="S813" s="30"/>
      <c r="T813" s="30"/>
      <c r="U813" s="30"/>
      <c r="V813" s="31"/>
      <c r="W813" s="29"/>
      <c r="X813" s="29"/>
      <c r="Y813" s="29"/>
      <c r="Z813" s="29"/>
      <c r="AA813" s="30"/>
      <c r="AB813" s="30"/>
      <c r="AC813" s="30"/>
      <c r="AD813" s="30"/>
      <c r="AE813" s="30"/>
      <c r="AF813" s="32"/>
      <c r="AG813" s="33"/>
      <c r="AH813" s="33"/>
      <c r="AI813" s="29"/>
      <c r="AJ813" s="32"/>
      <c r="AK813" s="32"/>
      <c r="AL813" s="29"/>
      <c r="AN813" s="34" t="str">
        <f aca="false">IF($B813="","",IF(OR(C813="",D813="",E813="",G813="",I813="",J813="",L813="",O813="",P813=""),"Champ obligatoire manquant",IF(OR(AND(N813&lt;&gt;"",N813&gt;O813),O813&gt;P813,AND(Q813&lt;&gt;"",Q813&lt;P813),AND(R813&lt;&gt;"",R813&lt;P813),AND(S813&lt;&gt;"",S813&lt;R813),AND(S813&lt;&gt;"",R813=""),AND(T813&lt;&gt;"",T813&lt;O813),AND(U813&lt;&gt;"",U813&lt;O813)),"Chronologie incohérente",IF(AND(OR(L813="Résolu",L813="Clos"),R813=""),"Date de résolution manquante",IF(AND(L813="Clos",S813=""),"Date de clôture manquante",IF(AND(K813="Oui",AC813=""),"Classification DORA manquante","OK"))))))</f>
        <v/>
      </c>
      <c r="AO813" s="35" t="str">
        <f aca="false">IF($B813="","",IF(AND(C813="Incident",L813&lt;&gt;"Annulé"),1,0))</f>
        <v/>
      </c>
      <c r="AP813" s="35" t="str">
        <f aca="false">IF($B813="","",IF(AND(C813="Quasi-incident",L813&lt;&gt;"Annulé"),1,0))</f>
        <v/>
      </c>
      <c r="AQ813" s="35" t="str">
        <f aca="false">IF($B813="","",AO813+AP813)</f>
        <v/>
      </c>
      <c r="AR813" s="36" t="str">
        <f aca="false">IF(OR($B813="",J813=""),"",IFERROR(VALUE(LEFT(J813,1)),""))</f>
        <v/>
      </c>
      <c r="AS813" s="35" t="str">
        <f aca="false">IF(OR(AO813&lt;&gt;1,G813=""),"",IFERROR(IF(INDEX(L_SrcInterne,MATCH(G813,L_Sources,0))="Oui",1,0),""))</f>
        <v/>
      </c>
      <c r="AT813" s="37" t="str">
        <f aca="false">IF(AO813&lt;&gt;1,"",IFERROR(ROUND(IF(OR(N813="",O813=""),"",IF(O813&lt;N813,"",ROUND(((NETWORKDAYS(N813,O813,JoursFeries)-1)*(HFer-HOuv)+IF(NETWORKDAYS(O813,O813,JoursFeries),MEDIAN(MOD(O813,1),HFer,HOuv),HFer)-IF(NETWORKDAYS(N813,N813,JoursFeries),MEDIAN(MOD(N813,1),HFer,HOuv),HOuv))*24,4)))/HJour,4),""))</f>
        <v/>
      </c>
      <c r="AU813" s="37" t="str">
        <f aca="false">IF(AO813&lt;&gt;1,"",IF(OR(O813="",P813=""),"",IF(P813&lt;O813,"",ROUND(((NETWORKDAYS(O813,P813,JoursFeries)-1)*(HFer-HOuv)+IF(NETWORKDAYS(P813,P813,JoursFeries),MEDIAN(MOD(P813,1),HFer,HOuv),HFer)-IF(NETWORKDAYS(O813,O813,JoursFeries),MEDIAN(MOD(O813,1),HFer,HOuv),HOuv))*24,4))))</f>
        <v/>
      </c>
      <c r="AV813" s="37" t="str">
        <f aca="false">IF(AO813&lt;&gt;1,"",IF(OR(P813="",Q813=""),"",IF(Q813&lt;P813,"",ROUND(((NETWORKDAYS(P813,Q813,JoursFeries)-1)*(HFer-HOuv)+IF(NETWORKDAYS(Q813,Q813,JoursFeries),MEDIAN(MOD(Q813,1),HFer,HOuv),HFer)-IF(NETWORKDAYS(P813,P813,JoursFeries),MEDIAN(MOD(P813,1),HFer,HOuv),HOuv))*24,4))))</f>
        <v/>
      </c>
      <c r="AW813" s="37" t="str">
        <f aca="false">IF(AO813&lt;&gt;1,"",IFERROR(ROUND(IF(OR(P813="",R813=""),"",IF(R813&lt;P813,"",ROUND(((NETWORKDAYS(P813,R813,JoursFeries)-1)*(HFer-HOuv)+IF(NETWORKDAYS(R813,R813,JoursFeries),MEDIAN(MOD(R813,1),HFer,HOuv),HFer)-IF(NETWORKDAYS(P813,P813,JoursFeries),MEDIAN(MOD(P813,1),HFer,HOuv),HOuv))*24,4)))/HJour,4),""))</f>
        <v/>
      </c>
      <c r="AX813" s="37" t="str">
        <f aca="false">IF(AO813&lt;&gt;1,"",IFERROR(ROUND(IF(OR(P813="",S813=""),"",IF(S813&lt;P813,"",ROUND(((NETWORKDAYS(P813,S813,JoursFeries)-1)*(HFer-HOuv)+IF(NETWORKDAYS(S813,S813,JoursFeries),MEDIAN(MOD(S813,1),HFer,HOuv),HFer)-IF(NETWORKDAYS(P813,P813,JoursFeries),MEDIAN(MOD(P813,1),HFer,HOuv),HOuv))*24,4)))/HJour,4),""))</f>
        <v/>
      </c>
      <c r="AY813" s="36" t="str">
        <f aca="false">IF(OR(AO813&lt;&gt;1,AR813=""),"",INDEX(SLA_PEC,AR813))</f>
        <v/>
      </c>
      <c r="AZ813" s="35" t="str">
        <f aca="false">IF(OR(AV813="",AY813=""),"",IF(AV813&lt;=AY813,1,0))</f>
        <v/>
      </c>
      <c r="BA813" s="36" t="str">
        <f aca="false">IF(OR(AO813&lt;&gt;1,AR813=""),"",INDEX(SLA_RES,AR813))</f>
        <v/>
      </c>
      <c r="BB813" s="35" t="str">
        <f aca="false">IF(OR(AW813="",BA813=""),"",IF(AW813&lt;=BA813,1,0))</f>
        <v/>
      </c>
      <c r="BC813" s="38" t="str">
        <f aca="false">IF(OR(BA813="",P813=""),"",WORKDAY(INT(P813),BA813,JoursFeries)+MOD(P813,1))</f>
        <v/>
      </c>
      <c r="BD813" s="39" t="str">
        <f aca="false">IF(AO813&lt;&gt;1,"",IF(OR(AB813&lt;&gt;"",AD813&lt;&gt;""),4,IF(U813&lt;&gt;"",3,IF(T813&lt;&gt;"",2,1))))</f>
        <v/>
      </c>
      <c r="BE813" s="39" t="str">
        <f aca="false">IF(OR(AO813&lt;&gt;1,AR813=""),"",INDEX(NIV_REQ,AR813))</f>
        <v/>
      </c>
      <c r="BF813" s="39" t="str">
        <f aca="false">IF(BE813="","",MAX(BE813,IF(OR(K813="Oui",Z813="Oui"),4,1)))</f>
        <v/>
      </c>
      <c r="BG813" s="35" t="str">
        <f aca="false">IF(OR(BF813="",BD813=""),"",IF(BD813&gt;=BF813,1,0))</f>
        <v/>
      </c>
      <c r="BH813" s="38" t="str">
        <f aca="false">IF(BE813="","",IF(BE813&lt;2,"",IF(BE813=2,IF(AND(T813="",U813=""),"",MIN(T813,U813)),IF(U813="","",U813))))</f>
        <v/>
      </c>
      <c r="BI813" s="37" t="str">
        <f aca="false">IF(BH813="","",IF(OR(O813="",BH813=""),"",IF(BH813&lt;O813,"",ROUND(((NETWORKDAYS(O813,BH813,JoursFeries)-1)*(HFer-HOuv)+IF(NETWORKDAYS(BH813,BH813,JoursFeries),MEDIAN(MOD(BH813,1),HFer,HOuv),HFer)-IF(NETWORKDAYS(O813,O813,JoursFeries),MEDIAN(MOD(O813,1),HFer,HOuv),HOuv))*24,4))))</f>
        <v/>
      </c>
      <c r="BJ813" s="35" t="str">
        <f aca="false">IF(OR(BI813="",AR813=""),"",IF(BI813&lt;=INDEX(DELAI_ESC,AR813),1,0))</f>
        <v/>
      </c>
      <c r="BK813" s="38" t="str">
        <f aca="false">IF(AO813&lt;&gt;1,"",IF(AND(T813="",U813=""),"",MIN(T813,U813)))</f>
        <v/>
      </c>
      <c r="BL813" s="37" t="str">
        <f aca="false">IF(OR(BK813="",R813=""),"",IFERROR(ROUND(IF(OR(BK813="",R813=""),"",IF(R813&lt;BK813,"",ROUND(((NETWORKDAYS(BK813,R813,JoursFeries)-1)*(HFer-HOuv)+IF(NETWORKDAYS(R813,R813,JoursFeries),MEDIAN(MOD(R813,1),HFer,HOuv),HFer)-IF(NETWORKDAYS(BK813,BK813,JoursFeries),MEDIAN(MOD(BK813,1),HFer,HOuv),HOuv))*24,4)))/HJour,4),""))</f>
        <v/>
      </c>
      <c r="BM813" s="35" t="str">
        <f aca="false">IF(OR(AO813&lt;&gt;1,R813=""),"",IF(BD813=1,1,0))</f>
        <v/>
      </c>
      <c r="BN813" s="35" t="str">
        <f aca="false">IF(AO813&lt;&gt;1,"",IF(W813="Oui",1,0))</f>
        <v/>
      </c>
      <c r="BO813" s="35" t="str">
        <f aca="false">IF(AO813&lt;&gt;1,"",IF(X813&lt;&gt;"",1,0))</f>
        <v/>
      </c>
      <c r="BP813" s="35" t="str">
        <f aca="false">IF(AO813&lt;&gt;1,"",IF(Y813="Oui",1,0))</f>
        <v/>
      </c>
      <c r="BQ813" s="35" t="str">
        <f aca="true">IF(OR(AO813&lt;&gt;1,Z813&lt;&gt;"Oui"),"",IF(AB813="",IF(AND(AA813&lt;&gt;"",NOW()&gt;AA813),0,""),IF(AA813="","",IF(AB813&lt;=AA813,1,0))))</f>
        <v/>
      </c>
      <c r="BR813" s="38" t="str">
        <f aca="false">IF(OR(AO813&lt;&gt;1,K813&lt;&gt;"Oui",O813=""),"",IF(AC813="",O813+DORA_H_DET/24,IF(AC813-O813&lt;=DORA_H_DET/24,MIN(AC813+DORA_H_CLA/24,O813+DORA_H_DET/24),AC813+DORA_H_CLA/24)))</f>
        <v/>
      </c>
      <c r="BS813" s="35" t="str">
        <f aca="true">IF(BR813="","",IF(AD813="",IF(NOW()&gt;BR813,0,""),IF(AD813&lt;=BR813,1,0)))</f>
        <v/>
      </c>
      <c r="BT813" s="35" t="str">
        <f aca="true">IF(OR(BR813="",AD813=""),"",IF(AE813="",IF(NOW()&gt;AD813+DORA_H_INT/24,0,""),IF(AE813&lt;=AD813+DORA_H_INT/24,1,0)))</f>
        <v/>
      </c>
      <c r="BU813" s="35" t="str">
        <f aca="true">IF(OR(BR813="",AE813=""),"",IF(AF813="",IF(NOW()&gt;EDATE(AE813,DORA_M_FIN)+1,0,""),IF(AF813&lt;=EDATE(AE813,DORA_M_FIN),1,0)))</f>
        <v/>
      </c>
      <c r="BV813" s="35" t="str">
        <f aca="false">IF(BR813="","",IF(COUNT(BS813:BU813)=0,"",MIN(BS813:BU813)))</f>
        <v/>
      </c>
      <c r="BW813" s="40" t="str">
        <f aca="false">IF(AQ813&lt;&gt;1,"",IF(AND(AG813="",AH813=""),"",N(AG813)-N(AH813)))</f>
        <v/>
      </c>
      <c r="BX813" s="35" t="str">
        <f aca="true">IF(OR(AQ813&lt;&gt;1,AI813&lt;&gt;"Oui",AJ813=""),"",IF(AK813="",IF(NOW()&gt;AJ813+1,0,""),IF(AK813&lt;=AJ813,1,0)))</f>
        <v/>
      </c>
    </row>
    <row r="814" customFormat="false" ht="15" hidden="false" customHeight="false" outlineLevel="0" collapsed="false">
      <c r="B814" s="29"/>
      <c r="C814" s="29"/>
      <c r="D814" s="29"/>
      <c r="E814" s="29"/>
      <c r="F814" s="29"/>
      <c r="G814" s="29"/>
      <c r="H814" s="29"/>
      <c r="I814" s="29"/>
      <c r="J814" s="29"/>
      <c r="K814" s="29"/>
      <c r="L814" s="29"/>
      <c r="M814" s="29"/>
      <c r="N814" s="30"/>
      <c r="O814" s="30"/>
      <c r="P814" s="30"/>
      <c r="Q814" s="30"/>
      <c r="R814" s="30"/>
      <c r="S814" s="30"/>
      <c r="T814" s="30"/>
      <c r="U814" s="30"/>
      <c r="V814" s="31"/>
      <c r="W814" s="29"/>
      <c r="X814" s="29"/>
      <c r="Y814" s="29"/>
      <c r="Z814" s="29"/>
      <c r="AA814" s="30"/>
      <c r="AB814" s="30"/>
      <c r="AC814" s="30"/>
      <c r="AD814" s="30"/>
      <c r="AE814" s="30"/>
      <c r="AF814" s="32"/>
      <c r="AG814" s="33"/>
      <c r="AH814" s="33"/>
      <c r="AI814" s="29"/>
      <c r="AJ814" s="32"/>
      <c r="AK814" s="32"/>
      <c r="AL814" s="29"/>
      <c r="AN814" s="34" t="str">
        <f aca="false">IF($B814="","",IF(OR(C814="",D814="",E814="",G814="",I814="",J814="",L814="",O814="",P814=""),"Champ obligatoire manquant",IF(OR(AND(N814&lt;&gt;"",N814&gt;O814),O814&gt;P814,AND(Q814&lt;&gt;"",Q814&lt;P814),AND(R814&lt;&gt;"",R814&lt;P814),AND(S814&lt;&gt;"",S814&lt;R814),AND(S814&lt;&gt;"",R814=""),AND(T814&lt;&gt;"",T814&lt;O814),AND(U814&lt;&gt;"",U814&lt;O814)),"Chronologie incohérente",IF(AND(OR(L814="Résolu",L814="Clos"),R814=""),"Date de résolution manquante",IF(AND(L814="Clos",S814=""),"Date de clôture manquante",IF(AND(K814="Oui",AC814=""),"Classification DORA manquante","OK"))))))</f>
        <v/>
      </c>
      <c r="AO814" s="35" t="str">
        <f aca="false">IF($B814="","",IF(AND(C814="Incident",L814&lt;&gt;"Annulé"),1,0))</f>
        <v/>
      </c>
      <c r="AP814" s="35" t="str">
        <f aca="false">IF($B814="","",IF(AND(C814="Quasi-incident",L814&lt;&gt;"Annulé"),1,0))</f>
        <v/>
      </c>
      <c r="AQ814" s="35" t="str">
        <f aca="false">IF($B814="","",AO814+AP814)</f>
        <v/>
      </c>
      <c r="AR814" s="36" t="str">
        <f aca="false">IF(OR($B814="",J814=""),"",IFERROR(VALUE(LEFT(J814,1)),""))</f>
        <v/>
      </c>
      <c r="AS814" s="35" t="str">
        <f aca="false">IF(OR(AO814&lt;&gt;1,G814=""),"",IFERROR(IF(INDEX(L_SrcInterne,MATCH(G814,L_Sources,0))="Oui",1,0),""))</f>
        <v/>
      </c>
      <c r="AT814" s="37" t="str">
        <f aca="false">IF(AO814&lt;&gt;1,"",IFERROR(ROUND(IF(OR(N814="",O814=""),"",IF(O814&lt;N814,"",ROUND(((NETWORKDAYS(N814,O814,JoursFeries)-1)*(HFer-HOuv)+IF(NETWORKDAYS(O814,O814,JoursFeries),MEDIAN(MOD(O814,1),HFer,HOuv),HFer)-IF(NETWORKDAYS(N814,N814,JoursFeries),MEDIAN(MOD(N814,1),HFer,HOuv),HOuv))*24,4)))/HJour,4),""))</f>
        <v/>
      </c>
      <c r="AU814" s="37" t="str">
        <f aca="false">IF(AO814&lt;&gt;1,"",IF(OR(O814="",P814=""),"",IF(P814&lt;O814,"",ROUND(((NETWORKDAYS(O814,P814,JoursFeries)-1)*(HFer-HOuv)+IF(NETWORKDAYS(P814,P814,JoursFeries),MEDIAN(MOD(P814,1),HFer,HOuv),HFer)-IF(NETWORKDAYS(O814,O814,JoursFeries),MEDIAN(MOD(O814,1),HFer,HOuv),HOuv))*24,4))))</f>
        <v/>
      </c>
      <c r="AV814" s="37" t="str">
        <f aca="false">IF(AO814&lt;&gt;1,"",IF(OR(P814="",Q814=""),"",IF(Q814&lt;P814,"",ROUND(((NETWORKDAYS(P814,Q814,JoursFeries)-1)*(HFer-HOuv)+IF(NETWORKDAYS(Q814,Q814,JoursFeries),MEDIAN(MOD(Q814,1),HFer,HOuv),HFer)-IF(NETWORKDAYS(P814,P814,JoursFeries),MEDIAN(MOD(P814,1),HFer,HOuv),HOuv))*24,4))))</f>
        <v/>
      </c>
      <c r="AW814" s="37" t="str">
        <f aca="false">IF(AO814&lt;&gt;1,"",IFERROR(ROUND(IF(OR(P814="",R814=""),"",IF(R814&lt;P814,"",ROUND(((NETWORKDAYS(P814,R814,JoursFeries)-1)*(HFer-HOuv)+IF(NETWORKDAYS(R814,R814,JoursFeries),MEDIAN(MOD(R814,1),HFer,HOuv),HFer)-IF(NETWORKDAYS(P814,P814,JoursFeries),MEDIAN(MOD(P814,1),HFer,HOuv),HOuv))*24,4)))/HJour,4),""))</f>
        <v/>
      </c>
      <c r="AX814" s="37" t="str">
        <f aca="false">IF(AO814&lt;&gt;1,"",IFERROR(ROUND(IF(OR(P814="",S814=""),"",IF(S814&lt;P814,"",ROUND(((NETWORKDAYS(P814,S814,JoursFeries)-1)*(HFer-HOuv)+IF(NETWORKDAYS(S814,S814,JoursFeries),MEDIAN(MOD(S814,1),HFer,HOuv),HFer)-IF(NETWORKDAYS(P814,P814,JoursFeries),MEDIAN(MOD(P814,1),HFer,HOuv),HOuv))*24,4)))/HJour,4),""))</f>
        <v/>
      </c>
      <c r="AY814" s="36" t="str">
        <f aca="false">IF(OR(AO814&lt;&gt;1,AR814=""),"",INDEX(SLA_PEC,AR814))</f>
        <v/>
      </c>
      <c r="AZ814" s="35" t="str">
        <f aca="false">IF(OR(AV814="",AY814=""),"",IF(AV814&lt;=AY814,1,0))</f>
        <v/>
      </c>
      <c r="BA814" s="36" t="str">
        <f aca="false">IF(OR(AO814&lt;&gt;1,AR814=""),"",INDEX(SLA_RES,AR814))</f>
        <v/>
      </c>
      <c r="BB814" s="35" t="str">
        <f aca="false">IF(OR(AW814="",BA814=""),"",IF(AW814&lt;=BA814,1,0))</f>
        <v/>
      </c>
      <c r="BC814" s="38" t="str">
        <f aca="false">IF(OR(BA814="",P814=""),"",WORKDAY(INT(P814),BA814,JoursFeries)+MOD(P814,1))</f>
        <v/>
      </c>
      <c r="BD814" s="39" t="str">
        <f aca="false">IF(AO814&lt;&gt;1,"",IF(OR(AB814&lt;&gt;"",AD814&lt;&gt;""),4,IF(U814&lt;&gt;"",3,IF(T814&lt;&gt;"",2,1))))</f>
        <v/>
      </c>
      <c r="BE814" s="39" t="str">
        <f aca="false">IF(OR(AO814&lt;&gt;1,AR814=""),"",INDEX(NIV_REQ,AR814))</f>
        <v/>
      </c>
      <c r="BF814" s="39" t="str">
        <f aca="false">IF(BE814="","",MAX(BE814,IF(OR(K814="Oui",Z814="Oui"),4,1)))</f>
        <v/>
      </c>
      <c r="BG814" s="35" t="str">
        <f aca="false">IF(OR(BF814="",BD814=""),"",IF(BD814&gt;=BF814,1,0))</f>
        <v/>
      </c>
      <c r="BH814" s="38" t="str">
        <f aca="false">IF(BE814="","",IF(BE814&lt;2,"",IF(BE814=2,IF(AND(T814="",U814=""),"",MIN(T814,U814)),IF(U814="","",U814))))</f>
        <v/>
      </c>
      <c r="BI814" s="37" t="str">
        <f aca="false">IF(BH814="","",IF(OR(O814="",BH814=""),"",IF(BH814&lt;O814,"",ROUND(((NETWORKDAYS(O814,BH814,JoursFeries)-1)*(HFer-HOuv)+IF(NETWORKDAYS(BH814,BH814,JoursFeries),MEDIAN(MOD(BH814,1),HFer,HOuv),HFer)-IF(NETWORKDAYS(O814,O814,JoursFeries),MEDIAN(MOD(O814,1),HFer,HOuv),HOuv))*24,4))))</f>
        <v/>
      </c>
      <c r="BJ814" s="35" t="str">
        <f aca="false">IF(OR(BI814="",AR814=""),"",IF(BI814&lt;=INDEX(DELAI_ESC,AR814),1,0))</f>
        <v/>
      </c>
      <c r="BK814" s="38" t="str">
        <f aca="false">IF(AO814&lt;&gt;1,"",IF(AND(T814="",U814=""),"",MIN(T814,U814)))</f>
        <v/>
      </c>
      <c r="BL814" s="37" t="str">
        <f aca="false">IF(OR(BK814="",R814=""),"",IFERROR(ROUND(IF(OR(BK814="",R814=""),"",IF(R814&lt;BK814,"",ROUND(((NETWORKDAYS(BK814,R814,JoursFeries)-1)*(HFer-HOuv)+IF(NETWORKDAYS(R814,R814,JoursFeries),MEDIAN(MOD(R814,1),HFer,HOuv),HFer)-IF(NETWORKDAYS(BK814,BK814,JoursFeries),MEDIAN(MOD(BK814,1),HFer,HOuv),HOuv))*24,4)))/HJour,4),""))</f>
        <v/>
      </c>
      <c r="BM814" s="35" t="str">
        <f aca="false">IF(OR(AO814&lt;&gt;1,R814=""),"",IF(BD814=1,1,0))</f>
        <v/>
      </c>
      <c r="BN814" s="35" t="str">
        <f aca="false">IF(AO814&lt;&gt;1,"",IF(W814="Oui",1,0))</f>
        <v/>
      </c>
      <c r="BO814" s="35" t="str">
        <f aca="false">IF(AO814&lt;&gt;1,"",IF(X814&lt;&gt;"",1,0))</f>
        <v/>
      </c>
      <c r="BP814" s="35" t="str">
        <f aca="false">IF(AO814&lt;&gt;1,"",IF(Y814="Oui",1,0))</f>
        <v/>
      </c>
      <c r="BQ814" s="35" t="str">
        <f aca="true">IF(OR(AO814&lt;&gt;1,Z814&lt;&gt;"Oui"),"",IF(AB814="",IF(AND(AA814&lt;&gt;"",NOW()&gt;AA814),0,""),IF(AA814="","",IF(AB814&lt;=AA814,1,0))))</f>
        <v/>
      </c>
      <c r="BR814" s="38" t="str">
        <f aca="false">IF(OR(AO814&lt;&gt;1,K814&lt;&gt;"Oui",O814=""),"",IF(AC814="",O814+DORA_H_DET/24,IF(AC814-O814&lt;=DORA_H_DET/24,MIN(AC814+DORA_H_CLA/24,O814+DORA_H_DET/24),AC814+DORA_H_CLA/24)))</f>
        <v/>
      </c>
      <c r="BS814" s="35" t="str">
        <f aca="true">IF(BR814="","",IF(AD814="",IF(NOW()&gt;BR814,0,""),IF(AD814&lt;=BR814,1,0)))</f>
        <v/>
      </c>
      <c r="BT814" s="35" t="str">
        <f aca="true">IF(OR(BR814="",AD814=""),"",IF(AE814="",IF(NOW()&gt;AD814+DORA_H_INT/24,0,""),IF(AE814&lt;=AD814+DORA_H_INT/24,1,0)))</f>
        <v/>
      </c>
      <c r="BU814" s="35" t="str">
        <f aca="true">IF(OR(BR814="",AE814=""),"",IF(AF814="",IF(NOW()&gt;EDATE(AE814,DORA_M_FIN)+1,0,""),IF(AF814&lt;=EDATE(AE814,DORA_M_FIN),1,0)))</f>
        <v/>
      </c>
      <c r="BV814" s="35" t="str">
        <f aca="false">IF(BR814="","",IF(COUNT(BS814:BU814)=0,"",MIN(BS814:BU814)))</f>
        <v/>
      </c>
      <c r="BW814" s="40" t="str">
        <f aca="false">IF(AQ814&lt;&gt;1,"",IF(AND(AG814="",AH814=""),"",N(AG814)-N(AH814)))</f>
        <v/>
      </c>
      <c r="BX814" s="35" t="str">
        <f aca="true">IF(OR(AQ814&lt;&gt;1,AI814&lt;&gt;"Oui",AJ814=""),"",IF(AK814="",IF(NOW()&gt;AJ814+1,0,""),IF(AK814&lt;=AJ814,1,0)))</f>
        <v/>
      </c>
    </row>
    <row r="815" customFormat="false" ht="15" hidden="false" customHeight="false" outlineLevel="0" collapsed="false">
      <c r="B815" s="29"/>
      <c r="C815" s="29"/>
      <c r="D815" s="29"/>
      <c r="E815" s="29"/>
      <c r="F815" s="29"/>
      <c r="G815" s="29"/>
      <c r="H815" s="29"/>
      <c r="I815" s="29"/>
      <c r="J815" s="29"/>
      <c r="K815" s="29"/>
      <c r="L815" s="29"/>
      <c r="M815" s="29"/>
      <c r="N815" s="30"/>
      <c r="O815" s="30"/>
      <c r="P815" s="30"/>
      <c r="Q815" s="30"/>
      <c r="R815" s="30"/>
      <c r="S815" s="30"/>
      <c r="T815" s="30"/>
      <c r="U815" s="30"/>
      <c r="V815" s="31"/>
      <c r="W815" s="29"/>
      <c r="X815" s="29"/>
      <c r="Y815" s="29"/>
      <c r="Z815" s="29"/>
      <c r="AA815" s="30"/>
      <c r="AB815" s="30"/>
      <c r="AC815" s="30"/>
      <c r="AD815" s="30"/>
      <c r="AE815" s="30"/>
      <c r="AF815" s="32"/>
      <c r="AG815" s="33"/>
      <c r="AH815" s="33"/>
      <c r="AI815" s="29"/>
      <c r="AJ815" s="32"/>
      <c r="AK815" s="32"/>
      <c r="AL815" s="29"/>
      <c r="AN815" s="34" t="str">
        <f aca="false">IF($B815="","",IF(OR(C815="",D815="",E815="",G815="",I815="",J815="",L815="",O815="",P815=""),"Champ obligatoire manquant",IF(OR(AND(N815&lt;&gt;"",N815&gt;O815),O815&gt;P815,AND(Q815&lt;&gt;"",Q815&lt;P815),AND(R815&lt;&gt;"",R815&lt;P815),AND(S815&lt;&gt;"",S815&lt;R815),AND(S815&lt;&gt;"",R815=""),AND(T815&lt;&gt;"",T815&lt;O815),AND(U815&lt;&gt;"",U815&lt;O815)),"Chronologie incohérente",IF(AND(OR(L815="Résolu",L815="Clos"),R815=""),"Date de résolution manquante",IF(AND(L815="Clos",S815=""),"Date de clôture manquante",IF(AND(K815="Oui",AC815=""),"Classification DORA manquante","OK"))))))</f>
        <v/>
      </c>
      <c r="AO815" s="35" t="str">
        <f aca="false">IF($B815="","",IF(AND(C815="Incident",L815&lt;&gt;"Annulé"),1,0))</f>
        <v/>
      </c>
      <c r="AP815" s="35" t="str">
        <f aca="false">IF($B815="","",IF(AND(C815="Quasi-incident",L815&lt;&gt;"Annulé"),1,0))</f>
        <v/>
      </c>
      <c r="AQ815" s="35" t="str">
        <f aca="false">IF($B815="","",AO815+AP815)</f>
        <v/>
      </c>
      <c r="AR815" s="36" t="str">
        <f aca="false">IF(OR($B815="",J815=""),"",IFERROR(VALUE(LEFT(J815,1)),""))</f>
        <v/>
      </c>
      <c r="AS815" s="35" t="str">
        <f aca="false">IF(OR(AO815&lt;&gt;1,G815=""),"",IFERROR(IF(INDEX(L_SrcInterne,MATCH(G815,L_Sources,0))="Oui",1,0),""))</f>
        <v/>
      </c>
      <c r="AT815" s="37" t="str">
        <f aca="false">IF(AO815&lt;&gt;1,"",IFERROR(ROUND(IF(OR(N815="",O815=""),"",IF(O815&lt;N815,"",ROUND(((NETWORKDAYS(N815,O815,JoursFeries)-1)*(HFer-HOuv)+IF(NETWORKDAYS(O815,O815,JoursFeries),MEDIAN(MOD(O815,1),HFer,HOuv),HFer)-IF(NETWORKDAYS(N815,N815,JoursFeries),MEDIAN(MOD(N815,1),HFer,HOuv),HOuv))*24,4)))/HJour,4),""))</f>
        <v/>
      </c>
      <c r="AU815" s="37" t="str">
        <f aca="false">IF(AO815&lt;&gt;1,"",IF(OR(O815="",P815=""),"",IF(P815&lt;O815,"",ROUND(((NETWORKDAYS(O815,P815,JoursFeries)-1)*(HFer-HOuv)+IF(NETWORKDAYS(P815,P815,JoursFeries),MEDIAN(MOD(P815,1),HFer,HOuv),HFer)-IF(NETWORKDAYS(O815,O815,JoursFeries),MEDIAN(MOD(O815,1),HFer,HOuv),HOuv))*24,4))))</f>
        <v/>
      </c>
      <c r="AV815" s="37" t="str">
        <f aca="false">IF(AO815&lt;&gt;1,"",IF(OR(P815="",Q815=""),"",IF(Q815&lt;P815,"",ROUND(((NETWORKDAYS(P815,Q815,JoursFeries)-1)*(HFer-HOuv)+IF(NETWORKDAYS(Q815,Q815,JoursFeries),MEDIAN(MOD(Q815,1),HFer,HOuv),HFer)-IF(NETWORKDAYS(P815,P815,JoursFeries),MEDIAN(MOD(P815,1),HFer,HOuv),HOuv))*24,4))))</f>
        <v/>
      </c>
      <c r="AW815" s="37" t="str">
        <f aca="false">IF(AO815&lt;&gt;1,"",IFERROR(ROUND(IF(OR(P815="",R815=""),"",IF(R815&lt;P815,"",ROUND(((NETWORKDAYS(P815,R815,JoursFeries)-1)*(HFer-HOuv)+IF(NETWORKDAYS(R815,R815,JoursFeries),MEDIAN(MOD(R815,1),HFer,HOuv),HFer)-IF(NETWORKDAYS(P815,P815,JoursFeries),MEDIAN(MOD(P815,1),HFer,HOuv),HOuv))*24,4)))/HJour,4),""))</f>
        <v/>
      </c>
      <c r="AX815" s="37" t="str">
        <f aca="false">IF(AO815&lt;&gt;1,"",IFERROR(ROUND(IF(OR(P815="",S815=""),"",IF(S815&lt;P815,"",ROUND(((NETWORKDAYS(P815,S815,JoursFeries)-1)*(HFer-HOuv)+IF(NETWORKDAYS(S815,S815,JoursFeries),MEDIAN(MOD(S815,1),HFer,HOuv),HFer)-IF(NETWORKDAYS(P815,P815,JoursFeries),MEDIAN(MOD(P815,1),HFer,HOuv),HOuv))*24,4)))/HJour,4),""))</f>
        <v/>
      </c>
      <c r="AY815" s="36" t="str">
        <f aca="false">IF(OR(AO815&lt;&gt;1,AR815=""),"",INDEX(SLA_PEC,AR815))</f>
        <v/>
      </c>
      <c r="AZ815" s="35" t="str">
        <f aca="false">IF(OR(AV815="",AY815=""),"",IF(AV815&lt;=AY815,1,0))</f>
        <v/>
      </c>
      <c r="BA815" s="36" t="str">
        <f aca="false">IF(OR(AO815&lt;&gt;1,AR815=""),"",INDEX(SLA_RES,AR815))</f>
        <v/>
      </c>
      <c r="BB815" s="35" t="str">
        <f aca="false">IF(OR(AW815="",BA815=""),"",IF(AW815&lt;=BA815,1,0))</f>
        <v/>
      </c>
      <c r="BC815" s="38" t="str">
        <f aca="false">IF(OR(BA815="",P815=""),"",WORKDAY(INT(P815),BA815,JoursFeries)+MOD(P815,1))</f>
        <v/>
      </c>
      <c r="BD815" s="39" t="str">
        <f aca="false">IF(AO815&lt;&gt;1,"",IF(OR(AB815&lt;&gt;"",AD815&lt;&gt;""),4,IF(U815&lt;&gt;"",3,IF(T815&lt;&gt;"",2,1))))</f>
        <v/>
      </c>
      <c r="BE815" s="39" t="str">
        <f aca="false">IF(OR(AO815&lt;&gt;1,AR815=""),"",INDEX(NIV_REQ,AR815))</f>
        <v/>
      </c>
      <c r="BF815" s="39" t="str">
        <f aca="false">IF(BE815="","",MAX(BE815,IF(OR(K815="Oui",Z815="Oui"),4,1)))</f>
        <v/>
      </c>
      <c r="BG815" s="35" t="str">
        <f aca="false">IF(OR(BF815="",BD815=""),"",IF(BD815&gt;=BF815,1,0))</f>
        <v/>
      </c>
      <c r="BH815" s="38" t="str">
        <f aca="false">IF(BE815="","",IF(BE815&lt;2,"",IF(BE815=2,IF(AND(T815="",U815=""),"",MIN(T815,U815)),IF(U815="","",U815))))</f>
        <v/>
      </c>
      <c r="BI815" s="37" t="str">
        <f aca="false">IF(BH815="","",IF(OR(O815="",BH815=""),"",IF(BH815&lt;O815,"",ROUND(((NETWORKDAYS(O815,BH815,JoursFeries)-1)*(HFer-HOuv)+IF(NETWORKDAYS(BH815,BH815,JoursFeries),MEDIAN(MOD(BH815,1),HFer,HOuv),HFer)-IF(NETWORKDAYS(O815,O815,JoursFeries),MEDIAN(MOD(O815,1),HFer,HOuv),HOuv))*24,4))))</f>
        <v/>
      </c>
      <c r="BJ815" s="35" t="str">
        <f aca="false">IF(OR(BI815="",AR815=""),"",IF(BI815&lt;=INDEX(DELAI_ESC,AR815),1,0))</f>
        <v/>
      </c>
      <c r="BK815" s="38" t="str">
        <f aca="false">IF(AO815&lt;&gt;1,"",IF(AND(T815="",U815=""),"",MIN(T815,U815)))</f>
        <v/>
      </c>
      <c r="BL815" s="37" t="str">
        <f aca="false">IF(OR(BK815="",R815=""),"",IFERROR(ROUND(IF(OR(BK815="",R815=""),"",IF(R815&lt;BK815,"",ROUND(((NETWORKDAYS(BK815,R815,JoursFeries)-1)*(HFer-HOuv)+IF(NETWORKDAYS(R815,R815,JoursFeries),MEDIAN(MOD(R815,1),HFer,HOuv),HFer)-IF(NETWORKDAYS(BK815,BK815,JoursFeries),MEDIAN(MOD(BK815,1),HFer,HOuv),HOuv))*24,4)))/HJour,4),""))</f>
        <v/>
      </c>
      <c r="BM815" s="35" t="str">
        <f aca="false">IF(OR(AO815&lt;&gt;1,R815=""),"",IF(BD815=1,1,0))</f>
        <v/>
      </c>
      <c r="BN815" s="35" t="str">
        <f aca="false">IF(AO815&lt;&gt;1,"",IF(W815="Oui",1,0))</f>
        <v/>
      </c>
      <c r="BO815" s="35" t="str">
        <f aca="false">IF(AO815&lt;&gt;1,"",IF(X815&lt;&gt;"",1,0))</f>
        <v/>
      </c>
      <c r="BP815" s="35" t="str">
        <f aca="false">IF(AO815&lt;&gt;1,"",IF(Y815="Oui",1,0))</f>
        <v/>
      </c>
      <c r="BQ815" s="35" t="str">
        <f aca="true">IF(OR(AO815&lt;&gt;1,Z815&lt;&gt;"Oui"),"",IF(AB815="",IF(AND(AA815&lt;&gt;"",NOW()&gt;AA815),0,""),IF(AA815="","",IF(AB815&lt;=AA815,1,0))))</f>
        <v/>
      </c>
      <c r="BR815" s="38" t="str">
        <f aca="false">IF(OR(AO815&lt;&gt;1,K815&lt;&gt;"Oui",O815=""),"",IF(AC815="",O815+DORA_H_DET/24,IF(AC815-O815&lt;=DORA_H_DET/24,MIN(AC815+DORA_H_CLA/24,O815+DORA_H_DET/24),AC815+DORA_H_CLA/24)))</f>
        <v/>
      </c>
      <c r="BS815" s="35" t="str">
        <f aca="true">IF(BR815="","",IF(AD815="",IF(NOW()&gt;BR815,0,""),IF(AD815&lt;=BR815,1,0)))</f>
        <v/>
      </c>
      <c r="BT815" s="35" t="str">
        <f aca="true">IF(OR(BR815="",AD815=""),"",IF(AE815="",IF(NOW()&gt;AD815+DORA_H_INT/24,0,""),IF(AE815&lt;=AD815+DORA_H_INT/24,1,0)))</f>
        <v/>
      </c>
      <c r="BU815" s="35" t="str">
        <f aca="true">IF(OR(BR815="",AE815=""),"",IF(AF815="",IF(NOW()&gt;EDATE(AE815,DORA_M_FIN)+1,0,""),IF(AF815&lt;=EDATE(AE815,DORA_M_FIN),1,0)))</f>
        <v/>
      </c>
      <c r="BV815" s="35" t="str">
        <f aca="false">IF(BR815="","",IF(COUNT(BS815:BU815)=0,"",MIN(BS815:BU815)))</f>
        <v/>
      </c>
      <c r="BW815" s="40" t="str">
        <f aca="false">IF(AQ815&lt;&gt;1,"",IF(AND(AG815="",AH815=""),"",N(AG815)-N(AH815)))</f>
        <v/>
      </c>
      <c r="BX815" s="35" t="str">
        <f aca="true">IF(OR(AQ815&lt;&gt;1,AI815&lt;&gt;"Oui",AJ815=""),"",IF(AK815="",IF(NOW()&gt;AJ815+1,0,""),IF(AK815&lt;=AJ815,1,0)))</f>
        <v/>
      </c>
    </row>
    <row r="816" customFormat="false" ht="15" hidden="false" customHeight="false" outlineLevel="0" collapsed="false">
      <c r="B816" s="29"/>
      <c r="C816" s="29"/>
      <c r="D816" s="29"/>
      <c r="E816" s="29"/>
      <c r="F816" s="29"/>
      <c r="G816" s="29"/>
      <c r="H816" s="29"/>
      <c r="I816" s="29"/>
      <c r="J816" s="29"/>
      <c r="K816" s="29"/>
      <c r="L816" s="29"/>
      <c r="M816" s="29"/>
      <c r="N816" s="30"/>
      <c r="O816" s="30"/>
      <c r="P816" s="30"/>
      <c r="Q816" s="30"/>
      <c r="R816" s="30"/>
      <c r="S816" s="30"/>
      <c r="T816" s="30"/>
      <c r="U816" s="30"/>
      <c r="V816" s="31"/>
      <c r="W816" s="29"/>
      <c r="X816" s="29"/>
      <c r="Y816" s="29"/>
      <c r="Z816" s="29"/>
      <c r="AA816" s="30"/>
      <c r="AB816" s="30"/>
      <c r="AC816" s="30"/>
      <c r="AD816" s="30"/>
      <c r="AE816" s="30"/>
      <c r="AF816" s="32"/>
      <c r="AG816" s="33"/>
      <c r="AH816" s="33"/>
      <c r="AI816" s="29"/>
      <c r="AJ816" s="32"/>
      <c r="AK816" s="32"/>
      <c r="AL816" s="29"/>
      <c r="AN816" s="34" t="str">
        <f aca="false">IF($B816="","",IF(OR(C816="",D816="",E816="",G816="",I816="",J816="",L816="",O816="",P816=""),"Champ obligatoire manquant",IF(OR(AND(N816&lt;&gt;"",N816&gt;O816),O816&gt;P816,AND(Q816&lt;&gt;"",Q816&lt;P816),AND(R816&lt;&gt;"",R816&lt;P816),AND(S816&lt;&gt;"",S816&lt;R816),AND(S816&lt;&gt;"",R816=""),AND(T816&lt;&gt;"",T816&lt;O816),AND(U816&lt;&gt;"",U816&lt;O816)),"Chronologie incohérente",IF(AND(OR(L816="Résolu",L816="Clos"),R816=""),"Date de résolution manquante",IF(AND(L816="Clos",S816=""),"Date de clôture manquante",IF(AND(K816="Oui",AC816=""),"Classification DORA manquante","OK"))))))</f>
        <v/>
      </c>
      <c r="AO816" s="35" t="str">
        <f aca="false">IF($B816="","",IF(AND(C816="Incident",L816&lt;&gt;"Annulé"),1,0))</f>
        <v/>
      </c>
      <c r="AP816" s="35" t="str">
        <f aca="false">IF($B816="","",IF(AND(C816="Quasi-incident",L816&lt;&gt;"Annulé"),1,0))</f>
        <v/>
      </c>
      <c r="AQ816" s="35" t="str">
        <f aca="false">IF($B816="","",AO816+AP816)</f>
        <v/>
      </c>
      <c r="AR816" s="36" t="str">
        <f aca="false">IF(OR($B816="",J816=""),"",IFERROR(VALUE(LEFT(J816,1)),""))</f>
        <v/>
      </c>
      <c r="AS816" s="35" t="str">
        <f aca="false">IF(OR(AO816&lt;&gt;1,G816=""),"",IFERROR(IF(INDEX(L_SrcInterne,MATCH(G816,L_Sources,0))="Oui",1,0),""))</f>
        <v/>
      </c>
      <c r="AT816" s="37" t="str">
        <f aca="false">IF(AO816&lt;&gt;1,"",IFERROR(ROUND(IF(OR(N816="",O816=""),"",IF(O816&lt;N816,"",ROUND(((NETWORKDAYS(N816,O816,JoursFeries)-1)*(HFer-HOuv)+IF(NETWORKDAYS(O816,O816,JoursFeries),MEDIAN(MOD(O816,1),HFer,HOuv),HFer)-IF(NETWORKDAYS(N816,N816,JoursFeries),MEDIAN(MOD(N816,1),HFer,HOuv),HOuv))*24,4)))/HJour,4),""))</f>
        <v/>
      </c>
      <c r="AU816" s="37" t="str">
        <f aca="false">IF(AO816&lt;&gt;1,"",IF(OR(O816="",P816=""),"",IF(P816&lt;O816,"",ROUND(((NETWORKDAYS(O816,P816,JoursFeries)-1)*(HFer-HOuv)+IF(NETWORKDAYS(P816,P816,JoursFeries),MEDIAN(MOD(P816,1),HFer,HOuv),HFer)-IF(NETWORKDAYS(O816,O816,JoursFeries),MEDIAN(MOD(O816,1),HFer,HOuv),HOuv))*24,4))))</f>
        <v/>
      </c>
      <c r="AV816" s="37" t="str">
        <f aca="false">IF(AO816&lt;&gt;1,"",IF(OR(P816="",Q816=""),"",IF(Q816&lt;P816,"",ROUND(((NETWORKDAYS(P816,Q816,JoursFeries)-1)*(HFer-HOuv)+IF(NETWORKDAYS(Q816,Q816,JoursFeries),MEDIAN(MOD(Q816,1),HFer,HOuv),HFer)-IF(NETWORKDAYS(P816,P816,JoursFeries),MEDIAN(MOD(P816,1),HFer,HOuv),HOuv))*24,4))))</f>
        <v/>
      </c>
      <c r="AW816" s="37" t="str">
        <f aca="false">IF(AO816&lt;&gt;1,"",IFERROR(ROUND(IF(OR(P816="",R816=""),"",IF(R816&lt;P816,"",ROUND(((NETWORKDAYS(P816,R816,JoursFeries)-1)*(HFer-HOuv)+IF(NETWORKDAYS(R816,R816,JoursFeries),MEDIAN(MOD(R816,1),HFer,HOuv),HFer)-IF(NETWORKDAYS(P816,P816,JoursFeries),MEDIAN(MOD(P816,1),HFer,HOuv),HOuv))*24,4)))/HJour,4),""))</f>
        <v/>
      </c>
      <c r="AX816" s="37" t="str">
        <f aca="false">IF(AO816&lt;&gt;1,"",IFERROR(ROUND(IF(OR(P816="",S816=""),"",IF(S816&lt;P816,"",ROUND(((NETWORKDAYS(P816,S816,JoursFeries)-1)*(HFer-HOuv)+IF(NETWORKDAYS(S816,S816,JoursFeries),MEDIAN(MOD(S816,1),HFer,HOuv),HFer)-IF(NETWORKDAYS(P816,P816,JoursFeries),MEDIAN(MOD(P816,1),HFer,HOuv),HOuv))*24,4)))/HJour,4),""))</f>
        <v/>
      </c>
      <c r="AY816" s="36" t="str">
        <f aca="false">IF(OR(AO816&lt;&gt;1,AR816=""),"",INDEX(SLA_PEC,AR816))</f>
        <v/>
      </c>
      <c r="AZ816" s="35" t="str">
        <f aca="false">IF(OR(AV816="",AY816=""),"",IF(AV816&lt;=AY816,1,0))</f>
        <v/>
      </c>
      <c r="BA816" s="36" t="str">
        <f aca="false">IF(OR(AO816&lt;&gt;1,AR816=""),"",INDEX(SLA_RES,AR816))</f>
        <v/>
      </c>
      <c r="BB816" s="35" t="str">
        <f aca="false">IF(OR(AW816="",BA816=""),"",IF(AW816&lt;=BA816,1,0))</f>
        <v/>
      </c>
      <c r="BC816" s="38" t="str">
        <f aca="false">IF(OR(BA816="",P816=""),"",WORKDAY(INT(P816),BA816,JoursFeries)+MOD(P816,1))</f>
        <v/>
      </c>
      <c r="BD816" s="39" t="str">
        <f aca="false">IF(AO816&lt;&gt;1,"",IF(OR(AB816&lt;&gt;"",AD816&lt;&gt;""),4,IF(U816&lt;&gt;"",3,IF(T816&lt;&gt;"",2,1))))</f>
        <v/>
      </c>
      <c r="BE816" s="39" t="str">
        <f aca="false">IF(OR(AO816&lt;&gt;1,AR816=""),"",INDEX(NIV_REQ,AR816))</f>
        <v/>
      </c>
      <c r="BF816" s="39" t="str">
        <f aca="false">IF(BE816="","",MAX(BE816,IF(OR(K816="Oui",Z816="Oui"),4,1)))</f>
        <v/>
      </c>
      <c r="BG816" s="35" t="str">
        <f aca="false">IF(OR(BF816="",BD816=""),"",IF(BD816&gt;=BF816,1,0))</f>
        <v/>
      </c>
      <c r="BH816" s="38" t="str">
        <f aca="false">IF(BE816="","",IF(BE816&lt;2,"",IF(BE816=2,IF(AND(T816="",U816=""),"",MIN(T816,U816)),IF(U816="","",U816))))</f>
        <v/>
      </c>
      <c r="BI816" s="37" t="str">
        <f aca="false">IF(BH816="","",IF(OR(O816="",BH816=""),"",IF(BH816&lt;O816,"",ROUND(((NETWORKDAYS(O816,BH816,JoursFeries)-1)*(HFer-HOuv)+IF(NETWORKDAYS(BH816,BH816,JoursFeries),MEDIAN(MOD(BH816,1),HFer,HOuv),HFer)-IF(NETWORKDAYS(O816,O816,JoursFeries),MEDIAN(MOD(O816,1),HFer,HOuv),HOuv))*24,4))))</f>
        <v/>
      </c>
      <c r="BJ816" s="35" t="str">
        <f aca="false">IF(OR(BI816="",AR816=""),"",IF(BI816&lt;=INDEX(DELAI_ESC,AR816),1,0))</f>
        <v/>
      </c>
      <c r="BK816" s="38" t="str">
        <f aca="false">IF(AO816&lt;&gt;1,"",IF(AND(T816="",U816=""),"",MIN(T816,U816)))</f>
        <v/>
      </c>
      <c r="BL816" s="37" t="str">
        <f aca="false">IF(OR(BK816="",R816=""),"",IFERROR(ROUND(IF(OR(BK816="",R816=""),"",IF(R816&lt;BK816,"",ROUND(((NETWORKDAYS(BK816,R816,JoursFeries)-1)*(HFer-HOuv)+IF(NETWORKDAYS(R816,R816,JoursFeries),MEDIAN(MOD(R816,1),HFer,HOuv),HFer)-IF(NETWORKDAYS(BK816,BK816,JoursFeries),MEDIAN(MOD(BK816,1),HFer,HOuv),HOuv))*24,4)))/HJour,4),""))</f>
        <v/>
      </c>
      <c r="BM816" s="35" t="str">
        <f aca="false">IF(OR(AO816&lt;&gt;1,R816=""),"",IF(BD816=1,1,0))</f>
        <v/>
      </c>
      <c r="BN816" s="35" t="str">
        <f aca="false">IF(AO816&lt;&gt;1,"",IF(W816="Oui",1,0))</f>
        <v/>
      </c>
      <c r="BO816" s="35" t="str">
        <f aca="false">IF(AO816&lt;&gt;1,"",IF(X816&lt;&gt;"",1,0))</f>
        <v/>
      </c>
      <c r="BP816" s="35" t="str">
        <f aca="false">IF(AO816&lt;&gt;1,"",IF(Y816="Oui",1,0))</f>
        <v/>
      </c>
      <c r="BQ816" s="35" t="str">
        <f aca="true">IF(OR(AO816&lt;&gt;1,Z816&lt;&gt;"Oui"),"",IF(AB816="",IF(AND(AA816&lt;&gt;"",NOW()&gt;AA816),0,""),IF(AA816="","",IF(AB816&lt;=AA816,1,0))))</f>
        <v/>
      </c>
      <c r="BR816" s="38" t="str">
        <f aca="false">IF(OR(AO816&lt;&gt;1,K816&lt;&gt;"Oui",O816=""),"",IF(AC816="",O816+DORA_H_DET/24,IF(AC816-O816&lt;=DORA_H_DET/24,MIN(AC816+DORA_H_CLA/24,O816+DORA_H_DET/24),AC816+DORA_H_CLA/24)))</f>
        <v/>
      </c>
      <c r="BS816" s="35" t="str">
        <f aca="true">IF(BR816="","",IF(AD816="",IF(NOW()&gt;BR816,0,""),IF(AD816&lt;=BR816,1,0)))</f>
        <v/>
      </c>
      <c r="BT816" s="35" t="str">
        <f aca="true">IF(OR(BR816="",AD816=""),"",IF(AE816="",IF(NOW()&gt;AD816+DORA_H_INT/24,0,""),IF(AE816&lt;=AD816+DORA_H_INT/24,1,0)))</f>
        <v/>
      </c>
      <c r="BU816" s="35" t="str">
        <f aca="true">IF(OR(BR816="",AE816=""),"",IF(AF816="",IF(NOW()&gt;EDATE(AE816,DORA_M_FIN)+1,0,""),IF(AF816&lt;=EDATE(AE816,DORA_M_FIN),1,0)))</f>
        <v/>
      </c>
      <c r="BV816" s="35" t="str">
        <f aca="false">IF(BR816="","",IF(COUNT(BS816:BU816)=0,"",MIN(BS816:BU816)))</f>
        <v/>
      </c>
      <c r="BW816" s="40" t="str">
        <f aca="false">IF(AQ816&lt;&gt;1,"",IF(AND(AG816="",AH816=""),"",N(AG816)-N(AH816)))</f>
        <v/>
      </c>
      <c r="BX816" s="35" t="str">
        <f aca="true">IF(OR(AQ816&lt;&gt;1,AI816&lt;&gt;"Oui",AJ816=""),"",IF(AK816="",IF(NOW()&gt;AJ816+1,0,""),IF(AK816&lt;=AJ816,1,0)))</f>
        <v/>
      </c>
    </row>
    <row r="817" customFormat="false" ht="15" hidden="false" customHeight="false" outlineLevel="0" collapsed="false">
      <c r="B817" s="29"/>
      <c r="C817" s="29"/>
      <c r="D817" s="29"/>
      <c r="E817" s="29"/>
      <c r="F817" s="29"/>
      <c r="G817" s="29"/>
      <c r="H817" s="29"/>
      <c r="I817" s="29"/>
      <c r="J817" s="29"/>
      <c r="K817" s="29"/>
      <c r="L817" s="29"/>
      <c r="M817" s="29"/>
      <c r="N817" s="30"/>
      <c r="O817" s="30"/>
      <c r="P817" s="30"/>
      <c r="Q817" s="30"/>
      <c r="R817" s="30"/>
      <c r="S817" s="30"/>
      <c r="T817" s="30"/>
      <c r="U817" s="30"/>
      <c r="V817" s="31"/>
      <c r="W817" s="29"/>
      <c r="X817" s="29"/>
      <c r="Y817" s="29"/>
      <c r="Z817" s="29"/>
      <c r="AA817" s="30"/>
      <c r="AB817" s="30"/>
      <c r="AC817" s="30"/>
      <c r="AD817" s="30"/>
      <c r="AE817" s="30"/>
      <c r="AF817" s="32"/>
      <c r="AG817" s="33"/>
      <c r="AH817" s="33"/>
      <c r="AI817" s="29"/>
      <c r="AJ817" s="32"/>
      <c r="AK817" s="32"/>
      <c r="AL817" s="29"/>
      <c r="AN817" s="34" t="str">
        <f aca="false">IF($B817="","",IF(OR(C817="",D817="",E817="",G817="",I817="",J817="",L817="",O817="",P817=""),"Champ obligatoire manquant",IF(OR(AND(N817&lt;&gt;"",N817&gt;O817),O817&gt;P817,AND(Q817&lt;&gt;"",Q817&lt;P817),AND(R817&lt;&gt;"",R817&lt;P817),AND(S817&lt;&gt;"",S817&lt;R817),AND(S817&lt;&gt;"",R817=""),AND(T817&lt;&gt;"",T817&lt;O817),AND(U817&lt;&gt;"",U817&lt;O817)),"Chronologie incohérente",IF(AND(OR(L817="Résolu",L817="Clos"),R817=""),"Date de résolution manquante",IF(AND(L817="Clos",S817=""),"Date de clôture manquante",IF(AND(K817="Oui",AC817=""),"Classification DORA manquante","OK"))))))</f>
        <v/>
      </c>
      <c r="AO817" s="35" t="str">
        <f aca="false">IF($B817="","",IF(AND(C817="Incident",L817&lt;&gt;"Annulé"),1,0))</f>
        <v/>
      </c>
      <c r="AP817" s="35" t="str">
        <f aca="false">IF($B817="","",IF(AND(C817="Quasi-incident",L817&lt;&gt;"Annulé"),1,0))</f>
        <v/>
      </c>
      <c r="AQ817" s="35" t="str">
        <f aca="false">IF($B817="","",AO817+AP817)</f>
        <v/>
      </c>
      <c r="AR817" s="36" t="str">
        <f aca="false">IF(OR($B817="",J817=""),"",IFERROR(VALUE(LEFT(J817,1)),""))</f>
        <v/>
      </c>
      <c r="AS817" s="35" t="str">
        <f aca="false">IF(OR(AO817&lt;&gt;1,G817=""),"",IFERROR(IF(INDEX(L_SrcInterne,MATCH(G817,L_Sources,0))="Oui",1,0),""))</f>
        <v/>
      </c>
      <c r="AT817" s="37" t="str">
        <f aca="false">IF(AO817&lt;&gt;1,"",IFERROR(ROUND(IF(OR(N817="",O817=""),"",IF(O817&lt;N817,"",ROUND(((NETWORKDAYS(N817,O817,JoursFeries)-1)*(HFer-HOuv)+IF(NETWORKDAYS(O817,O817,JoursFeries),MEDIAN(MOD(O817,1),HFer,HOuv),HFer)-IF(NETWORKDAYS(N817,N817,JoursFeries),MEDIAN(MOD(N817,1),HFer,HOuv),HOuv))*24,4)))/HJour,4),""))</f>
        <v/>
      </c>
      <c r="AU817" s="37" t="str">
        <f aca="false">IF(AO817&lt;&gt;1,"",IF(OR(O817="",P817=""),"",IF(P817&lt;O817,"",ROUND(((NETWORKDAYS(O817,P817,JoursFeries)-1)*(HFer-HOuv)+IF(NETWORKDAYS(P817,P817,JoursFeries),MEDIAN(MOD(P817,1),HFer,HOuv),HFer)-IF(NETWORKDAYS(O817,O817,JoursFeries),MEDIAN(MOD(O817,1),HFer,HOuv),HOuv))*24,4))))</f>
        <v/>
      </c>
      <c r="AV817" s="37" t="str">
        <f aca="false">IF(AO817&lt;&gt;1,"",IF(OR(P817="",Q817=""),"",IF(Q817&lt;P817,"",ROUND(((NETWORKDAYS(P817,Q817,JoursFeries)-1)*(HFer-HOuv)+IF(NETWORKDAYS(Q817,Q817,JoursFeries),MEDIAN(MOD(Q817,1),HFer,HOuv),HFer)-IF(NETWORKDAYS(P817,P817,JoursFeries),MEDIAN(MOD(P817,1),HFer,HOuv),HOuv))*24,4))))</f>
        <v/>
      </c>
      <c r="AW817" s="37" t="str">
        <f aca="false">IF(AO817&lt;&gt;1,"",IFERROR(ROUND(IF(OR(P817="",R817=""),"",IF(R817&lt;P817,"",ROUND(((NETWORKDAYS(P817,R817,JoursFeries)-1)*(HFer-HOuv)+IF(NETWORKDAYS(R817,R817,JoursFeries),MEDIAN(MOD(R817,1),HFer,HOuv),HFer)-IF(NETWORKDAYS(P817,P817,JoursFeries),MEDIAN(MOD(P817,1),HFer,HOuv),HOuv))*24,4)))/HJour,4),""))</f>
        <v/>
      </c>
      <c r="AX817" s="37" t="str">
        <f aca="false">IF(AO817&lt;&gt;1,"",IFERROR(ROUND(IF(OR(P817="",S817=""),"",IF(S817&lt;P817,"",ROUND(((NETWORKDAYS(P817,S817,JoursFeries)-1)*(HFer-HOuv)+IF(NETWORKDAYS(S817,S817,JoursFeries),MEDIAN(MOD(S817,1),HFer,HOuv),HFer)-IF(NETWORKDAYS(P817,P817,JoursFeries),MEDIAN(MOD(P817,1),HFer,HOuv),HOuv))*24,4)))/HJour,4),""))</f>
        <v/>
      </c>
      <c r="AY817" s="36" t="str">
        <f aca="false">IF(OR(AO817&lt;&gt;1,AR817=""),"",INDEX(SLA_PEC,AR817))</f>
        <v/>
      </c>
      <c r="AZ817" s="35" t="str">
        <f aca="false">IF(OR(AV817="",AY817=""),"",IF(AV817&lt;=AY817,1,0))</f>
        <v/>
      </c>
      <c r="BA817" s="36" t="str">
        <f aca="false">IF(OR(AO817&lt;&gt;1,AR817=""),"",INDEX(SLA_RES,AR817))</f>
        <v/>
      </c>
      <c r="BB817" s="35" t="str">
        <f aca="false">IF(OR(AW817="",BA817=""),"",IF(AW817&lt;=BA817,1,0))</f>
        <v/>
      </c>
      <c r="BC817" s="38" t="str">
        <f aca="false">IF(OR(BA817="",P817=""),"",WORKDAY(INT(P817),BA817,JoursFeries)+MOD(P817,1))</f>
        <v/>
      </c>
      <c r="BD817" s="39" t="str">
        <f aca="false">IF(AO817&lt;&gt;1,"",IF(OR(AB817&lt;&gt;"",AD817&lt;&gt;""),4,IF(U817&lt;&gt;"",3,IF(T817&lt;&gt;"",2,1))))</f>
        <v/>
      </c>
      <c r="BE817" s="39" t="str">
        <f aca="false">IF(OR(AO817&lt;&gt;1,AR817=""),"",INDEX(NIV_REQ,AR817))</f>
        <v/>
      </c>
      <c r="BF817" s="39" t="str">
        <f aca="false">IF(BE817="","",MAX(BE817,IF(OR(K817="Oui",Z817="Oui"),4,1)))</f>
        <v/>
      </c>
      <c r="BG817" s="35" t="str">
        <f aca="false">IF(OR(BF817="",BD817=""),"",IF(BD817&gt;=BF817,1,0))</f>
        <v/>
      </c>
      <c r="BH817" s="38" t="str">
        <f aca="false">IF(BE817="","",IF(BE817&lt;2,"",IF(BE817=2,IF(AND(T817="",U817=""),"",MIN(T817,U817)),IF(U817="","",U817))))</f>
        <v/>
      </c>
      <c r="BI817" s="37" t="str">
        <f aca="false">IF(BH817="","",IF(OR(O817="",BH817=""),"",IF(BH817&lt;O817,"",ROUND(((NETWORKDAYS(O817,BH817,JoursFeries)-1)*(HFer-HOuv)+IF(NETWORKDAYS(BH817,BH817,JoursFeries),MEDIAN(MOD(BH817,1),HFer,HOuv),HFer)-IF(NETWORKDAYS(O817,O817,JoursFeries),MEDIAN(MOD(O817,1),HFer,HOuv),HOuv))*24,4))))</f>
        <v/>
      </c>
      <c r="BJ817" s="35" t="str">
        <f aca="false">IF(OR(BI817="",AR817=""),"",IF(BI817&lt;=INDEX(DELAI_ESC,AR817),1,0))</f>
        <v/>
      </c>
      <c r="BK817" s="38" t="str">
        <f aca="false">IF(AO817&lt;&gt;1,"",IF(AND(T817="",U817=""),"",MIN(T817,U817)))</f>
        <v/>
      </c>
      <c r="BL817" s="37" t="str">
        <f aca="false">IF(OR(BK817="",R817=""),"",IFERROR(ROUND(IF(OR(BK817="",R817=""),"",IF(R817&lt;BK817,"",ROUND(((NETWORKDAYS(BK817,R817,JoursFeries)-1)*(HFer-HOuv)+IF(NETWORKDAYS(R817,R817,JoursFeries),MEDIAN(MOD(R817,1),HFer,HOuv),HFer)-IF(NETWORKDAYS(BK817,BK817,JoursFeries),MEDIAN(MOD(BK817,1),HFer,HOuv),HOuv))*24,4)))/HJour,4),""))</f>
        <v/>
      </c>
      <c r="BM817" s="35" t="str">
        <f aca="false">IF(OR(AO817&lt;&gt;1,R817=""),"",IF(BD817=1,1,0))</f>
        <v/>
      </c>
      <c r="BN817" s="35" t="str">
        <f aca="false">IF(AO817&lt;&gt;1,"",IF(W817="Oui",1,0))</f>
        <v/>
      </c>
      <c r="BO817" s="35" t="str">
        <f aca="false">IF(AO817&lt;&gt;1,"",IF(X817&lt;&gt;"",1,0))</f>
        <v/>
      </c>
      <c r="BP817" s="35" t="str">
        <f aca="false">IF(AO817&lt;&gt;1,"",IF(Y817="Oui",1,0))</f>
        <v/>
      </c>
      <c r="BQ817" s="35" t="str">
        <f aca="true">IF(OR(AO817&lt;&gt;1,Z817&lt;&gt;"Oui"),"",IF(AB817="",IF(AND(AA817&lt;&gt;"",NOW()&gt;AA817),0,""),IF(AA817="","",IF(AB817&lt;=AA817,1,0))))</f>
        <v/>
      </c>
      <c r="BR817" s="38" t="str">
        <f aca="false">IF(OR(AO817&lt;&gt;1,K817&lt;&gt;"Oui",O817=""),"",IF(AC817="",O817+DORA_H_DET/24,IF(AC817-O817&lt;=DORA_H_DET/24,MIN(AC817+DORA_H_CLA/24,O817+DORA_H_DET/24),AC817+DORA_H_CLA/24)))</f>
        <v/>
      </c>
      <c r="BS817" s="35" t="str">
        <f aca="true">IF(BR817="","",IF(AD817="",IF(NOW()&gt;BR817,0,""),IF(AD817&lt;=BR817,1,0)))</f>
        <v/>
      </c>
      <c r="BT817" s="35" t="str">
        <f aca="true">IF(OR(BR817="",AD817=""),"",IF(AE817="",IF(NOW()&gt;AD817+DORA_H_INT/24,0,""),IF(AE817&lt;=AD817+DORA_H_INT/24,1,0)))</f>
        <v/>
      </c>
      <c r="BU817" s="35" t="str">
        <f aca="true">IF(OR(BR817="",AE817=""),"",IF(AF817="",IF(NOW()&gt;EDATE(AE817,DORA_M_FIN)+1,0,""),IF(AF817&lt;=EDATE(AE817,DORA_M_FIN),1,0)))</f>
        <v/>
      </c>
      <c r="BV817" s="35" t="str">
        <f aca="false">IF(BR817="","",IF(COUNT(BS817:BU817)=0,"",MIN(BS817:BU817)))</f>
        <v/>
      </c>
      <c r="BW817" s="40" t="str">
        <f aca="false">IF(AQ817&lt;&gt;1,"",IF(AND(AG817="",AH817=""),"",N(AG817)-N(AH817)))</f>
        <v/>
      </c>
      <c r="BX817" s="35" t="str">
        <f aca="true">IF(OR(AQ817&lt;&gt;1,AI817&lt;&gt;"Oui",AJ817=""),"",IF(AK817="",IF(NOW()&gt;AJ817+1,0,""),IF(AK817&lt;=AJ817,1,0)))</f>
        <v/>
      </c>
    </row>
    <row r="818" customFormat="false" ht="15" hidden="false" customHeight="false" outlineLevel="0" collapsed="false">
      <c r="B818" s="29"/>
      <c r="C818" s="29"/>
      <c r="D818" s="29"/>
      <c r="E818" s="29"/>
      <c r="F818" s="29"/>
      <c r="G818" s="29"/>
      <c r="H818" s="29"/>
      <c r="I818" s="29"/>
      <c r="J818" s="29"/>
      <c r="K818" s="29"/>
      <c r="L818" s="29"/>
      <c r="M818" s="29"/>
      <c r="N818" s="30"/>
      <c r="O818" s="30"/>
      <c r="P818" s="30"/>
      <c r="Q818" s="30"/>
      <c r="R818" s="30"/>
      <c r="S818" s="30"/>
      <c r="T818" s="30"/>
      <c r="U818" s="30"/>
      <c r="V818" s="31"/>
      <c r="W818" s="29"/>
      <c r="X818" s="29"/>
      <c r="Y818" s="29"/>
      <c r="Z818" s="29"/>
      <c r="AA818" s="30"/>
      <c r="AB818" s="30"/>
      <c r="AC818" s="30"/>
      <c r="AD818" s="30"/>
      <c r="AE818" s="30"/>
      <c r="AF818" s="32"/>
      <c r="AG818" s="33"/>
      <c r="AH818" s="33"/>
      <c r="AI818" s="29"/>
      <c r="AJ818" s="32"/>
      <c r="AK818" s="32"/>
      <c r="AL818" s="29"/>
      <c r="AN818" s="34" t="str">
        <f aca="false">IF($B818="","",IF(OR(C818="",D818="",E818="",G818="",I818="",J818="",L818="",O818="",P818=""),"Champ obligatoire manquant",IF(OR(AND(N818&lt;&gt;"",N818&gt;O818),O818&gt;P818,AND(Q818&lt;&gt;"",Q818&lt;P818),AND(R818&lt;&gt;"",R818&lt;P818),AND(S818&lt;&gt;"",S818&lt;R818),AND(S818&lt;&gt;"",R818=""),AND(T818&lt;&gt;"",T818&lt;O818),AND(U818&lt;&gt;"",U818&lt;O818)),"Chronologie incohérente",IF(AND(OR(L818="Résolu",L818="Clos"),R818=""),"Date de résolution manquante",IF(AND(L818="Clos",S818=""),"Date de clôture manquante",IF(AND(K818="Oui",AC818=""),"Classification DORA manquante","OK"))))))</f>
        <v/>
      </c>
      <c r="AO818" s="35" t="str">
        <f aca="false">IF($B818="","",IF(AND(C818="Incident",L818&lt;&gt;"Annulé"),1,0))</f>
        <v/>
      </c>
      <c r="AP818" s="35" t="str">
        <f aca="false">IF($B818="","",IF(AND(C818="Quasi-incident",L818&lt;&gt;"Annulé"),1,0))</f>
        <v/>
      </c>
      <c r="AQ818" s="35" t="str">
        <f aca="false">IF($B818="","",AO818+AP818)</f>
        <v/>
      </c>
      <c r="AR818" s="36" t="str">
        <f aca="false">IF(OR($B818="",J818=""),"",IFERROR(VALUE(LEFT(J818,1)),""))</f>
        <v/>
      </c>
      <c r="AS818" s="35" t="str">
        <f aca="false">IF(OR(AO818&lt;&gt;1,G818=""),"",IFERROR(IF(INDEX(L_SrcInterne,MATCH(G818,L_Sources,0))="Oui",1,0),""))</f>
        <v/>
      </c>
      <c r="AT818" s="37" t="str">
        <f aca="false">IF(AO818&lt;&gt;1,"",IFERROR(ROUND(IF(OR(N818="",O818=""),"",IF(O818&lt;N818,"",ROUND(((NETWORKDAYS(N818,O818,JoursFeries)-1)*(HFer-HOuv)+IF(NETWORKDAYS(O818,O818,JoursFeries),MEDIAN(MOD(O818,1),HFer,HOuv),HFer)-IF(NETWORKDAYS(N818,N818,JoursFeries),MEDIAN(MOD(N818,1),HFer,HOuv),HOuv))*24,4)))/HJour,4),""))</f>
        <v/>
      </c>
      <c r="AU818" s="37" t="str">
        <f aca="false">IF(AO818&lt;&gt;1,"",IF(OR(O818="",P818=""),"",IF(P818&lt;O818,"",ROUND(((NETWORKDAYS(O818,P818,JoursFeries)-1)*(HFer-HOuv)+IF(NETWORKDAYS(P818,P818,JoursFeries),MEDIAN(MOD(P818,1),HFer,HOuv),HFer)-IF(NETWORKDAYS(O818,O818,JoursFeries),MEDIAN(MOD(O818,1),HFer,HOuv),HOuv))*24,4))))</f>
        <v/>
      </c>
      <c r="AV818" s="37" t="str">
        <f aca="false">IF(AO818&lt;&gt;1,"",IF(OR(P818="",Q818=""),"",IF(Q818&lt;P818,"",ROUND(((NETWORKDAYS(P818,Q818,JoursFeries)-1)*(HFer-HOuv)+IF(NETWORKDAYS(Q818,Q818,JoursFeries),MEDIAN(MOD(Q818,1),HFer,HOuv),HFer)-IF(NETWORKDAYS(P818,P818,JoursFeries),MEDIAN(MOD(P818,1),HFer,HOuv),HOuv))*24,4))))</f>
        <v/>
      </c>
      <c r="AW818" s="37" t="str">
        <f aca="false">IF(AO818&lt;&gt;1,"",IFERROR(ROUND(IF(OR(P818="",R818=""),"",IF(R818&lt;P818,"",ROUND(((NETWORKDAYS(P818,R818,JoursFeries)-1)*(HFer-HOuv)+IF(NETWORKDAYS(R818,R818,JoursFeries),MEDIAN(MOD(R818,1),HFer,HOuv),HFer)-IF(NETWORKDAYS(P818,P818,JoursFeries),MEDIAN(MOD(P818,1),HFer,HOuv),HOuv))*24,4)))/HJour,4),""))</f>
        <v/>
      </c>
      <c r="AX818" s="37" t="str">
        <f aca="false">IF(AO818&lt;&gt;1,"",IFERROR(ROUND(IF(OR(P818="",S818=""),"",IF(S818&lt;P818,"",ROUND(((NETWORKDAYS(P818,S818,JoursFeries)-1)*(HFer-HOuv)+IF(NETWORKDAYS(S818,S818,JoursFeries),MEDIAN(MOD(S818,1),HFer,HOuv),HFer)-IF(NETWORKDAYS(P818,P818,JoursFeries),MEDIAN(MOD(P818,1),HFer,HOuv),HOuv))*24,4)))/HJour,4),""))</f>
        <v/>
      </c>
      <c r="AY818" s="36" t="str">
        <f aca="false">IF(OR(AO818&lt;&gt;1,AR818=""),"",INDEX(SLA_PEC,AR818))</f>
        <v/>
      </c>
      <c r="AZ818" s="35" t="str">
        <f aca="false">IF(OR(AV818="",AY818=""),"",IF(AV818&lt;=AY818,1,0))</f>
        <v/>
      </c>
      <c r="BA818" s="36" t="str">
        <f aca="false">IF(OR(AO818&lt;&gt;1,AR818=""),"",INDEX(SLA_RES,AR818))</f>
        <v/>
      </c>
      <c r="BB818" s="35" t="str">
        <f aca="false">IF(OR(AW818="",BA818=""),"",IF(AW818&lt;=BA818,1,0))</f>
        <v/>
      </c>
      <c r="BC818" s="38" t="str">
        <f aca="false">IF(OR(BA818="",P818=""),"",WORKDAY(INT(P818),BA818,JoursFeries)+MOD(P818,1))</f>
        <v/>
      </c>
      <c r="BD818" s="39" t="str">
        <f aca="false">IF(AO818&lt;&gt;1,"",IF(OR(AB818&lt;&gt;"",AD818&lt;&gt;""),4,IF(U818&lt;&gt;"",3,IF(T818&lt;&gt;"",2,1))))</f>
        <v/>
      </c>
      <c r="BE818" s="39" t="str">
        <f aca="false">IF(OR(AO818&lt;&gt;1,AR818=""),"",INDEX(NIV_REQ,AR818))</f>
        <v/>
      </c>
      <c r="BF818" s="39" t="str">
        <f aca="false">IF(BE818="","",MAX(BE818,IF(OR(K818="Oui",Z818="Oui"),4,1)))</f>
        <v/>
      </c>
      <c r="BG818" s="35" t="str">
        <f aca="false">IF(OR(BF818="",BD818=""),"",IF(BD818&gt;=BF818,1,0))</f>
        <v/>
      </c>
      <c r="BH818" s="38" t="str">
        <f aca="false">IF(BE818="","",IF(BE818&lt;2,"",IF(BE818=2,IF(AND(T818="",U818=""),"",MIN(T818,U818)),IF(U818="","",U818))))</f>
        <v/>
      </c>
      <c r="BI818" s="37" t="str">
        <f aca="false">IF(BH818="","",IF(OR(O818="",BH818=""),"",IF(BH818&lt;O818,"",ROUND(((NETWORKDAYS(O818,BH818,JoursFeries)-1)*(HFer-HOuv)+IF(NETWORKDAYS(BH818,BH818,JoursFeries),MEDIAN(MOD(BH818,1),HFer,HOuv),HFer)-IF(NETWORKDAYS(O818,O818,JoursFeries),MEDIAN(MOD(O818,1),HFer,HOuv),HOuv))*24,4))))</f>
        <v/>
      </c>
      <c r="BJ818" s="35" t="str">
        <f aca="false">IF(OR(BI818="",AR818=""),"",IF(BI818&lt;=INDEX(DELAI_ESC,AR818),1,0))</f>
        <v/>
      </c>
      <c r="BK818" s="38" t="str">
        <f aca="false">IF(AO818&lt;&gt;1,"",IF(AND(T818="",U818=""),"",MIN(T818,U818)))</f>
        <v/>
      </c>
      <c r="BL818" s="37" t="str">
        <f aca="false">IF(OR(BK818="",R818=""),"",IFERROR(ROUND(IF(OR(BK818="",R818=""),"",IF(R818&lt;BK818,"",ROUND(((NETWORKDAYS(BK818,R818,JoursFeries)-1)*(HFer-HOuv)+IF(NETWORKDAYS(R818,R818,JoursFeries),MEDIAN(MOD(R818,1),HFer,HOuv),HFer)-IF(NETWORKDAYS(BK818,BK818,JoursFeries),MEDIAN(MOD(BK818,1),HFer,HOuv),HOuv))*24,4)))/HJour,4),""))</f>
        <v/>
      </c>
      <c r="BM818" s="35" t="str">
        <f aca="false">IF(OR(AO818&lt;&gt;1,R818=""),"",IF(BD818=1,1,0))</f>
        <v/>
      </c>
      <c r="BN818" s="35" t="str">
        <f aca="false">IF(AO818&lt;&gt;1,"",IF(W818="Oui",1,0))</f>
        <v/>
      </c>
      <c r="BO818" s="35" t="str">
        <f aca="false">IF(AO818&lt;&gt;1,"",IF(X818&lt;&gt;"",1,0))</f>
        <v/>
      </c>
      <c r="BP818" s="35" t="str">
        <f aca="false">IF(AO818&lt;&gt;1,"",IF(Y818="Oui",1,0))</f>
        <v/>
      </c>
      <c r="BQ818" s="35" t="str">
        <f aca="true">IF(OR(AO818&lt;&gt;1,Z818&lt;&gt;"Oui"),"",IF(AB818="",IF(AND(AA818&lt;&gt;"",NOW()&gt;AA818),0,""),IF(AA818="","",IF(AB818&lt;=AA818,1,0))))</f>
        <v/>
      </c>
      <c r="BR818" s="38" t="str">
        <f aca="false">IF(OR(AO818&lt;&gt;1,K818&lt;&gt;"Oui",O818=""),"",IF(AC818="",O818+DORA_H_DET/24,IF(AC818-O818&lt;=DORA_H_DET/24,MIN(AC818+DORA_H_CLA/24,O818+DORA_H_DET/24),AC818+DORA_H_CLA/24)))</f>
        <v/>
      </c>
      <c r="BS818" s="35" t="str">
        <f aca="true">IF(BR818="","",IF(AD818="",IF(NOW()&gt;BR818,0,""),IF(AD818&lt;=BR818,1,0)))</f>
        <v/>
      </c>
      <c r="BT818" s="35" t="str">
        <f aca="true">IF(OR(BR818="",AD818=""),"",IF(AE818="",IF(NOW()&gt;AD818+DORA_H_INT/24,0,""),IF(AE818&lt;=AD818+DORA_H_INT/24,1,0)))</f>
        <v/>
      </c>
      <c r="BU818" s="35" t="str">
        <f aca="true">IF(OR(BR818="",AE818=""),"",IF(AF818="",IF(NOW()&gt;EDATE(AE818,DORA_M_FIN)+1,0,""),IF(AF818&lt;=EDATE(AE818,DORA_M_FIN),1,0)))</f>
        <v/>
      </c>
      <c r="BV818" s="35" t="str">
        <f aca="false">IF(BR818="","",IF(COUNT(BS818:BU818)=0,"",MIN(BS818:BU818)))</f>
        <v/>
      </c>
      <c r="BW818" s="40" t="str">
        <f aca="false">IF(AQ818&lt;&gt;1,"",IF(AND(AG818="",AH818=""),"",N(AG818)-N(AH818)))</f>
        <v/>
      </c>
      <c r="BX818" s="35" t="str">
        <f aca="true">IF(OR(AQ818&lt;&gt;1,AI818&lt;&gt;"Oui",AJ818=""),"",IF(AK818="",IF(NOW()&gt;AJ818+1,0,""),IF(AK818&lt;=AJ818,1,0)))</f>
        <v/>
      </c>
    </row>
    <row r="819" customFormat="false" ht="15" hidden="false" customHeight="false" outlineLevel="0" collapsed="false">
      <c r="B819" s="29"/>
      <c r="C819" s="29"/>
      <c r="D819" s="29"/>
      <c r="E819" s="29"/>
      <c r="F819" s="29"/>
      <c r="G819" s="29"/>
      <c r="H819" s="29"/>
      <c r="I819" s="29"/>
      <c r="J819" s="29"/>
      <c r="K819" s="29"/>
      <c r="L819" s="29"/>
      <c r="M819" s="29"/>
      <c r="N819" s="30"/>
      <c r="O819" s="30"/>
      <c r="P819" s="30"/>
      <c r="Q819" s="30"/>
      <c r="R819" s="30"/>
      <c r="S819" s="30"/>
      <c r="T819" s="30"/>
      <c r="U819" s="30"/>
      <c r="V819" s="31"/>
      <c r="W819" s="29"/>
      <c r="X819" s="29"/>
      <c r="Y819" s="29"/>
      <c r="Z819" s="29"/>
      <c r="AA819" s="30"/>
      <c r="AB819" s="30"/>
      <c r="AC819" s="30"/>
      <c r="AD819" s="30"/>
      <c r="AE819" s="30"/>
      <c r="AF819" s="32"/>
      <c r="AG819" s="33"/>
      <c r="AH819" s="33"/>
      <c r="AI819" s="29"/>
      <c r="AJ819" s="32"/>
      <c r="AK819" s="32"/>
      <c r="AL819" s="29"/>
      <c r="AN819" s="34" t="str">
        <f aca="false">IF($B819="","",IF(OR(C819="",D819="",E819="",G819="",I819="",J819="",L819="",O819="",P819=""),"Champ obligatoire manquant",IF(OR(AND(N819&lt;&gt;"",N819&gt;O819),O819&gt;P819,AND(Q819&lt;&gt;"",Q819&lt;P819),AND(R819&lt;&gt;"",R819&lt;P819),AND(S819&lt;&gt;"",S819&lt;R819),AND(S819&lt;&gt;"",R819=""),AND(T819&lt;&gt;"",T819&lt;O819),AND(U819&lt;&gt;"",U819&lt;O819)),"Chronologie incohérente",IF(AND(OR(L819="Résolu",L819="Clos"),R819=""),"Date de résolution manquante",IF(AND(L819="Clos",S819=""),"Date de clôture manquante",IF(AND(K819="Oui",AC819=""),"Classification DORA manquante","OK"))))))</f>
        <v/>
      </c>
      <c r="AO819" s="35" t="str">
        <f aca="false">IF($B819="","",IF(AND(C819="Incident",L819&lt;&gt;"Annulé"),1,0))</f>
        <v/>
      </c>
      <c r="AP819" s="35" t="str">
        <f aca="false">IF($B819="","",IF(AND(C819="Quasi-incident",L819&lt;&gt;"Annulé"),1,0))</f>
        <v/>
      </c>
      <c r="AQ819" s="35" t="str">
        <f aca="false">IF($B819="","",AO819+AP819)</f>
        <v/>
      </c>
      <c r="AR819" s="36" t="str">
        <f aca="false">IF(OR($B819="",J819=""),"",IFERROR(VALUE(LEFT(J819,1)),""))</f>
        <v/>
      </c>
      <c r="AS819" s="35" t="str">
        <f aca="false">IF(OR(AO819&lt;&gt;1,G819=""),"",IFERROR(IF(INDEX(L_SrcInterne,MATCH(G819,L_Sources,0))="Oui",1,0),""))</f>
        <v/>
      </c>
      <c r="AT819" s="37" t="str">
        <f aca="false">IF(AO819&lt;&gt;1,"",IFERROR(ROUND(IF(OR(N819="",O819=""),"",IF(O819&lt;N819,"",ROUND(((NETWORKDAYS(N819,O819,JoursFeries)-1)*(HFer-HOuv)+IF(NETWORKDAYS(O819,O819,JoursFeries),MEDIAN(MOD(O819,1),HFer,HOuv),HFer)-IF(NETWORKDAYS(N819,N819,JoursFeries),MEDIAN(MOD(N819,1),HFer,HOuv),HOuv))*24,4)))/HJour,4),""))</f>
        <v/>
      </c>
      <c r="AU819" s="37" t="str">
        <f aca="false">IF(AO819&lt;&gt;1,"",IF(OR(O819="",P819=""),"",IF(P819&lt;O819,"",ROUND(((NETWORKDAYS(O819,P819,JoursFeries)-1)*(HFer-HOuv)+IF(NETWORKDAYS(P819,P819,JoursFeries),MEDIAN(MOD(P819,1),HFer,HOuv),HFer)-IF(NETWORKDAYS(O819,O819,JoursFeries),MEDIAN(MOD(O819,1),HFer,HOuv),HOuv))*24,4))))</f>
        <v/>
      </c>
      <c r="AV819" s="37" t="str">
        <f aca="false">IF(AO819&lt;&gt;1,"",IF(OR(P819="",Q819=""),"",IF(Q819&lt;P819,"",ROUND(((NETWORKDAYS(P819,Q819,JoursFeries)-1)*(HFer-HOuv)+IF(NETWORKDAYS(Q819,Q819,JoursFeries),MEDIAN(MOD(Q819,1),HFer,HOuv),HFer)-IF(NETWORKDAYS(P819,P819,JoursFeries),MEDIAN(MOD(P819,1),HFer,HOuv),HOuv))*24,4))))</f>
        <v/>
      </c>
      <c r="AW819" s="37" t="str">
        <f aca="false">IF(AO819&lt;&gt;1,"",IFERROR(ROUND(IF(OR(P819="",R819=""),"",IF(R819&lt;P819,"",ROUND(((NETWORKDAYS(P819,R819,JoursFeries)-1)*(HFer-HOuv)+IF(NETWORKDAYS(R819,R819,JoursFeries),MEDIAN(MOD(R819,1),HFer,HOuv),HFer)-IF(NETWORKDAYS(P819,P819,JoursFeries),MEDIAN(MOD(P819,1),HFer,HOuv),HOuv))*24,4)))/HJour,4),""))</f>
        <v/>
      </c>
      <c r="AX819" s="37" t="str">
        <f aca="false">IF(AO819&lt;&gt;1,"",IFERROR(ROUND(IF(OR(P819="",S819=""),"",IF(S819&lt;P819,"",ROUND(((NETWORKDAYS(P819,S819,JoursFeries)-1)*(HFer-HOuv)+IF(NETWORKDAYS(S819,S819,JoursFeries),MEDIAN(MOD(S819,1),HFer,HOuv),HFer)-IF(NETWORKDAYS(P819,P819,JoursFeries),MEDIAN(MOD(P819,1),HFer,HOuv),HOuv))*24,4)))/HJour,4),""))</f>
        <v/>
      </c>
      <c r="AY819" s="36" t="str">
        <f aca="false">IF(OR(AO819&lt;&gt;1,AR819=""),"",INDEX(SLA_PEC,AR819))</f>
        <v/>
      </c>
      <c r="AZ819" s="35" t="str">
        <f aca="false">IF(OR(AV819="",AY819=""),"",IF(AV819&lt;=AY819,1,0))</f>
        <v/>
      </c>
      <c r="BA819" s="36" t="str">
        <f aca="false">IF(OR(AO819&lt;&gt;1,AR819=""),"",INDEX(SLA_RES,AR819))</f>
        <v/>
      </c>
      <c r="BB819" s="35" t="str">
        <f aca="false">IF(OR(AW819="",BA819=""),"",IF(AW819&lt;=BA819,1,0))</f>
        <v/>
      </c>
      <c r="BC819" s="38" t="str">
        <f aca="false">IF(OR(BA819="",P819=""),"",WORKDAY(INT(P819),BA819,JoursFeries)+MOD(P819,1))</f>
        <v/>
      </c>
      <c r="BD819" s="39" t="str">
        <f aca="false">IF(AO819&lt;&gt;1,"",IF(OR(AB819&lt;&gt;"",AD819&lt;&gt;""),4,IF(U819&lt;&gt;"",3,IF(T819&lt;&gt;"",2,1))))</f>
        <v/>
      </c>
      <c r="BE819" s="39" t="str">
        <f aca="false">IF(OR(AO819&lt;&gt;1,AR819=""),"",INDEX(NIV_REQ,AR819))</f>
        <v/>
      </c>
      <c r="BF819" s="39" t="str">
        <f aca="false">IF(BE819="","",MAX(BE819,IF(OR(K819="Oui",Z819="Oui"),4,1)))</f>
        <v/>
      </c>
      <c r="BG819" s="35" t="str">
        <f aca="false">IF(OR(BF819="",BD819=""),"",IF(BD819&gt;=BF819,1,0))</f>
        <v/>
      </c>
      <c r="BH819" s="38" t="str">
        <f aca="false">IF(BE819="","",IF(BE819&lt;2,"",IF(BE819=2,IF(AND(T819="",U819=""),"",MIN(T819,U819)),IF(U819="","",U819))))</f>
        <v/>
      </c>
      <c r="BI819" s="37" t="str">
        <f aca="false">IF(BH819="","",IF(OR(O819="",BH819=""),"",IF(BH819&lt;O819,"",ROUND(((NETWORKDAYS(O819,BH819,JoursFeries)-1)*(HFer-HOuv)+IF(NETWORKDAYS(BH819,BH819,JoursFeries),MEDIAN(MOD(BH819,1),HFer,HOuv),HFer)-IF(NETWORKDAYS(O819,O819,JoursFeries),MEDIAN(MOD(O819,1),HFer,HOuv),HOuv))*24,4))))</f>
        <v/>
      </c>
      <c r="BJ819" s="35" t="str">
        <f aca="false">IF(OR(BI819="",AR819=""),"",IF(BI819&lt;=INDEX(DELAI_ESC,AR819),1,0))</f>
        <v/>
      </c>
      <c r="BK819" s="38" t="str">
        <f aca="false">IF(AO819&lt;&gt;1,"",IF(AND(T819="",U819=""),"",MIN(T819,U819)))</f>
        <v/>
      </c>
      <c r="BL819" s="37" t="str">
        <f aca="false">IF(OR(BK819="",R819=""),"",IFERROR(ROUND(IF(OR(BK819="",R819=""),"",IF(R819&lt;BK819,"",ROUND(((NETWORKDAYS(BK819,R819,JoursFeries)-1)*(HFer-HOuv)+IF(NETWORKDAYS(R819,R819,JoursFeries),MEDIAN(MOD(R819,1),HFer,HOuv),HFer)-IF(NETWORKDAYS(BK819,BK819,JoursFeries),MEDIAN(MOD(BK819,1),HFer,HOuv),HOuv))*24,4)))/HJour,4),""))</f>
        <v/>
      </c>
      <c r="BM819" s="35" t="str">
        <f aca="false">IF(OR(AO819&lt;&gt;1,R819=""),"",IF(BD819=1,1,0))</f>
        <v/>
      </c>
      <c r="BN819" s="35" t="str">
        <f aca="false">IF(AO819&lt;&gt;1,"",IF(W819="Oui",1,0))</f>
        <v/>
      </c>
      <c r="BO819" s="35" t="str">
        <f aca="false">IF(AO819&lt;&gt;1,"",IF(X819&lt;&gt;"",1,0))</f>
        <v/>
      </c>
      <c r="BP819" s="35" t="str">
        <f aca="false">IF(AO819&lt;&gt;1,"",IF(Y819="Oui",1,0))</f>
        <v/>
      </c>
      <c r="BQ819" s="35" t="str">
        <f aca="true">IF(OR(AO819&lt;&gt;1,Z819&lt;&gt;"Oui"),"",IF(AB819="",IF(AND(AA819&lt;&gt;"",NOW()&gt;AA819),0,""),IF(AA819="","",IF(AB819&lt;=AA819,1,0))))</f>
        <v/>
      </c>
      <c r="BR819" s="38" t="str">
        <f aca="false">IF(OR(AO819&lt;&gt;1,K819&lt;&gt;"Oui",O819=""),"",IF(AC819="",O819+DORA_H_DET/24,IF(AC819-O819&lt;=DORA_H_DET/24,MIN(AC819+DORA_H_CLA/24,O819+DORA_H_DET/24),AC819+DORA_H_CLA/24)))</f>
        <v/>
      </c>
      <c r="BS819" s="35" t="str">
        <f aca="true">IF(BR819="","",IF(AD819="",IF(NOW()&gt;BR819,0,""),IF(AD819&lt;=BR819,1,0)))</f>
        <v/>
      </c>
      <c r="BT819" s="35" t="str">
        <f aca="true">IF(OR(BR819="",AD819=""),"",IF(AE819="",IF(NOW()&gt;AD819+DORA_H_INT/24,0,""),IF(AE819&lt;=AD819+DORA_H_INT/24,1,0)))</f>
        <v/>
      </c>
      <c r="BU819" s="35" t="str">
        <f aca="true">IF(OR(BR819="",AE819=""),"",IF(AF819="",IF(NOW()&gt;EDATE(AE819,DORA_M_FIN)+1,0,""),IF(AF819&lt;=EDATE(AE819,DORA_M_FIN),1,0)))</f>
        <v/>
      </c>
      <c r="BV819" s="35" t="str">
        <f aca="false">IF(BR819="","",IF(COUNT(BS819:BU819)=0,"",MIN(BS819:BU819)))</f>
        <v/>
      </c>
      <c r="BW819" s="40" t="str">
        <f aca="false">IF(AQ819&lt;&gt;1,"",IF(AND(AG819="",AH819=""),"",N(AG819)-N(AH819)))</f>
        <v/>
      </c>
      <c r="BX819" s="35" t="str">
        <f aca="true">IF(OR(AQ819&lt;&gt;1,AI819&lt;&gt;"Oui",AJ819=""),"",IF(AK819="",IF(NOW()&gt;AJ819+1,0,""),IF(AK819&lt;=AJ819,1,0)))</f>
        <v/>
      </c>
    </row>
    <row r="820" customFormat="false" ht="15" hidden="false" customHeight="false" outlineLevel="0" collapsed="false">
      <c r="B820" s="29"/>
      <c r="C820" s="29"/>
      <c r="D820" s="29"/>
      <c r="E820" s="29"/>
      <c r="F820" s="29"/>
      <c r="G820" s="29"/>
      <c r="H820" s="29"/>
      <c r="I820" s="29"/>
      <c r="J820" s="29"/>
      <c r="K820" s="29"/>
      <c r="L820" s="29"/>
      <c r="M820" s="29"/>
      <c r="N820" s="30"/>
      <c r="O820" s="30"/>
      <c r="P820" s="30"/>
      <c r="Q820" s="30"/>
      <c r="R820" s="30"/>
      <c r="S820" s="30"/>
      <c r="T820" s="30"/>
      <c r="U820" s="30"/>
      <c r="V820" s="31"/>
      <c r="W820" s="29"/>
      <c r="X820" s="29"/>
      <c r="Y820" s="29"/>
      <c r="Z820" s="29"/>
      <c r="AA820" s="30"/>
      <c r="AB820" s="30"/>
      <c r="AC820" s="30"/>
      <c r="AD820" s="30"/>
      <c r="AE820" s="30"/>
      <c r="AF820" s="32"/>
      <c r="AG820" s="33"/>
      <c r="AH820" s="33"/>
      <c r="AI820" s="29"/>
      <c r="AJ820" s="32"/>
      <c r="AK820" s="32"/>
      <c r="AL820" s="29"/>
      <c r="AN820" s="34" t="str">
        <f aca="false">IF($B820="","",IF(OR(C820="",D820="",E820="",G820="",I820="",J820="",L820="",O820="",P820=""),"Champ obligatoire manquant",IF(OR(AND(N820&lt;&gt;"",N820&gt;O820),O820&gt;P820,AND(Q820&lt;&gt;"",Q820&lt;P820),AND(R820&lt;&gt;"",R820&lt;P820),AND(S820&lt;&gt;"",S820&lt;R820),AND(S820&lt;&gt;"",R820=""),AND(T820&lt;&gt;"",T820&lt;O820),AND(U820&lt;&gt;"",U820&lt;O820)),"Chronologie incohérente",IF(AND(OR(L820="Résolu",L820="Clos"),R820=""),"Date de résolution manquante",IF(AND(L820="Clos",S820=""),"Date de clôture manquante",IF(AND(K820="Oui",AC820=""),"Classification DORA manquante","OK"))))))</f>
        <v/>
      </c>
      <c r="AO820" s="35" t="str">
        <f aca="false">IF($B820="","",IF(AND(C820="Incident",L820&lt;&gt;"Annulé"),1,0))</f>
        <v/>
      </c>
      <c r="AP820" s="35" t="str">
        <f aca="false">IF($B820="","",IF(AND(C820="Quasi-incident",L820&lt;&gt;"Annulé"),1,0))</f>
        <v/>
      </c>
      <c r="AQ820" s="35" t="str">
        <f aca="false">IF($B820="","",AO820+AP820)</f>
        <v/>
      </c>
      <c r="AR820" s="36" t="str">
        <f aca="false">IF(OR($B820="",J820=""),"",IFERROR(VALUE(LEFT(J820,1)),""))</f>
        <v/>
      </c>
      <c r="AS820" s="35" t="str">
        <f aca="false">IF(OR(AO820&lt;&gt;1,G820=""),"",IFERROR(IF(INDEX(L_SrcInterne,MATCH(G820,L_Sources,0))="Oui",1,0),""))</f>
        <v/>
      </c>
      <c r="AT820" s="37" t="str">
        <f aca="false">IF(AO820&lt;&gt;1,"",IFERROR(ROUND(IF(OR(N820="",O820=""),"",IF(O820&lt;N820,"",ROUND(((NETWORKDAYS(N820,O820,JoursFeries)-1)*(HFer-HOuv)+IF(NETWORKDAYS(O820,O820,JoursFeries),MEDIAN(MOD(O820,1),HFer,HOuv),HFer)-IF(NETWORKDAYS(N820,N820,JoursFeries),MEDIAN(MOD(N820,1),HFer,HOuv),HOuv))*24,4)))/HJour,4),""))</f>
        <v/>
      </c>
      <c r="AU820" s="37" t="str">
        <f aca="false">IF(AO820&lt;&gt;1,"",IF(OR(O820="",P820=""),"",IF(P820&lt;O820,"",ROUND(((NETWORKDAYS(O820,P820,JoursFeries)-1)*(HFer-HOuv)+IF(NETWORKDAYS(P820,P820,JoursFeries),MEDIAN(MOD(P820,1),HFer,HOuv),HFer)-IF(NETWORKDAYS(O820,O820,JoursFeries),MEDIAN(MOD(O820,1),HFer,HOuv),HOuv))*24,4))))</f>
        <v/>
      </c>
      <c r="AV820" s="37" t="str">
        <f aca="false">IF(AO820&lt;&gt;1,"",IF(OR(P820="",Q820=""),"",IF(Q820&lt;P820,"",ROUND(((NETWORKDAYS(P820,Q820,JoursFeries)-1)*(HFer-HOuv)+IF(NETWORKDAYS(Q820,Q820,JoursFeries),MEDIAN(MOD(Q820,1),HFer,HOuv),HFer)-IF(NETWORKDAYS(P820,P820,JoursFeries),MEDIAN(MOD(P820,1),HFer,HOuv),HOuv))*24,4))))</f>
        <v/>
      </c>
      <c r="AW820" s="37" t="str">
        <f aca="false">IF(AO820&lt;&gt;1,"",IFERROR(ROUND(IF(OR(P820="",R820=""),"",IF(R820&lt;P820,"",ROUND(((NETWORKDAYS(P820,R820,JoursFeries)-1)*(HFer-HOuv)+IF(NETWORKDAYS(R820,R820,JoursFeries),MEDIAN(MOD(R820,1),HFer,HOuv),HFer)-IF(NETWORKDAYS(P820,P820,JoursFeries),MEDIAN(MOD(P820,1),HFer,HOuv),HOuv))*24,4)))/HJour,4),""))</f>
        <v/>
      </c>
      <c r="AX820" s="37" t="str">
        <f aca="false">IF(AO820&lt;&gt;1,"",IFERROR(ROUND(IF(OR(P820="",S820=""),"",IF(S820&lt;P820,"",ROUND(((NETWORKDAYS(P820,S820,JoursFeries)-1)*(HFer-HOuv)+IF(NETWORKDAYS(S820,S820,JoursFeries),MEDIAN(MOD(S820,1),HFer,HOuv),HFer)-IF(NETWORKDAYS(P820,P820,JoursFeries),MEDIAN(MOD(P820,1),HFer,HOuv),HOuv))*24,4)))/HJour,4),""))</f>
        <v/>
      </c>
      <c r="AY820" s="36" t="str">
        <f aca="false">IF(OR(AO820&lt;&gt;1,AR820=""),"",INDEX(SLA_PEC,AR820))</f>
        <v/>
      </c>
      <c r="AZ820" s="35" t="str">
        <f aca="false">IF(OR(AV820="",AY820=""),"",IF(AV820&lt;=AY820,1,0))</f>
        <v/>
      </c>
      <c r="BA820" s="36" t="str">
        <f aca="false">IF(OR(AO820&lt;&gt;1,AR820=""),"",INDEX(SLA_RES,AR820))</f>
        <v/>
      </c>
      <c r="BB820" s="35" t="str">
        <f aca="false">IF(OR(AW820="",BA820=""),"",IF(AW820&lt;=BA820,1,0))</f>
        <v/>
      </c>
      <c r="BC820" s="38" t="str">
        <f aca="false">IF(OR(BA820="",P820=""),"",WORKDAY(INT(P820),BA820,JoursFeries)+MOD(P820,1))</f>
        <v/>
      </c>
      <c r="BD820" s="39" t="str">
        <f aca="false">IF(AO820&lt;&gt;1,"",IF(OR(AB820&lt;&gt;"",AD820&lt;&gt;""),4,IF(U820&lt;&gt;"",3,IF(T820&lt;&gt;"",2,1))))</f>
        <v/>
      </c>
      <c r="BE820" s="39" t="str">
        <f aca="false">IF(OR(AO820&lt;&gt;1,AR820=""),"",INDEX(NIV_REQ,AR820))</f>
        <v/>
      </c>
      <c r="BF820" s="39" t="str">
        <f aca="false">IF(BE820="","",MAX(BE820,IF(OR(K820="Oui",Z820="Oui"),4,1)))</f>
        <v/>
      </c>
      <c r="BG820" s="35" t="str">
        <f aca="false">IF(OR(BF820="",BD820=""),"",IF(BD820&gt;=BF820,1,0))</f>
        <v/>
      </c>
      <c r="BH820" s="38" t="str">
        <f aca="false">IF(BE820="","",IF(BE820&lt;2,"",IF(BE820=2,IF(AND(T820="",U820=""),"",MIN(T820,U820)),IF(U820="","",U820))))</f>
        <v/>
      </c>
      <c r="BI820" s="37" t="str">
        <f aca="false">IF(BH820="","",IF(OR(O820="",BH820=""),"",IF(BH820&lt;O820,"",ROUND(((NETWORKDAYS(O820,BH820,JoursFeries)-1)*(HFer-HOuv)+IF(NETWORKDAYS(BH820,BH820,JoursFeries),MEDIAN(MOD(BH820,1),HFer,HOuv),HFer)-IF(NETWORKDAYS(O820,O820,JoursFeries),MEDIAN(MOD(O820,1),HFer,HOuv),HOuv))*24,4))))</f>
        <v/>
      </c>
      <c r="BJ820" s="35" t="str">
        <f aca="false">IF(OR(BI820="",AR820=""),"",IF(BI820&lt;=INDEX(DELAI_ESC,AR820),1,0))</f>
        <v/>
      </c>
      <c r="BK820" s="38" t="str">
        <f aca="false">IF(AO820&lt;&gt;1,"",IF(AND(T820="",U820=""),"",MIN(T820,U820)))</f>
        <v/>
      </c>
      <c r="BL820" s="37" t="str">
        <f aca="false">IF(OR(BK820="",R820=""),"",IFERROR(ROUND(IF(OR(BK820="",R820=""),"",IF(R820&lt;BK820,"",ROUND(((NETWORKDAYS(BK820,R820,JoursFeries)-1)*(HFer-HOuv)+IF(NETWORKDAYS(R820,R820,JoursFeries),MEDIAN(MOD(R820,1),HFer,HOuv),HFer)-IF(NETWORKDAYS(BK820,BK820,JoursFeries),MEDIAN(MOD(BK820,1),HFer,HOuv),HOuv))*24,4)))/HJour,4),""))</f>
        <v/>
      </c>
      <c r="BM820" s="35" t="str">
        <f aca="false">IF(OR(AO820&lt;&gt;1,R820=""),"",IF(BD820=1,1,0))</f>
        <v/>
      </c>
      <c r="BN820" s="35" t="str">
        <f aca="false">IF(AO820&lt;&gt;1,"",IF(W820="Oui",1,0))</f>
        <v/>
      </c>
      <c r="BO820" s="35" t="str">
        <f aca="false">IF(AO820&lt;&gt;1,"",IF(X820&lt;&gt;"",1,0))</f>
        <v/>
      </c>
      <c r="BP820" s="35" t="str">
        <f aca="false">IF(AO820&lt;&gt;1,"",IF(Y820="Oui",1,0))</f>
        <v/>
      </c>
      <c r="BQ820" s="35" t="str">
        <f aca="true">IF(OR(AO820&lt;&gt;1,Z820&lt;&gt;"Oui"),"",IF(AB820="",IF(AND(AA820&lt;&gt;"",NOW()&gt;AA820),0,""),IF(AA820="","",IF(AB820&lt;=AA820,1,0))))</f>
        <v/>
      </c>
      <c r="BR820" s="38" t="str">
        <f aca="false">IF(OR(AO820&lt;&gt;1,K820&lt;&gt;"Oui",O820=""),"",IF(AC820="",O820+DORA_H_DET/24,IF(AC820-O820&lt;=DORA_H_DET/24,MIN(AC820+DORA_H_CLA/24,O820+DORA_H_DET/24),AC820+DORA_H_CLA/24)))</f>
        <v/>
      </c>
      <c r="BS820" s="35" t="str">
        <f aca="true">IF(BR820="","",IF(AD820="",IF(NOW()&gt;BR820,0,""),IF(AD820&lt;=BR820,1,0)))</f>
        <v/>
      </c>
      <c r="BT820" s="35" t="str">
        <f aca="true">IF(OR(BR820="",AD820=""),"",IF(AE820="",IF(NOW()&gt;AD820+DORA_H_INT/24,0,""),IF(AE820&lt;=AD820+DORA_H_INT/24,1,0)))</f>
        <v/>
      </c>
      <c r="BU820" s="35" t="str">
        <f aca="true">IF(OR(BR820="",AE820=""),"",IF(AF820="",IF(NOW()&gt;EDATE(AE820,DORA_M_FIN)+1,0,""),IF(AF820&lt;=EDATE(AE820,DORA_M_FIN),1,0)))</f>
        <v/>
      </c>
      <c r="BV820" s="35" t="str">
        <f aca="false">IF(BR820="","",IF(COUNT(BS820:BU820)=0,"",MIN(BS820:BU820)))</f>
        <v/>
      </c>
      <c r="BW820" s="40" t="str">
        <f aca="false">IF(AQ820&lt;&gt;1,"",IF(AND(AG820="",AH820=""),"",N(AG820)-N(AH820)))</f>
        <v/>
      </c>
      <c r="BX820" s="35" t="str">
        <f aca="true">IF(OR(AQ820&lt;&gt;1,AI820&lt;&gt;"Oui",AJ820=""),"",IF(AK820="",IF(NOW()&gt;AJ820+1,0,""),IF(AK820&lt;=AJ820,1,0)))</f>
        <v/>
      </c>
    </row>
    <row r="821" customFormat="false" ht="15" hidden="false" customHeight="false" outlineLevel="0" collapsed="false">
      <c r="B821" s="29"/>
      <c r="C821" s="29"/>
      <c r="D821" s="29"/>
      <c r="E821" s="29"/>
      <c r="F821" s="29"/>
      <c r="G821" s="29"/>
      <c r="H821" s="29"/>
      <c r="I821" s="29"/>
      <c r="J821" s="29"/>
      <c r="K821" s="29"/>
      <c r="L821" s="29"/>
      <c r="M821" s="29"/>
      <c r="N821" s="30"/>
      <c r="O821" s="30"/>
      <c r="P821" s="30"/>
      <c r="Q821" s="30"/>
      <c r="R821" s="30"/>
      <c r="S821" s="30"/>
      <c r="T821" s="30"/>
      <c r="U821" s="30"/>
      <c r="V821" s="31"/>
      <c r="W821" s="29"/>
      <c r="X821" s="29"/>
      <c r="Y821" s="29"/>
      <c r="Z821" s="29"/>
      <c r="AA821" s="30"/>
      <c r="AB821" s="30"/>
      <c r="AC821" s="30"/>
      <c r="AD821" s="30"/>
      <c r="AE821" s="30"/>
      <c r="AF821" s="32"/>
      <c r="AG821" s="33"/>
      <c r="AH821" s="33"/>
      <c r="AI821" s="29"/>
      <c r="AJ821" s="32"/>
      <c r="AK821" s="32"/>
      <c r="AL821" s="29"/>
      <c r="AN821" s="34" t="str">
        <f aca="false">IF($B821="","",IF(OR(C821="",D821="",E821="",G821="",I821="",J821="",L821="",O821="",P821=""),"Champ obligatoire manquant",IF(OR(AND(N821&lt;&gt;"",N821&gt;O821),O821&gt;P821,AND(Q821&lt;&gt;"",Q821&lt;P821),AND(R821&lt;&gt;"",R821&lt;P821),AND(S821&lt;&gt;"",S821&lt;R821),AND(S821&lt;&gt;"",R821=""),AND(T821&lt;&gt;"",T821&lt;O821),AND(U821&lt;&gt;"",U821&lt;O821)),"Chronologie incohérente",IF(AND(OR(L821="Résolu",L821="Clos"),R821=""),"Date de résolution manquante",IF(AND(L821="Clos",S821=""),"Date de clôture manquante",IF(AND(K821="Oui",AC821=""),"Classification DORA manquante","OK"))))))</f>
        <v/>
      </c>
      <c r="AO821" s="35" t="str">
        <f aca="false">IF($B821="","",IF(AND(C821="Incident",L821&lt;&gt;"Annulé"),1,0))</f>
        <v/>
      </c>
      <c r="AP821" s="35" t="str">
        <f aca="false">IF($B821="","",IF(AND(C821="Quasi-incident",L821&lt;&gt;"Annulé"),1,0))</f>
        <v/>
      </c>
      <c r="AQ821" s="35" t="str">
        <f aca="false">IF($B821="","",AO821+AP821)</f>
        <v/>
      </c>
      <c r="AR821" s="36" t="str">
        <f aca="false">IF(OR($B821="",J821=""),"",IFERROR(VALUE(LEFT(J821,1)),""))</f>
        <v/>
      </c>
      <c r="AS821" s="35" t="str">
        <f aca="false">IF(OR(AO821&lt;&gt;1,G821=""),"",IFERROR(IF(INDEX(L_SrcInterne,MATCH(G821,L_Sources,0))="Oui",1,0),""))</f>
        <v/>
      </c>
      <c r="AT821" s="37" t="str">
        <f aca="false">IF(AO821&lt;&gt;1,"",IFERROR(ROUND(IF(OR(N821="",O821=""),"",IF(O821&lt;N821,"",ROUND(((NETWORKDAYS(N821,O821,JoursFeries)-1)*(HFer-HOuv)+IF(NETWORKDAYS(O821,O821,JoursFeries),MEDIAN(MOD(O821,1),HFer,HOuv),HFer)-IF(NETWORKDAYS(N821,N821,JoursFeries),MEDIAN(MOD(N821,1),HFer,HOuv),HOuv))*24,4)))/HJour,4),""))</f>
        <v/>
      </c>
      <c r="AU821" s="37" t="str">
        <f aca="false">IF(AO821&lt;&gt;1,"",IF(OR(O821="",P821=""),"",IF(P821&lt;O821,"",ROUND(((NETWORKDAYS(O821,P821,JoursFeries)-1)*(HFer-HOuv)+IF(NETWORKDAYS(P821,P821,JoursFeries),MEDIAN(MOD(P821,1),HFer,HOuv),HFer)-IF(NETWORKDAYS(O821,O821,JoursFeries),MEDIAN(MOD(O821,1),HFer,HOuv),HOuv))*24,4))))</f>
        <v/>
      </c>
      <c r="AV821" s="37" t="str">
        <f aca="false">IF(AO821&lt;&gt;1,"",IF(OR(P821="",Q821=""),"",IF(Q821&lt;P821,"",ROUND(((NETWORKDAYS(P821,Q821,JoursFeries)-1)*(HFer-HOuv)+IF(NETWORKDAYS(Q821,Q821,JoursFeries),MEDIAN(MOD(Q821,1),HFer,HOuv),HFer)-IF(NETWORKDAYS(P821,P821,JoursFeries),MEDIAN(MOD(P821,1),HFer,HOuv),HOuv))*24,4))))</f>
        <v/>
      </c>
      <c r="AW821" s="37" t="str">
        <f aca="false">IF(AO821&lt;&gt;1,"",IFERROR(ROUND(IF(OR(P821="",R821=""),"",IF(R821&lt;P821,"",ROUND(((NETWORKDAYS(P821,R821,JoursFeries)-1)*(HFer-HOuv)+IF(NETWORKDAYS(R821,R821,JoursFeries),MEDIAN(MOD(R821,1),HFer,HOuv),HFer)-IF(NETWORKDAYS(P821,P821,JoursFeries),MEDIAN(MOD(P821,1),HFer,HOuv),HOuv))*24,4)))/HJour,4),""))</f>
        <v/>
      </c>
      <c r="AX821" s="37" t="str">
        <f aca="false">IF(AO821&lt;&gt;1,"",IFERROR(ROUND(IF(OR(P821="",S821=""),"",IF(S821&lt;P821,"",ROUND(((NETWORKDAYS(P821,S821,JoursFeries)-1)*(HFer-HOuv)+IF(NETWORKDAYS(S821,S821,JoursFeries),MEDIAN(MOD(S821,1),HFer,HOuv),HFer)-IF(NETWORKDAYS(P821,P821,JoursFeries),MEDIAN(MOD(P821,1),HFer,HOuv),HOuv))*24,4)))/HJour,4),""))</f>
        <v/>
      </c>
      <c r="AY821" s="36" t="str">
        <f aca="false">IF(OR(AO821&lt;&gt;1,AR821=""),"",INDEX(SLA_PEC,AR821))</f>
        <v/>
      </c>
      <c r="AZ821" s="35" t="str">
        <f aca="false">IF(OR(AV821="",AY821=""),"",IF(AV821&lt;=AY821,1,0))</f>
        <v/>
      </c>
      <c r="BA821" s="36" t="str">
        <f aca="false">IF(OR(AO821&lt;&gt;1,AR821=""),"",INDEX(SLA_RES,AR821))</f>
        <v/>
      </c>
      <c r="BB821" s="35" t="str">
        <f aca="false">IF(OR(AW821="",BA821=""),"",IF(AW821&lt;=BA821,1,0))</f>
        <v/>
      </c>
      <c r="BC821" s="38" t="str">
        <f aca="false">IF(OR(BA821="",P821=""),"",WORKDAY(INT(P821),BA821,JoursFeries)+MOD(P821,1))</f>
        <v/>
      </c>
      <c r="BD821" s="39" t="str">
        <f aca="false">IF(AO821&lt;&gt;1,"",IF(OR(AB821&lt;&gt;"",AD821&lt;&gt;""),4,IF(U821&lt;&gt;"",3,IF(T821&lt;&gt;"",2,1))))</f>
        <v/>
      </c>
      <c r="BE821" s="39" t="str">
        <f aca="false">IF(OR(AO821&lt;&gt;1,AR821=""),"",INDEX(NIV_REQ,AR821))</f>
        <v/>
      </c>
      <c r="BF821" s="39" t="str">
        <f aca="false">IF(BE821="","",MAX(BE821,IF(OR(K821="Oui",Z821="Oui"),4,1)))</f>
        <v/>
      </c>
      <c r="BG821" s="35" t="str">
        <f aca="false">IF(OR(BF821="",BD821=""),"",IF(BD821&gt;=BF821,1,0))</f>
        <v/>
      </c>
      <c r="BH821" s="38" t="str">
        <f aca="false">IF(BE821="","",IF(BE821&lt;2,"",IF(BE821=2,IF(AND(T821="",U821=""),"",MIN(T821,U821)),IF(U821="","",U821))))</f>
        <v/>
      </c>
      <c r="BI821" s="37" t="str">
        <f aca="false">IF(BH821="","",IF(OR(O821="",BH821=""),"",IF(BH821&lt;O821,"",ROUND(((NETWORKDAYS(O821,BH821,JoursFeries)-1)*(HFer-HOuv)+IF(NETWORKDAYS(BH821,BH821,JoursFeries),MEDIAN(MOD(BH821,1),HFer,HOuv),HFer)-IF(NETWORKDAYS(O821,O821,JoursFeries),MEDIAN(MOD(O821,1),HFer,HOuv),HOuv))*24,4))))</f>
        <v/>
      </c>
      <c r="BJ821" s="35" t="str">
        <f aca="false">IF(OR(BI821="",AR821=""),"",IF(BI821&lt;=INDEX(DELAI_ESC,AR821),1,0))</f>
        <v/>
      </c>
      <c r="BK821" s="38" t="str">
        <f aca="false">IF(AO821&lt;&gt;1,"",IF(AND(T821="",U821=""),"",MIN(T821,U821)))</f>
        <v/>
      </c>
      <c r="BL821" s="37" t="str">
        <f aca="false">IF(OR(BK821="",R821=""),"",IFERROR(ROUND(IF(OR(BK821="",R821=""),"",IF(R821&lt;BK821,"",ROUND(((NETWORKDAYS(BK821,R821,JoursFeries)-1)*(HFer-HOuv)+IF(NETWORKDAYS(R821,R821,JoursFeries),MEDIAN(MOD(R821,1),HFer,HOuv),HFer)-IF(NETWORKDAYS(BK821,BK821,JoursFeries),MEDIAN(MOD(BK821,1),HFer,HOuv),HOuv))*24,4)))/HJour,4),""))</f>
        <v/>
      </c>
      <c r="BM821" s="35" t="str">
        <f aca="false">IF(OR(AO821&lt;&gt;1,R821=""),"",IF(BD821=1,1,0))</f>
        <v/>
      </c>
      <c r="BN821" s="35" t="str">
        <f aca="false">IF(AO821&lt;&gt;1,"",IF(W821="Oui",1,0))</f>
        <v/>
      </c>
      <c r="BO821" s="35" t="str">
        <f aca="false">IF(AO821&lt;&gt;1,"",IF(X821&lt;&gt;"",1,0))</f>
        <v/>
      </c>
      <c r="BP821" s="35" t="str">
        <f aca="false">IF(AO821&lt;&gt;1,"",IF(Y821="Oui",1,0))</f>
        <v/>
      </c>
      <c r="BQ821" s="35" t="str">
        <f aca="true">IF(OR(AO821&lt;&gt;1,Z821&lt;&gt;"Oui"),"",IF(AB821="",IF(AND(AA821&lt;&gt;"",NOW()&gt;AA821),0,""),IF(AA821="","",IF(AB821&lt;=AA821,1,0))))</f>
        <v/>
      </c>
      <c r="BR821" s="38" t="str">
        <f aca="false">IF(OR(AO821&lt;&gt;1,K821&lt;&gt;"Oui",O821=""),"",IF(AC821="",O821+DORA_H_DET/24,IF(AC821-O821&lt;=DORA_H_DET/24,MIN(AC821+DORA_H_CLA/24,O821+DORA_H_DET/24),AC821+DORA_H_CLA/24)))</f>
        <v/>
      </c>
      <c r="BS821" s="35" t="str">
        <f aca="true">IF(BR821="","",IF(AD821="",IF(NOW()&gt;BR821,0,""),IF(AD821&lt;=BR821,1,0)))</f>
        <v/>
      </c>
      <c r="BT821" s="35" t="str">
        <f aca="true">IF(OR(BR821="",AD821=""),"",IF(AE821="",IF(NOW()&gt;AD821+DORA_H_INT/24,0,""),IF(AE821&lt;=AD821+DORA_H_INT/24,1,0)))</f>
        <v/>
      </c>
      <c r="BU821" s="35" t="str">
        <f aca="true">IF(OR(BR821="",AE821=""),"",IF(AF821="",IF(NOW()&gt;EDATE(AE821,DORA_M_FIN)+1,0,""),IF(AF821&lt;=EDATE(AE821,DORA_M_FIN),1,0)))</f>
        <v/>
      </c>
      <c r="BV821" s="35" t="str">
        <f aca="false">IF(BR821="","",IF(COUNT(BS821:BU821)=0,"",MIN(BS821:BU821)))</f>
        <v/>
      </c>
      <c r="BW821" s="40" t="str">
        <f aca="false">IF(AQ821&lt;&gt;1,"",IF(AND(AG821="",AH821=""),"",N(AG821)-N(AH821)))</f>
        <v/>
      </c>
      <c r="BX821" s="35" t="str">
        <f aca="true">IF(OR(AQ821&lt;&gt;1,AI821&lt;&gt;"Oui",AJ821=""),"",IF(AK821="",IF(NOW()&gt;AJ821+1,0,""),IF(AK821&lt;=AJ821,1,0)))</f>
        <v/>
      </c>
    </row>
    <row r="822" customFormat="false" ht="15" hidden="false" customHeight="false" outlineLevel="0" collapsed="false">
      <c r="B822" s="29"/>
      <c r="C822" s="29"/>
      <c r="D822" s="29"/>
      <c r="E822" s="29"/>
      <c r="F822" s="29"/>
      <c r="G822" s="29"/>
      <c r="H822" s="29"/>
      <c r="I822" s="29"/>
      <c r="J822" s="29"/>
      <c r="K822" s="29"/>
      <c r="L822" s="29"/>
      <c r="M822" s="29"/>
      <c r="N822" s="30"/>
      <c r="O822" s="30"/>
      <c r="P822" s="30"/>
      <c r="Q822" s="30"/>
      <c r="R822" s="30"/>
      <c r="S822" s="30"/>
      <c r="T822" s="30"/>
      <c r="U822" s="30"/>
      <c r="V822" s="31"/>
      <c r="W822" s="29"/>
      <c r="X822" s="29"/>
      <c r="Y822" s="29"/>
      <c r="Z822" s="29"/>
      <c r="AA822" s="30"/>
      <c r="AB822" s="30"/>
      <c r="AC822" s="30"/>
      <c r="AD822" s="30"/>
      <c r="AE822" s="30"/>
      <c r="AF822" s="32"/>
      <c r="AG822" s="33"/>
      <c r="AH822" s="33"/>
      <c r="AI822" s="29"/>
      <c r="AJ822" s="32"/>
      <c r="AK822" s="32"/>
      <c r="AL822" s="29"/>
      <c r="AN822" s="34" t="str">
        <f aca="false">IF($B822="","",IF(OR(C822="",D822="",E822="",G822="",I822="",J822="",L822="",O822="",P822=""),"Champ obligatoire manquant",IF(OR(AND(N822&lt;&gt;"",N822&gt;O822),O822&gt;P822,AND(Q822&lt;&gt;"",Q822&lt;P822),AND(R822&lt;&gt;"",R822&lt;P822),AND(S822&lt;&gt;"",S822&lt;R822),AND(S822&lt;&gt;"",R822=""),AND(T822&lt;&gt;"",T822&lt;O822),AND(U822&lt;&gt;"",U822&lt;O822)),"Chronologie incohérente",IF(AND(OR(L822="Résolu",L822="Clos"),R822=""),"Date de résolution manquante",IF(AND(L822="Clos",S822=""),"Date de clôture manquante",IF(AND(K822="Oui",AC822=""),"Classification DORA manquante","OK"))))))</f>
        <v/>
      </c>
      <c r="AO822" s="35" t="str">
        <f aca="false">IF($B822="","",IF(AND(C822="Incident",L822&lt;&gt;"Annulé"),1,0))</f>
        <v/>
      </c>
      <c r="AP822" s="35" t="str">
        <f aca="false">IF($B822="","",IF(AND(C822="Quasi-incident",L822&lt;&gt;"Annulé"),1,0))</f>
        <v/>
      </c>
      <c r="AQ822" s="35" t="str">
        <f aca="false">IF($B822="","",AO822+AP822)</f>
        <v/>
      </c>
      <c r="AR822" s="36" t="str">
        <f aca="false">IF(OR($B822="",J822=""),"",IFERROR(VALUE(LEFT(J822,1)),""))</f>
        <v/>
      </c>
      <c r="AS822" s="35" t="str">
        <f aca="false">IF(OR(AO822&lt;&gt;1,G822=""),"",IFERROR(IF(INDEX(L_SrcInterne,MATCH(G822,L_Sources,0))="Oui",1,0),""))</f>
        <v/>
      </c>
      <c r="AT822" s="37" t="str">
        <f aca="false">IF(AO822&lt;&gt;1,"",IFERROR(ROUND(IF(OR(N822="",O822=""),"",IF(O822&lt;N822,"",ROUND(((NETWORKDAYS(N822,O822,JoursFeries)-1)*(HFer-HOuv)+IF(NETWORKDAYS(O822,O822,JoursFeries),MEDIAN(MOD(O822,1),HFer,HOuv),HFer)-IF(NETWORKDAYS(N822,N822,JoursFeries),MEDIAN(MOD(N822,1),HFer,HOuv),HOuv))*24,4)))/HJour,4),""))</f>
        <v/>
      </c>
      <c r="AU822" s="37" t="str">
        <f aca="false">IF(AO822&lt;&gt;1,"",IF(OR(O822="",P822=""),"",IF(P822&lt;O822,"",ROUND(((NETWORKDAYS(O822,P822,JoursFeries)-1)*(HFer-HOuv)+IF(NETWORKDAYS(P822,P822,JoursFeries),MEDIAN(MOD(P822,1),HFer,HOuv),HFer)-IF(NETWORKDAYS(O822,O822,JoursFeries),MEDIAN(MOD(O822,1),HFer,HOuv),HOuv))*24,4))))</f>
        <v/>
      </c>
      <c r="AV822" s="37" t="str">
        <f aca="false">IF(AO822&lt;&gt;1,"",IF(OR(P822="",Q822=""),"",IF(Q822&lt;P822,"",ROUND(((NETWORKDAYS(P822,Q822,JoursFeries)-1)*(HFer-HOuv)+IF(NETWORKDAYS(Q822,Q822,JoursFeries),MEDIAN(MOD(Q822,1),HFer,HOuv),HFer)-IF(NETWORKDAYS(P822,P822,JoursFeries),MEDIAN(MOD(P822,1),HFer,HOuv),HOuv))*24,4))))</f>
        <v/>
      </c>
      <c r="AW822" s="37" t="str">
        <f aca="false">IF(AO822&lt;&gt;1,"",IFERROR(ROUND(IF(OR(P822="",R822=""),"",IF(R822&lt;P822,"",ROUND(((NETWORKDAYS(P822,R822,JoursFeries)-1)*(HFer-HOuv)+IF(NETWORKDAYS(R822,R822,JoursFeries),MEDIAN(MOD(R822,1),HFer,HOuv),HFer)-IF(NETWORKDAYS(P822,P822,JoursFeries),MEDIAN(MOD(P822,1),HFer,HOuv),HOuv))*24,4)))/HJour,4),""))</f>
        <v/>
      </c>
      <c r="AX822" s="37" t="str">
        <f aca="false">IF(AO822&lt;&gt;1,"",IFERROR(ROUND(IF(OR(P822="",S822=""),"",IF(S822&lt;P822,"",ROUND(((NETWORKDAYS(P822,S822,JoursFeries)-1)*(HFer-HOuv)+IF(NETWORKDAYS(S822,S822,JoursFeries),MEDIAN(MOD(S822,1),HFer,HOuv),HFer)-IF(NETWORKDAYS(P822,P822,JoursFeries),MEDIAN(MOD(P822,1),HFer,HOuv),HOuv))*24,4)))/HJour,4),""))</f>
        <v/>
      </c>
      <c r="AY822" s="36" t="str">
        <f aca="false">IF(OR(AO822&lt;&gt;1,AR822=""),"",INDEX(SLA_PEC,AR822))</f>
        <v/>
      </c>
      <c r="AZ822" s="35" t="str">
        <f aca="false">IF(OR(AV822="",AY822=""),"",IF(AV822&lt;=AY822,1,0))</f>
        <v/>
      </c>
      <c r="BA822" s="36" t="str">
        <f aca="false">IF(OR(AO822&lt;&gt;1,AR822=""),"",INDEX(SLA_RES,AR822))</f>
        <v/>
      </c>
      <c r="BB822" s="35" t="str">
        <f aca="false">IF(OR(AW822="",BA822=""),"",IF(AW822&lt;=BA822,1,0))</f>
        <v/>
      </c>
      <c r="BC822" s="38" t="str">
        <f aca="false">IF(OR(BA822="",P822=""),"",WORKDAY(INT(P822),BA822,JoursFeries)+MOD(P822,1))</f>
        <v/>
      </c>
      <c r="BD822" s="39" t="str">
        <f aca="false">IF(AO822&lt;&gt;1,"",IF(OR(AB822&lt;&gt;"",AD822&lt;&gt;""),4,IF(U822&lt;&gt;"",3,IF(T822&lt;&gt;"",2,1))))</f>
        <v/>
      </c>
      <c r="BE822" s="39" t="str">
        <f aca="false">IF(OR(AO822&lt;&gt;1,AR822=""),"",INDEX(NIV_REQ,AR822))</f>
        <v/>
      </c>
      <c r="BF822" s="39" t="str">
        <f aca="false">IF(BE822="","",MAX(BE822,IF(OR(K822="Oui",Z822="Oui"),4,1)))</f>
        <v/>
      </c>
      <c r="BG822" s="35" t="str">
        <f aca="false">IF(OR(BF822="",BD822=""),"",IF(BD822&gt;=BF822,1,0))</f>
        <v/>
      </c>
      <c r="BH822" s="38" t="str">
        <f aca="false">IF(BE822="","",IF(BE822&lt;2,"",IF(BE822=2,IF(AND(T822="",U822=""),"",MIN(T822,U822)),IF(U822="","",U822))))</f>
        <v/>
      </c>
      <c r="BI822" s="37" t="str">
        <f aca="false">IF(BH822="","",IF(OR(O822="",BH822=""),"",IF(BH822&lt;O822,"",ROUND(((NETWORKDAYS(O822,BH822,JoursFeries)-1)*(HFer-HOuv)+IF(NETWORKDAYS(BH822,BH822,JoursFeries),MEDIAN(MOD(BH822,1),HFer,HOuv),HFer)-IF(NETWORKDAYS(O822,O822,JoursFeries),MEDIAN(MOD(O822,1),HFer,HOuv),HOuv))*24,4))))</f>
        <v/>
      </c>
      <c r="BJ822" s="35" t="str">
        <f aca="false">IF(OR(BI822="",AR822=""),"",IF(BI822&lt;=INDEX(DELAI_ESC,AR822),1,0))</f>
        <v/>
      </c>
      <c r="BK822" s="38" t="str">
        <f aca="false">IF(AO822&lt;&gt;1,"",IF(AND(T822="",U822=""),"",MIN(T822,U822)))</f>
        <v/>
      </c>
      <c r="BL822" s="37" t="str">
        <f aca="false">IF(OR(BK822="",R822=""),"",IFERROR(ROUND(IF(OR(BK822="",R822=""),"",IF(R822&lt;BK822,"",ROUND(((NETWORKDAYS(BK822,R822,JoursFeries)-1)*(HFer-HOuv)+IF(NETWORKDAYS(R822,R822,JoursFeries),MEDIAN(MOD(R822,1),HFer,HOuv),HFer)-IF(NETWORKDAYS(BK822,BK822,JoursFeries),MEDIAN(MOD(BK822,1),HFer,HOuv),HOuv))*24,4)))/HJour,4),""))</f>
        <v/>
      </c>
      <c r="BM822" s="35" t="str">
        <f aca="false">IF(OR(AO822&lt;&gt;1,R822=""),"",IF(BD822=1,1,0))</f>
        <v/>
      </c>
      <c r="BN822" s="35" t="str">
        <f aca="false">IF(AO822&lt;&gt;1,"",IF(W822="Oui",1,0))</f>
        <v/>
      </c>
      <c r="BO822" s="35" t="str">
        <f aca="false">IF(AO822&lt;&gt;1,"",IF(X822&lt;&gt;"",1,0))</f>
        <v/>
      </c>
      <c r="BP822" s="35" t="str">
        <f aca="false">IF(AO822&lt;&gt;1,"",IF(Y822="Oui",1,0))</f>
        <v/>
      </c>
      <c r="BQ822" s="35" t="str">
        <f aca="true">IF(OR(AO822&lt;&gt;1,Z822&lt;&gt;"Oui"),"",IF(AB822="",IF(AND(AA822&lt;&gt;"",NOW()&gt;AA822),0,""),IF(AA822="","",IF(AB822&lt;=AA822,1,0))))</f>
        <v/>
      </c>
      <c r="BR822" s="38" t="str">
        <f aca="false">IF(OR(AO822&lt;&gt;1,K822&lt;&gt;"Oui",O822=""),"",IF(AC822="",O822+DORA_H_DET/24,IF(AC822-O822&lt;=DORA_H_DET/24,MIN(AC822+DORA_H_CLA/24,O822+DORA_H_DET/24),AC822+DORA_H_CLA/24)))</f>
        <v/>
      </c>
      <c r="BS822" s="35" t="str">
        <f aca="true">IF(BR822="","",IF(AD822="",IF(NOW()&gt;BR822,0,""),IF(AD822&lt;=BR822,1,0)))</f>
        <v/>
      </c>
      <c r="BT822" s="35" t="str">
        <f aca="true">IF(OR(BR822="",AD822=""),"",IF(AE822="",IF(NOW()&gt;AD822+DORA_H_INT/24,0,""),IF(AE822&lt;=AD822+DORA_H_INT/24,1,0)))</f>
        <v/>
      </c>
      <c r="BU822" s="35" t="str">
        <f aca="true">IF(OR(BR822="",AE822=""),"",IF(AF822="",IF(NOW()&gt;EDATE(AE822,DORA_M_FIN)+1,0,""),IF(AF822&lt;=EDATE(AE822,DORA_M_FIN),1,0)))</f>
        <v/>
      </c>
      <c r="BV822" s="35" t="str">
        <f aca="false">IF(BR822="","",IF(COUNT(BS822:BU822)=0,"",MIN(BS822:BU822)))</f>
        <v/>
      </c>
      <c r="BW822" s="40" t="str">
        <f aca="false">IF(AQ822&lt;&gt;1,"",IF(AND(AG822="",AH822=""),"",N(AG822)-N(AH822)))</f>
        <v/>
      </c>
      <c r="BX822" s="35" t="str">
        <f aca="true">IF(OR(AQ822&lt;&gt;1,AI822&lt;&gt;"Oui",AJ822=""),"",IF(AK822="",IF(NOW()&gt;AJ822+1,0,""),IF(AK822&lt;=AJ822,1,0)))</f>
        <v/>
      </c>
    </row>
    <row r="823" customFormat="false" ht="15" hidden="false" customHeight="false" outlineLevel="0" collapsed="false">
      <c r="B823" s="29"/>
      <c r="C823" s="29"/>
      <c r="D823" s="29"/>
      <c r="E823" s="29"/>
      <c r="F823" s="29"/>
      <c r="G823" s="29"/>
      <c r="H823" s="29"/>
      <c r="I823" s="29"/>
      <c r="J823" s="29"/>
      <c r="K823" s="29"/>
      <c r="L823" s="29"/>
      <c r="M823" s="29"/>
      <c r="N823" s="30"/>
      <c r="O823" s="30"/>
      <c r="P823" s="30"/>
      <c r="Q823" s="30"/>
      <c r="R823" s="30"/>
      <c r="S823" s="30"/>
      <c r="T823" s="30"/>
      <c r="U823" s="30"/>
      <c r="V823" s="31"/>
      <c r="W823" s="29"/>
      <c r="X823" s="29"/>
      <c r="Y823" s="29"/>
      <c r="Z823" s="29"/>
      <c r="AA823" s="30"/>
      <c r="AB823" s="30"/>
      <c r="AC823" s="30"/>
      <c r="AD823" s="30"/>
      <c r="AE823" s="30"/>
      <c r="AF823" s="32"/>
      <c r="AG823" s="33"/>
      <c r="AH823" s="33"/>
      <c r="AI823" s="29"/>
      <c r="AJ823" s="32"/>
      <c r="AK823" s="32"/>
      <c r="AL823" s="29"/>
      <c r="AN823" s="34" t="str">
        <f aca="false">IF($B823="","",IF(OR(C823="",D823="",E823="",G823="",I823="",J823="",L823="",O823="",P823=""),"Champ obligatoire manquant",IF(OR(AND(N823&lt;&gt;"",N823&gt;O823),O823&gt;P823,AND(Q823&lt;&gt;"",Q823&lt;P823),AND(R823&lt;&gt;"",R823&lt;P823),AND(S823&lt;&gt;"",S823&lt;R823),AND(S823&lt;&gt;"",R823=""),AND(T823&lt;&gt;"",T823&lt;O823),AND(U823&lt;&gt;"",U823&lt;O823)),"Chronologie incohérente",IF(AND(OR(L823="Résolu",L823="Clos"),R823=""),"Date de résolution manquante",IF(AND(L823="Clos",S823=""),"Date de clôture manquante",IF(AND(K823="Oui",AC823=""),"Classification DORA manquante","OK"))))))</f>
        <v/>
      </c>
      <c r="AO823" s="35" t="str">
        <f aca="false">IF($B823="","",IF(AND(C823="Incident",L823&lt;&gt;"Annulé"),1,0))</f>
        <v/>
      </c>
      <c r="AP823" s="35" t="str">
        <f aca="false">IF($B823="","",IF(AND(C823="Quasi-incident",L823&lt;&gt;"Annulé"),1,0))</f>
        <v/>
      </c>
      <c r="AQ823" s="35" t="str">
        <f aca="false">IF($B823="","",AO823+AP823)</f>
        <v/>
      </c>
      <c r="AR823" s="36" t="str">
        <f aca="false">IF(OR($B823="",J823=""),"",IFERROR(VALUE(LEFT(J823,1)),""))</f>
        <v/>
      </c>
      <c r="AS823" s="35" t="str">
        <f aca="false">IF(OR(AO823&lt;&gt;1,G823=""),"",IFERROR(IF(INDEX(L_SrcInterne,MATCH(G823,L_Sources,0))="Oui",1,0),""))</f>
        <v/>
      </c>
      <c r="AT823" s="37" t="str">
        <f aca="false">IF(AO823&lt;&gt;1,"",IFERROR(ROUND(IF(OR(N823="",O823=""),"",IF(O823&lt;N823,"",ROUND(((NETWORKDAYS(N823,O823,JoursFeries)-1)*(HFer-HOuv)+IF(NETWORKDAYS(O823,O823,JoursFeries),MEDIAN(MOD(O823,1),HFer,HOuv),HFer)-IF(NETWORKDAYS(N823,N823,JoursFeries),MEDIAN(MOD(N823,1),HFer,HOuv),HOuv))*24,4)))/HJour,4),""))</f>
        <v/>
      </c>
      <c r="AU823" s="37" t="str">
        <f aca="false">IF(AO823&lt;&gt;1,"",IF(OR(O823="",P823=""),"",IF(P823&lt;O823,"",ROUND(((NETWORKDAYS(O823,P823,JoursFeries)-1)*(HFer-HOuv)+IF(NETWORKDAYS(P823,P823,JoursFeries),MEDIAN(MOD(P823,1),HFer,HOuv),HFer)-IF(NETWORKDAYS(O823,O823,JoursFeries),MEDIAN(MOD(O823,1),HFer,HOuv),HOuv))*24,4))))</f>
        <v/>
      </c>
      <c r="AV823" s="37" t="str">
        <f aca="false">IF(AO823&lt;&gt;1,"",IF(OR(P823="",Q823=""),"",IF(Q823&lt;P823,"",ROUND(((NETWORKDAYS(P823,Q823,JoursFeries)-1)*(HFer-HOuv)+IF(NETWORKDAYS(Q823,Q823,JoursFeries),MEDIAN(MOD(Q823,1),HFer,HOuv),HFer)-IF(NETWORKDAYS(P823,P823,JoursFeries),MEDIAN(MOD(P823,1),HFer,HOuv),HOuv))*24,4))))</f>
        <v/>
      </c>
      <c r="AW823" s="37" t="str">
        <f aca="false">IF(AO823&lt;&gt;1,"",IFERROR(ROUND(IF(OR(P823="",R823=""),"",IF(R823&lt;P823,"",ROUND(((NETWORKDAYS(P823,R823,JoursFeries)-1)*(HFer-HOuv)+IF(NETWORKDAYS(R823,R823,JoursFeries),MEDIAN(MOD(R823,1),HFer,HOuv),HFer)-IF(NETWORKDAYS(P823,P823,JoursFeries),MEDIAN(MOD(P823,1),HFer,HOuv),HOuv))*24,4)))/HJour,4),""))</f>
        <v/>
      </c>
      <c r="AX823" s="37" t="str">
        <f aca="false">IF(AO823&lt;&gt;1,"",IFERROR(ROUND(IF(OR(P823="",S823=""),"",IF(S823&lt;P823,"",ROUND(((NETWORKDAYS(P823,S823,JoursFeries)-1)*(HFer-HOuv)+IF(NETWORKDAYS(S823,S823,JoursFeries),MEDIAN(MOD(S823,1),HFer,HOuv),HFer)-IF(NETWORKDAYS(P823,P823,JoursFeries),MEDIAN(MOD(P823,1),HFer,HOuv),HOuv))*24,4)))/HJour,4),""))</f>
        <v/>
      </c>
      <c r="AY823" s="36" t="str">
        <f aca="false">IF(OR(AO823&lt;&gt;1,AR823=""),"",INDEX(SLA_PEC,AR823))</f>
        <v/>
      </c>
      <c r="AZ823" s="35" t="str">
        <f aca="false">IF(OR(AV823="",AY823=""),"",IF(AV823&lt;=AY823,1,0))</f>
        <v/>
      </c>
      <c r="BA823" s="36" t="str">
        <f aca="false">IF(OR(AO823&lt;&gt;1,AR823=""),"",INDEX(SLA_RES,AR823))</f>
        <v/>
      </c>
      <c r="BB823" s="35" t="str">
        <f aca="false">IF(OR(AW823="",BA823=""),"",IF(AW823&lt;=BA823,1,0))</f>
        <v/>
      </c>
      <c r="BC823" s="38" t="str">
        <f aca="false">IF(OR(BA823="",P823=""),"",WORKDAY(INT(P823),BA823,JoursFeries)+MOD(P823,1))</f>
        <v/>
      </c>
      <c r="BD823" s="39" t="str">
        <f aca="false">IF(AO823&lt;&gt;1,"",IF(OR(AB823&lt;&gt;"",AD823&lt;&gt;""),4,IF(U823&lt;&gt;"",3,IF(T823&lt;&gt;"",2,1))))</f>
        <v/>
      </c>
      <c r="BE823" s="39" t="str">
        <f aca="false">IF(OR(AO823&lt;&gt;1,AR823=""),"",INDEX(NIV_REQ,AR823))</f>
        <v/>
      </c>
      <c r="BF823" s="39" t="str">
        <f aca="false">IF(BE823="","",MAX(BE823,IF(OR(K823="Oui",Z823="Oui"),4,1)))</f>
        <v/>
      </c>
      <c r="BG823" s="35" t="str">
        <f aca="false">IF(OR(BF823="",BD823=""),"",IF(BD823&gt;=BF823,1,0))</f>
        <v/>
      </c>
      <c r="BH823" s="38" t="str">
        <f aca="false">IF(BE823="","",IF(BE823&lt;2,"",IF(BE823=2,IF(AND(T823="",U823=""),"",MIN(T823,U823)),IF(U823="","",U823))))</f>
        <v/>
      </c>
      <c r="BI823" s="37" t="str">
        <f aca="false">IF(BH823="","",IF(OR(O823="",BH823=""),"",IF(BH823&lt;O823,"",ROUND(((NETWORKDAYS(O823,BH823,JoursFeries)-1)*(HFer-HOuv)+IF(NETWORKDAYS(BH823,BH823,JoursFeries),MEDIAN(MOD(BH823,1),HFer,HOuv),HFer)-IF(NETWORKDAYS(O823,O823,JoursFeries),MEDIAN(MOD(O823,1),HFer,HOuv),HOuv))*24,4))))</f>
        <v/>
      </c>
      <c r="BJ823" s="35" t="str">
        <f aca="false">IF(OR(BI823="",AR823=""),"",IF(BI823&lt;=INDEX(DELAI_ESC,AR823),1,0))</f>
        <v/>
      </c>
      <c r="BK823" s="38" t="str">
        <f aca="false">IF(AO823&lt;&gt;1,"",IF(AND(T823="",U823=""),"",MIN(T823,U823)))</f>
        <v/>
      </c>
      <c r="BL823" s="37" t="str">
        <f aca="false">IF(OR(BK823="",R823=""),"",IFERROR(ROUND(IF(OR(BK823="",R823=""),"",IF(R823&lt;BK823,"",ROUND(((NETWORKDAYS(BK823,R823,JoursFeries)-1)*(HFer-HOuv)+IF(NETWORKDAYS(R823,R823,JoursFeries),MEDIAN(MOD(R823,1),HFer,HOuv),HFer)-IF(NETWORKDAYS(BK823,BK823,JoursFeries),MEDIAN(MOD(BK823,1),HFer,HOuv),HOuv))*24,4)))/HJour,4),""))</f>
        <v/>
      </c>
      <c r="BM823" s="35" t="str">
        <f aca="false">IF(OR(AO823&lt;&gt;1,R823=""),"",IF(BD823=1,1,0))</f>
        <v/>
      </c>
      <c r="BN823" s="35" t="str">
        <f aca="false">IF(AO823&lt;&gt;1,"",IF(W823="Oui",1,0))</f>
        <v/>
      </c>
      <c r="BO823" s="35" t="str">
        <f aca="false">IF(AO823&lt;&gt;1,"",IF(X823&lt;&gt;"",1,0))</f>
        <v/>
      </c>
      <c r="BP823" s="35" t="str">
        <f aca="false">IF(AO823&lt;&gt;1,"",IF(Y823="Oui",1,0))</f>
        <v/>
      </c>
      <c r="BQ823" s="35" t="str">
        <f aca="true">IF(OR(AO823&lt;&gt;1,Z823&lt;&gt;"Oui"),"",IF(AB823="",IF(AND(AA823&lt;&gt;"",NOW()&gt;AA823),0,""),IF(AA823="","",IF(AB823&lt;=AA823,1,0))))</f>
        <v/>
      </c>
      <c r="BR823" s="38" t="str">
        <f aca="false">IF(OR(AO823&lt;&gt;1,K823&lt;&gt;"Oui",O823=""),"",IF(AC823="",O823+DORA_H_DET/24,IF(AC823-O823&lt;=DORA_H_DET/24,MIN(AC823+DORA_H_CLA/24,O823+DORA_H_DET/24),AC823+DORA_H_CLA/24)))</f>
        <v/>
      </c>
      <c r="BS823" s="35" t="str">
        <f aca="true">IF(BR823="","",IF(AD823="",IF(NOW()&gt;BR823,0,""),IF(AD823&lt;=BR823,1,0)))</f>
        <v/>
      </c>
      <c r="BT823" s="35" t="str">
        <f aca="true">IF(OR(BR823="",AD823=""),"",IF(AE823="",IF(NOW()&gt;AD823+DORA_H_INT/24,0,""),IF(AE823&lt;=AD823+DORA_H_INT/24,1,0)))</f>
        <v/>
      </c>
      <c r="BU823" s="35" t="str">
        <f aca="true">IF(OR(BR823="",AE823=""),"",IF(AF823="",IF(NOW()&gt;EDATE(AE823,DORA_M_FIN)+1,0,""),IF(AF823&lt;=EDATE(AE823,DORA_M_FIN),1,0)))</f>
        <v/>
      </c>
      <c r="BV823" s="35" t="str">
        <f aca="false">IF(BR823="","",IF(COUNT(BS823:BU823)=0,"",MIN(BS823:BU823)))</f>
        <v/>
      </c>
      <c r="BW823" s="40" t="str">
        <f aca="false">IF(AQ823&lt;&gt;1,"",IF(AND(AG823="",AH823=""),"",N(AG823)-N(AH823)))</f>
        <v/>
      </c>
      <c r="BX823" s="35" t="str">
        <f aca="true">IF(OR(AQ823&lt;&gt;1,AI823&lt;&gt;"Oui",AJ823=""),"",IF(AK823="",IF(NOW()&gt;AJ823+1,0,""),IF(AK823&lt;=AJ823,1,0)))</f>
        <v/>
      </c>
    </row>
    <row r="824" customFormat="false" ht="15" hidden="false" customHeight="false" outlineLevel="0" collapsed="false">
      <c r="B824" s="29"/>
      <c r="C824" s="29"/>
      <c r="D824" s="29"/>
      <c r="E824" s="29"/>
      <c r="F824" s="29"/>
      <c r="G824" s="29"/>
      <c r="H824" s="29"/>
      <c r="I824" s="29"/>
      <c r="J824" s="29"/>
      <c r="K824" s="29"/>
      <c r="L824" s="29"/>
      <c r="M824" s="29"/>
      <c r="N824" s="30"/>
      <c r="O824" s="30"/>
      <c r="P824" s="30"/>
      <c r="Q824" s="30"/>
      <c r="R824" s="30"/>
      <c r="S824" s="30"/>
      <c r="T824" s="30"/>
      <c r="U824" s="30"/>
      <c r="V824" s="31"/>
      <c r="W824" s="29"/>
      <c r="X824" s="29"/>
      <c r="Y824" s="29"/>
      <c r="Z824" s="29"/>
      <c r="AA824" s="30"/>
      <c r="AB824" s="30"/>
      <c r="AC824" s="30"/>
      <c r="AD824" s="30"/>
      <c r="AE824" s="30"/>
      <c r="AF824" s="32"/>
      <c r="AG824" s="33"/>
      <c r="AH824" s="33"/>
      <c r="AI824" s="29"/>
      <c r="AJ824" s="32"/>
      <c r="AK824" s="32"/>
      <c r="AL824" s="29"/>
      <c r="AN824" s="34" t="str">
        <f aca="false">IF($B824="","",IF(OR(C824="",D824="",E824="",G824="",I824="",J824="",L824="",O824="",P824=""),"Champ obligatoire manquant",IF(OR(AND(N824&lt;&gt;"",N824&gt;O824),O824&gt;P824,AND(Q824&lt;&gt;"",Q824&lt;P824),AND(R824&lt;&gt;"",R824&lt;P824),AND(S824&lt;&gt;"",S824&lt;R824),AND(S824&lt;&gt;"",R824=""),AND(T824&lt;&gt;"",T824&lt;O824),AND(U824&lt;&gt;"",U824&lt;O824)),"Chronologie incohérente",IF(AND(OR(L824="Résolu",L824="Clos"),R824=""),"Date de résolution manquante",IF(AND(L824="Clos",S824=""),"Date de clôture manquante",IF(AND(K824="Oui",AC824=""),"Classification DORA manquante","OK"))))))</f>
        <v/>
      </c>
      <c r="AO824" s="35" t="str">
        <f aca="false">IF($B824="","",IF(AND(C824="Incident",L824&lt;&gt;"Annulé"),1,0))</f>
        <v/>
      </c>
      <c r="AP824" s="35" t="str">
        <f aca="false">IF($B824="","",IF(AND(C824="Quasi-incident",L824&lt;&gt;"Annulé"),1,0))</f>
        <v/>
      </c>
      <c r="AQ824" s="35" t="str">
        <f aca="false">IF($B824="","",AO824+AP824)</f>
        <v/>
      </c>
      <c r="AR824" s="36" t="str">
        <f aca="false">IF(OR($B824="",J824=""),"",IFERROR(VALUE(LEFT(J824,1)),""))</f>
        <v/>
      </c>
      <c r="AS824" s="35" t="str">
        <f aca="false">IF(OR(AO824&lt;&gt;1,G824=""),"",IFERROR(IF(INDEX(L_SrcInterne,MATCH(G824,L_Sources,0))="Oui",1,0),""))</f>
        <v/>
      </c>
      <c r="AT824" s="37" t="str">
        <f aca="false">IF(AO824&lt;&gt;1,"",IFERROR(ROUND(IF(OR(N824="",O824=""),"",IF(O824&lt;N824,"",ROUND(((NETWORKDAYS(N824,O824,JoursFeries)-1)*(HFer-HOuv)+IF(NETWORKDAYS(O824,O824,JoursFeries),MEDIAN(MOD(O824,1),HFer,HOuv),HFer)-IF(NETWORKDAYS(N824,N824,JoursFeries),MEDIAN(MOD(N824,1),HFer,HOuv),HOuv))*24,4)))/HJour,4),""))</f>
        <v/>
      </c>
      <c r="AU824" s="37" t="str">
        <f aca="false">IF(AO824&lt;&gt;1,"",IF(OR(O824="",P824=""),"",IF(P824&lt;O824,"",ROUND(((NETWORKDAYS(O824,P824,JoursFeries)-1)*(HFer-HOuv)+IF(NETWORKDAYS(P824,P824,JoursFeries),MEDIAN(MOD(P824,1),HFer,HOuv),HFer)-IF(NETWORKDAYS(O824,O824,JoursFeries),MEDIAN(MOD(O824,1),HFer,HOuv),HOuv))*24,4))))</f>
        <v/>
      </c>
      <c r="AV824" s="37" t="str">
        <f aca="false">IF(AO824&lt;&gt;1,"",IF(OR(P824="",Q824=""),"",IF(Q824&lt;P824,"",ROUND(((NETWORKDAYS(P824,Q824,JoursFeries)-1)*(HFer-HOuv)+IF(NETWORKDAYS(Q824,Q824,JoursFeries),MEDIAN(MOD(Q824,1),HFer,HOuv),HFer)-IF(NETWORKDAYS(P824,P824,JoursFeries),MEDIAN(MOD(P824,1),HFer,HOuv),HOuv))*24,4))))</f>
        <v/>
      </c>
      <c r="AW824" s="37" t="str">
        <f aca="false">IF(AO824&lt;&gt;1,"",IFERROR(ROUND(IF(OR(P824="",R824=""),"",IF(R824&lt;P824,"",ROUND(((NETWORKDAYS(P824,R824,JoursFeries)-1)*(HFer-HOuv)+IF(NETWORKDAYS(R824,R824,JoursFeries),MEDIAN(MOD(R824,1),HFer,HOuv),HFer)-IF(NETWORKDAYS(P824,P824,JoursFeries),MEDIAN(MOD(P824,1),HFer,HOuv),HOuv))*24,4)))/HJour,4),""))</f>
        <v/>
      </c>
      <c r="AX824" s="37" t="str">
        <f aca="false">IF(AO824&lt;&gt;1,"",IFERROR(ROUND(IF(OR(P824="",S824=""),"",IF(S824&lt;P824,"",ROUND(((NETWORKDAYS(P824,S824,JoursFeries)-1)*(HFer-HOuv)+IF(NETWORKDAYS(S824,S824,JoursFeries),MEDIAN(MOD(S824,1),HFer,HOuv),HFer)-IF(NETWORKDAYS(P824,P824,JoursFeries),MEDIAN(MOD(P824,1),HFer,HOuv),HOuv))*24,4)))/HJour,4),""))</f>
        <v/>
      </c>
      <c r="AY824" s="36" t="str">
        <f aca="false">IF(OR(AO824&lt;&gt;1,AR824=""),"",INDEX(SLA_PEC,AR824))</f>
        <v/>
      </c>
      <c r="AZ824" s="35" t="str">
        <f aca="false">IF(OR(AV824="",AY824=""),"",IF(AV824&lt;=AY824,1,0))</f>
        <v/>
      </c>
      <c r="BA824" s="36" t="str">
        <f aca="false">IF(OR(AO824&lt;&gt;1,AR824=""),"",INDEX(SLA_RES,AR824))</f>
        <v/>
      </c>
      <c r="BB824" s="35" t="str">
        <f aca="false">IF(OR(AW824="",BA824=""),"",IF(AW824&lt;=BA824,1,0))</f>
        <v/>
      </c>
      <c r="BC824" s="38" t="str">
        <f aca="false">IF(OR(BA824="",P824=""),"",WORKDAY(INT(P824),BA824,JoursFeries)+MOD(P824,1))</f>
        <v/>
      </c>
      <c r="BD824" s="39" t="str">
        <f aca="false">IF(AO824&lt;&gt;1,"",IF(OR(AB824&lt;&gt;"",AD824&lt;&gt;""),4,IF(U824&lt;&gt;"",3,IF(T824&lt;&gt;"",2,1))))</f>
        <v/>
      </c>
      <c r="BE824" s="39" t="str">
        <f aca="false">IF(OR(AO824&lt;&gt;1,AR824=""),"",INDEX(NIV_REQ,AR824))</f>
        <v/>
      </c>
      <c r="BF824" s="39" t="str">
        <f aca="false">IF(BE824="","",MAX(BE824,IF(OR(K824="Oui",Z824="Oui"),4,1)))</f>
        <v/>
      </c>
      <c r="BG824" s="35" t="str">
        <f aca="false">IF(OR(BF824="",BD824=""),"",IF(BD824&gt;=BF824,1,0))</f>
        <v/>
      </c>
      <c r="BH824" s="38" t="str">
        <f aca="false">IF(BE824="","",IF(BE824&lt;2,"",IF(BE824=2,IF(AND(T824="",U824=""),"",MIN(T824,U824)),IF(U824="","",U824))))</f>
        <v/>
      </c>
      <c r="BI824" s="37" t="str">
        <f aca="false">IF(BH824="","",IF(OR(O824="",BH824=""),"",IF(BH824&lt;O824,"",ROUND(((NETWORKDAYS(O824,BH824,JoursFeries)-1)*(HFer-HOuv)+IF(NETWORKDAYS(BH824,BH824,JoursFeries),MEDIAN(MOD(BH824,1),HFer,HOuv),HFer)-IF(NETWORKDAYS(O824,O824,JoursFeries),MEDIAN(MOD(O824,1),HFer,HOuv),HOuv))*24,4))))</f>
        <v/>
      </c>
      <c r="BJ824" s="35" t="str">
        <f aca="false">IF(OR(BI824="",AR824=""),"",IF(BI824&lt;=INDEX(DELAI_ESC,AR824),1,0))</f>
        <v/>
      </c>
      <c r="BK824" s="38" t="str">
        <f aca="false">IF(AO824&lt;&gt;1,"",IF(AND(T824="",U824=""),"",MIN(T824,U824)))</f>
        <v/>
      </c>
      <c r="BL824" s="37" t="str">
        <f aca="false">IF(OR(BK824="",R824=""),"",IFERROR(ROUND(IF(OR(BK824="",R824=""),"",IF(R824&lt;BK824,"",ROUND(((NETWORKDAYS(BK824,R824,JoursFeries)-1)*(HFer-HOuv)+IF(NETWORKDAYS(R824,R824,JoursFeries),MEDIAN(MOD(R824,1),HFer,HOuv),HFer)-IF(NETWORKDAYS(BK824,BK824,JoursFeries),MEDIAN(MOD(BK824,1),HFer,HOuv),HOuv))*24,4)))/HJour,4),""))</f>
        <v/>
      </c>
      <c r="BM824" s="35" t="str">
        <f aca="false">IF(OR(AO824&lt;&gt;1,R824=""),"",IF(BD824=1,1,0))</f>
        <v/>
      </c>
      <c r="BN824" s="35" t="str">
        <f aca="false">IF(AO824&lt;&gt;1,"",IF(W824="Oui",1,0))</f>
        <v/>
      </c>
      <c r="BO824" s="35" t="str">
        <f aca="false">IF(AO824&lt;&gt;1,"",IF(X824&lt;&gt;"",1,0))</f>
        <v/>
      </c>
      <c r="BP824" s="35" t="str">
        <f aca="false">IF(AO824&lt;&gt;1,"",IF(Y824="Oui",1,0))</f>
        <v/>
      </c>
      <c r="BQ824" s="35" t="str">
        <f aca="true">IF(OR(AO824&lt;&gt;1,Z824&lt;&gt;"Oui"),"",IF(AB824="",IF(AND(AA824&lt;&gt;"",NOW()&gt;AA824),0,""),IF(AA824="","",IF(AB824&lt;=AA824,1,0))))</f>
        <v/>
      </c>
      <c r="BR824" s="38" t="str">
        <f aca="false">IF(OR(AO824&lt;&gt;1,K824&lt;&gt;"Oui",O824=""),"",IF(AC824="",O824+DORA_H_DET/24,IF(AC824-O824&lt;=DORA_H_DET/24,MIN(AC824+DORA_H_CLA/24,O824+DORA_H_DET/24),AC824+DORA_H_CLA/24)))</f>
        <v/>
      </c>
      <c r="BS824" s="35" t="str">
        <f aca="true">IF(BR824="","",IF(AD824="",IF(NOW()&gt;BR824,0,""),IF(AD824&lt;=BR824,1,0)))</f>
        <v/>
      </c>
      <c r="BT824" s="35" t="str">
        <f aca="true">IF(OR(BR824="",AD824=""),"",IF(AE824="",IF(NOW()&gt;AD824+DORA_H_INT/24,0,""),IF(AE824&lt;=AD824+DORA_H_INT/24,1,0)))</f>
        <v/>
      </c>
      <c r="BU824" s="35" t="str">
        <f aca="true">IF(OR(BR824="",AE824=""),"",IF(AF824="",IF(NOW()&gt;EDATE(AE824,DORA_M_FIN)+1,0,""),IF(AF824&lt;=EDATE(AE824,DORA_M_FIN),1,0)))</f>
        <v/>
      </c>
      <c r="BV824" s="35" t="str">
        <f aca="false">IF(BR824="","",IF(COUNT(BS824:BU824)=0,"",MIN(BS824:BU824)))</f>
        <v/>
      </c>
      <c r="BW824" s="40" t="str">
        <f aca="false">IF(AQ824&lt;&gt;1,"",IF(AND(AG824="",AH824=""),"",N(AG824)-N(AH824)))</f>
        <v/>
      </c>
      <c r="BX824" s="35" t="str">
        <f aca="true">IF(OR(AQ824&lt;&gt;1,AI824&lt;&gt;"Oui",AJ824=""),"",IF(AK824="",IF(NOW()&gt;AJ824+1,0,""),IF(AK824&lt;=AJ824,1,0)))</f>
        <v/>
      </c>
    </row>
    <row r="825" customFormat="false" ht="15" hidden="false" customHeight="false" outlineLevel="0" collapsed="false">
      <c r="B825" s="29"/>
      <c r="C825" s="29"/>
      <c r="D825" s="29"/>
      <c r="E825" s="29"/>
      <c r="F825" s="29"/>
      <c r="G825" s="29"/>
      <c r="H825" s="29"/>
      <c r="I825" s="29"/>
      <c r="J825" s="29"/>
      <c r="K825" s="29"/>
      <c r="L825" s="29"/>
      <c r="M825" s="29"/>
      <c r="N825" s="30"/>
      <c r="O825" s="30"/>
      <c r="P825" s="30"/>
      <c r="Q825" s="30"/>
      <c r="R825" s="30"/>
      <c r="S825" s="30"/>
      <c r="T825" s="30"/>
      <c r="U825" s="30"/>
      <c r="V825" s="31"/>
      <c r="W825" s="29"/>
      <c r="X825" s="29"/>
      <c r="Y825" s="29"/>
      <c r="Z825" s="29"/>
      <c r="AA825" s="30"/>
      <c r="AB825" s="30"/>
      <c r="AC825" s="30"/>
      <c r="AD825" s="30"/>
      <c r="AE825" s="30"/>
      <c r="AF825" s="32"/>
      <c r="AG825" s="33"/>
      <c r="AH825" s="33"/>
      <c r="AI825" s="29"/>
      <c r="AJ825" s="32"/>
      <c r="AK825" s="32"/>
      <c r="AL825" s="29"/>
      <c r="AN825" s="34" t="str">
        <f aca="false">IF($B825="","",IF(OR(C825="",D825="",E825="",G825="",I825="",J825="",L825="",O825="",P825=""),"Champ obligatoire manquant",IF(OR(AND(N825&lt;&gt;"",N825&gt;O825),O825&gt;P825,AND(Q825&lt;&gt;"",Q825&lt;P825),AND(R825&lt;&gt;"",R825&lt;P825),AND(S825&lt;&gt;"",S825&lt;R825),AND(S825&lt;&gt;"",R825=""),AND(T825&lt;&gt;"",T825&lt;O825),AND(U825&lt;&gt;"",U825&lt;O825)),"Chronologie incohérente",IF(AND(OR(L825="Résolu",L825="Clos"),R825=""),"Date de résolution manquante",IF(AND(L825="Clos",S825=""),"Date de clôture manquante",IF(AND(K825="Oui",AC825=""),"Classification DORA manquante","OK"))))))</f>
        <v/>
      </c>
      <c r="AO825" s="35" t="str">
        <f aca="false">IF($B825="","",IF(AND(C825="Incident",L825&lt;&gt;"Annulé"),1,0))</f>
        <v/>
      </c>
      <c r="AP825" s="35" t="str">
        <f aca="false">IF($B825="","",IF(AND(C825="Quasi-incident",L825&lt;&gt;"Annulé"),1,0))</f>
        <v/>
      </c>
      <c r="AQ825" s="35" t="str">
        <f aca="false">IF($B825="","",AO825+AP825)</f>
        <v/>
      </c>
      <c r="AR825" s="36" t="str">
        <f aca="false">IF(OR($B825="",J825=""),"",IFERROR(VALUE(LEFT(J825,1)),""))</f>
        <v/>
      </c>
      <c r="AS825" s="35" t="str">
        <f aca="false">IF(OR(AO825&lt;&gt;1,G825=""),"",IFERROR(IF(INDEX(L_SrcInterne,MATCH(G825,L_Sources,0))="Oui",1,0),""))</f>
        <v/>
      </c>
      <c r="AT825" s="37" t="str">
        <f aca="false">IF(AO825&lt;&gt;1,"",IFERROR(ROUND(IF(OR(N825="",O825=""),"",IF(O825&lt;N825,"",ROUND(((NETWORKDAYS(N825,O825,JoursFeries)-1)*(HFer-HOuv)+IF(NETWORKDAYS(O825,O825,JoursFeries),MEDIAN(MOD(O825,1),HFer,HOuv),HFer)-IF(NETWORKDAYS(N825,N825,JoursFeries),MEDIAN(MOD(N825,1),HFer,HOuv),HOuv))*24,4)))/HJour,4),""))</f>
        <v/>
      </c>
      <c r="AU825" s="37" t="str">
        <f aca="false">IF(AO825&lt;&gt;1,"",IF(OR(O825="",P825=""),"",IF(P825&lt;O825,"",ROUND(((NETWORKDAYS(O825,P825,JoursFeries)-1)*(HFer-HOuv)+IF(NETWORKDAYS(P825,P825,JoursFeries),MEDIAN(MOD(P825,1),HFer,HOuv),HFer)-IF(NETWORKDAYS(O825,O825,JoursFeries),MEDIAN(MOD(O825,1),HFer,HOuv),HOuv))*24,4))))</f>
        <v/>
      </c>
      <c r="AV825" s="37" t="str">
        <f aca="false">IF(AO825&lt;&gt;1,"",IF(OR(P825="",Q825=""),"",IF(Q825&lt;P825,"",ROUND(((NETWORKDAYS(P825,Q825,JoursFeries)-1)*(HFer-HOuv)+IF(NETWORKDAYS(Q825,Q825,JoursFeries),MEDIAN(MOD(Q825,1),HFer,HOuv),HFer)-IF(NETWORKDAYS(P825,P825,JoursFeries),MEDIAN(MOD(P825,1),HFer,HOuv),HOuv))*24,4))))</f>
        <v/>
      </c>
      <c r="AW825" s="37" t="str">
        <f aca="false">IF(AO825&lt;&gt;1,"",IFERROR(ROUND(IF(OR(P825="",R825=""),"",IF(R825&lt;P825,"",ROUND(((NETWORKDAYS(P825,R825,JoursFeries)-1)*(HFer-HOuv)+IF(NETWORKDAYS(R825,R825,JoursFeries),MEDIAN(MOD(R825,1),HFer,HOuv),HFer)-IF(NETWORKDAYS(P825,P825,JoursFeries),MEDIAN(MOD(P825,1),HFer,HOuv),HOuv))*24,4)))/HJour,4),""))</f>
        <v/>
      </c>
      <c r="AX825" s="37" t="str">
        <f aca="false">IF(AO825&lt;&gt;1,"",IFERROR(ROUND(IF(OR(P825="",S825=""),"",IF(S825&lt;P825,"",ROUND(((NETWORKDAYS(P825,S825,JoursFeries)-1)*(HFer-HOuv)+IF(NETWORKDAYS(S825,S825,JoursFeries),MEDIAN(MOD(S825,1),HFer,HOuv),HFer)-IF(NETWORKDAYS(P825,P825,JoursFeries),MEDIAN(MOD(P825,1),HFer,HOuv),HOuv))*24,4)))/HJour,4),""))</f>
        <v/>
      </c>
      <c r="AY825" s="36" t="str">
        <f aca="false">IF(OR(AO825&lt;&gt;1,AR825=""),"",INDEX(SLA_PEC,AR825))</f>
        <v/>
      </c>
      <c r="AZ825" s="35" t="str">
        <f aca="false">IF(OR(AV825="",AY825=""),"",IF(AV825&lt;=AY825,1,0))</f>
        <v/>
      </c>
      <c r="BA825" s="36" t="str">
        <f aca="false">IF(OR(AO825&lt;&gt;1,AR825=""),"",INDEX(SLA_RES,AR825))</f>
        <v/>
      </c>
      <c r="BB825" s="35" t="str">
        <f aca="false">IF(OR(AW825="",BA825=""),"",IF(AW825&lt;=BA825,1,0))</f>
        <v/>
      </c>
      <c r="BC825" s="38" t="str">
        <f aca="false">IF(OR(BA825="",P825=""),"",WORKDAY(INT(P825),BA825,JoursFeries)+MOD(P825,1))</f>
        <v/>
      </c>
      <c r="BD825" s="39" t="str">
        <f aca="false">IF(AO825&lt;&gt;1,"",IF(OR(AB825&lt;&gt;"",AD825&lt;&gt;""),4,IF(U825&lt;&gt;"",3,IF(T825&lt;&gt;"",2,1))))</f>
        <v/>
      </c>
      <c r="BE825" s="39" t="str">
        <f aca="false">IF(OR(AO825&lt;&gt;1,AR825=""),"",INDEX(NIV_REQ,AR825))</f>
        <v/>
      </c>
      <c r="BF825" s="39" t="str">
        <f aca="false">IF(BE825="","",MAX(BE825,IF(OR(K825="Oui",Z825="Oui"),4,1)))</f>
        <v/>
      </c>
      <c r="BG825" s="35" t="str">
        <f aca="false">IF(OR(BF825="",BD825=""),"",IF(BD825&gt;=BF825,1,0))</f>
        <v/>
      </c>
      <c r="BH825" s="38" t="str">
        <f aca="false">IF(BE825="","",IF(BE825&lt;2,"",IF(BE825=2,IF(AND(T825="",U825=""),"",MIN(T825,U825)),IF(U825="","",U825))))</f>
        <v/>
      </c>
      <c r="BI825" s="37" t="str">
        <f aca="false">IF(BH825="","",IF(OR(O825="",BH825=""),"",IF(BH825&lt;O825,"",ROUND(((NETWORKDAYS(O825,BH825,JoursFeries)-1)*(HFer-HOuv)+IF(NETWORKDAYS(BH825,BH825,JoursFeries),MEDIAN(MOD(BH825,1),HFer,HOuv),HFer)-IF(NETWORKDAYS(O825,O825,JoursFeries),MEDIAN(MOD(O825,1),HFer,HOuv),HOuv))*24,4))))</f>
        <v/>
      </c>
      <c r="BJ825" s="35" t="str">
        <f aca="false">IF(OR(BI825="",AR825=""),"",IF(BI825&lt;=INDEX(DELAI_ESC,AR825),1,0))</f>
        <v/>
      </c>
      <c r="BK825" s="38" t="str">
        <f aca="false">IF(AO825&lt;&gt;1,"",IF(AND(T825="",U825=""),"",MIN(T825,U825)))</f>
        <v/>
      </c>
      <c r="BL825" s="37" t="str">
        <f aca="false">IF(OR(BK825="",R825=""),"",IFERROR(ROUND(IF(OR(BK825="",R825=""),"",IF(R825&lt;BK825,"",ROUND(((NETWORKDAYS(BK825,R825,JoursFeries)-1)*(HFer-HOuv)+IF(NETWORKDAYS(R825,R825,JoursFeries),MEDIAN(MOD(R825,1),HFer,HOuv),HFer)-IF(NETWORKDAYS(BK825,BK825,JoursFeries),MEDIAN(MOD(BK825,1),HFer,HOuv),HOuv))*24,4)))/HJour,4),""))</f>
        <v/>
      </c>
      <c r="BM825" s="35" t="str">
        <f aca="false">IF(OR(AO825&lt;&gt;1,R825=""),"",IF(BD825=1,1,0))</f>
        <v/>
      </c>
      <c r="BN825" s="35" t="str">
        <f aca="false">IF(AO825&lt;&gt;1,"",IF(W825="Oui",1,0))</f>
        <v/>
      </c>
      <c r="BO825" s="35" t="str">
        <f aca="false">IF(AO825&lt;&gt;1,"",IF(X825&lt;&gt;"",1,0))</f>
        <v/>
      </c>
      <c r="BP825" s="35" t="str">
        <f aca="false">IF(AO825&lt;&gt;1,"",IF(Y825="Oui",1,0))</f>
        <v/>
      </c>
      <c r="BQ825" s="35" t="str">
        <f aca="true">IF(OR(AO825&lt;&gt;1,Z825&lt;&gt;"Oui"),"",IF(AB825="",IF(AND(AA825&lt;&gt;"",NOW()&gt;AA825),0,""),IF(AA825="","",IF(AB825&lt;=AA825,1,0))))</f>
        <v/>
      </c>
      <c r="BR825" s="38" t="str">
        <f aca="false">IF(OR(AO825&lt;&gt;1,K825&lt;&gt;"Oui",O825=""),"",IF(AC825="",O825+DORA_H_DET/24,IF(AC825-O825&lt;=DORA_H_DET/24,MIN(AC825+DORA_H_CLA/24,O825+DORA_H_DET/24),AC825+DORA_H_CLA/24)))</f>
        <v/>
      </c>
      <c r="BS825" s="35" t="str">
        <f aca="true">IF(BR825="","",IF(AD825="",IF(NOW()&gt;BR825,0,""),IF(AD825&lt;=BR825,1,0)))</f>
        <v/>
      </c>
      <c r="BT825" s="35" t="str">
        <f aca="true">IF(OR(BR825="",AD825=""),"",IF(AE825="",IF(NOW()&gt;AD825+DORA_H_INT/24,0,""),IF(AE825&lt;=AD825+DORA_H_INT/24,1,0)))</f>
        <v/>
      </c>
      <c r="BU825" s="35" t="str">
        <f aca="true">IF(OR(BR825="",AE825=""),"",IF(AF825="",IF(NOW()&gt;EDATE(AE825,DORA_M_FIN)+1,0,""),IF(AF825&lt;=EDATE(AE825,DORA_M_FIN),1,0)))</f>
        <v/>
      </c>
      <c r="BV825" s="35" t="str">
        <f aca="false">IF(BR825="","",IF(COUNT(BS825:BU825)=0,"",MIN(BS825:BU825)))</f>
        <v/>
      </c>
      <c r="BW825" s="40" t="str">
        <f aca="false">IF(AQ825&lt;&gt;1,"",IF(AND(AG825="",AH825=""),"",N(AG825)-N(AH825)))</f>
        <v/>
      </c>
      <c r="BX825" s="35" t="str">
        <f aca="true">IF(OR(AQ825&lt;&gt;1,AI825&lt;&gt;"Oui",AJ825=""),"",IF(AK825="",IF(NOW()&gt;AJ825+1,0,""),IF(AK825&lt;=AJ825,1,0)))</f>
        <v/>
      </c>
    </row>
    <row r="826" customFormat="false" ht="15" hidden="false" customHeight="false" outlineLevel="0" collapsed="false">
      <c r="B826" s="29"/>
      <c r="C826" s="29"/>
      <c r="D826" s="29"/>
      <c r="E826" s="29"/>
      <c r="F826" s="29"/>
      <c r="G826" s="29"/>
      <c r="H826" s="29"/>
      <c r="I826" s="29"/>
      <c r="J826" s="29"/>
      <c r="K826" s="29"/>
      <c r="L826" s="29"/>
      <c r="M826" s="29"/>
      <c r="N826" s="30"/>
      <c r="O826" s="30"/>
      <c r="P826" s="30"/>
      <c r="Q826" s="30"/>
      <c r="R826" s="30"/>
      <c r="S826" s="30"/>
      <c r="T826" s="30"/>
      <c r="U826" s="30"/>
      <c r="V826" s="31"/>
      <c r="W826" s="29"/>
      <c r="X826" s="29"/>
      <c r="Y826" s="29"/>
      <c r="Z826" s="29"/>
      <c r="AA826" s="30"/>
      <c r="AB826" s="30"/>
      <c r="AC826" s="30"/>
      <c r="AD826" s="30"/>
      <c r="AE826" s="30"/>
      <c r="AF826" s="32"/>
      <c r="AG826" s="33"/>
      <c r="AH826" s="33"/>
      <c r="AI826" s="29"/>
      <c r="AJ826" s="32"/>
      <c r="AK826" s="32"/>
      <c r="AL826" s="29"/>
      <c r="AN826" s="34" t="str">
        <f aca="false">IF($B826="","",IF(OR(C826="",D826="",E826="",G826="",I826="",J826="",L826="",O826="",P826=""),"Champ obligatoire manquant",IF(OR(AND(N826&lt;&gt;"",N826&gt;O826),O826&gt;P826,AND(Q826&lt;&gt;"",Q826&lt;P826),AND(R826&lt;&gt;"",R826&lt;P826),AND(S826&lt;&gt;"",S826&lt;R826),AND(S826&lt;&gt;"",R826=""),AND(T826&lt;&gt;"",T826&lt;O826),AND(U826&lt;&gt;"",U826&lt;O826)),"Chronologie incohérente",IF(AND(OR(L826="Résolu",L826="Clos"),R826=""),"Date de résolution manquante",IF(AND(L826="Clos",S826=""),"Date de clôture manquante",IF(AND(K826="Oui",AC826=""),"Classification DORA manquante","OK"))))))</f>
        <v/>
      </c>
      <c r="AO826" s="35" t="str">
        <f aca="false">IF($B826="","",IF(AND(C826="Incident",L826&lt;&gt;"Annulé"),1,0))</f>
        <v/>
      </c>
      <c r="AP826" s="35" t="str">
        <f aca="false">IF($B826="","",IF(AND(C826="Quasi-incident",L826&lt;&gt;"Annulé"),1,0))</f>
        <v/>
      </c>
      <c r="AQ826" s="35" t="str">
        <f aca="false">IF($B826="","",AO826+AP826)</f>
        <v/>
      </c>
      <c r="AR826" s="36" t="str">
        <f aca="false">IF(OR($B826="",J826=""),"",IFERROR(VALUE(LEFT(J826,1)),""))</f>
        <v/>
      </c>
      <c r="AS826" s="35" t="str">
        <f aca="false">IF(OR(AO826&lt;&gt;1,G826=""),"",IFERROR(IF(INDEX(L_SrcInterne,MATCH(G826,L_Sources,0))="Oui",1,0),""))</f>
        <v/>
      </c>
      <c r="AT826" s="37" t="str">
        <f aca="false">IF(AO826&lt;&gt;1,"",IFERROR(ROUND(IF(OR(N826="",O826=""),"",IF(O826&lt;N826,"",ROUND(((NETWORKDAYS(N826,O826,JoursFeries)-1)*(HFer-HOuv)+IF(NETWORKDAYS(O826,O826,JoursFeries),MEDIAN(MOD(O826,1),HFer,HOuv),HFer)-IF(NETWORKDAYS(N826,N826,JoursFeries),MEDIAN(MOD(N826,1),HFer,HOuv),HOuv))*24,4)))/HJour,4),""))</f>
        <v/>
      </c>
      <c r="AU826" s="37" t="str">
        <f aca="false">IF(AO826&lt;&gt;1,"",IF(OR(O826="",P826=""),"",IF(P826&lt;O826,"",ROUND(((NETWORKDAYS(O826,P826,JoursFeries)-1)*(HFer-HOuv)+IF(NETWORKDAYS(P826,P826,JoursFeries),MEDIAN(MOD(P826,1),HFer,HOuv),HFer)-IF(NETWORKDAYS(O826,O826,JoursFeries),MEDIAN(MOD(O826,1),HFer,HOuv),HOuv))*24,4))))</f>
        <v/>
      </c>
      <c r="AV826" s="37" t="str">
        <f aca="false">IF(AO826&lt;&gt;1,"",IF(OR(P826="",Q826=""),"",IF(Q826&lt;P826,"",ROUND(((NETWORKDAYS(P826,Q826,JoursFeries)-1)*(HFer-HOuv)+IF(NETWORKDAYS(Q826,Q826,JoursFeries),MEDIAN(MOD(Q826,1),HFer,HOuv),HFer)-IF(NETWORKDAYS(P826,P826,JoursFeries),MEDIAN(MOD(P826,1),HFer,HOuv),HOuv))*24,4))))</f>
        <v/>
      </c>
      <c r="AW826" s="37" t="str">
        <f aca="false">IF(AO826&lt;&gt;1,"",IFERROR(ROUND(IF(OR(P826="",R826=""),"",IF(R826&lt;P826,"",ROUND(((NETWORKDAYS(P826,R826,JoursFeries)-1)*(HFer-HOuv)+IF(NETWORKDAYS(R826,R826,JoursFeries),MEDIAN(MOD(R826,1),HFer,HOuv),HFer)-IF(NETWORKDAYS(P826,P826,JoursFeries),MEDIAN(MOD(P826,1),HFer,HOuv),HOuv))*24,4)))/HJour,4),""))</f>
        <v/>
      </c>
      <c r="AX826" s="37" t="str">
        <f aca="false">IF(AO826&lt;&gt;1,"",IFERROR(ROUND(IF(OR(P826="",S826=""),"",IF(S826&lt;P826,"",ROUND(((NETWORKDAYS(P826,S826,JoursFeries)-1)*(HFer-HOuv)+IF(NETWORKDAYS(S826,S826,JoursFeries),MEDIAN(MOD(S826,1),HFer,HOuv),HFer)-IF(NETWORKDAYS(P826,P826,JoursFeries),MEDIAN(MOD(P826,1),HFer,HOuv),HOuv))*24,4)))/HJour,4),""))</f>
        <v/>
      </c>
      <c r="AY826" s="36" t="str">
        <f aca="false">IF(OR(AO826&lt;&gt;1,AR826=""),"",INDEX(SLA_PEC,AR826))</f>
        <v/>
      </c>
      <c r="AZ826" s="35" t="str">
        <f aca="false">IF(OR(AV826="",AY826=""),"",IF(AV826&lt;=AY826,1,0))</f>
        <v/>
      </c>
      <c r="BA826" s="36" t="str">
        <f aca="false">IF(OR(AO826&lt;&gt;1,AR826=""),"",INDEX(SLA_RES,AR826))</f>
        <v/>
      </c>
      <c r="BB826" s="35" t="str">
        <f aca="false">IF(OR(AW826="",BA826=""),"",IF(AW826&lt;=BA826,1,0))</f>
        <v/>
      </c>
      <c r="BC826" s="38" t="str">
        <f aca="false">IF(OR(BA826="",P826=""),"",WORKDAY(INT(P826),BA826,JoursFeries)+MOD(P826,1))</f>
        <v/>
      </c>
      <c r="BD826" s="39" t="str">
        <f aca="false">IF(AO826&lt;&gt;1,"",IF(OR(AB826&lt;&gt;"",AD826&lt;&gt;""),4,IF(U826&lt;&gt;"",3,IF(T826&lt;&gt;"",2,1))))</f>
        <v/>
      </c>
      <c r="BE826" s="39" t="str">
        <f aca="false">IF(OR(AO826&lt;&gt;1,AR826=""),"",INDEX(NIV_REQ,AR826))</f>
        <v/>
      </c>
      <c r="BF826" s="39" t="str">
        <f aca="false">IF(BE826="","",MAX(BE826,IF(OR(K826="Oui",Z826="Oui"),4,1)))</f>
        <v/>
      </c>
      <c r="BG826" s="35" t="str">
        <f aca="false">IF(OR(BF826="",BD826=""),"",IF(BD826&gt;=BF826,1,0))</f>
        <v/>
      </c>
      <c r="BH826" s="38" t="str">
        <f aca="false">IF(BE826="","",IF(BE826&lt;2,"",IF(BE826=2,IF(AND(T826="",U826=""),"",MIN(T826,U826)),IF(U826="","",U826))))</f>
        <v/>
      </c>
      <c r="BI826" s="37" t="str">
        <f aca="false">IF(BH826="","",IF(OR(O826="",BH826=""),"",IF(BH826&lt;O826,"",ROUND(((NETWORKDAYS(O826,BH826,JoursFeries)-1)*(HFer-HOuv)+IF(NETWORKDAYS(BH826,BH826,JoursFeries),MEDIAN(MOD(BH826,1),HFer,HOuv),HFer)-IF(NETWORKDAYS(O826,O826,JoursFeries),MEDIAN(MOD(O826,1),HFer,HOuv),HOuv))*24,4))))</f>
        <v/>
      </c>
      <c r="BJ826" s="35" t="str">
        <f aca="false">IF(OR(BI826="",AR826=""),"",IF(BI826&lt;=INDEX(DELAI_ESC,AR826),1,0))</f>
        <v/>
      </c>
      <c r="BK826" s="38" t="str">
        <f aca="false">IF(AO826&lt;&gt;1,"",IF(AND(T826="",U826=""),"",MIN(T826,U826)))</f>
        <v/>
      </c>
      <c r="BL826" s="37" t="str">
        <f aca="false">IF(OR(BK826="",R826=""),"",IFERROR(ROUND(IF(OR(BK826="",R826=""),"",IF(R826&lt;BK826,"",ROUND(((NETWORKDAYS(BK826,R826,JoursFeries)-1)*(HFer-HOuv)+IF(NETWORKDAYS(R826,R826,JoursFeries),MEDIAN(MOD(R826,1),HFer,HOuv),HFer)-IF(NETWORKDAYS(BK826,BK826,JoursFeries),MEDIAN(MOD(BK826,1),HFer,HOuv),HOuv))*24,4)))/HJour,4),""))</f>
        <v/>
      </c>
      <c r="BM826" s="35" t="str">
        <f aca="false">IF(OR(AO826&lt;&gt;1,R826=""),"",IF(BD826=1,1,0))</f>
        <v/>
      </c>
      <c r="BN826" s="35" t="str">
        <f aca="false">IF(AO826&lt;&gt;1,"",IF(W826="Oui",1,0))</f>
        <v/>
      </c>
      <c r="BO826" s="35" t="str">
        <f aca="false">IF(AO826&lt;&gt;1,"",IF(X826&lt;&gt;"",1,0))</f>
        <v/>
      </c>
      <c r="BP826" s="35" t="str">
        <f aca="false">IF(AO826&lt;&gt;1,"",IF(Y826="Oui",1,0))</f>
        <v/>
      </c>
      <c r="BQ826" s="35" t="str">
        <f aca="true">IF(OR(AO826&lt;&gt;1,Z826&lt;&gt;"Oui"),"",IF(AB826="",IF(AND(AA826&lt;&gt;"",NOW()&gt;AA826),0,""),IF(AA826="","",IF(AB826&lt;=AA826,1,0))))</f>
        <v/>
      </c>
      <c r="BR826" s="38" t="str">
        <f aca="false">IF(OR(AO826&lt;&gt;1,K826&lt;&gt;"Oui",O826=""),"",IF(AC826="",O826+DORA_H_DET/24,IF(AC826-O826&lt;=DORA_H_DET/24,MIN(AC826+DORA_H_CLA/24,O826+DORA_H_DET/24),AC826+DORA_H_CLA/24)))</f>
        <v/>
      </c>
      <c r="BS826" s="35" t="str">
        <f aca="true">IF(BR826="","",IF(AD826="",IF(NOW()&gt;BR826,0,""),IF(AD826&lt;=BR826,1,0)))</f>
        <v/>
      </c>
      <c r="BT826" s="35" t="str">
        <f aca="true">IF(OR(BR826="",AD826=""),"",IF(AE826="",IF(NOW()&gt;AD826+DORA_H_INT/24,0,""),IF(AE826&lt;=AD826+DORA_H_INT/24,1,0)))</f>
        <v/>
      </c>
      <c r="BU826" s="35" t="str">
        <f aca="true">IF(OR(BR826="",AE826=""),"",IF(AF826="",IF(NOW()&gt;EDATE(AE826,DORA_M_FIN)+1,0,""),IF(AF826&lt;=EDATE(AE826,DORA_M_FIN),1,0)))</f>
        <v/>
      </c>
      <c r="BV826" s="35" t="str">
        <f aca="false">IF(BR826="","",IF(COUNT(BS826:BU826)=0,"",MIN(BS826:BU826)))</f>
        <v/>
      </c>
      <c r="BW826" s="40" t="str">
        <f aca="false">IF(AQ826&lt;&gt;1,"",IF(AND(AG826="",AH826=""),"",N(AG826)-N(AH826)))</f>
        <v/>
      </c>
      <c r="BX826" s="35" t="str">
        <f aca="true">IF(OR(AQ826&lt;&gt;1,AI826&lt;&gt;"Oui",AJ826=""),"",IF(AK826="",IF(NOW()&gt;AJ826+1,0,""),IF(AK826&lt;=AJ826,1,0)))</f>
        <v/>
      </c>
    </row>
    <row r="827" customFormat="false" ht="15" hidden="false" customHeight="false" outlineLevel="0" collapsed="false">
      <c r="B827" s="29"/>
      <c r="C827" s="29"/>
      <c r="D827" s="29"/>
      <c r="E827" s="29"/>
      <c r="F827" s="29"/>
      <c r="G827" s="29"/>
      <c r="H827" s="29"/>
      <c r="I827" s="29"/>
      <c r="J827" s="29"/>
      <c r="K827" s="29"/>
      <c r="L827" s="29"/>
      <c r="M827" s="29"/>
      <c r="N827" s="30"/>
      <c r="O827" s="30"/>
      <c r="P827" s="30"/>
      <c r="Q827" s="30"/>
      <c r="R827" s="30"/>
      <c r="S827" s="30"/>
      <c r="T827" s="30"/>
      <c r="U827" s="30"/>
      <c r="V827" s="31"/>
      <c r="W827" s="29"/>
      <c r="X827" s="29"/>
      <c r="Y827" s="29"/>
      <c r="Z827" s="29"/>
      <c r="AA827" s="30"/>
      <c r="AB827" s="30"/>
      <c r="AC827" s="30"/>
      <c r="AD827" s="30"/>
      <c r="AE827" s="30"/>
      <c r="AF827" s="32"/>
      <c r="AG827" s="33"/>
      <c r="AH827" s="33"/>
      <c r="AI827" s="29"/>
      <c r="AJ827" s="32"/>
      <c r="AK827" s="32"/>
      <c r="AL827" s="29"/>
      <c r="AN827" s="34" t="str">
        <f aca="false">IF($B827="","",IF(OR(C827="",D827="",E827="",G827="",I827="",J827="",L827="",O827="",P827=""),"Champ obligatoire manquant",IF(OR(AND(N827&lt;&gt;"",N827&gt;O827),O827&gt;P827,AND(Q827&lt;&gt;"",Q827&lt;P827),AND(R827&lt;&gt;"",R827&lt;P827),AND(S827&lt;&gt;"",S827&lt;R827),AND(S827&lt;&gt;"",R827=""),AND(T827&lt;&gt;"",T827&lt;O827),AND(U827&lt;&gt;"",U827&lt;O827)),"Chronologie incohérente",IF(AND(OR(L827="Résolu",L827="Clos"),R827=""),"Date de résolution manquante",IF(AND(L827="Clos",S827=""),"Date de clôture manquante",IF(AND(K827="Oui",AC827=""),"Classification DORA manquante","OK"))))))</f>
        <v/>
      </c>
      <c r="AO827" s="35" t="str">
        <f aca="false">IF($B827="","",IF(AND(C827="Incident",L827&lt;&gt;"Annulé"),1,0))</f>
        <v/>
      </c>
      <c r="AP827" s="35" t="str">
        <f aca="false">IF($B827="","",IF(AND(C827="Quasi-incident",L827&lt;&gt;"Annulé"),1,0))</f>
        <v/>
      </c>
      <c r="AQ827" s="35" t="str">
        <f aca="false">IF($B827="","",AO827+AP827)</f>
        <v/>
      </c>
      <c r="AR827" s="36" t="str">
        <f aca="false">IF(OR($B827="",J827=""),"",IFERROR(VALUE(LEFT(J827,1)),""))</f>
        <v/>
      </c>
      <c r="AS827" s="35" t="str">
        <f aca="false">IF(OR(AO827&lt;&gt;1,G827=""),"",IFERROR(IF(INDEX(L_SrcInterne,MATCH(G827,L_Sources,0))="Oui",1,0),""))</f>
        <v/>
      </c>
      <c r="AT827" s="37" t="str">
        <f aca="false">IF(AO827&lt;&gt;1,"",IFERROR(ROUND(IF(OR(N827="",O827=""),"",IF(O827&lt;N827,"",ROUND(((NETWORKDAYS(N827,O827,JoursFeries)-1)*(HFer-HOuv)+IF(NETWORKDAYS(O827,O827,JoursFeries),MEDIAN(MOD(O827,1),HFer,HOuv),HFer)-IF(NETWORKDAYS(N827,N827,JoursFeries),MEDIAN(MOD(N827,1),HFer,HOuv),HOuv))*24,4)))/HJour,4),""))</f>
        <v/>
      </c>
      <c r="AU827" s="37" t="str">
        <f aca="false">IF(AO827&lt;&gt;1,"",IF(OR(O827="",P827=""),"",IF(P827&lt;O827,"",ROUND(((NETWORKDAYS(O827,P827,JoursFeries)-1)*(HFer-HOuv)+IF(NETWORKDAYS(P827,P827,JoursFeries),MEDIAN(MOD(P827,1),HFer,HOuv),HFer)-IF(NETWORKDAYS(O827,O827,JoursFeries),MEDIAN(MOD(O827,1),HFer,HOuv),HOuv))*24,4))))</f>
        <v/>
      </c>
      <c r="AV827" s="37" t="str">
        <f aca="false">IF(AO827&lt;&gt;1,"",IF(OR(P827="",Q827=""),"",IF(Q827&lt;P827,"",ROUND(((NETWORKDAYS(P827,Q827,JoursFeries)-1)*(HFer-HOuv)+IF(NETWORKDAYS(Q827,Q827,JoursFeries),MEDIAN(MOD(Q827,1),HFer,HOuv),HFer)-IF(NETWORKDAYS(P827,P827,JoursFeries),MEDIAN(MOD(P827,1),HFer,HOuv),HOuv))*24,4))))</f>
        <v/>
      </c>
      <c r="AW827" s="37" t="str">
        <f aca="false">IF(AO827&lt;&gt;1,"",IFERROR(ROUND(IF(OR(P827="",R827=""),"",IF(R827&lt;P827,"",ROUND(((NETWORKDAYS(P827,R827,JoursFeries)-1)*(HFer-HOuv)+IF(NETWORKDAYS(R827,R827,JoursFeries),MEDIAN(MOD(R827,1),HFer,HOuv),HFer)-IF(NETWORKDAYS(P827,P827,JoursFeries),MEDIAN(MOD(P827,1),HFer,HOuv),HOuv))*24,4)))/HJour,4),""))</f>
        <v/>
      </c>
      <c r="AX827" s="37" t="str">
        <f aca="false">IF(AO827&lt;&gt;1,"",IFERROR(ROUND(IF(OR(P827="",S827=""),"",IF(S827&lt;P827,"",ROUND(((NETWORKDAYS(P827,S827,JoursFeries)-1)*(HFer-HOuv)+IF(NETWORKDAYS(S827,S827,JoursFeries),MEDIAN(MOD(S827,1),HFer,HOuv),HFer)-IF(NETWORKDAYS(P827,P827,JoursFeries),MEDIAN(MOD(P827,1),HFer,HOuv),HOuv))*24,4)))/HJour,4),""))</f>
        <v/>
      </c>
      <c r="AY827" s="36" t="str">
        <f aca="false">IF(OR(AO827&lt;&gt;1,AR827=""),"",INDEX(SLA_PEC,AR827))</f>
        <v/>
      </c>
      <c r="AZ827" s="35" t="str">
        <f aca="false">IF(OR(AV827="",AY827=""),"",IF(AV827&lt;=AY827,1,0))</f>
        <v/>
      </c>
      <c r="BA827" s="36" t="str">
        <f aca="false">IF(OR(AO827&lt;&gt;1,AR827=""),"",INDEX(SLA_RES,AR827))</f>
        <v/>
      </c>
      <c r="BB827" s="35" t="str">
        <f aca="false">IF(OR(AW827="",BA827=""),"",IF(AW827&lt;=BA827,1,0))</f>
        <v/>
      </c>
      <c r="BC827" s="38" t="str">
        <f aca="false">IF(OR(BA827="",P827=""),"",WORKDAY(INT(P827),BA827,JoursFeries)+MOD(P827,1))</f>
        <v/>
      </c>
      <c r="BD827" s="39" t="str">
        <f aca="false">IF(AO827&lt;&gt;1,"",IF(OR(AB827&lt;&gt;"",AD827&lt;&gt;""),4,IF(U827&lt;&gt;"",3,IF(T827&lt;&gt;"",2,1))))</f>
        <v/>
      </c>
      <c r="BE827" s="39" t="str">
        <f aca="false">IF(OR(AO827&lt;&gt;1,AR827=""),"",INDEX(NIV_REQ,AR827))</f>
        <v/>
      </c>
      <c r="BF827" s="39" t="str">
        <f aca="false">IF(BE827="","",MAX(BE827,IF(OR(K827="Oui",Z827="Oui"),4,1)))</f>
        <v/>
      </c>
      <c r="BG827" s="35" t="str">
        <f aca="false">IF(OR(BF827="",BD827=""),"",IF(BD827&gt;=BF827,1,0))</f>
        <v/>
      </c>
      <c r="BH827" s="38" t="str">
        <f aca="false">IF(BE827="","",IF(BE827&lt;2,"",IF(BE827=2,IF(AND(T827="",U827=""),"",MIN(T827,U827)),IF(U827="","",U827))))</f>
        <v/>
      </c>
      <c r="BI827" s="37" t="str">
        <f aca="false">IF(BH827="","",IF(OR(O827="",BH827=""),"",IF(BH827&lt;O827,"",ROUND(((NETWORKDAYS(O827,BH827,JoursFeries)-1)*(HFer-HOuv)+IF(NETWORKDAYS(BH827,BH827,JoursFeries),MEDIAN(MOD(BH827,1),HFer,HOuv),HFer)-IF(NETWORKDAYS(O827,O827,JoursFeries),MEDIAN(MOD(O827,1),HFer,HOuv),HOuv))*24,4))))</f>
        <v/>
      </c>
      <c r="BJ827" s="35" t="str">
        <f aca="false">IF(OR(BI827="",AR827=""),"",IF(BI827&lt;=INDEX(DELAI_ESC,AR827),1,0))</f>
        <v/>
      </c>
      <c r="BK827" s="38" t="str">
        <f aca="false">IF(AO827&lt;&gt;1,"",IF(AND(T827="",U827=""),"",MIN(T827,U827)))</f>
        <v/>
      </c>
      <c r="BL827" s="37" t="str">
        <f aca="false">IF(OR(BK827="",R827=""),"",IFERROR(ROUND(IF(OR(BK827="",R827=""),"",IF(R827&lt;BK827,"",ROUND(((NETWORKDAYS(BK827,R827,JoursFeries)-1)*(HFer-HOuv)+IF(NETWORKDAYS(R827,R827,JoursFeries),MEDIAN(MOD(R827,1),HFer,HOuv),HFer)-IF(NETWORKDAYS(BK827,BK827,JoursFeries),MEDIAN(MOD(BK827,1),HFer,HOuv),HOuv))*24,4)))/HJour,4),""))</f>
        <v/>
      </c>
      <c r="BM827" s="35" t="str">
        <f aca="false">IF(OR(AO827&lt;&gt;1,R827=""),"",IF(BD827=1,1,0))</f>
        <v/>
      </c>
      <c r="BN827" s="35" t="str">
        <f aca="false">IF(AO827&lt;&gt;1,"",IF(W827="Oui",1,0))</f>
        <v/>
      </c>
      <c r="BO827" s="35" t="str">
        <f aca="false">IF(AO827&lt;&gt;1,"",IF(X827&lt;&gt;"",1,0))</f>
        <v/>
      </c>
      <c r="BP827" s="35" t="str">
        <f aca="false">IF(AO827&lt;&gt;1,"",IF(Y827="Oui",1,0))</f>
        <v/>
      </c>
      <c r="BQ827" s="35" t="str">
        <f aca="true">IF(OR(AO827&lt;&gt;1,Z827&lt;&gt;"Oui"),"",IF(AB827="",IF(AND(AA827&lt;&gt;"",NOW()&gt;AA827),0,""),IF(AA827="","",IF(AB827&lt;=AA827,1,0))))</f>
        <v/>
      </c>
      <c r="BR827" s="38" t="str">
        <f aca="false">IF(OR(AO827&lt;&gt;1,K827&lt;&gt;"Oui",O827=""),"",IF(AC827="",O827+DORA_H_DET/24,IF(AC827-O827&lt;=DORA_H_DET/24,MIN(AC827+DORA_H_CLA/24,O827+DORA_H_DET/24),AC827+DORA_H_CLA/24)))</f>
        <v/>
      </c>
      <c r="BS827" s="35" t="str">
        <f aca="true">IF(BR827="","",IF(AD827="",IF(NOW()&gt;BR827,0,""),IF(AD827&lt;=BR827,1,0)))</f>
        <v/>
      </c>
      <c r="BT827" s="35" t="str">
        <f aca="true">IF(OR(BR827="",AD827=""),"",IF(AE827="",IF(NOW()&gt;AD827+DORA_H_INT/24,0,""),IF(AE827&lt;=AD827+DORA_H_INT/24,1,0)))</f>
        <v/>
      </c>
      <c r="BU827" s="35" t="str">
        <f aca="true">IF(OR(BR827="",AE827=""),"",IF(AF827="",IF(NOW()&gt;EDATE(AE827,DORA_M_FIN)+1,0,""),IF(AF827&lt;=EDATE(AE827,DORA_M_FIN),1,0)))</f>
        <v/>
      </c>
      <c r="BV827" s="35" t="str">
        <f aca="false">IF(BR827="","",IF(COUNT(BS827:BU827)=0,"",MIN(BS827:BU827)))</f>
        <v/>
      </c>
      <c r="BW827" s="40" t="str">
        <f aca="false">IF(AQ827&lt;&gt;1,"",IF(AND(AG827="",AH827=""),"",N(AG827)-N(AH827)))</f>
        <v/>
      </c>
      <c r="BX827" s="35" t="str">
        <f aca="true">IF(OR(AQ827&lt;&gt;1,AI827&lt;&gt;"Oui",AJ827=""),"",IF(AK827="",IF(NOW()&gt;AJ827+1,0,""),IF(AK827&lt;=AJ827,1,0)))</f>
        <v/>
      </c>
    </row>
    <row r="828" customFormat="false" ht="15" hidden="false" customHeight="false" outlineLevel="0" collapsed="false">
      <c r="B828" s="29"/>
      <c r="C828" s="29"/>
      <c r="D828" s="29"/>
      <c r="E828" s="29"/>
      <c r="F828" s="29"/>
      <c r="G828" s="29"/>
      <c r="H828" s="29"/>
      <c r="I828" s="29"/>
      <c r="J828" s="29"/>
      <c r="K828" s="29"/>
      <c r="L828" s="29"/>
      <c r="M828" s="29"/>
      <c r="N828" s="30"/>
      <c r="O828" s="30"/>
      <c r="P828" s="30"/>
      <c r="Q828" s="30"/>
      <c r="R828" s="30"/>
      <c r="S828" s="30"/>
      <c r="T828" s="30"/>
      <c r="U828" s="30"/>
      <c r="V828" s="31"/>
      <c r="W828" s="29"/>
      <c r="X828" s="29"/>
      <c r="Y828" s="29"/>
      <c r="Z828" s="29"/>
      <c r="AA828" s="30"/>
      <c r="AB828" s="30"/>
      <c r="AC828" s="30"/>
      <c r="AD828" s="30"/>
      <c r="AE828" s="30"/>
      <c r="AF828" s="32"/>
      <c r="AG828" s="33"/>
      <c r="AH828" s="33"/>
      <c r="AI828" s="29"/>
      <c r="AJ828" s="32"/>
      <c r="AK828" s="32"/>
      <c r="AL828" s="29"/>
      <c r="AN828" s="34" t="str">
        <f aca="false">IF($B828="","",IF(OR(C828="",D828="",E828="",G828="",I828="",J828="",L828="",O828="",P828=""),"Champ obligatoire manquant",IF(OR(AND(N828&lt;&gt;"",N828&gt;O828),O828&gt;P828,AND(Q828&lt;&gt;"",Q828&lt;P828),AND(R828&lt;&gt;"",R828&lt;P828),AND(S828&lt;&gt;"",S828&lt;R828),AND(S828&lt;&gt;"",R828=""),AND(T828&lt;&gt;"",T828&lt;O828),AND(U828&lt;&gt;"",U828&lt;O828)),"Chronologie incohérente",IF(AND(OR(L828="Résolu",L828="Clos"),R828=""),"Date de résolution manquante",IF(AND(L828="Clos",S828=""),"Date de clôture manquante",IF(AND(K828="Oui",AC828=""),"Classification DORA manquante","OK"))))))</f>
        <v/>
      </c>
      <c r="AO828" s="35" t="str">
        <f aca="false">IF($B828="","",IF(AND(C828="Incident",L828&lt;&gt;"Annulé"),1,0))</f>
        <v/>
      </c>
      <c r="AP828" s="35" t="str">
        <f aca="false">IF($B828="","",IF(AND(C828="Quasi-incident",L828&lt;&gt;"Annulé"),1,0))</f>
        <v/>
      </c>
      <c r="AQ828" s="35" t="str">
        <f aca="false">IF($B828="","",AO828+AP828)</f>
        <v/>
      </c>
      <c r="AR828" s="36" t="str">
        <f aca="false">IF(OR($B828="",J828=""),"",IFERROR(VALUE(LEFT(J828,1)),""))</f>
        <v/>
      </c>
      <c r="AS828" s="35" t="str">
        <f aca="false">IF(OR(AO828&lt;&gt;1,G828=""),"",IFERROR(IF(INDEX(L_SrcInterne,MATCH(G828,L_Sources,0))="Oui",1,0),""))</f>
        <v/>
      </c>
      <c r="AT828" s="37" t="str">
        <f aca="false">IF(AO828&lt;&gt;1,"",IFERROR(ROUND(IF(OR(N828="",O828=""),"",IF(O828&lt;N828,"",ROUND(((NETWORKDAYS(N828,O828,JoursFeries)-1)*(HFer-HOuv)+IF(NETWORKDAYS(O828,O828,JoursFeries),MEDIAN(MOD(O828,1),HFer,HOuv),HFer)-IF(NETWORKDAYS(N828,N828,JoursFeries),MEDIAN(MOD(N828,1),HFer,HOuv),HOuv))*24,4)))/HJour,4),""))</f>
        <v/>
      </c>
      <c r="AU828" s="37" t="str">
        <f aca="false">IF(AO828&lt;&gt;1,"",IF(OR(O828="",P828=""),"",IF(P828&lt;O828,"",ROUND(((NETWORKDAYS(O828,P828,JoursFeries)-1)*(HFer-HOuv)+IF(NETWORKDAYS(P828,P828,JoursFeries),MEDIAN(MOD(P828,1),HFer,HOuv),HFer)-IF(NETWORKDAYS(O828,O828,JoursFeries),MEDIAN(MOD(O828,1),HFer,HOuv),HOuv))*24,4))))</f>
        <v/>
      </c>
      <c r="AV828" s="37" t="str">
        <f aca="false">IF(AO828&lt;&gt;1,"",IF(OR(P828="",Q828=""),"",IF(Q828&lt;P828,"",ROUND(((NETWORKDAYS(P828,Q828,JoursFeries)-1)*(HFer-HOuv)+IF(NETWORKDAYS(Q828,Q828,JoursFeries),MEDIAN(MOD(Q828,1),HFer,HOuv),HFer)-IF(NETWORKDAYS(P828,P828,JoursFeries),MEDIAN(MOD(P828,1),HFer,HOuv),HOuv))*24,4))))</f>
        <v/>
      </c>
      <c r="AW828" s="37" t="str">
        <f aca="false">IF(AO828&lt;&gt;1,"",IFERROR(ROUND(IF(OR(P828="",R828=""),"",IF(R828&lt;P828,"",ROUND(((NETWORKDAYS(P828,R828,JoursFeries)-1)*(HFer-HOuv)+IF(NETWORKDAYS(R828,R828,JoursFeries),MEDIAN(MOD(R828,1),HFer,HOuv),HFer)-IF(NETWORKDAYS(P828,P828,JoursFeries),MEDIAN(MOD(P828,1),HFer,HOuv),HOuv))*24,4)))/HJour,4),""))</f>
        <v/>
      </c>
      <c r="AX828" s="37" t="str">
        <f aca="false">IF(AO828&lt;&gt;1,"",IFERROR(ROUND(IF(OR(P828="",S828=""),"",IF(S828&lt;P828,"",ROUND(((NETWORKDAYS(P828,S828,JoursFeries)-1)*(HFer-HOuv)+IF(NETWORKDAYS(S828,S828,JoursFeries),MEDIAN(MOD(S828,1),HFer,HOuv),HFer)-IF(NETWORKDAYS(P828,P828,JoursFeries),MEDIAN(MOD(P828,1),HFer,HOuv),HOuv))*24,4)))/HJour,4),""))</f>
        <v/>
      </c>
      <c r="AY828" s="36" t="str">
        <f aca="false">IF(OR(AO828&lt;&gt;1,AR828=""),"",INDEX(SLA_PEC,AR828))</f>
        <v/>
      </c>
      <c r="AZ828" s="35" t="str">
        <f aca="false">IF(OR(AV828="",AY828=""),"",IF(AV828&lt;=AY828,1,0))</f>
        <v/>
      </c>
      <c r="BA828" s="36" t="str">
        <f aca="false">IF(OR(AO828&lt;&gt;1,AR828=""),"",INDEX(SLA_RES,AR828))</f>
        <v/>
      </c>
      <c r="BB828" s="35" t="str">
        <f aca="false">IF(OR(AW828="",BA828=""),"",IF(AW828&lt;=BA828,1,0))</f>
        <v/>
      </c>
      <c r="BC828" s="38" t="str">
        <f aca="false">IF(OR(BA828="",P828=""),"",WORKDAY(INT(P828),BA828,JoursFeries)+MOD(P828,1))</f>
        <v/>
      </c>
      <c r="BD828" s="39" t="str">
        <f aca="false">IF(AO828&lt;&gt;1,"",IF(OR(AB828&lt;&gt;"",AD828&lt;&gt;""),4,IF(U828&lt;&gt;"",3,IF(T828&lt;&gt;"",2,1))))</f>
        <v/>
      </c>
      <c r="BE828" s="39" t="str">
        <f aca="false">IF(OR(AO828&lt;&gt;1,AR828=""),"",INDEX(NIV_REQ,AR828))</f>
        <v/>
      </c>
      <c r="BF828" s="39" t="str">
        <f aca="false">IF(BE828="","",MAX(BE828,IF(OR(K828="Oui",Z828="Oui"),4,1)))</f>
        <v/>
      </c>
      <c r="BG828" s="35" t="str">
        <f aca="false">IF(OR(BF828="",BD828=""),"",IF(BD828&gt;=BF828,1,0))</f>
        <v/>
      </c>
      <c r="BH828" s="38" t="str">
        <f aca="false">IF(BE828="","",IF(BE828&lt;2,"",IF(BE828=2,IF(AND(T828="",U828=""),"",MIN(T828,U828)),IF(U828="","",U828))))</f>
        <v/>
      </c>
      <c r="BI828" s="37" t="str">
        <f aca="false">IF(BH828="","",IF(OR(O828="",BH828=""),"",IF(BH828&lt;O828,"",ROUND(((NETWORKDAYS(O828,BH828,JoursFeries)-1)*(HFer-HOuv)+IF(NETWORKDAYS(BH828,BH828,JoursFeries),MEDIAN(MOD(BH828,1),HFer,HOuv),HFer)-IF(NETWORKDAYS(O828,O828,JoursFeries),MEDIAN(MOD(O828,1),HFer,HOuv),HOuv))*24,4))))</f>
        <v/>
      </c>
      <c r="BJ828" s="35" t="str">
        <f aca="false">IF(OR(BI828="",AR828=""),"",IF(BI828&lt;=INDEX(DELAI_ESC,AR828),1,0))</f>
        <v/>
      </c>
      <c r="BK828" s="38" t="str">
        <f aca="false">IF(AO828&lt;&gt;1,"",IF(AND(T828="",U828=""),"",MIN(T828,U828)))</f>
        <v/>
      </c>
      <c r="BL828" s="37" t="str">
        <f aca="false">IF(OR(BK828="",R828=""),"",IFERROR(ROUND(IF(OR(BK828="",R828=""),"",IF(R828&lt;BK828,"",ROUND(((NETWORKDAYS(BK828,R828,JoursFeries)-1)*(HFer-HOuv)+IF(NETWORKDAYS(R828,R828,JoursFeries),MEDIAN(MOD(R828,1),HFer,HOuv),HFer)-IF(NETWORKDAYS(BK828,BK828,JoursFeries),MEDIAN(MOD(BK828,1),HFer,HOuv),HOuv))*24,4)))/HJour,4),""))</f>
        <v/>
      </c>
      <c r="BM828" s="35" t="str">
        <f aca="false">IF(OR(AO828&lt;&gt;1,R828=""),"",IF(BD828=1,1,0))</f>
        <v/>
      </c>
      <c r="BN828" s="35" t="str">
        <f aca="false">IF(AO828&lt;&gt;1,"",IF(W828="Oui",1,0))</f>
        <v/>
      </c>
      <c r="BO828" s="35" t="str">
        <f aca="false">IF(AO828&lt;&gt;1,"",IF(X828&lt;&gt;"",1,0))</f>
        <v/>
      </c>
      <c r="BP828" s="35" t="str">
        <f aca="false">IF(AO828&lt;&gt;1,"",IF(Y828="Oui",1,0))</f>
        <v/>
      </c>
      <c r="BQ828" s="35" t="str">
        <f aca="true">IF(OR(AO828&lt;&gt;1,Z828&lt;&gt;"Oui"),"",IF(AB828="",IF(AND(AA828&lt;&gt;"",NOW()&gt;AA828),0,""),IF(AA828="","",IF(AB828&lt;=AA828,1,0))))</f>
        <v/>
      </c>
      <c r="BR828" s="38" t="str">
        <f aca="false">IF(OR(AO828&lt;&gt;1,K828&lt;&gt;"Oui",O828=""),"",IF(AC828="",O828+DORA_H_DET/24,IF(AC828-O828&lt;=DORA_H_DET/24,MIN(AC828+DORA_H_CLA/24,O828+DORA_H_DET/24),AC828+DORA_H_CLA/24)))</f>
        <v/>
      </c>
      <c r="BS828" s="35" t="str">
        <f aca="true">IF(BR828="","",IF(AD828="",IF(NOW()&gt;BR828,0,""),IF(AD828&lt;=BR828,1,0)))</f>
        <v/>
      </c>
      <c r="BT828" s="35" t="str">
        <f aca="true">IF(OR(BR828="",AD828=""),"",IF(AE828="",IF(NOW()&gt;AD828+DORA_H_INT/24,0,""),IF(AE828&lt;=AD828+DORA_H_INT/24,1,0)))</f>
        <v/>
      </c>
      <c r="BU828" s="35" t="str">
        <f aca="true">IF(OR(BR828="",AE828=""),"",IF(AF828="",IF(NOW()&gt;EDATE(AE828,DORA_M_FIN)+1,0,""),IF(AF828&lt;=EDATE(AE828,DORA_M_FIN),1,0)))</f>
        <v/>
      </c>
      <c r="BV828" s="35" t="str">
        <f aca="false">IF(BR828="","",IF(COUNT(BS828:BU828)=0,"",MIN(BS828:BU828)))</f>
        <v/>
      </c>
      <c r="BW828" s="40" t="str">
        <f aca="false">IF(AQ828&lt;&gt;1,"",IF(AND(AG828="",AH828=""),"",N(AG828)-N(AH828)))</f>
        <v/>
      </c>
      <c r="BX828" s="35" t="str">
        <f aca="true">IF(OR(AQ828&lt;&gt;1,AI828&lt;&gt;"Oui",AJ828=""),"",IF(AK828="",IF(NOW()&gt;AJ828+1,0,""),IF(AK828&lt;=AJ828,1,0)))</f>
        <v/>
      </c>
    </row>
    <row r="829" customFormat="false" ht="15" hidden="false" customHeight="false" outlineLevel="0" collapsed="false">
      <c r="B829" s="29"/>
      <c r="C829" s="29"/>
      <c r="D829" s="29"/>
      <c r="E829" s="29"/>
      <c r="F829" s="29"/>
      <c r="G829" s="29"/>
      <c r="H829" s="29"/>
      <c r="I829" s="29"/>
      <c r="J829" s="29"/>
      <c r="K829" s="29"/>
      <c r="L829" s="29"/>
      <c r="M829" s="29"/>
      <c r="N829" s="30"/>
      <c r="O829" s="30"/>
      <c r="P829" s="30"/>
      <c r="Q829" s="30"/>
      <c r="R829" s="30"/>
      <c r="S829" s="30"/>
      <c r="T829" s="30"/>
      <c r="U829" s="30"/>
      <c r="V829" s="31"/>
      <c r="W829" s="29"/>
      <c r="X829" s="29"/>
      <c r="Y829" s="29"/>
      <c r="Z829" s="29"/>
      <c r="AA829" s="30"/>
      <c r="AB829" s="30"/>
      <c r="AC829" s="30"/>
      <c r="AD829" s="30"/>
      <c r="AE829" s="30"/>
      <c r="AF829" s="32"/>
      <c r="AG829" s="33"/>
      <c r="AH829" s="33"/>
      <c r="AI829" s="29"/>
      <c r="AJ829" s="32"/>
      <c r="AK829" s="32"/>
      <c r="AL829" s="29"/>
      <c r="AN829" s="34" t="str">
        <f aca="false">IF($B829="","",IF(OR(C829="",D829="",E829="",G829="",I829="",J829="",L829="",O829="",P829=""),"Champ obligatoire manquant",IF(OR(AND(N829&lt;&gt;"",N829&gt;O829),O829&gt;P829,AND(Q829&lt;&gt;"",Q829&lt;P829),AND(R829&lt;&gt;"",R829&lt;P829),AND(S829&lt;&gt;"",S829&lt;R829),AND(S829&lt;&gt;"",R829=""),AND(T829&lt;&gt;"",T829&lt;O829),AND(U829&lt;&gt;"",U829&lt;O829)),"Chronologie incohérente",IF(AND(OR(L829="Résolu",L829="Clos"),R829=""),"Date de résolution manquante",IF(AND(L829="Clos",S829=""),"Date de clôture manquante",IF(AND(K829="Oui",AC829=""),"Classification DORA manquante","OK"))))))</f>
        <v/>
      </c>
      <c r="AO829" s="35" t="str">
        <f aca="false">IF($B829="","",IF(AND(C829="Incident",L829&lt;&gt;"Annulé"),1,0))</f>
        <v/>
      </c>
      <c r="AP829" s="35" t="str">
        <f aca="false">IF($B829="","",IF(AND(C829="Quasi-incident",L829&lt;&gt;"Annulé"),1,0))</f>
        <v/>
      </c>
      <c r="AQ829" s="35" t="str">
        <f aca="false">IF($B829="","",AO829+AP829)</f>
        <v/>
      </c>
      <c r="AR829" s="36" t="str">
        <f aca="false">IF(OR($B829="",J829=""),"",IFERROR(VALUE(LEFT(J829,1)),""))</f>
        <v/>
      </c>
      <c r="AS829" s="35" t="str">
        <f aca="false">IF(OR(AO829&lt;&gt;1,G829=""),"",IFERROR(IF(INDEX(L_SrcInterne,MATCH(G829,L_Sources,0))="Oui",1,0),""))</f>
        <v/>
      </c>
      <c r="AT829" s="37" t="str">
        <f aca="false">IF(AO829&lt;&gt;1,"",IFERROR(ROUND(IF(OR(N829="",O829=""),"",IF(O829&lt;N829,"",ROUND(((NETWORKDAYS(N829,O829,JoursFeries)-1)*(HFer-HOuv)+IF(NETWORKDAYS(O829,O829,JoursFeries),MEDIAN(MOD(O829,1),HFer,HOuv),HFer)-IF(NETWORKDAYS(N829,N829,JoursFeries),MEDIAN(MOD(N829,1),HFer,HOuv),HOuv))*24,4)))/HJour,4),""))</f>
        <v/>
      </c>
      <c r="AU829" s="37" t="str">
        <f aca="false">IF(AO829&lt;&gt;1,"",IF(OR(O829="",P829=""),"",IF(P829&lt;O829,"",ROUND(((NETWORKDAYS(O829,P829,JoursFeries)-1)*(HFer-HOuv)+IF(NETWORKDAYS(P829,P829,JoursFeries),MEDIAN(MOD(P829,1),HFer,HOuv),HFer)-IF(NETWORKDAYS(O829,O829,JoursFeries),MEDIAN(MOD(O829,1),HFer,HOuv),HOuv))*24,4))))</f>
        <v/>
      </c>
      <c r="AV829" s="37" t="str">
        <f aca="false">IF(AO829&lt;&gt;1,"",IF(OR(P829="",Q829=""),"",IF(Q829&lt;P829,"",ROUND(((NETWORKDAYS(P829,Q829,JoursFeries)-1)*(HFer-HOuv)+IF(NETWORKDAYS(Q829,Q829,JoursFeries),MEDIAN(MOD(Q829,1),HFer,HOuv),HFer)-IF(NETWORKDAYS(P829,P829,JoursFeries),MEDIAN(MOD(P829,1),HFer,HOuv),HOuv))*24,4))))</f>
        <v/>
      </c>
      <c r="AW829" s="37" t="str">
        <f aca="false">IF(AO829&lt;&gt;1,"",IFERROR(ROUND(IF(OR(P829="",R829=""),"",IF(R829&lt;P829,"",ROUND(((NETWORKDAYS(P829,R829,JoursFeries)-1)*(HFer-HOuv)+IF(NETWORKDAYS(R829,R829,JoursFeries),MEDIAN(MOD(R829,1),HFer,HOuv),HFer)-IF(NETWORKDAYS(P829,P829,JoursFeries),MEDIAN(MOD(P829,1),HFer,HOuv),HOuv))*24,4)))/HJour,4),""))</f>
        <v/>
      </c>
      <c r="AX829" s="37" t="str">
        <f aca="false">IF(AO829&lt;&gt;1,"",IFERROR(ROUND(IF(OR(P829="",S829=""),"",IF(S829&lt;P829,"",ROUND(((NETWORKDAYS(P829,S829,JoursFeries)-1)*(HFer-HOuv)+IF(NETWORKDAYS(S829,S829,JoursFeries),MEDIAN(MOD(S829,1),HFer,HOuv),HFer)-IF(NETWORKDAYS(P829,P829,JoursFeries),MEDIAN(MOD(P829,1),HFer,HOuv),HOuv))*24,4)))/HJour,4),""))</f>
        <v/>
      </c>
      <c r="AY829" s="36" t="str">
        <f aca="false">IF(OR(AO829&lt;&gt;1,AR829=""),"",INDEX(SLA_PEC,AR829))</f>
        <v/>
      </c>
      <c r="AZ829" s="35" t="str">
        <f aca="false">IF(OR(AV829="",AY829=""),"",IF(AV829&lt;=AY829,1,0))</f>
        <v/>
      </c>
      <c r="BA829" s="36" t="str">
        <f aca="false">IF(OR(AO829&lt;&gt;1,AR829=""),"",INDEX(SLA_RES,AR829))</f>
        <v/>
      </c>
      <c r="BB829" s="35" t="str">
        <f aca="false">IF(OR(AW829="",BA829=""),"",IF(AW829&lt;=BA829,1,0))</f>
        <v/>
      </c>
      <c r="BC829" s="38" t="str">
        <f aca="false">IF(OR(BA829="",P829=""),"",WORKDAY(INT(P829),BA829,JoursFeries)+MOD(P829,1))</f>
        <v/>
      </c>
      <c r="BD829" s="39" t="str">
        <f aca="false">IF(AO829&lt;&gt;1,"",IF(OR(AB829&lt;&gt;"",AD829&lt;&gt;""),4,IF(U829&lt;&gt;"",3,IF(T829&lt;&gt;"",2,1))))</f>
        <v/>
      </c>
      <c r="BE829" s="39" t="str">
        <f aca="false">IF(OR(AO829&lt;&gt;1,AR829=""),"",INDEX(NIV_REQ,AR829))</f>
        <v/>
      </c>
      <c r="BF829" s="39" t="str">
        <f aca="false">IF(BE829="","",MAX(BE829,IF(OR(K829="Oui",Z829="Oui"),4,1)))</f>
        <v/>
      </c>
      <c r="BG829" s="35" t="str">
        <f aca="false">IF(OR(BF829="",BD829=""),"",IF(BD829&gt;=BF829,1,0))</f>
        <v/>
      </c>
      <c r="BH829" s="38" t="str">
        <f aca="false">IF(BE829="","",IF(BE829&lt;2,"",IF(BE829=2,IF(AND(T829="",U829=""),"",MIN(T829,U829)),IF(U829="","",U829))))</f>
        <v/>
      </c>
      <c r="BI829" s="37" t="str">
        <f aca="false">IF(BH829="","",IF(OR(O829="",BH829=""),"",IF(BH829&lt;O829,"",ROUND(((NETWORKDAYS(O829,BH829,JoursFeries)-1)*(HFer-HOuv)+IF(NETWORKDAYS(BH829,BH829,JoursFeries),MEDIAN(MOD(BH829,1),HFer,HOuv),HFer)-IF(NETWORKDAYS(O829,O829,JoursFeries),MEDIAN(MOD(O829,1),HFer,HOuv),HOuv))*24,4))))</f>
        <v/>
      </c>
      <c r="BJ829" s="35" t="str">
        <f aca="false">IF(OR(BI829="",AR829=""),"",IF(BI829&lt;=INDEX(DELAI_ESC,AR829),1,0))</f>
        <v/>
      </c>
      <c r="BK829" s="38" t="str">
        <f aca="false">IF(AO829&lt;&gt;1,"",IF(AND(T829="",U829=""),"",MIN(T829,U829)))</f>
        <v/>
      </c>
      <c r="BL829" s="37" t="str">
        <f aca="false">IF(OR(BK829="",R829=""),"",IFERROR(ROUND(IF(OR(BK829="",R829=""),"",IF(R829&lt;BK829,"",ROUND(((NETWORKDAYS(BK829,R829,JoursFeries)-1)*(HFer-HOuv)+IF(NETWORKDAYS(R829,R829,JoursFeries),MEDIAN(MOD(R829,1),HFer,HOuv),HFer)-IF(NETWORKDAYS(BK829,BK829,JoursFeries),MEDIAN(MOD(BK829,1),HFer,HOuv),HOuv))*24,4)))/HJour,4),""))</f>
        <v/>
      </c>
      <c r="BM829" s="35" t="str">
        <f aca="false">IF(OR(AO829&lt;&gt;1,R829=""),"",IF(BD829=1,1,0))</f>
        <v/>
      </c>
      <c r="BN829" s="35" t="str">
        <f aca="false">IF(AO829&lt;&gt;1,"",IF(W829="Oui",1,0))</f>
        <v/>
      </c>
      <c r="BO829" s="35" t="str">
        <f aca="false">IF(AO829&lt;&gt;1,"",IF(X829&lt;&gt;"",1,0))</f>
        <v/>
      </c>
      <c r="BP829" s="35" t="str">
        <f aca="false">IF(AO829&lt;&gt;1,"",IF(Y829="Oui",1,0))</f>
        <v/>
      </c>
      <c r="BQ829" s="35" t="str">
        <f aca="true">IF(OR(AO829&lt;&gt;1,Z829&lt;&gt;"Oui"),"",IF(AB829="",IF(AND(AA829&lt;&gt;"",NOW()&gt;AA829),0,""),IF(AA829="","",IF(AB829&lt;=AA829,1,0))))</f>
        <v/>
      </c>
      <c r="BR829" s="38" t="str">
        <f aca="false">IF(OR(AO829&lt;&gt;1,K829&lt;&gt;"Oui",O829=""),"",IF(AC829="",O829+DORA_H_DET/24,IF(AC829-O829&lt;=DORA_H_DET/24,MIN(AC829+DORA_H_CLA/24,O829+DORA_H_DET/24),AC829+DORA_H_CLA/24)))</f>
        <v/>
      </c>
      <c r="BS829" s="35" t="str">
        <f aca="true">IF(BR829="","",IF(AD829="",IF(NOW()&gt;BR829,0,""),IF(AD829&lt;=BR829,1,0)))</f>
        <v/>
      </c>
      <c r="BT829" s="35" t="str">
        <f aca="true">IF(OR(BR829="",AD829=""),"",IF(AE829="",IF(NOW()&gt;AD829+DORA_H_INT/24,0,""),IF(AE829&lt;=AD829+DORA_H_INT/24,1,0)))</f>
        <v/>
      </c>
      <c r="BU829" s="35" t="str">
        <f aca="true">IF(OR(BR829="",AE829=""),"",IF(AF829="",IF(NOW()&gt;EDATE(AE829,DORA_M_FIN)+1,0,""),IF(AF829&lt;=EDATE(AE829,DORA_M_FIN),1,0)))</f>
        <v/>
      </c>
      <c r="BV829" s="35" t="str">
        <f aca="false">IF(BR829="","",IF(COUNT(BS829:BU829)=0,"",MIN(BS829:BU829)))</f>
        <v/>
      </c>
      <c r="BW829" s="40" t="str">
        <f aca="false">IF(AQ829&lt;&gt;1,"",IF(AND(AG829="",AH829=""),"",N(AG829)-N(AH829)))</f>
        <v/>
      </c>
      <c r="BX829" s="35" t="str">
        <f aca="true">IF(OR(AQ829&lt;&gt;1,AI829&lt;&gt;"Oui",AJ829=""),"",IF(AK829="",IF(NOW()&gt;AJ829+1,0,""),IF(AK829&lt;=AJ829,1,0)))</f>
        <v/>
      </c>
    </row>
    <row r="830" customFormat="false" ht="15" hidden="false" customHeight="false" outlineLevel="0" collapsed="false">
      <c r="B830" s="29"/>
      <c r="C830" s="29"/>
      <c r="D830" s="29"/>
      <c r="E830" s="29"/>
      <c r="F830" s="29"/>
      <c r="G830" s="29"/>
      <c r="H830" s="29"/>
      <c r="I830" s="29"/>
      <c r="J830" s="29"/>
      <c r="K830" s="29"/>
      <c r="L830" s="29"/>
      <c r="M830" s="29"/>
      <c r="N830" s="30"/>
      <c r="O830" s="30"/>
      <c r="P830" s="30"/>
      <c r="Q830" s="30"/>
      <c r="R830" s="30"/>
      <c r="S830" s="30"/>
      <c r="T830" s="30"/>
      <c r="U830" s="30"/>
      <c r="V830" s="31"/>
      <c r="W830" s="29"/>
      <c r="X830" s="29"/>
      <c r="Y830" s="29"/>
      <c r="Z830" s="29"/>
      <c r="AA830" s="30"/>
      <c r="AB830" s="30"/>
      <c r="AC830" s="30"/>
      <c r="AD830" s="30"/>
      <c r="AE830" s="30"/>
      <c r="AF830" s="32"/>
      <c r="AG830" s="33"/>
      <c r="AH830" s="33"/>
      <c r="AI830" s="29"/>
      <c r="AJ830" s="32"/>
      <c r="AK830" s="32"/>
      <c r="AL830" s="29"/>
      <c r="AN830" s="34" t="str">
        <f aca="false">IF($B830="","",IF(OR(C830="",D830="",E830="",G830="",I830="",J830="",L830="",O830="",P830=""),"Champ obligatoire manquant",IF(OR(AND(N830&lt;&gt;"",N830&gt;O830),O830&gt;P830,AND(Q830&lt;&gt;"",Q830&lt;P830),AND(R830&lt;&gt;"",R830&lt;P830),AND(S830&lt;&gt;"",S830&lt;R830),AND(S830&lt;&gt;"",R830=""),AND(T830&lt;&gt;"",T830&lt;O830),AND(U830&lt;&gt;"",U830&lt;O830)),"Chronologie incohérente",IF(AND(OR(L830="Résolu",L830="Clos"),R830=""),"Date de résolution manquante",IF(AND(L830="Clos",S830=""),"Date de clôture manquante",IF(AND(K830="Oui",AC830=""),"Classification DORA manquante","OK"))))))</f>
        <v/>
      </c>
      <c r="AO830" s="35" t="str">
        <f aca="false">IF($B830="","",IF(AND(C830="Incident",L830&lt;&gt;"Annulé"),1,0))</f>
        <v/>
      </c>
      <c r="AP830" s="35" t="str">
        <f aca="false">IF($B830="","",IF(AND(C830="Quasi-incident",L830&lt;&gt;"Annulé"),1,0))</f>
        <v/>
      </c>
      <c r="AQ830" s="35" t="str">
        <f aca="false">IF($B830="","",AO830+AP830)</f>
        <v/>
      </c>
      <c r="AR830" s="36" t="str">
        <f aca="false">IF(OR($B830="",J830=""),"",IFERROR(VALUE(LEFT(J830,1)),""))</f>
        <v/>
      </c>
      <c r="AS830" s="35" t="str">
        <f aca="false">IF(OR(AO830&lt;&gt;1,G830=""),"",IFERROR(IF(INDEX(L_SrcInterne,MATCH(G830,L_Sources,0))="Oui",1,0),""))</f>
        <v/>
      </c>
      <c r="AT830" s="37" t="str">
        <f aca="false">IF(AO830&lt;&gt;1,"",IFERROR(ROUND(IF(OR(N830="",O830=""),"",IF(O830&lt;N830,"",ROUND(((NETWORKDAYS(N830,O830,JoursFeries)-1)*(HFer-HOuv)+IF(NETWORKDAYS(O830,O830,JoursFeries),MEDIAN(MOD(O830,1),HFer,HOuv),HFer)-IF(NETWORKDAYS(N830,N830,JoursFeries),MEDIAN(MOD(N830,1),HFer,HOuv),HOuv))*24,4)))/HJour,4),""))</f>
        <v/>
      </c>
      <c r="AU830" s="37" t="str">
        <f aca="false">IF(AO830&lt;&gt;1,"",IF(OR(O830="",P830=""),"",IF(P830&lt;O830,"",ROUND(((NETWORKDAYS(O830,P830,JoursFeries)-1)*(HFer-HOuv)+IF(NETWORKDAYS(P830,P830,JoursFeries),MEDIAN(MOD(P830,1),HFer,HOuv),HFer)-IF(NETWORKDAYS(O830,O830,JoursFeries),MEDIAN(MOD(O830,1),HFer,HOuv),HOuv))*24,4))))</f>
        <v/>
      </c>
      <c r="AV830" s="37" t="str">
        <f aca="false">IF(AO830&lt;&gt;1,"",IF(OR(P830="",Q830=""),"",IF(Q830&lt;P830,"",ROUND(((NETWORKDAYS(P830,Q830,JoursFeries)-1)*(HFer-HOuv)+IF(NETWORKDAYS(Q830,Q830,JoursFeries),MEDIAN(MOD(Q830,1),HFer,HOuv),HFer)-IF(NETWORKDAYS(P830,P830,JoursFeries),MEDIAN(MOD(P830,1),HFer,HOuv),HOuv))*24,4))))</f>
        <v/>
      </c>
      <c r="AW830" s="37" t="str">
        <f aca="false">IF(AO830&lt;&gt;1,"",IFERROR(ROUND(IF(OR(P830="",R830=""),"",IF(R830&lt;P830,"",ROUND(((NETWORKDAYS(P830,R830,JoursFeries)-1)*(HFer-HOuv)+IF(NETWORKDAYS(R830,R830,JoursFeries),MEDIAN(MOD(R830,1),HFer,HOuv),HFer)-IF(NETWORKDAYS(P830,P830,JoursFeries),MEDIAN(MOD(P830,1),HFer,HOuv),HOuv))*24,4)))/HJour,4),""))</f>
        <v/>
      </c>
      <c r="AX830" s="37" t="str">
        <f aca="false">IF(AO830&lt;&gt;1,"",IFERROR(ROUND(IF(OR(P830="",S830=""),"",IF(S830&lt;P830,"",ROUND(((NETWORKDAYS(P830,S830,JoursFeries)-1)*(HFer-HOuv)+IF(NETWORKDAYS(S830,S830,JoursFeries),MEDIAN(MOD(S830,1),HFer,HOuv),HFer)-IF(NETWORKDAYS(P830,P830,JoursFeries),MEDIAN(MOD(P830,1),HFer,HOuv),HOuv))*24,4)))/HJour,4),""))</f>
        <v/>
      </c>
      <c r="AY830" s="36" t="str">
        <f aca="false">IF(OR(AO830&lt;&gt;1,AR830=""),"",INDEX(SLA_PEC,AR830))</f>
        <v/>
      </c>
      <c r="AZ830" s="35" t="str">
        <f aca="false">IF(OR(AV830="",AY830=""),"",IF(AV830&lt;=AY830,1,0))</f>
        <v/>
      </c>
      <c r="BA830" s="36" t="str">
        <f aca="false">IF(OR(AO830&lt;&gt;1,AR830=""),"",INDEX(SLA_RES,AR830))</f>
        <v/>
      </c>
      <c r="BB830" s="35" t="str">
        <f aca="false">IF(OR(AW830="",BA830=""),"",IF(AW830&lt;=BA830,1,0))</f>
        <v/>
      </c>
      <c r="BC830" s="38" t="str">
        <f aca="false">IF(OR(BA830="",P830=""),"",WORKDAY(INT(P830),BA830,JoursFeries)+MOD(P830,1))</f>
        <v/>
      </c>
      <c r="BD830" s="39" t="str">
        <f aca="false">IF(AO830&lt;&gt;1,"",IF(OR(AB830&lt;&gt;"",AD830&lt;&gt;""),4,IF(U830&lt;&gt;"",3,IF(T830&lt;&gt;"",2,1))))</f>
        <v/>
      </c>
      <c r="BE830" s="39" t="str">
        <f aca="false">IF(OR(AO830&lt;&gt;1,AR830=""),"",INDEX(NIV_REQ,AR830))</f>
        <v/>
      </c>
      <c r="BF830" s="39" t="str">
        <f aca="false">IF(BE830="","",MAX(BE830,IF(OR(K830="Oui",Z830="Oui"),4,1)))</f>
        <v/>
      </c>
      <c r="BG830" s="35" t="str">
        <f aca="false">IF(OR(BF830="",BD830=""),"",IF(BD830&gt;=BF830,1,0))</f>
        <v/>
      </c>
      <c r="BH830" s="38" t="str">
        <f aca="false">IF(BE830="","",IF(BE830&lt;2,"",IF(BE830=2,IF(AND(T830="",U830=""),"",MIN(T830,U830)),IF(U830="","",U830))))</f>
        <v/>
      </c>
      <c r="BI830" s="37" t="str">
        <f aca="false">IF(BH830="","",IF(OR(O830="",BH830=""),"",IF(BH830&lt;O830,"",ROUND(((NETWORKDAYS(O830,BH830,JoursFeries)-1)*(HFer-HOuv)+IF(NETWORKDAYS(BH830,BH830,JoursFeries),MEDIAN(MOD(BH830,1),HFer,HOuv),HFer)-IF(NETWORKDAYS(O830,O830,JoursFeries),MEDIAN(MOD(O830,1),HFer,HOuv),HOuv))*24,4))))</f>
        <v/>
      </c>
      <c r="BJ830" s="35" t="str">
        <f aca="false">IF(OR(BI830="",AR830=""),"",IF(BI830&lt;=INDEX(DELAI_ESC,AR830),1,0))</f>
        <v/>
      </c>
      <c r="BK830" s="38" t="str">
        <f aca="false">IF(AO830&lt;&gt;1,"",IF(AND(T830="",U830=""),"",MIN(T830,U830)))</f>
        <v/>
      </c>
      <c r="BL830" s="37" t="str">
        <f aca="false">IF(OR(BK830="",R830=""),"",IFERROR(ROUND(IF(OR(BK830="",R830=""),"",IF(R830&lt;BK830,"",ROUND(((NETWORKDAYS(BK830,R830,JoursFeries)-1)*(HFer-HOuv)+IF(NETWORKDAYS(R830,R830,JoursFeries),MEDIAN(MOD(R830,1),HFer,HOuv),HFer)-IF(NETWORKDAYS(BK830,BK830,JoursFeries),MEDIAN(MOD(BK830,1),HFer,HOuv),HOuv))*24,4)))/HJour,4),""))</f>
        <v/>
      </c>
      <c r="BM830" s="35" t="str">
        <f aca="false">IF(OR(AO830&lt;&gt;1,R830=""),"",IF(BD830=1,1,0))</f>
        <v/>
      </c>
      <c r="BN830" s="35" t="str">
        <f aca="false">IF(AO830&lt;&gt;1,"",IF(W830="Oui",1,0))</f>
        <v/>
      </c>
      <c r="BO830" s="35" t="str">
        <f aca="false">IF(AO830&lt;&gt;1,"",IF(X830&lt;&gt;"",1,0))</f>
        <v/>
      </c>
      <c r="BP830" s="35" t="str">
        <f aca="false">IF(AO830&lt;&gt;1,"",IF(Y830="Oui",1,0))</f>
        <v/>
      </c>
      <c r="BQ830" s="35" t="str">
        <f aca="true">IF(OR(AO830&lt;&gt;1,Z830&lt;&gt;"Oui"),"",IF(AB830="",IF(AND(AA830&lt;&gt;"",NOW()&gt;AA830),0,""),IF(AA830="","",IF(AB830&lt;=AA830,1,0))))</f>
        <v/>
      </c>
      <c r="BR830" s="38" t="str">
        <f aca="false">IF(OR(AO830&lt;&gt;1,K830&lt;&gt;"Oui",O830=""),"",IF(AC830="",O830+DORA_H_DET/24,IF(AC830-O830&lt;=DORA_H_DET/24,MIN(AC830+DORA_H_CLA/24,O830+DORA_H_DET/24),AC830+DORA_H_CLA/24)))</f>
        <v/>
      </c>
      <c r="BS830" s="35" t="str">
        <f aca="true">IF(BR830="","",IF(AD830="",IF(NOW()&gt;BR830,0,""),IF(AD830&lt;=BR830,1,0)))</f>
        <v/>
      </c>
      <c r="BT830" s="35" t="str">
        <f aca="true">IF(OR(BR830="",AD830=""),"",IF(AE830="",IF(NOW()&gt;AD830+DORA_H_INT/24,0,""),IF(AE830&lt;=AD830+DORA_H_INT/24,1,0)))</f>
        <v/>
      </c>
      <c r="BU830" s="35" t="str">
        <f aca="true">IF(OR(BR830="",AE830=""),"",IF(AF830="",IF(NOW()&gt;EDATE(AE830,DORA_M_FIN)+1,0,""),IF(AF830&lt;=EDATE(AE830,DORA_M_FIN),1,0)))</f>
        <v/>
      </c>
      <c r="BV830" s="35" t="str">
        <f aca="false">IF(BR830="","",IF(COUNT(BS830:BU830)=0,"",MIN(BS830:BU830)))</f>
        <v/>
      </c>
      <c r="BW830" s="40" t="str">
        <f aca="false">IF(AQ830&lt;&gt;1,"",IF(AND(AG830="",AH830=""),"",N(AG830)-N(AH830)))</f>
        <v/>
      </c>
      <c r="BX830" s="35" t="str">
        <f aca="true">IF(OR(AQ830&lt;&gt;1,AI830&lt;&gt;"Oui",AJ830=""),"",IF(AK830="",IF(NOW()&gt;AJ830+1,0,""),IF(AK830&lt;=AJ830,1,0)))</f>
        <v/>
      </c>
    </row>
    <row r="831" customFormat="false" ht="15" hidden="false" customHeight="false" outlineLevel="0" collapsed="false">
      <c r="B831" s="29"/>
      <c r="C831" s="29"/>
      <c r="D831" s="29"/>
      <c r="E831" s="29"/>
      <c r="F831" s="29"/>
      <c r="G831" s="29"/>
      <c r="H831" s="29"/>
      <c r="I831" s="29"/>
      <c r="J831" s="29"/>
      <c r="K831" s="29"/>
      <c r="L831" s="29"/>
      <c r="M831" s="29"/>
      <c r="N831" s="30"/>
      <c r="O831" s="30"/>
      <c r="P831" s="30"/>
      <c r="Q831" s="30"/>
      <c r="R831" s="30"/>
      <c r="S831" s="30"/>
      <c r="T831" s="30"/>
      <c r="U831" s="30"/>
      <c r="V831" s="31"/>
      <c r="W831" s="29"/>
      <c r="X831" s="29"/>
      <c r="Y831" s="29"/>
      <c r="Z831" s="29"/>
      <c r="AA831" s="30"/>
      <c r="AB831" s="30"/>
      <c r="AC831" s="30"/>
      <c r="AD831" s="30"/>
      <c r="AE831" s="30"/>
      <c r="AF831" s="32"/>
      <c r="AG831" s="33"/>
      <c r="AH831" s="33"/>
      <c r="AI831" s="29"/>
      <c r="AJ831" s="32"/>
      <c r="AK831" s="32"/>
      <c r="AL831" s="29"/>
      <c r="AN831" s="34" t="str">
        <f aca="false">IF($B831="","",IF(OR(C831="",D831="",E831="",G831="",I831="",J831="",L831="",O831="",P831=""),"Champ obligatoire manquant",IF(OR(AND(N831&lt;&gt;"",N831&gt;O831),O831&gt;P831,AND(Q831&lt;&gt;"",Q831&lt;P831),AND(R831&lt;&gt;"",R831&lt;P831),AND(S831&lt;&gt;"",S831&lt;R831),AND(S831&lt;&gt;"",R831=""),AND(T831&lt;&gt;"",T831&lt;O831),AND(U831&lt;&gt;"",U831&lt;O831)),"Chronologie incohérente",IF(AND(OR(L831="Résolu",L831="Clos"),R831=""),"Date de résolution manquante",IF(AND(L831="Clos",S831=""),"Date de clôture manquante",IF(AND(K831="Oui",AC831=""),"Classification DORA manquante","OK"))))))</f>
        <v/>
      </c>
      <c r="AO831" s="35" t="str">
        <f aca="false">IF($B831="","",IF(AND(C831="Incident",L831&lt;&gt;"Annulé"),1,0))</f>
        <v/>
      </c>
      <c r="AP831" s="35" t="str">
        <f aca="false">IF($B831="","",IF(AND(C831="Quasi-incident",L831&lt;&gt;"Annulé"),1,0))</f>
        <v/>
      </c>
      <c r="AQ831" s="35" t="str">
        <f aca="false">IF($B831="","",AO831+AP831)</f>
        <v/>
      </c>
      <c r="AR831" s="36" t="str">
        <f aca="false">IF(OR($B831="",J831=""),"",IFERROR(VALUE(LEFT(J831,1)),""))</f>
        <v/>
      </c>
      <c r="AS831" s="35" t="str">
        <f aca="false">IF(OR(AO831&lt;&gt;1,G831=""),"",IFERROR(IF(INDEX(L_SrcInterne,MATCH(G831,L_Sources,0))="Oui",1,0),""))</f>
        <v/>
      </c>
      <c r="AT831" s="37" t="str">
        <f aca="false">IF(AO831&lt;&gt;1,"",IFERROR(ROUND(IF(OR(N831="",O831=""),"",IF(O831&lt;N831,"",ROUND(((NETWORKDAYS(N831,O831,JoursFeries)-1)*(HFer-HOuv)+IF(NETWORKDAYS(O831,O831,JoursFeries),MEDIAN(MOD(O831,1),HFer,HOuv),HFer)-IF(NETWORKDAYS(N831,N831,JoursFeries),MEDIAN(MOD(N831,1),HFer,HOuv),HOuv))*24,4)))/HJour,4),""))</f>
        <v/>
      </c>
      <c r="AU831" s="37" t="str">
        <f aca="false">IF(AO831&lt;&gt;1,"",IF(OR(O831="",P831=""),"",IF(P831&lt;O831,"",ROUND(((NETWORKDAYS(O831,P831,JoursFeries)-1)*(HFer-HOuv)+IF(NETWORKDAYS(P831,P831,JoursFeries),MEDIAN(MOD(P831,1),HFer,HOuv),HFer)-IF(NETWORKDAYS(O831,O831,JoursFeries),MEDIAN(MOD(O831,1),HFer,HOuv),HOuv))*24,4))))</f>
        <v/>
      </c>
      <c r="AV831" s="37" t="str">
        <f aca="false">IF(AO831&lt;&gt;1,"",IF(OR(P831="",Q831=""),"",IF(Q831&lt;P831,"",ROUND(((NETWORKDAYS(P831,Q831,JoursFeries)-1)*(HFer-HOuv)+IF(NETWORKDAYS(Q831,Q831,JoursFeries),MEDIAN(MOD(Q831,1),HFer,HOuv),HFer)-IF(NETWORKDAYS(P831,P831,JoursFeries),MEDIAN(MOD(P831,1),HFer,HOuv),HOuv))*24,4))))</f>
        <v/>
      </c>
      <c r="AW831" s="37" t="str">
        <f aca="false">IF(AO831&lt;&gt;1,"",IFERROR(ROUND(IF(OR(P831="",R831=""),"",IF(R831&lt;P831,"",ROUND(((NETWORKDAYS(P831,R831,JoursFeries)-1)*(HFer-HOuv)+IF(NETWORKDAYS(R831,R831,JoursFeries),MEDIAN(MOD(R831,1),HFer,HOuv),HFer)-IF(NETWORKDAYS(P831,P831,JoursFeries),MEDIAN(MOD(P831,1),HFer,HOuv),HOuv))*24,4)))/HJour,4),""))</f>
        <v/>
      </c>
      <c r="AX831" s="37" t="str">
        <f aca="false">IF(AO831&lt;&gt;1,"",IFERROR(ROUND(IF(OR(P831="",S831=""),"",IF(S831&lt;P831,"",ROUND(((NETWORKDAYS(P831,S831,JoursFeries)-1)*(HFer-HOuv)+IF(NETWORKDAYS(S831,S831,JoursFeries),MEDIAN(MOD(S831,1),HFer,HOuv),HFer)-IF(NETWORKDAYS(P831,P831,JoursFeries),MEDIAN(MOD(P831,1),HFer,HOuv),HOuv))*24,4)))/HJour,4),""))</f>
        <v/>
      </c>
      <c r="AY831" s="36" t="str">
        <f aca="false">IF(OR(AO831&lt;&gt;1,AR831=""),"",INDEX(SLA_PEC,AR831))</f>
        <v/>
      </c>
      <c r="AZ831" s="35" t="str">
        <f aca="false">IF(OR(AV831="",AY831=""),"",IF(AV831&lt;=AY831,1,0))</f>
        <v/>
      </c>
      <c r="BA831" s="36" t="str">
        <f aca="false">IF(OR(AO831&lt;&gt;1,AR831=""),"",INDEX(SLA_RES,AR831))</f>
        <v/>
      </c>
      <c r="BB831" s="35" t="str">
        <f aca="false">IF(OR(AW831="",BA831=""),"",IF(AW831&lt;=BA831,1,0))</f>
        <v/>
      </c>
      <c r="BC831" s="38" t="str">
        <f aca="false">IF(OR(BA831="",P831=""),"",WORKDAY(INT(P831),BA831,JoursFeries)+MOD(P831,1))</f>
        <v/>
      </c>
      <c r="BD831" s="39" t="str">
        <f aca="false">IF(AO831&lt;&gt;1,"",IF(OR(AB831&lt;&gt;"",AD831&lt;&gt;""),4,IF(U831&lt;&gt;"",3,IF(T831&lt;&gt;"",2,1))))</f>
        <v/>
      </c>
      <c r="BE831" s="39" t="str">
        <f aca="false">IF(OR(AO831&lt;&gt;1,AR831=""),"",INDEX(NIV_REQ,AR831))</f>
        <v/>
      </c>
      <c r="BF831" s="39" t="str">
        <f aca="false">IF(BE831="","",MAX(BE831,IF(OR(K831="Oui",Z831="Oui"),4,1)))</f>
        <v/>
      </c>
      <c r="BG831" s="35" t="str">
        <f aca="false">IF(OR(BF831="",BD831=""),"",IF(BD831&gt;=BF831,1,0))</f>
        <v/>
      </c>
      <c r="BH831" s="38" t="str">
        <f aca="false">IF(BE831="","",IF(BE831&lt;2,"",IF(BE831=2,IF(AND(T831="",U831=""),"",MIN(T831,U831)),IF(U831="","",U831))))</f>
        <v/>
      </c>
      <c r="BI831" s="37" t="str">
        <f aca="false">IF(BH831="","",IF(OR(O831="",BH831=""),"",IF(BH831&lt;O831,"",ROUND(((NETWORKDAYS(O831,BH831,JoursFeries)-1)*(HFer-HOuv)+IF(NETWORKDAYS(BH831,BH831,JoursFeries),MEDIAN(MOD(BH831,1),HFer,HOuv),HFer)-IF(NETWORKDAYS(O831,O831,JoursFeries),MEDIAN(MOD(O831,1),HFer,HOuv),HOuv))*24,4))))</f>
        <v/>
      </c>
      <c r="BJ831" s="35" t="str">
        <f aca="false">IF(OR(BI831="",AR831=""),"",IF(BI831&lt;=INDEX(DELAI_ESC,AR831),1,0))</f>
        <v/>
      </c>
      <c r="BK831" s="38" t="str">
        <f aca="false">IF(AO831&lt;&gt;1,"",IF(AND(T831="",U831=""),"",MIN(T831,U831)))</f>
        <v/>
      </c>
      <c r="BL831" s="37" t="str">
        <f aca="false">IF(OR(BK831="",R831=""),"",IFERROR(ROUND(IF(OR(BK831="",R831=""),"",IF(R831&lt;BK831,"",ROUND(((NETWORKDAYS(BK831,R831,JoursFeries)-1)*(HFer-HOuv)+IF(NETWORKDAYS(R831,R831,JoursFeries),MEDIAN(MOD(R831,1),HFer,HOuv),HFer)-IF(NETWORKDAYS(BK831,BK831,JoursFeries),MEDIAN(MOD(BK831,1),HFer,HOuv),HOuv))*24,4)))/HJour,4),""))</f>
        <v/>
      </c>
      <c r="BM831" s="35" t="str">
        <f aca="false">IF(OR(AO831&lt;&gt;1,R831=""),"",IF(BD831=1,1,0))</f>
        <v/>
      </c>
      <c r="BN831" s="35" t="str">
        <f aca="false">IF(AO831&lt;&gt;1,"",IF(W831="Oui",1,0))</f>
        <v/>
      </c>
      <c r="BO831" s="35" t="str">
        <f aca="false">IF(AO831&lt;&gt;1,"",IF(X831&lt;&gt;"",1,0))</f>
        <v/>
      </c>
      <c r="BP831" s="35" t="str">
        <f aca="false">IF(AO831&lt;&gt;1,"",IF(Y831="Oui",1,0))</f>
        <v/>
      </c>
      <c r="BQ831" s="35" t="str">
        <f aca="true">IF(OR(AO831&lt;&gt;1,Z831&lt;&gt;"Oui"),"",IF(AB831="",IF(AND(AA831&lt;&gt;"",NOW()&gt;AA831),0,""),IF(AA831="","",IF(AB831&lt;=AA831,1,0))))</f>
        <v/>
      </c>
      <c r="BR831" s="38" t="str">
        <f aca="false">IF(OR(AO831&lt;&gt;1,K831&lt;&gt;"Oui",O831=""),"",IF(AC831="",O831+DORA_H_DET/24,IF(AC831-O831&lt;=DORA_H_DET/24,MIN(AC831+DORA_H_CLA/24,O831+DORA_H_DET/24),AC831+DORA_H_CLA/24)))</f>
        <v/>
      </c>
      <c r="BS831" s="35" t="str">
        <f aca="true">IF(BR831="","",IF(AD831="",IF(NOW()&gt;BR831,0,""),IF(AD831&lt;=BR831,1,0)))</f>
        <v/>
      </c>
      <c r="BT831" s="35" t="str">
        <f aca="true">IF(OR(BR831="",AD831=""),"",IF(AE831="",IF(NOW()&gt;AD831+DORA_H_INT/24,0,""),IF(AE831&lt;=AD831+DORA_H_INT/24,1,0)))</f>
        <v/>
      </c>
      <c r="BU831" s="35" t="str">
        <f aca="true">IF(OR(BR831="",AE831=""),"",IF(AF831="",IF(NOW()&gt;EDATE(AE831,DORA_M_FIN)+1,0,""),IF(AF831&lt;=EDATE(AE831,DORA_M_FIN),1,0)))</f>
        <v/>
      </c>
      <c r="BV831" s="35" t="str">
        <f aca="false">IF(BR831="","",IF(COUNT(BS831:BU831)=0,"",MIN(BS831:BU831)))</f>
        <v/>
      </c>
      <c r="BW831" s="40" t="str">
        <f aca="false">IF(AQ831&lt;&gt;1,"",IF(AND(AG831="",AH831=""),"",N(AG831)-N(AH831)))</f>
        <v/>
      </c>
      <c r="BX831" s="35" t="str">
        <f aca="true">IF(OR(AQ831&lt;&gt;1,AI831&lt;&gt;"Oui",AJ831=""),"",IF(AK831="",IF(NOW()&gt;AJ831+1,0,""),IF(AK831&lt;=AJ831,1,0)))</f>
        <v/>
      </c>
    </row>
    <row r="832" customFormat="false" ht="15" hidden="false" customHeight="false" outlineLevel="0" collapsed="false">
      <c r="B832" s="29"/>
      <c r="C832" s="29"/>
      <c r="D832" s="29"/>
      <c r="E832" s="29"/>
      <c r="F832" s="29"/>
      <c r="G832" s="29"/>
      <c r="H832" s="29"/>
      <c r="I832" s="29"/>
      <c r="J832" s="29"/>
      <c r="K832" s="29"/>
      <c r="L832" s="29"/>
      <c r="M832" s="29"/>
      <c r="N832" s="30"/>
      <c r="O832" s="30"/>
      <c r="P832" s="30"/>
      <c r="Q832" s="30"/>
      <c r="R832" s="30"/>
      <c r="S832" s="30"/>
      <c r="T832" s="30"/>
      <c r="U832" s="30"/>
      <c r="V832" s="31"/>
      <c r="W832" s="29"/>
      <c r="X832" s="29"/>
      <c r="Y832" s="29"/>
      <c r="Z832" s="29"/>
      <c r="AA832" s="30"/>
      <c r="AB832" s="30"/>
      <c r="AC832" s="30"/>
      <c r="AD832" s="30"/>
      <c r="AE832" s="30"/>
      <c r="AF832" s="32"/>
      <c r="AG832" s="33"/>
      <c r="AH832" s="33"/>
      <c r="AI832" s="29"/>
      <c r="AJ832" s="32"/>
      <c r="AK832" s="32"/>
      <c r="AL832" s="29"/>
      <c r="AN832" s="34" t="str">
        <f aca="false">IF($B832="","",IF(OR(C832="",D832="",E832="",G832="",I832="",J832="",L832="",O832="",P832=""),"Champ obligatoire manquant",IF(OR(AND(N832&lt;&gt;"",N832&gt;O832),O832&gt;P832,AND(Q832&lt;&gt;"",Q832&lt;P832),AND(R832&lt;&gt;"",R832&lt;P832),AND(S832&lt;&gt;"",S832&lt;R832),AND(S832&lt;&gt;"",R832=""),AND(T832&lt;&gt;"",T832&lt;O832),AND(U832&lt;&gt;"",U832&lt;O832)),"Chronologie incohérente",IF(AND(OR(L832="Résolu",L832="Clos"),R832=""),"Date de résolution manquante",IF(AND(L832="Clos",S832=""),"Date de clôture manquante",IF(AND(K832="Oui",AC832=""),"Classification DORA manquante","OK"))))))</f>
        <v/>
      </c>
      <c r="AO832" s="35" t="str">
        <f aca="false">IF($B832="","",IF(AND(C832="Incident",L832&lt;&gt;"Annulé"),1,0))</f>
        <v/>
      </c>
      <c r="AP832" s="35" t="str">
        <f aca="false">IF($B832="","",IF(AND(C832="Quasi-incident",L832&lt;&gt;"Annulé"),1,0))</f>
        <v/>
      </c>
      <c r="AQ832" s="35" t="str">
        <f aca="false">IF($B832="","",AO832+AP832)</f>
        <v/>
      </c>
      <c r="AR832" s="36" t="str">
        <f aca="false">IF(OR($B832="",J832=""),"",IFERROR(VALUE(LEFT(J832,1)),""))</f>
        <v/>
      </c>
      <c r="AS832" s="35" t="str">
        <f aca="false">IF(OR(AO832&lt;&gt;1,G832=""),"",IFERROR(IF(INDEX(L_SrcInterne,MATCH(G832,L_Sources,0))="Oui",1,0),""))</f>
        <v/>
      </c>
      <c r="AT832" s="37" t="str">
        <f aca="false">IF(AO832&lt;&gt;1,"",IFERROR(ROUND(IF(OR(N832="",O832=""),"",IF(O832&lt;N832,"",ROUND(((NETWORKDAYS(N832,O832,JoursFeries)-1)*(HFer-HOuv)+IF(NETWORKDAYS(O832,O832,JoursFeries),MEDIAN(MOD(O832,1),HFer,HOuv),HFer)-IF(NETWORKDAYS(N832,N832,JoursFeries),MEDIAN(MOD(N832,1),HFer,HOuv),HOuv))*24,4)))/HJour,4),""))</f>
        <v/>
      </c>
      <c r="AU832" s="37" t="str">
        <f aca="false">IF(AO832&lt;&gt;1,"",IF(OR(O832="",P832=""),"",IF(P832&lt;O832,"",ROUND(((NETWORKDAYS(O832,P832,JoursFeries)-1)*(HFer-HOuv)+IF(NETWORKDAYS(P832,P832,JoursFeries),MEDIAN(MOD(P832,1),HFer,HOuv),HFer)-IF(NETWORKDAYS(O832,O832,JoursFeries),MEDIAN(MOD(O832,1),HFer,HOuv),HOuv))*24,4))))</f>
        <v/>
      </c>
      <c r="AV832" s="37" t="str">
        <f aca="false">IF(AO832&lt;&gt;1,"",IF(OR(P832="",Q832=""),"",IF(Q832&lt;P832,"",ROUND(((NETWORKDAYS(P832,Q832,JoursFeries)-1)*(HFer-HOuv)+IF(NETWORKDAYS(Q832,Q832,JoursFeries),MEDIAN(MOD(Q832,1),HFer,HOuv),HFer)-IF(NETWORKDAYS(P832,P832,JoursFeries),MEDIAN(MOD(P832,1),HFer,HOuv),HOuv))*24,4))))</f>
        <v/>
      </c>
      <c r="AW832" s="37" t="str">
        <f aca="false">IF(AO832&lt;&gt;1,"",IFERROR(ROUND(IF(OR(P832="",R832=""),"",IF(R832&lt;P832,"",ROUND(((NETWORKDAYS(P832,R832,JoursFeries)-1)*(HFer-HOuv)+IF(NETWORKDAYS(R832,R832,JoursFeries),MEDIAN(MOD(R832,1),HFer,HOuv),HFer)-IF(NETWORKDAYS(P832,P832,JoursFeries),MEDIAN(MOD(P832,1),HFer,HOuv),HOuv))*24,4)))/HJour,4),""))</f>
        <v/>
      </c>
      <c r="AX832" s="37" t="str">
        <f aca="false">IF(AO832&lt;&gt;1,"",IFERROR(ROUND(IF(OR(P832="",S832=""),"",IF(S832&lt;P832,"",ROUND(((NETWORKDAYS(P832,S832,JoursFeries)-1)*(HFer-HOuv)+IF(NETWORKDAYS(S832,S832,JoursFeries),MEDIAN(MOD(S832,1),HFer,HOuv),HFer)-IF(NETWORKDAYS(P832,P832,JoursFeries),MEDIAN(MOD(P832,1),HFer,HOuv),HOuv))*24,4)))/HJour,4),""))</f>
        <v/>
      </c>
      <c r="AY832" s="36" t="str">
        <f aca="false">IF(OR(AO832&lt;&gt;1,AR832=""),"",INDEX(SLA_PEC,AR832))</f>
        <v/>
      </c>
      <c r="AZ832" s="35" t="str">
        <f aca="false">IF(OR(AV832="",AY832=""),"",IF(AV832&lt;=AY832,1,0))</f>
        <v/>
      </c>
      <c r="BA832" s="36" t="str">
        <f aca="false">IF(OR(AO832&lt;&gt;1,AR832=""),"",INDEX(SLA_RES,AR832))</f>
        <v/>
      </c>
      <c r="BB832" s="35" t="str">
        <f aca="false">IF(OR(AW832="",BA832=""),"",IF(AW832&lt;=BA832,1,0))</f>
        <v/>
      </c>
      <c r="BC832" s="38" t="str">
        <f aca="false">IF(OR(BA832="",P832=""),"",WORKDAY(INT(P832),BA832,JoursFeries)+MOD(P832,1))</f>
        <v/>
      </c>
      <c r="BD832" s="39" t="str">
        <f aca="false">IF(AO832&lt;&gt;1,"",IF(OR(AB832&lt;&gt;"",AD832&lt;&gt;""),4,IF(U832&lt;&gt;"",3,IF(T832&lt;&gt;"",2,1))))</f>
        <v/>
      </c>
      <c r="BE832" s="39" t="str">
        <f aca="false">IF(OR(AO832&lt;&gt;1,AR832=""),"",INDEX(NIV_REQ,AR832))</f>
        <v/>
      </c>
      <c r="BF832" s="39" t="str">
        <f aca="false">IF(BE832="","",MAX(BE832,IF(OR(K832="Oui",Z832="Oui"),4,1)))</f>
        <v/>
      </c>
      <c r="BG832" s="35" t="str">
        <f aca="false">IF(OR(BF832="",BD832=""),"",IF(BD832&gt;=BF832,1,0))</f>
        <v/>
      </c>
      <c r="BH832" s="38" t="str">
        <f aca="false">IF(BE832="","",IF(BE832&lt;2,"",IF(BE832=2,IF(AND(T832="",U832=""),"",MIN(T832,U832)),IF(U832="","",U832))))</f>
        <v/>
      </c>
      <c r="BI832" s="37" t="str">
        <f aca="false">IF(BH832="","",IF(OR(O832="",BH832=""),"",IF(BH832&lt;O832,"",ROUND(((NETWORKDAYS(O832,BH832,JoursFeries)-1)*(HFer-HOuv)+IF(NETWORKDAYS(BH832,BH832,JoursFeries),MEDIAN(MOD(BH832,1),HFer,HOuv),HFer)-IF(NETWORKDAYS(O832,O832,JoursFeries),MEDIAN(MOD(O832,1),HFer,HOuv),HOuv))*24,4))))</f>
        <v/>
      </c>
      <c r="BJ832" s="35" t="str">
        <f aca="false">IF(OR(BI832="",AR832=""),"",IF(BI832&lt;=INDEX(DELAI_ESC,AR832),1,0))</f>
        <v/>
      </c>
      <c r="BK832" s="38" t="str">
        <f aca="false">IF(AO832&lt;&gt;1,"",IF(AND(T832="",U832=""),"",MIN(T832,U832)))</f>
        <v/>
      </c>
      <c r="BL832" s="37" t="str">
        <f aca="false">IF(OR(BK832="",R832=""),"",IFERROR(ROUND(IF(OR(BK832="",R832=""),"",IF(R832&lt;BK832,"",ROUND(((NETWORKDAYS(BK832,R832,JoursFeries)-1)*(HFer-HOuv)+IF(NETWORKDAYS(R832,R832,JoursFeries),MEDIAN(MOD(R832,1),HFer,HOuv),HFer)-IF(NETWORKDAYS(BK832,BK832,JoursFeries),MEDIAN(MOD(BK832,1),HFer,HOuv),HOuv))*24,4)))/HJour,4),""))</f>
        <v/>
      </c>
      <c r="BM832" s="35" t="str">
        <f aca="false">IF(OR(AO832&lt;&gt;1,R832=""),"",IF(BD832=1,1,0))</f>
        <v/>
      </c>
      <c r="BN832" s="35" t="str">
        <f aca="false">IF(AO832&lt;&gt;1,"",IF(W832="Oui",1,0))</f>
        <v/>
      </c>
      <c r="BO832" s="35" t="str">
        <f aca="false">IF(AO832&lt;&gt;1,"",IF(X832&lt;&gt;"",1,0))</f>
        <v/>
      </c>
      <c r="BP832" s="35" t="str">
        <f aca="false">IF(AO832&lt;&gt;1,"",IF(Y832="Oui",1,0))</f>
        <v/>
      </c>
      <c r="BQ832" s="35" t="str">
        <f aca="true">IF(OR(AO832&lt;&gt;1,Z832&lt;&gt;"Oui"),"",IF(AB832="",IF(AND(AA832&lt;&gt;"",NOW()&gt;AA832),0,""),IF(AA832="","",IF(AB832&lt;=AA832,1,0))))</f>
        <v/>
      </c>
      <c r="BR832" s="38" t="str">
        <f aca="false">IF(OR(AO832&lt;&gt;1,K832&lt;&gt;"Oui",O832=""),"",IF(AC832="",O832+DORA_H_DET/24,IF(AC832-O832&lt;=DORA_H_DET/24,MIN(AC832+DORA_H_CLA/24,O832+DORA_H_DET/24),AC832+DORA_H_CLA/24)))</f>
        <v/>
      </c>
      <c r="BS832" s="35" t="str">
        <f aca="true">IF(BR832="","",IF(AD832="",IF(NOW()&gt;BR832,0,""),IF(AD832&lt;=BR832,1,0)))</f>
        <v/>
      </c>
      <c r="BT832" s="35" t="str">
        <f aca="true">IF(OR(BR832="",AD832=""),"",IF(AE832="",IF(NOW()&gt;AD832+DORA_H_INT/24,0,""),IF(AE832&lt;=AD832+DORA_H_INT/24,1,0)))</f>
        <v/>
      </c>
      <c r="BU832" s="35" t="str">
        <f aca="true">IF(OR(BR832="",AE832=""),"",IF(AF832="",IF(NOW()&gt;EDATE(AE832,DORA_M_FIN)+1,0,""),IF(AF832&lt;=EDATE(AE832,DORA_M_FIN),1,0)))</f>
        <v/>
      </c>
      <c r="BV832" s="35" t="str">
        <f aca="false">IF(BR832="","",IF(COUNT(BS832:BU832)=0,"",MIN(BS832:BU832)))</f>
        <v/>
      </c>
      <c r="BW832" s="40" t="str">
        <f aca="false">IF(AQ832&lt;&gt;1,"",IF(AND(AG832="",AH832=""),"",N(AG832)-N(AH832)))</f>
        <v/>
      </c>
      <c r="BX832" s="35" t="str">
        <f aca="true">IF(OR(AQ832&lt;&gt;1,AI832&lt;&gt;"Oui",AJ832=""),"",IF(AK832="",IF(NOW()&gt;AJ832+1,0,""),IF(AK832&lt;=AJ832,1,0)))</f>
        <v/>
      </c>
    </row>
    <row r="833" customFormat="false" ht="15" hidden="false" customHeight="false" outlineLevel="0" collapsed="false">
      <c r="B833" s="29"/>
      <c r="C833" s="29"/>
      <c r="D833" s="29"/>
      <c r="E833" s="29"/>
      <c r="F833" s="29"/>
      <c r="G833" s="29"/>
      <c r="H833" s="29"/>
      <c r="I833" s="29"/>
      <c r="J833" s="29"/>
      <c r="K833" s="29"/>
      <c r="L833" s="29"/>
      <c r="M833" s="29"/>
      <c r="N833" s="30"/>
      <c r="O833" s="30"/>
      <c r="P833" s="30"/>
      <c r="Q833" s="30"/>
      <c r="R833" s="30"/>
      <c r="S833" s="30"/>
      <c r="T833" s="30"/>
      <c r="U833" s="30"/>
      <c r="V833" s="31"/>
      <c r="W833" s="29"/>
      <c r="X833" s="29"/>
      <c r="Y833" s="29"/>
      <c r="Z833" s="29"/>
      <c r="AA833" s="30"/>
      <c r="AB833" s="30"/>
      <c r="AC833" s="30"/>
      <c r="AD833" s="30"/>
      <c r="AE833" s="30"/>
      <c r="AF833" s="32"/>
      <c r="AG833" s="33"/>
      <c r="AH833" s="33"/>
      <c r="AI833" s="29"/>
      <c r="AJ833" s="32"/>
      <c r="AK833" s="32"/>
      <c r="AL833" s="29"/>
      <c r="AN833" s="34" t="str">
        <f aca="false">IF($B833="","",IF(OR(C833="",D833="",E833="",G833="",I833="",J833="",L833="",O833="",P833=""),"Champ obligatoire manquant",IF(OR(AND(N833&lt;&gt;"",N833&gt;O833),O833&gt;P833,AND(Q833&lt;&gt;"",Q833&lt;P833),AND(R833&lt;&gt;"",R833&lt;P833),AND(S833&lt;&gt;"",S833&lt;R833),AND(S833&lt;&gt;"",R833=""),AND(T833&lt;&gt;"",T833&lt;O833),AND(U833&lt;&gt;"",U833&lt;O833)),"Chronologie incohérente",IF(AND(OR(L833="Résolu",L833="Clos"),R833=""),"Date de résolution manquante",IF(AND(L833="Clos",S833=""),"Date de clôture manquante",IF(AND(K833="Oui",AC833=""),"Classification DORA manquante","OK"))))))</f>
        <v/>
      </c>
      <c r="AO833" s="35" t="str">
        <f aca="false">IF($B833="","",IF(AND(C833="Incident",L833&lt;&gt;"Annulé"),1,0))</f>
        <v/>
      </c>
      <c r="AP833" s="35" t="str">
        <f aca="false">IF($B833="","",IF(AND(C833="Quasi-incident",L833&lt;&gt;"Annulé"),1,0))</f>
        <v/>
      </c>
      <c r="AQ833" s="35" t="str">
        <f aca="false">IF($B833="","",AO833+AP833)</f>
        <v/>
      </c>
      <c r="AR833" s="36" t="str">
        <f aca="false">IF(OR($B833="",J833=""),"",IFERROR(VALUE(LEFT(J833,1)),""))</f>
        <v/>
      </c>
      <c r="AS833" s="35" t="str">
        <f aca="false">IF(OR(AO833&lt;&gt;1,G833=""),"",IFERROR(IF(INDEX(L_SrcInterne,MATCH(G833,L_Sources,0))="Oui",1,0),""))</f>
        <v/>
      </c>
      <c r="AT833" s="37" t="str">
        <f aca="false">IF(AO833&lt;&gt;1,"",IFERROR(ROUND(IF(OR(N833="",O833=""),"",IF(O833&lt;N833,"",ROUND(((NETWORKDAYS(N833,O833,JoursFeries)-1)*(HFer-HOuv)+IF(NETWORKDAYS(O833,O833,JoursFeries),MEDIAN(MOD(O833,1),HFer,HOuv),HFer)-IF(NETWORKDAYS(N833,N833,JoursFeries),MEDIAN(MOD(N833,1),HFer,HOuv),HOuv))*24,4)))/HJour,4),""))</f>
        <v/>
      </c>
      <c r="AU833" s="37" t="str">
        <f aca="false">IF(AO833&lt;&gt;1,"",IF(OR(O833="",P833=""),"",IF(P833&lt;O833,"",ROUND(((NETWORKDAYS(O833,P833,JoursFeries)-1)*(HFer-HOuv)+IF(NETWORKDAYS(P833,P833,JoursFeries),MEDIAN(MOD(P833,1),HFer,HOuv),HFer)-IF(NETWORKDAYS(O833,O833,JoursFeries),MEDIAN(MOD(O833,1),HFer,HOuv),HOuv))*24,4))))</f>
        <v/>
      </c>
      <c r="AV833" s="37" t="str">
        <f aca="false">IF(AO833&lt;&gt;1,"",IF(OR(P833="",Q833=""),"",IF(Q833&lt;P833,"",ROUND(((NETWORKDAYS(P833,Q833,JoursFeries)-1)*(HFer-HOuv)+IF(NETWORKDAYS(Q833,Q833,JoursFeries),MEDIAN(MOD(Q833,1),HFer,HOuv),HFer)-IF(NETWORKDAYS(P833,P833,JoursFeries),MEDIAN(MOD(P833,1),HFer,HOuv),HOuv))*24,4))))</f>
        <v/>
      </c>
      <c r="AW833" s="37" t="str">
        <f aca="false">IF(AO833&lt;&gt;1,"",IFERROR(ROUND(IF(OR(P833="",R833=""),"",IF(R833&lt;P833,"",ROUND(((NETWORKDAYS(P833,R833,JoursFeries)-1)*(HFer-HOuv)+IF(NETWORKDAYS(R833,R833,JoursFeries),MEDIAN(MOD(R833,1),HFer,HOuv),HFer)-IF(NETWORKDAYS(P833,P833,JoursFeries),MEDIAN(MOD(P833,1),HFer,HOuv),HOuv))*24,4)))/HJour,4),""))</f>
        <v/>
      </c>
      <c r="AX833" s="37" t="str">
        <f aca="false">IF(AO833&lt;&gt;1,"",IFERROR(ROUND(IF(OR(P833="",S833=""),"",IF(S833&lt;P833,"",ROUND(((NETWORKDAYS(P833,S833,JoursFeries)-1)*(HFer-HOuv)+IF(NETWORKDAYS(S833,S833,JoursFeries),MEDIAN(MOD(S833,1),HFer,HOuv),HFer)-IF(NETWORKDAYS(P833,P833,JoursFeries),MEDIAN(MOD(P833,1),HFer,HOuv),HOuv))*24,4)))/HJour,4),""))</f>
        <v/>
      </c>
      <c r="AY833" s="36" t="str">
        <f aca="false">IF(OR(AO833&lt;&gt;1,AR833=""),"",INDEX(SLA_PEC,AR833))</f>
        <v/>
      </c>
      <c r="AZ833" s="35" t="str">
        <f aca="false">IF(OR(AV833="",AY833=""),"",IF(AV833&lt;=AY833,1,0))</f>
        <v/>
      </c>
      <c r="BA833" s="36" t="str">
        <f aca="false">IF(OR(AO833&lt;&gt;1,AR833=""),"",INDEX(SLA_RES,AR833))</f>
        <v/>
      </c>
      <c r="BB833" s="35" t="str">
        <f aca="false">IF(OR(AW833="",BA833=""),"",IF(AW833&lt;=BA833,1,0))</f>
        <v/>
      </c>
      <c r="BC833" s="38" t="str">
        <f aca="false">IF(OR(BA833="",P833=""),"",WORKDAY(INT(P833),BA833,JoursFeries)+MOD(P833,1))</f>
        <v/>
      </c>
      <c r="BD833" s="39" t="str">
        <f aca="false">IF(AO833&lt;&gt;1,"",IF(OR(AB833&lt;&gt;"",AD833&lt;&gt;""),4,IF(U833&lt;&gt;"",3,IF(T833&lt;&gt;"",2,1))))</f>
        <v/>
      </c>
      <c r="BE833" s="39" t="str">
        <f aca="false">IF(OR(AO833&lt;&gt;1,AR833=""),"",INDEX(NIV_REQ,AR833))</f>
        <v/>
      </c>
      <c r="BF833" s="39" t="str">
        <f aca="false">IF(BE833="","",MAX(BE833,IF(OR(K833="Oui",Z833="Oui"),4,1)))</f>
        <v/>
      </c>
      <c r="BG833" s="35" t="str">
        <f aca="false">IF(OR(BF833="",BD833=""),"",IF(BD833&gt;=BF833,1,0))</f>
        <v/>
      </c>
      <c r="BH833" s="38" t="str">
        <f aca="false">IF(BE833="","",IF(BE833&lt;2,"",IF(BE833=2,IF(AND(T833="",U833=""),"",MIN(T833,U833)),IF(U833="","",U833))))</f>
        <v/>
      </c>
      <c r="BI833" s="37" t="str">
        <f aca="false">IF(BH833="","",IF(OR(O833="",BH833=""),"",IF(BH833&lt;O833,"",ROUND(((NETWORKDAYS(O833,BH833,JoursFeries)-1)*(HFer-HOuv)+IF(NETWORKDAYS(BH833,BH833,JoursFeries),MEDIAN(MOD(BH833,1),HFer,HOuv),HFer)-IF(NETWORKDAYS(O833,O833,JoursFeries),MEDIAN(MOD(O833,1),HFer,HOuv),HOuv))*24,4))))</f>
        <v/>
      </c>
      <c r="BJ833" s="35" t="str">
        <f aca="false">IF(OR(BI833="",AR833=""),"",IF(BI833&lt;=INDEX(DELAI_ESC,AR833),1,0))</f>
        <v/>
      </c>
      <c r="BK833" s="38" t="str">
        <f aca="false">IF(AO833&lt;&gt;1,"",IF(AND(T833="",U833=""),"",MIN(T833,U833)))</f>
        <v/>
      </c>
      <c r="BL833" s="37" t="str">
        <f aca="false">IF(OR(BK833="",R833=""),"",IFERROR(ROUND(IF(OR(BK833="",R833=""),"",IF(R833&lt;BK833,"",ROUND(((NETWORKDAYS(BK833,R833,JoursFeries)-1)*(HFer-HOuv)+IF(NETWORKDAYS(R833,R833,JoursFeries),MEDIAN(MOD(R833,1),HFer,HOuv),HFer)-IF(NETWORKDAYS(BK833,BK833,JoursFeries),MEDIAN(MOD(BK833,1),HFer,HOuv),HOuv))*24,4)))/HJour,4),""))</f>
        <v/>
      </c>
      <c r="BM833" s="35" t="str">
        <f aca="false">IF(OR(AO833&lt;&gt;1,R833=""),"",IF(BD833=1,1,0))</f>
        <v/>
      </c>
      <c r="BN833" s="35" t="str">
        <f aca="false">IF(AO833&lt;&gt;1,"",IF(W833="Oui",1,0))</f>
        <v/>
      </c>
      <c r="BO833" s="35" t="str">
        <f aca="false">IF(AO833&lt;&gt;1,"",IF(X833&lt;&gt;"",1,0))</f>
        <v/>
      </c>
      <c r="BP833" s="35" t="str">
        <f aca="false">IF(AO833&lt;&gt;1,"",IF(Y833="Oui",1,0))</f>
        <v/>
      </c>
      <c r="BQ833" s="35" t="str">
        <f aca="true">IF(OR(AO833&lt;&gt;1,Z833&lt;&gt;"Oui"),"",IF(AB833="",IF(AND(AA833&lt;&gt;"",NOW()&gt;AA833),0,""),IF(AA833="","",IF(AB833&lt;=AA833,1,0))))</f>
        <v/>
      </c>
      <c r="BR833" s="38" t="str">
        <f aca="false">IF(OR(AO833&lt;&gt;1,K833&lt;&gt;"Oui",O833=""),"",IF(AC833="",O833+DORA_H_DET/24,IF(AC833-O833&lt;=DORA_H_DET/24,MIN(AC833+DORA_H_CLA/24,O833+DORA_H_DET/24),AC833+DORA_H_CLA/24)))</f>
        <v/>
      </c>
      <c r="BS833" s="35" t="str">
        <f aca="true">IF(BR833="","",IF(AD833="",IF(NOW()&gt;BR833,0,""),IF(AD833&lt;=BR833,1,0)))</f>
        <v/>
      </c>
      <c r="BT833" s="35" t="str">
        <f aca="true">IF(OR(BR833="",AD833=""),"",IF(AE833="",IF(NOW()&gt;AD833+DORA_H_INT/24,0,""),IF(AE833&lt;=AD833+DORA_H_INT/24,1,0)))</f>
        <v/>
      </c>
      <c r="BU833" s="35" t="str">
        <f aca="true">IF(OR(BR833="",AE833=""),"",IF(AF833="",IF(NOW()&gt;EDATE(AE833,DORA_M_FIN)+1,0,""),IF(AF833&lt;=EDATE(AE833,DORA_M_FIN),1,0)))</f>
        <v/>
      </c>
      <c r="BV833" s="35" t="str">
        <f aca="false">IF(BR833="","",IF(COUNT(BS833:BU833)=0,"",MIN(BS833:BU833)))</f>
        <v/>
      </c>
      <c r="BW833" s="40" t="str">
        <f aca="false">IF(AQ833&lt;&gt;1,"",IF(AND(AG833="",AH833=""),"",N(AG833)-N(AH833)))</f>
        <v/>
      </c>
      <c r="BX833" s="35" t="str">
        <f aca="true">IF(OR(AQ833&lt;&gt;1,AI833&lt;&gt;"Oui",AJ833=""),"",IF(AK833="",IF(NOW()&gt;AJ833+1,0,""),IF(AK833&lt;=AJ833,1,0)))</f>
        <v/>
      </c>
    </row>
    <row r="834" customFormat="false" ht="15" hidden="false" customHeight="false" outlineLevel="0" collapsed="false">
      <c r="B834" s="29"/>
      <c r="C834" s="29"/>
      <c r="D834" s="29"/>
      <c r="E834" s="29"/>
      <c r="F834" s="29"/>
      <c r="G834" s="29"/>
      <c r="H834" s="29"/>
      <c r="I834" s="29"/>
      <c r="J834" s="29"/>
      <c r="K834" s="29"/>
      <c r="L834" s="29"/>
      <c r="M834" s="29"/>
      <c r="N834" s="30"/>
      <c r="O834" s="30"/>
      <c r="P834" s="30"/>
      <c r="Q834" s="30"/>
      <c r="R834" s="30"/>
      <c r="S834" s="30"/>
      <c r="T834" s="30"/>
      <c r="U834" s="30"/>
      <c r="V834" s="31"/>
      <c r="W834" s="29"/>
      <c r="X834" s="29"/>
      <c r="Y834" s="29"/>
      <c r="Z834" s="29"/>
      <c r="AA834" s="30"/>
      <c r="AB834" s="30"/>
      <c r="AC834" s="30"/>
      <c r="AD834" s="30"/>
      <c r="AE834" s="30"/>
      <c r="AF834" s="32"/>
      <c r="AG834" s="33"/>
      <c r="AH834" s="33"/>
      <c r="AI834" s="29"/>
      <c r="AJ834" s="32"/>
      <c r="AK834" s="32"/>
      <c r="AL834" s="29"/>
      <c r="AN834" s="34" t="str">
        <f aca="false">IF($B834="","",IF(OR(C834="",D834="",E834="",G834="",I834="",J834="",L834="",O834="",P834=""),"Champ obligatoire manquant",IF(OR(AND(N834&lt;&gt;"",N834&gt;O834),O834&gt;P834,AND(Q834&lt;&gt;"",Q834&lt;P834),AND(R834&lt;&gt;"",R834&lt;P834),AND(S834&lt;&gt;"",S834&lt;R834),AND(S834&lt;&gt;"",R834=""),AND(T834&lt;&gt;"",T834&lt;O834),AND(U834&lt;&gt;"",U834&lt;O834)),"Chronologie incohérente",IF(AND(OR(L834="Résolu",L834="Clos"),R834=""),"Date de résolution manquante",IF(AND(L834="Clos",S834=""),"Date de clôture manquante",IF(AND(K834="Oui",AC834=""),"Classification DORA manquante","OK"))))))</f>
        <v/>
      </c>
      <c r="AO834" s="35" t="str">
        <f aca="false">IF($B834="","",IF(AND(C834="Incident",L834&lt;&gt;"Annulé"),1,0))</f>
        <v/>
      </c>
      <c r="AP834" s="35" t="str">
        <f aca="false">IF($B834="","",IF(AND(C834="Quasi-incident",L834&lt;&gt;"Annulé"),1,0))</f>
        <v/>
      </c>
      <c r="AQ834" s="35" t="str">
        <f aca="false">IF($B834="","",AO834+AP834)</f>
        <v/>
      </c>
      <c r="AR834" s="36" t="str">
        <f aca="false">IF(OR($B834="",J834=""),"",IFERROR(VALUE(LEFT(J834,1)),""))</f>
        <v/>
      </c>
      <c r="AS834" s="35" t="str">
        <f aca="false">IF(OR(AO834&lt;&gt;1,G834=""),"",IFERROR(IF(INDEX(L_SrcInterne,MATCH(G834,L_Sources,0))="Oui",1,0),""))</f>
        <v/>
      </c>
      <c r="AT834" s="37" t="str">
        <f aca="false">IF(AO834&lt;&gt;1,"",IFERROR(ROUND(IF(OR(N834="",O834=""),"",IF(O834&lt;N834,"",ROUND(((NETWORKDAYS(N834,O834,JoursFeries)-1)*(HFer-HOuv)+IF(NETWORKDAYS(O834,O834,JoursFeries),MEDIAN(MOD(O834,1),HFer,HOuv),HFer)-IF(NETWORKDAYS(N834,N834,JoursFeries),MEDIAN(MOD(N834,1),HFer,HOuv),HOuv))*24,4)))/HJour,4),""))</f>
        <v/>
      </c>
      <c r="AU834" s="37" t="str">
        <f aca="false">IF(AO834&lt;&gt;1,"",IF(OR(O834="",P834=""),"",IF(P834&lt;O834,"",ROUND(((NETWORKDAYS(O834,P834,JoursFeries)-1)*(HFer-HOuv)+IF(NETWORKDAYS(P834,P834,JoursFeries),MEDIAN(MOD(P834,1),HFer,HOuv),HFer)-IF(NETWORKDAYS(O834,O834,JoursFeries),MEDIAN(MOD(O834,1),HFer,HOuv),HOuv))*24,4))))</f>
        <v/>
      </c>
      <c r="AV834" s="37" t="str">
        <f aca="false">IF(AO834&lt;&gt;1,"",IF(OR(P834="",Q834=""),"",IF(Q834&lt;P834,"",ROUND(((NETWORKDAYS(P834,Q834,JoursFeries)-1)*(HFer-HOuv)+IF(NETWORKDAYS(Q834,Q834,JoursFeries),MEDIAN(MOD(Q834,1),HFer,HOuv),HFer)-IF(NETWORKDAYS(P834,P834,JoursFeries),MEDIAN(MOD(P834,1),HFer,HOuv),HOuv))*24,4))))</f>
        <v/>
      </c>
      <c r="AW834" s="37" t="str">
        <f aca="false">IF(AO834&lt;&gt;1,"",IFERROR(ROUND(IF(OR(P834="",R834=""),"",IF(R834&lt;P834,"",ROUND(((NETWORKDAYS(P834,R834,JoursFeries)-1)*(HFer-HOuv)+IF(NETWORKDAYS(R834,R834,JoursFeries),MEDIAN(MOD(R834,1),HFer,HOuv),HFer)-IF(NETWORKDAYS(P834,P834,JoursFeries),MEDIAN(MOD(P834,1),HFer,HOuv),HOuv))*24,4)))/HJour,4),""))</f>
        <v/>
      </c>
      <c r="AX834" s="37" t="str">
        <f aca="false">IF(AO834&lt;&gt;1,"",IFERROR(ROUND(IF(OR(P834="",S834=""),"",IF(S834&lt;P834,"",ROUND(((NETWORKDAYS(P834,S834,JoursFeries)-1)*(HFer-HOuv)+IF(NETWORKDAYS(S834,S834,JoursFeries),MEDIAN(MOD(S834,1),HFer,HOuv),HFer)-IF(NETWORKDAYS(P834,P834,JoursFeries),MEDIAN(MOD(P834,1),HFer,HOuv),HOuv))*24,4)))/HJour,4),""))</f>
        <v/>
      </c>
      <c r="AY834" s="36" t="str">
        <f aca="false">IF(OR(AO834&lt;&gt;1,AR834=""),"",INDEX(SLA_PEC,AR834))</f>
        <v/>
      </c>
      <c r="AZ834" s="35" t="str">
        <f aca="false">IF(OR(AV834="",AY834=""),"",IF(AV834&lt;=AY834,1,0))</f>
        <v/>
      </c>
      <c r="BA834" s="36" t="str">
        <f aca="false">IF(OR(AO834&lt;&gt;1,AR834=""),"",INDEX(SLA_RES,AR834))</f>
        <v/>
      </c>
      <c r="BB834" s="35" t="str">
        <f aca="false">IF(OR(AW834="",BA834=""),"",IF(AW834&lt;=BA834,1,0))</f>
        <v/>
      </c>
      <c r="BC834" s="38" t="str">
        <f aca="false">IF(OR(BA834="",P834=""),"",WORKDAY(INT(P834),BA834,JoursFeries)+MOD(P834,1))</f>
        <v/>
      </c>
      <c r="BD834" s="39" t="str">
        <f aca="false">IF(AO834&lt;&gt;1,"",IF(OR(AB834&lt;&gt;"",AD834&lt;&gt;""),4,IF(U834&lt;&gt;"",3,IF(T834&lt;&gt;"",2,1))))</f>
        <v/>
      </c>
      <c r="BE834" s="39" t="str">
        <f aca="false">IF(OR(AO834&lt;&gt;1,AR834=""),"",INDEX(NIV_REQ,AR834))</f>
        <v/>
      </c>
      <c r="BF834" s="39" t="str">
        <f aca="false">IF(BE834="","",MAX(BE834,IF(OR(K834="Oui",Z834="Oui"),4,1)))</f>
        <v/>
      </c>
      <c r="BG834" s="35" t="str">
        <f aca="false">IF(OR(BF834="",BD834=""),"",IF(BD834&gt;=BF834,1,0))</f>
        <v/>
      </c>
      <c r="BH834" s="38" t="str">
        <f aca="false">IF(BE834="","",IF(BE834&lt;2,"",IF(BE834=2,IF(AND(T834="",U834=""),"",MIN(T834,U834)),IF(U834="","",U834))))</f>
        <v/>
      </c>
      <c r="BI834" s="37" t="str">
        <f aca="false">IF(BH834="","",IF(OR(O834="",BH834=""),"",IF(BH834&lt;O834,"",ROUND(((NETWORKDAYS(O834,BH834,JoursFeries)-1)*(HFer-HOuv)+IF(NETWORKDAYS(BH834,BH834,JoursFeries),MEDIAN(MOD(BH834,1),HFer,HOuv),HFer)-IF(NETWORKDAYS(O834,O834,JoursFeries),MEDIAN(MOD(O834,1),HFer,HOuv),HOuv))*24,4))))</f>
        <v/>
      </c>
      <c r="BJ834" s="35" t="str">
        <f aca="false">IF(OR(BI834="",AR834=""),"",IF(BI834&lt;=INDEX(DELAI_ESC,AR834),1,0))</f>
        <v/>
      </c>
      <c r="BK834" s="38" t="str">
        <f aca="false">IF(AO834&lt;&gt;1,"",IF(AND(T834="",U834=""),"",MIN(T834,U834)))</f>
        <v/>
      </c>
      <c r="BL834" s="37" t="str">
        <f aca="false">IF(OR(BK834="",R834=""),"",IFERROR(ROUND(IF(OR(BK834="",R834=""),"",IF(R834&lt;BK834,"",ROUND(((NETWORKDAYS(BK834,R834,JoursFeries)-1)*(HFer-HOuv)+IF(NETWORKDAYS(R834,R834,JoursFeries),MEDIAN(MOD(R834,1),HFer,HOuv),HFer)-IF(NETWORKDAYS(BK834,BK834,JoursFeries),MEDIAN(MOD(BK834,1),HFer,HOuv),HOuv))*24,4)))/HJour,4),""))</f>
        <v/>
      </c>
      <c r="BM834" s="35" t="str">
        <f aca="false">IF(OR(AO834&lt;&gt;1,R834=""),"",IF(BD834=1,1,0))</f>
        <v/>
      </c>
      <c r="BN834" s="35" t="str">
        <f aca="false">IF(AO834&lt;&gt;1,"",IF(W834="Oui",1,0))</f>
        <v/>
      </c>
      <c r="BO834" s="35" t="str">
        <f aca="false">IF(AO834&lt;&gt;1,"",IF(X834&lt;&gt;"",1,0))</f>
        <v/>
      </c>
      <c r="BP834" s="35" t="str">
        <f aca="false">IF(AO834&lt;&gt;1,"",IF(Y834="Oui",1,0))</f>
        <v/>
      </c>
      <c r="BQ834" s="35" t="str">
        <f aca="true">IF(OR(AO834&lt;&gt;1,Z834&lt;&gt;"Oui"),"",IF(AB834="",IF(AND(AA834&lt;&gt;"",NOW()&gt;AA834),0,""),IF(AA834="","",IF(AB834&lt;=AA834,1,0))))</f>
        <v/>
      </c>
      <c r="BR834" s="38" t="str">
        <f aca="false">IF(OR(AO834&lt;&gt;1,K834&lt;&gt;"Oui",O834=""),"",IF(AC834="",O834+DORA_H_DET/24,IF(AC834-O834&lt;=DORA_H_DET/24,MIN(AC834+DORA_H_CLA/24,O834+DORA_H_DET/24),AC834+DORA_H_CLA/24)))</f>
        <v/>
      </c>
      <c r="BS834" s="35" t="str">
        <f aca="true">IF(BR834="","",IF(AD834="",IF(NOW()&gt;BR834,0,""),IF(AD834&lt;=BR834,1,0)))</f>
        <v/>
      </c>
      <c r="BT834" s="35" t="str">
        <f aca="true">IF(OR(BR834="",AD834=""),"",IF(AE834="",IF(NOW()&gt;AD834+DORA_H_INT/24,0,""),IF(AE834&lt;=AD834+DORA_H_INT/24,1,0)))</f>
        <v/>
      </c>
      <c r="BU834" s="35" t="str">
        <f aca="true">IF(OR(BR834="",AE834=""),"",IF(AF834="",IF(NOW()&gt;EDATE(AE834,DORA_M_FIN)+1,0,""),IF(AF834&lt;=EDATE(AE834,DORA_M_FIN),1,0)))</f>
        <v/>
      </c>
      <c r="BV834" s="35" t="str">
        <f aca="false">IF(BR834="","",IF(COUNT(BS834:BU834)=0,"",MIN(BS834:BU834)))</f>
        <v/>
      </c>
      <c r="BW834" s="40" t="str">
        <f aca="false">IF(AQ834&lt;&gt;1,"",IF(AND(AG834="",AH834=""),"",N(AG834)-N(AH834)))</f>
        <v/>
      </c>
      <c r="BX834" s="35" t="str">
        <f aca="true">IF(OR(AQ834&lt;&gt;1,AI834&lt;&gt;"Oui",AJ834=""),"",IF(AK834="",IF(NOW()&gt;AJ834+1,0,""),IF(AK834&lt;=AJ834,1,0)))</f>
        <v/>
      </c>
    </row>
    <row r="835" customFormat="false" ht="15" hidden="false" customHeight="false" outlineLevel="0" collapsed="false">
      <c r="B835" s="29"/>
      <c r="C835" s="29"/>
      <c r="D835" s="29"/>
      <c r="E835" s="29"/>
      <c r="F835" s="29"/>
      <c r="G835" s="29"/>
      <c r="H835" s="29"/>
      <c r="I835" s="29"/>
      <c r="J835" s="29"/>
      <c r="K835" s="29"/>
      <c r="L835" s="29"/>
      <c r="M835" s="29"/>
      <c r="N835" s="30"/>
      <c r="O835" s="30"/>
      <c r="P835" s="30"/>
      <c r="Q835" s="30"/>
      <c r="R835" s="30"/>
      <c r="S835" s="30"/>
      <c r="T835" s="30"/>
      <c r="U835" s="30"/>
      <c r="V835" s="31"/>
      <c r="W835" s="29"/>
      <c r="X835" s="29"/>
      <c r="Y835" s="29"/>
      <c r="Z835" s="29"/>
      <c r="AA835" s="30"/>
      <c r="AB835" s="30"/>
      <c r="AC835" s="30"/>
      <c r="AD835" s="30"/>
      <c r="AE835" s="30"/>
      <c r="AF835" s="32"/>
      <c r="AG835" s="33"/>
      <c r="AH835" s="33"/>
      <c r="AI835" s="29"/>
      <c r="AJ835" s="32"/>
      <c r="AK835" s="32"/>
      <c r="AL835" s="29"/>
      <c r="AN835" s="34" t="str">
        <f aca="false">IF($B835="","",IF(OR(C835="",D835="",E835="",G835="",I835="",J835="",L835="",O835="",P835=""),"Champ obligatoire manquant",IF(OR(AND(N835&lt;&gt;"",N835&gt;O835),O835&gt;P835,AND(Q835&lt;&gt;"",Q835&lt;P835),AND(R835&lt;&gt;"",R835&lt;P835),AND(S835&lt;&gt;"",S835&lt;R835),AND(S835&lt;&gt;"",R835=""),AND(T835&lt;&gt;"",T835&lt;O835),AND(U835&lt;&gt;"",U835&lt;O835)),"Chronologie incohérente",IF(AND(OR(L835="Résolu",L835="Clos"),R835=""),"Date de résolution manquante",IF(AND(L835="Clos",S835=""),"Date de clôture manquante",IF(AND(K835="Oui",AC835=""),"Classification DORA manquante","OK"))))))</f>
        <v/>
      </c>
      <c r="AO835" s="35" t="str">
        <f aca="false">IF($B835="","",IF(AND(C835="Incident",L835&lt;&gt;"Annulé"),1,0))</f>
        <v/>
      </c>
      <c r="AP835" s="35" t="str">
        <f aca="false">IF($B835="","",IF(AND(C835="Quasi-incident",L835&lt;&gt;"Annulé"),1,0))</f>
        <v/>
      </c>
      <c r="AQ835" s="35" t="str">
        <f aca="false">IF($B835="","",AO835+AP835)</f>
        <v/>
      </c>
      <c r="AR835" s="36" t="str">
        <f aca="false">IF(OR($B835="",J835=""),"",IFERROR(VALUE(LEFT(J835,1)),""))</f>
        <v/>
      </c>
      <c r="AS835" s="35" t="str">
        <f aca="false">IF(OR(AO835&lt;&gt;1,G835=""),"",IFERROR(IF(INDEX(L_SrcInterne,MATCH(G835,L_Sources,0))="Oui",1,0),""))</f>
        <v/>
      </c>
      <c r="AT835" s="37" t="str">
        <f aca="false">IF(AO835&lt;&gt;1,"",IFERROR(ROUND(IF(OR(N835="",O835=""),"",IF(O835&lt;N835,"",ROUND(((NETWORKDAYS(N835,O835,JoursFeries)-1)*(HFer-HOuv)+IF(NETWORKDAYS(O835,O835,JoursFeries),MEDIAN(MOD(O835,1),HFer,HOuv),HFer)-IF(NETWORKDAYS(N835,N835,JoursFeries),MEDIAN(MOD(N835,1),HFer,HOuv),HOuv))*24,4)))/HJour,4),""))</f>
        <v/>
      </c>
      <c r="AU835" s="37" t="str">
        <f aca="false">IF(AO835&lt;&gt;1,"",IF(OR(O835="",P835=""),"",IF(P835&lt;O835,"",ROUND(((NETWORKDAYS(O835,P835,JoursFeries)-1)*(HFer-HOuv)+IF(NETWORKDAYS(P835,P835,JoursFeries),MEDIAN(MOD(P835,1),HFer,HOuv),HFer)-IF(NETWORKDAYS(O835,O835,JoursFeries),MEDIAN(MOD(O835,1),HFer,HOuv),HOuv))*24,4))))</f>
        <v/>
      </c>
      <c r="AV835" s="37" t="str">
        <f aca="false">IF(AO835&lt;&gt;1,"",IF(OR(P835="",Q835=""),"",IF(Q835&lt;P835,"",ROUND(((NETWORKDAYS(P835,Q835,JoursFeries)-1)*(HFer-HOuv)+IF(NETWORKDAYS(Q835,Q835,JoursFeries),MEDIAN(MOD(Q835,1),HFer,HOuv),HFer)-IF(NETWORKDAYS(P835,P835,JoursFeries),MEDIAN(MOD(P835,1),HFer,HOuv),HOuv))*24,4))))</f>
        <v/>
      </c>
      <c r="AW835" s="37" t="str">
        <f aca="false">IF(AO835&lt;&gt;1,"",IFERROR(ROUND(IF(OR(P835="",R835=""),"",IF(R835&lt;P835,"",ROUND(((NETWORKDAYS(P835,R835,JoursFeries)-1)*(HFer-HOuv)+IF(NETWORKDAYS(R835,R835,JoursFeries),MEDIAN(MOD(R835,1),HFer,HOuv),HFer)-IF(NETWORKDAYS(P835,P835,JoursFeries),MEDIAN(MOD(P835,1),HFer,HOuv),HOuv))*24,4)))/HJour,4),""))</f>
        <v/>
      </c>
      <c r="AX835" s="37" t="str">
        <f aca="false">IF(AO835&lt;&gt;1,"",IFERROR(ROUND(IF(OR(P835="",S835=""),"",IF(S835&lt;P835,"",ROUND(((NETWORKDAYS(P835,S835,JoursFeries)-1)*(HFer-HOuv)+IF(NETWORKDAYS(S835,S835,JoursFeries),MEDIAN(MOD(S835,1),HFer,HOuv),HFer)-IF(NETWORKDAYS(P835,P835,JoursFeries),MEDIAN(MOD(P835,1),HFer,HOuv),HOuv))*24,4)))/HJour,4),""))</f>
        <v/>
      </c>
      <c r="AY835" s="36" t="str">
        <f aca="false">IF(OR(AO835&lt;&gt;1,AR835=""),"",INDEX(SLA_PEC,AR835))</f>
        <v/>
      </c>
      <c r="AZ835" s="35" t="str">
        <f aca="false">IF(OR(AV835="",AY835=""),"",IF(AV835&lt;=AY835,1,0))</f>
        <v/>
      </c>
      <c r="BA835" s="36" t="str">
        <f aca="false">IF(OR(AO835&lt;&gt;1,AR835=""),"",INDEX(SLA_RES,AR835))</f>
        <v/>
      </c>
      <c r="BB835" s="35" t="str">
        <f aca="false">IF(OR(AW835="",BA835=""),"",IF(AW835&lt;=BA835,1,0))</f>
        <v/>
      </c>
      <c r="BC835" s="38" t="str">
        <f aca="false">IF(OR(BA835="",P835=""),"",WORKDAY(INT(P835),BA835,JoursFeries)+MOD(P835,1))</f>
        <v/>
      </c>
      <c r="BD835" s="39" t="str">
        <f aca="false">IF(AO835&lt;&gt;1,"",IF(OR(AB835&lt;&gt;"",AD835&lt;&gt;""),4,IF(U835&lt;&gt;"",3,IF(T835&lt;&gt;"",2,1))))</f>
        <v/>
      </c>
      <c r="BE835" s="39" t="str">
        <f aca="false">IF(OR(AO835&lt;&gt;1,AR835=""),"",INDEX(NIV_REQ,AR835))</f>
        <v/>
      </c>
      <c r="BF835" s="39" t="str">
        <f aca="false">IF(BE835="","",MAX(BE835,IF(OR(K835="Oui",Z835="Oui"),4,1)))</f>
        <v/>
      </c>
      <c r="BG835" s="35" t="str">
        <f aca="false">IF(OR(BF835="",BD835=""),"",IF(BD835&gt;=BF835,1,0))</f>
        <v/>
      </c>
      <c r="BH835" s="38" t="str">
        <f aca="false">IF(BE835="","",IF(BE835&lt;2,"",IF(BE835=2,IF(AND(T835="",U835=""),"",MIN(T835,U835)),IF(U835="","",U835))))</f>
        <v/>
      </c>
      <c r="BI835" s="37" t="str">
        <f aca="false">IF(BH835="","",IF(OR(O835="",BH835=""),"",IF(BH835&lt;O835,"",ROUND(((NETWORKDAYS(O835,BH835,JoursFeries)-1)*(HFer-HOuv)+IF(NETWORKDAYS(BH835,BH835,JoursFeries),MEDIAN(MOD(BH835,1),HFer,HOuv),HFer)-IF(NETWORKDAYS(O835,O835,JoursFeries),MEDIAN(MOD(O835,1),HFer,HOuv),HOuv))*24,4))))</f>
        <v/>
      </c>
      <c r="BJ835" s="35" t="str">
        <f aca="false">IF(OR(BI835="",AR835=""),"",IF(BI835&lt;=INDEX(DELAI_ESC,AR835),1,0))</f>
        <v/>
      </c>
      <c r="BK835" s="38" t="str">
        <f aca="false">IF(AO835&lt;&gt;1,"",IF(AND(T835="",U835=""),"",MIN(T835,U835)))</f>
        <v/>
      </c>
      <c r="BL835" s="37" t="str">
        <f aca="false">IF(OR(BK835="",R835=""),"",IFERROR(ROUND(IF(OR(BK835="",R835=""),"",IF(R835&lt;BK835,"",ROUND(((NETWORKDAYS(BK835,R835,JoursFeries)-1)*(HFer-HOuv)+IF(NETWORKDAYS(R835,R835,JoursFeries),MEDIAN(MOD(R835,1),HFer,HOuv),HFer)-IF(NETWORKDAYS(BK835,BK835,JoursFeries),MEDIAN(MOD(BK835,1),HFer,HOuv),HOuv))*24,4)))/HJour,4),""))</f>
        <v/>
      </c>
      <c r="BM835" s="35" t="str">
        <f aca="false">IF(OR(AO835&lt;&gt;1,R835=""),"",IF(BD835=1,1,0))</f>
        <v/>
      </c>
      <c r="BN835" s="35" t="str">
        <f aca="false">IF(AO835&lt;&gt;1,"",IF(W835="Oui",1,0))</f>
        <v/>
      </c>
      <c r="BO835" s="35" t="str">
        <f aca="false">IF(AO835&lt;&gt;1,"",IF(X835&lt;&gt;"",1,0))</f>
        <v/>
      </c>
      <c r="BP835" s="35" t="str">
        <f aca="false">IF(AO835&lt;&gt;1,"",IF(Y835="Oui",1,0))</f>
        <v/>
      </c>
      <c r="BQ835" s="35" t="str">
        <f aca="true">IF(OR(AO835&lt;&gt;1,Z835&lt;&gt;"Oui"),"",IF(AB835="",IF(AND(AA835&lt;&gt;"",NOW()&gt;AA835),0,""),IF(AA835="","",IF(AB835&lt;=AA835,1,0))))</f>
        <v/>
      </c>
      <c r="BR835" s="38" t="str">
        <f aca="false">IF(OR(AO835&lt;&gt;1,K835&lt;&gt;"Oui",O835=""),"",IF(AC835="",O835+DORA_H_DET/24,IF(AC835-O835&lt;=DORA_H_DET/24,MIN(AC835+DORA_H_CLA/24,O835+DORA_H_DET/24),AC835+DORA_H_CLA/24)))</f>
        <v/>
      </c>
      <c r="BS835" s="35" t="str">
        <f aca="true">IF(BR835="","",IF(AD835="",IF(NOW()&gt;BR835,0,""),IF(AD835&lt;=BR835,1,0)))</f>
        <v/>
      </c>
      <c r="BT835" s="35" t="str">
        <f aca="true">IF(OR(BR835="",AD835=""),"",IF(AE835="",IF(NOW()&gt;AD835+DORA_H_INT/24,0,""),IF(AE835&lt;=AD835+DORA_H_INT/24,1,0)))</f>
        <v/>
      </c>
      <c r="BU835" s="35" t="str">
        <f aca="true">IF(OR(BR835="",AE835=""),"",IF(AF835="",IF(NOW()&gt;EDATE(AE835,DORA_M_FIN)+1,0,""),IF(AF835&lt;=EDATE(AE835,DORA_M_FIN),1,0)))</f>
        <v/>
      </c>
      <c r="BV835" s="35" t="str">
        <f aca="false">IF(BR835="","",IF(COUNT(BS835:BU835)=0,"",MIN(BS835:BU835)))</f>
        <v/>
      </c>
      <c r="BW835" s="40" t="str">
        <f aca="false">IF(AQ835&lt;&gt;1,"",IF(AND(AG835="",AH835=""),"",N(AG835)-N(AH835)))</f>
        <v/>
      </c>
      <c r="BX835" s="35" t="str">
        <f aca="true">IF(OR(AQ835&lt;&gt;1,AI835&lt;&gt;"Oui",AJ835=""),"",IF(AK835="",IF(NOW()&gt;AJ835+1,0,""),IF(AK835&lt;=AJ835,1,0)))</f>
        <v/>
      </c>
    </row>
    <row r="836" customFormat="false" ht="15" hidden="false" customHeight="false" outlineLevel="0" collapsed="false">
      <c r="B836" s="29"/>
      <c r="C836" s="29"/>
      <c r="D836" s="29"/>
      <c r="E836" s="29"/>
      <c r="F836" s="29"/>
      <c r="G836" s="29"/>
      <c r="H836" s="29"/>
      <c r="I836" s="29"/>
      <c r="J836" s="29"/>
      <c r="K836" s="29"/>
      <c r="L836" s="29"/>
      <c r="M836" s="29"/>
      <c r="N836" s="30"/>
      <c r="O836" s="30"/>
      <c r="P836" s="30"/>
      <c r="Q836" s="30"/>
      <c r="R836" s="30"/>
      <c r="S836" s="30"/>
      <c r="T836" s="30"/>
      <c r="U836" s="30"/>
      <c r="V836" s="31"/>
      <c r="W836" s="29"/>
      <c r="X836" s="29"/>
      <c r="Y836" s="29"/>
      <c r="Z836" s="29"/>
      <c r="AA836" s="30"/>
      <c r="AB836" s="30"/>
      <c r="AC836" s="30"/>
      <c r="AD836" s="30"/>
      <c r="AE836" s="30"/>
      <c r="AF836" s="32"/>
      <c r="AG836" s="33"/>
      <c r="AH836" s="33"/>
      <c r="AI836" s="29"/>
      <c r="AJ836" s="32"/>
      <c r="AK836" s="32"/>
      <c r="AL836" s="29"/>
      <c r="AN836" s="34" t="str">
        <f aca="false">IF($B836="","",IF(OR(C836="",D836="",E836="",G836="",I836="",J836="",L836="",O836="",P836=""),"Champ obligatoire manquant",IF(OR(AND(N836&lt;&gt;"",N836&gt;O836),O836&gt;P836,AND(Q836&lt;&gt;"",Q836&lt;P836),AND(R836&lt;&gt;"",R836&lt;P836),AND(S836&lt;&gt;"",S836&lt;R836),AND(S836&lt;&gt;"",R836=""),AND(T836&lt;&gt;"",T836&lt;O836),AND(U836&lt;&gt;"",U836&lt;O836)),"Chronologie incohérente",IF(AND(OR(L836="Résolu",L836="Clos"),R836=""),"Date de résolution manquante",IF(AND(L836="Clos",S836=""),"Date de clôture manquante",IF(AND(K836="Oui",AC836=""),"Classification DORA manquante","OK"))))))</f>
        <v/>
      </c>
      <c r="AO836" s="35" t="str">
        <f aca="false">IF($B836="","",IF(AND(C836="Incident",L836&lt;&gt;"Annulé"),1,0))</f>
        <v/>
      </c>
      <c r="AP836" s="35" t="str">
        <f aca="false">IF($B836="","",IF(AND(C836="Quasi-incident",L836&lt;&gt;"Annulé"),1,0))</f>
        <v/>
      </c>
      <c r="AQ836" s="35" t="str">
        <f aca="false">IF($B836="","",AO836+AP836)</f>
        <v/>
      </c>
      <c r="AR836" s="36" t="str">
        <f aca="false">IF(OR($B836="",J836=""),"",IFERROR(VALUE(LEFT(J836,1)),""))</f>
        <v/>
      </c>
      <c r="AS836" s="35" t="str">
        <f aca="false">IF(OR(AO836&lt;&gt;1,G836=""),"",IFERROR(IF(INDEX(L_SrcInterne,MATCH(G836,L_Sources,0))="Oui",1,0),""))</f>
        <v/>
      </c>
      <c r="AT836" s="37" t="str">
        <f aca="false">IF(AO836&lt;&gt;1,"",IFERROR(ROUND(IF(OR(N836="",O836=""),"",IF(O836&lt;N836,"",ROUND(((NETWORKDAYS(N836,O836,JoursFeries)-1)*(HFer-HOuv)+IF(NETWORKDAYS(O836,O836,JoursFeries),MEDIAN(MOD(O836,1),HFer,HOuv),HFer)-IF(NETWORKDAYS(N836,N836,JoursFeries),MEDIAN(MOD(N836,1),HFer,HOuv),HOuv))*24,4)))/HJour,4),""))</f>
        <v/>
      </c>
      <c r="AU836" s="37" t="str">
        <f aca="false">IF(AO836&lt;&gt;1,"",IF(OR(O836="",P836=""),"",IF(P836&lt;O836,"",ROUND(((NETWORKDAYS(O836,P836,JoursFeries)-1)*(HFer-HOuv)+IF(NETWORKDAYS(P836,P836,JoursFeries),MEDIAN(MOD(P836,1),HFer,HOuv),HFer)-IF(NETWORKDAYS(O836,O836,JoursFeries),MEDIAN(MOD(O836,1),HFer,HOuv),HOuv))*24,4))))</f>
        <v/>
      </c>
      <c r="AV836" s="37" t="str">
        <f aca="false">IF(AO836&lt;&gt;1,"",IF(OR(P836="",Q836=""),"",IF(Q836&lt;P836,"",ROUND(((NETWORKDAYS(P836,Q836,JoursFeries)-1)*(HFer-HOuv)+IF(NETWORKDAYS(Q836,Q836,JoursFeries),MEDIAN(MOD(Q836,1),HFer,HOuv),HFer)-IF(NETWORKDAYS(P836,P836,JoursFeries),MEDIAN(MOD(P836,1),HFer,HOuv),HOuv))*24,4))))</f>
        <v/>
      </c>
      <c r="AW836" s="37" t="str">
        <f aca="false">IF(AO836&lt;&gt;1,"",IFERROR(ROUND(IF(OR(P836="",R836=""),"",IF(R836&lt;P836,"",ROUND(((NETWORKDAYS(P836,R836,JoursFeries)-1)*(HFer-HOuv)+IF(NETWORKDAYS(R836,R836,JoursFeries),MEDIAN(MOD(R836,1),HFer,HOuv),HFer)-IF(NETWORKDAYS(P836,P836,JoursFeries),MEDIAN(MOD(P836,1),HFer,HOuv),HOuv))*24,4)))/HJour,4),""))</f>
        <v/>
      </c>
      <c r="AX836" s="37" t="str">
        <f aca="false">IF(AO836&lt;&gt;1,"",IFERROR(ROUND(IF(OR(P836="",S836=""),"",IF(S836&lt;P836,"",ROUND(((NETWORKDAYS(P836,S836,JoursFeries)-1)*(HFer-HOuv)+IF(NETWORKDAYS(S836,S836,JoursFeries),MEDIAN(MOD(S836,1),HFer,HOuv),HFer)-IF(NETWORKDAYS(P836,P836,JoursFeries),MEDIAN(MOD(P836,1),HFer,HOuv),HOuv))*24,4)))/HJour,4),""))</f>
        <v/>
      </c>
      <c r="AY836" s="36" t="str">
        <f aca="false">IF(OR(AO836&lt;&gt;1,AR836=""),"",INDEX(SLA_PEC,AR836))</f>
        <v/>
      </c>
      <c r="AZ836" s="35" t="str">
        <f aca="false">IF(OR(AV836="",AY836=""),"",IF(AV836&lt;=AY836,1,0))</f>
        <v/>
      </c>
      <c r="BA836" s="36" t="str">
        <f aca="false">IF(OR(AO836&lt;&gt;1,AR836=""),"",INDEX(SLA_RES,AR836))</f>
        <v/>
      </c>
      <c r="BB836" s="35" t="str">
        <f aca="false">IF(OR(AW836="",BA836=""),"",IF(AW836&lt;=BA836,1,0))</f>
        <v/>
      </c>
      <c r="BC836" s="38" t="str">
        <f aca="false">IF(OR(BA836="",P836=""),"",WORKDAY(INT(P836),BA836,JoursFeries)+MOD(P836,1))</f>
        <v/>
      </c>
      <c r="BD836" s="39" t="str">
        <f aca="false">IF(AO836&lt;&gt;1,"",IF(OR(AB836&lt;&gt;"",AD836&lt;&gt;""),4,IF(U836&lt;&gt;"",3,IF(T836&lt;&gt;"",2,1))))</f>
        <v/>
      </c>
      <c r="BE836" s="39" t="str">
        <f aca="false">IF(OR(AO836&lt;&gt;1,AR836=""),"",INDEX(NIV_REQ,AR836))</f>
        <v/>
      </c>
      <c r="BF836" s="39" t="str">
        <f aca="false">IF(BE836="","",MAX(BE836,IF(OR(K836="Oui",Z836="Oui"),4,1)))</f>
        <v/>
      </c>
      <c r="BG836" s="35" t="str">
        <f aca="false">IF(OR(BF836="",BD836=""),"",IF(BD836&gt;=BF836,1,0))</f>
        <v/>
      </c>
      <c r="BH836" s="38" t="str">
        <f aca="false">IF(BE836="","",IF(BE836&lt;2,"",IF(BE836=2,IF(AND(T836="",U836=""),"",MIN(T836,U836)),IF(U836="","",U836))))</f>
        <v/>
      </c>
      <c r="BI836" s="37" t="str">
        <f aca="false">IF(BH836="","",IF(OR(O836="",BH836=""),"",IF(BH836&lt;O836,"",ROUND(((NETWORKDAYS(O836,BH836,JoursFeries)-1)*(HFer-HOuv)+IF(NETWORKDAYS(BH836,BH836,JoursFeries),MEDIAN(MOD(BH836,1),HFer,HOuv),HFer)-IF(NETWORKDAYS(O836,O836,JoursFeries),MEDIAN(MOD(O836,1),HFer,HOuv),HOuv))*24,4))))</f>
        <v/>
      </c>
      <c r="BJ836" s="35" t="str">
        <f aca="false">IF(OR(BI836="",AR836=""),"",IF(BI836&lt;=INDEX(DELAI_ESC,AR836),1,0))</f>
        <v/>
      </c>
      <c r="BK836" s="38" t="str">
        <f aca="false">IF(AO836&lt;&gt;1,"",IF(AND(T836="",U836=""),"",MIN(T836,U836)))</f>
        <v/>
      </c>
      <c r="BL836" s="37" t="str">
        <f aca="false">IF(OR(BK836="",R836=""),"",IFERROR(ROUND(IF(OR(BK836="",R836=""),"",IF(R836&lt;BK836,"",ROUND(((NETWORKDAYS(BK836,R836,JoursFeries)-1)*(HFer-HOuv)+IF(NETWORKDAYS(R836,R836,JoursFeries),MEDIAN(MOD(R836,1),HFer,HOuv),HFer)-IF(NETWORKDAYS(BK836,BK836,JoursFeries),MEDIAN(MOD(BK836,1),HFer,HOuv),HOuv))*24,4)))/HJour,4),""))</f>
        <v/>
      </c>
      <c r="BM836" s="35" t="str">
        <f aca="false">IF(OR(AO836&lt;&gt;1,R836=""),"",IF(BD836=1,1,0))</f>
        <v/>
      </c>
      <c r="BN836" s="35" t="str">
        <f aca="false">IF(AO836&lt;&gt;1,"",IF(W836="Oui",1,0))</f>
        <v/>
      </c>
      <c r="BO836" s="35" t="str">
        <f aca="false">IF(AO836&lt;&gt;1,"",IF(X836&lt;&gt;"",1,0))</f>
        <v/>
      </c>
      <c r="BP836" s="35" t="str">
        <f aca="false">IF(AO836&lt;&gt;1,"",IF(Y836="Oui",1,0))</f>
        <v/>
      </c>
      <c r="BQ836" s="35" t="str">
        <f aca="true">IF(OR(AO836&lt;&gt;1,Z836&lt;&gt;"Oui"),"",IF(AB836="",IF(AND(AA836&lt;&gt;"",NOW()&gt;AA836),0,""),IF(AA836="","",IF(AB836&lt;=AA836,1,0))))</f>
        <v/>
      </c>
      <c r="BR836" s="38" t="str">
        <f aca="false">IF(OR(AO836&lt;&gt;1,K836&lt;&gt;"Oui",O836=""),"",IF(AC836="",O836+DORA_H_DET/24,IF(AC836-O836&lt;=DORA_H_DET/24,MIN(AC836+DORA_H_CLA/24,O836+DORA_H_DET/24),AC836+DORA_H_CLA/24)))</f>
        <v/>
      </c>
      <c r="BS836" s="35" t="str">
        <f aca="true">IF(BR836="","",IF(AD836="",IF(NOW()&gt;BR836,0,""),IF(AD836&lt;=BR836,1,0)))</f>
        <v/>
      </c>
      <c r="BT836" s="35" t="str">
        <f aca="true">IF(OR(BR836="",AD836=""),"",IF(AE836="",IF(NOW()&gt;AD836+DORA_H_INT/24,0,""),IF(AE836&lt;=AD836+DORA_H_INT/24,1,0)))</f>
        <v/>
      </c>
      <c r="BU836" s="35" t="str">
        <f aca="true">IF(OR(BR836="",AE836=""),"",IF(AF836="",IF(NOW()&gt;EDATE(AE836,DORA_M_FIN)+1,0,""),IF(AF836&lt;=EDATE(AE836,DORA_M_FIN),1,0)))</f>
        <v/>
      </c>
      <c r="BV836" s="35" t="str">
        <f aca="false">IF(BR836="","",IF(COUNT(BS836:BU836)=0,"",MIN(BS836:BU836)))</f>
        <v/>
      </c>
      <c r="BW836" s="40" t="str">
        <f aca="false">IF(AQ836&lt;&gt;1,"",IF(AND(AG836="",AH836=""),"",N(AG836)-N(AH836)))</f>
        <v/>
      </c>
      <c r="BX836" s="35" t="str">
        <f aca="true">IF(OR(AQ836&lt;&gt;1,AI836&lt;&gt;"Oui",AJ836=""),"",IF(AK836="",IF(NOW()&gt;AJ836+1,0,""),IF(AK836&lt;=AJ836,1,0)))</f>
        <v/>
      </c>
    </row>
    <row r="837" customFormat="false" ht="15" hidden="false" customHeight="false" outlineLevel="0" collapsed="false">
      <c r="B837" s="29"/>
      <c r="C837" s="29"/>
      <c r="D837" s="29"/>
      <c r="E837" s="29"/>
      <c r="F837" s="29"/>
      <c r="G837" s="29"/>
      <c r="H837" s="29"/>
      <c r="I837" s="29"/>
      <c r="J837" s="29"/>
      <c r="K837" s="29"/>
      <c r="L837" s="29"/>
      <c r="M837" s="29"/>
      <c r="N837" s="30"/>
      <c r="O837" s="30"/>
      <c r="P837" s="30"/>
      <c r="Q837" s="30"/>
      <c r="R837" s="30"/>
      <c r="S837" s="30"/>
      <c r="T837" s="30"/>
      <c r="U837" s="30"/>
      <c r="V837" s="31"/>
      <c r="W837" s="29"/>
      <c r="X837" s="29"/>
      <c r="Y837" s="29"/>
      <c r="Z837" s="29"/>
      <c r="AA837" s="30"/>
      <c r="AB837" s="30"/>
      <c r="AC837" s="30"/>
      <c r="AD837" s="30"/>
      <c r="AE837" s="30"/>
      <c r="AF837" s="32"/>
      <c r="AG837" s="33"/>
      <c r="AH837" s="33"/>
      <c r="AI837" s="29"/>
      <c r="AJ837" s="32"/>
      <c r="AK837" s="32"/>
      <c r="AL837" s="29"/>
      <c r="AN837" s="34" t="str">
        <f aca="false">IF($B837="","",IF(OR(C837="",D837="",E837="",G837="",I837="",J837="",L837="",O837="",P837=""),"Champ obligatoire manquant",IF(OR(AND(N837&lt;&gt;"",N837&gt;O837),O837&gt;P837,AND(Q837&lt;&gt;"",Q837&lt;P837),AND(R837&lt;&gt;"",R837&lt;P837),AND(S837&lt;&gt;"",S837&lt;R837),AND(S837&lt;&gt;"",R837=""),AND(T837&lt;&gt;"",T837&lt;O837),AND(U837&lt;&gt;"",U837&lt;O837)),"Chronologie incohérente",IF(AND(OR(L837="Résolu",L837="Clos"),R837=""),"Date de résolution manquante",IF(AND(L837="Clos",S837=""),"Date de clôture manquante",IF(AND(K837="Oui",AC837=""),"Classification DORA manquante","OK"))))))</f>
        <v/>
      </c>
      <c r="AO837" s="35" t="str">
        <f aca="false">IF($B837="","",IF(AND(C837="Incident",L837&lt;&gt;"Annulé"),1,0))</f>
        <v/>
      </c>
      <c r="AP837" s="35" t="str">
        <f aca="false">IF($B837="","",IF(AND(C837="Quasi-incident",L837&lt;&gt;"Annulé"),1,0))</f>
        <v/>
      </c>
      <c r="AQ837" s="35" t="str">
        <f aca="false">IF($B837="","",AO837+AP837)</f>
        <v/>
      </c>
      <c r="AR837" s="36" t="str">
        <f aca="false">IF(OR($B837="",J837=""),"",IFERROR(VALUE(LEFT(J837,1)),""))</f>
        <v/>
      </c>
      <c r="AS837" s="35" t="str">
        <f aca="false">IF(OR(AO837&lt;&gt;1,G837=""),"",IFERROR(IF(INDEX(L_SrcInterne,MATCH(G837,L_Sources,0))="Oui",1,0),""))</f>
        <v/>
      </c>
      <c r="AT837" s="37" t="str">
        <f aca="false">IF(AO837&lt;&gt;1,"",IFERROR(ROUND(IF(OR(N837="",O837=""),"",IF(O837&lt;N837,"",ROUND(((NETWORKDAYS(N837,O837,JoursFeries)-1)*(HFer-HOuv)+IF(NETWORKDAYS(O837,O837,JoursFeries),MEDIAN(MOD(O837,1),HFer,HOuv),HFer)-IF(NETWORKDAYS(N837,N837,JoursFeries),MEDIAN(MOD(N837,1),HFer,HOuv),HOuv))*24,4)))/HJour,4),""))</f>
        <v/>
      </c>
      <c r="AU837" s="37" t="str">
        <f aca="false">IF(AO837&lt;&gt;1,"",IF(OR(O837="",P837=""),"",IF(P837&lt;O837,"",ROUND(((NETWORKDAYS(O837,P837,JoursFeries)-1)*(HFer-HOuv)+IF(NETWORKDAYS(P837,P837,JoursFeries),MEDIAN(MOD(P837,1),HFer,HOuv),HFer)-IF(NETWORKDAYS(O837,O837,JoursFeries),MEDIAN(MOD(O837,1),HFer,HOuv),HOuv))*24,4))))</f>
        <v/>
      </c>
      <c r="AV837" s="37" t="str">
        <f aca="false">IF(AO837&lt;&gt;1,"",IF(OR(P837="",Q837=""),"",IF(Q837&lt;P837,"",ROUND(((NETWORKDAYS(P837,Q837,JoursFeries)-1)*(HFer-HOuv)+IF(NETWORKDAYS(Q837,Q837,JoursFeries),MEDIAN(MOD(Q837,1),HFer,HOuv),HFer)-IF(NETWORKDAYS(P837,P837,JoursFeries),MEDIAN(MOD(P837,1),HFer,HOuv),HOuv))*24,4))))</f>
        <v/>
      </c>
      <c r="AW837" s="37" t="str">
        <f aca="false">IF(AO837&lt;&gt;1,"",IFERROR(ROUND(IF(OR(P837="",R837=""),"",IF(R837&lt;P837,"",ROUND(((NETWORKDAYS(P837,R837,JoursFeries)-1)*(HFer-HOuv)+IF(NETWORKDAYS(R837,R837,JoursFeries),MEDIAN(MOD(R837,1),HFer,HOuv),HFer)-IF(NETWORKDAYS(P837,P837,JoursFeries),MEDIAN(MOD(P837,1),HFer,HOuv),HOuv))*24,4)))/HJour,4),""))</f>
        <v/>
      </c>
      <c r="AX837" s="37" t="str">
        <f aca="false">IF(AO837&lt;&gt;1,"",IFERROR(ROUND(IF(OR(P837="",S837=""),"",IF(S837&lt;P837,"",ROUND(((NETWORKDAYS(P837,S837,JoursFeries)-1)*(HFer-HOuv)+IF(NETWORKDAYS(S837,S837,JoursFeries),MEDIAN(MOD(S837,1),HFer,HOuv),HFer)-IF(NETWORKDAYS(P837,P837,JoursFeries),MEDIAN(MOD(P837,1),HFer,HOuv),HOuv))*24,4)))/HJour,4),""))</f>
        <v/>
      </c>
      <c r="AY837" s="36" t="str">
        <f aca="false">IF(OR(AO837&lt;&gt;1,AR837=""),"",INDEX(SLA_PEC,AR837))</f>
        <v/>
      </c>
      <c r="AZ837" s="35" t="str">
        <f aca="false">IF(OR(AV837="",AY837=""),"",IF(AV837&lt;=AY837,1,0))</f>
        <v/>
      </c>
      <c r="BA837" s="36" t="str">
        <f aca="false">IF(OR(AO837&lt;&gt;1,AR837=""),"",INDEX(SLA_RES,AR837))</f>
        <v/>
      </c>
      <c r="BB837" s="35" t="str">
        <f aca="false">IF(OR(AW837="",BA837=""),"",IF(AW837&lt;=BA837,1,0))</f>
        <v/>
      </c>
      <c r="BC837" s="38" t="str">
        <f aca="false">IF(OR(BA837="",P837=""),"",WORKDAY(INT(P837),BA837,JoursFeries)+MOD(P837,1))</f>
        <v/>
      </c>
      <c r="BD837" s="39" t="str">
        <f aca="false">IF(AO837&lt;&gt;1,"",IF(OR(AB837&lt;&gt;"",AD837&lt;&gt;""),4,IF(U837&lt;&gt;"",3,IF(T837&lt;&gt;"",2,1))))</f>
        <v/>
      </c>
      <c r="BE837" s="39" t="str">
        <f aca="false">IF(OR(AO837&lt;&gt;1,AR837=""),"",INDEX(NIV_REQ,AR837))</f>
        <v/>
      </c>
      <c r="BF837" s="39" t="str">
        <f aca="false">IF(BE837="","",MAX(BE837,IF(OR(K837="Oui",Z837="Oui"),4,1)))</f>
        <v/>
      </c>
      <c r="BG837" s="35" t="str">
        <f aca="false">IF(OR(BF837="",BD837=""),"",IF(BD837&gt;=BF837,1,0))</f>
        <v/>
      </c>
      <c r="BH837" s="38" t="str">
        <f aca="false">IF(BE837="","",IF(BE837&lt;2,"",IF(BE837=2,IF(AND(T837="",U837=""),"",MIN(T837,U837)),IF(U837="","",U837))))</f>
        <v/>
      </c>
      <c r="BI837" s="37" t="str">
        <f aca="false">IF(BH837="","",IF(OR(O837="",BH837=""),"",IF(BH837&lt;O837,"",ROUND(((NETWORKDAYS(O837,BH837,JoursFeries)-1)*(HFer-HOuv)+IF(NETWORKDAYS(BH837,BH837,JoursFeries),MEDIAN(MOD(BH837,1),HFer,HOuv),HFer)-IF(NETWORKDAYS(O837,O837,JoursFeries),MEDIAN(MOD(O837,1),HFer,HOuv),HOuv))*24,4))))</f>
        <v/>
      </c>
      <c r="BJ837" s="35" t="str">
        <f aca="false">IF(OR(BI837="",AR837=""),"",IF(BI837&lt;=INDEX(DELAI_ESC,AR837),1,0))</f>
        <v/>
      </c>
      <c r="BK837" s="38" t="str">
        <f aca="false">IF(AO837&lt;&gt;1,"",IF(AND(T837="",U837=""),"",MIN(T837,U837)))</f>
        <v/>
      </c>
      <c r="BL837" s="37" t="str">
        <f aca="false">IF(OR(BK837="",R837=""),"",IFERROR(ROUND(IF(OR(BK837="",R837=""),"",IF(R837&lt;BK837,"",ROUND(((NETWORKDAYS(BK837,R837,JoursFeries)-1)*(HFer-HOuv)+IF(NETWORKDAYS(R837,R837,JoursFeries),MEDIAN(MOD(R837,1),HFer,HOuv),HFer)-IF(NETWORKDAYS(BK837,BK837,JoursFeries),MEDIAN(MOD(BK837,1),HFer,HOuv),HOuv))*24,4)))/HJour,4),""))</f>
        <v/>
      </c>
      <c r="BM837" s="35" t="str">
        <f aca="false">IF(OR(AO837&lt;&gt;1,R837=""),"",IF(BD837=1,1,0))</f>
        <v/>
      </c>
      <c r="BN837" s="35" t="str">
        <f aca="false">IF(AO837&lt;&gt;1,"",IF(W837="Oui",1,0))</f>
        <v/>
      </c>
      <c r="BO837" s="35" t="str">
        <f aca="false">IF(AO837&lt;&gt;1,"",IF(X837&lt;&gt;"",1,0))</f>
        <v/>
      </c>
      <c r="BP837" s="35" t="str">
        <f aca="false">IF(AO837&lt;&gt;1,"",IF(Y837="Oui",1,0))</f>
        <v/>
      </c>
      <c r="BQ837" s="35" t="str">
        <f aca="true">IF(OR(AO837&lt;&gt;1,Z837&lt;&gt;"Oui"),"",IF(AB837="",IF(AND(AA837&lt;&gt;"",NOW()&gt;AA837),0,""),IF(AA837="","",IF(AB837&lt;=AA837,1,0))))</f>
        <v/>
      </c>
      <c r="BR837" s="38" t="str">
        <f aca="false">IF(OR(AO837&lt;&gt;1,K837&lt;&gt;"Oui",O837=""),"",IF(AC837="",O837+DORA_H_DET/24,IF(AC837-O837&lt;=DORA_H_DET/24,MIN(AC837+DORA_H_CLA/24,O837+DORA_H_DET/24),AC837+DORA_H_CLA/24)))</f>
        <v/>
      </c>
      <c r="BS837" s="35" t="str">
        <f aca="true">IF(BR837="","",IF(AD837="",IF(NOW()&gt;BR837,0,""),IF(AD837&lt;=BR837,1,0)))</f>
        <v/>
      </c>
      <c r="BT837" s="35" t="str">
        <f aca="true">IF(OR(BR837="",AD837=""),"",IF(AE837="",IF(NOW()&gt;AD837+DORA_H_INT/24,0,""),IF(AE837&lt;=AD837+DORA_H_INT/24,1,0)))</f>
        <v/>
      </c>
      <c r="BU837" s="35" t="str">
        <f aca="true">IF(OR(BR837="",AE837=""),"",IF(AF837="",IF(NOW()&gt;EDATE(AE837,DORA_M_FIN)+1,0,""),IF(AF837&lt;=EDATE(AE837,DORA_M_FIN),1,0)))</f>
        <v/>
      </c>
      <c r="BV837" s="35" t="str">
        <f aca="false">IF(BR837="","",IF(COUNT(BS837:BU837)=0,"",MIN(BS837:BU837)))</f>
        <v/>
      </c>
      <c r="BW837" s="40" t="str">
        <f aca="false">IF(AQ837&lt;&gt;1,"",IF(AND(AG837="",AH837=""),"",N(AG837)-N(AH837)))</f>
        <v/>
      </c>
      <c r="BX837" s="35" t="str">
        <f aca="true">IF(OR(AQ837&lt;&gt;1,AI837&lt;&gt;"Oui",AJ837=""),"",IF(AK837="",IF(NOW()&gt;AJ837+1,0,""),IF(AK837&lt;=AJ837,1,0)))</f>
        <v/>
      </c>
    </row>
    <row r="838" customFormat="false" ht="15" hidden="false" customHeight="false" outlineLevel="0" collapsed="false">
      <c r="B838" s="29"/>
      <c r="C838" s="29"/>
      <c r="D838" s="29"/>
      <c r="E838" s="29"/>
      <c r="F838" s="29"/>
      <c r="G838" s="29"/>
      <c r="H838" s="29"/>
      <c r="I838" s="29"/>
      <c r="J838" s="29"/>
      <c r="K838" s="29"/>
      <c r="L838" s="29"/>
      <c r="M838" s="29"/>
      <c r="N838" s="30"/>
      <c r="O838" s="30"/>
      <c r="P838" s="30"/>
      <c r="Q838" s="30"/>
      <c r="R838" s="30"/>
      <c r="S838" s="30"/>
      <c r="T838" s="30"/>
      <c r="U838" s="30"/>
      <c r="V838" s="31"/>
      <c r="W838" s="29"/>
      <c r="X838" s="29"/>
      <c r="Y838" s="29"/>
      <c r="Z838" s="29"/>
      <c r="AA838" s="30"/>
      <c r="AB838" s="30"/>
      <c r="AC838" s="30"/>
      <c r="AD838" s="30"/>
      <c r="AE838" s="30"/>
      <c r="AF838" s="32"/>
      <c r="AG838" s="33"/>
      <c r="AH838" s="33"/>
      <c r="AI838" s="29"/>
      <c r="AJ838" s="32"/>
      <c r="AK838" s="32"/>
      <c r="AL838" s="29"/>
      <c r="AN838" s="34" t="str">
        <f aca="false">IF($B838="","",IF(OR(C838="",D838="",E838="",G838="",I838="",J838="",L838="",O838="",P838=""),"Champ obligatoire manquant",IF(OR(AND(N838&lt;&gt;"",N838&gt;O838),O838&gt;P838,AND(Q838&lt;&gt;"",Q838&lt;P838),AND(R838&lt;&gt;"",R838&lt;P838),AND(S838&lt;&gt;"",S838&lt;R838),AND(S838&lt;&gt;"",R838=""),AND(T838&lt;&gt;"",T838&lt;O838),AND(U838&lt;&gt;"",U838&lt;O838)),"Chronologie incohérente",IF(AND(OR(L838="Résolu",L838="Clos"),R838=""),"Date de résolution manquante",IF(AND(L838="Clos",S838=""),"Date de clôture manquante",IF(AND(K838="Oui",AC838=""),"Classification DORA manquante","OK"))))))</f>
        <v/>
      </c>
      <c r="AO838" s="35" t="str">
        <f aca="false">IF($B838="","",IF(AND(C838="Incident",L838&lt;&gt;"Annulé"),1,0))</f>
        <v/>
      </c>
      <c r="AP838" s="35" t="str">
        <f aca="false">IF($B838="","",IF(AND(C838="Quasi-incident",L838&lt;&gt;"Annulé"),1,0))</f>
        <v/>
      </c>
      <c r="AQ838" s="35" t="str">
        <f aca="false">IF($B838="","",AO838+AP838)</f>
        <v/>
      </c>
      <c r="AR838" s="36" t="str">
        <f aca="false">IF(OR($B838="",J838=""),"",IFERROR(VALUE(LEFT(J838,1)),""))</f>
        <v/>
      </c>
      <c r="AS838" s="35" t="str">
        <f aca="false">IF(OR(AO838&lt;&gt;1,G838=""),"",IFERROR(IF(INDEX(L_SrcInterne,MATCH(G838,L_Sources,0))="Oui",1,0),""))</f>
        <v/>
      </c>
      <c r="AT838" s="37" t="str">
        <f aca="false">IF(AO838&lt;&gt;1,"",IFERROR(ROUND(IF(OR(N838="",O838=""),"",IF(O838&lt;N838,"",ROUND(((NETWORKDAYS(N838,O838,JoursFeries)-1)*(HFer-HOuv)+IF(NETWORKDAYS(O838,O838,JoursFeries),MEDIAN(MOD(O838,1),HFer,HOuv),HFer)-IF(NETWORKDAYS(N838,N838,JoursFeries),MEDIAN(MOD(N838,1),HFer,HOuv),HOuv))*24,4)))/HJour,4),""))</f>
        <v/>
      </c>
      <c r="AU838" s="37" t="str">
        <f aca="false">IF(AO838&lt;&gt;1,"",IF(OR(O838="",P838=""),"",IF(P838&lt;O838,"",ROUND(((NETWORKDAYS(O838,P838,JoursFeries)-1)*(HFer-HOuv)+IF(NETWORKDAYS(P838,P838,JoursFeries),MEDIAN(MOD(P838,1),HFer,HOuv),HFer)-IF(NETWORKDAYS(O838,O838,JoursFeries),MEDIAN(MOD(O838,1),HFer,HOuv),HOuv))*24,4))))</f>
        <v/>
      </c>
      <c r="AV838" s="37" t="str">
        <f aca="false">IF(AO838&lt;&gt;1,"",IF(OR(P838="",Q838=""),"",IF(Q838&lt;P838,"",ROUND(((NETWORKDAYS(P838,Q838,JoursFeries)-1)*(HFer-HOuv)+IF(NETWORKDAYS(Q838,Q838,JoursFeries),MEDIAN(MOD(Q838,1),HFer,HOuv),HFer)-IF(NETWORKDAYS(P838,P838,JoursFeries),MEDIAN(MOD(P838,1),HFer,HOuv),HOuv))*24,4))))</f>
        <v/>
      </c>
      <c r="AW838" s="37" t="str">
        <f aca="false">IF(AO838&lt;&gt;1,"",IFERROR(ROUND(IF(OR(P838="",R838=""),"",IF(R838&lt;P838,"",ROUND(((NETWORKDAYS(P838,R838,JoursFeries)-1)*(HFer-HOuv)+IF(NETWORKDAYS(R838,R838,JoursFeries),MEDIAN(MOD(R838,1),HFer,HOuv),HFer)-IF(NETWORKDAYS(P838,P838,JoursFeries),MEDIAN(MOD(P838,1),HFer,HOuv),HOuv))*24,4)))/HJour,4),""))</f>
        <v/>
      </c>
      <c r="AX838" s="37" t="str">
        <f aca="false">IF(AO838&lt;&gt;1,"",IFERROR(ROUND(IF(OR(P838="",S838=""),"",IF(S838&lt;P838,"",ROUND(((NETWORKDAYS(P838,S838,JoursFeries)-1)*(HFer-HOuv)+IF(NETWORKDAYS(S838,S838,JoursFeries),MEDIAN(MOD(S838,1),HFer,HOuv),HFer)-IF(NETWORKDAYS(P838,P838,JoursFeries),MEDIAN(MOD(P838,1),HFer,HOuv),HOuv))*24,4)))/HJour,4),""))</f>
        <v/>
      </c>
      <c r="AY838" s="36" t="str">
        <f aca="false">IF(OR(AO838&lt;&gt;1,AR838=""),"",INDEX(SLA_PEC,AR838))</f>
        <v/>
      </c>
      <c r="AZ838" s="35" t="str">
        <f aca="false">IF(OR(AV838="",AY838=""),"",IF(AV838&lt;=AY838,1,0))</f>
        <v/>
      </c>
      <c r="BA838" s="36" t="str">
        <f aca="false">IF(OR(AO838&lt;&gt;1,AR838=""),"",INDEX(SLA_RES,AR838))</f>
        <v/>
      </c>
      <c r="BB838" s="35" t="str">
        <f aca="false">IF(OR(AW838="",BA838=""),"",IF(AW838&lt;=BA838,1,0))</f>
        <v/>
      </c>
      <c r="BC838" s="38" t="str">
        <f aca="false">IF(OR(BA838="",P838=""),"",WORKDAY(INT(P838),BA838,JoursFeries)+MOD(P838,1))</f>
        <v/>
      </c>
      <c r="BD838" s="39" t="str">
        <f aca="false">IF(AO838&lt;&gt;1,"",IF(OR(AB838&lt;&gt;"",AD838&lt;&gt;""),4,IF(U838&lt;&gt;"",3,IF(T838&lt;&gt;"",2,1))))</f>
        <v/>
      </c>
      <c r="BE838" s="39" t="str">
        <f aca="false">IF(OR(AO838&lt;&gt;1,AR838=""),"",INDEX(NIV_REQ,AR838))</f>
        <v/>
      </c>
      <c r="BF838" s="39" t="str">
        <f aca="false">IF(BE838="","",MAX(BE838,IF(OR(K838="Oui",Z838="Oui"),4,1)))</f>
        <v/>
      </c>
      <c r="BG838" s="35" t="str">
        <f aca="false">IF(OR(BF838="",BD838=""),"",IF(BD838&gt;=BF838,1,0))</f>
        <v/>
      </c>
      <c r="BH838" s="38" t="str">
        <f aca="false">IF(BE838="","",IF(BE838&lt;2,"",IF(BE838=2,IF(AND(T838="",U838=""),"",MIN(T838,U838)),IF(U838="","",U838))))</f>
        <v/>
      </c>
      <c r="BI838" s="37" t="str">
        <f aca="false">IF(BH838="","",IF(OR(O838="",BH838=""),"",IF(BH838&lt;O838,"",ROUND(((NETWORKDAYS(O838,BH838,JoursFeries)-1)*(HFer-HOuv)+IF(NETWORKDAYS(BH838,BH838,JoursFeries),MEDIAN(MOD(BH838,1),HFer,HOuv),HFer)-IF(NETWORKDAYS(O838,O838,JoursFeries),MEDIAN(MOD(O838,1),HFer,HOuv),HOuv))*24,4))))</f>
        <v/>
      </c>
      <c r="BJ838" s="35" t="str">
        <f aca="false">IF(OR(BI838="",AR838=""),"",IF(BI838&lt;=INDEX(DELAI_ESC,AR838),1,0))</f>
        <v/>
      </c>
      <c r="BK838" s="38" t="str">
        <f aca="false">IF(AO838&lt;&gt;1,"",IF(AND(T838="",U838=""),"",MIN(T838,U838)))</f>
        <v/>
      </c>
      <c r="BL838" s="37" t="str">
        <f aca="false">IF(OR(BK838="",R838=""),"",IFERROR(ROUND(IF(OR(BK838="",R838=""),"",IF(R838&lt;BK838,"",ROUND(((NETWORKDAYS(BK838,R838,JoursFeries)-1)*(HFer-HOuv)+IF(NETWORKDAYS(R838,R838,JoursFeries),MEDIAN(MOD(R838,1),HFer,HOuv),HFer)-IF(NETWORKDAYS(BK838,BK838,JoursFeries),MEDIAN(MOD(BK838,1),HFer,HOuv),HOuv))*24,4)))/HJour,4),""))</f>
        <v/>
      </c>
      <c r="BM838" s="35" t="str">
        <f aca="false">IF(OR(AO838&lt;&gt;1,R838=""),"",IF(BD838=1,1,0))</f>
        <v/>
      </c>
      <c r="BN838" s="35" t="str">
        <f aca="false">IF(AO838&lt;&gt;1,"",IF(W838="Oui",1,0))</f>
        <v/>
      </c>
      <c r="BO838" s="35" t="str">
        <f aca="false">IF(AO838&lt;&gt;1,"",IF(X838&lt;&gt;"",1,0))</f>
        <v/>
      </c>
      <c r="BP838" s="35" t="str">
        <f aca="false">IF(AO838&lt;&gt;1,"",IF(Y838="Oui",1,0))</f>
        <v/>
      </c>
      <c r="BQ838" s="35" t="str">
        <f aca="true">IF(OR(AO838&lt;&gt;1,Z838&lt;&gt;"Oui"),"",IF(AB838="",IF(AND(AA838&lt;&gt;"",NOW()&gt;AA838),0,""),IF(AA838="","",IF(AB838&lt;=AA838,1,0))))</f>
        <v/>
      </c>
      <c r="BR838" s="38" t="str">
        <f aca="false">IF(OR(AO838&lt;&gt;1,K838&lt;&gt;"Oui",O838=""),"",IF(AC838="",O838+DORA_H_DET/24,IF(AC838-O838&lt;=DORA_H_DET/24,MIN(AC838+DORA_H_CLA/24,O838+DORA_H_DET/24),AC838+DORA_H_CLA/24)))</f>
        <v/>
      </c>
      <c r="BS838" s="35" t="str">
        <f aca="true">IF(BR838="","",IF(AD838="",IF(NOW()&gt;BR838,0,""),IF(AD838&lt;=BR838,1,0)))</f>
        <v/>
      </c>
      <c r="BT838" s="35" t="str">
        <f aca="true">IF(OR(BR838="",AD838=""),"",IF(AE838="",IF(NOW()&gt;AD838+DORA_H_INT/24,0,""),IF(AE838&lt;=AD838+DORA_H_INT/24,1,0)))</f>
        <v/>
      </c>
      <c r="BU838" s="35" t="str">
        <f aca="true">IF(OR(BR838="",AE838=""),"",IF(AF838="",IF(NOW()&gt;EDATE(AE838,DORA_M_FIN)+1,0,""),IF(AF838&lt;=EDATE(AE838,DORA_M_FIN),1,0)))</f>
        <v/>
      </c>
      <c r="BV838" s="35" t="str">
        <f aca="false">IF(BR838="","",IF(COUNT(BS838:BU838)=0,"",MIN(BS838:BU838)))</f>
        <v/>
      </c>
      <c r="BW838" s="40" t="str">
        <f aca="false">IF(AQ838&lt;&gt;1,"",IF(AND(AG838="",AH838=""),"",N(AG838)-N(AH838)))</f>
        <v/>
      </c>
      <c r="BX838" s="35" t="str">
        <f aca="true">IF(OR(AQ838&lt;&gt;1,AI838&lt;&gt;"Oui",AJ838=""),"",IF(AK838="",IF(NOW()&gt;AJ838+1,0,""),IF(AK838&lt;=AJ838,1,0)))</f>
        <v/>
      </c>
    </row>
    <row r="839" customFormat="false" ht="15" hidden="false" customHeight="false" outlineLevel="0" collapsed="false">
      <c r="B839" s="29"/>
      <c r="C839" s="29"/>
      <c r="D839" s="29"/>
      <c r="E839" s="29"/>
      <c r="F839" s="29"/>
      <c r="G839" s="29"/>
      <c r="H839" s="29"/>
      <c r="I839" s="29"/>
      <c r="J839" s="29"/>
      <c r="K839" s="29"/>
      <c r="L839" s="29"/>
      <c r="M839" s="29"/>
      <c r="N839" s="30"/>
      <c r="O839" s="30"/>
      <c r="P839" s="30"/>
      <c r="Q839" s="30"/>
      <c r="R839" s="30"/>
      <c r="S839" s="30"/>
      <c r="T839" s="30"/>
      <c r="U839" s="30"/>
      <c r="V839" s="31"/>
      <c r="W839" s="29"/>
      <c r="X839" s="29"/>
      <c r="Y839" s="29"/>
      <c r="Z839" s="29"/>
      <c r="AA839" s="30"/>
      <c r="AB839" s="30"/>
      <c r="AC839" s="30"/>
      <c r="AD839" s="30"/>
      <c r="AE839" s="30"/>
      <c r="AF839" s="32"/>
      <c r="AG839" s="33"/>
      <c r="AH839" s="33"/>
      <c r="AI839" s="29"/>
      <c r="AJ839" s="32"/>
      <c r="AK839" s="32"/>
      <c r="AL839" s="29"/>
      <c r="AN839" s="34" t="str">
        <f aca="false">IF($B839="","",IF(OR(C839="",D839="",E839="",G839="",I839="",J839="",L839="",O839="",P839=""),"Champ obligatoire manquant",IF(OR(AND(N839&lt;&gt;"",N839&gt;O839),O839&gt;P839,AND(Q839&lt;&gt;"",Q839&lt;P839),AND(R839&lt;&gt;"",R839&lt;P839),AND(S839&lt;&gt;"",S839&lt;R839),AND(S839&lt;&gt;"",R839=""),AND(T839&lt;&gt;"",T839&lt;O839),AND(U839&lt;&gt;"",U839&lt;O839)),"Chronologie incohérente",IF(AND(OR(L839="Résolu",L839="Clos"),R839=""),"Date de résolution manquante",IF(AND(L839="Clos",S839=""),"Date de clôture manquante",IF(AND(K839="Oui",AC839=""),"Classification DORA manquante","OK"))))))</f>
        <v/>
      </c>
      <c r="AO839" s="35" t="str">
        <f aca="false">IF($B839="","",IF(AND(C839="Incident",L839&lt;&gt;"Annulé"),1,0))</f>
        <v/>
      </c>
      <c r="AP839" s="35" t="str">
        <f aca="false">IF($B839="","",IF(AND(C839="Quasi-incident",L839&lt;&gt;"Annulé"),1,0))</f>
        <v/>
      </c>
      <c r="AQ839" s="35" t="str">
        <f aca="false">IF($B839="","",AO839+AP839)</f>
        <v/>
      </c>
      <c r="AR839" s="36" t="str">
        <f aca="false">IF(OR($B839="",J839=""),"",IFERROR(VALUE(LEFT(J839,1)),""))</f>
        <v/>
      </c>
      <c r="AS839" s="35" t="str">
        <f aca="false">IF(OR(AO839&lt;&gt;1,G839=""),"",IFERROR(IF(INDEX(L_SrcInterne,MATCH(G839,L_Sources,0))="Oui",1,0),""))</f>
        <v/>
      </c>
      <c r="AT839" s="37" t="str">
        <f aca="false">IF(AO839&lt;&gt;1,"",IFERROR(ROUND(IF(OR(N839="",O839=""),"",IF(O839&lt;N839,"",ROUND(((NETWORKDAYS(N839,O839,JoursFeries)-1)*(HFer-HOuv)+IF(NETWORKDAYS(O839,O839,JoursFeries),MEDIAN(MOD(O839,1),HFer,HOuv),HFer)-IF(NETWORKDAYS(N839,N839,JoursFeries),MEDIAN(MOD(N839,1),HFer,HOuv),HOuv))*24,4)))/HJour,4),""))</f>
        <v/>
      </c>
      <c r="AU839" s="37" t="str">
        <f aca="false">IF(AO839&lt;&gt;1,"",IF(OR(O839="",P839=""),"",IF(P839&lt;O839,"",ROUND(((NETWORKDAYS(O839,P839,JoursFeries)-1)*(HFer-HOuv)+IF(NETWORKDAYS(P839,P839,JoursFeries),MEDIAN(MOD(P839,1),HFer,HOuv),HFer)-IF(NETWORKDAYS(O839,O839,JoursFeries),MEDIAN(MOD(O839,1),HFer,HOuv),HOuv))*24,4))))</f>
        <v/>
      </c>
      <c r="AV839" s="37" t="str">
        <f aca="false">IF(AO839&lt;&gt;1,"",IF(OR(P839="",Q839=""),"",IF(Q839&lt;P839,"",ROUND(((NETWORKDAYS(P839,Q839,JoursFeries)-1)*(HFer-HOuv)+IF(NETWORKDAYS(Q839,Q839,JoursFeries),MEDIAN(MOD(Q839,1),HFer,HOuv),HFer)-IF(NETWORKDAYS(P839,P839,JoursFeries),MEDIAN(MOD(P839,1),HFer,HOuv),HOuv))*24,4))))</f>
        <v/>
      </c>
      <c r="AW839" s="37" t="str">
        <f aca="false">IF(AO839&lt;&gt;1,"",IFERROR(ROUND(IF(OR(P839="",R839=""),"",IF(R839&lt;P839,"",ROUND(((NETWORKDAYS(P839,R839,JoursFeries)-1)*(HFer-HOuv)+IF(NETWORKDAYS(R839,R839,JoursFeries),MEDIAN(MOD(R839,1),HFer,HOuv),HFer)-IF(NETWORKDAYS(P839,P839,JoursFeries),MEDIAN(MOD(P839,1),HFer,HOuv),HOuv))*24,4)))/HJour,4),""))</f>
        <v/>
      </c>
      <c r="AX839" s="37" t="str">
        <f aca="false">IF(AO839&lt;&gt;1,"",IFERROR(ROUND(IF(OR(P839="",S839=""),"",IF(S839&lt;P839,"",ROUND(((NETWORKDAYS(P839,S839,JoursFeries)-1)*(HFer-HOuv)+IF(NETWORKDAYS(S839,S839,JoursFeries),MEDIAN(MOD(S839,1),HFer,HOuv),HFer)-IF(NETWORKDAYS(P839,P839,JoursFeries),MEDIAN(MOD(P839,1),HFer,HOuv),HOuv))*24,4)))/HJour,4),""))</f>
        <v/>
      </c>
      <c r="AY839" s="36" t="str">
        <f aca="false">IF(OR(AO839&lt;&gt;1,AR839=""),"",INDEX(SLA_PEC,AR839))</f>
        <v/>
      </c>
      <c r="AZ839" s="35" t="str">
        <f aca="false">IF(OR(AV839="",AY839=""),"",IF(AV839&lt;=AY839,1,0))</f>
        <v/>
      </c>
      <c r="BA839" s="36" t="str">
        <f aca="false">IF(OR(AO839&lt;&gt;1,AR839=""),"",INDEX(SLA_RES,AR839))</f>
        <v/>
      </c>
      <c r="BB839" s="35" t="str">
        <f aca="false">IF(OR(AW839="",BA839=""),"",IF(AW839&lt;=BA839,1,0))</f>
        <v/>
      </c>
      <c r="BC839" s="38" t="str">
        <f aca="false">IF(OR(BA839="",P839=""),"",WORKDAY(INT(P839),BA839,JoursFeries)+MOD(P839,1))</f>
        <v/>
      </c>
      <c r="BD839" s="39" t="str">
        <f aca="false">IF(AO839&lt;&gt;1,"",IF(OR(AB839&lt;&gt;"",AD839&lt;&gt;""),4,IF(U839&lt;&gt;"",3,IF(T839&lt;&gt;"",2,1))))</f>
        <v/>
      </c>
      <c r="BE839" s="39" t="str">
        <f aca="false">IF(OR(AO839&lt;&gt;1,AR839=""),"",INDEX(NIV_REQ,AR839))</f>
        <v/>
      </c>
      <c r="BF839" s="39" t="str">
        <f aca="false">IF(BE839="","",MAX(BE839,IF(OR(K839="Oui",Z839="Oui"),4,1)))</f>
        <v/>
      </c>
      <c r="BG839" s="35" t="str">
        <f aca="false">IF(OR(BF839="",BD839=""),"",IF(BD839&gt;=BF839,1,0))</f>
        <v/>
      </c>
      <c r="BH839" s="38" t="str">
        <f aca="false">IF(BE839="","",IF(BE839&lt;2,"",IF(BE839=2,IF(AND(T839="",U839=""),"",MIN(T839,U839)),IF(U839="","",U839))))</f>
        <v/>
      </c>
      <c r="BI839" s="37" t="str">
        <f aca="false">IF(BH839="","",IF(OR(O839="",BH839=""),"",IF(BH839&lt;O839,"",ROUND(((NETWORKDAYS(O839,BH839,JoursFeries)-1)*(HFer-HOuv)+IF(NETWORKDAYS(BH839,BH839,JoursFeries),MEDIAN(MOD(BH839,1),HFer,HOuv),HFer)-IF(NETWORKDAYS(O839,O839,JoursFeries),MEDIAN(MOD(O839,1),HFer,HOuv),HOuv))*24,4))))</f>
        <v/>
      </c>
      <c r="BJ839" s="35" t="str">
        <f aca="false">IF(OR(BI839="",AR839=""),"",IF(BI839&lt;=INDEX(DELAI_ESC,AR839),1,0))</f>
        <v/>
      </c>
      <c r="BK839" s="38" t="str">
        <f aca="false">IF(AO839&lt;&gt;1,"",IF(AND(T839="",U839=""),"",MIN(T839,U839)))</f>
        <v/>
      </c>
      <c r="BL839" s="37" t="str">
        <f aca="false">IF(OR(BK839="",R839=""),"",IFERROR(ROUND(IF(OR(BK839="",R839=""),"",IF(R839&lt;BK839,"",ROUND(((NETWORKDAYS(BK839,R839,JoursFeries)-1)*(HFer-HOuv)+IF(NETWORKDAYS(R839,R839,JoursFeries),MEDIAN(MOD(R839,1),HFer,HOuv),HFer)-IF(NETWORKDAYS(BK839,BK839,JoursFeries),MEDIAN(MOD(BK839,1),HFer,HOuv),HOuv))*24,4)))/HJour,4),""))</f>
        <v/>
      </c>
      <c r="BM839" s="35" t="str">
        <f aca="false">IF(OR(AO839&lt;&gt;1,R839=""),"",IF(BD839=1,1,0))</f>
        <v/>
      </c>
      <c r="BN839" s="35" t="str">
        <f aca="false">IF(AO839&lt;&gt;1,"",IF(W839="Oui",1,0))</f>
        <v/>
      </c>
      <c r="BO839" s="35" t="str">
        <f aca="false">IF(AO839&lt;&gt;1,"",IF(X839&lt;&gt;"",1,0))</f>
        <v/>
      </c>
      <c r="BP839" s="35" t="str">
        <f aca="false">IF(AO839&lt;&gt;1,"",IF(Y839="Oui",1,0))</f>
        <v/>
      </c>
      <c r="BQ839" s="35" t="str">
        <f aca="true">IF(OR(AO839&lt;&gt;1,Z839&lt;&gt;"Oui"),"",IF(AB839="",IF(AND(AA839&lt;&gt;"",NOW()&gt;AA839),0,""),IF(AA839="","",IF(AB839&lt;=AA839,1,0))))</f>
        <v/>
      </c>
      <c r="BR839" s="38" t="str">
        <f aca="false">IF(OR(AO839&lt;&gt;1,K839&lt;&gt;"Oui",O839=""),"",IF(AC839="",O839+DORA_H_DET/24,IF(AC839-O839&lt;=DORA_H_DET/24,MIN(AC839+DORA_H_CLA/24,O839+DORA_H_DET/24),AC839+DORA_H_CLA/24)))</f>
        <v/>
      </c>
      <c r="BS839" s="35" t="str">
        <f aca="true">IF(BR839="","",IF(AD839="",IF(NOW()&gt;BR839,0,""),IF(AD839&lt;=BR839,1,0)))</f>
        <v/>
      </c>
      <c r="BT839" s="35" t="str">
        <f aca="true">IF(OR(BR839="",AD839=""),"",IF(AE839="",IF(NOW()&gt;AD839+DORA_H_INT/24,0,""),IF(AE839&lt;=AD839+DORA_H_INT/24,1,0)))</f>
        <v/>
      </c>
      <c r="BU839" s="35" t="str">
        <f aca="true">IF(OR(BR839="",AE839=""),"",IF(AF839="",IF(NOW()&gt;EDATE(AE839,DORA_M_FIN)+1,0,""),IF(AF839&lt;=EDATE(AE839,DORA_M_FIN),1,0)))</f>
        <v/>
      </c>
      <c r="BV839" s="35" t="str">
        <f aca="false">IF(BR839="","",IF(COUNT(BS839:BU839)=0,"",MIN(BS839:BU839)))</f>
        <v/>
      </c>
      <c r="BW839" s="40" t="str">
        <f aca="false">IF(AQ839&lt;&gt;1,"",IF(AND(AG839="",AH839=""),"",N(AG839)-N(AH839)))</f>
        <v/>
      </c>
      <c r="BX839" s="35" t="str">
        <f aca="true">IF(OR(AQ839&lt;&gt;1,AI839&lt;&gt;"Oui",AJ839=""),"",IF(AK839="",IF(NOW()&gt;AJ839+1,0,""),IF(AK839&lt;=AJ839,1,0)))</f>
        <v/>
      </c>
    </row>
    <row r="840" customFormat="false" ht="15" hidden="false" customHeight="false" outlineLevel="0" collapsed="false">
      <c r="B840" s="29"/>
      <c r="C840" s="29"/>
      <c r="D840" s="29"/>
      <c r="E840" s="29"/>
      <c r="F840" s="29"/>
      <c r="G840" s="29"/>
      <c r="H840" s="29"/>
      <c r="I840" s="29"/>
      <c r="J840" s="29"/>
      <c r="K840" s="29"/>
      <c r="L840" s="29"/>
      <c r="M840" s="29"/>
      <c r="N840" s="30"/>
      <c r="O840" s="30"/>
      <c r="P840" s="30"/>
      <c r="Q840" s="30"/>
      <c r="R840" s="30"/>
      <c r="S840" s="30"/>
      <c r="T840" s="30"/>
      <c r="U840" s="30"/>
      <c r="V840" s="31"/>
      <c r="W840" s="29"/>
      <c r="X840" s="29"/>
      <c r="Y840" s="29"/>
      <c r="Z840" s="29"/>
      <c r="AA840" s="30"/>
      <c r="AB840" s="30"/>
      <c r="AC840" s="30"/>
      <c r="AD840" s="30"/>
      <c r="AE840" s="30"/>
      <c r="AF840" s="32"/>
      <c r="AG840" s="33"/>
      <c r="AH840" s="33"/>
      <c r="AI840" s="29"/>
      <c r="AJ840" s="32"/>
      <c r="AK840" s="32"/>
      <c r="AL840" s="29"/>
      <c r="AN840" s="34" t="str">
        <f aca="false">IF($B840="","",IF(OR(C840="",D840="",E840="",G840="",I840="",J840="",L840="",O840="",P840=""),"Champ obligatoire manquant",IF(OR(AND(N840&lt;&gt;"",N840&gt;O840),O840&gt;P840,AND(Q840&lt;&gt;"",Q840&lt;P840),AND(R840&lt;&gt;"",R840&lt;P840),AND(S840&lt;&gt;"",S840&lt;R840),AND(S840&lt;&gt;"",R840=""),AND(T840&lt;&gt;"",T840&lt;O840),AND(U840&lt;&gt;"",U840&lt;O840)),"Chronologie incohérente",IF(AND(OR(L840="Résolu",L840="Clos"),R840=""),"Date de résolution manquante",IF(AND(L840="Clos",S840=""),"Date de clôture manquante",IF(AND(K840="Oui",AC840=""),"Classification DORA manquante","OK"))))))</f>
        <v/>
      </c>
      <c r="AO840" s="35" t="str">
        <f aca="false">IF($B840="","",IF(AND(C840="Incident",L840&lt;&gt;"Annulé"),1,0))</f>
        <v/>
      </c>
      <c r="AP840" s="35" t="str">
        <f aca="false">IF($B840="","",IF(AND(C840="Quasi-incident",L840&lt;&gt;"Annulé"),1,0))</f>
        <v/>
      </c>
      <c r="AQ840" s="35" t="str">
        <f aca="false">IF($B840="","",AO840+AP840)</f>
        <v/>
      </c>
      <c r="AR840" s="36" t="str">
        <f aca="false">IF(OR($B840="",J840=""),"",IFERROR(VALUE(LEFT(J840,1)),""))</f>
        <v/>
      </c>
      <c r="AS840" s="35" t="str">
        <f aca="false">IF(OR(AO840&lt;&gt;1,G840=""),"",IFERROR(IF(INDEX(L_SrcInterne,MATCH(G840,L_Sources,0))="Oui",1,0),""))</f>
        <v/>
      </c>
      <c r="AT840" s="37" t="str">
        <f aca="false">IF(AO840&lt;&gt;1,"",IFERROR(ROUND(IF(OR(N840="",O840=""),"",IF(O840&lt;N840,"",ROUND(((NETWORKDAYS(N840,O840,JoursFeries)-1)*(HFer-HOuv)+IF(NETWORKDAYS(O840,O840,JoursFeries),MEDIAN(MOD(O840,1),HFer,HOuv),HFer)-IF(NETWORKDAYS(N840,N840,JoursFeries),MEDIAN(MOD(N840,1),HFer,HOuv),HOuv))*24,4)))/HJour,4),""))</f>
        <v/>
      </c>
      <c r="AU840" s="37" t="str">
        <f aca="false">IF(AO840&lt;&gt;1,"",IF(OR(O840="",P840=""),"",IF(P840&lt;O840,"",ROUND(((NETWORKDAYS(O840,P840,JoursFeries)-1)*(HFer-HOuv)+IF(NETWORKDAYS(P840,P840,JoursFeries),MEDIAN(MOD(P840,1),HFer,HOuv),HFer)-IF(NETWORKDAYS(O840,O840,JoursFeries),MEDIAN(MOD(O840,1),HFer,HOuv),HOuv))*24,4))))</f>
        <v/>
      </c>
      <c r="AV840" s="37" t="str">
        <f aca="false">IF(AO840&lt;&gt;1,"",IF(OR(P840="",Q840=""),"",IF(Q840&lt;P840,"",ROUND(((NETWORKDAYS(P840,Q840,JoursFeries)-1)*(HFer-HOuv)+IF(NETWORKDAYS(Q840,Q840,JoursFeries),MEDIAN(MOD(Q840,1),HFer,HOuv),HFer)-IF(NETWORKDAYS(P840,P840,JoursFeries),MEDIAN(MOD(P840,1),HFer,HOuv),HOuv))*24,4))))</f>
        <v/>
      </c>
      <c r="AW840" s="37" t="str">
        <f aca="false">IF(AO840&lt;&gt;1,"",IFERROR(ROUND(IF(OR(P840="",R840=""),"",IF(R840&lt;P840,"",ROUND(((NETWORKDAYS(P840,R840,JoursFeries)-1)*(HFer-HOuv)+IF(NETWORKDAYS(R840,R840,JoursFeries),MEDIAN(MOD(R840,1),HFer,HOuv),HFer)-IF(NETWORKDAYS(P840,P840,JoursFeries),MEDIAN(MOD(P840,1),HFer,HOuv),HOuv))*24,4)))/HJour,4),""))</f>
        <v/>
      </c>
      <c r="AX840" s="37" t="str">
        <f aca="false">IF(AO840&lt;&gt;1,"",IFERROR(ROUND(IF(OR(P840="",S840=""),"",IF(S840&lt;P840,"",ROUND(((NETWORKDAYS(P840,S840,JoursFeries)-1)*(HFer-HOuv)+IF(NETWORKDAYS(S840,S840,JoursFeries),MEDIAN(MOD(S840,1),HFer,HOuv),HFer)-IF(NETWORKDAYS(P840,P840,JoursFeries),MEDIAN(MOD(P840,1),HFer,HOuv),HOuv))*24,4)))/HJour,4),""))</f>
        <v/>
      </c>
      <c r="AY840" s="36" t="str">
        <f aca="false">IF(OR(AO840&lt;&gt;1,AR840=""),"",INDEX(SLA_PEC,AR840))</f>
        <v/>
      </c>
      <c r="AZ840" s="35" t="str">
        <f aca="false">IF(OR(AV840="",AY840=""),"",IF(AV840&lt;=AY840,1,0))</f>
        <v/>
      </c>
      <c r="BA840" s="36" t="str">
        <f aca="false">IF(OR(AO840&lt;&gt;1,AR840=""),"",INDEX(SLA_RES,AR840))</f>
        <v/>
      </c>
      <c r="BB840" s="35" t="str">
        <f aca="false">IF(OR(AW840="",BA840=""),"",IF(AW840&lt;=BA840,1,0))</f>
        <v/>
      </c>
      <c r="BC840" s="38" t="str">
        <f aca="false">IF(OR(BA840="",P840=""),"",WORKDAY(INT(P840),BA840,JoursFeries)+MOD(P840,1))</f>
        <v/>
      </c>
      <c r="BD840" s="39" t="str">
        <f aca="false">IF(AO840&lt;&gt;1,"",IF(OR(AB840&lt;&gt;"",AD840&lt;&gt;""),4,IF(U840&lt;&gt;"",3,IF(T840&lt;&gt;"",2,1))))</f>
        <v/>
      </c>
      <c r="BE840" s="39" t="str">
        <f aca="false">IF(OR(AO840&lt;&gt;1,AR840=""),"",INDEX(NIV_REQ,AR840))</f>
        <v/>
      </c>
      <c r="BF840" s="39" t="str">
        <f aca="false">IF(BE840="","",MAX(BE840,IF(OR(K840="Oui",Z840="Oui"),4,1)))</f>
        <v/>
      </c>
      <c r="BG840" s="35" t="str">
        <f aca="false">IF(OR(BF840="",BD840=""),"",IF(BD840&gt;=BF840,1,0))</f>
        <v/>
      </c>
      <c r="BH840" s="38" t="str">
        <f aca="false">IF(BE840="","",IF(BE840&lt;2,"",IF(BE840=2,IF(AND(T840="",U840=""),"",MIN(T840,U840)),IF(U840="","",U840))))</f>
        <v/>
      </c>
      <c r="BI840" s="37" t="str">
        <f aca="false">IF(BH840="","",IF(OR(O840="",BH840=""),"",IF(BH840&lt;O840,"",ROUND(((NETWORKDAYS(O840,BH840,JoursFeries)-1)*(HFer-HOuv)+IF(NETWORKDAYS(BH840,BH840,JoursFeries),MEDIAN(MOD(BH840,1),HFer,HOuv),HFer)-IF(NETWORKDAYS(O840,O840,JoursFeries),MEDIAN(MOD(O840,1),HFer,HOuv),HOuv))*24,4))))</f>
        <v/>
      </c>
      <c r="BJ840" s="35" t="str">
        <f aca="false">IF(OR(BI840="",AR840=""),"",IF(BI840&lt;=INDEX(DELAI_ESC,AR840),1,0))</f>
        <v/>
      </c>
      <c r="BK840" s="38" t="str">
        <f aca="false">IF(AO840&lt;&gt;1,"",IF(AND(T840="",U840=""),"",MIN(T840,U840)))</f>
        <v/>
      </c>
      <c r="BL840" s="37" t="str">
        <f aca="false">IF(OR(BK840="",R840=""),"",IFERROR(ROUND(IF(OR(BK840="",R840=""),"",IF(R840&lt;BK840,"",ROUND(((NETWORKDAYS(BK840,R840,JoursFeries)-1)*(HFer-HOuv)+IF(NETWORKDAYS(R840,R840,JoursFeries),MEDIAN(MOD(R840,1),HFer,HOuv),HFer)-IF(NETWORKDAYS(BK840,BK840,JoursFeries),MEDIAN(MOD(BK840,1),HFer,HOuv),HOuv))*24,4)))/HJour,4),""))</f>
        <v/>
      </c>
      <c r="BM840" s="35" t="str">
        <f aca="false">IF(OR(AO840&lt;&gt;1,R840=""),"",IF(BD840=1,1,0))</f>
        <v/>
      </c>
      <c r="BN840" s="35" t="str">
        <f aca="false">IF(AO840&lt;&gt;1,"",IF(W840="Oui",1,0))</f>
        <v/>
      </c>
      <c r="BO840" s="35" t="str">
        <f aca="false">IF(AO840&lt;&gt;1,"",IF(X840&lt;&gt;"",1,0))</f>
        <v/>
      </c>
      <c r="BP840" s="35" t="str">
        <f aca="false">IF(AO840&lt;&gt;1,"",IF(Y840="Oui",1,0))</f>
        <v/>
      </c>
      <c r="BQ840" s="35" t="str">
        <f aca="true">IF(OR(AO840&lt;&gt;1,Z840&lt;&gt;"Oui"),"",IF(AB840="",IF(AND(AA840&lt;&gt;"",NOW()&gt;AA840),0,""),IF(AA840="","",IF(AB840&lt;=AA840,1,0))))</f>
        <v/>
      </c>
      <c r="BR840" s="38" t="str">
        <f aca="false">IF(OR(AO840&lt;&gt;1,K840&lt;&gt;"Oui",O840=""),"",IF(AC840="",O840+DORA_H_DET/24,IF(AC840-O840&lt;=DORA_H_DET/24,MIN(AC840+DORA_H_CLA/24,O840+DORA_H_DET/24),AC840+DORA_H_CLA/24)))</f>
        <v/>
      </c>
      <c r="BS840" s="35" t="str">
        <f aca="true">IF(BR840="","",IF(AD840="",IF(NOW()&gt;BR840,0,""),IF(AD840&lt;=BR840,1,0)))</f>
        <v/>
      </c>
      <c r="BT840" s="35" t="str">
        <f aca="true">IF(OR(BR840="",AD840=""),"",IF(AE840="",IF(NOW()&gt;AD840+DORA_H_INT/24,0,""),IF(AE840&lt;=AD840+DORA_H_INT/24,1,0)))</f>
        <v/>
      </c>
      <c r="BU840" s="35" t="str">
        <f aca="true">IF(OR(BR840="",AE840=""),"",IF(AF840="",IF(NOW()&gt;EDATE(AE840,DORA_M_FIN)+1,0,""),IF(AF840&lt;=EDATE(AE840,DORA_M_FIN),1,0)))</f>
        <v/>
      </c>
      <c r="BV840" s="35" t="str">
        <f aca="false">IF(BR840="","",IF(COUNT(BS840:BU840)=0,"",MIN(BS840:BU840)))</f>
        <v/>
      </c>
      <c r="BW840" s="40" t="str">
        <f aca="false">IF(AQ840&lt;&gt;1,"",IF(AND(AG840="",AH840=""),"",N(AG840)-N(AH840)))</f>
        <v/>
      </c>
      <c r="BX840" s="35" t="str">
        <f aca="true">IF(OR(AQ840&lt;&gt;1,AI840&lt;&gt;"Oui",AJ840=""),"",IF(AK840="",IF(NOW()&gt;AJ840+1,0,""),IF(AK840&lt;=AJ840,1,0)))</f>
        <v/>
      </c>
    </row>
    <row r="841" customFormat="false" ht="15" hidden="false" customHeight="false" outlineLevel="0" collapsed="false">
      <c r="B841" s="29"/>
      <c r="C841" s="29"/>
      <c r="D841" s="29"/>
      <c r="E841" s="29"/>
      <c r="F841" s="29"/>
      <c r="G841" s="29"/>
      <c r="H841" s="29"/>
      <c r="I841" s="29"/>
      <c r="J841" s="29"/>
      <c r="K841" s="29"/>
      <c r="L841" s="29"/>
      <c r="M841" s="29"/>
      <c r="N841" s="30"/>
      <c r="O841" s="30"/>
      <c r="P841" s="30"/>
      <c r="Q841" s="30"/>
      <c r="R841" s="30"/>
      <c r="S841" s="30"/>
      <c r="T841" s="30"/>
      <c r="U841" s="30"/>
      <c r="V841" s="31"/>
      <c r="W841" s="29"/>
      <c r="X841" s="29"/>
      <c r="Y841" s="29"/>
      <c r="Z841" s="29"/>
      <c r="AA841" s="30"/>
      <c r="AB841" s="30"/>
      <c r="AC841" s="30"/>
      <c r="AD841" s="30"/>
      <c r="AE841" s="30"/>
      <c r="AF841" s="32"/>
      <c r="AG841" s="33"/>
      <c r="AH841" s="33"/>
      <c r="AI841" s="29"/>
      <c r="AJ841" s="32"/>
      <c r="AK841" s="32"/>
      <c r="AL841" s="29"/>
      <c r="AN841" s="34" t="str">
        <f aca="false">IF($B841="","",IF(OR(C841="",D841="",E841="",G841="",I841="",J841="",L841="",O841="",P841=""),"Champ obligatoire manquant",IF(OR(AND(N841&lt;&gt;"",N841&gt;O841),O841&gt;P841,AND(Q841&lt;&gt;"",Q841&lt;P841),AND(R841&lt;&gt;"",R841&lt;P841),AND(S841&lt;&gt;"",S841&lt;R841),AND(S841&lt;&gt;"",R841=""),AND(T841&lt;&gt;"",T841&lt;O841),AND(U841&lt;&gt;"",U841&lt;O841)),"Chronologie incohérente",IF(AND(OR(L841="Résolu",L841="Clos"),R841=""),"Date de résolution manquante",IF(AND(L841="Clos",S841=""),"Date de clôture manquante",IF(AND(K841="Oui",AC841=""),"Classification DORA manquante","OK"))))))</f>
        <v/>
      </c>
      <c r="AO841" s="35" t="str">
        <f aca="false">IF($B841="","",IF(AND(C841="Incident",L841&lt;&gt;"Annulé"),1,0))</f>
        <v/>
      </c>
      <c r="AP841" s="35" t="str">
        <f aca="false">IF($B841="","",IF(AND(C841="Quasi-incident",L841&lt;&gt;"Annulé"),1,0))</f>
        <v/>
      </c>
      <c r="AQ841" s="35" t="str">
        <f aca="false">IF($B841="","",AO841+AP841)</f>
        <v/>
      </c>
      <c r="AR841" s="36" t="str">
        <f aca="false">IF(OR($B841="",J841=""),"",IFERROR(VALUE(LEFT(J841,1)),""))</f>
        <v/>
      </c>
      <c r="AS841" s="35" t="str">
        <f aca="false">IF(OR(AO841&lt;&gt;1,G841=""),"",IFERROR(IF(INDEX(L_SrcInterne,MATCH(G841,L_Sources,0))="Oui",1,0),""))</f>
        <v/>
      </c>
      <c r="AT841" s="37" t="str">
        <f aca="false">IF(AO841&lt;&gt;1,"",IFERROR(ROUND(IF(OR(N841="",O841=""),"",IF(O841&lt;N841,"",ROUND(((NETWORKDAYS(N841,O841,JoursFeries)-1)*(HFer-HOuv)+IF(NETWORKDAYS(O841,O841,JoursFeries),MEDIAN(MOD(O841,1),HFer,HOuv),HFer)-IF(NETWORKDAYS(N841,N841,JoursFeries),MEDIAN(MOD(N841,1),HFer,HOuv),HOuv))*24,4)))/HJour,4),""))</f>
        <v/>
      </c>
      <c r="AU841" s="37" t="str">
        <f aca="false">IF(AO841&lt;&gt;1,"",IF(OR(O841="",P841=""),"",IF(P841&lt;O841,"",ROUND(((NETWORKDAYS(O841,P841,JoursFeries)-1)*(HFer-HOuv)+IF(NETWORKDAYS(P841,P841,JoursFeries),MEDIAN(MOD(P841,1),HFer,HOuv),HFer)-IF(NETWORKDAYS(O841,O841,JoursFeries),MEDIAN(MOD(O841,1),HFer,HOuv),HOuv))*24,4))))</f>
        <v/>
      </c>
      <c r="AV841" s="37" t="str">
        <f aca="false">IF(AO841&lt;&gt;1,"",IF(OR(P841="",Q841=""),"",IF(Q841&lt;P841,"",ROUND(((NETWORKDAYS(P841,Q841,JoursFeries)-1)*(HFer-HOuv)+IF(NETWORKDAYS(Q841,Q841,JoursFeries),MEDIAN(MOD(Q841,1),HFer,HOuv),HFer)-IF(NETWORKDAYS(P841,P841,JoursFeries),MEDIAN(MOD(P841,1),HFer,HOuv),HOuv))*24,4))))</f>
        <v/>
      </c>
      <c r="AW841" s="37" t="str">
        <f aca="false">IF(AO841&lt;&gt;1,"",IFERROR(ROUND(IF(OR(P841="",R841=""),"",IF(R841&lt;P841,"",ROUND(((NETWORKDAYS(P841,R841,JoursFeries)-1)*(HFer-HOuv)+IF(NETWORKDAYS(R841,R841,JoursFeries),MEDIAN(MOD(R841,1),HFer,HOuv),HFer)-IF(NETWORKDAYS(P841,P841,JoursFeries),MEDIAN(MOD(P841,1),HFer,HOuv),HOuv))*24,4)))/HJour,4),""))</f>
        <v/>
      </c>
      <c r="AX841" s="37" t="str">
        <f aca="false">IF(AO841&lt;&gt;1,"",IFERROR(ROUND(IF(OR(P841="",S841=""),"",IF(S841&lt;P841,"",ROUND(((NETWORKDAYS(P841,S841,JoursFeries)-1)*(HFer-HOuv)+IF(NETWORKDAYS(S841,S841,JoursFeries),MEDIAN(MOD(S841,1),HFer,HOuv),HFer)-IF(NETWORKDAYS(P841,P841,JoursFeries),MEDIAN(MOD(P841,1),HFer,HOuv),HOuv))*24,4)))/HJour,4),""))</f>
        <v/>
      </c>
      <c r="AY841" s="36" t="str">
        <f aca="false">IF(OR(AO841&lt;&gt;1,AR841=""),"",INDEX(SLA_PEC,AR841))</f>
        <v/>
      </c>
      <c r="AZ841" s="35" t="str">
        <f aca="false">IF(OR(AV841="",AY841=""),"",IF(AV841&lt;=AY841,1,0))</f>
        <v/>
      </c>
      <c r="BA841" s="36" t="str">
        <f aca="false">IF(OR(AO841&lt;&gt;1,AR841=""),"",INDEX(SLA_RES,AR841))</f>
        <v/>
      </c>
      <c r="BB841" s="35" t="str">
        <f aca="false">IF(OR(AW841="",BA841=""),"",IF(AW841&lt;=BA841,1,0))</f>
        <v/>
      </c>
      <c r="BC841" s="38" t="str">
        <f aca="false">IF(OR(BA841="",P841=""),"",WORKDAY(INT(P841),BA841,JoursFeries)+MOD(P841,1))</f>
        <v/>
      </c>
      <c r="BD841" s="39" t="str">
        <f aca="false">IF(AO841&lt;&gt;1,"",IF(OR(AB841&lt;&gt;"",AD841&lt;&gt;""),4,IF(U841&lt;&gt;"",3,IF(T841&lt;&gt;"",2,1))))</f>
        <v/>
      </c>
      <c r="BE841" s="39" t="str">
        <f aca="false">IF(OR(AO841&lt;&gt;1,AR841=""),"",INDEX(NIV_REQ,AR841))</f>
        <v/>
      </c>
      <c r="BF841" s="39" t="str">
        <f aca="false">IF(BE841="","",MAX(BE841,IF(OR(K841="Oui",Z841="Oui"),4,1)))</f>
        <v/>
      </c>
      <c r="BG841" s="35" t="str">
        <f aca="false">IF(OR(BF841="",BD841=""),"",IF(BD841&gt;=BF841,1,0))</f>
        <v/>
      </c>
      <c r="BH841" s="38" t="str">
        <f aca="false">IF(BE841="","",IF(BE841&lt;2,"",IF(BE841=2,IF(AND(T841="",U841=""),"",MIN(T841,U841)),IF(U841="","",U841))))</f>
        <v/>
      </c>
      <c r="BI841" s="37" t="str">
        <f aca="false">IF(BH841="","",IF(OR(O841="",BH841=""),"",IF(BH841&lt;O841,"",ROUND(((NETWORKDAYS(O841,BH841,JoursFeries)-1)*(HFer-HOuv)+IF(NETWORKDAYS(BH841,BH841,JoursFeries),MEDIAN(MOD(BH841,1),HFer,HOuv),HFer)-IF(NETWORKDAYS(O841,O841,JoursFeries),MEDIAN(MOD(O841,1),HFer,HOuv),HOuv))*24,4))))</f>
        <v/>
      </c>
      <c r="BJ841" s="35" t="str">
        <f aca="false">IF(OR(BI841="",AR841=""),"",IF(BI841&lt;=INDEX(DELAI_ESC,AR841),1,0))</f>
        <v/>
      </c>
      <c r="BK841" s="38" t="str">
        <f aca="false">IF(AO841&lt;&gt;1,"",IF(AND(T841="",U841=""),"",MIN(T841,U841)))</f>
        <v/>
      </c>
      <c r="BL841" s="37" t="str">
        <f aca="false">IF(OR(BK841="",R841=""),"",IFERROR(ROUND(IF(OR(BK841="",R841=""),"",IF(R841&lt;BK841,"",ROUND(((NETWORKDAYS(BK841,R841,JoursFeries)-1)*(HFer-HOuv)+IF(NETWORKDAYS(R841,R841,JoursFeries),MEDIAN(MOD(R841,1),HFer,HOuv),HFer)-IF(NETWORKDAYS(BK841,BK841,JoursFeries),MEDIAN(MOD(BK841,1),HFer,HOuv),HOuv))*24,4)))/HJour,4),""))</f>
        <v/>
      </c>
      <c r="BM841" s="35" t="str">
        <f aca="false">IF(OR(AO841&lt;&gt;1,R841=""),"",IF(BD841=1,1,0))</f>
        <v/>
      </c>
      <c r="BN841" s="35" t="str">
        <f aca="false">IF(AO841&lt;&gt;1,"",IF(W841="Oui",1,0))</f>
        <v/>
      </c>
      <c r="BO841" s="35" t="str">
        <f aca="false">IF(AO841&lt;&gt;1,"",IF(X841&lt;&gt;"",1,0))</f>
        <v/>
      </c>
      <c r="BP841" s="35" t="str">
        <f aca="false">IF(AO841&lt;&gt;1,"",IF(Y841="Oui",1,0))</f>
        <v/>
      </c>
      <c r="BQ841" s="35" t="str">
        <f aca="true">IF(OR(AO841&lt;&gt;1,Z841&lt;&gt;"Oui"),"",IF(AB841="",IF(AND(AA841&lt;&gt;"",NOW()&gt;AA841),0,""),IF(AA841="","",IF(AB841&lt;=AA841,1,0))))</f>
        <v/>
      </c>
      <c r="BR841" s="38" t="str">
        <f aca="false">IF(OR(AO841&lt;&gt;1,K841&lt;&gt;"Oui",O841=""),"",IF(AC841="",O841+DORA_H_DET/24,IF(AC841-O841&lt;=DORA_H_DET/24,MIN(AC841+DORA_H_CLA/24,O841+DORA_H_DET/24),AC841+DORA_H_CLA/24)))</f>
        <v/>
      </c>
      <c r="BS841" s="35" t="str">
        <f aca="true">IF(BR841="","",IF(AD841="",IF(NOW()&gt;BR841,0,""),IF(AD841&lt;=BR841,1,0)))</f>
        <v/>
      </c>
      <c r="BT841" s="35" t="str">
        <f aca="true">IF(OR(BR841="",AD841=""),"",IF(AE841="",IF(NOW()&gt;AD841+DORA_H_INT/24,0,""),IF(AE841&lt;=AD841+DORA_H_INT/24,1,0)))</f>
        <v/>
      </c>
      <c r="BU841" s="35" t="str">
        <f aca="true">IF(OR(BR841="",AE841=""),"",IF(AF841="",IF(NOW()&gt;EDATE(AE841,DORA_M_FIN)+1,0,""),IF(AF841&lt;=EDATE(AE841,DORA_M_FIN),1,0)))</f>
        <v/>
      </c>
      <c r="BV841" s="35" t="str">
        <f aca="false">IF(BR841="","",IF(COUNT(BS841:BU841)=0,"",MIN(BS841:BU841)))</f>
        <v/>
      </c>
      <c r="BW841" s="40" t="str">
        <f aca="false">IF(AQ841&lt;&gt;1,"",IF(AND(AG841="",AH841=""),"",N(AG841)-N(AH841)))</f>
        <v/>
      </c>
      <c r="BX841" s="35" t="str">
        <f aca="true">IF(OR(AQ841&lt;&gt;1,AI841&lt;&gt;"Oui",AJ841=""),"",IF(AK841="",IF(NOW()&gt;AJ841+1,0,""),IF(AK841&lt;=AJ841,1,0)))</f>
        <v/>
      </c>
    </row>
    <row r="842" customFormat="false" ht="15" hidden="false" customHeight="false" outlineLevel="0" collapsed="false">
      <c r="B842" s="29"/>
      <c r="C842" s="29"/>
      <c r="D842" s="29"/>
      <c r="E842" s="29"/>
      <c r="F842" s="29"/>
      <c r="G842" s="29"/>
      <c r="H842" s="29"/>
      <c r="I842" s="29"/>
      <c r="J842" s="29"/>
      <c r="K842" s="29"/>
      <c r="L842" s="29"/>
      <c r="M842" s="29"/>
      <c r="N842" s="30"/>
      <c r="O842" s="30"/>
      <c r="P842" s="30"/>
      <c r="Q842" s="30"/>
      <c r="R842" s="30"/>
      <c r="S842" s="30"/>
      <c r="T842" s="30"/>
      <c r="U842" s="30"/>
      <c r="V842" s="31"/>
      <c r="W842" s="29"/>
      <c r="X842" s="29"/>
      <c r="Y842" s="29"/>
      <c r="Z842" s="29"/>
      <c r="AA842" s="30"/>
      <c r="AB842" s="30"/>
      <c r="AC842" s="30"/>
      <c r="AD842" s="30"/>
      <c r="AE842" s="30"/>
      <c r="AF842" s="32"/>
      <c r="AG842" s="33"/>
      <c r="AH842" s="33"/>
      <c r="AI842" s="29"/>
      <c r="AJ842" s="32"/>
      <c r="AK842" s="32"/>
      <c r="AL842" s="29"/>
      <c r="AN842" s="34" t="str">
        <f aca="false">IF($B842="","",IF(OR(C842="",D842="",E842="",G842="",I842="",J842="",L842="",O842="",P842=""),"Champ obligatoire manquant",IF(OR(AND(N842&lt;&gt;"",N842&gt;O842),O842&gt;P842,AND(Q842&lt;&gt;"",Q842&lt;P842),AND(R842&lt;&gt;"",R842&lt;P842),AND(S842&lt;&gt;"",S842&lt;R842),AND(S842&lt;&gt;"",R842=""),AND(T842&lt;&gt;"",T842&lt;O842),AND(U842&lt;&gt;"",U842&lt;O842)),"Chronologie incohérente",IF(AND(OR(L842="Résolu",L842="Clos"),R842=""),"Date de résolution manquante",IF(AND(L842="Clos",S842=""),"Date de clôture manquante",IF(AND(K842="Oui",AC842=""),"Classification DORA manquante","OK"))))))</f>
        <v/>
      </c>
      <c r="AO842" s="35" t="str">
        <f aca="false">IF($B842="","",IF(AND(C842="Incident",L842&lt;&gt;"Annulé"),1,0))</f>
        <v/>
      </c>
      <c r="AP842" s="35" t="str">
        <f aca="false">IF($B842="","",IF(AND(C842="Quasi-incident",L842&lt;&gt;"Annulé"),1,0))</f>
        <v/>
      </c>
      <c r="AQ842" s="35" t="str">
        <f aca="false">IF($B842="","",AO842+AP842)</f>
        <v/>
      </c>
      <c r="AR842" s="36" t="str">
        <f aca="false">IF(OR($B842="",J842=""),"",IFERROR(VALUE(LEFT(J842,1)),""))</f>
        <v/>
      </c>
      <c r="AS842" s="35" t="str">
        <f aca="false">IF(OR(AO842&lt;&gt;1,G842=""),"",IFERROR(IF(INDEX(L_SrcInterne,MATCH(G842,L_Sources,0))="Oui",1,0),""))</f>
        <v/>
      </c>
      <c r="AT842" s="37" t="str">
        <f aca="false">IF(AO842&lt;&gt;1,"",IFERROR(ROUND(IF(OR(N842="",O842=""),"",IF(O842&lt;N842,"",ROUND(((NETWORKDAYS(N842,O842,JoursFeries)-1)*(HFer-HOuv)+IF(NETWORKDAYS(O842,O842,JoursFeries),MEDIAN(MOD(O842,1),HFer,HOuv),HFer)-IF(NETWORKDAYS(N842,N842,JoursFeries),MEDIAN(MOD(N842,1),HFer,HOuv),HOuv))*24,4)))/HJour,4),""))</f>
        <v/>
      </c>
      <c r="AU842" s="37" t="str">
        <f aca="false">IF(AO842&lt;&gt;1,"",IF(OR(O842="",P842=""),"",IF(P842&lt;O842,"",ROUND(((NETWORKDAYS(O842,P842,JoursFeries)-1)*(HFer-HOuv)+IF(NETWORKDAYS(P842,P842,JoursFeries),MEDIAN(MOD(P842,1),HFer,HOuv),HFer)-IF(NETWORKDAYS(O842,O842,JoursFeries),MEDIAN(MOD(O842,1),HFer,HOuv),HOuv))*24,4))))</f>
        <v/>
      </c>
      <c r="AV842" s="37" t="str">
        <f aca="false">IF(AO842&lt;&gt;1,"",IF(OR(P842="",Q842=""),"",IF(Q842&lt;P842,"",ROUND(((NETWORKDAYS(P842,Q842,JoursFeries)-1)*(HFer-HOuv)+IF(NETWORKDAYS(Q842,Q842,JoursFeries),MEDIAN(MOD(Q842,1),HFer,HOuv),HFer)-IF(NETWORKDAYS(P842,P842,JoursFeries),MEDIAN(MOD(P842,1),HFer,HOuv),HOuv))*24,4))))</f>
        <v/>
      </c>
      <c r="AW842" s="37" t="str">
        <f aca="false">IF(AO842&lt;&gt;1,"",IFERROR(ROUND(IF(OR(P842="",R842=""),"",IF(R842&lt;P842,"",ROUND(((NETWORKDAYS(P842,R842,JoursFeries)-1)*(HFer-HOuv)+IF(NETWORKDAYS(R842,R842,JoursFeries),MEDIAN(MOD(R842,1),HFer,HOuv),HFer)-IF(NETWORKDAYS(P842,P842,JoursFeries),MEDIAN(MOD(P842,1),HFer,HOuv),HOuv))*24,4)))/HJour,4),""))</f>
        <v/>
      </c>
      <c r="AX842" s="37" t="str">
        <f aca="false">IF(AO842&lt;&gt;1,"",IFERROR(ROUND(IF(OR(P842="",S842=""),"",IF(S842&lt;P842,"",ROUND(((NETWORKDAYS(P842,S842,JoursFeries)-1)*(HFer-HOuv)+IF(NETWORKDAYS(S842,S842,JoursFeries),MEDIAN(MOD(S842,1),HFer,HOuv),HFer)-IF(NETWORKDAYS(P842,P842,JoursFeries),MEDIAN(MOD(P842,1),HFer,HOuv),HOuv))*24,4)))/HJour,4),""))</f>
        <v/>
      </c>
      <c r="AY842" s="36" t="str">
        <f aca="false">IF(OR(AO842&lt;&gt;1,AR842=""),"",INDEX(SLA_PEC,AR842))</f>
        <v/>
      </c>
      <c r="AZ842" s="35" t="str">
        <f aca="false">IF(OR(AV842="",AY842=""),"",IF(AV842&lt;=AY842,1,0))</f>
        <v/>
      </c>
      <c r="BA842" s="36" t="str">
        <f aca="false">IF(OR(AO842&lt;&gt;1,AR842=""),"",INDEX(SLA_RES,AR842))</f>
        <v/>
      </c>
      <c r="BB842" s="35" t="str">
        <f aca="false">IF(OR(AW842="",BA842=""),"",IF(AW842&lt;=BA842,1,0))</f>
        <v/>
      </c>
      <c r="BC842" s="38" t="str">
        <f aca="false">IF(OR(BA842="",P842=""),"",WORKDAY(INT(P842),BA842,JoursFeries)+MOD(P842,1))</f>
        <v/>
      </c>
      <c r="BD842" s="39" t="str">
        <f aca="false">IF(AO842&lt;&gt;1,"",IF(OR(AB842&lt;&gt;"",AD842&lt;&gt;""),4,IF(U842&lt;&gt;"",3,IF(T842&lt;&gt;"",2,1))))</f>
        <v/>
      </c>
      <c r="BE842" s="39" t="str">
        <f aca="false">IF(OR(AO842&lt;&gt;1,AR842=""),"",INDEX(NIV_REQ,AR842))</f>
        <v/>
      </c>
      <c r="BF842" s="39" t="str">
        <f aca="false">IF(BE842="","",MAX(BE842,IF(OR(K842="Oui",Z842="Oui"),4,1)))</f>
        <v/>
      </c>
      <c r="BG842" s="35" t="str">
        <f aca="false">IF(OR(BF842="",BD842=""),"",IF(BD842&gt;=BF842,1,0))</f>
        <v/>
      </c>
      <c r="BH842" s="38" t="str">
        <f aca="false">IF(BE842="","",IF(BE842&lt;2,"",IF(BE842=2,IF(AND(T842="",U842=""),"",MIN(T842,U842)),IF(U842="","",U842))))</f>
        <v/>
      </c>
      <c r="BI842" s="37" t="str">
        <f aca="false">IF(BH842="","",IF(OR(O842="",BH842=""),"",IF(BH842&lt;O842,"",ROUND(((NETWORKDAYS(O842,BH842,JoursFeries)-1)*(HFer-HOuv)+IF(NETWORKDAYS(BH842,BH842,JoursFeries),MEDIAN(MOD(BH842,1),HFer,HOuv),HFer)-IF(NETWORKDAYS(O842,O842,JoursFeries),MEDIAN(MOD(O842,1),HFer,HOuv),HOuv))*24,4))))</f>
        <v/>
      </c>
      <c r="BJ842" s="35" t="str">
        <f aca="false">IF(OR(BI842="",AR842=""),"",IF(BI842&lt;=INDEX(DELAI_ESC,AR842),1,0))</f>
        <v/>
      </c>
      <c r="BK842" s="38" t="str">
        <f aca="false">IF(AO842&lt;&gt;1,"",IF(AND(T842="",U842=""),"",MIN(T842,U842)))</f>
        <v/>
      </c>
      <c r="BL842" s="37" t="str">
        <f aca="false">IF(OR(BK842="",R842=""),"",IFERROR(ROUND(IF(OR(BK842="",R842=""),"",IF(R842&lt;BK842,"",ROUND(((NETWORKDAYS(BK842,R842,JoursFeries)-1)*(HFer-HOuv)+IF(NETWORKDAYS(R842,R842,JoursFeries),MEDIAN(MOD(R842,1),HFer,HOuv),HFer)-IF(NETWORKDAYS(BK842,BK842,JoursFeries),MEDIAN(MOD(BK842,1),HFer,HOuv),HOuv))*24,4)))/HJour,4),""))</f>
        <v/>
      </c>
      <c r="BM842" s="35" t="str">
        <f aca="false">IF(OR(AO842&lt;&gt;1,R842=""),"",IF(BD842=1,1,0))</f>
        <v/>
      </c>
      <c r="BN842" s="35" t="str">
        <f aca="false">IF(AO842&lt;&gt;1,"",IF(W842="Oui",1,0))</f>
        <v/>
      </c>
      <c r="BO842" s="35" t="str">
        <f aca="false">IF(AO842&lt;&gt;1,"",IF(X842&lt;&gt;"",1,0))</f>
        <v/>
      </c>
      <c r="BP842" s="35" t="str">
        <f aca="false">IF(AO842&lt;&gt;1,"",IF(Y842="Oui",1,0))</f>
        <v/>
      </c>
      <c r="BQ842" s="35" t="str">
        <f aca="true">IF(OR(AO842&lt;&gt;1,Z842&lt;&gt;"Oui"),"",IF(AB842="",IF(AND(AA842&lt;&gt;"",NOW()&gt;AA842),0,""),IF(AA842="","",IF(AB842&lt;=AA842,1,0))))</f>
        <v/>
      </c>
      <c r="BR842" s="38" t="str">
        <f aca="false">IF(OR(AO842&lt;&gt;1,K842&lt;&gt;"Oui",O842=""),"",IF(AC842="",O842+DORA_H_DET/24,IF(AC842-O842&lt;=DORA_H_DET/24,MIN(AC842+DORA_H_CLA/24,O842+DORA_H_DET/24),AC842+DORA_H_CLA/24)))</f>
        <v/>
      </c>
      <c r="BS842" s="35" t="str">
        <f aca="true">IF(BR842="","",IF(AD842="",IF(NOW()&gt;BR842,0,""),IF(AD842&lt;=BR842,1,0)))</f>
        <v/>
      </c>
      <c r="BT842" s="35" t="str">
        <f aca="true">IF(OR(BR842="",AD842=""),"",IF(AE842="",IF(NOW()&gt;AD842+DORA_H_INT/24,0,""),IF(AE842&lt;=AD842+DORA_H_INT/24,1,0)))</f>
        <v/>
      </c>
      <c r="BU842" s="35" t="str">
        <f aca="true">IF(OR(BR842="",AE842=""),"",IF(AF842="",IF(NOW()&gt;EDATE(AE842,DORA_M_FIN)+1,0,""),IF(AF842&lt;=EDATE(AE842,DORA_M_FIN),1,0)))</f>
        <v/>
      </c>
      <c r="BV842" s="35" t="str">
        <f aca="false">IF(BR842="","",IF(COUNT(BS842:BU842)=0,"",MIN(BS842:BU842)))</f>
        <v/>
      </c>
      <c r="BW842" s="40" t="str">
        <f aca="false">IF(AQ842&lt;&gt;1,"",IF(AND(AG842="",AH842=""),"",N(AG842)-N(AH842)))</f>
        <v/>
      </c>
      <c r="BX842" s="35" t="str">
        <f aca="true">IF(OR(AQ842&lt;&gt;1,AI842&lt;&gt;"Oui",AJ842=""),"",IF(AK842="",IF(NOW()&gt;AJ842+1,0,""),IF(AK842&lt;=AJ842,1,0)))</f>
        <v/>
      </c>
    </row>
    <row r="843" customFormat="false" ht="15" hidden="false" customHeight="false" outlineLevel="0" collapsed="false">
      <c r="B843" s="29"/>
      <c r="C843" s="29"/>
      <c r="D843" s="29"/>
      <c r="E843" s="29"/>
      <c r="F843" s="29"/>
      <c r="G843" s="29"/>
      <c r="H843" s="29"/>
      <c r="I843" s="29"/>
      <c r="J843" s="29"/>
      <c r="K843" s="29"/>
      <c r="L843" s="29"/>
      <c r="M843" s="29"/>
      <c r="N843" s="30"/>
      <c r="O843" s="30"/>
      <c r="P843" s="30"/>
      <c r="Q843" s="30"/>
      <c r="R843" s="30"/>
      <c r="S843" s="30"/>
      <c r="T843" s="30"/>
      <c r="U843" s="30"/>
      <c r="V843" s="31"/>
      <c r="W843" s="29"/>
      <c r="X843" s="29"/>
      <c r="Y843" s="29"/>
      <c r="Z843" s="29"/>
      <c r="AA843" s="30"/>
      <c r="AB843" s="30"/>
      <c r="AC843" s="30"/>
      <c r="AD843" s="30"/>
      <c r="AE843" s="30"/>
      <c r="AF843" s="32"/>
      <c r="AG843" s="33"/>
      <c r="AH843" s="33"/>
      <c r="AI843" s="29"/>
      <c r="AJ843" s="32"/>
      <c r="AK843" s="32"/>
      <c r="AL843" s="29"/>
      <c r="AN843" s="34" t="str">
        <f aca="false">IF($B843="","",IF(OR(C843="",D843="",E843="",G843="",I843="",J843="",L843="",O843="",P843=""),"Champ obligatoire manquant",IF(OR(AND(N843&lt;&gt;"",N843&gt;O843),O843&gt;P843,AND(Q843&lt;&gt;"",Q843&lt;P843),AND(R843&lt;&gt;"",R843&lt;P843),AND(S843&lt;&gt;"",S843&lt;R843),AND(S843&lt;&gt;"",R843=""),AND(T843&lt;&gt;"",T843&lt;O843),AND(U843&lt;&gt;"",U843&lt;O843)),"Chronologie incohérente",IF(AND(OR(L843="Résolu",L843="Clos"),R843=""),"Date de résolution manquante",IF(AND(L843="Clos",S843=""),"Date de clôture manquante",IF(AND(K843="Oui",AC843=""),"Classification DORA manquante","OK"))))))</f>
        <v/>
      </c>
      <c r="AO843" s="35" t="str">
        <f aca="false">IF($B843="","",IF(AND(C843="Incident",L843&lt;&gt;"Annulé"),1,0))</f>
        <v/>
      </c>
      <c r="AP843" s="35" t="str">
        <f aca="false">IF($B843="","",IF(AND(C843="Quasi-incident",L843&lt;&gt;"Annulé"),1,0))</f>
        <v/>
      </c>
      <c r="AQ843" s="35" t="str">
        <f aca="false">IF($B843="","",AO843+AP843)</f>
        <v/>
      </c>
      <c r="AR843" s="36" t="str">
        <f aca="false">IF(OR($B843="",J843=""),"",IFERROR(VALUE(LEFT(J843,1)),""))</f>
        <v/>
      </c>
      <c r="AS843" s="35" t="str">
        <f aca="false">IF(OR(AO843&lt;&gt;1,G843=""),"",IFERROR(IF(INDEX(L_SrcInterne,MATCH(G843,L_Sources,0))="Oui",1,0),""))</f>
        <v/>
      </c>
      <c r="AT843" s="37" t="str">
        <f aca="false">IF(AO843&lt;&gt;1,"",IFERROR(ROUND(IF(OR(N843="",O843=""),"",IF(O843&lt;N843,"",ROUND(((NETWORKDAYS(N843,O843,JoursFeries)-1)*(HFer-HOuv)+IF(NETWORKDAYS(O843,O843,JoursFeries),MEDIAN(MOD(O843,1),HFer,HOuv),HFer)-IF(NETWORKDAYS(N843,N843,JoursFeries),MEDIAN(MOD(N843,1),HFer,HOuv),HOuv))*24,4)))/HJour,4),""))</f>
        <v/>
      </c>
      <c r="AU843" s="37" t="str">
        <f aca="false">IF(AO843&lt;&gt;1,"",IF(OR(O843="",P843=""),"",IF(P843&lt;O843,"",ROUND(((NETWORKDAYS(O843,P843,JoursFeries)-1)*(HFer-HOuv)+IF(NETWORKDAYS(P843,P843,JoursFeries),MEDIAN(MOD(P843,1),HFer,HOuv),HFer)-IF(NETWORKDAYS(O843,O843,JoursFeries),MEDIAN(MOD(O843,1),HFer,HOuv),HOuv))*24,4))))</f>
        <v/>
      </c>
      <c r="AV843" s="37" t="str">
        <f aca="false">IF(AO843&lt;&gt;1,"",IF(OR(P843="",Q843=""),"",IF(Q843&lt;P843,"",ROUND(((NETWORKDAYS(P843,Q843,JoursFeries)-1)*(HFer-HOuv)+IF(NETWORKDAYS(Q843,Q843,JoursFeries),MEDIAN(MOD(Q843,1),HFer,HOuv),HFer)-IF(NETWORKDAYS(P843,P843,JoursFeries),MEDIAN(MOD(P843,1),HFer,HOuv),HOuv))*24,4))))</f>
        <v/>
      </c>
      <c r="AW843" s="37" t="str">
        <f aca="false">IF(AO843&lt;&gt;1,"",IFERROR(ROUND(IF(OR(P843="",R843=""),"",IF(R843&lt;P843,"",ROUND(((NETWORKDAYS(P843,R843,JoursFeries)-1)*(HFer-HOuv)+IF(NETWORKDAYS(R843,R843,JoursFeries),MEDIAN(MOD(R843,1),HFer,HOuv),HFer)-IF(NETWORKDAYS(P843,P843,JoursFeries),MEDIAN(MOD(P843,1),HFer,HOuv),HOuv))*24,4)))/HJour,4),""))</f>
        <v/>
      </c>
      <c r="AX843" s="37" t="str">
        <f aca="false">IF(AO843&lt;&gt;1,"",IFERROR(ROUND(IF(OR(P843="",S843=""),"",IF(S843&lt;P843,"",ROUND(((NETWORKDAYS(P843,S843,JoursFeries)-1)*(HFer-HOuv)+IF(NETWORKDAYS(S843,S843,JoursFeries),MEDIAN(MOD(S843,1),HFer,HOuv),HFer)-IF(NETWORKDAYS(P843,P843,JoursFeries),MEDIAN(MOD(P843,1),HFer,HOuv),HOuv))*24,4)))/HJour,4),""))</f>
        <v/>
      </c>
      <c r="AY843" s="36" t="str">
        <f aca="false">IF(OR(AO843&lt;&gt;1,AR843=""),"",INDEX(SLA_PEC,AR843))</f>
        <v/>
      </c>
      <c r="AZ843" s="35" t="str">
        <f aca="false">IF(OR(AV843="",AY843=""),"",IF(AV843&lt;=AY843,1,0))</f>
        <v/>
      </c>
      <c r="BA843" s="36" t="str">
        <f aca="false">IF(OR(AO843&lt;&gt;1,AR843=""),"",INDEX(SLA_RES,AR843))</f>
        <v/>
      </c>
      <c r="BB843" s="35" t="str">
        <f aca="false">IF(OR(AW843="",BA843=""),"",IF(AW843&lt;=BA843,1,0))</f>
        <v/>
      </c>
      <c r="BC843" s="38" t="str">
        <f aca="false">IF(OR(BA843="",P843=""),"",WORKDAY(INT(P843),BA843,JoursFeries)+MOD(P843,1))</f>
        <v/>
      </c>
      <c r="BD843" s="39" t="str">
        <f aca="false">IF(AO843&lt;&gt;1,"",IF(OR(AB843&lt;&gt;"",AD843&lt;&gt;""),4,IF(U843&lt;&gt;"",3,IF(T843&lt;&gt;"",2,1))))</f>
        <v/>
      </c>
      <c r="BE843" s="39" t="str">
        <f aca="false">IF(OR(AO843&lt;&gt;1,AR843=""),"",INDEX(NIV_REQ,AR843))</f>
        <v/>
      </c>
      <c r="BF843" s="39" t="str">
        <f aca="false">IF(BE843="","",MAX(BE843,IF(OR(K843="Oui",Z843="Oui"),4,1)))</f>
        <v/>
      </c>
      <c r="BG843" s="35" t="str">
        <f aca="false">IF(OR(BF843="",BD843=""),"",IF(BD843&gt;=BF843,1,0))</f>
        <v/>
      </c>
      <c r="BH843" s="38" t="str">
        <f aca="false">IF(BE843="","",IF(BE843&lt;2,"",IF(BE843=2,IF(AND(T843="",U843=""),"",MIN(T843,U843)),IF(U843="","",U843))))</f>
        <v/>
      </c>
      <c r="BI843" s="37" t="str">
        <f aca="false">IF(BH843="","",IF(OR(O843="",BH843=""),"",IF(BH843&lt;O843,"",ROUND(((NETWORKDAYS(O843,BH843,JoursFeries)-1)*(HFer-HOuv)+IF(NETWORKDAYS(BH843,BH843,JoursFeries),MEDIAN(MOD(BH843,1),HFer,HOuv),HFer)-IF(NETWORKDAYS(O843,O843,JoursFeries),MEDIAN(MOD(O843,1),HFer,HOuv),HOuv))*24,4))))</f>
        <v/>
      </c>
      <c r="BJ843" s="35" t="str">
        <f aca="false">IF(OR(BI843="",AR843=""),"",IF(BI843&lt;=INDEX(DELAI_ESC,AR843),1,0))</f>
        <v/>
      </c>
      <c r="BK843" s="38" t="str">
        <f aca="false">IF(AO843&lt;&gt;1,"",IF(AND(T843="",U843=""),"",MIN(T843,U843)))</f>
        <v/>
      </c>
      <c r="BL843" s="37" t="str">
        <f aca="false">IF(OR(BK843="",R843=""),"",IFERROR(ROUND(IF(OR(BK843="",R843=""),"",IF(R843&lt;BK843,"",ROUND(((NETWORKDAYS(BK843,R843,JoursFeries)-1)*(HFer-HOuv)+IF(NETWORKDAYS(R843,R843,JoursFeries),MEDIAN(MOD(R843,1),HFer,HOuv),HFer)-IF(NETWORKDAYS(BK843,BK843,JoursFeries),MEDIAN(MOD(BK843,1),HFer,HOuv),HOuv))*24,4)))/HJour,4),""))</f>
        <v/>
      </c>
      <c r="BM843" s="35" t="str">
        <f aca="false">IF(OR(AO843&lt;&gt;1,R843=""),"",IF(BD843=1,1,0))</f>
        <v/>
      </c>
      <c r="BN843" s="35" t="str">
        <f aca="false">IF(AO843&lt;&gt;1,"",IF(W843="Oui",1,0))</f>
        <v/>
      </c>
      <c r="BO843" s="35" t="str">
        <f aca="false">IF(AO843&lt;&gt;1,"",IF(X843&lt;&gt;"",1,0))</f>
        <v/>
      </c>
      <c r="BP843" s="35" t="str">
        <f aca="false">IF(AO843&lt;&gt;1,"",IF(Y843="Oui",1,0))</f>
        <v/>
      </c>
      <c r="BQ843" s="35" t="str">
        <f aca="true">IF(OR(AO843&lt;&gt;1,Z843&lt;&gt;"Oui"),"",IF(AB843="",IF(AND(AA843&lt;&gt;"",NOW()&gt;AA843),0,""),IF(AA843="","",IF(AB843&lt;=AA843,1,0))))</f>
        <v/>
      </c>
      <c r="BR843" s="38" t="str">
        <f aca="false">IF(OR(AO843&lt;&gt;1,K843&lt;&gt;"Oui",O843=""),"",IF(AC843="",O843+DORA_H_DET/24,IF(AC843-O843&lt;=DORA_H_DET/24,MIN(AC843+DORA_H_CLA/24,O843+DORA_H_DET/24),AC843+DORA_H_CLA/24)))</f>
        <v/>
      </c>
      <c r="BS843" s="35" t="str">
        <f aca="true">IF(BR843="","",IF(AD843="",IF(NOW()&gt;BR843,0,""),IF(AD843&lt;=BR843,1,0)))</f>
        <v/>
      </c>
      <c r="BT843" s="35" t="str">
        <f aca="true">IF(OR(BR843="",AD843=""),"",IF(AE843="",IF(NOW()&gt;AD843+DORA_H_INT/24,0,""),IF(AE843&lt;=AD843+DORA_H_INT/24,1,0)))</f>
        <v/>
      </c>
      <c r="BU843" s="35" t="str">
        <f aca="true">IF(OR(BR843="",AE843=""),"",IF(AF843="",IF(NOW()&gt;EDATE(AE843,DORA_M_FIN)+1,0,""),IF(AF843&lt;=EDATE(AE843,DORA_M_FIN),1,0)))</f>
        <v/>
      </c>
      <c r="BV843" s="35" t="str">
        <f aca="false">IF(BR843="","",IF(COUNT(BS843:BU843)=0,"",MIN(BS843:BU843)))</f>
        <v/>
      </c>
      <c r="BW843" s="40" t="str">
        <f aca="false">IF(AQ843&lt;&gt;1,"",IF(AND(AG843="",AH843=""),"",N(AG843)-N(AH843)))</f>
        <v/>
      </c>
      <c r="BX843" s="35" t="str">
        <f aca="true">IF(OR(AQ843&lt;&gt;1,AI843&lt;&gt;"Oui",AJ843=""),"",IF(AK843="",IF(NOW()&gt;AJ843+1,0,""),IF(AK843&lt;=AJ843,1,0)))</f>
        <v/>
      </c>
    </row>
    <row r="844" customFormat="false" ht="15" hidden="false" customHeight="false" outlineLevel="0" collapsed="false">
      <c r="B844" s="29"/>
      <c r="C844" s="29"/>
      <c r="D844" s="29"/>
      <c r="E844" s="29"/>
      <c r="F844" s="29"/>
      <c r="G844" s="29"/>
      <c r="H844" s="29"/>
      <c r="I844" s="29"/>
      <c r="J844" s="29"/>
      <c r="K844" s="29"/>
      <c r="L844" s="29"/>
      <c r="M844" s="29"/>
      <c r="N844" s="30"/>
      <c r="O844" s="30"/>
      <c r="P844" s="30"/>
      <c r="Q844" s="30"/>
      <c r="R844" s="30"/>
      <c r="S844" s="30"/>
      <c r="T844" s="30"/>
      <c r="U844" s="30"/>
      <c r="V844" s="31"/>
      <c r="W844" s="29"/>
      <c r="X844" s="29"/>
      <c r="Y844" s="29"/>
      <c r="Z844" s="29"/>
      <c r="AA844" s="30"/>
      <c r="AB844" s="30"/>
      <c r="AC844" s="30"/>
      <c r="AD844" s="30"/>
      <c r="AE844" s="30"/>
      <c r="AF844" s="32"/>
      <c r="AG844" s="33"/>
      <c r="AH844" s="33"/>
      <c r="AI844" s="29"/>
      <c r="AJ844" s="32"/>
      <c r="AK844" s="32"/>
      <c r="AL844" s="29"/>
      <c r="AN844" s="34" t="str">
        <f aca="false">IF($B844="","",IF(OR(C844="",D844="",E844="",G844="",I844="",J844="",L844="",O844="",P844=""),"Champ obligatoire manquant",IF(OR(AND(N844&lt;&gt;"",N844&gt;O844),O844&gt;P844,AND(Q844&lt;&gt;"",Q844&lt;P844),AND(R844&lt;&gt;"",R844&lt;P844),AND(S844&lt;&gt;"",S844&lt;R844),AND(S844&lt;&gt;"",R844=""),AND(T844&lt;&gt;"",T844&lt;O844),AND(U844&lt;&gt;"",U844&lt;O844)),"Chronologie incohérente",IF(AND(OR(L844="Résolu",L844="Clos"),R844=""),"Date de résolution manquante",IF(AND(L844="Clos",S844=""),"Date de clôture manquante",IF(AND(K844="Oui",AC844=""),"Classification DORA manquante","OK"))))))</f>
        <v/>
      </c>
      <c r="AO844" s="35" t="str">
        <f aca="false">IF($B844="","",IF(AND(C844="Incident",L844&lt;&gt;"Annulé"),1,0))</f>
        <v/>
      </c>
      <c r="AP844" s="35" t="str">
        <f aca="false">IF($B844="","",IF(AND(C844="Quasi-incident",L844&lt;&gt;"Annulé"),1,0))</f>
        <v/>
      </c>
      <c r="AQ844" s="35" t="str">
        <f aca="false">IF($B844="","",AO844+AP844)</f>
        <v/>
      </c>
      <c r="AR844" s="36" t="str">
        <f aca="false">IF(OR($B844="",J844=""),"",IFERROR(VALUE(LEFT(J844,1)),""))</f>
        <v/>
      </c>
      <c r="AS844" s="35" t="str">
        <f aca="false">IF(OR(AO844&lt;&gt;1,G844=""),"",IFERROR(IF(INDEX(L_SrcInterne,MATCH(G844,L_Sources,0))="Oui",1,0),""))</f>
        <v/>
      </c>
      <c r="AT844" s="37" t="str">
        <f aca="false">IF(AO844&lt;&gt;1,"",IFERROR(ROUND(IF(OR(N844="",O844=""),"",IF(O844&lt;N844,"",ROUND(((NETWORKDAYS(N844,O844,JoursFeries)-1)*(HFer-HOuv)+IF(NETWORKDAYS(O844,O844,JoursFeries),MEDIAN(MOD(O844,1),HFer,HOuv),HFer)-IF(NETWORKDAYS(N844,N844,JoursFeries),MEDIAN(MOD(N844,1),HFer,HOuv),HOuv))*24,4)))/HJour,4),""))</f>
        <v/>
      </c>
      <c r="AU844" s="37" t="str">
        <f aca="false">IF(AO844&lt;&gt;1,"",IF(OR(O844="",P844=""),"",IF(P844&lt;O844,"",ROUND(((NETWORKDAYS(O844,P844,JoursFeries)-1)*(HFer-HOuv)+IF(NETWORKDAYS(P844,P844,JoursFeries),MEDIAN(MOD(P844,1),HFer,HOuv),HFer)-IF(NETWORKDAYS(O844,O844,JoursFeries),MEDIAN(MOD(O844,1),HFer,HOuv),HOuv))*24,4))))</f>
        <v/>
      </c>
      <c r="AV844" s="37" t="str">
        <f aca="false">IF(AO844&lt;&gt;1,"",IF(OR(P844="",Q844=""),"",IF(Q844&lt;P844,"",ROUND(((NETWORKDAYS(P844,Q844,JoursFeries)-1)*(HFer-HOuv)+IF(NETWORKDAYS(Q844,Q844,JoursFeries),MEDIAN(MOD(Q844,1),HFer,HOuv),HFer)-IF(NETWORKDAYS(P844,P844,JoursFeries),MEDIAN(MOD(P844,1),HFer,HOuv),HOuv))*24,4))))</f>
        <v/>
      </c>
      <c r="AW844" s="37" t="str">
        <f aca="false">IF(AO844&lt;&gt;1,"",IFERROR(ROUND(IF(OR(P844="",R844=""),"",IF(R844&lt;P844,"",ROUND(((NETWORKDAYS(P844,R844,JoursFeries)-1)*(HFer-HOuv)+IF(NETWORKDAYS(R844,R844,JoursFeries),MEDIAN(MOD(R844,1),HFer,HOuv),HFer)-IF(NETWORKDAYS(P844,P844,JoursFeries),MEDIAN(MOD(P844,1),HFer,HOuv),HOuv))*24,4)))/HJour,4),""))</f>
        <v/>
      </c>
      <c r="AX844" s="37" t="str">
        <f aca="false">IF(AO844&lt;&gt;1,"",IFERROR(ROUND(IF(OR(P844="",S844=""),"",IF(S844&lt;P844,"",ROUND(((NETWORKDAYS(P844,S844,JoursFeries)-1)*(HFer-HOuv)+IF(NETWORKDAYS(S844,S844,JoursFeries),MEDIAN(MOD(S844,1),HFer,HOuv),HFer)-IF(NETWORKDAYS(P844,P844,JoursFeries),MEDIAN(MOD(P844,1),HFer,HOuv),HOuv))*24,4)))/HJour,4),""))</f>
        <v/>
      </c>
      <c r="AY844" s="36" t="str">
        <f aca="false">IF(OR(AO844&lt;&gt;1,AR844=""),"",INDEX(SLA_PEC,AR844))</f>
        <v/>
      </c>
      <c r="AZ844" s="35" t="str">
        <f aca="false">IF(OR(AV844="",AY844=""),"",IF(AV844&lt;=AY844,1,0))</f>
        <v/>
      </c>
      <c r="BA844" s="36" t="str">
        <f aca="false">IF(OR(AO844&lt;&gt;1,AR844=""),"",INDEX(SLA_RES,AR844))</f>
        <v/>
      </c>
      <c r="BB844" s="35" t="str">
        <f aca="false">IF(OR(AW844="",BA844=""),"",IF(AW844&lt;=BA844,1,0))</f>
        <v/>
      </c>
      <c r="BC844" s="38" t="str">
        <f aca="false">IF(OR(BA844="",P844=""),"",WORKDAY(INT(P844),BA844,JoursFeries)+MOD(P844,1))</f>
        <v/>
      </c>
      <c r="BD844" s="39" t="str">
        <f aca="false">IF(AO844&lt;&gt;1,"",IF(OR(AB844&lt;&gt;"",AD844&lt;&gt;""),4,IF(U844&lt;&gt;"",3,IF(T844&lt;&gt;"",2,1))))</f>
        <v/>
      </c>
      <c r="BE844" s="39" t="str">
        <f aca="false">IF(OR(AO844&lt;&gt;1,AR844=""),"",INDEX(NIV_REQ,AR844))</f>
        <v/>
      </c>
      <c r="BF844" s="39" t="str">
        <f aca="false">IF(BE844="","",MAX(BE844,IF(OR(K844="Oui",Z844="Oui"),4,1)))</f>
        <v/>
      </c>
      <c r="BG844" s="35" t="str">
        <f aca="false">IF(OR(BF844="",BD844=""),"",IF(BD844&gt;=BF844,1,0))</f>
        <v/>
      </c>
      <c r="BH844" s="38" t="str">
        <f aca="false">IF(BE844="","",IF(BE844&lt;2,"",IF(BE844=2,IF(AND(T844="",U844=""),"",MIN(T844,U844)),IF(U844="","",U844))))</f>
        <v/>
      </c>
      <c r="BI844" s="37" t="str">
        <f aca="false">IF(BH844="","",IF(OR(O844="",BH844=""),"",IF(BH844&lt;O844,"",ROUND(((NETWORKDAYS(O844,BH844,JoursFeries)-1)*(HFer-HOuv)+IF(NETWORKDAYS(BH844,BH844,JoursFeries),MEDIAN(MOD(BH844,1),HFer,HOuv),HFer)-IF(NETWORKDAYS(O844,O844,JoursFeries),MEDIAN(MOD(O844,1),HFer,HOuv),HOuv))*24,4))))</f>
        <v/>
      </c>
      <c r="BJ844" s="35" t="str">
        <f aca="false">IF(OR(BI844="",AR844=""),"",IF(BI844&lt;=INDEX(DELAI_ESC,AR844),1,0))</f>
        <v/>
      </c>
      <c r="BK844" s="38" t="str">
        <f aca="false">IF(AO844&lt;&gt;1,"",IF(AND(T844="",U844=""),"",MIN(T844,U844)))</f>
        <v/>
      </c>
      <c r="BL844" s="37" t="str">
        <f aca="false">IF(OR(BK844="",R844=""),"",IFERROR(ROUND(IF(OR(BK844="",R844=""),"",IF(R844&lt;BK844,"",ROUND(((NETWORKDAYS(BK844,R844,JoursFeries)-1)*(HFer-HOuv)+IF(NETWORKDAYS(R844,R844,JoursFeries),MEDIAN(MOD(R844,1),HFer,HOuv),HFer)-IF(NETWORKDAYS(BK844,BK844,JoursFeries),MEDIAN(MOD(BK844,1),HFer,HOuv),HOuv))*24,4)))/HJour,4),""))</f>
        <v/>
      </c>
      <c r="BM844" s="35" t="str">
        <f aca="false">IF(OR(AO844&lt;&gt;1,R844=""),"",IF(BD844=1,1,0))</f>
        <v/>
      </c>
      <c r="BN844" s="35" t="str">
        <f aca="false">IF(AO844&lt;&gt;1,"",IF(W844="Oui",1,0))</f>
        <v/>
      </c>
      <c r="BO844" s="35" t="str">
        <f aca="false">IF(AO844&lt;&gt;1,"",IF(X844&lt;&gt;"",1,0))</f>
        <v/>
      </c>
      <c r="BP844" s="35" t="str">
        <f aca="false">IF(AO844&lt;&gt;1,"",IF(Y844="Oui",1,0))</f>
        <v/>
      </c>
      <c r="BQ844" s="35" t="str">
        <f aca="true">IF(OR(AO844&lt;&gt;1,Z844&lt;&gt;"Oui"),"",IF(AB844="",IF(AND(AA844&lt;&gt;"",NOW()&gt;AA844),0,""),IF(AA844="","",IF(AB844&lt;=AA844,1,0))))</f>
        <v/>
      </c>
      <c r="BR844" s="38" t="str">
        <f aca="false">IF(OR(AO844&lt;&gt;1,K844&lt;&gt;"Oui",O844=""),"",IF(AC844="",O844+DORA_H_DET/24,IF(AC844-O844&lt;=DORA_H_DET/24,MIN(AC844+DORA_H_CLA/24,O844+DORA_H_DET/24),AC844+DORA_H_CLA/24)))</f>
        <v/>
      </c>
      <c r="BS844" s="35" t="str">
        <f aca="true">IF(BR844="","",IF(AD844="",IF(NOW()&gt;BR844,0,""),IF(AD844&lt;=BR844,1,0)))</f>
        <v/>
      </c>
      <c r="BT844" s="35" t="str">
        <f aca="true">IF(OR(BR844="",AD844=""),"",IF(AE844="",IF(NOW()&gt;AD844+DORA_H_INT/24,0,""),IF(AE844&lt;=AD844+DORA_H_INT/24,1,0)))</f>
        <v/>
      </c>
      <c r="BU844" s="35" t="str">
        <f aca="true">IF(OR(BR844="",AE844=""),"",IF(AF844="",IF(NOW()&gt;EDATE(AE844,DORA_M_FIN)+1,0,""),IF(AF844&lt;=EDATE(AE844,DORA_M_FIN),1,0)))</f>
        <v/>
      </c>
      <c r="BV844" s="35" t="str">
        <f aca="false">IF(BR844="","",IF(COUNT(BS844:BU844)=0,"",MIN(BS844:BU844)))</f>
        <v/>
      </c>
      <c r="BW844" s="40" t="str">
        <f aca="false">IF(AQ844&lt;&gt;1,"",IF(AND(AG844="",AH844=""),"",N(AG844)-N(AH844)))</f>
        <v/>
      </c>
      <c r="BX844" s="35" t="str">
        <f aca="true">IF(OR(AQ844&lt;&gt;1,AI844&lt;&gt;"Oui",AJ844=""),"",IF(AK844="",IF(NOW()&gt;AJ844+1,0,""),IF(AK844&lt;=AJ844,1,0)))</f>
        <v/>
      </c>
    </row>
    <row r="845" customFormat="false" ht="15" hidden="false" customHeight="false" outlineLevel="0" collapsed="false">
      <c r="B845" s="29"/>
      <c r="C845" s="29"/>
      <c r="D845" s="29"/>
      <c r="E845" s="29"/>
      <c r="F845" s="29"/>
      <c r="G845" s="29"/>
      <c r="H845" s="29"/>
      <c r="I845" s="29"/>
      <c r="J845" s="29"/>
      <c r="K845" s="29"/>
      <c r="L845" s="29"/>
      <c r="M845" s="29"/>
      <c r="N845" s="30"/>
      <c r="O845" s="30"/>
      <c r="P845" s="30"/>
      <c r="Q845" s="30"/>
      <c r="R845" s="30"/>
      <c r="S845" s="30"/>
      <c r="T845" s="30"/>
      <c r="U845" s="30"/>
      <c r="V845" s="31"/>
      <c r="W845" s="29"/>
      <c r="X845" s="29"/>
      <c r="Y845" s="29"/>
      <c r="Z845" s="29"/>
      <c r="AA845" s="30"/>
      <c r="AB845" s="30"/>
      <c r="AC845" s="30"/>
      <c r="AD845" s="30"/>
      <c r="AE845" s="30"/>
      <c r="AF845" s="32"/>
      <c r="AG845" s="33"/>
      <c r="AH845" s="33"/>
      <c r="AI845" s="29"/>
      <c r="AJ845" s="32"/>
      <c r="AK845" s="32"/>
      <c r="AL845" s="29"/>
      <c r="AN845" s="34" t="str">
        <f aca="false">IF($B845="","",IF(OR(C845="",D845="",E845="",G845="",I845="",J845="",L845="",O845="",P845=""),"Champ obligatoire manquant",IF(OR(AND(N845&lt;&gt;"",N845&gt;O845),O845&gt;P845,AND(Q845&lt;&gt;"",Q845&lt;P845),AND(R845&lt;&gt;"",R845&lt;P845),AND(S845&lt;&gt;"",S845&lt;R845),AND(S845&lt;&gt;"",R845=""),AND(T845&lt;&gt;"",T845&lt;O845),AND(U845&lt;&gt;"",U845&lt;O845)),"Chronologie incohérente",IF(AND(OR(L845="Résolu",L845="Clos"),R845=""),"Date de résolution manquante",IF(AND(L845="Clos",S845=""),"Date de clôture manquante",IF(AND(K845="Oui",AC845=""),"Classification DORA manquante","OK"))))))</f>
        <v/>
      </c>
      <c r="AO845" s="35" t="str">
        <f aca="false">IF($B845="","",IF(AND(C845="Incident",L845&lt;&gt;"Annulé"),1,0))</f>
        <v/>
      </c>
      <c r="AP845" s="35" t="str">
        <f aca="false">IF($B845="","",IF(AND(C845="Quasi-incident",L845&lt;&gt;"Annulé"),1,0))</f>
        <v/>
      </c>
      <c r="AQ845" s="35" t="str">
        <f aca="false">IF($B845="","",AO845+AP845)</f>
        <v/>
      </c>
      <c r="AR845" s="36" t="str">
        <f aca="false">IF(OR($B845="",J845=""),"",IFERROR(VALUE(LEFT(J845,1)),""))</f>
        <v/>
      </c>
      <c r="AS845" s="35" t="str">
        <f aca="false">IF(OR(AO845&lt;&gt;1,G845=""),"",IFERROR(IF(INDEX(L_SrcInterne,MATCH(G845,L_Sources,0))="Oui",1,0),""))</f>
        <v/>
      </c>
      <c r="AT845" s="37" t="str">
        <f aca="false">IF(AO845&lt;&gt;1,"",IFERROR(ROUND(IF(OR(N845="",O845=""),"",IF(O845&lt;N845,"",ROUND(((NETWORKDAYS(N845,O845,JoursFeries)-1)*(HFer-HOuv)+IF(NETWORKDAYS(O845,O845,JoursFeries),MEDIAN(MOD(O845,1),HFer,HOuv),HFer)-IF(NETWORKDAYS(N845,N845,JoursFeries),MEDIAN(MOD(N845,1),HFer,HOuv),HOuv))*24,4)))/HJour,4),""))</f>
        <v/>
      </c>
      <c r="AU845" s="37" t="str">
        <f aca="false">IF(AO845&lt;&gt;1,"",IF(OR(O845="",P845=""),"",IF(P845&lt;O845,"",ROUND(((NETWORKDAYS(O845,P845,JoursFeries)-1)*(HFer-HOuv)+IF(NETWORKDAYS(P845,P845,JoursFeries),MEDIAN(MOD(P845,1),HFer,HOuv),HFer)-IF(NETWORKDAYS(O845,O845,JoursFeries),MEDIAN(MOD(O845,1),HFer,HOuv),HOuv))*24,4))))</f>
        <v/>
      </c>
      <c r="AV845" s="37" t="str">
        <f aca="false">IF(AO845&lt;&gt;1,"",IF(OR(P845="",Q845=""),"",IF(Q845&lt;P845,"",ROUND(((NETWORKDAYS(P845,Q845,JoursFeries)-1)*(HFer-HOuv)+IF(NETWORKDAYS(Q845,Q845,JoursFeries),MEDIAN(MOD(Q845,1),HFer,HOuv),HFer)-IF(NETWORKDAYS(P845,P845,JoursFeries),MEDIAN(MOD(P845,1),HFer,HOuv),HOuv))*24,4))))</f>
        <v/>
      </c>
      <c r="AW845" s="37" t="str">
        <f aca="false">IF(AO845&lt;&gt;1,"",IFERROR(ROUND(IF(OR(P845="",R845=""),"",IF(R845&lt;P845,"",ROUND(((NETWORKDAYS(P845,R845,JoursFeries)-1)*(HFer-HOuv)+IF(NETWORKDAYS(R845,R845,JoursFeries),MEDIAN(MOD(R845,1),HFer,HOuv),HFer)-IF(NETWORKDAYS(P845,P845,JoursFeries),MEDIAN(MOD(P845,1),HFer,HOuv),HOuv))*24,4)))/HJour,4),""))</f>
        <v/>
      </c>
      <c r="AX845" s="37" t="str">
        <f aca="false">IF(AO845&lt;&gt;1,"",IFERROR(ROUND(IF(OR(P845="",S845=""),"",IF(S845&lt;P845,"",ROUND(((NETWORKDAYS(P845,S845,JoursFeries)-1)*(HFer-HOuv)+IF(NETWORKDAYS(S845,S845,JoursFeries),MEDIAN(MOD(S845,1),HFer,HOuv),HFer)-IF(NETWORKDAYS(P845,P845,JoursFeries),MEDIAN(MOD(P845,1),HFer,HOuv),HOuv))*24,4)))/HJour,4),""))</f>
        <v/>
      </c>
      <c r="AY845" s="36" t="str">
        <f aca="false">IF(OR(AO845&lt;&gt;1,AR845=""),"",INDEX(SLA_PEC,AR845))</f>
        <v/>
      </c>
      <c r="AZ845" s="35" t="str">
        <f aca="false">IF(OR(AV845="",AY845=""),"",IF(AV845&lt;=AY845,1,0))</f>
        <v/>
      </c>
      <c r="BA845" s="36" t="str">
        <f aca="false">IF(OR(AO845&lt;&gt;1,AR845=""),"",INDEX(SLA_RES,AR845))</f>
        <v/>
      </c>
      <c r="BB845" s="35" t="str">
        <f aca="false">IF(OR(AW845="",BA845=""),"",IF(AW845&lt;=BA845,1,0))</f>
        <v/>
      </c>
      <c r="BC845" s="38" t="str">
        <f aca="false">IF(OR(BA845="",P845=""),"",WORKDAY(INT(P845),BA845,JoursFeries)+MOD(P845,1))</f>
        <v/>
      </c>
      <c r="BD845" s="39" t="str">
        <f aca="false">IF(AO845&lt;&gt;1,"",IF(OR(AB845&lt;&gt;"",AD845&lt;&gt;""),4,IF(U845&lt;&gt;"",3,IF(T845&lt;&gt;"",2,1))))</f>
        <v/>
      </c>
      <c r="BE845" s="39" t="str">
        <f aca="false">IF(OR(AO845&lt;&gt;1,AR845=""),"",INDEX(NIV_REQ,AR845))</f>
        <v/>
      </c>
      <c r="BF845" s="39" t="str">
        <f aca="false">IF(BE845="","",MAX(BE845,IF(OR(K845="Oui",Z845="Oui"),4,1)))</f>
        <v/>
      </c>
      <c r="BG845" s="35" t="str">
        <f aca="false">IF(OR(BF845="",BD845=""),"",IF(BD845&gt;=BF845,1,0))</f>
        <v/>
      </c>
      <c r="BH845" s="38" t="str">
        <f aca="false">IF(BE845="","",IF(BE845&lt;2,"",IF(BE845=2,IF(AND(T845="",U845=""),"",MIN(T845,U845)),IF(U845="","",U845))))</f>
        <v/>
      </c>
      <c r="BI845" s="37" t="str">
        <f aca="false">IF(BH845="","",IF(OR(O845="",BH845=""),"",IF(BH845&lt;O845,"",ROUND(((NETWORKDAYS(O845,BH845,JoursFeries)-1)*(HFer-HOuv)+IF(NETWORKDAYS(BH845,BH845,JoursFeries),MEDIAN(MOD(BH845,1),HFer,HOuv),HFer)-IF(NETWORKDAYS(O845,O845,JoursFeries),MEDIAN(MOD(O845,1),HFer,HOuv),HOuv))*24,4))))</f>
        <v/>
      </c>
      <c r="BJ845" s="35" t="str">
        <f aca="false">IF(OR(BI845="",AR845=""),"",IF(BI845&lt;=INDEX(DELAI_ESC,AR845),1,0))</f>
        <v/>
      </c>
      <c r="BK845" s="38" t="str">
        <f aca="false">IF(AO845&lt;&gt;1,"",IF(AND(T845="",U845=""),"",MIN(T845,U845)))</f>
        <v/>
      </c>
      <c r="BL845" s="37" t="str">
        <f aca="false">IF(OR(BK845="",R845=""),"",IFERROR(ROUND(IF(OR(BK845="",R845=""),"",IF(R845&lt;BK845,"",ROUND(((NETWORKDAYS(BK845,R845,JoursFeries)-1)*(HFer-HOuv)+IF(NETWORKDAYS(R845,R845,JoursFeries),MEDIAN(MOD(R845,1),HFer,HOuv),HFer)-IF(NETWORKDAYS(BK845,BK845,JoursFeries),MEDIAN(MOD(BK845,1),HFer,HOuv),HOuv))*24,4)))/HJour,4),""))</f>
        <v/>
      </c>
      <c r="BM845" s="35" t="str">
        <f aca="false">IF(OR(AO845&lt;&gt;1,R845=""),"",IF(BD845=1,1,0))</f>
        <v/>
      </c>
      <c r="BN845" s="35" t="str">
        <f aca="false">IF(AO845&lt;&gt;1,"",IF(W845="Oui",1,0))</f>
        <v/>
      </c>
      <c r="BO845" s="35" t="str">
        <f aca="false">IF(AO845&lt;&gt;1,"",IF(X845&lt;&gt;"",1,0))</f>
        <v/>
      </c>
      <c r="BP845" s="35" t="str">
        <f aca="false">IF(AO845&lt;&gt;1,"",IF(Y845="Oui",1,0))</f>
        <v/>
      </c>
      <c r="BQ845" s="35" t="str">
        <f aca="true">IF(OR(AO845&lt;&gt;1,Z845&lt;&gt;"Oui"),"",IF(AB845="",IF(AND(AA845&lt;&gt;"",NOW()&gt;AA845),0,""),IF(AA845="","",IF(AB845&lt;=AA845,1,0))))</f>
        <v/>
      </c>
      <c r="BR845" s="38" t="str">
        <f aca="false">IF(OR(AO845&lt;&gt;1,K845&lt;&gt;"Oui",O845=""),"",IF(AC845="",O845+DORA_H_DET/24,IF(AC845-O845&lt;=DORA_H_DET/24,MIN(AC845+DORA_H_CLA/24,O845+DORA_H_DET/24),AC845+DORA_H_CLA/24)))</f>
        <v/>
      </c>
      <c r="BS845" s="35" t="str">
        <f aca="true">IF(BR845="","",IF(AD845="",IF(NOW()&gt;BR845,0,""),IF(AD845&lt;=BR845,1,0)))</f>
        <v/>
      </c>
      <c r="BT845" s="35" t="str">
        <f aca="true">IF(OR(BR845="",AD845=""),"",IF(AE845="",IF(NOW()&gt;AD845+DORA_H_INT/24,0,""),IF(AE845&lt;=AD845+DORA_H_INT/24,1,0)))</f>
        <v/>
      </c>
      <c r="BU845" s="35" t="str">
        <f aca="true">IF(OR(BR845="",AE845=""),"",IF(AF845="",IF(NOW()&gt;EDATE(AE845,DORA_M_FIN)+1,0,""),IF(AF845&lt;=EDATE(AE845,DORA_M_FIN),1,0)))</f>
        <v/>
      </c>
      <c r="BV845" s="35" t="str">
        <f aca="false">IF(BR845="","",IF(COUNT(BS845:BU845)=0,"",MIN(BS845:BU845)))</f>
        <v/>
      </c>
      <c r="BW845" s="40" t="str">
        <f aca="false">IF(AQ845&lt;&gt;1,"",IF(AND(AG845="",AH845=""),"",N(AG845)-N(AH845)))</f>
        <v/>
      </c>
      <c r="BX845" s="35" t="str">
        <f aca="true">IF(OR(AQ845&lt;&gt;1,AI845&lt;&gt;"Oui",AJ845=""),"",IF(AK845="",IF(NOW()&gt;AJ845+1,0,""),IF(AK845&lt;=AJ845,1,0)))</f>
        <v/>
      </c>
    </row>
    <row r="846" customFormat="false" ht="15" hidden="false" customHeight="false" outlineLevel="0" collapsed="false">
      <c r="B846" s="29"/>
      <c r="C846" s="29"/>
      <c r="D846" s="29"/>
      <c r="E846" s="29"/>
      <c r="F846" s="29"/>
      <c r="G846" s="29"/>
      <c r="H846" s="29"/>
      <c r="I846" s="29"/>
      <c r="J846" s="29"/>
      <c r="K846" s="29"/>
      <c r="L846" s="29"/>
      <c r="M846" s="29"/>
      <c r="N846" s="30"/>
      <c r="O846" s="30"/>
      <c r="P846" s="30"/>
      <c r="Q846" s="30"/>
      <c r="R846" s="30"/>
      <c r="S846" s="30"/>
      <c r="T846" s="30"/>
      <c r="U846" s="30"/>
      <c r="V846" s="31"/>
      <c r="W846" s="29"/>
      <c r="X846" s="29"/>
      <c r="Y846" s="29"/>
      <c r="Z846" s="29"/>
      <c r="AA846" s="30"/>
      <c r="AB846" s="30"/>
      <c r="AC846" s="30"/>
      <c r="AD846" s="30"/>
      <c r="AE846" s="30"/>
      <c r="AF846" s="32"/>
      <c r="AG846" s="33"/>
      <c r="AH846" s="33"/>
      <c r="AI846" s="29"/>
      <c r="AJ846" s="32"/>
      <c r="AK846" s="32"/>
      <c r="AL846" s="29"/>
      <c r="AN846" s="34" t="str">
        <f aca="false">IF($B846="","",IF(OR(C846="",D846="",E846="",G846="",I846="",J846="",L846="",O846="",P846=""),"Champ obligatoire manquant",IF(OR(AND(N846&lt;&gt;"",N846&gt;O846),O846&gt;P846,AND(Q846&lt;&gt;"",Q846&lt;P846),AND(R846&lt;&gt;"",R846&lt;P846),AND(S846&lt;&gt;"",S846&lt;R846),AND(S846&lt;&gt;"",R846=""),AND(T846&lt;&gt;"",T846&lt;O846),AND(U846&lt;&gt;"",U846&lt;O846)),"Chronologie incohérente",IF(AND(OR(L846="Résolu",L846="Clos"),R846=""),"Date de résolution manquante",IF(AND(L846="Clos",S846=""),"Date de clôture manquante",IF(AND(K846="Oui",AC846=""),"Classification DORA manquante","OK"))))))</f>
        <v/>
      </c>
      <c r="AO846" s="35" t="str">
        <f aca="false">IF($B846="","",IF(AND(C846="Incident",L846&lt;&gt;"Annulé"),1,0))</f>
        <v/>
      </c>
      <c r="AP846" s="35" t="str">
        <f aca="false">IF($B846="","",IF(AND(C846="Quasi-incident",L846&lt;&gt;"Annulé"),1,0))</f>
        <v/>
      </c>
      <c r="AQ846" s="35" t="str">
        <f aca="false">IF($B846="","",AO846+AP846)</f>
        <v/>
      </c>
      <c r="AR846" s="36" t="str">
        <f aca="false">IF(OR($B846="",J846=""),"",IFERROR(VALUE(LEFT(J846,1)),""))</f>
        <v/>
      </c>
      <c r="AS846" s="35" t="str">
        <f aca="false">IF(OR(AO846&lt;&gt;1,G846=""),"",IFERROR(IF(INDEX(L_SrcInterne,MATCH(G846,L_Sources,0))="Oui",1,0),""))</f>
        <v/>
      </c>
      <c r="AT846" s="37" t="str">
        <f aca="false">IF(AO846&lt;&gt;1,"",IFERROR(ROUND(IF(OR(N846="",O846=""),"",IF(O846&lt;N846,"",ROUND(((NETWORKDAYS(N846,O846,JoursFeries)-1)*(HFer-HOuv)+IF(NETWORKDAYS(O846,O846,JoursFeries),MEDIAN(MOD(O846,1),HFer,HOuv),HFer)-IF(NETWORKDAYS(N846,N846,JoursFeries),MEDIAN(MOD(N846,1),HFer,HOuv),HOuv))*24,4)))/HJour,4),""))</f>
        <v/>
      </c>
      <c r="AU846" s="37" t="str">
        <f aca="false">IF(AO846&lt;&gt;1,"",IF(OR(O846="",P846=""),"",IF(P846&lt;O846,"",ROUND(((NETWORKDAYS(O846,P846,JoursFeries)-1)*(HFer-HOuv)+IF(NETWORKDAYS(P846,P846,JoursFeries),MEDIAN(MOD(P846,1),HFer,HOuv),HFer)-IF(NETWORKDAYS(O846,O846,JoursFeries),MEDIAN(MOD(O846,1),HFer,HOuv),HOuv))*24,4))))</f>
        <v/>
      </c>
      <c r="AV846" s="37" t="str">
        <f aca="false">IF(AO846&lt;&gt;1,"",IF(OR(P846="",Q846=""),"",IF(Q846&lt;P846,"",ROUND(((NETWORKDAYS(P846,Q846,JoursFeries)-1)*(HFer-HOuv)+IF(NETWORKDAYS(Q846,Q846,JoursFeries),MEDIAN(MOD(Q846,1),HFer,HOuv),HFer)-IF(NETWORKDAYS(P846,P846,JoursFeries),MEDIAN(MOD(P846,1),HFer,HOuv),HOuv))*24,4))))</f>
        <v/>
      </c>
      <c r="AW846" s="37" t="str">
        <f aca="false">IF(AO846&lt;&gt;1,"",IFERROR(ROUND(IF(OR(P846="",R846=""),"",IF(R846&lt;P846,"",ROUND(((NETWORKDAYS(P846,R846,JoursFeries)-1)*(HFer-HOuv)+IF(NETWORKDAYS(R846,R846,JoursFeries),MEDIAN(MOD(R846,1),HFer,HOuv),HFer)-IF(NETWORKDAYS(P846,P846,JoursFeries),MEDIAN(MOD(P846,1),HFer,HOuv),HOuv))*24,4)))/HJour,4),""))</f>
        <v/>
      </c>
      <c r="AX846" s="37" t="str">
        <f aca="false">IF(AO846&lt;&gt;1,"",IFERROR(ROUND(IF(OR(P846="",S846=""),"",IF(S846&lt;P846,"",ROUND(((NETWORKDAYS(P846,S846,JoursFeries)-1)*(HFer-HOuv)+IF(NETWORKDAYS(S846,S846,JoursFeries),MEDIAN(MOD(S846,1),HFer,HOuv),HFer)-IF(NETWORKDAYS(P846,P846,JoursFeries),MEDIAN(MOD(P846,1),HFer,HOuv),HOuv))*24,4)))/HJour,4),""))</f>
        <v/>
      </c>
      <c r="AY846" s="36" t="str">
        <f aca="false">IF(OR(AO846&lt;&gt;1,AR846=""),"",INDEX(SLA_PEC,AR846))</f>
        <v/>
      </c>
      <c r="AZ846" s="35" t="str">
        <f aca="false">IF(OR(AV846="",AY846=""),"",IF(AV846&lt;=AY846,1,0))</f>
        <v/>
      </c>
      <c r="BA846" s="36" t="str">
        <f aca="false">IF(OR(AO846&lt;&gt;1,AR846=""),"",INDEX(SLA_RES,AR846))</f>
        <v/>
      </c>
      <c r="BB846" s="35" t="str">
        <f aca="false">IF(OR(AW846="",BA846=""),"",IF(AW846&lt;=BA846,1,0))</f>
        <v/>
      </c>
      <c r="BC846" s="38" t="str">
        <f aca="false">IF(OR(BA846="",P846=""),"",WORKDAY(INT(P846),BA846,JoursFeries)+MOD(P846,1))</f>
        <v/>
      </c>
      <c r="BD846" s="39" t="str">
        <f aca="false">IF(AO846&lt;&gt;1,"",IF(OR(AB846&lt;&gt;"",AD846&lt;&gt;""),4,IF(U846&lt;&gt;"",3,IF(T846&lt;&gt;"",2,1))))</f>
        <v/>
      </c>
      <c r="BE846" s="39" t="str">
        <f aca="false">IF(OR(AO846&lt;&gt;1,AR846=""),"",INDEX(NIV_REQ,AR846))</f>
        <v/>
      </c>
      <c r="BF846" s="39" t="str">
        <f aca="false">IF(BE846="","",MAX(BE846,IF(OR(K846="Oui",Z846="Oui"),4,1)))</f>
        <v/>
      </c>
      <c r="BG846" s="35" t="str">
        <f aca="false">IF(OR(BF846="",BD846=""),"",IF(BD846&gt;=BF846,1,0))</f>
        <v/>
      </c>
      <c r="BH846" s="38" t="str">
        <f aca="false">IF(BE846="","",IF(BE846&lt;2,"",IF(BE846=2,IF(AND(T846="",U846=""),"",MIN(T846,U846)),IF(U846="","",U846))))</f>
        <v/>
      </c>
      <c r="BI846" s="37" t="str">
        <f aca="false">IF(BH846="","",IF(OR(O846="",BH846=""),"",IF(BH846&lt;O846,"",ROUND(((NETWORKDAYS(O846,BH846,JoursFeries)-1)*(HFer-HOuv)+IF(NETWORKDAYS(BH846,BH846,JoursFeries),MEDIAN(MOD(BH846,1),HFer,HOuv),HFer)-IF(NETWORKDAYS(O846,O846,JoursFeries),MEDIAN(MOD(O846,1),HFer,HOuv),HOuv))*24,4))))</f>
        <v/>
      </c>
      <c r="BJ846" s="35" t="str">
        <f aca="false">IF(OR(BI846="",AR846=""),"",IF(BI846&lt;=INDEX(DELAI_ESC,AR846),1,0))</f>
        <v/>
      </c>
      <c r="BK846" s="38" t="str">
        <f aca="false">IF(AO846&lt;&gt;1,"",IF(AND(T846="",U846=""),"",MIN(T846,U846)))</f>
        <v/>
      </c>
      <c r="BL846" s="37" t="str">
        <f aca="false">IF(OR(BK846="",R846=""),"",IFERROR(ROUND(IF(OR(BK846="",R846=""),"",IF(R846&lt;BK846,"",ROUND(((NETWORKDAYS(BK846,R846,JoursFeries)-1)*(HFer-HOuv)+IF(NETWORKDAYS(R846,R846,JoursFeries),MEDIAN(MOD(R846,1),HFer,HOuv),HFer)-IF(NETWORKDAYS(BK846,BK846,JoursFeries),MEDIAN(MOD(BK846,1),HFer,HOuv),HOuv))*24,4)))/HJour,4),""))</f>
        <v/>
      </c>
      <c r="BM846" s="35" t="str">
        <f aca="false">IF(OR(AO846&lt;&gt;1,R846=""),"",IF(BD846=1,1,0))</f>
        <v/>
      </c>
      <c r="BN846" s="35" t="str">
        <f aca="false">IF(AO846&lt;&gt;1,"",IF(W846="Oui",1,0))</f>
        <v/>
      </c>
      <c r="BO846" s="35" t="str">
        <f aca="false">IF(AO846&lt;&gt;1,"",IF(X846&lt;&gt;"",1,0))</f>
        <v/>
      </c>
      <c r="BP846" s="35" t="str">
        <f aca="false">IF(AO846&lt;&gt;1,"",IF(Y846="Oui",1,0))</f>
        <v/>
      </c>
      <c r="BQ846" s="35" t="str">
        <f aca="true">IF(OR(AO846&lt;&gt;1,Z846&lt;&gt;"Oui"),"",IF(AB846="",IF(AND(AA846&lt;&gt;"",NOW()&gt;AA846),0,""),IF(AA846="","",IF(AB846&lt;=AA846,1,0))))</f>
        <v/>
      </c>
      <c r="BR846" s="38" t="str">
        <f aca="false">IF(OR(AO846&lt;&gt;1,K846&lt;&gt;"Oui",O846=""),"",IF(AC846="",O846+DORA_H_DET/24,IF(AC846-O846&lt;=DORA_H_DET/24,MIN(AC846+DORA_H_CLA/24,O846+DORA_H_DET/24),AC846+DORA_H_CLA/24)))</f>
        <v/>
      </c>
      <c r="BS846" s="35" t="str">
        <f aca="true">IF(BR846="","",IF(AD846="",IF(NOW()&gt;BR846,0,""),IF(AD846&lt;=BR846,1,0)))</f>
        <v/>
      </c>
      <c r="BT846" s="35" t="str">
        <f aca="true">IF(OR(BR846="",AD846=""),"",IF(AE846="",IF(NOW()&gt;AD846+DORA_H_INT/24,0,""),IF(AE846&lt;=AD846+DORA_H_INT/24,1,0)))</f>
        <v/>
      </c>
      <c r="BU846" s="35" t="str">
        <f aca="true">IF(OR(BR846="",AE846=""),"",IF(AF846="",IF(NOW()&gt;EDATE(AE846,DORA_M_FIN)+1,0,""),IF(AF846&lt;=EDATE(AE846,DORA_M_FIN),1,0)))</f>
        <v/>
      </c>
      <c r="BV846" s="35" t="str">
        <f aca="false">IF(BR846="","",IF(COUNT(BS846:BU846)=0,"",MIN(BS846:BU846)))</f>
        <v/>
      </c>
      <c r="BW846" s="40" t="str">
        <f aca="false">IF(AQ846&lt;&gt;1,"",IF(AND(AG846="",AH846=""),"",N(AG846)-N(AH846)))</f>
        <v/>
      </c>
      <c r="BX846" s="35" t="str">
        <f aca="true">IF(OR(AQ846&lt;&gt;1,AI846&lt;&gt;"Oui",AJ846=""),"",IF(AK846="",IF(NOW()&gt;AJ846+1,0,""),IF(AK846&lt;=AJ846,1,0)))</f>
        <v/>
      </c>
    </row>
    <row r="847" customFormat="false" ht="15" hidden="false" customHeight="false" outlineLevel="0" collapsed="false">
      <c r="B847" s="29"/>
      <c r="C847" s="29"/>
      <c r="D847" s="29"/>
      <c r="E847" s="29"/>
      <c r="F847" s="29"/>
      <c r="G847" s="29"/>
      <c r="H847" s="29"/>
      <c r="I847" s="29"/>
      <c r="J847" s="29"/>
      <c r="K847" s="29"/>
      <c r="L847" s="29"/>
      <c r="M847" s="29"/>
      <c r="N847" s="30"/>
      <c r="O847" s="30"/>
      <c r="P847" s="30"/>
      <c r="Q847" s="30"/>
      <c r="R847" s="30"/>
      <c r="S847" s="30"/>
      <c r="T847" s="30"/>
      <c r="U847" s="30"/>
      <c r="V847" s="31"/>
      <c r="W847" s="29"/>
      <c r="X847" s="29"/>
      <c r="Y847" s="29"/>
      <c r="Z847" s="29"/>
      <c r="AA847" s="30"/>
      <c r="AB847" s="30"/>
      <c r="AC847" s="30"/>
      <c r="AD847" s="30"/>
      <c r="AE847" s="30"/>
      <c r="AF847" s="32"/>
      <c r="AG847" s="33"/>
      <c r="AH847" s="33"/>
      <c r="AI847" s="29"/>
      <c r="AJ847" s="32"/>
      <c r="AK847" s="32"/>
      <c r="AL847" s="29"/>
      <c r="AN847" s="34" t="str">
        <f aca="false">IF($B847="","",IF(OR(C847="",D847="",E847="",G847="",I847="",J847="",L847="",O847="",P847=""),"Champ obligatoire manquant",IF(OR(AND(N847&lt;&gt;"",N847&gt;O847),O847&gt;P847,AND(Q847&lt;&gt;"",Q847&lt;P847),AND(R847&lt;&gt;"",R847&lt;P847),AND(S847&lt;&gt;"",S847&lt;R847),AND(S847&lt;&gt;"",R847=""),AND(T847&lt;&gt;"",T847&lt;O847),AND(U847&lt;&gt;"",U847&lt;O847)),"Chronologie incohérente",IF(AND(OR(L847="Résolu",L847="Clos"),R847=""),"Date de résolution manquante",IF(AND(L847="Clos",S847=""),"Date de clôture manquante",IF(AND(K847="Oui",AC847=""),"Classification DORA manquante","OK"))))))</f>
        <v/>
      </c>
      <c r="AO847" s="35" t="str">
        <f aca="false">IF($B847="","",IF(AND(C847="Incident",L847&lt;&gt;"Annulé"),1,0))</f>
        <v/>
      </c>
      <c r="AP847" s="35" t="str">
        <f aca="false">IF($B847="","",IF(AND(C847="Quasi-incident",L847&lt;&gt;"Annulé"),1,0))</f>
        <v/>
      </c>
      <c r="AQ847" s="35" t="str">
        <f aca="false">IF($B847="","",AO847+AP847)</f>
        <v/>
      </c>
      <c r="AR847" s="36" t="str">
        <f aca="false">IF(OR($B847="",J847=""),"",IFERROR(VALUE(LEFT(J847,1)),""))</f>
        <v/>
      </c>
      <c r="AS847" s="35" t="str">
        <f aca="false">IF(OR(AO847&lt;&gt;1,G847=""),"",IFERROR(IF(INDEX(L_SrcInterne,MATCH(G847,L_Sources,0))="Oui",1,0),""))</f>
        <v/>
      </c>
      <c r="AT847" s="37" t="str">
        <f aca="false">IF(AO847&lt;&gt;1,"",IFERROR(ROUND(IF(OR(N847="",O847=""),"",IF(O847&lt;N847,"",ROUND(((NETWORKDAYS(N847,O847,JoursFeries)-1)*(HFer-HOuv)+IF(NETWORKDAYS(O847,O847,JoursFeries),MEDIAN(MOD(O847,1),HFer,HOuv),HFer)-IF(NETWORKDAYS(N847,N847,JoursFeries),MEDIAN(MOD(N847,1),HFer,HOuv),HOuv))*24,4)))/HJour,4),""))</f>
        <v/>
      </c>
      <c r="AU847" s="37" t="str">
        <f aca="false">IF(AO847&lt;&gt;1,"",IF(OR(O847="",P847=""),"",IF(P847&lt;O847,"",ROUND(((NETWORKDAYS(O847,P847,JoursFeries)-1)*(HFer-HOuv)+IF(NETWORKDAYS(P847,P847,JoursFeries),MEDIAN(MOD(P847,1),HFer,HOuv),HFer)-IF(NETWORKDAYS(O847,O847,JoursFeries),MEDIAN(MOD(O847,1),HFer,HOuv),HOuv))*24,4))))</f>
        <v/>
      </c>
      <c r="AV847" s="37" t="str">
        <f aca="false">IF(AO847&lt;&gt;1,"",IF(OR(P847="",Q847=""),"",IF(Q847&lt;P847,"",ROUND(((NETWORKDAYS(P847,Q847,JoursFeries)-1)*(HFer-HOuv)+IF(NETWORKDAYS(Q847,Q847,JoursFeries),MEDIAN(MOD(Q847,1),HFer,HOuv),HFer)-IF(NETWORKDAYS(P847,P847,JoursFeries),MEDIAN(MOD(P847,1),HFer,HOuv),HOuv))*24,4))))</f>
        <v/>
      </c>
      <c r="AW847" s="37" t="str">
        <f aca="false">IF(AO847&lt;&gt;1,"",IFERROR(ROUND(IF(OR(P847="",R847=""),"",IF(R847&lt;P847,"",ROUND(((NETWORKDAYS(P847,R847,JoursFeries)-1)*(HFer-HOuv)+IF(NETWORKDAYS(R847,R847,JoursFeries),MEDIAN(MOD(R847,1),HFer,HOuv),HFer)-IF(NETWORKDAYS(P847,P847,JoursFeries),MEDIAN(MOD(P847,1),HFer,HOuv),HOuv))*24,4)))/HJour,4),""))</f>
        <v/>
      </c>
      <c r="AX847" s="37" t="str">
        <f aca="false">IF(AO847&lt;&gt;1,"",IFERROR(ROUND(IF(OR(P847="",S847=""),"",IF(S847&lt;P847,"",ROUND(((NETWORKDAYS(P847,S847,JoursFeries)-1)*(HFer-HOuv)+IF(NETWORKDAYS(S847,S847,JoursFeries),MEDIAN(MOD(S847,1),HFer,HOuv),HFer)-IF(NETWORKDAYS(P847,P847,JoursFeries),MEDIAN(MOD(P847,1),HFer,HOuv),HOuv))*24,4)))/HJour,4),""))</f>
        <v/>
      </c>
      <c r="AY847" s="36" t="str">
        <f aca="false">IF(OR(AO847&lt;&gt;1,AR847=""),"",INDEX(SLA_PEC,AR847))</f>
        <v/>
      </c>
      <c r="AZ847" s="35" t="str">
        <f aca="false">IF(OR(AV847="",AY847=""),"",IF(AV847&lt;=AY847,1,0))</f>
        <v/>
      </c>
      <c r="BA847" s="36" t="str">
        <f aca="false">IF(OR(AO847&lt;&gt;1,AR847=""),"",INDEX(SLA_RES,AR847))</f>
        <v/>
      </c>
      <c r="BB847" s="35" t="str">
        <f aca="false">IF(OR(AW847="",BA847=""),"",IF(AW847&lt;=BA847,1,0))</f>
        <v/>
      </c>
      <c r="BC847" s="38" t="str">
        <f aca="false">IF(OR(BA847="",P847=""),"",WORKDAY(INT(P847),BA847,JoursFeries)+MOD(P847,1))</f>
        <v/>
      </c>
      <c r="BD847" s="39" t="str">
        <f aca="false">IF(AO847&lt;&gt;1,"",IF(OR(AB847&lt;&gt;"",AD847&lt;&gt;""),4,IF(U847&lt;&gt;"",3,IF(T847&lt;&gt;"",2,1))))</f>
        <v/>
      </c>
      <c r="BE847" s="39" t="str">
        <f aca="false">IF(OR(AO847&lt;&gt;1,AR847=""),"",INDEX(NIV_REQ,AR847))</f>
        <v/>
      </c>
      <c r="BF847" s="39" t="str">
        <f aca="false">IF(BE847="","",MAX(BE847,IF(OR(K847="Oui",Z847="Oui"),4,1)))</f>
        <v/>
      </c>
      <c r="BG847" s="35" t="str">
        <f aca="false">IF(OR(BF847="",BD847=""),"",IF(BD847&gt;=BF847,1,0))</f>
        <v/>
      </c>
      <c r="BH847" s="38" t="str">
        <f aca="false">IF(BE847="","",IF(BE847&lt;2,"",IF(BE847=2,IF(AND(T847="",U847=""),"",MIN(T847,U847)),IF(U847="","",U847))))</f>
        <v/>
      </c>
      <c r="BI847" s="37" t="str">
        <f aca="false">IF(BH847="","",IF(OR(O847="",BH847=""),"",IF(BH847&lt;O847,"",ROUND(((NETWORKDAYS(O847,BH847,JoursFeries)-1)*(HFer-HOuv)+IF(NETWORKDAYS(BH847,BH847,JoursFeries),MEDIAN(MOD(BH847,1),HFer,HOuv),HFer)-IF(NETWORKDAYS(O847,O847,JoursFeries),MEDIAN(MOD(O847,1),HFer,HOuv),HOuv))*24,4))))</f>
        <v/>
      </c>
      <c r="BJ847" s="35" t="str">
        <f aca="false">IF(OR(BI847="",AR847=""),"",IF(BI847&lt;=INDEX(DELAI_ESC,AR847),1,0))</f>
        <v/>
      </c>
      <c r="BK847" s="38" t="str">
        <f aca="false">IF(AO847&lt;&gt;1,"",IF(AND(T847="",U847=""),"",MIN(T847,U847)))</f>
        <v/>
      </c>
      <c r="BL847" s="37" t="str">
        <f aca="false">IF(OR(BK847="",R847=""),"",IFERROR(ROUND(IF(OR(BK847="",R847=""),"",IF(R847&lt;BK847,"",ROUND(((NETWORKDAYS(BK847,R847,JoursFeries)-1)*(HFer-HOuv)+IF(NETWORKDAYS(R847,R847,JoursFeries),MEDIAN(MOD(R847,1),HFer,HOuv),HFer)-IF(NETWORKDAYS(BK847,BK847,JoursFeries),MEDIAN(MOD(BK847,1),HFer,HOuv),HOuv))*24,4)))/HJour,4),""))</f>
        <v/>
      </c>
      <c r="BM847" s="35" t="str">
        <f aca="false">IF(OR(AO847&lt;&gt;1,R847=""),"",IF(BD847=1,1,0))</f>
        <v/>
      </c>
      <c r="BN847" s="35" t="str">
        <f aca="false">IF(AO847&lt;&gt;1,"",IF(W847="Oui",1,0))</f>
        <v/>
      </c>
      <c r="BO847" s="35" t="str">
        <f aca="false">IF(AO847&lt;&gt;1,"",IF(X847&lt;&gt;"",1,0))</f>
        <v/>
      </c>
      <c r="BP847" s="35" t="str">
        <f aca="false">IF(AO847&lt;&gt;1,"",IF(Y847="Oui",1,0))</f>
        <v/>
      </c>
      <c r="BQ847" s="35" t="str">
        <f aca="true">IF(OR(AO847&lt;&gt;1,Z847&lt;&gt;"Oui"),"",IF(AB847="",IF(AND(AA847&lt;&gt;"",NOW()&gt;AA847),0,""),IF(AA847="","",IF(AB847&lt;=AA847,1,0))))</f>
        <v/>
      </c>
      <c r="BR847" s="38" t="str">
        <f aca="false">IF(OR(AO847&lt;&gt;1,K847&lt;&gt;"Oui",O847=""),"",IF(AC847="",O847+DORA_H_DET/24,IF(AC847-O847&lt;=DORA_H_DET/24,MIN(AC847+DORA_H_CLA/24,O847+DORA_H_DET/24),AC847+DORA_H_CLA/24)))</f>
        <v/>
      </c>
      <c r="BS847" s="35" t="str">
        <f aca="true">IF(BR847="","",IF(AD847="",IF(NOW()&gt;BR847,0,""),IF(AD847&lt;=BR847,1,0)))</f>
        <v/>
      </c>
      <c r="BT847" s="35" t="str">
        <f aca="true">IF(OR(BR847="",AD847=""),"",IF(AE847="",IF(NOW()&gt;AD847+DORA_H_INT/24,0,""),IF(AE847&lt;=AD847+DORA_H_INT/24,1,0)))</f>
        <v/>
      </c>
      <c r="BU847" s="35" t="str">
        <f aca="true">IF(OR(BR847="",AE847=""),"",IF(AF847="",IF(NOW()&gt;EDATE(AE847,DORA_M_FIN)+1,0,""),IF(AF847&lt;=EDATE(AE847,DORA_M_FIN),1,0)))</f>
        <v/>
      </c>
      <c r="BV847" s="35" t="str">
        <f aca="false">IF(BR847="","",IF(COUNT(BS847:BU847)=0,"",MIN(BS847:BU847)))</f>
        <v/>
      </c>
      <c r="BW847" s="40" t="str">
        <f aca="false">IF(AQ847&lt;&gt;1,"",IF(AND(AG847="",AH847=""),"",N(AG847)-N(AH847)))</f>
        <v/>
      </c>
      <c r="BX847" s="35" t="str">
        <f aca="true">IF(OR(AQ847&lt;&gt;1,AI847&lt;&gt;"Oui",AJ847=""),"",IF(AK847="",IF(NOW()&gt;AJ847+1,0,""),IF(AK847&lt;=AJ847,1,0)))</f>
        <v/>
      </c>
    </row>
    <row r="848" customFormat="false" ht="15" hidden="false" customHeight="false" outlineLevel="0" collapsed="false">
      <c r="B848" s="29"/>
      <c r="C848" s="29"/>
      <c r="D848" s="29"/>
      <c r="E848" s="29"/>
      <c r="F848" s="29"/>
      <c r="G848" s="29"/>
      <c r="H848" s="29"/>
      <c r="I848" s="29"/>
      <c r="J848" s="29"/>
      <c r="K848" s="29"/>
      <c r="L848" s="29"/>
      <c r="M848" s="29"/>
      <c r="N848" s="30"/>
      <c r="O848" s="30"/>
      <c r="P848" s="30"/>
      <c r="Q848" s="30"/>
      <c r="R848" s="30"/>
      <c r="S848" s="30"/>
      <c r="T848" s="30"/>
      <c r="U848" s="30"/>
      <c r="V848" s="31"/>
      <c r="W848" s="29"/>
      <c r="X848" s="29"/>
      <c r="Y848" s="29"/>
      <c r="Z848" s="29"/>
      <c r="AA848" s="30"/>
      <c r="AB848" s="30"/>
      <c r="AC848" s="30"/>
      <c r="AD848" s="30"/>
      <c r="AE848" s="30"/>
      <c r="AF848" s="32"/>
      <c r="AG848" s="33"/>
      <c r="AH848" s="33"/>
      <c r="AI848" s="29"/>
      <c r="AJ848" s="32"/>
      <c r="AK848" s="32"/>
      <c r="AL848" s="29"/>
      <c r="AN848" s="34" t="str">
        <f aca="false">IF($B848="","",IF(OR(C848="",D848="",E848="",G848="",I848="",J848="",L848="",O848="",P848=""),"Champ obligatoire manquant",IF(OR(AND(N848&lt;&gt;"",N848&gt;O848),O848&gt;P848,AND(Q848&lt;&gt;"",Q848&lt;P848),AND(R848&lt;&gt;"",R848&lt;P848),AND(S848&lt;&gt;"",S848&lt;R848),AND(S848&lt;&gt;"",R848=""),AND(T848&lt;&gt;"",T848&lt;O848),AND(U848&lt;&gt;"",U848&lt;O848)),"Chronologie incohérente",IF(AND(OR(L848="Résolu",L848="Clos"),R848=""),"Date de résolution manquante",IF(AND(L848="Clos",S848=""),"Date de clôture manquante",IF(AND(K848="Oui",AC848=""),"Classification DORA manquante","OK"))))))</f>
        <v/>
      </c>
      <c r="AO848" s="35" t="str">
        <f aca="false">IF($B848="","",IF(AND(C848="Incident",L848&lt;&gt;"Annulé"),1,0))</f>
        <v/>
      </c>
      <c r="AP848" s="35" t="str">
        <f aca="false">IF($B848="","",IF(AND(C848="Quasi-incident",L848&lt;&gt;"Annulé"),1,0))</f>
        <v/>
      </c>
      <c r="AQ848" s="35" t="str">
        <f aca="false">IF($B848="","",AO848+AP848)</f>
        <v/>
      </c>
      <c r="AR848" s="36" t="str">
        <f aca="false">IF(OR($B848="",J848=""),"",IFERROR(VALUE(LEFT(J848,1)),""))</f>
        <v/>
      </c>
      <c r="AS848" s="35" t="str">
        <f aca="false">IF(OR(AO848&lt;&gt;1,G848=""),"",IFERROR(IF(INDEX(L_SrcInterne,MATCH(G848,L_Sources,0))="Oui",1,0),""))</f>
        <v/>
      </c>
      <c r="AT848" s="37" t="str">
        <f aca="false">IF(AO848&lt;&gt;1,"",IFERROR(ROUND(IF(OR(N848="",O848=""),"",IF(O848&lt;N848,"",ROUND(((NETWORKDAYS(N848,O848,JoursFeries)-1)*(HFer-HOuv)+IF(NETWORKDAYS(O848,O848,JoursFeries),MEDIAN(MOD(O848,1),HFer,HOuv),HFer)-IF(NETWORKDAYS(N848,N848,JoursFeries),MEDIAN(MOD(N848,1),HFer,HOuv),HOuv))*24,4)))/HJour,4),""))</f>
        <v/>
      </c>
      <c r="AU848" s="37" t="str">
        <f aca="false">IF(AO848&lt;&gt;1,"",IF(OR(O848="",P848=""),"",IF(P848&lt;O848,"",ROUND(((NETWORKDAYS(O848,P848,JoursFeries)-1)*(HFer-HOuv)+IF(NETWORKDAYS(P848,P848,JoursFeries),MEDIAN(MOD(P848,1),HFer,HOuv),HFer)-IF(NETWORKDAYS(O848,O848,JoursFeries),MEDIAN(MOD(O848,1),HFer,HOuv),HOuv))*24,4))))</f>
        <v/>
      </c>
      <c r="AV848" s="37" t="str">
        <f aca="false">IF(AO848&lt;&gt;1,"",IF(OR(P848="",Q848=""),"",IF(Q848&lt;P848,"",ROUND(((NETWORKDAYS(P848,Q848,JoursFeries)-1)*(HFer-HOuv)+IF(NETWORKDAYS(Q848,Q848,JoursFeries),MEDIAN(MOD(Q848,1),HFer,HOuv),HFer)-IF(NETWORKDAYS(P848,P848,JoursFeries),MEDIAN(MOD(P848,1),HFer,HOuv),HOuv))*24,4))))</f>
        <v/>
      </c>
      <c r="AW848" s="37" t="str">
        <f aca="false">IF(AO848&lt;&gt;1,"",IFERROR(ROUND(IF(OR(P848="",R848=""),"",IF(R848&lt;P848,"",ROUND(((NETWORKDAYS(P848,R848,JoursFeries)-1)*(HFer-HOuv)+IF(NETWORKDAYS(R848,R848,JoursFeries),MEDIAN(MOD(R848,1),HFer,HOuv),HFer)-IF(NETWORKDAYS(P848,P848,JoursFeries),MEDIAN(MOD(P848,1),HFer,HOuv),HOuv))*24,4)))/HJour,4),""))</f>
        <v/>
      </c>
      <c r="AX848" s="37" t="str">
        <f aca="false">IF(AO848&lt;&gt;1,"",IFERROR(ROUND(IF(OR(P848="",S848=""),"",IF(S848&lt;P848,"",ROUND(((NETWORKDAYS(P848,S848,JoursFeries)-1)*(HFer-HOuv)+IF(NETWORKDAYS(S848,S848,JoursFeries),MEDIAN(MOD(S848,1),HFer,HOuv),HFer)-IF(NETWORKDAYS(P848,P848,JoursFeries),MEDIAN(MOD(P848,1),HFer,HOuv),HOuv))*24,4)))/HJour,4),""))</f>
        <v/>
      </c>
      <c r="AY848" s="36" t="str">
        <f aca="false">IF(OR(AO848&lt;&gt;1,AR848=""),"",INDEX(SLA_PEC,AR848))</f>
        <v/>
      </c>
      <c r="AZ848" s="35" t="str">
        <f aca="false">IF(OR(AV848="",AY848=""),"",IF(AV848&lt;=AY848,1,0))</f>
        <v/>
      </c>
      <c r="BA848" s="36" t="str">
        <f aca="false">IF(OR(AO848&lt;&gt;1,AR848=""),"",INDEX(SLA_RES,AR848))</f>
        <v/>
      </c>
      <c r="BB848" s="35" t="str">
        <f aca="false">IF(OR(AW848="",BA848=""),"",IF(AW848&lt;=BA848,1,0))</f>
        <v/>
      </c>
      <c r="BC848" s="38" t="str">
        <f aca="false">IF(OR(BA848="",P848=""),"",WORKDAY(INT(P848),BA848,JoursFeries)+MOD(P848,1))</f>
        <v/>
      </c>
      <c r="BD848" s="39" t="str">
        <f aca="false">IF(AO848&lt;&gt;1,"",IF(OR(AB848&lt;&gt;"",AD848&lt;&gt;""),4,IF(U848&lt;&gt;"",3,IF(T848&lt;&gt;"",2,1))))</f>
        <v/>
      </c>
      <c r="BE848" s="39" t="str">
        <f aca="false">IF(OR(AO848&lt;&gt;1,AR848=""),"",INDEX(NIV_REQ,AR848))</f>
        <v/>
      </c>
      <c r="BF848" s="39" t="str">
        <f aca="false">IF(BE848="","",MAX(BE848,IF(OR(K848="Oui",Z848="Oui"),4,1)))</f>
        <v/>
      </c>
      <c r="BG848" s="35" t="str">
        <f aca="false">IF(OR(BF848="",BD848=""),"",IF(BD848&gt;=BF848,1,0))</f>
        <v/>
      </c>
      <c r="BH848" s="38" t="str">
        <f aca="false">IF(BE848="","",IF(BE848&lt;2,"",IF(BE848=2,IF(AND(T848="",U848=""),"",MIN(T848,U848)),IF(U848="","",U848))))</f>
        <v/>
      </c>
      <c r="BI848" s="37" t="str">
        <f aca="false">IF(BH848="","",IF(OR(O848="",BH848=""),"",IF(BH848&lt;O848,"",ROUND(((NETWORKDAYS(O848,BH848,JoursFeries)-1)*(HFer-HOuv)+IF(NETWORKDAYS(BH848,BH848,JoursFeries),MEDIAN(MOD(BH848,1),HFer,HOuv),HFer)-IF(NETWORKDAYS(O848,O848,JoursFeries),MEDIAN(MOD(O848,1),HFer,HOuv),HOuv))*24,4))))</f>
        <v/>
      </c>
      <c r="BJ848" s="35" t="str">
        <f aca="false">IF(OR(BI848="",AR848=""),"",IF(BI848&lt;=INDEX(DELAI_ESC,AR848),1,0))</f>
        <v/>
      </c>
      <c r="BK848" s="38" t="str">
        <f aca="false">IF(AO848&lt;&gt;1,"",IF(AND(T848="",U848=""),"",MIN(T848,U848)))</f>
        <v/>
      </c>
      <c r="BL848" s="37" t="str">
        <f aca="false">IF(OR(BK848="",R848=""),"",IFERROR(ROUND(IF(OR(BK848="",R848=""),"",IF(R848&lt;BK848,"",ROUND(((NETWORKDAYS(BK848,R848,JoursFeries)-1)*(HFer-HOuv)+IF(NETWORKDAYS(R848,R848,JoursFeries),MEDIAN(MOD(R848,1),HFer,HOuv),HFer)-IF(NETWORKDAYS(BK848,BK848,JoursFeries),MEDIAN(MOD(BK848,1),HFer,HOuv),HOuv))*24,4)))/HJour,4),""))</f>
        <v/>
      </c>
      <c r="BM848" s="35" t="str">
        <f aca="false">IF(OR(AO848&lt;&gt;1,R848=""),"",IF(BD848=1,1,0))</f>
        <v/>
      </c>
      <c r="BN848" s="35" t="str">
        <f aca="false">IF(AO848&lt;&gt;1,"",IF(W848="Oui",1,0))</f>
        <v/>
      </c>
      <c r="BO848" s="35" t="str">
        <f aca="false">IF(AO848&lt;&gt;1,"",IF(X848&lt;&gt;"",1,0))</f>
        <v/>
      </c>
      <c r="BP848" s="35" t="str">
        <f aca="false">IF(AO848&lt;&gt;1,"",IF(Y848="Oui",1,0))</f>
        <v/>
      </c>
      <c r="BQ848" s="35" t="str">
        <f aca="true">IF(OR(AO848&lt;&gt;1,Z848&lt;&gt;"Oui"),"",IF(AB848="",IF(AND(AA848&lt;&gt;"",NOW()&gt;AA848),0,""),IF(AA848="","",IF(AB848&lt;=AA848,1,0))))</f>
        <v/>
      </c>
      <c r="BR848" s="38" t="str">
        <f aca="false">IF(OR(AO848&lt;&gt;1,K848&lt;&gt;"Oui",O848=""),"",IF(AC848="",O848+DORA_H_DET/24,IF(AC848-O848&lt;=DORA_H_DET/24,MIN(AC848+DORA_H_CLA/24,O848+DORA_H_DET/24),AC848+DORA_H_CLA/24)))</f>
        <v/>
      </c>
      <c r="BS848" s="35" t="str">
        <f aca="true">IF(BR848="","",IF(AD848="",IF(NOW()&gt;BR848,0,""),IF(AD848&lt;=BR848,1,0)))</f>
        <v/>
      </c>
      <c r="BT848" s="35" t="str">
        <f aca="true">IF(OR(BR848="",AD848=""),"",IF(AE848="",IF(NOW()&gt;AD848+DORA_H_INT/24,0,""),IF(AE848&lt;=AD848+DORA_H_INT/24,1,0)))</f>
        <v/>
      </c>
      <c r="BU848" s="35" t="str">
        <f aca="true">IF(OR(BR848="",AE848=""),"",IF(AF848="",IF(NOW()&gt;EDATE(AE848,DORA_M_FIN)+1,0,""),IF(AF848&lt;=EDATE(AE848,DORA_M_FIN),1,0)))</f>
        <v/>
      </c>
      <c r="BV848" s="35" t="str">
        <f aca="false">IF(BR848="","",IF(COUNT(BS848:BU848)=0,"",MIN(BS848:BU848)))</f>
        <v/>
      </c>
      <c r="BW848" s="40" t="str">
        <f aca="false">IF(AQ848&lt;&gt;1,"",IF(AND(AG848="",AH848=""),"",N(AG848)-N(AH848)))</f>
        <v/>
      </c>
      <c r="BX848" s="35" t="str">
        <f aca="true">IF(OR(AQ848&lt;&gt;1,AI848&lt;&gt;"Oui",AJ848=""),"",IF(AK848="",IF(NOW()&gt;AJ848+1,0,""),IF(AK848&lt;=AJ848,1,0)))</f>
        <v/>
      </c>
    </row>
    <row r="849" customFormat="false" ht="15" hidden="false" customHeight="false" outlineLevel="0" collapsed="false">
      <c r="B849" s="29"/>
      <c r="C849" s="29"/>
      <c r="D849" s="29"/>
      <c r="E849" s="29"/>
      <c r="F849" s="29"/>
      <c r="G849" s="29"/>
      <c r="H849" s="29"/>
      <c r="I849" s="29"/>
      <c r="J849" s="29"/>
      <c r="K849" s="29"/>
      <c r="L849" s="29"/>
      <c r="M849" s="29"/>
      <c r="N849" s="30"/>
      <c r="O849" s="30"/>
      <c r="P849" s="30"/>
      <c r="Q849" s="30"/>
      <c r="R849" s="30"/>
      <c r="S849" s="30"/>
      <c r="T849" s="30"/>
      <c r="U849" s="30"/>
      <c r="V849" s="31"/>
      <c r="W849" s="29"/>
      <c r="X849" s="29"/>
      <c r="Y849" s="29"/>
      <c r="Z849" s="29"/>
      <c r="AA849" s="30"/>
      <c r="AB849" s="30"/>
      <c r="AC849" s="30"/>
      <c r="AD849" s="30"/>
      <c r="AE849" s="30"/>
      <c r="AF849" s="32"/>
      <c r="AG849" s="33"/>
      <c r="AH849" s="33"/>
      <c r="AI849" s="29"/>
      <c r="AJ849" s="32"/>
      <c r="AK849" s="32"/>
      <c r="AL849" s="29"/>
      <c r="AN849" s="34" t="str">
        <f aca="false">IF($B849="","",IF(OR(C849="",D849="",E849="",G849="",I849="",J849="",L849="",O849="",P849=""),"Champ obligatoire manquant",IF(OR(AND(N849&lt;&gt;"",N849&gt;O849),O849&gt;P849,AND(Q849&lt;&gt;"",Q849&lt;P849),AND(R849&lt;&gt;"",R849&lt;P849),AND(S849&lt;&gt;"",S849&lt;R849),AND(S849&lt;&gt;"",R849=""),AND(T849&lt;&gt;"",T849&lt;O849),AND(U849&lt;&gt;"",U849&lt;O849)),"Chronologie incohérente",IF(AND(OR(L849="Résolu",L849="Clos"),R849=""),"Date de résolution manquante",IF(AND(L849="Clos",S849=""),"Date de clôture manquante",IF(AND(K849="Oui",AC849=""),"Classification DORA manquante","OK"))))))</f>
        <v/>
      </c>
      <c r="AO849" s="35" t="str">
        <f aca="false">IF($B849="","",IF(AND(C849="Incident",L849&lt;&gt;"Annulé"),1,0))</f>
        <v/>
      </c>
      <c r="AP849" s="35" t="str">
        <f aca="false">IF($B849="","",IF(AND(C849="Quasi-incident",L849&lt;&gt;"Annulé"),1,0))</f>
        <v/>
      </c>
      <c r="AQ849" s="35" t="str">
        <f aca="false">IF($B849="","",AO849+AP849)</f>
        <v/>
      </c>
      <c r="AR849" s="36" t="str">
        <f aca="false">IF(OR($B849="",J849=""),"",IFERROR(VALUE(LEFT(J849,1)),""))</f>
        <v/>
      </c>
      <c r="AS849" s="35" t="str">
        <f aca="false">IF(OR(AO849&lt;&gt;1,G849=""),"",IFERROR(IF(INDEX(L_SrcInterne,MATCH(G849,L_Sources,0))="Oui",1,0),""))</f>
        <v/>
      </c>
      <c r="AT849" s="37" t="str">
        <f aca="false">IF(AO849&lt;&gt;1,"",IFERROR(ROUND(IF(OR(N849="",O849=""),"",IF(O849&lt;N849,"",ROUND(((NETWORKDAYS(N849,O849,JoursFeries)-1)*(HFer-HOuv)+IF(NETWORKDAYS(O849,O849,JoursFeries),MEDIAN(MOD(O849,1),HFer,HOuv),HFer)-IF(NETWORKDAYS(N849,N849,JoursFeries),MEDIAN(MOD(N849,1),HFer,HOuv),HOuv))*24,4)))/HJour,4),""))</f>
        <v/>
      </c>
      <c r="AU849" s="37" t="str">
        <f aca="false">IF(AO849&lt;&gt;1,"",IF(OR(O849="",P849=""),"",IF(P849&lt;O849,"",ROUND(((NETWORKDAYS(O849,P849,JoursFeries)-1)*(HFer-HOuv)+IF(NETWORKDAYS(P849,P849,JoursFeries),MEDIAN(MOD(P849,1),HFer,HOuv),HFer)-IF(NETWORKDAYS(O849,O849,JoursFeries),MEDIAN(MOD(O849,1),HFer,HOuv),HOuv))*24,4))))</f>
        <v/>
      </c>
      <c r="AV849" s="37" t="str">
        <f aca="false">IF(AO849&lt;&gt;1,"",IF(OR(P849="",Q849=""),"",IF(Q849&lt;P849,"",ROUND(((NETWORKDAYS(P849,Q849,JoursFeries)-1)*(HFer-HOuv)+IF(NETWORKDAYS(Q849,Q849,JoursFeries),MEDIAN(MOD(Q849,1),HFer,HOuv),HFer)-IF(NETWORKDAYS(P849,P849,JoursFeries),MEDIAN(MOD(P849,1),HFer,HOuv),HOuv))*24,4))))</f>
        <v/>
      </c>
      <c r="AW849" s="37" t="str">
        <f aca="false">IF(AO849&lt;&gt;1,"",IFERROR(ROUND(IF(OR(P849="",R849=""),"",IF(R849&lt;P849,"",ROUND(((NETWORKDAYS(P849,R849,JoursFeries)-1)*(HFer-HOuv)+IF(NETWORKDAYS(R849,R849,JoursFeries),MEDIAN(MOD(R849,1),HFer,HOuv),HFer)-IF(NETWORKDAYS(P849,P849,JoursFeries),MEDIAN(MOD(P849,1),HFer,HOuv),HOuv))*24,4)))/HJour,4),""))</f>
        <v/>
      </c>
      <c r="AX849" s="37" t="str">
        <f aca="false">IF(AO849&lt;&gt;1,"",IFERROR(ROUND(IF(OR(P849="",S849=""),"",IF(S849&lt;P849,"",ROUND(((NETWORKDAYS(P849,S849,JoursFeries)-1)*(HFer-HOuv)+IF(NETWORKDAYS(S849,S849,JoursFeries),MEDIAN(MOD(S849,1),HFer,HOuv),HFer)-IF(NETWORKDAYS(P849,P849,JoursFeries),MEDIAN(MOD(P849,1),HFer,HOuv),HOuv))*24,4)))/HJour,4),""))</f>
        <v/>
      </c>
      <c r="AY849" s="36" t="str">
        <f aca="false">IF(OR(AO849&lt;&gt;1,AR849=""),"",INDEX(SLA_PEC,AR849))</f>
        <v/>
      </c>
      <c r="AZ849" s="35" t="str">
        <f aca="false">IF(OR(AV849="",AY849=""),"",IF(AV849&lt;=AY849,1,0))</f>
        <v/>
      </c>
      <c r="BA849" s="36" t="str">
        <f aca="false">IF(OR(AO849&lt;&gt;1,AR849=""),"",INDEX(SLA_RES,AR849))</f>
        <v/>
      </c>
      <c r="BB849" s="35" t="str">
        <f aca="false">IF(OR(AW849="",BA849=""),"",IF(AW849&lt;=BA849,1,0))</f>
        <v/>
      </c>
      <c r="BC849" s="38" t="str">
        <f aca="false">IF(OR(BA849="",P849=""),"",WORKDAY(INT(P849),BA849,JoursFeries)+MOD(P849,1))</f>
        <v/>
      </c>
      <c r="BD849" s="39" t="str">
        <f aca="false">IF(AO849&lt;&gt;1,"",IF(OR(AB849&lt;&gt;"",AD849&lt;&gt;""),4,IF(U849&lt;&gt;"",3,IF(T849&lt;&gt;"",2,1))))</f>
        <v/>
      </c>
      <c r="BE849" s="39" t="str">
        <f aca="false">IF(OR(AO849&lt;&gt;1,AR849=""),"",INDEX(NIV_REQ,AR849))</f>
        <v/>
      </c>
      <c r="BF849" s="39" t="str">
        <f aca="false">IF(BE849="","",MAX(BE849,IF(OR(K849="Oui",Z849="Oui"),4,1)))</f>
        <v/>
      </c>
      <c r="BG849" s="35" t="str">
        <f aca="false">IF(OR(BF849="",BD849=""),"",IF(BD849&gt;=BF849,1,0))</f>
        <v/>
      </c>
      <c r="BH849" s="38" t="str">
        <f aca="false">IF(BE849="","",IF(BE849&lt;2,"",IF(BE849=2,IF(AND(T849="",U849=""),"",MIN(T849,U849)),IF(U849="","",U849))))</f>
        <v/>
      </c>
      <c r="BI849" s="37" t="str">
        <f aca="false">IF(BH849="","",IF(OR(O849="",BH849=""),"",IF(BH849&lt;O849,"",ROUND(((NETWORKDAYS(O849,BH849,JoursFeries)-1)*(HFer-HOuv)+IF(NETWORKDAYS(BH849,BH849,JoursFeries),MEDIAN(MOD(BH849,1),HFer,HOuv),HFer)-IF(NETWORKDAYS(O849,O849,JoursFeries),MEDIAN(MOD(O849,1),HFer,HOuv),HOuv))*24,4))))</f>
        <v/>
      </c>
      <c r="BJ849" s="35" t="str">
        <f aca="false">IF(OR(BI849="",AR849=""),"",IF(BI849&lt;=INDEX(DELAI_ESC,AR849),1,0))</f>
        <v/>
      </c>
      <c r="BK849" s="38" t="str">
        <f aca="false">IF(AO849&lt;&gt;1,"",IF(AND(T849="",U849=""),"",MIN(T849,U849)))</f>
        <v/>
      </c>
      <c r="BL849" s="37" t="str">
        <f aca="false">IF(OR(BK849="",R849=""),"",IFERROR(ROUND(IF(OR(BK849="",R849=""),"",IF(R849&lt;BK849,"",ROUND(((NETWORKDAYS(BK849,R849,JoursFeries)-1)*(HFer-HOuv)+IF(NETWORKDAYS(R849,R849,JoursFeries),MEDIAN(MOD(R849,1),HFer,HOuv),HFer)-IF(NETWORKDAYS(BK849,BK849,JoursFeries),MEDIAN(MOD(BK849,1),HFer,HOuv),HOuv))*24,4)))/HJour,4),""))</f>
        <v/>
      </c>
      <c r="BM849" s="35" t="str">
        <f aca="false">IF(OR(AO849&lt;&gt;1,R849=""),"",IF(BD849=1,1,0))</f>
        <v/>
      </c>
      <c r="BN849" s="35" t="str">
        <f aca="false">IF(AO849&lt;&gt;1,"",IF(W849="Oui",1,0))</f>
        <v/>
      </c>
      <c r="BO849" s="35" t="str">
        <f aca="false">IF(AO849&lt;&gt;1,"",IF(X849&lt;&gt;"",1,0))</f>
        <v/>
      </c>
      <c r="BP849" s="35" t="str">
        <f aca="false">IF(AO849&lt;&gt;1,"",IF(Y849="Oui",1,0))</f>
        <v/>
      </c>
      <c r="BQ849" s="35" t="str">
        <f aca="true">IF(OR(AO849&lt;&gt;1,Z849&lt;&gt;"Oui"),"",IF(AB849="",IF(AND(AA849&lt;&gt;"",NOW()&gt;AA849),0,""),IF(AA849="","",IF(AB849&lt;=AA849,1,0))))</f>
        <v/>
      </c>
      <c r="BR849" s="38" t="str">
        <f aca="false">IF(OR(AO849&lt;&gt;1,K849&lt;&gt;"Oui",O849=""),"",IF(AC849="",O849+DORA_H_DET/24,IF(AC849-O849&lt;=DORA_H_DET/24,MIN(AC849+DORA_H_CLA/24,O849+DORA_H_DET/24),AC849+DORA_H_CLA/24)))</f>
        <v/>
      </c>
      <c r="BS849" s="35" t="str">
        <f aca="true">IF(BR849="","",IF(AD849="",IF(NOW()&gt;BR849,0,""),IF(AD849&lt;=BR849,1,0)))</f>
        <v/>
      </c>
      <c r="BT849" s="35" t="str">
        <f aca="true">IF(OR(BR849="",AD849=""),"",IF(AE849="",IF(NOW()&gt;AD849+DORA_H_INT/24,0,""),IF(AE849&lt;=AD849+DORA_H_INT/24,1,0)))</f>
        <v/>
      </c>
      <c r="BU849" s="35" t="str">
        <f aca="true">IF(OR(BR849="",AE849=""),"",IF(AF849="",IF(NOW()&gt;EDATE(AE849,DORA_M_FIN)+1,0,""),IF(AF849&lt;=EDATE(AE849,DORA_M_FIN),1,0)))</f>
        <v/>
      </c>
      <c r="BV849" s="35" t="str">
        <f aca="false">IF(BR849="","",IF(COUNT(BS849:BU849)=0,"",MIN(BS849:BU849)))</f>
        <v/>
      </c>
      <c r="BW849" s="40" t="str">
        <f aca="false">IF(AQ849&lt;&gt;1,"",IF(AND(AG849="",AH849=""),"",N(AG849)-N(AH849)))</f>
        <v/>
      </c>
      <c r="BX849" s="35" t="str">
        <f aca="true">IF(OR(AQ849&lt;&gt;1,AI849&lt;&gt;"Oui",AJ849=""),"",IF(AK849="",IF(NOW()&gt;AJ849+1,0,""),IF(AK849&lt;=AJ849,1,0)))</f>
        <v/>
      </c>
    </row>
    <row r="850" customFormat="false" ht="15" hidden="false" customHeight="false" outlineLevel="0" collapsed="false">
      <c r="B850" s="29"/>
      <c r="C850" s="29"/>
      <c r="D850" s="29"/>
      <c r="E850" s="29"/>
      <c r="F850" s="29"/>
      <c r="G850" s="29"/>
      <c r="H850" s="29"/>
      <c r="I850" s="29"/>
      <c r="J850" s="29"/>
      <c r="K850" s="29"/>
      <c r="L850" s="29"/>
      <c r="M850" s="29"/>
      <c r="N850" s="30"/>
      <c r="O850" s="30"/>
      <c r="P850" s="30"/>
      <c r="Q850" s="30"/>
      <c r="R850" s="30"/>
      <c r="S850" s="30"/>
      <c r="T850" s="30"/>
      <c r="U850" s="30"/>
      <c r="V850" s="31"/>
      <c r="W850" s="29"/>
      <c r="X850" s="29"/>
      <c r="Y850" s="29"/>
      <c r="Z850" s="29"/>
      <c r="AA850" s="30"/>
      <c r="AB850" s="30"/>
      <c r="AC850" s="30"/>
      <c r="AD850" s="30"/>
      <c r="AE850" s="30"/>
      <c r="AF850" s="32"/>
      <c r="AG850" s="33"/>
      <c r="AH850" s="33"/>
      <c r="AI850" s="29"/>
      <c r="AJ850" s="32"/>
      <c r="AK850" s="32"/>
      <c r="AL850" s="29"/>
      <c r="AN850" s="34" t="str">
        <f aca="false">IF($B850="","",IF(OR(C850="",D850="",E850="",G850="",I850="",J850="",L850="",O850="",P850=""),"Champ obligatoire manquant",IF(OR(AND(N850&lt;&gt;"",N850&gt;O850),O850&gt;P850,AND(Q850&lt;&gt;"",Q850&lt;P850),AND(R850&lt;&gt;"",R850&lt;P850),AND(S850&lt;&gt;"",S850&lt;R850),AND(S850&lt;&gt;"",R850=""),AND(T850&lt;&gt;"",T850&lt;O850),AND(U850&lt;&gt;"",U850&lt;O850)),"Chronologie incohérente",IF(AND(OR(L850="Résolu",L850="Clos"),R850=""),"Date de résolution manquante",IF(AND(L850="Clos",S850=""),"Date de clôture manquante",IF(AND(K850="Oui",AC850=""),"Classification DORA manquante","OK"))))))</f>
        <v/>
      </c>
      <c r="AO850" s="35" t="str">
        <f aca="false">IF($B850="","",IF(AND(C850="Incident",L850&lt;&gt;"Annulé"),1,0))</f>
        <v/>
      </c>
      <c r="AP850" s="35" t="str">
        <f aca="false">IF($B850="","",IF(AND(C850="Quasi-incident",L850&lt;&gt;"Annulé"),1,0))</f>
        <v/>
      </c>
      <c r="AQ850" s="35" t="str">
        <f aca="false">IF($B850="","",AO850+AP850)</f>
        <v/>
      </c>
      <c r="AR850" s="36" t="str">
        <f aca="false">IF(OR($B850="",J850=""),"",IFERROR(VALUE(LEFT(J850,1)),""))</f>
        <v/>
      </c>
      <c r="AS850" s="35" t="str">
        <f aca="false">IF(OR(AO850&lt;&gt;1,G850=""),"",IFERROR(IF(INDEX(L_SrcInterne,MATCH(G850,L_Sources,0))="Oui",1,0),""))</f>
        <v/>
      </c>
      <c r="AT850" s="37" t="str">
        <f aca="false">IF(AO850&lt;&gt;1,"",IFERROR(ROUND(IF(OR(N850="",O850=""),"",IF(O850&lt;N850,"",ROUND(((NETWORKDAYS(N850,O850,JoursFeries)-1)*(HFer-HOuv)+IF(NETWORKDAYS(O850,O850,JoursFeries),MEDIAN(MOD(O850,1),HFer,HOuv),HFer)-IF(NETWORKDAYS(N850,N850,JoursFeries),MEDIAN(MOD(N850,1),HFer,HOuv),HOuv))*24,4)))/HJour,4),""))</f>
        <v/>
      </c>
      <c r="AU850" s="37" t="str">
        <f aca="false">IF(AO850&lt;&gt;1,"",IF(OR(O850="",P850=""),"",IF(P850&lt;O850,"",ROUND(((NETWORKDAYS(O850,P850,JoursFeries)-1)*(HFer-HOuv)+IF(NETWORKDAYS(P850,P850,JoursFeries),MEDIAN(MOD(P850,1),HFer,HOuv),HFer)-IF(NETWORKDAYS(O850,O850,JoursFeries),MEDIAN(MOD(O850,1),HFer,HOuv),HOuv))*24,4))))</f>
        <v/>
      </c>
      <c r="AV850" s="37" t="str">
        <f aca="false">IF(AO850&lt;&gt;1,"",IF(OR(P850="",Q850=""),"",IF(Q850&lt;P850,"",ROUND(((NETWORKDAYS(P850,Q850,JoursFeries)-1)*(HFer-HOuv)+IF(NETWORKDAYS(Q850,Q850,JoursFeries),MEDIAN(MOD(Q850,1),HFer,HOuv),HFer)-IF(NETWORKDAYS(P850,P850,JoursFeries),MEDIAN(MOD(P850,1),HFer,HOuv),HOuv))*24,4))))</f>
        <v/>
      </c>
      <c r="AW850" s="37" t="str">
        <f aca="false">IF(AO850&lt;&gt;1,"",IFERROR(ROUND(IF(OR(P850="",R850=""),"",IF(R850&lt;P850,"",ROUND(((NETWORKDAYS(P850,R850,JoursFeries)-1)*(HFer-HOuv)+IF(NETWORKDAYS(R850,R850,JoursFeries),MEDIAN(MOD(R850,1),HFer,HOuv),HFer)-IF(NETWORKDAYS(P850,P850,JoursFeries),MEDIAN(MOD(P850,1),HFer,HOuv),HOuv))*24,4)))/HJour,4),""))</f>
        <v/>
      </c>
      <c r="AX850" s="37" t="str">
        <f aca="false">IF(AO850&lt;&gt;1,"",IFERROR(ROUND(IF(OR(P850="",S850=""),"",IF(S850&lt;P850,"",ROUND(((NETWORKDAYS(P850,S850,JoursFeries)-1)*(HFer-HOuv)+IF(NETWORKDAYS(S850,S850,JoursFeries),MEDIAN(MOD(S850,1),HFer,HOuv),HFer)-IF(NETWORKDAYS(P850,P850,JoursFeries),MEDIAN(MOD(P850,1),HFer,HOuv),HOuv))*24,4)))/HJour,4),""))</f>
        <v/>
      </c>
      <c r="AY850" s="36" t="str">
        <f aca="false">IF(OR(AO850&lt;&gt;1,AR850=""),"",INDEX(SLA_PEC,AR850))</f>
        <v/>
      </c>
      <c r="AZ850" s="35" t="str">
        <f aca="false">IF(OR(AV850="",AY850=""),"",IF(AV850&lt;=AY850,1,0))</f>
        <v/>
      </c>
      <c r="BA850" s="36" t="str">
        <f aca="false">IF(OR(AO850&lt;&gt;1,AR850=""),"",INDEX(SLA_RES,AR850))</f>
        <v/>
      </c>
      <c r="BB850" s="35" t="str">
        <f aca="false">IF(OR(AW850="",BA850=""),"",IF(AW850&lt;=BA850,1,0))</f>
        <v/>
      </c>
      <c r="BC850" s="38" t="str">
        <f aca="false">IF(OR(BA850="",P850=""),"",WORKDAY(INT(P850),BA850,JoursFeries)+MOD(P850,1))</f>
        <v/>
      </c>
      <c r="BD850" s="39" t="str">
        <f aca="false">IF(AO850&lt;&gt;1,"",IF(OR(AB850&lt;&gt;"",AD850&lt;&gt;""),4,IF(U850&lt;&gt;"",3,IF(T850&lt;&gt;"",2,1))))</f>
        <v/>
      </c>
      <c r="BE850" s="39" t="str">
        <f aca="false">IF(OR(AO850&lt;&gt;1,AR850=""),"",INDEX(NIV_REQ,AR850))</f>
        <v/>
      </c>
      <c r="BF850" s="39" t="str">
        <f aca="false">IF(BE850="","",MAX(BE850,IF(OR(K850="Oui",Z850="Oui"),4,1)))</f>
        <v/>
      </c>
      <c r="BG850" s="35" t="str">
        <f aca="false">IF(OR(BF850="",BD850=""),"",IF(BD850&gt;=BF850,1,0))</f>
        <v/>
      </c>
      <c r="BH850" s="38" t="str">
        <f aca="false">IF(BE850="","",IF(BE850&lt;2,"",IF(BE850=2,IF(AND(T850="",U850=""),"",MIN(T850,U850)),IF(U850="","",U850))))</f>
        <v/>
      </c>
      <c r="BI850" s="37" t="str">
        <f aca="false">IF(BH850="","",IF(OR(O850="",BH850=""),"",IF(BH850&lt;O850,"",ROUND(((NETWORKDAYS(O850,BH850,JoursFeries)-1)*(HFer-HOuv)+IF(NETWORKDAYS(BH850,BH850,JoursFeries),MEDIAN(MOD(BH850,1),HFer,HOuv),HFer)-IF(NETWORKDAYS(O850,O850,JoursFeries),MEDIAN(MOD(O850,1),HFer,HOuv),HOuv))*24,4))))</f>
        <v/>
      </c>
      <c r="BJ850" s="35" t="str">
        <f aca="false">IF(OR(BI850="",AR850=""),"",IF(BI850&lt;=INDEX(DELAI_ESC,AR850),1,0))</f>
        <v/>
      </c>
      <c r="BK850" s="38" t="str">
        <f aca="false">IF(AO850&lt;&gt;1,"",IF(AND(T850="",U850=""),"",MIN(T850,U850)))</f>
        <v/>
      </c>
      <c r="BL850" s="37" t="str">
        <f aca="false">IF(OR(BK850="",R850=""),"",IFERROR(ROUND(IF(OR(BK850="",R850=""),"",IF(R850&lt;BK850,"",ROUND(((NETWORKDAYS(BK850,R850,JoursFeries)-1)*(HFer-HOuv)+IF(NETWORKDAYS(R850,R850,JoursFeries),MEDIAN(MOD(R850,1),HFer,HOuv),HFer)-IF(NETWORKDAYS(BK850,BK850,JoursFeries),MEDIAN(MOD(BK850,1),HFer,HOuv),HOuv))*24,4)))/HJour,4),""))</f>
        <v/>
      </c>
      <c r="BM850" s="35" t="str">
        <f aca="false">IF(OR(AO850&lt;&gt;1,R850=""),"",IF(BD850=1,1,0))</f>
        <v/>
      </c>
      <c r="BN850" s="35" t="str">
        <f aca="false">IF(AO850&lt;&gt;1,"",IF(W850="Oui",1,0))</f>
        <v/>
      </c>
      <c r="BO850" s="35" t="str">
        <f aca="false">IF(AO850&lt;&gt;1,"",IF(X850&lt;&gt;"",1,0))</f>
        <v/>
      </c>
      <c r="BP850" s="35" t="str">
        <f aca="false">IF(AO850&lt;&gt;1,"",IF(Y850="Oui",1,0))</f>
        <v/>
      </c>
      <c r="BQ850" s="35" t="str">
        <f aca="true">IF(OR(AO850&lt;&gt;1,Z850&lt;&gt;"Oui"),"",IF(AB850="",IF(AND(AA850&lt;&gt;"",NOW()&gt;AA850),0,""),IF(AA850="","",IF(AB850&lt;=AA850,1,0))))</f>
        <v/>
      </c>
      <c r="BR850" s="38" t="str">
        <f aca="false">IF(OR(AO850&lt;&gt;1,K850&lt;&gt;"Oui",O850=""),"",IF(AC850="",O850+DORA_H_DET/24,IF(AC850-O850&lt;=DORA_H_DET/24,MIN(AC850+DORA_H_CLA/24,O850+DORA_H_DET/24),AC850+DORA_H_CLA/24)))</f>
        <v/>
      </c>
      <c r="BS850" s="35" t="str">
        <f aca="true">IF(BR850="","",IF(AD850="",IF(NOW()&gt;BR850,0,""),IF(AD850&lt;=BR850,1,0)))</f>
        <v/>
      </c>
      <c r="BT850" s="35" t="str">
        <f aca="true">IF(OR(BR850="",AD850=""),"",IF(AE850="",IF(NOW()&gt;AD850+DORA_H_INT/24,0,""),IF(AE850&lt;=AD850+DORA_H_INT/24,1,0)))</f>
        <v/>
      </c>
      <c r="BU850" s="35" t="str">
        <f aca="true">IF(OR(BR850="",AE850=""),"",IF(AF850="",IF(NOW()&gt;EDATE(AE850,DORA_M_FIN)+1,0,""),IF(AF850&lt;=EDATE(AE850,DORA_M_FIN),1,0)))</f>
        <v/>
      </c>
      <c r="BV850" s="35" t="str">
        <f aca="false">IF(BR850="","",IF(COUNT(BS850:BU850)=0,"",MIN(BS850:BU850)))</f>
        <v/>
      </c>
      <c r="BW850" s="40" t="str">
        <f aca="false">IF(AQ850&lt;&gt;1,"",IF(AND(AG850="",AH850=""),"",N(AG850)-N(AH850)))</f>
        <v/>
      </c>
      <c r="BX850" s="35" t="str">
        <f aca="true">IF(OR(AQ850&lt;&gt;1,AI850&lt;&gt;"Oui",AJ850=""),"",IF(AK850="",IF(NOW()&gt;AJ850+1,0,""),IF(AK850&lt;=AJ850,1,0)))</f>
        <v/>
      </c>
    </row>
    <row r="851" customFormat="false" ht="15" hidden="false" customHeight="false" outlineLevel="0" collapsed="false">
      <c r="B851" s="29"/>
      <c r="C851" s="29"/>
      <c r="D851" s="29"/>
      <c r="E851" s="29"/>
      <c r="F851" s="29"/>
      <c r="G851" s="29"/>
      <c r="H851" s="29"/>
      <c r="I851" s="29"/>
      <c r="J851" s="29"/>
      <c r="K851" s="29"/>
      <c r="L851" s="29"/>
      <c r="M851" s="29"/>
      <c r="N851" s="30"/>
      <c r="O851" s="30"/>
      <c r="P851" s="30"/>
      <c r="Q851" s="30"/>
      <c r="R851" s="30"/>
      <c r="S851" s="30"/>
      <c r="T851" s="30"/>
      <c r="U851" s="30"/>
      <c r="V851" s="31"/>
      <c r="W851" s="29"/>
      <c r="X851" s="29"/>
      <c r="Y851" s="29"/>
      <c r="Z851" s="29"/>
      <c r="AA851" s="30"/>
      <c r="AB851" s="30"/>
      <c r="AC851" s="30"/>
      <c r="AD851" s="30"/>
      <c r="AE851" s="30"/>
      <c r="AF851" s="32"/>
      <c r="AG851" s="33"/>
      <c r="AH851" s="33"/>
      <c r="AI851" s="29"/>
      <c r="AJ851" s="32"/>
      <c r="AK851" s="32"/>
      <c r="AL851" s="29"/>
      <c r="AN851" s="34" t="str">
        <f aca="false">IF($B851="","",IF(OR(C851="",D851="",E851="",G851="",I851="",J851="",L851="",O851="",P851=""),"Champ obligatoire manquant",IF(OR(AND(N851&lt;&gt;"",N851&gt;O851),O851&gt;P851,AND(Q851&lt;&gt;"",Q851&lt;P851),AND(R851&lt;&gt;"",R851&lt;P851),AND(S851&lt;&gt;"",S851&lt;R851),AND(S851&lt;&gt;"",R851=""),AND(T851&lt;&gt;"",T851&lt;O851),AND(U851&lt;&gt;"",U851&lt;O851)),"Chronologie incohérente",IF(AND(OR(L851="Résolu",L851="Clos"),R851=""),"Date de résolution manquante",IF(AND(L851="Clos",S851=""),"Date de clôture manquante",IF(AND(K851="Oui",AC851=""),"Classification DORA manquante","OK"))))))</f>
        <v/>
      </c>
      <c r="AO851" s="35" t="str">
        <f aca="false">IF($B851="","",IF(AND(C851="Incident",L851&lt;&gt;"Annulé"),1,0))</f>
        <v/>
      </c>
      <c r="AP851" s="35" t="str">
        <f aca="false">IF($B851="","",IF(AND(C851="Quasi-incident",L851&lt;&gt;"Annulé"),1,0))</f>
        <v/>
      </c>
      <c r="AQ851" s="35" t="str">
        <f aca="false">IF($B851="","",AO851+AP851)</f>
        <v/>
      </c>
      <c r="AR851" s="36" t="str">
        <f aca="false">IF(OR($B851="",J851=""),"",IFERROR(VALUE(LEFT(J851,1)),""))</f>
        <v/>
      </c>
      <c r="AS851" s="35" t="str">
        <f aca="false">IF(OR(AO851&lt;&gt;1,G851=""),"",IFERROR(IF(INDEX(L_SrcInterne,MATCH(G851,L_Sources,0))="Oui",1,0),""))</f>
        <v/>
      </c>
      <c r="AT851" s="37" t="str">
        <f aca="false">IF(AO851&lt;&gt;1,"",IFERROR(ROUND(IF(OR(N851="",O851=""),"",IF(O851&lt;N851,"",ROUND(((NETWORKDAYS(N851,O851,JoursFeries)-1)*(HFer-HOuv)+IF(NETWORKDAYS(O851,O851,JoursFeries),MEDIAN(MOD(O851,1),HFer,HOuv),HFer)-IF(NETWORKDAYS(N851,N851,JoursFeries),MEDIAN(MOD(N851,1),HFer,HOuv),HOuv))*24,4)))/HJour,4),""))</f>
        <v/>
      </c>
      <c r="AU851" s="37" t="str">
        <f aca="false">IF(AO851&lt;&gt;1,"",IF(OR(O851="",P851=""),"",IF(P851&lt;O851,"",ROUND(((NETWORKDAYS(O851,P851,JoursFeries)-1)*(HFer-HOuv)+IF(NETWORKDAYS(P851,P851,JoursFeries),MEDIAN(MOD(P851,1),HFer,HOuv),HFer)-IF(NETWORKDAYS(O851,O851,JoursFeries),MEDIAN(MOD(O851,1),HFer,HOuv),HOuv))*24,4))))</f>
        <v/>
      </c>
      <c r="AV851" s="37" t="str">
        <f aca="false">IF(AO851&lt;&gt;1,"",IF(OR(P851="",Q851=""),"",IF(Q851&lt;P851,"",ROUND(((NETWORKDAYS(P851,Q851,JoursFeries)-1)*(HFer-HOuv)+IF(NETWORKDAYS(Q851,Q851,JoursFeries),MEDIAN(MOD(Q851,1),HFer,HOuv),HFer)-IF(NETWORKDAYS(P851,P851,JoursFeries),MEDIAN(MOD(P851,1),HFer,HOuv),HOuv))*24,4))))</f>
        <v/>
      </c>
      <c r="AW851" s="37" t="str">
        <f aca="false">IF(AO851&lt;&gt;1,"",IFERROR(ROUND(IF(OR(P851="",R851=""),"",IF(R851&lt;P851,"",ROUND(((NETWORKDAYS(P851,R851,JoursFeries)-1)*(HFer-HOuv)+IF(NETWORKDAYS(R851,R851,JoursFeries),MEDIAN(MOD(R851,1),HFer,HOuv),HFer)-IF(NETWORKDAYS(P851,P851,JoursFeries),MEDIAN(MOD(P851,1),HFer,HOuv),HOuv))*24,4)))/HJour,4),""))</f>
        <v/>
      </c>
      <c r="AX851" s="37" t="str">
        <f aca="false">IF(AO851&lt;&gt;1,"",IFERROR(ROUND(IF(OR(P851="",S851=""),"",IF(S851&lt;P851,"",ROUND(((NETWORKDAYS(P851,S851,JoursFeries)-1)*(HFer-HOuv)+IF(NETWORKDAYS(S851,S851,JoursFeries),MEDIAN(MOD(S851,1),HFer,HOuv),HFer)-IF(NETWORKDAYS(P851,P851,JoursFeries),MEDIAN(MOD(P851,1),HFer,HOuv),HOuv))*24,4)))/HJour,4),""))</f>
        <v/>
      </c>
      <c r="AY851" s="36" t="str">
        <f aca="false">IF(OR(AO851&lt;&gt;1,AR851=""),"",INDEX(SLA_PEC,AR851))</f>
        <v/>
      </c>
      <c r="AZ851" s="35" t="str">
        <f aca="false">IF(OR(AV851="",AY851=""),"",IF(AV851&lt;=AY851,1,0))</f>
        <v/>
      </c>
      <c r="BA851" s="36" t="str">
        <f aca="false">IF(OR(AO851&lt;&gt;1,AR851=""),"",INDEX(SLA_RES,AR851))</f>
        <v/>
      </c>
      <c r="BB851" s="35" t="str">
        <f aca="false">IF(OR(AW851="",BA851=""),"",IF(AW851&lt;=BA851,1,0))</f>
        <v/>
      </c>
      <c r="BC851" s="38" t="str">
        <f aca="false">IF(OR(BA851="",P851=""),"",WORKDAY(INT(P851),BA851,JoursFeries)+MOD(P851,1))</f>
        <v/>
      </c>
      <c r="BD851" s="39" t="str">
        <f aca="false">IF(AO851&lt;&gt;1,"",IF(OR(AB851&lt;&gt;"",AD851&lt;&gt;""),4,IF(U851&lt;&gt;"",3,IF(T851&lt;&gt;"",2,1))))</f>
        <v/>
      </c>
      <c r="BE851" s="39" t="str">
        <f aca="false">IF(OR(AO851&lt;&gt;1,AR851=""),"",INDEX(NIV_REQ,AR851))</f>
        <v/>
      </c>
      <c r="BF851" s="39" t="str">
        <f aca="false">IF(BE851="","",MAX(BE851,IF(OR(K851="Oui",Z851="Oui"),4,1)))</f>
        <v/>
      </c>
      <c r="BG851" s="35" t="str">
        <f aca="false">IF(OR(BF851="",BD851=""),"",IF(BD851&gt;=BF851,1,0))</f>
        <v/>
      </c>
      <c r="BH851" s="38" t="str">
        <f aca="false">IF(BE851="","",IF(BE851&lt;2,"",IF(BE851=2,IF(AND(T851="",U851=""),"",MIN(T851,U851)),IF(U851="","",U851))))</f>
        <v/>
      </c>
      <c r="BI851" s="37" t="str">
        <f aca="false">IF(BH851="","",IF(OR(O851="",BH851=""),"",IF(BH851&lt;O851,"",ROUND(((NETWORKDAYS(O851,BH851,JoursFeries)-1)*(HFer-HOuv)+IF(NETWORKDAYS(BH851,BH851,JoursFeries),MEDIAN(MOD(BH851,1),HFer,HOuv),HFer)-IF(NETWORKDAYS(O851,O851,JoursFeries),MEDIAN(MOD(O851,1),HFer,HOuv),HOuv))*24,4))))</f>
        <v/>
      </c>
      <c r="BJ851" s="35" t="str">
        <f aca="false">IF(OR(BI851="",AR851=""),"",IF(BI851&lt;=INDEX(DELAI_ESC,AR851),1,0))</f>
        <v/>
      </c>
      <c r="BK851" s="38" t="str">
        <f aca="false">IF(AO851&lt;&gt;1,"",IF(AND(T851="",U851=""),"",MIN(T851,U851)))</f>
        <v/>
      </c>
      <c r="BL851" s="37" t="str">
        <f aca="false">IF(OR(BK851="",R851=""),"",IFERROR(ROUND(IF(OR(BK851="",R851=""),"",IF(R851&lt;BK851,"",ROUND(((NETWORKDAYS(BK851,R851,JoursFeries)-1)*(HFer-HOuv)+IF(NETWORKDAYS(R851,R851,JoursFeries),MEDIAN(MOD(R851,1),HFer,HOuv),HFer)-IF(NETWORKDAYS(BK851,BK851,JoursFeries),MEDIAN(MOD(BK851,1),HFer,HOuv),HOuv))*24,4)))/HJour,4),""))</f>
        <v/>
      </c>
      <c r="BM851" s="35" t="str">
        <f aca="false">IF(OR(AO851&lt;&gt;1,R851=""),"",IF(BD851=1,1,0))</f>
        <v/>
      </c>
      <c r="BN851" s="35" t="str">
        <f aca="false">IF(AO851&lt;&gt;1,"",IF(W851="Oui",1,0))</f>
        <v/>
      </c>
      <c r="BO851" s="35" t="str">
        <f aca="false">IF(AO851&lt;&gt;1,"",IF(X851&lt;&gt;"",1,0))</f>
        <v/>
      </c>
      <c r="BP851" s="35" t="str">
        <f aca="false">IF(AO851&lt;&gt;1,"",IF(Y851="Oui",1,0))</f>
        <v/>
      </c>
      <c r="BQ851" s="35" t="str">
        <f aca="true">IF(OR(AO851&lt;&gt;1,Z851&lt;&gt;"Oui"),"",IF(AB851="",IF(AND(AA851&lt;&gt;"",NOW()&gt;AA851),0,""),IF(AA851="","",IF(AB851&lt;=AA851,1,0))))</f>
        <v/>
      </c>
      <c r="BR851" s="38" t="str">
        <f aca="false">IF(OR(AO851&lt;&gt;1,K851&lt;&gt;"Oui",O851=""),"",IF(AC851="",O851+DORA_H_DET/24,IF(AC851-O851&lt;=DORA_H_DET/24,MIN(AC851+DORA_H_CLA/24,O851+DORA_H_DET/24),AC851+DORA_H_CLA/24)))</f>
        <v/>
      </c>
      <c r="BS851" s="35" t="str">
        <f aca="true">IF(BR851="","",IF(AD851="",IF(NOW()&gt;BR851,0,""),IF(AD851&lt;=BR851,1,0)))</f>
        <v/>
      </c>
      <c r="BT851" s="35" t="str">
        <f aca="true">IF(OR(BR851="",AD851=""),"",IF(AE851="",IF(NOW()&gt;AD851+DORA_H_INT/24,0,""),IF(AE851&lt;=AD851+DORA_H_INT/24,1,0)))</f>
        <v/>
      </c>
      <c r="BU851" s="35" t="str">
        <f aca="true">IF(OR(BR851="",AE851=""),"",IF(AF851="",IF(NOW()&gt;EDATE(AE851,DORA_M_FIN)+1,0,""),IF(AF851&lt;=EDATE(AE851,DORA_M_FIN),1,0)))</f>
        <v/>
      </c>
      <c r="BV851" s="35" t="str">
        <f aca="false">IF(BR851="","",IF(COUNT(BS851:BU851)=0,"",MIN(BS851:BU851)))</f>
        <v/>
      </c>
      <c r="BW851" s="40" t="str">
        <f aca="false">IF(AQ851&lt;&gt;1,"",IF(AND(AG851="",AH851=""),"",N(AG851)-N(AH851)))</f>
        <v/>
      </c>
      <c r="BX851" s="35" t="str">
        <f aca="true">IF(OR(AQ851&lt;&gt;1,AI851&lt;&gt;"Oui",AJ851=""),"",IF(AK851="",IF(NOW()&gt;AJ851+1,0,""),IF(AK851&lt;=AJ851,1,0)))</f>
        <v/>
      </c>
    </row>
    <row r="852" customFormat="false" ht="15" hidden="false" customHeight="false" outlineLevel="0" collapsed="false">
      <c r="B852" s="29"/>
      <c r="C852" s="29"/>
      <c r="D852" s="29"/>
      <c r="E852" s="29"/>
      <c r="F852" s="29"/>
      <c r="G852" s="29"/>
      <c r="H852" s="29"/>
      <c r="I852" s="29"/>
      <c r="J852" s="29"/>
      <c r="K852" s="29"/>
      <c r="L852" s="29"/>
      <c r="M852" s="29"/>
      <c r="N852" s="30"/>
      <c r="O852" s="30"/>
      <c r="P852" s="30"/>
      <c r="Q852" s="30"/>
      <c r="R852" s="30"/>
      <c r="S852" s="30"/>
      <c r="T852" s="30"/>
      <c r="U852" s="30"/>
      <c r="V852" s="31"/>
      <c r="W852" s="29"/>
      <c r="X852" s="29"/>
      <c r="Y852" s="29"/>
      <c r="Z852" s="29"/>
      <c r="AA852" s="30"/>
      <c r="AB852" s="30"/>
      <c r="AC852" s="30"/>
      <c r="AD852" s="30"/>
      <c r="AE852" s="30"/>
      <c r="AF852" s="32"/>
      <c r="AG852" s="33"/>
      <c r="AH852" s="33"/>
      <c r="AI852" s="29"/>
      <c r="AJ852" s="32"/>
      <c r="AK852" s="32"/>
      <c r="AL852" s="29"/>
      <c r="AN852" s="34" t="str">
        <f aca="false">IF($B852="","",IF(OR(C852="",D852="",E852="",G852="",I852="",J852="",L852="",O852="",P852=""),"Champ obligatoire manquant",IF(OR(AND(N852&lt;&gt;"",N852&gt;O852),O852&gt;P852,AND(Q852&lt;&gt;"",Q852&lt;P852),AND(R852&lt;&gt;"",R852&lt;P852),AND(S852&lt;&gt;"",S852&lt;R852),AND(S852&lt;&gt;"",R852=""),AND(T852&lt;&gt;"",T852&lt;O852),AND(U852&lt;&gt;"",U852&lt;O852)),"Chronologie incohérente",IF(AND(OR(L852="Résolu",L852="Clos"),R852=""),"Date de résolution manquante",IF(AND(L852="Clos",S852=""),"Date de clôture manquante",IF(AND(K852="Oui",AC852=""),"Classification DORA manquante","OK"))))))</f>
        <v/>
      </c>
      <c r="AO852" s="35" t="str">
        <f aca="false">IF($B852="","",IF(AND(C852="Incident",L852&lt;&gt;"Annulé"),1,0))</f>
        <v/>
      </c>
      <c r="AP852" s="35" t="str">
        <f aca="false">IF($B852="","",IF(AND(C852="Quasi-incident",L852&lt;&gt;"Annulé"),1,0))</f>
        <v/>
      </c>
      <c r="AQ852" s="35" t="str">
        <f aca="false">IF($B852="","",AO852+AP852)</f>
        <v/>
      </c>
      <c r="AR852" s="36" t="str">
        <f aca="false">IF(OR($B852="",J852=""),"",IFERROR(VALUE(LEFT(J852,1)),""))</f>
        <v/>
      </c>
      <c r="AS852" s="35" t="str">
        <f aca="false">IF(OR(AO852&lt;&gt;1,G852=""),"",IFERROR(IF(INDEX(L_SrcInterne,MATCH(G852,L_Sources,0))="Oui",1,0),""))</f>
        <v/>
      </c>
      <c r="AT852" s="37" t="str">
        <f aca="false">IF(AO852&lt;&gt;1,"",IFERROR(ROUND(IF(OR(N852="",O852=""),"",IF(O852&lt;N852,"",ROUND(((NETWORKDAYS(N852,O852,JoursFeries)-1)*(HFer-HOuv)+IF(NETWORKDAYS(O852,O852,JoursFeries),MEDIAN(MOD(O852,1),HFer,HOuv),HFer)-IF(NETWORKDAYS(N852,N852,JoursFeries),MEDIAN(MOD(N852,1),HFer,HOuv),HOuv))*24,4)))/HJour,4),""))</f>
        <v/>
      </c>
      <c r="AU852" s="37" t="str">
        <f aca="false">IF(AO852&lt;&gt;1,"",IF(OR(O852="",P852=""),"",IF(P852&lt;O852,"",ROUND(((NETWORKDAYS(O852,P852,JoursFeries)-1)*(HFer-HOuv)+IF(NETWORKDAYS(P852,P852,JoursFeries),MEDIAN(MOD(P852,1),HFer,HOuv),HFer)-IF(NETWORKDAYS(O852,O852,JoursFeries),MEDIAN(MOD(O852,1),HFer,HOuv),HOuv))*24,4))))</f>
        <v/>
      </c>
      <c r="AV852" s="37" t="str">
        <f aca="false">IF(AO852&lt;&gt;1,"",IF(OR(P852="",Q852=""),"",IF(Q852&lt;P852,"",ROUND(((NETWORKDAYS(P852,Q852,JoursFeries)-1)*(HFer-HOuv)+IF(NETWORKDAYS(Q852,Q852,JoursFeries),MEDIAN(MOD(Q852,1),HFer,HOuv),HFer)-IF(NETWORKDAYS(P852,P852,JoursFeries),MEDIAN(MOD(P852,1),HFer,HOuv),HOuv))*24,4))))</f>
        <v/>
      </c>
      <c r="AW852" s="37" t="str">
        <f aca="false">IF(AO852&lt;&gt;1,"",IFERROR(ROUND(IF(OR(P852="",R852=""),"",IF(R852&lt;P852,"",ROUND(((NETWORKDAYS(P852,R852,JoursFeries)-1)*(HFer-HOuv)+IF(NETWORKDAYS(R852,R852,JoursFeries),MEDIAN(MOD(R852,1),HFer,HOuv),HFer)-IF(NETWORKDAYS(P852,P852,JoursFeries),MEDIAN(MOD(P852,1),HFer,HOuv),HOuv))*24,4)))/HJour,4),""))</f>
        <v/>
      </c>
      <c r="AX852" s="37" t="str">
        <f aca="false">IF(AO852&lt;&gt;1,"",IFERROR(ROUND(IF(OR(P852="",S852=""),"",IF(S852&lt;P852,"",ROUND(((NETWORKDAYS(P852,S852,JoursFeries)-1)*(HFer-HOuv)+IF(NETWORKDAYS(S852,S852,JoursFeries),MEDIAN(MOD(S852,1),HFer,HOuv),HFer)-IF(NETWORKDAYS(P852,P852,JoursFeries),MEDIAN(MOD(P852,1),HFer,HOuv),HOuv))*24,4)))/HJour,4),""))</f>
        <v/>
      </c>
      <c r="AY852" s="36" t="str">
        <f aca="false">IF(OR(AO852&lt;&gt;1,AR852=""),"",INDEX(SLA_PEC,AR852))</f>
        <v/>
      </c>
      <c r="AZ852" s="35" t="str">
        <f aca="false">IF(OR(AV852="",AY852=""),"",IF(AV852&lt;=AY852,1,0))</f>
        <v/>
      </c>
      <c r="BA852" s="36" t="str">
        <f aca="false">IF(OR(AO852&lt;&gt;1,AR852=""),"",INDEX(SLA_RES,AR852))</f>
        <v/>
      </c>
      <c r="BB852" s="35" t="str">
        <f aca="false">IF(OR(AW852="",BA852=""),"",IF(AW852&lt;=BA852,1,0))</f>
        <v/>
      </c>
      <c r="BC852" s="38" t="str">
        <f aca="false">IF(OR(BA852="",P852=""),"",WORKDAY(INT(P852),BA852,JoursFeries)+MOD(P852,1))</f>
        <v/>
      </c>
      <c r="BD852" s="39" t="str">
        <f aca="false">IF(AO852&lt;&gt;1,"",IF(OR(AB852&lt;&gt;"",AD852&lt;&gt;""),4,IF(U852&lt;&gt;"",3,IF(T852&lt;&gt;"",2,1))))</f>
        <v/>
      </c>
      <c r="BE852" s="39" t="str">
        <f aca="false">IF(OR(AO852&lt;&gt;1,AR852=""),"",INDEX(NIV_REQ,AR852))</f>
        <v/>
      </c>
      <c r="BF852" s="39" t="str">
        <f aca="false">IF(BE852="","",MAX(BE852,IF(OR(K852="Oui",Z852="Oui"),4,1)))</f>
        <v/>
      </c>
      <c r="BG852" s="35" t="str">
        <f aca="false">IF(OR(BF852="",BD852=""),"",IF(BD852&gt;=BF852,1,0))</f>
        <v/>
      </c>
      <c r="BH852" s="38" t="str">
        <f aca="false">IF(BE852="","",IF(BE852&lt;2,"",IF(BE852=2,IF(AND(T852="",U852=""),"",MIN(T852,U852)),IF(U852="","",U852))))</f>
        <v/>
      </c>
      <c r="BI852" s="37" t="str">
        <f aca="false">IF(BH852="","",IF(OR(O852="",BH852=""),"",IF(BH852&lt;O852,"",ROUND(((NETWORKDAYS(O852,BH852,JoursFeries)-1)*(HFer-HOuv)+IF(NETWORKDAYS(BH852,BH852,JoursFeries),MEDIAN(MOD(BH852,1),HFer,HOuv),HFer)-IF(NETWORKDAYS(O852,O852,JoursFeries),MEDIAN(MOD(O852,1),HFer,HOuv),HOuv))*24,4))))</f>
        <v/>
      </c>
      <c r="BJ852" s="35" t="str">
        <f aca="false">IF(OR(BI852="",AR852=""),"",IF(BI852&lt;=INDEX(DELAI_ESC,AR852),1,0))</f>
        <v/>
      </c>
      <c r="BK852" s="38" t="str">
        <f aca="false">IF(AO852&lt;&gt;1,"",IF(AND(T852="",U852=""),"",MIN(T852,U852)))</f>
        <v/>
      </c>
      <c r="BL852" s="37" t="str">
        <f aca="false">IF(OR(BK852="",R852=""),"",IFERROR(ROUND(IF(OR(BK852="",R852=""),"",IF(R852&lt;BK852,"",ROUND(((NETWORKDAYS(BK852,R852,JoursFeries)-1)*(HFer-HOuv)+IF(NETWORKDAYS(R852,R852,JoursFeries),MEDIAN(MOD(R852,1),HFer,HOuv),HFer)-IF(NETWORKDAYS(BK852,BK852,JoursFeries),MEDIAN(MOD(BK852,1),HFer,HOuv),HOuv))*24,4)))/HJour,4),""))</f>
        <v/>
      </c>
      <c r="BM852" s="35" t="str">
        <f aca="false">IF(OR(AO852&lt;&gt;1,R852=""),"",IF(BD852=1,1,0))</f>
        <v/>
      </c>
      <c r="BN852" s="35" t="str">
        <f aca="false">IF(AO852&lt;&gt;1,"",IF(W852="Oui",1,0))</f>
        <v/>
      </c>
      <c r="BO852" s="35" t="str">
        <f aca="false">IF(AO852&lt;&gt;1,"",IF(X852&lt;&gt;"",1,0))</f>
        <v/>
      </c>
      <c r="BP852" s="35" t="str">
        <f aca="false">IF(AO852&lt;&gt;1,"",IF(Y852="Oui",1,0))</f>
        <v/>
      </c>
      <c r="BQ852" s="35" t="str">
        <f aca="true">IF(OR(AO852&lt;&gt;1,Z852&lt;&gt;"Oui"),"",IF(AB852="",IF(AND(AA852&lt;&gt;"",NOW()&gt;AA852),0,""),IF(AA852="","",IF(AB852&lt;=AA852,1,0))))</f>
        <v/>
      </c>
      <c r="BR852" s="38" t="str">
        <f aca="false">IF(OR(AO852&lt;&gt;1,K852&lt;&gt;"Oui",O852=""),"",IF(AC852="",O852+DORA_H_DET/24,IF(AC852-O852&lt;=DORA_H_DET/24,MIN(AC852+DORA_H_CLA/24,O852+DORA_H_DET/24),AC852+DORA_H_CLA/24)))</f>
        <v/>
      </c>
      <c r="BS852" s="35" t="str">
        <f aca="true">IF(BR852="","",IF(AD852="",IF(NOW()&gt;BR852,0,""),IF(AD852&lt;=BR852,1,0)))</f>
        <v/>
      </c>
      <c r="BT852" s="35" t="str">
        <f aca="true">IF(OR(BR852="",AD852=""),"",IF(AE852="",IF(NOW()&gt;AD852+DORA_H_INT/24,0,""),IF(AE852&lt;=AD852+DORA_H_INT/24,1,0)))</f>
        <v/>
      </c>
      <c r="BU852" s="35" t="str">
        <f aca="true">IF(OR(BR852="",AE852=""),"",IF(AF852="",IF(NOW()&gt;EDATE(AE852,DORA_M_FIN)+1,0,""),IF(AF852&lt;=EDATE(AE852,DORA_M_FIN),1,0)))</f>
        <v/>
      </c>
      <c r="BV852" s="35" t="str">
        <f aca="false">IF(BR852="","",IF(COUNT(BS852:BU852)=0,"",MIN(BS852:BU852)))</f>
        <v/>
      </c>
      <c r="BW852" s="40" t="str">
        <f aca="false">IF(AQ852&lt;&gt;1,"",IF(AND(AG852="",AH852=""),"",N(AG852)-N(AH852)))</f>
        <v/>
      </c>
      <c r="BX852" s="35" t="str">
        <f aca="true">IF(OR(AQ852&lt;&gt;1,AI852&lt;&gt;"Oui",AJ852=""),"",IF(AK852="",IF(NOW()&gt;AJ852+1,0,""),IF(AK852&lt;=AJ852,1,0)))</f>
        <v/>
      </c>
    </row>
    <row r="853" customFormat="false" ht="15" hidden="false" customHeight="false" outlineLevel="0" collapsed="false">
      <c r="B853" s="29"/>
      <c r="C853" s="29"/>
      <c r="D853" s="29"/>
      <c r="E853" s="29"/>
      <c r="F853" s="29"/>
      <c r="G853" s="29"/>
      <c r="H853" s="29"/>
      <c r="I853" s="29"/>
      <c r="J853" s="29"/>
      <c r="K853" s="29"/>
      <c r="L853" s="29"/>
      <c r="M853" s="29"/>
      <c r="N853" s="30"/>
      <c r="O853" s="30"/>
      <c r="P853" s="30"/>
      <c r="Q853" s="30"/>
      <c r="R853" s="30"/>
      <c r="S853" s="30"/>
      <c r="T853" s="30"/>
      <c r="U853" s="30"/>
      <c r="V853" s="31"/>
      <c r="W853" s="29"/>
      <c r="X853" s="29"/>
      <c r="Y853" s="29"/>
      <c r="Z853" s="29"/>
      <c r="AA853" s="30"/>
      <c r="AB853" s="30"/>
      <c r="AC853" s="30"/>
      <c r="AD853" s="30"/>
      <c r="AE853" s="30"/>
      <c r="AF853" s="32"/>
      <c r="AG853" s="33"/>
      <c r="AH853" s="33"/>
      <c r="AI853" s="29"/>
      <c r="AJ853" s="32"/>
      <c r="AK853" s="32"/>
      <c r="AL853" s="29"/>
      <c r="AN853" s="34" t="str">
        <f aca="false">IF($B853="","",IF(OR(C853="",D853="",E853="",G853="",I853="",J853="",L853="",O853="",P853=""),"Champ obligatoire manquant",IF(OR(AND(N853&lt;&gt;"",N853&gt;O853),O853&gt;P853,AND(Q853&lt;&gt;"",Q853&lt;P853),AND(R853&lt;&gt;"",R853&lt;P853),AND(S853&lt;&gt;"",S853&lt;R853),AND(S853&lt;&gt;"",R853=""),AND(T853&lt;&gt;"",T853&lt;O853),AND(U853&lt;&gt;"",U853&lt;O853)),"Chronologie incohérente",IF(AND(OR(L853="Résolu",L853="Clos"),R853=""),"Date de résolution manquante",IF(AND(L853="Clos",S853=""),"Date de clôture manquante",IF(AND(K853="Oui",AC853=""),"Classification DORA manquante","OK"))))))</f>
        <v/>
      </c>
      <c r="AO853" s="35" t="str">
        <f aca="false">IF($B853="","",IF(AND(C853="Incident",L853&lt;&gt;"Annulé"),1,0))</f>
        <v/>
      </c>
      <c r="AP853" s="35" t="str">
        <f aca="false">IF($B853="","",IF(AND(C853="Quasi-incident",L853&lt;&gt;"Annulé"),1,0))</f>
        <v/>
      </c>
      <c r="AQ853" s="35" t="str">
        <f aca="false">IF($B853="","",AO853+AP853)</f>
        <v/>
      </c>
      <c r="AR853" s="36" t="str">
        <f aca="false">IF(OR($B853="",J853=""),"",IFERROR(VALUE(LEFT(J853,1)),""))</f>
        <v/>
      </c>
      <c r="AS853" s="35" t="str">
        <f aca="false">IF(OR(AO853&lt;&gt;1,G853=""),"",IFERROR(IF(INDEX(L_SrcInterne,MATCH(G853,L_Sources,0))="Oui",1,0),""))</f>
        <v/>
      </c>
      <c r="AT853" s="37" t="str">
        <f aca="false">IF(AO853&lt;&gt;1,"",IFERROR(ROUND(IF(OR(N853="",O853=""),"",IF(O853&lt;N853,"",ROUND(((NETWORKDAYS(N853,O853,JoursFeries)-1)*(HFer-HOuv)+IF(NETWORKDAYS(O853,O853,JoursFeries),MEDIAN(MOD(O853,1),HFer,HOuv),HFer)-IF(NETWORKDAYS(N853,N853,JoursFeries),MEDIAN(MOD(N853,1),HFer,HOuv),HOuv))*24,4)))/HJour,4),""))</f>
        <v/>
      </c>
      <c r="AU853" s="37" t="str">
        <f aca="false">IF(AO853&lt;&gt;1,"",IF(OR(O853="",P853=""),"",IF(P853&lt;O853,"",ROUND(((NETWORKDAYS(O853,P853,JoursFeries)-1)*(HFer-HOuv)+IF(NETWORKDAYS(P853,P853,JoursFeries),MEDIAN(MOD(P853,1),HFer,HOuv),HFer)-IF(NETWORKDAYS(O853,O853,JoursFeries),MEDIAN(MOD(O853,1),HFer,HOuv),HOuv))*24,4))))</f>
        <v/>
      </c>
      <c r="AV853" s="37" t="str">
        <f aca="false">IF(AO853&lt;&gt;1,"",IF(OR(P853="",Q853=""),"",IF(Q853&lt;P853,"",ROUND(((NETWORKDAYS(P853,Q853,JoursFeries)-1)*(HFer-HOuv)+IF(NETWORKDAYS(Q853,Q853,JoursFeries),MEDIAN(MOD(Q853,1),HFer,HOuv),HFer)-IF(NETWORKDAYS(P853,P853,JoursFeries),MEDIAN(MOD(P853,1),HFer,HOuv),HOuv))*24,4))))</f>
        <v/>
      </c>
      <c r="AW853" s="37" t="str">
        <f aca="false">IF(AO853&lt;&gt;1,"",IFERROR(ROUND(IF(OR(P853="",R853=""),"",IF(R853&lt;P853,"",ROUND(((NETWORKDAYS(P853,R853,JoursFeries)-1)*(HFer-HOuv)+IF(NETWORKDAYS(R853,R853,JoursFeries),MEDIAN(MOD(R853,1),HFer,HOuv),HFer)-IF(NETWORKDAYS(P853,P853,JoursFeries),MEDIAN(MOD(P853,1),HFer,HOuv),HOuv))*24,4)))/HJour,4),""))</f>
        <v/>
      </c>
      <c r="AX853" s="37" t="str">
        <f aca="false">IF(AO853&lt;&gt;1,"",IFERROR(ROUND(IF(OR(P853="",S853=""),"",IF(S853&lt;P853,"",ROUND(((NETWORKDAYS(P853,S853,JoursFeries)-1)*(HFer-HOuv)+IF(NETWORKDAYS(S853,S853,JoursFeries),MEDIAN(MOD(S853,1),HFer,HOuv),HFer)-IF(NETWORKDAYS(P853,P853,JoursFeries),MEDIAN(MOD(P853,1),HFer,HOuv),HOuv))*24,4)))/HJour,4),""))</f>
        <v/>
      </c>
      <c r="AY853" s="36" t="str">
        <f aca="false">IF(OR(AO853&lt;&gt;1,AR853=""),"",INDEX(SLA_PEC,AR853))</f>
        <v/>
      </c>
      <c r="AZ853" s="35" t="str">
        <f aca="false">IF(OR(AV853="",AY853=""),"",IF(AV853&lt;=AY853,1,0))</f>
        <v/>
      </c>
      <c r="BA853" s="36" t="str">
        <f aca="false">IF(OR(AO853&lt;&gt;1,AR853=""),"",INDEX(SLA_RES,AR853))</f>
        <v/>
      </c>
      <c r="BB853" s="35" t="str">
        <f aca="false">IF(OR(AW853="",BA853=""),"",IF(AW853&lt;=BA853,1,0))</f>
        <v/>
      </c>
      <c r="BC853" s="38" t="str">
        <f aca="false">IF(OR(BA853="",P853=""),"",WORKDAY(INT(P853),BA853,JoursFeries)+MOD(P853,1))</f>
        <v/>
      </c>
      <c r="BD853" s="39" t="str">
        <f aca="false">IF(AO853&lt;&gt;1,"",IF(OR(AB853&lt;&gt;"",AD853&lt;&gt;""),4,IF(U853&lt;&gt;"",3,IF(T853&lt;&gt;"",2,1))))</f>
        <v/>
      </c>
      <c r="BE853" s="39" t="str">
        <f aca="false">IF(OR(AO853&lt;&gt;1,AR853=""),"",INDEX(NIV_REQ,AR853))</f>
        <v/>
      </c>
      <c r="BF853" s="39" t="str">
        <f aca="false">IF(BE853="","",MAX(BE853,IF(OR(K853="Oui",Z853="Oui"),4,1)))</f>
        <v/>
      </c>
      <c r="BG853" s="35" t="str">
        <f aca="false">IF(OR(BF853="",BD853=""),"",IF(BD853&gt;=BF853,1,0))</f>
        <v/>
      </c>
      <c r="BH853" s="38" t="str">
        <f aca="false">IF(BE853="","",IF(BE853&lt;2,"",IF(BE853=2,IF(AND(T853="",U853=""),"",MIN(T853,U853)),IF(U853="","",U853))))</f>
        <v/>
      </c>
      <c r="BI853" s="37" t="str">
        <f aca="false">IF(BH853="","",IF(OR(O853="",BH853=""),"",IF(BH853&lt;O853,"",ROUND(((NETWORKDAYS(O853,BH853,JoursFeries)-1)*(HFer-HOuv)+IF(NETWORKDAYS(BH853,BH853,JoursFeries),MEDIAN(MOD(BH853,1),HFer,HOuv),HFer)-IF(NETWORKDAYS(O853,O853,JoursFeries),MEDIAN(MOD(O853,1),HFer,HOuv),HOuv))*24,4))))</f>
        <v/>
      </c>
      <c r="BJ853" s="35" t="str">
        <f aca="false">IF(OR(BI853="",AR853=""),"",IF(BI853&lt;=INDEX(DELAI_ESC,AR853),1,0))</f>
        <v/>
      </c>
      <c r="BK853" s="38" t="str">
        <f aca="false">IF(AO853&lt;&gt;1,"",IF(AND(T853="",U853=""),"",MIN(T853,U853)))</f>
        <v/>
      </c>
      <c r="BL853" s="37" t="str">
        <f aca="false">IF(OR(BK853="",R853=""),"",IFERROR(ROUND(IF(OR(BK853="",R853=""),"",IF(R853&lt;BK853,"",ROUND(((NETWORKDAYS(BK853,R853,JoursFeries)-1)*(HFer-HOuv)+IF(NETWORKDAYS(R853,R853,JoursFeries),MEDIAN(MOD(R853,1),HFer,HOuv),HFer)-IF(NETWORKDAYS(BK853,BK853,JoursFeries),MEDIAN(MOD(BK853,1),HFer,HOuv),HOuv))*24,4)))/HJour,4),""))</f>
        <v/>
      </c>
      <c r="BM853" s="35" t="str">
        <f aca="false">IF(OR(AO853&lt;&gt;1,R853=""),"",IF(BD853=1,1,0))</f>
        <v/>
      </c>
      <c r="BN853" s="35" t="str">
        <f aca="false">IF(AO853&lt;&gt;1,"",IF(W853="Oui",1,0))</f>
        <v/>
      </c>
      <c r="BO853" s="35" t="str">
        <f aca="false">IF(AO853&lt;&gt;1,"",IF(X853&lt;&gt;"",1,0))</f>
        <v/>
      </c>
      <c r="BP853" s="35" t="str">
        <f aca="false">IF(AO853&lt;&gt;1,"",IF(Y853="Oui",1,0))</f>
        <v/>
      </c>
      <c r="BQ853" s="35" t="str">
        <f aca="true">IF(OR(AO853&lt;&gt;1,Z853&lt;&gt;"Oui"),"",IF(AB853="",IF(AND(AA853&lt;&gt;"",NOW()&gt;AA853),0,""),IF(AA853="","",IF(AB853&lt;=AA853,1,0))))</f>
        <v/>
      </c>
      <c r="BR853" s="38" t="str">
        <f aca="false">IF(OR(AO853&lt;&gt;1,K853&lt;&gt;"Oui",O853=""),"",IF(AC853="",O853+DORA_H_DET/24,IF(AC853-O853&lt;=DORA_H_DET/24,MIN(AC853+DORA_H_CLA/24,O853+DORA_H_DET/24),AC853+DORA_H_CLA/24)))</f>
        <v/>
      </c>
      <c r="BS853" s="35" t="str">
        <f aca="true">IF(BR853="","",IF(AD853="",IF(NOW()&gt;BR853,0,""),IF(AD853&lt;=BR853,1,0)))</f>
        <v/>
      </c>
      <c r="BT853" s="35" t="str">
        <f aca="true">IF(OR(BR853="",AD853=""),"",IF(AE853="",IF(NOW()&gt;AD853+DORA_H_INT/24,0,""),IF(AE853&lt;=AD853+DORA_H_INT/24,1,0)))</f>
        <v/>
      </c>
      <c r="BU853" s="35" t="str">
        <f aca="true">IF(OR(BR853="",AE853=""),"",IF(AF853="",IF(NOW()&gt;EDATE(AE853,DORA_M_FIN)+1,0,""),IF(AF853&lt;=EDATE(AE853,DORA_M_FIN),1,0)))</f>
        <v/>
      </c>
      <c r="BV853" s="35" t="str">
        <f aca="false">IF(BR853="","",IF(COUNT(BS853:BU853)=0,"",MIN(BS853:BU853)))</f>
        <v/>
      </c>
      <c r="BW853" s="40" t="str">
        <f aca="false">IF(AQ853&lt;&gt;1,"",IF(AND(AG853="",AH853=""),"",N(AG853)-N(AH853)))</f>
        <v/>
      </c>
      <c r="BX853" s="35" t="str">
        <f aca="true">IF(OR(AQ853&lt;&gt;1,AI853&lt;&gt;"Oui",AJ853=""),"",IF(AK853="",IF(NOW()&gt;AJ853+1,0,""),IF(AK853&lt;=AJ853,1,0)))</f>
        <v/>
      </c>
    </row>
    <row r="854" customFormat="false" ht="15" hidden="false" customHeight="false" outlineLevel="0" collapsed="false">
      <c r="B854" s="29"/>
      <c r="C854" s="29"/>
      <c r="D854" s="29"/>
      <c r="E854" s="29"/>
      <c r="F854" s="29"/>
      <c r="G854" s="29"/>
      <c r="H854" s="29"/>
      <c r="I854" s="29"/>
      <c r="J854" s="29"/>
      <c r="K854" s="29"/>
      <c r="L854" s="29"/>
      <c r="M854" s="29"/>
      <c r="N854" s="30"/>
      <c r="O854" s="30"/>
      <c r="P854" s="30"/>
      <c r="Q854" s="30"/>
      <c r="R854" s="30"/>
      <c r="S854" s="30"/>
      <c r="T854" s="30"/>
      <c r="U854" s="30"/>
      <c r="V854" s="31"/>
      <c r="W854" s="29"/>
      <c r="X854" s="29"/>
      <c r="Y854" s="29"/>
      <c r="Z854" s="29"/>
      <c r="AA854" s="30"/>
      <c r="AB854" s="30"/>
      <c r="AC854" s="30"/>
      <c r="AD854" s="30"/>
      <c r="AE854" s="30"/>
      <c r="AF854" s="32"/>
      <c r="AG854" s="33"/>
      <c r="AH854" s="33"/>
      <c r="AI854" s="29"/>
      <c r="AJ854" s="32"/>
      <c r="AK854" s="32"/>
      <c r="AL854" s="29"/>
      <c r="AN854" s="34" t="str">
        <f aca="false">IF($B854="","",IF(OR(C854="",D854="",E854="",G854="",I854="",J854="",L854="",O854="",P854=""),"Champ obligatoire manquant",IF(OR(AND(N854&lt;&gt;"",N854&gt;O854),O854&gt;P854,AND(Q854&lt;&gt;"",Q854&lt;P854),AND(R854&lt;&gt;"",R854&lt;P854),AND(S854&lt;&gt;"",S854&lt;R854),AND(S854&lt;&gt;"",R854=""),AND(T854&lt;&gt;"",T854&lt;O854),AND(U854&lt;&gt;"",U854&lt;O854)),"Chronologie incohérente",IF(AND(OR(L854="Résolu",L854="Clos"),R854=""),"Date de résolution manquante",IF(AND(L854="Clos",S854=""),"Date de clôture manquante",IF(AND(K854="Oui",AC854=""),"Classification DORA manquante","OK"))))))</f>
        <v/>
      </c>
      <c r="AO854" s="35" t="str">
        <f aca="false">IF($B854="","",IF(AND(C854="Incident",L854&lt;&gt;"Annulé"),1,0))</f>
        <v/>
      </c>
      <c r="AP854" s="35" t="str">
        <f aca="false">IF($B854="","",IF(AND(C854="Quasi-incident",L854&lt;&gt;"Annulé"),1,0))</f>
        <v/>
      </c>
      <c r="AQ854" s="35" t="str">
        <f aca="false">IF($B854="","",AO854+AP854)</f>
        <v/>
      </c>
      <c r="AR854" s="36" t="str">
        <f aca="false">IF(OR($B854="",J854=""),"",IFERROR(VALUE(LEFT(J854,1)),""))</f>
        <v/>
      </c>
      <c r="AS854" s="35" t="str">
        <f aca="false">IF(OR(AO854&lt;&gt;1,G854=""),"",IFERROR(IF(INDEX(L_SrcInterne,MATCH(G854,L_Sources,0))="Oui",1,0),""))</f>
        <v/>
      </c>
      <c r="AT854" s="37" t="str">
        <f aca="false">IF(AO854&lt;&gt;1,"",IFERROR(ROUND(IF(OR(N854="",O854=""),"",IF(O854&lt;N854,"",ROUND(((NETWORKDAYS(N854,O854,JoursFeries)-1)*(HFer-HOuv)+IF(NETWORKDAYS(O854,O854,JoursFeries),MEDIAN(MOD(O854,1),HFer,HOuv),HFer)-IF(NETWORKDAYS(N854,N854,JoursFeries),MEDIAN(MOD(N854,1),HFer,HOuv),HOuv))*24,4)))/HJour,4),""))</f>
        <v/>
      </c>
      <c r="AU854" s="37" t="str">
        <f aca="false">IF(AO854&lt;&gt;1,"",IF(OR(O854="",P854=""),"",IF(P854&lt;O854,"",ROUND(((NETWORKDAYS(O854,P854,JoursFeries)-1)*(HFer-HOuv)+IF(NETWORKDAYS(P854,P854,JoursFeries),MEDIAN(MOD(P854,1),HFer,HOuv),HFer)-IF(NETWORKDAYS(O854,O854,JoursFeries),MEDIAN(MOD(O854,1),HFer,HOuv),HOuv))*24,4))))</f>
        <v/>
      </c>
      <c r="AV854" s="37" t="str">
        <f aca="false">IF(AO854&lt;&gt;1,"",IF(OR(P854="",Q854=""),"",IF(Q854&lt;P854,"",ROUND(((NETWORKDAYS(P854,Q854,JoursFeries)-1)*(HFer-HOuv)+IF(NETWORKDAYS(Q854,Q854,JoursFeries),MEDIAN(MOD(Q854,1),HFer,HOuv),HFer)-IF(NETWORKDAYS(P854,P854,JoursFeries),MEDIAN(MOD(P854,1),HFer,HOuv),HOuv))*24,4))))</f>
        <v/>
      </c>
      <c r="AW854" s="37" t="str">
        <f aca="false">IF(AO854&lt;&gt;1,"",IFERROR(ROUND(IF(OR(P854="",R854=""),"",IF(R854&lt;P854,"",ROUND(((NETWORKDAYS(P854,R854,JoursFeries)-1)*(HFer-HOuv)+IF(NETWORKDAYS(R854,R854,JoursFeries),MEDIAN(MOD(R854,1),HFer,HOuv),HFer)-IF(NETWORKDAYS(P854,P854,JoursFeries),MEDIAN(MOD(P854,1),HFer,HOuv),HOuv))*24,4)))/HJour,4),""))</f>
        <v/>
      </c>
      <c r="AX854" s="37" t="str">
        <f aca="false">IF(AO854&lt;&gt;1,"",IFERROR(ROUND(IF(OR(P854="",S854=""),"",IF(S854&lt;P854,"",ROUND(((NETWORKDAYS(P854,S854,JoursFeries)-1)*(HFer-HOuv)+IF(NETWORKDAYS(S854,S854,JoursFeries),MEDIAN(MOD(S854,1),HFer,HOuv),HFer)-IF(NETWORKDAYS(P854,P854,JoursFeries),MEDIAN(MOD(P854,1),HFer,HOuv),HOuv))*24,4)))/HJour,4),""))</f>
        <v/>
      </c>
      <c r="AY854" s="36" t="str">
        <f aca="false">IF(OR(AO854&lt;&gt;1,AR854=""),"",INDEX(SLA_PEC,AR854))</f>
        <v/>
      </c>
      <c r="AZ854" s="35" t="str">
        <f aca="false">IF(OR(AV854="",AY854=""),"",IF(AV854&lt;=AY854,1,0))</f>
        <v/>
      </c>
      <c r="BA854" s="36" t="str">
        <f aca="false">IF(OR(AO854&lt;&gt;1,AR854=""),"",INDEX(SLA_RES,AR854))</f>
        <v/>
      </c>
      <c r="BB854" s="35" t="str">
        <f aca="false">IF(OR(AW854="",BA854=""),"",IF(AW854&lt;=BA854,1,0))</f>
        <v/>
      </c>
      <c r="BC854" s="38" t="str">
        <f aca="false">IF(OR(BA854="",P854=""),"",WORKDAY(INT(P854),BA854,JoursFeries)+MOD(P854,1))</f>
        <v/>
      </c>
      <c r="BD854" s="39" t="str">
        <f aca="false">IF(AO854&lt;&gt;1,"",IF(OR(AB854&lt;&gt;"",AD854&lt;&gt;""),4,IF(U854&lt;&gt;"",3,IF(T854&lt;&gt;"",2,1))))</f>
        <v/>
      </c>
      <c r="BE854" s="39" t="str">
        <f aca="false">IF(OR(AO854&lt;&gt;1,AR854=""),"",INDEX(NIV_REQ,AR854))</f>
        <v/>
      </c>
      <c r="BF854" s="39" t="str">
        <f aca="false">IF(BE854="","",MAX(BE854,IF(OR(K854="Oui",Z854="Oui"),4,1)))</f>
        <v/>
      </c>
      <c r="BG854" s="35" t="str">
        <f aca="false">IF(OR(BF854="",BD854=""),"",IF(BD854&gt;=BF854,1,0))</f>
        <v/>
      </c>
      <c r="BH854" s="38" t="str">
        <f aca="false">IF(BE854="","",IF(BE854&lt;2,"",IF(BE854=2,IF(AND(T854="",U854=""),"",MIN(T854,U854)),IF(U854="","",U854))))</f>
        <v/>
      </c>
      <c r="BI854" s="37" t="str">
        <f aca="false">IF(BH854="","",IF(OR(O854="",BH854=""),"",IF(BH854&lt;O854,"",ROUND(((NETWORKDAYS(O854,BH854,JoursFeries)-1)*(HFer-HOuv)+IF(NETWORKDAYS(BH854,BH854,JoursFeries),MEDIAN(MOD(BH854,1),HFer,HOuv),HFer)-IF(NETWORKDAYS(O854,O854,JoursFeries),MEDIAN(MOD(O854,1),HFer,HOuv),HOuv))*24,4))))</f>
        <v/>
      </c>
      <c r="BJ854" s="35" t="str">
        <f aca="false">IF(OR(BI854="",AR854=""),"",IF(BI854&lt;=INDEX(DELAI_ESC,AR854),1,0))</f>
        <v/>
      </c>
      <c r="BK854" s="38" t="str">
        <f aca="false">IF(AO854&lt;&gt;1,"",IF(AND(T854="",U854=""),"",MIN(T854,U854)))</f>
        <v/>
      </c>
      <c r="BL854" s="37" t="str">
        <f aca="false">IF(OR(BK854="",R854=""),"",IFERROR(ROUND(IF(OR(BK854="",R854=""),"",IF(R854&lt;BK854,"",ROUND(((NETWORKDAYS(BK854,R854,JoursFeries)-1)*(HFer-HOuv)+IF(NETWORKDAYS(R854,R854,JoursFeries),MEDIAN(MOD(R854,1),HFer,HOuv),HFer)-IF(NETWORKDAYS(BK854,BK854,JoursFeries),MEDIAN(MOD(BK854,1),HFer,HOuv),HOuv))*24,4)))/HJour,4),""))</f>
        <v/>
      </c>
      <c r="BM854" s="35" t="str">
        <f aca="false">IF(OR(AO854&lt;&gt;1,R854=""),"",IF(BD854=1,1,0))</f>
        <v/>
      </c>
      <c r="BN854" s="35" t="str">
        <f aca="false">IF(AO854&lt;&gt;1,"",IF(W854="Oui",1,0))</f>
        <v/>
      </c>
      <c r="BO854" s="35" t="str">
        <f aca="false">IF(AO854&lt;&gt;1,"",IF(X854&lt;&gt;"",1,0))</f>
        <v/>
      </c>
      <c r="BP854" s="35" t="str">
        <f aca="false">IF(AO854&lt;&gt;1,"",IF(Y854="Oui",1,0))</f>
        <v/>
      </c>
      <c r="BQ854" s="35" t="str">
        <f aca="true">IF(OR(AO854&lt;&gt;1,Z854&lt;&gt;"Oui"),"",IF(AB854="",IF(AND(AA854&lt;&gt;"",NOW()&gt;AA854),0,""),IF(AA854="","",IF(AB854&lt;=AA854,1,0))))</f>
        <v/>
      </c>
      <c r="BR854" s="38" t="str">
        <f aca="false">IF(OR(AO854&lt;&gt;1,K854&lt;&gt;"Oui",O854=""),"",IF(AC854="",O854+DORA_H_DET/24,IF(AC854-O854&lt;=DORA_H_DET/24,MIN(AC854+DORA_H_CLA/24,O854+DORA_H_DET/24),AC854+DORA_H_CLA/24)))</f>
        <v/>
      </c>
      <c r="BS854" s="35" t="str">
        <f aca="true">IF(BR854="","",IF(AD854="",IF(NOW()&gt;BR854,0,""),IF(AD854&lt;=BR854,1,0)))</f>
        <v/>
      </c>
      <c r="BT854" s="35" t="str">
        <f aca="true">IF(OR(BR854="",AD854=""),"",IF(AE854="",IF(NOW()&gt;AD854+DORA_H_INT/24,0,""),IF(AE854&lt;=AD854+DORA_H_INT/24,1,0)))</f>
        <v/>
      </c>
      <c r="BU854" s="35" t="str">
        <f aca="true">IF(OR(BR854="",AE854=""),"",IF(AF854="",IF(NOW()&gt;EDATE(AE854,DORA_M_FIN)+1,0,""),IF(AF854&lt;=EDATE(AE854,DORA_M_FIN),1,0)))</f>
        <v/>
      </c>
      <c r="BV854" s="35" t="str">
        <f aca="false">IF(BR854="","",IF(COUNT(BS854:BU854)=0,"",MIN(BS854:BU854)))</f>
        <v/>
      </c>
      <c r="BW854" s="40" t="str">
        <f aca="false">IF(AQ854&lt;&gt;1,"",IF(AND(AG854="",AH854=""),"",N(AG854)-N(AH854)))</f>
        <v/>
      </c>
      <c r="BX854" s="35" t="str">
        <f aca="true">IF(OR(AQ854&lt;&gt;1,AI854&lt;&gt;"Oui",AJ854=""),"",IF(AK854="",IF(NOW()&gt;AJ854+1,0,""),IF(AK854&lt;=AJ854,1,0)))</f>
        <v/>
      </c>
    </row>
    <row r="855" customFormat="false" ht="15" hidden="false" customHeight="false" outlineLevel="0" collapsed="false">
      <c r="B855" s="29"/>
      <c r="C855" s="29"/>
      <c r="D855" s="29"/>
      <c r="E855" s="29"/>
      <c r="F855" s="29"/>
      <c r="G855" s="29"/>
      <c r="H855" s="29"/>
      <c r="I855" s="29"/>
      <c r="J855" s="29"/>
      <c r="K855" s="29"/>
      <c r="L855" s="29"/>
      <c r="M855" s="29"/>
      <c r="N855" s="30"/>
      <c r="O855" s="30"/>
      <c r="P855" s="30"/>
      <c r="Q855" s="30"/>
      <c r="R855" s="30"/>
      <c r="S855" s="30"/>
      <c r="T855" s="30"/>
      <c r="U855" s="30"/>
      <c r="V855" s="31"/>
      <c r="W855" s="29"/>
      <c r="X855" s="29"/>
      <c r="Y855" s="29"/>
      <c r="Z855" s="29"/>
      <c r="AA855" s="30"/>
      <c r="AB855" s="30"/>
      <c r="AC855" s="30"/>
      <c r="AD855" s="30"/>
      <c r="AE855" s="30"/>
      <c r="AF855" s="32"/>
      <c r="AG855" s="33"/>
      <c r="AH855" s="33"/>
      <c r="AI855" s="29"/>
      <c r="AJ855" s="32"/>
      <c r="AK855" s="32"/>
      <c r="AL855" s="29"/>
      <c r="AN855" s="34" t="str">
        <f aca="false">IF($B855="","",IF(OR(C855="",D855="",E855="",G855="",I855="",J855="",L855="",O855="",P855=""),"Champ obligatoire manquant",IF(OR(AND(N855&lt;&gt;"",N855&gt;O855),O855&gt;P855,AND(Q855&lt;&gt;"",Q855&lt;P855),AND(R855&lt;&gt;"",R855&lt;P855),AND(S855&lt;&gt;"",S855&lt;R855),AND(S855&lt;&gt;"",R855=""),AND(T855&lt;&gt;"",T855&lt;O855),AND(U855&lt;&gt;"",U855&lt;O855)),"Chronologie incohérente",IF(AND(OR(L855="Résolu",L855="Clos"),R855=""),"Date de résolution manquante",IF(AND(L855="Clos",S855=""),"Date de clôture manquante",IF(AND(K855="Oui",AC855=""),"Classification DORA manquante","OK"))))))</f>
        <v/>
      </c>
      <c r="AO855" s="35" t="str">
        <f aca="false">IF($B855="","",IF(AND(C855="Incident",L855&lt;&gt;"Annulé"),1,0))</f>
        <v/>
      </c>
      <c r="AP855" s="35" t="str">
        <f aca="false">IF($B855="","",IF(AND(C855="Quasi-incident",L855&lt;&gt;"Annulé"),1,0))</f>
        <v/>
      </c>
      <c r="AQ855" s="35" t="str">
        <f aca="false">IF($B855="","",AO855+AP855)</f>
        <v/>
      </c>
      <c r="AR855" s="36" t="str">
        <f aca="false">IF(OR($B855="",J855=""),"",IFERROR(VALUE(LEFT(J855,1)),""))</f>
        <v/>
      </c>
      <c r="AS855" s="35" t="str">
        <f aca="false">IF(OR(AO855&lt;&gt;1,G855=""),"",IFERROR(IF(INDEX(L_SrcInterne,MATCH(G855,L_Sources,0))="Oui",1,0),""))</f>
        <v/>
      </c>
      <c r="AT855" s="37" t="str">
        <f aca="false">IF(AO855&lt;&gt;1,"",IFERROR(ROUND(IF(OR(N855="",O855=""),"",IF(O855&lt;N855,"",ROUND(((NETWORKDAYS(N855,O855,JoursFeries)-1)*(HFer-HOuv)+IF(NETWORKDAYS(O855,O855,JoursFeries),MEDIAN(MOD(O855,1),HFer,HOuv),HFer)-IF(NETWORKDAYS(N855,N855,JoursFeries),MEDIAN(MOD(N855,1),HFer,HOuv),HOuv))*24,4)))/HJour,4),""))</f>
        <v/>
      </c>
      <c r="AU855" s="37" t="str">
        <f aca="false">IF(AO855&lt;&gt;1,"",IF(OR(O855="",P855=""),"",IF(P855&lt;O855,"",ROUND(((NETWORKDAYS(O855,P855,JoursFeries)-1)*(HFer-HOuv)+IF(NETWORKDAYS(P855,P855,JoursFeries),MEDIAN(MOD(P855,1),HFer,HOuv),HFer)-IF(NETWORKDAYS(O855,O855,JoursFeries),MEDIAN(MOD(O855,1),HFer,HOuv),HOuv))*24,4))))</f>
        <v/>
      </c>
      <c r="AV855" s="37" t="str">
        <f aca="false">IF(AO855&lt;&gt;1,"",IF(OR(P855="",Q855=""),"",IF(Q855&lt;P855,"",ROUND(((NETWORKDAYS(P855,Q855,JoursFeries)-1)*(HFer-HOuv)+IF(NETWORKDAYS(Q855,Q855,JoursFeries),MEDIAN(MOD(Q855,1),HFer,HOuv),HFer)-IF(NETWORKDAYS(P855,P855,JoursFeries),MEDIAN(MOD(P855,1),HFer,HOuv),HOuv))*24,4))))</f>
        <v/>
      </c>
      <c r="AW855" s="37" t="str">
        <f aca="false">IF(AO855&lt;&gt;1,"",IFERROR(ROUND(IF(OR(P855="",R855=""),"",IF(R855&lt;P855,"",ROUND(((NETWORKDAYS(P855,R855,JoursFeries)-1)*(HFer-HOuv)+IF(NETWORKDAYS(R855,R855,JoursFeries),MEDIAN(MOD(R855,1),HFer,HOuv),HFer)-IF(NETWORKDAYS(P855,P855,JoursFeries),MEDIAN(MOD(P855,1),HFer,HOuv),HOuv))*24,4)))/HJour,4),""))</f>
        <v/>
      </c>
      <c r="AX855" s="37" t="str">
        <f aca="false">IF(AO855&lt;&gt;1,"",IFERROR(ROUND(IF(OR(P855="",S855=""),"",IF(S855&lt;P855,"",ROUND(((NETWORKDAYS(P855,S855,JoursFeries)-1)*(HFer-HOuv)+IF(NETWORKDAYS(S855,S855,JoursFeries),MEDIAN(MOD(S855,1),HFer,HOuv),HFer)-IF(NETWORKDAYS(P855,P855,JoursFeries),MEDIAN(MOD(P855,1),HFer,HOuv),HOuv))*24,4)))/HJour,4),""))</f>
        <v/>
      </c>
      <c r="AY855" s="36" t="str">
        <f aca="false">IF(OR(AO855&lt;&gt;1,AR855=""),"",INDEX(SLA_PEC,AR855))</f>
        <v/>
      </c>
      <c r="AZ855" s="35" t="str">
        <f aca="false">IF(OR(AV855="",AY855=""),"",IF(AV855&lt;=AY855,1,0))</f>
        <v/>
      </c>
      <c r="BA855" s="36" t="str">
        <f aca="false">IF(OR(AO855&lt;&gt;1,AR855=""),"",INDEX(SLA_RES,AR855))</f>
        <v/>
      </c>
      <c r="BB855" s="35" t="str">
        <f aca="false">IF(OR(AW855="",BA855=""),"",IF(AW855&lt;=BA855,1,0))</f>
        <v/>
      </c>
      <c r="BC855" s="38" t="str">
        <f aca="false">IF(OR(BA855="",P855=""),"",WORKDAY(INT(P855),BA855,JoursFeries)+MOD(P855,1))</f>
        <v/>
      </c>
      <c r="BD855" s="39" t="str">
        <f aca="false">IF(AO855&lt;&gt;1,"",IF(OR(AB855&lt;&gt;"",AD855&lt;&gt;""),4,IF(U855&lt;&gt;"",3,IF(T855&lt;&gt;"",2,1))))</f>
        <v/>
      </c>
      <c r="BE855" s="39" t="str">
        <f aca="false">IF(OR(AO855&lt;&gt;1,AR855=""),"",INDEX(NIV_REQ,AR855))</f>
        <v/>
      </c>
      <c r="BF855" s="39" t="str">
        <f aca="false">IF(BE855="","",MAX(BE855,IF(OR(K855="Oui",Z855="Oui"),4,1)))</f>
        <v/>
      </c>
      <c r="BG855" s="35" t="str">
        <f aca="false">IF(OR(BF855="",BD855=""),"",IF(BD855&gt;=BF855,1,0))</f>
        <v/>
      </c>
      <c r="BH855" s="38" t="str">
        <f aca="false">IF(BE855="","",IF(BE855&lt;2,"",IF(BE855=2,IF(AND(T855="",U855=""),"",MIN(T855,U855)),IF(U855="","",U855))))</f>
        <v/>
      </c>
      <c r="BI855" s="37" t="str">
        <f aca="false">IF(BH855="","",IF(OR(O855="",BH855=""),"",IF(BH855&lt;O855,"",ROUND(((NETWORKDAYS(O855,BH855,JoursFeries)-1)*(HFer-HOuv)+IF(NETWORKDAYS(BH855,BH855,JoursFeries),MEDIAN(MOD(BH855,1),HFer,HOuv),HFer)-IF(NETWORKDAYS(O855,O855,JoursFeries),MEDIAN(MOD(O855,1),HFer,HOuv),HOuv))*24,4))))</f>
        <v/>
      </c>
      <c r="BJ855" s="35" t="str">
        <f aca="false">IF(OR(BI855="",AR855=""),"",IF(BI855&lt;=INDEX(DELAI_ESC,AR855),1,0))</f>
        <v/>
      </c>
      <c r="BK855" s="38" t="str">
        <f aca="false">IF(AO855&lt;&gt;1,"",IF(AND(T855="",U855=""),"",MIN(T855,U855)))</f>
        <v/>
      </c>
      <c r="BL855" s="37" t="str">
        <f aca="false">IF(OR(BK855="",R855=""),"",IFERROR(ROUND(IF(OR(BK855="",R855=""),"",IF(R855&lt;BK855,"",ROUND(((NETWORKDAYS(BK855,R855,JoursFeries)-1)*(HFer-HOuv)+IF(NETWORKDAYS(R855,R855,JoursFeries),MEDIAN(MOD(R855,1),HFer,HOuv),HFer)-IF(NETWORKDAYS(BK855,BK855,JoursFeries),MEDIAN(MOD(BK855,1),HFer,HOuv),HOuv))*24,4)))/HJour,4),""))</f>
        <v/>
      </c>
      <c r="BM855" s="35" t="str">
        <f aca="false">IF(OR(AO855&lt;&gt;1,R855=""),"",IF(BD855=1,1,0))</f>
        <v/>
      </c>
      <c r="BN855" s="35" t="str">
        <f aca="false">IF(AO855&lt;&gt;1,"",IF(W855="Oui",1,0))</f>
        <v/>
      </c>
      <c r="BO855" s="35" t="str">
        <f aca="false">IF(AO855&lt;&gt;1,"",IF(X855&lt;&gt;"",1,0))</f>
        <v/>
      </c>
      <c r="BP855" s="35" t="str">
        <f aca="false">IF(AO855&lt;&gt;1,"",IF(Y855="Oui",1,0))</f>
        <v/>
      </c>
      <c r="BQ855" s="35" t="str">
        <f aca="true">IF(OR(AO855&lt;&gt;1,Z855&lt;&gt;"Oui"),"",IF(AB855="",IF(AND(AA855&lt;&gt;"",NOW()&gt;AA855),0,""),IF(AA855="","",IF(AB855&lt;=AA855,1,0))))</f>
        <v/>
      </c>
      <c r="BR855" s="38" t="str">
        <f aca="false">IF(OR(AO855&lt;&gt;1,K855&lt;&gt;"Oui",O855=""),"",IF(AC855="",O855+DORA_H_DET/24,IF(AC855-O855&lt;=DORA_H_DET/24,MIN(AC855+DORA_H_CLA/24,O855+DORA_H_DET/24),AC855+DORA_H_CLA/24)))</f>
        <v/>
      </c>
      <c r="BS855" s="35" t="str">
        <f aca="true">IF(BR855="","",IF(AD855="",IF(NOW()&gt;BR855,0,""),IF(AD855&lt;=BR855,1,0)))</f>
        <v/>
      </c>
      <c r="BT855" s="35" t="str">
        <f aca="true">IF(OR(BR855="",AD855=""),"",IF(AE855="",IF(NOW()&gt;AD855+DORA_H_INT/24,0,""),IF(AE855&lt;=AD855+DORA_H_INT/24,1,0)))</f>
        <v/>
      </c>
      <c r="BU855" s="35" t="str">
        <f aca="true">IF(OR(BR855="",AE855=""),"",IF(AF855="",IF(NOW()&gt;EDATE(AE855,DORA_M_FIN)+1,0,""),IF(AF855&lt;=EDATE(AE855,DORA_M_FIN),1,0)))</f>
        <v/>
      </c>
      <c r="BV855" s="35" t="str">
        <f aca="false">IF(BR855="","",IF(COUNT(BS855:BU855)=0,"",MIN(BS855:BU855)))</f>
        <v/>
      </c>
      <c r="BW855" s="40" t="str">
        <f aca="false">IF(AQ855&lt;&gt;1,"",IF(AND(AG855="",AH855=""),"",N(AG855)-N(AH855)))</f>
        <v/>
      </c>
      <c r="BX855" s="35" t="str">
        <f aca="true">IF(OR(AQ855&lt;&gt;1,AI855&lt;&gt;"Oui",AJ855=""),"",IF(AK855="",IF(NOW()&gt;AJ855+1,0,""),IF(AK855&lt;=AJ855,1,0)))</f>
        <v/>
      </c>
    </row>
    <row r="856" customFormat="false" ht="15" hidden="false" customHeight="false" outlineLevel="0" collapsed="false">
      <c r="B856" s="29"/>
      <c r="C856" s="29"/>
      <c r="D856" s="29"/>
      <c r="E856" s="29"/>
      <c r="F856" s="29"/>
      <c r="G856" s="29"/>
      <c r="H856" s="29"/>
      <c r="I856" s="29"/>
      <c r="J856" s="29"/>
      <c r="K856" s="29"/>
      <c r="L856" s="29"/>
      <c r="M856" s="29"/>
      <c r="N856" s="30"/>
      <c r="O856" s="30"/>
      <c r="P856" s="30"/>
      <c r="Q856" s="30"/>
      <c r="R856" s="30"/>
      <c r="S856" s="30"/>
      <c r="T856" s="30"/>
      <c r="U856" s="30"/>
      <c r="V856" s="31"/>
      <c r="W856" s="29"/>
      <c r="X856" s="29"/>
      <c r="Y856" s="29"/>
      <c r="Z856" s="29"/>
      <c r="AA856" s="30"/>
      <c r="AB856" s="30"/>
      <c r="AC856" s="30"/>
      <c r="AD856" s="30"/>
      <c r="AE856" s="30"/>
      <c r="AF856" s="32"/>
      <c r="AG856" s="33"/>
      <c r="AH856" s="33"/>
      <c r="AI856" s="29"/>
      <c r="AJ856" s="32"/>
      <c r="AK856" s="32"/>
      <c r="AL856" s="29"/>
      <c r="AN856" s="34" t="str">
        <f aca="false">IF($B856="","",IF(OR(C856="",D856="",E856="",G856="",I856="",J856="",L856="",O856="",P856=""),"Champ obligatoire manquant",IF(OR(AND(N856&lt;&gt;"",N856&gt;O856),O856&gt;P856,AND(Q856&lt;&gt;"",Q856&lt;P856),AND(R856&lt;&gt;"",R856&lt;P856),AND(S856&lt;&gt;"",S856&lt;R856),AND(S856&lt;&gt;"",R856=""),AND(T856&lt;&gt;"",T856&lt;O856),AND(U856&lt;&gt;"",U856&lt;O856)),"Chronologie incohérente",IF(AND(OR(L856="Résolu",L856="Clos"),R856=""),"Date de résolution manquante",IF(AND(L856="Clos",S856=""),"Date de clôture manquante",IF(AND(K856="Oui",AC856=""),"Classification DORA manquante","OK"))))))</f>
        <v/>
      </c>
      <c r="AO856" s="35" t="str">
        <f aca="false">IF($B856="","",IF(AND(C856="Incident",L856&lt;&gt;"Annulé"),1,0))</f>
        <v/>
      </c>
      <c r="AP856" s="35" t="str">
        <f aca="false">IF($B856="","",IF(AND(C856="Quasi-incident",L856&lt;&gt;"Annulé"),1,0))</f>
        <v/>
      </c>
      <c r="AQ856" s="35" t="str">
        <f aca="false">IF($B856="","",AO856+AP856)</f>
        <v/>
      </c>
      <c r="AR856" s="36" t="str">
        <f aca="false">IF(OR($B856="",J856=""),"",IFERROR(VALUE(LEFT(J856,1)),""))</f>
        <v/>
      </c>
      <c r="AS856" s="35" t="str">
        <f aca="false">IF(OR(AO856&lt;&gt;1,G856=""),"",IFERROR(IF(INDEX(L_SrcInterne,MATCH(G856,L_Sources,0))="Oui",1,0),""))</f>
        <v/>
      </c>
      <c r="AT856" s="37" t="str">
        <f aca="false">IF(AO856&lt;&gt;1,"",IFERROR(ROUND(IF(OR(N856="",O856=""),"",IF(O856&lt;N856,"",ROUND(((NETWORKDAYS(N856,O856,JoursFeries)-1)*(HFer-HOuv)+IF(NETWORKDAYS(O856,O856,JoursFeries),MEDIAN(MOD(O856,1),HFer,HOuv),HFer)-IF(NETWORKDAYS(N856,N856,JoursFeries),MEDIAN(MOD(N856,1),HFer,HOuv),HOuv))*24,4)))/HJour,4),""))</f>
        <v/>
      </c>
      <c r="AU856" s="37" t="str">
        <f aca="false">IF(AO856&lt;&gt;1,"",IF(OR(O856="",P856=""),"",IF(P856&lt;O856,"",ROUND(((NETWORKDAYS(O856,P856,JoursFeries)-1)*(HFer-HOuv)+IF(NETWORKDAYS(P856,P856,JoursFeries),MEDIAN(MOD(P856,1),HFer,HOuv),HFer)-IF(NETWORKDAYS(O856,O856,JoursFeries),MEDIAN(MOD(O856,1),HFer,HOuv),HOuv))*24,4))))</f>
        <v/>
      </c>
      <c r="AV856" s="37" t="str">
        <f aca="false">IF(AO856&lt;&gt;1,"",IF(OR(P856="",Q856=""),"",IF(Q856&lt;P856,"",ROUND(((NETWORKDAYS(P856,Q856,JoursFeries)-1)*(HFer-HOuv)+IF(NETWORKDAYS(Q856,Q856,JoursFeries),MEDIAN(MOD(Q856,1),HFer,HOuv),HFer)-IF(NETWORKDAYS(P856,P856,JoursFeries),MEDIAN(MOD(P856,1),HFer,HOuv),HOuv))*24,4))))</f>
        <v/>
      </c>
      <c r="AW856" s="37" t="str">
        <f aca="false">IF(AO856&lt;&gt;1,"",IFERROR(ROUND(IF(OR(P856="",R856=""),"",IF(R856&lt;P856,"",ROUND(((NETWORKDAYS(P856,R856,JoursFeries)-1)*(HFer-HOuv)+IF(NETWORKDAYS(R856,R856,JoursFeries),MEDIAN(MOD(R856,1),HFer,HOuv),HFer)-IF(NETWORKDAYS(P856,P856,JoursFeries),MEDIAN(MOD(P856,1),HFer,HOuv),HOuv))*24,4)))/HJour,4),""))</f>
        <v/>
      </c>
      <c r="AX856" s="37" t="str">
        <f aca="false">IF(AO856&lt;&gt;1,"",IFERROR(ROUND(IF(OR(P856="",S856=""),"",IF(S856&lt;P856,"",ROUND(((NETWORKDAYS(P856,S856,JoursFeries)-1)*(HFer-HOuv)+IF(NETWORKDAYS(S856,S856,JoursFeries),MEDIAN(MOD(S856,1),HFer,HOuv),HFer)-IF(NETWORKDAYS(P856,P856,JoursFeries),MEDIAN(MOD(P856,1),HFer,HOuv),HOuv))*24,4)))/HJour,4),""))</f>
        <v/>
      </c>
      <c r="AY856" s="36" t="str">
        <f aca="false">IF(OR(AO856&lt;&gt;1,AR856=""),"",INDEX(SLA_PEC,AR856))</f>
        <v/>
      </c>
      <c r="AZ856" s="35" t="str">
        <f aca="false">IF(OR(AV856="",AY856=""),"",IF(AV856&lt;=AY856,1,0))</f>
        <v/>
      </c>
      <c r="BA856" s="36" t="str">
        <f aca="false">IF(OR(AO856&lt;&gt;1,AR856=""),"",INDEX(SLA_RES,AR856))</f>
        <v/>
      </c>
      <c r="BB856" s="35" t="str">
        <f aca="false">IF(OR(AW856="",BA856=""),"",IF(AW856&lt;=BA856,1,0))</f>
        <v/>
      </c>
      <c r="BC856" s="38" t="str">
        <f aca="false">IF(OR(BA856="",P856=""),"",WORKDAY(INT(P856),BA856,JoursFeries)+MOD(P856,1))</f>
        <v/>
      </c>
      <c r="BD856" s="39" t="str">
        <f aca="false">IF(AO856&lt;&gt;1,"",IF(OR(AB856&lt;&gt;"",AD856&lt;&gt;""),4,IF(U856&lt;&gt;"",3,IF(T856&lt;&gt;"",2,1))))</f>
        <v/>
      </c>
      <c r="BE856" s="39" t="str">
        <f aca="false">IF(OR(AO856&lt;&gt;1,AR856=""),"",INDEX(NIV_REQ,AR856))</f>
        <v/>
      </c>
      <c r="BF856" s="39" t="str">
        <f aca="false">IF(BE856="","",MAX(BE856,IF(OR(K856="Oui",Z856="Oui"),4,1)))</f>
        <v/>
      </c>
      <c r="BG856" s="35" t="str">
        <f aca="false">IF(OR(BF856="",BD856=""),"",IF(BD856&gt;=BF856,1,0))</f>
        <v/>
      </c>
      <c r="BH856" s="38" t="str">
        <f aca="false">IF(BE856="","",IF(BE856&lt;2,"",IF(BE856=2,IF(AND(T856="",U856=""),"",MIN(T856,U856)),IF(U856="","",U856))))</f>
        <v/>
      </c>
      <c r="BI856" s="37" t="str">
        <f aca="false">IF(BH856="","",IF(OR(O856="",BH856=""),"",IF(BH856&lt;O856,"",ROUND(((NETWORKDAYS(O856,BH856,JoursFeries)-1)*(HFer-HOuv)+IF(NETWORKDAYS(BH856,BH856,JoursFeries),MEDIAN(MOD(BH856,1),HFer,HOuv),HFer)-IF(NETWORKDAYS(O856,O856,JoursFeries),MEDIAN(MOD(O856,1),HFer,HOuv),HOuv))*24,4))))</f>
        <v/>
      </c>
      <c r="BJ856" s="35" t="str">
        <f aca="false">IF(OR(BI856="",AR856=""),"",IF(BI856&lt;=INDEX(DELAI_ESC,AR856),1,0))</f>
        <v/>
      </c>
      <c r="BK856" s="38" t="str">
        <f aca="false">IF(AO856&lt;&gt;1,"",IF(AND(T856="",U856=""),"",MIN(T856,U856)))</f>
        <v/>
      </c>
      <c r="BL856" s="37" t="str">
        <f aca="false">IF(OR(BK856="",R856=""),"",IFERROR(ROUND(IF(OR(BK856="",R856=""),"",IF(R856&lt;BK856,"",ROUND(((NETWORKDAYS(BK856,R856,JoursFeries)-1)*(HFer-HOuv)+IF(NETWORKDAYS(R856,R856,JoursFeries),MEDIAN(MOD(R856,1),HFer,HOuv),HFer)-IF(NETWORKDAYS(BK856,BK856,JoursFeries),MEDIAN(MOD(BK856,1),HFer,HOuv),HOuv))*24,4)))/HJour,4),""))</f>
        <v/>
      </c>
      <c r="BM856" s="35" t="str">
        <f aca="false">IF(OR(AO856&lt;&gt;1,R856=""),"",IF(BD856=1,1,0))</f>
        <v/>
      </c>
      <c r="BN856" s="35" t="str">
        <f aca="false">IF(AO856&lt;&gt;1,"",IF(W856="Oui",1,0))</f>
        <v/>
      </c>
      <c r="BO856" s="35" t="str">
        <f aca="false">IF(AO856&lt;&gt;1,"",IF(X856&lt;&gt;"",1,0))</f>
        <v/>
      </c>
      <c r="BP856" s="35" t="str">
        <f aca="false">IF(AO856&lt;&gt;1,"",IF(Y856="Oui",1,0))</f>
        <v/>
      </c>
      <c r="BQ856" s="35" t="str">
        <f aca="true">IF(OR(AO856&lt;&gt;1,Z856&lt;&gt;"Oui"),"",IF(AB856="",IF(AND(AA856&lt;&gt;"",NOW()&gt;AA856),0,""),IF(AA856="","",IF(AB856&lt;=AA856,1,0))))</f>
        <v/>
      </c>
      <c r="BR856" s="38" t="str">
        <f aca="false">IF(OR(AO856&lt;&gt;1,K856&lt;&gt;"Oui",O856=""),"",IF(AC856="",O856+DORA_H_DET/24,IF(AC856-O856&lt;=DORA_H_DET/24,MIN(AC856+DORA_H_CLA/24,O856+DORA_H_DET/24),AC856+DORA_H_CLA/24)))</f>
        <v/>
      </c>
      <c r="BS856" s="35" t="str">
        <f aca="true">IF(BR856="","",IF(AD856="",IF(NOW()&gt;BR856,0,""),IF(AD856&lt;=BR856,1,0)))</f>
        <v/>
      </c>
      <c r="BT856" s="35" t="str">
        <f aca="true">IF(OR(BR856="",AD856=""),"",IF(AE856="",IF(NOW()&gt;AD856+DORA_H_INT/24,0,""),IF(AE856&lt;=AD856+DORA_H_INT/24,1,0)))</f>
        <v/>
      </c>
      <c r="BU856" s="35" t="str">
        <f aca="true">IF(OR(BR856="",AE856=""),"",IF(AF856="",IF(NOW()&gt;EDATE(AE856,DORA_M_FIN)+1,0,""),IF(AF856&lt;=EDATE(AE856,DORA_M_FIN),1,0)))</f>
        <v/>
      </c>
      <c r="BV856" s="35" t="str">
        <f aca="false">IF(BR856="","",IF(COUNT(BS856:BU856)=0,"",MIN(BS856:BU856)))</f>
        <v/>
      </c>
      <c r="BW856" s="40" t="str">
        <f aca="false">IF(AQ856&lt;&gt;1,"",IF(AND(AG856="",AH856=""),"",N(AG856)-N(AH856)))</f>
        <v/>
      </c>
      <c r="BX856" s="35" t="str">
        <f aca="true">IF(OR(AQ856&lt;&gt;1,AI856&lt;&gt;"Oui",AJ856=""),"",IF(AK856="",IF(NOW()&gt;AJ856+1,0,""),IF(AK856&lt;=AJ856,1,0)))</f>
        <v/>
      </c>
    </row>
    <row r="857" customFormat="false" ht="15" hidden="false" customHeight="false" outlineLevel="0" collapsed="false">
      <c r="B857" s="29"/>
      <c r="C857" s="29"/>
      <c r="D857" s="29"/>
      <c r="E857" s="29"/>
      <c r="F857" s="29"/>
      <c r="G857" s="29"/>
      <c r="H857" s="29"/>
      <c r="I857" s="29"/>
      <c r="J857" s="29"/>
      <c r="K857" s="29"/>
      <c r="L857" s="29"/>
      <c r="M857" s="29"/>
      <c r="N857" s="30"/>
      <c r="O857" s="30"/>
      <c r="P857" s="30"/>
      <c r="Q857" s="30"/>
      <c r="R857" s="30"/>
      <c r="S857" s="30"/>
      <c r="T857" s="30"/>
      <c r="U857" s="30"/>
      <c r="V857" s="31"/>
      <c r="W857" s="29"/>
      <c r="X857" s="29"/>
      <c r="Y857" s="29"/>
      <c r="Z857" s="29"/>
      <c r="AA857" s="30"/>
      <c r="AB857" s="30"/>
      <c r="AC857" s="30"/>
      <c r="AD857" s="30"/>
      <c r="AE857" s="30"/>
      <c r="AF857" s="32"/>
      <c r="AG857" s="33"/>
      <c r="AH857" s="33"/>
      <c r="AI857" s="29"/>
      <c r="AJ857" s="32"/>
      <c r="AK857" s="32"/>
      <c r="AL857" s="29"/>
      <c r="AN857" s="34" t="str">
        <f aca="false">IF($B857="","",IF(OR(C857="",D857="",E857="",G857="",I857="",J857="",L857="",O857="",P857=""),"Champ obligatoire manquant",IF(OR(AND(N857&lt;&gt;"",N857&gt;O857),O857&gt;P857,AND(Q857&lt;&gt;"",Q857&lt;P857),AND(R857&lt;&gt;"",R857&lt;P857),AND(S857&lt;&gt;"",S857&lt;R857),AND(S857&lt;&gt;"",R857=""),AND(T857&lt;&gt;"",T857&lt;O857),AND(U857&lt;&gt;"",U857&lt;O857)),"Chronologie incohérente",IF(AND(OR(L857="Résolu",L857="Clos"),R857=""),"Date de résolution manquante",IF(AND(L857="Clos",S857=""),"Date de clôture manquante",IF(AND(K857="Oui",AC857=""),"Classification DORA manquante","OK"))))))</f>
        <v/>
      </c>
      <c r="AO857" s="35" t="str">
        <f aca="false">IF($B857="","",IF(AND(C857="Incident",L857&lt;&gt;"Annulé"),1,0))</f>
        <v/>
      </c>
      <c r="AP857" s="35" t="str">
        <f aca="false">IF($B857="","",IF(AND(C857="Quasi-incident",L857&lt;&gt;"Annulé"),1,0))</f>
        <v/>
      </c>
      <c r="AQ857" s="35" t="str">
        <f aca="false">IF($B857="","",AO857+AP857)</f>
        <v/>
      </c>
      <c r="AR857" s="36" t="str">
        <f aca="false">IF(OR($B857="",J857=""),"",IFERROR(VALUE(LEFT(J857,1)),""))</f>
        <v/>
      </c>
      <c r="AS857" s="35" t="str">
        <f aca="false">IF(OR(AO857&lt;&gt;1,G857=""),"",IFERROR(IF(INDEX(L_SrcInterne,MATCH(G857,L_Sources,0))="Oui",1,0),""))</f>
        <v/>
      </c>
      <c r="AT857" s="37" t="str">
        <f aca="false">IF(AO857&lt;&gt;1,"",IFERROR(ROUND(IF(OR(N857="",O857=""),"",IF(O857&lt;N857,"",ROUND(((NETWORKDAYS(N857,O857,JoursFeries)-1)*(HFer-HOuv)+IF(NETWORKDAYS(O857,O857,JoursFeries),MEDIAN(MOD(O857,1),HFer,HOuv),HFer)-IF(NETWORKDAYS(N857,N857,JoursFeries),MEDIAN(MOD(N857,1),HFer,HOuv),HOuv))*24,4)))/HJour,4),""))</f>
        <v/>
      </c>
      <c r="AU857" s="37" t="str">
        <f aca="false">IF(AO857&lt;&gt;1,"",IF(OR(O857="",P857=""),"",IF(P857&lt;O857,"",ROUND(((NETWORKDAYS(O857,P857,JoursFeries)-1)*(HFer-HOuv)+IF(NETWORKDAYS(P857,P857,JoursFeries),MEDIAN(MOD(P857,1),HFer,HOuv),HFer)-IF(NETWORKDAYS(O857,O857,JoursFeries),MEDIAN(MOD(O857,1),HFer,HOuv),HOuv))*24,4))))</f>
        <v/>
      </c>
      <c r="AV857" s="37" t="str">
        <f aca="false">IF(AO857&lt;&gt;1,"",IF(OR(P857="",Q857=""),"",IF(Q857&lt;P857,"",ROUND(((NETWORKDAYS(P857,Q857,JoursFeries)-1)*(HFer-HOuv)+IF(NETWORKDAYS(Q857,Q857,JoursFeries),MEDIAN(MOD(Q857,1),HFer,HOuv),HFer)-IF(NETWORKDAYS(P857,P857,JoursFeries),MEDIAN(MOD(P857,1),HFer,HOuv),HOuv))*24,4))))</f>
        <v/>
      </c>
      <c r="AW857" s="37" t="str">
        <f aca="false">IF(AO857&lt;&gt;1,"",IFERROR(ROUND(IF(OR(P857="",R857=""),"",IF(R857&lt;P857,"",ROUND(((NETWORKDAYS(P857,R857,JoursFeries)-1)*(HFer-HOuv)+IF(NETWORKDAYS(R857,R857,JoursFeries),MEDIAN(MOD(R857,1),HFer,HOuv),HFer)-IF(NETWORKDAYS(P857,P857,JoursFeries),MEDIAN(MOD(P857,1),HFer,HOuv),HOuv))*24,4)))/HJour,4),""))</f>
        <v/>
      </c>
      <c r="AX857" s="37" t="str">
        <f aca="false">IF(AO857&lt;&gt;1,"",IFERROR(ROUND(IF(OR(P857="",S857=""),"",IF(S857&lt;P857,"",ROUND(((NETWORKDAYS(P857,S857,JoursFeries)-1)*(HFer-HOuv)+IF(NETWORKDAYS(S857,S857,JoursFeries),MEDIAN(MOD(S857,1),HFer,HOuv),HFer)-IF(NETWORKDAYS(P857,P857,JoursFeries),MEDIAN(MOD(P857,1),HFer,HOuv),HOuv))*24,4)))/HJour,4),""))</f>
        <v/>
      </c>
      <c r="AY857" s="36" t="str">
        <f aca="false">IF(OR(AO857&lt;&gt;1,AR857=""),"",INDEX(SLA_PEC,AR857))</f>
        <v/>
      </c>
      <c r="AZ857" s="35" t="str">
        <f aca="false">IF(OR(AV857="",AY857=""),"",IF(AV857&lt;=AY857,1,0))</f>
        <v/>
      </c>
      <c r="BA857" s="36" t="str">
        <f aca="false">IF(OR(AO857&lt;&gt;1,AR857=""),"",INDEX(SLA_RES,AR857))</f>
        <v/>
      </c>
      <c r="BB857" s="35" t="str">
        <f aca="false">IF(OR(AW857="",BA857=""),"",IF(AW857&lt;=BA857,1,0))</f>
        <v/>
      </c>
      <c r="BC857" s="38" t="str">
        <f aca="false">IF(OR(BA857="",P857=""),"",WORKDAY(INT(P857),BA857,JoursFeries)+MOD(P857,1))</f>
        <v/>
      </c>
      <c r="BD857" s="39" t="str">
        <f aca="false">IF(AO857&lt;&gt;1,"",IF(OR(AB857&lt;&gt;"",AD857&lt;&gt;""),4,IF(U857&lt;&gt;"",3,IF(T857&lt;&gt;"",2,1))))</f>
        <v/>
      </c>
      <c r="BE857" s="39" t="str">
        <f aca="false">IF(OR(AO857&lt;&gt;1,AR857=""),"",INDEX(NIV_REQ,AR857))</f>
        <v/>
      </c>
      <c r="BF857" s="39" t="str">
        <f aca="false">IF(BE857="","",MAX(BE857,IF(OR(K857="Oui",Z857="Oui"),4,1)))</f>
        <v/>
      </c>
      <c r="BG857" s="35" t="str">
        <f aca="false">IF(OR(BF857="",BD857=""),"",IF(BD857&gt;=BF857,1,0))</f>
        <v/>
      </c>
      <c r="BH857" s="38" t="str">
        <f aca="false">IF(BE857="","",IF(BE857&lt;2,"",IF(BE857=2,IF(AND(T857="",U857=""),"",MIN(T857,U857)),IF(U857="","",U857))))</f>
        <v/>
      </c>
      <c r="BI857" s="37" t="str">
        <f aca="false">IF(BH857="","",IF(OR(O857="",BH857=""),"",IF(BH857&lt;O857,"",ROUND(((NETWORKDAYS(O857,BH857,JoursFeries)-1)*(HFer-HOuv)+IF(NETWORKDAYS(BH857,BH857,JoursFeries),MEDIAN(MOD(BH857,1),HFer,HOuv),HFer)-IF(NETWORKDAYS(O857,O857,JoursFeries),MEDIAN(MOD(O857,1),HFer,HOuv),HOuv))*24,4))))</f>
        <v/>
      </c>
      <c r="BJ857" s="35" t="str">
        <f aca="false">IF(OR(BI857="",AR857=""),"",IF(BI857&lt;=INDEX(DELAI_ESC,AR857),1,0))</f>
        <v/>
      </c>
      <c r="BK857" s="38" t="str">
        <f aca="false">IF(AO857&lt;&gt;1,"",IF(AND(T857="",U857=""),"",MIN(T857,U857)))</f>
        <v/>
      </c>
      <c r="BL857" s="37" t="str">
        <f aca="false">IF(OR(BK857="",R857=""),"",IFERROR(ROUND(IF(OR(BK857="",R857=""),"",IF(R857&lt;BK857,"",ROUND(((NETWORKDAYS(BK857,R857,JoursFeries)-1)*(HFer-HOuv)+IF(NETWORKDAYS(R857,R857,JoursFeries),MEDIAN(MOD(R857,1),HFer,HOuv),HFer)-IF(NETWORKDAYS(BK857,BK857,JoursFeries),MEDIAN(MOD(BK857,1),HFer,HOuv),HOuv))*24,4)))/HJour,4),""))</f>
        <v/>
      </c>
      <c r="BM857" s="35" t="str">
        <f aca="false">IF(OR(AO857&lt;&gt;1,R857=""),"",IF(BD857=1,1,0))</f>
        <v/>
      </c>
      <c r="BN857" s="35" t="str">
        <f aca="false">IF(AO857&lt;&gt;1,"",IF(W857="Oui",1,0))</f>
        <v/>
      </c>
      <c r="BO857" s="35" t="str">
        <f aca="false">IF(AO857&lt;&gt;1,"",IF(X857&lt;&gt;"",1,0))</f>
        <v/>
      </c>
      <c r="BP857" s="35" t="str">
        <f aca="false">IF(AO857&lt;&gt;1,"",IF(Y857="Oui",1,0))</f>
        <v/>
      </c>
      <c r="BQ857" s="35" t="str">
        <f aca="true">IF(OR(AO857&lt;&gt;1,Z857&lt;&gt;"Oui"),"",IF(AB857="",IF(AND(AA857&lt;&gt;"",NOW()&gt;AA857),0,""),IF(AA857="","",IF(AB857&lt;=AA857,1,0))))</f>
        <v/>
      </c>
      <c r="BR857" s="38" t="str">
        <f aca="false">IF(OR(AO857&lt;&gt;1,K857&lt;&gt;"Oui",O857=""),"",IF(AC857="",O857+DORA_H_DET/24,IF(AC857-O857&lt;=DORA_H_DET/24,MIN(AC857+DORA_H_CLA/24,O857+DORA_H_DET/24),AC857+DORA_H_CLA/24)))</f>
        <v/>
      </c>
      <c r="BS857" s="35" t="str">
        <f aca="true">IF(BR857="","",IF(AD857="",IF(NOW()&gt;BR857,0,""),IF(AD857&lt;=BR857,1,0)))</f>
        <v/>
      </c>
      <c r="BT857" s="35" t="str">
        <f aca="true">IF(OR(BR857="",AD857=""),"",IF(AE857="",IF(NOW()&gt;AD857+DORA_H_INT/24,0,""),IF(AE857&lt;=AD857+DORA_H_INT/24,1,0)))</f>
        <v/>
      </c>
      <c r="BU857" s="35" t="str">
        <f aca="true">IF(OR(BR857="",AE857=""),"",IF(AF857="",IF(NOW()&gt;EDATE(AE857,DORA_M_FIN)+1,0,""),IF(AF857&lt;=EDATE(AE857,DORA_M_FIN),1,0)))</f>
        <v/>
      </c>
      <c r="BV857" s="35" t="str">
        <f aca="false">IF(BR857="","",IF(COUNT(BS857:BU857)=0,"",MIN(BS857:BU857)))</f>
        <v/>
      </c>
      <c r="BW857" s="40" t="str">
        <f aca="false">IF(AQ857&lt;&gt;1,"",IF(AND(AG857="",AH857=""),"",N(AG857)-N(AH857)))</f>
        <v/>
      </c>
      <c r="BX857" s="35" t="str">
        <f aca="true">IF(OR(AQ857&lt;&gt;1,AI857&lt;&gt;"Oui",AJ857=""),"",IF(AK857="",IF(NOW()&gt;AJ857+1,0,""),IF(AK857&lt;=AJ857,1,0)))</f>
        <v/>
      </c>
    </row>
    <row r="858" customFormat="false" ht="15" hidden="false" customHeight="false" outlineLevel="0" collapsed="false">
      <c r="B858" s="29"/>
      <c r="C858" s="29"/>
      <c r="D858" s="29"/>
      <c r="E858" s="29"/>
      <c r="F858" s="29"/>
      <c r="G858" s="29"/>
      <c r="H858" s="29"/>
      <c r="I858" s="29"/>
      <c r="J858" s="29"/>
      <c r="K858" s="29"/>
      <c r="L858" s="29"/>
      <c r="M858" s="29"/>
      <c r="N858" s="30"/>
      <c r="O858" s="30"/>
      <c r="P858" s="30"/>
      <c r="Q858" s="30"/>
      <c r="R858" s="30"/>
      <c r="S858" s="30"/>
      <c r="T858" s="30"/>
      <c r="U858" s="30"/>
      <c r="V858" s="31"/>
      <c r="W858" s="29"/>
      <c r="X858" s="29"/>
      <c r="Y858" s="29"/>
      <c r="Z858" s="29"/>
      <c r="AA858" s="30"/>
      <c r="AB858" s="30"/>
      <c r="AC858" s="30"/>
      <c r="AD858" s="30"/>
      <c r="AE858" s="30"/>
      <c r="AF858" s="32"/>
      <c r="AG858" s="33"/>
      <c r="AH858" s="33"/>
      <c r="AI858" s="29"/>
      <c r="AJ858" s="32"/>
      <c r="AK858" s="32"/>
      <c r="AL858" s="29"/>
      <c r="AN858" s="34" t="str">
        <f aca="false">IF($B858="","",IF(OR(C858="",D858="",E858="",G858="",I858="",J858="",L858="",O858="",P858=""),"Champ obligatoire manquant",IF(OR(AND(N858&lt;&gt;"",N858&gt;O858),O858&gt;P858,AND(Q858&lt;&gt;"",Q858&lt;P858),AND(R858&lt;&gt;"",R858&lt;P858),AND(S858&lt;&gt;"",S858&lt;R858),AND(S858&lt;&gt;"",R858=""),AND(T858&lt;&gt;"",T858&lt;O858),AND(U858&lt;&gt;"",U858&lt;O858)),"Chronologie incohérente",IF(AND(OR(L858="Résolu",L858="Clos"),R858=""),"Date de résolution manquante",IF(AND(L858="Clos",S858=""),"Date de clôture manquante",IF(AND(K858="Oui",AC858=""),"Classification DORA manquante","OK"))))))</f>
        <v/>
      </c>
      <c r="AO858" s="35" t="str">
        <f aca="false">IF($B858="","",IF(AND(C858="Incident",L858&lt;&gt;"Annulé"),1,0))</f>
        <v/>
      </c>
      <c r="AP858" s="35" t="str">
        <f aca="false">IF($B858="","",IF(AND(C858="Quasi-incident",L858&lt;&gt;"Annulé"),1,0))</f>
        <v/>
      </c>
      <c r="AQ858" s="35" t="str">
        <f aca="false">IF($B858="","",AO858+AP858)</f>
        <v/>
      </c>
      <c r="AR858" s="36" t="str">
        <f aca="false">IF(OR($B858="",J858=""),"",IFERROR(VALUE(LEFT(J858,1)),""))</f>
        <v/>
      </c>
      <c r="AS858" s="35" t="str">
        <f aca="false">IF(OR(AO858&lt;&gt;1,G858=""),"",IFERROR(IF(INDEX(L_SrcInterne,MATCH(G858,L_Sources,0))="Oui",1,0),""))</f>
        <v/>
      </c>
      <c r="AT858" s="37" t="str">
        <f aca="false">IF(AO858&lt;&gt;1,"",IFERROR(ROUND(IF(OR(N858="",O858=""),"",IF(O858&lt;N858,"",ROUND(((NETWORKDAYS(N858,O858,JoursFeries)-1)*(HFer-HOuv)+IF(NETWORKDAYS(O858,O858,JoursFeries),MEDIAN(MOD(O858,1),HFer,HOuv),HFer)-IF(NETWORKDAYS(N858,N858,JoursFeries),MEDIAN(MOD(N858,1),HFer,HOuv),HOuv))*24,4)))/HJour,4),""))</f>
        <v/>
      </c>
      <c r="AU858" s="37" t="str">
        <f aca="false">IF(AO858&lt;&gt;1,"",IF(OR(O858="",P858=""),"",IF(P858&lt;O858,"",ROUND(((NETWORKDAYS(O858,P858,JoursFeries)-1)*(HFer-HOuv)+IF(NETWORKDAYS(P858,P858,JoursFeries),MEDIAN(MOD(P858,1),HFer,HOuv),HFer)-IF(NETWORKDAYS(O858,O858,JoursFeries),MEDIAN(MOD(O858,1),HFer,HOuv),HOuv))*24,4))))</f>
        <v/>
      </c>
      <c r="AV858" s="37" t="str">
        <f aca="false">IF(AO858&lt;&gt;1,"",IF(OR(P858="",Q858=""),"",IF(Q858&lt;P858,"",ROUND(((NETWORKDAYS(P858,Q858,JoursFeries)-1)*(HFer-HOuv)+IF(NETWORKDAYS(Q858,Q858,JoursFeries),MEDIAN(MOD(Q858,1),HFer,HOuv),HFer)-IF(NETWORKDAYS(P858,P858,JoursFeries),MEDIAN(MOD(P858,1),HFer,HOuv),HOuv))*24,4))))</f>
        <v/>
      </c>
      <c r="AW858" s="37" t="str">
        <f aca="false">IF(AO858&lt;&gt;1,"",IFERROR(ROUND(IF(OR(P858="",R858=""),"",IF(R858&lt;P858,"",ROUND(((NETWORKDAYS(P858,R858,JoursFeries)-1)*(HFer-HOuv)+IF(NETWORKDAYS(R858,R858,JoursFeries),MEDIAN(MOD(R858,1),HFer,HOuv),HFer)-IF(NETWORKDAYS(P858,P858,JoursFeries),MEDIAN(MOD(P858,1),HFer,HOuv),HOuv))*24,4)))/HJour,4),""))</f>
        <v/>
      </c>
      <c r="AX858" s="37" t="str">
        <f aca="false">IF(AO858&lt;&gt;1,"",IFERROR(ROUND(IF(OR(P858="",S858=""),"",IF(S858&lt;P858,"",ROUND(((NETWORKDAYS(P858,S858,JoursFeries)-1)*(HFer-HOuv)+IF(NETWORKDAYS(S858,S858,JoursFeries),MEDIAN(MOD(S858,1),HFer,HOuv),HFer)-IF(NETWORKDAYS(P858,P858,JoursFeries),MEDIAN(MOD(P858,1),HFer,HOuv),HOuv))*24,4)))/HJour,4),""))</f>
        <v/>
      </c>
      <c r="AY858" s="36" t="str">
        <f aca="false">IF(OR(AO858&lt;&gt;1,AR858=""),"",INDEX(SLA_PEC,AR858))</f>
        <v/>
      </c>
      <c r="AZ858" s="35" t="str">
        <f aca="false">IF(OR(AV858="",AY858=""),"",IF(AV858&lt;=AY858,1,0))</f>
        <v/>
      </c>
      <c r="BA858" s="36" t="str">
        <f aca="false">IF(OR(AO858&lt;&gt;1,AR858=""),"",INDEX(SLA_RES,AR858))</f>
        <v/>
      </c>
      <c r="BB858" s="35" t="str">
        <f aca="false">IF(OR(AW858="",BA858=""),"",IF(AW858&lt;=BA858,1,0))</f>
        <v/>
      </c>
      <c r="BC858" s="38" t="str">
        <f aca="false">IF(OR(BA858="",P858=""),"",WORKDAY(INT(P858),BA858,JoursFeries)+MOD(P858,1))</f>
        <v/>
      </c>
      <c r="BD858" s="39" t="str">
        <f aca="false">IF(AO858&lt;&gt;1,"",IF(OR(AB858&lt;&gt;"",AD858&lt;&gt;""),4,IF(U858&lt;&gt;"",3,IF(T858&lt;&gt;"",2,1))))</f>
        <v/>
      </c>
      <c r="BE858" s="39" t="str">
        <f aca="false">IF(OR(AO858&lt;&gt;1,AR858=""),"",INDEX(NIV_REQ,AR858))</f>
        <v/>
      </c>
      <c r="BF858" s="39" t="str">
        <f aca="false">IF(BE858="","",MAX(BE858,IF(OR(K858="Oui",Z858="Oui"),4,1)))</f>
        <v/>
      </c>
      <c r="BG858" s="35" t="str">
        <f aca="false">IF(OR(BF858="",BD858=""),"",IF(BD858&gt;=BF858,1,0))</f>
        <v/>
      </c>
      <c r="BH858" s="38" t="str">
        <f aca="false">IF(BE858="","",IF(BE858&lt;2,"",IF(BE858=2,IF(AND(T858="",U858=""),"",MIN(T858,U858)),IF(U858="","",U858))))</f>
        <v/>
      </c>
      <c r="BI858" s="37" t="str">
        <f aca="false">IF(BH858="","",IF(OR(O858="",BH858=""),"",IF(BH858&lt;O858,"",ROUND(((NETWORKDAYS(O858,BH858,JoursFeries)-1)*(HFer-HOuv)+IF(NETWORKDAYS(BH858,BH858,JoursFeries),MEDIAN(MOD(BH858,1),HFer,HOuv),HFer)-IF(NETWORKDAYS(O858,O858,JoursFeries),MEDIAN(MOD(O858,1),HFer,HOuv),HOuv))*24,4))))</f>
        <v/>
      </c>
      <c r="BJ858" s="35" t="str">
        <f aca="false">IF(OR(BI858="",AR858=""),"",IF(BI858&lt;=INDEX(DELAI_ESC,AR858),1,0))</f>
        <v/>
      </c>
      <c r="BK858" s="38" t="str">
        <f aca="false">IF(AO858&lt;&gt;1,"",IF(AND(T858="",U858=""),"",MIN(T858,U858)))</f>
        <v/>
      </c>
      <c r="BL858" s="37" t="str">
        <f aca="false">IF(OR(BK858="",R858=""),"",IFERROR(ROUND(IF(OR(BK858="",R858=""),"",IF(R858&lt;BK858,"",ROUND(((NETWORKDAYS(BK858,R858,JoursFeries)-1)*(HFer-HOuv)+IF(NETWORKDAYS(R858,R858,JoursFeries),MEDIAN(MOD(R858,1),HFer,HOuv),HFer)-IF(NETWORKDAYS(BK858,BK858,JoursFeries),MEDIAN(MOD(BK858,1),HFer,HOuv),HOuv))*24,4)))/HJour,4),""))</f>
        <v/>
      </c>
      <c r="BM858" s="35" t="str">
        <f aca="false">IF(OR(AO858&lt;&gt;1,R858=""),"",IF(BD858=1,1,0))</f>
        <v/>
      </c>
      <c r="BN858" s="35" t="str">
        <f aca="false">IF(AO858&lt;&gt;1,"",IF(W858="Oui",1,0))</f>
        <v/>
      </c>
      <c r="BO858" s="35" t="str">
        <f aca="false">IF(AO858&lt;&gt;1,"",IF(X858&lt;&gt;"",1,0))</f>
        <v/>
      </c>
      <c r="BP858" s="35" t="str">
        <f aca="false">IF(AO858&lt;&gt;1,"",IF(Y858="Oui",1,0))</f>
        <v/>
      </c>
      <c r="BQ858" s="35" t="str">
        <f aca="true">IF(OR(AO858&lt;&gt;1,Z858&lt;&gt;"Oui"),"",IF(AB858="",IF(AND(AA858&lt;&gt;"",NOW()&gt;AA858),0,""),IF(AA858="","",IF(AB858&lt;=AA858,1,0))))</f>
        <v/>
      </c>
      <c r="BR858" s="38" t="str">
        <f aca="false">IF(OR(AO858&lt;&gt;1,K858&lt;&gt;"Oui",O858=""),"",IF(AC858="",O858+DORA_H_DET/24,IF(AC858-O858&lt;=DORA_H_DET/24,MIN(AC858+DORA_H_CLA/24,O858+DORA_H_DET/24),AC858+DORA_H_CLA/24)))</f>
        <v/>
      </c>
      <c r="BS858" s="35" t="str">
        <f aca="true">IF(BR858="","",IF(AD858="",IF(NOW()&gt;BR858,0,""),IF(AD858&lt;=BR858,1,0)))</f>
        <v/>
      </c>
      <c r="BT858" s="35" t="str">
        <f aca="true">IF(OR(BR858="",AD858=""),"",IF(AE858="",IF(NOW()&gt;AD858+DORA_H_INT/24,0,""),IF(AE858&lt;=AD858+DORA_H_INT/24,1,0)))</f>
        <v/>
      </c>
      <c r="BU858" s="35" t="str">
        <f aca="true">IF(OR(BR858="",AE858=""),"",IF(AF858="",IF(NOW()&gt;EDATE(AE858,DORA_M_FIN)+1,0,""),IF(AF858&lt;=EDATE(AE858,DORA_M_FIN),1,0)))</f>
        <v/>
      </c>
      <c r="BV858" s="35" t="str">
        <f aca="false">IF(BR858="","",IF(COUNT(BS858:BU858)=0,"",MIN(BS858:BU858)))</f>
        <v/>
      </c>
      <c r="BW858" s="40" t="str">
        <f aca="false">IF(AQ858&lt;&gt;1,"",IF(AND(AG858="",AH858=""),"",N(AG858)-N(AH858)))</f>
        <v/>
      </c>
      <c r="BX858" s="35" t="str">
        <f aca="true">IF(OR(AQ858&lt;&gt;1,AI858&lt;&gt;"Oui",AJ858=""),"",IF(AK858="",IF(NOW()&gt;AJ858+1,0,""),IF(AK858&lt;=AJ858,1,0)))</f>
        <v/>
      </c>
    </row>
    <row r="859" customFormat="false" ht="15" hidden="false" customHeight="false" outlineLevel="0" collapsed="false">
      <c r="B859" s="29"/>
      <c r="C859" s="29"/>
      <c r="D859" s="29"/>
      <c r="E859" s="29"/>
      <c r="F859" s="29"/>
      <c r="G859" s="29"/>
      <c r="H859" s="29"/>
      <c r="I859" s="29"/>
      <c r="J859" s="29"/>
      <c r="K859" s="29"/>
      <c r="L859" s="29"/>
      <c r="M859" s="29"/>
      <c r="N859" s="30"/>
      <c r="O859" s="30"/>
      <c r="P859" s="30"/>
      <c r="Q859" s="30"/>
      <c r="R859" s="30"/>
      <c r="S859" s="30"/>
      <c r="T859" s="30"/>
      <c r="U859" s="30"/>
      <c r="V859" s="31"/>
      <c r="W859" s="29"/>
      <c r="X859" s="29"/>
      <c r="Y859" s="29"/>
      <c r="Z859" s="29"/>
      <c r="AA859" s="30"/>
      <c r="AB859" s="30"/>
      <c r="AC859" s="30"/>
      <c r="AD859" s="30"/>
      <c r="AE859" s="30"/>
      <c r="AF859" s="32"/>
      <c r="AG859" s="33"/>
      <c r="AH859" s="33"/>
      <c r="AI859" s="29"/>
      <c r="AJ859" s="32"/>
      <c r="AK859" s="32"/>
      <c r="AL859" s="29"/>
      <c r="AN859" s="34" t="str">
        <f aca="false">IF($B859="","",IF(OR(C859="",D859="",E859="",G859="",I859="",J859="",L859="",O859="",P859=""),"Champ obligatoire manquant",IF(OR(AND(N859&lt;&gt;"",N859&gt;O859),O859&gt;P859,AND(Q859&lt;&gt;"",Q859&lt;P859),AND(R859&lt;&gt;"",R859&lt;P859),AND(S859&lt;&gt;"",S859&lt;R859),AND(S859&lt;&gt;"",R859=""),AND(T859&lt;&gt;"",T859&lt;O859),AND(U859&lt;&gt;"",U859&lt;O859)),"Chronologie incohérente",IF(AND(OR(L859="Résolu",L859="Clos"),R859=""),"Date de résolution manquante",IF(AND(L859="Clos",S859=""),"Date de clôture manquante",IF(AND(K859="Oui",AC859=""),"Classification DORA manquante","OK"))))))</f>
        <v/>
      </c>
      <c r="AO859" s="35" t="str">
        <f aca="false">IF($B859="","",IF(AND(C859="Incident",L859&lt;&gt;"Annulé"),1,0))</f>
        <v/>
      </c>
      <c r="AP859" s="35" t="str">
        <f aca="false">IF($B859="","",IF(AND(C859="Quasi-incident",L859&lt;&gt;"Annulé"),1,0))</f>
        <v/>
      </c>
      <c r="AQ859" s="35" t="str">
        <f aca="false">IF($B859="","",AO859+AP859)</f>
        <v/>
      </c>
      <c r="AR859" s="36" t="str">
        <f aca="false">IF(OR($B859="",J859=""),"",IFERROR(VALUE(LEFT(J859,1)),""))</f>
        <v/>
      </c>
      <c r="AS859" s="35" t="str">
        <f aca="false">IF(OR(AO859&lt;&gt;1,G859=""),"",IFERROR(IF(INDEX(L_SrcInterne,MATCH(G859,L_Sources,0))="Oui",1,0),""))</f>
        <v/>
      </c>
      <c r="AT859" s="37" t="str">
        <f aca="false">IF(AO859&lt;&gt;1,"",IFERROR(ROUND(IF(OR(N859="",O859=""),"",IF(O859&lt;N859,"",ROUND(((NETWORKDAYS(N859,O859,JoursFeries)-1)*(HFer-HOuv)+IF(NETWORKDAYS(O859,O859,JoursFeries),MEDIAN(MOD(O859,1),HFer,HOuv),HFer)-IF(NETWORKDAYS(N859,N859,JoursFeries),MEDIAN(MOD(N859,1),HFer,HOuv),HOuv))*24,4)))/HJour,4),""))</f>
        <v/>
      </c>
      <c r="AU859" s="37" t="str">
        <f aca="false">IF(AO859&lt;&gt;1,"",IF(OR(O859="",P859=""),"",IF(P859&lt;O859,"",ROUND(((NETWORKDAYS(O859,P859,JoursFeries)-1)*(HFer-HOuv)+IF(NETWORKDAYS(P859,P859,JoursFeries),MEDIAN(MOD(P859,1),HFer,HOuv),HFer)-IF(NETWORKDAYS(O859,O859,JoursFeries),MEDIAN(MOD(O859,1),HFer,HOuv),HOuv))*24,4))))</f>
        <v/>
      </c>
      <c r="AV859" s="37" t="str">
        <f aca="false">IF(AO859&lt;&gt;1,"",IF(OR(P859="",Q859=""),"",IF(Q859&lt;P859,"",ROUND(((NETWORKDAYS(P859,Q859,JoursFeries)-1)*(HFer-HOuv)+IF(NETWORKDAYS(Q859,Q859,JoursFeries),MEDIAN(MOD(Q859,1),HFer,HOuv),HFer)-IF(NETWORKDAYS(P859,P859,JoursFeries),MEDIAN(MOD(P859,1),HFer,HOuv),HOuv))*24,4))))</f>
        <v/>
      </c>
      <c r="AW859" s="37" t="str">
        <f aca="false">IF(AO859&lt;&gt;1,"",IFERROR(ROUND(IF(OR(P859="",R859=""),"",IF(R859&lt;P859,"",ROUND(((NETWORKDAYS(P859,R859,JoursFeries)-1)*(HFer-HOuv)+IF(NETWORKDAYS(R859,R859,JoursFeries),MEDIAN(MOD(R859,1),HFer,HOuv),HFer)-IF(NETWORKDAYS(P859,P859,JoursFeries),MEDIAN(MOD(P859,1),HFer,HOuv),HOuv))*24,4)))/HJour,4),""))</f>
        <v/>
      </c>
      <c r="AX859" s="37" t="str">
        <f aca="false">IF(AO859&lt;&gt;1,"",IFERROR(ROUND(IF(OR(P859="",S859=""),"",IF(S859&lt;P859,"",ROUND(((NETWORKDAYS(P859,S859,JoursFeries)-1)*(HFer-HOuv)+IF(NETWORKDAYS(S859,S859,JoursFeries),MEDIAN(MOD(S859,1),HFer,HOuv),HFer)-IF(NETWORKDAYS(P859,P859,JoursFeries),MEDIAN(MOD(P859,1),HFer,HOuv),HOuv))*24,4)))/HJour,4),""))</f>
        <v/>
      </c>
      <c r="AY859" s="36" t="str">
        <f aca="false">IF(OR(AO859&lt;&gt;1,AR859=""),"",INDEX(SLA_PEC,AR859))</f>
        <v/>
      </c>
      <c r="AZ859" s="35" t="str">
        <f aca="false">IF(OR(AV859="",AY859=""),"",IF(AV859&lt;=AY859,1,0))</f>
        <v/>
      </c>
      <c r="BA859" s="36" t="str">
        <f aca="false">IF(OR(AO859&lt;&gt;1,AR859=""),"",INDEX(SLA_RES,AR859))</f>
        <v/>
      </c>
      <c r="BB859" s="35" t="str">
        <f aca="false">IF(OR(AW859="",BA859=""),"",IF(AW859&lt;=BA859,1,0))</f>
        <v/>
      </c>
      <c r="BC859" s="38" t="str">
        <f aca="false">IF(OR(BA859="",P859=""),"",WORKDAY(INT(P859),BA859,JoursFeries)+MOD(P859,1))</f>
        <v/>
      </c>
      <c r="BD859" s="39" t="str">
        <f aca="false">IF(AO859&lt;&gt;1,"",IF(OR(AB859&lt;&gt;"",AD859&lt;&gt;""),4,IF(U859&lt;&gt;"",3,IF(T859&lt;&gt;"",2,1))))</f>
        <v/>
      </c>
      <c r="BE859" s="39" t="str">
        <f aca="false">IF(OR(AO859&lt;&gt;1,AR859=""),"",INDEX(NIV_REQ,AR859))</f>
        <v/>
      </c>
      <c r="BF859" s="39" t="str">
        <f aca="false">IF(BE859="","",MAX(BE859,IF(OR(K859="Oui",Z859="Oui"),4,1)))</f>
        <v/>
      </c>
      <c r="BG859" s="35" t="str">
        <f aca="false">IF(OR(BF859="",BD859=""),"",IF(BD859&gt;=BF859,1,0))</f>
        <v/>
      </c>
      <c r="BH859" s="38" t="str">
        <f aca="false">IF(BE859="","",IF(BE859&lt;2,"",IF(BE859=2,IF(AND(T859="",U859=""),"",MIN(T859,U859)),IF(U859="","",U859))))</f>
        <v/>
      </c>
      <c r="BI859" s="37" t="str">
        <f aca="false">IF(BH859="","",IF(OR(O859="",BH859=""),"",IF(BH859&lt;O859,"",ROUND(((NETWORKDAYS(O859,BH859,JoursFeries)-1)*(HFer-HOuv)+IF(NETWORKDAYS(BH859,BH859,JoursFeries),MEDIAN(MOD(BH859,1),HFer,HOuv),HFer)-IF(NETWORKDAYS(O859,O859,JoursFeries),MEDIAN(MOD(O859,1),HFer,HOuv),HOuv))*24,4))))</f>
        <v/>
      </c>
      <c r="BJ859" s="35" t="str">
        <f aca="false">IF(OR(BI859="",AR859=""),"",IF(BI859&lt;=INDEX(DELAI_ESC,AR859),1,0))</f>
        <v/>
      </c>
      <c r="BK859" s="38" t="str">
        <f aca="false">IF(AO859&lt;&gt;1,"",IF(AND(T859="",U859=""),"",MIN(T859,U859)))</f>
        <v/>
      </c>
      <c r="BL859" s="37" t="str">
        <f aca="false">IF(OR(BK859="",R859=""),"",IFERROR(ROUND(IF(OR(BK859="",R859=""),"",IF(R859&lt;BK859,"",ROUND(((NETWORKDAYS(BK859,R859,JoursFeries)-1)*(HFer-HOuv)+IF(NETWORKDAYS(R859,R859,JoursFeries),MEDIAN(MOD(R859,1),HFer,HOuv),HFer)-IF(NETWORKDAYS(BK859,BK859,JoursFeries),MEDIAN(MOD(BK859,1),HFer,HOuv),HOuv))*24,4)))/HJour,4),""))</f>
        <v/>
      </c>
      <c r="BM859" s="35" t="str">
        <f aca="false">IF(OR(AO859&lt;&gt;1,R859=""),"",IF(BD859=1,1,0))</f>
        <v/>
      </c>
      <c r="BN859" s="35" t="str">
        <f aca="false">IF(AO859&lt;&gt;1,"",IF(W859="Oui",1,0))</f>
        <v/>
      </c>
      <c r="BO859" s="35" t="str">
        <f aca="false">IF(AO859&lt;&gt;1,"",IF(X859&lt;&gt;"",1,0))</f>
        <v/>
      </c>
      <c r="BP859" s="35" t="str">
        <f aca="false">IF(AO859&lt;&gt;1,"",IF(Y859="Oui",1,0))</f>
        <v/>
      </c>
      <c r="BQ859" s="35" t="str">
        <f aca="true">IF(OR(AO859&lt;&gt;1,Z859&lt;&gt;"Oui"),"",IF(AB859="",IF(AND(AA859&lt;&gt;"",NOW()&gt;AA859),0,""),IF(AA859="","",IF(AB859&lt;=AA859,1,0))))</f>
        <v/>
      </c>
      <c r="BR859" s="38" t="str">
        <f aca="false">IF(OR(AO859&lt;&gt;1,K859&lt;&gt;"Oui",O859=""),"",IF(AC859="",O859+DORA_H_DET/24,IF(AC859-O859&lt;=DORA_H_DET/24,MIN(AC859+DORA_H_CLA/24,O859+DORA_H_DET/24),AC859+DORA_H_CLA/24)))</f>
        <v/>
      </c>
      <c r="BS859" s="35" t="str">
        <f aca="true">IF(BR859="","",IF(AD859="",IF(NOW()&gt;BR859,0,""),IF(AD859&lt;=BR859,1,0)))</f>
        <v/>
      </c>
      <c r="BT859" s="35" t="str">
        <f aca="true">IF(OR(BR859="",AD859=""),"",IF(AE859="",IF(NOW()&gt;AD859+DORA_H_INT/24,0,""),IF(AE859&lt;=AD859+DORA_H_INT/24,1,0)))</f>
        <v/>
      </c>
      <c r="BU859" s="35" t="str">
        <f aca="true">IF(OR(BR859="",AE859=""),"",IF(AF859="",IF(NOW()&gt;EDATE(AE859,DORA_M_FIN)+1,0,""),IF(AF859&lt;=EDATE(AE859,DORA_M_FIN),1,0)))</f>
        <v/>
      </c>
      <c r="BV859" s="35" t="str">
        <f aca="false">IF(BR859="","",IF(COUNT(BS859:BU859)=0,"",MIN(BS859:BU859)))</f>
        <v/>
      </c>
      <c r="BW859" s="40" t="str">
        <f aca="false">IF(AQ859&lt;&gt;1,"",IF(AND(AG859="",AH859=""),"",N(AG859)-N(AH859)))</f>
        <v/>
      </c>
      <c r="BX859" s="35" t="str">
        <f aca="true">IF(OR(AQ859&lt;&gt;1,AI859&lt;&gt;"Oui",AJ859=""),"",IF(AK859="",IF(NOW()&gt;AJ859+1,0,""),IF(AK859&lt;=AJ859,1,0)))</f>
        <v/>
      </c>
    </row>
    <row r="860" customFormat="false" ht="15" hidden="false" customHeight="false" outlineLevel="0" collapsed="false">
      <c r="B860" s="29"/>
      <c r="C860" s="29"/>
      <c r="D860" s="29"/>
      <c r="E860" s="29"/>
      <c r="F860" s="29"/>
      <c r="G860" s="29"/>
      <c r="H860" s="29"/>
      <c r="I860" s="29"/>
      <c r="J860" s="29"/>
      <c r="K860" s="29"/>
      <c r="L860" s="29"/>
      <c r="M860" s="29"/>
      <c r="N860" s="30"/>
      <c r="O860" s="30"/>
      <c r="P860" s="30"/>
      <c r="Q860" s="30"/>
      <c r="R860" s="30"/>
      <c r="S860" s="30"/>
      <c r="T860" s="30"/>
      <c r="U860" s="30"/>
      <c r="V860" s="31"/>
      <c r="W860" s="29"/>
      <c r="X860" s="29"/>
      <c r="Y860" s="29"/>
      <c r="Z860" s="29"/>
      <c r="AA860" s="30"/>
      <c r="AB860" s="30"/>
      <c r="AC860" s="30"/>
      <c r="AD860" s="30"/>
      <c r="AE860" s="30"/>
      <c r="AF860" s="32"/>
      <c r="AG860" s="33"/>
      <c r="AH860" s="33"/>
      <c r="AI860" s="29"/>
      <c r="AJ860" s="32"/>
      <c r="AK860" s="32"/>
      <c r="AL860" s="29"/>
      <c r="AN860" s="34" t="str">
        <f aca="false">IF($B860="","",IF(OR(C860="",D860="",E860="",G860="",I860="",J860="",L860="",O860="",P860=""),"Champ obligatoire manquant",IF(OR(AND(N860&lt;&gt;"",N860&gt;O860),O860&gt;P860,AND(Q860&lt;&gt;"",Q860&lt;P860),AND(R860&lt;&gt;"",R860&lt;P860),AND(S860&lt;&gt;"",S860&lt;R860),AND(S860&lt;&gt;"",R860=""),AND(T860&lt;&gt;"",T860&lt;O860),AND(U860&lt;&gt;"",U860&lt;O860)),"Chronologie incohérente",IF(AND(OR(L860="Résolu",L860="Clos"),R860=""),"Date de résolution manquante",IF(AND(L860="Clos",S860=""),"Date de clôture manquante",IF(AND(K860="Oui",AC860=""),"Classification DORA manquante","OK"))))))</f>
        <v/>
      </c>
      <c r="AO860" s="35" t="str">
        <f aca="false">IF($B860="","",IF(AND(C860="Incident",L860&lt;&gt;"Annulé"),1,0))</f>
        <v/>
      </c>
      <c r="AP860" s="35" t="str">
        <f aca="false">IF($B860="","",IF(AND(C860="Quasi-incident",L860&lt;&gt;"Annulé"),1,0))</f>
        <v/>
      </c>
      <c r="AQ860" s="35" t="str">
        <f aca="false">IF($B860="","",AO860+AP860)</f>
        <v/>
      </c>
      <c r="AR860" s="36" t="str">
        <f aca="false">IF(OR($B860="",J860=""),"",IFERROR(VALUE(LEFT(J860,1)),""))</f>
        <v/>
      </c>
      <c r="AS860" s="35" t="str">
        <f aca="false">IF(OR(AO860&lt;&gt;1,G860=""),"",IFERROR(IF(INDEX(L_SrcInterne,MATCH(G860,L_Sources,0))="Oui",1,0),""))</f>
        <v/>
      </c>
      <c r="AT860" s="37" t="str">
        <f aca="false">IF(AO860&lt;&gt;1,"",IFERROR(ROUND(IF(OR(N860="",O860=""),"",IF(O860&lt;N860,"",ROUND(((NETWORKDAYS(N860,O860,JoursFeries)-1)*(HFer-HOuv)+IF(NETWORKDAYS(O860,O860,JoursFeries),MEDIAN(MOD(O860,1),HFer,HOuv),HFer)-IF(NETWORKDAYS(N860,N860,JoursFeries),MEDIAN(MOD(N860,1),HFer,HOuv),HOuv))*24,4)))/HJour,4),""))</f>
        <v/>
      </c>
      <c r="AU860" s="37" t="str">
        <f aca="false">IF(AO860&lt;&gt;1,"",IF(OR(O860="",P860=""),"",IF(P860&lt;O860,"",ROUND(((NETWORKDAYS(O860,P860,JoursFeries)-1)*(HFer-HOuv)+IF(NETWORKDAYS(P860,P860,JoursFeries),MEDIAN(MOD(P860,1),HFer,HOuv),HFer)-IF(NETWORKDAYS(O860,O860,JoursFeries),MEDIAN(MOD(O860,1),HFer,HOuv),HOuv))*24,4))))</f>
        <v/>
      </c>
      <c r="AV860" s="37" t="str">
        <f aca="false">IF(AO860&lt;&gt;1,"",IF(OR(P860="",Q860=""),"",IF(Q860&lt;P860,"",ROUND(((NETWORKDAYS(P860,Q860,JoursFeries)-1)*(HFer-HOuv)+IF(NETWORKDAYS(Q860,Q860,JoursFeries),MEDIAN(MOD(Q860,1),HFer,HOuv),HFer)-IF(NETWORKDAYS(P860,P860,JoursFeries),MEDIAN(MOD(P860,1),HFer,HOuv),HOuv))*24,4))))</f>
        <v/>
      </c>
      <c r="AW860" s="37" t="str">
        <f aca="false">IF(AO860&lt;&gt;1,"",IFERROR(ROUND(IF(OR(P860="",R860=""),"",IF(R860&lt;P860,"",ROUND(((NETWORKDAYS(P860,R860,JoursFeries)-1)*(HFer-HOuv)+IF(NETWORKDAYS(R860,R860,JoursFeries),MEDIAN(MOD(R860,1),HFer,HOuv),HFer)-IF(NETWORKDAYS(P860,P860,JoursFeries),MEDIAN(MOD(P860,1),HFer,HOuv),HOuv))*24,4)))/HJour,4),""))</f>
        <v/>
      </c>
      <c r="AX860" s="37" t="str">
        <f aca="false">IF(AO860&lt;&gt;1,"",IFERROR(ROUND(IF(OR(P860="",S860=""),"",IF(S860&lt;P860,"",ROUND(((NETWORKDAYS(P860,S860,JoursFeries)-1)*(HFer-HOuv)+IF(NETWORKDAYS(S860,S860,JoursFeries),MEDIAN(MOD(S860,1),HFer,HOuv),HFer)-IF(NETWORKDAYS(P860,P860,JoursFeries),MEDIAN(MOD(P860,1),HFer,HOuv),HOuv))*24,4)))/HJour,4),""))</f>
        <v/>
      </c>
      <c r="AY860" s="36" t="str">
        <f aca="false">IF(OR(AO860&lt;&gt;1,AR860=""),"",INDEX(SLA_PEC,AR860))</f>
        <v/>
      </c>
      <c r="AZ860" s="35" t="str">
        <f aca="false">IF(OR(AV860="",AY860=""),"",IF(AV860&lt;=AY860,1,0))</f>
        <v/>
      </c>
      <c r="BA860" s="36" t="str">
        <f aca="false">IF(OR(AO860&lt;&gt;1,AR860=""),"",INDEX(SLA_RES,AR860))</f>
        <v/>
      </c>
      <c r="BB860" s="35" t="str">
        <f aca="false">IF(OR(AW860="",BA860=""),"",IF(AW860&lt;=BA860,1,0))</f>
        <v/>
      </c>
      <c r="BC860" s="38" t="str">
        <f aca="false">IF(OR(BA860="",P860=""),"",WORKDAY(INT(P860),BA860,JoursFeries)+MOD(P860,1))</f>
        <v/>
      </c>
      <c r="BD860" s="39" t="str">
        <f aca="false">IF(AO860&lt;&gt;1,"",IF(OR(AB860&lt;&gt;"",AD860&lt;&gt;""),4,IF(U860&lt;&gt;"",3,IF(T860&lt;&gt;"",2,1))))</f>
        <v/>
      </c>
      <c r="BE860" s="39" t="str">
        <f aca="false">IF(OR(AO860&lt;&gt;1,AR860=""),"",INDEX(NIV_REQ,AR860))</f>
        <v/>
      </c>
      <c r="BF860" s="39" t="str">
        <f aca="false">IF(BE860="","",MAX(BE860,IF(OR(K860="Oui",Z860="Oui"),4,1)))</f>
        <v/>
      </c>
      <c r="BG860" s="35" t="str">
        <f aca="false">IF(OR(BF860="",BD860=""),"",IF(BD860&gt;=BF860,1,0))</f>
        <v/>
      </c>
      <c r="BH860" s="38" t="str">
        <f aca="false">IF(BE860="","",IF(BE860&lt;2,"",IF(BE860=2,IF(AND(T860="",U860=""),"",MIN(T860,U860)),IF(U860="","",U860))))</f>
        <v/>
      </c>
      <c r="BI860" s="37" t="str">
        <f aca="false">IF(BH860="","",IF(OR(O860="",BH860=""),"",IF(BH860&lt;O860,"",ROUND(((NETWORKDAYS(O860,BH860,JoursFeries)-1)*(HFer-HOuv)+IF(NETWORKDAYS(BH860,BH860,JoursFeries),MEDIAN(MOD(BH860,1),HFer,HOuv),HFer)-IF(NETWORKDAYS(O860,O860,JoursFeries),MEDIAN(MOD(O860,1),HFer,HOuv),HOuv))*24,4))))</f>
        <v/>
      </c>
      <c r="BJ860" s="35" t="str">
        <f aca="false">IF(OR(BI860="",AR860=""),"",IF(BI860&lt;=INDEX(DELAI_ESC,AR860),1,0))</f>
        <v/>
      </c>
      <c r="BK860" s="38" t="str">
        <f aca="false">IF(AO860&lt;&gt;1,"",IF(AND(T860="",U860=""),"",MIN(T860,U860)))</f>
        <v/>
      </c>
      <c r="BL860" s="37" t="str">
        <f aca="false">IF(OR(BK860="",R860=""),"",IFERROR(ROUND(IF(OR(BK860="",R860=""),"",IF(R860&lt;BK860,"",ROUND(((NETWORKDAYS(BK860,R860,JoursFeries)-1)*(HFer-HOuv)+IF(NETWORKDAYS(R860,R860,JoursFeries),MEDIAN(MOD(R860,1),HFer,HOuv),HFer)-IF(NETWORKDAYS(BK860,BK860,JoursFeries),MEDIAN(MOD(BK860,1),HFer,HOuv),HOuv))*24,4)))/HJour,4),""))</f>
        <v/>
      </c>
      <c r="BM860" s="35" t="str">
        <f aca="false">IF(OR(AO860&lt;&gt;1,R860=""),"",IF(BD860=1,1,0))</f>
        <v/>
      </c>
      <c r="BN860" s="35" t="str">
        <f aca="false">IF(AO860&lt;&gt;1,"",IF(W860="Oui",1,0))</f>
        <v/>
      </c>
      <c r="BO860" s="35" t="str">
        <f aca="false">IF(AO860&lt;&gt;1,"",IF(X860&lt;&gt;"",1,0))</f>
        <v/>
      </c>
      <c r="BP860" s="35" t="str">
        <f aca="false">IF(AO860&lt;&gt;1,"",IF(Y860="Oui",1,0))</f>
        <v/>
      </c>
      <c r="BQ860" s="35" t="str">
        <f aca="true">IF(OR(AO860&lt;&gt;1,Z860&lt;&gt;"Oui"),"",IF(AB860="",IF(AND(AA860&lt;&gt;"",NOW()&gt;AA860),0,""),IF(AA860="","",IF(AB860&lt;=AA860,1,0))))</f>
        <v/>
      </c>
      <c r="BR860" s="38" t="str">
        <f aca="false">IF(OR(AO860&lt;&gt;1,K860&lt;&gt;"Oui",O860=""),"",IF(AC860="",O860+DORA_H_DET/24,IF(AC860-O860&lt;=DORA_H_DET/24,MIN(AC860+DORA_H_CLA/24,O860+DORA_H_DET/24),AC860+DORA_H_CLA/24)))</f>
        <v/>
      </c>
      <c r="BS860" s="35" t="str">
        <f aca="true">IF(BR860="","",IF(AD860="",IF(NOW()&gt;BR860,0,""),IF(AD860&lt;=BR860,1,0)))</f>
        <v/>
      </c>
      <c r="BT860" s="35" t="str">
        <f aca="true">IF(OR(BR860="",AD860=""),"",IF(AE860="",IF(NOW()&gt;AD860+DORA_H_INT/24,0,""),IF(AE860&lt;=AD860+DORA_H_INT/24,1,0)))</f>
        <v/>
      </c>
      <c r="BU860" s="35" t="str">
        <f aca="true">IF(OR(BR860="",AE860=""),"",IF(AF860="",IF(NOW()&gt;EDATE(AE860,DORA_M_FIN)+1,0,""),IF(AF860&lt;=EDATE(AE860,DORA_M_FIN),1,0)))</f>
        <v/>
      </c>
      <c r="BV860" s="35" t="str">
        <f aca="false">IF(BR860="","",IF(COUNT(BS860:BU860)=0,"",MIN(BS860:BU860)))</f>
        <v/>
      </c>
      <c r="BW860" s="40" t="str">
        <f aca="false">IF(AQ860&lt;&gt;1,"",IF(AND(AG860="",AH860=""),"",N(AG860)-N(AH860)))</f>
        <v/>
      </c>
      <c r="BX860" s="35" t="str">
        <f aca="true">IF(OR(AQ860&lt;&gt;1,AI860&lt;&gt;"Oui",AJ860=""),"",IF(AK860="",IF(NOW()&gt;AJ860+1,0,""),IF(AK860&lt;=AJ860,1,0)))</f>
        <v/>
      </c>
    </row>
    <row r="861" customFormat="false" ht="15" hidden="false" customHeight="false" outlineLevel="0" collapsed="false">
      <c r="B861" s="29"/>
      <c r="C861" s="29"/>
      <c r="D861" s="29"/>
      <c r="E861" s="29"/>
      <c r="F861" s="29"/>
      <c r="G861" s="29"/>
      <c r="H861" s="29"/>
      <c r="I861" s="29"/>
      <c r="J861" s="29"/>
      <c r="K861" s="29"/>
      <c r="L861" s="29"/>
      <c r="M861" s="29"/>
      <c r="N861" s="30"/>
      <c r="O861" s="30"/>
      <c r="P861" s="30"/>
      <c r="Q861" s="30"/>
      <c r="R861" s="30"/>
      <c r="S861" s="30"/>
      <c r="T861" s="30"/>
      <c r="U861" s="30"/>
      <c r="V861" s="31"/>
      <c r="W861" s="29"/>
      <c r="X861" s="29"/>
      <c r="Y861" s="29"/>
      <c r="Z861" s="29"/>
      <c r="AA861" s="30"/>
      <c r="AB861" s="30"/>
      <c r="AC861" s="30"/>
      <c r="AD861" s="30"/>
      <c r="AE861" s="30"/>
      <c r="AF861" s="32"/>
      <c r="AG861" s="33"/>
      <c r="AH861" s="33"/>
      <c r="AI861" s="29"/>
      <c r="AJ861" s="32"/>
      <c r="AK861" s="32"/>
      <c r="AL861" s="29"/>
      <c r="AN861" s="34" t="str">
        <f aca="false">IF($B861="","",IF(OR(C861="",D861="",E861="",G861="",I861="",J861="",L861="",O861="",P861=""),"Champ obligatoire manquant",IF(OR(AND(N861&lt;&gt;"",N861&gt;O861),O861&gt;P861,AND(Q861&lt;&gt;"",Q861&lt;P861),AND(R861&lt;&gt;"",R861&lt;P861),AND(S861&lt;&gt;"",S861&lt;R861),AND(S861&lt;&gt;"",R861=""),AND(T861&lt;&gt;"",T861&lt;O861),AND(U861&lt;&gt;"",U861&lt;O861)),"Chronologie incohérente",IF(AND(OR(L861="Résolu",L861="Clos"),R861=""),"Date de résolution manquante",IF(AND(L861="Clos",S861=""),"Date de clôture manquante",IF(AND(K861="Oui",AC861=""),"Classification DORA manquante","OK"))))))</f>
        <v/>
      </c>
      <c r="AO861" s="35" t="str">
        <f aca="false">IF($B861="","",IF(AND(C861="Incident",L861&lt;&gt;"Annulé"),1,0))</f>
        <v/>
      </c>
      <c r="AP861" s="35" t="str">
        <f aca="false">IF($B861="","",IF(AND(C861="Quasi-incident",L861&lt;&gt;"Annulé"),1,0))</f>
        <v/>
      </c>
      <c r="AQ861" s="35" t="str">
        <f aca="false">IF($B861="","",AO861+AP861)</f>
        <v/>
      </c>
      <c r="AR861" s="36" t="str">
        <f aca="false">IF(OR($B861="",J861=""),"",IFERROR(VALUE(LEFT(J861,1)),""))</f>
        <v/>
      </c>
      <c r="AS861" s="35" t="str">
        <f aca="false">IF(OR(AO861&lt;&gt;1,G861=""),"",IFERROR(IF(INDEX(L_SrcInterne,MATCH(G861,L_Sources,0))="Oui",1,0),""))</f>
        <v/>
      </c>
      <c r="AT861" s="37" t="str">
        <f aca="false">IF(AO861&lt;&gt;1,"",IFERROR(ROUND(IF(OR(N861="",O861=""),"",IF(O861&lt;N861,"",ROUND(((NETWORKDAYS(N861,O861,JoursFeries)-1)*(HFer-HOuv)+IF(NETWORKDAYS(O861,O861,JoursFeries),MEDIAN(MOD(O861,1),HFer,HOuv),HFer)-IF(NETWORKDAYS(N861,N861,JoursFeries),MEDIAN(MOD(N861,1),HFer,HOuv),HOuv))*24,4)))/HJour,4),""))</f>
        <v/>
      </c>
      <c r="AU861" s="37" t="str">
        <f aca="false">IF(AO861&lt;&gt;1,"",IF(OR(O861="",P861=""),"",IF(P861&lt;O861,"",ROUND(((NETWORKDAYS(O861,P861,JoursFeries)-1)*(HFer-HOuv)+IF(NETWORKDAYS(P861,P861,JoursFeries),MEDIAN(MOD(P861,1),HFer,HOuv),HFer)-IF(NETWORKDAYS(O861,O861,JoursFeries),MEDIAN(MOD(O861,1),HFer,HOuv),HOuv))*24,4))))</f>
        <v/>
      </c>
      <c r="AV861" s="37" t="str">
        <f aca="false">IF(AO861&lt;&gt;1,"",IF(OR(P861="",Q861=""),"",IF(Q861&lt;P861,"",ROUND(((NETWORKDAYS(P861,Q861,JoursFeries)-1)*(HFer-HOuv)+IF(NETWORKDAYS(Q861,Q861,JoursFeries),MEDIAN(MOD(Q861,1),HFer,HOuv),HFer)-IF(NETWORKDAYS(P861,P861,JoursFeries),MEDIAN(MOD(P861,1),HFer,HOuv),HOuv))*24,4))))</f>
        <v/>
      </c>
      <c r="AW861" s="37" t="str">
        <f aca="false">IF(AO861&lt;&gt;1,"",IFERROR(ROUND(IF(OR(P861="",R861=""),"",IF(R861&lt;P861,"",ROUND(((NETWORKDAYS(P861,R861,JoursFeries)-1)*(HFer-HOuv)+IF(NETWORKDAYS(R861,R861,JoursFeries),MEDIAN(MOD(R861,1),HFer,HOuv),HFer)-IF(NETWORKDAYS(P861,P861,JoursFeries),MEDIAN(MOD(P861,1),HFer,HOuv),HOuv))*24,4)))/HJour,4),""))</f>
        <v/>
      </c>
      <c r="AX861" s="37" t="str">
        <f aca="false">IF(AO861&lt;&gt;1,"",IFERROR(ROUND(IF(OR(P861="",S861=""),"",IF(S861&lt;P861,"",ROUND(((NETWORKDAYS(P861,S861,JoursFeries)-1)*(HFer-HOuv)+IF(NETWORKDAYS(S861,S861,JoursFeries),MEDIAN(MOD(S861,1),HFer,HOuv),HFer)-IF(NETWORKDAYS(P861,P861,JoursFeries),MEDIAN(MOD(P861,1),HFer,HOuv),HOuv))*24,4)))/HJour,4),""))</f>
        <v/>
      </c>
      <c r="AY861" s="36" t="str">
        <f aca="false">IF(OR(AO861&lt;&gt;1,AR861=""),"",INDEX(SLA_PEC,AR861))</f>
        <v/>
      </c>
      <c r="AZ861" s="35" t="str">
        <f aca="false">IF(OR(AV861="",AY861=""),"",IF(AV861&lt;=AY861,1,0))</f>
        <v/>
      </c>
      <c r="BA861" s="36" t="str">
        <f aca="false">IF(OR(AO861&lt;&gt;1,AR861=""),"",INDEX(SLA_RES,AR861))</f>
        <v/>
      </c>
      <c r="BB861" s="35" t="str">
        <f aca="false">IF(OR(AW861="",BA861=""),"",IF(AW861&lt;=BA861,1,0))</f>
        <v/>
      </c>
      <c r="BC861" s="38" t="str">
        <f aca="false">IF(OR(BA861="",P861=""),"",WORKDAY(INT(P861),BA861,JoursFeries)+MOD(P861,1))</f>
        <v/>
      </c>
      <c r="BD861" s="39" t="str">
        <f aca="false">IF(AO861&lt;&gt;1,"",IF(OR(AB861&lt;&gt;"",AD861&lt;&gt;""),4,IF(U861&lt;&gt;"",3,IF(T861&lt;&gt;"",2,1))))</f>
        <v/>
      </c>
      <c r="BE861" s="39" t="str">
        <f aca="false">IF(OR(AO861&lt;&gt;1,AR861=""),"",INDEX(NIV_REQ,AR861))</f>
        <v/>
      </c>
      <c r="BF861" s="39" t="str">
        <f aca="false">IF(BE861="","",MAX(BE861,IF(OR(K861="Oui",Z861="Oui"),4,1)))</f>
        <v/>
      </c>
      <c r="BG861" s="35" t="str">
        <f aca="false">IF(OR(BF861="",BD861=""),"",IF(BD861&gt;=BF861,1,0))</f>
        <v/>
      </c>
      <c r="BH861" s="38" t="str">
        <f aca="false">IF(BE861="","",IF(BE861&lt;2,"",IF(BE861=2,IF(AND(T861="",U861=""),"",MIN(T861,U861)),IF(U861="","",U861))))</f>
        <v/>
      </c>
      <c r="BI861" s="37" t="str">
        <f aca="false">IF(BH861="","",IF(OR(O861="",BH861=""),"",IF(BH861&lt;O861,"",ROUND(((NETWORKDAYS(O861,BH861,JoursFeries)-1)*(HFer-HOuv)+IF(NETWORKDAYS(BH861,BH861,JoursFeries),MEDIAN(MOD(BH861,1),HFer,HOuv),HFer)-IF(NETWORKDAYS(O861,O861,JoursFeries),MEDIAN(MOD(O861,1),HFer,HOuv),HOuv))*24,4))))</f>
        <v/>
      </c>
      <c r="BJ861" s="35" t="str">
        <f aca="false">IF(OR(BI861="",AR861=""),"",IF(BI861&lt;=INDEX(DELAI_ESC,AR861),1,0))</f>
        <v/>
      </c>
      <c r="BK861" s="38" t="str">
        <f aca="false">IF(AO861&lt;&gt;1,"",IF(AND(T861="",U861=""),"",MIN(T861,U861)))</f>
        <v/>
      </c>
      <c r="BL861" s="37" t="str">
        <f aca="false">IF(OR(BK861="",R861=""),"",IFERROR(ROUND(IF(OR(BK861="",R861=""),"",IF(R861&lt;BK861,"",ROUND(((NETWORKDAYS(BK861,R861,JoursFeries)-1)*(HFer-HOuv)+IF(NETWORKDAYS(R861,R861,JoursFeries),MEDIAN(MOD(R861,1),HFer,HOuv),HFer)-IF(NETWORKDAYS(BK861,BK861,JoursFeries),MEDIAN(MOD(BK861,1),HFer,HOuv),HOuv))*24,4)))/HJour,4),""))</f>
        <v/>
      </c>
      <c r="BM861" s="35" t="str">
        <f aca="false">IF(OR(AO861&lt;&gt;1,R861=""),"",IF(BD861=1,1,0))</f>
        <v/>
      </c>
      <c r="BN861" s="35" t="str">
        <f aca="false">IF(AO861&lt;&gt;1,"",IF(W861="Oui",1,0))</f>
        <v/>
      </c>
      <c r="BO861" s="35" t="str">
        <f aca="false">IF(AO861&lt;&gt;1,"",IF(X861&lt;&gt;"",1,0))</f>
        <v/>
      </c>
      <c r="BP861" s="35" t="str">
        <f aca="false">IF(AO861&lt;&gt;1,"",IF(Y861="Oui",1,0))</f>
        <v/>
      </c>
      <c r="BQ861" s="35" t="str">
        <f aca="true">IF(OR(AO861&lt;&gt;1,Z861&lt;&gt;"Oui"),"",IF(AB861="",IF(AND(AA861&lt;&gt;"",NOW()&gt;AA861),0,""),IF(AA861="","",IF(AB861&lt;=AA861,1,0))))</f>
        <v/>
      </c>
      <c r="BR861" s="38" t="str">
        <f aca="false">IF(OR(AO861&lt;&gt;1,K861&lt;&gt;"Oui",O861=""),"",IF(AC861="",O861+DORA_H_DET/24,IF(AC861-O861&lt;=DORA_H_DET/24,MIN(AC861+DORA_H_CLA/24,O861+DORA_H_DET/24),AC861+DORA_H_CLA/24)))</f>
        <v/>
      </c>
      <c r="BS861" s="35" t="str">
        <f aca="true">IF(BR861="","",IF(AD861="",IF(NOW()&gt;BR861,0,""),IF(AD861&lt;=BR861,1,0)))</f>
        <v/>
      </c>
      <c r="BT861" s="35" t="str">
        <f aca="true">IF(OR(BR861="",AD861=""),"",IF(AE861="",IF(NOW()&gt;AD861+DORA_H_INT/24,0,""),IF(AE861&lt;=AD861+DORA_H_INT/24,1,0)))</f>
        <v/>
      </c>
      <c r="BU861" s="35" t="str">
        <f aca="true">IF(OR(BR861="",AE861=""),"",IF(AF861="",IF(NOW()&gt;EDATE(AE861,DORA_M_FIN)+1,0,""),IF(AF861&lt;=EDATE(AE861,DORA_M_FIN),1,0)))</f>
        <v/>
      </c>
      <c r="BV861" s="35" t="str">
        <f aca="false">IF(BR861="","",IF(COUNT(BS861:BU861)=0,"",MIN(BS861:BU861)))</f>
        <v/>
      </c>
      <c r="BW861" s="40" t="str">
        <f aca="false">IF(AQ861&lt;&gt;1,"",IF(AND(AG861="",AH861=""),"",N(AG861)-N(AH861)))</f>
        <v/>
      </c>
      <c r="BX861" s="35" t="str">
        <f aca="true">IF(OR(AQ861&lt;&gt;1,AI861&lt;&gt;"Oui",AJ861=""),"",IF(AK861="",IF(NOW()&gt;AJ861+1,0,""),IF(AK861&lt;=AJ861,1,0)))</f>
        <v/>
      </c>
    </row>
    <row r="862" customFormat="false" ht="15" hidden="false" customHeight="false" outlineLevel="0" collapsed="false">
      <c r="B862" s="29"/>
      <c r="C862" s="29"/>
      <c r="D862" s="29"/>
      <c r="E862" s="29"/>
      <c r="F862" s="29"/>
      <c r="G862" s="29"/>
      <c r="H862" s="29"/>
      <c r="I862" s="29"/>
      <c r="J862" s="29"/>
      <c r="K862" s="29"/>
      <c r="L862" s="29"/>
      <c r="M862" s="29"/>
      <c r="N862" s="30"/>
      <c r="O862" s="30"/>
      <c r="P862" s="30"/>
      <c r="Q862" s="30"/>
      <c r="R862" s="30"/>
      <c r="S862" s="30"/>
      <c r="T862" s="30"/>
      <c r="U862" s="30"/>
      <c r="V862" s="31"/>
      <c r="W862" s="29"/>
      <c r="X862" s="29"/>
      <c r="Y862" s="29"/>
      <c r="Z862" s="29"/>
      <c r="AA862" s="30"/>
      <c r="AB862" s="30"/>
      <c r="AC862" s="30"/>
      <c r="AD862" s="30"/>
      <c r="AE862" s="30"/>
      <c r="AF862" s="32"/>
      <c r="AG862" s="33"/>
      <c r="AH862" s="33"/>
      <c r="AI862" s="29"/>
      <c r="AJ862" s="32"/>
      <c r="AK862" s="32"/>
      <c r="AL862" s="29"/>
      <c r="AN862" s="34" t="str">
        <f aca="false">IF($B862="","",IF(OR(C862="",D862="",E862="",G862="",I862="",J862="",L862="",O862="",P862=""),"Champ obligatoire manquant",IF(OR(AND(N862&lt;&gt;"",N862&gt;O862),O862&gt;P862,AND(Q862&lt;&gt;"",Q862&lt;P862),AND(R862&lt;&gt;"",R862&lt;P862),AND(S862&lt;&gt;"",S862&lt;R862),AND(S862&lt;&gt;"",R862=""),AND(T862&lt;&gt;"",T862&lt;O862),AND(U862&lt;&gt;"",U862&lt;O862)),"Chronologie incohérente",IF(AND(OR(L862="Résolu",L862="Clos"),R862=""),"Date de résolution manquante",IF(AND(L862="Clos",S862=""),"Date de clôture manquante",IF(AND(K862="Oui",AC862=""),"Classification DORA manquante","OK"))))))</f>
        <v/>
      </c>
      <c r="AO862" s="35" t="str">
        <f aca="false">IF($B862="","",IF(AND(C862="Incident",L862&lt;&gt;"Annulé"),1,0))</f>
        <v/>
      </c>
      <c r="AP862" s="35" t="str">
        <f aca="false">IF($B862="","",IF(AND(C862="Quasi-incident",L862&lt;&gt;"Annulé"),1,0))</f>
        <v/>
      </c>
      <c r="AQ862" s="35" t="str">
        <f aca="false">IF($B862="","",AO862+AP862)</f>
        <v/>
      </c>
      <c r="AR862" s="36" t="str">
        <f aca="false">IF(OR($B862="",J862=""),"",IFERROR(VALUE(LEFT(J862,1)),""))</f>
        <v/>
      </c>
      <c r="AS862" s="35" t="str">
        <f aca="false">IF(OR(AO862&lt;&gt;1,G862=""),"",IFERROR(IF(INDEX(L_SrcInterne,MATCH(G862,L_Sources,0))="Oui",1,0),""))</f>
        <v/>
      </c>
      <c r="AT862" s="37" t="str">
        <f aca="false">IF(AO862&lt;&gt;1,"",IFERROR(ROUND(IF(OR(N862="",O862=""),"",IF(O862&lt;N862,"",ROUND(((NETWORKDAYS(N862,O862,JoursFeries)-1)*(HFer-HOuv)+IF(NETWORKDAYS(O862,O862,JoursFeries),MEDIAN(MOD(O862,1),HFer,HOuv),HFer)-IF(NETWORKDAYS(N862,N862,JoursFeries),MEDIAN(MOD(N862,1),HFer,HOuv),HOuv))*24,4)))/HJour,4),""))</f>
        <v/>
      </c>
      <c r="AU862" s="37" t="str">
        <f aca="false">IF(AO862&lt;&gt;1,"",IF(OR(O862="",P862=""),"",IF(P862&lt;O862,"",ROUND(((NETWORKDAYS(O862,P862,JoursFeries)-1)*(HFer-HOuv)+IF(NETWORKDAYS(P862,P862,JoursFeries),MEDIAN(MOD(P862,1),HFer,HOuv),HFer)-IF(NETWORKDAYS(O862,O862,JoursFeries),MEDIAN(MOD(O862,1),HFer,HOuv),HOuv))*24,4))))</f>
        <v/>
      </c>
      <c r="AV862" s="37" t="str">
        <f aca="false">IF(AO862&lt;&gt;1,"",IF(OR(P862="",Q862=""),"",IF(Q862&lt;P862,"",ROUND(((NETWORKDAYS(P862,Q862,JoursFeries)-1)*(HFer-HOuv)+IF(NETWORKDAYS(Q862,Q862,JoursFeries),MEDIAN(MOD(Q862,1),HFer,HOuv),HFer)-IF(NETWORKDAYS(P862,P862,JoursFeries),MEDIAN(MOD(P862,1),HFer,HOuv),HOuv))*24,4))))</f>
        <v/>
      </c>
      <c r="AW862" s="37" t="str">
        <f aca="false">IF(AO862&lt;&gt;1,"",IFERROR(ROUND(IF(OR(P862="",R862=""),"",IF(R862&lt;P862,"",ROUND(((NETWORKDAYS(P862,R862,JoursFeries)-1)*(HFer-HOuv)+IF(NETWORKDAYS(R862,R862,JoursFeries),MEDIAN(MOD(R862,1),HFer,HOuv),HFer)-IF(NETWORKDAYS(P862,P862,JoursFeries),MEDIAN(MOD(P862,1),HFer,HOuv),HOuv))*24,4)))/HJour,4),""))</f>
        <v/>
      </c>
      <c r="AX862" s="37" t="str">
        <f aca="false">IF(AO862&lt;&gt;1,"",IFERROR(ROUND(IF(OR(P862="",S862=""),"",IF(S862&lt;P862,"",ROUND(((NETWORKDAYS(P862,S862,JoursFeries)-1)*(HFer-HOuv)+IF(NETWORKDAYS(S862,S862,JoursFeries),MEDIAN(MOD(S862,1),HFer,HOuv),HFer)-IF(NETWORKDAYS(P862,P862,JoursFeries),MEDIAN(MOD(P862,1),HFer,HOuv),HOuv))*24,4)))/HJour,4),""))</f>
        <v/>
      </c>
      <c r="AY862" s="36" t="str">
        <f aca="false">IF(OR(AO862&lt;&gt;1,AR862=""),"",INDEX(SLA_PEC,AR862))</f>
        <v/>
      </c>
      <c r="AZ862" s="35" t="str">
        <f aca="false">IF(OR(AV862="",AY862=""),"",IF(AV862&lt;=AY862,1,0))</f>
        <v/>
      </c>
      <c r="BA862" s="36" t="str">
        <f aca="false">IF(OR(AO862&lt;&gt;1,AR862=""),"",INDEX(SLA_RES,AR862))</f>
        <v/>
      </c>
      <c r="BB862" s="35" t="str">
        <f aca="false">IF(OR(AW862="",BA862=""),"",IF(AW862&lt;=BA862,1,0))</f>
        <v/>
      </c>
      <c r="BC862" s="38" t="str">
        <f aca="false">IF(OR(BA862="",P862=""),"",WORKDAY(INT(P862),BA862,JoursFeries)+MOD(P862,1))</f>
        <v/>
      </c>
      <c r="BD862" s="39" t="str">
        <f aca="false">IF(AO862&lt;&gt;1,"",IF(OR(AB862&lt;&gt;"",AD862&lt;&gt;""),4,IF(U862&lt;&gt;"",3,IF(T862&lt;&gt;"",2,1))))</f>
        <v/>
      </c>
      <c r="BE862" s="39" t="str">
        <f aca="false">IF(OR(AO862&lt;&gt;1,AR862=""),"",INDEX(NIV_REQ,AR862))</f>
        <v/>
      </c>
      <c r="BF862" s="39" t="str">
        <f aca="false">IF(BE862="","",MAX(BE862,IF(OR(K862="Oui",Z862="Oui"),4,1)))</f>
        <v/>
      </c>
      <c r="BG862" s="35" t="str">
        <f aca="false">IF(OR(BF862="",BD862=""),"",IF(BD862&gt;=BF862,1,0))</f>
        <v/>
      </c>
      <c r="BH862" s="38" t="str">
        <f aca="false">IF(BE862="","",IF(BE862&lt;2,"",IF(BE862=2,IF(AND(T862="",U862=""),"",MIN(T862,U862)),IF(U862="","",U862))))</f>
        <v/>
      </c>
      <c r="BI862" s="37" t="str">
        <f aca="false">IF(BH862="","",IF(OR(O862="",BH862=""),"",IF(BH862&lt;O862,"",ROUND(((NETWORKDAYS(O862,BH862,JoursFeries)-1)*(HFer-HOuv)+IF(NETWORKDAYS(BH862,BH862,JoursFeries),MEDIAN(MOD(BH862,1),HFer,HOuv),HFer)-IF(NETWORKDAYS(O862,O862,JoursFeries),MEDIAN(MOD(O862,1),HFer,HOuv),HOuv))*24,4))))</f>
        <v/>
      </c>
      <c r="BJ862" s="35" t="str">
        <f aca="false">IF(OR(BI862="",AR862=""),"",IF(BI862&lt;=INDEX(DELAI_ESC,AR862),1,0))</f>
        <v/>
      </c>
      <c r="BK862" s="38" t="str">
        <f aca="false">IF(AO862&lt;&gt;1,"",IF(AND(T862="",U862=""),"",MIN(T862,U862)))</f>
        <v/>
      </c>
      <c r="BL862" s="37" t="str">
        <f aca="false">IF(OR(BK862="",R862=""),"",IFERROR(ROUND(IF(OR(BK862="",R862=""),"",IF(R862&lt;BK862,"",ROUND(((NETWORKDAYS(BK862,R862,JoursFeries)-1)*(HFer-HOuv)+IF(NETWORKDAYS(R862,R862,JoursFeries),MEDIAN(MOD(R862,1),HFer,HOuv),HFer)-IF(NETWORKDAYS(BK862,BK862,JoursFeries),MEDIAN(MOD(BK862,1),HFer,HOuv),HOuv))*24,4)))/HJour,4),""))</f>
        <v/>
      </c>
      <c r="BM862" s="35" t="str">
        <f aca="false">IF(OR(AO862&lt;&gt;1,R862=""),"",IF(BD862=1,1,0))</f>
        <v/>
      </c>
      <c r="BN862" s="35" t="str">
        <f aca="false">IF(AO862&lt;&gt;1,"",IF(W862="Oui",1,0))</f>
        <v/>
      </c>
      <c r="BO862" s="35" t="str">
        <f aca="false">IF(AO862&lt;&gt;1,"",IF(X862&lt;&gt;"",1,0))</f>
        <v/>
      </c>
      <c r="BP862" s="35" t="str">
        <f aca="false">IF(AO862&lt;&gt;1,"",IF(Y862="Oui",1,0))</f>
        <v/>
      </c>
      <c r="BQ862" s="35" t="str">
        <f aca="true">IF(OR(AO862&lt;&gt;1,Z862&lt;&gt;"Oui"),"",IF(AB862="",IF(AND(AA862&lt;&gt;"",NOW()&gt;AA862),0,""),IF(AA862="","",IF(AB862&lt;=AA862,1,0))))</f>
        <v/>
      </c>
      <c r="BR862" s="38" t="str">
        <f aca="false">IF(OR(AO862&lt;&gt;1,K862&lt;&gt;"Oui",O862=""),"",IF(AC862="",O862+DORA_H_DET/24,IF(AC862-O862&lt;=DORA_H_DET/24,MIN(AC862+DORA_H_CLA/24,O862+DORA_H_DET/24),AC862+DORA_H_CLA/24)))</f>
        <v/>
      </c>
      <c r="BS862" s="35" t="str">
        <f aca="true">IF(BR862="","",IF(AD862="",IF(NOW()&gt;BR862,0,""),IF(AD862&lt;=BR862,1,0)))</f>
        <v/>
      </c>
      <c r="BT862" s="35" t="str">
        <f aca="true">IF(OR(BR862="",AD862=""),"",IF(AE862="",IF(NOW()&gt;AD862+DORA_H_INT/24,0,""),IF(AE862&lt;=AD862+DORA_H_INT/24,1,0)))</f>
        <v/>
      </c>
      <c r="BU862" s="35" t="str">
        <f aca="true">IF(OR(BR862="",AE862=""),"",IF(AF862="",IF(NOW()&gt;EDATE(AE862,DORA_M_FIN)+1,0,""),IF(AF862&lt;=EDATE(AE862,DORA_M_FIN),1,0)))</f>
        <v/>
      </c>
      <c r="BV862" s="35" t="str">
        <f aca="false">IF(BR862="","",IF(COUNT(BS862:BU862)=0,"",MIN(BS862:BU862)))</f>
        <v/>
      </c>
      <c r="BW862" s="40" t="str">
        <f aca="false">IF(AQ862&lt;&gt;1,"",IF(AND(AG862="",AH862=""),"",N(AG862)-N(AH862)))</f>
        <v/>
      </c>
      <c r="BX862" s="35" t="str">
        <f aca="true">IF(OR(AQ862&lt;&gt;1,AI862&lt;&gt;"Oui",AJ862=""),"",IF(AK862="",IF(NOW()&gt;AJ862+1,0,""),IF(AK862&lt;=AJ862,1,0)))</f>
        <v/>
      </c>
    </row>
    <row r="863" customFormat="false" ht="15" hidden="false" customHeight="false" outlineLevel="0" collapsed="false">
      <c r="B863" s="29"/>
      <c r="C863" s="29"/>
      <c r="D863" s="29"/>
      <c r="E863" s="29"/>
      <c r="F863" s="29"/>
      <c r="G863" s="29"/>
      <c r="H863" s="29"/>
      <c r="I863" s="29"/>
      <c r="J863" s="29"/>
      <c r="K863" s="29"/>
      <c r="L863" s="29"/>
      <c r="M863" s="29"/>
      <c r="N863" s="30"/>
      <c r="O863" s="30"/>
      <c r="P863" s="30"/>
      <c r="Q863" s="30"/>
      <c r="R863" s="30"/>
      <c r="S863" s="30"/>
      <c r="T863" s="30"/>
      <c r="U863" s="30"/>
      <c r="V863" s="31"/>
      <c r="W863" s="29"/>
      <c r="X863" s="29"/>
      <c r="Y863" s="29"/>
      <c r="Z863" s="29"/>
      <c r="AA863" s="30"/>
      <c r="AB863" s="30"/>
      <c r="AC863" s="30"/>
      <c r="AD863" s="30"/>
      <c r="AE863" s="30"/>
      <c r="AF863" s="32"/>
      <c r="AG863" s="33"/>
      <c r="AH863" s="33"/>
      <c r="AI863" s="29"/>
      <c r="AJ863" s="32"/>
      <c r="AK863" s="32"/>
      <c r="AL863" s="29"/>
      <c r="AN863" s="34" t="str">
        <f aca="false">IF($B863="","",IF(OR(C863="",D863="",E863="",G863="",I863="",J863="",L863="",O863="",P863=""),"Champ obligatoire manquant",IF(OR(AND(N863&lt;&gt;"",N863&gt;O863),O863&gt;P863,AND(Q863&lt;&gt;"",Q863&lt;P863),AND(R863&lt;&gt;"",R863&lt;P863),AND(S863&lt;&gt;"",S863&lt;R863),AND(S863&lt;&gt;"",R863=""),AND(T863&lt;&gt;"",T863&lt;O863),AND(U863&lt;&gt;"",U863&lt;O863)),"Chronologie incohérente",IF(AND(OR(L863="Résolu",L863="Clos"),R863=""),"Date de résolution manquante",IF(AND(L863="Clos",S863=""),"Date de clôture manquante",IF(AND(K863="Oui",AC863=""),"Classification DORA manquante","OK"))))))</f>
        <v/>
      </c>
      <c r="AO863" s="35" t="str">
        <f aca="false">IF($B863="","",IF(AND(C863="Incident",L863&lt;&gt;"Annulé"),1,0))</f>
        <v/>
      </c>
      <c r="AP863" s="35" t="str">
        <f aca="false">IF($B863="","",IF(AND(C863="Quasi-incident",L863&lt;&gt;"Annulé"),1,0))</f>
        <v/>
      </c>
      <c r="AQ863" s="35" t="str">
        <f aca="false">IF($B863="","",AO863+AP863)</f>
        <v/>
      </c>
      <c r="AR863" s="36" t="str">
        <f aca="false">IF(OR($B863="",J863=""),"",IFERROR(VALUE(LEFT(J863,1)),""))</f>
        <v/>
      </c>
      <c r="AS863" s="35" t="str">
        <f aca="false">IF(OR(AO863&lt;&gt;1,G863=""),"",IFERROR(IF(INDEX(L_SrcInterne,MATCH(G863,L_Sources,0))="Oui",1,0),""))</f>
        <v/>
      </c>
      <c r="AT863" s="37" t="str">
        <f aca="false">IF(AO863&lt;&gt;1,"",IFERROR(ROUND(IF(OR(N863="",O863=""),"",IF(O863&lt;N863,"",ROUND(((NETWORKDAYS(N863,O863,JoursFeries)-1)*(HFer-HOuv)+IF(NETWORKDAYS(O863,O863,JoursFeries),MEDIAN(MOD(O863,1),HFer,HOuv),HFer)-IF(NETWORKDAYS(N863,N863,JoursFeries),MEDIAN(MOD(N863,1),HFer,HOuv),HOuv))*24,4)))/HJour,4),""))</f>
        <v/>
      </c>
      <c r="AU863" s="37" t="str">
        <f aca="false">IF(AO863&lt;&gt;1,"",IF(OR(O863="",P863=""),"",IF(P863&lt;O863,"",ROUND(((NETWORKDAYS(O863,P863,JoursFeries)-1)*(HFer-HOuv)+IF(NETWORKDAYS(P863,P863,JoursFeries),MEDIAN(MOD(P863,1),HFer,HOuv),HFer)-IF(NETWORKDAYS(O863,O863,JoursFeries),MEDIAN(MOD(O863,1),HFer,HOuv),HOuv))*24,4))))</f>
        <v/>
      </c>
      <c r="AV863" s="37" t="str">
        <f aca="false">IF(AO863&lt;&gt;1,"",IF(OR(P863="",Q863=""),"",IF(Q863&lt;P863,"",ROUND(((NETWORKDAYS(P863,Q863,JoursFeries)-1)*(HFer-HOuv)+IF(NETWORKDAYS(Q863,Q863,JoursFeries),MEDIAN(MOD(Q863,1),HFer,HOuv),HFer)-IF(NETWORKDAYS(P863,P863,JoursFeries),MEDIAN(MOD(P863,1),HFer,HOuv),HOuv))*24,4))))</f>
        <v/>
      </c>
      <c r="AW863" s="37" t="str">
        <f aca="false">IF(AO863&lt;&gt;1,"",IFERROR(ROUND(IF(OR(P863="",R863=""),"",IF(R863&lt;P863,"",ROUND(((NETWORKDAYS(P863,R863,JoursFeries)-1)*(HFer-HOuv)+IF(NETWORKDAYS(R863,R863,JoursFeries),MEDIAN(MOD(R863,1),HFer,HOuv),HFer)-IF(NETWORKDAYS(P863,P863,JoursFeries),MEDIAN(MOD(P863,1),HFer,HOuv),HOuv))*24,4)))/HJour,4),""))</f>
        <v/>
      </c>
      <c r="AX863" s="37" t="str">
        <f aca="false">IF(AO863&lt;&gt;1,"",IFERROR(ROUND(IF(OR(P863="",S863=""),"",IF(S863&lt;P863,"",ROUND(((NETWORKDAYS(P863,S863,JoursFeries)-1)*(HFer-HOuv)+IF(NETWORKDAYS(S863,S863,JoursFeries),MEDIAN(MOD(S863,1),HFer,HOuv),HFer)-IF(NETWORKDAYS(P863,P863,JoursFeries),MEDIAN(MOD(P863,1),HFer,HOuv),HOuv))*24,4)))/HJour,4),""))</f>
        <v/>
      </c>
      <c r="AY863" s="36" t="str">
        <f aca="false">IF(OR(AO863&lt;&gt;1,AR863=""),"",INDEX(SLA_PEC,AR863))</f>
        <v/>
      </c>
      <c r="AZ863" s="35" t="str">
        <f aca="false">IF(OR(AV863="",AY863=""),"",IF(AV863&lt;=AY863,1,0))</f>
        <v/>
      </c>
      <c r="BA863" s="36" t="str">
        <f aca="false">IF(OR(AO863&lt;&gt;1,AR863=""),"",INDEX(SLA_RES,AR863))</f>
        <v/>
      </c>
      <c r="BB863" s="35" t="str">
        <f aca="false">IF(OR(AW863="",BA863=""),"",IF(AW863&lt;=BA863,1,0))</f>
        <v/>
      </c>
      <c r="BC863" s="38" t="str">
        <f aca="false">IF(OR(BA863="",P863=""),"",WORKDAY(INT(P863),BA863,JoursFeries)+MOD(P863,1))</f>
        <v/>
      </c>
      <c r="BD863" s="39" t="str">
        <f aca="false">IF(AO863&lt;&gt;1,"",IF(OR(AB863&lt;&gt;"",AD863&lt;&gt;""),4,IF(U863&lt;&gt;"",3,IF(T863&lt;&gt;"",2,1))))</f>
        <v/>
      </c>
      <c r="BE863" s="39" t="str">
        <f aca="false">IF(OR(AO863&lt;&gt;1,AR863=""),"",INDEX(NIV_REQ,AR863))</f>
        <v/>
      </c>
      <c r="BF863" s="39" t="str">
        <f aca="false">IF(BE863="","",MAX(BE863,IF(OR(K863="Oui",Z863="Oui"),4,1)))</f>
        <v/>
      </c>
      <c r="BG863" s="35" t="str">
        <f aca="false">IF(OR(BF863="",BD863=""),"",IF(BD863&gt;=BF863,1,0))</f>
        <v/>
      </c>
      <c r="BH863" s="38" t="str">
        <f aca="false">IF(BE863="","",IF(BE863&lt;2,"",IF(BE863=2,IF(AND(T863="",U863=""),"",MIN(T863,U863)),IF(U863="","",U863))))</f>
        <v/>
      </c>
      <c r="BI863" s="37" t="str">
        <f aca="false">IF(BH863="","",IF(OR(O863="",BH863=""),"",IF(BH863&lt;O863,"",ROUND(((NETWORKDAYS(O863,BH863,JoursFeries)-1)*(HFer-HOuv)+IF(NETWORKDAYS(BH863,BH863,JoursFeries),MEDIAN(MOD(BH863,1),HFer,HOuv),HFer)-IF(NETWORKDAYS(O863,O863,JoursFeries),MEDIAN(MOD(O863,1),HFer,HOuv),HOuv))*24,4))))</f>
        <v/>
      </c>
      <c r="BJ863" s="35" t="str">
        <f aca="false">IF(OR(BI863="",AR863=""),"",IF(BI863&lt;=INDEX(DELAI_ESC,AR863),1,0))</f>
        <v/>
      </c>
      <c r="BK863" s="38" t="str">
        <f aca="false">IF(AO863&lt;&gt;1,"",IF(AND(T863="",U863=""),"",MIN(T863,U863)))</f>
        <v/>
      </c>
      <c r="BL863" s="37" t="str">
        <f aca="false">IF(OR(BK863="",R863=""),"",IFERROR(ROUND(IF(OR(BK863="",R863=""),"",IF(R863&lt;BK863,"",ROUND(((NETWORKDAYS(BK863,R863,JoursFeries)-1)*(HFer-HOuv)+IF(NETWORKDAYS(R863,R863,JoursFeries),MEDIAN(MOD(R863,1),HFer,HOuv),HFer)-IF(NETWORKDAYS(BK863,BK863,JoursFeries),MEDIAN(MOD(BK863,1),HFer,HOuv),HOuv))*24,4)))/HJour,4),""))</f>
        <v/>
      </c>
      <c r="BM863" s="35" t="str">
        <f aca="false">IF(OR(AO863&lt;&gt;1,R863=""),"",IF(BD863=1,1,0))</f>
        <v/>
      </c>
      <c r="BN863" s="35" t="str">
        <f aca="false">IF(AO863&lt;&gt;1,"",IF(W863="Oui",1,0))</f>
        <v/>
      </c>
      <c r="BO863" s="35" t="str">
        <f aca="false">IF(AO863&lt;&gt;1,"",IF(X863&lt;&gt;"",1,0))</f>
        <v/>
      </c>
      <c r="BP863" s="35" t="str">
        <f aca="false">IF(AO863&lt;&gt;1,"",IF(Y863="Oui",1,0))</f>
        <v/>
      </c>
      <c r="BQ863" s="35" t="str">
        <f aca="true">IF(OR(AO863&lt;&gt;1,Z863&lt;&gt;"Oui"),"",IF(AB863="",IF(AND(AA863&lt;&gt;"",NOW()&gt;AA863),0,""),IF(AA863="","",IF(AB863&lt;=AA863,1,0))))</f>
        <v/>
      </c>
      <c r="BR863" s="38" t="str">
        <f aca="false">IF(OR(AO863&lt;&gt;1,K863&lt;&gt;"Oui",O863=""),"",IF(AC863="",O863+DORA_H_DET/24,IF(AC863-O863&lt;=DORA_H_DET/24,MIN(AC863+DORA_H_CLA/24,O863+DORA_H_DET/24),AC863+DORA_H_CLA/24)))</f>
        <v/>
      </c>
      <c r="BS863" s="35" t="str">
        <f aca="true">IF(BR863="","",IF(AD863="",IF(NOW()&gt;BR863,0,""),IF(AD863&lt;=BR863,1,0)))</f>
        <v/>
      </c>
      <c r="BT863" s="35" t="str">
        <f aca="true">IF(OR(BR863="",AD863=""),"",IF(AE863="",IF(NOW()&gt;AD863+DORA_H_INT/24,0,""),IF(AE863&lt;=AD863+DORA_H_INT/24,1,0)))</f>
        <v/>
      </c>
      <c r="BU863" s="35" t="str">
        <f aca="true">IF(OR(BR863="",AE863=""),"",IF(AF863="",IF(NOW()&gt;EDATE(AE863,DORA_M_FIN)+1,0,""),IF(AF863&lt;=EDATE(AE863,DORA_M_FIN),1,0)))</f>
        <v/>
      </c>
      <c r="BV863" s="35" t="str">
        <f aca="false">IF(BR863="","",IF(COUNT(BS863:BU863)=0,"",MIN(BS863:BU863)))</f>
        <v/>
      </c>
      <c r="BW863" s="40" t="str">
        <f aca="false">IF(AQ863&lt;&gt;1,"",IF(AND(AG863="",AH863=""),"",N(AG863)-N(AH863)))</f>
        <v/>
      </c>
      <c r="BX863" s="35" t="str">
        <f aca="true">IF(OR(AQ863&lt;&gt;1,AI863&lt;&gt;"Oui",AJ863=""),"",IF(AK863="",IF(NOW()&gt;AJ863+1,0,""),IF(AK863&lt;=AJ863,1,0)))</f>
        <v/>
      </c>
    </row>
    <row r="864" customFormat="false" ht="15" hidden="false" customHeight="false" outlineLevel="0" collapsed="false">
      <c r="B864" s="29"/>
      <c r="C864" s="29"/>
      <c r="D864" s="29"/>
      <c r="E864" s="29"/>
      <c r="F864" s="29"/>
      <c r="G864" s="29"/>
      <c r="H864" s="29"/>
      <c r="I864" s="29"/>
      <c r="J864" s="29"/>
      <c r="K864" s="29"/>
      <c r="L864" s="29"/>
      <c r="M864" s="29"/>
      <c r="N864" s="30"/>
      <c r="O864" s="30"/>
      <c r="P864" s="30"/>
      <c r="Q864" s="30"/>
      <c r="R864" s="30"/>
      <c r="S864" s="30"/>
      <c r="T864" s="30"/>
      <c r="U864" s="30"/>
      <c r="V864" s="31"/>
      <c r="W864" s="29"/>
      <c r="X864" s="29"/>
      <c r="Y864" s="29"/>
      <c r="Z864" s="29"/>
      <c r="AA864" s="30"/>
      <c r="AB864" s="30"/>
      <c r="AC864" s="30"/>
      <c r="AD864" s="30"/>
      <c r="AE864" s="30"/>
      <c r="AF864" s="32"/>
      <c r="AG864" s="33"/>
      <c r="AH864" s="33"/>
      <c r="AI864" s="29"/>
      <c r="AJ864" s="32"/>
      <c r="AK864" s="32"/>
      <c r="AL864" s="29"/>
      <c r="AN864" s="34" t="str">
        <f aca="false">IF($B864="","",IF(OR(C864="",D864="",E864="",G864="",I864="",J864="",L864="",O864="",P864=""),"Champ obligatoire manquant",IF(OR(AND(N864&lt;&gt;"",N864&gt;O864),O864&gt;P864,AND(Q864&lt;&gt;"",Q864&lt;P864),AND(R864&lt;&gt;"",R864&lt;P864),AND(S864&lt;&gt;"",S864&lt;R864),AND(S864&lt;&gt;"",R864=""),AND(T864&lt;&gt;"",T864&lt;O864),AND(U864&lt;&gt;"",U864&lt;O864)),"Chronologie incohérente",IF(AND(OR(L864="Résolu",L864="Clos"),R864=""),"Date de résolution manquante",IF(AND(L864="Clos",S864=""),"Date de clôture manquante",IF(AND(K864="Oui",AC864=""),"Classification DORA manquante","OK"))))))</f>
        <v/>
      </c>
      <c r="AO864" s="35" t="str">
        <f aca="false">IF($B864="","",IF(AND(C864="Incident",L864&lt;&gt;"Annulé"),1,0))</f>
        <v/>
      </c>
      <c r="AP864" s="35" t="str">
        <f aca="false">IF($B864="","",IF(AND(C864="Quasi-incident",L864&lt;&gt;"Annulé"),1,0))</f>
        <v/>
      </c>
      <c r="AQ864" s="35" t="str">
        <f aca="false">IF($B864="","",AO864+AP864)</f>
        <v/>
      </c>
      <c r="AR864" s="36" t="str">
        <f aca="false">IF(OR($B864="",J864=""),"",IFERROR(VALUE(LEFT(J864,1)),""))</f>
        <v/>
      </c>
      <c r="AS864" s="35" t="str">
        <f aca="false">IF(OR(AO864&lt;&gt;1,G864=""),"",IFERROR(IF(INDEX(L_SrcInterne,MATCH(G864,L_Sources,0))="Oui",1,0),""))</f>
        <v/>
      </c>
      <c r="AT864" s="37" t="str">
        <f aca="false">IF(AO864&lt;&gt;1,"",IFERROR(ROUND(IF(OR(N864="",O864=""),"",IF(O864&lt;N864,"",ROUND(((NETWORKDAYS(N864,O864,JoursFeries)-1)*(HFer-HOuv)+IF(NETWORKDAYS(O864,O864,JoursFeries),MEDIAN(MOD(O864,1),HFer,HOuv),HFer)-IF(NETWORKDAYS(N864,N864,JoursFeries),MEDIAN(MOD(N864,1),HFer,HOuv),HOuv))*24,4)))/HJour,4),""))</f>
        <v/>
      </c>
      <c r="AU864" s="37" t="str">
        <f aca="false">IF(AO864&lt;&gt;1,"",IF(OR(O864="",P864=""),"",IF(P864&lt;O864,"",ROUND(((NETWORKDAYS(O864,P864,JoursFeries)-1)*(HFer-HOuv)+IF(NETWORKDAYS(P864,P864,JoursFeries),MEDIAN(MOD(P864,1),HFer,HOuv),HFer)-IF(NETWORKDAYS(O864,O864,JoursFeries),MEDIAN(MOD(O864,1),HFer,HOuv),HOuv))*24,4))))</f>
        <v/>
      </c>
      <c r="AV864" s="37" t="str">
        <f aca="false">IF(AO864&lt;&gt;1,"",IF(OR(P864="",Q864=""),"",IF(Q864&lt;P864,"",ROUND(((NETWORKDAYS(P864,Q864,JoursFeries)-1)*(HFer-HOuv)+IF(NETWORKDAYS(Q864,Q864,JoursFeries),MEDIAN(MOD(Q864,1),HFer,HOuv),HFer)-IF(NETWORKDAYS(P864,P864,JoursFeries),MEDIAN(MOD(P864,1),HFer,HOuv),HOuv))*24,4))))</f>
        <v/>
      </c>
      <c r="AW864" s="37" t="str">
        <f aca="false">IF(AO864&lt;&gt;1,"",IFERROR(ROUND(IF(OR(P864="",R864=""),"",IF(R864&lt;P864,"",ROUND(((NETWORKDAYS(P864,R864,JoursFeries)-1)*(HFer-HOuv)+IF(NETWORKDAYS(R864,R864,JoursFeries),MEDIAN(MOD(R864,1),HFer,HOuv),HFer)-IF(NETWORKDAYS(P864,P864,JoursFeries),MEDIAN(MOD(P864,1),HFer,HOuv),HOuv))*24,4)))/HJour,4),""))</f>
        <v/>
      </c>
      <c r="AX864" s="37" t="str">
        <f aca="false">IF(AO864&lt;&gt;1,"",IFERROR(ROUND(IF(OR(P864="",S864=""),"",IF(S864&lt;P864,"",ROUND(((NETWORKDAYS(P864,S864,JoursFeries)-1)*(HFer-HOuv)+IF(NETWORKDAYS(S864,S864,JoursFeries),MEDIAN(MOD(S864,1),HFer,HOuv),HFer)-IF(NETWORKDAYS(P864,P864,JoursFeries),MEDIAN(MOD(P864,1),HFer,HOuv),HOuv))*24,4)))/HJour,4),""))</f>
        <v/>
      </c>
      <c r="AY864" s="36" t="str">
        <f aca="false">IF(OR(AO864&lt;&gt;1,AR864=""),"",INDEX(SLA_PEC,AR864))</f>
        <v/>
      </c>
      <c r="AZ864" s="35" t="str">
        <f aca="false">IF(OR(AV864="",AY864=""),"",IF(AV864&lt;=AY864,1,0))</f>
        <v/>
      </c>
      <c r="BA864" s="36" t="str">
        <f aca="false">IF(OR(AO864&lt;&gt;1,AR864=""),"",INDEX(SLA_RES,AR864))</f>
        <v/>
      </c>
      <c r="BB864" s="35" t="str">
        <f aca="false">IF(OR(AW864="",BA864=""),"",IF(AW864&lt;=BA864,1,0))</f>
        <v/>
      </c>
      <c r="BC864" s="38" t="str">
        <f aca="false">IF(OR(BA864="",P864=""),"",WORKDAY(INT(P864),BA864,JoursFeries)+MOD(P864,1))</f>
        <v/>
      </c>
      <c r="BD864" s="39" t="str">
        <f aca="false">IF(AO864&lt;&gt;1,"",IF(OR(AB864&lt;&gt;"",AD864&lt;&gt;""),4,IF(U864&lt;&gt;"",3,IF(T864&lt;&gt;"",2,1))))</f>
        <v/>
      </c>
      <c r="BE864" s="39" t="str">
        <f aca="false">IF(OR(AO864&lt;&gt;1,AR864=""),"",INDEX(NIV_REQ,AR864))</f>
        <v/>
      </c>
      <c r="BF864" s="39" t="str">
        <f aca="false">IF(BE864="","",MAX(BE864,IF(OR(K864="Oui",Z864="Oui"),4,1)))</f>
        <v/>
      </c>
      <c r="BG864" s="35" t="str">
        <f aca="false">IF(OR(BF864="",BD864=""),"",IF(BD864&gt;=BF864,1,0))</f>
        <v/>
      </c>
      <c r="BH864" s="38" t="str">
        <f aca="false">IF(BE864="","",IF(BE864&lt;2,"",IF(BE864=2,IF(AND(T864="",U864=""),"",MIN(T864,U864)),IF(U864="","",U864))))</f>
        <v/>
      </c>
      <c r="BI864" s="37" t="str">
        <f aca="false">IF(BH864="","",IF(OR(O864="",BH864=""),"",IF(BH864&lt;O864,"",ROUND(((NETWORKDAYS(O864,BH864,JoursFeries)-1)*(HFer-HOuv)+IF(NETWORKDAYS(BH864,BH864,JoursFeries),MEDIAN(MOD(BH864,1),HFer,HOuv),HFer)-IF(NETWORKDAYS(O864,O864,JoursFeries),MEDIAN(MOD(O864,1),HFer,HOuv),HOuv))*24,4))))</f>
        <v/>
      </c>
      <c r="BJ864" s="35" t="str">
        <f aca="false">IF(OR(BI864="",AR864=""),"",IF(BI864&lt;=INDEX(DELAI_ESC,AR864),1,0))</f>
        <v/>
      </c>
      <c r="BK864" s="38" t="str">
        <f aca="false">IF(AO864&lt;&gt;1,"",IF(AND(T864="",U864=""),"",MIN(T864,U864)))</f>
        <v/>
      </c>
      <c r="BL864" s="37" t="str">
        <f aca="false">IF(OR(BK864="",R864=""),"",IFERROR(ROUND(IF(OR(BK864="",R864=""),"",IF(R864&lt;BK864,"",ROUND(((NETWORKDAYS(BK864,R864,JoursFeries)-1)*(HFer-HOuv)+IF(NETWORKDAYS(R864,R864,JoursFeries),MEDIAN(MOD(R864,1),HFer,HOuv),HFer)-IF(NETWORKDAYS(BK864,BK864,JoursFeries),MEDIAN(MOD(BK864,1),HFer,HOuv),HOuv))*24,4)))/HJour,4),""))</f>
        <v/>
      </c>
      <c r="BM864" s="35" t="str">
        <f aca="false">IF(OR(AO864&lt;&gt;1,R864=""),"",IF(BD864=1,1,0))</f>
        <v/>
      </c>
      <c r="BN864" s="35" t="str">
        <f aca="false">IF(AO864&lt;&gt;1,"",IF(W864="Oui",1,0))</f>
        <v/>
      </c>
      <c r="BO864" s="35" t="str">
        <f aca="false">IF(AO864&lt;&gt;1,"",IF(X864&lt;&gt;"",1,0))</f>
        <v/>
      </c>
      <c r="BP864" s="35" t="str">
        <f aca="false">IF(AO864&lt;&gt;1,"",IF(Y864="Oui",1,0))</f>
        <v/>
      </c>
      <c r="BQ864" s="35" t="str">
        <f aca="true">IF(OR(AO864&lt;&gt;1,Z864&lt;&gt;"Oui"),"",IF(AB864="",IF(AND(AA864&lt;&gt;"",NOW()&gt;AA864),0,""),IF(AA864="","",IF(AB864&lt;=AA864,1,0))))</f>
        <v/>
      </c>
      <c r="BR864" s="38" t="str">
        <f aca="false">IF(OR(AO864&lt;&gt;1,K864&lt;&gt;"Oui",O864=""),"",IF(AC864="",O864+DORA_H_DET/24,IF(AC864-O864&lt;=DORA_H_DET/24,MIN(AC864+DORA_H_CLA/24,O864+DORA_H_DET/24),AC864+DORA_H_CLA/24)))</f>
        <v/>
      </c>
      <c r="BS864" s="35" t="str">
        <f aca="true">IF(BR864="","",IF(AD864="",IF(NOW()&gt;BR864,0,""),IF(AD864&lt;=BR864,1,0)))</f>
        <v/>
      </c>
      <c r="BT864" s="35" t="str">
        <f aca="true">IF(OR(BR864="",AD864=""),"",IF(AE864="",IF(NOW()&gt;AD864+DORA_H_INT/24,0,""),IF(AE864&lt;=AD864+DORA_H_INT/24,1,0)))</f>
        <v/>
      </c>
      <c r="BU864" s="35" t="str">
        <f aca="true">IF(OR(BR864="",AE864=""),"",IF(AF864="",IF(NOW()&gt;EDATE(AE864,DORA_M_FIN)+1,0,""),IF(AF864&lt;=EDATE(AE864,DORA_M_FIN),1,0)))</f>
        <v/>
      </c>
      <c r="BV864" s="35" t="str">
        <f aca="false">IF(BR864="","",IF(COUNT(BS864:BU864)=0,"",MIN(BS864:BU864)))</f>
        <v/>
      </c>
      <c r="BW864" s="40" t="str">
        <f aca="false">IF(AQ864&lt;&gt;1,"",IF(AND(AG864="",AH864=""),"",N(AG864)-N(AH864)))</f>
        <v/>
      </c>
      <c r="BX864" s="35" t="str">
        <f aca="true">IF(OR(AQ864&lt;&gt;1,AI864&lt;&gt;"Oui",AJ864=""),"",IF(AK864="",IF(NOW()&gt;AJ864+1,0,""),IF(AK864&lt;=AJ864,1,0)))</f>
        <v/>
      </c>
    </row>
    <row r="865" customFormat="false" ht="15" hidden="false" customHeight="false" outlineLevel="0" collapsed="false">
      <c r="B865" s="29"/>
      <c r="C865" s="29"/>
      <c r="D865" s="29"/>
      <c r="E865" s="29"/>
      <c r="F865" s="29"/>
      <c r="G865" s="29"/>
      <c r="H865" s="29"/>
      <c r="I865" s="29"/>
      <c r="J865" s="29"/>
      <c r="K865" s="29"/>
      <c r="L865" s="29"/>
      <c r="M865" s="29"/>
      <c r="N865" s="30"/>
      <c r="O865" s="30"/>
      <c r="P865" s="30"/>
      <c r="Q865" s="30"/>
      <c r="R865" s="30"/>
      <c r="S865" s="30"/>
      <c r="T865" s="30"/>
      <c r="U865" s="30"/>
      <c r="V865" s="31"/>
      <c r="W865" s="29"/>
      <c r="X865" s="29"/>
      <c r="Y865" s="29"/>
      <c r="Z865" s="29"/>
      <c r="AA865" s="30"/>
      <c r="AB865" s="30"/>
      <c r="AC865" s="30"/>
      <c r="AD865" s="30"/>
      <c r="AE865" s="30"/>
      <c r="AF865" s="32"/>
      <c r="AG865" s="33"/>
      <c r="AH865" s="33"/>
      <c r="AI865" s="29"/>
      <c r="AJ865" s="32"/>
      <c r="AK865" s="32"/>
      <c r="AL865" s="29"/>
      <c r="AN865" s="34" t="str">
        <f aca="false">IF($B865="","",IF(OR(C865="",D865="",E865="",G865="",I865="",J865="",L865="",O865="",P865=""),"Champ obligatoire manquant",IF(OR(AND(N865&lt;&gt;"",N865&gt;O865),O865&gt;P865,AND(Q865&lt;&gt;"",Q865&lt;P865),AND(R865&lt;&gt;"",R865&lt;P865),AND(S865&lt;&gt;"",S865&lt;R865),AND(S865&lt;&gt;"",R865=""),AND(T865&lt;&gt;"",T865&lt;O865),AND(U865&lt;&gt;"",U865&lt;O865)),"Chronologie incohérente",IF(AND(OR(L865="Résolu",L865="Clos"),R865=""),"Date de résolution manquante",IF(AND(L865="Clos",S865=""),"Date de clôture manquante",IF(AND(K865="Oui",AC865=""),"Classification DORA manquante","OK"))))))</f>
        <v/>
      </c>
      <c r="AO865" s="35" t="str">
        <f aca="false">IF($B865="","",IF(AND(C865="Incident",L865&lt;&gt;"Annulé"),1,0))</f>
        <v/>
      </c>
      <c r="AP865" s="35" t="str">
        <f aca="false">IF($B865="","",IF(AND(C865="Quasi-incident",L865&lt;&gt;"Annulé"),1,0))</f>
        <v/>
      </c>
      <c r="AQ865" s="35" t="str">
        <f aca="false">IF($B865="","",AO865+AP865)</f>
        <v/>
      </c>
      <c r="AR865" s="36" t="str">
        <f aca="false">IF(OR($B865="",J865=""),"",IFERROR(VALUE(LEFT(J865,1)),""))</f>
        <v/>
      </c>
      <c r="AS865" s="35" t="str">
        <f aca="false">IF(OR(AO865&lt;&gt;1,G865=""),"",IFERROR(IF(INDEX(L_SrcInterne,MATCH(G865,L_Sources,0))="Oui",1,0),""))</f>
        <v/>
      </c>
      <c r="AT865" s="37" t="str">
        <f aca="false">IF(AO865&lt;&gt;1,"",IFERROR(ROUND(IF(OR(N865="",O865=""),"",IF(O865&lt;N865,"",ROUND(((NETWORKDAYS(N865,O865,JoursFeries)-1)*(HFer-HOuv)+IF(NETWORKDAYS(O865,O865,JoursFeries),MEDIAN(MOD(O865,1),HFer,HOuv),HFer)-IF(NETWORKDAYS(N865,N865,JoursFeries),MEDIAN(MOD(N865,1),HFer,HOuv),HOuv))*24,4)))/HJour,4),""))</f>
        <v/>
      </c>
      <c r="AU865" s="37" t="str">
        <f aca="false">IF(AO865&lt;&gt;1,"",IF(OR(O865="",P865=""),"",IF(P865&lt;O865,"",ROUND(((NETWORKDAYS(O865,P865,JoursFeries)-1)*(HFer-HOuv)+IF(NETWORKDAYS(P865,P865,JoursFeries),MEDIAN(MOD(P865,1),HFer,HOuv),HFer)-IF(NETWORKDAYS(O865,O865,JoursFeries),MEDIAN(MOD(O865,1),HFer,HOuv),HOuv))*24,4))))</f>
        <v/>
      </c>
      <c r="AV865" s="37" t="str">
        <f aca="false">IF(AO865&lt;&gt;1,"",IF(OR(P865="",Q865=""),"",IF(Q865&lt;P865,"",ROUND(((NETWORKDAYS(P865,Q865,JoursFeries)-1)*(HFer-HOuv)+IF(NETWORKDAYS(Q865,Q865,JoursFeries),MEDIAN(MOD(Q865,1),HFer,HOuv),HFer)-IF(NETWORKDAYS(P865,P865,JoursFeries),MEDIAN(MOD(P865,1),HFer,HOuv),HOuv))*24,4))))</f>
        <v/>
      </c>
      <c r="AW865" s="37" t="str">
        <f aca="false">IF(AO865&lt;&gt;1,"",IFERROR(ROUND(IF(OR(P865="",R865=""),"",IF(R865&lt;P865,"",ROUND(((NETWORKDAYS(P865,R865,JoursFeries)-1)*(HFer-HOuv)+IF(NETWORKDAYS(R865,R865,JoursFeries),MEDIAN(MOD(R865,1),HFer,HOuv),HFer)-IF(NETWORKDAYS(P865,P865,JoursFeries),MEDIAN(MOD(P865,1),HFer,HOuv),HOuv))*24,4)))/HJour,4),""))</f>
        <v/>
      </c>
      <c r="AX865" s="37" t="str">
        <f aca="false">IF(AO865&lt;&gt;1,"",IFERROR(ROUND(IF(OR(P865="",S865=""),"",IF(S865&lt;P865,"",ROUND(((NETWORKDAYS(P865,S865,JoursFeries)-1)*(HFer-HOuv)+IF(NETWORKDAYS(S865,S865,JoursFeries),MEDIAN(MOD(S865,1),HFer,HOuv),HFer)-IF(NETWORKDAYS(P865,P865,JoursFeries),MEDIAN(MOD(P865,1),HFer,HOuv),HOuv))*24,4)))/HJour,4),""))</f>
        <v/>
      </c>
      <c r="AY865" s="36" t="str">
        <f aca="false">IF(OR(AO865&lt;&gt;1,AR865=""),"",INDEX(SLA_PEC,AR865))</f>
        <v/>
      </c>
      <c r="AZ865" s="35" t="str">
        <f aca="false">IF(OR(AV865="",AY865=""),"",IF(AV865&lt;=AY865,1,0))</f>
        <v/>
      </c>
      <c r="BA865" s="36" t="str">
        <f aca="false">IF(OR(AO865&lt;&gt;1,AR865=""),"",INDEX(SLA_RES,AR865))</f>
        <v/>
      </c>
      <c r="BB865" s="35" t="str">
        <f aca="false">IF(OR(AW865="",BA865=""),"",IF(AW865&lt;=BA865,1,0))</f>
        <v/>
      </c>
      <c r="BC865" s="38" t="str">
        <f aca="false">IF(OR(BA865="",P865=""),"",WORKDAY(INT(P865),BA865,JoursFeries)+MOD(P865,1))</f>
        <v/>
      </c>
      <c r="BD865" s="39" t="str">
        <f aca="false">IF(AO865&lt;&gt;1,"",IF(OR(AB865&lt;&gt;"",AD865&lt;&gt;""),4,IF(U865&lt;&gt;"",3,IF(T865&lt;&gt;"",2,1))))</f>
        <v/>
      </c>
      <c r="BE865" s="39" t="str">
        <f aca="false">IF(OR(AO865&lt;&gt;1,AR865=""),"",INDEX(NIV_REQ,AR865))</f>
        <v/>
      </c>
      <c r="BF865" s="39" t="str">
        <f aca="false">IF(BE865="","",MAX(BE865,IF(OR(K865="Oui",Z865="Oui"),4,1)))</f>
        <v/>
      </c>
      <c r="BG865" s="35" t="str">
        <f aca="false">IF(OR(BF865="",BD865=""),"",IF(BD865&gt;=BF865,1,0))</f>
        <v/>
      </c>
      <c r="BH865" s="38" t="str">
        <f aca="false">IF(BE865="","",IF(BE865&lt;2,"",IF(BE865=2,IF(AND(T865="",U865=""),"",MIN(T865,U865)),IF(U865="","",U865))))</f>
        <v/>
      </c>
      <c r="BI865" s="37" t="str">
        <f aca="false">IF(BH865="","",IF(OR(O865="",BH865=""),"",IF(BH865&lt;O865,"",ROUND(((NETWORKDAYS(O865,BH865,JoursFeries)-1)*(HFer-HOuv)+IF(NETWORKDAYS(BH865,BH865,JoursFeries),MEDIAN(MOD(BH865,1),HFer,HOuv),HFer)-IF(NETWORKDAYS(O865,O865,JoursFeries),MEDIAN(MOD(O865,1),HFer,HOuv),HOuv))*24,4))))</f>
        <v/>
      </c>
      <c r="BJ865" s="35" t="str">
        <f aca="false">IF(OR(BI865="",AR865=""),"",IF(BI865&lt;=INDEX(DELAI_ESC,AR865),1,0))</f>
        <v/>
      </c>
      <c r="BK865" s="38" t="str">
        <f aca="false">IF(AO865&lt;&gt;1,"",IF(AND(T865="",U865=""),"",MIN(T865,U865)))</f>
        <v/>
      </c>
      <c r="BL865" s="37" t="str">
        <f aca="false">IF(OR(BK865="",R865=""),"",IFERROR(ROUND(IF(OR(BK865="",R865=""),"",IF(R865&lt;BK865,"",ROUND(((NETWORKDAYS(BK865,R865,JoursFeries)-1)*(HFer-HOuv)+IF(NETWORKDAYS(R865,R865,JoursFeries),MEDIAN(MOD(R865,1),HFer,HOuv),HFer)-IF(NETWORKDAYS(BK865,BK865,JoursFeries),MEDIAN(MOD(BK865,1),HFer,HOuv),HOuv))*24,4)))/HJour,4),""))</f>
        <v/>
      </c>
      <c r="BM865" s="35" t="str">
        <f aca="false">IF(OR(AO865&lt;&gt;1,R865=""),"",IF(BD865=1,1,0))</f>
        <v/>
      </c>
      <c r="BN865" s="35" t="str">
        <f aca="false">IF(AO865&lt;&gt;1,"",IF(W865="Oui",1,0))</f>
        <v/>
      </c>
      <c r="BO865" s="35" t="str">
        <f aca="false">IF(AO865&lt;&gt;1,"",IF(X865&lt;&gt;"",1,0))</f>
        <v/>
      </c>
      <c r="BP865" s="35" t="str">
        <f aca="false">IF(AO865&lt;&gt;1,"",IF(Y865="Oui",1,0))</f>
        <v/>
      </c>
      <c r="BQ865" s="35" t="str">
        <f aca="true">IF(OR(AO865&lt;&gt;1,Z865&lt;&gt;"Oui"),"",IF(AB865="",IF(AND(AA865&lt;&gt;"",NOW()&gt;AA865),0,""),IF(AA865="","",IF(AB865&lt;=AA865,1,0))))</f>
        <v/>
      </c>
      <c r="BR865" s="38" t="str">
        <f aca="false">IF(OR(AO865&lt;&gt;1,K865&lt;&gt;"Oui",O865=""),"",IF(AC865="",O865+DORA_H_DET/24,IF(AC865-O865&lt;=DORA_H_DET/24,MIN(AC865+DORA_H_CLA/24,O865+DORA_H_DET/24),AC865+DORA_H_CLA/24)))</f>
        <v/>
      </c>
      <c r="BS865" s="35" t="str">
        <f aca="true">IF(BR865="","",IF(AD865="",IF(NOW()&gt;BR865,0,""),IF(AD865&lt;=BR865,1,0)))</f>
        <v/>
      </c>
      <c r="BT865" s="35" t="str">
        <f aca="true">IF(OR(BR865="",AD865=""),"",IF(AE865="",IF(NOW()&gt;AD865+DORA_H_INT/24,0,""),IF(AE865&lt;=AD865+DORA_H_INT/24,1,0)))</f>
        <v/>
      </c>
      <c r="BU865" s="35" t="str">
        <f aca="true">IF(OR(BR865="",AE865=""),"",IF(AF865="",IF(NOW()&gt;EDATE(AE865,DORA_M_FIN)+1,0,""),IF(AF865&lt;=EDATE(AE865,DORA_M_FIN),1,0)))</f>
        <v/>
      </c>
      <c r="BV865" s="35" t="str">
        <f aca="false">IF(BR865="","",IF(COUNT(BS865:BU865)=0,"",MIN(BS865:BU865)))</f>
        <v/>
      </c>
      <c r="BW865" s="40" t="str">
        <f aca="false">IF(AQ865&lt;&gt;1,"",IF(AND(AG865="",AH865=""),"",N(AG865)-N(AH865)))</f>
        <v/>
      </c>
      <c r="BX865" s="35" t="str">
        <f aca="true">IF(OR(AQ865&lt;&gt;1,AI865&lt;&gt;"Oui",AJ865=""),"",IF(AK865="",IF(NOW()&gt;AJ865+1,0,""),IF(AK865&lt;=AJ865,1,0)))</f>
        <v/>
      </c>
    </row>
    <row r="866" customFormat="false" ht="15" hidden="false" customHeight="false" outlineLevel="0" collapsed="false">
      <c r="B866" s="29"/>
      <c r="C866" s="29"/>
      <c r="D866" s="29"/>
      <c r="E866" s="29"/>
      <c r="F866" s="29"/>
      <c r="G866" s="29"/>
      <c r="H866" s="29"/>
      <c r="I866" s="29"/>
      <c r="J866" s="29"/>
      <c r="K866" s="29"/>
      <c r="L866" s="29"/>
      <c r="M866" s="29"/>
      <c r="N866" s="30"/>
      <c r="O866" s="30"/>
      <c r="P866" s="30"/>
      <c r="Q866" s="30"/>
      <c r="R866" s="30"/>
      <c r="S866" s="30"/>
      <c r="T866" s="30"/>
      <c r="U866" s="30"/>
      <c r="V866" s="31"/>
      <c r="W866" s="29"/>
      <c r="X866" s="29"/>
      <c r="Y866" s="29"/>
      <c r="Z866" s="29"/>
      <c r="AA866" s="30"/>
      <c r="AB866" s="30"/>
      <c r="AC866" s="30"/>
      <c r="AD866" s="30"/>
      <c r="AE866" s="30"/>
      <c r="AF866" s="32"/>
      <c r="AG866" s="33"/>
      <c r="AH866" s="33"/>
      <c r="AI866" s="29"/>
      <c r="AJ866" s="32"/>
      <c r="AK866" s="32"/>
      <c r="AL866" s="29"/>
      <c r="AN866" s="34" t="str">
        <f aca="false">IF($B866="","",IF(OR(C866="",D866="",E866="",G866="",I866="",J866="",L866="",O866="",P866=""),"Champ obligatoire manquant",IF(OR(AND(N866&lt;&gt;"",N866&gt;O866),O866&gt;P866,AND(Q866&lt;&gt;"",Q866&lt;P866),AND(R866&lt;&gt;"",R866&lt;P866),AND(S866&lt;&gt;"",S866&lt;R866),AND(S866&lt;&gt;"",R866=""),AND(T866&lt;&gt;"",T866&lt;O866),AND(U866&lt;&gt;"",U866&lt;O866)),"Chronologie incohérente",IF(AND(OR(L866="Résolu",L866="Clos"),R866=""),"Date de résolution manquante",IF(AND(L866="Clos",S866=""),"Date de clôture manquante",IF(AND(K866="Oui",AC866=""),"Classification DORA manquante","OK"))))))</f>
        <v/>
      </c>
      <c r="AO866" s="35" t="str">
        <f aca="false">IF($B866="","",IF(AND(C866="Incident",L866&lt;&gt;"Annulé"),1,0))</f>
        <v/>
      </c>
      <c r="AP866" s="35" t="str">
        <f aca="false">IF($B866="","",IF(AND(C866="Quasi-incident",L866&lt;&gt;"Annulé"),1,0))</f>
        <v/>
      </c>
      <c r="AQ866" s="35" t="str">
        <f aca="false">IF($B866="","",AO866+AP866)</f>
        <v/>
      </c>
      <c r="AR866" s="36" t="str">
        <f aca="false">IF(OR($B866="",J866=""),"",IFERROR(VALUE(LEFT(J866,1)),""))</f>
        <v/>
      </c>
      <c r="AS866" s="35" t="str">
        <f aca="false">IF(OR(AO866&lt;&gt;1,G866=""),"",IFERROR(IF(INDEX(L_SrcInterne,MATCH(G866,L_Sources,0))="Oui",1,0),""))</f>
        <v/>
      </c>
      <c r="AT866" s="37" t="str">
        <f aca="false">IF(AO866&lt;&gt;1,"",IFERROR(ROUND(IF(OR(N866="",O866=""),"",IF(O866&lt;N866,"",ROUND(((NETWORKDAYS(N866,O866,JoursFeries)-1)*(HFer-HOuv)+IF(NETWORKDAYS(O866,O866,JoursFeries),MEDIAN(MOD(O866,1),HFer,HOuv),HFer)-IF(NETWORKDAYS(N866,N866,JoursFeries),MEDIAN(MOD(N866,1),HFer,HOuv),HOuv))*24,4)))/HJour,4),""))</f>
        <v/>
      </c>
      <c r="AU866" s="37" t="str">
        <f aca="false">IF(AO866&lt;&gt;1,"",IF(OR(O866="",P866=""),"",IF(P866&lt;O866,"",ROUND(((NETWORKDAYS(O866,P866,JoursFeries)-1)*(HFer-HOuv)+IF(NETWORKDAYS(P866,P866,JoursFeries),MEDIAN(MOD(P866,1),HFer,HOuv),HFer)-IF(NETWORKDAYS(O866,O866,JoursFeries),MEDIAN(MOD(O866,1),HFer,HOuv),HOuv))*24,4))))</f>
        <v/>
      </c>
      <c r="AV866" s="37" t="str">
        <f aca="false">IF(AO866&lt;&gt;1,"",IF(OR(P866="",Q866=""),"",IF(Q866&lt;P866,"",ROUND(((NETWORKDAYS(P866,Q866,JoursFeries)-1)*(HFer-HOuv)+IF(NETWORKDAYS(Q866,Q866,JoursFeries),MEDIAN(MOD(Q866,1),HFer,HOuv),HFer)-IF(NETWORKDAYS(P866,P866,JoursFeries),MEDIAN(MOD(P866,1),HFer,HOuv),HOuv))*24,4))))</f>
        <v/>
      </c>
      <c r="AW866" s="37" t="str">
        <f aca="false">IF(AO866&lt;&gt;1,"",IFERROR(ROUND(IF(OR(P866="",R866=""),"",IF(R866&lt;P866,"",ROUND(((NETWORKDAYS(P866,R866,JoursFeries)-1)*(HFer-HOuv)+IF(NETWORKDAYS(R866,R866,JoursFeries),MEDIAN(MOD(R866,1),HFer,HOuv),HFer)-IF(NETWORKDAYS(P866,P866,JoursFeries),MEDIAN(MOD(P866,1),HFer,HOuv),HOuv))*24,4)))/HJour,4),""))</f>
        <v/>
      </c>
      <c r="AX866" s="37" t="str">
        <f aca="false">IF(AO866&lt;&gt;1,"",IFERROR(ROUND(IF(OR(P866="",S866=""),"",IF(S866&lt;P866,"",ROUND(((NETWORKDAYS(P866,S866,JoursFeries)-1)*(HFer-HOuv)+IF(NETWORKDAYS(S866,S866,JoursFeries),MEDIAN(MOD(S866,1),HFer,HOuv),HFer)-IF(NETWORKDAYS(P866,P866,JoursFeries),MEDIAN(MOD(P866,1),HFer,HOuv),HOuv))*24,4)))/HJour,4),""))</f>
        <v/>
      </c>
      <c r="AY866" s="36" t="str">
        <f aca="false">IF(OR(AO866&lt;&gt;1,AR866=""),"",INDEX(SLA_PEC,AR866))</f>
        <v/>
      </c>
      <c r="AZ866" s="35" t="str">
        <f aca="false">IF(OR(AV866="",AY866=""),"",IF(AV866&lt;=AY866,1,0))</f>
        <v/>
      </c>
      <c r="BA866" s="36" t="str">
        <f aca="false">IF(OR(AO866&lt;&gt;1,AR866=""),"",INDEX(SLA_RES,AR866))</f>
        <v/>
      </c>
      <c r="BB866" s="35" t="str">
        <f aca="false">IF(OR(AW866="",BA866=""),"",IF(AW866&lt;=BA866,1,0))</f>
        <v/>
      </c>
      <c r="BC866" s="38" t="str">
        <f aca="false">IF(OR(BA866="",P866=""),"",WORKDAY(INT(P866),BA866,JoursFeries)+MOD(P866,1))</f>
        <v/>
      </c>
      <c r="BD866" s="39" t="str">
        <f aca="false">IF(AO866&lt;&gt;1,"",IF(OR(AB866&lt;&gt;"",AD866&lt;&gt;""),4,IF(U866&lt;&gt;"",3,IF(T866&lt;&gt;"",2,1))))</f>
        <v/>
      </c>
      <c r="BE866" s="39" t="str">
        <f aca="false">IF(OR(AO866&lt;&gt;1,AR866=""),"",INDEX(NIV_REQ,AR866))</f>
        <v/>
      </c>
      <c r="BF866" s="39" t="str">
        <f aca="false">IF(BE866="","",MAX(BE866,IF(OR(K866="Oui",Z866="Oui"),4,1)))</f>
        <v/>
      </c>
      <c r="BG866" s="35" t="str">
        <f aca="false">IF(OR(BF866="",BD866=""),"",IF(BD866&gt;=BF866,1,0))</f>
        <v/>
      </c>
      <c r="BH866" s="38" t="str">
        <f aca="false">IF(BE866="","",IF(BE866&lt;2,"",IF(BE866=2,IF(AND(T866="",U866=""),"",MIN(T866,U866)),IF(U866="","",U866))))</f>
        <v/>
      </c>
      <c r="BI866" s="37" t="str">
        <f aca="false">IF(BH866="","",IF(OR(O866="",BH866=""),"",IF(BH866&lt;O866,"",ROUND(((NETWORKDAYS(O866,BH866,JoursFeries)-1)*(HFer-HOuv)+IF(NETWORKDAYS(BH866,BH866,JoursFeries),MEDIAN(MOD(BH866,1),HFer,HOuv),HFer)-IF(NETWORKDAYS(O866,O866,JoursFeries),MEDIAN(MOD(O866,1),HFer,HOuv),HOuv))*24,4))))</f>
        <v/>
      </c>
      <c r="BJ866" s="35" t="str">
        <f aca="false">IF(OR(BI866="",AR866=""),"",IF(BI866&lt;=INDEX(DELAI_ESC,AR866),1,0))</f>
        <v/>
      </c>
      <c r="BK866" s="38" t="str">
        <f aca="false">IF(AO866&lt;&gt;1,"",IF(AND(T866="",U866=""),"",MIN(T866,U866)))</f>
        <v/>
      </c>
      <c r="BL866" s="37" t="str">
        <f aca="false">IF(OR(BK866="",R866=""),"",IFERROR(ROUND(IF(OR(BK866="",R866=""),"",IF(R866&lt;BK866,"",ROUND(((NETWORKDAYS(BK866,R866,JoursFeries)-1)*(HFer-HOuv)+IF(NETWORKDAYS(R866,R866,JoursFeries),MEDIAN(MOD(R866,1),HFer,HOuv),HFer)-IF(NETWORKDAYS(BK866,BK866,JoursFeries),MEDIAN(MOD(BK866,1),HFer,HOuv),HOuv))*24,4)))/HJour,4),""))</f>
        <v/>
      </c>
      <c r="BM866" s="35" t="str">
        <f aca="false">IF(OR(AO866&lt;&gt;1,R866=""),"",IF(BD866=1,1,0))</f>
        <v/>
      </c>
      <c r="BN866" s="35" t="str">
        <f aca="false">IF(AO866&lt;&gt;1,"",IF(W866="Oui",1,0))</f>
        <v/>
      </c>
      <c r="BO866" s="35" t="str">
        <f aca="false">IF(AO866&lt;&gt;1,"",IF(X866&lt;&gt;"",1,0))</f>
        <v/>
      </c>
      <c r="BP866" s="35" t="str">
        <f aca="false">IF(AO866&lt;&gt;1,"",IF(Y866="Oui",1,0))</f>
        <v/>
      </c>
      <c r="BQ866" s="35" t="str">
        <f aca="true">IF(OR(AO866&lt;&gt;1,Z866&lt;&gt;"Oui"),"",IF(AB866="",IF(AND(AA866&lt;&gt;"",NOW()&gt;AA866),0,""),IF(AA866="","",IF(AB866&lt;=AA866,1,0))))</f>
        <v/>
      </c>
      <c r="BR866" s="38" t="str">
        <f aca="false">IF(OR(AO866&lt;&gt;1,K866&lt;&gt;"Oui",O866=""),"",IF(AC866="",O866+DORA_H_DET/24,IF(AC866-O866&lt;=DORA_H_DET/24,MIN(AC866+DORA_H_CLA/24,O866+DORA_H_DET/24),AC866+DORA_H_CLA/24)))</f>
        <v/>
      </c>
      <c r="BS866" s="35" t="str">
        <f aca="true">IF(BR866="","",IF(AD866="",IF(NOW()&gt;BR866,0,""),IF(AD866&lt;=BR866,1,0)))</f>
        <v/>
      </c>
      <c r="BT866" s="35" t="str">
        <f aca="true">IF(OR(BR866="",AD866=""),"",IF(AE866="",IF(NOW()&gt;AD866+DORA_H_INT/24,0,""),IF(AE866&lt;=AD866+DORA_H_INT/24,1,0)))</f>
        <v/>
      </c>
      <c r="BU866" s="35" t="str">
        <f aca="true">IF(OR(BR866="",AE866=""),"",IF(AF866="",IF(NOW()&gt;EDATE(AE866,DORA_M_FIN)+1,0,""),IF(AF866&lt;=EDATE(AE866,DORA_M_FIN),1,0)))</f>
        <v/>
      </c>
      <c r="BV866" s="35" t="str">
        <f aca="false">IF(BR866="","",IF(COUNT(BS866:BU866)=0,"",MIN(BS866:BU866)))</f>
        <v/>
      </c>
      <c r="BW866" s="40" t="str">
        <f aca="false">IF(AQ866&lt;&gt;1,"",IF(AND(AG866="",AH866=""),"",N(AG866)-N(AH866)))</f>
        <v/>
      </c>
      <c r="BX866" s="35" t="str">
        <f aca="true">IF(OR(AQ866&lt;&gt;1,AI866&lt;&gt;"Oui",AJ866=""),"",IF(AK866="",IF(NOW()&gt;AJ866+1,0,""),IF(AK866&lt;=AJ866,1,0)))</f>
        <v/>
      </c>
    </row>
    <row r="867" customFormat="false" ht="15" hidden="false" customHeight="false" outlineLevel="0" collapsed="false">
      <c r="B867" s="29"/>
      <c r="C867" s="29"/>
      <c r="D867" s="29"/>
      <c r="E867" s="29"/>
      <c r="F867" s="29"/>
      <c r="G867" s="29"/>
      <c r="H867" s="29"/>
      <c r="I867" s="29"/>
      <c r="J867" s="29"/>
      <c r="K867" s="29"/>
      <c r="L867" s="29"/>
      <c r="M867" s="29"/>
      <c r="N867" s="30"/>
      <c r="O867" s="30"/>
      <c r="P867" s="30"/>
      <c r="Q867" s="30"/>
      <c r="R867" s="30"/>
      <c r="S867" s="30"/>
      <c r="T867" s="30"/>
      <c r="U867" s="30"/>
      <c r="V867" s="31"/>
      <c r="W867" s="29"/>
      <c r="X867" s="29"/>
      <c r="Y867" s="29"/>
      <c r="Z867" s="29"/>
      <c r="AA867" s="30"/>
      <c r="AB867" s="30"/>
      <c r="AC867" s="30"/>
      <c r="AD867" s="30"/>
      <c r="AE867" s="30"/>
      <c r="AF867" s="32"/>
      <c r="AG867" s="33"/>
      <c r="AH867" s="33"/>
      <c r="AI867" s="29"/>
      <c r="AJ867" s="32"/>
      <c r="AK867" s="32"/>
      <c r="AL867" s="29"/>
      <c r="AN867" s="34" t="str">
        <f aca="false">IF($B867="","",IF(OR(C867="",D867="",E867="",G867="",I867="",J867="",L867="",O867="",P867=""),"Champ obligatoire manquant",IF(OR(AND(N867&lt;&gt;"",N867&gt;O867),O867&gt;P867,AND(Q867&lt;&gt;"",Q867&lt;P867),AND(R867&lt;&gt;"",R867&lt;P867),AND(S867&lt;&gt;"",S867&lt;R867),AND(S867&lt;&gt;"",R867=""),AND(T867&lt;&gt;"",T867&lt;O867),AND(U867&lt;&gt;"",U867&lt;O867)),"Chronologie incohérente",IF(AND(OR(L867="Résolu",L867="Clos"),R867=""),"Date de résolution manquante",IF(AND(L867="Clos",S867=""),"Date de clôture manquante",IF(AND(K867="Oui",AC867=""),"Classification DORA manquante","OK"))))))</f>
        <v/>
      </c>
      <c r="AO867" s="35" t="str">
        <f aca="false">IF($B867="","",IF(AND(C867="Incident",L867&lt;&gt;"Annulé"),1,0))</f>
        <v/>
      </c>
      <c r="AP867" s="35" t="str">
        <f aca="false">IF($B867="","",IF(AND(C867="Quasi-incident",L867&lt;&gt;"Annulé"),1,0))</f>
        <v/>
      </c>
      <c r="AQ867" s="35" t="str">
        <f aca="false">IF($B867="","",AO867+AP867)</f>
        <v/>
      </c>
      <c r="AR867" s="36" t="str">
        <f aca="false">IF(OR($B867="",J867=""),"",IFERROR(VALUE(LEFT(J867,1)),""))</f>
        <v/>
      </c>
      <c r="AS867" s="35" t="str">
        <f aca="false">IF(OR(AO867&lt;&gt;1,G867=""),"",IFERROR(IF(INDEX(L_SrcInterne,MATCH(G867,L_Sources,0))="Oui",1,0),""))</f>
        <v/>
      </c>
      <c r="AT867" s="37" t="str">
        <f aca="false">IF(AO867&lt;&gt;1,"",IFERROR(ROUND(IF(OR(N867="",O867=""),"",IF(O867&lt;N867,"",ROUND(((NETWORKDAYS(N867,O867,JoursFeries)-1)*(HFer-HOuv)+IF(NETWORKDAYS(O867,O867,JoursFeries),MEDIAN(MOD(O867,1),HFer,HOuv),HFer)-IF(NETWORKDAYS(N867,N867,JoursFeries),MEDIAN(MOD(N867,1),HFer,HOuv),HOuv))*24,4)))/HJour,4),""))</f>
        <v/>
      </c>
      <c r="AU867" s="37" t="str">
        <f aca="false">IF(AO867&lt;&gt;1,"",IF(OR(O867="",P867=""),"",IF(P867&lt;O867,"",ROUND(((NETWORKDAYS(O867,P867,JoursFeries)-1)*(HFer-HOuv)+IF(NETWORKDAYS(P867,P867,JoursFeries),MEDIAN(MOD(P867,1),HFer,HOuv),HFer)-IF(NETWORKDAYS(O867,O867,JoursFeries),MEDIAN(MOD(O867,1),HFer,HOuv),HOuv))*24,4))))</f>
        <v/>
      </c>
      <c r="AV867" s="37" t="str">
        <f aca="false">IF(AO867&lt;&gt;1,"",IF(OR(P867="",Q867=""),"",IF(Q867&lt;P867,"",ROUND(((NETWORKDAYS(P867,Q867,JoursFeries)-1)*(HFer-HOuv)+IF(NETWORKDAYS(Q867,Q867,JoursFeries),MEDIAN(MOD(Q867,1),HFer,HOuv),HFer)-IF(NETWORKDAYS(P867,P867,JoursFeries),MEDIAN(MOD(P867,1),HFer,HOuv),HOuv))*24,4))))</f>
        <v/>
      </c>
      <c r="AW867" s="37" t="str">
        <f aca="false">IF(AO867&lt;&gt;1,"",IFERROR(ROUND(IF(OR(P867="",R867=""),"",IF(R867&lt;P867,"",ROUND(((NETWORKDAYS(P867,R867,JoursFeries)-1)*(HFer-HOuv)+IF(NETWORKDAYS(R867,R867,JoursFeries),MEDIAN(MOD(R867,1),HFer,HOuv),HFer)-IF(NETWORKDAYS(P867,P867,JoursFeries),MEDIAN(MOD(P867,1),HFer,HOuv),HOuv))*24,4)))/HJour,4),""))</f>
        <v/>
      </c>
      <c r="AX867" s="37" t="str">
        <f aca="false">IF(AO867&lt;&gt;1,"",IFERROR(ROUND(IF(OR(P867="",S867=""),"",IF(S867&lt;P867,"",ROUND(((NETWORKDAYS(P867,S867,JoursFeries)-1)*(HFer-HOuv)+IF(NETWORKDAYS(S867,S867,JoursFeries),MEDIAN(MOD(S867,1),HFer,HOuv),HFer)-IF(NETWORKDAYS(P867,P867,JoursFeries),MEDIAN(MOD(P867,1),HFer,HOuv),HOuv))*24,4)))/HJour,4),""))</f>
        <v/>
      </c>
      <c r="AY867" s="36" t="str">
        <f aca="false">IF(OR(AO867&lt;&gt;1,AR867=""),"",INDEX(SLA_PEC,AR867))</f>
        <v/>
      </c>
      <c r="AZ867" s="35" t="str">
        <f aca="false">IF(OR(AV867="",AY867=""),"",IF(AV867&lt;=AY867,1,0))</f>
        <v/>
      </c>
      <c r="BA867" s="36" t="str">
        <f aca="false">IF(OR(AO867&lt;&gt;1,AR867=""),"",INDEX(SLA_RES,AR867))</f>
        <v/>
      </c>
      <c r="BB867" s="35" t="str">
        <f aca="false">IF(OR(AW867="",BA867=""),"",IF(AW867&lt;=BA867,1,0))</f>
        <v/>
      </c>
      <c r="BC867" s="38" t="str">
        <f aca="false">IF(OR(BA867="",P867=""),"",WORKDAY(INT(P867),BA867,JoursFeries)+MOD(P867,1))</f>
        <v/>
      </c>
      <c r="BD867" s="39" t="str">
        <f aca="false">IF(AO867&lt;&gt;1,"",IF(OR(AB867&lt;&gt;"",AD867&lt;&gt;""),4,IF(U867&lt;&gt;"",3,IF(T867&lt;&gt;"",2,1))))</f>
        <v/>
      </c>
      <c r="BE867" s="39" t="str">
        <f aca="false">IF(OR(AO867&lt;&gt;1,AR867=""),"",INDEX(NIV_REQ,AR867))</f>
        <v/>
      </c>
      <c r="BF867" s="39" t="str">
        <f aca="false">IF(BE867="","",MAX(BE867,IF(OR(K867="Oui",Z867="Oui"),4,1)))</f>
        <v/>
      </c>
      <c r="BG867" s="35" t="str">
        <f aca="false">IF(OR(BF867="",BD867=""),"",IF(BD867&gt;=BF867,1,0))</f>
        <v/>
      </c>
      <c r="BH867" s="38" t="str">
        <f aca="false">IF(BE867="","",IF(BE867&lt;2,"",IF(BE867=2,IF(AND(T867="",U867=""),"",MIN(T867,U867)),IF(U867="","",U867))))</f>
        <v/>
      </c>
      <c r="BI867" s="37" t="str">
        <f aca="false">IF(BH867="","",IF(OR(O867="",BH867=""),"",IF(BH867&lt;O867,"",ROUND(((NETWORKDAYS(O867,BH867,JoursFeries)-1)*(HFer-HOuv)+IF(NETWORKDAYS(BH867,BH867,JoursFeries),MEDIAN(MOD(BH867,1),HFer,HOuv),HFer)-IF(NETWORKDAYS(O867,O867,JoursFeries),MEDIAN(MOD(O867,1),HFer,HOuv),HOuv))*24,4))))</f>
        <v/>
      </c>
      <c r="BJ867" s="35" t="str">
        <f aca="false">IF(OR(BI867="",AR867=""),"",IF(BI867&lt;=INDEX(DELAI_ESC,AR867),1,0))</f>
        <v/>
      </c>
      <c r="BK867" s="38" t="str">
        <f aca="false">IF(AO867&lt;&gt;1,"",IF(AND(T867="",U867=""),"",MIN(T867,U867)))</f>
        <v/>
      </c>
      <c r="BL867" s="37" t="str">
        <f aca="false">IF(OR(BK867="",R867=""),"",IFERROR(ROUND(IF(OR(BK867="",R867=""),"",IF(R867&lt;BK867,"",ROUND(((NETWORKDAYS(BK867,R867,JoursFeries)-1)*(HFer-HOuv)+IF(NETWORKDAYS(R867,R867,JoursFeries),MEDIAN(MOD(R867,1),HFer,HOuv),HFer)-IF(NETWORKDAYS(BK867,BK867,JoursFeries),MEDIAN(MOD(BK867,1),HFer,HOuv),HOuv))*24,4)))/HJour,4),""))</f>
        <v/>
      </c>
      <c r="BM867" s="35" t="str">
        <f aca="false">IF(OR(AO867&lt;&gt;1,R867=""),"",IF(BD867=1,1,0))</f>
        <v/>
      </c>
      <c r="BN867" s="35" t="str">
        <f aca="false">IF(AO867&lt;&gt;1,"",IF(W867="Oui",1,0))</f>
        <v/>
      </c>
      <c r="BO867" s="35" t="str">
        <f aca="false">IF(AO867&lt;&gt;1,"",IF(X867&lt;&gt;"",1,0))</f>
        <v/>
      </c>
      <c r="BP867" s="35" t="str">
        <f aca="false">IF(AO867&lt;&gt;1,"",IF(Y867="Oui",1,0))</f>
        <v/>
      </c>
      <c r="BQ867" s="35" t="str">
        <f aca="true">IF(OR(AO867&lt;&gt;1,Z867&lt;&gt;"Oui"),"",IF(AB867="",IF(AND(AA867&lt;&gt;"",NOW()&gt;AA867),0,""),IF(AA867="","",IF(AB867&lt;=AA867,1,0))))</f>
        <v/>
      </c>
      <c r="BR867" s="38" t="str">
        <f aca="false">IF(OR(AO867&lt;&gt;1,K867&lt;&gt;"Oui",O867=""),"",IF(AC867="",O867+DORA_H_DET/24,IF(AC867-O867&lt;=DORA_H_DET/24,MIN(AC867+DORA_H_CLA/24,O867+DORA_H_DET/24),AC867+DORA_H_CLA/24)))</f>
        <v/>
      </c>
      <c r="BS867" s="35" t="str">
        <f aca="true">IF(BR867="","",IF(AD867="",IF(NOW()&gt;BR867,0,""),IF(AD867&lt;=BR867,1,0)))</f>
        <v/>
      </c>
      <c r="BT867" s="35" t="str">
        <f aca="true">IF(OR(BR867="",AD867=""),"",IF(AE867="",IF(NOW()&gt;AD867+DORA_H_INT/24,0,""),IF(AE867&lt;=AD867+DORA_H_INT/24,1,0)))</f>
        <v/>
      </c>
      <c r="BU867" s="35" t="str">
        <f aca="true">IF(OR(BR867="",AE867=""),"",IF(AF867="",IF(NOW()&gt;EDATE(AE867,DORA_M_FIN)+1,0,""),IF(AF867&lt;=EDATE(AE867,DORA_M_FIN),1,0)))</f>
        <v/>
      </c>
      <c r="BV867" s="35" t="str">
        <f aca="false">IF(BR867="","",IF(COUNT(BS867:BU867)=0,"",MIN(BS867:BU867)))</f>
        <v/>
      </c>
      <c r="BW867" s="40" t="str">
        <f aca="false">IF(AQ867&lt;&gt;1,"",IF(AND(AG867="",AH867=""),"",N(AG867)-N(AH867)))</f>
        <v/>
      </c>
      <c r="BX867" s="35" t="str">
        <f aca="true">IF(OR(AQ867&lt;&gt;1,AI867&lt;&gt;"Oui",AJ867=""),"",IF(AK867="",IF(NOW()&gt;AJ867+1,0,""),IF(AK867&lt;=AJ867,1,0)))</f>
        <v/>
      </c>
    </row>
    <row r="868" customFormat="false" ht="15" hidden="false" customHeight="false" outlineLevel="0" collapsed="false">
      <c r="B868" s="29"/>
      <c r="C868" s="29"/>
      <c r="D868" s="29"/>
      <c r="E868" s="29"/>
      <c r="F868" s="29"/>
      <c r="G868" s="29"/>
      <c r="H868" s="29"/>
      <c r="I868" s="29"/>
      <c r="J868" s="29"/>
      <c r="K868" s="29"/>
      <c r="L868" s="29"/>
      <c r="M868" s="29"/>
      <c r="N868" s="30"/>
      <c r="O868" s="30"/>
      <c r="P868" s="30"/>
      <c r="Q868" s="30"/>
      <c r="R868" s="30"/>
      <c r="S868" s="30"/>
      <c r="T868" s="30"/>
      <c r="U868" s="30"/>
      <c r="V868" s="31"/>
      <c r="W868" s="29"/>
      <c r="X868" s="29"/>
      <c r="Y868" s="29"/>
      <c r="Z868" s="29"/>
      <c r="AA868" s="30"/>
      <c r="AB868" s="30"/>
      <c r="AC868" s="30"/>
      <c r="AD868" s="30"/>
      <c r="AE868" s="30"/>
      <c r="AF868" s="32"/>
      <c r="AG868" s="33"/>
      <c r="AH868" s="33"/>
      <c r="AI868" s="29"/>
      <c r="AJ868" s="32"/>
      <c r="AK868" s="32"/>
      <c r="AL868" s="29"/>
      <c r="AN868" s="34" t="str">
        <f aca="false">IF($B868="","",IF(OR(C868="",D868="",E868="",G868="",I868="",J868="",L868="",O868="",P868=""),"Champ obligatoire manquant",IF(OR(AND(N868&lt;&gt;"",N868&gt;O868),O868&gt;P868,AND(Q868&lt;&gt;"",Q868&lt;P868),AND(R868&lt;&gt;"",R868&lt;P868),AND(S868&lt;&gt;"",S868&lt;R868),AND(S868&lt;&gt;"",R868=""),AND(T868&lt;&gt;"",T868&lt;O868),AND(U868&lt;&gt;"",U868&lt;O868)),"Chronologie incohérente",IF(AND(OR(L868="Résolu",L868="Clos"),R868=""),"Date de résolution manquante",IF(AND(L868="Clos",S868=""),"Date de clôture manquante",IF(AND(K868="Oui",AC868=""),"Classification DORA manquante","OK"))))))</f>
        <v/>
      </c>
      <c r="AO868" s="35" t="str">
        <f aca="false">IF($B868="","",IF(AND(C868="Incident",L868&lt;&gt;"Annulé"),1,0))</f>
        <v/>
      </c>
      <c r="AP868" s="35" t="str">
        <f aca="false">IF($B868="","",IF(AND(C868="Quasi-incident",L868&lt;&gt;"Annulé"),1,0))</f>
        <v/>
      </c>
      <c r="AQ868" s="35" t="str">
        <f aca="false">IF($B868="","",AO868+AP868)</f>
        <v/>
      </c>
      <c r="AR868" s="36" t="str">
        <f aca="false">IF(OR($B868="",J868=""),"",IFERROR(VALUE(LEFT(J868,1)),""))</f>
        <v/>
      </c>
      <c r="AS868" s="35" t="str">
        <f aca="false">IF(OR(AO868&lt;&gt;1,G868=""),"",IFERROR(IF(INDEX(L_SrcInterne,MATCH(G868,L_Sources,0))="Oui",1,0),""))</f>
        <v/>
      </c>
      <c r="AT868" s="37" t="str">
        <f aca="false">IF(AO868&lt;&gt;1,"",IFERROR(ROUND(IF(OR(N868="",O868=""),"",IF(O868&lt;N868,"",ROUND(((NETWORKDAYS(N868,O868,JoursFeries)-1)*(HFer-HOuv)+IF(NETWORKDAYS(O868,O868,JoursFeries),MEDIAN(MOD(O868,1),HFer,HOuv),HFer)-IF(NETWORKDAYS(N868,N868,JoursFeries),MEDIAN(MOD(N868,1),HFer,HOuv),HOuv))*24,4)))/HJour,4),""))</f>
        <v/>
      </c>
      <c r="AU868" s="37" t="str">
        <f aca="false">IF(AO868&lt;&gt;1,"",IF(OR(O868="",P868=""),"",IF(P868&lt;O868,"",ROUND(((NETWORKDAYS(O868,P868,JoursFeries)-1)*(HFer-HOuv)+IF(NETWORKDAYS(P868,P868,JoursFeries),MEDIAN(MOD(P868,1),HFer,HOuv),HFer)-IF(NETWORKDAYS(O868,O868,JoursFeries),MEDIAN(MOD(O868,1),HFer,HOuv),HOuv))*24,4))))</f>
        <v/>
      </c>
      <c r="AV868" s="37" t="str">
        <f aca="false">IF(AO868&lt;&gt;1,"",IF(OR(P868="",Q868=""),"",IF(Q868&lt;P868,"",ROUND(((NETWORKDAYS(P868,Q868,JoursFeries)-1)*(HFer-HOuv)+IF(NETWORKDAYS(Q868,Q868,JoursFeries),MEDIAN(MOD(Q868,1),HFer,HOuv),HFer)-IF(NETWORKDAYS(P868,P868,JoursFeries),MEDIAN(MOD(P868,1),HFer,HOuv),HOuv))*24,4))))</f>
        <v/>
      </c>
      <c r="AW868" s="37" t="str">
        <f aca="false">IF(AO868&lt;&gt;1,"",IFERROR(ROUND(IF(OR(P868="",R868=""),"",IF(R868&lt;P868,"",ROUND(((NETWORKDAYS(P868,R868,JoursFeries)-1)*(HFer-HOuv)+IF(NETWORKDAYS(R868,R868,JoursFeries),MEDIAN(MOD(R868,1),HFer,HOuv),HFer)-IF(NETWORKDAYS(P868,P868,JoursFeries),MEDIAN(MOD(P868,1),HFer,HOuv),HOuv))*24,4)))/HJour,4),""))</f>
        <v/>
      </c>
      <c r="AX868" s="37" t="str">
        <f aca="false">IF(AO868&lt;&gt;1,"",IFERROR(ROUND(IF(OR(P868="",S868=""),"",IF(S868&lt;P868,"",ROUND(((NETWORKDAYS(P868,S868,JoursFeries)-1)*(HFer-HOuv)+IF(NETWORKDAYS(S868,S868,JoursFeries),MEDIAN(MOD(S868,1),HFer,HOuv),HFer)-IF(NETWORKDAYS(P868,P868,JoursFeries),MEDIAN(MOD(P868,1),HFer,HOuv),HOuv))*24,4)))/HJour,4),""))</f>
        <v/>
      </c>
      <c r="AY868" s="36" t="str">
        <f aca="false">IF(OR(AO868&lt;&gt;1,AR868=""),"",INDEX(SLA_PEC,AR868))</f>
        <v/>
      </c>
      <c r="AZ868" s="35" t="str">
        <f aca="false">IF(OR(AV868="",AY868=""),"",IF(AV868&lt;=AY868,1,0))</f>
        <v/>
      </c>
      <c r="BA868" s="36" t="str">
        <f aca="false">IF(OR(AO868&lt;&gt;1,AR868=""),"",INDEX(SLA_RES,AR868))</f>
        <v/>
      </c>
      <c r="BB868" s="35" t="str">
        <f aca="false">IF(OR(AW868="",BA868=""),"",IF(AW868&lt;=BA868,1,0))</f>
        <v/>
      </c>
      <c r="BC868" s="38" t="str">
        <f aca="false">IF(OR(BA868="",P868=""),"",WORKDAY(INT(P868),BA868,JoursFeries)+MOD(P868,1))</f>
        <v/>
      </c>
      <c r="BD868" s="39" t="str">
        <f aca="false">IF(AO868&lt;&gt;1,"",IF(OR(AB868&lt;&gt;"",AD868&lt;&gt;""),4,IF(U868&lt;&gt;"",3,IF(T868&lt;&gt;"",2,1))))</f>
        <v/>
      </c>
      <c r="BE868" s="39" t="str">
        <f aca="false">IF(OR(AO868&lt;&gt;1,AR868=""),"",INDEX(NIV_REQ,AR868))</f>
        <v/>
      </c>
      <c r="BF868" s="39" t="str">
        <f aca="false">IF(BE868="","",MAX(BE868,IF(OR(K868="Oui",Z868="Oui"),4,1)))</f>
        <v/>
      </c>
      <c r="BG868" s="35" t="str">
        <f aca="false">IF(OR(BF868="",BD868=""),"",IF(BD868&gt;=BF868,1,0))</f>
        <v/>
      </c>
      <c r="BH868" s="38" t="str">
        <f aca="false">IF(BE868="","",IF(BE868&lt;2,"",IF(BE868=2,IF(AND(T868="",U868=""),"",MIN(T868,U868)),IF(U868="","",U868))))</f>
        <v/>
      </c>
      <c r="BI868" s="37" t="str">
        <f aca="false">IF(BH868="","",IF(OR(O868="",BH868=""),"",IF(BH868&lt;O868,"",ROUND(((NETWORKDAYS(O868,BH868,JoursFeries)-1)*(HFer-HOuv)+IF(NETWORKDAYS(BH868,BH868,JoursFeries),MEDIAN(MOD(BH868,1),HFer,HOuv),HFer)-IF(NETWORKDAYS(O868,O868,JoursFeries),MEDIAN(MOD(O868,1),HFer,HOuv),HOuv))*24,4))))</f>
        <v/>
      </c>
      <c r="BJ868" s="35" t="str">
        <f aca="false">IF(OR(BI868="",AR868=""),"",IF(BI868&lt;=INDEX(DELAI_ESC,AR868),1,0))</f>
        <v/>
      </c>
      <c r="BK868" s="38" t="str">
        <f aca="false">IF(AO868&lt;&gt;1,"",IF(AND(T868="",U868=""),"",MIN(T868,U868)))</f>
        <v/>
      </c>
      <c r="BL868" s="37" t="str">
        <f aca="false">IF(OR(BK868="",R868=""),"",IFERROR(ROUND(IF(OR(BK868="",R868=""),"",IF(R868&lt;BK868,"",ROUND(((NETWORKDAYS(BK868,R868,JoursFeries)-1)*(HFer-HOuv)+IF(NETWORKDAYS(R868,R868,JoursFeries),MEDIAN(MOD(R868,1),HFer,HOuv),HFer)-IF(NETWORKDAYS(BK868,BK868,JoursFeries),MEDIAN(MOD(BK868,1),HFer,HOuv),HOuv))*24,4)))/HJour,4),""))</f>
        <v/>
      </c>
      <c r="BM868" s="35" t="str">
        <f aca="false">IF(OR(AO868&lt;&gt;1,R868=""),"",IF(BD868=1,1,0))</f>
        <v/>
      </c>
      <c r="BN868" s="35" t="str">
        <f aca="false">IF(AO868&lt;&gt;1,"",IF(W868="Oui",1,0))</f>
        <v/>
      </c>
      <c r="BO868" s="35" t="str">
        <f aca="false">IF(AO868&lt;&gt;1,"",IF(X868&lt;&gt;"",1,0))</f>
        <v/>
      </c>
      <c r="BP868" s="35" t="str">
        <f aca="false">IF(AO868&lt;&gt;1,"",IF(Y868="Oui",1,0))</f>
        <v/>
      </c>
      <c r="BQ868" s="35" t="str">
        <f aca="true">IF(OR(AO868&lt;&gt;1,Z868&lt;&gt;"Oui"),"",IF(AB868="",IF(AND(AA868&lt;&gt;"",NOW()&gt;AA868),0,""),IF(AA868="","",IF(AB868&lt;=AA868,1,0))))</f>
        <v/>
      </c>
      <c r="BR868" s="38" t="str">
        <f aca="false">IF(OR(AO868&lt;&gt;1,K868&lt;&gt;"Oui",O868=""),"",IF(AC868="",O868+DORA_H_DET/24,IF(AC868-O868&lt;=DORA_H_DET/24,MIN(AC868+DORA_H_CLA/24,O868+DORA_H_DET/24),AC868+DORA_H_CLA/24)))</f>
        <v/>
      </c>
      <c r="BS868" s="35" t="str">
        <f aca="true">IF(BR868="","",IF(AD868="",IF(NOW()&gt;BR868,0,""),IF(AD868&lt;=BR868,1,0)))</f>
        <v/>
      </c>
      <c r="BT868" s="35" t="str">
        <f aca="true">IF(OR(BR868="",AD868=""),"",IF(AE868="",IF(NOW()&gt;AD868+DORA_H_INT/24,0,""),IF(AE868&lt;=AD868+DORA_H_INT/24,1,0)))</f>
        <v/>
      </c>
      <c r="BU868" s="35" t="str">
        <f aca="true">IF(OR(BR868="",AE868=""),"",IF(AF868="",IF(NOW()&gt;EDATE(AE868,DORA_M_FIN)+1,0,""),IF(AF868&lt;=EDATE(AE868,DORA_M_FIN),1,0)))</f>
        <v/>
      </c>
      <c r="BV868" s="35" t="str">
        <f aca="false">IF(BR868="","",IF(COUNT(BS868:BU868)=0,"",MIN(BS868:BU868)))</f>
        <v/>
      </c>
      <c r="BW868" s="40" t="str">
        <f aca="false">IF(AQ868&lt;&gt;1,"",IF(AND(AG868="",AH868=""),"",N(AG868)-N(AH868)))</f>
        <v/>
      </c>
      <c r="BX868" s="35" t="str">
        <f aca="true">IF(OR(AQ868&lt;&gt;1,AI868&lt;&gt;"Oui",AJ868=""),"",IF(AK868="",IF(NOW()&gt;AJ868+1,0,""),IF(AK868&lt;=AJ868,1,0)))</f>
        <v/>
      </c>
    </row>
    <row r="869" customFormat="false" ht="15" hidden="false" customHeight="false" outlineLevel="0" collapsed="false">
      <c r="B869" s="29"/>
      <c r="C869" s="29"/>
      <c r="D869" s="29"/>
      <c r="E869" s="29"/>
      <c r="F869" s="29"/>
      <c r="G869" s="29"/>
      <c r="H869" s="29"/>
      <c r="I869" s="29"/>
      <c r="J869" s="29"/>
      <c r="K869" s="29"/>
      <c r="L869" s="29"/>
      <c r="M869" s="29"/>
      <c r="N869" s="30"/>
      <c r="O869" s="30"/>
      <c r="P869" s="30"/>
      <c r="Q869" s="30"/>
      <c r="R869" s="30"/>
      <c r="S869" s="30"/>
      <c r="T869" s="30"/>
      <c r="U869" s="30"/>
      <c r="V869" s="31"/>
      <c r="W869" s="29"/>
      <c r="X869" s="29"/>
      <c r="Y869" s="29"/>
      <c r="Z869" s="29"/>
      <c r="AA869" s="30"/>
      <c r="AB869" s="30"/>
      <c r="AC869" s="30"/>
      <c r="AD869" s="30"/>
      <c r="AE869" s="30"/>
      <c r="AF869" s="32"/>
      <c r="AG869" s="33"/>
      <c r="AH869" s="33"/>
      <c r="AI869" s="29"/>
      <c r="AJ869" s="32"/>
      <c r="AK869" s="32"/>
      <c r="AL869" s="29"/>
      <c r="AN869" s="34" t="str">
        <f aca="false">IF($B869="","",IF(OR(C869="",D869="",E869="",G869="",I869="",J869="",L869="",O869="",P869=""),"Champ obligatoire manquant",IF(OR(AND(N869&lt;&gt;"",N869&gt;O869),O869&gt;P869,AND(Q869&lt;&gt;"",Q869&lt;P869),AND(R869&lt;&gt;"",R869&lt;P869),AND(S869&lt;&gt;"",S869&lt;R869),AND(S869&lt;&gt;"",R869=""),AND(T869&lt;&gt;"",T869&lt;O869),AND(U869&lt;&gt;"",U869&lt;O869)),"Chronologie incohérente",IF(AND(OR(L869="Résolu",L869="Clos"),R869=""),"Date de résolution manquante",IF(AND(L869="Clos",S869=""),"Date de clôture manquante",IF(AND(K869="Oui",AC869=""),"Classification DORA manquante","OK"))))))</f>
        <v/>
      </c>
      <c r="AO869" s="35" t="str">
        <f aca="false">IF($B869="","",IF(AND(C869="Incident",L869&lt;&gt;"Annulé"),1,0))</f>
        <v/>
      </c>
      <c r="AP869" s="35" t="str">
        <f aca="false">IF($B869="","",IF(AND(C869="Quasi-incident",L869&lt;&gt;"Annulé"),1,0))</f>
        <v/>
      </c>
      <c r="AQ869" s="35" t="str">
        <f aca="false">IF($B869="","",AO869+AP869)</f>
        <v/>
      </c>
      <c r="AR869" s="36" t="str">
        <f aca="false">IF(OR($B869="",J869=""),"",IFERROR(VALUE(LEFT(J869,1)),""))</f>
        <v/>
      </c>
      <c r="AS869" s="35" t="str">
        <f aca="false">IF(OR(AO869&lt;&gt;1,G869=""),"",IFERROR(IF(INDEX(L_SrcInterne,MATCH(G869,L_Sources,0))="Oui",1,0),""))</f>
        <v/>
      </c>
      <c r="AT869" s="37" t="str">
        <f aca="false">IF(AO869&lt;&gt;1,"",IFERROR(ROUND(IF(OR(N869="",O869=""),"",IF(O869&lt;N869,"",ROUND(((NETWORKDAYS(N869,O869,JoursFeries)-1)*(HFer-HOuv)+IF(NETWORKDAYS(O869,O869,JoursFeries),MEDIAN(MOD(O869,1),HFer,HOuv),HFer)-IF(NETWORKDAYS(N869,N869,JoursFeries),MEDIAN(MOD(N869,1),HFer,HOuv),HOuv))*24,4)))/HJour,4),""))</f>
        <v/>
      </c>
      <c r="AU869" s="37" t="str">
        <f aca="false">IF(AO869&lt;&gt;1,"",IF(OR(O869="",P869=""),"",IF(P869&lt;O869,"",ROUND(((NETWORKDAYS(O869,P869,JoursFeries)-1)*(HFer-HOuv)+IF(NETWORKDAYS(P869,P869,JoursFeries),MEDIAN(MOD(P869,1),HFer,HOuv),HFer)-IF(NETWORKDAYS(O869,O869,JoursFeries),MEDIAN(MOD(O869,1),HFer,HOuv),HOuv))*24,4))))</f>
        <v/>
      </c>
      <c r="AV869" s="37" t="str">
        <f aca="false">IF(AO869&lt;&gt;1,"",IF(OR(P869="",Q869=""),"",IF(Q869&lt;P869,"",ROUND(((NETWORKDAYS(P869,Q869,JoursFeries)-1)*(HFer-HOuv)+IF(NETWORKDAYS(Q869,Q869,JoursFeries),MEDIAN(MOD(Q869,1),HFer,HOuv),HFer)-IF(NETWORKDAYS(P869,P869,JoursFeries),MEDIAN(MOD(P869,1),HFer,HOuv),HOuv))*24,4))))</f>
        <v/>
      </c>
      <c r="AW869" s="37" t="str">
        <f aca="false">IF(AO869&lt;&gt;1,"",IFERROR(ROUND(IF(OR(P869="",R869=""),"",IF(R869&lt;P869,"",ROUND(((NETWORKDAYS(P869,R869,JoursFeries)-1)*(HFer-HOuv)+IF(NETWORKDAYS(R869,R869,JoursFeries),MEDIAN(MOD(R869,1),HFer,HOuv),HFer)-IF(NETWORKDAYS(P869,P869,JoursFeries),MEDIAN(MOD(P869,1),HFer,HOuv),HOuv))*24,4)))/HJour,4),""))</f>
        <v/>
      </c>
      <c r="AX869" s="37" t="str">
        <f aca="false">IF(AO869&lt;&gt;1,"",IFERROR(ROUND(IF(OR(P869="",S869=""),"",IF(S869&lt;P869,"",ROUND(((NETWORKDAYS(P869,S869,JoursFeries)-1)*(HFer-HOuv)+IF(NETWORKDAYS(S869,S869,JoursFeries),MEDIAN(MOD(S869,1),HFer,HOuv),HFer)-IF(NETWORKDAYS(P869,P869,JoursFeries),MEDIAN(MOD(P869,1),HFer,HOuv),HOuv))*24,4)))/HJour,4),""))</f>
        <v/>
      </c>
      <c r="AY869" s="36" t="str">
        <f aca="false">IF(OR(AO869&lt;&gt;1,AR869=""),"",INDEX(SLA_PEC,AR869))</f>
        <v/>
      </c>
      <c r="AZ869" s="35" t="str">
        <f aca="false">IF(OR(AV869="",AY869=""),"",IF(AV869&lt;=AY869,1,0))</f>
        <v/>
      </c>
      <c r="BA869" s="36" t="str">
        <f aca="false">IF(OR(AO869&lt;&gt;1,AR869=""),"",INDEX(SLA_RES,AR869))</f>
        <v/>
      </c>
      <c r="BB869" s="35" t="str">
        <f aca="false">IF(OR(AW869="",BA869=""),"",IF(AW869&lt;=BA869,1,0))</f>
        <v/>
      </c>
      <c r="BC869" s="38" t="str">
        <f aca="false">IF(OR(BA869="",P869=""),"",WORKDAY(INT(P869),BA869,JoursFeries)+MOD(P869,1))</f>
        <v/>
      </c>
      <c r="BD869" s="39" t="str">
        <f aca="false">IF(AO869&lt;&gt;1,"",IF(OR(AB869&lt;&gt;"",AD869&lt;&gt;""),4,IF(U869&lt;&gt;"",3,IF(T869&lt;&gt;"",2,1))))</f>
        <v/>
      </c>
      <c r="BE869" s="39" t="str">
        <f aca="false">IF(OR(AO869&lt;&gt;1,AR869=""),"",INDEX(NIV_REQ,AR869))</f>
        <v/>
      </c>
      <c r="BF869" s="39" t="str">
        <f aca="false">IF(BE869="","",MAX(BE869,IF(OR(K869="Oui",Z869="Oui"),4,1)))</f>
        <v/>
      </c>
      <c r="BG869" s="35" t="str">
        <f aca="false">IF(OR(BF869="",BD869=""),"",IF(BD869&gt;=BF869,1,0))</f>
        <v/>
      </c>
      <c r="BH869" s="38" t="str">
        <f aca="false">IF(BE869="","",IF(BE869&lt;2,"",IF(BE869=2,IF(AND(T869="",U869=""),"",MIN(T869,U869)),IF(U869="","",U869))))</f>
        <v/>
      </c>
      <c r="BI869" s="37" t="str">
        <f aca="false">IF(BH869="","",IF(OR(O869="",BH869=""),"",IF(BH869&lt;O869,"",ROUND(((NETWORKDAYS(O869,BH869,JoursFeries)-1)*(HFer-HOuv)+IF(NETWORKDAYS(BH869,BH869,JoursFeries),MEDIAN(MOD(BH869,1),HFer,HOuv),HFer)-IF(NETWORKDAYS(O869,O869,JoursFeries),MEDIAN(MOD(O869,1),HFer,HOuv),HOuv))*24,4))))</f>
        <v/>
      </c>
      <c r="BJ869" s="35" t="str">
        <f aca="false">IF(OR(BI869="",AR869=""),"",IF(BI869&lt;=INDEX(DELAI_ESC,AR869),1,0))</f>
        <v/>
      </c>
      <c r="BK869" s="38" t="str">
        <f aca="false">IF(AO869&lt;&gt;1,"",IF(AND(T869="",U869=""),"",MIN(T869,U869)))</f>
        <v/>
      </c>
      <c r="BL869" s="37" t="str">
        <f aca="false">IF(OR(BK869="",R869=""),"",IFERROR(ROUND(IF(OR(BK869="",R869=""),"",IF(R869&lt;BK869,"",ROUND(((NETWORKDAYS(BK869,R869,JoursFeries)-1)*(HFer-HOuv)+IF(NETWORKDAYS(R869,R869,JoursFeries),MEDIAN(MOD(R869,1),HFer,HOuv),HFer)-IF(NETWORKDAYS(BK869,BK869,JoursFeries),MEDIAN(MOD(BK869,1),HFer,HOuv),HOuv))*24,4)))/HJour,4),""))</f>
        <v/>
      </c>
      <c r="BM869" s="35" t="str">
        <f aca="false">IF(OR(AO869&lt;&gt;1,R869=""),"",IF(BD869=1,1,0))</f>
        <v/>
      </c>
      <c r="BN869" s="35" t="str">
        <f aca="false">IF(AO869&lt;&gt;1,"",IF(W869="Oui",1,0))</f>
        <v/>
      </c>
      <c r="BO869" s="35" t="str">
        <f aca="false">IF(AO869&lt;&gt;1,"",IF(X869&lt;&gt;"",1,0))</f>
        <v/>
      </c>
      <c r="BP869" s="35" t="str">
        <f aca="false">IF(AO869&lt;&gt;1,"",IF(Y869="Oui",1,0))</f>
        <v/>
      </c>
      <c r="BQ869" s="35" t="str">
        <f aca="true">IF(OR(AO869&lt;&gt;1,Z869&lt;&gt;"Oui"),"",IF(AB869="",IF(AND(AA869&lt;&gt;"",NOW()&gt;AA869),0,""),IF(AA869="","",IF(AB869&lt;=AA869,1,0))))</f>
        <v/>
      </c>
      <c r="BR869" s="38" t="str">
        <f aca="false">IF(OR(AO869&lt;&gt;1,K869&lt;&gt;"Oui",O869=""),"",IF(AC869="",O869+DORA_H_DET/24,IF(AC869-O869&lt;=DORA_H_DET/24,MIN(AC869+DORA_H_CLA/24,O869+DORA_H_DET/24),AC869+DORA_H_CLA/24)))</f>
        <v/>
      </c>
      <c r="BS869" s="35" t="str">
        <f aca="true">IF(BR869="","",IF(AD869="",IF(NOW()&gt;BR869,0,""),IF(AD869&lt;=BR869,1,0)))</f>
        <v/>
      </c>
      <c r="BT869" s="35" t="str">
        <f aca="true">IF(OR(BR869="",AD869=""),"",IF(AE869="",IF(NOW()&gt;AD869+DORA_H_INT/24,0,""),IF(AE869&lt;=AD869+DORA_H_INT/24,1,0)))</f>
        <v/>
      </c>
      <c r="BU869" s="35" t="str">
        <f aca="true">IF(OR(BR869="",AE869=""),"",IF(AF869="",IF(NOW()&gt;EDATE(AE869,DORA_M_FIN)+1,0,""),IF(AF869&lt;=EDATE(AE869,DORA_M_FIN),1,0)))</f>
        <v/>
      </c>
      <c r="BV869" s="35" t="str">
        <f aca="false">IF(BR869="","",IF(COUNT(BS869:BU869)=0,"",MIN(BS869:BU869)))</f>
        <v/>
      </c>
      <c r="BW869" s="40" t="str">
        <f aca="false">IF(AQ869&lt;&gt;1,"",IF(AND(AG869="",AH869=""),"",N(AG869)-N(AH869)))</f>
        <v/>
      </c>
      <c r="BX869" s="35" t="str">
        <f aca="true">IF(OR(AQ869&lt;&gt;1,AI869&lt;&gt;"Oui",AJ869=""),"",IF(AK869="",IF(NOW()&gt;AJ869+1,0,""),IF(AK869&lt;=AJ869,1,0)))</f>
        <v/>
      </c>
    </row>
    <row r="870" customFormat="false" ht="15" hidden="false" customHeight="false" outlineLevel="0" collapsed="false">
      <c r="B870" s="29"/>
      <c r="C870" s="29"/>
      <c r="D870" s="29"/>
      <c r="E870" s="29"/>
      <c r="F870" s="29"/>
      <c r="G870" s="29"/>
      <c r="H870" s="29"/>
      <c r="I870" s="29"/>
      <c r="J870" s="29"/>
      <c r="K870" s="29"/>
      <c r="L870" s="29"/>
      <c r="M870" s="29"/>
      <c r="N870" s="30"/>
      <c r="O870" s="30"/>
      <c r="P870" s="30"/>
      <c r="Q870" s="30"/>
      <c r="R870" s="30"/>
      <c r="S870" s="30"/>
      <c r="T870" s="30"/>
      <c r="U870" s="30"/>
      <c r="V870" s="31"/>
      <c r="W870" s="29"/>
      <c r="X870" s="29"/>
      <c r="Y870" s="29"/>
      <c r="Z870" s="29"/>
      <c r="AA870" s="30"/>
      <c r="AB870" s="30"/>
      <c r="AC870" s="30"/>
      <c r="AD870" s="30"/>
      <c r="AE870" s="30"/>
      <c r="AF870" s="32"/>
      <c r="AG870" s="33"/>
      <c r="AH870" s="33"/>
      <c r="AI870" s="29"/>
      <c r="AJ870" s="32"/>
      <c r="AK870" s="32"/>
      <c r="AL870" s="29"/>
      <c r="AN870" s="34" t="str">
        <f aca="false">IF($B870="","",IF(OR(C870="",D870="",E870="",G870="",I870="",J870="",L870="",O870="",P870=""),"Champ obligatoire manquant",IF(OR(AND(N870&lt;&gt;"",N870&gt;O870),O870&gt;P870,AND(Q870&lt;&gt;"",Q870&lt;P870),AND(R870&lt;&gt;"",R870&lt;P870),AND(S870&lt;&gt;"",S870&lt;R870),AND(S870&lt;&gt;"",R870=""),AND(T870&lt;&gt;"",T870&lt;O870),AND(U870&lt;&gt;"",U870&lt;O870)),"Chronologie incohérente",IF(AND(OR(L870="Résolu",L870="Clos"),R870=""),"Date de résolution manquante",IF(AND(L870="Clos",S870=""),"Date de clôture manquante",IF(AND(K870="Oui",AC870=""),"Classification DORA manquante","OK"))))))</f>
        <v/>
      </c>
      <c r="AO870" s="35" t="str">
        <f aca="false">IF($B870="","",IF(AND(C870="Incident",L870&lt;&gt;"Annulé"),1,0))</f>
        <v/>
      </c>
      <c r="AP870" s="35" t="str">
        <f aca="false">IF($B870="","",IF(AND(C870="Quasi-incident",L870&lt;&gt;"Annulé"),1,0))</f>
        <v/>
      </c>
      <c r="AQ870" s="35" t="str">
        <f aca="false">IF($B870="","",AO870+AP870)</f>
        <v/>
      </c>
      <c r="AR870" s="36" t="str">
        <f aca="false">IF(OR($B870="",J870=""),"",IFERROR(VALUE(LEFT(J870,1)),""))</f>
        <v/>
      </c>
      <c r="AS870" s="35" t="str">
        <f aca="false">IF(OR(AO870&lt;&gt;1,G870=""),"",IFERROR(IF(INDEX(L_SrcInterne,MATCH(G870,L_Sources,0))="Oui",1,0),""))</f>
        <v/>
      </c>
      <c r="AT870" s="37" t="str">
        <f aca="false">IF(AO870&lt;&gt;1,"",IFERROR(ROUND(IF(OR(N870="",O870=""),"",IF(O870&lt;N870,"",ROUND(((NETWORKDAYS(N870,O870,JoursFeries)-1)*(HFer-HOuv)+IF(NETWORKDAYS(O870,O870,JoursFeries),MEDIAN(MOD(O870,1),HFer,HOuv),HFer)-IF(NETWORKDAYS(N870,N870,JoursFeries),MEDIAN(MOD(N870,1),HFer,HOuv),HOuv))*24,4)))/HJour,4),""))</f>
        <v/>
      </c>
      <c r="AU870" s="37" t="str">
        <f aca="false">IF(AO870&lt;&gt;1,"",IF(OR(O870="",P870=""),"",IF(P870&lt;O870,"",ROUND(((NETWORKDAYS(O870,P870,JoursFeries)-1)*(HFer-HOuv)+IF(NETWORKDAYS(P870,P870,JoursFeries),MEDIAN(MOD(P870,1),HFer,HOuv),HFer)-IF(NETWORKDAYS(O870,O870,JoursFeries),MEDIAN(MOD(O870,1),HFer,HOuv),HOuv))*24,4))))</f>
        <v/>
      </c>
      <c r="AV870" s="37" t="str">
        <f aca="false">IF(AO870&lt;&gt;1,"",IF(OR(P870="",Q870=""),"",IF(Q870&lt;P870,"",ROUND(((NETWORKDAYS(P870,Q870,JoursFeries)-1)*(HFer-HOuv)+IF(NETWORKDAYS(Q870,Q870,JoursFeries),MEDIAN(MOD(Q870,1),HFer,HOuv),HFer)-IF(NETWORKDAYS(P870,P870,JoursFeries),MEDIAN(MOD(P870,1),HFer,HOuv),HOuv))*24,4))))</f>
        <v/>
      </c>
      <c r="AW870" s="37" t="str">
        <f aca="false">IF(AO870&lt;&gt;1,"",IFERROR(ROUND(IF(OR(P870="",R870=""),"",IF(R870&lt;P870,"",ROUND(((NETWORKDAYS(P870,R870,JoursFeries)-1)*(HFer-HOuv)+IF(NETWORKDAYS(R870,R870,JoursFeries),MEDIAN(MOD(R870,1),HFer,HOuv),HFer)-IF(NETWORKDAYS(P870,P870,JoursFeries),MEDIAN(MOD(P870,1),HFer,HOuv),HOuv))*24,4)))/HJour,4),""))</f>
        <v/>
      </c>
      <c r="AX870" s="37" t="str">
        <f aca="false">IF(AO870&lt;&gt;1,"",IFERROR(ROUND(IF(OR(P870="",S870=""),"",IF(S870&lt;P870,"",ROUND(((NETWORKDAYS(P870,S870,JoursFeries)-1)*(HFer-HOuv)+IF(NETWORKDAYS(S870,S870,JoursFeries),MEDIAN(MOD(S870,1),HFer,HOuv),HFer)-IF(NETWORKDAYS(P870,P870,JoursFeries),MEDIAN(MOD(P870,1),HFer,HOuv),HOuv))*24,4)))/HJour,4),""))</f>
        <v/>
      </c>
      <c r="AY870" s="36" t="str">
        <f aca="false">IF(OR(AO870&lt;&gt;1,AR870=""),"",INDEX(SLA_PEC,AR870))</f>
        <v/>
      </c>
      <c r="AZ870" s="35" t="str">
        <f aca="false">IF(OR(AV870="",AY870=""),"",IF(AV870&lt;=AY870,1,0))</f>
        <v/>
      </c>
      <c r="BA870" s="36" t="str">
        <f aca="false">IF(OR(AO870&lt;&gt;1,AR870=""),"",INDEX(SLA_RES,AR870))</f>
        <v/>
      </c>
      <c r="BB870" s="35" t="str">
        <f aca="false">IF(OR(AW870="",BA870=""),"",IF(AW870&lt;=BA870,1,0))</f>
        <v/>
      </c>
      <c r="BC870" s="38" t="str">
        <f aca="false">IF(OR(BA870="",P870=""),"",WORKDAY(INT(P870),BA870,JoursFeries)+MOD(P870,1))</f>
        <v/>
      </c>
      <c r="BD870" s="39" t="str">
        <f aca="false">IF(AO870&lt;&gt;1,"",IF(OR(AB870&lt;&gt;"",AD870&lt;&gt;""),4,IF(U870&lt;&gt;"",3,IF(T870&lt;&gt;"",2,1))))</f>
        <v/>
      </c>
      <c r="BE870" s="39" t="str">
        <f aca="false">IF(OR(AO870&lt;&gt;1,AR870=""),"",INDEX(NIV_REQ,AR870))</f>
        <v/>
      </c>
      <c r="BF870" s="39" t="str">
        <f aca="false">IF(BE870="","",MAX(BE870,IF(OR(K870="Oui",Z870="Oui"),4,1)))</f>
        <v/>
      </c>
      <c r="BG870" s="35" t="str">
        <f aca="false">IF(OR(BF870="",BD870=""),"",IF(BD870&gt;=BF870,1,0))</f>
        <v/>
      </c>
      <c r="BH870" s="38" t="str">
        <f aca="false">IF(BE870="","",IF(BE870&lt;2,"",IF(BE870=2,IF(AND(T870="",U870=""),"",MIN(T870,U870)),IF(U870="","",U870))))</f>
        <v/>
      </c>
      <c r="BI870" s="37" t="str">
        <f aca="false">IF(BH870="","",IF(OR(O870="",BH870=""),"",IF(BH870&lt;O870,"",ROUND(((NETWORKDAYS(O870,BH870,JoursFeries)-1)*(HFer-HOuv)+IF(NETWORKDAYS(BH870,BH870,JoursFeries),MEDIAN(MOD(BH870,1),HFer,HOuv),HFer)-IF(NETWORKDAYS(O870,O870,JoursFeries),MEDIAN(MOD(O870,1),HFer,HOuv),HOuv))*24,4))))</f>
        <v/>
      </c>
      <c r="BJ870" s="35" t="str">
        <f aca="false">IF(OR(BI870="",AR870=""),"",IF(BI870&lt;=INDEX(DELAI_ESC,AR870),1,0))</f>
        <v/>
      </c>
      <c r="BK870" s="38" t="str">
        <f aca="false">IF(AO870&lt;&gt;1,"",IF(AND(T870="",U870=""),"",MIN(T870,U870)))</f>
        <v/>
      </c>
      <c r="BL870" s="37" t="str">
        <f aca="false">IF(OR(BK870="",R870=""),"",IFERROR(ROUND(IF(OR(BK870="",R870=""),"",IF(R870&lt;BK870,"",ROUND(((NETWORKDAYS(BK870,R870,JoursFeries)-1)*(HFer-HOuv)+IF(NETWORKDAYS(R870,R870,JoursFeries),MEDIAN(MOD(R870,1),HFer,HOuv),HFer)-IF(NETWORKDAYS(BK870,BK870,JoursFeries),MEDIAN(MOD(BK870,1),HFer,HOuv),HOuv))*24,4)))/HJour,4),""))</f>
        <v/>
      </c>
      <c r="BM870" s="35" t="str">
        <f aca="false">IF(OR(AO870&lt;&gt;1,R870=""),"",IF(BD870=1,1,0))</f>
        <v/>
      </c>
      <c r="BN870" s="35" t="str">
        <f aca="false">IF(AO870&lt;&gt;1,"",IF(W870="Oui",1,0))</f>
        <v/>
      </c>
      <c r="BO870" s="35" t="str">
        <f aca="false">IF(AO870&lt;&gt;1,"",IF(X870&lt;&gt;"",1,0))</f>
        <v/>
      </c>
      <c r="BP870" s="35" t="str">
        <f aca="false">IF(AO870&lt;&gt;1,"",IF(Y870="Oui",1,0))</f>
        <v/>
      </c>
      <c r="BQ870" s="35" t="str">
        <f aca="true">IF(OR(AO870&lt;&gt;1,Z870&lt;&gt;"Oui"),"",IF(AB870="",IF(AND(AA870&lt;&gt;"",NOW()&gt;AA870),0,""),IF(AA870="","",IF(AB870&lt;=AA870,1,0))))</f>
        <v/>
      </c>
      <c r="BR870" s="38" t="str">
        <f aca="false">IF(OR(AO870&lt;&gt;1,K870&lt;&gt;"Oui",O870=""),"",IF(AC870="",O870+DORA_H_DET/24,IF(AC870-O870&lt;=DORA_H_DET/24,MIN(AC870+DORA_H_CLA/24,O870+DORA_H_DET/24),AC870+DORA_H_CLA/24)))</f>
        <v/>
      </c>
      <c r="BS870" s="35" t="str">
        <f aca="true">IF(BR870="","",IF(AD870="",IF(NOW()&gt;BR870,0,""),IF(AD870&lt;=BR870,1,0)))</f>
        <v/>
      </c>
      <c r="BT870" s="35" t="str">
        <f aca="true">IF(OR(BR870="",AD870=""),"",IF(AE870="",IF(NOW()&gt;AD870+DORA_H_INT/24,0,""),IF(AE870&lt;=AD870+DORA_H_INT/24,1,0)))</f>
        <v/>
      </c>
      <c r="BU870" s="35" t="str">
        <f aca="true">IF(OR(BR870="",AE870=""),"",IF(AF870="",IF(NOW()&gt;EDATE(AE870,DORA_M_FIN)+1,0,""),IF(AF870&lt;=EDATE(AE870,DORA_M_FIN),1,0)))</f>
        <v/>
      </c>
      <c r="BV870" s="35" t="str">
        <f aca="false">IF(BR870="","",IF(COUNT(BS870:BU870)=0,"",MIN(BS870:BU870)))</f>
        <v/>
      </c>
      <c r="BW870" s="40" t="str">
        <f aca="false">IF(AQ870&lt;&gt;1,"",IF(AND(AG870="",AH870=""),"",N(AG870)-N(AH870)))</f>
        <v/>
      </c>
      <c r="BX870" s="35" t="str">
        <f aca="true">IF(OR(AQ870&lt;&gt;1,AI870&lt;&gt;"Oui",AJ870=""),"",IF(AK870="",IF(NOW()&gt;AJ870+1,0,""),IF(AK870&lt;=AJ870,1,0)))</f>
        <v/>
      </c>
    </row>
    <row r="871" customFormat="false" ht="15" hidden="false" customHeight="false" outlineLevel="0" collapsed="false">
      <c r="B871" s="29"/>
      <c r="C871" s="29"/>
      <c r="D871" s="29"/>
      <c r="E871" s="29"/>
      <c r="F871" s="29"/>
      <c r="G871" s="29"/>
      <c r="H871" s="29"/>
      <c r="I871" s="29"/>
      <c r="J871" s="29"/>
      <c r="K871" s="29"/>
      <c r="L871" s="29"/>
      <c r="M871" s="29"/>
      <c r="N871" s="30"/>
      <c r="O871" s="30"/>
      <c r="P871" s="30"/>
      <c r="Q871" s="30"/>
      <c r="R871" s="30"/>
      <c r="S871" s="30"/>
      <c r="T871" s="30"/>
      <c r="U871" s="30"/>
      <c r="V871" s="31"/>
      <c r="W871" s="29"/>
      <c r="X871" s="29"/>
      <c r="Y871" s="29"/>
      <c r="Z871" s="29"/>
      <c r="AA871" s="30"/>
      <c r="AB871" s="30"/>
      <c r="AC871" s="30"/>
      <c r="AD871" s="30"/>
      <c r="AE871" s="30"/>
      <c r="AF871" s="32"/>
      <c r="AG871" s="33"/>
      <c r="AH871" s="33"/>
      <c r="AI871" s="29"/>
      <c r="AJ871" s="32"/>
      <c r="AK871" s="32"/>
      <c r="AL871" s="29"/>
      <c r="AN871" s="34" t="str">
        <f aca="false">IF($B871="","",IF(OR(C871="",D871="",E871="",G871="",I871="",J871="",L871="",O871="",P871=""),"Champ obligatoire manquant",IF(OR(AND(N871&lt;&gt;"",N871&gt;O871),O871&gt;P871,AND(Q871&lt;&gt;"",Q871&lt;P871),AND(R871&lt;&gt;"",R871&lt;P871),AND(S871&lt;&gt;"",S871&lt;R871),AND(S871&lt;&gt;"",R871=""),AND(T871&lt;&gt;"",T871&lt;O871),AND(U871&lt;&gt;"",U871&lt;O871)),"Chronologie incohérente",IF(AND(OR(L871="Résolu",L871="Clos"),R871=""),"Date de résolution manquante",IF(AND(L871="Clos",S871=""),"Date de clôture manquante",IF(AND(K871="Oui",AC871=""),"Classification DORA manquante","OK"))))))</f>
        <v/>
      </c>
      <c r="AO871" s="35" t="str">
        <f aca="false">IF($B871="","",IF(AND(C871="Incident",L871&lt;&gt;"Annulé"),1,0))</f>
        <v/>
      </c>
      <c r="AP871" s="35" t="str">
        <f aca="false">IF($B871="","",IF(AND(C871="Quasi-incident",L871&lt;&gt;"Annulé"),1,0))</f>
        <v/>
      </c>
      <c r="AQ871" s="35" t="str">
        <f aca="false">IF($B871="","",AO871+AP871)</f>
        <v/>
      </c>
      <c r="AR871" s="36" t="str">
        <f aca="false">IF(OR($B871="",J871=""),"",IFERROR(VALUE(LEFT(J871,1)),""))</f>
        <v/>
      </c>
      <c r="AS871" s="35" t="str">
        <f aca="false">IF(OR(AO871&lt;&gt;1,G871=""),"",IFERROR(IF(INDEX(L_SrcInterne,MATCH(G871,L_Sources,0))="Oui",1,0),""))</f>
        <v/>
      </c>
      <c r="AT871" s="37" t="str">
        <f aca="false">IF(AO871&lt;&gt;1,"",IFERROR(ROUND(IF(OR(N871="",O871=""),"",IF(O871&lt;N871,"",ROUND(((NETWORKDAYS(N871,O871,JoursFeries)-1)*(HFer-HOuv)+IF(NETWORKDAYS(O871,O871,JoursFeries),MEDIAN(MOD(O871,1),HFer,HOuv),HFer)-IF(NETWORKDAYS(N871,N871,JoursFeries),MEDIAN(MOD(N871,1),HFer,HOuv),HOuv))*24,4)))/HJour,4),""))</f>
        <v/>
      </c>
      <c r="AU871" s="37" t="str">
        <f aca="false">IF(AO871&lt;&gt;1,"",IF(OR(O871="",P871=""),"",IF(P871&lt;O871,"",ROUND(((NETWORKDAYS(O871,P871,JoursFeries)-1)*(HFer-HOuv)+IF(NETWORKDAYS(P871,P871,JoursFeries),MEDIAN(MOD(P871,1),HFer,HOuv),HFer)-IF(NETWORKDAYS(O871,O871,JoursFeries),MEDIAN(MOD(O871,1),HFer,HOuv),HOuv))*24,4))))</f>
        <v/>
      </c>
      <c r="AV871" s="37" t="str">
        <f aca="false">IF(AO871&lt;&gt;1,"",IF(OR(P871="",Q871=""),"",IF(Q871&lt;P871,"",ROUND(((NETWORKDAYS(P871,Q871,JoursFeries)-1)*(HFer-HOuv)+IF(NETWORKDAYS(Q871,Q871,JoursFeries),MEDIAN(MOD(Q871,1),HFer,HOuv),HFer)-IF(NETWORKDAYS(P871,P871,JoursFeries),MEDIAN(MOD(P871,1),HFer,HOuv),HOuv))*24,4))))</f>
        <v/>
      </c>
      <c r="AW871" s="37" t="str">
        <f aca="false">IF(AO871&lt;&gt;1,"",IFERROR(ROUND(IF(OR(P871="",R871=""),"",IF(R871&lt;P871,"",ROUND(((NETWORKDAYS(P871,R871,JoursFeries)-1)*(HFer-HOuv)+IF(NETWORKDAYS(R871,R871,JoursFeries),MEDIAN(MOD(R871,1),HFer,HOuv),HFer)-IF(NETWORKDAYS(P871,P871,JoursFeries),MEDIAN(MOD(P871,1),HFer,HOuv),HOuv))*24,4)))/HJour,4),""))</f>
        <v/>
      </c>
      <c r="AX871" s="37" t="str">
        <f aca="false">IF(AO871&lt;&gt;1,"",IFERROR(ROUND(IF(OR(P871="",S871=""),"",IF(S871&lt;P871,"",ROUND(((NETWORKDAYS(P871,S871,JoursFeries)-1)*(HFer-HOuv)+IF(NETWORKDAYS(S871,S871,JoursFeries),MEDIAN(MOD(S871,1),HFer,HOuv),HFer)-IF(NETWORKDAYS(P871,P871,JoursFeries),MEDIAN(MOD(P871,1),HFer,HOuv),HOuv))*24,4)))/HJour,4),""))</f>
        <v/>
      </c>
      <c r="AY871" s="36" t="str">
        <f aca="false">IF(OR(AO871&lt;&gt;1,AR871=""),"",INDEX(SLA_PEC,AR871))</f>
        <v/>
      </c>
      <c r="AZ871" s="35" t="str">
        <f aca="false">IF(OR(AV871="",AY871=""),"",IF(AV871&lt;=AY871,1,0))</f>
        <v/>
      </c>
      <c r="BA871" s="36" t="str">
        <f aca="false">IF(OR(AO871&lt;&gt;1,AR871=""),"",INDEX(SLA_RES,AR871))</f>
        <v/>
      </c>
      <c r="BB871" s="35" t="str">
        <f aca="false">IF(OR(AW871="",BA871=""),"",IF(AW871&lt;=BA871,1,0))</f>
        <v/>
      </c>
      <c r="BC871" s="38" t="str">
        <f aca="false">IF(OR(BA871="",P871=""),"",WORKDAY(INT(P871),BA871,JoursFeries)+MOD(P871,1))</f>
        <v/>
      </c>
      <c r="BD871" s="39" t="str">
        <f aca="false">IF(AO871&lt;&gt;1,"",IF(OR(AB871&lt;&gt;"",AD871&lt;&gt;""),4,IF(U871&lt;&gt;"",3,IF(T871&lt;&gt;"",2,1))))</f>
        <v/>
      </c>
      <c r="BE871" s="39" t="str">
        <f aca="false">IF(OR(AO871&lt;&gt;1,AR871=""),"",INDEX(NIV_REQ,AR871))</f>
        <v/>
      </c>
      <c r="BF871" s="39" t="str">
        <f aca="false">IF(BE871="","",MAX(BE871,IF(OR(K871="Oui",Z871="Oui"),4,1)))</f>
        <v/>
      </c>
      <c r="BG871" s="35" t="str">
        <f aca="false">IF(OR(BF871="",BD871=""),"",IF(BD871&gt;=BF871,1,0))</f>
        <v/>
      </c>
      <c r="BH871" s="38" t="str">
        <f aca="false">IF(BE871="","",IF(BE871&lt;2,"",IF(BE871=2,IF(AND(T871="",U871=""),"",MIN(T871,U871)),IF(U871="","",U871))))</f>
        <v/>
      </c>
      <c r="BI871" s="37" t="str">
        <f aca="false">IF(BH871="","",IF(OR(O871="",BH871=""),"",IF(BH871&lt;O871,"",ROUND(((NETWORKDAYS(O871,BH871,JoursFeries)-1)*(HFer-HOuv)+IF(NETWORKDAYS(BH871,BH871,JoursFeries),MEDIAN(MOD(BH871,1),HFer,HOuv),HFer)-IF(NETWORKDAYS(O871,O871,JoursFeries),MEDIAN(MOD(O871,1),HFer,HOuv),HOuv))*24,4))))</f>
        <v/>
      </c>
      <c r="BJ871" s="35" t="str">
        <f aca="false">IF(OR(BI871="",AR871=""),"",IF(BI871&lt;=INDEX(DELAI_ESC,AR871),1,0))</f>
        <v/>
      </c>
      <c r="BK871" s="38" t="str">
        <f aca="false">IF(AO871&lt;&gt;1,"",IF(AND(T871="",U871=""),"",MIN(T871,U871)))</f>
        <v/>
      </c>
      <c r="BL871" s="37" t="str">
        <f aca="false">IF(OR(BK871="",R871=""),"",IFERROR(ROUND(IF(OR(BK871="",R871=""),"",IF(R871&lt;BK871,"",ROUND(((NETWORKDAYS(BK871,R871,JoursFeries)-1)*(HFer-HOuv)+IF(NETWORKDAYS(R871,R871,JoursFeries),MEDIAN(MOD(R871,1),HFer,HOuv),HFer)-IF(NETWORKDAYS(BK871,BK871,JoursFeries),MEDIAN(MOD(BK871,1),HFer,HOuv),HOuv))*24,4)))/HJour,4),""))</f>
        <v/>
      </c>
      <c r="BM871" s="35" t="str">
        <f aca="false">IF(OR(AO871&lt;&gt;1,R871=""),"",IF(BD871=1,1,0))</f>
        <v/>
      </c>
      <c r="BN871" s="35" t="str">
        <f aca="false">IF(AO871&lt;&gt;1,"",IF(W871="Oui",1,0))</f>
        <v/>
      </c>
      <c r="BO871" s="35" t="str">
        <f aca="false">IF(AO871&lt;&gt;1,"",IF(X871&lt;&gt;"",1,0))</f>
        <v/>
      </c>
      <c r="BP871" s="35" t="str">
        <f aca="false">IF(AO871&lt;&gt;1,"",IF(Y871="Oui",1,0))</f>
        <v/>
      </c>
      <c r="BQ871" s="35" t="str">
        <f aca="true">IF(OR(AO871&lt;&gt;1,Z871&lt;&gt;"Oui"),"",IF(AB871="",IF(AND(AA871&lt;&gt;"",NOW()&gt;AA871),0,""),IF(AA871="","",IF(AB871&lt;=AA871,1,0))))</f>
        <v/>
      </c>
      <c r="BR871" s="38" t="str">
        <f aca="false">IF(OR(AO871&lt;&gt;1,K871&lt;&gt;"Oui",O871=""),"",IF(AC871="",O871+DORA_H_DET/24,IF(AC871-O871&lt;=DORA_H_DET/24,MIN(AC871+DORA_H_CLA/24,O871+DORA_H_DET/24),AC871+DORA_H_CLA/24)))</f>
        <v/>
      </c>
      <c r="BS871" s="35" t="str">
        <f aca="true">IF(BR871="","",IF(AD871="",IF(NOW()&gt;BR871,0,""),IF(AD871&lt;=BR871,1,0)))</f>
        <v/>
      </c>
      <c r="BT871" s="35" t="str">
        <f aca="true">IF(OR(BR871="",AD871=""),"",IF(AE871="",IF(NOW()&gt;AD871+DORA_H_INT/24,0,""),IF(AE871&lt;=AD871+DORA_H_INT/24,1,0)))</f>
        <v/>
      </c>
      <c r="BU871" s="35" t="str">
        <f aca="true">IF(OR(BR871="",AE871=""),"",IF(AF871="",IF(NOW()&gt;EDATE(AE871,DORA_M_FIN)+1,0,""),IF(AF871&lt;=EDATE(AE871,DORA_M_FIN),1,0)))</f>
        <v/>
      </c>
      <c r="BV871" s="35" t="str">
        <f aca="false">IF(BR871="","",IF(COUNT(BS871:BU871)=0,"",MIN(BS871:BU871)))</f>
        <v/>
      </c>
      <c r="BW871" s="40" t="str">
        <f aca="false">IF(AQ871&lt;&gt;1,"",IF(AND(AG871="",AH871=""),"",N(AG871)-N(AH871)))</f>
        <v/>
      </c>
      <c r="BX871" s="35" t="str">
        <f aca="true">IF(OR(AQ871&lt;&gt;1,AI871&lt;&gt;"Oui",AJ871=""),"",IF(AK871="",IF(NOW()&gt;AJ871+1,0,""),IF(AK871&lt;=AJ871,1,0)))</f>
        <v/>
      </c>
    </row>
    <row r="872" customFormat="false" ht="15" hidden="false" customHeight="false" outlineLevel="0" collapsed="false">
      <c r="B872" s="29"/>
      <c r="C872" s="29"/>
      <c r="D872" s="29"/>
      <c r="E872" s="29"/>
      <c r="F872" s="29"/>
      <c r="G872" s="29"/>
      <c r="H872" s="29"/>
      <c r="I872" s="29"/>
      <c r="J872" s="29"/>
      <c r="K872" s="29"/>
      <c r="L872" s="29"/>
      <c r="M872" s="29"/>
      <c r="N872" s="30"/>
      <c r="O872" s="30"/>
      <c r="P872" s="30"/>
      <c r="Q872" s="30"/>
      <c r="R872" s="30"/>
      <c r="S872" s="30"/>
      <c r="T872" s="30"/>
      <c r="U872" s="30"/>
      <c r="V872" s="31"/>
      <c r="W872" s="29"/>
      <c r="X872" s="29"/>
      <c r="Y872" s="29"/>
      <c r="Z872" s="29"/>
      <c r="AA872" s="30"/>
      <c r="AB872" s="30"/>
      <c r="AC872" s="30"/>
      <c r="AD872" s="30"/>
      <c r="AE872" s="30"/>
      <c r="AF872" s="32"/>
      <c r="AG872" s="33"/>
      <c r="AH872" s="33"/>
      <c r="AI872" s="29"/>
      <c r="AJ872" s="32"/>
      <c r="AK872" s="32"/>
      <c r="AL872" s="29"/>
      <c r="AN872" s="34" t="str">
        <f aca="false">IF($B872="","",IF(OR(C872="",D872="",E872="",G872="",I872="",J872="",L872="",O872="",P872=""),"Champ obligatoire manquant",IF(OR(AND(N872&lt;&gt;"",N872&gt;O872),O872&gt;P872,AND(Q872&lt;&gt;"",Q872&lt;P872),AND(R872&lt;&gt;"",R872&lt;P872),AND(S872&lt;&gt;"",S872&lt;R872),AND(S872&lt;&gt;"",R872=""),AND(T872&lt;&gt;"",T872&lt;O872),AND(U872&lt;&gt;"",U872&lt;O872)),"Chronologie incohérente",IF(AND(OR(L872="Résolu",L872="Clos"),R872=""),"Date de résolution manquante",IF(AND(L872="Clos",S872=""),"Date de clôture manquante",IF(AND(K872="Oui",AC872=""),"Classification DORA manquante","OK"))))))</f>
        <v/>
      </c>
      <c r="AO872" s="35" t="str">
        <f aca="false">IF($B872="","",IF(AND(C872="Incident",L872&lt;&gt;"Annulé"),1,0))</f>
        <v/>
      </c>
      <c r="AP872" s="35" t="str">
        <f aca="false">IF($B872="","",IF(AND(C872="Quasi-incident",L872&lt;&gt;"Annulé"),1,0))</f>
        <v/>
      </c>
      <c r="AQ872" s="35" t="str">
        <f aca="false">IF($B872="","",AO872+AP872)</f>
        <v/>
      </c>
      <c r="AR872" s="36" t="str">
        <f aca="false">IF(OR($B872="",J872=""),"",IFERROR(VALUE(LEFT(J872,1)),""))</f>
        <v/>
      </c>
      <c r="AS872" s="35" t="str">
        <f aca="false">IF(OR(AO872&lt;&gt;1,G872=""),"",IFERROR(IF(INDEX(L_SrcInterne,MATCH(G872,L_Sources,0))="Oui",1,0),""))</f>
        <v/>
      </c>
      <c r="AT872" s="37" t="str">
        <f aca="false">IF(AO872&lt;&gt;1,"",IFERROR(ROUND(IF(OR(N872="",O872=""),"",IF(O872&lt;N872,"",ROUND(((NETWORKDAYS(N872,O872,JoursFeries)-1)*(HFer-HOuv)+IF(NETWORKDAYS(O872,O872,JoursFeries),MEDIAN(MOD(O872,1),HFer,HOuv),HFer)-IF(NETWORKDAYS(N872,N872,JoursFeries),MEDIAN(MOD(N872,1),HFer,HOuv),HOuv))*24,4)))/HJour,4),""))</f>
        <v/>
      </c>
      <c r="AU872" s="37" t="str">
        <f aca="false">IF(AO872&lt;&gt;1,"",IF(OR(O872="",P872=""),"",IF(P872&lt;O872,"",ROUND(((NETWORKDAYS(O872,P872,JoursFeries)-1)*(HFer-HOuv)+IF(NETWORKDAYS(P872,P872,JoursFeries),MEDIAN(MOD(P872,1),HFer,HOuv),HFer)-IF(NETWORKDAYS(O872,O872,JoursFeries),MEDIAN(MOD(O872,1),HFer,HOuv),HOuv))*24,4))))</f>
        <v/>
      </c>
      <c r="AV872" s="37" t="str">
        <f aca="false">IF(AO872&lt;&gt;1,"",IF(OR(P872="",Q872=""),"",IF(Q872&lt;P872,"",ROUND(((NETWORKDAYS(P872,Q872,JoursFeries)-1)*(HFer-HOuv)+IF(NETWORKDAYS(Q872,Q872,JoursFeries),MEDIAN(MOD(Q872,1),HFer,HOuv),HFer)-IF(NETWORKDAYS(P872,P872,JoursFeries),MEDIAN(MOD(P872,1),HFer,HOuv),HOuv))*24,4))))</f>
        <v/>
      </c>
      <c r="AW872" s="37" t="str">
        <f aca="false">IF(AO872&lt;&gt;1,"",IFERROR(ROUND(IF(OR(P872="",R872=""),"",IF(R872&lt;P872,"",ROUND(((NETWORKDAYS(P872,R872,JoursFeries)-1)*(HFer-HOuv)+IF(NETWORKDAYS(R872,R872,JoursFeries),MEDIAN(MOD(R872,1),HFer,HOuv),HFer)-IF(NETWORKDAYS(P872,P872,JoursFeries),MEDIAN(MOD(P872,1),HFer,HOuv),HOuv))*24,4)))/HJour,4),""))</f>
        <v/>
      </c>
      <c r="AX872" s="37" t="str">
        <f aca="false">IF(AO872&lt;&gt;1,"",IFERROR(ROUND(IF(OR(P872="",S872=""),"",IF(S872&lt;P872,"",ROUND(((NETWORKDAYS(P872,S872,JoursFeries)-1)*(HFer-HOuv)+IF(NETWORKDAYS(S872,S872,JoursFeries),MEDIAN(MOD(S872,1),HFer,HOuv),HFer)-IF(NETWORKDAYS(P872,P872,JoursFeries),MEDIAN(MOD(P872,1),HFer,HOuv),HOuv))*24,4)))/HJour,4),""))</f>
        <v/>
      </c>
      <c r="AY872" s="36" t="str">
        <f aca="false">IF(OR(AO872&lt;&gt;1,AR872=""),"",INDEX(SLA_PEC,AR872))</f>
        <v/>
      </c>
      <c r="AZ872" s="35" t="str">
        <f aca="false">IF(OR(AV872="",AY872=""),"",IF(AV872&lt;=AY872,1,0))</f>
        <v/>
      </c>
      <c r="BA872" s="36" t="str">
        <f aca="false">IF(OR(AO872&lt;&gt;1,AR872=""),"",INDEX(SLA_RES,AR872))</f>
        <v/>
      </c>
      <c r="BB872" s="35" t="str">
        <f aca="false">IF(OR(AW872="",BA872=""),"",IF(AW872&lt;=BA872,1,0))</f>
        <v/>
      </c>
      <c r="BC872" s="38" t="str">
        <f aca="false">IF(OR(BA872="",P872=""),"",WORKDAY(INT(P872),BA872,JoursFeries)+MOD(P872,1))</f>
        <v/>
      </c>
      <c r="BD872" s="39" t="str">
        <f aca="false">IF(AO872&lt;&gt;1,"",IF(OR(AB872&lt;&gt;"",AD872&lt;&gt;""),4,IF(U872&lt;&gt;"",3,IF(T872&lt;&gt;"",2,1))))</f>
        <v/>
      </c>
      <c r="BE872" s="39" t="str">
        <f aca="false">IF(OR(AO872&lt;&gt;1,AR872=""),"",INDEX(NIV_REQ,AR872))</f>
        <v/>
      </c>
      <c r="BF872" s="39" t="str">
        <f aca="false">IF(BE872="","",MAX(BE872,IF(OR(K872="Oui",Z872="Oui"),4,1)))</f>
        <v/>
      </c>
      <c r="BG872" s="35" t="str">
        <f aca="false">IF(OR(BF872="",BD872=""),"",IF(BD872&gt;=BF872,1,0))</f>
        <v/>
      </c>
      <c r="BH872" s="38" t="str">
        <f aca="false">IF(BE872="","",IF(BE872&lt;2,"",IF(BE872=2,IF(AND(T872="",U872=""),"",MIN(T872,U872)),IF(U872="","",U872))))</f>
        <v/>
      </c>
      <c r="BI872" s="37" t="str">
        <f aca="false">IF(BH872="","",IF(OR(O872="",BH872=""),"",IF(BH872&lt;O872,"",ROUND(((NETWORKDAYS(O872,BH872,JoursFeries)-1)*(HFer-HOuv)+IF(NETWORKDAYS(BH872,BH872,JoursFeries),MEDIAN(MOD(BH872,1),HFer,HOuv),HFer)-IF(NETWORKDAYS(O872,O872,JoursFeries),MEDIAN(MOD(O872,1),HFer,HOuv),HOuv))*24,4))))</f>
        <v/>
      </c>
      <c r="BJ872" s="35" t="str">
        <f aca="false">IF(OR(BI872="",AR872=""),"",IF(BI872&lt;=INDEX(DELAI_ESC,AR872),1,0))</f>
        <v/>
      </c>
      <c r="BK872" s="38" t="str">
        <f aca="false">IF(AO872&lt;&gt;1,"",IF(AND(T872="",U872=""),"",MIN(T872,U872)))</f>
        <v/>
      </c>
      <c r="BL872" s="37" t="str">
        <f aca="false">IF(OR(BK872="",R872=""),"",IFERROR(ROUND(IF(OR(BK872="",R872=""),"",IF(R872&lt;BK872,"",ROUND(((NETWORKDAYS(BK872,R872,JoursFeries)-1)*(HFer-HOuv)+IF(NETWORKDAYS(R872,R872,JoursFeries),MEDIAN(MOD(R872,1),HFer,HOuv),HFer)-IF(NETWORKDAYS(BK872,BK872,JoursFeries),MEDIAN(MOD(BK872,1),HFer,HOuv),HOuv))*24,4)))/HJour,4),""))</f>
        <v/>
      </c>
      <c r="BM872" s="35" t="str">
        <f aca="false">IF(OR(AO872&lt;&gt;1,R872=""),"",IF(BD872=1,1,0))</f>
        <v/>
      </c>
      <c r="BN872" s="35" t="str">
        <f aca="false">IF(AO872&lt;&gt;1,"",IF(W872="Oui",1,0))</f>
        <v/>
      </c>
      <c r="BO872" s="35" t="str">
        <f aca="false">IF(AO872&lt;&gt;1,"",IF(X872&lt;&gt;"",1,0))</f>
        <v/>
      </c>
      <c r="BP872" s="35" t="str">
        <f aca="false">IF(AO872&lt;&gt;1,"",IF(Y872="Oui",1,0))</f>
        <v/>
      </c>
      <c r="BQ872" s="35" t="str">
        <f aca="true">IF(OR(AO872&lt;&gt;1,Z872&lt;&gt;"Oui"),"",IF(AB872="",IF(AND(AA872&lt;&gt;"",NOW()&gt;AA872),0,""),IF(AA872="","",IF(AB872&lt;=AA872,1,0))))</f>
        <v/>
      </c>
      <c r="BR872" s="38" t="str">
        <f aca="false">IF(OR(AO872&lt;&gt;1,K872&lt;&gt;"Oui",O872=""),"",IF(AC872="",O872+DORA_H_DET/24,IF(AC872-O872&lt;=DORA_H_DET/24,MIN(AC872+DORA_H_CLA/24,O872+DORA_H_DET/24),AC872+DORA_H_CLA/24)))</f>
        <v/>
      </c>
      <c r="BS872" s="35" t="str">
        <f aca="true">IF(BR872="","",IF(AD872="",IF(NOW()&gt;BR872,0,""),IF(AD872&lt;=BR872,1,0)))</f>
        <v/>
      </c>
      <c r="BT872" s="35" t="str">
        <f aca="true">IF(OR(BR872="",AD872=""),"",IF(AE872="",IF(NOW()&gt;AD872+DORA_H_INT/24,0,""),IF(AE872&lt;=AD872+DORA_H_INT/24,1,0)))</f>
        <v/>
      </c>
      <c r="BU872" s="35" t="str">
        <f aca="true">IF(OR(BR872="",AE872=""),"",IF(AF872="",IF(NOW()&gt;EDATE(AE872,DORA_M_FIN)+1,0,""),IF(AF872&lt;=EDATE(AE872,DORA_M_FIN),1,0)))</f>
        <v/>
      </c>
      <c r="BV872" s="35" t="str">
        <f aca="false">IF(BR872="","",IF(COUNT(BS872:BU872)=0,"",MIN(BS872:BU872)))</f>
        <v/>
      </c>
      <c r="BW872" s="40" t="str">
        <f aca="false">IF(AQ872&lt;&gt;1,"",IF(AND(AG872="",AH872=""),"",N(AG872)-N(AH872)))</f>
        <v/>
      </c>
      <c r="BX872" s="35" t="str">
        <f aca="true">IF(OR(AQ872&lt;&gt;1,AI872&lt;&gt;"Oui",AJ872=""),"",IF(AK872="",IF(NOW()&gt;AJ872+1,0,""),IF(AK872&lt;=AJ872,1,0)))</f>
        <v/>
      </c>
    </row>
    <row r="873" customFormat="false" ht="15" hidden="false" customHeight="false" outlineLevel="0" collapsed="false">
      <c r="B873" s="29"/>
      <c r="C873" s="29"/>
      <c r="D873" s="29"/>
      <c r="E873" s="29"/>
      <c r="F873" s="29"/>
      <c r="G873" s="29"/>
      <c r="H873" s="29"/>
      <c r="I873" s="29"/>
      <c r="J873" s="29"/>
      <c r="K873" s="29"/>
      <c r="L873" s="29"/>
      <c r="M873" s="29"/>
      <c r="N873" s="30"/>
      <c r="O873" s="30"/>
      <c r="P873" s="30"/>
      <c r="Q873" s="30"/>
      <c r="R873" s="30"/>
      <c r="S873" s="30"/>
      <c r="T873" s="30"/>
      <c r="U873" s="30"/>
      <c r="V873" s="31"/>
      <c r="W873" s="29"/>
      <c r="X873" s="29"/>
      <c r="Y873" s="29"/>
      <c r="Z873" s="29"/>
      <c r="AA873" s="30"/>
      <c r="AB873" s="30"/>
      <c r="AC873" s="30"/>
      <c r="AD873" s="30"/>
      <c r="AE873" s="30"/>
      <c r="AF873" s="32"/>
      <c r="AG873" s="33"/>
      <c r="AH873" s="33"/>
      <c r="AI873" s="29"/>
      <c r="AJ873" s="32"/>
      <c r="AK873" s="32"/>
      <c r="AL873" s="29"/>
      <c r="AN873" s="34" t="str">
        <f aca="false">IF($B873="","",IF(OR(C873="",D873="",E873="",G873="",I873="",J873="",L873="",O873="",P873=""),"Champ obligatoire manquant",IF(OR(AND(N873&lt;&gt;"",N873&gt;O873),O873&gt;P873,AND(Q873&lt;&gt;"",Q873&lt;P873),AND(R873&lt;&gt;"",R873&lt;P873),AND(S873&lt;&gt;"",S873&lt;R873),AND(S873&lt;&gt;"",R873=""),AND(T873&lt;&gt;"",T873&lt;O873),AND(U873&lt;&gt;"",U873&lt;O873)),"Chronologie incohérente",IF(AND(OR(L873="Résolu",L873="Clos"),R873=""),"Date de résolution manquante",IF(AND(L873="Clos",S873=""),"Date de clôture manquante",IF(AND(K873="Oui",AC873=""),"Classification DORA manquante","OK"))))))</f>
        <v/>
      </c>
      <c r="AO873" s="35" t="str">
        <f aca="false">IF($B873="","",IF(AND(C873="Incident",L873&lt;&gt;"Annulé"),1,0))</f>
        <v/>
      </c>
      <c r="AP873" s="35" t="str">
        <f aca="false">IF($B873="","",IF(AND(C873="Quasi-incident",L873&lt;&gt;"Annulé"),1,0))</f>
        <v/>
      </c>
      <c r="AQ873" s="35" t="str">
        <f aca="false">IF($B873="","",AO873+AP873)</f>
        <v/>
      </c>
      <c r="AR873" s="36" t="str">
        <f aca="false">IF(OR($B873="",J873=""),"",IFERROR(VALUE(LEFT(J873,1)),""))</f>
        <v/>
      </c>
      <c r="AS873" s="35" t="str">
        <f aca="false">IF(OR(AO873&lt;&gt;1,G873=""),"",IFERROR(IF(INDEX(L_SrcInterne,MATCH(G873,L_Sources,0))="Oui",1,0),""))</f>
        <v/>
      </c>
      <c r="AT873" s="37" t="str">
        <f aca="false">IF(AO873&lt;&gt;1,"",IFERROR(ROUND(IF(OR(N873="",O873=""),"",IF(O873&lt;N873,"",ROUND(((NETWORKDAYS(N873,O873,JoursFeries)-1)*(HFer-HOuv)+IF(NETWORKDAYS(O873,O873,JoursFeries),MEDIAN(MOD(O873,1),HFer,HOuv),HFer)-IF(NETWORKDAYS(N873,N873,JoursFeries),MEDIAN(MOD(N873,1),HFer,HOuv),HOuv))*24,4)))/HJour,4),""))</f>
        <v/>
      </c>
      <c r="AU873" s="37" t="str">
        <f aca="false">IF(AO873&lt;&gt;1,"",IF(OR(O873="",P873=""),"",IF(P873&lt;O873,"",ROUND(((NETWORKDAYS(O873,P873,JoursFeries)-1)*(HFer-HOuv)+IF(NETWORKDAYS(P873,P873,JoursFeries),MEDIAN(MOD(P873,1),HFer,HOuv),HFer)-IF(NETWORKDAYS(O873,O873,JoursFeries),MEDIAN(MOD(O873,1),HFer,HOuv),HOuv))*24,4))))</f>
        <v/>
      </c>
      <c r="AV873" s="37" t="str">
        <f aca="false">IF(AO873&lt;&gt;1,"",IF(OR(P873="",Q873=""),"",IF(Q873&lt;P873,"",ROUND(((NETWORKDAYS(P873,Q873,JoursFeries)-1)*(HFer-HOuv)+IF(NETWORKDAYS(Q873,Q873,JoursFeries),MEDIAN(MOD(Q873,1),HFer,HOuv),HFer)-IF(NETWORKDAYS(P873,P873,JoursFeries),MEDIAN(MOD(P873,1),HFer,HOuv),HOuv))*24,4))))</f>
        <v/>
      </c>
      <c r="AW873" s="37" t="str">
        <f aca="false">IF(AO873&lt;&gt;1,"",IFERROR(ROUND(IF(OR(P873="",R873=""),"",IF(R873&lt;P873,"",ROUND(((NETWORKDAYS(P873,R873,JoursFeries)-1)*(HFer-HOuv)+IF(NETWORKDAYS(R873,R873,JoursFeries),MEDIAN(MOD(R873,1),HFer,HOuv),HFer)-IF(NETWORKDAYS(P873,P873,JoursFeries),MEDIAN(MOD(P873,1),HFer,HOuv),HOuv))*24,4)))/HJour,4),""))</f>
        <v/>
      </c>
      <c r="AX873" s="37" t="str">
        <f aca="false">IF(AO873&lt;&gt;1,"",IFERROR(ROUND(IF(OR(P873="",S873=""),"",IF(S873&lt;P873,"",ROUND(((NETWORKDAYS(P873,S873,JoursFeries)-1)*(HFer-HOuv)+IF(NETWORKDAYS(S873,S873,JoursFeries),MEDIAN(MOD(S873,1),HFer,HOuv),HFer)-IF(NETWORKDAYS(P873,P873,JoursFeries),MEDIAN(MOD(P873,1),HFer,HOuv),HOuv))*24,4)))/HJour,4),""))</f>
        <v/>
      </c>
      <c r="AY873" s="36" t="str">
        <f aca="false">IF(OR(AO873&lt;&gt;1,AR873=""),"",INDEX(SLA_PEC,AR873))</f>
        <v/>
      </c>
      <c r="AZ873" s="35" t="str">
        <f aca="false">IF(OR(AV873="",AY873=""),"",IF(AV873&lt;=AY873,1,0))</f>
        <v/>
      </c>
      <c r="BA873" s="36" t="str">
        <f aca="false">IF(OR(AO873&lt;&gt;1,AR873=""),"",INDEX(SLA_RES,AR873))</f>
        <v/>
      </c>
      <c r="BB873" s="35" t="str">
        <f aca="false">IF(OR(AW873="",BA873=""),"",IF(AW873&lt;=BA873,1,0))</f>
        <v/>
      </c>
      <c r="BC873" s="38" t="str">
        <f aca="false">IF(OR(BA873="",P873=""),"",WORKDAY(INT(P873),BA873,JoursFeries)+MOD(P873,1))</f>
        <v/>
      </c>
      <c r="BD873" s="39" t="str">
        <f aca="false">IF(AO873&lt;&gt;1,"",IF(OR(AB873&lt;&gt;"",AD873&lt;&gt;""),4,IF(U873&lt;&gt;"",3,IF(T873&lt;&gt;"",2,1))))</f>
        <v/>
      </c>
      <c r="BE873" s="39" t="str">
        <f aca="false">IF(OR(AO873&lt;&gt;1,AR873=""),"",INDEX(NIV_REQ,AR873))</f>
        <v/>
      </c>
      <c r="BF873" s="39" t="str">
        <f aca="false">IF(BE873="","",MAX(BE873,IF(OR(K873="Oui",Z873="Oui"),4,1)))</f>
        <v/>
      </c>
      <c r="BG873" s="35" t="str">
        <f aca="false">IF(OR(BF873="",BD873=""),"",IF(BD873&gt;=BF873,1,0))</f>
        <v/>
      </c>
      <c r="BH873" s="38" t="str">
        <f aca="false">IF(BE873="","",IF(BE873&lt;2,"",IF(BE873=2,IF(AND(T873="",U873=""),"",MIN(T873,U873)),IF(U873="","",U873))))</f>
        <v/>
      </c>
      <c r="BI873" s="37" t="str">
        <f aca="false">IF(BH873="","",IF(OR(O873="",BH873=""),"",IF(BH873&lt;O873,"",ROUND(((NETWORKDAYS(O873,BH873,JoursFeries)-1)*(HFer-HOuv)+IF(NETWORKDAYS(BH873,BH873,JoursFeries),MEDIAN(MOD(BH873,1),HFer,HOuv),HFer)-IF(NETWORKDAYS(O873,O873,JoursFeries),MEDIAN(MOD(O873,1),HFer,HOuv),HOuv))*24,4))))</f>
        <v/>
      </c>
      <c r="BJ873" s="35" t="str">
        <f aca="false">IF(OR(BI873="",AR873=""),"",IF(BI873&lt;=INDEX(DELAI_ESC,AR873),1,0))</f>
        <v/>
      </c>
      <c r="BK873" s="38" t="str">
        <f aca="false">IF(AO873&lt;&gt;1,"",IF(AND(T873="",U873=""),"",MIN(T873,U873)))</f>
        <v/>
      </c>
      <c r="BL873" s="37" t="str">
        <f aca="false">IF(OR(BK873="",R873=""),"",IFERROR(ROUND(IF(OR(BK873="",R873=""),"",IF(R873&lt;BK873,"",ROUND(((NETWORKDAYS(BK873,R873,JoursFeries)-1)*(HFer-HOuv)+IF(NETWORKDAYS(R873,R873,JoursFeries),MEDIAN(MOD(R873,1),HFer,HOuv),HFer)-IF(NETWORKDAYS(BK873,BK873,JoursFeries),MEDIAN(MOD(BK873,1),HFer,HOuv),HOuv))*24,4)))/HJour,4),""))</f>
        <v/>
      </c>
      <c r="BM873" s="35" t="str">
        <f aca="false">IF(OR(AO873&lt;&gt;1,R873=""),"",IF(BD873=1,1,0))</f>
        <v/>
      </c>
      <c r="BN873" s="35" t="str">
        <f aca="false">IF(AO873&lt;&gt;1,"",IF(W873="Oui",1,0))</f>
        <v/>
      </c>
      <c r="BO873" s="35" t="str">
        <f aca="false">IF(AO873&lt;&gt;1,"",IF(X873&lt;&gt;"",1,0))</f>
        <v/>
      </c>
      <c r="BP873" s="35" t="str">
        <f aca="false">IF(AO873&lt;&gt;1,"",IF(Y873="Oui",1,0))</f>
        <v/>
      </c>
      <c r="BQ873" s="35" t="str">
        <f aca="true">IF(OR(AO873&lt;&gt;1,Z873&lt;&gt;"Oui"),"",IF(AB873="",IF(AND(AA873&lt;&gt;"",NOW()&gt;AA873),0,""),IF(AA873="","",IF(AB873&lt;=AA873,1,0))))</f>
        <v/>
      </c>
      <c r="BR873" s="38" t="str">
        <f aca="false">IF(OR(AO873&lt;&gt;1,K873&lt;&gt;"Oui",O873=""),"",IF(AC873="",O873+DORA_H_DET/24,IF(AC873-O873&lt;=DORA_H_DET/24,MIN(AC873+DORA_H_CLA/24,O873+DORA_H_DET/24),AC873+DORA_H_CLA/24)))</f>
        <v/>
      </c>
      <c r="BS873" s="35" t="str">
        <f aca="true">IF(BR873="","",IF(AD873="",IF(NOW()&gt;BR873,0,""),IF(AD873&lt;=BR873,1,0)))</f>
        <v/>
      </c>
      <c r="BT873" s="35" t="str">
        <f aca="true">IF(OR(BR873="",AD873=""),"",IF(AE873="",IF(NOW()&gt;AD873+DORA_H_INT/24,0,""),IF(AE873&lt;=AD873+DORA_H_INT/24,1,0)))</f>
        <v/>
      </c>
      <c r="BU873" s="35" t="str">
        <f aca="true">IF(OR(BR873="",AE873=""),"",IF(AF873="",IF(NOW()&gt;EDATE(AE873,DORA_M_FIN)+1,0,""),IF(AF873&lt;=EDATE(AE873,DORA_M_FIN),1,0)))</f>
        <v/>
      </c>
      <c r="BV873" s="35" t="str">
        <f aca="false">IF(BR873="","",IF(COUNT(BS873:BU873)=0,"",MIN(BS873:BU873)))</f>
        <v/>
      </c>
      <c r="BW873" s="40" t="str">
        <f aca="false">IF(AQ873&lt;&gt;1,"",IF(AND(AG873="",AH873=""),"",N(AG873)-N(AH873)))</f>
        <v/>
      </c>
      <c r="BX873" s="35" t="str">
        <f aca="true">IF(OR(AQ873&lt;&gt;1,AI873&lt;&gt;"Oui",AJ873=""),"",IF(AK873="",IF(NOW()&gt;AJ873+1,0,""),IF(AK873&lt;=AJ873,1,0)))</f>
        <v/>
      </c>
    </row>
    <row r="874" customFormat="false" ht="15" hidden="false" customHeight="false" outlineLevel="0" collapsed="false">
      <c r="B874" s="29"/>
      <c r="C874" s="29"/>
      <c r="D874" s="29"/>
      <c r="E874" s="29"/>
      <c r="F874" s="29"/>
      <c r="G874" s="29"/>
      <c r="H874" s="29"/>
      <c r="I874" s="29"/>
      <c r="J874" s="29"/>
      <c r="K874" s="29"/>
      <c r="L874" s="29"/>
      <c r="M874" s="29"/>
      <c r="N874" s="30"/>
      <c r="O874" s="30"/>
      <c r="P874" s="30"/>
      <c r="Q874" s="30"/>
      <c r="R874" s="30"/>
      <c r="S874" s="30"/>
      <c r="T874" s="30"/>
      <c r="U874" s="30"/>
      <c r="V874" s="31"/>
      <c r="W874" s="29"/>
      <c r="X874" s="29"/>
      <c r="Y874" s="29"/>
      <c r="Z874" s="29"/>
      <c r="AA874" s="30"/>
      <c r="AB874" s="30"/>
      <c r="AC874" s="30"/>
      <c r="AD874" s="30"/>
      <c r="AE874" s="30"/>
      <c r="AF874" s="32"/>
      <c r="AG874" s="33"/>
      <c r="AH874" s="33"/>
      <c r="AI874" s="29"/>
      <c r="AJ874" s="32"/>
      <c r="AK874" s="32"/>
      <c r="AL874" s="29"/>
      <c r="AN874" s="34" t="str">
        <f aca="false">IF($B874="","",IF(OR(C874="",D874="",E874="",G874="",I874="",J874="",L874="",O874="",P874=""),"Champ obligatoire manquant",IF(OR(AND(N874&lt;&gt;"",N874&gt;O874),O874&gt;P874,AND(Q874&lt;&gt;"",Q874&lt;P874),AND(R874&lt;&gt;"",R874&lt;P874),AND(S874&lt;&gt;"",S874&lt;R874),AND(S874&lt;&gt;"",R874=""),AND(T874&lt;&gt;"",T874&lt;O874),AND(U874&lt;&gt;"",U874&lt;O874)),"Chronologie incohérente",IF(AND(OR(L874="Résolu",L874="Clos"),R874=""),"Date de résolution manquante",IF(AND(L874="Clos",S874=""),"Date de clôture manquante",IF(AND(K874="Oui",AC874=""),"Classification DORA manquante","OK"))))))</f>
        <v/>
      </c>
      <c r="AO874" s="35" t="str">
        <f aca="false">IF($B874="","",IF(AND(C874="Incident",L874&lt;&gt;"Annulé"),1,0))</f>
        <v/>
      </c>
      <c r="AP874" s="35" t="str">
        <f aca="false">IF($B874="","",IF(AND(C874="Quasi-incident",L874&lt;&gt;"Annulé"),1,0))</f>
        <v/>
      </c>
      <c r="AQ874" s="35" t="str">
        <f aca="false">IF($B874="","",AO874+AP874)</f>
        <v/>
      </c>
      <c r="AR874" s="36" t="str">
        <f aca="false">IF(OR($B874="",J874=""),"",IFERROR(VALUE(LEFT(J874,1)),""))</f>
        <v/>
      </c>
      <c r="AS874" s="35" t="str">
        <f aca="false">IF(OR(AO874&lt;&gt;1,G874=""),"",IFERROR(IF(INDEX(L_SrcInterne,MATCH(G874,L_Sources,0))="Oui",1,0),""))</f>
        <v/>
      </c>
      <c r="AT874" s="37" t="str">
        <f aca="false">IF(AO874&lt;&gt;1,"",IFERROR(ROUND(IF(OR(N874="",O874=""),"",IF(O874&lt;N874,"",ROUND(((NETWORKDAYS(N874,O874,JoursFeries)-1)*(HFer-HOuv)+IF(NETWORKDAYS(O874,O874,JoursFeries),MEDIAN(MOD(O874,1),HFer,HOuv),HFer)-IF(NETWORKDAYS(N874,N874,JoursFeries),MEDIAN(MOD(N874,1),HFer,HOuv),HOuv))*24,4)))/HJour,4),""))</f>
        <v/>
      </c>
      <c r="AU874" s="37" t="str">
        <f aca="false">IF(AO874&lt;&gt;1,"",IF(OR(O874="",P874=""),"",IF(P874&lt;O874,"",ROUND(((NETWORKDAYS(O874,P874,JoursFeries)-1)*(HFer-HOuv)+IF(NETWORKDAYS(P874,P874,JoursFeries),MEDIAN(MOD(P874,1),HFer,HOuv),HFer)-IF(NETWORKDAYS(O874,O874,JoursFeries),MEDIAN(MOD(O874,1),HFer,HOuv),HOuv))*24,4))))</f>
        <v/>
      </c>
      <c r="AV874" s="37" t="str">
        <f aca="false">IF(AO874&lt;&gt;1,"",IF(OR(P874="",Q874=""),"",IF(Q874&lt;P874,"",ROUND(((NETWORKDAYS(P874,Q874,JoursFeries)-1)*(HFer-HOuv)+IF(NETWORKDAYS(Q874,Q874,JoursFeries),MEDIAN(MOD(Q874,1),HFer,HOuv),HFer)-IF(NETWORKDAYS(P874,P874,JoursFeries),MEDIAN(MOD(P874,1),HFer,HOuv),HOuv))*24,4))))</f>
        <v/>
      </c>
      <c r="AW874" s="37" t="str">
        <f aca="false">IF(AO874&lt;&gt;1,"",IFERROR(ROUND(IF(OR(P874="",R874=""),"",IF(R874&lt;P874,"",ROUND(((NETWORKDAYS(P874,R874,JoursFeries)-1)*(HFer-HOuv)+IF(NETWORKDAYS(R874,R874,JoursFeries),MEDIAN(MOD(R874,1),HFer,HOuv),HFer)-IF(NETWORKDAYS(P874,P874,JoursFeries),MEDIAN(MOD(P874,1),HFer,HOuv),HOuv))*24,4)))/HJour,4),""))</f>
        <v/>
      </c>
      <c r="AX874" s="37" t="str">
        <f aca="false">IF(AO874&lt;&gt;1,"",IFERROR(ROUND(IF(OR(P874="",S874=""),"",IF(S874&lt;P874,"",ROUND(((NETWORKDAYS(P874,S874,JoursFeries)-1)*(HFer-HOuv)+IF(NETWORKDAYS(S874,S874,JoursFeries),MEDIAN(MOD(S874,1),HFer,HOuv),HFer)-IF(NETWORKDAYS(P874,P874,JoursFeries),MEDIAN(MOD(P874,1),HFer,HOuv),HOuv))*24,4)))/HJour,4),""))</f>
        <v/>
      </c>
      <c r="AY874" s="36" t="str">
        <f aca="false">IF(OR(AO874&lt;&gt;1,AR874=""),"",INDEX(SLA_PEC,AR874))</f>
        <v/>
      </c>
      <c r="AZ874" s="35" t="str">
        <f aca="false">IF(OR(AV874="",AY874=""),"",IF(AV874&lt;=AY874,1,0))</f>
        <v/>
      </c>
      <c r="BA874" s="36" t="str">
        <f aca="false">IF(OR(AO874&lt;&gt;1,AR874=""),"",INDEX(SLA_RES,AR874))</f>
        <v/>
      </c>
      <c r="BB874" s="35" t="str">
        <f aca="false">IF(OR(AW874="",BA874=""),"",IF(AW874&lt;=BA874,1,0))</f>
        <v/>
      </c>
      <c r="BC874" s="38" t="str">
        <f aca="false">IF(OR(BA874="",P874=""),"",WORKDAY(INT(P874),BA874,JoursFeries)+MOD(P874,1))</f>
        <v/>
      </c>
      <c r="BD874" s="39" t="str">
        <f aca="false">IF(AO874&lt;&gt;1,"",IF(OR(AB874&lt;&gt;"",AD874&lt;&gt;""),4,IF(U874&lt;&gt;"",3,IF(T874&lt;&gt;"",2,1))))</f>
        <v/>
      </c>
      <c r="BE874" s="39" t="str">
        <f aca="false">IF(OR(AO874&lt;&gt;1,AR874=""),"",INDEX(NIV_REQ,AR874))</f>
        <v/>
      </c>
      <c r="BF874" s="39" t="str">
        <f aca="false">IF(BE874="","",MAX(BE874,IF(OR(K874="Oui",Z874="Oui"),4,1)))</f>
        <v/>
      </c>
      <c r="BG874" s="35" t="str">
        <f aca="false">IF(OR(BF874="",BD874=""),"",IF(BD874&gt;=BF874,1,0))</f>
        <v/>
      </c>
      <c r="BH874" s="38" t="str">
        <f aca="false">IF(BE874="","",IF(BE874&lt;2,"",IF(BE874=2,IF(AND(T874="",U874=""),"",MIN(T874,U874)),IF(U874="","",U874))))</f>
        <v/>
      </c>
      <c r="BI874" s="37" t="str">
        <f aca="false">IF(BH874="","",IF(OR(O874="",BH874=""),"",IF(BH874&lt;O874,"",ROUND(((NETWORKDAYS(O874,BH874,JoursFeries)-1)*(HFer-HOuv)+IF(NETWORKDAYS(BH874,BH874,JoursFeries),MEDIAN(MOD(BH874,1),HFer,HOuv),HFer)-IF(NETWORKDAYS(O874,O874,JoursFeries),MEDIAN(MOD(O874,1),HFer,HOuv),HOuv))*24,4))))</f>
        <v/>
      </c>
      <c r="BJ874" s="35" t="str">
        <f aca="false">IF(OR(BI874="",AR874=""),"",IF(BI874&lt;=INDEX(DELAI_ESC,AR874),1,0))</f>
        <v/>
      </c>
      <c r="BK874" s="38" t="str">
        <f aca="false">IF(AO874&lt;&gt;1,"",IF(AND(T874="",U874=""),"",MIN(T874,U874)))</f>
        <v/>
      </c>
      <c r="BL874" s="37" t="str">
        <f aca="false">IF(OR(BK874="",R874=""),"",IFERROR(ROUND(IF(OR(BK874="",R874=""),"",IF(R874&lt;BK874,"",ROUND(((NETWORKDAYS(BK874,R874,JoursFeries)-1)*(HFer-HOuv)+IF(NETWORKDAYS(R874,R874,JoursFeries),MEDIAN(MOD(R874,1),HFer,HOuv),HFer)-IF(NETWORKDAYS(BK874,BK874,JoursFeries),MEDIAN(MOD(BK874,1),HFer,HOuv),HOuv))*24,4)))/HJour,4),""))</f>
        <v/>
      </c>
      <c r="BM874" s="35" t="str">
        <f aca="false">IF(OR(AO874&lt;&gt;1,R874=""),"",IF(BD874=1,1,0))</f>
        <v/>
      </c>
      <c r="BN874" s="35" t="str">
        <f aca="false">IF(AO874&lt;&gt;1,"",IF(W874="Oui",1,0))</f>
        <v/>
      </c>
      <c r="BO874" s="35" t="str">
        <f aca="false">IF(AO874&lt;&gt;1,"",IF(X874&lt;&gt;"",1,0))</f>
        <v/>
      </c>
      <c r="BP874" s="35" t="str">
        <f aca="false">IF(AO874&lt;&gt;1,"",IF(Y874="Oui",1,0))</f>
        <v/>
      </c>
      <c r="BQ874" s="35" t="str">
        <f aca="true">IF(OR(AO874&lt;&gt;1,Z874&lt;&gt;"Oui"),"",IF(AB874="",IF(AND(AA874&lt;&gt;"",NOW()&gt;AA874),0,""),IF(AA874="","",IF(AB874&lt;=AA874,1,0))))</f>
        <v/>
      </c>
      <c r="BR874" s="38" t="str">
        <f aca="false">IF(OR(AO874&lt;&gt;1,K874&lt;&gt;"Oui",O874=""),"",IF(AC874="",O874+DORA_H_DET/24,IF(AC874-O874&lt;=DORA_H_DET/24,MIN(AC874+DORA_H_CLA/24,O874+DORA_H_DET/24),AC874+DORA_H_CLA/24)))</f>
        <v/>
      </c>
      <c r="BS874" s="35" t="str">
        <f aca="true">IF(BR874="","",IF(AD874="",IF(NOW()&gt;BR874,0,""),IF(AD874&lt;=BR874,1,0)))</f>
        <v/>
      </c>
      <c r="BT874" s="35" t="str">
        <f aca="true">IF(OR(BR874="",AD874=""),"",IF(AE874="",IF(NOW()&gt;AD874+DORA_H_INT/24,0,""),IF(AE874&lt;=AD874+DORA_H_INT/24,1,0)))</f>
        <v/>
      </c>
      <c r="BU874" s="35" t="str">
        <f aca="true">IF(OR(BR874="",AE874=""),"",IF(AF874="",IF(NOW()&gt;EDATE(AE874,DORA_M_FIN)+1,0,""),IF(AF874&lt;=EDATE(AE874,DORA_M_FIN),1,0)))</f>
        <v/>
      </c>
      <c r="BV874" s="35" t="str">
        <f aca="false">IF(BR874="","",IF(COUNT(BS874:BU874)=0,"",MIN(BS874:BU874)))</f>
        <v/>
      </c>
      <c r="BW874" s="40" t="str">
        <f aca="false">IF(AQ874&lt;&gt;1,"",IF(AND(AG874="",AH874=""),"",N(AG874)-N(AH874)))</f>
        <v/>
      </c>
      <c r="BX874" s="35" t="str">
        <f aca="true">IF(OR(AQ874&lt;&gt;1,AI874&lt;&gt;"Oui",AJ874=""),"",IF(AK874="",IF(NOW()&gt;AJ874+1,0,""),IF(AK874&lt;=AJ874,1,0)))</f>
        <v/>
      </c>
    </row>
    <row r="875" customFormat="false" ht="15" hidden="false" customHeight="false" outlineLevel="0" collapsed="false">
      <c r="B875" s="29"/>
      <c r="C875" s="29"/>
      <c r="D875" s="29"/>
      <c r="E875" s="29"/>
      <c r="F875" s="29"/>
      <c r="G875" s="29"/>
      <c r="H875" s="29"/>
      <c r="I875" s="29"/>
      <c r="J875" s="29"/>
      <c r="K875" s="29"/>
      <c r="L875" s="29"/>
      <c r="M875" s="29"/>
      <c r="N875" s="30"/>
      <c r="O875" s="30"/>
      <c r="P875" s="30"/>
      <c r="Q875" s="30"/>
      <c r="R875" s="30"/>
      <c r="S875" s="30"/>
      <c r="T875" s="30"/>
      <c r="U875" s="30"/>
      <c r="V875" s="31"/>
      <c r="W875" s="29"/>
      <c r="X875" s="29"/>
      <c r="Y875" s="29"/>
      <c r="Z875" s="29"/>
      <c r="AA875" s="30"/>
      <c r="AB875" s="30"/>
      <c r="AC875" s="30"/>
      <c r="AD875" s="30"/>
      <c r="AE875" s="30"/>
      <c r="AF875" s="32"/>
      <c r="AG875" s="33"/>
      <c r="AH875" s="33"/>
      <c r="AI875" s="29"/>
      <c r="AJ875" s="32"/>
      <c r="AK875" s="32"/>
      <c r="AL875" s="29"/>
      <c r="AN875" s="34" t="str">
        <f aca="false">IF($B875="","",IF(OR(C875="",D875="",E875="",G875="",I875="",J875="",L875="",O875="",P875=""),"Champ obligatoire manquant",IF(OR(AND(N875&lt;&gt;"",N875&gt;O875),O875&gt;P875,AND(Q875&lt;&gt;"",Q875&lt;P875),AND(R875&lt;&gt;"",R875&lt;P875),AND(S875&lt;&gt;"",S875&lt;R875),AND(S875&lt;&gt;"",R875=""),AND(T875&lt;&gt;"",T875&lt;O875),AND(U875&lt;&gt;"",U875&lt;O875)),"Chronologie incohérente",IF(AND(OR(L875="Résolu",L875="Clos"),R875=""),"Date de résolution manquante",IF(AND(L875="Clos",S875=""),"Date de clôture manquante",IF(AND(K875="Oui",AC875=""),"Classification DORA manquante","OK"))))))</f>
        <v/>
      </c>
      <c r="AO875" s="35" t="str">
        <f aca="false">IF($B875="","",IF(AND(C875="Incident",L875&lt;&gt;"Annulé"),1,0))</f>
        <v/>
      </c>
      <c r="AP875" s="35" t="str">
        <f aca="false">IF($B875="","",IF(AND(C875="Quasi-incident",L875&lt;&gt;"Annulé"),1,0))</f>
        <v/>
      </c>
      <c r="AQ875" s="35" t="str">
        <f aca="false">IF($B875="","",AO875+AP875)</f>
        <v/>
      </c>
      <c r="AR875" s="36" t="str">
        <f aca="false">IF(OR($B875="",J875=""),"",IFERROR(VALUE(LEFT(J875,1)),""))</f>
        <v/>
      </c>
      <c r="AS875" s="35" t="str">
        <f aca="false">IF(OR(AO875&lt;&gt;1,G875=""),"",IFERROR(IF(INDEX(L_SrcInterne,MATCH(G875,L_Sources,0))="Oui",1,0),""))</f>
        <v/>
      </c>
      <c r="AT875" s="37" t="str">
        <f aca="false">IF(AO875&lt;&gt;1,"",IFERROR(ROUND(IF(OR(N875="",O875=""),"",IF(O875&lt;N875,"",ROUND(((NETWORKDAYS(N875,O875,JoursFeries)-1)*(HFer-HOuv)+IF(NETWORKDAYS(O875,O875,JoursFeries),MEDIAN(MOD(O875,1),HFer,HOuv),HFer)-IF(NETWORKDAYS(N875,N875,JoursFeries),MEDIAN(MOD(N875,1),HFer,HOuv),HOuv))*24,4)))/HJour,4),""))</f>
        <v/>
      </c>
      <c r="AU875" s="37" t="str">
        <f aca="false">IF(AO875&lt;&gt;1,"",IF(OR(O875="",P875=""),"",IF(P875&lt;O875,"",ROUND(((NETWORKDAYS(O875,P875,JoursFeries)-1)*(HFer-HOuv)+IF(NETWORKDAYS(P875,P875,JoursFeries),MEDIAN(MOD(P875,1),HFer,HOuv),HFer)-IF(NETWORKDAYS(O875,O875,JoursFeries),MEDIAN(MOD(O875,1),HFer,HOuv),HOuv))*24,4))))</f>
        <v/>
      </c>
      <c r="AV875" s="37" t="str">
        <f aca="false">IF(AO875&lt;&gt;1,"",IF(OR(P875="",Q875=""),"",IF(Q875&lt;P875,"",ROUND(((NETWORKDAYS(P875,Q875,JoursFeries)-1)*(HFer-HOuv)+IF(NETWORKDAYS(Q875,Q875,JoursFeries),MEDIAN(MOD(Q875,1),HFer,HOuv),HFer)-IF(NETWORKDAYS(P875,P875,JoursFeries),MEDIAN(MOD(P875,1),HFer,HOuv),HOuv))*24,4))))</f>
        <v/>
      </c>
      <c r="AW875" s="37" t="str">
        <f aca="false">IF(AO875&lt;&gt;1,"",IFERROR(ROUND(IF(OR(P875="",R875=""),"",IF(R875&lt;P875,"",ROUND(((NETWORKDAYS(P875,R875,JoursFeries)-1)*(HFer-HOuv)+IF(NETWORKDAYS(R875,R875,JoursFeries),MEDIAN(MOD(R875,1),HFer,HOuv),HFer)-IF(NETWORKDAYS(P875,P875,JoursFeries),MEDIAN(MOD(P875,1),HFer,HOuv),HOuv))*24,4)))/HJour,4),""))</f>
        <v/>
      </c>
      <c r="AX875" s="37" t="str">
        <f aca="false">IF(AO875&lt;&gt;1,"",IFERROR(ROUND(IF(OR(P875="",S875=""),"",IF(S875&lt;P875,"",ROUND(((NETWORKDAYS(P875,S875,JoursFeries)-1)*(HFer-HOuv)+IF(NETWORKDAYS(S875,S875,JoursFeries),MEDIAN(MOD(S875,1),HFer,HOuv),HFer)-IF(NETWORKDAYS(P875,P875,JoursFeries),MEDIAN(MOD(P875,1),HFer,HOuv),HOuv))*24,4)))/HJour,4),""))</f>
        <v/>
      </c>
      <c r="AY875" s="36" t="str">
        <f aca="false">IF(OR(AO875&lt;&gt;1,AR875=""),"",INDEX(SLA_PEC,AR875))</f>
        <v/>
      </c>
      <c r="AZ875" s="35" t="str">
        <f aca="false">IF(OR(AV875="",AY875=""),"",IF(AV875&lt;=AY875,1,0))</f>
        <v/>
      </c>
      <c r="BA875" s="36" t="str">
        <f aca="false">IF(OR(AO875&lt;&gt;1,AR875=""),"",INDEX(SLA_RES,AR875))</f>
        <v/>
      </c>
      <c r="BB875" s="35" t="str">
        <f aca="false">IF(OR(AW875="",BA875=""),"",IF(AW875&lt;=BA875,1,0))</f>
        <v/>
      </c>
      <c r="BC875" s="38" t="str">
        <f aca="false">IF(OR(BA875="",P875=""),"",WORKDAY(INT(P875),BA875,JoursFeries)+MOD(P875,1))</f>
        <v/>
      </c>
      <c r="BD875" s="39" t="str">
        <f aca="false">IF(AO875&lt;&gt;1,"",IF(OR(AB875&lt;&gt;"",AD875&lt;&gt;""),4,IF(U875&lt;&gt;"",3,IF(T875&lt;&gt;"",2,1))))</f>
        <v/>
      </c>
      <c r="BE875" s="39" t="str">
        <f aca="false">IF(OR(AO875&lt;&gt;1,AR875=""),"",INDEX(NIV_REQ,AR875))</f>
        <v/>
      </c>
      <c r="BF875" s="39" t="str">
        <f aca="false">IF(BE875="","",MAX(BE875,IF(OR(K875="Oui",Z875="Oui"),4,1)))</f>
        <v/>
      </c>
      <c r="BG875" s="35" t="str">
        <f aca="false">IF(OR(BF875="",BD875=""),"",IF(BD875&gt;=BF875,1,0))</f>
        <v/>
      </c>
      <c r="BH875" s="38" t="str">
        <f aca="false">IF(BE875="","",IF(BE875&lt;2,"",IF(BE875=2,IF(AND(T875="",U875=""),"",MIN(T875,U875)),IF(U875="","",U875))))</f>
        <v/>
      </c>
      <c r="BI875" s="37" t="str">
        <f aca="false">IF(BH875="","",IF(OR(O875="",BH875=""),"",IF(BH875&lt;O875,"",ROUND(((NETWORKDAYS(O875,BH875,JoursFeries)-1)*(HFer-HOuv)+IF(NETWORKDAYS(BH875,BH875,JoursFeries),MEDIAN(MOD(BH875,1),HFer,HOuv),HFer)-IF(NETWORKDAYS(O875,O875,JoursFeries),MEDIAN(MOD(O875,1),HFer,HOuv),HOuv))*24,4))))</f>
        <v/>
      </c>
      <c r="BJ875" s="35" t="str">
        <f aca="false">IF(OR(BI875="",AR875=""),"",IF(BI875&lt;=INDEX(DELAI_ESC,AR875),1,0))</f>
        <v/>
      </c>
      <c r="BK875" s="38" t="str">
        <f aca="false">IF(AO875&lt;&gt;1,"",IF(AND(T875="",U875=""),"",MIN(T875,U875)))</f>
        <v/>
      </c>
      <c r="BL875" s="37" t="str">
        <f aca="false">IF(OR(BK875="",R875=""),"",IFERROR(ROUND(IF(OR(BK875="",R875=""),"",IF(R875&lt;BK875,"",ROUND(((NETWORKDAYS(BK875,R875,JoursFeries)-1)*(HFer-HOuv)+IF(NETWORKDAYS(R875,R875,JoursFeries),MEDIAN(MOD(R875,1),HFer,HOuv),HFer)-IF(NETWORKDAYS(BK875,BK875,JoursFeries),MEDIAN(MOD(BK875,1),HFer,HOuv),HOuv))*24,4)))/HJour,4),""))</f>
        <v/>
      </c>
      <c r="BM875" s="35" t="str">
        <f aca="false">IF(OR(AO875&lt;&gt;1,R875=""),"",IF(BD875=1,1,0))</f>
        <v/>
      </c>
      <c r="BN875" s="35" t="str">
        <f aca="false">IF(AO875&lt;&gt;1,"",IF(W875="Oui",1,0))</f>
        <v/>
      </c>
      <c r="BO875" s="35" t="str">
        <f aca="false">IF(AO875&lt;&gt;1,"",IF(X875&lt;&gt;"",1,0))</f>
        <v/>
      </c>
      <c r="BP875" s="35" t="str">
        <f aca="false">IF(AO875&lt;&gt;1,"",IF(Y875="Oui",1,0))</f>
        <v/>
      </c>
      <c r="BQ875" s="35" t="str">
        <f aca="true">IF(OR(AO875&lt;&gt;1,Z875&lt;&gt;"Oui"),"",IF(AB875="",IF(AND(AA875&lt;&gt;"",NOW()&gt;AA875),0,""),IF(AA875="","",IF(AB875&lt;=AA875,1,0))))</f>
        <v/>
      </c>
      <c r="BR875" s="38" t="str">
        <f aca="false">IF(OR(AO875&lt;&gt;1,K875&lt;&gt;"Oui",O875=""),"",IF(AC875="",O875+DORA_H_DET/24,IF(AC875-O875&lt;=DORA_H_DET/24,MIN(AC875+DORA_H_CLA/24,O875+DORA_H_DET/24),AC875+DORA_H_CLA/24)))</f>
        <v/>
      </c>
      <c r="BS875" s="35" t="str">
        <f aca="true">IF(BR875="","",IF(AD875="",IF(NOW()&gt;BR875,0,""),IF(AD875&lt;=BR875,1,0)))</f>
        <v/>
      </c>
      <c r="BT875" s="35" t="str">
        <f aca="true">IF(OR(BR875="",AD875=""),"",IF(AE875="",IF(NOW()&gt;AD875+DORA_H_INT/24,0,""),IF(AE875&lt;=AD875+DORA_H_INT/24,1,0)))</f>
        <v/>
      </c>
      <c r="BU875" s="35" t="str">
        <f aca="true">IF(OR(BR875="",AE875=""),"",IF(AF875="",IF(NOW()&gt;EDATE(AE875,DORA_M_FIN)+1,0,""),IF(AF875&lt;=EDATE(AE875,DORA_M_FIN),1,0)))</f>
        <v/>
      </c>
      <c r="BV875" s="35" t="str">
        <f aca="false">IF(BR875="","",IF(COUNT(BS875:BU875)=0,"",MIN(BS875:BU875)))</f>
        <v/>
      </c>
      <c r="BW875" s="40" t="str">
        <f aca="false">IF(AQ875&lt;&gt;1,"",IF(AND(AG875="",AH875=""),"",N(AG875)-N(AH875)))</f>
        <v/>
      </c>
      <c r="BX875" s="35" t="str">
        <f aca="true">IF(OR(AQ875&lt;&gt;1,AI875&lt;&gt;"Oui",AJ875=""),"",IF(AK875="",IF(NOW()&gt;AJ875+1,0,""),IF(AK875&lt;=AJ875,1,0)))</f>
        <v/>
      </c>
    </row>
    <row r="876" customFormat="false" ht="15" hidden="false" customHeight="false" outlineLevel="0" collapsed="false">
      <c r="B876" s="29"/>
      <c r="C876" s="29"/>
      <c r="D876" s="29"/>
      <c r="E876" s="29"/>
      <c r="F876" s="29"/>
      <c r="G876" s="29"/>
      <c r="H876" s="29"/>
      <c r="I876" s="29"/>
      <c r="J876" s="29"/>
      <c r="K876" s="29"/>
      <c r="L876" s="29"/>
      <c r="M876" s="29"/>
      <c r="N876" s="30"/>
      <c r="O876" s="30"/>
      <c r="P876" s="30"/>
      <c r="Q876" s="30"/>
      <c r="R876" s="30"/>
      <c r="S876" s="30"/>
      <c r="T876" s="30"/>
      <c r="U876" s="30"/>
      <c r="V876" s="31"/>
      <c r="W876" s="29"/>
      <c r="X876" s="29"/>
      <c r="Y876" s="29"/>
      <c r="Z876" s="29"/>
      <c r="AA876" s="30"/>
      <c r="AB876" s="30"/>
      <c r="AC876" s="30"/>
      <c r="AD876" s="30"/>
      <c r="AE876" s="30"/>
      <c r="AF876" s="32"/>
      <c r="AG876" s="33"/>
      <c r="AH876" s="33"/>
      <c r="AI876" s="29"/>
      <c r="AJ876" s="32"/>
      <c r="AK876" s="32"/>
      <c r="AL876" s="29"/>
      <c r="AN876" s="34" t="str">
        <f aca="false">IF($B876="","",IF(OR(C876="",D876="",E876="",G876="",I876="",J876="",L876="",O876="",P876=""),"Champ obligatoire manquant",IF(OR(AND(N876&lt;&gt;"",N876&gt;O876),O876&gt;P876,AND(Q876&lt;&gt;"",Q876&lt;P876),AND(R876&lt;&gt;"",R876&lt;P876),AND(S876&lt;&gt;"",S876&lt;R876),AND(S876&lt;&gt;"",R876=""),AND(T876&lt;&gt;"",T876&lt;O876),AND(U876&lt;&gt;"",U876&lt;O876)),"Chronologie incohérente",IF(AND(OR(L876="Résolu",L876="Clos"),R876=""),"Date de résolution manquante",IF(AND(L876="Clos",S876=""),"Date de clôture manquante",IF(AND(K876="Oui",AC876=""),"Classification DORA manquante","OK"))))))</f>
        <v/>
      </c>
      <c r="AO876" s="35" t="str">
        <f aca="false">IF($B876="","",IF(AND(C876="Incident",L876&lt;&gt;"Annulé"),1,0))</f>
        <v/>
      </c>
      <c r="AP876" s="35" t="str">
        <f aca="false">IF($B876="","",IF(AND(C876="Quasi-incident",L876&lt;&gt;"Annulé"),1,0))</f>
        <v/>
      </c>
      <c r="AQ876" s="35" t="str">
        <f aca="false">IF($B876="","",AO876+AP876)</f>
        <v/>
      </c>
      <c r="AR876" s="36" t="str">
        <f aca="false">IF(OR($B876="",J876=""),"",IFERROR(VALUE(LEFT(J876,1)),""))</f>
        <v/>
      </c>
      <c r="AS876" s="35" t="str">
        <f aca="false">IF(OR(AO876&lt;&gt;1,G876=""),"",IFERROR(IF(INDEX(L_SrcInterne,MATCH(G876,L_Sources,0))="Oui",1,0),""))</f>
        <v/>
      </c>
      <c r="AT876" s="37" t="str">
        <f aca="false">IF(AO876&lt;&gt;1,"",IFERROR(ROUND(IF(OR(N876="",O876=""),"",IF(O876&lt;N876,"",ROUND(((NETWORKDAYS(N876,O876,JoursFeries)-1)*(HFer-HOuv)+IF(NETWORKDAYS(O876,O876,JoursFeries),MEDIAN(MOD(O876,1),HFer,HOuv),HFer)-IF(NETWORKDAYS(N876,N876,JoursFeries),MEDIAN(MOD(N876,1),HFer,HOuv),HOuv))*24,4)))/HJour,4),""))</f>
        <v/>
      </c>
      <c r="AU876" s="37" t="str">
        <f aca="false">IF(AO876&lt;&gt;1,"",IF(OR(O876="",P876=""),"",IF(P876&lt;O876,"",ROUND(((NETWORKDAYS(O876,P876,JoursFeries)-1)*(HFer-HOuv)+IF(NETWORKDAYS(P876,P876,JoursFeries),MEDIAN(MOD(P876,1),HFer,HOuv),HFer)-IF(NETWORKDAYS(O876,O876,JoursFeries),MEDIAN(MOD(O876,1),HFer,HOuv),HOuv))*24,4))))</f>
        <v/>
      </c>
      <c r="AV876" s="37" t="str">
        <f aca="false">IF(AO876&lt;&gt;1,"",IF(OR(P876="",Q876=""),"",IF(Q876&lt;P876,"",ROUND(((NETWORKDAYS(P876,Q876,JoursFeries)-1)*(HFer-HOuv)+IF(NETWORKDAYS(Q876,Q876,JoursFeries),MEDIAN(MOD(Q876,1),HFer,HOuv),HFer)-IF(NETWORKDAYS(P876,P876,JoursFeries),MEDIAN(MOD(P876,1),HFer,HOuv),HOuv))*24,4))))</f>
        <v/>
      </c>
      <c r="AW876" s="37" t="str">
        <f aca="false">IF(AO876&lt;&gt;1,"",IFERROR(ROUND(IF(OR(P876="",R876=""),"",IF(R876&lt;P876,"",ROUND(((NETWORKDAYS(P876,R876,JoursFeries)-1)*(HFer-HOuv)+IF(NETWORKDAYS(R876,R876,JoursFeries),MEDIAN(MOD(R876,1),HFer,HOuv),HFer)-IF(NETWORKDAYS(P876,P876,JoursFeries),MEDIAN(MOD(P876,1),HFer,HOuv),HOuv))*24,4)))/HJour,4),""))</f>
        <v/>
      </c>
      <c r="AX876" s="37" t="str">
        <f aca="false">IF(AO876&lt;&gt;1,"",IFERROR(ROUND(IF(OR(P876="",S876=""),"",IF(S876&lt;P876,"",ROUND(((NETWORKDAYS(P876,S876,JoursFeries)-1)*(HFer-HOuv)+IF(NETWORKDAYS(S876,S876,JoursFeries),MEDIAN(MOD(S876,1),HFer,HOuv),HFer)-IF(NETWORKDAYS(P876,P876,JoursFeries),MEDIAN(MOD(P876,1),HFer,HOuv),HOuv))*24,4)))/HJour,4),""))</f>
        <v/>
      </c>
      <c r="AY876" s="36" t="str">
        <f aca="false">IF(OR(AO876&lt;&gt;1,AR876=""),"",INDEX(SLA_PEC,AR876))</f>
        <v/>
      </c>
      <c r="AZ876" s="35" t="str">
        <f aca="false">IF(OR(AV876="",AY876=""),"",IF(AV876&lt;=AY876,1,0))</f>
        <v/>
      </c>
      <c r="BA876" s="36" t="str">
        <f aca="false">IF(OR(AO876&lt;&gt;1,AR876=""),"",INDEX(SLA_RES,AR876))</f>
        <v/>
      </c>
      <c r="BB876" s="35" t="str">
        <f aca="false">IF(OR(AW876="",BA876=""),"",IF(AW876&lt;=BA876,1,0))</f>
        <v/>
      </c>
      <c r="BC876" s="38" t="str">
        <f aca="false">IF(OR(BA876="",P876=""),"",WORKDAY(INT(P876),BA876,JoursFeries)+MOD(P876,1))</f>
        <v/>
      </c>
      <c r="BD876" s="39" t="str">
        <f aca="false">IF(AO876&lt;&gt;1,"",IF(OR(AB876&lt;&gt;"",AD876&lt;&gt;""),4,IF(U876&lt;&gt;"",3,IF(T876&lt;&gt;"",2,1))))</f>
        <v/>
      </c>
      <c r="BE876" s="39" t="str">
        <f aca="false">IF(OR(AO876&lt;&gt;1,AR876=""),"",INDEX(NIV_REQ,AR876))</f>
        <v/>
      </c>
      <c r="BF876" s="39" t="str">
        <f aca="false">IF(BE876="","",MAX(BE876,IF(OR(K876="Oui",Z876="Oui"),4,1)))</f>
        <v/>
      </c>
      <c r="BG876" s="35" t="str">
        <f aca="false">IF(OR(BF876="",BD876=""),"",IF(BD876&gt;=BF876,1,0))</f>
        <v/>
      </c>
      <c r="BH876" s="38" t="str">
        <f aca="false">IF(BE876="","",IF(BE876&lt;2,"",IF(BE876=2,IF(AND(T876="",U876=""),"",MIN(T876,U876)),IF(U876="","",U876))))</f>
        <v/>
      </c>
      <c r="BI876" s="37" t="str">
        <f aca="false">IF(BH876="","",IF(OR(O876="",BH876=""),"",IF(BH876&lt;O876,"",ROUND(((NETWORKDAYS(O876,BH876,JoursFeries)-1)*(HFer-HOuv)+IF(NETWORKDAYS(BH876,BH876,JoursFeries),MEDIAN(MOD(BH876,1),HFer,HOuv),HFer)-IF(NETWORKDAYS(O876,O876,JoursFeries),MEDIAN(MOD(O876,1),HFer,HOuv),HOuv))*24,4))))</f>
        <v/>
      </c>
      <c r="BJ876" s="35" t="str">
        <f aca="false">IF(OR(BI876="",AR876=""),"",IF(BI876&lt;=INDEX(DELAI_ESC,AR876),1,0))</f>
        <v/>
      </c>
      <c r="BK876" s="38" t="str">
        <f aca="false">IF(AO876&lt;&gt;1,"",IF(AND(T876="",U876=""),"",MIN(T876,U876)))</f>
        <v/>
      </c>
      <c r="BL876" s="37" t="str">
        <f aca="false">IF(OR(BK876="",R876=""),"",IFERROR(ROUND(IF(OR(BK876="",R876=""),"",IF(R876&lt;BK876,"",ROUND(((NETWORKDAYS(BK876,R876,JoursFeries)-1)*(HFer-HOuv)+IF(NETWORKDAYS(R876,R876,JoursFeries),MEDIAN(MOD(R876,1),HFer,HOuv),HFer)-IF(NETWORKDAYS(BK876,BK876,JoursFeries),MEDIAN(MOD(BK876,1),HFer,HOuv),HOuv))*24,4)))/HJour,4),""))</f>
        <v/>
      </c>
      <c r="BM876" s="35" t="str">
        <f aca="false">IF(OR(AO876&lt;&gt;1,R876=""),"",IF(BD876=1,1,0))</f>
        <v/>
      </c>
      <c r="BN876" s="35" t="str">
        <f aca="false">IF(AO876&lt;&gt;1,"",IF(W876="Oui",1,0))</f>
        <v/>
      </c>
      <c r="BO876" s="35" t="str">
        <f aca="false">IF(AO876&lt;&gt;1,"",IF(X876&lt;&gt;"",1,0))</f>
        <v/>
      </c>
      <c r="BP876" s="35" t="str">
        <f aca="false">IF(AO876&lt;&gt;1,"",IF(Y876="Oui",1,0))</f>
        <v/>
      </c>
      <c r="BQ876" s="35" t="str">
        <f aca="true">IF(OR(AO876&lt;&gt;1,Z876&lt;&gt;"Oui"),"",IF(AB876="",IF(AND(AA876&lt;&gt;"",NOW()&gt;AA876),0,""),IF(AA876="","",IF(AB876&lt;=AA876,1,0))))</f>
        <v/>
      </c>
      <c r="BR876" s="38" t="str">
        <f aca="false">IF(OR(AO876&lt;&gt;1,K876&lt;&gt;"Oui",O876=""),"",IF(AC876="",O876+DORA_H_DET/24,IF(AC876-O876&lt;=DORA_H_DET/24,MIN(AC876+DORA_H_CLA/24,O876+DORA_H_DET/24),AC876+DORA_H_CLA/24)))</f>
        <v/>
      </c>
      <c r="BS876" s="35" t="str">
        <f aca="true">IF(BR876="","",IF(AD876="",IF(NOW()&gt;BR876,0,""),IF(AD876&lt;=BR876,1,0)))</f>
        <v/>
      </c>
      <c r="BT876" s="35" t="str">
        <f aca="true">IF(OR(BR876="",AD876=""),"",IF(AE876="",IF(NOW()&gt;AD876+DORA_H_INT/24,0,""),IF(AE876&lt;=AD876+DORA_H_INT/24,1,0)))</f>
        <v/>
      </c>
      <c r="BU876" s="35" t="str">
        <f aca="true">IF(OR(BR876="",AE876=""),"",IF(AF876="",IF(NOW()&gt;EDATE(AE876,DORA_M_FIN)+1,0,""),IF(AF876&lt;=EDATE(AE876,DORA_M_FIN),1,0)))</f>
        <v/>
      </c>
      <c r="BV876" s="35" t="str">
        <f aca="false">IF(BR876="","",IF(COUNT(BS876:BU876)=0,"",MIN(BS876:BU876)))</f>
        <v/>
      </c>
      <c r="BW876" s="40" t="str">
        <f aca="false">IF(AQ876&lt;&gt;1,"",IF(AND(AG876="",AH876=""),"",N(AG876)-N(AH876)))</f>
        <v/>
      </c>
      <c r="BX876" s="35" t="str">
        <f aca="true">IF(OR(AQ876&lt;&gt;1,AI876&lt;&gt;"Oui",AJ876=""),"",IF(AK876="",IF(NOW()&gt;AJ876+1,0,""),IF(AK876&lt;=AJ876,1,0)))</f>
        <v/>
      </c>
    </row>
    <row r="877" customFormat="false" ht="15" hidden="false" customHeight="false" outlineLevel="0" collapsed="false">
      <c r="B877" s="29"/>
      <c r="C877" s="29"/>
      <c r="D877" s="29"/>
      <c r="E877" s="29"/>
      <c r="F877" s="29"/>
      <c r="G877" s="29"/>
      <c r="H877" s="29"/>
      <c r="I877" s="29"/>
      <c r="J877" s="29"/>
      <c r="K877" s="29"/>
      <c r="L877" s="29"/>
      <c r="M877" s="29"/>
      <c r="N877" s="30"/>
      <c r="O877" s="30"/>
      <c r="P877" s="30"/>
      <c r="Q877" s="30"/>
      <c r="R877" s="30"/>
      <c r="S877" s="30"/>
      <c r="T877" s="30"/>
      <c r="U877" s="30"/>
      <c r="V877" s="31"/>
      <c r="W877" s="29"/>
      <c r="X877" s="29"/>
      <c r="Y877" s="29"/>
      <c r="Z877" s="29"/>
      <c r="AA877" s="30"/>
      <c r="AB877" s="30"/>
      <c r="AC877" s="30"/>
      <c r="AD877" s="30"/>
      <c r="AE877" s="30"/>
      <c r="AF877" s="32"/>
      <c r="AG877" s="33"/>
      <c r="AH877" s="33"/>
      <c r="AI877" s="29"/>
      <c r="AJ877" s="32"/>
      <c r="AK877" s="32"/>
      <c r="AL877" s="29"/>
      <c r="AN877" s="34" t="str">
        <f aca="false">IF($B877="","",IF(OR(C877="",D877="",E877="",G877="",I877="",J877="",L877="",O877="",P877=""),"Champ obligatoire manquant",IF(OR(AND(N877&lt;&gt;"",N877&gt;O877),O877&gt;P877,AND(Q877&lt;&gt;"",Q877&lt;P877),AND(R877&lt;&gt;"",R877&lt;P877),AND(S877&lt;&gt;"",S877&lt;R877),AND(S877&lt;&gt;"",R877=""),AND(T877&lt;&gt;"",T877&lt;O877),AND(U877&lt;&gt;"",U877&lt;O877)),"Chronologie incohérente",IF(AND(OR(L877="Résolu",L877="Clos"),R877=""),"Date de résolution manquante",IF(AND(L877="Clos",S877=""),"Date de clôture manquante",IF(AND(K877="Oui",AC877=""),"Classification DORA manquante","OK"))))))</f>
        <v/>
      </c>
      <c r="AO877" s="35" t="str">
        <f aca="false">IF($B877="","",IF(AND(C877="Incident",L877&lt;&gt;"Annulé"),1,0))</f>
        <v/>
      </c>
      <c r="AP877" s="35" t="str">
        <f aca="false">IF($B877="","",IF(AND(C877="Quasi-incident",L877&lt;&gt;"Annulé"),1,0))</f>
        <v/>
      </c>
      <c r="AQ877" s="35" t="str">
        <f aca="false">IF($B877="","",AO877+AP877)</f>
        <v/>
      </c>
      <c r="AR877" s="36" t="str">
        <f aca="false">IF(OR($B877="",J877=""),"",IFERROR(VALUE(LEFT(J877,1)),""))</f>
        <v/>
      </c>
      <c r="AS877" s="35" t="str">
        <f aca="false">IF(OR(AO877&lt;&gt;1,G877=""),"",IFERROR(IF(INDEX(L_SrcInterne,MATCH(G877,L_Sources,0))="Oui",1,0),""))</f>
        <v/>
      </c>
      <c r="AT877" s="37" t="str">
        <f aca="false">IF(AO877&lt;&gt;1,"",IFERROR(ROUND(IF(OR(N877="",O877=""),"",IF(O877&lt;N877,"",ROUND(((NETWORKDAYS(N877,O877,JoursFeries)-1)*(HFer-HOuv)+IF(NETWORKDAYS(O877,O877,JoursFeries),MEDIAN(MOD(O877,1),HFer,HOuv),HFer)-IF(NETWORKDAYS(N877,N877,JoursFeries),MEDIAN(MOD(N877,1),HFer,HOuv),HOuv))*24,4)))/HJour,4),""))</f>
        <v/>
      </c>
      <c r="AU877" s="37" t="str">
        <f aca="false">IF(AO877&lt;&gt;1,"",IF(OR(O877="",P877=""),"",IF(P877&lt;O877,"",ROUND(((NETWORKDAYS(O877,P877,JoursFeries)-1)*(HFer-HOuv)+IF(NETWORKDAYS(P877,P877,JoursFeries),MEDIAN(MOD(P877,1),HFer,HOuv),HFer)-IF(NETWORKDAYS(O877,O877,JoursFeries),MEDIAN(MOD(O877,1),HFer,HOuv),HOuv))*24,4))))</f>
        <v/>
      </c>
      <c r="AV877" s="37" t="str">
        <f aca="false">IF(AO877&lt;&gt;1,"",IF(OR(P877="",Q877=""),"",IF(Q877&lt;P877,"",ROUND(((NETWORKDAYS(P877,Q877,JoursFeries)-1)*(HFer-HOuv)+IF(NETWORKDAYS(Q877,Q877,JoursFeries),MEDIAN(MOD(Q877,1),HFer,HOuv),HFer)-IF(NETWORKDAYS(P877,P877,JoursFeries),MEDIAN(MOD(P877,1),HFer,HOuv),HOuv))*24,4))))</f>
        <v/>
      </c>
      <c r="AW877" s="37" t="str">
        <f aca="false">IF(AO877&lt;&gt;1,"",IFERROR(ROUND(IF(OR(P877="",R877=""),"",IF(R877&lt;P877,"",ROUND(((NETWORKDAYS(P877,R877,JoursFeries)-1)*(HFer-HOuv)+IF(NETWORKDAYS(R877,R877,JoursFeries),MEDIAN(MOD(R877,1),HFer,HOuv),HFer)-IF(NETWORKDAYS(P877,P877,JoursFeries),MEDIAN(MOD(P877,1),HFer,HOuv),HOuv))*24,4)))/HJour,4),""))</f>
        <v/>
      </c>
      <c r="AX877" s="37" t="str">
        <f aca="false">IF(AO877&lt;&gt;1,"",IFERROR(ROUND(IF(OR(P877="",S877=""),"",IF(S877&lt;P877,"",ROUND(((NETWORKDAYS(P877,S877,JoursFeries)-1)*(HFer-HOuv)+IF(NETWORKDAYS(S877,S877,JoursFeries),MEDIAN(MOD(S877,1),HFer,HOuv),HFer)-IF(NETWORKDAYS(P877,P877,JoursFeries),MEDIAN(MOD(P877,1),HFer,HOuv),HOuv))*24,4)))/HJour,4),""))</f>
        <v/>
      </c>
      <c r="AY877" s="36" t="str">
        <f aca="false">IF(OR(AO877&lt;&gt;1,AR877=""),"",INDEX(SLA_PEC,AR877))</f>
        <v/>
      </c>
      <c r="AZ877" s="35" t="str">
        <f aca="false">IF(OR(AV877="",AY877=""),"",IF(AV877&lt;=AY877,1,0))</f>
        <v/>
      </c>
      <c r="BA877" s="36" t="str">
        <f aca="false">IF(OR(AO877&lt;&gt;1,AR877=""),"",INDEX(SLA_RES,AR877))</f>
        <v/>
      </c>
      <c r="BB877" s="35" t="str">
        <f aca="false">IF(OR(AW877="",BA877=""),"",IF(AW877&lt;=BA877,1,0))</f>
        <v/>
      </c>
      <c r="BC877" s="38" t="str">
        <f aca="false">IF(OR(BA877="",P877=""),"",WORKDAY(INT(P877),BA877,JoursFeries)+MOD(P877,1))</f>
        <v/>
      </c>
      <c r="BD877" s="39" t="str">
        <f aca="false">IF(AO877&lt;&gt;1,"",IF(OR(AB877&lt;&gt;"",AD877&lt;&gt;""),4,IF(U877&lt;&gt;"",3,IF(T877&lt;&gt;"",2,1))))</f>
        <v/>
      </c>
      <c r="BE877" s="39" t="str">
        <f aca="false">IF(OR(AO877&lt;&gt;1,AR877=""),"",INDEX(NIV_REQ,AR877))</f>
        <v/>
      </c>
      <c r="BF877" s="39" t="str">
        <f aca="false">IF(BE877="","",MAX(BE877,IF(OR(K877="Oui",Z877="Oui"),4,1)))</f>
        <v/>
      </c>
      <c r="BG877" s="35" t="str">
        <f aca="false">IF(OR(BF877="",BD877=""),"",IF(BD877&gt;=BF877,1,0))</f>
        <v/>
      </c>
      <c r="BH877" s="38" t="str">
        <f aca="false">IF(BE877="","",IF(BE877&lt;2,"",IF(BE877=2,IF(AND(T877="",U877=""),"",MIN(T877,U877)),IF(U877="","",U877))))</f>
        <v/>
      </c>
      <c r="BI877" s="37" t="str">
        <f aca="false">IF(BH877="","",IF(OR(O877="",BH877=""),"",IF(BH877&lt;O877,"",ROUND(((NETWORKDAYS(O877,BH877,JoursFeries)-1)*(HFer-HOuv)+IF(NETWORKDAYS(BH877,BH877,JoursFeries),MEDIAN(MOD(BH877,1),HFer,HOuv),HFer)-IF(NETWORKDAYS(O877,O877,JoursFeries),MEDIAN(MOD(O877,1),HFer,HOuv),HOuv))*24,4))))</f>
        <v/>
      </c>
      <c r="BJ877" s="35" t="str">
        <f aca="false">IF(OR(BI877="",AR877=""),"",IF(BI877&lt;=INDEX(DELAI_ESC,AR877),1,0))</f>
        <v/>
      </c>
      <c r="BK877" s="38" t="str">
        <f aca="false">IF(AO877&lt;&gt;1,"",IF(AND(T877="",U877=""),"",MIN(T877,U877)))</f>
        <v/>
      </c>
      <c r="BL877" s="37" t="str">
        <f aca="false">IF(OR(BK877="",R877=""),"",IFERROR(ROUND(IF(OR(BK877="",R877=""),"",IF(R877&lt;BK877,"",ROUND(((NETWORKDAYS(BK877,R877,JoursFeries)-1)*(HFer-HOuv)+IF(NETWORKDAYS(R877,R877,JoursFeries),MEDIAN(MOD(R877,1),HFer,HOuv),HFer)-IF(NETWORKDAYS(BK877,BK877,JoursFeries),MEDIAN(MOD(BK877,1),HFer,HOuv),HOuv))*24,4)))/HJour,4),""))</f>
        <v/>
      </c>
      <c r="BM877" s="35" t="str">
        <f aca="false">IF(OR(AO877&lt;&gt;1,R877=""),"",IF(BD877=1,1,0))</f>
        <v/>
      </c>
      <c r="BN877" s="35" t="str">
        <f aca="false">IF(AO877&lt;&gt;1,"",IF(W877="Oui",1,0))</f>
        <v/>
      </c>
      <c r="BO877" s="35" t="str">
        <f aca="false">IF(AO877&lt;&gt;1,"",IF(X877&lt;&gt;"",1,0))</f>
        <v/>
      </c>
      <c r="BP877" s="35" t="str">
        <f aca="false">IF(AO877&lt;&gt;1,"",IF(Y877="Oui",1,0))</f>
        <v/>
      </c>
      <c r="BQ877" s="35" t="str">
        <f aca="true">IF(OR(AO877&lt;&gt;1,Z877&lt;&gt;"Oui"),"",IF(AB877="",IF(AND(AA877&lt;&gt;"",NOW()&gt;AA877),0,""),IF(AA877="","",IF(AB877&lt;=AA877,1,0))))</f>
        <v/>
      </c>
      <c r="BR877" s="38" t="str">
        <f aca="false">IF(OR(AO877&lt;&gt;1,K877&lt;&gt;"Oui",O877=""),"",IF(AC877="",O877+DORA_H_DET/24,IF(AC877-O877&lt;=DORA_H_DET/24,MIN(AC877+DORA_H_CLA/24,O877+DORA_H_DET/24),AC877+DORA_H_CLA/24)))</f>
        <v/>
      </c>
      <c r="BS877" s="35" t="str">
        <f aca="true">IF(BR877="","",IF(AD877="",IF(NOW()&gt;BR877,0,""),IF(AD877&lt;=BR877,1,0)))</f>
        <v/>
      </c>
      <c r="BT877" s="35" t="str">
        <f aca="true">IF(OR(BR877="",AD877=""),"",IF(AE877="",IF(NOW()&gt;AD877+DORA_H_INT/24,0,""),IF(AE877&lt;=AD877+DORA_H_INT/24,1,0)))</f>
        <v/>
      </c>
      <c r="BU877" s="35" t="str">
        <f aca="true">IF(OR(BR877="",AE877=""),"",IF(AF877="",IF(NOW()&gt;EDATE(AE877,DORA_M_FIN)+1,0,""),IF(AF877&lt;=EDATE(AE877,DORA_M_FIN),1,0)))</f>
        <v/>
      </c>
      <c r="BV877" s="35" t="str">
        <f aca="false">IF(BR877="","",IF(COUNT(BS877:BU877)=0,"",MIN(BS877:BU877)))</f>
        <v/>
      </c>
      <c r="BW877" s="40" t="str">
        <f aca="false">IF(AQ877&lt;&gt;1,"",IF(AND(AG877="",AH877=""),"",N(AG877)-N(AH877)))</f>
        <v/>
      </c>
      <c r="BX877" s="35" t="str">
        <f aca="true">IF(OR(AQ877&lt;&gt;1,AI877&lt;&gt;"Oui",AJ877=""),"",IF(AK877="",IF(NOW()&gt;AJ877+1,0,""),IF(AK877&lt;=AJ877,1,0)))</f>
        <v/>
      </c>
    </row>
    <row r="878" customFormat="false" ht="15" hidden="false" customHeight="false" outlineLevel="0" collapsed="false">
      <c r="B878" s="29"/>
      <c r="C878" s="29"/>
      <c r="D878" s="29"/>
      <c r="E878" s="29"/>
      <c r="F878" s="29"/>
      <c r="G878" s="29"/>
      <c r="H878" s="29"/>
      <c r="I878" s="29"/>
      <c r="J878" s="29"/>
      <c r="K878" s="29"/>
      <c r="L878" s="29"/>
      <c r="M878" s="29"/>
      <c r="N878" s="30"/>
      <c r="O878" s="30"/>
      <c r="P878" s="30"/>
      <c r="Q878" s="30"/>
      <c r="R878" s="30"/>
      <c r="S878" s="30"/>
      <c r="T878" s="30"/>
      <c r="U878" s="30"/>
      <c r="V878" s="31"/>
      <c r="W878" s="29"/>
      <c r="X878" s="29"/>
      <c r="Y878" s="29"/>
      <c r="Z878" s="29"/>
      <c r="AA878" s="30"/>
      <c r="AB878" s="30"/>
      <c r="AC878" s="30"/>
      <c r="AD878" s="30"/>
      <c r="AE878" s="30"/>
      <c r="AF878" s="32"/>
      <c r="AG878" s="33"/>
      <c r="AH878" s="33"/>
      <c r="AI878" s="29"/>
      <c r="AJ878" s="32"/>
      <c r="AK878" s="32"/>
      <c r="AL878" s="29"/>
      <c r="AN878" s="34" t="str">
        <f aca="false">IF($B878="","",IF(OR(C878="",D878="",E878="",G878="",I878="",J878="",L878="",O878="",P878=""),"Champ obligatoire manquant",IF(OR(AND(N878&lt;&gt;"",N878&gt;O878),O878&gt;P878,AND(Q878&lt;&gt;"",Q878&lt;P878),AND(R878&lt;&gt;"",R878&lt;P878),AND(S878&lt;&gt;"",S878&lt;R878),AND(S878&lt;&gt;"",R878=""),AND(T878&lt;&gt;"",T878&lt;O878),AND(U878&lt;&gt;"",U878&lt;O878)),"Chronologie incohérente",IF(AND(OR(L878="Résolu",L878="Clos"),R878=""),"Date de résolution manquante",IF(AND(L878="Clos",S878=""),"Date de clôture manquante",IF(AND(K878="Oui",AC878=""),"Classification DORA manquante","OK"))))))</f>
        <v/>
      </c>
      <c r="AO878" s="35" t="str">
        <f aca="false">IF($B878="","",IF(AND(C878="Incident",L878&lt;&gt;"Annulé"),1,0))</f>
        <v/>
      </c>
      <c r="AP878" s="35" t="str">
        <f aca="false">IF($B878="","",IF(AND(C878="Quasi-incident",L878&lt;&gt;"Annulé"),1,0))</f>
        <v/>
      </c>
      <c r="AQ878" s="35" t="str">
        <f aca="false">IF($B878="","",AO878+AP878)</f>
        <v/>
      </c>
      <c r="AR878" s="36" t="str">
        <f aca="false">IF(OR($B878="",J878=""),"",IFERROR(VALUE(LEFT(J878,1)),""))</f>
        <v/>
      </c>
      <c r="AS878" s="35" t="str">
        <f aca="false">IF(OR(AO878&lt;&gt;1,G878=""),"",IFERROR(IF(INDEX(L_SrcInterne,MATCH(G878,L_Sources,0))="Oui",1,0),""))</f>
        <v/>
      </c>
      <c r="AT878" s="37" t="str">
        <f aca="false">IF(AO878&lt;&gt;1,"",IFERROR(ROUND(IF(OR(N878="",O878=""),"",IF(O878&lt;N878,"",ROUND(((NETWORKDAYS(N878,O878,JoursFeries)-1)*(HFer-HOuv)+IF(NETWORKDAYS(O878,O878,JoursFeries),MEDIAN(MOD(O878,1),HFer,HOuv),HFer)-IF(NETWORKDAYS(N878,N878,JoursFeries),MEDIAN(MOD(N878,1),HFer,HOuv),HOuv))*24,4)))/HJour,4),""))</f>
        <v/>
      </c>
      <c r="AU878" s="37" t="str">
        <f aca="false">IF(AO878&lt;&gt;1,"",IF(OR(O878="",P878=""),"",IF(P878&lt;O878,"",ROUND(((NETWORKDAYS(O878,P878,JoursFeries)-1)*(HFer-HOuv)+IF(NETWORKDAYS(P878,P878,JoursFeries),MEDIAN(MOD(P878,1),HFer,HOuv),HFer)-IF(NETWORKDAYS(O878,O878,JoursFeries),MEDIAN(MOD(O878,1),HFer,HOuv),HOuv))*24,4))))</f>
        <v/>
      </c>
      <c r="AV878" s="37" t="str">
        <f aca="false">IF(AO878&lt;&gt;1,"",IF(OR(P878="",Q878=""),"",IF(Q878&lt;P878,"",ROUND(((NETWORKDAYS(P878,Q878,JoursFeries)-1)*(HFer-HOuv)+IF(NETWORKDAYS(Q878,Q878,JoursFeries),MEDIAN(MOD(Q878,1),HFer,HOuv),HFer)-IF(NETWORKDAYS(P878,P878,JoursFeries),MEDIAN(MOD(P878,1),HFer,HOuv),HOuv))*24,4))))</f>
        <v/>
      </c>
      <c r="AW878" s="37" t="str">
        <f aca="false">IF(AO878&lt;&gt;1,"",IFERROR(ROUND(IF(OR(P878="",R878=""),"",IF(R878&lt;P878,"",ROUND(((NETWORKDAYS(P878,R878,JoursFeries)-1)*(HFer-HOuv)+IF(NETWORKDAYS(R878,R878,JoursFeries),MEDIAN(MOD(R878,1),HFer,HOuv),HFer)-IF(NETWORKDAYS(P878,P878,JoursFeries),MEDIAN(MOD(P878,1),HFer,HOuv),HOuv))*24,4)))/HJour,4),""))</f>
        <v/>
      </c>
      <c r="AX878" s="37" t="str">
        <f aca="false">IF(AO878&lt;&gt;1,"",IFERROR(ROUND(IF(OR(P878="",S878=""),"",IF(S878&lt;P878,"",ROUND(((NETWORKDAYS(P878,S878,JoursFeries)-1)*(HFer-HOuv)+IF(NETWORKDAYS(S878,S878,JoursFeries),MEDIAN(MOD(S878,1),HFer,HOuv),HFer)-IF(NETWORKDAYS(P878,P878,JoursFeries),MEDIAN(MOD(P878,1),HFer,HOuv),HOuv))*24,4)))/HJour,4),""))</f>
        <v/>
      </c>
      <c r="AY878" s="36" t="str">
        <f aca="false">IF(OR(AO878&lt;&gt;1,AR878=""),"",INDEX(SLA_PEC,AR878))</f>
        <v/>
      </c>
      <c r="AZ878" s="35" t="str">
        <f aca="false">IF(OR(AV878="",AY878=""),"",IF(AV878&lt;=AY878,1,0))</f>
        <v/>
      </c>
      <c r="BA878" s="36" t="str">
        <f aca="false">IF(OR(AO878&lt;&gt;1,AR878=""),"",INDEX(SLA_RES,AR878))</f>
        <v/>
      </c>
      <c r="BB878" s="35" t="str">
        <f aca="false">IF(OR(AW878="",BA878=""),"",IF(AW878&lt;=BA878,1,0))</f>
        <v/>
      </c>
      <c r="BC878" s="38" t="str">
        <f aca="false">IF(OR(BA878="",P878=""),"",WORKDAY(INT(P878),BA878,JoursFeries)+MOD(P878,1))</f>
        <v/>
      </c>
      <c r="BD878" s="39" t="str">
        <f aca="false">IF(AO878&lt;&gt;1,"",IF(OR(AB878&lt;&gt;"",AD878&lt;&gt;""),4,IF(U878&lt;&gt;"",3,IF(T878&lt;&gt;"",2,1))))</f>
        <v/>
      </c>
      <c r="BE878" s="39" t="str">
        <f aca="false">IF(OR(AO878&lt;&gt;1,AR878=""),"",INDEX(NIV_REQ,AR878))</f>
        <v/>
      </c>
      <c r="BF878" s="39" t="str">
        <f aca="false">IF(BE878="","",MAX(BE878,IF(OR(K878="Oui",Z878="Oui"),4,1)))</f>
        <v/>
      </c>
      <c r="BG878" s="35" t="str">
        <f aca="false">IF(OR(BF878="",BD878=""),"",IF(BD878&gt;=BF878,1,0))</f>
        <v/>
      </c>
      <c r="BH878" s="38" t="str">
        <f aca="false">IF(BE878="","",IF(BE878&lt;2,"",IF(BE878=2,IF(AND(T878="",U878=""),"",MIN(T878,U878)),IF(U878="","",U878))))</f>
        <v/>
      </c>
      <c r="BI878" s="37" t="str">
        <f aca="false">IF(BH878="","",IF(OR(O878="",BH878=""),"",IF(BH878&lt;O878,"",ROUND(((NETWORKDAYS(O878,BH878,JoursFeries)-1)*(HFer-HOuv)+IF(NETWORKDAYS(BH878,BH878,JoursFeries),MEDIAN(MOD(BH878,1),HFer,HOuv),HFer)-IF(NETWORKDAYS(O878,O878,JoursFeries),MEDIAN(MOD(O878,1),HFer,HOuv),HOuv))*24,4))))</f>
        <v/>
      </c>
      <c r="BJ878" s="35" t="str">
        <f aca="false">IF(OR(BI878="",AR878=""),"",IF(BI878&lt;=INDEX(DELAI_ESC,AR878),1,0))</f>
        <v/>
      </c>
      <c r="BK878" s="38" t="str">
        <f aca="false">IF(AO878&lt;&gt;1,"",IF(AND(T878="",U878=""),"",MIN(T878,U878)))</f>
        <v/>
      </c>
      <c r="BL878" s="37" t="str">
        <f aca="false">IF(OR(BK878="",R878=""),"",IFERROR(ROUND(IF(OR(BK878="",R878=""),"",IF(R878&lt;BK878,"",ROUND(((NETWORKDAYS(BK878,R878,JoursFeries)-1)*(HFer-HOuv)+IF(NETWORKDAYS(R878,R878,JoursFeries),MEDIAN(MOD(R878,1),HFer,HOuv),HFer)-IF(NETWORKDAYS(BK878,BK878,JoursFeries),MEDIAN(MOD(BK878,1),HFer,HOuv),HOuv))*24,4)))/HJour,4),""))</f>
        <v/>
      </c>
      <c r="BM878" s="35" t="str">
        <f aca="false">IF(OR(AO878&lt;&gt;1,R878=""),"",IF(BD878=1,1,0))</f>
        <v/>
      </c>
      <c r="BN878" s="35" t="str">
        <f aca="false">IF(AO878&lt;&gt;1,"",IF(W878="Oui",1,0))</f>
        <v/>
      </c>
      <c r="BO878" s="35" t="str">
        <f aca="false">IF(AO878&lt;&gt;1,"",IF(X878&lt;&gt;"",1,0))</f>
        <v/>
      </c>
      <c r="BP878" s="35" t="str">
        <f aca="false">IF(AO878&lt;&gt;1,"",IF(Y878="Oui",1,0))</f>
        <v/>
      </c>
      <c r="BQ878" s="35" t="str">
        <f aca="true">IF(OR(AO878&lt;&gt;1,Z878&lt;&gt;"Oui"),"",IF(AB878="",IF(AND(AA878&lt;&gt;"",NOW()&gt;AA878),0,""),IF(AA878="","",IF(AB878&lt;=AA878,1,0))))</f>
        <v/>
      </c>
      <c r="BR878" s="38" t="str">
        <f aca="false">IF(OR(AO878&lt;&gt;1,K878&lt;&gt;"Oui",O878=""),"",IF(AC878="",O878+DORA_H_DET/24,IF(AC878-O878&lt;=DORA_H_DET/24,MIN(AC878+DORA_H_CLA/24,O878+DORA_H_DET/24),AC878+DORA_H_CLA/24)))</f>
        <v/>
      </c>
      <c r="BS878" s="35" t="str">
        <f aca="true">IF(BR878="","",IF(AD878="",IF(NOW()&gt;BR878,0,""),IF(AD878&lt;=BR878,1,0)))</f>
        <v/>
      </c>
      <c r="BT878" s="35" t="str">
        <f aca="true">IF(OR(BR878="",AD878=""),"",IF(AE878="",IF(NOW()&gt;AD878+DORA_H_INT/24,0,""),IF(AE878&lt;=AD878+DORA_H_INT/24,1,0)))</f>
        <v/>
      </c>
      <c r="BU878" s="35" t="str">
        <f aca="true">IF(OR(BR878="",AE878=""),"",IF(AF878="",IF(NOW()&gt;EDATE(AE878,DORA_M_FIN)+1,0,""),IF(AF878&lt;=EDATE(AE878,DORA_M_FIN),1,0)))</f>
        <v/>
      </c>
      <c r="BV878" s="35" t="str">
        <f aca="false">IF(BR878="","",IF(COUNT(BS878:BU878)=0,"",MIN(BS878:BU878)))</f>
        <v/>
      </c>
      <c r="BW878" s="40" t="str">
        <f aca="false">IF(AQ878&lt;&gt;1,"",IF(AND(AG878="",AH878=""),"",N(AG878)-N(AH878)))</f>
        <v/>
      </c>
      <c r="BX878" s="35" t="str">
        <f aca="true">IF(OR(AQ878&lt;&gt;1,AI878&lt;&gt;"Oui",AJ878=""),"",IF(AK878="",IF(NOW()&gt;AJ878+1,0,""),IF(AK878&lt;=AJ878,1,0)))</f>
        <v/>
      </c>
    </row>
    <row r="879" customFormat="false" ht="15" hidden="false" customHeight="false" outlineLevel="0" collapsed="false">
      <c r="B879" s="29"/>
      <c r="C879" s="29"/>
      <c r="D879" s="29"/>
      <c r="E879" s="29"/>
      <c r="F879" s="29"/>
      <c r="G879" s="29"/>
      <c r="H879" s="29"/>
      <c r="I879" s="29"/>
      <c r="J879" s="29"/>
      <c r="K879" s="29"/>
      <c r="L879" s="29"/>
      <c r="M879" s="29"/>
      <c r="N879" s="30"/>
      <c r="O879" s="30"/>
      <c r="P879" s="30"/>
      <c r="Q879" s="30"/>
      <c r="R879" s="30"/>
      <c r="S879" s="30"/>
      <c r="T879" s="30"/>
      <c r="U879" s="30"/>
      <c r="V879" s="31"/>
      <c r="W879" s="29"/>
      <c r="X879" s="29"/>
      <c r="Y879" s="29"/>
      <c r="Z879" s="29"/>
      <c r="AA879" s="30"/>
      <c r="AB879" s="30"/>
      <c r="AC879" s="30"/>
      <c r="AD879" s="30"/>
      <c r="AE879" s="30"/>
      <c r="AF879" s="32"/>
      <c r="AG879" s="33"/>
      <c r="AH879" s="33"/>
      <c r="AI879" s="29"/>
      <c r="AJ879" s="32"/>
      <c r="AK879" s="32"/>
      <c r="AL879" s="29"/>
      <c r="AN879" s="34" t="str">
        <f aca="false">IF($B879="","",IF(OR(C879="",D879="",E879="",G879="",I879="",J879="",L879="",O879="",P879=""),"Champ obligatoire manquant",IF(OR(AND(N879&lt;&gt;"",N879&gt;O879),O879&gt;P879,AND(Q879&lt;&gt;"",Q879&lt;P879),AND(R879&lt;&gt;"",R879&lt;P879),AND(S879&lt;&gt;"",S879&lt;R879),AND(S879&lt;&gt;"",R879=""),AND(T879&lt;&gt;"",T879&lt;O879),AND(U879&lt;&gt;"",U879&lt;O879)),"Chronologie incohérente",IF(AND(OR(L879="Résolu",L879="Clos"),R879=""),"Date de résolution manquante",IF(AND(L879="Clos",S879=""),"Date de clôture manquante",IF(AND(K879="Oui",AC879=""),"Classification DORA manquante","OK"))))))</f>
        <v/>
      </c>
      <c r="AO879" s="35" t="str">
        <f aca="false">IF($B879="","",IF(AND(C879="Incident",L879&lt;&gt;"Annulé"),1,0))</f>
        <v/>
      </c>
      <c r="AP879" s="35" t="str">
        <f aca="false">IF($B879="","",IF(AND(C879="Quasi-incident",L879&lt;&gt;"Annulé"),1,0))</f>
        <v/>
      </c>
      <c r="AQ879" s="35" t="str">
        <f aca="false">IF($B879="","",AO879+AP879)</f>
        <v/>
      </c>
      <c r="AR879" s="36" t="str">
        <f aca="false">IF(OR($B879="",J879=""),"",IFERROR(VALUE(LEFT(J879,1)),""))</f>
        <v/>
      </c>
      <c r="AS879" s="35" t="str">
        <f aca="false">IF(OR(AO879&lt;&gt;1,G879=""),"",IFERROR(IF(INDEX(L_SrcInterne,MATCH(G879,L_Sources,0))="Oui",1,0),""))</f>
        <v/>
      </c>
      <c r="AT879" s="37" t="str">
        <f aca="false">IF(AO879&lt;&gt;1,"",IFERROR(ROUND(IF(OR(N879="",O879=""),"",IF(O879&lt;N879,"",ROUND(((NETWORKDAYS(N879,O879,JoursFeries)-1)*(HFer-HOuv)+IF(NETWORKDAYS(O879,O879,JoursFeries),MEDIAN(MOD(O879,1),HFer,HOuv),HFer)-IF(NETWORKDAYS(N879,N879,JoursFeries),MEDIAN(MOD(N879,1),HFer,HOuv),HOuv))*24,4)))/HJour,4),""))</f>
        <v/>
      </c>
      <c r="AU879" s="37" t="str">
        <f aca="false">IF(AO879&lt;&gt;1,"",IF(OR(O879="",P879=""),"",IF(P879&lt;O879,"",ROUND(((NETWORKDAYS(O879,P879,JoursFeries)-1)*(HFer-HOuv)+IF(NETWORKDAYS(P879,P879,JoursFeries),MEDIAN(MOD(P879,1),HFer,HOuv),HFer)-IF(NETWORKDAYS(O879,O879,JoursFeries),MEDIAN(MOD(O879,1),HFer,HOuv),HOuv))*24,4))))</f>
        <v/>
      </c>
      <c r="AV879" s="37" t="str">
        <f aca="false">IF(AO879&lt;&gt;1,"",IF(OR(P879="",Q879=""),"",IF(Q879&lt;P879,"",ROUND(((NETWORKDAYS(P879,Q879,JoursFeries)-1)*(HFer-HOuv)+IF(NETWORKDAYS(Q879,Q879,JoursFeries),MEDIAN(MOD(Q879,1),HFer,HOuv),HFer)-IF(NETWORKDAYS(P879,P879,JoursFeries),MEDIAN(MOD(P879,1),HFer,HOuv),HOuv))*24,4))))</f>
        <v/>
      </c>
      <c r="AW879" s="37" t="str">
        <f aca="false">IF(AO879&lt;&gt;1,"",IFERROR(ROUND(IF(OR(P879="",R879=""),"",IF(R879&lt;P879,"",ROUND(((NETWORKDAYS(P879,R879,JoursFeries)-1)*(HFer-HOuv)+IF(NETWORKDAYS(R879,R879,JoursFeries),MEDIAN(MOD(R879,1),HFer,HOuv),HFer)-IF(NETWORKDAYS(P879,P879,JoursFeries),MEDIAN(MOD(P879,1),HFer,HOuv),HOuv))*24,4)))/HJour,4),""))</f>
        <v/>
      </c>
      <c r="AX879" s="37" t="str">
        <f aca="false">IF(AO879&lt;&gt;1,"",IFERROR(ROUND(IF(OR(P879="",S879=""),"",IF(S879&lt;P879,"",ROUND(((NETWORKDAYS(P879,S879,JoursFeries)-1)*(HFer-HOuv)+IF(NETWORKDAYS(S879,S879,JoursFeries),MEDIAN(MOD(S879,1),HFer,HOuv),HFer)-IF(NETWORKDAYS(P879,P879,JoursFeries),MEDIAN(MOD(P879,1),HFer,HOuv),HOuv))*24,4)))/HJour,4),""))</f>
        <v/>
      </c>
      <c r="AY879" s="36" t="str">
        <f aca="false">IF(OR(AO879&lt;&gt;1,AR879=""),"",INDEX(SLA_PEC,AR879))</f>
        <v/>
      </c>
      <c r="AZ879" s="35" t="str">
        <f aca="false">IF(OR(AV879="",AY879=""),"",IF(AV879&lt;=AY879,1,0))</f>
        <v/>
      </c>
      <c r="BA879" s="36" t="str">
        <f aca="false">IF(OR(AO879&lt;&gt;1,AR879=""),"",INDEX(SLA_RES,AR879))</f>
        <v/>
      </c>
      <c r="BB879" s="35" t="str">
        <f aca="false">IF(OR(AW879="",BA879=""),"",IF(AW879&lt;=BA879,1,0))</f>
        <v/>
      </c>
      <c r="BC879" s="38" t="str">
        <f aca="false">IF(OR(BA879="",P879=""),"",WORKDAY(INT(P879),BA879,JoursFeries)+MOD(P879,1))</f>
        <v/>
      </c>
      <c r="BD879" s="39" t="str">
        <f aca="false">IF(AO879&lt;&gt;1,"",IF(OR(AB879&lt;&gt;"",AD879&lt;&gt;""),4,IF(U879&lt;&gt;"",3,IF(T879&lt;&gt;"",2,1))))</f>
        <v/>
      </c>
      <c r="BE879" s="39" t="str">
        <f aca="false">IF(OR(AO879&lt;&gt;1,AR879=""),"",INDEX(NIV_REQ,AR879))</f>
        <v/>
      </c>
      <c r="BF879" s="39" t="str">
        <f aca="false">IF(BE879="","",MAX(BE879,IF(OR(K879="Oui",Z879="Oui"),4,1)))</f>
        <v/>
      </c>
      <c r="BG879" s="35" t="str">
        <f aca="false">IF(OR(BF879="",BD879=""),"",IF(BD879&gt;=BF879,1,0))</f>
        <v/>
      </c>
      <c r="BH879" s="38" t="str">
        <f aca="false">IF(BE879="","",IF(BE879&lt;2,"",IF(BE879=2,IF(AND(T879="",U879=""),"",MIN(T879,U879)),IF(U879="","",U879))))</f>
        <v/>
      </c>
      <c r="BI879" s="37" t="str">
        <f aca="false">IF(BH879="","",IF(OR(O879="",BH879=""),"",IF(BH879&lt;O879,"",ROUND(((NETWORKDAYS(O879,BH879,JoursFeries)-1)*(HFer-HOuv)+IF(NETWORKDAYS(BH879,BH879,JoursFeries),MEDIAN(MOD(BH879,1),HFer,HOuv),HFer)-IF(NETWORKDAYS(O879,O879,JoursFeries),MEDIAN(MOD(O879,1),HFer,HOuv),HOuv))*24,4))))</f>
        <v/>
      </c>
      <c r="BJ879" s="35" t="str">
        <f aca="false">IF(OR(BI879="",AR879=""),"",IF(BI879&lt;=INDEX(DELAI_ESC,AR879),1,0))</f>
        <v/>
      </c>
      <c r="BK879" s="38" t="str">
        <f aca="false">IF(AO879&lt;&gt;1,"",IF(AND(T879="",U879=""),"",MIN(T879,U879)))</f>
        <v/>
      </c>
      <c r="BL879" s="37" t="str">
        <f aca="false">IF(OR(BK879="",R879=""),"",IFERROR(ROUND(IF(OR(BK879="",R879=""),"",IF(R879&lt;BK879,"",ROUND(((NETWORKDAYS(BK879,R879,JoursFeries)-1)*(HFer-HOuv)+IF(NETWORKDAYS(R879,R879,JoursFeries),MEDIAN(MOD(R879,1),HFer,HOuv),HFer)-IF(NETWORKDAYS(BK879,BK879,JoursFeries),MEDIAN(MOD(BK879,1),HFer,HOuv),HOuv))*24,4)))/HJour,4),""))</f>
        <v/>
      </c>
      <c r="BM879" s="35" t="str">
        <f aca="false">IF(OR(AO879&lt;&gt;1,R879=""),"",IF(BD879=1,1,0))</f>
        <v/>
      </c>
      <c r="BN879" s="35" t="str">
        <f aca="false">IF(AO879&lt;&gt;1,"",IF(W879="Oui",1,0))</f>
        <v/>
      </c>
      <c r="BO879" s="35" t="str">
        <f aca="false">IF(AO879&lt;&gt;1,"",IF(X879&lt;&gt;"",1,0))</f>
        <v/>
      </c>
      <c r="BP879" s="35" t="str">
        <f aca="false">IF(AO879&lt;&gt;1,"",IF(Y879="Oui",1,0))</f>
        <v/>
      </c>
      <c r="BQ879" s="35" t="str">
        <f aca="true">IF(OR(AO879&lt;&gt;1,Z879&lt;&gt;"Oui"),"",IF(AB879="",IF(AND(AA879&lt;&gt;"",NOW()&gt;AA879),0,""),IF(AA879="","",IF(AB879&lt;=AA879,1,0))))</f>
        <v/>
      </c>
      <c r="BR879" s="38" t="str">
        <f aca="false">IF(OR(AO879&lt;&gt;1,K879&lt;&gt;"Oui",O879=""),"",IF(AC879="",O879+DORA_H_DET/24,IF(AC879-O879&lt;=DORA_H_DET/24,MIN(AC879+DORA_H_CLA/24,O879+DORA_H_DET/24),AC879+DORA_H_CLA/24)))</f>
        <v/>
      </c>
      <c r="BS879" s="35" t="str">
        <f aca="true">IF(BR879="","",IF(AD879="",IF(NOW()&gt;BR879,0,""),IF(AD879&lt;=BR879,1,0)))</f>
        <v/>
      </c>
      <c r="BT879" s="35" t="str">
        <f aca="true">IF(OR(BR879="",AD879=""),"",IF(AE879="",IF(NOW()&gt;AD879+DORA_H_INT/24,0,""),IF(AE879&lt;=AD879+DORA_H_INT/24,1,0)))</f>
        <v/>
      </c>
      <c r="BU879" s="35" t="str">
        <f aca="true">IF(OR(BR879="",AE879=""),"",IF(AF879="",IF(NOW()&gt;EDATE(AE879,DORA_M_FIN)+1,0,""),IF(AF879&lt;=EDATE(AE879,DORA_M_FIN),1,0)))</f>
        <v/>
      </c>
      <c r="BV879" s="35" t="str">
        <f aca="false">IF(BR879="","",IF(COUNT(BS879:BU879)=0,"",MIN(BS879:BU879)))</f>
        <v/>
      </c>
      <c r="BW879" s="40" t="str">
        <f aca="false">IF(AQ879&lt;&gt;1,"",IF(AND(AG879="",AH879=""),"",N(AG879)-N(AH879)))</f>
        <v/>
      </c>
      <c r="BX879" s="35" t="str">
        <f aca="true">IF(OR(AQ879&lt;&gt;1,AI879&lt;&gt;"Oui",AJ879=""),"",IF(AK879="",IF(NOW()&gt;AJ879+1,0,""),IF(AK879&lt;=AJ879,1,0)))</f>
        <v/>
      </c>
    </row>
    <row r="880" customFormat="false" ht="15" hidden="false" customHeight="false" outlineLevel="0" collapsed="false">
      <c r="B880" s="29"/>
      <c r="C880" s="29"/>
      <c r="D880" s="29"/>
      <c r="E880" s="29"/>
      <c r="F880" s="29"/>
      <c r="G880" s="29"/>
      <c r="H880" s="29"/>
      <c r="I880" s="29"/>
      <c r="J880" s="29"/>
      <c r="K880" s="29"/>
      <c r="L880" s="29"/>
      <c r="M880" s="29"/>
      <c r="N880" s="30"/>
      <c r="O880" s="30"/>
      <c r="P880" s="30"/>
      <c r="Q880" s="30"/>
      <c r="R880" s="30"/>
      <c r="S880" s="30"/>
      <c r="T880" s="30"/>
      <c r="U880" s="30"/>
      <c r="V880" s="31"/>
      <c r="W880" s="29"/>
      <c r="X880" s="29"/>
      <c r="Y880" s="29"/>
      <c r="Z880" s="29"/>
      <c r="AA880" s="30"/>
      <c r="AB880" s="30"/>
      <c r="AC880" s="30"/>
      <c r="AD880" s="30"/>
      <c r="AE880" s="30"/>
      <c r="AF880" s="32"/>
      <c r="AG880" s="33"/>
      <c r="AH880" s="33"/>
      <c r="AI880" s="29"/>
      <c r="AJ880" s="32"/>
      <c r="AK880" s="32"/>
      <c r="AL880" s="29"/>
      <c r="AN880" s="34" t="str">
        <f aca="false">IF($B880="","",IF(OR(C880="",D880="",E880="",G880="",I880="",J880="",L880="",O880="",P880=""),"Champ obligatoire manquant",IF(OR(AND(N880&lt;&gt;"",N880&gt;O880),O880&gt;P880,AND(Q880&lt;&gt;"",Q880&lt;P880),AND(R880&lt;&gt;"",R880&lt;P880),AND(S880&lt;&gt;"",S880&lt;R880),AND(S880&lt;&gt;"",R880=""),AND(T880&lt;&gt;"",T880&lt;O880),AND(U880&lt;&gt;"",U880&lt;O880)),"Chronologie incohérente",IF(AND(OR(L880="Résolu",L880="Clos"),R880=""),"Date de résolution manquante",IF(AND(L880="Clos",S880=""),"Date de clôture manquante",IF(AND(K880="Oui",AC880=""),"Classification DORA manquante","OK"))))))</f>
        <v/>
      </c>
      <c r="AO880" s="35" t="str">
        <f aca="false">IF($B880="","",IF(AND(C880="Incident",L880&lt;&gt;"Annulé"),1,0))</f>
        <v/>
      </c>
      <c r="AP880" s="35" t="str">
        <f aca="false">IF($B880="","",IF(AND(C880="Quasi-incident",L880&lt;&gt;"Annulé"),1,0))</f>
        <v/>
      </c>
      <c r="AQ880" s="35" t="str">
        <f aca="false">IF($B880="","",AO880+AP880)</f>
        <v/>
      </c>
      <c r="AR880" s="36" t="str">
        <f aca="false">IF(OR($B880="",J880=""),"",IFERROR(VALUE(LEFT(J880,1)),""))</f>
        <v/>
      </c>
      <c r="AS880" s="35" t="str">
        <f aca="false">IF(OR(AO880&lt;&gt;1,G880=""),"",IFERROR(IF(INDEX(L_SrcInterne,MATCH(G880,L_Sources,0))="Oui",1,0),""))</f>
        <v/>
      </c>
      <c r="AT880" s="37" t="str">
        <f aca="false">IF(AO880&lt;&gt;1,"",IFERROR(ROUND(IF(OR(N880="",O880=""),"",IF(O880&lt;N880,"",ROUND(((NETWORKDAYS(N880,O880,JoursFeries)-1)*(HFer-HOuv)+IF(NETWORKDAYS(O880,O880,JoursFeries),MEDIAN(MOD(O880,1),HFer,HOuv),HFer)-IF(NETWORKDAYS(N880,N880,JoursFeries),MEDIAN(MOD(N880,1),HFer,HOuv),HOuv))*24,4)))/HJour,4),""))</f>
        <v/>
      </c>
      <c r="AU880" s="37" t="str">
        <f aca="false">IF(AO880&lt;&gt;1,"",IF(OR(O880="",P880=""),"",IF(P880&lt;O880,"",ROUND(((NETWORKDAYS(O880,P880,JoursFeries)-1)*(HFer-HOuv)+IF(NETWORKDAYS(P880,P880,JoursFeries),MEDIAN(MOD(P880,1),HFer,HOuv),HFer)-IF(NETWORKDAYS(O880,O880,JoursFeries),MEDIAN(MOD(O880,1),HFer,HOuv),HOuv))*24,4))))</f>
        <v/>
      </c>
      <c r="AV880" s="37" t="str">
        <f aca="false">IF(AO880&lt;&gt;1,"",IF(OR(P880="",Q880=""),"",IF(Q880&lt;P880,"",ROUND(((NETWORKDAYS(P880,Q880,JoursFeries)-1)*(HFer-HOuv)+IF(NETWORKDAYS(Q880,Q880,JoursFeries),MEDIAN(MOD(Q880,1),HFer,HOuv),HFer)-IF(NETWORKDAYS(P880,P880,JoursFeries),MEDIAN(MOD(P880,1),HFer,HOuv),HOuv))*24,4))))</f>
        <v/>
      </c>
      <c r="AW880" s="37" t="str">
        <f aca="false">IF(AO880&lt;&gt;1,"",IFERROR(ROUND(IF(OR(P880="",R880=""),"",IF(R880&lt;P880,"",ROUND(((NETWORKDAYS(P880,R880,JoursFeries)-1)*(HFer-HOuv)+IF(NETWORKDAYS(R880,R880,JoursFeries),MEDIAN(MOD(R880,1),HFer,HOuv),HFer)-IF(NETWORKDAYS(P880,P880,JoursFeries),MEDIAN(MOD(P880,1),HFer,HOuv),HOuv))*24,4)))/HJour,4),""))</f>
        <v/>
      </c>
      <c r="AX880" s="37" t="str">
        <f aca="false">IF(AO880&lt;&gt;1,"",IFERROR(ROUND(IF(OR(P880="",S880=""),"",IF(S880&lt;P880,"",ROUND(((NETWORKDAYS(P880,S880,JoursFeries)-1)*(HFer-HOuv)+IF(NETWORKDAYS(S880,S880,JoursFeries),MEDIAN(MOD(S880,1),HFer,HOuv),HFer)-IF(NETWORKDAYS(P880,P880,JoursFeries),MEDIAN(MOD(P880,1),HFer,HOuv),HOuv))*24,4)))/HJour,4),""))</f>
        <v/>
      </c>
      <c r="AY880" s="36" t="str">
        <f aca="false">IF(OR(AO880&lt;&gt;1,AR880=""),"",INDEX(SLA_PEC,AR880))</f>
        <v/>
      </c>
      <c r="AZ880" s="35" t="str">
        <f aca="false">IF(OR(AV880="",AY880=""),"",IF(AV880&lt;=AY880,1,0))</f>
        <v/>
      </c>
      <c r="BA880" s="36" t="str">
        <f aca="false">IF(OR(AO880&lt;&gt;1,AR880=""),"",INDEX(SLA_RES,AR880))</f>
        <v/>
      </c>
      <c r="BB880" s="35" t="str">
        <f aca="false">IF(OR(AW880="",BA880=""),"",IF(AW880&lt;=BA880,1,0))</f>
        <v/>
      </c>
      <c r="BC880" s="38" t="str">
        <f aca="false">IF(OR(BA880="",P880=""),"",WORKDAY(INT(P880),BA880,JoursFeries)+MOD(P880,1))</f>
        <v/>
      </c>
      <c r="BD880" s="39" t="str">
        <f aca="false">IF(AO880&lt;&gt;1,"",IF(OR(AB880&lt;&gt;"",AD880&lt;&gt;""),4,IF(U880&lt;&gt;"",3,IF(T880&lt;&gt;"",2,1))))</f>
        <v/>
      </c>
      <c r="BE880" s="39" t="str">
        <f aca="false">IF(OR(AO880&lt;&gt;1,AR880=""),"",INDEX(NIV_REQ,AR880))</f>
        <v/>
      </c>
      <c r="BF880" s="39" t="str">
        <f aca="false">IF(BE880="","",MAX(BE880,IF(OR(K880="Oui",Z880="Oui"),4,1)))</f>
        <v/>
      </c>
      <c r="BG880" s="35" t="str">
        <f aca="false">IF(OR(BF880="",BD880=""),"",IF(BD880&gt;=BF880,1,0))</f>
        <v/>
      </c>
      <c r="BH880" s="38" t="str">
        <f aca="false">IF(BE880="","",IF(BE880&lt;2,"",IF(BE880=2,IF(AND(T880="",U880=""),"",MIN(T880,U880)),IF(U880="","",U880))))</f>
        <v/>
      </c>
      <c r="BI880" s="37" t="str">
        <f aca="false">IF(BH880="","",IF(OR(O880="",BH880=""),"",IF(BH880&lt;O880,"",ROUND(((NETWORKDAYS(O880,BH880,JoursFeries)-1)*(HFer-HOuv)+IF(NETWORKDAYS(BH880,BH880,JoursFeries),MEDIAN(MOD(BH880,1),HFer,HOuv),HFer)-IF(NETWORKDAYS(O880,O880,JoursFeries),MEDIAN(MOD(O880,1),HFer,HOuv),HOuv))*24,4))))</f>
        <v/>
      </c>
      <c r="BJ880" s="35" t="str">
        <f aca="false">IF(OR(BI880="",AR880=""),"",IF(BI880&lt;=INDEX(DELAI_ESC,AR880),1,0))</f>
        <v/>
      </c>
      <c r="BK880" s="38" t="str">
        <f aca="false">IF(AO880&lt;&gt;1,"",IF(AND(T880="",U880=""),"",MIN(T880,U880)))</f>
        <v/>
      </c>
      <c r="BL880" s="37" t="str">
        <f aca="false">IF(OR(BK880="",R880=""),"",IFERROR(ROUND(IF(OR(BK880="",R880=""),"",IF(R880&lt;BK880,"",ROUND(((NETWORKDAYS(BK880,R880,JoursFeries)-1)*(HFer-HOuv)+IF(NETWORKDAYS(R880,R880,JoursFeries),MEDIAN(MOD(R880,1),HFer,HOuv),HFer)-IF(NETWORKDAYS(BK880,BK880,JoursFeries),MEDIAN(MOD(BK880,1),HFer,HOuv),HOuv))*24,4)))/HJour,4),""))</f>
        <v/>
      </c>
      <c r="BM880" s="35" t="str">
        <f aca="false">IF(OR(AO880&lt;&gt;1,R880=""),"",IF(BD880=1,1,0))</f>
        <v/>
      </c>
      <c r="BN880" s="35" t="str">
        <f aca="false">IF(AO880&lt;&gt;1,"",IF(W880="Oui",1,0))</f>
        <v/>
      </c>
      <c r="BO880" s="35" t="str">
        <f aca="false">IF(AO880&lt;&gt;1,"",IF(X880&lt;&gt;"",1,0))</f>
        <v/>
      </c>
      <c r="BP880" s="35" t="str">
        <f aca="false">IF(AO880&lt;&gt;1,"",IF(Y880="Oui",1,0))</f>
        <v/>
      </c>
      <c r="BQ880" s="35" t="str">
        <f aca="true">IF(OR(AO880&lt;&gt;1,Z880&lt;&gt;"Oui"),"",IF(AB880="",IF(AND(AA880&lt;&gt;"",NOW()&gt;AA880),0,""),IF(AA880="","",IF(AB880&lt;=AA880,1,0))))</f>
        <v/>
      </c>
      <c r="BR880" s="38" t="str">
        <f aca="false">IF(OR(AO880&lt;&gt;1,K880&lt;&gt;"Oui",O880=""),"",IF(AC880="",O880+DORA_H_DET/24,IF(AC880-O880&lt;=DORA_H_DET/24,MIN(AC880+DORA_H_CLA/24,O880+DORA_H_DET/24),AC880+DORA_H_CLA/24)))</f>
        <v/>
      </c>
      <c r="BS880" s="35" t="str">
        <f aca="true">IF(BR880="","",IF(AD880="",IF(NOW()&gt;BR880,0,""),IF(AD880&lt;=BR880,1,0)))</f>
        <v/>
      </c>
      <c r="BT880" s="35" t="str">
        <f aca="true">IF(OR(BR880="",AD880=""),"",IF(AE880="",IF(NOW()&gt;AD880+DORA_H_INT/24,0,""),IF(AE880&lt;=AD880+DORA_H_INT/24,1,0)))</f>
        <v/>
      </c>
      <c r="BU880" s="35" t="str">
        <f aca="true">IF(OR(BR880="",AE880=""),"",IF(AF880="",IF(NOW()&gt;EDATE(AE880,DORA_M_FIN)+1,0,""),IF(AF880&lt;=EDATE(AE880,DORA_M_FIN),1,0)))</f>
        <v/>
      </c>
      <c r="BV880" s="35" t="str">
        <f aca="false">IF(BR880="","",IF(COUNT(BS880:BU880)=0,"",MIN(BS880:BU880)))</f>
        <v/>
      </c>
      <c r="BW880" s="40" t="str">
        <f aca="false">IF(AQ880&lt;&gt;1,"",IF(AND(AG880="",AH880=""),"",N(AG880)-N(AH880)))</f>
        <v/>
      </c>
      <c r="BX880" s="35" t="str">
        <f aca="true">IF(OR(AQ880&lt;&gt;1,AI880&lt;&gt;"Oui",AJ880=""),"",IF(AK880="",IF(NOW()&gt;AJ880+1,0,""),IF(AK880&lt;=AJ880,1,0)))</f>
        <v/>
      </c>
    </row>
    <row r="881" customFormat="false" ht="15" hidden="false" customHeight="false" outlineLevel="0" collapsed="false">
      <c r="B881" s="29"/>
      <c r="C881" s="29"/>
      <c r="D881" s="29"/>
      <c r="E881" s="29"/>
      <c r="F881" s="29"/>
      <c r="G881" s="29"/>
      <c r="H881" s="29"/>
      <c r="I881" s="29"/>
      <c r="J881" s="29"/>
      <c r="K881" s="29"/>
      <c r="L881" s="29"/>
      <c r="M881" s="29"/>
      <c r="N881" s="30"/>
      <c r="O881" s="30"/>
      <c r="P881" s="30"/>
      <c r="Q881" s="30"/>
      <c r="R881" s="30"/>
      <c r="S881" s="30"/>
      <c r="T881" s="30"/>
      <c r="U881" s="30"/>
      <c r="V881" s="31"/>
      <c r="W881" s="29"/>
      <c r="X881" s="29"/>
      <c r="Y881" s="29"/>
      <c r="Z881" s="29"/>
      <c r="AA881" s="30"/>
      <c r="AB881" s="30"/>
      <c r="AC881" s="30"/>
      <c r="AD881" s="30"/>
      <c r="AE881" s="30"/>
      <c r="AF881" s="32"/>
      <c r="AG881" s="33"/>
      <c r="AH881" s="33"/>
      <c r="AI881" s="29"/>
      <c r="AJ881" s="32"/>
      <c r="AK881" s="32"/>
      <c r="AL881" s="29"/>
      <c r="AN881" s="34" t="str">
        <f aca="false">IF($B881="","",IF(OR(C881="",D881="",E881="",G881="",I881="",J881="",L881="",O881="",P881=""),"Champ obligatoire manquant",IF(OR(AND(N881&lt;&gt;"",N881&gt;O881),O881&gt;P881,AND(Q881&lt;&gt;"",Q881&lt;P881),AND(R881&lt;&gt;"",R881&lt;P881),AND(S881&lt;&gt;"",S881&lt;R881),AND(S881&lt;&gt;"",R881=""),AND(T881&lt;&gt;"",T881&lt;O881),AND(U881&lt;&gt;"",U881&lt;O881)),"Chronologie incohérente",IF(AND(OR(L881="Résolu",L881="Clos"),R881=""),"Date de résolution manquante",IF(AND(L881="Clos",S881=""),"Date de clôture manquante",IF(AND(K881="Oui",AC881=""),"Classification DORA manquante","OK"))))))</f>
        <v/>
      </c>
      <c r="AO881" s="35" t="str">
        <f aca="false">IF($B881="","",IF(AND(C881="Incident",L881&lt;&gt;"Annulé"),1,0))</f>
        <v/>
      </c>
      <c r="AP881" s="35" t="str">
        <f aca="false">IF($B881="","",IF(AND(C881="Quasi-incident",L881&lt;&gt;"Annulé"),1,0))</f>
        <v/>
      </c>
      <c r="AQ881" s="35" t="str">
        <f aca="false">IF($B881="","",AO881+AP881)</f>
        <v/>
      </c>
      <c r="AR881" s="36" t="str">
        <f aca="false">IF(OR($B881="",J881=""),"",IFERROR(VALUE(LEFT(J881,1)),""))</f>
        <v/>
      </c>
      <c r="AS881" s="35" t="str">
        <f aca="false">IF(OR(AO881&lt;&gt;1,G881=""),"",IFERROR(IF(INDEX(L_SrcInterne,MATCH(G881,L_Sources,0))="Oui",1,0),""))</f>
        <v/>
      </c>
      <c r="AT881" s="37" t="str">
        <f aca="false">IF(AO881&lt;&gt;1,"",IFERROR(ROUND(IF(OR(N881="",O881=""),"",IF(O881&lt;N881,"",ROUND(((NETWORKDAYS(N881,O881,JoursFeries)-1)*(HFer-HOuv)+IF(NETWORKDAYS(O881,O881,JoursFeries),MEDIAN(MOD(O881,1),HFer,HOuv),HFer)-IF(NETWORKDAYS(N881,N881,JoursFeries),MEDIAN(MOD(N881,1),HFer,HOuv),HOuv))*24,4)))/HJour,4),""))</f>
        <v/>
      </c>
      <c r="AU881" s="37" t="str">
        <f aca="false">IF(AO881&lt;&gt;1,"",IF(OR(O881="",P881=""),"",IF(P881&lt;O881,"",ROUND(((NETWORKDAYS(O881,P881,JoursFeries)-1)*(HFer-HOuv)+IF(NETWORKDAYS(P881,P881,JoursFeries),MEDIAN(MOD(P881,1),HFer,HOuv),HFer)-IF(NETWORKDAYS(O881,O881,JoursFeries),MEDIAN(MOD(O881,1),HFer,HOuv),HOuv))*24,4))))</f>
        <v/>
      </c>
      <c r="AV881" s="37" t="str">
        <f aca="false">IF(AO881&lt;&gt;1,"",IF(OR(P881="",Q881=""),"",IF(Q881&lt;P881,"",ROUND(((NETWORKDAYS(P881,Q881,JoursFeries)-1)*(HFer-HOuv)+IF(NETWORKDAYS(Q881,Q881,JoursFeries),MEDIAN(MOD(Q881,1),HFer,HOuv),HFer)-IF(NETWORKDAYS(P881,P881,JoursFeries),MEDIAN(MOD(P881,1),HFer,HOuv),HOuv))*24,4))))</f>
        <v/>
      </c>
      <c r="AW881" s="37" t="str">
        <f aca="false">IF(AO881&lt;&gt;1,"",IFERROR(ROUND(IF(OR(P881="",R881=""),"",IF(R881&lt;P881,"",ROUND(((NETWORKDAYS(P881,R881,JoursFeries)-1)*(HFer-HOuv)+IF(NETWORKDAYS(R881,R881,JoursFeries),MEDIAN(MOD(R881,1),HFer,HOuv),HFer)-IF(NETWORKDAYS(P881,P881,JoursFeries),MEDIAN(MOD(P881,1),HFer,HOuv),HOuv))*24,4)))/HJour,4),""))</f>
        <v/>
      </c>
      <c r="AX881" s="37" t="str">
        <f aca="false">IF(AO881&lt;&gt;1,"",IFERROR(ROUND(IF(OR(P881="",S881=""),"",IF(S881&lt;P881,"",ROUND(((NETWORKDAYS(P881,S881,JoursFeries)-1)*(HFer-HOuv)+IF(NETWORKDAYS(S881,S881,JoursFeries),MEDIAN(MOD(S881,1),HFer,HOuv),HFer)-IF(NETWORKDAYS(P881,P881,JoursFeries),MEDIAN(MOD(P881,1),HFer,HOuv),HOuv))*24,4)))/HJour,4),""))</f>
        <v/>
      </c>
      <c r="AY881" s="36" t="str">
        <f aca="false">IF(OR(AO881&lt;&gt;1,AR881=""),"",INDEX(SLA_PEC,AR881))</f>
        <v/>
      </c>
      <c r="AZ881" s="35" t="str">
        <f aca="false">IF(OR(AV881="",AY881=""),"",IF(AV881&lt;=AY881,1,0))</f>
        <v/>
      </c>
      <c r="BA881" s="36" t="str">
        <f aca="false">IF(OR(AO881&lt;&gt;1,AR881=""),"",INDEX(SLA_RES,AR881))</f>
        <v/>
      </c>
      <c r="BB881" s="35" t="str">
        <f aca="false">IF(OR(AW881="",BA881=""),"",IF(AW881&lt;=BA881,1,0))</f>
        <v/>
      </c>
      <c r="BC881" s="38" t="str">
        <f aca="false">IF(OR(BA881="",P881=""),"",WORKDAY(INT(P881),BA881,JoursFeries)+MOD(P881,1))</f>
        <v/>
      </c>
      <c r="BD881" s="39" t="str">
        <f aca="false">IF(AO881&lt;&gt;1,"",IF(OR(AB881&lt;&gt;"",AD881&lt;&gt;""),4,IF(U881&lt;&gt;"",3,IF(T881&lt;&gt;"",2,1))))</f>
        <v/>
      </c>
      <c r="BE881" s="39" t="str">
        <f aca="false">IF(OR(AO881&lt;&gt;1,AR881=""),"",INDEX(NIV_REQ,AR881))</f>
        <v/>
      </c>
      <c r="BF881" s="39" t="str">
        <f aca="false">IF(BE881="","",MAX(BE881,IF(OR(K881="Oui",Z881="Oui"),4,1)))</f>
        <v/>
      </c>
      <c r="BG881" s="35" t="str">
        <f aca="false">IF(OR(BF881="",BD881=""),"",IF(BD881&gt;=BF881,1,0))</f>
        <v/>
      </c>
      <c r="BH881" s="38" t="str">
        <f aca="false">IF(BE881="","",IF(BE881&lt;2,"",IF(BE881=2,IF(AND(T881="",U881=""),"",MIN(T881,U881)),IF(U881="","",U881))))</f>
        <v/>
      </c>
      <c r="BI881" s="37" t="str">
        <f aca="false">IF(BH881="","",IF(OR(O881="",BH881=""),"",IF(BH881&lt;O881,"",ROUND(((NETWORKDAYS(O881,BH881,JoursFeries)-1)*(HFer-HOuv)+IF(NETWORKDAYS(BH881,BH881,JoursFeries),MEDIAN(MOD(BH881,1),HFer,HOuv),HFer)-IF(NETWORKDAYS(O881,O881,JoursFeries),MEDIAN(MOD(O881,1),HFer,HOuv),HOuv))*24,4))))</f>
        <v/>
      </c>
      <c r="BJ881" s="35" t="str">
        <f aca="false">IF(OR(BI881="",AR881=""),"",IF(BI881&lt;=INDEX(DELAI_ESC,AR881),1,0))</f>
        <v/>
      </c>
      <c r="BK881" s="38" t="str">
        <f aca="false">IF(AO881&lt;&gt;1,"",IF(AND(T881="",U881=""),"",MIN(T881,U881)))</f>
        <v/>
      </c>
      <c r="BL881" s="37" t="str">
        <f aca="false">IF(OR(BK881="",R881=""),"",IFERROR(ROUND(IF(OR(BK881="",R881=""),"",IF(R881&lt;BK881,"",ROUND(((NETWORKDAYS(BK881,R881,JoursFeries)-1)*(HFer-HOuv)+IF(NETWORKDAYS(R881,R881,JoursFeries),MEDIAN(MOD(R881,1),HFer,HOuv),HFer)-IF(NETWORKDAYS(BK881,BK881,JoursFeries),MEDIAN(MOD(BK881,1),HFer,HOuv),HOuv))*24,4)))/HJour,4),""))</f>
        <v/>
      </c>
      <c r="BM881" s="35" t="str">
        <f aca="false">IF(OR(AO881&lt;&gt;1,R881=""),"",IF(BD881=1,1,0))</f>
        <v/>
      </c>
      <c r="BN881" s="35" t="str">
        <f aca="false">IF(AO881&lt;&gt;1,"",IF(W881="Oui",1,0))</f>
        <v/>
      </c>
      <c r="BO881" s="35" t="str">
        <f aca="false">IF(AO881&lt;&gt;1,"",IF(X881&lt;&gt;"",1,0))</f>
        <v/>
      </c>
      <c r="BP881" s="35" t="str">
        <f aca="false">IF(AO881&lt;&gt;1,"",IF(Y881="Oui",1,0))</f>
        <v/>
      </c>
      <c r="BQ881" s="35" t="str">
        <f aca="true">IF(OR(AO881&lt;&gt;1,Z881&lt;&gt;"Oui"),"",IF(AB881="",IF(AND(AA881&lt;&gt;"",NOW()&gt;AA881),0,""),IF(AA881="","",IF(AB881&lt;=AA881,1,0))))</f>
        <v/>
      </c>
      <c r="BR881" s="38" t="str">
        <f aca="false">IF(OR(AO881&lt;&gt;1,K881&lt;&gt;"Oui",O881=""),"",IF(AC881="",O881+DORA_H_DET/24,IF(AC881-O881&lt;=DORA_H_DET/24,MIN(AC881+DORA_H_CLA/24,O881+DORA_H_DET/24),AC881+DORA_H_CLA/24)))</f>
        <v/>
      </c>
      <c r="BS881" s="35" t="str">
        <f aca="true">IF(BR881="","",IF(AD881="",IF(NOW()&gt;BR881,0,""),IF(AD881&lt;=BR881,1,0)))</f>
        <v/>
      </c>
      <c r="BT881" s="35" t="str">
        <f aca="true">IF(OR(BR881="",AD881=""),"",IF(AE881="",IF(NOW()&gt;AD881+DORA_H_INT/24,0,""),IF(AE881&lt;=AD881+DORA_H_INT/24,1,0)))</f>
        <v/>
      </c>
      <c r="BU881" s="35" t="str">
        <f aca="true">IF(OR(BR881="",AE881=""),"",IF(AF881="",IF(NOW()&gt;EDATE(AE881,DORA_M_FIN)+1,0,""),IF(AF881&lt;=EDATE(AE881,DORA_M_FIN),1,0)))</f>
        <v/>
      </c>
      <c r="BV881" s="35" t="str">
        <f aca="false">IF(BR881="","",IF(COUNT(BS881:BU881)=0,"",MIN(BS881:BU881)))</f>
        <v/>
      </c>
      <c r="BW881" s="40" t="str">
        <f aca="false">IF(AQ881&lt;&gt;1,"",IF(AND(AG881="",AH881=""),"",N(AG881)-N(AH881)))</f>
        <v/>
      </c>
      <c r="BX881" s="35" t="str">
        <f aca="true">IF(OR(AQ881&lt;&gt;1,AI881&lt;&gt;"Oui",AJ881=""),"",IF(AK881="",IF(NOW()&gt;AJ881+1,0,""),IF(AK881&lt;=AJ881,1,0)))</f>
        <v/>
      </c>
    </row>
    <row r="882" customFormat="false" ht="15" hidden="false" customHeight="false" outlineLevel="0" collapsed="false">
      <c r="B882" s="29"/>
      <c r="C882" s="29"/>
      <c r="D882" s="29"/>
      <c r="E882" s="29"/>
      <c r="F882" s="29"/>
      <c r="G882" s="29"/>
      <c r="H882" s="29"/>
      <c r="I882" s="29"/>
      <c r="J882" s="29"/>
      <c r="K882" s="29"/>
      <c r="L882" s="29"/>
      <c r="M882" s="29"/>
      <c r="N882" s="30"/>
      <c r="O882" s="30"/>
      <c r="P882" s="30"/>
      <c r="Q882" s="30"/>
      <c r="R882" s="30"/>
      <c r="S882" s="30"/>
      <c r="T882" s="30"/>
      <c r="U882" s="30"/>
      <c r="V882" s="31"/>
      <c r="W882" s="29"/>
      <c r="X882" s="29"/>
      <c r="Y882" s="29"/>
      <c r="Z882" s="29"/>
      <c r="AA882" s="30"/>
      <c r="AB882" s="30"/>
      <c r="AC882" s="30"/>
      <c r="AD882" s="30"/>
      <c r="AE882" s="30"/>
      <c r="AF882" s="32"/>
      <c r="AG882" s="33"/>
      <c r="AH882" s="33"/>
      <c r="AI882" s="29"/>
      <c r="AJ882" s="32"/>
      <c r="AK882" s="32"/>
      <c r="AL882" s="29"/>
      <c r="AN882" s="34" t="str">
        <f aca="false">IF($B882="","",IF(OR(C882="",D882="",E882="",G882="",I882="",J882="",L882="",O882="",P882=""),"Champ obligatoire manquant",IF(OR(AND(N882&lt;&gt;"",N882&gt;O882),O882&gt;P882,AND(Q882&lt;&gt;"",Q882&lt;P882),AND(R882&lt;&gt;"",R882&lt;P882),AND(S882&lt;&gt;"",S882&lt;R882),AND(S882&lt;&gt;"",R882=""),AND(T882&lt;&gt;"",T882&lt;O882),AND(U882&lt;&gt;"",U882&lt;O882)),"Chronologie incohérente",IF(AND(OR(L882="Résolu",L882="Clos"),R882=""),"Date de résolution manquante",IF(AND(L882="Clos",S882=""),"Date de clôture manquante",IF(AND(K882="Oui",AC882=""),"Classification DORA manquante","OK"))))))</f>
        <v/>
      </c>
      <c r="AO882" s="35" t="str">
        <f aca="false">IF($B882="","",IF(AND(C882="Incident",L882&lt;&gt;"Annulé"),1,0))</f>
        <v/>
      </c>
      <c r="AP882" s="35" t="str">
        <f aca="false">IF($B882="","",IF(AND(C882="Quasi-incident",L882&lt;&gt;"Annulé"),1,0))</f>
        <v/>
      </c>
      <c r="AQ882" s="35" t="str">
        <f aca="false">IF($B882="","",AO882+AP882)</f>
        <v/>
      </c>
      <c r="AR882" s="36" t="str">
        <f aca="false">IF(OR($B882="",J882=""),"",IFERROR(VALUE(LEFT(J882,1)),""))</f>
        <v/>
      </c>
      <c r="AS882" s="35" t="str">
        <f aca="false">IF(OR(AO882&lt;&gt;1,G882=""),"",IFERROR(IF(INDEX(L_SrcInterne,MATCH(G882,L_Sources,0))="Oui",1,0),""))</f>
        <v/>
      </c>
      <c r="AT882" s="37" t="str">
        <f aca="false">IF(AO882&lt;&gt;1,"",IFERROR(ROUND(IF(OR(N882="",O882=""),"",IF(O882&lt;N882,"",ROUND(((NETWORKDAYS(N882,O882,JoursFeries)-1)*(HFer-HOuv)+IF(NETWORKDAYS(O882,O882,JoursFeries),MEDIAN(MOD(O882,1),HFer,HOuv),HFer)-IF(NETWORKDAYS(N882,N882,JoursFeries),MEDIAN(MOD(N882,1),HFer,HOuv),HOuv))*24,4)))/HJour,4),""))</f>
        <v/>
      </c>
      <c r="AU882" s="37" t="str">
        <f aca="false">IF(AO882&lt;&gt;1,"",IF(OR(O882="",P882=""),"",IF(P882&lt;O882,"",ROUND(((NETWORKDAYS(O882,P882,JoursFeries)-1)*(HFer-HOuv)+IF(NETWORKDAYS(P882,P882,JoursFeries),MEDIAN(MOD(P882,1),HFer,HOuv),HFer)-IF(NETWORKDAYS(O882,O882,JoursFeries),MEDIAN(MOD(O882,1),HFer,HOuv),HOuv))*24,4))))</f>
        <v/>
      </c>
      <c r="AV882" s="37" t="str">
        <f aca="false">IF(AO882&lt;&gt;1,"",IF(OR(P882="",Q882=""),"",IF(Q882&lt;P882,"",ROUND(((NETWORKDAYS(P882,Q882,JoursFeries)-1)*(HFer-HOuv)+IF(NETWORKDAYS(Q882,Q882,JoursFeries),MEDIAN(MOD(Q882,1),HFer,HOuv),HFer)-IF(NETWORKDAYS(P882,P882,JoursFeries),MEDIAN(MOD(P882,1),HFer,HOuv),HOuv))*24,4))))</f>
        <v/>
      </c>
      <c r="AW882" s="37" t="str">
        <f aca="false">IF(AO882&lt;&gt;1,"",IFERROR(ROUND(IF(OR(P882="",R882=""),"",IF(R882&lt;P882,"",ROUND(((NETWORKDAYS(P882,R882,JoursFeries)-1)*(HFer-HOuv)+IF(NETWORKDAYS(R882,R882,JoursFeries),MEDIAN(MOD(R882,1),HFer,HOuv),HFer)-IF(NETWORKDAYS(P882,P882,JoursFeries),MEDIAN(MOD(P882,1),HFer,HOuv),HOuv))*24,4)))/HJour,4),""))</f>
        <v/>
      </c>
      <c r="AX882" s="37" t="str">
        <f aca="false">IF(AO882&lt;&gt;1,"",IFERROR(ROUND(IF(OR(P882="",S882=""),"",IF(S882&lt;P882,"",ROUND(((NETWORKDAYS(P882,S882,JoursFeries)-1)*(HFer-HOuv)+IF(NETWORKDAYS(S882,S882,JoursFeries),MEDIAN(MOD(S882,1),HFer,HOuv),HFer)-IF(NETWORKDAYS(P882,P882,JoursFeries),MEDIAN(MOD(P882,1),HFer,HOuv),HOuv))*24,4)))/HJour,4),""))</f>
        <v/>
      </c>
      <c r="AY882" s="36" t="str">
        <f aca="false">IF(OR(AO882&lt;&gt;1,AR882=""),"",INDEX(SLA_PEC,AR882))</f>
        <v/>
      </c>
      <c r="AZ882" s="35" t="str">
        <f aca="false">IF(OR(AV882="",AY882=""),"",IF(AV882&lt;=AY882,1,0))</f>
        <v/>
      </c>
      <c r="BA882" s="36" t="str">
        <f aca="false">IF(OR(AO882&lt;&gt;1,AR882=""),"",INDEX(SLA_RES,AR882))</f>
        <v/>
      </c>
      <c r="BB882" s="35" t="str">
        <f aca="false">IF(OR(AW882="",BA882=""),"",IF(AW882&lt;=BA882,1,0))</f>
        <v/>
      </c>
      <c r="BC882" s="38" t="str">
        <f aca="false">IF(OR(BA882="",P882=""),"",WORKDAY(INT(P882),BA882,JoursFeries)+MOD(P882,1))</f>
        <v/>
      </c>
      <c r="BD882" s="39" t="str">
        <f aca="false">IF(AO882&lt;&gt;1,"",IF(OR(AB882&lt;&gt;"",AD882&lt;&gt;""),4,IF(U882&lt;&gt;"",3,IF(T882&lt;&gt;"",2,1))))</f>
        <v/>
      </c>
      <c r="BE882" s="39" t="str">
        <f aca="false">IF(OR(AO882&lt;&gt;1,AR882=""),"",INDEX(NIV_REQ,AR882))</f>
        <v/>
      </c>
      <c r="BF882" s="39" t="str">
        <f aca="false">IF(BE882="","",MAX(BE882,IF(OR(K882="Oui",Z882="Oui"),4,1)))</f>
        <v/>
      </c>
      <c r="BG882" s="35" t="str">
        <f aca="false">IF(OR(BF882="",BD882=""),"",IF(BD882&gt;=BF882,1,0))</f>
        <v/>
      </c>
      <c r="BH882" s="38" t="str">
        <f aca="false">IF(BE882="","",IF(BE882&lt;2,"",IF(BE882=2,IF(AND(T882="",U882=""),"",MIN(T882,U882)),IF(U882="","",U882))))</f>
        <v/>
      </c>
      <c r="BI882" s="37" t="str">
        <f aca="false">IF(BH882="","",IF(OR(O882="",BH882=""),"",IF(BH882&lt;O882,"",ROUND(((NETWORKDAYS(O882,BH882,JoursFeries)-1)*(HFer-HOuv)+IF(NETWORKDAYS(BH882,BH882,JoursFeries),MEDIAN(MOD(BH882,1),HFer,HOuv),HFer)-IF(NETWORKDAYS(O882,O882,JoursFeries),MEDIAN(MOD(O882,1),HFer,HOuv),HOuv))*24,4))))</f>
        <v/>
      </c>
      <c r="BJ882" s="35" t="str">
        <f aca="false">IF(OR(BI882="",AR882=""),"",IF(BI882&lt;=INDEX(DELAI_ESC,AR882),1,0))</f>
        <v/>
      </c>
      <c r="BK882" s="38" t="str">
        <f aca="false">IF(AO882&lt;&gt;1,"",IF(AND(T882="",U882=""),"",MIN(T882,U882)))</f>
        <v/>
      </c>
      <c r="BL882" s="37" t="str">
        <f aca="false">IF(OR(BK882="",R882=""),"",IFERROR(ROUND(IF(OR(BK882="",R882=""),"",IF(R882&lt;BK882,"",ROUND(((NETWORKDAYS(BK882,R882,JoursFeries)-1)*(HFer-HOuv)+IF(NETWORKDAYS(R882,R882,JoursFeries),MEDIAN(MOD(R882,1),HFer,HOuv),HFer)-IF(NETWORKDAYS(BK882,BK882,JoursFeries),MEDIAN(MOD(BK882,1),HFer,HOuv),HOuv))*24,4)))/HJour,4),""))</f>
        <v/>
      </c>
      <c r="BM882" s="35" t="str">
        <f aca="false">IF(OR(AO882&lt;&gt;1,R882=""),"",IF(BD882=1,1,0))</f>
        <v/>
      </c>
      <c r="BN882" s="35" t="str">
        <f aca="false">IF(AO882&lt;&gt;1,"",IF(W882="Oui",1,0))</f>
        <v/>
      </c>
      <c r="BO882" s="35" t="str">
        <f aca="false">IF(AO882&lt;&gt;1,"",IF(X882&lt;&gt;"",1,0))</f>
        <v/>
      </c>
      <c r="BP882" s="35" t="str">
        <f aca="false">IF(AO882&lt;&gt;1,"",IF(Y882="Oui",1,0))</f>
        <v/>
      </c>
      <c r="BQ882" s="35" t="str">
        <f aca="true">IF(OR(AO882&lt;&gt;1,Z882&lt;&gt;"Oui"),"",IF(AB882="",IF(AND(AA882&lt;&gt;"",NOW()&gt;AA882),0,""),IF(AA882="","",IF(AB882&lt;=AA882,1,0))))</f>
        <v/>
      </c>
      <c r="BR882" s="38" t="str">
        <f aca="false">IF(OR(AO882&lt;&gt;1,K882&lt;&gt;"Oui",O882=""),"",IF(AC882="",O882+DORA_H_DET/24,IF(AC882-O882&lt;=DORA_H_DET/24,MIN(AC882+DORA_H_CLA/24,O882+DORA_H_DET/24),AC882+DORA_H_CLA/24)))</f>
        <v/>
      </c>
      <c r="BS882" s="35" t="str">
        <f aca="true">IF(BR882="","",IF(AD882="",IF(NOW()&gt;BR882,0,""),IF(AD882&lt;=BR882,1,0)))</f>
        <v/>
      </c>
      <c r="BT882" s="35" t="str">
        <f aca="true">IF(OR(BR882="",AD882=""),"",IF(AE882="",IF(NOW()&gt;AD882+DORA_H_INT/24,0,""),IF(AE882&lt;=AD882+DORA_H_INT/24,1,0)))</f>
        <v/>
      </c>
      <c r="BU882" s="35" t="str">
        <f aca="true">IF(OR(BR882="",AE882=""),"",IF(AF882="",IF(NOW()&gt;EDATE(AE882,DORA_M_FIN)+1,0,""),IF(AF882&lt;=EDATE(AE882,DORA_M_FIN),1,0)))</f>
        <v/>
      </c>
      <c r="BV882" s="35" t="str">
        <f aca="false">IF(BR882="","",IF(COUNT(BS882:BU882)=0,"",MIN(BS882:BU882)))</f>
        <v/>
      </c>
      <c r="BW882" s="40" t="str">
        <f aca="false">IF(AQ882&lt;&gt;1,"",IF(AND(AG882="",AH882=""),"",N(AG882)-N(AH882)))</f>
        <v/>
      </c>
      <c r="BX882" s="35" t="str">
        <f aca="true">IF(OR(AQ882&lt;&gt;1,AI882&lt;&gt;"Oui",AJ882=""),"",IF(AK882="",IF(NOW()&gt;AJ882+1,0,""),IF(AK882&lt;=AJ882,1,0)))</f>
        <v/>
      </c>
    </row>
    <row r="883" customFormat="false" ht="15" hidden="false" customHeight="false" outlineLevel="0" collapsed="false">
      <c r="B883" s="29"/>
      <c r="C883" s="29"/>
      <c r="D883" s="29"/>
      <c r="E883" s="29"/>
      <c r="F883" s="29"/>
      <c r="G883" s="29"/>
      <c r="H883" s="29"/>
      <c r="I883" s="29"/>
      <c r="J883" s="29"/>
      <c r="K883" s="29"/>
      <c r="L883" s="29"/>
      <c r="M883" s="29"/>
      <c r="N883" s="30"/>
      <c r="O883" s="30"/>
      <c r="P883" s="30"/>
      <c r="Q883" s="30"/>
      <c r="R883" s="30"/>
      <c r="S883" s="30"/>
      <c r="T883" s="30"/>
      <c r="U883" s="30"/>
      <c r="V883" s="31"/>
      <c r="W883" s="29"/>
      <c r="X883" s="29"/>
      <c r="Y883" s="29"/>
      <c r="Z883" s="29"/>
      <c r="AA883" s="30"/>
      <c r="AB883" s="30"/>
      <c r="AC883" s="30"/>
      <c r="AD883" s="30"/>
      <c r="AE883" s="30"/>
      <c r="AF883" s="32"/>
      <c r="AG883" s="33"/>
      <c r="AH883" s="33"/>
      <c r="AI883" s="29"/>
      <c r="AJ883" s="32"/>
      <c r="AK883" s="32"/>
      <c r="AL883" s="29"/>
      <c r="AN883" s="34" t="str">
        <f aca="false">IF($B883="","",IF(OR(C883="",D883="",E883="",G883="",I883="",J883="",L883="",O883="",P883=""),"Champ obligatoire manquant",IF(OR(AND(N883&lt;&gt;"",N883&gt;O883),O883&gt;P883,AND(Q883&lt;&gt;"",Q883&lt;P883),AND(R883&lt;&gt;"",R883&lt;P883),AND(S883&lt;&gt;"",S883&lt;R883),AND(S883&lt;&gt;"",R883=""),AND(T883&lt;&gt;"",T883&lt;O883),AND(U883&lt;&gt;"",U883&lt;O883)),"Chronologie incohérente",IF(AND(OR(L883="Résolu",L883="Clos"),R883=""),"Date de résolution manquante",IF(AND(L883="Clos",S883=""),"Date de clôture manquante",IF(AND(K883="Oui",AC883=""),"Classification DORA manquante","OK"))))))</f>
        <v/>
      </c>
      <c r="AO883" s="35" t="str">
        <f aca="false">IF($B883="","",IF(AND(C883="Incident",L883&lt;&gt;"Annulé"),1,0))</f>
        <v/>
      </c>
      <c r="AP883" s="35" t="str">
        <f aca="false">IF($B883="","",IF(AND(C883="Quasi-incident",L883&lt;&gt;"Annulé"),1,0))</f>
        <v/>
      </c>
      <c r="AQ883" s="35" t="str">
        <f aca="false">IF($B883="","",AO883+AP883)</f>
        <v/>
      </c>
      <c r="AR883" s="36" t="str">
        <f aca="false">IF(OR($B883="",J883=""),"",IFERROR(VALUE(LEFT(J883,1)),""))</f>
        <v/>
      </c>
      <c r="AS883" s="35" t="str">
        <f aca="false">IF(OR(AO883&lt;&gt;1,G883=""),"",IFERROR(IF(INDEX(L_SrcInterne,MATCH(G883,L_Sources,0))="Oui",1,0),""))</f>
        <v/>
      </c>
      <c r="AT883" s="37" t="str">
        <f aca="false">IF(AO883&lt;&gt;1,"",IFERROR(ROUND(IF(OR(N883="",O883=""),"",IF(O883&lt;N883,"",ROUND(((NETWORKDAYS(N883,O883,JoursFeries)-1)*(HFer-HOuv)+IF(NETWORKDAYS(O883,O883,JoursFeries),MEDIAN(MOD(O883,1),HFer,HOuv),HFer)-IF(NETWORKDAYS(N883,N883,JoursFeries),MEDIAN(MOD(N883,1),HFer,HOuv),HOuv))*24,4)))/HJour,4),""))</f>
        <v/>
      </c>
      <c r="AU883" s="37" t="str">
        <f aca="false">IF(AO883&lt;&gt;1,"",IF(OR(O883="",P883=""),"",IF(P883&lt;O883,"",ROUND(((NETWORKDAYS(O883,P883,JoursFeries)-1)*(HFer-HOuv)+IF(NETWORKDAYS(P883,P883,JoursFeries),MEDIAN(MOD(P883,1),HFer,HOuv),HFer)-IF(NETWORKDAYS(O883,O883,JoursFeries),MEDIAN(MOD(O883,1),HFer,HOuv),HOuv))*24,4))))</f>
        <v/>
      </c>
      <c r="AV883" s="37" t="str">
        <f aca="false">IF(AO883&lt;&gt;1,"",IF(OR(P883="",Q883=""),"",IF(Q883&lt;P883,"",ROUND(((NETWORKDAYS(P883,Q883,JoursFeries)-1)*(HFer-HOuv)+IF(NETWORKDAYS(Q883,Q883,JoursFeries),MEDIAN(MOD(Q883,1),HFer,HOuv),HFer)-IF(NETWORKDAYS(P883,P883,JoursFeries),MEDIAN(MOD(P883,1),HFer,HOuv),HOuv))*24,4))))</f>
        <v/>
      </c>
      <c r="AW883" s="37" t="str">
        <f aca="false">IF(AO883&lt;&gt;1,"",IFERROR(ROUND(IF(OR(P883="",R883=""),"",IF(R883&lt;P883,"",ROUND(((NETWORKDAYS(P883,R883,JoursFeries)-1)*(HFer-HOuv)+IF(NETWORKDAYS(R883,R883,JoursFeries),MEDIAN(MOD(R883,1),HFer,HOuv),HFer)-IF(NETWORKDAYS(P883,P883,JoursFeries),MEDIAN(MOD(P883,1),HFer,HOuv),HOuv))*24,4)))/HJour,4),""))</f>
        <v/>
      </c>
      <c r="AX883" s="37" t="str">
        <f aca="false">IF(AO883&lt;&gt;1,"",IFERROR(ROUND(IF(OR(P883="",S883=""),"",IF(S883&lt;P883,"",ROUND(((NETWORKDAYS(P883,S883,JoursFeries)-1)*(HFer-HOuv)+IF(NETWORKDAYS(S883,S883,JoursFeries),MEDIAN(MOD(S883,1),HFer,HOuv),HFer)-IF(NETWORKDAYS(P883,P883,JoursFeries),MEDIAN(MOD(P883,1),HFer,HOuv),HOuv))*24,4)))/HJour,4),""))</f>
        <v/>
      </c>
      <c r="AY883" s="36" t="str">
        <f aca="false">IF(OR(AO883&lt;&gt;1,AR883=""),"",INDEX(SLA_PEC,AR883))</f>
        <v/>
      </c>
      <c r="AZ883" s="35" t="str">
        <f aca="false">IF(OR(AV883="",AY883=""),"",IF(AV883&lt;=AY883,1,0))</f>
        <v/>
      </c>
      <c r="BA883" s="36" t="str">
        <f aca="false">IF(OR(AO883&lt;&gt;1,AR883=""),"",INDEX(SLA_RES,AR883))</f>
        <v/>
      </c>
      <c r="BB883" s="35" t="str">
        <f aca="false">IF(OR(AW883="",BA883=""),"",IF(AW883&lt;=BA883,1,0))</f>
        <v/>
      </c>
      <c r="BC883" s="38" t="str">
        <f aca="false">IF(OR(BA883="",P883=""),"",WORKDAY(INT(P883),BA883,JoursFeries)+MOD(P883,1))</f>
        <v/>
      </c>
      <c r="BD883" s="39" t="str">
        <f aca="false">IF(AO883&lt;&gt;1,"",IF(OR(AB883&lt;&gt;"",AD883&lt;&gt;""),4,IF(U883&lt;&gt;"",3,IF(T883&lt;&gt;"",2,1))))</f>
        <v/>
      </c>
      <c r="BE883" s="39" t="str">
        <f aca="false">IF(OR(AO883&lt;&gt;1,AR883=""),"",INDEX(NIV_REQ,AR883))</f>
        <v/>
      </c>
      <c r="BF883" s="39" t="str">
        <f aca="false">IF(BE883="","",MAX(BE883,IF(OR(K883="Oui",Z883="Oui"),4,1)))</f>
        <v/>
      </c>
      <c r="BG883" s="35" t="str">
        <f aca="false">IF(OR(BF883="",BD883=""),"",IF(BD883&gt;=BF883,1,0))</f>
        <v/>
      </c>
      <c r="BH883" s="38" t="str">
        <f aca="false">IF(BE883="","",IF(BE883&lt;2,"",IF(BE883=2,IF(AND(T883="",U883=""),"",MIN(T883,U883)),IF(U883="","",U883))))</f>
        <v/>
      </c>
      <c r="BI883" s="37" t="str">
        <f aca="false">IF(BH883="","",IF(OR(O883="",BH883=""),"",IF(BH883&lt;O883,"",ROUND(((NETWORKDAYS(O883,BH883,JoursFeries)-1)*(HFer-HOuv)+IF(NETWORKDAYS(BH883,BH883,JoursFeries),MEDIAN(MOD(BH883,1),HFer,HOuv),HFer)-IF(NETWORKDAYS(O883,O883,JoursFeries),MEDIAN(MOD(O883,1),HFer,HOuv),HOuv))*24,4))))</f>
        <v/>
      </c>
      <c r="BJ883" s="35" t="str">
        <f aca="false">IF(OR(BI883="",AR883=""),"",IF(BI883&lt;=INDEX(DELAI_ESC,AR883),1,0))</f>
        <v/>
      </c>
      <c r="BK883" s="38" t="str">
        <f aca="false">IF(AO883&lt;&gt;1,"",IF(AND(T883="",U883=""),"",MIN(T883,U883)))</f>
        <v/>
      </c>
      <c r="BL883" s="37" t="str">
        <f aca="false">IF(OR(BK883="",R883=""),"",IFERROR(ROUND(IF(OR(BK883="",R883=""),"",IF(R883&lt;BK883,"",ROUND(((NETWORKDAYS(BK883,R883,JoursFeries)-1)*(HFer-HOuv)+IF(NETWORKDAYS(R883,R883,JoursFeries),MEDIAN(MOD(R883,1),HFer,HOuv),HFer)-IF(NETWORKDAYS(BK883,BK883,JoursFeries),MEDIAN(MOD(BK883,1),HFer,HOuv),HOuv))*24,4)))/HJour,4),""))</f>
        <v/>
      </c>
      <c r="BM883" s="35" t="str">
        <f aca="false">IF(OR(AO883&lt;&gt;1,R883=""),"",IF(BD883=1,1,0))</f>
        <v/>
      </c>
      <c r="BN883" s="35" t="str">
        <f aca="false">IF(AO883&lt;&gt;1,"",IF(W883="Oui",1,0))</f>
        <v/>
      </c>
      <c r="BO883" s="35" t="str">
        <f aca="false">IF(AO883&lt;&gt;1,"",IF(X883&lt;&gt;"",1,0))</f>
        <v/>
      </c>
      <c r="BP883" s="35" t="str">
        <f aca="false">IF(AO883&lt;&gt;1,"",IF(Y883="Oui",1,0))</f>
        <v/>
      </c>
      <c r="BQ883" s="35" t="str">
        <f aca="true">IF(OR(AO883&lt;&gt;1,Z883&lt;&gt;"Oui"),"",IF(AB883="",IF(AND(AA883&lt;&gt;"",NOW()&gt;AA883),0,""),IF(AA883="","",IF(AB883&lt;=AA883,1,0))))</f>
        <v/>
      </c>
      <c r="BR883" s="38" t="str">
        <f aca="false">IF(OR(AO883&lt;&gt;1,K883&lt;&gt;"Oui",O883=""),"",IF(AC883="",O883+DORA_H_DET/24,IF(AC883-O883&lt;=DORA_H_DET/24,MIN(AC883+DORA_H_CLA/24,O883+DORA_H_DET/24),AC883+DORA_H_CLA/24)))</f>
        <v/>
      </c>
      <c r="BS883" s="35" t="str">
        <f aca="true">IF(BR883="","",IF(AD883="",IF(NOW()&gt;BR883,0,""),IF(AD883&lt;=BR883,1,0)))</f>
        <v/>
      </c>
      <c r="BT883" s="35" t="str">
        <f aca="true">IF(OR(BR883="",AD883=""),"",IF(AE883="",IF(NOW()&gt;AD883+DORA_H_INT/24,0,""),IF(AE883&lt;=AD883+DORA_H_INT/24,1,0)))</f>
        <v/>
      </c>
      <c r="BU883" s="35" t="str">
        <f aca="true">IF(OR(BR883="",AE883=""),"",IF(AF883="",IF(NOW()&gt;EDATE(AE883,DORA_M_FIN)+1,0,""),IF(AF883&lt;=EDATE(AE883,DORA_M_FIN),1,0)))</f>
        <v/>
      </c>
      <c r="BV883" s="35" t="str">
        <f aca="false">IF(BR883="","",IF(COUNT(BS883:BU883)=0,"",MIN(BS883:BU883)))</f>
        <v/>
      </c>
      <c r="BW883" s="40" t="str">
        <f aca="false">IF(AQ883&lt;&gt;1,"",IF(AND(AG883="",AH883=""),"",N(AG883)-N(AH883)))</f>
        <v/>
      </c>
      <c r="BX883" s="35" t="str">
        <f aca="true">IF(OR(AQ883&lt;&gt;1,AI883&lt;&gt;"Oui",AJ883=""),"",IF(AK883="",IF(NOW()&gt;AJ883+1,0,""),IF(AK883&lt;=AJ883,1,0)))</f>
        <v/>
      </c>
    </row>
    <row r="884" customFormat="false" ht="15" hidden="false" customHeight="false" outlineLevel="0" collapsed="false">
      <c r="B884" s="29"/>
      <c r="C884" s="29"/>
      <c r="D884" s="29"/>
      <c r="E884" s="29"/>
      <c r="F884" s="29"/>
      <c r="G884" s="29"/>
      <c r="H884" s="29"/>
      <c r="I884" s="29"/>
      <c r="J884" s="29"/>
      <c r="K884" s="29"/>
      <c r="L884" s="29"/>
      <c r="M884" s="29"/>
      <c r="N884" s="30"/>
      <c r="O884" s="30"/>
      <c r="P884" s="30"/>
      <c r="Q884" s="30"/>
      <c r="R884" s="30"/>
      <c r="S884" s="30"/>
      <c r="T884" s="30"/>
      <c r="U884" s="30"/>
      <c r="V884" s="31"/>
      <c r="W884" s="29"/>
      <c r="X884" s="29"/>
      <c r="Y884" s="29"/>
      <c r="Z884" s="29"/>
      <c r="AA884" s="30"/>
      <c r="AB884" s="30"/>
      <c r="AC884" s="30"/>
      <c r="AD884" s="30"/>
      <c r="AE884" s="30"/>
      <c r="AF884" s="32"/>
      <c r="AG884" s="33"/>
      <c r="AH884" s="33"/>
      <c r="AI884" s="29"/>
      <c r="AJ884" s="32"/>
      <c r="AK884" s="32"/>
      <c r="AL884" s="29"/>
      <c r="AN884" s="34" t="str">
        <f aca="false">IF($B884="","",IF(OR(C884="",D884="",E884="",G884="",I884="",J884="",L884="",O884="",P884=""),"Champ obligatoire manquant",IF(OR(AND(N884&lt;&gt;"",N884&gt;O884),O884&gt;P884,AND(Q884&lt;&gt;"",Q884&lt;P884),AND(R884&lt;&gt;"",R884&lt;P884),AND(S884&lt;&gt;"",S884&lt;R884),AND(S884&lt;&gt;"",R884=""),AND(T884&lt;&gt;"",T884&lt;O884),AND(U884&lt;&gt;"",U884&lt;O884)),"Chronologie incohérente",IF(AND(OR(L884="Résolu",L884="Clos"),R884=""),"Date de résolution manquante",IF(AND(L884="Clos",S884=""),"Date de clôture manquante",IF(AND(K884="Oui",AC884=""),"Classification DORA manquante","OK"))))))</f>
        <v/>
      </c>
      <c r="AO884" s="35" t="str">
        <f aca="false">IF($B884="","",IF(AND(C884="Incident",L884&lt;&gt;"Annulé"),1,0))</f>
        <v/>
      </c>
      <c r="AP884" s="35" t="str">
        <f aca="false">IF($B884="","",IF(AND(C884="Quasi-incident",L884&lt;&gt;"Annulé"),1,0))</f>
        <v/>
      </c>
      <c r="AQ884" s="35" t="str">
        <f aca="false">IF($B884="","",AO884+AP884)</f>
        <v/>
      </c>
      <c r="AR884" s="36" t="str">
        <f aca="false">IF(OR($B884="",J884=""),"",IFERROR(VALUE(LEFT(J884,1)),""))</f>
        <v/>
      </c>
      <c r="AS884" s="35" t="str">
        <f aca="false">IF(OR(AO884&lt;&gt;1,G884=""),"",IFERROR(IF(INDEX(L_SrcInterne,MATCH(G884,L_Sources,0))="Oui",1,0),""))</f>
        <v/>
      </c>
      <c r="AT884" s="37" t="str">
        <f aca="false">IF(AO884&lt;&gt;1,"",IFERROR(ROUND(IF(OR(N884="",O884=""),"",IF(O884&lt;N884,"",ROUND(((NETWORKDAYS(N884,O884,JoursFeries)-1)*(HFer-HOuv)+IF(NETWORKDAYS(O884,O884,JoursFeries),MEDIAN(MOD(O884,1),HFer,HOuv),HFer)-IF(NETWORKDAYS(N884,N884,JoursFeries),MEDIAN(MOD(N884,1),HFer,HOuv),HOuv))*24,4)))/HJour,4),""))</f>
        <v/>
      </c>
      <c r="AU884" s="37" t="str">
        <f aca="false">IF(AO884&lt;&gt;1,"",IF(OR(O884="",P884=""),"",IF(P884&lt;O884,"",ROUND(((NETWORKDAYS(O884,P884,JoursFeries)-1)*(HFer-HOuv)+IF(NETWORKDAYS(P884,P884,JoursFeries),MEDIAN(MOD(P884,1),HFer,HOuv),HFer)-IF(NETWORKDAYS(O884,O884,JoursFeries),MEDIAN(MOD(O884,1),HFer,HOuv),HOuv))*24,4))))</f>
        <v/>
      </c>
      <c r="AV884" s="37" t="str">
        <f aca="false">IF(AO884&lt;&gt;1,"",IF(OR(P884="",Q884=""),"",IF(Q884&lt;P884,"",ROUND(((NETWORKDAYS(P884,Q884,JoursFeries)-1)*(HFer-HOuv)+IF(NETWORKDAYS(Q884,Q884,JoursFeries),MEDIAN(MOD(Q884,1),HFer,HOuv),HFer)-IF(NETWORKDAYS(P884,P884,JoursFeries),MEDIAN(MOD(P884,1),HFer,HOuv),HOuv))*24,4))))</f>
        <v/>
      </c>
      <c r="AW884" s="37" t="str">
        <f aca="false">IF(AO884&lt;&gt;1,"",IFERROR(ROUND(IF(OR(P884="",R884=""),"",IF(R884&lt;P884,"",ROUND(((NETWORKDAYS(P884,R884,JoursFeries)-1)*(HFer-HOuv)+IF(NETWORKDAYS(R884,R884,JoursFeries),MEDIAN(MOD(R884,1),HFer,HOuv),HFer)-IF(NETWORKDAYS(P884,P884,JoursFeries),MEDIAN(MOD(P884,1),HFer,HOuv),HOuv))*24,4)))/HJour,4),""))</f>
        <v/>
      </c>
      <c r="AX884" s="37" t="str">
        <f aca="false">IF(AO884&lt;&gt;1,"",IFERROR(ROUND(IF(OR(P884="",S884=""),"",IF(S884&lt;P884,"",ROUND(((NETWORKDAYS(P884,S884,JoursFeries)-1)*(HFer-HOuv)+IF(NETWORKDAYS(S884,S884,JoursFeries),MEDIAN(MOD(S884,1),HFer,HOuv),HFer)-IF(NETWORKDAYS(P884,P884,JoursFeries),MEDIAN(MOD(P884,1),HFer,HOuv),HOuv))*24,4)))/HJour,4),""))</f>
        <v/>
      </c>
      <c r="AY884" s="36" t="str">
        <f aca="false">IF(OR(AO884&lt;&gt;1,AR884=""),"",INDEX(SLA_PEC,AR884))</f>
        <v/>
      </c>
      <c r="AZ884" s="35" t="str">
        <f aca="false">IF(OR(AV884="",AY884=""),"",IF(AV884&lt;=AY884,1,0))</f>
        <v/>
      </c>
      <c r="BA884" s="36" t="str">
        <f aca="false">IF(OR(AO884&lt;&gt;1,AR884=""),"",INDEX(SLA_RES,AR884))</f>
        <v/>
      </c>
      <c r="BB884" s="35" t="str">
        <f aca="false">IF(OR(AW884="",BA884=""),"",IF(AW884&lt;=BA884,1,0))</f>
        <v/>
      </c>
      <c r="BC884" s="38" t="str">
        <f aca="false">IF(OR(BA884="",P884=""),"",WORKDAY(INT(P884),BA884,JoursFeries)+MOD(P884,1))</f>
        <v/>
      </c>
      <c r="BD884" s="39" t="str">
        <f aca="false">IF(AO884&lt;&gt;1,"",IF(OR(AB884&lt;&gt;"",AD884&lt;&gt;""),4,IF(U884&lt;&gt;"",3,IF(T884&lt;&gt;"",2,1))))</f>
        <v/>
      </c>
      <c r="BE884" s="39" t="str">
        <f aca="false">IF(OR(AO884&lt;&gt;1,AR884=""),"",INDEX(NIV_REQ,AR884))</f>
        <v/>
      </c>
      <c r="BF884" s="39" t="str">
        <f aca="false">IF(BE884="","",MAX(BE884,IF(OR(K884="Oui",Z884="Oui"),4,1)))</f>
        <v/>
      </c>
      <c r="BG884" s="35" t="str">
        <f aca="false">IF(OR(BF884="",BD884=""),"",IF(BD884&gt;=BF884,1,0))</f>
        <v/>
      </c>
      <c r="BH884" s="38" t="str">
        <f aca="false">IF(BE884="","",IF(BE884&lt;2,"",IF(BE884=2,IF(AND(T884="",U884=""),"",MIN(T884,U884)),IF(U884="","",U884))))</f>
        <v/>
      </c>
      <c r="BI884" s="37" t="str">
        <f aca="false">IF(BH884="","",IF(OR(O884="",BH884=""),"",IF(BH884&lt;O884,"",ROUND(((NETWORKDAYS(O884,BH884,JoursFeries)-1)*(HFer-HOuv)+IF(NETWORKDAYS(BH884,BH884,JoursFeries),MEDIAN(MOD(BH884,1),HFer,HOuv),HFer)-IF(NETWORKDAYS(O884,O884,JoursFeries),MEDIAN(MOD(O884,1),HFer,HOuv),HOuv))*24,4))))</f>
        <v/>
      </c>
      <c r="BJ884" s="35" t="str">
        <f aca="false">IF(OR(BI884="",AR884=""),"",IF(BI884&lt;=INDEX(DELAI_ESC,AR884),1,0))</f>
        <v/>
      </c>
      <c r="BK884" s="38" t="str">
        <f aca="false">IF(AO884&lt;&gt;1,"",IF(AND(T884="",U884=""),"",MIN(T884,U884)))</f>
        <v/>
      </c>
      <c r="BL884" s="37" t="str">
        <f aca="false">IF(OR(BK884="",R884=""),"",IFERROR(ROUND(IF(OR(BK884="",R884=""),"",IF(R884&lt;BK884,"",ROUND(((NETWORKDAYS(BK884,R884,JoursFeries)-1)*(HFer-HOuv)+IF(NETWORKDAYS(R884,R884,JoursFeries),MEDIAN(MOD(R884,1),HFer,HOuv),HFer)-IF(NETWORKDAYS(BK884,BK884,JoursFeries),MEDIAN(MOD(BK884,1),HFer,HOuv),HOuv))*24,4)))/HJour,4),""))</f>
        <v/>
      </c>
      <c r="BM884" s="35" t="str">
        <f aca="false">IF(OR(AO884&lt;&gt;1,R884=""),"",IF(BD884=1,1,0))</f>
        <v/>
      </c>
      <c r="BN884" s="35" t="str">
        <f aca="false">IF(AO884&lt;&gt;1,"",IF(W884="Oui",1,0))</f>
        <v/>
      </c>
      <c r="BO884" s="35" t="str">
        <f aca="false">IF(AO884&lt;&gt;1,"",IF(X884&lt;&gt;"",1,0))</f>
        <v/>
      </c>
      <c r="BP884" s="35" t="str">
        <f aca="false">IF(AO884&lt;&gt;1,"",IF(Y884="Oui",1,0))</f>
        <v/>
      </c>
      <c r="BQ884" s="35" t="str">
        <f aca="true">IF(OR(AO884&lt;&gt;1,Z884&lt;&gt;"Oui"),"",IF(AB884="",IF(AND(AA884&lt;&gt;"",NOW()&gt;AA884),0,""),IF(AA884="","",IF(AB884&lt;=AA884,1,0))))</f>
        <v/>
      </c>
      <c r="BR884" s="38" t="str">
        <f aca="false">IF(OR(AO884&lt;&gt;1,K884&lt;&gt;"Oui",O884=""),"",IF(AC884="",O884+DORA_H_DET/24,IF(AC884-O884&lt;=DORA_H_DET/24,MIN(AC884+DORA_H_CLA/24,O884+DORA_H_DET/24),AC884+DORA_H_CLA/24)))</f>
        <v/>
      </c>
      <c r="BS884" s="35" t="str">
        <f aca="true">IF(BR884="","",IF(AD884="",IF(NOW()&gt;BR884,0,""),IF(AD884&lt;=BR884,1,0)))</f>
        <v/>
      </c>
      <c r="BT884" s="35" t="str">
        <f aca="true">IF(OR(BR884="",AD884=""),"",IF(AE884="",IF(NOW()&gt;AD884+DORA_H_INT/24,0,""),IF(AE884&lt;=AD884+DORA_H_INT/24,1,0)))</f>
        <v/>
      </c>
      <c r="BU884" s="35" t="str">
        <f aca="true">IF(OR(BR884="",AE884=""),"",IF(AF884="",IF(NOW()&gt;EDATE(AE884,DORA_M_FIN)+1,0,""),IF(AF884&lt;=EDATE(AE884,DORA_M_FIN),1,0)))</f>
        <v/>
      </c>
      <c r="BV884" s="35" t="str">
        <f aca="false">IF(BR884="","",IF(COUNT(BS884:BU884)=0,"",MIN(BS884:BU884)))</f>
        <v/>
      </c>
      <c r="BW884" s="40" t="str">
        <f aca="false">IF(AQ884&lt;&gt;1,"",IF(AND(AG884="",AH884=""),"",N(AG884)-N(AH884)))</f>
        <v/>
      </c>
      <c r="BX884" s="35" t="str">
        <f aca="true">IF(OR(AQ884&lt;&gt;1,AI884&lt;&gt;"Oui",AJ884=""),"",IF(AK884="",IF(NOW()&gt;AJ884+1,0,""),IF(AK884&lt;=AJ884,1,0)))</f>
        <v/>
      </c>
    </row>
    <row r="885" customFormat="false" ht="15" hidden="false" customHeight="false" outlineLevel="0" collapsed="false">
      <c r="B885" s="29"/>
      <c r="C885" s="29"/>
      <c r="D885" s="29"/>
      <c r="E885" s="29"/>
      <c r="F885" s="29"/>
      <c r="G885" s="29"/>
      <c r="H885" s="29"/>
      <c r="I885" s="29"/>
      <c r="J885" s="29"/>
      <c r="K885" s="29"/>
      <c r="L885" s="29"/>
      <c r="M885" s="29"/>
      <c r="N885" s="30"/>
      <c r="O885" s="30"/>
      <c r="P885" s="30"/>
      <c r="Q885" s="30"/>
      <c r="R885" s="30"/>
      <c r="S885" s="30"/>
      <c r="T885" s="30"/>
      <c r="U885" s="30"/>
      <c r="V885" s="31"/>
      <c r="W885" s="29"/>
      <c r="X885" s="29"/>
      <c r="Y885" s="29"/>
      <c r="Z885" s="29"/>
      <c r="AA885" s="30"/>
      <c r="AB885" s="30"/>
      <c r="AC885" s="30"/>
      <c r="AD885" s="30"/>
      <c r="AE885" s="30"/>
      <c r="AF885" s="32"/>
      <c r="AG885" s="33"/>
      <c r="AH885" s="33"/>
      <c r="AI885" s="29"/>
      <c r="AJ885" s="32"/>
      <c r="AK885" s="32"/>
      <c r="AL885" s="29"/>
      <c r="AN885" s="34" t="str">
        <f aca="false">IF($B885="","",IF(OR(C885="",D885="",E885="",G885="",I885="",J885="",L885="",O885="",P885=""),"Champ obligatoire manquant",IF(OR(AND(N885&lt;&gt;"",N885&gt;O885),O885&gt;P885,AND(Q885&lt;&gt;"",Q885&lt;P885),AND(R885&lt;&gt;"",R885&lt;P885),AND(S885&lt;&gt;"",S885&lt;R885),AND(S885&lt;&gt;"",R885=""),AND(T885&lt;&gt;"",T885&lt;O885),AND(U885&lt;&gt;"",U885&lt;O885)),"Chronologie incohérente",IF(AND(OR(L885="Résolu",L885="Clos"),R885=""),"Date de résolution manquante",IF(AND(L885="Clos",S885=""),"Date de clôture manquante",IF(AND(K885="Oui",AC885=""),"Classification DORA manquante","OK"))))))</f>
        <v/>
      </c>
      <c r="AO885" s="35" t="str">
        <f aca="false">IF($B885="","",IF(AND(C885="Incident",L885&lt;&gt;"Annulé"),1,0))</f>
        <v/>
      </c>
      <c r="AP885" s="35" t="str">
        <f aca="false">IF($B885="","",IF(AND(C885="Quasi-incident",L885&lt;&gt;"Annulé"),1,0))</f>
        <v/>
      </c>
      <c r="AQ885" s="35" t="str">
        <f aca="false">IF($B885="","",AO885+AP885)</f>
        <v/>
      </c>
      <c r="AR885" s="36" t="str">
        <f aca="false">IF(OR($B885="",J885=""),"",IFERROR(VALUE(LEFT(J885,1)),""))</f>
        <v/>
      </c>
      <c r="AS885" s="35" t="str">
        <f aca="false">IF(OR(AO885&lt;&gt;1,G885=""),"",IFERROR(IF(INDEX(L_SrcInterne,MATCH(G885,L_Sources,0))="Oui",1,0),""))</f>
        <v/>
      </c>
      <c r="AT885" s="37" t="str">
        <f aca="false">IF(AO885&lt;&gt;1,"",IFERROR(ROUND(IF(OR(N885="",O885=""),"",IF(O885&lt;N885,"",ROUND(((NETWORKDAYS(N885,O885,JoursFeries)-1)*(HFer-HOuv)+IF(NETWORKDAYS(O885,O885,JoursFeries),MEDIAN(MOD(O885,1),HFer,HOuv),HFer)-IF(NETWORKDAYS(N885,N885,JoursFeries),MEDIAN(MOD(N885,1),HFer,HOuv),HOuv))*24,4)))/HJour,4),""))</f>
        <v/>
      </c>
      <c r="AU885" s="37" t="str">
        <f aca="false">IF(AO885&lt;&gt;1,"",IF(OR(O885="",P885=""),"",IF(P885&lt;O885,"",ROUND(((NETWORKDAYS(O885,P885,JoursFeries)-1)*(HFer-HOuv)+IF(NETWORKDAYS(P885,P885,JoursFeries),MEDIAN(MOD(P885,1),HFer,HOuv),HFer)-IF(NETWORKDAYS(O885,O885,JoursFeries),MEDIAN(MOD(O885,1),HFer,HOuv),HOuv))*24,4))))</f>
        <v/>
      </c>
      <c r="AV885" s="37" t="str">
        <f aca="false">IF(AO885&lt;&gt;1,"",IF(OR(P885="",Q885=""),"",IF(Q885&lt;P885,"",ROUND(((NETWORKDAYS(P885,Q885,JoursFeries)-1)*(HFer-HOuv)+IF(NETWORKDAYS(Q885,Q885,JoursFeries),MEDIAN(MOD(Q885,1),HFer,HOuv),HFer)-IF(NETWORKDAYS(P885,P885,JoursFeries),MEDIAN(MOD(P885,1),HFer,HOuv),HOuv))*24,4))))</f>
        <v/>
      </c>
      <c r="AW885" s="37" t="str">
        <f aca="false">IF(AO885&lt;&gt;1,"",IFERROR(ROUND(IF(OR(P885="",R885=""),"",IF(R885&lt;P885,"",ROUND(((NETWORKDAYS(P885,R885,JoursFeries)-1)*(HFer-HOuv)+IF(NETWORKDAYS(R885,R885,JoursFeries),MEDIAN(MOD(R885,1),HFer,HOuv),HFer)-IF(NETWORKDAYS(P885,P885,JoursFeries),MEDIAN(MOD(P885,1),HFer,HOuv),HOuv))*24,4)))/HJour,4),""))</f>
        <v/>
      </c>
      <c r="AX885" s="37" t="str">
        <f aca="false">IF(AO885&lt;&gt;1,"",IFERROR(ROUND(IF(OR(P885="",S885=""),"",IF(S885&lt;P885,"",ROUND(((NETWORKDAYS(P885,S885,JoursFeries)-1)*(HFer-HOuv)+IF(NETWORKDAYS(S885,S885,JoursFeries),MEDIAN(MOD(S885,1),HFer,HOuv),HFer)-IF(NETWORKDAYS(P885,P885,JoursFeries),MEDIAN(MOD(P885,1),HFer,HOuv),HOuv))*24,4)))/HJour,4),""))</f>
        <v/>
      </c>
      <c r="AY885" s="36" t="str">
        <f aca="false">IF(OR(AO885&lt;&gt;1,AR885=""),"",INDEX(SLA_PEC,AR885))</f>
        <v/>
      </c>
      <c r="AZ885" s="35" t="str">
        <f aca="false">IF(OR(AV885="",AY885=""),"",IF(AV885&lt;=AY885,1,0))</f>
        <v/>
      </c>
      <c r="BA885" s="36" t="str">
        <f aca="false">IF(OR(AO885&lt;&gt;1,AR885=""),"",INDEX(SLA_RES,AR885))</f>
        <v/>
      </c>
      <c r="BB885" s="35" t="str">
        <f aca="false">IF(OR(AW885="",BA885=""),"",IF(AW885&lt;=BA885,1,0))</f>
        <v/>
      </c>
      <c r="BC885" s="38" t="str">
        <f aca="false">IF(OR(BA885="",P885=""),"",WORKDAY(INT(P885),BA885,JoursFeries)+MOD(P885,1))</f>
        <v/>
      </c>
      <c r="BD885" s="39" t="str">
        <f aca="false">IF(AO885&lt;&gt;1,"",IF(OR(AB885&lt;&gt;"",AD885&lt;&gt;""),4,IF(U885&lt;&gt;"",3,IF(T885&lt;&gt;"",2,1))))</f>
        <v/>
      </c>
      <c r="BE885" s="39" t="str">
        <f aca="false">IF(OR(AO885&lt;&gt;1,AR885=""),"",INDEX(NIV_REQ,AR885))</f>
        <v/>
      </c>
      <c r="BF885" s="39" t="str">
        <f aca="false">IF(BE885="","",MAX(BE885,IF(OR(K885="Oui",Z885="Oui"),4,1)))</f>
        <v/>
      </c>
      <c r="BG885" s="35" t="str">
        <f aca="false">IF(OR(BF885="",BD885=""),"",IF(BD885&gt;=BF885,1,0))</f>
        <v/>
      </c>
      <c r="BH885" s="38" t="str">
        <f aca="false">IF(BE885="","",IF(BE885&lt;2,"",IF(BE885=2,IF(AND(T885="",U885=""),"",MIN(T885,U885)),IF(U885="","",U885))))</f>
        <v/>
      </c>
      <c r="BI885" s="37" t="str">
        <f aca="false">IF(BH885="","",IF(OR(O885="",BH885=""),"",IF(BH885&lt;O885,"",ROUND(((NETWORKDAYS(O885,BH885,JoursFeries)-1)*(HFer-HOuv)+IF(NETWORKDAYS(BH885,BH885,JoursFeries),MEDIAN(MOD(BH885,1),HFer,HOuv),HFer)-IF(NETWORKDAYS(O885,O885,JoursFeries),MEDIAN(MOD(O885,1),HFer,HOuv),HOuv))*24,4))))</f>
        <v/>
      </c>
      <c r="BJ885" s="35" t="str">
        <f aca="false">IF(OR(BI885="",AR885=""),"",IF(BI885&lt;=INDEX(DELAI_ESC,AR885),1,0))</f>
        <v/>
      </c>
      <c r="BK885" s="38" t="str">
        <f aca="false">IF(AO885&lt;&gt;1,"",IF(AND(T885="",U885=""),"",MIN(T885,U885)))</f>
        <v/>
      </c>
      <c r="BL885" s="37" t="str">
        <f aca="false">IF(OR(BK885="",R885=""),"",IFERROR(ROUND(IF(OR(BK885="",R885=""),"",IF(R885&lt;BK885,"",ROUND(((NETWORKDAYS(BK885,R885,JoursFeries)-1)*(HFer-HOuv)+IF(NETWORKDAYS(R885,R885,JoursFeries),MEDIAN(MOD(R885,1),HFer,HOuv),HFer)-IF(NETWORKDAYS(BK885,BK885,JoursFeries),MEDIAN(MOD(BK885,1),HFer,HOuv),HOuv))*24,4)))/HJour,4),""))</f>
        <v/>
      </c>
      <c r="BM885" s="35" t="str">
        <f aca="false">IF(OR(AO885&lt;&gt;1,R885=""),"",IF(BD885=1,1,0))</f>
        <v/>
      </c>
      <c r="BN885" s="35" t="str">
        <f aca="false">IF(AO885&lt;&gt;1,"",IF(W885="Oui",1,0))</f>
        <v/>
      </c>
      <c r="BO885" s="35" t="str">
        <f aca="false">IF(AO885&lt;&gt;1,"",IF(X885&lt;&gt;"",1,0))</f>
        <v/>
      </c>
      <c r="BP885" s="35" t="str">
        <f aca="false">IF(AO885&lt;&gt;1,"",IF(Y885="Oui",1,0))</f>
        <v/>
      </c>
      <c r="BQ885" s="35" t="str">
        <f aca="true">IF(OR(AO885&lt;&gt;1,Z885&lt;&gt;"Oui"),"",IF(AB885="",IF(AND(AA885&lt;&gt;"",NOW()&gt;AA885),0,""),IF(AA885="","",IF(AB885&lt;=AA885,1,0))))</f>
        <v/>
      </c>
      <c r="BR885" s="38" t="str">
        <f aca="false">IF(OR(AO885&lt;&gt;1,K885&lt;&gt;"Oui",O885=""),"",IF(AC885="",O885+DORA_H_DET/24,IF(AC885-O885&lt;=DORA_H_DET/24,MIN(AC885+DORA_H_CLA/24,O885+DORA_H_DET/24),AC885+DORA_H_CLA/24)))</f>
        <v/>
      </c>
      <c r="BS885" s="35" t="str">
        <f aca="true">IF(BR885="","",IF(AD885="",IF(NOW()&gt;BR885,0,""),IF(AD885&lt;=BR885,1,0)))</f>
        <v/>
      </c>
      <c r="BT885" s="35" t="str">
        <f aca="true">IF(OR(BR885="",AD885=""),"",IF(AE885="",IF(NOW()&gt;AD885+DORA_H_INT/24,0,""),IF(AE885&lt;=AD885+DORA_H_INT/24,1,0)))</f>
        <v/>
      </c>
      <c r="BU885" s="35" t="str">
        <f aca="true">IF(OR(BR885="",AE885=""),"",IF(AF885="",IF(NOW()&gt;EDATE(AE885,DORA_M_FIN)+1,0,""),IF(AF885&lt;=EDATE(AE885,DORA_M_FIN),1,0)))</f>
        <v/>
      </c>
      <c r="BV885" s="35" t="str">
        <f aca="false">IF(BR885="","",IF(COUNT(BS885:BU885)=0,"",MIN(BS885:BU885)))</f>
        <v/>
      </c>
      <c r="BW885" s="40" t="str">
        <f aca="false">IF(AQ885&lt;&gt;1,"",IF(AND(AG885="",AH885=""),"",N(AG885)-N(AH885)))</f>
        <v/>
      </c>
      <c r="BX885" s="35" t="str">
        <f aca="true">IF(OR(AQ885&lt;&gt;1,AI885&lt;&gt;"Oui",AJ885=""),"",IF(AK885="",IF(NOW()&gt;AJ885+1,0,""),IF(AK885&lt;=AJ885,1,0)))</f>
        <v/>
      </c>
    </row>
    <row r="886" customFormat="false" ht="15" hidden="false" customHeight="false" outlineLevel="0" collapsed="false">
      <c r="B886" s="29"/>
      <c r="C886" s="29"/>
      <c r="D886" s="29"/>
      <c r="E886" s="29"/>
      <c r="F886" s="29"/>
      <c r="G886" s="29"/>
      <c r="H886" s="29"/>
      <c r="I886" s="29"/>
      <c r="J886" s="29"/>
      <c r="K886" s="29"/>
      <c r="L886" s="29"/>
      <c r="M886" s="29"/>
      <c r="N886" s="30"/>
      <c r="O886" s="30"/>
      <c r="P886" s="30"/>
      <c r="Q886" s="30"/>
      <c r="R886" s="30"/>
      <c r="S886" s="30"/>
      <c r="T886" s="30"/>
      <c r="U886" s="30"/>
      <c r="V886" s="31"/>
      <c r="W886" s="29"/>
      <c r="X886" s="29"/>
      <c r="Y886" s="29"/>
      <c r="Z886" s="29"/>
      <c r="AA886" s="30"/>
      <c r="AB886" s="30"/>
      <c r="AC886" s="30"/>
      <c r="AD886" s="30"/>
      <c r="AE886" s="30"/>
      <c r="AF886" s="32"/>
      <c r="AG886" s="33"/>
      <c r="AH886" s="33"/>
      <c r="AI886" s="29"/>
      <c r="AJ886" s="32"/>
      <c r="AK886" s="32"/>
      <c r="AL886" s="29"/>
      <c r="AN886" s="34" t="str">
        <f aca="false">IF($B886="","",IF(OR(C886="",D886="",E886="",G886="",I886="",J886="",L886="",O886="",P886=""),"Champ obligatoire manquant",IF(OR(AND(N886&lt;&gt;"",N886&gt;O886),O886&gt;P886,AND(Q886&lt;&gt;"",Q886&lt;P886),AND(R886&lt;&gt;"",R886&lt;P886),AND(S886&lt;&gt;"",S886&lt;R886),AND(S886&lt;&gt;"",R886=""),AND(T886&lt;&gt;"",T886&lt;O886),AND(U886&lt;&gt;"",U886&lt;O886)),"Chronologie incohérente",IF(AND(OR(L886="Résolu",L886="Clos"),R886=""),"Date de résolution manquante",IF(AND(L886="Clos",S886=""),"Date de clôture manquante",IF(AND(K886="Oui",AC886=""),"Classification DORA manquante","OK"))))))</f>
        <v/>
      </c>
      <c r="AO886" s="35" t="str">
        <f aca="false">IF($B886="","",IF(AND(C886="Incident",L886&lt;&gt;"Annulé"),1,0))</f>
        <v/>
      </c>
      <c r="AP886" s="35" t="str">
        <f aca="false">IF($B886="","",IF(AND(C886="Quasi-incident",L886&lt;&gt;"Annulé"),1,0))</f>
        <v/>
      </c>
      <c r="AQ886" s="35" t="str">
        <f aca="false">IF($B886="","",AO886+AP886)</f>
        <v/>
      </c>
      <c r="AR886" s="36" t="str">
        <f aca="false">IF(OR($B886="",J886=""),"",IFERROR(VALUE(LEFT(J886,1)),""))</f>
        <v/>
      </c>
      <c r="AS886" s="35" t="str">
        <f aca="false">IF(OR(AO886&lt;&gt;1,G886=""),"",IFERROR(IF(INDEX(L_SrcInterne,MATCH(G886,L_Sources,0))="Oui",1,0),""))</f>
        <v/>
      </c>
      <c r="AT886" s="37" t="str">
        <f aca="false">IF(AO886&lt;&gt;1,"",IFERROR(ROUND(IF(OR(N886="",O886=""),"",IF(O886&lt;N886,"",ROUND(((NETWORKDAYS(N886,O886,JoursFeries)-1)*(HFer-HOuv)+IF(NETWORKDAYS(O886,O886,JoursFeries),MEDIAN(MOD(O886,1),HFer,HOuv),HFer)-IF(NETWORKDAYS(N886,N886,JoursFeries),MEDIAN(MOD(N886,1),HFer,HOuv),HOuv))*24,4)))/HJour,4),""))</f>
        <v/>
      </c>
      <c r="AU886" s="37" t="str">
        <f aca="false">IF(AO886&lt;&gt;1,"",IF(OR(O886="",P886=""),"",IF(P886&lt;O886,"",ROUND(((NETWORKDAYS(O886,P886,JoursFeries)-1)*(HFer-HOuv)+IF(NETWORKDAYS(P886,P886,JoursFeries),MEDIAN(MOD(P886,1),HFer,HOuv),HFer)-IF(NETWORKDAYS(O886,O886,JoursFeries),MEDIAN(MOD(O886,1),HFer,HOuv),HOuv))*24,4))))</f>
        <v/>
      </c>
      <c r="AV886" s="37" t="str">
        <f aca="false">IF(AO886&lt;&gt;1,"",IF(OR(P886="",Q886=""),"",IF(Q886&lt;P886,"",ROUND(((NETWORKDAYS(P886,Q886,JoursFeries)-1)*(HFer-HOuv)+IF(NETWORKDAYS(Q886,Q886,JoursFeries),MEDIAN(MOD(Q886,1),HFer,HOuv),HFer)-IF(NETWORKDAYS(P886,P886,JoursFeries),MEDIAN(MOD(P886,1),HFer,HOuv),HOuv))*24,4))))</f>
        <v/>
      </c>
      <c r="AW886" s="37" t="str">
        <f aca="false">IF(AO886&lt;&gt;1,"",IFERROR(ROUND(IF(OR(P886="",R886=""),"",IF(R886&lt;P886,"",ROUND(((NETWORKDAYS(P886,R886,JoursFeries)-1)*(HFer-HOuv)+IF(NETWORKDAYS(R886,R886,JoursFeries),MEDIAN(MOD(R886,1),HFer,HOuv),HFer)-IF(NETWORKDAYS(P886,P886,JoursFeries),MEDIAN(MOD(P886,1),HFer,HOuv),HOuv))*24,4)))/HJour,4),""))</f>
        <v/>
      </c>
      <c r="AX886" s="37" t="str">
        <f aca="false">IF(AO886&lt;&gt;1,"",IFERROR(ROUND(IF(OR(P886="",S886=""),"",IF(S886&lt;P886,"",ROUND(((NETWORKDAYS(P886,S886,JoursFeries)-1)*(HFer-HOuv)+IF(NETWORKDAYS(S886,S886,JoursFeries),MEDIAN(MOD(S886,1),HFer,HOuv),HFer)-IF(NETWORKDAYS(P886,P886,JoursFeries),MEDIAN(MOD(P886,1),HFer,HOuv),HOuv))*24,4)))/HJour,4),""))</f>
        <v/>
      </c>
      <c r="AY886" s="36" t="str">
        <f aca="false">IF(OR(AO886&lt;&gt;1,AR886=""),"",INDEX(SLA_PEC,AR886))</f>
        <v/>
      </c>
      <c r="AZ886" s="35" t="str">
        <f aca="false">IF(OR(AV886="",AY886=""),"",IF(AV886&lt;=AY886,1,0))</f>
        <v/>
      </c>
      <c r="BA886" s="36" t="str">
        <f aca="false">IF(OR(AO886&lt;&gt;1,AR886=""),"",INDEX(SLA_RES,AR886))</f>
        <v/>
      </c>
      <c r="BB886" s="35" t="str">
        <f aca="false">IF(OR(AW886="",BA886=""),"",IF(AW886&lt;=BA886,1,0))</f>
        <v/>
      </c>
      <c r="BC886" s="38" t="str">
        <f aca="false">IF(OR(BA886="",P886=""),"",WORKDAY(INT(P886),BA886,JoursFeries)+MOD(P886,1))</f>
        <v/>
      </c>
      <c r="BD886" s="39" t="str">
        <f aca="false">IF(AO886&lt;&gt;1,"",IF(OR(AB886&lt;&gt;"",AD886&lt;&gt;""),4,IF(U886&lt;&gt;"",3,IF(T886&lt;&gt;"",2,1))))</f>
        <v/>
      </c>
      <c r="BE886" s="39" t="str">
        <f aca="false">IF(OR(AO886&lt;&gt;1,AR886=""),"",INDEX(NIV_REQ,AR886))</f>
        <v/>
      </c>
      <c r="BF886" s="39" t="str">
        <f aca="false">IF(BE886="","",MAX(BE886,IF(OR(K886="Oui",Z886="Oui"),4,1)))</f>
        <v/>
      </c>
      <c r="BG886" s="35" t="str">
        <f aca="false">IF(OR(BF886="",BD886=""),"",IF(BD886&gt;=BF886,1,0))</f>
        <v/>
      </c>
      <c r="BH886" s="38" t="str">
        <f aca="false">IF(BE886="","",IF(BE886&lt;2,"",IF(BE886=2,IF(AND(T886="",U886=""),"",MIN(T886,U886)),IF(U886="","",U886))))</f>
        <v/>
      </c>
      <c r="BI886" s="37" t="str">
        <f aca="false">IF(BH886="","",IF(OR(O886="",BH886=""),"",IF(BH886&lt;O886,"",ROUND(((NETWORKDAYS(O886,BH886,JoursFeries)-1)*(HFer-HOuv)+IF(NETWORKDAYS(BH886,BH886,JoursFeries),MEDIAN(MOD(BH886,1),HFer,HOuv),HFer)-IF(NETWORKDAYS(O886,O886,JoursFeries),MEDIAN(MOD(O886,1),HFer,HOuv),HOuv))*24,4))))</f>
        <v/>
      </c>
      <c r="BJ886" s="35" t="str">
        <f aca="false">IF(OR(BI886="",AR886=""),"",IF(BI886&lt;=INDEX(DELAI_ESC,AR886),1,0))</f>
        <v/>
      </c>
      <c r="BK886" s="38" t="str">
        <f aca="false">IF(AO886&lt;&gt;1,"",IF(AND(T886="",U886=""),"",MIN(T886,U886)))</f>
        <v/>
      </c>
      <c r="BL886" s="37" t="str">
        <f aca="false">IF(OR(BK886="",R886=""),"",IFERROR(ROUND(IF(OR(BK886="",R886=""),"",IF(R886&lt;BK886,"",ROUND(((NETWORKDAYS(BK886,R886,JoursFeries)-1)*(HFer-HOuv)+IF(NETWORKDAYS(R886,R886,JoursFeries),MEDIAN(MOD(R886,1),HFer,HOuv),HFer)-IF(NETWORKDAYS(BK886,BK886,JoursFeries),MEDIAN(MOD(BK886,1),HFer,HOuv),HOuv))*24,4)))/HJour,4),""))</f>
        <v/>
      </c>
      <c r="BM886" s="35" t="str">
        <f aca="false">IF(OR(AO886&lt;&gt;1,R886=""),"",IF(BD886=1,1,0))</f>
        <v/>
      </c>
      <c r="BN886" s="35" t="str">
        <f aca="false">IF(AO886&lt;&gt;1,"",IF(W886="Oui",1,0))</f>
        <v/>
      </c>
      <c r="BO886" s="35" t="str">
        <f aca="false">IF(AO886&lt;&gt;1,"",IF(X886&lt;&gt;"",1,0))</f>
        <v/>
      </c>
      <c r="BP886" s="35" t="str">
        <f aca="false">IF(AO886&lt;&gt;1,"",IF(Y886="Oui",1,0))</f>
        <v/>
      </c>
      <c r="BQ886" s="35" t="str">
        <f aca="true">IF(OR(AO886&lt;&gt;1,Z886&lt;&gt;"Oui"),"",IF(AB886="",IF(AND(AA886&lt;&gt;"",NOW()&gt;AA886),0,""),IF(AA886="","",IF(AB886&lt;=AA886,1,0))))</f>
        <v/>
      </c>
      <c r="BR886" s="38" t="str">
        <f aca="false">IF(OR(AO886&lt;&gt;1,K886&lt;&gt;"Oui",O886=""),"",IF(AC886="",O886+DORA_H_DET/24,IF(AC886-O886&lt;=DORA_H_DET/24,MIN(AC886+DORA_H_CLA/24,O886+DORA_H_DET/24),AC886+DORA_H_CLA/24)))</f>
        <v/>
      </c>
      <c r="BS886" s="35" t="str">
        <f aca="true">IF(BR886="","",IF(AD886="",IF(NOW()&gt;BR886,0,""),IF(AD886&lt;=BR886,1,0)))</f>
        <v/>
      </c>
      <c r="BT886" s="35" t="str">
        <f aca="true">IF(OR(BR886="",AD886=""),"",IF(AE886="",IF(NOW()&gt;AD886+DORA_H_INT/24,0,""),IF(AE886&lt;=AD886+DORA_H_INT/24,1,0)))</f>
        <v/>
      </c>
      <c r="BU886" s="35" t="str">
        <f aca="true">IF(OR(BR886="",AE886=""),"",IF(AF886="",IF(NOW()&gt;EDATE(AE886,DORA_M_FIN)+1,0,""),IF(AF886&lt;=EDATE(AE886,DORA_M_FIN),1,0)))</f>
        <v/>
      </c>
      <c r="BV886" s="35" t="str">
        <f aca="false">IF(BR886="","",IF(COUNT(BS886:BU886)=0,"",MIN(BS886:BU886)))</f>
        <v/>
      </c>
      <c r="BW886" s="40" t="str">
        <f aca="false">IF(AQ886&lt;&gt;1,"",IF(AND(AG886="",AH886=""),"",N(AG886)-N(AH886)))</f>
        <v/>
      </c>
      <c r="BX886" s="35" t="str">
        <f aca="true">IF(OR(AQ886&lt;&gt;1,AI886&lt;&gt;"Oui",AJ886=""),"",IF(AK886="",IF(NOW()&gt;AJ886+1,0,""),IF(AK886&lt;=AJ886,1,0)))</f>
        <v/>
      </c>
    </row>
    <row r="887" customFormat="false" ht="15" hidden="false" customHeight="false" outlineLevel="0" collapsed="false">
      <c r="B887" s="29"/>
      <c r="C887" s="29"/>
      <c r="D887" s="29"/>
      <c r="E887" s="29"/>
      <c r="F887" s="29"/>
      <c r="G887" s="29"/>
      <c r="H887" s="29"/>
      <c r="I887" s="29"/>
      <c r="J887" s="29"/>
      <c r="K887" s="29"/>
      <c r="L887" s="29"/>
      <c r="M887" s="29"/>
      <c r="N887" s="30"/>
      <c r="O887" s="30"/>
      <c r="P887" s="30"/>
      <c r="Q887" s="30"/>
      <c r="R887" s="30"/>
      <c r="S887" s="30"/>
      <c r="T887" s="30"/>
      <c r="U887" s="30"/>
      <c r="V887" s="31"/>
      <c r="W887" s="29"/>
      <c r="X887" s="29"/>
      <c r="Y887" s="29"/>
      <c r="Z887" s="29"/>
      <c r="AA887" s="30"/>
      <c r="AB887" s="30"/>
      <c r="AC887" s="30"/>
      <c r="AD887" s="30"/>
      <c r="AE887" s="30"/>
      <c r="AF887" s="32"/>
      <c r="AG887" s="33"/>
      <c r="AH887" s="33"/>
      <c r="AI887" s="29"/>
      <c r="AJ887" s="32"/>
      <c r="AK887" s="32"/>
      <c r="AL887" s="29"/>
      <c r="AN887" s="34" t="str">
        <f aca="false">IF($B887="","",IF(OR(C887="",D887="",E887="",G887="",I887="",J887="",L887="",O887="",P887=""),"Champ obligatoire manquant",IF(OR(AND(N887&lt;&gt;"",N887&gt;O887),O887&gt;P887,AND(Q887&lt;&gt;"",Q887&lt;P887),AND(R887&lt;&gt;"",R887&lt;P887),AND(S887&lt;&gt;"",S887&lt;R887),AND(S887&lt;&gt;"",R887=""),AND(T887&lt;&gt;"",T887&lt;O887),AND(U887&lt;&gt;"",U887&lt;O887)),"Chronologie incohérente",IF(AND(OR(L887="Résolu",L887="Clos"),R887=""),"Date de résolution manquante",IF(AND(L887="Clos",S887=""),"Date de clôture manquante",IF(AND(K887="Oui",AC887=""),"Classification DORA manquante","OK"))))))</f>
        <v/>
      </c>
      <c r="AO887" s="35" t="str">
        <f aca="false">IF($B887="","",IF(AND(C887="Incident",L887&lt;&gt;"Annulé"),1,0))</f>
        <v/>
      </c>
      <c r="AP887" s="35" t="str">
        <f aca="false">IF($B887="","",IF(AND(C887="Quasi-incident",L887&lt;&gt;"Annulé"),1,0))</f>
        <v/>
      </c>
      <c r="AQ887" s="35" t="str">
        <f aca="false">IF($B887="","",AO887+AP887)</f>
        <v/>
      </c>
      <c r="AR887" s="36" t="str">
        <f aca="false">IF(OR($B887="",J887=""),"",IFERROR(VALUE(LEFT(J887,1)),""))</f>
        <v/>
      </c>
      <c r="AS887" s="35" t="str">
        <f aca="false">IF(OR(AO887&lt;&gt;1,G887=""),"",IFERROR(IF(INDEX(L_SrcInterne,MATCH(G887,L_Sources,0))="Oui",1,0),""))</f>
        <v/>
      </c>
      <c r="AT887" s="37" t="str">
        <f aca="false">IF(AO887&lt;&gt;1,"",IFERROR(ROUND(IF(OR(N887="",O887=""),"",IF(O887&lt;N887,"",ROUND(((NETWORKDAYS(N887,O887,JoursFeries)-1)*(HFer-HOuv)+IF(NETWORKDAYS(O887,O887,JoursFeries),MEDIAN(MOD(O887,1),HFer,HOuv),HFer)-IF(NETWORKDAYS(N887,N887,JoursFeries),MEDIAN(MOD(N887,1),HFer,HOuv),HOuv))*24,4)))/HJour,4),""))</f>
        <v/>
      </c>
      <c r="AU887" s="37" t="str">
        <f aca="false">IF(AO887&lt;&gt;1,"",IF(OR(O887="",P887=""),"",IF(P887&lt;O887,"",ROUND(((NETWORKDAYS(O887,P887,JoursFeries)-1)*(HFer-HOuv)+IF(NETWORKDAYS(P887,P887,JoursFeries),MEDIAN(MOD(P887,1),HFer,HOuv),HFer)-IF(NETWORKDAYS(O887,O887,JoursFeries),MEDIAN(MOD(O887,1),HFer,HOuv),HOuv))*24,4))))</f>
        <v/>
      </c>
      <c r="AV887" s="37" t="str">
        <f aca="false">IF(AO887&lt;&gt;1,"",IF(OR(P887="",Q887=""),"",IF(Q887&lt;P887,"",ROUND(((NETWORKDAYS(P887,Q887,JoursFeries)-1)*(HFer-HOuv)+IF(NETWORKDAYS(Q887,Q887,JoursFeries),MEDIAN(MOD(Q887,1),HFer,HOuv),HFer)-IF(NETWORKDAYS(P887,P887,JoursFeries),MEDIAN(MOD(P887,1),HFer,HOuv),HOuv))*24,4))))</f>
        <v/>
      </c>
      <c r="AW887" s="37" t="str">
        <f aca="false">IF(AO887&lt;&gt;1,"",IFERROR(ROUND(IF(OR(P887="",R887=""),"",IF(R887&lt;P887,"",ROUND(((NETWORKDAYS(P887,R887,JoursFeries)-1)*(HFer-HOuv)+IF(NETWORKDAYS(R887,R887,JoursFeries),MEDIAN(MOD(R887,1),HFer,HOuv),HFer)-IF(NETWORKDAYS(P887,P887,JoursFeries),MEDIAN(MOD(P887,1),HFer,HOuv),HOuv))*24,4)))/HJour,4),""))</f>
        <v/>
      </c>
      <c r="AX887" s="37" t="str">
        <f aca="false">IF(AO887&lt;&gt;1,"",IFERROR(ROUND(IF(OR(P887="",S887=""),"",IF(S887&lt;P887,"",ROUND(((NETWORKDAYS(P887,S887,JoursFeries)-1)*(HFer-HOuv)+IF(NETWORKDAYS(S887,S887,JoursFeries),MEDIAN(MOD(S887,1),HFer,HOuv),HFer)-IF(NETWORKDAYS(P887,P887,JoursFeries),MEDIAN(MOD(P887,1),HFer,HOuv),HOuv))*24,4)))/HJour,4),""))</f>
        <v/>
      </c>
      <c r="AY887" s="36" t="str">
        <f aca="false">IF(OR(AO887&lt;&gt;1,AR887=""),"",INDEX(SLA_PEC,AR887))</f>
        <v/>
      </c>
      <c r="AZ887" s="35" t="str">
        <f aca="false">IF(OR(AV887="",AY887=""),"",IF(AV887&lt;=AY887,1,0))</f>
        <v/>
      </c>
      <c r="BA887" s="36" t="str">
        <f aca="false">IF(OR(AO887&lt;&gt;1,AR887=""),"",INDEX(SLA_RES,AR887))</f>
        <v/>
      </c>
      <c r="BB887" s="35" t="str">
        <f aca="false">IF(OR(AW887="",BA887=""),"",IF(AW887&lt;=BA887,1,0))</f>
        <v/>
      </c>
      <c r="BC887" s="38" t="str">
        <f aca="false">IF(OR(BA887="",P887=""),"",WORKDAY(INT(P887),BA887,JoursFeries)+MOD(P887,1))</f>
        <v/>
      </c>
      <c r="BD887" s="39" t="str">
        <f aca="false">IF(AO887&lt;&gt;1,"",IF(OR(AB887&lt;&gt;"",AD887&lt;&gt;""),4,IF(U887&lt;&gt;"",3,IF(T887&lt;&gt;"",2,1))))</f>
        <v/>
      </c>
      <c r="BE887" s="39" t="str">
        <f aca="false">IF(OR(AO887&lt;&gt;1,AR887=""),"",INDEX(NIV_REQ,AR887))</f>
        <v/>
      </c>
      <c r="BF887" s="39" t="str">
        <f aca="false">IF(BE887="","",MAX(BE887,IF(OR(K887="Oui",Z887="Oui"),4,1)))</f>
        <v/>
      </c>
      <c r="BG887" s="35" t="str">
        <f aca="false">IF(OR(BF887="",BD887=""),"",IF(BD887&gt;=BF887,1,0))</f>
        <v/>
      </c>
      <c r="BH887" s="38" t="str">
        <f aca="false">IF(BE887="","",IF(BE887&lt;2,"",IF(BE887=2,IF(AND(T887="",U887=""),"",MIN(T887,U887)),IF(U887="","",U887))))</f>
        <v/>
      </c>
      <c r="BI887" s="37" t="str">
        <f aca="false">IF(BH887="","",IF(OR(O887="",BH887=""),"",IF(BH887&lt;O887,"",ROUND(((NETWORKDAYS(O887,BH887,JoursFeries)-1)*(HFer-HOuv)+IF(NETWORKDAYS(BH887,BH887,JoursFeries),MEDIAN(MOD(BH887,1),HFer,HOuv),HFer)-IF(NETWORKDAYS(O887,O887,JoursFeries),MEDIAN(MOD(O887,1),HFer,HOuv),HOuv))*24,4))))</f>
        <v/>
      </c>
      <c r="BJ887" s="35" t="str">
        <f aca="false">IF(OR(BI887="",AR887=""),"",IF(BI887&lt;=INDEX(DELAI_ESC,AR887),1,0))</f>
        <v/>
      </c>
      <c r="BK887" s="38" t="str">
        <f aca="false">IF(AO887&lt;&gt;1,"",IF(AND(T887="",U887=""),"",MIN(T887,U887)))</f>
        <v/>
      </c>
      <c r="BL887" s="37" t="str">
        <f aca="false">IF(OR(BK887="",R887=""),"",IFERROR(ROUND(IF(OR(BK887="",R887=""),"",IF(R887&lt;BK887,"",ROUND(((NETWORKDAYS(BK887,R887,JoursFeries)-1)*(HFer-HOuv)+IF(NETWORKDAYS(R887,R887,JoursFeries),MEDIAN(MOD(R887,1),HFer,HOuv),HFer)-IF(NETWORKDAYS(BK887,BK887,JoursFeries),MEDIAN(MOD(BK887,1),HFer,HOuv),HOuv))*24,4)))/HJour,4),""))</f>
        <v/>
      </c>
      <c r="BM887" s="35" t="str">
        <f aca="false">IF(OR(AO887&lt;&gt;1,R887=""),"",IF(BD887=1,1,0))</f>
        <v/>
      </c>
      <c r="BN887" s="35" t="str">
        <f aca="false">IF(AO887&lt;&gt;1,"",IF(W887="Oui",1,0))</f>
        <v/>
      </c>
      <c r="BO887" s="35" t="str">
        <f aca="false">IF(AO887&lt;&gt;1,"",IF(X887&lt;&gt;"",1,0))</f>
        <v/>
      </c>
      <c r="BP887" s="35" t="str">
        <f aca="false">IF(AO887&lt;&gt;1,"",IF(Y887="Oui",1,0))</f>
        <v/>
      </c>
      <c r="BQ887" s="35" t="str">
        <f aca="true">IF(OR(AO887&lt;&gt;1,Z887&lt;&gt;"Oui"),"",IF(AB887="",IF(AND(AA887&lt;&gt;"",NOW()&gt;AA887),0,""),IF(AA887="","",IF(AB887&lt;=AA887,1,0))))</f>
        <v/>
      </c>
      <c r="BR887" s="38" t="str">
        <f aca="false">IF(OR(AO887&lt;&gt;1,K887&lt;&gt;"Oui",O887=""),"",IF(AC887="",O887+DORA_H_DET/24,IF(AC887-O887&lt;=DORA_H_DET/24,MIN(AC887+DORA_H_CLA/24,O887+DORA_H_DET/24),AC887+DORA_H_CLA/24)))</f>
        <v/>
      </c>
      <c r="BS887" s="35" t="str">
        <f aca="true">IF(BR887="","",IF(AD887="",IF(NOW()&gt;BR887,0,""),IF(AD887&lt;=BR887,1,0)))</f>
        <v/>
      </c>
      <c r="BT887" s="35" t="str">
        <f aca="true">IF(OR(BR887="",AD887=""),"",IF(AE887="",IF(NOW()&gt;AD887+DORA_H_INT/24,0,""),IF(AE887&lt;=AD887+DORA_H_INT/24,1,0)))</f>
        <v/>
      </c>
      <c r="BU887" s="35" t="str">
        <f aca="true">IF(OR(BR887="",AE887=""),"",IF(AF887="",IF(NOW()&gt;EDATE(AE887,DORA_M_FIN)+1,0,""),IF(AF887&lt;=EDATE(AE887,DORA_M_FIN),1,0)))</f>
        <v/>
      </c>
      <c r="BV887" s="35" t="str">
        <f aca="false">IF(BR887="","",IF(COUNT(BS887:BU887)=0,"",MIN(BS887:BU887)))</f>
        <v/>
      </c>
      <c r="BW887" s="40" t="str">
        <f aca="false">IF(AQ887&lt;&gt;1,"",IF(AND(AG887="",AH887=""),"",N(AG887)-N(AH887)))</f>
        <v/>
      </c>
      <c r="BX887" s="35" t="str">
        <f aca="true">IF(OR(AQ887&lt;&gt;1,AI887&lt;&gt;"Oui",AJ887=""),"",IF(AK887="",IF(NOW()&gt;AJ887+1,0,""),IF(AK887&lt;=AJ887,1,0)))</f>
        <v/>
      </c>
    </row>
    <row r="888" customFormat="false" ht="15" hidden="false" customHeight="false" outlineLevel="0" collapsed="false">
      <c r="B888" s="29"/>
      <c r="C888" s="29"/>
      <c r="D888" s="29"/>
      <c r="E888" s="29"/>
      <c r="F888" s="29"/>
      <c r="G888" s="29"/>
      <c r="H888" s="29"/>
      <c r="I888" s="29"/>
      <c r="J888" s="29"/>
      <c r="K888" s="29"/>
      <c r="L888" s="29"/>
      <c r="M888" s="29"/>
      <c r="N888" s="30"/>
      <c r="O888" s="30"/>
      <c r="P888" s="30"/>
      <c r="Q888" s="30"/>
      <c r="R888" s="30"/>
      <c r="S888" s="30"/>
      <c r="T888" s="30"/>
      <c r="U888" s="30"/>
      <c r="V888" s="31"/>
      <c r="W888" s="29"/>
      <c r="X888" s="29"/>
      <c r="Y888" s="29"/>
      <c r="Z888" s="29"/>
      <c r="AA888" s="30"/>
      <c r="AB888" s="30"/>
      <c r="AC888" s="30"/>
      <c r="AD888" s="30"/>
      <c r="AE888" s="30"/>
      <c r="AF888" s="32"/>
      <c r="AG888" s="33"/>
      <c r="AH888" s="33"/>
      <c r="AI888" s="29"/>
      <c r="AJ888" s="32"/>
      <c r="AK888" s="32"/>
      <c r="AL888" s="29"/>
      <c r="AN888" s="34" t="str">
        <f aca="false">IF($B888="","",IF(OR(C888="",D888="",E888="",G888="",I888="",J888="",L888="",O888="",P888=""),"Champ obligatoire manquant",IF(OR(AND(N888&lt;&gt;"",N888&gt;O888),O888&gt;P888,AND(Q888&lt;&gt;"",Q888&lt;P888),AND(R888&lt;&gt;"",R888&lt;P888),AND(S888&lt;&gt;"",S888&lt;R888),AND(S888&lt;&gt;"",R888=""),AND(T888&lt;&gt;"",T888&lt;O888),AND(U888&lt;&gt;"",U888&lt;O888)),"Chronologie incohérente",IF(AND(OR(L888="Résolu",L888="Clos"),R888=""),"Date de résolution manquante",IF(AND(L888="Clos",S888=""),"Date de clôture manquante",IF(AND(K888="Oui",AC888=""),"Classification DORA manquante","OK"))))))</f>
        <v/>
      </c>
      <c r="AO888" s="35" t="str">
        <f aca="false">IF($B888="","",IF(AND(C888="Incident",L888&lt;&gt;"Annulé"),1,0))</f>
        <v/>
      </c>
      <c r="AP888" s="35" t="str">
        <f aca="false">IF($B888="","",IF(AND(C888="Quasi-incident",L888&lt;&gt;"Annulé"),1,0))</f>
        <v/>
      </c>
      <c r="AQ888" s="35" t="str">
        <f aca="false">IF($B888="","",AO888+AP888)</f>
        <v/>
      </c>
      <c r="AR888" s="36" t="str">
        <f aca="false">IF(OR($B888="",J888=""),"",IFERROR(VALUE(LEFT(J888,1)),""))</f>
        <v/>
      </c>
      <c r="AS888" s="35" t="str">
        <f aca="false">IF(OR(AO888&lt;&gt;1,G888=""),"",IFERROR(IF(INDEX(L_SrcInterne,MATCH(G888,L_Sources,0))="Oui",1,0),""))</f>
        <v/>
      </c>
      <c r="AT888" s="37" t="str">
        <f aca="false">IF(AO888&lt;&gt;1,"",IFERROR(ROUND(IF(OR(N888="",O888=""),"",IF(O888&lt;N888,"",ROUND(((NETWORKDAYS(N888,O888,JoursFeries)-1)*(HFer-HOuv)+IF(NETWORKDAYS(O888,O888,JoursFeries),MEDIAN(MOD(O888,1),HFer,HOuv),HFer)-IF(NETWORKDAYS(N888,N888,JoursFeries),MEDIAN(MOD(N888,1),HFer,HOuv),HOuv))*24,4)))/HJour,4),""))</f>
        <v/>
      </c>
      <c r="AU888" s="37" t="str">
        <f aca="false">IF(AO888&lt;&gt;1,"",IF(OR(O888="",P888=""),"",IF(P888&lt;O888,"",ROUND(((NETWORKDAYS(O888,P888,JoursFeries)-1)*(HFer-HOuv)+IF(NETWORKDAYS(P888,P888,JoursFeries),MEDIAN(MOD(P888,1),HFer,HOuv),HFer)-IF(NETWORKDAYS(O888,O888,JoursFeries),MEDIAN(MOD(O888,1),HFer,HOuv),HOuv))*24,4))))</f>
        <v/>
      </c>
      <c r="AV888" s="37" t="str">
        <f aca="false">IF(AO888&lt;&gt;1,"",IF(OR(P888="",Q888=""),"",IF(Q888&lt;P888,"",ROUND(((NETWORKDAYS(P888,Q888,JoursFeries)-1)*(HFer-HOuv)+IF(NETWORKDAYS(Q888,Q888,JoursFeries),MEDIAN(MOD(Q888,1),HFer,HOuv),HFer)-IF(NETWORKDAYS(P888,P888,JoursFeries),MEDIAN(MOD(P888,1),HFer,HOuv),HOuv))*24,4))))</f>
        <v/>
      </c>
      <c r="AW888" s="37" t="str">
        <f aca="false">IF(AO888&lt;&gt;1,"",IFERROR(ROUND(IF(OR(P888="",R888=""),"",IF(R888&lt;P888,"",ROUND(((NETWORKDAYS(P888,R888,JoursFeries)-1)*(HFer-HOuv)+IF(NETWORKDAYS(R888,R888,JoursFeries),MEDIAN(MOD(R888,1),HFer,HOuv),HFer)-IF(NETWORKDAYS(P888,P888,JoursFeries),MEDIAN(MOD(P888,1),HFer,HOuv),HOuv))*24,4)))/HJour,4),""))</f>
        <v/>
      </c>
      <c r="AX888" s="37" t="str">
        <f aca="false">IF(AO888&lt;&gt;1,"",IFERROR(ROUND(IF(OR(P888="",S888=""),"",IF(S888&lt;P888,"",ROUND(((NETWORKDAYS(P888,S888,JoursFeries)-1)*(HFer-HOuv)+IF(NETWORKDAYS(S888,S888,JoursFeries),MEDIAN(MOD(S888,1),HFer,HOuv),HFer)-IF(NETWORKDAYS(P888,P888,JoursFeries),MEDIAN(MOD(P888,1),HFer,HOuv),HOuv))*24,4)))/HJour,4),""))</f>
        <v/>
      </c>
      <c r="AY888" s="36" t="str">
        <f aca="false">IF(OR(AO888&lt;&gt;1,AR888=""),"",INDEX(SLA_PEC,AR888))</f>
        <v/>
      </c>
      <c r="AZ888" s="35" t="str">
        <f aca="false">IF(OR(AV888="",AY888=""),"",IF(AV888&lt;=AY888,1,0))</f>
        <v/>
      </c>
      <c r="BA888" s="36" t="str">
        <f aca="false">IF(OR(AO888&lt;&gt;1,AR888=""),"",INDEX(SLA_RES,AR888))</f>
        <v/>
      </c>
      <c r="BB888" s="35" t="str">
        <f aca="false">IF(OR(AW888="",BA888=""),"",IF(AW888&lt;=BA888,1,0))</f>
        <v/>
      </c>
      <c r="BC888" s="38" t="str">
        <f aca="false">IF(OR(BA888="",P888=""),"",WORKDAY(INT(P888),BA888,JoursFeries)+MOD(P888,1))</f>
        <v/>
      </c>
      <c r="BD888" s="39" t="str">
        <f aca="false">IF(AO888&lt;&gt;1,"",IF(OR(AB888&lt;&gt;"",AD888&lt;&gt;""),4,IF(U888&lt;&gt;"",3,IF(T888&lt;&gt;"",2,1))))</f>
        <v/>
      </c>
      <c r="BE888" s="39" t="str">
        <f aca="false">IF(OR(AO888&lt;&gt;1,AR888=""),"",INDEX(NIV_REQ,AR888))</f>
        <v/>
      </c>
      <c r="BF888" s="39" t="str">
        <f aca="false">IF(BE888="","",MAX(BE888,IF(OR(K888="Oui",Z888="Oui"),4,1)))</f>
        <v/>
      </c>
      <c r="BG888" s="35" t="str">
        <f aca="false">IF(OR(BF888="",BD888=""),"",IF(BD888&gt;=BF888,1,0))</f>
        <v/>
      </c>
      <c r="BH888" s="38" t="str">
        <f aca="false">IF(BE888="","",IF(BE888&lt;2,"",IF(BE888=2,IF(AND(T888="",U888=""),"",MIN(T888,U888)),IF(U888="","",U888))))</f>
        <v/>
      </c>
      <c r="BI888" s="37" t="str">
        <f aca="false">IF(BH888="","",IF(OR(O888="",BH888=""),"",IF(BH888&lt;O888,"",ROUND(((NETWORKDAYS(O888,BH888,JoursFeries)-1)*(HFer-HOuv)+IF(NETWORKDAYS(BH888,BH888,JoursFeries),MEDIAN(MOD(BH888,1),HFer,HOuv),HFer)-IF(NETWORKDAYS(O888,O888,JoursFeries),MEDIAN(MOD(O888,1),HFer,HOuv),HOuv))*24,4))))</f>
        <v/>
      </c>
      <c r="BJ888" s="35" t="str">
        <f aca="false">IF(OR(BI888="",AR888=""),"",IF(BI888&lt;=INDEX(DELAI_ESC,AR888),1,0))</f>
        <v/>
      </c>
      <c r="BK888" s="38" t="str">
        <f aca="false">IF(AO888&lt;&gt;1,"",IF(AND(T888="",U888=""),"",MIN(T888,U888)))</f>
        <v/>
      </c>
      <c r="BL888" s="37" t="str">
        <f aca="false">IF(OR(BK888="",R888=""),"",IFERROR(ROUND(IF(OR(BK888="",R888=""),"",IF(R888&lt;BK888,"",ROUND(((NETWORKDAYS(BK888,R888,JoursFeries)-1)*(HFer-HOuv)+IF(NETWORKDAYS(R888,R888,JoursFeries),MEDIAN(MOD(R888,1),HFer,HOuv),HFer)-IF(NETWORKDAYS(BK888,BK888,JoursFeries),MEDIAN(MOD(BK888,1),HFer,HOuv),HOuv))*24,4)))/HJour,4),""))</f>
        <v/>
      </c>
      <c r="BM888" s="35" t="str">
        <f aca="false">IF(OR(AO888&lt;&gt;1,R888=""),"",IF(BD888=1,1,0))</f>
        <v/>
      </c>
      <c r="BN888" s="35" t="str">
        <f aca="false">IF(AO888&lt;&gt;1,"",IF(W888="Oui",1,0))</f>
        <v/>
      </c>
      <c r="BO888" s="35" t="str">
        <f aca="false">IF(AO888&lt;&gt;1,"",IF(X888&lt;&gt;"",1,0))</f>
        <v/>
      </c>
      <c r="BP888" s="35" t="str">
        <f aca="false">IF(AO888&lt;&gt;1,"",IF(Y888="Oui",1,0))</f>
        <v/>
      </c>
      <c r="BQ888" s="35" t="str">
        <f aca="true">IF(OR(AO888&lt;&gt;1,Z888&lt;&gt;"Oui"),"",IF(AB888="",IF(AND(AA888&lt;&gt;"",NOW()&gt;AA888),0,""),IF(AA888="","",IF(AB888&lt;=AA888,1,0))))</f>
        <v/>
      </c>
      <c r="BR888" s="38" t="str">
        <f aca="false">IF(OR(AO888&lt;&gt;1,K888&lt;&gt;"Oui",O888=""),"",IF(AC888="",O888+DORA_H_DET/24,IF(AC888-O888&lt;=DORA_H_DET/24,MIN(AC888+DORA_H_CLA/24,O888+DORA_H_DET/24),AC888+DORA_H_CLA/24)))</f>
        <v/>
      </c>
      <c r="BS888" s="35" t="str">
        <f aca="true">IF(BR888="","",IF(AD888="",IF(NOW()&gt;BR888,0,""),IF(AD888&lt;=BR888,1,0)))</f>
        <v/>
      </c>
      <c r="BT888" s="35" t="str">
        <f aca="true">IF(OR(BR888="",AD888=""),"",IF(AE888="",IF(NOW()&gt;AD888+DORA_H_INT/24,0,""),IF(AE888&lt;=AD888+DORA_H_INT/24,1,0)))</f>
        <v/>
      </c>
      <c r="BU888" s="35" t="str">
        <f aca="true">IF(OR(BR888="",AE888=""),"",IF(AF888="",IF(NOW()&gt;EDATE(AE888,DORA_M_FIN)+1,0,""),IF(AF888&lt;=EDATE(AE888,DORA_M_FIN),1,0)))</f>
        <v/>
      </c>
      <c r="BV888" s="35" t="str">
        <f aca="false">IF(BR888="","",IF(COUNT(BS888:BU888)=0,"",MIN(BS888:BU888)))</f>
        <v/>
      </c>
      <c r="BW888" s="40" t="str">
        <f aca="false">IF(AQ888&lt;&gt;1,"",IF(AND(AG888="",AH888=""),"",N(AG888)-N(AH888)))</f>
        <v/>
      </c>
      <c r="BX888" s="35" t="str">
        <f aca="true">IF(OR(AQ888&lt;&gt;1,AI888&lt;&gt;"Oui",AJ888=""),"",IF(AK888="",IF(NOW()&gt;AJ888+1,0,""),IF(AK888&lt;=AJ888,1,0)))</f>
        <v/>
      </c>
    </row>
    <row r="889" customFormat="false" ht="15" hidden="false" customHeight="false" outlineLevel="0" collapsed="false">
      <c r="B889" s="29"/>
      <c r="C889" s="29"/>
      <c r="D889" s="29"/>
      <c r="E889" s="29"/>
      <c r="F889" s="29"/>
      <c r="G889" s="29"/>
      <c r="H889" s="29"/>
      <c r="I889" s="29"/>
      <c r="J889" s="29"/>
      <c r="K889" s="29"/>
      <c r="L889" s="29"/>
      <c r="M889" s="29"/>
      <c r="N889" s="30"/>
      <c r="O889" s="30"/>
      <c r="P889" s="30"/>
      <c r="Q889" s="30"/>
      <c r="R889" s="30"/>
      <c r="S889" s="30"/>
      <c r="T889" s="30"/>
      <c r="U889" s="30"/>
      <c r="V889" s="31"/>
      <c r="W889" s="29"/>
      <c r="X889" s="29"/>
      <c r="Y889" s="29"/>
      <c r="Z889" s="29"/>
      <c r="AA889" s="30"/>
      <c r="AB889" s="30"/>
      <c r="AC889" s="30"/>
      <c r="AD889" s="30"/>
      <c r="AE889" s="30"/>
      <c r="AF889" s="32"/>
      <c r="AG889" s="33"/>
      <c r="AH889" s="33"/>
      <c r="AI889" s="29"/>
      <c r="AJ889" s="32"/>
      <c r="AK889" s="32"/>
      <c r="AL889" s="29"/>
      <c r="AN889" s="34" t="str">
        <f aca="false">IF($B889="","",IF(OR(C889="",D889="",E889="",G889="",I889="",J889="",L889="",O889="",P889=""),"Champ obligatoire manquant",IF(OR(AND(N889&lt;&gt;"",N889&gt;O889),O889&gt;P889,AND(Q889&lt;&gt;"",Q889&lt;P889),AND(R889&lt;&gt;"",R889&lt;P889),AND(S889&lt;&gt;"",S889&lt;R889),AND(S889&lt;&gt;"",R889=""),AND(T889&lt;&gt;"",T889&lt;O889),AND(U889&lt;&gt;"",U889&lt;O889)),"Chronologie incohérente",IF(AND(OR(L889="Résolu",L889="Clos"),R889=""),"Date de résolution manquante",IF(AND(L889="Clos",S889=""),"Date de clôture manquante",IF(AND(K889="Oui",AC889=""),"Classification DORA manquante","OK"))))))</f>
        <v/>
      </c>
      <c r="AO889" s="35" t="str">
        <f aca="false">IF($B889="","",IF(AND(C889="Incident",L889&lt;&gt;"Annulé"),1,0))</f>
        <v/>
      </c>
      <c r="AP889" s="35" t="str">
        <f aca="false">IF($B889="","",IF(AND(C889="Quasi-incident",L889&lt;&gt;"Annulé"),1,0))</f>
        <v/>
      </c>
      <c r="AQ889" s="35" t="str">
        <f aca="false">IF($B889="","",AO889+AP889)</f>
        <v/>
      </c>
      <c r="AR889" s="36" t="str">
        <f aca="false">IF(OR($B889="",J889=""),"",IFERROR(VALUE(LEFT(J889,1)),""))</f>
        <v/>
      </c>
      <c r="AS889" s="35" t="str">
        <f aca="false">IF(OR(AO889&lt;&gt;1,G889=""),"",IFERROR(IF(INDEX(L_SrcInterne,MATCH(G889,L_Sources,0))="Oui",1,0),""))</f>
        <v/>
      </c>
      <c r="AT889" s="37" t="str">
        <f aca="false">IF(AO889&lt;&gt;1,"",IFERROR(ROUND(IF(OR(N889="",O889=""),"",IF(O889&lt;N889,"",ROUND(((NETWORKDAYS(N889,O889,JoursFeries)-1)*(HFer-HOuv)+IF(NETWORKDAYS(O889,O889,JoursFeries),MEDIAN(MOD(O889,1),HFer,HOuv),HFer)-IF(NETWORKDAYS(N889,N889,JoursFeries),MEDIAN(MOD(N889,1),HFer,HOuv),HOuv))*24,4)))/HJour,4),""))</f>
        <v/>
      </c>
      <c r="AU889" s="37" t="str">
        <f aca="false">IF(AO889&lt;&gt;1,"",IF(OR(O889="",P889=""),"",IF(P889&lt;O889,"",ROUND(((NETWORKDAYS(O889,P889,JoursFeries)-1)*(HFer-HOuv)+IF(NETWORKDAYS(P889,P889,JoursFeries),MEDIAN(MOD(P889,1),HFer,HOuv),HFer)-IF(NETWORKDAYS(O889,O889,JoursFeries),MEDIAN(MOD(O889,1),HFer,HOuv),HOuv))*24,4))))</f>
        <v/>
      </c>
      <c r="AV889" s="37" t="str">
        <f aca="false">IF(AO889&lt;&gt;1,"",IF(OR(P889="",Q889=""),"",IF(Q889&lt;P889,"",ROUND(((NETWORKDAYS(P889,Q889,JoursFeries)-1)*(HFer-HOuv)+IF(NETWORKDAYS(Q889,Q889,JoursFeries),MEDIAN(MOD(Q889,1),HFer,HOuv),HFer)-IF(NETWORKDAYS(P889,P889,JoursFeries),MEDIAN(MOD(P889,1),HFer,HOuv),HOuv))*24,4))))</f>
        <v/>
      </c>
      <c r="AW889" s="37" t="str">
        <f aca="false">IF(AO889&lt;&gt;1,"",IFERROR(ROUND(IF(OR(P889="",R889=""),"",IF(R889&lt;P889,"",ROUND(((NETWORKDAYS(P889,R889,JoursFeries)-1)*(HFer-HOuv)+IF(NETWORKDAYS(R889,R889,JoursFeries),MEDIAN(MOD(R889,1),HFer,HOuv),HFer)-IF(NETWORKDAYS(P889,P889,JoursFeries),MEDIAN(MOD(P889,1),HFer,HOuv),HOuv))*24,4)))/HJour,4),""))</f>
        <v/>
      </c>
      <c r="AX889" s="37" t="str">
        <f aca="false">IF(AO889&lt;&gt;1,"",IFERROR(ROUND(IF(OR(P889="",S889=""),"",IF(S889&lt;P889,"",ROUND(((NETWORKDAYS(P889,S889,JoursFeries)-1)*(HFer-HOuv)+IF(NETWORKDAYS(S889,S889,JoursFeries),MEDIAN(MOD(S889,1),HFer,HOuv),HFer)-IF(NETWORKDAYS(P889,P889,JoursFeries),MEDIAN(MOD(P889,1),HFer,HOuv),HOuv))*24,4)))/HJour,4),""))</f>
        <v/>
      </c>
      <c r="AY889" s="36" t="str">
        <f aca="false">IF(OR(AO889&lt;&gt;1,AR889=""),"",INDEX(SLA_PEC,AR889))</f>
        <v/>
      </c>
      <c r="AZ889" s="35" t="str">
        <f aca="false">IF(OR(AV889="",AY889=""),"",IF(AV889&lt;=AY889,1,0))</f>
        <v/>
      </c>
      <c r="BA889" s="36" t="str">
        <f aca="false">IF(OR(AO889&lt;&gt;1,AR889=""),"",INDEX(SLA_RES,AR889))</f>
        <v/>
      </c>
      <c r="BB889" s="35" t="str">
        <f aca="false">IF(OR(AW889="",BA889=""),"",IF(AW889&lt;=BA889,1,0))</f>
        <v/>
      </c>
      <c r="BC889" s="38" t="str">
        <f aca="false">IF(OR(BA889="",P889=""),"",WORKDAY(INT(P889),BA889,JoursFeries)+MOD(P889,1))</f>
        <v/>
      </c>
      <c r="BD889" s="39" t="str">
        <f aca="false">IF(AO889&lt;&gt;1,"",IF(OR(AB889&lt;&gt;"",AD889&lt;&gt;""),4,IF(U889&lt;&gt;"",3,IF(T889&lt;&gt;"",2,1))))</f>
        <v/>
      </c>
      <c r="BE889" s="39" t="str">
        <f aca="false">IF(OR(AO889&lt;&gt;1,AR889=""),"",INDEX(NIV_REQ,AR889))</f>
        <v/>
      </c>
      <c r="BF889" s="39" t="str">
        <f aca="false">IF(BE889="","",MAX(BE889,IF(OR(K889="Oui",Z889="Oui"),4,1)))</f>
        <v/>
      </c>
      <c r="BG889" s="35" t="str">
        <f aca="false">IF(OR(BF889="",BD889=""),"",IF(BD889&gt;=BF889,1,0))</f>
        <v/>
      </c>
      <c r="BH889" s="38" t="str">
        <f aca="false">IF(BE889="","",IF(BE889&lt;2,"",IF(BE889=2,IF(AND(T889="",U889=""),"",MIN(T889,U889)),IF(U889="","",U889))))</f>
        <v/>
      </c>
      <c r="BI889" s="37" t="str">
        <f aca="false">IF(BH889="","",IF(OR(O889="",BH889=""),"",IF(BH889&lt;O889,"",ROUND(((NETWORKDAYS(O889,BH889,JoursFeries)-1)*(HFer-HOuv)+IF(NETWORKDAYS(BH889,BH889,JoursFeries),MEDIAN(MOD(BH889,1),HFer,HOuv),HFer)-IF(NETWORKDAYS(O889,O889,JoursFeries),MEDIAN(MOD(O889,1),HFer,HOuv),HOuv))*24,4))))</f>
        <v/>
      </c>
      <c r="BJ889" s="35" t="str">
        <f aca="false">IF(OR(BI889="",AR889=""),"",IF(BI889&lt;=INDEX(DELAI_ESC,AR889),1,0))</f>
        <v/>
      </c>
      <c r="BK889" s="38" t="str">
        <f aca="false">IF(AO889&lt;&gt;1,"",IF(AND(T889="",U889=""),"",MIN(T889,U889)))</f>
        <v/>
      </c>
      <c r="BL889" s="37" t="str">
        <f aca="false">IF(OR(BK889="",R889=""),"",IFERROR(ROUND(IF(OR(BK889="",R889=""),"",IF(R889&lt;BK889,"",ROUND(((NETWORKDAYS(BK889,R889,JoursFeries)-1)*(HFer-HOuv)+IF(NETWORKDAYS(R889,R889,JoursFeries),MEDIAN(MOD(R889,1),HFer,HOuv),HFer)-IF(NETWORKDAYS(BK889,BK889,JoursFeries),MEDIAN(MOD(BK889,1),HFer,HOuv),HOuv))*24,4)))/HJour,4),""))</f>
        <v/>
      </c>
      <c r="BM889" s="35" t="str">
        <f aca="false">IF(OR(AO889&lt;&gt;1,R889=""),"",IF(BD889=1,1,0))</f>
        <v/>
      </c>
      <c r="BN889" s="35" t="str">
        <f aca="false">IF(AO889&lt;&gt;1,"",IF(W889="Oui",1,0))</f>
        <v/>
      </c>
      <c r="BO889" s="35" t="str">
        <f aca="false">IF(AO889&lt;&gt;1,"",IF(X889&lt;&gt;"",1,0))</f>
        <v/>
      </c>
      <c r="BP889" s="35" t="str">
        <f aca="false">IF(AO889&lt;&gt;1,"",IF(Y889="Oui",1,0))</f>
        <v/>
      </c>
      <c r="BQ889" s="35" t="str">
        <f aca="true">IF(OR(AO889&lt;&gt;1,Z889&lt;&gt;"Oui"),"",IF(AB889="",IF(AND(AA889&lt;&gt;"",NOW()&gt;AA889),0,""),IF(AA889="","",IF(AB889&lt;=AA889,1,0))))</f>
        <v/>
      </c>
      <c r="BR889" s="38" t="str">
        <f aca="false">IF(OR(AO889&lt;&gt;1,K889&lt;&gt;"Oui",O889=""),"",IF(AC889="",O889+DORA_H_DET/24,IF(AC889-O889&lt;=DORA_H_DET/24,MIN(AC889+DORA_H_CLA/24,O889+DORA_H_DET/24),AC889+DORA_H_CLA/24)))</f>
        <v/>
      </c>
      <c r="BS889" s="35" t="str">
        <f aca="true">IF(BR889="","",IF(AD889="",IF(NOW()&gt;BR889,0,""),IF(AD889&lt;=BR889,1,0)))</f>
        <v/>
      </c>
      <c r="BT889" s="35" t="str">
        <f aca="true">IF(OR(BR889="",AD889=""),"",IF(AE889="",IF(NOW()&gt;AD889+DORA_H_INT/24,0,""),IF(AE889&lt;=AD889+DORA_H_INT/24,1,0)))</f>
        <v/>
      </c>
      <c r="BU889" s="35" t="str">
        <f aca="true">IF(OR(BR889="",AE889=""),"",IF(AF889="",IF(NOW()&gt;EDATE(AE889,DORA_M_FIN)+1,0,""),IF(AF889&lt;=EDATE(AE889,DORA_M_FIN),1,0)))</f>
        <v/>
      </c>
      <c r="BV889" s="35" t="str">
        <f aca="false">IF(BR889="","",IF(COUNT(BS889:BU889)=0,"",MIN(BS889:BU889)))</f>
        <v/>
      </c>
      <c r="BW889" s="40" t="str">
        <f aca="false">IF(AQ889&lt;&gt;1,"",IF(AND(AG889="",AH889=""),"",N(AG889)-N(AH889)))</f>
        <v/>
      </c>
      <c r="BX889" s="35" t="str">
        <f aca="true">IF(OR(AQ889&lt;&gt;1,AI889&lt;&gt;"Oui",AJ889=""),"",IF(AK889="",IF(NOW()&gt;AJ889+1,0,""),IF(AK889&lt;=AJ889,1,0)))</f>
        <v/>
      </c>
    </row>
    <row r="890" customFormat="false" ht="15" hidden="false" customHeight="false" outlineLevel="0" collapsed="false">
      <c r="B890" s="29"/>
      <c r="C890" s="29"/>
      <c r="D890" s="29"/>
      <c r="E890" s="29"/>
      <c r="F890" s="29"/>
      <c r="G890" s="29"/>
      <c r="H890" s="29"/>
      <c r="I890" s="29"/>
      <c r="J890" s="29"/>
      <c r="K890" s="29"/>
      <c r="L890" s="29"/>
      <c r="M890" s="29"/>
      <c r="N890" s="30"/>
      <c r="O890" s="30"/>
      <c r="P890" s="30"/>
      <c r="Q890" s="30"/>
      <c r="R890" s="30"/>
      <c r="S890" s="30"/>
      <c r="T890" s="30"/>
      <c r="U890" s="30"/>
      <c r="V890" s="31"/>
      <c r="W890" s="29"/>
      <c r="X890" s="29"/>
      <c r="Y890" s="29"/>
      <c r="Z890" s="29"/>
      <c r="AA890" s="30"/>
      <c r="AB890" s="30"/>
      <c r="AC890" s="30"/>
      <c r="AD890" s="30"/>
      <c r="AE890" s="30"/>
      <c r="AF890" s="32"/>
      <c r="AG890" s="33"/>
      <c r="AH890" s="33"/>
      <c r="AI890" s="29"/>
      <c r="AJ890" s="32"/>
      <c r="AK890" s="32"/>
      <c r="AL890" s="29"/>
      <c r="AN890" s="34" t="str">
        <f aca="false">IF($B890="","",IF(OR(C890="",D890="",E890="",G890="",I890="",J890="",L890="",O890="",P890=""),"Champ obligatoire manquant",IF(OR(AND(N890&lt;&gt;"",N890&gt;O890),O890&gt;P890,AND(Q890&lt;&gt;"",Q890&lt;P890),AND(R890&lt;&gt;"",R890&lt;P890),AND(S890&lt;&gt;"",S890&lt;R890),AND(S890&lt;&gt;"",R890=""),AND(T890&lt;&gt;"",T890&lt;O890),AND(U890&lt;&gt;"",U890&lt;O890)),"Chronologie incohérente",IF(AND(OR(L890="Résolu",L890="Clos"),R890=""),"Date de résolution manquante",IF(AND(L890="Clos",S890=""),"Date de clôture manquante",IF(AND(K890="Oui",AC890=""),"Classification DORA manquante","OK"))))))</f>
        <v/>
      </c>
      <c r="AO890" s="35" t="str">
        <f aca="false">IF($B890="","",IF(AND(C890="Incident",L890&lt;&gt;"Annulé"),1,0))</f>
        <v/>
      </c>
      <c r="AP890" s="35" t="str">
        <f aca="false">IF($B890="","",IF(AND(C890="Quasi-incident",L890&lt;&gt;"Annulé"),1,0))</f>
        <v/>
      </c>
      <c r="AQ890" s="35" t="str">
        <f aca="false">IF($B890="","",AO890+AP890)</f>
        <v/>
      </c>
      <c r="AR890" s="36" t="str">
        <f aca="false">IF(OR($B890="",J890=""),"",IFERROR(VALUE(LEFT(J890,1)),""))</f>
        <v/>
      </c>
      <c r="AS890" s="35" t="str">
        <f aca="false">IF(OR(AO890&lt;&gt;1,G890=""),"",IFERROR(IF(INDEX(L_SrcInterne,MATCH(G890,L_Sources,0))="Oui",1,0),""))</f>
        <v/>
      </c>
      <c r="AT890" s="37" t="str">
        <f aca="false">IF(AO890&lt;&gt;1,"",IFERROR(ROUND(IF(OR(N890="",O890=""),"",IF(O890&lt;N890,"",ROUND(((NETWORKDAYS(N890,O890,JoursFeries)-1)*(HFer-HOuv)+IF(NETWORKDAYS(O890,O890,JoursFeries),MEDIAN(MOD(O890,1),HFer,HOuv),HFer)-IF(NETWORKDAYS(N890,N890,JoursFeries),MEDIAN(MOD(N890,1),HFer,HOuv),HOuv))*24,4)))/HJour,4),""))</f>
        <v/>
      </c>
      <c r="AU890" s="37" t="str">
        <f aca="false">IF(AO890&lt;&gt;1,"",IF(OR(O890="",P890=""),"",IF(P890&lt;O890,"",ROUND(((NETWORKDAYS(O890,P890,JoursFeries)-1)*(HFer-HOuv)+IF(NETWORKDAYS(P890,P890,JoursFeries),MEDIAN(MOD(P890,1),HFer,HOuv),HFer)-IF(NETWORKDAYS(O890,O890,JoursFeries),MEDIAN(MOD(O890,1),HFer,HOuv),HOuv))*24,4))))</f>
        <v/>
      </c>
      <c r="AV890" s="37" t="str">
        <f aca="false">IF(AO890&lt;&gt;1,"",IF(OR(P890="",Q890=""),"",IF(Q890&lt;P890,"",ROUND(((NETWORKDAYS(P890,Q890,JoursFeries)-1)*(HFer-HOuv)+IF(NETWORKDAYS(Q890,Q890,JoursFeries),MEDIAN(MOD(Q890,1),HFer,HOuv),HFer)-IF(NETWORKDAYS(P890,P890,JoursFeries),MEDIAN(MOD(P890,1),HFer,HOuv),HOuv))*24,4))))</f>
        <v/>
      </c>
      <c r="AW890" s="37" t="str">
        <f aca="false">IF(AO890&lt;&gt;1,"",IFERROR(ROUND(IF(OR(P890="",R890=""),"",IF(R890&lt;P890,"",ROUND(((NETWORKDAYS(P890,R890,JoursFeries)-1)*(HFer-HOuv)+IF(NETWORKDAYS(R890,R890,JoursFeries),MEDIAN(MOD(R890,1),HFer,HOuv),HFer)-IF(NETWORKDAYS(P890,P890,JoursFeries),MEDIAN(MOD(P890,1),HFer,HOuv),HOuv))*24,4)))/HJour,4),""))</f>
        <v/>
      </c>
      <c r="AX890" s="37" t="str">
        <f aca="false">IF(AO890&lt;&gt;1,"",IFERROR(ROUND(IF(OR(P890="",S890=""),"",IF(S890&lt;P890,"",ROUND(((NETWORKDAYS(P890,S890,JoursFeries)-1)*(HFer-HOuv)+IF(NETWORKDAYS(S890,S890,JoursFeries),MEDIAN(MOD(S890,1),HFer,HOuv),HFer)-IF(NETWORKDAYS(P890,P890,JoursFeries),MEDIAN(MOD(P890,1),HFer,HOuv),HOuv))*24,4)))/HJour,4),""))</f>
        <v/>
      </c>
      <c r="AY890" s="36" t="str">
        <f aca="false">IF(OR(AO890&lt;&gt;1,AR890=""),"",INDEX(SLA_PEC,AR890))</f>
        <v/>
      </c>
      <c r="AZ890" s="35" t="str">
        <f aca="false">IF(OR(AV890="",AY890=""),"",IF(AV890&lt;=AY890,1,0))</f>
        <v/>
      </c>
      <c r="BA890" s="36" t="str">
        <f aca="false">IF(OR(AO890&lt;&gt;1,AR890=""),"",INDEX(SLA_RES,AR890))</f>
        <v/>
      </c>
      <c r="BB890" s="35" t="str">
        <f aca="false">IF(OR(AW890="",BA890=""),"",IF(AW890&lt;=BA890,1,0))</f>
        <v/>
      </c>
      <c r="BC890" s="38" t="str">
        <f aca="false">IF(OR(BA890="",P890=""),"",WORKDAY(INT(P890),BA890,JoursFeries)+MOD(P890,1))</f>
        <v/>
      </c>
      <c r="BD890" s="39" t="str">
        <f aca="false">IF(AO890&lt;&gt;1,"",IF(OR(AB890&lt;&gt;"",AD890&lt;&gt;""),4,IF(U890&lt;&gt;"",3,IF(T890&lt;&gt;"",2,1))))</f>
        <v/>
      </c>
      <c r="BE890" s="39" t="str">
        <f aca="false">IF(OR(AO890&lt;&gt;1,AR890=""),"",INDEX(NIV_REQ,AR890))</f>
        <v/>
      </c>
      <c r="BF890" s="39" t="str">
        <f aca="false">IF(BE890="","",MAX(BE890,IF(OR(K890="Oui",Z890="Oui"),4,1)))</f>
        <v/>
      </c>
      <c r="BG890" s="35" t="str">
        <f aca="false">IF(OR(BF890="",BD890=""),"",IF(BD890&gt;=BF890,1,0))</f>
        <v/>
      </c>
      <c r="BH890" s="38" t="str">
        <f aca="false">IF(BE890="","",IF(BE890&lt;2,"",IF(BE890=2,IF(AND(T890="",U890=""),"",MIN(T890,U890)),IF(U890="","",U890))))</f>
        <v/>
      </c>
      <c r="BI890" s="37" t="str">
        <f aca="false">IF(BH890="","",IF(OR(O890="",BH890=""),"",IF(BH890&lt;O890,"",ROUND(((NETWORKDAYS(O890,BH890,JoursFeries)-1)*(HFer-HOuv)+IF(NETWORKDAYS(BH890,BH890,JoursFeries),MEDIAN(MOD(BH890,1),HFer,HOuv),HFer)-IF(NETWORKDAYS(O890,O890,JoursFeries),MEDIAN(MOD(O890,1),HFer,HOuv),HOuv))*24,4))))</f>
        <v/>
      </c>
      <c r="BJ890" s="35" t="str">
        <f aca="false">IF(OR(BI890="",AR890=""),"",IF(BI890&lt;=INDEX(DELAI_ESC,AR890),1,0))</f>
        <v/>
      </c>
      <c r="BK890" s="38" t="str">
        <f aca="false">IF(AO890&lt;&gt;1,"",IF(AND(T890="",U890=""),"",MIN(T890,U890)))</f>
        <v/>
      </c>
      <c r="BL890" s="37" t="str">
        <f aca="false">IF(OR(BK890="",R890=""),"",IFERROR(ROUND(IF(OR(BK890="",R890=""),"",IF(R890&lt;BK890,"",ROUND(((NETWORKDAYS(BK890,R890,JoursFeries)-1)*(HFer-HOuv)+IF(NETWORKDAYS(R890,R890,JoursFeries),MEDIAN(MOD(R890,1),HFer,HOuv),HFer)-IF(NETWORKDAYS(BK890,BK890,JoursFeries),MEDIAN(MOD(BK890,1),HFer,HOuv),HOuv))*24,4)))/HJour,4),""))</f>
        <v/>
      </c>
      <c r="BM890" s="35" t="str">
        <f aca="false">IF(OR(AO890&lt;&gt;1,R890=""),"",IF(BD890=1,1,0))</f>
        <v/>
      </c>
      <c r="BN890" s="35" t="str">
        <f aca="false">IF(AO890&lt;&gt;1,"",IF(W890="Oui",1,0))</f>
        <v/>
      </c>
      <c r="BO890" s="35" t="str">
        <f aca="false">IF(AO890&lt;&gt;1,"",IF(X890&lt;&gt;"",1,0))</f>
        <v/>
      </c>
      <c r="BP890" s="35" t="str">
        <f aca="false">IF(AO890&lt;&gt;1,"",IF(Y890="Oui",1,0))</f>
        <v/>
      </c>
      <c r="BQ890" s="35" t="str">
        <f aca="true">IF(OR(AO890&lt;&gt;1,Z890&lt;&gt;"Oui"),"",IF(AB890="",IF(AND(AA890&lt;&gt;"",NOW()&gt;AA890),0,""),IF(AA890="","",IF(AB890&lt;=AA890,1,0))))</f>
        <v/>
      </c>
      <c r="BR890" s="38" t="str">
        <f aca="false">IF(OR(AO890&lt;&gt;1,K890&lt;&gt;"Oui",O890=""),"",IF(AC890="",O890+DORA_H_DET/24,IF(AC890-O890&lt;=DORA_H_DET/24,MIN(AC890+DORA_H_CLA/24,O890+DORA_H_DET/24),AC890+DORA_H_CLA/24)))</f>
        <v/>
      </c>
      <c r="BS890" s="35" t="str">
        <f aca="true">IF(BR890="","",IF(AD890="",IF(NOW()&gt;BR890,0,""),IF(AD890&lt;=BR890,1,0)))</f>
        <v/>
      </c>
      <c r="BT890" s="35" t="str">
        <f aca="true">IF(OR(BR890="",AD890=""),"",IF(AE890="",IF(NOW()&gt;AD890+DORA_H_INT/24,0,""),IF(AE890&lt;=AD890+DORA_H_INT/24,1,0)))</f>
        <v/>
      </c>
      <c r="BU890" s="35" t="str">
        <f aca="true">IF(OR(BR890="",AE890=""),"",IF(AF890="",IF(NOW()&gt;EDATE(AE890,DORA_M_FIN)+1,0,""),IF(AF890&lt;=EDATE(AE890,DORA_M_FIN),1,0)))</f>
        <v/>
      </c>
      <c r="BV890" s="35" t="str">
        <f aca="false">IF(BR890="","",IF(COUNT(BS890:BU890)=0,"",MIN(BS890:BU890)))</f>
        <v/>
      </c>
      <c r="BW890" s="40" t="str">
        <f aca="false">IF(AQ890&lt;&gt;1,"",IF(AND(AG890="",AH890=""),"",N(AG890)-N(AH890)))</f>
        <v/>
      </c>
      <c r="BX890" s="35" t="str">
        <f aca="true">IF(OR(AQ890&lt;&gt;1,AI890&lt;&gt;"Oui",AJ890=""),"",IF(AK890="",IF(NOW()&gt;AJ890+1,0,""),IF(AK890&lt;=AJ890,1,0)))</f>
        <v/>
      </c>
    </row>
    <row r="891" customFormat="false" ht="15" hidden="false" customHeight="false" outlineLevel="0" collapsed="false">
      <c r="B891" s="29"/>
      <c r="C891" s="29"/>
      <c r="D891" s="29"/>
      <c r="E891" s="29"/>
      <c r="F891" s="29"/>
      <c r="G891" s="29"/>
      <c r="H891" s="29"/>
      <c r="I891" s="29"/>
      <c r="J891" s="29"/>
      <c r="K891" s="29"/>
      <c r="L891" s="29"/>
      <c r="M891" s="29"/>
      <c r="N891" s="30"/>
      <c r="O891" s="30"/>
      <c r="P891" s="30"/>
      <c r="Q891" s="30"/>
      <c r="R891" s="30"/>
      <c r="S891" s="30"/>
      <c r="T891" s="30"/>
      <c r="U891" s="30"/>
      <c r="V891" s="31"/>
      <c r="W891" s="29"/>
      <c r="X891" s="29"/>
      <c r="Y891" s="29"/>
      <c r="Z891" s="29"/>
      <c r="AA891" s="30"/>
      <c r="AB891" s="30"/>
      <c r="AC891" s="30"/>
      <c r="AD891" s="30"/>
      <c r="AE891" s="30"/>
      <c r="AF891" s="32"/>
      <c r="AG891" s="33"/>
      <c r="AH891" s="33"/>
      <c r="AI891" s="29"/>
      <c r="AJ891" s="32"/>
      <c r="AK891" s="32"/>
      <c r="AL891" s="29"/>
      <c r="AN891" s="34" t="str">
        <f aca="false">IF($B891="","",IF(OR(C891="",D891="",E891="",G891="",I891="",J891="",L891="",O891="",P891=""),"Champ obligatoire manquant",IF(OR(AND(N891&lt;&gt;"",N891&gt;O891),O891&gt;P891,AND(Q891&lt;&gt;"",Q891&lt;P891),AND(R891&lt;&gt;"",R891&lt;P891),AND(S891&lt;&gt;"",S891&lt;R891),AND(S891&lt;&gt;"",R891=""),AND(T891&lt;&gt;"",T891&lt;O891),AND(U891&lt;&gt;"",U891&lt;O891)),"Chronologie incohérente",IF(AND(OR(L891="Résolu",L891="Clos"),R891=""),"Date de résolution manquante",IF(AND(L891="Clos",S891=""),"Date de clôture manquante",IF(AND(K891="Oui",AC891=""),"Classification DORA manquante","OK"))))))</f>
        <v/>
      </c>
      <c r="AO891" s="35" t="str">
        <f aca="false">IF($B891="","",IF(AND(C891="Incident",L891&lt;&gt;"Annulé"),1,0))</f>
        <v/>
      </c>
      <c r="AP891" s="35" t="str">
        <f aca="false">IF($B891="","",IF(AND(C891="Quasi-incident",L891&lt;&gt;"Annulé"),1,0))</f>
        <v/>
      </c>
      <c r="AQ891" s="35" t="str">
        <f aca="false">IF($B891="","",AO891+AP891)</f>
        <v/>
      </c>
      <c r="AR891" s="36" t="str">
        <f aca="false">IF(OR($B891="",J891=""),"",IFERROR(VALUE(LEFT(J891,1)),""))</f>
        <v/>
      </c>
      <c r="AS891" s="35" t="str">
        <f aca="false">IF(OR(AO891&lt;&gt;1,G891=""),"",IFERROR(IF(INDEX(L_SrcInterne,MATCH(G891,L_Sources,0))="Oui",1,0),""))</f>
        <v/>
      </c>
      <c r="AT891" s="37" t="str">
        <f aca="false">IF(AO891&lt;&gt;1,"",IFERROR(ROUND(IF(OR(N891="",O891=""),"",IF(O891&lt;N891,"",ROUND(((NETWORKDAYS(N891,O891,JoursFeries)-1)*(HFer-HOuv)+IF(NETWORKDAYS(O891,O891,JoursFeries),MEDIAN(MOD(O891,1),HFer,HOuv),HFer)-IF(NETWORKDAYS(N891,N891,JoursFeries),MEDIAN(MOD(N891,1),HFer,HOuv),HOuv))*24,4)))/HJour,4),""))</f>
        <v/>
      </c>
      <c r="AU891" s="37" t="str">
        <f aca="false">IF(AO891&lt;&gt;1,"",IF(OR(O891="",P891=""),"",IF(P891&lt;O891,"",ROUND(((NETWORKDAYS(O891,P891,JoursFeries)-1)*(HFer-HOuv)+IF(NETWORKDAYS(P891,P891,JoursFeries),MEDIAN(MOD(P891,1),HFer,HOuv),HFer)-IF(NETWORKDAYS(O891,O891,JoursFeries),MEDIAN(MOD(O891,1),HFer,HOuv),HOuv))*24,4))))</f>
        <v/>
      </c>
      <c r="AV891" s="37" t="str">
        <f aca="false">IF(AO891&lt;&gt;1,"",IF(OR(P891="",Q891=""),"",IF(Q891&lt;P891,"",ROUND(((NETWORKDAYS(P891,Q891,JoursFeries)-1)*(HFer-HOuv)+IF(NETWORKDAYS(Q891,Q891,JoursFeries),MEDIAN(MOD(Q891,1),HFer,HOuv),HFer)-IF(NETWORKDAYS(P891,P891,JoursFeries),MEDIAN(MOD(P891,1),HFer,HOuv),HOuv))*24,4))))</f>
        <v/>
      </c>
      <c r="AW891" s="37" t="str">
        <f aca="false">IF(AO891&lt;&gt;1,"",IFERROR(ROUND(IF(OR(P891="",R891=""),"",IF(R891&lt;P891,"",ROUND(((NETWORKDAYS(P891,R891,JoursFeries)-1)*(HFer-HOuv)+IF(NETWORKDAYS(R891,R891,JoursFeries),MEDIAN(MOD(R891,1),HFer,HOuv),HFer)-IF(NETWORKDAYS(P891,P891,JoursFeries),MEDIAN(MOD(P891,1),HFer,HOuv),HOuv))*24,4)))/HJour,4),""))</f>
        <v/>
      </c>
      <c r="AX891" s="37" t="str">
        <f aca="false">IF(AO891&lt;&gt;1,"",IFERROR(ROUND(IF(OR(P891="",S891=""),"",IF(S891&lt;P891,"",ROUND(((NETWORKDAYS(P891,S891,JoursFeries)-1)*(HFer-HOuv)+IF(NETWORKDAYS(S891,S891,JoursFeries),MEDIAN(MOD(S891,1),HFer,HOuv),HFer)-IF(NETWORKDAYS(P891,P891,JoursFeries),MEDIAN(MOD(P891,1),HFer,HOuv),HOuv))*24,4)))/HJour,4),""))</f>
        <v/>
      </c>
      <c r="AY891" s="36" t="str">
        <f aca="false">IF(OR(AO891&lt;&gt;1,AR891=""),"",INDEX(SLA_PEC,AR891))</f>
        <v/>
      </c>
      <c r="AZ891" s="35" t="str">
        <f aca="false">IF(OR(AV891="",AY891=""),"",IF(AV891&lt;=AY891,1,0))</f>
        <v/>
      </c>
      <c r="BA891" s="36" t="str">
        <f aca="false">IF(OR(AO891&lt;&gt;1,AR891=""),"",INDEX(SLA_RES,AR891))</f>
        <v/>
      </c>
      <c r="BB891" s="35" t="str">
        <f aca="false">IF(OR(AW891="",BA891=""),"",IF(AW891&lt;=BA891,1,0))</f>
        <v/>
      </c>
      <c r="BC891" s="38" t="str">
        <f aca="false">IF(OR(BA891="",P891=""),"",WORKDAY(INT(P891),BA891,JoursFeries)+MOD(P891,1))</f>
        <v/>
      </c>
      <c r="BD891" s="39" t="str">
        <f aca="false">IF(AO891&lt;&gt;1,"",IF(OR(AB891&lt;&gt;"",AD891&lt;&gt;""),4,IF(U891&lt;&gt;"",3,IF(T891&lt;&gt;"",2,1))))</f>
        <v/>
      </c>
      <c r="BE891" s="39" t="str">
        <f aca="false">IF(OR(AO891&lt;&gt;1,AR891=""),"",INDEX(NIV_REQ,AR891))</f>
        <v/>
      </c>
      <c r="BF891" s="39" t="str">
        <f aca="false">IF(BE891="","",MAX(BE891,IF(OR(K891="Oui",Z891="Oui"),4,1)))</f>
        <v/>
      </c>
      <c r="BG891" s="35" t="str">
        <f aca="false">IF(OR(BF891="",BD891=""),"",IF(BD891&gt;=BF891,1,0))</f>
        <v/>
      </c>
      <c r="BH891" s="38" t="str">
        <f aca="false">IF(BE891="","",IF(BE891&lt;2,"",IF(BE891=2,IF(AND(T891="",U891=""),"",MIN(T891,U891)),IF(U891="","",U891))))</f>
        <v/>
      </c>
      <c r="BI891" s="37" t="str">
        <f aca="false">IF(BH891="","",IF(OR(O891="",BH891=""),"",IF(BH891&lt;O891,"",ROUND(((NETWORKDAYS(O891,BH891,JoursFeries)-1)*(HFer-HOuv)+IF(NETWORKDAYS(BH891,BH891,JoursFeries),MEDIAN(MOD(BH891,1),HFer,HOuv),HFer)-IF(NETWORKDAYS(O891,O891,JoursFeries),MEDIAN(MOD(O891,1),HFer,HOuv),HOuv))*24,4))))</f>
        <v/>
      </c>
      <c r="BJ891" s="35" t="str">
        <f aca="false">IF(OR(BI891="",AR891=""),"",IF(BI891&lt;=INDEX(DELAI_ESC,AR891),1,0))</f>
        <v/>
      </c>
      <c r="BK891" s="38" t="str">
        <f aca="false">IF(AO891&lt;&gt;1,"",IF(AND(T891="",U891=""),"",MIN(T891,U891)))</f>
        <v/>
      </c>
      <c r="BL891" s="37" t="str">
        <f aca="false">IF(OR(BK891="",R891=""),"",IFERROR(ROUND(IF(OR(BK891="",R891=""),"",IF(R891&lt;BK891,"",ROUND(((NETWORKDAYS(BK891,R891,JoursFeries)-1)*(HFer-HOuv)+IF(NETWORKDAYS(R891,R891,JoursFeries),MEDIAN(MOD(R891,1),HFer,HOuv),HFer)-IF(NETWORKDAYS(BK891,BK891,JoursFeries),MEDIAN(MOD(BK891,1),HFer,HOuv),HOuv))*24,4)))/HJour,4),""))</f>
        <v/>
      </c>
      <c r="BM891" s="35" t="str">
        <f aca="false">IF(OR(AO891&lt;&gt;1,R891=""),"",IF(BD891=1,1,0))</f>
        <v/>
      </c>
      <c r="BN891" s="35" t="str">
        <f aca="false">IF(AO891&lt;&gt;1,"",IF(W891="Oui",1,0))</f>
        <v/>
      </c>
      <c r="BO891" s="35" t="str">
        <f aca="false">IF(AO891&lt;&gt;1,"",IF(X891&lt;&gt;"",1,0))</f>
        <v/>
      </c>
      <c r="BP891" s="35" t="str">
        <f aca="false">IF(AO891&lt;&gt;1,"",IF(Y891="Oui",1,0))</f>
        <v/>
      </c>
      <c r="BQ891" s="35" t="str">
        <f aca="true">IF(OR(AO891&lt;&gt;1,Z891&lt;&gt;"Oui"),"",IF(AB891="",IF(AND(AA891&lt;&gt;"",NOW()&gt;AA891),0,""),IF(AA891="","",IF(AB891&lt;=AA891,1,0))))</f>
        <v/>
      </c>
      <c r="BR891" s="38" t="str">
        <f aca="false">IF(OR(AO891&lt;&gt;1,K891&lt;&gt;"Oui",O891=""),"",IF(AC891="",O891+DORA_H_DET/24,IF(AC891-O891&lt;=DORA_H_DET/24,MIN(AC891+DORA_H_CLA/24,O891+DORA_H_DET/24),AC891+DORA_H_CLA/24)))</f>
        <v/>
      </c>
      <c r="BS891" s="35" t="str">
        <f aca="true">IF(BR891="","",IF(AD891="",IF(NOW()&gt;BR891,0,""),IF(AD891&lt;=BR891,1,0)))</f>
        <v/>
      </c>
      <c r="BT891" s="35" t="str">
        <f aca="true">IF(OR(BR891="",AD891=""),"",IF(AE891="",IF(NOW()&gt;AD891+DORA_H_INT/24,0,""),IF(AE891&lt;=AD891+DORA_H_INT/24,1,0)))</f>
        <v/>
      </c>
      <c r="BU891" s="35" t="str">
        <f aca="true">IF(OR(BR891="",AE891=""),"",IF(AF891="",IF(NOW()&gt;EDATE(AE891,DORA_M_FIN)+1,0,""),IF(AF891&lt;=EDATE(AE891,DORA_M_FIN),1,0)))</f>
        <v/>
      </c>
      <c r="BV891" s="35" t="str">
        <f aca="false">IF(BR891="","",IF(COUNT(BS891:BU891)=0,"",MIN(BS891:BU891)))</f>
        <v/>
      </c>
      <c r="BW891" s="40" t="str">
        <f aca="false">IF(AQ891&lt;&gt;1,"",IF(AND(AG891="",AH891=""),"",N(AG891)-N(AH891)))</f>
        <v/>
      </c>
      <c r="BX891" s="35" t="str">
        <f aca="true">IF(OR(AQ891&lt;&gt;1,AI891&lt;&gt;"Oui",AJ891=""),"",IF(AK891="",IF(NOW()&gt;AJ891+1,0,""),IF(AK891&lt;=AJ891,1,0)))</f>
        <v/>
      </c>
    </row>
    <row r="892" customFormat="false" ht="15" hidden="false" customHeight="false" outlineLevel="0" collapsed="false">
      <c r="B892" s="29"/>
      <c r="C892" s="29"/>
      <c r="D892" s="29"/>
      <c r="E892" s="29"/>
      <c r="F892" s="29"/>
      <c r="G892" s="29"/>
      <c r="H892" s="29"/>
      <c r="I892" s="29"/>
      <c r="J892" s="29"/>
      <c r="K892" s="29"/>
      <c r="L892" s="29"/>
      <c r="M892" s="29"/>
      <c r="N892" s="30"/>
      <c r="O892" s="30"/>
      <c r="P892" s="30"/>
      <c r="Q892" s="30"/>
      <c r="R892" s="30"/>
      <c r="S892" s="30"/>
      <c r="T892" s="30"/>
      <c r="U892" s="30"/>
      <c r="V892" s="31"/>
      <c r="W892" s="29"/>
      <c r="X892" s="29"/>
      <c r="Y892" s="29"/>
      <c r="Z892" s="29"/>
      <c r="AA892" s="30"/>
      <c r="AB892" s="30"/>
      <c r="AC892" s="30"/>
      <c r="AD892" s="30"/>
      <c r="AE892" s="30"/>
      <c r="AF892" s="32"/>
      <c r="AG892" s="33"/>
      <c r="AH892" s="33"/>
      <c r="AI892" s="29"/>
      <c r="AJ892" s="32"/>
      <c r="AK892" s="32"/>
      <c r="AL892" s="29"/>
      <c r="AN892" s="34" t="str">
        <f aca="false">IF($B892="","",IF(OR(C892="",D892="",E892="",G892="",I892="",J892="",L892="",O892="",P892=""),"Champ obligatoire manquant",IF(OR(AND(N892&lt;&gt;"",N892&gt;O892),O892&gt;P892,AND(Q892&lt;&gt;"",Q892&lt;P892),AND(R892&lt;&gt;"",R892&lt;P892),AND(S892&lt;&gt;"",S892&lt;R892),AND(S892&lt;&gt;"",R892=""),AND(T892&lt;&gt;"",T892&lt;O892),AND(U892&lt;&gt;"",U892&lt;O892)),"Chronologie incohérente",IF(AND(OR(L892="Résolu",L892="Clos"),R892=""),"Date de résolution manquante",IF(AND(L892="Clos",S892=""),"Date de clôture manquante",IF(AND(K892="Oui",AC892=""),"Classification DORA manquante","OK"))))))</f>
        <v/>
      </c>
      <c r="AO892" s="35" t="str">
        <f aca="false">IF($B892="","",IF(AND(C892="Incident",L892&lt;&gt;"Annulé"),1,0))</f>
        <v/>
      </c>
      <c r="AP892" s="35" t="str">
        <f aca="false">IF($B892="","",IF(AND(C892="Quasi-incident",L892&lt;&gt;"Annulé"),1,0))</f>
        <v/>
      </c>
      <c r="AQ892" s="35" t="str">
        <f aca="false">IF($B892="","",AO892+AP892)</f>
        <v/>
      </c>
      <c r="AR892" s="36" t="str">
        <f aca="false">IF(OR($B892="",J892=""),"",IFERROR(VALUE(LEFT(J892,1)),""))</f>
        <v/>
      </c>
      <c r="AS892" s="35" t="str">
        <f aca="false">IF(OR(AO892&lt;&gt;1,G892=""),"",IFERROR(IF(INDEX(L_SrcInterne,MATCH(G892,L_Sources,0))="Oui",1,0),""))</f>
        <v/>
      </c>
      <c r="AT892" s="37" t="str">
        <f aca="false">IF(AO892&lt;&gt;1,"",IFERROR(ROUND(IF(OR(N892="",O892=""),"",IF(O892&lt;N892,"",ROUND(((NETWORKDAYS(N892,O892,JoursFeries)-1)*(HFer-HOuv)+IF(NETWORKDAYS(O892,O892,JoursFeries),MEDIAN(MOD(O892,1),HFer,HOuv),HFer)-IF(NETWORKDAYS(N892,N892,JoursFeries),MEDIAN(MOD(N892,1),HFer,HOuv),HOuv))*24,4)))/HJour,4),""))</f>
        <v/>
      </c>
      <c r="AU892" s="37" t="str">
        <f aca="false">IF(AO892&lt;&gt;1,"",IF(OR(O892="",P892=""),"",IF(P892&lt;O892,"",ROUND(((NETWORKDAYS(O892,P892,JoursFeries)-1)*(HFer-HOuv)+IF(NETWORKDAYS(P892,P892,JoursFeries),MEDIAN(MOD(P892,1),HFer,HOuv),HFer)-IF(NETWORKDAYS(O892,O892,JoursFeries),MEDIAN(MOD(O892,1),HFer,HOuv),HOuv))*24,4))))</f>
        <v/>
      </c>
      <c r="AV892" s="37" t="str">
        <f aca="false">IF(AO892&lt;&gt;1,"",IF(OR(P892="",Q892=""),"",IF(Q892&lt;P892,"",ROUND(((NETWORKDAYS(P892,Q892,JoursFeries)-1)*(HFer-HOuv)+IF(NETWORKDAYS(Q892,Q892,JoursFeries),MEDIAN(MOD(Q892,1),HFer,HOuv),HFer)-IF(NETWORKDAYS(P892,P892,JoursFeries),MEDIAN(MOD(P892,1),HFer,HOuv),HOuv))*24,4))))</f>
        <v/>
      </c>
      <c r="AW892" s="37" t="str">
        <f aca="false">IF(AO892&lt;&gt;1,"",IFERROR(ROUND(IF(OR(P892="",R892=""),"",IF(R892&lt;P892,"",ROUND(((NETWORKDAYS(P892,R892,JoursFeries)-1)*(HFer-HOuv)+IF(NETWORKDAYS(R892,R892,JoursFeries),MEDIAN(MOD(R892,1),HFer,HOuv),HFer)-IF(NETWORKDAYS(P892,P892,JoursFeries),MEDIAN(MOD(P892,1),HFer,HOuv),HOuv))*24,4)))/HJour,4),""))</f>
        <v/>
      </c>
      <c r="AX892" s="37" t="str">
        <f aca="false">IF(AO892&lt;&gt;1,"",IFERROR(ROUND(IF(OR(P892="",S892=""),"",IF(S892&lt;P892,"",ROUND(((NETWORKDAYS(P892,S892,JoursFeries)-1)*(HFer-HOuv)+IF(NETWORKDAYS(S892,S892,JoursFeries),MEDIAN(MOD(S892,1),HFer,HOuv),HFer)-IF(NETWORKDAYS(P892,P892,JoursFeries),MEDIAN(MOD(P892,1),HFer,HOuv),HOuv))*24,4)))/HJour,4),""))</f>
        <v/>
      </c>
      <c r="AY892" s="36" t="str">
        <f aca="false">IF(OR(AO892&lt;&gt;1,AR892=""),"",INDEX(SLA_PEC,AR892))</f>
        <v/>
      </c>
      <c r="AZ892" s="35" t="str">
        <f aca="false">IF(OR(AV892="",AY892=""),"",IF(AV892&lt;=AY892,1,0))</f>
        <v/>
      </c>
      <c r="BA892" s="36" t="str">
        <f aca="false">IF(OR(AO892&lt;&gt;1,AR892=""),"",INDEX(SLA_RES,AR892))</f>
        <v/>
      </c>
      <c r="BB892" s="35" t="str">
        <f aca="false">IF(OR(AW892="",BA892=""),"",IF(AW892&lt;=BA892,1,0))</f>
        <v/>
      </c>
      <c r="BC892" s="38" t="str">
        <f aca="false">IF(OR(BA892="",P892=""),"",WORKDAY(INT(P892),BA892,JoursFeries)+MOD(P892,1))</f>
        <v/>
      </c>
      <c r="BD892" s="39" t="str">
        <f aca="false">IF(AO892&lt;&gt;1,"",IF(OR(AB892&lt;&gt;"",AD892&lt;&gt;""),4,IF(U892&lt;&gt;"",3,IF(T892&lt;&gt;"",2,1))))</f>
        <v/>
      </c>
      <c r="BE892" s="39" t="str">
        <f aca="false">IF(OR(AO892&lt;&gt;1,AR892=""),"",INDEX(NIV_REQ,AR892))</f>
        <v/>
      </c>
      <c r="BF892" s="39" t="str">
        <f aca="false">IF(BE892="","",MAX(BE892,IF(OR(K892="Oui",Z892="Oui"),4,1)))</f>
        <v/>
      </c>
      <c r="BG892" s="35" t="str">
        <f aca="false">IF(OR(BF892="",BD892=""),"",IF(BD892&gt;=BF892,1,0))</f>
        <v/>
      </c>
      <c r="BH892" s="38" t="str">
        <f aca="false">IF(BE892="","",IF(BE892&lt;2,"",IF(BE892=2,IF(AND(T892="",U892=""),"",MIN(T892,U892)),IF(U892="","",U892))))</f>
        <v/>
      </c>
      <c r="BI892" s="37" t="str">
        <f aca="false">IF(BH892="","",IF(OR(O892="",BH892=""),"",IF(BH892&lt;O892,"",ROUND(((NETWORKDAYS(O892,BH892,JoursFeries)-1)*(HFer-HOuv)+IF(NETWORKDAYS(BH892,BH892,JoursFeries),MEDIAN(MOD(BH892,1),HFer,HOuv),HFer)-IF(NETWORKDAYS(O892,O892,JoursFeries),MEDIAN(MOD(O892,1),HFer,HOuv),HOuv))*24,4))))</f>
        <v/>
      </c>
      <c r="BJ892" s="35" t="str">
        <f aca="false">IF(OR(BI892="",AR892=""),"",IF(BI892&lt;=INDEX(DELAI_ESC,AR892),1,0))</f>
        <v/>
      </c>
      <c r="BK892" s="38" t="str">
        <f aca="false">IF(AO892&lt;&gt;1,"",IF(AND(T892="",U892=""),"",MIN(T892,U892)))</f>
        <v/>
      </c>
      <c r="BL892" s="37" t="str">
        <f aca="false">IF(OR(BK892="",R892=""),"",IFERROR(ROUND(IF(OR(BK892="",R892=""),"",IF(R892&lt;BK892,"",ROUND(((NETWORKDAYS(BK892,R892,JoursFeries)-1)*(HFer-HOuv)+IF(NETWORKDAYS(R892,R892,JoursFeries),MEDIAN(MOD(R892,1),HFer,HOuv),HFer)-IF(NETWORKDAYS(BK892,BK892,JoursFeries),MEDIAN(MOD(BK892,1),HFer,HOuv),HOuv))*24,4)))/HJour,4),""))</f>
        <v/>
      </c>
      <c r="BM892" s="35" t="str">
        <f aca="false">IF(OR(AO892&lt;&gt;1,R892=""),"",IF(BD892=1,1,0))</f>
        <v/>
      </c>
      <c r="BN892" s="35" t="str">
        <f aca="false">IF(AO892&lt;&gt;1,"",IF(W892="Oui",1,0))</f>
        <v/>
      </c>
      <c r="BO892" s="35" t="str">
        <f aca="false">IF(AO892&lt;&gt;1,"",IF(X892&lt;&gt;"",1,0))</f>
        <v/>
      </c>
      <c r="BP892" s="35" t="str">
        <f aca="false">IF(AO892&lt;&gt;1,"",IF(Y892="Oui",1,0))</f>
        <v/>
      </c>
      <c r="BQ892" s="35" t="str">
        <f aca="true">IF(OR(AO892&lt;&gt;1,Z892&lt;&gt;"Oui"),"",IF(AB892="",IF(AND(AA892&lt;&gt;"",NOW()&gt;AA892),0,""),IF(AA892="","",IF(AB892&lt;=AA892,1,0))))</f>
        <v/>
      </c>
      <c r="BR892" s="38" t="str">
        <f aca="false">IF(OR(AO892&lt;&gt;1,K892&lt;&gt;"Oui",O892=""),"",IF(AC892="",O892+DORA_H_DET/24,IF(AC892-O892&lt;=DORA_H_DET/24,MIN(AC892+DORA_H_CLA/24,O892+DORA_H_DET/24),AC892+DORA_H_CLA/24)))</f>
        <v/>
      </c>
      <c r="BS892" s="35" t="str">
        <f aca="true">IF(BR892="","",IF(AD892="",IF(NOW()&gt;BR892,0,""),IF(AD892&lt;=BR892,1,0)))</f>
        <v/>
      </c>
      <c r="BT892" s="35" t="str">
        <f aca="true">IF(OR(BR892="",AD892=""),"",IF(AE892="",IF(NOW()&gt;AD892+DORA_H_INT/24,0,""),IF(AE892&lt;=AD892+DORA_H_INT/24,1,0)))</f>
        <v/>
      </c>
      <c r="BU892" s="35" t="str">
        <f aca="true">IF(OR(BR892="",AE892=""),"",IF(AF892="",IF(NOW()&gt;EDATE(AE892,DORA_M_FIN)+1,0,""),IF(AF892&lt;=EDATE(AE892,DORA_M_FIN),1,0)))</f>
        <v/>
      </c>
      <c r="BV892" s="35" t="str">
        <f aca="false">IF(BR892="","",IF(COUNT(BS892:BU892)=0,"",MIN(BS892:BU892)))</f>
        <v/>
      </c>
      <c r="BW892" s="40" t="str">
        <f aca="false">IF(AQ892&lt;&gt;1,"",IF(AND(AG892="",AH892=""),"",N(AG892)-N(AH892)))</f>
        <v/>
      </c>
      <c r="BX892" s="35" t="str">
        <f aca="true">IF(OR(AQ892&lt;&gt;1,AI892&lt;&gt;"Oui",AJ892=""),"",IF(AK892="",IF(NOW()&gt;AJ892+1,0,""),IF(AK892&lt;=AJ892,1,0)))</f>
        <v/>
      </c>
    </row>
    <row r="893" customFormat="false" ht="15" hidden="false" customHeight="false" outlineLevel="0" collapsed="false">
      <c r="B893" s="29"/>
      <c r="C893" s="29"/>
      <c r="D893" s="29"/>
      <c r="E893" s="29"/>
      <c r="F893" s="29"/>
      <c r="G893" s="29"/>
      <c r="H893" s="29"/>
      <c r="I893" s="29"/>
      <c r="J893" s="29"/>
      <c r="K893" s="29"/>
      <c r="L893" s="29"/>
      <c r="M893" s="29"/>
      <c r="N893" s="30"/>
      <c r="O893" s="30"/>
      <c r="P893" s="30"/>
      <c r="Q893" s="30"/>
      <c r="R893" s="30"/>
      <c r="S893" s="30"/>
      <c r="T893" s="30"/>
      <c r="U893" s="30"/>
      <c r="V893" s="31"/>
      <c r="W893" s="29"/>
      <c r="X893" s="29"/>
      <c r="Y893" s="29"/>
      <c r="Z893" s="29"/>
      <c r="AA893" s="30"/>
      <c r="AB893" s="30"/>
      <c r="AC893" s="30"/>
      <c r="AD893" s="30"/>
      <c r="AE893" s="30"/>
      <c r="AF893" s="32"/>
      <c r="AG893" s="33"/>
      <c r="AH893" s="33"/>
      <c r="AI893" s="29"/>
      <c r="AJ893" s="32"/>
      <c r="AK893" s="32"/>
      <c r="AL893" s="29"/>
      <c r="AN893" s="34" t="str">
        <f aca="false">IF($B893="","",IF(OR(C893="",D893="",E893="",G893="",I893="",J893="",L893="",O893="",P893=""),"Champ obligatoire manquant",IF(OR(AND(N893&lt;&gt;"",N893&gt;O893),O893&gt;P893,AND(Q893&lt;&gt;"",Q893&lt;P893),AND(R893&lt;&gt;"",R893&lt;P893),AND(S893&lt;&gt;"",S893&lt;R893),AND(S893&lt;&gt;"",R893=""),AND(T893&lt;&gt;"",T893&lt;O893),AND(U893&lt;&gt;"",U893&lt;O893)),"Chronologie incohérente",IF(AND(OR(L893="Résolu",L893="Clos"),R893=""),"Date de résolution manquante",IF(AND(L893="Clos",S893=""),"Date de clôture manquante",IF(AND(K893="Oui",AC893=""),"Classification DORA manquante","OK"))))))</f>
        <v/>
      </c>
      <c r="AO893" s="35" t="str">
        <f aca="false">IF($B893="","",IF(AND(C893="Incident",L893&lt;&gt;"Annulé"),1,0))</f>
        <v/>
      </c>
      <c r="AP893" s="35" t="str">
        <f aca="false">IF($B893="","",IF(AND(C893="Quasi-incident",L893&lt;&gt;"Annulé"),1,0))</f>
        <v/>
      </c>
      <c r="AQ893" s="35" t="str">
        <f aca="false">IF($B893="","",AO893+AP893)</f>
        <v/>
      </c>
      <c r="AR893" s="36" t="str">
        <f aca="false">IF(OR($B893="",J893=""),"",IFERROR(VALUE(LEFT(J893,1)),""))</f>
        <v/>
      </c>
      <c r="AS893" s="35" t="str">
        <f aca="false">IF(OR(AO893&lt;&gt;1,G893=""),"",IFERROR(IF(INDEX(L_SrcInterne,MATCH(G893,L_Sources,0))="Oui",1,0),""))</f>
        <v/>
      </c>
      <c r="AT893" s="37" t="str">
        <f aca="false">IF(AO893&lt;&gt;1,"",IFERROR(ROUND(IF(OR(N893="",O893=""),"",IF(O893&lt;N893,"",ROUND(((NETWORKDAYS(N893,O893,JoursFeries)-1)*(HFer-HOuv)+IF(NETWORKDAYS(O893,O893,JoursFeries),MEDIAN(MOD(O893,1),HFer,HOuv),HFer)-IF(NETWORKDAYS(N893,N893,JoursFeries),MEDIAN(MOD(N893,1),HFer,HOuv),HOuv))*24,4)))/HJour,4),""))</f>
        <v/>
      </c>
      <c r="AU893" s="37" t="str">
        <f aca="false">IF(AO893&lt;&gt;1,"",IF(OR(O893="",P893=""),"",IF(P893&lt;O893,"",ROUND(((NETWORKDAYS(O893,P893,JoursFeries)-1)*(HFer-HOuv)+IF(NETWORKDAYS(P893,P893,JoursFeries),MEDIAN(MOD(P893,1),HFer,HOuv),HFer)-IF(NETWORKDAYS(O893,O893,JoursFeries),MEDIAN(MOD(O893,1),HFer,HOuv),HOuv))*24,4))))</f>
        <v/>
      </c>
      <c r="AV893" s="37" t="str">
        <f aca="false">IF(AO893&lt;&gt;1,"",IF(OR(P893="",Q893=""),"",IF(Q893&lt;P893,"",ROUND(((NETWORKDAYS(P893,Q893,JoursFeries)-1)*(HFer-HOuv)+IF(NETWORKDAYS(Q893,Q893,JoursFeries),MEDIAN(MOD(Q893,1),HFer,HOuv),HFer)-IF(NETWORKDAYS(P893,P893,JoursFeries),MEDIAN(MOD(P893,1),HFer,HOuv),HOuv))*24,4))))</f>
        <v/>
      </c>
      <c r="AW893" s="37" t="str">
        <f aca="false">IF(AO893&lt;&gt;1,"",IFERROR(ROUND(IF(OR(P893="",R893=""),"",IF(R893&lt;P893,"",ROUND(((NETWORKDAYS(P893,R893,JoursFeries)-1)*(HFer-HOuv)+IF(NETWORKDAYS(R893,R893,JoursFeries),MEDIAN(MOD(R893,1),HFer,HOuv),HFer)-IF(NETWORKDAYS(P893,P893,JoursFeries),MEDIAN(MOD(P893,1),HFer,HOuv),HOuv))*24,4)))/HJour,4),""))</f>
        <v/>
      </c>
      <c r="AX893" s="37" t="str">
        <f aca="false">IF(AO893&lt;&gt;1,"",IFERROR(ROUND(IF(OR(P893="",S893=""),"",IF(S893&lt;P893,"",ROUND(((NETWORKDAYS(P893,S893,JoursFeries)-1)*(HFer-HOuv)+IF(NETWORKDAYS(S893,S893,JoursFeries),MEDIAN(MOD(S893,1),HFer,HOuv),HFer)-IF(NETWORKDAYS(P893,P893,JoursFeries),MEDIAN(MOD(P893,1),HFer,HOuv),HOuv))*24,4)))/HJour,4),""))</f>
        <v/>
      </c>
      <c r="AY893" s="36" t="str">
        <f aca="false">IF(OR(AO893&lt;&gt;1,AR893=""),"",INDEX(SLA_PEC,AR893))</f>
        <v/>
      </c>
      <c r="AZ893" s="35" t="str">
        <f aca="false">IF(OR(AV893="",AY893=""),"",IF(AV893&lt;=AY893,1,0))</f>
        <v/>
      </c>
      <c r="BA893" s="36" t="str">
        <f aca="false">IF(OR(AO893&lt;&gt;1,AR893=""),"",INDEX(SLA_RES,AR893))</f>
        <v/>
      </c>
      <c r="BB893" s="35" t="str">
        <f aca="false">IF(OR(AW893="",BA893=""),"",IF(AW893&lt;=BA893,1,0))</f>
        <v/>
      </c>
      <c r="BC893" s="38" t="str">
        <f aca="false">IF(OR(BA893="",P893=""),"",WORKDAY(INT(P893),BA893,JoursFeries)+MOD(P893,1))</f>
        <v/>
      </c>
      <c r="BD893" s="39" t="str">
        <f aca="false">IF(AO893&lt;&gt;1,"",IF(OR(AB893&lt;&gt;"",AD893&lt;&gt;""),4,IF(U893&lt;&gt;"",3,IF(T893&lt;&gt;"",2,1))))</f>
        <v/>
      </c>
      <c r="BE893" s="39" t="str">
        <f aca="false">IF(OR(AO893&lt;&gt;1,AR893=""),"",INDEX(NIV_REQ,AR893))</f>
        <v/>
      </c>
      <c r="BF893" s="39" t="str">
        <f aca="false">IF(BE893="","",MAX(BE893,IF(OR(K893="Oui",Z893="Oui"),4,1)))</f>
        <v/>
      </c>
      <c r="BG893" s="35" t="str">
        <f aca="false">IF(OR(BF893="",BD893=""),"",IF(BD893&gt;=BF893,1,0))</f>
        <v/>
      </c>
      <c r="BH893" s="38" t="str">
        <f aca="false">IF(BE893="","",IF(BE893&lt;2,"",IF(BE893=2,IF(AND(T893="",U893=""),"",MIN(T893,U893)),IF(U893="","",U893))))</f>
        <v/>
      </c>
      <c r="BI893" s="37" t="str">
        <f aca="false">IF(BH893="","",IF(OR(O893="",BH893=""),"",IF(BH893&lt;O893,"",ROUND(((NETWORKDAYS(O893,BH893,JoursFeries)-1)*(HFer-HOuv)+IF(NETWORKDAYS(BH893,BH893,JoursFeries),MEDIAN(MOD(BH893,1),HFer,HOuv),HFer)-IF(NETWORKDAYS(O893,O893,JoursFeries),MEDIAN(MOD(O893,1),HFer,HOuv),HOuv))*24,4))))</f>
        <v/>
      </c>
      <c r="BJ893" s="35" t="str">
        <f aca="false">IF(OR(BI893="",AR893=""),"",IF(BI893&lt;=INDEX(DELAI_ESC,AR893),1,0))</f>
        <v/>
      </c>
      <c r="BK893" s="38" t="str">
        <f aca="false">IF(AO893&lt;&gt;1,"",IF(AND(T893="",U893=""),"",MIN(T893,U893)))</f>
        <v/>
      </c>
      <c r="BL893" s="37" t="str">
        <f aca="false">IF(OR(BK893="",R893=""),"",IFERROR(ROUND(IF(OR(BK893="",R893=""),"",IF(R893&lt;BK893,"",ROUND(((NETWORKDAYS(BK893,R893,JoursFeries)-1)*(HFer-HOuv)+IF(NETWORKDAYS(R893,R893,JoursFeries),MEDIAN(MOD(R893,1),HFer,HOuv),HFer)-IF(NETWORKDAYS(BK893,BK893,JoursFeries),MEDIAN(MOD(BK893,1),HFer,HOuv),HOuv))*24,4)))/HJour,4),""))</f>
        <v/>
      </c>
      <c r="BM893" s="35" t="str">
        <f aca="false">IF(OR(AO893&lt;&gt;1,R893=""),"",IF(BD893=1,1,0))</f>
        <v/>
      </c>
      <c r="BN893" s="35" t="str">
        <f aca="false">IF(AO893&lt;&gt;1,"",IF(W893="Oui",1,0))</f>
        <v/>
      </c>
      <c r="BO893" s="35" t="str">
        <f aca="false">IF(AO893&lt;&gt;1,"",IF(X893&lt;&gt;"",1,0))</f>
        <v/>
      </c>
      <c r="BP893" s="35" t="str">
        <f aca="false">IF(AO893&lt;&gt;1,"",IF(Y893="Oui",1,0))</f>
        <v/>
      </c>
      <c r="BQ893" s="35" t="str">
        <f aca="true">IF(OR(AO893&lt;&gt;1,Z893&lt;&gt;"Oui"),"",IF(AB893="",IF(AND(AA893&lt;&gt;"",NOW()&gt;AA893),0,""),IF(AA893="","",IF(AB893&lt;=AA893,1,0))))</f>
        <v/>
      </c>
      <c r="BR893" s="38" t="str">
        <f aca="false">IF(OR(AO893&lt;&gt;1,K893&lt;&gt;"Oui",O893=""),"",IF(AC893="",O893+DORA_H_DET/24,IF(AC893-O893&lt;=DORA_H_DET/24,MIN(AC893+DORA_H_CLA/24,O893+DORA_H_DET/24),AC893+DORA_H_CLA/24)))</f>
        <v/>
      </c>
      <c r="BS893" s="35" t="str">
        <f aca="true">IF(BR893="","",IF(AD893="",IF(NOW()&gt;BR893,0,""),IF(AD893&lt;=BR893,1,0)))</f>
        <v/>
      </c>
      <c r="BT893" s="35" t="str">
        <f aca="true">IF(OR(BR893="",AD893=""),"",IF(AE893="",IF(NOW()&gt;AD893+DORA_H_INT/24,0,""),IF(AE893&lt;=AD893+DORA_H_INT/24,1,0)))</f>
        <v/>
      </c>
      <c r="BU893" s="35" t="str">
        <f aca="true">IF(OR(BR893="",AE893=""),"",IF(AF893="",IF(NOW()&gt;EDATE(AE893,DORA_M_FIN)+1,0,""),IF(AF893&lt;=EDATE(AE893,DORA_M_FIN),1,0)))</f>
        <v/>
      </c>
      <c r="BV893" s="35" t="str">
        <f aca="false">IF(BR893="","",IF(COUNT(BS893:BU893)=0,"",MIN(BS893:BU893)))</f>
        <v/>
      </c>
      <c r="BW893" s="40" t="str">
        <f aca="false">IF(AQ893&lt;&gt;1,"",IF(AND(AG893="",AH893=""),"",N(AG893)-N(AH893)))</f>
        <v/>
      </c>
      <c r="BX893" s="35" t="str">
        <f aca="true">IF(OR(AQ893&lt;&gt;1,AI893&lt;&gt;"Oui",AJ893=""),"",IF(AK893="",IF(NOW()&gt;AJ893+1,0,""),IF(AK893&lt;=AJ893,1,0)))</f>
        <v/>
      </c>
    </row>
    <row r="894" customFormat="false" ht="15" hidden="false" customHeight="false" outlineLevel="0" collapsed="false">
      <c r="B894" s="29"/>
      <c r="C894" s="29"/>
      <c r="D894" s="29"/>
      <c r="E894" s="29"/>
      <c r="F894" s="29"/>
      <c r="G894" s="29"/>
      <c r="H894" s="29"/>
      <c r="I894" s="29"/>
      <c r="J894" s="29"/>
      <c r="K894" s="29"/>
      <c r="L894" s="29"/>
      <c r="M894" s="29"/>
      <c r="N894" s="30"/>
      <c r="O894" s="30"/>
      <c r="P894" s="30"/>
      <c r="Q894" s="30"/>
      <c r="R894" s="30"/>
      <c r="S894" s="30"/>
      <c r="T894" s="30"/>
      <c r="U894" s="30"/>
      <c r="V894" s="31"/>
      <c r="W894" s="29"/>
      <c r="X894" s="29"/>
      <c r="Y894" s="29"/>
      <c r="Z894" s="29"/>
      <c r="AA894" s="30"/>
      <c r="AB894" s="30"/>
      <c r="AC894" s="30"/>
      <c r="AD894" s="30"/>
      <c r="AE894" s="30"/>
      <c r="AF894" s="32"/>
      <c r="AG894" s="33"/>
      <c r="AH894" s="33"/>
      <c r="AI894" s="29"/>
      <c r="AJ894" s="32"/>
      <c r="AK894" s="32"/>
      <c r="AL894" s="29"/>
      <c r="AN894" s="34" t="str">
        <f aca="false">IF($B894="","",IF(OR(C894="",D894="",E894="",G894="",I894="",J894="",L894="",O894="",P894=""),"Champ obligatoire manquant",IF(OR(AND(N894&lt;&gt;"",N894&gt;O894),O894&gt;P894,AND(Q894&lt;&gt;"",Q894&lt;P894),AND(R894&lt;&gt;"",R894&lt;P894),AND(S894&lt;&gt;"",S894&lt;R894),AND(S894&lt;&gt;"",R894=""),AND(T894&lt;&gt;"",T894&lt;O894),AND(U894&lt;&gt;"",U894&lt;O894)),"Chronologie incohérente",IF(AND(OR(L894="Résolu",L894="Clos"),R894=""),"Date de résolution manquante",IF(AND(L894="Clos",S894=""),"Date de clôture manquante",IF(AND(K894="Oui",AC894=""),"Classification DORA manquante","OK"))))))</f>
        <v/>
      </c>
      <c r="AO894" s="35" t="str">
        <f aca="false">IF($B894="","",IF(AND(C894="Incident",L894&lt;&gt;"Annulé"),1,0))</f>
        <v/>
      </c>
      <c r="AP894" s="35" t="str">
        <f aca="false">IF($B894="","",IF(AND(C894="Quasi-incident",L894&lt;&gt;"Annulé"),1,0))</f>
        <v/>
      </c>
      <c r="AQ894" s="35" t="str">
        <f aca="false">IF($B894="","",AO894+AP894)</f>
        <v/>
      </c>
      <c r="AR894" s="36" t="str">
        <f aca="false">IF(OR($B894="",J894=""),"",IFERROR(VALUE(LEFT(J894,1)),""))</f>
        <v/>
      </c>
      <c r="AS894" s="35" t="str">
        <f aca="false">IF(OR(AO894&lt;&gt;1,G894=""),"",IFERROR(IF(INDEX(L_SrcInterne,MATCH(G894,L_Sources,0))="Oui",1,0),""))</f>
        <v/>
      </c>
      <c r="AT894" s="37" t="str">
        <f aca="false">IF(AO894&lt;&gt;1,"",IFERROR(ROUND(IF(OR(N894="",O894=""),"",IF(O894&lt;N894,"",ROUND(((NETWORKDAYS(N894,O894,JoursFeries)-1)*(HFer-HOuv)+IF(NETWORKDAYS(O894,O894,JoursFeries),MEDIAN(MOD(O894,1),HFer,HOuv),HFer)-IF(NETWORKDAYS(N894,N894,JoursFeries),MEDIAN(MOD(N894,1),HFer,HOuv),HOuv))*24,4)))/HJour,4),""))</f>
        <v/>
      </c>
      <c r="AU894" s="37" t="str">
        <f aca="false">IF(AO894&lt;&gt;1,"",IF(OR(O894="",P894=""),"",IF(P894&lt;O894,"",ROUND(((NETWORKDAYS(O894,P894,JoursFeries)-1)*(HFer-HOuv)+IF(NETWORKDAYS(P894,P894,JoursFeries),MEDIAN(MOD(P894,1),HFer,HOuv),HFer)-IF(NETWORKDAYS(O894,O894,JoursFeries),MEDIAN(MOD(O894,1),HFer,HOuv),HOuv))*24,4))))</f>
        <v/>
      </c>
      <c r="AV894" s="37" t="str">
        <f aca="false">IF(AO894&lt;&gt;1,"",IF(OR(P894="",Q894=""),"",IF(Q894&lt;P894,"",ROUND(((NETWORKDAYS(P894,Q894,JoursFeries)-1)*(HFer-HOuv)+IF(NETWORKDAYS(Q894,Q894,JoursFeries),MEDIAN(MOD(Q894,1),HFer,HOuv),HFer)-IF(NETWORKDAYS(P894,P894,JoursFeries),MEDIAN(MOD(P894,1),HFer,HOuv),HOuv))*24,4))))</f>
        <v/>
      </c>
      <c r="AW894" s="37" t="str">
        <f aca="false">IF(AO894&lt;&gt;1,"",IFERROR(ROUND(IF(OR(P894="",R894=""),"",IF(R894&lt;P894,"",ROUND(((NETWORKDAYS(P894,R894,JoursFeries)-1)*(HFer-HOuv)+IF(NETWORKDAYS(R894,R894,JoursFeries),MEDIAN(MOD(R894,1),HFer,HOuv),HFer)-IF(NETWORKDAYS(P894,P894,JoursFeries),MEDIAN(MOD(P894,1),HFer,HOuv),HOuv))*24,4)))/HJour,4),""))</f>
        <v/>
      </c>
      <c r="AX894" s="37" t="str">
        <f aca="false">IF(AO894&lt;&gt;1,"",IFERROR(ROUND(IF(OR(P894="",S894=""),"",IF(S894&lt;P894,"",ROUND(((NETWORKDAYS(P894,S894,JoursFeries)-1)*(HFer-HOuv)+IF(NETWORKDAYS(S894,S894,JoursFeries),MEDIAN(MOD(S894,1),HFer,HOuv),HFer)-IF(NETWORKDAYS(P894,P894,JoursFeries),MEDIAN(MOD(P894,1),HFer,HOuv),HOuv))*24,4)))/HJour,4),""))</f>
        <v/>
      </c>
      <c r="AY894" s="36" t="str">
        <f aca="false">IF(OR(AO894&lt;&gt;1,AR894=""),"",INDEX(SLA_PEC,AR894))</f>
        <v/>
      </c>
      <c r="AZ894" s="35" t="str">
        <f aca="false">IF(OR(AV894="",AY894=""),"",IF(AV894&lt;=AY894,1,0))</f>
        <v/>
      </c>
      <c r="BA894" s="36" t="str">
        <f aca="false">IF(OR(AO894&lt;&gt;1,AR894=""),"",INDEX(SLA_RES,AR894))</f>
        <v/>
      </c>
      <c r="BB894" s="35" t="str">
        <f aca="false">IF(OR(AW894="",BA894=""),"",IF(AW894&lt;=BA894,1,0))</f>
        <v/>
      </c>
      <c r="BC894" s="38" t="str">
        <f aca="false">IF(OR(BA894="",P894=""),"",WORKDAY(INT(P894),BA894,JoursFeries)+MOD(P894,1))</f>
        <v/>
      </c>
      <c r="BD894" s="39" t="str">
        <f aca="false">IF(AO894&lt;&gt;1,"",IF(OR(AB894&lt;&gt;"",AD894&lt;&gt;""),4,IF(U894&lt;&gt;"",3,IF(T894&lt;&gt;"",2,1))))</f>
        <v/>
      </c>
      <c r="BE894" s="39" t="str">
        <f aca="false">IF(OR(AO894&lt;&gt;1,AR894=""),"",INDEX(NIV_REQ,AR894))</f>
        <v/>
      </c>
      <c r="BF894" s="39" t="str">
        <f aca="false">IF(BE894="","",MAX(BE894,IF(OR(K894="Oui",Z894="Oui"),4,1)))</f>
        <v/>
      </c>
      <c r="BG894" s="35" t="str">
        <f aca="false">IF(OR(BF894="",BD894=""),"",IF(BD894&gt;=BF894,1,0))</f>
        <v/>
      </c>
      <c r="BH894" s="38" t="str">
        <f aca="false">IF(BE894="","",IF(BE894&lt;2,"",IF(BE894=2,IF(AND(T894="",U894=""),"",MIN(T894,U894)),IF(U894="","",U894))))</f>
        <v/>
      </c>
      <c r="BI894" s="37" t="str">
        <f aca="false">IF(BH894="","",IF(OR(O894="",BH894=""),"",IF(BH894&lt;O894,"",ROUND(((NETWORKDAYS(O894,BH894,JoursFeries)-1)*(HFer-HOuv)+IF(NETWORKDAYS(BH894,BH894,JoursFeries),MEDIAN(MOD(BH894,1),HFer,HOuv),HFer)-IF(NETWORKDAYS(O894,O894,JoursFeries),MEDIAN(MOD(O894,1),HFer,HOuv),HOuv))*24,4))))</f>
        <v/>
      </c>
      <c r="BJ894" s="35" t="str">
        <f aca="false">IF(OR(BI894="",AR894=""),"",IF(BI894&lt;=INDEX(DELAI_ESC,AR894),1,0))</f>
        <v/>
      </c>
      <c r="BK894" s="38" t="str">
        <f aca="false">IF(AO894&lt;&gt;1,"",IF(AND(T894="",U894=""),"",MIN(T894,U894)))</f>
        <v/>
      </c>
      <c r="BL894" s="37" t="str">
        <f aca="false">IF(OR(BK894="",R894=""),"",IFERROR(ROUND(IF(OR(BK894="",R894=""),"",IF(R894&lt;BK894,"",ROUND(((NETWORKDAYS(BK894,R894,JoursFeries)-1)*(HFer-HOuv)+IF(NETWORKDAYS(R894,R894,JoursFeries),MEDIAN(MOD(R894,1),HFer,HOuv),HFer)-IF(NETWORKDAYS(BK894,BK894,JoursFeries),MEDIAN(MOD(BK894,1),HFer,HOuv),HOuv))*24,4)))/HJour,4),""))</f>
        <v/>
      </c>
      <c r="BM894" s="35" t="str">
        <f aca="false">IF(OR(AO894&lt;&gt;1,R894=""),"",IF(BD894=1,1,0))</f>
        <v/>
      </c>
      <c r="BN894" s="35" t="str">
        <f aca="false">IF(AO894&lt;&gt;1,"",IF(W894="Oui",1,0))</f>
        <v/>
      </c>
      <c r="BO894" s="35" t="str">
        <f aca="false">IF(AO894&lt;&gt;1,"",IF(X894&lt;&gt;"",1,0))</f>
        <v/>
      </c>
      <c r="BP894" s="35" t="str">
        <f aca="false">IF(AO894&lt;&gt;1,"",IF(Y894="Oui",1,0))</f>
        <v/>
      </c>
      <c r="BQ894" s="35" t="str">
        <f aca="true">IF(OR(AO894&lt;&gt;1,Z894&lt;&gt;"Oui"),"",IF(AB894="",IF(AND(AA894&lt;&gt;"",NOW()&gt;AA894),0,""),IF(AA894="","",IF(AB894&lt;=AA894,1,0))))</f>
        <v/>
      </c>
      <c r="BR894" s="38" t="str">
        <f aca="false">IF(OR(AO894&lt;&gt;1,K894&lt;&gt;"Oui",O894=""),"",IF(AC894="",O894+DORA_H_DET/24,IF(AC894-O894&lt;=DORA_H_DET/24,MIN(AC894+DORA_H_CLA/24,O894+DORA_H_DET/24),AC894+DORA_H_CLA/24)))</f>
        <v/>
      </c>
      <c r="BS894" s="35" t="str">
        <f aca="true">IF(BR894="","",IF(AD894="",IF(NOW()&gt;BR894,0,""),IF(AD894&lt;=BR894,1,0)))</f>
        <v/>
      </c>
      <c r="BT894" s="35" t="str">
        <f aca="true">IF(OR(BR894="",AD894=""),"",IF(AE894="",IF(NOW()&gt;AD894+DORA_H_INT/24,0,""),IF(AE894&lt;=AD894+DORA_H_INT/24,1,0)))</f>
        <v/>
      </c>
      <c r="BU894" s="35" t="str">
        <f aca="true">IF(OR(BR894="",AE894=""),"",IF(AF894="",IF(NOW()&gt;EDATE(AE894,DORA_M_FIN)+1,0,""),IF(AF894&lt;=EDATE(AE894,DORA_M_FIN),1,0)))</f>
        <v/>
      </c>
      <c r="BV894" s="35" t="str">
        <f aca="false">IF(BR894="","",IF(COUNT(BS894:BU894)=0,"",MIN(BS894:BU894)))</f>
        <v/>
      </c>
      <c r="BW894" s="40" t="str">
        <f aca="false">IF(AQ894&lt;&gt;1,"",IF(AND(AG894="",AH894=""),"",N(AG894)-N(AH894)))</f>
        <v/>
      </c>
      <c r="BX894" s="35" t="str">
        <f aca="true">IF(OR(AQ894&lt;&gt;1,AI894&lt;&gt;"Oui",AJ894=""),"",IF(AK894="",IF(NOW()&gt;AJ894+1,0,""),IF(AK894&lt;=AJ894,1,0)))</f>
        <v/>
      </c>
    </row>
    <row r="895" customFormat="false" ht="15" hidden="false" customHeight="false" outlineLevel="0" collapsed="false">
      <c r="B895" s="29"/>
      <c r="C895" s="29"/>
      <c r="D895" s="29"/>
      <c r="E895" s="29"/>
      <c r="F895" s="29"/>
      <c r="G895" s="29"/>
      <c r="H895" s="29"/>
      <c r="I895" s="29"/>
      <c r="J895" s="29"/>
      <c r="K895" s="29"/>
      <c r="L895" s="29"/>
      <c r="M895" s="29"/>
      <c r="N895" s="30"/>
      <c r="O895" s="30"/>
      <c r="P895" s="30"/>
      <c r="Q895" s="30"/>
      <c r="R895" s="30"/>
      <c r="S895" s="30"/>
      <c r="T895" s="30"/>
      <c r="U895" s="30"/>
      <c r="V895" s="31"/>
      <c r="W895" s="29"/>
      <c r="X895" s="29"/>
      <c r="Y895" s="29"/>
      <c r="Z895" s="29"/>
      <c r="AA895" s="30"/>
      <c r="AB895" s="30"/>
      <c r="AC895" s="30"/>
      <c r="AD895" s="30"/>
      <c r="AE895" s="30"/>
      <c r="AF895" s="32"/>
      <c r="AG895" s="33"/>
      <c r="AH895" s="33"/>
      <c r="AI895" s="29"/>
      <c r="AJ895" s="32"/>
      <c r="AK895" s="32"/>
      <c r="AL895" s="29"/>
      <c r="AN895" s="34" t="str">
        <f aca="false">IF($B895="","",IF(OR(C895="",D895="",E895="",G895="",I895="",J895="",L895="",O895="",P895=""),"Champ obligatoire manquant",IF(OR(AND(N895&lt;&gt;"",N895&gt;O895),O895&gt;P895,AND(Q895&lt;&gt;"",Q895&lt;P895),AND(R895&lt;&gt;"",R895&lt;P895),AND(S895&lt;&gt;"",S895&lt;R895),AND(S895&lt;&gt;"",R895=""),AND(T895&lt;&gt;"",T895&lt;O895),AND(U895&lt;&gt;"",U895&lt;O895)),"Chronologie incohérente",IF(AND(OR(L895="Résolu",L895="Clos"),R895=""),"Date de résolution manquante",IF(AND(L895="Clos",S895=""),"Date de clôture manquante",IF(AND(K895="Oui",AC895=""),"Classification DORA manquante","OK"))))))</f>
        <v/>
      </c>
      <c r="AO895" s="35" t="str">
        <f aca="false">IF($B895="","",IF(AND(C895="Incident",L895&lt;&gt;"Annulé"),1,0))</f>
        <v/>
      </c>
      <c r="AP895" s="35" t="str">
        <f aca="false">IF($B895="","",IF(AND(C895="Quasi-incident",L895&lt;&gt;"Annulé"),1,0))</f>
        <v/>
      </c>
      <c r="AQ895" s="35" t="str">
        <f aca="false">IF($B895="","",AO895+AP895)</f>
        <v/>
      </c>
      <c r="AR895" s="36" t="str">
        <f aca="false">IF(OR($B895="",J895=""),"",IFERROR(VALUE(LEFT(J895,1)),""))</f>
        <v/>
      </c>
      <c r="AS895" s="35" t="str">
        <f aca="false">IF(OR(AO895&lt;&gt;1,G895=""),"",IFERROR(IF(INDEX(L_SrcInterne,MATCH(G895,L_Sources,0))="Oui",1,0),""))</f>
        <v/>
      </c>
      <c r="AT895" s="37" t="str">
        <f aca="false">IF(AO895&lt;&gt;1,"",IFERROR(ROUND(IF(OR(N895="",O895=""),"",IF(O895&lt;N895,"",ROUND(((NETWORKDAYS(N895,O895,JoursFeries)-1)*(HFer-HOuv)+IF(NETWORKDAYS(O895,O895,JoursFeries),MEDIAN(MOD(O895,1),HFer,HOuv),HFer)-IF(NETWORKDAYS(N895,N895,JoursFeries),MEDIAN(MOD(N895,1),HFer,HOuv),HOuv))*24,4)))/HJour,4),""))</f>
        <v/>
      </c>
      <c r="AU895" s="37" t="str">
        <f aca="false">IF(AO895&lt;&gt;1,"",IF(OR(O895="",P895=""),"",IF(P895&lt;O895,"",ROUND(((NETWORKDAYS(O895,P895,JoursFeries)-1)*(HFer-HOuv)+IF(NETWORKDAYS(P895,P895,JoursFeries),MEDIAN(MOD(P895,1),HFer,HOuv),HFer)-IF(NETWORKDAYS(O895,O895,JoursFeries),MEDIAN(MOD(O895,1),HFer,HOuv),HOuv))*24,4))))</f>
        <v/>
      </c>
      <c r="AV895" s="37" t="str">
        <f aca="false">IF(AO895&lt;&gt;1,"",IF(OR(P895="",Q895=""),"",IF(Q895&lt;P895,"",ROUND(((NETWORKDAYS(P895,Q895,JoursFeries)-1)*(HFer-HOuv)+IF(NETWORKDAYS(Q895,Q895,JoursFeries),MEDIAN(MOD(Q895,1),HFer,HOuv),HFer)-IF(NETWORKDAYS(P895,P895,JoursFeries),MEDIAN(MOD(P895,1),HFer,HOuv),HOuv))*24,4))))</f>
        <v/>
      </c>
      <c r="AW895" s="37" t="str">
        <f aca="false">IF(AO895&lt;&gt;1,"",IFERROR(ROUND(IF(OR(P895="",R895=""),"",IF(R895&lt;P895,"",ROUND(((NETWORKDAYS(P895,R895,JoursFeries)-1)*(HFer-HOuv)+IF(NETWORKDAYS(R895,R895,JoursFeries),MEDIAN(MOD(R895,1),HFer,HOuv),HFer)-IF(NETWORKDAYS(P895,P895,JoursFeries),MEDIAN(MOD(P895,1),HFer,HOuv),HOuv))*24,4)))/HJour,4),""))</f>
        <v/>
      </c>
      <c r="AX895" s="37" t="str">
        <f aca="false">IF(AO895&lt;&gt;1,"",IFERROR(ROUND(IF(OR(P895="",S895=""),"",IF(S895&lt;P895,"",ROUND(((NETWORKDAYS(P895,S895,JoursFeries)-1)*(HFer-HOuv)+IF(NETWORKDAYS(S895,S895,JoursFeries),MEDIAN(MOD(S895,1),HFer,HOuv),HFer)-IF(NETWORKDAYS(P895,P895,JoursFeries),MEDIAN(MOD(P895,1),HFer,HOuv),HOuv))*24,4)))/HJour,4),""))</f>
        <v/>
      </c>
      <c r="AY895" s="36" t="str">
        <f aca="false">IF(OR(AO895&lt;&gt;1,AR895=""),"",INDEX(SLA_PEC,AR895))</f>
        <v/>
      </c>
      <c r="AZ895" s="35" t="str">
        <f aca="false">IF(OR(AV895="",AY895=""),"",IF(AV895&lt;=AY895,1,0))</f>
        <v/>
      </c>
      <c r="BA895" s="36" t="str">
        <f aca="false">IF(OR(AO895&lt;&gt;1,AR895=""),"",INDEX(SLA_RES,AR895))</f>
        <v/>
      </c>
      <c r="BB895" s="35" t="str">
        <f aca="false">IF(OR(AW895="",BA895=""),"",IF(AW895&lt;=BA895,1,0))</f>
        <v/>
      </c>
      <c r="BC895" s="38" t="str">
        <f aca="false">IF(OR(BA895="",P895=""),"",WORKDAY(INT(P895),BA895,JoursFeries)+MOD(P895,1))</f>
        <v/>
      </c>
      <c r="BD895" s="39" t="str">
        <f aca="false">IF(AO895&lt;&gt;1,"",IF(OR(AB895&lt;&gt;"",AD895&lt;&gt;""),4,IF(U895&lt;&gt;"",3,IF(T895&lt;&gt;"",2,1))))</f>
        <v/>
      </c>
      <c r="BE895" s="39" t="str">
        <f aca="false">IF(OR(AO895&lt;&gt;1,AR895=""),"",INDEX(NIV_REQ,AR895))</f>
        <v/>
      </c>
      <c r="BF895" s="39" t="str">
        <f aca="false">IF(BE895="","",MAX(BE895,IF(OR(K895="Oui",Z895="Oui"),4,1)))</f>
        <v/>
      </c>
      <c r="BG895" s="35" t="str">
        <f aca="false">IF(OR(BF895="",BD895=""),"",IF(BD895&gt;=BF895,1,0))</f>
        <v/>
      </c>
      <c r="BH895" s="38" t="str">
        <f aca="false">IF(BE895="","",IF(BE895&lt;2,"",IF(BE895=2,IF(AND(T895="",U895=""),"",MIN(T895,U895)),IF(U895="","",U895))))</f>
        <v/>
      </c>
      <c r="BI895" s="37" t="str">
        <f aca="false">IF(BH895="","",IF(OR(O895="",BH895=""),"",IF(BH895&lt;O895,"",ROUND(((NETWORKDAYS(O895,BH895,JoursFeries)-1)*(HFer-HOuv)+IF(NETWORKDAYS(BH895,BH895,JoursFeries),MEDIAN(MOD(BH895,1),HFer,HOuv),HFer)-IF(NETWORKDAYS(O895,O895,JoursFeries),MEDIAN(MOD(O895,1),HFer,HOuv),HOuv))*24,4))))</f>
        <v/>
      </c>
      <c r="BJ895" s="35" t="str">
        <f aca="false">IF(OR(BI895="",AR895=""),"",IF(BI895&lt;=INDEX(DELAI_ESC,AR895),1,0))</f>
        <v/>
      </c>
      <c r="BK895" s="38" t="str">
        <f aca="false">IF(AO895&lt;&gt;1,"",IF(AND(T895="",U895=""),"",MIN(T895,U895)))</f>
        <v/>
      </c>
      <c r="BL895" s="37" t="str">
        <f aca="false">IF(OR(BK895="",R895=""),"",IFERROR(ROUND(IF(OR(BK895="",R895=""),"",IF(R895&lt;BK895,"",ROUND(((NETWORKDAYS(BK895,R895,JoursFeries)-1)*(HFer-HOuv)+IF(NETWORKDAYS(R895,R895,JoursFeries),MEDIAN(MOD(R895,1),HFer,HOuv),HFer)-IF(NETWORKDAYS(BK895,BK895,JoursFeries),MEDIAN(MOD(BK895,1),HFer,HOuv),HOuv))*24,4)))/HJour,4),""))</f>
        <v/>
      </c>
      <c r="BM895" s="35" t="str">
        <f aca="false">IF(OR(AO895&lt;&gt;1,R895=""),"",IF(BD895=1,1,0))</f>
        <v/>
      </c>
      <c r="BN895" s="35" t="str">
        <f aca="false">IF(AO895&lt;&gt;1,"",IF(W895="Oui",1,0))</f>
        <v/>
      </c>
      <c r="BO895" s="35" t="str">
        <f aca="false">IF(AO895&lt;&gt;1,"",IF(X895&lt;&gt;"",1,0))</f>
        <v/>
      </c>
      <c r="BP895" s="35" t="str">
        <f aca="false">IF(AO895&lt;&gt;1,"",IF(Y895="Oui",1,0))</f>
        <v/>
      </c>
      <c r="BQ895" s="35" t="str">
        <f aca="true">IF(OR(AO895&lt;&gt;1,Z895&lt;&gt;"Oui"),"",IF(AB895="",IF(AND(AA895&lt;&gt;"",NOW()&gt;AA895),0,""),IF(AA895="","",IF(AB895&lt;=AA895,1,0))))</f>
        <v/>
      </c>
      <c r="BR895" s="38" t="str">
        <f aca="false">IF(OR(AO895&lt;&gt;1,K895&lt;&gt;"Oui",O895=""),"",IF(AC895="",O895+DORA_H_DET/24,IF(AC895-O895&lt;=DORA_H_DET/24,MIN(AC895+DORA_H_CLA/24,O895+DORA_H_DET/24),AC895+DORA_H_CLA/24)))</f>
        <v/>
      </c>
      <c r="BS895" s="35" t="str">
        <f aca="true">IF(BR895="","",IF(AD895="",IF(NOW()&gt;BR895,0,""),IF(AD895&lt;=BR895,1,0)))</f>
        <v/>
      </c>
      <c r="BT895" s="35" t="str">
        <f aca="true">IF(OR(BR895="",AD895=""),"",IF(AE895="",IF(NOW()&gt;AD895+DORA_H_INT/24,0,""),IF(AE895&lt;=AD895+DORA_H_INT/24,1,0)))</f>
        <v/>
      </c>
      <c r="BU895" s="35" t="str">
        <f aca="true">IF(OR(BR895="",AE895=""),"",IF(AF895="",IF(NOW()&gt;EDATE(AE895,DORA_M_FIN)+1,0,""),IF(AF895&lt;=EDATE(AE895,DORA_M_FIN),1,0)))</f>
        <v/>
      </c>
      <c r="BV895" s="35" t="str">
        <f aca="false">IF(BR895="","",IF(COUNT(BS895:BU895)=0,"",MIN(BS895:BU895)))</f>
        <v/>
      </c>
      <c r="BW895" s="40" t="str">
        <f aca="false">IF(AQ895&lt;&gt;1,"",IF(AND(AG895="",AH895=""),"",N(AG895)-N(AH895)))</f>
        <v/>
      </c>
      <c r="BX895" s="35" t="str">
        <f aca="true">IF(OR(AQ895&lt;&gt;1,AI895&lt;&gt;"Oui",AJ895=""),"",IF(AK895="",IF(NOW()&gt;AJ895+1,0,""),IF(AK895&lt;=AJ895,1,0)))</f>
        <v/>
      </c>
    </row>
    <row r="896" customFormat="false" ht="15" hidden="false" customHeight="false" outlineLevel="0" collapsed="false">
      <c r="B896" s="29"/>
      <c r="C896" s="29"/>
      <c r="D896" s="29"/>
      <c r="E896" s="29"/>
      <c r="F896" s="29"/>
      <c r="G896" s="29"/>
      <c r="H896" s="29"/>
      <c r="I896" s="29"/>
      <c r="J896" s="29"/>
      <c r="K896" s="29"/>
      <c r="L896" s="29"/>
      <c r="M896" s="29"/>
      <c r="N896" s="30"/>
      <c r="O896" s="30"/>
      <c r="P896" s="30"/>
      <c r="Q896" s="30"/>
      <c r="R896" s="30"/>
      <c r="S896" s="30"/>
      <c r="T896" s="30"/>
      <c r="U896" s="30"/>
      <c r="V896" s="31"/>
      <c r="W896" s="29"/>
      <c r="X896" s="29"/>
      <c r="Y896" s="29"/>
      <c r="Z896" s="29"/>
      <c r="AA896" s="30"/>
      <c r="AB896" s="30"/>
      <c r="AC896" s="30"/>
      <c r="AD896" s="30"/>
      <c r="AE896" s="30"/>
      <c r="AF896" s="32"/>
      <c r="AG896" s="33"/>
      <c r="AH896" s="33"/>
      <c r="AI896" s="29"/>
      <c r="AJ896" s="32"/>
      <c r="AK896" s="32"/>
      <c r="AL896" s="29"/>
      <c r="AN896" s="34" t="str">
        <f aca="false">IF($B896="","",IF(OR(C896="",D896="",E896="",G896="",I896="",J896="",L896="",O896="",P896=""),"Champ obligatoire manquant",IF(OR(AND(N896&lt;&gt;"",N896&gt;O896),O896&gt;P896,AND(Q896&lt;&gt;"",Q896&lt;P896),AND(R896&lt;&gt;"",R896&lt;P896),AND(S896&lt;&gt;"",S896&lt;R896),AND(S896&lt;&gt;"",R896=""),AND(T896&lt;&gt;"",T896&lt;O896),AND(U896&lt;&gt;"",U896&lt;O896)),"Chronologie incohérente",IF(AND(OR(L896="Résolu",L896="Clos"),R896=""),"Date de résolution manquante",IF(AND(L896="Clos",S896=""),"Date de clôture manquante",IF(AND(K896="Oui",AC896=""),"Classification DORA manquante","OK"))))))</f>
        <v/>
      </c>
      <c r="AO896" s="35" t="str">
        <f aca="false">IF($B896="","",IF(AND(C896="Incident",L896&lt;&gt;"Annulé"),1,0))</f>
        <v/>
      </c>
      <c r="AP896" s="35" t="str">
        <f aca="false">IF($B896="","",IF(AND(C896="Quasi-incident",L896&lt;&gt;"Annulé"),1,0))</f>
        <v/>
      </c>
      <c r="AQ896" s="35" t="str">
        <f aca="false">IF($B896="","",AO896+AP896)</f>
        <v/>
      </c>
      <c r="AR896" s="36" t="str">
        <f aca="false">IF(OR($B896="",J896=""),"",IFERROR(VALUE(LEFT(J896,1)),""))</f>
        <v/>
      </c>
      <c r="AS896" s="35" t="str">
        <f aca="false">IF(OR(AO896&lt;&gt;1,G896=""),"",IFERROR(IF(INDEX(L_SrcInterne,MATCH(G896,L_Sources,0))="Oui",1,0),""))</f>
        <v/>
      </c>
      <c r="AT896" s="37" t="str">
        <f aca="false">IF(AO896&lt;&gt;1,"",IFERROR(ROUND(IF(OR(N896="",O896=""),"",IF(O896&lt;N896,"",ROUND(((NETWORKDAYS(N896,O896,JoursFeries)-1)*(HFer-HOuv)+IF(NETWORKDAYS(O896,O896,JoursFeries),MEDIAN(MOD(O896,1),HFer,HOuv),HFer)-IF(NETWORKDAYS(N896,N896,JoursFeries),MEDIAN(MOD(N896,1),HFer,HOuv),HOuv))*24,4)))/HJour,4),""))</f>
        <v/>
      </c>
      <c r="AU896" s="37" t="str">
        <f aca="false">IF(AO896&lt;&gt;1,"",IF(OR(O896="",P896=""),"",IF(P896&lt;O896,"",ROUND(((NETWORKDAYS(O896,P896,JoursFeries)-1)*(HFer-HOuv)+IF(NETWORKDAYS(P896,P896,JoursFeries),MEDIAN(MOD(P896,1),HFer,HOuv),HFer)-IF(NETWORKDAYS(O896,O896,JoursFeries),MEDIAN(MOD(O896,1),HFer,HOuv),HOuv))*24,4))))</f>
        <v/>
      </c>
      <c r="AV896" s="37" t="str">
        <f aca="false">IF(AO896&lt;&gt;1,"",IF(OR(P896="",Q896=""),"",IF(Q896&lt;P896,"",ROUND(((NETWORKDAYS(P896,Q896,JoursFeries)-1)*(HFer-HOuv)+IF(NETWORKDAYS(Q896,Q896,JoursFeries),MEDIAN(MOD(Q896,1),HFer,HOuv),HFer)-IF(NETWORKDAYS(P896,P896,JoursFeries),MEDIAN(MOD(P896,1),HFer,HOuv),HOuv))*24,4))))</f>
        <v/>
      </c>
      <c r="AW896" s="37" t="str">
        <f aca="false">IF(AO896&lt;&gt;1,"",IFERROR(ROUND(IF(OR(P896="",R896=""),"",IF(R896&lt;P896,"",ROUND(((NETWORKDAYS(P896,R896,JoursFeries)-1)*(HFer-HOuv)+IF(NETWORKDAYS(R896,R896,JoursFeries),MEDIAN(MOD(R896,1),HFer,HOuv),HFer)-IF(NETWORKDAYS(P896,P896,JoursFeries),MEDIAN(MOD(P896,1),HFer,HOuv),HOuv))*24,4)))/HJour,4),""))</f>
        <v/>
      </c>
      <c r="AX896" s="37" t="str">
        <f aca="false">IF(AO896&lt;&gt;1,"",IFERROR(ROUND(IF(OR(P896="",S896=""),"",IF(S896&lt;P896,"",ROUND(((NETWORKDAYS(P896,S896,JoursFeries)-1)*(HFer-HOuv)+IF(NETWORKDAYS(S896,S896,JoursFeries),MEDIAN(MOD(S896,1),HFer,HOuv),HFer)-IF(NETWORKDAYS(P896,P896,JoursFeries),MEDIAN(MOD(P896,1),HFer,HOuv),HOuv))*24,4)))/HJour,4),""))</f>
        <v/>
      </c>
      <c r="AY896" s="36" t="str">
        <f aca="false">IF(OR(AO896&lt;&gt;1,AR896=""),"",INDEX(SLA_PEC,AR896))</f>
        <v/>
      </c>
      <c r="AZ896" s="35" t="str">
        <f aca="false">IF(OR(AV896="",AY896=""),"",IF(AV896&lt;=AY896,1,0))</f>
        <v/>
      </c>
      <c r="BA896" s="36" t="str">
        <f aca="false">IF(OR(AO896&lt;&gt;1,AR896=""),"",INDEX(SLA_RES,AR896))</f>
        <v/>
      </c>
      <c r="BB896" s="35" t="str">
        <f aca="false">IF(OR(AW896="",BA896=""),"",IF(AW896&lt;=BA896,1,0))</f>
        <v/>
      </c>
      <c r="BC896" s="38" t="str">
        <f aca="false">IF(OR(BA896="",P896=""),"",WORKDAY(INT(P896),BA896,JoursFeries)+MOD(P896,1))</f>
        <v/>
      </c>
      <c r="BD896" s="39" t="str">
        <f aca="false">IF(AO896&lt;&gt;1,"",IF(OR(AB896&lt;&gt;"",AD896&lt;&gt;""),4,IF(U896&lt;&gt;"",3,IF(T896&lt;&gt;"",2,1))))</f>
        <v/>
      </c>
      <c r="BE896" s="39" t="str">
        <f aca="false">IF(OR(AO896&lt;&gt;1,AR896=""),"",INDEX(NIV_REQ,AR896))</f>
        <v/>
      </c>
      <c r="BF896" s="39" t="str">
        <f aca="false">IF(BE896="","",MAX(BE896,IF(OR(K896="Oui",Z896="Oui"),4,1)))</f>
        <v/>
      </c>
      <c r="BG896" s="35" t="str">
        <f aca="false">IF(OR(BF896="",BD896=""),"",IF(BD896&gt;=BF896,1,0))</f>
        <v/>
      </c>
      <c r="BH896" s="38" t="str">
        <f aca="false">IF(BE896="","",IF(BE896&lt;2,"",IF(BE896=2,IF(AND(T896="",U896=""),"",MIN(T896,U896)),IF(U896="","",U896))))</f>
        <v/>
      </c>
      <c r="BI896" s="37" t="str">
        <f aca="false">IF(BH896="","",IF(OR(O896="",BH896=""),"",IF(BH896&lt;O896,"",ROUND(((NETWORKDAYS(O896,BH896,JoursFeries)-1)*(HFer-HOuv)+IF(NETWORKDAYS(BH896,BH896,JoursFeries),MEDIAN(MOD(BH896,1),HFer,HOuv),HFer)-IF(NETWORKDAYS(O896,O896,JoursFeries),MEDIAN(MOD(O896,1),HFer,HOuv),HOuv))*24,4))))</f>
        <v/>
      </c>
      <c r="BJ896" s="35" t="str">
        <f aca="false">IF(OR(BI896="",AR896=""),"",IF(BI896&lt;=INDEX(DELAI_ESC,AR896),1,0))</f>
        <v/>
      </c>
      <c r="BK896" s="38" t="str">
        <f aca="false">IF(AO896&lt;&gt;1,"",IF(AND(T896="",U896=""),"",MIN(T896,U896)))</f>
        <v/>
      </c>
      <c r="BL896" s="37" t="str">
        <f aca="false">IF(OR(BK896="",R896=""),"",IFERROR(ROUND(IF(OR(BK896="",R896=""),"",IF(R896&lt;BK896,"",ROUND(((NETWORKDAYS(BK896,R896,JoursFeries)-1)*(HFer-HOuv)+IF(NETWORKDAYS(R896,R896,JoursFeries),MEDIAN(MOD(R896,1),HFer,HOuv),HFer)-IF(NETWORKDAYS(BK896,BK896,JoursFeries),MEDIAN(MOD(BK896,1),HFer,HOuv),HOuv))*24,4)))/HJour,4),""))</f>
        <v/>
      </c>
      <c r="BM896" s="35" t="str">
        <f aca="false">IF(OR(AO896&lt;&gt;1,R896=""),"",IF(BD896=1,1,0))</f>
        <v/>
      </c>
      <c r="BN896" s="35" t="str">
        <f aca="false">IF(AO896&lt;&gt;1,"",IF(W896="Oui",1,0))</f>
        <v/>
      </c>
      <c r="BO896" s="35" t="str">
        <f aca="false">IF(AO896&lt;&gt;1,"",IF(X896&lt;&gt;"",1,0))</f>
        <v/>
      </c>
      <c r="BP896" s="35" t="str">
        <f aca="false">IF(AO896&lt;&gt;1,"",IF(Y896="Oui",1,0))</f>
        <v/>
      </c>
      <c r="BQ896" s="35" t="str">
        <f aca="true">IF(OR(AO896&lt;&gt;1,Z896&lt;&gt;"Oui"),"",IF(AB896="",IF(AND(AA896&lt;&gt;"",NOW()&gt;AA896),0,""),IF(AA896="","",IF(AB896&lt;=AA896,1,0))))</f>
        <v/>
      </c>
      <c r="BR896" s="38" t="str">
        <f aca="false">IF(OR(AO896&lt;&gt;1,K896&lt;&gt;"Oui",O896=""),"",IF(AC896="",O896+DORA_H_DET/24,IF(AC896-O896&lt;=DORA_H_DET/24,MIN(AC896+DORA_H_CLA/24,O896+DORA_H_DET/24),AC896+DORA_H_CLA/24)))</f>
        <v/>
      </c>
      <c r="BS896" s="35" t="str">
        <f aca="true">IF(BR896="","",IF(AD896="",IF(NOW()&gt;BR896,0,""),IF(AD896&lt;=BR896,1,0)))</f>
        <v/>
      </c>
      <c r="BT896" s="35" t="str">
        <f aca="true">IF(OR(BR896="",AD896=""),"",IF(AE896="",IF(NOW()&gt;AD896+DORA_H_INT/24,0,""),IF(AE896&lt;=AD896+DORA_H_INT/24,1,0)))</f>
        <v/>
      </c>
      <c r="BU896" s="35" t="str">
        <f aca="true">IF(OR(BR896="",AE896=""),"",IF(AF896="",IF(NOW()&gt;EDATE(AE896,DORA_M_FIN)+1,0,""),IF(AF896&lt;=EDATE(AE896,DORA_M_FIN),1,0)))</f>
        <v/>
      </c>
      <c r="BV896" s="35" t="str">
        <f aca="false">IF(BR896="","",IF(COUNT(BS896:BU896)=0,"",MIN(BS896:BU896)))</f>
        <v/>
      </c>
      <c r="BW896" s="40" t="str">
        <f aca="false">IF(AQ896&lt;&gt;1,"",IF(AND(AG896="",AH896=""),"",N(AG896)-N(AH896)))</f>
        <v/>
      </c>
      <c r="BX896" s="35" t="str">
        <f aca="true">IF(OR(AQ896&lt;&gt;1,AI896&lt;&gt;"Oui",AJ896=""),"",IF(AK896="",IF(NOW()&gt;AJ896+1,0,""),IF(AK896&lt;=AJ896,1,0)))</f>
        <v/>
      </c>
    </row>
    <row r="897" customFormat="false" ht="15" hidden="false" customHeight="false" outlineLevel="0" collapsed="false">
      <c r="B897" s="29"/>
      <c r="C897" s="29"/>
      <c r="D897" s="29"/>
      <c r="E897" s="29"/>
      <c r="F897" s="29"/>
      <c r="G897" s="29"/>
      <c r="H897" s="29"/>
      <c r="I897" s="29"/>
      <c r="J897" s="29"/>
      <c r="K897" s="29"/>
      <c r="L897" s="29"/>
      <c r="M897" s="29"/>
      <c r="N897" s="30"/>
      <c r="O897" s="30"/>
      <c r="P897" s="30"/>
      <c r="Q897" s="30"/>
      <c r="R897" s="30"/>
      <c r="S897" s="30"/>
      <c r="T897" s="30"/>
      <c r="U897" s="30"/>
      <c r="V897" s="31"/>
      <c r="W897" s="29"/>
      <c r="X897" s="29"/>
      <c r="Y897" s="29"/>
      <c r="Z897" s="29"/>
      <c r="AA897" s="30"/>
      <c r="AB897" s="30"/>
      <c r="AC897" s="30"/>
      <c r="AD897" s="30"/>
      <c r="AE897" s="30"/>
      <c r="AF897" s="32"/>
      <c r="AG897" s="33"/>
      <c r="AH897" s="33"/>
      <c r="AI897" s="29"/>
      <c r="AJ897" s="32"/>
      <c r="AK897" s="32"/>
      <c r="AL897" s="29"/>
      <c r="AN897" s="34" t="str">
        <f aca="false">IF($B897="","",IF(OR(C897="",D897="",E897="",G897="",I897="",J897="",L897="",O897="",P897=""),"Champ obligatoire manquant",IF(OR(AND(N897&lt;&gt;"",N897&gt;O897),O897&gt;P897,AND(Q897&lt;&gt;"",Q897&lt;P897),AND(R897&lt;&gt;"",R897&lt;P897),AND(S897&lt;&gt;"",S897&lt;R897),AND(S897&lt;&gt;"",R897=""),AND(T897&lt;&gt;"",T897&lt;O897),AND(U897&lt;&gt;"",U897&lt;O897)),"Chronologie incohérente",IF(AND(OR(L897="Résolu",L897="Clos"),R897=""),"Date de résolution manquante",IF(AND(L897="Clos",S897=""),"Date de clôture manquante",IF(AND(K897="Oui",AC897=""),"Classification DORA manquante","OK"))))))</f>
        <v/>
      </c>
      <c r="AO897" s="35" t="str">
        <f aca="false">IF($B897="","",IF(AND(C897="Incident",L897&lt;&gt;"Annulé"),1,0))</f>
        <v/>
      </c>
      <c r="AP897" s="35" t="str">
        <f aca="false">IF($B897="","",IF(AND(C897="Quasi-incident",L897&lt;&gt;"Annulé"),1,0))</f>
        <v/>
      </c>
      <c r="AQ897" s="35" t="str">
        <f aca="false">IF($B897="","",AO897+AP897)</f>
        <v/>
      </c>
      <c r="AR897" s="36" t="str">
        <f aca="false">IF(OR($B897="",J897=""),"",IFERROR(VALUE(LEFT(J897,1)),""))</f>
        <v/>
      </c>
      <c r="AS897" s="35" t="str">
        <f aca="false">IF(OR(AO897&lt;&gt;1,G897=""),"",IFERROR(IF(INDEX(L_SrcInterne,MATCH(G897,L_Sources,0))="Oui",1,0),""))</f>
        <v/>
      </c>
      <c r="AT897" s="37" t="str">
        <f aca="false">IF(AO897&lt;&gt;1,"",IFERROR(ROUND(IF(OR(N897="",O897=""),"",IF(O897&lt;N897,"",ROUND(((NETWORKDAYS(N897,O897,JoursFeries)-1)*(HFer-HOuv)+IF(NETWORKDAYS(O897,O897,JoursFeries),MEDIAN(MOD(O897,1),HFer,HOuv),HFer)-IF(NETWORKDAYS(N897,N897,JoursFeries),MEDIAN(MOD(N897,1),HFer,HOuv),HOuv))*24,4)))/HJour,4),""))</f>
        <v/>
      </c>
      <c r="AU897" s="37" t="str">
        <f aca="false">IF(AO897&lt;&gt;1,"",IF(OR(O897="",P897=""),"",IF(P897&lt;O897,"",ROUND(((NETWORKDAYS(O897,P897,JoursFeries)-1)*(HFer-HOuv)+IF(NETWORKDAYS(P897,P897,JoursFeries),MEDIAN(MOD(P897,1),HFer,HOuv),HFer)-IF(NETWORKDAYS(O897,O897,JoursFeries),MEDIAN(MOD(O897,1),HFer,HOuv),HOuv))*24,4))))</f>
        <v/>
      </c>
      <c r="AV897" s="37" t="str">
        <f aca="false">IF(AO897&lt;&gt;1,"",IF(OR(P897="",Q897=""),"",IF(Q897&lt;P897,"",ROUND(((NETWORKDAYS(P897,Q897,JoursFeries)-1)*(HFer-HOuv)+IF(NETWORKDAYS(Q897,Q897,JoursFeries),MEDIAN(MOD(Q897,1),HFer,HOuv),HFer)-IF(NETWORKDAYS(P897,P897,JoursFeries),MEDIAN(MOD(P897,1),HFer,HOuv),HOuv))*24,4))))</f>
        <v/>
      </c>
      <c r="AW897" s="37" t="str">
        <f aca="false">IF(AO897&lt;&gt;1,"",IFERROR(ROUND(IF(OR(P897="",R897=""),"",IF(R897&lt;P897,"",ROUND(((NETWORKDAYS(P897,R897,JoursFeries)-1)*(HFer-HOuv)+IF(NETWORKDAYS(R897,R897,JoursFeries),MEDIAN(MOD(R897,1),HFer,HOuv),HFer)-IF(NETWORKDAYS(P897,P897,JoursFeries),MEDIAN(MOD(P897,1),HFer,HOuv),HOuv))*24,4)))/HJour,4),""))</f>
        <v/>
      </c>
      <c r="AX897" s="37" t="str">
        <f aca="false">IF(AO897&lt;&gt;1,"",IFERROR(ROUND(IF(OR(P897="",S897=""),"",IF(S897&lt;P897,"",ROUND(((NETWORKDAYS(P897,S897,JoursFeries)-1)*(HFer-HOuv)+IF(NETWORKDAYS(S897,S897,JoursFeries),MEDIAN(MOD(S897,1),HFer,HOuv),HFer)-IF(NETWORKDAYS(P897,P897,JoursFeries),MEDIAN(MOD(P897,1),HFer,HOuv),HOuv))*24,4)))/HJour,4),""))</f>
        <v/>
      </c>
      <c r="AY897" s="36" t="str">
        <f aca="false">IF(OR(AO897&lt;&gt;1,AR897=""),"",INDEX(SLA_PEC,AR897))</f>
        <v/>
      </c>
      <c r="AZ897" s="35" t="str">
        <f aca="false">IF(OR(AV897="",AY897=""),"",IF(AV897&lt;=AY897,1,0))</f>
        <v/>
      </c>
      <c r="BA897" s="36" t="str">
        <f aca="false">IF(OR(AO897&lt;&gt;1,AR897=""),"",INDEX(SLA_RES,AR897))</f>
        <v/>
      </c>
      <c r="BB897" s="35" t="str">
        <f aca="false">IF(OR(AW897="",BA897=""),"",IF(AW897&lt;=BA897,1,0))</f>
        <v/>
      </c>
      <c r="BC897" s="38" t="str">
        <f aca="false">IF(OR(BA897="",P897=""),"",WORKDAY(INT(P897),BA897,JoursFeries)+MOD(P897,1))</f>
        <v/>
      </c>
      <c r="BD897" s="39" t="str">
        <f aca="false">IF(AO897&lt;&gt;1,"",IF(OR(AB897&lt;&gt;"",AD897&lt;&gt;""),4,IF(U897&lt;&gt;"",3,IF(T897&lt;&gt;"",2,1))))</f>
        <v/>
      </c>
      <c r="BE897" s="39" t="str">
        <f aca="false">IF(OR(AO897&lt;&gt;1,AR897=""),"",INDEX(NIV_REQ,AR897))</f>
        <v/>
      </c>
      <c r="BF897" s="39" t="str">
        <f aca="false">IF(BE897="","",MAX(BE897,IF(OR(K897="Oui",Z897="Oui"),4,1)))</f>
        <v/>
      </c>
      <c r="BG897" s="35" t="str">
        <f aca="false">IF(OR(BF897="",BD897=""),"",IF(BD897&gt;=BF897,1,0))</f>
        <v/>
      </c>
      <c r="BH897" s="38" t="str">
        <f aca="false">IF(BE897="","",IF(BE897&lt;2,"",IF(BE897=2,IF(AND(T897="",U897=""),"",MIN(T897,U897)),IF(U897="","",U897))))</f>
        <v/>
      </c>
      <c r="BI897" s="37" t="str">
        <f aca="false">IF(BH897="","",IF(OR(O897="",BH897=""),"",IF(BH897&lt;O897,"",ROUND(((NETWORKDAYS(O897,BH897,JoursFeries)-1)*(HFer-HOuv)+IF(NETWORKDAYS(BH897,BH897,JoursFeries),MEDIAN(MOD(BH897,1),HFer,HOuv),HFer)-IF(NETWORKDAYS(O897,O897,JoursFeries),MEDIAN(MOD(O897,1),HFer,HOuv),HOuv))*24,4))))</f>
        <v/>
      </c>
      <c r="BJ897" s="35" t="str">
        <f aca="false">IF(OR(BI897="",AR897=""),"",IF(BI897&lt;=INDEX(DELAI_ESC,AR897),1,0))</f>
        <v/>
      </c>
      <c r="BK897" s="38" t="str">
        <f aca="false">IF(AO897&lt;&gt;1,"",IF(AND(T897="",U897=""),"",MIN(T897,U897)))</f>
        <v/>
      </c>
      <c r="BL897" s="37" t="str">
        <f aca="false">IF(OR(BK897="",R897=""),"",IFERROR(ROUND(IF(OR(BK897="",R897=""),"",IF(R897&lt;BK897,"",ROUND(((NETWORKDAYS(BK897,R897,JoursFeries)-1)*(HFer-HOuv)+IF(NETWORKDAYS(R897,R897,JoursFeries),MEDIAN(MOD(R897,1),HFer,HOuv),HFer)-IF(NETWORKDAYS(BK897,BK897,JoursFeries),MEDIAN(MOD(BK897,1),HFer,HOuv),HOuv))*24,4)))/HJour,4),""))</f>
        <v/>
      </c>
      <c r="BM897" s="35" t="str">
        <f aca="false">IF(OR(AO897&lt;&gt;1,R897=""),"",IF(BD897=1,1,0))</f>
        <v/>
      </c>
      <c r="BN897" s="35" t="str">
        <f aca="false">IF(AO897&lt;&gt;1,"",IF(W897="Oui",1,0))</f>
        <v/>
      </c>
      <c r="BO897" s="35" t="str">
        <f aca="false">IF(AO897&lt;&gt;1,"",IF(X897&lt;&gt;"",1,0))</f>
        <v/>
      </c>
      <c r="BP897" s="35" t="str">
        <f aca="false">IF(AO897&lt;&gt;1,"",IF(Y897="Oui",1,0))</f>
        <v/>
      </c>
      <c r="BQ897" s="35" t="str">
        <f aca="true">IF(OR(AO897&lt;&gt;1,Z897&lt;&gt;"Oui"),"",IF(AB897="",IF(AND(AA897&lt;&gt;"",NOW()&gt;AA897),0,""),IF(AA897="","",IF(AB897&lt;=AA897,1,0))))</f>
        <v/>
      </c>
      <c r="BR897" s="38" t="str">
        <f aca="false">IF(OR(AO897&lt;&gt;1,K897&lt;&gt;"Oui",O897=""),"",IF(AC897="",O897+DORA_H_DET/24,IF(AC897-O897&lt;=DORA_H_DET/24,MIN(AC897+DORA_H_CLA/24,O897+DORA_H_DET/24),AC897+DORA_H_CLA/24)))</f>
        <v/>
      </c>
      <c r="BS897" s="35" t="str">
        <f aca="true">IF(BR897="","",IF(AD897="",IF(NOW()&gt;BR897,0,""),IF(AD897&lt;=BR897,1,0)))</f>
        <v/>
      </c>
      <c r="BT897" s="35" t="str">
        <f aca="true">IF(OR(BR897="",AD897=""),"",IF(AE897="",IF(NOW()&gt;AD897+DORA_H_INT/24,0,""),IF(AE897&lt;=AD897+DORA_H_INT/24,1,0)))</f>
        <v/>
      </c>
      <c r="BU897" s="35" t="str">
        <f aca="true">IF(OR(BR897="",AE897=""),"",IF(AF897="",IF(NOW()&gt;EDATE(AE897,DORA_M_FIN)+1,0,""),IF(AF897&lt;=EDATE(AE897,DORA_M_FIN),1,0)))</f>
        <v/>
      </c>
      <c r="BV897" s="35" t="str">
        <f aca="false">IF(BR897="","",IF(COUNT(BS897:BU897)=0,"",MIN(BS897:BU897)))</f>
        <v/>
      </c>
      <c r="BW897" s="40" t="str">
        <f aca="false">IF(AQ897&lt;&gt;1,"",IF(AND(AG897="",AH897=""),"",N(AG897)-N(AH897)))</f>
        <v/>
      </c>
      <c r="BX897" s="35" t="str">
        <f aca="true">IF(OR(AQ897&lt;&gt;1,AI897&lt;&gt;"Oui",AJ897=""),"",IF(AK897="",IF(NOW()&gt;AJ897+1,0,""),IF(AK897&lt;=AJ897,1,0)))</f>
        <v/>
      </c>
    </row>
    <row r="898" customFormat="false" ht="15" hidden="false" customHeight="false" outlineLevel="0" collapsed="false">
      <c r="B898" s="29"/>
      <c r="C898" s="29"/>
      <c r="D898" s="29"/>
      <c r="E898" s="29"/>
      <c r="F898" s="29"/>
      <c r="G898" s="29"/>
      <c r="H898" s="29"/>
      <c r="I898" s="29"/>
      <c r="J898" s="29"/>
      <c r="K898" s="29"/>
      <c r="L898" s="29"/>
      <c r="M898" s="29"/>
      <c r="N898" s="30"/>
      <c r="O898" s="30"/>
      <c r="P898" s="30"/>
      <c r="Q898" s="30"/>
      <c r="R898" s="30"/>
      <c r="S898" s="30"/>
      <c r="T898" s="30"/>
      <c r="U898" s="30"/>
      <c r="V898" s="31"/>
      <c r="W898" s="29"/>
      <c r="X898" s="29"/>
      <c r="Y898" s="29"/>
      <c r="Z898" s="29"/>
      <c r="AA898" s="30"/>
      <c r="AB898" s="30"/>
      <c r="AC898" s="30"/>
      <c r="AD898" s="30"/>
      <c r="AE898" s="30"/>
      <c r="AF898" s="32"/>
      <c r="AG898" s="33"/>
      <c r="AH898" s="33"/>
      <c r="AI898" s="29"/>
      <c r="AJ898" s="32"/>
      <c r="AK898" s="32"/>
      <c r="AL898" s="29"/>
      <c r="AN898" s="34" t="str">
        <f aca="false">IF($B898="","",IF(OR(C898="",D898="",E898="",G898="",I898="",J898="",L898="",O898="",P898=""),"Champ obligatoire manquant",IF(OR(AND(N898&lt;&gt;"",N898&gt;O898),O898&gt;P898,AND(Q898&lt;&gt;"",Q898&lt;P898),AND(R898&lt;&gt;"",R898&lt;P898),AND(S898&lt;&gt;"",S898&lt;R898),AND(S898&lt;&gt;"",R898=""),AND(T898&lt;&gt;"",T898&lt;O898),AND(U898&lt;&gt;"",U898&lt;O898)),"Chronologie incohérente",IF(AND(OR(L898="Résolu",L898="Clos"),R898=""),"Date de résolution manquante",IF(AND(L898="Clos",S898=""),"Date de clôture manquante",IF(AND(K898="Oui",AC898=""),"Classification DORA manquante","OK"))))))</f>
        <v/>
      </c>
      <c r="AO898" s="35" t="str">
        <f aca="false">IF($B898="","",IF(AND(C898="Incident",L898&lt;&gt;"Annulé"),1,0))</f>
        <v/>
      </c>
      <c r="AP898" s="35" t="str">
        <f aca="false">IF($B898="","",IF(AND(C898="Quasi-incident",L898&lt;&gt;"Annulé"),1,0))</f>
        <v/>
      </c>
      <c r="AQ898" s="35" t="str">
        <f aca="false">IF($B898="","",AO898+AP898)</f>
        <v/>
      </c>
      <c r="AR898" s="36" t="str">
        <f aca="false">IF(OR($B898="",J898=""),"",IFERROR(VALUE(LEFT(J898,1)),""))</f>
        <v/>
      </c>
      <c r="AS898" s="35" t="str">
        <f aca="false">IF(OR(AO898&lt;&gt;1,G898=""),"",IFERROR(IF(INDEX(L_SrcInterne,MATCH(G898,L_Sources,0))="Oui",1,0),""))</f>
        <v/>
      </c>
      <c r="AT898" s="37" t="str">
        <f aca="false">IF(AO898&lt;&gt;1,"",IFERROR(ROUND(IF(OR(N898="",O898=""),"",IF(O898&lt;N898,"",ROUND(((NETWORKDAYS(N898,O898,JoursFeries)-1)*(HFer-HOuv)+IF(NETWORKDAYS(O898,O898,JoursFeries),MEDIAN(MOD(O898,1),HFer,HOuv),HFer)-IF(NETWORKDAYS(N898,N898,JoursFeries),MEDIAN(MOD(N898,1),HFer,HOuv),HOuv))*24,4)))/HJour,4),""))</f>
        <v/>
      </c>
      <c r="AU898" s="37" t="str">
        <f aca="false">IF(AO898&lt;&gt;1,"",IF(OR(O898="",P898=""),"",IF(P898&lt;O898,"",ROUND(((NETWORKDAYS(O898,P898,JoursFeries)-1)*(HFer-HOuv)+IF(NETWORKDAYS(P898,P898,JoursFeries),MEDIAN(MOD(P898,1),HFer,HOuv),HFer)-IF(NETWORKDAYS(O898,O898,JoursFeries),MEDIAN(MOD(O898,1),HFer,HOuv),HOuv))*24,4))))</f>
        <v/>
      </c>
      <c r="AV898" s="37" t="str">
        <f aca="false">IF(AO898&lt;&gt;1,"",IF(OR(P898="",Q898=""),"",IF(Q898&lt;P898,"",ROUND(((NETWORKDAYS(P898,Q898,JoursFeries)-1)*(HFer-HOuv)+IF(NETWORKDAYS(Q898,Q898,JoursFeries),MEDIAN(MOD(Q898,1),HFer,HOuv),HFer)-IF(NETWORKDAYS(P898,P898,JoursFeries),MEDIAN(MOD(P898,1),HFer,HOuv),HOuv))*24,4))))</f>
        <v/>
      </c>
      <c r="AW898" s="37" t="str">
        <f aca="false">IF(AO898&lt;&gt;1,"",IFERROR(ROUND(IF(OR(P898="",R898=""),"",IF(R898&lt;P898,"",ROUND(((NETWORKDAYS(P898,R898,JoursFeries)-1)*(HFer-HOuv)+IF(NETWORKDAYS(R898,R898,JoursFeries),MEDIAN(MOD(R898,1),HFer,HOuv),HFer)-IF(NETWORKDAYS(P898,P898,JoursFeries),MEDIAN(MOD(P898,1),HFer,HOuv),HOuv))*24,4)))/HJour,4),""))</f>
        <v/>
      </c>
      <c r="AX898" s="37" t="str">
        <f aca="false">IF(AO898&lt;&gt;1,"",IFERROR(ROUND(IF(OR(P898="",S898=""),"",IF(S898&lt;P898,"",ROUND(((NETWORKDAYS(P898,S898,JoursFeries)-1)*(HFer-HOuv)+IF(NETWORKDAYS(S898,S898,JoursFeries),MEDIAN(MOD(S898,1),HFer,HOuv),HFer)-IF(NETWORKDAYS(P898,P898,JoursFeries),MEDIAN(MOD(P898,1),HFer,HOuv),HOuv))*24,4)))/HJour,4),""))</f>
        <v/>
      </c>
      <c r="AY898" s="36" t="str">
        <f aca="false">IF(OR(AO898&lt;&gt;1,AR898=""),"",INDEX(SLA_PEC,AR898))</f>
        <v/>
      </c>
      <c r="AZ898" s="35" t="str">
        <f aca="false">IF(OR(AV898="",AY898=""),"",IF(AV898&lt;=AY898,1,0))</f>
        <v/>
      </c>
      <c r="BA898" s="36" t="str">
        <f aca="false">IF(OR(AO898&lt;&gt;1,AR898=""),"",INDEX(SLA_RES,AR898))</f>
        <v/>
      </c>
      <c r="BB898" s="35" t="str">
        <f aca="false">IF(OR(AW898="",BA898=""),"",IF(AW898&lt;=BA898,1,0))</f>
        <v/>
      </c>
      <c r="BC898" s="38" t="str">
        <f aca="false">IF(OR(BA898="",P898=""),"",WORKDAY(INT(P898),BA898,JoursFeries)+MOD(P898,1))</f>
        <v/>
      </c>
      <c r="BD898" s="39" t="str">
        <f aca="false">IF(AO898&lt;&gt;1,"",IF(OR(AB898&lt;&gt;"",AD898&lt;&gt;""),4,IF(U898&lt;&gt;"",3,IF(T898&lt;&gt;"",2,1))))</f>
        <v/>
      </c>
      <c r="BE898" s="39" t="str">
        <f aca="false">IF(OR(AO898&lt;&gt;1,AR898=""),"",INDEX(NIV_REQ,AR898))</f>
        <v/>
      </c>
      <c r="BF898" s="39" t="str">
        <f aca="false">IF(BE898="","",MAX(BE898,IF(OR(K898="Oui",Z898="Oui"),4,1)))</f>
        <v/>
      </c>
      <c r="BG898" s="35" t="str">
        <f aca="false">IF(OR(BF898="",BD898=""),"",IF(BD898&gt;=BF898,1,0))</f>
        <v/>
      </c>
      <c r="BH898" s="38" t="str">
        <f aca="false">IF(BE898="","",IF(BE898&lt;2,"",IF(BE898=2,IF(AND(T898="",U898=""),"",MIN(T898,U898)),IF(U898="","",U898))))</f>
        <v/>
      </c>
      <c r="BI898" s="37" t="str">
        <f aca="false">IF(BH898="","",IF(OR(O898="",BH898=""),"",IF(BH898&lt;O898,"",ROUND(((NETWORKDAYS(O898,BH898,JoursFeries)-1)*(HFer-HOuv)+IF(NETWORKDAYS(BH898,BH898,JoursFeries),MEDIAN(MOD(BH898,1),HFer,HOuv),HFer)-IF(NETWORKDAYS(O898,O898,JoursFeries),MEDIAN(MOD(O898,1),HFer,HOuv),HOuv))*24,4))))</f>
        <v/>
      </c>
      <c r="BJ898" s="35" t="str">
        <f aca="false">IF(OR(BI898="",AR898=""),"",IF(BI898&lt;=INDEX(DELAI_ESC,AR898),1,0))</f>
        <v/>
      </c>
      <c r="BK898" s="38" t="str">
        <f aca="false">IF(AO898&lt;&gt;1,"",IF(AND(T898="",U898=""),"",MIN(T898,U898)))</f>
        <v/>
      </c>
      <c r="BL898" s="37" t="str">
        <f aca="false">IF(OR(BK898="",R898=""),"",IFERROR(ROUND(IF(OR(BK898="",R898=""),"",IF(R898&lt;BK898,"",ROUND(((NETWORKDAYS(BK898,R898,JoursFeries)-1)*(HFer-HOuv)+IF(NETWORKDAYS(R898,R898,JoursFeries),MEDIAN(MOD(R898,1),HFer,HOuv),HFer)-IF(NETWORKDAYS(BK898,BK898,JoursFeries),MEDIAN(MOD(BK898,1),HFer,HOuv),HOuv))*24,4)))/HJour,4),""))</f>
        <v/>
      </c>
      <c r="BM898" s="35" t="str">
        <f aca="false">IF(OR(AO898&lt;&gt;1,R898=""),"",IF(BD898=1,1,0))</f>
        <v/>
      </c>
      <c r="BN898" s="35" t="str">
        <f aca="false">IF(AO898&lt;&gt;1,"",IF(W898="Oui",1,0))</f>
        <v/>
      </c>
      <c r="BO898" s="35" t="str">
        <f aca="false">IF(AO898&lt;&gt;1,"",IF(X898&lt;&gt;"",1,0))</f>
        <v/>
      </c>
      <c r="BP898" s="35" t="str">
        <f aca="false">IF(AO898&lt;&gt;1,"",IF(Y898="Oui",1,0))</f>
        <v/>
      </c>
      <c r="BQ898" s="35" t="str">
        <f aca="true">IF(OR(AO898&lt;&gt;1,Z898&lt;&gt;"Oui"),"",IF(AB898="",IF(AND(AA898&lt;&gt;"",NOW()&gt;AA898),0,""),IF(AA898="","",IF(AB898&lt;=AA898,1,0))))</f>
        <v/>
      </c>
      <c r="BR898" s="38" t="str">
        <f aca="false">IF(OR(AO898&lt;&gt;1,K898&lt;&gt;"Oui",O898=""),"",IF(AC898="",O898+DORA_H_DET/24,IF(AC898-O898&lt;=DORA_H_DET/24,MIN(AC898+DORA_H_CLA/24,O898+DORA_H_DET/24),AC898+DORA_H_CLA/24)))</f>
        <v/>
      </c>
      <c r="BS898" s="35" t="str">
        <f aca="true">IF(BR898="","",IF(AD898="",IF(NOW()&gt;BR898,0,""),IF(AD898&lt;=BR898,1,0)))</f>
        <v/>
      </c>
      <c r="BT898" s="35" t="str">
        <f aca="true">IF(OR(BR898="",AD898=""),"",IF(AE898="",IF(NOW()&gt;AD898+DORA_H_INT/24,0,""),IF(AE898&lt;=AD898+DORA_H_INT/24,1,0)))</f>
        <v/>
      </c>
      <c r="BU898" s="35" t="str">
        <f aca="true">IF(OR(BR898="",AE898=""),"",IF(AF898="",IF(NOW()&gt;EDATE(AE898,DORA_M_FIN)+1,0,""),IF(AF898&lt;=EDATE(AE898,DORA_M_FIN),1,0)))</f>
        <v/>
      </c>
      <c r="BV898" s="35" t="str">
        <f aca="false">IF(BR898="","",IF(COUNT(BS898:BU898)=0,"",MIN(BS898:BU898)))</f>
        <v/>
      </c>
      <c r="BW898" s="40" t="str">
        <f aca="false">IF(AQ898&lt;&gt;1,"",IF(AND(AG898="",AH898=""),"",N(AG898)-N(AH898)))</f>
        <v/>
      </c>
      <c r="BX898" s="35" t="str">
        <f aca="true">IF(OR(AQ898&lt;&gt;1,AI898&lt;&gt;"Oui",AJ898=""),"",IF(AK898="",IF(NOW()&gt;AJ898+1,0,""),IF(AK898&lt;=AJ898,1,0)))</f>
        <v/>
      </c>
    </row>
    <row r="899" customFormat="false" ht="15" hidden="false" customHeight="false" outlineLevel="0" collapsed="false">
      <c r="B899" s="29"/>
      <c r="C899" s="29"/>
      <c r="D899" s="29"/>
      <c r="E899" s="29"/>
      <c r="F899" s="29"/>
      <c r="G899" s="29"/>
      <c r="H899" s="29"/>
      <c r="I899" s="29"/>
      <c r="J899" s="29"/>
      <c r="K899" s="29"/>
      <c r="L899" s="29"/>
      <c r="M899" s="29"/>
      <c r="N899" s="30"/>
      <c r="O899" s="30"/>
      <c r="P899" s="30"/>
      <c r="Q899" s="30"/>
      <c r="R899" s="30"/>
      <c r="S899" s="30"/>
      <c r="T899" s="30"/>
      <c r="U899" s="30"/>
      <c r="V899" s="31"/>
      <c r="W899" s="29"/>
      <c r="X899" s="29"/>
      <c r="Y899" s="29"/>
      <c r="Z899" s="29"/>
      <c r="AA899" s="30"/>
      <c r="AB899" s="30"/>
      <c r="AC899" s="30"/>
      <c r="AD899" s="30"/>
      <c r="AE899" s="30"/>
      <c r="AF899" s="32"/>
      <c r="AG899" s="33"/>
      <c r="AH899" s="33"/>
      <c r="AI899" s="29"/>
      <c r="AJ899" s="32"/>
      <c r="AK899" s="32"/>
      <c r="AL899" s="29"/>
      <c r="AN899" s="34" t="str">
        <f aca="false">IF($B899="","",IF(OR(C899="",D899="",E899="",G899="",I899="",J899="",L899="",O899="",P899=""),"Champ obligatoire manquant",IF(OR(AND(N899&lt;&gt;"",N899&gt;O899),O899&gt;P899,AND(Q899&lt;&gt;"",Q899&lt;P899),AND(R899&lt;&gt;"",R899&lt;P899),AND(S899&lt;&gt;"",S899&lt;R899),AND(S899&lt;&gt;"",R899=""),AND(T899&lt;&gt;"",T899&lt;O899),AND(U899&lt;&gt;"",U899&lt;O899)),"Chronologie incohérente",IF(AND(OR(L899="Résolu",L899="Clos"),R899=""),"Date de résolution manquante",IF(AND(L899="Clos",S899=""),"Date de clôture manquante",IF(AND(K899="Oui",AC899=""),"Classification DORA manquante","OK"))))))</f>
        <v/>
      </c>
      <c r="AO899" s="35" t="str">
        <f aca="false">IF($B899="","",IF(AND(C899="Incident",L899&lt;&gt;"Annulé"),1,0))</f>
        <v/>
      </c>
      <c r="AP899" s="35" t="str">
        <f aca="false">IF($B899="","",IF(AND(C899="Quasi-incident",L899&lt;&gt;"Annulé"),1,0))</f>
        <v/>
      </c>
      <c r="AQ899" s="35" t="str">
        <f aca="false">IF($B899="","",AO899+AP899)</f>
        <v/>
      </c>
      <c r="AR899" s="36" t="str">
        <f aca="false">IF(OR($B899="",J899=""),"",IFERROR(VALUE(LEFT(J899,1)),""))</f>
        <v/>
      </c>
      <c r="AS899" s="35" t="str">
        <f aca="false">IF(OR(AO899&lt;&gt;1,G899=""),"",IFERROR(IF(INDEX(L_SrcInterne,MATCH(G899,L_Sources,0))="Oui",1,0),""))</f>
        <v/>
      </c>
      <c r="AT899" s="37" t="str">
        <f aca="false">IF(AO899&lt;&gt;1,"",IFERROR(ROUND(IF(OR(N899="",O899=""),"",IF(O899&lt;N899,"",ROUND(((NETWORKDAYS(N899,O899,JoursFeries)-1)*(HFer-HOuv)+IF(NETWORKDAYS(O899,O899,JoursFeries),MEDIAN(MOD(O899,1),HFer,HOuv),HFer)-IF(NETWORKDAYS(N899,N899,JoursFeries),MEDIAN(MOD(N899,1),HFer,HOuv),HOuv))*24,4)))/HJour,4),""))</f>
        <v/>
      </c>
      <c r="AU899" s="37" t="str">
        <f aca="false">IF(AO899&lt;&gt;1,"",IF(OR(O899="",P899=""),"",IF(P899&lt;O899,"",ROUND(((NETWORKDAYS(O899,P899,JoursFeries)-1)*(HFer-HOuv)+IF(NETWORKDAYS(P899,P899,JoursFeries),MEDIAN(MOD(P899,1),HFer,HOuv),HFer)-IF(NETWORKDAYS(O899,O899,JoursFeries),MEDIAN(MOD(O899,1),HFer,HOuv),HOuv))*24,4))))</f>
        <v/>
      </c>
      <c r="AV899" s="37" t="str">
        <f aca="false">IF(AO899&lt;&gt;1,"",IF(OR(P899="",Q899=""),"",IF(Q899&lt;P899,"",ROUND(((NETWORKDAYS(P899,Q899,JoursFeries)-1)*(HFer-HOuv)+IF(NETWORKDAYS(Q899,Q899,JoursFeries),MEDIAN(MOD(Q899,1),HFer,HOuv),HFer)-IF(NETWORKDAYS(P899,P899,JoursFeries),MEDIAN(MOD(P899,1),HFer,HOuv),HOuv))*24,4))))</f>
        <v/>
      </c>
      <c r="AW899" s="37" t="str">
        <f aca="false">IF(AO899&lt;&gt;1,"",IFERROR(ROUND(IF(OR(P899="",R899=""),"",IF(R899&lt;P899,"",ROUND(((NETWORKDAYS(P899,R899,JoursFeries)-1)*(HFer-HOuv)+IF(NETWORKDAYS(R899,R899,JoursFeries),MEDIAN(MOD(R899,1),HFer,HOuv),HFer)-IF(NETWORKDAYS(P899,P899,JoursFeries),MEDIAN(MOD(P899,1),HFer,HOuv),HOuv))*24,4)))/HJour,4),""))</f>
        <v/>
      </c>
      <c r="AX899" s="37" t="str">
        <f aca="false">IF(AO899&lt;&gt;1,"",IFERROR(ROUND(IF(OR(P899="",S899=""),"",IF(S899&lt;P899,"",ROUND(((NETWORKDAYS(P899,S899,JoursFeries)-1)*(HFer-HOuv)+IF(NETWORKDAYS(S899,S899,JoursFeries),MEDIAN(MOD(S899,1),HFer,HOuv),HFer)-IF(NETWORKDAYS(P899,P899,JoursFeries),MEDIAN(MOD(P899,1),HFer,HOuv),HOuv))*24,4)))/HJour,4),""))</f>
        <v/>
      </c>
      <c r="AY899" s="36" t="str">
        <f aca="false">IF(OR(AO899&lt;&gt;1,AR899=""),"",INDEX(SLA_PEC,AR899))</f>
        <v/>
      </c>
      <c r="AZ899" s="35" t="str">
        <f aca="false">IF(OR(AV899="",AY899=""),"",IF(AV899&lt;=AY899,1,0))</f>
        <v/>
      </c>
      <c r="BA899" s="36" t="str">
        <f aca="false">IF(OR(AO899&lt;&gt;1,AR899=""),"",INDEX(SLA_RES,AR899))</f>
        <v/>
      </c>
      <c r="BB899" s="35" t="str">
        <f aca="false">IF(OR(AW899="",BA899=""),"",IF(AW899&lt;=BA899,1,0))</f>
        <v/>
      </c>
      <c r="BC899" s="38" t="str">
        <f aca="false">IF(OR(BA899="",P899=""),"",WORKDAY(INT(P899),BA899,JoursFeries)+MOD(P899,1))</f>
        <v/>
      </c>
      <c r="BD899" s="39" t="str">
        <f aca="false">IF(AO899&lt;&gt;1,"",IF(OR(AB899&lt;&gt;"",AD899&lt;&gt;""),4,IF(U899&lt;&gt;"",3,IF(T899&lt;&gt;"",2,1))))</f>
        <v/>
      </c>
      <c r="BE899" s="39" t="str">
        <f aca="false">IF(OR(AO899&lt;&gt;1,AR899=""),"",INDEX(NIV_REQ,AR899))</f>
        <v/>
      </c>
      <c r="BF899" s="39" t="str">
        <f aca="false">IF(BE899="","",MAX(BE899,IF(OR(K899="Oui",Z899="Oui"),4,1)))</f>
        <v/>
      </c>
      <c r="BG899" s="35" t="str">
        <f aca="false">IF(OR(BF899="",BD899=""),"",IF(BD899&gt;=BF899,1,0))</f>
        <v/>
      </c>
      <c r="BH899" s="38" t="str">
        <f aca="false">IF(BE899="","",IF(BE899&lt;2,"",IF(BE899=2,IF(AND(T899="",U899=""),"",MIN(T899,U899)),IF(U899="","",U899))))</f>
        <v/>
      </c>
      <c r="BI899" s="37" t="str">
        <f aca="false">IF(BH899="","",IF(OR(O899="",BH899=""),"",IF(BH899&lt;O899,"",ROUND(((NETWORKDAYS(O899,BH899,JoursFeries)-1)*(HFer-HOuv)+IF(NETWORKDAYS(BH899,BH899,JoursFeries),MEDIAN(MOD(BH899,1),HFer,HOuv),HFer)-IF(NETWORKDAYS(O899,O899,JoursFeries),MEDIAN(MOD(O899,1),HFer,HOuv),HOuv))*24,4))))</f>
        <v/>
      </c>
      <c r="BJ899" s="35" t="str">
        <f aca="false">IF(OR(BI899="",AR899=""),"",IF(BI899&lt;=INDEX(DELAI_ESC,AR899),1,0))</f>
        <v/>
      </c>
      <c r="BK899" s="38" t="str">
        <f aca="false">IF(AO899&lt;&gt;1,"",IF(AND(T899="",U899=""),"",MIN(T899,U899)))</f>
        <v/>
      </c>
      <c r="BL899" s="37" t="str">
        <f aca="false">IF(OR(BK899="",R899=""),"",IFERROR(ROUND(IF(OR(BK899="",R899=""),"",IF(R899&lt;BK899,"",ROUND(((NETWORKDAYS(BK899,R899,JoursFeries)-1)*(HFer-HOuv)+IF(NETWORKDAYS(R899,R899,JoursFeries),MEDIAN(MOD(R899,1),HFer,HOuv),HFer)-IF(NETWORKDAYS(BK899,BK899,JoursFeries),MEDIAN(MOD(BK899,1),HFer,HOuv),HOuv))*24,4)))/HJour,4),""))</f>
        <v/>
      </c>
      <c r="BM899" s="35" t="str">
        <f aca="false">IF(OR(AO899&lt;&gt;1,R899=""),"",IF(BD899=1,1,0))</f>
        <v/>
      </c>
      <c r="BN899" s="35" t="str">
        <f aca="false">IF(AO899&lt;&gt;1,"",IF(W899="Oui",1,0))</f>
        <v/>
      </c>
      <c r="BO899" s="35" t="str">
        <f aca="false">IF(AO899&lt;&gt;1,"",IF(X899&lt;&gt;"",1,0))</f>
        <v/>
      </c>
      <c r="BP899" s="35" t="str">
        <f aca="false">IF(AO899&lt;&gt;1,"",IF(Y899="Oui",1,0))</f>
        <v/>
      </c>
      <c r="BQ899" s="35" t="str">
        <f aca="true">IF(OR(AO899&lt;&gt;1,Z899&lt;&gt;"Oui"),"",IF(AB899="",IF(AND(AA899&lt;&gt;"",NOW()&gt;AA899),0,""),IF(AA899="","",IF(AB899&lt;=AA899,1,0))))</f>
        <v/>
      </c>
      <c r="BR899" s="38" t="str">
        <f aca="false">IF(OR(AO899&lt;&gt;1,K899&lt;&gt;"Oui",O899=""),"",IF(AC899="",O899+DORA_H_DET/24,IF(AC899-O899&lt;=DORA_H_DET/24,MIN(AC899+DORA_H_CLA/24,O899+DORA_H_DET/24),AC899+DORA_H_CLA/24)))</f>
        <v/>
      </c>
      <c r="BS899" s="35" t="str">
        <f aca="true">IF(BR899="","",IF(AD899="",IF(NOW()&gt;BR899,0,""),IF(AD899&lt;=BR899,1,0)))</f>
        <v/>
      </c>
      <c r="BT899" s="35" t="str">
        <f aca="true">IF(OR(BR899="",AD899=""),"",IF(AE899="",IF(NOW()&gt;AD899+DORA_H_INT/24,0,""),IF(AE899&lt;=AD899+DORA_H_INT/24,1,0)))</f>
        <v/>
      </c>
      <c r="BU899" s="35" t="str">
        <f aca="true">IF(OR(BR899="",AE899=""),"",IF(AF899="",IF(NOW()&gt;EDATE(AE899,DORA_M_FIN)+1,0,""),IF(AF899&lt;=EDATE(AE899,DORA_M_FIN),1,0)))</f>
        <v/>
      </c>
      <c r="BV899" s="35" t="str">
        <f aca="false">IF(BR899="","",IF(COUNT(BS899:BU899)=0,"",MIN(BS899:BU899)))</f>
        <v/>
      </c>
      <c r="BW899" s="40" t="str">
        <f aca="false">IF(AQ899&lt;&gt;1,"",IF(AND(AG899="",AH899=""),"",N(AG899)-N(AH899)))</f>
        <v/>
      </c>
      <c r="BX899" s="35" t="str">
        <f aca="true">IF(OR(AQ899&lt;&gt;1,AI899&lt;&gt;"Oui",AJ899=""),"",IF(AK899="",IF(NOW()&gt;AJ899+1,0,""),IF(AK899&lt;=AJ899,1,0)))</f>
        <v/>
      </c>
    </row>
    <row r="900" customFormat="false" ht="15" hidden="false" customHeight="false" outlineLevel="0" collapsed="false">
      <c r="B900" s="29"/>
      <c r="C900" s="29"/>
      <c r="D900" s="29"/>
      <c r="E900" s="29"/>
      <c r="F900" s="29"/>
      <c r="G900" s="29"/>
      <c r="H900" s="29"/>
      <c r="I900" s="29"/>
      <c r="J900" s="29"/>
      <c r="K900" s="29"/>
      <c r="L900" s="29"/>
      <c r="M900" s="29"/>
      <c r="N900" s="30"/>
      <c r="O900" s="30"/>
      <c r="P900" s="30"/>
      <c r="Q900" s="30"/>
      <c r="R900" s="30"/>
      <c r="S900" s="30"/>
      <c r="T900" s="30"/>
      <c r="U900" s="30"/>
      <c r="V900" s="31"/>
      <c r="W900" s="29"/>
      <c r="X900" s="29"/>
      <c r="Y900" s="29"/>
      <c r="Z900" s="29"/>
      <c r="AA900" s="30"/>
      <c r="AB900" s="30"/>
      <c r="AC900" s="30"/>
      <c r="AD900" s="30"/>
      <c r="AE900" s="30"/>
      <c r="AF900" s="32"/>
      <c r="AG900" s="33"/>
      <c r="AH900" s="33"/>
      <c r="AI900" s="29"/>
      <c r="AJ900" s="32"/>
      <c r="AK900" s="32"/>
      <c r="AL900" s="29"/>
      <c r="AN900" s="34" t="str">
        <f aca="false">IF($B900="","",IF(OR(C900="",D900="",E900="",G900="",I900="",J900="",L900="",O900="",P900=""),"Champ obligatoire manquant",IF(OR(AND(N900&lt;&gt;"",N900&gt;O900),O900&gt;P900,AND(Q900&lt;&gt;"",Q900&lt;P900),AND(R900&lt;&gt;"",R900&lt;P900),AND(S900&lt;&gt;"",S900&lt;R900),AND(S900&lt;&gt;"",R900=""),AND(T900&lt;&gt;"",T900&lt;O900),AND(U900&lt;&gt;"",U900&lt;O900)),"Chronologie incohérente",IF(AND(OR(L900="Résolu",L900="Clos"),R900=""),"Date de résolution manquante",IF(AND(L900="Clos",S900=""),"Date de clôture manquante",IF(AND(K900="Oui",AC900=""),"Classification DORA manquante","OK"))))))</f>
        <v/>
      </c>
      <c r="AO900" s="35" t="str">
        <f aca="false">IF($B900="","",IF(AND(C900="Incident",L900&lt;&gt;"Annulé"),1,0))</f>
        <v/>
      </c>
      <c r="AP900" s="35" t="str">
        <f aca="false">IF($B900="","",IF(AND(C900="Quasi-incident",L900&lt;&gt;"Annulé"),1,0))</f>
        <v/>
      </c>
      <c r="AQ900" s="35" t="str">
        <f aca="false">IF($B900="","",AO900+AP900)</f>
        <v/>
      </c>
      <c r="AR900" s="36" t="str">
        <f aca="false">IF(OR($B900="",J900=""),"",IFERROR(VALUE(LEFT(J900,1)),""))</f>
        <v/>
      </c>
      <c r="AS900" s="35" t="str">
        <f aca="false">IF(OR(AO900&lt;&gt;1,G900=""),"",IFERROR(IF(INDEX(L_SrcInterne,MATCH(G900,L_Sources,0))="Oui",1,0),""))</f>
        <v/>
      </c>
      <c r="AT900" s="37" t="str">
        <f aca="false">IF(AO900&lt;&gt;1,"",IFERROR(ROUND(IF(OR(N900="",O900=""),"",IF(O900&lt;N900,"",ROUND(((NETWORKDAYS(N900,O900,JoursFeries)-1)*(HFer-HOuv)+IF(NETWORKDAYS(O900,O900,JoursFeries),MEDIAN(MOD(O900,1),HFer,HOuv),HFer)-IF(NETWORKDAYS(N900,N900,JoursFeries),MEDIAN(MOD(N900,1),HFer,HOuv),HOuv))*24,4)))/HJour,4),""))</f>
        <v/>
      </c>
      <c r="AU900" s="37" t="str">
        <f aca="false">IF(AO900&lt;&gt;1,"",IF(OR(O900="",P900=""),"",IF(P900&lt;O900,"",ROUND(((NETWORKDAYS(O900,P900,JoursFeries)-1)*(HFer-HOuv)+IF(NETWORKDAYS(P900,P900,JoursFeries),MEDIAN(MOD(P900,1),HFer,HOuv),HFer)-IF(NETWORKDAYS(O900,O900,JoursFeries),MEDIAN(MOD(O900,1),HFer,HOuv),HOuv))*24,4))))</f>
        <v/>
      </c>
      <c r="AV900" s="37" t="str">
        <f aca="false">IF(AO900&lt;&gt;1,"",IF(OR(P900="",Q900=""),"",IF(Q900&lt;P900,"",ROUND(((NETWORKDAYS(P900,Q900,JoursFeries)-1)*(HFer-HOuv)+IF(NETWORKDAYS(Q900,Q900,JoursFeries),MEDIAN(MOD(Q900,1),HFer,HOuv),HFer)-IF(NETWORKDAYS(P900,P900,JoursFeries),MEDIAN(MOD(P900,1),HFer,HOuv),HOuv))*24,4))))</f>
        <v/>
      </c>
      <c r="AW900" s="37" t="str">
        <f aca="false">IF(AO900&lt;&gt;1,"",IFERROR(ROUND(IF(OR(P900="",R900=""),"",IF(R900&lt;P900,"",ROUND(((NETWORKDAYS(P900,R900,JoursFeries)-1)*(HFer-HOuv)+IF(NETWORKDAYS(R900,R900,JoursFeries),MEDIAN(MOD(R900,1),HFer,HOuv),HFer)-IF(NETWORKDAYS(P900,P900,JoursFeries),MEDIAN(MOD(P900,1),HFer,HOuv),HOuv))*24,4)))/HJour,4),""))</f>
        <v/>
      </c>
      <c r="AX900" s="37" t="str">
        <f aca="false">IF(AO900&lt;&gt;1,"",IFERROR(ROUND(IF(OR(P900="",S900=""),"",IF(S900&lt;P900,"",ROUND(((NETWORKDAYS(P900,S900,JoursFeries)-1)*(HFer-HOuv)+IF(NETWORKDAYS(S900,S900,JoursFeries),MEDIAN(MOD(S900,1),HFer,HOuv),HFer)-IF(NETWORKDAYS(P900,P900,JoursFeries),MEDIAN(MOD(P900,1),HFer,HOuv),HOuv))*24,4)))/HJour,4),""))</f>
        <v/>
      </c>
      <c r="AY900" s="36" t="str">
        <f aca="false">IF(OR(AO900&lt;&gt;1,AR900=""),"",INDEX(SLA_PEC,AR900))</f>
        <v/>
      </c>
      <c r="AZ900" s="35" t="str">
        <f aca="false">IF(OR(AV900="",AY900=""),"",IF(AV900&lt;=AY900,1,0))</f>
        <v/>
      </c>
      <c r="BA900" s="36" t="str">
        <f aca="false">IF(OR(AO900&lt;&gt;1,AR900=""),"",INDEX(SLA_RES,AR900))</f>
        <v/>
      </c>
      <c r="BB900" s="35" t="str">
        <f aca="false">IF(OR(AW900="",BA900=""),"",IF(AW900&lt;=BA900,1,0))</f>
        <v/>
      </c>
      <c r="BC900" s="38" t="str">
        <f aca="false">IF(OR(BA900="",P900=""),"",WORKDAY(INT(P900),BA900,JoursFeries)+MOD(P900,1))</f>
        <v/>
      </c>
      <c r="BD900" s="39" t="str">
        <f aca="false">IF(AO900&lt;&gt;1,"",IF(OR(AB900&lt;&gt;"",AD900&lt;&gt;""),4,IF(U900&lt;&gt;"",3,IF(T900&lt;&gt;"",2,1))))</f>
        <v/>
      </c>
      <c r="BE900" s="39" t="str">
        <f aca="false">IF(OR(AO900&lt;&gt;1,AR900=""),"",INDEX(NIV_REQ,AR900))</f>
        <v/>
      </c>
      <c r="BF900" s="39" t="str">
        <f aca="false">IF(BE900="","",MAX(BE900,IF(OR(K900="Oui",Z900="Oui"),4,1)))</f>
        <v/>
      </c>
      <c r="BG900" s="35" t="str">
        <f aca="false">IF(OR(BF900="",BD900=""),"",IF(BD900&gt;=BF900,1,0))</f>
        <v/>
      </c>
      <c r="BH900" s="38" t="str">
        <f aca="false">IF(BE900="","",IF(BE900&lt;2,"",IF(BE900=2,IF(AND(T900="",U900=""),"",MIN(T900,U900)),IF(U900="","",U900))))</f>
        <v/>
      </c>
      <c r="BI900" s="37" t="str">
        <f aca="false">IF(BH900="","",IF(OR(O900="",BH900=""),"",IF(BH900&lt;O900,"",ROUND(((NETWORKDAYS(O900,BH900,JoursFeries)-1)*(HFer-HOuv)+IF(NETWORKDAYS(BH900,BH900,JoursFeries),MEDIAN(MOD(BH900,1),HFer,HOuv),HFer)-IF(NETWORKDAYS(O900,O900,JoursFeries),MEDIAN(MOD(O900,1),HFer,HOuv),HOuv))*24,4))))</f>
        <v/>
      </c>
      <c r="BJ900" s="35" t="str">
        <f aca="false">IF(OR(BI900="",AR900=""),"",IF(BI900&lt;=INDEX(DELAI_ESC,AR900),1,0))</f>
        <v/>
      </c>
      <c r="BK900" s="38" t="str">
        <f aca="false">IF(AO900&lt;&gt;1,"",IF(AND(T900="",U900=""),"",MIN(T900,U900)))</f>
        <v/>
      </c>
      <c r="BL900" s="37" t="str">
        <f aca="false">IF(OR(BK900="",R900=""),"",IFERROR(ROUND(IF(OR(BK900="",R900=""),"",IF(R900&lt;BK900,"",ROUND(((NETWORKDAYS(BK900,R900,JoursFeries)-1)*(HFer-HOuv)+IF(NETWORKDAYS(R900,R900,JoursFeries),MEDIAN(MOD(R900,1),HFer,HOuv),HFer)-IF(NETWORKDAYS(BK900,BK900,JoursFeries),MEDIAN(MOD(BK900,1),HFer,HOuv),HOuv))*24,4)))/HJour,4),""))</f>
        <v/>
      </c>
      <c r="BM900" s="35" t="str">
        <f aca="false">IF(OR(AO900&lt;&gt;1,R900=""),"",IF(BD900=1,1,0))</f>
        <v/>
      </c>
      <c r="BN900" s="35" t="str">
        <f aca="false">IF(AO900&lt;&gt;1,"",IF(W900="Oui",1,0))</f>
        <v/>
      </c>
      <c r="BO900" s="35" t="str">
        <f aca="false">IF(AO900&lt;&gt;1,"",IF(X900&lt;&gt;"",1,0))</f>
        <v/>
      </c>
      <c r="BP900" s="35" t="str">
        <f aca="false">IF(AO900&lt;&gt;1,"",IF(Y900="Oui",1,0))</f>
        <v/>
      </c>
      <c r="BQ900" s="35" t="str">
        <f aca="true">IF(OR(AO900&lt;&gt;1,Z900&lt;&gt;"Oui"),"",IF(AB900="",IF(AND(AA900&lt;&gt;"",NOW()&gt;AA900),0,""),IF(AA900="","",IF(AB900&lt;=AA900,1,0))))</f>
        <v/>
      </c>
      <c r="BR900" s="38" t="str">
        <f aca="false">IF(OR(AO900&lt;&gt;1,K900&lt;&gt;"Oui",O900=""),"",IF(AC900="",O900+DORA_H_DET/24,IF(AC900-O900&lt;=DORA_H_DET/24,MIN(AC900+DORA_H_CLA/24,O900+DORA_H_DET/24),AC900+DORA_H_CLA/24)))</f>
        <v/>
      </c>
      <c r="BS900" s="35" t="str">
        <f aca="true">IF(BR900="","",IF(AD900="",IF(NOW()&gt;BR900,0,""),IF(AD900&lt;=BR900,1,0)))</f>
        <v/>
      </c>
      <c r="BT900" s="35" t="str">
        <f aca="true">IF(OR(BR900="",AD900=""),"",IF(AE900="",IF(NOW()&gt;AD900+DORA_H_INT/24,0,""),IF(AE900&lt;=AD900+DORA_H_INT/24,1,0)))</f>
        <v/>
      </c>
      <c r="BU900" s="35" t="str">
        <f aca="true">IF(OR(BR900="",AE900=""),"",IF(AF900="",IF(NOW()&gt;EDATE(AE900,DORA_M_FIN)+1,0,""),IF(AF900&lt;=EDATE(AE900,DORA_M_FIN),1,0)))</f>
        <v/>
      </c>
      <c r="BV900" s="35" t="str">
        <f aca="false">IF(BR900="","",IF(COUNT(BS900:BU900)=0,"",MIN(BS900:BU900)))</f>
        <v/>
      </c>
      <c r="BW900" s="40" t="str">
        <f aca="false">IF(AQ900&lt;&gt;1,"",IF(AND(AG900="",AH900=""),"",N(AG900)-N(AH900)))</f>
        <v/>
      </c>
      <c r="BX900" s="35" t="str">
        <f aca="true">IF(OR(AQ900&lt;&gt;1,AI900&lt;&gt;"Oui",AJ900=""),"",IF(AK900="",IF(NOW()&gt;AJ900+1,0,""),IF(AK900&lt;=AJ900,1,0)))</f>
        <v/>
      </c>
    </row>
    <row r="901" customFormat="false" ht="15" hidden="false" customHeight="false" outlineLevel="0" collapsed="false">
      <c r="B901" s="29"/>
      <c r="C901" s="29"/>
      <c r="D901" s="29"/>
      <c r="E901" s="29"/>
      <c r="F901" s="29"/>
      <c r="G901" s="29"/>
      <c r="H901" s="29"/>
      <c r="I901" s="29"/>
      <c r="J901" s="29"/>
      <c r="K901" s="29"/>
      <c r="L901" s="29"/>
      <c r="M901" s="29"/>
      <c r="N901" s="30"/>
      <c r="O901" s="30"/>
      <c r="P901" s="30"/>
      <c r="Q901" s="30"/>
      <c r="R901" s="30"/>
      <c r="S901" s="30"/>
      <c r="T901" s="30"/>
      <c r="U901" s="30"/>
      <c r="V901" s="31"/>
      <c r="W901" s="29"/>
      <c r="X901" s="29"/>
      <c r="Y901" s="29"/>
      <c r="Z901" s="29"/>
      <c r="AA901" s="30"/>
      <c r="AB901" s="30"/>
      <c r="AC901" s="30"/>
      <c r="AD901" s="30"/>
      <c r="AE901" s="30"/>
      <c r="AF901" s="32"/>
      <c r="AG901" s="33"/>
      <c r="AH901" s="33"/>
      <c r="AI901" s="29"/>
      <c r="AJ901" s="32"/>
      <c r="AK901" s="32"/>
      <c r="AL901" s="29"/>
      <c r="AN901" s="34" t="str">
        <f aca="false">IF($B901="","",IF(OR(C901="",D901="",E901="",G901="",I901="",J901="",L901="",O901="",P901=""),"Champ obligatoire manquant",IF(OR(AND(N901&lt;&gt;"",N901&gt;O901),O901&gt;P901,AND(Q901&lt;&gt;"",Q901&lt;P901),AND(R901&lt;&gt;"",R901&lt;P901),AND(S901&lt;&gt;"",S901&lt;R901),AND(S901&lt;&gt;"",R901=""),AND(T901&lt;&gt;"",T901&lt;O901),AND(U901&lt;&gt;"",U901&lt;O901)),"Chronologie incohérente",IF(AND(OR(L901="Résolu",L901="Clos"),R901=""),"Date de résolution manquante",IF(AND(L901="Clos",S901=""),"Date de clôture manquante",IF(AND(K901="Oui",AC901=""),"Classification DORA manquante","OK"))))))</f>
        <v/>
      </c>
      <c r="AO901" s="35" t="str">
        <f aca="false">IF($B901="","",IF(AND(C901="Incident",L901&lt;&gt;"Annulé"),1,0))</f>
        <v/>
      </c>
      <c r="AP901" s="35" t="str">
        <f aca="false">IF($B901="","",IF(AND(C901="Quasi-incident",L901&lt;&gt;"Annulé"),1,0))</f>
        <v/>
      </c>
      <c r="AQ901" s="35" t="str">
        <f aca="false">IF($B901="","",AO901+AP901)</f>
        <v/>
      </c>
      <c r="AR901" s="36" t="str">
        <f aca="false">IF(OR($B901="",J901=""),"",IFERROR(VALUE(LEFT(J901,1)),""))</f>
        <v/>
      </c>
      <c r="AS901" s="35" t="str">
        <f aca="false">IF(OR(AO901&lt;&gt;1,G901=""),"",IFERROR(IF(INDEX(L_SrcInterne,MATCH(G901,L_Sources,0))="Oui",1,0),""))</f>
        <v/>
      </c>
      <c r="AT901" s="37" t="str">
        <f aca="false">IF(AO901&lt;&gt;1,"",IFERROR(ROUND(IF(OR(N901="",O901=""),"",IF(O901&lt;N901,"",ROUND(((NETWORKDAYS(N901,O901,JoursFeries)-1)*(HFer-HOuv)+IF(NETWORKDAYS(O901,O901,JoursFeries),MEDIAN(MOD(O901,1),HFer,HOuv),HFer)-IF(NETWORKDAYS(N901,N901,JoursFeries),MEDIAN(MOD(N901,1),HFer,HOuv),HOuv))*24,4)))/HJour,4),""))</f>
        <v/>
      </c>
      <c r="AU901" s="37" t="str">
        <f aca="false">IF(AO901&lt;&gt;1,"",IF(OR(O901="",P901=""),"",IF(P901&lt;O901,"",ROUND(((NETWORKDAYS(O901,P901,JoursFeries)-1)*(HFer-HOuv)+IF(NETWORKDAYS(P901,P901,JoursFeries),MEDIAN(MOD(P901,1),HFer,HOuv),HFer)-IF(NETWORKDAYS(O901,O901,JoursFeries),MEDIAN(MOD(O901,1),HFer,HOuv),HOuv))*24,4))))</f>
        <v/>
      </c>
      <c r="AV901" s="37" t="str">
        <f aca="false">IF(AO901&lt;&gt;1,"",IF(OR(P901="",Q901=""),"",IF(Q901&lt;P901,"",ROUND(((NETWORKDAYS(P901,Q901,JoursFeries)-1)*(HFer-HOuv)+IF(NETWORKDAYS(Q901,Q901,JoursFeries),MEDIAN(MOD(Q901,1),HFer,HOuv),HFer)-IF(NETWORKDAYS(P901,P901,JoursFeries),MEDIAN(MOD(P901,1),HFer,HOuv),HOuv))*24,4))))</f>
        <v/>
      </c>
      <c r="AW901" s="37" t="str">
        <f aca="false">IF(AO901&lt;&gt;1,"",IFERROR(ROUND(IF(OR(P901="",R901=""),"",IF(R901&lt;P901,"",ROUND(((NETWORKDAYS(P901,R901,JoursFeries)-1)*(HFer-HOuv)+IF(NETWORKDAYS(R901,R901,JoursFeries),MEDIAN(MOD(R901,1),HFer,HOuv),HFer)-IF(NETWORKDAYS(P901,P901,JoursFeries),MEDIAN(MOD(P901,1),HFer,HOuv),HOuv))*24,4)))/HJour,4),""))</f>
        <v/>
      </c>
      <c r="AX901" s="37" t="str">
        <f aca="false">IF(AO901&lt;&gt;1,"",IFERROR(ROUND(IF(OR(P901="",S901=""),"",IF(S901&lt;P901,"",ROUND(((NETWORKDAYS(P901,S901,JoursFeries)-1)*(HFer-HOuv)+IF(NETWORKDAYS(S901,S901,JoursFeries),MEDIAN(MOD(S901,1),HFer,HOuv),HFer)-IF(NETWORKDAYS(P901,P901,JoursFeries),MEDIAN(MOD(P901,1),HFer,HOuv),HOuv))*24,4)))/HJour,4),""))</f>
        <v/>
      </c>
      <c r="AY901" s="36" t="str">
        <f aca="false">IF(OR(AO901&lt;&gt;1,AR901=""),"",INDEX(SLA_PEC,AR901))</f>
        <v/>
      </c>
      <c r="AZ901" s="35" t="str">
        <f aca="false">IF(OR(AV901="",AY901=""),"",IF(AV901&lt;=AY901,1,0))</f>
        <v/>
      </c>
      <c r="BA901" s="36" t="str">
        <f aca="false">IF(OR(AO901&lt;&gt;1,AR901=""),"",INDEX(SLA_RES,AR901))</f>
        <v/>
      </c>
      <c r="BB901" s="35" t="str">
        <f aca="false">IF(OR(AW901="",BA901=""),"",IF(AW901&lt;=BA901,1,0))</f>
        <v/>
      </c>
      <c r="BC901" s="38" t="str">
        <f aca="false">IF(OR(BA901="",P901=""),"",WORKDAY(INT(P901),BA901,JoursFeries)+MOD(P901,1))</f>
        <v/>
      </c>
      <c r="BD901" s="39" t="str">
        <f aca="false">IF(AO901&lt;&gt;1,"",IF(OR(AB901&lt;&gt;"",AD901&lt;&gt;""),4,IF(U901&lt;&gt;"",3,IF(T901&lt;&gt;"",2,1))))</f>
        <v/>
      </c>
      <c r="BE901" s="39" t="str">
        <f aca="false">IF(OR(AO901&lt;&gt;1,AR901=""),"",INDEX(NIV_REQ,AR901))</f>
        <v/>
      </c>
      <c r="BF901" s="39" t="str">
        <f aca="false">IF(BE901="","",MAX(BE901,IF(OR(K901="Oui",Z901="Oui"),4,1)))</f>
        <v/>
      </c>
      <c r="BG901" s="35" t="str">
        <f aca="false">IF(OR(BF901="",BD901=""),"",IF(BD901&gt;=BF901,1,0))</f>
        <v/>
      </c>
      <c r="BH901" s="38" t="str">
        <f aca="false">IF(BE901="","",IF(BE901&lt;2,"",IF(BE901=2,IF(AND(T901="",U901=""),"",MIN(T901,U901)),IF(U901="","",U901))))</f>
        <v/>
      </c>
      <c r="BI901" s="37" t="str">
        <f aca="false">IF(BH901="","",IF(OR(O901="",BH901=""),"",IF(BH901&lt;O901,"",ROUND(((NETWORKDAYS(O901,BH901,JoursFeries)-1)*(HFer-HOuv)+IF(NETWORKDAYS(BH901,BH901,JoursFeries),MEDIAN(MOD(BH901,1),HFer,HOuv),HFer)-IF(NETWORKDAYS(O901,O901,JoursFeries),MEDIAN(MOD(O901,1),HFer,HOuv),HOuv))*24,4))))</f>
        <v/>
      </c>
      <c r="BJ901" s="35" t="str">
        <f aca="false">IF(OR(BI901="",AR901=""),"",IF(BI901&lt;=INDEX(DELAI_ESC,AR901),1,0))</f>
        <v/>
      </c>
      <c r="BK901" s="38" t="str">
        <f aca="false">IF(AO901&lt;&gt;1,"",IF(AND(T901="",U901=""),"",MIN(T901,U901)))</f>
        <v/>
      </c>
      <c r="BL901" s="37" t="str">
        <f aca="false">IF(OR(BK901="",R901=""),"",IFERROR(ROUND(IF(OR(BK901="",R901=""),"",IF(R901&lt;BK901,"",ROUND(((NETWORKDAYS(BK901,R901,JoursFeries)-1)*(HFer-HOuv)+IF(NETWORKDAYS(R901,R901,JoursFeries),MEDIAN(MOD(R901,1),HFer,HOuv),HFer)-IF(NETWORKDAYS(BK901,BK901,JoursFeries),MEDIAN(MOD(BK901,1),HFer,HOuv),HOuv))*24,4)))/HJour,4),""))</f>
        <v/>
      </c>
      <c r="BM901" s="35" t="str">
        <f aca="false">IF(OR(AO901&lt;&gt;1,R901=""),"",IF(BD901=1,1,0))</f>
        <v/>
      </c>
      <c r="BN901" s="35" t="str">
        <f aca="false">IF(AO901&lt;&gt;1,"",IF(W901="Oui",1,0))</f>
        <v/>
      </c>
      <c r="BO901" s="35" t="str">
        <f aca="false">IF(AO901&lt;&gt;1,"",IF(X901&lt;&gt;"",1,0))</f>
        <v/>
      </c>
      <c r="BP901" s="35" t="str">
        <f aca="false">IF(AO901&lt;&gt;1,"",IF(Y901="Oui",1,0))</f>
        <v/>
      </c>
      <c r="BQ901" s="35" t="str">
        <f aca="true">IF(OR(AO901&lt;&gt;1,Z901&lt;&gt;"Oui"),"",IF(AB901="",IF(AND(AA901&lt;&gt;"",NOW()&gt;AA901),0,""),IF(AA901="","",IF(AB901&lt;=AA901,1,0))))</f>
        <v/>
      </c>
      <c r="BR901" s="38" t="str">
        <f aca="false">IF(OR(AO901&lt;&gt;1,K901&lt;&gt;"Oui",O901=""),"",IF(AC901="",O901+DORA_H_DET/24,IF(AC901-O901&lt;=DORA_H_DET/24,MIN(AC901+DORA_H_CLA/24,O901+DORA_H_DET/24),AC901+DORA_H_CLA/24)))</f>
        <v/>
      </c>
      <c r="BS901" s="35" t="str">
        <f aca="true">IF(BR901="","",IF(AD901="",IF(NOW()&gt;BR901,0,""),IF(AD901&lt;=BR901,1,0)))</f>
        <v/>
      </c>
      <c r="BT901" s="35" t="str">
        <f aca="true">IF(OR(BR901="",AD901=""),"",IF(AE901="",IF(NOW()&gt;AD901+DORA_H_INT/24,0,""),IF(AE901&lt;=AD901+DORA_H_INT/24,1,0)))</f>
        <v/>
      </c>
      <c r="BU901" s="35" t="str">
        <f aca="true">IF(OR(BR901="",AE901=""),"",IF(AF901="",IF(NOW()&gt;EDATE(AE901,DORA_M_FIN)+1,0,""),IF(AF901&lt;=EDATE(AE901,DORA_M_FIN),1,0)))</f>
        <v/>
      </c>
      <c r="BV901" s="35" t="str">
        <f aca="false">IF(BR901="","",IF(COUNT(BS901:BU901)=0,"",MIN(BS901:BU901)))</f>
        <v/>
      </c>
      <c r="BW901" s="40" t="str">
        <f aca="false">IF(AQ901&lt;&gt;1,"",IF(AND(AG901="",AH901=""),"",N(AG901)-N(AH901)))</f>
        <v/>
      </c>
      <c r="BX901" s="35" t="str">
        <f aca="true">IF(OR(AQ901&lt;&gt;1,AI901&lt;&gt;"Oui",AJ901=""),"",IF(AK901="",IF(NOW()&gt;AJ901+1,0,""),IF(AK901&lt;=AJ901,1,0)))</f>
        <v/>
      </c>
    </row>
    <row r="902" customFormat="false" ht="15" hidden="false" customHeight="false" outlineLevel="0" collapsed="false">
      <c r="B902" s="29"/>
      <c r="C902" s="29"/>
      <c r="D902" s="29"/>
      <c r="E902" s="29"/>
      <c r="F902" s="29"/>
      <c r="G902" s="29"/>
      <c r="H902" s="29"/>
      <c r="I902" s="29"/>
      <c r="J902" s="29"/>
      <c r="K902" s="29"/>
      <c r="L902" s="29"/>
      <c r="M902" s="29"/>
      <c r="N902" s="30"/>
      <c r="O902" s="30"/>
      <c r="P902" s="30"/>
      <c r="Q902" s="30"/>
      <c r="R902" s="30"/>
      <c r="S902" s="30"/>
      <c r="T902" s="30"/>
      <c r="U902" s="30"/>
      <c r="V902" s="31"/>
      <c r="W902" s="29"/>
      <c r="X902" s="29"/>
      <c r="Y902" s="29"/>
      <c r="Z902" s="29"/>
      <c r="AA902" s="30"/>
      <c r="AB902" s="30"/>
      <c r="AC902" s="30"/>
      <c r="AD902" s="30"/>
      <c r="AE902" s="30"/>
      <c r="AF902" s="32"/>
      <c r="AG902" s="33"/>
      <c r="AH902" s="33"/>
      <c r="AI902" s="29"/>
      <c r="AJ902" s="32"/>
      <c r="AK902" s="32"/>
      <c r="AL902" s="29"/>
      <c r="AN902" s="34" t="str">
        <f aca="false">IF($B902="","",IF(OR(C902="",D902="",E902="",G902="",I902="",J902="",L902="",O902="",P902=""),"Champ obligatoire manquant",IF(OR(AND(N902&lt;&gt;"",N902&gt;O902),O902&gt;P902,AND(Q902&lt;&gt;"",Q902&lt;P902),AND(R902&lt;&gt;"",R902&lt;P902),AND(S902&lt;&gt;"",S902&lt;R902),AND(S902&lt;&gt;"",R902=""),AND(T902&lt;&gt;"",T902&lt;O902),AND(U902&lt;&gt;"",U902&lt;O902)),"Chronologie incohérente",IF(AND(OR(L902="Résolu",L902="Clos"),R902=""),"Date de résolution manquante",IF(AND(L902="Clos",S902=""),"Date de clôture manquante",IF(AND(K902="Oui",AC902=""),"Classification DORA manquante","OK"))))))</f>
        <v/>
      </c>
      <c r="AO902" s="35" t="str">
        <f aca="false">IF($B902="","",IF(AND(C902="Incident",L902&lt;&gt;"Annulé"),1,0))</f>
        <v/>
      </c>
      <c r="AP902" s="35" t="str">
        <f aca="false">IF($B902="","",IF(AND(C902="Quasi-incident",L902&lt;&gt;"Annulé"),1,0))</f>
        <v/>
      </c>
      <c r="AQ902" s="35" t="str">
        <f aca="false">IF($B902="","",AO902+AP902)</f>
        <v/>
      </c>
      <c r="AR902" s="36" t="str">
        <f aca="false">IF(OR($B902="",J902=""),"",IFERROR(VALUE(LEFT(J902,1)),""))</f>
        <v/>
      </c>
      <c r="AS902" s="35" t="str">
        <f aca="false">IF(OR(AO902&lt;&gt;1,G902=""),"",IFERROR(IF(INDEX(L_SrcInterne,MATCH(G902,L_Sources,0))="Oui",1,0),""))</f>
        <v/>
      </c>
      <c r="AT902" s="37" t="str">
        <f aca="false">IF(AO902&lt;&gt;1,"",IFERROR(ROUND(IF(OR(N902="",O902=""),"",IF(O902&lt;N902,"",ROUND(((NETWORKDAYS(N902,O902,JoursFeries)-1)*(HFer-HOuv)+IF(NETWORKDAYS(O902,O902,JoursFeries),MEDIAN(MOD(O902,1),HFer,HOuv),HFer)-IF(NETWORKDAYS(N902,N902,JoursFeries),MEDIAN(MOD(N902,1),HFer,HOuv),HOuv))*24,4)))/HJour,4),""))</f>
        <v/>
      </c>
      <c r="AU902" s="37" t="str">
        <f aca="false">IF(AO902&lt;&gt;1,"",IF(OR(O902="",P902=""),"",IF(P902&lt;O902,"",ROUND(((NETWORKDAYS(O902,P902,JoursFeries)-1)*(HFer-HOuv)+IF(NETWORKDAYS(P902,P902,JoursFeries),MEDIAN(MOD(P902,1),HFer,HOuv),HFer)-IF(NETWORKDAYS(O902,O902,JoursFeries),MEDIAN(MOD(O902,1),HFer,HOuv),HOuv))*24,4))))</f>
        <v/>
      </c>
      <c r="AV902" s="37" t="str">
        <f aca="false">IF(AO902&lt;&gt;1,"",IF(OR(P902="",Q902=""),"",IF(Q902&lt;P902,"",ROUND(((NETWORKDAYS(P902,Q902,JoursFeries)-1)*(HFer-HOuv)+IF(NETWORKDAYS(Q902,Q902,JoursFeries),MEDIAN(MOD(Q902,1),HFer,HOuv),HFer)-IF(NETWORKDAYS(P902,P902,JoursFeries),MEDIAN(MOD(P902,1),HFer,HOuv),HOuv))*24,4))))</f>
        <v/>
      </c>
      <c r="AW902" s="37" t="str">
        <f aca="false">IF(AO902&lt;&gt;1,"",IFERROR(ROUND(IF(OR(P902="",R902=""),"",IF(R902&lt;P902,"",ROUND(((NETWORKDAYS(P902,R902,JoursFeries)-1)*(HFer-HOuv)+IF(NETWORKDAYS(R902,R902,JoursFeries),MEDIAN(MOD(R902,1),HFer,HOuv),HFer)-IF(NETWORKDAYS(P902,P902,JoursFeries),MEDIAN(MOD(P902,1),HFer,HOuv),HOuv))*24,4)))/HJour,4),""))</f>
        <v/>
      </c>
      <c r="AX902" s="37" t="str">
        <f aca="false">IF(AO902&lt;&gt;1,"",IFERROR(ROUND(IF(OR(P902="",S902=""),"",IF(S902&lt;P902,"",ROUND(((NETWORKDAYS(P902,S902,JoursFeries)-1)*(HFer-HOuv)+IF(NETWORKDAYS(S902,S902,JoursFeries),MEDIAN(MOD(S902,1),HFer,HOuv),HFer)-IF(NETWORKDAYS(P902,P902,JoursFeries),MEDIAN(MOD(P902,1),HFer,HOuv),HOuv))*24,4)))/HJour,4),""))</f>
        <v/>
      </c>
      <c r="AY902" s="36" t="str">
        <f aca="false">IF(OR(AO902&lt;&gt;1,AR902=""),"",INDEX(SLA_PEC,AR902))</f>
        <v/>
      </c>
      <c r="AZ902" s="35" t="str">
        <f aca="false">IF(OR(AV902="",AY902=""),"",IF(AV902&lt;=AY902,1,0))</f>
        <v/>
      </c>
      <c r="BA902" s="36" t="str">
        <f aca="false">IF(OR(AO902&lt;&gt;1,AR902=""),"",INDEX(SLA_RES,AR902))</f>
        <v/>
      </c>
      <c r="BB902" s="35" t="str">
        <f aca="false">IF(OR(AW902="",BA902=""),"",IF(AW902&lt;=BA902,1,0))</f>
        <v/>
      </c>
      <c r="BC902" s="38" t="str">
        <f aca="false">IF(OR(BA902="",P902=""),"",WORKDAY(INT(P902),BA902,JoursFeries)+MOD(P902,1))</f>
        <v/>
      </c>
      <c r="BD902" s="39" t="str">
        <f aca="false">IF(AO902&lt;&gt;1,"",IF(OR(AB902&lt;&gt;"",AD902&lt;&gt;""),4,IF(U902&lt;&gt;"",3,IF(T902&lt;&gt;"",2,1))))</f>
        <v/>
      </c>
      <c r="BE902" s="39" t="str">
        <f aca="false">IF(OR(AO902&lt;&gt;1,AR902=""),"",INDEX(NIV_REQ,AR902))</f>
        <v/>
      </c>
      <c r="BF902" s="39" t="str">
        <f aca="false">IF(BE902="","",MAX(BE902,IF(OR(K902="Oui",Z902="Oui"),4,1)))</f>
        <v/>
      </c>
      <c r="BG902" s="35" t="str">
        <f aca="false">IF(OR(BF902="",BD902=""),"",IF(BD902&gt;=BF902,1,0))</f>
        <v/>
      </c>
      <c r="BH902" s="38" t="str">
        <f aca="false">IF(BE902="","",IF(BE902&lt;2,"",IF(BE902=2,IF(AND(T902="",U902=""),"",MIN(T902,U902)),IF(U902="","",U902))))</f>
        <v/>
      </c>
      <c r="BI902" s="37" t="str">
        <f aca="false">IF(BH902="","",IF(OR(O902="",BH902=""),"",IF(BH902&lt;O902,"",ROUND(((NETWORKDAYS(O902,BH902,JoursFeries)-1)*(HFer-HOuv)+IF(NETWORKDAYS(BH902,BH902,JoursFeries),MEDIAN(MOD(BH902,1),HFer,HOuv),HFer)-IF(NETWORKDAYS(O902,O902,JoursFeries),MEDIAN(MOD(O902,1),HFer,HOuv),HOuv))*24,4))))</f>
        <v/>
      </c>
      <c r="BJ902" s="35" t="str">
        <f aca="false">IF(OR(BI902="",AR902=""),"",IF(BI902&lt;=INDEX(DELAI_ESC,AR902),1,0))</f>
        <v/>
      </c>
      <c r="BK902" s="38" t="str">
        <f aca="false">IF(AO902&lt;&gt;1,"",IF(AND(T902="",U902=""),"",MIN(T902,U902)))</f>
        <v/>
      </c>
      <c r="BL902" s="37" t="str">
        <f aca="false">IF(OR(BK902="",R902=""),"",IFERROR(ROUND(IF(OR(BK902="",R902=""),"",IF(R902&lt;BK902,"",ROUND(((NETWORKDAYS(BK902,R902,JoursFeries)-1)*(HFer-HOuv)+IF(NETWORKDAYS(R902,R902,JoursFeries),MEDIAN(MOD(R902,1),HFer,HOuv),HFer)-IF(NETWORKDAYS(BK902,BK902,JoursFeries),MEDIAN(MOD(BK902,1),HFer,HOuv),HOuv))*24,4)))/HJour,4),""))</f>
        <v/>
      </c>
      <c r="BM902" s="35" t="str">
        <f aca="false">IF(OR(AO902&lt;&gt;1,R902=""),"",IF(BD902=1,1,0))</f>
        <v/>
      </c>
      <c r="BN902" s="35" t="str">
        <f aca="false">IF(AO902&lt;&gt;1,"",IF(W902="Oui",1,0))</f>
        <v/>
      </c>
      <c r="BO902" s="35" t="str">
        <f aca="false">IF(AO902&lt;&gt;1,"",IF(X902&lt;&gt;"",1,0))</f>
        <v/>
      </c>
      <c r="BP902" s="35" t="str">
        <f aca="false">IF(AO902&lt;&gt;1,"",IF(Y902="Oui",1,0))</f>
        <v/>
      </c>
      <c r="BQ902" s="35" t="str">
        <f aca="true">IF(OR(AO902&lt;&gt;1,Z902&lt;&gt;"Oui"),"",IF(AB902="",IF(AND(AA902&lt;&gt;"",NOW()&gt;AA902),0,""),IF(AA902="","",IF(AB902&lt;=AA902,1,0))))</f>
        <v/>
      </c>
      <c r="BR902" s="38" t="str">
        <f aca="false">IF(OR(AO902&lt;&gt;1,K902&lt;&gt;"Oui",O902=""),"",IF(AC902="",O902+DORA_H_DET/24,IF(AC902-O902&lt;=DORA_H_DET/24,MIN(AC902+DORA_H_CLA/24,O902+DORA_H_DET/24),AC902+DORA_H_CLA/24)))</f>
        <v/>
      </c>
      <c r="BS902" s="35" t="str">
        <f aca="true">IF(BR902="","",IF(AD902="",IF(NOW()&gt;BR902,0,""),IF(AD902&lt;=BR902,1,0)))</f>
        <v/>
      </c>
      <c r="BT902" s="35" t="str">
        <f aca="true">IF(OR(BR902="",AD902=""),"",IF(AE902="",IF(NOW()&gt;AD902+DORA_H_INT/24,0,""),IF(AE902&lt;=AD902+DORA_H_INT/24,1,0)))</f>
        <v/>
      </c>
      <c r="BU902" s="35" t="str">
        <f aca="true">IF(OR(BR902="",AE902=""),"",IF(AF902="",IF(NOW()&gt;EDATE(AE902,DORA_M_FIN)+1,0,""),IF(AF902&lt;=EDATE(AE902,DORA_M_FIN),1,0)))</f>
        <v/>
      </c>
      <c r="BV902" s="35" t="str">
        <f aca="false">IF(BR902="","",IF(COUNT(BS902:BU902)=0,"",MIN(BS902:BU902)))</f>
        <v/>
      </c>
      <c r="BW902" s="40" t="str">
        <f aca="false">IF(AQ902&lt;&gt;1,"",IF(AND(AG902="",AH902=""),"",N(AG902)-N(AH902)))</f>
        <v/>
      </c>
      <c r="BX902" s="35" t="str">
        <f aca="true">IF(OR(AQ902&lt;&gt;1,AI902&lt;&gt;"Oui",AJ902=""),"",IF(AK902="",IF(NOW()&gt;AJ902+1,0,""),IF(AK902&lt;=AJ902,1,0)))</f>
        <v/>
      </c>
    </row>
    <row r="903" customFormat="false" ht="15" hidden="false" customHeight="false" outlineLevel="0" collapsed="false">
      <c r="B903" s="29"/>
      <c r="C903" s="29"/>
      <c r="D903" s="29"/>
      <c r="E903" s="29"/>
      <c r="F903" s="29"/>
      <c r="G903" s="29"/>
      <c r="H903" s="29"/>
      <c r="I903" s="29"/>
      <c r="J903" s="29"/>
      <c r="K903" s="29"/>
      <c r="L903" s="29"/>
      <c r="M903" s="29"/>
      <c r="N903" s="30"/>
      <c r="O903" s="30"/>
      <c r="P903" s="30"/>
      <c r="Q903" s="30"/>
      <c r="R903" s="30"/>
      <c r="S903" s="30"/>
      <c r="T903" s="30"/>
      <c r="U903" s="30"/>
      <c r="V903" s="31"/>
      <c r="W903" s="29"/>
      <c r="X903" s="29"/>
      <c r="Y903" s="29"/>
      <c r="Z903" s="29"/>
      <c r="AA903" s="30"/>
      <c r="AB903" s="30"/>
      <c r="AC903" s="30"/>
      <c r="AD903" s="30"/>
      <c r="AE903" s="30"/>
      <c r="AF903" s="32"/>
      <c r="AG903" s="33"/>
      <c r="AH903" s="33"/>
      <c r="AI903" s="29"/>
      <c r="AJ903" s="32"/>
      <c r="AK903" s="32"/>
      <c r="AL903" s="29"/>
      <c r="AN903" s="34" t="str">
        <f aca="false">IF($B903="","",IF(OR(C903="",D903="",E903="",G903="",I903="",J903="",L903="",O903="",P903=""),"Champ obligatoire manquant",IF(OR(AND(N903&lt;&gt;"",N903&gt;O903),O903&gt;P903,AND(Q903&lt;&gt;"",Q903&lt;P903),AND(R903&lt;&gt;"",R903&lt;P903),AND(S903&lt;&gt;"",S903&lt;R903),AND(S903&lt;&gt;"",R903=""),AND(T903&lt;&gt;"",T903&lt;O903),AND(U903&lt;&gt;"",U903&lt;O903)),"Chronologie incohérente",IF(AND(OR(L903="Résolu",L903="Clos"),R903=""),"Date de résolution manquante",IF(AND(L903="Clos",S903=""),"Date de clôture manquante",IF(AND(K903="Oui",AC903=""),"Classification DORA manquante","OK"))))))</f>
        <v/>
      </c>
      <c r="AO903" s="35" t="str">
        <f aca="false">IF($B903="","",IF(AND(C903="Incident",L903&lt;&gt;"Annulé"),1,0))</f>
        <v/>
      </c>
      <c r="AP903" s="35" t="str">
        <f aca="false">IF($B903="","",IF(AND(C903="Quasi-incident",L903&lt;&gt;"Annulé"),1,0))</f>
        <v/>
      </c>
      <c r="AQ903" s="35" t="str">
        <f aca="false">IF($B903="","",AO903+AP903)</f>
        <v/>
      </c>
      <c r="AR903" s="36" t="str">
        <f aca="false">IF(OR($B903="",J903=""),"",IFERROR(VALUE(LEFT(J903,1)),""))</f>
        <v/>
      </c>
      <c r="AS903" s="35" t="str">
        <f aca="false">IF(OR(AO903&lt;&gt;1,G903=""),"",IFERROR(IF(INDEX(L_SrcInterne,MATCH(G903,L_Sources,0))="Oui",1,0),""))</f>
        <v/>
      </c>
      <c r="AT903" s="37" t="str">
        <f aca="false">IF(AO903&lt;&gt;1,"",IFERROR(ROUND(IF(OR(N903="",O903=""),"",IF(O903&lt;N903,"",ROUND(((NETWORKDAYS(N903,O903,JoursFeries)-1)*(HFer-HOuv)+IF(NETWORKDAYS(O903,O903,JoursFeries),MEDIAN(MOD(O903,1),HFer,HOuv),HFer)-IF(NETWORKDAYS(N903,N903,JoursFeries),MEDIAN(MOD(N903,1),HFer,HOuv),HOuv))*24,4)))/HJour,4),""))</f>
        <v/>
      </c>
      <c r="AU903" s="37" t="str">
        <f aca="false">IF(AO903&lt;&gt;1,"",IF(OR(O903="",P903=""),"",IF(P903&lt;O903,"",ROUND(((NETWORKDAYS(O903,P903,JoursFeries)-1)*(HFer-HOuv)+IF(NETWORKDAYS(P903,P903,JoursFeries),MEDIAN(MOD(P903,1),HFer,HOuv),HFer)-IF(NETWORKDAYS(O903,O903,JoursFeries),MEDIAN(MOD(O903,1),HFer,HOuv),HOuv))*24,4))))</f>
        <v/>
      </c>
      <c r="AV903" s="37" t="str">
        <f aca="false">IF(AO903&lt;&gt;1,"",IF(OR(P903="",Q903=""),"",IF(Q903&lt;P903,"",ROUND(((NETWORKDAYS(P903,Q903,JoursFeries)-1)*(HFer-HOuv)+IF(NETWORKDAYS(Q903,Q903,JoursFeries),MEDIAN(MOD(Q903,1),HFer,HOuv),HFer)-IF(NETWORKDAYS(P903,P903,JoursFeries),MEDIAN(MOD(P903,1),HFer,HOuv),HOuv))*24,4))))</f>
        <v/>
      </c>
      <c r="AW903" s="37" t="str">
        <f aca="false">IF(AO903&lt;&gt;1,"",IFERROR(ROUND(IF(OR(P903="",R903=""),"",IF(R903&lt;P903,"",ROUND(((NETWORKDAYS(P903,R903,JoursFeries)-1)*(HFer-HOuv)+IF(NETWORKDAYS(R903,R903,JoursFeries),MEDIAN(MOD(R903,1),HFer,HOuv),HFer)-IF(NETWORKDAYS(P903,P903,JoursFeries),MEDIAN(MOD(P903,1),HFer,HOuv),HOuv))*24,4)))/HJour,4),""))</f>
        <v/>
      </c>
      <c r="AX903" s="37" t="str">
        <f aca="false">IF(AO903&lt;&gt;1,"",IFERROR(ROUND(IF(OR(P903="",S903=""),"",IF(S903&lt;P903,"",ROUND(((NETWORKDAYS(P903,S903,JoursFeries)-1)*(HFer-HOuv)+IF(NETWORKDAYS(S903,S903,JoursFeries),MEDIAN(MOD(S903,1),HFer,HOuv),HFer)-IF(NETWORKDAYS(P903,P903,JoursFeries),MEDIAN(MOD(P903,1),HFer,HOuv),HOuv))*24,4)))/HJour,4),""))</f>
        <v/>
      </c>
      <c r="AY903" s="36" t="str">
        <f aca="false">IF(OR(AO903&lt;&gt;1,AR903=""),"",INDEX(SLA_PEC,AR903))</f>
        <v/>
      </c>
      <c r="AZ903" s="35" t="str">
        <f aca="false">IF(OR(AV903="",AY903=""),"",IF(AV903&lt;=AY903,1,0))</f>
        <v/>
      </c>
      <c r="BA903" s="36" t="str">
        <f aca="false">IF(OR(AO903&lt;&gt;1,AR903=""),"",INDEX(SLA_RES,AR903))</f>
        <v/>
      </c>
      <c r="BB903" s="35" t="str">
        <f aca="false">IF(OR(AW903="",BA903=""),"",IF(AW903&lt;=BA903,1,0))</f>
        <v/>
      </c>
      <c r="BC903" s="38" t="str">
        <f aca="false">IF(OR(BA903="",P903=""),"",WORKDAY(INT(P903),BA903,JoursFeries)+MOD(P903,1))</f>
        <v/>
      </c>
      <c r="BD903" s="39" t="str">
        <f aca="false">IF(AO903&lt;&gt;1,"",IF(OR(AB903&lt;&gt;"",AD903&lt;&gt;""),4,IF(U903&lt;&gt;"",3,IF(T903&lt;&gt;"",2,1))))</f>
        <v/>
      </c>
      <c r="BE903" s="39" t="str">
        <f aca="false">IF(OR(AO903&lt;&gt;1,AR903=""),"",INDEX(NIV_REQ,AR903))</f>
        <v/>
      </c>
      <c r="BF903" s="39" t="str">
        <f aca="false">IF(BE903="","",MAX(BE903,IF(OR(K903="Oui",Z903="Oui"),4,1)))</f>
        <v/>
      </c>
      <c r="BG903" s="35" t="str">
        <f aca="false">IF(OR(BF903="",BD903=""),"",IF(BD903&gt;=BF903,1,0))</f>
        <v/>
      </c>
      <c r="BH903" s="38" t="str">
        <f aca="false">IF(BE903="","",IF(BE903&lt;2,"",IF(BE903=2,IF(AND(T903="",U903=""),"",MIN(T903,U903)),IF(U903="","",U903))))</f>
        <v/>
      </c>
      <c r="BI903" s="37" t="str">
        <f aca="false">IF(BH903="","",IF(OR(O903="",BH903=""),"",IF(BH903&lt;O903,"",ROUND(((NETWORKDAYS(O903,BH903,JoursFeries)-1)*(HFer-HOuv)+IF(NETWORKDAYS(BH903,BH903,JoursFeries),MEDIAN(MOD(BH903,1),HFer,HOuv),HFer)-IF(NETWORKDAYS(O903,O903,JoursFeries),MEDIAN(MOD(O903,1),HFer,HOuv),HOuv))*24,4))))</f>
        <v/>
      </c>
      <c r="BJ903" s="35" t="str">
        <f aca="false">IF(OR(BI903="",AR903=""),"",IF(BI903&lt;=INDEX(DELAI_ESC,AR903),1,0))</f>
        <v/>
      </c>
      <c r="BK903" s="38" t="str">
        <f aca="false">IF(AO903&lt;&gt;1,"",IF(AND(T903="",U903=""),"",MIN(T903,U903)))</f>
        <v/>
      </c>
      <c r="BL903" s="37" t="str">
        <f aca="false">IF(OR(BK903="",R903=""),"",IFERROR(ROUND(IF(OR(BK903="",R903=""),"",IF(R903&lt;BK903,"",ROUND(((NETWORKDAYS(BK903,R903,JoursFeries)-1)*(HFer-HOuv)+IF(NETWORKDAYS(R903,R903,JoursFeries),MEDIAN(MOD(R903,1),HFer,HOuv),HFer)-IF(NETWORKDAYS(BK903,BK903,JoursFeries),MEDIAN(MOD(BK903,1),HFer,HOuv),HOuv))*24,4)))/HJour,4),""))</f>
        <v/>
      </c>
      <c r="BM903" s="35" t="str">
        <f aca="false">IF(OR(AO903&lt;&gt;1,R903=""),"",IF(BD903=1,1,0))</f>
        <v/>
      </c>
      <c r="BN903" s="35" t="str">
        <f aca="false">IF(AO903&lt;&gt;1,"",IF(W903="Oui",1,0))</f>
        <v/>
      </c>
      <c r="BO903" s="35" t="str">
        <f aca="false">IF(AO903&lt;&gt;1,"",IF(X903&lt;&gt;"",1,0))</f>
        <v/>
      </c>
      <c r="BP903" s="35" t="str">
        <f aca="false">IF(AO903&lt;&gt;1,"",IF(Y903="Oui",1,0))</f>
        <v/>
      </c>
      <c r="BQ903" s="35" t="str">
        <f aca="true">IF(OR(AO903&lt;&gt;1,Z903&lt;&gt;"Oui"),"",IF(AB903="",IF(AND(AA903&lt;&gt;"",NOW()&gt;AA903),0,""),IF(AA903="","",IF(AB903&lt;=AA903,1,0))))</f>
        <v/>
      </c>
      <c r="BR903" s="38" t="str">
        <f aca="false">IF(OR(AO903&lt;&gt;1,K903&lt;&gt;"Oui",O903=""),"",IF(AC903="",O903+DORA_H_DET/24,IF(AC903-O903&lt;=DORA_H_DET/24,MIN(AC903+DORA_H_CLA/24,O903+DORA_H_DET/24),AC903+DORA_H_CLA/24)))</f>
        <v/>
      </c>
      <c r="BS903" s="35" t="str">
        <f aca="true">IF(BR903="","",IF(AD903="",IF(NOW()&gt;BR903,0,""),IF(AD903&lt;=BR903,1,0)))</f>
        <v/>
      </c>
      <c r="BT903" s="35" t="str">
        <f aca="true">IF(OR(BR903="",AD903=""),"",IF(AE903="",IF(NOW()&gt;AD903+DORA_H_INT/24,0,""),IF(AE903&lt;=AD903+DORA_H_INT/24,1,0)))</f>
        <v/>
      </c>
      <c r="BU903" s="35" t="str">
        <f aca="true">IF(OR(BR903="",AE903=""),"",IF(AF903="",IF(NOW()&gt;EDATE(AE903,DORA_M_FIN)+1,0,""),IF(AF903&lt;=EDATE(AE903,DORA_M_FIN),1,0)))</f>
        <v/>
      </c>
      <c r="BV903" s="35" t="str">
        <f aca="false">IF(BR903="","",IF(COUNT(BS903:BU903)=0,"",MIN(BS903:BU903)))</f>
        <v/>
      </c>
      <c r="BW903" s="40" t="str">
        <f aca="false">IF(AQ903&lt;&gt;1,"",IF(AND(AG903="",AH903=""),"",N(AG903)-N(AH903)))</f>
        <v/>
      </c>
      <c r="BX903" s="35" t="str">
        <f aca="true">IF(OR(AQ903&lt;&gt;1,AI903&lt;&gt;"Oui",AJ903=""),"",IF(AK903="",IF(NOW()&gt;AJ903+1,0,""),IF(AK903&lt;=AJ903,1,0)))</f>
        <v/>
      </c>
    </row>
    <row r="904" customFormat="false" ht="15" hidden="false" customHeight="false" outlineLevel="0" collapsed="false">
      <c r="B904" s="29"/>
      <c r="C904" s="29"/>
      <c r="D904" s="29"/>
      <c r="E904" s="29"/>
      <c r="F904" s="29"/>
      <c r="G904" s="29"/>
      <c r="H904" s="29"/>
      <c r="I904" s="29"/>
      <c r="J904" s="29"/>
      <c r="K904" s="29"/>
      <c r="L904" s="29"/>
      <c r="M904" s="29"/>
      <c r="N904" s="30"/>
      <c r="O904" s="30"/>
      <c r="P904" s="30"/>
      <c r="Q904" s="30"/>
      <c r="R904" s="30"/>
      <c r="S904" s="30"/>
      <c r="T904" s="30"/>
      <c r="U904" s="30"/>
      <c r="V904" s="31"/>
      <c r="W904" s="29"/>
      <c r="X904" s="29"/>
      <c r="Y904" s="29"/>
      <c r="Z904" s="29"/>
      <c r="AA904" s="30"/>
      <c r="AB904" s="30"/>
      <c r="AC904" s="30"/>
      <c r="AD904" s="30"/>
      <c r="AE904" s="30"/>
      <c r="AF904" s="32"/>
      <c r="AG904" s="33"/>
      <c r="AH904" s="33"/>
      <c r="AI904" s="29"/>
      <c r="AJ904" s="32"/>
      <c r="AK904" s="32"/>
      <c r="AL904" s="29"/>
      <c r="AN904" s="34" t="str">
        <f aca="false">IF($B904="","",IF(OR(C904="",D904="",E904="",G904="",I904="",J904="",L904="",O904="",P904=""),"Champ obligatoire manquant",IF(OR(AND(N904&lt;&gt;"",N904&gt;O904),O904&gt;P904,AND(Q904&lt;&gt;"",Q904&lt;P904),AND(R904&lt;&gt;"",R904&lt;P904),AND(S904&lt;&gt;"",S904&lt;R904),AND(S904&lt;&gt;"",R904=""),AND(T904&lt;&gt;"",T904&lt;O904),AND(U904&lt;&gt;"",U904&lt;O904)),"Chronologie incohérente",IF(AND(OR(L904="Résolu",L904="Clos"),R904=""),"Date de résolution manquante",IF(AND(L904="Clos",S904=""),"Date de clôture manquante",IF(AND(K904="Oui",AC904=""),"Classification DORA manquante","OK"))))))</f>
        <v/>
      </c>
      <c r="AO904" s="35" t="str">
        <f aca="false">IF($B904="","",IF(AND(C904="Incident",L904&lt;&gt;"Annulé"),1,0))</f>
        <v/>
      </c>
      <c r="AP904" s="35" t="str">
        <f aca="false">IF($B904="","",IF(AND(C904="Quasi-incident",L904&lt;&gt;"Annulé"),1,0))</f>
        <v/>
      </c>
      <c r="AQ904" s="35" t="str">
        <f aca="false">IF($B904="","",AO904+AP904)</f>
        <v/>
      </c>
      <c r="AR904" s="36" t="str">
        <f aca="false">IF(OR($B904="",J904=""),"",IFERROR(VALUE(LEFT(J904,1)),""))</f>
        <v/>
      </c>
      <c r="AS904" s="35" t="str">
        <f aca="false">IF(OR(AO904&lt;&gt;1,G904=""),"",IFERROR(IF(INDEX(L_SrcInterne,MATCH(G904,L_Sources,0))="Oui",1,0),""))</f>
        <v/>
      </c>
      <c r="AT904" s="37" t="str">
        <f aca="false">IF(AO904&lt;&gt;1,"",IFERROR(ROUND(IF(OR(N904="",O904=""),"",IF(O904&lt;N904,"",ROUND(((NETWORKDAYS(N904,O904,JoursFeries)-1)*(HFer-HOuv)+IF(NETWORKDAYS(O904,O904,JoursFeries),MEDIAN(MOD(O904,1),HFer,HOuv),HFer)-IF(NETWORKDAYS(N904,N904,JoursFeries),MEDIAN(MOD(N904,1),HFer,HOuv),HOuv))*24,4)))/HJour,4),""))</f>
        <v/>
      </c>
      <c r="AU904" s="37" t="str">
        <f aca="false">IF(AO904&lt;&gt;1,"",IF(OR(O904="",P904=""),"",IF(P904&lt;O904,"",ROUND(((NETWORKDAYS(O904,P904,JoursFeries)-1)*(HFer-HOuv)+IF(NETWORKDAYS(P904,P904,JoursFeries),MEDIAN(MOD(P904,1),HFer,HOuv),HFer)-IF(NETWORKDAYS(O904,O904,JoursFeries),MEDIAN(MOD(O904,1),HFer,HOuv),HOuv))*24,4))))</f>
        <v/>
      </c>
      <c r="AV904" s="37" t="str">
        <f aca="false">IF(AO904&lt;&gt;1,"",IF(OR(P904="",Q904=""),"",IF(Q904&lt;P904,"",ROUND(((NETWORKDAYS(P904,Q904,JoursFeries)-1)*(HFer-HOuv)+IF(NETWORKDAYS(Q904,Q904,JoursFeries),MEDIAN(MOD(Q904,1),HFer,HOuv),HFer)-IF(NETWORKDAYS(P904,P904,JoursFeries),MEDIAN(MOD(P904,1),HFer,HOuv),HOuv))*24,4))))</f>
        <v/>
      </c>
      <c r="AW904" s="37" t="str">
        <f aca="false">IF(AO904&lt;&gt;1,"",IFERROR(ROUND(IF(OR(P904="",R904=""),"",IF(R904&lt;P904,"",ROUND(((NETWORKDAYS(P904,R904,JoursFeries)-1)*(HFer-HOuv)+IF(NETWORKDAYS(R904,R904,JoursFeries),MEDIAN(MOD(R904,1),HFer,HOuv),HFer)-IF(NETWORKDAYS(P904,P904,JoursFeries),MEDIAN(MOD(P904,1),HFer,HOuv),HOuv))*24,4)))/HJour,4),""))</f>
        <v/>
      </c>
      <c r="AX904" s="37" t="str">
        <f aca="false">IF(AO904&lt;&gt;1,"",IFERROR(ROUND(IF(OR(P904="",S904=""),"",IF(S904&lt;P904,"",ROUND(((NETWORKDAYS(P904,S904,JoursFeries)-1)*(HFer-HOuv)+IF(NETWORKDAYS(S904,S904,JoursFeries),MEDIAN(MOD(S904,1),HFer,HOuv),HFer)-IF(NETWORKDAYS(P904,P904,JoursFeries),MEDIAN(MOD(P904,1),HFer,HOuv),HOuv))*24,4)))/HJour,4),""))</f>
        <v/>
      </c>
      <c r="AY904" s="36" t="str">
        <f aca="false">IF(OR(AO904&lt;&gt;1,AR904=""),"",INDEX(SLA_PEC,AR904))</f>
        <v/>
      </c>
      <c r="AZ904" s="35" t="str">
        <f aca="false">IF(OR(AV904="",AY904=""),"",IF(AV904&lt;=AY904,1,0))</f>
        <v/>
      </c>
      <c r="BA904" s="36" t="str">
        <f aca="false">IF(OR(AO904&lt;&gt;1,AR904=""),"",INDEX(SLA_RES,AR904))</f>
        <v/>
      </c>
      <c r="BB904" s="35" t="str">
        <f aca="false">IF(OR(AW904="",BA904=""),"",IF(AW904&lt;=BA904,1,0))</f>
        <v/>
      </c>
      <c r="BC904" s="38" t="str">
        <f aca="false">IF(OR(BA904="",P904=""),"",WORKDAY(INT(P904),BA904,JoursFeries)+MOD(P904,1))</f>
        <v/>
      </c>
      <c r="BD904" s="39" t="str">
        <f aca="false">IF(AO904&lt;&gt;1,"",IF(OR(AB904&lt;&gt;"",AD904&lt;&gt;""),4,IF(U904&lt;&gt;"",3,IF(T904&lt;&gt;"",2,1))))</f>
        <v/>
      </c>
      <c r="BE904" s="39" t="str">
        <f aca="false">IF(OR(AO904&lt;&gt;1,AR904=""),"",INDEX(NIV_REQ,AR904))</f>
        <v/>
      </c>
      <c r="BF904" s="39" t="str">
        <f aca="false">IF(BE904="","",MAX(BE904,IF(OR(K904="Oui",Z904="Oui"),4,1)))</f>
        <v/>
      </c>
      <c r="BG904" s="35" t="str">
        <f aca="false">IF(OR(BF904="",BD904=""),"",IF(BD904&gt;=BF904,1,0))</f>
        <v/>
      </c>
      <c r="BH904" s="38" t="str">
        <f aca="false">IF(BE904="","",IF(BE904&lt;2,"",IF(BE904=2,IF(AND(T904="",U904=""),"",MIN(T904,U904)),IF(U904="","",U904))))</f>
        <v/>
      </c>
      <c r="BI904" s="37" t="str">
        <f aca="false">IF(BH904="","",IF(OR(O904="",BH904=""),"",IF(BH904&lt;O904,"",ROUND(((NETWORKDAYS(O904,BH904,JoursFeries)-1)*(HFer-HOuv)+IF(NETWORKDAYS(BH904,BH904,JoursFeries),MEDIAN(MOD(BH904,1),HFer,HOuv),HFer)-IF(NETWORKDAYS(O904,O904,JoursFeries),MEDIAN(MOD(O904,1),HFer,HOuv),HOuv))*24,4))))</f>
        <v/>
      </c>
      <c r="BJ904" s="35" t="str">
        <f aca="false">IF(OR(BI904="",AR904=""),"",IF(BI904&lt;=INDEX(DELAI_ESC,AR904),1,0))</f>
        <v/>
      </c>
      <c r="BK904" s="38" t="str">
        <f aca="false">IF(AO904&lt;&gt;1,"",IF(AND(T904="",U904=""),"",MIN(T904,U904)))</f>
        <v/>
      </c>
      <c r="BL904" s="37" t="str">
        <f aca="false">IF(OR(BK904="",R904=""),"",IFERROR(ROUND(IF(OR(BK904="",R904=""),"",IF(R904&lt;BK904,"",ROUND(((NETWORKDAYS(BK904,R904,JoursFeries)-1)*(HFer-HOuv)+IF(NETWORKDAYS(R904,R904,JoursFeries),MEDIAN(MOD(R904,1),HFer,HOuv),HFer)-IF(NETWORKDAYS(BK904,BK904,JoursFeries),MEDIAN(MOD(BK904,1),HFer,HOuv),HOuv))*24,4)))/HJour,4),""))</f>
        <v/>
      </c>
      <c r="BM904" s="35" t="str">
        <f aca="false">IF(OR(AO904&lt;&gt;1,R904=""),"",IF(BD904=1,1,0))</f>
        <v/>
      </c>
      <c r="BN904" s="35" t="str">
        <f aca="false">IF(AO904&lt;&gt;1,"",IF(W904="Oui",1,0))</f>
        <v/>
      </c>
      <c r="BO904" s="35" t="str">
        <f aca="false">IF(AO904&lt;&gt;1,"",IF(X904&lt;&gt;"",1,0))</f>
        <v/>
      </c>
      <c r="BP904" s="35" t="str">
        <f aca="false">IF(AO904&lt;&gt;1,"",IF(Y904="Oui",1,0))</f>
        <v/>
      </c>
      <c r="BQ904" s="35" t="str">
        <f aca="true">IF(OR(AO904&lt;&gt;1,Z904&lt;&gt;"Oui"),"",IF(AB904="",IF(AND(AA904&lt;&gt;"",NOW()&gt;AA904),0,""),IF(AA904="","",IF(AB904&lt;=AA904,1,0))))</f>
        <v/>
      </c>
      <c r="BR904" s="38" t="str">
        <f aca="false">IF(OR(AO904&lt;&gt;1,K904&lt;&gt;"Oui",O904=""),"",IF(AC904="",O904+DORA_H_DET/24,IF(AC904-O904&lt;=DORA_H_DET/24,MIN(AC904+DORA_H_CLA/24,O904+DORA_H_DET/24),AC904+DORA_H_CLA/24)))</f>
        <v/>
      </c>
      <c r="BS904" s="35" t="str">
        <f aca="true">IF(BR904="","",IF(AD904="",IF(NOW()&gt;BR904,0,""),IF(AD904&lt;=BR904,1,0)))</f>
        <v/>
      </c>
      <c r="BT904" s="35" t="str">
        <f aca="true">IF(OR(BR904="",AD904=""),"",IF(AE904="",IF(NOW()&gt;AD904+DORA_H_INT/24,0,""),IF(AE904&lt;=AD904+DORA_H_INT/24,1,0)))</f>
        <v/>
      </c>
      <c r="BU904" s="35" t="str">
        <f aca="true">IF(OR(BR904="",AE904=""),"",IF(AF904="",IF(NOW()&gt;EDATE(AE904,DORA_M_FIN)+1,0,""),IF(AF904&lt;=EDATE(AE904,DORA_M_FIN),1,0)))</f>
        <v/>
      </c>
      <c r="BV904" s="35" t="str">
        <f aca="false">IF(BR904="","",IF(COUNT(BS904:BU904)=0,"",MIN(BS904:BU904)))</f>
        <v/>
      </c>
      <c r="BW904" s="40" t="str">
        <f aca="false">IF(AQ904&lt;&gt;1,"",IF(AND(AG904="",AH904=""),"",N(AG904)-N(AH904)))</f>
        <v/>
      </c>
      <c r="BX904" s="35" t="str">
        <f aca="true">IF(OR(AQ904&lt;&gt;1,AI904&lt;&gt;"Oui",AJ904=""),"",IF(AK904="",IF(NOW()&gt;AJ904+1,0,""),IF(AK904&lt;=AJ904,1,0)))</f>
        <v/>
      </c>
    </row>
    <row r="905" customFormat="false" ht="15" hidden="false" customHeight="false" outlineLevel="0" collapsed="false">
      <c r="B905" s="29"/>
      <c r="C905" s="29"/>
      <c r="D905" s="29"/>
      <c r="E905" s="29"/>
      <c r="F905" s="29"/>
      <c r="G905" s="29"/>
      <c r="H905" s="29"/>
      <c r="I905" s="29"/>
      <c r="J905" s="29"/>
      <c r="K905" s="29"/>
      <c r="L905" s="29"/>
      <c r="M905" s="29"/>
      <c r="N905" s="30"/>
      <c r="O905" s="30"/>
      <c r="P905" s="30"/>
      <c r="Q905" s="30"/>
      <c r="R905" s="30"/>
      <c r="S905" s="30"/>
      <c r="T905" s="30"/>
      <c r="U905" s="30"/>
      <c r="V905" s="31"/>
      <c r="W905" s="29"/>
      <c r="X905" s="29"/>
      <c r="Y905" s="29"/>
      <c r="Z905" s="29"/>
      <c r="AA905" s="30"/>
      <c r="AB905" s="30"/>
      <c r="AC905" s="30"/>
      <c r="AD905" s="30"/>
      <c r="AE905" s="30"/>
      <c r="AF905" s="32"/>
      <c r="AG905" s="33"/>
      <c r="AH905" s="33"/>
      <c r="AI905" s="29"/>
      <c r="AJ905" s="32"/>
      <c r="AK905" s="32"/>
      <c r="AL905" s="29"/>
      <c r="AN905" s="34" t="str">
        <f aca="false">IF($B905="","",IF(OR(C905="",D905="",E905="",G905="",I905="",J905="",L905="",O905="",P905=""),"Champ obligatoire manquant",IF(OR(AND(N905&lt;&gt;"",N905&gt;O905),O905&gt;P905,AND(Q905&lt;&gt;"",Q905&lt;P905),AND(R905&lt;&gt;"",R905&lt;P905),AND(S905&lt;&gt;"",S905&lt;R905),AND(S905&lt;&gt;"",R905=""),AND(T905&lt;&gt;"",T905&lt;O905),AND(U905&lt;&gt;"",U905&lt;O905)),"Chronologie incohérente",IF(AND(OR(L905="Résolu",L905="Clos"),R905=""),"Date de résolution manquante",IF(AND(L905="Clos",S905=""),"Date de clôture manquante",IF(AND(K905="Oui",AC905=""),"Classification DORA manquante","OK"))))))</f>
        <v/>
      </c>
      <c r="AO905" s="35" t="str">
        <f aca="false">IF($B905="","",IF(AND(C905="Incident",L905&lt;&gt;"Annulé"),1,0))</f>
        <v/>
      </c>
      <c r="AP905" s="35" t="str">
        <f aca="false">IF($B905="","",IF(AND(C905="Quasi-incident",L905&lt;&gt;"Annulé"),1,0))</f>
        <v/>
      </c>
      <c r="AQ905" s="35" t="str">
        <f aca="false">IF($B905="","",AO905+AP905)</f>
        <v/>
      </c>
      <c r="AR905" s="36" t="str">
        <f aca="false">IF(OR($B905="",J905=""),"",IFERROR(VALUE(LEFT(J905,1)),""))</f>
        <v/>
      </c>
      <c r="AS905" s="35" t="str">
        <f aca="false">IF(OR(AO905&lt;&gt;1,G905=""),"",IFERROR(IF(INDEX(L_SrcInterne,MATCH(G905,L_Sources,0))="Oui",1,0),""))</f>
        <v/>
      </c>
      <c r="AT905" s="37" t="str">
        <f aca="false">IF(AO905&lt;&gt;1,"",IFERROR(ROUND(IF(OR(N905="",O905=""),"",IF(O905&lt;N905,"",ROUND(((NETWORKDAYS(N905,O905,JoursFeries)-1)*(HFer-HOuv)+IF(NETWORKDAYS(O905,O905,JoursFeries),MEDIAN(MOD(O905,1),HFer,HOuv),HFer)-IF(NETWORKDAYS(N905,N905,JoursFeries),MEDIAN(MOD(N905,1),HFer,HOuv),HOuv))*24,4)))/HJour,4),""))</f>
        <v/>
      </c>
      <c r="AU905" s="37" t="str">
        <f aca="false">IF(AO905&lt;&gt;1,"",IF(OR(O905="",P905=""),"",IF(P905&lt;O905,"",ROUND(((NETWORKDAYS(O905,P905,JoursFeries)-1)*(HFer-HOuv)+IF(NETWORKDAYS(P905,P905,JoursFeries),MEDIAN(MOD(P905,1),HFer,HOuv),HFer)-IF(NETWORKDAYS(O905,O905,JoursFeries),MEDIAN(MOD(O905,1),HFer,HOuv),HOuv))*24,4))))</f>
        <v/>
      </c>
      <c r="AV905" s="37" t="str">
        <f aca="false">IF(AO905&lt;&gt;1,"",IF(OR(P905="",Q905=""),"",IF(Q905&lt;P905,"",ROUND(((NETWORKDAYS(P905,Q905,JoursFeries)-1)*(HFer-HOuv)+IF(NETWORKDAYS(Q905,Q905,JoursFeries),MEDIAN(MOD(Q905,1),HFer,HOuv),HFer)-IF(NETWORKDAYS(P905,P905,JoursFeries),MEDIAN(MOD(P905,1),HFer,HOuv),HOuv))*24,4))))</f>
        <v/>
      </c>
      <c r="AW905" s="37" t="str">
        <f aca="false">IF(AO905&lt;&gt;1,"",IFERROR(ROUND(IF(OR(P905="",R905=""),"",IF(R905&lt;P905,"",ROUND(((NETWORKDAYS(P905,R905,JoursFeries)-1)*(HFer-HOuv)+IF(NETWORKDAYS(R905,R905,JoursFeries),MEDIAN(MOD(R905,1),HFer,HOuv),HFer)-IF(NETWORKDAYS(P905,P905,JoursFeries),MEDIAN(MOD(P905,1),HFer,HOuv),HOuv))*24,4)))/HJour,4),""))</f>
        <v/>
      </c>
      <c r="AX905" s="37" t="str">
        <f aca="false">IF(AO905&lt;&gt;1,"",IFERROR(ROUND(IF(OR(P905="",S905=""),"",IF(S905&lt;P905,"",ROUND(((NETWORKDAYS(P905,S905,JoursFeries)-1)*(HFer-HOuv)+IF(NETWORKDAYS(S905,S905,JoursFeries),MEDIAN(MOD(S905,1),HFer,HOuv),HFer)-IF(NETWORKDAYS(P905,P905,JoursFeries),MEDIAN(MOD(P905,1),HFer,HOuv),HOuv))*24,4)))/HJour,4),""))</f>
        <v/>
      </c>
      <c r="AY905" s="36" t="str">
        <f aca="false">IF(OR(AO905&lt;&gt;1,AR905=""),"",INDEX(SLA_PEC,AR905))</f>
        <v/>
      </c>
      <c r="AZ905" s="35" t="str">
        <f aca="false">IF(OR(AV905="",AY905=""),"",IF(AV905&lt;=AY905,1,0))</f>
        <v/>
      </c>
      <c r="BA905" s="36" t="str">
        <f aca="false">IF(OR(AO905&lt;&gt;1,AR905=""),"",INDEX(SLA_RES,AR905))</f>
        <v/>
      </c>
      <c r="BB905" s="35" t="str">
        <f aca="false">IF(OR(AW905="",BA905=""),"",IF(AW905&lt;=BA905,1,0))</f>
        <v/>
      </c>
      <c r="BC905" s="38" t="str">
        <f aca="false">IF(OR(BA905="",P905=""),"",WORKDAY(INT(P905),BA905,JoursFeries)+MOD(P905,1))</f>
        <v/>
      </c>
      <c r="BD905" s="39" t="str">
        <f aca="false">IF(AO905&lt;&gt;1,"",IF(OR(AB905&lt;&gt;"",AD905&lt;&gt;""),4,IF(U905&lt;&gt;"",3,IF(T905&lt;&gt;"",2,1))))</f>
        <v/>
      </c>
      <c r="BE905" s="39" t="str">
        <f aca="false">IF(OR(AO905&lt;&gt;1,AR905=""),"",INDEX(NIV_REQ,AR905))</f>
        <v/>
      </c>
      <c r="BF905" s="39" t="str">
        <f aca="false">IF(BE905="","",MAX(BE905,IF(OR(K905="Oui",Z905="Oui"),4,1)))</f>
        <v/>
      </c>
      <c r="BG905" s="35" t="str">
        <f aca="false">IF(OR(BF905="",BD905=""),"",IF(BD905&gt;=BF905,1,0))</f>
        <v/>
      </c>
      <c r="BH905" s="38" t="str">
        <f aca="false">IF(BE905="","",IF(BE905&lt;2,"",IF(BE905=2,IF(AND(T905="",U905=""),"",MIN(T905,U905)),IF(U905="","",U905))))</f>
        <v/>
      </c>
      <c r="BI905" s="37" t="str">
        <f aca="false">IF(BH905="","",IF(OR(O905="",BH905=""),"",IF(BH905&lt;O905,"",ROUND(((NETWORKDAYS(O905,BH905,JoursFeries)-1)*(HFer-HOuv)+IF(NETWORKDAYS(BH905,BH905,JoursFeries),MEDIAN(MOD(BH905,1),HFer,HOuv),HFer)-IF(NETWORKDAYS(O905,O905,JoursFeries),MEDIAN(MOD(O905,1),HFer,HOuv),HOuv))*24,4))))</f>
        <v/>
      </c>
      <c r="BJ905" s="35" t="str">
        <f aca="false">IF(OR(BI905="",AR905=""),"",IF(BI905&lt;=INDEX(DELAI_ESC,AR905),1,0))</f>
        <v/>
      </c>
      <c r="BK905" s="38" t="str">
        <f aca="false">IF(AO905&lt;&gt;1,"",IF(AND(T905="",U905=""),"",MIN(T905,U905)))</f>
        <v/>
      </c>
      <c r="BL905" s="37" t="str">
        <f aca="false">IF(OR(BK905="",R905=""),"",IFERROR(ROUND(IF(OR(BK905="",R905=""),"",IF(R905&lt;BK905,"",ROUND(((NETWORKDAYS(BK905,R905,JoursFeries)-1)*(HFer-HOuv)+IF(NETWORKDAYS(R905,R905,JoursFeries),MEDIAN(MOD(R905,1),HFer,HOuv),HFer)-IF(NETWORKDAYS(BK905,BK905,JoursFeries),MEDIAN(MOD(BK905,1),HFer,HOuv),HOuv))*24,4)))/HJour,4),""))</f>
        <v/>
      </c>
      <c r="BM905" s="35" t="str">
        <f aca="false">IF(OR(AO905&lt;&gt;1,R905=""),"",IF(BD905=1,1,0))</f>
        <v/>
      </c>
      <c r="BN905" s="35" t="str">
        <f aca="false">IF(AO905&lt;&gt;1,"",IF(W905="Oui",1,0))</f>
        <v/>
      </c>
      <c r="BO905" s="35" t="str">
        <f aca="false">IF(AO905&lt;&gt;1,"",IF(X905&lt;&gt;"",1,0))</f>
        <v/>
      </c>
      <c r="BP905" s="35" t="str">
        <f aca="false">IF(AO905&lt;&gt;1,"",IF(Y905="Oui",1,0))</f>
        <v/>
      </c>
      <c r="BQ905" s="35" t="str">
        <f aca="true">IF(OR(AO905&lt;&gt;1,Z905&lt;&gt;"Oui"),"",IF(AB905="",IF(AND(AA905&lt;&gt;"",NOW()&gt;AA905),0,""),IF(AA905="","",IF(AB905&lt;=AA905,1,0))))</f>
        <v/>
      </c>
      <c r="BR905" s="38" t="str">
        <f aca="false">IF(OR(AO905&lt;&gt;1,K905&lt;&gt;"Oui",O905=""),"",IF(AC905="",O905+DORA_H_DET/24,IF(AC905-O905&lt;=DORA_H_DET/24,MIN(AC905+DORA_H_CLA/24,O905+DORA_H_DET/24),AC905+DORA_H_CLA/24)))</f>
        <v/>
      </c>
      <c r="BS905" s="35" t="str">
        <f aca="true">IF(BR905="","",IF(AD905="",IF(NOW()&gt;BR905,0,""),IF(AD905&lt;=BR905,1,0)))</f>
        <v/>
      </c>
      <c r="BT905" s="35" t="str">
        <f aca="true">IF(OR(BR905="",AD905=""),"",IF(AE905="",IF(NOW()&gt;AD905+DORA_H_INT/24,0,""),IF(AE905&lt;=AD905+DORA_H_INT/24,1,0)))</f>
        <v/>
      </c>
      <c r="BU905" s="35" t="str">
        <f aca="true">IF(OR(BR905="",AE905=""),"",IF(AF905="",IF(NOW()&gt;EDATE(AE905,DORA_M_FIN)+1,0,""),IF(AF905&lt;=EDATE(AE905,DORA_M_FIN),1,0)))</f>
        <v/>
      </c>
      <c r="BV905" s="35" t="str">
        <f aca="false">IF(BR905="","",IF(COUNT(BS905:BU905)=0,"",MIN(BS905:BU905)))</f>
        <v/>
      </c>
      <c r="BW905" s="40" t="str">
        <f aca="false">IF(AQ905&lt;&gt;1,"",IF(AND(AG905="",AH905=""),"",N(AG905)-N(AH905)))</f>
        <v/>
      </c>
      <c r="BX905" s="35" t="str">
        <f aca="true">IF(OR(AQ905&lt;&gt;1,AI905&lt;&gt;"Oui",AJ905=""),"",IF(AK905="",IF(NOW()&gt;AJ905+1,0,""),IF(AK905&lt;=AJ905,1,0)))</f>
        <v/>
      </c>
    </row>
    <row r="906" customFormat="false" ht="15" hidden="false" customHeight="false" outlineLevel="0" collapsed="false">
      <c r="B906" s="29"/>
      <c r="C906" s="29"/>
      <c r="D906" s="29"/>
      <c r="E906" s="29"/>
      <c r="F906" s="29"/>
      <c r="G906" s="29"/>
      <c r="H906" s="29"/>
      <c r="I906" s="29"/>
      <c r="J906" s="29"/>
      <c r="K906" s="29"/>
      <c r="L906" s="29"/>
      <c r="M906" s="29"/>
      <c r="N906" s="30"/>
      <c r="O906" s="30"/>
      <c r="P906" s="30"/>
      <c r="Q906" s="30"/>
      <c r="R906" s="30"/>
      <c r="S906" s="30"/>
      <c r="T906" s="30"/>
      <c r="U906" s="30"/>
      <c r="V906" s="31"/>
      <c r="W906" s="29"/>
      <c r="X906" s="29"/>
      <c r="Y906" s="29"/>
      <c r="Z906" s="29"/>
      <c r="AA906" s="30"/>
      <c r="AB906" s="30"/>
      <c r="AC906" s="30"/>
      <c r="AD906" s="30"/>
      <c r="AE906" s="30"/>
      <c r="AF906" s="32"/>
      <c r="AG906" s="33"/>
      <c r="AH906" s="33"/>
      <c r="AI906" s="29"/>
      <c r="AJ906" s="32"/>
      <c r="AK906" s="32"/>
      <c r="AL906" s="29"/>
      <c r="AN906" s="34" t="str">
        <f aca="false">IF($B906="","",IF(OR(C906="",D906="",E906="",G906="",I906="",J906="",L906="",O906="",P906=""),"Champ obligatoire manquant",IF(OR(AND(N906&lt;&gt;"",N906&gt;O906),O906&gt;P906,AND(Q906&lt;&gt;"",Q906&lt;P906),AND(R906&lt;&gt;"",R906&lt;P906),AND(S906&lt;&gt;"",S906&lt;R906),AND(S906&lt;&gt;"",R906=""),AND(T906&lt;&gt;"",T906&lt;O906),AND(U906&lt;&gt;"",U906&lt;O906)),"Chronologie incohérente",IF(AND(OR(L906="Résolu",L906="Clos"),R906=""),"Date de résolution manquante",IF(AND(L906="Clos",S906=""),"Date de clôture manquante",IF(AND(K906="Oui",AC906=""),"Classification DORA manquante","OK"))))))</f>
        <v/>
      </c>
      <c r="AO906" s="35" t="str">
        <f aca="false">IF($B906="","",IF(AND(C906="Incident",L906&lt;&gt;"Annulé"),1,0))</f>
        <v/>
      </c>
      <c r="AP906" s="35" t="str">
        <f aca="false">IF($B906="","",IF(AND(C906="Quasi-incident",L906&lt;&gt;"Annulé"),1,0))</f>
        <v/>
      </c>
      <c r="AQ906" s="35" t="str">
        <f aca="false">IF($B906="","",AO906+AP906)</f>
        <v/>
      </c>
      <c r="AR906" s="36" t="str">
        <f aca="false">IF(OR($B906="",J906=""),"",IFERROR(VALUE(LEFT(J906,1)),""))</f>
        <v/>
      </c>
      <c r="AS906" s="35" t="str">
        <f aca="false">IF(OR(AO906&lt;&gt;1,G906=""),"",IFERROR(IF(INDEX(L_SrcInterne,MATCH(G906,L_Sources,0))="Oui",1,0),""))</f>
        <v/>
      </c>
      <c r="AT906" s="37" t="str">
        <f aca="false">IF(AO906&lt;&gt;1,"",IFERROR(ROUND(IF(OR(N906="",O906=""),"",IF(O906&lt;N906,"",ROUND(((NETWORKDAYS(N906,O906,JoursFeries)-1)*(HFer-HOuv)+IF(NETWORKDAYS(O906,O906,JoursFeries),MEDIAN(MOD(O906,1),HFer,HOuv),HFer)-IF(NETWORKDAYS(N906,N906,JoursFeries),MEDIAN(MOD(N906,1),HFer,HOuv),HOuv))*24,4)))/HJour,4),""))</f>
        <v/>
      </c>
      <c r="AU906" s="37" t="str">
        <f aca="false">IF(AO906&lt;&gt;1,"",IF(OR(O906="",P906=""),"",IF(P906&lt;O906,"",ROUND(((NETWORKDAYS(O906,P906,JoursFeries)-1)*(HFer-HOuv)+IF(NETWORKDAYS(P906,P906,JoursFeries),MEDIAN(MOD(P906,1),HFer,HOuv),HFer)-IF(NETWORKDAYS(O906,O906,JoursFeries),MEDIAN(MOD(O906,1),HFer,HOuv),HOuv))*24,4))))</f>
        <v/>
      </c>
      <c r="AV906" s="37" t="str">
        <f aca="false">IF(AO906&lt;&gt;1,"",IF(OR(P906="",Q906=""),"",IF(Q906&lt;P906,"",ROUND(((NETWORKDAYS(P906,Q906,JoursFeries)-1)*(HFer-HOuv)+IF(NETWORKDAYS(Q906,Q906,JoursFeries),MEDIAN(MOD(Q906,1),HFer,HOuv),HFer)-IF(NETWORKDAYS(P906,P906,JoursFeries),MEDIAN(MOD(P906,1),HFer,HOuv),HOuv))*24,4))))</f>
        <v/>
      </c>
      <c r="AW906" s="37" t="str">
        <f aca="false">IF(AO906&lt;&gt;1,"",IFERROR(ROUND(IF(OR(P906="",R906=""),"",IF(R906&lt;P906,"",ROUND(((NETWORKDAYS(P906,R906,JoursFeries)-1)*(HFer-HOuv)+IF(NETWORKDAYS(R906,R906,JoursFeries),MEDIAN(MOD(R906,1),HFer,HOuv),HFer)-IF(NETWORKDAYS(P906,P906,JoursFeries),MEDIAN(MOD(P906,1),HFer,HOuv),HOuv))*24,4)))/HJour,4),""))</f>
        <v/>
      </c>
      <c r="AX906" s="37" t="str">
        <f aca="false">IF(AO906&lt;&gt;1,"",IFERROR(ROUND(IF(OR(P906="",S906=""),"",IF(S906&lt;P906,"",ROUND(((NETWORKDAYS(P906,S906,JoursFeries)-1)*(HFer-HOuv)+IF(NETWORKDAYS(S906,S906,JoursFeries),MEDIAN(MOD(S906,1),HFer,HOuv),HFer)-IF(NETWORKDAYS(P906,P906,JoursFeries),MEDIAN(MOD(P906,1),HFer,HOuv),HOuv))*24,4)))/HJour,4),""))</f>
        <v/>
      </c>
      <c r="AY906" s="36" t="str">
        <f aca="false">IF(OR(AO906&lt;&gt;1,AR906=""),"",INDEX(SLA_PEC,AR906))</f>
        <v/>
      </c>
      <c r="AZ906" s="35" t="str">
        <f aca="false">IF(OR(AV906="",AY906=""),"",IF(AV906&lt;=AY906,1,0))</f>
        <v/>
      </c>
      <c r="BA906" s="36" t="str">
        <f aca="false">IF(OR(AO906&lt;&gt;1,AR906=""),"",INDEX(SLA_RES,AR906))</f>
        <v/>
      </c>
      <c r="BB906" s="35" t="str">
        <f aca="false">IF(OR(AW906="",BA906=""),"",IF(AW906&lt;=BA906,1,0))</f>
        <v/>
      </c>
      <c r="BC906" s="38" t="str">
        <f aca="false">IF(OR(BA906="",P906=""),"",WORKDAY(INT(P906),BA906,JoursFeries)+MOD(P906,1))</f>
        <v/>
      </c>
      <c r="BD906" s="39" t="str">
        <f aca="false">IF(AO906&lt;&gt;1,"",IF(OR(AB906&lt;&gt;"",AD906&lt;&gt;""),4,IF(U906&lt;&gt;"",3,IF(T906&lt;&gt;"",2,1))))</f>
        <v/>
      </c>
      <c r="BE906" s="39" t="str">
        <f aca="false">IF(OR(AO906&lt;&gt;1,AR906=""),"",INDEX(NIV_REQ,AR906))</f>
        <v/>
      </c>
      <c r="BF906" s="39" t="str">
        <f aca="false">IF(BE906="","",MAX(BE906,IF(OR(K906="Oui",Z906="Oui"),4,1)))</f>
        <v/>
      </c>
      <c r="BG906" s="35" t="str">
        <f aca="false">IF(OR(BF906="",BD906=""),"",IF(BD906&gt;=BF906,1,0))</f>
        <v/>
      </c>
      <c r="BH906" s="38" t="str">
        <f aca="false">IF(BE906="","",IF(BE906&lt;2,"",IF(BE906=2,IF(AND(T906="",U906=""),"",MIN(T906,U906)),IF(U906="","",U906))))</f>
        <v/>
      </c>
      <c r="BI906" s="37" t="str">
        <f aca="false">IF(BH906="","",IF(OR(O906="",BH906=""),"",IF(BH906&lt;O906,"",ROUND(((NETWORKDAYS(O906,BH906,JoursFeries)-1)*(HFer-HOuv)+IF(NETWORKDAYS(BH906,BH906,JoursFeries),MEDIAN(MOD(BH906,1),HFer,HOuv),HFer)-IF(NETWORKDAYS(O906,O906,JoursFeries),MEDIAN(MOD(O906,1),HFer,HOuv),HOuv))*24,4))))</f>
        <v/>
      </c>
      <c r="BJ906" s="35" t="str">
        <f aca="false">IF(OR(BI906="",AR906=""),"",IF(BI906&lt;=INDEX(DELAI_ESC,AR906),1,0))</f>
        <v/>
      </c>
      <c r="BK906" s="38" t="str">
        <f aca="false">IF(AO906&lt;&gt;1,"",IF(AND(T906="",U906=""),"",MIN(T906,U906)))</f>
        <v/>
      </c>
      <c r="BL906" s="37" t="str">
        <f aca="false">IF(OR(BK906="",R906=""),"",IFERROR(ROUND(IF(OR(BK906="",R906=""),"",IF(R906&lt;BK906,"",ROUND(((NETWORKDAYS(BK906,R906,JoursFeries)-1)*(HFer-HOuv)+IF(NETWORKDAYS(R906,R906,JoursFeries),MEDIAN(MOD(R906,1),HFer,HOuv),HFer)-IF(NETWORKDAYS(BK906,BK906,JoursFeries),MEDIAN(MOD(BK906,1),HFer,HOuv),HOuv))*24,4)))/HJour,4),""))</f>
        <v/>
      </c>
      <c r="BM906" s="35" t="str">
        <f aca="false">IF(OR(AO906&lt;&gt;1,R906=""),"",IF(BD906=1,1,0))</f>
        <v/>
      </c>
      <c r="BN906" s="35" t="str">
        <f aca="false">IF(AO906&lt;&gt;1,"",IF(W906="Oui",1,0))</f>
        <v/>
      </c>
      <c r="BO906" s="35" t="str">
        <f aca="false">IF(AO906&lt;&gt;1,"",IF(X906&lt;&gt;"",1,0))</f>
        <v/>
      </c>
      <c r="BP906" s="35" t="str">
        <f aca="false">IF(AO906&lt;&gt;1,"",IF(Y906="Oui",1,0))</f>
        <v/>
      </c>
      <c r="BQ906" s="35" t="str">
        <f aca="true">IF(OR(AO906&lt;&gt;1,Z906&lt;&gt;"Oui"),"",IF(AB906="",IF(AND(AA906&lt;&gt;"",NOW()&gt;AA906),0,""),IF(AA906="","",IF(AB906&lt;=AA906,1,0))))</f>
        <v/>
      </c>
      <c r="BR906" s="38" t="str">
        <f aca="false">IF(OR(AO906&lt;&gt;1,K906&lt;&gt;"Oui",O906=""),"",IF(AC906="",O906+DORA_H_DET/24,IF(AC906-O906&lt;=DORA_H_DET/24,MIN(AC906+DORA_H_CLA/24,O906+DORA_H_DET/24),AC906+DORA_H_CLA/24)))</f>
        <v/>
      </c>
      <c r="BS906" s="35" t="str">
        <f aca="true">IF(BR906="","",IF(AD906="",IF(NOW()&gt;BR906,0,""),IF(AD906&lt;=BR906,1,0)))</f>
        <v/>
      </c>
      <c r="BT906" s="35" t="str">
        <f aca="true">IF(OR(BR906="",AD906=""),"",IF(AE906="",IF(NOW()&gt;AD906+DORA_H_INT/24,0,""),IF(AE906&lt;=AD906+DORA_H_INT/24,1,0)))</f>
        <v/>
      </c>
      <c r="BU906" s="35" t="str">
        <f aca="true">IF(OR(BR906="",AE906=""),"",IF(AF906="",IF(NOW()&gt;EDATE(AE906,DORA_M_FIN)+1,0,""),IF(AF906&lt;=EDATE(AE906,DORA_M_FIN),1,0)))</f>
        <v/>
      </c>
      <c r="BV906" s="35" t="str">
        <f aca="false">IF(BR906="","",IF(COUNT(BS906:BU906)=0,"",MIN(BS906:BU906)))</f>
        <v/>
      </c>
      <c r="BW906" s="40" t="str">
        <f aca="false">IF(AQ906&lt;&gt;1,"",IF(AND(AG906="",AH906=""),"",N(AG906)-N(AH906)))</f>
        <v/>
      </c>
      <c r="BX906" s="35" t="str">
        <f aca="true">IF(OR(AQ906&lt;&gt;1,AI906&lt;&gt;"Oui",AJ906=""),"",IF(AK906="",IF(NOW()&gt;AJ906+1,0,""),IF(AK906&lt;=AJ906,1,0)))</f>
        <v/>
      </c>
    </row>
    <row r="907" customFormat="false" ht="15" hidden="false" customHeight="false" outlineLevel="0" collapsed="false">
      <c r="B907" s="29"/>
      <c r="C907" s="29"/>
      <c r="D907" s="29"/>
      <c r="E907" s="29"/>
      <c r="F907" s="29"/>
      <c r="G907" s="29"/>
      <c r="H907" s="29"/>
      <c r="I907" s="29"/>
      <c r="J907" s="29"/>
      <c r="K907" s="29"/>
      <c r="L907" s="29"/>
      <c r="M907" s="29"/>
      <c r="N907" s="30"/>
      <c r="O907" s="30"/>
      <c r="P907" s="30"/>
      <c r="Q907" s="30"/>
      <c r="R907" s="30"/>
      <c r="S907" s="30"/>
      <c r="T907" s="30"/>
      <c r="U907" s="30"/>
      <c r="V907" s="31"/>
      <c r="W907" s="29"/>
      <c r="X907" s="29"/>
      <c r="Y907" s="29"/>
      <c r="Z907" s="29"/>
      <c r="AA907" s="30"/>
      <c r="AB907" s="30"/>
      <c r="AC907" s="30"/>
      <c r="AD907" s="30"/>
      <c r="AE907" s="30"/>
      <c r="AF907" s="32"/>
      <c r="AG907" s="33"/>
      <c r="AH907" s="33"/>
      <c r="AI907" s="29"/>
      <c r="AJ907" s="32"/>
      <c r="AK907" s="32"/>
      <c r="AL907" s="29"/>
      <c r="AN907" s="34" t="str">
        <f aca="false">IF($B907="","",IF(OR(C907="",D907="",E907="",G907="",I907="",J907="",L907="",O907="",P907=""),"Champ obligatoire manquant",IF(OR(AND(N907&lt;&gt;"",N907&gt;O907),O907&gt;P907,AND(Q907&lt;&gt;"",Q907&lt;P907),AND(R907&lt;&gt;"",R907&lt;P907),AND(S907&lt;&gt;"",S907&lt;R907),AND(S907&lt;&gt;"",R907=""),AND(T907&lt;&gt;"",T907&lt;O907),AND(U907&lt;&gt;"",U907&lt;O907)),"Chronologie incohérente",IF(AND(OR(L907="Résolu",L907="Clos"),R907=""),"Date de résolution manquante",IF(AND(L907="Clos",S907=""),"Date de clôture manquante",IF(AND(K907="Oui",AC907=""),"Classification DORA manquante","OK"))))))</f>
        <v/>
      </c>
      <c r="AO907" s="35" t="str">
        <f aca="false">IF($B907="","",IF(AND(C907="Incident",L907&lt;&gt;"Annulé"),1,0))</f>
        <v/>
      </c>
      <c r="AP907" s="35" t="str">
        <f aca="false">IF($B907="","",IF(AND(C907="Quasi-incident",L907&lt;&gt;"Annulé"),1,0))</f>
        <v/>
      </c>
      <c r="AQ907" s="35" t="str">
        <f aca="false">IF($B907="","",AO907+AP907)</f>
        <v/>
      </c>
      <c r="AR907" s="36" t="str">
        <f aca="false">IF(OR($B907="",J907=""),"",IFERROR(VALUE(LEFT(J907,1)),""))</f>
        <v/>
      </c>
      <c r="AS907" s="35" t="str">
        <f aca="false">IF(OR(AO907&lt;&gt;1,G907=""),"",IFERROR(IF(INDEX(L_SrcInterne,MATCH(G907,L_Sources,0))="Oui",1,0),""))</f>
        <v/>
      </c>
      <c r="AT907" s="37" t="str">
        <f aca="false">IF(AO907&lt;&gt;1,"",IFERROR(ROUND(IF(OR(N907="",O907=""),"",IF(O907&lt;N907,"",ROUND(((NETWORKDAYS(N907,O907,JoursFeries)-1)*(HFer-HOuv)+IF(NETWORKDAYS(O907,O907,JoursFeries),MEDIAN(MOD(O907,1),HFer,HOuv),HFer)-IF(NETWORKDAYS(N907,N907,JoursFeries),MEDIAN(MOD(N907,1),HFer,HOuv),HOuv))*24,4)))/HJour,4),""))</f>
        <v/>
      </c>
      <c r="AU907" s="37" t="str">
        <f aca="false">IF(AO907&lt;&gt;1,"",IF(OR(O907="",P907=""),"",IF(P907&lt;O907,"",ROUND(((NETWORKDAYS(O907,P907,JoursFeries)-1)*(HFer-HOuv)+IF(NETWORKDAYS(P907,P907,JoursFeries),MEDIAN(MOD(P907,1),HFer,HOuv),HFer)-IF(NETWORKDAYS(O907,O907,JoursFeries),MEDIAN(MOD(O907,1),HFer,HOuv),HOuv))*24,4))))</f>
        <v/>
      </c>
      <c r="AV907" s="37" t="str">
        <f aca="false">IF(AO907&lt;&gt;1,"",IF(OR(P907="",Q907=""),"",IF(Q907&lt;P907,"",ROUND(((NETWORKDAYS(P907,Q907,JoursFeries)-1)*(HFer-HOuv)+IF(NETWORKDAYS(Q907,Q907,JoursFeries),MEDIAN(MOD(Q907,1),HFer,HOuv),HFer)-IF(NETWORKDAYS(P907,P907,JoursFeries),MEDIAN(MOD(P907,1),HFer,HOuv),HOuv))*24,4))))</f>
        <v/>
      </c>
      <c r="AW907" s="37" t="str">
        <f aca="false">IF(AO907&lt;&gt;1,"",IFERROR(ROUND(IF(OR(P907="",R907=""),"",IF(R907&lt;P907,"",ROUND(((NETWORKDAYS(P907,R907,JoursFeries)-1)*(HFer-HOuv)+IF(NETWORKDAYS(R907,R907,JoursFeries),MEDIAN(MOD(R907,1),HFer,HOuv),HFer)-IF(NETWORKDAYS(P907,P907,JoursFeries),MEDIAN(MOD(P907,1),HFer,HOuv),HOuv))*24,4)))/HJour,4),""))</f>
        <v/>
      </c>
      <c r="AX907" s="37" t="str">
        <f aca="false">IF(AO907&lt;&gt;1,"",IFERROR(ROUND(IF(OR(P907="",S907=""),"",IF(S907&lt;P907,"",ROUND(((NETWORKDAYS(P907,S907,JoursFeries)-1)*(HFer-HOuv)+IF(NETWORKDAYS(S907,S907,JoursFeries),MEDIAN(MOD(S907,1),HFer,HOuv),HFer)-IF(NETWORKDAYS(P907,P907,JoursFeries),MEDIAN(MOD(P907,1),HFer,HOuv),HOuv))*24,4)))/HJour,4),""))</f>
        <v/>
      </c>
      <c r="AY907" s="36" t="str">
        <f aca="false">IF(OR(AO907&lt;&gt;1,AR907=""),"",INDEX(SLA_PEC,AR907))</f>
        <v/>
      </c>
      <c r="AZ907" s="35" t="str">
        <f aca="false">IF(OR(AV907="",AY907=""),"",IF(AV907&lt;=AY907,1,0))</f>
        <v/>
      </c>
      <c r="BA907" s="36" t="str">
        <f aca="false">IF(OR(AO907&lt;&gt;1,AR907=""),"",INDEX(SLA_RES,AR907))</f>
        <v/>
      </c>
      <c r="BB907" s="35" t="str">
        <f aca="false">IF(OR(AW907="",BA907=""),"",IF(AW907&lt;=BA907,1,0))</f>
        <v/>
      </c>
      <c r="BC907" s="38" t="str">
        <f aca="false">IF(OR(BA907="",P907=""),"",WORKDAY(INT(P907),BA907,JoursFeries)+MOD(P907,1))</f>
        <v/>
      </c>
      <c r="BD907" s="39" t="str">
        <f aca="false">IF(AO907&lt;&gt;1,"",IF(OR(AB907&lt;&gt;"",AD907&lt;&gt;""),4,IF(U907&lt;&gt;"",3,IF(T907&lt;&gt;"",2,1))))</f>
        <v/>
      </c>
      <c r="BE907" s="39" t="str">
        <f aca="false">IF(OR(AO907&lt;&gt;1,AR907=""),"",INDEX(NIV_REQ,AR907))</f>
        <v/>
      </c>
      <c r="BF907" s="39" t="str">
        <f aca="false">IF(BE907="","",MAX(BE907,IF(OR(K907="Oui",Z907="Oui"),4,1)))</f>
        <v/>
      </c>
      <c r="BG907" s="35" t="str">
        <f aca="false">IF(OR(BF907="",BD907=""),"",IF(BD907&gt;=BF907,1,0))</f>
        <v/>
      </c>
      <c r="BH907" s="38" t="str">
        <f aca="false">IF(BE907="","",IF(BE907&lt;2,"",IF(BE907=2,IF(AND(T907="",U907=""),"",MIN(T907,U907)),IF(U907="","",U907))))</f>
        <v/>
      </c>
      <c r="BI907" s="37" t="str">
        <f aca="false">IF(BH907="","",IF(OR(O907="",BH907=""),"",IF(BH907&lt;O907,"",ROUND(((NETWORKDAYS(O907,BH907,JoursFeries)-1)*(HFer-HOuv)+IF(NETWORKDAYS(BH907,BH907,JoursFeries),MEDIAN(MOD(BH907,1),HFer,HOuv),HFer)-IF(NETWORKDAYS(O907,O907,JoursFeries),MEDIAN(MOD(O907,1),HFer,HOuv),HOuv))*24,4))))</f>
        <v/>
      </c>
      <c r="BJ907" s="35" t="str">
        <f aca="false">IF(OR(BI907="",AR907=""),"",IF(BI907&lt;=INDEX(DELAI_ESC,AR907),1,0))</f>
        <v/>
      </c>
      <c r="BK907" s="38" t="str">
        <f aca="false">IF(AO907&lt;&gt;1,"",IF(AND(T907="",U907=""),"",MIN(T907,U907)))</f>
        <v/>
      </c>
      <c r="BL907" s="37" t="str">
        <f aca="false">IF(OR(BK907="",R907=""),"",IFERROR(ROUND(IF(OR(BK907="",R907=""),"",IF(R907&lt;BK907,"",ROUND(((NETWORKDAYS(BK907,R907,JoursFeries)-1)*(HFer-HOuv)+IF(NETWORKDAYS(R907,R907,JoursFeries),MEDIAN(MOD(R907,1),HFer,HOuv),HFer)-IF(NETWORKDAYS(BK907,BK907,JoursFeries),MEDIAN(MOD(BK907,1),HFer,HOuv),HOuv))*24,4)))/HJour,4),""))</f>
        <v/>
      </c>
      <c r="BM907" s="35" t="str">
        <f aca="false">IF(OR(AO907&lt;&gt;1,R907=""),"",IF(BD907=1,1,0))</f>
        <v/>
      </c>
      <c r="BN907" s="35" t="str">
        <f aca="false">IF(AO907&lt;&gt;1,"",IF(W907="Oui",1,0))</f>
        <v/>
      </c>
      <c r="BO907" s="35" t="str">
        <f aca="false">IF(AO907&lt;&gt;1,"",IF(X907&lt;&gt;"",1,0))</f>
        <v/>
      </c>
      <c r="BP907" s="35" t="str">
        <f aca="false">IF(AO907&lt;&gt;1,"",IF(Y907="Oui",1,0))</f>
        <v/>
      </c>
      <c r="BQ907" s="35" t="str">
        <f aca="true">IF(OR(AO907&lt;&gt;1,Z907&lt;&gt;"Oui"),"",IF(AB907="",IF(AND(AA907&lt;&gt;"",NOW()&gt;AA907),0,""),IF(AA907="","",IF(AB907&lt;=AA907,1,0))))</f>
        <v/>
      </c>
      <c r="BR907" s="38" t="str">
        <f aca="false">IF(OR(AO907&lt;&gt;1,K907&lt;&gt;"Oui",O907=""),"",IF(AC907="",O907+DORA_H_DET/24,IF(AC907-O907&lt;=DORA_H_DET/24,MIN(AC907+DORA_H_CLA/24,O907+DORA_H_DET/24),AC907+DORA_H_CLA/24)))</f>
        <v/>
      </c>
      <c r="BS907" s="35" t="str">
        <f aca="true">IF(BR907="","",IF(AD907="",IF(NOW()&gt;BR907,0,""),IF(AD907&lt;=BR907,1,0)))</f>
        <v/>
      </c>
      <c r="BT907" s="35" t="str">
        <f aca="true">IF(OR(BR907="",AD907=""),"",IF(AE907="",IF(NOW()&gt;AD907+DORA_H_INT/24,0,""),IF(AE907&lt;=AD907+DORA_H_INT/24,1,0)))</f>
        <v/>
      </c>
      <c r="BU907" s="35" t="str">
        <f aca="true">IF(OR(BR907="",AE907=""),"",IF(AF907="",IF(NOW()&gt;EDATE(AE907,DORA_M_FIN)+1,0,""),IF(AF907&lt;=EDATE(AE907,DORA_M_FIN),1,0)))</f>
        <v/>
      </c>
      <c r="BV907" s="35" t="str">
        <f aca="false">IF(BR907="","",IF(COUNT(BS907:BU907)=0,"",MIN(BS907:BU907)))</f>
        <v/>
      </c>
      <c r="BW907" s="40" t="str">
        <f aca="false">IF(AQ907&lt;&gt;1,"",IF(AND(AG907="",AH907=""),"",N(AG907)-N(AH907)))</f>
        <v/>
      </c>
      <c r="BX907" s="35" t="str">
        <f aca="true">IF(OR(AQ907&lt;&gt;1,AI907&lt;&gt;"Oui",AJ907=""),"",IF(AK907="",IF(NOW()&gt;AJ907+1,0,""),IF(AK907&lt;=AJ907,1,0)))</f>
        <v/>
      </c>
    </row>
    <row r="908" customFormat="false" ht="15" hidden="false" customHeight="false" outlineLevel="0" collapsed="false">
      <c r="B908" s="29"/>
      <c r="C908" s="29"/>
      <c r="D908" s="29"/>
      <c r="E908" s="29"/>
      <c r="F908" s="29"/>
      <c r="G908" s="29"/>
      <c r="H908" s="29"/>
      <c r="I908" s="29"/>
      <c r="J908" s="29"/>
      <c r="K908" s="29"/>
      <c r="L908" s="29"/>
      <c r="M908" s="29"/>
      <c r="N908" s="30"/>
      <c r="O908" s="30"/>
      <c r="P908" s="30"/>
      <c r="Q908" s="30"/>
      <c r="R908" s="30"/>
      <c r="S908" s="30"/>
      <c r="T908" s="30"/>
      <c r="U908" s="30"/>
      <c r="V908" s="31"/>
      <c r="W908" s="29"/>
      <c r="X908" s="29"/>
      <c r="Y908" s="29"/>
      <c r="Z908" s="29"/>
      <c r="AA908" s="30"/>
      <c r="AB908" s="30"/>
      <c r="AC908" s="30"/>
      <c r="AD908" s="30"/>
      <c r="AE908" s="30"/>
      <c r="AF908" s="32"/>
      <c r="AG908" s="33"/>
      <c r="AH908" s="33"/>
      <c r="AI908" s="29"/>
      <c r="AJ908" s="32"/>
      <c r="AK908" s="32"/>
      <c r="AL908" s="29"/>
      <c r="AN908" s="34" t="str">
        <f aca="false">IF($B908="","",IF(OR(C908="",D908="",E908="",G908="",I908="",J908="",L908="",O908="",P908=""),"Champ obligatoire manquant",IF(OR(AND(N908&lt;&gt;"",N908&gt;O908),O908&gt;P908,AND(Q908&lt;&gt;"",Q908&lt;P908),AND(R908&lt;&gt;"",R908&lt;P908),AND(S908&lt;&gt;"",S908&lt;R908),AND(S908&lt;&gt;"",R908=""),AND(T908&lt;&gt;"",T908&lt;O908),AND(U908&lt;&gt;"",U908&lt;O908)),"Chronologie incohérente",IF(AND(OR(L908="Résolu",L908="Clos"),R908=""),"Date de résolution manquante",IF(AND(L908="Clos",S908=""),"Date de clôture manquante",IF(AND(K908="Oui",AC908=""),"Classification DORA manquante","OK"))))))</f>
        <v/>
      </c>
      <c r="AO908" s="35" t="str">
        <f aca="false">IF($B908="","",IF(AND(C908="Incident",L908&lt;&gt;"Annulé"),1,0))</f>
        <v/>
      </c>
      <c r="AP908" s="35" t="str">
        <f aca="false">IF($B908="","",IF(AND(C908="Quasi-incident",L908&lt;&gt;"Annulé"),1,0))</f>
        <v/>
      </c>
      <c r="AQ908" s="35" t="str">
        <f aca="false">IF($B908="","",AO908+AP908)</f>
        <v/>
      </c>
      <c r="AR908" s="36" t="str">
        <f aca="false">IF(OR($B908="",J908=""),"",IFERROR(VALUE(LEFT(J908,1)),""))</f>
        <v/>
      </c>
      <c r="AS908" s="35" t="str">
        <f aca="false">IF(OR(AO908&lt;&gt;1,G908=""),"",IFERROR(IF(INDEX(L_SrcInterne,MATCH(G908,L_Sources,0))="Oui",1,0),""))</f>
        <v/>
      </c>
      <c r="AT908" s="37" t="str">
        <f aca="false">IF(AO908&lt;&gt;1,"",IFERROR(ROUND(IF(OR(N908="",O908=""),"",IF(O908&lt;N908,"",ROUND(((NETWORKDAYS(N908,O908,JoursFeries)-1)*(HFer-HOuv)+IF(NETWORKDAYS(O908,O908,JoursFeries),MEDIAN(MOD(O908,1),HFer,HOuv),HFer)-IF(NETWORKDAYS(N908,N908,JoursFeries),MEDIAN(MOD(N908,1),HFer,HOuv),HOuv))*24,4)))/HJour,4),""))</f>
        <v/>
      </c>
      <c r="AU908" s="37" t="str">
        <f aca="false">IF(AO908&lt;&gt;1,"",IF(OR(O908="",P908=""),"",IF(P908&lt;O908,"",ROUND(((NETWORKDAYS(O908,P908,JoursFeries)-1)*(HFer-HOuv)+IF(NETWORKDAYS(P908,P908,JoursFeries),MEDIAN(MOD(P908,1),HFer,HOuv),HFer)-IF(NETWORKDAYS(O908,O908,JoursFeries),MEDIAN(MOD(O908,1),HFer,HOuv),HOuv))*24,4))))</f>
        <v/>
      </c>
      <c r="AV908" s="37" t="str">
        <f aca="false">IF(AO908&lt;&gt;1,"",IF(OR(P908="",Q908=""),"",IF(Q908&lt;P908,"",ROUND(((NETWORKDAYS(P908,Q908,JoursFeries)-1)*(HFer-HOuv)+IF(NETWORKDAYS(Q908,Q908,JoursFeries),MEDIAN(MOD(Q908,1),HFer,HOuv),HFer)-IF(NETWORKDAYS(P908,P908,JoursFeries),MEDIAN(MOD(P908,1),HFer,HOuv),HOuv))*24,4))))</f>
        <v/>
      </c>
      <c r="AW908" s="37" t="str">
        <f aca="false">IF(AO908&lt;&gt;1,"",IFERROR(ROUND(IF(OR(P908="",R908=""),"",IF(R908&lt;P908,"",ROUND(((NETWORKDAYS(P908,R908,JoursFeries)-1)*(HFer-HOuv)+IF(NETWORKDAYS(R908,R908,JoursFeries),MEDIAN(MOD(R908,1),HFer,HOuv),HFer)-IF(NETWORKDAYS(P908,P908,JoursFeries),MEDIAN(MOD(P908,1),HFer,HOuv),HOuv))*24,4)))/HJour,4),""))</f>
        <v/>
      </c>
      <c r="AX908" s="37" t="str">
        <f aca="false">IF(AO908&lt;&gt;1,"",IFERROR(ROUND(IF(OR(P908="",S908=""),"",IF(S908&lt;P908,"",ROUND(((NETWORKDAYS(P908,S908,JoursFeries)-1)*(HFer-HOuv)+IF(NETWORKDAYS(S908,S908,JoursFeries),MEDIAN(MOD(S908,1),HFer,HOuv),HFer)-IF(NETWORKDAYS(P908,P908,JoursFeries),MEDIAN(MOD(P908,1),HFer,HOuv),HOuv))*24,4)))/HJour,4),""))</f>
        <v/>
      </c>
      <c r="AY908" s="36" t="str">
        <f aca="false">IF(OR(AO908&lt;&gt;1,AR908=""),"",INDEX(SLA_PEC,AR908))</f>
        <v/>
      </c>
      <c r="AZ908" s="35" t="str">
        <f aca="false">IF(OR(AV908="",AY908=""),"",IF(AV908&lt;=AY908,1,0))</f>
        <v/>
      </c>
      <c r="BA908" s="36" t="str">
        <f aca="false">IF(OR(AO908&lt;&gt;1,AR908=""),"",INDEX(SLA_RES,AR908))</f>
        <v/>
      </c>
      <c r="BB908" s="35" t="str">
        <f aca="false">IF(OR(AW908="",BA908=""),"",IF(AW908&lt;=BA908,1,0))</f>
        <v/>
      </c>
      <c r="BC908" s="38" t="str">
        <f aca="false">IF(OR(BA908="",P908=""),"",WORKDAY(INT(P908),BA908,JoursFeries)+MOD(P908,1))</f>
        <v/>
      </c>
      <c r="BD908" s="39" t="str">
        <f aca="false">IF(AO908&lt;&gt;1,"",IF(OR(AB908&lt;&gt;"",AD908&lt;&gt;""),4,IF(U908&lt;&gt;"",3,IF(T908&lt;&gt;"",2,1))))</f>
        <v/>
      </c>
      <c r="BE908" s="39" t="str">
        <f aca="false">IF(OR(AO908&lt;&gt;1,AR908=""),"",INDEX(NIV_REQ,AR908))</f>
        <v/>
      </c>
      <c r="BF908" s="39" t="str">
        <f aca="false">IF(BE908="","",MAX(BE908,IF(OR(K908="Oui",Z908="Oui"),4,1)))</f>
        <v/>
      </c>
      <c r="BG908" s="35" t="str">
        <f aca="false">IF(OR(BF908="",BD908=""),"",IF(BD908&gt;=BF908,1,0))</f>
        <v/>
      </c>
      <c r="BH908" s="38" t="str">
        <f aca="false">IF(BE908="","",IF(BE908&lt;2,"",IF(BE908=2,IF(AND(T908="",U908=""),"",MIN(T908,U908)),IF(U908="","",U908))))</f>
        <v/>
      </c>
      <c r="BI908" s="37" t="str">
        <f aca="false">IF(BH908="","",IF(OR(O908="",BH908=""),"",IF(BH908&lt;O908,"",ROUND(((NETWORKDAYS(O908,BH908,JoursFeries)-1)*(HFer-HOuv)+IF(NETWORKDAYS(BH908,BH908,JoursFeries),MEDIAN(MOD(BH908,1),HFer,HOuv),HFer)-IF(NETWORKDAYS(O908,O908,JoursFeries),MEDIAN(MOD(O908,1),HFer,HOuv),HOuv))*24,4))))</f>
        <v/>
      </c>
      <c r="BJ908" s="35" t="str">
        <f aca="false">IF(OR(BI908="",AR908=""),"",IF(BI908&lt;=INDEX(DELAI_ESC,AR908),1,0))</f>
        <v/>
      </c>
      <c r="BK908" s="38" t="str">
        <f aca="false">IF(AO908&lt;&gt;1,"",IF(AND(T908="",U908=""),"",MIN(T908,U908)))</f>
        <v/>
      </c>
      <c r="BL908" s="37" t="str">
        <f aca="false">IF(OR(BK908="",R908=""),"",IFERROR(ROUND(IF(OR(BK908="",R908=""),"",IF(R908&lt;BK908,"",ROUND(((NETWORKDAYS(BK908,R908,JoursFeries)-1)*(HFer-HOuv)+IF(NETWORKDAYS(R908,R908,JoursFeries),MEDIAN(MOD(R908,1),HFer,HOuv),HFer)-IF(NETWORKDAYS(BK908,BK908,JoursFeries),MEDIAN(MOD(BK908,1),HFer,HOuv),HOuv))*24,4)))/HJour,4),""))</f>
        <v/>
      </c>
      <c r="BM908" s="35" t="str">
        <f aca="false">IF(OR(AO908&lt;&gt;1,R908=""),"",IF(BD908=1,1,0))</f>
        <v/>
      </c>
      <c r="BN908" s="35" t="str">
        <f aca="false">IF(AO908&lt;&gt;1,"",IF(W908="Oui",1,0))</f>
        <v/>
      </c>
      <c r="BO908" s="35" t="str">
        <f aca="false">IF(AO908&lt;&gt;1,"",IF(X908&lt;&gt;"",1,0))</f>
        <v/>
      </c>
      <c r="BP908" s="35" t="str">
        <f aca="false">IF(AO908&lt;&gt;1,"",IF(Y908="Oui",1,0))</f>
        <v/>
      </c>
      <c r="BQ908" s="35" t="str">
        <f aca="true">IF(OR(AO908&lt;&gt;1,Z908&lt;&gt;"Oui"),"",IF(AB908="",IF(AND(AA908&lt;&gt;"",NOW()&gt;AA908),0,""),IF(AA908="","",IF(AB908&lt;=AA908,1,0))))</f>
        <v/>
      </c>
      <c r="BR908" s="38" t="str">
        <f aca="false">IF(OR(AO908&lt;&gt;1,K908&lt;&gt;"Oui",O908=""),"",IF(AC908="",O908+DORA_H_DET/24,IF(AC908-O908&lt;=DORA_H_DET/24,MIN(AC908+DORA_H_CLA/24,O908+DORA_H_DET/24),AC908+DORA_H_CLA/24)))</f>
        <v/>
      </c>
      <c r="BS908" s="35" t="str">
        <f aca="true">IF(BR908="","",IF(AD908="",IF(NOW()&gt;BR908,0,""),IF(AD908&lt;=BR908,1,0)))</f>
        <v/>
      </c>
      <c r="BT908" s="35" t="str">
        <f aca="true">IF(OR(BR908="",AD908=""),"",IF(AE908="",IF(NOW()&gt;AD908+DORA_H_INT/24,0,""),IF(AE908&lt;=AD908+DORA_H_INT/24,1,0)))</f>
        <v/>
      </c>
      <c r="BU908" s="35" t="str">
        <f aca="true">IF(OR(BR908="",AE908=""),"",IF(AF908="",IF(NOW()&gt;EDATE(AE908,DORA_M_FIN)+1,0,""),IF(AF908&lt;=EDATE(AE908,DORA_M_FIN),1,0)))</f>
        <v/>
      </c>
      <c r="BV908" s="35" t="str">
        <f aca="false">IF(BR908="","",IF(COUNT(BS908:BU908)=0,"",MIN(BS908:BU908)))</f>
        <v/>
      </c>
      <c r="BW908" s="40" t="str">
        <f aca="false">IF(AQ908&lt;&gt;1,"",IF(AND(AG908="",AH908=""),"",N(AG908)-N(AH908)))</f>
        <v/>
      </c>
      <c r="BX908" s="35" t="str">
        <f aca="true">IF(OR(AQ908&lt;&gt;1,AI908&lt;&gt;"Oui",AJ908=""),"",IF(AK908="",IF(NOW()&gt;AJ908+1,0,""),IF(AK908&lt;=AJ908,1,0)))</f>
        <v/>
      </c>
    </row>
    <row r="909" customFormat="false" ht="15" hidden="false" customHeight="false" outlineLevel="0" collapsed="false">
      <c r="B909" s="29"/>
      <c r="C909" s="29"/>
      <c r="D909" s="29"/>
      <c r="E909" s="29"/>
      <c r="F909" s="29"/>
      <c r="G909" s="29"/>
      <c r="H909" s="29"/>
      <c r="I909" s="29"/>
      <c r="J909" s="29"/>
      <c r="K909" s="29"/>
      <c r="L909" s="29"/>
      <c r="M909" s="29"/>
      <c r="N909" s="30"/>
      <c r="O909" s="30"/>
      <c r="P909" s="30"/>
      <c r="Q909" s="30"/>
      <c r="R909" s="30"/>
      <c r="S909" s="30"/>
      <c r="T909" s="30"/>
      <c r="U909" s="30"/>
      <c r="V909" s="31"/>
      <c r="W909" s="29"/>
      <c r="X909" s="29"/>
      <c r="Y909" s="29"/>
      <c r="Z909" s="29"/>
      <c r="AA909" s="30"/>
      <c r="AB909" s="30"/>
      <c r="AC909" s="30"/>
      <c r="AD909" s="30"/>
      <c r="AE909" s="30"/>
      <c r="AF909" s="32"/>
      <c r="AG909" s="33"/>
      <c r="AH909" s="33"/>
      <c r="AI909" s="29"/>
      <c r="AJ909" s="32"/>
      <c r="AK909" s="32"/>
      <c r="AL909" s="29"/>
      <c r="AN909" s="34" t="str">
        <f aca="false">IF($B909="","",IF(OR(C909="",D909="",E909="",G909="",I909="",J909="",L909="",O909="",P909=""),"Champ obligatoire manquant",IF(OR(AND(N909&lt;&gt;"",N909&gt;O909),O909&gt;P909,AND(Q909&lt;&gt;"",Q909&lt;P909),AND(R909&lt;&gt;"",R909&lt;P909),AND(S909&lt;&gt;"",S909&lt;R909),AND(S909&lt;&gt;"",R909=""),AND(T909&lt;&gt;"",T909&lt;O909),AND(U909&lt;&gt;"",U909&lt;O909)),"Chronologie incohérente",IF(AND(OR(L909="Résolu",L909="Clos"),R909=""),"Date de résolution manquante",IF(AND(L909="Clos",S909=""),"Date de clôture manquante",IF(AND(K909="Oui",AC909=""),"Classification DORA manquante","OK"))))))</f>
        <v/>
      </c>
      <c r="AO909" s="35" t="str">
        <f aca="false">IF($B909="","",IF(AND(C909="Incident",L909&lt;&gt;"Annulé"),1,0))</f>
        <v/>
      </c>
      <c r="AP909" s="35" t="str">
        <f aca="false">IF($B909="","",IF(AND(C909="Quasi-incident",L909&lt;&gt;"Annulé"),1,0))</f>
        <v/>
      </c>
      <c r="AQ909" s="35" t="str">
        <f aca="false">IF($B909="","",AO909+AP909)</f>
        <v/>
      </c>
      <c r="AR909" s="36" t="str">
        <f aca="false">IF(OR($B909="",J909=""),"",IFERROR(VALUE(LEFT(J909,1)),""))</f>
        <v/>
      </c>
      <c r="AS909" s="35" t="str">
        <f aca="false">IF(OR(AO909&lt;&gt;1,G909=""),"",IFERROR(IF(INDEX(L_SrcInterne,MATCH(G909,L_Sources,0))="Oui",1,0),""))</f>
        <v/>
      </c>
      <c r="AT909" s="37" t="str">
        <f aca="false">IF(AO909&lt;&gt;1,"",IFERROR(ROUND(IF(OR(N909="",O909=""),"",IF(O909&lt;N909,"",ROUND(((NETWORKDAYS(N909,O909,JoursFeries)-1)*(HFer-HOuv)+IF(NETWORKDAYS(O909,O909,JoursFeries),MEDIAN(MOD(O909,1),HFer,HOuv),HFer)-IF(NETWORKDAYS(N909,N909,JoursFeries),MEDIAN(MOD(N909,1),HFer,HOuv),HOuv))*24,4)))/HJour,4),""))</f>
        <v/>
      </c>
      <c r="AU909" s="37" t="str">
        <f aca="false">IF(AO909&lt;&gt;1,"",IF(OR(O909="",P909=""),"",IF(P909&lt;O909,"",ROUND(((NETWORKDAYS(O909,P909,JoursFeries)-1)*(HFer-HOuv)+IF(NETWORKDAYS(P909,P909,JoursFeries),MEDIAN(MOD(P909,1),HFer,HOuv),HFer)-IF(NETWORKDAYS(O909,O909,JoursFeries),MEDIAN(MOD(O909,1),HFer,HOuv),HOuv))*24,4))))</f>
        <v/>
      </c>
      <c r="AV909" s="37" t="str">
        <f aca="false">IF(AO909&lt;&gt;1,"",IF(OR(P909="",Q909=""),"",IF(Q909&lt;P909,"",ROUND(((NETWORKDAYS(P909,Q909,JoursFeries)-1)*(HFer-HOuv)+IF(NETWORKDAYS(Q909,Q909,JoursFeries),MEDIAN(MOD(Q909,1),HFer,HOuv),HFer)-IF(NETWORKDAYS(P909,P909,JoursFeries),MEDIAN(MOD(P909,1),HFer,HOuv),HOuv))*24,4))))</f>
        <v/>
      </c>
      <c r="AW909" s="37" t="str">
        <f aca="false">IF(AO909&lt;&gt;1,"",IFERROR(ROUND(IF(OR(P909="",R909=""),"",IF(R909&lt;P909,"",ROUND(((NETWORKDAYS(P909,R909,JoursFeries)-1)*(HFer-HOuv)+IF(NETWORKDAYS(R909,R909,JoursFeries),MEDIAN(MOD(R909,1),HFer,HOuv),HFer)-IF(NETWORKDAYS(P909,P909,JoursFeries),MEDIAN(MOD(P909,1),HFer,HOuv),HOuv))*24,4)))/HJour,4),""))</f>
        <v/>
      </c>
      <c r="AX909" s="37" t="str">
        <f aca="false">IF(AO909&lt;&gt;1,"",IFERROR(ROUND(IF(OR(P909="",S909=""),"",IF(S909&lt;P909,"",ROUND(((NETWORKDAYS(P909,S909,JoursFeries)-1)*(HFer-HOuv)+IF(NETWORKDAYS(S909,S909,JoursFeries),MEDIAN(MOD(S909,1),HFer,HOuv),HFer)-IF(NETWORKDAYS(P909,P909,JoursFeries),MEDIAN(MOD(P909,1),HFer,HOuv),HOuv))*24,4)))/HJour,4),""))</f>
        <v/>
      </c>
      <c r="AY909" s="36" t="str">
        <f aca="false">IF(OR(AO909&lt;&gt;1,AR909=""),"",INDEX(SLA_PEC,AR909))</f>
        <v/>
      </c>
      <c r="AZ909" s="35" t="str">
        <f aca="false">IF(OR(AV909="",AY909=""),"",IF(AV909&lt;=AY909,1,0))</f>
        <v/>
      </c>
      <c r="BA909" s="36" t="str">
        <f aca="false">IF(OR(AO909&lt;&gt;1,AR909=""),"",INDEX(SLA_RES,AR909))</f>
        <v/>
      </c>
      <c r="BB909" s="35" t="str">
        <f aca="false">IF(OR(AW909="",BA909=""),"",IF(AW909&lt;=BA909,1,0))</f>
        <v/>
      </c>
      <c r="BC909" s="38" t="str">
        <f aca="false">IF(OR(BA909="",P909=""),"",WORKDAY(INT(P909),BA909,JoursFeries)+MOD(P909,1))</f>
        <v/>
      </c>
      <c r="BD909" s="39" t="str">
        <f aca="false">IF(AO909&lt;&gt;1,"",IF(OR(AB909&lt;&gt;"",AD909&lt;&gt;""),4,IF(U909&lt;&gt;"",3,IF(T909&lt;&gt;"",2,1))))</f>
        <v/>
      </c>
      <c r="BE909" s="39" t="str">
        <f aca="false">IF(OR(AO909&lt;&gt;1,AR909=""),"",INDEX(NIV_REQ,AR909))</f>
        <v/>
      </c>
      <c r="BF909" s="39" t="str">
        <f aca="false">IF(BE909="","",MAX(BE909,IF(OR(K909="Oui",Z909="Oui"),4,1)))</f>
        <v/>
      </c>
      <c r="BG909" s="35" t="str">
        <f aca="false">IF(OR(BF909="",BD909=""),"",IF(BD909&gt;=BF909,1,0))</f>
        <v/>
      </c>
      <c r="BH909" s="38" t="str">
        <f aca="false">IF(BE909="","",IF(BE909&lt;2,"",IF(BE909=2,IF(AND(T909="",U909=""),"",MIN(T909,U909)),IF(U909="","",U909))))</f>
        <v/>
      </c>
      <c r="BI909" s="37" t="str">
        <f aca="false">IF(BH909="","",IF(OR(O909="",BH909=""),"",IF(BH909&lt;O909,"",ROUND(((NETWORKDAYS(O909,BH909,JoursFeries)-1)*(HFer-HOuv)+IF(NETWORKDAYS(BH909,BH909,JoursFeries),MEDIAN(MOD(BH909,1),HFer,HOuv),HFer)-IF(NETWORKDAYS(O909,O909,JoursFeries),MEDIAN(MOD(O909,1),HFer,HOuv),HOuv))*24,4))))</f>
        <v/>
      </c>
      <c r="BJ909" s="35" t="str">
        <f aca="false">IF(OR(BI909="",AR909=""),"",IF(BI909&lt;=INDEX(DELAI_ESC,AR909),1,0))</f>
        <v/>
      </c>
      <c r="BK909" s="38" t="str">
        <f aca="false">IF(AO909&lt;&gt;1,"",IF(AND(T909="",U909=""),"",MIN(T909,U909)))</f>
        <v/>
      </c>
      <c r="BL909" s="37" t="str">
        <f aca="false">IF(OR(BK909="",R909=""),"",IFERROR(ROUND(IF(OR(BK909="",R909=""),"",IF(R909&lt;BK909,"",ROUND(((NETWORKDAYS(BK909,R909,JoursFeries)-1)*(HFer-HOuv)+IF(NETWORKDAYS(R909,R909,JoursFeries),MEDIAN(MOD(R909,1),HFer,HOuv),HFer)-IF(NETWORKDAYS(BK909,BK909,JoursFeries),MEDIAN(MOD(BK909,1),HFer,HOuv),HOuv))*24,4)))/HJour,4),""))</f>
        <v/>
      </c>
      <c r="BM909" s="35" t="str">
        <f aca="false">IF(OR(AO909&lt;&gt;1,R909=""),"",IF(BD909=1,1,0))</f>
        <v/>
      </c>
      <c r="BN909" s="35" t="str">
        <f aca="false">IF(AO909&lt;&gt;1,"",IF(W909="Oui",1,0))</f>
        <v/>
      </c>
      <c r="BO909" s="35" t="str">
        <f aca="false">IF(AO909&lt;&gt;1,"",IF(X909&lt;&gt;"",1,0))</f>
        <v/>
      </c>
      <c r="BP909" s="35" t="str">
        <f aca="false">IF(AO909&lt;&gt;1,"",IF(Y909="Oui",1,0))</f>
        <v/>
      </c>
      <c r="BQ909" s="35" t="str">
        <f aca="true">IF(OR(AO909&lt;&gt;1,Z909&lt;&gt;"Oui"),"",IF(AB909="",IF(AND(AA909&lt;&gt;"",NOW()&gt;AA909),0,""),IF(AA909="","",IF(AB909&lt;=AA909,1,0))))</f>
        <v/>
      </c>
      <c r="BR909" s="38" t="str">
        <f aca="false">IF(OR(AO909&lt;&gt;1,K909&lt;&gt;"Oui",O909=""),"",IF(AC909="",O909+DORA_H_DET/24,IF(AC909-O909&lt;=DORA_H_DET/24,MIN(AC909+DORA_H_CLA/24,O909+DORA_H_DET/24),AC909+DORA_H_CLA/24)))</f>
        <v/>
      </c>
      <c r="BS909" s="35" t="str">
        <f aca="true">IF(BR909="","",IF(AD909="",IF(NOW()&gt;BR909,0,""),IF(AD909&lt;=BR909,1,0)))</f>
        <v/>
      </c>
      <c r="BT909" s="35" t="str">
        <f aca="true">IF(OR(BR909="",AD909=""),"",IF(AE909="",IF(NOW()&gt;AD909+DORA_H_INT/24,0,""),IF(AE909&lt;=AD909+DORA_H_INT/24,1,0)))</f>
        <v/>
      </c>
      <c r="BU909" s="35" t="str">
        <f aca="true">IF(OR(BR909="",AE909=""),"",IF(AF909="",IF(NOW()&gt;EDATE(AE909,DORA_M_FIN)+1,0,""),IF(AF909&lt;=EDATE(AE909,DORA_M_FIN),1,0)))</f>
        <v/>
      </c>
      <c r="BV909" s="35" t="str">
        <f aca="false">IF(BR909="","",IF(COUNT(BS909:BU909)=0,"",MIN(BS909:BU909)))</f>
        <v/>
      </c>
      <c r="BW909" s="40" t="str">
        <f aca="false">IF(AQ909&lt;&gt;1,"",IF(AND(AG909="",AH909=""),"",N(AG909)-N(AH909)))</f>
        <v/>
      </c>
      <c r="BX909" s="35" t="str">
        <f aca="true">IF(OR(AQ909&lt;&gt;1,AI909&lt;&gt;"Oui",AJ909=""),"",IF(AK909="",IF(NOW()&gt;AJ909+1,0,""),IF(AK909&lt;=AJ909,1,0)))</f>
        <v/>
      </c>
    </row>
    <row r="910" customFormat="false" ht="15" hidden="false" customHeight="false" outlineLevel="0" collapsed="false">
      <c r="B910" s="29"/>
      <c r="C910" s="29"/>
      <c r="D910" s="29"/>
      <c r="E910" s="29"/>
      <c r="F910" s="29"/>
      <c r="G910" s="29"/>
      <c r="H910" s="29"/>
      <c r="I910" s="29"/>
      <c r="J910" s="29"/>
      <c r="K910" s="29"/>
      <c r="L910" s="29"/>
      <c r="M910" s="29"/>
      <c r="N910" s="30"/>
      <c r="O910" s="30"/>
      <c r="P910" s="30"/>
      <c r="Q910" s="30"/>
      <c r="R910" s="30"/>
      <c r="S910" s="30"/>
      <c r="T910" s="30"/>
      <c r="U910" s="30"/>
      <c r="V910" s="31"/>
      <c r="W910" s="29"/>
      <c r="X910" s="29"/>
      <c r="Y910" s="29"/>
      <c r="Z910" s="29"/>
      <c r="AA910" s="30"/>
      <c r="AB910" s="30"/>
      <c r="AC910" s="30"/>
      <c r="AD910" s="30"/>
      <c r="AE910" s="30"/>
      <c r="AF910" s="32"/>
      <c r="AG910" s="33"/>
      <c r="AH910" s="33"/>
      <c r="AI910" s="29"/>
      <c r="AJ910" s="32"/>
      <c r="AK910" s="32"/>
      <c r="AL910" s="29"/>
      <c r="AN910" s="34" t="str">
        <f aca="false">IF($B910="","",IF(OR(C910="",D910="",E910="",G910="",I910="",J910="",L910="",O910="",P910=""),"Champ obligatoire manquant",IF(OR(AND(N910&lt;&gt;"",N910&gt;O910),O910&gt;P910,AND(Q910&lt;&gt;"",Q910&lt;P910),AND(R910&lt;&gt;"",R910&lt;P910),AND(S910&lt;&gt;"",S910&lt;R910),AND(S910&lt;&gt;"",R910=""),AND(T910&lt;&gt;"",T910&lt;O910),AND(U910&lt;&gt;"",U910&lt;O910)),"Chronologie incohérente",IF(AND(OR(L910="Résolu",L910="Clos"),R910=""),"Date de résolution manquante",IF(AND(L910="Clos",S910=""),"Date de clôture manquante",IF(AND(K910="Oui",AC910=""),"Classification DORA manquante","OK"))))))</f>
        <v/>
      </c>
      <c r="AO910" s="35" t="str">
        <f aca="false">IF($B910="","",IF(AND(C910="Incident",L910&lt;&gt;"Annulé"),1,0))</f>
        <v/>
      </c>
      <c r="AP910" s="35" t="str">
        <f aca="false">IF($B910="","",IF(AND(C910="Quasi-incident",L910&lt;&gt;"Annulé"),1,0))</f>
        <v/>
      </c>
      <c r="AQ910" s="35" t="str">
        <f aca="false">IF($B910="","",AO910+AP910)</f>
        <v/>
      </c>
      <c r="AR910" s="36" t="str">
        <f aca="false">IF(OR($B910="",J910=""),"",IFERROR(VALUE(LEFT(J910,1)),""))</f>
        <v/>
      </c>
      <c r="AS910" s="35" t="str">
        <f aca="false">IF(OR(AO910&lt;&gt;1,G910=""),"",IFERROR(IF(INDEX(L_SrcInterne,MATCH(G910,L_Sources,0))="Oui",1,0),""))</f>
        <v/>
      </c>
      <c r="AT910" s="37" t="str">
        <f aca="false">IF(AO910&lt;&gt;1,"",IFERROR(ROUND(IF(OR(N910="",O910=""),"",IF(O910&lt;N910,"",ROUND(((NETWORKDAYS(N910,O910,JoursFeries)-1)*(HFer-HOuv)+IF(NETWORKDAYS(O910,O910,JoursFeries),MEDIAN(MOD(O910,1),HFer,HOuv),HFer)-IF(NETWORKDAYS(N910,N910,JoursFeries),MEDIAN(MOD(N910,1),HFer,HOuv),HOuv))*24,4)))/HJour,4),""))</f>
        <v/>
      </c>
      <c r="AU910" s="37" t="str">
        <f aca="false">IF(AO910&lt;&gt;1,"",IF(OR(O910="",P910=""),"",IF(P910&lt;O910,"",ROUND(((NETWORKDAYS(O910,P910,JoursFeries)-1)*(HFer-HOuv)+IF(NETWORKDAYS(P910,P910,JoursFeries),MEDIAN(MOD(P910,1),HFer,HOuv),HFer)-IF(NETWORKDAYS(O910,O910,JoursFeries),MEDIAN(MOD(O910,1),HFer,HOuv),HOuv))*24,4))))</f>
        <v/>
      </c>
      <c r="AV910" s="37" t="str">
        <f aca="false">IF(AO910&lt;&gt;1,"",IF(OR(P910="",Q910=""),"",IF(Q910&lt;P910,"",ROUND(((NETWORKDAYS(P910,Q910,JoursFeries)-1)*(HFer-HOuv)+IF(NETWORKDAYS(Q910,Q910,JoursFeries),MEDIAN(MOD(Q910,1),HFer,HOuv),HFer)-IF(NETWORKDAYS(P910,P910,JoursFeries),MEDIAN(MOD(P910,1),HFer,HOuv),HOuv))*24,4))))</f>
        <v/>
      </c>
      <c r="AW910" s="37" t="str">
        <f aca="false">IF(AO910&lt;&gt;1,"",IFERROR(ROUND(IF(OR(P910="",R910=""),"",IF(R910&lt;P910,"",ROUND(((NETWORKDAYS(P910,R910,JoursFeries)-1)*(HFer-HOuv)+IF(NETWORKDAYS(R910,R910,JoursFeries),MEDIAN(MOD(R910,1),HFer,HOuv),HFer)-IF(NETWORKDAYS(P910,P910,JoursFeries),MEDIAN(MOD(P910,1),HFer,HOuv),HOuv))*24,4)))/HJour,4),""))</f>
        <v/>
      </c>
      <c r="AX910" s="37" t="str">
        <f aca="false">IF(AO910&lt;&gt;1,"",IFERROR(ROUND(IF(OR(P910="",S910=""),"",IF(S910&lt;P910,"",ROUND(((NETWORKDAYS(P910,S910,JoursFeries)-1)*(HFer-HOuv)+IF(NETWORKDAYS(S910,S910,JoursFeries),MEDIAN(MOD(S910,1),HFer,HOuv),HFer)-IF(NETWORKDAYS(P910,P910,JoursFeries),MEDIAN(MOD(P910,1),HFer,HOuv),HOuv))*24,4)))/HJour,4),""))</f>
        <v/>
      </c>
      <c r="AY910" s="36" t="str">
        <f aca="false">IF(OR(AO910&lt;&gt;1,AR910=""),"",INDEX(SLA_PEC,AR910))</f>
        <v/>
      </c>
      <c r="AZ910" s="35" t="str">
        <f aca="false">IF(OR(AV910="",AY910=""),"",IF(AV910&lt;=AY910,1,0))</f>
        <v/>
      </c>
      <c r="BA910" s="36" t="str">
        <f aca="false">IF(OR(AO910&lt;&gt;1,AR910=""),"",INDEX(SLA_RES,AR910))</f>
        <v/>
      </c>
      <c r="BB910" s="35" t="str">
        <f aca="false">IF(OR(AW910="",BA910=""),"",IF(AW910&lt;=BA910,1,0))</f>
        <v/>
      </c>
      <c r="BC910" s="38" t="str">
        <f aca="false">IF(OR(BA910="",P910=""),"",WORKDAY(INT(P910),BA910,JoursFeries)+MOD(P910,1))</f>
        <v/>
      </c>
      <c r="BD910" s="39" t="str">
        <f aca="false">IF(AO910&lt;&gt;1,"",IF(OR(AB910&lt;&gt;"",AD910&lt;&gt;""),4,IF(U910&lt;&gt;"",3,IF(T910&lt;&gt;"",2,1))))</f>
        <v/>
      </c>
      <c r="BE910" s="39" t="str">
        <f aca="false">IF(OR(AO910&lt;&gt;1,AR910=""),"",INDEX(NIV_REQ,AR910))</f>
        <v/>
      </c>
      <c r="BF910" s="39" t="str">
        <f aca="false">IF(BE910="","",MAX(BE910,IF(OR(K910="Oui",Z910="Oui"),4,1)))</f>
        <v/>
      </c>
      <c r="BG910" s="35" t="str">
        <f aca="false">IF(OR(BF910="",BD910=""),"",IF(BD910&gt;=BF910,1,0))</f>
        <v/>
      </c>
      <c r="BH910" s="38" t="str">
        <f aca="false">IF(BE910="","",IF(BE910&lt;2,"",IF(BE910=2,IF(AND(T910="",U910=""),"",MIN(T910,U910)),IF(U910="","",U910))))</f>
        <v/>
      </c>
      <c r="BI910" s="37" t="str">
        <f aca="false">IF(BH910="","",IF(OR(O910="",BH910=""),"",IF(BH910&lt;O910,"",ROUND(((NETWORKDAYS(O910,BH910,JoursFeries)-1)*(HFer-HOuv)+IF(NETWORKDAYS(BH910,BH910,JoursFeries),MEDIAN(MOD(BH910,1),HFer,HOuv),HFer)-IF(NETWORKDAYS(O910,O910,JoursFeries),MEDIAN(MOD(O910,1),HFer,HOuv),HOuv))*24,4))))</f>
        <v/>
      </c>
      <c r="BJ910" s="35" t="str">
        <f aca="false">IF(OR(BI910="",AR910=""),"",IF(BI910&lt;=INDEX(DELAI_ESC,AR910),1,0))</f>
        <v/>
      </c>
      <c r="BK910" s="38" t="str">
        <f aca="false">IF(AO910&lt;&gt;1,"",IF(AND(T910="",U910=""),"",MIN(T910,U910)))</f>
        <v/>
      </c>
      <c r="BL910" s="37" t="str">
        <f aca="false">IF(OR(BK910="",R910=""),"",IFERROR(ROUND(IF(OR(BK910="",R910=""),"",IF(R910&lt;BK910,"",ROUND(((NETWORKDAYS(BK910,R910,JoursFeries)-1)*(HFer-HOuv)+IF(NETWORKDAYS(R910,R910,JoursFeries),MEDIAN(MOD(R910,1),HFer,HOuv),HFer)-IF(NETWORKDAYS(BK910,BK910,JoursFeries),MEDIAN(MOD(BK910,1),HFer,HOuv),HOuv))*24,4)))/HJour,4),""))</f>
        <v/>
      </c>
      <c r="BM910" s="35" t="str">
        <f aca="false">IF(OR(AO910&lt;&gt;1,R910=""),"",IF(BD910=1,1,0))</f>
        <v/>
      </c>
      <c r="BN910" s="35" t="str">
        <f aca="false">IF(AO910&lt;&gt;1,"",IF(W910="Oui",1,0))</f>
        <v/>
      </c>
      <c r="BO910" s="35" t="str">
        <f aca="false">IF(AO910&lt;&gt;1,"",IF(X910&lt;&gt;"",1,0))</f>
        <v/>
      </c>
      <c r="BP910" s="35" t="str">
        <f aca="false">IF(AO910&lt;&gt;1,"",IF(Y910="Oui",1,0))</f>
        <v/>
      </c>
      <c r="BQ910" s="35" t="str">
        <f aca="true">IF(OR(AO910&lt;&gt;1,Z910&lt;&gt;"Oui"),"",IF(AB910="",IF(AND(AA910&lt;&gt;"",NOW()&gt;AA910),0,""),IF(AA910="","",IF(AB910&lt;=AA910,1,0))))</f>
        <v/>
      </c>
      <c r="BR910" s="38" t="str">
        <f aca="false">IF(OR(AO910&lt;&gt;1,K910&lt;&gt;"Oui",O910=""),"",IF(AC910="",O910+DORA_H_DET/24,IF(AC910-O910&lt;=DORA_H_DET/24,MIN(AC910+DORA_H_CLA/24,O910+DORA_H_DET/24),AC910+DORA_H_CLA/24)))</f>
        <v/>
      </c>
      <c r="BS910" s="35" t="str">
        <f aca="true">IF(BR910="","",IF(AD910="",IF(NOW()&gt;BR910,0,""),IF(AD910&lt;=BR910,1,0)))</f>
        <v/>
      </c>
      <c r="BT910" s="35" t="str">
        <f aca="true">IF(OR(BR910="",AD910=""),"",IF(AE910="",IF(NOW()&gt;AD910+DORA_H_INT/24,0,""),IF(AE910&lt;=AD910+DORA_H_INT/24,1,0)))</f>
        <v/>
      </c>
      <c r="BU910" s="35" t="str">
        <f aca="true">IF(OR(BR910="",AE910=""),"",IF(AF910="",IF(NOW()&gt;EDATE(AE910,DORA_M_FIN)+1,0,""),IF(AF910&lt;=EDATE(AE910,DORA_M_FIN),1,0)))</f>
        <v/>
      </c>
      <c r="BV910" s="35" t="str">
        <f aca="false">IF(BR910="","",IF(COUNT(BS910:BU910)=0,"",MIN(BS910:BU910)))</f>
        <v/>
      </c>
      <c r="BW910" s="40" t="str">
        <f aca="false">IF(AQ910&lt;&gt;1,"",IF(AND(AG910="",AH910=""),"",N(AG910)-N(AH910)))</f>
        <v/>
      </c>
      <c r="BX910" s="35" t="str">
        <f aca="true">IF(OR(AQ910&lt;&gt;1,AI910&lt;&gt;"Oui",AJ910=""),"",IF(AK910="",IF(NOW()&gt;AJ910+1,0,""),IF(AK910&lt;=AJ910,1,0)))</f>
        <v/>
      </c>
    </row>
    <row r="911" customFormat="false" ht="15" hidden="false" customHeight="false" outlineLevel="0" collapsed="false">
      <c r="B911" s="29"/>
      <c r="C911" s="29"/>
      <c r="D911" s="29"/>
      <c r="E911" s="29"/>
      <c r="F911" s="29"/>
      <c r="G911" s="29"/>
      <c r="H911" s="29"/>
      <c r="I911" s="29"/>
      <c r="J911" s="29"/>
      <c r="K911" s="29"/>
      <c r="L911" s="29"/>
      <c r="M911" s="29"/>
      <c r="N911" s="30"/>
      <c r="O911" s="30"/>
      <c r="P911" s="30"/>
      <c r="Q911" s="30"/>
      <c r="R911" s="30"/>
      <c r="S911" s="30"/>
      <c r="T911" s="30"/>
      <c r="U911" s="30"/>
      <c r="V911" s="31"/>
      <c r="W911" s="29"/>
      <c r="X911" s="29"/>
      <c r="Y911" s="29"/>
      <c r="Z911" s="29"/>
      <c r="AA911" s="30"/>
      <c r="AB911" s="30"/>
      <c r="AC911" s="30"/>
      <c r="AD911" s="30"/>
      <c r="AE911" s="30"/>
      <c r="AF911" s="32"/>
      <c r="AG911" s="33"/>
      <c r="AH911" s="33"/>
      <c r="AI911" s="29"/>
      <c r="AJ911" s="32"/>
      <c r="AK911" s="32"/>
      <c r="AL911" s="29"/>
      <c r="AN911" s="34" t="str">
        <f aca="false">IF($B911="","",IF(OR(C911="",D911="",E911="",G911="",I911="",J911="",L911="",O911="",P911=""),"Champ obligatoire manquant",IF(OR(AND(N911&lt;&gt;"",N911&gt;O911),O911&gt;P911,AND(Q911&lt;&gt;"",Q911&lt;P911),AND(R911&lt;&gt;"",R911&lt;P911),AND(S911&lt;&gt;"",S911&lt;R911),AND(S911&lt;&gt;"",R911=""),AND(T911&lt;&gt;"",T911&lt;O911),AND(U911&lt;&gt;"",U911&lt;O911)),"Chronologie incohérente",IF(AND(OR(L911="Résolu",L911="Clos"),R911=""),"Date de résolution manquante",IF(AND(L911="Clos",S911=""),"Date de clôture manquante",IF(AND(K911="Oui",AC911=""),"Classification DORA manquante","OK"))))))</f>
        <v/>
      </c>
      <c r="AO911" s="35" t="str">
        <f aca="false">IF($B911="","",IF(AND(C911="Incident",L911&lt;&gt;"Annulé"),1,0))</f>
        <v/>
      </c>
      <c r="AP911" s="35" t="str">
        <f aca="false">IF($B911="","",IF(AND(C911="Quasi-incident",L911&lt;&gt;"Annulé"),1,0))</f>
        <v/>
      </c>
      <c r="AQ911" s="35" t="str">
        <f aca="false">IF($B911="","",AO911+AP911)</f>
        <v/>
      </c>
      <c r="AR911" s="36" t="str">
        <f aca="false">IF(OR($B911="",J911=""),"",IFERROR(VALUE(LEFT(J911,1)),""))</f>
        <v/>
      </c>
      <c r="AS911" s="35" t="str">
        <f aca="false">IF(OR(AO911&lt;&gt;1,G911=""),"",IFERROR(IF(INDEX(L_SrcInterne,MATCH(G911,L_Sources,0))="Oui",1,0),""))</f>
        <v/>
      </c>
      <c r="AT911" s="37" t="str">
        <f aca="false">IF(AO911&lt;&gt;1,"",IFERROR(ROUND(IF(OR(N911="",O911=""),"",IF(O911&lt;N911,"",ROUND(((NETWORKDAYS(N911,O911,JoursFeries)-1)*(HFer-HOuv)+IF(NETWORKDAYS(O911,O911,JoursFeries),MEDIAN(MOD(O911,1),HFer,HOuv),HFer)-IF(NETWORKDAYS(N911,N911,JoursFeries),MEDIAN(MOD(N911,1),HFer,HOuv),HOuv))*24,4)))/HJour,4),""))</f>
        <v/>
      </c>
      <c r="AU911" s="37" t="str">
        <f aca="false">IF(AO911&lt;&gt;1,"",IF(OR(O911="",P911=""),"",IF(P911&lt;O911,"",ROUND(((NETWORKDAYS(O911,P911,JoursFeries)-1)*(HFer-HOuv)+IF(NETWORKDAYS(P911,P911,JoursFeries),MEDIAN(MOD(P911,1),HFer,HOuv),HFer)-IF(NETWORKDAYS(O911,O911,JoursFeries),MEDIAN(MOD(O911,1),HFer,HOuv),HOuv))*24,4))))</f>
        <v/>
      </c>
      <c r="AV911" s="37" t="str">
        <f aca="false">IF(AO911&lt;&gt;1,"",IF(OR(P911="",Q911=""),"",IF(Q911&lt;P911,"",ROUND(((NETWORKDAYS(P911,Q911,JoursFeries)-1)*(HFer-HOuv)+IF(NETWORKDAYS(Q911,Q911,JoursFeries),MEDIAN(MOD(Q911,1),HFer,HOuv),HFer)-IF(NETWORKDAYS(P911,P911,JoursFeries),MEDIAN(MOD(P911,1),HFer,HOuv),HOuv))*24,4))))</f>
        <v/>
      </c>
      <c r="AW911" s="37" t="str">
        <f aca="false">IF(AO911&lt;&gt;1,"",IFERROR(ROUND(IF(OR(P911="",R911=""),"",IF(R911&lt;P911,"",ROUND(((NETWORKDAYS(P911,R911,JoursFeries)-1)*(HFer-HOuv)+IF(NETWORKDAYS(R911,R911,JoursFeries),MEDIAN(MOD(R911,1),HFer,HOuv),HFer)-IF(NETWORKDAYS(P911,P911,JoursFeries),MEDIAN(MOD(P911,1),HFer,HOuv),HOuv))*24,4)))/HJour,4),""))</f>
        <v/>
      </c>
      <c r="AX911" s="37" t="str">
        <f aca="false">IF(AO911&lt;&gt;1,"",IFERROR(ROUND(IF(OR(P911="",S911=""),"",IF(S911&lt;P911,"",ROUND(((NETWORKDAYS(P911,S911,JoursFeries)-1)*(HFer-HOuv)+IF(NETWORKDAYS(S911,S911,JoursFeries),MEDIAN(MOD(S911,1),HFer,HOuv),HFer)-IF(NETWORKDAYS(P911,P911,JoursFeries),MEDIAN(MOD(P911,1),HFer,HOuv),HOuv))*24,4)))/HJour,4),""))</f>
        <v/>
      </c>
      <c r="AY911" s="36" t="str">
        <f aca="false">IF(OR(AO911&lt;&gt;1,AR911=""),"",INDEX(SLA_PEC,AR911))</f>
        <v/>
      </c>
      <c r="AZ911" s="35" t="str">
        <f aca="false">IF(OR(AV911="",AY911=""),"",IF(AV911&lt;=AY911,1,0))</f>
        <v/>
      </c>
      <c r="BA911" s="36" t="str">
        <f aca="false">IF(OR(AO911&lt;&gt;1,AR911=""),"",INDEX(SLA_RES,AR911))</f>
        <v/>
      </c>
      <c r="BB911" s="35" t="str">
        <f aca="false">IF(OR(AW911="",BA911=""),"",IF(AW911&lt;=BA911,1,0))</f>
        <v/>
      </c>
      <c r="BC911" s="38" t="str">
        <f aca="false">IF(OR(BA911="",P911=""),"",WORKDAY(INT(P911),BA911,JoursFeries)+MOD(P911,1))</f>
        <v/>
      </c>
      <c r="BD911" s="39" t="str">
        <f aca="false">IF(AO911&lt;&gt;1,"",IF(OR(AB911&lt;&gt;"",AD911&lt;&gt;""),4,IF(U911&lt;&gt;"",3,IF(T911&lt;&gt;"",2,1))))</f>
        <v/>
      </c>
      <c r="BE911" s="39" t="str">
        <f aca="false">IF(OR(AO911&lt;&gt;1,AR911=""),"",INDEX(NIV_REQ,AR911))</f>
        <v/>
      </c>
      <c r="BF911" s="39" t="str">
        <f aca="false">IF(BE911="","",MAX(BE911,IF(OR(K911="Oui",Z911="Oui"),4,1)))</f>
        <v/>
      </c>
      <c r="BG911" s="35" t="str">
        <f aca="false">IF(OR(BF911="",BD911=""),"",IF(BD911&gt;=BF911,1,0))</f>
        <v/>
      </c>
      <c r="BH911" s="38" t="str">
        <f aca="false">IF(BE911="","",IF(BE911&lt;2,"",IF(BE911=2,IF(AND(T911="",U911=""),"",MIN(T911,U911)),IF(U911="","",U911))))</f>
        <v/>
      </c>
      <c r="BI911" s="37" t="str">
        <f aca="false">IF(BH911="","",IF(OR(O911="",BH911=""),"",IF(BH911&lt;O911,"",ROUND(((NETWORKDAYS(O911,BH911,JoursFeries)-1)*(HFer-HOuv)+IF(NETWORKDAYS(BH911,BH911,JoursFeries),MEDIAN(MOD(BH911,1),HFer,HOuv),HFer)-IF(NETWORKDAYS(O911,O911,JoursFeries),MEDIAN(MOD(O911,1),HFer,HOuv),HOuv))*24,4))))</f>
        <v/>
      </c>
      <c r="BJ911" s="35" t="str">
        <f aca="false">IF(OR(BI911="",AR911=""),"",IF(BI911&lt;=INDEX(DELAI_ESC,AR911),1,0))</f>
        <v/>
      </c>
      <c r="BK911" s="38" t="str">
        <f aca="false">IF(AO911&lt;&gt;1,"",IF(AND(T911="",U911=""),"",MIN(T911,U911)))</f>
        <v/>
      </c>
      <c r="BL911" s="37" t="str">
        <f aca="false">IF(OR(BK911="",R911=""),"",IFERROR(ROUND(IF(OR(BK911="",R911=""),"",IF(R911&lt;BK911,"",ROUND(((NETWORKDAYS(BK911,R911,JoursFeries)-1)*(HFer-HOuv)+IF(NETWORKDAYS(R911,R911,JoursFeries),MEDIAN(MOD(R911,1),HFer,HOuv),HFer)-IF(NETWORKDAYS(BK911,BK911,JoursFeries),MEDIAN(MOD(BK911,1),HFer,HOuv),HOuv))*24,4)))/HJour,4),""))</f>
        <v/>
      </c>
      <c r="BM911" s="35" t="str">
        <f aca="false">IF(OR(AO911&lt;&gt;1,R911=""),"",IF(BD911=1,1,0))</f>
        <v/>
      </c>
      <c r="BN911" s="35" t="str">
        <f aca="false">IF(AO911&lt;&gt;1,"",IF(W911="Oui",1,0))</f>
        <v/>
      </c>
      <c r="BO911" s="35" t="str">
        <f aca="false">IF(AO911&lt;&gt;1,"",IF(X911&lt;&gt;"",1,0))</f>
        <v/>
      </c>
      <c r="BP911" s="35" t="str">
        <f aca="false">IF(AO911&lt;&gt;1,"",IF(Y911="Oui",1,0))</f>
        <v/>
      </c>
      <c r="BQ911" s="35" t="str">
        <f aca="true">IF(OR(AO911&lt;&gt;1,Z911&lt;&gt;"Oui"),"",IF(AB911="",IF(AND(AA911&lt;&gt;"",NOW()&gt;AA911),0,""),IF(AA911="","",IF(AB911&lt;=AA911,1,0))))</f>
        <v/>
      </c>
      <c r="BR911" s="38" t="str">
        <f aca="false">IF(OR(AO911&lt;&gt;1,K911&lt;&gt;"Oui",O911=""),"",IF(AC911="",O911+DORA_H_DET/24,IF(AC911-O911&lt;=DORA_H_DET/24,MIN(AC911+DORA_H_CLA/24,O911+DORA_H_DET/24),AC911+DORA_H_CLA/24)))</f>
        <v/>
      </c>
      <c r="BS911" s="35" t="str">
        <f aca="true">IF(BR911="","",IF(AD911="",IF(NOW()&gt;BR911,0,""),IF(AD911&lt;=BR911,1,0)))</f>
        <v/>
      </c>
      <c r="BT911" s="35" t="str">
        <f aca="true">IF(OR(BR911="",AD911=""),"",IF(AE911="",IF(NOW()&gt;AD911+DORA_H_INT/24,0,""),IF(AE911&lt;=AD911+DORA_H_INT/24,1,0)))</f>
        <v/>
      </c>
      <c r="BU911" s="35" t="str">
        <f aca="true">IF(OR(BR911="",AE911=""),"",IF(AF911="",IF(NOW()&gt;EDATE(AE911,DORA_M_FIN)+1,0,""),IF(AF911&lt;=EDATE(AE911,DORA_M_FIN),1,0)))</f>
        <v/>
      </c>
      <c r="BV911" s="35" t="str">
        <f aca="false">IF(BR911="","",IF(COUNT(BS911:BU911)=0,"",MIN(BS911:BU911)))</f>
        <v/>
      </c>
      <c r="BW911" s="40" t="str">
        <f aca="false">IF(AQ911&lt;&gt;1,"",IF(AND(AG911="",AH911=""),"",N(AG911)-N(AH911)))</f>
        <v/>
      </c>
      <c r="BX911" s="35" t="str">
        <f aca="true">IF(OR(AQ911&lt;&gt;1,AI911&lt;&gt;"Oui",AJ911=""),"",IF(AK911="",IF(NOW()&gt;AJ911+1,0,""),IF(AK911&lt;=AJ911,1,0)))</f>
        <v/>
      </c>
    </row>
    <row r="912" customFormat="false" ht="15" hidden="false" customHeight="false" outlineLevel="0" collapsed="false">
      <c r="B912" s="29"/>
      <c r="C912" s="29"/>
      <c r="D912" s="29"/>
      <c r="E912" s="29"/>
      <c r="F912" s="29"/>
      <c r="G912" s="29"/>
      <c r="H912" s="29"/>
      <c r="I912" s="29"/>
      <c r="J912" s="29"/>
      <c r="K912" s="29"/>
      <c r="L912" s="29"/>
      <c r="M912" s="29"/>
      <c r="N912" s="30"/>
      <c r="O912" s="30"/>
      <c r="P912" s="30"/>
      <c r="Q912" s="30"/>
      <c r="R912" s="30"/>
      <c r="S912" s="30"/>
      <c r="T912" s="30"/>
      <c r="U912" s="30"/>
      <c r="V912" s="31"/>
      <c r="W912" s="29"/>
      <c r="X912" s="29"/>
      <c r="Y912" s="29"/>
      <c r="Z912" s="29"/>
      <c r="AA912" s="30"/>
      <c r="AB912" s="30"/>
      <c r="AC912" s="30"/>
      <c r="AD912" s="30"/>
      <c r="AE912" s="30"/>
      <c r="AF912" s="32"/>
      <c r="AG912" s="33"/>
      <c r="AH912" s="33"/>
      <c r="AI912" s="29"/>
      <c r="AJ912" s="32"/>
      <c r="AK912" s="32"/>
      <c r="AL912" s="29"/>
      <c r="AN912" s="34" t="str">
        <f aca="false">IF($B912="","",IF(OR(C912="",D912="",E912="",G912="",I912="",J912="",L912="",O912="",P912=""),"Champ obligatoire manquant",IF(OR(AND(N912&lt;&gt;"",N912&gt;O912),O912&gt;P912,AND(Q912&lt;&gt;"",Q912&lt;P912),AND(R912&lt;&gt;"",R912&lt;P912),AND(S912&lt;&gt;"",S912&lt;R912),AND(S912&lt;&gt;"",R912=""),AND(T912&lt;&gt;"",T912&lt;O912),AND(U912&lt;&gt;"",U912&lt;O912)),"Chronologie incohérente",IF(AND(OR(L912="Résolu",L912="Clos"),R912=""),"Date de résolution manquante",IF(AND(L912="Clos",S912=""),"Date de clôture manquante",IF(AND(K912="Oui",AC912=""),"Classification DORA manquante","OK"))))))</f>
        <v/>
      </c>
      <c r="AO912" s="35" t="str">
        <f aca="false">IF($B912="","",IF(AND(C912="Incident",L912&lt;&gt;"Annulé"),1,0))</f>
        <v/>
      </c>
      <c r="AP912" s="35" t="str">
        <f aca="false">IF($B912="","",IF(AND(C912="Quasi-incident",L912&lt;&gt;"Annulé"),1,0))</f>
        <v/>
      </c>
      <c r="AQ912" s="35" t="str">
        <f aca="false">IF($B912="","",AO912+AP912)</f>
        <v/>
      </c>
      <c r="AR912" s="36" t="str">
        <f aca="false">IF(OR($B912="",J912=""),"",IFERROR(VALUE(LEFT(J912,1)),""))</f>
        <v/>
      </c>
      <c r="AS912" s="35" t="str">
        <f aca="false">IF(OR(AO912&lt;&gt;1,G912=""),"",IFERROR(IF(INDEX(L_SrcInterne,MATCH(G912,L_Sources,0))="Oui",1,0),""))</f>
        <v/>
      </c>
      <c r="AT912" s="37" t="str">
        <f aca="false">IF(AO912&lt;&gt;1,"",IFERROR(ROUND(IF(OR(N912="",O912=""),"",IF(O912&lt;N912,"",ROUND(((NETWORKDAYS(N912,O912,JoursFeries)-1)*(HFer-HOuv)+IF(NETWORKDAYS(O912,O912,JoursFeries),MEDIAN(MOD(O912,1),HFer,HOuv),HFer)-IF(NETWORKDAYS(N912,N912,JoursFeries),MEDIAN(MOD(N912,1),HFer,HOuv),HOuv))*24,4)))/HJour,4),""))</f>
        <v/>
      </c>
      <c r="AU912" s="37" t="str">
        <f aca="false">IF(AO912&lt;&gt;1,"",IF(OR(O912="",P912=""),"",IF(P912&lt;O912,"",ROUND(((NETWORKDAYS(O912,P912,JoursFeries)-1)*(HFer-HOuv)+IF(NETWORKDAYS(P912,P912,JoursFeries),MEDIAN(MOD(P912,1),HFer,HOuv),HFer)-IF(NETWORKDAYS(O912,O912,JoursFeries),MEDIAN(MOD(O912,1),HFer,HOuv),HOuv))*24,4))))</f>
        <v/>
      </c>
      <c r="AV912" s="37" t="str">
        <f aca="false">IF(AO912&lt;&gt;1,"",IF(OR(P912="",Q912=""),"",IF(Q912&lt;P912,"",ROUND(((NETWORKDAYS(P912,Q912,JoursFeries)-1)*(HFer-HOuv)+IF(NETWORKDAYS(Q912,Q912,JoursFeries),MEDIAN(MOD(Q912,1),HFer,HOuv),HFer)-IF(NETWORKDAYS(P912,P912,JoursFeries),MEDIAN(MOD(P912,1),HFer,HOuv),HOuv))*24,4))))</f>
        <v/>
      </c>
      <c r="AW912" s="37" t="str">
        <f aca="false">IF(AO912&lt;&gt;1,"",IFERROR(ROUND(IF(OR(P912="",R912=""),"",IF(R912&lt;P912,"",ROUND(((NETWORKDAYS(P912,R912,JoursFeries)-1)*(HFer-HOuv)+IF(NETWORKDAYS(R912,R912,JoursFeries),MEDIAN(MOD(R912,1),HFer,HOuv),HFer)-IF(NETWORKDAYS(P912,P912,JoursFeries),MEDIAN(MOD(P912,1),HFer,HOuv),HOuv))*24,4)))/HJour,4),""))</f>
        <v/>
      </c>
      <c r="AX912" s="37" t="str">
        <f aca="false">IF(AO912&lt;&gt;1,"",IFERROR(ROUND(IF(OR(P912="",S912=""),"",IF(S912&lt;P912,"",ROUND(((NETWORKDAYS(P912,S912,JoursFeries)-1)*(HFer-HOuv)+IF(NETWORKDAYS(S912,S912,JoursFeries),MEDIAN(MOD(S912,1),HFer,HOuv),HFer)-IF(NETWORKDAYS(P912,P912,JoursFeries),MEDIAN(MOD(P912,1),HFer,HOuv),HOuv))*24,4)))/HJour,4),""))</f>
        <v/>
      </c>
      <c r="AY912" s="36" t="str">
        <f aca="false">IF(OR(AO912&lt;&gt;1,AR912=""),"",INDEX(SLA_PEC,AR912))</f>
        <v/>
      </c>
      <c r="AZ912" s="35" t="str">
        <f aca="false">IF(OR(AV912="",AY912=""),"",IF(AV912&lt;=AY912,1,0))</f>
        <v/>
      </c>
      <c r="BA912" s="36" t="str">
        <f aca="false">IF(OR(AO912&lt;&gt;1,AR912=""),"",INDEX(SLA_RES,AR912))</f>
        <v/>
      </c>
      <c r="BB912" s="35" t="str">
        <f aca="false">IF(OR(AW912="",BA912=""),"",IF(AW912&lt;=BA912,1,0))</f>
        <v/>
      </c>
      <c r="BC912" s="38" t="str">
        <f aca="false">IF(OR(BA912="",P912=""),"",WORKDAY(INT(P912),BA912,JoursFeries)+MOD(P912,1))</f>
        <v/>
      </c>
      <c r="BD912" s="39" t="str">
        <f aca="false">IF(AO912&lt;&gt;1,"",IF(OR(AB912&lt;&gt;"",AD912&lt;&gt;""),4,IF(U912&lt;&gt;"",3,IF(T912&lt;&gt;"",2,1))))</f>
        <v/>
      </c>
      <c r="BE912" s="39" t="str">
        <f aca="false">IF(OR(AO912&lt;&gt;1,AR912=""),"",INDEX(NIV_REQ,AR912))</f>
        <v/>
      </c>
      <c r="BF912" s="39" t="str">
        <f aca="false">IF(BE912="","",MAX(BE912,IF(OR(K912="Oui",Z912="Oui"),4,1)))</f>
        <v/>
      </c>
      <c r="BG912" s="35" t="str">
        <f aca="false">IF(OR(BF912="",BD912=""),"",IF(BD912&gt;=BF912,1,0))</f>
        <v/>
      </c>
      <c r="BH912" s="38" t="str">
        <f aca="false">IF(BE912="","",IF(BE912&lt;2,"",IF(BE912=2,IF(AND(T912="",U912=""),"",MIN(T912,U912)),IF(U912="","",U912))))</f>
        <v/>
      </c>
      <c r="BI912" s="37" t="str">
        <f aca="false">IF(BH912="","",IF(OR(O912="",BH912=""),"",IF(BH912&lt;O912,"",ROUND(((NETWORKDAYS(O912,BH912,JoursFeries)-1)*(HFer-HOuv)+IF(NETWORKDAYS(BH912,BH912,JoursFeries),MEDIAN(MOD(BH912,1),HFer,HOuv),HFer)-IF(NETWORKDAYS(O912,O912,JoursFeries),MEDIAN(MOD(O912,1),HFer,HOuv),HOuv))*24,4))))</f>
        <v/>
      </c>
      <c r="BJ912" s="35" t="str">
        <f aca="false">IF(OR(BI912="",AR912=""),"",IF(BI912&lt;=INDEX(DELAI_ESC,AR912),1,0))</f>
        <v/>
      </c>
      <c r="BK912" s="38" t="str">
        <f aca="false">IF(AO912&lt;&gt;1,"",IF(AND(T912="",U912=""),"",MIN(T912,U912)))</f>
        <v/>
      </c>
      <c r="BL912" s="37" t="str">
        <f aca="false">IF(OR(BK912="",R912=""),"",IFERROR(ROUND(IF(OR(BK912="",R912=""),"",IF(R912&lt;BK912,"",ROUND(((NETWORKDAYS(BK912,R912,JoursFeries)-1)*(HFer-HOuv)+IF(NETWORKDAYS(R912,R912,JoursFeries),MEDIAN(MOD(R912,1),HFer,HOuv),HFer)-IF(NETWORKDAYS(BK912,BK912,JoursFeries),MEDIAN(MOD(BK912,1),HFer,HOuv),HOuv))*24,4)))/HJour,4),""))</f>
        <v/>
      </c>
      <c r="BM912" s="35" t="str">
        <f aca="false">IF(OR(AO912&lt;&gt;1,R912=""),"",IF(BD912=1,1,0))</f>
        <v/>
      </c>
      <c r="BN912" s="35" t="str">
        <f aca="false">IF(AO912&lt;&gt;1,"",IF(W912="Oui",1,0))</f>
        <v/>
      </c>
      <c r="BO912" s="35" t="str">
        <f aca="false">IF(AO912&lt;&gt;1,"",IF(X912&lt;&gt;"",1,0))</f>
        <v/>
      </c>
      <c r="BP912" s="35" t="str">
        <f aca="false">IF(AO912&lt;&gt;1,"",IF(Y912="Oui",1,0))</f>
        <v/>
      </c>
      <c r="BQ912" s="35" t="str">
        <f aca="true">IF(OR(AO912&lt;&gt;1,Z912&lt;&gt;"Oui"),"",IF(AB912="",IF(AND(AA912&lt;&gt;"",NOW()&gt;AA912),0,""),IF(AA912="","",IF(AB912&lt;=AA912,1,0))))</f>
        <v/>
      </c>
      <c r="BR912" s="38" t="str">
        <f aca="false">IF(OR(AO912&lt;&gt;1,K912&lt;&gt;"Oui",O912=""),"",IF(AC912="",O912+DORA_H_DET/24,IF(AC912-O912&lt;=DORA_H_DET/24,MIN(AC912+DORA_H_CLA/24,O912+DORA_H_DET/24),AC912+DORA_H_CLA/24)))</f>
        <v/>
      </c>
      <c r="BS912" s="35" t="str">
        <f aca="true">IF(BR912="","",IF(AD912="",IF(NOW()&gt;BR912,0,""),IF(AD912&lt;=BR912,1,0)))</f>
        <v/>
      </c>
      <c r="BT912" s="35" t="str">
        <f aca="true">IF(OR(BR912="",AD912=""),"",IF(AE912="",IF(NOW()&gt;AD912+DORA_H_INT/24,0,""),IF(AE912&lt;=AD912+DORA_H_INT/24,1,0)))</f>
        <v/>
      </c>
      <c r="BU912" s="35" t="str">
        <f aca="true">IF(OR(BR912="",AE912=""),"",IF(AF912="",IF(NOW()&gt;EDATE(AE912,DORA_M_FIN)+1,0,""),IF(AF912&lt;=EDATE(AE912,DORA_M_FIN),1,0)))</f>
        <v/>
      </c>
      <c r="BV912" s="35" t="str">
        <f aca="false">IF(BR912="","",IF(COUNT(BS912:BU912)=0,"",MIN(BS912:BU912)))</f>
        <v/>
      </c>
      <c r="BW912" s="40" t="str">
        <f aca="false">IF(AQ912&lt;&gt;1,"",IF(AND(AG912="",AH912=""),"",N(AG912)-N(AH912)))</f>
        <v/>
      </c>
      <c r="BX912" s="35" t="str">
        <f aca="true">IF(OR(AQ912&lt;&gt;1,AI912&lt;&gt;"Oui",AJ912=""),"",IF(AK912="",IF(NOW()&gt;AJ912+1,0,""),IF(AK912&lt;=AJ912,1,0)))</f>
        <v/>
      </c>
    </row>
    <row r="913" customFormat="false" ht="15" hidden="false" customHeight="false" outlineLevel="0" collapsed="false">
      <c r="B913" s="29"/>
      <c r="C913" s="29"/>
      <c r="D913" s="29"/>
      <c r="E913" s="29"/>
      <c r="F913" s="29"/>
      <c r="G913" s="29"/>
      <c r="H913" s="29"/>
      <c r="I913" s="29"/>
      <c r="J913" s="29"/>
      <c r="K913" s="29"/>
      <c r="L913" s="29"/>
      <c r="M913" s="29"/>
      <c r="N913" s="30"/>
      <c r="O913" s="30"/>
      <c r="P913" s="30"/>
      <c r="Q913" s="30"/>
      <c r="R913" s="30"/>
      <c r="S913" s="30"/>
      <c r="T913" s="30"/>
      <c r="U913" s="30"/>
      <c r="V913" s="31"/>
      <c r="W913" s="29"/>
      <c r="X913" s="29"/>
      <c r="Y913" s="29"/>
      <c r="Z913" s="29"/>
      <c r="AA913" s="30"/>
      <c r="AB913" s="30"/>
      <c r="AC913" s="30"/>
      <c r="AD913" s="30"/>
      <c r="AE913" s="30"/>
      <c r="AF913" s="32"/>
      <c r="AG913" s="33"/>
      <c r="AH913" s="33"/>
      <c r="AI913" s="29"/>
      <c r="AJ913" s="32"/>
      <c r="AK913" s="32"/>
      <c r="AL913" s="29"/>
      <c r="AN913" s="34" t="str">
        <f aca="false">IF($B913="","",IF(OR(C913="",D913="",E913="",G913="",I913="",J913="",L913="",O913="",P913=""),"Champ obligatoire manquant",IF(OR(AND(N913&lt;&gt;"",N913&gt;O913),O913&gt;P913,AND(Q913&lt;&gt;"",Q913&lt;P913),AND(R913&lt;&gt;"",R913&lt;P913),AND(S913&lt;&gt;"",S913&lt;R913),AND(S913&lt;&gt;"",R913=""),AND(T913&lt;&gt;"",T913&lt;O913),AND(U913&lt;&gt;"",U913&lt;O913)),"Chronologie incohérente",IF(AND(OR(L913="Résolu",L913="Clos"),R913=""),"Date de résolution manquante",IF(AND(L913="Clos",S913=""),"Date de clôture manquante",IF(AND(K913="Oui",AC913=""),"Classification DORA manquante","OK"))))))</f>
        <v/>
      </c>
      <c r="AO913" s="35" t="str">
        <f aca="false">IF($B913="","",IF(AND(C913="Incident",L913&lt;&gt;"Annulé"),1,0))</f>
        <v/>
      </c>
      <c r="AP913" s="35" t="str">
        <f aca="false">IF($B913="","",IF(AND(C913="Quasi-incident",L913&lt;&gt;"Annulé"),1,0))</f>
        <v/>
      </c>
      <c r="AQ913" s="35" t="str">
        <f aca="false">IF($B913="","",AO913+AP913)</f>
        <v/>
      </c>
      <c r="AR913" s="36" t="str">
        <f aca="false">IF(OR($B913="",J913=""),"",IFERROR(VALUE(LEFT(J913,1)),""))</f>
        <v/>
      </c>
      <c r="AS913" s="35" t="str">
        <f aca="false">IF(OR(AO913&lt;&gt;1,G913=""),"",IFERROR(IF(INDEX(L_SrcInterne,MATCH(G913,L_Sources,0))="Oui",1,0),""))</f>
        <v/>
      </c>
      <c r="AT913" s="37" t="str">
        <f aca="false">IF(AO913&lt;&gt;1,"",IFERROR(ROUND(IF(OR(N913="",O913=""),"",IF(O913&lt;N913,"",ROUND(((NETWORKDAYS(N913,O913,JoursFeries)-1)*(HFer-HOuv)+IF(NETWORKDAYS(O913,O913,JoursFeries),MEDIAN(MOD(O913,1),HFer,HOuv),HFer)-IF(NETWORKDAYS(N913,N913,JoursFeries),MEDIAN(MOD(N913,1),HFer,HOuv),HOuv))*24,4)))/HJour,4),""))</f>
        <v/>
      </c>
      <c r="AU913" s="37" t="str">
        <f aca="false">IF(AO913&lt;&gt;1,"",IF(OR(O913="",P913=""),"",IF(P913&lt;O913,"",ROUND(((NETWORKDAYS(O913,P913,JoursFeries)-1)*(HFer-HOuv)+IF(NETWORKDAYS(P913,P913,JoursFeries),MEDIAN(MOD(P913,1),HFer,HOuv),HFer)-IF(NETWORKDAYS(O913,O913,JoursFeries),MEDIAN(MOD(O913,1),HFer,HOuv),HOuv))*24,4))))</f>
        <v/>
      </c>
      <c r="AV913" s="37" t="str">
        <f aca="false">IF(AO913&lt;&gt;1,"",IF(OR(P913="",Q913=""),"",IF(Q913&lt;P913,"",ROUND(((NETWORKDAYS(P913,Q913,JoursFeries)-1)*(HFer-HOuv)+IF(NETWORKDAYS(Q913,Q913,JoursFeries),MEDIAN(MOD(Q913,1),HFer,HOuv),HFer)-IF(NETWORKDAYS(P913,P913,JoursFeries),MEDIAN(MOD(P913,1),HFer,HOuv),HOuv))*24,4))))</f>
        <v/>
      </c>
      <c r="AW913" s="37" t="str">
        <f aca="false">IF(AO913&lt;&gt;1,"",IFERROR(ROUND(IF(OR(P913="",R913=""),"",IF(R913&lt;P913,"",ROUND(((NETWORKDAYS(P913,R913,JoursFeries)-1)*(HFer-HOuv)+IF(NETWORKDAYS(R913,R913,JoursFeries),MEDIAN(MOD(R913,1),HFer,HOuv),HFer)-IF(NETWORKDAYS(P913,P913,JoursFeries),MEDIAN(MOD(P913,1),HFer,HOuv),HOuv))*24,4)))/HJour,4),""))</f>
        <v/>
      </c>
      <c r="AX913" s="37" t="str">
        <f aca="false">IF(AO913&lt;&gt;1,"",IFERROR(ROUND(IF(OR(P913="",S913=""),"",IF(S913&lt;P913,"",ROUND(((NETWORKDAYS(P913,S913,JoursFeries)-1)*(HFer-HOuv)+IF(NETWORKDAYS(S913,S913,JoursFeries),MEDIAN(MOD(S913,1),HFer,HOuv),HFer)-IF(NETWORKDAYS(P913,P913,JoursFeries),MEDIAN(MOD(P913,1),HFer,HOuv),HOuv))*24,4)))/HJour,4),""))</f>
        <v/>
      </c>
      <c r="AY913" s="36" t="str">
        <f aca="false">IF(OR(AO913&lt;&gt;1,AR913=""),"",INDEX(SLA_PEC,AR913))</f>
        <v/>
      </c>
      <c r="AZ913" s="35" t="str">
        <f aca="false">IF(OR(AV913="",AY913=""),"",IF(AV913&lt;=AY913,1,0))</f>
        <v/>
      </c>
      <c r="BA913" s="36" t="str">
        <f aca="false">IF(OR(AO913&lt;&gt;1,AR913=""),"",INDEX(SLA_RES,AR913))</f>
        <v/>
      </c>
      <c r="BB913" s="35" t="str">
        <f aca="false">IF(OR(AW913="",BA913=""),"",IF(AW913&lt;=BA913,1,0))</f>
        <v/>
      </c>
      <c r="BC913" s="38" t="str">
        <f aca="false">IF(OR(BA913="",P913=""),"",WORKDAY(INT(P913),BA913,JoursFeries)+MOD(P913,1))</f>
        <v/>
      </c>
      <c r="BD913" s="39" t="str">
        <f aca="false">IF(AO913&lt;&gt;1,"",IF(OR(AB913&lt;&gt;"",AD913&lt;&gt;""),4,IF(U913&lt;&gt;"",3,IF(T913&lt;&gt;"",2,1))))</f>
        <v/>
      </c>
      <c r="BE913" s="39" t="str">
        <f aca="false">IF(OR(AO913&lt;&gt;1,AR913=""),"",INDEX(NIV_REQ,AR913))</f>
        <v/>
      </c>
      <c r="BF913" s="39" t="str">
        <f aca="false">IF(BE913="","",MAX(BE913,IF(OR(K913="Oui",Z913="Oui"),4,1)))</f>
        <v/>
      </c>
      <c r="BG913" s="35" t="str">
        <f aca="false">IF(OR(BF913="",BD913=""),"",IF(BD913&gt;=BF913,1,0))</f>
        <v/>
      </c>
      <c r="BH913" s="38" t="str">
        <f aca="false">IF(BE913="","",IF(BE913&lt;2,"",IF(BE913=2,IF(AND(T913="",U913=""),"",MIN(T913,U913)),IF(U913="","",U913))))</f>
        <v/>
      </c>
      <c r="BI913" s="37" t="str">
        <f aca="false">IF(BH913="","",IF(OR(O913="",BH913=""),"",IF(BH913&lt;O913,"",ROUND(((NETWORKDAYS(O913,BH913,JoursFeries)-1)*(HFer-HOuv)+IF(NETWORKDAYS(BH913,BH913,JoursFeries),MEDIAN(MOD(BH913,1),HFer,HOuv),HFer)-IF(NETWORKDAYS(O913,O913,JoursFeries),MEDIAN(MOD(O913,1),HFer,HOuv),HOuv))*24,4))))</f>
        <v/>
      </c>
      <c r="BJ913" s="35" t="str">
        <f aca="false">IF(OR(BI913="",AR913=""),"",IF(BI913&lt;=INDEX(DELAI_ESC,AR913),1,0))</f>
        <v/>
      </c>
      <c r="BK913" s="38" t="str">
        <f aca="false">IF(AO913&lt;&gt;1,"",IF(AND(T913="",U913=""),"",MIN(T913,U913)))</f>
        <v/>
      </c>
      <c r="BL913" s="37" t="str">
        <f aca="false">IF(OR(BK913="",R913=""),"",IFERROR(ROUND(IF(OR(BK913="",R913=""),"",IF(R913&lt;BK913,"",ROUND(((NETWORKDAYS(BK913,R913,JoursFeries)-1)*(HFer-HOuv)+IF(NETWORKDAYS(R913,R913,JoursFeries),MEDIAN(MOD(R913,1),HFer,HOuv),HFer)-IF(NETWORKDAYS(BK913,BK913,JoursFeries),MEDIAN(MOD(BK913,1),HFer,HOuv),HOuv))*24,4)))/HJour,4),""))</f>
        <v/>
      </c>
      <c r="BM913" s="35" t="str">
        <f aca="false">IF(OR(AO913&lt;&gt;1,R913=""),"",IF(BD913=1,1,0))</f>
        <v/>
      </c>
      <c r="BN913" s="35" t="str">
        <f aca="false">IF(AO913&lt;&gt;1,"",IF(W913="Oui",1,0))</f>
        <v/>
      </c>
      <c r="BO913" s="35" t="str">
        <f aca="false">IF(AO913&lt;&gt;1,"",IF(X913&lt;&gt;"",1,0))</f>
        <v/>
      </c>
      <c r="BP913" s="35" t="str">
        <f aca="false">IF(AO913&lt;&gt;1,"",IF(Y913="Oui",1,0))</f>
        <v/>
      </c>
      <c r="BQ913" s="35" t="str">
        <f aca="true">IF(OR(AO913&lt;&gt;1,Z913&lt;&gt;"Oui"),"",IF(AB913="",IF(AND(AA913&lt;&gt;"",NOW()&gt;AA913),0,""),IF(AA913="","",IF(AB913&lt;=AA913,1,0))))</f>
        <v/>
      </c>
      <c r="BR913" s="38" t="str">
        <f aca="false">IF(OR(AO913&lt;&gt;1,K913&lt;&gt;"Oui",O913=""),"",IF(AC913="",O913+DORA_H_DET/24,IF(AC913-O913&lt;=DORA_H_DET/24,MIN(AC913+DORA_H_CLA/24,O913+DORA_H_DET/24),AC913+DORA_H_CLA/24)))</f>
        <v/>
      </c>
      <c r="BS913" s="35" t="str">
        <f aca="true">IF(BR913="","",IF(AD913="",IF(NOW()&gt;BR913,0,""),IF(AD913&lt;=BR913,1,0)))</f>
        <v/>
      </c>
      <c r="BT913" s="35" t="str">
        <f aca="true">IF(OR(BR913="",AD913=""),"",IF(AE913="",IF(NOW()&gt;AD913+DORA_H_INT/24,0,""),IF(AE913&lt;=AD913+DORA_H_INT/24,1,0)))</f>
        <v/>
      </c>
      <c r="BU913" s="35" t="str">
        <f aca="true">IF(OR(BR913="",AE913=""),"",IF(AF913="",IF(NOW()&gt;EDATE(AE913,DORA_M_FIN)+1,0,""),IF(AF913&lt;=EDATE(AE913,DORA_M_FIN),1,0)))</f>
        <v/>
      </c>
      <c r="BV913" s="35" t="str">
        <f aca="false">IF(BR913="","",IF(COUNT(BS913:BU913)=0,"",MIN(BS913:BU913)))</f>
        <v/>
      </c>
      <c r="BW913" s="40" t="str">
        <f aca="false">IF(AQ913&lt;&gt;1,"",IF(AND(AG913="",AH913=""),"",N(AG913)-N(AH913)))</f>
        <v/>
      </c>
      <c r="BX913" s="35" t="str">
        <f aca="true">IF(OR(AQ913&lt;&gt;1,AI913&lt;&gt;"Oui",AJ913=""),"",IF(AK913="",IF(NOW()&gt;AJ913+1,0,""),IF(AK913&lt;=AJ913,1,0)))</f>
        <v/>
      </c>
    </row>
    <row r="914" customFormat="false" ht="15" hidden="false" customHeight="false" outlineLevel="0" collapsed="false">
      <c r="B914" s="29"/>
      <c r="C914" s="29"/>
      <c r="D914" s="29"/>
      <c r="E914" s="29"/>
      <c r="F914" s="29"/>
      <c r="G914" s="29"/>
      <c r="H914" s="29"/>
      <c r="I914" s="29"/>
      <c r="J914" s="29"/>
      <c r="K914" s="29"/>
      <c r="L914" s="29"/>
      <c r="M914" s="29"/>
      <c r="N914" s="30"/>
      <c r="O914" s="30"/>
      <c r="P914" s="30"/>
      <c r="Q914" s="30"/>
      <c r="R914" s="30"/>
      <c r="S914" s="30"/>
      <c r="T914" s="30"/>
      <c r="U914" s="30"/>
      <c r="V914" s="31"/>
      <c r="W914" s="29"/>
      <c r="X914" s="29"/>
      <c r="Y914" s="29"/>
      <c r="Z914" s="29"/>
      <c r="AA914" s="30"/>
      <c r="AB914" s="30"/>
      <c r="AC914" s="30"/>
      <c r="AD914" s="30"/>
      <c r="AE914" s="30"/>
      <c r="AF914" s="32"/>
      <c r="AG914" s="33"/>
      <c r="AH914" s="33"/>
      <c r="AI914" s="29"/>
      <c r="AJ914" s="32"/>
      <c r="AK914" s="32"/>
      <c r="AL914" s="29"/>
      <c r="AN914" s="34" t="str">
        <f aca="false">IF($B914="","",IF(OR(C914="",D914="",E914="",G914="",I914="",J914="",L914="",O914="",P914=""),"Champ obligatoire manquant",IF(OR(AND(N914&lt;&gt;"",N914&gt;O914),O914&gt;P914,AND(Q914&lt;&gt;"",Q914&lt;P914),AND(R914&lt;&gt;"",R914&lt;P914),AND(S914&lt;&gt;"",S914&lt;R914),AND(S914&lt;&gt;"",R914=""),AND(T914&lt;&gt;"",T914&lt;O914),AND(U914&lt;&gt;"",U914&lt;O914)),"Chronologie incohérente",IF(AND(OR(L914="Résolu",L914="Clos"),R914=""),"Date de résolution manquante",IF(AND(L914="Clos",S914=""),"Date de clôture manquante",IF(AND(K914="Oui",AC914=""),"Classification DORA manquante","OK"))))))</f>
        <v/>
      </c>
      <c r="AO914" s="35" t="str">
        <f aca="false">IF($B914="","",IF(AND(C914="Incident",L914&lt;&gt;"Annulé"),1,0))</f>
        <v/>
      </c>
      <c r="AP914" s="35" t="str">
        <f aca="false">IF($B914="","",IF(AND(C914="Quasi-incident",L914&lt;&gt;"Annulé"),1,0))</f>
        <v/>
      </c>
      <c r="AQ914" s="35" t="str">
        <f aca="false">IF($B914="","",AO914+AP914)</f>
        <v/>
      </c>
      <c r="AR914" s="36" t="str">
        <f aca="false">IF(OR($B914="",J914=""),"",IFERROR(VALUE(LEFT(J914,1)),""))</f>
        <v/>
      </c>
      <c r="AS914" s="35" t="str">
        <f aca="false">IF(OR(AO914&lt;&gt;1,G914=""),"",IFERROR(IF(INDEX(L_SrcInterne,MATCH(G914,L_Sources,0))="Oui",1,0),""))</f>
        <v/>
      </c>
      <c r="AT914" s="37" t="str">
        <f aca="false">IF(AO914&lt;&gt;1,"",IFERROR(ROUND(IF(OR(N914="",O914=""),"",IF(O914&lt;N914,"",ROUND(((NETWORKDAYS(N914,O914,JoursFeries)-1)*(HFer-HOuv)+IF(NETWORKDAYS(O914,O914,JoursFeries),MEDIAN(MOD(O914,1),HFer,HOuv),HFer)-IF(NETWORKDAYS(N914,N914,JoursFeries),MEDIAN(MOD(N914,1),HFer,HOuv),HOuv))*24,4)))/HJour,4),""))</f>
        <v/>
      </c>
      <c r="AU914" s="37" t="str">
        <f aca="false">IF(AO914&lt;&gt;1,"",IF(OR(O914="",P914=""),"",IF(P914&lt;O914,"",ROUND(((NETWORKDAYS(O914,P914,JoursFeries)-1)*(HFer-HOuv)+IF(NETWORKDAYS(P914,P914,JoursFeries),MEDIAN(MOD(P914,1),HFer,HOuv),HFer)-IF(NETWORKDAYS(O914,O914,JoursFeries),MEDIAN(MOD(O914,1),HFer,HOuv),HOuv))*24,4))))</f>
        <v/>
      </c>
      <c r="AV914" s="37" t="str">
        <f aca="false">IF(AO914&lt;&gt;1,"",IF(OR(P914="",Q914=""),"",IF(Q914&lt;P914,"",ROUND(((NETWORKDAYS(P914,Q914,JoursFeries)-1)*(HFer-HOuv)+IF(NETWORKDAYS(Q914,Q914,JoursFeries),MEDIAN(MOD(Q914,1),HFer,HOuv),HFer)-IF(NETWORKDAYS(P914,P914,JoursFeries),MEDIAN(MOD(P914,1),HFer,HOuv),HOuv))*24,4))))</f>
        <v/>
      </c>
      <c r="AW914" s="37" t="str">
        <f aca="false">IF(AO914&lt;&gt;1,"",IFERROR(ROUND(IF(OR(P914="",R914=""),"",IF(R914&lt;P914,"",ROUND(((NETWORKDAYS(P914,R914,JoursFeries)-1)*(HFer-HOuv)+IF(NETWORKDAYS(R914,R914,JoursFeries),MEDIAN(MOD(R914,1),HFer,HOuv),HFer)-IF(NETWORKDAYS(P914,P914,JoursFeries),MEDIAN(MOD(P914,1),HFer,HOuv),HOuv))*24,4)))/HJour,4),""))</f>
        <v/>
      </c>
      <c r="AX914" s="37" t="str">
        <f aca="false">IF(AO914&lt;&gt;1,"",IFERROR(ROUND(IF(OR(P914="",S914=""),"",IF(S914&lt;P914,"",ROUND(((NETWORKDAYS(P914,S914,JoursFeries)-1)*(HFer-HOuv)+IF(NETWORKDAYS(S914,S914,JoursFeries),MEDIAN(MOD(S914,1),HFer,HOuv),HFer)-IF(NETWORKDAYS(P914,P914,JoursFeries),MEDIAN(MOD(P914,1),HFer,HOuv),HOuv))*24,4)))/HJour,4),""))</f>
        <v/>
      </c>
      <c r="AY914" s="36" t="str">
        <f aca="false">IF(OR(AO914&lt;&gt;1,AR914=""),"",INDEX(SLA_PEC,AR914))</f>
        <v/>
      </c>
      <c r="AZ914" s="35" t="str">
        <f aca="false">IF(OR(AV914="",AY914=""),"",IF(AV914&lt;=AY914,1,0))</f>
        <v/>
      </c>
      <c r="BA914" s="36" t="str">
        <f aca="false">IF(OR(AO914&lt;&gt;1,AR914=""),"",INDEX(SLA_RES,AR914))</f>
        <v/>
      </c>
      <c r="BB914" s="35" t="str">
        <f aca="false">IF(OR(AW914="",BA914=""),"",IF(AW914&lt;=BA914,1,0))</f>
        <v/>
      </c>
      <c r="BC914" s="38" t="str">
        <f aca="false">IF(OR(BA914="",P914=""),"",WORKDAY(INT(P914),BA914,JoursFeries)+MOD(P914,1))</f>
        <v/>
      </c>
      <c r="BD914" s="39" t="str">
        <f aca="false">IF(AO914&lt;&gt;1,"",IF(OR(AB914&lt;&gt;"",AD914&lt;&gt;""),4,IF(U914&lt;&gt;"",3,IF(T914&lt;&gt;"",2,1))))</f>
        <v/>
      </c>
      <c r="BE914" s="39" t="str">
        <f aca="false">IF(OR(AO914&lt;&gt;1,AR914=""),"",INDEX(NIV_REQ,AR914))</f>
        <v/>
      </c>
      <c r="BF914" s="39" t="str">
        <f aca="false">IF(BE914="","",MAX(BE914,IF(OR(K914="Oui",Z914="Oui"),4,1)))</f>
        <v/>
      </c>
      <c r="BG914" s="35" t="str">
        <f aca="false">IF(OR(BF914="",BD914=""),"",IF(BD914&gt;=BF914,1,0))</f>
        <v/>
      </c>
      <c r="BH914" s="38" t="str">
        <f aca="false">IF(BE914="","",IF(BE914&lt;2,"",IF(BE914=2,IF(AND(T914="",U914=""),"",MIN(T914,U914)),IF(U914="","",U914))))</f>
        <v/>
      </c>
      <c r="BI914" s="37" t="str">
        <f aca="false">IF(BH914="","",IF(OR(O914="",BH914=""),"",IF(BH914&lt;O914,"",ROUND(((NETWORKDAYS(O914,BH914,JoursFeries)-1)*(HFer-HOuv)+IF(NETWORKDAYS(BH914,BH914,JoursFeries),MEDIAN(MOD(BH914,1),HFer,HOuv),HFer)-IF(NETWORKDAYS(O914,O914,JoursFeries),MEDIAN(MOD(O914,1),HFer,HOuv),HOuv))*24,4))))</f>
        <v/>
      </c>
      <c r="BJ914" s="35" t="str">
        <f aca="false">IF(OR(BI914="",AR914=""),"",IF(BI914&lt;=INDEX(DELAI_ESC,AR914),1,0))</f>
        <v/>
      </c>
      <c r="BK914" s="38" t="str">
        <f aca="false">IF(AO914&lt;&gt;1,"",IF(AND(T914="",U914=""),"",MIN(T914,U914)))</f>
        <v/>
      </c>
      <c r="BL914" s="37" t="str">
        <f aca="false">IF(OR(BK914="",R914=""),"",IFERROR(ROUND(IF(OR(BK914="",R914=""),"",IF(R914&lt;BK914,"",ROUND(((NETWORKDAYS(BK914,R914,JoursFeries)-1)*(HFer-HOuv)+IF(NETWORKDAYS(R914,R914,JoursFeries),MEDIAN(MOD(R914,1),HFer,HOuv),HFer)-IF(NETWORKDAYS(BK914,BK914,JoursFeries),MEDIAN(MOD(BK914,1),HFer,HOuv),HOuv))*24,4)))/HJour,4),""))</f>
        <v/>
      </c>
      <c r="BM914" s="35" t="str">
        <f aca="false">IF(OR(AO914&lt;&gt;1,R914=""),"",IF(BD914=1,1,0))</f>
        <v/>
      </c>
      <c r="BN914" s="35" t="str">
        <f aca="false">IF(AO914&lt;&gt;1,"",IF(W914="Oui",1,0))</f>
        <v/>
      </c>
      <c r="BO914" s="35" t="str">
        <f aca="false">IF(AO914&lt;&gt;1,"",IF(X914&lt;&gt;"",1,0))</f>
        <v/>
      </c>
      <c r="BP914" s="35" t="str">
        <f aca="false">IF(AO914&lt;&gt;1,"",IF(Y914="Oui",1,0))</f>
        <v/>
      </c>
      <c r="BQ914" s="35" t="str">
        <f aca="true">IF(OR(AO914&lt;&gt;1,Z914&lt;&gt;"Oui"),"",IF(AB914="",IF(AND(AA914&lt;&gt;"",NOW()&gt;AA914),0,""),IF(AA914="","",IF(AB914&lt;=AA914,1,0))))</f>
        <v/>
      </c>
      <c r="BR914" s="38" t="str">
        <f aca="false">IF(OR(AO914&lt;&gt;1,K914&lt;&gt;"Oui",O914=""),"",IF(AC914="",O914+DORA_H_DET/24,IF(AC914-O914&lt;=DORA_H_DET/24,MIN(AC914+DORA_H_CLA/24,O914+DORA_H_DET/24),AC914+DORA_H_CLA/24)))</f>
        <v/>
      </c>
      <c r="BS914" s="35" t="str">
        <f aca="true">IF(BR914="","",IF(AD914="",IF(NOW()&gt;BR914,0,""),IF(AD914&lt;=BR914,1,0)))</f>
        <v/>
      </c>
      <c r="BT914" s="35" t="str">
        <f aca="true">IF(OR(BR914="",AD914=""),"",IF(AE914="",IF(NOW()&gt;AD914+DORA_H_INT/24,0,""),IF(AE914&lt;=AD914+DORA_H_INT/24,1,0)))</f>
        <v/>
      </c>
      <c r="BU914" s="35" t="str">
        <f aca="true">IF(OR(BR914="",AE914=""),"",IF(AF914="",IF(NOW()&gt;EDATE(AE914,DORA_M_FIN)+1,0,""),IF(AF914&lt;=EDATE(AE914,DORA_M_FIN),1,0)))</f>
        <v/>
      </c>
      <c r="BV914" s="35" t="str">
        <f aca="false">IF(BR914="","",IF(COUNT(BS914:BU914)=0,"",MIN(BS914:BU914)))</f>
        <v/>
      </c>
      <c r="BW914" s="40" t="str">
        <f aca="false">IF(AQ914&lt;&gt;1,"",IF(AND(AG914="",AH914=""),"",N(AG914)-N(AH914)))</f>
        <v/>
      </c>
      <c r="BX914" s="35" t="str">
        <f aca="true">IF(OR(AQ914&lt;&gt;1,AI914&lt;&gt;"Oui",AJ914=""),"",IF(AK914="",IF(NOW()&gt;AJ914+1,0,""),IF(AK914&lt;=AJ914,1,0)))</f>
        <v/>
      </c>
    </row>
    <row r="915" customFormat="false" ht="15" hidden="false" customHeight="false" outlineLevel="0" collapsed="false">
      <c r="B915" s="29"/>
      <c r="C915" s="29"/>
      <c r="D915" s="29"/>
      <c r="E915" s="29"/>
      <c r="F915" s="29"/>
      <c r="G915" s="29"/>
      <c r="H915" s="29"/>
      <c r="I915" s="29"/>
      <c r="J915" s="29"/>
      <c r="K915" s="29"/>
      <c r="L915" s="29"/>
      <c r="M915" s="29"/>
      <c r="N915" s="30"/>
      <c r="O915" s="30"/>
      <c r="P915" s="30"/>
      <c r="Q915" s="30"/>
      <c r="R915" s="30"/>
      <c r="S915" s="30"/>
      <c r="T915" s="30"/>
      <c r="U915" s="30"/>
      <c r="V915" s="31"/>
      <c r="W915" s="29"/>
      <c r="X915" s="29"/>
      <c r="Y915" s="29"/>
      <c r="Z915" s="29"/>
      <c r="AA915" s="30"/>
      <c r="AB915" s="30"/>
      <c r="AC915" s="30"/>
      <c r="AD915" s="30"/>
      <c r="AE915" s="30"/>
      <c r="AF915" s="32"/>
      <c r="AG915" s="33"/>
      <c r="AH915" s="33"/>
      <c r="AI915" s="29"/>
      <c r="AJ915" s="32"/>
      <c r="AK915" s="32"/>
      <c r="AL915" s="29"/>
      <c r="AN915" s="34" t="str">
        <f aca="false">IF($B915="","",IF(OR(C915="",D915="",E915="",G915="",I915="",J915="",L915="",O915="",P915=""),"Champ obligatoire manquant",IF(OR(AND(N915&lt;&gt;"",N915&gt;O915),O915&gt;P915,AND(Q915&lt;&gt;"",Q915&lt;P915),AND(R915&lt;&gt;"",R915&lt;P915),AND(S915&lt;&gt;"",S915&lt;R915),AND(S915&lt;&gt;"",R915=""),AND(T915&lt;&gt;"",T915&lt;O915),AND(U915&lt;&gt;"",U915&lt;O915)),"Chronologie incohérente",IF(AND(OR(L915="Résolu",L915="Clos"),R915=""),"Date de résolution manquante",IF(AND(L915="Clos",S915=""),"Date de clôture manquante",IF(AND(K915="Oui",AC915=""),"Classification DORA manquante","OK"))))))</f>
        <v/>
      </c>
      <c r="AO915" s="35" t="str">
        <f aca="false">IF($B915="","",IF(AND(C915="Incident",L915&lt;&gt;"Annulé"),1,0))</f>
        <v/>
      </c>
      <c r="AP915" s="35" t="str">
        <f aca="false">IF($B915="","",IF(AND(C915="Quasi-incident",L915&lt;&gt;"Annulé"),1,0))</f>
        <v/>
      </c>
      <c r="AQ915" s="35" t="str">
        <f aca="false">IF($B915="","",AO915+AP915)</f>
        <v/>
      </c>
      <c r="AR915" s="36" t="str">
        <f aca="false">IF(OR($B915="",J915=""),"",IFERROR(VALUE(LEFT(J915,1)),""))</f>
        <v/>
      </c>
      <c r="AS915" s="35" t="str">
        <f aca="false">IF(OR(AO915&lt;&gt;1,G915=""),"",IFERROR(IF(INDEX(L_SrcInterne,MATCH(G915,L_Sources,0))="Oui",1,0),""))</f>
        <v/>
      </c>
      <c r="AT915" s="37" t="str">
        <f aca="false">IF(AO915&lt;&gt;1,"",IFERROR(ROUND(IF(OR(N915="",O915=""),"",IF(O915&lt;N915,"",ROUND(((NETWORKDAYS(N915,O915,JoursFeries)-1)*(HFer-HOuv)+IF(NETWORKDAYS(O915,O915,JoursFeries),MEDIAN(MOD(O915,1),HFer,HOuv),HFer)-IF(NETWORKDAYS(N915,N915,JoursFeries),MEDIAN(MOD(N915,1),HFer,HOuv),HOuv))*24,4)))/HJour,4),""))</f>
        <v/>
      </c>
      <c r="AU915" s="37" t="str">
        <f aca="false">IF(AO915&lt;&gt;1,"",IF(OR(O915="",P915=""),"",IF(P915&lt;O915,"",ROUND(((NETWORKDAYS(O915,P915,JoursFeries)-1)*(HFer-HOuv)+IF(NETWORKDAYS(P915,P915,JoursFeries),MEDIAN(MOD(P915,1),HFer,HOuv),HFer)-IF(NETWORKDAYS(O915,O915,JoursFeries),MEDIAN(MOD(O915,1),HFer,HOuv),HOuv))*24,4))))</f>
        <v/>
      </c>
      <c r="AV915" s="37" t="str">
        <f aca="false">IF(AO915&lt;&gt;1,"",IF(OR(P915="",Q915=""),"",IF(Q915&lt;P915,"",ROUND(((NETWORKDAYS(P915,Q915,JoursFeries)-1)*(HFer-HOuv)+IF(NETWORKDAYS(Q915,Q915,JoursFeries),MEDIAN(MOD(Q915,1),HFer,HOuv),HFer)-IF(NETWORKDAYS(P915,P915,JoursFeries),MEDIAN(MOD(P915,1),HFer,HOuv),HOuv))*24,4))))</f>
        <v/>
      </c>
      <c r="AW915" s="37" t="str">
        <f aca="false">IF(AO915&lt;&gt;1,"",IFERROR(ROUND(IF(OR(P915="",R915=""),"",IF(R915&lt;P915,"",ROUND(((NETWORKDAYS(P915,R915,JoursFeries)-1)*(HFer-HOuv)+IF(NETWORKDAYS(R915,R915,JoursFeries),MEDIAN(MOD(R915,1),HFer,HOuv),HFer)-IF(NETWORKDAYS(P915,P915,JoursFeries),MEDIAN(MOD(P915,1),HFer,HOuv),HOuv))*24,4)))/HJour,4),""))</f>
        <v/>
      </c>
      <c r="AX915" s="37" t="str">
        <f aca="false">IF(AO915&lt;&gt;1,"",IFERROR(ROUND(IF(OR(P915="",S915=""),"",IF(S915&lt;P915,"",ROUND(((NETWORKDAYS(P915,S915,JoursFeries)-1)*(HFer-HOuv)+IF(NETWORKDAYS(S915,S915,JoursFeries),MEDIAN(MOD(S915,1),HFer,HOuv),HFer)-IF(NETWORKDAYS(P915,P915,JoursFeries),MEDIAN(MOD(P915,1),HFer,HOuv),HOuv))*24,4)))/HJour,4),""))</f>
        <v/>
      </c>
      <c r="AY915" s="36" t="str">
        <f aca="false">IF(OR(AO915&lt;&gt;1,AR915=""),"",INDEX(SLA_PEC,AR915))</f>
        <v/>
      </c>
      <c r="AZ915" s="35" t="str">
        <f aca="false">IF(OR(AV915="",AY915=""),"",IF(AV915&lt;=AY915,1,0))</f>
        <v/>
      </c>
      <c r="BA915" s="36" t="str">
        <f aca="false">IF(OR(AO915&lt;&gt;1,AR915=""),"",INDEX(SLA_RES,AR915))</f>
        <v/>
      </c>
      <c r="BB915" s="35" t="str">
        <f aca="false">IF(OR(AW915="",BA915=""),"",IF(AW915&lt;=BA915,1,0))</f>
        <v/>
      </c>
      <c r="BC915" s="38" t="str">
        <f aca="false">IF(OR(BA915="",P915=""),"",WORKDAY(INT(P915),BA915,JoursFeries)+MOD(P915,1))</f>
        <v/>
      </c>
      <c r="BD915" s="39" t="str">
        <f aca="false">IF(AO915&lt;&gt;1,"",IF(OR(AB915&lt;&gt;"",AD915&lt;&gt;""),4,IF(U915&lt;&gt;"",3,IF(T915&lt;&gt;"",2,1))))</f>
        <v/>
      </c>
      <c r="BE915" s="39" t="str">
        <f aca="false">IF(OR(AO915&lt;&gt;1,AR915=""),"",INDEX(NIV_REQ,AR915))</f>
        <v/>
      </c>
      <c r="BF915" s="39" t="str">
        <f aca="false">IF(BE915="","",MAX(BE915,IF(OR(K915="Oui",Z915="Oui"),4,1)))</f>
        <v/>
      </c>
      <c r="BG915" s="35" t="str">
        <f aca="false">IF(OR(BF915="",BD915=""),"",IF(BD915&gt;=BF915,1,0))</f>
        <v/>
      </c>
      <c r="BH915" s="38" t="str">
        <f aca="false">IF(BE915="","",IF(BE915&lt;2,"",IF(BE915=2,IF(AND(T915="",U915=""),"",MIN(T915,U915)),IF(U915="","",U915))))</f>
        <v/>
      </c>
      <c r="BI915" s="37" t="str">
        <f aca="false">IF(BH915="","",IF(OR(O915="",BH915=""),"",IF(BH915&lt;O915,"",ROUND(((NETWORKDAYS(O915,BH915,JoursFeries)-1)*(HFer-HOuv)+IF(NETWORKDAYS(BH915,BH915,JoursFeries),MEDIAN(MOD(BH915,1),HFer,HOuv),HFer)-IF(NETWORKDAYS(O915,O915,JoursFeries),MEDIAN(MOD(O915,1),HFer,HOuv),HOuv))*24,4))))</f>
        <v/>
      </c>
      <c r="BJ915" s="35" t="str">
        <f aca="false">IF(OR(BI915="",AR915=""),"",IF(BI915&lt;=INDEX(DELAI_ESC,AR915),1,0))</f>
        <v/>
      </c>
      <c r="BK915" s="38" t="str">
        <f aca="false">IF(AO915&lt;&gt;1,"",IF(AND(T915="",U915=""),"",MIN(T915,U915)))</f>
        <v/>
      </c>
      <c r="BL915" s="37" t="str">
        <f aca="false">IF(OR(BK915="",R915=""),"",IFERROR(ROUND(IF(OR(BK915="",R915=""),"",IF(R915&lt;BK915,"",ROUND(((NETWORKDAYS(BK915,R915,JoursFeries)-1)*(HFer-HOuv)+IF(NETWORKDAYS(R915,R915,JoursFeries),MEDIAN(MOD(R915,1),HFer,HOuv),HFer)-IF(NETWORKDAYS(BK915,BK915,JoursFeries),MEDIAN(MOD(BK915,1),HFer,HOuv),HOuv))*24,4)))/HJour,4),""))</f>
        <v/>
      </c>
      <c r="BM915" s="35" t="str">
        <f aca="false">IF(OR(AO915&lt;&gt;1,R915=""),"",IF(BD915=1,1,0))</f>
        <v/>
      </c>
      <c r="BN915" s="35" t="str">
        <f aca="false">IF(AO915&lt;&gt;1,"",IF(W915="Oui",1,0))</f>
        <v/>
      </c>
      <c r="BO915" s="35" t="str">
        <f aca="false">IF(AO915&lt;&gt;1,"",IF(X915&lt;&gt;"",1,0))</f>
        <v/>
      </c>
      <c r="BP915" s="35" t="str">
        <f aca="false">IF(AO915&lt;&gt;1,"",IF(Y915="Oui",1,0))</f>
        <v/>
      </c>
      <c r="BQ915" s="35" t="str">
        <f aca="true">IF(OR(AO915&lt;&gt;1,Z915&lt;&gt;"Oui"),"",IF(AB915="",IF(AND(AA915&lt;&gt;"",NOW()&gt;AA915),0,""),IF(AA915="","",IF(AB915&lt;=AA915,1,0))))</f>
        <v/>
      </c>
      <c r="BR915" s="38" t="str">
        <f aca="false">IF(OR(AO915&lt;&gt;1,K915&lt;&gt;"Oui",O915=""),"",IF(AC915="",O915+DORA_H_DET/24,IF(AC915-O915&lt;=DORA_H_DET/24,MIN(AC915+DORA_H_CLA/24,O915+DORA_H_DET/24),AC915+DORA_H_CLA/24)))</f>
        <v/>
      </c>
      <c r="BS915" s="35" t="str">
        <f aca="true">IF(BR915="","",IF(AD915="",IF(NOW()&gt;BR915,0,""),IF(AD915&lt;=BR915,1,0)))</f>
        <v/>
      </c>
      <c r="BT915" s="35" t="str">
        <f aca="true">IF(OR(BR915="",AD915=""),"",IF(AE915="",IF(NOW()&gt;AD915+DORA_H_INT/24,0,""),IF(AE915&lt;=AD915+DORA_H_INT/24,1,0)))</f>
        <v/>
      </c>
      <c r="BU915" s="35" t="str">
        <f aca="true">IF(OR(BR915="",AE915=""),"",IF(AF915="",IF(NOW()&gt;EDATE(AE915,DORA_M_FIN)+1,0,""),IF(AF915&lt;=EDATE(AE915,DORA_M_FIN),1,0)))</f>
        <v/>
      </c>
      <c r="BV915" s="35" t="str">
        <f aca="false">IF(BR915="","",IF(COUNT(BS915:BU915)=0,"",MIN(BS915:BU915)))</f>
        <v/>
      </c>
      <c r="BW915" s="40" t="str">
        <f aca="false">IF(AQ915&lt;&gt;1,"",IF(AND(AG915="",AH915=""),"",N(AG915)-N(AH915)))</f>
        <v/>
      </c>
      <c r="BX915" s="35" t="str">
        <f aca="true">IF(OR(AQ915&lt;&gt;1,AI915&lt;&gt;"Oui",AJ915=""),"",IF(AK915="",IF(NOW()&gt;AJ915+1,0,""),IF(AK915&lt;=AJ915,1,0)))</f>
        <v/>
      </c>
    </row>
    <row r="916" customFormat="false" ht="15" hidden="false" customHeight="false" outlineLevel="0" collapsed="false">
      <c r="B916" s="29"/>
      <c r="C916" s="29"/>
      <c r="D916" s="29"/>
      <c r="E916" s="29"/>
      <c r="F916" s="29"/>
      <c r="G916" s="29"/>
      <c r="H916" s="29"/>
      <c r="I916" s="29"/>
      <c r="J916" s="29"/>
      <c r="K916" s="29"/>
      <c r="L916" s="29"/>
      <c r="M916" s="29"/>
      <c r="N916" s="30"/>
      <c r="O916" s="30"/>
      <c r="P916" s="30"/>
      <c r="Q916" s="30"/>
      <c r="R916" s="30"/>
      <c r="S916" s="30"/>
      <c r="T916" s="30"/>
      <c r="U916" s="30"/>
      <c r="V916" s="31"/>
      <c r="W916" s="29"/>
      <c r="X916" s="29"/>
      <c r="Y916" s="29"/>
      <c r="Z916" s="29"/>
      <c r="AA916" s="30"/>
      <c r="AB916" s="30"/>
      <c r="AC916" s="30"/>
      <c r="AD916" s="30"/>
      <c r="AE916" s="30"/>
      <c r="AF916" s="32"/>
      <c r="AG916" s="33"/>
      <c r="AH916" s="33"/>
      <c r="AI916" s="29"/>
      <c r="AJ916" s="32"/>
      <c r="AK916" s="32"/>
      <c r="AL916" s="29"/>
      <c r="AN916" s="34" t="str">
        <f aca="false">IF($B916="","",IF(OR(C916="",D916="",E916="",G916="",I916="",J916="",L916="",O916="",P916=""),"Champ obligatoire manquant",IF(OR(AND(N916&lt;&gt;"",N916&gt;O916),O916&gt;P916,AND(Q916&lt;&gt;"",Q916&lt;P916),AND(R916&lt;&gt;"",R916&lt;P916),AND(S916&lt;&gt;"",S916&lt;R916),AND(S916&lt;&gt;"",R916=""),AND(T916&lt;&gt;"",T916&lt;O916),AND(U916&lt;&gt;"",U916&lt;O916)),"Chronologie incohérente",IF(AND(OR(L916="Résolu",L916="Clos"),R916=""),"Date de résolution manquante",IF(AND(L916="Clos",S916=""),"Date de clôture manquante",IF(AND(K916="Oui",AC916=""),"Classification DORA manquante","OK"))))))</f>
        <v/>
      </c>
      <c r="AO916" s="35" t="str">
        <f aca="false">IF($B916="","",IF(AND(C916="Incident",L916&lt;&gt;"Annulé"),1,0))</f>
        <v/>
      </c>
      <c r="AP916" s="35" t="str">
        <f aca="false">IF($B916="","",IF(AND(C916="Quasi-incident",L916&lt;&gt;"Annulé"),1,0))</f>
        <v/>
      </c>
      <c r="AQ916" s="35" t="str">
        <f aca="false">IF($B916="","",AO916+AP916)</f>
        <v/>
      </c>
      <c r="AR916" s="36" t="str">
        <f aca="false">IF(OR($B916="",J916=""),"",IFERROR(VALUE(LEFT(J916,1)),""))</f>
        <v/>
      </c>
      <c r="AS916" s="35" t="str">
        <f aca="false">IF(OR(AO916&lt;&gt;1,G916=""),"",IFERROR(IF(INDEX(L_SrcInterne,MATCH(G916,L_Sources,0))="Oui",1,0),""))</f>
        <v/>
      </c>
      <c r="AT916" s="37" t="str">
        <f aca="false">IF(AO916&lt;&gt;1,"",IFERROR(ROUND(IF(OR(N916="",O916=""),"",IF(O916&lt;N916,"",ROUND(((NETWORKDAYS(N916,O916,JoursFeries)-1)*(HFer-HOuv)+IF(NETWORKDAYS(O916,O916,JoursFeries),MEDIAN(MOD(O916,1),HFer,HOuv),HFer)-IF(NETWORKDAYS(N916,N916,JoursFeries),MEDIAN(MOD(N916,1),HFer,HOuv),HOuv))*24,4)))/HJour,4),""))</f>
        <v/>
      </c>
      <c r="AU916" s="37" t="str">
        <f aca="false">IF(AO916&lt;&gt;1,"",IF(OR(O916="",P916=""),"",IF(P916&lt;O916,"",ROUND(((NETWORKDAYS(O916,P916,JoursFeries)-1)*(HFer-HOuv)+IF(NETWORKDAYS(P916,P916,JoursFeries),MEDIAN(MOD(P916,1),HFer,HOuv),HFer)-IF(NETWORKDAYS(O916,O916,JoursFeries),MEDIAN(MOD(O916,1),HFer,HOuv),HOuv))*24,4))))</f>
        <v/>
      </c>
      <c r="AV916" s="37" t="str">
        <f aca="false">IF(AO916&lt;&gt;1,"",IF(OR(P916="",Q916=""),"",IF(Q916&lt;P916,"",ROUND(((NETWORKDAYS(P916,Q916,JoursFeries)-1)*(HFer-HOuv)+IF(NETWORKDAYS(Q916,Q916,JoursFeries),MEDIAN(MOD(Q916,1),HFer,HOuv),HFer)-IF(NETWORKDAYS(P916,P916,JoursFeries),MEDIAN(MOD(P916,1),HFer,HOuv),HOuv))*24,4))))</f>
        <v/>
      </c>
      <c r="AW916" s="37" t="str">
        <f aca="false">IF(AO916&lt;&gt;1,"",IFERROR(ROUND(IF(OR(P916="",R916=""),"",IF(R916&lt;P916,"",ROUND(((NETWORKDAYS(P916,R916,JoursFeries)-1)*(HFer-HOuv)+IF(NETWORKDAYS(R916,R916,JoursFeries),MEDIAN(MOD(R916,1),HFer,HOuv),HFer)-IF(NETWORKDAYS(P916,P916,JoursFeries),MEDIAN(MOD(P916,1),HFer,HOuv),HOuv))*24,4)))/HJour,4),""))</f>
        <v/>
      </c>
      <c r="AX916" s="37" t="str">
        <f aca="false">IF(AO916&lt;&gt;1,"",IFERROR(ROUND(IF(OR(P916="",S916=""),"",IF(S916&lt;P916,"",ROUND(((NETWORKDAYS(P916,S916,JoursFeries)-1)*(HFer-HOuv)+IF(NETWORKDAYS(S916,S916,JoursFeries),MEDIAN(MOD(S916,1),HFer,HOuv),HFer)-IF(NETWORKDAYS(P916,P916,JoursFeries),MEDIAN(MOD(P916,1),HFer,HOuv),HOuv))*24,4)))/HJour,4),""))</f>
        <v/>
      </c>
      <c r="AY916" s="36" t="str">
        <f aca="false">IF(OR(AO916&lt;&gt;1,AR916=""),"",INDEX(SLA_PEC,AR916))</f>
        <v/>
      </c>
      <c r="AZ916" s="35" t="str">
        <f aca="false">IF(OR(AV916="",AY916=""),"",IF(AV916&lt;=AY916,1,0))</f>
        <v/>
      </c>
      <c r="BA916" s="36" t="str">
        <f aca="false">IF(OR(AO916&lt;&gt;1,AR916=""),"",INDEX(SLA_RES,AR916))</f>
        <v/>
      </c>
      <c r="BB916" s="35" t="str">
        <f aca="false">IF(OR(AW916="",BA916=""),"",IF(AW916&lt;=BA916,1,0))</f>
        <v/>
      </c>
      <c r="BC916" s="38" t="str">
        <f aca="false">IF(OR(BA916="",P916=""),"",WORKDAY(INT(P916),BA916,JoursFeries)+MOD(P916,1))</f>
        <v/>
      </c>
      <c r="BD916" s="39" t="str">
        <f aca="false">IF(AO916&lt;&gt;1,"",IF(OR(AB916&lt;&gt;"",AD916&lt;&gt;""),4,IF(U916&lt;&gt;"",3,IF(T916&lt;&gt;"",2,1))))</f>
        <v/>
      </c>
      <c r="BE916" s="39" t="str">
        <f aca="false">IF(OR(AO916&lt;&gt;1,AR916=""),"",INDEX(NIV_REQ,AR916))</f>
        <v/>
      </c>
      <c r="BF916" s="39" t="str">
        <f aca="false">IF(BE916="","",MAX(BE916,IF(OR(K916="Oui",Z916="Oui"),4,1)))</f>
        <v/>
      </c>
      <c r="BG916" s="35" t="str">
        <f aca="false">IF(OR(BF916="",BD916=""),"",IF(BD916&gt;=BF916,1,0))</f>
        <v/>
      </c>
      <c r="BH916" s="38" t="str">
        <f aca="false">IF(BE916="","",IF(BE916&lt;2,"",IF(BE916=2,IF(AND(T916="",U916=""),"",MIN(T916,U916)),IF(U916="","",U916))))</f>
        <v/>
      </c>
      <c r="BI916" s="37" t="str">
        <f aca="false">IF(BH916="","",IF(OR(O916="",BH916=""),"",IF(BH916&lt;O916,"",ROUND(((NETWORKDAYS(O916,BH916,JoursFeries)-1)*(HFer-HOuv)+IF(NETWORKDAYS(BH916,BH916,JoursFeries),MEDIAN(MOD(BH916,1),HFer,HOuv),HFer)-IF(NETWORKDAYS(O916,O916,JoursFeries),MEDIAN(MOD(O916,1),HFer,HOuv),HOuv))*24,4))))</f>
        <v/>
      </c>
      <c r="BJ916" s="35" t="str">
        <f aca="false">IF(OR(BI916="",AR916=""),"",IF(BI916&lt;=INDEX(DELAI_ESC,AR916),1,0))</f>
        <v/>
      </c>
      <c r="BK916" s="38" t="str">
        <f aca="false">IF(AO916&lt;&gt;1,"",IF(AND(T916="",U916=""),"",MIN(T916,U916)))</f>
        <v/>
      </c>
      <c r="BL916" s="37" t="str">
        <f aca="false">IF(OR(BK916="",R916=""),"",IFERROR(ROUND(IF(OR(BK916="",R916=""),"",IF(R916&lt;BK916,"",ROUND(((NETWORKDAYS(BK916,R916,JoursFeries)-1)*(HFer-HOuv)+IF(NETWORKDAYS(R916,R916,JoursFeries),MEDIAN(MOD(R916,1),HFer,HOuv),HFer)-IF(NETWORKDAYS(BK916,BK916,JoursFeries),MEDIAN(MOD(BK916,1),HFer,HOuv),HOuv))*24,4)))/HJour,4),""))</f>
        <v/>
      </c>
      <c r="BM916" s="35" t="str">
        <f aca="false">IF(OR(AO916&lt;&gt;1,R916=""),"",IF(BD916=1,1,0))</f>
        <v/>
      </c>
      <c r="BN916" s="35" t="str">
        <f aca="false">IF(AO916&lt;&gt;1,"",IF(W916="Oui",1,0))</f>
        <v/>
      </c>
      <c r="BO916" s="35" t="str">
        <f aca="false">IF(AO916&lt;&gt;1,"",IF(X916&lt;&gt;"",1,0))</f>
        <v/>
      </c>
      <c r="BP916" s="35" t="str">
        <f aca="false">IF(AO916&lt;&gt;1,"",IF(Y916="Oui",1,0))</f>
        <v/>
      </c>
      <c r="BQ916" s="35" t="str">
        <f aca="true">IF(OR(AO916&lt;&gt;1,Z916&lt;&gt;"Oui"),"",IF(AB916="",IF(AND(AA916&lt;&gt;"",NOW()&gt;AA916),0,""),IF(AA916="","",IF(AB916&lt;=AA916,1,0))))</f>
        <v/>
      </c>
      <c r="BR916" s="38" t="str">
        <f aca="false">IF(OR(AO916&lt;&gt;1,K916&lt;&gt;"Oui",O916=""),"",IF(AC916="",O916+DORA_H_DET/24,IF(AC916-O916&lt;=DORA_H_DET/24,MIN(AC916+DORA_H_CLA/24,O916+DORA_H_DET/24),AC916+DORA_H_CLA/24)))</f>
        <v/>
      </c>
      <c r="BS916" s="35" t="str">
        <f aca="true">IF(BR916="","",IF(AD916="",IF(NOW()&gt;BR916,0,""),IF(AD916&lt;=BR916,1,0)))</f>
        <v/>
      </c>
      <c r="BT916" s="35" t="str">
        <f aca="true">IF(OR(BR916="",AD916=""),"",IF(AE916="",IF(NOW()&gt;AD916+DORA_H_INT/24,0,""),IF(AE916&lt;=AD916+DORA_H_INT/24,1,0)))</f>
        <v/>
      </c>
      <c r="BU916" s="35" t="str">
        <f aca="true">IF(OR(BR916="",AE916=""),"",IF(AF916="",IF(NOW()&gt;EDATE(AE916,DORA_M_FIN)+1,0,""),IF(AF916&lt;=EDATE(AE916,DORA_M_FIN),1,0)))</f>
        <v/>
      </c>
      <c r="BV916" s="35" t="str">
        <f aca="false">IF(BR916="","",IF(COUNT(BS916:BU916)=0,"",MIN(BS916:BU916)))</f>
        <v/>
      </c>
      <c r="BW916" s="40" t="str">
        <f aca="false">IF(AQ916&lt;&gt;1,"",IF(AND(AG916="",AH916=""),"",N(AG916)-N(AH916)))</f>
        <v/>
      </c>
      <c r="BX916" s="35" t="str">
        <f aca="true">IF(OR(AQ916&lt;&gt;1,AI916&lt;&gt;"Oui",AJ916=""),"",IF(AK916="",IF(NOW()&gt;AJ916+1,0,""),IF(AK916&lt;=AJ916,1,0)))</f>
        <v/>
      </c>
    </row>
    <row r="917" customFormat="false" ht="15" hidden="false" customHeight="false" outlineLevel="0" collapsed="false">
      <c r="B917" s="29"/>
      <c r="C917" s="29"/>
      <c r="D917" s="29"/>
      <c r="E917" s="29"/>
      <c r="F917" s="29"/>
      <c r="G917" s="29"/>
      <c r="H917" s="29"/>
      <c r="I917" s="29"/>
      <c r="J917" s="29"/>
      <c r="K917" s="29"/>
      <c r="L917" s="29"/>
      <c r="M917" s="29"/>
      <c r="N917" s="30"/>
      <c r="O917" s="30"/>
      <c r="P917" s="30"/>
      <c r="Q917" s="30"/>
      <c r="R917" s="30"/>
      <c r="S917" s="30"/>
      <c r="T917" s="30"/>
      <c r="U917" s="30"/>
      <c r="V917" s="31"/>
      <c r="W917" s="29"/>
      <c r="X917" s="29"/>
      <c r="Y917" s="29"/>
      <c r="Z917" s="29"/>
      <c r="AA917" s="30"/>
      <c r="AB917" s="30"/>
      <c r="AC917" s="30"/>
      <c r="AD917" s="30"/>
      <c r="AE917" s="30"/>
      <c r="AF917" s="32"/>
      <c r="AG917" s="33"/>
      <c r="AH917" s="33"/>
      <c r="AI917" s="29"/>
      <c r="AJ917" s="32"/>
      <c r="AK917" s="32"/>
      <c r="AL917" s="29"/>
      <c r="AN917" s="34" t="str">
        <f aca="false">IF($B917="","",IF(OR(C917="",D917="",E917="",G917="",I917="",J917="",L917="",O917="",P917=""),"Champ obligatoire manquant",IF(OR(AND(N917&lt;&gt;"",N917&gt;O917),O917&gt;P917,AND(Q917&lt;&gt;"",Q917&lt;P917),AND(R917&lt;&gt;"",R917&lt;P917),AND(S917&lt;&gt;"",S917&lt;R917),AND(S917&lt;&gt;"",R917=""),AND(T917&lt;&gt;"",T917&lt;O917),AND(U917&lt;&gt;"",U917&lt;O917)),"Chronologie incohérente",IF(AND(OR(L917="Résolu",L917="Clos"),R917=""),"Date de résolution manquante",IF(AND(L917="Clos",S917=""),"Date de clôture manquante",IF(AND(K917="Oui",AC917=""),"Classification DORA manquante","OK"))))))</f>
        <v/>
      </c>
      <c r="AO917" s="35" t="str">
        <f aca="false">IF($B917="","",IF(AND(C917="Incident",L917&lt;&gt;"Annulé"),1,0))</f>
        <v/>
      </c>
      <c r="AP917" s="35" t="str">
        <f aca="false">IF($B917="","",IF(AND(C917="Quasi-incident",L917&lt;&gt;"Annulé"),1,0))</f>
        <v/>
      </c>
      <c r="AQ917" s="35" t="str">
        <f aca="false">IF($B917="","",AO917+AP917)</f>
        <v/>
      </c>
      <c r="AR917" s="36" t="str">
        <f aca="false">IF(OR($B917="",J917=""),"",IFERROR(VALUE(LEFT(J917,1)),""))</f>
        <v/>
      </c>
      <c r="AS917" s="35" t="str">
        <f aca="false">IF(OR(AO917&lt;&gt;1,G917=""),"",IFERROR(IF(INDEX(L_SrcInterne,MATCH(G917,L_Sources,0))="Oui",1,0),""))</f>
        <v/>
      </c>
      <c r="AT917" s="37" t="str">
        <f aca="false">IF(AO917&lt;&gt;1,"",IFERROR(ROUND(IF(OR(N917="",O917=""),"",IF(O917&lt;N917,"",ROUND(((NETWORKDAYS(N917,O917,JoursFeries)-1)*(HFer-HOuv)+IF(NETWORKDAYS(O917,O917,JoursFeries),MEDIAN(MOD(O917,1),HFer,HOuv),HFer)-IF(NETWORKDAYS(N917,N917,JoursFeries),MEDIAN(MOD(N917,1),HFer,HOuv),HOuv))*24,4)))/HJour,4),""))</f>
        <v/>
      </c>
      <c r="AU917" s="37" t="str">
        <f aca="false">IF(AO917&lt;&gt;1,"",IF(OR(O917="",P917=""),"",IF(P917&lt;O917,"",ROUND(((NETWORKDAYS(O917,P917,JoursFeries)-1)*(HFer-HOuv)+IF(NETWORKDAYS(P917,P917,JoursFeries),MEDIAN(MOD(P917,1),HFer,HOuv),HFer)-IF(NETWORKDAYS(O917,O917,JoursFeries),MEDIAN(MOD(O917,1),HFer,HOuv),HOuv))*24,4))))</f>
        <v/>
      </c>
      <c r="AV917" s="37" t="str">
        <f aca="false">IF(AO917&lt;&gt;1,"",IF(OR(P917="",Q917=""),"",IF(Q917&lt;P917,"",ROUND(((NETWORKDAYS(P917,Q917,JoursFeries)-1)*(HFer-HOuv)+IF(NETWORKDAYS(Q917,Q917,JoursFeries),MEDIAN(MOD(Q917,1),HFer,HOuv),HFer)-IF(NETWORKDAYS(P917,P917,JoursFeries),MEDIAN(MOD(P917,1),HFer,HOuv),HOuv))*24,4))))</f>
        <v/>
      </c>
      <c r="AW917" s="37" t="str">
        <f aca="false">IF(AO917&lt;&gt;1,"",IFERROR(ROUND(IF(OR(P917="",R917=""),"",IF(R917&lt;P917,"",ROUND(((NETWORKDAYS(P917,R917,JoursFeries)-1)*(HFer-HOuv)+IF(NETWORKDAYS(R917,R917,JoursFeries),MEDIAN(MOD(R917,1),HFer,HOuv),HFer)-IF(NETWORKDAYS(P917,P917,JoursFeries),MEDIAN(MOD(P917,1),HFer,HOuv),HOuv))*24,4)))/HJour,4),""))</f>
        <v/>
      </c>
      <c r="AX917" s="37" t="str">
        <f aca="false">IF(AO917&lt;&gt;1,"",IFERROR(ROUND(IF(OR(P917="",S917=""),"",IF(S917&lt;P917,"",ROUND(((NETWORKDAYS(P917,S917,JoursFeries)-1)*(HFer-HOuv)+IF(NETWORKDAYS(S917,S917,JoursFeries),MEDIAN(MOD(S917,1),HFer,HOuv),HFer)-IF(NETWORKDAYS(P917,P917,JoursFeries),MEDIAN(MOD(P917,1),HFer,HOuv),HOuv))*24,4)))/HJour,4),""))</f>
        <v/>
      </c>
      <c r="AY917" s="36" t="str">
        <f aca="false">IF(OR(AO917&lt;&gt;1,AR917=""),"",INDEX(SLA_PEC,AR917))</f>
        <v/>
      </c>
      <c r="AZ917" s="35" t="str">
        <f aca="false">IF(OR(AV917="",AY917=""),"",IF(AV917&lt;=AY917,1,0))</f>
        <v/>
      </c>
      <c r="BA917" s="36" t="str">
        <f aca="false">IF(OR(AO917&lt;&gt;1,AR917=""),"",INDEX(SLA_RES,AR917))</f>
        <v/>
      </c>
      <c r="BB917" s="35" t="str">
        <f aca="false">IF(OR(AW917="",BA917=""),"",IF(AW917&lt;=BA917,1,0))</f>
        <v/>
      </c>
      <c r="BC917" s="38" t="str">
        <f aca="false">IF(OR(BA917="",P917=""),"",WORKDAY(INT(P917),BA917,JoursFeries)+MOD(P917,1))</f>
        <v/>
      </c>
      <c r="BD917" s="39" t="str">
        <f aca="false">IF(AO917&lt;&gt;1,"",IF(OR(AB917&lt;&gt;"",AD917&lt;&gt;""),4,IF(U917&lt;&gt;"",3,IF(T917&lt;&gt;"",2,1))))</f>
        <v/>
      </c>
      <c r="BE917" s="39" t="str">
        <f aca="false">IF(OR(AO917&lt;&gt;1,AR917=""),"",INDEX(NIV_REQ,AR917))</f>
        <v/>
      </c>
      <c r="BF917" s="39" t="str">
        <f aca="false">IF(BE917="","",MAX(BE917,IF(OR(K917="Oui",Z917="Oui"),4,1)))</f>
        <v/>
      </c>
      <c r="BG917" s="35" t="str">
        <f aca="false">IF(OR(BF917="",BD917=""),"",IF(BD917&gt;=BF917,1,0))</f>
        <v/>
      </c>
      <c r="BH917" s="38" t="str">
        <f aca="false">IF(BE917="","",IF(BE917&lt;2,"",IF(BE917=2,IF(AND(T917="",U917=""),"",MIN(T917,U917)),IF(U917="","",U917))))</f>
        <v/>
      </c>
      <c r="BI917" s="37" t="str">
        <f aca="false">IF(BH917="","",IF(OR(O917="",BH917=""),"",IF(BH917&lt;O917,"",ROUND(((NETWORKDAYS(O917,BH917,JoursFeries)-1)*(HFer-HOuv)+IF(NETWORKDAYS(BH917,BH917,JoursFeries),MEDIAN(MOD(BH917,1),HFer,HOuv),HFer)-IF(NETWORKDAYS(O917,O917,JoursFeries),MEDIAN(MOD(O917,1),HFer,HOuv),HOuv))*24,4))))</f>
        <v/>
      </c>
      <c r="BJ917" s="35" t="str">
        <f aca="false">IF(OR(BI917="",AR917=""),"",IF(BI917&lt;=INDEX(DELAI_ESC,AR917),1,0))</f>
        <v/>
      </c>
      <c r="BK917" s="38" t="str">
        <f aca="false">IF(AO917&lt;&gt;1,"",IF(AND(T917="",U917=""),"",MIN(T917,U917)))</f>
        <v/>
      </c>
      <c r="BL917" s="37" t="str">
        <f aca="false">IF(OR(BK917="",R917=""),"",IFERROR(ROUND(IF(OR(BK917="",R917=""),"",IF(R917&lt;BK917,"",ROUND(((NETWORKDAYS(BK917,R917,JoursFeries)-1)*(HFer-HOuv)+IF(NETWORKDAYS(R917,R917,JoursFeries),MEDIAN(MOD(R917,1),HFer,HOuv),HFer)-IF(NETWORKDAYS(BK917,BK917,JoursFeries),MEDIAN(MOD(BK917,1),HFer,HOuv),HOuv))*24,4)))/HJour,4),""))</f>
        <v/>
      </c>
      <c r="BM917" s="35" t="str">
        <f aca="false">IF(OR(AO917&lt;&gt;1,R917=""),"",IF(BD917=1,1,0))</f>
        <v/>
      </c>
      <c r="BN917" s="35" t="str">
        <f aca="false">IF(AO917&lt;&gt;1,"",IF(W917="Oui",1,0))</f>
        <v/>
      </c>
      <c r="BO917" s="35" t="str">
        <f aca="false">IF(AO917&lt;&gt;1,"",IF(X917&lt;&gt;"",1,0))</f>
        <v/>
      </c>
      <c r="BP917" s="35" t="str">
        <f aca="false">IF(AO917&lt;&gt;1,"",IF(Y917="Oui",1,0))</f>
        <v/>
      </c>
      <c r="BQ917" s="35" t="str">
        <f aca="true">IF(OR(AO917&lt;&gt;1,Z917&lt;&gt;"Oui"),"",IF(AB917="",IF(AND(AA917&lt;&gt;"",NOW()&gt;AA917),0,""),IF(AA917="","",IF(AB917&lt;=AA917,1,0))))</f>
        <v/>
      </c>
      <c r="BR917" s="38" t="str">
        <f aca="false">IF(OR(AO917&lt;&gt;1,K917&lt;&gt;"Oui",O917=""),"",IF(AC917="",O917+DORA_H_DET/24,IF(AC917-O917&lt;=DORA_H_DET/24,MIN(AC917+DORA_H_CLA/24,O917+DORA_H_DET/24),AC917+DORA_H_CLA/24)))</f>
        <v/>
      </c>
      <c r="BS917" s="35" t="str">
        <f aca="true">IF(BR917="","",IF(AD917="",IF(NOW()&gt;BR917,0,""),IF(AD917&lt;=BR917,1,0)))</f>
        <v/>
      </c>
      <c r="BT917" s="35" t="str">
        <f aca="true">IF(OR(BR917="",AD917=""),"",IF(AE917="",IF(NOW()&gt;AD917+DORA_H_INT/24,0,""),IF(AE917&lt;=AD917+DORA_H_INT/24,1,0)))</f>
        <v/>
      </c>
      <c r="BU917" s="35" t="str">
        <f aca="true">IF(OR(BR917="",AE917=""),"",IF(AF917="",IF(NOW()&gt;EDATE(AE917,DORA_M_FIN)+1,0,""),IF(AF917&lt;=EDATE(AE917,DORA_M_FIN),1,0)))</f>
        <v/>
      </c>
      <c r="BV917" s="35" t="str">
        <f aca="false">IF(BR917="","",IF(COUNT(BS917:BU917)=0,"",MIN(BS917:BU917)))</f>
        <v/>
      </c>
      <c r="BW917" s="40" t="str">
        <f aca="false">IF(AQ917&lt;&gt;1,"",IF(AND(AG917="",AH917=""),"",N(AG917)-N(AH917)))</f>
        <v/>
      </c>
      <c r="BX917" s="35" t="str">
        <f aca="true">IF(OR(AQ917&lt;&gt;1,AI917&lt;&gt;"Oui",AJ917=""),"",IF(AK917="",IF(NOW()&gt;AJ917+1,0,""),IF(AK917&lt;=AJ917,1,0)))</f>
        <v/>
      </c>
    </row>
    <row r="918" customFormat="false" ht="15" hidden="false" customHeight="false" outlineLevel="0" collapsed="false">
      <c r="B918" s="29"/>
      <c r="C918" s="29"/>
      <c r="D918" s="29"/>
      <c r="E918" s="29"/>
      <c r="F918" s="29"/>
      <c r="G918" s="29"/>
      <c r="H918" s="29"/>
      <c r="I918" s="29"/>
      <c r="J918" s="29"/>
      <c r="K918" s="29"/>
      <c r="L918" s="29"/>
      <c r="M918" s="29"/>
      <c r="N918" s="30"/>
      <c r="O918" s="30"/>
      <c r="P918" s="30"/>
      <c r="Q918" s="30"/>
      <c r="R918" s="30"/>
      <c r="S918" s="30"/>
      <c r="T918" s="30"/>
      <c r="U918" s="30"/>
      <c r="V918" s="31"/>
      <c r="W918" s="29"/>
      <c r="X918" s="29"/>
      <c r="Y918" s="29"/>
      <c r="Z918" s="29"/>
      <c r="AA918" s="30"/>
      <c r="AB918" s="30"/>
      <c r="AC918" s="30"/>
      <c r="AD918" s="30"/>
      <c r="AE918" s="30"/>
      <c r="AF918" s="32"/>
      <c r="AG918" s="33"/>
      <c r="AH918" s="33"/>
      <c r="AI918" s="29"/>
      <c r="AJ918" s="32"/>
      <c r="AK918" s="32"/>
      <c r="AL918" s="29"/>
      <c r="AN918" s="34" t="str">
        <f aca="false">IF($B918="","",IF(OR(C918="",D918="",E918="",G918="",I918="",J918="",L918="",O918="",P918=""),"Champ obligatoire manquant",IF(OR(AND(N918&lt;&gt;"",N918&gt;O918),O918&gt;P918,AND(Q918&lt;&gt;"",Q918&lt;P918),AND(R918&lt;&gt;"",R918&lt;P918),AND(S918&lt;&gt;"",S918&lt;R918),AND(S918&lt;&gt;"",R918=""),AND(T918&lt;&gt;"",T918&lt;O918),AND(U918&lt;&gt;"",U918&lt;O918)),"Chronologie incohérente",IF(AND(OR(L918="Résolu",L918="Clos"),R918=""),"Date de résolution manquante",IF(AND(L918="Clos",S918=""),"Date de clôture manquante",IF(AND(K918="Oui",AC918=""),"Classification DORA manquante","OK"))))))</f>
        <v/>
      </c>
      <c r="AO918" s="35" t="str">
        <f aca="false">IF($B918="","",IF(AND(C918="Incident",L918&lt;&gt;"Annulé"),1,0))</f>
        <v/>
      </c>
      <c r="AP918" s="35" t="str">
        <f aca="false">IF($B918="","",IF(AND(C918="Quasi-incident",L918&lt;&gt;"Annulé"),1,0))</f>
        <v/>
      </c>
      <c r="AQ918" s="35" t="str">
        <f aca="false">IF($B918="","",AO918+AP918)</f>
        <v/>
      </c>
      <c r="AR918" s="36" t="str">
        <f aca="false">IF(OR($B918="",J918=""),"",IFERROR(VALUE(LEFT(J918,1)),""))</f>
        <v/>
      </c>
      <c r="AS918" s="35" t="str">
        <f aca="false">IF(OR(AO918&lt;&gt;1,G918=""),"",IFERROR(IF(INDEX(L_SrcInterne,MATCH(G918,L_Sources,0))="Oui",1,0),""))</f>
        <v/>
      </c>
      <c r="AT918" s="37" t="str">
        <f aca="false">IF(AO918&lt;&gt;1,"",IFERROR(ROUND(IF(OR(N918="",O918=""),"",IF(O918&lt;N918,"",ROUND(((NETWORKDAYS(N918,O918,JoursFeries)-1)*(HFer-HOuv)+IF(NETWORKDAYS(O918,O918,JoursFeries),MEDIAN(MOD(O918,1),HFer,HOuv),HFer)-IF(NETWORKDAYS(N918,N918,JoursFeries),MEDIAN(MOD(N918,1),HFer,HOuv),HOuv))*24,4)))/HJour,4),""))</f>
        <v/>
      </c>
      <c r="AU918" s="37" t="str">
        <f aca="false">IF(AO918&lt;&gt;1,"",IF(OR(O918="",P918=""),"",IF(P918&lt;O918,"",ROUND(((NETWORKDAYS(O918,P918,JoursFeries)-1)*(HFer-HOuv)+IF(NETWORKDAYS(P918,P918,JoursFeries),MEDIAN(MOD(P918,1),HFer,HOuv),HFer)-IF(NETWORKDAYS(O918,O918,JoursFeries),MEDIAN(MOD(O918,1),HFer,HOuv),HOuv))*24,4))))</f>
        <v/>
      </c>
      <c r="AV918" s="37" t="str">
        <f aca="false">IF(AO918&lt;&gt;1,"",IF(OR(P918="",Q918=""),"",IF(Q918&lt;P918,"",ROUND(((NETWORKDAYS(P918,Q918,JoursFeries)-1)*(HFer-HOuv)+IF(NETWORKDAYS(Q918,Q918,JoursFeries),MEDIAN(MOD(Q918,1),HFer,HOuv),HFer)-IF(NETWORKDAYS(P918,P918,JoursFeries),MEDIAN(MOD(P918,1),HFer,HOuv),HOuv))*24,4))))</f>
        <v/>
      </c>
      <c r="AW918" s="37" t="str">
        <f aca="false">IF(AO918&lt;&gt;1,"",IFERROR(ROUND(IF(OR(P918="",R918=""),"",IF(R918&lt;P918,"",ROUND(((NETWORKDAYS(P918,R918,JoursFeries)-1)*(HFer-HOuv)+IF(NETWORKDAYS(R918,R918,JoursFeries),MEDIAN(MOD(R918,1),HFer,HOuv),HFer)-IF(NETWORKDAYS(P918,P918,JoursFeries),MEDIAN(MOD(P918,1),HFer,HOuv),HOuv))*24,4)))/HJour,4),""))</f>
        <v/>
      </c>
      <c r="AX918" s="37" t="str">
        <f aca="false">IF(AO918&lt;&gt;1,"",IFERROR(ROUND(IF(OR(P918="",S918=""),"",IF(S918&lt;P918,"",ROUND(((NETWORKDAYS(P918,S918,JoursFeries)-1)*(HFer-HOuv)+IF(NETWORKDAYS(S918,S918,JoursFeries),MEDIAN(MOD(S918,1),HFer,HOuv),HFer)-IF(NETWORKDAYS(P918,P918,JoursFeries),MEDIAN(MOD(P918,1),HFer,HOuv),HOuv))*24,4)))/HJour,4),""))</f>
        <v/>
      </c>
      <c r="AY918" s="36" t="str">
        <f aca="false">IF(OR(AO918&lt;&gt;1,AR918=""),"",INDEX(SLA_PEC,AR918))</f>
        <v/>
      </c>
      <c r="AZ918" s="35" t="str">
        <f aca="false">IF(OR(AV918="",AY918=""),"",IF(AV918&lt;=AY918,1,0))</f>
        <v/>
      </c>
      <c r="BA918" s="36" t="str">
        <f aca="false">IF(OR(AO918&lt;&gt;1,AR918=""),"",INDEX(SLA_RES,AR918))</f>
        <v/>
      </c>
      <c r="BB918" s="35" t="str">
        <f aca="false">IF(OR(AW918="",BA918=""),"",IF(AW918&lt;=BA918,1,0))</f>
        <v/>
      </c>
      <c r="BC918" s="38" t="str">
        <f aca="false">IF(OR(BA918="",P918=""),"",WORKDAY(INT(P918),BA918,JoursFeries)+MOD(P918,1))</f>
        <v/>
      </c>
      <c r="BD918" s="39" t="str">
        <f aca="false">IF(AO918&lt;&gt;1,"",IF(OR(AB918&lt;&gt;"",AD918&lt;&gt;""),4,IF(U918&lt;&gt;"",3,IF(T918&lt;&gt;"",2,1))))</f>
        <v/>
      </c>
      <c r="BE918" s="39" t="str">
        <f aca="false">IF(OR(AO918&lt;&gt;1,AR918=""),"",INDEX(NIV_REQ,AR918))</f>
        <v/>
      </c>
      <c r="BF918" s="39" t="str">
        <f aca="false">IF(BE918="","",MAX(BE918,IF(OR(K918="Oui",Z918="Oui"),4,1)))</f>
        <v/>
      </c>
      <c r="BG918" s="35" t="str">
        <f aca="false">IF(OR(BF918="",BD918=""),"",IF(BD918&gt;=BF918,1,0))</f>
        <v/>
      </c>
      <c r="BH918" s="38" t="str">
        <f aca="false">IF(BE918="","",IF(BE918&lt;2,"",IF(BE918=2,IF(AND(T918="",U918=""),"",MIN(T918,U918)),IF(U918="","",U918))))</f>
        <v/>
      </c>
      <c r="BI918" s="37" t="str">
        <f aca="false">IF(BH918="","",IF(OR(O918="",BH918=""),"",IF(BH918&lt;O918,"",ROUND(((NETWORKDAYS(O918,BH918,JoursFeries)-1)*(HFer-HOuv)+IF(NETWORKDAYS(BH918,BH918,JoursFeries),MEDIAN(MOD(BH918,1),HFer,HOuv),HFer)-IF(NETWORKDAYS(O918,O918,JoursFeries),MEDIAN(MOD(O918,1),HFer,HOuv),HOuv))*24,4))))</f>
        <v/>
      </c>
      <c r="BJ918" s="35" t="str">
        <f aca="false">IF(OR(BI918="",AR918=""),"",IF(BI918&lt;=INDEX(DELAI_ESC,AR918),1,0))</f>
        <v/>
      </c>
      <c r="BK918" s="38" t="str">
        <f aca="false">IF(AO918&lt;&gt;1,"",IF(AND(T918="",U918=""),"",MIN(T918,U918)))</f>
        <v/>
      </c>
      <c r="BL918" s="37" t="str">
        <f aca="false">IF(OR(BK918="",R918=""),"",IFERROR(ROUND(IF(OR(BK918="",R918=""),"",IF(R918&lt;BK918,"",ROUND(((NETWORKDAYS(BK918,R918,JoursFeries)-1)*(HFer-HOuv)+IF(NETWORKDAYS(R918,R918,JoursFeries),MEDIAN(MOD(R918,1),HFer,HOuv),HFer)-IF(NETWORKDAYS(BK918,BK918,JoursFeries),MEDIAN(MOD(BK918,1),HFer,HOuv),HOuv))*24,4)))/HJour,4),""))</f>
        <v/>
      </c>
      <c r="BM918" s="35" t="str">
        <f aca="false">IF(OR(AO918&lt;&gt;1,R918=""),"",IF(BD918=1,1,0))</f>
        <v/>
      </c>
      <c r="BN918" s="35" t="str">
        <f aca="false">IF(AO918&lt;&gt;1,"",IF(W918="Oui",1,0))</f>
        <v/>
      </c>
      <c r="BO918" s="35" t="str">
        <f aca="false">IF(AO918&lt;&gt;1,"",IF(X918&lt;&gt;"",1,0))</f>
        <v/>
      </c>
      <c r="BP918" s="35" t="str">
        <f aca="false">IF(AO918&lt;&gt;1,"",IF(Y918="Oui",1,0))</f>
        <v/>
      </c>
      <c r="BQ918" s="35" t="str">
        <f aca="true">IF(OR(AO918&lt;&gt;1,Z918&lt;&gt;"Oui"),"",IF(AB918="",IF(AND(AA918&lt;&gt;"",NOW()&gt;AA918),0,""),IF(AA918="","",IF(AB918&lt;=AA918,1,0))))</f>
        <v/>
      </c>
      <c r="BR918" s="38" t="str">
        <f aca="false">IF(OR(AO918&lt;&gt;1,K918&lt;&gt;"Oui",O918=""),"",IF(AC918="",O918+DORA_H_DET/24,IF(AC918-O918&lt;=DORA_H_DET/24,MIN(AC918+DORA_H_CLA/24,O918+DORA_H_DET/24),AC918+DORA_H_CLA/24)))</f>
        <v/>
      </c>
      <c r="BS918" s="35" t="str">
        <f aca="true">IF(BR918="","",IF(AD918="",IF(NOW()&gt;BR918,0,""),IF(AD918&lt;=BR918,1,0)))</f>
        <v/>
      </c>
      <c r="BT918" s="35" t="str">
        <f aca="true">IF(OR(BR918="",AD918=""),"",IF(AE918="",IF(NOW()&gt;AD918+DORA_H_INT/24,0,""),IF(AE918&lt;=AD918+DORA_H_INT/24,1,0)))</f>
        <v/>
      </c>
      <c r="BU918" s="35" t="str">
        <f aca="true">IF(OR(BR918="",AE918=""),"",IF(AF918="",IF(NOW()&gt;EDATE(AE918,DORA_M_FIN)+1,0,""),IF(AF918&lt;=EDATE(AE918,DORA_M_FIN),1,0)))</f>
        <v/>
      </c>
      <c r="BV918" s="35" t="str">
        <f aca="false">IF(BR918="","",IF(COUNT(BS918:BU918)=0,"",MIN(BS918:BU918)))</f>
        <v/>
      </c>
      <c r="BW918" s="40" t="str">
        <f aca="false">IF(AQ918&lt;&gt;1,"",IF(AND(AG918="",AH918=""),"",N(AG918)-N(AH918)))</f>
        <v/>
      </c>
      <c r="BX918" s="35" t="str">
        <f aca="true">IF(OR(AQ918&lt;&gt;1,AI918&lt;&gt;"Oui",AJ918=""),"",IF(AK918="",IF(NOW()&gt;AJ918+1,0,""),IF(AK918&lt;=AJ918,1,0)))</f>
        <v/>
      </c>
    </row>
    <row r="919" customFormat="false" ht="15" hidden="false" customHeight="false" outlineLevel="0" collapsed="false">
      <c r="B919" s="29"/>
      <c r="C919" s="29"/>
      <c r="D919" s="29"/>
      <c r="E919" s="29"/>
      <c r="F919" s="29"/>
      <c r="G919" s="29"/>
      <c r="H919" s="29"/>
      <c r="I919" s="29"/>
      <c r="J919" s="29"/>
      <c r="K919" s="29"/>
      <c r="L919" s="29"/>
      <c r="M919" s="29"/>
      <c r="N919" s="30"/>
      <c r="O919" s="30"/>
      <c r="P919" s="30"/>
      <c r="Q919" s="30"/>
      <c r="R919" s="30"/>
      <c r="S919" s="30"/>
      <c r="T919" s="30"/>
      <c r="U919" s="30"/>
      <c r="V919" s="31"/>
      <c r="W919" s="29"/>
      <c r="X919" s="29"/>
      <c r="Y919" s="29"/>
      <c r="Z919" s="29"/>
      <c r="AA919" s="30"/>
      <c r="AB919" s="30"/>
      <c r="AC919" s="30"/>
      <c r="AD919" s="30"/>
      <c r="AE919" s="30"/>
      <c r="AF919" s="32"/>
      <c r="AG919" s="33"/>
      <c r="AH919" s="33"/>
      <c r="AI919" s="29"/>
      <c r="AJ919" s="32"/>
      <c r="AK919" s="32"/>
      <c r="AL919" s="29"/>
      <c r="AN919" s="34" t="str">
        <f aca="false">IF($B919="","",IF(OR(C919="",D919="",E919="",G919="",I919="",J919="",L919="",O919="",P919=""),"Champ obligatoire manquant",IF(OR(AND(N919&lt;&gt;"",N919&gt;O919),O919&gt;P919,AND(Q919&lt;&gt;"",Q919&lt;P919),AND(R919&lt;&gt;"",R919&lt;P919),AND(S919&lt;&gt;"",S919&lt;R919),AND(S919&lt;&gt;"",R919=""),AND(T919&lt;&gt;"",T919&lt;O919),AND(U919&lt;&gt;"",U919&lt;O919)),"Chronologie incohérente",IF(AND(OR(L919="Résolu",L919="Clos"),R919=""),"Date de résolution manquante",IF(AND(L919="Clos",S919=""),"Date de clôture manquante",IF(AND(K919="Oui",AC919=""),"Classification DORA manquante","OK"))))))</f>
        <v/>
      </c>
      <c r="AO919" s="35" t="str">
        <f aca="false">IF($B919="","",IF(AND(C919="Incident",L919&lt;&gt;"Annulé"),1,0))</f>
        <v/>
      </c>
      <c r="AP919" s="35" t="str">
        <f aca="false">IF($B919="","",IF(AND(C919="Quasi-incident",L919&lt;&gt;"Annulé"),1,0))</f>
        <v/>
      </c>
      <c r="AQ919" s="35" t="str">
        <f aca="false">IF($B919="","",AO919+AP919)</f>
        <v/>
      </c>
      <c r="AR919" s="36" t="str">
        <f aca="false">IF(OR($B919="",J919=""),"",IFERROR(VALUE(LEFT(J919,1)),""))</f>
        <v/>
      </c>
      <c r="AS919" s="35" t="str">
        <f aca="false">IF(OR(AO919&lt;&gt;1,G919=""),"",IFERROR(IF(INDEX(L_SrcInterne,MATCH(G919,L_Sources,0))="Oui",1,0),""))</f>
        <v/>
      </c>
      <c r="AT919" s="37" t="str">
        <f aca="false">IF(AO919&lt;&gt;1,"",IFERROR(ROUND(IF(OR(N919="",O919=""),"",IF(O919&lt;N919,"",ROUND(((NETWORKDAYS(N919,O919,JoursFeries)-1)*(HFer-HOuv)+IF(NETWORKDAYS(O919,O919,JoursFeries),MEDIAN(MOD(O919,1),HFer,HOuv),HFer)-IF(NETWORKDAYS(N919,N919,JoursFeries),MEDIAN(MOD(N919,1),HFer,HOuv),HOuv))*24,4)))/HJour,4),""))</f>
        <v/>
      </c>
      <c r="AU919" s="37" t="str">
        <f aca="false">IF(AO919&lt;&gt;1,"",IF(OR(O919="",P919=""),"",IF(P919&lt;O919,"",ROUND(((NETWORKDAYS(O919,P919,JoursFeries)-1)*(HFer-HOuv)+IF(NETWORKDAYS(P919,P919,JoursFeries),MEDIAN(MOD(P919,1),HFer,HOuv),HFer)-IF(NETWORKDAYS(O919,O919,JoursFeries),MEDIAN(MOD(O919,1),HFer,HOuv),HOuv))*24,4))))</f>
        <v/>
      </c>
      <c r="AV919" s="37" t="str">
        <f aca="false">IF(AO919&lt;&gt;1,"",IF(OR(P919="",Q919=""),"",IF(Q919&lt;P919,"",ROUND(((NETWORKDAYS(P919,Q919,JoursFeries)-1)*(HFer-HOuv)+IF(NETWORKDAYS(Q919,Q919,JoursFeries),MEDIAN(MOD(Q919,1),HFer,HOuv),HFer)-IF(NETWORKDAYS(P919,P919,JoursFeries),MEDIAN(MOD(P919,1),HFer,HOuv),HOuv))*24,4))))</f>
        <v/>
      </c>
      <c r="AW919" s="37" t="str">
        <f aca="false">IF(AO919&lt;&gt;1,"",IFERROR(ROUND(IF(OR(P919="",R919=""),"",IF(R919&lt;P919,"",ROUND(((NETWORKDAYS(P919,R919,JoursFeries)-1)*(HFer-HOuv)+IF(NETWORKDAYS(R919,R919,JoursFeries),MEDIAN(MOD(R919,1),HFer,HOuv),HFer)-IF(NETWORKDAYS(P919,P919,JoursFeries),MEDIAN(MOD(P919,1),HFer,HOuv),HOuv))*24,4)))/HJour,4),""))</f>
        <v/>
      </c>
      <c r="AX919" s="37" t="str">
        <f aca="false">IF(AO919&lt;&gt;1,"",IFERROR(ROUND(IF(OR(P919="",S919=""),"",IF(S919&lt;P919,"",ROUND(((NETWORKDAYS(P919,S919,JoursFeries)-1)*(HFer-HOuv)+IF(NETWORKDAYS(S919,S919,JoursFeries),MEDIAN(MOD(S919,1),HFer,HOuv),HFer)-IF(NETWORKDAYS(P919,P919,JoursFeries),MEDIAN(MOD(P919,1),HFer,HOuv),HOuv))*24,4)))/HJour,4),""))</f>
        <v/>
      </c>
      <c r="AY919" s="36" t="str">
        <f aca="false">IF(OR(AO919&lt;&gt;1,AR919=""),"",INDEX(SLA_PEC,AR919))</f>
        <v/>
      </c>
      <c r="AZ919" s="35" t="str">
        <f aca="false">IF(OR(AV919="",AY919=""),"",IF(AV919&lt;=AY919,1,0))</f>
        <v/>
      </c>
      <c r="BA919" s="36" t="str">
        <f aca="false">IF(OR(AO919&lt;&gt;1,AR919=""),"",INDEX(SLA_RES,AR919))</f>
        <v/>
      </c>
      <c r="BB919" s="35" t="str">
        <f aca="false">IF(OR(AW919="",BA919=""),"",IF(AW919&lt;=BA919,1,0))</f>
        <v/>
      </c>
      <c r="BC919" s="38" t="str">
        <f aca="false">IF(OR(BA919="",P919=""),"",WORKDAY(INT(P919),BA919,JoursFeries)+MOD(P919,1))</f>
        <v/>
      </c>
      <c r="BD919" s="39" t="str">
        <f aca="false">IF(AO919&lt;&gt;1,"",IF(OR(AB919&lt;&gt;"",AD919&lt;&gt;""),4,IF(U919&lt;&gt;"",3,IF(T919&lt;&gt;"",2,1))))</f>
        <v/>
      </c>
      <c r="BE919" s="39" t="str">
        <f aca="false">IF(OR(AO919&lt;&gt;1,AR919=""),"",INDEX(NIV_REQ,AR919))</f>
        <v/>
      </c>
      <c r="BF919" s="39" t="str">
        <f aca="false">IF(BE919="","",MAX(BE919,IF(OR(K919="Oui",Z919="Oui"),4,1)))</f>
        <v/>
      </c>
      <c r="BG919" s="35" t="str">
        <f aca="false">IF(OR(BF919="",BD919=""),"",IF(BD919&gt;=BF919,1,0))</f>
        <v/>
      </c>
      <c r="BH919" s="38" t="str">
        <f aca="false">IF(BE919="","",IF(BE919&lt;2,"",IF(BE919=2,IF(AND(T919="",U919=""),"",MIN(T919,U919)),IF(U919="","",U919))))</f>
        <v/>
      </c>
      <c r="BI919" s="37" t="str">
        <f aca="false">IF(BH919="","",IF(OR(O919="",BH919=""),"",IF(BH919&lt;O919,"",ROUND(((NETWORKDAYS(O919,BH919,JoursFeries)-1)*(HFer-HOuv)+IF(NETWORKDAYS(BH919,BH919,JoursFeries),MEDIAN(MOD(BH919,1),HFer,HOuv),HFer)-IF(NETWORKDAYS(O919,O919,JoursFeries),MEDIAN(MOD(O919,1),HFer,HOuv),HOuv))*24,4))))</f>
        <v/>
      </c>
      <c r="BJ919" s="35" t="str">
        <f aca="false">IF(OR(BI919="",AR919=""),"",IF(BI919&lt;=INDEX(DELAI_ESC,AR919),1,0))</f>
        <v/>
      </c>
      <c r="BK919" s="38" t="str">
        <f aca="false">IF(AO919&lt;&gt;1,"",IF(AND(T919="",U919=""),"",MIN(T919,U919)))</f>
        <v/>
      </c>
      <c r="BL919" s="37" t="str">
        <f aca="false">IF(OR(BK919="",R919=""),"",IFERROR(ROUND(IF(OR(BK919="",R919=""),"",IF(R919&lt;BK919,"",ROUND(((NETWORKDAYS(BK919,R919,JoursFeries)-1)*(HFer-HOuv)+IF(NETWORKDAYS(R919,R919,JoursFeries),MEDIAN(MOD(R919,1),HFer,HOuv),HFer)-IF(NETWORKDAYS(BK919,BK919,JoursFeries),MEDIAN(MOD(BK919,1),HFer,HOuv),HOuv))*24,4)))/HJour,4),""))</f>
        <v/>
      </c>
      <c r="BM919" s="35" t="str">
        <f aca="false">IF(OR(AO919&lt;&gt;1,R919=""),"",IF(BD919=1,1,0))</f>
        <v/>
      </c>
      <c r="BN919" s="35" t="str">
        <f aca="false">IF(AO919&lt;&gt;1,"",IF(W919="Oui",1,0))</f>
        <v/>
      </c>
      <c r="BO919" s="35" t="str">
        <f aca="false">IF(AO919&lt;&gt;1,"",IF(X919&lt;&gt;"",1,0))</f>
        <v/>
      </c>
      <c r="BP919" s="35" t="str">
        <f aca="false">IF(AO919&lt;&gt;1,"",IF(Y919="Oui",1,0))</f>
        <v/>
      </c>
      <c r="BQ919" s="35" t="str">
        <f aca="true">IF(OR(AO919&lt;&gt;1,Z919&lt;&gt;"Oui"),"",IF(AB919="",IF(AND(AA919&lt;&gt;"",NOW()&gt;AA919),0,""),IF(AA919="","",IF(AB919&lt;=AA919,1,0))))</f>
        <v/>
      </c>
      <c r="BR919" s="38" t="str">
        <f aca="false">IF(OR(AO919&lt;&gt;1,K919&lt;&gt;"Oui",O919=""),"",IF(AC919="",O919+DORA_H_DET/24,IF(AC919-O919&lt;=DORA_H_DET/24,MIN(AC919+DORA_H_CLA/24,O919+DORA_H_DET/24),AC919+DORA_H_CLA/24)))</f>
        <v/>
      </c>
      <c r="BS919" s="35" t="str">
        <f aca="true">IF(BR919="","",IF(AD919="",IF(NOW()&gt;BR919,0,""),IF(AD919&lt;=BR919,1,0)))</f>
        <v/>
      </c>
      <c r="BT919" s="35" t="str">
        <f aca="true">IF(OR(BR919="",AD919=""),"",IF(AE919="",IF(NOW()&gt;AD919+DORA_H_INT/24,0,""),IF(AE919&lt;=AD919+DORA_H_INT/24,1,0)))</f>
        <v/>
      </c>
      <c r="BU919" s="35" t="str">
        <f aca="true">IF(OR(BR919="",AE919=""),"",IF(AF919="",IF(NOW()&gt;EDATE(AE919,DORA_M_FIN)+1,0,""),IF(AF919&lt;=EDATE(AE919,DORA_M_FIN),1,0)))</f>
        <v/>
      </c>
      <c r="BV919" s="35" t="str">
        <f aca="false">IF(BR919="","",IF(COUNT(BS919:BU919)=0,"",MIN(BS919:BU919)))</f>
        <v/>
      </c>
      <c r="BW919" s="40" t="str">
        <f aca="false">IF(AQ919&lt;&gt;1,"",IF(AND(AG919="",AH919=""),"",N(AG919)-N(AH919)))</f>
        <v/>
      </c>
      <c r="BX919" s="35" t="str">
        <f aca="true">IF(OR(AQ919&lt;&gt;1,AI919&lt;&gt;"Oui",AJ919=""),"",IF(AK919="",IF(NOW()&gt;AJ919+1,0,""),IF(AK919&lt;=AJ919,1,0)))</f>
        <v/>
      </c>
    </row>
    <row r="920" customFormat="false" ht="15" hidden="false" customHeight="false" outlineLevel="0" collapsed="false">
      <c r="B920" s="29"/>
      <c r="C920" s="29"/>
      <c r="D920" s="29"/>
      <c r="E920" s="29"/>
      <c r="F920" s="29"/>
      <c r="G920" s="29"/>
      <c r="H920" s="29"/>
      <c r="I920" s="29"/>
      <c r="J920" s="29"/>
      <c r="K920" s="29"/>
      <c r="L920" s="29"/>
      <c r="M920" s="29"/>
      <c r="N920" s="30"/>
      <c r="O920" s="30"/>
      <c r="P920" s="30"/>
      <c r="Q920" s="30"/>
      <c r="R920" s="30"/>
      <c r="S920" s="30"/>
      <c r="T920" s="30"/>
      <c r="U920" s="30"/>
      <c r="V920" s="31"/>
      <c r="W920" s="29"/>
      <c r="X920" s="29"/>
      <c r="Y920" s="29"/>
      <c r="Z920" s="29"/>
      <c r="AA920" s="30"/>
      <c r="AB920" s="30"/>
      <c r="AC920" s="30"/>
      <c r="AD920" s="30"/>
      <c r="AE920" s="30"/>
      <c r="AF920" s="32"/>
      <c r="AG920" s="33"/>
      <c r="AH920" s="33"/>
      <c r="AI920" s="29"/>
      <c r="AJ920" s="32"/>
      <c r="AK920" s="32"/>
      <c r="AL920" s="29"/>
      <c r="AN920" s="34" t="str">
        <f aca="false">IF($B920="","",IF(OR(C920="",D920="",E920="",G920="",I920="",J920="",L920="",O920="",P920=""),"Champ obligatoire manquant",IF(OR(AND(N920&lt;&gt;"",N920&gt;O920),O920&gt;P920,AND(Q920&lt;&gt;"",Q920&lt;P920),AND(R920&lt;&gt;"",R920&lt;P920),AND(S920&lt;&gt;"",S920&lt;R920),AND(S920&lt;&gt;"",R920=""),AND(T920&lt;&gt;"",T920&lt;O920),AND(U920&lt;&gt;"",U920&lt;O920)),"Chronologie incohérente",IF(AND(OR(L920="Résolu",L920="Clos"),R920=""),"Date de résolution manquante",IF(AND(L920="Clos",S920=""),"Date de clôture manquante",IF(AND(K920="Oui",AC920=""),"Classification DORA manquante","OK"))))))</f>
        <v/>
      </c>
      <c r="AO920" s="35" t="str">
        <f aca="false">IF($B920="","",IF(AND(C920="Incident",L920&lt;&gt;"Annulé"),1,0))</f>
        <v/>
      </c>
      <c r="AP920" s="35" t="str">
        <f aca="false">IF($B920="","",IF(AND(C920="Quasi-incident",L920&lt;&gt;"Annulé"),1,0))</f>
        <v/>
      </c>
      <c r="AQ920" s="35" t="str">
        <f aca="false">IF($B920="","",AO920+AP920)</f>
        <v/>
      </c>
      <c r="AR920" s="36" t="str">
        <f aca="false">IF(OR($B920="",J920=""),"",IFERROR(VALUE(LEFT(J920,1)),""))</f>
        <v/>
      </c>
      <c r="AS920" s="35" t="str">
        <f aca="false">IF(OR(AO920&lt;&gt;1,G920=""),"",IFERROR(IF(INDEX(L_SrcInterne,MATCH(G920,L_Sources,0))="Oui",1,0),""))</f>
        <v/>
      </c>
      <c r="AT920" s="37" t="str">
        <f aca="false">IF(AO920&lt;&gt;1,"",IFERROR(ROUND(IF(OR(N920="",O920=""),"",IF(O920&lt;N920,"",ROUND(((NETWORKDAYS(N920,O920,JoursFeries)-1)*(HFer-HOuv)+IF(NETWORKDAYS(O920,O920,JoursFeries),MEDIAN(MOD(O920,1),HFer,HOuv),HFer)-IF(NETWORKDAYS(N920,N920,JoursFeries),MEDIAN(MOD(N920,1),HFer,HOuv),HOuv))*24,4)))/HJour,4),""))</f>
        <v/>
      </c>
      <c r="AU920" s="37" t="str">
        <f aca="false">IF(AO920&lt;&gt;1,"",IF(OR(O920="",P920=""),"",IF(P920&lt;O920,"",ROUND(((NETWORKDAYS(O920,P920,JoursFeries)-1)*(HFer-HOuv)+IF(NETWORKDAYS(P920,P920,JoursFeries),MEDIAN(MOD(P920,1),HFer,HOuv),HFer)-IF(NETWORKDAYS(O920,O920,JoursFeries),MEDIAN(MOD(O920,1),HFer,HOuv),HOuv))*24,4))))</f>
        <v/>
      </c>
      <c r="AV920" s="37" t="str">
        <f aca="false">IF(AO920&lt;&gt;1,"",IF(OR(P920="",Q920=""),"",IF(Q920&lt;P920,"",ROUND(((NETWORKDAYS(P920,Q920,JoursFeries)-1)*(HFer-HOuv)+IF(NETWORKDAYS(Q920,Q920,JoursFeries),MEDIAN(MOD(Q920,1),HFer,HOuv),HFer)-IF(NETWORKDAYS(P920,P920,JoursFeries),MEDIAN(MOD(P920,1),HFer,HOuv),HOuv))*24,4))))</f>
        <v/>
      </c>
      <c r="AW920" s="37" t="str">
        <f aca="false">IF(AO920&lt;&gt;1,"",IFERROR(ROUND(IF(OR(P920="",R920=""),"",IF(R920&lt;P920,"",ROUND(((NETWORKDAYS(P920,R920,JoursFeries)-1)*(HFer-HOuv)+IF(NETWORKDAYS(R920,R920,JoursFeries),MEDIAN(MOD(R920,1),HFer,HOuv),HFer)-IF(NETWORKDAYS(P920,P920,JoursFeries),MEDIAN(MOD(P920,1),HFer,HOuv),HOuv))*24,4)))/HJour,4),""))</f>
        <v/>
      </c>
      <c r="AX920" s="37" t="str">
        <f aca="false">IF(AO920&lt;&gt;1,"",IFERROR(ROUND(IF(OR(P920="",S920=""),"",IF(S920&lt;P920,"",ROUND(((NETWORKDAYS(P920,S920,JoursFeries)-1)*(HFer-HOuv)+IF(NETWORKDAYS(S920,S920,JoursFeries),MEDIAN(MOD(S920,1),HFer,HOuv),HFer)-IF(NETWORKDAYS(P920,P920,JoursFeries),MEDIAN(MOD(P920,1),HFer,HOuv),HOuv))*24,4)))/HJour,4),""))</f>
        <v/>
      </c>
      <c r="AY920" s="36" t="str">
        <f aca="false">IF(OR(AO920&lt;&gt;1,AR920=""),"",INDEX(SLA_PEC,AR920))</f>
        <v/>
      </c>
      <c r="AZ920" s="35" t="str">
        <f aca="false">IF(OR(AV920="",AY920=""),"",IF(AV920&lt;=AY920,1,0))</f>
        <v/>
      </c>
      <c r="BA920" s="36" t="str">
        <f aca="false">IF(OR(AO920&lt;&gt;1,AR920=""),"",INDEX(SLA_RES,AR920))</f>
        <v/>
      </c>
      <c r="BB920" s="35" t="str">
        <f aca="false">IF(OR(AW920="",BA920=""),"",IF(AW920&lt;=BA920,1,0))</f>
        <v/>
      </c>
      <c r="BC920" s="38" t="str">
        <f aca="false">IF(OR(BA920="",P920=""),"",WORKDAY(INT(P920),BA920,JoursFeries)+MOD(P920,1))</f>
        <v/>
      </c>
      <c r="BD920" s="39" t="str">
        <f aca="false">IF(AO920&lt;&gt;1,"",IF(OR(AB920&lt;&gt;"",AD920&lt;&gt;""),4,IF(U920&lt;&gt;"",3,IF(T920&lt;&gt;"",2,1))))</f>
        <v/>
      </c>
      <c r="BE920" s="39" t="str">
        <f aca="false">IF(OR(AO920&lt;&gt;1,AR920=""),"",INDEX(NIV_REQ,AR920))</f>
        <v/>
      </c>
      <c r="BF920" s="39" t="str">
        <f aca="false">IF(BE920="","",MAX(BE920,IF(OR(K920="Oui",Z920="Oui"),4,1)))</f>
        <v/>
      </c>
      <c r="BG920" s="35" t="str">
        <f aca="false">IF(OR(BF920="",BD920=""),"",IF(BD920&gt;=BF920,1,0))</f>
        <v/>
      </c>
      <c r="BH920" s="38" t="str">
        <f aca="false">IF(BE920="","",IF(BE920&lt;2,"",IF(BE920=2,IF(AND(T920="",U920=""),"",MIN(T920,U920)),IF(U920="","",U920))))</f>
        <v/>
      </c>
      <c r="BI920" s="37" t="str">
        <f aca="false">IF(BH920="","",IF(OR(O920="",BH920=""),"",IF(BH920&lt;O920,"",ROUND(((NETWORKDAYS(O920,BH920,JoursFeries)-1)*(HFer-HOuv)+IF(NETWORKDAYS(BH920,BH920,JoursFeries),MEDIAN(MOD(BH920,1),HFer,HOuv),HFer)-IF(NETWORKDAYS(O920,O920,JoursFeries),MEDIAN(MOD(O920,1),HFer,HOuv),HOuv))*24,4))))</f>
        <v/>
      </c>
      <c r="BJ920" s="35" t="str">
        <f aca="false">IF(OR(BI920="",AR920=""),"",IF(BI920&lt;=INDEX(DELAI_ESC,AR920),1,0))</f>
        <v/>
      </c>
      <c r="BK920" s="38" t="str">
        <f aca="false">IF(AO920&lt;&gt;1,"",IF(AND(T920="",U920=""),"",MIN(T920,U920)))</f>
        <v/>
      </c>
      <c r="BL920" s="37" t="str">
        <f aca="false">IF(OR(BK920="",R920=""),"",IFERROR(ROUND(IF(OR(BK920="",R920=""),"",IF(R920&lt;BK920,"",ROUND(((NETWORKDAYS(BK920,R920,JoursFeries)-1)*(HFer-HOuv)+IF(NETWORKDAYS(R920,R920,JoursFeries),MEDIAN(MOD(R920,1),HFer,HOuv),HFer)-IF(NETWORKDAYS(BK920,BK920,JoursFeries),MEDIAN(MOD(BK920,1),HFer,HOuv),HOuv))*24,4)))/HJour,4),""))</f>
        <v/>
      </c>
      <c r="BM920" s="35" t="str">
        <f aca="false">IF(OR(AO920&lt;&gt;1,R920=""),"",IF(BD920=1,1,0))</f>
        <v/>
      </c>
      <c r="BN920" s="35" t="str">
        <f aca="false">IF(AO920&lt;&gt;1,"",IF(W920="Oui",1,0))</f>
        <v/>
      </c>
      <c r="BO920" s="35" t="str">
        <f aca="false">IF(AO920&lt;&gt;1,"",IF(X920&lt;&gt;"",1,0))</f>
        <v/>
      </c>
      <c r="BP920" s="35" t="str">
        <f aca="false">IF(AO920&lt;&gt;1,"",IF(Y920="Oui",1,0))</f>
        <v/>
      </c>
      <c r="BQ920" s="35" t="str">
        <f aca="true">IF(OR(AO920&lt;&gt;1,Z920&lt;&gt;"Oui"),"",IF(AB920="",IF(AND(AA920&lt;&gt;"",NOW()&gt;AA920),0,""),IF(AA920="","",IF(AB920&lt;=AA920,1,0))))</f>
        <v/>
      </c>
      <c r="BR920" s="38" t="str">
        <f aca="false">IF(OR(AO920&lt;&gt;1,K920&lt;&gt;"Oui",O920=""),"",IF(AC920="",O920+DORA_H_DET/24,IF(AC920-O920&lt;=DORA_H_DET/24,MIN(AC920+DORA_H_CLA/24,O920+DORA_H_DET/24),AC920+DORA_H_CLA/24)))</f>
        <v/>
      </c>
      <c r="BS920" s="35" t="str">
        <f aca="true">IF(BR920="","",IF(AD920="",IF(NOW()&gt;BR920,0,""),IF(AD920&lt;=BR920,1,0)))</f>
        <v/>
      </c>
      <c r="BT920" s="35" t="str">
        <f aca="true">IF(OR(BR920="",AD920=""),"",IF(AE920="",IF(NOW()&gt;AD920+DORA_H_INT/24,0,""),IF(AE920&lt;=AD920+DORA_H_INT/24,1,0)))</f>
        <v/>
      </c>
      <c r="BU920" s="35" t="str">
        <f aca="true">IF(OR(BR920="",AE920=""),"",IF(AF920="",IF(NOW()&gt;EDATE(AE920,DORA_M_FIN)+1,0,""),IF(AF920&lt;=EDATE(AE920,DORA_M_FIN),1,0)))</f>
        <v/>
      </c>
      <c r="BV920" s="35" t="str">
        <f aca="false">IF(BR920="","",IF(COUNT(BS920:BU920)=0,"",MIN(BS920:BU920)))</f>
        <v/>
      </c>
      <c r="BW920" s="40" t="str">
        <f aca="false">IF(AQ920&lt;&gt;1,"",IF(AND(AG920="",AH920=""),"",N(AG920)-N(AH920)))</f>
        <v/>
      </c>
      <c r="BX920" s="35" t="str">
        <f aca="true">IF(OR(AQ920&lt;&gt;1,AI920&lt;&gt;"Oui",AJ920=""),"",IF(AK920="",IF(NOW()&gt;AJ920+1,0,""),IF(AK920&lt;=AJ920,1,0)))</f>
        <v/>
      </c>
    </row>
    <row r="921" customFormat="false" ht="15" hidden="false" customHeight="false" outlineLevel="0" collapsed="false">
      <c r="B921" s="29"/>
      <c r="C921" s="29"/>
      <c r="D921" s="29"/>
      <c r="E921" s="29"/>
      <c r="F921" s="29"/>
      <c r="G921" s="29"/>
      <c r="H921" s="29"/>
      <c r="I921" s="29"/>
      <c r="J921" s="29"/>
      <c r="K921" s="29"/>
      <c r="L921" s="29"/>
      <c r="M921" s="29"/>
      <c r="N921" s="30"/>
      <c r="O921" s="30"/>
      <c r="P921" s="30"/>
      <c r="Q921" s="30"/>
      <c r="R921" s="30"/>
      <c r="S921" s="30"/>
      <c r="T921" s="30"/>
      <c r="U921" s="30"/>
      <c r="V921" s="31"/>
      <c r="W921" s="29"/>
      <c r="X921" s="29"/>
      <c r="Y921" s="29"/>
      <c r="Z921" s="29"/>
      <c r="AA921" s="30"/>
      <c r="AB921" s="30"/>
      <c r="AC921" s="30"/>
      <c r="AD921" s="30"/>
      <c r="AE921" s="30"/>
      <c r="AF921" s="32"/>
      <c r="AG921" s="33"/>
      <c r="AH921" s="33"/>
      <c r="AI921" s="29"/>
      <c r="AJ921" s="32"/>
      <c r="AK921" s="32"/>
      <c r="AL921" s="29"/>
      <c r="AN921" s="34" t="str">
        <f aca="false">IF($B921="","",IF(OR(C921="",D921="",E921="",G921="",I921="",J921="",L921="",O921="",P921=""),"Champ obligatoire manquant",IF(OR(AND(N921&lt;&gt;"",N921&gt;O921),O921&gt;P921,AND(Q921&lt;&gt;"",Q921&lt;P921),AND(R921&lt;&gt;"",R921&lt;P921),AND(S921&lt;&gt;"",S921&lt;R921),AND(S921&lt;&gt;"",R921=""),AND(T921&lt;&gt;"",T921&lt;O921),AND(U921&lt;&gt;"",U921&lt;O921)),"Chronologie incohérente",IF(AND(OR(L921="Résolu",L921="Clos"),R921=""),"Date de résolution manquante",IF(AND(L921="Clos",S921=""),"Date de clôture manquante",IF(AND(K921="Oui",AC921=""),"Classification DORA manquante","OK"))))))</f>
        <v/>
      </c>
      <c r="AO921" s="35" t="str">
        <f aca="false">IF($B921="","",IF(AND(C921="Incident",L921&lt;&gt;"Annulé"),1,0))</f>
        <v/>
      </c>
      <c r="AP921" s="35" t="str">
        <f aca="false">IF($B921="","",IF(AND(C921="Quasi-incident",L921&lt;&gt;"Annulé"),1,0))</f>
        <v/>
      </c>
      <c r="AQ921" s="35" t="str">
        <f aca="false">IF($B921="","",AO921+AP921)</f>
        <v/>
      </c>
      <c r="AR921" s="36" t="str">
        <f aca="false">IF(OR($B921="",J921=""),"",IFERROR(VALUE(LEFT(J921,1)),""))</f>
        <v/>
      </c>
      <c r="AS921" s="35" t="str">
        <f aca="false">IF(OR(AO921&lt;&gt;1,G921=""),"",IFERROR(IF(INDEX(L_SrcInterne,MATCH(G921,L_Sources,0))="Oui",1,0),""))</f>
        <v/>
      </c>
      <c r="AT921" s="37" t="str">
        <f aca="false">IF(AO921&lt;&gt;1,"",IFERROR(ROUND(IF(OR(N921="",O921=""),"",IF(O921&lt;N921,"",ROUND(((NETWORKDAYS(N921,O921,JoursFeries)-1)*(HFer-HOuv)+IF(NETWORKDAYS(O921,O921,JoursFeries),MEDIAN(MOD(O921,1),HFer,HOuv),HFer)-IF(NETWORKDAYS(N921,N921,JoursFeries),MEDIAN(MOD(N921,1),HFer,HOuv),HOuv))*24,4)))/HJour,4),""))</f>
        <v/>
      </c>
      <c r="AU921" s="37" t="str">
        <f aca="false">IF(AO921&lt;&gt;1,"",IF(OR(O921="",P921=""),"",IF(P921&lt;O921,"",ROUND(((NETWORKDAYS(O921,P921,JoursFeries)-1)*(HFer-HOuv)+IF(NETWORKDAYS(P921,P921,JoursFeries),MEDIAN(MOD(P921,1),HFer,HOuv),HFer)-IF(NETWORKDAYS(O921,O921,JoursFeries),MEDIAN(MOD(O921,1),HFer,HOuv),HOuv))*24,4))))</f>
        <v/>
      </c>
      <c r="AV921" s="37" t="str">
        <f aca="false">IF(AO921&lt;&gt;1,"",IF(OR(P921="",Q921=""),"",IF(Q921&lt;P921,"",ROUND(((NETWORKDAYS(P921,Q921,JoursFeries)-1)*(HFer-HOuv)+IF(NETWORKDAYS(Q921,Q921,JoursFeries),MEDIAN(MOD(Q921,1),HFer,HOuv),HFer)-IF(NETWORKDAYS(P921,P921,JoursFeries),MEDIAN(MOD(P921,1),HFer,HOuv),HOuv))*24,4))))</f>
        <v/>
      </c>
      <c r="AW921" s="37" t="str">
        <f aca="false">IF(AO921&lt;&gt;1,"",IFERROR(ROUND(IF(OR(P921="",R921=""),"",IF(R921&lt;P921,"",ROUND(((NETWORKDAYS(P921,R921,JoursFeries)-1)*(HFer-HOuv)+IF(NETWORKDAYS(R921,R921,JoursFeries),MEDIAN(MOD(R921,1),HFer,HOuv),HFer)-IF(NETWORKDAYS(P921,P921,JoursFeries),MEDIAN(MOD(P921,1),HFer,HOuv),HOuv))*24,4)))/HJour,4),""))</f>
        <v/>
      </c>
      <c r="AX921" s="37" t="str">
        <f aca="false">IF(AO921&lt;&gt;1,"",IFERROR(ROUND(IF(OR(P921="",S921=""),"",IF(S921&lt;P921,"",ROUND(((NETWORKDAYS(P921,S921,JoursFeries)-1)*(HFer-HOuv)+IF(NETWORKDAYS(S921,S921,JoursFeries),MEDIAN(MOD(S921,1),HFer,HOuv),HFer)-IF(NETWORKDAYS(P921,P921,JoursFeries),MEDIAN(MOD(P921,1),HFer,HOuv),HOuv))*24,4)))/HJour,4),""))</f>
        <v/>
      </c>
      <c r="AY921" s="36" t="str">
        <f aca="false">IF(OR(AO921&lt;&gt;1,AR921=""),"",INDEX(SLA_PEC,AR921))</f>
        <v/>
      </c>
      <c r="AZ921" s="35" t="str">
        <f aca="false">IF(OR(AV921="",AY921=""),"",IF(AV921&lt;=AY921,1,0))</f>
        <v/>
      </c>
      <c r="BA921" s="36" t="str">
        <f aca="false">IF(OR(AO921&lt;&gt;1,AR921=""),"",INDEX(SLA_RES,AR921))</f>
        <v/>
      </c>
      <c r="BB921" s="35" t="str">
        <f aca="false">IF(OR(AW921="",BA921=""),"",IF(AW921&lt;=BA921,1,0))</f>
        <v/>
      </c>
      <c r="BC921" s="38" t="str">
        <f aca="false">IF(OR(BA921="",P921=""),"",WORKDAY(INT(P921),BA921,JoursFeries)+MOD(P921,1))</f>
        <v/>
      </c>
      <c r="BD921" s="39" t="str">
        <f aca="false">IF(AO921&lt;&gt;1,"",IF(OR(AB921&lt;&gt;"",AD921&lt;&gt;""),4,IF(U921&lt;&gt;"",3,IF(T921&lt;&gt;"",2,1))))</f>
        <v/>
      </c>
      <c r="BE921" s="39" t="str">
        <f aca="false">IF(OR(AO921&lt;&gt;1,AR921=""),"",INDEX(NIV_REQ,AR921))</f>
        <v/>
      </c>
      <c r="BF921" s="39" t="str">
        <f aca="false">IF(BE921="","",MAX(BE921,IF(OR(K921="Oui",Z921="Oui"),4,1)))</f>
        <v/>
      </c>
      <c r="BG921" s="35" t="str">
        <f aca="false">IF(OR(BF921="",BD921=""),"",IF(BD921&gt;=BF921,1,0))</f>
        <v/>
      </c>
      <c r="BH921" s="38" t="str">
        <f aca="false">IF(BE921="","",IF(BE921&lt;2,"",IF(BE921=2,IF(AND(T921="",U921=""),"",MIN(T921,U921)),IF(U921="","",U921))))</f>
        <v/>
      </c>
      <c r="BI921" s="37" t="str">
        <f aca="false">IF(BH921="","",IF(OR(O921="",BH921=""),"",IF(BH921&lt;O921,"",ROUND(((NETWORKDAYS(O921,BH921,JoursFeries)-1)*(HFer-HOuv)+IF(NETWORKDAYS(BH921,BH921,JoursFeries),MEDIAN(MOD(BH921,1),HFer,HOuv),HFer)-IF(NETWORKDAYS(O921,O921,JoursFeries),MEDIAN(MOD(O921,1),HFer,HOuv),HOuv))*24,4))))</f>
        <v/>
      </c>
      <c r="BJ921" s="35" t="str">
        <f aca="false">IF(OR(BI921="",AR921=""),"",IF(BI921&lt;=INDEX(DELAI_ESC,AR921),1,0))</f>
        <v/>
      </c>
      <c r="BK921" s="38" t="str">
        <f aca="false">IF(AO921&lt;&gt;1,"",IF(AND(T921="",U921=""),"",MIN(T921,U921)))</f>
        <v/>
      </c>
      <c r="BL921" s="37" t="str">
        <f aca="false">IF(OR(BK921="",R921=""),"",IFERROR(ROUND(IF(OR(BK921="",R921=""),"",IF(R921&lt;BK921,"",ROUND(((NETWORKDAYS(BK921,R921,JoursFeries)-1)*(HFer-HOuv)+IF(NETWORKDAYS(R921,R921,JoursFeries),MEDIAN(MOD(R921,1),HFer,HOuv),HFer)-IF(NETWORKDAYS(BK921,BK921,JoursFeries),MEDIAN(MOD(BK921,1),HFer,HOuv),HOuv))*24,4)))/HJour,4),""))</f>
        <v/>
      </c>
      <c r="BM921" s="35" t="str">
        <f aca="false">IF(OR(AO921&lt;&gt;1,R921=""),"",IF(BD921=1,1,0))</f>
        <v/>
      </c>
      <c r="BN921" s="35" t="str">
        <f aca="false">IF(AO921&lt;&gt;1,"",IF(W921="Oui",1,0))</f>
        <v/>
      </c>
      <c r="BO921" s="35" t="str">
        <f aca="false">IF(AO921&lt;&gt;1,"",IF(X921&lt;&gt;"",1,0))</f>
        <v/>
      </c>
      <c r="BP921" s="35" t="str">
        <f aca="false">IF(AO921&lt;&gt;1,"",IF(Y921="Oui",1,0))</f>
        <v/>
      </c>
      <c r="BQ921" s="35" t="str">
        <f aca="true">IF(OR(AO921&lt;&gt;1,Z921&lt;&gt;"Oui"),"",IF(AB921="",IF(AND(AA921&lt;&gt;"",NOW()&gt;AA921),0,""),IF(AA921="","",IF(AB921&lt;=AA921,1,0))))</f>
        <v/>
      </c>
      <c r="BR921" s="38" t="str">
        <f aca="false">IF(OR(AO921&lt;&gt;1,K921&lt;&gt;"Oui",O921=""),"",IF(AC921="",O921+DORA_H_DET/24,IF(AC921-O921&lt;=DORA_H_DET/24,MIN(AC921+DORA_H_CLA/24,O921+DORA_H_DET/24),AC921+DORA_H_CLA/24)))</f>
        <v/>
      </c>
      <c r="BS921" s="35" t="str">
        <f aca="true">IF(BR921="","",IF(AD921="",IF(NOW()&gt;BR921,0,""),IF(AD921&lt;=BR921,1,0)))</f>
        <v/>
      </c>
      <c r="BT921" s="35" t="str">
        <f aca="true">IF(OR(BR921="",AD921=""),"",IF(AE921="",IF(NOW()&gt;AD921+DORA_H_INT/24,0,""),IF(AE921&lt;=AD921+DORA_H_INT/24,1,0)))</f>
        <v/>
      </c>
      <c r="BU921" s="35" t="str">
        <f aca="true">IF(OR(BR921="",AE921=""),"",IF(AF921="",IF(NOW()&gt;EDATE(AE921,DORA_M_FIN)+1,0,""),IF(AF921&lt;=EDATE(AE921,DORA_M_FIN),1,0)))</f>
        <v/>
      </c>
      <c r="BV921" s="35" t="str">
        <f aca="false">IF(BR921="","",IF(COUNT(BS921:BU921)=0,"",MIN(BS921:BU921)))</f>
        <v/>
      </c>
      <c r="BW921" s="40" t="str">
        <f aca="false">IF(AQ921&lt;&gt;1,"",IF(AND(AG921="",AH921=""),"",N(AG921)-N(AH921)))</f>
        <v/>
      </c>
      <c r="BX921" s="35" t="str">
        <f aca="true">IF(OR(AQ921&lt;&gt;1,AI921&lt;&gt;"Oui",AJ921=""),"",IF(AK921="",IF(NOW()&gt;AJ921+1,0,""),IF(AK921&lt;=AJ921,1,0)))</f>
        <v/>
      </c>
    </row>
    <row r="922" customFormat="false" ht="15" hidden="false" customHeight="false" outlineLevel="0" collapsed="false">
      <c r="B922" s="29"/>
      <c r="C922" s="29"/>
      <c r="D922" s="29"/>
      <c r="E922" s="29"/>
      <c r="F922" s="29"/>
      <c r="G922" s="29"/>
      <c r="H922" s="29"/>
      <c r="I922" s="29"/>
      <c r="J922" s="29"/>
      <c r="K922" s="29"/>
      <c r="L922" s="29"/>
      <c r="M922" s="29"/>
      <c r="N922" s="30"/>
      <c r="O922" s="30"/>
      <c r="P922" s="30"/>
      <c r="Q922" s="30"/>
      <c r="R922" s="30"/>
      <c r="S922" s="30"/>
      <c r="T922" s="30"/>
      <c r="U922" s="30"/>
      <c r="V922" s="31"/>
      <c r="W922" s="29"/>
      <c r="X922" s="29"/>
      <c r="Y922" s="29"/>
      <c r="Z922" s="29"/>
      <c r="AA922" s="30"/>
      <c r="AB922" s="30"/>
      <c r="AC922" s="30"/>
      <c r="AD922" s="30"/>
      <c r="AE922" s="30"/>
      <c r="AF922" s="32"/>
      <c r="AG922" s="33"/>
      <c r="AH922" s="33"/>
      <c r="AI922" s="29"/>
      <c r="AJ922" s="32"/>
      <c r="AK922" s="32"/>
      <c r="AL922" s="29"/>
      <c r="AN922" s="34" t="str">
        <f aca="false">IF($B922="","",IF(OR(C922="",D922="",E922="",G922="",I922="",J922="",L922="",O922="",P922=""),"Champ obligatoire manquant",IF(OR(AND(N922&lt;&gt;"",N922&gt;O922),O922&gt;P922,AND(Q922&lt;&gt;"",Q922&lt;P922),AND(R922&lt;&gt;"",R922&lt;P922),AND(S922&lt;&gt;"",S922&lt;R922),AND(S922&lt;&gt;"",R922=""),AND(T922&lt;&gt;"",T922&lt;O922),AND(U922&lt;&gt;"",U922&lt;O922)),"Chronologie incohérente",IF(AND(OR(L922="Résolu",L922="Clos"),R922=""),"Date de résolution manquante",IF(AND(L922="Clos",S922=""),"Date de clôture manquante",IF(AND(K922="Oui",AC922=""),"Classification DORA manquante","OK"))))))</f>
        <v/>
      </c>
      <c r="AO922" s="35" t="str">
        <f aca="false">IF($B922="","",IF(AND(C922="Incident",L922&lt;&gt;"Annulé"),1,0))</f>
        <v/>
      </c>
      <c r="AP922" s="35" t="str">
        <f aca="false">IF($B922="","",IF(AND(C922="Quasi-incident",L922&lt;&gt;"Annulé"),1,0))</f>
        <v/>
      </c>
      <c r="AQ922" s="35" t="str">
        <f aca="false">IF($B922="","",AO922+AP922)</f>
        <v/>
      </c>
      <c r="AR922" s="36" t="str">
        <f aca="false">IF(OR($B922="",J922=""),"",IFERROR(VALUE(LEFT(J922,1)),""))</f>
        <v/>
      </c>
      <c r="AS922" s="35" t="str">
        <f aca="false">IF(OR(AO922&lt;&gt;1,G922=""),"",IFERROR(IF(INDEX(L_SrcInterne,MATCH(G922,L_Sources,0))="Oui",1,0),""))</f>
        <v/>
      </c>
      <c r="AT922" s="37" t="str">
        <f aca="false">IF(AO922&lt;&gt;1,"",IFERROR(ROUND(IF(OR(N922="",O922=""),"",IF(O922&lt;N922,"",ROUND(((NETWORKDAYS(N922,O922,JoursFeries)-1)*(HFer-HOuv)+IF(NETWORKDAYS(O922,O922,JoursFeries),MEDIAN(MOD(O922,1),HFer,HOuv),HFer)-IF(NETWORKDAYS(N922,N922,JoursFeries),MEDIAN(MOD(N922,1),HFer,HOuv),HOuv))*24,4)))/HJour,4),""))</f>
        <v/>
      </c>
      <c r="AU922" s="37" t="str">
        <f aca="false">IF(AO922&lt;&gt;1,"",IF(OR(O922="",P922=""),"",IF(P922&lt;O922,"",ROUND(((NETWORKDAYS(O922,P922,JoursFeries)-1)*(HFer-HOuv)+IF(NETWORKDAYS(P922,P922,JoursFeries),MEDIAN(MOD(P922,1),HFer,HOuv),HFer)-IF(NETWORKDAYS(O922,O922,JoursFeries),MEDIAN(MOD(O922,1),HFer,HOuv),HOuv))*24,4))))</f>
        <v/>
      </c>
      <c r="AV922" s="37" t="str">
        <f aca="false">IF(AO922&lt;&gt;1,"",IF(OR(P922="",Q922=""),"",IF(Q922&lt;P922,"",ROUND(((NETWORKDAYS(P922,Q922,JoursFeries)-1)*(HFer-HOuv)+IF(NETWORKDAYS(Q922,Q922,JoursFeries),MEDIAN(MOD(Q922,1),HFer,HOuv),HFer)-IF(NETWORKDAYS(P922,P922,JoursFeries),MEDIAN(MOD(P922,1),HFer,HOuv),HOuv))*24,4))))</f>
        <v/>
      </c>
      <c r="AW922" s="37" t="str">
        <f aca="false">IF(AO922&lt;&gt;1,"",IFERROR(ROUND(IF(OR(P922="",R922=""),"",IF(R922&lt;P922,"",ROUND(((NETWORKDAYS(P922,R922,JoursFeries)-1)*(HFer-HOuv)+IF(NETWORKDAYS(R922,R922,JoursFeries),MEDIAN(MOD(R922,1),HFer,HOuv),HFer)-IF(NETWORKDAYS(P922,P922,JoursFeries),MEDIAN(MOD(P922,1),HFer,HOuv),HOuv))*24,4)))/HJour,4),""))</f>
        <v/>
      </c>
      <c r="AX922" s="37" t="str">
        <f aca="false">IF(AO922&lt;&gt;1,"",IFERROR(ROUND(IF(OR(P922="",S922=""),"",IF(S922&lt;P922,"",ROUND(((NETWORKDAYS(P922,S922,JoursFeries)-1)*(HFer-HOuv)+IF(NETWORKDAYS(S922,S922,JoursFeries),MEDIAN(MOD(S922,1),HFer,HOuv),HFer)-IF(NETWORKDAYS(P922,P922,JoursFeries),MEDIAN(MOD(P922,1),HFer,HOuv),HOuv))*24,4)))/HJour,4),""))</f>
        <v/>
      </c>
      <c r="AY922" s="36" t="str">
        <f aca="false">IF(OR(AO922&lt;&gt;1,AR922=""),"",INDEX(SLA_PEC,AR922))</f>
        <v/>
      </c>
      <c r="AZ922" s="35" t="str">
        <f aca="false">IF(OR(AV922="",AY922=""),"",IF(AV922&lt;=AY922,1,0))</f>
        <v/>
      </c>
      <c r="BA922" s="36" t="str">
        <f aca="false">IF(OR(AO922&lt;&gt;1,AR922=""),"",INDEX(SLA_RES,AR922))</f>
        <v/>
      </c>
      <c r="BB922" s="35" t="str">
        <f aca="false">IF(OR(AW922="",BA922=""),"",IF(AW922&lt;=BA922,1,0))</f>
        <v/>
      </c>
      <c r="BC922" s="38" t="str">
        <f aca="false">IF(OR(BA922="",P922=""),"",WORKDAY(INT(P922),BA922,JoursFeries)+MOD(P922,1))</f>
        <v/>
      </c>
      <c r="BD922" s="39" t="str">
        <f aca="false">IF(AO922&lt;&gt;1,"",IF(OR(AB922&lt;&gt;"",AD922&lt;&gt;""),4,IF(U922&lt;&gt;"",3,IF(T922&lt;&gt;"",2,1))))</f>
        <v/>
      </c>
      <c r="BE922" s="39" t="str">
        <f aca="false">IF(OR(AO922&lt;&gt;1,AR922=""),"",INDEX(NIV_REQ,AR922))</f>
        <v/>
      </c>
      <c r="BF922" s="39" t="str">
        <f aca="false">IF(BE922="","",MAX(BE922,IF(OR(K922="Oui",Z922="Oui"),4,1)))</f>
        <v/>
      </c>
      <c r="BG922" s="35" t="str">
        <f aca="false">IF(OR(BF922="",BD922=""),"",IF(BD922&gt;=BF922,1,0))</f>
        <v/>
      </c>
      <c r="BH922" s="38" t="str">
        <f aca="false">IF(BE922="","",IF(BE922&lt;2,"",IF(BE922=2,IF(AND(T922="",U922=""),"",MIN(T922,U922)),IF(U922="","",U922))))</f>
        <v/>
      </c>
      <c r="BI922" s="37" t="str">
        <f aca="false">IF(BH922="","",IF(OR(O922="",BH922=""),"",IF(BH922&lt;O922,"",ROUND(((NETWORKDAYS(O922,BH922,JoursFeries)-1)*(HFer-HOuv)+IF(NETWORKDAYS(BH922,BH922,JoursFeries),MEDIAN(MOD(BH922,1),HFer,HOuv),HFer)-IF(NETWORKDAYS(O922,O922,JoursFeries),MEDIAN(MOD(O922,1),HFer,HOuv),HOuv))*24,4))))</f>
        <v/>
      </c>
      <c r="BJ922" s="35" t="str">
        <f aca="false">IF(OR(BI922="",AR922=""),"",IF(BI922&lt;=INDEX(DELAI_ESC,AR922),1,0))</f>
        <v/>
      </c>
      <c r="BK922" s="38" t="str">
        <f aca="false">IF(AO922&lt;&gt;1,"",IF(AND(T922="",U922=""),"",MIN(T922,U922)))</f>
        <v/>
      </c>
      <c r="BL922" s="37" t="str">
        <f aca="false">IF(OR(BK922="",R922=""),"",IFERROR(ROUND(IF(OR(BK922="",R922=""),"",IF(R922&lt;BK922,"",ROUND(((NETWORKDAYS(BK922,R922,JoursFeries)-1)*(HFer-HOuv)+IF(NETWORKDAYS(R922,R922,JoursFeries),MEDIAN(MOD(R922,1),HFer,HOuv),HFer)-IF(NETWORKDAYS(BK922,BK922,JoursFeries),MEDIAN(MOD(BK922,1),HFer,HOuv),HOuv))*24,4)))/HJour,4),""))</f>
        <v/>
      </c>
      <c r="BM922" s="35" t="str">
        <f aca="false">IF(OR(AO922&lt;&gt;1,R922=""),"",IF(BD922=1,1,0))</f>
        <v/>
      </c>
      <c r="BN922" s="35" t="str">
        <f aca="false">IF(AO922&lt;&gt;1,"",IF(W922="Oui",1,0))</f>
        <v/>
      </c>
      <c r="BO922" s="35" t="str">
        <f aca="false">IF(AO922&lt;&gt;1,"",IF(X922&lt;&gt;"",1,0))</f>
        <v/>
      </c>
      <c r="BP922" s="35" t="str">
        <f aca="false">IF(AO922&lt;&gt;1,"",IF(Y922="Oui",1,0))</f>
        <v/>
      </c>
      <c r="BQ922" s="35" t="str">
        <f aca="true">IF(OR(AO922&lt;&gt;1,Z922&lt;&gt;"Oui"),"",IF(AB922="",IF(AND(AA922&lt;&gt;"",NOW()&gt;AA922),0,""),IF(AA922="","",IF(AB922&lt;=AA922,1,0))))</f>
        <v/>
      </c>
      <c r="BR922" s="38" t="str">
        <f aca="false">IF(OR(AO922&lt;&gt;1,K922&lt;&gt;"Oui",O922=""),"",IF(AC922="",O922+DORA_H_DET/24,IF(AC922-O922&lt;=DORA_H_DET/24,MIN(AC922+DORA_H_CLA/24,O922+DORA_H_DET/24),AC922+DORA_H_CLA/24)))</f>
        <v/>
      </c>
      <c r="BS922" s="35" t="str">
        <f aca="true">IF(BR922="","",IF(AD922="",IF(NOW()&gt;BR922,0,""),IF(AD922&lt;=BR922,1,0)))</f>
        <v/>
      </c>
      <c r="BT922" s="35" t="str">
        <f aca="true">IF(OR(BR922="",AD922=""),"",IF(AE922="",IF(NOW()&gt;AD922+DORA_H_INT/24,0,""),IF(AE922&lt;=AD922+DORA_H_INT/24,1,0)))</f>
        <v/>
      </c>
      <c r="BU922" s="35" t="str">
        <f aca="true">IF(OR(BR922="",AE922=""),"",IF(AF922="",IF(NOW()&gt;EDATE(AE922,DORA_M_FIN)+1,0,""),IF(AF922&lt;=EDATE(AE922,DORA_M_FIN),1,0)))</f>
        <v/>
      </c>
      <c r="BV922" s="35" t="str">
        <f aca="false">IF(BR922="","",IF(COUNT(BS922:BU922)=0,"",MIN(BS922:BU922)))</f>
        <v/>
      </c>
      <c r="BW922" s="40" t="str">
        <f aca="false">IF(AQ922&lt;&gt;1,"",IF(AND(AG922="",AH922=""),"",N(AG922)-N(AH922)))</f>
        <v/>
      </c>
      <c r="BX922" s="35" t="str">
        <f aca="true">IF(OR(AQ922&lt;&gt;1,AI922&lt;&gt;"Oui",AJ922=""),"",IF(AK922="",IF(NOW()&gt;AJ922+1,0,""),IF(AK922&lt;=AJ922,1,0)))</f>
        <v/>
      </c>
    </row>
    <row r="923" customFormat="false" ht="15" hidden="false" customHeight="false" outlineLevel="0" collapsed="false">
      <c r="B923" s="29"/>
      <c r="C923" s="29"/>
      <c r="D923" s="29"/>
      <c r="E923" s="29"/>
      <c r="F923" s="29"/>
      <c r="G923" s="29"/>
      <c r="H923" s="29"/>
      <c r="I923" s="29"/>
      <c r="J923" s="29"/>
      <c r="K923" s="29"/>
      <c r="L923" s="29"/>
      <c r="M923" s="29"/>
      <c r="N923" s="30"/>
      <c r="O923" s="30"/>
      <c r="P923" s="30"/>
      <c r="Q923" s="30"/>
      <c r="R923" s="30"/>
      <c r="S923" s="30"/>
      <c r="T923" s="30"/>
      <c r="U923" s="30"/>
      <c r="V923" s="31"/>
      <c r="W923" s="29"/>
      <c r="X923" s="29"/>
      <c r="Y923" s="29"/>
      <c r="Z923" s="29"/>
      <c r="AA923" s="30"/>
      <c r="AB923" s="30"/>
      <c r="AC923" s="30"/>
      <c r="AD923" s="30"/>
      <c r="AE923" s="30"/>
      <c r="AF923" s="32"/>
      <c r="AG923" s="33"/>
      <c r="AH923" s="33"/>
      <c r="AI923" s="29"/>
      <c r="AJ923" s="32"/>
      <c r="AK923" s="32"/>
      <c r="AL923" s="29"/>
      <c r="AN923" s="34" t="str">
        <f aca="false">IF($B923="","",IF(OR(C923="",D923="",E923="",G923="",I923="",J923="",L923="",O923="",P923=""),"Champ obligatoire manquant",IF(OR(AND(N923&lt;&gt;"",N923&gt;O923),O923&gt;P923,AND(Q923&lt;&gt;"",Q923&lt;P923),AND(R923&lt;&gt;"",R923&lt;P923),AND(S923&lt;&gt;"",S923&lt;R923),AND(S923&lt;&gt;"",R923=""),AND(T923&lt;&gt;"",T923&lt;O923),AND(U923&lt;&gt;"",U923&lt;O923)),"Chronologie incohérente",IF(AND(OR(L923="Résolu",L923="Clos"),R923=""),"Date de résolution manquante",IF(AND(L923="Clos",S923=""),"Date de clôture manquante",IF(AND(K923="Oui",AC923=""),"Classification DORA manquante","OK"))))))</f>
        <v/>
      </c>
      <c r="AO923" s="35" t="str">
        <f aca="false">IF($B923="","",IF(AND(C923="Incident",L923&lt;&gt;"Annulé"),1,0))</f>
        <v/>
      </c>
      <c r="AP923" s="35" t="str">
        <f aca="false">IF($B923="","",IF(AND(C923="Quasi-incident",L923&lt;&gt;"Annulé"),1,0))</f>
        <v/>
      </c>
      <c r="AQ923" s="35" t="str">
        <f aca="false">IF($B923="","",AO923+AP923)</f>
        <v/>
      </c>
      <c r="AR923" s="36" t="str">
        <f aca="false">IF(OR($B923="",J923=""),"",IFERROR(VALUE(LEFT(J923,1)),""))</f>
        <v/>
      </c>
      <c r="AS923" s="35" t="str">
        <f aca="false">IF(OR(AO923&lt;&gt;1,G923=""),"",IFERROR(IF(INDEX(L_SrcInterne,MATCH(G923,L_Sources,0))="Oui",1,0),""))</f>
        <v/>
      </c>
      <c r="AT923" s="37" t="str">
        <f aca="false">IF(AO923&lt;&gt;1,"",IFERROR(ROUND(IF(OR(N923="",O923=""),"",IF(O923&lt;N923,"",ROUND(((NETWORKDAYS(N923,O923,JoursFeries)-1)*(HFer-HOuv)+IF(NETWORKDAYS(O923,O923,JoursFeries),MEDIAN(MOD(O923,1),HFer,HOuv),HFer)-IF(NETWORKDAYS(N923,N923,JoursFeries),MEDIAN(MOD(N923,1),HFer,HOuv),HOuv))*24,4)))/HJour,4),""))</f>
        <v/>
      </c>
      <c r="AU923" s="37" t="str">
        <f aca="false">IF(AO923&lt;&gt;1,"",IF(OR(O923="",P923=""),"",IF(P923&lt;O923,"",ROUND(((NETWORKDAYS(O923,P923,JoursFeries)-1)*(HFer-HOuv)+IF(NETWORKDAYS(P923,P923,JoursFeries),MEDIAN(MOD(P923,1),HFer,HOuv),HFer)-IF(NETWORKDAYS(O923,O923,JoursFeries),MEDIAN(MOD(O923,1),HFer,HOuv),HOuv))*24,4))))</f>
        <v/>
      </c>
      <c r="AV923" s="37" t="str">
        <f aca="false">IF(AO923&lt;&gt;1,"",IF(OR(P923="",Q923=""),"",IF(Q923&lt;P923,"",ROUND(((NETWORKDAYS(P923,Q923,JoursFeries)-1)*(HFer-HOuv)+IF(NETWORKDAYS(Q923,Q923,JoursFeries),MEDIAN(MOD(Q923,1),HFer,HOuv),HFer)-IF(NETWORKDAYS(P923,P923,JoursFeries),MEDIAN(MOD(P923,1),HFer,HOuv),HOuv))*24,4))))</f>
        <v/>
      </c>
      <c r="AW923" s="37" t="str">
        <f aca="false">IF(AO923&lt;&gt;1,"",IFERROR(ROUND(IF(OR(P923="",R923=""),"",IF(R923&lt;P923,"",ROUND(((NETWORKDAYS(P923,R923,JoursFeries)-1)*(HFer-HOuv)+IF(NETWORKDAYS(R923,R923,JoursFeries),MEDIAN(MOD(R923,1),HFer,HOuv),HFer)-IF(NETWORKDAYS(P923,P923,JoursFeries),MEDIAN(MOD(P923,1),HFer,HOuv),HOuv))*24,4)))/HJour,4),""))</f>
        <v/>
      </c>
      <c r="AX923" s="37" t="str">
        <f aca="false">IF(AO923&lt;&gt;1,"",IFERROR(ROUND(IF(OR(P923="",S923=""),"",IF(S923&lt;P923,"",ROUND(((NETWORKDAYS(P923,S923,JoursFeries)-1)*(HFer-HOuv)+IF(NETWORKDAYS(S923,S923,JoursFeries),MEDIAN(MOD(S923,1),HFer,HOuv),HFer)-IF(NETWORKDAYS(P923,P923,JoursFeries),MEDIAN(MOD(P923,1),HFer,HOuv),HOuv))*24,4)))/HJour,4),""))</f>
        <v/>
      </c>
      <c r="AY923" s="36" t="str">
        <f aca="false">IF(OR(AO923&lt;&gt;1,AR923=""),"",INDEX(SLA_PEC,AR923))</f>
        <v/>
      </c>
      <c r="AZ923" s="35" t="str">
        <f aca="false">IF(OR(AV923="",AY923=""),"",IF(AV923&lt;=AY923,1,0))</f>
        <v/>
      </c>
      <c r="BA923" s="36" t="str">
        <f aca="false">IF(OR(AO923&lt;&gt;1,AR923=""),"",INDEX(SLA_RES,AR923))</f>
        <v/>
      </c>
      <c r="BB923" s="35" t="str">
        <f aca="false">IF(OR(AW923="",BA923=""),"",IF(AW923&lt;=BA923,1,0))</f>
        <v/>
      </c>
      <c r="BC923" s="38" t="str">
        <f aca="false">IF(OR(BA923="",P923=""),"",WORKDAY(INT(P923),BA923,JoursFeries)+MOD(P923,1))</f>
        <v/>
      </c>
      <c r="BD923" s="39" t="str">
        <f aca="false">IF(AO923&lt;&gt;1,"",IF(OR(AB923&lt;&gt;"",AD923&lt;&gt;""),4,IF(U923&lt;&gt;"",3,IF(T923&lt;&gt;"",2,1))))</f>
        <v/>
      </c>
      <c r="BE923" s="39" t="str">
        <f aca="false">IF(OR(AO923&lt;&gt;1,AR923=""),"",INDEX(NIV_REQ,AR923))</f>
        <v/>
      </c>
      <c r="BF923" s="39" t="str">
        <f aca="false">IF(BE923="","",MAX(BE923,IF(OR(K923="Oui",Z923="Oui"),4,1)))</f>
        <v/>
      </c>
      <c r="BG923" s="35" t="str">
        <f aca="false">IF(OR(BF923="",BD923=""),"",IF(BD923&gt;=BF923,1,0))</f>
        <v/>
      </c>
      <c r="BH923" s="38" t="str">
        <f aca="false">IF(BE923="","",IF(BE923&lt;2,"",IF(BE923=2,IF(AND(T923="",U923=""),"",MIN(T923,U923)),IF(U923="","",U923))))</f>
        <v/>
      </c>
      <c r="BI923" s="37" t="str">
        <f aca="false">IF(BH923="","",IF(OR(O923="",BH923=""),"",IF(BH923&lt;O923,"",ROUND(((NETWORKDAYS(O923,BH923,JoursFeries)-1)*(HFer-HOuv)+IF(NETWORKDAYS(BH923,BH923,JoursFeries),MEDIAN(MOD(BH923,1),HFer,HOuv),HFer)-IF(NETWORKDAYS(O923,O923,JoursFeries),MEDIAN(MOD(O923,1),HFer,HOuv),HOuv))*24,4))))</f>
        <v/>
      </c>
      <c r="BJ923" s="35" t="str">
        <f aca="false">IF(OR(BI923="",AR923=""),"",IF(BI923&lt;=INDEX(DELAI_ESC,AR923),1,0))</f>
        <v/>
      </c>
      <c r="BK923" s="38" t="str">
        <f aca="false">IF(AO923&lt;&gt;1,"",IF(AND(T923="",U923=""),"",MIN(T923,U923)))</f>
        <v/>
      </c>
      <c r="BL923" s="37" t="str">
        <f aca="false">IF(OR(BK923="",R923=""),"",IFERROR(ROUND(IF(OR(BK923="",R923=""),"",IF(R923&lt;BK923,"",ROUND(((NETWORKDAYS(BK923,R923,JoursFeries)-1)*(HFer-HOuv)+IF(NETWORKDAYS(R923,R923,JoursFeries),MEDIAN(MOD(R923,1),HFer,HOuv),HFer)-IF(NETWORKDAYS(BK923,BK923,JoursFeries),MEDIAN(MOD(BK923,1),HFer,HOuv),HOuv))*24,4)))/HJour,4),""))</f>
        <v/>
      </c>
      <c r="BM923" s="35" t="str">
        <f aca="false">IF(OR(AO923&lt;&gt;1,R923=""),"",IF(BD923=1,1,0))</f>
        <v/>
      </c>
      <c r="BN923" s="35" t="str">
        <f aca="false">IF(AO923&lt;&gt;1,"",IF(W923="Oui",1,0))</f>
        <v/>
      </c>
      <c r="BO923" s="35" t="str">
        <f aca="false">IF(AO923&lt;&gt;1,"",IF(X923&lt;&gt;"",1,0))</f>
        <v/>
      </c>
      <c r="BP923" s="35" t="str">
        <f aca="false">IF(AO923&lt;&gt;1,"",IF(Y923="Oui",1,0))</f>
        <v/>
      </c>
      <c r="BQ923" s="35" t="str">
        <f aca="true">IF(OR(AO923&lt;&gt;1,Z923&lt;&gt;"Oui"),"",IF(AB923="",IF(AND(AA923&lt;&gt;"",NOW()&gt;AA923),0,""),IF(AA923="","",IF(AB923&lt;=AA923,1,0))))</f>
        <v/>
      </c>
      <c r="BR923" s="38" t="str">
        <f aca="false">IF(OR(AO923&lt;&gt;1,K923&lt;&gt;"Oui",O923=""),"",IF(AC923="",O923+DORA_H_DET/24,IF(AC923-O923&lt;=DORA_H_DET/24,MIN(AC923+DORA_H_CLA/24,O923+DORA_H_DET/24),AC923+DORA_H_CLA/24)))</f>
        <v/>
      </c>
      <c r="BS923" s="35" t="str">
        <f aca="true">IF(BR923="","",IF(AD923="",IF(NOW()&gt;BR923,0,""),IF(AD923&lt;=BR923,1,0)))</f>
        <v/>
      </c>
      <c r="BT923" s="35" t="str">
        <f aca="true">IF(OR(BR923="",AD923=""),"",IF(AE923="",IF(NOW()&gt;AD923+DORA_H_INT/24,0,""),IF(AE923&lt;=AD923+DORA_H_INT/24,1,0)))</f>
        <v/>
      </c>
      <c r="BU923" s="35" t="str">
        <f aca="true">IF(OR(BR923="",AE923=""),"",IF(AF923="",IF(NOW()&gt;EDATE(AE923,DORA_M_FIN)+1,0,""),IF(AF923&lt;=EDATE(AE923,DORA_M_FIN),1,0)))</f>
        <v/>
      </c>
      <c r="BV923" s="35" t="str">
        <f aca="false">IF(BR923="","",IF(COUNT(BS923:BU923)=0,"",MIN(BS923:BU923)))</f>
        <v/>
      </c>
      <c r="BW923" s="40" t="str">
        <f aca="false">IF(AQ923&lt;&gt;1,"",IF(AND(AG923="",AH923=""),"",N(AG923)-N(AH923)))</f>
        <v/>
      </c>
      <c r="BX923" s="35" t="str">
        <f aca="true">IF(OR(AQ923&lt;&gt;1,AI923&lt;&gt;"Oui",AJ923=""),"",IF(AK923="",IF(NOW()&gt;AJ923+1,0,""),IF(AK923&lt;=AJ923,1,0)))</f>
        <v/>
      </c>
    </row>
    <row r="924" customFormat="false" ht="15" hidden="false" customHeight="false" outlineLevel="0" collapsed="false">
      <c r="B924" s="29"/>
      <c r="C924" s="29"/>
      <c r="D924" s="29"/>
      <c r="E924" s="29"/>
      <c r="F924" s="29"/>
      <c r="G924" s="29"/>
      <c r="H924" s="29"/>
      <c r="I924" s="29"/>
      <c r="J924" s="29"/>
      <c r="K924" s="29"/>
      <c r="L924" s="29"/>
      <c r="M924" s="29"/>
      <c r="N924" s="30"/>
      <c r="O924" s="30"/>
      <c r="P924" s="30"/>
      <c r="Q924" s="30"/>
      <c r="R924" s="30"/>
      <c r="S924" s="30"/>
      <c r="T924" s="30"/>
      <c r="U924" s="30"/>
      <c r="V924" s="31"/>
      <c r="W924" s="29"/>
      <c r="X924" s="29"/>
      <c r="Y924" s="29"/>
      <c r="Z924" s="29"/>
      <c r="AA924" s="30"/>
      <c r="AB924" s="30"/>
      <c r="AC924" s="30"/>
      <c r="AD924" s="30"/>
      <c r="AE924" s="30"/>
      <c r="AF924" s="32"/>
      <c r="AG924" s="33"/>
      <c r="AH924" s="33"/>
      <c r="AI924" s="29"/>
      <c r="AJ924" s="32"/>
      <c r="AK924" s="32"/>
      <c r="AL924" s="29"/>
      <c r="AN924" s="34" t="str">
        <f aca="false">IF($B924="","",IF(OR(C924="",D924="",E924="",G924="",I924="",J924="",L924="",O924="",P924=""),"Champ obligatoire manquant",IF(OR(AND(N924&lt;&gt;"",N924&gt;O924),O924&gt;P924,AND(Q924&lt;&gt;"",Q924&lt;P924),AND(R924&lt;&gt;"",R924&lt;P924),AND(S924&lt;&gt;"",S924&lt;R924),AND(S924&lt;&gt;"",R924=""),AND(T924&lt;&gt;"",T924&lt;O924),AND(U924&lt;&gt;"",U924&lt;O924)),"Chronologie incohérente",IF(AND(OR(L924="Résolu",L924="Clos"),R924=""),"Date de résolution manquante",IF(AND(L924="Clos",S924=""),"Date de clôture manquante",IF(AND(K924="Oui",AC924=""),"Classification DORA manquante","OK"))))))</f>
        <v/>
      </c>
      <c r="AO924" s="35" t="str">
        <f aca="false">IF($B924="","",IF(AND(C924="Incident",L924&lt;&gt;"Annulé"),1,0))</f>
        <v/>
      </c>
      <c r="AP924" s="35" t="str">
        <f aca="false">IF($B924="","",IF(AND(C924="Quasi-incident",L924&lt;&gt;"Annulé"),1,0))</f>
        <v/>
      </c>
      <c r="AQ924" s="35" t="str">
        <f aca="false">IF($B924="","",AO924+AP924)</f>
        <v/>
      </c>
      <c r="AR924" s="36" t="str">
        <f aca="false">IF(OR($B924="",J924=""),"",IFERROR(VALUE(LEFT(J924,1)),""))</f>
        <v/>
      </c>
      <c r="AS924" s="35" t="str">
        <f aca="false">IF(OR(AO924&lt;&gt;1,G924=""),"",IFERROR(IF(INDEX(L_SrcInterne,MATCH(G924,L_Sources,0))="Oui",1,0),""))</f>
        <v/>
      </c>
      <c r="AT924" s="37" t="str">
        <f aca="false">IF(AO924&lt;&gt;1,"",IFERROR(ROUND(IF(OR(N924="",O924=""),"",IF(O924&lt;N924,"",ROUND(((NETWORKDAYS(N924,O924,JoursFeries)-1)*(HFer-HOuv)+IF(NETWORKDAYS(O924,O924,JoursFeries),MEDIAN(MOD(O924,1),HFer,HOuv),HFer)-IF(NETWORKDAYS(N924,N924,JoursFeries),MEDIAN(MOD(N924,1),HFer,HOuv),HOuv))*24,4)))/HJour,4),""))</f>
        <v/>
      </c>
      <c r="AU924" s="37" t="str">
        <f aca="false">IF(AO924&lt;&gt;1,"",IF(OR(O924="",P924=""),"",IF(P924&lt;O924,"",ROUND(((NETWORKDAYS(O924,P924,JoursFeries)-1)*(HFer-HOuv)+IF(NETWORKDAYS(P924,P924,JoursFeries),MEDIAN(MOD(P924,1),HFer,HOuv),HFer)-IF(NETWORKDAYS(O924,O924,JoursFeries),MEDIAN(MOD(O924,1),HFer,HOuv),HOuv))*24,4))))</f>
        <v/>
      </c>
      <c r="AV924" s="37" t="str">
        <f aca="false">IF(AO924&lt;&gt;1,"",IF(OR(P924="",Q924=""),"",IF(Q924&lt;P924,"",ROUND(((NETWORKDAYS(P924,Q924,JoursFeries)-1)*(HFer-HOuv)+IF(NETWORKDAYS(Q924,Q924,JoursFeries),MEDIAN(MOD(Q924,1),HFer,HOuv),HFer)-IF(NETWORKDAYS(P924,P924,JoursFeries),MEDIAN(MOD(P924,1),HFer,HOuv),HOuv))*24,4))))</f>
        <v/>
      </c>
      <c r="AW924" s="37" t="str">
        <f aca="false">IF(AO924&lt;&gt;1,"",IFERROR(ROUND(IF(OR(P924="",R924=""),"",IF(R924&lt;P924,"",ROUND(((NETWORKDAYS(P924,R924,JoursFeries)-1)*(HFer-HOuv)+IF(NETWORKDAYS(R924,R924,JoursFeries),MEDIAN(MOD(R924,1),HFer,HOuv),HFer)-IF(NETWORKDAYS(P924,P924,JoursFeries),MEDIAN(MOD(P924,1),HFer,HOuv),HOuv))*24,4)))/HJour,4),""))</f>
        <v/>
      </c>
      <c r="AX924" s="37" t="str">
        <f aca="false">IF(AO924&lt;&gt;1,"",IFERROR(ROUND(IF(OR(P924="",S924=""),"",IF(S924&lt;P924,"",ROUND(((NETWORKDAYS(P924,S924,JoursFeries)-1)*(HFer-HOuv)+IF(NETWORKDAYS(S924,S924,JoursFeries),MEDIAN(MOD(S924,1),HFer,HOuv),HFer)-IF(NETWORKDAYS(P924,P924,JoursFeries),MEDIAN(MOD(P924,1),HFer,HOuv),HOuv))*24,4)))/HJour,4),""))</f>
        <v/>
      </c>
      <c r="AY924" s="36" t="str">
        <f aca="false">IF(OR(AO924&lt;&gt;1,AR924=""),"",INDEX(SLA_PEC,AR924))</f>
        <v/>
      </c>
      <c r="AZ924" s="35" t="str">
        <f aca="false">IF(OR(AV924="",AY924=""),"",IF(AV924&lt;=AY924,1,0))</f>
        <v/>
      </c>
      <c r="BA924" s="36" t="str">
        <f aca="false">IF(OR(AO924&lt;&gt;1,AR924=""),"",INDEX(SLA_RES,AR924))</f>
        <v/>
      </c>
      <c r="BB924" s="35" t="str">
        <f aca="false">IF(OR(AW924="",BA924=""),"",IF(AW924&lt;=BA924,1,0))</f>
        <v/>
      </c>
      <c r="BC924" s="38" t="str">
        <f aca="false">IF(OR(BA924="",P924=""),"",WORKDAY(INT(P924),BA924,JoursFeries)+MOD(P924,1))</f>
        <v/>
      </c>
      <c r="BD924" s="39" t="str">
        <f aca="false">IF(AO924&lt;&gt;1,"",IF(OR(AB924&lt;&gt;"",AD924&lt;&gt;""),4,IF(U924&lt;&gt;"",3,IF(T924&lt;&gt;"",2,1))))</f>
        <v/>
      </c>
      <c r="BE924" s="39" t="str">
        <f aca="false">IF(OR(AO924&lt;&gt;1,AR924=""),"",INDEX(NIV_REQ,AR924))</f>
        <v/>
      </c>
      <c r="BF924" s="39" t="str">
        <f aca="false">IF(BE924="","",MAX(BE924,IF(OR(K924="Oui",Z924="Oui"),4,1)))</f>
        <v/>
      </c>
      <c r="BG924" s="35" t="str">
        <f aca="false">IF(OR(BF924="",BD924=""),"",IF(BD924&gt;=BF924,1,0))</f>
        <v/>
      </c>
      <c r="BH924" s="38" t="str">
        <f aca="false">IF(BE924="","",IF(BE924&lt;2,"",IF(BE924=2,IF(AND(T924="",U924=""),"",MIN(T924,U924)),IF(U924="","",U924))))</f>
        <v/>
      </c>
      <c r="BI924" s="37" t="str">
        <f aca="false">IF(BH924="","",IF(OR(O924="",BH924=""),"",IF(BH924&lt;O924,"",ROUND(((NETWORKDAYS(O924,BH924,JoursFeries)-1)*(HFer-HOuv)+IF(NETWORKDAYS(BH924,BH924,JoursFeries),MEDIAN(MOD(BH924,1),HFer,HOuv),HFer)-IF(NETWORKDAYS(O924,O924,JoursFeries),MEDIAN(MOD(O924,1),HFer,HOuv),HOuv))*24,4))))</f>
        <v/>
      </c>
      <c r="BJ924" s="35" t="str">
        <f aca="false">IF(OR(BI924="",AR924=""),"",IF(BI924&lt;=INDEX(DELAI_ESC,AR924),1,0))</f>
        <v/>
      </c>
      <c r="BK924" s="38" t="str">
        <f aca="false">IF(AO924&lt;&gt;1,"",IF(AND(T924="",U924=""),"",MIN(T924,U924)))</f>
        <v/>
      </c>
      <c r="BL924" s="37" t="str">
        <f aca="false">IF(OR(BK924="",R924=""),"",IFERROR(ROUND(IF(OR(BK924="",R924=""),"",IF(R924&lt;BK924,"",ROUND(((NETWORKDAYS(BK924,R924,JoursFeries)-1)*(HFer-HOuv)+IF(NETWORKDAYS(R924,R924,JoursFeries),MEDIAN(MOD(R924,1),HFer,HOuv),HFer)-IF(NETWORKDAYS(BK924,BK924,JoursFeries),MEDIAN(MOD(BK924,1),HFer,HOuv),HOuv))*24,4)))/HJour,4),""))</f>
        <v/>
      </c>
      <c r="BM924" s="35" t="str">
        <f aca="false">IF(OR(AO924&lt;&gt;1,R924=""),"",IF(BD924=1,1,0))</f>
        <v/>
      </c>
      <c r="BN924" s="35" t="str">
        <f aca="false">IF(AO924&lt;&gt;1,"",IF(W924="Oui",1,0))</f>
        <v/>
      </c>
      <c r="BO924" s="35" t="str">
        <f aca="false">IF(AO924&lt;&gt;1,"",IF(X924&lt;&gt;"",1,0))</f>
        <v/>
      </c>
      <c r="BP924" s="35" t="str">
        <f aca="false">IF(AO924&lt;&gt;1,"",IF(Y924="Oui",1,0))</f>
        <v/>
      </c>
      <c r="BQ924" s="35" t="str">
        <f aca="true">IF(OR(AO924&lt;&gt;1,Z924&lt;&gt;"Oui"),"",IF(AB924="",IF(AND(AA924&lt;&gt;"",NOW()&gt;AA924),0,""),IF(AA924="","",IF(AB924&lt;=AA924,1,0))))</f>
        <v/>
      </c>
      <c r="BR924" s="38" t="str">
        <f aca="false">IF(OR(AO924&lt;&gt;1,K924&lt;&gt;"Oui",O924=""),"",IF(AC924="",O924+DORA_H_DET/24,IF(AC924-O924&lt;=DORA_H_DET/24,MIN(AC924+DORA_H_CLA/24,O924+DORA_H_DET/24),AC924+DORA_H_CLA/24)))</f>
        <v/>
      </c>
      <c r="BS924" s="35" t="str">
        <f aca="true">IF(BR924="","",IF(AD924="",IF(NOW()&gt;BR924,0,""),IF(AD924&lt;=BR924,1,0)))</f>
        <v/>
      </c>
      <c r="BT924" s="35" t="str">
        <f aca="true">IF(OR(BR924="",AD924=""),"",IF(AE924="",IF(NOW()&gt;AD924+DORA_H_INT/24,0,""),IF(AE924&lt;=AD924+DORA_H_INT/24,1,0)))</f>
        <v/>
      </c>
      <c r="BU924" s="35" t="str">
        <f aca="true">IF(OR(BR924="",AE924=""),"",IF(AF924="",IF(NOW()&gt;EDATE(AE924,DORA_M_FIN)+1,0,""),IF(AF924&lt;=EDATE(AE924,DORA_M_FIN),1,0)))</f>
        <v/>
      </c>
      <c r="BV924" s="35" t="str">
        <f aca="false">IF(BR924="","",IF(COUNT(BS924:BU924)=0,"",MIN(BS924:BU924)))</f>
        <v/>
      </c>
      <c r="BW924" s="40" t="str">
        <f aca="false">IF(AQ924&lt;&gt;1,"",IF(AND(AG924="",AH924=""),"",N(AG924)-N(AH924)))</f>
        <v/>
      </c>
      <c r="BX924" s="35" t="str">
        <f aca="true">IF(OR(AQ924&lt;&gt;1,AI924&lt;&gt;"Oui",AJ924=""),"",IF(AK924="",IF(NOW()&gt;AJ924+1,0,""),IF(AK924&lt;=AJ924,1,0)))</f>
        <v/>
      </c>
    </row>
    <row r="925" customFormat="false" ht="15" hidden="false" customHeight="false" outlineLevel="0" collapsed="false">
      <c r="B925" s="29"/>
      <c r="C925" s="29"/>
      <c r="D925" s="29"/>
      <c r="E925" s="29"/>
      <c r="F925" s="29"/>
      <c r="G925" s="29"/>
      <c r="H925" s="29"/>
      <c r="I925" s="29"/>
      <c r="J925" s="29"/>
      <c r="K925" s="29"/>
      <c r="L925" s="29"/>
      <c r="M925" s="29"/>
      <c r="N925" s="30"/>
      <c r="O925" s="30"/>
      <c r="P925" s="30"/>
      <c r="Q925" s="30"/>
      <c r="R925" s="30"/>
      <c r="S925" s="30"/>
      <c r="T925" s="30"/>
      <c r="U925" s="30"/>
      <c r="V925" s="31"/>
      <c r="W925" s="29"/>
      <c r="X925" s="29"/>
      <c r="Y925" s="29"/>
      <c r="Z925" s="29"/>
      <c r="AA925" s="30"/>
      <c r="AB925" s="30"/>
      <c r="AC925" s="30"/>
      <c r="AD925" s="30"/>
      <c r="AE925" s="30"/>
      <c r="AF925" s="32"/>
      <c r="AG925" s="33"/>
      <c r="AH925" s="33"/>
      <c r="AI925" s="29"/>
      <c r="AJ925" s="32"/>
      <c r="AK925" s="32"/>
      <c r="AL925" s="29"/>
      <c r="AN925" s="34" t="str">
        <f aca="false">IF($B925="","",IF(OR(C925="",D925="",E925="",G925="",I925="",J925="",L925="",O925="",P925=""),"Champ obligatoire manquant",IF(OR(AND(N925&lt;&gt;"",N925&gt;O925),O925&gt;P925,AND(Q925&lt;&gt;"",Q925&lt;P925),AND(R925&lt;&gt;"",R925&lt;P925),AND(S925&lt;&gt;"",S925&lt;R925),AND(S925&lt;&gt;"",R925=""),AND(T925&lt;&gt;"",T925&lt;O925),AND(U925&lt;&gt;"",U925&lt;O925)),"Chronologie incohérente",IF(AND(OR(L925="Résolu",L925="Clos"),R925=""),"Date de résolution manquante",IF(AND(L925="Clos",S925=""),"Date de clôture manquante",IF(AND(K925="Oui",AC925=""),"Classification DORA manquante","OK"))))))</f>
        <v/>
      </c>
      <c r="AO925" s="35" t="str">
        <f aca="false">IF($B925="","",IF(AND(C925="Incident",L925&lt;&gt;"Annulé"),1,0))</f>
        <v/>
      </c>
      <c r="AP925" s="35" t="str">
        <f aca="false">IF($B925="","",IF(AND(C925="Quasi-incident",L925&lt;&gt;"Annulé"),1,0))</f>
        <v/>
      </c>
      <c r="AQ925" s="35" t="str">
        <f aca="false">IF($B925="","",AO925+AP925)</f>
        <v/>
      </c>
      <c r="AR925" s="36" t="str">
        <f aca="false">IF(OR($B925="",J925=""),"",IFERROR(VALUE(LEFT(J925,1)),""))</f>
        <v/>
      </c>
      <c r="AS925" s="35" t="str">
        <f aca="false">IF(OR(AO925&lt;&gt;1,G925=""),"",IFERROR(IF(INDEX(L_SrcInterne,MATCH(G925,L_Sources,0))="Oui",1,0),""))</f>
        <v/>
      </c>
      <c r="AT925" s="37" t="str">
        <f aca="false">IF(AO925&lt;&gt;1,"",IFERROR(ROUND(IF(OR(N925="",O925=""),"",IF(O925&lt;N925,"",ROUND(((NETWORKDAYS(N925,O925,JoursFeries)-1)*(HFer-HOuv)+IF(NETWORKDAYS(O925,O925,JoursFeries),MEDIAN(MOD(O925,1),HFer,HOuv),HFer)-IF(NETWORKDAYS(N925,N925,JoursFeries),MEDIAN(MOD(N925,1),HFer,HOuv),HOuv))*24,4)))/HJour,4),""))</f>
        <v/>
      </c>
      <c r="AU925" s="37" t="str">
        <f aca="false">IF(AO925&lt;&gt;1,"",IF(OR(O925="",P925=""),"",IF(P925&lt;O925,"",ROUND(((NETWORKDAYS(O925,P925,JoursFeries)-1)*(HFer-HOuv)+IF(NETWORKDAYS(P925,P925,JoursFeries),MEDIAN(MOD(P925,1),HFer,HOuv),HFer)-IF(NETWORKDAYS(O925,O925,JoursFeries),MEDIAN(MOD(O925,1),HFer,HOuv),HOuv))*24,4))))</f>
        <v/>
      </c>
      <c r="AV925" s="37" t="str">
        <f aca="false">IF(AO925&lt;&gt;1,"",IF(OR(P925="",Q925=""),"",IF(Q925&lt;P925,"",ROUND(((NETWORKDAYS(P925,Q925,JoursFeries)-1)*(HFer-HOuv)+IF(NETWORKDAYS(Q925,Q925,JoursFeries),MEDIAN(MOD(Q925,1),HFer,HOuv),HFer)-IF(NETWORKDAYS(P925,P925,JoursFeries),MEDIAN(MOD(P925,1),HFer,HOuv),HOuv))*24,4))))</f>
        <v/>
      </c>
      <c r="AW925" s="37" t="str">
        <f aca="false">IF(AO925&lt;&gt;1,"",IFERROR(ROUND(IF(OR(P925="",R925=""),"",IF(R925&lt;P925,"",ROUND(((NETWORKDAYS(P925,R925,JoursFeries)-1)*(HFer-HOuv)+IF(NETWORKDAYS(R925,R925,JoursFeries),MEDIAN(MOD(R925,1),HFer,HOuv),HFer)-IF(NETWORKDAYS(P925,P925,JoursFeries),MEDIAN(MOD(P925,1),HFer,HOuv),HOuv))*24,4)))/HJour,4),""))</f>
        <v/>
      </c>
      <c r="AX925" s="37" t="str">
        <f aca="false">IF(AO925&lt;&gt;1,"",IFERROR(ROUND(IF(OR(P925="",S925=""),"",IF(S925&lt;P925,"",ROUND(((NETWORKDAYS(P925,S925,JoursFeries)-1)*(HFer-HOuv)+IF(NETWORKDAYS(S925,S925,JoursFeries),MEDIAN(MOD(S925,1),HFer,HOuv),HFer)-IF(NETWORKDAYS(P925,P925,JoursFeries),MEDIAN(MOD(P925,1),HFer,HOuv),HOuv))*24,4)))/HJour,4),""))</f>
        <v/>
      </c>
      <c r="AY925" s="36" t="str">
        <f aca="false">IF(OR(AO925&lt;&gt;1,AR925=""),"",INDEX(SLA_PEC,AR925))</f>
        <v/>
      </c>
      <c r="AZ925" s="35" t="str">
        <f aca="false">IF(OR(AV925="",AY925=""),"",IF(AV925&lt;=AY925,1,0))</f>
        <v/>
      </c>
      <c r="BA925" s="36" t="str">
        <f aca="false">IF(OR(AO925&lt;&gt;1,AR925=""),"",INDEX(SLA_RES,AR925))</f>
        <v/>
      </c>
      <c r="BB925" s="35" t="str">
        <f aca="false">IF(OR(AW925="",BA925=""),"",IF(AW925&lt;=BA925,1,0))</f>
        <v/>
      </c>
      <c r="BC925" s="38" t="str">
        <f aca="false">IF(OR(BA925="",P925=""),"",WORKDAY(INT(P925),BA925,JoursFeries)+MOD(P925,1))</f>
        <v/>
      </c>
      <c r="BD925" s="39" t="str">
        <f aca="false">IF(AO925&lt;&gt;1,"",IF(OR(AB925&lt;&gt;"",AD925&lt;&gt;""),4,IF(U925&lt;&gt;"",3,IF(T925&lt;&gt;"",2,1))))</f>
        <v/>
      </c>
      <c r="BE925" s="39" t="str">
        <f aca="false">IF(OR(AO925&lt;&gt;1,AR925=""),"",INDEX(NIV_REQ,AR925))</f>
        <v/>
      </c>
      <c r="BF925" s="39" t="str">
        <f aca="false">IF(BE925="","",MAX(BE925,IF(OR(K925="Oui",Z925="Oui"),4,1)))</f>
        <v/>
      </c>
      <c r="BG925" s="35" t="str">
        <f aca="false">IF(OR(BF925="",BD925=""),"",IF(BD925&gt;=BF925,1,0))</f>
        <v/>
      </c>
      <c r="BH925" s="38" t="str">
        <f aca="false">IF(BE925="","",IF(BE925&lt;2,"",IF(BE925=2,IF(AND(T925="",U925=""),"",MIN(T925,U925)),IF(U925="","",U925))))</f>
        <v/>
      </c>
      <c r="BI925" s="37" t="str">
        <f aca="false">IF(BH925="","",IF(OR(O925="",BH925=""),"",IF(BH925&lt;O925,"",ROUND(((NETWORKDAYS(O925,BH925,JoursFeries)-1)*(HFer-HOuv)+IF(NETWORKDAYS(BH925,BH925,JoursFeries),MEDIAN(MOD(BH925,1),HFer,HOuv),HFer)-IF(NETWORKDAYS(O925,O925,JoursFeries),MEDIAN(MOD(O925,1),HFer,HOuv),HOuv))*24,4))))</f>
        <v/>
      </c>
      <c r="BJ925" s="35" t="str">
        <f aca="false">IF(OR(BI925="",AR925=""),"",IF(BI925&lt;=INDEX(DELAI_ESC,AR925),1,0))</f>
        <v/>
      </c>
      <c r="BK925" s="38" t="str">
        <f aca="false">IF(AO925&lt;&gt;1,"",IF(AND(T925="",U925=""),"",MIN(T925,U925)))</f>
        <v/>
      </c>
      <c r="BL925" s="37" t="str">
        <f aca="false">IF(OR(BK925="",R925=""),"",IFERROR(ROUND(IF(OR(BK925="",R925=""),"",IF(R925&lt;BK925,"",ROUND(((NETWORKDAYS(BK925,R925,JoursFeries)-1)*(HFer-HOuv)+IF(NETWORKDAYS(R925,R925,JoursFeries),MEDIAN(MOD(R925,1),HFer,HOuv),HFer)-IF(NETWORKDAYS(BK925,BK925,JoursFeries),MEDIAN(MOD(BK925,1),HFer,HOuv),HOuv))*24,4)))/HJour,4),""))</f>
        <v/>
      </c>
      <c r="BM925" s="35" t="str">
        <f aca="false">IF(OR(AO925&lt;&gt;1,R925=""),"",IF(BD925=1,1,0))</f>
        <v/>
      </c>
      <c r="BN925" s="35" t="str">
        <f aca="false">IF(AO925&lt;&gt;1,"",IF(W925="Oui",1,0))</f>
        <v/>
      </c>
      <c r="BO925" s="35" t="str">
        <f aca="false">IF(AO925&lt;&gt;1,"",IF(X925&lt;&gt;"",1,0))</f>
        <v/>
      </c>
      <c r="BP925" s="35" t="str">
        <f aca="false">IF(AO925&lt;&gt;1,"",IF(Y925="Oui",1,0))</f>
        <v/>
      </c>
      <c r="BQ925" s="35" t="str">
        <f aca="true">IF(OR(AO925&lt;&gt;1,Z925&lt;&gt;"Oui"),"",IF(AB925="",IF(AND(AA925&lt;&gt;"",NOW()&gt;AA925),0,""),IF(AA925="","",IF(AB925&lt;=AA925,1,0))))</f>
        <v/>
      </c>
      <c r="BR925" s="38" t="str">
        <f aca="false">IF(OR(AO925&lt;&gt;1,K925&lt;&gt;"Oui",O925=""),"",IF(AC925="",O925+DORA_H_DET/24,IF(AC925-O925&lt;=DORA_H_DET/24,MIN(AC925+DORA_H_CLA/24,O925+DORA_H_DET/24),AC925+DORA_H_CLA/24)))</f>
        <v/>
      </c>
      <c r="BS925" s="35" t="str">
        <f aca="true">IF(BR925="","",IF(AD925="",IF(NOW()&gt;BR925,0,""),IF(AD925&lt;=BR925,1,0)))</f>
        <v/>
      </c>
      <c r="BT925" s="35" t="str">
        <f aca="true">IF(OR(BR925="",AD925=""),"",IF(AE925="",IF(NOW()&gt;AD925+DORA_H_INT/24,0,""),IF(AE925&lt;=AD925+DORA_H_INT/24,1,0)))</f>
        <v/>
      </c>
      <c r="BU925" s="35" t="str">
        <f aca="true">IF(OR(BR925="",AE925=""),"",IF(AF925="",IF(NOW()&gt;EDATE(AE925,DORA_M_FIN)+1,0,""),IF(AF925&lt;=EDATE(AE925,DORA_M_FIN),1,0)))</f>
        <v/>
      </c>
      <c r="BV925" s="35" t="str">
        <f aca="false">IF(BR925="","",IF(COUNT(BS925:BU925)=0,"",MIN(BS925:BU925)))</f>
        <v/>
      </c>
      <c r="BW925" s="40" t="str">
        <f aca="false">IF(AQ925&lt;&gt;1,"",IF(AND(AG925="",AH925=""),"",N(AG925)-N(AH925)))</f>
        <v/>
      </c>
      <c r="BX925" s="35" t="str">
        <f aca="true">IF(OR(AQ925&lt;&gt;1,AI925&lt;&gt;"Oui",AJ925=""),"",IF(AK925="",IF(NOW()&gt;AJ925+1,0,""),IF(AK925&lt;=AJ925,1,0)))</f>
        <v/>
      </c>
    </row>
    <row r="926" customFormat="false" ht="15" hidden="false" customHeight="false" outlineLevel="0" collapsed="false">
      <c r="B926" s="29"/>
      <c r="C926" s="29"/>
      <c r="D926" s="29"/>
      <c r="E926" s="29"/>
      <c r="F926" s="29"/>
      <c r="G926" s="29"/>
      <c r="H926" s="29"/>
      <c r="I926" s="29"/>
      <c r="J926" s="29"/>
      <c r="K926" s="29"/>
      <c r="L926" s="29"/>
      <c r="M926" s="29"/>
      <c r="N926" s="30"/>
      <c r="O926" s="30"/>
      <c r="P926" s="30"/>
      <c r="Q926" s="30"/>
      <c r="R926" s="30"/>
      <c r="S926" s="30"/>
      <c r="T926" s="30"/>
      <c r="U926" s="30"/>
      <c r="V926" s="31"/>
      <c r="W926" s="29"/>
      <c r="X926" s="29"/>
      <c r="Y926" s="29"/>
      <c r="Z926" s="29"/>
      <c r="AA926" s="30"/>
      <c r="AB926" s="30"/>
      <c r="AC926" s="30"/>
      <c r="AD926" s="30"/>
      <c r="AE926" s="30"/>
      <c r="AF926" s="32"/>
      <c r="AG926" s="33"/>
      <c r="AH926" s="33"/>
      <c r="AI926" s="29"/>
      <c r="AJ926" s="32"/>
      <c r="AK926" s="32"/>
      <c r="AL926" s="29"/>
      <c r="AN926" s="34" t="str">
        <f aca="false">IF($B926="","",IF(OR(C926="",D926="",E926="",G926="",I926="",J926="",L926="",O926="",P926=""),"Champ obligatoire manquant",IF(OR(AND(N926&lt;&gt;"",N926&gt;O926),O926&gt;P926,AND(Q926&lt;&gt;"",Q926&lt;P926),AND(R926&lt;&gt;"",R926&lt;P926),AND(S926&lt;&gt;"",S926&lt;R926),AND(S926&lt;&gt;"",R926=""),AND(T926&lt;&gt;"",T926&lt;O926),AND(U926&lt;&gt;"",U926&lt;O926)),"Chronologie incohérente",IF(AND(OR(L926="Résolu",L926="Clos"),R926=""),"Date de résolution manquante",IF(AND(L926="Clos",S926=""),"Date de clôture manquante",IF(AND(K926="Oui",AC926=""),"Classification DORA manquante","OK"))))))</f>
        <v/>
      </c>
      <c r="AO926" s="35" t="str">
        <f aca="false">IF($B926="","",IF(AND(C926="Incident",L926&lt;&gt;"Annulé"),1,0))</f>
        <v/>
      </c>
      <c r="AP926" s="35" t="str">
        <f aca="false">IF($B926="","",IF(AND(C926="Quasi-incident",L926&lt;&gt;"Annulé"),1,0))</f>
        <v/>
      </c>
      <c r="AQ926" s="35" t="str">
        <f aca="false">IF($B926="","",AO926+AP926)</f>
        <v/>
      </c>
      <c r="AR926" s="36" t="str">
        <f aca="false">IF(OR($B926="",J926=""),"",IFERROR(VALUE(LEFT(J926,1)),""))</f>
        <v/>
      </c>
      <c r="AS926" s="35" t="str">
        <f aca="false">IF(OR(AO926&lt;&gt;1,G926=""),"",IFERROR(IF(INDEX(L_SrcInterne,MATCH(G926,L_Sources,0))="Oui",1,0),""))</f>
        <v/>
      </c>
      <c r="AT926" s="37" t="str">
        <f aca="false">IF(AO926&lt;&gt;1,"",IFERROR(ROUND(IF(OR(N926="",O926=""),"",IF(O926&lt;N926,"",ROUND(((NETWORKDAYS(N926,O926,JoursFeries)-1)*(HFer-HOuv)+IF(NETWORKDAYS(O926,O926,JoursFeries),MEDIAN(MOD(O926,1),HFer,HOuv),HFer)-IF(NETWORKDAYS(N926,N926,JoursFeries),MEDIAN(MOD(N926,1),HFer,HOuv),HOuv))*24,4)))/HJour,4),""))</f>
        <v/>
      </c>
      <c r="AU926" s="37" t="str">
        <f aca="false">IF(AO926&lt;&gt;1,"",IF(OR(O926="",P926=""),"",IF(P926&lt;O926,"",ROUND(((NETWORKDAYS(O926,P926,JoursFeries)-1)*(HFer-HOuv)+IF(NETWORKDAYS(P926,P926,JoursFeries),MEDIAN(MOD(P926,1),HFer,HOuv),HFer)-IF(NETWORKDAYS(O926,O926,JoursFeries),MEDIAN(MOD(O926,1),HFer,HOuv),HOuv))*24,4))))</f>
        <v/>
      </c>
      <c r="AV926" s="37" t="str">
        <f aca="false">IF(AO926&lt;&gt;1,"",IF(OR(P926="",Q926=""),"",IF(Q926&lt;P926,"",ROUND(((NETWORKDAYS(P926,Q926,JoursFeries)-1)*(HFer-HOuv)+IF(NETWORKDAYS(Q926,Q926,JoursFeries),MEDIAN(MOD(Q926,1),HFer,HOuv),HFer)-IF(NETWORKDAYS(P926,P926,JoursFeries),MEDIAN(MOD(P926,1),HFer,HOuv),HOuv))*24,4))))</f>
        <v/>
      </c>
      <c r="AW926" s="37" t="str">
        <f aca="false">IF(AO926&lt;&gt;1,"",IFERROR(ROUND(IF(OR(P926="",R926=""),"",IF(R926&lt;P926,"",ROUND(((NETWORKDAYS(P926,R926,JoursFeries)-1)*(HFer-HOuv)+IF(NETWORKDAYS(R926,R926,JoursFeries),MEDIAN(MOD(R926,1),HFer,HOuv),HFer)-IF(NETWORKDAYS(P926,P926,JoursFeries),MEDIAN(MOD(P926,1),HFer,HOuv),HOuv))*24,4)))/HJour,4),""))</f>
        <v/>
      </c>
      <c r="AX926" s="37" t="str">
        <f aca="false">IF(AO926&lt;&gt;1,"",IFERROR(ROUND(IF(OR(P926="",S926=""),"",IF(S926&lt;P926,"",ROUND(((NETWORKDAYS(P926,S926,JoursFeries)-1)*(HFer-HOuv)+IF(NETWORKDAYS(S926,S926,JoursFeries),MEDIAN(MOD(S926,1),HFer,HOuv),HFer)-IF(NETWORKDAYS(P926,P926,JoursFeries),MEDIAN(MOD(P926,1),HFer,HOuv),HOuv))*24,4)))/HJour,4),""))</f>
        <v/>
      </c>
      <c r="AY926" s="36" t="str">
        <f aca="false">IF(OR(AO926&lt;&gt;1,AR926=""),"",INDEX(SLA_PEC,AR926))</f>
        <v/>
      </c>
      <c r="AZ926" s="35" t="str">
        <f aca="false">IF(OR(AV926="",AY926=""),"",IF(AV926&lt;=AY926,1,0))</f>
        <v/>
      </c>
      <c r="BA926" s="36" t="str">
        <f aca="false">IF(OR(AO926&lt;&gt;1,AR926=""),"",INDEX(SLA_RES,AR926))</f>
        <v/>
      </c>
      <c r="BB926" s="35" t="str">
        <f aca="false">IF(OR(AW926="",BA926=""),"",IF(AW926&lt;=BA926,1,0))</f>
        <v/>
      </c>
      <c r="BC926" s="38" t="str">
        <f aca="false">IF(OR(BA926="",P926=""),"",WORKDAY(INT(P926),BA926,JoursFeries)+MOD(P926,1))</f>
        <v/>
      </c>
      <c r="BD926" s="39" t="str">
        <f aca="false">IF(AO926&lt;&gt;1,"",IF(OR(AB926&lt;&gt;"",AD926&lt;&gt;""),4,IF(U926&lt;&gt;"",3,IF(T926&lt;&gt;"",2,1))))</f>
        <v/>
      </c>
      <c r="BE926" s="39" t="str">
        <f aca="false">IF(OR(AO926&lt;&gt;1,AR926=""),"",INDEX(NIV_REQ,AR926))</f>
        <v/>
      </c>
      <c r="BF926" s="39" t="str">
        <f aca="false">IF(BE926="","",MAX(BE926,IF(OR(K926="Oui",Z926="Oui"),4,1)))</f>
        <v/>
      </c>
      <c r="BG926" s="35" t="str">
        <f aca="false">IF(OR(BF926="",BD926=""),"",IF(BD926&gt;=BF926,1,0))</f>
        <v/>
      </c>
      <c r="BH926" s="38" t="str">
        <f aca="false">IF(BE926="","",IF(BE926&lt;2,"",IF(BE926=2,IF(AND(T926="",U926=""),"",MIN(T926,U926)),IF(U926="","",U926))))</f>
        <v/>
      </c>
      <c r="BI926" s="37" t="str">
        <f aca="false">IF(BH926="","",IF(OR(O926="",BH926=""),"",IF(BH926&lt;O926,"",ROUND(((NETWORKDAYS(O926,BH926,JoursFeries)-1)*(HFer-HOuv)+IF(NETWORKDAYS(BH926,BH926,JoursFeries),MEDIAN(MOD(BH926,1),HFer,HOuv),HFer)-IF(NETWORKDAYS(O926,O926,JoursFeries),MEDIAN(MOD(O926,1),HFer,HOuv),HOuv))*24,4))))</f>
        <v/>
      </c>
      <c r="BJ926" s="35" t="str">
        <f aca="false">IF(OR(BI926="",AR926=""),"",IF(BI926&lt;=INDEX(DELAI_ESC,AR926),1,0))</f>
        <v/>
      </c>
      <c r="BK926" s="38" t="str">
        <f aca="false">IF(AO926&lt;&gt;1,"",IF(AND(T926="",U926=""),"",MIN(T926,U926)))</f>
        <v/>
      </c>
      <c r="BL926" s="37" t="str">
        <f aca="false">IF(OR(BK926="",R926=""),"",IFERROR(ROUND(IF(OR(BK926="",R926=""),"",IF(R926&lt;BK926,"",ROUND(((NETWORKDAYS(BK926,R926,JoursFeries)-1)*(HFer-HOuv)+IF(NETWORKDAYS(R926,R926,JoursFeries),MEDIAN(MOD(R926,1),HFer,HOuv),HFer)-IF(NETWORKDAYS(BK926,BK926,JoursFeries),MEDIAN(MOD(BK926,1),HFer,HOuv),HOuv))*24,4)))/HJour,4),""))</f>
        <v/>
      </c>
      <c r="BM926" s="35" t="str">
        <f aca="false">IF(OR(AO926&lt;&gt;1,R926=""),"",IF(BD926=1,1,0))</f>
        <v/>
      </c>
      <c r="BN926" s="35" t="str">
        <f aca="false">IF(AO926&lt;&gt;1,"",IF(W926="Oui",1,0))</f>
        <v/>
      </c>
      <c r="BO926" s="35" t="str">
        <f aca="false">IF(AO926&lt;&gt;1,"",IF(X926&lt;&gt;"",1,0))</f>
        <v/>
      </c>
      <c r="BP926" s="35" t="str">
        <f aca="false">IF(AO926&lt;&gt;1,"",IF(Y926="Oui",1,0))</f>
        <v/>
      </c>
      <c r="BQ926" s="35" t="str">
        <f aca="true">IF(OR(AO926&lt;&gt;1,Z926&lt;&gt;"Oui"),"",IF(AB926="",IF(AND(AA926&lt;&gt;"",NOW()&gt;AA926),0,""),IF(AA926="","",IF(AB926&lt;=AA926,1,0))))</f>
        <v/>
      </c>
      <c r="BR926" s="38" t="str">
        <f aca="false">IF(OR(AO926&lt;&gt;1,K926&lt;&gt;"Oui",O926=""),"",IF(AC926="",O926+DORA_H_DET/24,IF(AC926-O926&lt;=DORA_H_DET/24,MIN(AC926+DORA_H_CLA/24,O926+DORA_H_DET/24),AC926+DORA_H_CLA/24)))</f>
        <v/>
      </c>
      <c r="BS926" s="35" t="str">
        <f aca="true">IF(BR926="","",IF(AD926="",IF(NOW()&gt;BR926,0,""),IF(AD926&lt;=BR926,1,0)))</f>
        <v/>
      </c>
      <c r="BT926" s="35" t="str">
        <f aca="true">IF(OR(BR926="",AD926=""),"",IF(AE926="",IF(NOW()&gt;AD926+DORA_H_INT/24,0,""),IF(AE926&lt;=AD926+DORA_H_INT/24,1,0)))</f>
        <v/>
      </c>
      <c r="BU926" s="35" t="str">
        <f aca="true">IF(OR(BR926="",AE926=""),"",IF(AF926="",IF(NOW()&gt;EDATE(AE926,DORA_M_FIN)+1,0,""),IF(AF926&lt;=EDATE(AE926,DORA_M_FIN),1,0)))</f>
        <v/>
      </c>
      <c r="BV926" s="35" t="str">
        <f aca="false">IF(BR926="","",IF(COUNT(BS926:BU926)=0,"",MIN(BS926:BU926)))</f>
        <v/>
      </c>
      <c r="BW926" s="40" t="str">
        <f aca="false">IF(AQ926&lt;&gt;1,"",IF(AND(AG926="",AH926=""),"",N(AG926)-N(AH926)))</f>
        <v/>
      </c>
      <c r="BX926" s="35" t="str">
        <f aca="true">IF(OR(AQ926&lt;&gt;1,AI926&lt;&gt;"Oui",AJ926=""),"",IF(AK926="",IF(NOW()&gt;AJ926+1,0,""),IF(AK926&lt;=AJ926,1,0)))</f>
        <v/>
      </c>
    </row>
    <row r="927" customFormat="false" ht="15" hidden="false" customHeight="false" outlineLevel="0" collapsed="false">
      <c r="B927" s="29"/>
      <c r="C927" s="29"/>
      <c r="D927" s="29"/>
      <c r="E927" s="29"/>
      <c r="F927" s="29"/>
      <c r="G927" s="29"/>
      <c r="H927" s="29"/>
      <c r="I927" s="29"/>
      <c r="J927" s="29"/>
      <c r="K927" s="29"/>
      <c r="L927" s="29"/>
      <c r="M927" s="29"/>
      <c r="N927" s="30"/>
      <c r="O927" s="30"/>
      <c r="P927" s="30"/>
      <c r="Q927" s="30"/>
      <c r="R927" s="30"/>
      <c r="S927" s="30"/>
      <c r="T927" s="30"/>
      <c r="U927" s="30"/>
      <c r="V927" s="31"/>
      <c r="W927" s="29"/>
      <c r="X927" s="29"/>
      <c r="Y927" s="29"/>
      <c r="Z927" s="29"/>
      <c r="AA927" s="30"/>
      <c r="AB927" s="30"/>
      <c r="AC927" s="30"/>
      <c r="AD927" s="30"/>
      <c r="AE927" s="30"/>
      <c r="AF927" s="32"/>
      <c r="AG927" s="33"/>
      <c r="AH927" s="33"/>
      <c r="AI927" s="29"/>
      <c r="AJ927" s="32"/>
      <c r="AK927" s="32"/>
      <c r="AL927" s="29"/>
      <c r="AN927" s="34" t="str">
        <f aca="false">IF($B927="","",IF(OR(C927="",D927="",E927="",G927="",I927="",J927="",L927="",O927="",P927=""),"Champ obligatoire manquant",IF(OR(AND(N927&lt;&gt;"",N927&gt;O927),O927&gt;P927,AND(Q927&lt;&gt;"",Q927&lt;P927),AND(R927&lt;&gt;"",R927&lt;P927),AND(S927&lt;&gt;"",S927&lt;R927),AND(S927&lt;&gt;"",R927=""),AND(T927&lt;&gt;"",T927&lt;O927),AND(U927&lt;&gt;"",U927&lt;O927)),"Chronologie incohérente",IF(AND(OR(L927="Résolu",L927="Clos"),R927=""),"Date de résolution manquante",IF(AND(L927="Clos",S927=""),"Date de clôture manquante",IF(AND(K927="Oui",AC927=""),"Classification DORA manquante","OK"))))))</f>
        <v/>
      </c>
      <c r="AO927" s="35" t="str">
        <f aca="false">IF($B927="","",IF(AND(C927="Incident",L927&lt;&gt;"Annulé"),1,0))</f>
        <v/>
      </c>
      <c r="AP927" s="35" t="str">
        <f aca="false">IF($B927="","",IF(AND(C927="Quasi-incident",L927&lt;&gt;"Annulé"),1,0))</f>
        <v/>
      </c>
      <c r="AQ927" s="35" t="str">
        <f aca="false">IF($B927="","",AO927+AP927)</f>
        <v/>
      </c>
      <c r="AR927" s="36" t="str">
        <f aca="false">IF(OR($B927="",J927=""),"",IFERROR(VALUE(LEFT(J927,1)),""))</f>
        <v/>
      </c>
      <c r="AS927" s="35" t="str">
        <f aca="false">IF(OR(AO927&lt;&gt;1,G927=""),"",IFERROR(IF(INDEX(L_SrcInterne,MATCH(G927,L_Sources,0))="Oui",1,0),""))</f>
        <v/>
      </c>
      <c r="AT927" s="37" t="str">
        <f aca="false">IF(AO927&lt;&gt;1,"",IFERROR(ROUND(IF(OR(N927="",O927=""),"",IF(O927&lt;N927,"",ROUND(((NETWORKDAYS(N927,O927,JoursFeries)-1)*(HFer-HOuv)+IF(NETWORKDAYS(O927,O927,JoursFeries),MEDIAN(MOD(O927,1),HFer,HOuv),HFer)-IF(NETWORKDAYS(N927,N927,JoursFeries),MEDIAN(MOD(N927,1),HFer,HOuv),HOuv))*24,4)))/HJour,4),""))</f>
        <v/>
      </c>
      <c r="AU927" s="37" t="str">
        <f aca="false">IF(AO927&lt;&gt;1,"",IF(OR(O927="",P927=""),"",IF(P927&lt;O927,"",ROUND(((NETWORKDAYS(O927,P927,JoursFeries)-1)*(HFer-HOuv)+IF(NETWORKDAYS(P927,P927,JoursFeries),MEDIAN(MOD(P927,1),HFer,HOuv),HFer)-IF(NETWORKDAYS(O927,O927,JoursFeries),MEDIAN(MOD(O927,1),HFer,HOuv),HOuv))*24,4))))</f>
        <v/>
      </c>
      <c r="AV927" s="37" t="str">
        <f aca="false">IF(AO927&lt;&gt;1,"",IF(OR(P927="",Q927=""),"",IF(Q927&lt;P927,"",ROUND(((NETWORKDAYS(P927,Q927,JoursFeries)-1)*(HFer-HOuv)+IF(NETWORKDAYS(Q927,Q927,JoursFeries),MEDIAN(MOD(Q927,1),HFer,HOuv),HFer)-IF(NETWORKDAYS(P927,P927,JoursFeries),MEDIAN(MOD(P927,1),HFer,HOuv),HOuv))*24,4))))</f>
        <v/>
      </c>
      <c r="AW927" s="37" t="str">
        <f aca="false">IF(AO927&lt;&gt;1,"",IFERROR(ROUND(IF(OR(P927="",R927=""),"",IF(R927&lt;P927,"",ROUND(((NETWORKDAYS(P927,R927,JoursFeries)-1)*(HFer-HOuv)+IF(NETWORKDAYS(R927,R927,JoursFeries),MEDIAN(MOD(R927,1),HFer,HOuv),HFer)-IF(NETWORKDAYS(P927,P927,JoursFeries),MEDIAN(MOD(P927,1),HFer,HOuv),HOuv))*24,4)))/HJour,4),""))</f>
        <v/>
      </c>
      <c r="AX927" s="37" t="str">
        <f aca="false">IF(AO927&lt;&gt;1,"",IFERROR(ROUND(IF(OR(P927="",S927=""),"",IF(S927&lt;P927,"",ROUND(((NETWORKDAYS(P927,S927,JoursFeries)-1)*(HFer-HOuv)+IF(NETWORKDAYS(S927,S927,JoursFeries),MEDIAN(MOD(S927,1),HFer,HOuv),HFer)-IF(NETWORKDAYS(P927,P927,JoursFeries),MEDIAN(MOD(P927,1),HFer,HOuv),HOuv))*24,4)))/HJour,4),""))</f>
        <v/>
      </c>
      <c r="AY927" s="36" t="str">
        <f aca="false">IF(OR(AO927&lt;&gt;1,AR927=""),"",INDEX(SLA_PEC,AR927))</f>
        <v/>
      </c>
      <c r="AZ927" s="35" t="str">
        <f aca="false">IF(OR(AV927="",AY927=""),"",IF(AV927&lt;=AY927,1,0))</f>
        <v/>
      </c>
      <c r="BA927" s="36" t="str">
        <f aca="false">IF(OR(AO927&lt;&gt;1,AR927=""),"",INDEX(SLA_RES,AR927))</f>
        <v/>
      </c>
      <c r="BB927" s="35" t="str">
        <f aca="false">IF(OR(AW927="",BA927=""),"",IF(AW927&lt;=BA927,1,0))</f>
        <v/>
      </c>
      <c r="BC927" s="38" t="str">
        <f aca="false">IF(OR(BA927="",P927=""),"",WORKDAY(INT(P927),BA927,JoursFeries)+MOD(P927,1))</f>
        <v/>
      </c>
      <c r="BD927" s="39" t="str">
        <f aca="false">IF(AO927&lt;&gt;1,"",IF(OR(AB927&lt;&gt;"",AD927&lt;&gt;""),4,IF(U927&lt;&gt;"",3,IF(T927&lt;&gt;"",2,1))))</f>
        <v/>
      </c>
      <c r="BE927" s="39" t="str">
        <f aca="false">IF(OR(AO927&lt;&gt;1,AR927=""),"",INDEX(NIV_REQ,AR927))</f>
        <v/>
      </c>
      <c r="BF927" s="39" t="str">
        <f aca="false">IF(BE927="","",MAX(BE927,IF(OR(K927="Oui",Z927="Oui"),4,1)))</f>
        <v/>
      </c>
      <c r="BG927" s="35" t="str">
        <f aca="false">IF(OR(BF927="",BD927=""),"",IF(BD927&gt;=BF927,1,0))</f>
        <v/>
      </c>
      <c r="BH927" s="38" t="str">
        <f aca="false">IF(BE927="","",IF(BE927&lt;2,"",IF(BE927=2,IF(AND(T927="",U927=""),"",MIN(T927,U927)),IF(U927="","",U927))))</f>
        <v/>
      </c>
      <c r="BI927" s="37" t="str">
        <f aca="false">IF(BH927="","",IF(OR(O927="",BH927=""),"",IF(BH927&lt;O927,"",ROUND(((NETWORKDAYS(O927,BH927,JoursFeries)-1)*(HFer-HOuv)+IF(NETWORKDAYS(BH927,BH927,JoursFeries),MEDIAN(MOD(BH927,1),HFer,HOuv),HFer)-IF(NETWORKDAYS(O927,O927,JoursFeries),MEDIAN(MOD(O927,1),HFer,HOuv),HOuv))*24,4))))</f>
        <v/>
      </c>
      <c r="BJ927" s="35" t="str">
        <f aca="false">IF(OR(BI927="",AR927=""),"",IF(BI927&lt;=INDEX(DELAI_ESC,AR927),1,0))</f>
        <v/>
      </c>
      <c r="BK927" s="38" t="str">
        <f aca="false">IF(AO927&lt;&gt;1,"",IF(AND(T927="",U927=""),"",MIN(T927,U927)))</f>
        <v/>
      </c>
      <c r="BL927" s="37" t="str">
        <f aca="false">IF(OR(BK927="",R927=""),"",IFERROR(ROUND(IF(OR(BK927="",R927=""),"",IF(R927&lt;BK927,"",ROUND(((NETWORKDAYS(BK927,R927,JoursFeries)-1)*(HFer-HOuv)+IF(NETWORKDAYS(R927,R927,JoursFeries),MEDIAN(MOD(R927,1),HFer,HOuv),HFer)-IF(NETWORKDAYS(BK927,BK927,JoursFeries),MEDIAN(MOD(BK927,1),HFer,HOuv),HOuv))*24,4)))/HJour,4),""))</f>
        <v/>
      </c>
      <c r="BM927" s="35" t="str">
        <f aca="false">IF(OR(AO927&lt;&gt;1,R927=""),"",IF(BD927=1,1,0))</f>
        <v/>
      </c>
      <c r="BN927" s="35" t="str">
        <f aca="false">IF(AO927&lt;&gt;1,"",IF(W927="Oui",1,0))</f>
        <v/>
      </c>
      <c r="BO927" s="35" t="str">
        <f aca="false">IF(AO927&lt;&gt;1,"",IF(X927&lt;&gt;"",1,0))</f>
        <v/>
      </c>
      <c r="BP927" s="35" t="str">
        <f aca="false">IF(AO927&lt;&gt;1,"",IF(Y927="Oui",1,0))</f>
        <v/>
      </c>
      <c r="BQ927" s="35" t="str">
        <f aca="true">IF(OR(AO927&lt;&gt;1,Z927&lt;&gt;"Oui"),"",IF(AB927="",IF(AND(AA927&lt;&gt;"",NOW()&gt;AA927),0,""),IF(AA927="","",IF(AB927&lt;=AA927,1,0))))</f>
        <v/>
      </c>
      <c r="BR927" s="38" t="str">
        <f aca="false">IF(OR(AO927&lt;&gt;1,K927&lt;&gt;"Oui",O927=""),"",IF(AC927="",O927+DORA_H_DET/24,IF(AC927-O927&lt;=DORA_H_DET/24,MIN(AC927+DORA_H_CLA/24,O927+DORA_H_DET/24),AC927+DORA_H_CLA/24)))</f>
        <v/>
      </c>
      <c r="BS927" s="35" t="str">
        <f aca="true">IF(BR927="","",IF(AD927="",IF(NOW()&gt;BR927,0,""),IF(AD927&lt;=BR927,1,0)))</f>
        <v/>
      </c>
      <c r="BT927" s="35" t="str">
        <f aca="true">IF(OR(BR927="",AD927=""),"",IF(AE927="",IF(NOW()&gt;AD927+DORA_H_INT/24,0,""),IF(AE927&lt;=AD927+DORA_H_INT/24,1,0)))</f>
        <v/>
      </c>
      <c r="BU927" s="35" t="str">
        <f aca="true">IF(OR(BR927="",AE927=""),"",IF(AF927="",IF(NOW()&gt;EDATE(AE927,DORA_M_FIN)+1,0,""),IF(AF927&lt;=EDATE(AE927,DORA_M_FIN),1,0)))</f>
        <v/>
      </c>
      <c r="BV927" s="35" t="str">
        <f aca="false">IF(BR927="","",IF(COUNT(BS927:BU927)=0,"",MIN(BS927:BU927)))</f>
        <v/>
      </c>
      <c r="BW927" s="40" t="str">
        <f aca="false">IF(AQ927&lt;&gt;1,"",IF(AND(AG927="",AH927=""),"",N(AG927)-N(AH927)))</f>
        <v/>
      </c>
      <c r="BX927" s="35" t="str">
        <f aca="true">IF(OR(AQ927&lt;&gt;1,AI927&lt;&gt;"Oui",AJ927=""),"",IF(AK927="",IF(NOW()&gt;AJ927+1,0,""),IF(AK927&lt;=AJ927,1,0)))</f>
        <v/>
      </c>
    </row>
    <row r="928" customFormat="false" ht="15" hidden="false" customHeight="false" outlineLevel="0" collapsed="false">
      <c r="B928" s="29"/>
      <c r="C928" s="29"/>
      <c r="D928" s="29"/>
      <c r="E928" s="29"/>
      <c r="F928" s="29"/>
      <c r="G928" s="29"/>
      <c r="H928" s="29"/>
      <c r="I928" s="29"/>
      <c r="J928" s="29"/>
      <c r="K928" s="29"/>
      <c r="L928" s="29"/>
      <c r="M928" s="29"/>
      <c r="N928" s="30"/>
      <c r="O928" s="30"/>
      <c r="P928" s="30"/>
      <c r="Q928" s="30"/>
      <c r="R928" s="30"/>
      <c r="S928" s="30"/>
      <c r="T928" s="30"/>
      <c r="U928" s="30"/>
      <c r="V928" s="31"/>
      <c r="W928" s="29"/>
      <c r="X928" s="29"/>
      <c r="Y928" s="29"/>
      <c r="Z928" s="29"/>
      <c r="AA928" s="30"/>
      <c r="AB928" s="30"/>
      <c r="AC928" s="30"/>
      <c r="AD928" s="30"/>
      <c r="AE928" s="30"/>
      <c r="AF928" s="32"/>
      <c r="AG928" s="33"/>
      <c r="AH928" s="33"/>
      <c r="AI928" s="29"/>
      <c r="AJ928" s="32"/>
      <c r="AK928" s="32"/>
      <c r="AL928" s="29"/>
      <c r="AN928" s="34" t="str">
        <f aca="false">IF($B928="","",IF(OR(C928="",D928="",E928="",G928="",I928="",J928="",L928="",O928="",P928=""),"Champ obligatoire manquant",IF(OR(AND(N928&lt;&gt;"",N928&gt;O928),O928&gt;P928,AND(Q928&lt;&gt;"",Q928&lt;P928),AND(R928&lt;&gt;"",R928&lt;P928),AND(S928&lt;&gt;"",S928&lt;R928),AND(S928&lt;&gt;"",R928=""),AND(T928&lt;&gt;"",T928&lt;O928),AND(U928&lt;&gt;"",U928&lt;O928)),"Chronologie incohérente",IF(AND(OR(L928="Résolu",L928="Clos"),R928=""),"Date de résolution manquante",IF(AND(L928="Clos",S928=""),"Date de clôture manquante",IF(AND(K928="Oui",AC928=""),"Classification DORA manquante","OK"))))))</f>
        <v/>
      </c>
      <c r="AO928" s="35" t="str">
        <f aca="false">IF($B928="","",IF(AND(C928="Incident",L928&lt;&gt;"Annulé"),1,0))</f>
        <v/>
      </c>
      <c r="AP928" s="35" t="str">
        <f aca="false">IF($B928="","",IF(AND(C928="Quasi-incident",L928&lt;&gt;"Annulé"),1,0))</f>
        <v/>
      </c>
      <c r="AQ928" s="35" t="str">
        <f aca="false">IF($B928="","",AO928+AP928)</f>
        <v/>
      </c>
      <c r="AR928" s="36" t="str">
        <f aca="false">IF(OR($B928="",J928=""),"",IFERROR(VALUE(LEFT(J928,1)),""))</f>
        <v/>
      </c>
      <c r="AS928" s="35" t="str">
        <f aca="false">IF(OR(AO928&lt;&gt;1,G928=""),"",IFERROR(IF(INDEX(L_SrcInterne,MATCH(G928,L_Sources,0))="Oui",1,0),""))</f>
        <v/>
      </c>
      <c r="AT928" s="37" t="str">
        <f aca="false">IF(AO928&lt;&gt;1,"",IFERROR(ROUND(IF(OR(N928="",O928=""),"",IF(O928&lt;N928,"",ROUND(((NETWORKDAYS(N928,O928,JoursFeries)-1)*(HFer-HOuv)+IF(NETWORKDAYS(O928,O928,JoursFeries),MEDIAN(MOD(O928,1),HFer,HOuv),HFer)-IF(NETWORKDAYS(N928,N928,JoursFeries),MEDIAN(MOD(N928,1),HFer,HOuv),HOuv))*24,4)))/HJour,4),""))</f>
        <v/>
      </c>
      <c r="AU928" s="37" t="str">
        <f aca="false">IF(AO928&lt;&gt;1,"",IF(OR(O928="",P928=""),"",IF(P928&lt;O928,"",ROUND(((NETWORKDAYS(O928,P928,JoursFeries)-1)*(HFer-HOuv)+IF(NETWORKDAYS(P928,P928,JoursFeries),MEDIAN(MOD(P928,1),HFer,HOuv),HFer)-IF(NETWORKDAYS(O928,O928,JoursFeries),MEDIAN(MOD(O928,1),HFer,HOuv),HOuv))*24,4))))</f>
        <v/>
      </c>
      <c r="AV928" s="37" t="str">
        <f aca="false">IF(AO928&lt;&gt;1,"",IF(OR(P928="",Q928=""),"",IF(Q928&lt;P928,"",ROUND(((NETWORKDAYS(P928,Q928,JoursFeries)-1)*(HFer-HOuv)+IF(NETWORKDAYS(Q928,Q928,JoursFeries),MEDIAN(MOD(Q928,1),HFer,HOuv),HFer)-IF(NETWORKDAYS(P928,P928,JoursFeries),MEDIAN(MOD(P928,1),HFer,HOuv),HOuv))*24,4))))</f>
        <v/>
      </c>
      <c r="AW928" s="37" t="str">
        <f aca="false">IF(AO928&lt;&gt;1,"",IFERROR(ROUND(IF(OR(P928="",R928=""),"",IF(R928&lt;P928,"",ROUND(((NETWORKDAYS(P928,R928,JoursFeries)-1)*(HFer-HOuv)+IF(NETWORKDAYS(R928,R928,JoursFeries),MEDIAN(MOD(R928,1),HFer,HOuv),HFer)-IF(NETWORKDAYS(P928,P928,JoursFeries),MEDIAN(MOD(P928,1),HFer,HOuv),HOuv))*24,4)))/HJour,4),""))</f>
        <v/>
      </c>
      <c r="AX928" s="37" t="str">
        <f aca="false">IF(AO928&lt;&gt;1,"",IFERROR(ROUND(IF(OR(P928="",S928=""),"",IF(S928&lt;P928,"",ROUND(((NETWORKDAYS(P928,S928,JoursFeries)-1)*(HFer-HOuv)+IF(NETWORKDAYS(S928,S928,JoursFeries),MEDIAN(MOD(S928,1),HFer,HOuv),HFer)-IF(NETWORKDAYS(P928,P928,JoursFeries),MEDIAN(MOD(P928,1),HFer,HOuv),HOuv))*24,4)))/HJour,4),""))</f>
        <v/>
      </c>
      <c r="AY928" s="36" t="str">
        <f aca="false">IF(OR(AO928&lt;&gt;1,AR928=""),"",INDEX(SLA_PEC,AR928))</f>
        <v/>
      </c>
      <c r="AZ928" s="35" t="str">
        <f aca="false">IF(OR(AV928="",AY928=""),"",IF(AV928&lt;=AY928,1,0))</f>
        <v/>
      </c>
      <c r="BA928" s="36" t="str">
        <f aca="false">IF(OR(AO928&lt;&gt;1,AR928=""),"",INDEX(SLA_RES,AR928))</f>
        <v/>
      </c>
      <c r="BB928" s="35" t="str">
        <f aca="false">IF(OR(AW928="",BA928=""),"",IF(AW928&lt;=BA928,1,0))</f>
        <v/>
      </c>
      <c r="BC928" s="38" t="str">
        <f aca="false">IF(OR(BA928="",P928=""),"",WORKDAY(INT(P928),BA928,JoursFeries)+MOD(P928,1))</f>
        <v/>
      </c>
      <c r="BD928" s="39" t="str">
        <f aca="false">IF(AO928&lt;&gt;1,"",IF(OR(AB928&lt;&gt;"",AD928&lt;&gt;""),4,IF(U928&lt;&gt;"",3,IF(T928&lt;&gt;"",2,1))))</f>
        <v/>
      </c>
      <c r="BE928" s="39" t="str">
        <f aca="false">IF(OR(AO928&lt;&gt;1,AR928=""),"",INDEX(NIV_REQ,AR928))</f>
        <v/>
      </c>
      <c r="BF928" s="39" t="str">
        <f aca="false">IF(BE928="","",MAX(BE928,IF(OR(K928="Oui",Z928="Oui"),4,1)))</f>
        <v/>
      </c>
      <c r="BG928" s="35" t="str">
        <f aca="false">IF(OR(BF928="",BD928=""),"",IF(BD928&gt;=BF928,1,0))</f>
        <v/>
      </c>
      <c r="BH928" s="38" t="str">
        <f aca="false">IF(BE928="","",IF(BE928&lt;2,"",IF(BE928=2,IF(AND(T928="",U928=""),"",MIN(T928,U928)),IF(U928="","",U928))))</f>
        <v/>
      </c>
      <c r="BI928" s="37" t="str">
        <f aca="false">IF(BH928="","",IF(OR(O928="",BH928=""),"",IF(BH928&lt;O928,"",ROUND(((NETWORKDAYS(O928,BH928,JoursFeries)-1)*(HFer-HOuv)+IF(NETWORKDAYS(BH928,BH928,JoursFeries),MEDIAN(MOD(BH928,1),HFer,HOuv),HFer)-IF(NETWORKDAYS(O928,O928,JoursFeries),MEDIAN(MOD(O928,1),HFer,HOuv),HOuv))*24,4))))</f>
        <v/>
      </c>
      <c r="BJ928" s="35" t="str">
        <f aca="false">IF(OR(BI928="",AR928=""),"",IF(BI928&lt;=INDEX(DELAI_ESC,AR928),1,0))</f>
        <v/>
      </c>
      <c r="BK928" s="38" t="str">
        <f aca="false">IF(AO928&lt;&gt;1,"",IF(AND(T928="",U928=""),"",MIN(T928,U928)))</f>
        <v/>
      </c>
      <c r="BL928" s="37" t="str">
        <f aca="false">IF(OR(BK928="",R928=""),"",IFERROR(ROUND(IF(OR(BK928="",R928=""),"",IF(R928&lt;BK928,"",ROUND(((NETWORKDAYS(BK928,R928,JoursFeries)-1)*(HFer-HOuv)+IF(NETWORKDAYS(R928,R928,JoursFeries),MEDIAN(MOD(R928,1),HFer,HOuv),HFer)-IF(NETWORKDAYS(BK928,BK928,JoursFeries),MEDIAN(MOD(BK928,1),HFer,HOuv),HOuv))*24,4)))/HJour,4),""))</f>
        <v/>
      </c>
      <c r="BM928" s="35" t="str">
        <f aca="false">IF(OR(AO928&lt;&gt;1,R928=""),"",IF(BD928=1,1,0))</f>
        <v/>
      </c>
      <c r="BN928" s="35" t="str">
        <f aca="false">IF(AO928&lt;&gt;1,"",IF(W928="Oui",1,0))</f>
        <v/>
      </c>
      <c r="BO928" s="35" t="str">
        <f aca="false">IF(AO928&lt;&gt;1,"",IF(X928&lt;&gt;"",1,0))</f>
        <v/>
      </c>
      <c r="BP928" s="35" t="str">
        <f aca="false">IF(AO928&lt;&gt;1,"",IF(Y928="Oui",1,0))</f>
        <v/>
      </c>
      <c r="BQ928" s="35" t="str">
        <f aca="true">IF(OR(AO928&lt;&gt;1,Z928&lt;&gt;"Oui"),"",IF(AB928="",IF(AND(AA928&lt;&gt;"",NOW()&gt;AA928),0,""),IF(AA928="","",IF(AB928&lt;=AA928,1,0))))</f>
        <v/>
      </c>
      <c r="BR928" s="38" t="str">
        <f aca="false">IF(OR(AO928&lt;&gt;1,K928&lt;&gt;"Oui",O928=""),"",IF(AC928="",O928+DORA_H_DET/24,IF(AC928-O928&lt;=DORA_H_DET/24,MIN(AC928+DORA_H_CLA/24,O928+DORA_H_DET/24),AC928+DORA_H_CLA/24)))</f>
        <v/>
      </c>
      <c r="BS928" s="35" t="str">
        <f aca="true">IF(BR928="","",IF(AD928="",IF(NOW()&gt;BR928,0,""),IF(AD928&lt;=BR928,1,0)))</f>
        <v/>
      </c>
      <c r="BT928" s="35" t="str">
        <f aca="true">IF(OR(BR928="",AD928=""),"",IF(AE928="",IF(NOW()&gt;AD928+DORA_H_INT/24,0,""),IF(AE928&lt;=AD928+DORA_H_INT/24,1,0)))</f>
        <v/>
      </c>
      <c r="BU928" s="35" t="str">
        <f aca="true">IF(OR(BR928="",AE928=""),"",IF(AF928="",IF(NOW()&gt;EDATE(AE928,DORA_M_FIN)+1,0,""),IF(AF928&lt;=EDATE(AE928,DORA_M_FIN),1,0)))</f>
        <v/>
      </c>
      <c r="BV928" s="35" t="str">
        <f aca="false">IF(BR928="","",IF(COUNT(BS928:BU928)=0,"",MIN(BS928:BU928)))</f>
        <v/>
      </c>
      <c r="BW928" s="40" t="str">
        <f aca="false">IF(AQ928&lt;&gt;1,"",IF(AND(AG928="",AH928=""),"",N(AG928)-N(AH928)))</f>
        <v/>
      </c>
      <c r="BX928" s="35" t="str">
        <f aca="true">IF(OR(AQ928&lt;&gt;1,AI928&lt;&gt;"Oui",AJ928=""),"",IF(AK928="",IF(NOW()&gt;AJ928+1,0,""),IF(AK928&lt;=AJ928,1,0)))</f>
        <v/>
      </c>
    </row>
    <row r="929" customFormat="false" ht="15" hidden="false" customHeight="false" outlineLevel="0" collapsed="false">
      <c r="B929" s="29"/>
      <c r="C929" s="29"/>
      <c r="D929" s="29"/>
      <c r="E929" s="29"/>
      <c r="F929" s="29"/>
      <c r="G929" s="29"/>
      <c r="H929" s="29"/>
      <c r="I929" s="29"/>
      <c r="J929" s="29"/>
      <c r="K929" s="29"/>
      <c r="L929" s="29"/>
      <c r="M929" s="29"/>
      <c r="N929" s="30"/>
      <c r="O929" s="30"/>
      <c r="P929" s="30"/>
      <c r="Q929" s="30"/>
      <c r="R929" s="30"/>
      <c r="S929" s="30"/>
      <c r="T929" s="30"/>
      <c r="U929" s="30"/>
      <c r="V929" s="31"/>
      <c r="W929" s="29"/>
      <c r="X929" s="29"/>
      <c r="Y929" s="29"/>
      <c r="Z929" s="29"/>
      <c r="AA929" s="30"/>
      <c r="AB929" s="30"/>
      <c r="AC929" s="30"/>
      <c r="AD929" s="30"/>
      <c r="AE929" s="30"/>
      <c r="AF929" s="32"/>
      <c r="AG929" s="33"/>
      <c r="AH929" s="33"/>
      <c r="AI929" s="29"/>
      <c r="AJ929" s="32"/>
      <c r="AK929" s="32"/>
      <c r="AL929" s="29"/>
      <c r="AN929" s="34" t="str">
        <f aca="false">IF($B929="","",IF(OR(C929="",D929="",E929="",G929="",I929="",J929="",L929="",O929="",P929=""),"Champ obligatoire manquant",IF(OR(AND(N929&lt;&gt;"",N929&gt;O929),O929&gt;P929,AND(Q929&lt;&gt;"",Q929&lt;P929),AND(R929&lt;&gt;"",R929&lt;P929),AND(S929&lt;&gt;"",S929&lt;R929),AND(S929&lt;&gt;"",R929=""),AND(T929&lt;&gt;"",T929&lt;O929),AND(U929&lt;&gt;"",U929&lt;O929)),"Chronologie incohérente",IF(AND(OR(L929="Résolu",L929="Clos"),R929=""),"Date de résolution manquante",IF(AND(L929="Clos",S929=""),"Date de clôture manquante",IF(AND(K929="Oui",AC929=""),"Classification DORA manquante","OK"))))))</f>
        <v/>
      </c>
      <c r="AO929" s="35" t="str">
        <f aca="false">IF($B929="","",IF(AND(C929="Incident",L929&lt;&gt;"Annulé"),1,0))</f>
        <v/>
      </c>
      <c r="AP929" s="35" t="str">
        <f aca="false">IF($B929="","",IF(AND(C929="Quasi-incident",L929&lt;&gt;"Annulé"),1,0))</f>
        <v/>
      </c>
      <c r="AQ929" s="35" t="str">
        <f aca="false">IF($B929="","",AO929+AP929)</f>
        <v/>
      </c>
      <c r="AR929" s="36" t="str">
        <f aca="false">IF(OR($B929="",J929=""),"",IFERROR(VALUE(LEFT(J929,1)),""))</f>
        <v/>
      </c>
      <c r="AS929" s="35" t="str">
        <f aca="false">IF(OR(AO929&lt;&gt;1,G929=""),"",IFERROR(IF(INDEX(L_SrcInterne,MATCH(G929,L_Sources,0))="Oui",1,0),""))</f>
        <v/>
      </c>
      <c r="AT929" s="37" t="str">
        <f aca="false">IF(AO929&lt;&gt;1,"",IFERROR(ROUND(IF(OR(N929="",O929=""),"",IF(O929&lt;N929,"",ROUND(((NETWORKDAYS(N929,O929,JoursFeries)-1)*(HFer-HOuv)+IF(NETWORKDAYS(O929,O929,JoursFeries),MEDIAN(MOD(O929,1),HFer,HOuv),HFer)-IF(NETWORKDAYS(N929,N929,JoursFeries),MEDIAN(MOD(N929,1),HFer,HOuv),HOuv))*24,4)))/HJour,4),""))</f>
        <v/>
      </c>
      <c r="AU929" s="37" t="str">
        <f aca="false">IF(AO929&lt;&gt;1,"",IF(OR(O929="",P929=""),"",IF(P929&lt;O929,"",ROUND(((NETWORKDAYS(O929,P929,JoursFeries)-1)*(HFer-HOuv)+IF(NETWORKDAYS(P929,P929,JoursFeries),MEDIAN(MOD(P929,1),HFer,HOuv),HFer)-IF(NETWORKDAYS(O929,O929,JoursFeries),MEDIAN(MOD(O929,1),HFer,HOuv),HOuv))*24,4))))</f>
        <v/>
      </c>
      <c r="AV929" s="37" t="str">
        <f aca="false">IF(AO929&lt;&gt;1,"",IF(OR(P929="",Q929=""),"",IF(Q929&lt;P929,"",ROUND(((NETWORKDAYS(P929,Q929,JoursFeries)-1)*(HFer-HOuv)+IF(NETWORKDAYS(Q929,Q929,JoursFeries),MEDIAN(MOD(Q929,1),HFer,HOuv),HFer)-IF(NETWORKDAYS(P929,P929,JoursFeries),MEDIAN(MOD(P929,1),HFer,HOuv),HOuv))*24,4))))</f>
        <v/>
      </c>
      <c r="AW929" s="37" t="str">
        <f aca="false">IF(AO929&lt;&gt;1,"",IFERROR(ROUND(IF(OR(P929="",R929=""),"",IF(R929&lt;P929,"",ROUND(((NETWORKDAYS(P929,R929,JoursFeries)-1)*(HFer-HOuv)+IF(NETWORKDAYS(R929,R929,JoursFeries),MEDIAN(MOD(R929,1),HFer,HOuv),HFer)-IF(NETWORKDAYS(P929,P929,JoursFeries),MEDIAN(MOD(P929,1),HFer,HOuv),HOuv))*24,4)))/HJour,4),""))</f>
        <v/>
      </c>
      <c r="AX929" s="37" t="str">
        <f aca="false">IF(AO929&lt;&gt;1,"",IFERROR(ROUND(IF(OR(P929="",S929=""),"",IF(S929&lt;P929,"",ROUND(((NETWORKDAYS(P929,S929,JoursFeries)-1)*(HFer-HOuv)+IF(NETWORKDAYS(S929,S929,JoursFeries),MEDIAN(MOD(S929,1),HFer,HOuv),HFer)-IF(NETWORKDAYS(P929,P929,JoursFeries),MEDIAN(MOD(P929,1),HFer,HOuv),HOuv))*24,4)))/HJour,4),""))</f>
        <v/>
      </c>
      <c r="AY929" s="36" t="str">
        <f aca="false">IF(OR(AO929&lt;&gt;1,AR929=""),"",INDEX(SLA_PEC,AR929))</f>
        <v/>
      </c>
      <c r="AZ929" s="35" t="str">
        <f aca="false">IF(OR(AV929="",AY929=""),"",IF(AV929&lt;=AY929,1,0))</f>
        <v/>
      </c>
      <c r="BA929" s="36" t="str">
        <f aca="false">IF(OR(AO929&lt;&gt;1,AR929=""),"",INDEX(SLA_RES,AR929))</f>
        <v/>
      </c>
      <c r="BB929" s="35" t="str">
        <f aca="false">IF(OR(AW929="",BA929=""),"",IF(AW929&lt;=BA929,1,0))</f>
        <v/>
      </c>
      <c r="BC929" s="38" t="str">
        <f aca="false">IF(OR(BA929="",P929=""),"",WORKDAY(INT(P929),BA929,JoursFeries)+MOD(P929,1))</f>
        <v/>
      </c>
      <c r="BD929" s="39" t="str">
        <f aca="false">IF(AO929&lt;&gt;1,"",IF(OR(AB929&lt;&gt;"",AD929&lt;&gt;""),4,IF(U929&lt;&gt;"",3,IF(T929&lt;&gt;"",2,1))))</f>
        <v/>
      </c>
      <c r="BE929" s="39" t="str">
        <f aca="false">IF(OR(AO929&lt;&gt;1,AR929=""),"",INDEX(NIV_REQ,AR929))</f>
        <v/>
      </c>
      <c r="BF929" s="39" t="str">
        <f aca="false">IF(BE929="","",MAX(BE929,IF(OR(K929="Oui",Z929="Oui"),4,1)))</f>
        <v/>
      </c>
      <c r="BG929" s="35" t="str">
        <f aca="false">IF(OR(BF929="",BD929=""),"",IF(BD929&gt;=BF929,1,0))</f>
        <v/>
      </c>
      <c r="BH929" s="38" t="str">
        <f aca="false">IF(BE929="","",IF(BE929&lt;2,"",IF(BE929=2,IF(AND(T929="",U929=""),"",MIN(T929,U929)),IF(U929="","",U929))))</f>
        <v/>
      </c>
      <c r="BI929" s="37" t="str">
        <f aca="false">IF(BH929="","",IF(OR(O929="",BH929=""),"",IF(BH929&lt;O929,"",ROUND(((NETWORKDAYS(O929,BH929,JoursFeries)-1)*(HFer-HOuv)+IF(NETWORKDAYS(BH929,BH929,JoursFeries),MEDIAN(MOD(BH929,1),HFer,HOuv),HFer)-IF(NETWORKDAYS(O929,O929,JoursFeries),MEDIAN(MOD(O929,1),HFer,HOuv),HOuv))*24,4))))</f>
        <v/>
      </c>
      <c r="BJ929" s="35" t="str">
        <f aca="false">IF(OR(BI929="",AR929=""),"",IF(BI929&lt;=INDEX(DELAI_ESC,AR929),1,0))</f>
        <v/>
      </c>
      <c r="BK929" s="38" t="str">
        <f aca="false">IF(AO929&lt;&gt;1,"",IF(AND(T929="",U929=""),"",MIN(T929,U929)))</f>
        <v/>
      </c>
      <c r="BL929" s="37" t="str">
        <f aca="false">IF(OR(BK929="",R929=""),"",IFERROR(ROUND(IF(OR(BK929="",R929=""),"",IF(R929&lt;BK929,"",ROUND(((NETWORKDAYS(BK929,R929,JoursFeries)-1)*(HFer-HOuv)+IF(NETWORKDAYS(R929,R929,JoursFeries),MEDIAN(MOD(R929,1),HFer,HOuv),HFer)-IF(NETWORKDAYS(BK929,BK929,JoursFeries),MEDIAN(MOD(BK929,1),HFer,HOuv),HOuv))*24,4)))/HJour,4),""))</f>
        <v/>
      </c>
      <c r="BM929" s="35" t="str">
        <f aca="false">IF(OR(AO929&lt;&gt;1,R929=""),"",IF(BD929=1,1,0))</f>
        <v/>
      </c>
      <c r="BN929" s="35" t="str">
        <f aca="false">IF(AO929&lt;&gt;1,"",IF(W929="Oui",1,0))</f>
        <v/>
      </c>
      <c r="BO929" s="35" t="str">
        <f aca="false">IF(AO929&lt;&gt;1,"",IF(X929&lt;&gt;"",1,0))</f>
        <v/>
      </c>
      <c r="BP929" s="35" t="str">
        <f aca="false">IF(AO929&lt;&gt;1,"",IF(Y929="Oui",1,0))</f>
        <v/>
      </c>
      <c r="BQ929" s="35" t="str">
        <f aca="true">IF(OR(AO929&lt;&gt;1,Z929&lt;&gt;"Oui"),"",IF(AB929="",IF(AND(AA929&lt;&gt;"",NOW()&gt;AA929),0,""),IF(AA929="","",IF(AB929&lt;=AA929,1,0))))</f>
        <v/>
      </c>
      <c r="BR929" s="38" t="str">
        <f aca="false">IF(OR(AO929&lt;&gt;1,K929&lt;&gt;"Oui",O929=""),"",IF(AC929="",O929+DORA_H_DET/24,IF(AC929-O929&lt;=DORA_H_DET/24,MIN(AC929+DORA_H_CLA/24,O929+DORA_H_DET/24),AC929+DORA_H_CLA/24)))</f>
        <v/>
      </c>
      <c r="BS929" s="35" t="str">
        <f aca="true">IF(BR929="","",IF(AD929="",IF(NOW()&gt;BR929,0,""),IF(AD929&lt;=BR929,1,0)))</f>
        <v/>
      </c>
      <c r="BT929" s="35" t="str">
        <f aca="true">IF(OR(BR929="",AD929=""),"",IF(AE929="",IF(NOW()&gt;AD929+DORA_H_INT/24,0,""),IF(AE929&lt;=AD929+DORA_H_INT/24,1,0)))</f>
        <v/>
      </c>
      <c r="BU929" s="35" t="str">
        <f aca="true">IF(OR(BR929="",AE929=""),"",IF(AF929="",IF(NOW()&gt;EDATE(AE929,DORA_M_FIN)+1,0,""),IF(AF929&lt;=EDATE(AE929,DORA_M_FIN),1,0)))</f>
        <v/>
      </c>
      <c r="BV929" s="35" t="str">
        <f aca="false">IF(BR929="","",IF(COUNT(BS929:BU929)=0,"",MIN(BS929:BU929)))</f>
        <v/>
      </c>
      <c r="BW929" s="40" t="str">
        <f aca="false">IF(AQ929&lt;&gt;1,"",IF(AND(AG929="",AH929=""),"",N(AG929)-N(AH929)))</f>
        <v/>
      </c>
      <c r="BX929" s="35" t="str">
        <f aca="true">IF(OR(AQ929&lt;&gt;1,AI929&lt;&gt;"Oui",AJ929=""),"",IF(AK929="",IF(NOW()&gt;AJ929+1,0,""),IF(AK929&lt;=AJ929,1,0)))</f>
        <v/>
      </c>
    </row>
    <row r="930" customFormat="false" ht="15" hidden="false" customHeight="false" outlineLevel="0" collapsed="false">
      <c r="B930" s="29"/>
      <c r="C930" s="29"/>
      <c r="D930" s="29"/>
      <c r="E930" s="29"/>
      <c r="F930" s="29"/>
      <c r="G930" s="29"/>
      <c r="H930" s="29"/>
      <c r="I930" s="29"/>
      <c r="J930" s="29"/>
      <c r="K930" s="29"/>
      <c r="L930" s="29"/>
      <c r="M930" s="29"/>
      <c r="N930" s="30"/>
      <c r="O930" s="30"/>
      <c r="P930" s="30"/>
      <c r="Q930" s="30"/>
      <c r="R930" s="30"/>
      <c r="S930" s="30"/>
      <c r="T930" s="30"/>
      <c r="U930" s="30"/>
      <c r="V930" s="31"/>
      <c r="W930" s="29"/>
      <c r="X930" s="29"/>
      <c r="Y930" s="29"/>
      <c r="Z930" s="29"/>
      <c r="AA930" s="30"/>
      <c r="AB930" s="30"/>
      <c r="AC930" s="30"/>
      <c r="AD930" s="30"/>
      <c r="AE930" s="30"/>
      <c r="AF930" s="32"/>
      <c r="AG930" s="33"/>
      <c r="AH930" s="33"/>
      <c r="AI930" s="29"/>
      <c r="AJ930" s="32"/>
      <c r="AK930" s="32"/>
      <c r="AL930" s="29"/>
      <c r="AN930" s="34" t="str">
        <f aca="false">IF($B930="","",IF(OR(C930="",D930="",E930="",G930="",I930="",J930="",L930="",O930="",P930=""),"Champ obligatoire manquant",IF(OR(AND(N930&lt;&gt;"",N930&gt;O930),O930&gt;P930,AND(Q930&lt;&gt;"",Q930&lt;P930),AND(R930&lt;&gt;"",R930&lt;P930),AND(S930&lt;&gt;"",S930&lt;R930),AND(S930&lt;&gt;"",R930=""),AND(T930&lt;&gt;"",T930&lt;O930),AND(U930&lt;&gt;"",U930&lt;O930)),"Chronologie incohérente",IF(AND(OR(L930="Résolu",L930="Clos"),R930=""),"Date de résolution manquante",IF(AND(L930="Clos",S930=""),"Date de clôture manquante",IF(AND(K930="Oui",AC930=""),"Classification DORA manquante","OK"))))))</f>
        <v/>
      </c>
      <c r="AO930" s="35" t="str">
        <f aca="false">IF($B930="","",IF(AND(C930="Incident",L930&lt;&gt;"Annulé"),1,0))</f>
        <v/>
      </c>
      <c r="AP930" s="35" t="str">
        <f aca="false">IF($B930="","",IF(AND(C930="Quasi-incident",L930&lt;&gt;"Annulé"),1,0))</f>
        <v/>
      </c>
      <c r="AQ930" s="35" t="str">
        <f aca="false">IF($B930="","",AO930+AP930)</f>
        <v/>
      </c>
      <c r="AR930" s="36" t="str">
        <f aca="false">IF(OR($B930="",J930=""),"",IFERROR(VALUE(LEFT(J930,1)),""))</f>
        <v/>
      </c>
      <c r="AS930" s="35" t="str">
        <f aca="false">IF(OR(AO930&lt;&gt;1,G930=""),"",IFERROR(IF(INDEX(L_SrcInterne,MATCH(G930,L_Sources,0))="Oui",1,0),""))</f>
        <v/>
      </c>
      <c r="AT930" s="37" t="str">
        <f aca="false">IF(AO930&lt;&gt;1,"",IFERROR(ROUND(IF(OR(N930="",O930=""),"",IF(O930&lt;N930,"",ROUND(((NETWORKDAYS(N930,O930,JoursFeries)-1)*(HFer-HOuv)+IF(NETWORKDAYS(O930,O930,JoursFeries),MEDIAN(MOD(O930,1),HFer,HOuv),HFer)-IF(NETWORKDAYS(N930,N930,JoursFeries),MEDIAN(MOD(N930,1),HFer,HOuv),HOuv))*24,4)))/HJour,4),""))</f>
        <v/>
      </c>
      <c r="AU930" s="37" t="str">
        <f aca="false">IF(AO930&lt;&gt;1,"",IF(OR(O930="",P930=""),"",IF(P930&lt;O930,"",ROUND(((NETWORKDAYS(O930,P930,JoursFeries)-1)*(HFer-HOuv)+IF(NETWORKDAYS(P930,P930,JoursFeries),MEDIAN(MOD(P930,1),HFer,HOuv),HFer)-IF(NETWORKDAYS(O930,O930,JoursFeries),MEDIAN(MOD(O930,1),HFer,HOuv),HOuv))*24,4))))</f>
        <v/>
      </c>
      <c r="AV930" s="37" t="str">
        <f aca="false">IF(AO930&lt;&gt;1,"",IF(OR(P930="",Q930=""),"",IF(Q930&lt;P930,"",ROUND(((NETWORKDAYS(P930,Q930,JoursFeries)-1)*(HFer-HOuv)+IF(NETWORKDAYS(Q930,Q930,JoursFeries),MEDIAN(MOD(Q930,1),HFer,HOuv),HFer)-IF(NETWORKDAYS(P930,P930,JoursFeries),MEDIAN(MOD(P930,1),HFer,HOuv),HOuv))*24,4))))</f>
        <v/>
      </c>
      <c r="AW930" s="37" t="str">
        <f aca="false">IF(AO930&lt;&gt;1,"",IFERROR(ROUND(IF(OR(P930="",R930=""),"",IF(R930&lt;P930,"",ROUND(((NETWORKDAYS(P930,R930,JoursFeries)-1)*(HFer-HOuv)+IF(NETWORKDAYS(R930,R930,JoursFeries),MEDIAN(MOD(R930,1),HFer,HOuv),HFer)-IF(NETWORKDAYS(P930,P930,JoursFeries),MEDIAN(MOD(P930,1),HFer,HOuv),HOuv))*24,4)))/HJour,4),""))</f>
        <v/>
      </c>
      <c r="AX930" s="37" t="str">
        <f aca="false">IF(AO930&lt;&gt;1,"",IFERROR(ROUND(IF(OR(P930="",S930=""),"",IF(S930&lt;P930,"",ROUND(((NETWORKDAYS(P930,S930,JoursFeries)-1)*(HFer-HOuv)+IF(NETWORKDAYS(S930,S930,JoursFeries),MEDIAN(MOD(S930,1),HFer,HOuv),HFer)-IF(NETWORKDAYS(P930,P930,JoursFeries),MEDIAN(MOD(P930,1),HFer,HOuv),HOuv))*24,4)))/HJour,4),""))</f>
        <v/>
      </c>
      <c r="AY930" s="36" t="str">
        <f aca="false">IF(OR(AO930&lt;&gt;1,AR930=""),"",INDEX(SLA_PEC,AR930))</f>
        <v/>
      </c>
      <c r="AZ930" s="35" t="str">
        <f aca="false">IF(OR(AV930="",AY930=""),"",IF(AV930&lt;=AY930,1,0))</f>
        <v/>
      </c>
      <c r="BA930" s="36" t="str">
        <f aca="false">IF(OR(AO930&lt;&gt;1,AR930=""),"",INDEX(SLA_RES,AR930))</f>
        <v/>
      </c>
      <c r="BB930" s="35" t="str">
        <f aca="false">IF(OR(AW930="",BA930=""),"",IF(AW930&lt;=BA930,1,0))</f>
        <v/>
      </c>
      <c r="BC930" s="38" t="str">
        <f aca="false">IF(OR(BA930="",P930=""),"",WORKDAY(INT(P930),BA930,JoursFeries)+MOD(P930,1))</f>
        <v/>
      </c>
      <c r="BD930" s="39" t="str">
        <f aca="false">IF(AO930&lt;&gt;1,"",IF(OR(AB930&lt;&gt;"",AD930&lt;&gt;""),4,IF(U930&lt;&gt;"",3,IF(T930&lt;&gt;"",2,1))))</f>
        <v/>
      </c>
      <c r="BE930" s="39" t="str">
        <f aca="false">IF(OR(AO930&lt;&gt;1,AR930=""),"",INDEX(NIV_REQ,AR930))</f>
        <v/>
      </c>
      <c r="BF930" s="39" t="str">
        <f aca="false">IF(BE930="","",MAX(BE930,IF(OR(K930="Oui",Z930="Oui"),4,1)))</f>
        <v/>
      </c>
      <c r="BG930" s="35" t="str">
        <f aca="false">IF(OR(BF930="",BD930=""),"",IF(BD930&gt;=BF930,1,0))</f>
        <v/>
      </c>
      <c r="BH930" s="38" t="str">
        <f aca="false">IF(BE930="","",IF(BE930&lt;2,"",IF(BE930=2,IF(AND(T930="",U930=""),"",MIN(T930,U930)),IF(U930="","",U930))))</f>
        <v/>
      </c>
      <c r="BI930" s="37" t="str">
        <f aca="false">IF(BH930="","",IF(OR(O930="",BH930=""),"",IF(BH930&lt;O930,"",ROUND(((NETWORKDAYS(O930,BH930,JoursFeries)-1)*(HFer-HOuv)+IF(NETWORKDAYS(BH930,BH930,JoursFeries),MEDIAN(MOD(BH930,1),HFer,HOuv),HFer)-IF(NETWORKDAYS(O930,O930,JoursFeries),MEDIAN(MOD(O930,1),HFer,HOuv),HOuv))*24,4))))</f>
        <v/>
      </c>
      <c r="BJ930" s="35" t="str">
        <f aca="false">IF(OR(BI930="",AR930=""),"",IF(BI930&lt;=INDEX(DELAI_ESC,AR930),1,0))</f>
        <v/>
      </c>
      <c r="BK930" s="38" t="str">
        <f aca="false">IF(AO930&lt;&gt;1,"",IF(AND(T930="",U930=""),"",MIN(T930,U930)))</f>
        <v/>
      </c>
      <c r="BL930" s="37" t="str">
        <f aca="false">IF(OR(BK930="",R930=""),"",IFERROR(ROUND(IF(OR(BK930="",R930=""),"",IF(R930&lt;BK930,"",ROUND(((NETWORKDAYS(BK930,R930,JoursFeries)-1)*(HFer-HOuv)+IF(NETWORKDAYS(R930,R930,JoursFeries),MEDIAN(MOD(R930,1),HFer,HOuv),HFer)-IF(NETWORKDAYS(BK930,BK930,JoursFeries),MEDIAN(MOD(BK930,1),HFer,HOuv),HOuv))*24,4)))/HJour,4),""))</f>
        <v/>
      </c>
      <c r="BM930" s="35" t="str">
        <f aca="false">IF(OR(AO930&lt;&gt;1,R930=""),"",IF(BD930=1,1,0))</f>
        <v/>
      </c>
      <c r="BN930" s="35" t="str">
        <f aca="false">IF(AO930&lt;&gt;1,"",IF(W930="Oui",1,0))</f>
        <v/>
      </c>
      <c r="BO930" s="35" t="str">
        <f aca="false">IF(AO930&lt;&gt;1,"",IF(X930&lt;&gt;"",1,0))</f>
        <v/>
      </c>
      <c r="BP930" s="35" t="str">
        <f aca="false">IF(AO930&lt;&gt;1,"",IF(Y930="Oui",1,0))</f>
        <v/>
      </c>
      <c r="BQ930" s="35" t="str">
        <f aca="true">IF(OR(AO930&lt;&gt;1,Z930&lt;&gt;"Oui"),"",IF(AB930="",IF(AND(AA930&lt;&gt;"",NOW()&gt;AA930),0,""),IF(AA930="","",IF(AB930&lt;=AA930,1,0))))</f>
        <v/>
      </c>
      <c r="BR930" s="38" t="str">
        <f aca="false">IF(OR(AO930&lt;&gt;1,K930&lt;&gt;"Oui",O930=""),"",IF(AC930="",O930+DORA_H_DET/24,IF(AC930-O930&lt;=DORA_H_DET/24,MIN(AC930+DORA_H_CLA/24,O930+DORA_H_DET/24),AC930+DORA_H_CLA/24)))</f>
        <v/>
      </c>
      <c r="BS930" s="35" t="str">
        <f aca="true">IF(BR930="","",IF(AD930="",IF(NOW()&gt;BR930,0,""),IF(AD930&lt;=BR930,1,0)))</f>
        <v/>
      </c>
      <c r="BT930" s="35" t="str">
        <f aca="true">IF(OR(BR930="",AD930=""),"",IF(AE930="",IF(NOW()&gt;AD930+DORA_H_INT/24,0,""),IF(AE930&lt;=AD930+DORA_H_INT/24,1,0)))</f>
        <v/>
      </c>
      <c r="BU930" s="35" t="str">
        <f aca="true">IF(OR(BR930="",AE930=""),"",IF(AF930="",IF(NOW()&gt;EDATE(AE930,DORA_M_FIN)+1,0,""),IF(AF930&lt;=EDATE(AE930,DORA_M_FIN),1,0)))</f>
        <v/>
      </c>
      <c r="BV930" s="35" t="str">
        <f aca="false">IF(BR930="","",IF(COUNT(BS930:BU930)=0,"",MIN(BS930:BU930)))</f>
        <v/>
      </c>
      <c r="BW930" s="40" t="str">
        <f aca="false">IF(AQ930&lt;&gt;1,"",IF(AND(AG930="",AH930=""),"",N(AG930)-N(AH930)))</f>
        <v/>
      </c>
      <c r="BX930" s="35" t="str">
        <f aca="true">IF(OR(AQ930&lt;&gt;1,AI930&lt;&gt;"Oui",AJ930=""),"",IF(AK930="",IF(NOW()&gt;AJ930+1,0,""),IF(AK930&lt;=AJ930,1,0)))</f>
        <v/>
      </c>
    </row>
    <row r="931" customFormat="false" ht="15" hidden="false" customHeight="false" outlineLevel="0" collapsed="false">
      <c r="B931" s="29"/>
      <c r="C931" s="29"/>
      <c r="D931" s="29"/>
      <c r="E931" s="29"/>
      <c r="F931" s="29"/>
      <c r="G931" s="29"/>
      <c r="H931" s="29"/>
      <c r="I931" s="29"/>
      <c r="J931" s="29"/>
      <c r="K931" s="29"/>
      <c r="L931" s="29"/>
      <c r="M931" s="29"/>
      <c r="N931" s="30"/>
      <c r="O931" s="30"/>
      <c r="P931" s="30"/>
      <c r="Q931" s="30"/>
      <c r="R931" s="30"/>
      <c r="S931" s="30"/>
      <c r="T931" s="30"/>
      <c r="U931" s="30"/>
      <c r="V931" s="31"/>
      <c r="W931" s="29"/>
      <c r="X931" s="29"/>
      <c r="Y931" s="29"/>
      <c r="Z931" s="29"/>
      <c r="AA931" s="30"/>
      <c r="AB931" s="30"/>
      <c r="AC931" s="30"/>
      <c r="AD931" s="30"/>
      <c r="AE931" s="30"/>
      <c r="AF931" s="32"/>
      <c r="AG931" s="33"/>
      <c r="AH931" s="33"/>
      <c r="AI931" s="29"/>
      <c r="AJ931" s="32"/>
      <c r="AK931" s="32"/>
      <c r="AL931" s="29"/>
      <c r="AN931" s="34" t="str">
        <f aca="false">IF($B931="","",IF(OR(C931="",D931="",E931="",G931="",I931="",J931="",L931="",O931="",P931=""),"Champ obligatoire manquant",IF(OR(AND(N931&lt;&gt;"",N931&gt;O931),O931&gt;P931,AND(Q931&lt;&gt;"",Q931&lt;P931),AND(R931&lt;&gt;"",R931&lt;P931),AND(S931&lt;&gt;"",S931&lt;R931),AND(S931&lt;&gt;"",R931=""),AND(T931&lt;&gt;"",T931&lt;O931),AND(U931&lt;&gt;"",U931&lt;O931)),"Chronologie incohérente",IF(AND(OR(L931="Résolu",L931="Clos"),R931=""),"Date de résolution manquante",IF(AND(L931="Clos",S931=""),"Date de clôture manquante",IF(AND(K931="Oui",AC931=""),"Classification DORA manquante","OK"))))))</f>
        <v/>
      </c>
      <c r="AO931" s="35" t="str">
        <f aca="false">IF($B931="","",IF(AND(C931="Incident",L931&lt;&gt;"Annulé"),1,0))</f>
        <v/>
      </c>
      <c r="AP931" s="35" t="str">
        <f aca="false">IF($B931="","",IF(AND(C931="Quasi-incident",L931&lt;&gt;"Annulé"),1,0))</f>
        <v/>
      </c>
      <c r="AQ931" s="35" t="str">
        <f aca="false">IF($B931="","",AO931+AP931)</f>
        <v/>
      </c>
      <c r="AR931" s="36" t="str">
        <f aca="false">IF(OR($B931="",J931=""),"",IFERROR(VALUE(LEFT(J931,1)),""))</f>
        <v/>
      </c>
      <c r="AS931" s="35" t="str">
        <f aca="false">IF(OR(AO931&lt;&gt;1,G931=""),"",IFERROR(IF(INDEX(L_SrcInterne,MATCH(G931,L_Sources,0))="Oui",1,0),""))</f>
        <v/>
      </c>
      <c r="AT931" s="37" t="str">
        <f aca="false">IF(AO931&lt;&gt;1,"",IFERROR(ROUND(IF(OR(N931="",O931=""),"",IF(O931&lt;N931,"",ROUND(((NETWORKDAYS(N931,O931,JoursFeries)-1)*(HFer-HOuv)+IF(NETWORKDAYS(O931,O931,JoursFeries),MEDIAN(MOD(O931,1),HFer,HOuv),HFer)-IF(NETWORKDAYS(N931,N931,JoursFeries),MEDIAN(MOD(N931,1),HFer,HOuv),HOuv))*24,4)))/HJour,4),""))</f>
        <v/>
      </c>
      <c r="AU931" s="37" t="str">
        <f aca="false">IF(AO931&lt;&gt;1,"",IF(OR(O931="",P931=""),"",IF(P931&lt;O931,"",ROUND(((NETWORKDAYS(O931,P931,JoursFeries)-1)*(HFer-HOuv)+IF(NETWORKDAYS(P931,P931,JoursFeries),MEDIAN(MOD(P931,1),HFer,HOuv),HFer)-IF(NETWORKDAYS(O931,O931,JoursFeries),MEDIAN(MOD(O931,1),HFer,HOuv),HOuv))*24,4))))</f>
        <v/>
      </c>
      <c r="AV931" s="37" t="str">
        <f aca="false">IF(AO931&lt;&gt;1,"",IF(OR(P931="",Q931=""),"",IF(Q931&lt;P931,"",ROUND(((NETWORKDAYS(P931,Q931,JoursFeries)-1)*(HFer-HOuv)+IF(NETWORKDAYS(Q931,Q931,JoursFeries),MEDIAN(MOD(Q931,1),HFer,HOuv),HFer)-IF(NETWORKDAYS(P931,P931,JoursFeries),MEDIAN(MOD(P931,1),HFer,HOuv),HOuv))*24,4))))</f>
        <v/>
      </c>
      <c r="AW931" s="37" t="str">
        <f aca="false">IF(AO931&lt;&gt;1,"",IFERROR(ROUND(IF(OR(P931="",R931=""),"",IF(R931&lt;P931,"",ROUND(((NETWORKDAYS(P931,R931,JoursFeries)-1)*(HFer-HOuv)+IF(NETWORKDAYS(R931,R931,JoursFeries),MEDIAN(MOD(R931,1),HFer,HOuv),HFer)-IF(NETWORKDAYS(P931,P931,JoursFeries),MEDIAN(MOD(P931,1),HFer,HOuv),HOuv))*24,4)))/HJour,4),""))</f>
        <v/>
      </c>
      <c r="AX931" s="37" t="str">
        <f aca="false">IF(AO931&lt;&gt;1,"",IFERROR(ROUND(IF(OR(P931="",S931=""),"",IF(S931&lt;P931,"",ROUND(((NETWORKDAYS(P931,S931,JoursFeries)-1)*(HFer-HOuv)+IF(NETWORKDAYS(S931,S931,JoursFeries),MEDIAN(MOD(S931,1),HFer,HOuv),HFer)-IF(NETWORKDAYS(P931,P931,JoursFeries),MEDIAN(MOD(P931,1),HFer,HOuv),HOuv))*24,4)))/HJour,4),""))</f>
        <v/>
      </c>
      <c r="AY931" s="36" t="str">
        <f aca="false">IF(OR(AO931&lt;&gt;1,AR931=""),"",INDEX(SLA_PEC,AR931))</f>
        <v/>
      </c>
      <c r="AZ931" s="35" t="str">
        <f aca="false">IF(OR(AV931="",AY931=""),"",IF(AV931&lt;=AY931,1,0))</f>
        <v/>
      </c>
      <c r="BA931" s="36" t="str">
        <f aca="false">IF(OR(AO931&lt;&gt;1,AR931=""),"",INDEX(SLA_RES,AR931))</f>
        <v/>
      </c>
      <c r="BB931" s="35" t="str">
        <f aca="false">IF(OR(AW931="",BA931=""),"",IF(AW931&lt;=BA931,1,0))</f>
        <v/>
      </c>
      <c r="BC931" s="38" t="str">
        <f aca="false">IF(OR(BA931="",P931=""),"",WORKDAY(INT(P931),BA931,JoursFeries)+MOD(P931,1))</f>
        <v/>
      </c>
      <c r="BD931" s="39" t="str">
        <f aca="false">IF(AO931&lt;&gt;1,"",IF(OR(AB931&lt;&gt;"",AD931&lt;&gt;""),4,IF(U931&lt;&gt;"",3,IF(T931&lt;&gt;"",2,1))))</f>
        <v/>
      </c>
      <c r="BE931" s="39" t="str">
        <f aca="false">IF(OR(AO931&lt;&gt;1,AR931=""),"",INDEX(NIV_REQ,AR931))</f>
        <v/>
      </c>
      <c r="BF931" s="39" t="str">
        <f aca="false">IF(BE931="","",MAX(BE931,IF(OR(K931="Oui",Z931="Oui"),4,1)))</f>
        <v/>
      </c>
      <c r="BG931" s="35" t="str">
        <f aca="false">IF(OR(BF931="",BD931=""),"",IF(BD931&gt;=BF931,1,0))</f>
        <v/>
      </c>
      <c r="BH931" s="38" t="str">
        <f aca="false">IF(BE931="","",IF(BE931&lt;2,"",IF(BE931=2,IF(AND(T931="",U931=""),"",MIN(T931,U931)),IF(U931="","",U931))))</f>
        <v/>
      </c>
      <c r="BI931" s="37" t="str">
        <f aca="false">IF(BH931="","",IF(OR(O931="",BH931=""),"",IF(BH931&lt;O931,"",ROUND(((NETWORKDAYS(O931,BH931,JoursFeries)-1)*(HFer-HOuv)+IF(NETWORKDAYS(BH931,BH931,JoursFeries),MEDIAN(MOD(BH931,1),HFer,HOuv),HFer)-IF(NETWORKDAYS(O931,O931,JoursFeries),MEDIAN(MOD(O931,1),HFer,HOuv),HOuv))*24,4))))</f>
        <v/>
      </c>
      <c r="BJ931" s="35" t="str">
        <f aca="false">IF(OR(BI931="",AR931=""),"",IF(BI931&lt;=INDEX(DELAI_ESC,AR931),1,0))</f>
        <v/>
      </c>
      <c r="BK931" s="38" t="str">
        <f aca="false">IF(AO931&lt;&gt;1,"",IF(AND(T931="",U931=""),"",MIN(T931,U931)))</f>
        <v/>
      </c>
      <c r="BL931" s="37" t="str">
        <f aca="false">IF(OR(BK931="",R931=""),"",IFERROR(ROUND(IF(OR(BK931="",R931=""),"",IF(R931&lt;BK931,"",ROUND(((NETWORKDAYS(BK931,R931,JoursFeries)-1)*(HFer-HOuv)+IF(NETWORKDAYS(R931,R931,JoursFeries),MEDIAN(MOD(R931,1),HFer,HOuv),HFer)-IF(NETWORKDAYS(BK931,BK931,JoursFeries),MEDIAN(MOD(BK931,1),HFer,HOuv),HOuv))*24,4)))/HJour,4),""))</f>
        <v/>
      </c>
      <c r="BM931" s="35" t="str">
        <f aca="false">IF(OR(AO931&lt;&gt;1,R931=""),"",IF(BD931=1,1,0))</f>
        <v/>
      </c>
      <c r="BN931" s="35" t="str">
        <f aca="false">IF(AO931&lt;&gt;1,"",IF(W931="Oui",1,0))</f>
        <v/>
      </c>
      <c r="BO931" s="35" t="str">
        <f aca="false">IF(AO931&lt;&gt;1,"",IF(X931&lt;&gt;"",1,0))</f>
        <v/>
      </c>
      <c r="BP931" s="35" t="str">
        <f aca="false">IF(AO931&lt;&gt;1,"",IF(Y931="Oui",1,0))</f>
        <v/>
      </c>
      <c r="BQ931" s="35" t="str">
        <f aca="true">IF(OR(AO931&lt;&gt;1,Z931&lt;&gt;"Oui"),"",IF(AB931="",IF(AND(AA931&lt;&gt;"",NOW()&gt;AA931),0,""),IF(AA931="","",IF(AB931&lt;=AA931,1,0))))</f>
        <v/>
      </c>
      <c r="BR931" s="38" t="str">
        <f aca="false">IF(OR(AO931&lt;&gt;1,K931&lt;&gt;"Oui",O931=""),"",IF(AC931="",O931+DORA_H_DET/24,IF(AC931-O931&lt;=DORA_H_DET/24,MIN(AC931+DORA_H_CLA/24,O931+DORA_H_DET/24),AC931+DORA_H_CLA/24)))</f>
        <v/>
      </c>
      <c r="BS931" s="35" t="str">
        <f aca="true">IF(BR931="","",IF(AD931="",IF(NOW()&gt;BR931,0,""),IF(AD931&lt;=BR931,1,0)))</f>
        <v/>
      </c>
      <c r="BT931" s="35" t="str">
        <f aca="true">IF(OR(BR931="",AD931=""),"",IF(AE931="",IF(NOW()&gt;AD931+DORA_H_INT/24,0,""),IF(AE931&lt;=AD931+DORA_H_INT/24,1,0)))</f>
        <v/>
      </c>
      <c r="BU931" s="35" t="str">
        <f aca="true">IF(OR(BR931="",AE931=""),"",IF(AF931="",IF(NOW()&gt;EDATE(AE931,DORA_M_FIN)+1,0,""),IF(AF931&lt;=EDATE(AE931,DORA_M_FIN),1,0)))</f>
        <v/>
      </c>
      <c r="BV931" s="35" t="str">
        <f aca="false">IF(BR931="","",IF(COUNT(BS931:BU931)=0,"",MIN(BS931:BU931)))</f>
        <v/>
      </c>
      <c r="BW931" s="40" t="str">
        <f aca="false">IF(AQ931&lt;&gt;1,"",IF(AND(AG931="",AH931=""),"",N(AG931)-N(AH931)))</f>
        <v/>
      </c>
      <c r="BX931" s="35" t="str">
        <f aca="true">IF(OR(AQ931&lt;&gt;1,AI931&lt;&gt;"Oui",AJ931=""),"",IF(AK931="",IF(NOW()&gt;AJ931+1,0,""),IF(AK931&lt;=AJ931,1,0)))</f>
        <v/>
      </c>
    </row>
    <row r="932" customFormat="false" ht="15" hidden="false" customHeight="false" outlineLevel="0" collapsed="false">
      <c r="B932" s="29"/>
      <c r="C932" s="29"/>
      <c r="D932" s="29"/>
      <c r="E932" s="29"/>
      <c r="F932" s="29"/>
      <c r="G932" s="29"/>
      <c r="H932" s="29"/>
      <c r="I932" s="29"/>
      <c r="J932" s="29"/>
      <c r="K932" s="29"/>
      <c r="L932" s="29"/>
      <c r="M932" s="29"/>
      <c r="N932" s="30"/>
      <c r="O932" s="30"/>
      <c r="P932" s="30"/>
      <c r="Q932" s="30"/>
      <c r="R932" s="30"/>
      <c r="S932" s="30"/>
      <c r="T932" s="30"/>
      <c r="U932" s="30"/>
      <c r="V932" s="31"/>
      <c r="W932" s="29"/>
      <c r="X932" s="29"/>
      <c r="Y932" s="29"/>
      <c r="Z932" s="29"/>
      <c r="AA932" s="30"/>
      <c r="AB932" s="30"/>
      <c r="AC932" s="30"/>
      <c r="AD932" s="30"/>
      <c r="AE932" s="30"/>
      <c r="AF932" s="32"/>
      <c r="AG932" s="33"/>
      <c r="AH932" s="33"/>
      <c r="AI932" s="29"/>
      <c r="AJ932" s="32"/>
      <c r="AK932" s="32"/>
      <c r="AL932" s="29"/>
      <c r="AN932" s="34" t="str">
        <f aca="false">IF($B932="","",IF(OR(C932="",D932="",E932="",G932="",I932="",J932="",L932="",O932="",P932=""),"Champ obligatoire manquant",IF(OR(AND(N932&lt;&gt;"",N932&gt;O932),O932&gt;P932,AND(Q932&lt;&gt;"",Q932&lt;P932),AND(R932&lt;&gt;"",R932&lt;P932),AND(S932&lt;&gt;"",S932&lt;R932),AND(S932&lt;&gt;"",R932=""),AND(T932&lt;&gt;"",T932&lt;O932),AND(U932&lt;&gt;"",U932&lt;O932)),"Chronologie incohérente",IF(AND(OR(L932="Résolu",L932="Clos"),R932=""),"Date de résolution manquante",IF(AND(L932="Clos",S932=""),"Date de clôture manquante",IF(AND(K932="Oui",AC932=""),"Classification DORA manquante","OK"))))))</f>
        <v/>
      </c>
      <c r="AO932" s="35" t="str">
        <f aca="false">IF($B932="","",IF(AND(C932="Incident",L932&lt;&gt;"Annulé"),1,0))</f>
        <v/>
      </c>
      <c r="AP932" s="35" t="str">
        <f aca="false">IF($B932="","",IF(AND(C932="Quasi-incident",L932&lt;&gt;"Annulé"),1,0))</f>
        <v/>
      </c>
      <c r="AQ932" s="35" t="str">
        <f aca="false">IF($B932="","",AO932+AP932)</f>
        <v/>
      </c>
      <c r="AR932" s="36" t="str">
        <f aca="false">IF(OR($B932="",J932=""),"",IFERROR(VALUE(LEFT(J932,1)),""))</f>
        <v/>
      </c>
      <c r="AS932" s="35" t="str">
        <f aca="false">IF(OR(AO932&lt;&gt;1,G932=""),"",IFERROR(IF(INDEX(L_SrcInterne,MATCH(G932,L_Sources,0))="Oui",1,0),""))</f>
        <v/>
      </c>
      <c r="AT932" s="37" t="str">
        <f aca="false">IF(AO932&lt;&gt;1,"",IFERROR(ROUND(IF(OR(N932="",O932=""),"",IF(O932&lt;N932,"",ROUND(((NETWORKDAYS(N932,O932,JoursFeries)-1)*(HFer-HOuv)+IF(NETWORKDAYS(O932,O932,JoursFeries),MEDIAN(MOD(O932,1),HFer,HOuv),HFer)-IF(NETWORKDAYS(N932,N932,JoursFeries),MEDIAN(MOD(N932,1),HFer,HOuv),HOuv))*24,4)))/HJour,4),""))</f>
        <v/>
      </c>
      <c r="AU932" s="37" t="str">
        <f aca="false">IF(AO932&lt;&gt;1,"",IF(OR(O932="",P932=""),"",IF(P932&lt;O932,"",ROUND(((NETWORKDAYS(O932,P932,JoursFeries)-1)*(HFer-HOuv)+IF(NETWORKDAYS(P932,P932,JoursFeries),MEDIAN(MOD(P932,1),HFer,HOuv),HFer)-IF(NETWORKDAYS(O932,O932,JoursFeries),MEDIAN(MOD(O932,1),HFer,HOuv),HOuv))*24,4))))</f>
        <v/>
      </c>
      <c r="AV932" s="37" t="str">
        <f aca="false">IF(AO932&lt;&gt;1,"",IF(OR(P932="",Q932=""),"",IF(Q932&lt;P932,"",ROUND(((NETWORKDAYS(P932,Q932,JoursFeries)-1)*(HFer-HOuv)+IF(NETWORKDAYS(Q932,Q932,JoursFeries),MEDIAN(MOD(Q932,1),HFer,HOuv),HFer)-IF(NETWORKDAYS(P932,P932,JoursFeries),MEDIAN(MOD(P932,1),HFer,HOuv),HOuv))*24,4))))</f>
        <v/>
      </c>
      <c r="AW932" s="37" t="str">
        <f aca="false">IF(AO932&lt;&gt;1,"",IFERROR(ROUND(IF(OR(P932="",R932=""),"",IF(R932&lt;P932,"",ROUND(((NETWORKDAYS(P932,R932,JoursFeries)-1)*(HFer-HOuv)+IF(NETWORKDAYS(R932,R932,JoursFeries),MEDIAN(MOD(R932,1),HFer,HOuv),HFer)-IF(NETWORKDAYS(P932,P932,JoursFeries),MEDIAN(MOD(P932,1),HFer,HOuv),HOuv))*24,4)))/HJour,4),""))</f>
        <v/>
      </c>
      <c r="AX932" s="37" t="str">
        <f aca="false">IF(AO932&lt;&gt;1,"",IFERROR(ROUND(IF(OR(P932="",S932=""),"",IF(S932&lt;P932,"",ROUND(((NETWORKDAYS(P932,S932,JoursFeries)-1)*(HFer-HOuv)+IF(NETWORKDAYS(S932,S932,JoursFeries),MEDIAN(MOD(S932,1),HFer,HOuv),HFer)-IF(NETWORKDAYS(P932,P932,JoursFeries),MEDIAN(MOD(P932,1),HFer,HOuv),HOuv))*24,4)))/HJour,4),""))</f>
        <v/>
      </c>
      <c r="AY932" s="36" t="str">
        <f aca="false">IF(OR(AO932&lt;&gt;1,AR932=""),"",INDEX(SLA_PEC,AR932))</f>
        <v/>
      </c>
      <c r="AZ932" s="35" t="str">
        <f aca="false">IF(OR(AV932="",AY932=""),"",IF(AV932&lt;=AY932,1,0))</f>
        <v/>
      </c>
      <c r="BA932" s="36" t="str">
        <f aca="false">IF(OR(AO932&lt;&gt;1,AR932=""),"",INDEX(SLA_RES,AR932))</f>
        <v/>
      </c>
      <c r="BB932" s="35" t="str">
        <f aca="false">IF(OR(AW932="",BA932=""),"",IF(AW932&lt;=BA932,1,0))</f>
        <v/>
      </c>
      <c r="BC932" s="38" t="str">
        <f aca="false">IF(OR(BA932="",P932=""),"",WORKDAY(INT(P932),BA932,JoursFeries)+MOD(P932,1))</f>
        <v/>
      </c>
      <c r="BD932" s="39" t="str">
        <f aca="false">IF(AO932&lt;&gt;1,"",IF(OR(AB932&lt;&gt;"",AD932&lt;&gt;""),4,IF(U932&lt;&gt;"",3,IF(T932&lt;&gt;"",2,1))))</f>
        <v/>
      </c>
      <c r="BE932" s="39" t="str">
        <f aca="false">IF(OR(AO932&lt;&gt;1,AR932=""),"",INDEX(NIV_REQ,AR932))</f>
        <v/>
      </c>
      <c r="BF932" s="39" t="str">
        <f aca="false">IF(BE932="","",MAX(BE932,IF(OR(K932="Oui",Z932="Oui"),4,1)))</f>
        <v/>
      </c>
      <c r="BG932" s="35" t="str">
        <f aca="false">IF(OR(BF932="",BD932=""),"",IF(BD932&gt;=BF932,1,0))</f>
        <v/>
      </c>
      <c r="BH932" s="38" t="str">
        <f aca="false">IF(BE932="","",IF(BE932&lt;2,"",IF(BE932=2,IF(AND(T932="",U932=""),"",MIN(T932,U932)),IF(U932="","",U932))))</f>
        <v/>
      </c>
      <c r="BI932" s="37" t="str">
        <f aca="false">IF(BH932="","",IF(OR(O932="",BH932=""),"",IF(BH932&lt;O932,"",ROUND(((NETWORKDAYS(O932,BH932,JoursFeries)-1)*(HFer-HOuv)+IF(NETWORKDAYS(BH932,BH932,JoursFeries),MEDIAN(MOD(BH932,1),HFer,HOuv),HFer)-IF(NETWORKDAYS(O932,O932,JoursFeries),MEDIAN(MOD(O932,1),HFer,HOuv),HOuv))*24,4))))</f>
        <v/>
      </c>
      <c r="BJ932" s="35" t="str">
        <f aca="false">IF(OR(BI932="",AR932=""),"",IF(BI932&lt;=INDEX(DELAI_ESC,AR932),1,0))</f>
        <v/>
      </c>
      <c r="BK932" s="38" t="str">
        <f aca="false">IF(AO932&lt;&gt;1,"",IF(AND(T932="",U932=""),"",MIN(T932,U932)))</f>
        <v/>
      </c>
      <c r="BL932" s="37" t="str">
        <f aca="false">IF(OR(BK932="",R932=""),"",IFERROR(ROUND(IF(OR(BK932="",R932=""),"",IF(R932&lt;BK932,"",ROUND(((NETWORKDAYS(BK932,R932,JoursFeries)-1)*(HFer-HOuv)+IF(NETWORKDAYS(R932,R932,JoursFeries),MEDIAN(MOD(R932,1),HFer,HOuv),HFer)-IF(NETWORKDAYS(BK932,BK932,JoursFeries),MEDIAN(MOD(BK932,1),HFer,HOuv),HOuv))*24,4)))/HJour,4),""))</f>
        <v/>
      </c>
      <c r="BM932" s="35" t="str">
        <f aca="false">IF(OR(AO932&lt;&gt;1,R932=""),"",IF(BD932=1,1,0))</f>
        <v/>
      </c>
      <c r="BN932" s="35" t="str">
        <f aca="false">IF(AO932&lt;&gt;1,"",IF(W932="Oui",1,0))</f>
        <v/>
      </c>
      <c r="BO932" s="35" t="str">
        <f aca="false">IF(AO932&lt;&gt;1,"",IF(X932&lt;&gt;"",1,0))</f>
        <v/>
      </c>
      <c r="BP932" s="35" t="str">
        <f aca="false">IF(AO932&lt;&gt;1,"",IF(Y932="Oui",1,0))</f>
        <v/>
      </c>
      <c r="BQ932" s="35" t="str">
        <f aca="true">IF(OR(AO932&lt;&gt;1,Z932&lt;&gt;"Oui"),"",IF(AB932="",IF(AND(AA932&lt;&gt;"",NOW()&gt;AA932),0,""),IF(AA932="","",IF(AB932&lt;=AA932,1,0))))</f>
        <v/>
      </c>
      <c r="BR932" s="38" t="str">
        <f aca="false">IF(OR(AO932&lt;&gt;1,K932&lt;&gt;"Oui",O932=""),"",IF(AC932="",O932+DORA_H_DET/24,IF(AC932-O932&lt;=DORA_H_DET/24,MIN(AC932+DORA_H_CLA/24,O932+DORA_H_DET/24),AC932+DORA_H_CLA/24)))</f>
        <v/>
      </c>
      <c r="BS932" s="35" t="str">
        <f aca="true">IF(BR932="","",IF(AD932="",IF(NOW()&gt;BR932,0,""),IF(AD932&lt;=BR932,1,0)))</f>
        <v/>
      </c>
      <c r="BT932" s="35" t="str">
        <f aca="true">IF(OR(BR932="",AD932=""),"",IF(AE932="",IF(NOW()&gt;AD932+DORA_H_INT/24,0,""),IF(AE932&lt;=AD932+DORA_H_INT/24,1,0)))</f>
        <v/>
      </c>
      <c r="BU932" s="35" t="str">
        <f aca="true">IF(OR(BR932="",AE932=""),"",IF(AF932="",IF(NOW()&gt;EDATE(AE932,DORA_M_FIN)+1,0,""),IF(AF932&lt;=EDATE(AE932,DORA_M_FIN),1,0)))</f>
        <v/>
      </c>
      <c r="BV932" s="35" t="str">
        <f aca="false">IF(BR932="","",IF(COUNT(BS932:BU932)=0,"",MIN(BS932:BU932)))</f>
        <v/>
      </c>
      <c r="BW932" s="40" t="str">
        <f aca="false">IF(AQ932&lt;&gt;1,"",IF(AND(AG932="",AH932=""),"",N(AG932)-N(AH932)))</f>
        <v/>
      </c>
      <c r="BX932" s="35" t="str">
        <f aca="true">IF(OR(AQ932&lt;&gt;1,AI932&lt;&gt;"Oui",AJ932=""),"",IF(AK932="",IF(NOW()&gt;AJ932+1,0,""),IF(AK932&lt;=AJ932,1,0)))</f>
        <v/>
      </c>
    </row>
    <row r="933" customFormat="false" ht="15" hidden="false" customHeight="false" outlineLevel="0" collapsed="false">
      <c r="B933" s="29"/>
      <c r="C933" s="29"/>
      <c r="D933" s="29"/>
      <c r="E933" s="29"/>
      <c r="F933" s="29"/>
      <c r="G933" s="29"/>
      <c r="H933" s="29"/>
      <c r="I933" s="29"/>
      <c r="J933" s="29"/>
      <c r="K933" s="29"/>
      <c r="L933" s="29"/>
      <c r="M933" s="29"/>
      <c r="N933" s="30"/>
      <c r="O933" s="30"/>
      <c r="P933" s="30"/>
      <c r="Q933" s="30"/>
      <c r="R933" s="30"/>
      <c r="S933" s="30"/>
      <c r="T933" s="30"/>
      <c r="U933" s="30"/>
      <c r="V933" s="31"/>
      <c r="W933" s="29"/>
      <c r="X933" s="29"/>
      <c r="Y933" s="29"/>
      <c r="Z933" s="29"/>
      <c r="AA933" s="30"/>
      <c r="AB933" s="30"/>
      <c r="AC933" s="30"/>
      <c r="AD933" s="30"/>
      <c r="AE933" s="30"/>
      <c r="AF933" s="32"/>
      <c r="AG933" s="33"/>
      <c r="AH933" s="33"/>
      <c r="AI933" s="29"/>
      <c r="AJ933" s="32"/>
      <c r="AK933" s="32"/>
      <c r="AL933" s="29"/>
      <c r="AN933" s="34" t="str">
        <f aca="false">IF($B933="","",IF(OR(C933="",D933="",E933="",G933="",I933="",J933="",L933="",O933="",P933=""),"Champ obligatoire manquant",IF(OR(AND(N933&lt;&gt;"",N933&gt;O933),O933&gt;P933,AND(Q933&lt;&gt;"",Q933&lt;P933),AND(R933&lt;&gt;"",R933&lt;P933),AND(S933&lt;&gt;"",S933&lt;R933),AND(S933&lt;&gt;"",R933=""),AND(T933&lt;&gt;"",T933&lt;O933),AND(U933&lt;&gt;"",U933&lt;O933)),"Chronologie incohérente",IF(AND(OR(L933="Résolu",L933="Clos"),R933=""),"Date de résolution manquante",IF(AND(L933="Clos",S933=""),"Date de clôture manquante",IF(AND(K933="Oui",AC933=""),"Classification DORA manquante","OK"))))))</f>
        <v/>
      </c>
      <c r="AO933" s="35" t="str">
        <f aca="false">IF($B933="","",IF(AND(C933="Incident",L933&lt;&gt;"Annulé"),1,0))</f>
        <v/>
      </c>
      <c r="AP933" s="35" t="str">
        <f aca="false">IF($B933="","",IF(AND(C933="Quasi-incident",L933&lt;&gt;"Annulé"),1,0))</f>
        <v/>
      </c>
      <c r="AQ933" s="35" t="str">
        <f aca="false">IF($B933="","",AO933+AP933)</f>
        <v/>
      </c>
      <c r="AR933" s="36" t="str">
        <f aca="false">IF(OR($B933="",J933=""),"",IFERROR(VALUE(LEFT(J933,1)),""))</f>
        <v/>
      </c>
      <c r="AS933" s="35" t="str">
        <f aca="false">IF(OR(AO933&lt;&gt;1,G933=""),"",IFERROR(IF(INDEX(L_SrcInterne,MATCH(G933,L_Sources,0))="Oui",1,0),""))</f>
        <v/>
      </c>
      <c r="AT933" s="37" t="str">
        <f aca="false">IF(AO933&lt;&gt;1,"",IFERROR(ROUND(IF(OR(N933="",O933=""),"",IF(O933&lt;N933,"",ROUND(((NETWORKDAYS(N933,O933,JoursFeries)-1)*(HFer-HOuv)+IF(NETWORKDAYS(O933,O933,JoursFeries),MEDIAN(MOD(O933,1),HFer,HOuv),HFer)-IF(NETWORKDAYS(N933,N933,JoursFeries),MEDIAN(MOD(N933,1),HFer,HOuv),HOuv))*24,4)))/HJour,4),""))</f>
        <v/>
      </c>
      <c r="AU933" s="37" t="str">
        <f aca="false">IF(AO933&lt;&gt;1,"",IF(OR(O933="",P933=""),"",IF(P933&lt;O933,"",ROUND(((NETWORKDAYS(O933,P933,JoursFeries)-1)*(HFer-HOuv)+IF(NETWORKDAYS(P933,P933,JoursFeries),MEDIAN(MOD(P933,1),HFer,HOuv),HFer)-IF(NETWORKDAYS(O933,O933,JoursFeries),MEDIAN(MOD(O933,1),HFer,HOuv),HOuv))*24,4))))</f>
        <v/>
      </c>
      <c r="AV933" s="37" t="str">
        <f aca="false">IF(AO933&lt;&gt;1,"",IF(OR(P933="",Q933=""),"",IF(Q933&lt;P933,"",ROUND(((NETWORKDAYS(P933,Q933,JoursFeries)-1)*(HFer-HOuv)+IF(NETWORKDAYS(Q933,Q933,JoursFeries),MEDIAN(MOD(Q933,1),HFer,HOuv),HFer)-IF(NETWORKDAYS(P933,P933,JoursFeries),MEDIAN(MOD(P933,1),HFer,HOuv),HOuv))*24,4))))</f>
        <v/>
      </c>
      <c r="AW933" s="37" t="str">
        <f aca="false">IF(AO933&lt;&gt;1,"",IFERROR(ROUND(IF(OR(P933="",R933=""),"",IF(R933&lt;P933,"",ROUND(((NETWORKDAYS(P933,R933,JoursFeries)-1)*(HFer-HOuv)+IF(NETWORKDAYS(R933,R933,JoursFeries),MEDIAN(MOD(R933,1),HFer,HOuv),HFer)-IF(NETWORKDAYS(P933,P933,JoursFeries),MEDIAN(MOD(P933,1),HFer,HOuv),HOuv))*24,4)))/HJour,4),""))</f>
        <v/>
      </c>
      <c r="AX933" s="37" t="str">
        <f aca="false">IF(AO933&lt;&gt;1,"",IFERROR(ROUND(IF(OR(P933="",S933=""),"",IF(S933&lt;P933,"",ROUND(((NETWORKDAYS(P933,S933,JoursFeries)-1)*(HFer-HOuv)+IF(NETWORKDAYS(S933,S933,JoursFeries),MEDIAN(MOD(S933,1),HFer,HOuv),HFer)-IF(NETWORKDAYS(P933,P933,JoursFeries),MEDIAN(MOD(P933,1),HFer,HOuv),HOuv))*24,4)))/HJour,4),""))</f>
        <v/>
      </c>
      <c r="AY933" s="36" t="str">
        <f aca="false">IF(OR(AO933&lt;&gt;1,AR933=""),"",INDEX(SLA_PEC,AR933))</f>
        <v/>
      </c>
      <c r="AZ933" s="35" t="str">
        <f aca="false">IF(OR(AV933="",AY933=""),"",IF(AV933&lt;=AY933,1,0))</f>
        <v/>
      </c>
      <c r="BA933" s="36" t="str">
        <f aca="false">IF(OR(AO933&lt;&gt;1,AR933=""),"",INDEX(SLA_RES,AR933))</f>
        <v/>
      </c>
      <c r="BB933" s="35" t="str">
        <f aca="false">IF(OR(AW933="",BA933=""),"",IF(AW933&lt;=BA933,1,0))</f>
        <v/>
      </c>
      <c r="BC933" s="38" t="str">
        <f aca="false">IF(OR(BA933="",P933=""),"",WORKDAY(INT(P933),BA933,JoursFeries)+MOD(P933,1))</f>
        <v/>
      </c>
      <c r="BD933" s="39" t="str">
        <f aca="false">IF(AO933&lt;&gt;1,"",IF(OR(AB933&lt;&gt;"",AD933&lt;&gt;""),4,IF(U933&lt;&gt;"",3,IF(T933&lt;&gt;"",2,1))))</f>
        <v/>
      </c>
      <c r="BE933" s="39" t="str">
        <f aca="false">IF(OR(AO933&lt;&gt;1,AR933=""),"",INDEX(NIV_REQ,AR933))</f>
        <v/>
      </c>
      <c r="BF933" s="39" t="str">
        <f aca="false">IF(BE933="","",MAX(BE933,IF(OR(K933="Oui",Z933="Oui"),4,1)))</f>
        <v/>
      </c>
      <c r="BG933" s="35" t="str">
        <f aca="false">IF(OR(BF933="",BD933=""),"",IF(BD933&gt;=BF933,1,0))</f>
        <v/>
      </c>
      <c r="BH933" s="38" t="str">
        <f aca="false">IF(BE933="","",IF(BE933&lt;2,"",IF(BE933=2,IF(AND(T933="",U933=""),"",MIN(T933,U933)),IF(U933="","",U933))))</f>
        <v/>
      </c>
      <c r="BI933" s="37" t="str">
        <f aca="false">IF(BH933="","",IF(OR(O933="",BH933=""),"",IF(BH933&lt;O933,"",ROUND(((NETWORKDAYS(O933,BH933,JoursFeries)-1)*(HFer-HOuv)+IF(NETWORKDAYS(BH933,BH933,JoursFeries),MEDIAN(MOD(BH933,1),HFer,HOuv),HFer)-IF(NETWORKDAYS(O933,O933,JoursFeries),MEDIAN(MOD(O933,1),HFer,HOuv),HOuv))*24,4))))</f>
        <v/>
      </c>
      <c r="BJ933" s="35" t="str">
        <f aca="false">IF(OR(BI933="",AR933=""),"",IF(BI933&lt;=INDEX(DELAI_ESC,AR933),1,0))</f>
        <v/>
      </c>
      <c r="BK933" s="38" t="str">
        <f aca="false">IF(AO933&lt;&gt;1,"",IF(AND(T933="",U933=""),"",MIN(T933,U933)))</f>
        <v/>
      </c>
      <c r="BL933" s="37" t="str">
        <f aca="false">IF(OR(BK933="",R933=""),"",IFERROR(ROUND(IF(OR(BK933="",R933=""),"",IF(R933&lt;BK933,"",ROUND(((NETWORKDAYS(BK933,R933,JoursFeries)-1)*(HFer-HOuv)+IF(NETWORKDAYS(R933,R933,JoursFeries),MEDIAN(MOD(R933,1),HFer,HOuv),HFer)-IF(NETWORKDAYS(BK933,BK933,JoursFeries),MEDIAN(MOD(BK933,1),HFer,HOuv),HOuv))*24,4)))/HJour,4),""))</f>
        <v/>
      </c>
      <c r="BM933" s="35" t="str">
        <f aca="false">IF(OR(AO933&lt;&gt;1,R933=""),"",IF(BD933=1,1,0))</f>
        <v/>
      </c>
      <c r="BN933" s="35" t="str">
        <f aca="false">IF(AO933&lt;&gt;1,"",IF(W933="Oui",1,0))</f>
        <v/>
      </c>
      <c r="BO933" s="35" t="str">
        <f aca="false">IF(AO933&lt;&gt;1,"",IF(X933&lt;&gt;"",1,0))</f>
        <v/>
      </c>
      <c r="BP933" s="35" t="str">
        <f aca="false">IF(AO933&lt;&gt;1,"",IF(Y933="Oui",1,0))</f>
        <v/>
      </c>
      <c r="BQ933" s="35" t="str">
        <f aca="true">IF(OR(AO933&lt;&gt;1,Z933&lt;&gt;"Oui"),"",IF(AB933="",IF(AND(AA933&lt;&gt;"",NOW()&gt;AA933),0,""),IF(AA933="","",IF(AB933&lt;=AA933,1,0))))</f>
        <v/>
      </c>
      <c r="BR933" s="38" t="str">
        <f aca="false">IF(OR(AO933&lt;&gt;1,K933&lt;&gt;"Oui",O933=""),"",IF(AC933="",O933+DORA_H_DET/24,IF(AC933-O933&lt;=DORA_H_DET/24,MIN(AC933+DORA_H_CLA/24,O933+DORA_H_DET/24),AC933+DORA_H_CLA/24)))</f>
        <v/>
      </c>
      <c r="BS933" s="35" t="str">
        <f aca="true">IF(BR933="","",IF(AD933="",IF(NOW()&gt;BR933,0,""),IF(AD933&lt;=BR933,1,0)))</f>
        <v/>
      </c>
      <c r="BT933" s="35" t="str">
        <f aca="true">IF(OR(BR933="",AD933=""),"",IF(AE933="",IF(NOW()&gt;AD933+DORA_H_INT/24,0,""),IF(AE933&lt;=AD933+DORA_H_INT/24,1,0)))</f>
        <v/>
      </c>
      <c r="BU933" s="35" t="str">
        <f aca="true">IF(OR(BR933="",AE933=""),"",IF(AF933="",IF(NOW()&gt;EDATE(AE933,DORA_M_FIN)+1,0,""),IF(AF933&lt;=EDATE(AE933,DORA_M_FIN),1,0)))</f>
        <v/>
      </c>
      <c r="BV933" s="35" t="str">
        <f aca="false">IF(BR933="","",IF(COUNT(BS933:BU933)=0,"",MIN(BS933:BU933)))</f>
        <v/>
      </c>
      <c r="BW933" s="40" t="str">
        <f aca="false">IF(AQ933&lt;&gt;1,"",IF(AND(AG933="",AH933=""),"",N(AG933)-N(AH933)))</f>
        <v/>
      </c>
      <c r="BX933" s="35" t="str">
        <f aca="true">IF(OR(AQ933&lt;&gt;1,AI933&lt;&gt;"Oui",AJ933=""),"",IF(AK933="",IF(NOW()&gt;AJ933+1,0,""),IF(AK933&lt;=AJ933,1,0)))</f>
        <v/>
      </c>
    </row>
    <row r="934" customFormat="false" ht="15" hidden="false" customHeight="false" outlineLevel="0" collapsed="false">
      <c r="B934" s="29"/>
      <c r="C934" s="29"/>
      <c r="D934" s="29"/>
      <c r="E934" s="29"/>
      <c r="F934" s="29"/>
      <c r="G934" s="29"/>
      <c r="H934" s="29"/>
      <c r="I934" s="29"/>
      <c r="J934" s="29"/>
      <c r="K934" s="29"/>
      <c r="L934" s="29"/>
      <c r="M934" s="29"/>
      <c r="N934" s="30"/>
      <c r="O934" s="30"/>
      <c r="P934" s="30"/>
      <c r="Q934" s="30"/>
      <c r="R934" s="30"/>
      <c r="S934" s="30"/>
      <c r="T934" s="30"/>
      <c r="U934" s="30"/>
      <c r="V934" s="31"/>
      <c r="W934" s="29"/>
      <c r="X934" s="29"/>
      <c r="Y934" s="29"/>
      <c r="Z934" s="29"/>
      <c r="AA934" s="30"/>
      <c r="AB934" s="30"/>
      <c r="AC934" s="30"/>
      <c r="AD934" s="30"/>
      <c r="AE934" s="30"/>
      <c r="AF934" s="32"/>
      <c r="AG934" s="33"/>
      <c r="AH934" s="33"/>
      <c r="AI934" s="29"/>
      <c r="AJ934" s="32"/>
      <c r="AK934" s="32"/>
      <c r="AL934" s="29"/>
      <c r="AN934" s="34" t="str">
        <f aca="false">IF($B934="","",IF(OR(C934="",D934="",E934="",G934="",I934="",J934="",L934="",O934="",P934=""),"Champ obligatoire manquant",IF(OR(AND(N934&lt;&gt;"",N934&gt;O934),O934&gt;P934,AND(Q934&lt;&gt;"",Q934&lt;P934),AND(R934&lt;&gt;"",R934&lt;P934),AND(S934&lt;&gt;"",S934&lt;R934),AND(S934&lt;&gt;"",R934=""),AND(T934&lt;&gt;"",T934&lt;O934),AND(U934&lt;&gt;"",U934&lt;O934)),"Chronologie incohérente",IF(AND(OR(L934="Résolu",L934="Clos"),R934=""),"Date de résolution manquante",IF(AND(L934="Clos",S934=""),"Date de clôture manquante",IF(AND(K934="Oui",AC934=""),"Classification DORA manquante","OK"))))))</f>
        <v/>
      </c>
      <c r="AO934" s="35" t="str">
        <f aca="false">IF($B934="","",IF(AND(C934="Incident",L934&lt;&gt;"Annulé"),1,0))</f>
        <v/>
      </c>
      <c r="AP934" s="35" t="str">
        <f aca="false">IF($B934="","",IF(AND(C934="Quasi-incident",L934&lt;&gt;"Annulé"),1,0))</f>
        <v/>
      </c>
      <c r="AQ934" s="35" t="str">
        <f aca="false">IF($B934="","",AO934+AP934)</f>
        <v/>
      </c>
      <c r="AR934" s="36" t="str">
        <f aca="false">IF(OR($B934="",J934=""),"",IFERROR(VALUE(LEFT(J934,1)),""))</f>
        <v/>
      </c>
      <c r="AS934" s="35" t="str">
        <f aca="false">IF(OR(AO934&lt;&gt;1,G934=""),"",IFERROR(IF(INDEX(L_SrcInterne,MATCH(G934,L_Sources,0))="Oui",1,0),""))</f>
        <v/>
      </c>
      <c r="AT934" s="37" t="str">
        <f aca="false">IF(AO934&lt;&gt;1,"",IFERROR(ROUND(IF(OR(N934="",O934=""),"",IF(O934&lt;N934,"",ROUND(((NETWORKDAYS(N934,O934,JoursFeries)-1)*(HFer-HOuv)+IF(NETWORKDAYS(O934,O934,JoursFeries),MEDIAN(MOD(O934,1),HFer,HOuv),HFer)-IF(NETWORKDAYS(N934,N934,JoursFeries),MEDIAN(MOD(N934,1),HFer,HOuv),HOuv))*24,4)))/HJour,4),""))</f>
        <v/>
      </c>
      <c r="AU934" s="37" t="str">
        <f aca="false">IF(AO934&lt;&gt;1,"",IF(OR(O934="",P934=""),"",IF(P934&lt;O934,"",ROUND(((NETWORKDAYS(O934,P934,JoursFeries)-1)*(HFer-HOuv)+IF(NETWORKDAYS(P934,P934,JoursFeries),MEDIAN(MOD(P934,1),HFer,HOuv),HFer)-IF(NETWORKDAYS(O934,O934,JoursFeries),MEDIAN(MOD(O934,1),HFer,HOuv),HOuv))*24,4))))</f>
        <v/>
      </c>
      <c r="AV934" s="37" t="str">
        <f aca="false">IF(AO934&lt;&gt;1,"",IF(OR(P934="",Q934=""),"",IF(Q934&lt;P934,"",ROUND(((NETWORKDAYS(P934,Q934,JoursFeries)-1)*(HFer-HOuv)+IF(NETWORKDAYS(Q934,Q934,JoursFeries),MEDIAN(MOD(Q934,1),HFer,HOuv),HFer)-IF(NETWORKDAYS(P934,P934,JoursFeries),MEDIAN(MOD(P934,1),HFer,HOuv),HOuv))*24,4))))</f>
        <v/>
      </c>
      <c r="AW934" s="37" t="str">
        <f aca="false">IF(AO934&lt;&gt;1,"",IFERROR(ROUND(IF(OR(P934="",R934=""),"",IF(R934&lt;P934,"",ROUND(((NETWORKDAYS(P934,R934,JoursFeries)-1)*(HFer-HOuv)+IF(NETWORKDAYS(R934,R934,JoursFeries),MEDIAN(MOD(R934,1),HFer,HOuv),HFer)-IF(NETWORKDAYS(P934,P934,JoursFeries),MEDIAN(MOD(P934,1),HFer,HOuv),HOuv))*24,4)))/HJour,4),""))</f>
        <v/>
      </c>
      <c r="AX934" s="37" t="str">
        <f aca="false">IF(AO934&lt;&gt;1,"",IFERROR(ROUND(IF(OR(P934="",S934=""),"",IF(S934&lt;P934,"",ROUND(((NETWORKDAYS(P934,S934,JoursFeries)-1)*(HFer-HOuv)+IF(NETWORKDAYS(S934,S934,JoursFeries),MEDIAN(MOD(S934,1),HFer,HOuv),HFer)-IF(NETWORKDAYS(P934,P934,JoursFeries),MEDIAN(MOD(P934,1),HFer,HOuv),HOuv))*24,4)))/HJour,4),""))</f>
        <v/>
      </c>
      <c r="AY934" s="36" t="str">
        <f aca="false">IF(OR(AO934&lt;&gt;1,AR934=""),"",INDEX(SLA_PEC,AR934))</f>
        <v/>
      </c>
      <c r="AZ934" s="35" t="str">
        <f aca="false">IF(OR(AV934="",AY934=""),"",IF(AV934&lt;=AY934,1,0))</f>
        <v/>
      </c>
      <c r="BA934" s="36" t="str">
        <f aca="false">IF(OR(AO934&lt;&gt;1,AR934=""),"",INDEX(SLA_RES,AR934))</f>
        <v/>
      </c>
      <c r="BB934" s="35" t="str">
        <f aca="false">IF(OR(AW934="",BA934=""),"",IF(AW934&lt;=BA934,1,0))</f>
        <v/>
      </c>
      <c r="BC934" s="38" t="str">
        <f aca="false">IF(OR(BA934="",P934=""),"",WORKDAY(INT(P934),BA934,JoursFeries)+MOD(P934,1))</f>
        <v/>
      </c>
      <c r="BD934" s="39" t="str">
        <f aca="false">IF(AO934&lt;&gt;1,"",IF(OR(AB934&lt;&gt;"",AD934&lt;&gt;""),4,IF(U934&lt;&gt;"",3,IF(T934&lt;&gt;"",2,1))))</f>
        <v/>
      </c>
      <c r="BE934" s="39" t="str">
        <f aca="false">IF(OR(AO934&lt;&gt;1,AR934=""),"",INDEX(NIV_REQ,AR934))</f>
        <v/>
      </c>
      <c r="BF934" s="39" t="str">
        <f aca="false">IF(BE934="","",MAX(BE934,IF(OR(K934="Oui",Z934="Oui"),4,1)))</f>
        <v/>
      </c>
      <c r="BG934" s="35" t="str">
        <f aca="false">IF(OR(BF934="",BD934=""),"",IF(BD934&gt;=BF934,1,0))</f>
        <v/>
      </c>
      <c r="BH934" s="38" t="str">
        <f aca="false">IF(BE934="","",IF(BE934&lt;2,"",IF(BE934=2,IF(AND(T934="",U934=""),"",MIN(T934,U934)),IF(U934="","",U934))))</f>
        <v/>
      </c>
      <c r="BI934" s="37" t="str">
        <f aca="false">IF(BH934="","",IF(OR(O934="",BH934=""),"",IF(BH934&lt;O934,"",ROUND(((NETWORKDAYS(O934,BH934,JoursFeries)-1)*(HFer-HOuv)+IF(NETWORKDAYS(BH934,BH934,JoursFeries),MEDIAN(MOD(BH934,1),HFer,HOuv),HFer)-IF(NETWORKDAYS(O934,O934,JoursFeries),MEDIAN(MOD(O934,1),HFer,HOuv),HOuv))*24,4))))</f>
        <v/>
      </c>
      <c r="BJ934" s="35" t="str">
        <f aca="false">IF(OR(BI934="",AR934=""),"",IF(BI934&lt;=INDEX(DELAI_ESC,AR934),1,0))</f>
        <v/>
      </c>
      <c r="BK934" s="38" t="str">
        <f aca="false">IF(AO934&lt;&gt;1,"",IF(AND(T934="",U934=""),"",MIN(T934,U934)))</f>
        <v/>
      </c>
      <c r="BL934" s="37" t="str">
        <f aca="false">IF(OR(BK934="",R934=""),"",IFERROR(ROUND(IF(OR(BK934="",R934=""),"",IF(R934&lt;BK934,"",ROUND(((NETWORKDAYS(BK934,R934,JoursFeries)-1)*(HFer-HOuv)+IF(NETWORKDAYS(R934,R934,JoursFeries),MEDIAN(MOD(R934,1),HFer,HOuv),HFer)-IF(NETWORKDAYS(BK934,BK934,JoursFeries),MEDIAN(MOD(BK934,1),HFer,HOuv),HOuv))*24,4)))/HJour,4),""))</f>
        <v/>
      </c>
      <c r="BM934" s="35" t="str">
        <f aca="false">IF(OR(AO934&lt;&gt;1,R934=""),"",IF(BD934=1,1,0))</f>
        <v/>
      </c>
      <c r="BN934" s="35" t="str">
        <f aca="false">IF(AO934&lt;&gt;1,"",IF(W934="Oui",1,0))</f>
        <v/>
      </c>
      <c r="BO934" s="35" t="str">
        <f aca="false">IF(AO934&lt;&gt;1,"",IF(X934&lt;&gt;"",1,0))</f>
        <v/>
      </c>
      <c r="BP934" s="35" t="str">
        <f aca="false">IF(AO934&lt;&gt;1,"",IF(Y934="Oui",1,0))</f>
        <v/>
      </c>
      <c r="BQ934" s="35" t="str">
        <f aca="true">IF(OR(AO934&lt;&gt;1,Z934&lt;&gt;"Oui"),"",IF(AB934="",IF(AND(AA934&lt;&gt;"",NOW()&gt;AA934),0,""),IF(AA934="","",IF(AB934&lt;=AA934,1,0))))</f>
        <v/>
      </c>
      <c r="BR934" s="38" t="str">
        <f aca="false">IF(OR(AO934&lt;&gt;1,K934&lt;&gt;"Oui",O934=""),"",IF(AC934="",O934+DORA_H_DET/24,IF(AC934-O934&lt;=DORA_H_DET/24,MIN(AC934+DORA_H_CLA/24,O934+DORA_H_DET/24),AC934+DORA_H_CLA/24)))</f>
        <v/>
      </c>
      <c r="BS934" s="35" t="str">
        <f aca="true">IF(BR934="","",IF(AD934="",IF(NOW()&gt;BR934,0,""),IF(AD934&lt;=BR934,1,0)))</f>
        <v/>
      </c>
      <c r="BT934" s="35" t="str">
        <f aca="true">IF(OR(BR934="",AD934=""),"",IF(AE934="",IF(NOW()&gt;AD934+DORA_H_INT/24,0,""),IF(AE934&lt;=AD934+DORA_H_INT/24,1,0)))</f>
        <v/>
      </c>
      <c r="BU934" s="35" t="str">
        <f aca="true">IF(OR(BR934="",AE934=""),"",IF(AF934="",IF(NOW()&gt;EDATE(AE934,DORA_M_FIN)+1,0,""),IF(AF934&lt;=EDATE(AE934,DORA_M_FIN),1,0)))</f>
        <v/>
      </c>
      <c r="BV934" s="35" t="str">
        <f aca="false">IF(BR934="","",IF(COUNT(BS934:BU934)=0,"",MIN(BS934:BU934)))</f>
        <v/>
      </c>
      <c r="BW934" s="40" t="str">
        <f aca="false">IF(AQ934&lt;&gt;1,"",IF(AND(AG934="",AH934=""),"",N(AG934)-N(AH934)))</f>
        <v/>
      </c>
      <c r="BX934" s="35" t="str">
        <f aca="true">IF(OR(AQ934&lt;&gt;1,AI934&lt;&gt;"Oui",AJ934=""),"",IF(AK934="",IF(NOW()&gt;AJ934+1,0,""),IF(AK934&lt;=AJ934,1,0)))</f>
        <v/>
      </c>
    </row>
    <row r="935" customFormat="false" ht="15" hidden="false" customHeight="false" outlineLevel="0" collapsed="false">
      <c r="B935" s="29"/>
      <c r="C935" s="29"/>
      <c r="D935" s="29"/>
      <c r="E935" s="29"/>
      <c r="F935" s="29"/>
      <c r="G935" s="29"/>
      <c r="H935" s="29"/>
      <c r="I935" s="29"/>
      <c r="J935" s="29"/>
      <c r="K935" s="29"/>
      <c r="L935" s="29"/>
      <c r="M935" s="29"/>
      <c r="N935" s="30"/>
      <c r="O935" s="30"/>
      <c r="P935" s="30"/>
      <c r="Q935" s="30"/>
      <c r="R935" s="30"/>
      <c r="S935" s="30"/>
      <c r="T935" s="30"/>
      <c r="U935" s="30"/>
      <c r="V935" s="31"/>
      <c r="W935" s="29"/>
      <c r="X935" s="29"/>
      <c r="Y935" s="29"/>
      <c r="Z935" s="29"/>
      <c r="AA935" s="30"/>
      <c r="AB935" s="30"/>
      <c r="AC935" s="30"/>
      <c r="AD935" s="30"/>
      <c r="AE935" s="30"/>
      <c r="AF935" s="32"/>
      <c r="AG935" s="33"/>
      <c r="AH935" s="33"/>
      <c r="AI935" s="29"/>
      <c r="AJ935" s="32"/>
      <c r="AK935" s="32"/>
      <c r="AL935" s="29"/>
      <c r="AN935" s="34" t="str">
        <f aca="false">IF($B935="","",IF(OR(C935="",D935="",E935="",G935="",I935="",J935="",L935="",O935="",P935=""),"Champ obligatoire manquant",IF(OR(AND(N935&lt;&gt;"",N935&gt;O935),O935&gt;P935,AND(Q935&lt;&gt;"",Q935&lt;P935),AND(R935&lt;&gt;"",R935&lt;P935),AND(S935&lt;&gt;"",S935&lt;R935),AND(S935&lt;&gt;"",R935=""),AND(T935&lt;&gt;"",T935&lt;O935),AND(U935&lt;&gt;"",U935&lt;O935)),"Chronologie incohérente",IF(AND(OR(L935="Résolu",L935="Clos"),R935=""),"Date de résolution manquante",IF(AND(L935="Clos",S935=""),"Date de clôture manquante",IF(AND(K935="Oui",AC935=""),"Classification DORA manquante","OK"))))))</f>
        <v/>
      </c>
      <c r="AO935" s="35" t="str">
        <f aca="false">IF($B935="","",IF(AND(C935="Incident",L935&lt;&gt;"Annulé"),1,0))</f>
        <v/>
      </c>
      <c r="AP935" s="35" t="str">
        <f aca="false">IF($B935="","",IF(AND(C935="Quasi-incident",L935&lt;&gt;"Annulé"),1,0))</f>
        <v/>
      </c>
      <c r="AQ935" s="35" t="str">
        <f aca="false">IF($B935="","",AO935+AP935)</f>
        <v/>
      </c>
      <c r="AR935" s="36" t="str">
        <f aca="false">IF(OR($B935="",J935=""),"",IFERROR(VALUE(LEFT(J935,1)),""))</f>
        <v/>
      </c>
      <c r="AS935" s="35" t="str">
        <f aca="false">IF(OR(AO935&lt;&gt;1,G935=""),"",IFERROR(IF(INDEX(L_SrcInterne,MATCH(G935,L_Sources,0))="Oui",1,0),""))</f>
        <v/>
      </c>
      <c r="AT935" s="37" t="str">
        <f aca="false">IF(AO935&lt;&gt;1,"",IFERROR(ROUND(IF(OR(N935="",O935=""),"",IF(O935&lt;N935,"",ROUND(((NETWORKDAYS(N935,O935,JoursFeries)-1)*(HFer-HOuv)+IF(NETWORKDAYS(O935,O935,JoursFeries),MEDIAN(MOD(O935,1),HFer,HOuv),HFer)-IF(NETWORKDAYS(N935,N935,JoursFeries),MEDIAN(MOD(N935,1),HFer,HOuv),HOuv))*24,4)))/HJour,4),""))</f>
        <v/>
      </c>
      <c r="AU935" s="37" t="str">
        <f aca="false">IF(AO935&lt;&gt;1,"",IF(OR(O935="",P935=""),"",IF(P935&lt;O935,"",ROUND(((NETWORKDAYS(O935,P935,JoursFeries)-1)*(HFer-HOuv)+IF(NETWORKDAYS(P935,P935,JoursFeries),MEDIAN(MOD(P935,1),HFer,HOuv),HFer)-IF(NETWORKDAYS(O935,O935,JoursFeries),MEDIAN(MOD(O935,1),HFer,HOuv),HOuv))*24,4))))</f>
        <v/>
      </c>
      <c r="AV935" s="37" t="str">
        <f aca="false">IF(AO935&lt;&gt;1,"",IF(OR(P935="",Q935=""),"",IF(Q935&lt;P935,"",ROUND(((NETWORKDAYS(P935,Q935,JoursFeries)-1)*(HFer-HOuv)+IF(NETWORKDAYS(Q935,Q935,JoursFeries),MEDIAN(MOD(Q935,1),HFer,HOuv),HFer)-IF(NETWORKDAYS(P935,P935,JoursFeries),MEDIAN(MOD(P935,1),HFer,HOuv),HOuv))*24,4))))</f>
        <v/>
      </c>
      <c r="AW935" s="37" t="str">
        <f aca="false">IF(AO935&lt;&gt;1,"",IFERROR(ROUND(IF(OR(P935="",R935=""),"",IF(R935&lt;P935,"",ROUND(((NETWORKDAYS(P935,R935,JoursFeries)-1)*(HFer-HOuv)+IF(NETWORKDAYS(R935,R935,JoursFeries),MEDIAN(MOD(R935,1),HFer,HOuv),HFer)-IF(NETWORKDAYS(P935,P935,JoursFeries),MEDIAN(MOD(P935,1),HFer,HOuv),HOuv))*24,4)))/HJour,4),""))</f>
        <v/>
      </c>
      <c r="AX935" s="37" t="str">
        <f aca="false">IF(AO935&lt;&gt;1,"",IFERROR(ROUND(IF(OR(P935="",S935=""),"",IF(S935&lt;P935,"",ROUND(((NETWORKDAYS(P935,S935,JoursFeries)-1)*(HFer-HOuv)+IF(NETWORKDAYS(S935,S935,JoursFeries),MEDIAN(MOD(S935,1),HFer,HOuv),HFer)-IF(NETWORKDAYS(P935,P935,JoursFeries),MEDIAN(MOD(P935,1),HFer,HOuv),HOuv))*24,4)))/HJour,4),""))</f>
        <v/>
      </c>
      <c r="AY935" s="36" t="str">
        <f aca="false">IF(OR(AO935&lt;&gt;1,AR935=""),"",INDEX(SLA_PEC,AR935))</f>
        <v/>
      </c>
      <c r="AZ935" s="35" t="str">
        <f aca="false">IF(OR(AV935="",AY935=""),"",IF(AV935&lt;=AY935,1,0))</f>
        <v/>
      </c>
      <c r="BA935" s="36" t="str">
        <f aca="false">IF(OR(AO935&lt;&gt;1,AR935=""),"",INDEX(SLA_RES,AR935))</f>
        <v/>
      </c>
      <c r="BB935" s="35" t="str">
        <f aca="false">IF(OR(AW935="",BA935=""),"",IF(AW935&lt;=BA935,1,0))</f>
        <v/>
      </c>
      <c r="BC935" s="38" t="str">
        <f aca="false">IF(OR(BA935="",P935=""),"",WORKDAY(INT(P935),BA935,JoursFeries)+MOD(P935,1))</f>
        <v/>
      </c>
      <c r="BD935" s="39" t="str">
        <f aca="false">IF(AO935&lt;&gt;1,"",IF(OR(AB935&lt;&gt;"",AD935&lt;&gt;""),4,IF(U935&lt;&gt;"",3,IF(T935&lt;&gt;"",2,1))))</f>
        <v/>
      </c>
      <c r="BE935" s="39" t="str">
        <f aca="false">IF(OR(AO935&lt;&gt;1,AR935=""),"",INDEX(NIV_REQ,AR935))</f>
        <v/>
      </c>
      <c r="BF935" s="39" t="str">
        <f aca="false">IF(BE935="","",MAX(BE935,IF(OR(K935="Oui",Z935="Oui"),4,1)))</f>
        <v/>
      </c>
      <c r="BG935" s="35" t="str">
        <f aca="false">IF(OR(BF935="",BD935=""),"",IF(BD935&gt;=BF935,1,0))</f>
        <v/>
      </c>
      <c r="BH935" s="38" t="str">
        <f aca="false">IF(BE935="","",IF(BE935&lt;2,"",IF(BE935=2,IF(AND(T935="",U935=""),"",MIN(T935,U935)),IF(U935="","",U935))))</f>
        <v/>
      </c>
      <c r="BI935" s="37" t="str">
        <f aca="false">IF(BH935="","",IF(OR(O935="",BH935=""),"",IF(BH935&lt;O935,"",ROUND(((NETWORKDAYS(O935,BH935,JoursFeries)-1)*(HFer-HOuv)+IF(NETWORKDAYS(BH935,BH935,JoursFeries),MEDIAN(MOD(BH935,1),HFer,HOuv),HFer)-IF(NETWORKDAYS(O935,O935,JoursFeries),MEDIAN(MOD(O935,1),HFer,HOuv),HOuv))*24,4))))</f>
        <v/>
      </c>
      <c r="BJ935" s="35" t="str">
        <f aca="false">IF(OR(BI935="",AR935=""),"",IF(BI935&lt;=INDEX(DELAI_ESC,AR935),1,0))</f>
        <v/>
      </c>
      <c r="BK935" s="38" t="str">
        <f aca="false">IF(AO935&lt;&gt;1,"",IF(AND(T935="",U935=""),"",MIN(T935,U935)))</f>
        <v/>
      </c>
      <c r="BL935" s="37" t="str">
        <f aca="false">IF(OR(BK935="",R935=""),"",IFERROR(ROUND(IF(OR(BK935="",R935=""),"",IF(R935&lt;BK935,"",ROUND(((NETWORKDAYS(BK935,R935,JoursFeries)-1)*(HFer-HOuv)+IF(NETWORKDAYS(R935,R935,JoursFeries),MEDIAN(MOD(R935,1),HFer,HOuv),HFer)-IF(NETWORKDAYS(BK935,BK935,JoursFeries),MEDIAN(MOD(BK935,1),HFer,HOuv),HOuv))*24,4)))/HJour,4),""))</f>
        <v/>
      </c>
      <c r="BM935" s="35" t="str">
        <f aca="false">IF(OR(AO935&lt;&gt;1,R935=""),"",IF(BD935=1,1,0))</f>
        <v/>
      </c>
      <c r="BN935" s="35" t="str">
        <f aca="false">IF(AO935&lt;&gt;1,"",IF(W935="Oui",1,0))</f>
        <v/>
      </c>
      <c r="BO935" s="35" t="str">
        <f aca="false">IF(AO935&lt;&gt;1,"",IF(X935&lt;&gt;"",1,0))</f>
        <v/>
      </c>
      <c r="BP935" s="35" t="str">
        <f aca="false">IF(AO935&lt;&gt;1,"",IF(Y935="Oui",1,0))</f>
        <v/>
      </c>
      <c r="BQ935" s="35" t="str">
        <f aca="true">IF(OR(AO935&lt;&gt;1,Z935&lt;&gt;"Oui"),"",IF(AB935="",IF(AND(AA935&lt;&gt;"",NOW()&gt;AA935),0,""),IF(AA935="","",IF(AB935&lt;=AA935,1,0))))</f>
        <v/>
      </c>
      <c r="BR935" s="38" t="str">
        <f aca="false">IF(OR(AO935&lt;&gt;1,K935&lt;&gt;"Oui",O935=""),"",IF(AC935="",O935+DORA_H_DET/24,IF(AC935-O935&lt;=DORA_H_DET/24,MIN(AC935+DORA_H_CLA/24,O935+DORA_H_DET/24),AC935+DORA_H_CLA/24)))</f>
        <v/>
      </c>
      <c r="BS935" s="35" t="str">
        <f aca="true">IF(BR935="","",IF(AD935="",IF(NOW()&gt;BR935,0,""),IF(AD935&lt;=BR935,1,0)))</f>
        <v/>
      </c>
      <c r="BT935" s="35" t="str">
        <f aca="true">IF(OR(BR935="",AD935=""),"",IF(AE935="",IF(NOW()&gt;AD935+DORA_H_INT/24,0,""),IF(AE935&lt;=AD935+DORA_H_INT/24,1,0)))</f>
        <v/>
      </c>
      <c r="BU935" s="35" t="str">
        <f aca="true">IF(OR(BR935="",AE935=""),"",IF(AF935="",IF(NOW()&gt;EDATE(AE935,DORA_M_FIN)+1,0,""),IF(AF935&lt;=EDATE(AE935,DORA_M_FIN),1,0)))</f>
        <v/>
      </c>
      <c r="BV935" s="35" t="str">
        <f aca="false">IF(BR935="","",IF(COUNT(BS935:BU935)=0,"",MIN(BS935:BU935)))</f>
        <v/>
      </c>
      <c r="BW935" s="40" t="str">
        <f aca="false">IF(AQ935&lt;&gt;1,"",IF(AND(AG935="",AH935=""),"",N(AG935)-N(AH935)))</f>
        <v/>
      </c>
      <c r="BX935" s="35" t="str">
        <f aca="true">IF(OR(AQ935&lt;&gt;1,AI935&lt;&gt;"Oui",AJ935=""),"",IF(AK935="",IF(NOW()&gt;AJ935+1,0,""),IF(AK935&lt;=AJ935,1,0)))</f>
        <v/>
      </c>
    </row>
    <row r="936" customFormat="false" ht="15" hidden="false" customHeight="false" outlineLevel="0" collapsed="false">
      <c r="B936" s="29"/>
      <c r="C936" s="29"/>
      <c r="D936" s="29"/>
      <c r="E936" s="29"/>
      <c r="F936" s="29"/>
      <c r="G936" s="29"/>
      <c r="H936" s="29"/>
      <c r="I936" s="29"/>
      <c r="J936" s="29"/>
      <c r="K936" s="29"/>
      <c r="L936" s="29"/>
      <c r="M936" s="29"/>
      <c r="N936" s="30"/>
      <c r="O936" s="30"/>
      <c r="P936" s="30"/>
      <c r="Q936" s="30"/>
      <c r="R936" s="30"/>
      <c r="S936" s="30"/>
      <c r="T936" s="30"/>
      <c r="U936" s="30"/>
      <c r="V936" s="31"/>
      <c r="W936" s="29"/>
      <c r="X936" s="29"/>
      <c r="Y936" s="29"/>
      <c r="Z936" s="29"/>
      <c r="AA936" s="30"/>
      <c r="AB936" s="30"/>
      <c r="AC936" s="30"/>
      <c r="AD936" s="30"/>
      <c r="AE936" s="30"/>
      <c r="AF936" s="32"/>
      <c r="AG936" s="33"/>
      <c r="AH936" s="33"/>
      <c r="AI936" s="29"/>
      <c r="AJ936" s="32"/>
      <c r="AK936" s="32"/>
      <c r="AL936" s="29"/>
      <c r="AN936" s="34" t="str">
        <f aca="false">IF($B936="","",IF(OR(C936="",D936="",E936="",G936="",I936="",J936="",L936="",O936="",P936=""),"Champ obligatoire manquant",IF(OR(AND(N936&lt;&gt;"",N936&gt;O936),O936&gt;P936,AND(Q936&lt;&gt;"",Q936&lt;P936),AND(R936&lt;&gt;"",R936&lt;P936),AND(S936&lt;&gt;"",S936&lt;R936),AND(S936&lt;&gt;"",R936=""),AND(T936&lt;&gt;"",T936&lt;O936),AND(U936&lt;&gt;"",U936&lt;O936)),"Chronologie incohérente",IF(AND(OR(L936="Résolu",L936="Clos"),R936=""),"Date de résolution manquante",IF(AND(L936="Clos",S936=""),"Date de clôture manquante",IF(AND(K936="Oui",AC936=""),"Classification DORA manquante","OK"))))))</f>
        <v/>
      </c>
      <c r="AO936" s="35" t="str">
        <f aca="false">IF($B936="","",IF(AND(C936="Incident",L936&lt;&gt;"Annulé"),1,0))</f>
        <v/>
      </c>
      <c r="AP936" s="35" t="str">
        <f aca="false">IF($B936="","",IF(AND(C936="Quasi-incident",L936&lt;&gt;"Annulé"),1,0))</f>
        <v/>
      </c>
      <c r="AQ936" s="35" t="str">
        <f aca="false">IF($B936="","",AO936+AP936)</f>
        <v/>
      </c>
      <c r="AR936" s="36" t="str">
        <f aca="false">IF(OR($B936="",J936=""),"",IFERROR(VALUE(LEFT(J936,1)),""))</f>
        <v/>
      </c>
      <c r="AS936" s="35" t="str">
        <f aca="false">IF(OR(AO936&lt;&gt;1,G936=""),"",IFERROR(IF(INDEX(L_SrcInterne,MATCH(G936,L_Sources,0))="Oui",1,0),""))</f>
        <v/>
      </c>
      <c r="AT936" s="37" t="str">
        <f aca="false">IF(AO936&lt;&gt;1,"",IFERROR(ROUND(IF(OR(N936="",O936=""),"",IF(O936&lt;N936,"",ROUND(((NETWORKDAYS(N936,O936,JoursFeries)-1)*(HFer-HOuv)+IF(NETWORKDAYS(O936,O936,JoursFeries),MEDIAN(MOD(O936,1),HFer,HOuv),HFer)-IF(NETWORKDAYS(N936,N936,JoursFeries),MEDIAN(MOD(N936,1),HFer,HOuv),HOuv))*24,4)))/HJour,4),""))</f>
        <v/>
      </c>
      <c r="AU936" s="37" t="str">
        <f aca="false">IF(AO936&lt;&gt;1,"",IF(OR(O936="",P936=""),"",IF(P936&lt;O936,"",ROUND(((NETWORKDAYS(O936,P936,JoursFeries)-1)*(HFer-HOuv)+IF(NETWORKDAYS(P936,P936,JoursFeries),MEDIAN(MOD(P936,1),HFer,HOuv),HFer)-IF(NETWORKDAYS(O936,O936,JoursFeries),MEDIAN(MOD(O936,1),HFer,HOuv),HOuv))*24,4))))</f>
        <v/>
      </c>
      <c r="AV936" s="37" t="str">
        <f aca="false">IF(AO936&lt;&gt;1,"",IF(OR(P936="",Q936=""),"",IF(Q936&lt;P936,"",ROUND(((NETWORKDAYS(P936,Q936,JoursFeries)-1)*(HFer-HOuv)+IF(NETWORKDAYS(Q936,Q936,JoursFeries),MEDIAN(MOD(Q936,1),HFer,HOuv),HFer)-IF(NETWORKDAYS(P936,P936,JoursFeries),MEDIAN(MOD(P936,1),HFer,HOuv),HOuv))*24,4))))</f>
        <v/>
      </c>
      <c r="AW936" s="37" t="str">
        <f aca="false">IF(AO936&lt;&gt;1,"",IFERROR(ROUND(IF(OR(P936="",R936=""),"",IF(R936&lt;P936,"",ROUND(((NETWORKDAYS(P936,R936,JoursFeries)-1)*(HFer-HOuv)+IF(NETWORKDAYS(R936,R936,JoursFeries),MEDIAN(MOD(R936,1),HFer,HOuv),HFer)-IF(NETWORKDAYS(P936,P936,JoursFeries),MEDIAN(MOD(P936,1),HFer,HOuv),HOuv))*24,4)))/HJour,4),""))</f>
        <v/>
      </c>
      <c r="AX936" s="37" t="str">
        <f aca="false">IF(AO936&lt;&gt;1,"",IFERROR(ROUND(IF(OR(P936="",S936=""),"",IF(S936&lt;P936,"",ROUND(((NETWORKDAYS(P936,S936,JoursFeries)-1)*(HFer-HOuv)+IF(NETWORKDAYS(S936,S936,JoursFeries),MEDIAN(MOD(S936,1),HFer,HOuv),HFer)-IF(NETWORKDAYS(P936,P936,JoursFeries),MEDIAN(MOD(P936,1),HFer,HOuv),HOuv))*24,4)))/HJour,4),""))</f>
        <v/>
      </c>
      <c r="AY936" s="36" t="str">
        <f aca="false">IF(OR(AO936&lt;&gt;1,AR936=""),"",INDEX(SLA_PEC,AR936))</f>
        <v/>
      </c>
      <c r="AZ936" s="35" t="str">
        <f aca="false">IF(OR(AV936="",AY936=""),"",IF(AV936&lt;=AY936,1,0))</f>
        <v/>
      </c>
      <c r="BA936" s="36" t="str">
        <f aca="false">IF(OR(AO936&lt;&gt;1,AR936=""),"",INDEX(SLA_RES,AR936))</f>
        <v/>
      </c>
      <c r="BB936" s="35" t="str">
        <f aca="false">IF(OR(AW936="",BA936=""),"",IF(AW936&lt;=BA936,1,0))</f>
        <v/>
      </c>
      <c r="BC936" s="38" t="str">
        <f aca="false">IF(OR(BA936="",P936=""),"",WORKDAY(INT(P936),BA936,JoursFeries)+MOD(P936,1))</f>
        <v/>
      </c>
      <c r="BD936" s="39" t="str">
        <f aca="false">IF(AO936&lt;&gt;1,"",IF(OR(AB936&lt;&gt;"",AD936&lt;&gt;""),4,IF(U936&lt;&gt;"",3,IF(T936&lt;&gt;"",2,1))))</f>
        <v/>
      </c>
      <c r="BE936" s="39" t="str">
        <f aca="false">IF(OR(AO936&lt;&gt;1,AR936=""),"",INDEX(NIV_REQ,AR936))</f>
        <v/>
      </c>
      <c r="BF936" s="39" t="str">
        <f aca="false">IF(BE936="","",MAX(BE936,IF(OR(K936="Oui",Z936="Oui"),4,1)))</f>
        <v/>
      </c>
      <c r="BG936" s="35" t="str">
        <f aca="false">IF(OR(BF936="",BD936=""),"",IF(BD936&gt;=BF936,1,0))</f>
        <v/>
      </c>
      <c r="BH936" s="38" t="str">
        <f aca="false">IF(BE936="","",IF(BE936&lt;2,"",IF(BE936=2,IF(AND(T936="",U936=""),"",MIN(T936,U936)),IF(U936="","",U936))))</f>
        <v/>
      </c>
      <c r="BI936" s="37" t="str">
        <f aca="false">IF(BH936="","",IF(OR(O936="",BH936=""),"",IF(BH936&lt;O936,"",ROUND(((NETWORKDAYS(O936,BH936,JoursFeries)-1)*(HFer-HOuv)+IF(NETWORKDAYS(BH936,BH936,JoursFeries),MEDIAN(MOD(BH936,1),HFer,HOuv),HFer)-IF(NETWORKDAYS(O936,O936,JoursFeries),MEDIAN(MOD(O936,1),HFer,HOuv),HOuv))*24,4))))</f>
        <v/>
      </c>
      <c r="BJ936" s="35" t="str">
        <f aca="false">IF(OR(BI936="",AR936=""),"",IF(BI936&lt;=INDEX(DELAI_ESC,AR936),1,0))</f>
        <v/>
      </c>
      <c r="BK936" s="38" t="str">
        <f aca="false">IF(AO936&lt;&gt;1,"",IF(AND(T936="",U936=""),"",MIN(T936,U936)))</f>
        <v/>
      </c>
      <c r="BL936" s="37" t="str">
        <f aca="false">IF(OR(BK936="",R936=""),"",IFERROR(ROUND(IF(OR(BK936="",R936=""),"",IF(R936&lt;BK936,"",ROUND(((NETWORKDAYS(BK936,R936,JoursFeries)-1)*(HFer-HOuv)+IF(NETWORKDAYS(R936,R936,JoursFeries),MEDIAN(MOD(R936,1),HFer,HOuv),HFer)-IF(NETWORKDAYS(BK936,BK936,JoursFeries),MEDIAN(MOD(BK936,1),HFer,HOuv),HOuv))*24,4)))/HJour,4),""))</f>
        <v/>
      </c>
      <c r="BM936" s="35" t="str">
        <f aca="false">IF(OR(AO936&lt;&gt;1,R936=""),"",IF(BD936=1,1,0))</f>
        <v/>
      </c>
      <c r="BN936" s="35" t="str">
        <f aca="false">IF(AO936&lt;&gt;1,"",IF(W936="Oui",1,0))</f>
        <v/>
      </c>
      <c r="BO936" s="35" t="str">
        <f aca="false">IF(AO936&lt;&gt;1,"",IF(X936&lt;&gt;"",1,0))</f>
        <v/>
      </c>
      <c r="BP936" s="35" t="str">
        <f aca="false">IF(AO936&lt;&gt;1,"",IF(Y936="Oui",1,0))</f>
        <v/>
      </c>
      <c r="BQ936" s="35" t="str">
        <f aca="true">IF(OR(AO936&lt;&gt;1,Z936&lt;&gt;"Oui"),"",IF(AB936="",IF(AND(AA936&lt;&gt;"",NOW()&gt;AA936),0,""),IF(AA936="","",IF(AB936&lt;=AA936,1,0))))</f>
        <v/>
      </c>
      <c r="BR936" s="38" t="str">
        <f aca="false">IF(OR(AO936&lt;&gt;1,K936&lt;&gt;"Oui",O936=""),"",IF(AC936="",O936+DORA_H_DET/24,IF(AC936-O936&lt;=DORA_H_DET/24,MIN(AC936+DORA_H_CLA/24,O936+DORA_H_DET/24),AC936+DORA_H_CLA/24)))</f>
        <v/>
      </c>
      <c r="BS936" s="35" t="str">
        <f aca="true">IF(BR936="","",IF(AD936="",IF(NOW()&gt;BR936,0,""),IF(AD936&lt;=BR936,1,0)))</f>
        <v/>
      </c>
      <c r="BT936" s="35" t="str">
        <f aca="true">IF(OR(BR936="",AD936=""),"",IF(AE936="",IF(NOW()&gt;AD936+DORA_H_INT/24,0,""),IF(AE936&lt;=AD936+DORA_H_INT/24,1,0)))</f>
        <v/>
      </c>
      <c r="BU936" s="35" t="str">
        <f aca="true">IF(OR(BR936="",AE936=""),"",IF(AF936="",IF(NOW()&gt;EDATE(AE936,DORA_M_FIN)+1,0,""),IF(AF936&lt;=EDATE(AE936,DORA_M_FIN),1,0)))</f>
        <v/>
      </c>
      <c r="BV936" s="35" t="str">
        <f aca="false">IF(BR936="","",IF(COUNT(BS936:BU936)=0,"",MIN(BS936:BU936)))</f>
        <v/>
      </c>
      <c r="BW936" s="40" t="str">
        <f aca="false">IF(AQ936&lt;&gt;1,"",IF(AND(AG936="",AH936=""),"",N(AG936)-N(AH936)))</f>
        <v/>
      </c>
      <c r="BX936" s="35" t="str">
        <f aca="true">IF(OR(AQ936&lt;&gt;1,AI936&lt;&gt;"Oui",AJ936=""),"",IF(AK936="",IF(NOW()&gt;AJ936+1,0,""),IF(AK936&lt;=AJ936,1,0)))</f>
        <v/>
      </c>
    </row>
    <row r="937" customFormat="false" ht="15" hidden="false" customHeight="false" outlineLevel="0" collapsed="false">
      <c r="B937" s="29"/>
      <c r="C937" s="29"/>
      <c r="D937" s="29"/>
      <c r="E937" s="29"/>
      <c r="F937" s="29"/>
      <c r="G937" s="29"/>
      <c r="H937" s="29"/>
      <c r="I937" s="29"/>
      <c r="J937" s="29"/>
      <c r="K937" s="29"/>
      <c r="L937" s="29"/>
      <c r="M937" s="29"/>
      <c r="N937" s="30"/>
      <c r="O937" s="30"/>
      <c r="P937" s="30"/>
      <c r="Q937" s="30"/>
      <c r="R937" s="30"/>
      <c r="S937" s="30"/>
      <c r="T937" s="30"/>
      <c r="U937" s="30"/>
      <c r="V937" s="31"/>
      <c r="W937" s="29"/>
      <c r="X937" s="29"/>
      <c r="Y937" s="29"/>
      <c r="Z937" s="29"/>
      <c r="AA937" s="30"/>
      <c r="AB937" s="30"/>
      <c r="AC937" s="30"/>
      <c r="AD937" s="30"/>
      <c r="AE937" s="30"/>
      <c r="AF937" s="32"/>
      <c r="AG937" s="33"/>
      <c r="AH937" s="33"/>
      <c r="AI937" s="29"/>
      <c r="AJ937" s="32"/>
      <c r="AK937" s="32"/>
      <c r="AL937" s="29"/>
      <c r="AN937" s="34" t="str">
        <f aca="false">IF($B937="","",IF(OR(C937="",D937="",E937="",G937="",I937="",J937="",L937="",O937="",P937=""),"Champ obligatoire manquant",IF(OR(AND(N937&lt;&gt;"",N937&gt;O937),O937&gt;P937,AND(Q937&lt;&gt;"",Q937&lt;P937),AND(R937&lt;&gt;"",R937&lt;P937),AND(S937&lt;&gt;"",S937&lt;R937),AND(S937&lt;&gt;"",R937=""),AND(T937&lt;&gt;"",T937&lt;O937),AND(U937&lt;&gt;"",U937&lt;O937)),"Chronologie incohérente",IF(AND(OR(L937="Résolu",L937="Clos"),R937=""),"Date de résolution manquante",IF(AND(L937="Clos",S937=""),"Date de clôture manquante",IF(AND(K937="Oui",AC937=""),"Classification DORA manquante","OK"))))))</f>
        <v/>
      </c>
      <c r="AO937" s="35" t="str">
        <f aca="false">IF($B937="","",IF(AND(C937="Incident",L937&lt;&gt;"Annulé"),1,0))</f>
        <v/>
      </c>
      <c r="AP937" s="35" t="str">
        <f aca="false">IF($B937="","",IF(AND(C937="Quasi-incident",L937&lt;&gt;"Annulé"),1,0))</f>
        <v/>
      </c>
      <c r="AQ937" s="35" t="str">
        <f aca="false">IF($B937="","",AO937+AP937)</f>
        <v/>
      </c>
      <c r="AR937" s="36" t="str">
        <f aca="false">IF(OR($B937="",J937=""),"",IFERROR(VALUE(LEFT(J937,1)),""))</f>
        <v/>
      </c>
      <c r="AS937" s="35" t="str">
        <f aca="false">IF(OR(AO937&lt;&gt;1,G937=""),"",IFERROR(IF(INDEX(L_SrcInterne,MATCH(G937,L_Sources,0))="Oui",1,0),""))</f>
        <v/>
      </c>
      <c r="AT937" s="37" t="str">
        <f aca="false">IF(AO937&lt;&gt;1,"",IFERROR(ROUND(IF(OR(N937="",O937=""),"",IF(O937&lt;N937,"",ROUND(((NETWORKDAYS(N937,O937,JoursFeries)-1)*(HFer-HOuv)+IF(NETWORKDAYS(O937,O937,JoursFeries),MEDIAN(MOD(O937,1),HFer,HOuv),HFer)-IF(NETWORKDAYS(N937,N937,JoursFeries),MEDIAN(MOD(N937,1),HFer,HOuv),HOuv))*24,4)))/HJour,4),""))</f>
        <v/>
      </c>
      <c r="AU937" s="37" t="str">
        <f aca="false">IF(AO937&lt;&gt;1,"",IF(OR(O937="",P937=""),"",IF(P937&lt;O937,"",ROUND(((NETWORKDAYS(O937,P937,JoursFeries)-1)*(HFer-HOuv)+IF(NETWORKDAYS(P937,P937,JoursFeries),MEDIAN(MOD(P937,1),HFer,HOuv),HFer)-IF(NETWORKDAYS(O937,O937,JoursFeries),MEDIAN(MOD(O937,1),HFer,HOuv),HOuv))*24,4))))</f>
        <v/>
      </c>
      <c r="AV937" s="37" t="str">
        <f aca="false">IF(AO937&lt;&gt;1,"",IF(OR(P937="",Q937=""),"",IF(Q937&lt;P937,"",ROUND(((NETWORKDAYS(P937,Q937,JoursFeries)-1)*(HFer-HOuv)+IF(NETWORKDAYS(Q937,Q937,JoursFeries),MEDIAN(MOD(Q937,1),HFer,HOuv),HFer)-IF(NETWORKDAYS(P937,P937,JoursFeries),MEDIAN(MOD(P937,1),HFer,HOuv),HOuv))*24,4))))</f>
        <v/>
      </c>
      <c r="AW937" s="37" t="str">
        <f aca="false">IF(AO937&lt;&gt;1,"",IFERROR(ROUND(IF(OR(P937="",R937=""),"",IF(R937&lt;P937,"",ROUND(((NETWORKDAYS(P937,R937,JoursFeries)-1)*(HFer-HOuv)+IF(NETWORKDAYS(R937,R937,JoursFeries),MEDIAN(MOD(R937,1),HFer,HOuv),HFer)-IF(NETWORKDAYS(P937,P937,JoursFeries),MEDIAN(MOD(P937,1),HFer,HOuv),HOuv))*24,4)))/HJour,4),""))</f>
        <v/>
      </c>
      <c r="AX937" s="37" t="str">
        <f aca="false">IF(AO937&lt;&gt;1,"",IFERROR(ROUND(IF(OR(P937="",S937=""),"",IF(S937&lt;P937,"",ROUND(((NETWORKDAYS(P937,S937,JoursFeries)-1)*(HFer-HOuv)+IF(NETWORKDAYS(S937,S937,JoursFeries),MEDIAN(MOD(S937,1),HFer,HOuv),HFer)-IF(NETWORKDAYS(P937,P937,JoursFeries),MEDIAN(MOD(P937,1),HFer,HOuv),HOuv))*24,4)))/HJour,4),""))</f>
        <v/>
      </c>
      <c r="AY937" s="36" t="str">
        <f aca="false">IF(OR(AO937&lt;&gt;1,AR937=""),"",INDEX(SLA_PEC,AR937))</f>
        <v/>
      </c>
      <c r="AZ937" s="35" t="str">
        <f aca="false">IF(OR(AV937="",AY937=""),"",IF(AV937&lt;=AY937,1,0))</f>
        <v/>
      </c>
      <c r="BA937" s="36" t="str">
        <f aca="false">IF(OR(AO937&lt;&gt;1,AR937=""),"",INDEX(SLA_RES,AR937))</f>
        <v/>
      </c>
      <c r="BB937" s="35" t="str">
        <f aca="false">IF(OR(AW937="",BA937=""),"",IF(AW937&lt;=BA937,1,0))</f>
        <v/>
      </c>
      <c r="BC937" s="38" t="str">
        <f aca="false">IF(OR(BA937="",P937=""),"",WORKDAY(INT(P937),BA937,JoursFeries)+MOD(P937,1))</f>
        <v/>
      </c>
      <c r="BD937" s="39" t="str">
        <f aca="false">IF(AO937&lt;&gt;1,"",IF(OR(AB937&lt;&gt;"",AD937&lt;&gt;""),4,IF(U937&lt;&gt;"",3,IF(T937&lt;&gt;"",2,1))))</f>
        <v/>
      </c>
      <c r="BE937" s="39" t="str">
        <f aca="false">IF(OR(AO937&lt;&gt;1,AR937=""),"",INDEX(NIV_REQ,AR937))</f>
        <v/>
      </c>
      <c r="BF937" s="39" t="str">
        <f aca="false">IF(BE937="","",MAX(BE937,IF(OR(K937="Oui",Z937="Oui"),4,1)))</f>
        <v/>
      </c>
      <c r="BG937" s="35" t="str">
        <f aca="false">IF(OR(BF937="",BD937=""),"",IF(BD937&gt;=BF937,1,0))</f>
        <v/>
      </c>
      <c r="BH937" s="38" t="str">
        <f aca="false">IF(BE937="","",IF(BE937&lt;2,"",IF(BE937=2,IF(AND(T937="",U937=""),"",MIN(T937,U937)),IF(U937="","",U937))))</f>
        <v/>
      </c>
      <c r="BI937" s="37" t="str">
        <f aca="false">IF(BH937="","",IF(OR(O937="",BH937=""),"",IF(BH937&lt;O937,"",ROUND(((NETWORKDAYS(O937,BH937,JoursFeries)-1)*(HFer-HOuv)+IF(NETWORKDAYS(BH937,BH937,JoursFeries),MEDIAN(MOD(BH937,1),HFer,HOuv),HFer)-IF(NETWORKDAYS(O937,O937,JoursFeries),MEDIAN(MOD(O937,1),HFer,HOuv),HOuv))*24,4))))</f>
        <v/>
      </c>
      <c r="BJ937" s="35" t="str">
        <f aca="false">IF(OR(BI937="",AR937=""),"",IF(BI937&lt;=INDEX(DELAI_ESC,AR937),1,0))</f>
        <v/>
      </c>
      <c r="BK937" s="38" t="str">
        <f aca="false">IF(AO937&lt;&gt;1,"",IF(AND(T937="",U937=""),"",MIN(T937,U937)))</f>
        <v/>
      </c>
      <c r="BL937" s="37" t="str">
        <f aca="false">IF(OR(BK937="",R937=""),"",IFERROR(ROUND(IF(OR(BK937="",R937=""),"",IF(R937&lt;BK937,"",ROUND(((NETWORKDAYS(BK937,R937,JoursFeries)-1)*(HFer-HOuv)+IF(NETWORKDAYS(R937,R937,JoursFeries),MEDIAN(MOD(R937,1),HFer,HOuv),HFer)-IF(NETWORKDAYS(BK937,BK937,JoursFeries),MEDIAN(MOD(BK937,1),HFer,HOuv),HOuv))*24,4)))/HJour,4),""))</f>
        <v/>
      </c>
      <c r="BM937" s="35" t="str">
        <f aca="false">IF(OR(AO937&lt;&gt;1,R937=""),"",IF(BD937=1,1,0))</f>
        <v/>
      </c>
      <c r="BN937" s="35" t="str">
        <f aca="false">IF(AO937&lt;&gt;1,"",IF(W937="Oui",1,0))</f>
        <v/>
      </c>
      <c r="BO937" s="35" t="str">
        <f aca="false">IF(AO937&lt;&gt;1,"",IF(X937&lt;&gt;"",1,0))</f>
        <v/>
      </c>
      <c r="BP937" s="35" t="str">
        <f aca="false">IF(AO937&lt;&gt;1,"",IF(Y937="Oui",1,0))</f>
        <v/>
      </c>
      <c r="BQ937" s="35" t="str">
        <f aca="true">IF(OR(AO937&lt;&gt;1,Z937&lt;&gt;"Oui"),"",IF(AB937="",IF(AND(AA937&lt;&gt;"",NOW()&gt;AA937),0,""),IF(AA937="","",IF(AB937&lt;=AA937,1,0))))</f>
        <v/>
      </c>
      <c r="BR937" s="38" t="str">
        <f aca="false">IF(OR(AO937&lt;&gt;1,K937&lt;&gt;"Oui",O937=""),"",IF(AC937="",O937+DORA_H_DET/24,IF(AC937-O937&lt;=DORA_H_DET/24,MIN(AC937+DORA_H_CLA/24,O937+DORA_H_DET/24),AC937+DORA_H_CLA/24)))</f>
        <v/>
      </c>
      <c r="BS937" s="35" t="str">
        <f aca="true">IF(BR937="","",IF(AD937="",IF(NOW()&gt;BR937,0,""),IF(AD937&lt;=BR937,1,0)))</f>
        <v/>
      </c>
      <c r="BT937" s="35" t="str">
        <f aca="true">IF(OR(BR937="",AD937=""),"",IF(AE937="",IF(NOW()&gt;AD937+DORA_H_INT/24,0,""),IF(AE937&lt;=AD937+DORA_H_INT/24,1,0)))</f>
        <v/>
      </c>
      <c r="BU937" s="35" t="str">
        <f aca="true">IF(OR(BR937="",AE937=""),"",IF(AF937="",IF(NOW()&gt;EDATE(AE937,DORA_M_FIN)+1,0,""),IF(AF937&lt;=EDATE(AE937,DORA_M_FIN),1,0)))</f>
        <v/>
      </c>
      <c r="BV937" s="35" t="str">
        <f aca="false">IF(BR937="","",IF(COUNT(BS937:BU937)=0,"",MIN(BS937:BU937)))</f>
        <v/>
      </c>
      <c r="BW937" s="40" t="str">
        <f aca="false">IF(AQ937&lt;&gt;1,"",IF(AND(AG937="",AH937=""),"",N(AG937)-N(AH937)))</f>
        <v/>
      </c>
      <c r="BX937" s="35" t="str">
        <f aca="true">IF(OR(AQ937&lt;&gt;1,AI937&lt;&gt;"Oui",AJ937=""),"",IF(AK937="",IF(NOW()&gt;AJ937+1,0,""),IF(AK937&lt;=AJ937,1,0)))</f>
        <v/>
      </c>
    </row>
    <row r="938" customFormat="false" ht="15" hidden="false" customHeight="false" outlineLevel="0" collapsed="false">
      <c r="B938" s="29"/>
      <c r="C938" s="29"/>
      <c r="D938" s="29"/>
      <c r="E938" s="29"/>
      <c r="F938" s="29"/>
      <c r="G938" s="29"/>
      <c r="H938" s="29"/>
      <c r="I938" s="29"/>
      <c r="J938" s="29"/>
      <c r="K938" s="29"/>
      <c r="L938" s="29"/>
      <c r="M938" s="29"/>
      <c r="N938" s="30"/>
      <c r="O938" s="30"/>
      <c r="P938" s="30"/>
      <c r="Q938" s="30"/>
      <c r="R938" s="30"/>
      <c r="S938" s="30"/>
      <c r="T938" s="30"/>
      <c r="U938" s="30"/>
      <c r="V938" s="31"/>
      <c r="W938" s="29"/>
      <c r="X938" s="29"/>
      <c r="Y938" s="29"/>
      <c r="Z938" s="29"/>
      <c r="AA938" s="30"/>
      <c r="AB938" s="30"/>
      <c r="AC938" s="30"/>
      <c r="AD938" s="30"/>
      <c r="AE938" s="30"/>
      <c r="AF938" s="32"/>
      <c r="AG938" s="33"/>
      <c r="AH938" s="33"/>
      <c r="AI938" s="29"/>
      <c r="AJ938" s="32"/>
      <c r="AK938" s="32"/>
      <c r="AL938" s="29"/>
      <c r="AN938" s="34" t="str">
        <f aca="false">IF($B938="","",IF(OR(C938="",D938="",E938="",G938="",I938="",J938="",L938="",O938="",P938=""),"Champ obligatoire manquant",IF(OR(AND(N938&lt;&gt;"",N938&gt;O938),O938&gt;P938,AND(Q938&lt;&gt;"",Q938&lt;P938),AND(R938&lt;&gt;"",R938&lt;P938),AND(S938&lt;&gt;"",S938&lt;R938),AND(S938&lt;&gt;"",R938=""),AND(T938&lt;&gt;"",T938&lt;O938),AND(U938&lt;&gt;"",U938&lt;O938)),"Chronologie incohérente",IF(AND(OR(L938="Résolu",L938="Clos"),R938=""),"Date de résolution manquante",IF(AND(L938="Clos",S938=""),"Date de clôture manquante",IF(AND(K938="Oui",AC938=""),"Classification DORA manquante","OK"))))))</f>
        <v/>
      </c>
      <c r="AO938" s="35" t="str">
        <f aca="false">IF($B938="","",IF(AND(C938="Incident",L938&lt;&gt;"Annulé"),1,0))</f>
        <v/>
      </c>
      <c r="AP938" s="35" t="str">
        <f aca="false">IF($B938="","",IF(AND(C938="Quasi-incident",L938&lt;&gt;"Annulé"),1,0))</f>
        <v/>
      </c>
      <c r="AQ938" s="35" t="str">
        <f aca="false">IF($B938="","",AO938+AP938)</f>
        <v/>
      </c>
      <c r="AR938" s="36" t="str">
        <f aca="false">IF(OR($B938="",J938=""),"",IFERROR(VALUE(LEFT(J938,1)),""))</f>
        <v/>
      </c>
      <c r="AS938" s="35" t="str">
        <f aca="false">IF(OR(AO938&lt;&gt;1,G938=""),"",IFERROR(IF(INDEX(L_SrcInterne,MATCH(G938,L_Sources,0))="Oui",1,0),""))</f>
        <v/>
      </c>
      <c r="AT938" s="37" t="str">
        <f aca="false">IF(AO938&lt;&gt;1,"",IFERROR(ROUND(IF(OR(N938="",O938=""),"",IF(O938&lt;N938,"",ROUND(((NETWORKDAYS(N938,O938,JoursFeries)-1)*(HFer-HOuv)+IF(NETWORKDAYS(O938,O938,JoursFeries),MEDIAN(MOD(O938,1),HFer,HOuv),HFer)-IF(NETWORKDAYS(N938,N938,JoursFeries),MEDIAN(MOD(N938,1),HFer,HOuv),HOuv))*24,4)))/HJour,4),""))</f>
        <v/>
      </c>
      <c r="AU938" s="37" t="str">
        <f aca="false">IF(AO938&lt;&gt;1,"",IF(OR(O938="",P938=""),"",IF(P938&lt;O938,"",ROUND(((NETWORKDAYS(O938,P938,JoursFeries)-1)*(HFer-HOuv)+IF(NETWORKDAYS(P938,P938,JoursFeries),MEDIAN(MOD(P938,1),HFer,HOuv),HFer)-IF(NETWORKDAYS(O938,O938,JoursFeries),MEDIAN(MOD(O938,1),HFer,HOuv),HOuv))*24,4))))</f>
        <v/>
      </c>
      <c r="AV938" s="37" t="str">
        <f aca="false">IF(AO938&lt;&gt;1,"",IF(OR(P938="",Q938=""),"",IF(Q938&lt;P938,"",ROUND(((NETWORKDAYS(P938,Q938,JoursFeries)-1)*(HFer-HOuv)+IF(NETWORKDAYS(Q938,Q938,JoursFeries),MEDIAN(MOD(Q938,1),HFer,HOuv),HFer)-IF(NETWORKDAYS(P938,P938,JoursFeries),MEDIAN(MOD(P938,1),HFer,HOuv),HOuv))*24,4))))</f>
        <v/>
      </c>
      <c r="AW938" s="37" t="str">
        <f aca="false">IF(AO938&lt;&gt;1,"",IFERROR(ROUND(IF(OR(P938="",R938=""),"",IF(R938&lt;P938,"",ROUND(((NETWORKDAYS(P938,R938,JoursFeries)-1)*(HFer-HOuv)+IF(NETWORKDAYS(R938,R938,JoursFeries),MEDIAN(MOD(R938,1),HFer,HOuv),HFer)-IF(NETWORKDAYS(P938,P938,JoursFeries),MEDIAN(MOD(P938,1),HFer,HOuv),HOuv))*24,4)))/HJour,4),""))</f>
        <v/>
      </c>
      <c r="AX938" s="37" t="str">
        <f aca="false">IF(AO938&lt;&gt;1,"",IFERROR(ROUND(IF(OR(P938="",S938=""),"",IF(S938&lt;P938,"",ROUND(((NETWORKDAYS(P938,S938,JoursFeries)-1)*(HFer-HOuv)+IF(NETWORKDAYS(S938,S938,JoursFeries),MEDIAN(MOD(S938,1),HFer,HOuv),HFer)-IF(NETWORKDAYS(P938,P938,JoursFeries),MEDIAN(MOD(P938,1),HFer,HOuv),HOuv))*24,4)))/HJour,4),""))</f>
        <v/>
      </c>
      <c r="AY938" s="36" t="str">
        <f aca="false">IF(OR(AO938&lt;&gt;1,AR938=""),"",INDEX(SLA_PEC,AR938))</f>
        <v/>
      </c>
      <c r="AZ938" s="35" t="str">
        <f aca="false">IF(OR(AV938="",AY938=""),"",IF(AV938&lt;=AY938,1,0))</f>
        <v/>
      </c>
      <c r="BA938" s="36" t="str">
        <f aca="false">IF(OR(AO938&lt;&gt;1,AR938=""),"",INDEX(SLA_RES,AR938))</f>
        <v/>
      </c>
      <c r="BB938" s="35" t="str">
        <f aca="false">IF(OR(AW938="",BA938=""),"",IF(AW938&lt;=BA938,1,0))</f>
        <v/>
      </c>
      <c r="BC938" s="38" t="str">
        <f aca="false">IF(OR(BA938="",P938=""),"",WORKDAY(INT(P938),BA938,JoursFeries)+MOD(P938,1))</f>
        <v/>
      </c>
      <c r="BD938" s="39" t="str">
        <f aca="false">IF(AO938&lt;&gt;1,"",IF(OR(AB938&lt;&gt;"",AD938&lt;&gt;""),4,IF(U938&lt;&gt;"",3,IF(T938&lt;&gt;"",2,1))))</f>
        <v/>
      </c>
      <c r="BE938" s="39" t="str">
        <f aca="false">IF(OR(AO938&lt;&gt;1,AR938=""),"",INDEX(NIV_REQ,AR938))</f>
        <v/>
      </c>
      <c r="BF938" s="39" t="str">
        <f aca="false">IF(BE938="","",MAX(BE938,IF(OR(K938="Oui",Z938="Oui"),4,1)))</f>
        <v/>
      </c>
      <c r="BG938" s="35" t="str">
        <f aca="false">IF(OR(BF938="",BD938=""),"",IF(BD938&gt;=BF938,1,0))</f>
        <v/>
      </c>
      <c r="BH938" s="38" t="str">
        <f aca="false">IF(BE938="","",IF(BE938&lt;2,"",IF(BE938=2,IF(AND(T938="",U938=""),"",MIN(T938,U938)),IF(U938="","",U938))))</f>
        <v/>
      </c>
      <c r="BI938" s="37" t="str">
        <f aca="false">IF(BH938="","",IF(OR(O938="",BH938=""),"",IF(BH938&lt;O938,"",ROUND(((NETWORKDAYS(O938,BH938,JoursFeries)-1)*(HFer-HOuv)+IF(NETWORKDAYS(BH938,BH938,JoursFeries),MEDIAN(MOD(BH938,1),HFer,HOuv),HFer)-IF(NETWORKDAYS(O938,O938,JoursFeries),MEDIAN(MOD(O938,1),HFer,HOuv),HOuv))*24,4))))</f>
        <v/>
      </c>
      <c r="BJ938" s="35" t="str">
        <f aca="false">IF(OR(BI938="",AR938=""),"",IF(BI938&lt;=INDEX(DELAI_ESC,AR938),1,0))</f>
        <v/>
      </c>
      <c r="BK938" s="38" t="str">
        <f aca="false">IF(AO938&lt;&gt;1,"",IF(AND(T938="",U938=""),"",MIN(T938,U938)))</f>
        <v/>
      </c>
      <c r="BL938" s="37" t="str">
        <f aca="false">IF(OR(BK938="",R938=""),"",IFERROR(ROUND(IF(OR(BK938="",R938=""),"",IF(R938&lt;BK938,"",ROUND(((NETWORKDAYS(BK938,R938,JoursFeries)-1)*(HFer-HOuv)+IF(NETWORKDAYS(R938,R938,JoursFeries),MEDIAN(MOD(R938,1),HFer,HOuv),HFer)-IF(NETWORKDAYS(BK938,BK938,JoursFeries),MEDIAN(MOD(BK938,1),HFer,HOuv),HOuv))*24,4)))/HJour,4),""))</f>
        <v/>
      </c>
      <c r="BM938" s="35" t="str">
        <f aca="false">IF(OR(AO938&lt;&gt;1,R938=""),"",IF(BD938=1,1,0))</f>
        <v/>
      </c>
      <c r="BN938" s="35" t="str">
        <f aca="false">IF(AO938&lt;&gt;1,"",IF(W938="Oui",1,0))</f>
        <v/>
      </c>
      <c r="BO938" s="35" t="str">
        <f aca="false">IF(AO938&lt;&gt;1,"",IF(X938&lt;&gt;"",1,0))</f>
        <v/>
      </c>
      <c r="BP938" s="35" t="str">
        <f aca="false">IF(AO938&lt;&gt;1,"",IF(Y938="Oui",1,0))</f>
        <v/>
      </c>
      <c r="BQ938" s="35" t="str">
        <f aca="true">IF(OR(AO938&lt;&gt;1,Z938&lt;&gt;"Oui"),"",IF(AB938="",IF(AND(AA938&lt;&gt;"",NOW()&gt;AA938),0,""),IF(AA938="","",IF(AB938&lt;=AA938,1,0))))</f>
        <v/>
      </c>
      <c r="BR938" s="38" t="str">
        <f aca="false">IF(OR(AO938&lt;&gt;1,K938&lt;&gt;"Oui",O938=""),"",IF(AC938="",O938+DORA_H_DET/24,IF(AC938-O938&lt;=DORA_H_DET/24,MIN(AC938+DORA_H_CLA/24,O938+DORA_H_DET/24),AC938+DORA_H_CLA/24)))</f>
        <v/>
      </c>
      <c r="BS938" s="35" t="str">
        <f aca="true">IF(BR938="","",IF(AD938="",IF(NOW()&gt;BR938,0,""),IF(AD938&lt;=BR938,1,0)))</f>
        <v/>
      </c>
      <c r="BT938" s="35" t="str">
        <f aca="true">IF(OR(BR938="",AD938=""),"",IF(AE938="",IF(NOW()&gt;AD938+DORA_H_INT/24,0,""),IF(AE938&lt;=AD938+DORA_H_INT/24,1,0)))</f>
        <v/>
      </c>
      <c r="BU938" s="35" t="str">
        <f aca="true">IF(OR(BR938="",AE938=""),"",IF(AF938="",IF(NOW()&gt;EDATE(AE938,DORA_M_FIN)+1,0,""),IF(AF938&lt;=EDATE(AE938,DORA_M_FIN),1,0)))</f>
        <v/>
      </c>
      <c r="BV938" s="35" t="str">
        <f aca="false">IF(BR938="","",IF(COUNT(BS938:BU938)=0,"",MIN(BS938:BU938)))</f>
        <v/>
      </c>
      <c r="BW938" s="40" t="str">
        <f aca="false">IF(AQ938&lt;&gt;1,"",IF(AND(AG938="",AH938=""),"",N(AG938)-N(AH938)))</f>
        <v/>
      </c>
      <c r="BX938" s="35" t="str">
        <f aca="true">IF(OR(AQ938&lt;&gt;1,AI938&lt;&gt;"Oui",AJ938=""),"",IF(AK938="",IF(NOW()&gt;AJ938+1,0,""),IF(AK938&lt;=AJ938,1,0)))</f>
        <v/>
      </c>
    </row>
    <row r="939" customFormat="false" ht="15" hidden="false" customHeight="false" outlineLevel="0" collapsed="false">
      <c r="B939" s="29"/>
      <c r="C939" s="29"/>
      <c r="D939" s="29"/>
      <c r="E939" s="29"/>
      <c r="F939" s="29"/>
      <c r="G939" s="29"/>
      <c r="H939" s="29"/>
      <c r="I939" s="29"/>
      <c r="J939" s="29"/>
      <c r="K939" s="29"/>
      <c r="L939" s="29"/>
      <c r="M939" s="29"/>
      <c r="N939" s="30"/>
      <c r="O939" s="30"/>
      <c r="P939" s="30"/>
      <c r="Q939" s="30"/>
      <c r="R939" s="30"/>
      <c r="S939" s="30"/>
      <c r="T939" s="30"/>
      <c r="U939" s="30"/>
      <c r="V939" s="31"/>
      <c r="W939" s="29"/>
      <c r="X939" s="29"/>
      <c r="Y939" s="29"/>
      <c r="Z939" s="29"/>
      <c r="AA939" s="30"/>
      <c r="AB939" s="30"/>
      <c r="AC939" s="30"/>
      <c r="AD939" s="30"/>
      <c r="AE939" s="30"/>
      <c r="AF939" s="32"/>
      <c r="AG939" s="33"/>
      <c r="AH939" s="33"/>
      <c r="AI939" s="29"/>
      <c r="AJ939" s="32"/>
      <c r="AK939" s="32"/>
      <c r="AL939" s="29"/>
      <c r="AN939" s="34" t="str">
        <f aca="false">IF($B939="","",IF(OR(C939="",D939="",E939="",G939="",I939="",J939="",L939="",O939="",P939=""),"Champ obligatoire manquant",IF(OR(AND(N939&lt;&gt;"",N939&gt;O939),O939&gt;P939,AND(Q939&lt;&gt;"",Q939&lt;P939),AND(R939&lt;&gt;"",R939&lt;P939),AND(S939&lt;&gt;"",S939&lt;R939),AND(S939&lt;&gt;"",R939=""),AND(T939&lt;&gt;"",T939&lt;O939),AND(U939&lt;&gt;"",U939&lt;O939)),"Chronologie incohérente",IF(AND(OR(L939="Résolu",L939="Clos"),R939=""),"Date de résolution manquante",IF(AND(L939="Clos",S939=""),"Date de clôture manquante",IF(AND(K939="Oui",AC939=""),"Classification DORA manquante","OK"))))))</f>
        <v/>
      </c>
      <c r="AO939" s="35" t="str">
        <f aca="false">IF($B939="","",IF(AND(C939="Incident",L939&lt;&gt;"Annulé"),1,0))</f>
        <v/>
      </c>
      <c r="AP939" s="35" t="str">
        <f aca="false">IF($B939="","",IF(AND(C939="Quasi-incident",L939&lt;&gt;"Annulé"),1,0))</f>
        <v/>
      </c>
      <c r="AQ939" s="35" t="str">
        <f aca="false">IF($B939="","",AO939+AP939)</f>
        <v/>
      </c>
      <c r="AR939" s="36" t="str">
        <f aca="false">IF(OR($B939="",J939=""),"",IFERROR(VALUE(LEFT(J939,1)),""))</f>
        <v/>
      </c>
      <c r="AS939" s="35" t="str">
        <f aca="false">IF(OR(AO939&lt;&gt;1,G939=""),"",IFERROR(IF(INDEX(L_SrcInterne,MATCH(G939,L_Sources,0))="Oui",1,0),""))</f>
        <v/>
      </c>
      <c r="AT939" s="37" t="str">
        <f aca="false">IF(AO939&lt;&gt;1,"",IFERROR(ROUND(IF(OR(N939="",O939=""),"",IF(O939&lt;N939,"",ROUND(((NETWORKDAYS(N939,O939,JoursFeries)-1)*(HFer-HOuv)+IF(NETWORKDAYS(O939,O939,JoursFeries),MEDIAN(MOD(O939,1),HFer,HOuv),HFer)-IF(NETWORKDAYS(N939,N939,JoursFeries),MEDIAN(MOD(N939,1),HFer,HOuv),HOuv))*24,4)))/HJour,4),""))</f>
        <v/>
      </c>
      <c r="AU939" s="37" t="str">
        <f aca="false">IF(AO939&lt;&gt;1,"",IF(OR(O939="",P939=""),"",IF(P939&lt;O939,"",ROUND(((NETWORKDAYS(O939,P939,JoursFeries)-1)*(HFer-HOuv)+IF(NETWORKDAYS(P939,P939,JoursFeries),MEDIAN(MOD(P939,1),HFer,HOuv),HFer)-IF(NETWORKDAYS(O939,O939,JoursFeries),MEDIAN(MOD(O939,1),HFer,HOuv),HOuv))*24,4))))</f>
        <v/>
      </c>
      <c r="AV939" s="37" t="str">
        <f aca="false">IF(AO939&lt;&gt;1,"",IF(OR(P939="",Q939=""),"",IF(Q939&lt;P939,"",ROUND(((NETWORKDAYS(P939,Q939,JoursFeries)-1)*(HFer-HOuv)+IF(NETWORKDAYS(Q939,Q939,JoursFeries),MEDIAN(MOD(Q939,1),HFer,HOuv),HFer)-IF(NETWORKDAYS(P939,P939,JoursFeries),MEDIAN(MOD(P939,1),HFer,HOuv),HOuv))*24,4))))</f>
        <v/>
      </c>
      <c r="AW939" s="37" t="str">
        <f aca="false">IF(AO939&lt;&gt;1,"",IFERROR(ROUND(IF(OR(P939="",R939=""),"",IF(R939&lt;P939,"",ROUND(((NETWORKDAYS(P939,R939,JoursFeries)-1)*(HFer-HOuv)+IF(NETWORKDAYS(R939,R939,JoursFeries),MEDIAN(MOD(R939,1),HFer,HOuv),HFer)-IF(NETWORKDAYS(P939,P939,JoursFeries),MEDIAN(MOD(P939,1),HFer,HOuv),HOuv))*24,4)))/HJour,4),""))</f>
        <v/>
      </c>
      <c r="AX939" s="37" t="str">
        <f aca="false">IF(AO939&lt;&gt;1,"",IFERROR(ROUND(IF(OR(P939="",S939=""),"",IF(S939&lt;P939,"",ROUND(((NETWORKDAYS(P939,S939,JoursFeries)-1)*(HFer-HOuv)+IF(NETWORKDAYS(S939,S939,JoursFeries),MEDIAN(MOD(S939,1),HFer,HOuv),HFer)-IF(NETWORKDAYS(P939,P939,JoursFeries),MEDIAN(MOD(P939,1),HFer,HOuv),HOuv))*24,4)))/HJour,4),""))</f>
        <v/>
      </c>
      <c r="AY939" s="36" t="str">
        <f aca="false">IF(OR(AO939&lt;&gt;1,AR939=""),"",INDEX(SLA_PEC,AR939))</f>
        <v/>
      </c>
      <c r="AZ939" s="35" t="str">
        <f aca="false">IF(OR(AV939="",AY939=""),"",IF(AV939&lt;=AY939,1,0))</f>
        <v/>
      </c>
      <c r="BA939" s="36" t="str">
        <f aca="false">IF(OR(AO939&lt;&gt;1,AR939=""),"",INDEX(SLA_RES,AR939))</f>
        <v/>
      </c>
      <c r="BB939" s="35" t="str">
        <f aca="false">IF(OR(AW939="",BA939=""),"",IF(AW939&lt;=BA939,1,0))</f>
        <v/>
      </c>
      <c r="BC939" s="38" t="str">
        <f aca="false">IF(OR(BA939="",P939=""),"",WORKDAY(INT(P939),BA939,JoursFeries)+MOD(P939,1))</f>
        <v/>
      </c>
      <c r="BD939" s="39" t="str">
        <f aca="false">IF(AO939&lt;&gt;1,"",IF(OR(AB939&lt;&gt;"",AD939&lt;&gt;""),4,IF(U939&lt;&gt;"",3,IF(T939&lt;&gt;"",2,1))))</f>
        <v/>
      </c>
      <c r="BE939" s="39" t="str">
        <f aca="false">IF(OR(AO939&lt;&gt;1,AR939=""),"",INDEX(NIV_REQ,AR939))</f>
        <v/>
      </c>
      <c r="BF939" s="39" t="str">
        <f aca="false">IF(BE939="","",MAX(BE939,IF(OR(K939="Oui",Z939="Oui"),4,1)))</f>
        <v/>
      </c>
      <c r="BG939" s="35" t="str">
        <f aca="false">IF(OR(BF939="",BD939=""),"",IF(BD939&gt;=BF939,1,0))</f>
        <v/>
      </c>
      <c r="BH939" s="38" t="str">
        <f aca="false">IF(BE939="","",IF(BE939&lt;2,"",IF(BE939=2,IF(AND(T939="",U939=""),"",MIN(T939,U939)),IF(U939="","",U939))))</f>
        <v/>
      </c>
      <c r="BI939" s="37" t="str">
        <f aca="false">IF(BH939="","",IF(OR(O939="",BH939=""),"",IF(BH939&lt;O939,"",ROUND(((NETWORKDAYS(O939,BH939,JoursFeries)-1)*(HFer-HOuv)+IF(NETWORKDAYS(BH939,BH939,JoursFeries),MEDIAN(MOD(BH939,1),HFer,HOuv),HFer)-IF(NETWORKDAYS(O939,O939,JoursFeries),MEDIAN(MOD(O939,1),HFer,HOuv),HOuv))*24,4))))</f>
        <v/>
      </c>
      <c r="BJ939" s="35" t="str">
        <f aca="false">IF(OR(BI939="",AR939=""),"",IF(BI939&lt;=INDEX(DELAI_ESC,AR939),1,0))</f>
        <v/>
      </c>
      <c r="BK939" s="38" t="str">
        <f aca="false">IF(AO939&lt;&gt;1,"",IF(AND(T939="",U939=""),"",MIN(T939,U939)))</f>
        <v/>
      </c>
      <c r="BL939" s="37" t="str">
        <f aca="false">IF(OR(BK939="",R939=""),"",IFERROR(ROUND(IF(OR(BK939="",R939=""),"",IF(R939&lt;BK939,"",ROUND(((NETWORKDAYS(BK939,R939,JoursFeries)-1)*(HFer-HOuv)+IF(NETWORKDAYS(R939,R939,JoursFeries),MEDIAN(MOD(R939,1),HFer,HOuv),HFer)-IF(NETWORKDAYS(BK939,BK939,JoursFeries),MEDIAN(MOD(BK939,1),HFer,HOuv),HOuv))*24,4)))/HJour,4),""))</f>
        <v/>
      </c>
      <c r="BM939" s="35" t="str">
        <f aca="false">IF(OR(AO939&lt;&gt;1,R939=""),"",IF(BD939=1,1,0))</f>
        <v/>
      </c>
      <c r="BN939" s="35" t="str">
        <f aca="false">IF(AO939&lt;&gt;1,"",IF(W939="Oui",1,0))</f>
        <v/>
      </c>
      <c r="BO939" s="35" t="str">
        <f aca="false">IF(AO939&lt;&gt;1,"",IF(X939&lt;&gt;"",1,0))</f>
        <v/>
      </c>
      <c r="BP939" s="35" t="str">
        <f aca="false">IF(AO939&lt;&gt;1,"",IF(Y939="Oui",1,0))</f>
        <v/>
      </c>
      <c r="BQ939" s="35" t="str">
        <f aca="true">IF(OR(AO939&lt;&gt;1,Z939&lt;&gt;"Oui"),"",IF(AB939="",IF(AND(AA939&lt;&gt;"",NOW()&gt;AA939),0,""),IF(AA939="","",IF(AB939&lt;=AA939,1,0))))</f>
        <v/>
      </c>
      <c r="BR939" s="38" t="str">
        <f aca="false">IF(OR(AO939&lt;&gt;1,K939&lt;&gt;"Oui",O939=""),"",IF(AC939="",O939+DORA_H_DET/24,IF(AC939-O939&lt;=DORA_H_DET/24,MIN(AC939+DORA_H_CLA/24,O939+DORA_H_DET/24),AC939+DORA_H_CLA/24)))</f>
        <v/>
      </c>
      <c r="BS939" s="35" t="str">
        <f aca="true">IF(BR939="","",IF(AD939="",IF(NOW()&gt;BR939,0,""),IF(AD939&lt;=BR939,1,0)))</f>
        <v/>
      </c>
      <c r="BT939" s="35" t="str">
        <f aca="true">IF(OR(BR939="",AD939=""),"",IF(AE939="",IF(NOW()&gt;AD939+DORA_H_INT/24,0,""),IF(AE939&lt;=AD939+DORA_H_INT/24,1,0)))</f>
        <v/>
      </c>
      <c r="BU939" s="35" t="str">
        <f aca="true">IF(OR(BR939="",AE939=""),"",IF(AF939="",IF(NOW()&gt;EDATE(AE939,DORA_M_FIN)+1,0,""),IF(AF939&lt;=EDATE(AE939,DORA_M_FIN),1,0)))</f>
        <v/>
      </c>
      <c r="BV939" s="35" t="str">
        <f aca="false">IF(BR939="","",IF(COUNT(BS939:BU939)=0,"",MIN(BS939:BU939)))</f>
        <v/>
      </c>
      <c r="BW939" s="40" t="str">
        <f aca="false">IF(AQ939&lt;&gt;1,"",IF(AND(AG939="",AH939=""),"",N(AG939)-N(AH939)))</f>
        <v/>
      </c>
      <c r="BX939" s="35" t="str">
        <f aca="true">IF(OR(AQ939&lt;&gt;1,AI939&lt;&gt;"Oui",AJ939=""),"",IF(AK939="",IF(NOW()&gt;AJ939+1,0,""),IF(AK939&lt;=AJ939,1,0)))</f>
        <v/>
      </c>
    </row>
    <row r="940" customFormat="false" ht="15" hidden="false" customHeight="false" outlineLevel="0" collapsed="false">
      <c r="B940" s="29"/>
      <c r="C940" s="29"/>
      <c r="D940" s="29"/>
      <c r="E940" s="29"/>
      <c r="F940" s="29"/>
      <c r="G940" s="29"/>
      <c r="H940" s="29"/>
      <c r="I940" s="29"/>
      <c r="J940" s="29"/>
      <c r="K940" s="29"/>
      <c r="L940" s="29"/>
      <c r="M940" s="29"/>
      <c r="N940" s="30"/>
      <c r="O940" s="30"/>
      <c r="P940" s="30"/>
      <c r="Q940" s="30"/>
      <c r="R940" s="30"/>
      <c r="S940" s="30"/>
      <c r="T940" s="30"/>
      <c r="U940" s="30"/>
      <c r="V940" s="31"/>
      <c r="W940" s="29"/>
      <c r="X940" s="29"/>
      <c r="Y940" s="29"/>
      <c r="Z940" s="29"/>
      <c r="AA940" s="30"/>
      <c r="AB940" s="30"/>
      <c r="AC940" s="30"/>
      <c r="AD940" s="30"/>
      <c r="AE940" s="30"/>
      <c r="AF940" s="32"/>
      <c r="AG940" s="33"/>
      <c r="AH940" s="33"/>
      <c r="AI940" s="29"/>
      <c r="AJ940" s="32"/>
      <c r="AK940" s="32"/>
      <c r="AL940" s="29"/>
      <c r="AN940" s="34" t="str">
        <f aca="false">IF($B940="","",IF(OR(C940="",D940="",E940="",G940="",I940="",J940="",L940="",O940="",P940=""),"Champ obligatoire manquant",IF(OR(AND(N940&lt;&gt;"",N940&gt;O940),O940&gt;P940,AND(Q940&lt;&gt;"",Q940&lt;P940),AND(R940&lt;&gt;"",R940&lt;P940),AND(S940&lt;&gt;"",S940&lt;R940),AND(S940&lt;&gt;"",R940=""),AND(T940&lt;&gt;"",T940&lt;O940),AND(U940&lt;&gt;"",U940&lt;O940)),"Chronologie incohérente",IF(AND(OR(L940="Résolu",L940="Clos"),R940=""),"Date de résolution manquante",IF(AND(L940="Clos",S940=""),"Date de clôture manquante",IF(AND(K940="Oui",AC940=""),"Classification DORA manquante","OK"))))))</f>
        <v/>
      </c>
      <c r="AO940" s="35" t="str">
        <f aca="false">IF($B940="","",IF(AND(C940="Incident",L940&lt;&gt;"Annulé"),1,0))</f>
        <v/>
      </c>
      <c r="AP940" s="35" t="str">
        <f aca="false">IF($B940="","",IF(AND(C940="Quasi-incident",L940&lt;&gt;"Annulé"),1,0))</f>
        <v/>
      </c>
      <c r="AQ940" s="35" t="str">
        <f aca="false">IF($B940="","",AO940+AP940)</f>
        <v/>
      </c>
      <c r="AR940" s="36" t="str">
        <f aca="false">IF(OR($B940="",J940=""),"",IFERROR(VALUE(LEFT(J940,1)),""))</f>
        <v/>
      </c>
      <c r="AS940" s="35" t="str">
        <f aca="false">IF(OR(AO940&lt;&gt;1,G940=""),"",IFERROR(IF(INDEX(L_SrcInterne,MATCH(G940,L_Sources,0))="Oui",1,0),""))</f>
        <v/>
      </c>
      <c r="AT940" s="37" t="str">
        <f aca="false">IF(AO940&lt;&gt;1,"",IFERROR(ROUND(IF(OR(N940="",O940=""),"",IF(O940&lt;N940,"",ROUND(((NETWORKDAYS(N940,O940,JoursFeries)-1)*(HFer-HOuv)+IF(NETWORKDAYS(O940,O940,JoursFeries),MEDIAN(MOD(O940,1),HFer,HOuv),HFer)-IF(NETWORKDAYS(N940,N940,JoursFeries),MEDIAN(MOD(N940,1),HFer,HOuv),HOuv))*24,4)))/HJour,4),""))</f>
        <v/>
      </c>
      <c r="AU940" s="37" t="str">
        <f aca="false">IF(AO940&lt;&gt;1,"",IF(OR(O940="",P940=""),"",IF(P940&lt;O940,"",ROUND(((NETWORKDAYS(O940,P940,JoursFeries)-1)*(HFer-HOuv)+IF(NETWORKDAYS(P940,P940,JoursFeries),MEDIAN(MOD(P940,1),HFer,HOuv),HFer)-IF(NETWORKDAYS(O940,O940,JoursFeries),MEDIAN(MOD(O940,1),HFer,HOuv),HOuv))*24,4))))</f>
        <v/>
      </c>
      <c r="AV940" s="37" t="str">
        <f aca="false">IF(AO940&lt;&gt;1,"",IF(OR(P940="",Q940=""),"",IF(Q940&lt;P940,"",ROUND(((NETWORKDAYS(P940,Q940,JoursFeries)-1)*(HFer-HOuv)+IF(NETWORKDAYS(Q940,Q940,JoursFeries),MEDIAN(MOD(Q940,1),HFer,HOuv),HFer)-IF(NETWORKDAYS(P940,P940,JoursFeries),MEDIAN(MOD(P940,1),HFer,HOuv),HOuv))*24,4))))</f>
        <v/>
      </c>
      <c r="AW940" s="37" t="str">
        <f aca="false">IF(AO940&lt;&gt;1,"",IFERROR(ROUND(IF(OR(P940="",R940=""),"",IF(R940&lt;P940,"",ROUND(((NETWORKDAYS(P940,R940,JoursFeries)-1)*(HFer-HOuv)+IF(NETWORKDAYS(R940,R940,JoursFeries),MEDIAN(MOD(R940,1),HFer,HOuv),HFer)-IF(NETWORKDAYS(P940,P940,JoursFeries),MEDIAN(MOD(P940,1),HFer,HOuv),HOuv))*24,4)))/HJour,4),""))</f>
        <v/>
      </c>
      <c r="AX940" s="37" t="str">
        <f aca="false">IF(AO940&lt;&gt;1,"",IFERROR(ROUND(IF(OR(P940="",S940=""),"",IF(S940&lt;P940,"",ROUND(((NETWORKDAYS(P940,S940,JoursFeries)-1)*(HFer-HOuv)+IF(NETWORKDAYS(S940,S940,JoursFeries),MEDIAN(MOD(S940,1),HFer,HOuv),HFer)-IF(NETWORKDAYS(P940,P940,JoursFeries),MEDIAN(MOD(P940,1),HFer,HOuv),HOuv))*24,4)))/HJour,4),""))</f>
        <v/>
      </c>
      <c r="AY940" s="36" t="str">
        <f aca="false">IF(OR(AO940&lt;&gt;1,AR940=""),"",INDEX(SLA_PEC,AR940))</f>
        <v/>
      </c>
      <c r="AZ940" s="35" t="str">
        <f aca="false">IF(OR(AV940="",AY940=""),"",IF(AV940&lt;=AY940,1,0))</f>
        <v/>
      </c>
      <c r="BA940" s="36" t="str">
        <f aca="false">IF(OR(AO940&lt;&gt;1,AR940=""),"",INDEX(SLA_RES,AR940))</f>
        <v/>
      </c>
      <c r="BB940" s="35" t="str">
        <f aca="false">IF(OR(AW940="",BA940=""),"",IF(AW940&lt;=BA940,1,0))</f>
        <v/>
      </c>
      <c r="BC940" s="38" t="str">
        <f aca="false">IF(OR(BA940="",P940=""),"",WORKDAY(INT(P940),BA940,JoursFeries)+MOD(P940,1))</f>
        <v/>
      </c>
      <c r="BD940" s="39" t="str">
        <f aca="false">IF(AO940&lt;&gt;1,"",IF(OR(AB940&lt;&gt;"",AD940&lt;&gt;""),4,IF(U940&lt;&gt;"",3,IF(T940&lt;&gt;"",2,1))))</f>
        <v/>
      </c>
      <c r="BE940" s="39" t="str">
        <f aca="false">IF(OR(AO940&lt;&gt;1,AR940=""),"",INDEX(NIV_REQ,AR940))</f>
        <v/>
      </c>
      <c r="BF940" s="39" t="str">
        <f aca="false">IF(BE940="","",MAX(BE940,IF(OR(K940="Oui",Z940="Oui"),4,1)))</f>
        <v/>
      </c>
      <c r="BG940" s="35" t="str">
        <f aca="false">IF(OR(BF940="",BD940=""),"",IF(BD940&gt;=BF940,1,0))</f>
        <v/>
      </c>
      <c r="BH940" s="38" t="str">
        <f aca="false">IF(BE940="","",IF(BE940&lt;2,"",IF(BE940=2,IF(AND(T940="",U940=""),"",MIN(T940,U940)),IF(U940="","",U940))))</f>
        <v/>
      </c>
      <c r="BI940" s="37" t="str">
        <f aca="false">IF(BH940="","",IF(OR(O940="",BH940=""),"",IF(BH940&lt;O940,"",ROUND(((NETWORKDAYS(O940,BH940,JoursFeries)-1)*(HFer-HOuv)+IF(NETWORKDAYS(BH940,BH940,JoursFeries),MEDIAN(MOD(BH940,1),HFer,HOuv),HFer)-IF(NETWORKDAYS(O940,O940,JoursFeries),MEDIAN(MOD(O940,1),HFer,HOuv),HOuv))*24,4))))</f>
        <v/>
      </c>
      <c r="BJ940" s="35" t="str">
        <f aca="false">IF(OR(BI940="",AR940=""),"",IF(BI940&lt;=INDEX(DELAI_ESC,AR940),1,0))</f>
        <v/>
      </c>
      <c r="BK940" s="38" t="str">
        <f aca="false">IF(AO940&lt;&gt;1,"",IF(AND(T940="",U940=""),"",MIN(T940,U940)))</f>
        <v/>
      </c>
      <c r="BL940" s="37" t="str">
        <f aca="false">IF(OR(BK940="",R940=""),"",IFERROR(ROUND(IF(OR(BK940="",R940=""),"",IF(R940&lt;BK940,"",ROUND(((NETWORKDAYS(BK940,R940,JoursFeries)-1)*(HFer-HOuv)+IF(NETWORKDAYS(R940,R940,JoursFeries),MEDIAN(MOD(R940,1),HFer,HOuv),HFer)-IF(NETWORKDAYS(BK940,BK940,JoursFeries),MEDIAN(MOD(BK940,1),HFer,HOuv),HOuv))*24,4)))/HJour,4),""))</f>
        <v/>
      </c>
      <c r="BM940" s="35" t="str">
        <f aca="false">IF(OR(AO940&lt;&gt;1,R940=""),"",IF(BD940=1,1,0))</f>
        <v/>
      </c>
      <c r="BN940" s="35" t="str">
        <f aca="false">IF(AO940&lt;&gt;1,"",IF(W940="Oui",1,0))</f>
        <v/>
      </c>
      <c r="BO940" s="35" t="str">
        <f aca="false">IF(AO940&lt;&gt;1,"",IF(X940&lt;&gt;"",1,0))</f>
        <v/>
      </c>
      <c r="BP940" s="35" t="str">
        <f aca="false">IF(AO940&lt;&gt;1,"",IF(Y940="Oui",1,0))</f>
        <v/>
      </c>
      <c r="BQ940" s="35" t="str">
        <f aca="true">IF(OR(AO940&lt;&gt;1,Z940&lt;&gt;"Oui"),"",IF(AB940="",IF(AND(AA940&lt;&gt;"",NOW()&gt;AA940),0,""),IF(AA940="","",IF(AB940&lt;=AA940,1,0))))</f>
        <v/>
      </c>
      <c r="BR940" s="38" t="str">
        <f aca="false">IF(OR(AO940&lt;&gt;1,K940&lt;&gt;"Oui",O940=""),"",IF(AC940="",O940+DORA_H_DET/24,IF(AC940-O940&lt;=DORA_H_DET/24,MIN(AC940+DORA_H_CLA/24,O940+DORA_H_DET/24),AC940+DORA_H_CLA/24)))</f>
        <v/>
      </c>
      <c r="BS940" s="35" t="str">
        <f aca="true">IF(BR940="","",IF(AD940="",IF(NOW()&gt;BR940,0,""),IF(AD940&lt;=BR940,1,0)))</f>
        <v/>
      </c>
      <c r="BT940" s="35" t="str">
        <f aca="true">IF(OR(BR940="",AD940=""),"",IF(AE940="",IF(NOW()&gt;AD940+DORA_H_INT/24,0,""),IF(AE940&lt;=AD940+DORA_H_INT/24,1,0)))</f>
        <v/>
      </c>
      <c r="BU940" s="35" t="str">
        <f aca="true">IF(OR(BR940="",AE940=""),"",IF(AF940="",IF(NOW()&gt;EDATE(AE940,DORA_M_FIN)+1,0,""),IF(AF940&lt;=EDATE(AE940,DORA_M_FIN),1,0)))</f>
        <v/>
      </c>
      <c r="BV940" s="35" t="str">
        <f aca="false">IF(BR940="","",IF(COUNT(BS940:BU940)=0,"",MIN(BS940:BU940)))</f>
        <v/>
      </c>
      <c r="BW940" s="40" t="str">
        <f aca="false">IF(AQ940&lt;&gt;1,"",IF(AND(AG940="",AH940=""),"",N(AG940)-N(AH940)))</f>
        <v/>
      </c>
      <c r="BX940" s="35" t="str">
        <f aca="true">IF(OR(AQ940&lt;&gt;1,AI940&lt;&gt;"Oui",AJ940=""),"",IF(AK940="",IF(NOW()&gt;AJ940+1,0,""),IF(AK940&lt;=AJ940,1,0)))</f>
        <v/>
      </c>
    </row>
    <row r="941" customFormat="false" ht="15" hidden="false" customHeight="false" outlineLevel="0" collapsed="false">
      <c r="B941" s="29"/>
      <c r="C941" s="29"/>
      <c r="D941" s="29"/>
      <c r="E941" s="29"/>
      <c r="F941" s="29"/>
      <c r="G941" s="29"/>
      <c r="H941" s="29"/>
      <c r="I941" s="29"/>
      <c r="J941" s="29"/>
      <c r="K941" s="29"/>
      <c r="L941" s="29"/>
      <c r="M941" s="29"/>
      <c r="N941" s="30"/>
      <c r="O941" s="30"/>
      <c r="P941" s="30"/>
      <c r="Q941" s="30"/>
      <c r="R941" s="30"/>
      <c r="S941" s="30"/>
      <c r="T941" s="30"/>
      <c r="U941" s="30"/>
      <c r="V941" s="31"/>
      <c r="W941" s="29"/>
      <c r="X941" s="29"/>
      <c r="Y941" s="29"/>
      <c r="Z941" s="29"/>
      <c r="AA941" s="30"/>
      <c r="AB941" s="30"/>
      <c r="AC941" s="30"/>
      <c r="AD941" s="30"/>
      <c r="AE941" s="30"/>
      <c r="AF941" s="32"/>
      <c r="AG941" s="33"/>
      <c r="AH941" s="33"/>
      <c r="AI941" s="29"/>
      <c r="AJ941" s="32"/>
      <c r="AK941" s="32"/>
      <c r="AL941" s="29"/>
      <c r="AN941" s="34" t="str">
        <f aca="false">IF($B941="","",IF(OR(C941="",D941="",E941="",G941="",I941="",J941="",L941="",O941="",P941=""),"Champ obligatoire manquant",IF(OR(AND(N941&lt;&gt;"",N941&gt;O941),O941&gt;P941,AND(Q941&lt;&gt;"",Q941&lt;P941),AND(R941&lt;&gt;"",R941&lt;P941),AND(S941&lt;&gt;"",S941&lt;R941),AND(S941&lt;&gt;"",R941=""),AND(T941&lt;&gt;"",T941&lt;O941),AND(U941&lt;&gt;"",U941&lt;O941)),"Chronologie incohérente",IF(AND(OR(L941="Résolu",L941="Clos"),R941=""),"Date de résolution manquante",IF(AND(L941="Clos",S941=""),"Date de clôture manquante",IF(AND(K941="Oui",AC941=""),"Classification DORA manquante","OK"))))))</f>
        <v/>
      </c>
      <c r="AO941" s="35" t="str">
        <f aca="false">IF($B941="","",IF(AND(C941="Incident",L941&lt;&gt;"Annulé"),1,0))</f>
        <v/>
      </c>
      <c r="AP941" s="35" t="str">
        <f aca="false">IF($B941="","",IF(AND(C941="Quasi-incident",L941&lt;&gt;"Annulé"),1,0))</f>
        <v/>
      </c>
      <c r="AQ941" s="35" t="str">
        <f aca="false">IF($B941="","",AO941+AP941)</f>
        <v/>
      </c>
      <c r="AR941" s="36" t="str">
        <f aca="false">IF(OR($B941="",J941=""),"",IFERROR(VALUE(LEFT(J941,1)),""))</f>
        <v/>
      </c>
      <c r="AS941" s="35" t="str">
        <f aca="false">IF(OR(AO941&lt;&gt;1,G941=""),"",IFERROR(IF(INDEX(L_SrcInterne,MATCH(G941,L_Sources,0))="Oui",1,0),""))</f>
        <v/>
      </c>
      <c r="AT941" s="37" t="str">
        <f aca="false">IF(AO941&lt;&gt;1,"",IFERROR(ROUND(IF(OR(N941="",O941=""),"",IF(O941&lt;N941,"",ROUND(((NETWORKDAYS(N941,O941,JoursFeries)-1)*(HFer-HOuv)+IF(NETWORKDAYS(O941,O941,JoursFeries),MEDIAN(MOD(O941,1),HFer,HOuv),HFer)-IF(NETWORKDAYS(N941,N941,JoursFeries),MEDIAN(MOD(N941,1),HFer,HOuv),HOuv))*24,4)))/HJour,4),""))</f>
        <v/>
      </c>
      <c r="AU941" s="37" t="str">
        <f aca="false">IF(AO941&lt;&gt;1,"",IF(OR(O941="",P941=""),"",IF(P941&lt;O941,"",ROUND(((NETWORKDAYS(O941,P941,JoursFeries)-1)*(HFer-HOuv)+IF(NETWORKDAYS(P941,P941,JoursFeries),MEDIAN(MOD(P941,1),HFer,HOuv),HFer)-IF(NETWORKDAYS(O941,O941,JoursFeries),MEDIAN(MOD(O941,1),HFer,HOuv),HOuv))*24,4))))</f>
        <v/>
      </c>
      <c r="AV941" s="37" t="str">
        <f aca="false">IF(AO941&lt;&gt;1,"",IF(OR(P941="",Q941=""),"",IF(Q941&lt;P941,"",ROUND(((NETWORKDAYS(P941,Q941,JoursFeries)-1)*(HFer-HOuv)+IF(NETWORKDAYS(Q941,Q941,JoursFeries),MEDIAN(MOD(Q941,1),HFer,HOuv),HFer)-IF(NETWORKDAYS(P941,P941,JoursFeries),MEDIAN(MOD(P941,1),HFer,HOuv),HOuv))*24,4))))</f>
        <v/>
      </c>
      <c r="AW941" s="37" t="str">
        <f aca="false">IF(AO941&lt;&gt;1,"",IFERROR(ROUND(IF(OR(P941="",R941=""),"",IF(R941&lt;P941,"",ROUND(((NETWORKDAYS(P941,R941,JoursFeries)-1)*(HFer-HOuv)+IF(NETWORKDAYS(R941,R941,JoursFeries),MEDIAN(MOD(R941,1),HFer,HOuv),HFer)-IF(NETWORKDAYS(P941,P941,JoursFeries),MEDIAN(MOD(P941,1),HFer,HOuv),HOuv))*24,4)))/HJour,4),""))</f>
        <v/>
      </c>
      <c r="AX941" s="37" t="str">
        <f aca="false">IF(AO941&lt;&gt;1,"",IFERROR(ROUND(IF(OR(P941="",S941=""),"",IF(S941&lt;P941,"",ROUND(((NETWORKDAYS(P941,S941,JoursFeries)-1)*(HFer-HOuv)+IF(NETWORKDAYS(S941,S941,JoursFeries),MEDIAN(MOD(S941,1),HFer,HOuv),HFer)-IF(NETWORKDAYS(P941,P941,JoursFeries),MEDIAN(MOD(P941,1),HFer,HOuv),HOuv))*24,4)))/HJour,4),""))</f>
        <v/>
      </c>
      <c r="AY941" s="36" t="str">
        <f aca="false">IF(OR(AO941&lt;&gt;1,AR941=""),"",INDEX(SLA_PEC,AR941))</f>
        <v/>
      </c>
      <c r="AZ941" s="35" t="str">
        <f aca="false">IF(OR(AV941="",AY941=""),"",IF(AV941&lt;=AY941,1,0))</f>
        <v/>
      </c>
      <c r="BA941" s="36" t="str">
        <f aca="false">IF(OR(AO941&lt;&gt;1,AR941=""),"",INDEX(SLA_RES,AR941))</f>
        <v/>
      </c>
      <c r="BB941" s="35" t="str">
        <f aca="false">IF(OR(AW941="",BA941=""),"",IF(AW941&lt;=BA941,1,0))</f>
        <v/>
      </c>
      <c r="BC941" s="38" t="str">
        <f aca="false">IF(OR(BA941="",P941=""),"",WORKDAY(INT(P941),BA941,JoursFeries)+MOD(P941,1))</f>
        <v/>
      </c>
      <c r="BD941" s="39" t="str">
        <f aca="false">IF(AO941&lt;&gt;1,"",IF(OR(AB941&lt;&gt;"",AD941&lt;&gt;""),4,IF(U941&lt;&gt;"",3,IF(T941&lt;&gt;"",2,1))))</f>
        <v/>
      </c>
      <c r="BE941" s="39" t="str">
        <f aca="false">IF(OR(AO941&lt;&gt;1,AR941=""),"",INDEX(NIV_REQ,AR941))</f>
        <v/>
      </c>
      <c r="BF941" s="39" t="str">
        <f aca="false">IF(BE941="","",MAX(BE941,IF(OR(K941="Oui",Z941="Oui"),4,1)))</f>
        <v/>
      </c>
      <c r="BG941" s="35" t="str">
        <f aca="false">IF(OR(BF941="",BD941=""),"",IF(BD941&gt;=BF941,1,0))</f>
        <v/>
      </c>
      <c r="BH941" s="38" t="str">
        <f aca="false">IF(BE941="","",IF(BE941&lt;2,"",IF(BE941=2,IF(AND(T941="",U941=""),"",MIN(T941,U941)),IF(U941="","",U941))))</f>
        <v/>
      </c>
      <c r="BI941" s="37" t="str">
        <f aca="false">IF(BH941="","",IF(OR(O941="",BH941=""),"",IF(BH941&lt;O941,"",ROUND(((NETWORKDAYS(O941,BH941,JoursFeries)-1)*(HFer-HOuv)+IF(NETWORKDAYS(BH941,BH941,JoursFeries),MEDIAN(MOD(BH941,1),HFer,HOuv),HFer)-IF(NETWORKDAYS(O941,O941,JoursFeries),MEDIAN(MOD(O941,1),HFer,HOuv),HOuv))*24,4))))</f>
        <v/>
      </c>
      <c r="BJ941" s="35" t="str">
        <f aca="false">IF(OR(BI941="",AR941=""),"",IF(BI941&lt;=INDEX(DELAI_ESC,AR941),1,0))</f>
        <v/>
      </c>
      <c r="BK941" s="38" t="str">
        <f aca="false">IF(AO941&lt;&gt;1,"",IF(AND(T941="",U941=""),"",MIN(T941,U941)))</f>
        <v/>
      </c>
      <c r="BL941" s="37" t="str">
        <f aca="false">IF(OR(BK941="",R941=""),"",IFERROR(ROUND(IF(OR(BK941="",R941=""),"",IF(R941&lt;BK941,"",ROUND(((NETWORKDAYS(BK941,R941,JoursFeries)-1)*(HFer-HOuv)+IF(NETWORKDAYS(R941,R941,JoursFeries),MEDIAN(MOD(R941,1),HFer,HOuv),HFer)-IF(NETWORKDAYS(BK941,BK941,JoursFeries),MEDIAN(MOD(BK941,1),HFer,HOuv),HOuv))*24,4)))/HJour,4),""))</f>
        <v/>
      </c>
      <c r="BM941" s="35" t="str">
        <f aca="false">IF(OR(AO941&lt;&gt;1,R941=""),"",IF(BD941=1,1,0))</f>
        <v/>
      </c>
      <c r="BN941" s="35" t="str">
        <f aca="false">IF(AO941&lt;&gt;1,"",IF(W941="Oui",1,0))</f>
        <v/>
      </c>
      <c r="BO941" s="35" t="str">
        <f aca="false">IF(AO941&lt;&gt;1,"",IF(X941&lt;&gt;"",1,0))</f>
        <v/>
      </c>
      <c r="BP941" s="35" t="str">
        <f aca="false">IF(AO941&lt;&gt;1,"",IF(Y941="Oui",1,0))</f>
        <v/>
      </c>
      <c r="BQ941" s="35" t="str">
        <f aca="true">IF(OR(AO941&lt;&gt;1,Z941&lt;&gt;"Oui"),"",IF(AB941="",IF(AND(AA941&lt;&gt;"",NOW()&gt;AA941),0,""),IF(AA941="","",IF(AB941&lt;=AA941,1,0))))</f>
        <v/>
      </c>
      <c r="BR941" s="38" t="str">
        <f aca="false">IF(OR(AO941&lt;&gt;1,K941&lt;&gt;"Oui",O941=""),"",IF(AC941="",O941+DORA_H_DET/24,IF(AC941-O941&lt;=DORA_H_DET/24,MIN(AC941+DORA_H_CLA/24,O941+DORA_H_DET/24),AC941+DORA_H_CLA/24)))</f>
        <v/>
      </c>
      <c r="BS941" s="35" t="str">
        <f aca="true">IF(BR941="","",IF(AD941="",IF(NOW()&gt;BR941,0,""),IF(AD941&lt;=BR941,1,0)))</f>
        <v/>
      </c>
      <c r="BT941" s="35" t="str">
        <f aca="true">IF(OR(BR941="",AD941=""),"",IF(AE941="",IF(NOW()&gt;AD941+DORA_H_INT/24,0,""),IF(AE941&lt;=AD941+DORA_H_INT/24,1,0)))</f>
        <v/>
      </c>
      <c r="BU941" s="35" t="str">
        <f aca="true">IF(OR(BR941="",AE941=""),"",IF(AF941="",IF(NOW()&gt;EDATE(AE941,DORA_M_FIN)+1,0,""),IF(AF941&lt;=EDATE(AE941,DORA_M_FIN),1,0)))</f>
        <v/>
      </c>
      <c r="BV941" s="35" t="str">
        <f aca="false">IF(BR941="","",IF(COUNT(BS941:BU941)=0,"",MIN(BS941:BU941)))</f>
        <v/>
      </c>
      <c r="BW941" s="40" t="str">
        <f aca="false">IF(AQ941&lt;&gt;1,"",IF(AND(AG941="",AH941=""),"",N(AG941)-N(AH941)))</f>
        <v/>
      </c>
      <c r="BX941" s="35" t="str">
        <f aca="true">IF(OR(AQ941&lt;&gt;1,AI941&lt;&gt;"Oui",AJ941=""),"",IF(AK941="",IF(NOW()&gt;AJ941+1,0,""),IF(AK941&lt;=AJ941,1,0)))</f>
        <v/>
      </c>
    </row>
    <row r="942" customFormat="false" ht="15" hidden="false" customHeight="false" outlineLevel="0" collapsed="false">
      <c r="B942" s="29"/>
      <c r="C942" s="29"/>
      <c r="D942" s="29"/>
      <c r="E942" s="29"/>
      <c r="F942" s="29"/>
      <c r="G942" s="29"/>
      <c r="H942" s="29"/>
      <c r="I942" s="29"/>
      <c r="J942" s="29"/>
      <c r="K942" s="29"/>
      <c r="L942" s="29"/>
      <c r="M942" s="29"/>
      <c r="N942" s="30"/>
      <c r="O942" s="30"/>
      <c r="P942" s="30"/>
      <c r="Q942" s="30"/>
      <c r="R942" s="30"/>
      <c r="S942" s="30"/>
      <c r="T942" s="30"/>
      <c r="U942" s="30"/>
      <c r="V942" s="31"/>
      <c r="W942" s="29"/>
      <c r="X942" s="29"/>
      <c r="Y942" s="29"/>
      <c r="Z942" s="29"/>
      <c r="AA942" s="30"/>
      <c r="AB942" s="30"/>
      <c r="AC942" s="30"/>
      <c r="AD942" s="30"/>
      <c r="AE942" s="30"/>
      <c r="AF942" s="32"/>
      <c r="AG942" s="33"/>
      <c r="AH942" s="33"/>
      <c r="AI942" s="29"/>
      <c r="AJ942" s="32"/>
      <c r="AK942" s="32"/>
      <c r="AL942" s="29"/>
      <c r="AN942" s="34" t="str">
        <f aca="false">IF($B942="","",IF(OR(C942="",D942="",E942="",G942="",I942="",J942="",L942="",O942="",P942=""),"Champ obligatoire manquant",IF(OR(AND(N942&lt;&gt;"",N942&gt;O942),O942&gt;P942,AND(Q942&lt;&gt;"",Q942&lt;P942),AND(R942&lt;&gt;"",R942&lt;P942),AND(S942&lt;&gt;"",S942&lt;R942),AND(S942&lt;&gt;"",R942=""),AND(T942&lt;&gt;"",T942&lt;O942),AND(U942&lt;&gt;"",U942&lt;O942)),"Chronologie incohérente",IF(AND(OR(L942="Résolu",L942="Clos"),R942=""),"Date de résolution manquante",IF(AND(L942="Clos",S942=""),"Date de clôture manquante",IF(AND(K942="Oui",AC942=""),"Classification DORA manquante","OK"))))))</f>
        <v/>
      </c>
      <c r="AO942" s="35" t="str">
        <f aca="false">IF($B942="","",IF(AND(C942="Incident",L942&lt;&gt;"Annulé"),1,0))</f>
        <v/>
      </c>
      <c r="AP942" s="35" t="str">
        <f aca="false">IF($B942="","",IF(AND(C942="Quasi-incident",L942&lt;&gt;"Annulé"),1,0))</f>
        <v/>
      </c>
      <c r="AQ942" s="35" t="str">
        <f aca="false">IF($B942="","",AO942+AP942)</f>
        <v/>
      </c>
      <c r="AR942" s="36" t="str">
        <f aca="false">IF(OR($B942="",J942=""),"",IFERROR(VALUE(LEFT(J942,1)),""))</f>
        <v/>
      </c>
      <c r="AS942" s="35" t="str">
        <f aca="false">IF(OR(AO942&lt;&gt;1,G942=""),"",IFERROR(IF(INDEX(L_SrcInterne,MATCH(G942,L_Sources,0))="Oui",1,0),""))</f>
        <v/>
      </c>
      <c r="AT942" s="37" t="str">
        <f aca="false">IF(AO942&lt;&gt;1,"",IFERROR(ROUND(IF(OR(N942="",O942=""),"",IF(O942&lt;N942,"",ROUND(((NETWORKDAYS(N942,O942,JoursFeries)-1)*(HFer-HOuv)+IF(NETWORKDAYS(O942,O942,JoursFeries),MEDIAN(MOD(O942,1),HFer,HOuv),HFer)-IF(NETWORKDAYS(N942,N942,JoursFeries),MEDIAN(MOD(N942,1),HFer,HOuv),HOuv))*24,4)))/HJour,4),""))</f>
        <v/>
      </c>
      <c r="AU942" s="37" t="str">
        <f aca="false">IF(AO942&lt;&gt;1,"",IF(OR(O942="",P942=""),"",IF(P942&lt;O942,"",ROUND(((NETWORKDAYS(O942,P942,JoursFeries)-1)*(HFer-HOuv)+IF(NETWORKDAYS(P942,P942,JoursFeries),MEDIAN(MOD(P942,1),HFer,HOuv),HFer)-IF(NETWORKDAYS(O942,O942,JoursFeries),MEDIAN(MOD(O942,1),HFer,HOuv),HOuv))*24,4))))</f>
        <v/>
      </c>
      <c r="AV942" s="37" t="str">
        <f aca="false">IF(AO942&lt;&gt;1,"",IF(OR(P942="",Q942=""),"",IF(Q942&lt;P942,"",ROUND(((NETWORKDAYS(P942,Q942,JoursFeries)-1)*(HFer-HOuv)+IF(NETWORKDAYS(Q942,Q942,JoursFeries),MEDIAN(MOD(Q942,1),HFer,HOuv),HFer)-IF(NETWORKDAYS(P942,P942,JoursFeries),MEDIAN(MOD(P942,1),HFer,HOuv),HOuv))*24,4))))</f>
        <v/>
      </c>
      <c r="AW942" s="37" t="str">
        <f aca="false">IF(AO942&lt;&gt;1,"",IFERROR(ROUND(IF(OR(P942="",R942=""),"",IF(R942&lt;P942,"",ROUND(((NETWORKDAYS(P942,R942,JoursFeries)-1)*(HFer-HOuv)+IF(NETWORKDAYS(R942,R942,JoursFeries),MEDIAN(MOD(R942,1),HFer,HOuv),HFer)-IF(NETWORKDAYS(P942,P942,JoursFeries),MEDIAN(MOD(P942,1),HFer,HOuv),HOuv))*24,4)))/HJour,4),""))</f>
        <v/>
      </c>
      <c r="AX942" s="37" t="str">
        <f aca="false">IF(AO942&lt;&gt;1,"",IFERROR(ROUND(IF(OR(P942="",S942=""),"",IF(S942&lt;P942,"",ROUND(((NETWORKDAYS(P942,S942,JoursFeries)-1)*(HFer-HOuv)+IF(NETWORKDAYS(S942,S942,JoursFeries),MEDIAN(MOD(S942,1),HFer,HOuv),HFer)-IF(NETWORKDAYS(P942,P942,JoursFeries),MEDIAN(MOD(P942,1),HFer,HOuv),HOuv))*24,4)))/HJour,4),""))</f>
        <v/>
      </c>
      <c r="AY942" s="36" t="str">
        <f aca="false">IF(OR(AO942&lt;&gt;1,AR942=""),"",INDEX(SLA_PEC,AR942))</f>
        <v/>
      </c>
      <c r="AZ942" s="35" t="str">
        <f aca="false">IF(OR(AV942="",AY942=""),"",IF(AV942&lt;=AY942,1,0))</f>
        <v/>
      </c>
      <c r="BA942" s="36" t="str">
        <f aca="false">IF(OR(AO942&lt;&gt;1,AR942=""),"",INDEX(SLA_RES,AR942))</f>
        <v/>
      </c>
      <c r="BB942" s="35" t="str">
        <f aca="false">IF(OR(AW942="",BA942=""),"",IF(AW942&lt;=BA942,1,0))</f>
        <v/>
      </c>
      <c r="BC942" s="38" t="str">
        <f aca="false">IF(OR(BA942="",P942=""),"",WORKDAY(INT(P942),BA942,JoursFeries)+MOD(P942,1))</f>
        <v/>
      </c>
      <c r="BD942" s="39" t="str">
        <f aca="false">IF(AO942&lt;&gt;1,"",IF(OR(AB942&lt;&gt;"",AD942&lt;&gt;""),4,IF(U942&lt;&gt;"",3,IF(T942&lt;&gt;"",2,1))))</f>
        <v/>
      </c>
      <c r="BE942" s="39" t="str">
        <f aca="false">IF(OR(AO942&lt;&gt;1,AR942=""),"",INDEX(NIV_REQ,AR942))</f>
        <v/>
      </c>
      <c r="BF942" s="39" t="str">
        <f aca="false">IF(BE942="","",MAX(BE942,IF(OR(K942="Oui",Z942="Oui"),4,1)))</f>
        <v/>
      </c>
      <c r="BG942" s="35" t="str">
        <f aca="false">IF(OR(BF942="",BD942=""),"",IF(BD942&gt;=BF942,1,0))</f>
        <v/>
      </c>
      <c r="BH942" s="38" t="str">
        <f aca="false">IF(BE942="","",IF(BE942&lt;2,"",IF(BE942=2,IF(AND(T942="",U942=""),"",MIN(T942,U942)),IF(U942="","",U942))))</f>
        <v/>
      </c>
      <c r="BI942" s="37" t="str">
        <f aca="false">IF(BH942="","",IF(OR(O942="",BH942=""),"",IF(BH942&lt;O942,"",ROUND(((NETWORKDAYS(O942,BH942,JoursFeries)-1)*(HFer-HOuv)+IF(NETWORKDAYS(BH942,BH942,JoursFeries),MEDIAN(MOD(BH942,1),HFer,HOuv),HFer)-IF(NETWORKDAYS(O942,O942,JoursFeries),MEDIAN(MOD(O942,1),HFer,HOuv),HOuv))*24,4))))</f>
        <v/>
      </c>
      <c r="BJ942" s="35" t="str">
        <f aca="false">IF(OR(BI942="",AR942=""),"",IF(BI942&lt;=INDEX(DELAI_ESC,AR942),1,0))</f>
        <v/>
      </c>
      <c r="BK942" s="38" t="str">
        <f aca="false">IF(AO942&lt;&gt;1,"",IF(AND(T942="",U942=""),"",MIN(T942,U942)))</f>
        <v/>
      </c>
      <c r="BL942" s="37" t="str">
        <f aca="false">IF(OR(BK942="",R942=""),"",IFERROR(ROUND(IF(OR(BK942="",R942=""),"",IF(R942&lt;BK942,"",ROUND(((NETWORKDAYS(BK942,R942,JoursFeries)-1)*(HFer-HOuv)+IF(NETWORKDAYS(R942,R942,JoursFeries),MEDIAN(MOD(R942,1),HFer,HOuv),HFer)-IF(NETWORKDAYS(BK942,BK942,JoursFeries),MEDIAN(MOD(BK942,1),HFer,HOuv),HOuv))*24,4)))/HJour,4),""))</f>
        <v/>
      </c>
      <c r="BM942" s="35" t="str">
        <f aca="false">IF(OR(AO942&lt;&gt;1,R942=""),"",IF(BD942=1,1,0))</f>
        <v/>
      </c>
      <c r="BN942" s="35" t="str">
        <f aca="false">IF(AO942&lt;&gt;1,"",IF(W942="Oui",1,0))</f>
        <v/>
      </c>
      <c r="BO942" s="35" t="str">
        <f aca="false">IF(AO942&lt;&gt;1,"",IF(X942&lt;&gt;"",1,0))</f>
        <v/>
      </c>
      <c r="BP942" s="35" t="str">
        <f aca="false">IF(AO942&lt;&gt;1,"",IF(Y942="Oui",1,0))</f>
        <v/>
      </c>
      <c r="BQ942" s="35" t="str">
        <f aca="true">IF(OR(AO942&lt;&gt;1,Z942&lt;&gt;"Oui"),"",IF(AB942="",IF(AND(AA942&lt;&gt;"",NOW()&gt;AA942),0,""),IF(AA942="","",IF(AB942&lt;=AA942,1,0))))</f>
        <v/>
      </c>
      <c r="BR942" s="38" t="str">
        <f aca="false">IF(OR(AO942&lt;&gt;1,K942&lt;&gt;"Oui",O942=""),"",IF(AC942="",O942+DORA_H_DET/24,IF(AC942-O942&lt;=DORA_H_DET/24,MIN(AC942+DORA_H_CLA/24,O942+DORA_H_DET/24),AC942+DORA_H_CLA/24)))</f>
        <v/>
      </c>
      <c r="BS942" s="35" t="str">
        <f aca="true">IF(BR942="","",IF(AD942="",IF(NOW()&gt;BR942,0,""),IF(AD942&lt;=BR942,1,0)))</f>
        <v/>
      </c>
      <c r="BT942" s="35" t="str">
        <f aca="true">IF(OR(BR942="",AD942=""),"",IF(AE942="",IF(NOW()&gt;AD942+DORA_H_INT/24,0,""),IF(AE942&lt;=AD942+DORA_H_INT/24,1,0)))</f>
        <v/>
      </c>
      <c r="BU942" s="35" t="str">
        <f aca="true">IF(OR(BR942="",AE942=""),"",IF(AF942="",IF(NOW()&gt;EDATE(AE942,DORA_M_FIN)+1,0,""),IF(AF942&lt;=EDATE(AE942,DORA_M_FIN),1,0)))</f>
        <v/>
      </c>
      <c r="BV942" s="35" t="str">
        <f aca="false">IF(BR942="","",IF(COUNT(BS942:BU942)=0,"",MIN(BS942:BU942)))</f>
        <v/>
      </c>
      <c r="BW942" s="40" t="str">
        <f aca="false">IF(AQ942&lt;&gt;1,"",IF(AND(AG942="",AH942=""),"",N(AG942)-N(AH942)))</f>
        <v/>
      </c>
      <c r="BX942" s="35" t="str">
        <f aca="true">IF(OR(AQ942&lt;&gt;1,AI942&lt;&gt;"Oui",AJ942=""),"",IF(AK942="",IF(NOW()&gt;AJ942+1,0,""),IF(AK942&lt;=AJ942,1,0)))</f>
        <v/>
      </c>
    </row>
    <row r="943" customFormat="false" ht="15" hidden="false" customHeight="false" outlineLevel="0" collapsed="false">
      <c r="B943" s="29"/>
      <c r="C943" s="29"/>
      <c r="D943" s="29"/>
      <c r="E943" s="29"/>
      <c r="F943" s="29"/>
      <c r="G943" s="29"/>
      <c r="H943" s="29"/>
      <c r="I943" s="29"/>
      <c r="J943" s="29"/>
      <c r="K943" s="29"/>
      <c r="L943" s="29"/>
      <c r="M943" s="29"/>
      <c r="N943" s="30"/>
      <c r="O943" s="30"/>
      <c r="P943" s="30"/>
      <c r="Q943" s="30"/>
      <c r="R943" s="30"/>
      <c r="S943" s="30"/>
      <c r="T943" s="30"/>
      <c r="U943" s="30"/>
      <c r="V943" s="31"/>
      <c r="W943" s="29"/>
      <c r="X943" s="29"/>
      <c r="Y943" s="29"/>
      <c r="Z943" s="29"/>
      <c r="AA943" s="30"/>
      <c r="AB943" s="30"/>
      <c r="AC943" s="30"/>
      <c r="AD943" s="30"/>
      <c r="AE943" s="30"/>
      <c r="AF943" s="32"/>
      <c r="AG943" s="33"/>
      <c r="AH943" s="33"/>
      <c r="AI943" s="29"/>
      <c r="AJ943" s="32"/>
      <c r="AK943" s="32"/>
      <c r="AL943" s="29"/>
      <c r="AN943" s="34" t="str">
        <f aca="false">IF($B943="","",IF(OR(C943="",D943="",E943="",G943="",I943="",J943="",L943="",O943="",P943=""),"Champ obligatoire manquant",IF(OR(AND(N943&lt;&gt;"",N943&gt;O943),O943&gt;P943,AND(Q943&lt;&gt;"",Q943&lt;P943),AND(R943&lt;&gt;"",R943&lt;P943),AND(S943&lt;&gt;"",S943&lt;R943),AND(S943&lt;&gt;"",R943=""),AND(T943&lt;&gt;"",T943&lt;O943),AND(U943&lt;&gt;"",U943&lt;O943)),"Chronologie incohérente",IF(AND(OR(L943="Résolu",L943="Clos"),R943=""),"Date de résolution manquante",IF(AND(L943="Clos",S943=""),"Date de clôture manquante",IF(AND(K943="Oui",AC943=""),"Classification DORA manquante","OK"))))))</f>
        <v/>
      </c>
      <c r="AO943" s="35" t="str">
        <f aca="false">IF($B943="","",IF(AND(C943="Incident",L943&lt;&gt;"Annulé"),1,0))</f>
        <v/>
      </c>
      <c r="AP943" s="35" t="str">
        <f aca="false">IF($B943="","",IF(AND(C943="Quasi-incident",L943&lt;&gt;"Annulé"),1,0))</f>
        <v/>
      </c>
      <c r="AQ943" s="35" t="str">
        <f aca="false">IF($B943="","",AO943+AP943)</f>
        <v/>
      </c>
      <c r="AR943" s="36" t="str">
        <f aca="false">IF(OR($B943="",J943=""),"",IFERROR(VALUE(LEFT(J943,1)),""))</f>
        <v/>
      </c>
      <c r="AS943" s="35" t="str">
        <f aca="false">IF(OR(AO943&lt;&gt;1,G943=""),"",IFERROR(IF(INDEX(L_SrcInterne,MATCH(G943,L_Sources,0))="Oui",1,0),""))</f>
        <v/>
      </c>
      <c r="AT943" s="37" t="str">
        <f aca="false">IF(AO943&lt;&gt;1,"",IFERROR(ROUND(IF(OR(N943="",O943=""),"",IF(O943&lt;N943,"",ROUND(((NETWORKDAYS(N943,O943,JoursFeries)-1)*(HFer-HOuv)+IF(NETWORKDAYS(O943,O943,JoursFeries),MEDIAN(MOD(O943,1),HFer,HOuv),HFer)-IF(NETWORKDAYS(N943,N943,JoursFeries),MEDIAN(MOD(N943,1),HFer,HOuv),HOuv))*24,4)))/HJour,4),""))</f>
        <v/>
      </c>
      <c r="AU943" s="37" t="str">
        <f aca="false">IF(AO943&lt;&gt;1,"",IF(OR(O943="",P943=""),"",IF(P943&lt;O943,"",ROUND(((NETWORKDAYS(O943,P943,JoursFeries)-1)*(HFer-HOuv)+IF(NETWORKDAYS(P943,P943,JoursFeries),MEDIAN(MOD(P943,1),HFer,HOuv),HFer)-IF(NETWORKDAYS(O943,O943,JoursFeries),MEDIAN(MOD(O943,1),HFer,HOuv),HOuv))*24,4))))</f>
        <v/>
      </c>
      <c r="AV943" s="37" t="str">
        <f aca="false">IF(AO943&lt;&gt;1,"",IF(OR(P943="",Q943=""),"",IF(Q943&lt;P943,"",ROUND(((NETWORKDAYS(P943,Q943,JoursFeries)-1)*(HFer-HOuv)+IF(NETWORKDAYS(Q943,Q943,JoursFeries),MEDIAN(MOD(Q943,1),HFer,HOuv),HFer)-IF(NETWORKDAYS(P943,P943,JoursFeries),MEDIAN(MOD(P943,1),HFer,HOuv),HOuv))*24,4))))</f>
        <v/>
      </c>
      <c r="AW943" s="37" t="str">
        <f aca="false">IF(AO943&lt;&gt;1,"",IFERROR(ROUND(IF(OR(P943="",R943=""),"",IF(R943&lt;P943,"",ROUND(((NETWORKDAYS(P943,R943,JoursFeries)-1)*(HFer-HOuv)+IF(NETWORKDAYS(R943,R943,JoursFeries),MEDIAN(MOD(R943,1),HFer,HOuv),HFer)-IF(NETWORKDAYS(P943,P943,JoursFeries),MEDIAN(MOD(P943,1),HFer,HOuv),HOuv))*24,4)))/HJour,4),""))</f>
        <v/>
      </c>
      <c r="AX943" s="37" t="str">
        <f aca="false">IF(AO943&lt;&gt;1,"",IFERROR(ROUND(IF(OR(P943="",S943=""),"",IF(S943&lt;P943,"",ROUND(((NETWORKDAYS(P943,S943,JoursFeries)-1)*(HFer-HOuv)+IF(NETWORKDAYS(S943,S943,JoursFeries),MEDIAN(MOD(S943,1),HFer,HOuv),HFer)-IF(NETWORKDAYS(P943,P943,JoursFeries),MEDIAN(MOD(P943,1),HFer,HOuv),HOuv))*24,4)))/HJour,4),""))</f>
        <v/>
      </c>
      <c r="AY943" s="36" t="str">
        <f aca="false">IF(OR(AO943&lt;&gt;1,AR943=""),"",INDEX(SLA_PEC,AR943))</f>
        <v/>
      </c>
      <c r="AZ943" s="35" t="str">
        <f aca="false">IF(OR(AV943="",AY943=""),"",IF(AV943&lt;=AY943,1,0))</f>
        <v/>
      </c>
      <c r="BA943" s="36" t="str">
        <f aca="false">IF(OR(AO943&lt;&gt;1,AR943=""),"",INDEX(SLA_RES,AR943))</f>
        <v/>
      </c>
      <c r="BB943" s="35" t="str">
        <f aca="false">IF(OR(AW943="",BA943=""),"",IF(AW943&lt;=BA943,1,0))</f>
        <v/>
      </c>
      <c r="BC943" s="38" t="str">
        <f aca="false">IF(OR(BA943="",P943=""),"",WORKDAY(INT(P943),BA943,JoursFeries)+MOD(P943,1))</f>
        <v/>
      </c>
      <c r="BD943" s="39" t="str">
        <f aca="false">IF(AO943&lt;&gt;1,"",IF(OR(AB943&lt;&gt;"",AD943&lt;&gt;""),4,IF(U943&lt;&gt;"",3,IF(T943&lt;&gt;"",2,1))))</f>
        <v/>
      </c>
      <c r="BE943" s="39" t="str">
        <f aca="false">IF(OR(AO943&lt;&gt;1,AR943=""),"",INDEX(NIV_REQ,AR943))</f>
        <v/>
      </c>
      <c r="BF943" s="39" t="str">
        <f aca="false">IF(BE943="","",MAX(BE943,IF(OR(K943="Oui",Z943="Oui"),4,1)))</f>
        <v/>
      </c>
      <c r="BG943" s="35" t="str">
        <f aca="false">IF(OR(BF943="",BD943=""),"",IF(BD943&gt;=BF943,1,0))</f>
        <v/>
      </c>
      <c r="BH943" s="38" t="str">
        <f aca="false">IF(BE943="","",IF(BE943&lt;2,"",IF(BE943=2,IF(AND(T943="",U943=""),"",MIN(T943,U943)),IF(U943="","",U943))))</f>
        <v/>
      </c>
      <c r="BI943" s="37" t="str">
        <f aca="false">IF(BH943="","",IF(OR(O943="",BH943=""),"",IF(BH943&lt;O943,"",ROUND(((NETWORKDAYS(O943,BH943,JoursFeries)-1)*(HFer-HOuv)+IF(NETWORKDAYS(BH943,BH943,JoursFeries),MEDIAN(MOD(BH943,1),HFer,HOuv),HFer)-IF(NETWORKDAYS(O943,O943,JoursFeries),MEDIAN(MOD(O943,1),HFer,HOuv),HOuv))*24,4))))</f>
        <v/>
      </c>
      <c r="BJ943" s="35" t="str">
        <f aca="false">IF(OR(BI943="",AR943=""),"",IF(BI943&lt;=INDEX(DELAI_ESC,AR943),1,0))</f>
        <v/>
      </c>
      <c r="BK943" s="38" t="str">
        <f aca="false">IF(AO943&lt;&gt;1,"",IF(AND(T943="",U943=""),"",MIN(T943,U943)))</f>
        <v/>
      </c>
      <c r="BL943" s="37" t="str">
        <f aca="false">IF(OR(BK943="",R943=""),"",IFERROR(ROUND(IF(OR(BK943="",R943=""),"",IF(R943&lt;BK943,"",ROUND(((NETWORKDAYS(BK943,R943,JoursFeries)-1)*(HFer-HOuv)+IF(NETWORKDAYS(R943,R943,JoursFeries),MEDIAN(MOD(R943,1),HFer,HOuv),HFer)-IF(NETWORKDAYS(BK943,BK943,JoursFeries),MEDIAN(MOD(BK943,1),HFer,HOuv),HOuv))*24,4)))/HJour,4),""))</f>
        <v/>
      </c>
      <c r="BM943" s="35" t="str">
        <f aca="false">IF(OR(AO943&lt;&gt;1,R943=""),"",IF(BD943=1,1,0))</f>
        <v/>
      </c>
      <c r="BN943" s="35" t="str">
        <f aca="false">IF(AO943&lt;&gt;1,"",IF(W943="Oui",1,0))</f>
        <v/>
      </c>
      <c r="BO943" s="35" t="str">
        <f aca="false">IF(AO943&lt;&gt;1,"",IF(X943&lt;&gt;"",1,0))</f>
        <v/>
      </c>
      <c r="BP943" s="35" t="str">
        <f aca="false">IF(AO943&lt;&gt;1,"",IF(Y943="Oui",1,0))</f>
        <v/>
      </c>
      <c r="BQ943" s="35" t="str">
        <f aca="true">IF(OR(AO943&lt;&gt;1,Z943&lt;&gt;"Oui"),"",IF(AB943="",IF(AND(AA943&lt;&gt;"",NOW()&gt;AA943),0,""),IF(AA943="","",IF(AB943&lt;=AA943,1,0))))</f>
        <v/>
      </c>
      <c r="BR943" s="38" t="str">
        <f aca="false">IF(OR(AO943&lt;&gt;1,K943&lt;&gt;"Oui",O943=""),"",IF(AC943="",O943+DORA_H_DET/24,IF(AC943-O943&lt;=DORA_H_DET/24,MIN(AC943+DORA_H_CLA/24,O943+DORA_H_DET/24),AC943+DORA_H_CLA/24)))</f>
        <v/>
      </c>
      <c r="BS943" s="35" t="str">
        <f aca="true">IF(BR943="","",IF(AD943="",IF(NOW()&gt;BR943,0,""),IF(AD943&lt;=BR943,1,0)))</f>
        <v/>
      </c>
      <c r="BT943" s="35" t="str">
        <f aca="true">IF(OR(BR943="",AD943=""),"",IF(AE943="",IF(NOW()&gt;AD943+DORA_H_INT/24,0,""),IF(AE943&lt;=AD943+DORA_H_INT/24,1,0)))</f>
        <v/>
      </c>
      <c r="BU943" s="35" t="str">
        <f aca="true">IF(OR(BR943="",AE943=""),"",IF(AF943="",IF(NOW()&gt;EDATE(AE943,DORA_M_FIN)+1,0,""),IF(AF943&lt;=EDATE(AE943,DORA_M_FIN),1,0)))</f>
        <v/>
      </c>
      <c r="BV943" s="35" t="str">
        <f aca="false">IF(BR943="","",IF(COUNT(BS943:BU943)=0,"",MIN(BS943:BU943)))</f>
        <v/>
      </c>
      <c r="BW943" s="40" t="str">
        <f aca="false">IF(AQ943&lt;&gt;1,"",IF(AND(AG943="",AH943=""),"",N(AG943)-N(AH943)))</f>
        <v/>
      </c>
      <c r="BX943" s="35" t="str">
        <f aca="true">IF(OR(AQ943&lt;&gt;1,AI943&lt;&gt;"Oui",AJ943=""),"",IF(AK943="",IF(NOW()&gt;AJ943+1,0,""),IF(AK943&lt;=AJ943,1,0)))</f>
        <v/>
      </c>
    </row>
    <row r="944" customFormat="false" ht="15" hidden="false" customHeight="false" outlineLevel="0" collapsed="false">
      <c r="B944" s="29"/>
      <c r="C944" s="29"/>
      <c r="D944" s="29"/>
      <c r="E944" s="29"/>
      <c r="F944" s="29"/>
      <c r="G944" s="29"/>
      <c r="H944" s="29"/>
      <c r="I944" s="29"/>
      <c r="J944" s="29"/>
      <c r="K944" s="29"/>
      <c r="L944" s="29"/>
      <c r="M944" s="29"/>
      <c r="N944" s="30"/>
      <c r="O944" s="30"/>
      <c r="P944" s="30"/>
      <c r="Q944" s="30"/>
      <c r="R944" s="30"/>
      <c r="S944" s="30"/>
      <c r="T944" s="30"/>
      <c r="U944" s="30"/>
      <c r="V944" s="31"/>
      <c r="W944" s="29"/>
      <c r="X944" s="29"/>
      <c r="Y944" s="29"/>
      <c r="Z944" s="29"/>
      <c r="AA944" s="30"/>
      <c r="AB944" s="30"/>
      <c r="AC944" s="30"/>
      <c r="AD944" s="30"/>
      <c r="AE944" s="30"/>
      <c r="AF944" s="32"/>
      <c r="AG944" s="33"/>
      <c r="AH944" s="33"/>
      <c r="AI944" s="29"/>
      <c r="AJ944" s="32"/>
      <c r="AK944" s="32"/>
      <c r="AL944" s="29"/>
      <c r="AN944" s="34" t="str">
        <f aca="false">IF($B944="","",IF(OR(C944="",D944="",E944="",G944="",I944="",J944="",L944="",O944="",P944=""),"Champ obligatoire manquant",IF(OR(AND(N944&lt;&gt;"",N944&gt;O944),O944&gt;P944,AND(Q944&lt;&gt;"",Q944&lt;P944),AND(R944&lt;&gt;"",R944&lt;P944),AND(S944&lt;&gt;"",S944&lt;R944),AND(S944&lt;&gt;"",R944=""),AND(T944&lt;&gt;"",T944&lt;O944),AND(U944&lt;&gt;"",U944&lt;O944)),"Chronologie incohérente",IF(AND(OR(L944="Résolu",L944="Clos"),R944=""),"Date de résolution manquante",IF(AND(L944="Clos",S944=""),"Date de clôture manquante",IF(AND(K944="Oui",AC944=""),"Classification DORA manquante","OK"))))))</f>
        <v/>
      </c>
      <c r="AO944" s="35" t="str">
        <f aca="false">IF($B944="","",IF(AND(C944="Incident",L944&lt;&gt;"Annulé"),1,0))</f>
        <v/>
      </c>
      <c r="AP944" s="35" t="str">
        <f aca="false">IF($B944="","",IF(AND(C944="Quasi-incident",L944&lt;&gt;"Annulé"),1,0))</f>
        <v/>
      </c>
      <c r="AQ944" s="35" t="str">
        <f aca="false">IF($B944="","",AO944+AP944)</f>
        <v/>
      </c>
      <c r="AR944" s="36" t="str">
        <f aca="false">IF(OR($B944="",J944=""),"",IFERROR(VALUE(LEFT(J944,1)),""))</f>
        <v/>
      </c>
      <c r="AS944" s="35" t="str">
        <f aca="false">IF(OR(AO944&lt;&gt;1,G944=""),"",IFERROR(IF(INDEX(L_SrcInterne,MATCH(G944,L_Sources,0))="Oui",1,0),""))</f>
        <v/>
      </c>
      <c r="AT944" s="37" t="str">
        <f aca="false">IF(AO944&lt;&gt;1,"",IFERROR(ROUND(IF(OR(N944="",O944=""),"",IF(O944&lt;N944,"",ROUND(((NETWORKDAYS(N944,O944,JoursFeries)-1)*(HFer-HOuv)+IF(NETWORKDAYS(O944,O944,JoursFeries),MEDIAN(MOD(O944,1),HFer,HOuv),HFer)-IF(NETWORKDAYS(N944,N944,JoursFeries),MEDIAN(MOD(N944,1),HFer,HOuv),HOuv))*24,4)))/HJour,4),""))</f>
        <v/>
      </c>
      <c r="AU944" s="37" t="str">
        <f aca="false">IF(AO944&lt;&gt;1,"",IF(OR(O944="",P944=""),"",IF(P944&lt;O944,"",ROUND(((NETWORKDAYS(O944,P944,JoursFeries)-1)*(HFer-HOuv)+IF(NETWORKDAYS(P944,P944,JoursFeries),MEDIAN(MOD(P944,1),HFer,HOuv),HFer)-IF(NETWORKDAYS(O944,O944,JoursFeries),MEDIAN(MOD(O944,1),HFer,HOuv),HOuv))*24,4))))</f>
        <v/>
      </c>
      <c r="AV944" s="37" t="str">
        <f aca="false">IF(AO944&lt;&gt;1,"",IF(OR(P944="",Q944=""),"",IF(Q944&lt;P944,"",ROUND(((NETWORKDAYS(P944,Q944,JoursFeries)-1)*(HFer-HOuv)+IF(NETWORKDAYS(Q944,Q944,JoursFeries),MEDIAN(MOD(Q944,1),HFer,HOuv),HFer)-IF(NETWORKDAYS(P944,P944,JoursFeries),MEDIAN(MOD(P944,1),HFer,HOuv),HOuv))*24,4))))</f>
        <v/>
      </c>
      <c r="AW944" s="37" t="str">
        <f aca="false">IF(AO944&lt;&gt;1,"",IFERROR(ROUND(IF(OR(P944="",R944=""),"",IF(R944&lt;P944,"",ROUND(((NETWORKDAYS(P944,R944,JoursFeries)-1)*(HFer-HOuv)+IF(NETWORKDAYS(R944,R944,JoursFeries),MEDIAN(MOD(R944,1),HFer,HOuv),HFer)-IF(NETWORKDAYS(P944,P944,JoursFeries),MEDIAN(MOD(P944,1),HFer,HOuv),HOuv))*24,4)))/HJour,4),""))</f>
        <v/>
      </c>
      <c r="AX944" s="37" t="str">
        <f aca="false">IF(AO944&lt;&gt;1,"",IFERROR(ROUND(IF(OR(P944="",S944=""),"",IF(S944&lt;P944,"",ROUND(((NETWORKDAYS(P944,S944,JoursFeries)-1)*(HFer-HOuv)+IF(NETWORKDAYS(S944,S944,JoursFeries),MEDIAN(MOD(S944,1),HFer,HOuv),HFer)-IF(NETWORKDAYS(P944,P944,JoursFeries),MEDIAN(MOD(P944,1),HFer,HOuv),HOuv))*24,4)))/HJour,4),""))</f>
        <v/>
      </c>
      <c r="AY944" s="36" t="str">
        <f aca="false">IF(OR(AO944&lt;&gt;1,AR944=""),"",INDEX(SLA_PEC,AR944))</f>
        <v/>
      </c>
      <c r="AZ944" s="35" t="str">
        <f aca="false">IF(OR(AV944="",AY944=""),"",IF(AV944&lt;=AY944,1,0))</f>
        <v/>
      </c>
      <c r="BA944" s="36" t="str">
        <f aca="false">IF(OR(AO944&lt;&gt;1,AR944=""),"",INDEX(SLA_RES,AR944))</f>
        <v/>
      </c>
      <c r="BB944" s="35" t="str">
        <f aca="false">IF(OR(AW944="",BA944=""),"",IF(AW944&lt;=BA944,1,0))</f>
        <v/>
      </c>
      <c r="BC944" s="38" t="str">
        <f aca="false">IF(OR(BA944="",P944=""),"",WORKDAY(INT(P944),BA944,JoursFeries)+MOD(P944,1))</f>
        <v/>
      </c>
      <c r="BD944" s="39" t="str">
        <f aca="false">IF(AO944&lt;&gt;1,"",IF(OR(AB944&lt;&gt;"",AD944&lt;&gt;""),4,IF(U944&lt;&gt;"",3,IF(T944&lt;&gt;"",2,1))))</f>
        <v/>
      </c>
      <c r="BE944" s="39" t="str">
        <f aca="false">IF(OR(AO944&lt;&gt;1,AR944=""),"",INDEX(NIV_REQ,AR944))</f>
        <v/>
      </c>
      <c r="BF944" s="39" t="str">
        <f aca="false">IF(BE944="","",MAX(BE944,IF(OR(K944="Oui",Z944="Oui"),4,1)))</f>
        <v/>
      </c>
      <c r="BG944" s="35" t="str">
        <f aca="false">IF(OR(BF944="",BD944=""),"",IF(BD944&gt;=BF944,1,0))</f>
        <v/>
      </c>
      <c r="BH944" s="38" t="str">
        <f aca="false">IF(BE944="","",IF(BE944&lt;2,"",IF(BE944=2,IF(AND(T944="",U944=""),"",MIN(T944,U944)),IF(U944="","",U944))))</f>
        <v/>
      </c>
      <c r="BI944" s="37" t="str">
        <f aca="false">IF(BH944="","",IF(OR(O944="",BH944=""),"",IF(BH944&lt;O944,"",ROUND(((NETWORKDAYS(O944,BH944,JoursFeries)-1)*(HFer-HOuv)+IF(NETWORKDAYS(BH944,BH944,JoursFeries),MEDIAN(MOD(BH944,1),HFer,HOuv),HFer)-IF(NETWORKDAYS(O944,O944,JoursFeries),MEDIAN(MOD(O944,1),HFer,HOuv),HOuv))*24,4))))</f>
        <v/>
      </c>
      <c r="BJ944" s="35" t="str">
        <f aca="false">IF(OR(BI944="",AR944=""),"",IF(BI944&lt;=INDEX(DELAI_ESC,AR944),1,0))</f>
        <v/>
      </c>
      <c r="BK944" s="38" t="str">
        <f aca="false">IF(AO944&lt;&gt;1,"",IF(AND(T944="",U944=""),"",MIN(T944,U944)))</f>
        <v/>
      </c>
      <c r="BL944" s="37" t="str">
        <f aca="false">IF(OR(BK944="",R944=""),"",IFERROR(ROUND(IF(OR(BK944="",R944=""),"",IF(R944&lt;BK944,"",ROUND(((NETWORKDAYS(BK944,R944,JoursFeries)-1)*(HFer-HOuv)+IF(NETWORKDAYS(R944,R944,JoursFeries),MEDIAN(MOD(R944,1),HFer,HOuv),HFer)-IF(NETWORKDAYS(BK944,BK944,JoursFeries),MEDIAN(MOD(BK944,1),HFer,HOuv),HOuv))*24,4)))/HJour,4),""))</f>
        <v/>
      </c>
      <c r="BM944" s="35" t="str">
        <f aca="false">IF(OR(AO944&lt;&gt;1,R944=""),"",IF(BD944=1,1,0))</f>
        <v/>
      </c>
      <c r="BN944" s="35" t="str">
        <f aca="false">IF(AO944&lt;&gt;1,"",IF(W944="Oui",1,0))</f>
        <v/>
      </c>
      <c r="BO944" s="35" t="str">
        <f aca="false">IF(AO944&lt;&gt;1,"",IF(X944&lt;&gt;"",1,0))</f>
        <v/>
      </c>
      <c r="BP944" s="35" t="str">
        <f aca="false">IF(AO944&lt;&gt;1,"",IF(Y944="Oui",1,0))</f>
        <v/>
      </c>
      <c r="BQ944" s="35" t="str">
        <f aca="true">IF(OR(AO944&lt;&gt;1,Z944&lt;&gt;"Oui"),"",IF(AB944="",IF(AND(AA944&lt;&gt;"",NOW()&gt;AA944),0,""),IF(AA944="","",IF(AB944&lt;=AA944,1,0))))</f>
        <v/>
      </c>
      <c r="BR944" s="38" t="str">
        <f aca="false">IF(OR(AO944&lt;&gt;1,K944&lt;&gt;"Oui",O944=""),"",IF(AC944="",O944+DORA_H_DET/24,IF(AC944-O944&lt;=DORA_H_DET/24,MIN(AC944+DORA_H_CLA/24,O944+DORA_H_DET/24),AC944+DORA_H_CLA/24)))</f>
        <v/>
      </c>
      <c r="BS944" s="35" t="str">
        <f aca="true">IF(BR944="","",IF(AD944="",IF(NOW()&gt;BR944,0,""),IF(AD944&lt;=BR944,1,0)))</f>
        <v/>
      </c>
      <c r="BT944" s="35" t="str">
        <f aca="true">IF(OR(BR944="",AD944=""),"",IF(AE944="",IF(NOW()&gt;AD944+DORA_H_INT/24,0,""),IF(AE944&lt;=AD944+DORA_H_INT/24,1,0)))</f>
        <v/>
      </c>
      <c r="BU944" s="35" t="str">
        <f aca="true">IF(OR(BR944="",AE944=""),"",IF(AF944="",IF(NOW()&gt;EDATE(AE944,DORA_M_FIN)+1,0,""),IF(AF944&lt;=EDATE(AE944,DORA_M_FIN),1,0)))</f>
        <v/>
      </c>
      <c r="BV944" s="35" t="str">
        <f aca="false">IF(BR944="","",IF(COUNT(BS944:BU944)=0,"",MIN(BS944:BU944)))</f>
        <v/>
      </c>
      <c r="BW944" s="40" t="str">
        <f aca="false">IF(AQ944&lt;&gt;1,"",IF(AND(AG944="",AH944=""),"",N(AG944)-N(AH944)))</f>
        <v/>
      </c>
      <c r="BX944" s="35" t="str">
        <f aca="true">IF(OR(AQ944&lt;&gt;1,AI944&lt;&gt;"Oui",AJ944=""),"",IF(AK944="",IF(NOW()&gt;AJ944+1,0,""),IF(AK944&lt;=AJ944,1,0)))</f>
        <v/>
      </c>
    </row>
    <row r="945" customFormat="false" ht="15" hidden="false" customHeight="false" outlineLevel="0" collapsed="false">
      <c r="B945" s="29"/>
      <c r="C945" s="29"/>
      <c r="D945" s="29"/>
      <c r="E945" s="29"/>
      <c r="F945" s="29"/>
      <c r="G945" s="29"/>
      <c r="H945" s="29"/>
      <c r="I945" s="29"/>
      <c r="J945" s="29"/>
      <c r="K945" s="29"/>
      <c r="L945" s="29"/>
      <c r="M945" s="29"/>
      <c r="N945" s="30"/>
      <c r="O945" s="30"/>
      <c r="P945" s="30"/>
      <c r="Q945" s="30"/>
      <c r="R945" s="30"/>
      <c r="S945" s="30"/>
      <c r="T945" s="30"/>
      <c r="U945" s="30"/>
      <c r="V945" s="31"/>
      <c r="W945" s="29"/>
      <c r="X945" s="29"/>
      <c r="Y945" s="29"/>
      <c r="Z945" s="29"/>
      <c r="AA945" s="30"/>
      <c r="AB945" s="30"/>
      <c r="AC945" s="30"/>
      <c r="AD945" s="30"/>
      <c r="AE945" s="30"/>
      <c r="AF945" s="32"/>
      <c r="AG945" s="33"/>
      <c r="AH945" s="33"/>
      <c r="AI945" s="29"/>
      <c r="AJ945" s="32"/>
      <c r="AK945" s="32"/>
      <c r="AL945" s="29"/>
      <c r="AN945" s="34" t="str">
        <f aca="false">IF($B945="","",IF(OR(C945="",D945="",E945="",G945="",I945="",J945="",L945="",O945="",P945=""),"Champ obligatoire manquant",IF(OR(AND(N945&lt;&gt;"",N945&gt;O945),O945&gt;P945,AND(Q945&lt;&gt;"",Q945&lt;P945),AND(R945&lt;&gt;"",R945&lt;P945),AND(S945&lt;&gt;"",S945&lt;R945),AND(S945&lt;&gt;"",R945=""),AND(T945&lt;&gt;"",T945&lt;O945),AND(U945&lt;&gt;"",U945&lt;O945)),"Chronologie incohérente",IF(AND(OR(L945="Résolu",L945="Clos"),R945=""),"Date de résolution manquante",IF(AND(L945="Clos",S945=""),"Date de clôture manquante",IF(AND(K945="Oui",AC945=""),"Classification DORA manquante","OK"))))))</f>
        <v/>
      </c>
      <c r="AO945" s="35" t="str">
        <f aca="false">IF($B945="","",IF(AND(C945="Incident",L945&lt;&gt;"Annulé"),1,0))</f>
        <v/>
      </c>
      <c r="AP945" s="35" t="str">
        <f aca="false">IF($B945="","",IF(AND(C945="Quasi-incident",L945&lt;&gt;"Annulé"),1,0))</f>
        <v/>
      </c>
      <c r="AQ945" s="35" t="str">
        <f aca="false">IF($B945="","",AO945+AP945)</f>
        <v/>
      </c>
      <c r="AR945" s="36" t="str">
        <f aca="false">IF(OR($B945="",J945=""),"",IFERROR(VALUE(LEFT(J945,1)),""))</f>
        <v/>
      </c>
      <c r="AS945" s="35" t="str">
        <f aca="false">IF(OR(AO945&lt;&gt;1,G945=""),"",IFERROR(IF(INDEX(L_SrcInterne,MATCH(G945,L_Sources,0))="Oui",1,0),""))</f>
        <v/>
      </c>
      <c r="AT945" s="37" t="str">
        <f aca="false">IF(AO945&lt;&gt;1,"",IFERROR(ROUND(IF(OR(N945="",O945=""),"",IF(O945&lt;N945,"",ROUND(((NETWORKDAYS(N945,O945,JoursFeries)-1)*(HFer-HOuv)+IF(NETWORKDAYS(O945,O945,JoursFeries),MEDIAN(MOD(O945,1),HFer,HOuv),HFer)-IF(NETWORKDAYS(N945,N945,JoursFeries),MEDIAN(MOD(N945,1),HFer,HOuv),HOuv))*24,4)))/HJour,4),""))</f>
        <v/>
      </c>
      <c r="AU945" s="37" t="str">
        <f aca="false">IF(AO945&lt;&gt;1,"",IF(OR(O945="",P945=""),"",IF(P945&lt;O945,"",ROUND(((NETWORKDAYS(O945,P945,JoursFeries)-1)*(HFer-HOuv)+IF(NETWORKDAYS(P945,P945,JoursFeries),MEDIAN(MOD(P945,1),HFer,HOuv),HFer)-IF(NETWORKDAYS(O945,O945,JoursFeries),MEDIAN(MOD(O945,1),HFer,HOuv),HOuv))*24,4))))</f>
        <v/>
      </c>
      <c r="AV945" s="37" t="str">
        <f aca="false">IF(AO945&lt;&gt;1,"",IF(OR(P945="",Q945=""),"",IF(Q945&lt;P945,"",ROUND(((NETWORKDAYS(P945,Q945,JoursFeries)-1)*(HFer-HOuv)+IF(NETWORKDAYS(Q945,Q945,JoursFeries),MEDIAN(MOD(Q945,1),HFer,HOuv),HFer)-IF(NETWORKDAYS(P945,P945,JoursFeries),MEDIAN(MOD(P945,1),HFer,HOuv),HOuv))*24,4))))</f>
        <v/>
      </c>
      <c r="AW945" s="37" t="str">
        <f aca="false">IF(AO945&lt;&gt;1,"",IFERROR(ROUND(IF(OR(P945="",R945=""),"",IF(R945&lt;P945,"",ROUND(((NETWORKDAYS(P945,R945,JoursFeries)-1)*(HFer-HOuv)+IF(NETWORKDAYS(R945,R945,JoursFeries),MEDIAN(MOD(R945,1),HFer,HOuv),HFer)-IF(NETWORKDAYS(P945,P945,JoursFeries),MEDIAN(MOD(P945,1),HFer,HOuv),HOuv))*24,4)))/HJour,4),""))</f>
        <v/>
      </c>
      <c r="AX945" s="37" t="str">
        <f aca="false">IF(AO945&lt;&gt;1,"",IFERROR(ROUND(IF(OR(P945="",S945=""),"",IF(S945&lt;P945,"",ROUND(((NETWORKDAYS(P945,S945,JoursFeries)-1)*(HFer-HOuv)+IF(NETWORKDAYS(S945,S945,JoursFeries),MEDIAN(MOD(S945,1),HFer,HOuv),HFer)-IF(NETWORKDAYS(P945,P945,JoursFeries),MEDIAN(MOD(P945,1),HFer,HOuv),HOuv))*24,4)))/HJour,4),""))</f>
        <v/>
      </c>
      <c r="AY945" s="36" t="str">
        <f aca="false">IF(OR(AO945&lt;&gt;1,AR945=""),"",INDEX(SLA_PEC,AR945))</f>
        <v/>
      </c>
      <c r="AZ945" s="35" t="str">
        <f aca="false">IF(OR(AV945="",AY945=""),"",IF(AV945&lt;=AY945,1,0))</f>
        <v/>
      </c>
      <c r="BA945" s="36" t="str">
        <f aca="false">IF(OR(AO945&lt;&gt;1,AR945=""),"",INDEX(SLA_RES,AR945))</f>
        <v/>
      </c>
      <c r="BB945" s="35" t="str">
        <f aca="false">IF(OR(AW945="",BA945=""),"",IF(AW945&lt;=BA945,1,0))</f>
        <v/>
      </c>
      <c r="BC945" s="38" t="str">
        <f aca="false">IF(OR(BA945="",P945=""),"",WORKDAY(INT(P945),BA945,JoursFeries)+MOD(P945,1))</f>
        <v/>
      </c>
      <c r="BD945" s="39" t="str">
        <f aca="false">IF(AO945&lt;&gt;1,"",IF(OR(AB945&lt;&gt;"",AD945&lt;&gt;""),4,IF(U945&lt;&gt;"",3,IF(T945&lt;&gt;"",2,1))))</f>
        <v/>
      </c>
      <c r="BE945" s="39" t="str">
        <f aca="false">IF(OR(AO945&lt;&gt;1,AR945=""),"",INDEX(NIV_REQ,AR945))</f>
        <v/>
      </c>
      <c r="BF945" s="39" t="str">
        <f aca="false">IF(BE945="","",MAX(BE945,IF(OR(K945="Oui",Z945="Oui"),4,1)))</f>
        <v/>
      </c>
      <c r="BG945" s="35" t="str">
        <f aca="false">IF(OR(BF945="",BD945=""),"",IF(BD945&gt;=BF945,1,0))</f>
        <v/>
      </c>
      <c r="BH945" s="38" t="str">
        <f aca="false">IF(BE945="","",IF(BE945&lt;2,"",IF(BE945=2,IF(AND(T945="",U945=""),"",MIN(T945,U945)),IF(U945="","",U945))))</f>
        <v/>
      </c>
      <c r="BI945" s="37" t="str">
        <f aca="false">IF(BH945="","",IF(OR(O945="",BH945=""),"",IF(BH945&lt;O945,"",ROUND(((NETWORKDAYS(O945,BH945,JoursFeries)-1)*(HFer-HOuv)+IF(NETWORKDAYS(BH945,BH945,JoursFeries),MEDIAN(MOD(BH945,1),HFer,HOuv),HFer)-IF(NETWORKDAYS(O945,O945,JoursFeries),MEDIAN(MOD(O945,1),HFer,HOuv),HOuv))*24,4))))</f>
        <v/>
      </c>
      <c r="BJ945" s="35" t="str">
        <f aca="false">IF(OR(BI945="",AR945=""),"",IF(BI945&lt;=INDEX(DELAI_ESC,AR945),1,0))</f>
        <v/>
      </c>
      <c r="BK945" s="38" t="str">
        <f aca="false">IF(AO945&lt;&gt;1,"",IF(AND(T945="",U945=""),"",MIN(T945,U945)))</f>
        <v/>
      </c>
      <c r="BL945" s="37" t="str">
        <f aca="false">IF(OR(BK945="",R945=""),"",IFERROR(ROUND(IF(OR(BK945="",R945=""),"",IF(R945&lt;BK945,"",ROUND(((NETWORKDAYS(BK945,R945,JoursFeries)-1)*(HFer-HOuv)+IF(NETWORKDAYS(R945,R945,JoursFeries),MEDIAN(MOD(R945,1),HFer,HOuv),HFer)-IF(NETWORKDAYS(BK945,BK945,JoursFeries),MEDIAN(MOD(BK945,1),HFer,HOuv),HOuv))*24,4)))/HJour,4),""))</f>
        <v/>
      </c>
      <c r="BM945" s="35" t="str">
        <f aca="false">IF(OR(AO945&lt;&gt;1,R945=""),"",IF(BD945=1,1,0))</f>
        <v/>
      </c>
      <c r="BN945" s="35" t="str">
        <f aca="false">IF(AO945&lt;&gt;1,"",IF(W945="Oui",1,0))</f>
        <v/>
      </c>
      <c r="BO945" s="35" t="str">
        <f aca="false">IF(AO945&lt;&gt;1,"",IF(X945&lt;&gt;"",1,0))</f>
        <v/>
      </c>
      <c r="BP945" s="35" t="str">
        <f aca="false">IF(AO945&lt;&gt;1,"",IF(Y945="Oui",1,0))</f>
        <v/>
      </c>
      <c r="BQ945" s="35" t="str">
        <f aca="true">IF(OR(AO945&lt;&gt;1,Z945&lt;&gt;"Oui"),"",IF(AB945="",IF(AND(AA945&lt;&gt;"",NOW()&gt;AA945),0,""),IF(AA945="","",IF(AB945&lt;=AA945,1,0))))</f>
        <v/>
      </c>
      <c r="BR945" s="38" t="str">
        <f aca="false">IF(OR(AO945&lt;&gt;1,K945&lt;&gt;"Oui",O945=""),"",IF(AC945="",O945+DORA_H_DET/24,IF(AC945-O945&lt;=DORA_H_DET/24,MIN(AC945+DORA_H_CLA/24,O945+DORA_H_DET/24),AC945+DORA_H_CLA/24)))</f>
        <v/>
      </c>
      <c r="BS945" s="35" t="str">
        <f aca="true">IF(BR945="","",IF(AD945="",IF(NOW()&gt;BR945,0,""),IF(AD945&lt;=BR945,1,0)))</f>
        <v/>
      </c>
      <c r="BT945" s="35" t="str">
        <f aca="true">IF(OR(BR945="",AD945=""),"",IF(AE945="",IF(NOW()&gt;AD945+DORA_H_INT/24,0,""),IF(AE945&lt;=AD945+DORA_H_INT/24,1,0)))</f>
        <v/>
      </c>
      <c r="BU945" s="35" t="str">
        <f aca="true">IF(OR(BR945="",AE945=""),"",IF(AF945="",IF(NOW()&gt;EDATE(AE945,DORA_M_FIN)+1,0,""),IF(AF945&lt;=EDATE(AE945,DORA_M_FIN),1,0)))</f>
        <v/>
      </c>
      <c r="BV945" s="35" t="str">
        <f aca="false">IF(BR945="","",IF(COUNT(BS945:BU945)=0,"",MIN(BS945:BU945)))</f>
        <v/>
      </c>
      <c r="BW945" s="40" t="str">
        <f aca="false">IF(AQ945&lt;&gt;1,"",IF(AND(AG945="",AH945=""),"",N(AG945)-N(AH945)))</f>
        <v/>
      </c>
      <c r="BX945" s="35" t="str">
        <f aca="true">IF(OR(AQ945&lt;&gt;1,AI945&lt;&gt;"Oui",AJ945=""),"",IF(AK945="",IF(NOW()&gt;AJ945+1,0,""),IF(AK945&lt;=AJ945,1,0)))</f>
        <v/>
      </c>
    </row>
    <row r="946" customFormat="false" ht="15" hidden="false" customHeight="false" outlineLevel="0" collapsed="false">
      <c r="B946" s="29"/>
      <c r="C946" s="29"/>
      <c r="D946" s="29"/>
      <c r="E946" s="29"/>
      <c r="F946" s="29"/>
      <c r="G946" s="29"/>
      <c r="H946" s="29"/>
      <c r="I946" s="29"/>
      <c r="J946" s="29"/>
      <c r="K946" s="29"/>
      <c r="L946" s="29"/>
      <c r="M946" s="29"/>
      <c r="N946" s="30"/>
      <c r="O946" s="30"/>
      <c r="P946" s="30"/>
      <c r="Q946" s="30"/>
      <c r="R946" s="30"/>
      <c r="S946" s="30"/>
      <c r="T946" s="30"/>
      <c r="U946" s="30"/>
      <c r="V946" s="31"/>
      <c r="W946" s="29"/>
      <c r="X946" s="29"/>
      <c r="Y946" s="29"/>
      <c r="Z946" s="29"/>
      <c r="AA946" s="30"/>
      <c r="AB946" s="30"/>
      <c r="AC946" s="30"/>
      <c r="AD946" s="30"/>
      <c r="AE946" s="30"/>
      <c r="AF946" s="32"/>
      <c r="AG946" s="33"/>
      <c r="AH946" s="33"/>
      <c r="AI946" s="29"/>
      <c r="AJ946" s="32"/>
      <c r="AK946" s="32"/>
      <c r="AL946" s="29"/>
      <c r="AN946" s="34" t="str">
        <f aca="false">IF($B946="","",IF(OR(C946="",D946="",E946="",G946="",I946="",J946="",L946="",O946="",P946=""),"Champ obligatoire manquant",IF(OR(AND(N946&lt;&gt;"",N946&gt;O946),O946&gt;P946,AND(Q946&lt;&gt;"",Q946&lt;P946),AND(R946&lt;&gt;"",R946&lt;P946),AND(S946&lt;&gt;"",S946&lt;R946),AND(S946&lt;&gt;"",R946=""),AND(T946&lt;&gt;"",T946&lt;O946),AND(U946&lt;&gt;"",U946&lt;O946)),"Chronologie incohérente",IF(AND(OR(L946="Résolu",L946="Clos"),R946=""),"Date de résolution manquante",IF(AND(L946="Clos",S946=""),"Date de clôture manquante",IF(AND(K946="Oui",AC946=""),"Classification DORA manquante","OK"))))))</f>
        <v/>
      </c>
      <c r="AO946" s="35" t="str">
        <f aca="false">IF($B946="","",IF(AND(C946="Incident",L946&lt;&gt;"Annulé"),1,0))</f>
        <v/>
      </c>
      <c r="AP946" s="35" t="str">
        <f aca="false">IF($B946="","",IF(AND(C946="Quasi-incident",L946&lt;&gt;"Annulé"),1,0))</f>
        <v/>
      </c>
      <c r="AQ946" s="35" t="str">
        <f aca="false">IF($B946="","",AO946+AP946)</f>
        <v/>
      </c>
      <c r="AR946" s="36" t="str">
        <f aca="false">IF(OR($B946="",J946=""),"",IFERROR(VALUE(LEFT(J946,1)),""))</f>
        <v/>
      </c>
      <c r="AS946" s="35" t="str">
        <f aca="false">IF(OR(AO946&lt;&gt;1,G946=""),"",IFERROR(IF(INDEX(L_SrcInterne,MATCH(G946,L_Sources,0))="Oui",1,0),""))</f>
        <v/>
      </c>
      <c r="AT946" s="37" t="str">
        <f aca="false">IF(AO946&lt;&gt;1,"",IFERROR(ROUND(IF(OR(N946="",O946=""),"",IF(O946&lt;N946,"",ROUND(((NETWORKDAYS(N946,O946,JoursFeries)-1)*(HFer-HOuv)+IF(NETWORKDAYS(O946,O946,JoursFeries),MEDIAN(MOD(O946,1),HFer,HOuv),HFer)-IF(NETWORKDAYS(N946,N946,JoursFeries),MEDIAN(MOD(N946,1),HFer,HOuv),HOuv))*24,4)))/HJour,4),""))</f>
        <v/>
      </c>
      <c r="AU946" s="37" t="str">
        <f aca="false">IF(AO946&lt;&gt;1,"",IF(OR(O946="",P946=""),"",IF(P946&lt;O946,"",ROUND(((NETWORKDAYS(O946,P946,JoursFeries)-1)*(HFer-HOuv)+IF(NETWORKDAYS(P946,P946,JoursFeries),MEDIAN(MOD(P946,1),HFer,HOuv),HFer)-IF(NETWORKDAYS(O946,O946,JoursFeries),MEDIAN(MOD(O946,1),HFer,HOuv),HOuv))*24,4))))</f>
        <v/>
      </c>
      <c r="AV946" s="37" t="str">
        <f aca="false">IF(AO946&lt;&gt;1,"",IF(OR(P946="",Q946=""),"",IF(Q946&lt;P946,"",ROUND(((NETWORKDAYS(P946,Q946,JoursFeries)-1)*(HFer-HOuv)+IF(NETWORKDAYS(Q946,Q946,JoursFeries),MEDIAN(MOD(Q946,1),HFer,HOuv),HFer)-IF(NETWORKDAYS(P946,P946,JoursFeries),MEDIAN(MOD(P946,1),HFer,HOuv),HOuv))*24,4))))</f>
        <v/>
      </c>
      <c r="AW946" s="37" t="str">
        <f aca="false">IF(AO946&lt;&gt;1,"",IFERROR(ROUND(IF(OR(P946="",R946=""),"",IF(R946&lt;P946,"",ROUND(((NETWORKDAYS(P946,R946,JoursFeries)-1)*(HFer-HOuv)+IF(NETWORKDAYS(R946,R946,JoursFeries),MEDIAN(MOD(R946,1),HFer,HOuv),HFer)-IF(NETWORKDAYS(P946,P946,JoursFeries),MEDIAN(MOD(P946,1),HFer,HOuv),HOuv))*24,4)))/HJour,4),""))</f>
        <v/>
      </c>
      <c r="AX946" s="37" t="str">
        <f aca="false">IF(AO946&lt;&gt;1,"",IFERROR(ROUND(IF(OR(P946="",S946=""),"",IF(S946&lt;P946,"",ROUND(((NETWORKDAYS(P946,S946,JoursFeries)-1)*(HFer-HOuv)+IF(NETWORKDAYS(S946,S946,JoursFeries),MEDIAN(MOD(S946,1),HFer,HOuv),HFer)-IF(NETWORKDAYS(P946,P946,JoursFeries),MEDIAN(MOD(P946,1),HFer,HOuv),HOuv))*24,4)))/HJour,4),""))</f>
        <v/>
      </c>
      <c r="AY946" s="36" t="str">
        <f aca="false">IF(OR(AO946&lt;&gt;1,AR946=""),"",INDEX(SLA_PEC,AR946))</f>
        <v/>
      </c>
      <c r="AZ946" s="35" t="str">
        <f aca="false">IF(OR(AV946="",AY946=""),"",IF(AV946&lt;=AY946,1,0))</f>
        <v/>
      </c>
      <c r="BA946" s="36" t="str">
        <f aca="false">IF(OR(AO946&lt;&gt;1,AR946=""),"",INDEX(SLA_RES,AR946))</f>
        <v/>
      </c>
      <c r="BB946" s="35" t="str">
        <f aca="false">IF(OR(AW946="",BA946=""),"",IF(AW946&lt;=BA946,1,0))</f>
        <v/>
      </c>
      <c r="BC946" s="38" t="str">
        <f aca="false">IF(OR(BA946="",P946=""),"",WORKDAY(INT(P946),BA946,JoursFeries)+MOD(P946,1))</f>
        <v/>
      </c>
      <c r="BD946" s="39" t="str">
        <f aca="false">IF(AO946&lt;&gt;1,"",IF(OR(AB946&lt;&gt;"",AD946&lt;&gt;""),4,IF(U946&lt;&gt;"",3,IF(T946&lt;&gt;"",2,1))))</f>
        <v/>
      </c>
      <c r="BE946" s="39" t="str">
        <f aca="false">IF(OR(AO946&lt;&gt;1,AR946=""),"",INDEX(NIV_REQ,AR946))</f>
        <v/>
      </c>
      <c r="BF946" s="39" t="str">
        <f aca="false">IF(BE946="","",MAX(BE946,IF(OR(K946="Oui",Z946="Oui"),4,1)))</f>
        <v/>
      </c>
      <c r="BG946" s="35" t="str">
        <f aca="false">IF(OR(BF946="",BD946=""),"",IF(BD946&gt;=BF946,1,0))</f>
        <v/>
      </c>
      <c r="BH946" s="38" t="str">
        <f aca="false">IF(BE946="","",IF(BE946&lt;2,"",IF(BE946=2,IF(AND(T946="",U946=""),"",MIN(T946,U946)),IF(U946="","",U946))))</f>
        <v/>
      </c>
      <c r="BI946" s="37" t="str">
        <f aca="false">IF(BH946="","",IF(OR(O946="",BH946=""),"",IF(BH946&lt;O946,"",ROUND(((NETWORKDAYS(O946,BH946,JoursFeries)-1)*(HFer-HOuv)+IF(NETWORKDAYS(BH946,BH946,JoursFeries),MEDIAN(MOD(BH946,1),HFer,HOuv),HFer)-IF(NETWORKDAYS(O946,O946,JoursFeries),MEDIAN(MOD(O946,1),HFer,HOuv),HOuv))*24,4))))</f>
        <v/>
      </c>
      <c r="BJ946" s="35" t="str">
        <f aca="false">IF(OR(BI946="",AR946=""),"",IF(BI946&lt;=INDEX(DELAI_ESC,AR946),1,0))</f>
        <v/>
      </c>
      <c r="BK946" s="38" t="str">
        <f aca="false">IF(AO946&lt;&gt;1,"",IF(AND(T946="",U946=""),"",MIN(T946,U946)))</f>
        <v/>
      </c>
      <c r="BL946" s="37" t="str">
        <f aca="false">IF(OR(BK946="",R946=""),"",IFERROR(ROUND(IF(OR(BK946="",R946=""),"",IF(R946&lt;BK946,"",ROUND(((NETWORKDAYS(BK946,R946,JoursFeries)-1)*(HFer-HOuv)+IF(NETWORKDAYS(R946,R946,JoursFeries),MEDIAN(MOD(R946,1),HFer,HOuv),HFer)-IF(NETWORKDAYS(BK946,BK946,JoursFeries),MEDIAN(MOD(BK946,1),HFer,HOuv),HOuv))*24,4)))/HJour,4),""))</f>
        <v/>
      </c>
      <c r="BM946" s="35" t="str">
        <f aca="false">IF(OR(AO946&lt;&gt;1,R946=""),"",IF(BD946=1,1,0))</f>
        <v/>
      </c>
      <c r="BN946" s="35" t="str">
        <f aca="false">IF(AO946&lt;&gt;1,"",IF(W946="Oui",1,0))</f>
        <v/>
      </c>
      <c r="BO946" s="35" t="str">
        <f aca="false">IF(AO946&lt;&gt;1,"",IF(X946&lt;&gt;"",1,0))</f>
        <v/>
      </c>
      <c r="BP946" s="35" t="str">
        <f aca="false">IF(AO946&lt;&gt;1,"",IF(Y946="Oui",1,0))</f>
        <v/>
      </c>
      <c r="BQ946" s="35" t="str">
        <f aca="true">IF(OR(AO946&lt;&gt;1,Z946&lt;&gt;"Oui"),"",IF(AB946="",IF(AND(AA946&lt;&gt;"",NOW()&gt;AA946),0,""),IF(AA946="","",IF(AB946&lt;=AA946,1,0))))</f>
        <v/>
      </c>
      <c r="BR946" s="38" t="str">
        <f aca="false">IF(OR(AO946&lt;&gt;1,K946&lt;&gt;"Oui",O946=""),"",IF(AC946="",O946+DORA_H_DET/24,IF(AC946-O946&lt;=DORA_H_DET/24,MIN(AC946+DORA_H_CLA/24,O946+DORA_H_DET/24),AC946+DORA_H_CLA/24)))</f>
        <v/>
      </c>
      <c r="BS946" s="35" t="str">
        <f aca="true">IF(BR946="","",IF(AD946="",IF(NOW()&gt;BR946,0,""),IF(AD946&lt;=BR946,1,0)))</f>
        <v/>
      </c>
      <c r="BT946" s="35" t="str">
        <f aca="true">IF(OR(BR946="",AD946=""),"",IF(AE946="",IF(NOW()&gt;AD946+DORA_H_INT/24,0,""),IF(AE946&lt;=AD946+DORA_H_INT/24,1,0)))</f>
        <v/>
      </c>
      <c r="BU946" s="35" t="str">
        <f aca="true">IF(OR(BR946="",AE946=""),"",IF(AF946="",IF(NOW()&gt;EDATE(AE946,DORA_M_FIN)+1,0,""),IF(AF946&lt;=EDATE(AE946,DORA_M_FIN),1,0)))</f>
        <v/>
      </c>
      <c r="BV946" s="35" t="str">
        <f aca="false">IF(BR946="","",IF(COUNT(BS946:BU946)=0,"",MIN(BS946:BU946)))</f>
        <v/>
      </c>
      <c r="BW946" s="40" t="str">
        <f aca="false">IF(AQ946&lt;&gt;1,"",IF(AND(AG946="",AH946=""),"",N(AG946)-N(AH946)))</f>
        <v/>
      </c>
      <c r="BX946" s="35" t="str">
        <f aca="true">IF(OR(AQ946&lt;&gt;1,AI946&lt;&gt;"Oui",AJ946=""),"",IF(AK946="",IF(NOW()&gt;AJ946+1,0,""),IF(AK946&lt;=AJ946,1,0)))</f>
        <v/>
      </c>
    </row>
    <row r="947" customFormat="false" ht="15" hidden="false" customHeight="false" outlineLevel="0" collapsed="false">
      <c r="B947" s="29"/>
      <c r="C947" s="29"/>
      <c r="D947" s="29"/>
      <c r="E947" s="29"/>
      <c r="F947" s="29"/>
      <c r="G947" s="29"/>
      <c r="H947" s="29"/>
      <c r="I947" s="29"/>
      <c r="J947" s="29"/>
      <c r="K947" s="29"/>
      <c r="L947" s="29"/>
      <c r="M947" s="29"/>
      <c r="N947" s="30"/>
      <c r="O947" s="30"/>
      <c r="P947" s="30"/>
      <c r="Q947" s="30"/>
      <c r="R947" s="30"/>
      <c r="S947" s="30"/>
      <c r="T947" s="30"/>
      <c r="U947" s="30"/>
      <c r="V947" s="31"/>
      <c r="W947" s="29"/>
      <c r="X947" s="29"/>
      <c r="Y947" s="29"/>
      <c r="Z947" s="29"/>
      <c r="AA947" s="30"/>
      <c r="AB947" s="30"/>
      <c r="AC947" s="30"/>
      <c r="AD947" s="30"/>
      <c r="AE947" s="30"/>
      <c r="AF947" s="32"/>
      <c r="AG947" s="33"/>
      <c r="AH947" s="33"/>
      <c r="AI947" s="29"/>
      <c r="AJ947" s="32"/>
      <c r="AK947" s="32"/>
      <c r="AL947" s="29"/>
      <c r="AN947" s="34" t="str">
        <f aca="false">IF($B947="","",IF(OR(C947="",D947="",E947="",G947="",I947="",J947="",L947="",O947="",P947=""),"Champ obligatoire manquant",IF(OR(AND(N947&lt;&gt;"",N947&gt;O947),O947&gt;P947,AND(Q947&lt;&gt;"",Q947&lt;P947),AND(R947&lt;&gt;"",R947&lt;P947),AND(S947&lt;&gt;"",S947&lt;R947),AND(S947&lt;&gt;"",R947=""),AND(T947&lt;&gt;"",T947&lt;O947),AND(U947&lt;&gt;"",U947&lt;O947)),"Chronologie incohérente",IF(AND(OR(L947="Résolu",L947="Clos"),R947=""),"Date de résolution manquante",IF(AND(L947="Clos",S947=""),"Date de clôture manquante",IF(AND(K947="Oui",AC947=""),"Classification DORA manquante","OK"))))))</f>
        <v/>
      </c>
      <c r="AO947" s="35" t="str">
        <f aca="false">IF($B947="","",IF(AND(C947="Incident",L947&lt;&gt;"Annulé"),1,0))</f>
        <v/>
      </c>
      <c r="AP947" s="35" t="str">
        <f aca="false">IF($B947="","",IF(AND(C947="Quasi-incident",L947&lt;&gt;"Annulé"),1,0))</f>
        <v/>
      </c>
      <c r="AQ947" s="35" t="str">
        <f aca="false">IF($B947="","",AO947+AP947)</f>
        <v/>
      </c>
      <c r="AR947" s="36" t="str">
        <f aca="false">IF(OR($B947="",J947=""),"",IFERROR(VALUE(LEFT(J947,1)),""))</f>
        <v/>
      </c>
      <c r="AS947" s="35" t="str">
        <f aca="false">IF(OR(AO947&lt;&gt;1,G947=""),"",IFERROR(IF(INDEX(L_SrcInterne,MATCH(G947,L_Sources,0))="Oui",1,0),""))</f>
        <v/>
      </c>
      <c r="AT947" s="37" t="str">
        <f aca="false">IF(AO947&lt;&gt;1,"",IFERROR(ROUND(IF(OR(N947="",O947=""),"",IF(O947&lt;N947,"",ROUND(((NETWORKDAYS(N947,O947,JoursFeries)-1)*(HFer-HOuv)+IF(NETWORKDAYS(O947,O947,JoursFeries),MEDIAN(MOD(O947,1),HFer,HOuv),HFer)-IF(NETWORKDAYS(N947,N947,JoursFeries),MEDIAN(MOD(N947,1),HFer,HOuv),HOuv))*24,4)))/HJour,4),""))</f>
        <v/>
      </c>
      <c r="AU947" s="37" t="str">
        <f aca="false">IF(AO947&lt;&gt;1,"",IF(OR(O947="",P947=""),"",IF(P947&lt;O947,"",ROUND(((NETWORKDAYS(O947,P947,JoursFeries)-1)*(HFer-HOuv)+IF(NETWORKDAYS(P947,P947,JoursFeries),MEDIAN(MOD(P947,1),HFer,HOuv),HFer)-IF(NETWORKDAYS(O947,O947,JoursFeries),MEDIAN(MOD(O947,1),HFer,HOuv),HOuv))*24,4))))</f>
        <v/>
      </c>
      <c r="AV947" s="37" t="str">
        <f aca="false">IF(AO947&lt;&gt;1,"",IF(OR(P947="",Q947=""),"",IF(Q947&lt;P947,"",ROUND(((NETWORKDAYS(P947,Q947,JoursFeries)-1)*(HFer-HOuv)+IF(NETWORKDAYS(Q947,Q947,JoursFeries),MEDIAN(MOD(Q947,1),HFer,HOuv),HFer)-IF(NETWORKDAYS(P947,P947,JoursFeries),MEDIAN(MOD(P947,1),HFer,HOuv),HOuv))*24,4))))</f>
        <v/>
      </c>
      <c r="AW947" s="37" t="str">
        <f aca="false">IF(AO947&lt;&gt;1,"",IFERROR(ROUND(IF(OR(P947="",R947=""),"",IF(R947&lt;P947,"",ROUND(((NETWORKDAYS(P947,R947,JoursFeries)-1)*(HFer-HOuv)+IF(NETWORKDAYS(R947,R947,JoursFeries),MEDIAN(MOD(R947,1),HFer,HOuv),HFer)-IF(NETWORKDAYS(P947,P947,JoursFeries),MEDIAN(MOD(P947,1),HFer,HOuv),HOuv))*24,4)))/HJour,4),""))</f>
        <v/>
      </c>
      <c r="AX947" s="37" t="str">
        <f aca="false">IF(AO947&lt;&gt;1,"",IFERROR(ROUND(IF(OR(P947="",S947=""),"",IF(S947&lt;P947,"",ROUND(((NETWORKDAYS(P947,S947,JoursFeries)-1)*(HFer-HOuv)+IF(NETWORKDAYS(S947,S947,JoursFeries),MEDIAN(MOD(S947,1),HFer,HOuv),HFer)-IF(NETWORKDAYS(P947,P947,JoursFeries),MEDIAN(MOD(P947,1),HFer,HOuv),HOuv))*24,4)))/HJour,4),""))</f>
        <v/>
      </c>
      <c r="AY947" s="36" t="str">
        <f aca="false">IF(OR(AO947&lt;&gt;1,AR947=""),"",INDEX(SLA_PEC,AR947))</f>
        <v/>
      </c>
      <c r="AZ947" s="35" t="str">
        <f aca="false">IF(OR(AV947="",AY947=""),"",IF(AV947&lt;=AY947,1,0))</f>
        <v/>
      </c>
      <c r="BA947" s="36" t="str">
        <f aca="false">IF(OR(AO947&lt;&gt;1,AR947=""),"",INDEX(SLA_RES,AR947))</f>
        <v/>
      </c>
      <c r="BB947" s="35" t="str">
        <f aca="false">IF(OR(AW947="",BA947=""),"",IF(AW947&lt;=BA947,1,0))</f>
        <v/>
      </c>
      <c r="BC947" s="38" t="str">
        <f aca="false">IF(OR(BA947="",P947=""),"",WORKDAY(INT(P947),BA947,JoursFeries)+MOD(P947,1))</f>
        <v/>
      </c>
      <c r="BD947" s="39" t="str">
        <f aca="false">IF(AO947&lt;&gt;1,"",IF(OR(AB947&lt;&gt;"",AD947&lt;&gt;""),4,IF(U947&lt;&gt;"",3,IF(T947&lt;&gt;"",2,1))))</f>
        <v/>
      </c>
      <c r="BE947" s="39" t="str">
        <f aca="false">IF(OR(AO947&lt;&gt;1,AR947=""),"",INDEX(NIV_REQ,AR947))</f>
        <v/>
      </c>
      <c r="BF947" s="39" t="str">
        <f aca="false">IF(BE947="","",MAX(BE947,IF(OR(K947="Oui",Z947="Oui"),4,1)))</f>
        <v/>
      </c>
      <c r="BG947" s="35" t="str">
        <f aca="false">IF(OR(BF947="",BD947=""),"",IF(BD947&gt;=BF947,1,0))</f>
        <v/>
      </c>
      <c r="BH947" s="38" t="str">
        <f aca="false">IF(BE947="","",IF(BE947&lt;2,"",IF(BE947=2,IF(AND(T947="",U947=""),"",MIN(T947,U947)),IF(U947="","",U947))))</f>
        <v/>
      </c>
      <c r="BI947" s="37" t="str">
        <f aca="false">IF(BH947="","",IF(OR(O947="",BH947=""),"",IF(BH947&lt;O947,"",ROUND(((NETWORKDAYS(O947,BH947,JoursFeries)-1)*(HFer-HOuv)+IF(NETWORKDAYS(BH947,BH947,JoursFeries),MEDIAN(MOD(BH947,1),HFer,HOuv),HFer)-IF(NETWORKDAYS(O947,O947,JoursFeries),MEDIAN(MOD(O947,1),HFer,HOuv),HOuv))*24,4))))</f>
        <v/>
      </c>
      <c r="BJ947" s="35" t="str">
        <f aca="false">IF(OR(BI947="",AR947=""),"",IF(BI947&lt;=INDEX(DELAI_ESC,AR947),1,0))</f>
        <v/>
      </c>
      <c r="BK947" s="38" t="str">
        <f aca="false">IF(AO947&lt;&gt;1,"",IF(AND(T947="",U947=""),"",MIN(T947,U947)))</f>
        <v/>
      </c>
      <c r="BL947" s="37" t="str">
        <f aca="false">IF(OR(BK947="",R947=""),"",IFERROR(ROUND(IF(OR(BK947="",R947=""),"",IF(R947&lt;BK947,"",ROUND(((NETWORKDAYS(BK947,R947,JoursFeries)-1)*(HFer-HOuv)+IF(NETWORKDAYS(R947,R947,JoursFeries),MEDIAN(MOD(R947,1),HFer,HOuv),HFer)-IF(NETWORKDAYS(BK947,BK947,JoursFeries),MEDIAN(MOD(BK947,1),HFer,HOuv),HOuv))*24,4)))/HJour,4),""))</f>
        <v/>
      </c>
      <c r="BM947" s="35" t="str">
        <f aca="false">IF(OR(AO947&lt;&gt;1,R947=""),"",IF(BD947=1,1,0))</f>
        <v/>
      </c>
      <c r="BN947" s="35" t="str">
        <f aca="false">IF(AO947&lt;&gt;1,"",IF(W947="Oui",1,0))</f>
        <v/>
      </c>
      <c r="BO947" s="35" t="str">
        <f aca="false">IF(AO947&lt;&gt;1,"",IF(X947&lt;&gt;"",1,0))</f>
        <v/>
      </c>
      <c r="BP947" s="35" t="str">
        <f aca="false">IF(AO947&lt;&gt;1,"",IF(Y947="Oui",1,0))</f>
        <v/>
      </c>
      <c r="BQ947" s="35" t="str">
        <f aca="true">IF(OR(AO947&lt;&gt;1,Z947&lt;&gt;"Oui"),"",IF(AB947="",IF(AND(AA947&lt;&gt;"",NOW()&gt;AA947),0,""),IF(AA947="","",IF(AB947&lt;=AA947,1,0))))</f>
        <v/>
      </c>
      <c r="BR947" s="38" t="str">
        <f aca="false">IF(OR(AO947&lt;&gt;1,K947&lt;&gt;"Oui",O947=""),"",IF(AC947="",O947+DORA_H_DET/24,IF(AC947-O947&lt;=DORA_H_DET/24,MIN(AC947+DORA_H_CLA/24,O947+DORA_H_DET/24),AC947+DORA_H_CLA/24)))</f>
        <v/>
      </c>
      <c r="BS947" s="35" t="str">
        <f aca="true">IF(BR947="","",IF(AD947="",IF(NOW()&gt;BR947,0,""),IF(AD947&lt;=BR947,1,0)))</f>
        <v/>
      </c>
      <c r="BT947" s="35" t="str">
        <f aca="true">IF(OR(BR947="",AD947=""),"",IF(AE947="",IF(NOW()&gt;AD947+DORA_H_INT/24,0,""),IF(AE947&lt;=AD947+DORA_H_INT/24,1,0)))</f>
        <v/>
      </c>
      <c r="BU947" s="35" t="str">
        <f aca="true">IF(OR(BR947="",AE947=""),"",IF(AF947="",IF(NOW()&gt;EDATE(AE947,DORA_M_FIN)+1,0,""),IF(AF947&lt;=EDATE(AE947,DORA_M_FIN),1,0)))</f>
        <v/>
      </c>
      <c r="BV947" s="35" t="str">
        <f aca="false">IF(BR947="","",IF(COUNT(BS947:BU947)=0,"",MIN(BS947:BU947)))</f>
        <v/>
      </c>
      <c r="BW947" s="40" t="str">
        <f aca="false">IF(AQ947&lt;&gt;1,"",IF(AND(AG947="",AH947=""),"",N(AG947)-N(AH947)))</f>
        <v/>
      </c>
      <c r="BX947" s="35" t="str">
        <f aca="true">IF(OR(AQ947&lt;&gt;1,AI947&lt;&gt;"Oui",AJ947=""),"",IF(AK947="",IF(NOW()&gt;AJ947+1,0,""),IF(AK947&lt;=AJ947,1,0)))</f>
        <v/>
      </c>
    </row>
    <row r="948" customFormat="false" ht="15" hidden="false" customHeight="false" outlineLevel="0" collapsed="false">
      <c r="B948" s="29"/>
      <c r="C948" s="29"/>
      <c r="D948" s="29"/>
      <c r="E948" s="29"/>
      <c r="F948" s="29"/>
      <c r="G948" s="29"/>
      <c r="H948" s="29"/>
      <c r="I948" s="29"/>
      <c r="J948" s="29"/>
      <c r="K948" s="29"/>
      <c r="L948" s="29"/>
      <c r="M948" s="29"/>
      <c r="N948" s="30"/>
      <c r="O948" s="30"/>
      <c r="P948" s="30"/>
      <c r="Q948" s="30"/>
      <c r="R948" s="30"/>
      <c r="S948" s="30"/>
      <c r="T948" s="30"/>
      <c r="U948" s="30"/>
      <c r="V948" s="31"/>
      <c r="W948" s="29"/>
      <c r="X948" s="29"/>
      <c r="Y948" s="29"/>
      <c r="Z948" s="29"/>
      <c r="AA948" s="30"/>
      <c r="AB948" s="30"/>
      <c r="AC948" s="30"/>
      <c r="AD948" s="30"/>
      <c r="AE948" s="30"/>
      <c r="AF948" s="32"/>
      <c r="AG948" s="33"/>
      <c r="AH948" s="33"/>
      <c r="AI948" s="29"/>
      <c r="AJ948" s="32"/>
      <c r="AK948" s="32"/>
      <c r="AL948" s="29"/>
      <c r="AN948" s="34" t="str">
        <f aca="false">IF($B948="","",IF(OR(C948="",D948="",E948="",G948="",I948="",J948="",L948="",O948="",P948=""),"Champ obligatoire manquant",IF(OR(AND(N948&lt;&gt;"",N948&gt;O948),O948&gt;P948,AND(Q948&lt;&gt;"",Q948&lt;P948),AND(R948&lt;&gt;"",R948&lt;P948),AND(S948&lt;&gt;"",S948&lt;R948),AND(S948&lt;&gt;"",R948=""),AND(T948&lt;&gt;"",T948&lt;O948),AND(U948&lt;&gt;"",U948&lt;O948)),"Chronologie incohérente",IF(AND(OR(L948="Résolu",L948="Clos"),R948=""),"Date de résolution manquante",IF(AND(L948="Clos",S948=""),"Date de clôture manquante",IF(AND(K948="Oui",AC948=""),"Classification DORA manquante","OK"))))))</f>
        <v/>
      </c>
      <c r="AO948" s="35" t="str">
        <f aca="false">IF($B948="","",IF(AND(C948="Incident",L948&lt;&gt;"Annulé"),1,0))</f>
        <v/>
      </c>
      <c r="AP948" s="35" t="str">
        <f aca="false">IF($B948="","",IF(AND(C948="Quasi-incident",L948&lt;&gt;"Annulé"),1,0))</f>
        <v/>
      </c>
      <c r="AQ948" s="35" t="str">
        <f aca="false">IF($B948="","",AO948+AP948)</f>
        <v/>
      </c>
      <c r="AR948" s="36" t="str">
        <f aca="false">IF(OR($B948="",J948=""),"",IFERROR(VALUE(LEFT(J948,1)),""))</f>
        <v/>
      </c>
      <c r="AS948" s="35" t="str">
        <f aca="false">IF(OR(AO948&lt;&gt;1,G948=""),"",IFERROR(IF(INDEX(L_SrcInterne,MATCH(G948,L_Sources,0))="Oui",1,0),""))</f>
        <v/>
      </c>
      <c r="AT948" s="37" t="str">
        <f aca="false">IF(AO948&lt;&gt;1,"",IFERROR(ROUND(IF(OR(N948="",O948=""),"",IF(O948&lt;N948,"",ROUND(((NETWORKDAYS(N948,O948,JoursFeries)-1)*(HFer-HOuv)+IF(NETWORKDAYS(O948,O948,JoursFeries),MEDIAN(MOD(O948,1),HFer,HOuv),HFer)-IF(NETWORKDAYS(N948,N948,JoursFeries),MEDIAN(MOD(N948,1),HFer,HOuv),HOuv))*24,4)))/HJour,4),""))</f>
        <v/>
      </c>
      <c r="AU948" s="37" t="str">
        <f aca="false">IF(AO948&lt;&gt;1,"",IF(OR(O948="",P948=""),"",IF(P948&lt;O948,"",ROUND(((NETWORKDAYS(O948,P948,JoursFeries)-1)*(HFer-HOuv)+IF(NETWORKDAYS(P948,P948,JoursFeries),MEDIAN(MOD(P948,1),HFer,HOuv),HFer)-IF(NETWORKDAYS(O948,O948,JoursFeries),MEDIAN(MOD(O948,1),HFer,HOuv),HOuv))*24,4))))</f>
        <v/>
      </c>
      <c r="AV948" s="37" t="str">
        <f aca="false">IF(AO948&lt;&gt;1,"",IF(OR(P948="",Q948=""),"",IF(Q948&lt;P948,"",ROUND(((NETWORKDAYS(P948,Q948,JoursFeries)-1)*(HFer-HOuv)+IF(NETWORKDAYS(Q948,Q948,JoursFeries),MEDIAN(MOD(Q948,1),HFer,HOuv),HFer)-IF(NETWORKDAYS(P948,P948,JoursFeries),MEDIAN(MOD(P948,1),HFer,HOuv),HOuv))*24,4))))</f>
        <v/>
      </c>
      <c r="AW948" s="37" t="str">
        <f aca="false">IF(AO948&lt;&gt;1,"",IFERROR(ROUND(IF(OR(P948="",R948=""),"",IF(R948&lt;P948,"",ROUND(((NETWORKDAYS(P948,R948,JoursFeries)-1)*(HFer-HOuv)+IF(NETWORKDAYS(R948,R948,JoursFeries),MEDIAN(MOD(R948,1),HFer,HOuv),HFer)-IF(NETWORKDAYS(P948,P948,JoursFeries),MEDIAN(MOD(P948,1),HFer,HOuv),HOuv))*24,4)))/HJour,4),""))</f>
        <v/>
      </c>
      <c r="AX948" s="37" t="str">
        <f aca="false">IF(AO948&lt;&gt;1,"",IFERROR(ROUND(IF(OR(P948="",S948=""),"",IF(S948&lt;P948,"",ROUND(((NETWORKDAYS(P948,S948,JoursFeries)-1)*(HFer-HOuv)+IF(NETWORKDAYS(S948,S948,JoursFeries),MEDIAN(MOD(S948,1),HFer,HOuv),HFer)-IF(NETWORKDAYS(P948,P948,JoursFeries),MEDIAN(MOD(P948,1),HFer,HOuv),HOuv))*24,4)))/HJour,4),""))</f>
        <v/>
      </c>
      <c r="AY948" s="36" t="str">
        <f aca="false">IF(OR(AO948&lt;&gt;1,AR948=""),"",INDEX(SLA_PEC,AR948))</f>
        <v/>
      </c>
      <c r="AZ948" s="35" t="str">
        <f aca="false">IF(OR(AV948="",AY948=""),"",IF(AV948&lt;=AY948,1,0))</f>
        <v/>
      </c>
      <c r="BA948" s="36" t="str">
        <f aca="false">IF(OR(AO948&lt;&gt;1,AR948=""),"",INDEX(SLA_RES,AR948))</f>
        <v/>
      </c>
      <c r="BB948" s="35" t="str">
        <f aca="false">IF(OR(AW948="",BA948=""),"",IF(AW948&lt;=BA948,1,0))</f>
        <v/>
      </c>
      <c r="BC948" s="38" t="str">
        <f aca="false">IF(OR(BA948="",P948=""),"",WORKDAY(INT(P948),BA948,JoursFeries)+MOD(P948,1))</f>
        <v/>
      </c>
      <c r="BD948" s="39" t="str">
        <f aca="false">IF(AO948&lt;&gt;1,"",IF(OR(AB948&lt;&gt;"",AD948&lt;&gt;""),4,IF(U948&lt;&gt;"",3,IF(T948&lt;&gt;"",2,1))))</f>
        <v/>
      </c>
      <c r="BE948" s="39" t="str">
        <f aca="false">IF(OR(AO948&lt;&gt;1,AR948=""),"",INDEX(NIV_REQ,AR948))</f>
        <v/>
      </c>
      <c r="BF948" s="39" t="str">
        <f aca="false">IF(BE948="","",MAX(BE948,IF(OR(K948="Oui",Z948="Oui"),4,1)))</f>
        <v/>
      </c>
      <c r="BG948" s="35" t="str">
        <f aca="false">IF(OR(BF948="",BD948=""),"",IF(BD948&gt;=BF948,1,0))</f>
        <v/>
      </c>
      <c r="BH948" s="38" t="str">
        <f aca="false">IF(BE948="","",IF(BE948&lt;2,"",IF(BE948=2,IF(AND(T948="",U948=""),"",MIN(T948,U948)),IF(U948="","",U948))))</f>
        <v/>
      </c>
      <c r="BI948" s="37" t="str">
        <f aca="false">IF(BH948="","",IF(OR(O948="",BH948=""),"",IF(BH948&lt;O948,"",ROUND(((NETWORKDAYS(O948,BH948,JoursFeries)-1)*(HFer-HOuv)+IF(NETWORKDAYS(BH948,BH948,JoursFeries),MEDIAN(MOD(BH948,1),HFer,HOuv),HFer)-IF(NETWORKDAYS(O948,O948,JoursFeries),MEDIAN(MOD(O948,1),HFer,HOuv),HOuv))*24,4))))</f>
        <v/>
      </c>
      <c r="BJ948" s="35" t="str">
        <f aca="false">IF(OR(BI948="",AR948=""),"",IF(BI948&lt;=INDEX(DELAI_ESC,AR948),1,0))</f>
        <v/>
      </c>
      <c r="BK948" s="38" t="str">
        <f aca="false">IF(AO948&lt;&gt;1,"",IF(AND(T948="",U948=""),"",MIN(T948,U948)))</f>
        <v/>
      </c>
      <c r="BL948" s="37" t="str">
        <f aca="false">IF(OR(BK948="",R948=""),"",IFERROR(ROUND(IF(OR(BK948="",R948=""),"",IF(R948&lt;BK948,"",ROUND(((NETWORKDAYS(BK948,R948,JoursFeries)-1)*(HFer-HOuv)+IF(NETWORKDAYS(R948,R948,JoursFeries),MEDIAN(MOD(R948,1),HFer,HOuv),HFer)-IF(NETWORKDAYS(BK948,BK948,JoursFeries),MEDIAN(MOD(BK948,1),HFer,HOuv),HOuv))*24,4)))/HJour,4),""))</f>
        <v/>
      </c>
      <c r="BM948" s="35" t="str">
        <f aca="false">IF(OR(AO948&lt;&gt;1,R948=""),"",IF(BD948=1,1,0))</f>
        <v/>
      </c>
      <c r="BN948" s="35" t="str">
        <f aca="false">IF(AO948&lt;&gt;1,"",IF(W948="Oui",1,0))</f>
        <v/>
      </c>
      <c r="BO948" s="35" t="str">
        <f aca="false">IF(AO948&lt;&gt;1,"",IF(X948&lt;&gt;"",1,0))</f>
        <v/>
      </c>
      <c r="BP948" s="35" t="str">
        <f aca="false">IF(AO948&lt;&gt;1,"",IF(Y948="Oui",1,0))</f>
        <v/>
      </c>
      <c r="BQ948" s="35" t="str">
        <f aca="true">IF(OR(AO948&lt;&gt;1,Z948&lt;&gt;"Oui"),"",IF(AB948="",IF(AND(AA948&lt;&gt;"",NOW()&gt;AA948),0,""),IF(AA948="","",IF(AB948&lt;=AA948,1,0))))</f>
        <v/>
      </c>
      <c r="BR948" s="38" t="str">
        <f aca="false">IF(OR(AO948&lt;&gt;1,K948&lt;&gt;"Oui",O948=""),"",IF(AC948="",O948+DORA_H_DET/24,IF(AC948-O948&lt;=DORA_H_DET/24,MIN(AC948+DORA_H_CLA/24,O948+DORA_H_DET/24),AC948+DORA_H_CLA/24)))</f>
        <v/>
      </c>
      <c r="BS948" s="35" t="str">
        <f aca="true">IF(BR948="","",IF(AD948="",IF(NOW()&gt;BR948,0,""),IF(AD948&lt;=BR948,1,0)))</f>
        <v/>
      </c>
      <c r="BT948" s="35" t="str">
        <f aca="true">IF(OR(BR948="",AD948=""),"",IF(AE948="",IF(NOW()&gt;AD948+DORA_H_INT/24,0,""),IF(AE948&lt;=AD948+DORA_H_INT/24,1,0)))</f>
        <v/>
      </c>
      <c r="BU948" s="35" t="str">
        <f aca="true">IF(OR(BR948="",AE948=""),"",IF(AF948="",IF(NOW()&gt;EDATE(AE948,DORA_M_FIN)+1,0,""),IF(AF948&lt;=EDATE(AE948,DORA_M_FIN),1,0)))</f>
        <v/>
      </c>
      <c r="BV948" s="35" t="str">
        <f aca="false">IF(BR948="","",IF(COUNT(BS948:BU948)=0,"",MIN(BS948:BU948)))</f>
        <v/>
      </c>
      <c r="BW948" s="40" t="str">
        <f aca="false">IF(AQ948&lt;&gt;1,"",IF(AND(AG948="",AH948=""),"",N(AG948)-N(AH948)))</f>
        <v/>
      </c>
      <c r="BX948" s="35" t="str">
        <f aca="true">IF(OR(AQ948&lt;&gt;1,AI948&lt;&gt;"Oui",AJ948=""),"",IF(AK948="",IF(NOW()&gt;AJ948+1,0,""),IF(AK948&lt;=AJ948,1,0)))</f>
        <v/>
      </c>
    </row>
    <row r="949" customFormat="false" ht="15" hidden="false" customHeight="false" outlineLevel="0" collapsed="false">
      <c r="B949" s="29"/>
      <c r="C949" s="29"/>
      <c r="D949" s="29"/>
      <c r="E949" s="29"/>
      <c r="F949" s="29"/>
      <c r="G949" s="29"/>
      <c r="H949" s="29"/>
      <c r="I949" s="29"/>
      <c r="J949" s="29"/>
      <c r="K949" s="29"/>
      <c r="L949" s="29"/>
      <c r="M949" s="29"/>
      <c r="N949" s="30"/>
      <c r="O949" s="30"/>
      <c r="P949" s="30"/>
      <c r="Q949" s="30"/>
      <c r="R949" s="30"/>
      <c r="S949" s="30"/>
      <c r="T949" s="30"/>
      <c r="U949" s="30"/>
      <c r="V949" s="31"/>
      <c r="W949" s="29"/>
      <c r="X949" s="29"/>
      <c r="Y949" s="29"/>
      <c r="Z949" s="29"/>
      <c r="AA949" s="30"/>
      <c r="AB949" s="30"/>
      <c r="AC949" s="30"/>
      <c r="AD949" s="30"/>
      <c r="AE949" s="30"/>
      <c r="AF949" s="32"/>
      <c r="AG949" s="33"/>
      <c r="AH949" s="33"/>
      <c r="AI949" s="29"/>
      <c r="AJ949" s="32"/>
      <c r="AK949" s="32"/>
      <c r="AL949" s="29"/>
      <c r="AN949" s="34" t="str">
        <f aca="false">IF($B949="","",IF(OR(C949="",D949="",E949="",G949="",I949="",J949="",L949="",O949="",P949=""),"Champ obligatoire manquant",IF(OR(AND(N949&lt;&gt;"",N949&gt;O949),O949&gt;P949,AND(Q949&lt;&gt;"",Q949&lt;P949),AND(R949&lt;&gt;"",R949&lt;P949),AND(S949&lt;&gt;"",S949&lt;R949),AND(S949&lt;&gt;"",R949=""),AND(T949&lt;&gt;"",T949&lt;O949),AND(U949&lt;&gt;"",U949&lt;O949)),"Chronologie incohérente",IF(AND(OR(L949="Résolu",L949="Clos"),R949=""),"Date de résolution manquante",IF(AND(L949="Clos",S949=""),"Date de clôture manquante",IF(AND(K949="Oui",AC949=""),"Classification DORA manquante","OK"))))))</f>
        <v/>
      </c>
      <c r="AO949" s="35" t="str">
        <f aca="false">IF($B949="","",IF(AND(C949="Incident",L949&lt;&gt;"Annulé"),1,0))</f>
        <v/>
      </c>
      <c r="AP949" s="35" t="str">
        <f aca="false">IF($B949="","",IF(AND(C949="Quasi-incident",L949&lt;&gt;"Annulé"),1,0))</f>
        <v/>
      </c>
      <c r="AQ949" s="35" t="str">
        <f aca="false">IF($B949="","",AO949+AP949)</f>
        <v/>
      </c>
      <c r="AR949" s="36" t="str">
        <f aca="false">IF(OR($B949="",J949=""),"",IFERROR(VALUE(LEFT(J949,1)),""))</f>
        <v/>
      </c>
      <c r="AS949" s="35" t="str">
        <f aca="false">IF(OR(AO949&lt;&gt;1,G949=""),"",IFERROR(IF(INDEX(L_SrcInterne,MATCH(G949,L_Sources,0))="Oui",1,0),""))</f>
        <v/>
      </c>
      <c r="AT949" s="37" t="str">
        <f aca="false">IF(AO949&lt;&gt;1,"",IFERROR(ROUND(IF(OR(N949="",O949=""),"",IF(O949&lt;N949,"",ROUND(((NETWORKDAYS(N949,O949,JoursFeries)-1)*(HFer-HOuv)+IF(NETWORKDAYS(O949,O949,JoursFeries),MEDIAN(MOD(O949,1),HFer,HOuv),HFer)-IF(NETWORKDAYS(N949,N949,JoursFeries),MEDIAN(MOD(N949,1),HFer,HOuv),HOuv))*24,4)))/HJour,4),""))</f>
        <v/>
      </c>
      <c r="AU949" s="37" t="str">
        <f aca="false">IF(AO949&lt;&gt;1,"",IF(OR(O949="",P949=""),"",IF(P949&lt;O949,"",ROUND(((NETWORKDAYS(O949,P949,JoursFeries)-1)*(HFer-HOuv)+IF(NETWORKDAYS(P949,P949,JoursFeries),MEDIAN(MOD(P949,1),HFer,HOuv),HFer)-IF(NETWORKDAYS(O949,O949,JoursFeries),MEDIAN(MOD(O949,1),HFer,HOuv),HOuv))*24,4))))</f>
        <v/>
      </c>
      <c r="AV949" s="37" t="str">
        <f aca="false">IF(AO949&lt;&gt;1,"",IF(OR(P949="",Q949=""),"",IF(Q949&lt;P949,"",ROUND(((NETWORKDAYS(P949,Q949,JoursFeries)-1)*(HFer-HOuv)+IF(NETWORKDAYS(Q949,Q949,JoursFeries),MEDIAN(MOD(Q949,1),HFer,HOuv),HFer)-IF(NETWORKDAYS(P949,P949,JoursFeries),MEDIAN(MOD(P949,1),HFer,HOuv),HOuv))*24,4))))</f>
        <v/>
      </c>
      <c r="AW949" s="37" t="str">
        <f aca="false">IF(AO949&lt;&gt;1,"",IFERROR(ROUND(IF(OR(P949="",R949=""),"",IF(R949&lt;P949,"",ROUND(((NETWORKDAYS(P949,R949,JoursFeries)-1)*(HFer-HOuv)+IF(NETWORKDAYS(R949,R949,JoursFeries),MEDIAN(MOD(R949,1),HFer,HOuv),HFer)-IF(NETWORKDAYS(P949,P949,JoursFeries),MEDIAN(MOD(P949,1),HFer,HOuv),HOuv))*24,4)))/HJour,4),""))</f>
        <v/>
      </c>
      <c r="AX949" s="37" t="str">
        <f aca="false">IF(AO949&lt;&gt;1,"",IFERROR(ROUND(IF(OR(P949="",S949=""),"",IF(S949&lt;P949,"",ROUND(((NETWORKDAYS(P949,S949,JoursFeries)-1)*(HFer-HOuv)+IF(NETWORKDAYS(S949,S949,JoursFeries),MEDIAN(MOD(S949,1),HFer,HOuv),HFer)-IF(NETWORKDAYS(P949,P949,JoursFeries),MEDIAN(MOD(P949,1),HFer,HOuv),HOuv))*24,4)))/HJour,4),""))</f>
        <v/>
      </c>
      <c r="AY949" s="36" t="str">
        <f aca="false">IF(OR(AO949&lt;&gt;1,AR949=""),"",INDEX(SLA_PEC,AR949))</f>
        <v/>
      </c>
      <c r="AZ949" s="35" t="str">
        <f aca="false">IF(OR(AV949="",AY949=""),"",IF(AV949&lt;=AY949,1,0))</f>
        <v/>
      </c>
      <c r="BA949" s="36" t="str">
        <f aca="false">IF(OR(AO949&lt;&gt;1,AR949=""),"",INDEX(SLA_RES,AR949))</f>
        <v/>
      </c>
      <c r="BB949" s="35" t="str">
        <f aca="false">IF(OR(AW949="",BA949=""),"",IF(AW949&lt;=BA949,1,0))</f>
        <v/>
      </c>
      <c r="BC949" s="38" t="str">
        <f aca="false">IF(OR(BA949="",P949=""),"",WORKDAY(INT(P949),BA949,JoursFeries)+MOD(P949,1))</f>
        <v/>
      </c>
      <c r="BD949" s="39" t="str">
        <f aca="false">IF(AO949&lt;&gt;1,"",IF(OR(AB949&lt;&gt;"",AD949&lt;&gt;""),4,IF(U949&lt;&gt;"",3,IF(T949&lt;&gt;"",2,1))))</f>
        <v/>
      </c>
      <c r="BE949" s="39" t="str">
        <f aca="false">IF(OR(AO949&lt;&gt;1,AR949=""),"",INDEX(NIV_REQ,AR949))</f>
        <v/>
      </c>
      <c r="BF949" s="39" t="str">
        <f aca="false">IF(BE949="","",MAX(BE949,IF(OR(K949="Oui",Z949="Oui"),4,1)))</f>
        <v/>
      </c>
      <c r="BG949" s="35" t="str">
        <f aca="false">IF(OR(BF949="",BD949=""),"",IF(BD949&gt;=BF949,1,0))</f>
        <v/>
      </c>
      <c r="BH949" s="38" t="str">
        <f aca="false">IF(BE949="","",IF(BE949&lt;2,"",IF(BE949=2,IF(AND(T949="",U949=""),"",MIN(T949,U949)),IF(U949="","",U949))))</f>
        <v/>
      </c>
      <c r="BI949" s="37" t="str">
        <f aca="false">IF(BH949="","",IF(OR(O949="",BH949=""),"",IF(BH949&lt;O949,"",ROUND(((NETWORKDAYS(O949,BH949,JoursFeries)-1)*(HFer-HOuv)+IF(NETWORKDAYS(BH949,BH949,JoursFeries),MEDIAN(MOD(BH949,1),HFer,HOuv),HFer)-IF(NETWORKDAYS(O949,O949,JoursFeries),MEDIAN(MOD(O949,1),HFer,HOuv),HOuv))*24,4))))</f>
        <v/>
      </c>
      <c r="BJ949" s="35" t="str">
        <f aca="false">IF(OR(BI949="",AR949=""),"",IF(BI949&lt;=INDEX(DELAI_ESC,AR949),1,0))</f>
        <v/>
      </c>
      <c r="BK949" s="38" t="str">
        <f aca="false">IF(AO949&lt;&gt;1,"",IF(AND(T949="",U949=""),"",MIN(T949,U949)))</f>
        <v/>
      </c>
      <c r="BL949" s="37" t="str">
        <f aca="false">IF(OR(BK949="",R949=""),"",IFERROR(ROUND(IF(OR(BK949="",R949=""),"",IF(R949&lt;BK949,"",ROUND(((NETWORKDAYS(BK949,R949,JoursFeries)-1)*(HFer-HOuv)+IF(NETWORKDAYS(R949,R949,JoursFeries),MEDIAN(MOD(R949,1),HFer,HOuv),HFer)-IF(NETWORKDAYS(BK949,BK949,JoursFeries),MEDIAN(MOD(BK949,1),HFer,HOuv),HOuv))*24,4)))/HJour,4),""))</f>
        <v/>
      </c>
      <c r="BM949" s="35" t="str">
        <f aca="false">IF(OR(AO949&lt;&gt;1,R949=""),"",IF(BD949=1,1,0))</f>
        <v/>
      </c>
      <c r="BN949" s="35" t="str">
        <f aca="false">IF(AO949&lt;&gt;1,"",IF(W949="Oui",1,0))</f>
        <v/>
      </c>
      <c r="BO949" s="35" t="str">
        <f aca="false">IF(AO949&lt;&gt;1,"",IF(X949&lt;&gt;"",1,0))</f>
        <v/>
      </c>
      <c r="BP949" s="35" t="str">
        <f aca="false">IF(AO949&lt;&gt;1,"",IF(Y949="Oui",1,0))</f>
        <v/>
      </c>
      <c r="BQ949" s="35" t="str">
        <f aca="true">IF(OR(AO949&lt;&gt;1,Z949&lt;&gt;"Oui"),"",IF(AB949="",IF(AND(AA949&lt;&gt;"",NOW()&gt;AA949),0,""),IF(AA949="","",IF(AB949&lt;=AA949,1,0))))</f>
        <v/>
      </c>
      <c r="BR949" s="38" t="str">
        <f aca="false">IF(OR(AO949&lt;&gt;1,K949&lt;&gt;"Oui",O949=""),"",IF(AC949="",O949+DORA_H_DET/24,IF(AC949-O949&lt;=DORA_H_DET/24,MIN(AC949+DORA_H_CLA/24,O949+DORA_H_DET/24),AC949+DORA_H_CLA/24)))</f>
        <v/>
      </c>
      <c r="BS949" s="35" t="str">
        <f aca="true">IF(BR949="","",IF(AD949="",IF(NOW()&gt;BR949,0,""),IF(AD949&lt;=BR949,1,0)))</f>
        <v/>
      </c>
      <c r="BT949" s="35" t="str">
        <f aca="true">IF(OR(BR949="",AD949=""),"",IF(AE949="",IF(NOW()&gt;AD949+DORA_H_INT/24,0,""),IF(AE949&lt;=AD949+DORA_H_INT/24,1,0)))</f>
        <v/>
      </c>
      <c r="BU949" s="35" t="str">
        <f aca="true">IF(OR(BR949="",AE949=""),"",IF(AF949="",IF(NOW()&gt;EDATE(AE949,DORA_M_FIN)+1,0,""),IF(AF949&lt;=EDATE(AE949,DORA_M_FIN),1,0)))</f>
        <v/>
      </c>
      <c r="BV949" s="35" t="str">
        <f aca="false">IF(BR949="","",IF(COUNT(BS949:BU949)=0,"",MIN(BS949:BU949)))</f>
        <v/>
      </c>
      <c r="BW949" s="40" t="str">
        <f aca="false">IF(AQ949&lt;&gt;1,"",IF(AND(AG949="",AH949=""),"",N(AG949)-N(AH949)))</f>
        <v/>
      </c>
      <c r="BX949" s="35" t="str">
        <f aca="true">IF(OR(AQ949&lt;&gt;1,AI949&lt;&gt;"Oui",AJ949=""),"",IF(AK949="",IF(NOW()&gt;AJ949+1,0,""),IF(AK949&lt;=AJ949,1,0)))</f>
        <v/>
      </c>
    </row>
    <row r="950" customFormat="false" ht="15" hidden="false" customHeight="false" outlineLevel="0" collapsed="false">
      <c r="B950" s="29"/>
      <c r="C950" s="29"/>
      <c r="D950" s="29"/>
      <c r="E950" s="29"/>
      <c r="F950" s="29"/>
      <c r="G950" s="29"/>
      <c r="H950" s="29"/>
      <c r="I950" s="29"/>
      <c r="J950" s="29"/>
      <c r="K950" s="29"/>
      <c r="L950" s="29"/>
      <c r="M950" s="29"/>
      <c r="N950" s="30"/>
      <c r="O950" s="30"/>
      <c r="P950" s="30"/>
      <c r="Q950" s="30"/>
      <c r="R950" s="30"/>
      <c r="S950" s="30"/>
      <c r="T950" s="30"/>
      <c r="U950" s="30"/>
      <c r="V950" s="31"/>
      <c r="W950" s="29"/>
      <c r="X950" s="29"/>
      <c r="Y950" s="29"/>
      <c r="Z950" s="29"/>
      <c r="AA950" s="30"/>
      <c r="AB950" s="30"/>
      <c r="AC950" s="30"/>
      <c r="AD950" s="30"/>
      <c r="AE950" s="30"/>
      <c r="AF950" s="32"/>
      <c r="AG950" s="33"/>
      <c r="AH950" s="33"/>
      <c r="AI950" s="29"/>
      <c r="AJ950" s="32"/>
      <c r="AK950" s="32"/>
      <c r="AL950" s="29"/>
      <c r="AN950" s="34" t="str">
        <f aca="false">IF($B950="","",IF(OR(C950="",D950="",E950="",G950="",I950="",J950="",L950="",O950="",P950=""),"Champ obligatoire manquant",IF(OR(AND(N950&lt;&gt;"",N950&gt;O950),O950&gt;P950,AND(Q950&lt;&gt;"",Q950&lt;P950),AND(R950&lt;&gt;"",R950&lt;P950),AND(S950&lt;&gt;"",S950&lt;R950),AND(S950&lt;&gt;"",R950=""),AND(T950&lt;&gt;"",T950&lt;O950),AND(U950&lt;&gt;"",U950&lt;O950)),"Chronologie incohérente",IF(AND(OR(L950="Résolu",L950="Clos"),R950=""),"Date de résolution manquante",IF(AND(L950="Clos",S950=""),"Date de clôture manquante",IF(AND(K950="Oui",AC950=""),"Classification DORA manquante","OK"))))))</f>
        <v/>
      </c>
      <c r="AO950" s="35" t="str">
        <f aca="false">IF($B950="","",IF(AND(C950="Incident",L950&lt;&gt;"Annulé"),1,0))</f>
        <v/>
      </c>
      <c r="AP950" s="35" t="str">
        <f aca="false">IF($B950="","",IF(AND(C950="Quasi-incident",L950&lt;&gt;"Annulé"),1,0))</f>
        <v/>
      </c>
      <c r="AQ950" s="35" t="str">
        <f aca="false">IF($B950="","",AO950+AP950)</f>
        <v/>
      </c>
      <c r="AR950" s="36" t="str">
        <f aca="false">IF(OR($B950="",J950=""),"",IFERROR(VALUE(LEFT(J950,1)),""))</f>
        <v/>
      </c>
      <c r="AS950" s="35" t="str">
        <f aca="false">IF(OR(AO950&lt;&gt;1,G950=""),"",IFERROR(IF(INDEX(L_SrcInterne,MATCH(G950,L_Sources,0))="Oui",1,0),""))</f>
        <v/>
      </c>
      <c r="AT950" s="37" t="str">
        <f aca="false">IF(AO950&lt;&gt;1,"",IFERROR(ROUND(IF(OR(N950="",O950=""),"",IF(O950&lt;N950,"",ROUND(((NETWORKDAYS(N950,O950,JoursFeries)-1)*(HFer-HOuv)+IF(NETWORKDAYS(O950,O950,JoursFeries),MEDIAN(MOD(O950,1),HFer,HOuv),HFer)-IF(NETWORKDAYS(N950,N950,JoursFeries),MEDIAN(MOD(N950,1),HFer,HOuv),HOuv))*24,4)))/HJour,4),""))</f>
        <v/>
      </c>
      <c r="AU950" s="37" t="str">
        <f aca="false">IF(AO950&lt;&gt;1,"",IF(OR(O950="",P950=""),"",IF(P950&lt;O950,"",ROUND(((NETWORKDAYS(O950,P950,JoursFeries)-1)*(HFer-HOuv)+IF(NETWORKDAYS(P950,P950,JoursFeries),MEDIAN(MOD(P950,1),HFer,HOuv),HFer)-IF(NETWORKDAYS(O950,O950,JoursFeries),MEDIAN(MOD(O950,1),HFer,HOuv),HOuv))*24,4))))</f>
        <v/>
      </c>
      <c r="AV950" s="37" t="str">
        <f aca="false">IF(AO950&lt;&gt;1,"",IF(OR(P950="",Q950=""),"",IF(Q950&lt;P950,"",ROUND(((NETWORKDAYS(P950,Q950,JoursFeries)-1)*(HFer-HOuv)+IF(NETWORKDAYS(Q950,Q950,JoursFeries),MEDIAN(MOD(Q950,1),HFer,HOuv),HFer)-IF(NETWORKDAYS(P950,P950,JoursFeries),MEDIAN(MOD(P950,1),HFer,HOuv),HOuv))*24,4))))</f>
        <v/>
      </c>
      <c r="AW950" s="37" t="str">
        <f aca="false">IF(AO950&lt;&gt;1,"",IFERROR(ROUND(IF(OR(P950="",R950=""),"",IF(R950&lt;P950,"",ROUND(((NETWORKDAYS(P950,R950,JoursFeries)-1)*(HFer-HOuv)+IF(NETWORKDAYS(R950,R950,JoursFeries),MEDIAN(MOD(R950,1),HFer,HOuv),HFer)-IF(NETWORKDAYS(P950,P950,JoursFeries),MEDIAN(MOD(P950,1),HFer,HOuv),HOuv))*24,4)))/HJour,4),""))</f>
        <v/>
      </c>
      <c r="AX950" s="37" t="str">
        <f aca="false">IF(AO950&lt;&gt;1,"",IFERROR(ROUND(IF(OR(P950="",S950=""),"",IF(S950&lt;P950,"",ROUND(((NETWORKDAYS(P950,S950,JoursFeries)-1)*(HFer-HOuv)+IF(NETWORKDAYS(S950,S950,JoursFeries),MEDIAN(MOD(S950,1),HFer,HOuv),HFer)-IF(NETWORKDAYS(P950,P950,JoursFeries),MEDIAN(MOD(P950,1),HFer,HOuv),HOuv))*24,4)))/HJour,4),""))</f>
        <v/>
      </c>
      <c r="AY950" s="36" t="str">
        <f aca="false">IF(OR(AO950&lt;&gt;1,AR950=""),"",INDEX(SLA_PEC,AR950))</f>
        <v/>
      </c>
      <c r="AZ950" s="35" t="str">
        <f aca="false">IF(OR(AV950="",AY950=""),"",IF(AV950&lt;=AY950,1,0))</f>
        <v/>
      </c>
      <c r="BA950" s="36" t="str">
        <f aca="false">IF(OR(AO950&lt;&gt;1,AR950=""),"",INDEX(SLA_RES,AR950))</f>
        <v/>
      </c>
      <c r="BB950" s="35" t="str">
        <f aca="false">IF(OR(AW950="",BA950=""),"",IF(AW950&lt;=BA950,1,0))</f>
        <v/>
      </c>
      <c r="BC950" s="38" t="str">
        <f aca="false">IF(OR(BA950="",P950=""),"",WORKDAY(INT(P950),BA950,JoursFeries)+MOD(P950,1))</f>
        <v/>
      </c>
      <c r="BD950" s="39" t="str">
        <f aca="false">IF(AO950&lt;&gt;1,"",IF(OR(AB950&lt;&gt;"",AD950&lt;&gt;""),4,IF(U950&lt;&gt;"",3,IF(T950&lt;&gt;"",2,1))))</f>
        <v/>
      </c>
      <c r="BE950" s="39" t="str">
        <f aca="false">IF(OR(AO950&lt;&gt;1,AR950=""),"",INDEX(NIV_REQ,AR950))</f>
        <v/>
      </c>
      <c r="BF950" s="39" t="str">
        <f aca="false">IF(BE950="","",MAX(BE950,IF(OR(K950="Oui",Z950="Oui"),4,1)))</f>
        <v/>
      </c>
      <c r="BG950" s="35" t="str">
        <f aca="false">IF(OR(BF950="",BD950=""),"",IF(BD950&gt;=BF950,1,0))</f>
        <v/>
      </c>
      <c r="BH950" s="38" t="str">
        <f aca="false">IF(BE950="","",IF(BE950&lt;2,"",IF(BE950=2,IF(AND(T950="",U950=""),"",MIN(T950,U950)),IF(U950="","",U950))))</f>
        <v/>
      </c>
      <c r="BI950" s="37" t="str">
        <f aca="false">IF(BH950="","",IF(OR(O950="",BH950=""),"",IF(BH950&lt;O950,"",ROUND(((NETWORKDAYS(O950,BH950,JoursFeries)-1)*(HFer-HOuv)+IF(NETWORKDAYS(BH950,BH950,JoursFeries),MEDIAN(MOD(BH950,1),HFer,HOuv),HFer)-IF(NETWORKDAYS(O950,O950,JoursFeries),MEDIAN(MOD(O950,1),HFer,HOuv),HOuv))*24,4))))</f>
        <v/>
      </c>
      <c r="BJ950" s="35" t="str">
        <f aca="false">IF(OR(BI950="",AR950=""),"",IF(BI950&lt;=INDEX(DELAI_ESC,AR950),1,0))</f>
        <v/>
      </c>
      <c r="BK950" s="38" t="str">
        <f aca="false">IF(AO950&lt;&gt;1,"",IF(AND(T950="",U950=""),"",MIN(T950,U950)))</f>
        <v/>
      </c>
      <c r="BL950" s="37" t="str">
        <f aca="false">IF(OR(BK950="",R950=""),"",IFERROR(ROUND(IF(OR(BK950="",R950=""),"",IF(R950&lt;BK950,"",ROUND(((NETWORKDAYS(BK950,R950,JoursFeries)-1)*(HFer-HOuv)+IF(NETWORKDAYS(R950,R950,JoursFeries),MEDIAN(MOD(R950,1),HFer,HOuv),HFer)-IF(NETWORKDAYS(BK950,BK950,JoursFeries),MEDIAN(MOD(BK950,1),HFer,HOuv),HOuv))*24,4)))/HJour,4),""))</f>
        <v/>
      </c>
      <c r="BM950" s="35" t="str">
        <f aca="false">IF(OR(AO950&lt;&gt;1,R950=""),"",IF(BD950=1,1,0))</f>
        <v/>
      </c>
      <c r="BN950" s="35" t="str">
        <f aca="false">IF(AO950&lt;&gt;1,"",IF(W950="Oui",1,0))</f>
        <v/>
      </c>
      <c r="BO950" s="35" t="str">
        <f aca="false">IF(AO950&lt;&gt;1,"",IF(X950&lt;&gt;"",1,0))</f>
        <v/>
      </c>
      <c r="BP950" s="35" t="str">
        <f aca="false">IF(AO950&lt;&gt;1,"",IF(Y950="Oui",1,0))</f>
        <v/>
      </c>
      <c r="BQ950" s="35" t="str">
        <f aca="true">IF(OR(AO950&lt;&gt;1,Z950&lt;&gt;"Oui"),"",IF(AB950="",IF(AND(AA950&lt;&gt;"",NOW()&gt;AA950),0,""),IF(AA950="","",IF(AB950&lt;=AA950,1,0))))</f>
        <v/>
      </c>
      <c r="BR950" s="38" t="str">
        <f aca="false">IF(OR(AO950&lt;&gt;1,K950&lt;&gt;"Oui",O950=""),"",IF(AC950="",O950+DORA_H_DET/24,IF(AC950-O950&lt;=DORA_H_DET/24,MIN(AC950+DORA_H_CLA/24,O950+DORA_H_DET/24),AC950+DORA_H_CLA/24)))</f>
        <v/>
      </c>
      <c r="BS950" s="35" t="str">
        <f aca="true">IF(BR950="","",IF(AD950="",IF(NOW()&gt;BR950,0,""),IF(AD950&lt;=BR950,1,0)))</f>
        <v/>
      </c>
      <c r="BT950" s="35" t="str">
        <f aca="true">IF(OR(BR950="",AD950=""),"",IF(AE950="",IF(NOW()&gt;AD950+DORA_H_INT/24,0,""),IF(AE950&lt;=AD950+DORA_H_INT/24,1,0)))</f>
        <v/>
      </c>
      <c r="BU950" s="35" t="str">
        <f aca="true">IF(OR(BR950="",AE950=""),"",IF(AF950="",IF(NOW()&gt;EDATE(AE950,DORA_M_FIN)+1,0,""),IF(AF950&lt;=EDATE(AE950,DORA_M_FIN),1,0)))</f>
        <v/>
      </c>
      <c r="BV950" s="35" t="str">
        <f aca="false">IF(BR950="","",IF(COUNT(BS950:BU950)=0,"",MIN(BS950:BU950)))</f>
        <v/>
      </c>
      <c r="BW950" s="40" t="str">
        <f aca="false">IF(AQ950&lt;&gt;1,"",IF(AND(AG950="",AH950=""),"",N(AG950)-N(AH950)))</f>
        <v/>
      </c>
      <c r="BX950" s="35" t="str">
        <f aca="true">IF(OR(AQ950&lt;&gt;1,AI950&lt;&gt;"Oui",AJ950=""),"",IF(AK950="",IF(NOW()&gt;AJ950+1,0,""),IF(AK950&lt;=AJ950,1,0)))</f>
        <v/>
      </c>
    </row>
    <row r="951" customFormat="false" ht="15" hidden="false" customHeight="false" outlineLevel="0" collapsed="false">
      <c r="B951" s="29"/>
      <c r="C951" s="29"/>
      <c r="D951" s="29"/>
      <c r="E951" s="29"/>
      <c r="F951" s="29"/>
      <c r="G951" s="29"/>
      <c r="H951" s="29"/>
      <c r="I951" s="29"/>
      <c r="J951" s="29"/>
      <c r="K951" s="29"/>
      <c r="L951" s="29"/>
      <c r="M951" s="29"/>
      <c r="N951" s="30"/>
      <c r="O951" s="30"/>
      <c r="P951" s="30"/>
      <c r="Q951" s="30"/>
      <c r="R951" s="30"/>
      <c r="S951" s="30"/>
      <c r="T951" s="30"/>
      <c r="U951" s="30"/>
      <c r="V951" s="31"/>
      <c r="W951" s="29"/>
      <c r="X951" s="29"/>
      <c r="Y951" s="29"/>
      <c r="Z951" s="29"/>
      <c r="AA951" s="30"/>
      <c r="AB951" s="30"/>
      <c r="AC951" s="30"/>
      <c r="AD951" s="30"/>
      <c r="AE951" s="30"/>
      <c r="AF951" s="32"/>
      <c r="AG951" s="33"/>
      <c r="AH951" s="33"/>
      <c r="AI951" s="29"/>
      <c r="AJ951" s="32"/>
      <c r="AK951" s="32"/>
      <c r="AL951" s="29"/>
      <c r="AN951" s="34" t="str">
        <f aca="false">IF($B951="","",IF(OR(C951="",D951="",E951="",G951="",I951="",J951="",L951="",O951="",P951=""),"Champ obligatoire manquant",IF(OR(AND(N951&lt;&gt;"",N951&gt;O951),O951&gt;P951,AND(Q951&lt;&gt;"",Q951&lt;P951),AND(R951&lt;&gt;"",R951&lt;P951),AND(S951&lt;&gt;"",S951&lt;R951),AND(S951&lt;&gt;"",R951=""),AND(T951&lt;&gt;"",T951&lt;O951),AND(U951&lt;&gt;"",U951&lt;O951)),"Chronologie incohérente",IF(AND(OR(L951="Résolu",L951="Clos"),R951=""),"Date de résolution manquante",IF(AND(L951="Clos",S951=""),"Date de clôture manquante",IF(AND(K951="Oui",AC951=""),"Classification DORA manquante","OK"))))))</f>
        <v/>
      </c>
      <c r="AO951" s="35" t="str">
        <f aca="false">IF($B951="","",IF(AND(C951="Incident",L951&lt;&gt;"Annulé"),1,0))</f>
        <v/>
      </c>
      <c r="AP951" s="35" t="str">
        <f aca="false">IF($B951="","",IF(AND(C951="Quasi-incident",L951&lt;&gt;"Annulé"),1,0))</f>
        <v/>
      </c>
      <c r="AQ951" s="35" t="str">
        <f aca="false">IF($B951="","",AO951+AP951)</f>
        <v/>
      </c>
      <c r="AR951" s="36" t="str">
        <f aca="false">IF(OR($B951="",J951=""),"",IFERROR(VALUE(LEFT(J951,1)),""))</f>
        <v/>
      </c>
      <c r="AS951" s="35" t="str">
        <f aca="false">IF(OR(AO951&lt;&gt;1,G951=""),"",IFERROR(IF(INDEX(L_SrcInterne,MATCH(G951,L_Sources,0))="Oui",1,0),""))</f>
        <v/>
      </c>
      <c r="AT951" s="37" t="str">
        <f aca="false">IF(AO951&lt;&gt;1,"",IFERROR(ROUND(IF(OR(N951="",O951=""),"",IF(O951&lt;N951,"",ROUND(((NETWORKDAYS(N951,O951,JoursFeries)-1)*(HFer-HOuv)+IF(NETWORKDAYS(O951,O951,JoursFeries),MEDIAN(MOD(O951,1),HFer,HOuv),HFer)-IF(NETWORKDAYS(N951,N951,JoursFeries),MEDIAN(MOD(N951,1),HFer,HOuv),HOuv))*24,4)))/HJour,4),""))</f>
        <v/>
      </c>
      <c r="AU951" s="37" t="str">
        <f aca="false">IF(AO951&lt;&gt;1,"",IF(OR(O951="",P951=""),"",IF(P951&lt;O951,"",ROUND(((NETWORKDAYS(O951,P951,JoursFeries)-1)*(HFer-HOuv)+IF(NETWORKDAYS(P951,P951,JoursFeries),MEDIAN(MOD(P951,1),HFer,HOuv),HFer)-IF(NETWORKDAYS(O951,O951,JoursFeries),MEDIAN(MOD(O951,1),HFer,HOuv),HOuv))*24,4))))</f>
        <v/>
      </c>
      <c r="AV951" s="37" t="str">
        <f aca="false">IF(AO951&lt;&gt;1,"",IF(OR(P951="",Q951=""),"",IF(Q951&lt;P951,"",ROUND(((NETWORKDAYS(P951,Q951,JoursFeries)-1)*(HFer-HOuv)+IF(NETWORKDAYS(Q951,Q951,JoursFeries),MEDIAN(MOD(Q951,1),HFer,HOuv),HFer)-IF(NETWORKDAYS(P951,P951,JoursFeries),MEDIAN(MOD(P951,1),HFer,HOuv),HOuv))*24,4))))</f>
        <v/>
      </c>
      <c r="AW951" s="37" t="str">
        <f aca="false">IF(AO951&lt;&gt;1,"",IFERROR(ROUND(IF(OR(P951="",R951=""),"",IF(R951&lt;P951,"",ROUND(((NETWORKDAYS(P951,R951,JoursFeries)-1)*(HFer-HOuv)+IF(NETWORKDAYS(R951,R951,JoursFeries),MEDIAN(MOD(R951,1),HFer,HOuv),HFer)-IF(NETWORKDAYS(P951,P951,JoursFeries),MEDIAN(MOD(P951,1),HFer,HOuv),HOuv))*24,4)))/HJour,4),""))</f>
        <v/>
      </c>
      <c r="AX951" s="37" t="str">
        <f aca="false">IF(AO951&lt;&gt;1,"",IFERROR(ROUND(IF(OR(P951="",S951=""),"",IF(S951&lt;P951,"",ROUND(((NETWORKDAYS(P951,S951,JoursFeries)-1)*(HFer-HOuv)+IF(NETWORKDAYS(S951,S951,JoursFeries),MEDIAN(MOD(S951,1),HFer,HOuv),HFer)-IF(NETWORKDAYS(P951,P951,JoursFeries),MEDIAN(MOD(P951,1),HFer,HOuv),HOuv))*24,4)))/HJour,4),""))</f>
        <v/>
      </c>
      <c r="AY951" s="36" t="str">
        <f aca="false">IF(OR(AO951&lt;&gt;1,AR951=""),"",INDEX(SLA_PEC,AR951))</f>
        <v/>
      </c>
      <c r="AZ951" s="35" t="str">
        <f aca="false">IF(OR(AV951="",AY951=""),"",IF(AV951&lt;=AY951,1,0))</f>
        <v/>
      </c>
      <c r="BA951" s="36" t="str">
        <f aca="false">IF(OR(AO951&lt;&gt;1,AR951=""),"",INDEX(SLA_RES,AR951))</f>
        <v/>
      </c>
      <c r="BB951" s="35" t="str">
        <f aca="false">IF(OR(AW951="",BA951=""),"",IF(AW951&lt;=BA951,1,0))</f>
        <v/>
      </c>
      <c r="BC951" s="38" t="str">
        <f aca="false">IF(OR(BA951="",P951=""),"",WORKDAY(INT(P951),BA951,JoursFeries)+MOD(P951,1))</f>
        <v/>
      </c>
      <c r="BD951" s="39" t="str">
        <f aca="false">IF(AO951&lt;&gt;1,"",IF(OR(AB951&lt;&gt;"",AD951&lt;&gt;""),4,IF(U951&lt;&gt;"",3,IF(T951&lt;&gt;"",2,1))))</f>
        <v/>
      </c>
      <c r="BE951" s="39" t="str">
        <f aca="false">IF(OR(AO951&lt;&gt;1,AR951=""),"",INDEX(NIV_REQ,AR951))</f>
        <v/>
      </c>
      <c r="BF951" s="39" t="str">
        <f aca="false">IF(BE951="","",MAX(BE951,IF(OR(K951="Oui",Z951="Oui"),4,1)))</f>
        <v/>
      </c>
      <c r="BG951" s="35" t="str">
        <f aca="false">IF(OR(BF951="",BD951=""),"",IF(BD951&gt;=BF951,1,0))</f>
        <v/>
      </c>
      <c r="BH951" s="38" t="str">
        <f aca="false">IF(BE951="","",IF(BE951&lt;2,"",IF(BE951=2,IF(AND(T951="",U951=""),"",MIN(T951,U951)),IF(U951="","",U951))))</f>
        <v/>
      </c>
      <c r="BI951" s="37" t="str">
        <f aca="false">IF(BH951="","",IF(OR(O951="",BH951=""),"",IF(BH951&lt;O951,"",ROUND(((NETWORKDAYS(O951,BH951,JoursFeries)-1)*(HFer-HOuv)+IF(NETWORKDAYS(BH951,BH951,JoursFeries),MEDIAN(MOD(BH951,1),HFer,HOuv),HFer)-IF(NETWORKDAYS(O951,O951,JoursFeries),MEDIAN(MOD(O951,1),HFer,HOuv),HOuv))*24,4))))</f>
        <v/>
      </c>
      <c r="BJ951" s="35" t="str">
        <f aca="false">IF(OR(BI951="",AR951=""),"",IF(BI951&lt;=INDEX(DELAI_ESC,AR951),1,0))</f>
        <v/>
      </c>
      <c r="BK951" s="38" t="str">
        <f aca="false">IF(AO951&lt;&gt;1,"",IF(AND(T951="",U951=""),"",MIN(T951,U951)))</f>
        <v/>
      </c>
      <c r="BL951" s="37" t="str">
        <f aca="false">IF(OR(BK951="",R951=""),"",IFERROR(ROUND(IF(OR(BK951="",R951=""),"",IF(R951&lt;BK951,"",ROUND(((NETWORKDAYS(BK951,R951,JoursFeries)-1)*(HFer-HOuv)+IF(NETWORKDAYS(R951,R951,JoursFeries),MEDIAN(MOD(R951,1),HFer,HOuv),HFer)-IF(NETWORKDAYS(BK951,BK951,JoursFeries),MEDIAN(MOD(BK951,1),HFer,HOuv),HOuv))*24,4)))/HJour,4),""))</f>
        <v/>
      </c>
      <c r="BM951" s="35" t="str">
        <f aca="false">IF(OR(AO951&lt;&gt;1,R951=""),"",IF(BD951=1,1,0))</f>
        <v/>
      </c>
      <c r="BN951" s="35" t="str">
        <f aca="false">IF(AO951&lt;&gt;1,"",IF(W951="Oui",1,0))</f>
        <v/>
      </c>
      <c r="BO951" s="35" t="str">
        <f aca="false">IF(AO951&lt;&gt;1,"",IF(X951&lt;&gt;"",1,0))</f>
        <v/>
      </c>
      <c r="BP951" s="35" t="str">
        <f aca="false">IF(AO951&lt;&gt;1,"",IF(Y951="Oui",1,0))</f>
        <v/>
      </c>
      <c r="BQ951" s="35" t="str">
        <f aca="true">IF(OR(AO951&lt;&gt;1,Z951&lt;&gt;"Oui"),"",IF(AB951="",IF(AND(AA951&lt;&gt;"",NOW()&gt;AA951),0,""),IF(AA951="","",IF(AB951&lt;=AA951,1,0))))</f>
        <v/>
      </c>
      <c r="BR951" s="38" t="str">
        <f aca="false">IF(OR(AO951&lt;&gt;1,K951&lt;&gt;"Oui",O951=""),"",IF(AC951="",O951+DORA_H_DET/24,IF(AC951-O951&lt;=DORA_H_DET/24,MIN(AC951+DORA_H_CLA/24,O951+DORA_H_DET/24),AC951+DORA_H_CLA/24)))</f>
        <v/>
      </c>
      <c r="BS951" s="35" t="str">
        <f aca="true">IF(BR951="","",IF(AD951="",IF(NOW()&gt;BR951,0,""),IF(AD951&lt;=BR951,1,0)))</f>
        <v/>
      </c>
      <c r="BT951" s="35" t="str">
        <f aca="true">IF(OR(BR951="",AD951=""),"",IF(AE951="",IF(NOW()&gt;AD951+DORA_H_INT/24,0,""),IF(AE951&lt;=AD951+DORA_H_INT/24,1,0)))</f>
        <v/>
      </c>
      <c r="BU951" s="35" t="str">
        <f aca="true">IF(OR(BR951="",AE951=""),"",IF(AF951="",IF(NOW()&gt;EDATE(AE951,DORA_M_FIN)+1,0,""),IF(AF951&lt;=EDATE(AE951,DORA_M_FIN),1,0)))</f>
        <v/>
      </c>
      <c r="BV951" s="35" t="str">
        <f aca="false">IF(BR951="","",IF(COUNT(BS951:BU951)=0,"",MIN(BS951:BU951)))</f>
        <v/>
      </c>
      <c r="BW951" s="40" t="str">
        <f aca="false">IF(AQ951&lt;&gt;1,"",IF(AND(AG951="",AH951=""),"",N(AG951)-N(AH951)))</f>
        <v/>
      </c>
      <c r="BX951" s="35" t="str">
        <f aca="true">IF(OR(AQ951&lt;&gt;1,AI951&lt;&gt;"Oui",AJ951=""),"",IF(AK951="",IF(NOW()&gt;AJ951+1,0,""),IF(AK951&lt;=AJ951,1,0)))</f>
        <v/>
      </c>
    </row>
    <row r="952" customFormat="false" ht="15" hidden="false" customHeight="false" outlineLevel="0" collapsed="false">
      <c r="B952" s="29"/>
      <c r="C952" s="29"/>
      <c r="D952" s="29"/>
      <c r="E952" s="29"/>
      <c r="F952" s="29"/>
      <c r="G952" s="29"/>
      <c r="H952" s="29"/>
      <c r="I952" s="29"/>
      <c r="J952" s="29"/>
      <c r="K952" s="29"/>
      <c r="L952" s="29"/>
      <c r="M952" s="29"/>
      <c r="N952" s="30"/>
      <c r="O952" s="30"/>
      <c r="P952" s="30"/>
      <c r="Q952" s="30"/>
      <c r="R952" s="30"/>
      <c r="S952" s="30"/>
      <c r="T952" s="30"/>
      <c r="U952" s="30"/>
      <c r="V952" s="31"/>
      <c r="W952" s="29"/>
      <c r="X952" s="29"/>
      <c r="Y952" s="29"/>
      <c r="Z952" s="29"/>
      <c r="AA952" s="30"/>
      <c r="AB952" s="30"/>
      <c r="AC952" s="30"/>
      <c r="AD952" s="30"/>
      <c r="AE952" s="30"/>
      <c r="AF952" s="32"/>
      <c r="AG952" s="33"/>
      <c r="AH952" s="33"/>
      <c r="AI952" s="29"/>
      <c r="AJ952" s="32"/>
      <c r="AK952" s="32"/>
      <c r="AL952" s="29"/>
      <c r="AN952" s="34" t="str">
        <f aca="false">IF($B952="","",IF(OR(C952="",D952="",E952="",G952="",I952="",J952="",L952="",O952="",P952=""),"Champ obligatoire manquant",IF(OR(AND(N952&lt;&gt;"",N952&gt;O952),O952&gt;P952,AND(Q952&lt;&gt;"",Q952&lt;P952),AND(R952&lt;&gt;"",R952&lt;P952),AND(S952&lt;&gt;"",S952&lt;R952),AND(S952&lt;&gt;"",R952=""),AND(T952&lt;&gt;"",T952&lt;O952),AND(U952&lt;&gt;"",U952&lt;O952)),"Chronologie incohérente",IF(AND(OR(L952="Résolu",L952="Clos"),R952=""),"Date de résolution manquante",IF(AND(L952="Clos",S952=""),"Date de clôture manquante",IF(AND(K952="Oui",AC952=""),"Classification DORA manquante","OK"))))))</f>
        <v/>
      </c>
      <c r="AO952" s="35" t="str">
        <f aca="false">IF($B952="","",IF(AND(C952="Incident",L952&lt;&gt;"Annulé"),1,0))</f>
        <v/>
      </c>
      <c r="AP952" s="35" t="str">
        <f aca="false">IF($B952="","",IF(AND(C952="Quasi-incident",L952&lt;&gt;"Annulé"),1,0))</f>
        <v/>
      </c>
      <c r="AQ952" s="35" t="str">
        <f aca="false">IF($B952="","",AO952+AP952)</f>
        <v/>
      </c>
      <c r="AR952" s="36" t="str">
        <f aca="false">IF(OR($B952="",J952=""),"",IFERROR(VALUE(LEFT(J952,1)),""))</f>
        <v/>
      </c>
      <c r="AS952" s="35" t="str">
        <f aca="false">IF(OR(AO952&lt;&gt;1,G952=""),"",IFERROR(IF(INDEX(L_SrcInterne,MATCH(G952,L_Sources,0))="Oui",1,0),""))</f>
        <v/>
      </c>
      <c r="AT952" s="37" t="str">
        <f aca="false">IF(AO952&lt;&gt;1,"",IFERROR(ROUND(IF(OR(N952="",O952=""),"",IF(O952&lt;N952,"",ROUND(((NETWORKDAYS(N952,O952,JoursFeries)-1)*(HFer-HOuv)+IF(NETWORKDAYS(O952,O952,JoursFeries),MEDIAN(MOD(O952,1),HFer,HOuv),HFer)-IF(NETWORKDAYS(N952,N952,JoursFeries),MEDIAN(MOD(N952,1),HFer,HOuv),HOuv))*24,4)))/HJour,4),""))</f>
        <v/>
      </c>
      <c r="AU952" s="37" t="str">
        <f aca="false">IF(AO952&lt;&gt;1,"",IF(OR(O952="",P952=""),"",IF(P952&lt;O952,"",ROUND(((NETWORKDAYS(O952,P952,JoursFeries)-1)*(HFer-HOuv)+IF(NETWORKDAYS(P952,P952,JoursFeries),MEDIAN(MOD(P952,1),HFer,HOuv),HFer)-IF(NETWORKDAYS(O952,O952,JoursFeries),MEDIAN(MOD(O952,1),HFer,HOuv),HOuv))*24,4))))</f>
        <v/>
      </c>
      <c r="AV952" s="37" t="str">
        <f aca="false">IF(AO952&lt;&gt;1,"",IF(OR(P952="",Q952=""),"",IF(Q952&lt;P952,"",ROUND(((NETWORKDAYS(P952,Q952,JoursFeries)-1)*(HFer-HOuv)+IF(NETWORKDAYS(Q952,Q952,JoursFeries),MEDIAN(MOD(Q952,1),HFer,HOuv),HFer)-IF(NETWORKDAYS(P952,P952,JoursFeries),MEDIAN(MOD(P952,1),HFer,HOuv),HOuv))*24,4))))</f>
        <v/>
      </c>
      <c r="AW952" s="37" t="str">
        <f aca="false">IF(AO952&lt;&gt;1,"",IFERROR(ROUND(IF(OR(P952="",R952=""),"",IF(R952&lt;P952,"",ROUND(((NETWORKDAYS(P952,R952,JoursFeries)-1)*(HFer-HOuv)+IF(NETWORKDAYS(R952,R952,JoursFeries),MEDIAN(MOD(R952,1),HFer,HOuv),HFer)-IF(NETWORKDAYS(P952,P952,JoursFeries),MEDIAN(MOD(P952,1),HFer,HOuv),HOuv))*24,4)))/HJour,4),""))</f>
        <v/>
      </c>
      <c r="AX952" s="37" t="str">
        <f aca="false">IF(AO952&lt;&gt;1,"",IFERROR(ROUND(IF(OR(P952="",S952=""),"",IF(S952&lt;P952,"",ROUND(((NETWORKDAYS(P952,S952,JoursFeries)-1)*(HFer-HOuv)+IF(NETWORKDAYS(S952,S952,JoursFeries),MEDIAN(MOD(S952,1),HFer,HOuv),HFer)-IF(NETWORKDAYS(P952,P952,JoursFeries),MEDIAN(MOD(P952,1),HFer,HOuv),HOuv))*24,4)))/HJour,4),""))</f>
        <v/>
      </c>
      <c r="AY952" s="36" t="str">
        <f aca="false">IF(OR(AO952&lt;&gt;1,AR952=""),"",INDEX(SLA_PEC,AR952))</f>
        <v/>
      </c>
      <c r="AZ952" s="35" t="str">
        <f aca="false">IF(OR(AV952="",AY952=""),"",IF(AV952&lt;=AY952,1,0))</f>
        <v/>
      </c>
      <c r="BA952" s="36" t="str">
        <f aca="false">IF(OR(AO952&lt;&gt;1,AR952=""),"",INDEX(SLA_RES,AR952))</f>
        <v/>
      </c>
      <c r="BB952" s="35" t="str">
        <f aca="false">IF(OR(AW952="",BA952=""),"",IF(AW952&lt;=BA952,1,0))</f>
        <v/>
      </c>
      <c r="BC952" s="38" t="str">
        <f aca="false">IF(OR(BA952="",P952=""),"",WORKDAY(INT(P952),BA952,JoursFeries)+MOD(P952,1))</f>
        <v/>
      </c>
      <c r="BD952" s="39" t="str">
        <f aca="false">IF(AO952&lt;&gt;1,"",IF(OR(AB952&lt;&gt;"",AD952&lt;&gt;""),4,IF(U952&lt;&gt;"",3,IF(T952&lt;&gt;"",2,1))))</f>
        <v/>
      </c>
      <c r="BE952" s="39" t="str">
        <f aca="false">IF(OR(AO952&lt;&gt;1,AR952=""),"",INDEX(NIV_REQ,AR952))</f>
        <v/>
      </c>
      <c r="BF952" s="39" t="str">
        <f aca="false">IF(BE952="","",MAX(BE952,IF(OR(K952="Oui",Z952="Oui"),4,1)))</f>
        <v/>
      </c>
      <c r="BG952" s="35" t="str">
        <f aca="false">IF(OR(BF952="",BD952=""),"",IF(BD952&gt;=BF952,1,0))</f>
        <v/>
      </c>
      <c r="BH952" s="38" t="str">
        <f aca="false">IF(BE952="","",IF(BE952&lt;2,"",IF(BE952=2,IF(AND(T952="",U952=""),"",MIN(T952,U952)),IF(U952="","",U952))))</f>
        <v/>
      </c>
      <c r="BI952" s="37" t="str">
        <f aca="false">IF(BH952="","",IF(OR(O952="",BH952=""),"",IF(BH952&lt;O952,"",ROUND(((NETWORKDAYS(O952,BH952,JoursFeries)-1)*(HFer-HOuv)+IF(NETWORKDAYS(BH952,BH952,JoursFeries),MEDIAN(MOD(BH952,1),HFer,HOuv),HFer)-IF(NETWORKDAYS(O952,O952,JoursFeries),MEDIAN(MOD(O952,1),HFer,HOuv),HOuv))*24,4))))</f>
        <v/>
      </c>
      <c r="BJ952" s="35" t="str">
        <f aca="false">IF(OR(BI952="",AR952=""),"",IF(BI952&lt;=INDEX(DELAI_ESC,AR952),1,0))</f>
        <v/>
      </c>
      <c r="BK952" s="38" t="str">
        <f aca="false">IF(AO952&lt;&gt;1,"",IF(AND(T952="",U952=""),"",MIN(T952,U952)))</f>
        <v/>
      </c>
      <c r="BL952" s="37" t="str">
        <f aca="false">IF(OR(BK952="",R952=""),"",IFERROR(ROUND(IF(OR(BK952="",R952=""),"",IF(R952&lt;BK952,"",ROUND(((NETWORKDAYS(BK952,R952,JoursFeries)-1)*(HFer-HOuv)+IF(NETWORKDAYS(R952,R952,JoursFeries),MEDIAN(MOD(R952,1),HFer,HOuv),HFer)-IF(NETWORKDAYS(BK952,BK952,JoursFeries),MEDIAN(MOD(BK952,1),HFer,HOuv),HOuv))*24,4)))/HJour,4),""))</f>
        <v/>
      </c>
      <c r="BM952" s="35" t="str">
        <f aca="false">IF(OR(AO952&lt;&gt;1,R952=""),"",IF(BD952=1,1,0))</f>
        <v/>
      </c>
      <c r="BN952" s="35" t="str">
        <f aca="false">IF(AO952&lt;&gt;1,"",IF(W952="Oui",1,0))</f>
        <v/>
      </c>
      <c r="BO952" s="35" t="str">
        <f aca="false">IF(AO952&lt;&gt;1,"",IF(X952&lt;&gt;"",1,0))</f>
        <v/>
      </c>
      <c r="BP952" s="35" t="str">
        <f aca="false">IF(AO952&lt;&gt;1,"",IF(Y952="Oui",1,0))</f>
        <v/>
      </c>
      <c r="BQ952" s="35" t="str">
        <f aca="true">IF(OR(AO952&lt;&gt;1,Z952&lt;&gt;"Oui"),"",IF(AB952="",IF(AND(AA952&lt;&gt;"",NOW()&gt;AA952),0,""),IF(AA952="","",IF(AB952&lt;=AA952,1,0))))</f>
        <v/>
      </c>
      <c r="BR952" s="38" t="str">
        <f aca="false">IF(OR(AO952&lt;&gt;1,K952&lt;&gt;"Oui",O952=""),"",IF(AC952="",O952+DORA_H_DET/24,IF(AC952-O952&lt;=DORA_H_DET/24,MIN(AC952+DORA_H_CLA/24,O952+DORA_H_DET/24),AC952+DORA_H_CLA/24)))</f>
        <v/>
      </c>
      <c r="BS952" s="35" t="str">
        <f aca="true">IF(BR952="","",IF(AD952="",IF(NOW()&gt;BR952,0,""),IF(AD952&lt;=BR952,1,0)))</f>
        <v/>
      </c>
      <c r="BT952" s="35" t="str">
        <f aca="true">IF(OR(BR952="",AD952=""),"",IF(AE952="",IF(NOW()&gt;AD952+DORA_H_INT/24,0,""),IF(AE952&lt;=AD952+DORA_H_INT/24,1,0)))</f>
        <v/>
      </c>
      <c r="BU952" s="35" t="str">
        <f aca="true">IF(OR(BR952="",AE952=""),"",IF(AF952="",IF(NOW()&gt;EDATE(AE952,DORA_M_FIN)+1,0,""),IF(AF952&lt;=EDATE(AE952,DORA_M_FIN),1,0)))</f>
        <v/>
      </c>
      <c r="BV952" s="35" t="str">
        <f aca="false">IF(BR952="","",IF(COUNT(BS952:BU952)=0,"",MIN(BS952:BU952)))</f>
        <v/>
      </c>
      <c r="BW952" s="40" t="str">
        <f aca="false">IF(AQ952&lt;&gt;1,"",IF(AND(AG952="",AH952=""),"",N(AG952)-N(AH952)))</f>
        <v/>
      </c>
      <c r="BX952" s="35" t="str">
        <f aca="true">IF(OR(AQ952&lt;&gt;1,AI952&lt;&gt;"Oui",AJ952=""),"",IF(AK952="",IF(NOW()&gt;AJ952+1,0,""),IF(AK952&lt;=AJ952,1,0)))</f>
        <v/>
      </c>
    </row>
    <row r="953" customFormat="false" ht="15" hidden="false" customHeight="false" outlineLevel="0" collapsed="false">
      <c r="B953" s="29"/>
      <c r="C953" s="29"/>
      <c r="D953" s="29"/>
      <c r="E953" s="29"/>
      <c r="F953" s="29"/>
      <c r="G953" s="29"/>
      <c r="H953" s="29"/>
      <c r="I953" s="29"/>
      <c r="J953" s="29"/>
      <c r="K953" s="29"/>
      <c r="L953" s="29"/>
      <c r="M953" s="29"/>
      <c r="N953" s="30"/>
      <c r="O953" s="30"/>
      <c r="P953" s="30"/>
      <c r="Q953" s="30"/>
      <c r="R953" s="30"/>
      <c r="S953" s="30"/>
      <c r="T953" s="30"/>
      <c r="U953" s="30"/>
      <c r="V953" s="31"/>
      <c r="W953" s="29"/>
      <c r="X953" s="29"/>
      <c r="Y953" s="29"/>
      <c r="Z953" s="29"/>
      <c r="AA953" s="30"/>
      <c r="AB953" s="30"/>
      <c r="AC953" s="30"/>
      <c r="AD953" s="30"/>
      <c r="AE953" s="30"/>
      <c r="AF953" s="32"/>
      <c r="AG953" s="33"/>
      <c r="AH953" s="33"/>
      <c r="AI953" s="29"/>
      <c r="AJ953" s="32"/>
      <c r="AK953" s="32"/>
      <c r="AL953" s="29"/>
      <c r="AN953" s="34" t="str">
        <f aca="false">IF($B953="","",IF(OR(C953="",D953="",E953="",G953="",I953="",J953="",L953="",O953="",P953=""),"Champ obligatoire manquant",IF(OR(AND(N953&lt;&gt;"",N953&gt;O953),O953&gt;P953,AND(Q953&lt;&gt;"",Q953&lt;P953),AND(R953&lt;&gt;"",R953&lt;P953),AND(S953&lt;&gt;"",S953&lt;R953),AND(S953&lt;&gt;"",R953=""),AND(T953&lt;&gt;"",T953&lt;O953),AND(U953&lt;&gt;"",U953&lt;O953)),"Chronologie incohérente",IF(AND(OR(L953="Résolu",L953="Clos"),R953=""),"Date de résolution manquante",IF(AND(L953="Clos",S953=""),"Date de clôture manquante",IF(AND(K953="Oui",AC953=""),"Classification DORA manquante","OK"))))))</f>
        <v/>
      </c>
      <c r="AO953" s="35" t="str">
        <f aca="false">IF($B953="","",IF(AND(C953="Incident",L953&lt;&gt;"Annulé"),1,0))</f>
        <v/>
      </c>
      <c r="AP953" s="35" t="str">
        <f aca="false">IF($B953="","",IF(AND(C953="Quasi-incident",L953&lt;&gt;"Annulé"),1,0))</f>
        <v/>
      </c>
      <c r="AQ953" s="35" t="str">
        <f aca="false">IF($B953="","",AO953+AP953)</f>
        <v/>
      </c>
      <c r="AR953" s="36" t="str">
        <f aca="false">IF(OR($B953="",J953=""),"",IFERROR(VALUE(LEFT(J953,1)),""))</f>
        <v/>
      </c>
      <c r="AS953" s="35" t="str">
        <f aca="false">IF(OR(AO953&lt;&gt;1,G953=""),"",IFERROR(IF(INDEX(L_SrcInterne,MATCH(G953,L_Sources,0))="Oui",1,0),""))</f>
        <v/>
      </c>
      <c r="AT953" s="37" t="str">
        <f aca="false">IF(AO953&lt;&gt;1,"",IFERROR(ROUND(IF(OR(N953="",O953=""),"",IF(O953&lt;N953,"",ROUND(((NETWORKDAYS(N953,O953,JoursFeries)-1)*(HFer-HOuv)+IF(NETWORKDAYS(O953,O953,JoursFeries),MEDIAN(MOD(O953,1),HFer,HOuv),HFer)-IF(NETWORKDAYS(N953,N953,JoursFeries),MEDIAN(MOD(N953,1),HFer,HOuv),HOuv))*24,4)))/HJour,4),""))</f>
        <v/>
      </c>
      <c r="AU953" s="37" t="str">
        <f aca="false">IF(AO953&lt;&gt;1,"",IF(OR(O953="",P953=""),"",IF(P953&lt;O953,"",ROUND(((NETWORKDAYS(O953,P953,JoursFeries)-1)*(HFer-HOuv)+IF(NETWORKDAYS(P953,P953,JoursFeries),MEDIAN(MOD(P953,1),HFer,HOuv),HFer)-IF(NETWORKDAYS(O953,O953,JoursFeries),MEDIAN(MOD(O953,1),HFer,HOuv),HOuv))*24,4))))</f>
        <v/>
      </c>
      <c r="AV953" s="37" t="str">
        <f aca="false">IF(AO953&lt;&gt;1,"",IF(OR(P953="",Q953=""),"",IF(Q953&lt;P953,"",ROUND(((NETWORKDAYS(P953,Q953,JoursFeries)-1)*(HFer-HOuv)+IF(NETWORKDAYS(Q953,Q953,JoursFeries),MEDIAN(MOD(Q953,1),HFer,HOuv),HFer)-IF(NETWORKDAYS(P953,P953,JoursFeries),MEDIAN(MOD(P953,1),HFer,HOuv),HOuv))*24,4))))</f>
        <v/>
      </c>
      <c r="AW953" s="37" t="str">
        <f aca="false">IF(AO953&lt;&gt;1,"",IFERROR(ROUND(IF(OR(P953="",R953=""),"",IF(R953&lt;P953,"",ROUND(((NETWORKDAYS(P953,R953,JoursFeries)-1)*(HFer-HOuv)+IF(NETWORKDAYS(R953,R953,JoursFeries),MEDIAN(MOD(R953,1),HFer,HOuv),HFer)-IF(NETWORKDAYS(P953,P953,JoursFeries),MEDIAN(MOD(P953,1),HFer,HOuv),HOuv))*24,4)))/HJour,4),""))</f>
        <v/>
      </c>
      <c r="AX953" s="37" t="str">
        <f aca="false">IF(AO953&lt;&gt;1,"",IFERROR(ROUND(IF(OR(P953="",S953=""),"",IF(S953&lt;P953,"",ROUND(((NETWORKDAYS(P953,S953,JoursFeries)-1)*(HFer-HOuv)+IF(NETWORKDAYS(S953,S953,JoursFeries),MEDIAN(MOD(S953,1),HFer,HOuv),HFer)-IF(NETWORKDAYS(P953,P953,JoursFeries),MEDIAN(MOD(P953,1),HFer,HOuv),HOuv))*24,4)))/HJour,4),""))</f>
        <v/>
      </c>
      <c r="AY953" s="36" t="str">
        <f aca="false">IF(OR(AO953&lt;&gt;1,AR953=""),"",INDEX(SLA_PEC,AR953))</f>
        <v/>
      </c>
      <c r="AZ953" s="35" t="str">
        <f aca="false">IF(OR(AV953="",AY953=""),"",IF(AV953&lt;=AY953,1,0))</f>
        <v/>
      </c>
      <c r="BA953" s="36" t="str">
        <f aca="false">IF(OR(AO953&lt;&gt;1,AR953=""),"",INDEX(SLA_RES,AR953))</f>
        <v/>
      </c>
      <c r="BB953" s="35" t="str">
        <f aca="false">IF(OR(AW953="",BA953=""),"",IF(AW953&lt;=BA953,1,0))</f>
        <v/>
      </c>
      <c r="BC953" s="38" t="str">
        <f aca="false">IF(OR(BA953="",P953=""),"",WORKDAY(INT(P953),BA953,JoursFeries)+MOD(P953,1))</f>
        <v/>
      </c>
      <c r="BD953" s="39" t="str">
        <f aca="false">IF(AO953&lt;&gt;1,"",IF(OR(AB953&lt;&gt;"",AD953&lt;&gt;""),4,IF(U953&lt;&gt;"",3,IF(T953&lt;&gt;"",2,1))))</f>
        <v/>
      </c>
      <c r="BE953" s="39" t="str">
        <f aca="false">IF(OR(AO953&lt;&gt;1,AR953=""),"",INDEX(NIV_REQ,AR953))</f>
        <v/>
      </c>
      <c r="BF953" s="39" t="str">
        <f aca="false">IF(BE953="","",MAX(BE953,IF(OR(K953="Oui",Z953="Oui"),4,1)))</f>
        <v/>
      </c>
      <c r="BG953" s="35" t="str">
        <f aca="false">IF(OR(BF953="",BD953=""),"",IF(BD953&gt;=BF953,1,0))</f>
        <v/>
      </c>
      <c r="BH953" s="38" t="str">
        <f aca="false">IF(BE953="","",IF(BE953&lt;2,"",IF(BE953=2,IF(AND(T953="",U953=""),"",MIN(T953,U953)),IF(U953="","",U953))))</f>
        <v/>
      </c>
      <c r="BI953" s="37" t="str">
        <f aca="false">IF(BH953="","",IF(OR(O953="",BH953=""),"",IF(BH953&lt;O953,"",ROUND(((NETWORKDAYS(O953,BH953,JoursFeries)-1)*(HFer-HOuv)+IF(NETWORKDAYS(BH953,BH953,JoursFeries),MEDIAN(MOD(BH953,1),HFer,HOuv),HFer)-IF(NETWORKDAYS(O953,O953,JoursFeries),MEDIAN(MOD(O953,1),HFer,HOuv),HOuv))*24,4))))</f>
        <v/>
      </c>
      <c r="BJ953" s="35" t="str">
        <f aca="false">IF(OR(BI953="",AR953=""),"",IF(BI953&lt;=INDEX(DELAI_ESC,AR953),1,0))</f>
        <v/>
      </c>
      <c r="BK953" s="38" t="str">
        <f aca="false">IF(AO953&lt;&gt;1,"",IF(AND(T953="",U953=""),"",MIN(T953,U953)))</f>
        <v/>
      </c>
      <c r="BL953" s="37" t="str">
        <f aca="false">IF(OR(BK953="",R953=""),"",IFERROR(ROUND(IF(OR(BK953="",R953=""),"",IF(R953&lt;BK953,"",ROUND(((NETWORKDAYS(BK953,R953,JoursFeries)-1)*(HFer-HOuv)+IF(NETWORKDAYS(R953,R953,JoursFeries),MEDIAN(MOD(R953,1),HFer,HOuv),HFer)-IF(NETWORKDAYS(BK953,BK953,JoursFeries),MEDIAN(MOD(BK953,1),HFer,HOuv),HOuv))*24,4)))/HJour,4),""))</f>
        <v/>
      </c>
      <c r="BM953" s="35" t="str">
        <f aca="false">IF(OR(AO953&lt;&gt;1,R953=""),"",IF(BD953=1,1,0))</f>
        <v/>
      </c>
      <c r="BN953" s="35" t="str">
        <f aca="false">IF(AO953&lt;&gt;1,"",IF(W953="Oui",1,0))</f>
        <v/>
      </c>
      <c r="BO953" s="35" t="str">
        <f aca="false">IF(AO953&lt;&gt;1,"",IF(X953&lt;&gt;"",1,0))</f>
        <v/>
      </c>
      <c r="BP953" s="35" t="str">
        <f aca="false">IF(AO953&lt;&gt;1,"",IF(Y953="Oui",1,0))</f>
        <v/>
      </c>
      <c r="BQ953" s="35" t="str">
        <f aca="true">IF(OR(AO953&lt;&gt;1,Z953&lt;&gt;"Oui"),"",IF(AB953="",IF(AND(AA953&lt;&gt;"",NOW()&gt;AA953),0,""),IF(AA953="","",IF(AB953&lt;=AA953,1,0))))</f>
        <v/>
      </c>
      <c r="BR953" s="38" t="str">
        <f aca="false">IF(OR(AO953&lt;&gt;1,K953&lt;&gt;"Oui",O953=""),"",IF(AC953="",O953+DORA_H_DET/24,IF(AC953-O953&lt;=DORA_H_DET/24,MIN(AC953+DORA_H_CLA/24,O953+DORA_H_DET/24),AC953+DORA_H_CLA/24)))</f>
        <v/>
      </c>
      <c r="BS953" s="35" t="str">
        <f aca="true">IF(BR953="","",IF(AD953="",IF(NOW()&gt;BR953,0,""),IF(AD953&lt;=BR953,1,0)))</f>
        <v/>
      </c>
      <c r="BT953" s="35" t="str">
        <f aca="true">IF(OR(BR953="",AD953=""),"",IF(AE953="",IF(NOW()&gt;AD953+DORA_H_INT/24,0,""),IF(AE953&lt;=AD953+DORA_H_INT/24,1,0)))</f>
        <v/>
      </c>
      <c r="BU953" s="35" t="str">
        <f aca="true">IF(OR(BR953="",AE953=""),"",IF(AF953="",IF(NOW()&gt;EDATE(AE953,DORA_M_FIN)+1,0,""),IF(AF953&lt;=EDATE(AE953,DORA_M_FIN),1,0)))</f>
        <v/>
      </c>
      <c r="BV953" s="35" t="str">
        <f aca="false">IF(BR953="","",IF(COUNT(BS953:BU953)=0,"",MIN(BS953:BU953)))</f>
        <v/>
      </c>
      <c r="BW953" s="40" t="str">
        <f aca="false">IF(AQ953&lt;&gt;1,"",IF(AND(AG953="",AH953=""),"",N(AG953)-N(AH953)))</f>
        <v/>
      </c>
      <c r="BX953" s="35" t="str">
        <f aca="true">IF(OR(AQ953&lt;&gt;1,AI953&lt;&gt;"Oui",AJ953=""),"",IF(AK953="",IF(NOW()&gt;AJ953+1,0,""),IF(AK953&lt;=AJ953,1,0)))</f>
        <v/>
      </c>
    </row>
    <row r="954" customFormat="false" ht="15" hidden="false" customHeight="false" outlineLevel="0" collapsed="false">
      <c r="B954" s="29"/>
      <c r="C954" s="29"/>
      <c r="D954" s="29"/>
      <c r="E954" s="29"/>
      <c r="F954" s="29"/>
      <c r="G954" s="29"/>
      <c r="H954" s="29"/>
      <c r="I954" s="29"/>
      <c r="J954" s="29"/>
      <c r="K954" s="29"/>
      <c r="L954" s="29"/>
      <c r="M954" s="29"/>
      <c r="N954" s="30"/>
      <c r="O954" s="30"/>
      <c r="P954" s="30"/>
      <c r="Q954" s="30"/>
      <c r="R954" s="30"/>
      <c r="S954" s="30"/>
      <c r="T954" s="30"/>
      <c r="U954" s="30"/>
      <c r="V954" s="31"/>
      <c r="W954" s="29"/>
      <c r="X954" s="29"/>
      <c r="Y954" s="29"/>
      <c r="Z954" s="29"/>
      <c r="AA954" s="30"/>
      <c r="AB954" s="30"/>
      <c r="AC954" s="30"/>
      <c r="AD954" s="30"/>
      <c r="AE954" s="30"/>
      <c r="AF954" s="32"/>
      <c r="AG954" s="33"/>
      <c r="AH954" s="33"/>
      <c r="AI954" s="29"/>
      <c r="AJ954" s="32"/>
      <c r="AK954" s="32"/>
      <c r="AL954" s="29"/>
      <c r="AN954" s="34" t="str">
        <f aca="false">IF($B954="","",IF(OR(C954="",D954="",E954="",G954="",I954="",J954="",L954="",O954="",P954=""),"Champ obligatoire manquant",IF(OR(AND(N954&lt;&gt;"",N954&gt;O954),O954&gt;P954,AND(Q954&lt;&gt;"",Q954&lt;P954),AND(R954&lt;&gt;"",R954&lt;P954),AND(S954&lt;&gt;"",S954&lt;R954),AND(S954&lt;&gt;"",R954=""),AND(T954&lt;&gt;"",T954&lt;O954),AND(U954&lt;&gt;"",U954&lt;O954)),"Chronologie incohérente",IF(AND(OR(L954="Résolu",L954="Clos"),R954=""),"Date de résolution manquante",IF(AND(L954="Clos",S954=""),"Date de clôture manquante",IF(AND(K954="Oui",AC954=""),"Classification DORA manquante","OK"))))))</f>
        <v/>
      </c>
      <c r="AO954" s="35" t="str">
        <f aca="false">IF($B954="","",IF(AND(C954="Incident",L954&lt;&gt;"Annulé"),1,0))</f>
        <v/>
      </c>
      <c r="AP954" s="35" t="str">
        <f aca="false">IF($B954="","",IF(AND(C954="Quasi-incident",L954&lt;&gt;"Annulé"),1,0))</f>
        <v/>
      </c>
      <c r="AQ954" s="35" t="str">
        <f aca="false">IF($B954="","",AO954+AP954)</f>
        <v/>
      </c>
      <c r="AR954" s="36" t="str">
        <f aca="false">IF(OR($B954="",J954=""),"",IFERROR(VALUE(LEFT(J954,1)),""))</f>
        <v/>
      </c>
      <c r="AS954" s="35" t="str">
        <f aca="false">IF(OR(AO954&lt;&gt;1,G954=""),"",IFERROR(IF(INDEX(L_SrcInterne,MATCH(G954,L_Sources,0))="Oui",1,0),""))</f>
        <v/>
      </c>
      <c r="AT954" s="37" t="str">
        <f aca="false">IF(AO954&lt;&gt;1,"",IFERROR(ROUND(IF(OR(N954="",O954=""),"",IF(O954&lt;N954,"",ROUND(((NETWORKDAYS(N954,O954,JoursFeries)-1)*(HFer-HOuv)+IF(NETWORKDAYS(O954,O954,JoursFeries),MEDIAN(MOD(O954,1),HFer,HOuv),HFer)-IF(NETWORKDAYS(N954,N954,JoursFeries),MEDIAN(MOD(N954,1),HFer,HOuv),HOuv))*24,4)))/HJour,4),""))</f>
        <v/>
      </c>
      <c r="AU954" s="37" t="str">
        <f aca="false">IF(AO954&lt;&gt;1,"",IF(OR(O954="",P954=""),"",IF(P954&lt;O954,"",ROUND(((NETWORKDAYS(O954,P954,JoursFeries)-1)*(HFer-HOuv)+IF(NETWORKDAYS(P954,P954,JoursFeries),MEDIAN(MOD(P954,1),HFer,HOuv),HFer)-IF(NETWORKDAYS(O954,O954,JoursFeries),MEDIAN(MOD(O954,1),HFer,HOuv),HOuv))*24,4))))</f>
        <v/>
      </c>
      <c r="AV954" s="37" t="str">
        <f aca="false">IF(AO954&lt;&gt;1,"",IF(OR(P954="",Q954=""),"",IF(Q954&lt;P954,"",ROUND(((NETWORKDAYS(P954,Q954,JoursFeries)-1)*(HFer-HOuv)+IF(NETWORKDAYS(Q954,Q954,JoursFeries),MEDIAN(MOD(Q954,1),HFer,HOuv),HFer)-IF(NETWORKDAYS(P954,P954,JoursFeries),MEDIAN(MOD(P954,1),HFer,HOuv),HOuv))*24,4))))</f>
        <v/>
      </c>
      <c r="AW954" s="37" t="str">
        <f aca="false">IF(AO954&lt;&gt;1,"",IFERROR(ROUND(IF(OR(P954="",R954=""),"",IF(R954&lt;P954,"",ROUND(((NETWORKDAYS(P954,R954,JoursFeries)-1)*(HFer-HOuv)+IF(NETWORKDAYS(R954,R954,JoursFeries),MEDIAN(MOD(R954,1),HFer,HOuv),HFer)-IF(NETWORKDAYS(P954,P954,JoursFeries),MEDIAN(MOD(P954,1),HFer,HOuv),HOuv))*24,4)))/HJour,4),""))</f>
        <v/>
      </c>
      <c r="AX954" s="37" t="str">
        <f aca="false">IF(AO954&lt;&gt;1,"",IFERROR(ROUND(IF(OR(P954="",S954=""),"",IF(S954&lt;P954,"",ROUND(((NETWORKDAYS(P954,S954,JoursFeries)-1)*(HFer-HOuv)+IF(NETWORKDAYS(S954,S954,JoursFeries),MEDIAN(MOD(S954,1),HFer,HOuv),HFer)-IF(NETWORKDAYS(P954,P954,JoursFeries),MEDIAN(MOD(P954,1),HFer,HOuv),HOuv))*24,4)))/HJour,4),""))</f>
        <v/>
      </c>
      <c r="AY954" s="36" t="str">
        <f aca="false">IF(OR(AO954&lt;&gt;1,AR954=""),"",INDEX(SLA_PEC,AR954))</f>
        <v/>
      </c>
      <c r="AZ954" s="35" t="str">
        <f aca="false">IF(OR(AV954="",AY954=""),"",IF(AV954&lt;=AY954,1,0))</f>
        <v/>
      </c>
      <c r="BA954" s="36" t="str">
        <f aca="false">IF(OR(AO954&lt;&gt;1,AR954=""),"",INDEX(SLA_RES,AR954))</f>
        <v/>
      </c>
      <c r="BB954" s="35" t="str">
        <f aca="false">IF(OR(AW954="",BA954=""),"",IF(AW954&lt;=BA954,1,0))</f>
        <v/>
      </c>
      <c r="BC954" s="38" t="str">
        <f aca="false">IF(OR(BA954="",P954=""),"",WORKDAY(INT(P954),BA954,JoursFeries)+MOD(P954,1))</f>
        <v/>
      </c>
      <c r="BD954" s="39" t="str">
        <f aca="false">IF(AO954&lt;&gt;1,"",IF(OR(AB954&lt;&gt;"",AD954&lt;&gt;""),4,IF(U954&lt;&gt;"",3,IF(T954&lt;&gt;"",2,1))))</f>
        <v/>
      </c>
      <c r="BE954" s="39" t="str">
        <f aca="false">IF(OR(AO954&lt;&gt;1,AR954=""),"",INDEX(NIV_REQ,AR954))</f>
        <v/>
      </c>
      <c r="BF954" s="39" t="str">
        <f aca="false">IF(BE954="","",MAX(BE954,IF(OR(K954="Oui",Z954="Oui"),4,1)))</f>
        <v/>
      </c>
      <c r="BG954" s="35" t="str">
        <f aca="false">IF(OR(BF954="",BD954=""),"",IF(BD954&gt;=BF954,1,0))</f>
        <v/>
      </c>
      <c r="BH954" s="38" t="str">
        <f aca="false">IF(BE954="","",IF(BE954&lt;2,"",IF(BE954=2,IF(AND(T954="",U954=""),"",MIN(T954,U954)),IF(U954="","",U954))))</f>
        <v/>
      </c>
      <c r="BI954" s="37" t="str">
        <f aca="false">IF(BH954="","",IF(OR(O954="",BH954=""),"",IF(BH954&lt;O954,"",ROUND(((NETWORKDAYS(O954,BH954,JoursFeries)-1)*(HFer-HOuv)+IF(NETWORKDAYS(BH954,BH954,JoursFeries),MEDIAN(MOD(BH954,1),HFer,HOuv),HFer)-IF(NETWORKDAYS(O954,O954,JoursFeries),MEDIAN(MOD(O954,1),HFer,HOuv),HOuv))*24,4))))</f>
        <v/>
      </c>
      <c r="BJ954" s="35" t="str">
        <f aca="false">IF(OR(BI954="",AR954=""),"",IF(BI954&lt;=INDEX(DELAI_ESC,AR954),1,0))</f>
        <v/>
      </c>
      <c r="BK954" s="38" t="str">
        <f aca="false">IF(AO954&lt;&gt;1,"",IF(AND(T954="",U954=""),"",MIN(T954,U954)))</f>
        <v/>
      </c>
      <c r="BL954" s="37" t="str">
        <f aca="false">IF(OR(BK954="",R954=""),"",IFERROR(ROUND(IF(OR(BK954="",R954=""),"",IF(R954&lt;BK954,"",ROUND(((NETWORKDAYS(BK954,R954,JoursFeries)-1)*(HFer-HOuv)+IF(NETWORKDAYS(R954,R954,JoursFeries),MEDIAN(MOD(R954,1),HFer,HOuv),HFer)-IF(NETWORKDAYS(BK954,BK954,JoursFeries),MEDIAN(MOD(BK954,1),HFer,HOuv),HOuv))*24,4)))/HJour,4),""))</f>
        <v/>
      </c>
      <c r="BM954" s="35" t="str">
        <f aca="false">IF(OR(AO954&lt;&gt;1,R954=""),"",IF(BD954=1,1,0))</f>
        <v/>
      </c>
      <c r="BN954" s="35" t="str">
        <f aca="false">IF(AO954&lt;&gt;1,"",IF(W954="Oui",1,0))</f>
        <v/>
      </c>
      <c r="BO954" s="35" t="str">
        <f aca="false">IF(AO954&lt;&gt;1,"",IF(X954&lt;&gt;"",1,0))</f>
        <v/>
      </c>
      <c r="BP954" s="35" t="str">
        <f aca="false">IF(AO954&lt;&gt;1,"",IF(Y954="Oui",1,0))</f>
        <v/>
      </c>
      <c r="BQ954" s="35" t="str">
        <f aca="true">IF(OR(AO954&lt;&gt;1,Z954&lt;&gt;"Oui"),"",IF(AB954="",IF(AND(AA954&lt;&gt;"",NOW()&gt;AA954),0,""),IF(AA954="","",IF(AB954&lt;=AA954,1,0))))</f>
        <v/>
      </c>
      <c r="BR954" s="38" t="str">
        <f aca="false">IF(OR(AO954&lt;&gt;1,K954&lt;&gt;"Oui",O954=""),"",IF(AC954="",O954+DORA_H_DET/24,IF(AC954-O954&lt;=DORA_H_DET/24,MIN(AC954+DORA_H_CLA/24,O954+DORA_H_DET/24),AC954+DORA_H_CLA/24)))</f>
        <v/>
      </c>
      <c r="BS954" s="35" t="str">
        <f aca="true">IF(BR954="","",IF(AD954="",IF(NOW()&gt;BR954,0,""),IF(AD954&lt;=BR954,1,0)))</f>
        <v/>
      </c>
      <c r="BT954" s="35" t="str">
        <f aca="true">IF(OR(BR954="",AD954=""),"",IF(AE954="",IF(NOW()&gt;AD954+DORA_H_INT/24,0,""),IF(AE954&lt;=AD954+DORA_H_INT/24,1,0)))</f>
        <v/>
      </c>
      <c r="BU954" s="35" t="str">
        <f aca="true">IF(OR(BR954="",AE954=""),"",IF(AF954="",IF(NOW()&gt;EDATE(AE954,DORA_M_FIN)+1,0,""),IF(AF954&lt;=EDATE(AE954,DORA_M_FIN),1,0)))</f>
        <v/>
      </c>
      <c r="BV954" s="35" t="str">
        <f aca="false">IF(BR954="","",IF(COUNT(BS954:BU954)=0,"",MIN(BS954:BU954)))</f>
        <v/>
      </c>
      <c r="BW954" s="40" t="str">
        <f aca="false">IF(AQ954&lt;&gt;1,"",IF(AND(AG954="",AH954=""),"",N(AG954)-N(AH954)))</f>
        <v/>
      </c>
      <c r="BX954" s="35" t="str">
        <f aca="true">IF(OR(AQ954&lt;&gt;1,AI954&lt;&gt;"Oui",AJ954=""),"",IF(AK954="",IF(NOW()&gt;AJ954+1,0,""),IF(AK954&lt;=AJ954,1,0)))</f>
        <v/>
      </c>
    </row>
    <row r="955" customFormat="false" ht="15" hidden="false" customHeight="false" outlineLevel="0" collapsed="false">
      <c r="B955" s="29"/>
      <c r="C955" s="29"/>
      <c r="D955" s="29"/>
      <c r="E955" s="29"/>
      <c r="F955" s="29"/>
      <c r="G955" s="29"/>
      <c r="H955" s="29"/>
      <c r="I955" s="29"/>
      <c r="J955" s="29"/>
      <c r="K955" s="29"/>
      <c r="L955" s="29"/>
      <c r="M955" s="29"/>
      <c r="N955" s="30"/>
      <c r="O955" s="30"/>
      <c r="P955" s="30"/>
      <c r="Q955" s="30"/>
      <c r="R955" s="30"/>
      <c r="S955" s="30"/>
      <c r="T955" s="30"/>
      <c r="U955" s="30"/>
      <c r="V955" s="31"/>
      <c r="W955" s="29"/>
      <c r="X955" s="29"/>
      <c r="Y955" s="29"/>
      <c r="Z955" s="29"/>
      <c r="AA955" s="30"/>
      <c r="AB955" s="30"/>
      <c r="AC955" s="30"/>
      <c r="AD955" s="30"/>
      <c r="AE955" s="30"/>
      <c r="AF955" s="32"/>
      <c r="AG955" s="33"/>
      <c r="AH955" s="33"/>
      <c r="AI955" s="29"/>
      <c r="AJ955" s="32"/>
      <c r="AK955" s="32"/>
      <c r="AL955" s="29"/>
      <c r="AN955" s="34" t="str">
        <f aca="false">IF($B955="","",IF(OR(C955="",D955="",E955="",G955="",I955="",J955="",L955="",O955="",P955=""),"Champ obligatoire manquant",IF(OR(AND(N955&lt;&gt;"",N955&gt;O955),O955&gt;P955,AND(Q955&lt;&gt;"",Q955&lt;P955),AND(R955&lt;&gt;"",R955&lt;P955),AND(S955&lt;&gt;"",S955&lt;R955),AND(S955&lt;&gt;"",R955=""),AND(T955&lt;&gt;"",T955&lt;O955),AND(U955&lt;&gt;"",U955&lt;O955)),"Chronologie incohérente",IF(AND(OR(L955="Résolu",L955="Clos"),R955=""),"Date de résolution manquante",IF(AND(L955="Clos",S955=""),"Date de clôture manquante",IF(AND(K955="Oui",AC955=""),"Classification DORA manquante","OK"))))))</f>
        <v/>
      </c>
      <c r="AO955" s="35" t="str">
        <f aca="false">IF($B955="","",IF(AND(C955="Incident",L955&lt;&gt;"Annulé"),1,0))</f>
        <v/>
      </c>
      <c r="AP955" s="35" t="str">
        <f aca="false">IF($B955="","",IF(AND(C955="Quasi-incident",L955&lt;&gt;"Annulé"),1,0))</f>
        <v/>
      </c>
      <c r="AQ955" s="35" t="str">
        <f aca="false">IF($B955="","",AO955+AP955)</f>
        <v/>
      </c>
      <c r="AR955" s="36" t="str">
        <f aca="false">IF(OR($B955="",J955=""),"",IFERROR(VALUE(LEFT(J955,1)),""))</f>
        <v/>
      </c>
      <c r="AS955" s="35" t="str">
        <f aca="false">IF(OR(AO955&lt;&gt;1,G955=""),"",IFERROR(IF(INDEX(L_SrcInterne,MATCH(G955,L_Sources,0))="Oui",1,0),""))</f>
        <v/>
      </c>
      <c r="AT955" s="37" t="str">
        <f aca="false">IF(AO955&lt;&gt;1,"",IFERROR(ROUND(IF(OR(N955="",O955=""),"",IF(O955&lt;N955,"",ROUND(((NETWORKDAYS(N955,O955,JoursFeries)-1)*(HFer-HOuv)+IF(NETWORKDAYS(O955,O955,JoursFeries),MEDIAN(MOD(O955,1),HFer,HOuv),HFer)-IF(NETWORKDAYS(N955,N955,JoursFeries),MEDIAN(MOD(N955,1),HFer,HOuv),HOuv))*24,4)))/HJour,4),""))</f>
        <v/>
      </c>
      <c r="AU955" s="37" t="str">
        <f aca="false">IF(AO955&lt;&gt;1,"",IF(OR(O955="",P955=""),"",IF(P955&lt;O955,"",ROUND(((NETWORKDAYS(O955,P955,JoursFeries)-1)*(HFer-HOuv)+IF(NETWORKDAYS(P955,P955,JoursFeries),MEDIAN(MOD(P955,1),HFer,HOuv),HFer)-IF(NETWORKDAYS(O955,O955,JoursFeries),MEDIAN(MOD(O955,1),HFer,HOuv),HOuv))*24,4))))</f>
        <v/>
      </c>
      <c r="AV955" s="37" t="str">
        <f aca="false">IF(AO955&lt;&gt;1,"",IF(OR(P955="",Q955=""),"",IF(Q955&lt;P955,"",ROUND(((NETWORKDAYS(P955,Q955,JoursFeries)-1)*(HFer-HOuv)+IF(NETWORKDAYS(Q955,Q955,JoursFeries),MEDIAN(MOD(Q955,1),HFer,HOuv),HFer)-IF(NETWORKDAYS(P955,P955,JoursFeries),MEDIAN(MOD(P955,1),HFer,HOuv),HOuv))*24,4))))</f>
        <v/>
      </c>
      <c r="AW955" s="37" t="str">
        <f aca="false">IF(AO955&lt;&gt;1,"",IFERROR(ROUND(IF(OR(P955="",R955=""),"",IF(R955&lt;P955,"",ROUND(((NETWORKDAYS(P955,R955,JoursFeries)-1)*(HFer-HOuv)+IF(NETWORKDAYS(R955,R955,JoursFeries),MEDIAN(MOD(R955,1),HFer,HOuv),HFer)-IF(NETWORKDAYS(P955,P955,JoursFeries),MEDIAN(MOD(P955,1),HFer,HOuv),HOuv))*24,4)))/HJour,4),""))</f>
        <v/>
      </c>
      <c r="AX955" s="37" t="str">
        <f aca="false">IF(AO955&lt;&gt;1,"",IFERROR(ROUND(IF(OR(P955="",S955=""),"",IF(S955&lt;P955,"",ROUND(((NETWORKDAYS(P955,S955,JoursFeries)-1)*(HFer-HOuv)+IF(NETWORKDAYS(S955,S955,JoursFeries),MEDIAN(MOD(S955,1),HFer,HOuv),HFer)-IF(NETWORKDAYS(P955,P955,JoursFeries),MEDIAN(MOD(P955,1),HFer,HOuv),HOuv))*24,4)))/HJour,4),""))</f>
        <v/>
      </c>
      <c r="AY955" s="36" t="str">
        <f aca="false">IF(OR(AO955&lt;&gt;1,AR955=""),"",INDEX(SLA_PEC,AR955))</f>
        <v/>
      </c>
      <c r="AZ955" s="35" t="str">
        <f aca="false">IF(OR(AV955="",AY955=""),"",IF(AV955&lt;=AY955,1,0))</f>
        <v/>
      </c>
      <c r="BA955" s="36" t="str">
        <f aca="false">IF(OR(AO955&lt;&gt;1,AR955=""),"",INDEX(SLA_RES,AR955))</f>
        <v/>
      </c>
      <c r="BB955" s="35" t="str">
        <f aca="false">IF(OR(AW955="",BA955=""),"",IF(AW955&lt;=BA955,1,0))</f>
        <v/>
      </c>
      <c r="BC955" s="38" t="str">
        <f aca="false">IF(OR(BA955="",P955=""),"",WORKDAY(INT(P955),BA955,JoursFeries)+MOD(P955,1))</f>
        <v/>
      </c>
      <c r="BD955" s="39" t="str">
        <f aca="false">IF(AO955&lt;&gt;1,"",IF(OR(AB955&lt;&gt;"",AD955&lt;&gt;""),4,IF(U955&lt;&gt;"",3,IF(T955&lt;&gt;"",2,1))))</f>
        <v/>
      </c>
      <c r="BE955" s="39" t="str">
        <f aca="false">IF(OR(AO955&lt;&gt;1,AR955=""),"",INDEX(NIV_REQ,AR955))</f>
        <v/>
      </c>
      <c r="BF955" s="39" t="str">
        <f aca="false">IF(BE955="","",MAX(BE955,IF(OR(K955="Oui",Z955="Oui"),4,1)))</f>
        <v/>
      </c>
      <c r="BG955" s="35" t="str">
        <f aca="false">IF(OR(BF955="",BD955=""),"",IF(BD955&gt;=BF955,1,0))</f>
        <v/>
      </c>
      <c r="BH955" s="38" t="str">
        <f aca="false">IF(BE955="","",IF(BE955&lt;2,"",IF(BE955=2,IF(AND(T955="",U955=""),"",MIN(T955,U955)),IF(U955="","",U955))))</f>
        <v/>
      </c>
      <c r="BI955" s="37" t="str">
        <f aca="false">IF(BH955="","",IF(OR(O955="",BH955=""),"",IF(BH955&lt;O955,"",ROUND(((NETWORKDAYS(O955,BH955,JoursFeries)-1)*(HFer-HOuv)+IF(NETWORKDAYS(BH955,BH955,JoursFeries),MEDIAN(MOD(BH955,1),HFer,HOuv),HFer)-IF(NETWORKDAYS(O955,O955,JoursFeries),MEDIAN(MOD(O955,1),HFer,HOuv),HOuv))*24,4))))</f>
        <v/>
      </c>
      <c r="BJ955" s="35" t="str">
        <f aca="false">IF(OR(BI955="",AR955=""),"",IF(BI955&lt;=INDEX(DELAI_ESC,AR955),1,0))</f>
        <v/>
      </c>
      <c r="BK955" s="38" t="str">
        <f aca="false">IF(AO955&lt;&gt;1,"",IF(AND(T955="",U955=""),"",MIN(T955,U955)))</f>
        <v/>
      </c>
      <c r="BL955" s="37" t="str">
        <f aca="false">IF(OR(BK955="",R955=""),"",IFERROR(ROUND(IF(OR(BK955="",R955=""),"",IF(R955&lt;BK955,"",ROUND(((NETWORKDAYS(BK955,R955,JoursFeries)-1)*(HFer-HOuv)+IF(NETWORKDAYS(R955,R955,JoursFeries),MEDIAN(MOD(R955,1),HFer,HOuv),HFer)-IF(NETWORKDAYS(BK955,BK955,JoursFeries),MEDIAN(MOD(BK955,1),HFer,HOuv),HOuv))*24,4)))/HJour,4),""))</f>
        <v/>
      </c>
      <c r="BM955" s="35" t="str">
        <f aca="false">IF(OR(AO955&lt;&gt;1,R955=""),"",IF(BD955=1,1,0))</f>
        <v/>
      </c>
      <c r="BN955" s="35" t="str">
        <f aca="false">IF(AO955&lt;&gt;1,"",IF(W955="Oui",1,0))</f>
        <v/>
      </c>
      <c r="BO955" s="35" t="str">
        <f aca="false">IF(AO955&lt;&gt;1,"",IF(X955&lt;&gt;"",1,0))</f>
        <v/>
      </c>
      <c r="BP955" s="35" t="str">
        <f aca="false">IF(AO955&lt;&gt;1,"",IF(Y955="Oui",1,0))</f>
        <v/>
      </c>
      <c r="BQ955" s="35" t="str">
        <f aca="true">IF(OR(AO955&lt;&gt;1,Z955&lt;&gt;"Oui"),"",IF(AB955="",IF(AND(AA955&lt;&gt;"",NOW()&gt;AA955),0,""),IF(AA955="","",IF(AB955&lt;=AA955,1,0))))</f>
        <v/>
      </c>
      <c r="BR955" s="38" t="str">
        <f aca="false">IF(OR(AO955&lt;&gt;1,K955&lt;&gt;"Oui",O955=""),"",IF(AC955="",O955+DORA_H_DET/24,IF(AC955-O955&lt;=DORA_H_DET/24,MIN(AC955+DORA_H_CLA/24,O955+DORA_H_DET/24),AC955+DORA_H_CLA/24)))</f>
        <v/>
      </c>
      <c r="BS955" s="35" t="str">
        <f aca="true">IF(BR955="","",IF(AD955="",IF(NOW()&gt;BR955,0,""),IF(AD955&lt;=BR955,1,0)))</f>
        <v/>
      </c>
      <c r="BT955" s="35" t="str">
        <f aca="true">IF(OR(BR955="",AD955=""),"",IF(AE955="",IF(NOW()&gt;AD955+DORA_H_INT/24,0,""),IF(AE955&lt;=AD955+DORA_H_INT/24,1,0)))</f>
        <v/>
      </c>
      <c r="BU955" s="35" t="str">
        <f aca="true">IF(OR(BR955="",AE955=""),"",IF(AF955="",IF(NOW()&gt;EDATE(AE955,DORA_M_FIN)+1,0,""),IF(AF955&lt;=EDATE(AE955,DORA_M_FIN),1,0)))</f>
        <v/>
      </c>
      <c r="BV955" s="35" t="str">
        <f aca="false">IF(BR955="","",IF(COUNT(BS955:BU955)=0,"",MIN(BS955:BU955)))</f>
        <v/>
      </c>
      <c r="BW955" s="40" t="str">
        <f aca="false">IF(AQ955&lt;&gt;1,"",IF(AND(AG955="",AH955=""),"",N(AG955)-N(AH955)))</f>
        <v/>
      </c>
      <c r="BX955" s="35" t="str">
        <f aca="true">IF(OR(AQ955&lt;&gt;1,AI955&lt;&gt;"Oui",AJ955=""),"",IF(AK955="",IF(NOW()&gt;AJ955+1,0,""),IF(AK955&lt;=AJ955,1,0)))</f>
        <v/>
      </c>
    </row>
    <row r="956" customFormat="false" ht="15" hidden="false" customHeight="false" outlineLevel="0" collapsed="false">
      <c r="B956" s="29"/>
      <c r="C956" s="29"/>
      <c r="D956" s="29"/>
      <c r="E956" s="29"/>
      <c r="F956" s="29"/>
      <c r="G956" s="29"/>
      <c r="H956" s="29"/>
      <c r="I956" s="29"/>
      <c r="J956" s="29"/>
      <c r="K956" s="29"/>
      <c r="L956" s="29"/>
      <c r="M956" s="29"/>
      <c r="N956" s="30"/>
      <c r="O956" s="30"/>
      <c r="P956" s="30"/>
      <c r="Q956" s="30"/>
      <c r="R956" s="30"/>
      <c r="S956" s="30"/>
      <c r="T956" s="30"/>
      <c r="U956" s="30"/>
      <c r="V956" s="31"/>
      <c r="W956" s="29"/>
      <c r="X956" s="29"/>
      <c r="Y956" s="29"/>
      <c r="Z956" s="29"/>
      <c r="AA956" s="30"/>
      <c r="AB956" s="30"/>
      <c r="AC956" s="30"/>
      <c r="AD956" s="30"/>
      <c r="AE956" s="30"/>
      <c r="AF956" s="32"/>
      <c r="AG956" s="33"/>
      <c r="AH956" s="33"/>
      <c r="AI956" s="29"/>
      <c r="AJ956" s="32"/>
      <c r="AK956" s="32"/>
      <c r="AL956" s="29"/>
      <c r="AN956" s="34" t="str">
        <f aca="false">IF($B956="","",IF(OR(C956="",D956="",E956="",G956="",I956="",J956="",L956="",O956="",P956=""),"Champ obligatoire manquant",IF(OR(AND(N956&lt;&gt;"",N956&gt;O956),O956&gt;P956,AND(Q956&lt;&gt;"",Q956&lt;P956),AND(R956&lt;&gt;"",R956&lt;P956),AND(S956&lt;&gt;"",S956&lt;R956),AND(S956&lt;&gt;"",R956=""),AND(T956&lt;&gt;"",T956&lt;O956),AND(U956&lt;&gt;"",U956&lt;O956)),"Chronologie incohérente",IF(AND(OR(L956="Résolu",L956="Clos"),R956=""),"Date de résolution manquante",IF(AND(L956="Clos",S956=""),"Date de clôture manquante",IF(AND(K956="Oui",AC956=""),"Classification DORA manquante","OK"))))))</f>
        <v/>
      </c>
      <c r="AO956" s="35" t="str">
        <f aca="false">IF($B956="","",IF(AND(C956="Incident",L956&lt;&gt;"Annulé"),1,0))</f>
        <v/>
      </c>
      <c r="AP956" s="35" t="str">
        <f aca="false">IF($B956="","",IF(AND(C956="Quasi-incident",L956&lt;&gt;"Annulé"),1,0))</f>
        <v/>
      </c>
      <c r="AQ956" s="35" t="str">
        <f aca="false">IF($B956="","",AO956+AP956)</f>
        <v/>
      </c>
      <c r="AR956" s="36" t="str">
        <f aca="false">IF(OR($B956="",J956=""),"",IFERROR(VALUE(LEFT(J956,1)),""))</f>
        <v/>
      </c>
      <c r="AS956" s="35" t="str">
        <f aca="false">IF(OR(AO956&lt;&gt;1,G956=""),"",IFERROR(IF(INDEX(L_SrcInterne,MATCH(G956,L_Sources,0))="Oui",1,0),""))</f>
        <v/>
      </c>
      <c r="AT956" s="37" t="str">
        <f aca="false">IF(AO956&lt;&gt;1,"",IFERROR(ROUND(IF(OR(N956="",O956=""),"",IF(O956&lt;N956,"",ROUND(((NETWORKDAYS(N956,O956,JoursFeries)-1)*(HFer-HOuv)+IF(NETWORKDAYS(O956,O956,JoursFeries),MEDIAN(MOD(O956,1),HFer,HOuv),HFer)-IF(NETWORKDAYS(N956,N956,JoursFeries),MEDIAN(MOD(N956,1),HFer,HOuv),HOuv))*24,4)))/HJour,4),""))</f>
        <v/>
      </c>
      <c r="AU956" s="37" t="str">
        <f aca="false">IF(AO956&lt;&gt;1,"",IF(OR(O956="",P956=""),"",IF(P956&lt;O956,"",ROUND(((NETWORKDAYS(O956,P956,JoursFeries)-1)*(HFer-HOuv)+IF(NETWORKDAYS(P956,P956,JoursFeries),MEDIAN(MOD(P956,1),HFer,HOuv),HFer)-IF(NETWORKDAYS(O956,O956,JoursFeries),MEDIAN(MOD(O956,1),HFer,HOuv),HOuv))*24,4))))</f>
        <v/>
      </c>
      <c r="AV956" s="37" t="str">
        <f aca="false">IF(AO956&lt;&gt;1,"",IF(OR(P956="",Q956=""),"",IF(Q956&lt;P956,"",ROUND(((NETWORKDAYS(P956,Q956,JoursFeries)-1)*(HFer-HOuv)+IF(NETWORKDAYS(Q956,Q956,JoursFeries),MEDIAN(MOD(Q956,1),HFer,HOuv),HFer)-IF(NETWORKDAYS(P956,P956,JoursFeries),MEDIAN(MOD(P956,1),HFer,HOuv),HOuv))*24,4))))</f>
        <v/>
      </c>
      <c r="AW956" s="37" t="str">
        <f aca="false">IF(AO956&lt;&gt;1,"",IFERROR(ROUND(IF(OR(P956="",R956=""),"",IF(R956&lt;P956,"",ROUND(((NETWORKDAYS(P956,R956,JoursFeries)-1)*(HFer-HOuv)+IF(NETWORKDAYS(R956,R956,JoursFeries),MEDIAN(MOD(R956,1),HFer,HOuv),HFer)-IF(NETWORKDAYS(P956,P956,JoursFeries),MEDIAN(MOD(P956,1),HFer,HOuv),HOuv))*24,4)))/HJour,4),""))</f>
        <v/>
      </c>
      <c r="AX956" s="37" t="str">
        <f aca="false">IF(AO956&lt;&gt;1,"",IFERROR(ROUND(IF(OR(P956="",S956=""),"",IF(S956&lt;P956,"",ROUND(((NETWORKDAYS(P956,S956,JoursFeries)-1)*(HFer-HOuv)+IF(NETWORKDAYS(S956,S956,JoursFeries),MEDIAN(MOD(S956,1),HFer,HOuv),HFer)-IF(NETWORKDAYS(P956,P956,JoursFeries),MEDIAN(MOD(P956,1),HFer,HOuv),HOuv))*24,4)))/HJour,4),""))</f>
        <v/>
      </c>
      <c r="AY956" s="36" t="str">
        <f aca="false">IF(OR(AO956&lt;&gt;1,AR956=""),"",INDEX(SLA_PEC,AR956))</f>
        <v/>
      </c>
      <c r="AZ956" s="35" t="str">
        <f aca="false">IF(OR(AV956="",AY956=""),"",IF(AV956&lt;=AY956,1,0))</f>
        <v/>
      </c>
      <c r="BA956" s="36" t="str">
        <f aca="false">IF(OR(AO956&lt;&gt;1,AR956=""),"",INDEX(SLA_RES,AR956))</f>
        <v/>
      </c>
      <c r="BB956" s="35" t="str">
        <f aca="false">IF(OR(AW956="",BA956=""),"",IF(AW956&lt;=BA956,1,0))</f>
        <v/>
      </c>
      <c r="BC956" s="38" t="str">
        <f aca="false">IF(OR(BA956="",P956=""),"",WORKDAY(INT(P956),BA956,JoursFeries)+MOD(P956,1))</f>
        <v/>
      </c>
      <c r="BD956" s="39" t="str">
        <f aca="false">IF(AO956&lt;&gt;1,"",IF(OR(AB956&lt;&gt;"",AD956&lt;&gt;""),4,IF(U956&lt;&gt;"",3,IF(T956&lt;&gt;"",2,1))))</f>
        <v/>
      </c>
      <c r="BE956" s="39" t="str">
        <f aca="false">IF(OR(AO956&lt;&gt;1,AR956=""),"",INDEX(NIV_REQ,AR956))</f>
        <v/>
      </c>
      <c r="BF956" s="39" t="str">
        <f aca="false">IF(BE956="","",MAX(BE956,IF(OR(K956="Oui",Z956="Oui"),4,1)))</f>
        <v/>
      </c>
      <c r="BG956" s="35" t="str">
        <f aca="false">IF(OR(BF956="",BD956=""),"",IF(BD956&gt;=BF956,1,0))</f>
        <v/>
      </c>
      <c r="BH956" s="38" t="str">
        <f aca="false">IF(BE956="","",IF(BE956&lt;2,"",IF(BE956=2,IF(AND(T956="",U956=""),"",MIN(T956,U956)),IF(U956="","",U956))))</f>
        <v/>
      </c>
      <c r="BI956" s="37" t="str">
        <f aca="false">IF(BH956="","",IF(OR(O956="",BH956=""),"",IF(BH956&lt;O956,"",ROUND(((NETWORKDAYS(O956,BH956,JoursFeries)-1)*(HFer-HOuv)+IF(NETWORKDAYS(BH956,BH956,JoursFeries),MEDIAN(MOD(BH956,1),HFer,HOuv),HFer)-IF(NETWORKDAYS(O956,O956,JoursFeries),MEDIAN(MOD(O956,1),HFer,HOuv),HOuv))*24,4))))</f>
        <v/>
      </c>
      <c r="BJ956" s="35" t="str">
        <f aca="false">IF(OR(BI956="",AR956=""),"",IF(BI956&lt;=INDEX(DELAI_ESC,AR956),1,0))</f>
        <v/>
      </c>
      <c r="BK956" s="38" t="str">
        <f aca="false">IF(AO956&lt;&gt;1,"",IF(AND(T956="",U956=""),"",MIN(T956,U956)))</f>
        <v/>
      </c>
      <c r="BL956" s="37" t="str">
        <f aca="false">IF(OR(BK956="",R956=""),"",IFERROR(ROUND(IF(OR(BK956="",R956=""),"",IF(R956&lt;BK956,"",ROUND(((NETWORKDAYS(BK956,R956,JoursFeries)-1)*(HFer-HOuv)+IF(NETWORKDAYS(R956,R956,JoursFeries),MEDIAN(MOD(R956,1),HFer,HOuv),HFer)-IF(NETWORKDAYS(BK956,BK956,JoursFeries),MEDIAN(MOD(BK956,1),HFer,HOuv),HOuv))*24,4)))/HJour,4),""))</f>
        <v/>
      </c>
      <c r="BM956" s="35" t="str">
        <f aca="false">IF(OR(AO956&lt;&gt;1,R956=""),"",IF(BD956=1,1,0))</f>
        <v/>
      </c>
      <c r="BN956" s="35" t="str">
        <f aca="false">IF(AO956&lt;&gt;1,"",IF(W956="Oui",1,0))</f>
        <v/>
      </c>
      <c r="BO956" s="35" t="str">
        <f aca="false">IF(AO956&lt;&gt;1,"",IF(X956&lt;&gt;"",1,0))</f>
        <v/>
      </c>
      <c r="BP956" s="35" t="str">
        <f aca="false">IF(AO956&lt;&gt;1,"",IF(Y956="Oui",1,0))</f>
        <v/>
      </c>
      <c r="BQ956" s="35" t="str">
        <f aca="true">IF(OR(AO956&lt;&gt;1,Z956&lt;&gt;"Oui"),"",IF(AB956="",IF(AND(AA956&lt;&gt;"",NOW()&gt;AA956),0,""),IF(AA956="","",IF(AB956&lt;=AA956,1,0))))</f>
        <v/>
      </c>
      <c r="BR956" s="38" t="str">
        <f aca="false">IF(OR(AO956&lt;&gt;1,K956&lt;&gt;"Oui",O956=""),"",IF(AC956="",O956+DORA_H_DET/24,IF(AC956-O956&lt;=DORA_H_DET/24,MIN(AC956+DORA_H_CLA/24,O956+DORA_H_DET/24),AC956+DORA_H_CLA/24)))</f>
        <v/>
      </c>
      <c r="BS956" s="35" t="str">
        <f aca="true">IF(BR956="","",IF(AD956="",IF(NOW()&gt;BR956,0,""),IF(AD956&lt;=BR956,1,0)))</f>
        <v/>
      </c>
      <c r="BT956" s="35" t="str">
        <f aca="true">IF(OR(BR956="",AD956=""),"",IF(AE956="",IF(NOW()&gt;AD956+DORA_H_INT/24,0,""),IF(AE956&lt;=AD956+DORA_H_INT/24,1,0)))</f>
        <v/>
      </c>
      <c r="BU956" s="35" t="str">
        <f aca="true">IF(OR(BR956="",AE956=""),"",IF(AF956="",IF(NOW()&gt;EDATE(AE956,DORA_M_FIN)+1,0,""),IF(AF956&lt;=EDATE(AE956,DORA_M_FIN),1,0)))</f>
        <v/>
      </c>
      <c r="BV956" s="35" t="str">
        <f aca="false">IF(BR956="","",IF(COUNT(BS956:BU956)=0,"",MIN(BS956:BU956)))</f>
        <v/>
      </c>
      <c r="BW956" s="40" t="str">
        <f aca="false">IF(AQ956&lt;&gt;1,"",IF(AND(AG956="",AH956=""),"",N(AG956)-N(AH956)))</f>
        <v/>
      </c>
      <c r="BX956" s="35" t="str">
        <f aca="true">IF(OR(AQ956&lt;&gt;1,AI956&lt;&gt;"Oui",AJ956=""),"",IF(AK956="",IF(NOW()&gt;AJ956+1,0,""),IF(AK956&lt;=AJ956,1,0)))</f>
        <v/>
      </c>
    </row>
    <row r="957" customFormat="false" ht="15" hidden="false" customHeight="false" outlineLevel="0" collapsed="false">
      <c r="B957" s="29"/>
      <c r="C957" s="29"/>
      <c r="D957" s="29"/>
      <c r="E957" s="29"/>
      <c r="F957" s="29"/>
      <c r="G957" s="29"/>
      <c r="H957" s="29"/>
      <c r="I957" s="29"/>
      <c r="J957" s="29"/>
      <c r="K957" s="29"/>
      <c r="L957" s="29"/>
      <c r="M957" s="29"/>
      <c r="N957" s="30"/>
      <c r="O957" s="30"/>
      <c r="P957" s="30"/>
      <c r="Q957" s="30"/>
      <c r="R957" s="30"/>
      <c r="S957" s="30"/>
      <c r="T957" s="30"/>
      <c r="U957" s="30"/>
      <c r="V957" s="31"/>
      <c r="W957" s="29"/>
      <c r="X957" s="29"/>
      <c r="Y957" s="29"/>
      <c r="Z957" s="29"/>
      <c r="AA957" s="30"/>
      <c r="AB957" s="30"/>
      <c r="AC957" s="30"/>
      <c r="AD957" s="30"/>
      <c r="AE957" s="30"/>
      <c r="AF957" s="32"/>
      <c r="AG957" s="33"/>
      <c r="AH957" s="33"/>
      <c r="AI957" s="29"/>
      <c r="AJ957" s="32"/>
      <c r="AK957" s="32"/>
      <c r="AL957" s="29"/>
      <c r="AN957" s="34" t="str">
        <f aca="false">IF($B957="","",IF(OR(C957="",D957="",E957="",G957="",I957="",J957="",L957="",O957="",P957=""),"Champ obligatoire manquant",IF(OR(AND(N957&lt;&gt;"",N957&gt;O957),O957&gt;P957,AND(Q957&lt;&gt;"",Q957&lt;P957),AND(R957&lt;&gt;"",R957&lt;P957),AND(S957&lt;&gt;"",S957&lt;R957),AND(S957&lt;&gt;"",R957=""),AND(T957&lt;&gt;"",T957&lt;O957),AND(U957&lt;&gt;"",U957&lt;O957)),"Chronologie incohérente",IF(AND(OR(L957="Résolu",L957="Clos"),R957=""),"Date de résolution manquante",IF(AND(L957="Clos",S957=""),"Date de clôture manquante",IF(AND(K957="Oui",AC957=""),"Classification DORA manquante","OK"))))))</f>
        <v/>
      </c>
      <c r="AO957" s="35" t="str">
        <f aca="false">IF($B957="","",IF(AND(C957="Incident",L957&lt;&gt;"Annulé"),1,0))</f>
        <v/>
      </c>
      <c r="AP957" s="35" t="str">
        <f aca="false">IF($B957="","",IF(AND(C957="Quasi-incident",L957&lt;&gt;"Annulé"),1,0))</f>
        <v/>
      </c>
      <c r="AQ957" s="35" t="str">
        <f aca="false">IF($B957="","",AO957+AP957)</f>
        <v/>
      </c>
      <c r="AR957" s="36" t="str">
        <f aca="false">IF(OR($B957="",J957=""),"",IFERROR(VALUE(LEFT(J957,1)),""))</f>
        <v/>
      </c>
      <c r="AS957" s="35" t="str">
        <f aca="false">IF(OR(AO957&lt;&gt;1,G957=""),"",IFERROR(IF(INDEX(L_SrcInterne,MATCH(G957,L_Sources,0))="Oui",1,0),""))</f>
        <v/>
      </c>
      <c r="AT957" s="37" t="str">
        <f aca="false">IF(AO957&lt;&gt;1,"",IFERROR(ROUND(IF(OR(N957="",O957=""),"",IF(O957&lt;N957,"",ROUND(((NETWORKDAYS(N957,O957,JoursFeries)-1)*(HFer-HOuv)+IF(NETWORKDAYS(O957,O957,JoursFeries),MEDIAN(MOD(O957,1),HFer,HOuv),HFer)-IF(NETWORKDAYS(N957,N957,JoursFeries),MEDIAN(MOD(N957,1),HFer,HOuv),HOuv))*24,4)))/HJour,4),""))</f>
        <v/>
      </c>
      <c r="AU957" s="37" t="str">
        <f aca="false">IF(AO957&lt;&gt;1,"",IF(OR(O957="",P957=""),"",IF(P957&lt;O957,"",ROUND(((NETWORKDAYS(O957,P957,JoursFeries)-1)*(HFer-HOuv)+IF(NETWORKDAYS(P957,P957,JoursFeries),MEDIAN(MOD(P957,1),HFer,HOuv),HFer)-IF(NETWORKDAYS(O957,O957,JoursFeries),MEDIAN(MOD(O957,1),HFer,HOuv),HOuv))*24,4))))</f>
        <v/>
      </c>
      <c r="AV957" s="37" t="str">
        <f aca="false">IF(AO957&lt;&gt;1,"",IF(OR(P957="",Q957=""),"",IF(Q957&lt;P957,"",ROUND(((NETWORKDAYS(P957,Q957,JoursFeries)-1)*(HFer-HOuv)+IF(NETWORKDAYS(Q957,Q957,JoursFeries),MEDIAN(MOD(Q957,1),HFer,HOuv),HFer)-IF(NETWORKDAYS(P957,P957,JoursFeries),MEDIAN(MOD(P957,1),HFer,HOuv),HOuv))*24,4))))</f>
        <v/>
      </c>
      <c r="AW957" s="37" t="str">
        <f aca="false">IF(AO957&lt;&gt;1,"",IFERROR(ROUND(IF(OR(P957="",R957=""),"",IF(R957&lt;P957,"",ROUND(((NETWORKDAYS(P957,R957,JoursFeries)-1)*(HFer-HOuv)+IF(NETWORKDAYS(R957,R957,JoursFeries),MEDIAN(MOD(R957,1),HFer,HOuv),HFer)-IF(NETWORKDAYS(P957,P957,JoursFeries),MEDIAN(MOD(P957,1),HFer,HOuv),HOuv))*24,4)))/HJour,4),""))</f>
        <v/>
      </c>
      <c r="AX957" s="37" t="str">
        <f aca="false">IF(AO957&lt;&gt;1,"",IFERROR(ROUND(IF(OR(P957="",S957=""),"",IF(S957&lt;P957,"",ROUND(((NETWORKDAYS(P957,S957,JoursFeries)-1)*(HFer-HOuv)+IF(NETWORKDAYS(S957,S957,JoursFeries),MEDIAN(MOD(S957,1),HFer,HOuv),HFer)-IF(NETWORKDAYS(P957,P957,JoursFeries),MEDIAN(MOD(P957,1),HFer,HOuv),HOuv))*24,4)))/HJour,4),""))</f>
        <v/>
      </c>
      <c r="AY957" s="36" t="str">
        <f aca="false">IF(OR(AO957&lt;&gt;1,AR957=""),"",INDEX(SLA_PEC,AR957))</f>
        <v/>
      </c>
      <c r="AZ957" s="35" t="str">
        <f aca="false">IF(OR(AV957="",AY957=""),"",IF(AV957&lt;=AY957,1,0))</f>
        <v/>
      </c>
      <c r="BA957" s="36" t="str">
        <f aca="false">IF(OR(AO957&lt;&gt;1,AR957=""),"",INDEX(SLA_RES,AR957))</f>
        <v/>
      </c>
      <c r="BB957" s="35" t="str">
        <f aca="false">IF(OR(AW957="",BA957=""),"",IF(AW957&lt;=BA957,1,0))</f>
        <v/>
      </c>
      <c r="BC957" s="38" t="str">
        <f aca="false">IF(OR(BA957="",P957=""),"",WORKDAY(INT(P957),BA957,JoursFeries)+MOD(P957,1))</f>
        <v/>
      </c>
      <c r="BD957" s="39" t="str">
        <f aca="false">IF(AO957&lt;&gt;1,"",IF(OR(AB957&lt;&gt;"",AD957&lt;&gt;""),4,IF(U957&lt;&gt;"",3,IF(T957&lt;&gt;"",2,1))))</f>
        <v/>
      </c>
      <c r="BE957" s="39" t="str">
        <f aca="false">IF(OR(AO957&lt;&gt;1,AR957=""),"",INDEX(NIV_REQ,AR957))</f>
        <v/>
      </c>
      <c r="BF957" s="39" t="str">
        <f aca="false">IF(BE957="","",MAX(BE957,IF(OR(K957="Oui",Z957="Oui"),4,1)))</f>
        <v/>
      </c>
      <c r="BG957" s="35" t="str">
        <f aca="false">IF(OR(BF957="",BD957=""),"",IF(BD957&gt;=BF957,1,0))</f>
        <v/>
      </c>
      <c r="BH957" s="38" t="str">
        <f aca="false">IF(BE957="","",IF(BE957&lt;2,"",IF(BE957=2,IF(AND(T957="",U957=""),"",MIN(T957,U957)),IF(U957="","",U957))))</f>
        <v/>
      </c>
      <c r="BI957" s="37" t="str">
        <f aca="false">IF(BH957="","",IF(OR(O957="",BH957=""),"",IF(BH957&lt;O957,"",ROUND(((NETWORKDAYS(O957,BH957,JoursFeries)-1)*(HFer-HOuv)+IF(NETWORKDAYS(BH957,BH957,JoursFeries),MEDIAN(MOD(BH957,1),HFer,HOuv),HFer)-IF(NETWORKDAYS(O957,O957,JoursFeries),MEDIAN(MOD(O957,1),HFer,HOuv),HOuv))*24,4))))</f>
        <v/>
      </c>
      <c r="BJ957" s="35" t="str">
        <f aca="false">IF(OR(BI957="",AR957=""),"",IF(BI957&lt;=INDEX(DELAI_ESC,AR957),1,0))</f>
        <v/>
      </c>
      <c r="BK957" s="38" t="str">
        <f aca="false">IF(AO957&lt;&gt;1,"",IF(AND(T957="",U957=""),"",MIN(T957,U957)))</f>
        <v/>
      </c>
      <c r="BL957" s="37" t="str">
        <f aca="false">IF(OR(BK957="",R957=""),"",IFERROR(ROUND(IF(OR(BK957="",R957=""),"",IF(R957&lt;BK957,"",ROUND(((NETWORKDAYS(BK957,R957,JoursFeries)-1)*(HFer-HOuv)+IF(NETWORKDAYS(R957,R957,JoursFeries),MEDIAN(MOD(R957,1),HFer,HOuv),HFer)-IF(NETWORKDAYS(BK957,BK957,JoursFeries),MEDIAN(MOD(BK957,1),HFer,HOuv),HOuv))*24,4)))/HJour,4),""))</f>
        <v/>
      </c>
      <c r="BM957" s="35" t="str">
        <f aca="false">IF(OR(AO957&lt;&gt;1,R957=""),"",IF(BD957=1,1,0))</f>
        <v/>
      </c>
      <c r="BN957" s="35" t="str">
        <f aca="false">IF(AO957&lt;&gt;1,"",IF(W957="Oui",1,0))</f>
        <v/>
      </c>
      <c r="BO957" s="35" t="str">
        <f aca="false">IF(AO957&lt;&gt;1,"",IF(X957&lt;&gt;"",1,0))</f>
        <v/>
      </c>
      <c r="BP957" s="35" t="str">
        <f aca="false">IF(AO957&lt;&gt;1,"",IF(Y957="Oui",1,0))</f>
        <v/>
      </c>
      <c r="BQ957" s="35" t="str">
        <f aca="true">IF(OR(AO957&lt;&gt;1,Z957&lt;&gt;"Oui"),"",IF(AB957="",IF(AND(AA957&lt;&gt;"",NOW()&gt;AA957),0,""),IF(AA957="","",IF(AB957&lt;=AA957,1,0))))</f>
        <v/>
      </c>
      <c r="BR957" s="38" t="str">
        <f aca="false">IF(OR(AO957&lt;&gt;1,K957&lt;&gt;"Oui",O957=""),"",IF(AC957="",O957+DORA_H_DET/24,IF(AC957-O957&lt;=DORA_H_DET/24,MIN(AC957+DORA_H_CLA/24,O957+DORA_H_DET/24),AC957+DORA_H_CLA/24)))</f>
        <v/>
      </c>
      <c r="BS957" s="35" t="str">
        <f aca="true">IF(BR957="","",IF(AD957="",IF(NOW()&gt;BR957,0,""),IF(AD957&lt;=BR957,1,0)))</f>
        <v/>
      </c>
      <c r="BT957" s="35" t="str">
        <f aca="true">IF(OR(BR957="",AD957=""),"",IF(AE957="",IF(NOW()&gt;AD957+DORA_H_INT/24,0,""),IF(AE957&lt;=AD957+DORA_H_INT/24,1,0)))</f>
        <v/>
      </c>
      <c r="BU957" s="35" t="str">
        <f aca="true">IF(OR(BR957="",AE957=""),"",IF(AF957="",IF(NOW()&gt;EDATE(AE957,DORA_M_FIN)+1,0,""),IF(AF957&lt;=EDATE(AE957,DORA_M_FIN),1,0)))</f>
        <v/>
      </c>
      <c r="BV957" s="35" t="str">
        <f aca="false">IF(BR957="","",IF(COUNT(BS957:BU957)=0,"",MIN(BS957:BU957)))</f>
        <v/>
      </c>
      <c r="BW957" s="40" t="str">
        <f aca="false">IF(AQ957&lt;&gt;1,"",IF(AND(AG957="",AH957=""),"",N(AG957)-N(AH957)))</f>
        <v/>
      </c>
      <c r="BX957" s="35" t="str">
        <f aca="true">IF(OR(AQ957&lt;&gt;1,AI957&lt;&gt;"Oui",AJ957=""),"",IF(AK957="",IF(NOW()&gt;AJ957+1,0,""),IF(AK957&lt;=AJ957,1,0)))</f>
        <v/>
      </c>
    </row>
    <row r="958" customFormat="false" ht="15" hidden="false" customHeight="false" outlineLevel="0" collapsed="false">
      <c r="B958" s="29"/>
      <c r="C958" s="29"/>
      <c r="D958" s="29"/>
      <c r="E958" s="29"/>
      <c r="F958" s="29"/>
      <c r="G958" s="29"/>
      <c r="H958" s="29"/>
      <c r="I958" s="29"/>
      <c r="J958" s="29"/>
      <c r="K958" s="29"/>
      <c r="L958" s="29"/>
      <c r="M958" s="29"/>
      <c r="N958" s="30"/>
      <c r="O958" s="30"/>
      <c r="P958" s="30"/>
      <c r="Q958" s="30"/>
      <c r="R958" s="30"/>
      <c r="S958" s="30"/>
      <c r="T958" s="30"/>
      <c r="U958" s="30"/>
      <c r="V958" s="31"/>
      <c r="W958" s="29"/>
      <c r="X958" s="29"/>
      <c r="Y958" s="29"/>
      <c r="Z958" s="29"/>
      <c r="AA958" s="30"/>
      <c r="AB958" s="30"/>
      <c r="AC958" s="30"/>
      <c r="AD958" s="30"/>
      <c r="AE958" s="30"/>
      <c r="AF958" s="32"/>
      <c r="AG958" s="33"/>
      <c r="AH958" s="33"/>
      <c r="AI958" s="29"/>
      <c r="AJ958" s="32"/>
      <c r="AK958" s="32"/>
      <c r="AL958" s="29"/>
      <c r="AN958" s="34" t="str">
        <f aca="false">IF($B958="","",IF(OR(C958="",D958="",E958="",G958="",I958="",J958="",L958="",O958="",P958=""),"Champ obligatoire manquant",IF(OR(AND(N958&lt;&gt;"",N958&gt;O958),O958&gt;P958,AND(Q958&lt;&gt;"",Q958&lt;P958),AND(R958&lt;&gt;"",R958&lt;P958),AND(S958&lt;&gt;"",S958&lt;R958),AND(S958&lt;&gt;"",R958=""),AND(T958&lt;&gt;"",T958&lt;O958),AND(U958&lt;&gt;"",U958&lt;O958)),"Chronologie incohérente",IF(AND(OR(L958="Résolu",L958="Clos"),R958=""),"Date de résolution manquante",IF(AND(L958="Clos",S958=""),"Date de clôture manquante",IF(AND(K958="Oui",AC958=""),"Classification DORA manquante","OK"))))))</f>
        <v/>
      </c>
      <c r="AO958" s="35" t="str">
        <f aca="false">IF($B958="","",IF(AND(C958="Incident",L958&lt;&gt;"Annulé"),1,0))</f>
        <v/>
      </c>
      <c r="AP958" s="35" t="str">
        <f aca="false">IF($B958="","",IF(AND(C958="Quasi-incident",L958&lt;&gt;"Annulé"),1,0))</f>
        <v/>
      </c>
      <c r="AQ958" s="35" t="str">
        <f aca="false">IF($B958="","",AO958+AP958)</f>
        <v/>
      </c>
      <c r="AR958" s="36" t="str">
        <f aca="false">IF(OR($B958="",J958=""),"",IFERROR(VALUE(LEFT(J958,1)),""))</f>
        <v/>
      </c>
      <c r="AS958" s="35" t="str">
        <f aca="false">IF(OR(AO958&lt;&gt;1,G958=""),"",IFERROR(IF(INDEX(L_SrcInterne,MATCH(G958,L_Sources,0))="Oui",1,0),""))</f>
        <v/>
      </c>
      <c r="AT958" s="37" t="str">
        <f aca="false">IF(AO958&lt;&gt;1,"",IFERROR(ROUND(IF(OR(N958="",O958=""),"",IF(O958&lt;N958,"",ROUND(((NETWORKDAYS(N958,O958,JoursFeries)-1)*(HFer-HOuv)+IF(NETWORKDAYS(O958,O958,JoursFeries),MEDIAN(MOD(O958,1),HFer,HOuv),HFer)-IF(NETWORKDAYS(N958,N958,JoursFeries),MEDIAN(MOD(N958,1),HFer,HOuv),HOuv))*24,4)))/HJour,4),""))</f>
        <v/>
      </c>
      <c r="AU958" s="37" t="str">
        <f aca="false">IF(AO958&lt;&gt;1,"",IF(OR(O958="",P958=""),"",IF(P958&lt;O958,"",ROUND(((NETWORKDAYS(O958,P958,JoursFeries)-1)*(HFer-HOuv)+IF(NETWORKDAYS(P958,P958,JoursFeries),MEDIAN(MOD(P958,1),HFer,HOuv),HFer)-IF(NETWORKDAYS(O958,O958,JoursFeries),MEDIAN(MOD(O958,1),HFer,HOuv),HOuv))*24,4))))</f>
        <v/>
      </c>
      <c r="AV958" s="37" t="str">
        <f aca="false">IF(AO958&lt;&gt;1,"",IF(OR(P958="",Q958=""),"",IF(Q958&lt;P958,"",ROUND(((NETWORKDAYS(P958,Q958,JoursFeries)-1)*(HFer-HOuv)+IF(NETWORKDAYS(Q958,Q958,JoursFeries),MEDIAN(MOD(Q958,1),HFer,HOuv),HFer)-IF(NETWORKDAYS(P958,P958,JoursFeries),MEDIAN(MOD(P958,1),HFer,HOuv),HOuv))*24,4))))</f>
        <v/>
      </c>
      <c r="AW958" s="37" t="str">
        <f aca="false">IF(AO958&lt;&gt;1,"",IFERROR(ROUND(IF(OR(P958="",R958=""),"",IF(R958&lt;P958,"",ROUND(((NETWORKDAYS(P958,R958,JoursFeries)-1)*(HFer-HOuv)+IF(NETWORKDAYS(R958,R958,JoursFeries),MEDIAN(MOD(R958,1),HFer,HOuv),HFer)-IF(NETWORKDAYS(P958,P958,JoursFeries),MEDIAN(MOD(P958,1),HFer,HOuv),HOuv))*24,4)))/HJour,4),""))</f>
        <v/>
      </c>
      <c r="AX958" s="37" t="str">
        <f aca="false">IF(AO958&lt;&gt;1,"",IFERROR(ROUND(IF(OR(P958="",S958=""),"",IF(S958&lt;P958,"",ROUND(((NETWORKDAYS(P958,S958,JoursFeries)-1)*(HFer-HOuv)+IF(NETWORKDAYS(S958,S958,JoursFeries),MEDIAN(MOD(S958,1),HFer,HOuv),HFer)-IF(NETWORKDAYS(P958,P958,JoursFeries),MEDIAN(MOD(P958,1),HFer,HOuv),HOuv))*24,4)))/HJour,4),""))</f>
        <v/>
      </c>
      <c r="AY958" s="36" t="str">
        <f aca="false">IF(OR(AO958&lt;&gt;1,AR958=""),"",INDEX(SLA_PEC,AR958))</f>
        <v/>
      </c>
      <c r="AZ958" s="35" t="str">
        <f aca="false">IF(OR(AV958="",AY958=""),"",IF(AV958&lt;=AY958,1,0))</f>
        <v/>
      </c>
      <c r="BA958" s="36" t="str">
        <f aca="false">IF(OR(AO958&lt;&gt;1,AR958=""),"",INDEX(SLA_RES,AR958))</f>
        <v/>
      </c>
      <c r="BB958" s="35" t="str">
        <f aca="false">IF(OR(AW958="",BA958=""),"",IF(AW958&lt;=BA958,1,0))</f>
        <v/>
      </c>
      <c r="BC958" s="38" t="str">
        <f aca="false">IF(OR(BA958="",P958=""),"",WORKDAY(INT(P958),BA958,JoursFeries)+MOD(P958,1))</f>
        <v/>
      </c>
      <c r="BD958" s="39" t="str">
        <f aca="false">IF(AO958&lt;&gt;1,"",IF(OR(AB958&lt;&gt;"",AD958&lt;&gt;""),4,IF(U958&lt;&gt;"",3,IF(T958&lt;&gt;"",2,1))))</f>
        <v/>
      </c>
      <c r="BE958" s="39" t="str">
        <f aca="false">IF(OR(AO958&lt;&gt;1,AR958=""),"",INDEX(NIV_REQ,AR958))</f>
        <v/>
      </c>
      <c r="BF958" s="39" t="str">
        <f aca="false">IF(BE958="","",MAX(BE958,IF(OR(K958="Oui",Z958="Oui"),4,1)))</f>
        <v/>
      </c>
      <c r="BG958" s="35" t="str">
        <f aca="false">IF(OR(BF958="",BD958=""),"",IF(BD958&gt;=BF958,1,0))</f>
        <v/>
      </c>
      <c r="BH958" s="38" t="str">
        <f aca="false">IF(BE958="","",IF(BE958&lt;2,"",IF(BE958=2,IF(AND(T958="",U958=""),"",MIN(T958,U958)),IF(U958="","",U958))))</f>
        <v/>
      </c>
      <c r="BI958" s="37" t="str">
        <f aca="false">IF(BH958="","",IF(OR(O958="",BH958=""),"",IF(BH958&lt;O958,"",ROUND(((NETWORKDAYS(O958,BH958,JoursFeries)-1)*(HFer-HOuv)+IF(NETWORKDAYS(BH958,BH958,JoursFeries),MEDIAN(MOD(BH958,1),HFer,HOuv),HFer)-IF(NETWORKDAYS(O958,O958,JoursFeries),MEDIAN(MOD(O958,1),HFer,HOuv),HOuv))*24,4))))</f>
        <v/>
      </c>
      <c r="BJ958" s="35" t="str">
        <f aca="false">IF(OR(BI958="",AR958=""),"",IF(BI958&lt;=INDEX(DELAI_ESC,AR958),1,0))</f>
        <v/>
      </c>
      <c r="BK958" s="38" t="str">
        <f aca="false">IF(AO958&lt;&gt;1,"",IF(AND(T958="",U958=""),"",MIN(T958,U958)))</f>
        <v/>
      </c>
      <c r="BL958" s="37" t="str">
        <f aca="false">IF(OR(BK958="",R958=""),"",IFERROR(ROUND(IF(OR(BK958="",R958=""),"",IF(R958&lt;BK958,"",ROUND(((NETWORKDAYS(BK958,R958,JoursFeries)-1)*(HFer-HOuv)+IF(NETWORKDAYS(R958,R958,JoursFeries),MEDIAN(MOD(R958,1),HFer,HOuv),HFer)-IF(NETWORKDAYS(BK958,BK958,JoursFeries),MEDIAN(MOD(BK958,1),HFer,HOuv),HOuv))*24,4)))/HJour,4),""))</f>
        <v/>
      </c>
      <c r="BM958" s="35" t="str">
        <f aca="false">IF(OR(AO958&lt;&gt;1,R958=""),"",IF(BD958=1,1,0))</f>
        <v/>
      </c>
      <c r="BN958" s="35" t="str">
        <f aca="false">IF(AO958&lt;&gt;1,"",IF(W958="Oui",1,0))</f>
        <v/>
      </c>
      <c r="BO958" s="35" t="str">
        <f aca="false">IF(AO958&lt;&gt;1,"",IF(X958&lt;&gt;"",1,0))</f>
        <v/>
      </c>
      <c r="BP958" s="35" t="str">
        <f aca="false">IF(AO958&lt;&gt;1,"",IF(Y958="Oui",1,0))</f>
        <v/>
      </c>
      <c r="BQ958" s="35" t="str">
        <f aca="true">IF(OR(AO958&lt;&gt;1,Z958&lt;&gt;"Oui"),"",IF(AB958="",IF(AND(AA958&lt;&gt;"",NOW()&gt;AA958),0,""),IF(AA958="","",IF(AB958&lt;=AA958,1,0))))</f>
        <v/>
      </c>
      <c r="BR958" s="38" t="str">
        <f aca="false">IF(OR(AO958&lt;&gt;1,K958&lt;&gt;"Oui",O958=""),"",IF(AC958="",O958+DORA_H_DET/24,IF(AC958-O958&lt;=DORA_H_DET/24,MIN(AC958+DORA_H_CLA/24,O958+DORA_H_DET/24),AC958+DORA_H_CLA/24)))</f>
        <v/>
      </c>
      <c r="BS958" s="35" t="str">
        <f aca="true">IF(BR958="","",IF(AD958="",IF(NOW()&gt;BR958,0,""),IF(AD958&lt;=BR958,1,0)))</f>
        <v/>
      </c>
      <c r="BT958" s="35" t="str">
        <f aca="true">IF(OR(BR958="",AD958=""),"",IF(AE958="",IF(NOW()&gt;AD958+DORA_H_INT/24,0,""),IF(AE958&lt;=AD958+DORA_H_INT/24,1,0)))</f>
        <v/>
      </c>
      <c r="BU958" s="35" t="str">
        <f aca="true">IF(OR(BR958="",AE958=""),"",IF(AF958="",IF(NOW()&gt;EDATE(AE958,DORA_M_FIN)+1,0,""),IF(AF958&lt;=EDATE(AE958,DORA_M_FIN),1,0)))</f>
        <v/>
      </c>
      <c r="BV958" s="35" t="str">
        <f aca="false">IF(BR958="","",IF(COUNT(BS958:BU958)=0,"",MIN(BS958:BU958)))</f>
        <v/>
      </c>
      <c r="BW958" s="40" t="str">
        <f aca="false">IF(AQ958&lt;&gt;1,"",IF(AND(AG958="",AH958=""),"",N(AG958)-N(AH958)))</f>
        <v/>
      </c>
      <c r="BX958" s="35" t="str">
        <f aca="true">IF(OR(AQ958&lt;&gt;1,AI958&lt;&gt;"Oui",AJ958=""),"",IF(AK958="",IF(NOW()&gt;AJ958+1,0,""),IF(AK958&lt;=AJ958,1,0)))</f>
        <v/>
      </c>
    </row>
    <row r="959" customFormat="false" ht="15" hidden="false" customHeight="false" outlineLevel="0" collapsed="false">
      <c r="B959" s="29"/>
      <c r="C959" s="29"/>
      <c r="D959" s="29"/>
      <c r="E959" s="29"/>
      <c r="F959" s="29"/>
      <c r="G959" s="29"/>
      <c r="H959" s="29"/>
      <c r="I959" s="29"/>
      <c r="J959" s="29"/>
      <c r="K959" s="29"/>
      <c r="L959" s="29"/>
      <c r="M959" s="29"/>
      <c r="N959" s="30"/>
      <c r="O959" s="30"/>
      <c r="P959" s="30"/>
      <c r="Q959" s="30"/>
      <c r="R959" s="30"/>
      <c r="S959" s="30"/>
      <c r="T959" s="30"/>
      <c r="U959" s="30"/>
      <c r="V959" s="31"/>
      <c r="W959" s="29"/>
      <c r="X959" s="29"/>
      <c r="Y959" s="29"/>
      <c r="Z959" s="29"/>
      <c r="AA959" s="30"/>
      <c r="AB959" s="30"/>
      <c r="AC959" s="30"/>
      <c r="AD959" s="30"/>
      <c r="AE959" s="30"/>
      <c r="AF959" s="32"/>
      <c r="AG959" s="33"/>
      <c r="AH959" s="33"/>
      <c r="AI959" s="29"/>
      <c r="AJ959" s="32"/>
      <c r="AK959" s="32"/>
      <c r="AL959" s="29"/>
      <c r="AN959" s="34" t="str">
        <f aca="false">IF($B959="","",IF(OR(C959="",D959="",E959="",G959="",I959="",J959="",L959="",O959="",P959=""),"Champ obligatoire manquant",IF(OR(AND(N959&lt;&gt;"",N959&gt;O959),O959&gt;P959,AND(Q959&lt;&gt;"",Q959&lt;P959),AND(R959&lt;&gt;"",R959&lt;P959),AND(S959&lt;&gt;"",S959&lt;R959),AND(S959&lt;&gt;"",R959=""),AND(T959&lt;&gt;"",T959&lt;O959),AND(U959&lt;&gt;"",U959&lt;O959)),"Chronologie incohérente",IF(AND(OR(L959="Résolu",L959="Clos"),R959=""),"Date de résolution manquante",IF(AND(L959="Clos",S959=""),"Date de clôture manquante",IF(AND(K959="Oui",AC959=""),"Classification DORA manquante","OK"))))))</f>
        <v/>
      </c>
      <c r="AO959" s="35" t="str">
        <f aca="false">IF($B959="","",IF(AND(C959="Incident",L959&lt;&gt;"Annulé"),1,0))</f>
        <v/>
      </c>
      <c r="AP959" s="35" t="str">
        <f aca="false">IF($B959="","",IF(AND(C959="Quasi-incident",L959&lt;&gt;"Annulé"),1,0))</f>
        <v/>
      </c>
      <c r="AQ959" s="35" t="str">
        <f aca="false">IF($B959="","",AO959+AP959)</f>
        <v/>
      </c>
      <c r="AR959" s="36" t="str">
        <f aca="false">IF(OR($B959="",J959=""),"",IFERROR(VALUE(LEFT(J959,1)),""))</f>
        <v/>
      </c>
      <c r="AS959" s="35" t="str">
        <f aca="false">IF(OR(AO959&lt;&gt;1,G959=""),"",IFERROR(IF(INDEX(L_SrcInterne,MATCH(G959,L_Sources,0))="Oui",1,0),""))</f>
        <v/>
      </c>
      <c r="AT959" s="37" t="str">
        <f aca="false">IF(AO959&lt;&gt;1,"",IFERROR(ROUND(IF(OR(N959="",O959=""),"",IF(O959&lt;N959,"",ROUND(((NETWORKDAYS(N959,O959,JoursFeries)-1)*(HFer-HOuv)+IF(NETWORKDAYS(O959,O959,JoursFeries),MEDIAN(MOD(O959,1),HFer,HOuv),HFer)-IF(NETWORKDAYS(N959,N959,JoursFeries),MEDIAN(MOD(N959,1),HFer,HOuv),HOuv))*24,4)))/HJour,4),""))</f>
        <v/>
      </c>
      <c r="AU959" s="37" t="str">
        <f aca="false">IF(AO959&lt;&gt;1,"",IF(OR(O959="",P959=""),"",IF(P959&lt;O959,"",ROUND(((NETWORKDAYS(O959,P959,JoursFeries)-1)*(HFer-HOuv)+IF(NETWORKDAYS(P959,P959,JoursFeries),MEDIAN(MOD(P959,1),HFer,HOuv),HFer)-IF(NETWORKDAYS(O959,O959,JoursFeries),MEDIAN(MOD(O959,1),HFer,HOuv),HOuv))*24,4))))</f>
        <v/>
      </c>
      <c r="AV959" s="37" t="str">
        <f aca="false">IF(AO959&lt;&gt;1,"",IF(OR(P959="",Q959=""),"",IF(Q959&lt;P959,"",ROUND(((NETWORKDAYS(P959,Q959,JoursFeries)-1)*(HFer-HOuv)+IF(NETWORKDAYS(Q959,Q959,JoursFeries),MEDIAN(MOD(Q959,1),HFer,HOuv),HFer)-IF(NETWORKDAYS(P959,P959,JoursFeries),MEDIAN(MOD(P959,1),HFer,HOuv),HOuv))*24,4))))</f>
        <v/>
      </c>
      <c r="AW959" s="37" t="str">
        <f aca="false">IF(AO959&lt;&gt;1,"",IFERROR(ROUND(IF(OR(P959="",R959=""),"",IF(R959&lt;P959,"",ROUND(((NETWORKDAYS(P959,R959,JoursFeries)-1)*(HFer-HOuv)+IF(NETWORKDAYS(R959,R959,JoursFeries),MEDIAN(MOD(R959,1),HFer,HOuv),HFer)-IF(NETWORKDAYS(P959,P959,JoursFeries),MEDIAN(MOD(P959,1),HFer,HOuv),HOuv))*24,4)))/HJour,4),""))</f>
        <v/>
      </c>
      <c r="AX959" s="37" t="str">
        <f aca="false">IF(AO959&lt;&gt;1,"",IFERROR(ROUND(IF(OR(P959="",S959=""),"",IF(S959&lt;P959,"",ROUND(((NETWORKDAYS(P959,S959,JoursFeries)-1)*(HFer-HOuv)+IF(NETWORKDAYS(S959,S959,JoursFeries),MEDIAN(MOD(S959,1),HFer,HOuv),HFer)-IF(NETWORKDAYS(P959,P959,JoursFeries),MEDIAN(MOD(P959,1),HFer,HOuv),HOuv))*24,4)))/HJour,4),""))</f>
        <v/>
      </c>
      <c r="AY959" s="36" t="str">
        <f aca="false">IF(OR(AO959&lt;&gt;1,AR959=""),"",INDEX(SLA_PEC,AR959))</f>
        <v/>
      </c>
      <c r="AZ959" s="35" t="str">
        <f aca="false">IF(OR(AV959="",AY959=""),"",IF(AV959&lt;=AY959,1,0))</f>
        <v/>
      </c>
      <c r="BA959" s="36" t="str">
        <f aca="false">IF(OR(AO959&lt;&gt;1,AR959=""),"",INDEX(SLA_RES,AR959))</f>
        <v/>
      </c>
      <c r="BB959" s="35" t="str">
        <f aca="false">IF(OR(AW959="",BA959=""),"",IF(AW959&lt;=BA959,1,0))</f>
        <v/>
      </c>
      <c r="BC959" s="38" t="str">
        <f aca="false">IF(OR(BA959="",P959=""),"",WORKDAY(INT(P959),BA959,JoursFeries)+MOD(P959,1))</f>
        <v/>
      </c>
      <c r="BD959" s="39" t="str">
        <f aca="false">IF(AO959&lt;&gt;1,"",IF(OR(AB959&lt;&gt;"",AD959&lt;&gt;""),4,IF(U959&lt;&gt;"",3,IF(T959&lt;&gt;"",2,1))))</f>
        <v/>
      </c>
      <c r="BE959" s="39" t="str">
        <f aca="false">IF(OR(AO959&lt;&gt;1,AR959=""),"",INDEX(NIV_REQ,AR959))</f>
        <v/>
      </c>
      <c r="BF959" s="39" t="str">
        <f aca="false">IF(BE959="","",MAX(BE959,IF(OR(K959="Oui",Z959="Oui"),4,1)))</f>
        <v/>
      </c>
      <c r="BG959" s="35" t="str">
        <f aca="false">IF(OR(BF959="",BD959=""),"",IF(BD959&gt;=BF959,1,0))</f>
        <v/>
      </c>
      <c r="BH959" s="38" t="str">
        <f aca="false">IF(BE959="","",IF(BE959&lt;2,"",IF(BE959=2,IF(AND(T959="",U959=""),"",MIN(T959,U959)),IF(U959="","",U959))))</f>
        <v/>
      </c>
      <c r="BI959" s="37" t="str">
        <f aca="false">IF(BH959="","",IF(OR(O959="",BH959=""),"",IF(BH959&lt;O959,"",ROUND(((NETWORKDAYS(O959,BH959,JoursFeries)-1)*(HFer-HOuv)+IF(NETWORKDAYS(BH959,BH959,JoursFeries),MEDIAN(MOD(BH959,1),HFer,HOuv),HFer)-IF(NETWORKDAYS(O959,O959,JoursFeries),MEDIAN(MOD(O959,1),HFer,HOuv),HOuv))*24,4))))</f>
        <v/>
      </c>
      <c r="BJ959" s="35" t="str">
        <f aca="false">IF(OR(BI959="",AR959=""),"",IF(BI959&lt;=INDEX(DELAI_ESC,AR959),1,0))</f>
        <v/>
      </c>
      <c r="BK959" s="38" t="str">
        <f aca="false">IF(AO959&lt;&gt;1,"",IF(AND(T959="",U959=""),"",MIN(T959,U959)))</f>
        <v/>
      </c>
      <c r="BL959" s="37" t="str">
        <f aca="false">IF(OR(BK959="",R959=""),"",IFERROR(ROUND(IF(OR(BK959="",R959=""),"",IF(R959&lt;BK959,"",ROUND(((NETWORKDAYS(BK959,R959,JoursFeries)-1)*(HFer-HOuv)+IF(NETWORKDAYS(R959,R959,JoursFeries),MEDIAN(MOD(R959,1),HFer,HOuv),HFer)-IF(NETWORKDAYS(BK959,BK959,JoursFeries),MEDIAN(MOD(BK959,1),HFer,HOuv),HOuv))*24,4)))/HJour,4),""))</f>
        <v/>
      </c>
      <c r="BM959" s="35" t="str">
        <f aca="false">IF(OR(AO959&lt;&gt;1,R959=""),"",IF(BD959=1,1,0))</f>
        <v/>
      </c>
      <c r="BN959" s="35" t="str">
        <f aca="false">IF(AO959&lt;&gt;1,"",IF(W959="Oui",1,0))</f>
        <v/>
      </c>
      <c r="BO959" s="35" t="str">
        <f aca="false">IF(AO959&lt;&gt;1,"",IF(X959&lt;&gt;"",1,0))</f>
        <v/>
      </c>
      <c r="BP959" s="35" t="str">
        <f aca="false">IF(AO959&lt;&gt;1,"",IF(Y959="Oui",1,0))</f>
        <v/>
      </c>
      <c r="BQ959" s="35" t="str">
        <f aca="true">IF(OR(AO959&lt;&gt;1,Z959&lt;&gt;"Oui"),"",IF(AB959="",IF(AND(AA959&lt;&gt;"",NOW()&gt;AA959),0,""),IF(AA959="","",IF(AB959&lt;=AA959,1,0))))</f>
        <v/>
      </c>
      <c r="BR959" s="38" t="str">
        <f aca="false">IF(OR(AO959&lt;&gt;1,K959&lt;&gt;"Oui",O959=""),"",IF(AC959="",O959+DORA_H_DET/24,IF(AC959-O959&lt;=DORA_H_DET/24,MIN(AC959+DORA_H_CLA/24,O959+DORA_H_DET/24),AC959+DORA_H_CLA/24)))</f>
        <v/>
      </c>
      <c r="BS959" s="35" t="str">
        <f aca="true">IF(BR959="","",IF(AD959="",IF(NOW()&gt;BR959,0,""),IF(AD959&lt;=BR959,1,0)))</f>
        <v/>
      </c>
      <c r="BT959" s="35" t="str">
        <f aca="true">IF(OR(BR959="",AD959=""),"",IF(AE959="",IF(NOW()&gt;AD959+DORA_H_INT/24,0,""),IF(AE959&lt;=AD959+DORA_H_INT/24,1,0)))</f>
        <v/>
      </c>
      <c r="BU959" s="35" t="str">
        <f aca="true">IF(OR(BR959="",AE959=""),"",IF(AF959="",IF(NOW()&gt;EDATE(AE959,DORA_M_FIN)+1,0,""),IF(AF959&lt;=EDATE(AE959,DORA_M_FIN),1,0)))</f>
        <v/>
      </c>
      <c r="BV959" s="35" t="str">
        <f aca="false">IF(BR959="","",IF(COUNT(BS959:BU959)=0,"",MIN(BS959:BU959)))</f>
        <v/>
      </c>
      <c r="BW959" s="40" t="str">
        <f aca="false">IF(AQ959&lt;&gt;1,"",IF(AND(AG959="",AH959=""),"",N(AG959)-N(AH959)))</f>
        <v/>
      </c>
      <c r="BX959" s="35" t="str">
        <f aca="true">IF(OR(AQ959&lt;&gt;1,AI959&lt;&gt;"Oui",AJ959=""),"",IF(AK959="",IF(NOW()&gt;AJ959+1,0,""),IF(AK959&lt;=AJ959,1,0)))</f>
        <v/>
      </c>
    </row>
    <row r="960" customFormat="false" ht="15" hidden="false" customHeight="false" outlineLevel="0" collapsed="false">
      <c r="B960" s="29"/>
      <c r="C960" s="29"/>
      <c r="D960" s="29"/>
      <c r="E960" s="29"/>
      <c r="F960" s="29"/>
      <c r="G960" s="29"/>
      <c r="H960" s="29"/>
      <c r="I960" s="29"/>
      <c r="J960" s="29"/>
      <c r="K960" s="29"/>
      <c r="L960" s="29"/>
      <c r="M960" s="29"/>
      <c r="N960" s="30"/>
      <c r="O960" s="30"/>
      <c r="P960" s="30"/>
      <c r="Q960" s="30"/>
      <c r="R960" s="30"/>
      <c r="S960" s="30"/>
      <c r="T960" s="30"/>
      <c r="U960" s="30"/>
      <c r="V960" s="31"/>
      <c r="W960" s="29"/>
      <c r="X960" s="29"/>
      <c r="Y960" s="29"/>
      <c r="Z960" s="29"/>
      <c r="AA960" s="30"/>
      <c r="AB960" s="30"/>
      <c r="AC960" s="30"/>
      <c r="AD960" s="30"/>
      <c r="AE960" s="30"/>
      <c r="AF960" s="32"/>
      <c r="AG960" s="33"/>
      <c r="AH960" s="33"/>
      <c r="AI960" s="29"/>
      <c r="AJ960" s="32"/>
      <c r="AK960" s="32"/>
      <c r="AL960" s="29"/>
      <c r="AN960" s="34" t="str">
        <f aca="false">IF($B960="","",IF(OR(C960="",D960="",E960="",G960="",I960="",J960="",L960="",O960="",P960=""),"Champ obligatoire manquant",IF(OR(AND(N960&lt;&gt;"",N960&gt;O960),O960&gt;P960,AND(Q960&lt;&gt;"",Q960&lt;P960),AND(R960&lt;&gt;"",R960&lt;P960),AND(S960&lt;&gt;"",S960&lt;R960),AND(S960&lt;&gt;"",R960=""),AND(T960&lt;&gt;"",T960&lt;O960),AND(U960&lt;&gt;"",U960&lt;O960)),"Chronologie incohérente",IF(AND(OR(L960="Résolu",L960="Clos"),R960=""),"Date de résolution manquante",IF(AND(L960="Clos",S960=""),"Date de clôture manquante",IF(AND(K960="Oui",AC960=""),"Classification DORA manquante","OK"))))))</f>
        <v/>
      </c>
      <c r="AO960" s="35" t="str">
        <f aca="false">IF($B960="","",IF(AND(C960="Incident",L960&lt;&gt;"Annulé"),1,0))</f>
        <v/>
      </c>
      <c r="AP960" s="35" t="str">
        <f aca="false">IF($B960="","",IF(AND(C960="Quasi-incident",L960&lt;&gt;"Annulé"),1,0))</f>
        <v/>
      </c>
      <c r="AQ960" s="35" t="str">
        <f aca="false">IF($B960="","",AO960+AP960)</f>
        <v/>
      </c>
      <c r="AR960" s="36" t="str">
        <f aca="false">IF(OR($B960="",J960=""),"",IFERROR(VALUE(LEFT(J960,1)),""))</f>
        <v/>
      </c>
      <c r="AS960" s="35" t="str">
        <f aca="false">IF(OR(AO960&lt;&gt;1,G960=""),"",IFERROR(IF(INDEX(L_SrcInterne,MATCH(G960,L_Sources,0))="Oui",1,0),""))</f>
        <v/>
      </c>
      <c r="AT960" s="37" t="str">
        <f aca="false">IF(AO960&lt;&gt;1,"",IFERROR(ROUND(IF(OR(N960="",O960=""),"",IF(O960&lt;N960,"",ROUND(((NETWORKDAYS(N960,O960,JoursFeries)-1)*(HFer-HOuv)+IF(NETWORKDAYS(O960,O960,JoursFeries),MEDIAN(MOD(O960,1),HFer,HOuv),HFer)-IF(NETWORKDAYS(N960,N960,JoursFeries),MEDIAN(MOD(N960,1),HFer,HOuv),HOuv))*24,4)))/HJour,4),""))</f>
        <v/>
      </c>
      <c r="AU960" s="37" t="str">
        <f aca="false">IF(AO960&lt;&gt;1,"",IF(OR(O960="",P960=""),"",IF(P960&lt;O960,"",ROUND(((NETWORKDAYS(O960,P960,JoursFeries)-1)*(HFer-HOuv)+IF(NETWORKDAYS(P960,P960,JoursFeries),MEDIAN(MOD(P960,1),HFer,HOuv),HFer)-IF(NETWORKDAYS(O960,O960,JoursFeries),MEDIAN(MOD(O960,1),HFer,HOuv),HOuv))*24,4))))</f>
        <v/>
      </c>
      <c r="AV960" s="37" t="str">
        <f aca="false">IF(AO960&lt;&gt;1,"",IF(OR(P960="",Q960=""),"",IF(Q960&lt;P960,"",ROUND(((NETWORKDAYS(P960,Q960,JoursFeries)-1)*(HFer-HOuv)+IF(NETWORKDAYS(Q960,Q960,JoursFeries),MEDIAN(MOD(Q960,1),HFer,HOuv),HFer)-IF(NETWORKDAYS(P960,P960,JoursFeries),MEDIAN(MOD(P960,1),HFer,HOuv),HOuv))*24,4))))</f>
        <v/>
      </c>
      <c r="AW960" s="37" t="str">
        <f aca="false">IF(AO960&lt;&gt;1,"",IFERROR(ROUND(IF(OR(P960="",R960=""),"",IF(R960&lt;P960,"",ROUND(((NETWORKDAYS(P960,R960,JoursFeries)-1)*(HFer-HOuv)+IF(NETWORKDAYS(R960,R960,JoursFeries),MEDIAN(MOD(R960,1),HFer,HOuv),HFer)-IF(NETWORKDAYS(P960,P960,JoursFeries),MEDIAN(MOD(P960,1),HFer,HOuv),HOuv))*24,4)))/HJour,4),""))</f>
        <v/>
      </c>
      <c r="AX960" s="37" t="str">
        <f aca="false">IF(AO960&lt;&gt;1,"",IFERROR(ROUND(IF(OR(P960="",S960=""),"",IF(S960&lt;P960,"",ROUND(((NETWORKDAYS(P960,S960,JoursFeries)-1)*(HFer-HOuv)+IF(NETWORKDAYS(S960,S960,JoursFeries),MEDIAN(MOD(S960,1),HFer,HOuv),HFer)-IF(NETWORKDAYS(P960,P960,JoursFeries),MEDIAN(MOD(P960,1),HFer,HOuv),HOuv))*24,4)))/HJour,4),""))</f>
        <v/>
      </c>
      <c r="AY960" s="36" t="str">
        <f aca="false">IF(OR(AO960&lt;&gt;1,AR960=""),"",INDEX(SLA_PEC,AR960))</f>
        <v/>
      </c>
      <c r="AZ960" s="35" t="str">
        <f aca="false">IF(OR(AV960="",AY960=""),"",IF(AV960&lt;=AY960,1,0))</f>
        <v/>
      </c>
      <c r="BA960" s="36" t="str">
        <f aca="false">IF(OR(AO960&lt;&gt;1,AR960=""),"",INDEX(SLA_RES,AR960))</f>
        <v/>
      </c>
      <c r="BB960" s="35" t="str">
        <f aca="false">IF(OR(AW960="",BA960=""),"",IF(AW960&lt;=BA960,1,0))</f>
        <v/>
      </c>
      <c r="BC960" s="38" t="str">
        <f aca="false">IF(OR(BA960="",P960=""),"",WORKDAY(INT(P960),BA960,JoursFeries)+MOD(P960,1))</f>
        <v/>
      </c>
      <c r="BD960" s="39" t="str">
        <f aca="false">IF(AO960&lt;&gt;1,"",IF(OR(AB960&lt;&gt;"",AD960&lt;&gt;""),4,IF(U960&lt;&gt;"",3,IF(T960&lt;&gt;"",2,1))))</f>
        <v/>
      </c>
      <c r="BE960" s="39" t="str">
        <f aca="false">IF(OR(AO960&lt;&gt;1,AR960=""),"",INDEX(NIV_REQ,AR960))</f>
        <v/>
      </c>
      <c r="BF960" s="39" t="str">
        <f aca="false">IF(BE960="","",MAX(BE960,IF(OR(K960="Oui",Z960="Oui"),4,1)))</f>
        <v/>
      </c>
      <c r="BG960" s="35" t="str">
        <f aca="false">IF(OR(BF960="",BD960=""),"",IF(BD960&gt;=BF960,1,0))</f>
        <v/>
      </c>
      <c r="BH960" s="38" t="str">
        <f aca="false">IF(BE960="","",IF(BE960&lt;2,"",IF(BE960=2,IF(AND(T960="",U960=""),"",MIN(T960,U960)),IF(U960="","",U960))))</f>
        <v/>
      </c>
      <c r="BI960" s="37" t="str">
        <f aca="false">IF(BH960="","",IF(OR(O960="",BH960=""),"",IF(BH960&lt;O960,"",ROUND(((NETWORKDAYS(O960,BH960,JoursFeries)-1)*(HFer-HOuv)+IF(NETWORKDAYS(BH960,BH960,JoursFeries),MEDIAN(MOD(BH960,1),HFer,HOuv),HFer)-IF(NETWORKDAYS(O960,O960,JoursFeries),MEDIAN(MOD(O960,1),HFer,HOuv),HOuv))*24,4))))</f>
        <v/>
      </c>
      <c r="BJ960" s="35" t="str">
        <f aca="false">IF(OR(BI960="",AR960=""),"",IF(BI960&lt;=INDEX(DELAI_ESC,AR960),1,0))</f>
        <v/>
      </c>
      <c r="BK960" s="38" t="str">
        <f aca="false">IF(AO960&lt;&gt;1,"",IF(AND(T960="",U960=""),"",MIN(T960,U960)))</f>
        <v/>
      </c>
      <c r="BL960" s="37" t="str">
        <f aca="false">IF(OR(BK960="",R960=""),"",IFERROR(ROUND(IF(OR(BK960="",R960=""),"",IF(R960&lt;BK960,"",ROUND(((NETWORKDAYS(BK960,R960,JoursFeries)-1)*(HFer-HOuv)+IF(NETWORKDAYS(R960,R960,JoursFeries),MEDIAN(MOD(R960,1),HFer,HOuv),HFer)-IF(NETWORKDAYS(BK960,BK960,JoursFeries),MEDIAN(MOD(BK960,1),HFer,HOuv),HOuv))*24,4)))/HJour,4),""))</f>
        <v/>
      </c>
      <c r="BM960" s="35" t="str">
        <f aca="false">IF(OR(AO960&lt;&gt;1,R960=""),"",IF(BD960=1,1,0))</f>
        <v/>
      </c>
      <c r="BN960" s="35" t="str">
        <f aca="false">IF(AO960&lt;&gt;1,"",IF(W960="Oui",1,0))</f>
        <v/>
      </c>
      <c r="BO960" s="35" t="str">
        <f aca="false">IF(AO960&lt;&gt;1,"",IF(X960&lt;&gt;"",1,0))</f>
        <v/>
      </c>
      <c r="BP960" s="35" t="str">
        <f aca="false">IF(AO960&lt;&gt;1,"",IF(Y960="Oui",1,0))</f>
        <v/>
      </c>
      <c r="BQ960" s="35" t="str">
        <f aca="true">IF(OR(AO960&lt;&gt;1,Z960&lt;&gt;"Oui"),"",IF(AB960="",IF(AND(AA960&lt;&gt;"",NOW()&gt;AA960),0,""),IF(AA960="","",IF(AB960&lt;=AA960,1,0))))</f>
        <v/>
      </c>
      <c r="BR960" s="38" t="str">
        <f aca="false">IF(OR(AO960&lt;&gt;1,K960&lt;&gt;"Oui",O960=""),"",IF(AC960="",O960+DORA_H_DET/24,IF(AC960-O960&lt;=DORA_H_DET/24,MIN(AC960+DORA_H_CLA/24,O960+DORA_H_DET/24),AC960+DORA_H_CLA/24)))</f>
        <v/>
      </c>
      <c r="BS960" s="35" t="str">
        <f aca="true">IF(BR960="","",IF(AD960="",IF(NOW()&gt;BR960,0,""),IF(AD960&lt;=BR960,1,0)))</f>
        <v/>
      </c>
      <c r="BT960" s="35" t="str">
        <f aca="true">IF(OR(BR960="",AD960=""),"",IF(AE960="",IF(NOW()&gt;AD960+DORA_H_INT/24,0,""),IF(AE960&lt;=AD960+DORA_H_INT/24,1,0)))</f>
        <v/>
      </c>
      <c r="BU960" s="35" t="str">
        <f aca="true">IF(OR(BR960="",AE960=""),"",IF(AF960="",IF(NOW()&gt;EDATE(AE960,DORA_M_FIN)+1,0,""),IF(AF960&lt;=EDATE(AE960,DORA_M_FIN),1,0)))</f>
        <v/>
      </c>
      <c r="BV960" s="35" t="str">
        <f aca="false">IF(BR960="","",IF(COUNT(BS960:BU960)=0,"",MIN(BS960:BU960)))</f>
        <v/>
      </c>
      <c r="BW960" s="40" t="str">
        <f aca="false">IF(AQ960&lt;&gt;1,"",IF(AND(AG960="",AH960=""),"",N(AG960)-N(AH960)))</f>
        <v/>
      </c>
      <c r="BX960" s="35" t="str">
        <f aca="true">IF(OR(AQ960&lt;&gt;1,AI960&lt;&gt;"Oui",AJ960=""),"",IF(AK960="",IF(NOW()&gt;AJ960+1,0,""),IF(AK960&lt;=AJ960,1,0)))</f>
        <v/>
      </c>
    </row>
    <row r="961" customFormat="false" ht="15" hidden="false" customHeight="false" outlineLevel="0" collapsed="false">
      <c r="B961" s="29"/>
      <c r="C961" s="29"/>
      <c r="D961" s="29"/>
      <c r="E961" s="29"/>
      <c r="F961" s="29"/>
      <c r="G961" s="29"/>
      <c r="H961" s="29"/>
      <c r="I961" s="29"/>
      <c r="J961" s="29"/>
      <c r="K961" s="29"/>
      <c r="L961" s="29"/>
      <c r="M961" s="29"/>
      <c r="N961" s="30"/>
      <c r="O961" s="30"/>
      <c r="P961" s="30"/>
      <c r="Q961" s="30"/>
      <c r="R961" s="30"/>
      <c r="S961" s="30"/>
      <c r="T961" s="30"/>
      <c r="U961" s="30"/>
      <c r="V961" s="31"/>
      <c r="W961" s="29"/>
      <c r="X961" s="29"/>
      <c r="Y961" s="29"/>
      <c r="Z961" s="29"/>
      <c r="AA961" s="30"/>
      <c r="AB961" s="30"/>
      <c r="AC961" s="30"/>
      <c r="AD961" s="30"/>
      <c r="AE961" s="30"/>
      <c r="AF961" s="32"/>
      <c r="AG961" s="33"/>
      <c r="AH961" s="33"/>
      <c r="AI961" s="29"/>
      <c r="AJ961" s="32"/>
      <c r="AK961" s="32"/>
      <c r="AL961" s="29"/>
      <c r="AN961" s="34" t="str">
        <f aca="false">IF($B961="","",IF(OR(C961="",D961="",E961="",G961="",I961="",J961="",L961="",O961="",P961=""),"Champ obligatoire manquant",IF(OR(AND(N961&lt;&gt;"",N961&gt;O961),O961&gt;P961,AND(Q961&lt;&gt;"",Q961&lt;P961),AND(R961&lt;&gt;"",R961&lt;P961),AND(S961&lt;&gt;"",S961&lt;R961),AND(S961&lt;&gt;"",R961=""),AND(T961&lt;&gt;"",T961&lt;O961),AND(U961&lt;&gt;"",U961&lt;O961)),"Chronologie incohérente",IF(AND(OR(L961="Résolu",L961="Clos"),R961=""),"Date de résolution manquante",IF(AND(L961="Clos",S961=""),"Date de clôture manquante",IF(AND(K961="Oui",AC961=""),"Classification DORA manquante","OK"))))))</f>
        <v/>
      </c>
      <c r="AO961" s="35" t="str">
        <f aca="false">IF($B961="","",IF(AND(C961="Incident",L961&lt;&gt;"Annulé"),1,0))</f>
        <v/>
      </c>
      <c r="AP961" s="35" t="str">
        <f aca="false">IF($B961="","",IF(AND(C961="Quasi-incident",L961&lt;&gt;"Annulé"),1,0))</f>
        <v/>
      </c>
      <c r="AQ961" s="35" t="str">
        <f aca="false">IF($B961="","",AO961+AP961)</f>
        <v/>
      </c>
      <c r="AR961" s="36" t="str">
        <f aca="false">IF(OR($B961="",J961=""),"",IFERROR(VALUE(LEFT(J961,1)),""))</f>
        <v/>
      </c>
      <c r="AS961" s="35" t="str">
        <f aca="false">IF(OR(AO961&lt;&gt;1,G961=""),"",IFERROR(IF(INDEX(L_SrcInterne,MATCH(G961,L_Sources,0))="Oui",1,0),""))</f>
        <v/>
      </c>
      <c r="AT961" s="37" t="str">
        <f aca="false">IF(AO961&lt;&gt;1,"",IFERROR(ROUND(IF(OR(N961="",O961=""),"",IF(O961&lt;N961,"",ROUND(((NETWORKDAYS(N961,O961,JoursFeries)-1)*(HFer-HOuv)+IF(NETWORKDAYS(O961,O961,JoursFeries),MEDIAN(MOD(O961,1),HFer,HOuv),HFer)-IF(NETWORKDAYS(N961,N961,JoursFeries),MEDIAN(MOD(N961,1),HFer,HOuv),HOuv))*24,4)))/HJour,4),""))</f>
        <v/>
      </c>
      <c r="AU961" s="37" t="str">
        <f aca="false">IF(AO961&lt;&gt;1,"",IF(OR(O961="",P961=""),"",IF(P961&lt;O961,"",ROUND(((NETWORKDAYS(O961,P961,JoursFeries)-1)*(HFer-HOuv)+IF(NETWORKDAYS(P961,P961,JoursFeries),MEDIAN(MOD(P961,1),HFer,HOuv),HFer)-IF(NETWORKDAYS(O961,O961,JoursFeries),MEDIAN(MOD(O961,1),HFer,HOuv),HOuv))*24,4))))</f>
        <v/>
      </c>
      <c r="AV961" s="37" t="str">
        <f aca="false">IF(AO961&lt;&gt;1,"",IF(OR(P961="",Q961=""),"",IF(Q961&lt;P961,"",ROUND(((NETWORKDAYS(P961,Q961,JoursFeries)-1)*(HFer-HOuv)+IF(NETWORKDAYS(Q961,Q961,JoursFeries),MEDIAN(MOD(Q961,1),HFer,HOuv),HFer)-IF(NETWORKDAYS(P961,P961,JoursFeries),MEDIAN(MOD(P961,1),HFer,HOuv),HOuv))*24,4))))</f>
        <v/>
      </c>
      <c r="AW961" s="37" t="str">
        <f aca="false">IF(AO961&lt;&gt;1,"",IFERROR(ROUND(IF(OR(P961="",R961=""),"",IF(R961&lt;P961,"",ROUND(((NETWORKDAYS(P961,R961,JoursFeries)-1)*(HFer-HOuv)+IF(NETWORKDAYS(R961,R961,JoursFeries),MEDIAN(MOD(R961,1),HFer,HOuv),HFer)-IF(NETWORKDAYS(P961,P961,JoursFeries),MEDIAN(MOD(P961,1),HFer,HOuv),HOuv))*24,4)))/HJour,4),""))</f>
        <v/>
      </c>
      <c r="AX961" s="37" t="str">
        <f aca="false">IF(AO961&lt;&gt;1,"",IFERROR(ROUND(IF(OR(P961="",S961=""),"",IF(S961&lt;P961,"",ROUND(((NETWORKDAYS(P961,S961,JoursFeries)-1)*(HFer-HOuv)+IF(NETWORKDAYS(S961,S961,JoursFeries),MEDIAN(MOD(S961,1),HFer,HOuv),HFer)-IF(NETWORKDAYS(P961,P961,JoursFeries),MEDIAN(MOD(P961,1),HFer,HOuv),HOuv))*24,4)))/HJour,4),""))</f>
        <v/>
      </c>
      <c r="AY961" s="36" t="str">
        <f aca="false">IF(OR(AO961&lt;&gt;1,AR961=""),"",INDEX(SLA_PEC,AR961))</f>
        <v/>
      </c>
      <c r="AZ961" s="35" t="str">
        <f aca="false">IF(OR(AV961="",AY961=""),"",IF(AV961&lt;=AY961,1,0))</f>
        <v/>
      </c>
      <c r="BA961" s="36" t="str">
        <f aca="false">IF(OR(AO961&lt;&gt;1,AR961=""),"",INDEX(SLA_RES,AR961))</f>
        <v/>
      </c>
      <c r="BB961" s="35" t="str">
        <f aca="false">IF(OR(AW961="",BA961=""),"",IF(AW961&lt;=BA961,1,0))</f>
        <v/>
      </c>
      <c r="BC961" s="38" t="str">
        <f aca="false">IF(OR(BA961="",P961=""),"",WORKDAY(INT(P961),BA961,JoursFeries)+MOD(P961,1))</f>
        <v/>
      </c>
      <c r="BD961" s="39" t="str">
        <f aca="false">IF(AO961&lt;&gt;1,"",IF(OR(AB961&lt;&gt;"",AD961&lt;&gt;""),4,IF(U961&lt;&gt;"",3,IF(T961&lt;&gt;"",2,1))))</f>
        <v/>
      </c>
      <c r="BE961" s="39" t="str">
        <f aca="false">IF(OR(AO961&lt;&gt;1,AR961=""),"",INDEX(NIV_REQ,AR961))</f>
        <v/>
      </c>
      <c r="BF961" s="39" t="str">
        <f aca="false">IF(BE961="","",MAX(BE961,IF(OR(K961="Oui",Z961="Oui"),4,1)))</f>
        <v/>
      </c>
      <c r="BG961" s="35" t="str">
        <f aca="false">IF(OR(BF961="",BD961=""),"",IF(BD961&gt;=BF961,1,0))</f>
        <v/>
      </c>
      <c r="BH961" s="38" t="str">
        <f aca="false">IF(BE961="","",IF(BE961&lt;2,"",IF(BE961=2,IF(AND(T961="",U961=""),"",MIN(T961,U961)),IF(U961="","",U961))))</f>
        <v/>
      </c>
      <c r="BI961" s="37" t="str">
        <f aca="false">IF(BH961="","",IF(OR(O961="",BH961=""),"",IF(BH961&lt;O961,"",ROUND(((NETWORKDAYS(O961,BH961,JoursFeries)-1)*(HFer-HOuv)+IF(NETWORKDAYS(BH961,BH961,JoursFeries),MEDIAN(MOD(BH961,1),HFer,HOuv),HFer)-IF(NETWORKDAYS(O961,O961,JoursFeries),MEDIAN(MOD(O961,1),HFer,HOuv),HOuv))*24,4))))</f>
        <v/>
      </c>
      <c r="BJ961" s="35" t="str">
        <f aca="false">IF(OR(BI961="",AR961=""),"",IF(BI961&lt;=INDEX(DELAI_ESC,AR961),1,0))</f>
        <v/>
      </c>
      <c r="BK961" s="38" t="str">
        <f aca="false">IF(AO961&lt;&gt;1,"",IF(AND(T961="",U961=""),"",MIN(T961,U961)))</f>
        <v/>
      </c>
      <c r="BL961" s="37" t="str">
        <f aca="false">IF(OR(BK961="",R961=""),"",IFERROR(ROUND(IF(OR(BK961="",R961=""),"",IF(R961&lt;BK961,"",ROUND(((NETWORKDAYS(BK961,R961,JoursFeries)-1)*(HFer-HOuv)+IF(NETWORKDAYS(R961,R961,JoursFeries),MEDIAN(MOD(R961,1),HFer,HOuv),HFer)-IF(NETWORKDAYS(BK961,BK961,JoursFeries),MEDIAN(MOD(BK961,1),HFer,HOuv),HOuv))*24,4)))/HJour,4),""))</f>
        <v/>
      </c>
      <c r="BM961" s="35" t="str">
        <f aca="false">IF(OR(AO961&lt;&gt;1,R961=""),"",IF(BD961=1,1,0))</f>
        <v/>
      </c>
      <c r="BN961" s="35" t="str">
        <f aca="false">IF(AO961&lt;&gt;1,"",IF(W961="Oui",1,0))</f>
        <v/>
      </c>
      <c r="BO961" s="35" t="str">
        <f aca="false">IF(AO961&lt;&gt;1,"",IF(X961&lt;&gt;"",1,0))</f>
        <v/>
      </c>
      <c r="BP961" s="35" t="str">
        <f aca="false">IF(AO961&lt;&gt;1,"",IF(Y961="Oui",1,0))</f>
        <v/>
      </c>
      <c r="BQ961" s="35" t="str">
        <f aca="true">IF(OR(AO961&lt;&gt;1,Z961&lt;&gt;"Oui"),"",IF(AB961="",IF(AND(AA961&lt;&gt;"",NOW()&gt;AA961),0,""),IF(AA961="","",IF(AB961&lt;=AA961,1,0))))</f>
        <v/>
      </c>
      <c r="BR961" s="38" t="str">
        <f aca="false">IF(OR(AO961&lt;&gt;1,K961&lt;&gt;"Oui",O961=""),"",IF(AC961="",O961+DORA_H_DET/24,IF(AC961-O961&lt;=DORA_H_DET/24,MIN(AC961+DORA_H_CLA/24,O961+DORA_H_DET/24),AC961+DORA_H_CLA/24)))</f>
        <v/>
      </c>
      <c r="BS961" s="35" t="str">
        <f aca="true">IF(BR961="","",IF(AD961="",IF(NOW()&gt;BR961,0,""),IF(AD961&lt;=BR961,1,0)))</f>
        <v/>
      </c>
      <c r="BT961" s="35" t="str">
        <f aca="true">IF(OR(BR961="",AD961=""),"",IF(AE961="",IF(NOW()&gt;AD961+DORA_H_INT/24,0,""),IF(AE961&lt;=AD961+DORA_H_INT/24,1,0)))</f>
        <v/>
      </c>
      <c r="BU961" s="35" t="str">
        <f aca="true">IF(OR(BR961="",AE961=""),"",IF(AF961="",IF(NOW()&gt;EDATE(AE961,DORA_M_FIN)+1,0,""),IF(AF961&lt;=EDATE(AE961,DORA_M_FIN),1,0)))</f>
        <v/>
      </c>
      <c r="BV961" s="35" t="str">
        <f aca="false">IF(BR961="","",IF(COUNT(BS961:BU961)=0,"",MIN(BS961:BU961)))</f>
        <v/>
      </c>
      <c r="BW961" s="40" t="str">
        <f aca="false">IF(AQ961&lt;&gt;1,"",IF(AND(AG961="",AH961=""),"",N(AG961)-N(AH961)))</f>
        <v/>
      </c>
      <c r="BX961" s="35" t="str">
        <f aca="true">IF(OR(AQ961&lt;&gt;1,AI961&lt;&gt;"Oui",AJ961=""),"",IF(AK961="",IF(NOW()&gt;AJ961+1,0,""),IF(AK961&lt;=AJ961,1,0)))</f>
        <v/>
      </c>
    </row>
    <row r="962" customFormat="false" ht="15" hidden="false" customHeight="false" outlineLevel="0" collapsed="false">
      <c r="B962" s="29"/>
      <c r="C962" s="29"/>
      <c r="D962" s="29"/>
      <c r="E962" s="29"/>
      <c r="F962" s="29"/>
      <c r="G962" s="29"/>
      <c r="H962" s="29"/>
      <c r="I962" s="29"/>
      <c r="J962" s="29"/>
      <c r="K962" s="29"/>
      <c r="L962" s="29"/>
      <c r="M962" s="29"/>
      <c r="N962" s="30"/>
      <c r="O962" s="30"/>
      <c r="P962" s="30"/>
      <c r="Q962" s="30"/>
      <c r="R962" s="30"/>
      <c r="S962" s="30"/>
      <c r="T962" s="30"/>
      <c r="U962" s="30"/>
      <c r="V962" s="31"/>
      <c r="W962" s="29"/>
      <c r="X962" s="29"/>
      <c r="Y962" s="29"/>
      <c r="Z962" s="29"/>
      <c r="AA962" s="30"/>
      <c r="AB962" s="30"/>
      <c r="AC962" s="30"/>
      <c r="AD962" s="30"/>
      <c r="AE962" s="30"/>
      <c r="AF962" s="32"/>
      <c r="AG962" s="33"/>
      <c r="AH962" s="33"/>
      <c r="AI962" s="29"/>
      <c r="AJ962" s="32"/>
      <c r="AK962" s="32"/>
      <c r="AL962" s="29"/>
      <c r="AN962" s="34" t="str">
        <f aca="false">IF($B962="","",IF(OR(C962="",D962="",E962="",G962="",I962="",J962="",L962="",O962="",P962=""),"Champ obligatoire manquant",IF(OR(AND(N962&lt;&gt;"",N962&gt;O962),O962&gt;P962,AND(Q962&lt;&gt;"",Q962&lt;P962),AND(R962&lt;&gt;"",R962&lt;P962),AND(S962&lt;&gt;"",S962&lt;R962),AND(S962&lt;&gt;"",R962=""),AND(T962&lt;&gt;"",T962&lt;O962),AND(U962&lt;&gt;"",U962&lt;O962)),"Chronologie incohérente",IF(AND(OR(L962="Résolu",L962="Clos"),R962=""),"Date de résolution manquante",IF(AND(L962="Clos",S962=""),"Date de clôture manquante",IF(AND(K962="Oui",AC962=""),"Classification DORA manquante","OK"))))))</f>
        <v/>
      </c>
      <c r="AO962" s="35" t="str">
        <f aca="false">IF($B962="","",IF(AND(C962="Incident",L962&lt;&gt;"Annulé"),1,0))</f>
        <v/>
      </c>
      <c r="AP962" s="35" t="str">
        <f aca="false">IF($B962="","",IF(AND(C962="Quasi-incident",L962&lt;&gt;"Annulé"),1,0))</f>
        <v/>
      </c>
      <c r="AQ962" s="35" t="str">
        <f aca="false">IF($B962="","",AO962+AP962)</f>
        <v/>
      </c>
      <c r="AR962" s="36" t="str">
        <f aca="false">IF(OR($B962="",J962=""),"",IFERROR(VALUE(LEFT(J962,1)),""))</f>
        <v/>
      </c>
      <c r="AS962" s="35" t="str">
        <f aca="false">IF(OR(AO962&lt;&gt;1,G962=""),"",IFERROR(IF(INDEX(L_SrcInterne,MATCH(G962,L_Sources,0))="Oui",1,0),""))</f>
        <v/>
      </c>
      <c r="AT962" s="37" t="str">
        <f aca="false">IF(AO962&lt;&gt;1,"",IFERROR(ROUND(IF(OR(N962="",O962=""),"",IF(O962&lt;N962,"",ROUND(((NETWORKDAYS(N962,O962,JoursFeries)-1)*(HFer-HOuv)+IF(NETWORKDAYS(O962,O962,JoursFeries),MEDIAN(MOD(O962,1),HFer,HOuv),HFer)-IF(NETWORKDAYS(N962,N962,JoursFeries),MEDIAN(MOD(N962,1),HFer,HOuv),HOuv))*24,4)))/HJour,4),""))</f>
        <v/>
      </c>
      <c r="AU962" s="37" t="str">
        <f aca="false">IF(AO962&lt;&gt;1,"",IF(OR(O962="",P962=""),"",IF(P962&lt;O962,"",ROUND(((NETWORKDAYS(O962,P962,JoursFeries)-1)*(HFer-HOuv)+IF(NETWORKDAYS(P962,P962,JoursFeries),MEDIAN(MOD(P962,1),HFer,HOuv),HFer)-IF(NETWORKDAYS(O962,O962,JoursFeries),MEDIAN(MOD(O962,1),HFer,HOuv),HOuv))*24,4))))</f>
        <v/>
      </c>
      <c r="AV962" s="37" t="str">
        <f aca="false">IF(AO962&lt;&gt;1,"",IF(OR(P962="",Q962=""),"",IF(Q962&lt;P962,"",ROUND(((NETWORKDAYS(P962,Q962,JoursFeries)-1)*(HFer-HOuv)+IF(NETWORKDAYS(Q962,Q962,JoursFeries),MEDIAN(MOD(Q962,1),HFer,HOuv),HFer)-IF(NETWORKDAYS(P962,P962,JoursFeries),MEDIAN(MOD(P962,1),HFer,HOuv),HOuv))*24,4))))</f>
        <v/>
      </c>
      <c r="AW962" s="37" t="str">
        <f aca="false">IF(AO962&lt;&gt;1,"",IFERROR(ROUND(IF(OR(P962="",R962=""),"",IF(R962&lt;P962,"",ROUND(((NETWORKDAYS(P962,R962,JoursFeries)-1)*(HFer-HOuv)+IF(NETWORKDAYS(R962,R962,JoursFeries),MEDIAN(MOD(R962,1),HFer,HOuv),HFer)-IF(NETWORKDAYS(P962,P962,JoursFeries),MEDIAN(MOD(P962,1),HFer,HOuv),HOuv))*24,4)))/HJour,4),""))</f>
        <v/>
      </c>
      <c r="AX962" s="37" t="str">
        <f aca="false">IF(AO962&lt;&gt;1,"",IFERROR(ROUND(IF(OR(P962="",S962=""),"",IF(S962&lt;P962,"",ROUND(((NETWORKDAYS(P962,S962,JoursFeries)-1)*(HFer-HOuv)+IF(NETWORKDAYS(S962,S962,JoursFeries),MEDIAN(MOD(S962,1),HFer,HOuv),HFer)-IF(NETWORKDAYS(P962,P962,JoursFeries),MEDIAN(MOD(P962,1),HFer,HOuv),HOuv))*24,4)))/HJour,4),""))</f>
        <v/>
      </c>
      <c r="AY962" s="36" t="str">
        <f aca="false">IF(OR(AO962&lt;&gt;1,AR962=""),"",INDEX(SLA_PEC,AR962))</f>
        <v/>
      </c>
      <c r="AZ962" s="35" t="str">
        <f aca="false">IF(OR(AV962="",AY962=""),"",IF(AV962&lt;=AY962,1,0))</f>
        <v/>
      </c>
      <c r="BA962" s="36" t="str">
        <f aca="false">IF(OR(AO962&lt;&gt;1,AR962=""),"",INDEX(SLA_RES,AR962))</f>
        <v/>
      </c>
      <c r="BB962" s="35" t="str">
        <f aca="false">IF(OR(AW962="",BA962=""),"",IF(AW962&lt;=BA962,1,0))</f>
        <v/>
      </c>
      <c r="BC962" s="38" t="str">
        <f aca="false">IF(OR(BA962="",P962=""),"",WORKDAY(INT(P962),BA962,JoursFeries)+MOD(P962,1))</f>
        <v/>
      </c>
      <c r="BD962" s="39" t="str">
        <f aca="false">IF(AO962&lt;&gt;1,"",IF(OR(AB962&lt;&gt;"",AD962&lt;&gt;""),4,IF(U962&lt;&gt;"",3,IF(T962&lt;&gt;"",2,1))))</f>
        <v/>
      </c>
      <c r="BE962" s="39" t="str">
        <f aca="false">IF(OR(AO962&lt;&gt;1,AR962=""),"",INDEX(NIV_REQ,AR962))</f>
        <v/>
      </c>
      <c r="BF962" s="39" t="str">
        <f aca="false">IF(BE962="","",MAX(BE962,IF(OR(K962="Oui",Z962="Oui"),4,1)))</f>
        <v/>
      </c>
      <c r="BG962" s="35" t="str">
        <f aca="false">IF(OR(BF962="",BD962=""),"",IF(BD962&gt;=BF962,1,0))</f>
        <v/>
      </c>
      <c r="BH962" s="38" t="str">
        <f aca="false">IF(BE962="","",IF(BE962&lt;2,"",IF(BE962=2,IF(AND(T962="",U962=""),"",MIN(T962,U962)),IF(U962="","",U962))))</f>
        <v/>
      </c>
      <c r="BI962" s="37" t="str">
        <f aca="false">IF(BH962="","",IF(OR(O962="",BH962=""),"",IF(BH962&lt;O962,"",ROUND(((NETWORKDAYS(O962,BH962,JoursFeries)-1)*(HFer-HOuv)+IF(NETWORKDAYS(BH962,BH962,JoursFeries),MEDIAN(MOD(BH962,1),HFer,HOuv),HFer)-IF(NETWORKDAYS(O962,O962,JoursFeries),MEDIAN(MOD(O962,1),HFer,HOuv),HOuv))*24,4))))</f>
        <v/>
      </c>
      <c r="BJ962" s="35" t="str">
        <f aca="false">IF(OR(BI962="",AR962=""),"",IF(BI962&lt;=INDEX(DELAI_ESC,AR962),1,0))</f>
        <v/>
      </c>
      <c r="BK962" s="38" t="str">
        <f aca="false">IF(AO962&lt;&gt;1,"",IF(AND(T962="",U962=""),"",MIN(T962,U962)))</f>
        <v/>
      </c>
      <c r="BL962" s="37" t="str">
        <f aca="false">IF(OR(BK962="",R962=""),"",IFERROR(ROUND(IF(OR(BK962="",R962=""),"",IF(R962&lt;BK962,"",ROUND(((NETWORKDAYS(BK962,R962,JoursFeries)-1)*(HFer-HOuv)+IF(NETWORKDAYS(R962,R962,JoursFeries),MEDIAN(MOD(R962,1),HFer,HOuv),HFer)-IF(NETWORKDAYS(BK962,BK962,JoursFeries),MEDIAN(MOD(BK962,1),HFer,HOuv),HOuv))*24,4)))/HJour,4),""))</f>
        <v/>
      </c>
      <c r="BM962" s="35" t="str">
        <f aca="false">IF(OR(AO962&lt;&gt;1,R962=""),"",IF(BD962=1,1,0))</f>
        <v/>
      </c>
      <c r="BN962" s="35" t="str">
        <f aca="false">IF(AO962&lt;&gt;1,"",IF(W962="Oui",1,0))</f>
        <v/>
      </c>
      <c r="BO962" s="35" t="str">
        <f aca="false">IF(AO962&lt;&gt;1,"",IF(X962&lt;&gt;"",1,0))</f>
        <v/>
      </c>
      <c r="BP962" s="35" t="str">
        <f aca="false">IF(AO962&lt;&gt;1,"",IF(Y962="Oui",1,0))</f>
        <v/>
      </c>
      <c r="BQ962" s="35" t="str">
        <f aca="true">IF(OR(AO962&lt;&gt;1,Z962&lt;&gt;"Oui"),"",IF(AB962="",IF(AND(AA962&lt;&gt;"",NOW()&gt;AA962),0,""),IF(AA962="","",IF(AB962&lt;=AA962,1,0))))</f>
        <v/>
      </c>
      <c r="BR962" s="38" t="str">
        <f aca="false">IF(OR(AO962&lt;&gt;1,K962&lt;&gt;"Oui",O962=""),"",IF(AC962="",O962+DORA_H_DET/24,IF(AC962-O962&lt;=DORA_H_DET/24,MIN(AC962+DORA_H_CLA/24,O962+DORA_H_DET/24),AC962+DORA_H_CLA/24)))</f>
        <v/>
      </c>
      <c r="BS962" s="35" t="str">
        <f aca="true">IF(BR962="","",IF(AD962="",IF(NOW()&gt;BR962,0,""),IF(AD962&lt;=BR962,1,0)))</f>
        <v/>
      </c>
      <c r="BT962" s="35" t="str">
        <f aca="true">IF(OR(BR962="",AD962=""),"",IF(AE962="",IF(NOW()&gt;AD962+DORA_H_INT/24,0,""),IF(AE962&lt;=AD962+DORA_H_INT/24,1,0)))</f>
        <v/>
      </c>
      <c r="BU962" s="35" t="str">
        <f aca="true">IF(OR(BR962="",AE962=""),"",IF(AF962="",IF(NOW()&gt;EDATE(AE962,DORA_M_FIN)+1,0,""),IF(AF962&lt;=EDATE(AE962,DORA_M_FIN),1,0)))</f>
        <v/>
      </c>
      <c r="BV962" s="35" t="str">
        <f aca="false">IF(BR962="","",IF(COUNT(BS962:BU962)=0,"",MIN(BS962:BU962)))</f>
        <v/>
      </c>
      <c r="BW962" s="40" t="str">
        <f aca="false">IF(AQ962&lt;&gt;1,"",IF(AND(AG962="",AH962=""),"",N(AG962)-N(AH962)))</f>
        <v/>
      </c>
      <c r="BX962" s="35" t="str">
        <f aca="true">IF(OR(AQ962&lt;&gt;1,AI962&lt;&gt;"Oui",AJ962=""),"",IF(AK962="",IF(NOW()&gt;AJ962+1,0,""),IF(AK962&lt;=AJ962,1,0)))</f>
        <v/>
      </c>
    </row>
    <row r="963" customFormat="false" ht="15" hidden="false" customHeight="false" outlineLevel="0" collapsed="false">
      <c r="B963" s="29"/>
      <c r="C963" s="29"/>
      <c r="D963" s="29"/>
      <c r="E963" s="29"/>
      <c r="F963" s="29"/>
      <c r="G963" s="29"/>
      <c r="H963" s="29"/>
      <c r="I963" s="29"/>
      <c r="J963" s="29"/>
      <c r="K963" s="29"/>
      <c r="L963" s="29"/>
      <c r="M963" s="29"/>
      <c r="N963" s="30"/>
      <c r="O963" s="30"/>
      <c r="P963" s="30"/>
      <c r="Q963" s="30"/>
      <c r="R963" s="30"/>
      <c r="S963" s="30"/>
      <c r="T963" s="30"/>
      <c r="U963" s="30"/>
      <c r="V963" s="31"/>
      <c r="W963" s="29"/>
      <c r="X963" s="29"/>
      <c r="Y963" s="29"/>
      <c r="Z963" s="29"/>
      <c r="AA963" s="30"/>
      <c r="AB963" s="30"/>
      <c r="AC963" s="30"/>
      <c r="AD963" s="30"/>
      <c r="AE963" s="30"/>
      <c r="AF963" s="32"/>
      <c r="AG963" s="33"/>
      <c r="AH963" s="33"/>
      <c r="AI963" s="29"/>
      <c r="AJ963" s="32"/>
      <c r="AK963" s="32"/>
      <c r="AL963" s="29"/>
      <c r="AN963" s="34" t="str">
        <f aca="false">IF($B963="","",IF(OR(C963="",D963="",E963="",G963="",I963="",J963="",L963="",O963="",P963=""),"Champ obligatoire manquant",IF(OR(AND(N963&lt;&gt;"",N963&gt;O963),O963&gt;P963,AND(Q963&lt;&gt;"",Q963&lt;P963),AND(R963&lt;&gt;"",R963&lt;P963),AND(S963&lt;&gt;"",S963&lt;R963),AND(S963&lt;&gt;"",R963=""),AND(T963&lt;&gt;"",T963&lt;O963),AND(U963&lt;&gt;"",U963&lt;O963)),"Chronologie incohérente",IF(AND(OR(L963="Résolu",L963="Clos"),R963=""),"Date de résolution manquante",IF(AND(L963="Clos",S963=""),"Date de clôture manquante",IF(AND(K963="Oui",AC963=""),"Classification DORA manquante","OK"))))))</f>
        <v/>
      </c>
      <c r="AO963" s="35" t="str">
        <f aca="false">IF($B963="","",IF(AND(C963="Incident",L963&lt;&gt;"Annulé"),1,0))</f>
        <v/>
      </c>
      <c r="AP963" s="35" t="str">
        <f aca="false">IF($B963="","",IF(AND(C963="Quasi-incident",L963&lt;&gt;"Annulé"),1,0))</f>
        <v/>
      </c>
      <c r="AQ963" s="35" t="str">
        <f aca="false">IF($B963="","",AO963+AP963)</f>
        <v/>
      </c>
      <c r="AR963" s="36" t="str">
        <f aca="false">IF(OR($B963="",J963=""),"",IFERROR(VALUE(LEFT(J963,1)),""))</f>
        <v/>
      </c>
      <c r="AS963" s="35" t="str">
        <f aca="false">IF(OR(AO963&lt;&gt;1,G963=""),"",IFERROR(IF(INDEX(L_SrcInterne,MATCH(G963,L_Sources,0))="Oui",1,0),""))</f>
        <v/>
      </c>
      <c r="AT963" s="37" t="str">
        <f aca="false">IF(AO963&lt;&gt;1,"",IFERROR(ROUND(IF(OR(N963="",O963=""),"",IF(O963&lt;N963,"",ROUND(((NETWORKDAYS(N963,O963,JoursFeries)-1)*(HFer-HOuv)+IF(NETWORKDAYS(O963,O963,JoursFeries),MEDIAN(MOD(O963,1),HFer,HOuv),HFer)-IF(NETWORKDAYS(N963,N963,JoursFeries),MEDIAN(MOD(N963,1),HFer,HOuv),HOuv))*24,4)))/HJour,4),""))</f>
        <v/>
      </c>
      <c r="AU963" s="37" t="str">
        <f aca="false">IF(AO963&lt;&gt;1,"",IF(OR(O963="",P963=""),"",IF(P963&lt;O963,"",ROUND(((NETWORKDAYS(O963,P963,JoursFeries)-1)*(HFer-HOuv)+IF(NETWORKDAYS(P963,P963,JoursFeries),MEDIAN(MOD(P963,1),HFer,HOuv),HFer)-IF(NETWORKDAYS(O963,O963,JoursFeries),MEDIAN(MOD(O963,1),HFer,HOuv),HOuv))*24,4))))</f>
        <v/>
      </c>
      <c r="AV963" s="37" t="str">
        <f aca="false">IF(AO963&lt;&gt;1,"",IF(OR(P963="",Q963=""),"",IF(Q963&lt;P963,"",ROUND(((NETWORKDAYS(P963,Q963,JoursFeries)-1)*(HFer-HOuv)+IF(NETWORKDAYS(Q963,Q963,JoursFeries),MEDIAN(MOD(Q963,1),HFer,HOuv),HFer)-IF(NETWORKDAYS(P963,P963,JoursFeries),MEDIAN(MOD(P963,1),HFer,HOuv),HOuv))*24,4))))</f>
        <v/>
      </c>
      <c r="AW963" s="37" t="str">
        <f aca="false">IF(AO963&lt;&gt;1,"",IFERROR(ROUND(IF(OR(P963="",R963=""),"",IF(R963&lt;P963,"",ROUND(((NETWORKDAYS(P963,R963,JoursFeries)-1)*(HFer-HOuv)+IF(NETWORKDAYS(R963,R963,JoursFeries),MEDIAN(MOD(R963,1),HFer,HOuv),HFer)-IF(NETWORKDAYS(P963,P963,JoursFeries),MEDIAN(MOD(P963,1),HFer,HOuv),HOuv))*24,4)))/HJour,4),""))</f>
        <v/>
      </c>
      <c r="AX963" s="37" t="str">
        <f aca="false">IF(AO963&lt;&gt;1,"",IFERROR(ROUND(IF(OR(P963="",S963=""),"",IF(S963&lt;P963,"",ROUND(((NETWORKDAYS(P963,S963,JoursFeries)-1)*(HFer-HOuv)+IF(NETWORKDAYS(S963,S963,JoursFeries),MEDIAN(MOD(S963,1),HFer,HOuv),HFer)-IF(NETWORKDAYS(P963,P963,JoursFeries),MEDIAN(MOD(P963,1),HFer,HOuv),HOuv))*24,4)))/HJour,4),""))</f>
        <v/>
      </c>
      <c r="AY963" s="36" t="str">
        <f aca="false">IF(OR(AO963&lt;&gt;1,AR963=""),"",INDEX(SLA_PEC,AR963))</f>
        <v/>
      </c>
      <c r="AZ963" s="35" t="str">
        <f aca="false">IF(OR(AV963="",AY963=""),"",IF(AV963&lt;=AY963,1,0))</f>
        <v/>
      </c>
      <c r="BA963" s="36" t="str">
        <f aca="false">IF(OR(AO963&lt;&gt;1,AR963=""),"",INDEX(SLA_RES,AR963))</f>
        <v/>
      </c>
      <c r="BB963" s="35" t="str">
        <f aca="false">IF(OR(AW963="",BA963=""),"",IF(AW963&lt;=BA963,1,0))</f>
        <v/>
      </c>
      <c r="BC963" s="38" t="str">
        <f aca="false">IF(OR(BA963="",P963=""),"",WORKDAY(INT(P963),BA963,JoursFeries)+MOD(P963,1))</f>
        <v/>
      </c>
      <c r="BD963" s="39" t="str">
        <f aca="false">IF(AO963&lt;&gt;1,"",IF(OR(AB963&lt;&gt;"",AD963&lt;&gt;""),4,IF(U963&lt;&gt;"",3,IF(T963&lt;&gt;"",2,1))))</f>
        <v/>
      </c>
      <c r="BE963" s="39" t="str">
        <f aca="false">IF(OR(AO963&lt;&gt;1,AR963=""),"",INDEX(NIV_REQ,AR963))</f>
        <v/>
      </c>
      <c r="BF963" s="39" t="str">
        <f aca="false">IF(BE963="","",MAX(BE963,IF(OR(K963="Oui",Z963="Oui"),4,1)))</f>
        <v/>
      </c>
      <c r="BG963" s="35" t="str">
        <f aca="false">IF(OR(BF963="",BD963=""),"",IF(BD963&gt;=BF963,1,0))</f>
        <v/>
      </c>
      <c r="BH963" s="38" t="str">
        <f aca="false">IF(BE963="","",IF(BE963&lt;2,"",IF(BE963=2,IF(AND(T963="",U963=""),"",MIN(T963,U963)),IF(U963="","",U963))))</f>
        <v/>
      </c>
      <c r="BI963" s="37" t="str">
        <f aca="false">IF(BH963="","",IF(OR(O963="",BH963=""),"",IF(BH963&lt;O963,"",ROUND(((NETWORKDAYS(O963,BH963,JoursFeries)-1)*(HFer-HOuv)+IF(NETWORKDAYS(BH963,BH963,JoursFeries),MEDIAN(MOD(BH963,1),HFer,HOuv),HFer)-IF(NETWORKDAYS(O963,O963,JoursFeries),MEDIAN(MOD(O963,1),HFer,HOuv),HOuv))*24,4))))</f>
        <v/>
      </c>
      <c r="BJ963" s="35" t="str">
        <f aca="false">IF(OR(BI963="",AR963=""),"",IF(BI963&lt;=INDEX(DELAI_ESC,AR963),1,0))</f>
        <v/>
      </c>
      <c r="BK963" s="38" t="str">
        <f aca="false">IF(AO963&lt;&gt;1,"",IF(AND(T963="",U963=""),"",MIN(T963,U963)))</f>
        <v/>
      </c>
      <c r="BL963" s="37" t="str">
        <f aca="false">IF(OR(BK963="",R963=""),"",IFERROR(ROUND(IF(OR(BK963="",R963=""),"",IF(R963&lt;BK963,"",ROUND(((NETWORKDAYS(BK963,R963,JoursFeries)-1)*(HFer-HOuv)+IF(NETWORKDAYS(R963,R963,JoursFeries),MEDIAN(MOD(R963,1),HFer,HOuv),HFer)-IF(NETWORKDAYS(BK963,BK963,JoursFeries),MEDIAN(MOD(BK963,1),HFer,HOuv),HOuv))*24,4)))/HJour,4),""))</f>
        <v/>
      </c>
      <c r="BM963" s="35" t="str">
        <f aca="false">IF(OR(AO963&lt;&gt;1,R963=""),"",IF(BD963=1,1,0))</f>
        <v/>
      </c>
      <c r="BN963" s="35" t="str">
        <f aca="false">IF(AO963&lt;&gt;1,"",IF(W963="Oui",1,0))</f>
        <v/>
      </c>
      <c r="BO963" s="35" t="str">
        <f aca="false">IF(AO963&lt;&gt;1,"",IF(X963&lt;&gt;"",1,0))</f>
        <v/>
      </c>
      <c r="BP963" s="35" t="str">
        <f aca="false">IF(AO963&lt;&gt;1,"",IF(Y963="Oui",1,0))</f>
        <v/>
      </c>
      <c r="BQ963" s="35" t="str">
        <f aca="true">IF(OR(AO963&lt;&gt;1,Z963&lt;&gt;"Oui"),"",IF(AB963="",IF(AND(AA963&lt;&gt;"",NOW()&gt;AA963),0,""),IF(AA963="","",IF(AB963&lt;=AA963,1,0))))</f>
        <v/>
      </c>
      <c r="BR963" s="38" t="str">
        <f aca="false">IF(OR(AO963&lt;&gt;1,K963&lt;&gt;"Oui",O963=""),"",IF(AC963="",O963+DORA_H_DET/24,IF(AC963-O963&lt;=DORA_H_DET/24,MIN(AC963+DORA_H_CLA/24,O963+DORA_H_DET/24),AC963+DORA_H_CLA/24)))</f>
        <v/>
      </c>
      <c r="BS963" s="35" t="str">
        <f aca="true">IF(BR963="","",IF(AD963="",IF(NOW()&gt;BR963,0,""),IF(AD963&lt;=BR963,1,0)))</f>
        <v/>
      </c>
      <c r="BT963" s="35" t="str">
        <f aca="true">IF(OR(BR963="",AD963=""),"",IF(AE963="",IF(NOW()&gt;AD963+DORA_H_INT/24,0,""),IF(AE963&lt;=AD963+DORA_H_INT/24,1,0)))</f>
        <v/>
      </c>
      <c r="BU963" s="35" t="str">
        <f aca="true">IF(OR(BR963="",AE963=""),"",IF(AF963="",IF(NOW()&gt;EDATE(AE963,DORA_M_FIN)+1,0,""),IF(AF963&lt;=EDATE(AE963,DORA_M_FIN),1,0)))</f>
        <v/>
      </c>
      <c r="BV963" s="35" t="str">
        <f aca="false">IF(BR963="","",IF(COUNT(BS963:BU963)=0,"",MIN(BS963:BU963)))</f>
        <v/>
      </c>
      <c r="BW963" s="40" t="str">
        <f aca="false">IF(AQ963&lt;&gt;1,"",IF(AND(AG963="",AH963=""),"",N(AG963)-N(AH963)))</f>
        <v/>
      </c>
      <c r="BX963" s="35" t="str">
        <f aca="true">IF(OR(AQ963&lt;&gt;1,AI963&lt;&gt;"Oui",AJ963=""),"",IF(AK963="",IF(NOW()&gt;AJ963+1,0,""),IF(AK963&lt;=AJ963,1,0)))</f>
        <v/>
      </c>
    </row>
    <row r="964" customFormat="false" ht="15" hidden="false" customHeight="false" outlineLevel="0" collapsed="false">
      <c r="B964" s="29"/>
      <c r="C964" s="29"/>
      <c r="D964" s="29"/>
      <c r="E964" s="29"/>
      <c r="F964" s="29"/>
      <c r="G964" s="29"/>
      <c r="H964" s="29"/>
      <c r="I964" s="29"/>
      <c r="J964" s="29"/>
      <c r="K964" s="29"/>
      <c r="L964" s="29"/>
      <c r="M964" s="29"/>
      <c r="N964" s="30"/>
      <c r="O964" s="30"/>
      <c r="P964" s="30"/>
      <c r="Q964" s="30"/>
      <c r="R964" s="30"/>
      <c r="S964" s="30"/>
      <c r="T964" s="30"/>
      <c r="U964" s="30"/>
      <c r="V964" s="31"/>
      <c r="W964" s="29"/>
      <c r="X964" s="29"/>
      <c r="Y964" s="29"/>
      <c r="Z964" s="29"/>
      <c r="AA964" s="30"/>
      <c r="AB964" s="30"/>
      <c r="AC964" s="30"/>
      <c r="AD964" s="30"/>
      <c r="AE964" s="30"/>
      <c r="AF964" s="32"/>
      <c r="AG964" s="33"/>
      <c r="AH964" s="33"/>
      <c r="AI964" s="29"/>
      <c r="AJ964" s="32"/>
      <c r="AK964" s="32"/>
      <c r="AL964" s="29"/>
      <c r="AN964" s="34" t="str">
        <f aca="false">IF($B964="","",IF(OR(C964="",D964="",E964="",G964="",I964="",J964="",L964="",O964="",P964=""),"Champ obligatoire manquant",IF(OR(AND(N964&lt;&gt;"",N964&gt;O964),O964&gt;P964,AND(Q964&lt;&gt;"",Q964&lt;P964),AND(R964&lt;&gt;"",R964&lt;P964),AND(S964&lt;&gt;"",S964&lt;R964),AND(S964&lt;&gt;"",R964=""),AND(T964&lt;&gt;"",T964&lt;O964),AND(U964&lt;&gt;"",U964&lt;O964)),"Chronologie incohérente",IF(AND(OR(L964="Résolu",L964="Clos"),R964=""),"Date de résolution manquante",IF(AND(L964="Clos",S964=""),"Date de clôture manquante",IF(AND(K964="Oui",AC964=""),"Classification DORA manquante","OK"))))))</f>
        <v/>
      </c>
      <c r="AO964" s="35" t="str">
        <f aca="false">IF($B964="","",IF(AND(C964="Incident",L964&lt;&gt;"Annulé"),1,0))</f>
        <v/>
      </c>
      <c r="AP964" s="35" t="str">
        <f aca="false">IF($B964="","",IF(AND(C964="Quasi-incident",L964&lt;&gt;"Annulé"),1,0))</f>
        <v/>
      </c>
      <c r="AQ964" s="35" t="str">
        <f aca="false">IF($B964="","",AO964+AP964)</f>
        <v/>
      </c>
      <c r="AR964" s="36" t="str">
        <f aca="false">IF(OR($B964="",J964=""),"",IFERROR(VALUE(LEFT(J964,1)),""))</f>
        <v/>
      </c>
      <c r="AS964" s="35" t="str">
        <f aca="false">IF(OR(AO964&lt;&gt;1,G964=""),"",IFERROR(IF(INDEX(L_SrcInterne,MATCH(G964,L_Sources,0))="Oui",1,0),""))</f>
        <v/>
      </c>
      <c r="AT964" s="37" t="str">
        <f aca="false">IF(AO964&lt;&gt;1,"",IFERROR(ROUND(IF(OR(N964="",O964=""),"",IF(O964&lt;N964,"",ROUND(((NETWORKDAYS(N964,O964,JoursFeries)-1)*(HFer-HOuv)+IF(NETWORKDAYS(O964,O964,JoursFeries),MEDIAN(MOD(O964,1),HFer,HOuv),HFer)-IF(NETWORKDAYS(N964,N964,JoursFeries),MEDIAN(MOD(N964,1),HFer,HOuv),HOuv))*24,4)))/HJour,4),""))</f>
        <v/>
      </c>
      <c r="AU964" s="37" t="str">
        <f aca="false">IF(AO964&lt;&gt;1,"",IF(OR(O964="",P964=""),"",IF(P964&lt;O964,"",ROUND(((NETWORKDAYS(O964,P964,JoursFeries)-1)*(HFer-HOuv)+IF(NETWORKDAYS(P964,P964,JoursFeries),MEDIAN(MOD(P964,1),HFer,HOuv),HFer)-IF(NETWORKDAYS(O964,O964,JoursFeries),MEDIAN(MOD(O964,1),HFer,HOuv),HOuv))*24,4))))</f>
        <v/>
      </c>
      <c r="AV964" s="37" t="str">
        <f aca="false">IF(AO964&lt;&gt;1,"",IF(OR(P964="",Q964=""),"",IF(Q964&lt;P964,"",ROUND(((NETWORKDAYS(P964,Q964,JoursFeries)-1)*(HFer-HOuv)+IF(NETWORKDAYS(Q964,Q964,JoursFeries),MEDIAN(MOD(Q964,1),HFer,HOuv),HFer)-IF(NETWORKDAYS(P964,P964,JoursFeries),MEDIAN(MOD(P964,1),HFer,HOuv),HOuv))*24,4))))</f>
        <v/>
      </c>
      <c r="AW964" s="37" t="str">
        <f aca="false">IF(AO964&lt;&gt;1,"",IFERROR(ROUND(IF(OR(P964="",R964=""),"",IF(R964&lt;P964,"",ROUND(((NETWORKDAYS(P964,R964,JoursFeries)-1)*(HFer-HOuv)+IF(NETWORKDAYS(R964,R964,JoursFeries),MEDIAN(MOD(R964,1),HFer,HOuv),HFer)-IF(NETWORKDAYS(P964,P964,JoursFeries),MEDIAN(MOD(P964,1),HFer,HOuv),HOuv))*24,4)))/HJour,4),""))</f>
        <v/>
      </c>
      <c r="AX964" s="37" t="str">
        <f aca="false">IF(AO964&lt;&gt;1,"",IFERROR(ROUND(IF(OR(P964="",S964=""),"",IF(S964&lt;P964,"",ROUND(((NETWORKDAYS(P964,S964,JoursFeries)-1)*(HFer-HOuv)+IF(NETWORKDAYS(S964,S964,JoursFeries),MEDIAN(MOD(S964,1),HFer,HOuv),HFer)-IF(NETWORKDAYS(P964,P964,JoursFeries),MEDIAN(MOD(P964,1),HFer,HOuv),HOuv))*24,4)))/HJour,4),""))</f>
        <v/>
      </c>
      <c r="AY964" s="36" t="str">
        <f aca="false">IF(OR(AO964&lt;&gt;1,AR964=""),"",INDEX(SLA_PEC,AR964))</f>
        <v/>
      </c>
      <c r="AZ964" s="35" t="str">
        <f aca="false">IF(OR(AV964="",AY964=""),"",IF(AV964&lt;=AY964,1,0))</f>
        <v/>
      </c>
      <c r="BA964" s="36" t="str">
        <f aca="false">IF(OR(AO964&lt;&gt;1,AR964=""),"",INDEX(SLA_RES,AR964))</f>
        <v/>
      </c>
      <c r="BB964" s="35" t="str">
        <f aca="false">IF(OR(AW964="",BA964=""),"",IF(AW964&lt;=BA964,1,0))</f>
        <v/>
      </c>
      <c r="BC964" s="38" t="str">
        <f aca="false">IF(OR(BA964="",P964=""),"",WORKDAY(INT(P964),BA964,JoursFeries)+MOD(P964,1))</f>
        <v/>
      </c>
      <c r="BD964" s="39" t="str">
        <f aca="false">IF(AO964&lt;&gt;1,"",IF(OR(AB964&lt;&gt;"",AD964&lt;&gt;""),4,IF(U964&lt;&gt;"",3,IF(T964&lt;&gt;"",2,1))))</f>
        <v/>
      </c>
      <c r="BE964" s="39" t="str">
        <f aca="false">IF(OR(AO964&lt;&gt;1,AR964=""),"",INDEX(NIV_REQ,AR964))</f>
        <v/>
      </c>
      <c r="BF964" s="39" t="str">
        <f aca="false">IF(BE964="","",MAX(BE964,IF(OR(K964="Oui",Z964="Oui"),4,1)))</f>
        <v/>
      </c>
      <c r="BG964" s="35" t="str">
        <f aca="false">IF(OR(BF964="",BD964=""),"",IF(BD964&gt;=BF964,1,0))</f>
        <v/>
      </c>
      <c r="BH964" s="38" t="str">
        <f aca="false">IF(BE964="","",IF(BE964&lt;2,"",IF(BE964=2,IF(AND(T964="",U964=""),"",MIN(T964,U964)),IF(U964="","",U964))))</f>
        <v/>
      </c>
      <c r="BI964" s="37" t="str">
        <f aca="false">IF(BH964="","",IF(OR(O964="",BH964=""),"",IF(BH964&lt;O964,"",ROUND(((NETWORKDAYS(O964,BH964,JoursFeries)-1)*(HFer-HOuv)+IF(NETWORKDAYS(BH964,BH964,JoursFeries),MEDIAN(MOD(BH964,1),HFer,HOuv),HFer)-IF(NETWORKDAYS(O964,O964,JoursFeries),MEDIAN(MOD(O964,1),HFer,HOuv),HOuv))*24,4))))</f>
        <v/>
      </c>
      <c r="BJ964" s="35" t="str">
        <f aca="false">IF(OR(BI964="",AR964=""),"",IF(BI964&lt;=INDEX(DELAI_ESC,AR964),1,0))</f>
        <v/>
      </c>
      <c r="BK964" s="38" t="str">
        <f aca="false">IF(AO964&lt;&gt;1,"",IF(AND(T964="",U964=""),"",MIN(T964,U964)))</f>
        <v/>
      </c>
      <c r="BL964" s="37" t="str">
        <f aca="false">IF(OR(BK964="",R964=""),"",IFERROR(ROUND(IF(OR(BK964="",R964=""),"",IF(R964&lt;BK964,"",ROUND(((NETWORKDAYS(BK964,R964,JoursFeries)-1)*(HFer-HOuv)+IF(NETWORKDAYS(R964,R964,JoursFeries),MEDIAN(MOD(R964,1),HFer,HOuv),HFer)-IF(NETWORKDAYS(BK964,BK964,JoursFeries),MEDIAN(MOD(BK964,1),HFer,HOuv),HOuv))*24,4)))/HJour,4),""))</f>
        <v/>
      </c>
      <c r="BM964" s="35" t="str">
        <f aca="false">IF(OR(AO964&lt;&gt;1,R964=""),"",IF(BD964=1,1,0))</f>
        <v/>
      </c>
      <c r="BN964" s="35" t="str">
        <f aca="false">IF(AO964&lt;&gt;1,"",IF(W964="Oui",1,0))</f>
        <v/>
      </c>
      <c r="BO964" s="35" t="str">
        <f aca="false">IF(AO964&lt;&gt;1,"",IF(X964&lt;&gt;"",1,0))</f>
        <v/>
      </c>
      <c r="BP964" s="35" t="str">
        <f aca="false">IF(AO964&lt;&gt;1,"",IF(Y964="Oui",1,0))</f>
        <v/>
      </c>
      <c r="BQ964" s="35" t="str">
        <f aca="true">IF(OR(AO964&lt;&gt;1,Z964&lt;&gt;"Oui"),"",IF(AB964="",IF(AND(AA964&lt;&gt;"",NOW()&gt;AA964),0,""),IF(AA964="","",IF(AB964&lt;=AA964,1,0))))</f>
        <v/>
      </c>
      <c r="BR964" s="38" t="str">
        <f aca="false">IF(OR(AO964&lt;&gt;1,K964&lt;&gt;"Oui",O964=""),"",IF(AC964="",O964+DORA_H_DET/24,IF(AC964-O964&lt;=DORA_H_DET/24,MIN(AC964+DORA_H_CLA/24,O964+DORA_H_DET/24),AC964+DORA_H_CLA/24)))</f>
        <v/>
      </c>
      <c r="BS964" s="35" t="str">
        <f aca="true">IF(BR964="","",IF(AD964="",IF(NOW()&gt;BR964,0,""),IF(AD964&lt;=BR964,1,0)))</f>
        <v/>
      </c>
      <c r="BT964" s="35" t="str">
        <f aca="true">IF(OR(BR964="",AD964=""),"",IF(AE964="",IF(NOW()&gt;AD964+DORA_H_INT/24,0,""),IF(AE964&lt;=AD964+DORA_H_INT/24,1,0)))</f>
        <v/>
      </c>
      <c r="BU964" s="35" t="str">
        <f aca="true">IF(OR(BR964="",AE964=""),"",IF(AF964="",IF(NOW()&gt;EDATE(AE964,DORA_M_FIN)+1,0,""),IF(AF964&lt;=EDATE(AE964,DORA_M_FIN),1,0)))</f>
        <v/>
      </c>
      <c r="BV964" s="35" t="str">
        <f aca="false">IF(BR964="","",IF(COUNT(BS964:BU964)=0,"",MIN(BS964:BU964)))</f>
        <v/>
      </c>
      <c r="BW964" s="40" t="str">
        <f aca="false">IF(AQ964&lt;&gt;1,"",IF(AND(AG964="",AH964=""),"",N(AG964)-N(AH964)))</f>
        <v/>
      </c>
      <c r="BX964" s="35" t="str">
        <f aca="true">IF(OR(AQ964&lt;&gt;1,AI964&lt;&gt;"Oui",AJ964=""),"",IF(AK964="",IF(NOW()&gt;AJ964+1,0,""),IF(AK964&lt;=AJ964,1,0)))</f>
        <v/>
      </c>
    </row>
    <row r="965" customFormat="false" ht="15" hidden="false" customHeight="false" outlineLevel="0" collapsed="false">
      <c r="B965" s="29"/>
      <c r="C965" s="29"/>
      <c r="D965" s="29"/>
      <c r="E965" s="29"/>
      <c r="F965" s="29"/>
      <c r="G965" s="29"/>
      <c r="H965" s="29"/>
      <c r="I965" s="29"/>
      <c r="J965" s="29"/>
      <c r="K965" s="29"/>
      <c r="L965" s="29"/>
      <c r="M965" s="29"/>
      <c r="N965" s="30"/>
      <c r="O965" s="30"/>
      <c r="P965" s="30"/>
      <c r="Q965" s="30"/>
      <c r="R965" s="30"/>
      <c r="S965" s="30"/>
      <c r="T965" s="30"/>
      <c r="U965" s="30"/>
      <c r="V965" s="31"/>
      <c r="W965" s="29"/>
      <c r="X965" s="29"/>
      <c r="Y965" s="29"/>
      <c r="Z965" s="29"/>
      <c r="AA965" s="30"/>
      <c r="AB965" s="30"/>
      <c r="AC965" s="30"/>
      <c r="AD965" s="30"/>
      <c r="AE965" s="30"/>
      <c r="AF965" s="32"/>
      <c r="AG965" s="33"/>
      <c r="AH965" s="33"/>
      <c r="AI965" s="29"/>
      <c r="AJ965" s="32"/>
      <c r="AK965" s="32"/>
      <c r="AL965" s="29"/>
      <c r="AN965" s="34" t="str">
        <f aca="false">IF($B965="","",IF(OR(C965="",D965="",E965="",G965="",I965="",J965="",L965="",O965="",P965=""),"Champ obligatoire manquant",IF(OR(AND(N965&lt;&gt;"",N965&gt;O965),O965&gt;P965,AND(Q965&lt;&gt;"",Q965&lt;P965),AND(R965&lt;&gt;"",R965&lt;P965),AND(S965&lt;&gt;"",S965&lt;R965),AND(S965&lt;&gt;"",R965=""),AND(T965&lt;&gt;"",T965&lt;O965),AND(U965&lt;&gt;"",U965&lt;O965)),"Chronologie incohérente",IF(AND(OR(L965="Résolu",L965="Clos"),R965=""),"Date de résolution manquante",IF(AND(L965="Clos",S965=""),"Date de clôture manquante",IF(AND(K965="Oui",AC965=""),"Classification DORA manquante","OK"))))))</f>
        <v/>
      </c>
      <c r="AO965" s="35" t="str">
        <f aca="false">IF($B965="","",IF(AND(C965="Incident",L965&lt;&gt;"Annulé"),1,0))</f>
        <v/>
      </c>
      <c r="AP965" s="35" t="str">
        <f aca="false">IF($B965="","",IF(AND(C965="Quasi-incident",L965&lt;&gt;"Annulé"),1,0))</f>
        <v/>
      </c>
      <c r="AQ965" s="35" t="str">
        <f aca="false">IF($B965="","",AO965+AP965)</f>
        <v/>
      </c>
      <c r="AR965" s="36" t="str">
        <f aca="false">IF(OR($B965="",J965=""),"",IFERROR(VALUE(LEFT(J965,1)),""))</f>
        <v/>
      </c>
      <c r="AS965" s="35" t="str">
        <f aca="false">IF(OR(AO965&lt;&gt;1,G965=""),"",IFERROR(IF(INDEX(L_SrcInterne,MATCH(G965,L_Sources,0))="Oui",1,0),""))</f>
        <v/>
      </c>
      <c r="AT965" s="37" t="str">
        <f aca="false">IF(AO965&lt;&gt;1,"",IFERROR(ROUND(IF(OR(N965="",O965=""),"",IF(O965&lt;N965,"",ROUND(((NETWORKDAYS(N965,O965,JoursFeries)-1)*(HFer-HOuv)+IF(NETWORKDAYS(O965,O965,JoursFeries),MEDIAN(MOD(O965,1),HFer,HOuv),HFer)-IF(NETWORKDAYS(N965,N965,JoursFeries),MEDIAN(MOD(N965,1),HFer,HOuv),HOuv))*24,4)))/HJour,4),""))</f>
        <v/>
      </c>
      <c r="AU965" s="37" t="str">
        <f aca="false">IF(AO965&lt;&gt;1,"",IF(OR(O965="",P965=""),"",IF(P965&lt;O965,"",ROUND(((NETWORKDAYS(O965,P965,JoursFeries)-1)*(HFer-HOuv)+IF(NETWORKDAYS(P965,P965,JoursFeries),MEDIAN(MOD(P965,1),HFer,HOuv),HFer)-IF(NETWORKDAYS(O965,O965,JoursFeries),MEDIAN(MOD(O965,1),HFer,HOuv),HOuv))*24,4))))</f>
        <v/>
      </c>
      <c r="AV965" s="37" t="str">
        <f aca="false">IF(AO965&lt;&gt;1,"",IF(OR(P965="",Q965=""),"",IF(Q965&lt;P965,"",ROUND(((NETWORKDAYS(P965,Q965,JoursFeries)-1)*(HFer-HOuv)+IF(NETWORKDAYS(Q965,Q965,JoursFeries),MEDIAN(MOD(Q965,1),HFer,HOuv),HFer)-IF(NETWORKDAYS(P965,P965,JoursFeries),MEDIAN(MOD(P965,1),HFer,HOuv),HOuv))*24,4))))</f>
        <v/>
      </c>
      <c r="AW965" s="37" t="str">
        <f aca="false">IF(AO965&lt;&gt;1,"",IFERROR(ROUND(IF(OR(P965="",R965=""),"",IF(R965&lt;P965,"",ROUND(((NETWORKDAYS(P965,R965,JoursFeries)-1)*(HFer-HOuv)+IF(NETWORKDAYS(R965,R965,JoursFeries),MEDIAN(MOD(R965,1),HFer,HOuv),HFer)-IF(NETWORKDAYS(P965,P965,JoursFeries),MEDIAN(MOD(P965,1),HFer,HOuv),HOuv))*24,4)))/HJour,4),""))</f>
        <v/>
      </c>
      <c r="AX965" s="37" t="str">
        <f aca="false">IF(AO965&lt;&gt;1,"",IFERROR(ROUND(IF(OR(P965="",S965=""),"",IF(S965&lt;P965,"",ROUND(((NETWORKDAYS(P965,S965,JoursFeries)-1)*(HFer-HOuv)+IF(NETWORKDAYS(S965,S965,JoursFeries),MEDIAN(MOD(S965,1),HFer,HOuv),HFer)-IF(NETWORKDAYS(P965,P965,JoursFeries),MEDIAN(MOD(P965,1),HFer,HOuv),HOuv))*24,4)))/HJour,4),""))</f>
        <v/>
      </c>
      <c r="AY965" s="36" t="str">
        <f aca="false">IF(OR(AO965&lt;&gt;1,AR965=""),"",INDEX(SLA_PEC,AR965))</f>
        <v/>
      </c>
      <c r="AZ965" s="35" t="str">
        <f aca="false">IF(OR(AV965="",AY965=""),"",IF(AV965&lt;=AY965,1,0))</f>
        <v/>
      </c>
      <c r="BA965" s="36" t="str">
        <f aca="false">IF(OR(AO965&lt;&gt;1,AR965=""),"",INDEX(SLA_RES,AR965))</f>
        <v/>
      </c>
      <c r="BB965" s="35" t="str">
        <f aca="false">IF(OR(AW965="",BA965=""),"",IF(AW965&lt;=BA965,1,0))</f>
        <v/>
      </c>
      <c r="BC965" s="38" t="str">
        <f aca="false">IF(OR(BA965="",P965=""),"",WORKDAY(INT(P965),BA965,JoursFeries)+MOD(P965,1))</f>
        <v/>
      </c>
      <c r="BD965" s="39" t="str">
        <f aca="false">IF(AO965&lt;&gt;1,"",IF(OR(AB965&lt;&gt;"",AD965&lt;&gt;""),4,IF(U965&lt;&gt;"",3,IF(T965&lt;&gt;"",2,1))))</f>
        <v/>
      </c>
      <c r="BE965" s="39" t="str">
        <f aca="false">IF(OR(AO965&lt;&gt;1,AR965=""),"",INDEX(NIV_REQ,AR965))</f>
        <v/>
      </c>
      <c r="BF965" s="39" t="str">
        <f aca="false">IF(BE965="","",MAX(BE965,IF(OR(K965="Oui",Z965="Oui"),4,1)))</f>
        <v/>
      </c>
      <c r="BG965" s="35" t="str">
        <f aca="false">IF(OR(BF965="",BD965=""),"",IF(BD965&gt;=BF965,1,0))</f>
        <v/>
      </c>
      <c r="BH965" s="38" t="str">
        <f aca="false">IF(BE965="","",IF(BE965&lt;2,"",IF(BE965=2,IF(AND(T965="",U965=""),"",MIN(T965,U965)),IF(U965="","",U965))))</f>
        <v/>
      </c>
      <c r="BI965" s="37" t="str">
        <f aca="false">IF(BH965="","",IF(OR(O965="",BH965=""),"",IF(BH965&lt;O965,"",ROUND(((NETWORKDAYS(O965,BH965,JoursFeries)-1)*(HFer-HOuv)+IF(NETWORKDAYS(BH965,BH965,JoursFeries),MEDIAN(MOD(BH965,1),HFer,HOuv),HFer)-IF(NETWORKDAYS(O965,O965,JoursFeries),MEDIAN(MOD(O965,1),HFer,HOuv),HOuv))*24,4))))</f>
        <v/>
      </c>
      <c r="BJ965" s="35" t="str">
        <f aca="false">IF(OR(BI965="",AR965=""),"",IF(BI965&lt;=INDEX(DELAI_ESC,AR965),1,0))</f>
        <v/>
      </c>
      <c r="BK965" s="38" t="str">
        <f aca="false">IF(AO965&lt;&gt;1,"",IF(AND(T965="",U965=""),"",MIN(T965,U965)))</f>
        <v/>
      </c>
      <c r="BL965" s="37" t="str">
        <f aca="false">IF(OR(BK965="",R965=""),"",IFERROR(ROUND(IF(OR(BK965="",R965=""),"",IF(R965&lt;BK965,"",ROUND(((NETWORKDAYS(BK965,R965,JoursFeries)-1)*(HFer-HOuv)+IF(NETWORKDAYS(R965,R965,JoursFeries),MEDIAN(MOD(R965,1),HFer,HOuv),HFer)-IF(NETWORKDAYS(BK965,BK965,JoursFeries),MEDIAN(MOD(BK965,1),HFer,HOuv),HOuv))*24,4)))/HJour,4),""))</f>
        <v/>
      </c>
      <c r="BM965" s="35" t="str">
        <f aca="false">IF(OR(AO965&lt;&gt;1,R965=""),"",IF(BD965=1,1,0))</f>
        <v/>
      </c>
      <c r="BN965" s="35" t="str">
        <f aca="false">IF(AO965&lt;&gt;1,"",IF(W965="Oui",1,0))</f>
        <v/>
      </c>
      <c r="BO965" s="35" t="str">
        <f aca="false">IF(AO965&lt;&gt;1,"",IF(X965&lt;&gt;"",1,0))</f>
        <v/>
      </c>
      <c r="BP965" s="35" t="str">
        <f aca="false">IF(AO965&lt;&gt;1,"",IF(Y965="Oui",1,0))</f>
        <v/>
      </c>
      <c r="BQ965" s="35" t="str">
        <f aca="true">IF(OR(AO965&lt;&gt;1,Z965&lt;&gt;"Oui"),"",IF(AB965="",IF(AND(AA965&lt;&gt;"",NOW()&gt;AA965),0,""),IF(AA965="","",IF(AB965&lt;=AA965,1,0))))</f>
        <v/>
      </c>
      <c r="BR965" s="38" t="str">
        <f aca="false">IF(OR(AO965&lt;&gt;1,K965&lt;&gt;"Oui",O965=""),"",IF(AC965="",O965+DORA_H_DET/24,IF(AC965-O965&lt;=DORA_H_DET/24,MIN(AC965+DORA_H_CLA/24,O965+DORA_H_DET/24),AC965+DORA_H_CLA/24)))</f>
        <v/>
      </c>
      <c r="BS965" s="35" t="str">
        <f aca="true">IF(BR965="","",IF(AD965="",IF(NOW()&gt;BR965,0,""),IF(AD965&lt;=BR965,1,0)))</f>
        <v/>
      </c>
      <c r="BT965" s="35" t="str">
        <f aca="true">IF(OR(BR965="",AD965=""),"",IF(AE965="",IF(NOW()&gt;AD965+DORA_H_INT/24,0,""),IF(AE965&lt;=AD965+DORA_H_INT/24,1,0)))</f>
        <v/>
      </c>
      <c r="BU965" s="35" t="str">
        <f aca="true">IF(OR(BR965="",AE965=""),"",IF(AF965="",IF(NOW()&gt;EDATE(AE965,DORA_M_FIN)+1,0,""),IF(AF965&lt;=EDATE(AE965,DORA_M_FIN),1,0)))</f>
        <v/>
      </c>
      <c r="BV965" s="35" t="str">
        <f aca="false">IF(BR965="","",IF(COUNT(BS965:BU965)=0,"",MIN(BS965:BU965)))</f>
        <v/>
      </c>
      <c r="BW965" s="40" t="str">
        <f aca="false">IF(AQ965&lt;&gt;1,"",IF(AND(AG965="",AH965=""),"",N(AG965)-N(AH965)))</f>
        <v/>
      </c>
      <c r="BX965" s="35" t="str">
        <f aca="true">IF(OR(AQ965&lt;&gt;1,AI965&lt;&gt;"Oui",AJ965=""),"",IF(AK965="",IF(NOW()&gt;AJ965+1,0,""),IF(AK965&lt;=AJ965,1,0)))</f>
        <v/>
      </c>
    </row>
    <row r="966" customFormat="false" ht="15" hidden="false" customHeight="false" outlineLevel="0" collapsed="false">
      <c r="B966" s="29"/>
      <c r="C966" s="29"/>
      <c r="D966" s="29"/>
      <c r="E966" s="29"/>
      <c r="F966" s="29"/>
      <c r="G966" s="29"/>
      <c r="H966" s="29"/>
      <c r="I966" s="29"/>
      <c r="J966" s="29"/>
      <c r="K966" s="29"/>
      <c r="L966" s="29"/>
      <c r="M966" s="29"/>
      <c r="N966" s="30"/>
      <c r="O966" s="30"/>
      <c r="P966" s="30"/>
      <c r="Q966" s="30"/>
      <c r="R966" s="30"/>
      <c r="S966" s="30"/>
      <c r="T966" s="30"/>
      <c r="U966" s="30"/>
      <c r="V966" s="31"/>
      <c r="W966" s="29"/>
      <c r="X966" s="29"/>
      <c r="Y966" s="29"/>
      <c r="Z966" s="29"/>
      <c r="AA966" s="30"/>
      <c r="AB966" s="30"/>
      <c r="AC966" s="30"/>
      <c r="AD966" s="30"/>
      <c r="AE966" s="30"/>
      <c r="AF966" s="32"/>
      <c r="AG966" s="33"/>
      <c r="AH966" s="33"/>
      <c r="AI966" s="29"/>
      <c r="AJ966" s="32"/>
      <c r="AK966" s="32"/>
      <c r="AL966" s="29"/>
      <c r="AN966" s="34" t="str">
        <f aca="false">IF($B966="","",IF(OR(C966="",D966="",E966="",G966="",I966="",J966="",L966="",O966="",P966=""),"Champ obligatoire manquant",IF(OR(AND(N966&lt;&gt;"",N966&gt;O966),O966&gt;P966,AND(Q966&lt;&gt;"",Q966&lt;P966),AND(R966&lt;&gt;"",R966&lt;P966),AND(S966&lt;&gt;"",S966&lt;R966),AND(S966&lt;&gt;"",R966=""),AND(T966&lt;&gt;"",T966&lt;O966),AND(U966&lt;&gt;"",U966&lt;O966)),"Chronologie incohérente",IF(AND(OR(L966="Résolu",L966="Clos"),R966=""),"Date de résolution manquante",IF(AND(L966="Clos",S966=""),"Date de clôture manquante",IF(AND(K966="Oui",AC966=""),"Classification DORA manquante","OK"))))))</f>
        <v/>
      </c>
      <c r="AO966" s="35" t="str">
        <f aca="false">IF($B966="","",IF(AND(C966="Incident",L966&lt;&gt;"Annulé"),1,0))</f>
        <v/>
      </c>
      <c r="AP966" s="35" t="str">
        <f aca="false">IF($B966="","",IF(AND(C966="Quasi-incident",L966&lt;&gt;"Annulé"),1,0))</f>
        <v/>
      </c>
      <c r="AQ966" s="35" t="str">
        <f aca="false">IF($B966="","",AO966+AP966)</f>
        <v/>
      </c>
      <c r="AR966" s="36" t="str">
        <f aca="false">IF(OR($B966="",J966=""),"",IFERROR(VALUE(LEFT(J966,1)),""))</f>
        <v/>
      </c>
      <c r="AS966" s="35" t="str">
        <f aca="false">IF(OR(AO966&lt;&gt;1,G966=""),"",IFERROR(IF(INDEX(L_SrcInterne,MATCH(G966,L_Sources,0))="Oui",1,0),""))</f>
        <v/>
      </c>
      <c r="AT966" s="37" t="str">
        <f aca="false">IF(AO966&lt;&gt;1,"",IFERROR(ROUND(IF(OR(N966="",O966=""),"",IF(O966&lt;N966,"",ROUND(((NETWORKDAYS(N966,O966,JoursFeries)-1)*(HFer-HOuv)+IF(NETWORKDAYS(O966,O966,JoursFeries),MEDIAN(MOD(O966,1),HFer,HOuv),HFer)-IF(NETWORKDAYS(N966,N966,JoursFeries),MEDIAN(MOD(N966,1),HFer,HOuv),HOuv))*24,4)))/HJour,4),""))</f>
        <v/>
      </c>
      <c r="AU966" s="37" t="str">
        <f aca="false">IF(AO966&lt;&gt;1,"",IF(OR(O966="",P966=""),"",IF(P966&lt;O966,"",ROUND(((NETWORKDAYS(O966,P966,JoursFeries)-1)*(HFer-HOuv)+IF(NETWORKDAYS(P966,P966,JoursFeries),MEDIAN(MOD(P966,1),HFer,HOuv),HFer)-IF(NETWORKDAYS(O966,O966,JoursFeries),MEDIAN(MOD(O966,1),HFer,HOuv),HOuv))*24,4))))</f>
        <v/>
      </c>
      <c r="AV966" s="37" t="str">
        <f aca="false">IF(AO966&lt;&gt;1,"",IF(OR(P966="",Q966=""),"",IF(Q966&lt;P966,"",ROUND(((NETWORKDAYS(P966,Q966,JoursFeries)-1)*(HFer-HOuv)+IF(NETWORKDAYS(Q966,Q966,JoursFeries),MEDIAN(MOD(Q966,1),HFer,HOuv),HFer)-IF(NETWORKDAYS(P966,P966,JoursFeries),MEDIAN(MOD(P966,1),HFer,HOuv),HOuv))*24,4))))</f>
        <v/>
      </c>
      <c r="AW966" s="37" t="str">
        <f aca="false">IF(AO966&lt;&gt;1,"",IFERROR(ROUND(IF(OR(P966="",R966=""),"",IF(R966&lt;P966,"",ROUND(((NETWORKDAYS(P966,R966,JoursFeries)-1)*(HFer-HOuv)+IF(NETWORKDAYS(R966,R966,JoursFeries),MEDIAN(MOD(R966,1),HFer,HOuv),HFer)-IF(NETWORKDAYS(P966,P966,JoursFeries),MEDIAN(MOD(P966,1),HFer,HOuv),HOuv))*24,4)))/HJour,4),""))</f>
        <v/>
      </c>
      <c r="AX966" s="37" t="str">
        <f aca="false">IF(AO966&lt;&gt;1,"",IFERROR(ROUND(IF(OR(P966="",S966=""),"",IF(S966&lt;P966,"",ROUND(((NETWORKDAYS(P966,S966,JoursFeries)-1)*(HFer-HOuv)+IF(NETWORKDAYS(S966,S966,JoursFeries),MEDIAN(MOD(S966,1),HFer,HOuv),HFer)-IF(NETWORKDAYS(P966,P966,JoursFeries),MEDIAN(MOD(P966,1),HFer,HOuv),HOuv))*24,4)))/HJour,4),""))</f>
        <v/>
      </c>
      <c r="AY966" s="36" t="str">
        <f aca="false">IF(OR(AO966&lt;&gt;1,AR966=""),"",INDEX(SLA_PEC,AR966))</f>
        <v/>
      </c>
      <c r="AZ966" s="35" t="str">
        <f aca="false">IF(OR(AV966="",AY966=""),"",IF(AV966&lt;=AY966,1,0))</f>
        <v/>
      </c>
      <c r="BA966" s="36" t="str">
        <f aca="false">IF(OR(AO966&lt;&gt;1,AR966=""),"",INDEX(SLA_RES,AR966))</f>
        <v/>
      </c>
      <c r="BB966" s="35" t="str">
        <f aca="false">IF(OR(AW966="",BA966=""),"",IF(AW966&lt;=BA966,1,0))</f>
        <v/>
      </c>
      <c r="BC966" s="38" t="str">
        <f aca="false">IF(OR(BA966="",P966=""),"",WORKDAY(INT(P966),BA966,JoursFeries)+MOD(P966,1))</f>
        <v/>
      </c>
      <c r="BD966" s="39" t="str">
        <f aca="false">IF(AO966&lt;&gt;1,"",IF(OR(AB966&lt;&gt;"",AD966&lt;&gt;""),4,IF(U966&lt;&gt;"",3,IF(T966&lt;&gt;"",2,1))))</f>
        <v/>
      </c>
      <c r="BE966" s="39" t="str">
        <f aca="false">IF(OR(AO966&lt;&gt;1,AR966=""),"",INDEX(NIV_REQ,AR966))</f>
        <v/>
      </c>
      <c r="BF966" s="39" t="str">
        <f aca="false">IF(BE966="","",MAX(BE966,IF(OR(K966="Oui",Z966="Oui"),4,1)))</f>
        <v/>
      </c>
      <c r="BG966" s="35" t="str">
        <f aca="false">IF(OR(BF966="",BD966=""),"",IF(BD966&gt;=BF966,1,0))</f>
        <v/>
      </c>
      <c r="BH966" s="38" t="str">
        <f aca="false">IF(BE966="","",IF(BE966&lt;2,"",IF(BE966=2,IF(AND(T966="",U966=""),"",MIN(T966,U966)),IF(U966="","",U966))))</f>
        <v/>
      </c>
      <c r="BI966" s="37" t="str">
        <f aca="false">IF(BH966="","",IF(OR(O966="",BH966=""),"",IF(BH966&lt;O966,"",ROUND(((NETWORKDAYS(O966,BH966,JoursFeries)-1)*(HFer-HOuv)+IF(NETWORKDAYS(BH966,BH966,JoursFeries),MEDIAN(MOD(BH966,1),HFer,HOuv),HFer)-IF(NETWORKDAYS(O966,O966,JoursFeries),MEDIAN(MOD(O966,1),HFer,HOuv),HOuv))*24,4))))</f>
        <v/>
      </c>
      <c r="BJ966" s="35" t="str">
        <f aca="false">IF(OR(BI966="",AR966=""),"",IF(BI966&lt;=INDEX(DELAI_ESC,AR966),1,0))</f>
        <v/>
      </c>
      <c r="BK966" s="38" t="str">
        <f aca="false">IF(AO966&lt;&gt;1,"",IF(AND(T966="",U966=""),"",MIN(T966,U966)))</f>
        <v/>
      </c>
      <c r="BL966" s="37" t="str">
        <f aca="false">IF(OR(BK966="",R966=""),"",IFERROR(ROUND(IF(OR(BK966="",R966=""),"",IF(R966&lt;BK966,"",ROUND(((NETWORKDAYS(BK966,R966,JoursFeries)-1)*(HFer-HOuv)+IF(NETWORKDAYS(R966,R966,JoursFeries),MEDIAN(MOD(R966,1),HFer,HOuv),HFer)-IF(NETWORKDAYS(BK966,BK966,JoursFeries),MEDIAN(MOD(BK966,1),HFer,HOuv),HOuv))*24,4)))/HJour,4),""))</f>
        <v/>
      </c>
      <c r="BM966" s="35" t="str">
        <f aca="false">IF(OR(AO966&lt;&gt;1,R966=""),"",IF(BD966=1,1,0))</f>
        <v/>
      </c>
      <c r="BN966" s="35" t="str">
        <f aca="false">IF(AO966&lt;&gt;1,"",IF(W966="Oui",1,0))</f>
        <v/>
      </c>
      <c r="BO966" s="35" t="str">
        <f aca="false">IF(AO966&lt;&gt;1,"",IF(X966&lt;&gt;"",1,0))</f>
        <v/>
      </c>
      <c r="BP966" s="35" t="str">
        <f aca="false">IF(AO966&lt;&gt;1,"",IF(Y966="Oui",1,0))</f>
        <v/>
      </c>
      <c r="BQ966" s="35" t="str">
        <f aca="true">IF(OR(AO966&lt;&gt;1,Z966&lt;&gt;"Oui"),"",IF(AB966="",IF(AND(AA966&lt;&gt;"",NOW()&gt;AA966),0,""),IF(AA966="","",IF(AB966&lt;=AA966,1,0))))</f>
        <v/>
      </c>
      <c r="BR966" s="38" t="str">
        <f aca="false">IF(OR(AO966&lt;&gt;1,K966&lt;&gt;"Oui",O966=""),"",IF(AC966="",O966+DORA_H_DET/24,IF(AC966-O966&lt;=DORA_H_DET/24,MIN(AC966+DORA_H_CLA/24,O966+DORA_H_DET/24),AC966+DORA_H_CLA/24)))</f>
        <v/>
      </c>
      <c r="BS966" s="35" t="str">
        <f aca="true">IF(BR966="","",IF(AD966="",IF(NOW()&gt;BR966,0,""),IF(AD966&lt;=BR966,1,0)))</f>
        <v/>
      </c>
      <c r="BT966" s="35" t="str">
        <f aca="true">IF(OR(BR966="",AD966=""),"",IF(AE966="",IF(NOW()&gt;AD966+DORA_H_INT/24,0,""),IF(AE966&lt;=AD966+DORA_H_INT/24,1,0)))</f>
        <v/>
      </c>
      <c r="BU966" s="35" t="str">
        <f aca="true">IF(OR(BR966="",AE966=""),"",IF(AF966="",IF(NOW()&gt;EDATE(AE966,DORA_M_FIN)+1,0,""),IF(AF966&lt;=EDATE(AE966,DORA_M_FIN),1,0)))</f>
        <v/>
      </c>
      <c r="BV966" s="35" t="str">
        <f aca="false">IF(BR966="","",IF(COUNT(BS966:BU966)=0,"",MIN(BS966:BU966)))</f>
        <v/>
      </c>
      <c r="BW966" s="40" t="str">
        <f aca="false">IF(AQ966&lt;&gt;1,"",IF(AND(AG966="",AH966=""),"",N(AG966)-N(AH966)))</f>
        <v/>
      </c>
      <c r="BX966" s="35" t="str">
        <f aca="true">IF(OR(AQ966&lt;&gt;1,AI966&lt;&gt;"Oui",AJ966=""),"",IF(AK966="",IF(NOW()&gt;AJ966+1,0,""),IF(AK966&lt;=AJ966,1,0)))</f>
        <v/>
      </c>
    </row>
    <row r="967" customFormat="false" ht="15" hidden="false" customHeight="false" outlineLevel="0" collapsed="false">
      <c r="B967" s="29"/>
      <c r="C967" s="29"/>
      <c r="D967" s="29"/>
      <c r="E967" s="29"/>
      <c r="F967" s="29"/>
      <c r="G967" s="29"/>
      <c r="H967" s="29"/>
      <c r="I967" s="29"/>
      <c r="J967" s="29"/>
      <c r="K967" s="29"/>
      <c r="L967" s="29"/>
      <c r="M967" s="29"/>
      <c r="N967" s="30"/>
      <c r="O967" s="30"/>
      <c r="P967" s="30"/>
      <c r="Q967" s="30"/>
      <c r="R967" s="30"/>
      <c r="S967" s="30"/>
      <c r="T967" s="30"/>
      <c r="U967" s="30"/>
      <c r="V967" s="31"/>
      <c r="W967" s="29"/>
      <c r="X967" s="29"/>
      <c r="Y967" s="29"/>
      <c r="Z967" s="29"/>
      <c r="AA967" s="30"/>
      <c r="AB967" s="30"/>
      <c r="AC967" s="30"/>
      <c r="AD967" s="30"/>
      <c r="AE967" s="30"/>
      <c r="AF967" s="32"/>
      <c r="AG967" s="33"/>
      <c r="AH967" s="33"/>
      <c r="AI967" s="29"/>
      <c r="AJ967" s="32"/>
      <c r="AK967" s="32"/>
      <c r="AL967" s="29"/>
      <c r="AN967" s="34" t="str">
        <f aca="false">IF($B967="","",IF(OR(C967="",D967="",E967="",G967="",I967="",J967="",L967="",O967="",P967=""),"Champ obligatoire manquant",IF(OR(AND(N967&lt;&gt;"",N967&gt;O967),O967&gt;P967,AND(Q967&lt;&gt;"",Q967&lt;P967),AND(R967&lt;&gt;"",R967&lt;P967),AND(S967&lt;&gt;"",S967&lt;R967),AND(S967&lt;&gt;"",R967=""),AND(T967&lt;&gt;"",T967&lt;O967),AND(U967&lt;&gt;"",U967&lt;O967)),"Chronologie incohérente",IF(AND(OR(L967="Résolu",L967="Clos"),R967=""),"Date de résolution manquante",IF(AND(L967="Clos",S967=""),"Date de clôture manquante",IF(AND(K967="Oui",AC967=""),"Classification DORA manquante","OK"))))))</f>
        <v/>
      </c>
      <c r="AO967" s="35" t="str">
        <f aca="false">IF($B967="","",IF(AND(C967="Incident",L967&lt;&gt;"Annulé"),1,0))</f>
        <v/>
      </c>
      <c r="AP967" s="35" t="str">
        <f aca="false">IF($B967="","",IF(AND(C967="Quasi-incident",L967&lt;&gt;"Annulé"),1,0))</f>
        <v/>
      </c>
      <c r="AQ967" s="35" t="str">
        <f aca="false">IF($B967="","",AO967+AP967)</f>
        <v/>
      </c>
      <c r="AR967" s="36" t="str">
        <f aca="false">IF(OR($B967="",J967=""),"",IFERROR(VALUE(LEFT(J967,1)),""))</f>
        <v/>
      </c>
      <c r="AS967" s="35" t="str">
        <f aca="false">IF(OR(AO967&lt;&gt;1,G967=""),"",IFERROR(IF(INDEX(L_SrcInterne,MATCH(G967,L_Sources,0))="Oui",1,0),""))</f>
        <v/>
      </c>
      <c r="AT967" s="37" t="str">
        <f aca="false">IF(AO967&lt;&gt;1,"",IFERROR(ROUND(IF(OR(N967="",O967=""),"",IF(O967&lt;N967,"",ROUND(((NETWORKDAYS(N967,O967,JoursFeries)-1)*(HFer-HOuv)+IF(NETWORKDAYS(O967,O967,JoursFeries),MEDIAN(MOD(O967,1),HFer,HOuv),HFer)-IF(NETWORKDAYS(N967,N967,JoursFeries),MEDIAN(MOD(N967,1),HFer,HOuv),HOuv))*24,4)))/HJour,4),""))</f>
        <v/>
      </c>
      <c r="AU967" s="37" t="str">
        <f aca="false">IF(AO967&lt;&gt;1,"",IF(OR(O967="",P967=""),"",IF(P967&lt;O967,"",ROUND(((NETWORKDAYS(O967,P967,JoursFeries)-1)*(HFer-HOuv)+IF(NETWORKDAYS(P967,P967,JoursFeries),MEDIAN(MOD(P967,1),HFer,HOuv),HFer)-IF(NETWORKDAYS(O967,O967,JoursFeries),MEDIAN(MOD(O967,1),HFer,HOuv),HOuv))*24,4))))</f>
        <v/>
      </c>
      <c r="AV967" s="37" t="str">
        <f aca="false">IF(AO967&lt;&gt;1,"",IF(OR(P967="",Q967=""),"",IF(Q967&lt;P967,"",ROUND(((NETWORKDAYS(P967,Q967,JoursFeries)-1)*(HFer-HOuv)+IF(NETWORKDAYS(Q967,Q967,JoursFeries),MEDIAN(MOD(Q967,1),HFer,HOuv),HFer)-IF(NETWORKDAYS(P967,P967,JoursFeries),MEDIAN(MOD(P967,1),HFer,HOuv),HOuv))*24,4))))</f>
        <v/>
      </c>
      <c r="AW967" s="37" t="str">
        <f aca="false">IF(AO967&lt;&gt;1,"",IFERROR(ROUND(IF(OR(P967="",R967=""),"",IF(R967&lt;P967,"",ROUND(((NETWORKDAYS(P967,R967,JoursFeries)-1)*(HFer-HOuv)+IF(NETWORKDAYS(R967,R967,JoursFeries),MEDIAN(MOD(R967,1),HFer,HOuv),HFer)-IF(NETWORKDAYS(P967,P967,JoursFeries),MEDIAN(MOD(P967,1),HFer,HOuv),HOuv))*24,4)))/HJour,4),""))</f>
        <v/>
      </c>
      <c r="AX967" s="37" t="str">
        <f aca="false">IF(AO967&lt;&gt;1,"",IFERROR(ROUND(IF(OR(P967="",S967=""),"",IF(S967&lt;P967,"",ROUND(((NETWORKDAYS(P967,S967,JoursFeries)-1)*(HFer-HOuv)+IF(NETWORKDAYS(S967,S967,JoursFeries),MEDIAN(MOD(S967,1),HFer,HOuv),HFer)-IF(NETWORKDAYS(P967,P967,JoursFeries),MEDIAN(MOD(P967,1),HFer,HOuv),HOuv))*24,4)))/HJour,4),""))</f>
        <v/>
      </c>
      <c r="AY967" s="36" t="str">
        <f aca="false">IF(OR(AO967&lt;&gt;1,AR967=""),"",INDEX(SLA_PEC,AR967))</f>
        <v/>
      </c>
      <c r="AZ967" s="35" t="str">
        <f aca="false">IF(OR(AV967="",AY967=""),"",IF(AV967&lt;=AY967,1,0))</f>
        <v/>
      </c>
      <c r="BA967" s="36" t="str">
        <f aca="false">IF(OR(AO967&lt;&gt;1,AR967=""),"",INDEX(SLA_RES,AR967))</f>
        <v/>
      </c>
      <c r="BB967" s="35" t="str">
        <f aca="false">IF(OR(AW967="",BA967=""),"",IF(AW967&lt;=BA967,1,0))</f>
        <v/>
      </c>
      <c r="BC967" s="38" t="str">
        <f aca="false">IF(OR(BA967="",P967=""),"",WORKDAY(INT(P967),BA967,JoursFeries)+MOD(P967,1))</f>
        <v/>
      </c>
      <c r="BD967" s="39" t="str">
        <f aca="false">IF(AO967&lt;&gt;1,"",IF(OR(AB967&lt;&gt;"",AD967&lt;&gt;""),4,IF(U967&lt;&gt;"",3,IF(T967&lt;&gt;"",2,1))))</f>
        <v/>
      </c>
      <c r="BE967" s="39" t="str">
        <f aca="false">IF(OR(AO967&lt;&gt;1,AR967=""),"",INDEX(NIV_REQ,AR967))</f>
        <v/>
      </c>
      <c r="BF967" s="39" t="str">
        <f aca="false">IF(BE967="","",MAX(BE967,IF(OR(K967="Oui",Z967="Oui"),4,1)))</f>
        <v/>
      </c>
      <c r="BG967" s="35" t="str">
        <f aca="false">IF(OR(BF967="",BD967=""),"",IF(BD967&gt;=BF967,1,0))</f>
        <v/>
      </c>
      <c r="BH967" s="38" t="str">
        <f aca="false">IF(BE967="","",IF(BE967&lt;2,"",IF(BE967=2,IF(AND(T967="",U967=""),"",MIN(T967,U967)),IF(U967="","",U967))))</f>
        <v/>
      </c>
      <c r="BI967" s="37" t="str">
        <f aca="false">IF(BH967="","",IF(OR(O967="",BH967=""),"",IF(BH967&lt;O967,"",ROUND(((NETWORKDAYS(O967,BH967,JoursFeries)-1)*(HFer-HOuv)+IF(NETWORKDAYS(BH967,BH967,JoursFeries),MEDIAN(MOD(BH967,1),HFer,HOuv),HFer)-IF(NETWORKDAYS(O967,O967,JoursFeries),MEDIAN(MOD(O967,1),HFer,HOuv),HOuv))*24,4))))</f>
        <v/>
      </c>
      <c r="BJ967" s="35" t="str">
        <f aca="false">IF(OR(BI967="",AR967=""),"",IF(BI967&lt;=INDEX(DELAI_ESC,AR967),1,0))</f>
        <v/>
      </c>
      <c r="BK967" s="38" t="str">
        <f aca="false">IF(AO967&lt;&gt;1,"",IF(AND(T967="",U967=""),"",MIN(T967,U967)))</f>
        <v/>
      </c>
      <c r="BL967" s="37" t="str">
        <f aca="false">IF(OR(BK967="",R967=""),"",IFERROR(ROUND(IF(OR(BK967="",R967=""),"",IF(R967&lt;BK967,"",ROUND(((NETWORKDAYS(BK967,R967,JoursFeries)-1)*(HFer-HOuv)+IF(NETWORKDAYS(R967,R967,JoursFeries),MEDIAN(MOD(R967,1),HFer,HOuv),HFer)-IF(NETWORKDAYS(BK967,BK967,JoursFeries),MEDIAN(MOD(BK967,1),HFer,HOuv),HOuv))*24,4)))/HJour,4),""))</f>
        <v/>
      </c>
      <c r="BM967" s="35" t="str">
        <f aca="false">IF(OR(AO967&lt;&gt;1,R967=""),"",IF(BD967=1,1,0))</f>
        <v/>
      </c>
      <c r="BN967" s="35" t="str">
        <f aca="false">IF(AO967&lt;&gt;1,"",IF(W967="Oui",1,0))</f>
        <v/>
      </c>
      <c r="BO967" s="35" t="str">
        <f aca="false">IF(AO967&lt;&gt;1,"",IF(X967&lt;&gt;"",1,0))</f>
        <v/>
      </c>
      <c r="BP967" s="35" t="str">
        <f aca="false">IF(AO967&lt;&gt;1,"",IF(Y967="Oui",1,0))</f>
        <v/>
      </c>
      <c r="BQ967" s="35" t="str">
        <f aca="true">IF(OR(AO967&lt;&gt;1,Z967&lt;&gt;"Oui"),"",IF(AB967="",IF(AND(AA967&lt;&gt;"",NOW()&gt;AA967),0,""),IF(AA967="","",IF(AB967&lt;=AA967,1,0))))</f>
        <v/>
      </c>
      <c r="BR967" s="38" t="str">
        <f aca="false">IF(OR(AO967&lt;&gt;1,K967&lt;&gt;"Oui",O967=""),"",IF(AC967="",O967+DORA_H_DET/24,IF(AC967-O967&lt;=DORA_H_DET/24,MIN(AC967+DORA_H_CLA/24,O967+DORA_H_DET/24),AC967+DORA_H_CLA/24)))</f>
        <v/>
      </c>
      <c r="BS967" s="35" t="str">
        <f aca="true">IF(BR967="","",IF(AD967="",IF(NOW()&gt;BR967,0,""),IF(AD967&lt;=BR967,1,0)))</f>
        <v/>
      </c>
      <c r="BT967" s="35" t="str">
        <f aca="true">IF(OR(BR967="",AD967=""),"",IF(AE967="",IF(NOW()&gt;AD967+DORA_H_INT/24,0,""),IF(AE967&lt;=AD967+DORA_H_INT/24,1,0)))</f>
        <v/>
      </c>
      <c r="BU967" s="35" t="str">
        <f aca="true">IF(OR(BR967="",AE967=""),"",IF(AF967="",IF(NOW()&gt;EDATE(AE967,DORA_M_FIN)+1,0,""),IF(AF967&lt;=EDATE(AE967,DORA_M_FIN),1,0)))</f>
        <v/>
      </c>
      <c r="BV967" s="35" t="str">
        <f aca="false">IF(BR967="","",IF(COUNT(BS967:BU967)=0,"",MIN(BS967:BU967)))</f>
        <v/>
      </c>
      <c r="BW967" s="40" t="str">
        <f aca="false">IF(AQ967&lt;&gt;1,"",IF(AND(AG967="",AH967=""),"",N(AG967)-N(AH967)))</f>
        <v/>
      </c>
      <c r="BX967" s="35" t="str">
        <f aca="true">IF(OR(AQ967&lt;&gt;1,AI967&lt;&gt;"Oui",AJ967=""),"",IF(AK967="",IF(NOW()&gt;AJ967+1,0,""),IF(AK967&lt;=AJ967,1,0)))</f>
        <v/>
      </c>
    </row>
    <row r="968" customFormat="false" ht="15" hidden="false" customHeight="false" outlineLevel="0" collapsed="false">
      <c r="B968" s="29"/>
      <c r="C968" s="29"/>
      <c r="D968" s="29"/>
      <c r="E968" s="29"/>
      <c r="F968" s="29"/>
      <c r="G968" s="29"/>
      <c r="H968" s="29"/>
      <c r="I968" s="29"/>
      <c r="J968" s="29"/>
      <c r="K968" s="29"/>
      <c r="L968" s="29"/>
      <c r="M968" s="29"/>
      <c r="N968" s="30"/>
      <c r="O968" s="30"/>
      <c r="P968" s="30"/>
      <c r="Q968" s="30"/>
      <c r="R968" s="30"/>
      <c r="S968" s="30"/>
      <c r="T968" s="30"/>
      <c r="U968" s="30"/>
      <c r="V968" s="31"/>
      <c r="W968" s="29"/>
      <c r="X968" s="29"/>
      <c r="Y968" s="29"/>
      <c r="Z968" s="29"/>
      <c r="AA968" s="30"/>
      <c r="AB968" s="30"/>
      <c r="AC968" s="30"/>
      <c r="AD968" s="30"/>
      <c r="AE968" s="30"/>
      <c r="AF968" s="32"/>
      <c r="AG968" s="33"/>
      <c r="AH968" s="33"/>
      <c r="AI968" s="29"/>
      <c r="AJ968" s="32"/>
      <c r="AK968" s="32"/>
      <c r="AL968" s="29"/>
      <c r="AN968" s="34" t="str">
        <f aca="false">IF($B968="","",IF(OR(C968="",D968="",E968="",G968="",I968="",J968="",L968="",O968="",P968=""),"Champ obligatoire manquant",IF(OR(AND(N968&lt;&gt;"",N968&gt;O968),O968&gt;P968,AND(Q968&lt;&gt;"",Q968&lt;P968),AND(R968&lt;&gt;"",R968&lt;P968),AND(S968&lt;&gt;"",S968&lt;R968),AND(S968&lt;&gt;"",R968=""),AND(T968&lt;&gt;"",T968&lt;O968),AND(U968&lt;&gt;"",U968&lt;O968)),"Chronologie incohérente",IF(AND(OR(L968="Résolu",L968="Clos"),R968=""),"Date de résolution manquante",IF(AND(L968="Clos",S968=""),"Date de clôture manquante",IF(AND(K968="Oui",AC968=""),"Classification DORA manquante","OK"))))))</f>
        <v/>
      </c>
      <c r="AO968" s="35" t="str">
        <f aca="false">IF($B968="","",IF(AND(C968="Incident",L968&lt;&gt;"Annulé"),1,0))</f>
        <v/>
      </c>
      <c r="AP968" s="35" t="str">
        <f aca="false">IF($B968="","",IF(AND(C968="Quasi-incident",L968&lt;&gt;"Annulé"),1,0))</f>
        <v/>
      </c>
      <c r="AQ968" s="35" t="str">
        <f aca="false">IF($B968="","",AO968+AP968)</f>
        <v/>
      </c>
      <c r="AR968" s="36" t="str">
        <f aca="false">IF(OR($B968="",J968=""),"",IFERROR(VALUE(LEFT(J968,1)),""))</f>
        <v/>
      </c>
      <c r="AS968" s="35" t="str">
        <f aca="false">IF(OR(AO968&lt;&gt;1,G968=""),"",IFERROR(IF(INDEX(L_SrcInterne,MATCH(G968,L_Sources,0))="Oui",1,0),""))</f>
        <v/>
      </c>
      <c r="AT968" s="37" t="str">
        <f aca="false">IF(AO968&lt;&gt;1,"",IFERROR(ROUND(IF(OR(N968="",O968=""),"",IF(O968&lt;N968,"",ROUND(((NETWORKDAYS(N968,O968,JoursFeries)-1)*(HFer-HOuv)+IF(NETWORKDAYS(O968,O968,JoursFeries),MEDIAN(MOD(O968,1),HFer,HOuv),HFer)-IF(NETWORKDAYS(N968,N968,JoursFeries),MEDIAN(MOD(N968,1),HFer,HOuv),HOuv))*24,4)))/HJour,4),""))</f>
        <v/>
      </c>
      <c r="AU968" s="37" t="str">
        <f aca="false">IF(AO968&lt;&gt;1,"",IF(OR(O968="",P968=""),"",IF(P968&lt;O968,"",ROUND(((NETWORKDAYS(O968,P968,JoursFeries)-1)*(HFer-HOuv)+IF(NETWORKDAYS(P968,P968,JoursFeries),MEDIAN(MOD(P968,1),HFer,HOuv),HFer)-IF(NETWORKDAYS(O968,O968,JoursFeries),MEDIAN(MOD(O968,1),HFer,HOuv),HOuv))*24,4))))</f>
        <v/>
      </c>
      <c r="AV968" s="37" t="str">
        <f aca="false">IF(AO968&lt;&gt;1,"",IF(OR(P968="",Q968=""),"",IF(Q968&lt;P968,"",ROUND(((NETWORKDAYS(P968,Q968,JoursFeries)-1)*(HFer-HOuv)+IF(NETWORKDAYS(Q968,Q968,JoursFeries),MEDIAN(MOD(Q968,1),HFer,HOuv),HFer)-IF(NETWORKDAYS(P968,P968,JoursFeries),MEDIAN(MOD(P968,1),HFer,HOuv),HOuv))*24,4))))</f>
        <v/>
      </c>
      <c r="AW968" s="37" t="str">
        <f aca="false">IF(AO968&lt;&gt;1,"",IFERROR(ROUND(IF(OR(P968="",R968=""),"",IF(R968&lt;P968,"",ROUND(((NETWORKDAYS(P968,R968,JoursFeries)-1)*(HFer-HOuv)+IF(NETWORKDAYS(R968,R968,JoursFeries),MEDIAN(MOD(R968,1),HFer,HOuv),HFer)-IF(NETWORKDAYS(P968,P968,JoursFeries),MEDIAN(MOD(P968,1),HFer,HOuv),HOuv))*24,4)))/HJour,4),""))</f>
        <v/>
      </c>
      <c r="AX968" s="37" t="str">
        <f aca="false">IF(AO968&lt;&gt;1,"",IFERROR(ROUND(IF(OR(P968="",S968=""),"",IF(S968&lt;P968,"",ROUND(((NETWORKDAYS(P968,S968,JoursFeries)-1)*(HFer-HOuv)+IF(NETWORKDAYS(S968,S968,JoursFeries),MEDIAN(MOD(S968,1),HFer,HOuv),HFer)-IF(NETWORKDAYS(P968,P968,JoursFeries),MEDIAN(MOD(P968,1),HFer,HOuv),HOuv))*24,4)))/HJour,4),""))</f>
        <v/>
      </c>
      <c r="AY968" s="36" t="str">
        <f aca="false">IF(OR(AO968&lt;&gt;1,AR968=""),"",INDEX(SLA_PEC,AR968))</f>
        <v/>
      </c>
      <c r="AZ968" s="35" t="str">
        <f aca="false">IF(OR(AV968="",AY968=""),"",IF(AV968&lt;=AY968,1,0))</f>
        <v/>
      </c>
      <c r="BA968" s="36" t="str">
        <f aca="false">IF(OR(AO968&lt;&gt;1,AR968=""),"",INDEX(SLA_RES,AR968))</f>
        <v/>
      </c>
      <c r="BB968" s="35" t="str">
        <f aca="false">IF(OR(AW968="",BA968=""),"",IF(AW968&lt;=BA968,1,0))</f>
        <v/>
      </c>
      <c r="BC968" s="38" t="str">
        <f aca="false">IF(OR(BA968="",P968=""),"",WORKDAY(INT(P968),BA968,JoursFeries)+MOD(P968,1))</f>
        <v/>
      </c>
      <c r="BD968" s="39" t="str">
        <f aca="false">IF(AO968&lt;&gt;1,"",IF(OR(AB968&lt;&gt;"",AD968&lt;&gt;""),4,IF(U968&lt;&gt;"",3,IF(T968&lt;&gt;"",2,1))))</f>
        <v/>
      </c>
      <c r="BE968" s="39" t="str">
        <f aca="false">IF(OR(AO968&lt;&gt;1,AR968=""),"",INDEX(NIV_REQ,AR968))</f>
        <v/>
      </c>
      <c r="BF968" s="39" t="str">
        <f aca="false">IF(BE968="","",MAX(BE968,IF(OR(K968="Oui",Z968="Oui"),4,1)))</f>
        <v/>
      </c>
      <c r="BG968" s="35" t="str">
        <f aca="false">IF(OR(BF968="",BD968=""),"",IF(BD968&gt;=BF968,1,0))</f>
        <v/>
      </c>
      <c r="BH968" s="38" t="str">
        <f aca="false">IF(BE968="","",IF(BE968&lt;2,"",IF(BE968=2,IF(AND(T968="",U968=""),"",MIN(T968,U968)),IF(U968="","",U968))))</f>
        <v/>
      </c>
      <c r="BI968" s="37" t="str">
        <f aca="false">IF(BH968="","",IF(OR(O968="",BH968=""),"",IF(BH968&lt;O968,"",ROUND(((NETWORKDAYS(O968,BH968,JoursFeries)-1)*(HFer-HOuv)+IF(NETWORKDAYS(BH968,BH968,JoursFeries),MEDIAN(MOD(BH968,1),HFer,HOuv),HFer)-IF(NETWORKDAYS(O968,O968,JoursFeries),MEDIAN(MOD(O968,1),HFer,HOuv),HOuv))*24,4))))</f>
        <v/>
      </c>
      <c r="BJ968" s="35" t="str">
        <f aca="false">IF(OR(BI968="",AR968=""),"",IF(BI968&lt;=INDEX(DELAI_ESC,AR968),1,0))</f>
        <v/>
      </c>
      <c r="BK968" s="38" t="str">
        <f aca="false">IF(AO968&lt;&gt;1,"",IF(AND(T968="",U968=""),"",MIN(T968,U968)))</f>
        <v/>
      </c>
      <c r="BL968" s="37" t="str">
        <f aca="false">IF(OR(BK968="",R968=""),"",IFERROR(ROUND(IF(OR(BK968="",R968=""),"",IF(R968&lt;BK968,"",ROUND(((NETWORKDAYS(BK968,R968,JoursFeries)-1)*(HFer-HOuv)+IF(NETWORKDAYS(R968,R968,JoursFeries),MEDIAN(MOD(R968,1),HFer,HOuv),HFer)-IF(NETWORKDAYS(BK968,BK968,JoursFeries),MEDIAN(MOD(BK968,1),HFer,HOuv),HOuv))*24,4)))/HJour,4),""))</f>
        <v/>
      </c>
      <c r="BM968" s="35" t="str">
        <f aca="false">IF(OR(AO968&lt;&gt;1,R968=""),"",IF(BD968=1,1,0))</f>
        <v/>
      </c>
      <c r="BN968" s="35" t="str">
        <f aca="false">IF(AO968&lt;&gt;1,"",IF(W968="Oui",1,0))</f>
        <v/>
      </c>
      <c r="BO968" s="35" t="str">
        <f aca="false">IF(AO968&lt;&gt;1,"",IF(X968&lt;&gt;"",1,0))</f>
        <v/>
      </c>
      <c r="BP968" s="35" t="str">
        <f aca="false">IF(AO968&lt;&gt;1,"",IF(Y968="Oui",1,0))</f>
        <v/>
      </c>
      <c r="BQ968" s="35" t="str">
        <f aca="true">IF(OR(AO968&lt;&gt;1,Z968&lt;&gt;"Oui"),"",IF(AB968="",IF(AND(AA968&lt;&gt;"",NOW()&gt;AA968),0,""),IF(AA968="","",IF(AB968&lt;=AA968,1,0))))</f>
        <v/>
      </c>
      <c r="BR968" s="38" t="str">
        <f aca="false">IF(OR(AO968&lt;&gt;1,K968&lt;&gt;"Oui",O968=""),"",IF(AC968="",O968+DORA_H_DET/24,IF(AC968-O968&lt;=DORA_H_DET/24,MIN(AC968+DORA_H_CLA/24,O968+DORA_H_DET/24),AC968+DORA_H_CLA/24)))</f>
        <v/>
      </c>
      <c r="BS968" s="35" t="str">
        <f aca="true">IF(BR968="","",IF(AD968="",IF(NOW()&gt;BR968,0,""),IF(AD968&lt;=BR968,1,0)))</f>
        <v/>
      </c>
      <c r="BT968" s="35" t="str">
        <f aca="true">IF(OR(BR968="",AD968=""),"",IF(AE968="",IF(NOW()&gt;AD968+DORA_H_INT/24,0,""),IF(AE968&lt;=AD968+DORA_H_INT/24,1,0)))</f>
        <v/>
      </c>
      <c r="BU968" s="35" t="str">
        <f aca="true">IF(OR(BR968="",AE968=""),"",IF(AF968="",IF(NOW()&gt;EDATE(AE968,DORA_M_FIN)+1,0,""),IF(AF968&lt;=EDATE(AE968,DORA_M_FIN),1,0)))</f>
        <v/>
      </c>
      <c r="BV968" s="35" t="str">
        <f aca="false">IF(BR968="","",IF(COUNT(BS968:BU968)=0,"",MIN(BS968:BU968)))</f>
        <v/>
      </c>
      <c r="BW968" s="40" t="str">
        <f aca="false">IF(AQ968&lt;&gt;1,"",IF(AND(AG968="",AH968=""),"",N(AG968)-N(AH968)))</f>
        <v/>
      </c>
      <c r="BX968" s="35" t="str">
        <f aca="true">IF(OR(AQ968&lt;&gt;1,AI968&lt;&gt;"Oui",AJ968=""),"",IF(AK968="",IF(NOW()&gt;AJ968+1,0,""),IF(AK968&lt;=AJ968,1,0)))</f>
        <v/>
      </c>
    </row>
    <row r="969" customFormat="false" ht="15" hidden="false" customHeight="false" outlineLevel="0" collapsed="false">
      <c r="B969" s="29"/>
      <c r="C969" s="29"/>
      <c r="D969" s="29"/>
      <c r="E969" s="29"/>
      <c r="F969" s="29"/>
      <c r="G969" s="29"/>
      <c r="H969" s="29"/>
      <c r="I969" s="29"/>
      <c r="J969" s="29"/>
      <c r="K969" s="29"/>
      <c r="L969" s="29"/>
      <c r="M969" s="29"/>
      <c r="N969" s="30"/>
      <c r="O969" s="30"/>
      <c r="P969" s="30"/>
      <c r="Q969" s="30"/>
      <c r="R969" s="30"/>
      <c r="S969" s="30"/>
      <c r="T969" s="30"/>
      <c r="U969" s="30"/>
      <c r="V969" s="31"/>
      <c r="W969" s="29"/>
      <c r="X969" s="29"/>
      <c r="Y969" s="29"/>
      <c r="Z969" s="29"/>
      <c r="AA969" s="30"/>
      <c r="AB969" s="30"/>
      <c r="AC969" s="30"/>
      <c r="AD969" s="30"/>
      <c r="AE969" s="30"/>
      <c r="AF969" s="32"/>
      <c r="AG969" s="33"/>
      <c r="AH969" s="33"/>
      <c r="AI969" s="29"/>
      <c r="AJ969" s="32"/>
      <c r="AK969" s="32"/>
      <c r="AL969" s="29"/>
      <c r="AN969" s="34" t="str">
        <f aca="false">IF($B969="","",IF(OR(C969="",D969="",E969="",G969="",I969="",J969="",L969="",O969="",P969=""),"Champ obligatoire manquant",IF(OR(AND(N969&lt;&gt;"",N969&gt;O969),O969&gt;P969,AND(Q969&lt;&gt;"",Q969&lt;P969),AND(R969&lt;&gt;"",R969&lt;P969),AND(S969&lt;&gt;"",S969&lt;R969),AND(S969&lt;&gt;"",R969=""),AND(T969&lt;&gt;"",T969&lt;O969),AND(U969&lt;&gt;"",U969&lt;O969)),"Chronologie incohérente",IF(AND(OR(L969="Résolu",L969="Clos"),R969=""),"Date de résolution manquante",IF(AND(L969="Clos",S969=""),"Date de clôture manquante",IF(AND(K969="Oui",AC969=""),"Classification DORA manquante","OK"))))))</f>
        <v/>
      </c>
      <c r="AO969" s="35" t="str">
        <f aca="false">IF($B969="","",IF(AND(C969="Incident",L969&lt;&gt;"Annulé"),1,0))</f>
        <v/>
      </c>
      <c r="AP969" s="35" t="str">
        <f aca="false">IF($B969="","",IF(AND(C969="Quasi-incident",L969&lt;&gt;"Annulé"),1,0))</f>
        <v/>
      </c>
      <c r="AQ969" s="35" t="str">
        <f aca="false">IF($B969="","",AO969+AP969)</f>
        <v/>
      </c>
      <c r="AR969" s="36" t="str">
        <f aca="false">IF(OR($B969="",J969=""),"",IFERROR(VALUE(LEFT(J969,1)),""))</f>
        <v/>
      </c>
      <c r="AS969" s="35" t="str">
        <f aca="false">IF(OR(AO969&lt;&gt;1,G969=""),"",IFERROR(IF(INDEX(L_SrcInterne,MATCH(G969,L_Sources,0))="Oui",1,0),""))</f>
        <v/>
      </c>
      <c r="AT969" s="37" t="str">
        <f aca="false">IF(AO969&lt;&gt;1,"",IFERROR(ROUND(IF(OR(N969="",O969=""),"",IF(O969&lt;N969,"",ROUND(((NETWORKDAYS(N969,O969,JoursFeries)-1)*(HFer-HOuv)+IF(NETWORKDAYS(O969,O969,JoursFeries),MEDIAN(MOD(O969,1),HFer,HOuv),HFer)-IF(NETWORKDAYS(N969,N969,JoursFeries),MEDIAN(MOD(N969,1),HFer,HOuv),HOuv))*24,4)))/HJour,4),""))</f>
        <v/>
      </c>
      <c r="AU969" s="37" t="str">
        <f aca="false">IF(AO969&lt;&gt;1,"",IF(OR(O969="",P969=""),"",IF(P969&lt;O969,"",ROUND(((NETWORKDAYS(O969,P969,JoursFeries)-1)*(HFer-HOuv)+IF(NETWORKDAYS(P969,P969,JoursFeries),MEDIAN(MOD(P969,1),HFer,HOuv),HFer)-IF(NETWORKDAYS(O969,O969,JoursFeries),MEDIAN(MOD(O969,1),HFer,HOuv),HOuv))*24,4))))</f>
        <v/>
      </c>
      <c r="AV969" s="37" t="str">
        <f aca="false">IF(AO969&lt;&gt;1,"",IF(OR(P969="",Q969=""),"",IF(Q969&lt;P969,"",ROUND(((NETWORKDAYS(P969,Q969,JoursFeries)-1)*(HFer-HOuv)+IF(NETWORKDAYS(Q969,Q969,JoursFeries),MEDIAN(MOD(Q969,1),HFer,HOuv),HFer)-IF(NETWORKDAYS(P969,P969,JoursFeries),MEDIAN(MOD(P969,1),HFer,HOuv),HOuv))*24,4))))</f>
        <v/>
      </c>
      <c r="AW969" s="37" t="str">
        <f aca="false">IF(AO969&lt;&gt;1,"",IFERROR(ROUND(IF(OR(P969="",R969=""),"",IF(R969&lt;P969,"",ROUND(((NETWORKDAYS(P969,R969,JoursFeries)-1)*(HFer-HOuv)+IF(NETWORKDAYS(R969,R969,JoursFeries),MEDIAN(MOD(R969,1),HFer,HOuv),HFer)-IF(NETWORKDAYS(P969,P969,JoursFeries),MEDIAN(MOD(P969,1),HFer,HOuv),HOuv))*24,4)))/HJour,4),""))</f>
        <v/>
      </c>
      <c r="AX969" s="37" t="str">
        <f aca="false">IF(AO969&lt;&gt;1,"",IFERROR(ROUND(IF(OR(P969="",S969=""),"",IF(S969&lt;P969,"",ROUND(((NETWORKDAYS(P969,S969,JoursFeries)-1)*(HFer-HOuv)+IF(NETWORKDAYS(S969,S969,JoursFeries),MEDIAN(MOD(S969,1),HFer,HOuv),HFer)-IF(NETWORKDAYS(P969,P969,JoursFeries),MEDIAN(MOD(P969,1),HFer,HOuv),HOuv))*24,4)))/HJour,4),""))</f>
        <v/>
      </c>
      <c r="AY969" s="36" t="str">
        <f aca="false">IF(OR(AO969&lt;&gt;1,AR969=""),"",INDEX(SLA_PEC,AR969))</f>
        <v/>
      </c>
      <c r="AZ969" s="35" t="str">
        <f aca="false">IF(OR(AV969="",AY969=""),"",IF(AV969&lt;=AY969,1,0))</f>
        <v/>
      </c>
      <c r="BA969" s="36" t="str">
        <f aca="false">IF(OR(AO969&lt;&gt;1,AR969=""),"",INDEX(SLA_RES,AR969))</f>
        <v/>
      </c>
      <c r="BB969" s="35" t="str">
        <f aca="false">IF(OR(AW969="",BA969=""),"",IF(AW969&lt;=BA969,1,0))</f>
        <v/>
      </c>
      <c r="BC969" s="38" t="str">
        <f aca="false">IF(OR(BA969="",P969=""),"",WORKDAY(INT(P969),BA969,JoursFeries)+MOD(P969,1))</f>
        <v/>
      </c>
      <c r="BD969" s="39" t="str">
        <f aca="false">IF(AO969&lt;&gt;1,"",IF(OR(AB969&lt;&gt;"",AD969&lt;&gt;""),4,IF(U969&lt;&gt;"",3,IF(T969&lt;&gt;"",2,1))))</f>
        <v/>
      </c>
      <c r="BE969" s="39" t="str">
        <f aca="false">IF(OR(AO969&lt;&gt;1,AR969=""),"",INDEX(NIV_REQ,AR969))</f>
        <v/>
      </c>
      <c r="BF969" s="39" t="str">
        <f aca="false">IF(BE969="","",MAX(BE969,IF(OR(K969="Oui",Z969="Oui"),4,1)))</f>
        <v/>
      </c>
      <c r="BG969" s="35" t="str">
        <f aca="false">IF(OR(BF969="",BD969=""),"",IF(BD969&gt;=BF969,1,0))</f>
        <v/>
      </c>
      <c r="BH969" s="38" t="str">
        <f aca="false">IF(BE969="","",IF(BE969&lt;2,"",IF(BE969=2,IF(AND(T969="",U969=""),"",MIN(T969,U969)),IF(U969="","",U969))))</f>
        <v/>
      </c>
      <c r="BI969" s="37" t="str">
        <f aca="false">IF(BH969="","",IF(OR(O969="",BH969=""),"",IF(BH969&lt;O969,"",ROUND(((NETWORKDAYS(O969,BH969,JoursFeries)-1)*(HFer-HOuv)+IF(NETWORKDAYS(BH969,BH969,JoursFeries),MEDIAN(MOD(BH969,1),HFer,HOuv),HFer)-IF(NETWORKDAYS(O969,O969,JoursFeries),MEDIAN(MOD(O969,1),HFer,HOuv),HOuv))*24,4))))</f>
        <v/>
      </c>
      <c r="BJ969" s="35" t="str">
        <f aca="false">IF(OR(BI969="",AR969=""),"",IF(BI969&lt;=INDEX(DELAI_ESC,AR969),1,0))</f>
        <v/>
      </c>
      <c r="BK969" s="38" t="str">
        <f aca="false">IF(AO969&lt;&gt;1,"",IF(AND(T969="",U969=""),"",MIN(T969,U969)))</f>
        <v/>
      </c>
      <c r="BL969" s="37" t="str">
        <f aca="false">IF(OR(BK969="",R969=""),"",IFERROR(ROUND(IF(OR(BK969="",R969=""),"",IF(R969&lt;BK969,"",ROUND(((NETWORKDAYS(BK969,R969,JoursFeries)-1)*(HFer-HOuv)+IF(NETWORKDAYS(R969,R969,JoursFeries),MEDIAN(MOD(R969,1),HFer,HOuv),HFer)-IF(NETWORKDAYS(BK969,BK969,JoursFeries),MEDIAN(MOD(BK969,1),HFer,HOuv),HOuv))*24,4)))/HJour,4),""))</f>
        <v/>
      </c>
      <c r="BM969" s="35" t="str">
        <f aca="false">IF(OR(AO969&lt;&gt;1,R969=""),"",IF(BD969=1,1,0))</f>
        <v/>
      </c>
      <c r="BN969" s="35" t="str">
        <f aca="false">IF(AO969&lt;&gt;1,"",IF(W969="Oui",1,0))</f>
        <v/>
      </c>
      <c r="BO969" s="35" t="str">
        <f aca="false">IF(AO969&lt;&gt;1,"",IF(X969&lt;&gt;"",1,0))</f>
        <v/>
      </c>
      <c r="BP969" s="35" t="str">
        <f aca="false">IF(AO969&lt;&gt;1,"",IF(Y969="Oui",1,0))</f>
        <v/>
      </c>
      <c r="BQ969" s="35" t="str">
        <f aca="true">IF(OR(AO969&lt;&gt;1,Z969&lt;&gt;"Oui"),"",IF(AB969="",IF(AND(AA969&lt;&gt;"",NOW()&gt;AA969),0,""),IF(AA969="","",IF(AB969&lt;=AA969,1,0))))</f>
        <v/>
      </c>
      <c r="BR969" s="38" t="str">
        <f aca="false">IF(OR(AO969&lt;&gt;1,K969&lt;&gt;"Oui",O969=""),"",IF(AC969="",O969+DORA_H_DET/24,IF(AC969-O969&lt;=DORA_H_DET/24,MIN(AC969+DORA_H_CLA/24,O969+DORA_H_DET/24),AC969+DORA_H_CLA/24)))</f>
        <v/>
      </c>
      <c r="BS969" s="35" t="str">
        <f aca="true">IF(BR969="","",IF(AD969="",IF(NOW()&gt;BR969,0,""),IF(AD969&lt;=BR969,1,0)))</f>
        <v/>
      </c>
      <c r="BT969" s="35" t="str">
        <f aca="true">IF(OR(BR969="",AD969=""),"",IF(AE969="",IF(NOW()&gt;AD969+DORA_H_INT/24,0,""),IF(AE969&lt;=AD969+DORA_H_INT/24,1,0)))</f>
        <v/>
      </c>
      <c r="BU969" s="35" t="str">
        <f aca="true">IF(OR(BR969="",AE969=""),"",IF(AF969="",IF(NOW()&gt;EDATE(AE969,DORA_M_FIN)+1,0,""),IF(AF969&lt;=EDATE(AE969,DORA_M_FIN),1,0)))</f>
        <v/>
      </c>
      <c r="BV969" s="35" t="str">
        <f aca="false">IF(BR969="","",IF(COUNT(BS969:BU969)=0,"",MIN(BS969:BU969)))</f>
        <v/>
      </c>
      <c r="BW969" s="40" t="str">
        <f aca="false">IF(AQ969&lt;&gt;1,"",IF(AND(AG969="",AH969=""),"",N(AG969)-N(AH969)))</f>
        <v/>
      </c>
      <c r="BX969" s="35" t="str">
        <f aca="true">IF(OR(AQ969&lt;&gt;1,AI969&lt;&gt;"Oui",AJ969=""),"",IF(AK969="",IF(NOW()&gt;AJ969+1,0,""),IF(AK969&lt;=AJ969,1,0)))</f>
        <v/>
      </c>
    </row>
    <row r="970" customFormat="false" ht="15" hidden="false" customHeight="false" outlineLevel="0" collapsed="false">
      <c r="B970" s="29"/>
      <c r="C970" s="29"/>
      <c r="D970" s="29"/>
      <c r="E970" s="29"/>
      <c r="F970" s="29"/>
      <c r="G970" s="29"/>
      <c r="H970" s="29"/>
      <c r="I970" s="29"/>
      <c r="J970" s="29"/>
      <c r="K970" s="29"/>
      <c r="L970" s="29"/>
      <c r="M970" s="29"/>
      <c r="N970" s="30"/>
      <c r="O970" s="30"/>
      <c r="P970" s="30"/>
      <c r="Q970" s="30"/>
      <c r="R970" s="30"/>
      <c r="S970" s="30"/>
      <c r="T970" s="30"/>
      <c r="U970" s="30"/>
      <c r="V970" s="31"/>
      <c r="W970" s="29"/>
      <c r="X970" s="29"/>
      <c r="Y970" s="29"/>
      <c r="Z970" s="29"/>
      <c r="AA970" s="30"/>
      <c r="AB970" s="30"/>
      <c r="AC970" s="30"/>
      <c r="AD970" s="30"/>
      <c r="AE970" s="30"/>
      <c r="AF970" s="32"/>
      <c r="AG970" s="33"/>
      <c r="AH970" s="33"/>
      <c r="AI970" s="29"/>
      <c r="AJ970" s="32"/>
      <c r="AK970" s="32"/>
      <c r="AL970" s="29"/>
      <c r="AN970" s="34" t="str">
        <f aca="false">IF($B970="","",IF(OR(C970="",D970="",E970="",G970="",I970="",J970="",L970="",O970="",P970=""),"Champ obligatoire manquant",IF(OR(AND(N970&lt;&gt;"",N970&gt;O970),O970&gt;P970,AND(Q970&lt;&gt;"",Q970&lt;P970),AND(R970&lt;&gt;"",R970&lt;P970),AND(S970&lt;&gt;"",S970&lt;R970),AND(S970&lt;&gt;"",R970=""),AND(T970&lt;&gt;"",T970&lt;O970),AND(U970&lt;&gt;"",U970&lt;O970)),"Chronologie incohérente",IF(AND(OR(L970="Résolu",L970="Clos"),R970=""),"Date de résolution manquante",IF(AND(L970="Clos",S970=""),"Date de clôture manquante",IF(AND(K970="Oui",AC970=""),"Classification DORA manquante","OK"))))))</f>
        <v/>
      </c>
      <c r="AO970" s="35" t="str">
        <f aca="false">IF($B970="","",IF(AND(C970="Incident",L970&lt;&gt;"Annulé"),1,0))</f>
        <v/>
      </c>
      <c r="AP970" s="35" t="str">
        <f aca="false">IF($B970="","",IF(AND(C970="Quasi-incident",L970&lt;&gt;"Annulé"),1,0))</f>
        <v/>
      </c>
      <c r="AQ970" s="35" t="str">
        <f aca="false">IF($B970="","",AO970+AP970)</f>
        <v/>
      </c>
      <c r="AR970" s="36" t="str">
        <f aca="false">IF(OR($B970="",J970=""),"",IFERROR(VALUE(LEFT(J970,1)),""))</f>
        <v/>
      </c>
      <c r="AS970" s="35" t="str">
        <f aca="false">IF(OR(AO970&lt;&gt;1,G970=""),"",IFERROR(IF(INDEX(L_SrcInterne,MATCH(G970,L_Sources,0))="Oui",1,0),""))</f>
        <v/>
      </c>
      <c r="AT970" s="37" t="str">
        <f aca="false">IF(AO970&lt;&gt;1,"",IFERROR(ROUND(IF(OR(N970="",O970=""),"",IF(O970&lt;N970,"",ROUND(((NETWORKDAYS(N970,O970,JoursFeries)-1)*(HFer-HOuv)+IF(NETWORKDAYS(O970,O970,JoursFeries),MEDIAN(MOD(O970,1),HFer,HOuv),HFer)-IF(NETWORKDAYS(N970,N970,JoursFeries),MEDIAN(MOD(N970,1),HFer,HOuv),HOuv))*24,4)))/HJour,4),""))</f>
        <v/>
      </c>
      <c r="AU970" s="37" t="str">
        <f aca="false">IF(AO970&lt;&gt;1,"",IF(OR(O970="",P970=""),"",IF(P970&lt;O970,"",ROUND(((NETWORKDAYS(O970,P970,JoursFeries)-1)*(HFer-HOuv)+IF(NETWORKDAYS(P970,P970,JoursFeries),MEDIAN(MOD(P970,1),HFer,HOuv),HFer)-IF(NETWORKDAYS(O970,O970,JoursFeries),MEDIAN(MOD(O970,1),HFer,HOuv),HOuv))*24,4))))</f>
        <v/>
      </c>
      <c r="AV970" s="37" t="str">
        <f aca="false">IF(AO970&lt;&gt;1,"",IF(OR(P970="",Q970=""),"",IF(Q970&lt;P970,"",ROUND(((NETWORKDAYS(P970,Q970,JoursFeries)-1)*(HFer-HOuv)+IF(NETWORKDAYS(Q970,Q970,JoursFeries),MEDIAN(MOD(Q970,1),HFer,HOuv),HFer)-IF(NETWORKDAYS(P970,P970,JoursFeries),MEDIAN(MOD(P970,1),HFer,HOuv),HOuv))*24,4))))</f>
        <v/>
      </c>
      <c r="AW970" s="37" t="str">
        <f aca="false">IF(AO970&lt;&gt;1,"",IFERROR(ROUND(IF(OR(P970="",R970=""),"",IF(R970&lt;P970,"",ROUND(((NETWORKDAYS(P970,R970,JoursFeries)-1)*(HFer-HOuv)+IF(NETWORKDAYS(R970,R970,JoursFeries),MEDIAN(MOD(R970,1),HFer,HOuv),HFer)-IF(NETWORKDAYS(P970,P970,JoursFeries),MEDIAN(MOD(P970,1),HFer,HOuv),HOuv))*24,4)))/HJour,4),""))</f>
        <v/>
      </c>
      <c r="AX970" s="37" t="str">
        <f aca="false">IF(AO970&lt;&gt;1,"",IFERROR(ROUND(IF(OR(P970="",S970=""),"",IF(S970&lt;P970,"",ROUND(((NETWORKDAYS(P970,S970,JoursFeries)-1)*(HFer-HOuv)+IF(NETWORKDAYS(S970,S970,JoursFeries),MEDIAN(MOD(S970,1),HFer,HOuv),HFer)-IF(NETWORKDAYS(P970,P970,JoursFeries),MEDIAN(MOD(P970,1),HFer,HOuv),HOuv))*24,4)))/HJour,4),""))</f>
        <v/>
      </c>
      <c r="AY970" s="36" t="str">
        <f aca="false">IF(OR(AO970&lt;&gt;1,AR970=""),"",INDEX(SLA_PEC,AR970))</f>
        <v/>
      </c>
      <c r="AZ970" s="35" t="str">
        <f aca="false">IF(OR(AV970="",AY970=""),"",IF(AV970&lt;=AY970,1,0))</f>
        <v/>
      </c>
      <c r="BA970" s="36" t="str">
        <f aca="false">IF(OR(AO970&lt;&gt;1,AR970=""),"",INDEX(SLA_RES,AR970))</f>
        <v/>
      </c>
      <c r="BB970" s="35" t="str">
        <f aca="false">IF(OR(AW970="",BA970=""),"",IF(AW970&lt;=BA970,1,0))</f>
        <v/>
      </c>
      <c r="BC970" s="38" t="str">
        <f aca="false">IF(OR(BA970="",P970=""),"",WORKDAY(INT(P970),BA970,JoursFeries)+MOD(P970,1))</f>
        <v/>
      </c>
      <c r="BD970" s="39" t="str">
        <f aca="false">IF(AO970&lt;&gt;1,"",IF(OR(AB970&lt;&gt;"",AD970&lt;&gt;""),4,IF(U970&lt;&gt;"",3,IF(T970&lt;&gt;"",2,1))))</f>
        <v/>
      </c>
      <c r="BE970" s="39" t="str">
        <f aca="false">IF(OR(AO970&lt;&gt;1,AR970=""),"",INDEX(NIV_REQ,AR970))</f>
        <v/>
      </c>
      <c r="BF970" s="39" t="str">
        <f aca="false">IF(BE970="","",MAX(BE970,IF(OR(K970="Oui",Z970="Oui"),4,1)))</f>
        <v/>
      </c>
      <c r="BG970" s="35" t="str">
        <f aca="false">IF(OR(BF970="",BD970=""),"",IF(BD970&gt;=BF970,1,0))</f>
        <v/>
      </c>
      <c r="BH970" s="38" t="str">
        <f aca="false">IF(BE970="","",IF(BE970&lt;2,"",IF(BE970=2,IF(AND(T970="",U970=""),"",MIN(T970,U970)),IF(U970="","",U970))))</f>
        <v/>
      </c>
      <c r="BI970" s="37" t="str">
        <f aca="false">IF(BH970="","",IF(OR(O970="",BH970=""),"",IF(BH970&lt;O970,"",ROUND(((NETWORKDAYS(O970,BH970,JoursFeries)-1)*(HFer-HOuv)+IF(NETWORKDAYS(BH970,BH970,JoursFeries),MEDIAN(MOD(BH970,1),HFer,HOuv),HFer)-IF(NETWORKDAYS(O970,O970,JoursFeries),MEDIAN(MOD(O970,1),HFer,HOuv),HOuv))*24,4))))</f>
        <v/>
      </c>
      <c r="BJ970" s="35" t="str">
        <f aca="false">IF(OR(BI970="",AR970=""),"",IF(BI970&lt;=INDEX(DELAI_ESC,AR970),1,0))</f>
        <v/>
      </c>
      <c r="BK970" s="38" t="str">
        <f aca="false">IF(AO970&lt;&gt;1,"",IF(AND(T970="",U970=""),"",MIN(T970,U970)))</f>
        <v/>
      </c>
      <c r="BL970" s="37" t="str">
        <f aca="false">IF(OR(BK970="",R970=""),"",IFERROR(ROUND(IF(OR(BK970="",R970=""),"",IF(R970&lt;BK970,"",ROUND(((NETWORKDAYS(BK970,R970,JoursFeries)-1)*(HFer-HOuv)+IF(NETWORKDAYS(R970,R970,JoursFeries),MEDIAN(MOD(R970,1),HFer,HOuv),HFer)-IF(NETWORKDAYS(BK970,BK970,JoursFeries),MEDIAN(MOD(BK970,1),HFer,HOuv),HOuv))*24,4)))/HJour,4),""))</f>
        <v/>
      </c>
      <c r="BM970" s="35" t="str">
        <f aca="false">IF(OR(AO970&lt;&gt;1,R970=""),"",IF(BD970=1,1,0))</f>
        <v/>
      </c>
      <c r="BN970" s="35" t="str">
        <f aca="false">IF(AO970&lt;&gt;1,"",IF(W970="Oui",1,0))</f>
        <v/>
      </c>
      <c r="BO970" s="35" t="str">
        <f aca="false">IF(AO970&lt;&gt;1,"",IF(X970&lt;&gt;"",1,0))</f>
        <v/>
      </c>
      <c r="BP970" s="35" t="str">
        <f aca="false">IF(AO970&lt;&gt;1,"",IF(Y970="Oui",1,0))</f>
        <v/>
      </c>
      <c r="BQ970" s="35" t="str">
        <f aca="true">IF(OR(AO970&lt;&gt;1,Z970&lt;&gt;"Oui"),"",IF(AB970="",IF(AND(AA970&lt;&gt;"",NOW()&gt;AA970),0,""),IF(AA970="","",IF(AB970&lt;=AA970,1,0))))</f>
        <v/>
      </c>
      <c r="BR970" s="38" t="str">
        <f aca="false">IF(OR(AO970&lt;&gt;1,K970&lt;&gt;"Oui",O970=""),"",IF(AC970="",O970+DORA_H_DET/24,IF(AC970-O970&lt;=DORA_H_DET/24,MIN(AC970+DORA_H_CLA/24,O970+DORA_H_DET/24),AC970+DORA_H_CLA/24)))</f>
        <v/>
      </c>
      <c r="BS970" s="35" t="str">
        <f aca="true">IF(BR970="","",IF(AD970="",IF(NOW()&gt;BR970,0,""),IF(AD970&lt;=BR970,1,0)))</f>
        <v/>
      </c>
      <c r="BT970" s="35" t="str">
        <f aca="true">IF(OR(BR970="",AD970=""),"",IF(AE970="",IF(NOW()&gt;AD970+DORA_H_INT/24,0,""),IF(AE970&lt;=AD970+DORA_H_INT/24,1,0)))</f>
        <v/>
      </c>
      <c r="BU970" s="35" t="str">
        <f aca="true">IF(OR(BR970="",AE970=""),"",IF(AF970="",IF(NOW()&gt;EDATE(AE970,DORA_M_FIN)+1,0,""),IF(AF970&lt;=EDATE(AE970,DORA_M_FIN),1,0)))</f>
        <v/>
      </c>
      <c r="BV970" s="35" t="str">
        <f aca="false">IF(BR970="","",IF(COUNT(BS970:BU970)=0,"",MIN(BS970:BU970)))</f>
        <v/>
      </c>
      <c r="BW970" s="40" t="str">
        <f aca="false">IF(AQ970&lt;&gt;1,"",IF(AND(AG970="",AH970=""),"",N(AG970)-N(AH970)))</f>
        <v/>
      </c>
      <c r="BX970" s="35" t="str">
        <f aca="true">IF(OR(AQ970&lt;&gt;1,AI970&lt;&gt;"Oui",AJ970=""),"",IF(AK970="",IF(NOW()&gt;AJ970+1,0,""),IF(AK970&lt;=AJ970,1,0)))</f>
        <v/>
      </c>
    </row>
    <row r="971" customFormat="false" ht="15" hidden="false" customHeight="false" outlineLevel="0" collapsed="false">
      <c r="B971" s="29"/>
      <c r="C971" s="29"/>
      <c r="D971" s="29"/>
      <c r="E971" s="29"/>
      <c r="F971" s="29"/>
      <c r="G971" s="29"/>
      <c r="H971" s="29"/>
      <c r="I971" s="29"/>
      <c r="J971" s="29"/>
      <c r="K971" s="29"/>
      <c r="L971" s="29"/>
      <c r="M971" s="29"/>
      <c r="N971" s="30"/>
      <c r="O971" s="30"/>
      <c r="P971" s="30"/>
      <c r="Q971" s="30"/>
      <c r="R971" s="30"/>
      <c r="S971" s="30"/>
      <c r="T971" s="30"/>
      <c r="U971" s="30"/>
      <c r="V971" s="31"/>
      <c r="W971" s="29"/>
      <c r="X971" s="29"/>
      <c r="Y971" s="29"/>
      <c r="Z971" s="29"/>
      <c r="AA971" s="30"/>
      <c r="AB971" s="30"/>
      <c r="AC971" s="30"/>
      <c r="AD971" s="30"/>
      <c r="AE971" s="30"/>
      <c r="AF971" s="32"/>
      <c r="AG971" s="33"/>
      <c r="AH971" s="33"/>
      <c r="AI971" s="29"/>
      <c r="AJ971" s="32"/>
      <c r="AK971" s="32"/>
      <c r="AL971" s="29"/>
      <c r="AN971" s="34" t="str">
        <f aca="false">IF($B971="","",IF(OR(C971="",D971="",E971="",G971="",I971="",J971="",L971="",O971="",P971=""),"Champ obligatoire manquant",IF(OR(AND(N971&lt;&gt;"",N971&gt;O971),O971&gt;P971,AND(Q971&lt;&gt;"",Q971&lt;P971),AND(R971&lt;&gt;"",R971&lt;P971),AND(S971&lt;&gt;"",S971&lt;R971),AND(S971&lt;&gt;"",R971=""),AND(T971&lt;&gt;"",T971&lt;O971),AND(U971&lt;&gt;"",U971&lt;O971)),"Chronologie incohérente",IF(AND(OR(L971="Résolu",L971="Clos"),R971=""),"Date de résolution manquante",IF(AND(L971="Clos",S971=""),"Date de clôture manquante",IF(AND(K971="Oui",AC971=""),"Classification DORA manquante","OK"))))))</f>
        <v/>
      </c>
      <c r="AO971" s="35" t="str">
        <f aca="false">IF($B971="","",IF(AND(C971="Incident",L971&lt;&gt;"Annulé"),1,0))</f>
        <v/>
      </c>
      <c r="AP971" s="35" t="str">
        <f aca="false">IF($B971="","",IF(AND(C971="Quasi-incident",L971&lt;&gt;"Annulé"),1,0))</f>
        <v/>
      </c>
      <c r="AQ971" s="35" t="str">
        <f aca="false">IF($B971="","",AO971+AP971)</f>
        <v/>
      </c>
      <c r="AR971" s="36" t="str">
        <f aca="false">IF(OR($B971="",J971=""),"",IFERROR(VALUE(LEFT(J971,1)),""))</f>
        <v/>
      </c>
      <c r="AS971" s="35" t="str">
        <f aca="false">IF(OR(AO971&lt;&gt;1,G971=""),"",IFERROR(IF(INDEX(L_SrcInterne,MATCH(G971,L_Sources,0))="Oui",1,0),""))</f>
        <v/>
      </c>
      <c r="AT971" s="37" t="str">
        <f aca="false">IF(AO971&lt;&gt;1,"",IFERROR(ROUND(IF(OR(N971="",O971=""),"",IF(O971&lt;N971,"",ROUND(((NETWORKDAYS(N971,O971,JoursFeries)-1)*(HFer-HOuv)+IF(NETWORKDAYS(O971,O971,JoursFeries),MEDIAN(MOD(O971,1),HFer,HOuv),HFer)-IF(NETWORKDAYS(N971,N971,JoursFeries),MEDIAN(MOD(N971,1),HFer,HOuv),HOuv))*24,4)))/HJour,4),""))</f>
        <v/>
      </c>
      <c r="AU971" s="37" t="str">
        <f aca="false">IF(AO971&lt;&gt;1,"",IF(OR(O971="",P971=""),"",IF(P971&lt;O971,"",ROUND(((NETWORKDAYS(O971,P971,JoursFeries)-1)*(HFer-HOuv)+IF(NETWORKDAYS(P971,P971,JoursFeries),MEDIAN(MOD(P971,1),HFer,HOuv),HFer)-IF(NETWORKDAYS(O971,O971,JoursFeries),MEDIAN(MOD(O971,1),HFer,HOuv),HOuv))*24,4))))</f>
        <v/>
      </c>
      <c r="AV971" s="37" t="str">
        <f aca="false">IF(AO971&lt;&gt;1,"",IF(OR(P971="",Q971=""),"",IF(Q971&lt;P971,"",ROUND(((NETWORKDAYS(P971,Q971,JoursFeries)-1)*(HFer-HOuv)+IF(NETWORKDAYS(Q971,Q971,JoursFeries),MEDIAN(MOD(Q971,1),HFer,HOuv),HFer)-IF(NETWORKDAYS(P971,P971,JoursFeries),MEDIAN(MOD(P971,1),HFer,HOuv),HOuv))*24,4))))</f>
        <v/>
      </c>
      <c r="AW971" s="37" t="str">
        <f aca="false">IF(AO971&lt;&gt;1,"",IFERROR(ROUND(IF(OR(P971="",R971=""),"",IF(R971&lt;P971,"",ROUND(((NETWORKDAYS(P971,R971,JoursFeries)-1)*(HFer-HOuv)+IF(NETWORKDAYS(R971,R971,JoursFeries),MEDIAN(MOD(R971,1),HFer,HOuv),HFer)-IF(NETWORKDAYS(P971,P971,JoursFeries),MEDIAN(MOD(P971,1),HFer,HOuv),HOuv))*24,4)))/HJour,4),""))</f>
        <v/>
      </c>
      <c r="AX971" s="37" t="str">
        <f aca="false">IF(AO971&lt;&gt;1,"",IFERROR(ROUND(IF(OR(P971="",S971=""),"",IF(S971&lt;P971,"",ROUND(((NETWORKDAYS(P971,S971,JoursFeries)-1)*(HFer-HOuv)+IF(NETWORKDAYS(S971,S971,JoursFeries),MEDIAN(MOD(S971,1),HFer,HOuv),HFer)-IF(NETWORKDAYS(P971,P971,JoursFeries),MEDIAN(MOD(P971,1),HFer,HOuv),HOuv))*24,4)))/HJour,4),""))</f>
        <v/>
      </c>
      <c r="AY971" s="36" t="str">
        <f aca="false">IF(OR(AO971&lt;&gt;1,AR971=""),"",INDEX(SLA_PEC,AR971))</f>
        <v/>
      </c>
      <c r="AZ971" s="35" t="str">
        <f aca="false">IF(OR(AV971="",AY971=""),"",IF(AV971&lt;=AY971,1,0))</f>
        <v/>
      </c>
      <c r="BA971" s="36" t="str">
        <f aca="false">IF(OR(AO971&lt;&gt;1,AR971=""),"",INDEX(SLA_RES,AR971))</f>
        <v/>
      </c>
      <c r="BB971" s="35" t="str">
        <f aca="false">IF(OR(AW971="",BA971=""),"",IF(AW971&lt;=BA971,1,0))</f>
        <v/>
      </c>
      <c r="BC971" s="38" t="str">
        <f aca="false">IF(OR(BA971="",P971=""),"",WORKDAY(INT(P971),BA971,JoursFeries)+MOD(P971,1))</f>
        <v/>
      </c>
      <c r="BD971" s="39" t="str">
        <f aca="false">IF(AO971&lt;&gt;1,"",IF(OR(AB971&lt;&gt;"",AD971&lt;&gt;""),4,IF(U971&lt;&gt;"",3,IF(T971&lt;&gt;"",2,1))))</f>
        <v/>
      </c>
      <c r="BE971" s="39" t="str">
        <f aca="false">IF(OR(AO971&lt;&gt;1,AR971=""),"",INDEX(NIV_REQ,AR971))</f>
        <v/>
      </c>
      <c r="BF971" s="39" t="str">
        <f aca="false">IF(BE971="","",MAX(BE971,IF(OR(K971="Oui",Z971="Oui"),4,1)))</f>
        <v/>
      </c>
      <c r="BG971" s="35" t="str">
        <f aca="false">IF(OR(BF971="",BD971=""),"",IF(BD971&gt;=BF971,1,0))</f>
        <v/>
      </c>
      <c r="BH971" s="38" t="str">
        <f aca="false">IF(BE971="","",IF(BE971&lt;2,"",IF(BE971=2,IF(AND(T971="",U971=""),"",MIN(T971,U971)),IF(U971="","",U971))))</f>
        <v/>
      </c>
      <c r="BI971" s="37" t="str">
        <f aca="false">IF(BH971="","",IF(OR(O971="",BH971=""),"",IF(BH971&lt;O971,"",ROUND(((NETWORKDAYS(O971,BH971,JoursFeries)-1)*(HFer-HOuv)+IF(NETWORKDAYS(BH971,BH971,JoursFeries),MEDIAN(MOD(BH971,1),HFer,HOuv),HFer)-IF(NETWORKDAYS(O971,O971,JoursFeries),MEDIAN(MOD(O971,1),HFer,HOuv),HOuv))*24,4))))</f>
        <v/>
      </c>
      <c r="BJ971" s="35" t="str">
        <f aca="false">IF(OR(BI971="",AR971=""),"",IF(BI971&lt;=INDEX(DELAI_ESC,AR971),1,0))</f>
        <v/>
      </c>
      <c r="BK971" s="38" t="str">
        <f aca="false">IF(AO971&lt;&gt;1,"",IF(AND(T971="",U971=""),"",MIN(T971,U971)))</f>
        <v/>
      </c>
      <c r="BL971" s="37" t="str">
        <f aca="false">IF(OR(BK971="",R971=""),"",IFERROR(ROUND(IF(OR(BK971="",R971=""),"",IF(R971&lt;BK971,"",ROUND(((NETWORKDAYS(BK971,R971,JoursFeries)-1)*(HFer-HOuv)+IF(NETWORKDAYS(R971,R971,JoursFeries),MEDIAN(MOD(R971,1),HFer,HOuv),HFer)-IF(NETWORKDAYS(BK971,BK971,JoursFeries),MEDIAN(MOD(BK971,1),HFer,HOuv),HOuv))*24,4)))/HJour,4),""))</f>
        <v/>
      </c>
      <c r="BM971" s="35" t="str">
        <f aca="false">IF(OR(AO971&lt;&gt;1,R971=""),"",IF(BD971=1,1,0))</f>
        <v/>
      </c>
      <c r="BN971" s="35" t="str">
        <f aca="false">IF(AO971&lt;&gt;1,"",IF(W971="Oui",1,0))</f>
        <v/>
      </c>
      <c r="BO971" s="35" t="str">
        <f aca="false">IF(AO971&lt;&gt;1,"",IF(X971&lt;&gt;"",1,0))</f>
        <v/>
      </c>
      <c r="BP971" s="35" t="str">
        <f aca="false">IF(AO971&lt;&gt;1,"",IF(Y971="Oui",1,0))</f>
        <v/>
      </c>
      <c r="BQ971" s="35" t="str">
        <f aca="true">IF(OR(AO971&lt;&gt;1,Z971&lt;&gt;"Oui"),"",IF(AB971="",IF(AND(AA971&lt;&gt;"",NOW()&gt;AA971),0,""),IF(AA971="","",IF(AB971&lt;=AA971,1,0))))</f>
        <v/>
      </c>
      <c r="BR971" s="38" t="str">
        <f aca="false">IF(OR(AO971&lt;&gt;1,K971&lt;&gt;"Oui",O971=""),"",IF(AC971="",O971+DORA_H_DET/24,IF(AC971-O971&lt;=DORA_H_DET/24,MIN(AC971+DORA_H_CLA/24,O971+DORA_H_DET/24),AC971+DORA_H_CLA/24)))</f>
        <v/>
      </c>
      <c r="BS971" s="35" t="str">
        <f aca="true">IF(BR971="","",IF(AD971="",IF(NOW()&gt;BR971,0,""),IF(AD971&lt;=BR971,1,0)))</f>
        <v/>
      </c>
      <c r="BT971" s="35" t="str">
        <f aca="true">IF(OR(BR971="",AD971=""),"",IF(AE971="",IF(NOW()&gt;AD971+DORA_H_INT/24,0,""),IF(AE971&lt;=AD971+DORA_H_INT/24,1,0)))</f>
        <v/>
      </c>
      <c r="BU971" s="35" t="str">
        <f aca="true">IF(OR(BR971="",AE971=""),"",IF(AF971="",IF(NOW()&gt;EDATE(AE971,DORA_M_FIN)+1,0,""),IF(AF971&lt;=EDATE(AE971,DORA_M_FIN),1,0)))</f>
        <v/>
      </c>
      <c r="BV971" s="35" t="str">
        <f aca="false">IF(BR971="","",IF(COUNT(BS971:BU971)=0,"",MIN(BS971:BU971)))</f>
        <v/>
      </c>
      <c r="BW971" s="40" t="str">
        <f aca="false">IF(AQ971&lt;&gt;1,"",IF(AND(AG971="",AH971=""),"",N(AG971)-N(AH971)))</f>
        <v/>
      </c>
      <c r="BX971" s="35" t="str">
        <f aca="true">IF(OR(AQ971&lt;&gt;1,AI971&lt;&gt;"Oui",AJ971=""),"",IF(AK971="",IF(NOW()&gt;AJ971+1,0,""),IF(AK971&lt;=AJ971,1,0)))</f>
        <v/>
      </c>
    </row>
    <row r="972" customFormat="false" ht="15" hidden="false" customHeight="false" outlineLevel="0" collapsed="false">
      <c r="B972" s="29"/>
      <c r="C972" s="29"/>
      <c r="D972" s="29"/>
      <c r="E972" s="29"/>
      <c r="F972" s="29"/>
      <c r="G972" s="29"/>
      <c r="H972" s="29"/>
      <c r="I972" s="29"/>
      <c r="J972" s="29"/>
      <c r="K972" s="29"/>
      <c r="L972" s="29"/>
      <c r="M972" s="29"/>
      <c r="N972" s="30"/>
      <c r="O972" s="30"/>
      <c r="P972" s="30"/>
      <c r="Q972" s="30"/>
      <c r="R972" s="30"/>
      <c r="S972" s="30"/>
      <c r="T972" s="30"/>
      <c r="U972" s="30"/>
      <c r="V972" s="31"/>
      <c r="W972" s="29"/>
      <c r="X972" s="29"/>
      <c r="Y972" s="29"/>
      <c r="Z972" s="29"/>
      <c r="AA972" s="30"/>
      <c r="AB972" s="30"/>
      <c r="AC972" s="30"/>
      <c r="AD972" s="30"/>
      <c r="AE972" s="30"/>
      <c r="AF972" s="32"/>
      <c r="AG972" s="33"/>
      <c r="AH972" s="33"/>
      <c r="AI972" s="29"/>
      <c r="AJ972" s="32"/>
      <c r="AK972" s="32"/>
      <c r="AL972" s="29"/>
      <c r="AN972" s="34" t="str">
        <f aca="false">IF($B972="","",IF(OR(C972="",D972="",E972="",G972="",I972="",J972="",L972="",O972="",P972=""),"Champ obligatoire manquant",IF(OR(AND(N972&lt;&gt;"",N972&gt;O972),O972&gt;P972,AND(Q972&lt;&gt;"",Q972&lt;P972),AND(R972&lt;&gt;"",R972&lt;P972),AND(S972&lt;&gt;"",S972&lt;R972),AND(S972&lt;&gt;"",R972=""),AND(T972&lt;&gt;"",T972&lt;O972),AND(U972&lt;&gt;"",U972&lt;O972)),"Chronologie incohérente",IF(AND(OR(L972="Résolu",L972="Clos"),R972=""),"Date de résolution manquante",IF(AND(L972="Clos",S972=""),"Date de clôture manquante",IF(AND(K972="Oui",AC972=""),"Classification DORA manquante","OK"))))))</f>
        <v/>
      </c>
      <c r="AO972" s="35" t="str">
        <f aca="false">IF($B972="","",IF(AND(C972="Incident",L972&lt;&gt;"Annulé"),1,0))</f>
        <v/>
      </c>
      <c r="AP972" s="35" t="str">
        <f aca="false">IF($B972="","",IF(AND(C972="Quasi-incident",L972&lt;&gt;"Annulé"),1,0))</f>
        <v/>
      </c>
      <c r="AQ972" s="35" t="str">
        <f aca="false">IF($B972="","",AO972+AP972)</f>
        <v/>
      </c>
      <c r="AR972" s="36" t="str">
        <f aca="false">IF(OR($B972="",J972=""),"",IFERROR(VALUE(LEFT(J972,1)),""))</f>
        <v/>
      </c>
      <c r="AS972" s="35" t="str">
        <f aca="false">IF(OR(AO972&lt;&gt;1,G972=""),"",IFERROR(IF(INDEX(L_SrcInterne,MATCH(G972,L_Sources,0))="Oui",1,0),""))</f>
        <v/>
      </c>
      <c r="AT972" s="37" t="str">
        <f aca="false">IF(AO972&lt;&gt;1,"",IFERROR(ROUND(IF(OR(N972="",O972=""),"",IF(O972&lt;N972,"",ROUND(((NETWORKDAYS(N972,O972,JoursFeries)-1)*(HFer-HOuv)+IF(NETWORKDAYS(O972,O972,JoursFeries),MEDIAN(MOD(O972,1),HFer,HOuv),HFer)-IF(NETWORKDAYS(N972,N972,JoursFeries),MEDIAN(MOD(N972,1),HFer,HOuv),HOuv))*24,4)))/HJour,4),""))</f>
        <v/>
      </c>
      <c r="AU972" s="37" t="str">
        <f aca="false">IF(AO972&lt;&gt;1,"",IF(OR(O972="",P972=""),"",IF(P972&lt;O972,"",ROUND(((NETWORKDAYS(O972,P972,JoursFeries)-1)*(HFer-HOuv)+IF(NETWORKDAYS(P972,P972,JoursFeries),MEDIAN(MOD(P972,1),HFer,HOuv),HFer)-IF(NETWORKDAYS(O972,O972,JoursFeries),MEDIAN(MOD(O972,1),HFer,HOuv),HOuv))*24,4))))</f>
        <v/>
      </c>
      <c r="AV972" s="37" t="str">
        <f aca="false">IF(AO972&lt;&gt;1,"",IF(OR(P972="",Q972=""),"",IF(Q972&lt;P972,"",ROUND(((NETWORKDAYS(P972,Q972,JoursFeries)-1)*(HFer-HOuv)+IF(NETWORKDAYS(Q972,Q972,JoursFeries),MEDIAN(MOD(Q972,1),HFer,HOuv),HFer)-IF(NETWORKDAYS(P972,P972,JoursFeries),MEDIAN(MOD(P972,1),HFer,HOuv),HOuv))*24,4))))</f>
        <v/>
      </c>
      <c r="AW972" s="37" t="str">
        <f aca="false">IF(AO972&lt;&gt;1,"",IFERROR(ROUND(IF(OR(P972="",R972=""),"",IF(R972&lt;P972,"",ROUND(((NETWORKDAYS(P972,R972,JoursFeries)-1)*(HFer-HOuv)+IF(NETWORKDAYS(R972,R972,JoursFeries),MEDIAN(MOD(R972,1),HFer,HOuv),HFer)-IF(NETWORKDAYS(P972,P972,JoursFeries),MEDIAN(MOD(P972,1),HFer,HOuv),HOuv))*24,4)))/HJour,4),""))</f>
        <v/>
      </c>
      <c r="AX972" s="37" t="str">
        <f aca="false">IF(AO972&lt;&gt;1,"",IFERROR(ROUND(IF(OR(P972="",S972=""),"",IF(S972&lt;P972,"",ROUND(((NETWORKDAYS(P972,S972,JoursFeries)-1)*(HFer-HOuv)+IF(NETWORKDAYS(S972,S972,JoursFeries),MEDIAN(MOD(S972,1),HFer,HOuv),HFer)-IF(NETWORKDAYS(P972,P972,JoursFeries),MEDIAN(MOD(P972,1),HFer,HOuv),HOuv))*24,4)))/HJour,4),""))</f>
        <v/>
      </c>
      <c r="AY972" s="36" t="str">
        <f aca="false">IF(OR(AO972&lt;&gt;1,AR972=""),"",INDEX(SLA_PEC,AR972))</f>
        <v/>
      </c>
      <c r="AZ972" s="35" t="str">
        <f aca="false">IF(OR(AV972="",AY972=""),"",IF(AV972&lt;=AY972,1,0))</f>
        <v/>
      </c>
      <c r="BA972" s="36" t="str">
        <f aca="false">IF(OR(AO972&lt;&gt;1,AR972=""),"",INDEX(SLA_RES,AR972))</f>
        <v/>
      </c>
      <c r="BB972" s="35" t="str">
        <f aca="false">IF(OR(AW972="",BA972=""),"",IF(AW972&lt;=BA972,1,0))</f>
        <v/>
      </c>
      <c r="BC972" s="38" t="str">
        <f aca="false">IF(OR(BA972="",P972=""),"",WORKDAY(INT(P972),BA972,JoursFeries)+MOD(P972,1))</f>
        <v/>
      </c>
      <c r="BD972" s="39" t="str">
        <f aca="false">IF(AO972&lt;&gt;1,"",IF(OR(AB972&lt;&gt;"",AD972&lt;&gt;""),4,IF(U972&lt;&gt;"",3,IF(T972&lt;&gt;"",2,1))))</f>
        <v/>
      </c>
      <c r="BE972" s="39" t="str">
        <f aca="false">IF(OR(AO972&lt;&gt;1,AR972=""),"",INDEX(NIV_REQ,AR972))</f>
        <v/>
      </c>
      <c r="BF972" s="39" t="str">
        <f aca="false">IF(BE972="","",MAX(BE972,IF(OR(K972="Oui",Z972="Oui"),4,1)))</f>
        <v/>
      </c>
      <c r="BG972" s="35" t="str">
        <f aca="false">IF(OR(BF972="",BD972=""),"",IF(BD972&gt;=BF972,1,0))</f>
        <v/>
      </c>
      <c r="BH972" s="38" t="str">
        <f aca="false">IF(BE972="","",IF(BE972&lt;2,"",IF(BE972=2,IF(AND(T972="",U972=""),"",MIN(T972,U972)),IF(U972="","",U972))))</f>
        <v/>
      </c>
      <c r="BI972" s="37" t="str">
        <f aca="false">IF(BH972="","",IF(OR(O972="",BH972=""),"",IF(BH972&lt;O972,"",ROUND(((NETWORKDAYS(O972,BH972,JoursFeries)-1)*(HFer-HOuv)+IF(NETWORKDAYS(BH972,BH972,JoursFeries),MEDIAN(MOD(BH972,1),HFer,HOuv),HFer)-IF(NETWORKDAYS(O972,O972,JoursFeries),MEDIAN(MOD(O972,1),HFer,HOuv),HOuv))*24,4))))</f>
        <v/>
      </c>
      <c r="BJ972" s="35" t="str">
        <f aca="false">IF(OR(BI972="",AR972=""),"",IF(BI972&lt;=INDEX(DELAI_ESC,AR972),1,0))</f>
        <v/>
      </c>
      <c r="BK972" s="38" t="str">
        <f aca="false">IF(AO972&lt;&gt;1,"",IF(AND(T972="",U972=""),"",MIN(T972,U972)))</f>
        <v/>
      </c>
      <c r="BL972" s="37" t="str">
        <f aca="false">IF(OR(BK972="",R972=""),"",IFERROR(ROUND(IF(OR(BK972="",R972=""),"",IF(R972&lt;BK972,"",ROUND(((NETWORKDAYS(BK972,R972,JoursFeries)-1)*(HFer-HOuv)+IF(NETWORKDAYS(R972,R972,JoursFeries),MEDIAN(MOD(R972,1),HFer,HOuv),HFer)-IF(NETWORKDAYS(BK972,BK972,JoursFeries),MEDIAN(MOD(BK972,1),HFer,HOuv),HOuv))*24,4)))/HJour,4),""))</f>
        <v/>
      </c>
      <c r="BM972" s="35" t="str">
        <f aca="false">IF(OR(AO972&lt;&gt;1,R972=""),"",IF(BD972=1,1,0))</f>
        <v/>
      </c>
      <c r="BN972" s="35" t="str">
        <f aca="false">IF(AO972&lt;&gt;1,"",IF(W972="Oui",1,0))</f>
        <v/>
      </c>
      <c r="BO972" s="35" t="str">
        <f aca="false">IF(AO972&lt;&gt;1,"",IF(X972&lt;&gt;"",1,0))</f>
        <v/>
      </c>
      <c r="BP972" s="35" t="str">
        <f aca="false">IF(AO972&lt;&gt;1,"",IF(Y972="Oui",1,0))</f>
        <v/>
      </c>
      <c r="BQ972" s="35" t="str">
        <f aca="true">IF(OR(AO972&lt;&gt;1,Z972&lt;&gt;"Oui"),"",IF(AB972="",IF(AND(AA972&lt;&gt;"",NOW()&gt;AA972),0,""),IF(AA972="","",IF(AB972&lt;=AA972,1,0))))</f>
        <v/>
      </c>
      <c r="BR972" s="38" t="str">
        <f aca="false">IF(OR(AO972&lt;&gt;1,K972&lt;&gt;"Oui",O972=""),"",IF(AC972="",O972+DORA_H_DET/24,IF(AC972-O972&lt;=DORA_H_DET/24,MIN(AC972+DORA_H_CLA/24,O972+DORA_H_DET/24),AC972+DORA_H_CLA/24)))</f>
        <v/>
      </c>
      <c r="BS972" s="35" t="str">
        <f aca="true">IF(BR972="","",IF(AD972="",IF(NOW()&gt;BR972,0,""),IF(AD972&lt;=BR972,1,0)))</f>
        <v/>
      </c>
      <c r="BT972" s="35" t="str">
        <f aca="true">IF(OR(BR972="",AD972=""),"",IF(AE972="",IF(NOW()&gt;AD972+DORA_H_INT/24,0,""),IF(AE972&lt;=AD972+DORA_H_INT/24,1,0)))</f>
        <v/>
      </c>
      <c r="BU972" s="35" t="str">
        <f aca="true">IF(OR(BR972="",AE972=""),"",IF(AF972="",IF(NOW()&gt;EDATE(AE972,DORA_M_FIN)+1,0,""),IF(AF972&lt;=EDATE(AE972,DORA_M_FIN),1,0)))</f>
        <v/>
      </c>
      <c r="BV972" s="35" t="str">
        <f aca="false">IF(BR972="","",IF(COUNT(BS972:BU972)=0,"",MIN(BS972:BU972)))</f>
        <v/>
      </c>
      <c r="BW972" s="40" t="str">
        <f aca="false">IF(AQ972&lt;&gt;1,"",IF(AND(AG972="",AH972=""),"",N(AG972)-N(AH972)))</f>
        <v/>
      </c>
      <c r="BX972" s="35" t="str">
        <f aca="true">IF(OR(AQ972&lt;&gt;1,AI972&lt;&gt;"Oui",AJ972=""),"",IF(AK972="",IF(NOW()&gt;AJ972+1,0,""),IF(AK972&lt;=AJ972,1,0)))</f>
        <v/>
      </c>
    </row>
    <row r="973" customFormat="false" ht="15" hidden="false" customHeight="false" outlineLevel="0" collapsed="false">
      <c r="B973" s="29"/>
      <c r="C973" s="29"/>
      <c r="D973" s="29"/>
      <c r="E973" s="29"/>
      <c r="F973" s="29"/>
      <c r="G973" s="29"/>
      <c r="H973" s="29"/>
      <c r="I973" s="29"/>
      <c r="J973" s="29"/>
      <c r="K973" s="29"/>
      <c r="L973" s="29"/>
      <c r="M973" s="29"/>
      <c r="N973" s="30"/>
      <c r="O973" s="30"/>
      <c r="P973" s="30"/>
      <c r="Q973" s="30"/>
      <c r="R973" s="30"/>
      <c r="S973" s="30"/>
      <c r="T973" s="30"/>
      <c r="U973" s="30"/>
      <c r="V973" s="31"/>
      <c r="W973" s="29"/>
      <c r="X973" s="29"/>
      <c r="Y973" s="29"/>
      <c r="Z973" s="29"/>
      <c r="AA973" s="30"/>
      <c r="AB973" s="30"/>
      <c r="AC973" s="30"/>
      <c r="AD973" s="30"/>
      <c r="AE973" s="30"/>
      <c r="AF973" s="32"/>
      <c r="AG973" s="33"/>
      <c r="AH973" s="33"/>
      <c r="AI973" s="29"/>
      <c r="AJ973" s="32"/>
      <c r="AK973" s="32"/>
      <c r="AL973" s="29"/>
      <c r="AN973" s="34" t="str">
        <f aca="false">IF($B973="","",IF(OR(C973="",D973="",E973="",G973="",I973="",J973="",L973="",O973="",P973=""),"Champ obligatoire manquant",IF(OR(AND(N973&lt;&gt;"",N973&gt;O973),O973&gt;P973,AND(Q973&lt;&gt;"",Q973&lt;P973),AND(R973&lt;&gt;"",R973&lt;P973),AND(S973&lt;&gt;"",S973&lt;R973),AND(S973&lt;&gt;"",R973=""),AND(T973&lt;&gt;"",T973&lt;O973),AND(U973&lt;&gt;"",U973&lt;O973)),"Chronologie incohérente",IF(AND(OR(L973="Résolu",L973="Clos"),R973=""),"Date de résolution manquante",IF(AND(L973="Clos",S973=""),"Date de clôture manquante",IF(AND(K973="Oui",AC973=""),"Classification DORA manquante","OK"))))))</f>
        <v/>
      </c>
      <c r="AO973" s="35" t="str">
        <f aca="false">IF($B973="","",IF(AND(C973="Incident",L973&lt;&gt;"Annulé"),1,0))</f>
        <v/>
      </c>
      <c r="AP973" s="35" t="str">
        <f aca="false">IF($B973="","",IF(AND(C973="Quasi-incident",L973&lt;&gt;"Annulé"),1,0))</f>
        <v/>
      </c>
      <c r="AQ973" s="35" t="str">
        <f aca="false">IF($B973="","",AO973+AP973)</f>
        <v/>
      </c>
      <c r="AR973" s="36" t="str">
        <f aca="false">IF(OR($B973="",J973=""),"",IFERROR(VALUE(LEFT(J973,1)),""))</f>
        <v/>
      </c>
      <c r="AS973" s="35" t="str">
        <f aca="false">IF(OR(AO973&lt;&gt;1,G973=""),"",IFERROR(IF(INDEX(L_SrcInterne,MATCH(G973,L_Sources,0))="Oui",1,0),""))</f>
        <v/>
      </c>
      <c r="AT973" s="37" t="str">
        <f aca="false">IF(AO973&lt;&gt;1,"",IFERROR(ROUND(IF(OR(N973="",O973=""),"",IF(O973&lt;N973,"",ROUND(((NETWORKDAYS(N973,O973,JoursFeries)-1)*(HFer-HOuv)+IF(NETWORKDAYS(O973,O973,JoursFeries),MEDIAN(MOD(O973,1),HFer,HOuv),HFer)-IF(NETWORKDAYS(N973,N973,JoursFeries),MEDIAN(MOD(N973,1),HFer,HOuv),HOuv))*24,4)))/HJour,4),""))</f>
        <v/>
      </c>
      <c r="AU973" s="37" t="str">
        <f aca="false">IF(AO973&lt;&gt;1,"",IF(OR(O973="",P973=""),"",IF(P973&lt;O973,"",ROUND(((NETWORKDAYS(O973,P973,JoursFeries)-1)*(HFer-HOuv)+IF(NETWORKDAYS(P973,P973,JoursFeries),MEDIAN(MOD(P973,1),HFer,HOuv),HFer)-IF(NETWORKDAYS(O973,O973,JoursFeries),MEDIAN(MOD(O973,1),HFer,HOuv),HOuv))*24,4))))</f>
        <v/>
      </c>
      <c r="AV973" s="37" t="str">
        <f aca="false">IF(AO973&lt;&gt;1,"",IF(OR(P973="",Q973=""),"",IF(Q973&lt;P973,"",ROUND(((NETWORKDAYS(P973,Q973,JoursFeries)-1)*(HFer-HOuv)+IF(NETWORKDAYS(Q973,Q973,JoursFeries),MEDIAN(MOD(Q973,1),HFer,HOuv),HFer)-IF(NETWORKDAYS(P973,P973,JoursFeries),MEDIAN(MOD(P973,1),HFer,HOuv),HOuv))*24,4))))</f>
        <v/>
      </c>
      <c r="AW973" s="37" t="str">
        <f aca="false">IF(AO973&lt;&gt;1,"",IFERROR(ROUND(IF(OR(P973="",R973=""),"",IF(R973&lt;P973,"",ROUND(((NETWORKDAYS(P973,R973,JoursFeries)-1)*(HFer-HOuv)+IF(NETWORKDAYS(R973,R973,JoursFeries),MEDIAN(MOD(R973,1),HFer,HOuv),HFer)-IF(NETWORKDAYS(P973,P973,JoursFeries),MEDIAN(MOD(P973,1),HFer,HOuv),HOuv))*24,4)))/HJour,4),""))</f>
        <v/>
      </c>
      <c r="AX973" s="37" t="str">
        <f aca="false">IF(AO973&lt;&gt;1,"",IFERROR(ROUND(IF(OR(P973="",S973=""),"",IF(S973&lt;P973,"",ROUND(((NETWORKDAYS(P973,S973,JoursFeries)-1)*(HFer-HOuv)+IF(NETWORKDAYS(S973,S973,JoursFeries),MEDIAN(MOD(S973,1),HFer,HOuv),HFer)-IF(NETWORKDAYS(P973,P973,JoursFeries),MEDIAN(MOD(P973,1),HFer,HOuv),HOuv))*24,4)))/HJour,4),""))</f>
        <v/>
      </c>
      <c r="AY973" s="36" t="str">
        <f aca="false">IF(OR(AO973&lt;&gt;1,AR973=""),"",INDEX(SLA_PEC,AR973))</f>
        <v/>
      </c>
      <c r="AZ973" s="35" t="str">
        <f aca="false">IF(OR(AV973="",AY973=""),"",IF(AV973&lt;=AY973,1,0))</f>
        <v/>
      </c>
      <c r="BA973" s="36" t="str">
        <f aca="false">IF(OR(AO973&lt;&gt;1,AR973=""),"",INDEX(SLA_RES,AR973))</f>
        <v/>
      </c>
      <c r="BB973" s="35" t="str">
        <f aca="false">IF(OR(AW973="",BA973=""),"",IF(AW973&lt;=BA973,1,0))</f>
        <v/>
      </c>
      <c r="BC973" s="38" t="str">
        <f aca="false">IF(OR(BA973="",P973=""),"",WORKDAY(INT(P973),BA973,JoursFeries)+MOD(P973,1))</f>
        <v/>
      </c>
      <c r="BD973" s="39" t="str">
        <f aca="false">IF(AO973&lt;&gt;1,"",IF(OR(AB973&lt;&gt;"",AD973&lt;&gt;""),4,IF(U973&lt;&gt;"",3,IF(T973&lt;&gt;"",2,1))))</f>
        <v/>
      </c>
      <c r="BE973" s="39" t="str">
        <f aca="false">IF(OR(AO973&lt;&gt;1,AR973=""),"",INDEX(NIV_REQ,AR973))</f>
        <v/>
      </c>
      <c r="BF973" s="39" t="str">
        <f aca="false">IF(BE973="","",MAX(BE973,IF(OR(K973="Oui",Z973="Oui"),4,1)))</f>
        <v/>
      </c>
      <c r="BG973" s="35" t="str">
        <f aca="false">IF(OR(BF973="",BD973=""),"",IF(BD973&gt;=BF973,1,0))</f>
        <v/>
      </c>
      <c r="BH973" s="38" t="str">
        <f aca="false">IF(BE973="","",IF(BE973&lt;2,"",IF(BE973=2,IF(AND(T973="",U973=""),"",MIN(T973,U973)),IF(U973="","",U973))))</f>
        <v/>
      </c>
      <c r="BI973" s="37" t="str">
        <f aca="false">IF(BH973="","",IF(OR(O973="",BH973=""),"",IF(BH973&lt;O973,"",ROUND(((NETWORKDAYS(O973,BH973,JoursFeries)-1)*(HFer-HOuv)+IF(NETWORKDAYS(BH973,BH973,JoursFeries),MEDIAN(MOD(BH973,1),HFer,HOuv),HFer)-IF(NETWORKDAYS(O973,O973,JoursFeries),MEDIAN(MOD(O973,1),HFer,HOuv),HOuv))*24,4))))</f>
        <v/>
      </c>
      <c r="BJ973" s="35" t="str">
        <f aca="false">IF(OR(BI973="",AR973=""),"",IF(BI973&lt;=INDEX(DELAI_ESC,AR973),1,0))</f>
        <v/>
      </c>
      <c r="BK973" s="38" t="str">
        <f aca="false">IF(AO973&lt;&gt;1,"",IF(AND(T973="",U973=""),"",MIN(T973,U973)))</f>
        <v/>
      </c>
      <c r="BL973" s="37" t="str">
        <f aca="false">IF(OR(BK973="",R973=""),"",IFERROR(ROUND(IF(OR(BK973="",R973=""),"",IF(R973&lt;BK973,"",ROUND(((NETWORKDAYS(BK973,R973,JoursFeries)-1)*(HFer-HOuv)+IF(NETWORKDAYS(R973,R973,JoursFeries),MEDIAN(MOD(R973,1),HFer,HOuv),HFer)-IF(NETWORKDAYS(BK973,BK973,JoursFeries),MEDIAN(MOD(BK973,1),HFer,HOuv),HOuv))*24,4)))/HJour,4),""))</f>
        <v/>
      </c>
      <c r="BM973" s="35" t="str">
        <f aca="false">IF(OR(AO973&lt;&gt;1,R973=""),"",IF(BD973=1,1,0))</f>
        <v/>
      </c>
      <c r="BN973" s="35" t="str">
        <f aca="false">IF(AO973&lt;&gt;1,"",IF(W973="Oui",1,0))</f>
        <v/>
      </c>
      <c r="BO973" s="35" t="str">
        <f aca="false">IF(AO973&lt;&gt;1,"",IF(X973&lt;&gt;"",1,0))</f>
        <v/>
      </c>
      <c r="BP973" s="35" t="str">
        <f aca="false">IF(AO973&lt;&gt;1,"",IF(Y973="Oui",1,0))</f>
        <v/>
      </c>
      <c r="BQ973" s="35" t="str">
        <f aca="true">IF(OR(AO973&lt;&gt;1,Z973&lt;&gt;"Oui"),"",IF(AB973="",IF(AND(AA973&lt;&gt;"",NOW()&gt;AA973),0,""),IF(AA973="","",IF(AB973&lt;=AA973,1,0))))</f>
        <v/>
      </c>
      <c r="BR973" s="38" t="str">
        <f aca="false">IF(OR(AO973&lt;&gt;1,K973&lt;&gt;"Oui",O973=""),"",IF(AC973="",O973+DORA_H_DET/24,IF(AC973-O973&lt;=DORA_H_DET/24,MIN(AC973+DORA_H_CLA/24,O973+DORA_H_DET/24),AC973+DORA_H_CLA/24)))</f>
        <v/>
      </c>
      <c r="BS973" s="35" t="str">
        <f aca="true">IF(BR973="","",IF(AD973="",IF(NOW()&gt;BR973,0,""),IF(AD973&lt;=BR973,1,0)))</f>
        <v/>
      </c>
      <c r="BT973" s="35" t="str">
        <f aca="true">IF(OR(BR973="",AD973=""),"",IF(AE973="",IF(NOW()&gt;AD973+DORA_H_INT/24,0,""),IF(AE973&lt;=AD973+DORA_H_INT/24,1,0)))</f>
        <v/>
      </c>
      <c r="BU973" s="35" t="str">
        <f aca="true">IF(OR(BR973="",AE973=""),"",IF(AF973="",IF(NOW()&gt;EDATE(AE973,DORA_M_FIN)+1,0,""),IF(AF973&lt;=EDATE(AE973,DORA_M_FIN),1,0)))</f>
        <v/>
      </c>
      <c r="BV973" s="35" t="str">
        <f aca="false">IF(BR973="","",IF(COUNT(BS973:BU973)=0,"",MIN(BS973:BU973)))</f>
        <v/>
      </c>
      <c r="BW973" s="40" t="str">
        <f aca="false">IF(AQ973&lt;&gt;1,"",IF(AND(AG973="",AH973=""),"",N(AG973)-N(AH973)))</f>
        <v/>
      </c>
      <c r="BX973" s="35" t="str">
        <f aca="true">IF(OR(AQ973&lt;&gt;1,AI973&lt;&gt;"Oui",AJ973=""),"",IF(AK973="",IF(NOW()&gt;AJ973+1,0,""),IF(AK973&lt;=AJ973,1,0)))</f>
        <v/>
      </c>
    </row>
    <row r="974" customFormat="false" ht="15" hidden="false" customHeight="false" outlineLevel="0" collapsed="false">
      <c r="B974" s="29"/>
      <c r="C974" s="29"/>
      <c r="D974" s="29"/>
      <c r="E974" s="29"/>
      <c r="F974" s="29"/>
      <c r="G974" s="29"/>
      <c r="H974" s="29"/>
      <c r="I974" s="29"/>
      <c r="J974" s="29"/>
      <c r="K974" s="29"/>
      <c r="L974" s="29"/>
      <c r="M974" s="29"/>
      <c r="N974" s="30"/>
      <c r="O974" s="30"/>
      <c r="P974" s="30"/>
      <c r="Q974" s="30"/>
      <c r="R974" s="30"/>
      <c r="S974" s="30"/>
      <c r="T974" s="30"/>
      <c r="U974" s="30"/>
      <c r="V974" s="31"/>
      <c r="W974" s="29"/>
      <c r="X974" s="29"/>
      <c r="Y974" s="29"/>
      <c r="Z974" s="29"/>
      <c r="AA974" s="30"/>
      <c r="AB974" s="30"/>
      <c r="AC974" s="30"/>
      <c r="AD974" s="30"/>
      <c r="AE974" s="30"/>
      <c r="AF974" s="32"/>
      <c r="AG974" s="33"/>
      <c r="AH974" s="33"/>
      <c r="AI974" s="29"/>
      <c r="AJ974" s="32"/>
      <c r="AK974" s="32"/>
      <c r="AL974" s="29"/>
      <c r="AN974" s="34" t="str">
        <f aca="false">IF($B974="","",IF(OR(C974="",D974="",E974="",G974="",I974="",J974="",L974="",O974="",P974=""),"Champ obligatoire manquant",IF(OR(AND(N974&lt;&gt;"",N974&gt;O974),O974&gt;P974,AND(Q974&lt;&gt;"",Q974&lt;P974),AND(R974&lt;&gt;"",R974&lt;P974),AND(S974&lt;&gt;"",S974&lt;R974),AND(S974&lt;&gt;"",R974=""),AND(T974&lt;&gt;"",T974&lt;O974),AND(U974&lt;&gt;"",U974&lt;O974)),"Chronologie incohérente",IF(AND(OR(L974="Résolu",L974="Clos"),R974=""),"Date de résolution manquante",IF(AND(L974="Clos",S974=""),"Date de clôture manquante",IF(AND(K974="Oui",AC974=""),"Classification DORA manquante","OK"))))))</f>
        <v/>
      </c>
      <c r="AO974" s="35" t="str">
        <f aca="false">IF($B974="","",IF(AND(C974="Incident",L974&lt;&gt;"Annulé"),1,0))</f>
        <v/>
      </c>
      <c r="AP974" s="35" t="str">
        <f aca="false">IF($B974="","",IF(AND(C974="Quasi-incident",L974&lt;&gt;"Annulé"),1,0))</f>
        <v/>
      </c>
      <c r="AQ974" s="35" t="str">
        <f aca="false">IF($B974="","",AO974+AP974)</f>
        <v/>
      </c>
      <c r="AR974" s="36" t="str">
        <f aca="false">IF(OR($B974="",J974=""),"",IFERROR(VALUE(LEFT(J974,1)),""))</f>
        <v/>
      </c>
      <c r="AS974" s="35" t="str">
        <f aca="false">IF(OR(AO974&lt;&gt;1,G974=""),"",IFERROR(IF(INDEX(L_SrcInterne,MATCH(G974,L_Sources,0))="Oui",1,0),""))</f>
        <v/>
      </c>
      <c r="AT974" s="37" t="str">
        <f aca="false">IF(AO974&lt;&gt;1,"",IFERROR(ROUND(IF(OR(N974="",O974=""),"",IF(O974&lt;N974,"",ROUND(((NETWORKDAYS(N974,O974,JoursFeries)-1)*(HFer-HOuv)+IF(NETWORKDAYS(O974,O974,JoursFeries),MEDIAN(MOD(O974,1),HFer,HOuv),HFer)-IF(NETWORKDAYS(N974,N974,JoursFeries),MEDIAN(MOD(N974,1),HFer,HOuv),HOuv))*24,4)))/HJour,4),""))</f>
        <v/>
      </c>
      <c r="AU974" s="37" t="str">
        <f aca="false">IF(AO974&lt;&gt;1,"",IF(OR(O974="",P974=""),"",IF(P974&lt;O974,"",ROUND(((NETWORKDAYS(O974,P974,JoursFeries)-1)*(HFer-HOuv)+IF(NETWORKDAYS(P974,P974,JoursFeries),MEDIAN(MOD(P974,1),HFer,HOuv),HFer)-IF(NETWORKDAYS(O974,O974,JoursFeries),MEDIAN(MOD(O974,1),HFer,HOuv),HOuv))*24,4))))</f>
        <v/>
      </c>
      <c r="AV974" s="37" t="str">
        <f aca="false">IF(AO974&lt;&gt;1,"",IF(OR(P974="",Q974=""),"",IF(Q974&lt;P974,"",ROUND(((NETWORKDAYS(P974,Q974,JoursFeries)-1)*(HFer-HOuv)+IF(NETWORKDAYS(Q974,Q974,JoursFeries),MEDIAN(MOD(Q974,1),HFer,HOuv),HFer)-IF(NETWORKDAYS(P974,P974,JoursFeries),MEDIAN(MOD(P974,1),HFer,HOuv),HOuv))*24,4))))</f>
        <v/>
      </c>
      <c r="AW974" s="37" t="str">
        <f aca="false">IF(AO974&lt;&gt;1,"",IFERROR(ROUND(IF(OR(P974="",R974=""),"",IF(R974&lt;P974,"",ROUND(((NETWORKDAYS(P974,R974,JoursFeries)-1)*(HFer-HOuv)+IF(NETWORKDAYS(R974,R974,JoursFeries),MEDIAN(MOD(R974,1),HFer,HOuv),HFer)-IF(NETWORKDAYS(P974,P974,JoursFeries),MEDIAN(MOD(P974,1),HFer,HOuv),HOuv))*24,4)))/HJour,4),""))</f>
        <v/>
      </c>
      <c r="AX974" s="37" t="str">
        <f aca="false">IF(AO974&lt;&gt;1,"",IFERROR(ROUND(IF(OR(P974="",S974=""),"",IF(S974&lt;P974,"",ROUND(((NETWORKDAYS(P974,S974,JoursFeries)-1)*(HFer-HOuv)+IF(NETWORKDAYS(S974,S974,JoursFeries),MEDIAN(MOD(S974,1),HFer,HOuv),HFer)-IF(NETWORKDAYS(P974,P974,JoursFeries),MEDIAN(MOD(P974,1),HFer,HOuv),HOuv))*24,4)))/HJour,4),""))</f>
        <v/>
      </c>
      <c r="AY974" s="36" t="str">
        <f aca="false">IF(OR(AO974&lt;&gt;1,AR974=""),"",INDEX(SLA_PEC,AR974))</f>
        <v/>
      </c>
      <c r="AZ974" s="35" t="str">
        <f aca="false">IF(OR(AV974="",AY974=""),"",IF(AV974&lt;=AY974,1,0))</f>
        <v/>
      </c>
      <c r="BA974" s="36" t="str">
        <f aca="false">IF(OR(AO974&lt;&gt;1,AR974=""),"",INDEX(SLA_RES,AR974))</f>
        <v/>
      </c>
      <c r="BB974" s="35" t="str">
        <f aca="false">IF(OR(AW974="",BA974=""),"",IF(AW974&lt;=BA974,1,0))</f>
        <v/>
      </c>
      <c r="BC974" s="38" t="str">
        <f aca="false">IF(OR(BA974="",P974=""),"",WORKDAY(INT(P974),BA974,JoursFeries)+MOD(P974,1))</f>
        <v/>
      </c>
      <c r="BD974" s="39" t="str">
        <f aca="false">IF(AO974&lt;&gt;1,"",IF(OR(AB974&lt;&gt;"",AD974&lt;&gt;""),4,IF(U974&lt;&gt;"",3,IF(T974&lt;&gt;"",2,1))))</f>
        <v/>
      </c>
      <c r="BE974" s="39" t="str">
        <f aca="false">IF(OR(AO974&lt;&gt;1,AR974=""),"",INDEX(NIV_REQ,AR974))</f>
        <v/>
      </c>
      <c r="BF974" s="39" t="str">
        <f aca="false">IF(BE974="","",MAX(BE974,IF(OR(K974="Oui",Z974="Oui"),4,1)))</f>
        <v/>
      </c>
      <c r="BG974" s="35" t="str">
        <f aca="false">IF(OR(BF974="",BD974=""),"",IF(BD974&gt;=BF974,1,0))</f>
        <v/>
      </c>
      <c r="BH974" s="38" t="str">
        <f aca="false">IF(BE974="","",IF(BE974&lt;2,"",IF(BE974=2,IF(AND(T974="",U974=""),"",MIN(T974,U974)),IF(U974="","",U974))))</f>
        <v/>
      </c>
      <c r="BI974" s="37" t="str">
        <f aca="false">IF(BH974="","",IF(OR(O974="",BH974=""),"",IF(BH974&lt;O974,"",ROUND(((NETWORKDAYS(O974,BH974,JoursFeries)-1)*(HFer-HOuv)+IF(NETWORKDAYS(BH974,BH974,JoursFeries),MEDIAN(MOD(BH974,1),HFer,HOuv),HFer)-IF(NETWORKDAYS(O974,O974,JoursFeries),MEDIAN(MOD(O974,1),HFer,HOuv),HOuv))*24,4))))</f>
        <v/>
      </c>
      <c r="BJ974" s="35" t="str">
        <f aca="false">IF(OR(BI974="",AR974=""),"",IF(BI974&lt;=INDEX(DELAI_ESC,AR974),1,0))</f>
        <v/>
      </c>
      <c r="BK974" s="38" t="str">
        <f aca="false">IF(AO974&lt;&gt;1,"",IF(AND(T974="",U974=""),"",MIN(T974,U974)))</f>
        <v/>
      </c>
      <c r="BL974" s="37" t="str">
        <f aca="false">IF(OR(BK974="",R974=""),"",IFERROR(ROUND(IF(OR(BK974="",R974=""),"",IF(R974&lt;BK974,"",ROUND(((NETWORKDAYS(BK974,R974,JoursFeries)-1)*(HFer-HOuv)+IF(NETWORKDAYS(R974,R974,JoursFeries),MEDIAN(MOD(R974,1),HFer,HOuv),HFer)-IF(NETWORKDAYS(BK974,BK974,JoursFeries),MEDIAN(MOD(BK974,1),HFer,HOuv),HOuv))*24,4)))/HJour,4),""))</f>
        <v/>
      </c>
      <c r="BM974" s="35" t="str">
        <f aca="false">IF(OR(AO974&lt;&gt;1,R974=""),"",IF(BD974=1,1,0))</f>
        <v/>
      </c>
      <c r="BN974" s="35" t="str">
        <f aca="false">IF(AO974&lt;&gt;1,"",IF(W974="Oui",1,0))</f>
        <v/>
      </c>
      <c r="BO974" s="35" t="str">
        <f aca="false">IF(AO974&lt;&gt;1,"",IF(X974&lt;&gt;"",1,0))</f>
        <v/>
      </c>
      <c r="BP974" s="35" t="str">
        <f aca="false">IF(AO974&lt;&gt;1,"",IF(Y974="Oui",1,0))</f>
        <v/>
      </c>
      <c r="BQ974" s="35" t="str">
        <f aca="true">IF(OR(AO974&lt;&gt;1,Z974&lt;&gt;"Oui"),"",IF(AB974="",IF(AND(AA974&lt;&gt;"",NOW()&gt;AA974),0,""),IF(AA974="","",IF(AB974&lt;=AA974,1,0))))</f>
        <v/>
      </c>
      <c r="BR974" s="38" t="str">
        <f aca="false">IF(OR(AO974&lt;&gt;1,K974&lt;&gt;"Oui",O974=""),"",IF(AC974="",O974+DORA_H_DET/24,IF(AC974-O974&lt;=DORA_H_DET/24,MIN(AC974+DORA_H_CLA/24,O974+DORA_H_DET/24),AC974+DORA_H_CLA/24)))</f>
        <v/>
      </c>
      <c r="BS974" s="35" t="str">
        <f aca="true">IF(BR974="","",IF(AD974="",IF(NOW()&gt;BR974,0,""),IF(AD974&lt;=BR974,1,0)))</f>
        <v/>
      </c>
      <c r="BT974" s="35" t="str">
        <f aca="true">IF(OR(BR974="",AD974=""),"",IF(AE974="",IF(NOW()&gt;AD974+DORA_H_INT/24,0,""),IF(AE974&lt;=AD974+DORA_H_INT/24,1,0)))</f>
        <v/>
      </c>
      <c r="BU974" s="35" t="str">
        <f aca="true">IF(OR(BR974="",AE974=""),"",IF(AF974="",IF(NOW()&gt;EDATE(AE974,DORA_M_FIN)+1,0,""),IF(AF974&lt;=EDATE(AE974,DORA_M_FIN),1,0)))</f>
        <v/>
      </c>
      <c r="BV974" s="35" t="str">
        <f aca="false">IF(BR974="","",IF(COUNT(BS974:BU974)=0,"",MIN(BS974:BU974)))</f>
        <v/>
      </c>
      <c r="BW974" s="40" t="str">
        <f aca="false">IF(AQ974&lt;&gt;1,"",IF(AND(AG974="",AH974=""),"",N(AG974)-N(AH974)))</f>
        <v/>
      </c>
      <c r="BX974" s="35" t="str">
        <f aca="true">IF(OR(AQ974&lt;&gt;1,AI974&lt;&gt;"Oui",AJ974=""),"",IF(AK974="",IF(NOW()&gt;AJ974+1,0,""),IF(AK974&lt;=AJ974,1,0)))</f>
        <v/>
      </c>
    </row>
    <row r="975" customFormat="false" ht="15" hidden="false" customHeight="false" outlineLevel="0" collapsed="false">
      <c r="B975" s="29"/>
      <c r="C975" s="29"/>
      <c r="D975" s="29"/>
      <c r="E975" s="29"/>
      <c r="F975" s="29"/>
      <c r="G975" s="29"/>
      <c r="H975" s="29"/>
      <c r="I975" s="29"/>
      <c r="J975" s="29"/>
      <c r="K975" s="29"/>
      <c r="L975" s="29"/>
      <c r="M975" s="29"/>
      <c r="N975" s="30"/>
      <c r="O975" s="30"/>
      <c r="P975" s="30"/>
      <c r="Q975" s="30"/>
      <c r="R975" s="30"/>
      <c r="S975" s="30"/>
      <c r="T975" s="30"/>
      <c r="U975" s="30"/>
      <c r="V975" s="31"/>
      <c r="W975" s="29"/>
      <c r="X975" s="29"/>
      <c r="Y975" s="29"/>
      <c r="Z975" s="29"/>
      <c r="AA975" s="30"/>
      <c r="AB975" s="30"/>
      <c r="AC975" s="30"/>
      <c r="AD975" s="30"/>
      <c r="AE975" s="30"/>
      <c r="AF975" s="32"/>
      <c r="AG975" s="33"/>
      <c r="AH975" s="33"/>
      <c r="AI975" s="29"/>
      <c r="AJ975" s="32"/>
      <c r="AK975" s="32"/>
      <c r="AL975" s="29"/>
      <c r="AN975" s="34" t="str">
        <f aca="false">IF($B975="","",IF(OR(C975="",D975="",E975="",G975="",I975="",J975="",L975="",O975="",P975=""),"Champ obligatoire manquant",IF(OR(AND(N975&lt;&gt;"",N975&gt;O975),O975&gt;P975,AND(Q975&lt;&gt;"",Q975&lt;P975),AND(R975&lt;&gt;"",R975&lt;P975),AND(S975&lt;&gt;"",S975&lt;R975),AND(S975&lt;&gt;"",R975=""),AND(T975&lt;&gt;"",T975&lt;O975),AND(U975&lt;&gt;"",U975&lt;O975)),"Chronologie incohérente",IF(AND(OR(L975="Résolu",L975="Clos"),R975=""),"Date de résolution manquante",IF(AND(L975="Clos",S975=""),"Date de clôture manquante",IF(AND(K975="Oui",AC975=""),"Classification DORA manquante","OK"))))))</f>
        <v/>
      </c>
      <c r="AO975" s="35" t="str">
        <f aca="false">IF($B975="","",IF(AND(C975="Incident",L975&lt;&gt;"Annulé"),1,0))</f>
        <v/>
      </c>
      <c r="AP975" s="35" t="str">
        <f aca="false">IF($B975="","",IF(AND(C975="Quasi-incident",L975&lt;&gt;"Annulé"),1,0))</f>
        <v/>
      </c>
      <c r="AQ975" s="35" t="str">
        <f aca="false">IF($B975="","",AO975+AP975)</f>
        <v/>
      </c>
      <c r="AR975" s="36" t="str">
        <f aca="false">IF(OR($B975="",J975=""),"",IFERROR(VALUE(LEFT(J975,1)),""))</f>
        <v/>
      </c>
      <c r="AS975" s="35" t="str">
        <f aca="false">IF(OR(AO975&lt;&gt;1,G975=""),"",IFERROR(IF(INDEX(L_SrcInterne,MATCH(G975,L_Sources,0))="Oui",1,0),""))</f>
        <v/>
      </c>
      <c r="AT975" s="37" t="str">
        <f aca="false">IF(AO975&lt;&gt;1,"",IFERROR(ROUND(IF(OR(N975="",O975=""),"",IF(O975&lt;N975,"",ROUND(((NETWORKDAYS(N975,O975,JoursFeries)-1)*(HFer-HOuv)+IF(NETWORKDAYS(O975,O975,JoursFeries),MEDIAN(MOD(O975,1),HFer,HOuv),HFer)-IF(NETWORKDAYS(N975,N975,JoursFeries),MEDIAN(MOD(N975,1),HFer,HOuv),HOuv))*24,4)))/HJour,4),""))</f>
        <v/>
      </c>
      <c r="AU975" s="37" t="str">
        <f aca="false">IF(AO975&lt;&gt;1,"",IF(OR(O975="",P975=""),"",IF(P975&lt;O975,"",ROUND(((NETWORKDAYS(O975,P975,JoursFeries)-1)*(HFer-HOuv)+IF(NETWORKDAYS(P975,P975,JoursFeries),MEDIAN(MOD(P975,1),HFer,HOuv),HFer)-IF(NETWORKDAYS(O975,O975,JoursFeries),MEDIAN(MOD(O975,1),HFer,HOuv),HOuv))*24,4))))</f>
        <v/>
      </c>
      <c r="AV975" s="37" t="str">
        <f aca="false">IF(AO975&lt;&gt;1,"",IF(OR(P975="",Q975=""),"",IF(Q975&lt;P975,"",ROUND(((NETWORKDAYS(P975,Q975,JoursFeries)-1)*(HFer-HOuv)+IF(NETWORKDAYS(Q975,Q975,JoursFeries),MEDIAN(MOD(Q975,1),HFer,HOuv),HFer)-IF(NETWORKDAYS(P975,P975,JoursFeries),MEDIAN(MOD(P975,1),HFer,HOuv),HOuv))*24,4))))</f>
        <v/>
      </c>
      <c r="AW975" s="37" t="str">
        <f aca="false">IF(AO975&lt;&gt;1,"",IFERROR(ROUND(IF(OR(P975="",R975=""),"",IF(R975&lt;P975,"",ROUND(((NETWORKDAYS(P975,R975,JoursFeries)-1)*(HFer-HOuv)+IF(NETWORKDAYS(R975,R975,JoursFeries),MEDIAN(MOD(R975,1),HFer,HOuv),HFer)-IF(NETWORKDAYS(P975,P975,JoursFeries),MEDIAN(MOD(P975,1),HFer,HOuv),HOuv))*24,4)))/HJour,4),""))</f>
        <v/>
      </c>
      <c r="AX975" s="37" t="str">
        <f aca="false">IF(AO975&lt;&gt;1,"",IFERROR(ROUND(IF(OR(P975="",S975=""),"",IF(S975&lt;P975,"",ROUND(((NETWORKDAYS(P975,S975,JoursFeries)-1)*(HFer-HOuv)+IF(NETWORKDAYS(S975,S975,JoursFeries),MEDIAN(MOD(S975,1),HFer,HOuv),HFer)-IF(NETWORKDAYS(P975,P975,JoursFeries),MEDIAN(MOD(P975,1),HFer,HOuv),HOuv))*24,4)))/HJour,4),""))</f>
        <v/>
      </c>
      <c r="AY975" s="36" t="str">
        <f aca="false">IF(OR(AO975&lt;&gt;1,AR975=""),"",INDEX(SLA_PEC,AR975))</f>
        <v/>
      </c>
      <c r="AZ975" s="35" t="str">
        <f aca="false">IF(OR(AV975="",AY975=""),"",IF(AV975&lt;=AY975,1,0))</f>
        <v/>
      </c>
      <c r="BA975" s="36" t="str">
        <f aca="false">IF(OR(AO975&lt;&gt;1,AR975=""),"",INDEX(SLA_RES,AR975))</f>
        <v/>
      </c>
      <c r="BB975" s="35" t="str">
        <f aca="false">IF(OR(AW975="",BA975=""),"",IF(AW975&lt;=BA975,1,0))</f>
        <v/>
      </c>
      <c r="BC975" s="38" t="str">
        <f aca="false">IF(OR(BA975="",P975=""),"",WORKDAY(INT(P975),BA975,JoursFeries)+MOD(P975,1))</f>
        <v/>
      </c>
      <c r="BD975" s="39" t="str">
        <f aca="false">IF(AO975&lt;&gt;1,"",IF(OR(AB975&lt;&gt;"",AD975&lt;&gt;""),4,IF(U975&lt;&gt;"",3,IF(T975&lt;&gt;"",2,1))))</f>
        <v/>
      </c>
      <c r="BE975" s="39" t="str">
        <f aca="false">IF(OR(AO975&lt;&gt;1,AR975=""),"",INDEX(NIV_REQ,AR975))</f>
        <v/>
      </c>
      <c r="BF975" s="39" t="str">
        <f aca="false">IF(BE975="","",MAX(BE975,IF(OR(K975="Oui",Z975="Oui"),4,1)))</f>
        <v/>
      </c>
      <c r="BG975" s="35" t="str">
        <f aca="false">IF(OR(BF975="",BD975=""),"",IF(BD975&gt;=BF975,1,0))</f>
        <v/>
      </c>
      <c r="BH975" s="38" t="str">
        <f aca="false">IF(BE975="","",IF(BE975&lt;2,"",IF(BE975=2,IF(AND(T975="",U975=""),"",MIN(T975,U975)),IF(U975="","",U975))))</f>
        <v/>
      </c>
      <c r="BI975" s="37" t="str">
        <f aca="false">IF(BH975="","",IF(OR(O975="",BH975=""),"",IF(BH975&lt;O975,"",ROUND(((NETWORKDAYS(O975,BH975,JoursFeries)-1)*(HFer-HOuv)+IF(NETWORKDAYS(BH975,BH975,JoursFeries),MEDIAN(MOD(BH975,1),HFer,HOuv),HFer)-IF(NETWORKDAYS(O975,O975,JoursFeries),MEDIAN(MOD(O975,1),HFer,HOuv),HOuv))*24,4))))</f>
        <v/>
      </c>
      <c r="BJ975" s="35" t="str">
        <f aca="false">IF(OR(BI975="",AR975=""),"",IF(BI975&lt;=INDEX(DELAI_ESC,AR975),1,0))</f>
        <v/>
      </c>
      <c r="BK975" s="38" t="str">
        <f aca="false">IF(AO975&lt;&gt;1,"",IF(AND(T975="",U975=""),"",MIN(T975,U975)))</f>
        <v/>
      </c>
      <c r="BL975" s="37" t="str">
        <f aca="false">IF(OR(BK975="",R975=""),"",IFERROR(ROUND(IF(OR(BK975="",R975=""),"",IF(R975&lt;BK975,"",ROUND(((NETWORKDAYS(BK975,R975,JoursFeries)-1)*(HFer-HOuv)+IF(NETWORKDAYS(R975,R975,JoursFeries),MEDIAN(MOD(R975,1),HFer,HOuv),HFer)-IF(NETWORKDAYS(BK975,BK975,JoursFeries),MEDIAN(MOD(BK975,1),HFer,HOuv),HOuv))*24,4)))/HJour,4),""))</f>
        <v/>
      </c>
      <c r="BM975" s="35" t="str">
        <f aca="false">IF(OR(AO975&lt;&gt;1,R975=""),"",IF(BD975=1,1,0))</f>
        <v/>
      </c>
      <c r="BN975" s="35" t="str">
        <f aca="false">IF(AO975&lt;&gt;1,"",IF(W975="Oui",1,0))</f>
        <v/>
      </c>
      <c r="BO975" s="35" t="str">
        <f aca="false">IF(AO975&lt;&gt;1,"",IF(X975&lt;&gt;"",1,0))</f>
        <v/>
      </c>
      <c r="BP975" s="35" t="str">
        <f aca="false">IF(AO975&lt;&gt;1,"",IF(Y975="Oui",1,0))</f>
        <v/>
      </c>
      <c r="BQ975" s="35" t="str">
        <f aca="true">IF(OR(AO975&lt;&gt;1,Z975&lt;&gt;"Oui"),"",IF(AB975="",IF(AND(AA975&lt;&gt;"",NOW()&gt;AA975),0,""),IF(AA975="","",IF(AB975&lt;=AA975,1,0))))</f>
        <v/>
      </c>
      <c r="BR975" s="38" t="str">
        <f aca="false">IF(OR(AO975&lt;&gt;1,K975&lt;&gt;"Oui",O975=""),"",IF(AC975="",O975+DORA_H_DET/24,IF(AC975-O975&lt;=DORA_H_DET/24,MIN(AC975+DORA_H_CLA/24,O975+DORA_H_DET/24),AC975+DORA_H_CLA/24)))</f>
        <v/>
      </c>
      <c r="BS975" s="35" t="str">
        <f aca="true">IF(BR975="","",IF(AD975="",IF(NOW()&gt;BR975,0,""),IF(AD975&lt;=BR975,1,0)))</f>
        <v/>
      </c>
      <c r="BT975" s="35" t="str">
        <f aca="true">IF(OR(BR975="",AD975=""),"",IF(AE975="",IF(NOW()&gt;AD975+DORA_H_INT/24,0,""),IF(AE975&lt;=AD975+DORA_H_INT/24,1,0)))</f>
        <v/>
      </c>
      <c r="BU975" s="35" t="str">
        <f aca="true">IF(OR(BR975="",AE975=""),"",IF(AF975="",IF(NOW()&gt;EDATE(AE975,DORA_M_FIN)+1,0,""),IF(AF975&lt;=EDATE(AE975,DORA_M_FIN),1,0)))</f>
        <v/>
      </c>
      <c r="BV975" s="35" t="str">
        <f aca="false">IF(BR975="","",IF(COUNT(BS975:BU975)=0,"",MIN(BS975:BU975)))</f>
        <v/>
      </c>
      <c r="BW975" s="40" t="str">
        <f aca="false">IF(AQ975&lt;&gt;1,"",IF(AND(AG975="",AH975=""),"",N(AG975)-N(AH975)))</f>
        <v/>
      </c>
      <c r="BX975" s="35" t="str">
        <f aca="true">IF(OR(AQ975&lt;&gt;1,AI975&lt;&gt;"Oui",AJ975=""),"",IF(AK975="",IF(NOW()&gt;AJ975+1,0,""),IF(AK975&lt;=AJ975,1,0)))</f>
        <v/>
      </c>
    </row>
    <row r="976" customFormat="false" ht="15" hidden="false" customHeight="false" outlineLevel="0" collapsed="false">
      <c r="B976" s="29"/>
      <c r="C976" s="29"/>
      <c r="D976" s="29"/>
      <c r="E976" s="29"/>
      <c r="F976" s="29"/>
      <c r="G976" s="29"/>
      <c r="H976" s="29"/>
      <c r="I976" s="29"/>
      <c r="J976" s="29"/>
      <c r="K976" s="29"/>
      <c r="L976" s="29"/>
      <c r="M976" s="29"/>
      <c r="N976" s="30"/>
      <c r="O976" s="30"/>
      <c r="P976" s="30"/>
      <c r="Q976" s="30"/>
      <c r="R976" s="30"/>
      <c r="S976" s="30"/>
      <c r="T976" s="30"/>
      <c r="U976" s="30"/>
      <c r="V976" s="31"/>
      <c r="W976" s="29"/>
      <c r="X976" s="29"/>
      <c r="Y976" s="29"/>
      <c r="Z976" s="29"/>
      <c r="AA976" s="30"/>
      <c r="AB976" s="30"/>
      <c r="AC976" s="30"/>
      <c r="AD976" s="30"/>
      <c r="AE976" s="30"/>
      <c r="AF976" s="32"/>
      <c r="AG976" s="33"/>
      <c r="AH976" s="33"/>
      <c r="AI976" s="29"/>
      <c r="AJ976" s="32"/>
      <c r="AK976" s="32"/>
      <c r="AL976" s="29"/>
      <c r="AN976" s="34" t="str">
        <f aca="false">IF($B976="","",IF(OR(C976="",D976="",E976="",G976="",I976="",J976="",L976="",O976="",P976=""),"Champ obligatoire manquant",IF(OR(AND(N976&lt;&gt;"",N976&gt;O976),O976&gt;P976,AND(Q976&lt;&gt;"",Q976&lt;P976),AND(R976&lt;&gt;"",R976&lt;P976),AND(S976&lt;&gt;"",S976&lt;R976),AND(S976&lt;&gt;"",R976=""),AND(T976&lt;&gt;"",T976&lt;O976),AND(U976&lt;&gt;"",U976&lt;O976)),"Chronologie incohérente",IF(AND(OR(L976="Résolu",L976="Clos"),R976=""),"Date de résolution manquante",IF(AND(L976="Clos",S976=""),"Date de clôture manquante",IF(AND(K976="Oui",AC976=""),"Classification DORA manquante","OK"))))))</f>
        <v/>
      </c>
      <c r="AO976" s="35" t="str">
        <f aca="false">IF($B976="","",IF(AND(C976="Incident",L976&lt;&gt;"Annulé"),1,0))</f>
        <v/>
      </c>
      <c r="AP976" s="35" t="str">
        <f aca="false">IF($B976="","",IF(AND(C976="Quasi-incident",L976&lt;&gt;"Annulé"),1,0))</f>
        <v/>
      </c>
      <c r="AQ976" s="35" t="str">
        <f aca="false">IF($B976="","",AO976+AP976)</f>
        <v/>
      </c>
      <c r="AR976" s="36" t="str">
        <f aca="false">IF(OR($B976="",J976=""),"",IFERROR(VALUE(LEFT(J976,1)),""))</f>
        <v/>
      </c>
      <c r="AS976" s="35" t="str">
        <f aca="false">IF(OR(AO976&lt;&gt;1,G976=""),"",IFERROR(IF(INDEX(L_SrcInterne,MATCH(G976,L_Sources,0))="Oui",1,0),""))</f>
        <v/>
      </c>
      <c r="AT976" s="37" t="str">
        <f aca="false">IF(AO976&lt;&gt;1,"",IFERROR(ROUND(IF(OR(N976="",O976=""),"",IF(O976&lt;N976,"",ROUND(((NETWORKDAYS(N976,O976,JoursFeries)-1)*(HFer-HOuv)+IF(NETWORKDAYS(O976,O976,JoursFeries),MEDIAN(MOD(O976,1),HFer,HOuv),HFer)-IF(NETWORKDAYS(N976,N976,JoursFeries),MEDIAN(MOD(N976,1),HFer,HOuv),HOuv))*24,4)))/HJour,4),""))</f>
        <v/>
      </c>
      <c r="AU976" s="37" t="str">
        <f aca="false">IF(AO976&lt;&gt;1,"",IF(OR(O976="",P976=""),"",IF(P976&lt;O976,"",ROUND(((NETWORKDAYS(O976,P976,JoursFeries)-1)*(HFer-HOuv)+IF(NETWORKDAYS(P976,P976,JoursFeries),MEDIAN(MOD(P976,1),HFer,HOuv),HFer)-IF(NETWORKDAYS(O976,O976,JoursFeries),MEDIAN(MOD(O976,1),HFer,HOuv),HOuv))*24,4))))</f>
        <v/>
      </c>
      <c r="AV976" s="37" t="str">
        <f aca="false">IF(AO976&lt;&gt;1,"",IF(OR(P976="",Q976=""),"",IF(Q976&lt;P976,"",ROUND(((NETWORKDAYS(P976,Q976,JoursFeries)-1)*(HFer-HOuv)+IF(NETWORKDAYS(Q976,Q976,JoursFeries),MEDIAN(MOD(Q976,1),HFer,HOuv),HFer)-IF(NETWORKDAYS(P976,P976,JoursFeries),MEDIAN(MOD(P976,1),HFer,HOuv),HOuv))*24,4))))</f>
        <v/>
      </c>
      <c r="AW976" s="37" t="str">
        <f aca="false">IF(AO976&lt;&gt;1,"",IFERROR(ROUND(IF(OR(P976="",R976=""),"",IF(R976&lt;P976,"",ROUND(((NETWORKDAYS(P976,R976,JoursFeries)-1)*(HFer-HOuv)+IF(NETWORKDAYS(R976,R976,JoursFeries),MEDIAN(MOD(R976,1),HFer,HOuv),HFer)-IF(NETWORKDAYS(P976,P976,JoursFeries),MEDIAN(MOD(P976,1),HFer,HOuv),HOuv))*24,4)))/HJour,4),""))</f>
        <v/>
      </c>
      <c r="AX976" s="37" t="str">
        <f aca="false">IF(AO976&lt;&gt;1,"",IFERROR(ROUND(IF(OR(P976="",S976=""),"",IF(S976&lt;P976,"",ROUND(((NETWORKDAYS(P976,S976,JoursFeries)-1)*(HFer-HOuv)+IF(NETWORKDAYS(S976,S976,JoursFeries),MEDIAN(MOD(S976,1),HFer,HOuv),HFer)-IF(NETWORKDAYS(P976,P976,JoursFeries),MEDIAN(MOD(P976,1),HFer,HOuv),HOuv))*24,4)))/HJour,4),""))</f>
        <v/>
      </c>
      <c r="AY976" s="36" t="str">
        <f aca="false">IF(OR(AO976&lt;&gt;1,AR976=""),"",INDEX(SLA_PEC,AR976))</f>
        <v/>
      </c>
      <c r="AZ976" s="35" t="str">
        <f aca="false">IF(OR(AV976="",AY976=""),"",IF(AV976&lt;=AY976,1,0))</f>
        <v/>
      </c>
      <c r="BA976" s="36" t="str">
        <f aca="false">IF(OR(AO976&lt;&gt;1,AR976=""),"",INDEX(SLA_RES,AR976))</f>
        <v/>
      </c>
      <c r="BB976" s="35" t="str">
        <f aca="false">IF(OR(AW976="",BA976=""),"",IF(AW976&lt;=BA976,1,0))</f>
        <v/>
      </c>
      <c r="BC976" s="38" t="str">
        <f aca="false">IF(OR(BA976="",P976=""),"",WORKDAY(INT(P976),BA976,JoursFeries)+MOD(P976,1))</f>
        <v/>
      </c>
      <c r="BD976" s="39" t="str">
        <f aca="false">IF(AO976&lt;&gt;1,"",IF(OR(AB976&lt;&gt;"",AD976&lt;&gt;""),4,IF(U976&lt;&gt;"",3,IF(T976&lt;&gt;"",2,1))))</f>
        <v/>
      </c>
      <c r="BE976" s="39" t="str">
        <f aca="false">IF(OR(AO976&lt;&gt;1,AR976=""),"",INDEX(NIV_REQ,AR976))</f>
        <v/>
      </c>
      <c r="BF976" s="39" t="str">
        <f aca="false">IF(BE976="","",MAX(BE976,IF(OR(K976="Oui",Z976="Oui"),4,1)))</f>
        <v/>
      </c>
      <c r="BG976" s="35" t="str">
        <f aca="false">IF(OR(BF976="",BD976=""),"",IF(BD976&gt;=BF976,1,0))</f>
        <v/>
      </c>
      <c r="BH976" s="38" t="str">
        <f aca="false">IF(BE976="","",IF(BE976&lt;2,"",IF(BE976=2,IF(AND(T976="",U976=""),"",MIN(T976,U976)),IF(U976="","",U976))))</f>
        <v/>
      </c>
      <c r="BI976" s="37" t="str">
        <f aca="false">IF(BH976="","",IF(OR(O976="",BH976=""),"",IF(BH976&lt;O976,"",ROUND(((NETWORKDAYS(O976,BH976,JoursFeries)-1)*(HFer-HOuv)+IF(NETWORKDAYS(BH976,BH976,JoursFeries),MEDIAN(MOD(BH976,1),HFer,HOuv),HFer)-IF(NETWORKDAYS(O976,O976,JoursFeries),MEDIAN(MOD(O976,1),HFer,HOuv),HOuv))*24,4))))</f>
        <v/>
      </c>
      <c r="BJ976" s="35" t="str">
        <f aca="false">IF(OR(BI976="",AR976=""),"",IF(BI976&lt;=INDEX(DELAI_ESC,AR976),1,0))</f>
        <v/>
      </c>
      <c r="BK976" s="38" t="str">
        <f aca="false">IF(AO976&lt;&gt;1,"",IF(AND(T976="",U976=""),"",MIN(T976,U976)))</f>
        <v/>
      </c>
      <c r="BL976" s="37" t="str">
        <f aca="false">IF(OR(BK976="",R976=""),"",IFERROR(ROUND(IF(OR(BK976="",R976=""),"",IF(R976&lt;BK976,"",ROUND(((NETWORKDAYS(BK976,R976,JoursFeries)-1)*(HFer-HOuv)+IF(NETWORKDAYS(R976,R976,JoursFeries),MEDIAN(MOD(R976,1),HFer,HOuv),HFer)-IF(NETWORKDAYS(BK976,BK976,JoursFeries),MEDIAN(MOD(BK976,1),HFer,HOuv),HOuv))*24,4)))/HJour,4),""))</f>
        <v/>
      </c>
      <c r="BM976" s="35" t="str">
        <f aca="false">IF(OR(AO976&lt;&gt;1,R976=""),"",IF(BD976=1,1,0))</f>
        <v/>
      </c>
      <c r="BN976" s="35" t="str">
        <f aca="false">IF(AO976&lt;&gt;1,"",IF(W976="Oui",1,0))</f>
        <v/>
      </c>
      <c r="BO976" s="35" t="str">
        <f aca="false">IF(AO976&lt;&gt;1,"",IF(X976&lt;&gt;"",1,0))</f>
        <v/>
      </c>
      <c r="BP976" s="35" t="str">
        <f aca="false">IF(AO976&lt;&gt;1,"",IF(Y976="Oui",1,0))</f>
        <v/>
      </c>
      <c r="BQ976" s="35" t="str">
        <f aca="true">IF(OR(AO976&lt;&gt;1,Z976&lt;&gt;"Oui"),"",IF(AB976="",IF(AND(AA976&lt;&gt;"",NOW()&gt;AA976),0,""),IF(AA976="","",IF(AB976&lt;=AA976,1,0))))</f>
        <v/>
      </c>
      <c r="BR976" s="38" t="str">
        <f aca="false">IF(OR(AO976&lt;&gt;1,K976&lt;&gt;"Oui",O976=""),"",IF(AC976="",O976+DORA_H_DET/24,IF(AC976-O976&lt;=DORA_H_DET/24,MIN(AC976+DORA_H_CLA/24,O976+DORA_H_DET/24),AC976+DORA_H_CLA/24)))</f>
        <v/>
      </c>
      <c r="BS976" s="35" t="str">
        <f aca="true">IF(BR976="","",IF(AD976="",IF(NOW()&gt;BR976,0,""),IF(AD976&lt;=BR976,1,0)))</f>
        <v/>
      </c>
      <c r="BT976" s="35" t="str">
        <f aca="true">IF(OR(BR976="",AD976=""),"",IF(AE976="",IF(NOW()&gt;AD976+DORA_H_INT/24,0,""),IF(AE976&lt;=AD976+DORA_H_INT/24,1,0)))</f>
        <v/>
      </c>
      <c r="BU976" s="35" t="str">
        <f aca="true">IF(OR(BR976="",AE976=""),"",IF(AF976="",IF(NOW()&gt;EDATE(AE976,DORA_M_FIN)+1,0,""),IF(AF976&lt;=EDATE(AE976,DORA_M_FIN),1,0)))</f>
        <v/>
      </c>
      <c r="BV976" s="35" t="str">
        <f aca="false">IF(BR976="","",IF(COUNT(BS976:BU976)=0,"",MIN(BS976:BU976)))</f>
        <v/>
      </c>
      <c r="BW976" s="40" t="str">
        <f aca="false">IF(AQ976&lt;&gt;1,"",IF(AND(AG976="",AH976=""),"",N(AG976)-N(AH976)))</f>
        <v/>
      </c>
      <c r="BX976" s="35" t="str">
        <f aca="true">IF(OR(AQ976&lt;&gt;1,AI976&lt;&gt;"Oui",AJ976=""),"",IF(AK976="",IF(NOW()&gt;AJ976+1,0,""),IF(AK976&lt;=AJ976,1,0)))</f>
        <v/>
      </c>
    </row>
    <row r="977" customFormat="false" ht="15" hidden="false" customHeight="false" outlineLevel="0" collapsed="false">
      <c r="B977" s="29"/>
      <c r="C977" s="29"/>
      <c r="D977" s="29"/>
      <c r="E977" s="29"/>
      <c r="F977" s="29"/>
      <c r="G977" s="29"/>
      <c r="H977" s="29"/>
      <c r="I977" s="29"/>
      <c r="J977" s="29"/>
      <c r="K977" s="29"/>
      <c r="L977" s="29"/>
      <c r="M977" s="29"/>
      <c r="N977" s="30"/>
      <c r="O977" s="30"/>
      <c r="P977" s="30"/>
      <c r="Q977" s="30"/>
      <c r="R977" s="30"/>
      <c r="S977" s="30"/>
      <c r="T977" s="30"/>
      <c r="U977" s="30"/>
      <c r="V977" s="31"/>
      <c r="W977" s="29"/>
      <c r="X977" s="29"/>
      <c r="Y977" s="29"/>
      <c r="Z977" s="29"/>
      <c r="AA977" s="30"/>
      <c r="AB977" s="30"/>
      <c r="AC977" s="30"/>
      <c r="AD977" s="30"/>
      <c r="AE977" s="30"/>
      <c r="AF977" s="32"/>
      <c r="AG977" s="33"/>
      <c r="AH977" s="33"/>
      <c r="AI977" s="29"/>
      <c r="AJ977" s="32"/>
      <c r="AK977" s="32"/>
      <c r="AL977" s="29"/>
      <c r="AN977" s="34" t="str">
        <f aca="false">IF($B977="","",IF(OR(C977="",D977="",E977="",G977="",I977="",J977="",L977="",O977="",P977=""),"Champ obligatoire manquant",IF(OR(AND(N977&lt;&gt;"",N977&gt;O977),O977&gt;P977,AND(Q977&lt;&gt;"",Q977&lt;P977),AND(R977&lt;&gt;"",R977&lt;P977),AND(S977&lt;&gt;"",S977&lt;R977),AND(S977&lt;&gt;"",R977=""),AND(T977&lt;&gt;"",T977&lt;O977),AND(U977&lt;&gt;"",U977&lt;O977)),"Chronologie incohérente",IF(AND(OR(L977="Résolu",L977="Clos"),R977=""),"Date de résolution manquante",IF(AND(L977="Clos",S977=""),"Date de clôture manquante",IF(AND(K977="Oui",AC977=""),"Classification DORA manquante","OK"))))))</f>
        <v/>
      </c>
      <c r="AO977" s="35" t="str">
        <f aca="false">IF($B977="","",IF(AND(C977="Incident",L977&lt;&gt;"Annulé"),1,0))</f>
        <v/>
      </c>
      <c r="AP977" s="35" t="str">
        <f aca="false">IF($B977="","",IF(AND(C977="Quasi-incident",L977&lt;&gt;"Annulé"),1,0))</f>
        <v/>
      </c>
      <c r="AQ977" s="35" t="str">
        <f aca="false">IF($B977="","",AO977+AP977)</f>
        <v/>
      </c>
      <c r="AR977" s="36" t="str">
        <f aca="false">IF(OR($B977="",J977=""),"",IFERROR(VALUE(LEFT(J977,1)),""))</f>
        <v/>
      </c>
      <c r="AS977" s="35" t="str">
        <f aca="false">IF(OR(AO977&lt;&gt;1,G977=""),"",IFERROR(IF(INDEX(L_SrcInterne,MATCH(G977,L_Sources,0))="Oui",1,0),""))</f>
        <v/>
      </c>
      <c r="AT977" s="37" t="str">
        <f aca="false">IF(AO977&lt;&gt;1,"",IFERROR(ROUND(IF(OR(N977="",O977=""),"",IF(O977&lt;N977,"",ROUND(((NETWORKDAYS(N977,O977,JoursFeries)-1)*(HFer-HOuv)+IF(NETWORKDAYS(O977,O977,JoursFeries),MEDIAN(MOD(O977,1),HFer,HOuv),HFer)-IF(NETWORKDAYS(N977,N977,JoursFeries),MEDIAN(MOD(N977,1),HFer,HOuv),HOuv))*24,4)))/HJour,4),""))</f>
        <v/>
      </c>
      <c r="AU977" s="37" t="str">
        <f aca="false">IF(AO977&lt;&gt;1,"",IF(OR(O977="",P977=""),"",IF(P977&lt;O977,"",ROUND(((NETWORKDAYS(O977,P977,JoursFeries)-1)*(HFer-HOuv)+IF(NETWORKDAYS(P977,P977,JoursFeries),MEDIAN(MOD(P977,1),HFer,HOuv),HFer)-IF(NETWORKDAYS(O977,O977,JoursFeries),MEDIAN(MOD(O977,1),HFer,HOuv),HOuv))*24,4))))</f>
        <v/>
      </c>
      <c r="AV977" s="37" t="str">
        <f aca="false">IF(AO977&lt;&gt;1,"",IF(OR(P977="",Q977=""),"",IF(Q977&lt;P977,"",ROUND(((NETWORKDAYS(P977,Q977,JoursFeries)-1)*(HFer-HOuv)+IF(NETWORKDAYS(Q977,Q977,JoursFeries),MEDIAN(MOD(Q977,1),HFer,HOuv),HFer)-IF(NETWORKDAYS(P977,P977,JoursFeries),MEDIAN(MOD(P977,1),HFer,HOuv),HOuv))*24,4))))</f>
        <v/>
      </c>
      <c r="AW977" s="37" t="str">
        <f aca="false">IF(AO977&lt;&gt;1,"",IFERROR(ROUND(IF(OR(P977="",R977=""),"",IF(R977&lt;P977,"",ROUND(((NETWORKDAYS(P977,R977,JoursFeries)-1)*(HFer-HOuv)+IF(NETWORKDAYS(R977,R977,JoursFeries),MEDIAN(MOD(R977,1),HFer,HOuv),HFer)-IF(NETWORKDAYS(P977,P977,JoursFeries),MEDIAN(MOD(P977,1),HFer,HOuv),HOuv))*24,4)))/HJour,4),""))</f>
        <v/>
      </c>
      <c r="AX977" s="37" t="str">
        <f aca="false">IF(AO977&lt;&gt;1,"",IFERROR(ROUND(IF(OR(P977="",S977=""),"",IF(S977&lt;P977,"",ROUND(((NETWORKDAYS(P977,S977,JoursFeries)-1)*(HFer-HOuv)+IF(NETWORKDAYS(S977,S977,JoursFeries),MEDIAN(MOD(S977,1),HFer,HOuv),HFer)-IF(NETWORKDAYS(P977,P977,JoursFeries),MEDIAN(MOD(P977,1),HFer,HOuv),HOuv))*24,4)))/HJour,4),""))</f>
        <v/>
      </c>
      <c r="AY977" s="36" t="str">
        <f aca="false">IF(OR(AO977&lt;&gt;1,AR977=""),"",INDEX(SLA_PEC,AR977))</f>
        <v/>
      </c>
      <c r="AZ977" s="35" t="str">
        <f aca="false">IF(OR(AV977="",AY977=""),"",IF(AV977&lt;=AY977,1,0))</f>
        <v/>
      </c>
      <c r="BA977" s="36" t="str">
        <f aca="false">IF(OR(AO977&lt;&gt;1,AR977=""),"",INDEX(SLA_RES,AR977))</f>
        <v/>
      </c>
      <c r="BB977" s="35" t="str">
        <f aca="false">IF(OR(AW977="",BA977=""),"",IF(AW977&lt;=BA977,1,0))</f>
        <v/>
      </c>
      <c r="BC977" s="38" t="str">
        <f aca="false">IF(OR(BA977="",P977=""),"",WORKDAY(INT(P977),BA977,JoursFeries)+MOD(P977,1))</f>
        <v/>
      </c>
      <c r="BD977" s="39" t="str">
        <f aca="false">IF(AO977&lt;&gt;1,"",IF(OR(AB977&lt;&gt;"",AD977&lt;&gt;""),4,IF(U977&lt;&gt;"",3,IF(T977&lt;&gt;"",2,1))))</f>
        <v/>
      </c>
      <c r="BE977" s="39" t="str">
        <f aca="false">IF(OR(AO977&lt;&gt;1,AR977=""),"",INDEX(NIV_REQ,AR977))</f>
        <v/>
      </c>
      <c r="BF977" s="39" t="str">
        <f aca="false">IF(BE977="","",MAX(BE977,IF(OR(K977="Oui",Z977="Oui"),4,1)))</f>
        <v/>
      </c>
      <c r="BG977" s="35" t="str">
        <f aca="false">IF(OR(BF977="",BD977=""),"",IF(BD977&gt;=BF977,1,0))</f>
        <v/>
      </c>
      <c r="BH977" s="38" t="str">
        <f aca="false">IF(BE977="","",IF(BE977&lt;2,"",IF(BE977=2,IF(AND(T977="",U977=""),"",MIN(T977,U977)),IF(U977="","",U977))))</f>
        <v/>
      </c>
      <c r="BI977" s="37" t="str">
        <f aca="false">IF(BH977="","",IF(OR(O977="",BH977=""),"",IF(BH977&lt;O977,"",ROUND(((NETWORKDAYS(O977,BH977,JoursFeries)-1)*(HFer-HOuv)+IF(NETWORKDAYS(BH977,BH977,JoursFeries),MEDIAN(MOD(BH977,1),HFer,HOuv),HFer)-IF(NETWORKDAYS(O977,O977,JoursFeries),MEDIAN(MOD(O977,1),HFer,HOuv),HOuv))*24,4))))</f>
        <v/>
      </c>
      <c r="BJ977" s="35" t="str">
        <f aca="false">IF(OR(BI977="",AR977=""),"",IF(BI977&lt;=INDEX(DELAI_ESC,AR977),1,0))</f>
        <v/>
      </c>
      <c r="BK977" s="38" t="str">
        <f aca="false">IF(AO977&lt;&gt;1,"",IF(AND(T977="",U977=""),"",MIN(T977,U977)))</f>
        <v/>
      </c>
      <c r="BL977" s="37" t="str">
        <f aca="false">IF(OR(BK977="",R977=""),"",IFERROR(ROUND(IF(OR(BK977="",R977=""),"",IF(R977&lt;BK977,"",ROUND(((NETWORKDAYS(BK977,R977,JoursFeries)-1)*(HFer-HOuv)+IF(NETWORKDAYS(R977,R977,JoursFeries),MEDIAN(MOD(R977,1),HFer,HOuv),HFer)-IF(NETWORKDAYS(BK977,BK977,JoursFeries),MEDIAN(MOD(BK977,1),HFer,HOuv),HOuv))*24,4)))/HJour,4),""))</f>
        <v/>
      </c>
      <c r="BM977" s="35" t="str">
        <f aca="false">IF(OR(AO977&lt;&gt;1,R977=""),"",IF(BD977=1,1,0))</f>
        <v/>
      </c>
      <c r="BN977" s="35" t="str">
        <f aca="false">IF(AO977&lt;&gt;1,"",IF(W977="Oui",1,0))</f>
        <v/>
      </c>
      <c r="BO977" s="35" t="str">
        <f aca="false">IF(AO977&lt;&gt;1,"",IF(X977&lt;&gt;"",1,0))</f>
        <v/>
      </c>
      <c r="BP977" s="35" t="str">
        <f aca="false">IF(AO977&lt;&gt;1,"",IF(Y977="Oui",1,0))</f>
        <v/>
      </c>
      <c r="BQ977" s="35" t="str">
        <f aca="true">IF(OR(AO977&lt;&gt;1,Z977&lt;&gt;"Oui"),"",IF(AB977="",IF(AND(AA977&lt;&gt;"",NOW()&gt;AA977),0,""),IF(AA977="","",IF(AB977&lt;=AA977,1,0))))</f>
        <v/>
      </c>
      <c r="BR977" s="38" t="str">
        <f aca="false">IF(OR(AO977&lt;&gt;1,K977&lt;&gt;"Oui",O977=""),"",IF(AC977="",O977+DORA_H_DET/24,IF(AC977-O977&lt;=DORA_H_DET/24,MIN(AC977+DORA_H_CLA/24,O977+DORA_H_DET/24),AC977+DORA_H_CLA/24)))</f>
        <v/>
      </c>
      <c r="BS977" s="35" t="str">
        <f aca="true">IF(BR977="","",IF(AD977="",IF(NOW()&gt;BR977,0,""),IF(AD977&lt;=BR977,1,0)))</f>
        <v/>
      </c>
      <c r="BT977" s="35" t="str">
        <f aca="true">IF(OR(BR977="",AD977=""),"",IF(AE977="",IF(NOW()&gt;AD977+DORA_H_INT/24,0,""),IF(AE977&lt;=AD977+DORA_H_INT/24,1,0)))</f>
        <v/>
      </c>
      <c r="BU977" s="35" t="str">
        <f aca="true">IF(OR(BR977="",AE977=""),"",IF(AF977="",IF(NOW()&gt;EDATE(AE977,DORA_M_FIN)+1,0,""),IF(AF977&lt;=EDATE(AE977,DORA_M_FIN),1,0)))</f>
        <v/>
      </c>
      <c r="BV977" s="35" t="str">
        <f aca="false">IF(BR977="","",IF(COUNT(BS977:BU977)=0,"",MIN(BS977:BU977)))</f>
        <v/>
      </c>
      <c r="BW977" s="40" t="str">
        <f aca="false">IF(AQ977&lt;&gt;1,"",IF(AND(AG977="",AH977=""),"",N(AG977)-N(AH977)))</f>
        <v/>
      </c>
      <c r="BX977" s="35" t="str">
        <f aca="true">IF(OR(AQ977&lt;&gt;1,AI977&lt;&gt;"Oui",AJ977=""),"",IF(AK977="",IF(NOW()&gt;AJ977+1,0,""),IF(AK977&lt;=AJ977,1,0)))</f>
        <v/>
      </c>
    </row>
    <row r="978" customFormat="false" ht="15" hidden="false" customHeight="false" outlineLevel="0" collapsed="false">
      <c r="B978" s="29"/>
      <c r="C978" s="29"/>
      <c r="D978" s="29"/>
      <c r="E978" s="29"/>
      <c r="F978" s="29"/>
      <c r="G978" s="29"/>
      <c r="H978" s="29"/>
      <c r="I978" s="29"/>
      <c r="J978" s="29"/>
      <c r="K978" s="29"/>
      <c r="L978" s="29"/>
      <c r="M978" s="29"/>
      <c r="N978" s="30"/>
      <c r="O978" s="30"/>
      <c r="P978" s="30"/>
      <c r="Q978" s="30"/>
      <c r="R978" s="30"/>
      <c r="S978" s="30"/>
      <c r="T978" s="30"/>
      <c r="U978" s="30"/>
      <c r="V978" s="31"/>
      <c r="W978" s="29"/>
      <c r="X978" s="29"/>
      <c r="Y978" s="29"/>
      <c r="Z978" s="29"/>
      <c r="AA978" s="30"/>
      <c r="AB978" s="30"/>
      <c r="AC978" s="30"/>
      <c r="AD978" s="30"/>
      <c r="AE978" s="30"/>
      <c r="AF978" s="32"/>
      <c r="AG978" s="33"/>
      <c r="AH978" s="33"/>
      <c r="AI978" s="29"/>
      <c r="AJ978" s="32"/>
      <c r="AK978" s="32"/>
      <c r="AL978" s="29"/>
      <c r="AN978" s="34" t="str">
        <f aca="false">IF($B978="","",IF(OR(C978="",D978="",E978="",G978="",I978="",J978="",L978="",O978="",P978=""),"Champ obligatoire manquant",IF(OR(AND(N978&lt;&gt;"",N978&gt;O978),O978&gt;P978,AND(Q978&lt;&gt;"",Q978&lt;P978),AND(R978&lt;&gt;"",R978&lt;P978),AND(S978&lt;&gt;"",S978&lt;R978),AND(S978&lt;&gt;"",R978=""),AND(T978&lt;&gt;"",T978&lt;O978),AND(U978&lt;&gt;"",U978&lt;O978)),"Chronologie incohérente",IF(AND(OR(L978="Résolu",L978="Clos"),R978=""),"Date de résolution manquante",IF(AND(L978="Clos",S978=""),"Date de clôture manquante",IF(AND(K978="Oui",AC978=""),"Classification DORA manquante","OK"))))))</f>
        <v/>
      </c>
      <c r="AO978" s="35" t="str">
        <f aca="false">IF($B978="","",IF(AND(C978="Incident",L978&lt;&gt;"Annulé"),1,0))</f>
        <v/>
      </c>
      <c r="AP978" s="35" t="str">
        <f aca="false">IF($B978="","",IF(AND(C978="Quasi-incident",L978&lt;&gt;"Annulé"),1,0))</f>
        <v/>
      </c>
      <c r="AQ978" s="35" t="str">
        <f aca="false">IF($B978="","",AO978+AP978)</f>
        <v/>
      </c>
      <c r="AR978" s="36" t="str">
        <f aca="false">IF(OR($B978="",J978=""),"",IFERROR(VALUE(LEFT(J978,1)),""))</f>
        <v/>
      </c>
      <c r="AS978" s="35" t="str">
        <f aca="false">IF(OR(AO978&lt;&gt;1,G978=""),"",IFERROR(IF(INDEX(L_SrcInterne,MATCH(G978,L_Sources,0))="Oui",1,0),""))</f>
        <v/>
      </c>
      <c r="AT978" s="37" t="str">
        <f aca="false">IF(AO978&lt;&gt;1,"",IFERROR(ROUND(IF(OR(N978="",O978=""),"",IF(O978&lt;N978,"",ROUND(((NETWORKDAYS(N978,O978,JoursFeries)-1)*(HFer-HOuv)+IF(NETWORKDAYS(O978,O978,JoursFeries),MEDIAN(MOD(O978,1),HFer,HOuv),HFer)-IF(NETWORKDAYS(N978,N978,JoursFeries),MEDIAN(MOD(N978,1),HFer,HOuv),HOuv))*24,4)))/HJour,4),""))</f>
        <v/>
      </c>
      <c r="AU978" s="37" t="str">
        <f aca="false">IF(AO978&lt;&gt;1,"",IF(OR(O978="",P978=""),"",IF(P978&lt;O978,"",ROUND(((NETWORKDAYS(O978,P978,JoursFeries)-1)*(HFer-HOuv)+IF(NETWORKDAYS(P978,P978,JoursFeries),MEDIAN(MOD(P978,1),HFer,HOuv),HFer)-IF(NETWORKDAYS(O978,O978,JoursFeries),MEDIAN(MOD(O978,1),HFer,HOuv),HOuv))*24,4))))</f>
        <v/>
      </c>
      <c r="AV978" s="37" t="str">
        <f aca="false">IF(AO978&lt;&gt;1,"",IF(OR(P978="",Q978=""),"",IF(Q978&lt;P978,"",ROUND(((NETWORKDAYS(P978,Q978,JoursFeries)-1)*(HFer-HOuv)+IF(NETWORKDAYS(Q978,Q978,JoursFeries),MEDIAN(MOD(Q978,1),HFer,HOuv),HFer)-IF(NETWORKDAYS(P978,P978,JoursFeries),MEDIAN(MOD(P978,1),HFer,HOuv),HOuv))*24,4))))</f>
        <v/>
      </c>
      <c r="AW978" s="37" t="str">
        <f aca="false">IF(AO978&lt;&gt;1,"",IFERROR(ROUND(IF(OR(P978="",R978=""),"",IF(R978&lt;P978,"",ROUND(((NETWORKDAYS(P978,R978,JoursFeries)-1)*(HFer-HOuv)+IF(NETWORKDAYS(R978,R978,JoursFeries),MEDIAN(MOD(R978,1),HFer,HOuv),HFer)-IF(NETWORKDAYS(P978,P978,JoursFeries),MEDIAN(MOD(P978,1),HFer,HOuv),HOuv))*24,4)))/HJour,4),""))</f>
        <v/>
      </c>
      <c r="AX978" s="37" t="str">
        <f aca="false">IF(AO978&lt;&gt;1,"",IFERROR(ROUND(IF(OR(P978="",S978=""),"",IF(S978&lt;P978,"",ROUND(((NETWORKDAYS(P978,S978,JoursFeries)-1)*(HFer-HOuv)+IF(NETWORKDAYS(S978,S978,JoursFeries),MEDIAN(MOD(S978,1),HFer,HOuv),HFer)-IF(NETWORKDAYS(P978,P978,JoursFeries),MEDIAN(MOD(P978,1),HFer,HOuv),HOuv))*24,4)))/HJour,4),""))</f>
        <v/>
      </c>
      <c r="AY978" s="36" t="str">
        <f aca="false">IF(OR(AO978&lt;&gt;1,AR978=""),"",INDEX(SLA_PEC,AR978))</f>
        <v/>
      </c>
      <c r="AZ978" s="35" t="str">
        <f aca="false">IF(OR(AV978="",AY978=""),"",IF(AV978&lt;=AY978,1,0))</f>
        <v/>
      </c>
      <c r="BA978" s="36" t="str">
        <f aca="false">IF(OR(AO978&lt;&gt;1,AR978=""),"",INDEX(SLA_RES,AR978))</f>
        <v/>
      </c>
      <c r="BB978" s="35" t="str">
        <f aca="false">IF(OR(AW978="",BA978=""),"",IF(AW978&lt;=BA978,1,0))</f>
        <v/>
      </c>
      <c r="BC978" s="38" t="str">
        <f aca="false">IF(OR(BA978="",P978=""),"",WORKDAY(INT(P978),BA978,JoursFeries)+MOD(P978,1))</f>
        <v/>
      </c>
      <c r="BD978" s="39" t="str">
        <f aca="false">IF(AO978&lt;&gt;1,"",IF(OR(AB978&lt;&gt;"",AD978&lt;&gt;""),4,IF(U978&lt;&gt;"",3,IF(T978&lt;&gt;"",2,1))))</f>
        <v/>
      </c>
      <c r="BE978" s="39" t="str">
        <f aca="false">IF(OR(AO978&lt;&gt;1,AR978=""),"",INDEX(NIV_REQ,AR978))</f>
        <v/>
      </c>
      <c r="BF978" s="39" t="str">
        <f aca="false">IF(BE978="","",MAX(BE978,IF(OR(K978="Oui",Z978="Oui"),4,1)))</f>
        <v/>
      </c>
      <c r="BG978" s="35" t="str">
        <f aca="false">IF(OR(BF978="",BD978=""),"",IF(BD978&gt;=BF978,1,0))</f>
        <v/>
      </c>
      <c r="BH978" s="38" t="str">
        <f aca="false">IF(BE978="","",IF(BE978&lt;2,"",IF(BE978=2,IF(AND(T978="",U978=""),"",MIN(T978,U978)),IF(U978="","",U978))))</f>
        <v/>
      </c>
      <c r="BI978" s="37" t="str">
        <f aca="false">IF(BH978="","",IF(OR(O978="",BH978=""),"",IF(BH978&lt;O978,"",ROUND(((NETWORKDAYS(O978,BH978,JoursFeries)-1)*(HFer-HOuv)+IF(NETWORKDAYS(BH978,BH978,JoursFeries),MEDIAN(MOD(BH978,1),HFer,HOuv),HFer)-IF(NETWORKDAYS(O978,O978,JoursFeries),MEDIAN(MOD(O978,1),HFer,HOuv),HOuv))*24,4))))</f>
        <v/>
      </c>
      <c r="BJ978" s="35" t="str">
        <f aca="false">IF(OR(BI978="",AR978=""),"",IF(BI978&lt;=INDEX(DELAI_ESC,AR978),1,0))</f>
        <v/>
      </c>
      <c r="BK978" s="38" t="str">
        <f aca="false">IF(AO978&lt;&gt;1,"",IF(AND(T978="",U978=""),"",MIN(T978,U978)))</f>
        <v/>
      </c>
      <c r="BL978" s="37" t="str">
        <f aca="false">IF(OR(BK978="",R978=""),"",IFERROR(ROUND(IF(OR(BK978="",R978=""),"",IF(R978&lt;BK978,"",ROUND(((NETWORKDAYS(BK978,R978,JoursFeries)-1)*(HFer-HOuv)+IF(NETWORKDAYS(R978,R978,JoursFeries),MEDIAN(MOD(R978,1),HFer,HOuv),HFer)-IF(NETWORKDAYS(BK978,BK978,JoursFeries),MEDIAN(MOD(BK978,1),HFer,HOuv),HOuv))*24,4)))/HJour,4),""))</f>
        <v/>
      </c>
      <c r="BM978" s="35" t="str">
        <f aca="false">IF(OR(AO978&lt;&gt;1,R978=""),"",IF(BD978=1,1,0))</f>
        <v/>
      </c>
      <c r="BN978" s="35" t="str">
        <f aca="false">IF(AO978&lt;&gt;1,"",IF(W978="Oui",1,0))</f>
        <v/>
      </c>
      <c r="BO978" s="35" t="str">
        <f aca="false">IF(AO978&lt;&gt;1,"",IF(X978&lt;&gt;"",1,0))</f>
        <v/>
      </c>
      <c r="BP978" s="35" t="str">
        <f aca="false">IF(AO978&lt;&gt;1,"",IF(Y978="Oui",1,0))</f>
        <v/>
      </c>
      <c r="BQ978" s="35" t="str">
        <f aca="true">IF(OR(AO978&lt;&gt;1,Z978&lt;&gt;"Oui"),"",IF(AB978="",IF(AND(AA978&lt;&gt;"",NOW()&gt;AA978),0,""),IF(AA978="","",IF(AB978&lt;=AA978,1,0))))</f>
        <v/>
      </c>
      <c r="BR978" s="38" t="str">
        <f aca="false">IF(OR(AO978&lt;&gt;1,K978&lt;&gt;"Oui",O978=""),"",IF(AC978="",O978+DORA_H_DET/24,IF(AC978-O978&lt;=DORA_H_DET/24,MIN(AC978+DORA_H_CLA/24,O978+DORA_H_DET/24),AC978+DORA_H_CLA/24)))</f>
        <v/>
      </c>
      <c r="BS978" s="35" t="str">
        <f aca="true">IF(BR978="","",IF(AD978="",IF(NOW()&gt;BR978,0,""),IF(AD978&lt;=BR978,1,0)))</f>
        <v/>
      </c>
      <c r="BT978" s="35" t="str">
        <f aca="true">IF(OR(BR978="",AD978=""),"",IF(AE978="",IF(NOW()&gt;AD978+DORA_H_INT/24,0,""),IF(AE978&lt;=AD978+DORA_H_INT/24,1,0)))</f>
        <v/>
      </c>
      <c r="BU978" s="35" t="str">
        <f aca="true">IF(OR(BR978="",AE978=""),"",IF(AF978="",IF(NOW()&gt;EDATE(AE978,DORA_M_FIN)+1,0,""),IF(AF978&lt;=EDATE(AE978,DORA_M_FIN),1,0)))</f>
        <v/>
      </c>
      <c r="BV978" s="35" t="str">
        <f aca="false">IF(BR978="","",IF(COUNT(BS978:BU978)=0,"",MIN(BS978:BU978)))</f>
        <v/>
      </c>
      <c r="BW978" s="40" t="str">
        <f aca="false">IF(AQ978&lt;&gt;1,"",IF(AND(AG978="",AH978=""),"",N(AG978)-N(AH978)))</f>
        <v/>
      </c>
      <c r="BX978" s="35" t="str">
        <f aca="true">IF(OR(AQ978&lt;&gt;1,AI978&lt;&gt;"Oui",AJ978=""),"",IF(AK978="",IF(NOW()&gt;AJ978+1,0,""),IF(AK978&lt;=AJ978,1,0)))</f>
        <v/>
      </c>
    </row>
    <row r="979" customFormat="false" ht="15" hidden="false" customHeight="false" outlineLevel="0" collapsed="false">
      <c r="B979" s="29"/>
      <c r="C979" s="29"/>
      <c r="D979" s="29"/>
      <c r="E979" s="29"/>
      <c r="F979" s="29"/>
      <c r="G979" s="29"/>
      <c r="H979" s="29"/>
      <c r="I979" s="29"/>
      <c r="J979" s="29"/>
      <c r="K979" s="29"/>
      <c r="L979" s="29"/>
      <c r="M979" s="29"/>
      <c r="N979" s="30"/>
      <c r="O979" s="30"/>
      <c r="P979" s="30"/>
      <c r="Q979" s="30"/>
      <c r="R979" s="30"/>
      <c r="S979" s="30"/>
      <c r="T979" s="30"/>
      <c r="U979" s="30"/>
      <c r="V979" s="31"/>
      <c r="W979" s="29"/>
      <c r="X979" s="29"/>
      <c r="Y979" s="29"/>
      <c r="Z979" s="29"/>
      <c r="AA979" s="30"/>
      <c r="AB979" s="30"/>
      <c r="AC979" s="30"/>
      <c r="AD979" s="30"/>
      <c r="AE979" s="30"/>
      <c r="AF979" s="32"/>
      <c r="AG979" s="33"/>
      <c r="AH979" s="33"/>
      <c r="AI979" s="29"/>
      <c r="AJ979" s="32"/>
      <c r="AK979" s="32"/>
      <c r="AL979" s="29"/>
      <c r="AN979" s="34" t="str">
        <f aca="false">IF($B979="","",IF(OR(C979="",D979="",E979="",G979="",I979="",J979="",L979="",O979="",P979=""),"Champ obligatoire manquant",IF(OR(AND(N979&lt;&gt;"",N979&gt;O979),O979&gt;P979,AND(Q979&lt;&gt;"",Q979&lt;P979),AND(R979&lt;&gt;"",R979&lt;P979),AND(S979&lt;&gt;"",S979&lt;R979),AND(S979&lt;&gt;"",R979=""),AND(T979&lt;&gt;"",T979&lt;O979),AND(U979&lt;&gt;"",U979&lt;O979)),"Chronologie incohérente",IF(AND(OR(L979="Résolu",L979="Clos"),R979=""),"Date de résolution manquante",IF(AND(L979="Clos",S979=""),"Date de clôture manquante",IF(AND(K979="Oui",AC979=""),"Classification DORA manquante","OK"))))))</f>
        <v/>
      </c>
      <c r="AO979" s="35" t="str">
        <f aca="false">IF($B979="","",IF(AND(C979="Incident",L979&lt;&gt;"Annulé"),1,0))</f>
        <v/>
      </c>
      <c r="AP979" s="35" t="str">
        <f aca="false">IF($B979="","",IF(AND(C979="Quasi-incident",L979&lt;&gt;"Annulé"),1,0))</f>
        <v/>
      </c>
      <c r="AQ979" s="35" t="str">
        <f aca="false">IF($B979="","",AO979+AP979)</f>
        <v/>
      </c>
      <c r="AR979" s="36" t="str">
        <f aca="false">IF(OR($B979="",J979=""),"",IFERROR(VALUE(LEFT(J979,1)),""))</f>
        <v/>
      </c>
      <c r="AS979" s="35" t="str">
        <f aca="false">IF(OR(AO979&lt;&gt;1,G979=""),"",IFERROR(IF(INDEX(L_SrcInterne,MATCH(G979,L_Sources,0))="Oui",1,0),""))</f>
        <v/>
      </c>
      <c r="AT979" s="37" t="str">
        <f aca="false">IF(AO979&lt;&gt;1,"",IFERROR(ROUND(IF(OR(N979="",O979=""),"",IF(O979&lt;N979,"",ROUND(((NETWORKDAYS(N979,O979,JoursFeries)-1)*(HFer-HOuv)+IF(NETWORKDAYS(O979,O979,JoursFeries),MEDIAN(MOD(O979,1),HFer,HOuv),HFer)-IF(NETWORKDAYS(N979,N979,JoursFeries),MEDIAN(MOD(N979,1),HFer,HOuv),HOuv))*24,4)))/HJour,4),""))</f>
        <v/>
      </c>
      <c r="AU979" s="37" t="str">
        <f aca="false">IF(AO979&lt;&gt;1,"",IF(OR(O979="",P979=""),"",IF(P979&lt;O979,"",ROUND(((NETWORKDAYS(O979,P979,JoursFeries)-1)*(HFer-HOuv)+IF(NETWORKDAYS(P979,P979,JoursFeries),MEDIAN(MOD(P979,1),HFer,HOuv),HFer)-IF(NETWORKDAYS(O979,O979,JoursFeries),MEDIAN(MOD(O979,1),HFer,HOuv),HOuv))*24,4))))</f>
        <v/>
      </c>
      <c r="AV979" s="37" t="str">
        <f aca="false">IF(AO979&lt;&gt;1,"",IF(OR(P979="",Q979=""),"",IF(Q979&lt;P979,"",ROUND(((NETWORKDAYS(P979,Q979,JoursFeries)-1)*(HFer-HOuv)+IF(NETWORKDAYS(Q979,Q979,JoursFeries),MEDIAN(MOD(Q979,1),HFer,HOuv),HFer)-IF(NETWORKDAYS(P979,P979,JoursFeries),MEDIAN(MOD(P979,1),HFer,HOuv),HOuv))*24,4))))</f>
        <v/>
      </c>
      <c r="AW979" s="37" t="str">
        <f aca="false">IF(AO979&lt;&gt;1,"",IFERROR(ROUND(IF(OR(P979="",R979=""),"",IF(R979&lt;P979,"",ROUND(((NETWORKDAYS(P979,R979,JoursFeries)-1)*(HFer-HOuv)+IF(NETWORKDAYS(R979,R979,JoursFeries),MEDIAN(MOD(R979,1),HFer,HOuv),HFer)-IF(NETWORKDAYS(P979,P979,JoursFeries),MEDIAN(MOD(P979,1),HFer,HOuv),HOuv))*24,4)))/HJour,4),""))</f>
        <v/>
      </c>
      <c r="AX979" s="37" t="str">
        <f aca="false">IF(AO979&lt;&gt;1,"",IFERROR(ROUND(IF(OR(P979="",S979=""),"",IF(S979&lt;P979,"",ROUND(((NETWORKDAYS(P979,S979,JoursFeries)-1)*(HFer-HOuv)+IF(NETWORKDAYS(S979,S979,JoursFeries),MEDIAN(MOD(S979,1),HFer,HOuv),HFer)-IF(NETWORKDAYS(P979,P979,JoursFeries),MEDIAN(MOD(P979,1),HFer,HOuv),HOuv))*24,4)))/HJour,4),""))</f>
        <v/>
      </c>
      <c r="AY979" s="36" t="str">
        <f aca="false">IF(OR(AO979&lt;&gt;1,AR979=""),"",INDEX(SLA_PEC,AR979))</f>
        <v/>
      </c>
      <c r="AZ979" s="35" t="str">
        <f aca="false">IF(OR(AV979="",AY979=""),"",IF(AV979&lt;=AY979,1,0))</f>
        <v/>
      </c>
      <c r="BA979" s="36" t="str">
        <f aca="false">IF(OR(AO979&lt;&gt;1,AR979=""),"",INDEX(SLA_RES,AR979))</f>
        <v/>
      </c>
      <c r="BB979" s="35" t="str">
        <f aca="false">IF(OR(AW979="",BA979=""),"",IF(AW979&lt;=BA979,1,0))</f>
        <v/>
      </c>
      <c r="BC979" s="38" t="str">
        <f aca="false">IF(OR(BA979="",P979=""),"",WORKDAY(INT(P979),BA979,JoursFeries)+MOD(P979,1))</f>
        <v/>
      </c>
      <c r="BD979" s="39" t="str">
        <f aca="false">IF(AO979&lt;&gt;1,"",IF(OR(AB979&lt;&gt;"",AD979&lt;&gt;""),4,IF(U979&lt;&gt;"",3,IF(T979&lt;&gt;"",2,1))))</f>
        <v/>
      </c>
      <c r="BE979" s="39" t="str">
        <f aca="false">IF(OR(AO979&lt;&gt;1,AR979=""),"",INDEX(NIV_REQ,AR979))</f>
        <v/>
      </c>
      <c r="BF979" s="39" t="str">
        <f aca="false">IF(BE979="","",MAX(BE979,IF(OR(K979="Oui",Z979="Oui"),4,1)))</f>
        <v/>
      </c>
      <c r="BG979" s="35" t="str">
        <f aca="false">IF(OR(BF979="",BD979=""),"",IF(BD979&gt;=BF979,1,0))</f>
        <v/>
      </c>
      <c r="BH979" s="38" t="str">
        <f aca="false">IF(BE979="","",IF(BE979&lt;2,"",IF(BE979=2,IF(AND(T979="",U979=""),"",MIN(T979,U979)),IF(U979="","",U979))))</f>
        <v/>
      </c>
      <c r="BI979" s="37" t="str">
        <f aca="false">IF(BH979="","",IF(OR(O979="",BH979=""),"",IF(BH979&lt;O979,"",ROUND(((NETWORKDAYS(O979,BH979,JoursFeries)-1)*(HFer-HOuv)+IF(NETWORKDAYS(BH979,BH979,JoursFeries),MEDIAN(MOD(BH979,1),HFer,HOuv),HFer)-IF(NETWORKDAYS(O979,O979,JoursFeries),MEDIAN(MOD(O979,1),HFer,HOuv),HOuv))*24,4))))</f>
        <v/>
      </c>
      <c r="BJ979" s="35" t="str">
        <f aca="false">IF(OR(BI979="",AR979=""),"",IF(BI979&lt;=INDEX(DELAI_ESC,AR979),1,0))</f>
        <v/>
      </c>
      <c r="BK979" s="38" t="str">
        <f aca="false">IF(AO979&lt;&gt;1,"",IF(AND(T979="",U979=""),"",MIN(T979,U979)))</f>
        <v/>
      </c>
      <c r="BL979" s="37" t="str">
        <f aca="false">IF(OR(BK979="",R979=""),"",IFERROR(ROUND(IF(OR(BK979="",R979=""),"",IF(R979&lt;BK979,"",ROUND(((NETWORKDAYS(BK979,R979,JoursFeries)-1)*(HFer-HOuv)+IF(NETWORKDAYS(R979,R979,JoursFeries),MEDIAN(MOD(R979,1),HFer,HOuv),HFer)-IF(NETWORKDAYS(BK979,BK979,JoursFeries),MEDIAN(MOD(BK979,1),HFer,HOuv),HOuv))*24,4)))/HJour,4),""))</f>
        <v/>
      </c>
      <c r="BM979" s="35" t="str">
        <f aca="false">IF(OR(AO979&lt;&gt;1,R979=""),"",IF(BD979=1,1,0))</f>
        <v/>
      </c>
      <c r="BN979" s="35" t="str">
        <f aca="false">IF(AO979&lt;&gt;1,"",IF(W979="Oui",1,0))</f>
        <v/>
      </c>
      <c r="BO979" s="35" t="str">
        <f aca="false">IF(AO979&lt;&gt;1,"",IF(X979&lt;&gt;"",1,0))</f>
        <v/>
      </c>
      <c r="BP979" s="35" t="str">
        <f aca="false">IF(AO979&lt;&gt;1,"",IF(Y979="Oui",1,0))</f>
        <v/>
      </c>
      <c r="BQ979" s="35" t="str">
        <f aca="true">IF(OR(AO979&lt;&gt;1,Z979&lt;&gt;"Oui"),"",IF(AB979="",IF(AND(AA979&lt;&gt;"",NOW()&gt;AA979),0,""),IF(AA979="","",IF(AB979&lt;=AA979,1,0))))</f>
        <v/>
      </c>
      <c r="BR979" s="38" t="str">
        <f aca="false">IF(OR(AO979&lt;&gt;1,K979&lt;&gt;"Oui",O979=""),"",IF(AC979="",O979+DORA_H_DET/24,IF(AC979-O979&lt;=DORA_H_DET/24,MIN(AC979+DORA_H_CLA/24,O979+DORA_H_DET/24),AC979+DORA_H_CLA/24)))</f>
        <v/>
      </c>
      <c r="BS979" s="35" t="str">
        <f aca="true">IF(BR979="","",IF(AD979="",IF(NOW()&gt;BR979,0,""),IF(AD979&lt;=BR979,1,0)))</f>
        <v/>
      </c>
      <c r="BT979" s="35" t="str">
        <f aca="true">IF(OR(BR979="",AD979=""),"",IF(AE979="",IF(NOW()&gt;AD979+DORA_H_INT/24,0,""),IF(AE979&lt;=AD979+DORA_H_INT/24,1,0)))</f>
        <v/>
      </c>
      <c r="BU979" s="35" t="str">
        <f aca="true">IF(OR(BR979="",AE979=""),"",IF(AF979="",IF(NOW()&gt;EDATE(AE979,DORA_M_FIN)+1,0,""),IF(AF979&lt;=EDATE(AE979,DORA_M_FIN),1,0)))</f>
        <v/>
      </c>
      <c r="BV979" s="35" t="str">
        <f aca="false">IF(BR979="","",IF(COUNT(BS979:BU979)=0,"",MIN(BS979:BU979)))</f>
        <v/>
      </c>
      <c r="BW979" s="40" t="str">
        <f aca="false">IF(AQ979&lt;&gt;1,"",IF(AND(AG979="",AH979=""),"",N(AG979)-N(AH979)))</f>
        <v/>
      </c>
      <c r="BX979" s="35" t="str">
        <f aca="true">IF(OR(AQ979&lt;&gt;1,AI979&lt;&gt;"Oui",AJ979=""),"",IF(AK979="",IF(NOW()&gt;AJ979+1,0,""),IF(AK979&lt;=AJ979,1,0)))</f>
        <v/>
      </c>
    </row>
    <row r="980" customFormat="false" ht="15" hidden="false" customHeight="false" outlineLevel="0" collapsed="false">
      <c r="B980" s="29"/>
      <c r="C980" s="29"/>
      <c r="D980" s="29"/>
      <c r="E980" s="29"/>
      <c r="F980" s="29"/>
      <c r="G980" s="29"/>
      <c r="H980" s="29"/>
      <c r="I980" s="29"/>
      <c r="J980" s="29"/>
      <c r="K980" s="29"/>
      <c r="L980" s="29"/>
      <c r="M980" s="29"/>
      <c r="N980" s="30"/>
      <c r="O980" s="30"/>
      <c r="P980" s="30"/>
      <c r="Q980" s="30"/>
      <c r="R980" s="30"/>
      <c r="S980" s="30"/>
      <c r="T980" s="30"/>
      <c r="U980" s="30"/>
      <c r="V980" s="31"/>
      <c r="W980" s="29"/>
      <c r="X980" s="29"/>
      <c r="Y980" s="29"/>
      <c r="Z980" s="29"/>
      <c r="AA980" s="30"/>
      <c r="AB980" s="30"/>
      <c r="AC980" s="30"/>
      <c r="AD980" s="30"/>
      <c r="AE980" s="30"/>
      <c r="AF980" s="32"/>
      <c r="AG980" s="33"/>
      <c r="AH980" s="33"/>
      <c r="AI980" s="29"/>
      <c r="AJ980" s="32"/>
      <c r="AK980" s="32"/>
      <c r="AL980" s="29"/>
      <c r="AN980" s="34" t="str">
        <f aca="false">IF($B980="","",IF(OR(C980="",D980="",E980="",G980="",I980="",J980="",L980="",O980="",P980=""),"Champ obligatoire manquant",IF(OR(AND(N980&lt;&gt;"",N980&gt;O980),O980&gt;P980,AND(Q980&lt;&gt;"",Q980&lt;P980),AND(R980&lt;&gt;"",R980&lt;P980),AND(S980&lt;&gt;"",S980&lt;R980),AND(S980&lt;&gt;"",R980=""),AND(T980&lt;&gt;"",T980&lt;O980),AND(U980&lt;&gt;"",U980&lt;O980)),"Chronologie incohérente",IF(AND(OR(L980="Résolu",L980="Clos"),R980=""),"Date de résolution manquante",IF(AND(L980="Clos",S980=""),"Date de clôture manquante",IF(AND(K980="Oui",AC980=""),"Classification DORA manquante","OK"))))))</f>
        <v/>
      </c>
      <c r="AO980" s="35" t="str">
        <f aca="false">IF($B980="","",IF(AND(C980="Incident",L980&lt;&gt;"Annulé"),1,0))</f>
        <v/>
      </c>
      <c r="AP980" s="35" t="str">
        <f aca="false">IF($B980="","",IF(AND(C980="Quasi-incident",L980&lt;&gt;"Annulé"),1,0))</f>
        <v/>
      </c>
      <c r="AQ980" s="35" t="str">
        <f aca="false">IF($B980="","",AO980+AP980)</f>
        <v/>
      </c>
      <c r="AR980" s="36" t="str">
        <f aca="false">IF(OR($B980="",J980=""),"",IFERROR(VALUE(LEFT(J980,1)),""))</f>
        <v/>
      </c>
      <c r="AS980" s="35" t="str">
        <f aca="false">IF(OR(AO980&lt;&gt;1,G980=""),"",IFERROR(IF(INDEX(L_SrcInterne,MATCH(G980,L_Sources,0))="Oui",1,0),""))</f>
        <v/>
      </c>
      <c r="AT980" s="37" t="str">
        <f aca="false">IF(AO980&lt;&gt;1,"",IFERROR(ROUND(IF(OR(N980="",O980=""),"",IF(O980&lt;N980,"",ROUND(((NETWORKDAYS(N980,O980,JoursFeries)-1)*(HFer-HOuv)+IF(NETWORKDAYS(O980,O980,JoursFeries),MEDIAN(MOD(O980,1),HFer,HOuv),HFer)-IF(NETWORKDAYS(N980,N980,JoursFeries),MEDIAN(MOD(N980,1),HFer,HOuv),HOuv))*24,4)))/HJour,4),""))</f>
        <v/>
      </c>
      <c r="AU980" s="37" t="str">
        <f aca="false">IF(AO980&lt;&gt;1,"",IF(OR(O980="",P980=""),"",IF(P980&lt;O980,"",ROUND(((NETWORKDAYS(O980,P980,JoursFeries)-1)*(HFer-HOuv)+IF(NETWORKDAYS(P980,P980,JoursFeries),MEDIAN(MOD(P980,1),HFer,HOuv),HFer)-IF(NETWORKDAYS(O980,O980,JoursFeries),MEDIAN(MOD(O980,1),HFer,HOuv),HOuv))*24,4))))</f>
        <v/>
      </c>
      <c r="AV980" s="37" t="str">
        <f aca="false">IF(AO980&lt;&gt;1,"",IF(OR(P980="",Q980=""),"",IF(Q980&lt;P980,"",ROUND(((NETWORKDAYS(P980,Q980,JoursFeries)-1)*(HFer-HOuv)+IF(NETWORKDAYS(Q980,Q980,JoursFeries),MEDIAN(MOD(Q980,1),HFer,HOuv),HFer)-IF(NETWORKDAYS(P980,P980,JoursFeries),MEDIAN(MOD(P980,1),HFer,HOuv),HOuv))*24,4))))</f>
        <v/>
      </c>
      <c r="AW980" s="37" t="str">
        <f aca="false">IF(AO980&lt;&gt;1,"",IFERROR(ROUND(IF(OR(P980="",R980=""),"",IF(R980&lt;P980,"",ROUND(((NETWORKDAYS(P980,R980,JoursFeries)-1)*(HFer-HOuv)+IF(NETWORKDAYS(R980,R980,JoursFeries),MEDIAN(MOD(R980,1),HFer,HOuv),HFer)-IF(NETWORKDAYS(P980,P980,JoursFeries),MEDIAN(MOD(P980,1),HFer,HOuv),HOuv))*24,4)))/HJour,4),""))</f>
        <v/>
      </c>
      <c r="AX980" s="37" t="str">
        <f aca="false">IF(AO980&lt;&gt;1,"",IFERROR(ROUND(IF(OR(P980="",S980=""),"",IF(S980&lt;P980,"",ROUND(((NETWORKDAYS(P980,S980,JoursFeries)-1)*(HFer-HOuv)+IF(NETWORKDAYS(S980,S980,JoursFeries),MEDIAN(MOD(S980,1),HFer,HOuv),HFer)-IF(NETWORKDAYS(P980,P980,JoursFeries),MEDIAN(MOD(P980,1),HFer,HOuv),HOuv))*24,4)))/HJour,4),""))</f>
        <v/>
      </c>
      <c r="AY980" s="36" t="str">
        <f aca="false">IF(OR(AO980&lt;&gt;1,AR980=""),"",INDEX(SLA_PEC,AR980))</f>
        <v/>
      </c>
      <c r="AZ980" s="35" t="str">
        <f aca="false">IF(OR(AV980="",AY980=""),"",IF(AV980&lt;=AY980,1,0))</f>
        <v/>
      </c>
      <c r="BA980" s="36" t="str">
        <f aca="false">IF(OR(AO980&lt;&gt;1,AR980=""),"",INDEX(SLA_RES,AR980))</f>
        <v/>
      </c>
      <c r="BB980" s="35" t="str">
        <f aca="false">IF(OR(AW980="",BA980=""),"",IF(AW980&lt;=BA980,1,0))</f>
        <v/>
      </c>
      <c r="BC980" s="38" t="str">
        <f aca="false">IF(OR(BA980="",P980=""),"",WORKDAY(INT(P980),BA980,JoursFeries)+MOD(P980,1))</f>
        <v/>
      </c>
      <c r="BD980" s="39" t="str">
        <f aca="false">IF(AO980&lt;&gt;1,"",IF(OR(AB980&lt;&gt;"",AD980&lt;&gt;""),4,IF(U980&lt;&gt;"",3,IF(T980&lt;&gt;"",2,1))))</f>
        <v/>
      </c>
      <c r="BE980" s="39" t="str">
        <f aca="false">IF(OR(AO980&lt;&gt;1,AR980=""),"",INDEX(NIV_REQ,AR980))</f>
        <v/>
      </c>
      <c r="BF980" s="39" t="str">
        <f aca="false">IF(BE980="","",MAX(BE980,IF(OR(K980="Oui",Z980="Oui"),4,1)))</f>
        <v/>
      </c>
      <c r="BG980" s="35" t="str">
        <f aca="false">IF(OR(BF980="",BD980=""),"",IF(BD980&gt;=BF980,1,0))</f>
        <v/>
      </c>
      <c r="BH980" s="38" t="str">
        <f aca="false">IF(BE980="","",IF(BE980&lt;2,"",IF(BE980=2,IF(AND(T980="",U980=""),"",MIN(T980,U980)),IF(U980="","",U980))))</f>
        <v/>
      </c>
      <c r="BI980" s="37" t="str">
        <f aca="false">IF(BH980="","",IF(OR(O980="",BH980=""),"",IF(BH980&lt;O980,"",ROUND(((NETWORKDAYS(O980,BH980,JoursFeries)-1)*(HFer-HOuv)+IF(NETWORKDAYS(BH980,BH980,JoursFeries),MEDIAN(MOD(BH980,1),HFer,HOuv),HFer)-IF(NETWORKDAYS(O980,O980,JoursFeries),MEDIAN(MOD(O980,1),HFer,HOuv),HOuv))*24,4))))</f>
        <v/>
      </c>
      <c r="BJ980" s="35" t="str">
        <f aca="false">IF(OR(BI980="",AR980=""),"",IF(BI980&lt;=INDEX(DELAI_ESC,AR980),1,0))</f>
        <v/>
      </c>
      <c r="BK980" s="38" t="str">
        <f aca="false">IF(AO980&lt;&gt;1,"",IF(AND(T980="",U980=""),"",MIN(T980,U980)))</f>
        <v/>
      </c>
      <c r="BL980" s="37" t="str">
        <f aca="false">IF(OR(BK980="",R980=""),"",IFERROR(ROUND(IF(OR(BK980="",R980=""),"",IF(R980&lt;BK980,"",ROUND(((NETWORKDAYS(BK980,R980,JoursFeries)-1)*(HFer-HOuv)+IF(NETWORKDAYS(R980,R980,JoursFeries),MEDIAN(MOD(R980,1),HFer,HOuv),HFer)-IF(NETWORKDAYS(BK980,BK980,JoursFeries),MEDIAN(MOD(BK980,1),HFer,HOuv),HOuv))*24,4)))/HJour,4),""))</f>
        <v/>
      </c>
      <c r="BM980" s="35" t="str">
        <f aca="false">IF(OR(AO980&lt;&gt;1,R980=""),"",IF(BD980=1,1,0))</f>
        <v/>
      </c>
      <c r="BN980" s="35" t="str">
        <f aca="false">IF(AO980&lt;&gt;1,"",IF(W980="Oui",1,0))</f>
        <v/>
      </c>
      <c r="BO980" s="35" t="str">
        <f aca="false">IF(AO980&lt;&gt;1,"",IF(X980&lt;&gt;"",1,0))</f>
        <v/>
      </c>
      <c r="BP980" s="35" t="str">
        <f aca="false">IF(AO980&lt;&gt;1,"",IF(Y980="Oui",1,0))</f>
        <v/>
      </c>
      <c r="BQ980" s="35" t="str">
        <f aca="true">IF(OR(AO980&lt;&gt;1,Z980&lt;&gt;"Oui"),"",IF(AB980="",IF(AND(AA980&lt;&gt;"",NOW()&gt;AA980),0,""),IF(AA980="","",IF(AB980&lt;=AA980,1,0))))</f>
        <v/>
      </c>
      <c r="BR980" s="38" t="str">
        <f aca="false">IF(OR(AO980&lt;&gt;1,K980&lt;&gt;"Oui",O980=""),"",IF(AC980="",O980+DORA_H_DET/24,IF(AC980-O980&lt;=DORA_H_DET/24,MIN(AC980+DORA_H_CLA/24,O980+DORA_H_DET/24),AC980+DORA_H_CLA/24)))</f>
        <v/>
      </c>
      <c r="BS980" s="35" t="str">
        <f aca="true">IF(BR980="","",IF(AD980="",IF(NOW()&gt;BR980,0,""),IF(AD980&lt;=BR980,1,0)))</f>
        <v/>
      </c>
      <c r="BT980" s="35" t="str">
        <f aca="true">IF(OR(BR980="",AD980=""),"",IF(AE980="",IF(NOW()&gt;AD980+DORA_H_INT/24,0,""),IF(AE980&lt;=AD980+DORA_H_INT/24,1,0)))</f>
        <v/>
      </c>
      <c r="BU980" s="35" t="str">
        <f aca="true">IF(OR(BR980="",AE980=""),"",IF(AF980="",IF(NOW()&gt;EDATE(AE980,DORA_M_FIN)+1,0,""),IF(AF980&lt;=EDATE(AE980,DORA_M_FIN),1,0)))</f>
        <v/>
      </c>
      <c r="BV980" s="35" t="str">
        <f aca="false">IF(BR980="","",IF(COUNT(BS980:BU980)=0,"",MIN(BS980:BU980)))</f>
        <v/>
      </c>
      <c r="BW980" s="40" t="str">
        <f aca="false">IF(AQ980&lt;&gt;1,"",IF(AND(AG980="",AH980=""),"",N(AG980)-N(AH980)))</f>
        <v/>
      </c>
      <c r="BX980" s="35" t="str">
        <f aca="true">IF(OR(AQ980&lt;&gt;1,AI980&lt;&gt;"Oui",AJ980=""),"",IF(AK980="",IF(NOW()&gt;AJ980+1,0,""),IF(AK980&lt;=AJ980,1,0)))</f>
        <v/>
      </c>
    </row>
    <row r="981" customFormat="false" ht="15" hidden="false" customHeight="false" outlineLevel="0" collapsed="false">
      <c r="B981" s="29"/>
      <c r="C981" s="29"/>
      <c r="D981" s="29"/>
      <c r="E981" s="29"/>
      <c r="F981" s="29"/>
      <c r="G981" s="29"/>
      <c r="H981" s="29"/>
      <c r="I981" s="29"/>
      <c r="J981" s="29"/>
      <c r="K981" s="29"/>
      <c r="L981" s="29"/>
      <c r="M981" s="29"/>
      <c r="N981" s="30"/>
      <c r="O981" s="30"/>
      <c r="P981" s="30"/>
      <c r="Q981" s="30"/>
      <c r="R981" s="30"/>
      <c r="S981" s="30"/>
      <c r="T981" s="30"/>
      <c r="U981" s="30"/>
      <c r="V981" s="31"/>
      <c r="W981" s="29"/>
      <c r="X981" s="29"/>
      <c r="Y981" s="29"/>
      <c r="Z981" s="29"/>
      <c r="AA981" s="30"/>
      <c r="AB981" s="30"/>
      <c r="AC981" s="30"/>
      <c r="AD981" s="30"/>
      <c r="AE981" s="30"/>
      <c r="AF981" s="32"/>
      <c r="AG981" s="33"/>
      <c r="AH981" s="33"/>
      <c r="AI981" s="29"/>
      <c r="AJ981" s="32"/>
      <c r="AK981" s="32"/>
      <c r="AL981" s="29"/>
      <c r="AN981" s="34" t="str">
        <f aca="false">IF($B981="","",IF(OR(C981="",D981="",E981="",G981="",I981="",J981="",L981="",O981="",P981=""),"Champ obligatoire manquant",IF(OR(AND(N981&lt;&gt;"",N981&gt;O981),O981&gt;P981,AND(Q981&lt;&gt;"",Q981&lt;P981),AND(R981&lt;&gt;"",R981&lt;P981),AND(S981&lt;&gt;"",S981&lt;R981),AND(S981&lt;&gt;"",R981=""),AND(T981&lt;&gt;"",T981&lt;O981),AND(U981&lt;&gt;"",U981&lt;O981)),"Chronologie incohérente",IF(AND(OR(L981="Résolu",L981="Clos"),R981=""),"Date de résolution manquante",IF(AND(L981="Clos",S981=""),"Date de clôture manquante",IF(AND(K981="Oui",AC981=""),"Classification DORA manquante","OK"))))))</f>
        <v/>
      </c>
      <c r="AO981" s="35" t="str">
        <f aca="false">IF($B981="","",IF(AND(C981="Incident",L981&lt;&gt;"Annulé"),1,0))</f>
        <v/>
      </c>
      <c r="AP981" s="35" t="str">
        <f aca="false">IF($B981="","",IF(AND(C981="Quasi-incident",L981&lt;&gt;"Annulé"),1,0))</f>
        <v/>
      </c>
      <c r="AQ981" s="35" t="str">
        <f aca="false">IF($B981="","",AO981+AP981)</f>
        <v/>
      </c>
      <c r="AR981" s="36" t="str">
        <f aca="false">IF(OR($B981="",J981=""),"",IFERROR(VALUE(LEFT(J981,1)),""))</f>
        <v/>
      </c>
      <c r="AS981" s="35" t="str">
        <f aca="false">IF(OR(AO981&lt;&gt;1,G981=""),"",IFERROR(IF(INDEX(L_SrcInterne,MATCH(G981,L_Sources,0))="Oui",1,0),""))</f>
        <v/>
      </c>
      <c r="AT981" s="37" t="str">
        <f aca="false">IF(AO981&lt;&gt;1,"",IFERROR(ROUND(IF(OR(N981="",O981=""),"",IF(O981&lt;N981,"",ROUND(((NETWORKDAYS(N981,O981,JoursFeries)-1)*(HFer-HOuv)+IF(NETWORKDAYS(O981,O981,JoursFeries),MEDIAN(MOD(O981,1),HFer,HOuv),HFer)-IF(NETWORKDAYS(N981,N981,JoursFeries),MEDIAN(MOD(N981,1),HFer,HOuv),HOuv))*24,4)))/HJour,4),""))</f>
        <v/>
      </c>
      <c r="AU981" s="37" t="str">
        <f aca="false">IF(AO981&lt;&gt;1,"",IF(OR(O981="",P981=""),"",IF(P981&lt;O981,"",ROUND(((NETWORKDAYS(O981,P981,JoursFeries)-1)*(HFer-HOuv)+IF(NETWORKDAYS(P981,P981,JoursFeries),MEDIAN(MOD(P981,1),HFer,HOuv),HFer)-IF(NETWORKDAYS(O981,O981,JoursFeries),MEDIAN(MOD(O981,1),HFer,HOuv),HOuv))*24,4))))</f>
        <v/>
      </c>
      <c r="AV981" s="37" t="str">
        <f aca="false">IF(AO981&lt;&gt;1,"",IF(OR(P981="",Q981=""),"",IF(Q981&lt;P981,"",ROUND(((NETWORKDAYS(P981,Q981,JoursFeries)-1)*(HFer-HOuv)+IF(NETWORKDAYS(Q981,Q981,JoursFeries),MEDIAN(MOD(Q981,1),HFer,HOuv),HFer)-IF(NETWORKDAYS(P981,P981,JoursFeries),MEDIAN(MOD(P981,1),HFer,HOuv),HOuv))*24,4))))</f>
        <v/>
      </c>
      <c r="AW981" s="37" t="str">
        <f aca="false">IF(AO981&lt;&gt;1,"",IFERROR(ROUND(IF(OR(P981="",R981=""),"",IF(R981&lt;P981,"",ROUND(((NETWORKDAYS(P981,R981,JoursFeries)-1)*(HFer-HOuv)+IF(NETWORKDAYS(R981,R981,JoursFeries),MEDIAN(MOD(R981,1),HFer,HOuv),HFer)-IF(NETWORKDAYS(P981,P981,JoursFeries),MEDIAN(MOD(P981,1),HFer,HOuv),HOuv))*24,4)))/HJour,4),""))</f>
        <v/>
      </c>
      <c r="AX981" s="37" t="str">
        <f aca="false">IF(AO981&lt;&gt;1,"",IFERROR(ROUND(IF(OR(P981="",S981=""),"",IF(S981&lt;P981,"",ROUND(((NETWORKDAYS(P981,S981,JoursFeries)-1)*(HFer-HOuv)+IF(NETWORKDAYS(S981,S981,JoursFeries),MEDIAN(MOD(S981,1),HFer,HOuv),HFer)-IF(NETWORKDAYS(P981,P981,JoursFeries),MEDIAN(MOD(P981,1),HFer,HOuv),HOuv))*24,4)))/HJour,4),""))</f>
        <v/>
      </c>
      <c r="AY981" s="36" t="str">
        <f aca="false">IF(OR(AO981&lt;&gt;1,AR981=""),"",INDEX(SLA_PEC,AR981))</f>
        <v/>
      </c>
      <c r="AZ981" s="35" t="str">
        <f aca="false">IF(OR(AV981="",AY981=""),"",IF(AV981&lt;=AY981,1,0))</f>
        <v/>
      </c>
      <c r="BA981" s="36" t="str">
        <f aca="false">IF(OR(AO981&lt;&gt;1,AR981=""),"",INDEX(SLA_RES,AR981))</f>
        <v/>
      </c>
      <c r="BB981" s="35" t="str">
        <f aca="false">IF(OR(AW981="",BA981=""),"",IF(AW981&lt;=BA981,1,0))</f>
        <v/>
      </c>
      <c r="BC981" s="38" t="str">
        <f aca="false">IF(OR(BA981="",P981=""),"",WORKDAY(INT(P981),BA981,JoursFeries)+MOD(P981,1))</f>
        <v/>
      </c>
      <c r="BD981" s="39" t="str">
        <f aca="false">IF(AO981&lt;&gt;1,"",IF(OR(AB981&lt;&gt;"",AD981&lt;&gt;""),4,IF(U981&lt;&gt;"",3,IF(T981&lt;&gt;"",2,1))))</f>
        <v/>
      </c>
      <c r="BE981" s="39" t="str">
        <f aca="false">IF(OR(AO981&lt;&gt;1,AR981=""),"",INDEX(NIV_REQ,AR981))</f>
        <v/>
      </c>
      <c r="BF981" s="39" t="str">
        <f aca="false">IF(BE981="","",MAX(BE981,IF(OR(K981="Oui",Z981="Oui"),4,1)))</f>
        <v/>
      </c>
      <c r="BG981" s="35" t="str">
        <f aca="false">IF(OR(BF981="",BD981=""),"",IF(BD981&gt;=BF981,1,0))</f>
        <v/>
      </c>
      <c r="BH981" s="38" t="str">
        <f aca="false">IF(BE981="","",IF(BE981&lt;2,"",IF(BE981=2,IF(AND(T981="",U981=""),"",MIN(T981,U981)),IF(U981="","",U981))))</f>
        <v/>
      </c>
      <c r="BI981" s="37" t="str">
        <f aca="false">IF(BH981="","",IF(OR(O981="",BH981=""),"",IF(BH981&lt;O981,"",ROUND(((NETWORKDAYS(O981,BH981,JoursFeries)-1)*(HFer-HOuv)+IF(NETWORKDAYS(BH981,BH981,JoursFeries),MEDIAN(MOD(BH981,1),HFer,HOuv),HFer)-IF(NETWORKDAYS(O981,O981,JoursFeries),MEDIAN(MOD(O981,1),HFer,HOuv),HOuv))*24,4))))</f>
        <v/>
      </c>
      <c r="BJ981" s="35" t="str">
        <f aca="false">IF(OR(BI981="",AR981=""),"",IF(BI981&lt;=INDEX(DELAI_ESC,AR981),1,0))</f>
        <v/>
      </c>
      <c r="BK981" s="38" t="str">
        <f aca="false">IF(AO981&lt;&gt;1,"",IF(AND(T981="",U981=""),"",MIN(T981,U981)))</f>
        <v/>
      </c>
      <c r="BL981" s="37" t="str">
        <f aca="false">IF(OR(BK981="",R981=""),"",IFERROR(ROUND(IF(OR(BK981="",R981=""),"",IF(R981&lt;BK981,"",ROUND(((NETWORKDAYS(BK981,R981,JoursFeries)-1)*(HFer-HOuv)+IF(NETWORKDAYS(R981,R981,JoursFeries),MEDIAN(MOD(R981,1),HFer,HOuv),HFer)-IF(NETWORKDAYS(BK981,BK981,JoursFeries),MEDIAN(MOD(BK981,1),HFer,HOuv),HOuv))*24,4)))/HJour,4),""))</f>
        <v/>
      </c>
      <c r="BM981" s="35" t="str">
        <f aca="false">IF(OR(AO981&lt;&gt;1,R981=""),"",IF(BD981=1,1,0))</f>
        <v/>
      </c>
      <c r="BN981" s="35" t="str">
        <f aca="false">IF(AO981&lt;&gt;1,"",IF(W981="Oui",1,0))</f>
        <v/>
      </c>
      <c r="BO981" s="35" t="str">
        <f aca="false">IF(AO981&lt;&gt;1,"",IF(X981&lt;&gt;"",1,0))</f>
        <v/>
      </c>
      <c r="BP981" s="35" t="str">
        <f aca="false">IF(AO981&lt;&gt;1,"",IF(Y981="Oui",1,0))</f>
        <v/>
      </c>
      <c r="BQ981" s="35" t="str">
        <f aca="true">IF(OR(AO981&lt;&gt;1,Z981&lt;&gt;"Oui"),"",IF(AB981="",IF(AND(AA981&lt;&gt;"",NOW()&gt;AA981),0,""),IF(AA981="","",IF(AB981&lt;=AA981,1,0))))</f>
        <v/>
      </c>
      <c r="BR981" s="38" t="str">
        <f aca="false">IF(OR(AO981&lt;&gt;1,K981&lt;&gt;"Oui",O981=""),"",IF(AC981="",O981+DORA_H_DET/24,IF(AC981-O981&lt;=DORA_H_DET/24,MIN(AC981+DORA_H_CLA/24,O981+DORA_H_DET/24),AC981+DORA_H_CLA/24)))</f>
        <v/>
      </c>
      <c r="BS981" s="35" t="str">
        <f aca="true">IF(BR981="","",IF(AD981="",IF(NOW()&gt;BR981,0,""),IF(AD981&lt;=BR981,1,0)))</f>
        <v/>
      </c>
      <c r="BT981" s="35" t="str">
        <f aca="true">IF(OR(BR981="",AD981=""),"",IF(AE981="",IF(NOW()&gt;AD981+DORA_H_INT/24,0,""),IF(AE981&lt;=AD981+DORA_H_INT/24,1,0)))</f>
        <v/>
      </c>
      <c r="BU981" s="35" t="str">
        <f aca="true">IF(OR(BR981="",AE981=""),"",IF(AF981="",IF(NOW()&gt;EDATE(AE981,DORA_M_FIN)+1,0,""),IF(AF981&lt;=EDATE(AE981,DORA_M_FIN),1,0)))</f>
        <v/>
      </c>
      <c r="BV981" s="35" t="str">
        <f aca="false">IF(BR981="","",IF(COUNT(BS981:BU981)=0,"",MIN(BS981:BU981)))</f>
        <v/>
      </c>
      <c r="BW981" s="40" t="str">
        <f aca="false">IF(AQ981&lt;&gt;1,"",IF(AND(AG981="",AH981=""),"",N(AG981)-N(AH981)))</f>
        <v/>
      </c>
      <c r="BX981" s="35" t="str">
        <f aca="true">IF(OR(AQ981&lt;&gt;1,AI981&lt;&gt;"Oui",AJ981=""),"",IF(AK981="",IF(NOW()&gt;AJ981+1,0,""),IF(AK981&lt;=AJ981,1,0)))</f>
        <v/>
      </c>
    </row>
    <row r="982" customFormat="false" ht="15" hidden="false" customHeight="false" outlineLevel="0" collapsed="false">
      <c r="B982" s="29"/>
      <c r="C982" s="29"/>
      <c r="D982" s="29"/>
      <c r="E982" s="29"/>
      <c r="F982" s="29"/>
      <c r="G982" s="29"/>
      <c r="H982" s="29"/>
      <c r="I982" s="29"/>
      <c r="J982" s="29"/>
      <c r="K982" s="29"/>
      <c r="L982" s="29"/>
      <c r="M982" s="29"/>
      <c r="N982" s="30"/>
      <c r="O982" s="30"/>
      <c r="P982" s="30"/>
      <c r="Q982" s="30"/>
      <c r="R982" s="30"/>
      <c r="S982" s="30"/>
      <c r="T982" s="30"/>
      <c r="U982" s="30"/>
      <c r="V982" s="31"/>
      <c r="W982" s="29"/>
      <c r="X982" s="29"/>
      <c r="Y982" s="29"/>
      <c r="Z982" s="29"/>
      <c r="AA982" s="30"/>
      <c r="AB982" s="30"/>
      <c r="AC982" s="30"/>
      <c r="AD982" s="30"/>
      <c r="AE982" s="30"/>
      <c r="AF982" s="32"/>
      <c r="AG982" s="33"/>
      <c r="AH982" s="33"/>
      <c r="AI982" s="29"/>
      <c r="AJ982" s="32"/>
      <c r="AK982" s="32"/>
      <c r="AL982" s="29"/>
      <c r="AN982" s="34" t="str">
        <f aca="false">IF($B982="","",IF(OR(C982="",D982="",E982="",G982="",I982="",J982="",L982="",O982="",P982=""),"Champ obligatoire manquant",IF(OR(AND(N982&lt;&gt;"",N982&gt;O982),O982&gt;P982,AND(Q982&lt;&gt;"",Q982&lt;P982),AND(R982&lt;&gt;"",R982&lt;P982),AND(S982&lt;&gt;"",S982&lt;R982),AND(S982&lt;&gt;"",R982=""),AND(T982&lt;&gt;"",T982&lt;O982),AND(U982&lt;&gt;"",U982&lt;O982)),"Chronologie incohérente",IF(AND(OR(L982="Résolu",L982="Clos"),R982=""),"Date de résolution manquante",IF(AND(L982="Clos",S982=""),"Date de clôture manquante",IF(AND(K982="Oui",AC982=""),"Classification DORA manquante","OK"))))))</f>
        <v/>
      </c>
      <c r="AO982" s="35" t="str">
        <f aca="false">IF($B982="","",IF(AND(C982="Incident",L982&lt;&gt;"Annulé"),1,0))</f>
        <v/>
      </c>
      <c r="AP982" s="35" t="str">
        <f aca="false">IF($B982="","",IF(AND(C982="Quasi-incident",L982&lt;&gt;"Annulé"),1,0))</f>
        <v/>
      </c>
      <c r="AQ982" s="35" t="str">
        <f aca="false">IF($B982="","",AO982+AP982)</f>
        <v/>
      </c>
      <c r="AR982" s="36" t="str">
        <f aca="false">IF(OR($B982="",J982=""),"",IFERROR(VALUE(LEFT(J982,1)),""))</f>
        <v/>
      </c>
      <c r="AS982" s="35" t="str">
        <f aca="false">IF(OR(AO982&lt;&gt;1,G982=""),"",IFERROR(IF(INDEX(L_SrcInterne,MATCH(G982,L_Sources,0))="Oui",1,0),""))</f>
        <v/>
      </c>
      <c r="AT982" s="37" t="str">
        <f aca="false">IF(AO982&lt;&gt;1,"",IFERROR(ROUND(IF(OR(N982="",O982=""),"",IF(O982&lt;N982,"",ROUND(((NETWORKDAYS(N982,O982,JoursFeries)-1)*(HFer-HOuv)+IF(NETWORKDAYS(O982,O982,JoursFeries),MEDIAN(MOD(O982,1),HFer,HOuv),HFer)-IF(NETWORKDAYS(N982,N982,JoursFeries),MEDIAN(MOD(N982,1),HFer,HOuv),HOuv))*24,4)))/HJour,4),""))</f>
        <v/>
      </c>
      <c r="AU982" s="37" t="str">
        <f aca="false">IF(AO982&lt;&gt;1,"",IF(OR(O982="",P982=""),"",IF(P982&lt;O982,"",ROUND(((NETWORKDAYS(O982,P982,JoursFeries)-1)*(HFer-HOuv)+IF(NETWORKDAYS(P982,P982,JoursFeries),MEDIAN(MOD(P982,1),HFer,HOuv),HFer)-IF(NETWORKDAYS(O982,O982,JoursFeries),MEDIAN(MOD(O982,1),HFer,HOuv),HOuv))*24,4))))</f>
        <v/>
      </c>
      <c r="AV982" s="37" t="str">
        <f aca="false">IF(AO982&lt;&gt;1,"",IF(OR(P982="",Q982=""),"",IF(Q982&lt;P982,"",ROUND(((NETWORKDAYS(P982,Q982,JoursFeries)-1)*(HFer-HOuv)+IF(NETWORKDAYS(Q982,Q982,JoursFeries),MEDIAN(MOD(Q982,1),HFer,HOuv),HFer)-IF(NETWORKDAYS(P982,P982,JoursFeries),MEDIAN(MOD(P982,1),HFer,HOuv),HOuv))*24,4))))</f>
        <v/>
      </c>
      <c r="AW982" s="37" t="str">
        <f aca="false">IF(AO982&lt;&gt;1,"",IFERROR(ROUND(IF(OR(P982="",R982=""),"",IF(R982&lt;P982,"",ROUND(((NETWORKDAYS(P982,R982,JoursFeries)-1)*(HFer-HOuv)+IF(NETWORKDAYS(R982,R982,JoursFeries),MEDIAN(MOD(R982,1),HFer,HOuv),HFer)-IF(NETWORKDAYS(P982,P982,JoursFeries),MEDIAN(MOD(P982,1),HFer,HOuv),HOuv))*24,4)))/HJour,4),""))</f>
        <v/>
      </c>
      <c r="AX982" s="37" t="str">
        <f aca="false">IF(AO982&lt;&gt;1,"",IFERROR(ROUND(IF(OR(P982="",S982=""),"",IF(S982&lt;P982,"",ROUND(((NETWORKDAYS(P982,S982,JoursFeries)-1)*(HFer-HOuv)+IF(NETWORKDAYS(S982,S982,JoursFeries),MEDIAN(MOD(S982,1),HFer,HOuv),HFer)-IF(NETWORKDAYS(P982,P982,JoursFeries),MEDIAN(MOD(P982,1),HFer,HOuv),HOuv))*24,4)))/HJour,4),""))</f>
        <v/>
      </c>
      <c r="AY982" s="36" t="str">
        <f aca="false">IF(OR(AO982&lt;&gt;1,AR982=""),"",INDEX(SLA_PEC,AR982))</f>
        <v/>
      </c>
      <c r="AZ982" s="35" t="str">
        <f aca="false">IF(OR(AV982="",AY982=""),"",IF(AV982&lt;=AY982,1,0))</f>
        <v/>
      </c>
      <c r="BA982" s="36" t="str">
        <f aca="false">IF(OR(AO982&lt;&gt;1,AR982=""),"",INDEX(SLA_RES,AR982))</f>
        <v/>
      </c>
      <c r="BB982" s="35" t="str">
        <f aca="false">IF(OR(AW982="",BA982=""),"",IF(AW982&lt;=BA982,1,0))</f>
        <v/>
      </c>
      <c r="BC982" s="38" t="str">
        <f aca="false">IF(OR(BA982="",P982=""),"",WORKDAY(INT(P982),BA982,JoursFeries)+MOD(P982,1))</f>
        <v/>
      </c>
      <c r="BD982" s="39" t="str">
        <f aca="false">IF(AO982&lt;&gt;1,"",IF(OR(AB982&lt;&gt;"",AD982&lt;&gt;""),4,IF(U982&lt;&gt;"",3,IF(T982&lt;&gt;"",2,1))))</f>
        <v/>
      </c>
      <c r="BE982" s="39" t="str">
        <f aca="false">IF(OR(AO982&lt;&gt;1,AR982=""),"",INDEX(NIV_REQ,AR982))</f>
        <v/>
      </c>
      <c r="BF982" s="39" t="str">
        <f aca="false">IF(BE982="","",MAX(BE982,IF(OR(K982="Oui",Z982="Oui"),4,1)))</f>
        <v/>
      </c>
      <c r="BG982" s="35" t="str">
        <f aca="false">IF(OR(BF982="",BD982=""),"",IF(BD982&gt;=BF982,1,0))</f>
        <v/>
      </c>
      <c r="BH982" s="38" t="str">
        <f aca="false">IF(BE982="","",IF(BE982&lt;2,"",IF(BE982=2,IF(AND(T982="",U982=""),"",MIN(T982,U982)),IF(U982="","",U982))))</f>
        <v/>
      </c>
      <c r="BI982" s="37" t="str">
        <f aca="false">IF(BH982="","",IF(OR(O982="",BH982=""),"",IF(BH982&lt;O982,"",ROUND(((NETWORKDAYS(O982,BH982,JoursFeries)-1)*(HFer-HOuv)+IF(NETWORKDAYS(BH982,BH982,JoursFeries),MEDIAN(MOD(BH982,1),HFer,HOuv),HFer)-IF(NETWORKDAYS(O982,O982,JoursFeries),MEDIAN(MOD(O982,1),HFer,HOuv),HOuv))*24,4))))</f>
        <v/>
      </c>
      <c r="BJ982" s="35" t="str">
        <f aca="false">IF(OR(BI982="",AR982=""),"",IF(BI982&lt;=INDEX(DELAI_ESC,AR982),1,0))</f>
        <v/>
      </c>
      <c r="BK982" s="38" t="str">
        <f aca="false">IF(AO982&lt;&gt;1,"",IF(AND(T982="",U982=""),"",MIN(T982,U982)))</f>
        <v/>
      </c>
      <c r="BL982" s="37" t="str">
        <f aca="false">IF(OR(BK982="",R982=""),"",IFERROR(ROUND(IF(OR(BK982="",R982=""),"",IF(R982&lt;BK982,"",ROUND(((NETWORKDAYS(BK982,R982,JoursFeries)-1)*(HFer-HOuv)+IF(NETWORKDAYS(R982,R982,JoursFeries),MEDIAN(MOD(R982,1),HFer,HOuv),HFer)-IF(NETWORKDAYS(BK982,BK982,JoursFeries),MEDIAN(MOD(BK982,1),HFer,HOuv),HOuv))*24,4)))/HJour,4),""))</f>
        <v/>
      </c>
      <c r="BM982" s="35" t="str">
        <f aca="false">IF(OR(AO982&lt;&gt;1,R982=""),"",IF(BD982=1,1,0))</f>
        <v/>
      </c>
      <c r="BN982" s="35" t="str">
        <f aca="false">IF(AO982&lt;&gt;1,"",IF(W982="Oui",1,0))</f>
        <v/>
      </c>
      <c r="BO982" s="35" t="str">
        <f aca="false">IF(AO982&lt;&gt;1,"",IF(X982&lt;&gt;"",1,0))</f>
        <v/>
      </c>
      <c r="BP982" s="35" t="str">
        <f aca="false">IF(AO982&lt;&gt;1,"",IF(Y982="Oui",1,0))</f>
        <v/>
      </c>
      <c r="BQ982" s="35" t="str">
        <f aca="true">IF(OR(AO982&lt;&gt;1,Z982&lt;&gt;"Oui"),"",IF(AB982="",IF(AND(AA982&lt;&gt;"",NOW()&gt;AA982),0,""),IF(AA982="","",IF(AB982&lt;=AA982,1,0))))</f>
        <v/>
      </c>
      <c r="BR982" s="38" t="str">
        <f aca="false">IF(OR(AO982&lt;&gt;1,K982&lt;&gt;"Oui",O982=""),"",IF(AC982="",O982+DORA_H_DET/24,IF(AC982-O982&lt;=DORA_H_DET/24,MIN(AC982+DORA_H_CLA/24,O982+DORA_H_DET/24),AC982+DORA_H_CLA/24)))</f>
        <v/>
      </c>
      <c r="BS982" s="35" t="str">
        <f aca="true">IF(BR982="","",IF(AD982="",IF(NOW()&gt;BR982,0,""),IF(AD982&lt;=BR982,1,0)))</f>
        <v/>
      </c>
      <c r="BT982" s="35" t="str">
        <f aca="true">IF(OR(BR982="",AD982=""),"",IF(AE982="",IF(NOW()&gt;AD982+DORA_H_INT/24,0,""),IF(AE982&lt;=AD982+DORA_H_INT/24,1,0)))</f>
        <v/>
      </c>
      <c r="BU982" s="35" t="str">
        <f aca="true">IF(OR(BR982="",AE982=""),"",IF(AF982="",IF(NOW()&gt;EDATE(AE982,DORA_M_FIN)+1,0,""),IF(AF982&lt;=EDATE(AE982,DORA_M_FIN),1,0)))</f>
        <v/>
      </c>
      <c r="BV982" s="35" t="str">
        <f aca="false">IF(BR982="","",IF(COUNT(BS982:BU982)=0,"",MIN(BS982:BU982)))</f>
        <v/>
      </c>
      <c r="BW982" s="40" t="str">
        <f aca="false">IF(AQ982&lt;&gt;1,"",IF(AND(AG982="",AH982=""),"",N(AG982)-N(AH982)))</f>
        <v/>
      </c>
      <c r="BX982" s="35" t="str">
        <f aca="true">IF(OR(AQ982&lt;&gt;1,AI982&lt;&gt;"Oui",AJ982=""),"",IF(AK982="",IF(NOW()&gt;AJ982+1,0,""),IF(AK982&lt;=AJ982,1,0)))</f>
        <v/>
      </c>
    </row>
    <row r="983" customFormat="false" ht="15" hidden="false" customHeight="false" outlineLevel="0" collapsed="false">
      <c r="B983" s="29"/>
      <c r="C983" s="29"/>
      <c r="D983" s="29"/>
      <c r="E983" s="29"/>
      <c r="F983" s="29"/>
      <c r="G983" s="29"/>
      <c r="H983" s="29"/>
      <c r="I983" s="29"/>
      <c r="J983" s="29"/>
      <c r="K983" s="29"/>
      <c r="L983" s="29"/>
      <c r="M983" s="29"/>
      <c r="N983" s="30"/>
      <c r="O983" s="30"/>
      <c r="P983" s="30"/>
      <c r="Q983" s="30"/>
      <c r="R983" s="30"/>
      <c r="S983" s="30"/>
      <c r="T983" s="30"/>
      <c r="U983" s="30"/>
      <c r="V983" s="31"/>
      <c r="W983" s="29"/>
      <c r="X983" s="29"/>
      <c r="Y983" s="29"/>
      <c r="Z983" s="29"/>
      <c r="AA983" s="30"/>
      <c r="AB983" s="30"/>
      <c r="AC983" s="30"/>
      <c r="AD983" s="30"/>
      <c r="AE983" s="30"/>
      <c r="AF983" s="32"/>
      <c r="AG983" s="33"/>
      <c r="AH983" s="33"/>
      <c r="AI983" s="29"/>
      <c r="AJ983" s="32"/>
      <c r="AK983" s="32"/>
      <c r="AL983" s="29"/>
      <c r="AN983" s="34" t="str">
        <f aca="false">IF($B983="","",IF(OR(C983="",D983="",E983="",G983="",I983="",J983="",L983="",O983="",P983=""),"Champ obligatoire manquant",IF(OR(AND(N983&lt;&gt;"",N983&gt;O983),O983&gt;P983,AND(Q983&lt;&gt;"",Q983&lt;P983),AND(R983&lt;&gt;"",R983&lt;P983),AND(S983&lt;&gt;"",S983&lt;R983),AND(S983&lt;&gt;"",R983=""),AND(T983&lt;&gt;"",T983&lt;O983),AND(U983&lt;&gt;"",U983&lt;O983)),"Chronologie incohérente",IF(AND(OR(L983="Résolu",L983="Clos"),R983=""),"Date de résolution manquante",IF(AND(L983="Clos",S983=""),"Date de clôture manquante",IF(AND(K983="Oui",AC983=""),"Classification DORA manquante","OK"))))))</f>
        <v/>
      </c>
      <c r="AO983" s="35" t="str">
        <f aca="false">IF($B983="","",IF(AND(C983="Incident",L983&lt;&gt;"Annulé"),1,0))</f>
        <v/>
      </c>
      <c r="AP983" s="35" t="str">
        <f aca="false">IF($B983="","",IF(AND(C983="Quasi-incident",L983&lt;&gt;"Annulé"),1,0))</f>
        <v/>
      </c>
      <c r="AQ983" s="35" t="str">
        <f aca="false">IF($B983="","",AO983+AP983)</f>
        <v/>
      </c>
      <c r="AR983" s="36" t="str">
        <f aca="false">IF(OR($B983="",J983=""),"",IFERROR(VALUE(LEFT(J983,1)),""))</f>
        <v/>
      </c>
      <c r="AS983" s="35" t="str">
        <f aca="false">IF(OR(AO983&lt;&gt;1,G983=""),"",IFERROR(IF(INDEX(L_SrcInterne,MATCH(G983,L_Sources,0))="Oui",1,0),""))</f>
        <v/>
      </c>
      <c r="AT983" s="37" t="str">
        <f aca="false">IF(AO983&lt;&gt;1,"",IFERROR(ROUND(IF(OR(N983="",O983=""),"",IF(O983&lt;N983,"",ROUND(((NETWORKDAYS(N983,O983,JoursFeries)-1)*(HFer-HOuv)+IF(NETWORKDAYS(O983,O983,JoursFeries),MEDIAN(MOD(O983,1),HFer,HOuv),HFer)-IF(NETWORKDAYS(N983,N983,JoursFeries),MEDIAN(MOD(N983,1),HFer,HOuv),HOuv))*24,4)))/HJour,4),""))</f>
        <v/>
      </c>
      <c r="AU983" s="37" t="str">
        <f aca="false">IF(AO983&lt;&gt;1,"",IF(OR(O983="",P983=""),"",IF(P983&lt;O983,"",ROUND(((NETWORKDAYS(O983,P983,JoursFeries)-1)*(HFer-HOuv)+IF(NETWORKDAYS(P983,P983,JoursFeries),MEDIAN(MOD(P983,1),HFer,HOuv),HFer)-IF(NETWORKDAYS(O983,O983,JoursFeries),MEDIAN(MOD(O983,1),HFer,HOuv),HOuv))*24,4))))</f>
        <v/>
      </c>
      <c r="AV983" s="37" t="str">
        <f aca="false">IF(AO983&lt;&gt;1,"",IF(OR(P983="",Q983=""),"",IF(Q983&lt;P983,"",ROUND(((NETWORKDAYS(P983,Q983,JoursFeries)-1)*(HFer-HOuv)+IF(NETWORKDAYS(Q983,Q983,JoursFeries),MEDIAN(MOD(Q983,1),HFer,HOuv),HFer)-IF(NETWORKDAYS(P983,P983,JoursFeries),MEDIAN(MOD(P983,1),HFer,HOuv),HOuv))*24,4))))</f>
        <v/>
      </c>
      <c r="AW983" s="37" t="str">
        <f aca="false">IF(AO983&lt;&gt;1,"",IFERROR(ROUND(IF(OR(P983="",R983=""),"",IF(R983&lt;P983,"",ROUND(((NETWORKDAYS(P983,R983,JoursFeries)-1)*(HFer-HOuv)+IF(NETWORKDAYS(R983,R983,JoursFeries),MEDIAN(MOD(R983,1),HFer,HOuv),HFer)-IF(NETWORKDAYS(P983,P983,JoursFeries),MEDIAN(MOD(P983,1),HFer,HOuv),HOuv))*24,4)))/HJour,4),""))</f>
        <v/>
      </c>
      <c r="AX983" s="37" t="str">
        <f aca="false">IF(AO983&lt;&gt;1,"",IFERROR(ROUND(IF(OR(P983="",S983=""),"",IF(S983&lt;P983,"",ROUND(((NETWORKDAYS(P983,S983,JoursFeries)-1)*(HFer-HOuv)+IF(NETWORKDAYS(S983,S983,JoursFeries),MEDIAN(MOD(S983,1),HFer,HOuv),HFer)-IF(NETWORKDAYS(P983,P983,JoursFeries),MEDIAN(MOD(P983,1),HFer,HOuv),HOuv))*24,4)))/HJour,4),""))</f>
        <v/>
      </c>
      <c r="AY983" s="36" t="str">
        <f aca="false">IF(OR(AO983&lt;&gt;1,AR983=""),"",INDEX(SLA_PEC,AR983))</f>
        <v/>
      </c>
      <c r="AZ983" s="35" t="str">
        <f aca="false">IF(OR(AV983="",AY983=""),"",IF(AV983&lt;=AY983,1,0))</f>
        <v/>
      </c>
      <c r="BA983" s="36" t="str">
        <f aca="false">IF(OR(AO983&lt;&gt;1,AR983=""),"",INDEX(SLA_RES,AR983))</f>
        <v/>
      </c>
      <c r="BB983" s="35" t="str">
        <f aca="false">IF(OR(AW983="",BA983=""),"",IF(AW983&lt;=BA983,1,0))</f>
        <v/>
      </c>
      <c r="BC983" s="38" t="str">
        <f aca="false">IF(OR(BA983="",P983=""),"",WORKDAY(INT(P983),BA983,JoursFeries)+MOD(P983,1))</f>
        <v/>
      </c>
      <c r="BD983" s="39" t="str">
        <f aca="false">IF(AO983&lt;&gt;1,"",IF(OR(AB983&lt;&gt;"",AD983&lt;&gt;""),4,IF(U983&lt;&gt;"",3,IF(T983&lt;&gt;"",2,1))))</f>
        <v/>
      </c>
      <c r="BE983" s="39" t="str">
        <f aca="false">IF(OR(AO983&lt;&gt;1,AR983=""),"",INDEX(NIV_REQ,AR983))</f>
        <v/>
      </c>
      <c r="BF983" s="39" t="str">
        <f aca="false">IF(BE983="","",MAX(BE983,IF(OR(K983="Oui",Z983="Oui"),4,1)))</f>
        <v/>
      </c>
      <c r="BG983" s="35" t="str">
        <f aca="false">IF(OR(BF983="",BD983=""),"",IF(BD983&gt;=BF983,1,0))</f>
        <v/>
      </c>
      <c r="BH983" s="38" t="str">
        <f aca="false">IF(BE983="","",IF(BE983&lt;2,"",IF(BE983=2,IF(AND(T983="",U983=""),"",MIN(T983,U983)),IF(U983="","",U983))))</f>
        <v/>
      </c>
      <c r="BI983" s="37" t="str">
        <f aca="false">IF(BH983="","",IF(OR(O983="",BH983=""),"",IF(BH983&lt;O983,"",ROUND(((NETWORKDAYS(O983,BH983,JoursFeries)-1)*(HFer-HOuv)+IF(NETWORKDAYS(BH983,BH983,JoursFeries),MEDIAN(MOD(BH983,1),HFer,HOuv),HFer)-IF(NETWORKDAYS(O983,O983,JoursFeries),MEDIAN(MOD(O983,1),HFer,HOuv),HOuv))*24,4))))</f>
        <v/>
      </c>
      <c r="BJ983" s="35" t="str">
        <f aca="false">IF(OR(BI983="",AR983=""),"",IF(BI983&lt;=INDEX(DELAI_ESC,AR983),1,0))</f>
        <v/>
      </c>
      <c r="BK983" s="38" t="str">
        <f aca="false">IF(AO983&lt;&gt;1,"",IF(AND(T983="",U983=""),"",MIN(T983,U983)))</f>
        <v/>
      </c>
      <c r="BL983" s="37" t="str">
        <f aca="false">IF(OR(BK983="",R983=""),"",IFERROR(ROUND(IF(OR(BK983="",R983=""),"",IF(R983&lt;BK983,"",ROUND(((NETWORKDAYS(BK983,R983,JoursFeries)-1)*(HFer-HOuv)+IF(NETWORKDAYS(R983,R983,JoursFeries),MEDIAN(MOD(R983,1),HFer,HOuv),HFer)-IF(NETWORKDAYS(BK983,BK983,JoursFeries),MEDIAN(MOD(BK983,1),HFer,HOuv),HOuv))*24,4)))/HJour,4),""))</f>
        <v/>
      </c>
      <c r="BM983" s="35" t="str">
        <f aca="false">IF(OR(AO983&lt;&gt;1,R983=""),"",IF(BD983=1,1,0))</f>
        <v/>
      </c>
      <c r="BN983" s="35" t="str">
        <f aca="false">IF(AO983&lt;&gt;1,"",IF(W983="Oui",1,0))</f>
        <v/>
      </c>
      <c r="BO983" s="35" t="str">
        <f aca="false">IF(AO983&lt;&gt;1,"",IF(X983&lt;&gt;"",1,0))</f>
        <v/>
      </c>
      <c r="BP983" s="35" t="str">
        <f aca="false">IF(AO983&lt;&gt;1,"",IF(Y983="Oui",1,0))</f>
        <v/>
      </c>
      <c r="BQ983" s="35" t="str">
        <f aca="true">IF(OR(AO983&lt;&gt;1,Z983&lt;&gt;"Oui"),"",IF(AB983="",IF(AND(AA983&lt;&gt;"",NOW()&gt;AA983),0,""),IF(AA983="","",IF(AB983&lt;=AA983,1,0))))</f>
        <v/>
      </c>
      <c r="BR983" s="38" t="str">
        <f aca="false">IF(OR(AO983&lt;&gt;1,K983&lt;&gt;"Oui",O983=""),"",IF(AC983="",O983+DORA_H_DET/24,IF(AC983-O983&lt;=DORA_H_DET/24,MIN(AC983+DORA_H_CLA/24,O983+DORA_H_DET/24),AC983+DORA_H_CLA/24)))</f>
        <v/>
      </c>
      <c r="BS983" s="35" t="str">
        <f aca="true">IF(BR983="","",IF(AD983="",IF(NOW()&gt;BR983,0,""),IF(AD983&lt;=BR983,1,0)))</f>
        <v/>
      </c>
      <c r="BT983" s="35" t="str">
        <f aca="true">IF(OR(BR983="",AD983=""),"",IF(AE983="",IF(NOW()&gt;AD983+DORA_H_INT/24,0,""),IF(AE983&lt;=AD983+DORA_H_INT/24,1,0)))</f>
        <v/>
      </c>
      <c r="BU983" s="35" t="str">
        <f aca="true">IF(OR(BR983="",AE983=""),"",IF(AF983="",IF(NOW()&gt;EDATE(AE983,DORA_M_FIN)+1,0,""),IF(AF983&lt;=EDATE(AE983,DORA_M_FIN),1,0)))</f>
        <v/>
      </c>
      <c r="BV983" s="35" t="str">
        <f aca="false">IF(BR983="","",IF(COUNT(BS983:BU983)=0,"",MIN(BS983:BU983)))</f>
        <v/>
      </c>
      <c r="BW983" s="40" t="str">
        <f aca="false">IF(AQ983&lt;&gt;1,"",IF(AND(AG983="",AH983=""),"",N(AG983)-N(AH983)))</f>
        <v/>
      </c>
      <c r="BX983" s="35" t="str">
        <f aca="true">IF(OR(AQ983&lt;&gt;1,AI983&lt;&gt;"Oui",AJ983=""),"",IF(AK983="",IF(NOW()&gt;AJ983+1,0,""),IF(AK983&lt;=AJ983,1,0)))</f>
        <v/>
      </c>
    </row>
    <row r="984" customFormat="false" ht="15" hidden="false" customHeight="false" outlineLevel="0" collapsed="false">
      <c r="B984" s="29"/>
      <c r="C984" s="29"/>
      <c r="D984" s="29"/>
      <c r="E984" s="29"/>
      <c r="F984" s="29"/>
      <c r="G984" s="29"/>
      <c r="H984" s="29"/>
      <c r="I984" s="29"/>
      <c r="J984" s="29"/>
      <c r="K984" s="29"/>
      <c r="L984" s="29"/>
      <c r="M984" s="29"/>
      <c r="N984" s="30"/>
      <c r="O984" s="30"/>
      <c r="P984" s="30"/>
      <c r="Q984" s="30"/>
      <c r="R984" s="30"/>
      <c r="S984" s="30"/>
      <c r="T984" s="30"/>
      <c r="U984" s="30"/>
      <c r="V984" s="31"/>
      <c r="W984" s="29"/>
      <c r="X984" s="29"/>
      <c r="Y984" s="29"/>
      <c r="Z984" s="29"/>
      <c r="AA984" s="30"/>
      <c r="AB984" s="30"/>
      <c r="AC984" s="30"/>
      <c r="AD984" s="30"/>
      <c r="AE984" s="30"/>
      <c r="AF984" s="32"/>
      <c r="AG984" s="33"/>
      <c r="AH984" s="33"/>
      <c r="AI984" s="29"/>
      <c r="AJ984" s="32"/>
      <c r="AK984" s="32"/>
      <c r="AL984" s="29"/>
      <c r="AN984" s="34" t="str">
        <f aca="false">IF($B984="","",IF(OR(C984="",D984="",E984="",G984="",I984="",J984="",L984="",O984="",P984=""),"Champ obligatoire manquant",IF(OR(AND(N984&lt;&gt;"",N984&gt;O984),O984&gt;P984,AND(Q984&lt;&gt;"",Q984&lt;P984),AND(R984&lt;&gt;"",R984&lt;P984),AND(S984&lt;&gt;"",S984&lt;R984),AND(S984&lt;&gt;"",R984=""),AND(T984&lt;&gt;"",T984&lt;O984),AND(U984&lt;&gt;"",U984&lt;O984)),"Chronologie incohérente",IF(AND(OR(L984="Résolu",L984="Clos"),R984=""),"Date de résolution manquante",IF(AND(L984="Clos",S984=""),"Date de clôture manquante",IF(AND(K984="Oui",AC984=""),"Classification DORA manquante","OK"))))))</f>
        <v/>
      </c>
      <c r="AO984" s="35" t="str">
        <f aca="false">IF($B984="","",IF(AND(C984="Incident",L984&lt;&gt;"Annulé"),1,0))</f>
        <v/>
      </c>
      <c r="AP984" s="35" t="str">
        <f aca="false">IF($B984="","",IF(AND(C984="Quasi-incident",L984&lt;&gt;"Annulé"),1,0))</f>
        <v/>
      </c>
      <c r="AQ984" s="35" t="str">
        <f aca="false">IF($B984="","",AO984+AP984)</f>
        <v/>
      </c>
      <c r="AR984" s="36" t="str">
        <f aca="false">IF(OR($B984="",J984=""),"",IFERROR(VALUE(LEFT(J984,1)),""))</f>
        <v/>
      </c>
      <c r="AS984" s="35" t="str">
        <f aca="false">IF(OR(AO984&lt;&gt;1,G984=""),"",IFERROR(IF(INDEX(L_SrcInterne,MATCH(G984,L_Sources,0))="Oui",1,0),""))</f>
        <v/>
      </c>
      <c r="AT984" s="37" t="str">
        <f aca="false">IF(AO984&lt;&gt;1,"",IFERROR(ROUND(IF(OR(N984="",O984=""),"",IF(O984&lt;N984,"",ROUND(((NETWORKDAYS(N984,O984,JoursFeries)-1)*(HFer-HOuv)+IF(NETWORKDAYS(O984,O984,JoursFeries),MEDIAN(MOD(O984,1),HFer,HOuv),HFer)-IF(NETWORKDAYS(N984,N984,JoursFeries),MEDIAN(MOD(N984,1),HFer,HOuv),HOuv))*24,4)))/HJour,4),""))</f>
        <v/>
      </c>
      <c r="AU984" s="37" t="str">
        <f aca="false">IF(AO984&lt;&gt;1,"",IF(OR(O984="",P984=""),"",IF(P984&lt;O984,"",ROUND(((NETWORKDAYS(O984,P984,JoursFeries)-1)*(HFer-HOuv)+IF(NETWORKDAYS(P984,P984,JoursFeries),MEDIAN(MOD(P984,1),HFer,HOuv),HFer)-IF(NETWORKDAYS(O984,O984,JoursFeries),MEDIAN(MOD(O984,1),HFer,HOuv),HOuv))*24,4))))</f>
        <v/>
      </c>
      <c r="AV984" s="37" t="str">
        <f aca="false">IF(AO984&lt;&gt;1,"",IF(OR(P984="",Q984=""),"",IF(Q984&lt;P984,"",ROUND(((NETWORKDAYS(P984,Q984,JoursFeries)-1)*(HFer-HOuv)+IF(NETWORKDAYS(Q984,Q984,JoursFeries),MEDIAN(MOD(Q984,1),HFer,HOuv),HFer)-IF(NETWORKDAYS(P984,P984,JoursFeries),MEDIAN(MOD(P984,1),HFer,HOuv),HOuv))*24,4))))</f>
        <v/>
      </c>
      <c r="AW984" s="37" t="str">
        <f aca="false">IF(AO984&lt;&gt;1,"",IFERROR(ROUND(IF(OR(P984="",R984=""),"",IF(R984&lt;P984,"",ROUND(((NETWORKDAYS(P984,R984,JoursFeries)-1)*(HFer-HOuv)+IF(NETWORKDAYS(R984,R984,JoursFeries),MEDIAN(MOD(R984,1),HFer,HOuv),HFer)-IF(NETWORKDAYS(P984,P984,JoursFeries),MEDIAN(MOD(P984,1),HFer,HOuv),HOuv))*24,4)))/HJour,4),""))</f>
        <v/>
      </c>
      <c r="AX984" s="37" t="str">
        <f aca="false">IF(AO984&lt;&gt;1,"",IFERROR(ROUND(IF(OR(P984="",S984=""),"",IF(S984&lt;P984,"",ROUND(((NETWORKDAYS(P984,S984,JoursFeries)-1)*(HFer-HOuv)+IF(NETWORKDAYS(S984,S984,JoursFeries),MEDIAN(MOD(S984,1),HFer,HOuv),HFer)-IF(NETWORKDAYS(P984,P984,JoursFeries),MEDIAN(MOD(P984,1),HFer,HOuv),HOuv))*24,4)))/HJour,4),""))</f>
        <v/>
      </c>
      <c r="AY984" s="36" t="str">
        <f aca="false">IF(OR(AO984&lt;&gt;1,AR984=""),"",INDEX(SLA_PEC,AR984))</f>
        <v/>
      </c>
      <c r="AZ984" s="35" t="str">
        <f aca="false">IF(OR(AV984="",AY984=""),"",IF(AV984&lt;=AY984,1,0))</f>
        <v/>
      </c>
      <c r="BA984" s="36" t="str">
        <f aca="false">IF(OR(AO984&lt;&gt;1,AR984=""),"",INDEX(SLA_RES,AR984))</f>
        <v/>
      </c>
      <c r="BB984" s="35" t="str">
        <f aca="false">IF(OR(AW984="",BA984=""),"",IF(AW984&lt;=BA984,1,0))</f>
        <v/>
      </c>
      <c r="BC984" s="38" t="str">
        <f aca="false">IF(OR(BA984="",P984=""),"",WORKDAY(INT(P984),BA984,JoursFeries)+MOD(P984,1))</f>
        <v/>
      </c>
      <c r="BD984" s="39" t="str">
        <f aca="false">IF(AO984&lt;&gt;1,"",IF(OR(AB984&lt;&gt;"",AD984&lt;&gt;""),4,IF(U984&lt;&gt;"",3,IF(T984&lt;&gt;"",2,1))))</f>
        <v/>
      </c>
      <c r="BE984" s="39" t="str">
        <f aca="false">IF(OR(AO984&lt;&gt;1,AR984=""),"",INDEX(NIV_REQ,AR984))</f>
        <v/>
      </c>
      <c r="BF984" s="39" t="str">
        <f aca="false">IF(BE984="","",MAX(BE984,IF(OR(K984="Oui",Z984="Oui"),4,1)))</f>
        <v/>
      </c>
      <c r="BG984" s="35" t="str">
        <f aca="false">IF(OR(BF984="",BD984=""),"",IF(BD984&gt;=BF984,1,0))</f>
        <v/>
      </c>
      <c r="BH984" s="38" t="str">
        <f aca="false">IF(BE984="","",IF(BE984&lt;2,"",IF(BE984=2,IF(AND(T984="",U984=""),"",MIN(T984,U984)),IF(U984="","",U984))))</f>
        <v/>
      </c>
      <c r="BI984" s="37" t="str">
        <f aca="false">IF(BH984="","",IF(OR(O984="",BH984=""),"",IF(BH984&lt;O984,"",ROUND(((NETWORKDAYS(O984,BH984,JoursFeries)-1)*(HFer-HOuv)+IF(NETWORKDAYS(BH984,BH984,JoursFeries),MEDIAN(MOD(BH984,1),HFer,HOuv),HFer)-IF(NETWORKDAYS(O984,O984,JoursFeries),MEDIAN(MOD(O984,1),HFer,HOuv),HOuv))*24,4))))</f>
        <v/>
      </c>
      <c r="BJ984" s="35" t="str">
        <f aca="false">IF(OR(BI984="",AR984=""),"",IF(BI984&lt;=INDEX(DELAI_ESC,AR984),1,0))</f>
        <v/>
      </c>
      <c r="BK984" s="38" t="str">
        <f aca="false">IF(AO984&lt;&gt;1,"",IF(AND(T984="",U984=""),"",MIN(T984,U984)))</f>
        <v/>
      </c>
      <c r="BL984" s="37" t="str">
        <f aca="false">IF(OR(BK984="",R984=""),"",IFERROR(ROUND(IF(OR(BK984="",R984=""),"",IF(R984&lt;BK984,"",ROUND(((NETWORKDAYS(BK984,R984,JoursFeries)-1)*(HFer-HOuv)+IF(NETWORKDAYS(R984,R984,JoursFeries),MEDIAN(MOD(R984,1),HFer,HOuv),HFer)-IF(NETWORKDAYS(BK984,BK984,JoursFeries),MEDIAN(MOD(BK984,1),HFer,HOuv),HOuv))*24,4)))/HJour,4),""))</f>
        <v/>
      </c>
      <c r="BM984" s="35" t="str">
        <f aca="false">IF(OR(AO984&lt;&gt;1,R984=""),"",IF(BD984=1,1,0))</f>
        <v/>
      </c>
      <c r="BN984" s="35" t="str">
        <f aca="false">IF(AO984&lt;&gt;1,"",IF(W984="Oui",1,0))</f>
        <v/>
      </c>
      <c r="BO984" s="35" t="str">
        <f aca="false">IF(AO984&lt;&gt;1,"",IF(X984&lt;&gt;"",1,0))</f>
        <v/>
      </c>
      <c r="BP984" s="35" t="str">
        <f aca="false">IF(AO984&lt;&gt;1,"",IF(Y984="Oui",1,0))</f>
        <v/>
      </c>
      <c r="BQ984" s="35" t="str">
        <f aca="true">IF(OR(AO984&lt;&gt;1,Z984&lt;&gt;"Oui"),"",IF(AB984="",IF(AND(AA984&lt;&gt;"",NOW()&gt;AA984),0,""),IF(AA984="","",IF(AB984&lt;=AA984,1,0))))</f>
        <v/>
      </c>
      <c r="BR984" s="38" t="str">
        <f aca="false">IF(OR(AO984&lt;&gt;1,K984&lt;&gt;"Oui",O984=""),"",IF(AC984="",O984+DORA_H_DET/24,IF(AC984-O984&lt;=DORA_H_DET/24,MIN(AC984+DORA_H_CLA/24,O984+DORA_H_DET/24),AC984+DORA_H_CLA/24)))</f>
        <v/>
      </c>
      <c r="BS984" s="35" t="str">
        <f aca="true">IF(BR984="","",IF(AD984="",IF(NOW()&gt;BR984,0,""),IF(AD984&lt;=BR984,1,0)))</f>
        <v/>
      </c>
      <c r="BT984" s="35" t="str">
        <f aca="true">IF(OR(BR984="",AD984=""),"",IF(AE984="",IF(NOW()&gt;AD984+DORA_H_INT/24,0,""),IF(AE984&lt;=AD984+DORA_H_INT/24,1,0)))</f>
        <v/>
      </c>
      <c r="BU984" s="35" t="str">
        <f aca="true">IF(OR(BR984="",AE984=""),"",IF(AF984="",IF(NOW()&gt;EDATE(AE984,DORA_M_FIN)+1,0,""),IF(AF984&lt;=EDATE(AE984,DORA_M_FIN),1,0)))</f>
        <v/>
      </c>
      <c r="BV984" s="35" t="str">
        <f aca="false">IF(BR984="","",IF(COUNT(BS984:BU984)=0,"",MIN(BS984:BU984)))</f>
        <v/>
      </c>
      <c r="BW984" s="40" t="str">
        <f aca="false">IF(AQ984&lt;&gt;1,"",IF(AND(AG984="",AH984=""),"",N(AG984)-N(AH984)))</f>
        <v/>
      </c>
      <c r="BX984" s="35" t="str">
        <f aca="true">IF(OR(AQ984&lt;&gt;1,AI984&lt;&gt;"Oui",AJ984=""),"",IF(AK984="",IF(NOW()&gt;AJ984+1,0,""),IF(AK984&lt;=AJ984,1,0)))</f>
        <v/>
      </c>
    </row>
    <row r="985" customFormat="false" ht="15" hidden="false" customHeight="false" outlineLevel="0" collapsed="false">
      <c r="B985" s="29"/>
      <c r="C985" s="29"/>
      <c r="D985" s="29"/>
      <c r="E985" s="29"/>
      <c r="F985" s="29"/>
      <c r="G985" s="29"/>
      <c r="H985" s="29"/>
      <c r="I985" s="29"/>
      <c r="J985" s="29"/>
      <c r="K985" s="29"/>
      <c r="L985" s="29"/>
      <c r="M985" s="29"/>
      <c r="N985" s="30"/>
      <c r="O985" s="30"/>
      <c r="P985" s="30"/>
      <c r="Q985" s="30"/>
      <c r="R985" s="30"/>
      <c r="S985" s="30"/>
      <c r="T985" s="30"/>
      <c r="U985" s="30"/>
      <c r="V985" s="31"/>
      <c r="W985" s="29"/>
      <c r="X985" s="29"/>
      <c r="Y985" s="29"/>
      <c r="Z985" s="29"/>
      <c r="AA985" s="30"/>
      <c r="AB985" s="30"/>
      <c r="AC985" s="30"/>
      <c r="AD985" s="30"/>
      <c r="AE985" s="30"/>
      <c r="AF985" s="32"/>
      <c r="AG985" s="33"/>
      <c r="AH985" s="33"/>
      <c r="AI985" s="29"/>
      <c r="AJ985" s="32"/>
      <c r="AK985" s="32"/>
      <c r="AL985" s="29"/>
      <c r="AN985" s="34" t="str">
        <f aca="false">IF($B985="","",IF(OR(C985="",D985="",E985="",G985="",I985="",J985="",L985="",O985="",P985=""),"Champ obligatoire manquant",IF(OR(AND(N985&lt;&gt;"",N985&gt;O985),O985&gt;P985,AND(Q985&lt;&gt;"",Q985&lt;P985),AND(R985&lt;&gt;"",R985&lt;P985),AND(S985&lt;&gt;"",S985&lt;R985),AND(S985&lt;&gt;"",R985=""),AND(T985&lt;&gt;"",T985&lt;O985),AND(U985&lt;&gt;"",U985&lt;O985)),"Chronologie incohérente",IF(AND(OR(L985="Résolu",L985="Clos"),R985=""),"Date de résolution manquante",IF(AND(L985="Clos",S985=""),"Date de clôture manquante",IF(AND(K985="Oui",AC985=""),"Classification DORA manquante","OK"))))))</f>
        <v/>
      </c>
      <c r="AO985" s="35" t="str">
        <f aca="false">IF($B985="","",IF(AND(C985="Incident",L985&lt;&gt;"Annulé"),1,0))</f>
        <v/>
      </c>
      <c r="AP985" s="35" t="str">
        <f aca="false">IF($B985="","",IF(AND(C985="Quasi-incident",L985&lt;&gt;"Annulé"),1,0))</f>
        <v/>
      </c>
      <c r="AQ985" s="35" t="str">
        <f aca="false">IF($B985="","",AO985+AP985)</f>
        <v/>
      </c>
      <c r="AR985" s="36" t="str">
        <f aca="false">IF(OR($B985="",J985=""),"",IFERROR(VALUE(LEFT(J985,1)),""))</f>
        <v/>
      </c>
      <c r="AS985" s="35" t="str">
        <f aca="false">IF(OR(AO985&lt;&gt;1,G985=""),"",IFERROR(IF(INDEX(L_SrcInterne,MATCH(G985,L_Sources,0))="Oui",1,0),""))</f>
        <v/>
      </c>
      <c r="AT985" s="37" t="str">
        <f aca="false">IF(AO985&lt;&gt;1,"",IFERROR(ROUND(IF(OR(N985="",O985=""),"",IF(O985&lt;N985,"",ROUND(((NETWORKDAYS(N985,O985,JoursFeries)-1)*(HFer-HOuv)+IF(NETWORKDAYS(O985,O985,JoursFeries),MEDIAN(MOD(O985,1),HFer,HOuv),HFer)-IF(NETWORKDAYS(N985,N985,JoursFeries),MEDIAN(MOD(N985,1),HFer,HOuv),HOuv))*24,4)))/HJour,4),""))</f>
        <v/>
      </c>
      <c r="AU985" s="37" t="str">
        <f aca="false">IF(AO985&lt;&gt;1,"",IF(OR(O985="",P985=""),"",IF(P985&lt;O985,"",ROUND(((NETWORKDAYS(O985,P985,JoursFeries)-1)*(HFer-HOuv)+IF(NETWORKDAYS(P985,P985,JoursFeries),MEDIAN(MOD(P985,1),HFer,HOuv),HFer)-IF(NETWORKDAYS(O985,O985,JoursFeries),MEDIAN(MOD(O985,1),HFer,HOuv),HOuv))*24,4))))</f>
        <v/>
      </c>
      <c r="AV985" s="37" t="str">
        <f aca="false">IF(AO985&lt;&gt;1,"",IF(OR(P985="",Q985=""),"",IF(Q985&lt;P985,"",ROUND(((NETWORKDAYS(P985,Q985,JoursFeries)-1)*(HFer-HOuv)+IF(NETWORKDAYS(Q985,Q985,JoursFeries),MEDIAN(MOD(Q985,1),HFer,HOuv),HFer)-IF(NETWORKDAYS(P985,P985,JoursFeries),MEDIAN(MOD(P985,1),HFer,HOuv),HOuv))*24,4))))</f>
        <v/>
      </c>
      <c r="AW985" s="37" t="str">
        <f aca="false">IF(AO985&lt;&gt;1,"",IFERROR(ROUND(IF(OR(P985="",R985=""),"",IF(R985&lt;P985,"",ROUND(((NETWORKDAYS(P985,R985,JoursFeries)-1)*(HFer-HOuv)+IF(NETWORKDAYS(R985,R985,JoursFeries),MEDIAN(MOD(R985,1),HFer,HOuv),HFer)-IF(NETWORKDAYS(P985,P985,JoursFeries),MEDIAN(MOD(P985,1),HFer,HOuv),HOuv))*24,4)))/HJour,4),""))</f>
        <v/>
      </c>
      <c r="AX985" s="37" t="str">
        <f aca="false">IF(AO985&lt;&gt;1,"",IFERROR(ROUND(IF(OR(P985="",S985=""),"",IF(S985&lt;P985,"",ROUND(((NETWORKDAYS(P985,S985,JoursFeries)-1)*(HFer-HOuv)+IF(NETWORKDAYS(S985,S985,JoursFeries),MEDIAN(MOD(S985,1),HFer,HOuv),HFer)-IF(NETWORKDAYS(P985,P985,JoursFeries),MEDIAN(MOD(P985,1),HFer,HOuv),HOuv))*24,4)))/HJour,4),""))</f>
        <v/>
      </c>
      <c r="AY985" s="36" t="str">
        <f aca="false">IF(OR(AO985&lt;&gt;1,AR985=""),"",INDEX(SLA_PEC,AR985))</f>
        <v/>
      </c>
      <c r="AZ985" s="35" t="str">
        <f aca="false">IF(OR(AV985="",AY985=""),"",IF(AV985&lt;=AY985,1,0))</f>
        <v/>
      </c>
      <c r="BA985" s="36" t="str">
        <f aca="false">IF(OR(AO985&lt;&gt;1,AR985=""),"",INDEX(SLA_RES,AR985))</f>
        <v/>
      </c>
      <c r="BB985" s="35" t="str">
        <f aca="false">IF(OR(AW985="",BA985=""),"",IF(AW985&lt;=BA985,1,0))</f>
        <v/>
      </c>
      <c r="BC985" s="38" t="str">
        <f aca="false">IF(OR(BA985="",P985=""),"",WORKDAY(INT(P985),BA985,JoursFeries)+MOD(P985,1))</f>
        <v/>
      </c>
      <c r="BD985" s="39" t="str">
        <f aca="false">IF(AO985&lt;&gt;1,"",IF(OR(AB985&lt;&gt;"",AD985&lt;&gt;""),4,IF(U985&lt;&gt;"",3,IF(T985&lt;&gt;"",2,1))))</f>
        <v/>
      </c>
      <c r="BE985" s="39" t="str">
        <f aca="false">IF(OR(AO985&lt;&gt;1,AR985=""),"",INDEX(NIV_REQ,AR985))</f>
        <v/>
      </c>
      <c r="BF985" s="39" t="str">
        <f aca="false">IF(BE985="","",MAX(BE985,IF(OR(K985="Oui",Z985="Oui"),4,1)))</f>
        <v/>
      </c>
      <c r="BG985" s="35" t="str">
        <f aca="false">IF(OR(BF985="",BD985=""),"",IF(BD985&gt;=BF985,1,0))</f>
        <v/>
      </c>
      <c r="BH985" s="38" t="str">
        <f aca="false">IF(BE985="","",IF(BE985&lt;2,"",IF(BE985=2,IF(AND(T985="",U985=""),"",MIN(T985,U985)),IF(U985="","",U985))))</f>
        <v/>
      </c>
      <c r="BI985" s="37" t="str">
        <f aca="false">IF(BH985="","",IF(OR(O985="",BH985=""),"",IF(BH985&lt;O985,"",ROUND(((NETWORKDAYS(O985,BH985,JoursFeries)-1)*(HFer-HOuv)+IF(NETWORKDAYS(BH985,BH985,JoursFeries),MEDIAN(MOD(BH985,1),HFer,HOuv),HFer)-IF(NETWORKDAYS(O985,O985,JoursFeries),MEDIAN(MOD(O985,1),HFer,HOuv),HOuv))*24,4))))</f>
        <v/>
      </c>
      <c r="BJ985" s="35" t="str">
        <f aca="false">IF(OR(BI985="",AR985=""),"",IF(BI985&lt;=INDEX(DELAI_ESC,AR985),1,0))</f>
        <v/>
      </c>
      <c r="BK985" s="38" t="str">
        <f aca="false">IF(AO985&lt;&gt;1,"",IF(AND(T985="",U985=""),"",MIN(T985,U985)))</f>
        <v/>
      </c>
      <c r="BL985" s="37" t="str">
        <f aca="false">IF(OR(BK985="",R985=""),"",IFERROR(ROUND(IF(OR(BK985="",R985=""),"",IF(R985&lt;BK985,"",ROUND(((NETWORKDAYS(BK985,R985,JoursFeries)-1)*(HFer-HOuv)+IF(NETWORKDAYS(R985,R985,JoursFeries),MEDIAN(MOD(R985,1),HFer,HOuv),HFer)-IF(NETWORKDAYS(BK985,BK985,JoursFeries),MEDIAN(MOD(BK985,1),HFer,HOuv),HOuv))*24,4)))/HJour,4),""))</f>
        <v/>
      </c>
      <c r="BM985" s="35" t="str">
        <f aca="false">IF(OR(AO985&lt;&gt;1,R985=""),"",IF(BD985=1,1,0))</f>
        <v/>
      </c>
      <c r="BN985" s="35" t="str">
        <f aca="false">IF(AO985&lt;&gt;1,"",IF(W985="Oui",1,0))</f>
        <v/>
      </c>
      <c r="BO985" s="35" t="str">
        <f aca="false">IF(AO985&lt;&gt;1,"",IF(X985&lt;&gt;"",1,0))</f>
        <v/>
      </c>
      <c r="BP985" s="35" t="str">
        <f aca="false">IF(AO985&lt;&gt;1,"",IF(Y985="Oui",1,0))</f>
        <v/>
      </c>
      <c r="BQ985" s="35" t="str">
        <f aca="true">IF(OR(AO985&lt;&gt;1,Z985&lt;&gt;"Oui"),"",IF(AB985="",IF(AND(AA985&lt;&gt;"",NOW()&gt;AA985),0,""),IF(AA985="","",IF(AB985&lt;=AA985,1,0))))</f>
        <v/>
      </c>
      <c r="BR985" s="38" t="str">
        <f aca="false">IF(OR(AO985&lt;&gt;1,K985&lt;&gt;"Oui",O985=""),"",IF(AC985="",O985+DORA_H_DET/24,IF(AC985-O985&lt;=DORA_H_DET/24,MIN(AC985+DORA_H_CLA/24,O985+DORA_H_DET/24),AC985+DORA_H_CLA/24)))</f>
        <v/>
      </c>
      <c r="BS985" s="35" t="str">
        <f aca="true">IF(BR985="","",IF(AD985="",IF(NOW()&gt;BR985,0,""),IF(AD985&lt;=BR985,1,0)))</f>
        <v/>
      </c>
      <c r="BT985" s="35" t="str">
        <f aca="true">IF(OR(BR985="",AD985=""),"",IF(AE985="",IF(NOW()&gt;AD985+DORA_H_INT/24,0,""),IF(AE985&lt;=AD985+DORA_H_INT/24,1,0)))</f>
        <v/>
      </c>
      <c r="BU985" s="35" t="str">
        <f aca="true">IF(OR(BR985="",AE985=""),"",IF(AF985="",IF(NOW()&gt;EDATE(AE985,DORA_M_FIN)+1,0,""),IF(AF985&lt;=EDATE(AE985,DORA_M_FIN),1,0)))</f>
        <v/>
      </c>
      <c r="BV985" s="35" t="str">
        <f aca="false">IF(BR985="","",IF(COUNT(BS985:BU985)=0,"",MIN(BS985:BU985)))</f>
        <v/>
      </c>
      <c r="BW985" s="40" t="str">
        <f aca="false">IF(AQ985&lt;&gt;1,"",IF(AND(AG985="",AH985=""),"",N(AG985)-N(AH985)))</f>
        <v/>
      </c>
      <c r="BX985" s="35" t="str">
        <f aca="true">IF(OR(AQ985&lt;&gt;1,AI985&lt;&gt;"Oui",AJ985=""),"",IF(AK985="",IF(NOW()&gt;AJ985+1,0,""),IF(AK985&lt;=AJ985,1,0)))</f>
        <v/>
      </c>
    </row>
    <row r="986" customFormat="false" ht="15" hidden="false" customHeight="false" outlineLevel="0" collapsed="false">
      <c r="B986" s="29"/>
      <c r="C986" s="29"/>
      <c r="D986" s="29"/>
      <c r="E986" s="29"/>
      <c r="F986" s="29"/>
      <c r="G986" s="29"/>
      <c r="H986" s="29"/>
      <c r="I986" s="29"/>
      <c r="J986" s="29"/>
      <c r="K986" s="29"/>
      <c r="L986" s="29"/>
      <c r="M986" s="29"/>
      <c r="N986" s="30"/>
      <c r="O986" s="30"/>
      <c r="P986" s="30"/>
      <c r="Q986" s="30"/>
      <c r="R986" s="30"/>
      <c r="S986" s="30"/>
      <c r="T986" s="30"/>
      <c r="U986" s="30"/>
      <c r="V986" s="31"/>
      <c r="W986" s="29"/>
      <c r="X986" s="29"/>
      <c r="Y986" s="29"/>
      <c r="Z986" s="29"/>
      <c r="AA986" s="30"/>
      <c r="AB986" s="30"/>
      <c r="AC986" s="30"/>
      <c r="AD986" s="30"/>
      <c r="AE986" s="30"/>
      <c r="AF986" s="32"/>
      <c r="AG986" s="33"/>
      <c r="AH986" s="33"/>
      <c r="AI986" s="29"/>
      <c r="AJ986" s="32"/>
      <c r="AK986" s="32"/>
      <c r="AL986" s="29"/>
      <c r="AN986" s="34" t="str">
        <f aca="false">IF($B986="","",IF(OR(C986="",D986="",E986="",G986="",I986="",J986="",L986="",O986="",P986=""),"Champ obligatoire manquant",IF(OR(AND(N986&lt;&gt;"",N986&gt;O986),O986&gt;P986,AND(Q986&lt;&gt;"",Q986&lt;P986),AND(R986&lt;&gt;"",R986&lt;P986),AND(S986&lt;&gt;"",S986&lt;R986),AND(S986&lt;&gt;"",R986=""),AND(T986&lt;&gt;"",T986&lt;O986),AND(U986&lt;&gt;"",U986&lt;O986)),"Chronologie incohérente",IF(AND(OR(L986="Résolu",L986="Clos"),R986=""),"Date de résolution manquante",IF(AND(L986="Clos",S986=""),"Date de clôture manquante",IF(AND(K986="Oui",AC986=""),"Classification DORA manquante","OK"))))))</f>
        <v/>
      </c>
      <c r="AO986" s="35" t="str">
        <f aca="false">IF($B986="","",IF(AND(C986="Incident",L986&lt;&gt;"Annulé"),1,0))</f>
        <v/>
      </c>
      <c r="AP986" s="35" t="str">
        <f aca="false">IF($B986="","",IF(AND(C986="Quasi-incident",L986&lt;&gt;"Annulé"),1,0))</f>
        <v/>
      </c>
      <c r="AQ986" s="35" t="str">
        <f aca="false">IF($B986="","",AO986+AP986)</f>
        <v/>
      </c>
      <c r="AR986" s="36" t="str">
        <f aca="false">IF(OR($B986="",J986=""),"",IFERROR(VALUE(LEFT(J986,1)),""))</f>
        <v/>
      </c>
      <c r="AS986" s="35" t="str">
        <f aca="false">IF(OR(AO986&lt;&gt;1,G986=""),"",IFERROR(IF(INDEX(L_SrcInterne,MATCH(G986,L_Sources,0))="Oui",1,0),""))</f>
        <v/>
      </c>
      <c r="AT986" s="37" t="str">
        <f aca="false">IF(AO986&lt;&gt;1,"",IFERROR(ROUND(IF(OR(N986="",O986=""),"",IF(O986&lt;N986,"",ROUND(((NETWORKDAYS(N986,O986,JoursFeries)-1)*(HFer-HOuv)+IF(NETWORKDAYS(O986,O986,JoursFeries),MEDIAN(MOD(O986,1),HFer,HOuv),HFer)-IF(NETWORKDAYS(N986,N986,JoursFeries),MEDIAN(MOD(N986,1),HFer,HOuv),HOuv))*24,4)))/HJour,4),""))</f>
        <v/>
      </c>
      <c r="AU986" s="37" t="str">
        <f aca="false">IF(AO986&lt;&gt;1,"",IF(OR(O986="",P986=""),"",IF(P986&lt;O986,"",ROUND(((NETWORKDAYS(O986,P986,JoursFeries)-1)*(HFer-HOuv)+IF(NETWORKDAYS(P986,P986,JoursFeries),MEDIAN(MOD(P986,1),HFer,HOuv),HFer)-IF(NETWORKDAYS(O986,O986,JoursFeries),MEDIAN(MOD(O986,1),HFer,HOuv),HOuv))*24,4))))</f>
        <v/>
      </c>
      <c r="AV986" s="37" t="str">
        <f aca="false">IF(AO986&lt;&gt;1,"",IF(OR(P986="",Q986=""),"",IF(Q986&lt;P986,"",ROUND(((NETWORKDAYS(P986,Q986,JoursFeries)-1)*(HFer-HOuv)+IF(NETWORKDAYS(Q986,Q986,JoursFeries),MEDIAN(MOD(Q986,1),HFer,HOuv),HFer)-IF(NETWORKDAYS(P986,P986,JoursFeries),MEDIAN(MOD(P986,1),HFer,HOuv),HOuv))*24,4))))</f>
        <v/>
      </c>
      <c r="AW986" s="37" t="str">
        <f aca="false">IF(AO986&lt;&gt;1,"",IFERROR(ROUND(IF(OR(P986="",R986=""),"",IF(R986&lt;P986,"",ROUND(((NETWORKDAYS(P986,R986,JoursFeries)-1)*(HFer-HOuv)+IF(NETWORKDAYS(R986,R986,JoursFeries),MEDIAN(MOD(R986,1),HFer,HOuv),HFer)-IF(NETWORKDAYS(P986,P986,JoursFeries),MEDIAN(MOD(P986,1),HFer,HOuv),HOuv))*24,4)))/HJour,4),""))</f>
        <v/>
      </c>
      <c r="AX986" s="37" t="str">
        <f aca="false">IF(AO986&lt;&gt;1,"",IFERROR(ROUND(IF(OR(P986="",S986=""),"",IF(S986&lt;P986,"",ROUND(((NETWORKDAYS(P986,S986,JoursFeries)-1)*(HFer-HOuv)+IF(NETWORKDAYS(S986,S986,JoursFeries),MEDIAN(MOD(S986,1),HFer,HOuv),HFer)-IF(NETWORKDAYS(P986,P986,JoursFeries),MEDIAN(MOD(P986,1),HFer,HOuv),HOuv))*24,4)))/HJour,4),""))</f>
        <v/>
      </c>
      <c r="AY986" s="36" t="str">
        <f aca="false">IF(OR(AO986&lt;&gt;1,AR986=""),"",INDEX(SLA_PEC,AR986))</f>
        <v/>
      </c>
      <c r="AZ986" s="35" t="str">
        <f aca="false">IF(OR(AV986="",AY986=""),"",IF(AV986&lt;=AY986,1,0))</f>
        <v/>
      </c>
      <c r="BA986" s="36" t="str">
        <f aca="false">IF(OR(AO986&lt;&gt;1,AR986=""),"",INDEX(SLA_RES,AR986))</f>
        <v/>
      </c>
      <c r="BB986" s="35" t="str">
        <f aca="false">IF(OR(AW986="",BA986=""),"",IF(AW986&lt;=BA986,1,0))</f>
        <v/>
      </c>
      <c r="BC986" s="38" t="str">
        <f aca="false">IF(OR(BA986="",P986=""),"",WORKDAY(INT(P986),BA986,JoursFeries)+MOD(P986,1))</f>
        <v/>
      </c>
      <c r="BD986" s="39" t="str">
        <f aca="false">IF(AO986&lt;&gt;1,"",IF(OR(AB986&lt;&gt;"",AD986&lt;&gt;""),4,IF(U986&lt;&gt;"",3,IF(T986&lt;&gt;"",2,1))))</f>
        <v/>
      </c>
      <c r="BE986" s="39" t="str">
        <f aca="false">IF(OR(AO986&lt;&gt;1,AR986=""),"",INDEX(NIV_REQ,AR986))</f>
        <v/>
      </c>
      <c r="BF986" s="39" t="str">
        <f aca="false">IF(BE986="","",MAX(BE986,IF(OR(K986="Oui",Z986="Oui"),4,1)))</f>
        <v/>
      </c>
      <c r="BG986" s="35" t="str">
        <f aca="false">IF(OR(BF986="",BD986=""),"",IF(BD986&gt;=BF986,1,0))</f>
        <v/>
      </c>
      <c r="BH986" s="38" t="str">
        <f aca="false">IF(BE986="","",IF(BE986&lt;2,"",IF(BE986=2,IF(AND(T986="",U986=""),"",MIN(T986,U986)),IF(U986="","",U986))))</f>
        <v/>
      </c>
      <c r="BI986" s="37" t="str">
        <f aca="false">IF(BH986="","",IF(OR(O986="",BH986=""),"",IF(BH986&lt;O986,"",ROUND(((NETWORKDAYS(O986,BH986,JoursFeries)-1)*(HFer-HOuv)+IF(NETWORKDAYS(BH986,BH986,JoursFeries),MEDIAN(MOD(BH986,1),HFer,HOuv),HFer)-IF(NETWORKDAYS(O986,O986,JoursFeries),MEDIAN(MOD(O986,1),HFer,HOuv),HOuv))*24,4))))</f>
        <v/>
      </c>
      <c r="BJ986" s="35" t="str">
        <f aca="false">IF(OR(BI986="",AR986=""),"",IF(BI986&lt;=INDEX(DELAI_ESC,AR986),1,0))</f>
        <v/>
      </c>
      <c r="BK986" s="38" t="str">
        <f aca="false">IF(AO986&lt;&gt;1,"",IF(AND(T986="",U986=""),"",MIN(T986,U986)))</f>
        <v/>
      </c>
      <c r="BL986" s="37" t="str">
        <f aca="false">IF(OR(BK986="",R986=""),"",IFERROR(ROUND(IF(OR(BK986="",R986=""),"",IF(R986&lt;BK986,"",ROUND(((NETWORKDAYS(BK986,R986,JoursFeries)-1)*(HFer-HOuv)+IF(NETWORKDAYS(R986,R986,JoursFeries),MEDIAN(MOD(R986,1),HFer,HOuv),HFer)-IF(NETWORKDAYS(BK986,BK986,JoursFeries),MEDIAN(MOD(BK986,1),HFer,HOuv),HOuv))*24,4)))/HJour,4),""))</f>
        <v/>
      </c>
      <c r="BM986" s="35" t="str">
        <f aca="false">IF(OR(AO986&lt;&gt;1,R986=""),"",IF(BD986=1,1,0))</f>
        <v/>
      </c>
      <c r="BN986" s="35" t="str">
        <f aca="false">IF(AO986&lt;&gt;1,"",IF(W986="Oui",1,0))</f>
        <v/>
      </c>
      <c r="BO986" s="35" t="str">
        <f aca="false">IF(AO986&lt;&gt;1,"",IF(X986&lt;&gt;"",1,0))</f>
        <v/>
      </c>
      <c r="BP986" s="35" t="str">
        <f aca="false">IF(AO986&lt;&gt;1,"",IF(Y986="Oui",1,0))</f>
        <v/>
      </c>
      <c r="BQ986" s="35" t="str">
        <f aca="true">IF(OR(AO986&lt;&gt;1,Z986&lt;&gt;"Oui"),"",IF(AB986="",IF(AND(AA986&lt;&gt;"",NOW()&gt;AA986),0,""),IF(AA986="","",IF(AB986&lt;=AA986,1,0))))</f>
        <v/>
      </c>
      <c r="BR986" s="38" t="str">
        <f aca="false">IF(OR(AO986&lt;&gt;1,K986&lt;&gt;"Oui",O986=""),"",IF(AC986="",O986+DORA_H_DET/24,IF(AC986-O986&lt;=DORA_H_DET/24,MIN(AC986+DORA_H_CLA/24,O986+DORA_H_DET/24),AC986+DORA_H_CLA/24)))</f>
        <v/>
      </c>
      <c r="BS986" s="35" t="str">
        <f aca="true">IF(BR986="","",IF(AD986="",IF(NOW()&gt;BR986,0,""),IF(AD986&lt;=BR986,1,0)))</f>
        <v/>
      </c>
      <c r="BT986" s="35" t="str">
        <f aca="true">IF(OR(BR986="",AD986=""),"",IF(AE986="",IF(NOW()&gt;AD986+DORA_H_INT/24,0,""),IF(AE986&lt;=AD986+DORA_H_INT/24,1,0)))</f>
        <v/>
      </c>
      <c r="BU986" s="35" t="str">
        <f aca="true">IF(OR(BR986="",AE986=""),"",IF(AF986="",IF(NOW()&gt;EDATE(AE986,DORA_M_FIN)+1,0,""),IF(AF986&lt;=EDATE(AE986,DORA_M_FIN),1,0)))</f>
        <v/>
      </c>
      <c r="BV986" s="35" t="str">
        <f aca="false">IF(BR986="","",IF(COUNT(BS986:BU986)=0,"",MIN(BS986:BU986)))</f>
        <v/>
      </c>
      <c r="BW986" s="40" t="str">
        <f aca="false">IF(AQ986&lt;&gt;1,"",IF(AND(AG986="",AH986=""),"",N(AG986)-N(AH986)))</f>
        <v/>
      </c>
      <c r="BX986" s="35" t="str">
        <f aca="true">IF(OR(AQ986&lt;&gt;1,AI986&lt;&gt;"Oui",AJ986=""),"",IF(AK986="",IF(NOW()&gt;AJ986+1,0,""),IF(AK986&lt;=AJ986,1,0)))</f>
        <v/>
      </c>
    </row>
    <row r="987" customFormat="false" ht="15" hidden="false" customHeight="false" outlineLevel="0" collapsed="false">
      <c r="B987" s="29"/>
      <c r="C987" s="29"/>
      <c r="D987" s="29"/>
      <c r="E987" s="29"/>
      <c r="F987" s="29"/>
      <c r="G987" s="29"/>
      <c r="H987" s="29"/>
      <c r="I987" s="29"/>
      <c r="J987" s="29"/>
      <c r="K987" s="29"/>
      <c r="L987" s="29"/>
      <c r="M987" s="29"/>
      <c r="N987" s="30"/>
      <c r="O987" s="30"/>
      <c r="P987" s="30"/>
      <c r="Q987" s="30"/>
      <c r="R987" s="30"/>
      <c r="S987" s="30"/>
      <c r="T987" s="30"/>
      <c r="U987" s="30"/>
      <c r="V987" s="31"/>
      <c r="W987" s="29"/>
      <c r="X987" s="29"/>
      <c r="Y987" s="29"/>
      <c r="Z987" s="29"/>
      <c r="AA987" s="30"/>
      <c r="AB987" s="30"/>
      <c r="AC987" s="30"/>
      <c r="AD987" s="30"/>
      <c r="AE987" s="30"/>
      <c r="AF987" s="32"/>
      <c r="AG987" s="33"/>
      <c r="AH987" s="33"/>
      <c r="AI987" s="29"/>
      <c r="AJ987" s="32"/>
      <c r="AK987" s="32"/>
      <c r="AL987" s="29"/>
      <c r="AN987" s="34" t="str">
        <f aca="false">IF($B987="","",IF(OR(C987="",D987="",E987="",G987="",I987="",J987="",L987="",O987="",P987=""),"Champ obligatoire manquant",IF(OR(AND(N987&lt;&gt;"",N987&gt;O987),O987&gt;P987,AND(Q987&lt;&gt;"",Q987&lt;P987),AND(R987&lt;&gt;"",R987&lt;P987),AND(S987&lt;&gt;"",S987&lt;R987),AND(S987&lt;&gt;"",R987=""),AND(T987&lt;&gt;"",T987&lt;O987),AND(U987&lt;&gt;"",U987&lt;O987)),"Chronologie incohérente",IF(AND(OR(L987="Résolu",L987="Clos"),R987=""),"Date de résolution manquante",IF(AND(L987="Clos",S987=""),"Date de clôture manquante",IF(AND(K987="Oui",AC987=""),"Classification DORA manquante","OK"))))))</f>
        <v/>
      </c>
      <c r="AO987" s="35" t="str">
        <f aca="false">IF($B987="","",IF(AND(C987="Incident",L987&lt;&gt;"Annulé"),1,0))</f>
        <v/>
      </c>
      <c r="AP987" s="35" t="str">
        <f aca="false">IF($B987="","",IF(AND(C987="Quasi-incident",L987&lt;&gt;"Annulé"),1,0))</f>
        <v/>
      </c>
      <c r="AQ987" s="35" t="str">
        <f aca="false">IF($B987="","",AO987+AP987)</f>
        <v/>
      </c>
      <c r="AR987" s="36" t="str">
        <f aca="false">IF(OR($B987="",J987=""),"",IFERROR(VALUE(LEFT(J987,1)),""))</f>
        <v/>
      </c>
      <c r="AS987" s="35" t="str">
        <f aca="false">IF(OR(AO987&lt;&gt;1,G987=""),"",IFERROR(IF(INDEX(L_SrcInterne,MATCH(G987,L_Sources,0))="Oui",1,0),""))</f>
        <v/>
      </c>
      <c r="AT987" s="37" t="str">
        <f aca="false">IF(AO987&lt;&gt;1,"",IFERROR(ROUND(IF(OR(N987="",O987=""),"",IF(O987&lt;N987,"",ROUND(((NETWORKDAYS(N987,O987,JoursFeries)-1)*(HFer-HOuv)+IF(NETWORKDAYS(O987,O987,JoursFeries),MEDIAN(MOD(O987,1),HFer,HOuv),HFer)-IF(NETWORKDAYS(N987,N987,JoursFeries),MEDIAN(MOD(N987,1),HFer,HOuv),HOuv))*24,4)))/HJour,4),""))</f>
        <v/>
      </c>
      <c r="AU987" s="37" t="str">
        <f aca="false">IF(AO987&lt;&gt;1,"",IF(OR(O987="",P987=""),"",IF(P987&lt;O987,"",ROUND(((NETWORKDAYS(O987,P987,JoursFeries)-1)*(HFer-HOuv)+IF(NETWORKDAYS(P987,P987,JoursFeries),MEDIAN(MOD(P987,1),HFer,HOuv),HFer)-IF(NETWORKDAYS(O987,O987,JoursFeries),MEDIAN(MOD(O987,1),HFer,HOuv),HOuv))*24,4))))</f>
        <v/>
      </c>
      <c r="AV987" s="37" t="str">
        <f aca="false">IF(AO987&lt;&gt;1,"",IF(OR(P987="",Q987=""),"",IF(Q987&lt;P987,"",ROUND(((NETWORKDAYS(P987,Q987,JoursFeries)-1)*(HFer-HOuv)+IF(NETWORKDAYS(Q987,Q987,JoursFeries),MEDIAN(MOD(Q987,1),HFer,HOuv),HFer)-IF(NETWORKDAYS(P987,P987,JoursFeries),MEDIAN(MOD(P987,1),HFer,HOuv),HOuv))*24,4))))</f>
        <v/>
      </c>
      <c r="AW987" s="37" t="str">
        <f aca="false">IF(AO987&lt;&gt;1,"",IFERROR(ROUND(IF(OR(P987="",R987=""),"",IF(R987&lt;P987,"",ROUND(((NETWORKDAYS(P987,R987,JoursFeries)-1)*(HFer-HOuv)+IF(NETWORKDAYS(R987,R987,JoursFeries),MEDIAN(MOD(R987,1),HFer,HOuv),HFer)-IF(NETWORKDAYS(P987,P987,JoursFeries),MEDIAN(MOD(P987,1),HFer,HOuv),HOuv))*24,4)))/HJour,4),""))</f>
        <v/>
      </c>
      <c r="AX987" s="37" t="str">
        <f aca="false">IF(AO987&lt;&gt;1,"",IFERROR(ROUND(IF(OR(P987="",S987=""),"",IF(S987&lt;P987,"",ROUND(((NETWORKDAYS(P987,S987,JoursFeries)-1)*(HFer-HOuv)+IF(NETWORKDAYS(S987,S987,JoursFeries),MEDIAN(MOD(S987,1),HFer,HOuv),HFer)-IF(NETWORKDAYS(P987,P987,JoursFeries),MEDIAN(MOD(P987,1),HFer,HOuv),HOuv))*24,4)))/HJour,4),""))</f>
        <v/>
      </c>
      <c r="AY987" s="36" t="str">
        <f aca="false">IF(OR(AO987&lt;&gt;1,AR987=""),"",INDEX(SLA_PEC,AR987))</f>
        <v/>
      </c>
      <c r="AZ987" s="35" t="str">
        <f aca="false">IF(OR(AV987="",AY987=""),"",IF(AV987&lt;=AY987,1,0))</f>
        <v/>
      </c>
      <c r="BA987" s="36" t="str">
        <f aca="false">IF(OR(AO987&lt;&gt;1,AR987=""),"",INDEX(SLA_RES,AR987))</f>
        <v/>
      </c>
      <c r="BB987" s="35" t="str">
        <f aca="false">IF(OR(AW987="",BA987=""),"",IF(AW987&lt;=BA987,1,0))</f>
        <v/>
      </c>
      <c r="BC987" s="38" t="str">
        <f aca="false">IF(OR(BA987="",P987=""),"",WORKDAY(INT(P987),BA987,JoursFeries)+MOD(P987,1))</f>
        <v/>
      </c>
      <c r="BD987" s="39" t="str">
        <f aca="false">IF(AO987&lt;&gt;1,"",IF(OR(AB987&lt;&gt;"",AD987&lt;&gt;""),4,IF(U987&lt;&gt;"",3,IF(T987&lt;&gt;"",2,1))))</f>
        <v/>
      </c>
      <c r="BE987" s="39" t="str">
        <f aca="false">IF(OR(AO987&lt;&gt;1,AR987=""),"",INDEX(NIV_REQ,AR987))</f>
        <v/>
      </c>
      <c r="BF987" s="39" t="str">
        <f aca="false">IF(BE987="","",MAX(BE987,IF(OR(K987="Oui",Z987="Oui"),4,1)))</f>
        <v/>
      </c>
      <c r="BG987" s="35" t="str">
        <f aca="false">IF(OR(BF987="",BD987=""),"",IF(BD987&gt;=BF987,1,0))</f>
        <v/>
      </c>
      <c r="BH987" s="38" t="str">
        <f aca="false">IF(BE987="","",IF(BE987&lt;2,"",IF(BE987=2,IF(AND(T987="",U987=""),"",MIN(T987,U987)),IF(U987="","",U987))))</f>
        <v/>
      </c>
      <c r="BI987" s="37" t="str">
        <f aca="false">IF(BH987="","",IF(OR(O987="",BH987=""),"",IF(BH987&lt;O987,"",ROUND(((NETWORKDAYS(O987,BH987,JoursFeries)-1)*(HFer-HOuv)+IF(NETWORKDAYS(BH987,BH987,JoursFeries),MEDIAN(MOD(BH987,1),HFer,HOuv),HFer)-IF(NETWORKDAYS(O987,O987,JoursFeries),MEDIAN(MOD(O987,1),HFer,HOuv),HOuv))*24,4))))</f>
        <v/>
      </c>
      <c r="BJ987" s="35" t="str">
        <f aca="false">IF(OR(BI987="",AR987=""),"",IF(BI987&lt;=INDEX(DELAI_ESC,AR987),1,0))</f>
        <v/>
      </c>
      <c r="BK987" s="38" t="str">
        <f aca="false">IF(AO987&lt;&gt;1,"",IF(AND(T987="",U987=""),"",MIN(T987,U987)))</f>
        <v/>
      </c>
      <c r="BL987" s="37" t="str">
        <f aca="false">IF(OR(BK987="",R987=""),"",IFERROR(ROUND(IF(OR(BK987="",R987=""),"",IF(R987&lt;BK987,"",ROUND(((NETWORKDAYS(BK987,R987,JoursFeries)-1)*(HFer-HOuv)+IF(NETWORKDAYS(R987,R987,JoursFeries),MEDIAN(MOD(R987,1),HFer,HOuv),HFer)-IF(NETWORKDAYS(BK987,BK987,JoursFeries),MEDIAN(MOD(BK987,1),HFer,HOuv),HOuv))*24,4)))/HJour,4),""))</f>
        <v/>
      </c>
      <c r="BM987" s="35" t="str">
        <f aca="false">IF(OR(AO987&lt;&gt;1,R987=""),"",IF(BD987=1,1,0))</f>
        <v/>
      </c>
      <c r="BN987" s="35" t="str">
        <f aca="false">IF(AO987&lt;&gt;1,"",IF(W987="Oui",1,0))</f>
        <v/>
      </c>
      <c r="BO987" s="35" t="str">
        <f aca="false">IF(AO987&lt;&gt;1,"",IF(X987&lt;&gt;"",1,0))</f>
        <v/>
      </c>
      <c r="BP987" s="35" t="str">
        <f aca="false">IF(AO987&lt;&gt;1,"",IF(Y987="Oui",1,0))</f>
        <v/>
      </c>
      <c r="BQ987" s="35" t="str">
        <f aca="true">IF(OR(AO987&lt;&gt;1,Z987&lt;&gt;"Oui"),"",IF(AB987="",IF(AND(AA987&lt;&gt;"",NOW()&gt;AA987),0,""),IF(AA987="","",IF(AB987&lt;=AA987,1,0))))</f>
        <v/>
      </c>
      <c r="BR987" s="38" t="str">
        <f aca="false">IF(OR(AO987&lt;&gt;1,K987&lt;&gt;"Oui",O987=""),"",IF(AC987="",O987+DORA_H_DET/24,IF(AC987-O987&lt;=DORA_H_DET/24,MIN(AC987+DORA_H_CLA/24,O987+DORA_H_DET/24),AC987+DORA_H_CLA/24)))</f>
        <v/>
      </c>
      <c r="BS987" s="35" t="str">
        <f aca="true">IF(BR987="","",IF(AD987="",IF(NOW()&gt;BR987,0,""),IF(AD987&lt;=BR987,1,0)))</f>
        <v/>
      </c>
      <c r="BT987" s="35" t="str">
        <f aca="true">IF(OR(BR987="",AD987=""),"",IF(AE987="",IF(NOW()&gt;AD987+DORA_H_INT/24,0,""),IF(AE987&lt;=AD987+DORA_H_INT/24,1,0)))</f>
        <v/>
      </c>
      <c r="BU987" s="35" t="str">
        <f aca="true">IF(OR(BR987="",AE987=""),"",IF(AF987="",IF(NOW()&gt;EDATE(AE987,DORA_M_FIN)+1,0,""),IF(AF987&lt;=EDATE(AE987,DORA_M_FIN),1,0)))</f>
        <v/>
      </c>
      <c r="BV987" s="35" t="str">
        <f aca="false">IF(BR987="","",IF(COUNT(BS987:BU987)=0,"",MIN(BS987:BU987)))</f>
        <v/>
      </c>
      <c r="BW987" s="40" t="str">
        <f aca="false">IF(AQ987&lt;&gt;1,"",IF(AND(AG987="",AH987=""),"",N(AG987)-N(AH987)))</f>
        <v/>
      </c>
      <c r="BX987" s="35" t="str">
        <f aca="true">IF(OR(AQ987&lt;&gt;1,AI987&lt;&gt;"Oui",AJ987=""),"",IF(AK987="",IF(NOW()&gt;AJ987+1,0,""),IF(AK987&lt;=AJ987,1,0)))</f>
        <v/>
      </c>
    </row>
    <row r="988" customFormat="false" ht="15" hidden="false" customHeight="false" outlineLevel="0" collapsed="false">
      <c r="B988" s="29"/>
      <c r="C988" s="29"/>
      <c r="D988" s="29"/>
      <c r="E988" s="29"/>
      <c r="F988" s="29"/>
      <c r="G988" s="29"/>
      <c r="H988" s="29"/>
      <c r="I988" s="29"/>
      <c r="J988" s="29"/>
      <c r="K988" s="29"/>
      <c r="L988" s="29"/>
      <c r="M988" s="29"/>
      <c r="N988" s="30"/>
      <c r="O988" s="30"/>
      <c r="P988" s="30"/>
      <c r="Q988" s="30"/>
      <c r="R988" s="30"/>
      <c r="S988" s="30"/>
      <c r="T988" s="30"/>
      <c r="U988" s="30"/>
      <c r="V988" s="31"/>
      <c r="W988" s="29"/>
      <c r="X988" s="29"/>
      <c r="Y988" s="29"/>
      <c r="Z988" s="29"/>
      <c r="AA988" s="30"/>
      <c r="AB988" s="30"/>
      <c r="AC988" s="30"/>
      <c r="AD988" s="30"/>
      <c r="AE988" s="30"/>
      <c r="AF988" s="32"/>
      <c r="AG988" s="33"/>
      <c r="AH988" s="33"/>
      <c r="AI988" s="29"/>
      <c r="AJ988" s="32"/>
      <c r="AK988" s="32"/>
      <c r="AL988" s="29"/>
      <c r="AN988" s="34" t="str">
        <f aca="false">IF($B988="","",IF(OR(C988="",D988="",E988="",G988="",I988="",J988="",L988="",O988="",P988=""),"Champ obligatoire manquant",IF(OR(AND(N988&lt;&gt;"",N988&gt;O988),O988&gt;P988,AND(Q988&lt;&gt;"",Q988&lt;P988),AND(R988&lt;&gt;"",R988&lt;P988),AND(S988&lt;&gt;"",S988&lt;R988),AND(S988&lt;&gt;"",R988=""),AND(T988&lt;&gt;"",T988&lt;O988),AND(U988&lt;&gt;"",U988&lt;O988)),"Chronologie incohérente",IF(AND(OR(L988="Résolu",L988="Clos"),R988=""),"Date de résolution manquante",IF(AND(L988="Clos",S988=""),"Date de clôture manquante",IF(AND(K988="Oui",AC988=""),"Classification DORA manquante","OK"))))))</f>
        <v/>
      </c>
      <c r="AO988" s="35" t="str">
        <f aca="false">IF($B988="","",IF(AND(C988="Incident",L988&lt;&gt;"Annulé"),1,0))</f>
        <v/>
      </c>
      <c r="AP988" s="35" t="str">
        <f aca="false">IF($B988="","",IF(AND(C988="Quasi-incident",L988&lt;&gt;"Annulé"),1,0))</f>
        <v/>
      </c>
      <c r="AQ988" s="35" t="str">
        <f aca="false">IF($B988="","",AO988+AP988)</f>
        <v/>
      </c>
      <c r="AR988" s="36" t="str">
        <f aca="false">IF(OR($B988="",J988=""),"",IFERROR(VALUE(LEFT(J988,1)),""))</f>
        <v/>
      </c>
      <c r="AS988" s="35" t="str">
        <f aca="false">IF(OR(AO988&lt;&gt;1,G988=""),"",IFERROR(IF(INDEX(L_SrcInterne,MATCH(G988,L_Sources,0))="Oui",1,0),""))</f>
        <v/>
      </c>
      <c r="AT988" s="37" t="str">
        <f aca="false">IF(AO988&lt;&gt;1,"",IFERROR(ROUND(IF(OR(N988="",O988=""),"",IF(O988&lt;N988,"",ROUND(((NETWORKDAYS(N988,O988,JoursFeries)-1)*(HFer-HOuv)+IF(NETWORKDAYS(O988,O988,JoursFeries),MEDIAN(MOD(O988,1),HFer,HOuv),HFer)-IF(NETWORKDAYS(N988,N988,JoursFeries),MEDIAN(MOD(N988,1),HFer,HOuv),HOuv))*24,4)))/HJour,4),""))</f>
        <v/>
      </c>
      <c r="AU988" s="37" t="str">
        <f aca="false">IF(AO988&lt;&gt;1,"",IF(OR(O988="",P988=""),"",IF(P988&lt;O988,"",ROUND(((NETWORKDAYS(O988,P988,JoursFeries)-1)*(HFer-HOuv)+IF(NETWORKDAYS(P988,P988,JoursFeries),MEDIAN(MOD(P988,1),HFer,HOuv),HFer)-IF(NETWORKDAYS(O988,O988,JoursFeries),MEDIAN(MOD(O988,1),HFer,HOuv),HOuv))*24,4))))</f>
        <v/>
      </c>
      <c r="AV988" s="37" t="str">
        <f aca="false">IF(AO988&lt;&gt;1,"",IF(OR(P988="",Q988=""),"",IF(Q988&lt;P988,"",ROUND(((NETWORKDAYS(P988,Q988,JoursFeries)-1)*(HFer-HOuv)+IF(NETWORKDAYS(Q988,Q988,JoursFeries),MEDIAN(MOD(Q988,1),HFer,HOuv),HFer)-IF(NETWORKDAYS(P988,P988,JoursFeries),MEDIAN(MOD(P988,1),HFer,HOuv),HOuv))*24,4))))</f>
        <v/>
      </c>
      <c r="AW988" s="37" t="str">
        <f aca="false">IF(AO988&lt;&gt;1,"",IFERROR(ROUND(IF(OR(P988="",R988=""),"",IF(R988&lt;P988,"",ROUND(((NETWORKDAYS(P988,R988,JoursFeries)-1)*(HFer-HOuv)+IF(NETWORKDAYS(R988,R988,JoursFeries),MEDIAN(MOD(R988,1),HFer,HOuv),HFer)-IF(NETWORKDAYS(P988,P988,JoursFeries),MEDIAN(MOD(P988,1),HFer,HOuv),HOuv))*24,4)))/HJour,4),""))</f>
        <v/>
      </c>
      <c r="AX988" s="37" t="str">
        <f aca="false">IF(AO988&lt;&gt;1,"",IFERROR(ROUND(IF(OR(P988="",S988=""),"",IF(S988&lt;P988,"",ROUND(((NETWORKDAYS(P988,S988,JoursFeries)-1)*(HFer-HOuv)+IF(NETWORKDAYS(S988,S988,JoursFeries),MEDIAN(MOD(S988,1),HFer,HOuv),HFer)-IF(NETWORKDAYS(P988,P988,JoursFeries),MEDIAN(MOD(P988,1),HFer,HOuv),HOuv))*24,4)))/HJour,4),""))</f>
        <v/>
      </c>
      <c r="AY988" s="36" t="str">
        <f aca="false">IF(OR(AO988&lt;&gt;1,AR988=""),"",INDEX(SLA_PEC,AR988))</f>
        <v/>
      </c>
      <c r="AZ988" s="35" t="str">
        <f aca="false">IF(OR(AV988="",AY988=""),"",IF(AV988&lt;=AY988,1,0))</f>
        <v/>
      </c>
      <c r="BA988" s="36" t="str">
        <f aca="false">IF(OR(AO988&lt;&gt;1,AR988=""),"",INDEX(SLA_RES,AR988))</f>
        <v/>
      </c>
      <c r="BB988" s="35" t="str">
        <f aca="false">IF(OR(AW988="",BA988=""),"",IF(AW988&lt;=BA988,1,0))</f>
        <v/>
      </c>
      <c r="BC988" s="38" t="str">
        <f aca="false">IF(OR(BA988="",P988=""),"",WORKDAY(INT(P988),BA988,JoursFeries)+MOD(P988,1))</f>
        <v/>
      </c>
      <c r="BD988" s="39" t="str">
        <f aca="false">IF(AO988&lt;&gt;1,"",IF(OR(AB988&lt;&gt;"",AD988&lt;&gt;""),4,IF(U988&lt;&gt;"",3,IF(T988&lt;&gt;"",2,1))))</f>
        <v/>
      </c>
      <c r="BE988" s="39" t="str">
        <f aca="false">IF(OR(AO988&lt;&gt;1,AR988=""),"",INDEX(NIV_REQ,AR988))</f>
        <v/>
      </c>
      <c r="BF988" s="39" t="str">
        <f aca="false">IF(BE988="","",MAX(BE988,IF(OR(K988="Oui",Z988="Oui"),4,1)))</f>
        <v/>
      </c>
      <c r="BG988" s="35" t="str">
        <f aca="false">IF(OR(BF988="",BD988=""),"",IF(BD988&gt;=BF988,1,0))</f>
        <v/>
      </c>
      <c r="BH988" s="38" t="str">
        <f aca="false">IF(BE988="","",IF(BE988&lt;2,"",IF(BE988=2,IF(AND(T988="",U988=""),"",MIN(T988,U988)),IF(U988="","",U988))))</f>
        <v/>
      </c>
      <c r="BI988" s="37" t="str">
        <f aca="false">IF(BH988="","",IF(OR(O988="",BH988=""),"",IF(BH988&lt;O988,"",ROUND(((NETWORKDAYS(O988,BH988,JoursFeries)-1)*(HFer-HOuv)+IF(NETWORKDAYS(BH988,BH988,JoursFeries),MEDIAN(MOD(BH988,1),HFer,HOuv),HFer)-IF(NETWORKDAYS(O988,O988,JoursFeries),MEDIAN(MOD(O988,1),HFer,HOuv),HOuv))*24,4))))</f>
        <v/>
      </c>
      <c r="BJ988" s="35" t="str">
        <f aca="false">IF(OR(BI988="",AR988=""),"",IF(BI988&lt;=INDEX(DELAI_ESC,AR988),1,0))</f>
        <v/>
      </c>
      <c r="BK988" s="38" t="str">
        <f aca="false">IF(AO988&lt;&gt;1,"",IF(AND(T988="",U988=""),"",MIN(T988,U988)))</f>
        <v/>
      </c>
      <c r="BL988" s="37" t="str">
        <f aca="false">IF(OR(BK988="",R988=""),"",IFERROR(ROUND(IF(OR(BK988="",R988=""),"",IF(R988&lt;BK988,"",ROUND(((NETWORKDAYS(BK988,R988,JoursFeries)-1)*(HFer-HOuv)+IF(NETWORKDAYS(R988,R988,JoursFeries),MEDIAN(MOD(R988,1),HFer,HOuv),HFer)-IF(NETWORKDAYS(BK988,BK988,JoursFeries),MEDIAN(MOD(BK988,1),HFer,HOuv),HOuv))*24,4)))/HJour,4),""))</f>
        <v/>
      </c>
      <c r="BM988" s="35" t="str">
        <f aca="false">IF(OR(AO988&lt;&gt;1,R988=""),"",IF(BD988=1,1,0))</f>
        <v/>
      </c>
      <c r="BN988" s="35" t="str">
        <f aca="false">IF(AO988&lt;&gt;1,"",IF(W988="Oui",1,0))</f>
        <v/>
      </c>
      <c r="BO988" s="35" t="str">
        <f aca="false">IF(AO988&lt;&gt;1,"",IF(X988&lt;&gt;"",1,0))</f>
        <v/>
      </c>
      <c r="BP988" s="35" t="str">
        <f aca="false">IF(AO988&lt;&gt;1,"",IF(Y988="Oui",1,0))</f>
        <v/>
      </c>
      <c r="BQ988" s="35" t="str">
        <f aca="true">IF(OR(AO988&lt;&gt;1,Z988&lt;&gt;"Oui"),"",IF(AB988="",IF(AND(AA988&lt;&gt;"",NOW()&gt;AA988),0,""),IF(AA988="","",IF(AB988&lt;=AA988,1,0))))</f>
        <v/>
      </c>
      <c r="BR988" s="38" t="str">
        <f aca="false">IF(OR(AO988&lt;&gt;1,K988&lt;&gt;"Oui",O988=""),"",IF(AC988="",O988+DORA_H_DET/24,IF(AC988-O988&lt;=DORA_H_DET/24,MIN(AC988+DORA_H_CLA/24,O988+DORA_H_DET/24),AC988+DORA_H_CLA/24)))</f>
        <v/>
      </c>
      <c r="BS988" s="35" t="str">
        <f aca="true">IF(BR988="","",IF(AD988="",IF(NOW()&gt;BR988,0,""),IF(AD988&lt;=BR988,1,0)))</f>
        <v/>
      </c>
      <c r="BT988" s="35" t="str">
        <f aca="true">IF(OR(BR988="",AD988=""),"",IF(AE988="",IF(NOW()&gt;AD988+DORA_H_INT/24,0,""),IF(AE988&lt;=AD988+DORA_H_INT/24,1,0)))</f>
        <v/>
      </c>
      <c r="BU988" s="35" t="str">
        <f aca="true">IF(OR(BR988="",AE988=""),"",IF(AF988="",IF(NOW()&gt;EDATE(AE988,DORA_M_FIN)+1,0,""),IF(AF988&lt;=EDATE(AE988,DORA_M_FIN),1,0)))</f>
        <v/>
      </c>
      <c r="BV988" s="35" t="str">
        <f aca="false">IF(BR988="","",IF(COUNT(BS988:BU988)=0,"",MIN(BS988:BU988)))</f>
        <v/>
      </c>
      <c r="BW988" s="40" t="str">
        <f aca="false">IF(AQ988&lt;&gt;1,"",IF(AND(AG988="",AH988=""),"",N(AG988)-N(AH988)))</f>
        <v/>
      </c>
      <c r="BX988" s="35" t="str">
        <f aca="true">IF(OR(AQ988&lt;&gt;1,AI988&lt;&gt;"Oui",AJ988=""),"",IF(AK988="",IF(NOW()&gt;AJ988+1,0,""),IF(AK988&lt;=AJ988,1,0)))</f>
        <v/>
      </c>
    </row>
    <row r="989" customFormat="false" ht="15" hidden="false" customHeight="false" outlineLevel="0" collapsed="false">
      <c r="B989" s="29"/>
      <c r="C989" s="29"/>
      <c r="D989" s="29"/>
      <c r="E989" s="29"/>
      <c r="F989" s="29"/>
      <c r="G989" s="29"/>
      <c r="H989" s="29"/>
      <c r="I989" s="29"/>
      <c r="J989" s="29"/>
      <c r="K989" s="29"/>
      <c r="L989" s="29"/>
      <c r="M989" s="29"/>
      <c r="N989" s="30"/>
      <c r="O989" s="30"/>
      <c r="P989" s="30"/>
      <c r="Q989" s="30"/>
      <c r="R989" s="30"/>
      <c r="S989" s="30"/>
      <c r="T989" s="30"/>
      <c r="U989" s="30"/>
      <c r="V989" s="31"/>
      <c r="W989" s="29"/>
      <c r="X989" s="29"/>
      <c r="Y989" s="29"/>
      <c r="Z989" s="29"/>
      <c r="AA989" s="30"/>
      <c r="AB989" s="30"/>
      <c r="AC989" s="30"/>
      <c r="AD989" s="30"/>
      <c r="AE989" s="30"/>
      <c r="AF989" s="32"/>
      <c r="AG989" s="33"/>
      <c r="AH989" s="33"/>
      <c r="AI989" s="29"/>
      <c r="AJ989" s="32"/>
      <c r="AK989" s="32"/>
      <c r="AL989" s="29"/>
      <c r="AN989" s="34" t="str">
        <f aca="false">IF($B989="","",IF(OR(C989="",D989="",E989="",G989="",I989="",J989="",L989="",O989="",P989=""),"Champ obligatoire manquant",IF(OR(AND(N989&lt;&gt;"",N989&gt;O989),O989&gt;P989,AND(Q989&lt;&gt;"",Q989&lt;P989),AND(R989&lt;&gt;"",R989&lt;P989),AND(S989&lt;&gt;"",S989&lt;R989),AND(S989&lt;&gt;"",R989=""),AND(T989&lt;&gt;"",T989&lt;O989),AND(U989&lt;&gt;"",U989&lt;O989)),"Chronologie incohérente",IF(AND(OR(L989="Résolu",L989="Clos"),R989=""),"Date de résolution manquante",IF(AND(L989="Clos",S989=""),"Date de clôture manquante",IF(AND(K989="Oui",AC989=""),"Classification DORA manquante","OK"))))))</f>
        <v/>
      </c>
      <c r="AO989" s="35" t="str">
        <f aca="false">IF($B989="","",IF(AND(C989="Incident",L989&lt;&gt;"Annulé"),1,0))</f>
        <v/>
      </c>
      <c r="AP989" s="35" t="str">
        <f aca="false">IF($B989="","",IF(AND(C989="Quasi-incident",L989&lt;&gt;"Annulé"),1,0))</f>
        <v/>
      </c>
      <c r="AQ989" s="35" t="str">
        <f aca="false">IF($B989="","",AO989+AP989)</f>
        <v/>
      </c>
      <c r="AR989" s="36" t="str">
        <f aca="false">IF(OR($B989="",J989=""),"",IFERROR(VALUE(LEFT(J989,1)),""))</f>
        <v/>
      </c>
      <c r="AS989" s="35" t="str">
        <f aca="false">IF(OR(AO989&lt;&gt;1,G989=""),"",IFERROR(IF(INDEX(L_SrcInterne,MATCH(G989,L_Sources,0))="Oui",1,0),""))</f>
        <v/>
      </c>
      <c r="AT989" s="37" t="str">
        <f aca="false">IF(AO989&lt;&gt;1,"",IFERROR(ROUND(IF(OR(N989="",O989=""),"",IF(O989&lt;N989,"",ROUND(((NETWORKDAYS(N989,O989,JoursFeries)-1)*(HFer-HOuv)+IF(NETWORKDAYS(O989,O989,JoursFeries),MEDIAN(MOD(O989,1),HFer,HOuv),HFer)-IF(NETWORKDAYS(N989,N989,JoursFeries),MEDIAN(MOD(N989,1),HFer,HOuv),HOuv))*24,4)))/HJour,4),""))</f>
        <v/>
      </c>
      <c r="AU989" s="37" t="str">
        <f aca="false">IF(AO989&lt;&gt;1,"",IF(OR(O989="",P989=""),"",IF(P989&lt;O989,"",ROUND(((NETWORKDAYS(O989,P989,JoursFeries)-1)*(HFer-HOuv)+IF(NETWORKDAYS(P989,P989,JoursFeries),MEDIAN(MOD(P989,1),HFer,HOuv),HFer)-IF(NETWORKDAYS(O989,O989,JoursFeries),MEDIAN(MOD(O989,1),HFer,HOuv),HOuv))*24,4))))</f>
        <v/>
      </c>
      <c r="AV989" s="37" t="str">
        <f aca="false">IF(AO989&lt;&gt;1,"",IF(OR(P989="",Q989=""),"",IF(Q989&lt;P989,"",ROUND(((NETWORKDAYS(P989,Q989,JoursFeries)-1)*(HFer-HOuv)+IF(NETWORKDAYS(Q989,Q989,JoursFeries),MEDIAN(MOD(Q989,1),HFer,HOuv),HFer)-IF(NETWORKDAYS(P989,P989,JoursFeries),MEDIAN(MOD(P989,1),HFer,HOuv),HOuv))*24,4))))</f>
        <v/>
      </c>
      <c r="AW989" s="37" t="str">
        <f aca="false">IF(AO989&lt;&gt;1,"",IFERROR(ROUND(IF(OR(P989="",R989=""),"",IF(R989&lt;P989,"",ROUND(((NETWORKDAYS(P989,R989,JoursFeries)-1)*(HFer-HOuv)+IF(NETWORKDAYS(R989,R989,JoursFeries),MEDIAN(MOD(R989,1),HFer,HOuv),HFer)-IF(NETWORKDAYS(P989,P989,JoursFeries),MEDIAN(MOD(P989,1),HFer,HOuv),HOuv))*24,4)))/HJour,4),""))</f>
        <v/>
      </c>
      <c r="AX989" s="37" t="str">
        <f aca="false">IF(AO989&lt;&gt;1,"",IFERROR(ROUND(IF(OR(P989="",S989=""),"",IF(S989&lt;P989,"",ROUND(((NETWORKDAYS(P989,S989,JoursFeries)-1)*(HFer-HOuv)+IF(NETWORKDAYS(S989,S989,JoursFeries),MEDIAN(MOD(S989,1),HFer,HOuv),HFer)-IF(NETWORKDAYS(P989,P989,JoursFeries),MEDIAN(MOD(P989,1),HFer,HOuv),HOuv))*24,4)))/HJour,4),""))</f>
        <v/>
      </c>
      <c r="AY989" s="36" t="str">
        <f aca="false">IF(OR(AO989&lt;&gt;1,AR989=""),"",INDEX(SLA_PEC,AR989))</f>
        <v/>
      </c>
      <c r="AZ989" s="35" t="str">
        <f aca="false">IF(OR(AV989="",AY989=""),"",IF(AV989&lt;=AY989,1,0))</f>
        <v/>
      </c>
      <c r="BA989" s="36" t="str">
        <f aca="false">IF(OR(AO989&lt;&gt;1,AR989=""),"",INDEX(SLA_RES,AR989))</f>
        <v/>
      </c>
      <c r="BB989" s="35" t="str">
        <f aca="false">IF(OR(AW989="",BA989=""),"",IF(AW989&lt;=BA989,1,0))</f>
        <v/>
      </c>
      <c r="BC989" s="38" t="str">
        <f aca="false">IF(OR(BA989="",P989=""),"",WORKDAY(INT(P989),BA989,JoursFeries)+MOD(P989,1))</f>
        <v/>
      </c>
      <c r="BD989" s="39" t="str">
        <f aca="false">IF(AO989&lt;&gt;1,"",IF(OR(AB989&lt;&gt;"",AD989&lt;&gt;""),4,IF(U989&lt;&gt;"",3,IF(T989&lt;&gt;"",2,1))))</f>
        <v/>
      </c>
      <c r="BE989" s="39" t="str">
        <f aca="false">IF(OR(AO989&lt;&gt;1,AR989=""),"",INDEX(NIV_REQ,AR989))</f>
        <v/>
      </c>
      <c r="BF989" s="39" t="str">
        <f aca="false">IF(BE989="","",MAX(BE989,IF(OR(K989="Oui",Z989="Oui"),4,1)))</f>
        <v/>
      </c>
      <c r="BG989" s="35" t="str">
        <f aca="false">IF(OR(BF989="",BD989=""),"",IF(BD989&gt;=BF989,1,0))</f>
        <v/>
      </c>
      <c r="BH989" s="38" t="str">
        <f aca="false">IF(BE989="","",IF(BE989&lt;2,"",IF(BE989=2,IF(AND(T989="",U989=""),"",MIN(T989,U989)),IF(U989="","",U989))))</f>
        <v/>
      </c>
      <c r="BI989" s="37" t="str">
        <f aca="false">IF(BH989="","",IF(OR(O989="",BH989=""),"",IF(BH989&lt;O989,"",ROUND(((NETWORKDAYS(O989,BH989,JoursFeries)-1)*(HFer-HOuv)+IF(NETWORKDAYS(BH989,BH989,JoursFeries),MEDIAN(MOD(BH989,1),HFer,HOuv),HFer)-IF(NETWORKDAYS(O989,O989,JoursFeries),MEDIAN(MOD(O989,1),HFer,HOuv),HOuv))*24,4))))</f>
        <v/>
      </c>
      <c r="BJ989" s="35" t="str">
        <f aca="false">IF(OR(BI989="",AR989=""),"",IF(BI989&lt;=INDEX(DELAI_ESC,AR989),1,0))</f>
        <v/>
      </c>
      <c r="BK989" s="38" t="str">
        <f aca="false">IF(AO989&lt;&gt;1,"",IF(AND(T989="",U989=""),"",MIN(T989,U989)))</f>
        <v/>
      </c>
      <c r="BL989" s="37" t="str">
        <f aca="false">IF(OR(BK989="",R989=""),"",IFERROR(ROUND(IF(OR(BK989="",R989=""),"",IF(R989&lt;BK989,"",ROUND(((NETWORKDAYS(BK989,R989,JoursFeries)-1)*(HFer-HOuv)+IF(NETWORKDAYS(R989,R989,JoursFeries),MEDIAN(MOD(R989,1),HFer,HOuv),HFer)-IF(NETWORKDAYS(BK989,BK989,JoursFeries),MEDIAN(MOD(BK989,1),HFer,HOuv),HOuv))*24,4)))/HJour,4),""))</f>
        <v/>
      </c>
      <c r="BM989" s="35" t="str">
        <f aca="false">IF(OR(AO989&lt;&gt;1,R989=""),"",IF(BD989=1,1,0))</f>
        <v/>
      </c>
      <c r="BN989" s="35" t="str">
        <f aca="false">IF(AO989&lt;&gt;1,"",IF(W989="Oui",1,0))</f>
        <v/>
      </c>
      <c r="BO989" s="35" t="str">
        <f aca="false">IF(AO989&lt;&gt;1,"",IF(X989&lt;&gt;"",1,0))</f>
        <v/>
      </c>
      <c r="BP989" s="35" t="str">
        <f aca="false">IF(AO989&lt;&gt;1,"",IF(Y989="Oui",1,0))</f>
        <v/>
      </c>
      <c r="BQ989" s="35" t="str">
        <f aca="true">IF(OR(AO989&lt;&gt;1,Z989&lt;&gt;"Oui"),"",IF(AB989="",IF(AND(AA989&lt;&gt;"",NOW()&gt;AA989),0,""),IF(AA989="","",IF(AB989&lt;=AA989,1,0))))</f>
        <v/>
      </c>
      <c r="BR989" s="38" t="str">
        <f aca="false">IF(OR(AO989&lt;&gt;1,K989&lt;&gt;"Oui",O989=""),"",IF(AC989="",O989+DORA_H_DET/24,IF(AC989-O989&lt;=DORA_H_DET/24,MIN(AC989+DORA_H_CLA/24,O989+DORA_H_DET/24),AC989+DORA_H_CLA/24)))</f>
        <v/>
      </c>
      <c r="BS989" s="35" t="str">
        <f aca="true">IF(BR989="","",IF(AD989="",IF(NOW()&gt;BR989,0,""),IF(AD989&lt;=BR989,1,0)))</f>
        <v/>
      </c>
      <c r="BT989" s="35" t="str">
        <f aca="true">IF(OR(BR989="",AD989=""),"",IF(AE989="",IF(NOW()&gt;AD989+DORA_H_INT/24,0,""),IF(AE989&lt;=AD989+DORA_H_INT/24,1,0)))</f>
        <v/>
      </c>
      <c r="BU989" s="35" t="str">
        <f aca="true">IF(OR(BR989="",AE989=""),"",IF(AF989="",IF(NOW()&gt;EDATE(AE989,DORA_M_FIN)+1,0,""),IF(AF989&lt;=EDATE(AE989,DORA_M_FIN),1,0)))</f>
        <v/>
      </c>
      <c r="BV989" s="35" t="str">
        <f aca="false">IF(BR989="","",IF(COUNT(BS989:BU989)=0,"",MIN(BS989:BU989)))</f>
        <v/>
      </c>
      <c r="BW989" s="40" t="str">
        <f aca="false">IF(AQ989&lt;&gt;1,"",IF(AND(AG989="",AH989=""),"",N(AG989)-N(AH989)))</f>
        <v/>
      </c>
      <c r="BX989" s="35" t="str">
        <f aca="true">IF(OR(AQ989&lt;&gt;1,AI989&lt;&gt;"Oui",AJ989=""),"",IF(AK989="",IF(NOW()&gt;AJ989+1,0,""),IF(AK989&lt;=AJ989,1,0)))</f>
        <v/>
      </c>
    </row>
    <row r="990" customFormat="false" ht="15" hidden="false" customHeight="false" outlineLevel="0" collapsed="false">
      <c r="B990" s="29"/>
      <c r="C990" s="29"/>
      <c r="D990" s="29"/>
      <c r="E990" s="29"/>
      <c r="F990" s="29"/>
      <c r="G990" s="29"/>
      <c r="H990" s="29"/>
      <c r="I990" s="29"/>
      <c r="J990" s="29"/>
      <c r="K990" s="29"/>
      <c r="L990" s="29"/>
      <c r="M990" s="29"/>
      <c r="N990" s="30"/>
      <c r="O990" s="30"/>
      <c r="P990" s="30"/>
      <c r="Q990" s="30"/>
      <c r="R990" s="30"/>
      <c r="S990" s="30"/>
      <c r="T990" s="30"/>
      <c r="U990" s="30"/>
      <c r="V990" s="31"/>
      <c r="W990" s="29"/>
      <c r="X990" s="29"/>
      <c r="Y990" s="29"/>
      <c r="Z990" s="29"/>
      <c r="AA990" s="30"/>
      <c r="AB990" s="30"/>
      <c r="AC990" s="30"/>
      <c r="AD990" s="30"/>
      <c r="AE990" s="30"/>
      <c r="AF990" s="32"/>
      <c r="AG990" s="33"/>
      <c r="AH990" s="33"/>
      <c r="AI990" s="29"/>
      <c r="AJ990" s="32"/>
      <c r="AK990" s="32"/>
      <c r="AL990" s="29"/>
      <c r="AN990" s="34" t="str">
        <f aca="false">IF($B990="","",IF(OR(C990="",D990="",E990="",G990="",I990="",J990="",L990="",O990="",P990=""),"Champ obligatoire manquant",IF(OR(AND(N990&lt;&gt;"",N990&gt;O990),O990&gt;P990,AND(Q990&lt;&gt;"",Q990&lt;P990),AND(R990&lt;&gt;"",R990&lt;P990),AND(S990&lt;&gt;"",S990&lt;R990),AND(S990&lt;&gt;"",R990=""),AND(T990&lt;&gt;"",T990&lt;O990),AND(U990&lt;&gt;"",U990&lt;O990)),"Chronologie incohérente",IF(AND(OR(L990="Résolu",L990="Clos"),R990=""),"Date de résolution manquante",IF(AND(L990="Clos",S990=""),"Date de clôture manquante",IF(AND(K990="Oui",AC990=""),"Classification DORA manquante","OK"))))))</f>
        <v/>
      </c>
      <c r="AO990" s="35" t="str">
        <f aca="false">IF($B990="","",IF(AND(C990="Incident",L990&lt;&gt;"Annulé"),1,0))</f>
        <v/>
      </c>
      <c r="AP990" s="35" t="str">
        <f aca="false">IF($B990="","",IF(AND(C990="Quasi-incident",L990&lt;&gt;"Annulé"),1,0))</f>
        <v/>
      </c>
      <c r="AQ990" s="35" t="str">
        <f aca="false">IF($B990="","",AO990+AP990)</f>
        <v/>
      </c>
      <c r="AR990" s="36" t="str">
        <f aca="false">IF(OR($B990="",J990=""),"",IFERROR(VALUE(LEFT(J990,1)),""))</f>
        <v/>
      </c>
      <c r="AS990" s="35" t="str">
        <f aca="false">IF(OR(AO990&lt;&gt;1,G990=""),"",IFERROR(IF(INDEX(L_SrcInterne,MATCH(G990,L_Sources,0))="Oui",1,0),""))</f>
        <v/>
      </c>
      <c r="AT990" s="37" t="str">
        <f aca="false">IF(AO990&lt;&gt;1,"",IFERROR(ROUND(IF(OR(N990="",O990=""),"",IF(O990&lt;N990,"",ROUND(((NETWORKDAYS(N990,O990,JoursFeries)-1)*(HFer-HOuv)+IF(NETWORKDAYS(O990,O990,JoursFeries),MEDIAN(MOD(O990,1),HFer,HOuv),HFer)-IF(NETWORKDAYS(N990,N990,JoursFeries),MEDIAN(MOD(N990,1),HFer,HOuv),HOuv))*24,4)))/HJour,4),""))</f>
        <v/>
      </c>
      <c r="AU990" s="37" t="str">
        <f aca="false">IF(AO990&lt;&gt;1,"",IF(OR(O990="",P990=""),"",IF(P990&lt;O990,"",ROUND(((NETWORKDAYS(O990,P990,JoursFeries)-1)*(HFer-HOuv)+IF(NETWORKDAYS(P990,P990,JoursFeries),MEDIAN(MOD(P990,1),HFer,HOuv),HFer)-IF(NETWORKDAYS(O990,O990,JoursFeries),MEDIAN(MOD(O990,1),HFer,HOuv),HOuv))*24,4))))</f>
        <v/>
      </c>
      <c r="AV990" s="37" t="str">
        <f aca="false">IF(AO990&lt;&gt;1,"",IF(OR(P990="",Q990=""),"",IF(Q990&lt;P990,"",ROUND(((NETWORKDAYS(P990,Q990,JoursFeries)-1)*(HFer-HOuv)+IF(NETWORKDAYS(Q990,Q990,JoursFeries),MEDIAN(MOD(Q990,1),HFer,HOuv),HFer)-IF(NETWORKDAYS(P990,P990,JoursFeries),MEDIAN(MOD(P990,1),HFer,HOuv),HOuv))*24,4))))</f>
        <v/>
      </c>
      <c r="AW990" s="37" t="str">
        <f aca="false">IF(AO990&lt;&gt;1,"",IFERROR(ROUND(IF(OR(P990="",R990=""),"",IF(R990&lt;P990,"",ROUND(((NETWORKDAYS(P990,R990,JoursFeries)-1)*(HFer-HOuv)+IF(NETWORKDAYS(R990,R990,JoursFeries),MEDIAN(MOD(R990,1),HFer,HOuv),HFer)-IF(NETWORKDAYS(P990,P990,JoursFeries),MEDIAN(MOD(P990,1),HFer,HOuv),HOuv))*24,4)))/HJour,4),""))</f>
        <v/>
      </c>
      <c r="AX990" s="37" t="str">
        <f aca="false">IF(AO990&lt;&gt;1,"",IFERROR(ROUND(IF(OR(P990="",S990=""),"",IF(S990&lt;P990,"",ROUND(((NETWORKDAYS(P990,S990,JoursFeries)-1)*(HFer-HOuv)+IF(NETWORKDAYS(S990,S990,JoursFeries),MEDIAN(MOD(S990,1),HFer,HOuv),HFer)-IF(NETWORKDAYS(P990,P990,JoursFeries),MEDIAN(MOD(P990,1),HFer,HOuv),HOuv))*24,4)))/HJour,4),""))</f>
        <v/>
      </c>
      <c r="AY990" s="36" t="str">
        <f aca="false">IF(OR(AO990&lt;&gt;1,AR990=""),"",INDEX(SLA_PEC,AR990))</f>
        <v/>
      </c>
      <c r="AZ990" s="35" t="str">
        <f aca="false">IF(OR(AV990="",AY990=""),"",IF(AV990&lt;=AY990,1,0))</f>
        <v/>
      </c>
      <c r="BA990" s="36" t="str">
        <f aca="false">IF(OR(AO990&lt;&gt;1,AR990=""),"",INDEX(SLA_RES,AR990))</f>
        <v/>
      </c>
      <c r="BB990" s="35" t="str">
        <f aca="false">IF(OR(AW990="",BA990=""),"",IF(AW990&lt;=BA990,1,0))</f>
        <v/>
      </c>
      <c r="BC990" s="38" t="str">
        <f aca="false">IF(OR(BA990="",P990=""),"",WORKDAY(INT(P990),BA990,JoursFeries)+MOD(P990,1))</f>
        <v/>
      </c>
      <c r="BD990" s="39" t="str">
        <f aca="false">IF(AO990&lt;&gt;1,"",IF(OR(AB990&lt;&gt;"",AD990&lt;&gt;""),4,IF(U990&lt;&gt;"",3,IF(T990&lt;&gt;"",2,1))))</f>
        <v/>
      </c>
      <c r="BE990" s="39" t="str">
        <f aca="false">IF(OR(AO990&lt;&gt;1,AR990=""),"",INDEX(NIV_REQ,AR990))</f>
        <v/>
      </c>
      <c r="BF990" s="39" t="str">
        <f aca="false">IF(BE990="","",MAX(BE990,IF(OR(K990="Oui",Z990="Oui"),4,1)))</f>
        <v/>
      </c>
      <c r="BG990" s="35" t="str">
        <f aca="false">IF(OR(BF990="",BD990=""),"",IF(BD990&gt;=BF990,1,0))</f>
        <v/>
      </c>
      <c r="BH990" s="38" t="str">
        <f aca="false">IF(BE990="","",IF(BE990&lt;2,"",IF(BE990=2,IF(AND(T990="",U990=""),"",MIN(T990,U990)),IF(U990="","",U990))))</f>
        <v/>
      </c>
      <c r="BI990" s="37" t="str">
        <f aca="false">IF(BH990="","",IF(OR(O990="",BH990=""),"",IF(BH990&lt;O990,"",ROUND(((NETWORKDAYS(O990,BH990,JoursFeries)-1)*(HFer-HOuv)+IF(NETWORKDAYS(BH990,BH990,JoursFeries),MEDIAN(MOD(BH990,1),HFer,HOuv),HFer)-IF(NETWORKDAYS(O990,O990,JoursFeries),MEDIAN(MOD(O990,1),HFer,HOuv),HOuv))*24,4))))</f>
        <v/>
      </c>
      <c r="BJ990" s="35" t="str">
        <f aca="false">IF(OR(BI990="",AR990=""),"",IF(BI990&lt;=INDEX(DELAI_ESC,AR990),1,0))</f>
        <v/>
      </c>
      <c r="BK990" s="38" t="str">
        <f aca="false">IF(AO990&lt;&gt;1,"",IF(AND(T990="",U990=""),"",MIN(T990,U990)))</f>
        <v/>
      </c>
      <c r="BL990" s="37" t="str">
        <f aca="false">IF(OR(BK990="",R990=""),"",IFERROR(ROUND(IF(OR(BK990="",R990=""),"",IF(R990&lt;BK990,"",ROUND(((NETWORKDAYS(BK990,R990,JoursFeries)-1)*(HFer-HOuv)+IF(NETWORKDAYS(R990,R990,JoursFeries),MEDIAN(MOD(R990,1),HFer,HOuv),HFer)-IF(NETWORKDAYS(BK990,BK990,JoursFeries),MEDIAN(MOD(BK990,1),HFer,HOuv),HOuv))*24,4)))/HJour,4),""))</f>
        <v/>
      </c>
      <c r="BM990" s="35" t="str">
        <f aca="false">IF(OR(AO990&lt;&gt;1,R990=""),"",IF(BD990=1,1,0))</f>
        <v/>
      </c>
      <c r="BN990" s="35" t="str">
        <f aca="false">IF(AO990&lt;&gt;1,"",IF(W990="Oui",1,0))</f>
        <v/>
      </c>
      <c r="BO990" s="35" t="str">
        <f aca="false">IF(AO990&lt;&gt;1,"",IF(X990&lt;&gt;"",1,0))</f>
        <v/>
      </c>
      <c r="BP990" s="35" t="str">
        <f aca="false">IF(AO990&lt;&gt;1,"",IF(Y990="Oui",1,0))</f>
        <v/>
      </c>
      <c r="BQ990" s="35" t="str">
        <f aca="true">IF(OR(AO990&lt;&gt;1,Z990&lt;&gt;"Oui"),"",IF(AB990="",IF(AND(AA990&lt;&gt;"",NOW()&gt;AA990),0,""),IF(AA990="","",IF(AB990&lt;=AA990,1,0))))</f>
        <v/>
      </c>
      <c r="BR990" s="38" t="str">
        <f aca="false">IF(OR(AO990&lt;&gt;1,K990&lt;&gt;"Oui",O990=""),"",IF(AC990="",O990+DORA_H_DET/24,IF(AC990-O990&lt;=DORA_H_DET/24,MIN(AC990+DORA_H_CLA/24,O990+DORA_H_DET/24),AC990+DORA_H_CLA/24)))</f>
        <v/>
      </c>
      <c r="BS990" s="35" t="str">
        <f aca="true">IF(BR990="","",IF(AD990="",IF(NOW()&gt;BR990,0,""),IF(AD990&lt;=BR990,1,0)))</f>
        <v/>
      </c>
      <c r="BT990" s="35" t="str">
        <f aca="true">IF(OR(BR990="",AD990=""),"",IF(AE990="",IF(NOW()&gt;AD990+DORA_H_INT/24,0,""),IF(AE990&lt;=AD990+DORA_H_INT/24,1,0)))</f>
        <v/>
      </c>
      <c r="BU990" s="35" t="str">
        <f aca="true">IF(OR(BR990="",AE990=""),"",IF(AF990="",IF(NOW()&gt;EDATE(AE990,DORA_M_FIN)+1,0,""),IF(AF990&lt;=EDATE(AE990,DORA_M_FIN),1,0)))</f>
        <v/>
      </c>
      <c r="BV990" s="35" t="str">
        <f aca="false">IF(BR990="","",IF(COUNT(BS990:BU990)=0,"",MIN(BS990:BU990)))</f>
        <v/>
      </c>
      <c r="BW990" s="40" t="str">
        <f aca="false">IF(AQ990&lt;&gt;1,"",IF(AND(AG990="",AH990=""),"",N(AG990)-N(AH990)))</f>
        <v/>
      </c>
      <c r="BX990" s="35" t="str">
        <f aca="true">IF(OR(AQ990&lt;&gt;1,AI990&lt;&gt;"Oui",AJ990=""),"",IF(AK990="",IF(NOW()&gt;AJ990+1,0,""),IF(AK990&lt;=AJ990,1,0)))</f>
        <v/>
      </c>
    </row>
    <row r="991" customFormat="false" ht="15" hidden="false" customHeight="false" outlineLevel="0" collapsed="false">
      <c r="B991" s="29"/>
      <c r="C991" s="29"/>
      <c r="D991" s="29"/>
      <c r="E991" s="29"/>
      <c r="F991" s="29"/>
      <c r="G991" s="29"/>
      <c r="H991" s="29"/>
      <c r="I991" s="29"/>
      <c r="J991" s="29"/>
      <c r="K991" s="29"/>
      <c r="L991" s="29"/>
      <c r="M991" s="29"/>
      <c r="N991" s="30"/>
      <c r="O991" s="30"/>
      <c r="P991" s="30"/>
      <c r="Q991" s="30"/>
      <c r="R991" s="30"/>
      <c r="S991" s="30"/>
      <c r="T991" s="30"/>
      <c r="U991" s="30"/>
      <c r="V991" s="31"/>
      <c r="W991" s="29"/>
      <c r="X991" s="29"/>
      <c r="Y991" s="29"/>
      <c r="Z991" s="29"/>
      <c r="AA991" s="30"/>
      <c r="AB991" s="30"/>
      <c r="AC991" s="30"/>
      <c r="AD991" s="30"/>
      <c r="AE991" s="30"/>
      <c r="AF991" s="32"/>
      <c r="AG991" s="33"/>
      <c r="AH991" s="33"/>
      <c r="AI991" s="29"/>
      <c r="AJ991" s="32"/>
      <c r="AK991" s="32"/>
      <c r="AL991" s="29"/>
      <c r="AN991" s="34" t="str">
        <f aca="false">IF($B991="","",IF(OR(C991="",D991="",E991="",G991="",I991="",J991="",L991="",O991="",P991=""),"Champ obligatoire manquant",IF(OR(AND(N991&lt;&gt;"",N991&gt;O991),O991&gt;P991,AND(Q991&lt;&gt;"",Q991&lt;P991),AND(R991&lt;&gt;"",R991&lt;P991),AND(S991&lt;&gt;"",S991&lt;R991),AND(S991&lt;&gt;"",R991=""),AND(T991&lt;&gt;"",T991&lt;O991),AND(U991&lt;&gt;"",U991&lt;O991)),"Chronologie incohérente",IF(AND(OR(L991="Résolu",L991="Clos"),R991=""),"Date de résolution manquante",IF(AND(L991="Clos",S991=""),"Date de clôture manquante",IF(AND(K991="Oui",AC991=""),"Classification DORA manquante","OK"))))))</f>
        <v/>
      </c>
      <c r="AO991" s="35" t="str">
        <f aca="false">IF($B991="","",IF(AND(C991="Incident",L991&lt;&gt;"Annulé"),1,0))</f>
        <v/>
      </c>
      <c r="AP991" s="35" t="str">
        <f aca="false">IF($B991="","",IF(AND(C991="Quasi-incident",L991&lt;&gt;"Annulé"),1,0))</f>
        <v/>
      </c>
      <c r="AQ991" s="35" t="str">
        <f aca="false">IF($B991="","",AO991+AP991)</f>
        <v/>
      </c>
      <c r="AR991" s="36" t="str">
        <f aca="false">IF(OR($B991="",J991=""),"",IFERROR(VALUE(LEFT(J991,1)),""))</f>
        <v/>
      </c>
      <c r="AS991" s="35" t="str">
        <f aca="false">IF(OR(AO991&lt;&gt;1,G991=""),"",IFERROR(IF(INDEX(L_SrcInterne,MATCH(G991,L_Sources,0))="Oui",1,0),""))</f>
        <v/>
      </c>
      <c r="AT991" s="37" t="str">
        <f aca="false">IF(AO991&lt;&gt;1,"",IFERROR(ROUND(IF(OR(N991="",O991=""),"",IF(O991&lt;N991,"",ROUND(((NETWORKDAYS(N991,O991,JoursFeries)-1)*(HFer-HOuv)+IF(NETWORKDAYS(O991,O991,JoursFeries),MEDIAN(MOD(O991,1),HFer,HOuv),HFer)-IF(NETWORKDAYS(N991,N991,JoursFeries),MEDIAN(MOD(N991,1),HFer,HOuv),HOuv))*24,4)))/HJour,4),""))</f>
        <v/>
      </c>
      <c r="AU991" s="37" t="str">
        <f aca="false">IF(AO991&lt;&gt;1,"",IF(OR(O991="",P991=""),"",IF(P991&lt;O991,"",ROUND(((NETWORKDAYS(O991,P991,JoursFeries)-1)*(HFer-HOuv)+IF(NETWORKDAYS(P991,P991,JoursFeries),MEDIAN(MOD(P991,1),HFer,HOuv),HFer)-IF(NETWORKDAYS(O991,O991,JoursFeries),MEDIAN(MOD(O991,1),HFer,HOuv),HOuv))*24,4))))</f>
        <v/>
      </c>
      <c r="AV991" s="37" t="str">
        <f aca="false">IF(AO991&lt;&gt;1,"",IF(OR(P991="",Q991=""),"",IF(Q991&lt;P991,"",ROUND(((NETWORKDAYS(P991,Q991,JoursFeries)-1)*(HFer-HOuv)+IF(NETWORKDAYS(Q991,Q991,JoursFeries),MEDIAN(MOD(Q991,1),HFer,HOuv),HFer)-IF(NETWORKDAYS(P991,P991,JoursFeries),MEDIAN(MOD(P991,1),HFer,HOuv),HOuv))*24,4))))</f>
        <v/>
      </c>
      <c r="AW991" s="37" t="str">
        <f aca="false">IF(AO991&lt;&gt;1,"",IFERROR(ROUND(IF(OR(P991="",R991=""),"",IF(R991&lt;P991,"",ROUND(((NETWORKDAYS(P991,R991,JoursFeries)-1)*(HFer-HOuv)+IF(NETWORKDAYS(R991,R991,JoursFeries),MEDIAN(MOD(R991,1),HFer,HOuv),HFer)-IF(NETWORKDAYS(P991,P991,JoursFeries),MEDIAN(MOD(P991,1),HFer,HOuv),HOuv))*24,4)))/HJour,4),""))</f>
        <v/>
      </c>
      <c r="AX991" s="37" t="str">
        <f aca="false">IF(AO991&lt;&gt;1,"",IFERROR(ROUND(IF(OR(P991="",S991=""),"",IF(S991&lt;P991,"",ROUND(((NETWORKDAYS(P991,S991,JoursFeries)-1)*(HFer-HOuv)+IF(NETWORKDAYS(S991,S991,JoursFeries),MEDIAN(MOD(S991,1),HFer,HOuv),HFer)-IF(NETWORKDAYS(P991,P991,JoursFeries),MEDIAN(MOD(P991,1),HFer,HOuv),HOuv))*24,4)))/HJour,4),""))</f>
        <v/>
      </c>
      <c r="AY991" s="36" t="str">
        <f aca="false">IF(OR(AO991&lt;&gt;1,AR991=""),"",INDEX(SLA_PEC,AR991))</f>
        <v/>
      </c>
      <c r="AZ991" s="35" t="str">
        <f aca="false">IF(OR(AV991="",AY991=""),"",IF(AV991&lt;=AY991,1,0))</f>
        <v/>
      </c>
      <c r="BA991" s="36" t="str">
        <f aca="false">IF(OR(AO991&lt;&gt;1,AR991=""),"",INDEX(SLA_RES,AR991))</f>
        <v/>
      </c>
      <c r="BB991" s="35" t="str">
        <f aca="false">IF(OR(AW991="",BA991=""),"",IF(AW991&lt;=BA991,1,0))</f>
        <v/>
      </c>
      <c r="BC991" s="38" t="str">
        <f aca="false">IF(OR(BA991="",P991=""),"",WORKDAY(INT(P991),BA991,JoursFeries)+MOD(P991,1))</f>
        <v/>
      </c>
      <c r="BD991" s="39" t="str">
        <f aca="false">IF(AO991&lt;&gt;1,"",IF(OR(AB991&lt;&gt;"",AD991&lt;&gt;""),4,IF(U991&lt;&gt;"",3,IF(T991&lt;&gt;"",2,1))))</f>
        <v/>
      </c>
      <c r="BE991" s="39" t="str">
        <f aca="false">IF(OR(AO991&lt;&gt;1,AR991=""),"",INDEX(NIV_REQ,AR991))</f>
        <v/>
      </c>
      <c r="BF991" s="39" t="str">
        <f aca="false">IF(BE991="","",MAX(BE991,IF(OR(K991="Oui",Z991="Oui"),4,1)))</f>
        <v/>
      </c>
      <c r="BG991" s="35" t="str">
        <f aca="false">IF(OR(BF991="",BD991=""),"",IF(BD991&gt;=BF991,1,0))</f>
        <v/>
      </c>
      <c r="BH991" s="38" t="str">
        <f aca="false">IF(BE991="","",IF(BE991&lt;2,"",IF(BE991=2,IF(AND(T991="",U991=""),"",MIN(T991,U991)),IF(U991="","",U991))))</f>
        <v/>
      </c>
      <c r="BI991" s="37" t="str">
        <f aca="false">IF(BH991="","",IF(OR(O991="",BH991=""),"",IF(BH991&lt;O991,"",ROUND(((NETWORKDAYS(O991,BH991,JoursFeries)-1)*(HFer-HOuv)+IF(NETWORKDAYS(BH991,BH991,JoursFeries),MEDIAN(MOD(BH991,1),HFer,HOuv),HFer)-IF(NETWORKDAYS(O991,O991,JoursFeries),MEDIAN(MOD(O991,1),HFer,HOuv),HOuv))*24,4))))</f>
        <v/>
      </c>
      <c r="BJ991" s="35" t="str">
        <f aca="false">IF(OR(BI991="",AR991=""),"",IF(BI991&lt;=INDEX(DELAI_ESC,AR991),1,0))</f>
        <v/>
      </c>
      <c r="BK991" s="38" t="str">
        <f aca="false">IF(AO991&lt;&gt;1,"",IF(AND(T991="",U991=""),"",MIN(T991,U991)))</f>
        <v/>
      </c>
      <c r="BL991" s="37" t="str">
        <f aca="false">IF(OR(BK991="",R991=""),"",IFERROR(ROUND(IF(OR(BK991="",R991=""),"",IF(R991&lt;BK991,"",ROUND(((NETWORKDAYS(BK991,R991,JoursFeries)-1)*(HFer-HOuv)+IF(NETWORKDAYS(R991,R991,JoursFeries),MEDIAN(MOD(R991,1),HFer,HOuv),HFer)-IF(NETWORKDAYS(BK991,BK991,JoursFeries),MEDIAN(MOD(BK991,1),HFer,HOuv),HOuv))*24,4)))/HJour,4),""))</f>
        <v/>
      </c>
      <c r="BM991" s="35" t="str">
        <f aca="false">IF(OR(AO991&lt;&gt;1,R991=""),"",IF(BD991=1,1,0))</f>
        <v/>
      </c>
      <c r="BN991" s="35" t="str">
        <f aca="false">IF(AO991&lt;&gt;1,"",IF(W991="Oui",1,0))</f>
        <v/>
      </c>
      <c r="BO991" s="35" t="str">
        <f aca="false">IF(AO991&lt;&gt;1,"",IF(X991&lt;&gt;"",1,0))</f>
        <v/>
      </c>
      <c r="BP991" s="35" t="str">
        <f aca="false">IF(AO991&lt;&gt;1,"",IF(Y991="Oui",1,0))</f>
        <v/>
      </c>
      <c r="BQ991" s="35" t="str">
        <f aca="true">IF(OR(AO991&lt;&gt;1,Z991&lt;&gt;"Oui"),"",IF(AB991="",IF(AND(AA991&lt;&gt;"",NOW()&gt;AA991),0,""),IF(AA991="","",IF(AB991&lt;=AA991,1,0))))</f>
        <v/>
      </c>
      <c r="BR991" s="38" t="str">
        <f aca="false">IF(OR(AO991&lt;&gt;1,K991&lt;&gt;"Oui",O991=""),"",IF(AC991="",O991+DORA_H_DET/24,IF(AC991-O991&lt;=DORA_H_DET/24,MIN(AC991+DORA_H_CLA/24,O991+DORA_H_DET/24),AC991+DORA_H_CLA/24)))</f>
        <v/>
      </c>
      <c r="BS991" s="35" t="str">
        <f aca="true">IF(BR991="","",IF(AD991="",IF(NOW()&gt;BR991,0,""),IF(AD991&lt;=BR991,1,0)))</f>
        <v/>
      </c>
      <c r="BT991" s="35" t="str">
        <f aca="true">IF(OR(BR991="",AD991=""),"",IF(AE991="",IF(NOW()&gt;AD991+DORA_H_INT/24,0,""),IF(AE991&lt;=AD991+DORA_H_INT/24,1,0)))</f>
        <v/>
      </c>
      <c r="BU991" s="35" t="str">
        <f aca="true">IF(OR(BR991="",AE991=""),"",IF(AF991="",IF(NOW()&gt;EDATE(AE991,DORA_M_FIN)+1,0,""),IF(AF991&lt;=EDATE(AE991,DORA_M_FIN),1,0)))</f>
        <v/>
      </c>
      <c r="BV991" s="35" t="str">
        <f aca="false">IF(BR991="","",IF(COUNT(BS991:BU991)=0,"",MIN(BS991:BU991)))</f>
        <v/>
      </c>
      <c r="BW991" s="40" t="str">
        <f aca="false">IF(AQ991&lt;&gt;1,"",IF(AND(AG991="",AH991=""),"",N(AG991)-N(AH991)))</f>
        <v/>
      </c>
      <c r="BX991" s="35" t="str">
        <f aca="true">IF(OR(AQ991&lt;&gt;1,AI991&lt;&gt;"Oui",AJ991=""),"",IF(AK991="",IF(NOW()&gt;AJ991+1,0,""),IF(AK991&lt;=AJ991,1,0)))</f>
        <v/>
      </c>
    </row>
    <row r="992" customFormat="false" ht="15" hidden="false" customHeight="false" outlineLevel="0" collapsed="false">
      <c r="B992" s="29"/>
      <c r="C992" s="29"/>
      <c r="D992" s="29"/>
      <c r="E992" s="29"/>
      <c r="F992" s="29"/>
      <c r="G992" s="29"/>
      <c r="H992" s="29"/>
      <c r="I992" s="29"/>
      <c r="J992" s="29"/>
      <c r="K992" s="29"/>
      <c r="L992" s="29"/>
      <c r="M992" s="29"/>
      <c r="N992" s="30"/>
      <c r="O992" s="30"/>
      <c r="P992" s="30"/>
      <c r="Q992" s="30"/>
      <c r="R992" s="30"/>
      <c r="S992" s="30"/>
      <c r="T992" s="30"/>
      <c r="U992" s="30"/>
      <c r="V992" s="31"/>
      <c r="W992" s="29"/>
      <c r="X992" s="29"/>
      <c r="Y992" s="29"/>
      <c r="Z992" s="29"/>
      <c r="AA992" s="30"/>
      <c r="AB992" s="30"/>
      <c r="AC992" s="30"/>
      <c r="AD992" s="30"/>
      <c r="AE992" s="30"/>
      <c r="AF992" s="32"/>
      <c r="AG992" s="33"/>
      <c r="AH992" s="33"/>
      <c r="AI992" s="29"/>
      <c r="AJ992" s="32"/>
      <c r="AK992" s="32"/>
      <c r="AL992" s="29"/>
      <c r="AN992" s="34" t="str">
        <f aca="false">IF($B992="","",IF(OR(C992="",D992="",E992="",G992="",I992="",J992="",L992="",O992="",P992=""),"Champ obligatoire manquant",IF(OR(AND(N992&lt;&gt;"",N992&gt;O992),O992&gt;P992,AND(Q992&lt;&gt;"",Q992&lt;P992),AND(R992&lt;&gt;"",R992&lt;P992),AND(S992&lt;&gt;"",S992&lt;R992),AND(S992&lt;&gt;"",R992=""),AND(T992&lt;&gt;"",T992&lt;O992),AND(U992&lt;&gt;"",U992&lt;O992)),"Chronologie incohérente",IF(AND(OR(L992="Résolu",L992="Clos"),R992=""),"Date de résolution manquante",IF(AND(L992="Clos",S992=""),"Date de clôture manquante",IF(AND(K992="Oui",AC992=""),"Classification DORA manquante","OK"))))))</f>
        <v/>
      </c>
      <c r="AO992" s="35" t="str">
        <f aca="false">IF($B992="","",IF(AND(C992="Incident",L992&lt;&gt;"Annulé"),1,0))</f>
        <v/>
      </c>
      <c r="AP992" s="35" t="str">
        <f aca="false">IF($B992="","",IF(AND(C992="Quasi-incident",L992&lt;&gt;"Annulé"),1,0))</f>
        <v/>
      </c>
      <c r="AQ992" s="35" t="str">
        <f aca="false">IF($B992="","",AO992+AP992)</f>
        <v/>
      </c>
      <c r="AR992" s="36" t="str">
        <f aca="false">IF(OR($B992="",J992=""),"",IFERROR(VALUE(LEFT(J992,1)),""))</f>
        <v/>
      </c>
      <c r="AS992" s="35" t="str">
        <f aca="false">IF(OR(AO992&lt;&gt;1,G992=""),"",IFERROR(IF(INDEX(L_SrcInterne,MATCH(G992,L_Sources,0))="Oui",1,0),""))</f>
        <v/>
      </c>
      <c r="AT992" s="37" t="str">
        <f aca="false">IF(AO992&lt;&gt;1,"",IFERROR(ROUND(IF(OR(N992="",O992=""),"",IF(O992&lt;N992,"",ROUND(((NETWORKDAYS(N992,O992,JoursFeries)-1)*(HFer-HOuv)+IF(NETWORKDAYS(O992,O992,JoursFeries),MEDIAN(MOD(O992,1),HFer,HOuv),HFer)-IF(NETWORKDAYS(N992,N992,JoursFeries),MEDIAN(MOD(N992,1),HFer,HOuv),HOuv))*24,4)))/HJour,4),""))</f>
        <v/>
      </c>
      <c r="AU992" s="37" t="str">
        <f aca="false">IF(AO992&lt;&gt;1,"",IF(OR(O992="",P992=""),"",IF(P992&lt;O992,"",ROUND(((NETWORKDAYS(O992,P992,JoursFeries)-1)*(HFer-HOuv)+IF(NETWORKDAYS(P992,P992,JoursFeries),MEDIAN(MOD(P992,1),HFer,HOuv),HFer)-IF(NETWORKDAYS(O992,O992,JoursFeries),MEDIAN(MOD(O992,1),HFer,HOuv),HOuv))*24,4))))</f>
        <v/>
      </c>
      <c r="AV992" s="37" t="str">
        <f aca="false">IF(AO992&lt;&gt;1,"",IF(OR(P992="",Q992=""),"",IF(Q992&lt;P992,"",ROUND(((NETWORKDAYS(P992,Q992,JoursFeries)-1)*(HFer-HOuv)+IF(NETWORKDAYS(Q992,Q992,JoursFeries),MEDIAN(MOD(Q992,1),HFer,HOuv),HFer)-IF(NETWORKDAYS(P992,P992,JoursFeries),MEDIAN(MOD(P992,1),HFer,HOuv),HOuv))*24,4))))</f>
        <v/>
      </c>
      <c r="AW992" s="37" t="str">
        <f aca="false">IF(AO992&lt;&gt;1,"",IFERROR(ROUND(IF(OR(P992="",R992=""),"",IF(R992&lt;P992,"",ROUND(((NETWORKDAYS(P992,R992,JoursFeries)-1)*(HFer-HOuv)+IF(NETWORKDAYS(R992,R992,JoursFeries),MEDIAN(MOD(R992,1),HFer,HOuv),HFer)-IF(NETWORKDAYS(P992,P992,JoursFeries),MEDIAN(MOD(P992,1),HFer,HOuv),HOuv))*24,4)))/HJour,4),""))</f>
        <v/>
      </c>
      <c r="AX992" s="37" t="str">
        <f aca="false">IF(AO992&lt;&gt;1,"",IFERROR(ROUND(IF(OR(P992="",S992=""),"",IF(S992&lt;P992,"",ROUND(((NETWORKDAYS(P992,S992,JoursFeries)-1)*(HFer-HOuv)+IF(NETWORKDAYS(S992,S992,JoursFeries),MEDIAN(MOD(S992,1),HFer,HOuv),HFer)-IF(NETWORKDAYS(P992,P992,JoursFeries),MEDIAN(MOD(P992,1),HFer,HOuv),HOuv))*24,4)))/HJour,4),""))</f>
        <v/>
      </c>
      <c r="AY992" s="36" t="str">
        <f aca="false">IF(OR(AO992&lt;&gt;1,AR992=""),"",INDEX(SLA_PEC,AR992))</f>
        <v/>
      </c>
      <c r="AZ992" s="35" t="str">
        <f aca="false">IF(OR(AV992="",AY992=""),"",IF(AV992&lt;=AY992,1,0))</f>
        <v/>
      </c>
      <c r="BA992" s="36" t="str">
        <f aca="false">IF(OR(AO992&lt;&gt;1,AR992=""),"",INDEX(SLA_RES,AR992))</f>
        <v/>
      </c>
      <c r="BB992" s="35" t="str">
        <f aca="false">IF(OR(AW992="",BA992=""),"",IF(AW992&lt;=BA992,1,0))</f>
        <v/>
      </c>
      <c r="BC992" s="38" t="str">
        <f aca="false">IF(OR(BA992="",P992=""),"",WORKDAY(INT(P992),BA992,JoursFeries)+MOD(P992,1))</f>
        <v/>
      </c>
      <c r="BD992" s="39" t="str">
        <f aca="false">IF(AO992&lt;&gt;1,"",IF(OR(AB992&lt;&gt;"",AD992&lt;&gt;""),4,IF(U992&lt;&gt;"",3,IF(T992&lt;&gt;"",2,1))))</f>
        <v/>
      </c>
      <c r="BE992" s="39" t="str">
        <f aca="false">IF(OR(AO992&lt;&gt;1,AR992=""),"",INDEX(NIV_REQ,AR992))</f>
        <v/>
      </c>
      <c r="BF992" s="39" t="str">
        <f aca="false">IF(BE992="","",MAX(BE992,IF(OR(K992="Oui",Z992="Oui"),4,1)))</f>
        <v/>
      </c>
      <c r="BG992" s="35" t="str">
        <f aca="false">IF(OR(BF992="",BD992=""),"",IF(BD992&gt;=BF992,1,0))</f>
        <v/>
      </c>
      <c r="BH992" s="38" t="str">
        <f aca="false">IF(BE992="","",IF(BE992&lt;2,"",IF(BE992=2,IF(AND(T992="",U992=""),"",MIN(T992,U992)),IF(U992="","",U992))))</f>
        <v/>
      </c>
      <c r="BI992" s="37" t="str">
        <f aca="false">IF(BH992="","",IF(OR(O992="",BH992=""),"",IF(BH992&lt;O992,"",ROUND(((NETWORKDAYS(O992,BH992,JoursFeries)-1)*(HFer-HOuv)+IF(NETWORKDAYS(BH992,BH992,JoursFeries),MEDIAN(MOD(BH992,1),HFer,HOuv),HFer)-IF(NETWORKDAYS(O992,O992,JoursFeries),MEDIAN(MOD(O992,1),HFer,HOuv),HOuv))*24,4))))</f>
        <v/>
      </c>
      <c r="BJ992" s="35" t="str">
        <f aca="false">IF(OR(BI992="",AR992=""),"",IF(BI992&lt;=INDEX(DELAI_ESC,AR992),1,0))</f>
        <v/>
      </c>
      <c r="BK992" s="38" t="str">
        <f aca="false">IF(AO992&lt;&gt;1,"",IF(AND(T992="",U992=""),"",MIN(T992,U992)))</f>
        <v/>
      </c>
      <c r="BL992" s="37" t="str">
        <f aca="false">IF(OR(BK992="",R992=""),"",IFERROR(ROUND(IF(OR(BK992="",R992=""),"",IF(R992&lt;BK992,"",ROUND(((NETWORKDAYS(BK992,R992,JoursFeries)-1)*(HFer-HOuv)+IF(NETWORKDAYS(R992,R992,JoursFeries),MEDIAN(MOD(R992,1),HFer,HOuv),HFer)-IF(NETWORKDAYS(BK992,BK992,JoursFeries),MEDIAN(MOD(BK992,1),HFer,HOuv),HOuv))*24,4)))/HJour,4),""))</f>
        <v/>
      </c>
      <c r="BM992" s="35" t="str">
        <f aca="false">IF(OR(AO992&lt;&gt;1,R992=""),"",IF(BD992=1,1,0))</f>
        <v/>
      </c>
      <c r="BN992" s="35" t="str">
        <f aca="false">IF(AO992&lt;&gt;1,"",IF(W992="Oui",1,0))</f>
        <v/>
      </c>
      <c r="BO992" s="35" t="str">
        <f aca="false">IF(AO992&lt;&gt;1,"",IF(X992&lt;&gt;"",1,0))</f>
        <v/>
      </c>
      <c r="BP992" s="35" t="str">
        <f aca="false">IF(AO992&lt;&gt;1,"",IF(Y992="Oui",1,0))</f>
        <v/>
      </c>
      <c r="BQ992" s="35" t="str">
        <f aca="true">IF(OR(AO992&lt;&gt;1,Z992&lt;&gt;"Oui"),"",IF(AB992="",IF(AND(AA992&lt;&gt;"",NOW()&gt;AA992),0,""),IF(AA992="","",IF(AB992&lt;=AA992,1,0))))</f>
        <v/>
      </c>
      <c r="BR992" s="38" t="str">
        <f aca="false">IF(OR(AO992&lt;&gt;1,K992&lt;&gt;"Oui",O992=""),"",IF(AC992="",O992+DORA_H_DET/24,IF(AC992-O992&lt;=DORA_H_DET/24,MIN(AC992+DORA_H_CLA/24,O992+DORA_H_DET/24),AC992+DORA_H_CLA/24)))</f>
        <v/>
      </c>
      <c r="BS992" s="35" t="str">
        <f aca="true">IF(BR992="","",IF(AD992="",IF(NOW()&gt;BR992,0,""),IF(AD992&lt;=BR992,1,0)))</f>
        <v/>
      </c>
      <c r="BT992" s="35" t="str">
        <f aca="true">IF(OR(BR992="",AD992=""),"",IF(AE992="",IF(NOW()&gt;AD992+DORA_H_INT/24,0,""),IF(AE992&lt;=AD992+DORA_H_INT/24,1,0)))</f>
        <v/>
      </c>
      <c r="BU992" s="35" t="str">
        <f aca="true">IF(OR(BR992="",AE992=""),"",IF(AF992="",IF(NOW()&gt;EDATE(AE992,DORA_M_FIN)+1,0,""),IF(AF992&lt;=EDATE(AE992,DORA_M_FIN),1,0)))</f>
        <v/>
      </c>
      <c r="BV992" s="35" t="str">
        <f aca="false">IF(BR992="","",IF(COUNT(BS992:BU992)=0,"",MIN(BS992:BU992)))</f>
        <v/>
      </c>
      <c r="BW992" s="40" t="str">
        <f aca="false">IF(AQ992&lt;&gt;1,"",IF(AND(AG992="",AH992=""),"",N(AG992)-N(AH992)))</f>
        <v/>
      </c>
      <c r="BX992" s="35" t="str">
        <f aca="true">IF(OR(AQ992&lt;&gt;1,AI992&lt;&gt;"Oui",AJ992=""),"",IF(AK992="",IF(NOW()&gt;AJ992+1,0,""),IF(AK992&lt;=AJ992,1,0)))</f>
        <v/>
      </c>
    </row>
    <row r="993" customFormat="false" ht="15" hidden="false" customHeight="false" outlineLevel="0" collapsed="false">
      <c r="B993" s="29"/>
      <c r="C993" s="29"/>
      <c r="D993" s="29"/>
      <c r="E993" s="29"/>
      <c r="F993" s="29"/>
      <c r="G993" s="29"/>
      <c r="H993" s="29"/>
      <c r="I993" s="29"/>
      <c r="J993" s="29"/>
      <c r="K993" s="29"/>
      <c r="L993" s="29"/>
      <c r="M993" s="29"/>
      <c r="N993" s="30"/>
      <c r="O993" s="30"/>
      <c r="P993" s="30"/>
      <c r="Q993" s="30"/>
      <c r="R993" s="30"/>
      <c r="S993" s="30"/>
      <c r="T993" s="30"/>
      <c r="U993" s="30"/>
      <c r="V993" s="31"/>
      <c r="W993" s="29"/>
      <c r="X993" s="29"/>
      <c r="Y993" s="29"/>
      <c r="Z993" s="29"/>
      <c r="AA993" s="30"/>
      <c r="AB993" s="30"/>
      <c r="AC993" s="30"/>
      <c r="AD993" s="30"/>
      <c r="AE993" s="30"/>
      <c r="AF993" s="32"/>
      <c r="AG993" s="33"/>
      <c r="AH993" s="33"/>
      <c r="AI993" s="29"/>
      <c r="AJ993" s="32"/>
      <c r="AK993" s="32"/>
      <c r="AL993" s="29"/>
      <c r="AN993" s="34" t="str">
        <f aca="false">IF($B993="","",IF(OR(C993="",D993="",E993="",G993="",I993="",J993="",L993="",O993="",P993=""),"Champ obligatoire manquant",IF(OR(AND(N993&lt;&gt;"",N993&gt;O993),O993&gt;P993,AND(Q993&lt;&gt;"",Q993&lt;P993),AND(R993&lt;&gt;"",R993&lt;P993),AND(S993&lt;&gt;"",S993&lt;R993),AND(S993&lt;&gt;"",R993=""),AND(T993&lt;&gt;"",T993&lt;O993),AND(U993&lt;&gt;"",U993&lt;O993)),"Chronologie incohérente",IF(AND(OR(L993="Résolu",L993="Clos"),R993=""),"Date de résolution manquante",IF(AND(L993="Clos",S993=""),"Date de clôture manquante",IF(AND(K993="Oui",AC993=""),"Classification DORA manquante","OK"))))))</f>
        <v/>
      </c>
      <c r="AO993" s="35" t="str">
        <f aca="false">IF($B993="","",IF(AND(C993="Incident",L993&lt;&gt;"Annulé"),1,0))</f>
        <v/>
      </c>
      <c r="AP993" s="35" t="str">
        <f aca="false">IF($B993="","",IF(AND(C993="Quasi-incident",L993&lt;&gt;"Annulé"),1,0))</f>
        <v/>
      </c>
      <c r="AQ993" s="35" t="str">
        <f aca="false">IF($B993="","",AO993+AP993)</f>
        <v/>
      </c>
      <c r="AR993" s="36" t="str">
        <f aca="false">IF(OR($B993="",J993=""),"",IFERROR(VALUE(LEFT(J993,1)),""))</f>
        <v/>
      </c>
      <c r="AS993" s="35" t="str">
        <f aca="false">IF(OR(AO993&lt;&gt;1,G993=""),"",IFERROR(IF(INDEX(L_SrcInterne,MATCH(G993,L_Sources,0))="Oui",1,0),""))</f>
        <v/>
      </c>
      <c r="AT993" s="37" t="str">
        <f aca="false">IF(AO993&lt;&gt;1,"",IFERROR(ROUND(IF(OR(N993="",O993=""),"",IF(O993&lt;N993,"",ROUND(((NETWORKDAYS(N993,O993,JoursFeries)-1)*(HFer-HOuv)+IF(NETWORKDAYS(O993,O993,JoursFeries),MEDIAN(MOD(O993,1),HFer,HOuv),HFer)-IF(NETWORKDAYS(N993,N993,JoursFeries),MEDIAN(MOD(N993,1),HFer,HOuv),HOuv))*24,4)))/HJour,4),""))</f>
        <v/>
      </c>
      <c r="AU993" s="37" t="str">
        <f aca="false">IF(AO993&lt;&gt;1,"",IF(OR(O993="",P993=""),"",IF(P993&lt;O993,"",ROUND(((NETWORKDAYS(O993,P993,JoursFeries)-1)*(HFer-HOuv)+IF(NETWORKDAYS(P993,P993,JoursFeries),MEDIAN(MOD(P993,1),HFer,HOuv),HFer)-IF(NETWORKDAYS(O993,O993,JoursFeries),MEDIAN(MOD(O993,1),HFer,HOuv),HOuv))*24,4))))</f>
        <v/>
      </c>
      <c r="AV993" s="37" t="str">
        <f aca="false">IF(AO993&lt;&gt;1,"",IF(OR(P993="",Q993=""),"",IF(Q993&lt;P993,"",ROUND(((NETWORKDAYS(P993,Q993,JoursFeries)-1)*(HFer-HOuv)+IF(NETWORKDAYS(Q993,Q993,JoursFeries),MEDIAN(MOD(Q993,1),HFer,HOuv),HFer)-IF(NETWORKDAYS(P993,P993,JoursFeries),MEDIAN(MOD(P993,1),HFer,HOuv),HOuv))*24,4))))</f>
        <v/>
      </c>
      <c r="AW993" s="37" t="str">
        <f aca="false">IF(AO993&lt;&gt;1,"",IFERROR(ROUND(IF(OR(P993="",R993=""),"",IF(R993&lt;P993,"",ROUND(((NETWORKDAYS(P993,R993,JoursFeries)-1)*(HFer-HOuv)+IF(NETWORKDAYS(R993,R993,JoursFeries),MEDIAN(MOD(R993,1),HFer,HOuv),HFer)-IF(NETWORKDAYS(P993,P993,JoursFeries),MEDIAN(MOD(P993,1),HFer,HOuv),HOuv))*24,4)))/HJour,4),""))</f>
        <v/>
      </c>
      <c r="AX993" s="37" t="str">
        <f aca="false">IF(AO993&lt;&gt;1,"",IFERROR(ROUND(IF(OR(P993="",S993=""),"",IF(S993&lt;P993,"",ROUND(((NETWORKDAYS(P993,S993,JoursFeries)-1)*(HFer-HOuv)+IF(NETWORKDAYS(S993,S993,JoursFeries),MEDIAN(MOD(S993,1),HFer,HOuv),HFer)-IF(NETWORKDAYS(P993,P993,JoursFeries),MEDIAN(MOD(P993,1),HFer,HOuv),HOuv))*24,4)))/HJour,4),""))</f>
        <v/>
      </c>
      <c r="AY993" s="36" t="str">
        <f aca="false">IF(OR(AO993&lt;&gt;1,AR993=""),"",INDEX(SLA_PEC,AR993))</f>
        <v/>
      </c>
      <c r="AZ993" s="35" t="str">
        <f aca="false">IF(OR(AV993="",AY993=""),"",IF(AV993&lt;=AY993,1,0))</f>
        <v/>
      </c>
      <c r="BA993" s="36" t="str">
        <f aca="false">IF(OR(AO993&lt;&gt;1,AR993=""),"",INDEX(SLA_RES,AR993))</f>
        <v/>
      </c>
      <c r="BB993" s="35" t="str">
        <f aca="false">IF(OR(AW993="",BA993=""),"",IF(AW993&lt;=BA993,1,0))</f>
        <v/>
      </c>
      <c r="BC993" s="38" t="str">
        <f aca="false">IF(OR(BA993="",P993=""),"",WORKDAY(INT(P993),BA993,JoursFeries)+MOD(P993,1))</f>
        <v/>
      </c>
      <c r="BD993" s="39" t="str">
        <f aca="false">IF(AO993&lt;&gt;1,"",IF(OR(AB993&lt;&gt;"",AD993&lt;&gt;""),4,IF(U993&lt;&gt;"",3,IF(T993&lt;&gt;"",2,1))))</f>
        <v/>
      </c>
      <c r="BE993" s="39" t="str">
        <f aca="false">IF(OR(AO993&lt;&gt;1,AR993=""),"",INDEX(NIV_REQ,AR993))</f>
        <v/>
      </c>
      <c r="BF993" s="39" t="str">
        <f aca="false">IF(BE993="","",MAX(BE993,IF(OR(K993="Oui",Z993="Oui"),4,1)))</f>
        <v/>
      </c>
      <c r="BG993" s="35" t="str">
        <f aca="false">IF(OR(BF993="",BD993=""),"",IF(BD993&gt;=BF993,1,0))</f>
        <v/>
      </c>
      <c r="BH993" s="38" t="str">
        <f aca="false">IF(BE993="","",IF(BE993&lt;2,"",IF(BE993=2,IF(AND(T993="",U993=""),"",MIN(T993,U993)),IF(U993="","",U993))))</f>
        <v/>
      </c>
      <c r="BI993" s="37" t="str">
        <f aca="false">IF(BH993="","",IF(OR(O993="",BH993=""),"",IF(BH993&lt;O993,"",ROUND(((NETWORKDAYS(O993,BH993,JoursFeries)-1)*(HFer-HOuv)+IF(NETWORKDAYS(BH993,BH993,JoursFeries),MEDIAN(MOD(BH993,1),HFer,HOuv),HFer)-IF(NETWORKDAYS(O993,O993,JoursFeries),MEDIAN(MOD(O993,1),HFer,HOuv),HOuv))*24,4))))</f>
        <v/>
      </c>
      <c r="BJ993" s="35" t="str">
        <f aca="false">IF(OR(BI993="",AR993=""),"",IF(BI993&lt;=INDEX(DELAI_ESC,AR993),1,0))</f>
        <v/>
      </c>
      <c r="BK993" s="38" t="str">
        <f aca="false">IF(AO993&lt;&gt;1,"",IF(AND(T993="",U993=""),"",MIN(T993,U993)))</f>
        <v/>
      </c>
      <c r="BL993" s="37" t="str">
        <f aca="false">IF(OR(BK993="",R993=""),"",IFERROR(ROUND(IF(OR(BK993="",R993=""),"",IF(R993&lt;BK993,"",ROUND(((NETWORKDAYS(BK993,R993,JoursFeries)-1)*(HFer-HOuv)+IF(NETWORKDAYS(R993,R993,JoursFeries),MEDIAN(MOD(R993,1),HFer,HOuv),HFer)-IF(NETWORKDAYS(BK993,BK993,JoursFeries),MEDIAN(MOD(BK993,1),HFer,HOuv),HOuv))*24,4)))/HJour,4),""))</f>
        <v/>
      </c>
      <c r="BM993" s="35" t="str">
        <f aca="false">IF(OR(AO993&lt;&gt;1,R993=""),"",IF(BD993=1,1,0))</f>
        <v/>
      </c>
      <c r="BN993" s="35" t="str">
        <f aca="false">IF(AO993&lt;&gt;1,"",IF(W993="Oui",1,0))</f>
        <v/>
      </c>
      <c r="BO993" s="35" t="str">
        <f aca="false">IF(AO993&lt;&gt;1,"",IF(X993&lt;&gt;"",1,0))</f>
        <v/>
      </c>
      <c r="BP993" s="35" t="str">
        <f aca="false">IF(AO993&lt;&gt;1,"",IF(Y993="Oui",1,0))</f>
        <v/>
      </c>
      <c r="BQ993" s="35" t="str">
        <f aca="true">IF(OR(AO993&lt;&gt;1,Z993&lt;&gt;"Oui"),"",IF(AB993="",IF(AND(AA993&lt;&gt;"",NOW()&gt;AA993),0,""),IF(AA993="","",IF(AB993&lt;=AA993,1,0))))</f>
        <v/>
      </c>
      <c r="BR993" s="38" t="str">
        <f aca="false">IF(OR(AO993&lt;&gt;1,K993&lt;&gt;"Oui",O993=""),"",IF(AC993="",O993+DORA_H_DET/24,IF(AC993-O993&lt;=DORA_H_DET/24,MIN(AC993+DORA_H_CLA/24,O993+DORA_H_DET/24),AC993+DORA_H_CLA/24)))</f>
        <v/>
      </c>
      <c r="BS993" s="35" t="str">
        <f aca="true">IF(BR993="","",IF(AD993="",IF(NOW()&gt;BR993,0,""),IF(AD993&lt;=BR993,1,0)))</f>
        <v/>
      </c>
      <c r="BT993" s="35" t="str">
        <f aca="true">IF(OR(BR993="",AD993=""),"",IF(AE993="",IF(NOW()&gt;AD993+DORA_H_INT/24,0,""),IF(AE993&lt;=AD993+DORA_H_INT/24,1,0)))</f>
        <v/>
      </c>
      <c r="BU993" s="35" t="str">
        <f aca="true">IF(OR(BR993="",AE993=""),"",IF(AF993="",IF(NOW()&gt;EDATE(AE993,DORA_M_FIN)+1,0,""),IF(AF993&lt;=EDATE(AE993,DORA_M_FIN),1,0)))</f>
        <v/>
      </c>
      <c r="BV993" s="35" t="str">
        <f aca="false">IF(BR993="","",IF(COUNT(BS993:BU993)=0,"",MIN(BS993:BU993)))</f>
        <v/>
      </c>
      <c r="BW993" s="40" t="str">
        <f aca="false">IF(AQ993&lt;&gt;1,"",IF(AND(AG993="",AH993=""),"",N(AG993)-N(AH993)))</f>
        <v/>
      </c>
      <c r="BX993" s="35" t="str">
        <f aca="true">IF(OR(AQ993&lt;&gt;1,AI993&lt;&gt;"Oui",AJ993=""),"",IF(AK993="",IF(NOW()&gt;AJ993+1,0,""),IF(AK993&lt;=AJ993,1,0)))</f>
        <v/>
      </c>
    </row>
    <row r="994" customFormat="false" ht="15" hidden="false" customHeight="false" outlineLevel="0" collapsed="false">
      <c r="B994" s="29"/>
      <c r="C994" s="29"/>
      <c r="D994" s="29"/>
      <c r="E994" s="29"/>
      <c r="F994" s="29"/>
      <c r="G994" s="29"/>
      <c r="H994" s="29"/>
      <c r="I994" s="29"/>
      <c r="J994" s="29"/>
      <c r="K994" s="29"/>
      <c r="L994" s="29"/>
      <c r="M994" s="29"/>
      <c r="N994" s="30"/>
      <c r="O994" s="30"/>
      <c r="P994" s="30"/>
      <c r="Q994" s="30"/>
      <c r="R994" s="30"/>
      <c r="S994" s="30"/>
      <c r="T994" s="30"/>
      <c r="U994" s="30"/>
      <c r="V994" s="31"/>
      <c r="W994" s="29"/>
      <c r="X994" s="29"/>
      <c r="Y994" s="29"/>
      <c r="Z994" s="29"/>
      <c r="AA994" s="30"/>
      <c r="AB994" s="30"/>
      <c r="AC994" s="30"/>
      <c r="AD994" s="30"/>
      <c r="AE994" s="30"/>
      <c r="AF994" s="32"/>
      <c r="AG994" s="33"/>
      <c r="AH994" s="33"/>
      <c r="AI994" s="29"/>
      <c r="AJ994" s="32"/>
      <c r="AK994" s="32"/>
      <c r="AL994" s="29"/>
      <c r="AN994" s="34" t="str">
        <f aca="false">IF($B994="","",IF(OR(C994="",D994="",E994="",G994="",I994="",J994="",L994="",O994="",P994=""),"Champ obligatoire manquant",IF(OR(AND(N994&lt;&gt;"",N994&gt;O994),O994&gt;P994,AND(Q994&lt;&gt;"",Q994&lt;P994),AND(R994&lt;&gt;"",R994&lt;P994),AND(S994&lt;&gt;"",S994&lt;R994),AND(S994&lt;&gt;"",R994=""),AND(T994&lt;&gt;"",T994&lt;O994),AND(U994&lt;&gt;"",U994&lt;O994)),"Chronologie incohérente",IF(AND(OR(L994="Résolu",L994="Clos"),R994=""),"Date de résolution manquante",IF(AND(L994="Clos",S994=""),"Date de clôture manquante",IF(AND(K994="Oui",AC994=""),"Classification DORA manquante","OK"))))))</f>
        <v/>
      </c>
      <c r="AO994" s="35" t="str">
        <f aca="false">IF($B994="","",IF(AND(C994="Incident",L994&lt;&gt;"Annulé"),1,0))</f>
        <v/>
      </c>
      <c r="AP994" s="35" t="str">
        <f aca="false">IF($B994="","",IF(AND(C994="Quasi-incident",L994&lt;&gt;"Annulé"),1,0))</f>
        <v/>
      </c>
      <c r="AQ994" s="35" t="str">
        <f aca="false">IF($B994="","",AO994+AP994)</f>
        <v/>
      </c>
      <c r="AR994" s="36" t="str">
        <f aca="false">IF(OR($B994="",J994=""),"",IFERROR(VALUE(LEFT(J994,1)),""))</f>
        <v/>
      </c>
      <c r="AS994" s="35" t="str">
        <f aca="false">IF(OR(AO994&lt;&gt;1,G994=""),"",IFERROR(IF(INDEX(L_SrcInterne,MATCH(G994,L_Sources,0))="Oui",1,0),""))</f>
        <v/>
      </c>
      <c r="AT994" s="37" t="str">
        <f aca="false">IF(AO994&lt;&gt;1,"",IFERROR(ROUND(IF(OR(N994="",O994=""),"",IF(O994&lt;N994,"",ROUND(((NETWORKDAYS(N994,O994,JoursFeries)-1)*(HFer-HOuv)+IF(NETWORKDAYS(O994,O994,JoursFeries),MEDIAN(MOD(O994,1),HFer,HOuv),HFer)-IF(NETWORKDAYS(N994,N994,JoursFeries),MEDIAN(MOD(N994,1),HFer,HOuv),HOuv))*24,4)))/HJour,4),""))</f>
        <v/>
      </c>
      <c r="AU994" s="37" t="str">
        <f aca="false">IF(AO994&lt;&gt;1,"",IF(OR(O994="",P994=""),"",IF(P994&lt;O994,"",ROUND(((NETWORKDAYS(O994,P994,JoursFeries)-1)*(HFer-HOuv)+IF(NETWORKDAYS(P994,P994,JoursFeries),MEDIAN(MOD(P994,1),HFer,HOuv),HFer)-IF(NETWORKDAYS(O994,O994,JoursFeries),MEDIAN(MOD(O994,1),HFer,HOuv),HOuv))*24,4))))</f>
        <v/>
      </c>
      <c r="AV994" s="37" t="str">
        <f aca="false">IF(AO994&lt;&gt;1,"",IF(OR(P994="",Q994=""),"",IF(Q994&lt;P994,"",ROUND(((NETWORKDAYS(P994,Q994,JoursFeries)-1)*(HFer-HOuv)+IF(NETWORKDAYS(Q994,Q994,JoursFeries),MEDIAN(MOD(Q994,1),HFer,HOuv),HFer)-IF(NETWORKDAYS(P994,P994,JoursFeries),MEDIAN(MOD(P994,1),HFer,HOuv),HOuv))*24,4))))</f>
        <v/>
      </c>
      <c r="AW994" s="37" t="str">
        <f aca="false">IF(AO994&lt;&gt;1,"",IFERROR(ROUND(IF(OR(P994="",R994=""),"",IF(R994&lt;P994,"",ROUND(((NETWORKDAYS(P994,R994,JoursFeries)-1)*(HFer-HOuv)+IF(NETWORKDAYS(R994,R994,JoursFeries),MEDIAN(MOD(R994,1),HFer,HOuv),HFer)-IF(NETWORKDAYS(P994,P994,JoursFeries),MEDIAN(MOD(P994,1),HFer,HOuv),HOuv))*24,4)))/HJour,4),""))</f>
        <v/>
      </c>
      <c r="AX994" s="37" t="str">
        <f aca="false">IF(AO994&lt;&gt;1,"",IFERROR(ROUND(IF(OR(P994="",S994=""),"",IF(S994&lt;P994,"",ROUND(((NETWORKDAYS(P994,S994,JoursFeries)-1)*(HFer-HOuv)+IF(NETWORKDAYS(S994,S994,JoursFeries),MEDIAN(MOD(S994,1),HFer,HOuv),HFer)-IF(NETWORKDAYS(P994,P994,JoursFeries),MEDIAN(MOD(P994,1),HFer,HOuv),HOuv))*24,4)))/HJour,4),""))</f>
        <v/>
      </c>
      <c r="AY994" s="36" t="str">
        <f aca="false">IF(OR(AO994&lt;&gt;1,AR994=""),"",INDEX(SLA_PEC,AR994))</f>
        <v/>
      </c>
      <c r="AZ994" s="35" t="str">
        <f aca="false">IF(OR(AV994="",AY994=""),"",IF(AV994&lt;=AY994,1,0))</f>
        <v/>
      </c>
      <c r="BA994" s="36" t="str">
        <f aca="false">IF(OR(AO994&lt;&gt;1,AR994=""),"",INDEX(SLA_RES,AR994))</f>
        <v/>
      </c>
      <c r="BB994" s="35" t="str">
        <f aca="false">IF(OR(AW994="",BA994=""),"",IF(AW994&lt;=BA994,1,0))</f>
        <v/>
      </c>
      <c r="BC994" s="38" t="str">
        <f aca="false">IF(OR(BA994="",P994=""),"",WORKDAY(INT(P994),BA994,JoursFeries)+MOD(P994,1))</f>
        <v/>
      </c>
      <c r="BD994" s="39" t="str">
        <f aca="false">IF(AO994&lt;&gt;1,"",IF(OR(AB994&lt;&gt;"",AD994&lt;&gt;""),4,IF(U994&lt;&gt;"",3,IF(T994&lt;&gt;"",2,1))))</f>
        <v/>
      </c>
      <c r="BE994" s="39" t="str">
        <f aca="false">IF(OR(AO994&lt;&gt;1,AR994=""),"",INDEX(NIV_REQ,AR994))</f>
        <v/>
      </c>
      <c r="BF994" s="39" t="str">
        <f aca="false">IF(BE994="","",MAX(BE994,IF(OR(K994="Oui",Z994="Oui"),4,1)))</f>
        <v/>
      </c>
      <c r="BG994" s="35" t="str">
        <f aca="false">IF(OR(BF994="",BD994=""),"",IF(BD994&gt;=BF994,1,0))</f>
        <v/>
      </c>
      <c r="BH994" s="38" t="str">
        <f aca="false">IF(BE994="","",IF(BE994&lt;2,"",IF(BE994=2,IF(AND(T994="",U994=""),"",MIN(T994,U994)),IF(U994="","",U994))))</f>
        <v/>
      </c>
      <c r="BI994" s="37" t="str">
        <f aca="false">IF(BH994="","",IF(OR(O994="",BH994=""),"",IF(BH994&lt;O994,"",ROUND(((NETWORKDAYS(O994,BH994,JoursFeries)-1)*(HFer-HOuv)+IF(NETWORKDAYS(BH994,BH994,JoursFeries),MEDIAN(MOD(BH994,1),HFer,HOuv),HFer)-IF(NETWORKDAYS(O994,O994,JoursFeries),MEDIAN(MOD(O994,1),HFer,HOuv),HOuv))*24,4))))</f>
        <v/>
      </c>
      <c r="BJ994" s="35" t="str">
        <f aca="false">IF(OR(BI994="",AR994=""),"",IF(BI994&lt;=INDEX(DELAI_ESC,AR994),1,0))</f>
        <v/>
      </c>
      <c r="BK994" s="38" t="str">
        <f aca="false">IF(AO994&lt;&gt;1,"",IF(AND(T994="",U994=""),"",MIN(T994,U994)))</f>
        <v/>
      </c>
      <c r="BL994" s="37" t="str">
        <f aca="false">IF(OR(BK994="",R994=""),"",IFERROR(ROUND(IF(OR(BK994="",R994=""),"",IF(R994&lt;BK994,"",ROUND(((NETWORKDAYS(BK994,R994,JoursFeries)-1)*(HFer-HOuv)+IF(NETWORKDAYS(R994,R994,JoursFeries),MEDIAN(MOD(R994,1),HFer,HOuv),HFer)-IF(NETWORKDAYS(BK994,BK994,JoursFeries),MEDIAN(MOD(BK994,1),HFer,HOuv),HOuv))*24,4)))/HJour,4),""))</f>
        <v/>
      </c>
      <c r="BM994" s="35" t="str">
        <f aca="false">IF(OR(AO994&lt;&gt;1,R994=""),"",IF(BD994=1,1,0))</f>
        <v/>
      </c>
      <c r="BN994" s="35" t="str">
        <f aca="false">IF(AO994&lt;&gt;1,"",IF(W994="Oui",1,0))</f>
        <v/>
      </c>
      <c r="BO994" s="35" t="str">
        <f aca="false">IF(AO994&lt;&gt;1,"",IF(X994&lt;&gt;"",1,0))</f>
        <v/>
      </c>
      <c r="BP994" s="35" t="str">
        <f aca="false">IF(AO994&lt;&gt;1,"",IF(Y994="Oui",1,0))</f>
        <v/>
      </c>
      <c r="BQ994" s="35" t="str">
        <f aca="true">IF(OR(AO994&lt;&gt;1,Z994&lt;&gt;"Oui"),"",IF(AB994="",IF(AND(AA994&lt;&gt;"",NOW()&gt;AA994),0,""),IF(AA994="","",IF(AB994&lt;=AA994,1,0))))</f>
        <v/>
      </c>
      <c r="BR994" s="38" t="str">
        <f aca="false">IF(OR(AO994&lt;&gt;1,K994&lt;&gt;"Oui",O994=""),"",IF(AC994="",O994+DORA_H_DET/24,IF(AC994-O994&lt;=DORA_H_DET/24,MIN(AC994+DORA_H_CLA/24,O994+DORA_H_DET/24),AC994+DORA_H_CLA/24)))</f>
        <v/>
      </c>
      <c r="BS994" s="35" t="str">
        <f aca="true">IF(BR994="","",IF(AD994="",IF(NOW()&gt;BR994,0,""),IF(AD994&lt;=BR994,1,0)))</f>
        <v/>
      </c>
      <c r="BT994" s="35" t="str">
        <f aca="true">IF(OR(BR994="",AD994=""),"",IF(AE994="",IF(NOW()&gt;AD994+DORA_H_INT/24,0,""),IF(AE994&lt;=AD994+DORA_H_INT/24,1,0)))</f>
        <v/>
      </c>
      <c r="BU994" s="35" t="str">
        <f aca="true">IF(OR(BR994="",AE994=""),"",IF(AF994="",IF(NOW()&gt;EDATE(AE994,DORA_M_FIN)+1,0,""),IF(AF994&lt;=EDATE(AE994,DORA_M_FIN),1,0)))</f>
        <v/>
      </c>
      <c r="BV994" s="35" t="str">
        <f aca="false">IF(BR994="","",IF(COUNT(BS994:BU994)=0,"",MIN(BS994:BU994)))</f>
        <v/>
      </c>
      <c r="BW994" s="40" t="str">
        <f aca="false">IF(AQ994&lt;&gt;1,"",IF(AND(AG994="",AH994=""),"",N(AG994)-N(AH994)))</f>
        <v/>
      </c>
      <c r="BX994" s="35" t="str">
        <f aca="true">IF(OR(AQ994&lt;&gt;1,AI994&lt;&gt;"Oui",AJ994=""),"",IF(AK994="",IF(NOW()&gt;AJ994+1,0,""),IF(AK994&lt;=AJ994,1,0)))</f>
        <v/>
      </c>
    </row>
    <row r="995" customFormat="false" ht="15" hidden="false" customHeight="false" outlineLevel="0" collapsed="false">
      <c r="B995" s="29"/>
      <c r="C995" s="29"/>
      <c r="D995" s="29"/>
      <c r="E995" s="29"/>
      <c r="F995" s="29"/>
      <c r="G995" s="29"/>
      <c r="H995" s="29"/>
      <c r="I995" s="29"/>
      <c r="J995" s="29"/>
      <c r="K995" s="29"/>
      <c r="L995" s="29"/>
      <c r="M995" s="29"/>
      <c r="N995" s="30"/>
      <c r="O995" s="30"/>
      <c r="P995" s="30"/>
      <c r="Q995" s="30"/>
      <c r="R995" s="30"/>
      <c r="S995" s="30"/>
      <c r="T995" s="30"/>
      <c r="U995" s="30"/>
      <c r="V995" s="31"/>
      <c r="W995" s="29"/>
      <c r="X995" s="29"/>
      <c r="Y995" s="29"/>
      <c r="Z995" s="29"/>
      <c r="AA995" s="30"/>
      <c r="AB995" s="30"/>
      <c r="AC995" s="30"/>
      <c r="AD995" s="30"/>
      <c r="AE995" s="30"/>
      <c r="AF995" s="32"/>
      <c r="AG995" s="33"/>
      <c r="AH995" s="33"/>
      <c r="AI995" s="29"/>
      <c r="AJ995" s="32"/>
      <c r="AK995" s="32"/>
      <c r="AL995" s="29"/>
      <c r="AN995" s="34" t="str">
        <f aca="false">IF($B995="","",IF(OR(C995="",D995="",E995="",G995="",I995="",J995="",L995="",O995="",P995=""),"Champ obligatoire manquant",IF(OR(AND(N995&lt;&gt;"",N995&gt;O995),O995&gt;P995,AND(Q995&lt;&gt;"",Q995&lt;P995),AND(R995&lt;&gt;"",R995&lt;P995),AND(S995&lt;&gt;"",S995&lt;R995),AND(S995&lt;&gt;"",R995=""),AND(T995&lt;&gt;"",T995&lt;O995),AND(U995&lt;&gt;"",U995&lt;O995)),"Chronologie incohérente",IF(AND(OR(L995="Résolu",L995="Clos"),R995=""),"Date de résolution manquante",IF(AND(L995="Clos",S995=""),"Date de clôture manquante",IF(AND(K995="Oui",AC995=""),"Classification DORA manquante","OK"))))))</f>
        <v/>
      </c>
      <c r="AO995" s="35" t="str">
        <f aca="false">IF($B995="","",IF(AND(C995="Incident",L995&lt;&gt;"Annulé"),1,0))</f>
        <v/>
      </c>
      <c r="AP995" s="35" t="str">
        <f aca="false">IF($B995="","",IF(AND(C995="Quasi-incident",L995&lt;&gt;"Annulé"),1,0))</f>
        <v/>
      </c>
      <c r="AQ995" s="35" t="str">
        <f aca="false">IF($B995="","",AO995+AP995)</f>
        <v/>
      </c>
      <c r="AR995" s="36" t="str">
        <f aca="false">IF(OR($B995="",J995=""),"",IFERROR(VALUE(LEFT(J995,1)),""))</f>
        <v/>
      </c>
      <c r="AS995" s="35" t="str">
        <f aca="false">IF(OR(AO995&lt;&gt;1,G995=""),"",IFERROR(IF(INDEX(L_SrcInterne,MATCH(G995,L_Sources,0))="Oui",1,0),""))</f>
        <v/>
      </c>
      <c r="AT995" s="37" t="str">
        <f aca="false">IF(AO995&lt;&gt;1,"",IFERROR(ROUND(IF(OR(N995="",O995=""),"",IF(O995&lt;N995,"",ROUND(((NETWORKDAYS(N995,O995,JoursFeries)-1)*(HFer-HOuv)+IF(NETWORKDAYS(O995,O995,JoursFeries),MEDIAN(MOD(O995,1),HFer,HOuv),HFer)-IF(NETWORKDAYS(N995,N995,JoursFeries),MEDIAN(MOD(N995,1),HFer,HOuv),HOuv))*24,4)))/HJour,4),""))</f>
        <v/>
      </c>
      <c r="AU995" s="37" t="str">
        <f aca="false">IF(AO995&lt;&gt;1,"",IF(OR(O995="",P995=""),"",IF(P995&lt;O995,"",ROUND(((NETWORKDAYS(O995,P995,JoursFeries)-1)*(HFer-HOuv)+IF(NETWORKDAYS(P995,P995,JoursFeries),MEDIAN(MOD(P995,1),HFer,HOuv),HFer)-IF(NETWORKDAYS(O995,O995,JoursFeries),MEDIAN(MOD(O995,1),HFer,HOuv),HOuv))*24,4))))</f>
        <v/>
      </c>
      <c r="AV995" s="37" t="str">
        <f aca="false">IF(AO995&lt;&gt;1,"",IF(OR(P995="",Q995=""),"",IF(Q995&lt;P995,"",ROUND(((NETWORKDAYS(P995,Q995,JoursFeries)-1)*(HFer-HOuv)+IF(NETWORKDAYS(Q995,Q995,JoursFeries),MEDIAN(MOD(Q995,1),HFer,HOuv),HFer)-IF(NETWORKDAYS(P995,P995,JoursFeries),MEDIAN(MOD(P995,1),HFer,HOuv),HOuv))*24,4))))</f>
        <v/>
      </c>
      <c r="AW995" s="37" t="str">
        <f aca="false">IF(AO995&lt;&gt;1,"",IFERROR(ROUND(IF(OR(P995="",R995=""),"",IF(R995&lt;P995,"",ROUND(((NETWORKDAYS(P995,R995,JoursFeries)-1)*(HFer-HOuv)+IF(NETWORKDAYS(R995,R995,JoursFeries),MEDIAN(MOD(R995,1),HFer,HOuv),HFer)-IF(NETWORKDAYS(P995,P995,JoursFeries),MEDIAN(MOD(P995,1),HFer,HOuv),HOuv))*24,4)))/HJour,4),""))</f>
        <v/>
      </c>
      <c r="AX995" s="37" t="str">
        <f aca="false">IF(AO995&lt;&gt;1,"",IFERROR(ROUND(IF(OR(P995="",S995=""),"",IF(S995&lt;P995,"",ROUND(((NETWORKDAYS(P995,S995,JoursFeries)-1)*(HFer-HOuv)+IF(NETWORKDAYS(S995,S995,JoursFeries),MEDIAN(MOD(S995,1),HFer,HOuv),HFer)-IF(NETWORKDAYS(P995,P995,JoursFeries),MEDIAN(MOD(P995,1),HFer,HOuv),HOuv))*24,4)))/HJour,4),""))</f>
        <v/>
      </c>
      <c r="AY995" s="36" t="str">
        <f aca="false">IF(OR(AO995&lt;&gt;1,AR995=""),"",INDEX(SLA_PEC,AR995))</f>
        <v/>
      </c>
      <c r="AZ995" s="35" t="str">
        <f aca="false">IF(OR(AV995="",AY995=""),"",IF(AV995&lt;=AY995,1,0))</f>
        <v/>
      </c>
      <c r="BA995" s="36" t="str">
        <f aca="false">IF(OR(AO995&lt;&gt;1,AR995=""),"",INDEX(SLA_RES,AR995))</f>
        <v/>
      </c>
      <c r="BB995" s="35" t="str">
        <f aca="false">IF(OR(AW995="",BA995=""),"",IF(AW995&lt;=BA995,1,0))</f>
        <v/>
      </c>
      <c r="BC995" s="38" t="str">
        <f aca="false">IF(OR(BA995="",P995=""),"",WORKDAY(INT(P995),BA995,JoursFeries)+MOD(P995,1))</f>
        <v/>
      </c>
      <c r="BD995" s="39" t="str">
        <f aca="false">IF(AO995&lt;&gt;1,"",IF(OR(AB995&lt;&gt;"",AD995&lt;&gt;""),4,IF(U995&lt;&gt;"",3,IF(T995&lt;&gt;"",2,1))))</f>
        <v/>
      </c>
      <c r="BE995" s="39" t="str">
        <f aca="false">IF(OR(AO995&lt;&gt;1,AR995=""),"",INDEX(NIV_REQ,AR995))</f>
        <v/>
      </c>
      <c r="BF995" s="39" t="str">
        <f aca="false">IF(BE995="","",MAX(BE995,IF(OR(K995="Oui",Z995="Oui"),4,1)))</f>
        <v/>
      </c>
      <c r="BG995" s="35" t="str">
        <f aca="false">IF(OR(BF995="",BD995=""),"",IF(BD995&gt;=BF995,1,0))</f>
        <v/>
      </c>
      <c r="BH995" s="38" t="str">
        <f aca="false">IF(BE995="","",IF(BE995&lt;2,"",IF(BE995=2,IF(AND(T995="",U995=""),"",MIN(T995,U995)),IF(U995="","",U995))))</f>
        <v/>
      </c>
      <c r="BI995" s="37" t="str">
        <f aca="false">IF(BH995="","",IF(OR(O995="",BH995=""),"",IF(BH995&lt;O995,"",ROUND(((NETWORKDAYS(O995,BH995,JoursFeries)-1)*(HFer-HOuv)+IF(NETWORKDAYS(BH995,BH995,JoursFeries),MEDIAN(MOD(BH995,1),HFer,HOuv),HFer)-IF(NETWORKDAYS(O995,O995,JoursFeries),MEDIAN(MOD(O995,1),HFer,HOuv),HOuv))*24,4))))</f>
        <v/>
      </c>
      <c r="BJ995" s="35" t="str">
        <f aca="false">IF(OR(BI995="",AR995=""),"",IF(BI995&lt;=INDEX(DELAI_ESC,AR995),1,0))</f>
        <v/>
      </c>
      <c r="BK995" s="38" t="str">
        <f aca="false">IF(AO995&lt;&gt;1,"",IF(AND(T995="",U995=""),"",MIN(T995,U995)))</f>
        <v/>
      </c>
      <c r="BL995" s="37" t="str">
        <f aca="false">IF(OR(BK995="",R995=""),"",IFERROR(ROUND(IF(OR(BK995="",R995=""),"",IF(R995&lt;BK995,"",ROUND(((NETWORKDAYS(BK995,R995,JoursFeries)-1)*(HFer-HOuv)+IF(NETWORKDAYS(R995,R995,JoursFeries),MEDIAN(MOD(R995,1),HFer,HOuv),HFer)-IF(NETWORKDAYS(BK995,BK995,JoursFeries),MEDIAN(MOD(BK995,1),HFer,HOuv),HOuv))*24,4)))/HJour,4),""))</f>
        <v/>
      </c>
      <c r="BM995" s="35" t="str">
        <f aca="false">IF(OR(AO995&lt;&gt;1,R995=""),"",IF(BD995=1,1,0))</f>
        <v/>
      </c>
      <c r="BN995" s="35" t="str">
        <f aca="false">IF(AO995&lt;&gt;1,"",IF(W995="Oui",1,0))</f>
        <v/>
      </c>
      <c r="BO995" s="35" t="str">
        <f aca="false">IF(AO995&lt;&gt;1,"",IF(X995&lt;&gt;"",1,0))</f>
        <v/>
      </c>
      <c r="BP995" s="35" t="str">
        <f aca="false">IF(AO995&lt;&gt;1,"",IF(Y995="Oui",1,0))</f>
        <v/>
      </c>
      <c r="BQ995" s="35" t="str">
        <f aca="true">IF(OR(AO995&lt;&gt;1,Z995&lt;&gt;"Oui"),"",IF(AB995="",IF(AND(AA995&lt;&gt;"",NOW()&gt;AA995),0,""),IF(AA995="","",IF(AB995&lt;=AA995,1,0))))</f>
        <v/>
      </c>
      <c r="BR995" s="38" t="str">
        <f aca="false">IF(OR(AO995&lt;&gt;1,K995&lt;&gt;"Oui",O995=""),"",IF(AC995="",O995+DORA_H_DET/24,IF(AC995-O995&lt;=DORA_H_DET/24,MIN(AC995+DORA_H_CLA/24,O995+DORA_H_DET/24),AC995+DORA_H_CLA/24)))</f>
        <v/>
      </c>
      <c r="BS995" s="35" t="str">
        <f aca="true">IF(BR995="","",IF(AD995="",IF(NOW()&gt;BR995,0,""),IF(AD995&lt;=BR995,1,0)))</f>
        <v/>
      </c>
      <c r="BT995" s="35" t="str">
        <f aca="true">IF(OR(BR995="",AD995=""),"",IF(AE995="",IF(NOW()&gt;AD995+DORA_H_INT/24,0,""),IF(AE995&lt;=AD995+DORA_H_INT/24,1,0)))</f>
        <v/>
      </c>
      <c r="BU995" s="35" t="str">
        <f aca="true">IF(OR(BR995="",AE995=""),"",IF(AF995="",IF(NOW()&gt;EDATE(AE995,DORA_M_FIN)+1,0,""),IF(AF995&lt;=EDATE(AE995,DORA_M_FIN),1,0)))</f>
        <v/>
      </c>
      <c r="BV995" s="35" t="str">
        <f aca="false">IF(BR995="","",IF(COUNT(BS995:BU995)=0,"",MIN(BS995:BU995)))</f>
        <v/>
      </c>
      <c r="BW995" s="40" t="str">
        <f aca="false">IF(AQ995&lt;&gt;1,"",IF(AND(AG995="",AH995=""),"",N(AG995)-N(AH995)))</f>
        <v/>
      </c>
      <c r="BX995" s="35" t="str">
        <f aca="true">IF(OR(AQ995&lt;&gt;1,AI995&lt;&gt;"Oui",AJ995=""),"",IF(AK995="",IF(NOW()&gt;AJ995+1,0,""),IF(AK995&lt;=AJ995,1,0)))</f>
        <v/>
      </c>
    </row>
    <row r="996" customFormat="false" ht="15" hidden="false" customHeight="false" outlineLevel="0" collapsed="false">
      <c r="B996" s="29"/>
      <c r="C996" s="29"/>
      <c r="D996" s="29"/>
      <c r="E996" s="29"/>
      <c r="F996" s="29"/>
      <c r="G996" s="29"/>
      <c r="H996" s="29"/>
      <c r="I996" s="29"/>
      <c r="J996" s="29"/>
      <c r="K996" s="29"/>
      <c r="L996" s="29"/>
      <c r="M996" s="29"/>
      <c r="N996" s="30"/>
      <c r="O996" s="30"/>
      <c r="P996" s="30"/>
      <c r="Q996" s="30"/>
      <c r="R996" s="30"/>
      <c r="S996" s="30"/>
      <c r="T996" s="30"/>
      <c r="U996" s="30"/>
      <c r="V996" s="31"/>
      <c r="W996" s="29"/>
      <c r="X996" s="29"/>
      <c r="Y996" s="29"/>
      <c r="Z996" s="29"/>
      <c r="AA996" s="30"/>
      <c r="AB996" s="30"/>
      <c r="AC996" s="30"/>
      <c r="AD996" s="30"/>
      <c r="AE996" s="30"/>
      <c r="AF996" s="32"/>
      <c r="AG996" s="33"/>
      <c r="AH996" s="33"/>
      <c r="AI996" s="29"/>
      <c r="AJ996" s="32"/>
      <c r="AK996" s="32"/>
      <c r="AL996" s="29"/>
      <c r="AN996" s="34" t="str">
        <f aca="false">IF($B996="","",IF(OR(C996="",D996="",E996="",G996="",I996="",J996="",L996="",O996="",P996=""),"Champ obligatoire manquant",IF(OR(AND(N996&lt;&gt;"",N996&gt;O996),O996&gt;P996,AND(Q996&lt;&gt;"",Q996&lt;P996),AND(R996&lt;&gt;"",R996&lt;P996),AND(S996&lt;&gt;"",S996&lt;R996),AND(S996&lt;&gt;"",R996=""),AND(T996&lt;&gt;"",T996&lt;O996),AND(U996&lt;&gt;"",U996&lt;O996)),"Chronologie incohérente",IF(AND(OR(L996="Résolu",L996="Clos"),R996=""),"Date de résolution manquante",IF(AND(L996="Clos",S996=""),"Date de clôture manquante",IF(AND(K996="Oui",AC996=""),"Classification DORA manquante","OK"))))))</f>
        <v/>
      </c>
      <c r="AO996" s="35" t="str">
        <f aca="false">IF($B996="","",IF(AND(C996="Incident",L996&lt;&gt;"Annulé"),1,0))</f>
        <v/>
      </c>
      <c r="AP996" s="35" t="str">
        <f aca="false">IF($B996="","",IF(AND(C996="Quasi-incident",L996&lt;&gt;"Annulé"),1,0))</f>
        <v/>
      </c>
      <c r="AQ996" s="35" t="str">
        <f aca="false">IF($B996="","",AO996+AP996)</f>
        <v/>
      </c>
      <c r="AR996" s="36" t="str">
        <f aca="false">IF(OR($B996="",J996=""),"",IFERROR(VALUE(LEFT(J996,1)),""))</f>
        <v/>
      </c>
      <c r="AS996" s="35" t="str">
        <f aca="false">IF(OR(AO996&lt;&gt;1,G996=""),"",IFERROR(IF(INDEX(L_SrcInterne,MATCH(G996,L_Sources,0))="Oui",1,0),""))</f>
        <v/>
      </c>
      <c r="AT996" s="37" t="str">
        <f aca="false">IF(AO996&lt;&gt;1,"",IFERROR(ROUND(IF(OR(N996="",O996=""),"",IF(O996&lt;N996,"",ROUND(((NETWORKDAYS(N996,O996,JoursFeries)-1)*(HFer-HOuv)+IF(NETWORKDAYS(O996,O996,JoursFeries),MEDIAN(MOD(O996,1),HFer,HOuv),HFer)-IF(NETWORKDAYS(N996,N996,JoursFeries),MEDIAN(MOD(N996,1),HFer,HOuv),HOuv))*24,4)))/HJour,4),""))</f>
        <v/>
      </c>
      <c r="AU996" s="37" t="str">
        <f aca="false">IF(AO996&lt;&gt;1,"",IF(OR(O996="",P996=""),"",IF(P996&lt;O996,"",ROUND(((NETWORKDAYS(O996,P996,JoursFeries)-1)*(HFer-HOuv)+IF(NETWORKDAYS(P996,P996,JoursFeries),MEDIAN(MOD(P996,1),HFer,HOuv),HFer)-IF(NETWORKDAYS(O996,O996,JoursFeries),MEDIAN(MOD(O996,1),HFer,HOuv),HOuv))*24,4))))</f>
        <v/>
      </c>
      <c r="AV996" s="37" t="str">
        <f aca="false">IF(AO996&lt;&gt;1,"",IF(OR(P996="",Q996=""),"",IF(Q996&lt;P996,"",ROUND(((NETWORKDAYS(P996,Q996,JoursFeries)-1)*(HFer-HOuv)+IF(NETWORKDAYS(Q996,Q996,JoursFeries),MEDIAN(MOD(Q996,1),HFer,HOuv),HFer)-IF(NETWORKDAYS(P996,P996,JoursFeries),MEDIAN(MOD(P996,1),HFer,HOuv),HOuv))*24,4))))</f>
        <v/>
      </c>
      <c r="AW996" s="37" t="str">
        <f aca="false">IF(AO996&lt;&gt;1,"",IFERROR(ROUND(IF(OR(P996="",R996=""),"",IF(R996&lt;P996,"",ROUND(((NETWORKDAYS(P996,R996,JoursFeries)-1)*(HFer-HOuv)+IF(NETWORKDAYS(R996,R996,JoursFeries),MEDIAN(MOD(R996,1),HFer,HOuv),HFer)-IF(NETWORKDAYS(P996,P996,JoursFeries),MEDIAN(MOD(P996,1),HFer,HOuv),HOuv))*24,4)))/HJour,4),""))</f>
        <v/>
      </c>
      <c r="AX996" s="37" t="str">
        <f aca="false">IF(AO996&lt;&gt;1,"",IFERROR(ROUND(IF(OR(P996="",S996=""),"",IF(S996&lt;P996,"",ROUND(((NETWORKDAYS(P996,S996,JoursFeries)-1)*(HFer-HOuv)+IF(NETWORKDAYS(S996,S996,JoursFeries),MEDIAN(MOD(S996,1),HFer,HOuv),HFer)-IF(NETWORKDAYS(P996,P996,JoursFeries),MEDIAN(MOD(P996,1),HFer,HOuv),HOuv))*24,4)))/HJour,4),""))</f>
        <v/>
      </c>
      <c r="AY996" s="36" t="str">
        <f aca="false">IF(OR(AO996&lt;&gt;1,AR996=""),"",INDEX(SLA_PEC,AR996))</f>
        <v/>
      </c>
      <c r="AZ996" s="35" t="str">
        <f aca="false">IF(OR(AV996="",AY996=""),"",IF(AV996&lt;=AY996,1,0))</f>
        <v/>
      </c>
      <c r="BA996" s="36" t="str">
        <f aca="false">IF(OR(AO996&lt;&gt;1,AR996=""),"",INDEX(SLA_RES,AR996))</f>
        <v/>
      </c>
      <c r="BB996" s="35" t="str">
        <f aca="false">IF(OR(AW996="",BA996=""),"",IF(AW996&lt;=BA996,1,0))</f>
        <v/>
      </c>
      <c r="BC996" s="38" t="str">
        <f aca="false">IF(OR(BA996="",P996=""),"",WORKDAY(INT(P996),BA996,JoursFeries)+MOD(P996,1))</f>
        <v/>
      </c>
      <c r="BD996" s="39" t="str">
        <f aca="false">IF(AO996&lt;&gt;1,"",IF(OR(AB996&lt;&gt;"",AD996&lt;&gt;""),4,IF(U996&lt;&gt;"",3,IF(T996&lt;&gt;"",2,1))))</f>
        <v/>
      </c>
      <c r="BE996" s="39" t="str">
        <f aca="false">IF(OR(AO996&lt;&gt;1,AR996=""),"",INDEX(NIV_REQ,AR996))</f>
        <v/>
      </c>
      <c r="BF996" s="39" t="str">
        <f aca="false">IF(BE996="","",MAX(BE996,IF(OR(K996="Oui",Z996="Oui"),4,1)))</f>
        <v/>
      </c>
      <c r="BG996" s="35" t="str">
        <f aca="false">IF(OR(BF996="",BD996=""),"",IF(BD996&gt;=BF996,1,0))</f>
        <v/>
      </c>
      <c r="BH996" s="38" t="str">
        <f aca="false">IF(BE996="","",IF(BE996&lt;2,"",IF(BE996=2,IF(AND(T996="",U996=""),"",MIN(T996,U996)),IF(U996="","",U996))))</f>
        <v/>
      </c>
      <c r="BI996" s="37" t="str">
        <f aca="false">IF(BH996="","",IF(OR(O996="",BH996=""),"",IF(BH996&lt;O996,"",ROUND(((NETWORKDAYS(O996,BH996,JoursFeries)-1)*(HFer-HOuv)+IF(NETWORKDAYS(BH996,BH996,JoursFeries),MEDIAN(MOD(BH996,1),HFer,HOuv),HFer)-IF(NETWORKDAYS(O996,O996,JoursFeries),MEDIAN(MOD(O996,1),HFer,HOuv),HOuv))*24,4))))</f>
        <v/>
      </c>
      <c r="BJ996" s="35" t="str">
        <f aca="false">IF(OR(BI996="",AR996=""),"",IF(BI996&lt;=INDEX(DELAI_ESC,AR996),1,0))</f>
        <v/>
      </c>
      <c r="BK996" s="38" t="str">
        <f aca="false">IF(AO996&lt;&gt;1,"",IF(AND(T996="",U996=""),"",MIN(T996,U996)))</f>
        <v/>
      </c>
      <c r="BL996" s="37" t="str">
        <f aca="false">IF(OR(BK996="",R996=""),"",IFERROR(ROUND(IF(OR(BK996="",R996=""),"",IF(R996&lt;BK996,"",ROUND(((NETWORKDAYS(BK996,R996,JoursFeries)-1)*(HFer-HOuv)+IF(NETWORKDAYS(R996,R996,JoursFeries),MEDIAN(MOD(R996,1),HFer,HOuv),HFer)-IF(NETWORKDAYS(BK996,BK996,JoursFeries),MEDIAN(MOD(BK996,1),HFer,HOuv),HOuv))*24,4)))/HJour,4),""))</f>
        <v/>
      </c>
      <c r="BM996" s="35" t="str">
        <f aca="false">IF(OR(AO996&lt;&gt;1,R996=""),"",IF(BD996=1,1,0))</f>
        <v/>
      </c>
      <c r="BN996" s="35" t="str">
        <f aca="false">IF(AO996&lt;&gt;1,"",IF(W996="Oui",1,0))</f>
        <v/>
      </c>
      <c r="BO996" s="35" t="str">
        <f aca="false">IF(AO996&lt;&gt;1,"",IF(X996&lt;&gt;"",1,0))</f>
        <v/>
      </c>
      <c r="BP996" s="35" t="str">
        <f aca="false">IF(AO996&lt;&gt;1,"",IF(Y996="Oui",1,0))</f>
        <v/>
      </c>
      <c r="BQ996" s="35" t="str">
        <f aca="true">IF(OR(AO996&lt;&gt;1,Z996&lt;&gt;"Oui"),"",IF(AB996="",IF(AND(AA996&lt;&gt;"",NOW()&gt;AA996),0,""),IF(AA996="","",IF(AB996&lt;=AA996,1,0))))</f>
        <v/>
      </c>
      <c r="BR996" s="38" t="str">
        <f aca="false">IF(OR(AO996&lt;&gt;1,K996&lt;&gt;"Oui",O996=""),"",IF(AC996="",O996+DORA_H_DET/24,IF(AC996-O996&lt;=DORA_H_DET/24,MIN(AC996+DORA_H_CLA/24,O996+DORA_H_DET/24),AC996+DORA_H_CLA/24)))</f>
        <v/>
      </c>
      <c r="BS996" s="35" t="str">
        <f aca="true">IF(BR996="","",IF(AD996="",IF(NOW()&gt;BR996,0,""),IF(AD996&lt;=BR996,1,0)))</f>
        <v/>
      </c>
      <c r="BT996" s="35" t="str">
        <f aca="true">IF(OR(BR996="",AD996=""),"",IF(AE996="",IF(NOW()&gt;AD996+DORA_H_INT/24,0,""),IF(AE996&lt;=AD996+DORA_H_INT/24,1,0)))</f>
        <v/>
      </c>
      <c r="BU996" s="35" t="str">
        <f aca="true">IF(OR(BR996="",AE996=""),"",IF(AF996="",IF(NOW()&gt;EDATE(AE996,DORA_M_FIN)+1,0,""),IF(AF996&lt;=EDATE(AE996,DORA_M_FIN),1,0)))</f>
        <v/>
      </c>
      <c r="BV996" s="35" t="str">
        <f aca="false">IF(BR996="","",IF(COUNT(BS996:BU996)=0,"",MIN(BS996:BU996)))</f>
        <v/>
      </c>
      <c r="BW996" s="40" t="str">
        <f aca="false">IF(AQ996&lt;&gt;1,"",IF(AND(AG996="",AH996=""),"",N(AG996)-N(AH996)))</f>
        <v/>
      </c>
      <c r="BX996" s="35" t="str">
        <f aca="true">IF(OR(AQ996&lt;&gt;1,AI996&lt;&gt;"Oui",AJ996=""),"",IF(AK996="",IF(NOW()&gt;AJ996+1,0,""),IF(AK996&lt;=AJ996,1,0)))</f>
        <v/>
      </c>
    </row>
    <row r="997" customFormat="false" ht="15" hidden="false" customHeight="false" outlineLevel="0" collapsed="false">
      <c r="B997" s="29"/>
      <c r="C997" s="29"/>
      <c r="D997" s="29"/>
      <c r="E997" s="29"/>
      <c r="F997" s="29"/>
      <c r="G997" s="29"/>
      <c r="H997" s="29"/>
      <c r="I997" s="29"/>
      <c r="J997" s="29"/>
      <c r="K997" s="29"/>
      <c r="L997" s="29"/>
      <c r="M997" s="29"/>
      <c r="N997" s="30"/>
      <c r="O997" s="30"/>
      <c r="P997" s="30"/>
      <c r="Q997" s="30"/>
      <c r="R997" s="30"/>
      <c r="S997" s="30"/>
      <c r="T997" s="30"/>
      <c r="U997" s="30"/>
      <c r="V997" s="31"/>
      <c r="W997" s="29"/>
      <c r="X997" s="29"/>
      <c r="Y997" s="29"/>
      <c r="Z997" s="29"/>
      <c r="AA997" s="30"/>
      <c r="AB997" s="30"/>
      <c r="AC997" s="30"/>
      <c r="AD997" s="30"/>
      <c r="AE997" s="30"/>
      <c r="AF997" s="32"/>
      <c r="AG997" s="33"/>
      <c r="AH997" s="33"/>
      <c r="AI997" s="29"/>
      <c r="AJ997" s="32"/>
      <c r="AK997" s="32"/>
      <c r="AL997" s="29"/>
      <c r="AN997" s="34" t="str">
        <f aca="false">IF($B997="","",IF(OR(C997="",D997="",E997="",G997="",I997="",J997="",L997="",O997="",P997=""),"Champ obligatoire manquant",IF(OR(AND(N997&lt;&gt;"",N997&gt;O997),O997&gt;P997,AND(Q997&lt;&gt;"",Q997&lt;P997),AND(R997&lt;&gt;"",R997&lt;P997),AND(S997&lt;&gt;"",S997&lt;R997),AND(S997&lt;&gt;"",R997=""),AND(T997&lt;&gt;"",T997&lt;O997),AND(U997&lt;&gt;"",U997&lt;O997)),"Chronologie incohérente",IF(AND(OR(L997="Résolu",L997="Clos"),R997=""),"Date de résolution manquante",IF(AND(L997="Clos",S997=""),"Date de clôture manquante",IF(AND(K997="Oui",AC997=""),"Classification DORA manquante","OK"))))))</f>
        <v/>
      </c>
      <c r="AO997" s="35" t="str">
        <f aca="false">IF($B997="","",IF(AND(C997="Incident",L997&lt;&gt;"Annulé"),1,0))</f>
        <v/>
      </c>
      <c r="AP997" s="35" t="str">
        <f aca="false">IF($B997="","",IF(AND(C997="Quasi-incident",L997&lt;&gt;"Annulé"),1,0))</f>
        <v/>
      </c>
      <c r="AQ997" s="35" t="str">
        <f aca="false">IF($B997="","",AO997+AP997)</f>
        <v/>
      </c>
      <c r="AR997" s="36" t="str">
        <f aca="false">IF(OR($B997="",J997=""),"",IFERROR(VALUE(LEFT(J997,1)),""))</f>
        <v/>
      </c>
      <c r="AS997" s="35" t="str">
        <f aca="false">IF(OR(AO997&lt;&gt;1,G997=""),"",IFERROR(IF(INDEX(L_SrcInterne,MATCH(G997,L_Sources,0))="Oui",1,0),""))</f>
        <v/>
      </c>
      <c r="AT997" s="37" t="str">
        <f aca="false">IF(AO997&lt;&gt;1,"",IFERROR(ROUND(IF(OR(N997="",O997=""),"",IF(O997&lt;N997,"",ROUND(((NETWORKDAYS(N997,O997,JoursFeries)-1)*(HFer-HOuv)+IF(NETWORKDAYS(O997,O997,JoursFeries),MEDIAN(MOD(O997,1),HFer,HOuv),HFer)-IF(NETWORKDAYS(N997,N997,JoursFeries),MEDIAN(MOD(N997,1),HFer,HOuv),HOuv))*24,4)))/HJour,4),""))</f>
        <v/>
      </c>
      <c r="AU997" s="37" t="str">
        <f aca="false">IF(AO997&lt;&gt;1,"",IF(OR(O997="",P997=""),"",IF(P997&lt;O997,"",ROUND(((NETWORKDAYS(O997,P997,JoursFeries)-1)*(HFer-HOuv)+IF(NETWORKDAYS(P997,P997,JoursFeries),MEDIAN(MOD(P997,1),HFer,HOuv),HFer)-IF(NETWORKDAYS(O997,O997,JoursFeries),MEDIAN(MOD(O997,1),HFer,HOuv),HOuv))*24,4))))</f>
        <v/>
      </c>
      <c r="AV997" s="37" t="str">
        <f aca="false">IF(AO997&lt;&gt;1,"",IF(OR(P997="",Q997=""),"",IF(Q997&lt;P997,"",ROUND(((NETWORKDAYS(P997,Q997,JoursFeries)-1)*(HFer-HOuv)+IF(NETWORKDAYS(Q997,Q997,JoursFeries),MEDIAN(MOD(Q997,1),HFer,HOuv),HFer)-IF(NETWORKDAYS(P997,P997,JoursFeries),MEDIAN(MOD(P997,1),HFer,HOuv),HOuv))*24,4))))</f>
        <v/>
      </c>
      <c r="AW997" s="37" t="str">
        <f aca="false">IF(AO997&lt;&gt;1,"",IFERROR(ROUND(IF(OR(P997="",R997=""),"",IF(R997&lt;P997,"",ROUND(((NETWORKDAYS(P997,R997,JoursFeries)-1)*(HFer-HOuv)+IF(NETWORKDAYS(R997,R997,JoursFeries),MEDIAN(MOD(R997,1),HFer,HOuv),HFer)-IF(NETWORKDAYS(P997,P997,JoursFeries),MEDIAN(MOD(P997,1),HFer,HOuv),HOuv))*24,4)))/HJour,4),""))</f>
        <v/>
      </c>
      <c r="AX997" s="37" t="str">
        <f aca="false">IF(AO997&lt;&gt;1,"",IFERROR(ROUND(IF(OR(P997="",S997=""),"",IF(S997&lt;P997,"",ROUND(((NETWORKDAYS(P997,S997,JoursFeries)-1)*(HFer-HOuv)+IF(NETWORKDAYS(S997,S997,JoursFeries),MEDIAN(MOD(S997,1),HFer,HOuv),HFer)-IF(NETWORKDAYS(P997,P997,JoursFeries),MEDIAN(MOD(P997,1),HFer,HOuv),HOuv))*24,4)))/HJour,4),""))</f>
        <v/>
      </c>
      <c r="AY997" s="36" t="str">
        <f aca="false">IF(OR(AO997&lt;&gt;1,AR997=""),"",INDEX(SLA_PEC,AR997))</f>
        <v/>
      </c>
      <c r="AZ997" s="35" t="str">
        <f aca="false">IF(OR(AV997="",AY997=""),"",IF(AV997&lt;=AY997,1,0))</f>
        <v/>
      </c>
      <c r="BA997" s="36" t="str">
        <f aca="false">IF(OR(AO997&lt;&gt;1,AR997=""),"",INDEX(SLA_RES,AR997))</f>
        <v/>
      </c>
      <c r="BB997" s="35" t="str">
        <f aca="false">IF(OR(AW997="",BA997=""),"",IF(AW997&lt;=BA997,1,0))</f>
        <v/>
      </c>
      <c r="BC997" s="38" t="str">
        <f aca="false">IF(OR(BA997="",P997=""),"",WORKDAY(INT(P997),BA997,JoursFeries)+MOD(P997,1))</f>
        <v/>
      </c>
      <c r="BD997" s="39" t="str">
        <f aca="false">IF(AO997&lt;&gt;1,"",IF(OR(AB997&lt;&gt;"",AD997&lt;&gt;""),4,IF(U997&lt;&gt;"",3,IF(T997&lt;&gt;"",2,1))))</f>
        <v/>
      </c>
      <c r="BE997" s="39" t="str">
        <f aca="false">IF(OR(AO997&lt;&gt;1,AR997=""),"",INDEX(NIV_REQ,AR997))</f>
        <v/>
      </c>
      <c r="BF997" s="39" t="str">
        <f aca="false">IF(BE997="","",MAX(BE997,IF(OR(K997="Oui",Z997="Oui"),4,1)))</f>
        <v/>
      </c>
      <c r="BG997" s="35" t="str">
        <f aca="false">IF(OR(BF997="",BD997=""),"",IF(BD997&gt;=BF997,1,0))</f>
        <v/>
      </c>
      <c r="BH997" s="38" t="str">
        <f aca="false">IF(BE997="","",IF(BE997&lt;2,"",IF(BE997=2,IF(AND(T997="",U997=""),"",MIN(T997,U997)),IF(U997="","",U997))))</f>
        <v/>
      </c>
      <c r="BI997" s="37" t="str">
        <f aca="false">IF(BH997="","",IF(OR(O997="",BH997=""),"",IF(BH997&lt;O997,"",ROUND(((NETWORKDAYS(O997,BH997,JoursFeries)-1)*(HFer-HOuv)+IF(NETWORKDAYS(BH997,BH997,JoursFeries),MEDIAN(MOD(BH997,1),HFer,HOuv),HFer)-IF(NETWORKDAYS(O997,O997,JoursFeries),MEDIAN(MOD(O997,1),HFer,HOuv),HOuv))*24,4))))</f>
        <v/>
      </c>
      <c r="BJ997" s="35" t="str">
        <f aca="false">IF(OR(BI997="",AR997=""),"",IF(BI997&lt;=INDEX(DELAI_ESC,AR997),1,0))</f>
        <v/>
      </c>
      <c r="BK997" s="38" t="str">
        <f aca="false">IF(AO997&lt;&gt;1,"",IF(AND(T997="",U997=""),"",MIN(T997,U997)))</f>
        <v/>
      </c>
      <c r="BL997" s="37" t="str">
        <f aca="false">IF(OR(BK997="",R997=""),"",IFERROR(ROUND(IF(OR(BK997="",R997=""),"",IF(R997&lt;BK997,"",ROUND(((NETWORKDAYS(BK997,R997,JoursFeries)-1)*(HFer-HOuv)+IF(NETWORKDAYS(R997,R997,JoursFeries),MEDIAN(MOD(R997,1),HFer,HOuv),HFer)-IF(NETWORKDAYS(BK997,BK997,JoursFeries),MEDIAN(MOD(BK997,1),HFer,HOuv),HOuv))*24,4)))/HJour,4),""))</f>
        <v/>
      </c>
      <c r="BM997" s="35" t="str">
        <f aca="false">IF(OR(AO997&lt;&gt;1,R997=""),"",IF(BD997=1,1,0))</f>
        <v/>
      </c>
      <c r="BN997" s="35" t="str">
        <f aca="false">IF(AO997&lt;&gt;1,"",IF(W997="Oui",1,0))</f>
        <v/>
      </c>
      <c r="BO997" s="35" t="str">
        <f aca="false">IF(AO997&lt;&gt;1,"",IF(X997&lt;&gt;"",1,0))</f>
        <v/>
      </c>
      <c r="BP997" s="35" t="str">
        <f aca="false">IF(AO997&lt;&gt;1,"",IF(Y997="Oui",1,0))</f>
        <v/>
      </c>
      <c r="BQ997" s="35" t="str">
        <f aca="true">IF(OR(AO997&lt;&gt;1,Z997&lt;&gt;"Oui"),"",IF(AB997="",IF(AND(AA997&lt;&gt;"",NOW()&gt;AA997),0,""),IF(AA997="","",IF(AB997&lt;=AA997,1,0))))</f>
        <v/>
      </c>
      <c r="BR997" s="38" t="str">
        <f aca="false">IF(OR(AO997&lt;&gt;1,K997&lt;&gt;"Oui",O997=""),"",IF(AC997="",O997+DORA_H_DET/24,IF(AC997-O997&lt;=DORA_H_DET/24,MIN(AC997+DORA_H_CLA/24,O997+DORA_H_DET/24),AC997+DORA_H_CLA/24)))</f>
        <v/>
      </c>
      <c r="BS997" s="35" t="str">
        <f aca="true">IF(BR997="","",IF(AD997="",IF(NOW()&gt;BR997,0,""),IF(AD997&lt;=BR997,1,0)))</f>
        <v/>
      </c>
      <c r="BT997" s="35" t="str">
        <f aca="true">IF(OR(BR997="",AD997=""),"",IF(AE997="",IF(NOW()&gt;AD997+DORA_H_INT/24,0,""),IF(AE997&lt;=AD997+DORA_H_INT/24,1,0)))</f>
        <v/>
      </c>
      <c r="BU997" s="35" t="str">
        <f aca="true">IF(OR(BR997="",AE997=""),"",IF(AF997="",IF(NOW()&gt;EDATE(AE997,DORA_M_FIN)+1,0,""),IF(AF997&lt;=EDATE(AE997,DORA_M_FIN),1,0)))</f>
        <v/>
      </c>
      <c r="BV997" s="35" t="str">
        <f aca="false">IF(BR997="","",IF(COUNT(BS997:BU997)=0,"",MIN(BS997:BU997)))</f>
        <v/>
      </c>
      <c r="BW997" s="40" t="str">
        <f aca="false">IF(AQ997&lt;&gt;1,"",IF(AND(AG997="",AH997=""),"",N(AG997)-N(AH997)))</f>
        <v/>
      </c>
      <c r="BX997" s="35" t="str">
        <f aca="true">IF(OR(AQ997&lt;&gt;1,AI997&lt;&gt;"Oui",AJ997=""),"",IF(AK997="",IF(NOW()&gt;AJ997+1,0,""),IF(AK997&lt;=AJ997,1,0)))</f>
        <v/>
      </c>
    </row>
    <row r="998" customFormat="false" ht="15" hidden="false" customHeight="false" outlineLevel="0" collapsed="false">
      <c r="B998" s="29"/>
      <c r="C998" s="29"/>
      <c r="D998" s="29"/>
      <c r="E998" s="29"/>
      <c r="F998" s="29"/>
      <c r="G998" s="29"/>
      <c r="H998" s="29"/>
      <c r="I998" s="29"/>
      <c r="J998" s="29"/>
      <c r="K998" s="29"/>
      <c r="L998" s="29"/>
      <c r="M998" s="29"/>
      <c r="N998" s="30"/>
      <c r="O998" s="30"/>
      <c r="P998" s="30"/>
      <c r="Q998" s="30"/>
      <c r="R998" s="30"/>
      <c r="S998" s="30"/>
      <c r="T998" s="30"/>
      <c r="U998" s="30"/>
      <c r="V998" s="31"/>
      <c r="W998" s="29"/>
      <c r="X998" s="29"/>
      <c r="Y998" s="29"/>
      <c r="Z998" s="29"/>
      <c r="AA998" s="30"/>
      <c r="AB998" s="30"/>
      <c r="AC998" s="30"/>
      <c r="AD998" s="30"/>
      <c r="AE998" s="30"/>
      <c r="AF998" s="32"/>
      <c r="AG998" s="33"/>
      <c r="AH998" s="33"/>
      <c r="AI998" s="29"/>
      <c r="AJ998" s="32"/>
      <c r="AK998" s="32"/>
      <c r="AL998" s="29"/>
      <c r="AN998" s="34" t="str">
        <f aca="false">IF($B998="","",IF(OR(C998="",D998="",E998="",G998="",I998="",J998="",L998="",O998="",P998=""),"Champ obligatoire manquant",IF(OR(AND(N998&lt;&gt;"",N998&gt;O998),O998&gt;P998,AND(Q998&lt;&gt;"",Q998&lt;P998),AND(R998&lt;&gt;"",R998&lt;P998),AND(S998&lt;&gt;"",S998&lt;R998),AND(S998&lt;&gt;"",R998=""),AND(T998&lt;&gt;"",T998&lt;O998),AND(U998&lt;&gt;"",U998&lt;O998)),"Chronologie incohérente",IF(AND(OR(L998="Résolu",L998="Clos"),R998=""),"Date de résolution manquante",IF(AND(L998="Clos",S998=""),"Date de clôture manquante",IF(AND(K998="Oui",AC998=""),"Classification DORA manquante","OK"))))))</f>
        <v/>
      </c>
      <c r="AO998" s="35" t="str">
        <f aca="false">IF($B998="","",IF(AND(C998="Incident",L998&lt;&gt;"Annulé"),1,0))</f>
        <v/>
      </c>
      <c r="AP998" s="35" t="str">
        <f aca="false">IF($B998="","",IF(AND(C998="Quasi-incident",L998&lt;&gt;"Annulé"),1,0))</f>
        <v/>
      </c>
      <c r="AQ998" s="35" t="str">
        <f aca="false">IF($B998="","",AO998+AP998)</f>
        <v/>
      </c>
      <c r="AR998" s="36" t="str">
        <f aca="false">IF(OR($B998="",J998=""),"",IFERROR(VALUE(LEFT(J998,1)),""))</f>
        <v/>
      </c>
      <c r="AS998" s="35" t="str">
        <f aca="false">IF(OR(AO998&lt;&gt;1,G998=""),"",IFERROR(IF(INDEX(L_SrcInterne,MATCH(G998,L_Sources,0))="Oui",1,0),""))</f>
        <v/>
      </c>
      <c r="AT998" s="37" t="str">
        <f aca="false">IF(AO998&lt;&gt;1,"",IFERROR(ROUND(IF(OR(N998="",O998=""),"",IF(O998&lt;N998,"",ROUND(((NETWORKDAYS(N998,O998,JoursFeries)-1)*(HFer-HOuv)+IF(NETWORKDAYS(O998,O998,JoursFeries),MEDIAN(MOD(O998,1),HFer,HOuv),HFer)-IF(NETWORKDAYS(N998,N998,JoursFeries),MEDIAN(MOD(N998,1),HFer,HOuv),HOuv))*24,4)))/HJour,4),""))</f>
        <v/>
      </c>
      <c r="AU998" s="37" t="str">
        <f aca="false">IF(AO998&lt;&gt;1,"",IF(OR(O998="",P998=""),"",IF(P998&lt;O998,"",ROUND(((NETWORKDAYS(O998,P998,JoursFeries)-1)*(HFer-HOuv)+IF(NETWORKDAYS(P998,P998,JoursFeries),MEDIAN(MOD(P998,1),HFer,HOuv),HFer)-IF(NETWORKDAYS(O998,O998,JoursFeries),MEDIAN(MOD(O998,1),HFer,HOuv),HOuv))*24,4))))</f>
        <v/>
      </c>
      <c r="AV998" s="37" t="str">
        <f aca="false">IF(AO998&lt;&gt;1,"",IF(OR(P998="",Q998=""),"",IF(Q998&lt;P998,"",ROUND(((NETWORKDAYS(P998,Q998,JoursFeries)-1)*(HFer-HOuv)+IF(NETWORKDAYS(Q998,Q998,JoursFeries),MEDIAN(MOD(Q998,1),HFer,HOuv),HFer)-IF(NETWORKDAYS(P998,P998,JoursFeries),MEDIAN(MOD(P998,1),HFer,HOuv),HOuv))*24,4))))</f>
        <v/>
      </c>
      <c r="AW998" s="37" t="str">
        <f aca="false">IF(AO998&lt;&gt;1,"",IFERROR(ROUND(IF(OR(P998="",R998=""),"",IF(R998&lt;P998,"",ROUND(((NETWORKDAYS(P998,R998,JoursFeries)-1)*(HFer-HOuv)+IF(NETWORKDAYS(R998,R998,JoursFeries),MEDIAN(MOD(R998,1),HFer,HOuv),HFer)-IF(NETWORKDAYS(P998,P998,JoursFeries),MEDIAN(MOD(P998,1),HFer,HOuv),HOuv))*24,4)))/HJour,4),""))</f>
        <v/>
      </c>
      <c r="AX998" s="37" t="str">
        <f aca="false">IF(AO998&lt;&gt;1,"",IFERROR(ROUND(IF(OR(P998="",S998=""),"",IF(S998&lt;P998,"",ROUND(((NETWORKDAYS(P998,S998,JoursFeries)-1)*(HFer-HOuv)+IF(NETWORKDAYS(S998,S998,JoursFeries),MEDIAN(MOD(S998,1),HFer,HOuv),HFer)-IF(NETWORKDAYS(P998,P998,JoursFeries),MEDIAN(MOD(P998,1),HFer,HOuv),HOuv))*24,4)))/HJour,4),""))</f>
        <v/>
      </c>
      <c r="AY998" s="36" t="str">
        <f aca="false">IF(OR(AO998&lt;&gt;1,AR998=""),"",INDEX(SLA_PEC,AR998))</f>
        <v/>
      </c>
      <c r="AZ998" s="35" t="str">
        <f aca="false">IF(OR(AV998="",AY998=""),"",IF(AV998&lt;=AY998,1,0))</f>
        <v/>
      </c>
      <c r="BA998" s="36" t="str">
        <f aca="false">IF(OR(AO998&lt;&gt;1,AR998=""),"",INDEX(SLA_RES,AR998))</f>
        <v/>
      </c>
      <c r="BB998" s="35" t="str">
        <f aca="false">IF(OR(AW998="",BA998=""),"",IF(AW998&lt;=BA998,1,0))</f>
        <v/>
      </c>
      <c r="BC998" s="38" t="str">
        <f aca="false">IF(OR(BA998="",P998=""),"",WORKDAY(INT(P998),BA998,JoursFeries)+MOD(P998,1))</f>
        <v/>
      </c>
      <c r="BD998" s="39" t="str">
        <f aca="false">IF(AO998&lt;&gt;1,"",IF(OR(AB998&lt;&gt;"",AD998&lt;&gt;""),4,IF(U998&lt;&gt;"",3,IF(T998&lt;&gt;"",2,1))))</f>
        <v/>
      </c>
      <c r="BE998" s="39" t="str">
        <f aca="false">IF(OR(AO998&lt;&gt;1,AR998=""),"",INDEX(NIV_REQ,AR998))</f>
        <v/>
      </c>
      <c r="BF998" s="39" t="str">
        <f aca="false">IF(BE998="","",MAX(BE998,IF(OR(K998="Oui",Z998="Oui"),4,1)))</f>
        <v/>
      </c>
      <c r="BG998" s="35" t="str">
        <f aca="false">IF(OR(BF998="",BD998=""),"",IF(BD998&gt;=BF998,1,0))</f>
        <v/>
      </c>
      <c r="BH998" s="38" t="str">
        <f aca="false">IF(BE998="","",IF(BE998&lt;2,"",IF(BE998=2,IF(AND(T998="",U998=""),"",MIN(T998,U998)),IF(U998="","",U998))))</f>
        <v/>
      </c>
      <c r="BI998" s="37" t="str">
        <f aca="false">IF(BH998="","",IF(OR(O998="",BH998=""),"",IF(BH998&lt;O998,"",ROUND(((NETWORKDAYS(O998,BH998,JoursFeries)-1)*(HFer-HOuv)+IF(NETWORKDAYS(BH998,BH998,JoursFeries),MEDIAN(MOD(BH998,1),HFer,HOuv),HFer)-IF(NETWORKDAYS(O998,O998,JoursFeries),MEDIAN(MOD(O998,1),HFer,HOuv),HOuv))*24,4))))</f>
        <v/>
      </c>
      <c r="BJ998" s="35" t="str">
        <f aca="false">IF(OR(BI998="",AR998=""),"",IF(BI998&lt;=INDEX(DELAI_ESC,AR998),1,0))</f>
        <v/>
      </c>
      <c r="BK998" s="38" t="str">
        <f aca="false">IF(AO998&lt;&gt;1,"",IF(AND(T998="",U998=""),"",MIN(T998,U998)))</f>
        <v/>
      </c>
      <c r="BL998" s="37" t="str">
        <f aca="false">IF(OR(BK998="",R998=""),"",IFERROR(ROUND(IF(OR(BK998="",R998=""),"",IF(R998&lt;BK998,"",ROUND(((NETWORKDAYS(BK998,R998,JoursFeries)-1)*(HFer-HOuv)+IF(NETWORKDAYS(R998,R998,JoursFeries),MEDIAN(MOD(R998,1),HFer,HOuv),HFer)-IF(NETWORKDAYS(BK998,BK998,JoursFeries),MEDIAN(MOD(BK998,1),HFer,HOuv),HOuv))*24,4)))/HJour,4),""))</f>
        <v/>
      </c>
      <c r="BM998" s="35" t="str">
        <f aca="false">IF(OR(AO998&lt;&gt;1,R998=""),"",IF(BD998=1,1,0))</f>
        <v/>
      </c>
      <c r="BN998" s="35" t="str">
        <f aca="false">IF(AO998&lt;&gt;1,"",IF(W998="Oui",1,0))</f>
        <v/>
      </c>
      <c r="BO998" s="35" t="str">
        <f aca="false">IF(AO998&lt;&gt;1,"",IF(X998&lt;&gt;"",1,0))</f>
        <v/>
      </c>
      <c r="BP998" s="35" t="str">
        <f aca="false">IF(AO998&lt;&gt;1,"",IF(Y998="Oui",1,0))</f>
        <v/>
      </c>
      <c r="BQ998" s="35" t="str">
        <f aca="true">IF(OR(AO998&lt;&gt;1,Z998&lt;&gt;"Oui"),"",IF(AB998="",IF(AND(AA998&lt;&gt;"",NOW()&gt;AA998),0,""),IF(AA998="","",IF(AB998&lt;=AA998,1,0))))</f>
        <v/>
      </c>
      <c r="BR998" s="38" t="str">
        <f aca="false">IF(OR(AO998&lt;&gt;1,K998&lt;&gt;"Oui",O998=""),"",IF(AC998="",O998+DORA_H_DET/24,IF(AC998-O998&lt;=DORA_H_DET/24,MIN(AC998+DORA_H_CLA/24,O998+DORA_H_DET/24),AC998+DORA_H_CLA/24)))</f>
        <v/>
      </c>
      <c r="BS998" s="35" t="str">
        <f aca="true">IF(BR998="","",IF(AD998="",IF(NOW()&gt;BR998,0,""),IF(AD998&lt;=BR998,1,0)))</f>
        <v/>
      </c>
      <c r="BT998" s="35" t="str">
        <f aca="true">IF(OR(BR998="",AD998=""),"",IF(AE998="",IF(NOW()&gt;AD998+DORA_H_INT/24,0,""),IF(AE998&lt;=AD998+DORA_H_INT/24,1,0)))</f>
        <v/>
      </c>
      <c r="BU998" s="35" t="str">
        <f aca="true">IF(OR(BR998="",AE998=""),"",IF(AF998="",IF(NOW()&gt;EDATE(AE998,DORA_M_FIN)+1,0,""),IF(AF998&lt;=EDATE(AE998,DORA_M_FIN),1,0)))</f>
        <v/>
      </c>
      <c r="BV998" s="35" t="str">
        <f aca="false">IF(BR998="","",IF(COUNT(BS998:BU998)=0,"",MIN(BS998:BU998)))</f>
        <v/>
      </c>
      <c r="BW998" s="40" t="str">
        <f aca="false">IF(AQ998&lt;&gt;1,"",IF(AND(AG998="",AH998=""),"",N(AG998)-N(AH998)))</f>
        <v/>
      </c>
      <c r="BX998" s="35" t="str">
        <f aca="true">IF(OR(AQ998&lt;&gt;1,AI998&lt;&gt;"Oui",AJ998=""),"",IF(AK998="",IF(NOW()&gt;AJ998+1,0,""),IF(AK998&lt;=AJ998,1,0)))</f>
        <v/>
      </c>
    </row>
    <row r="999" customFormat="false" ht="15" hidden="false" customHeight="false" outlineLevel="0" collapsed="false">
      <c r="B999" s="29"/>
      <c r="C999" s="29"/>
      <c r="D999" s="29"/>
      <c r="E999" s="29"/>
      <c r="F999" s="29"/>
      <c r="G999" s="29"/>
      <c r="H999" s="29"/>
      <c r="I999" s="29"/>
      <c r="J999" s="29"/>
      <c r="K999" s="29"/>
      <c r="L999" s="29"/>
      <c r="M999" s="29"/>
      <c r="N999" s="30"/>
      <c r="O999" s="30"/>
      <c r="P999" s="30"/>
      <c r="Q999" s="30"/>
      <c r="R999" s="30"/>
      <c r="S999" s="30"/>
      <c r="T999" s="30"/>
      <c r="U999" s="30"/>
      <c r="V999" s="31"/>
      <c r="W999" s="29"/>
      <c r="X999" s="29"/>
      <c r="Y999" s="29"/>
      <c r="Z999" s="29"/>
      <c r="AA999" s="30"/>
      <c r="AB999" s="30"/>
      <c r="AC999" s="30"/>
      <c r="AD999" s="30"/>
      <c r="AE999" s="30"/>
      <c r="AF999" s="32"/>
      <c r="AG999" s="33"/>
      <c r="AH999" s="33"/>
      <c r="AI999" s="29"/>
      <c r="AJ999" s="32"/>
      <c r="AK999" s="32"/>
      <c r="AL999" s="29"/>
      <c r="AN999" s="34" t="str">
        <f aca="false">IF($B999="","",IF(OR(C999="",D999="",E999="",G999="",I999="",J999="",L999="",O999="",P999=""),"Champ obligatoire manquant",IF(OR(AND(N999&lt;&gt;"",N999&gt;O999),O999&gt;P999,AND(Q999&lt;&gt;"",Q999&lt;P999),AND(R999&lt;&gt;"",R999&lt;P999),AND(S999&lt;&gt;"",S999&lt;R999),AND(S999&lt;&gt;"",R999=""),AND(T999&lt;&gt;"",T999&lt;O999),AND(U999&lt;&gt;"",U999&lt;O999)),"Chronologie incohérente",IF(AND(OR(L999="Résolu",L999="Clos"),R999=""),"Date de résolution manquante",IF(AND(L999="Clos",S999=""),"Date de clôture manquante",IF(AND(K999="Oui",AC999=""),"Classification DORA manquante","OK"))))))</f>
        <v/>
      </c>
      <c r="AO999" s="35" t="str">
        <f aca="false">IF($B999="","",IF(AND(C999="Incident",L999&lt;&gt;"Annulé"),1,0))</f>
        <v/>
      </c>
      <c r="AP999" s="35" t="str">
        <f aca="false">IF($B999="","",IF(AND(C999="Quasi-incident",L999&lt;&gt;"Annulé"),1,0))</f>
        <v/>
      </c>
      <c r="AQ999" s="35" t="str">
        <f aca="false">IF($B999="","",AO999+AP999)</f>
        <v/>
      </c>
      <c r="AR999" s="36" t="str">
        <f aca="false">IF(OR($B999="",J999=""),"",IFERROR(VALUE(LEFT(J999,1)),""))</f>
        <v/>
      </c>
      <c r="AS999" s="35" t="str">
        <f aca="false">IF(OR(AO999&lt;&gt;1,G999=""),"",IFERROR(IF(INDEX(L_SrcInterne,MATCH(G999,L_Sources,0))="Oui",1,0),""))</f>
        <v/>
      </c>
      <c r="AT999" s="37" t="str">
        <f aca="false">IF(AO999&lt;&gt;1,"",IFERROR(ROUND(IF(OR(N999="",O999=""),"",IF(O999&lt;N999,"",ROUND(((NETWORKDAYS(N999,O999,JoursFeries)-1)*(HFer-HOuv)+IF(NETWORKDAYS(O999,O999,JoursFeries),MEDIAN(MOD(O999,1),HFer,HOuv),HFer)-IF(NETWORKDAYS(N999,N999,JoursFeries),MEDIAN(MOD(N999,1),HFer,HOuv),HOuv))*24,4)))/HJour,4),""))</f>
        <v/>
      </c>
      <c r="AU999" s="37" t="str">
        <f aca="false">IF(AO999&lt;&gt;1,"",IF(OR(O999="",P999=""),"",IF(P999&lt;O999,"",ROUND(((NETWORKDAYS(O999,P999,JoursFeries)-1)*(HFer-HOuv)+IF(NETWORKDAYS(P999,P999,JoursFeries),MEDIAN(MOD(P999,1),HFer,HOuv),HFer)-IF(NETWORKDAYS(O999,O999,JoursFeries),MEDIAN(MOD(O999,1),HFer,HOuv),HOuv))*24,4))))</f>
        <v/>
      </c>
      <c r="AV999" s="37" t="str">
        <f aca="false">IF(AO999&lt;&gt;1,"",IF(OR(P999="",Q999=""),"",IF(Q999&lt;P999,"",ROUND(((NETWORKDAYS(P999,Q999,JoursFeries)-1)*(HFer-HOuv)+IF(NETWORKDAYS(Q999,Q999,JoursFeries),MEDIAN(MOD(Q999,1),HFer,HOuv),HFer)-IF(NETWORKDAYS(P999,P999,JoursFeries),MEDIAN(MOD(P999,1),HFer,HOuv),HOuv))*24,4))))</f>
        <v/>
      </c>
      <c r="AW999" s="37" t="str">
        <f aca="false">IF(AO999&lt;&gt;1,"",IFERROR(ROUND(IF(OR(P999="",R999=""),"",IF(R999&lt;P999,"",ROUND(((NETWORKDAYS(P999,R999,JoursFeries)-1)*(HFer-HOuv)+IF(NETWORKDAYS(R999,R999,JoursFeries),MEDIAN(MOD(R999,1),HFer,HOuv),HFer)-IF(NETWORKDAYS(P999,P999,JoursFeries),MEDIAN(MOD(P999,1),HFer,HOuv),HOuv))*24,4)))/HJour,4),""))</f>
        <v/>
      </c>
      <c r="AX999" s="37" t="str">
        <f aca="false">IF(AO999&lt;&gt;1,"",IFERROR(ROUND(IF(OR(P999="",S999=""),"",IF(S999&lt;P999,"",ROUND(((NETWORKDAYS(P999,S999,JoursFeries)-1)*(HFer-HOuv)+IF(NETWORKDAYS(S999,S999,JoursFeries),MEDIAN(MOD(S999,1),HFer,HOuv),HFer)-IF(NETWORKDAYS(P999,P999,JoursFeries),MEDIAN(MOD(P999,1),HFer,HOuv),HOuv))*24,4)))/HJour,4),""))</f>
        <v/>
      </c>
      <c r="AY999" s="36" t="str">
        <f aca="false">IF(OR(AO999&lt;&gt;1,AR999=""),"",INDEX(SLA_PEC,AR999))</f>
        <v/>
      </c>
      <c r="AZ999" s="35" t="str">
        <f aca="false">IF(OR(AV999="",AY999=""),"",IF(AV999&lt;=AY999,1,0))</f>
        <v/>
      </c>
      <c r="BA999" s="36" t="str">
        <f aca="false">IF(OR(AO999&lt;&gt;1,AR999=""),"",INDEX(SLA_RES,AR999))</f>
        <v/>
      </c>
      <c r="BB999" s="35" t="str">
        <f aca="false">IF(OR(AW999="",BA999=""),"",IF(AW999&lt;=BA999,1,0))</f>
        <v/>
      </c>
      <c r="BC999" s="38" t="str">
        <f aca="false">IF(OR(BA999="",P999=""),"",WORKDAY(INT(P999),BA999,JoursFeries)+MOD(P999,1))</f>
        <v/>
      </c>
      <c r="BD999" s="39" t="str">
        <f aca="false">IF(AO999&lt;&gt;1,"",IF(OR(AB999&lt;&gt;"",AD999&lt;&gt;""),4,IF(U999&lt;&gt;"",3,IF(T999&lt;&gt;"",2,1))))</f>
        <v/>
      </c>
      <c r="BE999" s="39" t="str">
        <f aca="false">IF(OR(AO999&lt;&gt;1,AR999=""),"",INDEX(NIV_REQ,AR999))</f>
        <v/>
      </c>
      <c r="BF999" s="39" t="str">
        <f aca="false">IF(BE999="","",MAX(BE999,IF(OR(K999="Oui",Z999="Oui"),4,1)))</f>
        <v/>
      </c>
      <c r="BG999" s="35" t="str">
        <f aca="false">IF(OR(BF999="",BD999=""),"",IF(BD999&gt;=BF999,1,0))</f>
        <v/>
      </c>
      <c r="BH999" s="38" t="str">
        <f aca="false">IF(BE999="","",IF(BE999&lt;2,"",IF(BE999=2,IF(AND(T999="",U999=""),"",MIN(T999,U999)),IF(U999="","",U999))))</f>
        <v/>
      </c>
      <c r="BI999" s="37" t="str">
        <f aca="false">IF(BH999="","",IF(OR(O999="",BH999=""),"",IF(BH999&lt;O999,"",ROUND(((NETWORKDAYS(O999,BH999,JoursFeries)-1)*(HFer-HOuv)+IF(NETWORKDAYS(BH999,BH999,JoursFeries),MEDIAN(MOD(BH999,1),HFer,HOuv),HFer)-IF(NETWORKDAYS(O999,O999,JoursFeries),MEDIAN(MOD(O999,1),HFer,HOuv),HOuv))*24,4))))</f>
        <v/>
      </c>
      <c r="BJ999" s="35" t="str">
        <f aca="false">IF(OR(BI999="",AR999=""),"",IF(BI999&lt;=INDEX(DELAI_ESC,AR999),1,0))</f>
        <v/>
      </c>
      <c r="BK999" s="38" t="str">
        <f aca="false">IF(AO999&lt;&gt;1,"",IF(AND(T999="",U999=""),"",MIN(T999,U999)))</f>
        <v/>
      </c>
      <c r="BL999" s="37" t="str">
        <f aca="false">IF(OR(BK999="",R999=""),"",IFERROR(ROUND(IF(OR(BK999="",R999=""),"",IF(R999&lt;BK999,"",ROUND(((NETWORKDAYS(BK999,R999,JoursFeries)-1)*(HFer-HOuv)+IF(NETWORKDAYS(R999,R999,JoursFeries),MEDIAN(MOD(R999,1),HFer,HOuv),HFer)-IF(NETWORKDAYS(BK999,BK999,JoursFeries),MEDIAN(MOD(BK999,1),HFer,HOuv),HOuv))*24,4)))/HJour,4),""))</f>
        <v/>
      </c>
      <c r="BM999" s="35" t="str">
        <f aca="false">IF(OR(AO999&lt;&gt;1,R999=""),"",IF(BD999=1,1,0))</f>
        <v/>
      </c>
      <c r="BN999" s="35" t="str">
        <f aca="false">IF(AO999&lt;&gt;1,"",IF(W999="Oui",1,0))</f>
        <v/>
      </c>
      <c r="BO999" s="35" t="str">
        <f aca="false">IF(AO999&lt;&gt;1,"",IF(X999&lt;&gt;"",1,0))</f>
        <v/>
      </c>
      <c r="BP999" s="35" t="str">
        <f aca="false">IF(AO999&lt;&gt;1,"",IF(Y999="Oui",1,0))</f>
        <v/>
      </c>
      <c r="BQ999" s="35" t="str">
        <f aca="true">IF(OR(AO999&lt;&gt;1,Z999&lt;&gt;"Oui"),"",IF(AB999="",IF(AND(AA999&lt;&gt;"",NOW()&gt;AA999),0,""),IF(AA999="","",IF(AB999&lt;=AA999,1,0))))</f>
        <v/>
      </c>
      <c r="BR999" s="38" t="str">
        <f aca="false">IF(OR(AO999&lt;&gt;1,K999&lt;&gt;"Oui",O999=""),"",IF(AC999="",O999+DORA_H_DET/24,IF(AC999-O999&lt;=DORA_H_DET/24,MIN(AC999+DORA_H_CLA/24,O999+DORA_H_DET/24),AC999+DORA_H_CLA/24)))</f>
        <v/>
      </c>
      <c r="BS999" s="35" t="str">
        <f aca="true">IF(BR999="","",IF(AD999="",IF(NOW()&gt;BR999,0,""),IF(AD999&lt;=BR999,1,0)))</f>
        <v/>
      </c>
      <c r="BT999" s="35" t="str">
        <f aca="true">IF(OR(BR999="",AD999=""),"",IF(AE999="",IF(NOW()&gt;AD999+DORA_H_INT/24,0,""),IF(AE999&lt;=AD999+DORA_H_INT/24,1,0)))</f>
        <v/>
      </c>
      <c r="BU999" s="35" t="str">
        <f aca="true">IF(OR(BR999="",AE999=""),"",IF(AF999="",IF(NOW()&gt;EDATE(AE999,DORA_M_FIN)+1,0,""),IF(AF999&lt;=EDATE(AE999,DORA_M_FIN),1,0)))</f>
        <v/>
      </c>
      <c r="BV999" s="35" t="str">
        <f aca="false">IF(BR999="","",IF(COUNT(BS999:BU999)=0,"",MIN(BS999:BU999)))</f>
        <v/>
      </c>
      <c r="BW999" s="40" t="str">
        <f aca="false">IF(AQ999&lt;&gt;1,"",IF(AND(AG999="",AH999=""),"",N(AG999)-N(AH999)))</f>
        <v/>
      </c>
      <c r="BX999" s="35" t="str">
        <f aca="true">IF(OR(AQ999&lt;&gt;1,AI999&lt;&gt;"Oui",AJ999=""),"",IF(AK999="",IF(NOW()&gt;AJ999+1,0,""),IF(AK999&lt;=AJ999,1,0)))</f>
        <v/>
      </c>
    </row>
    <row r="1000" customFormat="false" ht="15" hidden="false" customHeight="false" outlineLevel="0" collapsed="false">
      <c r="B1000" s="29"/>
      <c r="C1000" s="29"/>
      <c r="D1000" s="29"/>
      <c r="E1000" s="29"/>
      <c r="F1000" s="29"/>
      <c r="G1000" s="29"/>
      <c r="H1000" s="29"/>
      <c r="I1000" s="29"/>
      <c r="J1000" s="29"/>
      <c r="K1000" s="29"/>
      <c r="L1000" s="29"/>
      <c r="M1000" s="29"/>
      <c r="N1000" s="30"/>
      <c r="O1000" s="30"/>
      <c r="P1000" s="30"/>
      <c r="Q1000" s="30"/>
      <c r="R1000" s="30"/>
      <c r="S1000" s="30"/>
      <c r="T1000" s="30"/>
      <c r="U1000" s="30"/>
      <c r="V1000" s="31"/>
      <c r="W1000" s="29"/>
      <c r="X1000" s="29"/>
      <c r="Y1000" s="29"/>
      <c r="Z1000" s="29"/>
      <c r="AA1000" s="30"/>
      <c r="AB1000" s="30"/>
      <c r="AC1000" s="30"/>
      <c r="AD1000" s="30"/>
      <c r="AE1000" s="30"/>
      <c r="AF1000" s="32"/>
      <c r="AG1000" s="33"/>
      <c r="AH1000" s="33"/>
      <c r="AI1000" s="29"/>
      <c r="AJ1000" s="32"/>
      <c r="AK1000" s="32"/>
      <c r="AL1000" s="29"/>
      <c r="AN1000" s="34" t="str">
        <f aca="false">IF($B1000="","",IF(OR(C1000="",D1000="",E1000="",G1000="",I1000="",J1000="",L1000="",O1000="",P1000=""),"Champ obligatoire manquant",IF(OR(AND(N1000&lt;&gt;"",N1000&gt;O1000),O1000&gt;P1000,AND(Q1000&lt;&gt;"",Q1000&lt;P1000),AND(R1000&lt;&gt;"",R1000&lt;P1000),AND(S1000&lt;&gt;"",S1000&lt;R1000),AND(S1000&lt;&gt;"",R1000=""),AND(T1000&lt;&gt;"",T1000&lt;O1000),AND(U1000&lt;&gt;"",U1000&lt;O1000)),"Chronologie incohérente",IF(AND(OR(L1000="Résolu",L1000="Clos"),R1000=""),"Date de résolution manquante",IF(AND(L1000="Clos",S1000=""),"Date de clôture manquante",IF(AND(K1000="Oui",AC1000=""),"Classification DORA manquante","OK"))))))</f>
        <v/>
      </c>
      <c r="AO1000" s="35" t="str">
        <f aca="false">IF($B1000="","",IF(AND(C1000="Incident",L1000&lt;&gt;"Annulé"),1,0))</f>
        <v/>
      </c>
      <c r="AP1000" s="35" t="str">
        <f aca="false">IF($B1000="","",IF(AND(C1000="Quasi-incident",L1000&lt;&gt;"Annulé"),1,0))</f>
        <v/>
      </c>
      <c r="AQ1000" s="35" t="str">
        <f aca="false">IF($B1000="","",AO1000+AP1000)</f>
        <v/>
      </c>
      <c r="AR1000" s="36" t="str">
        <f aca="false">IF(OR($B1000="",J1000=""),"",IFERROR(VALUE(LEFT(J1000,1)),""))</f>
        <v/>
      </c>
      <c r="AS1000" s="35" t="str">
        <f aca="false">IF(OR(AO1000&lt;&gt;1,G1000=""),"",IFERROR(IF(INDEX(L_SrcInterne,MATCH(G1000,L_Sources,0))="Oui",1,0),""))</f>
        <v/>
      </c>
      <c r="AT1000" s="37" t="str">
        <f aca="false">IF(AO1000&lt;&gt;1,"",IFERROR(ROUND(IF(OR(N1000="",O1000=""),"",IF(O1000&lt;N1000,"",ROUND(((NETWORKDAYS(N1000,O1000,JoursFeries)-1)*(HFer-HOuv)+IF(NETWORKDAYS(O1000,O1000,JoursFeries),MEDIAN(MOD(O1000,1),HFer,HOuv),HFer)-IF(NETWORKDAYS(N1000,N1000,JoursFeries),MEDIAN(MOD(N1000,1),HFer,HOuv),HOuv))*24,4)))/HJour,4),""))</f>
        <v/>
      </c>
      <c r="AU1000" s="37" t="str">
        <f aca="false">IF(AO1000&lt;&gt;1,"",IF(OR(O1000="",P1000=""),"",IF(P1000&lt;O1000,"",ROUND(((NETWORKDAYS(O1000,P1000,JoursFeries)-1)*(HFer-HOuv)+IF(NETWORKDAYS(P1000,P1000,JoursFeries),MEDIAN(MOD(P1000,1),HFer,HOuv),HFer)-IF(NETWORKDAYS(O1000,O1000,JoursFeries),MEDIAN(MOD(O1000,1),HFer,HOuv),HOuv))*24,4))))</f>
        <v/>
      </c>
      <c r="AV1000" s="37" t="str">
        <f aca="false">IF(AO1000&lt;&gt;1,"",IF(OR(P1000="",Q1000=""),"",IF(Q1000&lt;P1000,"",ROUND(((NETWORKDAYS(P1000,Q1000,JoursFeries)-1)*(HFer-HOuv)+IF(NETWORKDAYS(Q1000,Q1000,JoursFeries),MEDIAN(MOD(Q1000,1),HFer,HOuv),HFer)-IF(NETWORKDAYS(P1000,P1000,JoursFeries),MEDIAN(MOD(P1000,1),HFer,HOuv),HOuv))*24,4))))</f>
        <v/>
      </c>
      <c r="AW1000" s="37" t="str">
        <f aca="false">IF(AO1000&lt;&gt;1,"",IFERROR(ROUND(IF(OR(P1000="",R1000=""),"",IF(R1000&lt;P1000,"",ROUND(((NETWORKDAYS(P1000,R1000,JoursFeries)-1)*(HFer-HOuv)+IF(NETWORKDAYS(R1000,R1000,JoursFeries),MEDIAN(MOD(R1000,1),HFer,HOuv),HFer)-IF(NETWORKDAYS(P1000,P1000,JoursFeries),MEDIAN(MOD(P1000,1),HFer,HOuv),HOuv))*24,4)))/HJour,4),""))</f>
        <v/>
      </c>
      <c r="AX1000" s="37" t="str">
        <f aca="false">IF(AO1000&lt;&gt;1,"",IFERROR(ROUND(IF(OR(P1000="",S1000=""),"",IF(S1000&lt;P1000,"",ROUND(((NETWORKDAYS(P1000,S1000,JoursFeries)-1)*(HFer-HOuv)+IF(NETWORKDAYS(S1000,S1000,JoursFeries),MEDIAN(MOD(S1000,1),HFer,HOuv),HFer)-IF(NETWORKDAYS(P1000,P1000,JoursFeries),MEDIAN(MOD(P1000,1),HFer,HOuv),HOuv))*24,4)))/HJour,4),""))</f>
        <v/>
      </c>
      <c r="AY1000" s="36" t="str">
        <f aca="false">IF(OR(AO1000&lt;&gt;1,AR1000=""),"",INDEX(SLA_PEC,AR1000))</f>
        <v/>
      </c>
      <c r="AZ1000" s="35" t="str">
        <f aca="false">IF(OR(AV1000="",AY1000=""),"",IF(AV1000&lt;=AY1000,1,0))</f>
        <v/>
      </c>
      <c r="BA1000" s="36" t="str">
        <f aca="false">IF(OR(AO1000&lt;&gt;1,AR1000=""),"",INDEX(SLA_RES,AR1000))</f>
        <v/>
      </c>
      <c r="BB1000" s="35" t="str">
        <f aca="false">IF(OR(AW1000="",BA1000=""),"",IF(AW1000&lt;=BA1000,1,0))</f>
        <v/>
      </c>
      <c r="BC1000" s="38" t="str">
        <f aca="false">IF(OR(BA1000="",P1000=""),"",WORKDAY(INT(P1000),BA1000,JoursFeries)+MOD(P1000,1))</f>
        <v/>
      </c>
      <c r="BD1000" s="39" t="str">
        <f aca="false">IF(AO1000&lt;&gt;1,"",IF(OR(AB1000&lt;&gt;"",AD1000&lt;&gt;""),4,IF(U1000&lt;&gt;"",3,IF(T1000&lt;&gt;"",2,1))))</f>
        <v/>
      </c>
      <c r="BE1000" s="39" t="str">
        <f aca="false">IF(OR(AO1000&lt;&gt;1,AR1000=""),"",INDEX(NIV_REQ,AR1000))</f>
        <v/>
      </c>
      <c r="BF1000" s="39" t="str">
        <f aca="false">IF(BE1000="","",MAX(BE1000,IF(OR(K1000="Oui",Z1000="Oui"),4,1)))</f>
        <v/>
      </c>
      <c r="BG1000" s="35" t="str">
        <f aca="false">IF(OR(BF1000="",BD1000=""),"",IF(BD1000&gt;=BF1000,1,0))</f>
        <v/>
      </c>
      <c r="BH1000" s="38" t="str">
        <f aca="false">IF(BE1000="","",IF(BE1000&lt;2,"",IF(BE1000=2,IF(AND(T1000="",U1000=""),"",MIN(T1000,U1000)),IF(U1000="","",U1000))))</f>
        <v/>
      </c>
      <c r="BI1000" s="37" t="str">
        <f aca="false">IF(BH1000="","",IF(OR(O1000="",BH1000=""),"",IF(BH1000&lt;O1000,"",ROUND(((NETWORKDAYS(O1000,BH1000,JoursFeries)-1)*(HFer-HOuv)+IF(NETWORKDAYS(BH1000,BH1000,JoursFeries),MEDIAN(MOD(BH1000,1),HFer,HOuv),HFer)-IF(NETWORKDAYS(O1000,O1000,JoursFeries),MEDIAN(MOD(O1000,1),HFer,HOuv),HOuv))*24,4))))</f>
        <v/>
      </c>
      <c r="BJ1000" s="35" t="str">
        <f aca="false">IF(OR(BI1000="",AR1000=""),"",IF(BI1000&lt;=INDEX(DELAI_ESC,AR1000),1,0))</f>
        <v/>
      </c>
      <c r="BK1000" s="38" t="str">
        <f aca="false">IF(AO1000&lt;&gt;1,"",IF(AND(T1000="",U1000=""),"",MIN(T1000,U1000)))</f>
        <v/>
      </c>
      <c r="BL1000" s="37" t="str">
        <f aca="false">IF(OR(BK1000="",R1000=""),"",IFERROR(ROUND(IF(OR(BK1000="",R1000=""),"",IF(R1000&lt;BK1000,"",ROUND(((NETWORKDAYS(BK1000,R1000,JoursFeries)-1)*(HFer-HOuv)+IF(NETWORKDAYS(R1000,R1000,JoursFeries),MEDIAN(MOD(R1000,1),HFer,HOuv),HFer)-IF(NETWORKDAYS(BK1000,BK1000,JoursFeries),MEDIAN(MOD(BK1000,1),HFer,HOuv),HOuv))*24,4)))/HJour,4),""))</f>
        <v/>
      </c>
      <c r="BM1000" s="35" t="str">
        <f aca="false">IF(OR(AO1000&lt;&gt;1,R1000=""),"",IF(BD1000=1,1,0))</f>
        <v/>
      </c>
      <c r="BN1000" s="35" t="str">
        <f aca="false">IF(AO1000&lt;&gt;1,"",IF(W1000="Oui",1,0))</f>
        <v/>
      </c>
      <c r="BO1000" s="35" t="str">
        <f aca="false">IF(AO1000&lt;&gt;1,"",IF(X1000&lt;&gt;"",1,0))</f>
        <v/>
      </c>
      <c r="BP1000" s="35" t="str">
        <f aca="false">IF(AO1000&lt;&gt;1,"",IF(Y1000="Oui",1,0))</f>
        <v/>
      </c>
      <c r="BQ1000" s="35" t="str">
        <f aca="true">IF(OR(AO1000&lt;&gt;1,Z1000&lt;&gt;"Oui"),"",IF(AB1000="",IF(AND(AA1000&lt;&gt;"",NOW()&gt;AA1000),0,""),IF(AA1000="","",IF(AB1000&lt;=AA1000,1,0))))</f>
        <v/>
      </c>
      <c r="BR1000" s="38" t="str">
        <f aca="false">IF(OR(AO1000&lt;&gt;1,K1000&lt;&gt;"Oui",O1000=""),"",IF(AC1000="",O1000+DORA_H_DET/24,IF(AC1000-O1000&lt;=DORA_H_DET/24,MIN(AC1000+DORA_H_CLA/24,O1000+DORA_H_DET/24),AC1000+DORA_H_CLA/24)))</f>
        <v/>
      </c>
      <c r="BS1000" s="35" t="str">
        <f aca="true">IF(BR1000="","",IF(AD1000="",IF(NOW()&gt;BR1000,0,""),IF(AD1000&lt;=BR1000,1,0)))</f>
        <v/>
      </c>
      <c r="BT1000" s="35" t="str">
        <f aca="true">IF(OR(BR1000="",AD1000=""),"",IF(AE1000="",IF(NOW()&gt;AD1000+DORA_H_INT/24,0,""),IF(AE1000&lt;=AD1000+DORA_H_INT/24,1,0)))</f>
        <v/>
      </c>
      <c r="BU1000" s="35" t="str">
        <f aca="true">IF(OR(BR1000="",AE1000=""),"",IF(AF1000="",IF(NOW()&gt;EDATE(AE1000,DORA_M_FIN)+1,0,""),IF(AF1000&lt;=EDATE(AE1000,DORA_M_FIN),1,0)))</f>
        <v/>
      </c>
      <c r="BV1000" s="35" t="str">
        <f aca="false">IF(BR1000="","",IF(COUNT(BS1000:BU1000)=0,"",MIN(BS1000:BU1000)))</f>
        <v/>
      </c>
      <c r="BW1000" s="40" t="str">
        <f aca="false">IF(AQ1000&lt;&gt;1,"",IF(AND(AG1000="",AH1000=""),"",N(AG1000)-N(AH1000)))</f>
        <v/>
      </c>
      <c r="BX1000" s="35" t="str">
        <f aca="true">IF(OR(AQ1000&lt;&gt;1,AI1000&lt;&gt;"Oui",AJ1000=""),"",IF(AK1000="",IF(NOW()&gt;AJ1000+1,0,""),IF(AK1000&lt;=AJ1000,1,0)))</f>
        <v/>
      </c>
    </row>
    <row r="1001" customFormat="false" ht="15" hidden="false" customHeight="false" outlineLevel="0" collapsed="false">
      <c r="B1001" s="29"/>
      <c r="C1001" s="29"/>
      <c r="D1001" s="29"/>
      <c r="E1001" s="29"/>
      <c r="F1001" s="29"/>
      <c r="G1001" s="29"/>
      <c r="H1001" s="29"/>
      <c r="I1001" s="29"/>
      <c r="J1001" s="29"/>
      <c r="K1001" s="29"/>
      <c r="L1001" s="29"/>
      <c r="M1001" s="29"/>
      <c r="N1001" s="30"/>
      <c r="O1001" s="30"/>
      <c r="P1001" s="30"/>
      <c r="Q1001" s="30"/>
      <c r="R1001" s="30"/>
      <c r="S1001" s="30"/>
      <c r="T1001" s="30"/>
      <c r="U1001" s="30"/>
      <c r="V1001" s="31"/>
      <c r="W1001" s="29"/>
      <c r="X1001" s="29"/>
      <c r="Y1001" s="29"/>
      <c r="Z1001" s="29"/>
      <c r="AA1001" s="30"/>
      <c r="AB1001" s="30"/>
      <c r="AC1001" s="30"/>
      <c r="AD1001" s="30"/>
      <c r="AE1001" s="30"/>
      <c r="AF1001" s="32"/>
      <c r="AG1001" s="33"/>
      <c r="AH1001" s="33"/>
      <c r="AI1001" s="29"/>
      <c r="AJ1001" s="32"/>
      <c r="AK1001" s="32"/>
      <c r="AL1001" s="29"/>
      <c r="AN1001" s="34" t="str">
        <f aca="false">IF($B1001="","",IF(OR(C1001="",D1001="",E1001="",G1001="",I1001="",J1001="",L1001="",O1001="",P1001=""),"Champ obligatoire manquant",IF(OR(AND(N1001&lt;&gt;"",N1001&gt;O1001),O1001&gt;P1001,AND(Q1001&lt;&gt;"",Q1001&lt;P1001),AND(R1001&lt;&gt;"",R1001&lt;P1001),AND(S1001&lt;&gt;"",S1001&lt;R1001),AND(S1001&lt;&gt;"",R1001=""),AND(T1001&lt;&gt;"",T1001&lt;O1001),AND(U1001&lt;&gt;"",U1001&lt;O1001)),"Chronologie incohérente",IF(AND(OR(L1001="Résolu",L1001="Clos"),R1001=""),"Date de résolution manquante",IF(AND(L1001="Clos",S1001=""),"Date de clôture manquante",IF(AND(K1001="Oui",AC1001=""),"Classification DORA manquante","OK"))))))</f>
        <v/>
      </c>
      <c r="AO1001" s="35" t="str">
        <f aca="false">IF($B1001="","",IF(AND(C1001="Incident",L1001&lt;&gt;"Annulé"),1,0))</f>
        <v/>
      </c>
      <c r="AP1001" s="35" t="str">
        <f aca="false">IF($B1001="","",IF(AND(C1001="Quasi-incident",L1001&lt;&gt;"Annulé"),1,0))</f>
        <v/>
      </c>
      <c r="AQ1001" s="35" t="str">
        <f aca="false">IF($B1001="","",AO1001+AP1001)</f>
        <v/>
      </c>
      <c r="AR1001" s="36" t="str">
        <f aca="false">IF(OR($B1001="",J1001=""),"",IFERROR(VALUE(LEFT(J1001,1)),""))</f>
        <v/>
      </c>
      <c r="AS1001" s="35" t="str">
        <f aca="false">IF(OR(AO1001&lt;&gt;1,G1001=""),"",IFERROR(IF(INDEX(L_SrcInterne,MATCH(G1001,L_Sources,0))="Oui",1,0),""))</f>
        <v/>
      </c>
      <c r="AT1001" s="37" t="str">
        <f aca="false">IF(AO1001&lt;&gt;1,"",IFERROR(ROUND(IF(OR(N1001="",O1001=""),"",IF(O1001&lt;N1001,"",ROUND(((NETWORKDAYS(N1001,O1001,JoursFeries)-1)*(HFer-HOuv)+IF(NETWORKDAYS(O1001,O1001,JoursFeries),MEDIAN(MOD(O1001,1),HFer,HOuv),HFer)-IF(NETWORKDAYS(N1001,N1001,JoursFeries),MEDIAN(MOD(N1001,1),HFer,HOuv),HOuv))*24,4)))/HJour,4),""))</f>
        <v/>
      </c>
      <c r="AU1001" s="37" t="str">
        <f aca="false">IF(AO1001&lt;&gt;1,"",IF(OR(O1001="",P1001=""),"",IF(P1001&lt;O1001,"",ROUND(((NETWORKDAYS(O1001,P1001,JoursFeries)-1)*(HFer-HOuv)+IF(NETWORKDAYS(P1001,P1001,JoursFeries),MEDIAN(MOD(P1001,1),HFer,HOuv),HFer)-IF(NETWORKDAYS(O1001,O1001,JoursFeries),MEDIAN(MOD(O1001,1),HFer,HOuv),HOuv))*24,4))))</f>
        <v/>
      </c>
      <c r="AV1001" s="37" t="str">
        <f aca="false">IF(AO1001&lt;&gt;1,"",IF(OR(P1001="",Q1001=""),"",IF(Q1001&lt;P1001,"",ROUND(((NETWORKDAYS(P1001,Q1001,JoursFeries)-1)*(HFer-HOuv)+IF(NETWORKDAYS(Q1001,Q1001,JoursFeries),MEDIAN(MOD(Q1001,1),HFer,HOuv),HFer)-IF(NETWORKDAYS(P1001,P1001,JoursFeries),MEDIAN(MOD(P1001,1),HFer,HOuv),HOuv))*24,4))))</f>
        <v/>
      </c>
      <c r="AW1001" s="37" t="str">
        <f aca="false">IF(AO1001&lt;&gt;1,"",IFERROR(ROUND(IF(OR(P1001="",R1001=""),"",IF(R1001&lt;P1001,"",ROUND(((NETWORKDAYS(P1001,R1001,JoursFeries)-1)*(HFer-HOuv)+IF(NETWORKDAYS(R1001,R1001,JoursFeries),MEDIAN(MOD(R1001,1),HFer,HOuv),HFer)-IF(NETWORKDAYS(P1001,P1001,JoursFeries),MEDIAN(MOD(P1001,1),HFer,HOuv),HOuv))*24,4)))/HJour,4),""))</f>
        <v/>
      </c>
      <c r="AX1001" s="37" t="str">
        <f aca="false">IF(AO1001&lt;&gt;1,"",IFERROR(ROUND(IF(OR(P1001="",S1001=""),"",IF(S1001&lt;P1001,"",ROUND(((NETWORKDAYS(P1001,S1001,JoursFeries)-1)*(HFer-HOuv)+IF(NETWORKDAYS(S1001,S1001,JoursFeries),MEDIAN(MOD(S1001,1),HFer,HOuv),HFer)-IF(NETWORKDAYS(P1001,P1001,JoursFeries),MEDIAN(MOD(P1001,1),HFer,HOuv),HOuv))*24,4)))/HJour,4),""))</f>
        <v/>
      </c>
      <c r="AY1001" s="36" t="str">
        <f aca="false">IF(OR(AO1001&lt;&gt;1,AR1001=""),"",INDEX(SLA_PEC,AR1001))</f>
        <v/>
      </c>
      <c r="AZ1001" s="35" t="str">
        <f aca="false">IF(OR(AV1001="",AY1001=""),"",IF(AV1001&lt;=AY1001,1,0))</f>
        <v/>
      </c>
      <c r="BA1001" s="36" t="str">
        <f aca="false">IF(OR(AO1001&lt;&gt;1,AR1001=""),"",INDEX(SLA_RES,AR1001))</f>
        <v/>
      </c>
      <c r="BB1001" s="35" t="str">
        <f aca="false">IF(OR(AW1001="",BA1001=""),"",IF(AW1001&lt;=BA1001,1,0))</f>
        <v/>
      </c>
      <c r="BC1001" s="38" t="str">
        <f aca="false">IF(OR(BA1001="",P1001=""),"",WORKDAY(INT(P1001),BA1001,JoursFeries)+MOD(P1001,1))</f>
        <v/>
      </c>
      <c r="BD1001" s="39" t="str">
        <f aca="false">IF(AO1001&lt;&gt;1,"",IF(OR(AB1001&lt;&gt;"",AD1001&lt;&gt;""),4,IF(U1001&lt;&gt;"",3,IF(T1001&lt;&gt;"",2,1))))</f>
        <v/>
      </c>
      <c r="BE1001" s="39" t="str">
        <f aca="false">IF(OR(AO1001&lt;&gt;1,AR1001=""),"",INDEX(NIV_REQ,AR1001))</f>
        <v/>
      </c>
      <c r="BF1001" s="39" t="str">
        <f aca="false">IF(BE1001="","",MAX(BE1001,IF(OR(K1001="Oui",Z1001="Oui"),4,1)))</f>
        <v/>
      </c>
      <c r="BG1001" s="35" t="str">
        <f aca="false">IF(OR(BF1001="",BD1001=""),"",IF(BD1001&gt;=BF1001,1,0))</f>
        <v/>
      </c>
      <c r="BH1001" s="38" t="str">
        <f aca="false">IF(BE1001="","",IF(BE1001&lt;2,"",IF(BE1001=2,IF(AND(T1001="",U1001=""),"",MIN(T1001,U1001)),IF(U1001="","",U1001))))</f>
        <v/>
      </c>
      <c r="BI1001" s="37" t="str">
        <f aca="false">IF(BH1001="","",IF(OR(O1001="",BH1001=""),"",IF(BH1001&lt;O1001,"",ROUND(((NETWORKDAYS(O1001,BH1001,JoursFeries)-1)*(HFer-HOuv)+IF(NETWORKDAYS(BH1001,BH1001,JoursFeries),MEDIAN(MOD(BH1001,1),HFer,HOuv),HFer)-IF(NETWORKDAYS(O1001,O1001,JoursFeries),MEDIAN(MOD(O1001,1),HFer,HOuv),HOuv))*24,4))))</f>
        <v/>
      </c>
      <c r="BJ1001" s="35" t="str">
        <f aca="false">IF(OR(BI1001="",AR1001=""),"",IF(BI1001&lt;=INDEX(DELAI_ESC,AR1001),1,0))</f>
        <v/>
      </c>
      <c r="BK1001" s="38" t="str">
        <f aca="false">IF(AO1001&lt;&gt;1,"",IF(AND(T1001="",U1001=""),"",MIN(T1001,U1001)))</f>
        <v/>
      </c>
      <c r="BL1001" s="37" t="str">
        <f aca="false">IF(OR(BK1001="",R1001=""),"",IFERROR(ROUND(IF(OR(BK1001="",R1001=""),"",IF(R1001&lt;BK1001,"",ROUND(((NETWORKDAYS(BK1001,R1001,JoursFeries)-1)*(HFer-HOuv)+IF(NETWORKDAYS(R1001,R1001,JoursFeries),MEDIAN(MOD(R1001,1),HFer,HOuv),HFer)-IF(NETWORKDAYS(BK1001,BK1001,JoursFeries),MEDIAN(MOD(BK1001,1),HFer,HOuv),HOuv))*24,4)))/HJour,4),""))</f>
        <v/>
      </c>
      <c r="BM1001" s="35" t="str">
        <f aca="false">IF(OR(AO1001&lt;&gt;1,R1001=""),"",IF(BD1001=1,1,0))</f>
        <v/>
      </c>
      <c r="BN1001" s="35" t="str">
        <f aca="false">IF(AO1001&lt;&gt;1,"",IF(W1001="Oui",1,0))</f>
        <v/>
      </c>
      <c r="BO1001" s="35" t="str">
        <f aca="false">IF(AO1001&lt;&gt;1,"",IF(X1001&lt;&gt;"",1,0))</f>
        <v/>
      </c>
      <c r="BP1001" s="35" t="str">
        <f aca="false">IF(AO1001&lt;&gt;1,"",IF(Y1001="Oui",1,0))</f>
        <v/>
      </c>
      <c r="BQ1001" s="35" t="str">
        <f aca="true">IF(OR(AO1001&lt;&gt;1,Z1001&lt;&gt;"Oui"),"",IF(AB1001="",IF(AND(AA1001&lt;&gt;"",NOW()&gt;AA1001),0,""),IF(AA1001="","",IF(AB1001&lt;=AA1001,1,0))))</f>
        <v/>
      </c>
      <c r="BR1001" s="38" t="str">
        <f aca="false">IF(OR(AO1001&lt;&gt;1,K1001&lt;&gt;"Oui",O1001=""),"",IF(AC1001="",O1001+DORA_H_DET/24,IF(AC1001-O1001&lt;=DORA_H_DET/24,MIN(AC1001+DORA_H_CLA/24,O1001+DORA_H_DET/24),AC1001+DORA_H_CLA/24)))</f>
        <v/>
      </c>
      <c r="BS1001" s="35" t="str">
        <f aca="true">IF(BR1001="","",IF(AD1001="",IF(NOW()&gt;BR1001,0,""),IF(AD1001&lt;=BR1001,1,0)))</f>
        <v/>
      </c>
      <c r="BT1001" s="35" t="str">
        <f aca="true">IF(OR(BR1001="",AD1001=""),"",IF(AE1001="",IF(NOW()&gt;AD1001+DORA_H_INT/24,0,""),IF(AE1001&lt;=AD1001+DORA_H_INT/24,1,0)))</f>
        <v/>
      </c>
      <c r="BU1001" s="35" t="str">
        <f aca="true">IF(OR(BR1001="",AE1001=""),"",IF(AF1001="",IF(NOW()&gt;EDATE(AE1001,DORA_M_FIN)+1,0,""),IF(AF1001&lt;=EDATE(AE1001,DORA_M_FIN),1,0)))</f>
        <v/>
      </c>
      <c r="BV1001" s="35" t="str">
        <f aca="false">IF(BR1001="","",IF(COUNT(BS1001:BU1001)=0,"",MIN(BS1001:BU1001)))</f>
        <v/>
      </c>
      <c r="BW1001" s="40" t="str">
        <f aca="false">IF(AQ1001&lt;&gt;1,"",IF(AND(AG1001="",AH1001=""),"",N(AG1001)-N(AH1001)))</f>
        <v/>
      </c>
      <c r="BX1001" s="35" t="str">
        <f aca="true">IF(OR(AQ1001&lt;&gt;1,AI1001&lt;&gt;"Oui",AJ1001=""),"",IF(AK1001="",IF(NOW()&gt;AJ1001+1,0,""),IF(AK1001&lt;=AJ1001,1,0)))</f>
        <v/>
      </c>
    </row>
    <row r="1002" customFormat="false" ht="15" hidden="false" customHeight="false" outlineLevel="0" collapsed="false">
      <c r="B1002" s="29"/>
      <c r="C1002" s="29"/>
      <c r="D1002" s="29"/>
      <c r="E1002" s="29"/>
      <c r="F1002" s="29"/>
      <c r="G1002" s="29"/>
      <c r="H1002" s="29"/>
      <c r="I1002" s="29"/>
      <c r="J1002" s="29"/>
      <c r="K1002" s="29"/>
      <c r="L1002" s="29"/>
      <c r="M1002" s="29"/>
      <c r="N1002" s="30"/>
      <c r="O1002" s="30"/>
      <c r="P1002" s="30"/>
      <c r="Q1002" s="30"/>
      <c r="R1002" s="30"/>
      <c r="S1002" s="30"/>
      <c r="T1002" s="30"/>
      <c r="U1002" s="30"/>
      <c r="V1002" s="31"/>
      <c r="W1002" s="29"/>
      <c r="X1002" s="29"/>
      <c r="Y1002" s="29"/>
      <c r="Z1002" s="29"/>
      <c r="AA1002" s="30"/>
      <c r="AB1002" s="30"/>
      <c r="AC1002" s="30"/>
      <c r="AD1002" s="30"/>
      <c r="AE1002" s="30"/>
      <c r="AF1002" s="32"/>
      <c r="AG1002" s="33"/>
      <c r="AH1002" s="33"/>
      <c r="AI1002" s="29"/>
      <c r="AJ1002" s="32"/>
      <c r="AK1002" s="32"/>
      <c r="AL1002" s="29"/>
      <c r="AN1002" s="34" t="str">
        <f aca="false">IF($B1002="","",IF(OR(C1002="",D1002="",E1002="",G1002="",I1002="",J1002="",L1002="",O1002="",P1002=""),"Champ obligatoire manquant",IF(OR(AND(N1002&lt;&gt;"",N1002&gt;O1002),O1002&gt;P1002,AND(Q1002&lt;&gt;"",Q1002&lt;P1002),AND(R1002&lt;&gt;"",R1002&lt;P1002),AND(S1002&lt;&gt;"",S1002&lt;R1002),AND(S1002&lt;&gt;"",R1002=""),AND(T1002&lt;&gt;"",T1002&lt;O1002),AND(U1002&lt;&gt;"",U1002&lt;O1002)),"Chronologie incohérente",IF(AND(OR(L1002="Résolu",L1002="Clos"),R1002=""),"Date de résolution manquante",IF(AND(L1002="Clos",S1002=""),"Date de clôture manquante",IF(AND(K1002="Oui",AC1002=""),"Classification DORA manquante","OK"))))))</f>
        <v/>
      </c>
      <c r="AO1002" s="35" t="str">
        <f aca="false">IF($B1002="","",IF(AND(C1002="Incident",L1002&lt;&gt;"Annulé"),1,0))</f>
        <v/>
      </c>
      <c r="AP1002" s="35" t="str">
        <f aca="false">IF($B1002="","",IF(AND(C1002="Quasi-incident",L1002&lt;&gt;"Annulé"),1,0))</f>
        <v/>
      </c>
      <c r="AQ1002" s="35" t="str">
        <f aca="false">IF($B1002="","",AO1002+AP1002)</f>
        <v/>
      </c>
      <c r="AR1002" s="36" t="str">
        <f aca="false">IF(OR($B1002="",J1002=""),"",IFERROR(VALUE(LEFT(J1002,1)),""))</f>
        <v/>
      </c>
      <c r="AS1002" s="35" t="str">
        <f aca="false">IF(OR(AO1002&lt;&gt;1,G1002=""),"",IFERROR(IF(INDEX(L_SrcInterne,MATCH(G1002,L_Sources,0))="Oui",1,0),""))</f>
        <v/>
      </c>
      <c r="AT1002" s="37" t="str">
        <f aca="false">IF(AO1002&lt;&gt;1,"",IFERROR(ROUND(IF(OR(N1002="",O1002=""),"",IF(O1002&lt;N1002,"",ROUND(((NETWORKDAYS(N1002,O1002,JoursFeries)-1)*(HFer-HOuv)+IF(NETWORKDAYS(O1002,O1002,JoursFeries),MEDIAN(MOD(O1002,1),HFer,HOuv),HFer)-IF(NETWORKDAYS(N1002,N1002,JoursFeries),MEDIAN(MOD(N1002,1),HFer,HOuv),HOuv))*24,4)))/HJour,4),""))</f>
        <v/>
      </c>
      <c r="AU1002" s="37" t="str">
        <f aca="false">IF(AO1002&lt;&gt;1,"",IF(OR(O1002="",P1002=""),"",IF(P1002&lt;O1002,"",ROUND(((NETWORKDAYS(O1002,P1002,JoursFeries)-1)*(HFer-HOuv)+IF(NETWORKDAYS(P1002,P1002,JoursFeries),MEDIAN(MOD(P1002,1),HFer,HOuv),HFer)-IF(NETWORKDAYS(O1002,O1002,JoursFeries),MEDIAN(MOD(O1002,1),HFer,HOuv),HOuv))*24,4))))</f>
        <v/>
      </c>
      <c r="AV1002" s="37" t="str">
        <f aca="false">IF(AO1002&lt;&gt;1,"",IF(OR(P1002="",Q1002=""),"",IF(Q1002&lt;P1002,"",ROUND(((NETWORKDAYS(P1002,Q1002,JoursFeries)-1)*(HFer-HOuv)+IF(NETWORKDAYS(Q1002,Q1002,JoursFeries),MEDIAN(MOD(Q1002,1),HFer,HOuv),HFer)-IF(NETWORKDAYS(P1002,P1002,JoursFeries),MEDIAN(MOD(P1002,1),HFer,HOuv),HOuv))*24,4))))</f>
        <v/>
      </c>
      <c r="AW1002" s="37" t="str">
        <f aca="false">IF(AO1002&lt;&gt;1,"",IFERROR(ROUND(IF(OR(P1002="",R1002=""),"",IF(R1002&lt;P1002,"",ROUND(((NETWORKDAYS(P1002,R1002,JoursFeries)-1)*(HFer-HOuv)+IF(NETWORKDAYS(R1002,R1002,JoursFeries),MEDIAN(MOD(R1002,1),HFer,HOuv),HFer)-IF(NETWORKDAYS(P1002,P1002,JoursFeries),MEDIAN(MOD(P1002,1),HFer,HOuv),HOuv))*24,4)))/HJour,4),""))</f>
        <v/>
      </c>
      <c r="AX1002" s="37" t="str">
        <f aca="false">IF(AO1002&lt;&gt;1,"",IFERROR(ROUND(IF(OR(P1002="",S1002=""),"",IF(S1002&lt;P1002,"",ROUND(((NETWORKDAYS(P1002,S1002,JoursFeries)-1)*(HFer-HOuv)+IF(NETWORKDAYS(S1002,S1002,JoursFeries),MEDIAN(MOD(S1002,1),HFer,HOuv),HFer)-IF(NETWORKDAYS(P1002,P1002,JoursFeries),MEDIAN(MOD(P1002,1),HFer,HOuv),HOuv))*24,4)))/HJour,4),""))</f>
        <v/>
      </c>
      <c r="AY1002" s="36" t="str">
        <f aca="false">IF(OR(AO1002&lt;&gt;1,AR1002=""),"",INDEX(SLA_PEC,AR1002))</f>
        <v/>
      </c>
      <c r="AZ1002" s="35" t="str">
        <f aca="false">IF(OR(AV1002="",AY1002=""),"",IF(AV1002&lt;=AY1002,1,0))</f>
        <v/>
      </c>
      <c r="BA1002" s="36" t="str">
        <f aca="false">IF(OR(AO1002&lt;&gt;1,AR1002=""),"",INDEX(SLA_RES,AR1002))</f>
        <v/>
      </c>
      <c r="BB1002" s="35" t="str">
        <f aca="false">IF(OR(AW1002="",BA1002=""),"",IF(AW1002&lt;=BA1002,1,0))</f>
        <v/>
      </c>
      <c r="BC1002" s="38" t="str">
        <f aca="false">IF(OR(BA1002="",P1002=""),"",WORKDAY(INT(P1002),BA1002,JoursFeries)+MOD(P1002,1))</f>
        <v/>
      </c>
      <c r="BD1002" s="39" t="str">
        <f aca="false">IF(AO1002&lt;&gt;1,"",IF(OR(AB1002&lt;&gt;"",AD1002&lt;&gt;""),4,IF(U1002&lt;&gt;"",3,IF(T1002&lt;&gt;"",2,1))))</f>
        <v/>
      </c>
      <c r="BE1002" s="39" t="str">
        <f aca="false">IF(OR(AO1002&lt;&gt;1,AR1002=""),"",INDEX(NIV_REQ,AR1002))</f>
        <v/>
      </c>
      <c r="BF1002" s="39" t="str">
        <f aca="false">IF(BE1002="","",MAX(BE1002,IF(OR(K1002="Oui",Z1002="Oui"),4,1)))</f>
        <v/>
      </c>
      <c r="BG1002" s="35" t="str">
        <f aca="false">IF(OR(BF1002="",BD1002=""),"",IF(BD1002&gt;=BF1002,1,0))</f>
        <v/>
      </c>
      <c r="BH1002" s="38" t="str">
        <f aca="false">IF(BE1002="","",IF(BE1002&lt;2,"",IF(BE1002=2,IF(AND(T1002="",U1002=""),"",MIN(T1002,U1002)),IF(U1002="","",U1002))))</f>
        <v/>
      </c>
      <c r="BI1002" s="37" t="str">
        <f aca="false">IF(BH1002="","",IF(OR(O1002="",BH1002=""),"",IF(BH1002&lt;O1002,"",ROUND(((NETWORKDAYS(O1002,BH1002,JoursFeries)-1)*(HFer-HOuv)+IF(NETWORKDAYS(BH1002,BH1002,JoursFeries),MEDIAN(MOD(BH1002,1),HFer,HOuv),HFer)-IF(NETWORKDAYS(O1002,O1002,JoursFeries),MEDIAN(MOD(O1002,1),HFer,HOuv),HOuv))*24,4))))</f>
        <v/>
      </c>
      <c r="BJ1002" s="35" t="str">
        <f aca="false">IF(OR(BI1002="",AR1002=""),"",IF(BI1002&lt;=INDEX(DELAI_ESC,AR1002),1,0))</f>
        <v/>
      </c>
      <c r="BK1002" s="38" t="str">
        <f aca="false">IF(AO1002&lt;&gt;1,"",IF(AND(T1002="",U1002=""),"",MIN(T1002,U1002)))</f>
        <v/>
      </c>
      <c r="BL1002" s="37" t="str">
        <f aca="false">IF(OR(BK1002="",R1002=""),"",IFERROR(ROUND(IF(OR(BK1002="",R1002=""),"",IF(R1002&lt;BK1002,"",ROUND(((NETWORKDAYS(BK1002,R1002,JoursFeries)-1)*(HFer-HOuv)+IF(NETWORKDAYS(R1002,R1002,JoursFeries),MEDIAN(MOD(R1002,1),HFer,HOuv),HFer)-IF(NETWORKDAYS(BK1002,BK1002,JoursFeries),MEDIAN(MOD(BK1002,1),HFer,HOuv),HOuv))*24,4)))/HJour,4),""))</f>
        <v/>
      </c>
      <c r="BM1002" s="35" t="str">
        <f aca="false">IF(OR(AO1002&lt;&gt;1,R1002=""),"",IF(BD1002=1,1,0))</f>
        <v/>
      </c>
      <c r="BN1002" s="35" t="str">
        <f aca="false">IF(AO1002&lt;&gt;1,"",IF(W1002="Oui",1,0))</f>
        <v/>
      </c>
      <c r="BO1002" s="35" t="str">
        <f aca="false">IF(AO1002&lt;&gt;1,"",IF(X1002&lt;&gt;"",1,0))</f>
        <v/>
      </c>
      <c r="BP1002" s="35" t="str">
        <f aca="false">IF(AO1002&lt;&gt;1,"",IF(Y1002="Oui",1,0))</f>
        <v/>
      </c>
      <c r="BQ1002" s="35" t="str">
        <f aca="true">IF(OR(AO1002&lt;&gt;1,Z1002&lt;&gt;"Oui"),"",IF(AB1002="",IF(AND(AA1002&lt;&gt;"",NOW()&gt;AA1002),0,""),IF(AA1002="","",IF(AB1002&lt;=AA1002,1,0))))</f>
        <v/>
      </c>
      <c r="BR1002" s="38" t="str">
        <f aca="false">IF(OR(AO1002&lt;&gt;1,K1002&lt;&gt;"Oui",O1002=""),"",IF(AC1002="",O1002+DORA_H_DET/24,IF(AC1002-O1002&lt;=DORA_H_DET/24,MIN(AC1002+DORA_H_CLA/24,O1002+DORA_H_DET/24),AC1002+DORA_H_CLA/24)))</f>
        <v/>
      </c>
      <c r="BS1002" s="35" t="str">
        <f aca="true">IF(BR1002="","",IF(AD1002="",IF(NOW()&gt;BR1002,0,""),IF(AD1002&lt;=BR1002,1,0)))</f>
        <v/>
      </c>
      <c r="BT1002" s="35" t="str">
        <f aca="true">IF(OR(BR1002="",AD1002=""),"",IF(AE1002="",IF(NOW()&gt;AD1002+DORA_H_INT/24,0,""),IF(AE1002&lt;=AD1002+DORA_H_INT/24,1,0)))</f>
        <v/>
      </c>
      <c r="BU1002" s="35" t="str">
        <f aca="true">IF(OR(BR1002="",AE1002=""),"",IF(AF1002="",IF(NOW()&gt;EDATE(AE1002,DORA_M_FIN)+1,0,""),IF(AF1002&lt;=EDATE(AE1002,DORA_M_FIN),1,0)))</f>
        <v/>
      </c>
      <c r="BV1002" s="35" t="str">
        <f aca="false">IF(BR1002="","",IF(COUNT(BS1002:BU1002)=0,"",MIN(BS1002:BU1002)))</f>
        <v/>
      </c>
      <c r="BW1002" s="40" t="str">
        <f aca="false">IF(AQ1002&lt;&gt;1,"",IF(AND(AG1002="",AH1002=""),"",N(AG1002)-N(AH1002)))</f>
        <v/>
      </c>
      <c r="BX1002" s="35" t="str">
        <f aca="true">IF(OR(AQ1002&lt;&gt;1,AI1002&lt;&gt;"Oui",AJ1002=""),"",IF(AK1002="",IF(NOW()&gt;AJ1002+1,0,""),IF(AK1002&lt;=AJ1002,1,0)))</f>
        <v/>
      </c>
    </row>
    <row r="1003" customFormat="false" ht="15" hidden="false" customHeight="false" outlineLevel="0" collapsed="false">
      <c r="B1003" s="29"/>
      <c r="C1003" s="29"/>
      <c r="D1003" s="29"/>
      <c r="E1003" s="29"/>
      <c r="F1003" s="29"/>
      <c r="G1003" s="29"/>
      <c r="H1003" s="29"/>
      <c r="I1003" s="29"/>
      <c r="J1003" s="29"/>
      <c r="K1003" s="29"/>
      <c r="L1003" s="29"/>
      <c r="M1003" s="29"/>
      <c r="N1003" s="30"/>
      <c r="O1003" s="30"/>
      <c r="P1003" s="30"/>
      <c r="Q1003" s="30"/>
      <c r="R1003" s="30"/>
      <c r="S1003" s="30"/>
      <c r="T1003" s="30"/>
      <c r="U1003" s="30"/>
      <c r="V1003" s="31"/>
      <c r="W1003" s="29"/>
      <c r="X1003" s="29"/>
      <c r="Y1003" s="29"/>
      <c r="Z1003" s="29"/>
      <c r="AA1003" s="30"/>
      <c r="AB1003" s="30"/>
      <c r="AC1003" s="30"/>
      <c r="AD1003" s="30"/>
      <c r="AE1003" s="30"/>
      <c r="AF1003" s="32"/>
      <c r="AG1003" s="33"/>
      <c r="AH1003" s="33"/>
      <c r="AI1003" s="29"/>
      <c r="AJ1003" s="32"/>
      <c r="AK1003" s="32"/>
      <c r="AL1003" s="29"/>
      <c r="AN1003" s="34" t="str">
        <f aca="false">IF($B1003="","",IF(OR(C1003="",D1003="",E1003="",G1003="",I1003="",J1003="",L1003="",O1003="",P1003=""),"Champ obligatoire manquant",IF(OR(AND(N1003&lt;&gt;"",N1003&gt;O1003),O1003&gt;P1003,AND(Q1003&lt;&gt;"",Q1003&lt;P1003),AND(R1003&lt;&gt;"",R1003&lt;P1003),AND(S1003&lt;&gt;"",S1003&lt;R1003),AND(S1003&lt;&gt;"",R1003=""),AND(T1003&lt;&gt;"",T1003&lt;O1003),AND(U1003&lt;&gt;"",U1003&lt;O1003)),"Chronologie incohérente",IF(AND(OR(L1003="Résolu",L1003="Clos"),R1003=""),"Date de résolution manquante",IF(AND(L1003="Clos",S1003=""),"Date de clôture manquante",IF(AND(K1003="Oui",AC1003=""),"Classification DORA manquante","OK"))))))</f>
        <v/>
      </c>
      <c r="AO1003" s="35" t="str">
        <f aca="false">IF($B1003="","",IF(AND(C1003="Incident",L1003&lt;&gt;"Annulé"),1,0))</f>
        <v/>
      </c>
      <c r="AP1003" s="35" t="str">
        <f aca="false">IF($B1003="","",IF(AND(C1003="Quasi-incident",L1003&lt;&gt;"Annulé"),1,0))</f>
        <v/>
      </c>
      <c r="AQ1003" s="35" t="str">
        <f aca="false">IF($B1003="","",AO1003+AP1003)</f>
        <v/>
      </c>
      <c r="AR1003" s="36" t="str">
        <f aca="false">IF(OR($B1003="",J1003=""),"",IFERROR(VALUE(LEFT(J1003,1)),""))</f>
        <v/>
      </c>
      <c r="AS1003" s="35" t="str">
        <f aca="false">IF(OR(AO1003&lt;&gt;1,G1003=""),"",IFERROR(IF(INDEX(L_SrcInterne,MATCH(G1003,L_Sources,0))="Oui",1,0),""))</f>
        <v/>
      </c>
      <c r="AT1003" s="37" t="str">
        <f aca="false">IF(AO1003&lt;&gt;1,"",IFERROR(ROUND(IF(OR(N1003="",O1003=""),"",IF(O1003&lt;N1003,"",ROUND(((NETWORKDAYS(N1003,O1003,JoursFeries)-1)*(HFer-HOuv)+IF(NETWORKDAYS(O1003,O1003,JoursFeries),MEDIAN(MOD(O1003,1),HFer,HOuv),HFer)-IF(NETWORKDAYS(N1003,N1003,JoursFeries),MEDIAN(MOD(N1003,1),HFer,HOuv),HOuv))*24,4)))/HJour,4),""))</f>
        <v/>
      </c>
      <c r="AU1003" s="37" t="str">
        <f aca="false">IF(AO1003&lt;&gt;1,"",IF(OR(O1003="",P1003=""),"",IF(P1003&lt;O1003,"",ROUND(((NETWORKDAYS(O1003,P1003,JoursFeries)-1)*(HFer-HOuv)+IF(NETWORKDAYS(P1003,P1003,JoursFeries),MEDIAN(MOD(P1003,1),HFer,HOuv),HFer)-IF(NETWORKDAYS(O1003,O1003,JoursFeries),MEDIAN(MOD(O1003,1),HFer,HOuv),HOuv))*24,4))))</f>
        <v/>
      </c>
      <c r="AV1003" s="37" t="str">
        <f aca="false">IF(AO1003&lt;&gt;1,"",IF(OR(P1003="",Q1003=""),"",IF(Q1003&lt;P1003,"",ROUND(((NETWORKDAYS(P1003,Q1003,JoursFeries)-1)*(HFer-HOuv)+IF(NETWORKDAYS(Q1003,Q1003,JoursFeries),MEDIAN(MOD(Q1003,1),HFer,HOuv),HFer)-IF(NETWORKDAYS(P1003,P1003,JoursFeries),MEDIAN(MOD(P1003,1),HFer,HOuv),HOuv))*24,4))))</f>
        <v/>
      </c>
      <c r="AW1003" s="37" t="str">
        <f aca="false">IF(AO1003&lt;&gt;1,"",IFERROR(ROUND(IF(OR(P1003="",R1003=""),"",IF(R1003&lt;P1003,"",ROUND(((NETWORKDAYS(P1003,R1003,JoursFeries)-1)*(HFer-HOuv)+IF(NETWORKDAYS(R1003,R1003,JoursFeries),MEDIAN(MOD(R1003,1),HFer,HOuv),HFer)-IF(NETWORKDAYS(P1003,P1003,JoursFeries),MEDIAN(MOD(P1003,1),HFer,HOuv),HOuv))*24,4)))/HJour,4),""))</f>
        <v/>
      </c>
      <c r="AX1003" s="37" t="str">
        <f aca="false">IF(AO1003&lt;&gt;1,"",IFERROR(ROUND(IF(OR(P1003="",S1003=""),"",IF(S1003&lt;P1003,"",ROUND(((NETWORKDAYS(P1003,S1003,JoursFeries)-1)*(HFer-HOuv)+IF(NETWORKDAYS(S1003,S1003,JoursFeries),MEDIAN(MOD(S1003,1),HFer,HOuv),HFer)-IF(NETWORKDAYS(P1003,P1003,JoursFeries),MEDIAN(MOD(P1003,1),HFer,HOuv),HOuv))*24,4)))/HJour,4),""))</f>
        <v/>
      </c>
      <c r="AY1003" s="36" t="str">
        <f aca="false">IF(OR(AO1003&lt;&gt;1,AR1003=""),"",INDEX(SLA_PEC,AR1003))</f>
        <v/>
      </c>
      <c r="AZ1003" s="35" t="str">
        <f aca="false">IF(OR(AV1003="",AY1003=""),"",IF(AV1003&lt;=AY1003,1,0))</f>
        <v/>
      </c>
      <c r="BA1003" s="36" t="str">
        <f aca="false">IF(OR(AO1003&lt;&gt;1,AR1003=""),"",INDEX(SLA_RES,AR1003))</f>
        <v/>
      </c>
      <c r="BB1003" s="35" t="str">
        <f aca="false">IF(OR(AW1003="",BA1003=""),"",IF(AW1003&lt;=BA1003,1,0))</f>
        <v/>
      </c>
      <c r="BC1003" s="38" t="str">
        <f aca="false">IF(OR(BA1003="",P1003=""),"",WORKDAY(INT(P1003),BA1003,JoursFeries)+MOD(P1003,1))</f>
        <v/>
      </c>
      <c r="BD1003" s="39" t="str">
        <f aca="false">IF(AO1003&lt;&gt;1,"",IF(OR(AB1003&lt;&gt;"",AD1003&lt;&gt;""),4,IF(U1003&lt;&gt;"",3,IF(T1003&lt;&gt;"",2,1))))</f>
        <v/>
      </c>
      <c r="BE1003" s="39" t="str">
        <f aca="false">IF(OR(AO1003&lt;&gt;1,AR1003=""),"",INDEX(NIV_REQ,AR1003))</f>
        <v/>
      </c>
      <c r="BF1003" s="39" t="str">
        <f aca="false">IF(BE1003="","",MAX(BE1003,IF(OR(K1003="Oui",Z1003="Oui"),4,1)))</f>
        <v/>
      </c>
      <c r="BG1003" s="35" t="str">
        <f aca="false">IF(OR(BF1003="",BD1003=""),"",IF(BD1003&gt;=BF1003,1,0))</f>
        <v/>
      </c>
      <c r="BH1003" s="38" t="str">
        <f aca="false">IF(BE1003="","",IF(BE1003&lt;2,"",IF(BE1003=2,IF(AND(T1003="",U1003=""),"",MIN(T1003,U1003)),IF(U1003="","",U1003))))</f>
        <v/>
      </c>
      <c r="BI1003" s="37" t="str">
        <f aca="false">IF(BH1003="","",IF(OR(O1003="",BH1003=""),"",IF(BH1003&lt;O1003,"",ROUND(((NETWORKDAYS(O1003,BH1003,JoursFeries)-1)*(HFer-HOuv)+IF(NETWORKDAYS(BH1003,BH1003,JoursFeries),MEDIAN(MOD(BH1003,1),HFer,HOuv),HFer)-IF(NETWORKDAYS(O1003,O1003,JoursFeries),MEDIAN(MOD(O1003,1),HFer,HOuv),HOuv))*24,4))))</f>
        <v/>
      </c>
      <c r="BJ1003" s="35" t="str">
        <f aca="false">IF(OR(BI1003="",AR1003=""),"",IF(BI1003&lt;=INDEX(DELAI_ESC,AR1003),1,0))</f>
        <v/>
      </c>
      <c r="BK1003" s="38" t="str">
        <f aca="false">IF(AO1003&lt;&gt;1,"",IF(AND(T1003="",U1003=""),"",MIN(T1003,U1003)))</f>
        <v/>
      </c>
      <c r="BL1003" s="37" t="str">
        <f aca="false">IF(OR(BK1003="",R1003=""),"",IFERROR(ROUND(IF(OR(BK1003="",R1003=""),"",IF(R1003&lt;BK1003,"",ROUND(((NETWORKDAYS(BK1003,R1003,JoursFeries)-1)*(HFer-HOuv)+IF(NETWORKDAYS(R1003,R1003,JoursFeries),MEDIAN(MOD(R1003,1),HFer,HOuv),HFer)-IF(NETWORKDAYS(BK1003,BK1003,JoursFeries),MEDIAN(MOD(BK1003,1),HFer,HOuv),HOuv))*24,4)))/HJour,4),""))</f>
        <v/>
      </c>
      <c r="BM1003" s="35" t="str">
        <f aca="false">IF(OR(AO1003&lt;&gt;1,R1003=""),"",IF(BD1003=1,1,0))</f>
        <v/>
      </c>
      <c r="BN1003" s="35" t="str">
        <f aca="false">IF(AO1003&lt;&gt;1,"",IF(W1003="Oui",1,0))</f>
        <v/>
      </c>
      <c r="BO1003" s="35" t="str">
        <f aca="false">IF(AO1003&lt;&gt;1,"",IF(X1003&lt;&gt;"",1,0))</f>
        <v/>
      </c>
      <c r="BP1003" s="35" t="str">
        <f aca="false">IF(AO1003&lt;&gt;1,"",IF(Y1003="Oui",1,0))</f>
        <v/>
      </c>
      <c r="BQ1003" s="35" t="str">
        <f aca="true">IF(OR(AO1003&lt;&gt;1,Z1003&lt;&gt;"Oui"),"",IF(AB1003="",IF(AND(AA1003&lt;&gt;"",NOW()&gt;AA1003),0,""),IF(AA1003="","",IF(AB1003&lt;=AA1003,1,0))))</f>
        <v/>
      </c>
      <c r="BR1003" s="38" t="str">
        <f aca="false">IF(OR(AO1003&lt;&gt;1,K1003&lt;&gt;"Oui",O1003=""),"",IF(AC1003="",O1003+DORA_H_DET/24,IF(AC1003-O1003&lt;=DORA_H_DET/24,MIN(AC1003+DORA_H_CLA/24,O1003+DORA_H_DET/24),AC1003+DORA_H_CLA/24)))</f>
        <v/>
      </c>
      <c r="BS1003" s="35" t="str">
        <f aca="true">IF(BR1003="","",IF(AD1003="",IF(NOW()&gt;BR1003,0,""),IF(AD1003&lt;=BR1003,1,0)))</f>
        <v/>
      </c>
      <c r="BT1003" s="35" t="str">
        <f aca="true">IF(OR(BR1003="",AD1003=""),"",IF(AE1003="",IF(NOW()&gt;AD1003+DORA_H_INT/24,0,""),IF(AE1003&lt;=AD1003+DORA_H_INT/24,1,0)))</f>
        <v/>
      </c>
      <c r="BU1003" s="35" t="str">
        <f aca="true">IF(OR(BR1003="",AE1003=""),"",IF(AF1003="",IF(NOW()&gt;EDATE(AE1003,DORA_M_FIN)+1,0,""),IF(AF1003&lt;=EDATE(AE1003,DORA_M_FIN),1,0)))</f>
        <v/>
      </c>
      <c r="BV1003" s="35" t="str">
        <f aca="false">IF(BR1003="","",IF(COUNT(BS1003:BU1003)=0,"",MIN(BS1003:BU1003)))</f>
        <v/>
      </c>
      <c r="BW1003" s="40" t="str">
        <f aca="false">IF(AQ1003&lt;&gt;1,"",IF(AND(AG1003="",AH1003=""),"",N(AG1003)-N(AH1003)))</f>
        <v/>
      </c>
      <c r="BX1003" s="35" t="str">
        <f aca="true">IF(OR(AQ1003&lt;&gt;1,AI1003&lt;&gt;"Oui",AJ1003=""),"",IF(AK1003="",IF(NOW()&gt;AJ1003+1,0,""),IF(AK1003&lt;=AJ1003,1,0)))</f>
        <v/>
      </c>
    </row>
    <row r="1004" customFormat="false" ht="15" hidden="false" customHeight="false" outlineLevel="0" collapsed="false">
      <c r="B1004" s="29"/>
      <c r="C1004" s="29"/>
      <c r="D1004" s="29"/>
      <c r="E1004" s="29"/>
      <c r="F1004" s="29"/>
      <c r="G1004" s="29"/>
      <c r="H1004" s="29"/>
      <c r="I1004" s="29"/>
      <c r="J1004" s="29"/>
      <c r="K1004" s="29"/>
      <c r="L1004" s="29"/>
      <c r="M1004" s="29"/>
      <c r="N1004" s="30"/>
      <c r="O1004" s="30"/>
      <c r="P1004" s="30"/>
      <c r="Q1004" s="30"/>
      <c r="R1004" s="30"/>
      <c r="S1004" s="30"/>
      <c r="T1004" s="30"/>
      <c r="U1004" s="30"/>
      <c r="V1004" s="31"/>
      <c r="W1004" s="29"/>
      <c r="X1004" s="29"/>
      <c r="Y1004" s="29"/>
      <c r="Z1004" s="29"/>
      <c r="AA1004" s="30"/>
      <c r="AB1004" s="30"/>
      <c r="AC1004" s="30"/>
      <c r="AD1004" s="30"/>
      <c r="AE1004" s="30"/>
      <c r="AF1004" s="32"/>
      <c r="AG1004" s="33"/>
      <c r="AH1004" s="33"/>
      <c r="AI1004" s="29"/>
      <c r="AJ1004" s="32"/>
      <c r="AK1004" s="32"/>
      <c r="AL1004" s="29"/>
      <c r="AN1004" s="34" t="str">
        <f aca="false">IF($B1004="","",IF(OR(C1004="",D1004="",E1004="",G1004="",I1004="",J1004="",L1004="",O1004="",P1004=""),"Champ obligatoire manquant",IF(OR(AND(N1004&lt;&gt;"",N1004&gt;O1004),O1004&gt;P1004,AND(Q1004&lt;&gt;"",Q1004&lt;P1004),AND(R1004&lt;&gt;"",R1004&lt;P1004),AND(S1004&lt;&gt;"",S1004&lt;R1004),AND(S1004&lt;&gt;"",R1004=""),AND(T1004&lt;&gt;"",T1004&lt;O1004),AND(U1004&lt;&gt;"",U1004&lt;O1004)),"Chronologie incohérente",IF(AND(OR(L1004="Résolu",L1004="Clos"),R1004=""),"Date de résolution manquante",IF(AND(L1004="Clos",S1004=""),"Date de clôture manquante",IF(AND(K1004="Oui",AC1004=""),"Classification DORA manquante","OK"))))))</f>
        <v/>
      </c>
      <c r="AO1004" s="35" t="str">
        <f aca="false">IF($B1004="","",IF(AND(C1004="Incident",L1004&lt;&gt;"Annulé"),1,0))</f>
        <v/>
      </c>
      <c r="AP1004" s="35" t="str">
        <f aca="false">IF($B1004="","",IF(AND(C1004="Quasi-incident",L1004&lt;&gt;"Annulé"),1,0))</f>
        <v/>
      </c>
      <c r="AQ1004" s="35" t="str">
        <f aca="false">IF($B1004="","",AO1004+AP1004)</f>
        <v/>
      </c>
      <c r="AR1004" s="36" t="str">
        <f aca="false">IF(OR($B1004="",J1004=""),"",IFERROR(VALUE(LEFT(J1004,1)),""))</f>
        <v/>
      </c>
      <c r="AS1004" s="35" t="str">
        <f aca="false">IF(OR(AO1004&lt;&gt;1,G1004=""),"",IFERROR(IF(INDEX(L_SrcInterne,MATCH(G1004,L_Sources,0))="Oui",1,0),""))</f>
        <v/>
      </c>
      <c r="AT1004" s="37" t="str">
        <f aca="false">IF(AO1004&lt;&gt;1,"",IFERROR(ROUND(IF(OR(N1004="",O1004=""),"",IF(O1004&lt;N1004,"",ROUND(((NETWORKDAYS(N1004,O1004,JoursFeries)-1)*(HFer-HOuv)+IF(NETWORKDAYS(O1004,O1004,JoursFeries),MEDIAN(MOD(O1004,1),HFer,HOuv),HFer)-IF(NETWORKDAYS(N1004,N1004,JoursFeries),MEDIAN(MOD(N1004,1),HFer,HOuv),HOuv))*24,4)))/HJour,4),""))</f>
        <v/>
      </c>
      <c r="AU1004" s="37" t="str">
        <f aca="false">IF(AO1004&lt;&gt;1,"",IF(OR(O1004="",P1004=""),"",IF(P1004&lt;O1004,"",ROUND(((NETWORKDAYS(O1004,P1004,JoursFeries)-1)*(HFer-HOuv)+IF(NETWORKDAYS(P1004,P1004,JoursFeries),MEDIAN(MOD(P1004,1),HFer,HOuv),HFer)-IF(NETWORKDAYS(O1004,O1004,JoursFeries),MEDIAN(MOD(O1004,1),HFer,HOuv),HOuv))*24,4))))</f>
        <v/>
      </c>
      <c r="AV1004" s="37" t="str">
        <f aca="false">IF(AO1004&lt;&gt;1,"",IF(OR(P1004="",Q1004=""),"",IF(Q1004&lt;P1004,"",ROUND(((NETWORKDAYS(P1004,Q1004,JoursFeries)-1)*(HFer-HOuv)+IF(NETWORKDAYS(Q1004,Q1004,JoursFeries),MEDIAN(MOD(Q1004,1),HFer,HOuv),HFer)-IF(NETWORKDAYS(P1004,P1004,JoursFeries),MEDIAN(MOD(P1004,1),HFer,HOuv),HOuv))*24,4))))</f>
        <v/>
      </c>
      <c r="AW1004" s="37" t="str">
        <f aca="false">IF(AO1004&lt;&gt;1,"",IFERROR(ROUND(IF(OR(P1004="",R1004=""),"",IF(R1004&lt;P1004,"",ROUND(((NETWORKDAYS(P1004,R1004,JoursFeries)-1)*(HFer-HOuv)+IF(NETWORKDAYS(R1004,R1004,JoursFeries),MEDIAN(MOD(R1004,1),HFer,HOuv),HFer)-IF(NETWORKDAYS(P1004,P1004,JoursFeries),MEDIAN(MOD(P1004,1),HFer,HOuv),HOuv))*24,4)))/HJour,4),""))</f>
        <v/>
      </c>
      <c r="AX1004" s="37" t="str">
        <f aca="false">IF(AO1004&lt;&gt;1,"",IFERROR(ROUND(IF(OR(P1004="",S1004=""),"",IF(S1004&lt;P1004,"",ROUND(((NETWORKDAYS(P1004,S1004,JoursFeries)-1)*(HFer-HOuv)+IF(NETWORKDAYS(S1004,S1004,JoursFeries),MEDIAN(MOD(S1004,1),HFer,HOuv),HFer)-IF(NETWORKDAYS(P1004,P1004,JoursFeries),MEDIAN(MOD(P1004,1),HFer,HOuv),HOuv))*24,4)))/HJour,4),""))</f>
        <v/>
      </c>
      <c r="AY1004" s="36" t="str">
        <f aca="false">IF(OR(AO1004&lt;&gt;1,AR1004=""),"",INDEX(SLA_PEC,AR1004))</f>
        <v/>
      </c>
      <c r="AZ1004" s="35" t="str">
        <f aca="false">IF(OR(AV1004="",AY1004=""),"",IF(AV1004&lt;=AY1004,1,0))</f>
        <v/>
      </c>
      <c r="BA1004" s="36" t="str">
        <f aca="false">IF(OR(AO1004&lt;&gt;1,AR1004=""),"",INDEX(SLA_RES,AR1004))</f>
        <v/>
      </c>
      <c r="BB1004" s="35" t="str">
        <f aca="false">IF(OR(AW1004="",BA1004=""),"",IF(AW1004&lt;=BA1004,1,0))</f>
        <v/>
      </c>
      <c r="BC1004" s="38" t="str">
        <f aca="false">IF(OR(BA1004="",P1004=""),"",WORKDAY(INT(P1004),BA1004,JoursFeries)+MOD(P1004,1))</f>
        <v/>
      </c>
      <c r="BD1004" s="39" t="str">
        <f aca="false">IF(AO1004&lt;&gt;1,"",IF(OR(AB1004&lt;&gt;"",AD1004&lt;&gt;""),4,IF(U1004&lt;&gt;"",3,IF(T1004&lt;&gt;"",2,1))))</f>
        <v/>
      </c>
      <c r="BE1004" s="39" t="str">
        <f aca="false">IF(OR(AO1004&lt;&gt;1,AR1004=""),"",INDEX(NIV_REQ,AR1004))</f>
        <v/>
      </c>
      <c r="BF1004" s="39" t="str">
        <f aca="false">IF(BE1004="","",MAX(BE1004,IF(OR(K1004="Oui",Z1004="Oui"),4,1)))</f>
        <v/>
      </c>
      <c r="BG1004" s="35" t="str">
        <f aca="false">IF(OR(BF1004="",BD1004=""),"",IF(BD1004&gt;=BF1004,1,0))</f>
        <v/>
      </c>
      <c r="BH1004" s="38" t="str">
        <f aca="false">IF(BE1004="","",IF(BE1004&lt;2,"",IF(BE1004=2,IF(AND(T1004="",U1004=""),"",MIN(T1004,U1004)),IF(U1004="","",U1004))))</f>
        <v/>
      </c>
      <c r="BI1004" s="37" t="str">
        <f aca="false">IF(BH1004="","",IF(OR(O1004="",BH1004=""),"",IF(BH1004&lt;O1004,"",ROUND(((NETWORKDAYS(O1004,BH1004,JoursFeries)-1)*(HFer-HOuv)+IF(NETWORKDAYS(BH1004,BH1004,JoursFeries),MEDIAN(MOD(BH1004,1),HFer,HOuv),HFer)-IF(NETWORKDAYS(O1004,O1004,JoursFeries),MEDIAN(MOD(O1004,1),HFer,HOuv),HOuv))*24,4))))</f>
        <v/>
      </c>
      <c r="BJ1004" s="35" t="str">
        <f aca="false">IF(OR(BI1004="",AR1004=""),"",IF(BI1004&lt;=INDEX(DELAI_ESC,AR1004),1,0))</f>
        <v/>
      </c>
      <c r="BK1004" s="38" t="str">
        <f aca="false">IF(AO1004&lt;&gt;1,"",IF(AND(T1004="",U1004=""),"",MIN(T1004,U1004)))</f>
        <v/>
      </c>
      <c r="BL1004" s="37" t="str">
        <f aca="false">IF(OR(BK1004="",R1004=""),"",IFERROR(ROUND(IF(OR(BK1004="",R1004=""),"",IF(R1004&lt;BK1004,"",ROUND(((NETWORKDAYS(BK1004,R1004,JoursFeries)-1)*(HFer-HOuv)+IF(NETWORKDAYS(R1004,R1004,JoursFeries),MEDIAN(MOD(R1004,1),HFer,HOuv),HFer)-IF(NETWORKDAYS(BK1004,BK1004,JoursFeries),MEDIAN(MOD(BK1004,1),HFer,HOuv),HOuv))*24,4)))/HJour,4),""))</f>
        <v/>
      </c>
      <c r="BM1004" s="35" t="str">
        <f aca="false">IF(OR(AO1004&lt;&gt;1,R1004=""),"",IF(BD1004=1,1,0))</f>
        <v/>
      </c>
      <c r="BN1004" s="35" t="str">
        <f aca="false">IF(AO1004&lt;&gt;1,"",IF(W1004="Oui",1,0))</f>
        <v/>
      </c>
      <c r="BO1004" s="35" t="str">
        <f aca="false">IF(AO1004&lt;&gt;1,"",IF(X1004&lt;&gt;"",1,0))</f>
        <v/>
      </c>
      <c r="BP1004" s="35" t="str">
        <f aca="false">IF(AO1004&lt;&gt;1,"",IF(Y1004="Oui",1,0))</f>
        <v/>
      </c>
      <c r="BQ1004" s="35" t="str">
        <f aca="true">IF(OR(AO1004&lt;&gt;1,Z1004&lt;&gt;"Oui"),"",IF(AB1004="",IF(AND(AA1004&lt;&gt;"",NOW()&gt;AA1004),0,""),IF(AA1004="","",IF(AB1004&lt;=AA1004,1,0))))</f>
        <v/>
      </c>
      <c r="BR1004" s="38" t="str">
        <f aca="false">IF(OR(AO1004&lt;&gt;1,K1004&lt;&gt;"Oui",O1004=""),"",IF(AC1004="",O1004+DORA_H_DET/24,IF(AC1004-O1004&lt;=DORA_H_DET/24,MIN(AC1004+DORA_H_CLA/24,O1004+DORA_H_DET/24),AC1004+DORA_H_CLA/24)))</f>
        <v/>
      </c>
      <c r="BS1004" s="35" t="str">
        <f aca="true">IF(BR1004="","",IF(AD1004="",IF(NOW()&gt;BR1004,0,""),IF(AD1004&lt;=BR1004,1,0)))</f>
        <v/>
      </c>
      <c r="BT1004" s="35" t="str">
        <f aca="true">IF(OR(BR1004="",AD1004=""),"",IF(AE1004="",IF(NOW()&gt;AD1004+DORA_H_INT/24,0,""),IF(AE1004&lt;=AD1004+DORA_H_INT/24,1,0)))</f>
        <v/>
      </c>
      <c r="BU1004" s="35" t="str">
        <f aca="true">IF(OR(BR1004="",AE1004=""),"",IF(AF1004="",IF(NOW()&gt;EDATE(AE1004,DORA_M_FIN)+1,0,""),IF(AF1004&lt;=EDATE(AE1004,DORA_M_FIN),1,0)))</f>
        <v/>
      </c>
      <c r="BV1004" s="35" t="str">
        <f aca="false">IF(BR1004="","",IF(COUNT(BS1004:BU1004)=0,"",MIN(BS1004:BU1004)))</f>
        <v/>
      </c>
      <c r="BW1004" s="40" t="str">
        <f aca="false">IF(AQ1004&lt;&gt;1,"",IF(AND(AG1004="",AH1004=""),"",N(AG1004)-N(AH1004)))</f>
        <v/>
      </c>
      <c r="BX1004" s="35" t="str">
        <f aca="true">IF(OR(AQ1004&lt;&gt;1,AI1004&lt;&gt;"Oui",AJ1004=""),"",IF(AK1004="",IF(NOW()&gt;AJ1004+1,0,""),IF(AK1004&lt;=AJ1004,1,0)))</f>
        <v/>
      </c>
    </row>
    <row r="1005" customFormat="false" ht="15" hidden="false" customHeight="false" outlineLevel="0" collapsed="false">
      <c r="B1005" s="29"/>
      <c r="C1005" s="29"/>
      <c r="D1005" s="29"/>
      <c r="E1005" s="29"/>
      <c r="F1005" s="29"/>
      <c r="G1005" s="29"/>
      <c r="H1005" s="29"/>
      <c r="I1005" s="29"/>
      <c r="J1005" s="29"/>
      <c r="K1005" s="29"/>
      <c r="L1005" s="29"/>
      <c r="M1005" s="29"/>
      <c r="N1005" s="30"/>
      <c r="O1005" s="30"/>
      <c r="P1005" s="30"/>
      <c r="Q1005" s="30"/>
      <c r="R1005" s="30"/>
      <c r="S1005" s="30"/>
      <c r="T1005" s="30"/>
      <c r="U1005" s="30"/>
      <c r="V1005" s="31"/>
      <c r="W1005" s="29"/>
      <c r="X1005" s="29"/>
      <c r="Y1005" s="29"/>
      <c r="Z1005" s="29"/>
      <c r="AA1005" s="30"/>
      <c r="AB1005" s="30"/>
      <c r="AC1005" s="30"/>
      <c r="AD1005" s="30"/>
      <c r="AE1005" s="30"/>
      <c r="AF1005" s="32"/>
      <c r="AG1005" s="33"/>
      <c r="AH1005" s="33"/>
      <c r="AI1005" s="29"/>
      <c r="AJ1005" s="32"/>
      <c r="AK1005" s="32"/>
      <c r="AL1005" s="29"/>
      <c r="AN1005" s="34" t="str">
        <f aca="false">IF($B1005="","",IF(OR(C1005="",D1005="",E1005="",G1005="",I1005="",J1005="",L1005="",O1005="",P1005=""),"Champ obligatoire manquant",IF(OR(AND(N1005&lt;&gt;"",N1005&gt;O1005),O1005&gt;P1005,AND(Q1005&lt;&gt;"",Q1005&lt;P1005),AND(R1005&lt;&gt;"",R1005&lt;P1005),AND(S1005&lt;&gt;"",S1005&lt;R1005),AND(S1005&lt;&gt;"",R1005=""),AND(T1005&lt;&gt;"",T1005&lt;O1005),AND(U1005&lt;&gt;"",U1005&lt;O1005)),"Chronologie incohérente",IF(AND(OR(L1005="Résolu",L1005="Clos"),R1005=""),"Date de résolution manquante",IF(AND(L1005="Clos",S1005=""),"Date de clôture manquante",IF(AND(K1005="Oui",AC1005=""),"Classification DORA manquante","OK"))))))</f>
        <v/>
      </c>
      <c r="AO1005" s="35" t="str">
        <f aca="false">IF($B1005="","",IF(AND(C1005="Incident",L1005&lt;&gt;"Annulé"),1,0))</f>
        <v/>
      </c>
      <c r="AP1005" s="35" t="str">
        <f aca="false">IF($B1005="","",IF(AND(C1005="Quasi-incident",L1005&lt;&gt;"Annulé"),1,0))</f>
        <v/>
      </c>
      <c r="AQ1005" s="35" t="str">
        <f aca="false">IF($B1005="","",AO1005+AP1005)</f>
        <v/>
      </c>
      <c r="AR1005" s="36" t="str">
        <f aca="false">IF(OR($B1005="",J1005=""),"",IFERROR(VALUE(LEFT(J1005,1)),""))</f>
        <v/>
      </c>
      <c r="AS1005" s="35" t="str">
        <f aca="false">IF(OR(AO1005&lt;&gt;1,G1005=""),"",IFERROR(IF(INDEX(L_SrcInterne,MATCH(G1005,L_Sources,0))="Oui",1,0),""))</f>
        <v/>
      </c>
      <c r="AT1005" s="37" t="str">
        <f aca="false">IF(AO1005&lt;&gt;1,"",IFERROR(ROUND(IF(OR(N1005="",O1005=""),"",IF(O1005&lt;N1005,"",ROUND(((NETWORKDAYS(N1005,O1005,JoursFeries)-1)*(HFer-HOuv)+IF(NETWORKDAYS(O1005,O1005,JoursFeries),MEDIAN(MOD(O1005,1),HFer,HOuv),HFer)-IF(NETWORKDAYS(N1005,N1005,JoursFeries),MEDIAN(MOD(N1005,1),HFer,HOuv),HOuv))*24,4)))/HJour,4),""))</f>
        <v/>
      </c>
      <c r="AU1005" s="37" t="str">
        <f aca="false">IF(AO1005&lt;&gt;1,"",IF(OR(O1005="",P1005=""),"",IF(P1005&lt;O1005,"",ROUND(((NETWORKDAYS(O1005,P1005,JoursFeries)-1)*(HFer-HOuv)+IF(NETWORKDAYS(P1005,P1005,JoursFeries),MEDIAN(MOD(P1005,1),HFer,HOuv),HFer)-IF(NETWORKDAYS(O1005,O1005,JoursFeries),MEDIAN(MOD(O1005,1),HFer,HOuv),HOuv))*24,4))))</f>
        <v/>
      </c>
      <c r="AV1005" s="37" t="str">
        <f aca="false">IF(AO1005&lt;&gt;1,"",IF(OR(P1005="",Q1005=""),"",IF(Q1005&lt;P1005,"",ROUND(((NETWORKDAYS(P1005,Q1005,JoursFeries)-1)*(HFer-HOuv)+IF(NETWORKDAYS(Q1005,Q1005,JoursFeries),MEDIAN(MOD(Q1005,1),HFer,HOuv),HFer)-IF(NETWORKDAYS(P1005,P1005,JoursFeries),MEDIAN(MOD(P1005,1),HFer,HOuv),HOuv))*24,4))))</f>
        <v/>
      </c>
      <c r="AW1005" s="37" t="str">
        <f aca="false">IF(AO1005&lt;&gt;1,"",IFERROR(ROUND(IF(OR(P1005="",R1005=""),"",IF(R1005&lt;P1005,"",ROUND(((NETWORKDAYS(P1005,R1005,JoursFeries)-1)*(HFer-HOuv)+IF(NETWORKDAYS(R1005,R1005,JoursFeries),MEDIAN(MOD(R1005,1),HFer,HOuv),HFer)-IF(NETWORKDAYS(P1005,P1005,JoursFeries),MEDIAN(MOD(P1005,1),HFer,HOuv),HOuv))*24,4)))/HJour,4),""))</f>
        <v/>
      </c>
      <c r="AX1005" s="37" t="str">
        <f aca="false">IF(AO1005&lt;&gt;1,"",IFERROR(ROUND(IF(OR(P1005="",S1005=""),"",IF(S1005&lt;P1005,"",ROUND(((NETWORKDAYS(P1005,S1005,JoursFeries)-1)*(HFer-HOuv)+IF(NETWORKDAYS(S1005,S1005,JoursFeries),MEDIAN(MOD(S1005,1),HFer,HOuv),HFer)-IF(NETWORKDAYS(P1005,P1005,JoursFeries),MEDIAN(MOD(P1005,1),HFer,HOuv),HOuv))*24,4)))/HJour,4),""))</f>
        <v/>
      </c>
      <c r="AY1005" s="36" t="str">
        <f aca="false">IF(OR(AO1005&lt;&gt;1,AR1005=""),"",INDEX(SLA_PEC,AR1005))</f>
        <v/>
      </c>
      <c r="AZ1005" s="35" t="str">
        <f aca="false">IF(OR(AV1005="",AY1005=""),"",IF(AV1005&lt;=AY1005,1,0))</f>
        <v/>
      </c>
      <c r="BA1005" s="36" t="str">
        <f aca="false">IF(OR(AO1005&lt;&gt;1,AR1005=""),"",INDEX(SLA_RES,AR1005))</f>
        <v/>
      </c>
      <c r="BB1005" s="35" t="str">
        <f aca="false">IF(OR(AW1005="",BA1005=""),"",IF(AW1005&lt;=BA1005,1,0))</f>
        <v/>
      </c>
      <c r="BC1005" s="38" t="str">
        <f aca="false">IF(OR(BA1005="",P1005=""),"",WORKDAY(INT(P1005),BA1005,JoursFeries)+MOD(P1005,1))</f>
        <v/>
      </c>
      <c r="BD1005" s="39" t="str">
        <f aca="false">IF(AO1005&lt;&gt;1,"",IF(OR(AB1005&lt;&gt;"",AD1005&lt;&gt;""),4,IF(U1005&lt;&gt;"",3,IF(T1005&lt;&gt;"",2,1))))</f>
        <v/>
      </c>
      <c r="BE1005" s="39" t="str">
        <f aca="false">IF(OR(AO1005&lt;&gt;1,AR1005=""),"",INDEX(NIV_REQ,AR1005))</f>
        <v/>
      </c>
      <c r="BF1005" s="39" t="str">
        <f aca="false">IF(BE1005="","",MAX(BE1005,IF(OR(K1005="Oui",Z1005="Oui"),4,1)))</f>
        <v/>
      </c>
      <c r="BG1005" s="35" t="str">
        <f aca="false">IF(OR(BF1005="",BD1005=""),"",IF(BD1005&gt;=BF1005,1,0))</f>
        <v/>
      </c>
      <c r="BH1005" s="38" t="str">
        <f aca="false">IF(BE1005="","",IF(BE1005&lt;2,"",IF(BE1005=2,IF(AND(T1005="",U1005=""),"",MIN(T1005,U1005)),IF(U1005="","",U1005))))</f>
        <v/>
      </c>
      <c r="BI1005" s="37" t="str">
        <f aca="false">IF(BH1005="","",IF(OR(O1005="",BH1005=""),"",IF(BH1005&lt;O1005,"",ROUND(((NETWORKDAYS(O1005,BH1005,JoursFeries)-1)*(HFer-HOuv)+IF(NETWORKDAYS(BH1005,BH1005,JoursFeries),MEDIAN(MOD(BH1005,1),HFer,HOuv),HFer)-IF(NETWORKDAYS(O1005,O1005,JoursFeries),MEDIAN(MOD(O1005,1),HFer,HOuv),HOuv))*24,4))))</f>
        <v/>
      </c>
      <c r="BJ1005" s="35" t="str">
        <f aca="false">IF(OR(BI1005="",AR1005=""),"",IF(BI1005&lt;=INDEX(DELAI_ESC,AR1005),1,0))</f>
        <v/>
      </c>
      <c r="BK1005" s="38" t="str">
        <f aca="false">IF(AO1005&lt;&gt;1,"",IF(AND(T1005="",U1005=""),"",MIN(T1005,U1005)))</f>
        <v/>
      </c>
      <c r="BL1005" s="37" t="str">
        <f aca="false">IF(OR(BK1005="",R1005=""),"",IFERROR(ROUND(IF(OR(BK1005="",R1005=""),"",IF(R1005&lt;BK1005,"",ROUND(((NETWORKDAYS(BK1005,R1005,JoursFeries)-1)*(HFer-HOuv)+IF(NETWORKDAYS(R1005,R1005,JoursFeries),MEDIAN(MOD(R1005,1),HFer,HOuv),HFer)-IF(NETWORKDAYS(BK1005,BK1005,JoursFeries),MEDIAN(MOD(BK1005,1),HFer,HOuv),HOuv))*24,4)))/HJour,4),""))</f>
        <v/>
      </c>
      <c r="BM1005" s="35" t="str">
        <f aca="false">IF(OR(AO1005&lt;&gt;1,R1005=""),"",IF(BD1005=1,1,0))</f>
        <v/>
      </c>
      <c r="BN1005" s="35" t="str">
        <f aca="false">IF(AO1005&lt;&gt;1,"",IF(W1005="Oui",1,0))</f>
        <v/>
      </c>
      <c r="BO1005" s="35" t="str">
        <f aca="false">IF(AO1005&lt;&gt;1,"",IF(X1005&lt;&gt;"",1,0))</f>
        <v/>
      </c>
      <c r="BP1005" s="35" t="str">
        <f aca="false">IF(AO1005&lt;&gt;1,"",IF(Y1005="Oui",1,0))</f>
        <v/>
      </c>
      <c r="BQ1005" s="35" t="str">
        <f aca="true">IF(OR(AO1005&lt;&gt;1,Z1005&lt;&gt;"Oui"),"",IF(AB1005="",IF(AND(AA1005&lt;&gt;"",NOW()&gt;AA1005),0,""),IF(AA1005="","",IF(AB1005&lt;=AA1005,1,0))))</f>
        <v/>
      </c>
      <c r="BR1005" s="38" t="str">
        <f aca="false">IF(OR(AO1005&lt;&gt;1,K1005&lt;&gt;"Oui",O1005=""),"",IF(AC1005="",O1005+DORA_H_DET/24,IF(AC1005-O1005&lt;=DORA_H_DET/24,MIN(AC1005+DORA_H_CLA/24,O1005+DORA_H_DET/24),AC1005+DORA_H_CLA/24)))</f>
        <v/>
      </c>
      <c r="BS1005" s="35" t="str">
        <f aca="true">IF(BR1005="","",IF(AD1005="",IF(NOW()&gt;BR1005,0,""),IF(AD1005&lt;=BR1005,1,0)))</f>
        <v/>
      </c>
      <c r="BT1005" s="35" t="str">
        <f aca="true">IF(OR(BR1005="",AD1005=""),"",IF(AE1005="",IF(NOW()&gt;AD1005+DORA_H_INT/24,0,""),IF(AE1005&lt;=AD1005+DORA_H_INT/24,1,0)))</f>
        <v/>
      </c>
      <c r="BU1005" s="35" t="str">
        <f aca="true">IF(OR(BR1005="",AE1005=""),"",IF(AF1005="",IF(NOW()&gt;EDATE(AE1005,DORA_M_FIN)+1,0,""),IF(AF1005&lt;=EDATE(AE1005,DORA_M_FIN),1,0)))</f>
        <v/>
      </c>
      <c r="BV1005" s="35" t="str">
        <f aca="false">IF(BR1005="","",IF(COUNT(BS1005:BU1005)=0,"",MIN(BS1005:BU1005)))</f>
        <v/>
      </c>
      <c r="BW1005" s="40" t="str">
        <f aca="false">IF(AQ1005&lt;&gt;1,"",IF(AND(AG1005="",AH1005=""),"",N(AG1005)-N(AH1005)))</f>
        <v/>
      </c>
      <c r="BX1005" s="35" t="str">
        <f aca="true">IF(OR(AQ1005&lt;&gt;1,AI1005&lt;&gt;"Oui",AJ1005=""),"",IF(AK1005="",IF(NOW()&gt;AJ1005+1,0,""),IF(AK1005&lt;=AJ1005,1,0)))</f>
        <v/>
      </c>
    </row>
    <row r="1006" customFormat="false" ht="15" hidden="false" customHeight="false" outlineLevel="0" collapsed="false">
      <c r="B1006" s="29"/>
      <c r="C1006" s="29"/>
      <c r="D1006" s="29"/>
      <c r="E1006" s="29"/>
      <c r="F1006" s="29"/>
      <c r="G1006" s="29"/>
      <c r="H1006" s="29"/>
      <c r="I1006" s="29"/>
      <c r="J1006" s="29"/>
      <c r="K1006" s="29"/>
      <c r="L1006" s="29"/>
      <c r="M1006" s="29"/>
      <c r="N1006" s="30"/>
      <c r="O1006" s="30"/>
      <c r="P1006" s="30"/>
      <c r="Q1006" s="30"/>
      <c r="R1006" s="30"/>
      <c r="S1006" s="30"/>
      <c r="T1006" s="30"/>
      <c r="U1006" s="30"/>
      <c r="V1006" s="31"/>
      <c r="W1006" s="29"/>
      <c r="X1006" s="29"/>
      <c r="Y1006" s="29"/>
      <c r="Z1006" s="29"/>
      <c r="AA1006" s="30"/>
      <c r="AB1006" s="30"/>
      <c r="AC1006" s="30"/>
      <c r="AD1006" s="30"/>
      <c r="AE1006" s="30"/>
      <c r="AF1006" s="32"/>
      <c r="AG1006" s="33"/>
      <c r="AH1006" s="33"/>
      <c r="AI1006" s="29"/>
      <c r="AJ1006" s="32"/>
      <c r="AK1006" s="32"/>
      <c r="AL1006" s="29"/>
      <c r="AN1006" s="34" t="str">
        <f aca="false">IF($B1006="","",IF(OR(C1006="",D1006="",E1006="",G1006="",I1006="",J1006="",L1006="",O1006="",P1006=""),"Champ obligatoire manquant",IF(OR(AND(N1006&lt;&gt;"",N1006&gt;O1006),O1006&gt;P1006,AND(Q1006&lt;&gt;"",Q1006&lt;P1006),AND(R1006&lt;&gt;"",R1006&lt;P1006),AND(S1006&lt;&gt;"",S1006&lt;R1006),AND(S1006&lt;&gt;"",R1006=""),AND(T1006&lt;&gt;"",T1006&lt;O1006),AND(U1006&lt;&gt;"",U1006&lt;O1006)),"Chronologie incohérente",IF(AND(OR(L1006="Résolu",L1006="Clos"),R1006=""),"Date de résolution manquante",IF(AND(L1006="Clos",S1006=""),"Date de clôture manquante",IF(AND(K1006="Oui",AC1006=""),"Classification DORA manquante","OK"))))))</f>
        <v/>
      </c>
      <c r="AO1006" s="35" t="str">
        <f aca="false">IF($B1006="","",IF(AND(C1006="Incident",L1006&lt;&gt;"Annulé"),1,0))</f>
        <v/>
      </c>
      <c r="AP1006" s="35" t="str">
        <f aca="false">IF($B1006="","",IF(AND(C1006="Quasi-incident",L1006&lt;&gt;"Annulé"),1,0))</f>
        <v/>
      </c>
      <c r="AQ1006" s="35" t="str">
        <f aca="false">IF($B1006="","",AO1006+AP1006)</f>
        <v/>
      </c>
      <c r="AR1006" s="36" t="str">
        <f aca="false">IF(OR($B1006="",J1006=""),"",IFERROR(VALUE(LEFT(J1006,1)),""))</f>
        <v/>
      </c>
      <c r="AS1006" s="35" t="str">
        <f aca="false">IF(OR(AO1006&lt;&gt;1,G1006=""),"",IFERROR(IF(INDEX(L_SrcInterne,MATCH(G1006,L_Sources,0))="Oui",1,0),""))</f>
        <v/>
      </c>
      <c r="AT1006" s="37" t="str">
        <f aca="false">IF(AO1006&lt;&gt;1,"",IFERROR(ROUND(IF(OR(N1006="",O1006=""),"",IF(O1006&lt;N1006,"",ROUND(((NETWORKDAYS(N1006,O1006,JoursFeries)-1)*(HFer-HOuv)+IF(NETWORKDAYS(O1006,O1006,JoursFeries),MEDIAN(MOD(O1006,1),HFer,HOuv),HFer)-IF(NETWORKDAYS(N1006,N1006,JoursFeries),MEDIAN(MOD(N1006,1),HFer,HOuv),HOuv))*24,4)))/HJour,4),""))</f>
        <v/>
      </c>
      <c r="AU1006" s="37" t="str">
        <f aca="false">IF(AO1006&lt;&gt;1,"",IF(OR(O1006="",P1006=""),"",IF(P1006&lt;O1006,"",ROUND(((NETWORKDAYS(O1006,P1006,JoursFeries)-1)*(HFer-HOuv)+IF(NETWORKDAYS(P1006,P1006,JoursFeries),MEDIAN(MOD(P1006,1),HFer,HOuv),HFer)-IF(NETWORKDAYS(O1006,O1006,JoursFeries),MEDIAN(MOD(O1006,1),HFer,HOuv),HOuv))*24,4))))</f>
        <v/>
      </c>
      <c r="AV1006" s="37" t="str">
        <f aca="false">IF(AO1006&lt;&gt;1,"",IF(OR(P1006="",Q1006=""),"",IF(Q1006&lt;P1006,"",ROUND(((NETWORKDAYS(P1006,Q1006,JoursFeries)-1)*(HFer-HOuv)+IF(NETWORKDAYS(Q1006,Q1006,JoursFeries),MEDIAN(MOD(Q1006,1),HFer,HOuv),HFer)-IF(NETWORKDAYS(P1006,P1006,JoursFeries),MEDIAN(MOD(P1006,1),HFer,HOuv),HOuv))*24,4))))</f>
        <v/>
      </c>
      <c r="AW1006" s="37" t="str">
        <f aca="false">IF(AO1006&lt;&gt;1,"",IFERROR(ROUND(IF(OR(P1006="",R1006=""),"",IF(R1006&lt;P1006,"",ROUND(((NETWORKDAYS(P1006,R1006,JoursFeries)-1)*(HFer-HOuv)+IF(NETWORKDAYS(R1006,R1006,JoursFeries),MEDIAN(MOD(R1006,1),HFer,HOuv),HFer)-IF(NETWORKDAYS(P1006,P1006,JoursFeries),MEDIAN(MOD(P1006,1),HFer,HOuv),HOuv))*24,4)))/HJour,4),""))</f>
        <v/>
      </c>
      <c r="AX1006" s="37" t="str">
        <f aca="false">IF(AO1006&lt;&gt;1,"",IFERROR(ROUND(IF(OR(P1006="",S1006=""),"",IF(S1006&lt;P1006,"",ROUND(((NETWORKDAYS(P1006,S1006,JoursFeries)-1)*(HFer-HOuv)+IF(NETWORKDAYS(S1006,S1006,JoursFeries),MEDIAN(MOD(S1006,1),HFer,HOuv),HFer)-IF(NETWORKDAYS(P1006,P1006,JoursFeries),MEDIAN(MOD(P1006,1),HFer,HOuv),HOuv))*24,4)))/HJour,4),""))</f>
        <v/>
      </c>
      <c r="AY1006" s="36" t="str">
        <f aca="false">IF(OR(AO1006&lt;&gt;1,AR1006=""),"",INDEX(SLA_PEC,AR1006))</f>
        <v/>
      </c>
      <c r="AZ1006" s="35" t="str">
        <f aca="false">IF(OR(AV1006="",AY1006=""),"",IF(AV1006&lt;=AY1006,1,0))</f>
        <v/>
      </c>
      <c r="BA1006" s="36" t="str">
        <f aca="false">IF(OR(AO1006&lt;&gt;1,AR1006=""),"",INDEX(SLA_RES,AR1006))</f>
        <v/>
      </c>
      <c r="BB1006" s="35" t="str">
        <f aca="false">IF(OR(AW1006="",BA1006=""),"",IF(AW1006&lt;=BA1006,1,0))</f>
        <v/>
      </c>
      <c r="BC1006" s="38" t="str">
        <f aca="false">IF(OR(BA1006="",P1006=""),"",WORKDAY(INT(P1006),BA1006,JoursFeries)+MOD(P1006,1))</f>
        <v/>
      </c>
      <c r="BD1006" s="39" t="str">
        <f aca="false">IF(AO1006&lt;&gt;1,"",IF(OR(AB1006&lt;&gt;"",AD1006&lt;&gt;""),4,IF(U1006&lt;&gt;"",3,IF(T1006&lt;&gt;"",2,1))))</f>
        <v/>
      </c>
      <c r="BE1006" s="39" t="str">
        <f aca="false">IF(OR(AO1006&lt;&gt;1,AR1006=""),"",INDEX(NIV_REQ,AR1006))</f>
        <v/>
      </c>
      <c r="BF1006" s="39" t="str">
        <f aca="false">IF(BE1006="","",MAX(BE1006,IF(OR(K1006="Oui",Z1006="Oui"),4,1)))</f>
        <v/>
      </c>
      <c r="BG1006" s="35" t="str">
        <f aca="false">IF(OR(BF1006="",BD1006=""),"",IF(BD1006&gt;=BF1006,1,0))</f>
        <v/>
      </c>
      <c r="BH1006" s="38" t="str">
        <f aca="false">IF(BE1006="","",IF(BE1006&lt;2,"",IF(BE1006=2,IF(AND(T1006="",U1006=""),"",MIN(T1006,U1006)),IF(U1006="","",U1006))))</f>
        <v/>
      </c>
      <c r="BI1006" s="37" t="str">
        <f aca="false">IF(BH1006="","",IF(OR(O1006="",BH1006=""),"",IF(BH1006&lt;O1006,"",ROUND(((NETWORKDAYS(O1006,BH1006,JoursFeries)-1)*(HFer-HOuv)+IF(NETWORKDAYS(BH1006,BH1006,JoursFeries),MEDIAN(MOD(BH1006,1),HFer,HOuv),HFer)-IF(NETWORKDAYS(O1006,O1006,JoursFeries),MEDIAN(MOD(O1006,1),HFer,HOuv),HOuv))*24,4))))</f>
        <v/>
      </c>
      <c r="BJ1006" s="35" t="str">
        <f aca="false">IF(OR(BI1006="",AR1006=""),"",IF(BI1006&lt;=INDEX(DELAI_ESC,AR1006),1,0))</f>
        <v/>
      </c>
      <c r="BK1006" s="38" t="str">
        <f aca="false">IF(AO1006&lt;&gt;1,"",IF(AND(T1006="",U1006=""),"",MIN(T1006,U1006)))</f>
        <v/>
      </c>
      <c r="BL1006" s="37" t="str">
        <f aca="false">IF(OR(BK1006="",R1006=""),"",IFERROR(ROUND(IF(OR(BK1006="",R1006=""),"",IF(R1006&lt;BK1006,"",ROUND(((NETWORKDAYS(BK1006,R1006,JoursFeries)-1)*(HFer-HOuv)+IF(NETWORKDAYS(R1006,R1006,JoursFeries),MEDIAN(MOD(R1006,1),HFer,HOuv),HFer)-IF(NETWORKDAYS(BK1006,BK1006,JoursFeries),MEDIAN(MOD(BK1006,1),HFer,HOuv),HOuv))*24,4)))/HJour,4),""))</f>
        <v/>
      </c>
      <c r="BM1006" s="35" t="str">
        <f aca="false">IF(OR(AO1006&lt;&gt;1,R1006=""),"",IF(BD1006=1,1,0))</f>
        <v/>
      </c>
      <c r="BN1006" s="35" t="str">
        <f aca="false">IF(AO1006&lt;&gt;1,"",IF(W1006="Oui",1,0))</f>
        <v/>
      </c>
      <c r="BO1006" s="35" t="str">
        <f aca="false">IF(AO1006&lt;&gt;1,"",IF(X1006&lt;&gt;"",1,0))</f>
        <v/>
      </c>
      <c r="BP1006" s="35" t="str">
        <f aca="false">IF(AO1006&lt;&gt;1,"",IF(Y1006="Oui",1,0))</f>
        <v/>
      </c>
      <c r="BQ1006" s="35" t="str">
        <f aca="true">IF(OR(AO1006&lt;&gt;1,Z1006&lt;&gt;"Oui"),"",IF(AB1006="",IF(AND(AA1006&lt;&gt;"",NOW()&gt;AA1006),0,""),IF(AA1006="","",IF(AB1006&lt;=AA1006,1,0))))</f>
        <v/>
      </c>
      <c r="BR1006" s="38" t="str">
        <f aca="false">IF(OR(AO1006&lt;&gt;1,K1006&lt;&gt;"Oui",O1006=""),"",IF(AC1006="",O1006+DORA_H_DET/24,IF(AC1006-O1006&lt;=DORA_H_DET/24,MIN(AC1006+DORA_H_CLA/24,O1006+DORA_H_DET/24),AC1006+DORA_H_CLA/24)))</f>
        <v/>
      </c>
      <c r="BS1006" s="35" t="str">
        <f aca="true">IF(BR1006="","",IF(AD1006="",IF(NOW()&gt;BR1006,0,""),IF(AD1006&lt;=BR1006,1,0)))</f>
        <v/>
      </c>
      <c r="BT1006" s="35" t="str">
        <f aca="true">IF(OR(BR1006="",AD1006=""),"",IF(AE1006="",IF(NOW()&gt;AD1006+DORA_H_INT/24,0,""),IF(AE1006&lt;=AD1006+DORA_H_INT/24,1,0)))</f>
        <v/>
      </c>
      <c r="BU1006" s="35" t="str">
        <f aca="true">IF(OR(BR1006="",AE1006=""),"",IF(AF1006="",IF(NOW()&gt;EDATE(AE1006,DORA_M_FIN)+1,0,""),IF(AF1006&lt;=EDATE(AE1006,DORA_M_FIN),1,0)))</f>
        <v/>
      </c>
      <c r="BV1006" s="35" t="str">
        <f aca="false">IF(BR1006="","",IF(COUNT(BS1006:BU1006)=0,"",MIN(BS1006:BU1006)))</f>
        <v/>
      </c>
      <c r="BW1006" s="40" t="str">
        <f aca="false">IF(AQ1006&lt;&gt;1,"",IF(AND(AG1006="",AH1006=""),"",N(AG1006)-N(AH1006)))</f>
        <v/>
      </c>
      <c r="BX1006" s="35" t="str">
        <f aca="true">IF(OR(AQ1006&lt;&gt;1,AI1006&lt;&gt;"Oui",AJ1006=""),"",IF(AK1006="",IF(NOW()&gt;AJ1006+1,0,""),IF(AK1006&lt;=AJ1006,1,0)))</f>
        <v/>
      </c>
    </row>
  </sheetData>
  <dataValidations count="10">
    <dataValidation allowBlank="true" error="Choisir une valeur de la liste (onglet Données)." errorStyle="stop" errorTitle="Valeur hors liste" operator="between" showDropDown="false" showErrorMessage="true" showInputMessage="false" sqref="C7:C1006" type="list">
      <formula1>L_Type</formula1>
      <formula2>0</formula2>
    </dataValidation>
    <dataValidation allowBlank="true" error="Choisir une valeur de la liste (onglet Données)." errorStyle="stop" errorTitle="Valeur hors liste" operator="between" showDropDown="false" showErrorMessage="true" showInputMessage="false" sqref="D7:D1006" type="list">
      <formula1>L_Fonds</formula1>
      <formula2>0</formula2>
    </dataValidation>
    <dataValidation allowBlank="true" error="Choisir une valeur de la liste (onglet Données)." errorStyle="stop" errorTitle="Valeur hors liste" operator="between" showDropDown="false" showErrorMessage="true" showInputMessage="false" sqref="E7:E1006" type="list">
      <formula1>L_Domaines</formula1>
      <formula2>0</formula2>
    </dataValidation>
    <dataValidation allowBlank="true" error="Choisir une valeur de la liste (onglet Données)." errorStyle="stop" errorTitle="Valeur hors liste" operator="between" showDropDown="false" showErrorMessage="true" showInputMessage="false" sqref="F7:F1006" type="list">
      <formula1>L_Bale</formula1>
      <formula2>0</formula2>
    </dataValidation>
    <dataValidation allowBlank="true" error="Choisir une valeur de la liste (onglet Données)." errorStyle="stop" errorTitle="Valeur hors liste" operator="between" showDropDown="false" showErrorMessage="true" showInputMessage="false" sqref="G7:G1006" type="list">
      <formula1>L_Sources</formula1>
      <formula2>0</formula2>
    </dataValidation>
    <dataValidation allowBlank="true" error="Choisir une valeur de la liste (onglet Données)." errorStyle="stop" errorTitle="Valeur hors liste" operator="between" showDropDown="false" showErrorMessage="true" showInputMessage="false" sqref="J7:J1006" type="list">
      <formula1>L_Crit</formula1>
      <formula2>0</formula2>
    </dataValidation>
    <dataValidation allowBlank="true" error="Choisir une valeur de la liste (onglet Données)." errorStyle="stop" errorTitle="Valeur hors liste" operator="between" showDropDown="false" showErrorMessage="true" showInputMessage="false" sqref="L7:L1006" type="list">
      <formula1>L_Statuts</formula1>
      <formula2>0</formula2>
    </dataValidation>
    <dataValidation allowBlank="true" error="Choisir une valeur de la liste (onglet Données)." errorStyle="stop" errorTitle="Valeur hors liste" operator="between" showDropDown="false" showErrorMessage="true" showInputMessage="false" sqref="K7:K1006 W7:W1006 Y7:Z1006 AI7:AI1006" type="list">
      <formula1>L_OuiNon</formula1>
      <formula2>0</formula2>
    </dataValidation>
    <dataValidation allowBlank="true" error="Nombre entier positif ou nul." errorStyle="stop" operator="greaterThanOrEqual" showDropDown="false" showErrorMessage="true" showInputMessage="false" sqref="V7:V1006" type="whole">
      <formula1>0</formula1>
      <formula2>0</formula2>
    </dataValidation>
    <dataValidation allowBlank="true" error="Montant positif ou nul, en EUR." errorStyle="stop" operator="greaterThanOrEqual" showDropDown="false" showErrorMessage="true" showInputMessage="false" sqref="AG7:AH1006" type="decimal">
      <formula1>0</formula1>
      <formula2>0</formula2>
    </dataValidation>
  </dataValidation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N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2812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28"/>
    <col collapsed="false" customWidth="true" hidden="false" outlineLevel="0" max="4" min="4" style="0" width="7"/>
    <col collapsed="false" customWidth="true" hidden="false" outlineLevel="0" max="5" min="5" style="0" width="44"/>
    <col collapsed="false" customWidth="true" hidden="false" outlineLevel="0" max="6" min="6" style="0" width="40"/>
    <col collapsed="false" customWidth="true" hidden="false" outlineLevel="0" max="7" min="7" style="0" width="44"/>
    <col collapsed="false" customWidth="true" hidden="false" outlineLevel="0" max="8" min="8" style="0" width="6"/>
    <col collapsed="false" customWidth="true" hidden="false" outlineLevel="0" max="10" min="9" style="0" width="8"/>
    <col collapsed="false" customWidth="true" hidden="false" outlineLevel="0" max="12" min="11" style="0" width="40"/>
    <col collapsed="false" customWidth="true" hidden="false" outlineLevel="0" max="13" min="13" style="0" width="14"/>
    <col collapsed="false" customWidth="true" hidden="false" outlineLevel="0" max="14" min="14" style="0" width="40"/>
  </cols>
  <sheetData>
    <row r="2" customFormat="false" ht="15" hidden="false" customHeight="false" outlineLevel="0" collapsed="false">
      <c r="B2" s="1" t="s">
        <v>326</v>
      </c>
    </row>
    <row r="3" customFormat="false" ht="15" hidden="false" customHeight="false" outlineLevel="0" collapsed="false">
      <c r="B3" s="2" t="s">
        <v>327</v>
      </c>
    </row>
    <row r="5" customFormat="false" ht="25.5" hidden="false" customHeight="true" outlineLevel="0" collapsed="false">
      <c r="B5" s="5" t="s">
        <v>18</v>
      </c>
      <c r="C5" s="6" t="s">
        <v>19</v>
      </c>
      <c r="D5" s="6" t="s">
        <v>20</v>
      </c>
      <c r="E5" s="6" t="s">
        <v>328</v>
      </c>
      <c r="F5" s="6" t="s">
        <v>329</v>
      </c>
      <c r="G5" s="6" t="s">
        <v>330</v>
      </c>
      <c r="H5" s="6" t="s">
        <v>24</v>
      </c>
      <c r="I5" s="6" t="s">
        <v>25</v>
      </c>
      <c r="J5" s="6" t="s">
        <v>26</v>
      </c>
      <c r="K5" s="6" t="s">
        <v>331</v>
      </c>
      <c r="L5" s="6" t="s">
        <v>332</v>
      </c>
      <c r="M5" s="6" t="s">
        <v>333</v>
      </c>
      <c r="N5" s="6" t="s">
        <v>334</v>
      </c>
    </row>
    <row r="6" customFormat="false" ht="15" hidden="false" customHeight="true" outlineLevel="0" collapsed="false">
      <c r="B6" s="3" t="s">
        <v>27</v>
      </c>
      <c r="C6" s="4"/>
      <c r="D6" s="4"/>
      <c r="E6" s="4"/>
      <c r="F6" s="4"/>
      <c r="G6" s="4"/>
      <c r="H6" s="4"/>
      <c r="I6" s="4"/>
      <c r="J6" s="4"/>
      <c r="K6" s="4"/>
      <c r="L6" s="4"/>
      <c r="M6" s="4"/>
      <c r="N6" s="4"/>
    </row>
    <row r="7" customFormat="false" ht="60" hidden="false" customHeight="true" outlineLevel="0" collapsed="false">
      <c r="B7" s="41" t="s">
        <v>29</v>
      </c>
      <c r="C7" s="42" t="str">
        <f aca="false">INDEX(T_Lib,MATCH($B7,T_Ref,0))</f>
        <v>Nombre d'incidents déclarés</v>
      </c>
      <c r="D7" s="43" t="str">
        <f aca="false">INDEX(T_Unite,MATCH($B7,T_Ref,0))</f>
        <v>nb</v>
      </c>
      <c r="E7" s="44" t="s">
        <v>335</v>
      </c>
      <c r="F7" s="44" t="s">
        <v>336</v>
      </c>
      <c r="G7" s="44" t="s">
        <v>337</v>
      </c>
      <c r="H7" s="45" t="str">
        <f aca="false">INDEX(T_Sens,MATCH($B7,T_Ref,0))</f>
        <v>Suivi</v>
      </c>
      <c r="I7" s="46" t="str">
        <f aca="false">IF(INDEX(T_Cible,MATCH($B7,T_Ref,0))="","",INDEX(T_Cible,MATCH($B7,T_Ref,0)))</f>
        <v/>
      </c>
      <c r="J7" s="46" t="str">
        <f aca="false">IF(INDEX(T_Alerte,MATCH($B7,T_Ref,0))="","",INDEX(T_Alerte,MATCH($B7,T_Ref,0)))</f>
        <v/>
      </c>
      <c r="K7" s="44" t="s">
        <v>338</v>
      </c>
      <c r="L7" s="44" t="s">
        <v>339</v>
      </c>
      <c r="M7" s="44" t="s">
        <v>340</v>
      </c>
      <c r="N7" s="44" t="s">
        <v>341</v>
      </c>
    </row>
    <row r="8" customFormat="false" ht="48.75" hidden="false" customHeight="true" outlineLevel="0" collapsed="false">
      <c r="B8" s="41" t="s">
        <v>33</v>
      </c>
      <c r="C8" s="42" t="str">
        <f aca="false">INDEX(T_Lib,MATCH($B8,T_Ref,0))</f>
        <v>Ratio quasi-incidents / incidents</v>
      </c>
      <c r="D8" s="43" t="str">
        <f aca="false">INDEX(T_Unite,MATCH($B8,T_Ref,0))</f>
        <v>x</v>
      </c>
      <c r="E8" s="44" t="s">
        <v>342</v>
      </c>
      <c r="F8" s="44" t="s">
        <v>343</v>
      </c>
      <c r="G8" s="44" t="s">
        <v>344</v>
      </c>
      <c r="H8" s="45" t="str">
        <f aca="false">INDEX(T_Sens,MATCH($B8,T_Ref,0))</f>
        <v>≥</v>
      </c>
      <c r="I8" s="47" t="n">
        <f aca="false">IF(INDEX(T_Cible,MATCH($B8,T_Ref,0))="","",INDEX(T_Cible,MATCH($B8,T_Ref,0)))</f>
        <v>1</v>
      </c>
      <c r="J8" s="47" t="n">
        <f aca="false">IF(INDEX(T_Alerte,MATCH($B8,T_Ref,0))="","",INDEX(T_Alerte,MATCH($B8,T_Ref,0)))</f>
        <v>0.5</v>
      </c>
      <c r="K8" s="44" t="s">
        <v>345</v>
      </c>
      <c r="L8" s="44" t="s">
        <v>346</v>
      </c>
      <c r="M8" s="44" t="s">
        <v>347</v>
      </c>
      <c r="N8" s="44" t="s">
        <v>348</v>
      </c>
    </row>
    <row r="9" customFormat="false" ht="48.75" hidden="false" customHeight="true" outlineLevel="0" collapsed="false">
      <c r="B9" s="41" t="s">
        <v>34</v>
      </c>
      <c r="C9" s="42" t="str">
        <f aca="false">INDEX(T_Lib,MATCH($B9,T_Ref,0))</f>
        <v>Part des incidents critiques et majeurs</v>
      </c>
      <c r="D9" s="43" t="str">
        <f aca="false">INDEX(T_Unite,MATCH($B9,T_Ref,0))</f>
        <v>%</v>
      </c>
      <c r="E9" s="44" t="s">
        <v>349</v>
      </c>
      <c r="F9" s="44" t="s">
        <v>350</v>
      </c>
      <c r="G9" s="44" t="s">
        <v>351</v>
      </c>
      <c r="H9" s="45" t="str">
        <f aca="false">INDEX(T_Sens,MATCH($B9,T_Ref,0))</f>
        <v>≤</v>
      </c>
      <c r="I9" s="48" t="n">
        <f aca="false">IF(INDEX(T_Cible,MATCH($B9,T_Ref,0))="","",INDEX(T_Cible,MATCH($B9,T_Ref,0)))</f>
        <v>0.1</v>
      </c>
      <c r="J9" s="48" t="n">
        <f aca="false">IF(INDEX(T_Alerte,MATCH($B9,T_Ref,0))="","",INDEX(T_Alerte,MATCH($B9,T_Ref,0)))</f>
        <v>0.2</v>
      </c>
      <c r="K9" s="44" t="s">
        <v>352</v>
      </c>
      <c r="L9" s="44" t="s">
        <v>353</v>
      </c>
      <c r="M9" s="44" t="s">
        <v>347</v>
      </c>
      <c r="N9" s="44" t="s">
        <v>354</v>
      </c>
    </row>
    <row r="10" customFormat="false" ht="48.75" hidden="false" customHeight="true" outlineLevel="0" collapsed="false">
      <c r="B10" s="41" t="s">
        <v>35</v>
      </c>
      <c r="C10" s="42" t="str">
        <f aca="false">INDEX(T_Lib,MATCH($B10,T_Ref,0))</f>
        <v>Nombre d'incidents critiques</v>
      </c>
      <c r="D10" s="43" t="str">
        <f aca="false">INDEX(T_Unite,MATCH($B10,T_Ref,0))</f>
        <v>nb</v>
      </c>
      <c r="E10" s="44" t="s">
        <v>355</v>
      </c>
      <c r="F10" s="44" t="s">
        <v>356</v>
      </c>
      <c r="G10" s="44" t="s">
        <v>357</v>
      </c>
      <c r="H10" s="45" t="str">
        <f aca="false">INDEX(T_Sens,MATCH($B10,T_Ref,0))</f>
        <v>≤</v>
      </c>
      <c r="I10" s="46" t="n">
        <f aca="false">IF(INDEX(T_Cible,MATCH($B10,T_Ref,0))="","",INDEX(T_Cible,MATCH($B10,T_Ref,0)))</f>
        <v>0</v>
      </c>
      <c r="J10" s="46" t="n">
        <f aca="false">IF(INDEX(T_Alerte,MATCH($B10,T_Ref,0))="","",INDEX(T_Alerte,MATCH($B10,T_Ref,0)))</f>
        <v>0</v>
      </c>
      <c r="K10" s="44" t="s">
        <v>358</v>
      </c>
      <c r="L10" s="44" t="s">
        <v>353</v>
      </c>
      <c r="M10" s="44" t="s">
        <v>340</v>
      </c>
      <c r="N10" s="44" t="s">
        <v>359</v>
      </c>
    </row>
    <row r="11" customFormat="false" ht="48.75" hidden="false" customHeight="true" outlineLevel="0" collapsed="false">
      <c r="B11" s="41" t="s">
        <v>36</v>
      </c>
      <c r="C11" s="42" t="str">
        <f aca="false">INDEX(T_Lib,MATCH($B11,T_Ref,0))</f>
        <v>Taux de détection interne</v>
      </c>
      <c r="D11" s="43" t="str">
        <f aca="false">INDEX(T_Unite,MATCH($B11,T_Ref,0))</f>
        <v>%</v>
      </c>
      <c r="E11" s="44" t="s">
        <v>360</v>
      </c>
      <c r="F11" s="44" t="s">
        <v>361</v>
      </c>
      <c r="G11" s="44" t="s">
        <v>362</v>
      </c>
      <c r="H11" s="45" t="str">
        <f aca="false">INDEX(T_Sens,MATCH($B11,T_Ref,0))</f>
        <v>≥</v>
      </c>
      <c r="I11" s="48" t="n">
        <f aca="false">IF(INDEX(T_Cible,MATCH($B11,T_Ref,0))="","",INDEX(T_Cible,MATCH($B11,T_Ref,0)))</f>
        <v>0.8</v>
      </c>
      <c r="J11" s="48" t="n">
        <f aca="false">IF(INDEX(T_Alerte,MATCH($B11,T_Ref,0))="","",INDEX(T_Alerte,MATCH($B11,T_Ref,0)))</f>
        <v>0.6</v>
      </c>
      <c r="K11" s="44" t="s">
        <v>363</v>
      </c>
      <c r="L11" s="44" t="s">
        <v>364</v>
      </c>
      <c r="M11" s="44" t="s">
        <v>347</v>
      </c>
      <c r="N11" s="44" t="s">
        <v>365</v>
      </c>
    </row>
    <row r="12" customFormat="false" ht="37.5" hidden="false" customHeight="true" outlineLevel="0" collapsed="false">
      <c r="B12" s="41" t="s">
        <v>37</v>
      </c>
      <c r="C12" s="42" t="str">
        <f aca="false">INDEX(T_Lib,MATCH($B12,T_Ref,0))</f>
        <v>Concentration : part du premier domaine</v>
      </c>
      <c r="D12" s="43" t="str">
        <f aca="false">INDEX(T_Unite,MATCH($B12,T_Ref,0))</f>
        <v>%</v>
      </c>
      <c r="E12" s="44" t="s">
        <v>366</v>
      </c>
      <c r="F12" s="44" t="s">
        <v>367</v>
      </c>
      <c r="G12" s="44" t="s">
        <v>368</v>
      </c>
      <c r="H12" s="45" t="str">
        <f aca="false">INDEX(T_Sens,MATCH($B12,T_Ref,0))</f>
        <v>≤</v>
      </c>
      <c r="I12" s="48" t="n">
        <f aca="false">IF(INDEX(T_Cible,MATCH($B12,T_Ref,0))="","",INDEX(T_Cible,MATCH($B12,T_Ref,0)))</f>
        <v>0.3</v>
      </c>
      <c r="J12" s="48" t="n">
        <f aca="false">IF(INDEX(T_Alerte,MATCH($B12,T_Ref,0))="","",INDEX(T_Alerte,MATCH($B12,T_Ref,0)))</f>
        <v>0.5</v>
      </c>
      <c r="K12" s="44" t="s">
        <v>369</v>
      </c>
      <c r="L12" s="44" t="s">
        <v>370</v>
      </c>
      <c r="M12" s="44" t="s">
        <v>347</v>
      </c>
      <c r="N12" s="44" t="s">
        <v>371</v>
      </c>
    </row>
    <row r="13" customFormat="false" ht="60" hidden="false" customHeight="true" outlineLevel="0" collapsed="false">
      <c r="B13" s="41" t="s">
        <v>38</v>
      </c>
      <c r="C13" s="42" t="str">
        <f aca="false">INDEX(T_Lib,MATCH($B13,T_Ref,0))</f>
        <v>Perte opérationnelle nette</v>
      </c>
      <c r="D13" s="43" t="str">
        <f aca="false">INDEX(T_Unite,MATCH($B13,T_Ref,0))</f>
        <v>EUR</v>
      </c>
      <c r="E13" s="44" t="s">
        <v>372</v>
      </c>
      <c r="F13" s="44" t="s">
        <v>373</v>
      </c>
      <c r="G13" s="44" t="s">
        <v>374</v>
      </c>
      <c r="H13" s="45" t="str">
        <f aca="false">INDEX(T_Sens,MATCH($B13,T_Ref,0))</f>
        <v>≤</v>
      </c>
      <c r="I13" s="49" t="str">
        <f aca="false">IF(INDEX(T_Cible,MATCH($B13,T_Ref,0))="","",INDEX(T_Cible,MATCH($B13,T_Ref,0)))</f>
        <v/>
      </c>
      <c r="J13" s="49" t="str">
        <f aca="false">IF(INDEX(T_Alerte,MATCH($B13,T_Ref,0))="","",INDEX(T_Alerte,MATCH($B13,T_Ref,0)))</f>
        <v/>
      </c>
      <c r="K13" s="44" t="s">
        <v>375</v>
      </c>
      <c r="L13" s="44" t="s">
        <v>376</v>
      </c>
      <c r="M13" s="44" t="s">
        <v>347</v>
      </c>
      <c r="N13" s="44" t="s">
        <v>377</v>
      </c>
    </row>
    <row r="14" customFormat="false" ht="37.5" hidden="false" customHeight="true" outlineLevel="0" collapsed="false">
      <c r="B14" s="41" t="s">
        <v>39</v>
      </c>
      <c r="C14" s="42" t="str">
        <f aca="false">INDEX(T_Lib,MATCH($B14,T_Ref,0))</f>
        <v>Nombre d'incidents TIC majeurs (DORA)</v>
      </c>
      <c r="D14" s="43" t="str">
        <f aca="false">INDEX(T_Unite,MATCH($B14,T_Ref,0))</f>
        <v>nb</v>
      </c>
      <c r="E14" s="44" t="s">
        <v>378</v>
      </c>
      <c r="F14" s="44" t="s">
        <v>379</v>
      </c>
      <c r="G14" s="44" t="s">
        <v>380</v>
      </c>
      <c r="H14" s="45" t="str">
        <f aca="false">INDEX(T_Sens,MATCH($B14,T_Ref,0))</f>
        <v>≤</v>
      </c>
      <c r="I14" s="46" t="n">
        <f aca="false">IF(INDEX(T_Cible,MATCH($B14,T_Ref,0))="","",INDEX(T_Cible,MATCH($B14,T_Ref,0)))</f>
        <v>0</v>
      </c>
      <c r="J14" s="46" t="n">
        <f aca="false">IF(INDEX(T_Alerte,MATCH($B14,T_Ref,0))="","",INDEX(T_Alerte,MATCH($B14,T_Ref,0)))</f>
        <v>0</v>
      </c>
      <c r="K14" s="44" t="s">
        <v>381</v>
      </c>
      <c r="L14" s="44" t="s">
        <v>382</v>
      </c>
      <c r="M14" s="44" t="s">
        <v>340</v>
      </c>
      <c r="N14" s="44" t="s">
        <v>383</v>
      </c>
    </row>
    <row r="15" customFormat="false" ht="15" hidden="false" customHeight="true" outlineLevel="0" collapsed="false">
      <c r="B15" s="3" t="s">
        <v>40</v>
      </c>
      <c r="C15" s="4"/>
      <c r="D15" s="4"/>
      <c r="E15" s="4"/>
      <c r="F15" s="4"/>
      <c r="G15" s="4"/>
      <c r="H15" s="4"/>
      <c r="I15" s="4"/>
      <c r="J15" s="4"/>
      <c r="K15" s="4"/>
      <c r="L15" s="4"/>
      <c r="M15" s="4"/>
      <c r="N15" s="4"/>
    </row>
    <row r="16" customFormat="false" ht="48.75" hidden="false" customHeight="true" outlineLevel="0" collapsed="false">
      <c r="B16" s="41" t="s">
        <v>41</v>
      </c>
      <c r="C16" s="42" t="str">
        <f aca="false">INDEX(T_Lib,MATCH($B16,T_Ref,0))</f>
        <v>Délai moyen de détection (MTTD)</v>
      </c>
      <c r="D16" s="43" t="str">
        <f aca="false">INDEX(T_Unite,MATCH($B16,T_Ref,0))</f>
        <v>j.o.</v>
      </c>
      <c r="E16" s="44" t="s">
        <v>384</v>
      </c>
      <c r="F16" s="44" t="s">
        <v>385</v>
      </c>
      <c r="G16" s="44" t="s">
        <v>386</v>
      </c>
      <c r="H16" s="45" t="str">
        <f aca="false">INDEX(T_Sens,MATCH($B16,T_Ref,0))</f>
        <v>≤</v>
      </c>
      <c r="I16" s="50" t="n">
        <f aca="false">IF(INDEX(T_Cible,MATCH($B16,T_Ref,0))="","",INDEX(T_Cible,MATCH($B16,T_Ref,0)))</f>
        <v>2</v>
      </c>
      <c r="J16" s="50" t="n">
        <f aca="false">IF(INDEX(T_Alerte,MATCH($B16,T_Ref,0))="","",INDEX(T_Alerte,MATCH($B16,T_Ref,0)))</f>
        <v>5</v>
      </c>
      <c r="K16" s="44" t="s">
        <v>387</v>
      </c>
      <c r="L16" s="44" t="s">
        <v>388</v>
      </c>
      <c r="M16" s="44" t="s">
        <v>347</v>
      </c>
      <c r="N16" s="44" t="s">
        <v>389</v>
      </c>
    </row>
    <row r="17" customFormat="false" ht="37.5" hidden="false" customHeight="true" outlineLevel="0" collapsed="false">
      <c r="B17" s="41" t="s">
        <v>42</v>
      </c>
      <c r="C17" s="42" t="str">
        <f aca="false">INDEX(T_Lib,MATCH($B17,T_Ref,0))</f>
        <v>Délai moyen de déclaration</v>
      </c>
      <c r="D17" s="43" t="str">
        <f aca="false">INDEX(T_Unite,MATCH($B17,T_Ref,0))</f>
        <v>h</v>
      </c>
      <c r="E17" s="44" t="s">
        <v>390</v>
      </c>
      <c r="F17" s="44" t="s">
        <v>391</v>
      </c>
      <c r="G17" s="44" t="s">
        <v>392</v>
      </c>
      <c r="H17" s="45" t="str">
        <f aca="false">INDEX(T_Sens,MATCH($B17,T_Ref,0))</f>
        <v>≤</v>
      </c>
      <c r="I17" s="50" t="n">
        <f aca="false">IF(INDEX(T_Cible,MATCH($B17,T_Ref,0))="","",INDEX(T_Cible,MATCH($B17,T_Ref,0)))</f>
        <v>4</v>
      </c>
      <c r="J17" s="50" t="n">
        <f aca="false">IF(INDEX(T_Alerte,MATCH($B17,T_Ref,0))="","",INDEX(T_Alerte,MATCH($B17,T_Ref,0)))</f>
        <v>9</v>
      </c>
      <c r="K17" s="44" t="s">
        <v>393</v>
      </c>
      <c r="L17" s="44" t="s">
        <v>394</v>
      </c>
      <c r="M17" s="44" t="s">
        <v>340</v>
      </c>
      <c r="N17" s="44" t="s">
        <v>395</v>
      </c>
    </row>
    <row r="18" customFormat="false" ht="37.5" hidden="false" customHeight="true" outlineLevel="0" collapsed="false">
      <c r="B18" s="41" t="s">
        <v>43</v>
      </c>
      <c r="C18" s="42" t="str">
        <f aca="false">INDEX(T_Lib,MATCH($B18,T_Ref,0))</f>
        <v>Temps moyen de prise en compte (MTTA)</v>
      </c>
      <c r="D18" s="43" t="str">
        <f aca="false">INDEX(T_Unite,MATCH($B18,T_Ref,0))</f>
        <v>h</v>
      </c>
      <c r="E18" s="44" t="s">
        <v>396</v>
      </c>
      <c r="F18" s="44" t="s">
        <v>397</v>
      </c>
      <c r="G18" s="44" t="s">
        <v>398</v>
      </c>
      <c r="H18" s="45" t="str">
        <f aca="false">INDEX(T_Sens,MATCH($B18,T_Ref,0))</f>
        <v>≤</v>
      </c>
      <c r="I18" s="50" t="n">
        <f aca="false">IF(INDEX(T_Cible,MATCH($B18,T_Ref,0))="","",INDEX(T_Cible,MATCH($B18,T_Ref,0)))</f>
        <v>4</v>
      </c>
      <c r="J18" s="50" t="n">
        <f aca="false">IF(INDEX(T_Alerte,MATCH($B18,T_Ref,0))="","",INDEX(T_Alerte,MATCH($B18,T_Ref,0)))</f>
        <v>9</v>
      </c>
      <c r="K18" s="44" t="s">
        <v>399</v>
      </c>
      <c r="L18" s="44" t="s">
        <v>400</v>
      </c>
      <c r="M18" s="44" t="s">
        <v>340</v>
      </c>
      <c r="N18" s="44" t="s">
        <v>401</v>
      </c>
    </row>
    <row r="19" customFormat="false" ht="37.5" hidden="false" customHeight="true" outlineLevel="0" collapsed="false">
      <c r="B19" s="41" t="s">
        <v>44</v>
      </c>
      <c r="C19" s="42" t="str">
        <f aca="false">INDEX(T_Lib,MATCH($B19,T_Ref,0))</f>
        <v>Respect du SLA de prise en compte</v>
      </c>
      <c r="D19" s="43" t="str">
        <f aca="false">INDEX(T_Unite,MATCH($B19,T_Ref,0))</f>
        <v>%</v>
      </c>
      <c r="E19" s="44" t="s">
        <v>402</v>
      </c>
      <c r="F19" s="44" t="s">
        <v>403</v>
      </c>
      <c r="G19" s="44" t="s">
        <v>404</v>
      </c>
      <c r="H19" s="45" t="str">
        <f aca="false">INDEX(T_Sens,MATCH($B19,T_Ref,0))</f>
        <v>≥</v>
      </c>
      <c r="I19" s="48" t="n">
        <f aca="false">IF(INDEX(T_Cible,MATCH($B19,T_Ref,0))="","",INDEX(T_Cible,MATCH($B19,T_Ref,0)))</f>
        <v>0.95</v>
      </c>
      <c r="J19" s="48" t="n">
        <f aca="false">IF(INDEX(T_Alerte,MATCH($B19,T_Ref,0))="","",INDEX(T_Alerte,MATCH($B19,T_Ref,0)))</f>
        <v>0.85</v>
      </c>
      <c r="K19" s="44" t="s">
        <v>405</v>
      </c>
      <c r="L19" s="44" t="s">
        <v>406</v>
      </c>
      <c r="M19" s="44" t="s">
        <v>340</v>
      </c>
      <c r="N19" s="44" t="s">
        <v>407</v>
      </c>
    </row>
    <row r="20" customFormat="false" ht="48.75" hidden="false" customHeight="true" outlineLevel="0" collapsed="false">
      <c r="B20" s="41" t="s">
        <v>45</v>
      </c>
      <c r="C20" s="42" t="str">
        <f aca="false">INDEX(T_Lib,MATCH($B20,T_Ref,0))</f>
        <v>Temps moyen de résolution (MTTR)</v>
      </c>
      <c r="D20" s="43" t="str">
        <f aca="false">INDEX(T_Unite,MATCH($B20,T_Ref,0))</f>
        <v>j.o.</v>
      </c>
      <c r="E20" s="44" t="s">
        <v>408</v>
      </c>
      <c r="F20" s="44" t="s">
        <v>409</v>
      </c>
      <c r="G20" s="44" t="s">
        <v>410</v>
      </c>
      <c r="H20" s="45" t="str">
        <f aca="false">INDEX(T_Sens,MATCH($B20,T_Ref,0))</f>
        <v>≤</v>
      </c>
      <c r="I20" s="50" t="n">
        <f aca="false">IF(INDEX(T_Cible,MATCH($B20,T_Ref,0))="","",INDEX(T_Cible,MATCH($B20,T_Ref,0)))</f>
        <v>5</v>
      </c>
      <c r="J20" s="50" t="n">
        <f aca="false">IF(INDEX(T_Alerte,MATCH($B20,T_Ref,0))="","",INDEX(T_Alerte,MATCH($B20,T_Ref,0)))</f>
        <v>10</v>
      </c>
      <c r="K20" s="44" t="s">
        <v>411</v>
      </c>
      <c r="L20" s="44" t="s">
        <v>412</v>
      </c>
      <c r="M20" s="44" t="s">
        <v>340</v>
      </c>
      <c r="N20" s="44" t="s">
        <v>413</v>
      </c>
    </row>
    <row r="21" customFormat="false" ht="37.5" hidden="false" customHeight="true" outlineLevel="0" collapsed="false">
      <c r="B21" s="41" t="s">
        <v>46</v>
      </c>
      <c r="C21" s="42" t="str">
        <f aca="false">INDEX(T_Lib,MATCH($B21,T_Ref,0))</f>
        <v>Délai de résolution - 90e centile</v>
      </c>
      <c r="D21" s="43" t="str">
        <f aca="false">INDEX(T_Unite,MATCH($B21,T_Ref,0))</f>
        <v>j.o.</v>
      </c>
      <c r="E21" s="44" t="s">
        <v>414</v>
      </c>
      <c r="F21" s="44" t="s">
        <v>415</v>
      </c>
      <c r="G21" s="44" t="s">
        <v>416</v>
      </c>
      <c r="H21" s="45" t="str">
        <f aca="false">INDEX(T_Sens,MATCH($B21,T_Ref,0))</f>
        <v>≤</v>
      </c>
      <c r="I21" s="50" t="n">
        <f aca="false">IF(INDEX(T_Cible,MATCH($B21,T_Ref,0))="","",INDEX(T_Cible,MATCH($B21,T_Ref,0)))</f>
        <v>10</v>
      </c>
      <c r="J21" s="50" t="n">
        <f aca="false">IF(INDEX(T_Alerte,MATCH($B21,T_Ref,0))="","",INDEX(T_Alerte,MATCH($B21,T_Ref,0)))</f>
        <v>20</v>
      </c>
      <c r="K21" s="44" t="s">
        <v>417</v>
      </c>
      <c r="L21" s="44" t="s">
        <v>412</v>
      </c>
      <c r="M21" s="44" t="s">
        <v>347</v>
      </c>
      <c r="N21" s="44" t="s">
        <v>418</v>
      </c>
    </row>
    <row r="22" customFormat="false" ht="25.5" hidden="false" customHeight="true" outlineLevel="0" collapsed="false">
      <c r="B22" s="41" t="s">
        <v>47</v>
      </c>
      <c r="C22" s="42" t="str">
        <f aca="false">INDEX(T_Lib,MATCH($B22,T_Ref,0))</f>
        <v>Respect du SLA de résolution</v>
      </c>
      <c r="D22" s="43" t="str">
        <f aca="false">INDEX(T_Unite,MATCH($B22,T_Ref,0))</f>
        <v>%</v>
      </c>
      <c r="E22" s="44" t="s">
        <v>419</v>
      </c>
      <c r="F22" s="44" t="s">
        <v>420</v>
      </c>
      <c r="G22" s="44" t="s">
        <v>421</v>
      </c>
      <c r="H22" s="45" t="str">
        <f aca="false">INDEX(T_Sens,MATCH($B22,T_Ref,0))</f>
        <v>≥</v>
      </c>
      <c r="I22" s="48" t="n">
        <f aca="false">IF(INDEX(T_Cible,MATCH($B22,T_Ref,0))="","",INDEX(T_Cible,MATCH($B22,T_Ref,0)))</f>
        <v>0.9</v>
      </c>
      <c r="J22" s="48" t="n">
        <f aca="false">IF(INDEX(T_Alerte,MATCH($B22,T_Ref,0))="","",INDEX(T_Alerte,MATCH($B22,T_Ref,0)))</f>
        <v>0.8</v>
      </c>
      <c r="K22" s="44" t="s">
        <v>422</v>
      </c>
      <c r="L22" s="44" t="s">
        <v>423</v>
      </c>
      <c r="M22" s="44" t="s">
        <v>340</v>
      </c>
      <c r="N22" s="44" t="s">
        <v>424</v>
      </c>
    </row>
    <row r="23" customFormat="false" ht="48.75" hidden="false" customHeight="true" outlineLevel="0" collapsed="false">
      <c r="B23" s="41" t="s">
        <v>49</v>
      </c>
      <c r="C23" s="42" t="str">
        <f aca="false">INDEX(T_Lib,MATCH($B23,T_Ref,0))</f>
        <v>Délai moyen de clôture</v>
      </c>
      <c r="D23" s="43" t="str">
        <f aca="false">INDEX(T_Unite,MATCH($B23,T_Ref,0))</f>
        <v>j.o.</v>
      </c>
      <c r="E23" s="44" t="s">
        <v>425</v>
      </c>
      <c r="F23" s="44" t="s">
        <v>426</v>
      </c>
      <c r="G23" s="44" t="s">
        <v>427</v>
      </c>
      <c r="H23" s="45" t="str">
        <f aca="false">INDEX(T_Sens,MATCH($B23,T_Ref,0))</f>
        <v>≤</v>
      </c>
      <c r="I23" s="50" t="n">
        <f aca="false">IF(INDEX(T_Cible,MATCH($B23,T_Ref,0))="","",INDEX(T_Cible,MATCH($B23,T_Ref,0)))</f>
        <v>20</v>
      </c>
      <c r="J23" s="50" t="n">
        <f aca="false">IF(INDEX(T_Alerte,MATCH($B23,T_Ref,0))="","",INDEX(T_Alerte,MATCH($B23,T_Ref,0)))</f>
        <v>40</v>
      </c>
      <c r="K23" s="44" t="s">
        <v>428</v>
      </c>
      <c r="L23" s="44" t="s">
        <v>429</v>
      </c>
      <c r="M23" s="44" t="s">
        <v>347</v>
      </c>
      <c r="N23" s="44" t="s">
        <v>430</v>
      </c>
    </row>
    <row r="24" customFormat="false" ht="15" hidden="false" customHeight="true" outlineLevel="0" collapsed="false">
      <c r="B24" s="3" t="s">
        <v>52</v>
      </c>
      <c r="C24" s="4"/>
      <c r="D24" s="4"/>
      <c r="E24" s="4"/>
      <c r="F24" s="4"/>
      <c r="G24" s="4"/>
      <c r="H24" s="4"/>
      <c r="I24" s="4"/>
      <c r="J24" s="4"/>
      <c r="K24" s="4"/>
      <c r="L24" s="4"/>
      <c r="M24" s="4"/>
      <c r="N24" s="4"/>
    </row>
    <row r="25" customFormat="false" ht="60" hidden="false" customHeight="true" outlineLevel="0" collapsed="false">
      <c r="B25" s="41" t="s">
        <v>53</v>
      </c>
      <c r="C25" s="42" t="str">
        <f aca="false">INDEX(T_Lib,MATCH($B25,T_Ref,0))</f>
        <v>Résolution au 1er niveau (criticités 3 et 4)</v>
      </c>
      <c r="D25" s="43" t="str">
        <f aca="false">INDEX(T_Unite,MATCH($B25,T_Ref,0))</f>
        <v>%</v>
      </c>
      <c r="E25" s="44" t="s">
        <v>431</v>
      </c>
      <c r="F25" s="44" t="s">
        <v>432</v>
      </c>
      <c r="G25" s="44" t="s">
        <v>433</v>
      </c>
      <c r="H25" s="45" t="str">
        <f aca="false">INDEX(T_Sens,MATCH($B25,T_Ref,0))</f>
        <v>≥</v>
      </c>
      <c r="I25" s="48" t="n">
        <f aca="false">IF(INDEX(T_Cible,MATCH($B25,T_Ref,0))="","",INDEX(T_Cible,MATCH($B25,T_Ref,0)))</f>
        <v>0.8</v>
      </c>
      <c r="J25" s="48" t="n">
        <f aca="false">IF(INDEX(T_Alerte,MATCH($B25,T_Ref,0))="","",INDEX(T_Alerte,MATCH($B25,T_Ref,0)))</f>
        <v>0.65</v>
      </c>
      <c r="K25" s="44" t="s">
        <v>434</v>
      </c>
      <c r="L25" s="44" t="s">
        <v>435</v>
      </c>
      <c r="M25" s="44" t="s">
        <v>347</v>
      </c>
      <c r="N25" s="44" t="s">
        <v>436</v>
      </c>
    </row>
    <row r="26" customFormat="false" ht="37.5" hidden="false" customHeight="true" outlineLevel="0" collapsed="false">
      <c r="B26" s="41" t="s">
        <v>54</v>
      </c>
      <c r="C26" s="42" t="str">
        <f aca="false">INDEX(T_Lib,MATCH($B26,T_Ref,0))</f>
        <v>Ratio de traitement (résolus / nouveaux)</v>
      </c>
      <c r="D26" s="43" t="str">
        <f aca="false">INDEX(T_Unite,MATCH($B26,T_Ref,0))</f>
        <v>x</v>
      </c>
      <c r="E26" s="44" t="s">
        <v>437</v>
      </c>
      <c r="F26" s="44" t="s">
        <v>438</v>
      </c>
      <c r="G26" s="44" t="s">
        <v>439</v>
      </c>
      <c r="H26" s="45" t="str">
        <f aca="false">INDEX(T_Sens,MATCH($B26,T_Ref,0))</f>
        <v>≥</v>
      </c>
      <c r="I26" s="47" t="n">
        <f aca="false">IF(INDEX(T_Cible,MATCH($B26,T_Ref,0))="","",INDEX(T_Cible,MATCH($B26,T_Ref,0)))</f>
        <v>1</v>
      </c>
      <c r="J26" s="47" t="n">
        <f aca="false">IF(INDEX(T_Alerte,MATCH($B26,T_Ref,0))="","",INDEX(T_Alerte,MATCH($B26,T_Ref,0)))</f>
        <v>0.8</v>
      </c>
      <c r="K26" s="44" t="s">
        <v>440</v>
      </c>
      <c r="L26" s="44" t="s">
        <v>412</v>
      </c>
      <c r="M26" s="44" t="s">
        <v>340</v>
      </c>
      <c r="N26" s="44" t="s">
        <v>441</v>
      </c>
    </row>
    <row r="27" customFormat="false" ht="37.5" hidden="false" customHeight="true" outlineLevel="0" collapsed="false">
      <c r="B27" s="41" t="s">
        <v>55</v>
      </c>
      <c r="C27" s="42" t="str">
        <f aca="false">INDEX(T_Lib,MATCH($B27,T_Ref,0))</f>
        <v>Backlog en fin de période</v>
      </c>
      <c r="D27" s="43" t="str">
        <f aca="false">INDEX(T_Unite,MATCH($B27,T_Ref,0))</f>
        <v>nb</v>
      </c>
      <c r="E27" s="44" t="s">
        <v>442</v>
      </c>
      <c r="F27" s="44" t="s">
        <v>443</v>
      </c>
      <c r="G27" s="44" t="s">
        <v>444</v>
      </c>
      <c r="H27" s="45" t="str">
        <f aca="false">INDEX(T_Sens,MATCH($B27,T_Ref,0))</f>
        <v>Suivi</v>
      </c>
      <c r="I27" s="46" t="str">
        <f aca="false">IF(INDEX(T_Cible,MATCH($B27,T_Ref,0))="","",INDEX(T_Cible,MATCH($B27,T_Ref,0)))</f>
        <v/>
      </c>
      <c r="J27" s="46" t="str">
        <f aca="false">IF(INDEX(T_Alerte,MATCH($B27,T_Ref,0))="","",INDEX(T_Alerte,MATCH($B27,T_Ref,0)))</f>
        <v/>
      </c>
      <c r="K27" s="44" t="s">
        <v>445</v>
      </c>
      <c r="L27" s="44" t="s">
        <v>412</v>
      </c>
      <c r="M27" s="44" t="s">
        <v>340</v>
      </c>
      <c r="N27" s="44" t="s">
        <v>446</v>
      </c>
    </row>
    <row r="28" customFormat="false" ht="37.5" hidden="false" customHeight="true" outlineLevel="0" collapsed="false">
      <c r="B28" s="41" t="s">
        <v>56</v>
      </c>
      <c r="C28" s="42" t="str">
        <f aca="false">INDEX(T_Lib,MATCH($B28,T_Ref,0))</f>
        <v>Part du backlog hors SLA</v>
      </c>
      <c r="D28" s="43" t="str">
        <f aca="false">INDEX(T_Unite,MATCH($B28,T_Ref,0))</f>
        <v>%</v>
      </c>
      <c r="E28" s="44" t="s">
        <v>447</v>
      </c>
      <c r="F28" s="44" t="s">
        <v>448</v>
      </c>
      <c r="G28" s="44" t="s">
        <v>449</v>
      </c>
      <c r="H28" s="45" t="str">
        <f aca="false">INDEX(T_Sens,MATCH($B28,T_Ref,0))</f>
        <v>≤</v>
      </c>
      <c r="I28" s="48" t="n">
        <f aca="false">IF(INDEX(T_Cible,MATCH($B28,T_Ref,0))="","",INDEX(T_Cible,MATCH($B28,T_Ref,0)))</f>
        <v>0.1</v>
      </c>
      <c r="J28" s="48" t="n">
        <f aca="false">IF(INDEX(T_Alerte,MATCH($B28,T_Ref,0))="","",INDEX(T_Alerte,MATCH($B28,T_Ref,0)))</f>
        <v>0.25</v>
      </c>
      <c r="K28" s="44" t="s">
        <v>450</v>
      </c>
      <c r="L28" s="44" t="s">
        <v>423</v>
      </c>
      <c r="M28" s="44" t="s">
        <v>340</v>
      </c>
      <c r="N28" s="44" t="s">
        <v>451</v>
      </c>
    </row>
    <row r="29" customFormat="false" ht="25.5" hidden="false" customHeight="true" outlineLevel="0" collapsed="false">
      <c r="B29" s="41" t="s">
        <v>57</v>
      </c>
      <c r="C29" s="42" t="str">
        <f aca="false">INDEX(T_Lib,MATCH($B29,T_Ref,0))</f>
        <v>Taux de réouverture</v>
      </c>
      <c r="D29" s="43" t="str">
        <f aca="false">INDEX(T_Unite,MATCH($B29,T_Ref,0))</f>
        <v>%</v>
      </c>
      <c r="E29" s="44" t="s">
        <v>452</v>
      </c>
      <c r="F29" s="44" t="s">
        <v>453</v>
      </c>
      <c r="G29" s="44" t="s">
        <v>454</v>
      </c>
      <c r="H29" s="45" t="str">
        <f aca="false">INDEX(T_Sens,MATCH($B29,T_Ref,0))</f>
        <v>≤</v>
      </c>
      <c r="I29" s="48" t="n">
        <f aca="false">IF(INDEX(T_Cible,MATCH($B29,T_Ref,0))="","",INDEX(T_Cible,MATCH($B29,T_Ref,0)))</f>
        <v>0.05</v>
      </c>
      <c r="J29" s="48" t="n">
        <f aca="false">IF(INDEX(T_Alerte,MATCH($B29,T_Ref,0))="","",INDEX(T_Alerte,MATCH($B29,T_Ref,0)))</f>
        <v>0.1</v>
      </c>
      <c r="K29" s="44" t="s">
        <v>455</v>
      </c>
      <c r="L29" s="44" t="s">
        <v>456</v>
      </c>
      <c r="M29" s="44" t="s">
        <v>347</v>
      </c>
      <c r="N29" s="44" t="s">
        <v>457</v>
      </c>
    </row>
    <row r="30" customFormat="false" ht="37.5" hidden="false" customHeight="true" outlineLevel="0" collapsed="false">
      <c r="B30" s="41" t="s">
        <v>58</v>
      </c>
      <c r="C30" s="42" t="str">
        <f aca="false">INDEX(T_Lib,MATCH($B30,T_Ref,0))</f>
        <v>Taux de récurrence</v>
      </c>
      <c r="D30" s="43" t="str">
        <f aca="false">INDEX(T_Unite,MATCH($B30,T_Ref,0))</f>
        <v>%</v>
      </c>
      <c r="E30" s="44" t="s">
        <v>458</v>
      </c>
      <c r="F30" s="44" t="s">
        <v>459</v>
      </c>
      <c r="G30" s="44" t="s">
        <v>460</v>
      </c>
      <c r="H30" s="45" t="str">
        <f aca="false">INDEX(T_Sens,MATCH($B30,T_Ref,0))</f>
        <v>≤</v>
      </c>
      <c r="I30" s="48" t="n">
        <f aca="false">IF(INDEX(T_Cible,MATCH($B30,T_Ref,0))="","",INDEX(T_Cible,MATCH($B30,T_Ref,0)))</f>
        <v>0.1</v>
      </c>
      <c r="J30" s="48" t="n">
        <f aca="false">IF(INDEX(T_Alerte,MATCH($B30,T_Ref,0))="","",INDEX(T_Alerte,MATCH($B30,T_Ref,0)))</f>
        <v>0.2</v>
      </c>
      <c r="K30" s="44" t="s">
        <v>461</v>
      </c>
      <c r="L30" s="44" t="s">
        <v>462</v>
      </c>
      <c r="M30" s="44" t="s">
        <v>347</v>
      </c>
      <c r="N30" s="44" t="s">
        <v>463</v>
      </c>
    </row>
    <row r="31" customFormat="false" ht="37.5" hidden="false" customHeight="true" outlineLevel="0" collapsed="false">
      <c r="B31" s="41" t="s">
        <v>59</v>
      </c>
      <c r="C31" s="42" t="str">
        <f aca="false">INDEX(T_Lib,MATCH($B31,T_Ref,0))</f>
        <v>Couverture des analyses de cause racine (criticités 1 et 2)</v>
      </c>
      <c r="D31" s="43" t="str">
        <f aca="false">INDEX(T_Unite,MATCH($B31,T_Ref,0))</f>
        <v>%</v>
      </c>
      <c r="E31" s="44" t="s">
        <v>464</v>
      </c>
      <c r="F31" s="44" t="s">
        <v>465</v>
      </c>
      <c r="G31" s="44" t="s">
        <v>466</v>
      </c>
      <c r="H31" s="45" t="str">
        <f aca="false">INDEX(T_Sens,MATCH($B31,T_Ref,0))</f>
        <v>≥</v>
      </c>
      <c r="I31" s="48" t="n">
        <f aca="false">IF(INDEX(T_Cible,MATCH($B31,T_Ref,0))="","",INDEX(T_Cible,MATCH($B31,T_Ref,0)))</f>
        <v>1</v>
      </c>
      <c r="J31" s="48" t="n">
        <f aca="false">IF(INDEX(T_Alerte,MATCH($B31,T_Ref,0))="","",INDEX(T_Alerte,MATCH($B31,T_Ref,0)))</f>
        <v>0.9</v>
      </c>
      <c r="K31" s="44" t="s">
        <v>467</v>
      </c>
      <c r="L31" s="44" t="s">
        <v>468</v>
      </c>
      <c r="M31" s="44" t="s">
        <v>347</v>
      </c>
      <c r="N31" s="44" t="s">
        <v>469</v>
      </c>
    </row>
    <row r="32" customFormat="false" ht="37.5" hidden="false" customHeight="true" outlineLevel="0" collapsed="false">
      <c r="B32" s="41" t="s">
        <v>61</v>
      </c>
      <c r="C32" s="42" t="str">
        <f aca="false">INDEX(T_Lib,MATCH($B32,T_Ref,0))</f>
        <v>Actions correctives réalisées à échéance</v>
      </c>
      <c r="D32" s="43" t="str">
        <f aca="false">INDEX(T_Unite,MATCH($B32,T_Ref,0))</f>
        <v>%</v>
      </c>
      <c r="E32" s="44" t="s">
        <v>470</v>
      </c>
      <c r="F32" s="44" t="s">
        <v>471</v>
      </c>
      <c r="G32" s="44" t="s">
        <v>472</v>
      </c>
      <c r="H32" s="45" t="str">
        <f aca="false">INDEX(T_Sens,MATCH($B32,T_Ref,0))</f>
        <v>≥</v>
      </c>
      <c r="I32" s="48" t="n">
        <f aca="false">IF(INDEX(T_Cible,MATCH($B32,T_Ref,0))="","",INDEX(T_Cible,MATCH($B32,T_Ref,0)))</f>
        <v>0.9</v>
      </c>
      <c r="J32" s="48" t="n">
        <f aca="false">IF(INDEX(T_Alerte,MATCH($B32,T_Ref,0))="","",INDEX(T_Alerte,MATCH($B32,T_Ref,0)))</f>
        <v>0.75</v>
      </c>
      <c r="K32" s="44" t="s">
        <v>473</v>
      </c>
      <c r="L32" s="44" t="s">
        <v>474</v>
      </c>
      <c r="M32" s="44" t="s">
        <v>347</v>
      </c>
      <c r="N32" s="44" t="s">
        <v>475</v>
      </c>
    </row>
    <row r="33" customFormat="false" ht="15" hidden="false" customHeight="true" outlineLevel="0" collapsed="false">
      <c r="B33" s="3" t="s">
        <v>63</v>
      </c>
      <c r="C33" s="4"/>
      <c r="D33" s="4"/>
      <c r="E33" s="4"/>
      <c r="F33" s="4"/>
      <c r="G33" s="4"/>
      <c r="H33" s="4"/>
      <c r="I33" s="4"/>
      <c r="J33" s="4"/>
      <c r="K33" s="4"/>
      <c r="L33" s="4"/>
      <c r="M33" s="4"/>
      <c r="N33" s="4"/>
    </row>
    <row r="34" customFormat="false" ht="60" hidden="false" customHeight="true" outlineLevel="0" collapsed="false">
      <c r="B34" s="41" t="s">
        <v>64</v>
      </c>
      <c r="C34" s="42" t="str">
        <f aca="false">INDEX(T_Lib,MATCH($B34,T_Ref,0))</f>
        <v>Taux d'escalade global (N2 et plus)</v>
      </c>
      <c r="D34" s="43" t="str">
        <f aca="false">INDEX(T_Unite,MATCH($B34,T_Ref,0))</f>
        <v>%</v>
      </c>
      <c r="E34" s="44" t="s">
        <v>476</v>
      </c>
      <c r="F34" s="44" t="s">
        <v>477</v>
      </c>
      <c r="G34" s="44" t="s">
        <v>478</v>
      </c>
      <c r="H34" s="45" t="str">
        <f aca="false">INDEX(T_Sens,MATCH($B34,T_Ref,0))</f>
        <v>≤</v>
      </c>
      <c r="I34" s="48" t="n">
        <f aca="false">IF(INDEX(T_Cible,MATCH($B34,T_Ref,0))="","",INDEX(T_Cible,MATCH($B34,T_Ref,0)))</f>
        <v>0.3</v>
      </c>
      <c r="J34" s="48" t="n">
        <f aca="false">IF(INDEX(T_Alerte,MATCH($B34,T_Ref,0))="","",INDEX(T_Alerte,MATCH($B34,T_Ref,0)))</f>
        <v>0.4</v>
      </c>
      <c r="K34" s="44" t="s">
        <v>479</v>
      </c>
      <c r="L34" s="44" t="s">
        <v>480</v>
      </c>
      <c r="M34" s="44" t="s">
        <v>347</v>
      </c>
      <c r="N34" s="44" t="s">
        <v>481</v>
      </c>
    </row>
    <row r="35" customFormat="false" ht="48.75" hidden="false" customHeight="true" outlineLevel="0" collapsed="false">
      <c r="B35" s="41" t="s">
        <v>65</v>
      </c>
      <c r="C35" s="42" t="str">
        <f aca="false">INDEX(T_Lib,MATCH($B35,T_Ref,0))</f>
        <v>Taux d'escalade à la Direction (N3 et plus)</v>
      </c>
      <c r="D35" s="43" t="str">
        <f aca="false">INDEX(T_Unite,MATCH($B35,T_Ref,0))</f>
        <v>%</v>
      </c>
      <c r="E35" s="44" t="s">
        <v>482</v>
      </c>
      <c r="F35" s="44" t="s">
        <v>483</v>
      </c>
      <c r="G35" s="44" t="s">
        <v>484</v>
      </c>
      <c r="H35" s="45" t="str">
        <f aca="false">INDEX(T_Sens,MATCH($B35,T_Ref,0))</f>
        <v>≤</v>
      </c>
      <c r="I35" s="48" t="n">
        <f aca="false">IF(INDEX(T_Cible,MATCH($B35,T_Ref,0))="","",INDEX(T_Cible,MATCH($B35,T_Ref,0)))</f>
        <v>0.1</v>
      </c>
      <c r="J35" s="48" t="n">
        <f aca="false">IF(INDEX(T_Alerte,MATCH($B35,T_Ref,0))="","",INDEX(T_Alerte,MATCH($B35,T_Ref,0)))</f>
        <v>0.2</v>
      </c>
      <c r="K35" s="44" t="s">
        <v>485</v>
      </c>
      <c r="L35" s="44" t="s">
        <v>486</v>
      </c>
      <c r="M35" s="44" t="s">
        <v>347</v>
      </c>
      <c r="N35" s="44" t="s">
        <v>487</v>
      </c>
    </row>
    <row r="36" customFormat="false" ht="37.5" hidden="false" customHeight="true" outlineLevel="0" collapsed="false">
      <c r="B36" s="41" t="s">
        <v>66</v>
      </c>
      <c r="C36" s="42" t="str">
        <f aca="false">INDEX(T_Lib,MATCH($B36,T_Ref,0))</f>
        <v>Taux d'escalade externe (N4)</v>
      </c>
      <c r="D36" s="43" t="str">
        <f aca="false">INDEX(T_Unite,MATCH($B36,T_Ref,0))</f>
        <v>%</v>
      </c>
      <c r="E36" s="44" t="s">
        <v>488</v>
      </c>
      <c r="F36" s="44" t="s">
        <v>489</v>
      </c>
      <c r="G36" s="44" t="s">
        <v>490</v>
      </c>
      <c r="H36" s="45" t="str">
        <f aca="false">INDEX(T_Sens,MATCH($B36,T_Ref,0))</f>
        <v>Suivi</v>
      </c>
      <c r="I36" s="48" t="str">
        <f aca="false">IF(INDEX(T_Cible,MATCH($B36,T_Ref,0))="","",INDEX(T_Cible,MATCH($B36,T_Ref,0)))</f>
        <v/>
      </c>
      <c r="J36" s="48" t="str">
        <f aca="false">IF(INDEX(T_Alerte,MATCH($B36,T_Ref,0))="","",INDEX(T_Alerte,MATCH($B36,T_Ref,0)))</f>
        <v/>
      </c>
      <c r="K36" s="44" t="s">
        <v>491</v>
      </c>
      <c r="L36" s="44" t="s">
        <v>492</v>
      </c>
      <c r="M36" s="44" t="s">
        <v>347</v>
      </c>
      <c r="N36" s="44" t="s">
        <v>493</v>
      </c>
    </row>
    <row r="37" customFormat="false" ht="83.25" hidden="false" customHeight="true" outlineLevel="0" collapsed="false">
      <c r="B37" s="41" t="s">
        <v>67</v>
      </c>
      <c r="C37" s="42" t="str">
        <f aca="false">INDEX(T_Lib,MATCH($B37,T_Ref,0))</f>
        <v>Conformité à la matrice d'escalade</v>
      </c>
      <c r="D37" s="43" t="str">
        <f aca="false">INDEX(T_Unite,MATCH($B37,T_Ref,0))</f>
        <v>%</v>
      </c>
      <c r="E37" s="44" t="s">
        <v>494</v>
      </c>
      <c r="F37" s="44" t="s">
        <v>495</v>
      </c>
      <c r="G37" s="44" t="s">
        <v>496</v>
      </c>
      <c r="H37" s="45" t="str">
        <f aca="false">INDEX(T_Sens,MATCH($B37,T_Ref,0))</f>
        <v>≥</v>
      </c>
      <c r="I37" s="48" t="n">
        <f aca="false">IF(INDEX(T_Cible,MATCH($B37,T_Ref,0))="","",INDEX(T_Cible,MATCH($B37,T_Ref,0)))</f>
        <v>1</v>
      </c>
      <c r="J37" s="48" t="n">
        <f aca="false">IF(INDEX(T_Alerte,MATCH($B37,T_Ref,0))="","",INDEX(T_Alerte,MATCH($B37,T_Ref,0)))</f>
        <v>0.95</v>
      </c>
      <c r="K37" s="44" t="s">
        <v>497</v>
      </c>
      <c r="L37" s="44" t="s">
        <v>498</v>
      </c>
      <c r="M37" s="44" t="s">
        <v>340</v>
      </c>
      <c r="N37" s="44" t="s">
        <v>469</v>
      </c>
    </row>
    <row r="38" customFormat="false" ht="48.75" hidden="false" customHeight="true" outlineLevel="0" collapsed="false">
      <c r="B38" s="41" t="s">
        <v>68</v>
      </c>
      <c r="C38" s="42" t="str">
        <f aca="false">INDEX(T_Lib,MATCH($B38,T_Ref,0))</f>
        <v>Escalades réalisées dans les délais</v>
      </c>
      <c r="D38" s="43" t="str">
        <f aca="false">INDEX(T_Unite,MATCH($B38,T_Ref,0))</f>
        <v>%</v>
      </c>
      <c r="E38" s="44" t="s">
        <v>499</v>
      </c>
      <c r="F38" s="44" t="s">
        <v>500</v>
      </c>
      <c r="G38" s="44" t="s">
        <v>501</v>
      </c>
      <c r="H38" s="45" t="str">
        <f aca="false">INDEX(T_Sens,MATCH($B38,T_Ref,0))</f>
        <v>≥</v>
      </c>
      <c r="I38" s="48" t="n">
        <f aca="false">IF(INDEX(T_Cible,MATCH($B38,T_Ref,0))="","",INDEX(T_Cible,MATCH($B38,T_Ref,0)))</f>
        <v>0.95</v>
      </c>
      <c r="J38" s="48" t="n">
        <f aca="false">IF(INDEX(T_Alerte,MATCH($B38,T_Ref,0))="","",INDEX(T_Alerte,MATCH($B38,T_Ref,0)))</f>
        <v>0.85</v>
      </c>
      <c r="K38" s="44" t="s">
        <v>502</v>
      </c>
      <c r="L38" s="44" t="s">
        <v>503</v>
      </c>
      <c r="M38" s="44" t="s">
        <v>340</v>
      </c>
      <c r="N38" s="44" t="s">
        <v>504</v>
      </c>
    </row>
    <row r="39" customFormat="false" ht="48.75" hidden="false" customHeight="true" outlineLevel="0" collapsed="false">
      <c r="B39" s="41" t="s">
        <v>70</v>
      </c>
      <c r="C39" s="42" t="str">
        <f aca="false">INDEX(T_Lib,MATCH($B39,T_Ref,0))</f>
        <v>Délai moyen d'escalade au niveau requis</v>
      </c>
      <c r="D39" s="43" t="str">
        <f aca="false">INDEX(T_Unite,MATCH($B39,T_Ref,0))</f>
        <v>h</v>
      </c>
      <c r="E39" s="44" t="s">
        <v>505</v>
      </c>
      <c r="F39" s="44" t="s">
        <v>506</v>
      </c>
      <c r="G39" s="44" t="s">
        <v>507</v>
      </c>
      <c r="H39" s="45" t="str">
        <f aca="false">INDEX(T_Sens,MATCH($B39,T_Ref,0))</f>
        <v>≤</v>
      </c>
      <c r="I39" s="50" t="n">
        <f aca="false">IF(INDEX(T_Cible,MATCH($B39,T_Ref,0))="","",INDEX(T_Cible,MATCH($B39,T_Ref,0)))</f>
        <v>2</v>
      </c>
      <c r="J39" s="50" t="n">
        <f aca="false">IF(INDEX(T_Alerte,MATCH($B39,T_Ref,0))="","",INDEX(T_Alerte,MATCH($B39,T_Ref,0)))</f>
        <v>4</v>
      </c>
      <c r="K39" s="44" t="s">
        <v>508</v>
      </c>
      <c r="L39" s="44" t="s">
        <v>503</v>
      </c>
      <c r="M39" s="44" t="s">
        <v>340</v>
      </c>
      <c r="N39" s="44" t="s">
        <v>509</v>
      </c>
    </row>
    <row r="40" customFormat="false" ht="48.75" hidden="false" customHeight="true" outlineLevel="0" collapsed="false">
      <c r="B40" s="41" t="s">
        <v>72</v>
      </c>
      <c r="C40" s="42" t="str">
        <f aca="false">INDEX(T_Lib,MATCH($B40,T_Ref,0))</f>
        <v>Temps moyen passé en escalade</v>
      </c>
      <c r="D40" s="43" t="str">
        <f aca="false">INDEX(T_Unite,MATCH($B40,T_Ref,0))</f>
        <v>j.o.</v>
      </c>
      <c r="E40" s="44" t="s">
        <v>510</v>
      </c>
      <c r="F40" s="44" t="s">
        <v>511</v>
      </c>
      <c r="G40" s="44" t="s">
        <v>512</v>
      </c>
      <c r="H40" s="45" t="str">
        <f aca="false">INDEX(T_Sens,MATCH($B40,T_Ref,0))</f>
        <v>≤</v>
      </c>
      <c r="I40" s="50" t="n">
        <f aca="false">IF(INDEX(T_Cible,MATCH($B40,T_Ref,0))="","",INDEX(T_Cible,MATCH($B40,T_Ref,0)))</f>
        <v>3</v>
      </c>
      <c r="J40" s="50" t="n">
        <f aca="false">IF(INDEX(T_Alerte,MATCH($B40,T_Ref,0))="","",INDEX(T_Alerte,MATCH($B40,T_Ref,0)))</f>
        <v>5</v>
      </c>
      <c r="K40" s="44" t="s">
        <v>513</v>
      </c>
      <c r="L40" s="44" t="s">
        <v>514</v>
      </c>
      <c r="M40" s="44" t="s">
        <v>347</v>
      </c>
      <c r="N40" s="44" t="s">
        <v>515</v>
      </c>
    </row>
    <row r="41" customFormat="false" ht="48.75" hidden="false" customHeight="true" outlineLevel="0" collapsed="false">
      <c r="B41" s="41" t="s">
        <v>73</v>
      </c>
      <c r="C41" s="42" t="str">
        <f aca="false">INDEX(T_Lib,MATCH($B41,T_Ref,0))</f>
        <v>Taux de réaffectation multiple</v>
      </c>
      <c r="D41" s="43" t="str">
        <f aca="false">INDEX(T_Unite,MATCH($B41,T_Ref,0))</f>
        <v>%</v>
      </c>
      <c r="E41" s="44" t="s">
        <v>516</v>
      </c>
      <c r="F41" s="44" t="s">
        <v>517</v>
      </c>
      <c r="G41" s="44" t="s">
        <v>518</v>
      </c>
      <c r="H41" s="45" t="str">
        <f aca="false">INDEX(T_Sens,MATCH($B41,T_Ref,0))</f>
        <v>≤</v>
      </c>
      <c r="I41" s="48" t="n">
        <f aca="false">IF(INDEX(T_Cible,MATCH($B41,T_Ref,0))="","",INDEX(T_Cible,MATCH($B41,T_Ref,0)))</f>
        <v>0.1</v>
      </c>
      <c r="J41" s="48" t="n">
        <f aca="false">IF(INDEX(T_Alerte,MATCH($B41,T_Ref,0))="","",INDEX(T_Alerte,MATCH($B41,T_Ref,0)))</f>
        <v>0.2</v>
      </c>
      <c r="K41" s="44" t="s">
        <v>519</v>
      </c>
      <c r="L41" s="44" t="s">
        <v>520</v>
      </c>
      <c r="M41" s="44" t="s">
        <v>347</v>
      </c>
      <c r="N41" s="44" t="s">
        <v>521</v>
      </c>
    </row>
    <row r="42" customFormat="false" ht="48.75" hidden="false" customHeight="true" outlineLevel="0" collapsed="false">
      <c r="B42" s="41" t="s">
        <v>74</v>
      </c>
      <c r="C42" s="42" t="str">
        <f aca="false">INDEX(T_Lib,MATCH($B42,T_Ref,0))</f>
        <v>Notifications externes dans les délais</v>
      </c>
      <c r="D42" s="43" t="str">
        <f aca="false">INDEX(T_Unite,MATCH($B42,T_Ref,0))</f>
        <v>%</v>
      </c>
      <c r="E42" s="44" t="s">
        <v>522</v>
      </c>
      <c r="F42" s="44" t="s">
        <v>523</v>
      </c>
      <c r="G42" s="44" t="s">
        <v>524</v>
      </c>
      <c r="H42" s="45" t="str">
        <f aca="false">INDEX(T_Sens,MATCH($B42,T_Ref,0))</f>
        <v>≥</v>
      </c>
      <c r="I42" s="48" t="n">
        <f aca="false">IF(INDEX(T_Cible,MATCH($B42,T_Ref,0))="","",INDEX(T_Cible,MATCH($B42,T_Ref,0)))</f>
        <v>1</v>
      </c>
      <c r="J42" s="48" t="n">
        <f aca="false">IF(INDEX(T_Alerte,MATCH($B42,T_Ref,0))="","",INDEX(T_Alerte,MATCH($B42,T_Ref,0)))</f>
        <v>1</v>
      </c>
      <c r="K42" s="44" t="s">
        <v>525</v>
      </c>
      <c r="L42" s="44" t="s">
        <v>526</v>
      </c>
      <c r="M42" s="44" t="s">
        <v>340</v>
      </c>
      <c r="N42" s="44" t="s">
        <v>527</v>
      </c>
    </row>
    <row r="43" customFormat="false" ht="83.25" hidden="false" customHeight="true" outlineLevel="0" collapsed="false">
      <c r="B43" s="41" t="s">
        <v>75</v>
      </c>
      <c r="C43" s="42" t="str">
        <f aca="false">INDEX(T_Lib,MATCH($B43,T_Ref,0))</f>
        <v>Conformité des notifications DORA</v>
      </c>
      <c r="D43" s="43" t="str">
        <f aca="false">INDEX(T_Unite,MATCH($B43,T_Ref,0))</f>
        <v>%</v>
      </c>
      <c r="E43" s="44" t="s">
        <v>528</v>
      </c>
      <c r="F43" s="44" t="s">
        <v>529</v>
      </c>
      <c r="G43" s="44" t="s">
        <v>530</v>
      </c>
      <c r="H43" s="45" t="str">
        <f aca="false">INDEX(T_Sens,MATCH($B43,T_Ref,0))</f>
        <v>≥</v>
      </c>
      <c r="I43" s="48" t="n">
        <f aca="false">IF(INDEX(T_Cible,MATCH($B43,T_Ref,0))="","",INDEX(T_Cible,MATCH($B43,T_Ref,0)))</f>
        <v>1</v>
      </c>
      <c r="J43" s="48" t="n">
        <f aca="false">IF(INDEX(T_Alerte,MATCH($B43,T_Ref,0))="","",INDEX(T_Alerte,MATCH($B43,T_Ref,0)))</f>
        <v>1</v>
      </c>
      <c r="K43" s="44" t="s">
        <v>531</v>
      </c>
      <c r="L43" s="44" t="s">
        <v>532</v>
      </c>
      <c r="M43" s="44" t="s">
        <v>340</v>
      </c>
      <c r="N43" s="44" t="s">
        <v>533</v>
      </c>
    </row>
    <row r="45" customFormat="false" ht="25.5" hidden="false" customHeight="true" outlineLevel="0" collapsed="false">
      <c r="B45" s="28" t="s">
        <v>534</v>
      </c>
      <c r="C45" s="28"/>
      <c r="D45" s="28"/>
      <c r="E45" s="28"/>
      <c r="F45" s="28"/>
      <c r="G45" s="28"/>
      <c r="H45" s="28"/>
      <c r="I45" s="28"/>
      <c r="J45" s="28"/>
      <c r="K45" s="28"/>
      <c r="L45" s="28"/>
      <c r="M45" s="28"/>
      <c r="N45" s="28"/>
    </row>
  </sheetData>
  <mergeCells count="1">
    <mergeCell ref="B45:N45"/>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2812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14"/>
    <col collapsed="false" customWidth="true" hidden="false" outlineLevel="0" max="4" min="4" style="0" width="34"/>
    <col collapsed="false" customWidth="true" hidden="false" outlineLevel="0" max="6" min="5" style="0" width="16"/>
    <col collapsed="false" customWidth="true" hidden="false" outlineLevel="0" max="7" min="7" style="0" width="60"/>
    <col collapsed="false" customWidth="true" hidden="false" outlineLevel="0" max="8" min="8" style="0" width="34"/>
    <col collapsed="false" customWidth="true" hidden="false" outlineLevel="0" max="9" min="9" style="0" width="40"/>
  </cols>
  <sheetData>
    <row r="2" customFormat="false" ht="15" hidden="false" customHeight="false" outlineLevel="0" collapsed="false">
      <c r="B2" s="1" t="s">
        <v>535</v>
      </c>
    </row>
    <row r="3" customFormat="false" ht="15" hidden="false" customHeight="false" outlineLevel="0" collapsed="false">
      <c r="B3" s="2" t="s">
        <v>536</v>
      </c>
    </row>
    <row r="5" customFormat="false" ht="15" hidden="false" customHeight="true" outlineLevel="0" collapsed="false">
      <c r="B5" s="5" t="s">
        <v>537</v>
      </c>
      <c r="C5" s="6" t="s">
        <v>538</v>
      </c>
      <c r="D5" s="6" t="s">
        <v>539</v>
      </c>
      <c r="E5" s="6" t="s">
        <v>540</v>
      </c>
      <c r="F5" s="6" t="s">
        <v>541</v>
      </c>
      <c r="G5" s="6" t="s">
        <v>542</v>
      </c>
      <c r="H5" s="6" t="s">
        <v>543</v>
      </c>
      <c r="I5" s="6" t="s">
        <v>544</v>
      </c>
    </row>
    <row r="6" customFormat="false" ht="15" hidden="false" customHeight="true" outlineLevel="0" collapsed="false">
      <c r="B6" s="3" t="s">
        <v>545</v>
      </c>
      <c r="C6" s="4"/>
      <c r="D6" s="4"/>
      <c r="E6" s="4"/>
      <c r="F6" s="4"/>
      <c r="G6" s="4"/>
      <c r="H6" s="4"/>
      <c r="I6" s="4"/>
    </row>
    <row r="7" customFormat="false" ht="25.5" hidden="false" customHeight="true" outlineLevel="0" collapsed="false">
      <c r="B7" s="44" t="s">
        <v>546</v>
      </c>
      <c r="C7" s="44" t="s">
        <v>547</v>
      </c>
      <c r="D7" s="42" t="s">
        <v>89</v>
      </c>
      <c r="E7" s="44" t="s">
        <v>189</v>
      </c>
      <c r="F7" s="44" t="s">
        <v>548</v>
      </c>
      <c r="G7" s="44" t="s">
        <v>549</v>
      </c>
      <c r="H7" s="51" t="s">
        <v>257</v>
      </c>
      <c r="I7" s="44" t="s">
        <v>29</v>
      </c>
    </row>
    <row r="8" customFormat="false" ht="25.5" hidden="false" customHeight="true" outlineLevel="0" collapsed="false">
      <c r="B8" s="44" t="s">
        <v>550</v>
      </c>
      <c r="C8" s="44" t="s">
        <v>547</v>
      </c>
      <c r="D8" s="42" t="s">
        <v>90</v>
      </c>
      <c r="E8" s="44" t="s">
        <v>189</v>
      </c>
      <c r="F8" s="44" t="s">
        <v>551</v>
      </c>
      <c r="G8" s="44" t="s">
        <v>552</v>
      </c>
      <c r="H8" s="51" t="s">
        <v>178</v>
      </c>
      <c r="I8" s="44" t="s">
        <v>553</v>
      </c>
    </row>
    <row r="9" customFormat="false" ht="25.5" hidden="false" customHeight="true" outlineLevel="0" collapsed="false">
      <c r="B9" s="44" t="s">
        <v>554</v>
      </c>
      <c r="C9" s="44" t="s">
        <v>547</v>
      </c>
      <c r="D9" s="42" t="s">
        <v>50</v>
      </c>
      <c r="E9" s="44" t="s">
        <v>189</v>
      </c>
      <c r="F9" s="44" t="s">
        <v>551</v>
      </c>
      <c r="G9" s="44" t="s">
        <v>555</v>
      </c>
      <c r="H9" s="51" t="s">
        <v>198</v>
      </c>
      <c r="I9" s="44" t="s">
        <v>556</v>
      </c>
    </row>
    <row r="10" customFormat="false" ht="14.25" hidden="false" customHeight="true" outlineLevel="0" collapsed="false">
      <c r="B10" s="44" t="s">
        <v>557</v>
      </c>
      <c r="C10" s="44" t="s">
        <v>547</v>
      </c>
      <c r="D10" s="42" t="s">
        <v>30</v>
      </c>
      <c r="E10" s="44" t="s">
        <v>189</v>
      </c>
      <c r="F10" s="44" t="s">
        <v>551</v>
      </c>
      <c r="G10" s="44" t="s">
        <v>558</v>
      </c>
      <c r="H10" s="51" t="s">
        <v>162</v>
      </c>
      <c r="I10" s="44" t="s">
        <v>559</v>
      </c>
    </row>
    <row r="11" customFormat="false" ht="25.5" hidden="false" customHeight="true" outlineLevel="0" collapsed="false">
      <c r="B11" s="44" t="s">
        <v>560</v>
      </c>
      <c r="C11" s="44" t="s">
        <v>547</v>
      </c>
      <c r="D11" s="42" t="s">
        <v>91</v>
      </c>
      <c r="E11" s="44" t="s">
        <v>561</v>
      </c>
      <c r="F11" s="44" t="s">
        <v>551</v>
      </c>
      <c r="G11" s="44" t="s">
        <v>562</v>
      </c>
      <c r="H11" s="51" t="s">
        <v>172</v>
      </c>
      <c r="I11" s="44" t="s">
        <v>563</v>
      </c>
    </row>
    <row r="12" customFormat="false" ht="25.5" hidden="false" customHeight="true" outlineLevel="0" collapsed="false">
      <c r="B12" s="44" t="s">
        <v>564</v>
      </c>
      <c r="C12" s="44" t="s">
        <v>547</v>
      </c>
      <c r="D12" s="42" t="s">
        <v>92</v>
      </c>
      <c r="E12" s="44" t="s">
        <v>189</v>
      </c>
      <c r="F12" s="44" t="s">
        <v>551</v>
      </c>
      <c r="G12" s="44" t="s">
        <v>565</v>
      </c>
      <c r="H12" s="51" t="s">
        <v>164</v>
      </c>
      <c r="I12" s="44" t="s">
        <v>36</v>
      </c>
    </row>
    <row r="13" customFormat="false" ht="14.25" hidden="false" customHeight="true" outlineLevel="0" collapsed="false">
      <c r="B13" s="44" t="s">
        <v>566</v>
      </c>
      <c r="C13" s="44" t="s">
        <v>547</v>
      </c>
      <c r="D13" s="42" t="s">
        <v>93</v>
      </c>
      <c r="E13" s="44" t="s">
        <v>168</v>
      </c>
      <c r="F13" s="44" t="s">
        <v>548</v>
      </c>
      <c r="G13" s="44" t="s">
        <v>567</v>
      </c>
      <c r="H13" s="51" t="s">
        <v>165</v>
      </c>
      <c r="I13" s="44" t="s">
        <v>568</v>
      </c>
    </row>
    <row r="14" customFormat="false" ht="25.5" hidden="false" customHeight="true" outlineLevel="0" collapsed="false">
      <c r="B14" s="44" t="s">
        <v>569</v>
      </c>
      <c r="C14" s="44" t="s">
        <v>547</v>
      </c>
      <c r="D14" s="42" t="s">
        <v>94</v>
      </c>
      <c r="E14" s="44" t="s">
        <v>189</v>
      </c>
      <c r="F14" s="44" t="s">
        <v>548</v>
      </c>
      <c r="G14" s="44" t="s">
        <v>570</v>
      </c>
      <c r="H14" s="51" t="s">
        <v>166</v>
      </c>
      <c r="I14" s="44" t="s">
        <v>568</v>
      </c>
    </row>
    <row r="15" customFormat="false" ht="25.5" hidden="false" customHeight="true" outlineLevel="0" collapsed="false">
      <c r="B15" s="44" t="s">
        <v>571</v>
      </c>
      <c r="C15" s="44" t="s">
        <v>572</v>
      </c>
      <c r="D15" s="42" t="s">
        <v>8</v>
      </c>
      <c r="E15" s="44" t="s">
        <v>189</v>
      </c>
      <c r="F15" s="44" t="s">
        <v>551</v>
      </c>
      <c r="G15" s="44" t="s">
        <v>573</v>
      </c>
      <c r="H15" s="51" t="s">
        <v>219</v>
      </c>
      <c r="I15" s="44" t="s">
        <v>574</v>
      </c>
    </row>
    <row r="16" customFormat="false" ht="25.5" hidden="false" customHeight="true" outlineLevel="0" collapsed="false">
      <c r="B16" s="44" t="s">
        <v>575</v>
      </c>
      <c r="C16" s="44" t="s">
        <v>572</v>
      </c>
      <c r="D16" s="42" t="s">
        <v>95</v>
      </c>
      <c r="E16" s="44" t="s">
        <v>189</v>
      </c>
      <c r="F16" s="44" t="s">
        <v>576</v>
      </c>
      <c r="G16" s="44" t="s">
        <v>577</v>
      </c>
      <c r="H16" s="51" t="s">
        <v>168</v>
      </c>
      <c r="I16" s="44" t="s">
        <v>578</v>
      </c>
    </row>
    <row r="17" customFormat="false" ht="25.5" hidden="false" customHeight="true" outlineLevel="0" collapsed="false">
      <c r="B17" s="44" t="s">
        <v>579</v>
      </c>
      <c r="C17" s="44" t="s">
        <v>572</v>
      </c>
      <c r="D17" s="42" t="s">
        <v>22</v>
      </c>
      <c r="E17" s="44" t="s">
        <v>189</v>
      </c>
      <c r="F17" s="44" t="s">
        <v>551</v>
      </c>
      <c r="G17" s="44" t="s">
        <v>580</v>
      </c>
      <c r="H17" s="51" t="s">
        <v>169</v>
      </c>
      <c r="I17" s="44" t="s">
        <v>553</v>
      </c>
    </row>
    <row r="18" customFormat="false" ht="14.25" hidden="false" customHeight="true" outlineLevel="0" collapsed="false">
      <c r="B18" s="44" t="s">
        <v>581</v>
      </c>
      <c r="C18" s="44" t="s">
        <v>572</v>
      </c>
      <c r="D18" s="42" t="s">
        <v>96</v>
      </c>
      <c r="E18" s="44" t="s">
        <v>561</v>
      </c>
      <c r="F18" s="44" t="s">
        <v>548</v>
      </c>
      <c r="G18" s="44" t="s">
        <v>582</v>
      </c>
      <c r="H18" s="51" t="s">
        <v>206</v>
      </c>
      <c r="I18" s="44" t="s">
        <v>568</v>
      </c>
    </row>
    <row r="19" customFormat="false" ht="14.25" hidden="false" customHeight="true" outlineLevel="0" collapsed="false">
      <c r="B19" s="44" t="s">
        <v>583</v>
      </c>
      <c r="C19" s="44" t="s">
        <v>81</v>
      </c>
      <c r="D19" s="42" t="s">
        <v>97</v>
      </c>
      <c r="E19" s="44" t="s">
        <v>561</v>
      </c>
      <c r="F19" s="44" t="s">
        <v>584</v>
      </c>
      <c r="G19" s="44" t="s">
        <v>585</v>
      </c>
      <c r="H19" s="51" t="s">
        <v>586</v>
      </c>
      <c r="I19" s="44" t="s">
        <v>41</v>
      </c>
    </row>
    <row r="20" customFormat="false" ht="25.5" hidden="false" customHeight="true" outlineLevel="0" collapsed="false">
      <c r="B20" s="44" t="s">
        <v>587</v>
      </c>
      <c r="C20" s="44" t="s">
        <v>81</v>
      </c>
      <c r="D20" s="42" t="s">
        <v>98</v>
      </c>
      <c r="E20" s="44" t="s">
        <v>189</v>
      </c>
      <c r="F20" s="44" t="s">
        <v>584</v>
      </c>
      <c r="G20" s="44" t="s">
        <v>588</v>
      </c>
      <c r="H20" s="51" t="s">
        <v>589</v>
      </c>
      <c r="I20" s="44" t="s">
        <v>590</v>
      </c>
    </row>
    <row r="21" customFormat="false" ht="48.75" hidden="false" customHeight="true" outlineLevel="0" collapsed="false">
      <c r="B21" s="44" t="s">
        <v>591</v>
      </c>
      <c r="C21" s="44" t="s">
        <v>81</v>
      </c>
      <c r="D21" s="42" t="s">
        <v>99</v>
      </c>
      <c r="E21" s="44" t="s">
        <v>189</v>
      </c>
      <c r="F21" s="44" t="s">
        <v>584</v>
      </c>
      <c r="G21" s="44" t="s">
        <v>592</v>
      </c>
      <c r="H21" s="51" t="s">
        <v>593</v>
      </c>
      <c r="I21" s="44" t="s">
        <v>594</v>
      </c>
    </row>
    <row r="22" customFormat="false" ht="25.5" hidden="false" customHeight="true" outlineLevel="0" collapsed="false">
      <c r="B22" s="44" t="s">
        <v>595</v>
      </c>
      <c r="C22" s="44" t="s">
        <v>81</v>
      </c>
      <c r="D22" s="42" t="s">
        <v>100</v>
      </c>
      <c r="E22" s="44" t="s">
        <v>189</v>
      </c>
      <c r="F22" s="44" t="s">
        <v>584</v>
      </c>
      <c r="G22" s="44" t="s">
        <v>596</v>
      </c>
      <c r="H22" s="51" t="s">
        <v>597</v>
      </c>
      <c r="I22" s="44" t="s">
        <v>598</v>
      </c>
    </row>
    <row r="23" customFormat="false" ht="25.5" hidden="false" customHeight="true" outlineLevel="0" collapsed="false">
      <c r="B23" s="44" t="s">
        <v>599</v>
      </c>
      <c r="C23" s="44" t="s">
        <v>81</v>
      </c>
      <c r="D23" s="42" t="s">
        <v>101</v>
      </c>
      <c r="E23" s="44" t="s">
        <v>600</v>
      </c>
      <c r="F23" s="44" t="s">
        <v>584</v>
      </c>
      <c r="G23" s="44" t="s">
        <v>601</v>
      </c>
      <c r="H23" s="51" t="s">
        <v>602</v>
      </c>
      <c r="I23" s="44" t="s">
        <v>603</v>
      </c>
    </row>
    <row r="24" customFormat="false" ht="14.25" hidden="false" customHeight="true" outlineLevel="0" collapsed="false">
      <c r="B24" s="44" t="s">
        <v>604</v>
      </c>
      <c r="C24" s="44" t="s">
        <v>81</v>
      </c>
      <c r="D24" s="42" t="s">
        <v>102</v>
      </c>
      <c r="E24" s="44" t="s">
        <v>605</v>
      </c>
      <c r="F24" s="44" t="s">
        <v>584</v>
      </c>
      <c r="G24" s="44" t="s">
        <v>606</v>
      </c>
      <c r="H24" s="51" t="s">
        <v>607</v>
      </c>
      <c r="I24" s="44" t="s">
        <v>608</v>
      </c>
    </row>
    <row r="25" customFormat="false" ht="14.25" hidden="false" customHeight="true" outlineLevel="0" collapsed="false">
      <c r="B25" s="44" t="s">
        <v>609</v>
      </c>
      <c r="C25" s="44" t="s">
        <v>82</v>
      </c>
      <c r="D25" s="42" t="s">
        <v>103</v>
      </c>
      <c r="E25" s="44" t="s">
        <v>610</v>
      </c>
      <c r="F25" s="44" t="s">
        <v>584</v>
      </c>
      <c r="G25" s="44" t="s">
        <v>611</v>
      </c>
      <c r="H25" s="51" t="s">
        <v>612</v>
      </c>
      <c r="I25" s="44" t="s">
        <v>613</v>
      </c>
    </row>
    <row r="26" customFormat="false" ht="25.5" hidden="false" customHeight="true" outlineLevel="0" collapsed="false">
      <c r="B26" s="44" t="s">
        <v>614</v>
      </c>
      <c r="C26" s="44" t="s">
        <v>82</v>
      </c>
      <c r="D26" s="42" t="s">
        <v>104</v>
      </c>
      <c r="E26" s="44" t="s">
        <v>610</v>
      </c>
      <c r="F26" s="44" t="s">
        <v>584</v>
      </c>
      <c r="G26" s="44" t="s">
        <v>615</v>
      </c>
      <c r="H26" s="51" t="s">
        <v>616</v>
      </c>
      <c r="I26" s="44" t="s">
        <v>617</v>
      </c>
    </row>
    <row r="27" customFormat="false" ht="25.5" hidden="false" customHeight="true" outlineLevel="0" collapsed="false">
      <c r="B27" s="44" t="s">
        <v>618</v>
      </c>
      <c r="C27" s="44" t="s">
        <v>82</v>
      </c>
      <c r="D27" s="42" t="s">
        <v>105</v>
      </c>
      <c r="E27" s="44" t="s">
        <v>561</v>
      </c>
      <c r="F27" s="44" t="s">
        <v>619</v>
      </c>
      <c r="G27" s="44" t="s">
        <v>620</v>
      </c>
      <c r="H27" s="51" t="s">
        <v>621</v>
      </c>
      <c r="I27" s="44" t="s">
        <v>73</v>
      </c>
    </row>
    <row r="28" customFormat="false" ht="14.25" hidden="false" customHeight="true" outlineLevel="0" collapsed="false">
      <c r="B28" s="44" t="s">
        <v>622</v>
      </c>
      <c r="C28" s="44" t="s">
        <v>623</v>
      </c>
      <c r="D28" s="42" t="s">
        <v>106</v>
      </c>
      <c r="E28" s="44" t="s">
        <v>189</v>
      </c>
      <c r="F28" s="44" t="s">
        <v>576</v>
      </c>
      <c r="G28" s="44" t="s">
        <v>624</v>
      </c>
      <c r="H28" s="51" t="s">
        <v>168</v>
      </c>
      <c r="I28" s="44" t="s">
        <v>57</v>
      </c>
    </row>
    <row r="29" customFormat="false" ht="14.25" hidden="false" customHeight="true" outlineLevel="0" collapsed="false">
      <c r="B29" s="44" t="s">
        <v>625</v>
      </c>
      <c r="C29" s="44" t="s">
        <v>623</v>
      </c>
      <c r="D29" s="42" t="s">
        <v>107</v>
      </c>
      <c r="E29" s="44" t="s">
        <v>626</v>
      </c>
      <c r="F29" s="44" t="s">
        <v>548</v>
      </c>
      <c r="G29" s="44" t="s">
        <v>627</v>
      </c>
      <c r="H29" s="51" t="s">
        <v>236</v>
      </c>
      <c r="I29" s="44" t="s">
        <v>58</v>
      </c>
    </row>
    <row r="30" customFormat="false" ht="14.25" hidden="false" customHeight="true" outlineLevel="0" collapsed="false">
      <c r="B30" s="44" t="s">
        <v>628</v>
      </c>
      <c r="C30" s="44" t="s">
        <v>623</v>
      </c>
      <c r="D30" s="42" t="s">
        <v>108</v>
      </c>
      <c r="E30" s="44" t="s">
        <v>629</v>
      </c>
      <c r="F30" s="44" t="s">
        <v>576</v>
      </c>
      <c r="G30" s="44" t="s">
        <v>630</v>
      </c>
      <c r="H30" s="51" t="s">
        <v>189</v>
      </c>
      <c r="I30" s="44" t="s">
        <v>59</v>
      </c>
    </row>
    <row r="31" customFormat="false" ht="25.5" hidden="false" customHeight="true" outlineLevel="0" collapsed="false">
      <c r="B31" s="44" t="s">
        <v>631</v>
      </c>
      <c r="C31" s="44" t="s">
        <v>632</v>
      </c>
      <c r="D31" s="42" t="s">
        <v>109</v>
      </c>
      <c r="E31" s="44" t="s">
        <v>189</v>
      </c>
      <c r="F31" s="44" t="s">
        <v>576</v>
      </c>
      <c r="G31" s="44" t="s">
        <v>633</v>
      </c>
      <c r="H31" s="51" t="s">
        <v>189</v>
      </c>
      <c r="I31" s="44" t="s">
        <v>634</v>
      </c>
    </row>
    <row r="32" customFormat="false" ht="25.5" hidden="false" customHeight="true" outlineLevel="0" collapsed="false">
      <c r="B32" s="44" t="s">
        <v>635</v>
      </c>
      <c r="C32" s="44" t="s">
        <v>632</v>
      </c>
      <c r="D32" s="42" t="s">
        <v>110</v>
      </c>
      <c r="E32" s="44" t="s">
        <v>636</v>
      </c>
      <c r="F32" s="44" t="s">
        <v>584</v>
      </c>
      <c r="G32" s="44" t="s">
        <v>637</v>
      </c>
      <c r="H32" s="51" t="s">
        <v>638</v>
      </c>
      <c r="I32" s="44" t="s">
        <v>74</v>
      </c>
    </row>
    <row r="33" customFormat="false" ht="14.25" hidden="false" customHeight="true" outlineLevel="0" collapsed="false">
      <c r="B33" s="44" t="s">
        <v>639</v>
      </c>
      <c r="C33" s="44" t="s">
        <v>632</v>
      </c>
      <c r="D33" s="42" t="s">
        <v>111</v>
      </c>
      <c r="E33" s="44" t="s">
        <v>636</v>
      </c>
      <c r="F33" s="44" t="s">
        <v>584</v>
      </c>
      <c r="G33" s="44" t="s">
        <v>640</v>
      </c>
      <c r="H33" s="51" t="s">
        <v>641</v>
      </c>
      <c r="I33" s="44" t="s">
        <v>642</v>
      </c>
    </row>
    <row r="34" customFormat="false" ht="25.5" hidden="false" customHeight="true" outlineLevel="0" collapsed="false">
      <c r="B34" s="44" t="s">
        <v>643</v>
      </c>
      <c r="C34" s="44" t="s">
        <v>85</v>
      </c>
      <c r="D34" s="42" t="s">
        <v>112</v>
      </c>
      <c r="E34" s="44" t="s">
        <v>644</v>
      </c>
      <c r="F34" s="44" t="s">
        <v>584</v>
      </c>
      <c r="G34" s="44" t="s">
        <v>645</v>
      </c>
      <c r="H34" s="51" t="s">
        <v>646</v>
      </c>
      <c r="I34" s="44" t="s">
        <v>75</v>
      </c>
    </row>
    <row r="35" customFormat="false" ht="25.5" hidden="false" customHeight="true" outlineLevel="0" collapsed="false">
      <c r="B35" s="44" t="s">
        <v>647</v>
      </c>
      <c r="C35" s="44" t="s">
        <v>85</v>
      </c>
      <c r="D35" s="42" t="s">
        <v>113</v>
      </c>
      <c r="E35" s="44" t="s">
        <v>644</v>
      </c>
      <c r="F35" s="44" t="s">
        <v>584</v>
      </c>
      <c r="G35" s="44" t="s">
        <v>648</v>
      </c>
      <c r="H35" s="51" t="s">
        <v>649</v>
      </c>
      <c r="I35" s="44" t="s">
        <v>650</v>
      </c>
    </row>
    <row r="36" customFormat="false" ht="25.5" hidden="false" customHeight="true" outlineLevel="0" collapsed="false">
      <c r="B36" s="44" t="s">
        <v>651</v>
      </c>
      <c r="C36" s="44" t="s">
        <v>85</v>
      </c>
      <c r="D36" s="42" t="s">
        <v>114</v>
      </c>
      <c r="E36" s="44" t="s">
        <v>644</v>
      </c>
      <c r="F36" s="44" t="s">
        <v>584</v>
      </c>
      <c r="G36" s="44" t="s">
        <v>652</v>
      </c>
      <c r="H36" s="51" t="s">
        <v>653</v>
      </c>
      <c r="I36" s="44" t="s">
        <v>75</v>
      </c>
    </row>
    <row r="37" customFormat="false" ht="14.25" hidden="false" customHeight="true" outlineLevel="0" collapsed="false">
      <c r="B37" s="44" t="s">
        <v>654</v>
      </c>
      <c r="C37" s="44" t="s">
        <v>85</v>
      </c>
      <c r="D37" s="42" t="s">
        <v>115</v>
      </c>
      <c r="E37" s="44" t="s">
        <v>644</v>
      </c>
      <c r="F37" s="44" t="s">
        <v>655</v>
      </c>
      <c r="G37" s="44" t="s">
        <v>656</v>
      </c>
      <c r="H37" s="51" t="s">
        <v>657</v>
      </c>
      <c r="I37" s="44" t="s">
        <v>75</v>
      </c>
    </row>
    <row r="38" customFormat="false" ht="14.25" hidden="false" customHeight="true" outlineLevel="0" collapsed="false">
      <c r="B38" s="44" t="s">
        <v>658</v>
      </c>
      <c r="C38" s="44" t="s">
        <v>659</v>
      </c>
      <c r="D38" s="42" t="s">
        <v>116</v>
      </c>
      <c r="E38" s="44" t="s">
        <v>660</v>
      </c>
      <c r="F38" s="44" t="s">
        <v>661</v>
      </c>
      <c r="G38" s="44" t="s">
        <v>662</v>
      </c>
      <c r="H38" s="51" t="s">
        <v>663</v>
      </c>
      <c r="I38" s="44" t="s">
        <v>38</v>
      </c>
    </row>
    <row r="39" customFormat="false" ht="14.25" hidden="false" customHeight="true" outlineLevel="0" collapsed="false">
      <c r="B39" s="44" t="s">
        <v>664</v>
      </c>
      <c r="C39" s="44" t="s">
        <v>659</v>
      </c>
      <c r="D39" s="42" t="s">
        <v>117</v>
      </c>
      <c r="E39" s="44" t="s">
        <v>660</v>
      </c>
      <c r="F39" s="44" t="s">
        <v>661</v>
      </c>
      <c r="G39" s="44" t="s">
        <v>665</v>
      </c>
      <c r="H39" s="51" t="s">
        <v>663</v>
      </c>
      <c r="I39" s="44" t="s">
        <v>38</v>
      </c>
    </row>
    <row r="40" customFormat="false" ht="14.25" hidden="false" customHeight="true" outlineLevel="0" collapsed="false">
      <c r="B40" s="44" t="s">
        <v>666</v>
      </c>
      <c r="C40" s="44" t="s">
        <v>667</v>
      </c>
      <c r="D40" s="42" t="s">
        <v>118</v>
      </c>
      <c r="E40" s="44" t="s">
        <v>189</v>
      </c>
      <c r="F40" s="44" t="s">
        <v>576</v>
      </c>
      <c r="G40" s="44" t="s">
        <v>668</v>
      </c>
      <c r="H40" s="51" t="s">
        <v>189</v>
      </c>
      <c r="I40" s="44" t="s">
        <v>61</v>
      </c>
    </row>
    <row r="41" customFormat="false" ht="14.25" hidden="false" customHeight="true" outlineLevel="0" collapsed="false">
      <c r="B41" s="44" t="s">
        <v>669</v>
      </c>
      <c r="C41" s="44" t="s">
        <v>667</v>
      </c>
      <c r="D41" s="42" t="s">
        <v>119</v>
      </c>
      <c r="E41" s="44" t="s">
        <v>670</v>
      </c>
      <c r="F41" s="44" t="s">
        <v>655</v>
      </c>
      <c r="G41" s="44" t="s">
        <v>671</v>
      </c>
      <c r="H41" s="51" t="s">
        <v>672</v>
      </c>
      <c r="I41" s="44" t="s">
        <v>61</v>
      </c>
    </row>
    <row r="42" customFormat="false" ht="25.5" hidden="false" customHeight="true" outlineLevel="0" collapsed="false">
      <c r="B42" s="44" t="s">
        <v>673</v>
      </c>
      <c r="C42" s="44" t="s">
        <v>667</v>
      </c>
      <c r="D42" s="42" t="s">
        <v>120</v>
      </c>
      <c r="E42" s="44" t="s">
        <v>674</v>
      </c>
      <c r="F42" s="44" t="s">
        <v>655</v>
      </c>
      <c r="G42" s="44" t="s">
        <v>675</v>
      </c>
      <c r="H42" s="51" t="s">
        <v>676</v>
      </c>
      <c r="I42" s="44" t="s">
        <v>61</v>
      </c>
    </row>
    <row r="43" customFormat="false" ht="14.25" hidden="false" customHeight="true" outlineLevel="0" collapsed="false">
      <c r="B43" s="44" t="s">
        <v>677</v>
      </c>
      <c r="C43" s="44" t="s">
        <v>667</v>
      </c>
      <c r="D43" s="42" t="s">
        <v>121</v>
      </c>
      <c r="E43" s="44" t="s">
        <v>168</v>
      </c>
      <c r="F43" s="44" t="s">
        <v>548</v>
      </c>
      <c r="G43" s="44" t="s">
        <v>678</v>
      </c>
      <c r="H43" s="51" t="s">
        <v>568</v>
      </c>
      <c r="I43" s="44" t="s">
        <v>568</v>
      </c>
    </row>
    <row r="45" customFormat="false" ht="15" hidden="false" customHeight="true" outlineLevel="0" collapsed="false">
      <c r="B45" s="3" t="s">
        <v>679</v>
      </c>
      <c r="C45" s="4"/>
      <c r="D45" s="4"/>
      <c r="E45" s="4"/>
      <c r="F45" s="4"/>
      <c r="G45" s="4"/>
      <c r="H45" s="4"/>
      <c r="I45" s="4"/>
    </row>
    <row r="46" customFormat="false" ht="25.5" hidden="false" customHeight="true" outlineLevel="0" collapsed="false">
      <c r="B46" s="44" t="s">
        <v>680</v>
      </c>
      <c r="C46" s="44" t="s">
        <v>681</v>
      </c>
      <c r="D46" s="42" t="s">
        <v>122</v>
      </c>
      <c r="E46" s="44" t="s">
        <v>682</v>
      </c>
      <c r="F46" s="44" t="s">
        <v>683</v>
      </c>
      <c r="G46" s="44" t="s">
        <v>684</v>
      </c>
      <c r="H46" s="44"/>
      <c r="I46" s="44" t="s">
        <v>685</v>
      </c>
    </row>
    <row r="47" customFormat="false" ht="25.5" hidden="false" customHeight="true" outlineLevel="0" collapsed="false">
      <c r="B47" s="44" t="s">
        <v>686</v>
      </c>
      <c r="C47" s="44" t="s">
        <v>681</v>
      </c>
      <c r="D47" s="42" t="s">
        <v>123</v>
      </c>
      <c r="E47" s="44" t="s">
        <v>682</v>
      </c>
      <c r="F47" s="44" t="s">
        <v>687</v>
      </c>
      <c r="G47" s="44" t="s">
        <v>688</v>
      </c>
      <c r="H47" s="44"/>
      <c r="I47" s="44" t="s">
        <v>689</v>
      </c>
    </row>
    <row r="48" customFormat="false" ht="14.25" hidden="false" customHeight="true" outlineLevel="0" collapsed="false">
      <c r="B48" s="44" t="s">
        <v>690</v>
      </c>
      <c r="C48" s="44" t="s">
        <v>681</v>
      </c>
      <c r="D48" s="42" t="s">
        <v>124</v>
      </c>
      <c r="E48" s="44" t="s">
        <v>682</v>
      </c>
      <c r="F48" s="44" t="s">
        <v>687</v>
      </c>
      <c r="G48" s="44" t="s">
        <v>691</v>
      </c>
      <c r="H48" s="44"/>
      <c r="I48" s="44" t="s">
        <v>33</v>
      </c>
    </row>
    <row r="49" customFormat="false" ht="14.25" hidden="false" customHeight="true" outlineLevel="0" collapsed="false">
      <c r="B49" s="44" t="s">
        <v>692</v>
      </c>
      <c r="C49" s="44" t="s">
        <v>681</v>
      </c>
      <c r="D49" s="42" t="s">
        <v>125</v>
      </c>
      <c r="E49" s="44" t="s">
        <v>682</v>
      </c>
      <c r="F49" s="44" t="s">
        <v>687</v>
      </c>
      <c r="G49" s="44" t="s">
        <v>693</v>
      </c>
      <c r="H49" s="44"/>
      <c r="I49" s="44" t="s">
        <v>694</v>
      </c>
    </row>
    <row r="50" customFormat="false" ht="14.25" hidden="false" customHeight="true" outlineLevel="0" collapsed="false">
      <c r="B50" s="44" t="s">
        <v>695</v>
      </c>
      <c r="C50" s="44" t="s">
        <v>681</v>
      </c>
      <c r="D50" s="42" t="s">
        <v>126</v>
      </c>
      <c r="E50" s="44" t="s">
        <v>682</v>
      </c>
      <c r="F50" s="44" t="s">
        <v>696</v>
      </c>
      <c r="G50" s="44" t="s">
        <v>697</v>
      </c>
      <c r="H50" s="44"/>
      <c r="I50" s="44" t="s">
        <v>698</v>
      </c>
    </row>
    <row r="51" customFormat="false" ht="14.25" hidden="false" customHeight="true" outlineLevel="0" collapsed="false">
      <c r="B51" s="44" t="s">
        <v>699</v>
      </c>
      <c r="C51" s="44" t="s">
        <v>681</v>
      </c>
      <c r="D51" s="42" t="s">
        <v>127</v>
      </c>
      <c r="E51" s="44" t="s">
        <v>682</v>
      </c>
      <c r="F51" s="44" t="s">
        <v>687</v>
      </c>
      <c r="G51" s="44" t="s">
        <v>700</v>
      </c>
      <c r="H51" s="44"/>
      <c r="I51" s="44" t="s">
        <v>36</v>
      </c>
    </row>
    <row r="52" customFormat="false" ht="14.25" hidden="false" customHeight="true" outlineLevel="0" collapsed="false">
      <c r="B52" s="44" t="s">
        <v>701</v>
      </c>
      <c r="C52" s="44" t="s">
        <v>681</v>
      </c>
      <c r="D52" s="42" t="s">
        <v>128</v>
      </c>
      <c r="E52" s="44" t="s">
        <v>682</v>
      </c>
      <c r="F52" s="44" t="s">
        <v>702</v>
      </c>
      <c r="G52" s="44" t="s">
        <v>703</v>
      </c>
      <c r="H52" s="44"/>
      <c r="I52" s="44" t="s">
        <v>41</v>
      </c>
    </row>
    <row r="53" customFormat="false" ht="14.25" hidden="false" customHeight="true" outlineLevel="0" collapsed="false">
      <c r="B53" s="44" t="s">
        <v>704</v>
      </c>
      <c r="C53" s="44" t="s">
        <v>681</v>
      </c>
      <c r="D53" s="42" t="s">
        <v>129</v>
      </c>
      <c r="E53" s="44" t="s">
        <v>682</v>
      </c>
      <c r="F53" s="44" t="s">
        <v>702</v>
      </c>
      <c r="G53" s="44" t="s">
        <v>705</v>
      </c>
      <c r="H53" s="44"/>
      <c r="I53" s="44" t="s">
        <v>42</v>
      </c>
    </row>
    <row r="54" customFormat="false" ht="14.25" hidden="false" customHeight="true" outlineLevel="0" collapsed="false">
      <c r="B54" s="44" t="s">
        <v>706</v>
      </c>
      <c r="C54" s="44" t="s">
        <v>681</v>
      </c>
      <c r="D54" s="42" t="s">
        <v>130</v>
      </c>
      <c r="E54" s="44" t="s">
        <v>682</v>
      </c>
      <c r="F54" s="44" t="s">
        <v>702</v>
      </c>
      <c r="G54" s="44" t="s">
        <v>707</v>
      </c>
      <c r="H54" s="44"/>
      <c r="I54" s="44" t="s">
        <v>43</v>
      </c>
    </row>
    <row r="55" customFormat="false" ht="14.25" hidden="false" customHeight="true" outlineLevel="0" collapsed="false">
      <c r="B55" s="44" t="s">
        <v>708</v>
      </c>
      <c r="C55" s="44" t="s">
        <v>681</v>
      </c>
      <c r="D55" s="42" t="s">
        <v>131</v>
      </c>
      <c r="E55" s="44" t="s">
        <v>682</v>
      </c>
      <c r="F55" s="44" t="s">
        <v>702</v>
      </c>
      <c r="G55" s="44" t="s">
        <v>709</v>
      </c>
      <c r="H55" s="44"/>
      <c r="I55" s="44" t="s">
        <v>710</v>
      </c>
    </row>
    <row r="56" customFormat="false" ht="14.25" hidden="false" customHeight="true" outlineLevel="0" collapsed="false">
      <c r="B56" s="44" t="s">
        <v>711</v>
      </c>
      <c r="C56" s="44" t="s">
        <v>681</v>
      </c>
      <c r="D56" s="42" t="s">
        <v>132</v>
      </c>
      <c r="E56" s="44" t="s">
        <v>682</v>
      </c>
      <c r="F56" s="44" t="s">
        <v>702</v>
      </c>
      <c r="G56" s="44" t="s">
        <v>712</v>
      </c>
      <c r="H56" s="44"/>
      <c r="I56" s="44" t="s">
        <v>49</v>
      </c>
    </row>
    <row r="57" customFormat="false" ht="14.25" hidden="false" customHeight="true" outlineLevel="0" collapsed="false">
      <c r="B57" s="44" t="s">
        <v>713</v>
      </c>
      <c r="C57" s="44" t="s">
        <v>681</v>
      </c>
      <c r="D57" s="42" t="s">
        <v>133</v>
      </c>
      <c r="E57" s="44" t="s">
        <v>682</v>
      </c>
      <c r="F57" s="44" t="s">
        <v>696</v>
      </c>
      <c r="G57" s="44" t="s">
        <v>714</v>
      </c>
      <c r="H57" s="44"/>
      <c r="I57" s="44" t="s">
        <v>694</v>
      </c>
    </row>
    <row r="58" customFormat="false" ht="14.25" hidden="false" customHeight="true" outlineLevel="0" collapsed="false">
      <c r="B58" s="44" t="s">
        <v>715</v>
      </c>
      <c r="C58" s="44" t="s">
        <v>681</v>
      </c>
      <c r="D58" s="42" t="s">
        <v>134</v>
      </c>
      <c r="E58" s="44" t="s">
        <v>682</v>
      </c>
      <c r="F58" s="44" t="s">
        <v>687</v>
      </c>
      <c r="G58" s="44" t="s">
        <v>716</v>
      </c>
      <c r="H58" s="44"/>
      <c r="I58" s="44" t="s">
        <v>44</v>
      </c>
    </row>
    <row r="59" customFormat="false" ht="14.25" hidden="false" customHeight="true" outlineLevel="0" collapsed="false">
      <c r="B59" s="44" t="s">
        <v>717</v>
      </c>
      <c r="C59" s="44" t="s">
        <v>681</v>
      </c>
      <c r="D59" s="42" t="s">
        <v>135</v>
      </c>
      <c r="E59" s="44" t="s">
        <v>682</v>
      </c>
      <c r="F59" s="44" t="s">
        <v>696</v>
      </c>
      <c r="G59" s="44" t="s">
        <v>714</v>
      </c>
      <c r="H59" s="44"/>
      <c r="I59" s="44" t="s">
        <v>694</v>
      </c>
    </row>
    <row r="60" customFormat="false" ht="14.25" hidden="false" customHeight="true" outlineLevel="0" collapsed="false">
      <c r="B60" s="44" t="s">
        <v>718</v>
      </c>
      <c r="C60" s="44" t="s">
        <v>681</v>
      </c>
      <c r="D60" s="42" t="s">
        <v>136</v>
      </c>
      <c r="E60" s="44" t="s">
        <v>682</v>
      </c>
      <c r="F60" s="44" t="s">
        <v>687</v>
      </c>
      <c r="G60" s="44" t="s">
        <v>719</v>
      </c>
      <c r="H60" s="44"/>
      <c r="I60" s="44" t="s">
        <v>47</v>
      </c>
    </row>
    <row r="61" customFormat="false" ht="25.5" hidden="false" customHeight="true" outlineLevel="0" collapsed="false">
      <c r="B61" s="44" t="s">
        <v>720</v>
      </c>
      <c r="C61" s="44" t="s">
        <v>681</v>
      </c>
      <c r="D61" s="42" t="s">
        <v>137</v>
      </c>
      <c r="E61" s="44" t="s">
        <v>682</v>
      </c>
      <c r="F61" s="44" t="s">
        <v>721</v>
      </c>
      <c r="G61" s="44" t="s">
        <v>722</v>
      </c>
      <c r="H61" s="44"/>
      <c r="I61" s="44" t="s">
        <v>56</v>
      </c>
    </row>
    <row r="62" customFormat="false" ht="25.5" hidden="false" customHeight="true" outlineLevel="0" collapsed="false">
      <c r="B62" s="44" t="s">
        <v>723</v>
      </c>
      <c r="C62" s="44" t="s">
        <v>681</v>
      </c>
      <c r="D62" s="42" t="s">
        <v>138</v>
      </c>
      <c r="E62" s="44" t="s">
        <v>682</v>
      </c>
      <c r="F62" s="44" t="s">
        <v>724</v>
      </c>
      <c r="G62" s="44" t="s">
        <v>725</v>
      </c>
      <c r="H62" s="44"/>
      <c r="I62" s="44" t="s">
        <v>726</v>
      </c>
    </row>
    <row r="63" customFormat="false" ht="14.25" hidden="false" customHeight="true" outlineLevel="0" collapsed="false">
      <c r="B63" s="44" t="s">
        <v>727</v>
      </c>
      <c r="C63" s="44" t="s">
        <v>681</v>
      </c>
      <c r="D63" s="42" t="s">
        <v>139</v>
      </c>
      <c r="E63" s="44" t="s">
        <v>682</v>
      </c>
      <c r="F63" s="44" t="s">
        <v>724</v>
      </c>
      <c r="G63" s="44" t="s">
        <v>728</v>
      </c>
      <c r="H63" s="44"/>
      <c r="I63" s="44" t="s">
        <v>694</v>
      </c>
    </row>
    <row r="64" customFormat="false" ht="25.5" hidden="false" customHeight="true" outlineLevel="0" collapsed="false">
      <c r="B64" s="44" t="s">
        <v>729</v>
      </c>
      <c r="C64" s="44" t="s">
        <v>681</v>
      </c>
      <c r="D64" s="42" t="s">
        <v>140</v>
      </c>
      <c r="E64" s="44" t="s">
        <v>682</v>
      </c>
      <c r="F64" s="44" t="s">
        <v>724</v>
      </c>
      <c r="G64" s="44" t="s">
        <v>730</v>
      </c>
      <c r="H64" s="44"/>
      <c r="I64" s="44" t="s">
        <v>694</v>
      </c>
    </row>
    <row r="65" customFormat="false" ht="14.25" hidden="false" customHeight="true" outlineLevel="0" collapsed="false">
      <c r="B65" s="44" t="s">
        <v>731</v>
      </c>
      <c r="C65" s="44" t="s">
        <v>681</v>
      </c>
      <c r="D65" s="42" t="s">
        <v>141</v>
      </c>
      <c r="E65" s="44" t="s">
        <v>682</v>
      </c>
      <c r="F65" s="44" t="s">
        <v>687</v>
      </c>
      <c r="G65" s="44" t="s">
        <v>732</v>
      </c>
      <c r="H65" s="44"/>
      <c r="I65" s="44" t="s">
        <v>67</v>
      </c>
    </row>
    <row r="66" customFormat="false" ht="14.25" hidden="false" customHeight="true" outlineLevel="0" collapsed="false">
      <c r="B66" s="44" t="s">
        <v>733</v>
      </c>
      <c r="C66" s="44" t="s">
        <v>681</v>
      </c>
      <c r="D66" s="42" t="s">
        <v>142</v>
      </c>
      <c r="E66" s="44" t="s">
        <v>682</v>
      </c>
      <c r="F66" s="44" t="s">
        <v>721</v>
      </c>
      <c r="G66" s="44" t="s">
        <v>734</v>
      </c>
      <c r="H66" s="44"/>
      <c r="I66" s="44" t="s">
        <v>694</v>
      </c>
    </row>
    <row r="67" customFormat="false" ht="14.25" hidden="false" customHeight="true" outlineLevel="0" collapsed="false">
      <c r="B67" s="44" t="s">
        <v>735</v>
      </c>
      <c r="C67" s="44" t="s">
        <v>681</v>
      </c>
      <c r="D67" s="42" t="s">
        <v>143</v>
      </c>
      <c r="E67" s="44" t="s">
        <v>682</v>
      </c>
      <c r="F67" s="44" t="s">
        <v>702</v>
      </c>
      <c r="G67" s="44" t="s">
        <v>736</v>
      </c>
      <c r="H67" s="44"/>
      <c r="I67" s="44" t="s">
        <v>70</v>
      </c>
    </row>
    <row r="68" customFormat="false" ht="25.5" hidden="false" customHeight="true" outlineLevel="0" collapsed="false">
      <c r="B68" s="44" t="s">
        <v>737</v>
      </c>
      <c r="C68" s="44" t="s">
        <v>681</v>
      </c>
      <c r="D68" s="42" t="s">
        <v>144</v>
      </c>
      <c r="E68" s="44" t="s">
        <v>682</v>
      </c>
      <c r="F68" s="44" t="s">
        <v>687</v>
      </c>
      <c r="G68" s="44" t="s">
        <v>738</v>
      </c>
      <c r="H68" s="44"/>
      <c r="I68" s="44" t="s">
        <v>68</v>
      </c>
    </row>
    <row r="69" customFormat="false" ht="14.25" hidden="false" customHeight="true" outlineLevel="0" collapsed="false">
      <c r="B69" s="44" t="s">
        <v>739</v>
      </c>
      <c r="C69" s="44" t="s">
        <v>681</v>
      </c>
      <c r="D69" s="42" t="s">
        <v>145</v>
      </c>
      <c r="E69" s="44" t="s">
        <v>682</v>
      </c>
      <c r="F69" s="44" t="s">
        <v>721</v>
      </c>
      <c r="G69" s="44" t="s">
        <v>740</v>
      </c>
      <c r="H69" s="44"/>
      <c r="I69" s="44" t="s">
        <v>694</v>
      </c>
    </row>
    <row r="70" customFormat="false" ht="14.25" hidden="false" customHeight="true" outlineLevel="0" collapsed="false">
      <c r="B70" s="44" t="s">
        <v>741</v>
      </c>
      <c r="C70" s="44" t="s">
        <v>681</v>
      </c>
      <c r="D70" s="42" t="s">
        <v>146</v>
      </c>
      <c r="E70" s="44" t="s">
        <v>682</v>
      </c>
      <c r="F70" s="44" t="s">
        <v>702</v>
      </c>
      <c r="G70" s="44" t="s">
        <v>742</v>
      </c>
      <c r="H70" s="44"/>
      <c r="I70" s="44" t="s">
        <v>72</v>
      </c>
    </row>
    <row r="71" customFormat="false" ht="14.25" hidden="false" customHeight="true" outlineLevel="0" collapsed="false">
      <c r="B71" s="44" t="s">
        <v>743</v>
      </c>
      <c r="C71" s="44" t="s">
        <v>681</v>
      </c>
      <c r="D71" s="42" t="s">
        <v>147</v>
      </c>
      <c r="E71" s="44" t="s">
        <v>682</v>
      </c>
      <c r="F71" s="44" t="s">
        <v>687</v>
      </c>
      <c r="G71" s="44" t="s">
        <v>744</v>
      </c>
      <c r="H71" s="44"/>
      <c r="I71" s="44" t="s">
        <v>53</v>
      </c>
    </row>
    <row r="72" customFormat="false" ht="14.25" hidden="false" customHeight="true" outlineLevel="0" collapsed="false">
      <c r="B72" s="44" t="s">
        <v>745</v>
      </c>
      <c r="C72" s="44" t="s">
        <v>681</v>
      </c>
      <c r="D72" s="42" t="s">
        <v>148</v>
      </c>
      <c r="E72" s="44" t="s">
        <v>682</v>
      </c>
      <c r="F72" s="44" t="s">
        <v>687</v>
      </c>
      <c r="G72" s="44" t="s">
        <v>746</v>
      </c>
      <c r="H72" s="44"/>
      <c r="I72" s="44" t="s">
        <v>57</v>
      </c>
    </row>
    <row r="73" customFormat="false" ht="14.25" hidden="false" customHeight="true" outlineLevel="0" collapsed="false">
      <c r="B73" s="44" t="s">
        <v>747</v>
      </c>
      <c r="C73" s="44" t="s">
        <v>681</v>
      </c>
      <c r="D73" s="42" t="s">
        <v>149</v>
      </c>
      <c r="E73" s="44" t="s">
        <v>682</v>
      </c>
      <c r="F73" s="44" t="s">
        <v>687</v>
      </c>
      <c r="G73" s="44" t="s">
        <v>748</v>
      </c>
      <c r="H73" s="44"/>
      <c r="I73" s="44" t="s">
        <v>58</v>
      </c>
    </row>
    <row r="74" customFormat="false" ht="14.25" hidden="false" customHeight="true" outlineLevel="0" collapsed="false">
      <c r="B74" s="44" t="s">
        <v>749</v>
      </c>
      <c r="C74" s="44" t="s">
        <v>681</v>
      </c>
      <c r="D74" s="42" t="s">
        <v>150</v>
      </c>
      <c r="E74" s="44" t="s">
        <v>682</v>
      </c>
      <c r="F74" s="44" t="s">
        <v>687</v>
      </c>
      <c r="G74" s="44" t="s">
        <v>750</v>
      </c>
      <c r="H74" s="44"/>
      <c r="I74" s="44" t="s">
        <v>59</v>
      </c>
    </row>
    <row r="75" customFormat="false" ht="25.5" hidden="false" customHeight="true" outlineLevel="0" collapsed="false">
      <c r="B75" s="44" t="s">
        <v>751</v>
      </c>
      <c r="C75" s="44" t="s">
        <v>681</v>
      </c>
      <c r="D75" s="42" t="s">
        <v>151</v>
      </c>
      <c r="E75" s="44" t="s">
        <v>682</v>
      </c>
      <c r="F75" s="44" t="s">
        <v>687</v>
      </c>
      <c r="G75" s="44" t="s">
        <v>752</v>
      </c>
      <c r="H75" s="44"/>
      <c r="I75" s="44" t="s">
        <v>74</v>
      </c>
    </row>
    <row r="76" customFormat="false" ht="25.5" hidden="false" customHeight="true" outlineLevel="0" collapsed="false">
      <c r="B76" s="44" t="s">
        <v>753</v>
      </c>
      <c r="C76" s="44" t="s">
        <v>681</v>
      </c>
      <c r="D76" s="42" t="s">
        <v>152</v>
      </c>
      <c r="E76" s="44" t="s">
        <v>682</v>
      </c>
      <c r="F76" s="44" t="s">
        <v>721</v>
      </c>
      <c r="G76" s="44" t="s">
        <v>754</v>
      </c>
      <c r="H76" s="44"/>
      <c r="I76" s="44" t="s">
        <v>694</v>
      </c>
    </row>
    <row r="77" customFormat="false" ht="25.5" hidden="false" customHeight="true" outlineLevel="0" collapsed="false">
      <c r="B77" s="44" t="s">
        <v>755</v>
      </c>
      <c r="C77" s="44" t="s">
        <v>681</v>
      </c>
      <c r="D77" s="42" t="s">
        <v>153</v>
      </c>
      <c r="E77" s="44" t="s">
        <v>682</v>
      </c>
      <c r="F77" s="44" t="s">
        <v>687</v>
      </c>
      <c r="G77" s="44" t="s">
        <v>756</v>
      </c>
      <c r="H77" s="44"/>
      <c r="I77" s="44" t="s">
        <v>694</v>
      </c>
    </row>
    <row r="78" customFormat="false" ht="14.25" hidden="false" customHeight="true" outlineLevel="0" collapsed="false">
      <c r="B78" s="44" t="s">
        <v>757</v>
      </c>
      <c r="C78" s="44" t="s">
        <v>681</v>
      </c>
      <c r="D78" s="42" t="s">
        <v>154</v>
      </c>
      <c r="E78" s="44" t="s">
        <v>682</v>
      </c>
      <c r="F78" s="44" t="s">
        <v>687</v>
      </c>
      <c r="G78" s="44" t="s">
        <v>758</v>
      </c>
      <c r="H78" s="44"/>
      <c r="I78" s="44" t="s">
        <v>694</v>
      </c>
    </row>
    <row r="79" customFormat="false" ht="14.25" hidden="false" customHeight="true" outlineLevel="0" collapsed="false">
      <c r="B79" s="44" t="s">
        <v>759</v>
      </c>
      <c r="C79" s="44" t="s">
        <v>681</v>
      </c>
      <c r="D79" s="42" t="s">
        <v>155</v>
      </c>
      <c r="E79" s="44" t="s">
        <v>682</v>
      </c>
      <c r="F79" s="44" t="s">
        <v>687</v>
      </c>
      <c r="G79" s="44" t="s">
        <v>760</v>
      </c>
      <c r="H79" s="44"/>
      <c r="I79" s="44" t="s">
        <v>694</v>
      </c>
    </row>
    <row r="80" customFormat="false" ht="14.25" hidden="false" customHeight="true" outlineLevel="0" collapsed="false">
      <c r="B80" s="44" t="s">
        <v>761</v>
      </c>
      <c r="C80" s="44" t="s">
        <v>681</v>
      </c>
      <c r="D80" s="42" t="s">
        <v>156</v>
      </c>
      <c r="E80" s="44" t="s">
        <v>682</v>
      </c>
      <c r="F80" s="44" t="s">
        <v>687</v>
      </c>
      <c r="G80" s="44" t="s">
        <v>762</v>
      </c>
      <c r="H80" s="44"/>
      <c r="I80" s="44" t="s">
        <v>75</v>
      </c>
    </row>
    <row r="81" customFormat="false" ht="14.25" hidden="false" customHeight="true" outlineLevel="0" collapsed="false">
      <c r="B81" s="44" t="s">
        <v>763</v>
      </c>
      <c r="C81" s="44" t="s">
        <v>681</v>
      </c>
      <c r="D81" s="42" t="s">
        <v>157</v>
      </c>
      <c r="E81" s="44" t="s">
        <v>682</v>
      </c>
      <c r="F81" s="44" t="s">
        <v>764</v>
      </c>
      <c r="G81" s="44" t="s">
        <v>765</v>
      </c>
      <c r="H81" s="44"/>
      <c r="I81" s="44" t="s">
        <v>38</v>
      </c>
    </row>
    <row r="82" customFormat="false" ht="25.5" hidden="false" customHeight="true" outlineLevel="0" collapsed="false">
      <c r="B82" s="44" t="s">
        <v>766</v>
      </c>
      <c r="C82" s="44" t="s">
        <v>681</v>
      </c>
      <c r="D82" s="42" t="s">
        <v>158</v>
      </c>
      <c r="E82" s="44" t="s">
        <v>682</v>
      </c>
      <c r="F82" s="44" t="s">
        <v>687</v>
      </c>
      <c r="G82" s="44" t="s">
        <v>767</v>
      </c>
      <c r="H82" s="44"/>
      <c r="I82" s="44" t="s">
        <v>61</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1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28125" defaultRowHeight="15"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46"/>
    <col collapsed="false" customWidth="true" hidden="false" outlineLevel="0" max="8" min="4" style="0" width="13"/>
    <col collapsed="false" customWidth="true" hidden="false" outlineLevel="0" max="9" min="9" style="0" width="70"/>
  </cols>
  <sheetData>
    <row r="2" customFormat="false" ht="15" hidden="false" customHeight="false" outlineLevel="0" collapsed="false">
      <c r="B2" s="1" t="s">
        <v>768</v>
      </c>
    </row>
    <row r="3" customFormat="false" ht="15" hidden="false" customHeight="false" outlineLevel="0" collapsed="false">
      <c r="B3" s="2" t="s">
        <v>769</v>
      </c>
    </row>
    <row r="5" customFormat="false" ht="15" hidden="false" customHeight="true" outlineLevel="0" collapsed="false">
      <c r="B5" s="3" t="s">
        <v>770</v>
      </c>
      <c r="C5" s="4"/>
      <c r="D5" s="4"/>
      <c r="E5" s="4"/>
      <c r="F5" s="4"/>
      <c r="G5" s="4"/>
      <c r="H5" s="4"/>
      <c r="I5" s="4"/>
    </row>
    <row r="6" customFormat="false" ht="15" hidden="false" customHeight="false" outlineLevel="0" collapsed="false">
      <c r="B6" s="5" t="s">
        <v>771</v>
      </c>
      <c r="C6" s="6" t="s">
        <v>772</v>
      </c>
      <c r="D6" s="6" t="s">
        <v>773</v>
      </c>
      <c r="E6" s="6" t="s">
        <v>20</v>
      </c>
      <c r="F6" s="6"/>
      <c r="G6" s="6"/>
      <c r="H6" s="6"/>
      <c r="I6" s="6" t="s">
        <v>774</v>
      </c>
    </row>
    <row r="7" customFormat="false" ht="15" hidden="false" customHeight="false" outlineLevel="0" collapsed="false">
      <c r="B7" s="7" t="s">
        <v>775</v>
      </c>
      <c r="C7" s="7" t="s">
        <v>776</v>
      </c>
      <c r="D7" s="52" t="n">
        <v>46204</v>
      </c>
      <c r="E7" s="53" t="s">
        <v>777</v>
      </c>
      <c r="F7" s="7"/>
      <c r="G7" s="7"/>
      <c r="H7" s="7"/>
      <c r="I7" s="53" t="s">
        <v>778</v>
      </c>
    </row>
    <row r="8" customFormat="false" ht="15" hidden="false" customHeight="false" outlineLevel="0" collapsed="false">
      <c r="B8" s="7" t="s">
        <v>779</v>
      </c>
      <c r="C8" s="7" t="s">
        <v>780</v>
      </c>
      <c r="D8" s="54" t="n">
        <v>3</v>
      </c>
      <c r="E8" s="53" t="s">
        <v>781</v>
      </c>
      <c r="F8" s="7"/>
      <c r="G8" s="7"/>
      <c r="H8" s="7"/>
      <c r="I8" s="53" t="s">
        <v>782</v>
      </c>
    </row>
    <row r="9" customFormat="false" ht="15" hidden="false" customHeight="false" outlineLevel="0" collapsed="false">
      <c r="B9" s="7" t="s">
        <v>783</v>
      </c>
      <c r="C9" s="7" t="s">
        <v>784</v>
      </c>
      <c r="D9" s="55" t="n">
        <f aca="false">EDATE(D7,D8)-1</f>
        <v>46295</v>
      </c>
      <c r="E9" s="53" t="s">
        <v>777</v>
      </c>
      <c r="F9" s="7"/>
      <c r="G9" s="7"/>
      <c r="H9" s="7"/>
      <c r="I9" s="53" t="s">
        <v>681</v>
      </c>
    </row>
    <row r="10" customFormat="false" ht="15" hidden="false" customHeight="false" outlineLevel="0" collapsed="false">
      <c r="B10" s="7" t="s">
        <v>785</v>
      </c>
      <c r="C10" s="7" t="s">
        <v>786</v>
      </c>
      <c r="D10" s="54" t="n">
        <v>5</v>
      </c>
      <c r="E10" s="53" t="s">
        <v>787</v>
      </c>
      <c r="F10" s="7"/>
      <c r="G10" s="7"/>
      <c r="H10" s="7"/>
      <c r="I10" s="53" t="s">
        <v>788</v>
      </c>
    </row>
    <row r="11" customFormat="false" ht="15" hidden="false" customHeight="false" outlineLevel="0" collapsed="false">
      <c r="B11" s="7" t="s">
        <v>789</v>
      </c>
      <c r="C11" s="7" t="s">
        <v>790</v>
      </c>
      <c r="D11" s="56" t="n">
        <v>0.375</v>
      </c>
      <c r="E11" s="53" t="s">
        <v>791</v>
      </c>
      <c r="F11" s="7"/>
      <c r="G11" s="7"/>
      <c r="H11" s="7"/>
      <c r="I11" s="53" t="s">
        <v>792</v>
      </c>
    </row>
    <row r="12" customFormat="false" ht="15" hidden="false" customHeight="false" outlineLevel="0" collapsed="false">
      <c r="B12" s="7" t="s">
        <v>793</v>
      </c>
      <c r="C12" s="7" t="s">
        <v>794</v>
      </c>
      <c r="D12" s="56" t="n">
        <v>0.75</v>
      </c>
      <c r="E12" s="53" t="s">
        <v>791</v>
      </c>
      <c r="F12" s="7"/>
      <c r="G12" s="7"/>
      <c r="H12" s="7"/>
      <c r="I12" s="53" t="s">
        <v>792</v>
      </c>
    </row>
    <row r="13" customFormat="false" ht="15" hidden="false" customHeight="false" outlineLevel="0" collapsed="false">
      <c r="B13" s="7" t="s">
        <v>795</v>
      </c>
      <c r="C13" s="7" t="s">
        <v>796</v>
      </c>
      <c r="D13" s="57" t="n">
        <f aca="false">(D12-D11)*24</f>
        <v>9</v>
      </c>
      <c r="E13" s="53" t="s">
        <v>797</v>
      </c>
      <c r="F13" s="7"/>
      <c r="G13" s="7"/>
      <c r="H13" s="7"/>
      <c r="I13" s="53" t="s">
        <v>798</v>
      </c>
    </row>
    <row r="15" customFormat="false" ht="15" hidden="false" customHeight="true" outlineLevel="0" collapsed="false">
      <c r="B15" s="3" t="s">
        <v>799</v>
      </c>
      <c r="C15" s="4"/>
      <c r="D15" s="4"/>
      <c r="E15" s="4"/>
      <c r="F15" s="4"/>
      <c r="G15" s="4"/>
      <c r="H15" s="4"/>
      <c r="I15" s="4"/>
    </row>
    <row r="16" customFormat="false" ht="39.75" hidden="false" customHeight="true" outlineLevel="0" collapsed="false">
      <c r="B16" s="5" t="s">
        <v>771</v>
      </c>
      <c r="C16" s="6" t="s">
        <v>8</v>
      </c>
      <c r="D16" s="6" t="s">
        <v>800</v>
      </c>
      <c r="E16" s="6" t="s">
        <v>801</v>
      </c>
      <c r="F16" s="6" t="s">
        <v>802</v>
      </c>
      <c r="G16" s="6" t="s">
        <v>803</v>
      </c>
      <c r="H16" s="6"/>
      <c r="I16" s="6" t="s">
        <v>804</v>
      </c>
    </row>
    <row r="17" customFormat="false" ht="37.5" hidden="false" customHeight="true" outlineLevel="0" collapsed="false">
      <c r="B17" s="7" t="s">
        <v>805</v>
      </c>
      <c r="C17" s="7" t="s">
        <v>252</v>
      </c>
      <c r="D17" s="54" t="n">
        <v>1</v>
      </c>
      <c r="E17" s="54" t="n">
        <v>1</v>
      </c>
      <c r="F17" s="58" t="n">
        <v>3</v>
      </c>
      <c r="G17" s="54" t="n">
        <v>2</v>
      </c>
      <c r="H17" s="7"/>
      <c r="I17" s="59" t="s">
        <v>806</v>
      </c>
    </row>
    <row r="18" customFormat="false" ht="37.5" hidden="false" customHeight="true" outlineLevel="0" collapsed="false">
      <c r="B18" s="7" t="s">
        <v>807</v>
      </c>
      <c r="C18" s="7" t="s">
        <v>219</v>
      </c>
      <c r="D18" s="54" t="n">
        <v>2</v>
      </c>
      <c r="E18" s="54" t="n">
        <v>3</v>
      </c>
      <c r="F18" s="58" t="n">
        <v>2</v>
      </c>
      <c r="G18" s="54" t="n">
        <v>4</v>
      </c>
      <c r="H18" s="7"/>
      <c r="I18" s="59" t="s">
        <v>808</v>
      </c>
    </row>
    <row r="19" customFormat="false" ht="25.5" hidden="false" customHeight="true" outlineLevel="0" collapsed="false">
      <c r="B19" s="7" t="s">
        <v>809</v>
      </c>
      <c r="C19" s="7" t="s">
        <v>167</v>
      </c>
      <c r="D19" s="54" t="n">
        <v>9</v>
      </c>
      <c r="E19" s="54" t="n">
        <v>10</v>
      </c>
      <c r="F19" s="58" t="n">
        <v>1</v>
      </c>
      <c r="G19" s="54"/>
      <c r="H19" s="7"/>
      <c r="I19" s="59" t="s">
        <v>810</v>
      </c>
    </row>
    <row r="20" customFormat="false" ht="25.5" hidden="false" customHeight="true" outlineLevel="0" collapsed="false">
      <c r="B20" s="7" t="s">
        <v>811</v>
      </c>
      <c r="C20" s="7" t="s">
        <v>187</v>
      </c>
      <c r="D20" s="54" t="n">
        <v>18</v>
      </c>
      <c r="E20" s="54" t="n">
        <v>20</v>
      </c>
      <c r="F20" s="58" t="n">
        <v>1</v>
      </c>
      <c r="G20" s="54"/>
      <c r="H20" s="7"/>
      <c r="I20" s="59" t="s">
        <v>812</v>
      </c>
    </row>
    <row r="21" customFormat="false" ht="25.5" hidden="false" customHeight="true" outlineLevel="0" collapsed="false">
      <c r="C21" s="28" t="s">
        <v>813</v>
      </c>
      <c r="D21" s="28"/>
      <c r="E21" s="28"/>
      <c r="F21" s="28"/>
      <c r="G21" s="28"/>
      <c r="H21" s="28"/>
      <c r="I21" s="28"/>
    </row>
    <row r="23" customFormat="false" ht="15" hidden="false" customHeight="true" outlineLevel="0" collapsed="false">
      <c r="B23" s="3" t="s">
        <v>814</v>
      </c>
      <c r="C23" s="4"/>
      <c r="D23" s="4"/>
      <c r="E23" s="4"/>
      <c r="F23" s="4"/>
      <c r="G23" s="4"/>
      <c r="H23" s="4"/>
      <c r="I23" s="4"/>
    </row>
    <row r="24" customFormat="false" ht="15" hidden="false" customHeight="false" outlineLevel="0" collapsed="false">
      <c r="B24" s="5" t="s">
        <v>771</v>
      </c>
      <c r="C24" s="6" t="s">
        <v>62</v>
      </c>
      <c r="D24" s="6" t="s">
        <v>773</v>
      </c>
      <c r="E24" s="6"/>
      <c r="F24" s="6"/>
      <c r="G24" s="6"/>
      <c r="H24" s="6"/>
      <c r="I24" s="6" t="s">
        <v>815</v>
      </c>
    </row>
    <row r="25" customFormat="false" ht="25.5" hidden="false" customHeight="true" outlineLevel="0" collapsed="false">
      <c r="B25" s="7" t="s">
        <v>816</v>
      </c>
      <c r="C25" s="7" t="s">
        <v>817</v>
      </c>
      <c r="D25" s="60" t="n">
        <v>1</v>
      </c>
      <c r="E25" s="7"/>
      <c r="F25" s="7"/>
      <c r="G25" s="7"/>
      <c r="H25" s="7"/>
      <c r="I25" s="59" t="s">
        <v>818</v>
      </c>
    </row>
    <row r="26" customFormat="false" ht="37.5" hidden="false" customHeight="true" outlineLevel="0" collapsed="false">
      <c r="B26" s="7" t="s">
        <v>819</v>
      </c>
      <c r="C26" s="7" t="s">
        <v>820</v>
      </c>
      <c r="D26" s="60" t="n">
        <v>2</v>
      </c>
      <c r="E26" s="7"/>
      <c r="F26" s="7"/>
      <c r="G26" s="7"/>
      <c r="H26" s="7"/>
      <c r="I26" s="59" t="s">
        <v>821</v>
      </c>
    </row>
    <row r="27" customFormat="false" ht="25.5" hidden="false" customHeight="true" outlineLevel="0" collapsed="false">
      <c r="B27" s="7" t="s">
        <v>822</v>
      </c>
      <c r="C27" s="7" t="s">
        <v>823</v>
      </c>
      <c r="D27" s="60" t="n">
        <v>3</v>
      </c>
      <c r="E27" s="7"/>
      <c r="F27" s="7"/>
      <c r="G27" s="7"/>
      <c r="H27" s="7"/>
      <c r="I27" s="59" t="s">
        <v>824</v>
      </c>
    </row>
    <row r="28" customFormat="false" ht="25.5" hidden="false" customHeight="true" outlineLevel="0" collapsed="false">
      <c r="B28" s="7" t="s">
        <v>825</v>
      </c>
      <c r="C28" s="7" t="s">
        <v>826</v>
      </c>
      <c r="D28" s="60" t="n">
        <v>4</v>
      </c>
      <c r="E28" s="7"/>
      <c r="F28" s="7"/>
      <c r="G28" s="7"/>
      <c r="H28" s="7"/>
      <c r="I28" s="59" t="s">
        <v>827</v>
      </c>
    </row>
    <row r="30" customFormat="false" ht="15" hidden="false" customHeight="true" outlineLevel="0" collapsed="false">
      <c r="B30" s="3" t="s">
        <v>828</v>
      </c>
      <c r="C30" s="4"/>
      <c r="D30" s="4"/>
      <c r="E30" s="4"/>
      <c r="F30" s="4"/>
      <c r="G30" s="4"/>
      <c r="H30" s="4"/>
      <c r="I30" s="4"/>
    </row>
    <row r="31" customFormat="false" ht="15" hidden="false" customHeight="false" outlineLevel="0" collapsed="false">
      <c r="B31" s="5" t="s">
        <v>771</v>
      </c>
      <c r="C31" s="6" t="s">
        <v>772</v>
      </c>
      <c r="D31" s="6" t="s">
        <v>773</v>
      </c>
      <c r="E31" s="6" t="s">
        <v>20</v>
      </c>
      <c r="F31" s="6"/>
      <c r="G31" s="6"/>
      <c r="H31" s="6"/>
      <c r="I31" s="6" t="s">
        <v>774</v>
      </c>
    </row>
    <row r="32" customFormat="false" ht="37.5" hidden="false" customHeight="true" outlineLevel="0" collapsed="false">
      <c r="B32" s="7" t="s">
        <v>829</v>
      </c>
      <c r="C32" s="7" t="s">
        <v>830</v>
      </c>
      <c r="D32" s="54" t="n">
        <v>4</v>
      </c>
      <c r="E32" s="53" t="s">
        <v>797</v>
      </c>
      <c r="F32" s="7"/>
      <c r="G32" s="7"/>
      <c r="H32" s="7"/>
      <c r="I32" s="59" t="s">
        <v>831</v>
      </c>
    </row>
    <row r="33" customFormat="false" ht="15" hidden="false" customHeight="false" outlineLevel="0" collapsed="false">
      <c r="B33" s="7" t="s">
        <v>832</v>
      </c>
      <c r="C33" s="7" t="s">
        <v>833</v>
      </c>
      <c r="D33" s="54" t="n">
        <v>24</v>
      </c>
      <c r="E33" s="53" t="s">
        <v>797</v>
      </c>
      <c r="F33" s="7"/>
      <c r="G33" s="7"/>
      <c r="H33" s="7"/>
      <c r="I33" s="59" t="s">
        <v>834</v>
      </c>
    </row>
    <row r="34" customFormat="false" ht="15" hidden="false" customHeight="false" outlineLevel="0" collapsed="false">
      <c r="B34" s="7" t="s">
        <v>835</v>
      </c>
      <c r="C34" s="7" t="s">
        <v>836</v>
      </c>
      <c r="D34" s="54" t="n">
        <v>72</v>
      </c>
      <c r="E34" s="53" t="s">
        <v>797</v>
      </c>
      <c r="F34" s="7"/>
      <c r="G34" s="7"/>
      <c r="H34" s="7"/>
      <c r="I34" s="59" t="s">
        <v>834</v>
      </c>
    </row>
    <row r="35" customFormat="false" ht="15" hidden="false" customHeight="false" outlineLevel="0" collapsed="false">
      <c r="B35" s="7" t="s">
        <v>837</v>
      </c>
      <c r="C35" s="7" t="s">
        <v>838</v>
      </c>
      <c r="D35" s="54" t="n">
        <v>1</v>
      </c>
      <c r="E35" s="53" t="s">
        <v>781</v>
      </c>
      <c r="F35" s="7"/>
      <c r="G35" s="7"/>
      <c r="H35" s="7"/>
      <c r="I35" s="59" t="s">
        <v>834</v>
      </c>
    </row>
    <row r="36" customFormat="false" ht="25.5" hidden="false" customHeight="true" outlineLevel="0" collapsed="false">
      <c r="C36" s="28" t="s">
        <v>839</v>
      </c>
      <c r="D36" s="28"/>
      <c r="E36" s="28"/>
      <c r="F36" s="28"/>
      <c r="G36" s="28"/>
      <c r="H36" s="28"/>
      <c r="I36" s="28"/>
    </row>
    <row r="38" customFormat="false" ht="15" hidden="false" customHeight="true" outlineLevel="0" collapsed="false">
      <c r="B38" s="3" t="s">
        <v>840</v>
      </c>
      <c r="C38" s="4"/>
      <c r="D38" s="4"/>
      <c r="E38" s="4"/>
      <c r="F38" s="4"/>
      <c r="G38" s="4"/>
      <c r="H38" s="4"/>
      <c r="I38" s="4"/>
    </row>
    <row r="39" customFormat="false" ht="25.5" hidden="false" customHeight="true" outlineLevel="0" collapsed="false">
      <c r="B39" s="5" t="s">
        <v>18</v>
      </c>
      <c r="C39" s="6" t="s">
        <v>19</v>
      </c>
      <c r="D39" s="6" t="s">
        <v>20</v>
      </c>
      <c r="E39" s="6" t="s">
        <v>24</v>
      </c>
      <c r="F39" s="6" t="s">
        <v>25</v>
      </c>
      <c r="G39" s="6" t="s">
        <v>26</v>
      </c>
      <c r="H39" s="6" t="s">
        <v>841</v>
      </c>
      <c r="I39" s="6" t="s">
        <v>774</v>
      </c>
    </row>
    <row r="40" customFormat="false" ht="15" hidden="false" customHeight="false" outlineLevel="0" collapsed="false">
      <c r="B40" s="7" t="s">
        <v>29</v>
      </c>
      <c r="C40" s="7" t="s">
        <v>842</v>
      </c>
      <c r="D40" s="17" t="s">
        <v>843</v>
      </c>
      <c r="E40" s="61" t="s">
        <v>844</v>
      </c>
      <c r="F40" s="54"/>
      <c r="G40" s="54"/>
      <c r="H40" s="61" t="s">
        <v>168</v>
      </c>
      <c r="I40" s="53" t="s">
        <v>845</v>
      </c>
    </row>
    <row r="41" customFormat="false" ht="15" hidden="false" customHeight="false" outlineLevel="0" collapsed="false">
      <c r="B41" s="7" t="s">
        <v>33</v>
      </c>
      <c r="C41" s="7" t="s">
        <v>846</v>
      </c>
      <c r="D41" s="17" t="s">
        <v>847</v>
      </c>
      <c r="E41" s="61" t="s">
        <v>848</v>
      </c>
      <c r="F41" s="62" t="n">
        <v>1</v>
      </c>
      <c r="G41" s="62" t="n">
        <v>0.5</v>
      </c>
      <c r="H41" s="61" t="s">
        <v>189</v>
      </c>
      <c r="I41" s="53" t="s">
        <v>849</v>
      </c>
    </row>
    <row r="42" customFormat="false" ht="15" hidden="false" customHeight="false" outlineLevel="0" collapsed="false">
      <c r="B42" s="7" t="s">
        <v>34</v>
      </c>
      <c r="C42" s="7" t="s">
        <v>850</v>
      </c>
      <c r="D42" s="17" t="s">
        <v>9</v>
      </c>
      <c r="E42" s="61" t="s">
        <v>851</v>
      </c>
      <c r="F42" s="63" t="n">
        <v>0.1</v>
      </c>
      <c r="G42" s="63" t="n">
        <v>0.2</v>
      </c>
      <c r="H42" s="61" t="s">
        <v>189</v>
      </c>
      <c r="I42" s="53" t="s">
        <v>852</v>
      </c>
    </row>
    <row r="43" customFormat="false" ht="15" hidden="false" customHeight="false" outlineLevel="0" collapsed="false">
      <c r="B43" s="7" t="s">
        <v>35</v>
      </c>
      <c r="C43" s="7" t="s">
        <v>853</v>
      </c>
      <c r="D43" s="17" t="s">
        <v>843</v>
      </c>
      <c r="E43" s="61" t="s">
        <v>851</v>
      </c>
      <c r="F43" s="54" t="n">
        <v>0</v>
      </c>
      <c r="G43" s="54" t="n">
        <v>0</v>
      </c>
      <c r="H43" s="61" t="s">
        <v>168</v>
      </c>
      <c r="I43" s="53" t="s">
        <v>854</v>
      </c>
    </row>
    <row r="44" customFormat="false" ht="15" hidden="false" customHeight="false" outlineLevel="0" collapsed="false">
      <c r="B44" s="7" t="s">
        <v>36</v>
      </c>
      <c r="C44" s="7" t="s">
        <v>855</v>
      </c>
      <c r="D44" s="17" t="s">
        <v>9</v>
      </c>
      <c r="E44" s="61" t="s">
        <v>848</v>
      </c>
      <c r="F44" s="63" t="n">
        <v>0.8</v>
      </c>
      <c r="G44" s="63" t="n">
        <v>0.6</v>
      </c>
      <c r="H44" s="61" t="s">
        <v>189</v>
      </c>
      <c r="I44" s="53" t="s">
        <v>856</v>
      </c>
    </row>
    <row r="45" customFormat="false" ht="15" hidden="false" customHeight="false" outlineLevel="0" collapsed="false">
      <c r="B45" s="7" t="s">
        <v>37</v>
      </c>
      <c r="C45" s="7" t="s">
        <v>857</v>
      </c>
      <c r="D45" s="17" t="s">
        <v>9</v>
      </c>
      <c r="E45" s="61" t="s">
        <v>851</v>
      </c>
      <c r="F45" s="63" t="n">
        <v>0.3</v>
      </c>
      <c r="G45" s="63" t="n">
        <v>0.5</v>
      </c>
      <c r="H45" s="61" t="s">
        <v>189</v>
      </c>
      <c r="I45" s="53" t="s">
        <v>849</v>
      </c>
    </row>
    <row r="46" customFormat="false" ht="15" hidden="false" customHeight="false" outlineLevel="0" collapsed="false">
      <c r="B46" s="7" t="s">
        <v>38</v>
      </c>
      <c r="C46" s="7" t="s">
        <v>858</v>
      </c>
      <c r="D46" s="17" t="s">
        <v>859</v>
      </c>
      <c r="E46" s="61" t="s">
        <v>851</v>
      </c>
      <c r="F46" s="64"/>
      <c r="G46" s="64"/>
      <c r="H46" s="61" t="s">
        <v>168</v>
      </c>
      <c r="I46" s="53" t="s">
        <v>860</v>
      </c>
    </row>
    <row r="47" customFormat="false" ht="15" hidden="false" customHeight="false" outlineLevel="0" collapsed="false">
      <c r="B47" s="7" t="s">
        <v>39</v>
      </c>
      <c r="C47" s="7" t="s">
        <v>861</v>
      </c>
      <c r="D47" s="17" t="s">
        <v>843</v>
      </c>
      <c r="E47" s="61" t="s">
        <v>851</v>
      </c>
      <c r="F47" s="54" t="n">
        <v>0</v>
      </c>
      <c r="G47" s="54" t="n">
        <v>0</v>
      </c>
      <c r="H47" s="61" t="s">
        <v>168</v>
      </c>
      <c r="I47" s="53" t="s">
        <v>854</v>
      </c>
    </row>
    <row r="48" customFormat="false" ht="15" hidden="false" customHeight="false" outlineLevel="0" collapsed="false">
      <c r="B48" s="7" t="s">
        <v>41</v>
      </c>
      <c r="C48" s="7" t="s">
        <v>862</v>
      </c>
      <c r="D48" s="17" t="s">
        <v>863</v>
      </c>
      <c r="E48" s="61" t="s">
        <v>851</v>
      </c>
      <c r="F48" s="65" t="n">
        <v>2</v>
      </c>
      <c r="G48" s="65" t="n">
        <v>5</v>
      </c>
      <c r="H48" s="61" t="s">
        <v>189</v>
      </c>
      <c r="I48" s="53" t="s">
        <v>864</v>
      </c>
    </row>
    <row r="49" customFormat="false" ht="15" hidden="false" customHeight="false" outlineLevel="0" collapsed="false">
      <c r="B49" s="7" t="s">
        <v>42</v>
      </c>
      <c r="C49" s="7" t="s">
        <v>865</v>
      </c>
      <c r="D49" s="17" t="s">
        <v>797</v>
      </c>
      <c r="E49" s="61" t="s">
        <v>851</v>
      </c>
      <c r="F49" s="65" t="n">
        <v>4</v>
      </c>
      <c r="G49" s="65" t="n">
        <v>9</v>
      </c>
      <c r="H49" s="61" t="s">
        <v>189</v>
      </c>
      <c r="I49" s="53" t="s">
        <v>866</v>
      </c>
    </row>
    <row r="50" customFormat="false" ht="15" hidden="false" customHeight="false" outlineLevel="0" collapsed="false">
      <c r="B50" s="7" t="s">
        <v>43</v>
      </c>
      <c r="C50" s="7" t="s">
        <v>867</v>
      </c>
      <c r="D50" s="17" t="s">
        <v>797</v>
      </c>
      <c r="E50" s="61" t="s">
        <v>851</v>
      </c>
      <c r="F50" s="65" t="n">
        <v>4</v>
      </c>
      <c r="G50" s="65" t="n">
        <v>9</v>
      </c>
      <c r="H50" s="61" t="s">
        <v>189</v>
      </c>
      <c r="I50" s="53" t="s">
        <v>868</v>
      </c>
    </row>
    <row r="51" customFormat="false" ht="15" hidden="false" customHeight="false" outlineLevel="0" collapsed="false">
      <c r="B51" s="7" t="s">
        <v>44</v>
      </c>
      <c r="C51" s="7" t="s">
        <v>869</v>
      </c>
      <c r="D51" s="17" t="s">
        <v>9</v>
      </c>
      <c r="E51" s="61" t="s">
        <v>848</v>
      </c>
      <c r="F51" s="63" t="n">
        <v>0.95</v>
      </c>
      <c r="G51" s="63" t="n">
        <v>0.85</v>
      </c>
      <c r="H51" s="61" t="s">
        <v>189</v>
      </c>
      <c r="I51" s="53" t="s">
        <v>870</v>
      </c>
    </row>
    <row r="52" customFormat="false" ht="15" hidden="false" customHeight="false" outlineLevel="0" collapsed="false">
      <c r="B52" s="7" t="s">
        <v>45</v>
      </c>
      <c r="C52" s="7" t="s">
        <v>871</v>
      </c>
      <c r="D52" s="17" t="s">
        <v>863</v>
      </c>
      <c r="E52" s="61" t="s">
        <v>851</v>
      </c>
      <c r="F52" s="65" t="n">
        <v>5</v>
      </c>
      <c r="G52" s="65" t="n">
        <v>10</v>
      </c>
      <c r="H52" s="61" t="s">
        <v>189</v>
      </c>
      <c r="I52" s="53" t="s">
        <v>864</v>
      </c>
    </row>
    <row r="53" customFormat="false" ht="15" hidden="false" customHeight="false" outlineLevel="0" collapsed="false">
      <c r="B53" s="7" t="s">
        <v>46</v>
      </c>
      <c r="C53" s="7" t="s">
        <v>872</v>
      </c>
      <c r="D53" s="17" t="s">
        <v>863</v>
      </c>
      <c r="E53" s="61" t="s">
        <v>851</v>
      </c>
      <c r="F53" s="65" t="n">
        <v>10</v>
      </c>
      <c r="G53" s="65" t="n">
        <v>20</v>
      </c>
      <c r="H53" s="61" t="s">
        <v>189</v>
      </c>
      <c r="I53" s="53" t="s">
        <v>864</v>
      </c>
    </row>
    <row r="54" customFormat="false" ht="15" hidden="false" customHeight="false" outlineLevel="0" collapsed="false">
      <c r="B54" s="7" t="s">
        <v>47</v>
      </c>
      <c r="C54" s="7" t="s">
        <v>873</v>
      </c>
      <c r="D54" s="17" t="s">
        <v>9</v>
      </c>
      <c r="E54" s="61" t="s">
        <v>848</v>
      </c>
      <c r="F54" s="63" t="n">
        <v>0.9</v>
      </c>
      <c r="G54" s="63" t="n">
        <v>0.8</v>
      </c>
      <c r="H54" s="61" t="s">
        <v>189</v>
      </c>
      <c r="I54" s="53" t="s">
        <v>870</v>
      </c>
    </row>
    <row r="55" customFormat="false" ht="15" hidden="false" customHeight="false" outlineLevel="0" collapsed="false">
      <c r="B55" s="7" t="s">
        <v>49</v>
      </c>
      <c r="C55" s="7" t="s">
        <v>874</v>
      </c>
      <c r="D55" s="17" t="s">
        <v>863</v>
      </c>
      <c r="E55" s="61" t="s">
        <v>851</v>
      </c>
      <c r="F55" s="65" t="n">
        <v>20</v>
      </c>
      <c r="G55" s="65" t="n">
        <v>40</v>
      </c>
      <c r="H55" s="61" t="s">
        <v>189</v>
      </c>
      <c r="I55" s="53" t="s">
        <v>875</v>
      </c>
    </row>
    <row r="56" customFormat="false" ht="15" hidden="false" customHeight="false" outlineLevel="0" collapsed="false">
      <c r="B56" s="7" t="s">
        <v>53</v>
      </c>
      <c r="C56" s="7" t="s">
        <v>876</v>
      </c>
      <c r="D56" s="17" t="s">
        <v>9</v>
      </c>
      <c r="E56" s="61" t="s">
        <v>848</v>
      </c>
      <c r="F56" s="63" t="n">
        <v>0.8</v>
      </c>
      <c r="G56" s="63" t="n">
        <v>0.65</v>
      </c>
      <c r="H56" s="61" t="s">
        <v>189</v>
      </c>
      <c r="I56" s="53" t="s">
        <v>877</v>
      </c>
    </row>
    <row r="57" customFormat="false" ht="15" hidden="false" customHeight="false" outlineLevel="0" collapsed="false">
      <c r="B57" s="7" t="s">
        <v>54</v>
      </c>
      <c r="C57" s="7" t="s">
        <v>878</v>
      </c>
      <c r="D57" s="17" t="s">
        <v>847</v>
      </c>
      <c r="E57" s="61" t="s">
        <v>848</v>
      </c>
      <c r="F57" s="62" t="n">
        <v>1</v>
      </c>
      <c r="G57" s="62" t="n">
        <v>0.8</v>
      </c>
      <c r="H57" s="61" t="s">
        <v>189</v>
      </c>
      <c r="I57" s="53" t="s">
        <v>870</v>
      </c>
    </row>
    <row r="58" customFormat="false" ht="15" hidden="false" customHeight="false" outlineLevel="0" collapsed="false">
      <c r="B58" s="7" t="s">
        <v>55</v>
      </c>
      <c r="C58" s="7" t="s">
        <v>879</v>
      </c>
      <c r="D58" s="17" t="s">
        <v>843</v>
      </c>
      <c r="E58" s="61" t="s">
        <v>844</v>
      </c>
      <c r="F58" s="54"/>
      <c r="G58" s="54"/>
      <c r="H58" s="61" t="s">
        <v>168</v>
      </c>
      <c r="I58" s="53" t="s">
        <v>845</v>
      </c>
    </row>
    <row r="59" customFormat="false" ht="15" hidden="false" customHeight="false" outlineLevel="0" collapsed="false">
      <c r="B59" s="7" t="s">
        <v>56</v>
      </c>
      <c r="C59" s="7" t="s">
        <v>880</v>
      </c>
      <c r="D59" s="17" t="s">
        <v>9</v>
      </c>
      <c r="E59" s="61" t="s">
        <v>851</v>
      </c>
      <c r="F59" s="63" t="n">
        <v>0.1</v>
      </c>
      <c r="G59" s="63" t="n">
        <v>0.25</v>
      </c>
      <c r="H59" s="61" t="s">
        <v>189</v>
      </c>
      <c r="I59" s="53" t="s">
        <v>870</v>
      </c>
    </row>
    <row r="60" customFormat="false" ht="15" hidden="false" customHeight="false" outlineLevel="0" collapsed="false">
      <c r="B60" s="7" t="s">
        <v>57</v>
      </c>
      <c r="C60" s="7" t="s">
        <v>881</v>
      </c>
      <c r="D60" s="17" t="s">
        <v>9</v>
      </c>
      <c r="E60" s="61" t="s">
        <v>851</v>
      </c>
      <c r="F60" s="63" t="n">
        <v>0.05</v>
      </c>
      <c r="G60" s="63" t="n">
        <v>0.1</v>
      </c>
      <c r="H60" s="61" t="s">
        <v>189</v>
      </c>
      <c r="I60" s="53" t="s">
        <v>870</v>
      </c>
    </row>
    <row r="61" customFormat="false" ht="15" hidden="false" customHeight="false" outlineLevel="0" collapsed="false">
      <c r="B61" s="7" t="s">
        <v>58</v>
      </c>
      <c r="C61" s="7" t="s">
        <v>882</v>
      </c>
      <c r="D61" s="17" t="s">
        <v>9</v>
      </c>
      <c r="E61" s="61" t="s">
        <v>851</v>
      </c>
      <c r="F61" s="63" t="n">
        <v>0.1</v>
      </c>
      <c r="G61" s="63" t="n">
        <v>0.2</v>
      </c>
      <c r="H61" s="61" t="s">
        <v>189</v>
      </c>
      <c r="I61" s="53" t="s">
        <v>883</v>
      </c>
    </row>
    <row r="62" customFormat="false" ht="15" hidden="false" customHeight="false" outlineLevel="0" collapsed="false">
      <c r="B62" s="7" t="s">
        <v>59</v>
      </c>
      <c r="C62" s="7" t="s">
        <v>884</v>
      </c>
      <c r="D62" s="17" t="s">
        <v>9</v>
      </c>
      <c r="E62" s="61" t="s">
        <v>848</v>
      </c>
      <c r="F62" s="63" t="n">
        <v>1</v>
      </c>
      <c r="G62" s="63" t="n">
        <v>0.9</v>
      </c>
      <c r="H62" s="61" t="s">
        <v>168</v>
      </c>
      <c r="I62" s="53" t="s">
        <v>885</v>
      </c>
    </row>
    <row r="63" customFormat="false" ht="15" hidden="false" customHeight="false" outlineLevel="0" collapsed="false">
      <c r="B63" s="7" t="s">
        <v>61</v>
      </c>
      <c r="C63" s="7" t="s">
        <v>886</v>
      </c>
      <c r="D63" s="17" t="s">
        <v>9</v>
      </c>
      <c r="E63" s="61" t="s">
        <v>848</v>
      </c>
      <c r="F63" s="63" t="n">
        <v>0.9</v>
      </c>
      <c r="G63" s="63" t="n">
        <v>0.75</v>
      </c>
      <c r="H63" s="61" t="s">
        <v>189</v>
      </c>
      <c r="I63" s="53" t="s">
        <v>875</v>
      </c>
    </row>
    <row r="64" customFormat="false" ht="15" hidden="false" customHeight="false" outlineLevel="0" collapsed="false">
      <c r="B64" s="7" t="s">
        <v>64</v>
      </c>
      <c r="C64" s="7" t="s">
        <v>887</v>
      </c>
      <c r="D64" s="17" t="s">
        <v>9</v>
      </c>
      <c r="E64" s="61" t="s">
        <v>851</v>
      </c>
      <c r="F64" s="63" t="n">
        <v>0.3</v>
      </c>
      <c r="G64" s="63" t="n">
        <v>0.4</v>
      </c>
      <c r="H64" s="61" t="s">
        <v>189</v>
      </c>
      <c r="I64" s="53" t="s">
        <v>888</v>
      </c>
    </row>
    <row r="65" customFormat="false" ht="15" hidden="false" customHeight="false" outlineLevel="0" collapsed="false">
      <c r="B65" s="7" t="s">
        <v>65</v>
      </c>
      <c r="C65" s="7" t="s">
        <v>889</v>
      </c>
      <c r="D65" s="17" t="s">
        <v>9</v>
      </c>
      <c r="E65" s="61" t="s">
        <v>851</v>
      </c>
      <c r="F65" s="63" t="n">
        <v>0.1</v>
      </c>
      <c r="G65" s="63" t="n">
        <v>0.2</v>
      </c>
      <c r="H65" s="61" t="s">
        <v>189</v>
      </c>
      <c r="I65" s="53" t="s">
        <v>890</v>
      </c>
    </row>
    <row r="66" customFormat="false" ht="15" hidden="false" customHeight="false" outlineLevel="0" collapsed="false">
      <c r="B66" s="7" t="s">
        <v>66</v>
      </c>
      <c r="C66" s="7" t="s">
        <v>891</v>
      </c>
      <c r="D66" s="17" t="s">
        <v>9</v>
      </c>
      <c r="E66" s="61" t="s">
        <v>844</v>
      </c>
      <c r="F66" s="63"/>
      <c r="G66" s="63"/>
      <c r="H66" s="61" t="s">
        <v>168</v>
      </c>
      <c r="I66" s="53" t="s">
        <v>892</v>
      </c>
    </row>
    <row r="67" customFormat="false" ht="15" hidden="false" customHeight="false" outlineLevel="0" collapsed="false">
      <c r="B67" s="7" t="s">
        <v>67</v>
      </c>
      <c r="C67" s="7" t="s">
        <v>893</v>
      </c>
      <c r="D67" s="17" t="s">
        <v>9</v>
      </c>
      <c r="E67" s="61" t="s">
        <v>848</v>
      </c>
      <c r="F67" s="63" t="n">
        <v>1</v>
      </c>
      <c r="G67" s="63" t="n">
        <v>0.95</v>
      </c>
      <c r="H67" s="61" t="s">
        <v>168</v>
      </c>
      <c r="I67" s="53" t="s">
        <v>894</v>
      </c>
    </row>
    <row r="68" customFormat="false" ht="15" hidden="false" customHeight="false" outlineLevel="0" collapsed="false">
      <c r="B68" s="7" t="s">
        <v>68</v>
      </c>
      <c r="C68" s="7" t="s">
        <v>895</v>
      </c>
      <c r="D68" s="17" t="s">
        <v>9</v>
      </c>
      <c r="E68" s="61" t="s">
        <v>848</v>
      </c>
      <c r="F68" s="63" t="n">
        <v>0.95</v>
      </c>
      <c r="G68" s="63" t="n">
        <v>0.85</v>
      </c>
      <c r="H68" s="61" t="s">
        <v>189</v>
      </c>
      <c r="I68" s="53" t="s">
        <v>896</v>
      </c>
    </row>
    <row r="69" customFormat="false" ht="15" hidden="false" customHeight="false" outlineLevel="0" collapsed="false">
      <c r="B69" s="7" t="s">
        <v>70</v>
      </c>
      <c r="C69" s="7" t="s">
        <v>897</v>
      </c>
      <c r="D69" s="17" t="s">
        <v>797</v>
      </c>
      <c r="E69" s="61" t="s">
        <v>851</v>
      </c>
      <c r="F69" s="65" t="n">
        <v>2</v>
      </c>
      <c r="G69" s="65" t="n">
        <v>4</v>
      </c>
      <c r="H69" s="61" t="s">
        <v>189</v>
      </c>
      <c r="I69" s="53" t="s">
        <v>896</v>
      </c>
    </row>
    <row r="70" customFormat="false" ht="15" hidden="false" customHeight="false" outlineLevel="0" collapsed="false">
      <c r="B70" s="7" t="s">
        <v>72</v>
      </c>
      <c r="C70" s="7" t="s">
        <v>898</v>
      </c>
      <c r="D70" s="17" t="s">
        <v>863</v>
      </c>
      <c r="E70" s="61" t="s">
        <v>851</v>
      </c>
      <c r="F70" s="65" t="n">
        <v>3</v>
      </c>
      <c r="G70" s="65" t="n">
        <v>5</v>
      </c>
      <c r="H70" s="61" t="s">
        <v>189</v>
      </c>
      <c r="I70" s="53" t="s">
        <v>899</v>
      </c>
    </row>
    <row r="71" customFormat="false" ht="15" hidden="false" customHeight="false" outlineLevel="0" collapsed="false">
      <c r="B71" s="7" t="s">
        <v>73</v>
      </c>
      <c r="C71" s="7" t="s">
        <v>900</v>
      </c>
      <c r="D71" s="17" t="s">
        <v>9</v>
      </c>
      <c r="E71" s="61" t="s">
        <v>851</v>
      </c>
      <c r="F71" s="63" t="n">
        <v>0.1</v>
      </c>
      <c r="G71" s="63" t="n">
        <v>0.2</v>
      </c>
      <c r="H71" s="61" t="s">
        <v>189</v>
      </c>
      <c r="I71" s="53" t="s">
        <v>870</v>
      </c>
    </row>
    <row r="72" customFormat="false" ht="15" hidden="false" customHeight="false" outlineLevel="0" collapsed="false">
      <c r="B72" s="7" t="s">
        <v>74</v>
      </c>
      <c r="C72" s="7" t="s">
        <v>901</v>
      </c>
      <c r="D72" s="17" t="s">
        <v>9</v>
      </c>
      <c r="E72" s="61" t="s">
        <v>848</v>
      </c>
      <c r="F72" s="63" t="n">
        <v>1</v>
      </c>
      <c r="G72" s="63" t="n">
        <v>1</v>
      </c>
      <c r="H72" s="61" t="s">
        <v>168</v>
      </c>
      <c r="I72" s="53" t="s">
        <v>902</v>
      </c>
    </row>
    <row r="73" customFormat="false" ht="15" hidden="false" customHeight="false" outlineLevel="0" collapsed="false">
      <c r="B73" s="7" t="s">
        <v>75</v>
      </c>
      <c r="C73" s="7" t="s">
        <v>903</v>
      </c>
      <c r="D73" s="17" t="s">
        <v>9</v>
      </c>
      <c r="E73" s="61" t="s">
        <v>848</v>
      </c>
      <c r="F73" s="63" t="n">
        <v>1</v>
      </c>
      <c r="G73" s="63" t="n">
        <v>1</v>
      </c>
      <c r="H73" s="61" t="s">
        <v>168</v>
      </c>
      <c r="I73" s="53" t="s">
        <v>904</v>
      </c>
    </row>
    <row r="74" customFormat="false" ht="25.5" hidden="false" customHeight="true" outlineLevel="0" collapsed="false">
      <c r="C74" s="28" t="s">
        <v>905</v>
      </c>
      <c r="D74" s="28"/>
      <c r="E74" s="28"/>
      <c r="F74" s="28"/>
      <c r="G74" s="28"/>
      <c r="H74" s="28"/>
      <c r="I74" s="28"/>
    </row>
    <row r="76" customFormat="false" ht="15" hidden="false" customHeight="true" outlineLevel="0" collapsed="false">
      <c r="B76" s="3" t="s">
        <v>906</v>
      </c>
      <c r="C76" s="4"/>
      <c r="D76" s="4"/>
      <c r="E76" s="4"/>
      <c r="F76" s="4"/>
      <c r="G76" s="4"/>
      <c r="H76" s="4"/>
      <c r="I76" s="4"/>
    </row>
    <row r="77" customFormat="false" ht="15" hidden="false" customHeight="false" outlineLevel="0" collapsed="false">
      <c r="B77" s="5" t="s">
        <v>551</v>
      </c>
      <c r="C77" s="6" t="s">
        <v>90</v>
      </c>
      <c r="D77" s="6"/>
      <c r="E77" s="6"/>
      <c r="F77" s="6"/>
      <c r="G77" s="6"/>
      <c r="H77" s="6"/>
      <c r="I77" s="6" t="s">
        <v>774</v>
      </c>
    </row>
    <row r="78" customFormat="false" ht="15" hidden="false" customHeight="false" outlineLevel="0" collapsed="false">
      <c r="B78" s="53" t="n">
        <v>1</v>
      </c>
      <c r="C78" s="66" t="s">
        <v>178</v>
      </c>
      <c r="D78" s="7"/>
      <c r="E78" s="7"/>
      <c r="F78" s="7"/>
      <c r="G78" s="7"/>
      <c r="H78" s="7"/>
      <c r="I78" s="53"/>
    </row>
    <row r="79" customFormat="false" ht="15" hidden="false" customHeight="false" outlineLevel="0" collapsed="false">
      <c r="B79" s="53" t="n">
        <v>2</v>
      </c>
      <c r="C79" s="66" t="s">
        <v>160</v>
      </c>
      <c r="D79" s="7"/>
      <c r="E79" s="7"/>
      <c r="F79" s="7"/>
      <c r="G79" s="7"/>
      <c r="H79" s="7"/>
      <c r="I79" s="53"/>
    </row>
    <row r="81" customFormat="false" ht="15" hidden="false" customHeight="false" outlineLevel="0" collapsed="false">
      <c r="B81" s="5" t="s">
        <v>551</v>
      </c>
      <c r="C81" s="6" t="s">
        <v>22</v>
      </c>
      <c r="D81" s="6"/>
      <c r="E81" s="6"/>
      <c r="F81" s="6"/>
      <c r="G81" s="6"/>
      <c r="H81" s="6"/>
      <c r="I81" s="6" t="s">
        <v>774</v>
      </c>
    </row>
    <row r="82" customFormat="false" ht="15" hidden="false" customHeight="false" outlineLevel="0" collapsed="false">
      <c r="B82" s="53" t="n">
        <v>1</v>
      </c>
      <c r="C82" s="66" t="s">
        <v>907</v>
      </c>
      <c r="D82" s="7"/>
      <c r="E82" s="7"/>
      <c r="F82" s="7"/>
      <c r="G82" s="7"/>
      <c r="H82" s="7"/>
      <c r="I82" s="53"/>
    </row>
    <row r="83" customFormat="false" ht="15" hidden="false" customHeight="false" outlineLevel="0" collapsed="false">
      <c r="B83" s="53" t="n">
        <v>2</v>
      </c>
      <c r="C83" s="66" t="s">
        <v>313</v>
      </c>
      <c r="D83" s="7"/>
      <c r="E83" s="7"/>
      <c r="F83" s="7"/>
      <c r="G83" s="7"/>
      <c r="H83" s="7"/>
      <c r="I83" s="53"/>
    </row>
    <row r="84" customFormat="false" ht="15" hidden="false" customHeight="false" outlineLevel="0" collapsed="false">
      <c r="B84" s="53" t="n">
        <v>3</v>
      </c>
      <c r="C84" s="66" t="s">
        <v>908</v>
      </c>
      <c r="D84" s="7"/>
      <c r="E84" s="7"/>
      <c r="F84" s="7"/>
      <c r="G84" s="7"/>
      <c r="H84" s="7"/>
      <c r="I84" s="53"/>
    </row>
    <row r="85" customFormat="false" ht="15" hidden="false" customHeight="false" outlineLevel="0" collapsed="false">
      <c r="B85" s="53" t="n">
        <v>4</v>
      </c>
      <c r="C85" s="66" t="s">
        <v>293</v>
      </c>
      <c r="D85" s="7"/>
      <c r="E85" s="7"/>
      <c r="F85" s="7"/>
      <c r="G85" s="7"/>
      <c r="H85" s="7"/>
      <c r="I85" s="53"/>
    </row>
    <row r="86" customFormat="false" ht="15" hidden="false" customHeight="false" outlineLevel="0" collapsed="false">
      <c r="B86" s="53" t="n">
        <v>5</v>
      </c>
      <c r="C86" s="66" t="s">
        <v>169</v>
      </c>
      <c r="D86" s="7"/>
      <c r="E86" s="7"/>
      <c r="F86" s="7"/>
      <c r="G86" s="7"/>
      <c r="H86" s="7"/>
      <c r="I86" s="53"/>
    </row>
    <row r="87" customFormat="false" ht="15" hidden="false" customHeight="false" outlineLevel="0" collapsed="false">
      <c r="B87" s="53" t="n">
        <v>6</v>
      </c>
      <c r="C87" s="66" t="s">
        <v>238</v>
      </c>
      <c r="D87" s="7"/>
      <c r="E87" s="7"/>
      <c r="F87" s="7"/>
      <c r="G87" s="7"/>
      <c r="H87" s="7"/>
      <c r="I87" s="53"/>
    </row>
    <row r="89" customFormat="false" ht="15" hidden="false" customHeight="false" outlineLevel="0" collapsed="false">
      <c r="B89" s="5" t="s">
        <v>551</v>
      </c>
      <c r="C89" s="6" t="s">
        <v>909</v>
      </c>
      <c r="D89" s="6"/>
      <c r="E89" s="6"/>
      <c r="F89" s="6"/>
      <c r="G89" s="6"/>
      <c r="H89" s="6"/>
      <c r="I89" s="6" t="s">
        <v>774</v>
      </c>
    </row>
    <row r="90" customFormat="false" ht="15" hidden="false" customHeight="false" outlineLevel="0" collapsed="false">
      <c r="B90" s="53" t="n">
        <v>1</v>
      </c>
      <c r="C90" s="66" t="s">
        <v>189</v>
      </c>
      <c r="D90" s="7"/>
      <c r="E90" s="7"/>
      <c r="F90" s="7"/>
      <c r="G90" s="7"/>
      <c r="H90" s="7"/>
      <c r="I90" s="53"/>
    </row>
    <row r="91" customFormat="false" ht="15" hidden="false" customHeight="false" outlineLevel="0" collapsed="false">
      <c r="B91" s="53" t="n">
        <v>2</v>
      </c>
      <c r="C91" s="66" t="s">
        <v>168</v>
      </c>
      <c r="D91" s="7"/>
      <c r="E91" s="7"/>
      <c r="F91" s="7"/>
      <c r="G91" s="7"/>
      <c r="H91" s="7"/>
      <c r="I91" s="53"/>
    </row>
    <row r="93" customFormat="false" ht="15" hidden="false" customHeight="false" outlineLevel="0" collapsed="false">
      <c r="B93" s="5" t="s">
        <v>551</v>
      </c>
      <c r="C93" s="6" t="s">
        <v>50</v>
      </c>
      <c r="D93" s="6"/>
      <c r="E93" s="6"/>
      <c r="F93" s="6"/>
      <c r="G93" s="6"/>
      <c r="H93" s="6"/>
      <c r="I93" s="6" t="s">
        <v>774</v>
      </c>
    </row>
    <row r="94" customFormat="false" ht="15" hidden="false" customHeight="false" outlineLevel="0" collapsed="false">
      <c r="B94" s="53" t="n">
        <v>1</v>
      </c>
      <c r="C94" s="66" t="s">
        <v>161</v>
      </c>
      <c r="D94" s="7"/>
      <c r="E94" s="7"/>
      <c r="F94" s="7"/>
      <c r="G94" s="7"/>
      <c r="H94" s="7"/>
      <c r="I94" s="53" t="s">
        <v>910</v>
      </c>
    </row>
    <row r="95" customFormat="false" ht="15" hidden="false" customHeight="false" outlineLevel="0" collapsed="false">
      <c r="B95" s="53" t="n">
        <v>2</v>
      </c>
      <c r="C95" s="66" t="s">
        <v>198</v>
      </c>
      <c r="D95" s="7"/>
      <c r="E95" s="7"/>
      <c r="F95" s="7"/>
      <c r="G95" s="7"/>
      <c r="H95" s="7"/>
      <c r="I95" s="53"/>
    </row>
    <row r="96" customFormat="false" ht="15" hidden="false" customHeight="false" outlineLevel="0" collapsed="false">
      <c r="B96" s="53" t="n">
        <v>3</v>
      </c>
      <c r="C96" s="66" t="s">
        <v>184</v>
      </c>
      <c r="D96" s="7"/>
      <c r="E96" s="7"/>
      <c r="F96" s="7"/>
      <c r="G96" s="7"/>
      <c r="H96" s="7"/>
      <c r="I96" s="53"/>
    </row>
    <row r="97" customFormat="false" ht="15" hidden="false" customHeight="false" outlineLevel="0" collapsed="false">
      <c r="B97" s="53" t="n">
        <v>4</v>
      </c>
      <c r="C97" s="66" t="s">
        <v>195</v>
      </c>
      <c r="D97" s="7"/>
      <c r="E97" s="7"/>
      <c r="F97" s="7"/>
      <c r="G97" s="7"/>
      <c r="H97" s="7"/>
      <c r="I97" s="53"/>
    </row>
    <row r="98" customFormat="false" ht="15" hidden="false" customHeight="false" outlineLevel="0" collapsed="false">
      <c r="B98" s="53" t="n">
        <v>5</v>
      </c>
      <c r="C98" s="66" t="s">
        <v>191</v>
      </c>
      <c r="D98" s="7"/>
      <c r="E98" s="7"/>
      <c r="F98" s="7"/>
      <c r="G98" s="7"/>
      <c r="H98" s="7"/>
      <c r="I98" s="53"/>
    </row>
    <row r="99" customFormat="false" ht="15" hidden="false" customHeight="false" outlineLevel="0" collapsed="false">
      <c r="B99" s="53" t="n">
        <v>6</v>
      </c>
      <c r="C99" s="66" t="s">
        <v>224</v>
      </c>
      <c r="D99" s="7"/>
      <c r="E99" s="7"/>
      <c r="F99" s="7"/>
      <c r="G99" s="7"/>
      <c r="H99" s="7"/>
      <c r="I99" s="53"/>
    </row>
    <row r="101" customFormat="false" ht="15" hidden="false" customHeight="false" outlineLevel="0" collapsed="false">
      <c r="B101" s="5" t="s">
        <v>551</v>
      </c>
      <c r="C101" s="6" t="s">
        <v>30</v>
      </c>
      <c r="D101" s="6"/>
      <c r="E101" s="6"/>
      <c r="F101" s="6"/>
      <c r="G101" s="6"/>
      <c r="H101" s="6"/>
      <c r="I101" s="6" t="s">
        <v>774</v>
      </c>
    </row>
    <row r="102" customFormat="false" ht="15" hidden="false" customHeight="false" outlineLevel="0" collapsed="false">
      <c r="B102" s="53" t="n">
        <v>1</v>
      </c>
      <c r="C102" s="66" t="s">
        <v>162</v>
      </c>
      <c r="D102" s="7"/>
      <c r="E102" s="7"/>
      <c r="F102" s="7"/>
      <c r="G102" s="7"/>
      <c r="H102" s="7"/>
      <c r="I102" s="53"/>
    </row>
    <row r="103" customFormat="false" ht="15" hidden="false" customHeight="false" outlineLevel="0" collapsed="false">
      <c r="B103" s="53" t="n">
        <v>2</v>
      </c>
      <c r="C103" s="66" t="s">
        <v>171</v>
      </c>
      <c r="D103" s="7"/>
      <c r="E103" s="7"/>
      <c r="F103" s="7"/>
      <c r="G103" s="7"/>
      <c r="H103" s="7"/>
      <c r="I103" s="53"/>
    </row>
    <row r="104" customFormat="false" ht="15" hidden="false" customHeight="false" outlineLevel="0" collapsed="false">
      <c r="B104" s="53" t="n">
        <v>3</v>
      </c>
      <c r="C104" s="66" t="s">
        <v>221</v>
      </c>
      <c r="D104" s="7"/>
      <c r="E104" s="7"/>
      <c r="F104" s="7"/>
      <c r="G104" s="7"/>
      <c r="H104" s="7"/>
      <c r="I104" s="53"/>
    </row>
    <row r="105" customFormat="false" ht="15" hidden="false" customHeight="false" outlineLevel="0" collapsed="false">
      <c r="B105" s="53" t="n">
        <v>4</v>
      </c>
      <c r="C105" s="66" t="s">
        <v>199</v>
      </c>
      <c r="D105" s="7"/>
      <c r="E105" s="7"/>
      <c r="F105" s="7"/>
      <c r="G105" s="7"/>
      <c r="H105" s="7"/>
      <c r="I105" s="53"/>
    </row>
    <row r="106" customFormat="false" ht="15" hidden="false" customHeight="false" outlineLevel="0" collapsed="false">
      <c r="B106" s="53" t="n">
        <v>5</v>
      </c>
      <c r="C106" s="66" t="s">
        <v>179</v>
      </c>
      <c r="D106" s="7"/>
      <c r="E106" s="7"/>
      <c r="F106" s="7"/>
      <c r="G106" s="7"/>
      <c r="H106" s="7"/>
      <c r="I106" s="53"/>
    </row>
    <row r="107" customFormat="false" ht="15" hidden="false" customHeight="false" outlineLevel="0" collapsed="false">
      <c r="B107" s="53" t="n">
        <v>6</v>
      </c>
      <c r="C107" s="66" t="s">
        <v>269</v>
      </c>
      <c r="D107" s="7"/>
      <c r="E107" s="7"/>
      <c r="F107" s="7"/>
      <c r="G107" s="7"/>
      <c r="H107" s="7"/>
      <c r="I107" s="53"/>
    </row>
    <row r="108" customFormat="false" ht="15" hidden="false" customHeight="false" outlineLevel="0" collapsed="false">
      <c r="B108" s="53" t="n">
        <v>7</v>
      </c>
      <c r="C108" s="66" t="s">
        <v>254</v>
      </c>
      <c r="D108" s="7"/>
      <c r="E108" s="7"/>
      <c r="F108" s="7"/>
      <c r="G108" s="7"/>
      <c r="H108" s="7"/>
      <c r="I108" s="53"/>
    </row>
    <row r="109" customFormat="false" ht="15" hidden="false" customHeight="false" outlineLevel="0" collapsed="false">
      <c r="B109" s="53" t="n">
        <v>8</v>
      </c>
      <c r="C109" s="66" t="s">
        <v>192</v>
      </c>
      <c r="D109" s="7"/>
      <c r="E109" s="7"/>
      <c r="F109" s="7"/>
      <c r="G109" s="7"/>
      <c r="H109" s="7"/>
      <c r="I109" s="53"/>
    </row>
    <row r="110" customFormat="false" ht="15" hidden="false" customHeight="false" outlineLevel="0" collapsed="false">
      <c r="B110" s="53" t="n">
        <v>9</v>
      </c>
      <c r="C110" s="66" t="s">
        <v>234</v>
      </c>
      <c r="D110" s="7"/>
      <c r="E110" s="7"/>
      <c r="F110" s="7"/>
      <c r="G110" s="7"/>
      <c r="H110" s="7"/>
      <c r="I110" s="53"/>
    </row>
    <row r="111" customFormat="false" ht="15" hidden="false" customHeight="false" outlineLevel="0" collapsed="false">
      <c r="B111" s="53" t="n">
        <v>10</v>
      </c>
      <c r="C111" s="66" t="s">
        <v>203</v>
      </c>
      <c r="D111" s="7"/>
      <c r="E111" s="7"/>
      <c r="F111" s="7"/>
      <c r="G111" s="7"/>
      <c r="H111" s="7"/>
      <c r="I111" s="53"/>
    </row>
    <row r="112" customFormat="false" ht="15" hidden="false" customHeight="false" outlineLevel="0" collapsed="false">
      <c r="B112" s="53" t="n">
        <v>11</v>
      </c>
      <c r="C112" s="66" t="s">
        <v>231</v>
      </c>
      <c r="D112" s="7"/>
      <c r="E112" s="7"/>
      <c r="F112" s="7"/>
      <c r="G112" s="7"/>
      <c r="H112" s="7"/>
      <c r="I112" s="53"/>
    </row>
    <row r="113" customFormat="false" ht="15" hidden="false" customHeight="false" outlineLevel="0" collapsed="false">
      <c r="B113" s="53" t="n">
        <v>12</v>
      </c>
      <c r="C113" s="66" t="s">
        <v>225</v>
      </c>
      <c r="D113" s="7"/>
      <c r="E113" s="7"/>
      <c r="F113" s="7"/>
      <c r="G113" s="7"/>
      <c r="H113" s="7"/>
      <c r="I113" s="53"/>
    </row>
    <row r="114" customFormat="false" ht="15" hidden="false" customHeight="false" outlineLevel="0" collapsed="false">
      <c r="B114" s="53" t="n">
        <v>13</v>
      </c>
      <c r="C114" s="66" t="s">
        <v>290</v>
      </c>
      <c r="D114" s="7"/>
      <c r="E114" s="7"/>
      <c r="F114" s="7"/>
      <c r="G114" s="7"/>
      <c r="H114" s="7"/>
      <c r="I114" s="53"/>
    </row>
    <row r="116" customFormat="false" ht="15" hidden="false" customHeight="false" outlineLevel="0" collapsed="false">
      <c r="B116" s="5" t="s">
        <v>551</v>
      </c>
      <c r="C116" s="6" t="s">
        <v>91</v>
      </c>
      <c r="D116" s="6"/>
      <c r="E116" s="6"/>
      <c r="F116" s="6"/>
      <c r="G116" s="6"/>
      <c r="H116" s="6"/>
      <c r="I116" s="6" t="s">
        <v>774</v>
      </c>
    </row>
    <row r="117" customFormat="false" ht="15" hidden="false" customHeight="false" outlineLevel="0" collapsed="false">
      <c r="B117" s="53" t="n">
        <v>1</v>
      </c>
      <c r="C117" s="66" t="s">
        <v>911</v>
      </c>
      <c r="D117" s="7"/>
      <c r="E117" s="7"/>
      <c r="F117" s="7"/>
      <c r="G117" s="7"/>
      <c r="H117" s="7"/>
      <c r="I117" s="53" t="s">
        <v>912</v>
      </c>
    </row>
    <row r="118" customFormat="false" ht="15" hidden="false" customHeight="false" outlineLevel="0" collapsed="false">
      <c r="B118" s="53" t="n">
        <v>2</v>
      </c>
      <c r="C118" s="66" t="s">
        <v>251</v>
      </c>
      <c r="D118" s="7"/>
      <c r="E118" s="7"/>
      <c r="F118" s="7"/>
      <c r="G118" s="7"/>
      <c r="H118" s="7"/>
      <c r="I118" s="53"/>
    </row>
    <row r="119" customFormat="false" ht="15" hidden="false" customHeight="false" outlineLevel="0" collapsed="false">
      <c r="B119" s="53" t="n">
        <v>3</v>
      </c>
      <c r="C119" s="66" t="s">
        <v>913</v>
      </c>
      <c r="D119" s="7"/>
      <c r="E119" s="7"/>
      <c r="F119" s="7"/>
      <c r="G119" s="7"/>
      <c r="H119" s="7"/>
      <c r="I119" s="53"/>
    </row>
    <row r="120" customFormat="false" ht="15" hidden="false" customHeight="false" outlineLevel="0" collapsed="false">
      <c r="B120" s="53" t="n">
        <v>4</v>
      </c>
      <c r="C120" s="66" t="s">
        <v>163</v>
      </c>
      <c r="D120" s="7"/>
      <c r="E120" s="7"/>
      <c r="F120" s="7"/>
      <c r="G120" s="7"/>
      <c r="H120" s="7"/>
      <c r="I120" s="53"/>
    </row>
    <row r="121" customFormat="false" ht="15" hidden="false" customHeight="false" outlineLevel="0" collapsed="false">
      <c r="B121" s="53" t="n">
        <v>5</v>
      </c>
      <c r="C121" s="66" t="s">
        <v>285</v>
      </c>
      <c r="D121" s="7"/>
      <c r="E121" s="7"/>
      <c r="F121" s="7"/>
      <c r="G121" s="7"/>
      <c r="H121" s="7"/>
      <c r="I121" s="53"/>
    </row>
    <row r="122" customFormat="false" ht="15" hidden="false" customHeight="false" outlineLevel="0" collapsed="false">
      <c r="B122" s="53" t="n">
        <v>6</v>
      </c>
      <c r="C122" s="66" t="s">
        <v>204</v>
      </c>
      <c r="D122" s="7"/>
      <c r="E122" s="7"/>
      <c r="F122" s="7"/>
      <c r="G122" s="7"/>
      <c r="H122" s="7"/>
      <c r="I122" s="53"/>
    </row>
    <row r="123" customFormat="false" ht="15" hidden="false" customHeight="false" outlineLevel="0" collapsed="false">
      <c r="B123" s="53" t="n">
        <v>7</v>
      </c>
      <c r="C123" s="66" t="s">
        <v>172</v>
      </c>
      <c r="D123" s="7"/>
      <c r="E123" s="7"/>
      <c r="F123" s="7"/>
      <c r="G123" s="7"/>
      <c r="H123" s="7"/>
      <c r="I123" s="53"/>
    </row>
    <row r="125" customFormat="false" ht="15" hidden="false" customHeight="false" outlineLevel="0" collapsed="false">
      <c r="B125" s="5" t="s">
        <v>551</v>
      </c>
      <c r="C125" s="6" t="s">
        <v>92</v>
      </c>
      <c r="D125" s="6" t="s">
        <v>914</v>
      </c>
      <c r="E125" s="6"/>
      <c r="F125" s="6"/>
      <c r="G125" s="6"/>
      <c r="H125" s="6"/>
      <c r="I125" s="6" t="s">
        <v>774</v>
      </c>
    </row>
    <row r="126" customFormat="false" ht="15" hidden="false" customHeight="false" outlineLevel="0" collapsed="false">
      <c r="B126" s="53" t="n">
        <v>1</v>
      </c>
      <c r="C126" s="66" t="s">
        <v>180</v>
      </c>
      <c r="D126" s="61" t="s">
        <v>189</v>
      </c>
      <c r="E126" s="7"/>
      <c r="F126" s="7"/>
      <c r="G126" s="7"/>
      <c r="H126" s="7"/>
      <c r="I126" s="53" t="s">
        <v>915</v>
      </c>
    </row>
    <row r="127" customFormat="false" ht="15" hidden="false" customHeight="false" outlineLevel="0" collapsed="false">
      <c r="B127" s="53" t="n">
        <v>2</v>
      </c>
      <c r="C127" s="66" t="s">
        <v>164</v>
      </c>
      <c r="D127" s="61" t="s">
        <v>189</v>
      </c>
      <c r="E127" s="7"/>
      <c r="F127" s="7"/>
      <c r="G127" s="7"/>
      <c r="H127" s="7"/>
      <c r="I127" s="53"/>
    </row>
    <row r="128" customFormat="false" ht="15" hidden="false" customHeight="false" outlineLevel="0" collapsed="false">
      <c r="B128" s="53" t="n">
        <v>3</v>
      </c>
      <c r="C128" s="66" t="s">
        <v>211</v>
      </c>
      <c r="D128" s="61" t="s">
        <v>189</v>
      </c>
      <c r="E128" s="7"/>
      <c r="F128" s="7"/>
      <c r="G128" s="7"/>
      <c r="H128" s="7"/>
      <c r="I128" s="53"/>
    </row>
    <row r="129" customFormat="false" ht="15" hidden="false" customHeight="false" outlineLevel="0" collapsed="false">
      <c r="B129" s="53" t="n">
        <v>4</v>
      </c>
      <c r="C129" s="66" t="s">
        <v>185</v>
      </c>
      <c r="D129" s="61" t="s">
        <v>189</v>
      </c>
      <c r="E129" s="7"/>
      <c r="F129" s="7"/>
      <c r="G129" s="7"/>
      <c r="H129" s="7"/>
      <c r="I129" s="53"/>
    </row>
    <row r="130" customFormat="false" ht="15" hidden="false" customHeight="false" outlineLevel="0" collapsed="false">
      <c r="B130" s="53" t="n">
        <v>5</v>
      </c>
      <c r="C130" s="66" t="s">
        <v>196</v>
      </c>
      <c r="D130" s="61" t="s">
        <v>168</v>
      </c>
      <c r="E130" s="7"/>
      <c r="F130" s="7"/>
      <c r="G130" s="7"/>
      <c r="H130" s="7"/>
      <c r="I130" s="53"/>
    </row>
    <row r="131" customFormat="false" ht="15" hidden="false" customHeight="false" outlineLevel="0" collapsed="false">
      <c r="B131" s="53" t="n">
        <v>6</v>
      </c>
      <c r="C131" s="66" t="s">
        <v>173</v>
      </c>
      <c r="D131" s="61" t="s">
        <v>168</v>
      </c>
      <c r="E131" s="7"/>
      <c r="F131" s="7"/>
      <c r="G131" s="7"/>
      <c r="H131" s="7"/>
      <c r="I131" s="53"/>
    </row>
    <row r="132" customFormat="false" ht="15" hidden="false" customHeight="false" outlineLevel="0" collapsed="false">
      <c r="B132" s="53" t="n">
        <v>7</v>
      </c>
      <c r="C132" s="66" t="s">
        <v>240</v>
      </c>
      <c r="D132" s="61" t="s">
        <v>168</v>
      </c>
      <c r="E132" s="7"/>
      <c r="F132" s="7"/>
      <c r="G132" s="7"/>
      <c r="H132" s="7"/>
      <c r="I132" s="53"/>
    </row>
    <row r="133" customFormat="false" ht="15" hidden="false" customHeight="false" outlineLevel="0" collapsed="false">
      <c r="B133" s="53" t="n">
        <v>8</v>
      </c>
      <c r="C133" s="66" t="s">
        <v>916</v>
      </c>
      <c r="D133" s="61" t="s">
        <v>168</v>
      </c>
      <c r="E133" s="7"/>
      <c r="F133" s="7"/>
      <c r="G133" s="7"/>
      <c r="H133" s="7"/>
      <c r="I133" s="53"/>
    </row>
    <row r="135" customFormat="false" ht="15" hidden="false" customHeight="true" outlineLevel="0" collapsed="false">
      <c r="B135" s="3" t="s">
        <v>917</v>
      </c>
      <c r="C135" s="4"/>
      <c r="D135" s="4"/>
      <c r="E135" s="4"/>
      <c r="F135" s="4"/>
      <c r="G135" s="4"/>
      <c r="H135" s="4"/>
      <c r="I135" s="4"/>
    </row>
    <row r="136" customFormat="false" ht="15" hidden="false" customHeight="false" outlineLevel="0" collapsed="false">
      <c r="B136" s="5" t="s">
        <v>771</v>
      </c>
      <c r="C136" s="6" t="s">
        <v>918</v>
      </c>
      <c r="D136" s="6" t="s">
        <v>919</v>
      </c>
      <c r="E136" s="6"/>
      <c r="F136" s="6"/>
      <c r="G136" s="6"/>
      <c r="H136" s="6"/>
      <c r="I136" s="6" t="s">
        <v>774</v>
      </c>
    </row>
    <row r="137" customFormat="false" ht="15" hidden="false" customHeight="false" outlineLevel="0" collapsed="false">
      <c r="B137" s="53" t="s">
        <v>920</v>
      </c>
      <c r="C137" s="7" t="s">
        <v>921</v>
      </c>
      <c r="D137" s="52" t="n">
        <v>45658</v>
      </c>
      <c r="E137" s="7"/>
      <c r="F137" s="7"/>
      <c r="G137" s="7"/>
      <c r="H137" s="7"/>
      <c r="I137" s="53" t="s">
        <v>922</v>
      </c>
    </row>
    <row r="138" customFormat="false" ht="15" hidden="false" customHeight="false" outlineLevel="0" collapsed="false">
      <c r="B138" s="53" t="s">
        <v>923</v>
      </c>
      <c r="C138" s="7" t="s">
        <v>924</v>
      </c>
      <c r="D138" s="52" t="n">
        <v>45768</v>
      </c>
      <c r="E138" s="7"/>
      <c r="F138" s="7"/>
      <c r="G138" s="7"/>
      <c r="H138" s="7"/>
      <c r="I138" s="53"/>
    </row>
    <row r="139" customFormat="false" ht="15" hidden="false" customHeight="false" outlineLevel="0" collapsed="false">
      <c r="B139" s="53" t="s">
        <v>925</v>
      </c>
      <c r="C139" s="7" t="s">
        <v>926</v>
      </c>
      <c r="D139" s="52" t="n">
        <v>45778</v>
      </c>
      <c r="E139" s="7"/>
      <c r="F139" s="7"/>
      <c r="G139" s="7"/>
      <c r="H139" s="7"/>
      <c r="I139" s="53"/>
    </row>
    <row r="140" customFormat="false" ht="15" hidden="false" customHeight="false" outlineLevel="0" collapsed="false">
      <c r="B140" s="53" t="s">
        <v>927</v>
      </c>
      <c r="C140" s="7" t="s">
        <v>928</v>
      </c>
      <c r="D140" s="52" t="n">
        <v>45785</v>
      </c>
      <c r="E140" s="7"/>
      <c r="F140" s="7"/>
      <c r="G140" s="7"/>
      <c r="H140" s="7"/>
      <c r="I140" s="53"/>
    </row>
    <row r="141" customFormat="false" ht="15" hidden="false" customHeight="false" outlineLevel="0" collapsed="false">
      <c r="B141" s="53" t="s">
        <v>929</v>
      </c>
      <c r="C141" s="7" t="s">
        <v>930</v>
      </c>
      <c r="D141" s="52" t="n">
        <v>45806</v>
      </c>
      <c r="E141" s="7"/>
      <c r="F141" s="7"/>
      <c r="G141" s="7"/>
      <c r="H141" s="7"/>
      <c r="I141" s="53"/>
    </row>
    <row r="142" customFormat="false" ht="15" hidden="false" customHeight="false" outlineLevel="0" collapsed="false">
      <c r="B142" s="53" t="s">
        <v>931</v>
      </c>
      <c r="C142" s="7" t="s">
        <v>932</v>
      </c>
      <c r="D142" s="52" t="n">
        <v>45817</v>
      </c>
      <c r="E142" s="7"/>
      <c r="F142" s="7"/>
      <c r="G142" s="7"/>
      <c r="H142" s="7"/>
      <c r="I142" s="53"/>
    </row>
    <row r="143" customFormat="false" ht="15" hidden="false" customHeight="false" outlineLevel="0" collapsed="false">
      <c r="B143" s="53" t="s">
        <v>933</v>
      </c>
      <c r="C143" s="7" t="s">
        <v>934</v>
      </c>
      <c r="D143" s="52" t="n">
        <v>45852</v>
      </c>
      <c r="E143" s="7"/>
      <c r="F143" s="7"/>
      <c r="G143" s="7"/>
      <c r="H143" s="7"/>
      <c r="I143" s="53"/>
    </row>
    <row r="144" customFormat="false" ht="15" hidden="false" customHeight="false" outlineLevel="0" collapsed="false">
      <c r="B144" s="53" t="s">
        <v>935</v>
      </c>
      <c r="C144" s="7" t="s">
        <v>936</v>
      </c>
      <c r="D144" s="52" t="n">
        <v>45884</v>
      </c>
      <c r="E144" s="7"/>
      <c r="F144" s="7"/>
      <c r="G144" s="7"/>
      <c r="H144" s="7"/>
      <c r="I144" s="53"/>
    </row>
    <row r="145" customFormat="false" ht="15" hidden="false" customHeight="false" outlineLevel="0" collapsed="false">
      <c r="B145" s="53" t="s">
        <v>937</v>
      </c>
      <c r="C145" s="7" t="s">
        <v>938</v>
      </c>
      <c r="D145" s="52" t="n">
        <v>45962</v>
      </c>
      <c r="E145" s="7"/>
      <c r="F145" s="7"/>
      <c r="G145" s="7"/>
      <c r="H145" s="7"/>
      <c r="I145" s="53"/>
    </row>
    <row r="146" customFormat="false" ht="15" hidden="false" customHeight="false" outlineLevel="0" collapsed="false">
      <c r="B146" s="53" t="s">
        <v>939</v>
      </c>
      <c r="C146" s="7" t="s">
        <v>940</v>
      </c>
      <c r="D146" s="52" t="n">
        <v>45972</v>
      </c>
      <c r="E146" s="7"/>
      <c r="F146" s="7"/>
      <c r="G146" s="7"/>
      <c r="H146" s="7"/>
      <c r="I146" s="53"/>
    </row>
    <row r="147" customFormat="false" ht="15" hidden="false" customHeight="false" outlineLevel="0" collapsed="false">
      <c r="B147" s="53" t="s">
        <v>941</v>
      </c>
      <c r="C147" s="7" t="s">
        <v>942</v>
      </c>
      <c r="D147" s="52" t="n">
        <v>46016</v>
      </c>
      <c r="E147" s="7"/>
      <c r="F147" s="7"/>
      <c r="G147" s="7"/>
      <c r="H147" s="7"/>
      <c r="I147" s="53"/>
    </row>
    <row r="148" customFormat="false" ht="15" hidden="false" customHeight="false" outlineLevel="0" collapsed="false">
      <c r="B148" s="53" t="s">
        <v>943</v>
      </c>
      <c r="C148" s="7" t="s">
        <v>921</v>
      </c>
      <c r="D148" s="52" t="n">
        <v>46023</v>
      </c>
      <c r="E148" s="7"/>
      <c r="F148" s="7"/>
      <c r="G148" s="7"/>
      <c r="H148" s="7"/>
      <c r="I148" s="53"/>
    </row>
    <row r="149" customFormat="false" ht="15" hidden="false" customHeight="false" outlineLevel="0" collapsed="false">
      <c r="B149" s="53" t="s">
        <v>944</v>
      </c>
      <c r="C149" s="7" t="s">
        <v>924</v>
      </c>
      <c r="D149" s="52" t="n">
        <v>46118</v>
      </c>
      <c r="E149" s="7"/>
      <c r="F149" s="7"/>
      <c r="G149" s="7"/>
      <c r="H149" s="7"/>
      <c r="I149" s="53"/>
    </row>
    <row r="150" customFormat="false" ht="15" hidden="false" customHeight="false" outlineLevel="0" collapsed="false">
      <c r="B150" s="53" t="s">
        <v>945</v>
      </c>
      <c r="C150" s="7" t="s">
        <v>926</v>
      </c>
      <c r="D150" s="52" t="n">
        <v>46143</v>
      </c>
      <c r="E150" s="7"/>
      <c r="F150" s="7"/>
      <c r="G150" s="7"/>
      <c r="H150" s="7"/>
      <c r="I150" s="53"/>
    </row>
    <row r="151" customFormat="false" ht="15" hidden="false" customHeight="false" outlineLevel="0" collapsed="false">
      <c r="B151" s="53" t="s">
        <v>946</v>
      </c>
      <c r="C151" s="7" t="s">
        <v>928</v>
      </c>
      <c r="D151" s="52" t="n">
        <v>46150</v>
      </c>
      <c r="E151" s="7"/>
      <c r="F151" s="7"/>
      <c r="G151" s="7"/>
      <c r="H151" s="7"/>
      <c r="I151" s="53"/>
    </row>
    <row r="152" customFormat="false" ht="15" hidden="false" customHeight="false" outlineLevel="0" collapsed="false">
      <c r="B152" s="53" t="s">
        <v>947</v>
      </c>
      <c r="C152" s="7" t="s">
        <v>930</v>
      </c>
      <c r="D152" s="52" t="n">
        <v>46156</v>
      </c>
      <c r="E152" s="7"/>
      <c r="F152" s="7"/>
      <c r="G152" s="7"/>
      <c r="H152" s="7"/>
      <c r="I152" s="53"/>
    </row>
    <row r="153" customFormat="false" ht="15" hidden="false" customHeight="false" outlineLevel="0" collapsed="false">
      <c r="B153" s="53" t="s">
        <v>948</v>
      </c>
      <c r="C153" s="7" t="s">
        <v>932</v>
      </c>
      <c r="D153" s="52" t="n">
        <v>46167</v>
      </c>
      <c r="E153" s="7"/>
      <c r="F153" s="7"/>
      <c r="G153" s="7"/>
      <c r="H153" s="7"/>
      <c r="I153" s="53"/>
    </row>
    <row r="154" customFormat="false" ht="15" hidden="false" customHeight="false" outlineLevel="0" collapsed="false">
      <c r="B154" s="53" t="s">
        <v>949</v>
      </c>
      <c r="C154" s="7" t="s">
        <v>934</v>
      </c>
      <c r="D154" s="52" t="n">
        <v>46217</v>
      </c>
      <c r="E154" s="7"/>
      <c r="F154" s="7"/>
      <c r="G154" s="7"/>
      <c r="H154" s="7"/>
      <c r="I154" s="53"/>
    </row>
    <row r="155" customFormat="false" ht="15" hidden="false" customHeight="false" outlineLevel="0" collapsed="false">
      <c r="B155" s="53" t="s">
        <v>950</v>
      </c>
      <c r="C155" s="7" t="s">
        <v>936</v>
      </c>
      <c r="D155" s="52" t="n">
        <v>46249</v>
      </c>
      <c r="E155" s="7"/>
      <c r="F155" s="7"/>
      <c r="G155" s="7"/>
      <c r="H155" s="7"/>
      <c r="I155" s="53"/>
    </row>
    <row r="156" customFormat="false" ht="15" hidden="false" customHeight="false" outlineLevel="0" collapsed="false">
      <c r="B156" s="53" t="s">
        <v>951</v>
      </c>
      <c r="C156" s="7" t="s">
        <v>938</v>
      </c>
      <c r="D156" s="52" t="n">
        <v>46327</v>
      </c>
      <c r="E156" s="7"/>
      <c r="F156" s="7"/>
      <c r="G156" s="7"/>
      <c r="H156" s="7"/>
      <c r="I156" s="53"/>
    </row>
    <row r="157" customFormat="false" ht="15" hidden="false" customHeight="false" outlineLevel="0" collapsed="false">
      <c r="B157" s="53" t="s">
        <v>952</v>
      </c>
      <c r="C157" s="7" t="s">
        <v>940</v>
      </c>
      <c r="D157" s="52" t="n">
        <v>46337</v>
      </c>
      <c r="E157" s="7"/>
      <c r="F157" s="7"/>
      <c r="G157" s="7"/>
      <c r="H157" s="7"/>
      <c r="I157" s="53"/>
    </row>
    <row r="158" customFormat="false" ht="15" hidden="false" customHeight="false" outlineLevel="0" collapsed="false">
      <c r="B158" s="53" t="s">
        <v>953</v>
      </c>
      <c r="C158" s="7" t="s">
        <v>942</v>
      </c>
      <c r="D158" s="52" t="n">
        <v>46381</v>
      </c>
      <c r="E158" s="7"/>
      <c r="F158" s="7"/>
      <c r="G158" s="7"/>
      <c r="H158" s="7"/>
      <c r="I158" s="53"/>
    </row>
    <row r="159" customFormat="false" ht="15" hidden="false" customHeight="false" outlineLevel="0" collapsed="false">
      <c r="B159" s="53" t="s">
        <v>954</v>
      </c>
      <c r="C159" s="7" t="s">
        <v>921</v>
      </c>
      <c r="D159" s="52" t="n">
        <v>46388</v>
      </c>
      <c r="E159" s="7"/>
      <c r="F159" s="7"/>
      <c r="G159" s="7"/>
      <c r="H159" s="7"/>
      <c r="I159" s="53"/>
    </row>
    <row r="160" customFormat="false" ht="15" hidden="false" customHeight="false" outlineLevel="0" collapsed="false">
      <c r="B160" s="53" t="s">
        <v>955</v>
      </c>
      <c r="C160" s="7" t="s">
        <v>924</v>
      </c>
      <c r="D160" s="52" t="n">
        <v>46475</v>
      </c>
      <c r="E160" s="7"/>
      <c r="F160" s="7"/>
      <c r="G160" s="7"/>
      <c r="H160" s="7"/>
      <c r="I160" s="53"/>
    </row>
    <row r="161" customFormat="false" ht="15" hidden="false" customHeight="false" outlineLevel="0" collapsed="false">
      <c r="B161" s="53" t="s">
        <v>956</v>
      </c>
      <c r="C161" s="7" t="s">
        <v>926</v>
      </c>
      <c r="D161" s="52" t="n">
        <v>46508</v>
      </c>
      <c r="E161" s="7"/>
      <c r="F161" s="7"/>
      <c r="G161" s="7"/>
      <c r="H161" s="7"/>
      <c r="I161" s="53"/>
    </row>
    <row r="162" customFormat="false" ht="15" hidden="false" customHeight="false" outlineLevel="0" collapsed="false">
      <c r="B162" s="53" t="s">
        <v>957</v>
      </c>
      <c r="C162" s="7" t="s">
        <v>930</v>
      </c>
      <c r="D162" s="52" t="n">
        <v>46513</v>
      </c>
      <c r="E162" s="7"/>
      <c r="F162" s="7"/>
      <c r="G162" s="7"/>
      <c r="H162" s="7"/>
      <c r="I162" s="53"/>
    </row>
    <row r="163" customFormat="false" ht="15" hidden="false" customHeight="false" outlineLevel="0" collapsed="false">
      <c r="B163" s="53" t="s">
        <v>958</v>
      </c>
      <c r="C163" s="7" t="s">
        <v>928</v>
      </c>
      <c r="D163" s="52" t="n">
        <v>46515</v>
      </c>
      <c r="E163" s="7"/>
      <c r="F163" s="7"/>
      <c r="G163" s="7"/>
      <c r="H163" s="7"/>
      <c r="I163" s="53"/>
    </row>
    <row r="164" customFormat="false" ht="15" hidden="false" customHeight="false" outlineLevel="0" collapsed="false">
      <c r="B164" s="53" t="s">
        <v>959</v>
      </c>
      <c r="C164" s="7" t="s">
        <v>932</v>
      </c>
      <c r="D164" s="52" t="n">
        <v>46524</v>
      </c>
      <c r="E164" s="7"/>
      <c r="F164" s="7"/>
      <c r="G164" s="7"/>
      <c r="H164" s="7"/>
      <c r="I164" s="53"/>
    </row>
    <row r="165" customFormat="false" ht="15" hidden="false" customHeight="false" outlineLevel="0" collapsed="false">
      <c r="B165" s="53" t="s">
        <v>960</v>
      </c>
      <c r="C165" s="7" t="s">
        <v>934</v>
      </c>
      <c r="D165" s="52" t="n">
        <v>46582</v>
      </c>
      <c r="E165" s="7"/>
      <c r="F165" s="7"/>
      <c r="G165" s="7"/>
      <c r="H165" s="7"/>
      <c r="I165" s="53"/>
    </row>
    <row r="166" customFormat="false" ht="15" hidden="false" customHeight="false" outlineLevel="0" collapsed="false">
      <c r="B166" s="53" t="s">
        <v>961</v>
      </c>
      <c r="C166" s="7" t="s">
        <v>936</v>
      </c>
      <c r="D166" s="52" t="n">
        <v>46614</v>
      </c>
      <c r="E166" s="7"/>
      <c r="F166" s="7"/>
      <c r="G166" s="7"/>
      <c r="H166" s="7"/>
      <c r="I166" s="53"/>
    </row>
    <row r="167" customFormat="false" ht="15" hidden="false" customHeight="false" outlineLevel="0" collapsed="false">
      <c r="B167" s="53" t="s">
        <v>962</v>
      </c>
      <c r="C167" s="7" t="s">
        <v>938</v>
      </c>
      <c r="D167" s="52" t="n">
        <v>46692</v>
      </c>
      <c r="E167" s="7"/>
      <c r="F167" s="7"/>
      <c r="G167" s="7"/>
      <c r="H167" s="7"/>
      <c r="I167" s="53"/>
    </row>
    <row r="168" customFormat="false" ht="15" hidden="false" customHeight="false" outlineLevel="0" collapsed="false">
      <c r="B168" s="53" t="s">
        <v>963</v>
      </c>
      <c r="C168" s="7" t="s">
        <v>940</v>
      </c>
      <c r="D168" s="52" t="n">
        <v>46702</v>
      </c>
      <c r="E168" s="7"/>
      <c r="F168" s="7"/>
      <c r="G168" s="7"/>
      <c r="H168" s="7"/>
      <c r="I168" s="53"/>
    </row>
    <row r="169" customFormat="false" ht="15" hidden="false" customHeight="false" outlineLevel="0" collapsed="false">
      <c r="B169" s="53" t="s">
        <v>964</v>
      </c>
      <c r="C169" s="7" t="s">
        <v>942</v>
      </c>
      <c r="D169" s="52" t="n">
        <v>46746</v>
      </c>
      <c r="E169" s="7"/>
      <c r="F169" s="7"/>
      <c r="G169" s="7"/>
      <c r="H169" s="7"/>
      <c r="I169" s="53"/>
    </row>
    <row r="170" customFormat="false" ht="15" hidden="false" customHeight="false" outlineLevel="0" collapsed="false">
      <c r="B170" s="53" t="s">
        <v>965</v>
      </c>
      <c r="C170" s="7" t="s">
        <v>921</v>
      </c>
      <c r="D170" s="52" t="n">
        <v>46753</v>
      </c>
      <c r="E170" s="7"/>
      <c r="F170" s="7"/>
      <c r="G170" s="7"/>
      <c r="H170" s="7"/>
      <c r="I170" s="53"/>
    </row>
    <row r="171" customFormat="false" ht="15" hidden="false" customHeight="false" outlineLevel="0" collapsed="false">
      <c r="B171" s="53" t="s">
        <v>966</v>
      </c>
      <c r="C171" s="7" t="s">
        <v>924</v>
      </c>
      <c r="D171" s="52" t="n">
        <v>46860</v>
      </c>
      <c r="E171" s="7"/>
      <c r="F171" s="7"/>
      <c r="G171" s="7"/>
      <c r="H171" s="7"/>
      <c r="I171" s="53"/>
    </row>
    <row r="172" customFormat="false" ht="15" hidden="false" customHeight="false" outlineLevel="0" collapsed="false">
      <c r="B172" s="53" t="s">
        <v>967</v>
      </c>
      <c r="C172" s="7" t="s">
        <v>926</v>
      </c>
      <c r="D172" s="52" t="n">
        <v>46874</v>
      </c>
      <c r="E172" s="7"/>
      <c r="F172" s="7"/>
      <c r="G172" s="7"/>
      <c r="H172" s="7"/>
      <c r="I172" s="53"/>
    </row>
    <row r="173" customFormat="false" ht="15" hidden="false" customHeight="false" outlineLevel="0" collapsed="false">
      <c r="B173" s="53" t="s">
        <v>968</v>
      </c>
      <c r="C173" s="7" t="s">
        <v>928</v>
      </c>
      <c r="D173" s="52" t="n">
        <v>46881</v>
      </c>
      <c r="E173" s="7"/>
      <c r="F173" s="7"/>
      <c r="G173" s="7"/>
      <c r="H173" s="7"/>
      <c r="I173" s="53"/>
    </row>
    <row r="174" customFormat="false" ht="15" hidden="false" customHeight="false" outlineLevel="0" collapsed="false">
      <c r="B174" s="53" t="s">
        <v>969</v>
      </c>
      <c r="C174" s="7" t="s">
        <v>930</v>
      </c>
      <c r="D174" s="52" t="n">
        <v>46898</v>
      </c>
      <c r="E174" s="7"/>
      <c r="F174" s="7"/>
      <c r="G174" s="7"/>
      <c r="H174" s="7"/>
      <c r="I174" s="53"/>
    </row>
    <row r="175" customFormat="false" ht="15" hidden="false" customHeight="false" outlineLevel="0" collapsed="false">
      <c r="B175" s="53" t="s">
        <v>970</v>
      </c>
      <c r="C175" s="7" t="s">
        <v>932</v>
      </c>
      <c r="D175" s="52" t="n">
        <v>46909</v>
      </c>
      <c r="E175" s="7"/>
      <c r="F175" s="7"/>
      <c r="G175" s="7"/>
      <c r="H175" s="7"/>
      <c r="I175" s="53"/>
    </row>
    <row r="176" customFormat="false" ht="15" hidden="false" customHeight="false" outlineLevel="0" collapsed="false">
      <c r="B176" s="53" t="s">
        <v>971</v>
      </c>
      <c r="C176" s="7" t="s">
        <v>934</v>
      </c>
      <c r="D176" s="52" t="n">
        <v>46948</v>
      </c>
      <c r="E176" s="7"/>
      <c r="F176" s="7"/>
      <c r="G176" s="7"/>
      <c r="H176" s="7"/>
      <c r="I176" s="53"/>
    </row>
    <row r="177" customFormat="false" ht="15" hidden="false" customHeight="false" outlineLevel="0" collapsed="false">
      <c r="B177" s="53" t="s">
        <v>972</v>
      </c>
      <c r="C177" s="7" t="s">
        <v>936</v>
      </c>
      <c r="D177" s="52" t="n">
        <v>46980</v>
      </c>
      <c r="E177" s="7"/>
      <c r="F177" s="7"/>
      <c r="G177" s="7"/>
      <c r="H177" s="7"/>
      <c r="I177" s="53"/>
    </row>
    <row r="178" customFormat="false" ht="15" hidden="false" customHeight="false" outlineLevel="0" collapsed="false">
      <c r="B178" s="53" t="s">
        <v>973</v>
      </c>
      <c r="C178" s="7" t="s">
        <v>938</v>
      </c>
      <c r="D178" s="52" t="n">
        <v>47058</v>
      </c>
      <c r="E178" s="7"/>
      <c r="F178" s="7"/>
      <c r="G178" s="7"/>
      <c r="H178" s="7"/>
      <c r="I178" s="53"/>
    </row>
    <row r="179" customFormat="false" ht="15" hidden="false" customHeight="false" outlineLevel="0" collapsed="false">
      <c r="B179" s="53" t="s">
        <v>974</v>
      </c>
      <c r="C179" s="7" t="s">
        <v>940</v>
      </c>
      <c r="D179" s="52" t="n">
        <v>47068</v>
      </c>
      <c r="E179" s="7"/>
      <c r="F179" s="7"/>
      <c r="G179" s="7"/>
      <c r="H179" s="7"/>
      <c r="I179" s="53"/>
    </row>
    <row r="180" customFormat="false" ht="15" hidden="false" customHeight="false" outlineLevel="0" collapsed="false">
      <c r="B180" s="53" t="s">
        <v>975</v>
      </c>
      <c r="C180" s="7" t="s">
        <v>942</v>
      </c>
      <c r="D180" s="52" t="n">
        <v>47112</v>
      </c>
      <c r="E180" s="7"/>
      <c r="F180" s="7"/>
      <c r="G180" s="7"/>
      <c r="H180" s="7"/>
      <c r="I180" s="53"/>
    </row>
  </sheetData>
  <mergeCells count="3">
    <mergeCell ref="C21:I21"/>
    <mergeCell ref="C36:I36"/>
    <mergeCell ref="C74:I74"/>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2026-10-08T23:08:56Z</dcterms:created>
  <dc:creator>openpyxl</dc:creator>
  <dc:description/>
  <dc:language>en-US</dc:language>
  <cp:lastModifiedBy/>
  <dcterms:modified xsi:type="dcterms:W3CDTF">2026-10-08T23:09:04Z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